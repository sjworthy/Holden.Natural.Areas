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holdenarb-my.sharepoint.com/personal/sworthy_holdenfg_org/Documents/Documents/GitHub/Holden.Natural.Areas/Raw.Data/"/>
    </mc:Choice>
  </mc:AlternateContent>
  <xr:revisionPtr revIDLastSave="10198" documentId="8_{1B2F4FB2-FC04-487C-86F2-D1F2916F4DAC}" xr6:coauthVersionLast="47" xr6:coauthVersionMax="47" xr10:uidLastSave="{EBDEBFCE-3195-436B-A5E7-A6FE5E3F059E}"/>
  <bookViews>
    <workbookView xWindow="8196" yWindow="0" windowWidth="14940" windowHeight="12336" tabRatio="597" activeTab="3" xr2:uid="{00000000-000D-0000-FFFF-FFFF00000000}"/>
  </bookViews>
  <sheets>
    <sheet name="Plot_Data" sheetId="1" r:id="rId1"/>
    <sheet name="DBH Classes" sheetId="19" r:id="rId2"/>
    <sheet name="Plot Summary Forest" sheetId="31" r:id="rId3"/>
    <sheet name="DBH Classes Forest" sheetId="29" r:id="rId4"/>
    <sheet name="Plot Summary" sheetId="21" r:id="rId5"/>
    <sheet name="DBH Classes Practice" sheetId="28" r:id="rId6"/>
    <sheet name="Lookups" sheetId="16" r:id="rId7"/>
    <sheet name="Plot_Data_Structure Div" sheetId="30" r:id="rId8"/>
  </sheets>
  <definedNames>
    <definedName name="_xlnm._FilterDatabase" localSheetId="0" hidden="1">Plot_Data!$A$1:$J$3186</definedName>
    <definedName name="_xlnm._FilterDatabase" localSheetId="7" hidden="1">'Plot_Data_Structure Div'!$A$1:$J$2995</definedName>
    <definedName name="Species">Lookups!$A$2:$A$40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22" i="1" l="1"/>
  <c r="I320" i="1"/>
  <c r="O3172" i="1" a="1"/>
  <c r="O3172" i="1" s="1"/>
  <c r="O3171" i="1" a="1"/>
  <c r="O3171" i="1" s="1"/>
  <c r="N3171" i="1"/>
  <c r="N3172" i="1"/>
  <c r="N3164" i="1"/>
  <c r="M3164" i="1"/>
  <c r="L3164" i="1"/>
  <c r="O3163" i="1" a="1"/>
  <c r="O3163" i="1"/>
  <c r="I3171" i="1"/>
  <c r="L3171" i="1"/>
  <c r="M3171" i="1"/>
  <c r="I3172" i="1"/>
  <c r="L3172" i="1"/>
  <c r="M3172" i="1"/>
  <c r="O3186" i="1" a="1"/>
  <c r="O3186" i="1" s="1"/>
  <c r="O3185" i="1" a="1"/>
  <c r="O3185" i="1" s="1"/>
  <c r="O3184" i="1" a="1"/>
  <c r="O3184" i="1"/>
  <c r="O3183" i="1" a="1"/>
  <c r="O3183" i="1" s="1"/>
  <c r="O3182" i="1" a="1"/>
  <c r="O3182" i="1"/>
  <c r="O3181" i="1" a="1"/>
  <c r="O3181" i="1" s="1"/>
  <c r="O3180" i="1" a="1"/>
  <c r="O3180" i="1" s="1"/>
  <c r="O3179" i="1" a="1"/>
  <c r="O3179" i="1" s="1"/>
  <c r="O3178" i="1" a="1"/>
  <c r="O3178" i="1" s="1"/>
  <c r="O3177" i="1" a="1"/>
  <c r="O3177" i="1" s="1"/>
  <c r="O3176" i="1" a="1"/>
  <c r="O3176" i="1" s="1"/>
  <c r="O3175" i="1" a="1"/>
  <c r="O3175" i="1"/>
  <c r="O3174" i="1" a="1"/>
  <c r="O3174" i="1" s="1"/>
  <c r="O3173" i="1" a="1"/>
  <c r="O3173" i="1" s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O3170" i="1" a="1"/>
  <c r="O3170" i="1" s="1"/>
  <c r="O3169" i="1" a="1"/>
  <c r="O3169" i="1" s="1"/>
  <c r="O3168" i="1" a="1"/>
  <c r="O3168" i="1"/>
  <c r="O3167" i="1" a="1"/>
  <c r="O3167" i="1" s="1"/>
  <c r="O3166" i="1" a="1"/>
  <c r="O3166" i="1" s="1"/>
  <c r="O3165" i="1" a="1"/>
  <c r="O3165" i="1"/>
  <c r="O3164" i="1" a="1"/>
  <c r="O3164" i="1"/>
  <c r="O3162" i="1" a="1"/>
  <c r="O3162" i="1" s="1"/>
  <c r="O3161" i="1" a="1"/>
  <c r="O3161" i="1" s="1"/>
  <c r="O3160" i="1" a="1"/>
  <c r="O3160" i="1"/>
  <c r="O3159" i="1" a="1"/>
  <c r="O3159" i="1" s="1"/>
  <c r="O3158" i="1" a="1"/>
  <c r="O3158" i="1"/>
  <c r="O3157" i="1" a="1"/>
  <c r="O3157" i="1" s="1"/>
  <c r="O3156" i="1" a="1"/>
  <c r="O3156" i="1" s="1"/>
  <c r="O3155" i="1" a="1"/>
  <c r="O3155" i="1" s="1"/>
  <c r="O3154" i="1" a="1"/>
  <c r="O3154" i="1" s="1"/>
  <c r="O3153" i="1" a="1"/>
  <c r="O3153" i="1" s="1"/>
  <c r="O3152" i="1" a="1"/>
  <c r="O3152" i="1"/>
  <c r="O3151" i="1" a="1"/>
  <c r="O3151" i="1"/>
  <c r="O3150" i="1" a="1"/>
  <c r="O3150" i="1" s="1"/>
  <c r="O3149" i="1" a="1"/>
  <c r="O3149" i="1" s="1"/>
  <c r="O3148" i="1" a="1"/>
  <c r="O3148" i="1" s="1"/>
  <c r="O3147" i="1" a="1"/>
  <c r="O3147" i="1" s="1"/>
  <c r="O3146" i="1" a="1"/>
  <c r="O3146" i="1"/>
  <c r="O3145" i="1" a="1"/>
  <c r="O3145" i="1" s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5" i="1"/>
  <c r="N3166" i="1"/>
  <c r="N3167" i="1"/>
  <c r="N3168" i="1"/>
  <c r="N3169" i="1"/>
  <c r="N3170" i="1"/>
  <c r="M3145" i="1"/>
  <c r="L3145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5" i="1"/>
  <c r="L3166" i="1"/>
  <c r="L3167" i="1"/>
  <c r="L3168" i="1"/>
  <c r="L3169" i="1"/>
  <c r="L3170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5" i="1"/>
  <c r="M3166" i="1"/>
  <c r="M3167" i="1"/>
  <c r="M3168" i="1"/>
  <c r="M3169" i="1"/>
  <c r="M3170" i="1"/>
  <c r="O3144" i="1" a="1"/>
  <c r="O3144" i="1" s="1"/>
  <c r="O3143" i="1" a="1"/>
  <c r="O3143" i="1" s="1"/>
  <c r="O3142" i="1" a="1"/>
  <c r="O3142" i="1" s="1"/>
  <c r="O3141" i="1" a="1"/>
  <c r="O3141" i="1" s="1"/>
  <c r="O3140" i="1" a="1"/>
  <c r="O3140" i="1" s="1"/>
  <c r="O3139" i="1" a="1"/>
  <c r="O3139" i="1" s="1"/>
  <c r="O3138" i="1" a="1"/>
  <c r="O3138" i="1" s="1"/>
  <c r="O3137" i="1" a="1"/>
  <c r="O3137" i="1" s="1"/>
  <c r="O3136" i="1" a="1"/>
  <c r="O3136" i="1" s="1"/>
  <c r="O3135" i="1" a="1"/>
  <c r="O3135" i="1" s="1"/>
  <c r="O3134" i="1" a="1"/>
  <c r="O3134" i="1" s="1"/>
  <c r="O3133" i="1" a="1"/>
  <c r="O3133" i="1" s="1"/>
  <c r="O3132" i="1" a="1"/>
  <c r="O3132" i="1" s="1"/>
  <c r="O3131" i="1" a="1"/>
  <c r="O3131" i="1" s="1"/>
  <c r="O3130" i="1" a="1"/>
  <c r="O3130" i="1" s="1"/>
  <c r="O3129" i="1" a="1"/>
  <c r="O3129" i="1" s="1"/>
  <c r="O3128" i="1" a="1"/>
  <c r="O3128" i="1" s="1"/>
  <c r="O3127" i="1" a="1"/>
  <c r="O3127" i="1" s="1"/>
  <c r="O3126" i="1" a="1"/>
  <c r="O3126" i="1" s="1"/>
  <c r="O3125" i="1" a="1"/>
  <c r="O3125" i="1" s="1"/>
  <c r="O3124" i="1" a="1"/>
  <c r="O3124" i="1" s="1"/>
  <c r="O3123" i="1" a="1"/>
  <c r="O3123" i="1" s="1"/>
  <c r="O3122" i="1" a="1"/>
  <c r="O3122" i="1"/>
  <c r="O3121" i="1" a="1"/>
  <c r="O3121" i="1" s="1"/>
  <c r="O3120" i="1" a="1"/>
  <c r="O3120" i="1" s="1"/>
  <c r="O3119" i="1" a="1"/>
  <c r="O3119" i="1" s="1"/>
  <c r="O3118" i="1" a="1"/>
  <c r="O3118" i="1" s="1"/>
  <c r="O3117" i="1" a="1"/>
  <c r="O3117" i="1" s="1"/>
  <c r="O3116" i="1" a="1"/>
  <c r="O3116" i="1" s="1"/>
  <c r="O3115" i="1" a="1"/>
  <c r="O3115" i="1" s="1"/>
  <c r="O3114" i="1" a="1"/>
  <c r="O3114" i="1" s="1"/>
  <c r="O3113" i="1" a="1"/>
  <c r="O3113" i="1" s="1"/>
  <c r="O3112" i="1" a="1"/>
  <c r="O3112" i="1" s="1"/>
  <c r="O3111" i="1" a="1"/>
  <c r="O3111" i="1" s="1"/>
  <c r="O3110" i="1" a="1"/>
  <c r="O3110" i="1" s="1"/>
  <c r="O3109" i="1" a="1"/>
  <c r="O3109" i="1" s="1"/>
  <c r="O3108" i="1" a="1"/>
  <c r="O3108" i="1" s="1"/>
  <c r="O3107" i="1" a="1"/>
  <c r="O3107" i="1" s="1"/>
  <c r="O3106" i="1" a="1"/>
  <c r="O3106" i="1" s="1"/>
  <c r="O3105" i="1" a="1"/>
  <c r="O3105" i="1" s="1"/>
  <c r="O3104" i="1" a="1"/>
  <c r="O3104" i="1" s="1"/>
  <c r="O3103" i="1" a="1"/>
  <c r="O3103" i="1" s="1"/>
  <c r="O3102" i="1" a="1"/>
  <c r="O3102" i="1" s="1"/>
  <c r="O3101" i="1" a="1"/>
  <c r="O3101" i="1" s="1"/>
  <c r="O3100" i="1" a="1"/>
  <c r="O3100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O3051" i="1" a="1"/>
  <c r="O3051" i="1"/>
  <c r="O3050" i="1" a="1"/>
  <c r="O3050" i="1"/>
  <c r="N3050" i="1"/>
  <c r="M3050" i="1"/>
  <c r="L3050" i="1"/>
  <c r="I3050" i="1"/>
  <c r="O3099" i="1" a="1"/>
  <c r="O3099" i="1" s="1"/>
  <c r="O3098" i="1" a="1"/>
  <c r="O3098" i="1" s="1"/>
  <c r="O3097" i="1" a="1"/>
  <c r="O3097" i="1" s="1"/>
  <c r="O3096" i="1" a="1"/>
  <c r="O3096" i="1" s="1"/>
  <c r="O3095" i="1" a="1"/>
  <c r="O3095" i="1" s="1"/>
  <c r="O3094" i="1" a="1"/>
  <c r="O3094" i="1" s="1"/>
  <c r="O3093" i="1" a="1"/>
  <c r="O3093" i="1" s="1"/>
  <c r="O3092" i="1" a="1"/>
  <c r="O3092" i="1" s="1"/>
  <c r="O3091" i="1" a="1"/>
  <c r="O3091" i="1"/>
  <c r="O3090" i="1" a="1"/>
  <c r="O3090" i="1" s="1"/>
  <c r="O3089" i="1" a="1"/>
  <c r="O3089" i="1" s="1"/>
  <c r="O3088" i="1" a="1"/>
  <c r="O3088" i="1" s="1"/>
  <c r="O3087" i="1" a="1"/>
  <c r="O3087" i="1" s="1"/>
  <c r="O3086" i="1" a="1"/>
  <c r="O3086" i="1" s="1"/>
  <c r="O3085" i="1" a="1"/>
  <c r="O3085" i="1" s="1"/>
  <c r="O3084" i="1" a="1"/>
  <c r="O3084" i="1" s="1"/>
  <c r="O3083" i="1" a="1"/>
  <c r="O3083" i="1" s="1"/>
  <c r="O3082" i="1" a="1"/>
  <c r="O3082" i="1" s="1"/>
  <c r="O3081" i="1" a="1"/>
  <c r="O3081" i="1" s="1"/>
  <c r="O3080" i="1" a="1"/>
  <c r="O3080" i="1" s="1"/>
  <c r="O3079" i="1" a="1"/>
  <c r="O3079" i="1" s="1"/>
  <c r="O3078" i="1" a="1"/>
  <c r="O3078" i="1" s="1"/>
  <c r="O3077" i="1" a="1"/>
  <c r="O3077" i="1" s="1"/>
  <c r="O3076" i="1" a="1"/>
  <c r="O3076" i="1" s="1"/>
  <c r="O3075" i="1" a="1"/>
  <c r="O3075" i="1" s="1"/>
  <c r="O3074" i="1" a="1"/>
  <c r="O3074" i="1" s="1"/>
  <c r="O3073" i="1" a="1"/>
  <c r="O3073" i="1" s="1"/>
  <c r="O3072" i="1" a="1"/>
  <c r="O3072" i="1" s="1"/>
  <c r="O3071" i="1" a="1"/>
  <c r="O3071" i="1" s="1"/>
  <c r="O3070" i="1" a="1"/>
  <c r="O3070" i="1" s="1"/>
  <c r="O3069" i="1" a="1"/>
  <c r="O3069" i="1" s="1"/>
  <c r="O3068" i="1" a="1"/>
  <c r="O3068" i="1" s="1"/>
  <c r="O3067" i="1" a="1"/>
  <c r="O3067" i="1" s="1"/>
  <c r="O3066" i="1" a="1"/>
  <c r="O3066" i="1" s="1"/>
  <c r="O3065" i="1" a="1"/>
  <c r="O3065" i="1" s="1"/>
  <c r="O3064" i="1" a="1"/>
  <c r="O3064" i="1" s="1"/>
  <c r="O3063" i="1" a="1"/>
  <c r="O3063" i="1" s="1"/>
  <c r="O3062" i="1" a="1"/>
  <c r="O3062" i="1" s="1"/>
  <c r="O3061" i="1" a="1"/>
  <c r="O3061" i="1" s="1"/>
  <c r="O3060" i="1" a="1"/>
  <c r="O3060" i="1" s="1"/>
  <c r="O3059" i="1" a="1"/>
  <c r="O3059" i="1" s="1"/>
  <c r="O3058" i="1" a="1"/>
  <c r="O3058" i="1" s="1"/>
  <c r="O3057" i="1" a="1"/>
  <c r="O3057" i="1" s="1"/>
  <c r="O3056" i="1" a="1"/>
  <c r="O3056" i="1" s="1"/>
  <c r="O3055" i="1" a="1"/>
  <c r="O3055" i="1" s="1"/>
  <c r="O3054" i="1" a="1"/>
  <c r="O3054" i="1" s="1"/>
  <c r="O3053" i="1" a="1"/>
  <c r="O3053" i="1" s="1"/>
  <c r="O3052" i="1" a="1"/>
  <c r="O3052" i="1" s="1"/>
  <c r="O3049" i="1" a="1"/>
  <c r="O3049" i="1" s="1"/>
  <c r="O3048" i="1" a="1"/>
  <c r="O3048" i="1" s="1"/>
  <c r="O3047" i="1" a="1"/>
  <c r="O3047" i="1"/>
  <c r="O3046" i="1" a="1"/>
  <c r="O3046" i="1"/>
  <c r="O3045" i="1" a="1"/>
  <c r="O3045" i="1" s="1"/>
  <c r="O3044" i="1" a="1"/>
  <c r="O3044" i="1" s="1"/>
  <c r="O3043" i="1" a="1"/>
  <c r="O3043" i="1" s="1"/>
  <c r="O3042" i="1" a="1"/>
  <c r="O3042" i="1" s="1"/>
  <c r="O3041" i="1" a="1"/>
  <c r="O3041" i="1" s="1"/>
  <c r="O3040" i="1" a="1"/>
  <c r="O3040" i="1" s="1"/>
  <c r="O3039" i="1" a="1"/>
  <c r="O3039" i="1" s="1"/>
  <c r="O3038" i="1" a="1"/>
  <c r="O3038" i="1" s="1"/>
  <c r="O3037" i="1" a="1"/>
  <c r="O3037" i="1" s="1"/>
  <c r="O3036" i="1" a="1"/>
  <c r="O3036" i="1" s="1"/>
  <c r="O3035" i="1" a="1"/>
  <c r="O3035" i="1" s="1"/>
  <c r="O3034" i="1" a="1"/>
  <c r="O3034" i="1" s="1"/>
  <c r="O3033" i="1" a="1"/>
  <c r="O3033" i="1" s="1"/>
  <c r="O3032" i="1" a="1"/>
  <c r="O3032" i="1" s="1"/>
  <c r="O3031" i="1" a="1"/>
  <c r="O3031" i="1" s="1"/>
  <c r="O3030" i="1" a="1"/>
  <c r="O3030" i="1" s="1"/>
  <c r="O3029" i="1" a="1"/>
  <c r="O3029" i="1" s="1"/>
  <c r="O3028" i="1" a="1"/>
  <c r="O3028" i="1" s="1"/>
  <c r="O3027" i="1" a="1"/>
  <c r="O3027" i="1" s="1"/>
  <c r="O3026" i="1" a="1"/>
  <c r="O3026" i="1" s="1"/>
  <c r="O3025" i="1" a="1"/>
  <c r="O3025" i="1" s="1"/>
  <c r="O3024" i="1" a="1"/>
  <c r="O3024" i="1" s="1"/>
  <c r="O3023" i="1" a="1"/>
  <c r="O3023" i="1" s="1"/>
  <c r="O3022" i="1" a="1"/>
  <c r="O3022" i="1" s="1"/>
  <c r="O3021" i="1" a="1"/>
  <c r="O3021" i="1" s="1"/>
  <c r="O3020" i="1" a="1"/>
  <c r="O3020" i="1" s="1"/>
  <c r="O3019" i="1" a="1"/>
  <c r="O3019" i="1"/>
  <c r="O3018" i="1" a="1"/>
  <c r="O3018" i="1" s="1"/>
  <c r="O3017" i="1" a="1"/>
  <c r="O3017" i="1" s="1"/>
  <c r="O3016" i="1" a="1"/>
  <c r="O3016" i="1" s="1"/>
  <c r="O3015" i="1" a="1"/>
  <c r="O3015" i="1" s="1"/>
  <c r="O3014" i="1" a="1"/>
  <c r="O3014" i="1" s="1"/>
  <c r="O3013" i="1" a="1"/>
  <c r="O3013" i="1" s="1"/>
  <c r="O3012" i="1" a="1"/>
  <c r="O3012" i="1" s="1"/>
  <c r="O3011" i="1" a="1"/>
  <c r="O3011" i="1" s="1"/>
  <c r="O3010" i="1" a="1"/>
  <c r="O3010" i="1" s="1"/>
  <c r="O3009" i="1" a="1"/>
  <c r="O3009" i="1" s="1"/>
  <c r="O3008" i="1" a="1"/>
  <c r="O3008" i="1" s="1"/>
  <c r="O3007" i="1" a="1"/>
  <c r="O3007" i="1" s="1"/>
  <c r="O3006" i="1" a="1"/>
  <c r="O3006" i="1" s="1"/>
  <c r="O3005" i="1" a="1"/>
  <c r="O3005" i="1"/>
  <c r="O3004" i="1" a="1"/>
  <c r="O3004" i="1" s="1"/>
  <c r="O3003" i="1" a="1"/>
  <c r="O3003" i="1" s="1"/>
  <c r="O3002" i="1" a="1"/>
  <c r="O3002" i="1" s="1"/>
  <c r="O3001" i="1" a="1"/>
  <c r="O3001" i="1" s="1"/>
  <c r="O3000" i="1" a="1"/>
  <c r="O3000" i="1" s="1"/>
  <c r="O2999" i="1" a="1"/>
  <c r="O2999" i="1" s="1"/>
  <c r="O2998" i="1" a="1"/>
  <c r="O2998" i="1" s="1"/>
  <c r="O2997" i="1" a="1"/>
  <c r="O2997" i="1" s="1"/>
  <c r="O2996" i="1" a="1"/>
  <c r="O2996" i="1" s="1"/>
  <c r="O2995" i="1" a="1"/>
  <c r="O2995" i="1" s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V10" i="30"/>
  <c r="U10" i="30"/>
  <c r="T10" i="30"/>
  <c r="V9" i="30"/>
  <c r="U9" i="30"/>
  <c r="T9" i="30"/>
  <c r="T8" i="30"/>
  <c r="U8" i="30"/>
  <c r="V8" i="30"/>
  <c r="V7" i="30"/>
  <c r="U7" i="30"/>
  <c r="T7" i="30"/>
  <c r="V6" i="30"/>
  <c r="U6" i="30"/>
  <c r="T6" i="30"/>
  <c r="V5" i="30"/>
  <c r="U5" i="30"/>
  <c r="T5" i="30"/>
  <c r="V4" i="30"/>
  <c r="U4" i="30"/>
  <c r="T4" i="30"/>
  <c r="V3" i="30"/>
  <c r="U3" i="30"/>
  <c r="T3" i="30"/>
  <c r="V2" i="30"/>
  <c r="U2" i="30"/>
  <c r="T2" i="30"/>
  <c r="O2995" i="30" a="1"/>
  <c r="O2995" i="30" s="1"/>
  <c r="N2995" i="30"/>
  <c r="M2995" i="30"/>
  <c r="L2995" i="30"/>
  <c r="I2995" i="30"/>
  <c r="O2994" i="30" a="1"/>
  <c r="O2994" i="30" s="1"/>
  <c r="N2994" i="30"/>
  <c r="M2994" i="30"/>
  <c r="L2994" i="30"/>
  <c r="I2994" i="30"/>
  <c r="O2993" i="30" a="1"/>
  <c r="O2993" i="30" s="1"/>
  <c r="N2993" i="30"/>
  <c r="M2993" i="30"/>
  <c r="L2993" i="30"/>
  <c r="I2993" i="30"/>
  <c r="O2992" i="30" a="1"/>
  <c r="O2992" i="30" s="1"/>
  <c r="N2992" i="30"/>
  <c r="M2992" i="30"/>
  <c r="L2992" i="30"/>
  <c r="I2992" i="30"/>
  <c r="O2991" i="30" a="1"/>
  <c r="O2991" i="30" s="1"/>
  <c r="N2991" i="30"/>
  <c r="M2991" i="30"/>
  <c r="L2991" i="30"/>
  <c r="I2991" i="30"/>
  <c r="O2990" i="30" a="1"/>
  <c r="O2990" i="30" s="1"/>
  <c r="N2990" i="30"/>
  <c r="M2990" i="30"/>
  <c r="L2990" i="30"/>
  <c r="I2990" i="30"/>
  <c r="O2989" i="30" a="1"/>
  <c r="O2989" i="30" s="1"/>
  <c r="N2989" i="30"/>
  <c r="M2989" i="30"/>
  <c r="L2989" i="30"/>
  <c r="I2989" i="30"/>
  <c r="O2988" i="30" a="1"/>
  <c r="O2988" i="30" s="1"/>
  <c r="N2988" i="30"/>
  <c r="M2988" i="30"/>
  <c r="L2988" i="30"/>
  <c r="I2988" i="30"/>
  <c r="O2987" i="30" a="1"/>
  <c r="O2987" i="30" s="1"/>
  <c r="N2987" i="30"/>
  <c r="M2987" i="30"/>
  <c r="L2987" i="30"/>
  <c r="I2987" i="30"/>
  <c r="O2986" i="30" a="1"/>
  <c r="O2986" i="30" s="1"/>
  <c r="N2986" i="30"/>
  <c r="M2986" i="30"/>
  <c r="L2986" i="30"/>
  <c r="I2986" i="30"/>
  <c r="O2985" i="30" a="1"/>
  <c r="O2985" i="30" s="1"/>
  <c r="N2985" i="30"/>
  <c r="M2985" i="30"/>
  <c r="L2985" i="30"/>
  <c r="I2985" i="30"/>
  <c r="O2984" i="30" a="1"/>
  <c r="O2984" i="30" s="1"/>
  <c r="N2984" i="30"/>
  <c r="M2984" i="30"/>
  <c r="L2984" i="30"/>
  <c r="I2984" i="30"/>
  <c r="O2983" i="30" a="1"/>
  <c r="O2983" i="30" s="1"/>
  <c r="N2983" i="30"/>
  <c r="M2983" i="30"/>
  <c r="L2983" i="30"/>
  <c r="I2983" i="30"/>
  <c r="O2982" i="30" a="1"/>
  <c r="O2982" i="30" s="1"/>
  <c r="N2982" i="30"/>
  <c r="M2982" i="30"/>
  <c r="L2982" i="30"/>
  <c r="I2982" i="30"/>
  <c r="O2981" i="30" a="1"/>
  <c r="O2981" i="30" s="1"/>
  <c r="N2981" i="30"/>
  <c r="M2981" i="30"/>
  <c r="L2981" i="30"/>
  <c r="I2981" i="30"/>
  <c r="O2980" i="30" a="1"/>
  <c r="O2980" i="30" s="1"/>
  <c r="N2980" i="30"/>
  <c r="M2980" i="30"/>
  <c r="L2980" i="30"/>
  <c r="I2980" i="30"/>
  <c r="O2979" i="30" a="1"/>
  <c r="O2979" i="30" s="1"/>
  <c r="N2979" i="30"/>
  <c r="M2979" i="30"/>
  <c r="L2979" i="30"/>
  <c r="I2979" i="30"/>
  <c r="O2978" i="30" a="1"/>
  <c r="O2978" i="30" s="1"/>
  <c r="N2978" i="30"/>
  <c r="M2978" i="30"/>
  <c r="L2978" i="30"/>
  <c r="I2978" i="30"/>
  <c r="O2977" i="30" a="1"/>
  <c r="O2977" i="30" s="1"/>
  <c r="N2977" i="30"/>
  <c r="M2977" i="30"/>
  <c r="L2977" i="30"/>
  <c r="I2977" i="30"/>
  <c r="O2976" i="30" a="1"/>
  <c r="O2976" i="30" s="1"/>
  <c r="N2976" i="30"/>
  <c r="M2976" i="30"/>
  <c r="L2976" i="30"/>
  <c r="I2976" i="30"/>
  <c r="O2975" i="30" a="1"/>
  <c r="O2975" i="30" s="1"/>
  <c r="N2975" i="30"/>
  <c r="M2975" i="30"/>
  <c r="L2975" i="30"/>
  <c r="I2975" i="30"/>
  <c r="O2974" i="30" a="1"/>
  <c r="O2974" i="30" s="1"/>
  <c r="N2974" i="30"/>
  <c r="M2974" i="30"/>
  <c r="L2974" i="30"/>
  <c r="I2974" i="30"/>
  <c r="O2973" i="30" a="1"/>
  <c r="O2973" i="30" s="1"/>
  <c r="N2973" i="30"/>
  <c r="M2973" i="30"/>
  <c r="L2973" i="30"/>
  <c r="I2973" i="30"/>
  <c r="O2972" i="30" a="1"/>
  <c r="O2972" i="30" s="1"/>
  <c r="N2972" i="30"/>
  <c r="M2972" i="30"/>
  <c r="L2972" i="30"/>
  <c r="I2972" i="30"/>
  <c r="O2971" i="30" a="1"/>
  <c r="O2971" i="30" s="1"/>
  <c r="N2971" i="30"/>
  <c r="M2971" i="30"/>
  <c r="L2971" i="30"/>
  <c r="I2971" i="30"/>
  <c r="O2970" i="30" a="1"/>
  <c r="O2970" i="30" s="1"/>
  <c r="N2970" i="30"/>
  <c r="M2970" i="30"/>
  <c r="L2970" i="30"/>
  <c r="I2970" i="30"/>
  <c r="O2969" i="30" a="1"/>
  <c r="O2969" i="30" s="1"/>
  <c r="N2969" i="30"/>
  <c r="M2969" i="30"/>
  <c r="L2969" i="30"/>
  <c r="I2969" i="30"/>
  <c r="O2968" i="30" a="1"/>
  <c r="O2968" i="30" s="1"/>
  <c r="N2968" i="30"/>
  <c r="M2968" i="30"/>
  <c r="L2968" i="30"/>
  <c r="I2968" i="30"/>
  <c r="O2967" i="30" a="1"/>
  <c r="O2967" i="30" s="1"/>
  <c r="N2967" i="30"/>
  <c r="M2967" i="30"/>
  <c r="L2967" i="30"/>
  <c r="I2967" i="30"/>
  <c r="O2966" i="30" a="1"/>
  <c r="O2966" i="30" s="1"/>
  <c r="N2966" i="30"/>
  <c r="M2966" i="30"/>
  <c r="L2966" i="30"/>
  <c r="I2966" i="30"/>
  <c r="O2965" i="30" a="1"/>
  <c r="O2965" i="30" s="1"/>
  <c r="N2965" i="30"/>
  <c r="M2965" i="30"/>
  <c r="L2965" i="30"/>
  <c r="I2965" i="30"/>
  <c r="O2964" i="30" a="1"/>
  <c r="O2964" i="30" s="1"/>
  <c r="N2964" i="30"/>
  <c r="M2964" i="30"/>
  <c r="L2964" i="30"/>
  <c r="I2964" i="30"/>
  <c r="O2963" i="30" a="1"/>
  <c r="O2963" i="30" s="1"/>
  <c r="N2963" i="30"/>
  <c r="M2963" i="30"/>
  <c r="L2963" i="30"/>
  <c r="I2963" i="30"/>
  <c r="O2962" i="30" a="1"/>
  <c r="O2962" i="30" s="1"/>
  <c r="N2962" i="30"/>
  <c r="M2962" i="30"/>
  <c r="L2962" i="30"/>
  <c r="I2962" i="30"/>
  <c r="O2961" i="30" a="1"/>
  <c r="O2961" i="30" s="1"/>
  <c r="N2961" i="30"/>
  <c r="M2961" i="30"/>
  <c r="L2961" i="30"/>
  <c r="I2961" i="30"/>
  <c r="O2960" i="30" a="1"/>
  <c r="O2960" i="30" s="1"/>
  <c r="N2960" i="30"/>
  <c r="M2960" i="30"/>
  <c r="L2960" i="30"/>
  <c r="I2960" i="30"/>
  <c r="O2959" i="30" a="1"/>
  <c r="O2959" i="30" s="1"/>
  <c r="N2959" i="30"/>
  <c r="M2959" i="30"/>
  <c r="L2959" i="30"/>
  <c r="I2959" i="30"/>
  <c r="O2958" i="30" a="1"/>
  <c r="O2958" i="30" s="1"/>
  <c r="N2958" i="30"/>
  <c r="M2958" i="30"/>
  <c r="L2958" i="30"/>
  <c r="I2958" i="30"/>
  <c r="O2957" i="30" a="1"/>
  <c r="O2957" i="30" s="1"/>
  <c r="N2957" i="30"/>
  <c r="M2957" i="30"/>
  <c r="L2957" i="30"/>
  <c r="I2957" i="30"/>
  <c r="O2956" i="30" a="1"/>
  <c r="O2956" i="30" s="1"/>
  <c r="N2956" i="30"/>
  <c r="M2956" i="30"/>
  <c r="L2956" i="30"/>
  <c r="I2956" i="30"/>
  <c r="O2955" i="30" a="1"/>
  <c r="O2955" i="30" s="1"/>
  <c r="N2955" i="30"/>
  <c r="M2955" i="30"/>
  <c r="L2955" i="30"/>
  <c r="I2955" i="30"/>
  <c r="O2954" i="30" a="1"/>
  <c r="O2954" i="30" s="1"/>
  <c r="N2954" i="30"/>
  <c r="M2954" i="30"/>
  <c r="L2954" i="30"/>
  <c r="I2954" i="30"/>
  <c r="O2953" i="30" a="1"/>
  <c r="O2953" i="30" s="1"/>
  <c r="N2953" i="30"/>
  <c r="M2953" i="30"/>
  <c r="L2953" i="30"/>
  <c r="I2953" i="30"/>
  <c r="O2952" i="30" a="1"/>
  <c r="O2952" i="30" s="1"/>
  <c r="N2952" i="30"/>
  <c r="M2952" i="30"/>
  <c r="L2952" i="30"/>
  <c r="I2952" i="30"/>
  <c r="O2951" i="30" a="1"/>
  <c r="O2951" i="30" s="1"/>
  <c r="N2951" i="30"/>
  <c r="M2951" i="30"/>
  <c r="L2951" i="30"/>
  <c r="I2951" i="30"/>
  <c r="O2950" i="30" a="1"/>
  <c r="O2950" i="30" s="1"/>
  <c r="N2950" i="30"/>
  <c r="M2950" i="30"/>
  <c r="L2950" i="30"/>
  <c r="I2950" i="30"/>
  <c r="O2949" i="30" a="1"/>
  <c r="O2949" i="30" s="1"/>
  <c r="N2949" i="30"/>
  <c r="M2949" i="30"/>
  <c r="L2949" i="30"/>
  <c r="I2949" i="30"/>
  <c r="O2948" i="30" a="1"/>
  <c r="O2948" i="30" s="1"/>
  <c r="N2948" i="30"/>
  <c r="M2948" i="30"/>
  <c r="L2948" i="30"/>
  <c r="I2948" i="30"/>
  <c r="O2947" i="30" a="1"/>
  <c r="O2947" i="30" s="1"/>
  <c r="N2947" i="30"/>
  <c r="M2947" i="30"/>
  <c r="L2947" i="30"/>
  <c r="I2947" i="30"/>
  <c r="O2946" i="30" a="1"/>
  <c r="O2946" i="30" s="1"/>
  <c r="N2946" i="30"/>
  <c r="M2946" i="30"/>
  <c r="L2946" i="30"/>
  <c r="I2946" i="30"/>
  <c r="O2945" i="30" a="1"/>
  <c r="O2945" i="30" s="1"/>
  <c r="N2945" i="30"/>
  <c r="M2945" i="30"/>
  <c r="L2945" i="30"/>
  <c r="I2945" i="30"/>
  <c r="O2944" i="30" a="1"/>
  <c r="O2944" i="30" s="1"/>
  <c r="N2944" i="30"/>
  <c r="M2944" i="30"/>
  <c r="L2944" i="30"/>
  <c r="I2944" i="30"/>
  <c r="O2943" i="30" a="1"/>
  <c r="O2943" i="30" s="1"/>
  <c r="N2943" i="30"/>
  <c r="M2943" i="30"/>
  <c r="L2943" i="30"/>
  <c r="I2943" i="30"/>
  <c r="O2942" i="30" a="1"/>
  <c r="O2942" i="30" s="1"/>
  <c r="N2942" i="30"/>
  <c r="M2942" i="30"/>
  <c r="L2942" i="30"/>
  <c r="I2942" i="30"/>
  <c r="O2941" i="30" a="1"/>
  <c r="O2941" i="30" s="1"/>
  <c r="N2941" i="30"/>
  <c r="M2941" i="30"/>
  <c r="L2941" i="30"/>
  <c r="I2941" i="30"/>
  <c r="O2940" i="30" a="1"/>
  <c r="O2940" i="30" s="1"/>
  <c r="N2940" i="30"/>
  <c r="M2940" i="30"/>
  <c r="L2940" i="30"/>
  <c r="I2940" i="30"/>
  <c r="O2939" i="30" a="1"/>
  <c r="O2939" i="30" s="1"/>
  <c r="N2939" i="30"/>
  <c r="M2939" i="30"/>
  <c r="L2939" i="30"/>
  <c r="I2939" i="30"/>
  <c r="O2938" i="30" a="1"/>
  <c r="O2938" i="30" s="1"/>
  <c r="N2938" i="30"/>
  <c r="M2938" i="30"/>
  <c r="L2938" i="30"/>
  <c r="I2938" i="30"/>
  <c r="O2937" i="30" a="1"/>
  <c r="O2937" i="30" s="1"/>
  <c r="N2937" i="30"/>
  <c r="M2937" i="30"/>
  <c r="L2937" i="30"/>
  <c r="I2937" i="30"/>
  <c r="O2936" i="30" a="1"/>
  <c r="O2936" i="30" s="1"/>
  <c r="N2936" i="30"/>
  <c r="M2936" i="30"/>
  <c r="L2936" i="30"/>
  <c r="I2936" i="30"/>
  <c r="O2935" i="30" a="1"/>
  <c r="O2935" i="30" s="1"/>
  <c r="N2935" i="30"/>
  <c r="M2935" i="30"/>
  <c r="L2935" i="30"/>
  <c r="I2935" i="30"/>
  <c r="O2934" i="30" a="1"/>
  <c r="O2934" i="30" s="1"/>
  <c r="N2934" i="30"/>
  <c r="M2934" i="30"/>
  <c r="L2934" i="30"/>
  <c r="I2934" i="30"/>
  <c r="O2933" i="30" a="1"/>
  <c r="O2933" i="30" s="1"/>
  <c r="N2933" i="30"/>
  <c r="M2933" i="30"/>
  <c r="L2933" i="30"/>
  <c r="I2933" i="30"/>
  <c r="O2932" i="30" a="1"/>
  <c r="O2932" i="30" s="1"/>
  <c r="N2932" i="30"/>
  <c r="M2932" i="30"/>
  <c r="L2932" i="30"/>
  <c r="I2932" i="30"/>
  <c r="O2931" i="30" a="1"/>
  <c r="O2931" i="30" s="1"/>
  <c r="N2931" i="30"/>
  <c r="M2931" i="30"/>
  <c r="L2931" i="30"/>
  <c r="I2931" i="30"/>
  <c r="O2930" i="30" a="1"/>
  <c r="O2930" i="30" s="1"/>
  <c r="N2930" i="30"/>
  <c r="M2930" i="30"/>
  <c r="L2930" i="30"/>
  <c r="I2930" i="30"/>
  <c r="O2929" i="30" a="1"/>
  <c r="O2929" i="30" s="1"/>
  <c r="N2929" i="30"/>
  <c r="M2929" i="30"/>
  <c r="L2929" i="30"/>
  <c r="I2929" i="30"/>
  <c r="O2928" i="30" a="1"/>
  <c r="O2928" i="30" s="1"/>
  <c r="N2928" i="30"/>
  <c r="M2928" i="30"/>
  <c r="L2928" i="30"/>
  <c r="I2928" i="30"/>
  <c r="O2927" i="30" a="1"/>
  <c r="O2927" i="30" s="1"/>
  <c r="N2927" i="30"/>
  <c r="M2927" i="30"/>
  <c r="L2927" i="30"/>
  <c r="I2927" i="30"/>
  <c r="O2926" i="30" a="1"/>
  <c r="O2926" i="30" s="1"/>
  <c r="N2926" i="30"/>
  <c r="M2926" i="30"/>
  <c r="L2926" i="30"/>
  <c r="I2926" i="30"/>
  <c r="O2925" i="30" a="1"/>
  <c r="O2925" i="30" s="1"/>
  <c r="N2925" i="30"/>
  <c r="M2925" i="30"/>
  <c r="L2925" i="30"/>
  <c r="I2925" i="30"/>
  <c r="O2924" i="30" a="1"/>
  <c r="O2924" i="30" s="1"/>
  <c r="N2924" i="30"/>
  <c r="M2924" i="30"/>
  <c r="L2924" i="30"/>
  <c r="I2924" i="30"/>
  <c r="O2923" i="30" a="1"/>
  <c r="O2923" i="30" s="1"/>
  <c r="N2923" i="30"/>
  <c r="M2923" i="30"/>
  <c r="L2923" i="30"/>
  <c r="I2923" i="30"/>
  <c r="O2922" i="30" a="1"/>
  <c r="O2922" i="30" s="1"/>
  <c r="N2922" i="30"/>
  <c r="M2922" i="30"/>
  <c r="L2922" i="30"/>
  <c r="I2922" i="30"/>
  <c r="O2921" i="30" a="1"/>
  <c r="O2921" i="30" s="1"/>
  <c r="N2921" i="30"/>
  <c r="M2921" i="30"/>
  <c r="L2921" i="30"/>
  <c r="I2921" i="30"/>
  <c r="O2920" i="30" a="1"/>
  <c r="O2920" i="30" s="1"/>
  <c r="N2920" i="30"/>
  <c r="M2920" i="30"/>
  <c r="L2920" i="30"/>
  <c r="I2920" i="30"/>
  <c r="O2919" i="30" a="1"/>
  <c r="O2919" i="30" s="1"/>
  <c r="N2919" i="30"/>
  <c r="M2919" i="30"/>
  <c r="L2919" i="30"/>
  <c r="I2919" i="30"/>
  <c r="O2918" i="30" a="1"/>
  <c r="O2918" i="30" s="1"/>
  <c r="N2918" i="30"/>
  <c r="M2918" i="30"/>
  <c r="L2918" i="30"/>
  <c r="I2918" i="30"/>
  <c r="O2917" i="30" a="1"/>
  <c r="O2917" i="30" s="1"/>
  <c r="N2917" i="30"/>
  <c r="M2917" i="30"/>
  <c r="L2917" i="30"/>
  <c r="I2917" i="30"/>
  <c r="O2916" i="30" a="1"/>
  <c r="O2916" i="30" s="1"/>
  <c r="N2916" i="30"/>
  <c r="M2916" i="30"/>
  <c r="L2916" i="30"/>
  <c r="I2916" i="30"/>
  <c r="O2915" i="30" a="1"/>
  <c r="O2915" i="30" s="1"/>
  <c r="N2915" i="30"/>
  <c r="M2915" i="30"/>
  <c r="L2915" i="30"/>
  <c r="I2915" i="30"/>
  <c r="O2914" i="30" a="1"/>
  <c r="O2914" i="30" s="1"/>
  <c r="N2914" i="30"/>
  <c r="M2914" i="30"/>
  <c r="L2914" i="30"/>
  <c r="I2914" i="30"/>
  <c r="O2913" i="30" a="1"/>
  <c r="O2913" i="30" s="1"/>
  <c r="N2913" i="30"/>
  <c r="M2913" i="30"/>
  <c r="L2913" i="30"/>
  <c r="I2913" i="30"/>
  <c r="O2912" i="30" a="1"/>
  <c r="O2912" i="30" s="1"/>
  <c r="N2912" i="30"/>
  <c r="M2912" i="30"/>
  <c r="L2912" i="30"/>
  <c r="I2912" i="30"/>
  <c r="O2911" i="30" a="1"/>
  <c r="O2911" i="30" s="1"/>
  <c r="N2911" i="30"/>
  <c r="M2911" i="30"/>
  <c r="L2911" i="30"/>
  <c r="I2911" i="30"/>
  <c r="O2910" i="30" a="1"/>
  <c r="O2910" i="30" s="1"/>
  <c r="N2910" i="30"/>
  <c r="M2910" i="30"/>
  <c r="L2910" i="30"/>
  <c r="I2910" i="30"/>
  <c r="O2909" i="30" a="1"/>
  <c r="O2909" i="30" s="1"/>
  <c r="N2909" i="30"/>
  <c r="M2909" i="30"/>
  <c r="L2909" i="30"/>
  <c r="I2909" i="30"/>
  <c r="O2908" i="30" a="1"/>
  <c r="O2908" i="30" s="1"/>
  <c r="N2908" i="30"/>
  <c r="M2908" i="30"/>
  <c r="L2908" i="30"/>
  <c r="I2908" i="30"/>
  <c r="O2907" i="30" a="1"/>
  <c r="O2907" i="30" s="1"/>
  <c r="N2907" i="30"/>
  <c r="M2907" i="30"/>
  <c r="L2907" i="30"/>
  <c r="I2907" i="30"/>
  <c r="O2906" i="30" a="1"/>
  <c r="O2906" i="30" s="1"/>
  <c r="N2906" i="30"/>
  <c r="M2906" i="30"/>
  <c r="L2906" i="30"/>
  <c r="I2906" i="30"/>
  <c r="O2905" i="30" a="1"/>
  <c r="O2905" i="30" s="1"/>
  <c r="N2905" i="30"/>
  <c r="M2905" i="30"/>
  <c r="L2905" i="30"/>
  <c r="I2905" i="30"/>
  <c r="O2904" i="30" a="1"/>
  <c r="O2904" i="30" s="1"/>
  <c r="N2904" i="30"/>
  <c r="M2904" i="30"/>
  <c r="L2904" i="30"/>
  <c r="I2904" i="30"/>
  <c r="O2903" i="30" a="1"/>
  <c r="O2903" i="30" s="1"/>
  <c r="N2903" i="30"/>
  <c r="M2903" i="30"/>
  <c r="L2903" i="30"/>
  <c r="I2903" i="30"/>
  <c r="O2902" i="30" a="1"/>
  <c r="O2902" i="30" s="1"/>
  <c r="N2902" i="30"/>
  <c r="M2902" i="30"/>
  <c r="L2902" i="30"/>
  <c r="I2902" i="30"/>
  <c r="O2901" i="30" a="1"/>
  <c r="O2901" i="30" s="1"/>
  <c r="N2901" i="30"/>
  <c r="M2901" i="30"/>
  <c r="L2901" i="30"/>
  <c r="I2901" i="30"/>
  <c r="O2900" i="30" a="1"/>
  <c r="O2900" i="30" s="1"/>
  <c r="N2900" i="30"/>
  <c r="M2900" i="30"/>
  <c r="L2900" i="30"/>
  <c r="I2900" i="30"/>
  <c r="O2899" i="30" a="1"/>
  <c r="O2899" i="30" s="1"/>
  <c r="N2899" i="30"/>
  <c r="M2899" i="30"/>
  <c r="L2899" i="30"/>
  <c r="I2899" i="30"/>
  <c r="O2898" i="30" a="1"/>
  <c r="O2898" i="30" s="1"/>
  <c r="N2898" i="30"/>
  <c r="M2898" i="30"/>
  <c r="L2898" i="30"/>
  <c r="I2898" i="30"/>
  <c r="O2897" i="30" a="1"/>
  <c r="O2897" i="30" s="1"/>
  <c r="N2897" i="30"/>
  <c r="M2897" i="30"/>
  <c r="L2897" i="30"/>
  <c r="I2897" i="30"/>
  <c r="O2896" i="30" a="1"/>
  <c r="O2896" i="30" s="1"/>
  <c r="N2896" i="30"/>
  <c r="M2896" i="30"/>
  <c r="L2896" i="30"/>
  <c r="I2896" i="30"/>
  <c r="O2895" i="30" a="1"/>
  <c r="O2895" i="30" s="1"/>
  <c r="N2895" i="30"/>
  <c r="M2895" i="30"/>
  <c r="L2895" i="30"/>
  <c r="I2895" i="30"/>
  <c r="O2894" i="30" a="1"/>
  <c r="O2894" i="30" s="1"/>
  <c r="N2894" i="30"/>
  <c r="M2894" i="30"/>
  <c r="L2894" i="30"/>
  <c r="I2894" i="30"/>
  <c r="O2893" i="30" a="1"/>
  <c r="O2893" i="30" s="1"/>
  <c r="N2893" i="30"/>
  <c r="M2893" i="30"/>
  <c r="L2893" i="30"/>
  <c r="I2893" i="30"/>
  <c r="O2892" i="30" a="1"/>
  <c r="O2892" i="30" s="1"/>
  <c r="N2892" i="30"/>
  <c r="M2892" i="30"/>
  <c r="L2892" i="30"/>
  <c r="I2892" i="30"/>
  <c r="O2891" i="30" a="1"/>
  <c r="O2891" i="30" s="1"/>
  <c r="N2891" i="30"/>
  <c r="M2891" i="30"/>
  <c r="L2891" i="30"/>
  <c r="I2891" i="30"/>
  <c r="O2890" i="30" a="1"/>
  <c r="O2890" i="30" s="1"/>
  <c r="N2890" i="30"/>
  <c r="M2890" i="30"/>
  <c r="L2890" i="30"/>
  <c r="I2890" i="30"/>
  <c r="O2889" i="30" a="1"/>
  <c r="O2889" i="30" s="1"/>
  <c r="N2889" i="30"/>
  <c r="M2889" i="30"/>
  <c r="L2889" i="30"/>
  <c r="I2889" i="30"/>
  <c r="O2888" i="30" a="1"/>
  <c r="O2888" i="30" s="1"/>
  <c r="N2888" i="30"/>
  <c r="M2888" i="30"/>
  <c r="L2888" i="30"/>
  <c r="I2888" i="30"/>
  <c r="O2887" i="30" a="1"/>
  <c r="O2887" i="30" s="1"/>
  <c r="N2887" i="30"/>
  <c r="M2887" i="30"/>
  <c r="L2887" i="30"/>
  <c r="I2887" i="30"/>
  <c r="O2886" i="30" a="1"/>
  <c r="O2886" i="30" s="1"/>
  <c r="N2886" i="30"/>
  <c r="M2886" i="30"/>
  <c r="L2886" i="30"/>
  <c r="I2886" i="30"/>
  <c r="O2885" i="30" a="1"/>
  <c r="O2885" i="30" s="1"/>
  <c r="N2885" i="30"/>
  <c r="M2885" i="30"/>
  <c r="L2885" i="30"/>
  <c r="I2885" i="30"/>
  <c r="O2884" i="30" a="1"/>
  <c r="O2884" i="30" s="1"/>
  <c r="N2884" i="30"/>
  <c r="M2884" i="30"/>
  <c r="L2884" i="30"/>
  <c r="I2884" i="30"/>
  <c r="O2883" i="30" a="1"/>
  <c r="O2883" i="30" s="1"/>
  <c r="N2883" i="30"/>
  <c r="M2883" i="30"/>
  <c r="L2883" i="30"/>
  <c r="I2883" i="30"/>
  <c r="O2882" i="30" a="1"/>
  <c r="O2882" i="30" s="1"/>
  <c r="N2882" i="30"/>
  <c r="M2882" i="30"/>
  <c r="L2882" i="30"/>
  <c r="I2882" i="30"/>
  <c r="O2881" i="30" a="1"/>
  <c r="O2881" i="30" s="1"/>
  <c r="N2881" i="30"/>
  <c r="M2881" i="30"/>
  <c r="L2881" i="30"/>
  <c r="I2881" i="30"/>
  <c r="O2880" i="30" a="1"/>
  <c r="O2880" i="30" s="1"/>
  <c r="N2880" i="30"/>
  <c r="M2880" i="30"/>
  <c r="L2880" i="30"/>
  <c r="I2880" i="30"/>
  <c r="O2879" i="30" a="1"/>
  <c r="O2879" i="30" s="1"/>
  <c r="N2879" i="30"/>
  <c r="M2879" i="30"/>
  <c r="L2879" i="30"/>
  <c r="I2879" i="30"/>
  <c r="O2878" i="30" a="1"/>
  <c r="O2878" i="30" s="1"/>
  <c r="N2878" i="30"/>
  <c r="M2878" i="30"/>
  <c r="L2878" i="30"/>
  <c r="I2878" i="30"/>
  <c r="O2877" i="30" a="1"/>
  <c r="O2877" i="30" s="1"/>
  <c r="N2877" i="30"/>
  <c r="M2877" i="30"/>
  <c r="L2877" i="30"/>
  <c r="I2877" i="30"/>
  <c r="O2876" i="30" a="1"/>
  <c r="O2876" i="30" s="1"/>
  <c r="N2876" i="30"/>
  <c r="M2876" i="30"/>
  <c r="L2876" i="30"/>
  <c r="I2876" i="30"/>
  <c r="O2875" i="30" a="1"/>
  <c r="O2875" i="30" s="1"/>
  <c r="N2875" i="30"/>
  <c r="M2875" i="30"/>
  <c r="L2875" i="30"/>
  <c r="I2875" i="30"/>
  <c r="O2874" i="30" a="1"/>
  <c r="O2874" i="30" s="1"/>
  <c r="N2874" i="30"/>
  <c r="M2874" i="30"/>
  <c r="L2874" i="30"/>
  <c r="I2874" i="30"/>
  <c r="O2873" i="30" a="1"/>
  <c r="O2873" i="30" s="1"/>
  <c r="N2873" i="30"/>
  <c r="M2873" i="30"/>
  <c r="L2873" i="30"/>
  <c r="I2873" i="30"/>
  <c r="O2872" i="30" a="1"/>
  <c r="O2872" i="30" s="1"/>
  <c r="N2872" i="30"/>
  <c r="M2872" i="30"/>
  <c r="L2872" i="30"/>
  <c r="I2872" i="30"/>
  <c r="O2871" i="30" a="1"/>
  <c r="O2871" i="30" s="1"/>
  <c r="N2871" i="30"/>
  <c r="M2871" i="30"/>
  <c r="L2871" i="30"/>
  <c r="I2871" i="30"/>
  <c r="O2870" i="30" a="1"/>
  <c r="O2870" i="30" s="1"/>
  <c r="N2870" i="30"/>
  <c r="M2870" i="30"/>
  <c r="L2870" i="30"/>
  <c r="I2870" i="30"/>
  <c r="O2869" i="30" a="1"/>
  <c r="O2869" i="30" s="1"/>
  <c r="N2869" i="30"/>
  <c r="M2869" i="30"/>
  <c r="L2869" i="30"/>
  <c r="I2869" i="30"/>
  <c r="O2868" i="30" a="1"/>
  <c r="O2868" i="30" s="1"/>
  <c r="N2868" i="30"/>
  <c r="M2868" i="30"/>
  <c r="L2868" i="30"/>
  <c r="I2868" i="30"/>
  <c r="O2867" i="30" a="1"/>
  <c r="O2867" i="30" s="1"/>
  <c r="N2867" i="30"/>
  <c r="M2867" i="30"/>
  <c r="L2867" i="30"/>
  <c r="I2867" i="30"/>
  <c r="O2866" i="30" a="1"/>
  <c r="O2866" i="30" s="1"/>
  <c r="N2866" i="30"/>
  <c r="M2866" i="30"/>
  <c r="L2866" i="30"/>
  <c r="I2866" i="30"/>
  <c r="O2865" i="30" a="1"/>
  <c r="O2865" i="30" s="1"/>
  <c r="N2865" i="30"/>
  <c r="M2865" i="30"/>
  <c r="L2865" i="30"/>
  <c r="I2865" i="30"/>
  <c r="O2864" i="30" a="1"/>
  <c r="O2864" i="30" s="1"/>
  <c r="N2864" i="30"/>
  <c r="M2864" i="30"/>
  <c r="L2864" i="30"/>
  <c r="I2864" i="30"/>
  <c r="O2863" i="30" a="1"/>
  <c r="O2863" i="30" s="1"/>
  <c r="N2863" i="30"/>
  <c r="M2863" i="30"/>
  <c r="L2863" i="30"/>
  <c r="I2863" i="30"/>
  <c r="O2862" i="30" a="1"/>
  <c r="O2862" i="30" s="1"/>
  <c r="N2862" i="30"/>
  <c r="M2862" i="30"/>
  <c r="L2862" i="30"/>
  <c r="I2862" i="30"/>
  <c r="O2861" i="30" a="1"/>
  <c r="O2861" i="30" s="1"/>
  <c r="N2861" i="30"/>
  <c r="M2861" i="30"/>
  <c r="L2861" i="30"/>
  <c r="I2861" i="30"/>
  <c r="O2860" i="30" a="1"/>
  <c r="O2860" i="30" s="1"/>
  <c r="N2860" i="30"/>
  <c r="M2860" i="30"/>
  <c r="L2860" i="30"/>
  <c r="I2860" i="30"/>
  <c r="O2859" i="30" a="1"/>
  <c r="O2859" i="30" s="1"/>
  <c r="N2859" i="30"/>
  <c r="M2859" i="30"/>
  <c r="L2859" i="30"/>
  <c r="I2859" i="30"/>
  <c r="O2858" i="30" a="1"/>
  <c r="O2858" i="30" s="1"/>
  <c r="N2858" i="30"/>
  <c r="M2858" i="30"/>
  <c r="L2858" i="30"/>
  <c r="I2858" i="30"/>
  <c r="O2857" i="30" a="1"/>
  <c r="O2857" i="30" s="1"/>
  <c r="N2857" i="30"/>
  <c r="M2857" i="30"/>
  <c r="L2857" i="30"/>
  <c r="I2857" i="30"/>
  <c r="O2856" i="30" a="1"/>
  <c r="O2856" i="30" s="1"/>
  <c r="N2856" i="30"/>
  <c r="M2856" i="30"/>
  <c r="L2856" i="30"/>
  <c r="I2856" i="30"/>
  <c r="O2855" i="30" a="1"/>
  <c r="O2855" i="30" s="1"/>
  <c r="N2855" i="30"/>
  <c r="M2855" i="30"/>
  <c r="L2855" i="30"/>
  <c r="I2855" i="30"/>
  <c r="O2854" i="30" a="1"/>
  <c r="O2854" i="30" s="1"/>
  <c r="N2854" i="30"/>
  <c r="M2854" i="30"/>
  <c r="L2854" i="30"/>
  <c r="I2854" i="30"/>
  <c r="O2853" i="30" a="1"/>
  <c r="O2853" i="30" s="1"/>
  <c r="N2853" i="30"/>
  <c r="M2853" i="30"/>
  <c r="L2853" i="30"/>
  <c r="I2853" i="30"/>
  <c r="O2852" i="30" a="1"/>
  <c r="O2852" i="30" s="1"/>
  <c r="N2852" i="30"/>
  <c r="M2852" i="30"/>
  <c r="L2852" i="30"/>
  <c r="I2852" i="30"/>
  <c r="O2851" i="30" a="1"/>
  <c r="O2851" i="30" s="1"/>
  <c r="N2851" i="30"/>
  <c r="M2851" i="30"/>
  <c r="L2851" i="30"/>
  <c r="I2851" i="30"/>
  <c r="O2850" i="30" a="1"/>
  <c r="O2850" i="30" s="1"/>
  <c r="N2850" i="30"/>
  <c r="M2850" i="30"/>
  <c r="L2850" i="30"/>
  <c r="I2850" i="30"/>
  <c r="O2849" i="30" a="1"/>
  <c r="O2849" i="30" s="1"/>
  <c r="N2849" i="30"/>
  <c r="M2849" i="30"/>
  <c r="L2849" i="30"/>
  <c r="I2849" i="30"/>
  <c r="O2848" i="30" a="1"/>
  <c r="O2848" i="30" s="1"/>
  <c r="N2848" i="30"/>
  <c r="M2848" i="30"/>
  <c r="L2848" i="30"/>
  <c r="I2848" i="30"/>
  <c r="O2847" i="30" a="1"/>
  <c r="O2847" i="30" s="1"/>
  <c r="N2847" i="30"/>
  <c r="M2847" i="30"/>
  <c r="L2847" i="30"/>
  <c r="I2847" i="30"/>
  <c r="O2846" i="30" a="1"/>
  <c r="O2846" i="30" s="1"/>
  <c r="N2846" i="30"/>
  <c r="M2846" i="30"/>
  <c r="L2846" i="30"/>
  <c r="I2846" i="30"/>
  <c r="O2845" i="30" a="1"/>
  <c r="O2845" i="30" s="1"/>
  <c r="N2845" i="30"/>
  <c r="M2845" i="30"/>
  <c r="L2845" i="30"/>
  <c r="I2845" i="30"/>
  <c r="O2844" i="30" a="1"/>
  <c r="O2844" i="30" s="1"/>
  <c r="N2844" i="30"/>
  <c r="M2844" i="30"/>
  <c r="L2844" i="30"/>
  <c r="I2844" i="30"/>
  <c r="O2843" i="30" a="1"/>
  <c r="O2843" i="30" s="1"/>
  <c r="N2843" i="30"/>
  <c r="M2843" i="30"/>
  <c r="L2843" i="30"/>
  <c r="I2843" i="30"/>
  <c r="O2842" i="30" a="1"/>
  <c r="O2842" i="30" s="1"/>
  <c r="N2842" i="30"/>
  <c r="M2842" i="30"/>
  <c r="L2842" i="30"/>
  <c r="I2842" i="30"/>
  <c r="O2841" i="30" a="1"/>
  <c r="O2841" i="30" s="1"/>
  <c r="N2841" i="30"/>
  <c r="M2841" i="30"/>
  <c r="L2841" i="30"/>
  <c r="I2841" i="30"/>
  <c r="O2840" i="30" a="1"/>
  <c r="O2840" i="30" s="1"/>
  <c r="N2840" i="30"/>
  <c r="M2840" i="30"/>
  <c r="L2840" i="30"/>
  <c r="I2840" i="30"/>
  <c r="O2839" i="30" a="1"/>
  <c r="O2839" i="30" s="1"/>
  <c r="N2839" i="30"/>
  <c r="M2839" i="30"/>
  <c r="L2839" i="30"/>
  <c r="I2839" i="30"/>
  <c r="O2838" i="30" a="1"/>
  <c r="O2838" i="30" s="1"/>
  <c r="N2838" i="30"/>
  <c r="M2838" i="30"/>
  <c r="L2838" i="30"/>
  <c r="I2838" i="30"/>
  <c r="O2837" i="30" a="1"/>
  <c r="O2837" i="30" s="1"/>
  <c r="N2837" i="30"/>
  <c r="M2837" i="30"/>
  <c r="L2837" i="30"/>
  <c r="I2837" i="30"/>
  <c r="O2836" i="30" a="1"/>
  <c r="O2836" i="30" s="1"/>
  <c r="N2836" i="30"/>
  <c r="M2836" i="30"/>
  <c r="L2836" i="30"/>
  <c r="I2836" i="30"/>
  <c r="O2835" i="30" a="1"/>
  <c r="O2835" i="30" s="1"/>
  <c r="N2835" i="30"/>
  <c r="M2835" i="30"/>
  <c r="L2835" i="30"/>
  <c r="I2835" i="30"/>
  <c r="O2834" i="30" a="1"/>
  <c r="O2834" i="30" s="1"/>
  <c r="N2834" i="30"/>
  <c r="M2834" i="30"/>
  <c r="L2834" i="30"/>
  <c r="I2834" i="30"/>
  <c r="O2833" i="30" a="1"/>
  <c r="O2833" i="30" s="1"/>
  <c r="N2833" i="30"/>
  <c r="M2833" i="30"/>
  <c r="L2833" i="30"/>
  <c r="I2833" i="30"/>
  <c r="O2832" i="30" a="1"/>
  <c r="O2832" i="30" s="1"/>
  <c r="N2832" i="30"/>
  <c r="M2832" i="30"/>
  <c r="L2832" i="30"/>
  <c r="I2832" i="30"/>
  <c r="O2831" i="30" a="1"/>
  <c r="O2831" i="30" s="1"/>
  <c r="N2831" i="30"/>
  <c r="M2831" i="30"/>
  <c r="L2831" i="30"/>
  <c r="I2831" i="30"/>
  <c r="O2830" i="30" a="1"/>
  <c r="O2830" i="30" s="1"/>
  <c r="N2830" i="30"/>
  <c r="M2830" i="30"/>
  <c r="L2830" i="30"/>
  <c r="I2830" i="30"/>
  <c r="O2829" i="30" a="1"/>
  <c r="O2829" i="30" s="1"/>
  <c r="N2829" i="30"/>
  <c r="M2829" i="30"/>
  <c r="L2829" i="30"/>
  <c r="I2829" i="30"/>
  <c r="O2828" i="30" a="1"/>
  <c r="O2828" i="30" s="1"/>
  <c r="N2828" i="30"/>
  <c r="M2828" i="30"/>
  <c r="L2828" i="30"/>
  <c r="I2828" i="30"/>
  <c r="O2827" i="30" a="1"/>
  <c r="O2827" i="30" s="1"/>
  <c r="N2827" i="30"/>
  <c r="M2827" i="30"/>
  <c r="L2827" i="30"/>
  <c r="I2827" i="30"/>
  <c r="O2826" i="30" a="1"/>
  <c r="O2826" i="30" s="1"/>
  <c r="N2826" i="30"/>
  <c r="M2826" i="30"/>
  <c r="L2826" i="30"/>
  <c r="I2826" i="30"/>
  <c r="O2825" i="30" a="1"/>
  <c r="O2825" i="30" s="1"/>
  <c r="N2825" i="30"/>
  <c r="M2825" i="30"/>
  <c r="L2825" i="30"/>
  <c r="I2825" i="30"/>
  <c r="O2824" i="30" a="1"/>
  <c r="O2824" i="30" s="1"/>
  <c r="N2824" i="30"/>
  <c r="M2824" i="30"/>
  <c r="L2824" i="30"/>
  <c r="I2824" i="30"/>
  <c r="O2823" i="30" a="1"/>
  <c r="O2823" i="30" s="1"/>
  <c r="N2823" i="30"/>
  <c r="M2823" i="30"/>
  <c r="L2823" i="30"/>
  <c r="I2823" i="30"/>
  <c r="O2822" i="30" a="1"/>
  <c r="O2822" i="30" s="1"/>
  <c r="N2822" i="30"/>
  <c r="M2822" i="30"/>
  <c r="L2822" i="30"/>
  <c r="I2822" i="30"/>
  <c r="O2821" i="30" a="1"/>
  <c r="O2821" i="30" s="1"/>
  <c r="N2821" i="30"/>
  <c r="M2821" i="30"/>
  <c r="L2821" i="30"/>
  <c r="I2821" i="30"/>
  <c r="O2820" i="30" a="1"/>
  <c r="O2820" i="30" s="1"/>
  <c r="N2820" i="30"/>
  <c r="M2820" i="30"/>
  <c r="L2820" i="30"/>
  <c r="I2820" i="30"/>
  <c r="O2819" i="30" a="1"/>
  <c r="O2819" i="30" s="1"/>
  <c r="N2819" i="30"/>
  <c r="M2819" i="30"/>
  <c r="L2819" i="30"/>
  <c r="I2819" i="30"/>
  <c r="O2818" i="30" a="1"/>
  <c r="O2818" i="30" s="1"/>
  <c r="N2818" i="30"/>
  <c r="M2818" i="30"/>
  <c r="L2818" i="30"/>
  <c r="I2818" i="30"/>
  <c r="O2817" i="30" a="1"/>
  <c r="O2817" i="30" s="1"/>
  <c r="N2817" i="30"/>
  <c r="M2817" i="30"/>
  <c r="L2817" i="30"/>
  <c r="I2817" i="30"/>
  <c r="O2816" i="30" a="1"/>
  <c r="O2816" i="30" s="1"/>
  <c r="N2816" i="30"/>
  <c r="M2816" i="30"/>
  <c r="L2816" i="30"/>
  <c r="I2816" i="30"/>
  <c r="O2815" i="30" a="1"/>
  <c r="O2815" i="30" s="1"/>
  <c r="N2815" i="30"/>
  <c r="M2815" i="30"/>
  <c r="L2815" i="30"/>
  <c r="I2815" i="30"/>
  <c r="O2814" i="30" a="1"/>
  <c r="O2814" i="30" s="1"/>
  <c r="N2814" i="30"/>
  <c r="M2814" i="30"/>
  <c r="L2814" i="30"/>
  <c r="I2814" i="30"/>
  <c r="O2813" i="30" a="1"/>
  <c r="O2813" i="30" s="1"/>
  <c r="N2813" i="30"/>
  <c r="M2813" i="30"/>
  <c r="L2813" i="30"/>
  <c r="I2813" i="30"/>
  <c r="O2812" i="30" a="1"/>
  <c r="O2812" i="30" s="1"/>
  <c r="N2812" i="30"/>
  <c r="M2812" i="30"/>
  <c r="L2812" i="30"/>
  <c r="I2812" i="30"/>
  <c r="O2811" i="30" a="1"/>
  <c r="O2811" i="30" s="1"/>
  <c r="N2811" i="30"/>
  <c r="M2811" i="30"/>
  <c r="L2811" i="30"/>
  <c r="I2811" i="30"/>
  <c r="O2810" i="30" a="1"/>
  <c r="O2810" i="30" s="1"/>
  <c r="N2810" i="30"/>
  <c r="M2810" i="30"/>
  <c r="L2810" i="30"/>
  <c r="I2810" i="30"/>
  <c r="O2809" i="30" a="1"/>
  <c r="O2809" i="30" s="1"/>
  <c r="N2809" i="30"/>
  <c r="M2809" i="30"/>
  <c r="L2809" i="30"/>
  <c r="I2809" i="30"/>
  <c r="O2808" i="30" a="1"/>
  <c r="O2808" i="30" s="1"/>
  <c r="N2808" i="30"/>
  <c r="M2808" i="30"/>
  <c r="L2808" i="30"/>
  <c r="I2808" i="30"/>
  <c r="O2807" i="30" a="1"/>
  <c r="O2807" i="30" s="1"/>
  <c r="N2807" i="30"/>
  <c r="M2807" i="30"/>
  <c r="L2807" i="30"/>
  <c r="I2807" i="30"/>
  <c r="O2806" i="30" a="1"/>
  <c r="O2806" i="30" s="1"/>
  <c r="N2806" i="30"/>
  <c r="M2806" i="30"/>
  <c r="L2806" i="30"/>
  <c r="I2806" i="30"/>
  <c r="O2805" i="30" a="1"/>
  <c r="O2805" i="30" s="1"/>
  <c r="N2805" i="30"/>
  <c r="M2805" i="30"/>
  <c r="L2805" i="30"/>
  <c r="I2805" i="30"/>
  <c r="O2804" i="30" a="1"/>
  <c r="O2804" i="30" s="1"/>
  <c r="N2804" i="30"/>
  <c r="M2804" i="30"/>
  <c r="L2804" i="30"/>
  <c r="I2804" i="30"/>
  <c r="O2803" i="30" a="1"/>
  <c r="O2803" i="30" s="1"/>
  <c r="N2803" i="30"/>
  <c r="M2803" i="30"/>
  <c r="L2803" i="30"/>
  <c r="I2803" i="30"/>
  <c r="O2802" i="30" a="1"/>
  <c r="O2802" i="30" s="1"/>
  <c r="N2802" i="30"/>
  <c r="M2802" i="30"/>
  <c r="L2802" i="30"/>
  <c r="I2802" i="30"/>
  <c r="O2801" i="30" a="1"/>
  <c r="O2801" i="30" s="1"/>
  <c r="N2801" i="30"/>
  <c r="M2801" i="30"/>
  <c r="L2801" i="30"/>
  <c r="I2801" i="30"/>
  <c r="O2800" i="30" a="1"/>
  <c r="O2800" i="30" s="1"/>
  <c r="N2800" i="30"/>
  <c r="M2800" i="30"/>
  <c r="L2800" i="30"/>
  <c r="I2800" i="30"/>
  <c r="O2799" i="30" a="1"/>
  <c r="O2799" i="30" s="1"/>
  <c r="N2799" i="30"/>
  <c r="M2799" i="30"/>
  <c r="L2799" i="30"/>
  <c r="I2799" i="30"/>
  <c r="O2798" i="30" a="1"/>
  <c r="O2798" i="30" s="1"/>
  <c r="N2798" i="30"/>
  <c r="M2798" i="30"/>
  <c r="L2798" i="30"/>
  <c r="I2798" i="30"/>
  <c r="O2797" i="30" a="1"/>
  <c r="O2797" i="30" s="1"/>
  <c r="N2797" i="30"/>
  <c r="M2797" i="30"/>
  <c r="L2797" i="30"/>
  <c r="I2797" i="30"/>
  <c r="O2796" i="30" a="1"/>
  <c r="O2796" i="30" s="1"/>
  <c r="N2796" i="30"/>
  <c r="M2796" i="30"/>
  <c r="L2796" i="30"/>
  <c r="I2796" i="30"/>
  <c r="O2795" i="30" a="1"/>
  <c r="O2795" i="30" s="1"/>
  <c r="N2795" i="30"/>
  <c r="M2795" i="30"/>
  <c r="L2795" i="30"/>
  <c r="I2795" i="30"/>
  <c r="O2794" i="30" a="1"/>
  <c r="O2794" i="30" s="1"/>
  <c r="N2794" i="30"/>
  <c r="M2794" i="30"/>
  <c r="L2794" i="30"/>
  <c r="I2794" i="30"/>
  <c r="O2793" i="30" a="1"/>
  <c r="O2793" i="30" s="1"/>
  <c r="N2793" i="30"/>
  <c r="M2793" i="30"/>
  <c r="L2793" i="30"/>
  <c r="I2793" i="30"/>
  <c r="O2792" i="30" a="1"/>
  <c r="O2792" i="30" s="1"/>
  <c r="N2792" i="30"/>
  <c r="M2792" i="30"/>
  <c r="L2792" i="30"/>
  <c r="I2792" i="30"/>
  <c r="O2791" i="30" a="1"/>
  <c r="O2791" i="30" s="1"/>
  <c r="N2791" i="30"/>
  <c r="M2791" i="30"/>
  <c r="L2791" i="30"/>
  <c r="I2791" i="30"/>
  <c r="O2790" i="30" a="1"/>
  <c r="O2790" i="30" s="1"/>
  <c r="N2790" i="30"/>
  <c r="M2790" i="30"/>
  <c r="L2790" i="30"/>
  <c r="I2790" i="30"/>
  <c r="O2789" i="30" a="1"/>
  <c r="O2789" i="30" s="1"/>
  <c r="N2789" i="30"/>
  <c r="M2789" i="30"/>
  <c r="L2789" i="30"/>
  <c r="I2789" i="30"/>
  <c r="O2788" i="30" a="1"/>
  <c r="O2788" i="30" s="1"/>
  <c r="N2788" i="30"/>
  <c r="M2788" i="30"/>
  <c r="L2788" i="30"/>
  <c r="I2788" i="30"/>
  <c r="O2787" i="30" a="1"/>
  <c r="O2787" i="30" s="1"/>
  <c r="N2787" i="30"/>
  <c r="M2787" i="30"/>
  <c r="L2787" i="30"/>
  <c r="I2787" i="30"/>
  <c r="O2786" i="30" a="1"/>
  <c r="O2786" i="30" s="1"/>
  <c r="N2786" i="30"/>
  <c r="M2786" i="30"/>
  <c r="L2786" i="30"/>
  <c r="I2786" i="30"/>
  <c r="O2785" i="30" a="1"/>
  <c r="O2785" i="30" s="1"/>
  <c r="N2785" i="30"/>
  <c r="M2785" i="30"/>
  <c r="L2785" i="30"/>
  <c r="I2785" i="30"/>
  <c r="O2784" i="30" a="1"/>
  <c r="O2784" i="30" s="1"/>
  <c r="N2784" i="30"/>
  <c r="M2784" i="30"/>
  <c r="L2784" i="30"/>
  <c r="I2784" i="30"/>
  <c r="O2783" i="30" a="1"/>
  <c r="O2783" i="30" s="1"/>
  <c r="N2783" i="30"/>
  <c r="M2783" i="30"/>
  <c r="L2783" i="30"/>
  <c r="I2783" i="30"/>
  <c r="O2782" i="30" a="1"/>
  <c r="O2782" i="30" s="1"/>
  <c r="N2782" i="30"/>
  <c r="M2782" i="30"/>
  <c r="L2782" i="30"/>
  <c r="I2782" i="30"/>
  <c r="O2781" i="30" a="1"/>
  <c r="O2781" i="30" s="1"/>
  <c r="N2781" i="30"/>
  <c r="M2781" i="30"/>
  <c r="L2781" i="30"/>
  <c r="I2781" i="30"/>
  <c r="O2780" i="30" a="1"/>
  <c r="O2780" i="30" s="1"/>
  <c r="N2780" i="30"/>
  <c r="M2780" i="30"/>
  <c r="L2780" i="30"/>
  <c r="I2780" i="30"/>
  <c r="O2779" i="30" a="1"/>
  <c r="O2779" i="30" s="1"/>
  <c r="N2779" i="30"/>
  <c r="M2779" i="30"/>
  <c r="L2779" i="30"/>
  <c r="I2779" i="30"/>
  <c r="O2778" i="30" a="1"/>
  <c r="O2778" i="30" s="1"/>
  <c r="N2778" i="30"/>
  <c r="M2778" i="30"/>
  <c r="L2778" i="30"/>
  <c r="I2778" i="30"/>
  <c r="O2777" i="30" a="1"/>
  <c r="O2777" i="30" s="1"/>
  <c r="N2777" i="30"/>
  <c r="M2777" i="30"/>
  <c r="L2777" i="30"/>
  <c r="I2777" i="30"/>
  <c r="O2776" i="30" a="1"/>
  <c r="O2776" i="30" s="1"/>
  <c r="N2776" i="30"/>
  <c r="M2776" i="30"/>
  <c r="L2776" i="30"/>
  <c r="I2776" i="30"/>
  <c r="O2775" i="30" a="1"/>
  <c r="O2775" i="30" s="1"/>
  <c r="N2775" i="30"/>
  <c r="M2775" i="30"/>
  <c r="L2775" i="30"/>
  <c r="I2775" i="30"/>
  <c r="O2774" i="30" a="1"/>
  <c r="O2774" i="30" s="1"/>
  <c r="N2774" i="30"/>
  <c r="M2774" i="30"/>
  <c r="L2774" i="30"/>
  <c r="I2774" i="30"/>
  <c r="O2773" i="30" a="1"/>
  <c r="O2773" i="30" s="1"/>
  <c r="N2773" i="30"/>
  <c r="M2773" i="30"/>
  <c r="L2773" i="30"/>
  <c r="I2773" i="30"/>
  <c r="O2772" i="30" a="1"/>
  <c r="O2772" i="30" s="1"/>
  <c r="N2772" i="30"/>
  <c r="M2772" i="30"/>
  <c r="L2772" i="30"/>
  <c r="I2772" i="30"/>
  <c r="O2771" i="30" a="1"/>
  <c r="O2771" i="30" s="1"/>
  <c r="N2771" i="30"/>
  <c r="M2771" i="30"/>
  <c r="L2771" i="30"/>
  <c r="I2771" i="30"/>
  <c r="O2770" i="30" a="1"/>
  <c r="O2770" i="30" s="1"/>
  <c r="N2770" i="30"/>
  <c r="M2770" i="30"/>
  <c r="L2770" i="30"/>
  <c r="I2770" i="30"/>
  <c r="O2769" i="30" a="1"/>
  <c r="O2769" i="30" s="1"/>
  <c r="N2769" i="30"/>
  <c r="M2769" i="30"/>
  <c r="L2769" i="30"/>
  <c r="I2769" i="30"/>
  <c r="O2768" i="30" a="1"/>
  <c r="O2768" i="30" s="1"/>
  <c r="N2768" i="30"/>
  <c r="M2768" i="30"/>
  <c r="L2768" i="30"/>
  <c r="I2768" i="30"/>
  <c r="O2767" i="30" a="1"/>
  <c r="O2767" i="30" s="1"/>
  <c r="N2767" i="30"/>
  <c r="M2767" i="30"/>
  <c r="L2767" i="30"/>
  <c r="I2767" i="30"/>
  <c r="O2766" i="30" a="1"/>
  <c r="O2766" i="30" s="1"/>
  <c r="N2766" i="30"/>
  <c r="M2766" i="30"/>
  <c r="L2766" i="30"/>
  <c r="I2766" i="30"/>
  <c r="O2765" i="30" a="1"/>
  <c r="O2765" i="30" s="1"/>
  <c r="N2765" i="30"/>
  <c r="M2765" i="30"/>
  <c r="L2765" i="30"/>
  <c r="I2765" i="30"/>
  <c r="O2764" i="30" a="1"/>
  <c r="O2764" i="30" s="1"/>
  <c r="N2764" i="30"/>
  <c r="M2764" i="30"/>
  <c r="L2764" i="30"/>
  <c r="I2764" i="30"/>
  <c r="O2763" i="30" a="1"/>
  <c r="O2763" i="30" s="1"/>
  <c r="N2763" i="30"/>
  <c r="M2763" i="30"/>
  <c r="L2763" i="30"/>
  <c r="I2763" i="30"/>
  <c r="O2762" i="30" a="1"/>
  <c r="O2762" i="30" s="1"/>
  <c r="N2762" i="30"/>
  <c r="M2762" i="30"/>
  <c r="L2762" i="30"/>
  <c r="I2762" i="30"/>
  <c r="O2761" i="30" a="1"/>
  <c r="O2761" i="30" s="1"/>
  <c r="N2761" i="30"/>
  <c r="M2761" i="30"/>
  <c r="L2761" i="30"/>
  <c r="I2761" i="30"/>
  <c r="O2760" i="30" a="1"/>
  <c r="O2760" i="30" s="1"/>
  <c r="N2760" i="30"/>
  <c r="M2760" i="30"/>
  <c r="L2760" i="30"/>
  <c r="I2760" i="30"/>
  <c r="O2759" i="30" a="1"/>
  <c r="O2759" i="30" s="1"/>
  <c r="N2759" i="30"/>
  <c r="M2759" i="30"/>
  <c r="L2759" i="30"/>
  <c r="I2759" i="30"/>
  <c r="O2758" i="30" a="1"/>
  <c r="O2758" i="30" s="1"/>
  <c r="N2758" i="30"/>
  <c r="M2758" i="30"/>
  <c r="L2758" i="30"/>
  <c r="I2758" i="30"/>
  <c r="O2757" i="30" a="1"/>
  <c r="O2757" i="30" s="1"/>
  <c r="N2757" i="30"/>
  <c r="M2757" i="30"/>
  <c r="L2757" i="30"/>
  <c r="I2757" i="30"/>
  <c r="O2756" i="30" a="1"/>
  <c r="O2756" i="30" s="1"/>
  <c r="N2756" i="30"/>
  <c r="M2756" i="30"/>
  <c r="L2756" i="30"/>
  <c r="I2756" i="30"/>
  <c r="O2755" i="30" a="1"/>
  <c r="O2755" i="30" s="1"/>
  <c r="N2755" i="30"/>
  <c r="M2755" i="30"/>
  <c r="L2755" i="30"/>
  <c r="I2755" i="30"/>
  <c r="O2754" i="30" a="1"/>
  <c r="O2754" i="30" s="1"/>
  <c r="N2754" i="30"/>
  <c r="M2754" i="30"/>
  <c r="L2754" i="30"/>
  <c r="I2754" i="30"/>
  <c r="O2753" i="30" a="1"/>
  <c r="O2753" i="30" s="1"/>
  <c r="N2753" i="30"/>
  <c r="M2753" i="30"/>
  <c r="L2753" i="30"/>
  <c r="I2753" i="30"/>
  <c r="O2752" i="30" a="1"/>
  <c r="O2752" i="30" s="1"/>
  <c r="N2752" i="30"/>
  <c r="M2752" i="30"/>
  <c r="L2752" i="30"/>
  <c r="I2752" i="30"/>
  <c r="O2751" i="30" a="1"/>
  <c r="O2751" i="30" s="1"/>
  <c r="N2751" i="30"/>
  <c r="M2751" i="30"/>
  <c r="L2751" i="30"/>
  <c r="I2751" i="30"/>
  <c r="O2750" i="30" a="1"/>
  <c r="O2750" i="30" s="1"/>
  <c r="N2750" i="30"/>
  <c r="M2750" i="30"/>
  <c r="L2750" i="30"/>
  <c r="I2750" i="30"/>
  <c r="O2749" i="30" a="1"/>
  <c r="O2749" i="30" s="1"/>
  <c r="N2749" i="30"/>
  <c r="M2749" i="30"/>
  <c r="L2749" i="30"/>
  <c r="I2749" i="30"/>
  <c r="O2748" i="30" a="1"/>
  <c r="O2748" i="30" s="1"/>
  <c r="N2748" i="30"/>
  <c r="M2748" i="30"/>
  <c r="L2748" i="30"/>
  <c r="I2748" i="30"/>
  <c r="O2747" i="30" a="1"/>
  <c r="O2747" i="30" s="1"/>
  <c r="N2747" i="30"/>
  <c r="M2747" i="30"/>
  <c r="L2747" i="30"/>
  <c r="I2747" i="30"/>
  <c r="O2746" i="30" a="1"/>
  <c r="O2746" i="30" s="1"/>
  <c r="N2746" i="30"/>
  <c r="M2746" i="30"/>
  <c r="L2746" i="30"/>
  <c r="I2746" i="30"/>
  <c r="O2745" i="30" a="1"/>
  <c r="O2745" i="30" s="1"/>
  <c r="N2745" i="30"/>
  <c r="M2745" i="30"/>
  <c r="L2745" i="30"/>
  <c r="I2745" i="30"/>
  <c r="O2744" i="30" a="1"/>
  <c r="O2744" i="30" s="1"/>
  <c r="N2744" i="30"/>
  <c r="M2744" i="30"/>
  <c r="L2744" i="30"/>
  <c r="I2744" i="30"/>
  <c r="O2743" i="30" a="1"/>
  <c r="O2743" i="30" s="1"/>
  <c r="N2743" i="30"/>
  <c r="M2743" i="30"/>
  <c r="L2743" i="30"/>
  <c r="I2743" i="30"/>
  <c r="O2742" i="30" a="1"/>
  <c r="O2742" i="30" s="1"/>
  <c r="N2742" i="30"/>
  <c r="M2742" i="30"/>
  <c r="L2742" i="30"/>
  <c r="I2742" i="30"/>
  <c r="O2741" i="30" a="1"/>
  <c r="O2741" i="30" s="1"/>
  <c r="N2741" i="30"/>
  <c r="M2741" i="30"/>
  <c r="L2741" i="30"/>
  <c r="I2741" i="30"/>
  <c r="O2740" i="30" a="1"/>
  <c r="O2740" i="30" s="1"/>
  <c r="N2740" i="30"/>
  <c r="M2740" i="30"/>
  <c r="L2740" i="30"/>
  <c r="I2740" i="30"/>
  <c r="O2739" i="30" a="1"/>
  <c r="O2739" i="30" s="1"/>
  <c r="N2739" i="30"/>
  <c r="M2739" i="30"/>
  <c r="L2739" i="30"/>
  <c r="I2739" i="30"/>
  <c r="O2738" i="30" a="1"/>
  <c r="O2738" i="30" s="1"/>
  <c r="N2738" i="30"/>
  <c r="M2738" i="30"/>
  <c r="L2738" i="30"/>
  <c r="I2738" i="30"/>
  <c r="O2737" i="30" a="1"/>
  <c r="O2737" i="30" s="1"/>
  <c r="N2737" i="30"/>
  <c r="M2737" i="30"/>
  <c r="L2737" i="30"/>
  <c r="I2737" i="30"/>
  <c r="O2736" i="30" a="1"/>
  <c r="O2736" i="30" s="1"/>
  <c r="N2736" i="30"/>
  <c r="M2736" i="30"/>
  <c r="L2736" i="30"/>
  <c r="I2736" i="30"/>
  <c r="O2735" i="30" a="1"/>
  <c r="O2735" i="30" s="1"/>
  <c r="N2735" i="30"/>
  <c r="M2735" i="30"/>
  <c r="L2735" i="30"/>
  <c r="I2735" i="30"/>
  <c r="O2734" i="30" a="1"/>
  <c r="O2734" i="30" s="1"/>
  <c r="N2734" i="30"/>
  <c r="M2734" i="30"/>
  <c r="L2734" i="30"/>
  <c r="I2734" i="30"/>
  <c r="O2733" i="30" a="1"/>
  <c r="O2733" i="30" s="1"/>
  <c r="N2733" i="30"/>
  <c r="M2733" i="30"/>
  <c r="L2733" i="30"/>
  <c r="I2733" i="30"/>
  <c r="O2732" i="30" a="1"/>
  <c r="O2732" i="30" s="1"/>
  <c r="N2732" i="30"/>
  <c r="M2732" i="30"/>
  <c r="L2732" i="30"/>
  <c r="I2732" i="30"/>
  <c r="O2731" i="30" a="1"/>
  <c r="O2731" i="30" s="1"/>
  <c r="N2731" i="30"/>
  <c r="M2731" i="30"/>
  <c r="L2731" i="30"/>
  <c r="I2731" i="30"/>
  <c r="O2730" i="30" a="1"/>
  <c r="O2730" i="30" s="1"/>
  <c r="N2730" i="30"/>
  <c r="M2730" i="30"/>
  <c r="L2730" i="30"/>
  <c r="I2730" i="30"/>
  <c r="O2729" i="30" a="1"/>
  <c r="O2729" i="30" s="1"/>
  <c r="N2729" i="30"/>
  <c r="M2729" i="30"/>
  <c r="L2729" i="30"/>
  <c r="I2729" i="30"/>
  <c r="O2728" i="30" a="1"/>
  <c r="O2728" i="30" s="1"/>
  <c r="N2728" i="30"/>
  <c r="M2728" i="30"/>
  <c r="L2728" i="30"/>
  <c r="I2728" i="30"/>
  <c r="O2727" i="30" a="1"/>
  <c r="O2727" i="30" s="1"/>
  <c r="N2727" i="30"/>
  <c r="M2727" i="30"/>
  <c r="L2727" i="30"/>
  <c r="I2727" i="30"/>
  <c r="O2726" i="30" a="1"/>
  <c r="O2726" i="30" s="1"/>
  <c r="N2726" i="30"/>
  <c r="M2726" i="30"/>
  <c r="L2726" i="30"/>
  <c r="I2726" i="30"/>
  <c r="O2725" i="30" a="1"/>
  <c r="O2725" i="30" s="1"/>
  <c r="N2725" i="30"/>
  <c r="M2725" i="30"/>
  <c r="L2725" i="30"/>
  <c r="I2725" i="30"/>
  <c r="O2724" i="30" a="1"/>
  <c r="O2724" i="30" s="1"/>
  <c r="N2724" i="30"/>
  <c r="M2724" i="30"/>
  <c r="L2724" i="30"/>
  <c r="I2724" i="30"/>
  <c r="O2723" i="30" a="1"/>
  <c r="O2723" i="30" s="1"/>
  <c r="N2723" i="30"/>
  <c r="M2723" i="30"/>
  <c r="L2723" i="30"/>
  <c r="I2723" i="30"/>
  <c r="O2722" i="30" a="1"/>
  <c r="O2722" i="30" s="1"/>
  <c r="N2722" i="30"/>
  <c r="M2722" i="30"/>
  <c r="L2722" i="30"/>
  <c r="I2722" i="30"/>
  <c r="O2721" i="30" a="1"/>
  <c r="O2721" i="30" s="1"/>
  <c r="N2721" i="30"/>
  <c r="M2721" i="30"/>
  <c r="L2721" i="30"/>
  <c r="I2721" i="30"/>
  <c r="O2720" i="30" a="1"/>
  <c r="O2720" i="30" s="1"/>
  <c r="N2720" i="30"/>
  <c r="M2720" i="30"/>
  <c r="L2720" i="30"/>
  <c r="I2720" i="30"/>
  <c r="O2719" i="30" a="1"/>
  <c r="O2719" i="30" s="1"/>
  <c r="N2719" i="30"/>
  <c r="M2719" i="30"/>
  <c r="L2719" i="30"/>
  <c r="I2719" i="30"/>
  <c r="O2718" i="30" a="1"/>
  <c r="O2718" i="30" s="1"/>
  <c r="N2718" i="30"/>
  <c r="M2718" i="30"/>
  <c r="L2718" i="30"/>
  <c r="I2718" i="30"/>
  <c r="O2717" i="30" a="1"/>
  <c r="O2717" i="30" s="1"/>
  <c r="N2717" i="30"/>
  <c r="M2717" i="30"/>
  <c r="L2717" i="30"/>
  <c r="I2717" i="30"/>
  <c r="O2716" i="30" a="1"/>
  <c r="O2716" i="30" s="1"/>
  <c r="N2716" i="30"/>
  <c r="M2716" i="30"/>
  <c r="L2716" i="30"/>
  <c r="I2716" i="30"/>
  <c r="O2715" i="30" a="1"/>
  <c r="O2715" i="30" s="1"/>
  <c r="N2715" i="30"/>
  <c r="M2715" i="30"/>
  <c r="L2715" i="30"/>
  <c r="I2715" i="30"/>
  <c r="O2714" i="30" a="1"/>
  <c r="O2714" i="30" s="1"/>
  <c r="N2714" i="30"/>
  <c r="M2714" i="30"/>
  <c r="L2714" i="30"/>
  <c r="I2714" i="30"/>
  <c r="O2713" i="30" a="1"/>
  <c r="O2713" i="30" s="1"/>
  <c r="N2713" i="30"/>
  <c r="M2713" i="30"/>
  <c r="L2713" i="30"/>
  <c r="I2713" i="30"/>
  <c r="O2712" i="30" a="1"/>
  <c r="O2712" i="30" s="1"/>
  <c r="N2712" i="30"/>
  <c r="M2712" i="30"/>
  <c r="L2712" i="30"/>
  <c r="I2712" i="30"/>
  <c r="O2711" i="30" a="1"/>
  <c r="O2711" i="30" s="1"/>
  <c r="N2711" i="30"/>
  <c r="M2711" i="30"/>
  <c r="L2711" i="30"/>
  <c r="I2711" i="30"/>
  <c r="O2710" i="30" a="1"/>
  <c r="O2710" i="30" s="1"/>
  <c r="N2710" i="30"/>
  <c r="M2710" i="30"/>
  <c r="L2710" i="30"/>
  <c r="I2710" i="30"/>
  <c r="O2709" i="30" a="1"/>
  <c r="O2709" i="30" s="1"/>
  <c r="N2709" i="30"/>
  <c r="M2709" i="30"/>
  <c r="L2709" i="30"/>
  <c r="I2709" i="30"/>
  <c r="O2708" i="30" a="1"/>
  <c r="O2708" i="30" s="1"/>
  <c r="N2708" i="30"/>
  <c r="M2708" i="30"/>
  <c r="L2708" i="30"/>
  <c r="I2708" i="30"/>
  <c r="O2707" i="30" a="1"/>
  <c r="O2707" i="30" s="1"/>
  <c r="N2707" i="30"/>
  <c r="M2707" i="30"/>
  <c r="L2707" i="30"/>
  <c r="I2707" i="30"/>
  <c r="O2706" i="30" a="1"/>
  <c r="O2706" i="30" s="1"/>
  <c r="N2706" i="30"/>
  <c r="M2706" i="30"/>
  <c r="L2706" i="30"/>
  <c r="I2706" i="30"/>
  <c r="O2705" i="30" a="1"/>
  <c r="O2705" i="30" s="1"/>
  <c r="N2705" i="30"/>
  <c r="M2705" i="30"/>
  <c r="L2705" i="30"/>
  <c r="I2705" i="30"/>
  <c r="O2704" i="30" a="1"/>
  <c r="O2704" i="30" s="1"/>
  <c r="N2704" i="30"/>
  <c r="M2704" i="30"/>
  <c r="L2704" i="30"/>
  <c r="I2704" i="30"/>
  <c r="O2703" i="30" a="1"/>
  <c r="O2703" i="30" s="1"/>
  <c r="N2703" i="30"/>
  <c r="M2703" i="30"/>
  <c r="L2703" i="30"/>
  <c r="I2703" i="30"/>
  <c r="O2702" i="30" a="1"/>
  <c r="O2702" i="30" s="1"/>
  <c r="N2702" i="30"/>
  <c r="M2702" i="30"/>
  <c r="L2702" i="30"/>
  <c r="I2702" i="30"/>
  <c r="O2701" i="30" a="1"/>
  <c r="O2701" i="30" s="1"/>
  <c r="N2701" i="30"/>
  <c r="M2701" i="30"/>
  <c r="L2701" i="30"/>
  <c r="I2701" i="30"/>
  <c r="O2700" i="30" a="1"/>
  <c r="O2700" i="30" s="1"/>
  <c r="N2700" i="30"/>
  <c r="M2700" i="30"/>
  <c r="L2700" i="30"/>
  <c r="I2700" i="30"/>
  <c r="O2699" i="30" a="1"/>
  <c r="O2699" i="30" s="1"/>
  <c r="N2699" i="30"/>
  <c r="M2699" i="30"/>
  <c r="L2699" i="30"/>
  <c r="I2699" i="30"/>
  <c r="O2698" i="30" a="1"/>
  <c r="O2698" i="30" s="1"/>
  <c r="N2698" i="30"/>
  <c r="M2698" i="30"/>
  <c r="L2698" i="30"/>
  <c r="I2698" i="30"/>
  <c r="O2697" i="30" a="1"/>
  <c r="O2697" i="30" s="1"/>
  <c r="N2697" i="30"/>
  <c r="M2697" i="30"/>
  <c r="L2697" i="30"/>
  <c r="I2697" i="30"/>
  <c r="O2696" i="30" a="1"/>
  <c r="O2696" i="30" s="1"/>
  <c r="N2696" i="30"/>
  <c r="M2696" i="30"/>
  <c r="L2696" i="30"/>
  <c r="I2696" i="30"/>
  <c r="O2695" i="30" a="1"/>
  <c r="O2695" i="30" s="1"/>
  <c r="N2695" i="30"/>
  <c r="M2695" i="30"/>
  <c r="L2695" i="30"/>
  <c r="I2695" i="30"/>
  <c r="O2694" i="30" a="1"/>
  <c r="O2694" i="30" s="1"/>
  <c r="N2694" i="30"/>
  <c r="M2694" i="30"/>
  <c r="L2694" i="30"/>
  <c r="I2694" i="30"/>
  <c r="O2693" i="30" a="1"/>
  <c r="O2693" i="30" s="1"/>
  <c r="N2693" i="30"/>
  <c r="M2693" i="30"/>
  <c r="L2693" i="30"/>
  <c r="I2693" i="30"/>
  <c r="O2692" i="30" a="1"/>
  <c r="O2692" i="30" s="1"/>
  <c r="N2692" i="30"/>
  <c r="M2692" i="30"/>
  <c r="L2692" i="30"/>
  <c r="I2692" i="30"/>
  <c r="O2691" i="30" a="1"/>
  <c r="O2691" i="30" s="1"/>
  <c r="N2691" i="30"/>
  <c r="M2691" i="30"/>
  <c r="L2691" i="30"/>
  <c r="I2691" i="30"/>
  <c r="O2690" i="30" a="1"/>
  <c r="O2690" i="30" s="1"/>
  <c r="N2690" i="30"/>
  <c r="M2690" i="30"/>
  <c r="L2690" i="30"/>
  <c r="I2690" i="30"/>
  <c r="O2689" i="30" a="1"/>
  <c r="O2689" i="30" s="1"/>
  <c r="N2689" i="30"/>
  <c r="M2689" i="30"/>
  <c r="L2689" i="30"/>
  <c r="I2689" i="30"/>
  <c r="O2688" i="30" a="1"/>
  <c r="O2688" i="30" s="1"/>
  <c r="N2688" i="30"/>
  <c r="M2688" i="30"/>
  <c r="L2688" i="30"/>
  <c r="I2688" i="30"/>
  <c r="O2687" i="30" a="1"/>
  <c r="O2687" i="30" s="1"/>
  <c r="N2687" i="30"/>
  <c r="M2687" i="30"/>
  <c r="L2687" i="30"/>
  <c r="I2687" i="30"/>
  <c r="O2686" i="30" a="1"/>
  <c r="O2686" i="30" s="1"/>
  <c r="N2686" i="30"/>
  <c r="M2686" i="30"/>
  <c r="L2686" i="30"/>
  <c r="I2686" i="30"/>
  <c r="O2685" i="30" a="1"/>
  <c r="O2685" i="30" s="1"/>
  <c r="N2685" i="30"/>
  <c r="M2685" i="30"/>
  <c r="L2685" i="30"/>
  <c r="I2685" i="30"/>
  <c r="O2684" i="30" a="1"/>
  <c r="O2684" i="30" s="1"/>
  <c r="N2684" i="30"/>
  <c r="M2684" i="30"/>
  <c r="L2684" i="30"/>
  <c r="I2684" i="30"/>
  <c r="O2683" i="30" a="1"/>
  <c r="O2683" i="30" s="1"/>
  <c r="N2683" i="30"/>
  <c r="M2683" i="30"/>
  <c r="L2683" i="30"/>
  <c r="I2683" i="30"/>
  <c r="O2682" i="30" a="1"/>
  <c r="O2682" i="30" s="1"/>
  <c r="N2682" i="30"/>
  <c r="M2682" i="30"/>
  <c r="L2682" i="30"/>
  <c r="I2682" i="30"/>
  <c r="O2681" i="30" a="1"/>
  <c r="O2681" i="30" s="1"/>
  <c r="N2681" i="30"/>
  <c r="M2681" i="30"/>
  <c r="L2681" i="30"/>
  <c r="I2681" i="30"/>
  <c r="O2680" i="30" a="1"/>
  <c r="O2680" i="30" s="1"/>
  <c r="N2680" i="30"/>
  <c r="M2680" i="30"/>
  <c r="L2680" i="30"/>
  <c r="I2680" i="30"/>
  <c r="O2679" i="30" a="1"/>
  <c r="O2679" i="30" s="1"/>
  <c r="N2679" i="30"/>
  <c r="M2679" i="30"/>
  <c r="L2679" i="30"/>
  <c r="I2679" i="30"/>
  <c r="O2678" i="30" a="1"/>
  <c r="O2678" i="30" s="1"/>
  <c r="N2678" i="30"/>
  <c r="M2678" i="30"/>
  <c r="L2678" i="30"/>
  <c r="I2678" i="30"/>
  <c r="O2677" i="30" a="1"/>
  <c r="O2677" i="30" s="1"/>
  <c r="N2677" i="30"/>
  <c r="M2677" i="30"/>
  <c r="L2677" i="30"/>
  <c r="I2677" i="30"/>
  <c r="O2676" i="30" a="1"/>
  <c r="O2676" i="30" s="1"/>
  <c r="N2676" i="30"/>
  <c r="M2676" i="30"/>
  <c r="L2676" i="30"/>
  <c r="I2676" i="30"/>
  <c r="O2675" i="30" a="1"/>
  <c r="O2675" i="30" s="1"/>
  <c r="N2675" i="30"/>
  <c r="M2675" i="30"/>
  <c r="L2675" i="30"/>
  <c r="I2675" i="30"/>
  <c r="O2674" i="30" a="1"/>
  <c r="O2674" i="30" s="1"/>
  <c r="N2674" i="30"/>
  <c r="M2674" i="30"/>
  <c r="L2674" i="30"/>
  <c r="I2674" i="30"/>
  <c r="O2673" i="30" a="1"/>
  <c r="O2673" i="30" s="1"/>
  <c r="N2673" i="30"/>
  <c r="M2673" i="30"/>
  <c r="L2673" i="30"/>
  <c r="I2673" i="30"/>
  <c r="O2672" i="30" a="1"/>
  <c r="O2672" i="30" s="1"/>
  <c r="N2672" i="30"/>
  <c r="M2672" i="30"/>
  <c r="L2672" i="30"/>
  <c r="I2672" i="30"/>
  <c r="O2671" i="30" a="1"/>
  <c r="O2671" i="30" s="1"/>
  <c r="N2671" i="30"/>
  <c r="M2671" i="30"/>
  <c r="L2671" i="30"/>
  <c r="I2671" i="30"/>
  <c r="O2670" i="30" a="1"/>
  <c r="O2670" i="30" s="1"/>
  <c r="N2670" i="30"/>
  <c r="M2670" i="30"/>
  <c r="L2670" i="30"/>
  <c r="I2670" i="30"/>
  <c r="O2669" i="30" a="1"/>
  <c r="O2669" i="30" s="1"/>
  <c r="N2669" i="30"/>
  <c r="M2669" i="30"/>
  <c r="L2669" i="30"/>
  <c r="I2669" i="30"/>
  <c r="O2668" i="30" a="1"/>
  <c r="O2668" i="30" s="1"/>
  <c r="N2668" i="30"/>
  <c r="M2668" i="30"/>
  <c r="L2668" i="30"/>
  <c r="I2668" i="30"/>
  <c r="O2667" i="30" a="1"/>
  <c r="O2667" i="30" s="1"/>
  <c r="N2667" i="30"/>
  <c r="M2667" i="30"/>
  <c r="L2667" i="30"/>
  <c r="I2667" i="30"/>
  <c r="O2666" i="30" a="1"/>
  <c r="O2666" i="30" s="1"/>
  <c r="N2666" i="30"/>
  <c r="M2666" i="30"/>
  <c r="L2666" i="30"/>
  <c r="I2666" i="30"/>
  <c r="O2665" i="30" a="1"/>
  <c r="O2665" i="30" s="1"/>
  <c r="N2665" i="30"/>
  <c r="M2665" i="30"/>
  <c r="L2665" i="30"/>
  <c r="I2665" i="30"/>
  <c r="O2664" i="30" a="1"/>
  <c r="O2664" i="30" s="1"/>
  <c r="N2664" i="30"/>
  <c r="M2664" i="30"/>
  <c r="L2664" i="30"/>
  <c r="I2664" i="30"/>
  <c r="O2663" i="30" a="1"/>
  <c r="O2663" i="30" s="1"/>
  <c r="N2663" i="30"/>
  <c r="M2663" i="30"/>
  <c r="L2663" i="30"/>
  <c r="I2663" i="30"/>
  <c r="O2662" i="30" a="1"/>
  <c r="O2662" i="30" s="1"/>
  <c r="N2662" i="30"/>
  <c r="M2662" i="30"/>
  <c r="L2662" i="30"/>
  <c r="I2662" i="30"/>
  <c r="O2661" i="30" a="1"/>
  <c r="O2661" i="30" s="1"/>
  <c r="N2661" i="30"/>
  <c r="M2661" i="30"/>
  <c r="L2661" i="30"/>
  <c r="I2661" i="30"/>
  <c r="O2660" i="30" a="1"/>
  <c r="O2660" i="30" s="1"/>
  <c r="N2660" i="30"/>
  <c r="M2660" i="30"/>
  <c r="L2660" i="30"/>
  <c r="I2660" i="30"/>
  <c r="O2659" i="30" a="1"/>
  <c r="O2659" i="30" s="1"/>
  <c r="N2659" i="30"/>
  <c r="M2659" i="30"/>
  <c r="L2659" i="30"/>
  <c r="I2659" i="30"/>
  <c r="O2658" i="30" a="1"/>
  <c r="O2658" i="30" s="1"/>
  <c r="N2658" i="30"/>
  <c r="M2658" i="30"/>
  <c r="L2658" i="30"/>
  <c r="I2658" i="30"/>
  <c r="O2657" i="30" a="1"/>
  <c r="O2657" i="30" s="1"/>
  <c r="N2657" i="30"/>
  <c r="M2657" i="30"/>
  <c r="L2657" i="30"/>
  <c r="I2657" i="30"/>
  <c r="O2656" i="30" a="1"/>
  <c r="O2656" i="30" s="1"/>
  <c r="N2656" i="30"/>
  <c r="M2656" i="30"/>
  <c r="L2656" i="30"/>
  <c r="I2656" i="30"/>
  <c r="O2655" i="30" a="1"/>
  <c r="O2655" i="30" s="1"/>
  <c r="N2655" i="30"/>
  <c r="M2655" i="30"/>
  <c r="L2655" i="30"/>
  <c r="I2655" i="30"/>
  <c r="O2654" i="30" a="1"/>
  <c r="O2654" i="30" s="1"/>
  <c r="N2654" i="30"/>
  <c r="M2654" i="30"/>
  <c r="L2654" i="30"/>
  <c r="I2654" i="30"/>
  <c r="O2653" i="30" a="1"/>
  <c r="O2653" i="30" s="1"/>
  <c r="N2653" i="30"/>
  <c r="M2653" i="30"/>
  <c r="L2653" i="30"/>
  <c r="I2653" i="30"/>
  <c r="O2652" i="30" a="1"/>
  <c r="O2652" i="30" s="1"/>
  <c r="N2652" i="30"/>
  <c r="M2652" i="30"/>
  <c r="L2652" i="30"/>
  <c r="I2652" i="30"/>
  <c r="O2651" i="30" a="1"/>
  <c r="O2651" i="30" s="1"/>
  <c r="N2651" i="30"/>
  <c r="M2651" i="30"/>
  <c r="L2651" i="30"/>
  <c r="I2651" i="30"/>
  <c r="O2650" i="30" a="1"/>
  <c r="O2650" i="30" s="1"/>
  <c r="N2650" i="30"/>
  <c r="M2650" i="30"/>
  <c r="L2650" i="30"/>
  <c r="I2650" i="30"/>
  <c r="O2649" i="30" a="1"/>
  <c r="O2649" i="30" s="1"/>
  <c r="N2649" i="30"/>
  <c r="M2649" i="30"/>
  <c r="L2649" i="30"/>
  <c r="I2649" i="30"/>
  <c r="O2648" i="30" a="1"/>
  <c r="O2648" i="30" s="1"/>
  <c r="N2648" i="30"/>
  <c r="M2648" i="30"/>
  <c r="L2648" i="30"/>
  <c r="I2648" i="30"/>
  <c r="O2647" i="30" a="1"/>
  <c r="O2647" i="30" s="1"/>
  <c r="N2647" i="30"/>
  <c r="M2647" i="30"/>
  <c r="L2647" i="30"/>
  <c r="I2647" i="30"/>
  <c r="O2646" i="30" a="1"/>
  <c r="O2646" i="30" s="1"/>
  <c r="N2646" i="30"/>
  <c r="M2646" i="30"/>
  <c r="L2646" i="30"/>
  <c r="I2646" i="30"/>
  <c r="O2645" i="30" a="1"/>
  <c r="O2645" i="30" s="1"/>
  <c r="N2645" i="30"/>
  <c r="M2645" i="30"/>
  <c r="L2645" i="30"/>
  <c r="I2645" i="30"/>
  <c r="O2644" i="30" a="1"/>
  <c r="O2644" i="30" s="1"/>
  <c r="N2644" i="30"/>
  <c r="M2644" i="30"/>
  <c r="L2644" i="30"/>
  <c r="I2644" i="30"/>
  <c r="O2643" i="30" a="1"/>
  <c r="O2643" i="30" s="1"/>
  <c r="N2643" i="30"/>
  <c r="M2643" i="30"/>
  <c r="L2643" i="30"/>
  <c r="I2643" i="30"/>
  <c r="O2642" i="30" a="1"/>
  <c r="O2642" i="30" s="1"/>
  <c r="N2642" i="30"/>
  <c r="M2642" i="30"/>
  <c r="L2642" i="30"/>
  <c r="I2642" i="30"/>
  <c r="O2641" i="30" a="1"/>
  <c r="O2641" i="30" s="1"/>
  <c r="N2641" i="30"/>
  <c r="M2641" i="30"/>
  <c r="L2641" i="30"/>
  <c r="I2641" i="30"/>
  <c r="O2640" i="30" a="1"/>
  <c r="O2640" i="30" s="1"/>
  <c r="N2640" i="30"/>
  <c r="M2640" i="30"/>
  <c r="L2640" i="30"/>
  <c r="I2640" i="30"/>
  <c r="O2639" i="30" a="1"/>
  <c r="O2639" i="30" s="1"/>
  <c r="N2639" i="30"/>
  <c r="M2639" i="30"/>
  <c r="L2639" i="30"/>
  <c r="I2639" i="30"/>
  <c r="O2638" i="30" a="1"/>
  <c r="O2638" i="30" s="1"/>
  <c r="N2638" i="30"/>
  <c r="M2638" i="30"/>
  <c r="L2638" i="30"/>
  <c r="I2638" i="30"/>
  <c r="O2637" i="30" a="1"/>
  <c r="O2637" i="30" s="1"/>
  <c r="N2637" i="30"/>
  <c r="M2637" i="30"/>
  <c r="L2637" i="30"/>
  <c r="I2637" i="30"/>
  <c r="O2636" i="30" a="1"/>
  <c r="O2636" i="30" s="1"/>
  <c r="N2636" i="30"/>
  <c r="M2636" i="30"/>
  <c r="L2636" i="30"/>
  <c r="I2636" i="30"/>
  <c r="O2635" i="30" a="1"/>
  <c r="O2635" i="30" s="1"/>
  <c r="N2635" i="30"/>
  <c r="M2635" i="30"/>
  <c r="L2635" i="30"/>
  <c r="I2635" i="30"/>
  <c r="O2634" i="30" a="1"/>
  <c r="O2634" i="30" s="1"/>
  <c r="N2634" i="30"/>
  <c r="M2634" i="30"/>
  <c r="L2634" i="30"/>
  <c r="I2634" i="30"/>
  <c r="O2633" i="30" a="1"/>
  <c r="O2633" i="30" s="1"/>
  <c r="N2633" i="30"/>
  <c r="M2633" i="30"/>
  <c r="L2633" i="30"/>
  <c r="I2633" i="30"/>
  <c r="O2632" i="30" a="1"/>
  <c r="O2632" i="30" s="1"/>
  <c r="N2632" i="30"/>
  <c r="M2632" i="30"/>
  <c r="L2632" i="30"/>
  <c r="I2632" i="30"/>
  <c r="O2631" i="30" a="1"/>
  <c r="O2631" i="30" s="1"/>
  <c r="N2631" i="30"/>
  <c r="M2631" i="30"/>
  <c r="L2631" i="30"/>
  <c r="I2631" i="30"/>
  <c r="O2630" i="30" a="1"/>
  <c r="O2630" i="30" s="1"/>
  <c r="N2630" i="30"/>
  <c r="M2630" i="30"/>
  <c r="L2630" i="30"/>
  <c r="I2630" i="30"/>
  <c r="O2629" i="30" a="1"/>
  <c r="O2629" i="30" s="1"/>
  <c r="N2629" i="30"/>
  <c r="M2629" i="30"/>
  <c r="L2629" i="30"/>
  <c r="I2629" i="30"/>
  <c r="O2628" i="30" a="1"/>
  <c r="O2628" i="30" s="1"/>
  <c r="N2628" i="30"/>
  <c r="M2628" i="30"/>
  <c r="L2628" i="30"/>
  <c r="I2628" i="30"/>
  <c r="O2627" i="30" a="1"/>
  <c r="O2627" i="30" s="1"/>
  <c r="N2627" i="30"/>
  <c r="M2627" i="30"/>
  <c r="L2627" i="30"/>
  <c r="I2627" i="30"/>
  <c r="O2626" i="30" a="1"/>
  <c r="O2626" i="30" s="1"/>
  <c r="N2626" i="30"/>
  <c r="M2626" i="30"/>
  <c r="L2626" i="30"/>
  <c r="I2626" i="30"/>
  <c r="O2625" i="30" a="1"/>
  <c r="O2625" i="30" s="1"/>
  <c r="N2625" i="30"/>
  <c r="M2625" i="30"/>
  <c r="L2625" i="30"/>
  <c r="I2625" i="30"/>
  <c r="O2624" i="30" a="1"/>
  <c r="O2624" i="30" s="1"/>
  <c r="N2624" i="30"/>
  <c r="M2624" i="30"/>
  <c r="L2624" i="30"/>
  <c r="I2624" i="30"/>
  <c r="O2623" i="30" a="1"/>
  <c r="O2623" i="30" s="1"/>
  <c r="N2623" i="30"/>
  <c r="M2623" i="30"/>
  <c r="L2623" i="30"/>
  <c r="I2623" i="30"/>
  <c r="O2622" i="30" a="1"/>
  <c r="O2622" i="30" s="1"/>
  <c r="N2622" i="30"/>
  <c r="M2622" i="30"/>
  <c r="L2622" i="30"/>
  <c r="I2622" i="30"/>
  <c r="O2621" i="30" a="1"/>
  <c r="O2621" i="30" s="1"/>
  <c r="N2621" i="30"/>
  <c r="M2621" i="30"/>
  <c r="L2621" i="30"/>
  <c r="I2621" i="30"/>
  <c r="O2620" i="30" a="1"/>
  <c r="O2620" i="30" s="1"/>
  <c r="N2620" i="30"/>
  <c r="M2620" i="30"/>
  <c r="L2620" i="30"/>
  <c r="I2620" i="30"/>
  <c r="O2619" i="30" a="1"/>
  <c r="O2619" i="30" s="1"/>
  <c r="N2619" i="30"/>
  <c r="M2619" i="30"/>
  <c r="L2619" i="30"/>
  <c r="I2619" i="30"/>
  <c r="O2618" i="30" a="1"/>
  <c r="O2618" i="30" s="1"/>
  <c r="N2618" i="30"/>
  <c r="M2618" i="30"/>
  <c r="L2618" i="30"/>
  <c r="I2618" i="30"/>
  <c r="O2617" i="30" a="1"/>
  <c r="O2617" i="30" s="1"/>
  <c r="N2617" i="30"/>
  <c r="M2617" i="30"/>
  <c r="L2617" i="30"/>
  <c r="I2617" i="30"/>
  <c r="O2616" i="30" a="1"/>
  <c r="O2616" i="30" s="1"/>
  <c r="N2616" i="30"/>
  <c r="M2616" i="30"/>
  <c r="L2616" i="30"/>
  <c r="I2616" i="30"/>
  <c r="O2615" i="30" a="1"/>
  <c r="O2615" i="30" s="1"/>
  <c r="N2615" i="30"/>
  <c r="M2615" i="30"/>
  <c r="L2615" i="30"/>
  <c r="I2615" i="30"/>
  <c r="O2614" i="30" a="1"/>
  <c r="O2614" i="30" s="1"/>
  <c r="N2614" i="30"/>
  <c r="M2614" i="30"/>
  <c r="L2614" i="30"/>
  <c r="I2614" i="30"/>
  <c r="O2613" i="30" a="1"/>
  <c r="O2613" i="30" s="1"/>
  <c r="N2613" i="30"/>
  <c r="M2613" i="30"/>
  <c r="L2613" i="30"/>
  <c r="I2613" i="30"/>
  <c r="O2612" i="30" a="1"/>
  <c r="O2612" i="30" s="1"/>
  <c r="N2612" i="30"/>
  <c r="M2612" i="30"/>
  <c r="L2612" i="30"/>
  <c r="I2612" i="30"/>
  <c r="O2611" i="30" a="1"/>
  <c r="O2611" i="30" s="1"/>
  <c r="N2611" i="30"/>
  <c r="M2611" i="30"/>
  <c r="L2611" i="30"/>
  <c r="I2611" i="30"/>
  <c r="O2610" i="30" a="1"/>
  <c r="O2610" i="30" s="1"/>
  <c r="N2610" i="30"/>
  <c r="M2610" i="30"/>
  <c r="L2610" i="30"/>
  <c r="I2610" i="30"/>
  <c r="O2609" i="30" a="1"/>
  <c r="O2609" i="30" s="1"/>
  <c r="N2609" i="30"/>
  <c r="M2609" i="30"/>
  <c r="L2609" i="30"/>
  <c r="I2609" i="30"/>
  <c r="O2608" i="30" a="1"/>
  <c r="O2608" i="30" s="1"/>
  <c r="N2608" i="30"/>
  <c r="M2608" i="30"/>
  <c r="L2608" i="30"/>
  <c r="I2608" i="30"/>
  <c r="O2607" i="30" a="1"/>
  <c r="O2607" i="30" s="1"/>
  <c r="N2607" i="30"/>
  <c r="M2607" i="30"/>
  <c r="L2607" i="30"/>
  <c r="I2607" i="30"/>
  <c r="O2606" i="30" a="1"/>
  <c r="O2606" i="30" s="1"/>
  <c r="N2606" i="30"/>
  <c r="M2606" i="30"/>
  <c r="L2606" i="30"/>
  <c r="I2606" i="30"/>
  <c r="O2605" i="30" a="1"/>
  <c r="O2605" i="30" s="1"/>
  <c r="N2605" i="30"/>
  <c r="M2605" i="30"/>
  <c r="L2605" i="30"/>
  <c r="I2605" i="30"/>
  <c r="O2604" i="30" a="1"/>
  <c r="O2604" i="30" s="1"/>
  <c r="N2604" i="30"/>
  <c r="M2604" i="30"/>
  <c r="L2604" i="30"/>
  <c r="I2604" i="30"/>
  <c r="O2603" i="30" a="1"/>
  <c r="O2603" i="30" s="1"/>
  <c r="N2603" i="30"/>
  <c r="M2603" i="30"/>
  <c r="L2603" i="30"/>
  <c r="I2603" i="30"/>
  <c r="O2602" i="30" a="1"/>
  <c r="O2602" i="30" s="1"/>
  <c r="N2602" i="30"/>
  <c r="M2602" i="30"/>
  <c r="L2602" i="30"/>
  <c r="I2602" i="30"/>
  <c r="O2601" i="30" a="1"/>
  <c r="O2601" i="30" s="1"/>
  <c r="N2601" i="30"/>
  <c r="M2601" i="30"/>
  <c r="L2601" i="30"/>
  <c r="I2601" i="30"/>
  <c r="O2600" i="30" a="1"/>
  <c r="O2600" i="30" s="1"/>
  <c r="N2600" i="30"/>
  <c r="M2600" i="30"/>
  <c r="L2600" i="30"/>
  <c r="I2600" i="30"/>
  <c r="O2599" i="30" a="1"/>
  <c r="O2599" i="30" s="1"/>
  <c r="N2599" i="30"/>
  <c r="M2599" i="30"/>
  <c r="L2599" i="30"/>
  <c r="I2599" i="30"/>
  <c r="O2598" i="30" a="1"/>
  <c r="O2598" i="30" s="1"/>
  <c r="N2598" i="30"/>
  <c r="M2598" i="30"/>
  <c r="L2598" i="30"/>
  <c r="I2598" i="30"/>
  <c r="O2597" i="30" a="1"/>
  <c r="O2597" i="30" s="1"/>
  <c r="N2597" i="30"/>
  <c r="M2597" i="30"/>
  <c r="L2597" i="30"/>
  <c r="I2597" i="30"/>
  <c r="O2596" i="30" a="1"/>
  <c r="O2596" i="30" s="1"/>
  <c r="N2596" i="30"/>
  <c r="M2596" i="30"/>
  <c r="L2596" i="30"/>
  <c r="I2596" i="30"/>
  <c r="O2595" i="30" a="1"/>
  <c r="O2595" i="30" s="1"/>
  <c r="N2595" i="30"/>
  <c r="M2595" i="30"/>
  <c r="L2595" i="30"/>
  <c r="I2595" i="30"/>
  <c r="O2594" i="30" a="1"/>
  <c r="O2594" i="30" s="1"/>
  <c r="N2594" i="30"/>
  <c r="M2594" i="30"/>
  <c r="L2594" i="30"/>
  <c r="I2594" i="30"/>
  <c r="O2593" i="30" a="1"/>
  <c r="O2593" i="30" s="1"/>
  <c r="N2593" i="30"/>
  <c r="M2593" i="30"/>
  <c r="L2593" i="30"/>
  <c r="I2593" i="30"/>
  <c r="O2592" i="30" a="1"/>
  <c r="O2592" i="30" s="1"/>
  <c r="N2592" i="30"/>
  <c r="M2592" i="30"/>
  <c r="L2592" i="30"/>
  <c r="I2592" i="30"/>
  <c r="O2591" i="30" a="1"/>
  <c r="O2591" i="30" s="1"/>
  <c r="N2591" i="30"/>
  <c r="M2591" i="30"/>
  <c r="L2591" i="30"/>
  <c r="I2591" i="30"/>
  <c r="O2590" i="30" a="1"/>
  <c r="O2590" i="30" s="1"/>
  <c r="N2590" i="30"/>
  <c r="M2590" i="30"/>
  <c r="L2590" i="30"/>
  <c r="I2590" i="30"/>
  <c r="O2589" i="30" a="1"/>
  <c r="O2589" i="30" s="1"/>
  <c r="N2589" i="30"/>
  <c r="M2589" i="30"/>
  <c r="L2589" i="30"/>
  <c r="I2589" i="30"/>
  <c r="O2588" i="30" a="1"/>
  <c r="O2588" i="30" s="1"/>
  <c r="N2588" i="30"/>
  <c r="M2588" i="30"/>
  <c r="L2588" i="30"/>
  <c r="I2588" i="30"/>
  <c r="O2587" i="30" a="1"/>
  <c r="O2587" i="30" s="1"/>
  <c r="N2587" i="30"/>
  <c r="M2587" i="30"/>
  <c r="L2587" i="30"/>
  <c r="I2587" i="30"/>
  <c r="O2586" i="30" a="1"/>
  <c r="O2586" i="30" s="1"/>
  <c r="N2586" i="30"/>
  <c r="M2586" i="30"/>
  <c r="L2586" i="30"/>
  <c r="I2586" i="30"/>
  <c r="O2585" i="30" a="1"/>
  <c r="O2585" i="30" s="1"/>
  <c r="N2585" i="30"/>
  <c r="M2585" i="30"/>
  <c r="L2585" i="30"/>
  <c r="I2585" i="30"/>
  <c r="O2584" i="30" a="1"/>
  <c r="O2584" i="30" s="1"/>
  <c r="N2584" i="30"/>
  <c r="M2584" i="30"/>
  <c r="L2584" i="30"/>
  <c r="I2584" i="30"/>
  <c r="O2583" i="30" a="1"/>
  <c r="O2583" i="30" s="1"/>
  <c r="N2583" i="30"/>
  <c r="M2583" i="30"/>
  <c r="L2583" i="30"/>
  <c r="I2583" i="30"/>
  <c r="O2582" i="30" a="1"/>
  <c r="O2582" i="30" s="1"/>
  <c r="N2582" i="30"/>
  <c r="M2582" i="30"/>
  <c r="L2582" i="30"/>
  <c r="I2582" i="30"/>
  <c r="O2581" i="30" a="1"/>
  <c r="O2581" i="30" s="1"/>
  <c r="N2581" i="30"/>
  <c r="M2581" i="30"/>
  <c r="L2581" i="30"/>
  <c r="I2581" i="30"/>
  <c r="O2580" i="30" a="1"/>
  <c r="O2580" i="30" s="1"/>
  <c r="N2580" i="30"/>
  <c r="M2580" i="30"/>
  <c r="L2580" i="30"/>
  <c r="I2580" i="30"/>
  <c r="O2579" i="30" a="1"/>
  <c r="O2579" i="30" s="1"/>
  <c r="N2579" i="30"/>
  <c r="M2579" i="30"/>
  <c r="L2579" i="30"/>
  <c r="I2579" i="30"/>
  <c r="O2578" i="30" a="1"/>
  <c r="O2578" i="30" s="1"/>
  <c r="N2578" i="30"/>
  <c r="M2578" i="30"/>
  <c r="L2578" i="30"/>
  <c r="I2578" i="30"/>
  <c r="O2577" i="30" a="1"/>
  <c r="O2577" i="30" s="1"/>
  <c r="N2577" i="30"/>
  <c r="M2577" i="30"/>
  <c r="L2577" i="30"/>
  <c r="I2577" i="30"/>
  <c r="O2576" i="30" a="1"/>
  <c r="O2576" i="30" s="1"/>
  <c r="N2576" i="30"/>
  <c r="M2576" i="30"/>
  <c r="L2576" i="30"/>
  <c r="I2576" i="30"/>
  <c r="O2575" i="30" a="1"/>
  <c r="O2575" i="30" s="1"/>
  <c r="N2575" i="30"/>
  <c r="M2575" i="30"/>
  <c r="L2575" i="30"/>
  <c r="I2575" i="30"/>
  <c r="O2574" i="30" a="1"/>
  <c r="O2574" i="30" s="1"/>
  <c r="N2574" i="30"/>
  <c r="M2574" i="30"/>
  <c r="L2574" i="30"/>
  <c r="I2574" i="30"/>
  <c r="O2573" i="30" a="1"/>
  <c r="O2573" i="30" s="1"/>
  <c r="N2573" i="30"/>
  <c r="M2573" i="30"/>
  <c r="L2573" i="30"/>
  <c r="I2573" i="30"/>
  <c r="O2572" i="30" a="1"/>
  <c r="O2572" i="30" s="1"/>
  <c r="N2572" i="30"/>
  <c r="M2572" i="30"/>
  <c r="L2572" i="30"/>
  <c r="I2572" i="30"/>
  <c r="O2571" i="30" a="1"/>
  <c r="O2571" i="30" s="1"/>
  <c r="N2571" i="30"/>
  <c r="M2571" i="30"/>
  <c r="L2571" i="30"/>
  <c r="I2571" i="30"/>
  <c r="O2570" i="30" a="1"/>
  <c r="O2570" i="30" s="1"/>
  <c r="N2570" i="30"/>
  <c r="M2570" i="30"/>
  <c r="L2570" i="30"/>
  <c r="I2570" i="30"/>
  <c r="O2569" i="30" a="1"/>
  <c r="O2569" i="30" s="1"/>
  <c r="N2569" i="30"/>
  <c r="M2569" i="30"/>
  <c r="L2569" i="30"/>
  <c r="I2569" i="30"/>
  <c r="O2568" i="30" a="1"/>
  <c r="O2568" i="30" s="1"/>
  <c r="N2568" i="30"/>
  <c r="M2568" i="30"/>
  <c r="L2568" i="30"/>
  <c r="I2568" i="30"/>
  <c r="O2567" i="30" a="1"/>
  <c r="O2567" i="30" s="1"/>
  <c r="N2567" i="30"/>
  <c r="M2567" i="30"/>
  <c r="L2567" i="30"/>
  <c r="I2567" i="30"/>
  <c r="O2566" i="30" a="1"/>
  <c r="O2566" i="30" s="1"/>
  <c r="N2566" i="30"/>
  <c r="M2566" i="30"/>
  <c r="L2566" i="30"/>
  <c r="I2566" i="30"/>
  <c r="O2565" i="30" a="1"/>
  <c r="O2565" i="30" s="1"/>
  <c r="N2565" i="30"/>
  <c r="M2565" i="30"/>
  <c r="L2565" i="30"/>
  <c r="I2565" i="30"/>
  <c r="O2564" i="30" a="1"/>
  <c r="O2564" i="30" s="1"/>
  <c r="N2564" i="30"/>
  <c r="M2564" i="30"/>
  <c r="L2564" i="30"/>
  <c r="I2564" i="30"/>
  <c r="O2563" i="30" a="1"/>
  <c r="O2563" i="30" s="1"/>
  <c r="N2563" i="30"/>
  <c r="M2563" i="30"/>
  <c r="L2563" i="30"/>
  <c r="I2563" i="30"/>
  <c r="O2562" i="30" a="1"/>
  <c r="O2562" i="30" s="1"/>
  <c r="N2562" i="30"/>
  <c r="M2562" i="30"/>
  <c r="L2562" i="30"/>
  <c r="I2562" i="30"/>
  <c r="O2561" i="30" a="1"/>
  <c r="O2561" i="30" s="1"/>
  <c r="N2561" i="30"/>
  <c r="M2561" i="30"/>
  <c r="L2561" i="30"/>
  <c r="I2561" i="30"/>
  <c r="O2560" i="30" a="1"/>
  <c r="O2560" i="30" s="1"/>
  <c r="N2560" i="30"/>
  <c r="M2560" i="30"/>
  <c r="L2560" i="30"/>
  <c r="I2560" i="30"/>
  <c r="O2559" i="30" a="1"/>
  <c r="O2559" i="30" s="1"/>
  <c r="N2559" i="30"/>
  <c r="M2559" i="30"/>
  <c r="L2559" i="30"/>
  <c r="I2559" i="30"/>
  <c r="O2558" i="30" a="1"/>
  <c r="O2558" i="30" s="1"/>
  <c r="N2558" i="30"/>
  <c r="M2558" i="30"/>
  <c r="L2558" i="30"/>
  <c r="I2558" i="30"/>
  <c r="O2557" i="30" a="1"/>
  <c r="O2557" i="30" s="1"/>
  <c r="N2557" i="30"/>
  <c r="M2557" i="30"/>
  <c r="L2557" i="30"/>
  <c r="I2557" i="30"/>
  <c r="O2556" i="30" a="1"/>
  <c r="O2556" i="30" s="1"/>
  <c r="N2556" i="30"/>
  <c r="M2556" i="30"/>
  <c r="L2556" i="30"/>
  <c r="I2556" i="30"/>
  <c r="O2555" i="30" a="1"/>
  <c r="O2555" i="30" s="1"/>
  <c r="N2555" i="30"/>
  <c r="M2555" i="30"/>
  <c r="L2555" i="30"/>
  <c r="I2555" i="30"/>
  <c r="O2554" i="30" a="1"/>
  <c r="O2554" i="30" s="1"/>
  <c r="N2554" i="30"/>
  <c r="M2554" i="30"/>
  <c r="L2554" i="30"/>
  <c r="I2554" i="30"/>
  <c r="O2553" i="30" a="1"/>
  <c r="O2553" i="30" s="1"/>
  <c r="N2553" i="30"/>
  <c r="M2553" i="30"/>
  <c r="L2553" i="30"/>
  <c r="I2553" i="30"/>
  <c r="O2552" i="30" a="1"/>
  <c r="O2552" i="30" s="1"/>
  <c r="N2552" i="30"/>
  <c r="M2552" i="30"/>
  <c r="L2552" i="30"/>
  <c r="I2552" i="30"/>
  <c r="O2551" i="30" a="1"/>
  <c r="O2551" i="30" s="1"/>
  <c r="N2551" i="30"/>
  <c r="M2551" i="30"/>
  <c r="L2551" i="30"/>
  <c r="I2551" i="30"/>
  <c r="O2550" i="30" a="1"/>
  <c r="O2550" i="30" s="1"/>
  <c r="N2550" i="30"/>
  <c r="M2550" i="30"/>
  <c r="L2550" i="30"/>
  <c r="I2550" i="30"/>
  <c r="O2549" i="30" a="1"/>
  <c r="O2549" i="30" s="1"/>
  <c r="N2549" i="30"/>
  <c r="M2549" i="30"/>
  <c r="L2549" i="30"/>
  <c r="I2549" i="30"/>
  <c r="O2548" i="30" a="1"/>
  <c r="O2548" i="30" s="1"/>
  <c r="N2548" i="30"/>
  <c r="M2548" i="30"/>
  <c r="L2548" i="30"/>
  <c r="I2548" i="30"/>
  <c r="O2547" i="30" a="1"/>
  <c r="O2547" i="30" s="1"/>
  <c r="N2547" i="30"/>
  <c r="M2547" i="30"/>
  <c r="L2547" i="30"/>
  <c r="I2547" i="30"/>
  <c r="O2546" i="30" a="1"/>
  <c r="O2546" i="30" s="1"/>
  <c r="N2546" i="30"/>
  <c r="M2546" i="30"/>
  <c r="L2546" i="30"/>
  <c r="I2546" i="30"/>
  <c r="O2545" i="30" a="1"/>
  <c r="O2545" i="30" s="1"/>
  <c r="N2545" i="30"/>
  <c r="M2545" i="30"/>
  <c r="L2545" i="30"/>
  <c r="I2545" i="30"/>
  <c r="O2544" i="30" a="1"/>
  <c r="O2544" i="30" s="1"/>
  <c r="N2544" i="30"/>
  <c r="M2544" i="30"/>
  <c r="L2544" i="30"/>
  <c r="I2544" i="30"/>
  <c r="O2543" i="30" a="1"/>
  <c r="O2543" i="30" s="1"/>
  <c r="N2543" i="30"/>
  <c r="M2543" i="30"/>
  <c r="L2543" i="30"/>
  <c r="I2543" i="30"/>
  <c r="O2542" i="30" a="1"/>
  <c r="O2542" i="30" s="1"/>
  <c r="N2542" i="30"/>
  <c r="M2542" i="30"/>
  <c r="L2542" i="30"/>
  <c r="I2542" i="30"/>
  <c r="O2541" i="30" a="1"/>
  <c r="O2541" i="30" s="1"/>
  <c r="N2541" i="30"/>
  <c r="M2541" i="30"/>
  <c r="L2541" i="30"/>
  <c r="I2541" i="30"/>
  <c r="O2540" i="30" a="1"/>
  <c r="O2540" i="30" s="1"/>
  <c r="N2540" i="30"/>
  <c r="M2540" i="30"/>
  <c r="L2540" i="30"/>
  <c r="I2540" i="30"/>
  <c r="O2539" i="30" a="1"/>
  <c r="O2539" i="30" s="1"/>
  <c r="N2539" i="30"/>
  <c r="M2539" i="30"/>
  <c r="L2539" i="30"/>
  <c r="I2539" i="30"/>
  <c r="O2538" i="30" a="1"/>
  <c r="O2538" i="30" s="1"/>
  <c r="N2538" i="30"/>
  <c r="M2538" i="30"/>
  <c r="L2538" i="30"/>
  <c r="I2538" i="30"/>
  <c r="O2537" i="30" a="1"/>
  <c r="O2537" i="30" s="1"/>
  <c r="N2537" i="30"/>
  <c r="M2537" i="30"/>
  <c r="L2537" i="30"/>
  <c r="I2537" i="30"/>
  <c r="O2536" i="30" a="1"/>
  <c r="O2536" i="30" s="1"/>
  <c r="N2536" i="30"/>
  <c r="M2536" i="30"/>
  <c r="L2536" i="30"/>
  <c r="I2536" i="30"/>
  <c r="O2535" i="30" a="1"/>
  <c r="O2535" i="30" s="1"/>
  <c r="N2535" i="30"/>
  <c r="M2535" i="30"/>
  <c r="L2535" i="30"/>
  <c r="I2535" i="30"/>
  <c r="O2534" i="30" a="1"/>
  <c r="O2534" i="30" s="1"/>
  <c r="N2534" i="30"/>
  <c r="M2534" i="30"/>
  <c r="L2534" i="30"/>
  <c r="I2534" i="30"/>
  <c r="O2533" i="30" a="1"/>
  <c r="O2533" i="30" s="1"/>
  <c r="N2533" i="30"/>
  <c r="M2533" i="30"/>
  <c r="L2533" i="30"/>
  <c r="I2533" i="30"/>
  <c r="O2532" i="30" a="1"/>
  <c r="O2532" i="30" s="1"/>
  <c r="N2532" i="30"/>
  <c r="M2532" i="30"/>
  <c r="L2532" i="30"/>
  <c r="I2532" i="30"/>
  <c r="O2531" i="30" a="1"/>
  <c r="O2531" i="30" s="1"/>
  <c r="N2531" i="30"/>
  <c r="M2531" i="30"/>
  <c r="L2531" i="30"/>
  <c r="I2531" i="30"/>
  <c r="O2530" i="30" a="1"/>
  <c r="O2530" i="30" s="1"/>
  <c r="N2530" i="30"/>
  <c r="M2530" i="30"/>
  <c r="L2530" i="30"/>
  <c r="I2530" i="30"/>
  <c r="O2529" i="30" a="1"/>
  <c r="O2529" i="30" s="1"/>
  <c r="N2529" i="30"/>
  <c r="M2529" i="30"/>
  <c r="L2529" i="30"/>
  <c r="I2529" i="30"/>
  <c r="O2528" i="30" a="1"/>
  <c r="O2528" i="30" s="1"/>
  <c r="N2528" i="30"/>
  <c r="M2528" i="30"/>
  <c r="L2528" i="30"/>
  <c r="I2528" i="30"/>
  <c r="O2527" i="30" a="1"/>
  <c r="O2527" i="30" s="1"/>
  <c r="N2527" i="30"/>
  <c r="M2527" i="30"/>
  <c r="L2527" i="30"/>
  <c r="I2527" i="30"/>
  <c r="O2526" i="30" a="1"/>
  <c r="O2526" i="30" s="1"/>
  <c r="N2526" i="30"/>
  <c r="M2526" i="30"/>
  <c r="L2526" i="30"/>
  <c r="I2526" i="30"/>
  <c r="O2525" i="30" a="1"/>
  <c r="O2525" i="30" s="1"/>
  <c r="N2525" i="30"/>
  <c r="M2525" i="30"/>
  <c r="L2525" i="30"/>
  <c r="I2525" i="30"/>
  <c r="O2524" i="30" a="1"/>
  <c r="O2524" i="30" s="1"/>
  <c r="N2524" i="30"/>
  <c r="M2524" i="30"/>
  <c r="L2524" i="30"/>
  <c r="I2524" i="30"/>
  <c r="O2523" i="30" a="1"/>
  <c r="O2523" i="30" s="1"/>
  <c r="N2523" i="30"/>
  <c r="M2523" i="30"/>
  <c r="L2523" i="30"/>
  <c r="I2523" i="30"/>
  <c r="O2522" i="30" a="1"/>
  <c r="O2522" i="30" s="1"/>
  <c r="N2522" i="30"/>
  <c r="M2522" i="30"/>
  <c r="L2522" i="30"/>
  <c r="I2522" i="30"/>
  <c r="O2521" i="30" a="1"/>
  <c r="O2521" i="30" s="1"/>
  <c r="N2521" i="30"/>
  <c r="M2521" i="30"/>
  <c r="L2521" i="30"/>
  <c r="I2521" i="30"/>
  <c r="O2520" i="30" a="1"/>
  <c r="O2520" i="30" s="1"/>
  <c r="N2520" i="30"/>
  <c r="M2520" i="30"/>
  <c r="L2520" i="30"/>
  <c r="I2520" i="30"/>
  <c r="O2519" i="30" a="1"/>
  <c r="O2519" i="30" s="1"/>
  <c r="N2519" i="30"/>
  <c r="M2519" i="30"/>
  <c r="L2519" i="30"/>
  <c r="I2519" i="30"/>
  <c r="O2518" i="30" a="1"/>
  <c r="O2518" i="30" s="1"/>
  <c r="N2518" i="30"/>
  <c r="M2518" i="30"/>
  <c r="L2518" i="30"/>
  <c r="I2518" i="30"/>
  <c r="O2517" i="30" a="1"/>
  <c r="O2517" i="30" s="1"/>
  <c r="N2517" i="30"/>
  <c r="M2517" i="30"/>
  <c r="L2517" i="30"/>
  <c r="I2517" i="30"/>
  <c r="O2516" i="30" a="1"/>
  <c r="O2516" i="30" s="1"/>
  <c r="N2516" i="30"/>
  <c r="M2516" i="30"/>
  <c r="L2516" i="30"/>
  <c r="I2516" i="30"/>
  <c r="O2515" i="30" a="1"/>
  <c r="O2515" i="30" s="1"/>
  <c r="N2515" i="30"/>
  <c r="M2515" i="30"/>
  <c r="L2515" i="30"/>
  <c r="I2515" i="30"/>
  <c r="O2514" i="30" a="1"/>
  <c r="O2514" i="30" s="1"/>
  <c r="N2514" i="30"/>
  <c r="M2514" i="30"/>
  <c r="L2514" i="30"/>
  <c r="I2514" i="30"/>
  <c r="O2513" i="30" a="1"/>
  <c r="O2513" i="30" s="1"/>
  <c r="N2513" i="30"/>
  <c r="M2513" i="30"/>
  <c r="L2513" i="30"/>
  <c r="I2513" i="30"/>
  <c r="O2512" i="30" a="1"/>
  <c r="O2512" i="30" s="1"/>
  <c r="N2512" i="30"/>
  <c r="M2512" i="30"/>
  <c r="L2512" i="30"/>
  <c r="I2512" i="30"/>
  <c r="O2511" i="30" a="1"/>
  <c r="O2511" i="30" s="1"/>
  <c r="N2511" i="30"/>
  <c r="M2511" i="30"/>
  <c r="L2511" i="30"/>
  <c r="I2511" i="30"/>
  <c r="O2510" i="30" a="1"/>
  <c r="O2510" i="30" s="1"/>
  <c r="N2510" i="30"/>
  <c r="M2510" i="30"/>
  <c r="L2510" i="30"/>
  <c r="I2510" i="30"/>
  <c r="O2509" i="30" a="1"/>
  <c r="O2509" i="30" s="1"/>
  <c r="N2509" i="30"/>
  <c r="M2509" i="30"/>
  <c r="L2509" i="30"/>
  <c r="I2509" i="30"/>
  <c r="O2508" i="30" a="1"/>
  <c r="O2508" i="30" s="1"/>
  <c r="N2508" i="30"/>
  <c r="M2508" i="30"/>
  <c r="L2508" i="30"/>
  <c r="I2508" i="30"/>
  <c r="O2507" i="30" a="1"/>
  <c r="O2507" i="30" s="1"/>
  <c r="N2507" i="30"/>
  <c r="M2507" i="30"/>
  <c r="L2507" i="30"/>
  <c r="I2507" i="30"/>
  <c r="O2506" i="30" a="1"/>
  <c r="O2506" i="30" s="1"/>
  <c r="N2506" i="30"/>
  <c r="M2506" i="30"/>
  <c r="L2506" i="30"/>
  <c r="I2506" i="30"/>
  <c r="O2505" i="30" a="1"/>
  <c r="O2505" i="30" s="1"/>
  <c r="N2505" i="30"/>
  <c r="M2505" i="30"/>
  <c r="L2505" i="30"/>
  <c r="I2505" i="30"/>
  <c r="O2504" i="30" a="1"/>
  <c r="O2504" i="30" s="1"/>
  <c r="N2504" i="30"/>
  <c r="M2504" i="30"/>
  <c r="L2504" i="30"/>
  <c r="I2504" i="30"/>
  <c r="O2503" i="30" a="1"/>
  <c r="O2503" i="30" s="1"/>
  <c r="N2503" i="30"/>
  <c r="M2503" i="30"/>
  <c r="L2503" i="30"/>
  <c r="I2503" i="30"/>
  <c r="O2502" i="30" a="1"/>
  <c r="O2502" i="30" s="1"/>
  <c r="N2502" i="30"/>
  <c r="M2502" i="30"/>
  <c r="L2502" i="30"/>
  <c r="I2502" i="30"/>
  <c r="O2501" i="30" a="1"/>
  <c r="O2501" i="30" s="1"/>
  <c r="N2501" i="30"/>
  <c r="M2501" i="30"/>
  <c r="L2501" i="30"/>
  <c r="I2501" i="30"/>
  <c r="O2500" i="30" a="1"/>
  <c r="O2500" i="30" s="1"/>
  <c r="N2500" i="30"/>
  <c r="M2500" i="30"/>
  <c r="L2500" i="30"/>
  <c r="I2500" i="30"/>
  <c r="O2499" i="30" a="1"/>
  <c r="O2499" i="30" s="1"/>
  <c r="N2499" i="30"/>
  <c r="M2499" i="30"/>
  <c r="L2499" i="30"/>
  <c r="I2499" i="30"/>
  <c r="O2498" i="30" a="1"/>
  <c r="O2498" i="30" s="1"/>
  <c r="N2498" i="30"/>
  <c r="M2498" i="30"/>
  <c r="L2498" i="30"/>
  <c r="I2498" i="30"/>
  <c r="O2497" i="30" a="1"/>
  <c r="O2497" i="30" s="1"/>
  <c r="N2497" i="30"/>
  <c r="M2497" i="30"/>
  <c r="L2497" i="30"/>
  <c r="I2497" i="30"/>
  <c r="O2496" i="30" a="1"/>
  <c r="O2496" i="30" s="1"/>
  <c r="N2496" i="30"/>
  <c r="M2496" i="30"/>
  <c r="L2496" i="30"/>
  <c r="I2496" i="30"/>
  <c r="O2495" i="30" a="1"/>
  <c r="O2495" i="30" s="1"/>
  <c r="N2495" i="30"/>
  <c r="M2495" i="30"/>
  <c r="L2495" i="30"/>
  <c r="I2495" i="30"/>
  <c r="O2494" i="30" a="1"/>
  <c r="O2494" i="30" s="1"/>
  <c r="N2494" i="30"/>
  <c r="M2494" i="30"/>
  <c r="L2494" i="30"/>
  <c r="I2494" i="30"/>
  <c r="O2493" i="30" a="1"/>
  <c r="O2493" i="30" s="1"/>
  <c r="N2493" i="30"/>
  <c r="M2493" i="30"/>
  <c r="L2493" i="30"/>
  <c r="I2493" i="30"/>
  <c r="O2492" i="30" a="1"/>
  <c r="O2492" i="30" s="1"/>
  <c r="N2492" i="30"/>
  <c r="M2492" i="30"/>
  <c r="L2492" i="30"/>
  <c r="I2492" i="30"/>
  <c r="O2491" i="30" a="1"/>
  <c r="O2491" i="30" s="1"/>
  <c r="N2491" i="30"/>
  <c r="M2491" i="30"/>
  <c r="L2491" i="30"/>
  <c r="I2491" i="30"/>
  <c r="O2490" i="30" a="1"/>
  <c r="O2490" i="30" s="1"/>
  <c r="N2490" i="30"/>
  <c r="M2490" i="30"/>
  <c r="L2490" i="30"/>
  <c r="I2490" i="30"/>
  <c r="O2489" i="30" a="1"/>
  <c r="O2489" i="30" s="1"/>
  <c r="N2489" i="30"/>
  <c r="M2489" i="30"/>
  <c r="L2489" i="30"/>
  <c r="I2489" i="30"/>
  <c r="O2488" i="30" a="1"/>
  <c r="O2488" i="30" s="1"/>
  <c r="N2488" i="30"/>
  <c r="M2488" i="30"/>
  <c r="L2488" i="30"/>
  <c r="I2488" i="30"/>
  <c r="O2487" i="30" a="1"/>
  <c r="O2487" i="30" s="1"/>
  <c r="N2487" i="30"/>
  <c r="M2487" i="30"/>
  <c r="L2487" i="30"/>
  <c r="I2487" i="30"/>
  <c r="O2486" i="30" a="1"/>
  <c r="O2486" i="30" s="1"/>
  <c r="N2486" i="30"/>
  <c r="M2486" i="30"/>
  <c r="L2486" i="30"/>
  <c r="I2486" i="30"/>
  <c r="O2485" i="30" a="1"/>
  <c r="O2485" i="30" s="1"/>
  <c r="N2485" i="30"/>
  <c r="M2485" i="30"/>
  <c r="L2485" i="30"/>
  <c r="I2485" i="30"/>
  <c r="O2484" i="30" a="1"/>
  <c r="O2484" i="30" s="1"/>
  <c r="N2484" i="30"/>
  <c r="M2484" i="30"/>
  <c r="L2484" i="30"/>
  <c r="I2484" i="30"/>
  <c r="O2483" i="30" a="1"/>
  <c r="O2483" i="30" s="1"/>
  <c r="N2483" i="30"/>
  <c r="M2483" i="30"/>
  <c r="L2483" i="30"/>
  <c r="I2483" i="30"/>
  <c r="O2482" i="30" a="1"/>
  <c r="O2482" i="30" s="1"/>
  <c r="N2482" i="30"/>
  <c r="M2482" i="30"/>
  <c r="L2482" i="30"/>
  <c r="I2482" i="30"/>
  <c r="O2481" i="30" a="1"/>
  <c r="O2481" i="30" s="1"/>
  <c r="N2481" i="30"/>
  <c r="M2481" i="30"/>
  <c r="L2481" i="30"/>
  <c r="I2481" i="30"/>
  <c r="O2480" i="30" a="1"/>
  <c r="O2480" i="30" s="1"/>
  <c r="N2480" i="30"/>
  <c r="M2480" i="30"/>
  <c r="L2480" i="30"/>
  <c r="I2480" i="30"/>
  <c r="O2479" i="30" a="1"/>
  <c r="O2479" i="30" s="1"/>
  <c r="N2479" i="30"/>
  <c r="M2479" i="30"/>
  <c r="L2479" i="30"/>
  <c r="I2479" i="30"/>
  <c r="O2478" i="30" a="1"/>
  <c r="O2478" i="30" s="1"/>
  <c r="N2478" i="30"/>
  <c r="M2478" i="30"/>
  <c r="L2478" i="30"/>
  <c r="I2478" i="30"/>
  <c r="O2477" i="30" a="1"/>
  <c r="O2477" i="30" s="1"/>
  <c r="N2477" i="30"/>
  <c r="M2477" i="30"/>
  <c r="L2477" i="30"/>
  <c r="I2477" i="30"/>
  <c r="O2476" i="30" a="1"/>
  <c r="O2476" i="30" s="1"/>
  <c r="N2476" i="30"/>
  <c r="M2476" i="30"/>
  <c r="L2476" i="30"/>
  <c r="I2476" i="30"/>
  <c r="O2475" i="30" a="1"/>
  <c r="O2475" i="30" s="1"/>
  <c r="N2475" i="30"/>
  <c r="M2475" i="30"/>
  <c r="L2475" i="30"/>
  <c r="I2475" i="30"/>
  <c r="O2474" i="30" a="1"/>
  <c r="O2474" i="30" s="1"/>
  <c r="N2474" i="30"/>
  <c r="M2474" i="30"/>
  <c r="L2474" i="30"/>
  <c r="I2474" i="30"/>
  <c r="O2473" i="30" a="1"/>
  <c r="O2473" i="30" s="1"/>
  <c r="N2473" i="30"/>
  <c r="M2473" i="30"/>
  <c r="L2473" i="30"/>
  <c r="I2473" i="30"/>
  <c r="O2472" i="30" a="1"/>
  <c r="O2472" i="30" s="1"/>
  <c r="N2472" i="30"/>
  <c r="M2472" i="30"/>
  <c r="L2472" i="30"/>
  <c r="I2472" i="30"/>
  <c r="O2471" i="30" a="1"/>
  <c r="O2471" i="30" s="1"/>
  <c r="N2471" i="30"/>
  <c r="M2471" i="30"/>
  <c r="L2471" i="30"/>
  <c r="I2471" i="30"/>
  <c r="O2470" i="30" a="1"/>
  <c r="O2470" i="30" s="1"/>
  <c r="N2470" i="30"/>
  <c r="M2470" i="30"/>
  <c r="L2470" i="30"/>
  <c r="I2470" i="30"/>
  <c r="O2469" i="30" a="1"/>
  <c r="O2469" i="30" s="1"/>
  <c r="N2469" i="30"/>
  <c r="M2469" i="30"/>
  <c r="L2469" i="30"/>
  <c r="I2469" i="30"/>
  <c r="O2468" i="30" a="1"/>
  <c r="O2468" i="30" s="1"/>
  <c r="N2468" i="30"/>
  <c r="M2468" i="30"/>
  <c r="L2468" i="30"/>
  <c r="I2468" i="30"/>
  <c r="O2467" i="30" a="1"/>
  <c r="O2467" i="30" s="1"/>
  <c r="N2467" i="30"/>
  <c r="M2467" i="30"/>
  <c r="L2467" i="30"/>
  <c r="I2467" i="30"/>
  <c r="O2466" i="30" a="1"/>
  <c r="O2466" i="30" s="1"/>
  <c r="N2466" i="30"/>
  <c r="M2466" i="30"/>
  <c r="L2466" i="30"/>
  <c r="I2466" i="30"/>
  <c r="O2465" i="30" a="1"/>
  <c r="O2465" i="30" s="1"/>
  <c r="N2465" i="30"/>
  <c r="M2465" i="30"/>
  <c r="L2465" i="30"/>
  <c r="I2465" i="30"/>
  <c r="O2464" i="30" a="1"/>
  <c r="O2464" i="30" s="1"/>
  <c r="N2464" i="30"/>
  <c r="M2464" i="30"/>
  <c r="L2464" i="30"/>
  <c r="I2464" i="30"/>
  <c r="O2463" i="30" a="1"/>
  <c r="O2463" i="30" s="1"/>
  <c r="N2463" i="30"/>
  <c r="M2463" i="30"/>
  <c r="L2463" i="30"/>
  <c r="I2463" i="30"/>
  <c r="O2462" i="30" a="1"/>
  <c r="O2462" i="30" s="1"/>
  <c r="N2462" i="30"/>
  <c r="M2462" i="30"/>
  <c r="L2462" i="30"/>
  <c r="I2462" i="30"/>
  <c r="O2461" i="30" a="1"/>
  <c r="O2461" i="30" s="1"/>
  <c r="N2461" i="30"/>
  <c r="M2461" i="30"/>
  <c r="L2461" i="30"/>
  <c r="I2461" i="30"/>
  <c r="O2460" i="30" a="1"/>
  <c r="O2460" i="30" s="1"/>
  <c r="N2460" i="30"/>
  <c r="M2460" i="30"/>
  <c r="L2460" i="30"/>
  <c r="I2460" i="30"/>
  <c r="O2459" i="30" a="1"/>
  <c r="O2459" i="30" s="1"/>
  <c r="N2459" i="30"/>
  <c r="M2459" i="30"/>
  <c r="L2459" i="30"/>
  <c r="I2459" i="30"/>
  <c r="O2458" i="30" a="1"/>
  <c r="O2458" i="30" s="1"/>
  <c r="N2458" i="30"/>
  <c r="M2458" i="30"/>
  <c r="L2458" i="30"/>
  <c r="I2458" i="30"/>
  <c r="O2457" i="30" a="1"/>
  <c r="O2457" i="30" s="1"/>
  <c r="N2457" i="30"/>
  <c r="M2457" i="30"/>
  <c r="L2457" i="30"/>
  <c r="I2457" i="30"/>
  <c r="O2456" i="30" a="1"/>
  <c r="O2456" i="30" s="1"/>
  <c r="N2456" i="30"/>
  <c r="M2456" i="30"/>
  <c r="L2456" i="30"/>
  <c r="I2456" i="30"/>
  <c r="O2455" i="30" a="1"/>
  <c r="O2455" i="30" s="1"/>
  <c r="N2455" i="30"/>
  <c r="M2455" i="30"/>
  <c r="L2455" i="30"/>
  <c r="I2455" i="30"/>
  <c r="O2454" i="30" a="1"/>
  <c r="O2454" i="30" s="1"/>
  <c r="N2454" i="30"/>
  <c r="M2454" i="30"/>
  <c r="L2454" i="30"/>
  <c r="I2454" i="30"/>
  <c r="O2453" i="30" a="1"/>
  <c r="O2453" i="30" s="1"/>
  <c r="N2453" i="30"/>
  <c r="M2453" i="30"/>
  <c r="L2453" i="30"/>
  <c r="I2453" i="30"/>
  <c r="O2452" i="30" a="1"/>
  <c r="O2452" i="30" s="1"/>
  <c r="N2452" i="30"/>
  <c r="M2452" i="30"/>
  <c r="L2452" i="30"/>
  <c r="I2452" i="30"/>
  <c r="O2451" i="30" a="1"/>
  <c r="O2451" i="30" s="1"/>
  <c r="N2451" i="30"/>
  <c r="M2451" i="30"/>
  <c r="L2451" i="30"/>
  <c r="I2451" i="30"/>
  <c r="O2450" i="30" a="1"/>
  <c r="O2450" i="30" s="1"/>
  <c r="N2450" i="30"/>
  <c r="M2450" i="30"/>
  <c r="L2450" i="30"/>
  <c r="I2450" i="30"/>
  <c r="O2449" i="30" a="1"/>
  <c r="O2449" i="30" s="1"/>
  <c r="N2449" i="30"/>
  <c r="M2449" i="30"/>
  <c r="L2449" i="30"/>
  <c r="I2449" i="30"/>
  <c r="O2448" i="30" a="1"/>
  <c r="O2448" i="30" s="1"/>
  <c r="N2448" i="30"/>
  <c r="M2448" i="30"/>
  <c r="L2448" i="30"/>
  <c r="I2448" i="30"/>
  <c r="O2447" i="30" a="1"/>
  <c r="O2447" i="30" s="1"/>
  <c r="N2447" i="30"/>
  <c r="M2447" i="30"/>
  <c r="L2447" i="30"/>
  <c r="I2447" i="30"/>
  <c r="O2446" i="30" a="1"/>
  <c r="O2446" i="30" s="1"/>
  <c r="N2446" i="30"/>
  <c r="M2446" i="30"/>
  <c r="L2446" i="30"/>
  <c r="I2446" i="30"/>
  <c r="O2445" i="30" a="1"/>
  <c r="O2445" i="30" s="1"/>
  <c r="N2445" i="30"/>
  <c r="M2445" i="30"/>
  <c r="L2445" i="30"/>
  <c r="I2445" i="30"/>
  <c r="O2444" i="30" a="1"/>
  <c r="O2444" i="30" s="1"/>
  <c r="N2444" i="30"/>
  <c r="M2444" i="30"/>
  <c r="L2444" i="30"/>
  <c r="I2444" i="30"/>
  <c r="O2443" i="30" a="1"/>
  <c r="O2443" i="30" s="1"/>
  <c r="N2443" i="30"/>
  <c r="M2443" i="30"/>
  <c r="L2443" i="30"/>
  <c r="I2443" i="30"/>
  <c r="O2442" i="30" a="1"/>
  <c r="O2442" i="30" s="1"/>
  <c r="N2442" i="30"/>
  <c r="M2442" i="30"/>
  <c r="L2442" i="30"/>
  <c r="I2442" i="30"/>
  <c r="O2441" i="30" a="1"/>
  <c r="O2441" i="30" s="1"/>
  <c r="N2441" i="30"/>
  <c r="M2441" i="30"/>
  <c r="L2441" i="30"/>
  <c r="I2441" i="30"/>
  <c r="O2440" i="30" a="1"/>
  <c r="O2440" i="30" s="1"/>
  <c r="N2440" i="30"/>
  <c r="M2440" i="30"/>
  <c r="L2440" i="30"/>
  <c r="I2440" i="30"/>
  <c r="O2439" i="30" a="1"/>
  <c r="O2439" i="30" s="1"/>
  <c r="N2439" i="30"/>
  <c r="M2439" i="30"/>
  <c r="L2439" i="30"/>
  <c r="I2439" i="30"/>
  <c r="O2438" i="30" a="1"/>
  <c r="O2438" i="30" s="1"/>
  <c r="N2438" i="30"/>
  <c r="M2438" i="30"/>
  <c r="L2438" i="30"/>
  <c r="I2438" i="30"/>
  <c r="O2437" i="30" a="1"/>
  <c r="O2437" i="30" s="1"/>
  <c r="N2437" i="30"/>
  <c r="M2437" i="30"/>
  <c r="L2437" i="30"/>
  <c r="I2437" i="30"/>
  <c r="O2436" i="30" a="1"/>
  <c r="O2436" i="30" s="1"/>
  <c r="N2436" i="30"/>
  <c r="M2436" i="30"/>
  <c r="L2436" i="30"/>
  <c r="I2436" i="30"/>
  <c r="O2435" i="30" a="1"/>
  <c r="O2435" i="30" s="1"/>
  <c r="N2435" i="30"/>
  <c r="M2435" i="30"/>
  <c r="L2435" i="30"/>
  <c r="I2435" i="30"/>
  <c r="O2434" i="30" a="1"/>
  <c r="O2434" i="30" s="1"/>
  <c r="N2434" i="30"/>
  <c r="M2434" i="30"/>
  <c r="L2434" i="30"/>
  <c r="I2434" i="30"/>
  <c r="O2433" i="30" a="1"/>
  <c r="O2433" i="30" s="1"/>
  <c r="N2433" i="30"/>
  <c r="M2433" i="30"/>
  <c r="L2433" i="30"/>
  <c r="I2433" i="30"/>
  <c r="O2432" i="30" a="1"/>
  <c r="O2432" i="30" s="1"/>
  <c r="N2432" i="30"/>
  <c r="M2432" i="30"/>
  <c r="L2432" i="30"/>
  <c r="I2432" i="30"/>
  <c r="O2431" i="30" a="1"/>
  <c r="O2431" i="30" s="1"/>
  <c r="N2431" i="30"/>
  <c r="M2431" i="30"/>
  <c r="L2431" i="30"/>
  <c r="I2431" i="30"/>
  <c r="O2430" i="30" a="1"/>
  <c r="O2430" i="30" s="1"/>
  <c r="N2430" i="30"/>
  <c r="M2430" i="30"/>
  <c r="L2430" i="30"/>
  <c r="I2430" i="30"/>
  <c r="O2429" i="30" a="1"/>
  <c r="O2429" i="30" s="1"/>
  <c r="N2429" i="30"/>
  <c r="M2429" i="30"/>
  <c r="L2429" i="30"/>
  <c r="I2429" i="30"/>
  <c r="O2428" i="30" a="1"/>
  <c r="O2428" i="30" s="1"/>
  <c r="N2428" i="30"/>
  <c r="M2428" i="30"/>
  <c r="L2428" i="30"/>
  <c r="I2428" i="30"/>
  <c r="O2427" i="30" a="1"/>
  <c r="O2427" i="30" s="1"/>
  <c r="N2427" i="30"/>
  <c r="M2427" i="30"/>
  <c r="L2427" i="30"/>
  <c r="I2427" i="30"/>
  <c r="O2426" i="30" a="1"/>
  <c r="O2426" i="30" s="1"/>
  <c r="N2426" i="30"/>
  <c r="M2426" i="30"/>
  <c r="L2426" i="30"/>
  <c r="I2426" i="30"/>
  <c r="O2425" i="30" a="1"/>
  <c r="O2425" i="30" s="1"/>
  <c r="N2425" i="30"/>
  <c r="M2425" i="30"/>
  <c r="L2425" i="30"/>
  <c r="I2425" i="30"/>
  <c r="O2424" i="30" a="1"/>
  <c r="O2424" i="30" s="1"/>
  <c r="N2424" i="30"/>
  <c r="M2424" i="30"/>
  <c r="L2424" i="30"/>
  <c r="I2424" i="30"/>
  <c r="O2423" i="30" a="1"/>
  <c r="O2423" i="30" s="1"/>
  <c r="N2423" i="30"/>
  <c r="M2423" i="30"/>
  <c r="L2423" i="30"/>
  <c r="I2423" i="30"/>
  <c r="O2422" i="30" a="1"/>
  <c r="O2422" i="30" s="1"/>
  <c r="N2422" i="30"/>
  <c r="M2422" i="30"/>
  <c r="L2422" i="30"/>
  <c r="I2422" i="30"/>
  <c r="O2421" i="30" a="1"/>
  <c r="O2421" i="30" s="1"/>
  <c r="N2421" i="30"/>
  <c r="M2421" i="30"/>
  <c r="L2421" i="30"/>
  <c r="I2421" i="30"/>
  <c r="O2420" i="30" a="1"/>
  <c r="O2420" i="30" s="1"/>
  <c r="N2420" i="30"/>
  <c r="M2420" i="30"/>
  <c r="L2420" i="30"/>
  <c r="I2420" i="30"/>
  <c r="O2419" i="30" a="1"/>
  <c r="O2419" i="30" s="1"/>
  <c r="N2419" i="30"/>
  <c r="M2419" i="30"/>
  <c r="L2419" i="30"/>
  <c r="I2419" i="30"/>
  <c r="O2418" i="30" a="1"/>
  <c r="O2418" i="30" s="1"/>
  <c r="N2418" i="30"/>
  <c r="M2418" i="30"/>
  <c r="L2418" i="30"/>
  <c r="I2418" i="30"/>
  <c r="O2417" i="30" a="1"/>
  <c r="O2417" i="30" s="1"/>
  <c r="N2417" i="30"/>
  <c r="M2417" i="30"/>
  <c r="L2417" i="30"/>
  <c r="I2417" i="30"/>
  <c r="O2416" i="30" a="1"/>
  <c r="O2416" i="30" s="1"/>
  <c r="N2416" i="30"/>
  <c r="M2416" i="30"/>
  <c r="L2416" i="30"/>
  <c r="I2416" i="30"/>
  <c r="O2415" i="30" a="1"/>
  <c r="O2415" i="30" s="1"/>
  <c r="N2415" i="30"/>
  <c r="M2415" i="30"/>
  <c r="L2415" i="30"/>
  <c r="I2415" i="30"/>
  <c r="O2414" i="30" a="1"/>
  <c r="O2414" i="30" s="1"/>
  <c r="N2414" i="30"/>
  <c r="M2414" i="30"/>
  <c r="L2414" i="30"/>
  <c r="I2414" i="30"/>
  <c r="O2413" i="30" a="1"/>
  <c r="O2413" i="30" s="1"/>
  <c r="N2413" i="30"/>
  <c r="M2413" i="30"/>
  <c r="L2413" i="30"/>
  <c r="I2413" i="30"/>
  <c r="O2412" i="30" a="1"/>
  <c r="O2412" i="30" s="1"/>
  <c r="N2412" i="30"/>
  <c r="M2412" i="30"/>
  <c r="L2412" i="30"/>
  <c r="I2412" i="30"/>
  <c r="O2411" i="30" a="1"/>
  <c r="O2411" i="30" s="1"/>
  <c r="N2411" i="30"/>
  <c r="M2411" i="30"/>
  <c r="L2411" i="30"/>
  <c r="I2411" i="30"/>
  <c r="O2410" i="30" a="1"/>
  <c r="O2410" i="30" s="1"/>
  <c r="N2410" i="30"/>
  <c r="M2410" i="30"/>
  <c r="L2410" i="30"/>
  <c r="I2410" i="30"/>
  <c r="O2409" i="30" a="1"/>
  <c r="O2409" i="30" s="1"/>
  <c r="N2409" i="30"/>
  <c r="M2409" i="30"/>
  <c r="L2409" i="30"/>
  <c r="I2409" i="30"/>
  <c r="O2408" i="30" a="1"/>
  <c r="O2408" i="30" s="1"/>
  <c r="N2408" i="30"/>
  <c r="M2408" i="30"/>
  <c r="L2408" i="30"/>
  <c r="I2408" i="30"/>
  <c r="O2407" i="30" a="1"/>
  <c r="O2407" i="30" s="1"/>
  <c r="N2407" i="30"/>
  <c r="M2407" i="30"/>
  <c r="L2407" i="30"/>
  <c r="I2407" i="30"/>
  <c r="O2406" i="30" a="1"/>
  <c r="O2406" i="30" s="1"/>
  <c r="N2406" i="30"/>
  <c r="M2406" i="30"/>
  <c r="L2406" i="30"/>
  <c r="I2406" i="30"/>
  <c r="O2405" i="30" a="1"/>
  <c r="O2405" i="30" s="1"/>
  <c r="N2405" i="30"/>
  <c r="M2405" i="30"/>
  <c r="L2405" i="30"/>
  <c r="I2405" i="30"/>
  <c r="O2404" i="30" a="1"/>
  <c r="O2404" i="30" s="1"/>
  <c r="N2404" i="30"/>
  <c r="M2404" i="30"/>
  <c r="L2404" i="30"/>
  <c r="I2404" i="30"/>
  <c r="O2403" i="30" a="1"/>
  <c r="O2403" i="30" s="1"/>
  <c r="N2403" i="30"/>
  <c r="M2403" i="30"/>
  <c r="L2403" i="30"/>
  <c r="I2403" i="30"/>
  <c r="O2402" i="30" a="1"/>
  <c r="O2402" i="30" s="1"/>
  <c r="N2402" i="30"/>
  <c r="M2402" i="30"/>
  <c r="L2402" i="30"/>
  <c r="I2402" i="30"/>
  <c r="O2401" i="30" a="1"/>
  <c r="O2401" i="30" s="1"/>
  <c r="N2401" i="30"/>
  <c r="M2401" i="30"/>
  <c r="L2401" i="30"/>
  <c r="I2401" i="30"/>
  <c r="O2400" i="30" a="1"/>
  <c r="O2400" i="30" s="1"/>
  <c r="N2400" i="30"/>
  <c r="M2400" i="30"/>
  <c r="L2400" i="30"/>
  <c r="I2400" i="30"/>
  <c r="O2399" i="30" a="1"/>
  <c r="O2399" i="30" s="1"/>
  <c r="N2399" i="30"/>
  <c r="M2399" i="30"/>
  <c r="L2399" i="30"/>
  <c r="I2399" i="30"/>
  <c r="O2398" i="30" a="1"/>
  <c r="O2398" i="30" s="1"/>
  <c r="N2398" i="30"/>
  <c r="M2398" i="30"/>
  <c r="L2398" i="30"/>
  <c r="I2398" i="30"/>
  <c r="O2397" i="30" a="1"/>
  <c r="O2397" i="30" s="1"/>
  <c r="N2397" i="30"/>
  <c r="M2397" i="30"/>
  <c r="L2397" i="30"/>
  <c r="I2397" i="30"/>
  <c r="O2396" i="30" a="1"/>
  <c r="O2396" i="30" s="1"/>
  <c r="N2396" i="30"/>
  <c r="M2396" i="30"/>
  <c r="L2396" i="30"/>
  <c r="I2396" i="30"/>
  <c r="O2395" i="30" a="1"/>
  <c r="O2395" i="30" s="1"/>
  <c r="N2395" i="30"/>
  <c r="M2395" i="30"/>
  <c r="L2395" i="30"/>
  <c r="I2395" i="30"/>
  <c r="O2394" i="30" a="1"/>
  <c r="O2394" i="30" s="1"/>
  <c r="N2394" i="30"/>
  <c r="M2394" i="30"/>
  <c r="L2394" i="30"/>
  <c r="I2394" i="30"/>
  <c r="O2393" i="30" a="1"/>
  <c r="O2393" i="30" s="1"/>
  <c r="N2393" i="30"/>
  <c r="M2393" i="30"/>
  <c r="L2393" i="30"/>
  <c r="I2393" i="30"/>
  <c r="O2392" i="30" a="1"/>
  <c r="O2392" i="30" s="1"/>
  <c r="N2392" i="30"/>
  <c r="M2392" i="30"/>
  <c r="L2392" i="30"/>
  <c r="I2392" i="30"/>
  <c r="O2391" i="30" a="1"/>
  <c r="O2391" i="30" s="1"/>
  <c r="N2391" i="30"/>
  <c r="M2391" i="30"/>
  <c r="L2391" i="30"/>
  <c r="I2391" i="30"/>
  <c r="O2390" i="30" a="1"/>
  <c r="O2390" i="30" s="1"/>
  <c r="N2390" i="30"/>
  <c r="M2390" i="30"/>
  <c r="L2390" i="30"/>
  <c r="I2390" i="30"/>
  <c r="O2389" i="30" a="1"/>
  <c r="O2389" i="30" s="1"/>
  <c r="N2389" i="30"/>
  <c r="M2389" i="30"/>
  <c r="L2389" i="30"/>
  <c r="I2389" i="30"/>
  <c r="O2388" i="30" a="1"/>
  <c r="O2388" i="30" s="1"/>
  <c r="N2388" i="30"/>
  <c r="M2388" i="30"/>
  <c r="L2388" i="30"/>
  <c r="I2388" i="30"/>
  <c r="O2387" i="30" a="1"/>
  <c r="O2387" i="30" s="1"/>
  <c r="N2387" i="30"/>
  <c r="M2387" i="30"/>
  <c r="L2387" i="30"/>
  <c r="I2387" i="30"/>
  <c r="O2386" i="30" a="1"/>
  <c r="O2386" i="30" s="1"/>
  <c r="N2386" i="30"/>
  <c r="M2386" i="30"/>
  <c r="L2386" i="30"/>
  <c r="I2386" i="30"/>
  <c r="O2385" i="30" a="1"/>
  <c r="O2385" i="30" s="1"/>
  <c r="N2385" i="30"/>
  <c r="M2385" i="30"/>
  <c r="L2385" i="30"/>
  <c r="I2385" i="30"/>
  <c r="O2384" i="30" a="1"/>
  <c r="O2384" i="30" s="1"/>
  <c r="N2384" i="30"/>
  <c r="M2384" i="30"/>
  <c r="L2384" i="30"/>
  <c r="I2384" i="30"/>
  <c r="O2383" i="30" a="1"/>
  <c r="O2383" i="30" s="1"/>
  <c r="N2383" i="30"/>
  <c r="M2383" i="30"/>
  <c r="L2383" i="30"/>
  <c r="I2383" i="30"/>
  <c r="O2382" i="30" a="1"/>
  <c r="O2382" i="30" s="1"/>
  <c r="N2382" i="30"/>
  <c r="M2382" i="30"/>
  <c r="L2382" i="30"/>
  <c r="I2382" i="30"/>
  <c r="O2381" i="30" a="1"/>
  <c r="O2381" i="30" s="1"/>
  <c r="N2381" i="30"/>
  <c r="M2381" i="30"/>
  <c r="L2381" i="30"/>
  <c r="I2381" i="30"/>
  <c r="O2380" i="30" a="1"/>
  <c r="O2380" i="30" s="1"/>
  <c r="N2380" i="30"/>
  <c r="M2380" i="30"/>
  <c r="L2380" i="30"/>
  <c r="I2380" i="30"/>
  <c r="O2379" i="30" a="1"/>
  <c r="O2379" i="30" s="1"/>
  <c r="N2379" i="30"/>
  <c r="M2379" i="30"/>
  <c r="L2379" i="30"/>
  <c r="I2379" i="30"/>
  <c r="O2378" i="30" a="1"/>
  <c r="O2378" i="30" s="1"/>
  <c r="N2378" i="30"/>
  <c r="M2378" i="30"/>
  <c r="L2378" i="30"/>
  <c r="I2378" i="30"/>
  <c r="O2377" i="30" a="1"/>
  <c r="O2377" i="30" s="1"/>
  <c r="N2377" i="30"/>
  <c r="M2377" i="30"/>
  <c r="L2377" i="30"/>
  <c r="I2377" i="30"/>
  <c r="O2376" i="30" a="1"/>
  <c r="O2376" i="30" s="1"/>
  <c r="N2376" i="30"/>
  <c r="M2376" i="30"/>
  <c r="L2376" i="30"/>
  <c r="I2376" i="30"/>
  <c r="O2375" i="30" a="1"/>
  <c r="O2375" i="30" s="1"/>
  <c r="N2375" i="30"/>
  <c r="M2375" i="30"/>
  <c r="L2375" i="30"/>
  <c r="I2375" i="30"/>
  <c r="O2374" i="30" a="1"/>
  <c r="O2374" i="30" s="1"/>
  <c r="N2374" i="30"/>
  <c r="M2374" i="30"/>
  <c r="L2374" i="30"/>
  <c r="I2374" i="30"/>
  <c r="O2373" i="30" a="1"/>
  <c r="O2373" i="30" s="1"/>
  <c r="N2373" i="30"/>
  <c r="M2373" i="30"/>
  <c r="L2373" i="30"/>
  <c r="I2373" i="30"/>
  <c r="O2372" i="30" a="1"/>
  <c r="O2372" i="30" s="1"/>
  <c r="N2372" i="30"/>
  <c r="M2372" i="30"/>
  <c r="L2372" i="30"/>
  <c r="I2372" i="30"/>
  <c r="O2371" i="30" a="1"/>
  <c r="O2371" i="30" s="1"/>
  <c r="N2371" i="30"/>
  <c r="M2371" i="30"/>
  <c r="L2371" i="30"/>
  <c r="I2371" i="30"/>
  <c r="O2370" i="30" a="1"/>
  <c r="O2370" i="30" s="1"/>
  <c r="N2370" i="30"/>
  <c r="M2370" i="30"/>
  <c r="L2370" i="30"/>
  <c r="I2370" i="30"/>
  <c r="O2369" i="30" a="1"/>
  <c r="O2369" i="30" s="1"/>
  <c r="N2369" i="30"/>
  <c r="M2369" i="30"/>
  <c r="L2369" i="30"/>
  <c r="I2369" i="30"/>
  <c r="O2368" i="30" a="1"/>
  <c r="O2368" i="30" s="1"/>
  <c r="N2368" i="30"/>
  <c r="M2368" i="30"/>
  <c r="L2368" i="30"/>
  <c r="I2368" i="30"/>
  <c r="O2367" i="30" a="1"/>
  <c r="O2367" i="30" s="1"/>
  <c r="N2367" i="30"/>
  <c r="M2367" i="30"/>
  <c r="L2367" i="30"/>
  <c r="I2367" i="30"/>
  <c r="O2366" i="30" a="1"/>
  <c r="O2366" i="30" s="1"/>
  <c r="N2366" i="30"/>
  <c r="M2366" i="30"/>
  <c r="L2366" i="30"/>
  <c r="I2366" i="30"/>
  <c r="O2365" i="30" a="1"/>
  <c r="O2365" i="30" s="1"/>
  <c r="N2365" i="30"/>
  <c r="M2365" i="30"/>
  <c r="L2365" i="30"/>
  <c r="I2365" i="30"/>
  <c r="O2364" i="30" a="1"/>
  <c r="O2364" i="30" s="1"/>
  <c r="N2364" i="30"/>
  <c r="M2364" i="30"/>
  <c r="L2364" i="30"/>
  <c r="I2364" i="30"/>
  <c r="O2363" i="30" a="1"/>
  <c r="O2363" i="30" s="1"/>
  <c r="N2363" i="30"/>
  <c r="M2363" i="30"/>
  <c r="L2363" i="30"/>
  <c r="I2363" i="30"/>
  <c r="O2362" i="30" a="1"/>
  <c r="O2362" i="30" s="1"/>
  <c r="N2362" i="30"/>
  <c r="M2362" i="30"/>
  <c r="L2362" i="30"/>
  <c r="I2362" i="30"/>
  <c r="O2361" i="30" a="1"/>
  <c r="O2361" i="30" s="1"/>
  <c r="N2361" i="30"/>
  <c r="M2361" i="30"/>
  <c r="L2361" i="30"/>
  <c r="I2361" i="30"/>
  <c r="O2360" i="30" a="1"/>
  <c r="O2360" i="30" s="1"/>
  <c r="N2360" i="30"/>
  <c r="M2360" i="30"/>
  <c r="L2360" i="30"/>
  <c r="I2360" i="30"/>
  <c r="O2359" i="30" a="1"/>
  <c r="O2359" i="30" s="1"/>
  <c r="N2359" i="30"/>
  <c r="M2359" i="30"/>
  <c r="L2359" i="30"/>
  <c r="I2359" i="30"/>
  <c r="O2358" i="30" a="1"/>
  <c r="O2358" i="30" s="1"/>
  <c r="N2358" i="30"/>
  <c r="M2358" i="30"/>
  <c r="L2358" i="30"/>
  <c r="I2358" i="30"/>
  <c r="O2357" i="30" a="1"/>
  <c r="O2357" i="30" s="1"/>
  <c r="N2357" i="30"/>
  <c r="M2357" i="30"/>
  <c r="L2357" i="30"/>
  <c r="I2357" i="30"/>
  <c r="O2356" i="30" a="1"/>
  <c r="O2356" i="30" s="1"/>
  <c r="N2356" i="30"/>
  <c r="M2356" i="30"/>
  <c r="L2356" i="30"/>
  <c r="I2356" i="30"/>
  <c r="O2355" i="30" a="1"/>
  <c r="O2355" i="30" s="1"/>
  <c r="N2355" i="30"/>
  <c r="M2355" i="30"/>
  <c r="L2355" i="30"/>
  <c r="I2355" i="30"/>
  <c r="O2354" i="30" a="1"/>
  <c r="O2354" i="30" s="1"/>
  <c r="N2354" i="30"/>
  <c r="M2354" i="30"/>
  <c r="L2354" i="30"/>
  <c r="I2354" i="30"/>
  <c r="O2353" i="30" a="1"/>
  <c r="O2353" i="30" s="1"/>
  <c r="N2353" i="30"/>
  <c r="M2353" i="30"/>
  <c r="L2353" i="30"/>
  <c r="I2353" i="30"/>
  <c r="O2352" i="30" a="1"/>
  <c r="O2352" i="30" s="1"/>
  <c r="N2352" i="30"/>
  <c r="M2352" i="30"/>
  <c r="L2352" i="30"/>
  <c r="I2352" i="30"/>
  <c r="O2351" i="30" a="1"/>
  <c r="O2351" i="30" s="1"/>
  <c r="N2351" i="30"/>
  <c r="M2351" i="30"/>
  <c r="L2351" i="30"/>
  <c r="I2351" i="30"/>
  <c r="O2350" i="30" a="1"/>
  <c r="O2350" i="30" s="1"/>
  <c r="N2350" i="30"/>
  <c r="M2350" i="30"/>
  <c r="L2350" i="30"/>
  <c r="I2350" i="30"/>
  <c r="O2349" i="30" a="1"/>
  <c r="O2349" i="30" s="1"/>
  <c r="N2349" i="30"/>
  <c r="M2349" i="30"/>
  <c r="L2349" i="30"/>
  <c r="I2349" i="30"/>
  <c r="O2348" i="30" a="1"/>
  <c r="O2348" i="30" s="1"/>
  <c r="N2348" i="30"/>
  <c r="M2348" i="30"/>
  <c r="L2348" i="30"/>
  <c r="I2348" i="30"/>
  <c r="O2347" i="30" a="1"/>
  <c r="O2347" i="30" s="1"/>
  <c r="N2347" i="30"/>
  <c r="M2347" i="30"/>
  <c r="L2347" i="30"/>
  <c r="I2347" i="30"/>
  <c r="O2346" i="30" a="1"/>
  <c r="O2346" i="30" s="1"/>
  <c r="N2346" i="30"/>
  <c r="M2346" i="30"/>
  <c r="L2346" i="30"/>
  <c r="I2346" i="30"/>
  <c r="O2345" i="30" a="1"/>
  <c r="O2345" i="30" s="1"/>
  <c r="N2345" i="30"/>
  <c r="M2345" i="30"/>
  <c r="L2345" i="30"/>
  <c r="I2345" i="30"/>
  <c r="O2344" i="30" a="1"/>
  <c r="O2344" i="30" s="1"/>
  <c r="N2344" i="30"/>
  <c r="M2344" i="30"/>
  <c r="L2344" i="30"/>
  <c r="I2344" i="30"/>
  <c r="O2343" i="30" a="1"/>
  <c r="O2343" i="30" s="1"/>
  <c r="N2343" i="30"/>
  <c r="M2343" i="30"/>
  <c r="L2343" i="30"/>
  <c r="I2343" i="30"/>
  <c r="O2342" i="30" a="1"/>
  <c r="O2342" i="30" s="1"/>
  <c r="N2342" i="30"/>
  <c r="M2342" i="30"/>
  <c r="L2342" i="30"/>
  <c r="I2342" i="30"/>
  <c r="O2341" i="30" a="1"/>
  <c r="O2341" i="30" s="1"/>
  <c r="N2341" i="30"/>
  <c r="M2341" i="30"/>
  <c r="L2341" i="30"/>
  <c r="I2341" i="30"/>
  <c r="O2340" i="30" a="1"/>
  <c r="O2340" i="30" s="1"/>
  <c r="N2340" i="30"/>
  <c r="M2340" i="30"/>
  <c r="L2340" i="30"/>
  <c r="I2340" i="30"/>
  <c r="O2339" i="30" a="1"/>
  <c r="O2339" i="30" s="1"/>
  <c r="N2339" i="30"/>
  <c r="M2339" i="30"/>
  <c r="L2339" i="30"/>
  <c r="I2339" i="30"/>
  <c r="O2338" i="30" a="1"/>
  <c r="O2338" i="30" s="1"/>
  <c r="N2338" i="30"/>
  <c r="M2338" i="30"/>
  <c r="L2338" i="30"/>
  <c r="I2338" i="30"/>
  <c r="O2337" i="30" a="1"/>
  <c r="O2337" i="30" s="1"/>
  <c r="N2337" i="30"/>
  <c r="M2337" i="30"/>
  <c r="L2337" i="30"/>
  <c r="I2337" i="30"/>
  <c r="O2336" i="30" a="1"/>
  <c r="O2336" i="30" s="1"/>
  <c r="N2336" i="30"/>
  <c r="M2336" i="30"/>
  <c r="L2336" i="30"/>
  <c r="I2336" i="30"/>
  <c r="O2335" i="30" a="1"/>
  <c r="O2335" i="30" s="1"/>
  <c r="N2335" i="30"/>
  <c r="M2335" i="30"/>
  <c r="L2335" i="30"/>
  <c r="I2335" i="30"/>
  <c r="O2334" i="30" a="1"/>
  <c r="O2334" i="30" s="1"/>
  <c r="N2334" i="30"/>
  <c r="M2334" i="30"/>
  <c r="L2334" i="30"/>
  <c r="I2334" i="30"/>
  <c r="O2333" i="30" a="1"/>
  <c r="O2333" i="30" s="1"/>
  <c r="N2333" i="30"/>
  <c r="M2333" i="30"/>
  <c r="L2333" i="30"/>
  <c r="I2333" i="30"/>
  <c r="O2332" i="30" a="1"/>
  <c r="O2332" i="30" s="1"/>
  <c r="N2332" i="30"/>
  <c r="M2332" i="30"/>
  <c r="L2332" i="30"/>
  <c r="I2332" i="30"/>
  <c r="O2331" i="30" a="1"/>
  <c r="O2331" i="30" s="1"/>
  <c r="N2331" i="30"/>
  <c r="M2331" i="30"/>
  <c r="L2331" i="30"/>
  <c r="I2331" i="30"/>
  <c r="O2330" i="30" a="1"/>
  <c r="O2330" i="30" s="1"/>
  <c r="N2330" i="30"/>
  <c r="M2330" i="30"/>
  <c r="L2330" i="30"/>
  <c r="I2330" i="30"/>
  <c r="O2329" i="30" a="1"/>
  <c r="O2329" i="30" s="1"/>
  <c r="N2329" i="30"/>
  <c r="M2329" i="30"/>
  <c r="L2329" i="30"/>
  <c r="I2329" i="30"/>
  <c r="O2328" i="30" a="1"/>
  <c r="O2328" i="30" s="1"/>
  <c r="N2328" i="30"/>
  <c r="M2328" i="30"/>
  <c r="L2328" i="30"/>
  <c r="I2328" i="30"/>
  <c r="O2327" i="30" a="1"/>
  <c r="O2327" i="30" s="1"/>
  <c r="N2327" i="30"/>
  <c r="M2327" i="30"/>
  <c r="L2327" i="30"/>
  <c r="I2327" i="30"/>
  <c r="O2326" i="30" a="1"/>
  <c r="O2326" i="30" s="1"/>
  <c r="N2326" i="30"/>
  <c r="M2326" i="30"/>
  <c r="L2326" i="30"/>
  <c r="I2326" i="30"/>
  <c r="O2325" i="30" a="1"/>
  <c r="O2325" i="30" s="1"/>
  <c r="N2325" i="30"/>
  <c r="M2325" i="30"/>
  <c r="L2325" i="30"/>
  <c r="I2325" i="30"/>
  <c r="O2324" i="30" a="1"/>
  <c r="O2324" i="30" s="1"/>
  <c r="N2324" i="30"/>
  <c r="M2324" i="30"/>
  <c r="L2324" i="30"/>
  <c r="I2324" i="30"/>
  <c r="O2323" i="30" a="1"/>
  <c r="O2323" i="30" s="1"/>
  <c r="N2323" i="30"/>
  <c r="M2323" i="30"/>
  <c r="L2323" i="30"/>
  <c r="I2323" i="30"/>
  <c r="O2322" i="30" a="1"/>
  <c r="O2322" i="30" s="1"/>
  <c r="N2322" i="30"/>
  <c r="M2322" i="30"/>
  <c r="L2322" i="30"/>
  <c r="I2322" i="30"/>
  <c r="O2321" i="30" a="1"/>
  <c r="O2321" i="30" s="1"/>
  <c r="N2321" i="30"/>
  <c r="M2321" i="30"/>
  <c r="L2321" i="30"/>
  <c r="I2321" i="30"/>
  <c r="O2320" i="30" a="1"/>
  <c r="O2320" i="30" s="1"/>
  <c r="N2320" i="30"/>
  <c r="M2320" i="30"/>
  <c r="L2320" i="30"/>
  <c r="I2320" i="30"/>
  <c r="O2319" i="30" a="1"/>
  <c r="O2319" i="30" s="1"/>
  <c r="N2319" i="30"/>
  <c r="M2319" i="30"/>
  <c r="L2319" i="30"/>
  <c r="I2319" i="30"/>
  <c r="O2318" i="30" a="1"/>
  <c r="O2318" i="30" s="1"/>
  <c r="N2318" i="30"/>
  <c r="M2318" i="30"/>
  <c r="L2318" i="30"/>
  <c r="I2318" i="30"/>
  <c r="O2317" i="30" a="1"/>
  <c r="O2317" i="30" s="1"/>
  <c r="N2317" i="30"/>
  <c r="M2317" i="30"/>
  <c r="L2317" i="30"/>
  <c r="I2317" i="30"/>
  <c r="O2316" i="30" a="1"/>
  <c r="O2316" i="30" s="1"/>
  <c r="N2316" i="30"/>
  <c r="M2316" i="30"/>
  <c r="L2316" i="30"/>
  <c r="I2316" i="30"/>
  <c r="O2315" i="30" a="1"/>
  <c r="O2315" i="30" s="1"/>
  <c r="N2315" i="30"/>
  <c r="M2315" i="30"/>
  <c r="L2315" i="30"/>
  <c r="I2315" i="30"/>
  <c r="O2314" i="30" a="1"/>
  <c r="O2314" i="30" s="1"/>
  <c r="N2314" i="30"/>
  <c r="M2314" i="30"/>
  <c r="L2314" i="30"/>
  <c r="I2314" i="30"/>
  <c r="O2313" i="30" a="1"/>
  <c r="O2313" i="30" s="1"/>
  <c r="N2313" i="30"/>
  <c r="M2313" i="30"/>
  <c r="L2313" i="30"/>
  <c r="I2313" i="30"/>
  <c r="O2312" i="30" a="1"/>
  <c r="O2312" i="30" s="1"/>
  <c r="N2312" i="30"/>
  <c r="M2312" i="30"/>
  <c r="L2312" i="30"/>
  <c r="I2312" i="30"/>
  <c r="O2311" i="30" a="1"/>
  <c r="O2311" i="30" s="1"/>
  <c r="N2311" i="30"/>
  <c r="M2311" i="30"/>
  <c r="L2311" i="30"/>
  <c r="I2311" i="30"/>
  <c r="O2310" i="30" a="1"/>
  <c r="O2310" i="30" s="1"/>
  <c r="N2310" i="30"/>
  <c r="M2310" i="30"/>
  <c r="L2310" i="30"/>
  <c r="I2310" i="30"/>
  <c r="O2309" i="30" a="1"/>
  <c r="O2309" i="30" s="1"/>
  <c r="N2309" i="30"/>
  <c r="M2309" i="30"/>
  <c r="L2309" i="30"/>
  <c r="I2309" i="30"/>
  <c r="O2308" i="30" a="1"/>
  <c r="O2308" i="30" s="1"/>
  <c r="N2308" i="30"/>
  <c r="M2308" i="30"/>
  <c r="L2308" i="30"/>
  <c r="I2308" i="30"/>
  <c r="O2307" i="30" a="1"/>
  <c r="O2307" i="30" s="1"/>
  <c r="N2307" i="30"/>
  <c r="M2307" i="30"/>
  <c r="L2307" i="30"/>
  <c r="I2307" i="30"/>
  <c r="O2306" i="30" a="1"/>
  <c r="O2306" i="30" s="1"/>
  <c r="N2306" i="30"/>
  <c r="M2306" i="30"/>
  <c r="L2306" i="30"/>
  <c r="I2306" i="30"/>
  <c r="O2305" i="30" a="1"/>
  <c r="O2305" i="30" s="1"/>
  <c r="N2305" i="30"/>
  <c r="M2305" i="30"/>
  <c r="L2305" i="30"/>
  <c r="I2305" i="30"/>
  <c r="O2304" i="30" a="1"/>
  <c r="O2304" i="30" s="1"/>
  <c r="N2304" i="30"/>
  <c r="M2304" i="30"/>
  <c r="L2304" i="30"/>
  <c r="I2304" i="30"/>
  <c r="O2303" i="30" a="1"/>
  <c r="O2303" i="30" s="1"/>
  <c r="N2303" i="30"/>
  <c r="M2303" i="30"/>
  <c r="L2303" i="30"/>
  <c r="I2303" i="30"/>
  <c r="O2302" i="30" a="1"/>
  <c r="O2302" i="30" s="1"/>
  <c r="N2302" i="30"/>
  <c r="M2302" i="30"/>
  <c r="L2302" i="30"/>
  <c r="I2302" i="30"/>
  <c r="O2301" i="30" a="1"/>
  <c r="O2301" i="30" s="1"/>
  <c r="N2301" i="30"/>
  <c r="M2301" i="30"/>
  <c r="L2301" i="30"/>
  <c r="I2301" i="30"/>
  <c r="O2300" i="30" a="1"/>
  <c r="O2300" i="30" s="1"/>
  <c r="N2300" i="30"/>
  <c r="M2300" i="30"/>
  <c r="L2300" i="30"/>
  <c r="I2300" i="30"/>
  <c r="O2299" i="30" a="1"/>
  <c r="O2299" i="30" s="1"/>
  <c r="N2299" i="30"/>
  <c r="M2299" i="30"/>
  <c r="L2299" i="30"/>
  <c r="I2299" i="30"/>
  <c r="O2298" i="30" a="1"/>
  <c r="O2298" i="30" s="1"/>
  <c r="N2298" i="30"/>
  <c r="M2298" i="30"/>
  <c r="L2298" i="30"/>
  <c r="I2298" i="30"/>
  <c r="O2297" i="30" a="1"/>
  <c r="O2297" i="30" s="1"/>
  <c r="N2297" i="30"/>
  <c r="M2297" i="30"/>
  <c r="L2297" i="30"/>
  <c r="I2297" i="30"/>
  <c r="O2296" i="30" a="1"/>
  <c r="O2296" i="30" s="1"/>
  <c r="N2296" i="30"/>
  <c r="M2296" i="30"/>
  <c r="L2296" i="30"/>
  <c r="I2296" i="30"/>
  <c r="O2295" i="30" a="1"/>
  <c r="O2295" i="30" s="1"/>
  <c r="N2295" i="30"/>
  <c r="M2295" i="30"/>
  <c r="L2295" i="30"/>
  <c r="I2295" i="30"/>
  <c r="O2294" i="30" a="1"/>
  <c r="O2294" i="30" s="1"/>
  <c r="N2294" i="30"/>
  <c r="M2294" i="30"/>
  <c r="L2294" i="30"/>
  <c r="I2294" i="30"/>
  <c r="O2293" i="30" a="1"/>
  <c r="O2293" i="30" s="1"/>
  <c r="N2293" i="30"/>
  <c r="M2293" i="30"/>
  <c r="L2293" i="30"/>
  <c r="I2293" i="30"/>
  <c r="O2292" i="30" a="1"/>
  <c r="O2292" i="30" s="1"/>
  <c r="N2292" i="30"/>
  <c r="M2292" i="30"/>
  <c r="L2292" i="30"/>
  <c r="I2292" i="30"/>
  <c r="O2291" i="30" a="1"/>
  <c r="O2291" i="30" s="1"/>
  <c r="N2291" i="30"/>
  <c r="M2291" i="30"/>
  <c r="L2291" i="30"/>
  <c r="I2291" i="30"/>
  <c r="O2290" i="30" a="1"/>
  <c r="O2290" i="30" s="1"/>
  <c r="N2290" i="30"/>
  <c r="M2290" i="30"/>
  <c r="L2290" i="30"/>
  <c r="I2290" i="30"/>
  <c r="O2289" i="30" a="1"/>
  <c r="O2289" i="30" s="1"/>
  <c r="N2289" i="30"/>
  <c r="M2289" i="30"/>
  <c r="L2289" i="30"/>
  <c r="I2289" i="30"/>
  <c r="O2288" i="30" a="1"/>
  <c r="O2288" i="30" s="1"/>
  <c r="N2288" i="30"/>
  <c r="M2288" i="30"/>
  <c r="L2288" i="30"/>
  <c r="I2288" i="30"/>
  <c r="O2287" i="30" a="1"/>
  <c r="O2287" i="30" s="1"/>
  <c r="N2287" i="30"/>
  <c r="M2287" i="30"/>
  <c r="L2287" i="30"/>
  <c r="I2287" i="30"/>
  <c r="O2286" i="30" a="1"/>
  <c r="O2286" i="30" s="1"/>
  <c r="N2286" i="30"/>
  <c r="M2286" i="30"/>
  <c r="L2286" i="30"/>
  <c r="I2286" i="30"/>
  <c r="O2285" i="30" a="1"/>
  <c r="O2285" i="30" s="1"/>
  <c r="N2285" i="30"/>
  <c r="M2285" i="30"/>
  <c r="L2285" i="30"/>
  <c r="I2285" i="30"/>
  <c r="O2284" i="30" a="1"/>
  <c r="O2284" i="30" s="1"/>
  <c r="N2284" i="30"/>
  <c r="M2284" i="30"/>
  <c r="L2284" i="30"/>
  <c r="I2284" i="30"/>
  <c r="O2283" i="30" a="1"/>
  <c r="O2283" i="30" s="1"/>
  <c r="N2283" i="30"/>
  <c r="M2283" i="30"/>
  <c r="L2283" i="30"/>
  <c r="I2283" i="30"/>
  <c r="O2282" i="30" a="1"/>
  <c r="O2282" i="30" s="1"/>
  <c r="N2282" i="30"/>
  <c r="M2282" i="30"/>
  <c r="L2282" i="30"/>
  <c r="I2282" i="30"/>
  <c r="O2281" i="30" a="1"/>
  <c r="O2281" i="30" s="1"/>
  <c r="N2281" i="30"/>
  <c r="M2281" i="30"/>
  <c r="L2281" i="30"/>
  <c r="I2281" i="30"/>
  <c r="O2280" i="30" a="1"/>
  <c r="O2280" i="30" s="1"/>
  <c r="N2280" i="30"/>
  <c r="M2280" i="30"/>
  <c r="L2280" i="30"/>
  <c r="I2280" i="30"/>
  <c r="O2279" i="30" a="1"/>
  <c r="O2279" i="30" s="1"/>
  <c r="N2279" i="30"/>
  <c r="M2279" i="30"/>
  <c r="L2279" i="30"/>
  <c r="I2279" i="30"/>
  <c r="O2278" i="30" a="1"/>
  <c r="O2278" i="30" s="1"/>
  <c r="N2278" i="30"/>
  <c r="M2278" i="30"/>
  <c r="L2278" i="30"/>
  <c r="I2278" i="30"/>
  <c r="O2277" i="30" a="1"/>
  <c r="O2277" i="30" s="1"/>
  <c r="N2277" i="30"/>
  <c r="M2277" i="30"/>
  <c r="L2277" i="30"/>
  <c r="I2277" i="30"/>
  <c r="O2276" i="30" a="1"/>
  <c r="O2276" i="30" s="1"/>
  <c r="N2276" i="30"/>
  <c r="M2276" i="30"/>
  <c r="L2276" i="30"/>
  <c r="I2276" i="30"/>
  <c r="O2275" i="30" a="1"/>
  <c r="O2275" i="30" s="1"/>
  <c r="N2275" i="30"/>
  <c r="M2275" i="30"/>
  <c r="L2275" i="30"/>
  <c r="I2275" i="30"/>
  <c r="O2274" i="30" a="1"/>
  <c r="O2274" i="30" s="1"/>
  <c r="N2274" i="30"/>
  <c r="M2274" i="30"/>
  <c r="L2274" i="30"/>
  <c r="I2274" i="30"/>
  <c r="O2273" i="30" a="1"/>
  <c r="O2273" i="30" s="1"/>
  <c r="N2273" i="30"/>
  <c r="M2273" i="30"/>
  <c r="L2273" i="30"/>
  <c r="I2273" i="30"/>
  <c r="O2272" i="30" a="1"/>
  <c r="O2272" i="30" s="1"/>
  <c r="N2272" i="30"/>
  <c r="M2272" i="30"/>
  <c r="L2272" i="30"/>
  <c r="I2272" i="30"/>
  <c r="O2271" i="30" a="1"/>
  <c r="O2271" i="30" s="1"/>
  <c r="N2271" i="30"/>
  <c r="M2271" i="30"/>
  <c r="L2271" i="30"/>
  <c r="I2271" i="30"/>
  <c r="O2270" i="30" a="1"/>
  <c r="O2270" i="30" s="1"/>
  <c r="N2270" i="30"/>
  <c r="M2270" i="30"/>
  <c r="L2270" i="30"/>
  <c r="I2270" i="30"/>
  <c r="O2269" i="30" a="1"/>
  <c r="O2269" i="30" s="1"/>
  <c r="N2269" i="30"/>
  <c r="M2269" i="30"/>
  <c r="L2269" i="30"/>
  <c r="I2269" i="30"/>
  <c r="O2268" i="30" a="1"/>
  <c r="O2268" i="30" s="1"/>
  <c r="N2268" i="30"/>
  <c r="M2268" i="30"/>
  <c r="L2268" i="30"/>
  <c r="I2268" i="30"/>
  <c r="O2267" i="30" a="1"/>
  <c r="O2267" i="30" s="1"/>
  <c r="N2267" i="30"/>
  <c r="M2267" i="30"/>
  <c r="L2267" i="30"/>
  <c r="I2267" i="30"/>
  <c r="O2266" i="30" a="1"/>
  <c r="O2266" i="30" s="1"/>
  <c r="N2266" i="30"/>
  <c r="M2266" i="30"/>
  <c r="L2266" i="30"/>
  <c r="I2266" i="30"/>
  <c r="O2265" i="30" a="1"/>
  <c r="O2265" i="30" s="1"/>
  <c r="N2265" i="30"/>
  <c r="M2265" i="30"/>
  <c r="L2265" i="30"/>
  <c r="I2265" i="30"/>
  <c r="O2264" i="30" a="1"/>
  <c r="O2264" i="30" s="1"/>
  <c r="N2264" i="30"/>
  <c r="M2264" i="30"/>
  <c r="L2264" i="30"/>
  <c r="I2264" i="30"/>
  <c r="O2263" i="30" a="1"/>
  <c r="O2263" i="30" s="1"/>
  <c r="N2263" i="30"/>
  <c r="M2263" i="30"/>
  <c r="L2263" i="30"/>
  <c r="I2263" i="30"/>
  <c r="O2262" i="30" a="1"/>
  <c r="O2262" i="30" s="1"/>
  <c r="N2262" i="30"/>
  <c r="M2262" i="30"/>
  <c r="L2262" i="30"/>
  <c r="I2262" i="30"/>
  <c r="O2261" i="30" a="1"/>
  <c r="O2261" i="30" s="1"/>
  <c r="N2261" i="30"/>
  <c r="M2261" i="30"/>
  <c r="L2261" i="30"/>
  <c r="I2261" i="30"/>
  <c r="O2260" i="30" a="1"/>
  <c r="O2260" i="30" s="1"/>
  <c r="N2260" i="30"/>
  <c r="M2260" i="30"/>
  <c r="L2260" i="30"/>
  <c r="I2260" i="30"/>
  <c r="O2259" i="30" a="1"/>
  <c r="O2259" i="30" s="1"/>
  <c r="N2259" i="30"/>
  <c r="M2259" i="30"/>
  <c r="L2259" i="30"/>
  <c r="I2259" i="30"/>
  <c r="O2258" i="30" a="1"/>
  <c r="O2258" i="30" s="1"/>
  <c r="N2258" i="30"/>
  <c r="M2258" i="30"/>
  <c r="L2258" i="30"/>
  <c r="I2258" i="30"/>
  <c r="O2257" i="30" a="1"/>
  <c r="O2257" i="30" s="1"/>
  <c r="N2257" i="30"/>
  <c r="M2257" i="30"/>
  <c r="L2257" i="30"/>
  <c r="I2257" i="30"/>
  <c r="O2256" i="30" a="1"/>
  <c r="O2256" i="30" s="1"/>
  <c r="N2256" i="30"/>
  <c r="M2256" i="30"/>
  <c r="L2256" i="30"/>
  <c r="I2256" i="30"/>
  <c r="O2255" i="30" a="1"/>
  <c r="O2255" i="30" s="1"/>
  <c r="N2255" i="30"/>
  <c r="M2255" i="30"/>
  <c r="L2255" i="30"/>
  <c r="I2255" i="30"/>
  <c r="O2254" i="30" a="1"/>
  <c r="O2254" i="30" s="1"/>
  <c r="N2254" i="30"/>
  <c r="M2254" i="30"/>
  <c r="L2254" i="30"/>
  <c r="I2254" i="30"/>
  <c r="O2253" i="30" a="1"/>
  <c r="O2253" i="30" s="1"/>
  <c r="N2253" i="30"/>
  <c r="M2253" i="30"/>
  <c r="L2253" i="30"/>
  <c r="I2253" i="30"/>
  <c r="O2252" i="30" a="1"/>
  <c r="O2252" i="30" s="1"/>
  <c r="N2252" i="30"/>
  <c r="M2252" i="30"/>
  <c r="L2252" i="30"/>
  <c r="I2252" i="30"/>
  <c r="O2251" i="30" a="1"/>
  <c r="O2251" i="30" s="1"/>
  <c r="N2251" i="30"/>
  <c r="M2251" i="30"/>
  <c r="L2251" i="30"/>
  <c r="I2251" i="30"/>
  <c r="O2250" i="30" a="1"/>
  <c r="O2250" i="30" s="1"/>
  <c r="N2250" i="30"/>
  <c r="M2250" i="30"/>
  <c r="L2250" i="30"/>
  <c r="I2250" i="30"/>
  <c r="O2249" i="30" a="1"/>
  <c r="O2249" i="30" s="1"/>
  <c r="N2249" i="30"/>
  <c r="M2249" i="30"/>
  <c r="L2249" i="30"/>
  <c r="I2249" i="30"/>
  <c r="O2248" i="30" a="1"/>
  <c r="O2248" i="30" s="1"/>
  <c r="N2248" i="30"/>
  <c r="M2248" i="30"/>
  <c r="L2248" i="30"/>
  <c r="I2248" i="30"/>
  <c r="O2247" i="30" a="1"/>
  <c r="O2247" i="30" s="1"/>
  <c r="N2247" i="30"/>
  <c r="M2247" i="30"/>
  <c r="L2247" i="30"/>
  <c r="I2247" i="30"/>
  <c r="O2246" i="30" a="1"/>
  <c r="O2246" i="30" s="1"/>
  <c r="N2246" i="30"/>
  <c r="M2246" i="30"/>
  <c r="L2246" i="30"/>
  <c r="I2246" i="30"/>
  <c r="O2245" i="30" a="1"/>
  <c r="O2245" i="30" s="1"/>
  <c r="N2245" i="30"/>
  <c r="M2245" i="30"/>
  <c r="L2245" i="30"/>
  <c r="I2245" i="30"/>
  <c r="O2244" i="30" a="1"/>
  <c r="O2244" i="30" s="1"/>
  <c r="N2244" i="30"/>
  <c r="M2244" i="30"/>
  <c r="L2244" i="30"/>
  <c r="I2244" i="30"/>
  <c r="O2243" i="30" a="1"/>
  <c r="O2243" i="30" s="1"/>
  <c r="N2243" i="30"/>
  <c r="M2243" i="30"/>
  <c r="L2243" i="30"/>
  <c r="I2243" i="30"/>
  <c r="O2242" i="30" a="1"/>
  <c r="O2242" i="30" s="1"/>
  <c r="N2242" i="30"/>
  <c r="M2242" i="30"/>
  <c r="L2242" i="30"/>
  <c r="I2242" i="30"/>
  <c r="O2241" i="30" a="1"/>
  <c r="O2241" i="30" s="1"/>
  <c r="N2241" i="30"/>
  <c r="M2241" i="30"/>
  <c r="L2241" i="30"/>
  <c r="I2241" i="30"/>
  <c r="O2240" i="30" a="1"/>
  <c r="O2240" i="30" s="1"/>
  <c r="N2240" i="30"/>
  <c r="M2240" i="30"/>
  <c r="L2240" i="30"/>
  <c r="I2240" i="30"/>
  <c r="O2239" i="30" a="1"/>
  <c r="O2239" i="30" s="1"/>
  <c r="N2239" i="30"/>
  <c r="M2239" i="30"/>
  <c r="L2239" i="30"/>
  <c r="I2239" i="30"/>
  <c r="O2238" i="30" a="1"/>
  <c r="O2238" i="30" s="1"/>
  <c r="N2238" i="30"/>
  <c r="M2238" i="30"/>
  <c r="L2238" i="30"/>
  <c r="I2238" i="30"/>
  <c r="O2237" i="30" a="1"/>
  <c r="O2237" i="30" s="1"/>
  <c r="N2237" i="30"/>
  <c r="M2237" i="30"/>
  <c r="L2237" i="30"/>
  <c r="I2237" i="30"/>
  <c r="O2236" i="30" a="1"/>
  <c r="O2236" i="30" s="1"/>
  <c r="N2236" i="30"/>
  <c r="M2236" i="30"/>
  <c r="L2236" i="30"/>
  <c r="I2236" i="30"/>
  <c r="O2235" i="30" a="1"/>
  <c r="O2235" i="30" s="1"/>
  <c r="N2235" i="30"/>
  <c r="M2235" i="30"/>
  <c r="L2235" i="30"/>
  <c r="I2235" i="30"/>
  <c r="O2234" i="30" a="1"/>
  <c r="O2234" i="30" s="1"/>
  <c r="N2234" i="30"/>
  <c r="M2234" i="30"/>
  <c r="L2234" i="30"/>
  <c r="I2234" i="30"/>
  <c r="O2233" i="30" a="1"/>
  <c r="O2233" i="30" s="1"/>
  <c r="N2233" i="30"/>
  <c r="M2233" i="30"/>
  <c r="L2233" i="30"/>
  <c r="I2233" i="30"/>
  <c r="O2232" i="30" a="1"/>
  <c r="O2232" i="30" s="1"/>
  <c r="N2232" i="30"/>
  <c r="M2232" i="30"/>
  <c r="L2232" i="30"/>
  <c r="I2232" i="30"/>
  <c r="O2231" i="30" a="1"/>
  <c r="O2231" i="30" s="1"/>
  <c r="N2231" i="30"/>
  <c r="M2231" i="30"/>
  <c r="L2231" i="30"/>
  <c r="I2231" i="30"/>
  <c r="O2230" i="30" a="1"/>
  <c r="O2230" i="30" s="1"/>
  <c r="N2230" i="30"/>
  <c r="M2230" i="30"/>
  <c r="L2230" i="30"/>
  <c r="I2230" i="30"/>
  <c r="O2229" i="30" a="1"/>
  <c r="O2229" i="30" s="1"/>
  <c r="N2229" i="30"/>
  <c r="M2229" i="30"/>
  <c r="L2229" i="30"/>
  <c r="I2229" i="30"/>
  <c r="O2228" i="30" a="1"/>
  <c r="O2228" i="30" s="1"/>
  <c r="N2228" i="30"/>
  <c r="M2228" i="30"/>
  <c r="L2228" i="30"/>
  <c r="I2228" i="30"/>
  <c r="O2227" i="30" a="1"/>
  <c r="O2227" i="30" s="1"/>
  <c r="N2227" i="30"/>
  <c r="M2227" i="30"/>
  <c r="L2227" i="30"/>
  <c r="I2227" i="30"/>
  <c r="O2226" i="30" a="1"/>
  <c r="O2226" i="30" s="1"/>
  <c r="N2226" i="30"/>
  <c r="M2226" i="30"/>
  <c r="L2226" i="30"/>
  <c r="I2226" i="30"/>
  <c r="O2225" i="30" a="1"/>
  <c r="O2225" i="30" s="1"/>
  <c r="N2225" i="30"/>
  <c r="M2225" i="30"/>
  <c r="L2225" i="30"/>
  <c r="I2225" i="30"/>
  <c r="O2224" i="30" a="1"/>
  <c r="O2224" i="30" s="1"/>
  <c r="N2224" i="30"/>
  <c r="M2224" i="30"/>
  <c r="L2224" i="30"/>
  <c r="I2224" i="30"/>
  <c r="O2223" i="30" a="1"/>
  <c r="O2223" i="30" s="1"/>
  <c r="N2223" i="30"/>
  <c r="M2223" i="30"/>
  <c r="L2223" i="30"/>
  <c r="I2223" i="30"/>
  <c r="O2222" i="30" a="1"/>
  <c r="O2222" i="30" s="1"/>
  <c r="N2222" i="30"/>
  <c r="M2222" i="30"/>
  <c r="L2222" i="30"/>
  <c r="I2222" i="30"/>
  <c r="O2221" i="30" a="1"/>
  <c r="O2221" i="30" s="1"/>
  <c r="N2221" i="30"/>
  <c r="M2221" i="30"/>
  <c r="L2221" i="30"/>
  <c r="I2221" i="30"/>
  <c r="O2220" i="30" a="1"/>
  <c r="O2220" i="30" s="1"/>
  <c r="N2220" i="30"/>
  <c r="M2220" i="30"/>
  <c r="L2220" i="30"/>
  <c r="I2220" i="30"/>
  <c r="O2219" i="30" a="1"/>
  <c r="O2219" i="30" s="1"/>
  <c r="N2219" i="30"/>
  <c r="M2219" i="30"/>
  <c r="L2219" i="30"/>
  <c r="I2219" i="30"/>
  <c r="O2218" i="30" a="1"/>
  <c r="O2218" i="30" s="1"/>
  <c r="N2218" i="30"/>
  <c r="M2218" i="30"/>
  <c r="L2218" i="30"/>
  <c r="I2218" i="30"/>
  <c r="O2217" i="30" a="1"/>
  <c r="O2217" i="30" s="1"/>
  <c r="N2217" i="30"/>
  <c r="M2217" i="30"/>
  <c r="L2217" i="30"/>
  <c r="I2217" i="30"/>
  <c r="O2216" i="30" a="1"/>
  <c r="O2216" i="30" s="1"/>
  <c r="N2216" i="30"/>
  <c r="M2216" i="30"/>
  <c r="L2216" i="30"/>
  <c r="I2216" i="30"/>
  <c r="O2215" i="30" a="1"/>
  <c r="O2215" i="30" s="1"/>
  <c r="N2215" i="30"/>
  <c r="M2215" i="30"/>
  <c r="L2215" i="30"/>
  <c r="I2215" i="30"/>
  <c r="O2214" i="30" a="1"/>
  <c r="O2214" i="30" s="1"/>
  <c r="N2214" i="30"/>
  <c r="M2214" i="30"/>
  <c r="L2214" i="30"/>
  <c r="I2214" i="30"/>
  <c r="O2213" i="30" a="1"/>
  <c r="O2213" i="30" s="1"/>
  <c r="N2213" i="30"/>
  <c r="M2213" i="30"/>
  <c r="L2213" i="30"/>
  <c r="I2213" i="30"/>
  <c r="O2212" i="30" a="1"/>
  <c r="O2212" i="30" s="1"/>
  <c r="N2212" i="30"/>
  <c r="M2212" i="30"/>
  <c r="L2212" i="30"/>
  <c r="I2212" i="30"/>
  <c r="O2211" i="30" a="1"/>
  <c r="O2211" i="30" s="1"/>
  <c r="N2211" i="30"/>
  <c r="M2211" i="30"/>
  <c r="L2211" i="30"/>
  <c r="I2211" i="30"/>
  <c r="O2210" i="30" a="1"/>
  <c r="O2210" i="30" s="1"/>
  <c r="N2210" i="30"/>
  <c r="M2210" i="30"/>
  <c r="L2210" i="30"/>
  <c r="I2210" i="30"/>
  <c r="O2209" i="30" a="1"/>
  <c r="O2209" i="30" s="1"/>
  <c r="N2209" i="30"/>
  <c r="M2209" i="30"/>
  <c r="L2209" i="30"/>
  <c r="I2209" i="30"/>
  <c r="O2208" i="30" a="1"/>
  <c r="O2208" i="30" s="1"/>
  <c r="N2208" i="30"/>
  <c r="M2208" i="30"/>
  <c r="L2208" i="30"/>
  <c r="I2208" i="30"/>
  <c r="O2207" i="30" a="1"/>
  <c r="O2207" i="30" s="1"/>
  <c r="N2207" i="30"/>
  <c r="M2207" i="30"/>
  <c r="L2207" i="30"/>
  <c r="I2207" i="30"/>
  <c r="O2206" i="30" a="1"/>
  <c r="O2206" i="30" s="1"/>
  <c r="N2206" i="30"/>
  <c r="M2206" i="30"/>
  <c r="L2206" i="30"/>
  <c r="I2206" i="30"/>
  <c r="O2205" i="30" a="1"/>
  <c r="O2205" i="30" s="1"/>
  <c r="N2205" i="30"/>
  <c r="M2205" i="30"/>
  <c r="L2205" i="30"/>
  <c r="I2205" i="30"/>
  <c r="O2204" i="30" a="1"/>
  <c r="O2204" i="30" s="1"/>
  <c r="N2204" i="30"/>
  <c r="M2204" i="30"/>
  <c r="L2204" i="30"/>
  <c r="I2204" i="30"/>
  <c r="O2203" i="30" a="1"/>
  <c r="O2203" i="30" s="1"/>
  <c r="N2203" i="30"/>
  <c r="M2203" i="30"/>
  <c r="L2203" i="30"/>
  <c r="I2203" i="30"/>
  <c r="O2202" i="30" a="1"/>
  <c r="O2202" i="30" s="1"/>
  <c r="N2202" i="30"/>
  <c r="M2202" i="30"/>
  <c r="L2202" i="30"/>
  <c r="I2202" i="30"/>
  <c r="O2201" i="30" a="1"/>
  <c r="O2201" i="30" s="1"/>
  <c r="N2201" i="30"/>
  <c r="M2201" i="30"/>
  <c r="L2201" i="30"/>
  <c r="I2201" i="30"/>
  <c r="O2200" i="30" a="1"/>
  <c r="O2200" i="30" s="1"/>
  <c r="N2200" i="30"/>
  <c r="M2200" i="30"/>
  <c r="L2200" i="30"/>
  <c r="I2200" i="30"/>
  <c r="O2199" i="30" a="1"/>
  <c r="O2199" i="30" s="1"/>
  <c r="N2199" i="30"/>
  <c r="M2199" i="30"/>
  <c r="L2199" i="30"/>
  <c r="I2199" i="30"/>
  <c r="O2198" i="30" a="1"/>
  <c r="O2198" i="30" s="1"/>
  <c r="N2198" i="30"/>
  <c r="M2198" i="30"/>
  <c r="L2198" i="30"/>
  <c r="I2198" i="30"/>
  <c r="O2197" i="30" a="1"/>
  <c r="O2197" i="30" s="1"/>
  <c r="N2197" i="30"/>
  <c r="M2197" i="30"/>
  <c r="L2197" i="30"/>
  <c r="I2197" i="30"/>
  <c r="O2196" i="30" a="1"/>
  <c r="O2196" i="30" s="1"/>
  <c r="N2196" i="30"/>
  <c r="M2196" i="30"/>
  <c r="L2196" i="30"/>
  <c r="I2196" i="30"/>
  <c r="O2195" i="30" a="1"/>
  <c r="O2195" i="30" s="1"/>
  <c r="N2195" i="30"/>
  <c r="M2195" i="30"/>
  <c r="L2195" i="30"/>
  <c r="I2195" i="30"/>
  <c r="O2194" i="30" a="1"/>
  <c r="O2194" i="30" s="1"/>
  <c r="N2194" i="30"/>
  <c r="M2194" i="30"/>
  <c r="L2194" i="30"/>
  <c r="I2194" i="30"/>
  <c r="O2193" i="30" a="1"/>
  <c r="O2193" i="30" s="1"/>
  <c r="N2193" i="30"/>
  <c r="M2193" i="30"/>
  <c r="L2193" i="30"/>
  <c r="I2193" i="30"/>
  <c r="O2192" i="30" a="1"/>
  <c r="O2192" i="30" s="1"/>
  <c r="N2192" i="30"/>
  <c r="M2192" i="30"/>
  <c r="L2192" i="30"/>
  <c r="I2192" i="30"/>
  <c r="O2191" i="30" a="1"/>
  <c r="O2191" i="30" s="1"/>
  <c r="N2191" i="30"/>
  <c r="M2191" i="30"/>
  <c r="L2191" i="30"/>
  <c r="I2191" i="30"/>
  <c r="O2190" i="30" a="1"/>
  <c r="O2190" i="30" s="1"/>
  <c r="N2190" i="30"/>
  <c r="M2190" i="30"/>
  <c r="L2190" i="30"/>
  <c r="I2190" i="30"/>
  <c r="O2189" i="30" a="1"/>
  <c r="O2189" i="30" s="1"/>
  <c r="N2189" i="30"/>
  <c r="M2189" i="30"/>
  <c r="L2189" i="30"/>
  <c r="I2189" i="30"/>
  <c r="O2188" i="30" a="1"/>
  <c r="O2188" i="30" s="1"/>
  <c r="N2188" i="30"/>
  <c r="M2188" i="30"/>
  <c r="L2188" i="30"/>
  <c r="I2188" i="30"/>
  <c r="O2187" i="30" a="1"/>
  <c r="O2187" i="30" s="1"/>
  <c r="N2187" i="30"/>
  <c r="M2187" i="30"/>
  <c r="L2187" i="30"/>
  <c r="I2187" i="30"/>
  <c r="O2186" i="30" a="1"/>
  <c r="O2186" i="30" s="1"/>
  <c r="N2186" i="30"/>
  <c r="M2186" i="30"/>
  <c r="L2186" i="30"/>
  <c r="I2186" i="30"/>
  <c r="O2185" i="30" a="1"/>
  <c r="O2185" i="30" s="1"/>
  <c r="N2185" i="30"/>
  <c r="M2185" i="30"/>
  <c r="L2185" i="30"/>
  <c r="I2185" i="30"/>
  <c r="O2184" i="30" a="1"/>
  <c r="O2184" i="30" s="1"/>
  <c r="N2184" i="30"/>
  <c r="M2184" i="30"/>
  <c r="L2184" i="30"/>
  <c r="I2184" i="30"/>
  <c r="O2183" i="30" a="1"/>
  <c r="O2183" i="30" s="1"/>
  <c r="N2183" i="30"/>
  <c r="M2183" i="30"/>
  <c r="L2183" i="30"/>
  <c r="I2183" i="30"/>
  <c r="O2182" i="30" a="1"/>
  <c r="O2182" i="30" s="1"/>
  <c r="N2182" i="30"/>
  <c r="M2182" i="30"/>
  <c r="L2182" i="30"/>
  <c r="I2182" i="30"/>
  <c r="O2181" i="30" a="1"/>
  <c r="O2181" i="30" s="1"/>
  <c r="N2181" i="30"/>
  <c r="M2181" i="30"/>
  <c r="L2181" i="30"/>
  <c r="I2181" i="30"/>
  <c r="O2180" i="30" a="1"/>
  <c r="O2180" i="30" s="1"/>
  <c r="N2180" i="30"/>
  <c r="M2180" i="30"/>
  <c r="L2180" i="30"/>
  <c r="I2180" i="30"/>
  <c r="O2179" i="30" a="1"/>
  <c r="O2179" i="30" s="1"/>
  <c r="N2179" i="30"/>
  <c r="M2179" i="30"/>
  <c r="L2179" i="30"/>
  <c r="I2179" i="30"/>
  <c r="O2178" i="30" a="1"/>
  <c r="O2178" i="30" s="1"/>
  <c r="N2178" i="30"/>
  <c r="M2178" i="30"/>
  <c r="L2178" i="30"/>
  <c r="I2178" i="30"/>
  <c r="O2177" i="30" a="1"/>
  <c r="O2177" i="30" s="1"/>
  <c r="N2177" i="30"/>
  <c r="M2177" i="30"/>
  <c r="L2177" i="30"/>
  <c r="I2177" i="30"/>
  <c r="O2176" i="30" a="1"/>
  <c r="O2176" i="30" s="1"/>
  <c r="N2176" i="30"/>
  <c r="M2176" i="30"/>
  <c r="L2176" i="30"/>
  <c r="I2176" i="30"/>
  <c r="O2175" i="30" a="1"/>
  <c r="O2175" i="30" s="1"/>
  <c r="N2175" i="30"/>
  <c r="M2175" i="30"/>
  <c r="L2175" i="30"/>
  <c r="I2175" i="30"/>
  <c r="O2174" i="30" a="1"/>
  <c r="O2174" i="30" s="1"/>
  <c r="N2174" i="30"/>
  <c r="M2174" i="30"/>
  <c r="L2174" i="30"/>
  <c r="I2174" i="30"/>
  <c r="O2173" i="30" a="1"/>
  <c r="O2173" i="30" s="1"/>
  <c r="N2173" i="30"/>
  <c r="M2173" i="30"/>
  <c r="L2173" i="30"/>
  <c r="I2173" i="30"/>
  <c r="O2172" i="30" a="1"/>
  <c r="O2172" i="30" s="1"/>
  <c r="N2172" i="30"/>
  <c r="M2172" i="30"/>
  <c r="L2172" i="30"/>
  <c r="I2172" i="30"/>
  <c r="O2171" i="30" a="1"/>
  <c r="O2171" i="30" s="1"/>
  <c r="N2171" i="30"/>
  <c r="M2171" i="30"/>
  <c r="L2171" i="30"/>
  <c r="I2171" i="30"/>
  <c r="O2170" i="30" a="1"/>
  <c r="O2170" i="30" s="1"/>
  <c r="N2170" i="30"/>
  <c r="M2170" i="30"/>
  <c r="L2170" i="30"/>
  <c r="I2170" i="30"/>
  <c r="O2169" i="30" a="1"/>
  <c r="O2169" i="30" s="1"/>
  <c r="N2169" i="30"/>
  <c r="M2169" i="30"/>
  <c r="L2169" i="30"/>
  <c r="I2169" i="30"/>
  <c r="O2168" i="30" a="1"/>
  <c r="O2168" i="30" s="1"/>
  <c r="N2168" i="30"/>
  <c r="M2168" i="30"/>
  <c r="L2168" i="30"/>
  <c r="I2168" i="30"/>
  <c r="O2167" i="30" a="1"/>
  <c r="O2167" i="30" s="1"/>
  <c r="N2167" i="30"/>
  <c r="M2167" i="30"/>
  <c r="L2167" i="30"/>
  <c r="I2167" i="30"/>
  <c r="O2166" i="30" a="1"/>
  <c r="O2166" i="30" s="1"/>
  <c r="N2166" i="30"/>
  <c r="M2166" i="30"/>
  <c r="L2166" i="30"/>
  <c r="I2166" i="30"/>
  <c r="O2165" i="30" a="1"/>
  <c r="O2165" i="30" s="1"/>
  <c r="N2165" i="30"/>
  <c r="M2165" i="30"/>
  <c r="L2165" i="30"/>
  <c r="I2165" i="30"/>
  <c r="O2164" i="30" a="1"/>
  <c r="O2164" i="30" s="1"/>
  <c r="N2164" i="30"/>
  <c r="M2164" i="30"/>
  <c r="L2164" i="30"/>
  <c r="I2164" i="30"/>
  <c r="O2163" i="30" a="1"/>
  <c r="O2163" i="30" s="1"/>
  <c r="N2163" i="30"/>
  <c r="M2163" i="30"/>
  <c r="L2163" i="30"/>
  <c r="I2163" i="30"/>
  <c r="O2162" i="30" a="1"/>
  <c r="O2162" i="30" s="1"/>
  <c r="N2162" i="30"/>
  <c r="M2162" i="30"/>
  <c r="L2162" i="30"/>
  <c r="I2162" i="30"/>
  <c r="O2161" i="30" a="1"/>
  <c r="O2161" i="30" s="1"/>
  <c r="N2161" i="30"/>
  <c r="M2161" i="30"/>
  <c r="L2161" i="30"/>
  <c r="I2161" i="30"/>
  <c r="O2160" i="30" a="1"/>
  <c r="O2160" i="30" s="1"/>
  <c r="N2160" i="30"/>
  <c r="M2160" i="30"/>
  <c r="L2160" i="30"/>
  <c r="I2160" i="30"/>
  <c r="O2159" i="30" a="1"/>
  <c r="O2159" i="30" s="1"/>
  <c r="N2159" i="30"/>
  <c r="M2159" i="30"/>
  <c r="L2159" i="30"/>
  <c r="I2159" i="30"/>
  <c r="O2158" i="30" a="1"/>
  <c r="O2158" i="30" s="1"/>
  <c r="N2158" i="30"/>
  <c r="M2158" i="30"/>
  <c r="L2158" i="30"/>
  <c r="I2158" i="30"/>
  <c r="O2157" i="30" a="1"/>
  <c r="O2157" i="30" s="1"/>
  <c r="N2157" i="30"/>
  <c r="M2157" i="30"/>
  <c r="L2157" i="30"/>
  <c r="I2157" i="30"/>
  <c r="O2156" i="30" a="1"/>
  <c r="O2156" i="30" s="1"/>
  <c r="N2156" i="30"/>
  <c r="M2156" i="30"/>
  <c r="L2156" i="30"/>
  <c r="I2156" i="30"/>
  <c r="O2155" i="30" a="1"/>
  <c r="O2155" i="30" s="1"/>
  <c r="N2155" i="30"/>
  <c r="M2155" i="30"/>
  <c r="L2155" i="30"/>
  <c r="I2155" i="30"/>
  <c r="O2154" i="30" a="1"/>
  <c r="O2154" i="30" s="1"/>
  <c r="N2154" i="30"/>
  <c r="M2154" i="30"/>
  <c r="L2154" i="30"/>
  <c r="I2154" i="30"/>
  <c r="O2153" i="30" a="1"/>
  <c r="O2153" i="30" s="1"/>
  <c r="N2153" i="30"/>
  <c r="M2153" i="30"/>
  <c r="L2153" i="30"/>
  <c r="I2153" i="30"/>
  <c r="O2152" i="30" a="1"/>
  <c r="O2152" i="30" s="1"/>
  <c r="N2152" i="30"/>
  <c r="M2152" i="30"/>
  <c r="L2152" i="30"/>
  <c r="I2152" i="30"/>
  <c r="O2151" i="30" a="1"/>
  <c r="O2151" i="30" s="1"/>
  <c r="N2151" i="30"/>
  <c r="M2151" i="30"/>
  <c r="L2151" i="30"/>
  <c r="I2151" i="30"/>
  <c r="O2150" i="30" a="1"/>
  <c r="O2150" i="30" s="1"/>
  <c r="N2150" i="30"/>
  <c r="M2150" i="30"/>
  <c r="L2150" i="30"/>
  <c r="I2150" i="30"/>
  <c r="O2149" i="30" a="1"/>
  <c r="O2149" i="30" s="1"/>
  <c r="N2149" i="30"/>
  <c r="M2149" i="30"/>
  <c r="L2149" i="30"/>
  <c r="I2149" i="30"/>
  <c r="O2148" i="30" a="1"/>
  <c r="O2148" i="30" s="1"/>
  <c r="N2148" i="30"/>
  <c r="M2148" i="30"/>
  <c r="L2148" i="30"/>
  <c r="I2148" i="30"/>
  <c r="O2147" i="30" a="1"/>
  <c r="O2147" i="30" s="1"/>
  <c r="N2147" i="30"/>
  <c r="M2147" i="30"/>
  <c r="L2147" i="30"/>
  <c r="I2147" i="30"/>
  <c r="O2146" i="30" a="1"/>
  <c r="O2146" i="30" s="1"/>
  <c r="N2146" i="30"/>
  <c r="M2146" i="30"/>
  <c r="L2146" i="30"/>
  <c r="I2146" i="30"/>
  <c r="O2145" i="30" a="1"/>
  <c r="O2145" i="30" s="1"/>
  <c r="N2145" i="30"/>
  <c r="M2145" i="30"/>
  <c r="L2145" i="30"/>
  <c r="I2145" i="30"/>
  <c r="O2144" i="30" a="1"/>
  <c r="O2144" i="30" s="1"/>
  <c r="N2144" i="30"/>
  <c r="M2144" i="30"/>
  <c r="L2144" i="30"/>
  <c r="I2144" i="30"/>
  <c r="O2143" i="30" a="1"/>
  <c r="O2143" i="30" s="1"/>
  <c r="N2143" i="30"/>
  <c r="M2143" i="30"/>
  <c r="L2143" i="30"/>
  <c r="I2143" i="30"/>
  <c r="O2142" i="30" a="1"/>
  <c r="O2142" i="30" s="1"/>
  <c r="N2142" i="30"/>
  <c r="M2142" i="30"/>
  <c r="L2142" i="30"/>
  <c r="I2142" i="30"/>
  <c r="O2141" i="30" a="1"/>
  <c r="O2141" i="30" s="1"/>
  <c r="N2141" i="30"/>
  <c r="M2141" i="30"/>
  <c r="L2141" i="30"/>
  <c r="I2141" i="30"/>
  <c r="O2140" i="30" a="1"/>
  <c r="O2140" i="30" s="1"/>
  <c r="N2140" i="30"/>
  <c r="M2140" i="30"/>
  <c r="L2140" i="30"/>
  <c r="I2140" i="30"/>
  <c r="O2139" i="30" a="1"/>
  <c r="O2139" i="30" s="1"/>
  <c r="N2139" i="30"/>
  <c r="M2139" i="30"/>
  <c r="L2139" i="30"/>
  <c r="I2139" i="30"/>
  <c r="O2138" i="30" a="1"/>
  <c r="O2138" i="30" s="1"/>
  <c r="N2138" i="30"/>
  <c r="M2138" i="30"/>
  <c r="L2138" i="30"/>
  <c r="I2138" i="30"/>
  <c r="O2137" i="30" a="1"/>
  <c r="O2137" i="30" s="1"/>
  <c r="N2137" i="30"/>
  <c r="M2137" i="30"/>
  <c r="L2137" i="30"/>
  <c r="I2137" i="30"/>
  <c r="O2136" i="30" a="1"/>
  <c r="O2136" i="30" s="1"/>
  <c r="N2136" i="30"/>
  <c r="M2136" i="30"/>
  <c r="L2136" i="30"/>
  <c r="I2136" i="30"/>
  <c r="O2135" i="30" a="1"/>
  <c r="O2135" i="30" s="1"/>
  <c r="N2135" i="30"/>
  <c r="M2135" i="30"/>
  <c r="L2135" i="30"/>
  <c r="I2135" i="30"/>
  <c r="O2134" i="30" a="1"/>
  <c r="O2134" i="30" s="1"/>
  <c r="N2134" i="30"/>
  <c r="M2134" i="30"/>
  <c r="L2134" i="30"/>
  <c r="I2134" i="30"/>
  <c r="O2133" i="30" a="1"/>
  <c r="O2133" i="30" s="1"/>
  <c r="N2133" i="30"/>
  <c r="M2133" i="30"/>
  <c r="L2133" i="30"/>
  <c r="I2133" i="30"/>
  <c r="O2132" i="30" a="1"/>
  <c r="O2132" i="30" s="1"/>
  <c r="N2132" i="30"/>
  <c r="M2132" i="30"/>
  <c r="L2132" i="30"/>
  <c r="I2132" i="30"/>
  <c r="O2131" i="30" a="1"/>
  <c r="O2131" i="30" s="1"/>
  <c r="N2131" i="30"/>
  <c r="M2131" i="30"/>
  <c r="L2131" i="30"/>
  <c r="I2131" i="30"/>
  <c r="O2130" i="30" a="1"/>
  <c r="O2130" i="30" s="1"/>
  <c r="N2130" i="30"/>
  <c r="M2130" i="30"/>
  <c r="L2130" i="30"/>
  <c r="I2130" i="30"/>
  <c r="O2129" i="30" a="1"/>
  <c r="O2129" i="30" s="1"/>
  <c r="N2129" i="30"/>
  <c r="M2129" i="30"/>
  <c r="L2129" i="30"/>
  <c r="I2129" i="30"/>
  <c r="O2128" i="30" a="1"/>
  <c r="O2128" i="30" s="1"/>
  <c r="N2128" i="30"/>
  <c r="M2128" i="30"/>
  <c r="L2128" i="30"/>
  <c r="I2128" i="30"/>
  <c r="O2127" i="30" a="1"/>
  <c r="O2127" i="30" s="1"/>
  <c r="N2127" i="30"/>
  <c r="M2127" i="30"/>
  <c r="L2127" i="30"/>
  <c r="I2127" i="30"/>
  <c r="O2126" i="30" a="1"/>
  <c r="O2126" i="30" s="1"/>
  <c r="N2126" i="30"/>
  <c r="M2126" i="30"/>
  <c r="L2126" i="30"/>
  <c r="I2126" i="30"/>
  <c r="O2125" i="30" a="1"/>
  <c r="O2125" i="30" s="1"/>
  <c r="N2125" i="30"/>
  <c r="M2125" i="30"/>
  <c r="L2125" i="30"/>
  <c r="I2125" i="30"/>
  <c r="O2124" i="30" a="1"/>
  <c r="O2124" i="30" s="1"/>
  <c r="N2124" i="30"/>
  <c r="M2124" i="30"/>
  <c r="L2124" i="30"/>
  <c r="I2124" i="30"/>
  <c r="O2123" i="30" a="1"/>
  <c r="O2123" i="30" s="1"/>
  <c r="N2123" i="30"/>
  <c r="M2123" i="30"/>
  <c r="L2123" i="30"/>
  <c r="I2123" i="30"/>
  <c r="O2122" i="30" a="1"/>
  <c r="O2122" i="30" s="1"/>
  <c r="N2122" i="30"/>
  <c r="M2122" i="30"/>
  <c r="L2122" i="30"/>
  <c r="I2122" i="30"/>
  <c r="O2121" i="30" a="1"/>
  <c r="O2121" i="30" s="1"/>
  <c r="N2121" i="30"/>
  <c r="M2121" i="30"/>
  <c r="L2121" i="30"/>
  <c r="I2121" i="30"/>
  <c r="O2120" i="30" a="1"/>
  <c r="O2120" i="30" s="1"/>
  <c r="N2120" i="30"/>
  <c r="M2120" i="30"/>
  <c r="L2120" i="30"/>
  <c r="I2120" i="30"/>
  <c r="O2119" i="30" a="1"/>
  <c r="O2119" i="30" s="1"/>
  <c r="N2119" i="30"/>
  <c r="M2119" i="30"/>
  <c r="L2119" i="30"/>
  <c r="I2119" i="30"/>
  <c r="O2118" i="30" a="1"/>
  <c r="O2118" i="30" s="1"/>
  <c r="N2118" i="30"/>
  <c r="M2118" i="30"/>
  <c r="L2118" i="30"/>
  <c r="I2118" i="30"/>
  <c r="O2117" i="30" a="1"/>
  <c r="O2117" i="30" s="1"/>
  <c r="N2117" i="30"/>
  <c r="M2117" i="30"/>
  <c r="L2117" i="30"/>
  <c r="I2117" i="30"/>
  <c r="O2116" i="30" a="1"/>
  <c r="O2116" i="30" s="1"/>
  <c r="N2116" i="30"/>
  <c r="M2116" i="30"/>
  <c r="L2116" i="30"/>
  <c r="I2116" i="30"/>
  <c r="O2115" i="30" a="1"/>
  <c r="O2115" i="30" s="1"/>
  <c r="N2115" i="30"/>
  <c r="M2115" i="30"/>
  <c r="L2115" i="30"/>
  <c r="I2115" i="30"/>
  <c r="O2114" i="30" a="1"/>
  <c r="O2114" i="30" s="1"/>
  <c r="N2114" i="30"/>
  <c r="M2114" i="30"/>
  <c r="L2114" i="30"/>
  <c r="I2114" i="30"/>
  <c r="O2113" i="30" a="1"/>
  <c r="O2113" i="30" s="1"/>
  <c r="N2113" i="30"/>
  <c r="M2113" i="30"/>
  <c r="L2113" i="30"/>
  <c r="I2113" i="30"/>
  <c r="O2112" i="30" a="1"/>
  <c r="O2112" i="30" s="1"/>
  <c r="N2112" i="30"/>
  <c r="M2112" i="30"/>
  <c r="L2112" i="30"/>
  <c r="I2112" i="30"/>
  <c r="O2111" i="30" a="1"/>
  <c r="O2111" i="30" s="1"/>
  <c r="N2111" i="30"/>
  <c r="M2111" i="30"/>
  <c r="L2111" i="30"/>
  <c r="I2111" i="30"/>
  <c r="O2110" i="30" a="1"/>
  <c r="O2110" i="30" s="1"/>
  <c r="N2110" i="30"/>
  <c r="M2110" i="30"/>
  <c r="L2110" i="30"/>
  <c r="I2110" i="30"/>
  <c r="O2109" i="30" a="1"/>
  <c r="O2109" i="30" s="1"/>
  <c r="N2109" i="30"/>
  <c r="M2109" i="30"/>
  <c r="L2109" i="30"/>
  <c r="I2109" i="30"/>
  <c r="O2108" i="30" a="1"/>
  <c r="O2108" i="30" s="1"/>
  <c r="N2108" i="30"/>
  <c r="M2108" i="30"/>
  <c r="L2108" i="30"/>
  <c r="I2108" i="30"/>
  <c r="O2107" i="30" a="1"/>
  <c r="O2107" i="30" s="1"/>
  <c r="N2107" i="30"/>
  <c r="M2107" i="30"/>
  <c r="L2107" i="30"/>
  <c r="I2107" i="30"/>
  <c r="O2106" i="30" a="1"/>
  <c r="O2106" i="30" s="1"/>
  <c r="N2106" i="30"/>
  <c r="M2106" i="30"/>
  <c r="L2106" i="30"/>
  <c r="I2106" i="30"/>
  <c r="O2105" i="30" a="1"/>
  <c r="O2105" i="30" s="1"/>
  <c r="N2105" i="30"/>
  <c r="M2105" i="30"/>
  <c r="L2105" i="30"/>
  <c r="I2105" i="30"/>
  <c r="O2104" i="30" a="1"/>
  <c r="O2104" i="30" s="1"/>
  <c r="N2104" i="30"/>
  <c r="M2104" i="30"/>
  <c r="L2104" i="30"/>
  <c r="I2104" i="30"/>
  <c r="O2103" i="30" a="1"/>
  <c r="O2103" i="30" s="1"/>
  <c r="N2103" i="30"/>
  <c r="M2103" i="30"/>
  <c r="L2103" i="30"/>
  <c r="I2103" i="30"/>
  <c r="O2102" i="30" a="1"/>
  <c r="O2102" i="30" s="1"/>
  <c r="N2102" i="30"/>
  <c r="M2102" i="30"/>
  <c r="L2102" i="30"/>
  <c r="I2102" i="30"/>
  <c r="O2101" i="30" a="1"/>
  <c r="O2101" i="30" s="1"/>
  <c r="N2101" i="30"/>
  <c r="M2101" i="30"/>
  <c r="L2101" i="30"/>
  <c r="I2101" i="30"/>
  <c r="O2100" i="30" a="1"/>
  <c r="O2100" i="30" s="1"/>
  <c r="N2100" i="30"/>
  <c r="M2100" i="30"/>
  <c r="L2100" i="30"/>
  <c r="I2100" i="30"/>
  <c r="O2099" i="30" a="1"/>
  <c r="O2099" i="30" s="1"/>
  <c r="N2099" i="30"/>
  <c r="M2099" i="30"/>
  <c r="L2099" i="30"/>
  <c r="I2099" i="30"/>
  <c r="O2098" i="30" a="1"/>
  <c r="O2098" i="30" s="1"/>
  <c r="N2098" i="30"/>
  <c r="M2098" i="30"/>
  <c r="L2098" i="30"/>
  <c r="I2098" i="30"/>
  <c r="O2097" i="30" a="1"/>
  <c r="O2097" i="30" s="1"/>
  <c r="N2097" i="30"/>
  <c r="M2097" i="30"/>
  <c r="L2097" i="30"/>
  <c r="I2097" i="30"/>
  <c r="O2096" i="30" a="1"/>
  <c r="O2096" i="30" s="1"/>
  <c r="N2096" i="30"/>
  <c r="M2096" i="30"/>
  <c r="L2096" i="30"/>
  <c r="I2096" i="30"/>
  <c r="O2095" i="30" a="1"/>
  <c r="O2095" i="30" s="1"/>
  <c r="N2095" i="30"/>
  <c r="M2095" i="30"/>
  <c r="L2095" i="30"/>
  <c r="I2095" i="30"/>
  <c r="O2094" i="30" a="1"/>
  <c r="O2094" i="30" s="1"/>
  <c r="N2094" i="30"/>
  <c r="M2094" i="30"/>
  <c r="L2094" i="30"/>
  <c r="I2094" i="30"/>
  <c r="O2093" i="30" a="1"/>
  <c r="O2093" i="30" s="1"/>
  <c r="N2093" i="30"/>
  <c r="M2093" i="30"/>
  <c r="L2093" i="30"/>
  <c r="I2093" i="30"/>
  <c r="O2092" i="30" a="1"/>
  <c r="O2092" i="30" s="1"/>
  <c r="N2092" i="30"/>
  <c r="M2092" i="30"/>
  <c r="L2092" i="30"/>
  <c r="I2092" i="30"/>
  <c r="O2091" i="30" a="1"/>
  <c r="O2091" i="30" s="1"/>
  <c r="N2091" i="30"/>
  <c r="M2091" i="30"/>
  <c r="L2091" i="30"/>
  <c r="I2091" i="30"/>
  <c r="O2090" i="30" a="1"/>
  <c r="O2090" i="30" s="1"/>
  <c r="N2090" i="30"/>
  <c r="M2090" i="30"/>
  <c r="L2090" i="30"/>
  <c r="I2090" i="30"/>
  <c r="O2089" i="30" a="1"/>
  <c r="O2089" i="30" s="1"/>
  <c r="N2089" i="30"/>
  <c r="M2089" i="30"/>
  <c r="L2089" i="30"/>
  <c r="I2089" i="30"/>
  <c r="O2088" i="30" a="1"/>
  <c r="O2088" i="30" s="1"/>
  <c r="N2088" i="30"/>
  <c r="M2088" i="30"/>
  <c r="L2088" i="30"/>
  <c r="I2088" i="30"/>
  <c r="O2087" i="30" a="1"/>
  <c r="O2087" i="30" s="1"/>
  <c r="N2087" i="30"/>
  <c r="M2087" i="30"/>
  <c r="L2087" i="30"/>
  <c r="I2087" i="30"/>
  <c r="O2086" i="30" a="1"/>
  <c r="O2086" i="30" s="1"/>
  <c r="N2086" i="30"/>
  <c r="M2086" i="30"/>
  <c r="L2086" i="30"/>
  <c r="I2086" i="30"/>
  <c r="O2085" i="30" a="1"/>
  <c r="O2085" i="30" s="1"/>
  <c r="N2085" i="30"/>
  <c r="M2085" i="30"/>
  <c r="L2085" i="30"/>
  <c r="I2085" i="30"/>
  <c r="O2084" i="30" a="1"/>
  <c r="O2084" i="30" s="1"/>
  <c r="N2084" i="30"/>
  <c r="M2084" i="30"/>
  <c r="L2084" i="30"/>
  <c r="I2084" i="30"/>
  <c r="O2083" i="30" a="1"/>
  <c r="O2083" i="30" s="1"/>
  <c r="N2083" i="30"/>
  <c r="M2083" i="30"/>
  <c r="L2083" i="30"/>
  <c r="I2083" i="30"/>
  <c r="O2082" i="30" a="1"/>
  <c r="O2082" i="30" s="1"/>
  <c r="N2082" i="30"/>
  <c r="M2082" i="30"/>
  <c r="L2082" i="30"/>
  <c r="I2082" i="30"/>
  <c r="O2081" i="30" a="1"/>
  <c r="O2081" i="30" s="1"/>
  <c r="N2081" i="30"/>
  <c r="M2081" i="30"/>
  <c r="L2081" i="30"/>
  <c r="I2081" i="30"/>
  <c r="O2080" i="30" a="1"/>
  <c r="O2080" i="30" s="1"/>
  <c r="N2080" i="30"/>
  <c r="M2080" i="30"/>
  <c r="L2080" i="30"/>
  <c r="I2080" i="30"/>
  <c r="O2079" i="30" a="1"/>
  <c r="O2079" i="30" s="1"/>
  <c r="N2079" i="30"/>
  <c r="M2079" i="30"/>
  <c r="L2079" i="30"/>
  <c r="I2079" i="30"/>
  <c r="O2078" i="30" a="1"/>
  <c r="O2078" i="30" s="1"/>
  <c r="N2078" i="30"/>
  <c r="M2078" i="30"/>
  <c r="L2078" i="30"/>
  <c r="I2078" i="30"/>
  <c r="O2077" i="30" a="1"/>
  <c r="O2077" i="30" s="1"/>
  <c r="N2077" i="30"/>
  <c r="M2077" i="30"/>
  <c r="L2077" i="30"/>
  <c r="I2077" i="30"/>
  <c r="O2076" i="30" a="1"/>
  <c r="O2076" i="30" s="1"/>
  <c r="N2076" i="30"/>
  <c r="M2076" i="30"/>
  <c r="L2076" i="30"/>
  <c r="I2076" i="30"/>
  <c r="O2075" i="30" a="1"/>
  <c r="O2075" i="30" s="1"/>
  <c r="N2075" i="30"/>
  <c r="M2075" i="30"/>
  <c r="L2075" i="30"/>
  <c r="I2075" i="30"/>
  <c r="O2074" i="30" a="1"/>
  <c r="O2074" i="30" s="1"/>
  <c r="N2074" i="30"/>
  <c r="M2074" i="30"/>
  <c r="L2074" i="30"/>
  <c r="I2074" i="30"/>
  <c r="O2073" i="30" a="1"/>
  <c r="O2073" i="30" s="1"/>
  <c r="N2073" i="30"/>
  <c r="M2073" i="30"/>
  <c r="L2073" i="30"/>
  <c r="I2073" i="30"/>
  <c r="O2072" i="30" a="1"/>
  <c r="O2072" i="30" s="1"/>
  <c r="N2072" i="30"/>
  <c r="M2072" i="30"/>
  <c r="L2072" i="30"/>
  <c r="I2072" i="30"/>
  <c r="O2071" i="30" a="1"/>
  <c r="O2071" i="30" s="1"/>
  <c r="N2071" i="30"/>
  <c r="M2071" i="30"/>
  <c r="L2071" i="30"/>
  <c r="I2071" i="30"/>
  <c r="O2070" i="30" a="1"/>
  <c r="O2070" i="30" s="1"/>
  <c r="N2070" i="30"/>
  <c r="M2070" i="30"/>
  <c r="L2070" i="30"/>
  <c r="I2070" i="30"/>
  <c r="O2069" i="30" a="1"/>
  <c r="O2069" i="30" s="1"/>
  <c r="N2069" i="30"/>
  <c r="M2069" i="30"/>
  <c r="L2069" i="30"/>
  <c r="I2069" i="30"/>
  <c r="O2068" i="30" a="1"/>
  <c r="O2068" i="30" s="1"/>
  <c r="N2068" i="30"/>
  <c r="M2068" i="30"/>
  <c r="L2068" i="30"/>
  <c r="I2068" i="30"/>
  <c r="O2067" i="30" a="1"/>
  <c r="O2067" i="30" s="1"/>
  <c r="N2067" i="30"/>
  <c r="M2067" i="30"/>
  <c r="L2067" i="30"/>
  <c r="I2067" i="30"/>
  <c r="O2066" i="30" a="1"/>
  <c r="O2066" i="30" s="1"/>
  <c r="N2066" i="30"/>
  <c r="M2066" i="30"/>
  <c r="L2066" i="30"/>
  <c r="I2066" i="30"/>
  <c r="O2065" i="30" a="1"/>
  <c r="O2065" i="30" s="1"/>
  <c r="N2065" i="30"/>
  <c r="M2065" i="30"/>
  <c r="L2065" i="30"/>
  <c r="I2065" i="30"/>
  <c r="O2064" i="30" a="1"/>
  <c r="O2064" i="30" s="1"/>
  <c r="N2064" i="30"/>
  <c r="M2064" i="30"/>
  <c r="L2064" i="30"/>
  <c r="I2064" i="30"/>
  <c r="O2063" i="30" a="1"/>
  <c r="O2063" i="30" s="1"/>
  <c r="N2063" i="30"/>
  <c r="M2063" i="30"/>
  <c r="L2063" i="30"/>
  <c r="I2063" i="30"/>
  <c r="O2062" i="30" a="1"/>
  <c r="O2062" i="30" s="1"/>
  <c r="N2062" i="30"/>
  <c r="M2062" i="30"/>
  <c r="L2062" i="30"/>
  <c r="I2062" i="30"/>
  <c r="O2061" i="30" a="1"/>
  <c r="O2061" i="30" s="1"/>
  <c r="N2061" i="30"/>
  <c r="M2061" i="30"/>
  <c r="L2061" i="30"/>
  <c r="I2061" i="30"/>
  <c r="O2060" i="30" a="1"/>
  <c r="O2060" i="30" s="1"/>
  <c r="N2060" i="30"/>
  <c r="M2060" i="30"/>
  <c r="L2060" i="30"/>
  <c r="I2060" i="30"/>
  <c r="O2059" i="30" a="1"/>
  <c r="O2059" i="30" s="1"/>
  <c r="N2059" i="30"/>
  <c r="M2059" i="30"/>
  <c r="L2059" i="30"/>
  <c r="I2059" i="30"/>
  <c r="O2058" i="30" a="1"/>
  <c r="O2058" i="30" s="1"/>
  <c r="N2058" i="30"/>
  <c r="M2058" i="30"/>
  <c r="L2058" i="30"/>
  <c r="I2058" i="30"/>
  <c r="O2057" i="30" a="1"/>
  <c r="O2057" i="30" s="1"/>
  <c r="N2057" i="30"/>
  <c r="M2057" i="30"/>
  <c r="L2057" i="30"/>
  <c r="I2057" i="30"/>
  <c r="O2056" i="30" a="1"/>
  <c r="O2056" i="30" s="1"/>
  <c r="N2056" i="30"/>
  <c r="M2056" i="30"/>
  <c r="L2056" i="30"/>
  <c r="I2056" i="30"/>
  <c r="O2055" i="30" a="1"/>
  <c r="O2055" i="30" s="1"/>
  <c r="N2055" i="30"/>
  <c r="M2055" i="30"/>
  <c r="L2055" i="30"/>
  <c r="I2055" i="30"/>
  <c r="O2054" i="30" a="1"/>
  <c r="O2054" i="30" s="1"/>
  <c r="N2054" i="30"/>
  <c r="M2054" i="30"/>
  <c r="L2054" i="30"/>
  <c r="I2054" i="30"/>
  <c r="O2053" i="30" a="1"/>
  <c r="O2053" i="30" s="1"/>
  <c r="N2053" i="30"/>
  <c r="M2053" i="30"/>
  <c r="L2053" i="30"/>
  <c r="I2053" i="30"/>
  <c r="O2052" i="30" a="1"/>
  <c r="O2052" i="30" s="1"/>
  <c r="N2052" i="30"/>
  <c r="M2052" i="30"/>
  <c r="L2052" i="30"/>
  <c r="I2052" i="30"/>
  <c r="O2051" i="30" a="1"/>
  <c r="O2051" i="30" s="1"/>
  <c r="N2051" i="30"/>
  <c r="M2051" i="30"/>
  <c r="L2051" i="30"/>
  <c r="I2051" i="30"/>
  <c r="O2050" i="30" a="1"/>
  <c r="O2050" i="30" s="1"/>
  <c r="N2050" i="30"/>
  <c r="M2050" i="30"/>
  <c r="L2050" i="30"/>
  <c r="I2050" i="30"/>
  <c r="O2049" i="30" a="1"/>
  <c r="O2049" i="30" s="1"/>
  <c r="N2049" i="30"/>
  <c r="M2049" i="30"/>
  <c r="L2049" i="30"/>
  <c r="I2049" i="30"/>
  <c r="O2048" i="30" a="1"/>
  <c r="O2048" i="30" s="1"/>
  <c r="N2048" i="30"/>
  <c r="M2048" i="30"/>
  <c r="L2048" i="30"/>
  <c r="I2048" i="30"/>
  <c r="O2047" i="30" a="1"/>
  <c r="O2047" i="30" s="1"/>
  <c r="N2047" i="30"/>
  <c r="M2047" i="30"/>
  <c r="L2047" i="30"/>
  <c r="I2047" i="30"/>
  <c r="O2046" i="30" a="1"/>
  <c r="O2046" i="30" s="1"/>
  <c r="N2046" i="30"/>
  <c r="M2046" i="30"/>
  <c r="L2046" i="30"/>
  <c r="I2046" i="30"/>
  <c r="O2045" i="30" a="1"/>
  <c r="O2045" i="30" s="1"/>
  <c r="N2045" i="30"/>
  <c r="M2045" i="30"/>
  <c r="L2045" i="30"/>
  <c r="I2045" i="30"/>
  <c r="O2044" i="30" a="1"/>
  <c r="O2044" i="30" s="1"/>
  <c r="N2044" i="30"/>
  <c r="M2044" i="30"/>
  <c r="L2044" i="30"/>
  <c r="I2044" i="30"/>
  <c r="O2043" i="30" a="1"/>
  <c r="O2043" i="30" s="1"/>
  <c r="N2043" i="30"/>
  <c r="M2043" i="30"/>
  <c r="L2043" i="30"/>
  <c r="I2043" i="30"/>
  <c r="O2042" i="30" a="1"/>
  <c r="O2042" i="30" s="1"/>
  <c r="N2042" i="30"/>
  <c r="M2042" i="30"/>
  <c r="L2042" i="30"/>
  <c r="I2042" i="30"/>
  <c r="O2041" i="30" a="1"/>
  <c r="O2041" i="30" s="1"/>
  <c r="N2041" i="30"/>
  <c r="M2041" i="30"/>
  <c r="L2041" i="30"/>
  <c r="I2041" i="30"/>
  <c r="O2040" i="30" a="1"/>
  <c r="O2040" i="30" s="1"/>
  <c r="N2040" i="30"/>
  <c r="M2040" i="30"/>
  <c r="L2040" i="30"/>
  <c r="I2040" i="30"/>
  <c r="O2039" i="30" a="1"/>
  <c r="O2039" i="30" s="1"/>
  <c r="N2039" i="30"/>
  <c r="M2039" i="30"/>
  <c r="L2039" i="30"/>
  <c r="I2039" i="30"/>
  <c r="O2038" i="30" a="1"/>
  <c r="O2038" i="30" s="1"/>
  <c r="N2038" i="30"/>
  <c r="M2038" i="30"/>
  <c r="L2038" i="30"/>
  <c r="I2038" i="30"/>
  <c r="O2037" i="30" a="1"/>
  <c r="O2037" i="30" s="1"/>
  <c r="N2037" i="30"/>
  <c r="M2037" i="30"/>
  <c r="L2037" i="30"/>
  <c r="I2037" i="30"/>
  <c r="O2036" i="30" a="1"/>
  <c r="O2036" i="30" s="1"/>
  <c r="N2036" i="30"/>
  <c r="M2036" i="30"/>
  <c r="L2036" i="30"/>
  <c r="I2036" i="30"/>
  <c r="O2035" i="30" a="1"/>
  <c r="O2035" i="30" s="1"/>
  <c r="N2035" i="30"/>
  <c r="M2035" i="30"/>
  <c r="L2035" i="30"/>
  <c r="I2035" i="30"/>
  <c r="O2034" i="30" a="1"/>
  <c r="O2034" i="30" s="1"/>
  <c r="N2034" i="30"/>
  <c r="M2034" i="30"/>
  <c r="L2034" i="30"/>
  <c r="I2034" i="30"/>
  <c r="O2033" i="30" a="1"/>
  <c r="O2033" i="30" s="1"/>
  <c r="N2033" i="30"/>
  <c r="M2033" i="30"/>
  <c r="L2033" i="30"/>
  <c r="I2033" i="30"/>
  <c r="O2032" i="30" a="1"/>
  <c r="O2032" i="30" s="1"/>
  <c r="N2032" i="30"/>
  <c r="M2032" i="30"/>
  <c r="L2032" i="30"/>
  <c r="I2032" i="30"/>
  <c r="O2031" i="30" a="1"/>
  <c r="O2031" i="30" s="1"/>
  <c r="N2031" i="30"/>
  <c r="M2031" i="30"/>
  <c r="L2031" i="30"/>
  <c r="I2031" i="30"/>
  <c r="O2030" i="30" a="1"/>
  <c r="O2030" i="30" s="1"/>
  <c r="N2030" i="30"/>
  <c r="M2030" i="30"/>
  <c r="L2030" i="30"/>
  <c r="I2030" i="30"/>
  <c r="O2029" i="30" a="1"/>
  <c r="O2029" i="30" s="1"/>
  <c r="N2029" i="30"/>
  <c r="M2029" i="30"/>
  <c r="L2029" i="30"/>
  <c r="I2029" i="30"/>
  <c r="O2028" i="30" a="1"/>
  <c r="O2028" i="30" s="1"/>
  <c r="N2028" i="30"/>
  <c r="M2028" i="30"/>
  <c r="L2028" i="30"/>
  <c r="I2028" i="30"/>
  <c r="O2027" i="30" a="1"/>
  <c r="O2027" i="30" s="1"/>
  <c r="N2027" i="30"/>
  <c r="M2027" i="30"/>
  <c r="L2027" i="30"/>
  <c r="I2027" i="30"/>
  <c r="O2026" i="30" a="1"/>
  <c r="O2026" i="30" s="1"/>
  <c r="N2026" i="30"/>
  <c r="M2026" i="30"/>
  <c r="L2026" i="30"/>
  <c r="I2026" i="30"/>
  <c r="O2025" i="30" a="1"/>
  <c r="O2025" i="30" s="1"/>
  <c r="N2025" i="30"/>
  <c r="M2025" i="30"/>
  <c r="L2025" i="30"/>
  <c r="I2025" i="30"/>
  <c r="O2024" i="30" a="1"/>
  <c r="O2024" i="30" s="1"/>
  <c r="N2024" i="30"/>
  <c r="M2024" i="30"/>
  <c r="L2024" i="30"/>
  <c r="I2024" i="30"/>
  <c r="O2023" i="30" a="1"/>
  <c r="O2023" i="30" s="1"/>
  <c r="N2023" i="30"/>
  <c r="M2023" i="30"/>
  <c r="L2023" i="30"/>
  <c r="I2023" i="30"/>
  <c r="O2022" i="30" a="1"/>
  <c r="O2022" i="30" s="1"/>
  <c r="N2022" i="30"/>
  <c r="M2022" i="30"/>
  <c r="L2022" i="30"/>
  <c r="I2022" i="30"/>
  <c r="O2021" i="30" a="1"/>
  <c r="O2021" i="30" s="1"/>
  <c r="N2021" i="30"/>
  <c r="M2021" i="30"/>
  <c r="L2021" i="30"/>
  <c r="I2021" i="30"/>
  <c r="O2020" i="30" a="1"/>
  <c r="O2020" i="30" s="1"/>
  <c r="N2020" i="30"/>
  <c r="M2020" i="30"/>
  <c r="L2020" i="30"/>
  <c r="I2020" i="30"/>
  <c r="O2019" i="30" a="1"/>
  <c r="O2019" i="30" s="1"/>
  <c r="N2019" i="30"/>
  <c r="M2019" i="30"/>
  <c r="L2019" i="30"/>
  <c r="I2019" i="30"/>
  <c r="O2018" i="30" a="1"/>
  <c r="O2018" i="30" s="1"/>
  <c r="N2018" i="30"/>
  <c r="M2018" i="30"/>
  <c r="L2018" i="30"/>
  <c r="I2018" i="30"/>
  <c r="O2017" i="30" a="1"/>
  <c r="O2017" i="30" s="1"/>
  <c r="N2017" i="30"/>
  <c r="M2017" i="30"/>
  <c r="L2017" i="30"/>
  <c r="I2017" i="30"/>
  <c r="O2016" i="30" a="1"/>
  <c r="O2016" i="30" s="1"/>
  <c r="N2016" i="30"/>
  <c r="M2016" i="30"/>
  <c r="L2016" i="30"/>
  <c r="I2016" i="30"/>
  <c r="O2015" i="30" a="1"/>
  <c r="O2015" i="30" s="1"/>
  <c r="N2015" i="30"/>
  <c r="M2015" i="30"/>
  <c r="L2015" i="30"/>
  <c r="I2015" i="30"/>
  <c r="O2014" i="30" a="1"/>
  <c r="O2014" i="30" s="1"/>
  <c r="N2014" i="30"/>
  <c r="M2014" i="30"/>
  <c r="L2014" i="30"/>
  <c r="I2014" i="30"/>
  <c r="O2013" i="30" a="1"/>
  <c r="O2013" i="30" s="1"/>
  <c r="N2013" i="30"/>
  <c r="M2013" i="30"/>
  <c r="L2013" i="30"/>
  <c r="I2013" i="30"/>
  <c r="O2012" i="30" a="1"/>
  <c r="O2012" i="30" s="1"/>
  <c r="N2012" i="30"/>
  <c r="M2012" i="30"/>
  <c r="L2012" i="30"/>
  <c r="I2012" i="30"/>
  <c r="O2011" i="30" a="1"/>
  <c r="O2011" i="30" s="1"/>
  <c r="N2011" i="30"/>
  <c r="M2011" i="30"/>
  <c r="L2011" i="30"/>
  <c r="I2011" i="30"/>
  <c r="O2010" i="30" a="1"/>
  <c r="O2010" i="30" s="1"/>
  <c r="N2010" i="30"/>
  <c r="M2010" i="30"/>
  <c r="L2010" i="30"/>
  <c r="I2010" i="30"/>
  <c r="O2009" i="30" a="1"/>
  <c r="O2009" i="30" s="1"/>
  <c r="N2009" i="30"/>
  <c r="M2009" i="30"/>
  <c r="L2009" i="30"/>
  <c r="I2009" i="30"/>
  <c r="O2008" i="30" a="1"/>
  <c r="O2008" i="30" s="1"/>
  <c r="N2008" i="30"/>
  <c r="M2008" i="30"/>
  <c r="L2008" i="30"/>
  <c r="I2008" i="30"/>
  <c r="O2007" i="30" a="1"/>
  <c r="O2007" i="30" s="1"/>
  <c r="N2007" i="30"/>
  <c r="M2007" i="30"/>
  <c r="L2007" i="30"/>
  <c r="I2007" i="30"/>
  <c r="O2006" i="30" a="1"/>
  <c r="O2006" i="30" s="1"/>
  <c r="N2006" i="30"/>
  <c r="M2006" i="30"/>
  <c r="L2006" i="30"/>
  <c r="I2006" i="30"/>
  <c r="O2005" i="30" a="1"/>
  <c r="O2005" i="30" s="1"/>
  <c r="N2005" i="30"/>
  <c r="M2005" i="30"/>
  <c r="L2005" i="30"/>
  <c r="I2005" i="30"/>
  <c r="O2004" i="30" a="1"/>
  <c r="O2004" i="30" s="1"/>
  <c r="N2004" i="30"/>
  <c r="M2004" i="30"/>
  <c r="L2004" i="30"/>
  <c r="I2004" i="30"/>
  <c r="O2003" i="30" a="1"/>
  <c r="O2003" i="30" s="1"/>
  <c r="N2003" i="30"/>
  <c r="M2003" i="30"/>
  <c r="L2003" i="30"/>
  <c r="I2003" i="30"/>
  <c r="O2002" i="30" a="1"/>
  <c r="O2002" i="30" s="1"/>
  <c r="N2002" i="30"/>
  <c r="M2002" i="30"/>
  <c r="L2002" i="30"/>
  <c r="I2002" i="30"/>
  <c r="O2001" i="30" a="1"/>
  <c r="O2001" i="30" s="1"/>
  <c r="N2001" i="30"/>
  <c r="M2001" i="30"/>
  <c r="L2001" i="30"/>
  <c r="I2001" i="30"/>
  <c r="O2000" i="30" a="1"/>
  <c r="O2000" i="30" s="1"/>
  <c r="N2000" i="30"/>
  <c r="M2000" i="30"/>
  <c r="L2000" i="30"/>
  <c r="I2000" i="30"/>
  <c r="O1999" i="30" a="1"/>
  <c r="O1999" i="30" s="1"/>
  <c r="N1999" i="30"/>
  <c r="M1999" i="30"/>
  <c r="L1999" i="30"/>
  <c r="I1999" i="30"/>
  <c r="O1998" i="30" a="1"/>
  <c r="O1998" i="30" s="1"/>
  <c r="N1998" i="30"/>
  <c r="M1998" i="30"/>
  <c r="L1998" i="30"/>
  <c r="I1998" i="30"/>
  <c r="O1997" i="30" a="1"/>
  <c r="O1997" i="30" s="1"/>
  <c r="N1997" i="30"/>
  <c r="M1997" i="30"/>
  <c r="L1997" i="30"/>
  <c r="I1997" i="30"/>
  <c r="O1996" i="30" a="1"/>
  <c r="O1996" i="30" s="1"/>
  <c r="N1996" i="30"/>
  <c r="M1996" i="30"/>
  <c r="L1996" i="30"/>
  <c r="I1996" i="30"/>
  <c r="O1995" i="30" a="1"/>
  <c r="O1995" i="30" s="1"/>
  <c r="N1995" i="30"/>
  <c r="M1995" i="30"/>
  <c r="L1995" i="30"/>
  <c r="I1995" i="30"/>
  <c r="O1994" i="30" a="1"/>
  <c r="O1994" i="30" s="1"/>
  <c r="N1994" i="30"/>
  <c r="M1994" i="30"/>
  <c r="L1994" i="30"/>
  <c r="I1994" i="30"/>
  <c r="O1993" i="30" a="1"/>
  <c r="O1993" i="30" s="1"/>
  <c r="N1993" i="30"/>
  <c r="M1993" i="30"/>
  <c r="L1993" i="30"/>
  <c r="I1993" i="30"/>
  <c r="O1992" i="30" a="1"/>
  <c r="O1992" i="30" s="1"/>
  <c r="N1992" i="30"/>
  <c r="M1992" i="30"/>
  <c r="L1992" i="30"/>
  <c r="I1992" i="30"/>
  <c r="O1991" i="30" a="1"/>
  <c r="O1991" i="30" s="1"/>
  <c r="N1991" i="30"/>
  <c r="M1991" i="30"/>
  <c r="L1991" i="30"/>
  <c r="I1991" i="30"/>
  <c r="O1990" i="30" a="1"/>
  <c r="O1990" i="30" s="1"/>
  <c r="N1990" i="30"/>
  <c r="M1990" i="30"/>
  <c r="L1990" i="30"/>
  <c r="I1990" i="30"/>
  <c r="O1989" i="30" a="1"/>
  <c r="O1989" i="30" s="1"/>
  <c r="N1989" i="30"/>
  <c r="M1989" i="30"/>
  <c r="L1989" i="30"/>
  <c r="I1989" i="30"/>
  <c r="O1988" i="30" a="1"/>
  <c r="O1988" i="30" s="1"/>
  <c r="N1988" i="30"/>
  <c r="M1988" i="30"/>
  <c r="L1988" i="30"/>
  <c r="I1988" i="30"/>
  <c r="O1987" i="30" a="1"/>
  <c r="O1987" i="30" s="1"/>
  <c r="N1987" i="30"/>
  <c r="M1987" i="30"/>
  <c r="L1987" i="30"/>
  <c r="I1987" i="30"/>
  <c r="O1986" i="30" a="1"/>
  <c r="O1986" i="30" s="1"/>
  <c r="N1986" i="30"/>
  <c r="M1986" i="30"/>
  <c r="L1986" i="30"/>
  <c r="I1986" i="30"/>
  <c r="O1985" i="30" a="1"/>
  <c r="O1985" i="30" s="1"/>
  <c r="N1985" i="30"/>
  <c r="M1985" i="30"/>
  <c r="L1985" i="30"/>
  <c r="I1985" i="30"/>
  <c r="O1984" i="30" a="1"/>
  <c r="O1984" i="30" s="1"/>
  <c r="N1984" i="30"/>
  <c r="M1984" i="30"/>
  <c r="L1984" i="30"/>
  <c r="I1984" i="30"/>
  <c r="O1983" i="30" a="1"/>
  <c r="O1983" i="30" s="1"/>
  <c r="N1983" i="30"/>
  <c r="M1983" i="30"/>
  <c r="L1983" i="30"/>
  <c r="I1983" i="30"/>
  <c r="O1982" i="30" a="1"/>
  <c r="O1982" i="30" s="1"/>
  <c r="N1982" i="30"/>
  <c r="M1982" i="30"/>
  <c r="L1982" i="30"/>
  <c r="I1982" i="30"/>
  <c r="O1981" i="30" a="1"/>
  <c r="O1981" i="30" s="1"/>
  <c r="N1981" i="30"/>
  <c r="M1981" i="30"/>
  <c r="L1981" i="30"/>
  <c r="I1981" i="30"/>
  <c r="O1980" i="30" a="1"/>
  <c r="O1980" i="30" s="1"/>
  <c r="N1980" i="30"/>
  <c r="M1980" i="30"/>
  <c r="L1980" i="30"/>
  <c r="I1980" i="30"/>
  <c r="O1979" i="30" a="1"/>
  <c r="O1979" i="30" s="1"/>
  <c r="N1979" i="30"/>
  <c r="M1979" i="30"/>
  <c r="L1979" i="30"/>
  <c r="I1979" i="30"/>
  <c r="O1978" i="30" a="1"/>
  <c r="O1978" i="30" s="1"/>
  <c r="N1978" i="30"/>
  <c r="M1978" i="30"/>
  <c r="L1978" i="30"/>
  <c r="I1978" i="30"/>
  <c r="O1977" i="30" a="1"/>
  <c r="O1977" i="30" s="1"/>
  <c r="N1977" i="30"/>
  <c r="M1977" i="30"/>
  <c r="L1977" i="30"/>
  <c r="I1977" i="30"/>
  <c r="O1976" i="30" a="1"/>
  <c r="O1976" i="30" s="1"/>
  <c r="N1976" i="30"/>
  <c r="M1976" i="30"/>
  <c r="L1976" i="30"/>
  <c r="I1976" i="30"/>
  <c r="O1975" i="30" a="1"/>
  <c r="O1975" i="30" s="1"/>
  <c r="N1975" i="30"/>
  <c r="M1975" i="30"/>
  <c r="L1975" i="30"/>
  <c r="I1975" i="30"/>
  <c r="O1974" i="30" a="1"/>
  <c r="O1974" i="30" s="1"/>
  <c r="N1974" i="30"/>
  <c r="M1974" i="30"/>
  <c r="L1974" i="30"/>
  <c r="I1974" i="30"/>
  <c r="O1973" i="30" a="1"/>
  <c r="O1973" i="30" s="1"/>
  <c r="N1973" i="30"/>
  <c r="M1973" i="30"/>
  <c r="L1973" i="30"/>
  <c r="I1973" i="30"/>
  <c r="O1972" i="30" a="1"/>
  <c r="O1972" i="30" s="1"/>
  <c r="N1972" i="30"/>
  <c r="M1972" i="30"/>
  <c r="L1972" i="30"/>
  <c r="I1972" i="30"/>
  <c r="O1971" i="30" a="1"/>
  <c r="O1971" i="30" s="1"/>
  <c r="N1971" i="30"/>
  <c r="M1971" i="30"/>
  <c r="L1971" i="30"/>
  <c r="I1971" i="30"/>
  <c r="O1970" i="30" a="1"/>
  <c r="O1970" i="30" s="1"/>
  <c r="N1970" i="30"/>
  <c r="M1970" i="30"/>
  <c r="L1970" i="30"/>
  <c r="I1970" i="30"/>
  <c r="O1969" i="30" a="1"/>
  <c r="O1969" i="30" s="1"/>
  <c r="N1969" i="30"/>
  <c r="M1969" i="30"/>
  <c r="L1969" i="30"/>
  <c r="I1969" i="30"/>
  <c r="O1968" i="30" a="1"/>
  <c r="O1968" i="30" s="1"/>
  <c r="N1968" i="30"/>
  <c r="M1968" i="30"/>
  <c r="L1968" i="30"/>
  <c r="I1968" i="30"/>
  <c r="O1967" i="30" a="1"/>
  <c r="O1967" i="30" s="1"/>
  <c r="N1967" i="30"/>
  <c r="M1967" i="30"/>
  <c r="L1967" i="30"/>
  <c r="I1967" i="30"/>
  <c r="O1966" i="30" a="1"/>
  <c r="O1966" i="30" s="1"/>
  <c r="N1966" i="30"/>
  <c r="M1966" i="30"/>
  <c r="L1966" i="30"/>
  <c r="I1966" i="30"/>
  <c r="O1965" i="30" a="1"/>
  <c r="O1965" i="30" s="1"/>
  <c r="N1965" i="30"/>
  <c r="M1965" i="30"/>
  <c r="L1965" i="30"/>
  <c r="I1965" i="30"/>
  <c r="O1964" i="30" a="1"/>
  <c r="O1964" i="30" s="1"/>
  <c r="N1964" i="30"/>
  <c r="M1964" i="30"/>
  <c r="L1964" i="30"/>
  <c r="I1964" i="30"/>
  <c r="O1963" i="30" a="1"/>
  <c r="O1963" i="30" s="1"/>
  <c r="N1963" i="30"/>
  <c r="M1963" i="30"/>
  <c r="L1963" i="30"/>
  <c r="I1963" i="30"/>
  <c r="O1962" i="30" a="1"/>
  <c r="O1962" i="30" s="1"/>
  <c r="N1962" i="30"/>
  <c r="M1962" i="30"/>
  <c r="L1962" i="30"/>
  <c r="I1962" i="30"/>
  <c r="O1961" i="30" a="1"/>
  <c r="O1961" i="30" s="1"/>
  <c r="N1961" i="30"/>
  <c r="M1961" i="30"/>
  <c r="L1961" i="30"/>
  <c r="I1961" i="30"/>
  <c r="O1960" i="30" a="1"/>
  <c r="O1960" i="30" s="1"/>
  <c r="N1960" i="30"/>
  <c r="M1960" i="30"/>
  <c r="L1960" i="30"/>
  <c r="I1960" i="30"/>
  <c r="O1959" i="30" a="1"/>
  <c r="O1959" i="30" s="1"/>
  <c r="N1959" i="30"/>
  <c r="M1959" i="30"/>
  <c r="L1959" i="30"/>
  <c r="I1959" i="30"/>
  <c r="O1958" i="30" a="1"/>
  <c r="O1958" i="30" s="1"/>
  <c r="N1958" i="30"/>
  <c r="M1958" i="30"/>
  <c r="L1958" i="30"/>
  <c r="I1958" i="30"/>
  <c r="O1957" i="30" a="1"/>
  <c r="O1957" i="30" s="1"/>
  <c r="N1957" i="30"/>
  <c r="M1957" i="30"/>
  <c r="L1957" i="30"/>
  <c r="I1957" i="30"/>
  <c r="O1956" i="30" a="1"/>
  <c r="O1956" i="30" s="1"/>
  <c r="N1956" i="30"/>
  <c r="M1956" i="30"/>
  <c r="L1956" i="30"/>
  <c r="I1956" i="30"/>
  <c r="O1955" i="30" a="1"/>
  <c r="O1955" i="30" s="1"/>
  <c r="N1955" i="30"/>
  <c r="M1955" i="30"/>
  <c r="L1955" i="30"/>
  <c r="I1955" i="30"/>
  <c r="O1954" i="30" a="1"/>
  <c r="O1954" i="30" s="1"/>
  <c r="N1954" i="30"/>
  <c r="M1954" i="30"/>
  <c r="L1954" i="30"/>
  <c r="I1954" i="30"/>
  <c r="O1953" i="30" a="1"/>
  <c r="O1953" i="30" s="1"/>
  <c r="N1953" i="30"/>
  <c r="M1953" i="30"/>
  <c r="L1953" i="30"/>
  <c r="I1953" i="30"/>
  <c r="O1952" i="30" a="1"/>
  <c r="O1952" i="30" s="1"/>
  <c r="N1952" i="30"/>
  <c r="M1952" i="30"/>
  <c r="L1952" i="30"/>
  <c r="I1952" i="30"/>
  <c r="O1951" i="30" a="1"/>
  <c r="O1951" i="30" s="1"/>
  <c r="N1951" i="30"/>
  <c r="M1951" i="30"/>
  <c r="L1951" i="30"/>
  <c r="I1951" i="30"/>
  <c r="O1950" i="30" a="1"/>
  <c r="O1950" i="30" s="1"/>
  <c r="N1950" i="30"/>
  <c r="M1950" i="30"/>
  <c r="L1950" i="30"/>
  <c r="I1950" i="30"/>
  <c r="O1949" i="30" a="1"/>
  <c r="O1949" i="30" s="1"/>
  <c r="N1949" i="30"/>
  <c r="M1949" i="30"/>
  <c r="L1949" i="30"/>
  <c r="I1949" i="30"/>
  <c r="O1948" i="30" a="1"/>
  <c r="O1948" i="30" s="1"/>
  <c r="N1948" i="30"/>
  <c r="M1948" i="30"/>
  <c r="L1948" i="30"/>
  <c r="I1948" i="30"/>
  <c r="O1947" i="30" a="1"/>
  <c r="O1947" i="30" s="1"/>
  <c r="N1947" i="30"/>
  <c r="M1947" i="30"/>
  <c r="L1947" i="30"/>
  <c r="I1947" i="30"/>
  <c r="O1946" i="30" a="1"/>
  <c r="O1946" i="30" s="1"/>
  <c r="N1946" i="30"/>
  <c r="M1946" i="30"/>
  <c r="L1946" i="30"/>
  <c r="I1946" i="30"/>
  <c r="O1945" i="30" a="1"/>
  <c r="O1945" i="30" s="1"/>
  <c r="N1945" i="30"/>
  <c r="M1945" i="30"/>
  <c r="L1945" i="30"/>
  <c r="I1945" i="30"/>
  <c r="O1944" i="30" a="1"/>
  <c r="O1944" i="30" s="1"/>
  <c r="N1944" i="30"/>
  <c r="M1944" i="30"/>
  <c r="L1944" i="30"/>
  <c r="I1944" i="30"/>
  <c r="O1943" i="30" a="1"/>
  <c r="O1943" i="30" s="1"/>
  <c r="N1943" i="30"/>
  <c r="M1943" i="30"/>
  <c r="L1943" i="30"/>
  <c r="I1943" i="30"/>
  <c r="O1942" i="30" a="1"/>
  <c r="O1942" i="30" s="1"/>
  <c r="N1942" i="30"/>
  <c r="M1942" i="30"/>
  <c r="L1942" i="30"/>
  <c r="I1942" i="30"/>
  <c r="O1941" i="30" a="1"/>
  <c r="O1941" i="30" s="1"/>
  <c r="N1941" i="30"/>
  <c r="M1941" i="30"/>
  <c r="L1941" i="30"/>
  <c r="I1941" i="30"/>
  <c r="O1940" i="30" a="1"/>
  <c r="O1940" i="30" s="1"/>
  <c r="N1940" i="30"/>
  <c r="M1940" i="30"/>
  <c r="L1940" i="30"/>
  <c r="I1940" i="30"/>
  <c r="O1939" i="30" a="1"/>
  <c r="O1939" i="30" s="1"/>
  <c r="N1939" i="30"/>
  <c r="M1939" i="30"/>
  <c r="L1939" i="30"/>
  <c r="I1939" i="30"/>
  <c r="O1938" i="30" a="1"/>
  <c r="O1938" i="30" s="1"/>
  <c r="N1938" i="30"/>
  <c r="M1938" i="30"/>
  <c r="L1938" i="30"/>
  <c r="I1938" i="30"/>
  <c r="O1937" i="30" a="1"/>
  <c r="O1937" i="30" s="1"/>
  <c r="N1937" i="30"/>
  <c r="M1937" i="30"/>
  <c r="L1937" i="30"/>
  <c r="I1937" i="30"/>
  <c r="O1936" i="30" a="1"/>
  <c r="O1936" i="30" s="1"/>
  <c r="N1936" i="30"/>
  <c r="M1936" i="30"/>
  <c r="L1936" i="30"/>
  <c r="I1936" i="30"/>
  <c r="O1935" i="30" a="1"/>
  <c r="O1935" i="30" s="1"/>
  <c r="N1935" i="30"/>
  <c r="M1935" i="30"/>
  <c r="L1935" i="30"/>
  <c r="I1935" i="30"/>
  <c r="O1934" i="30" a="1"/>
  <c r="O1934" i="30" s="1"/>
  <c r="N1934" i="30"/>
  <c r="M1934" i="30"/>
  <c r="L1934" i="30"/>
  <c r="I1934" i="30"/>
  <c r="O1933" i="30" a="1"/>
  <c r="O1933" i="30" s="1"/>
  <c r="N1933" i="30"/>
  <c r="M1933" i="30"/>
  <c r="L1933" i="30"/>
  <c r="I1933" i="30"/>
  <c r="O1932" i="30" a="1"/>
  <c r="O1932" i="30" s="1"/>
  <c r="N1932" i="30"/>
  <c r="M1932" i="30"/>
  <c r="L1932" i="30"/>
  <c r="I1932" i="30"/>
  <c r="O1931" i="30" a="1"/>
  <c r="O1931" i="30" s="1"/>
  <c r="N1931" i="30"/>
  <c r="M1931" i="30"/>
  <c r="L1931" i="30"/>
  <c r="I1931" i="30"/>
  <c r="O1930" i="30" a="1"/>
  <c r="O1930" i="30" s="1"/>
  <c r="N1930" i="30"/>
  <c r="M1930" i="30"/>
  <c r="L1930" i="30"/>
  <c r="I1930" i="30"/>
  <c r="O1929" i="30" a="1"/>
  <c r="O1929" i="30" s="1"/>
  <c r="N1929" i="30"/>
  <c r="M1929" i="30"/>
  <c r="L1929" i="30"/>
  <c r="I1929" i="30"/>
  <c r="O1928" i="30" a="1"/>
  <c r="O1928" i="30" s="1"/>
  <c r="N1928" i="30"/>
  <c r="M1928" i="30"/>
  <c r="L1928" i="30"/>
  <c r="I1928" i="30"/>
  <c r="O1927" i="30" a="1"/>
  <c r="O1927" i="30" s="1"/>
  <c r="N1927" i="30"/>
  <c r="M1927" i="30"/>
  <c r="L1927" i="30"/>
  <c r="I1927" i="30"/>
  <c r="O1926" i="30" a="1"/>
  <c r="O1926" i="30" s="1"/>
  <c r="N1926" i="30"/>
  <c r="M1926" i="30"/>
  <c r="L1926" i="30"/>
  <c r="I1926" i="30"/>
  <c r="O1925" i="30" a="1"/>
  <c r="O1925" i="30" s="1"/>
  <c r="N1925" i="30"/>
  <c r="M1925" i="30"/>
  <c r="L1925" i="30"/>
  <c r="I1925" i="30"/>
  <c r="O1924" i="30" a="1"/>
  <c r="O1924" i="30" s="1"/>
  <c r="N1924" i="30"/>
  <c r="M1924" i="30"/>
  <c r="L1924" i="30"/>
  <c r="I1924" i="30"/>
  <c r="O1923" i="30" a="1"/>
  <c r="O1923" i="30" s="1"/>
  <c r="N1923" i="30"/>
  <c r="M1923" i="30"/>
  <c r="L1923" i="30"/>
  <c r="I1923" i="30"/>
  <c r="O1922" i="30" a="1"/>
  <c r="O1922" i="30" s="1"/>
  <c r="N1922" i="30"/>
  <c r="M1922" i="30"/>
  <c r="L1922" i="30"/>
  <c r="I1922" i="30"/>
  <c r="O1921" i="30" a="1"/>
  <c r="O1921" i="30" s="1"/>
  <c r="N1921" i="30"/>
  <c r="M1921" i="30"/>
  <c r="L1921" i="30"/>
  <c r="I1921" i="30"/>
  <c r="O1920" i="30" a="1"/>
  <c r="O1920" i="30" s="1"/>
  <c r="N1920" i="30"/>
  <c r="M1920" i="30"/>
  <c r="L1920" i="30"/>
  <c r="I1920" i="30"/>
  <c r="O1919" i="30" a="1"/>
  <c r="O1919" i="30" s="1"/>
  <c r="N1919" i="30"/>
  <c r="M1919" i="30"/>
  <c r="L1919" i="30"/>
  <c r="I1919" i="30"/>
  <c r="O1918" i="30" a="1"/>
  <c r="O1918" i="30" s="1"/>
  <c r="N1918" i="30"/>
  <c r="M1918" i="30"/>
  <c r="L1918" i="30"/>
  <c r="I1918" i="30"/>
  <c r="O1917" i="30" a="1"/>
  <c r="O1917" i="30" s="1"/>
  <c r="N1917" i="30"/>
  <c r="M1917" i="30"/>
  <c r="L1917" i="30"/>
  <c r="I1917" i="30"/>
  <c r="O1916" i="30" a="1"/>
  <c r="O1916" i="30" s="1"/>
  <c r="N1916" i="30"/>
  <c r="M1916" i="30"/>
  <c r="L1916" i="30"/>
  <c r="I1916" i="30"/>
  <c r="O1915" i="30" a="1"/>
  <c r="O1915" i="30" s="1"/>
  <c r="N1915" i="30"/>
  <c r="M1915" i="30"/>
  <c r="L1915" i="30"/>
  <c r="I1915" i="30"/>
  <c r="O1914" i="30" a="1"/>
  <c r="O1914" i="30" s="1"/>
  <c r="N1914" i="30"/>
  <c r="M1914" i="30"/>
  <c r="L1914" i="30"/>
  <c r="I1914" i="30"/>
  <c r="O1913" i="30" a="1"/>
  <c r="O1913" i="30" s="1"/>
  <c r="N1913" i="30"/>
  <c r="M1913" i="30"/>
  <c r="L1913" i="30"/>
  <c r="I1913" i="30"/>
  <c r="O1912" i="30" a="1"/>
  <c r="O1912" i="30" s="1"/>
  <c r="N1912" i="30"/>
  <c r="M1912" i="30"/>
  <c r="L1912" i="30"/>
  <c r="I1912" i="30"/>
  <c r="O1911" i="30" a="1"/>
  <c r="O1911" i="30" s="1"/>
  <c r="N1911" i="30"/>
  <c r="M1911" i="30"/>
  <c r="L1911" i="30"/>
  <c r="I1911" i="30"/>
  <c r="O1910" i="30" a="1"/>
  <c r="O1910" i="30" s="1"/>
  <c r="N1910" i="30"/>
  <c r="M1910" i="30"/>
  <c r="L1910" i="30"/>
  <c r="I1910" i="30"/>
  <c r="O1909" i="30" a="1"/>
  <c r="O1909" i="30" s="1"/>
  <c r="N1909" i="30"/>
  <c r="M1909" i="30"/>
  <c r="L1909" i="30"/>
  <c r="I1909" i="30"/>
  <c r="O1908" i="30" a="1"/>
  <c r="O1908" i="30" s="1"/>
  <c r="N1908" i="30"/>
  <c r="M1908" i="30"/>
  <c r="L1908" i="30"/>
  <c r="I1908" i="30"/>
  <c r="O1907" i="30" a="1"/>
  <c r="O1907" i="30" s="1"/>
  <c r="N1907" i="30"/>
  <c r="M1907" i="30"/>
  <c r="L1907" i="30"/>
  <c r="I1907" i="30"/>
  <c r="O1906" i="30" a="1"/>
  <c r="O1906" i="30" s="1"/>
  <c r="N1906" i="30"/>
  <c r="M1906" i="30"/>
  <c r="L1906" i="30"/>
  <c r="I1906" i="30"/>
  <c r="O1905" i="30" a="1"/>
  <c r="O1905" i="30" s="1"/>
  <c r="N1905" i="30"/>
  <c r="M1905" i="30"/>
  <c r="L1905" i="30"/>
  <c r="I1905" i="30"/>
  <c r="O1904" i="30" a="1"/>
  <c r="O1904" i="30" s="1"/>
  <c r="N1904" i="30"/>
  <c r="M1904" i="30"/>
  <c r="L1904" i="30"/>
  <c r="I1904" i="30"/>
  <c r="O1903" i="30" a="1"/>
  <c r="O1903" i="30" s="1"/>
  <c r="N1903" i="30"/>
  <c r="M1903" i="30"/>
  <c r="L1903" i="30"/>
  <c r="I1903" i="30"/>
  <c r="O1902" i="30" a="1"/>
  <c r="O1902" i="30" s="1"/>
  <c r="N1902" i="30"/>
  <c r="M1902" i="30"/>
  <c r="L1902" i="30"/>
  <c r="I1902" i="30"/>
  <c r="O1901" i="30" a="1"/>
  <c r="O1901" i="30" s="1"/>
  <c r="N1901" i="30"/>
  <c r="M1901" i="30"/>
  <c r="L1901" i="30"/>
  <c r="I1901" i="30"/>
  <c r="O1900" i="30" a="1"/>
  <c r="O1900" i="30" s="1"/>
  <c r="N1900" i="30"/>
  <c r="M1900" i="30"/>
  <c r="L1900" i="30"/>
  <c r="I1900" i="30"/>
  <c r="O1899" i="30" a="1"/>
  <c r="O1899" i="30" s="1"/>
  <c r="N1899" i="30"/>
  <c r="M1899" i="30"/>
  <c r="L1899" i="30"/>
  <c r="I1899" i="30"/>
  <c r="O1898" i="30" a="1"/>
  <c r="O1898" i="30" s="1"/>
  <c r="N1898" i="30"/>
  <c r="M1898" i="30"/>
  <c r="L1898" i="30"/>
  <c r="I1898" i="30"/>
  <c r="O1897" i="30" a="1"/>
  <c r="O1897" i="30" s="1"/>
  <c r="N1897" i="30"/>
  <c r="M1897" i="30"/>
  <c r="L1897" i="30"/>
  <c r="I1897" i="30"/>
  <c r="O1896" i="30" a="1"/>
  <c r="O1896" i="30" s="1"/>
  <c r="N1896" i="30"/>
  <c r="M1896" i="30"/>
  <c r="L1896" i="30"/>
  <c r="I1896" i="30"/>
  <c r="O1895" i="30" a="1"/>
  <c r="O1895" i="30" s="1"/>
  <c r="N1895" i="30"/>
  <c r="M1895" i="30"/>
  <c r="L1895" i="30"/>
  <c r="I1895" i="30"/>
  <c r="O1894" i="30" a="1"/>
  <c r="O1894" i="30" s="1"/>
  <c r="N1894" i="30"/>
  <c r="M1894" i="30"/>
  <c r="L1894" i="30"/>
  <c r="I1894" i="30"/>
  <c r="O1893" i="30" a="1"/>
  <c r="O1893" i="30" s="1"/>
  <c r="N1893" i="30"/>
  <c r="M1893" i="30"/>
  <c r="L1893" i="30"/>
  <c r="I1893" i="30"/>
  <c r="O1892" i="30" a="1"/>
  <c r="O1892" i="30" s="1"/>
  <c r="N1892" i="30"/>
  <c r="M1892" i="30"/>
  <c r="L1892" i="30"/>
  <c r="I1892" i="30"/>
  <c r="O1891" i="30" a="1"/>
  <c r="O1891" i="30" s="1"/>
  <c r="N1891" i="30"/>
  <c r="M1891" i="30"/>
  <c r="L1891" i="30"/>
  <c r="I1891" i="30"/>
  <c r="O1890" i="30" a="1"/>
  <c r="O1890" i="30" s="1"/>
  <c r="N1890" i="30"/>
  <c r="M1890" i="30"/>
  <c r="L1890" i="30"/>
  <c r="I1890" i="30"/>
  <c r="O1889" i="30" a="1"/>
  <c r="O1889" i="30" s="1"/>
  <c r="N1889" i="30"/>
  <c r="M1889" i="30"/>
  <c r="L1889" i="30"/>
  <c r="I1889" i="30"/>
  <c r="O1888" i="30" a="1"/>
  <c r="O1888" i="30" s="1"/>
  <c r="N1888" i="30"/>
  <c r="M1888" i="30"/>
  <c r="L1888" i="30"/>
  <c r="I1888" i="30"/>
  <c r="O1887" i="30" a="1"/>
  <c r="O1887" i="30" s="1"/>
  <c r="N1887" i="30"/>
  <c r="M1887" i="30"/>
  <c r="L1887" i="30"/>
  <c r="I1887" i="30"/>
  <c r="O1886" i="30" a="1"/>
  <c r="O1886" i="30" s="1"/>
  <c r="N1886" i="30"/>
  <c r="M1886" i="30"/>
  <c r="L1886" i="30"/>
  <c r="I1886" i="30"/>
  <c r="O1885" i="30" a="1"/>
  <c r="O1885" i="30" s="1"/>
  <c r="N1885" i="30"/>
  <c r="M1885" i="30"/>
  <c r="L1885" i="30"/>
  <c r="I1885" i="30"/>
  <c r="O1884" i="30" a="1"/>
  <c r="O1884" i="30" s="1"/>
  <c r="N1884" i="30"/>
  <c r="M1884" i="30"/>
  <c r="L1884" i="30"/>
  <c r="I1884" i="30"/>
  <c r="O1883" i="30" a="1"/>
  <c r="O1883" i="30" s="1"/>
  <c r="N1883" i="30"/>
  <c r="M1883" i="30"/>
  <c r="L1883" i="30"/>
  <c r="I1883" i="30"/>
  <c r="O1882" i="30" a="1"/>
  <c r="O1882" i="30" s="1"/>
  <c r="N1882" i="30"/>
  <c r="M1882" i="30"/>
  <c r="L1882" i="30"/>
  <c r="I1882" i="30"/>
  <c r="O1881" i="30" a="1"/>
  <c r="O1881" i="30" s="1"/>
  <c r="N1881" i="30"/>
  <c r="M1881" i="30"/>
  <c r="L1881" i="30"/>
  <c r="I1881" i="30"/>
  <c r="O1880" i="30" a="1"/>
  <c r="O1880" i="30" s="1"/>
  <c r="N1880" i="30"/>
  <c r="M1880" i="30"/>
  <c r="L1880" i="30"/>
  <c r="I1880" i="30"/>
  <c r="O1879" i="30" a="1"/>
  <c r="O1879" i="30" s="1"/>
  <c r="N1879" i="30"/>
  <c r="M1879" i="30"/>
  <c r="L1879" i="30"/>
  <c r="I1879" i="30"/>
  <c r="O1878" i="30" a="1"/>
  <c r="O1878" i="30" s="1"/>
  <c r="N1878" i="30"/>
  <c r="M1878" i="30"/>
  <c r="L1878" i="30"/>
  <c r="I1878" i="30"/>
  <c r="O1877" i="30" a="1"/>
  <c r="O1877" i="30" s="1"/>
  <c r="N1877" i="30"/>
  <c r="M1877" i="30"/>
  <c r="L1877" i="30"/>
  <c r="I1877" i="30"/>
  <c r="O1876" i="30" a="1"/>
  <c r="O1876" i="30" s="1"/>
  <c r="N1876" i="30"/>
  <c r="M1876" i="30"/>
  <c r="L1876" i="30"/>
  <c r="I1876" i="30"/>
  <c r="O1875" i="30" a="1"/>
  <c r="O1875" i="30" s="1"/>
  <c r="N1875" i="30"/>
  <c r="M1875" i="30"/>
  <c r="L1875" i="30"/>
  <c r="I1875" i="30"/>
  <c r="O1874" i="30" a="1"/>
  <c r="O1874" i="30" s="1"/>
  <c r="N1874" i="30"/>
  <c r="M1874" i="30"/>
  <c r="L1874" i="30"/>
  <c r="I1874" i="30"/>
  <c r="O1873" i="30" a="1"/>
  <c r="O1873" i="30" s="1"/>
  <c r="N1873" i="30"/>
  <c r="M1873" i="30"/>
  <c r="L1873" i="30"/>
  <c r="I1873" i="30"/>
  <c r="O1872" i="30" a="1"/>
  <c r="O1872" i="30" s="1"/>
  <c r="N1872" i="30"/>
  <c r="M1872" i="30"/>
  <c r="L1872" i="30"/>
  <c r="I1872" i="30"/>
  <c r="O1871" i="30" a="1"/>
  <c r="O1871" i="30" s="1"/>
  <c r="N1871" i="30"/>
  <c r="M1871" i="30"/>
  <c r="L1871" i="30"/>
  <c r="I1871" i="30"/>
  <c r="O1870" i="30" a="1"/>
  <c r="O1870" i="30" s="1"/>
  <c r="N1870" i="30"/>
  <c r="M1870" i="30"/>
  <c r="L1870" i="30"/>
  <c r="I1870" i="30"/>
  <c r="O1869" i="30" a="1"/>
  <c r="O1869" i="30" s="1"/>
  <c r="N1869" i="30"/>
  <c r="M1869" i="30"/>
  <c r="L1869" i="30"/>
  <c r="I1869" i="30"/>
  <c r="O1868" i="30" a="1"/>
  <c r="O1868" i="30" s="1"/>
  <c r="N1868" i="30"/>
  <c r="M1868" i="30"/>
  <c r="L1868" i="30"/>
  <c r="I1868" i="30"/>
  <c r="O1867" i="30" a="1"/>
  <c r="O1867" i="30" s="1"/>
  <c r="N1867" i="30"/>
  <c r="M1867" i="30"/>
  <c r="L1867" i="30"/>
  <c r="I1867" i="30"/>
  <c r="O1866" i="30" a="1"/>
  <c r="O1866" i="30" s="1"/>
  <c r="N1866" i="30"/>
  <c r="M1866" i="30"/>
  <c r="L1866" i="30"/>
  <c r="I1866" i="30"/>
  <c r="O1865" i="30" a="1"/>
  <c r="O1865" i="30" s="1"/>
  <c r="N1865" i="30"/>
  <c r="M1865" i="30"/>
  <c r="L1865" i="30"/>
  <c r="I1865" i="30"/>
  <c r="O1864" i="30" a="1"/>
  <c r="O1864" i="30" s="1"/>
  <c r="N1864" i="30"/>
  <c r="M1864" i="30"/>
  <c r="L1864" i="30"/>
  <c r="I1864" i="30"/>
  <c r="O1863" i="30" a="1"/>
  <c r="O1863" i="30" s="1"/>
  <c r="N1863" i="30"/>
  <c r="M1863" i="30"/>
  <c r="L1863" i="30"/>
  <c r="I1863" i="30"/>
  <c r="O1862" i="30" a="1"/>
  <c r="O1862" i="30" s="1"/>
  <c r="N1862" i="30"/>
  <c r="M1862" i="30"/>
  <c r="L1862" i="30"/>
  <c r="I1862" i="30"/>
  <c r="O1861" i="30" a="1"/>
  <c r="O1861" i="30" s="1"/>
  <c r="N1861" i="30"/>
  <c r="M1861" i="30"/>
  <c r="L1861" i="30"/>
  <c r="I1861" i="30"/>
  <c r="O1860" i="30" a="1"/>
  <c r="O1860" i="30" s="1"/>
  <c r="N1860" i="30"/>
  <c r="M1860" i="30"/>
  <c r="L1860" i="30"/>
  <c r="I1860" i="30"/>
  <c r="O1859" i="30" a="1"/>
  <c r="O1859" i="30" s="1"/>
  <c r="N1859" i="30"/>
  <c r="M1859" i="30"/>
  <c r="L1859" i="30"/>
  <c r="I1859" i="30"/>
  <c r="O1858" i="30" a="1"/>
  <c r="O1858" i="30" s="1"/>
  <c r="N1858" i="30"/>
  <c r="M1858" i="30"/>
  <c r="L1858" i="30"/>
  <c r="I1858" i="30"/>
  <c r="O1857" i="30" a="1"/>
  <c r="O1857" i="30" s="1"/>
  <c r="N1857" i="30"/>
  <c r="M1857" i="30"/>
  <c r="L1857" i="30"/>
  <c r="I1857" i="30"/>
  <c r="O1856" i="30" a="1"/>
  <c r="O1856" i="30" s="1"/>
  <c r="N1856" i="30"/>
  <c r="M1856" i="30"/>
  <c r="L1856" i="30"/>
  <c r="I1856" i="30"/>
  <c r="O1855" i="30" a="1"/>
  <c r="O1855" i="30" s="1"/>
  <c r="N1855" i="30"/>
  <c r="M1855" i="30"/>
  <c r="L1855" i="30"/>
  <c r="I1855" i="30"/>
  <c r="O1854" i="30" a="1"/>
  <c r="O1854" i="30" s="1"/>
  <c r="N1854" i="30"/>
  <c r="M1854" i="30"/>
  <c r="L1854" i="30"/>
  <c r="I1854" i="30"/>
  <c r="O1853" i="30" a="1"/>
  <c r="O1853" i="30" s="1"/>
  <c r="N1853" i="30"/>
  <c r="M1853" i="30"/>
  <c r="L1853" i="30"/>
  <c r="I1853" i="30"/>
  <c r="O1852" i="30" a="1"/>
  <c r="O1852" i="30" s="1"/>
  <c r="N1852" i="30"/>
  <c r="M1852" i="30"/>
  <c r="L1852" i="30"/>
  <c r="I1852" i="30"/>
  <c r="O1851" i="30" a="1"/>
  <c r="O1851" i="30" s="1"/>
  <c r="N1851" i="30"/>
  <c r="M1851" i="30"/>
  <c r="L1851" i="30"/>
  <c r="I1851" i="30"/>
  <c r="O1850" i="30" a="1"/>
  <c r="O1850" i="30" s="1"/>
  <c r="N1850" i="30"/>
  <c r="M1850" i="30"/>
  <c r="L1850" i="30"/>
  <c r="I1850" i="30"/>
  <c r="O1849" i="30" a="1"/>
  <c r="O1849" i="30" s="1"/>
  <c r="N1849" i="30"/>
  <c r="M1849" i="30"/>
  <c r="L1849" i="30"/>
  <c r="I1849" i="30"/>
  <c r="O1848" i="30" a="1"/>
  <c r="O1848" i="30" s="1"/>
  <c r="N1848" i="30"/>
  <c r="M1848" i="30"/>
  <c r="L1848" i="30"/>
  <c r="I1848" i="30"/>
  <c r="O1847" i="30" a="1"/>
  <c r="O1847" i="30" s="1"/>
  <c r="N1847" i="30"/>
  <c r="M1847" i="30"/>
  <c r="L1847" i="30"/>
  <c r="I1847" i="30"/>
  <c r="O1846" i="30" a="1"/>
  <c r="O1846" i="30" s="1"/>
  <c r="N1846" i="30"/>
  <c r="M1846" i="30"/>
  <c r="L1846" i="30"/>
  <c r="I1846" i="30"/>
  <c r="O1845" i="30" a="1"/>
  <c r="O1845" i="30" s="1"/>
  <c r="N1845" i="30"/>
  <c r="M1845" i="30"/>
  <c r="L1845" i="30"/>
  <c r="I1845" i="30"/>
  <c r="O1844" i="30" a="1"/>
  <c r="O1844" i="30" s="1"/>
  <c r="N1844" i="30"/>
  <c r="M1844" i="30"/>
  <c r="L1844" i="30"/>
  <c r="I1844" i="30"/>
  <c r="O1843" i="30" a="1"/>
  <c r="O1843" i="30" s="1"/>
  <c r="N1843" i="30"/>
  <c r="M1843" i="30"/>
  <c r="L1843" i="30"/>
  <c r="I1843" i="30"/>
  <c r="O1842" i="30" a="1"/>
  <c r="O1842" i="30" s="1"/>
  <c r="N1842" i="30"/>
  <c r="M1842" i="30"/>
  <c r="L1842" i="30"/>
  <c r="I1842" i="30"/>
  <c r="O1841" i="30" a="1"/>
  <c r="O1841" i="30" s="1"/>
  <c r="N1841" i="30"/>
  <c r="M1841" i="30"/>
  <c r="L1841" i="30"/>
  <c r="I1841" i="30"/>
  <c r="O1840" i="30" a="1"/>
  <c r="O1840" i="30" s="1"/>
  <c r="N1840" i="30"/>
  <c r="M1840" i="30"/>
  <c r="L1840" i="30"/>
  <c r="I1840" i="30"/>
  <c r="O1839" i="30" a="1"/>
  <c r="O1839" i="30" s="1"/>
  <c r="N1839" i="30"/>
  <c r="M1839" i="30"/>
  <c r="L1839" i="30"/>
  <c r="I1839" i="30"/>
  <c r="O1838" i="30" a="1"/>
  <c r="O1838" i="30" s="1"/>
  <c r="N1838" i="30"/>
  <c r="M1838" i="30"/>
  <c r="L1838" i="30"/>
  <c r="I1838" i="30"/>
  <c r="O1837" i="30" a="1"/>
  <c r="O1837" i="30" s="1"/>
  <c r="N1837" i="30"/>
  <c r="M1837" i="30"/>
  <c r="L1837" i="30"/>
  <c r="I1837" i="30"/>
  <c r="O1836" i="30" a="1"/>
  <c r="O1836" i="30" s="1"/>
  <c r="N1836" i="30"/>
  <c r="M1836" i="30"/>
  <c r="L1836" i="30"/>
  <c r="I1836" i="30"/>
  <c r="O1835" i="30" a="1"/>
  <c r="O1835" i="30" s="1"/>
  <c r="N1835" i="30"/>
  <c r="M1835" i="30"/>
  <c r="L1835" i="30"/>
  <c r="I1835" i="30"/>
  <c r="O1834" i="30" a="1"/>
  <c r="O1834" i="30" s="1"/>
  <c r="N1834" i="30"/>
  <c r="M1834" i="30"/>
  <c r="L1834" i="30"/>
  <c r="I1834" i="30"/>
  <c r="O1833" i="30" a="1"/>
  <c r="O1833" i="30" s="1"/>
  <c r="N1833" i="30"/>
  <c r="M1833" i="30"/>
  <c r="L1833" i="30"/>
  <c r="I1833" i="30"/>
  <c r="O1832" i="30" a="1"/>
  <c r="O1832" i="30" s="1"/>
  <c r="N1832" i="30"/>
  <c r="M1832" i="30"/>
  <c r="L1832" i="30"/>
  <c r="I1832" i="30"/>
  <c r="O1831" i="30" a="1"/>
  <c r="O1831" i="30" s="1"/>
  <c r="N1831" i="30"/>
  <c r="M1831" i="30"/>
  <c r="L1831" i="30"/>
  <c r="I1831" i="30"/>
  <c r="O1830" i="30" a="1"/>
  <c r="O1830" i="30" s="1"/>
  <c r="N1830" i="30"/>
  <c r="M1830" i="30"/>
  <c r="L1830" i="30"/>
  <c r="I1830" i="30"/>
  <c r="O1829" i="30" a="1"/>
  <c r="O1829" i="30" s="1"/>
  <c r="N1829" i="30"/>
  <c r="M1829" i="30"/>
  <c r="L1829" i="30"/>
  <c r="I1829" i="30"/>
  <c r="O1828" i="30" a="1"/>
  <c r="O1828" i="30" s="1"/>
  <c r="N1828" i="30"/>
  <c r="M1828" i="30"/>
  <c r="L1828" i="30"/>
  <c r="I1828" i="30"/>
  <c r="O1827" i="30" a="1"/>
  <c r="O1827" i="30" s="1"/>
  <c r="N1827" i="30"/>
  <c r="M1827" i="30"/>
  <c r="L1827" i="30"/>
  <c r="I1827" i="30"/>
  <c r="O1826" i="30" a="1"/>
  <c r="O1826" i="30" s="1"/>
  <c r="N1826" i="30"/>
  <c r="M1826" i="30"/>
  <c r="L1826" i="30"/>
  <c r="I1826" i="30"/>
  <c r="O1825" i="30" a="1"/>
  <c r="O1825" i="30" s="1"/>
  <c r="N1825" i="30"/>
  <c r="M1825" i="30"/>
  <c r="L1825" i="30"/>
  <c r="I1825" i="30"/>
  <c r="O1824" i="30" a="1"/>
  <c r="O1824" i="30" s="1"/>
  <c r="N1824" i="30"/>
  <c r="M1824" i="30"/>
  <c r="L1824" i="30"/>
  <c r="I1824" i="30"/>
  <c r="O1823" i="30" a="1"/>
  <c r="O1823" i="30" s="1"/>
  <c r="N1823" i="30"/>
  <c r="M1823" i="30"/>
  <c r="L1823" i="30"/>
  <c r="I1823" i="30"/>
  <c r="O1822" i="30" a="1"/>
  <c r="O1822" i="30" s="1"/>
  <c r="N1822" i="30"/>
  <c r="M1822" i="30"/>
  <c r="L1822" i="30"/>
  <c r="I1822" i="30"/>
  <c r="O1821" i="30" a="1"/>
  <c r="O1821" i="30" s="1"/>
  <c r="N1821" i="30"/>
  <c r="M1821" i="30"/>
  <c r="L1821" i="30"/>
  <c r="I1821" i="30"/>
  <c r="O1820" i="30" a="1"/>
  <c r="O1820" i="30" s="1"/>
  <c r="N1820" i="30"/>
  <c r="M1820" i="30"/>
  <c r="L1820" i="30"/>
  <c r="I1820" i="30"/>
  <c r="O1819" i="30" a="1"/>
  <c r="O1819" i="30" s="1"/>
  <c r="N1819" i="30"/>
  <c r="M1819" i="30"/>
  <c r="L1819" i="30"/>
  <c r="I1819" i="30"/>
  <c r="O1818" i="30" a="1"/>
  <c r="O1818" i="30" s="1"/>
  <c r="N1818" i="30"/>
  <c r="M1818" i="30"/>
  <c r="L1818" i="30"/>
  <c r="I1818" i="30"/>
  <c r="O1817" i="30" a="1"/>
  <c r="O1817" i="30" s="1"/>
  <c r="N1817" i="30"/>
  <c r="M1817" i="30"/>
  <c r="L1817" i="30"/>
  <c r="I1817" i="30"/>
  <c r="O1816" i="30" a="1"/>
  <c r="O1816" i="30" s="1"/>
  <c r="N1816" i="30"/>
  <c r="M1816" i="30"/>
  <c r="L1816" i="30"/>
  <c r="I1816" i="30"/>
  <c r="O1815" i="30" a="1"/>
  <c r="O1815" i="30" s="1"/>
  <c r="N1815" i="30"/>
  <c r="M1815" i="30"/>
  <c r="L1815" i="30"/>
  <c r="I1815" i="30"/>
  <c r="O1814" i="30" a="1"/>
  <c r="O1814" i="30" s="1"/>
  <c r="N1814" i="30"/>
  <c r="M1814" i="30"/>
  <c r="L1814" i="30"/>
  <c r="I1814" i="30"/>
  <c r="O1813" i="30" a="1"/>
  <c r="O1813" i="30" s="1"/>
  <c r="N1813" i="30"/>
  <c r="M1813" i="30"/>
  <c r="L1813" i="30"/>
  <c r="I1813" i="30"/>
  <c r="O1812" i="30" a="1"/>
  <c r="O1812" i="30" s="1"/>
  <c r="N1812" i="30"/>
  <c r="M1812" i="30"/>
  <c r="L1812" i="30"/>
  <c r="I1812" i="30"/>
  <c r="O1811" i="30" a="1"/>
  <c r="O1811" i="30" s="1"/>
  <c r="N1811" i="30"/>
  <c r="M1811" i="30"/>
  <c r="L1811" i="30"/>
  <c r="I1811" i="30"/>
  <c r="O1810" i="30" a="1"/>
  <c r="O1810" i="30" s="1"/>
  <c r="N1810" i="30"/>
  <c r="M1810" i="30"/>
  <c r="L1810" i="30"/>
  <c r="I1810" i="30"/>
  <c r="O1809" i="30" a="1"/>
  <c r="O1809" i="30" s="1"/>
  <c r="N1809" i="30"/>
  <c r="M1809" i="30"/>
  <c r="L1809" i="30"/>
  <c r="I1809" i="30"/>
  <c r="O1808" i="30" a="1"/>
  <c r="O1808" i="30" s="1"/>
  <c r="N1808" i="30"/>
  <c r="M1808" i="30"/>
  <c r="L1808" i="30"/>
  <c r="I1808" i="30"/>
  <c r="O1807" i="30" a="1"/>
  <c r="O1807" i="30" s="1"/>
  <c r="N1807" i="30"/>
  <c r="M1807" i="30"/>
  <c r="L1807" i="30"/>
  <c r="I1807" i="30"/>
  <c r="O1806" i="30" a="1"/>
  <c r="O1806" i="30" s="1"/>
  <c r="N1806" i="30"/>
  <c r="M1806" i="30"/>
  <c r="L1806" i="30"/>
  <c r="I1806" i="30"/>
  <c r="O1805" i="30" a="1"/>
  <c r="O1805" i="30" s="1"/>
  <c r="N1805" i="30"/>
  <c r="M1805" i="30"/>
  <c r="L1805" i="30"/>
  <c r="I1805" i="30"/>
  <c r="O1804" i="30" a="1"/>
  <c r="O1804" i="30" s="1"/>
  <c r="N1804" i="30"/>
  <c r="M1804" i="30"/>
  <c r="L1804" i="30"/>
  <c r="I1804" i="30"/>
  <c r="O1803" i="30" a="1"/>
  <c r="O1803" i="30" s="1"/>
  <c r="N1803" i="30"/>
  <c r="M1803" i="30"/>
  <c r="L1803" i="30"/>
  <c r="I1803" i="30"/>
  <c r="O1802" i="30" a="1"/>
  <c r="O1802" i="30" s="1"/>
  <c r="N1802" i="30"/>
  <c r="M1802" i="30"/>
  <c r="L1802" i="30"/>
  <c r="I1802" i="30"/>
  <c r="O1801" i="30" a="1"/>
  <c r="O1801" i="30" s="1"/>
  <c r="N1801" i="30"/>
  <c r="M1801" i="30"/>
  <c r="L1801" i="30"/>
  <c r="I1801" i="30"/>
  <c r="O1800" i="30" a="1"/>
  <c r="O1800" i="30" s="1"/>
  <c r="N1800" i="30"/>
  <c r="M1800" i="30"/>
  <c r="L1800" i="30"/>
  <c r="I1800" i="30"/>
  <c r="O1799" i="30" a="1"/>
  <c r="O1799" i="30" s="1"/>
  <c r="N1799" i="30"/>
  <c r="M1799" i="30"/>
  <c r="L1799" i="30"/>
  <c r="I1799" i="30"/>
  <c r="O1798" i="30" a="1"/>
  <c r="O1798" i="30" s="1"/>
  <c r="N1798" i="30"/>
  <c r="M1798" i="30"/>
  <c r="L1798" i="30"/>
  <c r="I1798" i="30"/>
  <c r="O1797" i="30" a="1"/>
  <c r="O1797" i="30" s="1"/>
  <c r="N1797" i="30"/>
  <c r="M1797" i="30"/>
  <c r="L1797" i="30"/>
  <c r="I1797" i="30"/>
  <c r="O1796" i="30" a="1"/>
  <c r="O1796" i="30" s="1"/>
  <c r="N1796" i="30"/>
  <c r="M1796" i="30"/>
  <c r="L1796" i="30"/>
  <c r="I1796" i="30"/>
  <c r="O1795" i="30" a="1"/>
  <c r="O1795" i="30" s="1"/>
  <c r="N1795" i="30"/>
  <c r="M1795" i="30"/>
  <c r="L1795" i="30"/>
  <c r="I1795" i="30"/>
  <c r="O1794" i="30" a="1"/>
  <c r="O1794" i="30" s="1"/>
  <c r="N1794" i="30"/>
  <c r="M1794" i="30"/>
  <c r="L1794" i="30"/>
  <c r="I1794" i="30"/>
  <c r="O1793" i="30" a="1"/>
  <c r="O1793" i="30" s="1"/>
  <c r="N1793" i="30"/>
  <c r="M1793" i="30"/>
  <c r="L1793" i="30"/>
  <c r="I1793" i="30"/>
  <c r="O1792" i="30" a="1"/>
  <c r="O1792" i="30" s="1"/>
  <c r="N1792" i="30"/>
  <c r="M1792" i="30"/>
  <c r="L1792" i="30"/>
  <c r="I1792" i="30"/>
  <c r="O1791" i="30" a="1"/>
  <c r="O1791" i="30" s="1"/>
  <c r="N1791" i="30"/>
  <c r="M1791" i="30"/>
  <c r="L1791" i="30"/>
  <c r="I1791" i="30"/>
  <c r="O1790" i="30" a="1"/>
  <c r="O1790" i="30" s="1"/>
  <c r="N1790" i="30"/>
  <c r="M1790" i="30"/>
  <c r="L1790" i="30"/>
  <c r="I1790" i="30"/>
  <c r="O1789" i="30" a="1"/>
  <c r="O1789" i="30" s="1"/>
  <c r="N1789" i="30"/>
  <c r="M1789" i="30"/>
  <c r="L1789" i="30"/>
  <c r="I1789" i="30"/>
  <c r="O1788" i="30" a="1"/>
  <c r="O1788" i="30" s="1"/>
  <c r="N1788" i="30"/>
  <c r="M1788" i="30"/>
  <c r="L1788" i="30"/>
  <c r="I1788" i="30"/>
  <c r="O1787" i="30" a="1"/>
  <c r="O1787" i="30" s="1"/>
  <c r="N1787" i="30"/>
  <c r="M1787" i="30"/>
  <c r="L1787" i="30"/>
  <c r="I1787" i="30"/>
  <c r="O1786" i="30" a="1"/>
  <c r="O1786" i="30" s="1"/>
  <c r="N1786" i="30"/>
  <c r="M1786" i="30"/>
  <c r="L1786" i="30"/>
  <c r="I1786" i="30"/>
  <c r="O1785" i="30" a="1"/>
  <c r="O1785" i="30" s="1"/>
  <c r="N1785" i="30"/>
  <c r="M1785" i="30"/>
  <c r="L1785" i="30"/>
  <c r="I1785" i="30"/>
  <c r="O1784" i="30" a="1"/>
  <c r="O1784" i="30" s="1"/>
  <c r="N1784" i="30"/>
  <c r="M1784" i="30"/>
  <c r="L1784" i="30"/>
  <c r="I1784" i="30"/>
  <c r="O1783" i="30" a="1"/>
  <c r="O1783" i="30" s="1"/>
  <c r="N1783" i="30"/>
  <c r="M1783" i="30"/>
  <c r="L1783" i="30"/>
  <c r="I1783" i="30"/>
  <c r="O1782" i="30" a="1"/>
  <c r="O1782" i="30" s="1"/>
  <c r="N1782" i="30"/>
  <c r="M1782" i="30"/>
  <c r="L1782" i="30"/>
  <c r="I1782" i="30"/>
  <c r="O1781" i="30" a="1"/>
  <c r="O1781" i="30" s="1"/>
  <c r="N1781" i="30"/>
  <c r="M1781" i="30"/>
  <c r="L1781" i="30"/>
  <c r="I1781" i="30"/>
  <c r="O1780" i="30" a="1"/>
  <c r="O1780" i="30" s="1"/>
  <c r="N1780" i="30"/>
  <c r="M1780" i="30"/>
  <c r="L1780" i="30"/>
  <c r="I1780" i="30"/>
  <c r="O1779" i="30" a="1"/>
  <c r="O1779" i="30" s="1"/>
  <c r="N1779" i="30"/>
  <c r="M1779" i="30"/>
  <c r="L1779" i="30"/>
  <c r="I1779" i="30"/>
  <c r="O1778" i="30" a="1"/>
  <c r="O1778" i="30" s="1"/>
  <c r="N1778" i="30"/>
  <c r="M1778" i="30"/>
  <c r="L1778" i="30"/>
  <c r="I1778" i="30"/>
  <c r="O1777" i="30" a="1"/>
  <c r="O1777" i="30" s="1"/>
  <c r="N1777" i="30"/>
  <c r="M1777" i="30"/>
  <c r="L1777" i="30"/>
  <c r="I1777" i="30"/>
  <c r="O1776" i="30" a="1"/>
  <c r="O1776" i="30" s="1"/>
  <c r="N1776" i="30"/>
  <c r="M1776" i="30"/>
  <c r="L1776" i="30"/>
  <c r="I1776" i="30"/>
  <c r="O1775" i="30" a="1"/>
  <c r="O1775" i="30" s="1"/>
  <c r="N1775" i="30"/>
  <c r="M1775" i="30"/>
  <c r="L1775" i="30"/>
  <c r="I1775" i="30"/>
  <c r="O1774" i="30" a="1"/>
  <c r="O1774" i="30" s="1"/>
  <c r="N1774" i="30"/>
  <c r="M1774" i="30"/>
  <c r="L1774" i="30"/>
  <c r="I1774" i="30"/>
  <c r="O1773" i="30" a="1"/>
  <c r="O1773" i="30" s="1"/>
  <c r="N1773" i="30"/>
  <c r="M1773" i="30"/>
  <c r="L1773" i="30"/>
  <c r="I1773" i="30"/>
  <c r="O1772" i="30" a="1"/>
  <c r="O1772" i="30" s="1"/>
  <c r="N1772" i="30"/>
  <c r="M1772" i="30"/>
  <c r="L1772" i="30"/>
  <c r="I1772" i="30"/>
  <c r="O1771" i="30" a="1"/>
  <c r="O1771" i="30" s="1"/>
  <c r="N1771" i="30"/>
  <c r="M1771" i="30"/>
  <c r="L1771" i="30"/>
  <c r="I1771" i="30"/>
  <c r="O1770" i="30" a="1"/>
  <c r="O1770" i="30" s="1"/>
  <c r="N1770" i="30"/>
  <c r="M1770" i="30"/>
  <c r="L1770" i="30"/>
  <c r="I1770" i="30"/>
  <c r="O1769" i="30" a="1"/>
  <c r="O1769" i="30" s="1"/>
  <c r="N1769" i="30"/>
  <c r="M1769" i="30"/>
  <c r="L1769" i="30"/>
  <c r="I1769" i="30"/>
  <c r="O1768" i="30" a="1"/>
  <c r="O1768" i="30" s="1"/>
  <c r="N1768" i="30"/>
  <c r="M1768" i="30"/>
  <c r="L1768" i="30"/>
  <c r="I1768" i="30"/>
  <c r="O1767" i="30" a="1"/>
  <c r="O1767" i="30" s="1"/>
  <c r="N1767" i="30"/>
  <c r="M1767" i="30"/>
  <c r="L1767" i="30"/>
  <c r="I1767" i="30"/>
  <c r="O1766" i="30" a="1"/>
  <c r="O1766" i="30" s="1"/>
  <c r="N1766" i="30"/>
  <c r="M1766" i="30"/>
  <c r="L1766" i="30"/>
  <c r="I1766" i="30"/>
  <c r="O1765" i="30" a="1"/>
  <c r="O1765" i="30" s="1"/>
  <c r="N1765" i="30"/>
  <c r="M1765" i="30"/>
  <c r="L1765" i="30"/>
  <c r="I1765" i="30"/>
  <c r="O1764" i="30" a="1"/>
  <c r="O1764" i="30" s="1"/>
  <c r="N1764" i="30"/>
  <c r="M1764" i="30"/>
  <c r="L1764" i="30"/>
  <c r="I1764" i="30"/>
  <c r="O1763" i="30" a="1"/>
  <c r="O1763" i="30" s="1"/>
  <c r="N1763" i="30"/>
  <c r="M1763" i="30"/>
  <c r="L1763" i="30"/>
  <c r="I1763" i="30"/>
  <c r="O1762" i="30" a="1"/>
  <c r="O1762" i="30" s="1"/>
  <c r="N1762" i="30"/>
  <c r="M1762" i="30"/>
  <c r="L1762" i="30"/>
  <c r="I1762" i="30"/>
  <c r="O1761" i="30" a="1"/>
  <c r="O1761" i="30" s="1"/>
  <c r="N1761" i="30"/>
  <c r="M1761" i="30"/>
  <c r="L1761" i="30"/>
  <c r="I1761" i="30"/>
  <c r="O1760" i="30" a="1"/>
  <c r="O1760" i="30" s="1"/>
  <c r="N1760" i="30"/>
  <c r="M1760" i="30"/>
  <c r="L1760" i="30"/>
  <c r="I1760" i="30"/>
  <c r="O1759" i="30" a="1"/>
  <c r="O1759" i="30" s="1"/>
  <c r="N1759" i="30"/>
  <c r="M1759" i="30"/>
  <c r="L1759" i="30"/>
  <c r="I1759" i="30"/>
  <c r="O1758" i="30" a="1"/>
  <c r="O1758" i="30" s="1"/>
  <c r="N1758" i="30"/>
  <c r="M1758" i="30"/>
  <c r="L1758" i="30"/>
  <c r="I1758" i="30"/>
  <c r="O1757" i="30" a="1"/>
  <c r="O1757" i="30" s="1"/>
  <c r="N1757" i="30"/>
  <c r="M1757" i="30"/>
  <c r="L1757" i="30"/>
  <c r="I1757" i="30"/>
  <c r="O1756" i="30" a="1"/>
  <c r="O1756" i="30" s="1"/>
  <c r="N1756" i="30"/>
  <c r="M1756" i="30"/>
  <c r="L1756" i="30"/>
  <c r="I1756" i="30"/>
  <c r="O1755" i="30" a="1"/>
  <c r="O1755" i="30" s="1"/>
  <c r="N1755" i="30"/>
  <c r="M1755" i="30"/>
  <c r="L1755" i="30"/>
  <c r="I1755" i="30"/>
  <c r="O1754" i="30" a="1"/>
  <c r="O1754" i="30" s="1"/>
  <c r="N1754" i="30"/>
  <c r="M1754" i="30"/>
  <c r="L1754" i="30"/>
  <c r="I1754" i="30"/>
  <c r="O1753" i="30" a="1"/>
  <c r="O1753" i="30" s="1"/>
  <c r="N1753" i="30"/>
  <c r="M1753" i="30"/>
  <c r="L1753" i="30"/>
  <c r="I1753" i="30"/>
  <c r="O1752" i="30" a="1"/>
  <c r="O1752" i="30" s="1"/>
  <c r="N1752" i="30"/>
  <c r="M1752" i="30"/>
  <c r="L1752" i="30"/>
  <c r="I1752" i="30"/>
  <c r="O1751" i="30" a="1"/>
  <c r="O1751" i="30" s="1"/>
  <c r="N1751" i="30"/>
  <c r="M1751" i="30"/>
  <c r="L1751" i="30"/>
  <c r="I1751" i="30"/>
  <c r="O1750" i="30" a="1"/>
  <c r="O1750" i="30" s="1"/>
  <c r="N1750" i="30"/>
  <c r="M1750" i="30"/>
  <c r="L1750" i="30"/>
  <c r="I1750" i="30"/>
  <c r="O1749" i="30" a="1"/>
  <c r="O1749" i="30" s="1"/>
  <c r="N1749" i="30"/>
  <c r="M1749" i="30"/>
  <c r="L1749" i="30"/>
  <c r="I1749" i="30"/>
  <c r="O1748" i="30" a="1"/>
  <c r="O1748" i="30" s="1"/>
  <c r="N1748" i="30"/>
  <c r="M1748" i="30"/>
  <c r="L1748" i="30"/>
  <c r="I1748" i="30"/>
  <c r="O1747" i="30" a="1"/>
  <c r="O1747" i="30" s="1"/>
  <c r="N1747" i="30"/>
  <c r="M1747" i="30"/>
  <c r="L1747" i="30"/>
  <c r="I1747" i="30"/>
  <c r="O1746" i="30" a="1"/>
  <c r="O1746" i="30" s="1"/>
  <c r="N1746" i="30"/>
  <c r="M1746" i="30"/>
  <c r="L1746" i="30"/>
  <c r="I1746" i="30"/>
  <c r="O1745" i="30" a="1"/>
  <c r="O1745" i="30" s="1"/>
  <c r="N1745" i="30"/>
  <c r="M1745" i="30"/>
  <c r="L1745" i="30"/>
  <c r="I1745" i="30"/>
  <c r="O1744" i="30" a="1"/>
  <c r="O1744" i="30" s="1"/>
  <c r="N1744" i="30"/>
  <c r="M1744" i="30"/>
  <c r="L1744" i="30"/>
  <c r="I1744" i="30"/>
  <c r="O1743" i="30" a="1"/>
  <c r="O1743" i="30" s="1"/>
  <c r="N1743" i="30"/>
  <c r="M1743" i="30"/>
  <c r="L1743" i="30"/>
  <c r="I1743" i="30"/>
  <c r="O1742" i="30" a="1"/>
  <c r="O1742" i="30" s="1"/>
  <c r="N1742" i="30"/>
  <c r="M1742" i="30"/>
  <c r="L1742" i="30"/>
  <c r="I1742" i="30"/>
  <c r="O1741" i="30" a="1"/>
  <c r="O1741" i="30" s="1"/>
  <c r="N1741" i="30"/>
  <c r="M1741" i="30"/>
  <c r="L1741" i="30"/>
  <c r="I1741" i="30"/>
  <c r="O1740" i="30" a="1"/>
  <c r="O1740" i="30" s="1"/>
  <c r="N1740" i="30"/>
  <c r="M1740" i="30"/>
  <c r="L1740" i="30"/>
  <c r="I1740" i="30"/>
  <c r="O1739" i="30" a="1"/>
  <c r="O1739" i="30" s="1"/>
  <c r="N1739" i="30"/>
  <c r="M1739" i="30"/>
  <c r="L1739" i="30"/>
  <c r="I1739" i="30"/>
  <c r="O1738" i="30" a="1"/>
  <c r="O1738" i="30" s="1"/>
  <c r="N1738" i="30"/>
  <c r="M1738" i="30"/>
  <c r="L1738" i="30"/>
  <c r="I1738" i="30"/>
  <c r="O1737" i="30" a="1"/>
  <c r="O1737" i="30" s="1"/>
  <c r="N1737" i="30"/>
  <c r="M1737" i="30"/>
  <c r="L1737" i="30"/>
  <c r="I1737" i="30"/>
  <c r="O1736" i="30" a="1"/>
  <c r="O1736" i="30" s="1"/>
  <c r="N1736" i="30"/>
  <c r="M1736" i="30"/>
  <c r="L1736" i="30"/>
  <c r="I1736" i="30"/>
  <c r="O1735" i="30" a="1"/>
  <c r="O1735" i="30" s="1"/>
  <c r="N1735" i="30"/>
  <c r="M1735" i="30"/>
  <c r="L1735" i="30"/>
  <c r="I1735" i="30"/>
  <c r="O1734" i="30" a="1"/>
  <c r="O1734" i="30" s="1"/>
  <c r="N1734" i="30"/>
  <c r="M1734" i="30"/>
  <c r="L1734" i="30"/>
  <c r="I1734" i="30"/>
  <c r="O1733" i="30" a="1"/>
  <c r="O1733" i="30" s="1"/>
  <c r="N1733" i="30"/>
  <c r="M1733" i="30"/>
  <c r="L1733" i="30"/>
  <c r="I1733" i="30"/>
  <c r="O1732" i="30" a="1"/>
  <c r="O1732" i="30" s="1"/>
  <c r="N1732" i="30"/>
  <c r="M1732" i="30"/>
  <c r="L1732" i="30"/>
  <c r="I1732" i="30"/>
  <c r="O1731" i="30" a="1"/>
  <c r="O1731" i="30" s="1"/>
  <c r="N1731" i="30"/>
  <c r="M1731" i="30"/>
  <c r="L1731" i="30"/>
  <c r="I1731" i="30"/>
  <c r="O1730" i="30" a="1"/>
  <c r="O1730" i="30" s="1"/>
  <c r="N1730" i="30"/>
  <c r="M1730" i="30"/>
  <c r="L1730" i="30"/>
  <c r="I1730" i="30"/>
  <c r="O1729" i="30" a="1"/>
  <c r="O1729" i="30" s="1"/>
  <c r="N1729" i="30"/>
  <c r="M1729" i="30"/>
  <c r="L1729" i="30"/>
  <c r="I1729" i="30"/>
  <c r="O1728" i="30" a="1"/>
  <c r="O1728" i="30" s="1"/>
  <c r="N1728" i="30"/>
  <c r="M1728" i="30"/>
  <c r="L1728" i="30"/>
  <c r="I1728" i="30"/>
  <c r="O1727" i="30" a="1"/>
  <c r="O1727" i="30" s="1"/>
  <c r="N1727" i="30"/>
  <c r="M1727" i="30"/>
  <c r="L1727" i="30"/>
  <c r="I1727" i="30"/>
  <c r="O1726" i="30" a="1"/>
  <c r="O1726" i="30" s="1"/>
  <c r="N1726" i="30"/>
  <c r="M1726" i="30"/>
  <c r="L1726" i="30"/>
  <c r="I1726" i="30"/>
  <c r="O1725" i="30" a="1"/>
  <c r="O1725" i="30" s="1"/>
  <c r="N1725" i="30"/>
  <c r="M1725" i="30"/>
  <c r="L1725" i="30"/>
  <c r="I1725" i="30"/>
  <c r="O1724" i="30" a="1"/>
  <c r="O1724" i="30" s="1"/>
  <c r="N1724" i="30"/>
  <c r="M1724" i="30"/>
  <c r="L1724" i="30"/>
  <c r="I1724" i="30"/>
  <c r="O1723" i="30" a="1"/>
  <c r="O1723" i="30" s="1"/>
  <c r="N1723" i="30"/>
  <c r="M1723" i="30"/>
  <c r="L1723" i="30"/>
  <c r="I1723" i="30"/>
  <c r="O1722" i="30" a="1"/>
  <c r="O1722" i="30" s="1"/>
  <c r="N1722" i="30"/>
  <c r="M1722" i="30"/>
  <c r="L1722" i="30"/>
  <c r="I1722" i="30"/>
  <c r="O1721" i="30" a="1"/>
  <c r="O1721" i="30" s="1"/>
  <c r="N1721" i="30"/>
  <c r="M1721" i="30"/>
  <c r="L1721" i="30"/>
  <c r="I1721" i="30"/>
  <c r="O1720" i="30" a="1"/>
  <c r="O1720" i="30" s="1"/>
  <c r="N1720" i="30"/>
  <c r="M1720" i="30"/>
  <c r="L1720" i="30"/>
  <c r="I1720" i="30"/>
  <c r="O1719" i="30" a="1"/>
  <c r="O1719" i="30" s="1"/>
  <c r="N1719" i="30"/>
  <c r="M1719" i="30"/>
  <c r="L1719" i="30"/>
  <c r="I1719" i="30"/>
  <c r="O1718" i="30" a="1"/>
  <c r="O1718" i="30" s="1"/>
  <c r="N1718" i="30"/>
  <c r="M1718" i="30"/>
  <c r="L1718" i="30"/>
  <c r="I1718" i="30"/>
  <c r="O1717" i="30" a="1"/>
  <c r="O1717" i="30" s="1"/>
  <c r="N1717" i="30"/>
  <c r="M1717" i="30"/>
  <c r="L1717" i="30"/>
  <c r="I1717" i="30"/>
  <c r="O1716" i="30" a="1"/>
  <c r="O1716" i="30" s="1"/>
  <c r="N1716" i="30"/>
  <c r="M1716" i="30"/>
  <c r="L1716" i="30"/>
  <c r="I1716" i="30"/>
  <c r="O1715" i="30" a="1"/>
  <c r="O1715" i="30" s="1"/>
  <c r="N1715" i="30"/>
  <c r="M1715" i="30"/>
  <c r="L1715" i="30"/>
  <c r="I1715" i="30"/>
  <c r="O1714" i="30" a="1"/>
  <c r="O1714" i="30" s="1"/>
  <c r="N1714" i="30"/>
  <c r="M1714" i="30"/>
  <c r="L1714" i="30"/>
  <c r="I1714" i="30"/>
  <c r="O1713" i="30" a="1"/>
  <c r="O1713" i="30" s="1"/>
  <c r="N1713" i="30"/>
  <c r="M1713" i="30"/>
  <c r="L1713" i="30"/>
  <c r="I1713" i="30"/>
  <c r="O1712" i="30" a="1"/>
  <c r="O1712" i="30" s="1"/>
  <c r="N1712" i="30"/>
  <c r="M1712" i="30"/>
  <c r="L1712" i="30"/>
  <c r="I1712" i="30"/>
  <c r="O1711" i="30" a="1"/>
  <c r="O1711" i="30" s="1"/>
  <c r="N1711" i="30"/>
  <c r="M1711" i="30"/>
  <c r="L1711" i="30"/>
  <c r="I1711" i="30"/>
  <c r="O1710" i="30" a="1"/>
  <c r="O1710" i="30" s="1"/>
  <c r="N1710" i="30"/>
  <c r="M1710" i="30"/>
  <c r="L1710" i="30"/>
  <c r="I1710" i="30"/>
  <c r="O1709" i="30" a="1"/>
  <c r="O1709" i="30" s="1"/>
  <c r="N1709" i="30"/>
  <c r="M1709" i="30"/>
  <c r="L1709" i="30"/>
  <c r="I1709" i="30"/>
  <c r="O1708" i="30" a="1"/>
  <c r="O1708" i="30" s="1"/>
  <c r="N1708" i="30"/>
  <c r="M1708" i="30"/>
  <c r="L1708" i="30"/>
  <c r="I1708" i="30"/>
  <c r="O1707" i="30" a="1"/>
  <c r="O1707" i="30" s="1"/>
  <c r="N1707" i="30"/>
  <c r="M1707" i="30"/>
  <c r="L1707" i="30"/>
  <c r="I1707" i="30"/>
  <c r="O1706" i="30" a="1"/>
  <c r="O1706" i="30" s="1"/>
  <c r="N1706" i="30"/>
  <c r="M1706" i="30"/>
  <c r="L1706" i="30"/>
  <c r="I1706" i="30"/>
  <c r="O1705" i="30" a="1"/>
  <c r="O1705" i="30" s="1"/>
  <c r="N1705" i="30"/>
  <c r="M1705" i="30"/>
  <c r="L1705" i="30"/>
  <c r="I1705" i="30"/>
  <c r="O1704" i="30" a="1"/>
  <c r="O1704" i="30" s="1"/>
  <c r="N1704" i="30"/>
  <c r="M1704" i="30"/>
  <c r="L1704" i="30"/>
  <c r="I1704" i="30"/>
  <c r="O1703" i="30" a="1"/>
  <c r="O1703" i="30" s="1"/>
  <c r="N1703" i="30"/>
  <c r="M1703" i="30"/>
  <c r="L1703" i="30"/>
  <c r="I1703" i="30"/>
  <c r="O1702" i="30" a="1"/>
  <c r="O1702" i="30" s="1"/>
  <c r="N1702" i="30"/>
  <c r="M1702" i="30"/>
  <c r="L1702" i="30"/>
  <c r="I1702" i="30"/>
  <c r="O1701" i="30" a="1"/>
  <c r="O1701" i="30" s="1"/>
  <c r="N1701" i="30"/>
  <c r="M1701" i="30"/>
  <c r="L1701" i="30"/>
  <c r="I1701" i="30"/>
  <c r="O1700" i="30" a="1"/>
  <c r="O1700" i="30" s="1"/>
  <c r="N1700" i="30"/>
  <c r="M1700" i="30"/>
  <c r="L1700" i="30"/>
  <c r="I1700" i="30"/>
  <c r="O1699" i="30" a="1"/>
  <c r="O1699" i="30" s="1"/>
  <c r="N1699" i="30"/>
  <c r="M1699" i="30"/>
  <c r="L1699" i="30"/>
  <c r="I1699" i="30"/>
  <c r="O1698" i="30" a="1"/>
  <c r="O1698" i="30" s="1"/>
  <c r="N1698" i="30"/>
  <c r="M1698" i="30"/>
  <c r="L1698" i="30"/>
  <c r="I1698" i="30"/>
  <c r="O1697" i="30" a="1"/>
  <c r="O1697" i="30" s="1"/>
  <c r="N1697" i="30"/>
  <c r="M1697" i="30"/>
  <c r="L1697" i="30"/>
  <c r="I1697" i="30"/>
  <c r="O1696" i="30" a="1"/>
  <c r="O1696" i="30" s="1"/>
  <c r="N1696" i="30"/>
  <c r="M1696" i="30"/>
  <c r="L1696" i="30"/>
  <c r="I1696" i="30"/>
  <c r="O1695" i="30" a="1"/>
  <c r="O1695" i="30" s="1"/>
  <c r="N1695" i="30"/>
  <c r="M1695" i="30"/>
  <c r="L1695" i="30"/>
  <c r="I1695" i="30"/>
  <c r="O1694" i="30" a="1"/>
  <c r="O1694" i="30" s="1"/>
  <c r="N1694" i="30"/>
  <c r="M1694" i="30"/>
  <c r="L1694" i="30"/>
  <c r="I1694" i="30"/>
  <c r="O1693" i="30" a="1"/>
  <c r="O1693" i="30" s="1"/>
  <c r="N1693" i="30"/>
  <c r="M1693" i="30"/>
  <c r="L1693" i="30"/>
  <c r="I1693" i="30"/>
  <c r="O1692" i="30" a="1"/>
  <c r="O1692" i="30" s="1"/>
  <c r="N1692" i="30"/>
  <c r="M1692" i="30"/>
  <c r="L1692" i="30"/>
  <c r="I1692" i="30"/>
  <c r="O1691" i="30" a="1"/>
  <c r="O1691" i="30" s="1"/>
  <c r="N1691" i="30"/>
  <c r="M1691" i="30"/>
  <c r="L1691" i="30"/>
  <c r="I1691" i="30"/>
  <c r="O1690" i="30" a="1"/>
  <c r="O1690" i="30" s="1"/>
  <c r="N1690" i="30"/>
  <c r="M1690" i="30"/>
  <c r="L1690" i="30"/>
  <c r="I1690" i="30"/>
  <c r="O1689" i="30" a="1"/>
  <c r="O1689" i="30" s="1"/>
  <c r="N1689" i="30"/>
  <c r="M1689" i="30"/>
  <c r="L1689" i="30"/>
  <c r="I1689" i="30"/>
  <c r="O1688" i="30" a="1"/>
  <c r="O1688" i="30" s="1"/>
  <c r="N1688" i="30"/>
  <c r="M1688" i="30"/>
  <c r="L1688" i="30"/>
  <c r="I1688" i="30"/>
  <c r="O1687" i="30" a="1"/>
  <c r="O1687" i="30" s="1"/>
  <c r="N1687" i="30"/>
  <c r="M1687" i="30"/>
  <c r="L1687" i="30"/>
  <c r="I1687" i="30"/>
  <c r="O1686" i="30" a="1"/>
  <c r="O1686" i="30" s="1"/>
  <c r="N1686" i="30"/>
  <c r="M1686" i="30"/>
  <c r="L1686" i="30"/>
  <c r="I1686" i="30"/>
  <c r="O1685" i="30" a="1"/>
  <c r="O1685" i="30" s="1"/>
  <c r="N1685" i="30"/>
  <c r="M1685" i="30"/>
  <c r="L1685" i="30"/>
  <c r="I1685" i="30"/>
  <c r="O1684" i="30" a="1"/>
  <c r="O1684" i="30" s="1"/>
  <c r="N1684" i="30"/>
  <c r="M1684" i="30"/>
  <c r="L1684" i="30"/>
  <c r="I1684" i="30"/>
  <c r="O1683" i="30" a="1"/>
  <c r="O1683" i="30" s="1"/>
  <c r="N1683" i="30"/>
  <c r="M1683" i="30"/>
  <c r="L1683" i="30"/>
  <c r="I1683" i="30"/>
  <c r="O1682" i="30" a="1"/>
  <c r="O1682" i="30" s="1"/>
  <c r="N1682" i="30"/>
  <c r="M1682" i="30"/>
  <c r="L1682" i="30"/>
  <c r="I1682" i="30"/>
  <c r="O1681" i="30" a="1"/>
  <c r="O1681" i="30" s="1"/>
  <c r="N1681" i="30"/>
  <c r="M1681" i="30"/>
  <c r="L1681" i="30"/>
  <c r="I1681" i="30"/>
  <c r="O1680" i="30" a="1"/>
  <c r="O1680" i="30" s="1"/>
  <c r="N1680" i="30"/>
  <c r="M1680" i="30"/>
  <c r="L1680" i="30"/>
  <c r="I1680" i="30"/>
  <c r="O1679" i="30" a="1"/>
  <c r="O1679" i="30" s="1"/>
  <c r="N1679" i="30"/>
  <c r="M1679" i="30"/>
  <c r="L1679" i="30"/>
  <c r="I1679" i="30"/>
  <c r="O1678" i="30" a="1"/>
  <c r="O1678" i="30" s="1"/>
  <c r="N1678" i="30"/>
  <c r="M1678" i="30"/>
  <c r="L1678" i="30"/>
  <c r="I1678" i="30"/>
  <c r="O1677" i="30" a="1"/>
  <c r="O1677" i="30" s="1"/>
  <c r="N1677" i="30"/>
  <c r="M1677" i="30"/>
  <c r="L1677" i="30"/>
  <c r="I1677" i="30"/>
  <c r="O1676" i="30" a="1"/>
  <c r="O1676" i="30" s="1"/>
  <c r="N1676" i="30"/>
  <c r="M1676" i="30"/>
  <c r="L1676" i="30"/>
  <c r="I1676" i="30"/>
  <c r="O1675" i="30" a="1"/>
  <c r="O1675" i="30" s="1"/>
  <c r="N1675" i="30"/>
  <c r="M1675" i="30"/>
  <c r="L1675" i="30"/>
  <c r="I1675" i="30"/>
  <c r="O1674" i="30" a="1"/>
  <c r="O1674" i="30" s="1"/>
  <c r="N1674" i="30"/>
  <c r="M1674" i="30"/>
  <c r="L1674" i="30"/>
  <c r="I1674" i="30"/>
  <c r="O1673" i="30" a="1"/>
  <c r="O1673" i="30" s="1"/>
  <c r="N1673" i="30"/>
  <c r="M1673" i="30"/>
  <c r="L1673" i="30"/>
  <c r="I1673" i="30"/>
  <c r="O1672" i="30" a="1"/>
  <c r="O1672" i="30" s="1"/>
  <c r="N1672" i="30"/>
  <c r="M1672" i="30"/>
  <c r="L1672" i="30"/>
  <c r="I1672" i="30"/>
  <c r="O1671" i="30" a="1"/>
  <c r="O1671" i="30" s="1"/>
  <c r="N1671" i="30"/>
  <c r="M1671" i="30"/>
  <c r="L1671" i="30"/>
  <c r="I1671" i="30"/>
  <c r="O1670" i="30" a="1"/>
  <c r="O1670" i="30" s="1"/>
  <c r="N1670" i="30"/>
  <c r="M1670" i="30"/>
  <c r="L1670" i="30"/>
  <c r="I1670" i="30"/>
  <c r="O1669" i="30" a="1"/>
  <c r="O1669" i="30" s="1"/>
  <c r="N1669" i="30"/>
  <c r="M1669" i="30"/>
  <c r="L1669" i="30"/>
  <c r="I1669" i="30"/>
  <c r="O1668" i="30" a="1"/>
  <c r="O1668" i="30" s="1"/>
  <c r="N1668" i="30"/>
  <c r="M1668" i="30"/>
  <c r="L1668" i="30"/>
  <c r="I1668" i="30"/>
  <c r="O1667" i="30" a="1"/>
  <c r="O1667" i="30" s="1"/>
  <c r="N1667" i="30"/>
  <c r="M1667" i="30"/>
  <c r="L1667" i="30"/>
  <c r="I1667" i="30"/>
  <c r="O1666" i="30" a="1"/>
  <c r="O1666" i="30" s="1"/>
  <c r="N1666" i="30"/>
  <c r="M1666" i="30"/>
  <c r="L1666" i="30"/>
  <c r="I1666" i="30"/>
  <c r="O1665" i="30" a="1"/>
  <c r="O1665" i="30" s="1"/>
  <c r="N1665" i="30"/>
  <c r="M1665" i="30"/>
  <c r="L1665" i="30"/>
  <c r="I1665" i="30"/>
  <c r="O1664" i="30" a="1"/>
  <c r="O1664" i="30" s="1"/>
  <c r="N1664" i="30"/>
  <c r="M1664" i="30"/>
  <c r="L1664" i="30"/>
  <c r="I1664" i="30"/>
  <c r="O1663" i="30" a="1"/>
  <c r="O1663" i="30" s="1"/>
  <c r="N1663" i="30"/>
  <c r="M1663" i="30"/>
  <c r="L1663" i="30"/>
  <c r="I1663" i="30"/>
  <c r="O1662" i="30" a="1"/>
  <c r="O1662" i="30" s="1"/>
  <c r="N1662" i="30"/>
  <c r="M1662" i="30"/>
  <c r="L1662" i="30"/>
  <c r="I1662" i="30"/>
  <c r="O1661" i="30" a="1"/>
  <c r="O1661" i="30" s="1"/>
  <c r="N1661" i="30"/>
  <c r="M1661" i="30"/>
  <c r="L1661" i="30"/>
  <c r="I1661" i="30"/>
  <c r="O1660" i="30" a="1"/>
  <c r="O1660" i="30" s="1"/>
  <c r="N1660" i="30"/>
  <c r="M1660" i="30"/>
  <c r="L1660" i="30"/>
  <c r="I1660" i="30"/>
  <c r="O1659" i="30" a="1"/>
  <c r="O1659" i="30" s="1"/>
  <c r="N1659" i="30"/>
  <c r="M1659" i="30"/>
  <c r="L1659" i="30"/>
  <c r="I1659" i="30"/>
  <c r="O1658" i="30" a="1"/>
  <c r="O1658" i="30" s="1"/>
  <c r="N1658" i="30"/>
  <c r="M1658" i="30"/>
  <c r="L1658" i="30"/>
  <c r="I1658" i="30"/>
  <c r="O1657" i="30" a="1"/>
  <c r="O1657" i="30" s="1"/>
  <c r="N1657" i="30"/>
  <c r="M1657" i="30"/>
  <c r="L1657" i="30"/>
  <c r="I1657" i="30"/>
  <c r="O1656" i="30" a="1"/>
  <c r="O1656" i="30" s="1"/>
  <c r="N1656" i="30"/>
  <c r="M1656" i="30"/>
  <c r="L1656" i="30"/>
  <c r="I1656" i="30"/>
  <c r="O1655" i="30" a="1"/>
  <c r="O1655" i="30" s="1"/>
  <c r="N1655" i="30"/>
  <c r="M1655" i="30"/>
  <c r="L1655" i="30"/>
  <c r="I1655" i="30"/>
  <c r="O1654" i="30" a="1"/>
  <c r="O1654" i="30" s="1"/>
  <c r="N1654" i="30"/>
  <c r="M1654" i="30"/>
  <c r="L1654" i="30"/>
  <c r="I1654" i="30"/>
  <c r="O1653" i="30" a="1"/>
  <c r="O1653" i="30" s="1"/>
  <c r="N1653" i="30"/>
  <c r="M1653" i="30"/>
  <c r="L1653" i="30"/>
  <c r="I1653" i="30"/>
  <c r="O1652" i="30" a="1"/>
  <c r="O1652" i="30" s="1"/>
  <c r="N1652" i="30"/>
  <c r="M1652" i="30"/>
  <c r="L1652" i="30"/>
  <c r="I1652" i="30"/>
  <c r="O1651" i="30" a="1"/>
  <c r="O1651" i="30" s="1"/>
  <c r="N1651" i="30"/>
  <c r="M1651" i="30"/>
  <c r="L1651" i="30"/>
  <c r="I1651" i="30"/>
  <c r="O1650" i="30" a="1"/>
  <c r="O1650" i="30" s="1"/>
  <c r="N1650" i="30"/>
  <c r="M1650" i="30"/>
  <c r="L1650" i="30"/>
  <c r="I1650" i="30"/>
  <c r="O1649" i="30" a="1"/>
  <c r="O1649" i="30" s="1"/>
  <c r="N1649" i="30"/>
  <c r="M1649" i="30"/>
  <c r="L1649" i="30"/>
  <c r="I1649" i="30"/>
  <c r="O1648" i="30" a="1"/>
  <c r="O1648" i="30" s="1"/>
  <c r="N1648" i="30"/>
  <c r="M1648" i="30"/>
  <c r="L1648" i="30"/>
  <c r="I1648" i="30"/>
  <c r="O1647" i="30" a="1"/>
  <c r="O1647" i="30" s="1"/>
  <c r="N1647" i="30"/>
  <c r="M1647" i="30"/>
  <c r="L1647" i="30"/>
  <c r="I1647" i="30"/>
  <c r="O1646" i="30" a="1"/>
  <c r="O1646" i="30" s="1"/>
  <c r="N1646" i="30"/>
  <c r="M1646" i="30"/>
  <c r="L1646" i="30"/>
  <c r="I1646" i="30"/>
  <c r="O1645" i="30" a="1"/>
  <c r="O1645" i="30" s="1"/>
  <c r="N1645" i="30"/>
  <c r="M1645" i="30"/>
  <c r="L1645" i="30"/>
  <c r="I1645" i="30"/>
  <c r="O1644" i="30" a="1"/>
  <c r="O1644" i="30" s="1"/>
  <c r="N1644" i="30"/>
  <c r="M1644" i="30"/>
  <c r="L1644" i="30"/>
  <c r="I1644" i="30"/>
  <c r="O1643" i="30" a="1"/>
  <c r="O1643" i="30" s="1"/>
  <c r="N1643" i="30"/>
  <c r="M1643" i="30"/>
  <c r="L1643" i="30"/>
  <c r="I1643" i="30"/>
  <c r="O1642" i="30" a="1"/>
  <c r="O1642" i="30" s="1"/>
  <c r="N1642" i="30"/>
  <c r="M1642" i="30"/>
  <c r="L1642" i="30"/>
  <c r="I1642" i="30"/>
  <c r="O1641" i="30" a="1"/>
  <c r="O1641" i="30" s="1"/>
  <c r="N1641" i="30"/>
  <c r="M1641" i="30"/>
  <c r="L1641" i="30"/>
  <c r="I1641" i="30"/>
  <c r="O1640" i="30" a="1"/>
  <c r="O1640" i="30" s="1"/>
  <c r="N1640" i="30"/>
  <c r="M1640" i="30"/>
  <c r="L1640" i="30"/>
  <c r="I1640" i="30"/>
  <c r="O1639" i="30" a="1"/>
  <c r="O1639" i="30" s="1"/>
  <c r="N1639" i="30"/>
  <c r="M1639" i="30"/>
  <c r="L1639" i="30"/>
  <c r="I1639" i="30"/>
  <c r="O1638" i="30" a="1"/>
  <c r="O1638" i="30" s="1"/>
  <c r="N1638" i="30"/>
  <c r="M1638" i="30"/>
  <c r="L1638" i="30"/>
  <c r="I1638" i="30"/>
  <c r="O1637" i="30" a="1"/>
  <c r="O1637" i="30" s="1"/>
  <c r="N1637" i="30"/>
  <c r="M1637" i="30"/>
  <c r="L1637" i="30"/>
  <c r="I1637" i="30"/>
  <c r="O1636" i="30" a="1"/>
  <c r="O1636" i="30" s="1"/>
  <c r="N1636" i="30"/>
  <c r="M1636" i="30"/>
  <c r="L1636" i="30"/>
  <c r="I1636" i="30"/>
  <c r="O1635" i="30" a="1"/>
  <c r="O1635" i="30" s="1"/>
  <c r="N1635" i="30"/>
  <c r="M1635" i="30"/>
  <c r="L1635" i="30"/>
  <c r="I1635" i="30"/>
  <c r="O1634" i="30" a="1"/>
  <c r="O1634" i="30" s="1"/>
  <c r="N1634" i="30"/>
  <c r="M1634" i="30"/>
  <c r="L1634" i="30"/>
  <c r="I1634" i="30"/>
  <c r="O1633" i="30" a="1"/>
  <c r="O1633" i="30" s="1"/>
  <c r="N1633" i="30"/>
  <c r="M1633" i="30"/>
  <c r="L1633" i="30"/>
  <c r="I1633" i="30"/>
  <c r="O1632" i="30" a="1"/>
  <c r="O1632" i="30" s="1"/>
  <c r="N1632" i="30"/>
  <c r="M1632" i="30"/>
  <c r="L1632" i="30"/>
  <c r="I1632" i="30"/>
  <c r="O1631" i="30" a="1"/>
  <c r="O1631" i="30" s="1"/>
  <c r="N1631" i="30"/>
  <c r="M1631" i="30"/>
  <c r="L1631" i="30"/>
  <c r="I1631" i="30"/>
  <c r="O1630" i="30" a="1"/>
  <c r="O1630" i="30" s="1"/>
  <c r="N1630" i="30"/>
  <c r="M1630" i="30"/>
  <c r="L1630" i="30"/>
  <c r="I1630" i="30"/>
  <c r="O1629" i="30" a="1"/>
  <c r="O1629" i="30" s="1"/>
  <c r="N1629" i="30"/>
  <c r="M1629" i="30"/>
  <c r="L1629" i="30"/>
  <c r="I1629" i="30"/>
  <c r="O1628" i="30" a="1"/>
  <c r="O1628" i="30" s="1"/>
  <c r="N1628" i="30"/>
  <c r="M1628" i="30"/>
  <c r="L1628" i="30"/>
  <c r="I1628" i="30"/>
  <c r="O1627" i="30" a="1"/>
  <c r="O1627" i="30" s="1"/>
  <c r="N1627" i="30"/>
  <c r="M1627" i="30"/>
  <c r="L1627" i="30"/>
  <c r="I1627" i="30"/>
  <c r="O1626" i="30" a="1"/>
  <c r="O1626" i="30" s="1"/>
  <c r="N1626" i="30"/>
  <c r="M1626" i="30"/>
  <c r="L1626" i="30"/>
  <c r="I1626" i="30"/>
  <c r="O1625" i="30" a="1"/>
  <c r="O1625" i="30" s="1"/>
  <c r="N1625" i="30"/>
  <c r="M1625" i="30"/>
  <c r="L1625" i="30"/>
  <c r="I1625" i="30"/>
  <c r="O1624" i="30" a="1"/>
  <c r="O1624" i="30" s="1"/>
  <c r="N1624" i="30"/>
  <c r="M1624" i="30"/>
  <c r="L1624" i="30"/>
  <c r="I1624" i="30"/>
  <c r="O1623" i="30" a="1"/>
  <c r="O1623" i="30" s="1"/>
  <c r="N1623" i="30"/>
  <c r="M1623" i="30"/>
  <c r="L1623" i="30"/>
  <c r="I1623" i="30"/>
  <c r="O1622" i="30" a="1"/>
  <c r="O1622" i="30" s="1"/>
  <c r="N1622" i="30"/>
  <c r="M1622" i="30"/>
  <c r="L1622" i="30"/>
  <c r="I1622" i="30"/>
  <c r="O1621" i="30" a="1"/>
  <c r="O1621" i="30" s="1"/>
  <c r="N1621" i="30"/>
  <c r="M1621" i="30"/>
  <c r="L1621" i="30"/>
  <c r="I1621" i="30"/>
  <c r="O1620" i="30" a="1"/>
  <c r="O1620" i="30" s="1"/>
  <c r="N1620" i="30"/>
  <c r="M1620" i="30"/>
  <c r="L1620" i="30"/>
  <c r="I1620" i="30"/>
  <c r="O1619" i="30" a="1"/>
  <c r="O1619" i="30" s="1"/>
  <c r="N1619" i="30"/>
  <c r="M1619" i="30"/>
  <c r="L1619" i="30"/>
  <c r="I1619" i="30"/>
  <c r="O1618" i="30" a="1"/>
  <c r="O1618" i="30" s="1"/>
  <c r="N1618" i="30"/>
  <c r="M1618" i="30"/>
  <c r="L1618" i="30"/>
  <c r="I1618" i="30"/>
  <c r="O1617" i="30" a="1"/>
  <c r="O1617" i="30" s="1"/>
  <c r="N1617" i="30"/>
  <c r="M1617" i="30"/>
  <c r="L1617" i="30"/>
  <c r="I1617" i="30"/>
  <c r="O1616" i="30" a="1"/>
  <c r="O1616" i="30" s="1"/>
  <c r="N1616" i="30"/>
  <c r="M1616" i="30"/>
  <c r="L1616" i="30"/>
  <c r="I1616" i="30"/>
  <c r="O1615" i="30" a="1"/>
  <c r="O1615" i="30" s="1"/>
  <c r="N1615" i="30"/>
  <c r="M1615" i="30"/>
  <c r="L1615" i="30"/>
  <c r="I1615" i="30"/>
  <c r="O1614" i="30" a="1"/>
  <c r="O1614" i="30" s="1"/>
  <c r="N1614" i="30"/>
  <c r="M1614" i="30"/>
  <c r="L1614" i="30"/>
  <c r="I1614" i="30"/>
  <c r="O1613" i="30" a="1"/>
  <c r="O1613" i="30" s="1"/>
  <c r="N1613" i="30"/>
  <c r="M1613" i="30"/>
  <c r="L1613" i="30"/>
  <c r="I1613" i="30"/>
  <c r="O1612" i="30" a="1"/>
  <c r="O1612" i="30" s="1"/>
  <c r="N1612" i="30"/>
  <c r="M1612" i="30"/>
  <c r="L1612" i="30"/>
  <c r="I1612" i="30"/>
  <c r="O1611" i="30" a="1"/>
  <c r="O1611" i="30" s="1"/>
  <c r="N1611" i="30"/>
  <c r="M1611" i="30"/>
  <c r="L1611" i="30"/>
  <c r="I1611" i="30"/>
  <c r="O1610" i="30" a="1"/>
  <c r="O1610" i="30" s="1"/>
  <c r="N1610" i="30"/>
  <c r="M1610" i="30"/>
  <c r="L1610" i="30"/>
  <c r="I1610" i="30"/>
  <c r="O1609" i="30" a="1"/>
  <c r="O1609" i="30" s="1"/>
  <c r="N1609" i="30"/>
  <c r="M1609" i="30"/>
  <c r="L1609" i="30"/>
  <c r="I1609" i="30"/>
  <c r="O1608" i="30" a="1"/>
  <c r="O1608" i="30" s="1"/>
  <c r="N1608" i="30"/>
  <c r="M1608" i="30"/>
  <c r="L1608" i="30"/>
  <c r="I1608" i="30"/>
  <c r="O1607" i="30" a="1"/>
  <c r="O1607" i="30" s="1"/>
  <c r="N1607" i="30"/>
  <c r="M1607" i="30"/>
  <c r="L1607" i="30"/>
  <c r="I1607" i="30"/>
  <c r="O1606" i="30" a="1"/>
  <c r="O1606" i="30" s="1"/>
  <c r="N1606" i="30"/>
  <c r="M1606" i="30"/>
  <c r="L1606" i="30"/>
  <c r="I1606" i="30"/>
  <c r="O1605" i="30" a="1"/>
  <c r="O1605" i="30" s="1"/>
  <c r="N1605" i="30"/>
  <c r="M1605" i="30"/>
  <c r="L1605" i="30"/>
  <c r="I1605" i="30"/>
  <c r="O1604" i="30" a="1"/>
  <c r="O1604" i="30" s="1"/>
  <c r="N1604" i="30"/>
  <c r="M1604" i="30"/>
  <c r="L1604" i="30"/>
  <c r="I1604" i="30"/>
  <c r="O1603" i="30" a="1"/>
  <c r="O1603" i="30" s="1"/>
  <c r="N1603" i="30"/>
  <c r="M1603" i="30"/>
  <c r="L1603" i="30"/>
  <c r="I1603" i="30"/>
  <c r="O1602" i="30" a="1"/>
  <c r="O1602" i="30" s="1"/>
  <c r="N1602" i="30"/>
  <c r="M1602" i="30"/>
  <c r="L1602" i="30"/>
  <c r="I1602" i="30"/>
  <c r="O1601" i="30" a="1"/>
  <c r="O1601" i="30" s="1"/>
  <c r="N1601" i="30"/>
  <c r="M1601" i="30"/>
  <c r="L1601" i="30"/>
  <c r="I1601" i="30"/>
  <c r="O1600" i="30" a="1"/>
  <c r="O1600" i="30" s="1"/>
  <c r="N1600" i="30"/>
  <c r="M1600" i="30"/>
  <c r="L1600" i="30"/>
  <c r="I1600" i="30"/>
  <c r="O1599" i="30" a="1"/>
  <c r="O1599" i="30" s="1"/>
  <c r="N1599" i="30"/>
  <c r="M1599" i="30"/>
  <c r="L1599" i="30"/>
  <c r="I1599" i="30"/>
  <c r="O1598" i="30" a="1"/>
  <c r="O1598" i="30" s="1"/>
  <c r="N1598" i="30"/>
  <c r="M1598" i="30"/>
  <c r="L1598" i="30"/>
  <c r="I1598" i="30"/>
  <c r="O1597" i="30" a="1"/>
  <c r="O1597" i="30" s="1"/>
  <c r="N1597" i="30"/>
  <c r="M1597" i="30"/>
  <c r="L1597" i="30"/>
  <c r="I1597" i="30"/>
  <c r="O1596" i="30" a="1"/>
  <c r="O1596" i="30" s="1"/>
  <c r="N1596" i="30"/>
  <c r="M1596" i="30"/>
  <c r="L1596" i="30"/>
  <c r="I1596" i="30"/>
  <c r="O1595" i="30" a="1"/>
  <c r="O1595" i="30" s="1"/>
  <c r="N1595" i="30"/>
  <c r="M1595" i="30"/>
  <c r="L1595" i="30"/>
  <c r="I1595" i="30"/>
  <c r="O1594" i="30" a="1"/>
  <c r="O1594" i="30" s="1"/>
  <c r="N1594" i="30"/>
  <c r="M1594" i="30"/>
  <c r="L1594" i="30"/>
  <c r="I1594" i="30"/>
  <c r="O1593" i="30" a="1"/>
  <c r="O1593" i="30" s="1"/>
  <c r="N1593" i="30"/>
  <c r="M1593" i="30"/>
  <c r="L1593" i="30"/>
  <c r="I1593" i="30"/>
  <c r="O1592" i="30" a="1"/>
  <c r="O1592" i="30" s="1"/>
  <c r="N1592" i="30"/>
  <c r="M1592" i="30"/>
  <c r="L1592" i="30"/>
  <c r="I1592" i="30"/>
  <c r="O1591" i="30" a="1"/>
  <c r="O1591" i="30" s="1"/>
  <c r="N1591" i="30"/>
  <c r="M1591" i="30"/>
  <c r="L1591" i="30"/>
  <c r="I1591" i="30"/>
  <c r="O1590" i="30" a="1"/>
  <c r="O1590" i="30" s="1"/>
  <c r="N1590" i="30"/>
  <c r="M1590" i="30"/>
  <c r="L1590" i="30"/>
  <c r="I1590" i="30"/>
  <c r="O1589" i="30" a="1"/>
  <c r="O1589" i="30" s="1"/>
  <c r="N1589" i="30"/>
  <c r="M1589" i="30"/>
  <c r="L1589" i="30"/>
  <c r="I1589" i="30"/>
  <c r="O1588" i="30" a="1"/>
  <c r="O1588" i="30" s="1"/>
  <c r="N1588" i="30"/>
  <c r="M1588" i="30"/>
  <c r="L1588" i="30"/>
  <c r="I1588" i="30"/>
  <c r="O1587" i="30" a="1"/>
  <c r="O1587" i="30" s="1"/>
  <c r="N1587" i="30"/>
  <c r="M1587" i="30"/>
  <c r="L1587" i="30"/>
  <c r="I1587" i="30"/>
  <c r="O1586" i="30" a="1"/>
  <c r="O1586" i="30" s="1"/>
  <c r="N1586" i="30"/>
  <c r="M1586" i="30"/>
  <c r="L1586" i="30"/>
  <c r="I1586" i="30"/>
  <c r="O1585" i="30" a="1"/>
  <c r="O1585" i="30" s="1"/>
  <c r="N1585" i="30"/>
  <c r="M1585" i="30"/>
  <c r="L1585" i="30"/>
  <c r="I1585" i="30"/>
  <c r="O1584" i="30" a="1"/>
  <c r="O1584" i="30" s="1"/>
  <c r="N1584" i="30"/>
  <c r="M1584" i="30"/>
  <c r="L1584" i="30"/>
  <c r="I1584" i="30"/>
  <c r="O1583" i="30" a="1"/>
  <c r="O1583" i="30" s="1"/>
  <c r="N1583" i="30"/>
  <c r="M1583" i="30"/>
  <c r="L1583" i="30"/>
  <c r="I1583" i="30"/>
  <c r="O1582" i="30" a="1"/>
  <c r="O1582" i="30" s="1"/>
  <c r="N1582" i="30"/>
  <c r="M1582" i="30"/>
  <c r="L1582" i="30"/>
  <c r="I1582" i="30"/>
  <c r="O1581" i="30" a="1"/>
  <c r="O1581" i="30" s="1"/>
  <c r="N1581" i="30"/>
  <c r="M1581" i="30"/>
  <c r="L1581" i="30"/>
  <c r="I1581" i="30"/>
  <c r="O1580" i="30" a="1"/>
  <c r="O1580" i="30" s="1"/>
  <c r="N1580" i="30"/>
  <c r="M1580" i="30"/>
  <c r="L1580" i="30"/>
  <c r="I1580" i="30"/>
  <c r="O1579" i="30" a="1"/>
  <c r="O1579" i="30" s="1"/>
  <c r="N1579" i="30"/>
  <c r="M1579" i="30"/>
  <c r="L1579" i="30"/>
  <c r="I1579" i="30"/>
  <c r="O1578" i="30" a="1"/>
  <c r="O1578" i="30" s="1"/>
  <c r="N1578" i="30"/>
  <c r="M1578" i="30"/>
  <c r="L1578" i="30"/>
  <c r="I1578" i="30"/>
  <c r="O1577" i="30" a="1"/>
  <c r="O1577" i="30" s="1"/>
  <c r="N1577" i="30"/>
  <c r="M1577" i="30"/>
  <c r="L1577" i="30"/>
  <c r="I1577" i="30"/>
  <c r="O1576" i="30" a="1"/>
  <c r="O1576" i="30" s="1"/>
  <c r="N1576" i="30"/>
  <c r="M1576" i="30"/>
  <c r="L1576" i="30"/>
  <c r="I1576" i="30"/>
  <c r="O1575" i="30" a="1"/>
  <c r="O1575" i="30" s="1"/>
  <c r="N1575" i="30"/>
  <c r="M1575" i="30"/>
  <c r="L1575" i="30"/>
  <c r="I1575" i="30"/>
  <c r="O1574" i="30" a="1"/>
  <c r="O1574" i="30" s="1"/>
  <c r="N1574" i="30"/>
  <c r="M1574" i="30"/>
  <c r="L1574" i="30"/>
  <c r="I1574" i="30"/>
  <c r="O1573" i="30" a="1"/>
  <c r="O1573" i="30" s="1"/>
  <c r="N1573" i="30"/>
  <c r="M1573" i="30"/>
  <c r="L1573" i="30"/>
  <c r="I1573" i="30"/>
  <c r="O1572" i="30" a="1"/>
  <c r="O1572" i="30" s="1"/>
  <c r="N1572" i="30"/>
  <c r="M1572" i="30"/>
  <c r="L1572" i="30"/>
  <c r="I1572" i="30"/>
  <c r="O1571" i="30" a="1"/>
  <c r="O1571" i="30" s="1"/>
  <c r="N1571" i="30"/>
  <c r="M1571" i="30"/>
  <c r="L1571" i="30"/>
  <c r="I1571" i="30"/>
  <c r="O1570" i="30" a="1"/>
  <c r="O1570" i="30" s="1"/>
  <c r="N1570" i="30"/>
  <c r="M1570" i="30"/>
  <c r="L1570" i="30"/>
  <c r="I1570" i="30"/>
  <c r="O1569" i="30" a="1"/>
  <c r="O1569" i="30" s="1"/>
  <c r="N1569" i="30"/>
  <c r="M1569" i="30"/>
  <c r="L1569" i="30"/>
  <c r="I1569" i="30"/>
  <c r="O1568" i="30" a="1"/>
  <c r="O1568" i="30" s="1"/>
  <c r="N1568" i="30"/>
  <c r="M1568" i="30"/>
  <c r="L1568" i="30"/>
  <c r="I1568" i="30"/>
  <c r="O1567" i="30" a="1"/>
  <c r="O1567" i="30" s="1"/>
  <c r="N1567" i="30"/>
  <c r="M1567" i="30"/>
  <c r="L1567" i="30"/>
  <c r="I1567" i="30"/>
  <c r="O1566" i="30" a="1"/>
  <c r="O1566" i="30" s="1"/>
  <c r="N1566" i="30"/>
  <c r="M1566" i="30"/>
  <c r="L1566" i="30"/>
  <c r="I1566" i="30"/>
  <c r="O1565" i="30" a="1"/>
  <c r="O1565" i="30" s="1"/>
  <c r="N1565" i="30"/>
  <c r="M1565" i="30"/>
  <c r="L1565" i="30"/>
  <c r="I1565" i="30"/>
  <c r="O1564" i="30" a="1"/>
  <c r="O1564" i="30" s="1"/>
  <c r="N1564" i="30"/>
  <c r="M1564" i="30"/>
  <c r="L1564" i="30"/>
  <c r="I1564" i="30"/>
  <c r="O1563" i="30" a="1"/>
  <c r="O1563" i="30" s="1"/>
  <c r="N1563" i="30"/>
  <c r="M1563" i="30"/>
  <c r="L1563" i="30"/>
  <c r="I1563" i="30"/>
  <c r="O1562" i="30" a="1"/>
  <c r="O1562" i="30" s="1"/>
  <c r="N1562" i="30"/>
  <c r="M1562" i="30"/>
  <c r="L1562" i="30"/>
  <c r="I1562" i="30"/>
  <c r="O1561" i="30" a="1"/>
  <c r="O1561" i="30" s="1"/>
  <c r="N1561" i="30"/>
  <c r="M1561" i="30"/>
  <c r="L1561" i="30"/>
  <c r="I1561" i="30"/>
  <c r="O1560" i="30" a="1"/>
  <c r="O1560" i="30" s="1"/>
  <c r="N1560" i="30"/>
  <c r="M1560" i="30"/>
  <c r="L1560" i="30"/>
  <c r="I1560" i="30"/>
  <c r="O1559" i="30" a="1"/>
  <c r="O1559" i="30" s="1"/>
  <c r="N1559" i="30"/>
  <c r="M1559" i="30"/>
  <c r="L1559" i="30"/>
  <c r="I1559" i="30"/>
  <c r="O1558" i="30" a="1"/>
  <c r="O1558" i="30" s="1"/>
  <c r="N1558" i="30"/>
  <c r="M1558" i="30"/>
  <c r="L1558" i="30"/>
  <c r="I1558" i="30"/>
  <c r="O1557" i="30" a="1"/>
  <c r="O1557" i="30" s="1"/>
  <c r="N1557" i="30"/>
  <c r="M1557" i="30"/>
  <c r="L1557" i="30"/>
  <c r="I1557" i="30"/>
  <c r="O1556" i="30" a="1"/>
  <c r="O1556" i="30" s="1"/>
  <c r="N1556" i="30"/>
  <c r="M1556" i="30"/>
  <c r="L1556" i="30"/>
  <c r="I1556" i="30"/>
  <c r="O1555" i="30" a="1"/>
  <c r="O1555" i="30" s="1"/>
  <c r="N1555" i="30"/>
  <c r="M1555" i="30"/>
  <c r="L1555" i="30"/>
  <c r="I1555" i="30"/>
  <c r="O1554" i="30" a="1"/>
  <c r="O1554" i="30" s="1"/>
  <c r="N1554" i="30"/>
  <c r="M1554" i="30"/>
  <c r="L1554" i="30"/>
  <c r="I1554" i="30"/>
  <c r="O1553" i="30" a="1"/>
  <c r="O1553" i="30" s="1"/>
  <c r="N1553" i="30"/>
  <c r="M1553" i="30"/>
  <c r="L1553" i="30"/>
  <c r="I1553" i="30"/>
  <c r="O1552" i="30" a="1"/>
  <c r="O1552" i="30" s="1"/>
  <c r="N1552" i="30"/>
  <c r="M1552" i="30"/>
  <c r="L1552" i="30"/>
  <c r="I1552" i="30"/>
  <c r="O1551" i="30" a="1"/>
  <c r="O1551" i="30" s="1"/>
  <c r="N1551" i="30"/>
  <c r="M1551" i="30"/>
  <c r="L1551" i="30"/>
  <c r="I1551" i="30"/>
  <c r="O1550" i="30" a="1"/>
  <c r="O1550" i="30" s="1"/>
  <c r="N1550" i="30"/>
  <c r="M1550" i="30"/>
  <c r="L1550" i="30"/>
  <c r="I1550" i="30"/>
  <c r="O1549" i="30" a="1"/>
  <c r="O1549" i="30" s="1"/>
  <c r="N1549" i="30"/>
  <c r="M1549" i="30"/>
  <c r="L1549" i="30"/>
  <c r="I1549" i="30"/>
  <c r="O1548" i="30" a="1"/>
  <c r="O1548" i="30" s="1"/>
  <c r="N1548" i="30"/>
  <c r="M1548" i="30"/>
  <c r="L1548" i="30"/>
  <c r="I1548" i="30"/>
  <c r="O1547" i="30" a="1"/>
  <c r="O1547" i="30" s="1"/>
  <c r="N1547" i="30"/>
  <c r="M1547" i="30"/>
  <c r="L1547" i="30"/>
  <c r="I1547" i="30"/>
  <c r="O1546" i="30" a="1"/>
  <c r="O1546" i="30" s="1"/>
  <c r="N1546" i="30"/>
  <c r="M1546" i="30"/>
  <c r="L1546" i="30"/>
  <c r="I1546" i="30"/>
  <c r="O1545" i="30" a="1"/>
  <c r="O1545" i="30" s="1"/>
  <c r="N1545" i="30"/>
  <c r="M1545" i="30"/>
  <c r="L1545" i="30"/>
  <c r="I1545" i="30"/>
  <c r="O1544" i="30" a="1"/>
  <c r="O1544" i="30" s="1"/>
  <c r="N1544" i="30"/>
  <c r="M1544" i="30"/>
  <c r="L1544" i="30"/>
  <c r="I1544" i="30"/>
  <c r="O1543" i="30" a="1"/>
  <c r="O1543" i="30" s="1"/>
  <c r="N1543" i="30"/>
  <c r="M1543" i="30"/>
  <c r="L1543" i="30"/>
  <c r="I1543" i="30"/>
  <c r="O1542" i="30" a="1"/>
  <c r="O1542" i="30" s="1"/>
  <c r="N1542" i="30"/>
  <c r="M1542" i="30"/>
  <c r="L1542" i="30"/>
  <c r="I1542" i="30"/>
  <c r="O1541" i="30" a="1"/>
  <c r="O1541" i="30" s="1"/>
  <c r="N1541" i="30"/>
  <c r="M1541" i="30"/>
  <c r="L1541" i="30"/>
  <c r="I1541" i="30"/>
  <c r="O1540" i="30" a="1"/>
  <c r="O1540" i="30" s="1"/>
  <c r="N1540" i="30"/>
  <c r="M1540" i="30"/>
  <c r="L1540" i="30"/>
  <c r="I1540" i="30"/>
  <c r="O1539" i="30" a="1"/>
  <c r="O1539" i="30" s="1"/>
  <c r="N1539" i="30"/>
  <c r="M1539" i="30"/>
  <c r="L1539" i="30"/>
  <c r="I1539" i="30"/>
  <c r="O1538" i="30" a="1"/>
  <c r="O1538" i="30" s="1"/>
  <c r="N1538" i="30"/>
  <c r="M1538" i="30"/>
  <c r="L1538" i="30"/>
  <c r="I1538" i="30"/>
  <c r="O1537" i="30" a="1"/>
  <c r="O1537" i="30" s="1"/>
  <c r="N1537" i="30"/>
  <c r="M1537" i="30"/>
  <c r="L1537" i="30"/>
  <c r="I1537" i="30"/>
  <c r="O1536" i="30" a="1"/>
  <c r="O1536" i="30" s="1"/>
  <c r="N1536" i="30"/>
  <c r="M1536" i="30"/>
  <c r="L1536" i="30"/>
  <c r="I1536" i="30"/>
  <c r="O1535" i="30" a="1"/>
  <c r="O1535" i="30" s="1"/>
  <c r="N1535" i="30"/>
  <c r="M1535" i="30"/>
  <c r="L1535" i="30"/>
  <c r="I1535" i="30"/>
  <c r="O1534" i="30" a="1"/>
  <c r="O1534" i="30" s="1"/>
  <c r="N1534" i="30"/>
  <c r="M1534" i="30"/>
  <c r="L1534" i="30"/>
  <c r="I1534" i="30"/>
  <c r="O1533" i="30" a="1"/>
  <c r="O1533" i="30" s="1"/>
  <c r="N1533" i="30"/>
  <c r="M1533" i="30"/>
  <c r="L1533" i="30"/>
  <c r="I1533" i="30"/>
  <c r="O1532" i="30" a="1"/>
  <c r="O1532" i="30" s="1"/>
  <c r="N1532" i="30"/>
  <c r="M1532" i="30"/>
  <c r="L1532" i="30"/>
  <c r="I1532" i="30"/>
  <c r="O1531" i="30" a="1"/>
  <c r="O1531" i="30" s="1"/>
  <c r="N1531" i="30"/>
  <c r="M1531" i="30"/>
  <c r="L1531" i="30"/>
  <c r="I1531" i="30"/>
  <c r="O1530" i="30" a="1"/>
  <c r="O1530" i="30" s="1"/>
  <c r="N1530" i="30"/>
  <c r="M1530" i="30"/>
  <c r="L1530" i="30"/>
  <c r="I1530" i="30"/>
  <c r="O1529" i="30" a="1"/>
  <c r="O1529" i="30" s="1"/>
  <c r="N1529" i="30"/>
  <c r="M1529" i="30"/>
  <c r="L1529" i="30"/>
  <c r="I1529" i="30"/>
  <c r="O1528" i="30" a="1"/>
  <c r="O1528" i="30" s="1"/>
  <c r="N1528" i="30"/>
  <c r="M1528" i="30"/>
  <c r="L1528" i="30"/>
  <c r="I1528" i="30"/>
  <c r="O1527" i="30" a="1"/>
  <c r="O1527" i="30" s="1"/>
  <c r="N1527" i="30"/>
  <c r="M1527" i="30"/>
  <c r="L1527" i="30"/>
  <c r="I1527" i="30"/>
  <c r="O1526" i="30" a="1"/>
  <c r="O1526" i="30" s="1"/>
  <c r="N1526" i="30"/>
  <c r="M1526" i="30"/>
  <c r="L1526" i="30"/>
  <c r="I1526" i="30"/>
  <c r="O1525" i="30" a="1"/>
  <c r="O1525" i="30" s="1"/>
  <c r="N1525" i="30"/>
  <c r="M1525" i="30"/>
  <c r="L1525" i="30"/>
  <c r="I1525" i="30"/>
  <c r="O1524" i="30" a="1"/>
  <c r="O1524" i="30" s="1"/>
  <c r="N1524" i="30"/>
  <c r="M1524" i="30"/>
  <c r="L1524" i="30"/>
  <c r="I1524" i="30"/>
  <c r="O1523" i="30" a="1"/>
  <c r="O1523" i="30" s="1"/>
  <c r="N1523" i="30"/>
  <c r="M1523" i="30"/>
  <c r="L1523" i="30"/>
  <c r="I1523" i="30"/>
  <c r="O1522" i="30" a="1"/>
  <c r="O1522" i="30" s="1"/>
  <c r="N1522" i="30"/>
  <c r="M1522" i="30"/>
  <c r="L1522" i="30"/>
  <c r="I1522" i="30"/>
  <c r="O1521" i="30" a="1"/>
  <c r="O1521" i="30" s="1"/>
  <c r="N1521" i="30"/>
  <c r="M1521" i="30"/>
  <c r="L1521" i="30"/>
  <c r="I1521" i="30"/>
  <c r="O1520" i="30" a="1"/>
  <c r="O1520" i="30" s="1"/>
  <c r="N1520" i="30"/>
  <c r="M1520" i="30"/>
  <c r="L1520" i="30"/>
  <c r="I1520" i="30"/>
  <c r="O1519" i="30" a="1"/>
  <c r="O1519" i="30" s="1"/>
  <c r="N1519" i="30"/>
  <c r="M1519" i="30"/>
  <c r="L1519" i="30"/>
  <c r="I1519" i="30"/>
  <c r="O1518" i="30" a="1"/>
  <c r="O1518" i="30" s="1"/>
  <c r="N1518" i="30"/>
  <c r="M1518" i="30"/>
  <c r="L1518" i="30"/>
  <c r="I1518" i="30"/>
  <c r="O1517" i="30" a="1"/>
  <c r="O1517" i="30" s="1"/>
  <c r="N1517" i="30"/>
  <c r="M1517" i="30"/>
  <c r="L1517" i="30"/>
  <c r="I1517" i="30"/>
  <c r="O1516" i="30" a="1"/>
  <c r="O1516" i="30" s="1"/>
  <c r="N1516" i="30"/>
  <c r="M1516" i="30"/>
  <c r="L1516" i="30"/>
  <c r="I1516" i="30"/>
  <c r="O1515" i="30" a="1"/>
  <c r="O1515" i="30" s="1"/>
  <c r="N1515" i="30"/>
  <c r="M1515" i="30"/>
  <c r="L1515" i="30"/>
  <c r="I1515" i="30"/>
  <c r="O1514" i="30" a="1"/>
  <c r="O1514" i="30" s="1"/>
  <c r="N1514" i="30"/>
  <c r="M1514" i="30"/>
  <c r="L1514" i="30"/>
  <c r="I1514" i="30"/>
  <c r="O1513" i="30" a="1"/>
  <c r="O1513" i="30" s="1"/>
  <c r="N1513" i="30"/>
  <c r="M1513" i="30"/>
  <c r="L1513" i="30"/>
  <c r="I1513" i="30"/>
  <c r="O1512" i="30" a="1"/>
  <c r="O1512" i="30" s="1"/>
  <c r="N1512" i="30"/>
  <c r="M1512" i="30"/>
  <c r="L1512" i="30"/>
  <c r="I1512" i="30"/>
  <c r="O1511" i="30" a="1"/>
  <c r="O1511" i="30" s="1"/>
  <c r="N1511" i="30"/>
  <c r="M1511" i="30"/>
  <c r="L1511" i="30"/>
  <c r="I1511" i="30"/>
  <c r="O1510" i="30" a="1"/>
  <c r="O1510" i="30" s="1"/>
  <c r="N1510" i="30"/>
  <c r="M1510" i="30"/>
  <c r="L1510" i="30"/>
  <c r="I1510" i="30"/>
  <c r="O1509" i="30" a="1"/>
  <c r="O1509" i="30" s="1"/>
  <c r="N1509" i="30"/>
  <c r="M1509" i="30"/>
  <c r="L1509" i="30"/>
  <c r="I1509" i="30"/>
  <c r="O1508" i="30" a="1"/>
  <c r="O1508" i="30" s="1"/>
  <c r="N1508" i="30"/>
  <c r="M1508" i="30"/>
  <c r="L1508" i="30"/>
  <c r="I1508" i="30"/>
  <c r="O1507" i="30" a="1"/>
  <c r="O1507" i="30" s="1"/>
  <c r="N1507" i="30"/>
  <c r="M1507" i="30"/>
  <c r="L1507" i="30"/>
  <c r="I1507" i="30"/>
  <c r="O1506" i="30" a="1"/>
  <c r="O1506" i="30" s="1"/>
  <c r="N1506" i="30"/>
  <c r="M1506" i="30"/>
  <c r="L1506" i="30"/>
  <c r="I1506" i="30"/>
  <c r="O1505" i="30" a="1"/>
  <c r="O1505" i="30" s="1"/>
  <c r="N1505" i="30"/>
  <c r="M1505" i="30"/>
  <c r="L1505" i="30"/>
  <c r="I1505" i="30"/>
  <c r="O1504" i="30" a="1"/>
  <c r="O1504" i="30" s="1"/>
  <c r="N1504" i="30"/>
  <c r="M1504" i="30"/>
  <c r="L1504" i="30"/>
  <c r="I1504" i="30"/>
  <c r="O1503" i="30" a="1"/>
  <c r="O1503" i="30" s="1"/>
  <c r="N1503" i="30"/>
  <c r="M1503" i="30"/>
  <c r="L1503" i="30"/>
  <c r="I1503" i="30"/>
  <c r="O1502" i="30" a="1"/>
  <c r="O1502" i="30" s="1"/>
  <c r="N1502" i="30"/>
  <c r="M1502" i="30"/>
  <c r="L1502" i="30"/>
  <c r="I1502" i="30"/>
  <c r="O1501" i="30" a="1"/>
  <c r="O1501" i="30" s="1"/>
  <c r="N1501" i="30"/>
  <c r="M1501" i="30"/>
  <c r="L1501" i="30"/>
  <c r="I1501" i="30"/>
  <c r="O1500" i="30" a="1"/>
  <c r="O1500" i="30" s="1"/>
  <c r="N1500" i="30"/>
  <c r="M1500" i="30"/>
  <c r="L1500" i="30"/>
  <c r="I1500" i="30"/>
  <c r="O1499" i="30" a="1"/>
  <c r="O1499" i="30" s="1"/>
  <c r="N1499" i="30"/>
  <c r="M1499" i="30"/>
  <c r="L1499" i="30"/>
  <c r="I1499" i="30"/>
  <c r="O1498" i="30" a="1"/>
  <c r="O1498" i="30" s="1"/>
  <c r="N1498" i="30"/>
  <c r="M1498" i="30"/>
  <c r="L1498" i="30"/>
  <c r="I1498" i="30"/>
  <c r="O1497" i="30" a="1"/>
  <c r="O1497" i="30" s="1"/>
  <c r="N1497" i="30"/>
  <c r="M1497" i="30"/>
  <c r="L1497" i="30"/>
  <c r="I1497" i="30"/>
  <c r="O1496" i="30" a="1"/>
  <c r="O1496" i="30" s="1"/>
  <c r="N1496" i="30"/>
  <c r="M1496" i="30"/>
  <c r="L1496" i="30"/>
  <c r="I1496" i="30"/>
  <c r="O1495" i="30" a="1"/>
  <c r="O1495" i="30" s="1"/>
  <c r="N1495" i="30"/>
  <c r="M1495" i="30"/>
  <c r="L1495" i="30"/>
  <c r="I1495" i="30"/>
  <c r="O1494" i="30" a="1"/>
  <c r="O1494" i="30" s="1"/>
  <c r="N1494" i="30"/>
  <c r="M1494" i="30"/>
  <c r="L1494" i="30"/>
  <c r="I1494" i="30"/>
  <c r="O1493" i="30" a="1"/>
  <c r="O1493" i="30" s="1"/>
  <c r="N1493" i="30"/>
  <c r="M1493" i="30"/>
  <c r="L1493" i="30"/>
  <c r="I1493" i="30"/>
  <c r="O1492" i="30" a="1"/>
  <c r="O1492" i="30" s="1"/>
  <c r="N1492" i="30"/>
  <c r="M1492" i="30"/>
  <c r="L1492" i="30"/>
  <c r="I1492" i="30"/>
  <c r="O1491" i="30" a="1"/>
  <c r="O1491" i="30" s="1"/>
  <c r="N1491" i="30"/>
  <c r="M1491" i="30"/>
  <c r="L1491" i="30"/>
  <c r="I1491" i="30"/>
  <c r="O1490" i="30" a="1"/>
  <c r="O1490" i="30" s="1"/>
  <c r="N1490" i="30"/>
  <c r="M1490" i="30"/>
  <c r="L1490" i="30"/>
  <c r="I1490" i="30"/>
  <c r="O1489" i="30" a="1"/>
  <c r="O1489" i="30" s="1"/>
  <c r="N1489" i="30"/>
  <c r="M1489" i="30"/>
  <c r="L1489" i="30"/>
  <c r="I1489" i="30"/>
  <c r="O1488" i="30" a="1"/>
  <c r="O1488" i="30" s="1"/>
  <c r="N1488" i="30"/>
  <c r="M1488" i="30"/>
  <c r="L1488" i="30"/>
  <c r="I1488" i="30"/>
  <c r="O1487" i="30" a="1"/>
  <c r="O1487" i="30" s="1"/>
  <c r="N1487" i="30"/>
  <c r="M1487" i="30"/>
  <c r="L1487" i="30"/>
  <c r="I1487" i="30"/>
  <c r="O1486" i="30" a="1"/>
  <c r="O1486" i="30" s="1"/>
  <c r="N1486" i="30"/>
  <c r="M1486" i="30"/>
  <c r="L1486" i="30"/>
  <c r="I1486" i="30"/>
  <c r="O1485" i="30" a="1"/>
  <c r="O1485" i="30" s="1"/>
  <c r="N1485" i="30"/>
  <c r="M1485" i="30"/>
  <c r="L1485" i="30"/>
  <c r="I1485" i="30"/>
  <c r="O1484" i="30" a="1"/>
  <c r="O1484" i="30" s="1"/>
  <c r="N1484" i="30"/>
  <c r="M1484" i="30"/>
  <c r="L1484" i="30"/>
  <c r="I1484" i="30"/>
  <c r="O1483" i="30" a="1"/>
  <c r="O1483" i="30" s="1"/>
  <c r="N1483" i="30"/>
  <c r="M1483" i="30"/>
  <c r="L1483" i="30"/>
  <c r="I1483" i="30"/>
  <c r="O1482" i="30" a="1"/>
  <c r="O1482" i="30" s="1"/>
  <c r="N1482" i="30"/>
  <c r="M1482" i="30"/>
  <c r="L1482" i="30"/>
  <c r="I1482" i="30"/>
  <c r="O1481" i="30" a="1"/>
  <c r="O1481" i="30" s="1"/>
  <c r="N1481" i="30"/>
  <c r="M1481" i="30"/>
  <c r="L1481" i="30"/>
  <c r="I1481" i="30"/>
  <c r="O1480" i="30" a="1"/>
  <c r="O1480" i="30" s="1"/>
  <c r="N1480" i="30"/>
  <c r="M1480" i="30"/>
  <c r="L1480" i="30"/>
  <c r="I1480" i="30"/>
  <c r="O1479" i="30" a="1"/>
  <c r="O1479" i="30" s="1"/>
  <c r="N1479" i="30"/>
  <c r="M1479" i="30"/>
  <c r="L1479" i="30"/>
  <c r="I1479" i="30"/>
  <c r="O1478" i="30" a="1"/>
  <c r="O1478" i="30" s="1"/>
  <c r="N1478" i="30"/>
  <c r="M1478" i="30"/>
  <c r="L1478" i="30"/>
  <c r="I1478" i="30"/>
  <c r="O1477" i="30" a="1"/>
  <c r="O1477" i="30" s="1"/>
  <c r="N1477" i="30"/>
  <c r="M1477" i="30"/>
  <c r="L1477" i="30"/>
  <c r="I1477" i="30"/>
  <c r="O1476" i="30" a="1"/>
  <c r="O1476" i="30" s="1"/>
  <c r="N1476" i="30"/>
  <c r="M1476" i="30"/>
  <c r="L1476" i="30"/>
  <c r="I1476" i="30"/>
  <c r="O1475" i="30" a="1"/>
  <c r="O1475" i="30" s="1"/>
  <c r="N1475" i="30"/>
  <c r="M1475" i="30"/>
  <c r="L1475" i="30"/>
  <c r="I1475" i="30"/>
  <c r="O1474" i="30" a="1"/>
  <c r="O1474" i="30" s="1"/>
  <c r="N1474" i="30"/>
  <c r="M1474" i="30"/>
  <c r="L1474" i="30"/>
  <c r="I1474" i="30"/>
  <c r="O1473" i="30" a="1"/>
  <c r="O1473" i="30" s="1"/>
  <c r="N1473" i="30"/>
  <c r="M1473" i="30"/>
  <c r="L1473" i="30"/>
  <c r="I1473" i="30"/>
  <c r="O1472" i="30" a="1"/>
  <c r="O1472" i="30" s="1"/>
  <c r="N1472" i="30"/>
  <c r="M1472" i="30"/>
  <c r="L1472" i="30"/>
  <c r="I1472" i="30"/>
  <c r="O1471" i="30" a="1"/>
  <c r="O1471" i="30" s="1"/>
  <c r="N1471" i="30"/>
  <c r="M1471" i="30"/>
  <c r="L1471" i="30"/>
  <c r="I1471" i="30"/>
  <c r="O1470" i="30" a="1"/>
  <c r="O1470" i="30" s="1"/>
  <c r="N1470" i="30"/>
  <c r="M1470" i="30"/>
  <c r="L1470" i="30"/>
  <c r="I1470" i="30"/>
  <c r="O1469" i="30" a="1"/>
  <c r="O1469" i="30" s="1"/>
  <c r="N1469" i="30"/>
  <c r="M1469" i="30"/>
  <c r="L1469" i="30"/>
  <c r="I1469" i="30"/>
  <c r="O1468" i="30" a="1"/>
  <c r="O1468" i="30" s="1"/>
  <c r="N1468" i="30"/>
  <c r="M1468" i="30"/>
  <c r="L1468" i="30"/>
  <c r="I1468" i="30"/>
  <c r="O1467" i="30" a="1"/>
  <c r="O1467" i="30" s="1"/>
  <c r="N1467" i="30"/>
  <c r="M1467" i="30"/>
  <c r="L1467" i="30"/>
  <c r="I1467" i="30"/>
  <c r="O1466" i="30" a="1"/>
  <c r="O1466" i="30" s="1"/>
  <c r="N1466" i="30"/>
  <c r="M1466" i="30"/>
  <c r="L1466" i="30"/>
  <c r="I1466" i="30"/>
  <c r="O1465" i="30" a="1"/>
  <c r="O1465" i="30" s="1"/>
  <c r="N1465" i="30"/>
  <c r="M1465" i="30"/>
  <c r="L1465" i="30"/>
  <c r="I1465" i="30"/>
  <c r="O1464" i="30" a="1"/>
  <c r="O1464" i="30" s="1"/>
  <c r="N1464" i="30"/>
  <c r="M1464" i="30"/>
  <c r="L1464" i="30"/>
  <c r="I1464" i="30"/>
  <c r="O1463" i="30" a="1"/>
  <c r="O1463" i="30" s="1"/>
  <c r="N1463" i="30"/>
  <c r="M1463" i="30"/>
  <c r="L1463" i="30"/>
  <c r="I1463" i="30"/>
  <c r="O1462" i="30" a="1"/>
  <c r="O1462" i="30" s="1"/>
  <c r="N1462" i="30"/>
  <c r="M1462" i="30"/>
  <c r="L1462" i="30"/>
  <c r="I1462" i="30"/>
  <c r="O1461" i="30" a="1"/>
  <c r="O1461" i="30" s="1"/>
  <c r="N1461" i="30"/>
  <c r="M1461" i="30"/>
  <c r="L1461" i="30"/>
  <c r="I1461" i="30"/>
  <c r="O1460" i="30" a="1"/>
  <c r="O1460" i="30" s="1"/>
  <c r="N1460" i="30"/>
  <c r="M1460" i="30"/>
  <c r="L1460" i="30"/>
  <c r="I1460" i="30"/>
  <c r="O1459" i="30" a="1"/>
  <c r="O1459" i="30" s="1"/>
  <c r="N1459" i="30"/>
  <c r="M1459" i="30"/>
  <c r="L1459" i="30"/>
  <c r="I1459" i="30"/>
  <c r="O1458" i="30" a="1"/>
  <c r="O1458" i="30" s="1"/>
  <c r="N1458" i="30"/>
  <c r="M1458" i="30"/>
  <c r="L1458" i="30"/>
  <c r="I1458" i="30"/>
  <c r="O1457" i="30" a="1"/>
  <c r="O1457" i="30" s="1"/>
  <c r="N1457" i="30"/>
  <c r="M1457" i="30"/>
  <c r="L1457" i="30"/>
  <c r="I1457" i="30"/>
  <c r="O1456" i="30" a="1"/>
  <c r="O1456" i="30" s="1"/>
  <c r="N1456" i="30"/>
  <c r="M1456" i="30"/>
  <c r="L1456" i="30"/>
  <c r="I1456" i="30"/>
  <c r="O1455" i="30" a="1"/>
  <c r="O1455" i="30" s="1"/>
  <c r="N1455" i="30"/>
  <c r="M1455" i="30"/>
  <c r="L1455" i="30"/>
  <c r="I1455" i="30"/>
  <c r="O1454" i="30" a="1"/>
  <c r="O1454" i="30" s="1"/>
  <c r="N1454" i="30"/>
  <c r="M1454" i="30"/>
  <c r="L1454" i="30"/>
  <c r="I1454" i="30"/>
  <c r="O1453" i="30" a="1"/>
  <c r="O1453" i="30" s="1"/>
  <c r="N1453" i="30"/>
  <c r="M1453" i="30"/>
  <c r="L1453" i="30"/>
  <c r="I1453" i="30"/>
  <c r="O1452" i="30" a="1"/>
  <c r="O1452" i="30" s="1"/>
  <c r="N1452" i="30"/>
  <c r="M1452" i="30"/>
  <c r="L1452" i="30"/>
  <c r="I1452" i="30"/>
  <c r="O1451" i="30" a="1"/>
  <c r="O1451" i="30" s="1"/>
  <c r="N1451" i="30"/>
  <c r="M1451" i="30"/>
  <c r="L1451" i="30"/>
  <c r="I1451" i="30"/>
  <c r="O1450" i="30" a="1"/>
  <c r="O1450" i="30" s="1"/>
  <c r="N1450" i="30"/>
  <c r="M1450" i="30"/>
  <c r="L1450" i="30"/>
  <c r="I1450" i="30"/>
  <c r="O1449" i="30" a="1"/>
  <c r="O1449" i="30" s="1"/>
  <c r="N1449" i="30"/>
  <c r="M1449" i="30"/>
  <c r="L1449" i="30"/>
  <c r="I1449" i="30"/>
  <c r="O1448" i="30" a="1"/>
  <c r="O1448" i="30" s="1"/>
  <c r="N1448" i="30"/>
  <c r="M1448" i="30"/>
  <c r="L1448" i="30"/>
  <c r="I1448" i="30"/>
  <c r="O1447" i="30" a="1"/>
  <c r="O1447" i="30" s="1"/>
  <c r="N1447" i="30"/>
  <c r="M1447" i="30"/>
  <c r="L1447" i="30"/>
  <c r="I1447" i="30"/>
  <c r="O1446" i="30" a="1"/>
  <c r="O1446" i="30" s="1"/>
  <c r="N1446" i="30"/>
  <c r="M1446" i="30"/>
  <c r="L1446" i="30"/>
  <c r="I1446" i="30"/>
  <c r="O1445" i="30" a="1"/>
  <c r="O1445" i="30" s="1"/>
  <c r="N1445" i="30"/>
  <c r="M1445" i="30"/>
  <c r="L1445" i="30"/>
  <c r="I1445" i="30"/>
  <c r="O1444" i="30" a="1"/>
  <c r="O1444" i="30" s="1"/>
  <c r="N1444" i="30"/>
  <c r="M1444" i="30"/>
  <c r="L1444" i="30"/>
  <c r="I1444" i="30"/>
  <c r="O1443" i="30" a="1"/>
  <c r="O1443" i="30" s="1"/>
  <c r="N1443" i="30"/>
  <c r="M1443" i="30"/>
  <c r="L1443" i="30"/>
  <c r="I1443" i="30"/>
  <c r="O1442" i="30" a="1"/>
  <c r="O1442" i="30" s="1"/>
  <c r="N1442" i="30"/>
  <c r="M1442" i="30"/>
  <c r="L1442" i="30"/>
  <c r="I1442" i="30"/>
  <c r="O1441" i="30" a="1"/>
  <c r="O1441" i="30" s="1"/>
  <c r="N1441" i="30"/>
  <c r="M1441" i="30"/>
  <c r="L1441" i="30"/>
  <c r="I1441" i="30"/>
  <c r="O1440" i="30" a="1"/>
  <c r="O1440" i="30" s="1"/>
  <c r="N1440" i="30"/>
  <c r="M1440" i="30"/>
  <c r="L1440" i="30"/>
  <c r="I1440" i="30"/>
  <c r="O1439" i="30" a="1"/>
  <c r="O1439" i="30" s="1"/>
  <c r="N1439" i="30"/>
  <c r="M1439" i="30"/>
  <c r="L1439" i="30"/>
  <c r="I1439" i="30"/>
  <c r="O1438" i="30" a="1"/>
  <c r="O1438" i="30" s="1"/>
  <c r="N1438" i="30"/>
  <c r="M1438" i="30"/>
  <c r="L1438" i="30"/>
  <c r="I1438" i="30"/>
  <c r="O1437" i="30" a="1"/>
  <c r="O1437" i="30" s="1"/>
  <c r="N1437" i="30"/>
  <c r="M1437" i="30"/>
  <c r="L1437" i="30"/>
  <c r="I1437" i="30"/>
  <c r="O1436" i="30" a="1"/>
  <c r="O1436" i="30" s="1"/>
  <c r="N1436" i="30"/>
  <c r="M1436" i="30"/>
  <c r="L1436" i="30"/>
  <c r="I1436" i="30"/>
  <c r="O1435" i="30" a="1"/>
  <c r="O1435" i="30" s="1"/>
  <c r="N1435" i="30"/>
  <c r="M1435" i="30"/>
  <c r="L1435" i="30"/>
  <c r="I1435" i="30"/>
  <c r="O1434" i="30" a="1"/>
  <c r="O1434" i="30" s="1"/>
  <c r="N1434" i="30"/>
  <c r="M1434" i="30"/>
  <c r="L1434" i="30"/>
  <c r="I1434" i="30"/>
  <c r="O1433" i="30" a="1"/>
  <c r="O1433" i="30" s="1"/>
  <c r="N1433" i="30"/>
  <c r="M1433" i="30"/>
  <c r="L1433" i="30"/>
  <c r="I1433" i="30"/>
  <c r="O1432" i="30" a="1"/>
  <c r="O1432" i="30" s="1"/>
  <c r="N1432" i="30"/>
  <c r="M1432" i="30"/>
  <c r="L1432" i="30"/>
  <c r="I1432" i="30"/>
  <c r="O1431" i="30" a="1"/>
  <c r="O1431" i="30" s="1"/>
  <c r="N1431" i="30"/>
  <c r="M1431" i="30"/>
  <c r="L1431" i="30"/>
  <c r="I1431" i="30"/>
  <c r="O1430" i="30" a="1"/>
  <c r="O1430" i="30" s="1"/>
  <c r="N1430" i="30"/>
  <c r="M1430" i="30"/>
  <c r="L1430" i="30"/>
  <c r="I1430" i="30"/>
  <c r="O1429" i="30" a="1"/>
  <c r="O1429" i="30" s="1"/>
  <c r="N1429" i="30"/>
  <c r="M1429" i="30"/>
  <c r="L1429" i="30"/>
  <c r="I1429" i="30"/>
  <c r="O1428" i="30" a="1"/>
  <c r="O1428" i="30" s="1"/>
  <c r="N1428" i="30"/>
  <c r="M1428" i="30"/>
  <c r="L1428" i="30"/>
  <c r="I1428" i="30"/>
  <c r="O1427" i="30" a="1"/>
  <c r="O1427" i="30" s="1"/>
  <c r="N1427" i="30"/>
  <c r="M1427" i="30"/>
  <c r="L1427" i="30"/>
  <c r="I1427" i="30"/>
  <c r="O1426" i="30" a="1"/>
  <c r="O1426" i="30" s="1"/>
  <c r="N1426" i="30"/>
  <c r="M1426" i="30"/>
  <c r="L1426" i="30"/>
  <c r="I1426" i="30"/>
  <c r="O1425" i="30" a="1"/>
  <c r="O1425" i="30" s="1"/>
  <c r="N1425" i="30"/>
  <c r="M1425" i="30"/>
  <c r="L1425" i="30"/>
  <c r="I1425" i="30"/>
  <c r="O1424" i="30" a="1"/>
  <c r="O1424" i="30" s="1"/>
  <c r="N1424" i="30"/>
  <c r="M1424" i="30"/>
  <c r="L1424" i="30"/>
  <c r="I1424" i="30"/>
  <c r="O1423" i="30" a="1"/>
  <c r="O1423" i="30" s="1"/>
  <c r="N1423" i="30"/>
  <c r="M1423" i="30"/>
  <c r="L1423" i="30"/>
  <c r="I1423" i="30"/>
  <c r="O1422" i="30" a="1"/>
  <c r="O1422" i="30" s="1"/>
  <c r="N1422" i="30"/>
  <c r="M1422" i="30"/>
  <c r="L1422" i="30"/>
  <c r="I1422" i="30"/>
  <c r="O1421" i="30" a="1"/>
  <c r="O1421" i="30" s="1"/>
  <c r="N1421" i="30"/>
  <c r="M1421" i="30"/>
  <c r="L1421" i="30"/>
  <c r="I1421" i="30"/>
  <c r="O1420" i="30" a="1"/>
  <c r="O1420" i="30" s="1"/>
  <c r="N1420" i="30"/>
  <c r="M1420" i="30"/>
  <c r="L1420" i="30"/>
  <c r="I1420" i="30"/>
  <c r="O1419" i="30" a="1"/>
  <c r="O1419" i="30" s="1"/>
  <c r="N1419" i="30"/>
  <c r="M1419" i="30"/>
  <c r="L1419" i="30"/>
  <c r="I1419" i="30"/>
  <c r="O1418" i="30" a="1"/>
  <c r="O1418" i="30" s="1"/>
  <c r="N1418" i="30"/>
  <c r="M1418" i="30"/>
  <c r="L1418" i="30"/>
  <c r="I1418" i="30"/>
  <c r="O1417" i="30" a="1"/>
  <c r="O1417" i="30" s="1"/>
  <c r="N1417" i="30"/>
  <c r="M1417" i="30"/>
  <c r="L1417" i="30"/>
  <c r="I1417" i="30"/>
  <c r="O1416" i="30" a="1"/>
  <c r="O1416" i="30" s="1"/>
  <c r="N1416" i="30"/>
  <c r="M1416" i="30"/>
  <c r="L1416" i="30"/>
  <c r="I1416" i="30"/>
  <c r="O1415" i="30" a="1"/>
  <c r="O1415" i="30" s="1"/>
  <c r="N1415" i="30"/>
  <c r="M1415" i="30"/>
  <c r="L1415" i="30"/>
  <c r="I1415" i="30"/>
  <c r="O1414" i="30" a="1"/>
  <c r="O1414" i="30" s="1"/>
  <c r="N1414" i="30"/>
  <c r="M1414" i="30"/>
  <c r="L1414" i="30"/>
  <c r="I1414" i="30"/>
  <c r="O1413" i="30" a="1"/>
  <c r="O1413" i="30" s="1"/>
  <c r="N1413" i="30"/>
  <c r="M1413" i="30"/>
  <c r="L1413" i="30"/>
  <c r="I1413" i="30"/>
  <c r="O1412" i="30" a="1"/>
  <c r="O1412" i="30" s="1"/>
  <c r="N1412" i="30"/>
  <c r="M1412" i="30"/>
  <c r="L1412" i="30"/>
  <c r="I1412" i="30"/>
  <c r="O1411" i="30" a="1"/>
  <c r="O1411" i="30" s="1"/>
  <c r="N1411" i="30"/>
  <c r="M1411" i="30"/>
  <c r="L1411" i="30"/>
  <c r="I1411" i="30"/>
  <c r="O1410" i="30" a="1"/>
  <c r="O1410" i="30" s="1"/>
  <c r="N1410" i="30"/>
  <c r="M1410" i="30"/>
  <c r="L1410" i="30"/>
  <c r="I1410" i="30"/>
  <c r="O1409" i="30" a="1"/>
  <c r="O1409" i="30" s="1"/>
  <c r="N1409" i="30"/>
  <c r="M1409" i="30"/>
  <c r="L1409" i="30"/>
  <c r="I1409" i="30"/>
  <c r="O1408" i="30" a="1"/>
  <c r="O1408" i="30" s="1"/>
  <c r="N1408" i="30"/>
  <c r="M1408" i="30"/>
  <c r="L1408" i="30"/>
  <c r="I1408" i="30"/>
  <c r="O1407" i="30" a="1"/>
  <c r="O1407" i="30" s="1"/>
  <c r="N1407" i="30"/>
  <c r="M1407" i="30"/>
  <c r="L1407" i="30"/>
  <c r="I1407" i="30"/>
  <c r="O1406" i="30" a="1"/>
  <c r="O1406" i="30" s="1"/>
  <c r="N1406" i="30"/>
  <c r="M1406" i="30"/>
  <c r="L1406" i="30"/>
  <c r="I1406" i="30"/>
  <c r="O1405" i="30" a="1"/>
  <c r="O1405" i="30" s="1"/>
  <c r="N1405" i="30"/>
  <c r="M1405" i="30"/>
  <c r="L1405" i="30"/>
  <c r="I1405" i="30"/>
  <c r="O1404" i="30" a="1"/>
  <c r="O1404" i="30" s="1"/>
  <c r="N1404" i="30"/>
  <c r="M1404" i="30"/>
  <c r="L1404" i="30"/>
  <c r="I1404" i="30"/>
  <c r="O1403" i="30" a="1"/>
  <c r="O1403" i="30" s="1"/>
  <c r="N1403" i="30"/>
  <c r="M1403" i="30"/>
  <c r="L1403" i="30"/>
  <c r="I1403" i="30"/>
  <c r="O1402" i="30" a="1"/>
  <c r="O1402" i="30" s="1"/>
  <c r="N1402" i="30"/>
  <c r="M1402" i="30"/>
  <c r="L1402" i="30"/>
  <c r="I1402" i="30"/>
  <c r="O1401" i="30" a="1"/>
  <c r="O1401" i="30" s="1"/>
  <c r="N1401" i="30"/>
  <c r="M1401" i="30"/>
  <c r="L1401" i="30"/>
  <c r="I1401" i="30"/>
  <c r="O1400" i="30" a="1"/>
  <c r="O1400" i="30" s="1"/>
  <c r="N1400" i="30"/>
  <c r="M1400" i="30"/>
  <c r="L1400" i="30"/>
  <c r="I1400" i="30"/>
  <c r="O1399" i="30" a="1"/>
  <c r="O1399" i="30" s="1"/>
  <c r="N1399" i="30"/>
  <c r="M1399" i="30"/>
  <c r="L1399" i="30"/>
  <c r="I1399" i="30"/>
  <c r="O1398" i="30" a="1"/>
  <c r="O1398" i="30" s="1"/>
  <c r="N1398" i="30"/>
  <c r="M1398" i="30"/>
  <c r="L1398" i="30"/>
  <c r="I1398" i="30"/>
  <c r="O1397" i="30" a="1"/>
  <c r="O1397" i="30" s="1"/>
  <c r="N1397" i="30"/>
  <c r="M1397" i="30"/>
  <c r="L1397" i="30"/>
  <c r="I1397" i="30"/>
  <c r="O1396" i="30" a="1"/>
  <c r="O1396" i="30" s="1"/>
  <c r="N1396" i="30"/>
  <c r="M1396" i="30"/>
  <c r="L1396" i="30"/>
  <c r="I1396" i="30"/>
  <c r="O1395" i="30" a="1"/>
  <c r="O1395" i="30" s="1"/>
  <c r="N1395" i="30"/>
  <c r="M1395" i="30"/>
  <c r="L1395" i="30"/>
  <c r="I1395" i="30"/>
  <c r="O1394" i="30" a="1"/>
  <c r="O1394" i="30" s="1"/>
  <c r="N1394" i="30"/>
  <c r="M1394" i="30"/>
  <c r="L1394" i="30"/>
  <c r="I1394" i="30"/>
  <c r="O1393" i="30" a="1"/>
  <c r="O1393" i="30" s="1"/>
  <c r="N1393" i="30"/>
  <c r="M1393" i="30"/>
  <c r="L1393" i="30"/>
  <c r="I1393" i="30"/>
  <c r="O1392" i="30" a="1"/>
  <c r="O1392" i="30" s="1"/>
  <c r="N1392" i="30"/>
  <c r="M1392" i="30"/>
  <c r="L1392" i="30"/>
  <c r="I1392" i="30"/>
  <c r="O1391" i="30" a="1"/>
  <c r="O1391" i="30" s="1"/>
  <c r="N1391" i="30"/>
  <c r="M1391" i="30"/>
  <c r="L1391" i="30"/>
  <c r="I1391" i="30"/>
  <c r="O1390" i="30" a="1"/>
  <c r="O1390" i="30" s="1"/>
  <c r="N1390" i="30"/>
  <c r="M1390" i="30"/>
  <c r="L1390" i="30"/>
  <c r="I1390" i="30"/>
  <c r="O1389" i="30" a="1"/>
  <c r="O1389" i="30" s="1"/>
  <c r="N1389" i="30"/>
  <c r="M1389" i="30"/>
  <c r="L1389" i="30"/>
  <c r="I1389" i="30"/>
  <c r="O1388" i="30" a="1"/>
  <c r="O1388" i="30" s="1"/>
  <c r="N1388" i="30"/>
  <c r="M1388" i="30"/>
  <c r="L1388" i="30"/>
  <c r="I1388" i="30"/>
  <c r="O1387" i="30" a="1"/>
  <c r="O1387" i="30" s="1"/>
  <c r="N1387" i="30"/>
  <c r="M1387" i="30"/>
  <c r="L1387" i="30"/>
  <c r="I1387" i="30"/>
  <c r="O1386" i="30" a="1"/>
  <c r="O1386" i="30" s="1"/>
  <c r="N1386" i="30"/>
  <c r="M1386" i="30"/>
  <c r="L1386" i="30"/>
  <c r="I1386" i="30"/>
  <c r="O1385" i="30" a="1"/>
  <c r="O1385" i="30" s="1"/>
  <c r="N1385" i="30"/>
  <c r="M1385" i="30"/>
  <c r="L1385" i="30"/>
  <c r="I1385" i="30"/>
  <c r="O1384" i="30" a="1"/>
  <c r="O1384" i="30" s="1"/>
  <c r="N1384" i="30"/>
  <c r="M1384" i="30"/>
  <c r="L1384" i="30"/>
  <c r="I1384" i="30"/>
  <c r="O1383" i="30" a="1"/>
  <c r="O1383" i="30" s="1"/>
  <c r="N1383" i="30"/>
  <c r="M1383" i="30"/>
  <c r="L1383" i="30"/>
  <c r="I1383" i="30"/>
  <c r="O1382" i="30" a="1"/>
  <c r="O1382" i="30" s="1"/>
  <c r="N1382" i="30"/>
  <c r="M1382" i="30"/>
  <c r="L1382" i="30"/>
  <c r="I1382" i="30"/>
  <c r="O1381" i="30" a="1"/>
  <c r="O1381" i="30" s="1"/>
  <c r="N1381" i="30"/>
  <c r="M1381" i="30"/>
  <c r="L1381" i="30"/>
  <c r="I1381" i="30"/>
  <c r="O1380" i="30" a="1"/>
  <c r="O1380" i="30" s="1"/>
  <c r="N1380" i="30"/>
  <c r="M1380" i="30"/>
  <c r="L1380" i="30"/>
  <c r="I1380" i="30"/>
  <c r="O1379" i="30" a="1"/>
  <c r="O1379" i="30" s="1"/>
  <c r="N1379" i="30"/>
  <c r="M1379" i="30"/>
  <c r="L1379" i="30"/>
  <c r="I1379" i="30"/>
  <c r="O1378" i="30" a="1"/>
  <c r="O1378" i="30" s="1"/>
  <c r="N1378" i="30"/>
  <c r="M1378" i="30"/>
  <c r="L1378" i="30"/>
  <c r="I1378" i="30"/>
  <c r="O1377" i="30" a="1"/>
  <c r="O1377" i="30" s="1"/>
  <c r="N1377" i="30"/>
  <c r="M1377" i="30"/>
  <c r="L1377" i="30"/>
  <c r="I1377" i="30"/>
  <c r="O1376" i="30" a="1"/>
  <c r="O1376" i="30" s="1"/>
  <c r="N1376" i="30"/>
  <c r="M1376" i="30"/>
  <c r="L1376" i="30"/>
  <c r="I1376" i="30"/>
  <c r="O1375" i="30" a="1"/>
  <c r="O1375" i="30" s="1"/>
  <c r="N1375" i="30"/>
  <c r="M1375" i="30"/>
  <c r="L1375" i="30"/>
  <c r="I1375" i="30"/>
  <c r="O1374" i="30" a="1"/>
  <c r="O1374" i="30" s="1"/>
  <c r="N1374" i="30"/>
  <c r="M1374" i="30"/>
  <c r="L1374" i="30"/>
  <c r="I1374" i="30"/>
  <c r="O1373" i="30" a="1"/>
  <c r="O1373" i="30" s="1"/>
  <c r="N1373" i="30"/>
  <c r="M1373" i="30"/>
  <c r="L1373" i="30"/>
  <c r="I1373" i="30"/>
  <c r="O1372" i="30" a="1"/>
  <c r="O1372" i="30" s="1"/>
  <c r="N1372" i="30"/>
  <c r="M1372" i="30"/>
  <c r="L1372" i="30"/>
  <c r="I1372" i="30"/>
  <c r="O1371" i="30" a="1"/>
  <c r="O1371" i="30" s="1"/>
  <c r="N1371" i="30"/>
  <c r="M1371" i="30"/>
  <c r="L1371" i="30"/>
  <c r="I1371" i="30"/>
  <c r="O1370" i="30" a="1"/>
  <c r="O1370" i="30" s="1"/>
  <c r="N1370" i="30"/>
  <c r="M1370" i="30"/>
  <c r="L1370" i="30"/>
  <c r="I1370" i="30"/>
  <c r="O1369" i="30" a="1"/>
  <c r="O1369" i="30" s="1"/>
  <c r="N1369" i="30"/>
  <c r="M1369" i="30"/>
  <c r="L1369" i="30"/>
  <c r="I1369" i="30"/>
  <c r="O1368" i="30" a="1"/>
  <c r="O1368" i="30" s="1"/>
  <c r="N1368" i="30"/>
  <c r="M1368" i="30"/>
  <c r="L1368" i="30"/>
  <c r="I1368" i="30"/>
  <c r="O1367" i="30" a="1"/>
  <c r="O1367" i="30" s="1"/>
  <c r="N1367" i="30"/>
  <c r="M1367" i="30"/>
  <c r="L1367" i="30"/>
  <c r="I1367" i="30"/>
  <c r="O1366" i="30" a="1"/>
  <c r="O1366" i="30" s="1"/>
  <c r="N1366" i="30"/>
  <c r="M1366" i="30"/>
  <c r="L1366" i="30"/>
  <c r="I1366" i="30"/>
  <c r="O1365" i="30" a="1"/>
  <c r="O1365" i="30" s="1"/>
  <c r="N1365" i="30"/>
  <c r="M1365" i="30"/>
  <c r="L1365" i="30"/>
  <c r="I1365" i="30"/>
  <c r="O1364" i="30" a="1"/>
  <c r="O1364" i="30" s="1"/>
  <c r="N1364" i="30"/>
  <c r="M1364" i="30"/>
  <c r="L1364" i="30"/>
  <c r="I1364" i="30"/>
  <c r="O1363" i="30" a="1"/>
  <c r="O1363" i="30" s="1"/>
  <c r="N1363" i="30"/>
  <c r="M1363" i="30"/>
  <c r="L1363" i="30"/>
  <c r="I1363" i="30"/>
  <c r="O1362" i="30" a="1"/>
  <c r="O1362" i="30" s="1"/>
  <c r="N1362" i="30"/>
  <c r="M1362" i="30"/>
  <c r="L1362" i="30"/>
  <c r="I1362" i="30"/>
  <c r="O1361" i="30" a="1"/>
  <c r="O1361" i="30" s="1"/>
  <c r="N1361" i="30"/>
  <c r="M1361" i="30"/>
  <c r="L1361" i="30"/>
  <c r="I1361" i="30"/>
  <c r="O1360" i="30" a="1"/>
  <c r="O1360" i="30" s="1"/>
  <c r="N1360" i="30"/>
  <c r="M1360" i="30"/>
  <c r="L1360" i="30"/>
  <c r="I1360" i="30"/>
  <c r="O1359" i="30" a="1"/>
  <c r="O1359" i="30" s="1"/>
  <c r="N1359" i="30"/>
  <c r="M1359" i="30"/>
  <c r="L1359" i="30"/>
  <c r="I1359" i="30"/>
  <c r="O1358" i="30" a="1"/>
  <c r="O1358" i="30" s="1"/>
  <c r="N1358" i="30"/>
  <c r="M1358" i="30"/>
  <c r="L1358" i="30"/>
  <c r="I1358" i="30"/>
  <c r="O1357" i="30" a="1"/>
  <c r="O1357" i="30" s="1"/>
  <c r="N1357" i="30"/>
  <c r="M1357" i="30"/>
  <c r="L1357" i="30"/>
  <c r="I1357" i="30"/>
  <c r="O1356" i="30" a="1"/>
  <c r="O1356" i="30" s="1"/>
  <c r="N1356" i="30"/>
  <c r="M1356" i="30"/>
  <c r="L1356" i="30"/>
  <c r="I1356" i="30"/>
  <c r="O1355" i="30" a="1"/>
  <c r="O1355" i="30" s="1"/>
  <c r="N1355" i="30"/>
  <c r="M1355" i="30"/>
  <c r="L1355" i="30"/>
  <c r="I1355" i="30"/>
  <c r="O1354" i="30" a="1"/>
  <c r="O1354" i="30" s="1"/>
  <c r="N1354" i="30"/>
  <c r="M1354" i="30"/>
  <c r="L1354" i="30"/>
  <c r="I1354" i="30"/>
  <c r="O1353" i="30" a="1"/>
  <c r="O1353" i="30" s="1"/>
  <c r="N1353" i="30"/>
  <c r="M1353" i="30"/>
  <c r="L1353" i="30"/>
  <c r="I1353" i="30"/>
  <c r="O1352" i="30" a="1"/>
  <c r="O1352" i="30" s="1"/>
  <c r="N1352" i="30"/>
  <c r="M1352" i="30"/>
  <c r="L1352" i="30"/>
  <c r="I1352" i="30"/>
  <c r="O1351" i="30" a="1"/>
  <c r="O1351" i="30" s="1"/>
  <c r="N1351" i="30"/>
  <c r="M1351" i="30"/>
  <c r="L1351" i="30"/>
  <c r="I1351" i="30"/>
  <c r="O1350" i="30" a="1"/>
  <c r="O1350" i="30" s="1"/>
  <c r="N1350" i="30"/>
  <c r="M1350" i="30"/>
  <c r="L1350" i="30"/>
  <c r="I1350" i="30"/>
  <c r="O1349" i="30" a="1"/>
  <c r="O1349" i="30" s="1"/>
  <c r="N1349" i="30"/>
  <c r="M1349" i="30"/>
  <c r="L1349" i="30"/>
  <c r="I1349" i="30"/>
  <c r="O1348" i="30" a="1"/>
  <c r="O1348" i="30" s="1"/>
  <c r="N1348" i="30"/>
  <c r="M1348" i="30"/>
  <c r="L1348" i="30"/>
  <c r="I1348" i="30"/>
  <c r="O1347" i="30" a="1"/>
  <c r="O1347" i="30" s="1"/>
  <c r="N1347" i="30"/>
  <c r="M1347" i="30"/>
  <c r="L1347" i="30"/>
  <c r="I1347" i="30"/>
  <c r="O1346" i="30" a="1"/>
  <c r="O1346" i="30" s="1"/>
  <c r="N1346" i="30"/>
  <c r="M1346" i="30"/>
  <c r="L1346" i="30"/>
  <c r="I1346" i="30"/>
  <c r="O1345" i="30" a="1"/>
  <c r="O1345" i="30" s="1"/>
  <c r="N1345" i="30"/>
  <c r="M1345" i="30"/>
  <c r="L1345" i="30"/>
  <c r="I1345" i="30"/>
  <c r="O1344" i="30" a="1"/>
  <c r="O1344" i="30" s="1"/>
  <c r="N1344" i="30"/>
  <c r="M1344" i="30"/>
  <c r="L1344" i="30"/>
  <c r="I1344" i="30"/>
  <c r="O1343" i="30" a="1"/>
  <c r="O1343" i="30" s="1"/>
  <c r="N1343" i="30"/>
  <c r="M1343" i="30"/>
  <c r="L1343" i="30"/>
  <c r="I1343" i="30"/>
  <c r="O1342" i="30" a="1"/>
  <c r="O1342" i="30" s="1"/>
  <c r="N1342" i="30"/>
  <c r="M1342" i="30"/>
  <c r="L1342" i="30"/>
  <c r="I1342" i="30"/>
  <c r="O1341" i="30" a="1"/>
  <c r="O1341" i="30" s="1"/>
  <c r="N1341" i="30"/>
  <c r="M1341" i="30"/>
  <c r="L1341" i="30"/>
  <c r="I1341" i="30"/>
  <c r="O1340" i="30" a="1"/>
  <c r="O1340" i="30" s="1"/>
  <c r="N1340" i="30"/>
  <c r="M1340" i="30"/>
  <c r="L1340" i="30"/>
  <c r="I1340" i="30"/>
  <c r="O1339" i="30" a="1"/>
  <c r="O1339" i="30" s="1"/>
  <c r="N1339" i="30"/>
  <c r="M1339" i="30"/>
  <c r="L1339" i="30"/>
  <c r="I1339" i="30"/>
  <c r="O1338" i="30" a="1"/>
  <c r="O1338" i="30" s="1"/>
  <c r="N1338" i="30"/>
  <c r="M1338" i="30"/>
  <c r="L1338" i="30"/>
  <c r="I1338" i="30"/>
  <c r="O1337" i="30" a="1"/>
  <c r="O1337" i="30" s="1"/>
  <c r="N1337" i="30"/>
  <c r="M1337" i="30"/>
  <c r="L1337" i="30"/>
  <c r="I1337" i="30"/>
  <c r="O1336" i="30" a="1"/>
  <c r="O1336" i="30" s="1"/>
  <c r="N1336" i="30"/>
  <c r="M1336" i="30"/>
  <c r="L1336" i="30"/>
  <c r="I1336" i="30"/>
  <c r="O1335" i="30" a="1"/>
  <c r="O1335" i="30" s="1"/>
  <c r="N1335" i="30"/>
  <c r="M1335" i="30"/>
  <c r="L1335" i="30"/>
  <c r="I1335" i="30"/>
  <c r="O1334" i="30" a="1"/>
  <c r="O1334" i="30" s="1"/>
  <c r="N1334" i="30"/>
  <c r="M1334" i="30"/>
  <c r="L1334" i="30"/>
  <c r="I1334" i="30"/>
  <c r="O1333" i="30" a="1"/>
  <c r="O1333" i="30" s="1"/>
  <c r="N1333" i="30"/>
  <c r="M1333" i="30"/>
  <c r="L1333" i="30"/>
  <c r="I1333" i="30"/>
  <c r="O1332" i="30" a="1"/>
  <c r="O1332" i="30" s="1"/>
  <c r="N1332" i="30"/>
  <c r="M1332" i="30"/>
  <c r="L1332" i="30"/>
  <c r="I1332" i="30"/>
  <c r="O1331" i="30" a="1"/>
  <c r="O1331" i="30" s="1"/>
  <c r="N1331" i="30"/>
  <c r="M1331" i="30"/>
  <c r="L1331" i="30"/>
  <c r="I1331" i="30"/>
  <c r="O1330" i="30" a="1"/>
  <c r="O1330" i="30" s="1"/>
  <c r="N1330" i="30"/>
  <c r="M1330" i="30"/>
  <c r="L1330" i="30"/>
  <c r="I1330" i="30"/>
  <c r="O1329" i="30" a="1"/>
  <c r="O1329" i="30" s="1"/>
  <c r="N1329" i="30"/>
  <c r="M1329" i="30"/>
  <c r="L1329" i="30"/>
  <c r="I1329" i="30"/>
  <c r="O1328" i="30" a="1"/>
  <c r="O1328" i="30" s="1"/>
  <c r="N1328" i="30"/>
  <c r="M1328" i="30"/>
  <c r="L1328" i="30"/>
  <c r="I1328" i="30"/>
  <c r="O1327" i="30" a="1"/>
  <c r="O1327" i="30" s="1"/>
  <c r="N1327" i="30"/>
  <c r="M1327" i="30"/>
  <c r="L1327" i="30"/>
  <c r="I1327" i="30"/>
  <c r="O1326" i="30" a="1"/>
  <c r="O1326" i="30" s="1"/>
  <c r="N1326" i="30"/>
  <c r="M1326" i="30"/>
  <c r="L1326" i="30"/>
  <c r="I1326" i="30"/>
  <c r="O1325" i="30" a="1"/>
  <c r="O1325" i="30" s="1"/>
  <c r="N1325" i="30"/>
  <c r="M1325" i="30"/>
  <c r="L1325" i="30"/>
  <c r="I1325" i="30"/>
  <c r="O1324" i="30" a="1"/>
  <c r="O1324" i="30" s="1"/>
  <c r="N1324" i="30"/>
  <c r="M1324" i="30"/>
  <c r="L1324" i="30"/>
  <c r="I1324" i="30"/>
  <c r="O1323" i="30" a="1"/>
  <c r="O1323" i="30" s="1"/>
  <c r="N1323" i="30"/>
  <c r="M1323" i="30"/>
  <c r="L1323" i="30"/>
  <c r="I1323" i="30"/>
  <c r="O1322" i="30" a="1"/>
  <c r="O1322" i="30" s="1"/>
  <c r="N1322" i="30"/>
  <c r="M1322" i="30"/>
  <c r="L1322" i="30"/>
  <c r="I1322" i="30"/>
  <c r="O1321" i="30" a="1"/>
  <c r="O1321" i="30" s="1"/>
  <c r="N1321" i="30"/>
  <c r="M1321" i="30"/>
  <c r="L1321" i="30"/>
  <c r="I1321" i="30"/>
  <c r="O1320" i="30" a="1"/>
  <c r="O1320" i="30" s="1"/>
  <c r="N1320" i="30"/>
  <c r="M1320" i="30"/>
  <c r="L1320" i="30"/>
  <c r="I1320" i="30"/>
  <c r="O1319" i="30" a="1"/>
  <c r="O1319" i="30" s="1"/>
  <c r="N1319" i="30"/>
  <c r="M1319" i="30"/>
  <c r="L1319" i="30"/>
  <c r="I1319" i="30"/>
  <c r="O1318" i="30" a="1"/>
  <c r="O1318" i="30" s="1"/>
  <c r="N1318" i="30"/>
  <c r="M1318" i="30"/>
  <c r="L1318" i="30"/>
  <c r="I1318" i="30"/>
  <c r="O1317" i="30" a="1"/>
  <c r="O1317" i="30" s="1"/>
  <c r="N1317" i="30"/>
  <c r="M1317" i="30"/>
  <c r="L1317" i="30"/>
  <c r="I1317" i="30"/>
  <c r="O1316" i="30" a="1"/>
  <c r="O1316" i="30" s="1"/>
  <c r="N1316" i="30"/>
  <c r="M1316" i="30"/>
  <c r="L1316" i="30"/>
  <c r="I1316" i="30"/>
  <c r="O1315" i="30" a="1"/>
  <c r="O1315" i="30" s="1"/>
  <c r="N1315" i="30"/>
  <c r="M1315" i="30"/>
  <c r="L1315" i="30"/>
  <c r="I1315" i="30"/>
  <c r="O1314" i="30" a="1"/>
  <c r="O1314" i="30" s="1"/>
  <c r="N1314" i="30"/>
  <c r="M1314" i="30"/>
  <c r="L1314" i="30"/>
  <c r="O1313" i="30" a="1"/>
  <c r="O1313" i="30" s="1"/>
  <c r="N1313" i="30"/>
  <c r="M1313" i="30"/>
  <c r="L1313" i="30"/>
  <c r="I1313" i="30"/>
  <c r="O1312" i="30" a="1"/>
  <c r="O1312" i="30" s="1"/>
  <c r="N1312" i="30"/>
  <c r="M1312" i="30"/>
  <c r="L1312" i="30"/>
  <c r="I1312" i="30"/>
  <c r="O1311" i="30" a="1"/>
  <c r="O1311" i="30" s="1"/>
  <c r="N1311" i="30"/>
  <c r="M1311" i="30"/>
  <c r="L1311" i="30"/>
  <c r="I1311" i="30"/>
  <c r="O1310" i="30" a="1"/>
  <c r="O1310" i="30" s="1"/>
  <c r="N1310" i="30"/>
  <c r="M1310" i="30"/>
  <c r="L1310" i="30"/>
  <c r="I1310" i="30"/>
  <c r="O1309" i="30" a="1"/>
  <c r="O1309" i="30" s="1"/>
  <c r="N1309" i="30"/>
  <c r="M1309" i="30"/>
  <c r="L1309" i="30"/>
  <c r="I1309" i="30"/>
  <c r="O1308" i="30" a="1"/>
  <c r="O1308" i="30" s="1"/>
  <c r="N1308" i="30"/>
  <c r="M1308" i="30"/>
  <c r="L1308" i="30"/>
  <c r="I1308" i="30"/>
  <c r="O1307" i="30" a="1"/>
  <c r="O1307" i="30" s="1"/>
  <c r="N1307" i="30"/>
  <c r="M1307" i="30"/>
  <c r="L1307" i="30"/>
  <c r="I1307" i="30"/>
  <c r="O1306" i="30" a="1"/>
  <c r="O1306" i="30" s="1"/>
  <c r="N1306" i="30"/>
  <c r="M1306" i="30"/>
  <c r="L1306" i="30"/>
  <c r="I1306" i="30"/>
  <c r="O1305" i="30" a="1"/>
  <c r="O1305" i="30" s="1"/>
  <c r="N1305" i="30"/>
  <c r="M1305" i="30"/>
  <c r="L1305" i="30"/>
  <c r="I1305" i="30"/>
  <c r="O1304" i="30" a="1"/>
  <c r="O1304" i="30" s="1"/>
  <c r="N1304" i="30"/>
  <c r="M1304" i="30"/>
  <c r="L1304" i="30"/>
  <c r="I1304" i="30"/>
  <c r="O1303" i="30" a="1"/>
  <c r="O1303" i="30" s="1"/>
  <c r="N1303" i="30"/>
  <c r="M1303" i="30"/>
  <c r="L1303" i="30"/>
  <c r="I1303" i="30"/>
  <c r="O1302" i="30" a="1"/>
  <c r="O1302" i="30" s="1"/>
  <c r="N1302" i="30"/>
  <c r="M1302" i="30"/>
  <c r="L1302" i="30"/>
  <c r="I1302" i="30"/>
  <c r="O1301" i="30" a="1"/>
  <c r="O1301" i="30" s="1"/>
  <c r="N1301" i="30"/>
  <c r="M1301" i="30"/>
  <c r="L1301" i="30"/>
  <c r="I1301" i="30"/>
  <c r="O1300" i="30" a="1"/>
  <c r="O1300" i="30" s="1"/>
  <c r="N1300" i="30"/>
  <c r="M1300" i="30"/>
  <c r="L1300" i="30"/>
  <c r="I1300" i="30"/>
  <c r="O1299" i="30" a="1"/>
  <c r="O1299" i="30" s="1"/>
  <c r="N1299" i="30"/>
  <c r="M1299" i="30"/>
  <c r="L1299" i="30"/>
  <c r="I1299" i="30"/>
  <c r="O1298" i="30" a="1"/>
  <c r="O1298" i="30" s="1"/>
  <c r="N1298" i="30"/>
  <c r="M1298" i="30"/>
  <c r="L1298" i="30"/>
  <c r="I1298" i="30"/>
  <c r="O1297" i="30" a="1"/>
  <c r="O1297" i="30" s="1"/>
  <c r="N1297" i="30"/>
  <c r="M1297" i="30"/>
  <c r="L1297" i="30"/>
  <c r="I1297" i="30"/>
  <c r="O1296" i="30" a="1"/>
  <c r="O1296" i="30" s="1"/>
  <c r="N1296" i="30"/>
  <c r="M1296" i="30"/>
  <c r="L1296" i="30"/>
  <c r="I1296" i="30"/>
  <c r="O1295" i="30" a="1"/>
  <c r="O1295" i="30" s="1"/>
  <c r="N1295" i="30"/>
  <c r="M1295" i="30"/>
  <c r="L1295" i="30"/>
  <c r="I1295" i="30"/>
  <c r="O1294" i="30" a="1"/>
  <c r="O1294" i="30" s="1"/>
  <c r="N1294" i="30"/>
  <c r="M1294" i="30"/>
  <c r="L1294" i="30"/>
  <c r="I1294" i="30"/>
  <c r="O1293" i="30" a="1"/>
  <c r="O1293" i="30" s="1"/>
  <c r="N1293" i="30"/>
  <c r="M1293" i="30"/>
  <c r="L1293" i="30"/>
  <c r="I1293" i="30"/>
  <c r="O1292" i="30" a="1"/>
  <c r="O1292" i="30" s="1"/>
  <c r="N1292" i="30"/>
  <c r="M1292" i="30"/>
  <c r="L1292" i="30"/>
  <c r="I1292" i="30"/>
  <c r="O1291" i="30" a="1"/>
  <c r="O1291" i="30" s="1"/>
  <c r="N1291" i="30"/>
  <c r="M1291" i="30"/>
  <c r="L1291" i="30"/>
  <c r="I1291" i="30"/>
  <c r="O1290" i="30" a="1"/>
  <c r="O1290" i="30" s="1"/>
  <c r="N1290" i="30"/>
  <c r="M1290" i="30"/>
  <c r="L1290" i="30"/>
  <c r="I1290" i="30"/>
  <c r="O1289" i="30" a="1"/>
  <c r="O1289" i="30" s="1"/>
  <c r="N1289" i="30"/>
  <c r="M1289" i="30"/>
  <c r="L1289" i="30"/>
  <c r="I1289" i="30"/>
  <c r="O1288" i="30" a="1"/>
  <c r="O1288" i="30" s="1"/>
  <c r="N1288" i="30"/>
  <c r="M1288" i="30"/>
  <c r="L1288" i="30"/>
  <c r="I1288" i="30"/>
  <c r="O1287" i="30" a="1"/>
  <c r="O1287" i="30" s="1"/>
  <c r="N1287" i="30"/>
  <c r="M1287" i="30"/>
  <c r="L1287" i="30"/>
  <c r="I1287" i="30"/>
  <c r="O1286" i="30" a="1"/>
  <c r="O1286" i="30" s="1"/>
  <c r="N1286" i="30"/>
  <c r="M1286" i="30"/>
  <c r="L1286" i="30"/>
  <c r="I1286" i="30"/>
  <c r="O1285" i="30" a="1"/>
  <c r="O1285" i="30" s="1"/>
  <c r="N1285" i="30"/>
  <c r="M1285" i="30"/>
  <c r="L1285" i="30"/>
  <c r="I1285" i="30"/>
  <c r="O1284" i="30" a="1"/>
  <c r="O1284" i="30" s="1"/>
  <c r="N1284" i="30"/>
  <c r="M1284" i="30"/>
  <c r="L1284" i="30"/>
  <c r="I1284" i="30"/>
  <c r="O1283" i="30" a="1"/>
  <c r="O1283" i="30" s="1"/>
  <c r="N1283" i="30"/>
  <c r="M1283" i="30"/>
  <c r="L1283" i="30"/>
  <c r="I1283" i="30"/>
  <c r="O1282" i="30" a="1"/>
  <c r="O1282" i="30" s="1"/>
  <c r="N1282" i="30"/>
  <c r="M1282" i="30"/>
  <c r="L1282" i="30"/>
  <c r="I1282" i="30"/>
  <c r="O1281" i="30" a="1"/>
  <c r="O1281" i="30" s="1"/>
  <c r="N1281" i="30"/>
  <c r="M1281" i="30"/>
  <c r="L1281" i="30"/>
  <c r="I1281" i="30"/>
  <c r="O1280" i="30" a="1"/>
  <c r="O1280" i="30" s="1"/>
  <c r="N1280" i="30"/>
  <c r="M1280" i="30"/>
  <c r="L1280" i="30"/>
  <c r="I1280" i="30"/>
  <c r="O1279" i="30" a="1"/>
  <c r="O1279" i="30" s="1"/>
  <c r="N1279" i="30"/>
  <c r="M1279" i="30"/>
  <c r="L1279" i="30"/>
  <c r="I1279" i="30"/>
  <c r="O1278" i="30" a="1"/>
  <c r="O1278" i="30" s="1"/>
  <c r="N1278" i="30"/>
  <c r="M1278" i="30"/>
  <c r="L1278" i="30"/>
  <c r="I1278" i="30"/>
  <c r="O1277" i="30" a="1"/>
  <c r="O1277" i="30" s="1"/>
  <c r="N1277" i="30"/>
  <c r="M1277" i="30"/>
  <c r="L1277" i="30"/>
  <c r="I1277" i="30"/>
  <c r="O1276" i="30" a="1"/>
  <c r="O1276" i="30" s="1"/>
  <c r="N1276" i="30"/>
  <c r="M1276" i="30"/>
  <c r="L1276" i="30"/>
  <c r="I1276" i="30"/>
  <c r="O1275" i="30" a="1"/>
  <c r="O1275" i="30" s="1"/>
  <c r="N1275" i="30"/>
  <c r="M1275" i="30"/>
  <c r="L1275" i="30"/>
  <c r="I1275" i="30"/>
  <c r="O1274" i="30" a="1"/>
  <c r="O1274" i="30" s="1"/>
  <c r="N1274" i="30"/>
  <c r="M1274" i="30"/>
  <c r="L1274" i="30"/>
  <c r="I1274" i="30"/>
  <c r="O1273" i="30" a="1"/>
  <c r="O1273" i="30" s="1"/>
  <c r="N1273" i="30"/>
  <c r="M1273" i="30"/>
  <c r="L1273" i="30"/>
  <c r="I1273" i="30"/>
  <c r="O1272" i="30" a="1"/>
  <c r="O1272" i="30" s="1"/>
  <c r="N1272" i="30"/>
  <c r="M1272" i="30"/>
  <c r="L1272" i="30"/>
  <c r="I1272" i="30"/>
  <c r="O1271" i="30" a="1"/>
  <c r="O1271" i="30" s="1"/>
  <c r="N1271" i="30"/>
  <c r="M1271" i="30"/>
  <c r="L1271" i="30"/>
  <c r="I1271" i="30"/>
  <c r="O1270" i="30" a="1"/>
  <c r="O1270" i="30" s="1"/>
  <c r="N1270" i="30"/>
  <c r="M1270" i="30"/>
  <c r="L1270" i="30"/>
  <c r="I1270" i="30"/>
  <c r="O1269" i="30" a="1"/>
  <c r="O1269" i="30" s="1"/>
  <c r="N1269" i="30"/>
  <c r="M1269" i="30"/>
  <c r="L1269" i="30"/>
  <c r="I1269" i="30"/>
  <c r="O1268" i="30" a="1"/>
  <c r="O1268" i="30" s="1"/>
  <c r="N1268" i="30"/>
  <c r="M1268" i="30"/>
  <c r="L1268" i="30"/>
  <c r="I1268" i="30"/>
  <c r="O1267" i="30" a="1"/>
  <c r="O1267" i="30" s="1"/>
  <c r="N1267" i="30"/>
  <c r="M1267" i="30"/>
  <c r="L1267" i="30"/>
  <c r="I1267" i="30"/>
  <c r="O1266" i="30" a="1"/>
  <c r="O1266" i="30" s="1"/>
  <c r="N1266" i="30"/>
  <c r="M1266" i="30"/>
  <c r="L1266" i="30"/>
  <c r="I1266" i="30"/>
  <c r="O1265" i="30" a="1"/>
  <c r="O1265" i="30" s="1"/>
  <c r="N1265" i="30"/>
  <c r="M1265" i="30"/>
  <c r="L1265" i="30"/>
  <c r="I1265" i="30"/>
  <c r="O1264" i="30" a="1"/>
  <c r="O1264" i="30" s="1"/>
  <c r="N1264" i="30"/>
  <c r="M1264" i="30"/>
  <c r="L1264" i="30"/>
  <c r="I1264" i="30"/>
  <c r="O1263" i="30" a="1"/>
  <c r="O1263" i="30" s="1"/>
  <c r="N1263" i="30"/>
  <c r="M1263" i="30"/>
  <c r="L1263" i="30"/>
  <c r="I1263" i="30"/>
  <c r="O1262" i="30" a="1"/>
  <c r="O1262" i="30" s="1"/>
  <c r="N1262" i="30"/>
  <c r="M1262" i="30"/>
  <c r="L1262" i="30"/>
  <c r="I1262" i="30"/>
  <c r="O1261" i="30" a="1"/>
  <c r="O1261" i="30" s="1"/>
  <c r="N1261" i="30"/>
  <c r="M1261" i="30"/>
  <c r="L1261" i="30"/>
  <c r="I1261" i="30"/>
  <c r="O1260" i="30" a="1"/>
  <c r="O1260" i="30" s="1"/>
  <c r="N1260" i="30"/>
  <c r="M1260" i="30"/>
  <c r="L1260" i="30"/>
  <c r="I1260" i="30"/>
  <c r="O1259" i="30" a="1"/>
  <c r="O1259" i="30" s="1"/>
  <c r="N1259" i="30"/>
  <c r="M1259" i="30"/>
  <c r="L1259" i="30"/>
  <c r="I1259" i="30"/>
  <c r="O1258" i="30" a="1"/>
  <c r="O1258" i="30" s="1"/>
  <c r="N1258" i="30"/>
  <c r="M1258" i="30"/>
  <c r="L1258" i="30"/>
  <c r="I1258" i="30"/>
  <c r="O1257" i="30" a="1"/>
  <c r="O1257" i="30" s="1"/>
  <c r="N1257" i="30"/>
  <c r="M1257" i="30"/>
  <c r="L1257" i="30"/>
  <c r="I1257" i="30"/>
  <c r="O1256" i="30" a="1"/>
  <c r="O1256" i="30" s="1"/>
  <c r="N1256" i="30"/>
  <c r="M1256" i="30"/>
  <c r="L1256" i="30"/>
  <c r="I1256" i="30"/>
  <c r="O1255" i="30" a="1"/>
  <c r="O1255" i="30" s="1"/>
  <c r="N1255" i="30"/>
  <c r="M1255" i="30"/>
  <c r="L1255" i="30"/>
  <c r="I1255" i="30"/>
  <c r="O1254" i="30" a="1"/>
  <c r="O1254" i="30" s="1"/>
  <c r="N1254" i="30"/>
  <c r="M1254" i="30"/>
  <c r="L1254" i="30"/>
  <c r="I1254" i="30"/>
  <c r="O1253" i="30" a="1"/>
  <c r="O1253" i="30" s="1"/>
  <c r="N1253" i="30"/>
  <c r="M1253" i="30"/>
  <c r="L1253" i="30"/>
  <c r="I1253" i="30"/>
  <c r="O1252" i="30" a="1"/>
  <c r="O1252" i="30" s="1"/>
  <c r="N1252" i="30"/>
  <c r="M1252" i="30"/>
  <c r="L1252" i="30"/>
  <c r="I1252" i="30"/>
  <c r="O1251" i="30" a="1"/>
  <c r="O1251" i="30" s="1"/>
  <c r="N1251" i="30"/>
  <c r="M1251" i="30"/>
  <c r="L1251" i="30"/>
  <c r="I1251" i="30"/>
  <c r="O1250" i="30" a="1"/>
  <c r="O1250" i="30" s="1"/>
  <c r="N1250" i="30"/>
  <c r="M1250" i="30"/>
  <c r="L1250" i="30"/>
  <c r="I1250" i="30"/>
  <c r="O1249" i="30" a="1"/>
  <c r="O1249" i="30" s="1"/>
  <c r="N1249" i="30"/>
  <c r="M1249" i="30"/>
  <c r="L1249" i="30"/>
  <c r="I1249" i="30"/>
  <c r="O1248" i="30" a="1"/>
  <c r="O1248" i="30" s="1"/>
  <c r="N1248" i="30"/>
  <c r="M1248" i="30"/>
  <c r="L1248" i="30"/>
  <c r="I1248" i="30"/>
  <c r="O1247" i="30" a="1"/>
  <c r="O1247" i="30" s="1"/>
  <c r="N1247" i="30"/>
  <c r="M1247" i="30"/>
  <c r="L1247" i="30"/>
  <c r="I1247" i="30"/>
  <c r="O1246" i="30" a="1"/>
  <c r="O1246" i="30" s="1"/>
  <c r="N1246" i="30"/>
  <c r="M1246" i="30"/>
  <c r="L1246" i="30"/>
  <c r="I1246" i="30"/>
  <c r="O1245" i="30" a="1"/>
  <c r="O1245" i="30" s="1"/>
  <c r="N1245" i="30"/>
  <c r="M1245" i="30"/>
  <c r="L1245" i="30"/>
  <c r="I1245" i="30"/>
  <c r="O1244" i="30" a="1"/>
  <c r="O1244" i="30" s="1"/>
  <c r="N1244" i="30"/>
  <c r="M1244" i="30"/>
  <c r="L1244" i="30"/>
  <c r="I1244" i="30"/>
  <c r="O1243" i="30" a="1"/>
  <c r="O1243" i="30" s="1"/>
  <c r="N1243" i="30"/>
  <c r="M1243" i="30"/>
  <c r="L1243" i="30"/>
  <c r="I1243" i="30"/>
  <c r="O1242" i="30" a="1"/>
  <c r="O1242" i="30" s="1"/>
  <c r="N1242" i="30"/>
  <c r="M1242" i="30"/>
  <c r="L1242" i="30"/>
  <c r="I1242" i="30"/>
  <c r="O1241" i="30" a="1"/>
  <c r="O1241" i="30" s="1"/>
  <c r="N1241" i="30"/>
  <c r="M1241" i="30"/>
  <c r="L1241" i="30"/>
  <c r="I1241" i="30"/>
  <c r="O1240" i="30" a="1"/>
  <c r="O1240" i="30" s="1"/>
  <c r="N1240" i="30"/>
  <c r="M1240" i="30"/>
  <c r="L1240" i="30"/>
  <c r="I1240" i="30"/>
  <c r="O1239" i="30" a="1"/>
  <c r="O1239" i="30" s="1"/>
  <c r="N1239" i="30"/>
  <c r="M1239" i="30"/>
  <c r="L1239" i="30"/>
  <c r="I1239" i="30"/>
  <c r="O1238" i="30" a="1"/>
  <c r="O1238" i="30" s="1"/>
  <c r="N1238" i="30"/>
  <c r="M1238" i="30"/>
  <c r="L1238" i="30"/>
  <c r="I1238" i="30"/>
  <c r="O1237" i="30" a="1"/>
  <c r="O1237" i="30" s="1"/>
  <c r="N1237" i="30"/>
  <c r="M1237" i="30"/>
  <c r="L1237" i="30"/>
  <c r="I1237" i="30"/>
  <c r="O1236" i="30" a="1"/>
  <c r="O1236" i="30" s="1"/>
  <c r="N1236" i="30"/>
  <c r="M1236" i="30"/>
  <c r="L1236" i="30"/>
  <c r="I1236" i="30"/>
  <c r="O1235" i="30" a="1"/>
  <c r="O1235" i="30" s="1"/>
  <c r="N1235" i="30"/>
  <c r="M1235" i="30"/>
  <c r="L1235" i="30"/>
  <c r="I1235" i="30"/>
  <c r="O1234" i="30" a="1"/>
  <c r="O1234" i="30" s="1"/>
  <c r="N1234" i="30"/>
  <c r="M1234" i="30"/>
  <c r="L1234" i="30"/>
  <c r="I1234" i="30"/>
  <c r="O1233" i="30" a="1"/>
  <c r="O1233" i="30" s="1"/>
  <c r="N1233" i="30"/>
  <c r="M1233" i="30"/>
  <c r="L1233" i="30"/>
  <c r="I1233" i="30"/>
  <c r="O1232" i="30" a="1"/>
  <c r="O1232" i="30" s="1"/>
  <c r="N1232" i="30"/>
  <c r="M1232" i="30"/>
  <c r="L1232" i="30"/>
  <c r="I1232" i="30"/>
  <c r="O1231" i="30" a="1"/>
  <c r="O1231" i="30" s="1"/>
  <c r="N1231" i="30"/>
  <c r="M1231" i="30"/>
  <c r="L1231" i="30"/>
  <c r="I1231" i="30"/>
  <c r="O1230" i="30" a="1"/>
  <c r="O1230" i="30" s="1"/>
  <c r="N1230" i="30"/>
  <c r="M1230" i="30"/>
  <c r="L1230" i="30"/>
  <c r="I1230" i="30"/>
  <c r="O1229" i="30" a="1"/>
  <c r="O1229" i="30" s="1"/>
  <c r="N1229" i="30"/>
  <c r="M1229" i="30"/>
  <c r="L1229" i="30"/>
  <c r="I1229" i="30"/>
  <c r="O1228" i="30" a="1"/>
  <c r="O1228" i="30" s="1"/>
  <c r="N1228" i="30"/>
  <c r="M1228" i="30"/>
  <c r="L1228" i="30"/>
  <c r="I1228" i="30"/>
  <c r="O1227" i="30" a="1"/>
  <c r="O1227" i="30" s="1"/>
  <c r="N1227" i="30"/>
  <c r="M1227" i="30"/>
  <c r="L1227" i="30"/>
  <c r="I1227" i="30"/>
  <c r="O1226" i="30" a="1"/>
  <c r="O1226" i="30" s="1"/>
  <c r="N1226" i="30"/>
  <c r="M1226" i="30"/>
  <c r="L1226" i="30"/>
  <c r="I1226" i="30"/>
  <c r="O1225" i="30" a="1"/>
  <c r="O1225" i="30" s="1"/>
  <c r="N1225" i="30"/>
  <c r="M1225" i="30"/>
  <c r="L1225" i="30"/>
  <c r="I1225" i="30"/>
  <c r="O1224" i="30" a="1"/>
  <c r="O1224" i="30" s="1"/>
  <c r="N1224" i="30"/>
  <c r="M1224" i="30"/>
  <c r="L1224" i="30"/>
  <c r="I1224" i="30"/>
  <c r="O1223" i="30" a="1"/>
  <c r="O1223" i="30" s="1"/>
  <c r="N1223" i="30"/>
  <c r="M1223" i="30"/>
  <c r="L1223" i="30"/>
  <c r="I1223" i="30"/>
  <c r="O1222" i="30" a="1"/>
  <c r="O1222" i="30" s="1"/>
  <c r="N1222" i="30"/>
  <c r="M1222" i="30"/>
  <c r="L1222" i="30"/>
  <c r="I1222" i="30"/>
  <c r="O1221" i="30" a="1"/>
  <c r="O1221" i="30" s="1"/>
  <c r="N1221" i="30"/>
  <c r="M1221" i="30"/>
  <c r="L1221" i="30"/>
  <c r="I1221" i="30"/>
  <c r="O1220" i="30" a="1"/>
  <c r="O1220" i="30" s="1"/>
  <c r="N1220" i="30"/>
  <c r="M1220" i="30"/>
  <c r="L1220" i="30"/>
  <c r="I1220" i="30"/>
  <c r="O1219" i="30" a="1"/>
  <c r="O1219" i="30" s="1"/>
  <c r="N1219" i="30"/>
  <c r="M1219" i="30"/>
  <c r="L1219" i="30"/>
  <c r="I1219" i="30"/>
  <c r="O1218" i="30" a="1"/>
  <c r="O1218" i="30" s="1"/>
  <c r="N1218" i="30"/>
  <c r="M1218" i="30"/>
  <c r="L1218" i="30"/>
  <c r="I1218" i="30"/>
  <c r="O1217" i="30" a="1"/>
  <c r="O1217" i="30" s="1"/>
  <c r="N1217" i="30"/>
  <c r="M1217" i="30"/>
  <c r="L1217" i="30"/>
  <c r="I1217" i="30"/>
  <c r="O1216" i="30" a="1"/>
  <c r="O1216" i="30" s="1"/>
  <c r="N1216" i="30"/>
  <c r="M1216" i="30"/>
  <c r="L1216" i="30"/>
  <c r="I1216" i="30"/>
  <c r="O1215" i="30" a="1"/>
  <c r="O1215" i="30" s="1"/>
  <c r="N1215" i="30"/>
  <c r="M1215" i="30"/>
  <c r="L1215" i="30"/>
  <c r="I1215" i="30"/>
  <c r="O1214" i="30" a="1"/>
  <c r="O1214" i="30" s="1"/>
  <c r="N1214" i="30"/>
  <c r="M1214" i="30"/>
  <c r="L1214" i="30"/>
  <c r="I1214" i="30"/>
  <c r="O1213" i="30" a="1"/>
  <c r="O1213" i="30" s="1"/>
  <c r="N1213" i="30"/>
  <c r="M1213" i="30"/>
  <c r="L1213" i="30"/>
  <c r="I1213" i="30"/>
  <c r="O1212" i="30" a="1"/>
  <c r="O1212" i="30" s="1"/>
  <c r="N1212" i="30"/>
  <c r="M1212" i="30"/>
  <c r="L1212" i="30"/>
  <c r="I1212" i="30"/>
  <c r="O1211" i="30" a="1"/>
  <c r="O1211" i="30" s="1"/>
  <c r="N1211" i="30"/>
  <c r="M1211" i="30"/>
  <c r="L1211" i="30"/>
  <c r="I1211" i="30"/>
  <c r="O1210" i="30" a="1"/>
  <c r="O1210" i="30" s="1"/>
  <c r="N1210" i="30"/>
  <c r="M1210" i="30"/>
  <c r="L1210" i="30"/>
  <c r="I1210" i="30"/>
  <c r="O1209" i="30" a="1"/>
  <c r="O1209" i="30" s="1"/>
  <c r="N1209" i="30"/>
  <c r="M1209" i="30"/>
  <c r="L1209" i="30"/>
  <c r="I1209" i="30"/>
  <c r="O1208" i="30" a="1"/>
  <c r="O1208" i="30" s="1"/>
  <c r="N1208" i="30"/>
  <c r="M1208" i="30"/>
  <c r="L1208" i="30"/>
  <c r="I1208" i="30"/>
  <c r="O1207" i="30" a="1"/>
  <c r="O1207" i="30" s="1"/>
  <c r="N1207" i="30"/>
  <c r="M1207" i="30"/>
  <c r="L1207" i="30"/>
  <c r="I1207" i="30"/>
  <c r="O1206" i="30" a="1"/>
  <c r="O1206" i="30" s="1"/>
  <c r="N1206" i="30"/>
  <c r="M1206" i="30"/>
  <c r="L1206" i="30"/>
  <c r="I1206" i="30"/>
  <c r="O1205" i="30" a="1"/>
  <c r="O1205" i="30" s="1"/>
  <c r="N1205" i="30"/>
  <c r="M1205" i="30"/>
  <c r="L1205" i="30"/>
  <c r="I1205" i="30"/>
  <c r="O1204" i="30" a="1"/>
  <c r="O1204" i="30" s="1"/>
  <c r="N1204" i="30"/>
  <c r="M1204" i="30"/>
  <c r="L1204" i="30"/>
  <c r="I1204" i="30"/>
  <c r="O1203" i="30" a="1"/>
  <c r="O1203" i="30" s="1"/>
  <c r="N1203" i="30"/>
  <c r="M1203" i="30"/>
  <c r="L1203" i="30"/>
  <c r="I1203" i="30"/>
  <c r="O1202" i="30" a="1"/>
  <c r="O1202" i="30" s="1"/>
  <c r="N1202" i="30"/>
  <c r="M1202" i="30"/>
  <c r="L1202" i="30"/>
  <c r="I1202" i="30"/>
  <c r="O1201" i="30" a="1"/>
  <c r="O1201" i="30" s="1"/>
  <c r="N1201" i="30"/>
  <c r="M1201" i="30"/>
  <c r="L1201" i="30"/>
  <c r="I1201" i="30"/>
  <c r="O1200" i="30" a="1"/>
  <c r="O1200" i="30" s="1"/>
  <c r="N1200" i="30"/>
  <c r="M1200" i="30"/>
  <c r="L1200" i="30"/>
  <c r="I1200" i="30"/>
  <c r="O1199" i="30" a="1"/>
  <c r="O1199" i="30" s="1"/>
  <c r="N1199" i="30"/>
  <c r="M1199" i="30"/>
  <c r="L1199" i="30"/>
  <c r="I1199" i="30"/>
  <c r="O1198" i="30" a="1"/>
  <c r="O1198" i="30" s="1"/>
  <c r="N1198" i="30"/>
  <c r="M1198" i="30"/>
  <c r="L1198" i="30"/>
  <c r="I1198" i="30"/>
  <c r="O1197" i="30" a="1"/>
  <c r="O1197" i="30" s="1"/>
  <c r="N1197" i="30"/>
  <c r="M1197" i="30"/>
  <c r="L1197" i="30"/>
  <c r="I1197" i="30"/>
  <c r="O1196" i="30" a="1"/>
  <c r="O1196" i="30" s="1"/>
  <c r="N1196" i="30"/>
  <c r="M1196" i="30"/>
  <c r="L1196" i="30"/>
  <c r="I1196" i="30"/>
  <c r="O1195" i="30" a="1"/>
  <c r="O1195" i="30" s="1"/>
  <c r="N1195" i="30"/>
  <c r="M1195" i="30"/>
  <c r="L1195" i="30"/>
  <c r="I1195" i="30"/>
  <c r="O1194" i="30" a="1"/>
  <c r="O1194" i="30" s="1"/>
  <c r="N1194" i="30"/>
  <c r="M1194" i="30"/>
  <c r="L1194" i="30"/>
  <c r="I1194" i="30"/>
  <c r="O1193" i="30" a="1"/>
  <c r="O1193" i="30" s="1"/>
  <c r="N1193" i="30"/>
  <c r="M1193" i="30"/>
  <c r="L1193" i="30"/>
  <c r="I1193" i="30"/>
  <c r="O1192" i="30" a="1"/>
  <c r="O1192" i="30" s="1"/>
  <c r="N1192" i="30"/>
  <c r="M1192" i="30"/>
  <c r="L1192" i="30"/>
  <c r="I1192" i="30"/>
  <c r="O1191" i="30" a="1"/>
  <c r="O1191" i="30" s="1"/>
  <c r="N1191" i="30"/>
  <c r="M1191" i="30"/>
  <c r="L1191" i="30"/>
  <c r="I1191" i="30"/>
  <c r="O1190" i="30" a="1"/>
  <c r="O1190" i="30" s="1"/>
  <c r="N1190" i="30"/>
  <c r="M1190" i="30"/>
  <c r="L1190" i="30"/>
  <c r="I1190" i="30"/>
  <c r="O1189" i="30" a="1"/>
  <c r="O1189" i="30" s="1"/>
  <c r="N1189" i="30"/>
  <c r="M1189" i="30"/>
  <c r="L1189" i="30"/>
  <c r="I1189" i="30"/>
  <c r="O1188" i="30" a="1"/>
  <c r="O1188" i="30" s="1"/>
  <c r="N1188" i="30"/>
  <c r="M1188" i="30"/>
  <c r="L1188" i="30"/>
  <c r="I1188" i="30"/>
  <c r="O1187" i="30" a="1"/>
  <c r="O1187" i="30" s="1"/>
  <c r="N1187" i="30"/>
  <c r="M1187" i="30"/>
  <c r="L1187" i="30"/>
  <c r="I1187" i="30"/>
  <c r="O1186" i="30" a="1"/>
  <c r="O1186" i="30" s="1"/>
  <c r="N1186" i="30"/>
  <c r="M1186" i="30"/>
  <c r="L1186" i="30"/>
  <c r="I1186" i="30"/>
  <c r="O1185" i="30" a="1"/>
  <c r="O1185" i="30" s="1"/>
  <c r="N1185" i="30"/>
  <c r="M1185" i="30"/>
  <c r="L1185" i="30"/>
  <c r="I1185" i="30"/>
  <c r="O1184" i="30" a="1"/>
  <c r="O1184" i="30" s="1"/>
  <c r="N1184" i="30"/>
  <c r="M1184" i="30"/>
  <c r="L1184" i="30"/>
  <c r="I1184" i="30"/>
  <c r="O1183" i="30" a="1"/>
  <c r="O1183" i="30" s="1"/>
  <c r="N1183" i="30"/>
  <c r="M1183" i="30"/>
  <c r="L1183" i="30"/>
  <c r="I1183" i="30"/>
  <c r="O1182" i="30" a="1"/>
  <c r="O1182" i="30" s="1"/>
  <c r="N1182" i="30"/>
  <c r="M1182" i="30"/>
  <c r="L1182" i="30"/>
  <c r="I1182" i="30"/>
  <c r="O1181" i="30" a="1"/>
  <c r="O1181" i="30" s="1"/>
  <c r="N1181" i="30"/>
  <c r="M1181" i="30"/>
  <c r="L1181" i="30"/>
  <c r="I1181" i="30"/>
  <c r="O1180" i="30" a="1"/>
  <c r="O1180" i="30" s="1"/>
  <c r="N1180" i="30"/>
  <c r="M1180" i="30"/>
  <c r="L1180" i="30"/>
  <c r="I1180" i="30"/>
  <c r="O1179" i="30" a="1"/>
  <c r="O1179" i="30" s="1"/>
  <c r="N1179" i="30"/>
  <c r="M1179" i="30"/>
  <c r="L1179" i="30"/>
  <c r="I1179" i="30"/>
  <c r="O1178" i="30" a="1"/>
  <c r="O1178" i="30" s="1"/>
  <c r="N1178" i="30"/>
  <c r="M1178" i="30"/>
  <c r="L1178" i="30"/>
  <c r="I1178" i="30"/>
  <c r="O1177" i="30" a="1"/>
  <c r="O1177" i="30" s="1"/>
  <c r="N1177" i="30"/>
  <c r="M1177" i="30"/>
  <c r="L1177" i="30"/>
  <c r="I1177" i="30"/>
  <c r="O1176" i="30" a="1"/>
  <c r="O1176" i="30" s="1"/>
  <c r="N1176" i="30"/>
  <c r="M1176" i="30"/>
  <c r="L1176" i="30"/>
  <c r="I1176" i="30"/>
  <c r="O1175" i="30" a="1"/>
  <c r="O1175" i="30" s="1"/>
  <c r="N1175" i="30"/>
  <c r="M1175" i="30"/>
  <c r="L1175" i="30"/>
  <c r="I1175" i="30"/>
  <c r="O1174" i="30" a="1"/>
  <c r="O1174" i="30" s="1"/>
  <c r="N1174" i="30"/>
  <c r="M1174" i="30"/>
  <c r="L1174" i="30"/>
  <c r="I1174" i="30"/>
  <c r="O1173" i="30" a="1"/>
  <c r="O1173" i="30" s="1"/>
  <c r="N1173" i="30"/>
  <c r="M1173" i="30"/>
  <c r="L1173" i="30"/>
  <c r="I1173" i="30"/>
  <c r="O1172" i="30" a="1"/>
  <c r="O1172" i="30" s="1"/>
  <c r="N1172" i="30"/>
  <c r="M1172" i="30"/>
  <c r="L1172" i="30"/>
  <c r="I1172" i="30"/>
  <c r="O1171" i="30" a="1"/>
  <c r="O1171" i="30" s="1"/>
  <c r="N1171" i="30"/>
  <c r="M1171" i="30"/>
  <c r="L1171" i="30"/>
  <c r="I1171" i="30"/>
  <c r="O1170" i="30" a="1"/>
  <c r="O1170" i="30" s="1"/>
  <c r="N1170" i="30"/>
  <c r="M1170" i="30"/>
  <c r="L1170" i="30"/>
  <c r="I1170" i="30"/>
  <c r="O1169" i="30" a="1"/>
  <c r="O1169" i="30" s="1"/>
  <c r="N1169" i="30"/>
  <c r="M1169" i="30"/>
  <c r="L1169" i="30"/>
  <c r="I1169" i="30"/>
  <c r="O1168" i="30" a="1"/>
  <c r="O1168" i="30" s="1"/>
  <c r="N1168" i="30"/>
  <c r="M1168" i="30"/>
  <c r="L1168" i="30"/>
  <c r="I1168" i="30"/>
  <c r="O1167" i="30" a="1"/>
  <c r="O1167" i="30" s="1"/>
  <c r="N1167" i="30"/>
  <c r="M1167" i="30"/>
  <c r="L1167" i="30"/>
  <c r="I1167" i="30"/>
  <c r="O1166" i="30" a="1"/>
  <c r="O1166" i="30" s="1"/>
  <c r="N1166" i="30"/>
  <c r="M1166" i="30"/>
  <c r="L1166" i="30"/>
  <c r="I1166" i="30"/>
  <c r="O1165" i="30" a="1"/>
  <c r="O1165" i="30" s="1"/>
  <c r="N1165" i="30"/>
  <c r="M1165" i="30"/>
  <c r="L1165" i="30"/>
  <c r="I1165" i="30"/>
  <c r="O1164" i="30" a="1"/>
  <c r="O1164" i="30" s="1"/>
  <c r="N1164" i="30"/>
  <c r="M1164" i="30"/>
  <c r="L1164" i="30"/>
  <c r="I1164" i="30"/>
  <c r="O1163" i="30" a="1"/>
  <c r="O1163" i="30" s="1"/>
  <c r="N1163" i="30"/>
  <c r="M1163" i="30"/>
  <c r="L1163" i="30"/>
  <c r="I1163" i="30"/>
  <c r="O1162" i="30" a="1"/>
  <c r="O1162" i="30" s="1"/>
  <c r="N1162" i="30"/>
  <c r="M1162" i="30"/>
  <c r="L1162" i="30"/>
  <c r="I1162" i="30"/>
  <c r="O1161" i="30" a="1"/>
  <c r="O1161" i="30" s="1"/>
  <c r="N1161" i="30"/>
  <c r="M1161" i="30"/>
  <c r="L1161" i="30"/>
  <c r="I1161" i="30"/>
  <c r="O1160" i="30" a="1"/>
  <c r="O1160" i="30" s="1"/>
  <c r="N1160" i="30"/>
  <c r="M1160" i="30"/>
  <c r="L1160" i="30"/>
  <c r="I1160" i="30"/>
  <c r="O1159" i="30" a="1"/>
  <c r="O1159" i="30" s="1"/>
  <c r="N1159" i="30"/>
  <c r="M1159" i="30"/>
  <c r="L1159" i="30"/>
  <c r="I1159" i="30"/>
  <c r="O1158" i="30" a="1"/>
  <c r="O1158" i="30" s="1"/>
  <c r="N1158" i="30"/>
  <c r="M1158" i="30"/>
  <c r="L1158" i="30"/>
  <c r="I1158" i="30"/>
  <c r="O1157" i="30" a="1"/>
  <c r="O1157" i="30" s="1"/>
  <c r="N1157" i="30"/>
  <c r="M1157" i="30"/>
  <c r="L1157" i="30"/>
  <c r="I1157" i="30"/>
  <c r="O1156" i="30" a="1"/>
  <c r="O1156" i="30" s="1"/>
  <c r="N1156" i="30"/>
  <c r="M1156" i="30"/>
  <c r="L1156" i="30"/>
  <c r="I1156" i="30"/>
  <c r="O1155" i="30" a="1"/>
  <c r="O1155" i="30" s="1"/>
  <c r="N1155" i="30"/>
  <c r="M1155" i="30"/>
  <c r="L1155" i="30"/>
  <c r="I1155" i="30"/>
  <c r="O1154" i="30" a="1"/>
  <c r="O1154" i="30" s="1"/>
  <c r="N1154" i="30"/>
  <c r="M1154" i="30"/>
  <c r="L1154" i="30"/>
  <c r="I1154" i="30"/>
  <c r="O1153" i="30" a="1"/>
  <c r="O1153" i="30" s="1"/>
  <c r="N1153" i="30"/>
  <c r="M1153" i="30"/>
  <c r="L1153" i="30"/>
  <c r="I1153" i="30"/>
  <c r="O1152" i="30" a="1"/>
  <c r="O1152" i="30" s="1"/>
  <c r="N1152" i="30"/>
  <c r="M1152" i="30"/>
  <c r="L1152" i="30"/>
  <c r="I1152" i="30"/>
  <c r="O1151" i="30" a="1"/>
  <c r="O1151" i="30" s="1"/>
  <c r="N1151" i="30"/>
  <c r="M1151" i="30"/>
  <c r="L1151" i="30"/>
  <c r="I1151" i="30"/>
  <c r="O1150" i="30" a="1"/>
  <c r="O1150" i="30" s="1"/>
  <c r="N1150" i="30"/>
  <c r="M1150" i="30"/>
  <c r="L1150" i="30"/>
  <c r="I1150" i="30"/>
  <c r="O1149" i="30" a="1"/>
  <c r="O1149" i="30" s="1"/>
  <c r="N1149" i="30"/>
  <c r="M1149" i="30"/>
  <c r="L1149" i="30"/>
  <c r="I1149" i="30"/>
  <c r="O1148" i="30" a="1"/>
  <c r="O1148" i="30" s="1"/>
  <c r="N1148" i="30"/>
  <c r="M1148" i="30"/>
  <c r="L1148" i="30"/>
  <c r="I1148" i="30"/>
  <c r="O1147" i="30" a="1"/>
  <c r="O1147" i="30" s="1"/>
  <c r="N1147" i="30"/>
  <c r="M1147" i="30"/>
  <c r="L1147" i="30"/>
  <c r="I1147" i="30"/>
  <c r="O1146" i="30" a="1"/>
  <c r="O1146" i="30" s="1"/>
  <c r="N1146" i="30"/>
  <c r="M1146" i="30"/>
  <c r="L1146" i="30"/>
  <c r="I1146" i="30"/>
  <c r="O1145" i="30" a="1"/>
  <c r="O1145" i="30" s="1"/>
  <c r="N1145" i="30"/>
  <c r="M1145" i="30"/>
  <c r="L1145" i="30"/>
  <c r="I1145" i="30"/>
  <c r="O1144" i="30" a="1"/>
  <c r="O1144" i="30" s="1"/>
  <c r="N1144" i="30"/>
  <c r="M1144" i="30"/>
  <c r="L1144" i="30"/>
  <c r="I1144" i="30"/>
  <c r="O1143" i="30" a="1"/>
  <c r="O1143" i="30" s="1"/>
  <c r="N1143" i="30"/>
  <c r="M1143" i="30"/>
  <c r="L1143" i="30"/>
  <c r="I1143" i="30"/>
  <c r="O1142" i="30" a="1"/>
  <c r="O1142" i="30" s="1"/>
  <c r="N1142" i="30"/>
  <c r="M1142" i="30"/>
  <c r="L1142" i="30"/>
  <c r="I1142" i="30"/>
  <c r="O1141" i="30" a="1"/>
  <c r="O1141" i="30" s="1"/>
  <c r="N1141" i="30"/>
  <c r="M1141" i="30"/>
  <c r="L1141" i="30"/>
  <c r="I1141" i="30"/>
  <c r="O1140" i="30" a="1"/>
  <c r="O1140" i="30" s="1"/>
  <c r="N1140" i="30"/>
  <c r="M1140" i="30"/>
  <c r="L1140" i="30"/>
  <c r="I1140" i="30"/>
  <c r="O1139" i="30" a="1"/>
  <c r="O1139" i="30" s="1"/>
  <c r="N1139" i="30"/>
  <c r="M1139" i="30"/>
  <c r="L1139" i="30"/>
  <c r="I1139" i="30"/>
  <c r="O1138" i="30" a="1"/>
  <c r="O1138" i="30" s="1"/>
  <c r="N1138" i="30"/>
  <c r="M1138" i="30"/>
  <c r="L1138" i="30"/>
  <c r="I1138" i="30"/>
  <c r="O1137" i="30" a="1"/>
  <c r="O1137" i="30" s="1"/>
  <c r="N1137" i="30"/>
  <c r="M1137" i="30"/>
  <c r="L1137" i="30"/>
  <c r="I1137" i="30"/>
  <c r="O1136" i="30" a="1"/>
  <c r="O1136" i="30" s="1"/>
  <c r="N1136" i="30"/>
  <c r="M1136" i="30"/>
  <c r="L1136" i="30"/>
  <c r="I1136" i="30"/>
  <c r="O1135" i="30" a="1"/>
  <c r="O1135" i="30" s="1"/>
  <c r="N1135" i="30"/>
  <c r="M1135" i="30"/>
  <c r="L1135" i="30"/>
  <c r="I1135" i="30"/>
  <c r="O1134" i="30" a="1"/>
  <c r="O1134" i="30" s="1"/>
  <c r="N1134" i="30"/>
  <c r="M1134" i="30"/>
  <c r="L1134" i="30"/>
  <c r="I1134" i="30"/>
  <c r="O1133" i="30" a="1"/>
  <c r="O1133" i="30" s="1"/>
  <c r="N1133" i="30"/>
  <c r="M1133" i="30"/>
  <c r="L1133" i="30"/>
  <c r="I1133" i="30"/>
  <c r="O1132" i="30" a="1"/>
  <c r="O1132" i="30" s="1"/>
  <c r="N1132" i="30"/>
  <c r="M1132" i="30"/>
  <c r="L1132" i="30"/>
  <c r="I1132" i="30"/>
  <c r="O1131" i="30" a="1"/>
  <c r="O1131" i="30" s="1"/>
  <c r="N1131" i="30"/>
  <c r="M1131" i="30"/>
  <c r="L1131" i="30"/>
  <c r="I1131" i="30"/>
  <c r="O1130" i="30" a="1"/>
  <c r="O1130" i="30" s="1"/>
  <c r="N1130" i="30"/>
  <c r="M1130" i="30"/>
  <c r="L1130" i="30"/>
  <c r="I1130" i="30"/>
  <c r="O1129" i="30" a="1"/>
  <c r="O1129" i="30" s="1"/>
  <c r="N1129" i="30"/>
  <c r="M1129" i="30"/>
  <c r="L1129" i="30"/>
  <c r="I1129" i="30"/>
  <c r="O1128" i="30" a="1"/>
  <c r="O1128" i="30" s="1"/>
  <c r="N1128" i="30"/>
  <c r="M1128" i="30"/>
  <c r="L1128" i="30"/>
  <c r="I1128" i="30"/>
  <c r="O1127" i="30" a="1"/>
  <c r="O1127" i="30" s="1"/>
  <c r="N1127" i="30"/>
  <c r="M1127" i="30"/>
  <c r="L1127" i="30"/>
  <c r="I1127" i="30"/>
  <c r="O1126" i="30" a="1"/>
  <c r="O1126" i="30" s="1"/>
  <c r="N1126" i="30"/>
  <c r="M1126" i="30"/>
  <c r="L1126" i="30"/>
  <c r="I1126" i="30"/>
  <c r="O1125" i="30" a="1"/>
  <c r="O1125" i="30" s="1"/>
  <c r="N1125" i="30"/>
  <c r="M1125" i="30"/>
  <c r="L1125" i="30"/>
  <c r="I1125" i="30"/>
  <c r="O1124" i="30" a="1"/>
  <c r="O1124" i="30" s="1"/>
  <c r="N1124" i="30"/>
  <c r="M1124" i="30"/>
  <c r="L1124" i="30"/>
  <c r="I1124" i="30"/>
  <c r="O1123" i="30" a="1"/>
  <c r="O1123" i="30" s="1"/>
  <c r="N1123" i="30"/>
  <c r="M1123" i="30"/>
  <c r="L1123" i="30"/>
  <c r="I1123" i="30"/>
  <c r="O1122" i="30" a="1"/>
  <c r="O1122" i="30" s="1"/>
  <c r="N1122" i="30"/>
  <c r="M1122" i="30"/>
  <c r="L1122" i="30"/>
  <c r="I1122" i="30"/>
  <c r="O1121" i="30" a="1"/>
  <c r="O1121" i="30" s="1"/>
  <c r="N1121" i="30"/>
  <c r="M1121" i="30"/>
  <c r="L1121" i="30"/>
  <c r="I1121" i="30"/>
  <c r="O1120" i="30" a="1"/>
  <c r="O1120" i="30" s="1"/>
  <c r="N1120" i="30"/>
  <c r="M1120" i="30"/>
  <c r="L1120" i="30"/>
  <c r="I1120" i="30"/>
  <c r="O1119" i="30" a="1"/>
  <c r="O1119" i="30" s="1"/>
  <c r="N1119" i="30"/>
  <c r="M1119" i="30"/>
  <c r="L1119" i="30"/>
  <c r="I1119" i="30"/>
  <c r="O1118" i="30" a="1"/>
  <c r="O1118" i="30" s="1"/>
  <c r="N1118" i="30"/>
  <c r="M1118" i="30"/>
  <c r="L1118" i="30"/>
  <c r="I1118" i="30"/>
  <c r="O1117" i="30" a="1"/>
  <c r="O1117" i="30" s="1"/>
  <c r="N1117" i="30"/>
  <c r="M1117" i="30"/>
  <c r="L1117" i="30"/>
  <c r="I1117" i="30"/>
  <c r="O1116" i="30" a="1"/>
  <c r="O1116" i="30" s="1"/>
  <c r="N1116" i="30"/>
  <c r="M1116" i="30"/>
  <c r="L1116" i="30"/>
  <c r="I1116" i="30"/>
  <c r="O1115" i="30" a="1"/>
  <c r="O1115" i="30" s="1"/>
  <c r="N1115" i="30"/>
  <c r="M1115" i="30"/>
  <c r="L1115" i="30"/>
  <c r="I1115" i="30"/>
  <c r="O1114" i="30" a="1"/>
  <c r="O1114" i="30" s="1"/>
  <c r="N1114" i="30"/>
  <c r="M1114" i="30"/>
  <c r="L1114" i="30"/>
  <c r="I1114" i="30"/>
  <c r="O1113" i="30" a="1"/>
  <c r="O1113" i="30" s="1"/>
  <c r="N1113" i="30"/>
  <c r="M1113" i="30"/>
  <c r="L1113" i="30"/>
  <c r="I1113" i="30"/>
  <c r="O1112" i="30" a="1"/>
  <c r="O1112" i="30" s="1"/>
  <c r="N1112" i="30"/>
  <c r="M1112" i="30"/>
  <c r="L1112" i="30"/>
  <c r="I1112" i="30"/>
  <c r="O1111" i="30" a="1"/>
  <c r="O1111" i="30" s="1"/>
  <c r="N1111" i="30"/>
  <c r="M1111" i="30"/>
  <c r="L1111" i="30"/>
  <c r="I1111" i="30"/>
  <c r="O1110" i="30" a="1"/>
  <c r="O1110" i="30" s="1"/>
  <c r="N1110" i="30"/>
  <c r="M1110" i="30"/>
  <c r="L1110" i="30"/>
  <c r="I1110" i="30"/>
  <c r="O1109" i="30" a="1"/>
  <c r="O1109" i="30" s="1"/>
  <c r="N1109" i="30"/>
  <c r="M1109" i="30"/>
  <c r="L1109" i="30"/>
  <c r="I1109" i="30"/>
  <c r="O1108" i="30" a="1"/>
  <c r="O1108" i="30" s="1"/>
  <c r="N1108" i="30"/>
  <c r="M1108" i="30"/>
  <c r="L1108" i="30"/>
  <c r="I1108" i="30"/>
  <c r="O1107" i="30" a="1"/>
  <c r="O1107" i="30" s="1"/>
  <c r="N1107" i="30"/>
  <c r="M1107" i="30"/>
  <c r="L1107" i="30"/>
  <c r="I1107" i="30"/>
  <c r="O1106" i="30" a="1"/>
  <c r="O1106" i="30" s="1"/>
  <c r="N1106" i="30"/>
  <c r="M1106" i="30"/>
  <c r="L1106" i="30"/>
  <c r="I1106" i="30"/>
  <c r="O1105" i="30" a="1"/>
  <c r="O1105" i="30" s="1"/>
  <c r="N1105" i="30"/>
  <c r="M1105" i="30"/>
  <c r="L1105" i="30"/>
  <c r="I1105" i="30"/>
  <c r="O1104" i="30" a="1"/>
  <c r="O1104" i="30" s="1"/>
  <c r="N1104" i="30"/>
  <c r="M1104" i="30"/>
  <c r="L1104" i="30"/>
  <c r="I1104" i="30"/>
  <c r="O1103" i="30" a="1"/>
  <c r="O1103" i="30" s="1"/>
  <c r="N1103" i="30"/>
  <c r="M1103" i="30"/>
  <c r="L1103" i="30"/>
  <c r="I1103" i="30"/>
  <c r="O1102" i="30" a="1"/>
  <c r="O1102" i="30" s="1"/>
  <c r="N1102" i="30"/>
  <c r="M1102" i="30"/>
  <c r="L1102" i="30"/>
  <c r="I1102" i="30"/>
  <c r="O1101" i="30" a="1"/>
  <c r="O1101" i="30" s="1"/>
  <c r="N1101" i="30"/>
  <c r="M1101" i="30"/>
  <c r="L1101" i="30"/>
  <c r="I1101" i="30"/>
  <c r="O1100" i="30" a="1"/>
  <c r="O1100" i="30" s="1"/>
  <c r="N1100" i="30"/>
  <c r="M1100" i="30"/>
  <c r="L1100" i="30"/>
  <c r="I1100" i="30"/>
  <c r="O1099" i="30" a="1"/>
  <c r="O1099" i="30" s="1"/>
  <c r="N1099" i="30"/>
  <c r="M1099" i="30"/>
  <c r="L1099" i="30"/>
  <c r="I1099" i="30"/>
  <c r="O1098" i="30" a="1"/>
  <c r="O1098" i="30" s="1"/>
  <c r="N1098" i="30"/>
  <c r="M1098" i="30"/>
  <c r="L1098" i="30"/>
  <c r="I1098" i="30"/>
  <c r="O1097" i="30" a="1"/>
  <c r="O1097" i="30" s="1"/>
  <c r="N1097" i="30"/>
  <c r="M1097" i="30"/>
  <c r="L1097" i="30"/>
  <c r="I1097" i="30"/>
  <c r="O1096" i="30" a="1"/>
  <c r="O1096" i="30" s="1"/>
  <c r="N1096" i="30"/>
  <c r="M1096" i="30"/>
  <c r="L1096" i="30"/>
  <c r="I1096" i="30"/>
  <c r="O1095" i="30" a="1"/>
  <c r="O1095" i="30" s="1"/>
  <c r="N1095" i="30"/>
  <c r="M1095" i="30"/>
  <c r="L1095" i="30"/>
  <c r="I1095" i="30"/>
  <c r="O1094" i="30" a="1"/>
  <c r="O1094" i="30" s="1"/>
  <c r="N1094" i="30"/>
  <c r="M1094" i="30"/>
  <c r="L1094" i="30"/>
  <c r="I1094" i="30"/>
  <c r="O1093" i="30" a="1"/>
  <c r="O1093" i="30" s="1"/>
  <c r="N1093" i="30"/>
  <c r="M1093" i="30"/>
  <c r="L1093" i="30"/>
  <c r="I1093" i="30"/>
  <c r="O1092" i="30" a="1"/>
  <c r="O1092" i="30" s="1"/>
  <c r="N1092" i="30"/>
  <c r="M1092" i="30"/>
  <c r="L1092" i="30"/>
  <c r="I1092" i="30"/>
  <c r="O1091" i="30" a="1"/>
  <c r="O1091" i="30" s="1"/>
  <c r="N1091" i="30"/>
  <c r="M1091" i="30"/>
  <c r="L1091" i="30"/>
  <c r="I1091" i="30"/>
  <c r="O1090" i="30" a="1"/>
  <c r="O1090" i="30" s="1"/>
  <c r="N1090" i="30"/>
  <c r="M1090" i="30"/>
  <c r="L1090" i="30"/>
  <c r="I1090" i="30"/>
  <c r="O1089" i="30" a="1"/>
  <c r="O1089" i="30" s="1"/>
  <c r="N1089" i="30"/>
  <c r="M1089" i="30"/>
  <c r="L1089" i="30"/>
  <c r="I1089" i="30"/>
  <c r="O1088" i="30" a="1"/>
  <c r="O1088" i="30" s="1"/>
  <c r="N1088" i="30"/>
  <c r="M1088" i="30"/>
  <c r="L1088" i="30"/>
  <c r="I1088" i="30"/>
  <c r="O1087" i="30" a="1"/>
  <c r="O1087" i="30" s="1"/>
  <c r="N1087" i="30"/>
  <c r="M1087" i="30"/>
  <c r="L1087" i="30"/>
  <c r="I1087" i="30"/>
  <c r="O1086" i="30" a="1"/>
  <c r="O1086" i="30" s="1"/>
  <c r="N1086" i="30"/>
  <c r="M1086" i="30"/>
  <c r="L1086" i="30"/>
  <c r="I1086" i="30"/>
  <c r="O1085" i="30" a="1"/>
  <c r="O1085" i="30" s="1"/>
  <c r="N1085" i="30"/>
  <c r="M1085" i="30"/>
  <c r="L1085" i="30"/>
  <c r="I1085" i="30"/>
  <c r="O1084" i="30" a="1"/>
  <c r="O1084" i="30" s="1"/>
  <c r="N1084" i="30"/>
  <c r="M1084" i="30"/>
  <c r="L1084" i="30"/>
  <c r="I1084" i="30"/>
  <c r="O1083" i="30" a="1"/>
  <c r="O1083" i="30" s="1"/>
  <c r="N1083" i="30"/>
  <c r="M1083" i="30"/>
  <c r="L1083" i="30"/>
  <c r="I1083" i="30"/>
  <c r="O1082" i="30" a="1"/>
  <c r="O1082" i="30" s="1"/>
  <c r="N1082" i="30"/>
  <c r="M1082" i="30"/>
  <c r="L1082" i="30"/>
  <c r="I1082" i="30"/>
  <c r="O1081" i="30" a="1"/>
  <c r="O1081" i="30" s="1"/>
  <c r="N1081" i="30"/>
  <c r="M1081" i="30"/>
  <c r="L1081" i="30"/>
  <c r="I1081" i="30"/>
  <c r="O1080" i="30" a="1"/>
  <c r="O1080" i="30" s="1"/>
  <c r="N1080" i="30"/>
  <c r="M1080" i="30"/>
  <c r="L1080" i="30"/>
  <c r="I1080" i="30"/>
  <c r="O1079" i="30" a="1"/>
  <c r="O1079" i="30" s="1"/>
  <c r="N1079" i="30"/>
  <c r="M1079" i="30"/>
  <c r="L1079" i="30"/>
  <c r="I1079" i="30"/>
  <c r="O1078" i="30" a="1"/>
  <c r="O1078" i="30" s="1"/>
  <c r="N1078" i="30"/>
  <c r="M1078" i="30"/>
  <c r="L1078" i="30"/>
  <c r="I1078" i="30"/>
  <c r="O1077" i="30" a="1"/>
  <c r="O1077" i="30" s="1"/>
  <c r="N1077" i="30"/>
  <c r="M1077" i="30"/>
  <c r="L1077" i="30"/>
  <c r="I1077" i="30"/>
  <c r="O1076" i="30" a="1"/>
  <c r="O1076" i="30" s="1"/>
  <c r="N1076" i="30"/>
  <c r="M1076" i="30"/>
  <c r="L1076" i="30"/>
  <c r="I1076" i="30"/>
  <c r="O1075" i="30" a="1"/>
  <c r="O1075" i="30" s="1"/>
  <c r="N1075" i="30"/>
  <c r="M1075" i="30"/>
  <c r="L1075" i="30"/>
  <c r="I1075" i="30"/>
  <c r="O1074" i="30" a="1"/>
  <c r="O1074" i="30" s="1"/>
  <c r="N1074" i="30"/>
  <c r="M1074" i="30"/>
  <c r="L1074" i="30"/>
  <c r="I1074" i="30"/>
  <c r="O1073" i="30" a="1"/>
  <c r="O1073" i="30" s="1"/>
  <c r="N1073" i="30"/>
  <c r="M1073" i="30"/>
  <c r="L1073" i="30"/>
  <c r="I1073" i="30"/>
  <c r="O1072" i="30" a="1"/>
  <c r="O1072" i="30" s="1"/>
  <c r="N1072" i="30"/>
  <c r="M1072" i="30"/>
  <c r="L1072" i="30"/>
  <c r="I1072" i="30"/>
  <c r="O1071" i="30" a="1"/>
  <c r="O1071" i="30" s="1"/>
  <c r="N1071" i="30"/>
  <c r="M1071" i="30"/>
  <c r="L1071" i="30"/>
  <c r="I1071" i="30"/>
  <c r="O1070" i="30" a="1"/>
  <c r="O1070" i="30" s="1"/>
  <c r="N1070" i="30"/>
  <c r="M1070" i="30"/>
  <c r="L1070" i="30"/>
  <c r="I1070" i="30"/>
  <c r="O1069" i="30" a="1"/>
  <c r="O1069" i="30" s="1"/>
  <c r="N1069" i="30"/>
  <c r="M1069" i="30"/>
  <c r="L1069" i="30"/>
  <c r="I1069" i="30"/>
  <c r="O1068" i="30" a="1"/>
  <c r="O1068" i="30" s="1"/>
  <c r="N1068" i="30"/>
  <c r="M1068" i="30"/>
  <c r="L1068" i="30"/>
  <c r="I1068" i="30"/>
  <c r="O1067" i="30" a="1"/>
  <c r="O1067" i="30" s="1"/>
  <c r="N1067" i="30"/>
  <c r="M1067" i="30"/>
  <c r="L1067" i="30"/>
  <c r="I1067" i="30"/>
  <c r="O1066" i="30" a="1"/>
  <c r="O1066" i="30" s="1"/>
  <c r="N1066" i="30"/>
  <c r="M1066" i="30"/>
  <c r="L1066" i="30"/>
  <c r="I1066" i="30"/>
  <c r="O1065" i="30" a="1"/>
  <c r="O1065" i="30" s="1"/>
  <c r="N1065" i="30"/>
  <c r="M1065" i="30"/>
  <c r="L1065" i="30"/>
  <c r="I1065" i="30"/>
  <c r="O1064" i="30" a="1"/>
  <c r="O1064" i="30" s="1"/>
  <c r="N1064" i="30"/>
  <c r="M1064" i="30"/>
  <c r="L1064" i="30"/>
  <c r="I1064" i="30"/>
  <c r="O1063" i="30" a="1"/>
  <c r="O1063" i="30" s="1"/>
  <c r="N1063" i="30"/>
  <c r="M1063" i="30"/>
  <c r="L1063" i="30"/>
  <c r="I1063" i="30"/>
  <c r="O1062" i="30" a="1"/>
  <c r="O1062" i="30" s="1"/>
  <c r="N1062" i="30"/>
  <c r="M1062" i="30"/>
  <c r="L1062" i="30"/>
  <c r="I1062" i="30"/>
  <c r="O1061" i="30" a="1"/>
  <c r="O1061" i="30" s="1"/>
  <c r="N1061" i="30"/>
  <c r="M1061" i="30"/>
  <c r="L1061" i="30"/>
  <c r="I1061" i="30"/>
  <c r="O1060" i="30" a="1"/>
  <c r="O1060" i="30" s="1"/>
  <c r="N1060" i="30"/>
  <c r="M1060" i="30"/>
  <c r="L1060" i="30"/>
  <c r="I1060" i="30"/>
  <c r="O1059" i="30" a="1"/>
  <c r="O1059" i="30" s="1"/>
  <c r="N1059" i="30"/>
  <c r="M1059" i="30"/>
  <c r="L1059" i="30"/>
  <c r="I1059" i="30"/>
  <c r="O1058" i="30" a="1"/>
  <c r="O1058" i="30" s="1"/>
  <c r="N1058" i="30"/>
  <c r="M1058" i="30"/>
  <c r="L1058" i="30"/>
  <c r="I1058" i="30"/>
  <c r="O1057" i="30" a="1"/>
  <c r="O1057" i="30" s="1"/>
  <c r="N1057" i="30"/>
  <c r="M1057" i="30"/>
  <c r="L1057" i="30"/>
  <c r="I1057" i="30"/>
  <c r="O1056" i="30" a="1"/>
  <c r="O1056" i="30" s="1"/>
  <c r="N1056" i="30"/>
  <c r="M1056" i="30"/>
  <c r="L1056" i="30"/>
  <c r="I1056" i="30"/>
  <c r="O1055" i="30" a="1"/>
  <c r="O1055" i="30" s="1"/>
  <c r="N1055" i="30"/>
  <c r="M1055" i="30"/>
  <c r="L1055" i="30"/>
  <c r="I1055" i="30"/>
  <c r="O1054" i="30" a="1"/>
  <c r="O1054" i="30" s="1"/>
  <c r="N1054" i="30"/>
  <c r="M1054" i="30"/>
  <c r="L1054" i="30"/>
  <c r="I1054" i="30"/>
  <c r="O1053" i="30" a="1"/>
  <c r="O1053" i="30" s="1"/>
  <c r="N1053" i="30"/>
  <c r="M1053" i="30"/>
  <c r="L1053" i="30"/>
  <c r="I1053" i="30"/>
  <c r="O1052" i="30" a="1"/>
  <c r="O1052" i="30" s="1"/>
  <c r="N1052" i="30"/>
  <c r="M1052" i="30"/>
  <c r="L1052" i="30"/>
  <c r="I1052" i="30"/>
  <c r="O1051" i="30" a="1"/>
  <c r="O1051" i="30" s="1"/>
  <c r="N1051" i="30"/>
  <c r="M1051" i="30"/>
  <c r="L1051" i="30"/>
  <c r="I1051" i="30"/>
  <c r="O1050" i="30" a="1"/>
  <c r="O1050" i="30" s="1"/>
  <c r="N1050" i="30"/>
  <c r="M1050" i="30"/>
  <c r="L1050" i="30"/>
  <c r="I1050" i="30"/>
  <c r="O1049" i="30" a="1"/>
  <c r="O1049" i="30" s="1"/>
  <c r="N1049" i="30"/>
  <c r="M1049" i="30"/>
  <c r="L1049" i="30"/>
  <c r="I1049" i="30"/>
  <c r="O1048" i="30" a="1"/>
  <c r="O1048" i="30" s="1"/>
  <c r="N1048" i="30"/>
  <c r="M1048" i="30"/>
  <c r="L1048" i="30"/>
  <c r="I1048" i="30"/>
  <c r="O1047" i="30" a="1"/>
  <c r="O1047" i="30" s="1"/>
  <c r="N1047" i="30"/>
  <c r="M1047" i="30"/>
  <c r="L1047" i="30"/>
  <c r="I1047" i="30"/>
  <c r="O1046" i="30" a="1"/>
  <c r="O1046" i="30" s="1"/>
  <c r="N1046" i="30"/>
  <c r="M1046" i="30"/>
  <c r="L1046" i="30"/>
  <c r="I1046" i="30"/>
  <c r="O1045" i="30" a="1"/>
  <c r="O1045" i="30" s="1"/>
  <c r="N1045" i="30"/>
  <c r="M1045" i="30"/>
  <c r="L1045" i="30"/>
  <c r="I1045" i="30"/>
  <c r="O1044" i="30" a="1"/>
  <c r="O1044" i="30" s="1"/>
  <c r="N1044" i="30"/>
  <c r="M1044" i="30"/>
  <c r="L1044" i="30"/>
  <c r="I1044" i="30"/>
  <c r="O1043" i="30" a="1"/>
  <c r="O1043" i="30" s="1"/>
  <c r="N1043" i="30"/>
  <c r="M1043" i="30"/>
  <c r="L1043" i="30"/>
  <c r="I1043" i="30"/>
  <c r="O1042" i="30" a="1"/>
  <c r="O1042" i="30" s="1"/>
  <c r="N1042" i="30"/>
  <c r="M1042" i="30"/>
  <c r="L1042" i="30"/>
  <c r="I1042" i="30"/>
  <c r="O1041" i="30" a="1"/>
  <c r="O1041" i="30" s="1"/>
  <c r="N1041" i="30"/>
  <c r="M1041" i="30"/>
  <c r="L1041" i="30"/>
  <c r="I1041" i="30"/>
  <c r="O1040" i="30" a="1"/>
  <c r="O1040" i="30" s="1"/>
  <c r="N1040" i="30"/>
  <c r="M1040" i="30"/>
  <c r="L1040" i="30"/>
  <c r="I1040" i="30"/>
  <c r="O1039" i="30" a="1"/>
  <c r="O1039" i="30" s="1"/>
  <c r="N1039" i="30"/>
  <c r="M1039" i="30"/>
  <c r="L1039" i="30"/>
  <c r="I1039" i="30"/>
  <c r="O1038" i="30" a="1"/>
  <c r="O1038" i="30" s="1"/>
  <c r="N1038" i="30"/>
  <c r="M1038" i="30"/>
  <c r="L1038" i="30"/>
  <c r="I1038" i="30"/>
  <c r="O1037" i="30" a="1"/>
  <c r="O1037" i="30" s="1"/>
  <c r="N1037" i="30"/>
  <c r="M1037" i="30"/>
  <c r="L1037" i="30"/>
  <c r="I1037" i="30"/>
  <c r="O1036" i="30" a="1"/>
  <c r="O1036" i="30" s="1"/>
  <c r="N1036" i="30"/>
  <c r="M1036" i="30"/>
  <c r="L1036" i="30"/>
  <c r="I1036" i="30"/>
  <c r="O1035" i="30" a="1"/>
  <c r="O1035" i="30" s="1"/>
  <c r="N1035" i="30"/>
  <c r="M1035" i="30"/>
  <c r="L1035" i="30"/>
  <c r="I1035" i="30"/>
  <c r="O1034" i="30" a="1"/>
  <c r="O1034" i="30" s="1"/>
  <c r="N1034" i="30"/>
  <c r="M1034" i="30"/>
  <c r="L1034" i="30"/>
  <c r="I1034" i="30"/>
  <c r="O1033" i="30" a="1"/>
  <c r="O1033" i="30" s="1"/>
  <c r="N1033" i="30"/>
  <c r="M1033" i="30"/>
  <c r="L1033" i="30"/>
  <c r="I1033" i="30"/>
  <c r="O1032" i="30" a="1"/>
  <c r="O1032" i="30" s="1"/>
  <c r="N1032" i="30"/>
  <c r="M1032" i="30"/>
  <c r="L1032" i="30"/>
  <c r="I1032" i="30"/>
  <c r="O1031" i="30" a="1"/>
  <c r="O1031" i="30" s="1"/>
  <c r="N1031" i="30"/>
  <c r="M1031" i="30"/>
  <c r="L1031" i="30"/>
  <c r="I1031" i="30"/>
  <c r="O1030" i="30" a="1"/>
  <c r="O1030" i="30" s="1"/>
  <c r="N1030" i="30"/>
  <c r="M1030" i="30"/>
  <c r="L1030" i="30"/>
  <c r="I1030" i="30"/>
  <c r="O1029" i="30" a="1"/>
  <c r="O1029" i="30" s="1"/>
  <c r="N1029" i="30"/>
  <c r="M1029" i="30"/>
  <c r="L1029" i="30"/>
  <c r="I1029" i="30"/>
  <c r="O1028" i="30" a="1"/>
  <c r="O1028" i="30" s="1"/>
  <c r="N1028" i="30"/>
  <c r="M1028" i="30"/>
  <c r="L1028" i="30"/>
  <c r="I1028" i="30"/>
  <c r="O1027" i="30" a="1"/>
  <c r="O1027" i="30" s="1"/>
  <c r="N1027" i="30"/>
  <c r="M1027" i="30"/>
  <c r="L1027" i="30"/>
  <c r="I1027" i="30"/>
  <c r="O1026" i="30" a="1"/>
  <c r="O1026" i="30" s="1"/>
  <c r="N1026" i="30"/>
  <c r="M1026" i="30"/>
  <c r="L1026" i="30"/>
  <c r="I1026" i="30"/>
  <c r="O1025" i="30" a="1"/>
  <c r="O1025" i="30" s="1"/>
  <c r="N1025" i="30"/>
  <c r="M1025" i="30"/>
  <c r="L1025" i="30"/>
  <c r="I1025" i="30"/>
  <c r="O1024" i="30" a="1"/>
  <c r="O1024" i="30" s="1"/>
  <c r="N1024" i="30"/>
  <c r="M1024" i="30"/>
  <c r="L1024" i="30"/>
  <c r="I1024" i="30"/>
  <c r="O1023" i="30" a="1"/>
  <c r="O1023" i="30" s="1"/>
  <c r="N1023" i="30"/>
  <c r="M1023" i="30"/>
  <c r="L1023" i="30"/>
  <c r="I1023" i="30"/>
  <c r="O1022" i="30" a="1"/>
  <c r="O1022" i="30" s="1"/>
  <c r="N1022" i="30"/>
  <c r="M1022" i="30"/>
  <c r="L1022" i="30"/>
  <c r="I1022" i="30"/>
  <c r="O1021" i="30" a="1"/>
  <c r="O1021" i="30" s="1"/>
  <c r="N1021" i="30"/>
  <c r="M1021" i="30"/>
  <c r="L1021" i="30"/>
  <c r="I1021" i="30"/>
  <c r="O1020" i="30" a="1"/>
  <c r="O1020" i="30" s="1"/>
  <c r="N1020" i="30"/>
  <c r="M1020" i="30"/>
  <c r="L1020" i="30"/>
  <c r="I1020" i="30"/>
  <c r="O1019" i="30" a="1"/>
  <c r="O1019" i="30" s="1"/>
  <c r="N1019" i="30"/>
  <c r="M1019" i="30"/>
  <c r="L1019" i="30"/>
  <c r="I1019" i="30"/>
  <c r="O1018" i="30" a="1"/>
  <c r="O1018" i="30" s="1"/>
  <c r="N1018" i="30"/>
  <c r="M1018" i="30"/>
  <c r="L1018" i="30"/>
  <c r="I1018" i="30"/>
  <c r="O1017" i="30" a="1"/>
  <c r="O1017" i="30" s="1"/>
  <c r="N1017" i="30"/>
  <c r="M1017" i="30"/>
  <c r="L1017" i="30"/>
  <c r="I1017" i="30"/>
  <c r="O1016" i="30" a="1"/>
  <c r="O1016" i="30" s="1"/>
  <c r="N1016" i="30"/>
  <c r="M1016" i="30"/>
  <c r="L1016" i="30"/>
  <c r="I1016" i="30"/>
  <c r="O1015" i="30" a="1"/>
  <c r="O1015" i="30" s="1"/>
  <c r="N1015" i="30"/>
  <c r="M1015" i="30"/>
  <c r="L1015" i="30"/>
  <c r="I1015" i="30"/>
  <c r="O1014" i="30" a="1"/>
  <c r="O1014" i="30" s="1"/>
  <c r="N1014" i="30"/>
  <c r="M1014" i="30"/>
  <c r="L1014" i="30"/>
  <c r="I1014" i="30"/>
  <c r="O1013" i="30" a="1"/>
  <c r="O1013" i="30" s="1"/>
  <c r="N1013" i="30"/>
  <c r="M1013" i="30"/>
  <c r="L1013" i="30"/>
  <c r="I1013" i="30"/>
  <c r="O1012" i="30" a="1"/>
  <c r="O1012" i="30" s="1"/>
  <c r="N1012" i="30"/>
  <c r="M1012" i="30"/>
  <c r="L1012" i="30"/>
  <c r="I1012" i="30"/>
  <c r="O1011" i="30" a="1"/>
  <c r="O1011" i="30" s="1"/>
  <c r="N1011" i="30"/>
  <c r="M1011" i="30"/>
  <c r="L1011" i="30"/>
  <c r="I1011" i="30"/>
  <c r="O1010" i="30" a="1"/>
  <c r="O1010" i="30" s="1"/>
  <c r="N1010" i="30"/>
  <c r="M1010" i="30"/>
  <c r="L1010" i="30"/>
  <c r="I1010" i="30"/>
  <c r="O1009" i="30" a="1"/>
  <c r="O1009" i="30" s="1"/>
  <c r="N1009" i="30"/>
  <c r="M1009" i="30"/>
  <c r="L1009" i="30"/>
  <c r="I1009" i="30"/>
  <c r="O1008" i="30" a="1"/>
  <c r="O1008" i="30" s="1"/>
  <c r="N1008" i="30"/>
  <c r="M1008" i="30"/>
  <c r="L1008" i="30"/>
  <c r="I1008" i="30"/>
  <c r="O1007" i="30" a="1"/>
  <c r="O1007" i="30" s="1"/>
  <c r="N1007" i="30"/>
  <c r="M1007" i="30"/>
  <c r="L1007" i="30"/>
  <c r="I1007" i="30"/>
  <c r="O1006" i="30" a="1"/>
  <c r="O1006" i="30" s="1"/>
  <c r="N1006" i="30"/>
  <c r="M1006" i="30"/>
  <c r="L1006" i="30"/>
  <c r="I1006" i="30"/>
  <c r="O1005" i="30" a="1"/>
  <c r="O1005" i="30" s="1"/>
  <c r="N1005" i="30"/>
  <c r="M1005" i="30"/>
  <c r="L1005" i="30"/>
  <c r="I1005" i="30"/>
  <c r="O1004" i="30" a="1"/>
  <c r="O1004" i="30" s="1"/>
  <c r="N1004" i="30"/>
  <c r="M1004" i="30"/>
  <c r="L1004" i="30"/>
  <c r="I1004" i="30"/>
  <c r="O1003" i="30" a="1"/>
  <c r="O1003" i="30" s="1"/>
  <c r="N1003" i="30"/>
  <c r="M1003" i="30"/>
  <c r="L1003" i="30"/>
  <c r="I1003" i="30"/>
  <c r="O1002" i="30" a="1"/>
  <c r="O1002" i="30" s="1"/>
  <c r="N1002" i="30"/>
  <c r="M1002" i="30"/>
  <c r="L1002" i="30"/>
  <c r="I1002" i="30"/>
  <c r="O1001" i="30" a="1"/>
  <c r="O1001" i="30" s="1"/>
  <c r="N1001" i="30"/>
  <c r="M1001" i="30"/>
  <c r="L1001" i="30"/>
  <c r="I1001" i="30"/>
  <c r="O1000" i="30" a="1"/>
  <c r="O1000" i="30" s="1"/>
  <c r="N1000" i="30"/>
  <c r="M1000" i="30"/>
  <c r="L1000" i="30"/>
  <c r="I1000" i="30"/>
  <c r="O999" i="30" a="1"/>
  <c r="O999" i="30" s="1"/>
  <c r="N999" i="30"/>
  <c r="M999" i="30"/>
  <c r="L999" i="30"/>
  <c r="I999" i="30"/>
  <c r="O998" i="30" a="1"/>
  <c r="O998" i="30" s="1"/>
  <c r="N998" i="30"/>
  <c r="M998" i="30"/>
  <c r="L998" i="30"/>
  <c r="I998" i="30"/>
  <c r="O997" i="30" a="1"/>
  <c r="O997" i="30" s="1"/>
  <c r="N997" i="30"/>
  <c r="M997" i="30"/>
  <c r="L997" i="30"/>
  <c r="I997" i="30"/>
  <c r="O996" i="30" a="1"/>
  <c r="O996" i="30" s="1"/>
  <c r="N996" i="30"/>
  <c r="M996" i="30"/>
  <c r="L996" i="30"/>
  <c r="I996" i="30"/>
  <c r="O995" i="30" a="1"/>
  <c r="O995" i="30" s="1"/>
  <c r="N995" i="30"/>
  <c r="M995" i="30"/>
  <c r="L995" i="30"/>
  <c r="I995" i="30"/>
  <c r="O994" i="30" a="1"/>
  <c r="O994" i="30" s="1"/>
  <c r="N994" i="30"/>
  <c r="M994" i="30"/>
  <c r="L994" i="30"/>
  <c r="I994" i="30"/>
  <c r="O993" i="30" a="1"/>
  <c r="O993" i="30" s="1"/>
  <c r="N993" i="30"/>
  <c r="M993" i="30"/>
  <c r="L993" i="30"/>
  <c r="I993" i="30"/>
  <c r="O992" i="30" a="1"/>
  <c r="O992" i="30" s="1"/>
  <c r="N992" i="30"/>
  <c r="M992" i="30"/>
  <c r="L992" i="30"/>
  <c r="I992" i="30"/>
  <c r="O991" i="30" a="1"/>
  <c r="O991" i="30" s="1"/>
  <c r="N991" i="30"/>
  <c r="M991" i="30"/>
  <c r="L991" i="30"/>
  <c r="I991" i="30"/>
  <c r="O990" i="30" a="1"/>
  <c r="O990" i="30" s="1"/>
  <c r="N990" i="30"/>
  <c r="M990" i="30"/>
  <c r="L990" i="30"/>
  <c r="I990" i="30"/>
  <c r="O989" i="30" a="1"/>
  <c r="O989" i="30" s="1"/>
  <c r="N989" i="30"/>
  <c r="M989" i="30"/>
  <c r="L989" i="30"/>
  <c r="I989" i="30"/>
  <c r="O988" i="30" a="1"/>
  <c r="O988" i="30" s="1"/>
  <c r="N988" i="30"/>
  <c r="M988" i="30"/>
  <c r="L988" i="30"/>
  <c r="I988" i="30"/>
  <c r="O987" i="30" a="1"/>
  <c r="O987" i="30" s="1"/>
  <c r="N987" i="30"/>
  <c r="M987" i="30"/>
  <c r="L987" i="30"/>
  <c r="I987" i="30"/>
  <c r="O986" i="30" a="1"/>
  <c r="O986" i="30" s="1"/>
  <c r="N986" i="30"/>
  <c r="M986" i="30"/>
  <c r="L986" i="30"/>
  <c r="I986" i="30"/>
  <c r="O985" i="30" a="1"/>
  <c r="O985" i="30" s="1"/>
  <c r="N985" i="30"/>
  <c r="M985" i="30"/>
  <c r="L985" i="30"/>
  <c r="I985" i="30"/>
  <c r="O984" i="30" a="1"/>
  <c r="O984" i="30" s="1"/>
  <c r="N984" i="30"/>
  <c r="M984" i="30"/>
  <c r="L984" i="30"/>
  <c r="I984" i="30"/>
  <c r="O983" i="30" a="1"/>
  <c r="O983" i="30" s="1"/>
  <c r="N983" i="30"/>
  <c r="M983" i="30"/>
  <c r="L983" i="30"/>
  <c r="I983" i="30"/>
  <c r="O982" i="30" a="1"/>
  <c r="O982" i="30" s="1"/>
  <c r="N982" i="30"/>
  <c r="M982" i="30"/>
  <c r="L982" i="30"/>
  <c r="I982" i="30"/>
  <c r="O981" i="30" a="1"/>
  <c r="O981" i="30" s="1"/>
  <c r="N981" i="30"/>
  <c r="M981" i="30"/>
  <c r="L981" i="30"/>
  <c r="I981" i="30"/>
  <c r="O980" i="30" a="1"/>
  <c r="O980" i="30" s="1"/>
  <c r="N980" i="30"/>
  <c r="M980" i="30"/>
  <c r="L980" i="30"/>
  <c r="I980" i="30"/>
  <c r="O979" i="30" a="1"/>
  <c r="O979" i="30" s="1"/>
  <c r="N979" i="30"/>
  <c r="M979" i="30"/>
  <c r="L979" i="30"/>
  <c r="I979" i="30"/>
  <c r="O978" i="30" a="1"/>
  <c r="O978" i="30" s="1"/>
  <c r="N978" i="30"/>
  <c r="M978" i="30"/>
  <c r="L978" i="30"/>
  <c r="I978" i="30"/>
  <c r="O977" i="30" a="1"/>
  <c r="O977" i="30" s="1"/>
  <c r="N977" i="30"/>
  <c r="M977" i="30"/>
  <c r="L977" i="30"/>
  <c r="I977" i="30"/>
  <c r="O976" i="30" a="1"/>
  <c r="O976" i="30" s="1"/>
  <c r="N976" i="30"/>
  <c r="M976" i="30"/>
  <c r="L976" i="30"/>
  <c r="I976" i="30"/>
  <c r="O975" i="30" a="1"/>
  <c r="O975" i="30" s="1"/>
  <c r="N975" i="30"/>
  <c r="M975" i="30"/>
  <c r="L975" i="30"/>
  <c r="I975" i="30"/>
  <c r="O974" i="30" a="1"/>
  <c r="O974" i="30" s="1"/>
  <c r="N974" i="30"/>
  <c r="M974" i="30"/>
  <c r="L974" i="30"/>
  <c r="I974" i="30"/>
  <c r="O973" i="30" a="1"/>
  <c r="O973" i="30" s="1"/>
  <c r="N973" i="30"/>
  <c r="M973" i="30"/>
  <c r="L973" i="30"/>
  <c r="I973" i="30"/>
  <c r="O972" i="30" a="1"/>
  <c r="O972" i="30" s="1"/>
  <c r="N972" i="30"/>
  <c r="M972" i="30"/>
  <c r="L972" i="30"/>
  <c r="I972" i="30"/>
  <c r="O971" i="30" a="1"/>
  <c r="O971" i="30" s="1"/>
  <c r="N971" i="30"/>
  <c r="M971" i="30"/>
  <c r="L971" i="30"/>
  <c r="I971" i="30"/>
  <c r="O970" i="30" a="1"/>
  <c r="O970" i="30" s="1"/>
  <c r="N970" i="30"/>
  <c r="M970" i="30"/>
  <c r="L970" i="30"/>
  <c r="I970" i="30"/>
  <c r="O969" i="30" a="1"/>
  <c r="O969" i="30" s="1"/>
  <c r="N969" i="30"/>
  <c r="M969" i="30"/>
  <c r="L969" i="30"/>
  <c r="I969" i="30"/>
  <c r="O968" i="30" a="1"/>
  <c r="O968" i="30" s="1"/>
  <c r="N968" i="30"/>
  <c r="M968" i="30"/>
  <c r="L968" i="30"/>
  <c r="I968" i="30"/>
  <c r="O967" i="30" a="1"/>
  <c r="O967" i="30" s="1"/>
  <c r="N967" i="30"/>
  <c r="M967" i="30"/>
  <c r="L967" i="30"/>
  <c r="I967" i="30"/>
  <c r="O966" i="30" a="1"/>
  <c r="O966" i="30" s="1"/>
  <c r="N966" i="30"/>
  <c r="M966" i="30"/>
  <c r="L966" i="30"/>
  <c r="I966" i="30"/>
  <c r="O965" i="30" a="1"/>
  <c r="O965" i="30" s="1"/>
  <c r="N965" i="30"/>
  <c r="M965" i="30"/>
  <c r="L965" i="30"/>
  <c r="I965" i="30"/>
  <c r="O964" i="30" a="1"/>
  <c r="O964" i="30" s="1"/>
  <c r="N964" i="30"/>
  <c r="M964" i="30"/>
  <c r="L964" i="30"/>
  <c r="I964" i="30"/>
  <c r="O963" i="30" a="1"/>
  <c r="O963" i="30" s="1"/>
  <c r="N963" i="30"/>
  <c r="M963" i="30"/>
  <c r="L963" i="30"/>
  <c r="I963" i="30"/>
  <c r="O962" i="30" a="1"/>
  <c r="O962" i="30" s="1"/>
  <c r="N962" i="30"/>
  <c r="M962" i="30"/>
  <c r="L962" i="30"/>
  <c r="I962" i="30"/>
  <c r="O961" i="30" a="1"/>
  <c r="O961" i="30" s="1"/>
  <c r="N961" i="30"/>
  <c r="M961" i="30"/>
  <c r="L961" i="30"/>
  <c r="I961" i="30"/>
  <c r="O960" i="30" a="1"/>
  <c r="O960" i="30" s="1"/>
  <c r="N960" i="30"/>
  <c r="M960" i="30"/>
  <c r="L960" i="30"/>
  <c r="I960" i="30"/>
  <c r="O959" i="30" a="1"/>
  <c r="O959" i="30" s="1"/>
  <c r="N959" i="30"/>
  <c r="M959" i="30"/>
  <c r="L959" i="30"/>
  <c r="I959" i="30"/>
  <c r="O958" i="30" a="1"/>
  <c r="O958" i="30" s="1"/>
  <c r="N958" i="30"/>
  <c r="M958" i="30"/>
  <c r="L958" i="30"/>
  <c r="I958" i="30"/>
  <c r="O957" i="30" a="1"/>
  <c r="O957" i="30" s="1"/>
  <c r="N957" i="30"/>
  <c r="M957" i="30"/>
  <c r="L957" i="30"/>
  <c r="I957" i="30"/>
  <c r="O956" i="30" a="1"/>
  <c r="O956" i="30" s="1"/>
  <c r="N956" i="30"/>
  <c r="M956" i="30"/>
  <c r="L956" i="30"/>
  <c r="I956" i="30"/>
  <c r="O955" i="30" a="1"/>
  <c r="O955" i="30" s="1"/>
  <c r="N955" i="30"/>
  <c r="M955" i="30"/>
  <c r="L955" i="30"/>
  <c r="I955" i="30"/>
  <c r="O954" i="30" a="1"/>
  <c r="O954" i="30" s="1"/>
  <c r="N954" i="30"/>
  <c r="M954" i="30"/>
  <c r="L954" i="30"/>
  <c r="I954" i="30"/>
  <c r="O953" i="30" a="1"/>
  <c r="O953" i="30" s="1"/>
  <c r="N953" i="30"/>
  <c r="M953" i="30"/>
  <c r="L953" i="30"/>
  <c r="I953" i="30"/>
  <c r="O952" i="30" a="1"/>
  <c r="O952" i="30" s="1"/>
  <c r="N952" i="30"/>
  <c r="M952" i="30"/>
  <c r="L952" i="30"/>
  <c r="I952" i="30"/>
  <c r="O951" i="30" a="1"/>
  <c r="O951" i="30" s="1"/>
  <c r="N951" i="30"/>
  <c r="M951" i="30"/>
  <c r="L951" i="30"/>
  <c r="I951" i="30"/>
  <c r="O950" i="30" a="1"/>
  <c r="O950" i="30" s="1"/>
  <c r="N950" i="30"/>
  <c r="M950" i="30"/>
  <c r="L950" i="30"/>
  <c r="I950" i="30"/>
  <c r="O949" i="30" a="1"/>
  <c r="O949" i="30" s="1"/>
  <c r="N949" i="30"/>
  <c r="M949" i="30"/>
  <c r="L949" i="30"/>
  <c r="I949" i="30"/>
  <c r="O948" i="30" a="1"/>
  <c r="O948" i="30" s="1"/>
  <c r="N948" i="30"/>
  <c r="M948" i="30"/>
  <c r="L948" i="30"/>
  <c r="I948" i="30"/>
  <c r="O947" i="30" a="1"/>
  <c r="O947" i="30" s="1"/>
  <c r="N947" i="30"/>
  <c r="M947" i="30"/>
  <c r="L947" i="30"/>
  <c r="I947" i="30"/>
  <c r="O946" i="30" a="1"/>
  <c r="O946" i="30" s="1"/>
  <c r="N946" i="30"/>
  <c r="M946" i="30"/>
  <c r="L946" i="30"/>
  <c r="I946" i="30"/>
  <c r="O945" i="30" a="1"/>
  <c r="O945" i="30" s="1"/>
  <c r="N945" i="30"/>
  <c r="M945" i="30"/>
  <c r="L945" i="30"/>
  <c r="I945" i="30"/>
  <c r="O944" i="30" a="1"/>
  <c r="O944" i="30" s="1"/>
  <c r="N944" i="30"/>
  <c r="M944" i="30"/>
  <c r="L944" i="30"/>
  <c r="I944" i="30"/>
  <c r="O943" i="30" a="1"/>
  <c r="O943" i="30" s="1"/>
  <c r="N943" i="30"/>
  <c r="M943" i="30"/>
  <c r="L943" i="30"/>
  <c r="I943" i="30"/>
  <c r="O942" i="30" a="1"/>
  <c r="O942" i="30" s="1"/>
  <c r="N942" i="30"/>
  <c r="M942" i="30"/>
  <c r="L942" i="30"/>
  <c r="I942" i="30"/>
  <c r="O941" i="30" a="1"/>
  <c r="O941" i="30" s="1"/>
  <c r="N941" i="30"/>
  <c r="M941" i="30"/>
  <c r="L941" i="30"/>
  <c r="I941" i="30"/>
  <c r="O940" i="30" a="1"/>
  <c r="O940" i="30" s="1"/>
  <c r="N940" i="30"/>
  <c r="M940" i="30"/>
  <c r="L940" i="30"/>
  <c r="I940" i="30"/>
  <c r="O939" i="30" a="1"/>
  <c r="O939" i="30" s="1"/>
  <c r="N939" i="30"/>
  <c r="M939" i="30"/>
  <c r="L939" i="30"/>
  <c r="I939" i="30"/>
  <c r="O938" i="30" a="1"/>
  <c r="O938" i="30" s="1"/>
  <c r="N938" i="30"/>
  <c r="M938" i="30"/>
  <c r="L938" i="30"/>
  <c r="I938" i="30"/>
  <c r="O937" i="30" a="1"/>
  <c r="O937" i="30" s="1"/>
  <c r="N937" i="30"/>
  <c r="M937" i="30"/>
  <c r="L937" i="30"/>
  <c r="I937" i="30"/>
  <c r="O936" i="30" a="1"/>
  <c r="O936" i="30" s="1"/>
  <c r="N936" i="30"/>
  <c r="M936" i="30"/>
  <c r="L936" i="30"/>
  <c r="I936" i="30"/>
  <c r="O935" i="30" a="1"/>
  <c r="O935" i="30" s="1"/>
  <c r="N935" i="30"/>
  <c r="M935" i="30"/>
  <c r="L935" i="30"/>
  <c r="I935" i="30"/>
  <c r="O934" i="30" a="1"/>
  <c r="O934" i="30" s="1"/>
  <c r="N934" i="30"/>
  <c r="M934" i="30"/>
  <c r="L934" i="30"/>
  <c r="I934" i="30"/>
  <c r="O933" i="30" a="1"/>
  <c r="O933" i="30" s="1"/>
  <c r="N933" i="30"/>
  <c r="M933" i="30"/>
  <c r="L933" i="30"/>
  <c r="I933" i="30"/>
  <c r="O932" i="30" a="1"/>
  <c r="O932" i="30" s="1"/>
  <c r="N932" i="30"/>
  <c r="M932" i="30"/>
  <c r="L932" i="30"/>
  <c r="I932" i="30"/>
  <c r="O931" i="30" a="1"/>
  <c r="O931" i="30" s="1"/>
  <c r="N931" i="30"/>
  <c r="M931" i="30"/>
  <c r="L931" i="30"/>
  <c r="I931" i="30"/>
  <c r="O930" i="30" a="1"/>
  <c r="O930" i="30" s="1"/>
  <c r="N930" i="30"/>
  <c r="M930" i="30"/>
  <c r="L930" i="30"/>
  <c r="I930" i="30"/>
  <c r="O929" i="30" a="1"/>
  <c r="O929" i="30" s="1"/>
  <c r="N929" i="30"/>
  <c r="M929" i="30"/>
  <c r="L929" i="30"/>
  <c r="I929" i="30"/>
  <c r="O928" i="30" a="1"/>
  <c r="O928" i="30" s="1"/>
  <c r="N928" i="30"/>
  <c r="M928" i="30"/>
  <c r="L928" i="30"/>
  <c r="I928" i="30"/>
  <c r="O927" i="30" a="1"/>
  <c r="O927" i="30" s="1"/>
  <c r="N927" i="30"/>
  <c r="M927" i="30"/>
  <c r="L927" i="30"/>
  <c r="I927" i="30"/>
  <c r="O926" i="30" a="1"/>
  <c r="O926" i="30" s="1"/>
  <c r="N926" i="30"/>
  <c r="M926" i="30"/>
  <c r="L926" i="30"/>
  <c r="I926" i="30"/>
  <c r="O925" i="30" a="1"/>
  <c r="O925" i="30" s="1"/>
  <c r="N925" i="30"/>
  <c r="M925" i="30"/>
  <c r="L925" i="30"/>
  <c r="I925" i="30"/>
  <c r="O924" i="30" a="1"/>
  <c r="O924" i="30" s="1"/>
  <c r="N924" i="30"/>
  <c r="M924" i="30"/>
  <c r="L924" i="30"/>
  <c r="I924" i="30"/>
  <c r="O923" i="30" a="1"/>
  <c r="O923" i="30" s="1"/>
  <c r="N923" i="30"/>
  <c r="M923" i="30"/>
  <c r="L923" i="30"/>
  <c r="I923" i="30"/>
  <c r="O922" i="30" a="1"/>
  <c r="O922" i="30" s="1"/>
  <c r="N922" i="30"/>
  <c r="M922" i="30"/>
  <c r="L922" i="30"/>
  <c r="I922" i="30"/>
  <c r="O921" i="30" a="1"/>
  <c r="O921" i="30" s="1"/>
  <c r="N921" i="30"/>
  <c r="M921" i="30"/>
  <c r="L921" i="30"/>
  <c r="I921" i="30"/>
  <c r="O920" i="30" a="1"/>
  <c r="O920" i="30" s="1"/>
  <c r="N920" i="30"/>
  <c r="M920" i="30"/>
  <c r="L920" i="30"/>
  <c r="I920" i="30"/>
  <c r="O919" i="30" a="1"/>
  <c r="O919" i="30" s="1"/>
  <c r="N919" i="30"/>
  <c r="M919" i="30"/>
  <c r="L919" i="30"/>
  <c r="I919" i="30"/>
  <c r="O918" i="30" a="1"/>
  <c r="O918" i="30" s="1"/>
  <c r="N918" i="30"/>
  <c r="M918" i="30"/>
  <c r="L918" i="30"/>
  <c r="I918" i="30"/>
  <c r="O917" i="30" a="1"/>
  <c r="O917" i="30" s="1"/>
  <c r="N917" i="30"/>
  <c r="M917" i="30"/>
  <c r="L917" i="30"/>
  <c r="I917" i="30"/>
  <c r="O916" i="30" a="1"/>
  <c r="O916" i="30" s="1"/>
  <c r="N916" i="30"/>
  <c r="M916" i="30"/>
  <c r="L916" i="30"/>
  <c r="I916" i="30"/>
  <c r="O915" i="30" a="1"/>
  <c r="O915" i="30" s="1"/>
  <c r="N915" i="30"/>
  <c r="M915" i="30"/>
  <c r="L915" i="30"/>
  <c r="I915" i="30"/>
  <c r="O914" i="30" a="1"/>
  <c r="O914" i="30" s="1"/>
  <c r="N914" i="30"/>
  <c r="M914" i="30"/>
  <c r="L914" i="30"/>
  <c r="I914" i="30"/>
  <c r="O913" i="30" a="1"/>
  <c r="O913" i="30" s="1"/>
  <c r="N913" i="30"/>
  <c r="M913" i="30"/>
  <c r="L913" i="30"/>
  <c r="I913" i="30"/>
  <c r="O912" i="30" a="1"/>
  <c r="O912" i="30" s="1"/>
  <c r="N912" i="30"/>
  <c r="M912" i="30"/>
  <c r="L912" i="30"/>
  <c r="I912" i="30"/>
  <c r="O911" i="30" a="1"/>
  <c r="O911" i="30" s="1"/>
  <c r="N911" i="30"/>
  <c r="M911" i="30"/>
  <c r="L911" i="30"/>
  <c r="I911" i="30"/>
  <c r="O910" i="30" a="1"/>
  <c r="O910" i="30" s="1"/>
  <c r="N910" i="30"/>
  <c r="M910" i="30"/>
  <c r="L910" i="30"/>
  <c r="I910" i="30"/>
  <c r="O909" i="30" a="1"/>
  <c r="O909" i="30" s="1"/>
  <c r="N909" i="30"/>
  <c r="M909" i="30"/>
  <c r="L909" i="30"/>
  <c r="I909" i="30"/>
  <c r="O908" i="30" a="1"/>
  <c r="O908" i="30" s="1"/>
  <c r="N908" i="30"/>
  <c r="M908" i="30"/>
  <c r="L908" i="30"/>
  <c r="I908" i="30"/>
  <c r="O907" i="30" a="1"/>
  <c r="O907" i="30" s="1"/>
  <c r="N907" i="30"/>
  <c r="M907" i="30"/>
  <c r="L907" i="30"/>
  <c r="I907" i="30"/>
  <c r="O906" i="30" a="1"/>
  <c r="O906" i="30" s="1"/>
  <c r="N906" i="30"/>
  <c r="M906" i="30"/>
  <c r="L906" i="30"/>
  <c r="I906" i="30"/>
  <c r="O905" i="30" a="1"/>
  <c r="O905" i="30" s="1"/>
  <c r="N905" i="30"/>
  <c r="M905" i="30"/>
  <c r="L905" i="30"/>
  <c r="I905" i="30"/>
  <c r="O904" i="30" a="1"/>
  <c r="O904" i="30" s="1"/>
  <c r="N904" i="30"/>
  <c r="M904" i="30"/>
  <c r="L904" i="30"/>
  <c r="I904" i="30"/>
  <c r="O903" i="30" a="1"/>
  <c r="O903" i="30" s="1"/>
  <c r="N903" i="30"/>
  <c r="M903" i="30"/>
  <c r="L903" i="30"/>
  <c r="I903" i="30"/>
  <c r="O902" i="30" a="1"/>
  <c r="O902" i="30" s="1"/>
  <c r="N902" i="30"/>
  <c r="M902" i="30"/>
  <c r="L902" i="30"/>
  <c r="I902" i="30"/>
  <c r="O901" i="30" a="1"/>
  <c r="O901" i="30" s="1"/>
  <c r="N901" i="30"/>
  <c r="M901" i="30"/>
  <c r="L901" i="30"/>
  <c r="I901" i="30"/>
  <c r="O900" i="30" a="1"/>
  <c r="O900" i="30" s="1"/>
  <c r="N900" i="30"/>
  <c r="M900" i="30"/>
  <c r="L900" i="30"/>
  <c r="I900" i="30"/>
  <c r="O899" i="30" a="1"/>
  <c r="O899" i="30" s="1"/>
  <c r="N899" i="30"/>
  <c r="M899" i="30"/>
  <c r="L899" i="30"/>
  <c r="I899" i="30"/>
  <c r="O898" i="30" a="1"/>
  <c r="O898" i="30" s="1"/>
  <c r="N898" i="30"/>
  <c r="M898" i="30"/>
  <c r="L898" i="30"/>
  <c r="I898" i="30"/>
  <c r="O897" i="30" a="1"/>
  <c r="O897" i="30" s="1"/>
  <c r="N897" i="30"/>
  <c r="M897" i="30"/>
  <c r="L897" i="30"/>
  <c r="I897" i="30"/>
  <c r="O896" i="30" a="1"/>
  <c r="O896" i="30" s="1"/>
  <c r="N896" i="30"/>
  <c r="M896" i="30"/>
  <c r="L896" i="30"/>
  <c r="I896" i="30"/>
  <c r="O895" i="30" a="1"/>
  <c r="O895" i="30" s="1"/>
  <c r="N895" i="30"/>
  <c r="M895" i="30"/>
  <c r="L895" i="30"/>
  <c r="I895" i="30"/>
  <c r="O894" i="30" a="1"/>
  <c r="O894" i="30" s="1"/>
  <c r="N894" i="30"/>
  <c r="M894" i="30"/>
  <c r="L894" i="30"/>
  <c r="I894" i="30"/>
  <c r="O893" i="30" a="1"/>
  <c r="O893" i="30" s="1"/>
  <c r="N893" i="30"/>
  <c r="M893" i="30"/>
  <c r="L893" i="30"/>
  <c r="I893" i="30"/>
  <c r="O892" i="30" a="1"/>
  <c r="O892" i="30" s="1"/>
  <c r="N892" i="30"/>
  <c r="M892" i="30"/>
  <c r="L892" i="30"/>
  <c r="I892" i="30"/>
  <c r="O891" i="30" a="1"/>
  <c r="O891" i="30" s="1"/>
  <c r="N891" i="30"/>
  <c r="M891" i="30"/>
  <c r="L891" i="30"/>
  <c r="I891" i="30"/>
  <c r="O890" i="30" a="1"/>
  <c r="O890" i="30" s="1"/>
  <c r="N890" i="30"/>
  <c r="M890" i="30"/>
  <c r="L890" i="30"/>
  <c r="I890" i="30"/>
  <c r="O889" i="30" a="1"/>
  <c r="O889" i="30" s="1"/>
  <c r="N889" i="30"/>
  <c r="M889" i="30"/>
  <c r="L889" i="30"/>
  <c r="I889" i="30"/>
  <c r="O888" i="30" a="1"/>
  <c r="O888" i="30" s="1"/>
  <c r="N888" i="30"/>
  <c r="M888" i="30"/>
  <c r="L888" i="30"/>
  <c r="I888" i="30"/>
  <c r="O887" i="30" a="1"/>
  <c r="O887" i="30" s="1"/>
  <c r="N887" i="30"/>
  <c r="M887" i="30"/>
  <c r="L887" i="30"/>
  <c r="I887" i="30"/>
  <c r="O886" i="30" a="1"/>
  <c r="O886" i="30" s="1"/>
  <c r="N886" i="30"/>
  <c r="M886" i="30"/>
  <c r="L886" i="30"/>
  <c r="I886" i="30"/>
  <c r="O885" i="30" a="1"/>
  <c r="O885" i="30" s="1"/>
  <c r="N885" i="30"/>
  <c r="M885" i="30"/>
  <c r="L885" i="30"/>
  <c r="I885" i="30"/>
  <c r="O884" i="30" a="1"/>
  <c r="O884" i="30" s="1"/>
  <c r="N884" i="30"/>
  <c r="M884" i="30"/>
  <c r="L884" i="30"/>
  <c r="I884" i="30"/>
  <c r="O883" i="30" a="1"/>
  <c r="O883" i="30" s="1"/>
  <c r="N883" i="30"/>
  <c r="M883" i="30"/>
  <c r="L883" i="30"/>
  <c r="I883" i="30"/>
  <c r="O882" i="30" a="1"/>
  <c r="O882" i="30" s="1"/>
  <c r="N882" i="30"/>
  <c r="M882" i="30"/>
  <c r="L882" i="30"/>
  <c r="I882" i="30"/>
  <c r="O881" i="30" a="1"/>
  <c r="O881" i="30" s="1"/>
  <c r="N881" i="30"/>
  <c r="M881" i="30"/>
  <c r="L881" i="30"/>
  <c r="I881" i="30"/>
  <c r="O880" i="30" a="1"/>
  <c r="O880" i="30" s="1"/>
  <c r="N880" i="30"/>
  <c r="M880" i="30"/>
  <c r="L880" i="30"/>
  <c r="I880" i="30"/>
  <c r="O879" i="30" a="1"/>
  <c r="O879" i="30" s="1"/>
  <c r="N879" i="30"/>
  <c r="M879" i="30"/>
  <c r="L879" i="30"/>
  <c r="I879" i="30"/>
  <c r="O878" i="30" a="1"/>
  <c r="O878" i="30" s="1"/>
  <c r="N878" i="30"/>
  <c r="M878" i="30"/>
  <c r="L878" i="30"/>
  <c r="I878" i="30"/>
  <c r="O877" i="30" a="1"/>
  <c r="O877" i="30" s="1"/>
  <c r="N877" i="30"/>
  <c r="M877" i="30"/>
  <c r="L877" i="30"/>
  <c r="I877" i="30"/>
  <c r="O876" i="30" a="1"/>
  <c r="O876" i="30" s="1"/>
  <c r="N876" i="30"/>
  <c r="M876" i="30"/>
  <c r="L876" i="30"/>
  <c r="I876" i="30"/>
  <c r="O875" i="30" a="1"/>
  <c r="O875" i="30" s="1"/>
  <c r="N875" i="30"/>
  <c r="M875" i="30"/>
  <c r="L875" i="30"/>
  <c r="I875" i="30"/>
  <c r="O874" i="30" a="1"/>
  <c r="O874" i="30" s="1"/>
  <c r="N874" i="30"/>
  <c r="M874" i="30"/>
  <c r="L874" i="30"/>
  <c r="I874" i="30"/>
  <c r="O873" i="30" a="1"/>
  <c r="O873" i="30" s="1"/>
  <c r="N873" i="30"/>
  <c r="M873" i="30"/>
  <c r="L873" i="30"/>
  <c r="I873" i="30"/>
  <c r="O872" i="30" a="1"/>
  <c r="O872" i="30" s="1"/>
  <c r="N872" i="30"/>
  <c r="M872" i="30"/>
  <c r="L872" i="30"/>
  <c r="I872" i="30"/>
  <c r="O871" i="30" a="1"/>
  <c r="O871" i="30" s="1"/>
  <c r="N871" i="30"/>
  <c r="M871" i="30"/>
  <c r="L871" i="30"/>
  <c r="I871" i="30"/>
  <c r="O870" i="30" a="1"/>
  <c r="O870" i="30" s="1"/>
  <c r="N870" i="30"/>
  <c r="M870" i="30"/>
  <c r="L870" i="30"/>
  <c r="I870" i="30"/>
  <c r="O869" i="30" a="1"/>
  <c r="O869" i="30" s="1"/>
  <c r="N869" i="30"/>
  <c r="M869" i="30"/>
  <c r="L869" i="30"/>
  <c r="I869" i="30"/>
  <c r="O868" i="30" a="1"/>
  <c r="O868" i="30" s="1"/>
  <c r="N868" i="30"/>
  <c r="M868" i="30"/>
  <c r="L868" i="30"/>
  <c r="I868" i="30"/>
  <c r="O867" i="30" a="1"/>
  <c r="O867" i="30" s="1"/>
  <c r="N867" i="30"/>
  <c r="M867" i="30"/>
  <c r="L867" i="30"/>
  <c r="I867" i="30"/>
  <c r="O866" i="30" a="1"/>
  <c r="O866" i="30" s="1"/>
  <c r="N866" i="30"/>
  <c r="M866" i="30"/>
  <c r="L866" i="30"/>
  <c r="I866" i="30"/>
  <c r="O865" i="30" a="1"/>
  <c r="O865" i="30" s="1"/>
  <c r="N865" i="30"/>
  <c r="M865" i="30"/>
  <c r="L865" i="30"/>
  <c r="I865" i="30"/>
  <c r="O864" i="30" a="1"/>
  <c r="O864" i="30" s="1"/>
  <c r="N864" i="30"/>
  <c r="M864" i="30"/>
  <c r="L864" i="30"/>
  <c r="I864" i="30"/>
  <c r="O863" i="30" a="1"/>
  <c r="O863" i="30" s="1"/>
  <c r="N863" i="30"/>
  <c r="M863" i="30"/>
  <c r="L863" i="30"/>
  <c r="I863" i="30"/>
  <c r="O862" i="30" a="1"/>
  <c r="O862" i="30" s="1"/>
  <c r="N862" i="30"/>
  <c r="M862" i="30"/>
  <c r="L862" i="30"/>
  <c r="I862" i="30"/>
  <c r="O861" i="30" a="1"/>
  <c r="O861" i="30" s="1"/>
  <c r="N861" i="30"/>
  <c r="M861" i="30"/>
  <c r="L861" i="30"/>
  <c r="I861" i="30"/>
  <c r="O860" i="30" a="1"/>
  <c r="O860" i="30" s="1"/>
  <c r="N860" i="30"/>
  <c r="M860" i="30"/>
  <c r="L860" i="30"/>
  <c r="I860" i="30"/>
  <c r="O859" i="30" a="1"/>
  <c r="O859" i="30" s="1"/>
  <c r="N859" i="30"/>
  <c r="M859" i="30"/>
  <c r="L859" i="30"/>
  <c r="I859" i="30"/>
  <c r="O858" i="30" a="1"/>
  <c r="O858" i="30" s="1"/>
  <c r="N858" i="30"/>
  <c r="M858" i="30"/>
  <c r="L858" i="30"/>
  <c r="I858" i="30"/>
  <c r="O857" i="30" a="1"/>
  <c r="O857" i="30" s="1"/>
  <c r="N857" i="30"/>
  <c r="M857" i="30"/>
  <c r="L857" i="30"/>
  <c r="I857" i="30"/>
  <c r="O856" i="30" a="1"/>
  <c r="O856" i="30" s="1"/>
  <c r="N856" i="30"/>
  <c r="M856" i="30"/>
  <c r="L856" i="30"/>
  <c r="I856" i="30"/>
  <c r="O855" i="30" a="1"/>
  <c r="O855" i="30" s="1"/>
  <c r="N855" i="30"/>
  <c r="M855" i="30"/>
  <c r="L855" i="30"/>
  <c r="I855" i="30"/>
  <c r="O854" i="30" a="1"/>
  <c r="O854" i="30" s="1"/>
  <c r="N854" i="30"/>
  <c r="M854" i="30"/>
  <c r="L854" i="30"/>
  <c r="I854" i="30"/>
  <c r="O853" i="30" a="1"/>
  <c r="O853" i="30" s="1"/>
  <c r="N853" i="30"/>
  <c r="M853" i="30"/>
  <c r="L853" i="30"/>
  <c r="I853" i="30"/>
  <c r="O852" i="30" a="1"/>
  <c r="O852" i="30" s="1"/>
  <c r="N852" i="30"/>
  <c r="M852" i="30"/>
  <c r="L852" i="30"/>
  <c r="I852" i="30"/>
  <c r="O851" i="30" a="1"/>
  <c r="O851" i="30" s="1"/>
  <c r="N851" i="30"/>
  <c r="M851" i="30"/>
  <c r="L851" i="30"/>
  <c r="I851" i="30"/>
  <c r="O850" i="30" a="1"/>
  <c r="O850" i="30" s="1"/>
  <c r="N850" i="30"/>
  <c r="M850" i="30"/>
  <c r="L850" i="30"/>
  <c r="I850" i="30"/>
  <c r="O849" i="30" a="1"/>
  <c r="O849" i="30" s="1"/>
  <c r="N849" i="30"/>
  <c r="M849" i="30"/>
  <c r="L849" i="30"/>
  <c r="I849" i="30"/>
  <c r="O848" i="30" a="1"/>
  <c r="O848" i="30" s="1"/>
  <c r="N848" i="30"/>
  <c r="M848" i="30"/>
  <c r="L848" i="30"/>
  <c r="I848" i="30"/>
  <c r="O847" i="30" a="1"/>
  <c r="O847" i="30" s="1"/>
  <c r="N847" i="30"/>
  <c r="M847" i="30"/>
  <c r="L847" i="30"/>
  <c r="I847" i="30"/>
  <c r="O846" i="30" a="1"/>
  <c r="O846" i="30" s="1"/>
  <c r="N846" i="30"/>
  <c r="M846" i="30"/>
  <c r="L846" i="30"/>
  <c r="I846" i="30"/>
  <c r="O845" i="30" a="1"/>
  <c r="O845" i="30" s="1"/>
  <c r="N845" i="30"/>
  <c r="M845" i="30"/>
  <c r="L845" i="30"/>
  <c r="I845" i="30"/>
  <c r="O844" i="30" a="1"/>
  <c r="O844" i="30" s="1"/>
  <c r="N844" i="30"/>
  <c r="M844" i="30"/>
  <c r="L844" i="30"/>
  <c r="I844" i="30"/>
  <c r="O843" i="30" a="1"/>
  <c r="O843" i="30" s="1"/>
  <c r="N843" i="30"/>
  <c r="M843" i="30"/>
  <c r="L843" i="30"/>
  <c r="I843" i="30"/>
  <c r="O842" i="30" a="1"/>
  <c r="O842" i="30" s="1"/>
  <c r="N842" i="30"/>
  <c r="M842" i="30"/>
  <c r="L842" i="30"/>
  <c r="I842" i="30"/>
  <c r="O841" i="30" a="1"/>
  <c r="O841" i="30" s="1"/>
  <c r="N841" i="30"/>
  <c r="M841" i="30"/>
  <c r="L841" i="30"/>
  <c r="I841" i="30"/>
  <c r="O840" i="30" a="1"/>
  <c r="O840" i="30" s="1"/>
  <c r="N840" i="30"/>
  <c r="M840" i="30"/>
  <c r="L840" i="30"/>
  <c r="I840" i="30"/>
  <c r="O839" i="30" a="1"/>
  <c r="O839" i="30" s="1"/>
  <c r="N839" i="30"/>
  <c r="M839" i="30"/>
  <c r="L839" i="30"/>
  <c r="I839" i="30"/>
  <c r="O838" i="30" a="1"/>
  <c r="O838" i="30" s="1"/>
  <c r="N838" i="30"/>
  <c r="M838" i="30"/>
  <c r="L838" i="30"/>
  <c r="I838" i="30"/>
  <c r="O837" i="30" a="1"/>
  <c r="O837" i="30" s="1"/>
  <c r="N837" i="30"/>
  <c r="M837" i="30"/>
  <c r="L837" i="30"/>
  <c r="I837" i="30"/>
  <c r="O836" i="30" a="1"/>
  <c r="O836" i="30" s="1"/>
  <c r="N836" i="30"/>
  <c r="M836" i="30"/>
  <c r="L836" i="30"/>
  <c r="I836" i="30"/>
  <c r="O835" i="30" a="1"/>
  <c r="O835" i="30" s="1"/>
  <c r="N835" i="30"/>
  <c r="M835" i="30"/>
  <c r="L835" i="30"/>
  <c r="I835" i="30"/>
  <c r="O834" i="30" a="1"/>
  <c r="O834" i="30" s="1"/>
  <c r="N834" i="30"/>
  <c r="M834" i="30"/>
  <c r="L834" i="30"/>
  <c r="I834" i="30"/>
  <c r="O833" i="30" a="1"/>
  <c r="O833" i="30" s="1"/>
  <c r="N833" i="30"/>
  <c r="M833" i="30"/>
  <c r="L833" i="30"/>
  <c r="I833" i="30"/>
  <c r="O832" i="30" a="1"/>
  <c r="O832" i="30" s="1"/>
  <c r="N832" i="30"/>
  <c r="M832" i="30"/>
  <c r="L832" i="30"/>
  <c r="I832" i="30"/>
  <c r="O831" i="30" a="1"/>
  <c r="O831" i="30" s="1"/>
  <c r="N831" i="30"/>
  <c r="M831" i="30"/>
  <c r="L831" i="30"/>
  <c r="I831" i="30"/>
  <c r="O830" i="30" a="1"/>
  <c r="O830" i="30" s="1"/>
  <c r="N830" i="30"/>
  <c r="M830" i="30"/>
  <c r="L830" i="30"/>
  <c r="I830" i="30"/>
  <c r="O829" i="30" a="1"/>
  <c r="O829" i="30" s="1"/>
  <c r="N829" i="30"/>
  <c r="M829" i="30"/>
  <c r="L829" i="30"/>
  <c r="I829" i="30"/>
  <c r="O828" i="30" a="1"/>
  <c r="O828" i="30" s="1"/>
  <c r="N828" i="30"/>
  <c r="M828" i="30"/>
  <c r="L828" i="30"/>
  <c r="I828" i="30"/>
  <c r="O827" i="30" a="1"/>
  <c r="O827" i="30" s="1"/>
  <c r="N827" i="30"/>
  <c r="M827" i="30"/>
  <c r="L827" i="30"/>
  <c r="I827" i="30"/>
  <c r="O826" i="30" a="1"/>
  <c r="O826" i="30" s="1"/>
  <c r="N826" i="30"/>
  <c r="M826" i="30"/>
  <c r="L826" i="30"/>
  <c r="I826" i="30"/>
  <c r="O825" i="30" a="1"/>
  <c r="O825" i="30" s="1"/>
  <c r="N825" i="30"/>
  <c r="M825" i="30"/>
  <c r="L825" i="30"/>
  <c r="I825" i="30"/>
  <c r="O824" i="30" a="1"/>
  <c r="O824" i="30" s="1"/>
  <c r="N824" i="30"/>
  <c r="M824" i="30"/>
  <c r="L824" i="30"/>
  <c r="I824" i="30"/>
  <c r="O823" i="30" a="1"/>
  <c r="O823" i="30" s="1"/>
  <c r="N823" i="30"/>
  <c r="M823" i="30"/>
  <c r="L823" i="30"/>
  <c r="I823" i="30"/>
  <c r="O822" i="30" a="1"/>
  <c r="O822" i="30" s="1"/>
  <c r="N822" i="30"/>
  <c r="M822" i="30"/>
  <c r="L822" i="30"/>
  <c r="I822" i="30"/>
  <c r="O821" i="30" a="1"/>
  <c r="O821" i="30" s="1"/>
  <c r="N821" i="30"/>
  <c r="M821" i="30"/>
  <c r="L821" i="30"/>
  <c r="I821" i="30"/>
  <c r="O820" i="30" a="1"/>
  <c r="O820" i="30" s="1"/>
  <c r="N820" i="30"/>
  <c r="M820" i="30"/>
  <c r="L820" i="30"/>
  <c r="I820" i="30"/>
  <c r="O819" i="30" a="1"/>
  <c r="O819" i="30" s="1"/>
  <c r="N819" i="30"/>
  <c r="M819" i="30"/>
  <c r="L819" i="30"/>
  <c r="I819" i="30"/>
  <c r="O818" i="30" a="1"/>
  <c r="O818" i="30" s="1"/>
  <c r="N818" i="30"/>
  <c r="M818" i="30"/>
  <c r="L818" i="30"/>
  <c r="I818" i="30"/>
  <c r="O817" i="30" a="1"/>
  <c r="O817" i="30" s="1"/>
  <c r="N817" i="30"/>
  <c r="M817" i="30"/>
  <c r="L817" i="30"/>
  <c r="I817" i="30"/>
  <c r="O816" i="30" a="1"/>
  <c r="O816" i="30" s="1"/>
  <c r="N816" i="30"/>
  <c r="M816" i="30"/>
  <c r="L816" i="30"/>
  <c r="I816" i="30"/>
  <c r="O815" i="30" a="1"/>
  <c r="O815" i="30" s="1"/>
  <c r="N815" i="30"/>
  <c r="M815" i="30"/>
  <c r="L815" i="30"/>
  <c r="I815" i="30"/>
  <c r="O814" i="30" a="1"/>
  <c r="O814" i="30" s="1"/>
  <c r="N814" i="30"/>
  <c r="M814" i="30"/>
  <c r="L814" i="30"/>
  <c r="I814" i="30"/>
  <c r="O813" i="30" a="1"/>
  <c r="O813" i="30" s="1"/>
  <c r="N813" i="30"/>
  <c r="M813" i="30"/>
  <c r="L813" i="30"/>
  <c r="I813" i="30"/>
  <c r="O812" i="30" a="1"/>
  <c r="O812" i="30" s="1"/>
  <c r="N812" i="30"/>
  <c r="M812" i="30"/>
  <c r="L812" i="30"/>
  <c r="I812" i="30"/>
  <c r="O811" i="30" a="1"/>
  <c r="O811" i="30" s="1"/>
  <c r="N811" i="30"/>
  <c r="M811" i="30"/>
  <c r="L811" i="30"/>
  <c r="I811" i="30"/>
  <c r="O810" i="30" a="1"/>
  <c r="O810" i="30" s="1"/>
  <c r="N810" i="30"/>
  <c r="M810" i="30"/>
  <c r="L810" i="30"/>
  <c r="I810" i="30"/>
  <c r="O809" i="30" a="1"/>
  <c r="O809" i="30" s="1"/>
  <c r="N809" i="30"/>
  <c r="M809" i="30"/>
  <c r="L809" i="30"/>
  <c r="I809" i="30"/>
  <c r="O808" i="30" a="1"/>
  <c r="O808" i="30" s="1"/>
  <c r="N808" i="30"/>
  <c r="M808" i="30"/>
  <c r="L808" i="30"/>
  <c r="I808" i="30"/>
  <c r="O807" i="30" a="1"/>
  <c r="O807" i="30" s="1"/>
  <c r="N807" i="30"/>
  <c r="M807" i="30"/>
  <c r="L807" i="30"/>
  <c r="I807" i="30"/>
  <c r="O806" i="30" a="1"/>
  <c r="O806" i="30" s="1"/>
  <c r="N806" i="30"/>
  <c r="M806" i="30"/>
  <c r="L806" i="30"/>
  <c r="I806" i="30"/>
  <c r="O805" i="30" a="1"/>
  <c r="O805" i="30" s="1"/>
  <c r="N805" i="30"/>
  <c r="M805" i="30"/>
  <c r="L805" i="30"/>
  <c r="I805" i="30"/>
  <c r="O804" i="30" a="1"/>
  <c r="O804" i="30" s="1"/>
  <c r="N804" i="30"/>
  <c r="M804" i="30"/>
  <c r="L804" i="30"/>
  <c r="I804" i="30"/>
  <c r="O803" i="30" a="1"/>
  <c r="O803" i="30" s="1"/>
  <c r="N803" i="30"/>
  <c r="M803" i="30"/>
  <c r="L803" i="30"/>
  <c r="I803" i="30"/>
  <c r="O802" i="30" a="1"/>
  <c r="O802" i="30" s="1"/>
  <c r="N802" i="30"/>
  <c r="M802" i="30"/>
  <c r="L802" i="30"/>
  <c r="I802" i="30"/>
  <c r="O801" i="30" a="1"/>
  <c r="O801" i="30" s="1"/>
  <c r="N801" i="30"/>
  <c r="M801" i="30"/>
  <c r="L801" i="30"/>
  <c r="I801" i="30"/>
  <c r="O800" i="30" a="1"/>
  <c r="O800" i="30" s="1"/>
  <c r="N800" i="30"/>
  <c r="M800" i="30"/>
  <c r="L800" i="30"/>
  <c r="I800" i="30"/>
  <c r="O799" i="30" a="1"/>
  <c r="O799" i="30" s="1"/>
  <c r="N799" i="30"/>
  <c r="M799" i="30"/>
  <c r="L799" i="30"/>
  <c r="I799" i="30"/>
  <c r="O798" i="30" a="1"/>
  <c r="O798" i="30" s="1"/>
  <c r="N798" i="30"/>
  <c r="M798" i="30"/>
  <c r="L798" i="30"/>
  <c r="I798" i="30"/>
  <c r="O797" i="30" a="1"/>
  <c r="O797" i="30" s="1"/>
  <c r="N797" i="30"/>
  <c r="M797" i="30"/>
  <c r="L797" i="30"/>
  <c r="I797" i="30"/>
  <c r="O796" i="30" a="1"/>
  <c r="O796" i="30" s="1"/>
  <c r="N796" i="30"/>
  <c r="M796" i="30"/>
  <c r="L796" i="30"/>
  <c r="I796" i="30"/>
  <c r="O795" i="30" a="1"/>
  <c r="O795" i="30" s="1"/>
  <c r="N795" i="30"/>
  <c r="M795" i="30"/>
  <c r="L795" i="30"/>
  <c r="I795" i="30"/>
  <c r="O794" i="30" a="1"/>
  <c r="O794" i="30" s="1"/>
  <c r="N794" i="30"/>
  <c r="M794" i="30"/>
  <c r="L794" i="30"/>
  <c r="I794" i="30"/>
  <c r="O793" i="30" a="1"/>
  <c r="O793" i="30" s="1"/>
  <c r="N793" i="30"/>
  <c r="M793" i="30"/>
  <c r="L793" i="30"/>
  <c r="I793" i="30"/>
  <c r="O792" i="30" a="1"/>
  <c r="O792" i="30" s="1"/>
  <c r="N792" i="30"/>
  <c r="M792" i="30"/>
  <c r="L792" i="30"/>
  <c r="I792" i="30"/>
  <c r="O791" i="30" a="1"/>
  <c r="O791" i="30" s="1"/>
  <c r="N791" i="30"/>
  <c r="M791" i="30"/>
  <c r="L791" i="30"/>
  <c r="I791" i="30"/>
  <c r="O790" i="30" a="1"/>
  <c r="O790" i="30" s="1"/>
  <c r="N790" i="30"/>
  <c r="M790" i="30"/>
  <c r="L790" i="30"/>
  <c r="I790" i="30"/>
  <c r="O789" i="30" a="1"/>
  <c r="O789" i="30" s="1"/>
  <c r="N789" i="30"/>
  <c r="M789" i="30"/>
  <c r="L789" i="30"/>
  <c r="I789" i="30"/>
  <c r="O788" i="30" a="1"/>
  <c r="O788" i="30" s="1"/>
  <c r="N788" i="30"/>
  <c r="M788" i="30"/>
  <c r="L788" i="30"/>
  <c r="I788" i="30"/>
  <c r="O787" i="30" a="1"/>
  <c r="O787" i="30" s="1"/>
  <c r="N787" i="30"/>
  <c r="M787" i="30"/>
  <c r="L787" i="30"/>
  <c r="I787" i="30"/>
  <c r="O786" i="30" a="1"/>
  <c r="O786" i="30" s="1"/>
  <c r="N786" i="30"/>
  <c r="M786" i="30"/>
  <c r="L786" i="30"/>
  <c r="I786" i="30"/>
  <c r="O785" i="30" a="1"/>
  <c r="O785" i="30" s="1"/>
  <c r="N785" i="30"/>
  <c r="M785" i="30"/>
  <c r="L785" i="30"/>
  <c r="I785" i="30"/>
  <c r="O784" i="30" a="1"/>
  <c r="O784" i="30" s="1"/>
  <c r="N784" i="30"/>
  <c r="M784" i="30"/>
  <c r="L784" i="30"/>
  <c r="I784" i="30"/>
  <c r="O783" i="30" a="1"/>
  <c r="O783" i="30" s="1"/>
  <c r="N783" i="30"/>
  <c r="M783" i="30"/>
  <c r="L783" i="30"/>
  <c r="I783" i="30"/>
  <c r="O782" i="30" a="1"/>
  <c r="O782" i="30" s="1"/>
  <c r="N782" i="30"/>
  <c r="M782" i="30"/>
  <c r="L782" i="30"/>
  <c r="I782" i="30"/>
  <c r="O781" i="30" a="1"/>
  <c r="O781" i="30" s="1"/>
  <c r="N781" i="30"/>
  <c r="M781" i="30"/>
  <c r="L781" i="30"/>
  <c r="I781" i="30"/>
  <c r="O780" i="30" a="1"/>
  <c r="O780" i="30" s="1"/>
  <c r="N780" i="30"/>
  <c r="M780" i="30"/>
  <c r="L780" i="30"/>
  <c r="I780" i="30"/>
  <c r="O779" i="30" a="1"/>
  <c r="O779" i="30" s="1"/>
  <c r="N779" i="30"/>
  <c r="M779" i="30"/>
  <c r="L779" i="30"/>
  <c r="I779" i="30"/>
  <c r="O778" i="30" a="1"/>
  <c r="O778" i="30" s="1"/>
  <c r="N778" i="30"/>
  <c r="M778" i="30"/>
  <c r="L778" i="30"/>
  <c r="I778" i="30"/>
  <c r="O777" i="30" a="1"/>
  <c r="O777" i="30" s="1"/>
  <c r="N777" i="30"/>
  <c r="M777" i="30"/>
  <c r="L777" i="30"/>
  <c r="I777" i="30"/>
  <c r="O776" i="30" a="1"/>
  <c r="O776" i="30" s="1"/>
  <c r="N776" i="30"/>
  <c r="M776" i="30"/>
  <c r="L776" i="30"/>
  <c r="I776" i="30"/>
  <c r="O775" i="30" a="1"/>
  <c r="O775" i="30" s="1"/>
  <c r="N775" i="30"/>
  <c r="M775" i="30"/>
  <c r="L775" i="30"/>
  <c r="I775" i="30"/>
  <c r="O774" i="30" a="1"/>
  <c r="O774" i="30" s="1"/>
  <c r="N774" i="30"/>
  <c r="M774" i="30"/>
  <c r="L774" i="30"/>
  <c r="I774" i="30"/>
  <c r="O773" i="30" a="1"/>
  <c r="O773" i="30" s="1"/>
  <c r="N773" i="30"/>
  <c r="M773" i="30"/>
  <c r="L773" i="30"/>
  <c r="I773" i="30"/>
  <c r="O772" i="30" a="1"/>
  <c r="O772" i="30" s="1"/>
  <c r="N772" i="30"/>
  <c r="M772" i="30"/>
  <c r="L772" i="30"/>
  <c r="I772" i="30"/>
  <c r="O771" i="30" a="1"/>
  <c r="O771" i="30" s="1"/>
  <c r="N771" i="30"/>
  <c r="M771" i="30"/>
  <c r="L771" i="30"/>
  <c r="I771" i="30"/>
  <c r="O770" i="30" a="1"/>
  <c r="O770" i="30" s="1"/>
  <c r="N770" i="30"/>
  <c r="M770" i="30"/>
  <c r="L770" i="30"/>
  <c r="I770" i="30"/>
  <c r="O769" i="30" a="1"/>
  <c r="O769" i="30" s="1"/>
  <c r="N769" i="30"/>
  <c r="M769" i="30"/>
  <c r="L769" i="30"/>
  <c r="I769" i="30"/>
  <c r="O768" i="30" a="1"/>
  <c r="O768" i="30" s="1"/>
  <c r="N768" i="30"/>
  <c r="M768" i="30"/>
  <c r="L768" i="30"/>
  <c r="I768" i="30"/>
  <c r="O767" i="30" a="1"/>
  <c r="O767" i="30" s="1"/>
  <c r="N767" i="30"/>
  <c r="M767" i="30"/>
  <c r="L767" i="30"/>
  <c r="I767" i="30"/>
  <c r="O766" i="30" a="1"/>
  <c r="O766" i="30" s="1"/>
  <c r="N766" i="30"/>
  <c r="M766" i="30"/>
  <c r="L766" i="30"/>
  <c r="I766" i="30"/>
  <c r="O765" i="30" a="1"/>
  <c r="O765" i="30" s="1"/>
  <c r="N765" i="30"/>
  <c r="M765" i="30"/>
  <c r="L765" i="30"/>
  <c r="I765" i="30"/>
  <c r="O764" i="30" a="1"/>
  <c r="O764" i="30" s="1"/>
  <c r="N764" i="30"/>
  <c r="M764" i="30"/>
  <c r="L764" i="30"/>
  <c r="I764" i="30"/>
  <c r="O763" i="30" a="1"/>
  <c r="O763" i="30" s="1"/>
  <c r="N763" i="30"/>
  <c r="M763" i="30"/>
  <c r="L763" i="30"/>
  <c r="I763" i="30"/>
  <c r="O762" i="30" a="1"/>
  <c r="O762" i="30" s="1"/>
  <c r="N762" i="30"/>
  <c r="M762" i="30"/>
  <c r="L762" i="30"/>
  <c r="I762" i="30"/>
  <c r="O761" i="30" a="1"/>
  <c r="O761" i="30" s="1"/>
  <c r="N761" i="30"/>
  <c r="M761" i="30"/>
  <c r="L761" i="30"/>
  <c r="I761" i="30"/>
  <c r="O760" i="30" a="1"/>
  <c r="O760" i="30" s="1"/>
  <c r="N760" i="30"/>
  <c r="M760" i="30"/>
  <c r="L760" i="30"/>
  <c r="I760" i="30"/>
  <c r="O759" i="30" a="1"/>
  <c r="O759" i="30" s="1"/>
  <c r="N759" i="30"/>
  <c r="M759" i="30"/>
  <c r="L759" i="30"/>
  <c r="I759" i="30"/>
  <c r="O758" i="30" a="1"/>
  <c r="O758" i="30" s="1"/>
  <c r="N758" i="30"/>
  <c r="M758" i="30"/>
  <c r="L758" i="30"/>
  <c r="I758" i="30"/>
  <c r="O757" i="30" a="1"/>
  <c r="O757" i="30" s="1"/>
  <c r="N757" i="30"/>
  <c r="M757" i="30"/>
  <c r="L757" i="30"/>
  <c r="I757" i="30"/>
  <c r="O756" i="30" a="1"/>
  <c r="O756" i="30" s="1"/>
  <c r="N756" i="30"/>
  <c r="M756" i="30"/>
  <c r="L756" i="30"/>
  <c r="I756" i="30"/>
  <c r="O755" i="30" a="1"/>
  <c r="O755" i="30" s="1"/>
  <c r="N755" i="30"/>
  <c r="M755" i="30"/>
  <c r="L755" i="30"/>
  <c r="I755" i="30"/>
  <c r="O754" i="30" a="1"/>
  <c r="O754" i="30" s="1"/>
  <c r="N754" i="30"/>
  <c r="M754" i="30"/>
  <c r="L754" i="30"/>
  <c r="I754" i="30"/>
  <c r="O753" i="30" a="1"/>
  <c r="O753" i="30" s="1"/>
  <c r="N753" i="30"/>
  <c r="M753" i="30"/>
  <c r="L753" i="30"/>
  <c r="I753" i="30"/>
  <c r="O752" i="30" a="1"/>
  <c r="O752" i="30" s="1"/>
  <c r="N752" i="30"/>
  <c r="M752" i="30"/>
  <c r="L752" i="30"/>
  <c r="I752" i="30"/>
  <c r="O751" i="30" a="1"/>
  <c r="O751" i="30" s="1"/>
  <c r="N751" i="30"/>
  <c r="M751" i="30"/>
  <c r="L751" i="30"/>
  <c r="I751" i="30"/>
  <c r="O750" i="30" a="1"/>
  <c r="O750" i="30" s="1"/>
  <c r="N750" i="30"/>
  <c r="M750" i="30"/>
  <c r="L750" i="30"/>
  <c r="I750" i="30"/>
  <c r="O749" i="30" a="1"/>
  <c r="O749" i="30" s="1"/>
  <c r="N749" i="30"/>
  <c r="M749" i="30"/>
  <c r="L749" i="30"/>
  <c r="I749" i="30"/>
  <c r="O748" i="30" a="1"/>
  <c r="O748" i="30" s="1"/>
  <c r="N748" i="30"/>
  <c r="M748" i="30"/>
  <c r="L748" i="30"/>
  <c r="I748" i="30"/>
  <c r="O747" i="30" a="1"/>
  <c r="O747" i="30" s="1"/>
  <c r="N747" i="30"/>
  <c r="M747" i="30"/>
  <c r="L747" i="30"/>
  <c r="I747" i="30"/>
  <c r="O746" i="30" a="1"/>
  <c r="O746" i="30" s="1"/>
  <c r="N746" i="30"/>
  <c r="M746" i="30"/>
  <c r="L746" i="30"/>
  <c r="I746" i="30"/>
  <c r="O745" i="30" a="1"/>
  <c r="O745" i="30" s="1"/>
  <c r="N745" i="30"/>
  <c r="M745" i="30"/>
  <c r="L745" i="30"/>
  <c r="I745" i="30"/>
  <c r="O744" i="30" a="1"/>
  <c r="O744" i="30" s="1"/>
  <c r="N744" i="30"/>
  <c r="M744" i="30"/>
  <c r="L744" i="30"/>
  <c r="I744" i="30"/>
  <c r="O743" i="30" a="1"/>
  <c r="O743" i="30" s="1"/>
  <c r="N743" i="30"/>
  <c r="M743" i="30"/>
  <c r="L743" i="30"/>
  <c r="I743" i="30"/>
  <c r="O742" i="30" a="1"/>
  <c r="O742" i="30" s="1"/>
  <c r="N742" i="30"/>
  <c r="M742" i="30"/>
  <c r="L742" i="30"/>
  <c r="I742" i="30"/>
  <c r="O741" i="30" a="1"/>
  <c r="O741" i="30" s="1"/>
  <c r="N741" i="30"/>
  <c r="M741" i="30"/>
  <c r="L741" i="30"/>
  <c r="I741" i="30"/>
  <c r="O740" i="30" a="1"/>
  <c r="O740" i="30" s="1"/>
  <c r="N740" i="30"/>
  <c r="M740" i="30"/>
  <c r="L740" i="30"/>
  <c r="I740" i="30"/>
  <c r="O739" i="30" a="1"/>
  <c r="O739" i="30" s="1"/>
  <c r="N739" i="30"/>
  <c r="M739" i="30"/>
  <c r="L739" i="30"/>
  <c r="I739" i="30"/>
  <c r="O738" i="30" a="1"/>
  <c r="O738" i="30" s="1"/>
  <c r="N738" i="30"/>
  <c r="M738" i="30"/>
  <c r="L738" i="30"/>
  <c r="I738" i="30"/>
  <c r="O737" i="30" a="1"/>
  <c r="O737" i="30" s="1"/>
  <c r="N737" i="30"/>
  <c r="M737" i="30"/>
  <c r="L737" i="30"/>
  <c r="I737" i="30"/>
  <c r="O736" i="30" a="1"/>
  <c r="O736" i="30" s="1"/>
  <c r="N736" i="30"/>
  <c r="M736" i="30"/>
  <c r="L736" i="30"/>
  <c r="I736" i="30"/>
  <c r="O735" i="30" a="1"/>
  <c r="O735" i="30" s="1"/>
  <c r="N735" i="30"/>
  <c r="M735" i="30"/>
  <c r="L735" i="30"/>
  <c r="I735" i="30"/>
  <c r="O734" i="30" a="1"/>
  <c r="O734" i="30" s="1"/>
  <c r="N734" i="30"/>
  <c r="M734" i="30"/>
  <c r="L734" i="30"/>
  <c r="I734" i="30"/>
  <c r="O733" i="30" a="1"/>
  <c r="O733" i="30" s="1"/>
  <c r="N733" i="30"/>
  <c r="M733" i="30"/>
  <c r="L733" i="30"/>
  <c r="I733" i="30"/>
  <c r="O732" i="30" a="1"/>
  <c r="O732" i="30" s="1"/>
  <c r="N732" i="30"/>
  <c r="M732" i="30"/>
  <c r="L732" i="30"/>
  <c r="I732" i="30"/>
  <c r="O731" i="30" a="1"/>
  <c r="O731" i="30" s="1"/>
  <c r="N731" i="30"/>
  <c r="M731" i="30"/>
  <c r="L731" i="30"/>
  <c r="I731" i="30"/>
  <c r="O730" i="30" a="1"/>
  <c r="O730" i="30" s="1"/>
  <c r="N730" i="30"/>
  <c r="M730" i="30"/>
  <c r="L730" i="30"/>
  <c r="I730" i="30"/>
  <c r="O729" i="30" a="1"/>
  <c r="O729" i="30" s="1"/>
  <c r="N729" i="30"/>
  <c r="M729" i="30"/>
  <c r="L729" i="30"/>
  <c r="I729" i="30"/>
  <c r="O728" i="30" a="1"/>
  <c r="O728" i="30" s="1"/>
  <c r="N728" i="30"/>
  <c r="M728" i="30"/>
  <c r="L728" i="30"/>
  <c r="I728" i="30"/>
  <c r="O727" i="30" a="1"/>
  <c r="O727" i="30" s="1"/>
  <c r="N727" i="30"/>
  <c r="M727" i="30"/>
  <c r="L727" i="30"/>
  <c r="I727" i="30"/>
  <c r="O726" i="30" a="1"/>
  <c r="O726" i="30" s="1"/>
  <c r="N726" i="30"/>
  <c r="M726" i="30"/>
  <c r="L726" i="30"/>
  <c r="I726" i="30"/>
  <c r="O725" i="30" a="1"/>
  <c r="O725" i="30" s="1"/>
  <c r="N725" i="30"/>
  <c r="M725" i="30"/>
  <c r="L725" i="30"/>
  <c r="I725" i="30"/>
  <c r="O724" i="30" a="1"/>
  <c r="O724" i="30" s="1"/>
  <c r="N724" i="30"/>
  <c r="M724" i="30"/>
  <c r="L724" i="30"/>
  <c r="I724" i="30"/>
  <c r="O723" i="30" a="1"/>
  <c r="O723" i="30" s="1"/>
  <c r="N723" i="30"/>
  <c r="M723" i="30"/>
  <c r="L723" i="30"/>
  <c r="I723" i="30"/>
  <c r="O722" i="30" a="1"/>
  <c r="O722" i="30" s="1"/>
  <c r="N722" i="30"/>
  <c r="M722" i="30"/>
  <c r="L722" i="30"/>
  <c r="I722" i="30"/>
  <c r="O721" i="30" a="1"/>
  <c r="O721" i="30" s="1"/>
  <c r="N721" i="30"/>
  <c r="M721" i="30"/>
  <c r="L721" i="30"/>
  <c r="I721" i="30"/>
  <c r="O720" i="30" a="1"/>
  <c r="O720" i="30" s="1"/>
  <c r="N720" i="30"/>
  <c r="M720" i="30"/>
  <c r="L720" i="30"/>
  <c r="I720" i="30"/>
  <c r="O719" i="30" a="1"/>
  <c r="O719" i="30" s="1"/>
  <c r="N719" i="30"/>
  <c r="M719" i="30"/>
  <c r="L719" i="30"/>
  <c r="I719" i="30"/>
  <c r="O718" i="30" a="1"/>
  <c r="O718" i="30" s="1"/>
  <c r="N718" i="30"/>
  <c r="M718" i="30"/>
  <c r="L718" i="30"/>
  <c r="I718" i="30"/>
  <c r="O717" i="30" a="1"/>
  <c r="O717" i="30" s="1"/>
  <c r="N717" i="30"/>
  <c r="M717" i="30"/>
  <c r="L717" i="30"/>
  <c r="I717" i="30"/>
  <c r="O716" i="30" a="1"/>
  <c r="O716" i="30" s="1"/>
  <c r="N716" i="30"/>
  <c r="M716" i="30"/>
  <c r="L716" i="30"/>
  <c r="I716" i="30"/>
  <c r="O715" i="30" a="1"/>
  <c r="O715" i="30" s="1"/>
  <c r="N715" i="30"/>
  <c r="M715" i="30"/>
  <c r="L715" i="30"/>
  <c r="I715" i="30"/>
  <c r="O714" i="30" a="1"/>
  <c r="O714" i="30" s="1"/>
  <c r="N714" i="30"/>
  <c r="M714" i="30"/>
  <c r="L714" i="30"/>
  <c r="I714" i="30"/>
  <c r="O713" i="30" a="1"/>
  <c r="O713" i="30" s="1"/>
  <c r="N713" i="30"/>
  <c r="M713" i="30"/>
  <c r="L713" i="30"/>
  <c r="I713" i="30"/>
  <c r="O712" i="30" a="1"/>
  <c r="O712" i="30" s="1"/>
  <c r="N712" i="30"/>
  <c r="M712" i="30"/>
  <c r="L712" i="30"/>
  <c r="I712" i="30"/>
  <c r="O711" i="30" a="1"/>
  <c r="O711" i="30" s="1"/>
  <c r="N711" i="30"/>
  <c r="M711" i="30"/>
  <c r="L711" i="30"/>
  <c r="I711" i="30"/>
  <c r="O710" i="30" a="1"/>
  <c r="O710" i="30" s="1"/>
  <c r="N710" i="30"/>
  <c r="M710" i="30"/>
  <c r="L710" i="30"/>
  <c r="I710" i="30"/>
  <c r="O709" i="30" a="1"/>
  <c r="O709" i="30" s="1"/>
  <c r="N709" i="30"/>
  <c r="M709" i="30"/>
  <c r="L709" i="30"/>
  <c r="I709" i="30"/>
  <c r="O708" i="30" a="1"/>
  <c r="O708" i="30" s="1"/>
  <c r="N708" i="30"/>
  <c r="M708" i="30"/>
  <c r="L708" i="30"/>
  <c r="I708" i="30"/>
  <c r="O707" i="30" a="1"/>
  <c r="O707" i="30" s="1"/>
  <c r="N707" i="30"/>
  <c r="M707" i="30"/>
  <c r="L707" i="30"/>
  <c r="I707" i="30"/>
  <c r="O706" i="30" a="1"/>
  <c r="O706" i="30" s="1"/>
  <c r="N706" i="30"/>
  <c r="M706" i="30"/>
  <c r="L706" i="30"/>
  <c r="I706" i="30"/>
  <c r="O705" i="30" a="1"/>
  <c r="O705" i="30" s="1"/>
  <c r="N705" i="30"/>
  <c r="M705" i="30"/>
  <c r="L705" i="30"/>
  <c r="I705" i="30"/>
  <c r="O704" i="30" a="1"/>
  <c r="O704" i="30" s="1"/>
  <c r="N704" i="30"/>
  <c r="M704" i="30"/>
  <c r="L704" i="30"/>
  <c r="I704" i="30"/>
  <c r="O703" i="30" a="1"/>
  <c r="O703" i="30" s="1"/>
  <c r="N703" i="30"/>
  <c r="M703" i="30"/>
  <c r="L703" i="30"/>
  <c r="I703" i="30"/>
  <c r="O702" i="30" a="1"/>
  <c r="O702" i="30" s="1"/>
  <c r="N702" i="30"/>
  <c r="M702" i="30"/>
  <c r="L702" i="30"/>
  <c r="I702" i="30"/>
  <c r="O701" i="30" a="1"/>
  <c r="O701" i="30" s="1"/>
  <c r="N701" i="30"/>
  <c r="M701" i="30"/>
  <c r="L701" i="30"/>
  <c r="I701" i="30"/>
  <c r="O700" i="30" a="1"/>
  <c r="O700" i="30" s="1"/>
  <c r="N700" i="30"/>
  <c r="M700" i="30"/>
  <c r="L700" i="30"/>
  <c r="I700" i="30"/>
  <c r="O699" i="30" a="1"/>
  <c r="O699" i="30" s="1"/>
  <c r="N699" i="30"/>
  <c r="M699" i="30"/>
  <c r="L699" i="30"/>
  <c r="I699" i="30"/>
  <c r="O698" i="30" a="1"/>
  <c r="O698" i="30" s="1"/>
  <c r="N698" i="30"/>
  <c r="M698" i="30"/>
  <c r="L698" i="30"/>
  <c r="I698" i="30"/>
  <c r="O697" i="30" a="1"/>
  <c r="O697" i="30" s="1"/>
  <c r="N697" i="30"/>
  <c r="M697" i="30"/>
  <c r="L697" i="30"/>
  <c r="I697" i="30"/>
  <c r="O696" i="30" a="1"/>
  <c r="O696" i="30" s="1"/>
  <c r="N696" i="30"/>
  <c r="M696" i="30"/>
  <c r="L696" i="30"/>
  <c r="I696" i="30"/>
  <c r="O695" i="30" a="1"/>
  <c r="O695" i="30" s="1"/>
  <c r="N695" i="30"/>
  <c r="M695" i="30"/>
  <c r="L695" i="30"/>
  <c r="I695" i="30"/>
  <c r="O694" i="30" a="1"/>
  <c r="O694" i="30" s="1"/>
  <c r="N694" i="30"/>
  <c r="M694" i="30"/>
  <c r="L694" i="30"/>
  <c r="I694" i="30"/>
  <c r="O693" i="30" a="1"/>
  <c r="O693" i="30" s="1"/>
  <c r="N693" i="30"/>
  <c r="M693" i="30"/>
  <c r="L693" i="30"/>
  <c r="I693" i="30"/>
  <c r="O692" i="30" a="1"/>
  <c r="O692" i="30" s="1"/>
  <c r="N692" i="30"/>
  <c r="M692" i="30"/>
  <c r="L692" i="30"/>
  <c r="I692" i="30"/>
  <c r="O691" i="30" a="1"/>
  <c r="O691" i="30" s="1"/>
  <c r="N691" i="30"/>
  <c r="M691" i="30"/>
  <c r="L691" i="30"/>
  <c r="I691" i="30"/>
  <c r="O690" i="30" a="1"/>
  <c r="O690" i="30" s="1"/>
  <c r="N690" i="30"/>
  <c r="M690" i="30"/>
  <c r="L690" i="30"/>
  <c r="I690" i="30"/>
  <c r="O689" i="30" a="1"/>
  <c r="O689" i="30" s="1"/>
  <c r="N689" i="30"/>
  <c r="M689" i="30"/>
  <c r="L689" i="30"/>
  <c r="I689" i="30"/>
  <c r="O688" i="30" a="1"/>
  <c r="O688" i="30" s="1"/>
  <c r="N688" i="30"/>
  <c r="M688" i="30"/>
  <c r="L688" i="30"/>
  <c r="I688" i="30"/>
  <c r="O687" i="30" a="1"/>
  <c r="O687" i="30" s="1"/>
  <c r="N687" i="30"/>
  <c r="M687" i="30"/>
  <c r="L687" i="30"/>
  <c r="I687" i="30"/>
  <c r="O686" i="30" a="1"/>
  <c r="O686" i="30" s="1"/>
  <c r="N686" i="30"/>
  <c r="M686" i="30"/>
  <c r="L686" i="30"/>
  <c r="I686" i="30"/>
  <c r="O685" i="30" a="1"/>
  <c r="O685" i="30" s="1"/>
  <c r="N685" i="30"/>
  <c r="M685" i="30"/>
  <c r="L685" i="30"/>
  <c r="I685" i="30"/>
  <c r="O684" i="30" a="1"/>
  <c r="O684" i="30" s="1"/>
  <c r="N684" i="30"/>
  <c r="M684" i="30"/>
  <c r="L684" i="30"/>
  <c r="I684" i="30"/>
  <c r="O683" i="30" a="1"/>
  <c r="O683" i="30" s="1"/>
  <c r="N683" i="30"/>
  <c r="M683" i="30"/>
  <c r="L683" i="30"/>
  <c r="I683" i="30"/>
  <c r="O682" i="30" a="1"/>
  <c r="O682" i="30" s="1"/>
  <c r="N682" i="30"/>
  <c r="M682" i="30"/>
  <c r="L682" i="30"/>
  <c r="I682" i="30"/>
  <c r="O681" i="30" a="1"/>
  <c r="O681" i="30" s="1"/>
  <c r="N681" i="30"/>
  <c r="M681" i="30"/>
  <c r="L681" i="30"/>
  <c r="I681" i="30"/>
  <c r="O680" i="30" a="1"/>
  <c r="O680" i="30" s="1"/>
  <c r="N680" i="30"/>
  <c r="M680" i="30"/>
  <c r="L680" i="30"/>
  <c r="I680" i="30"/>
  <c r="O679" i="30" a="1"/>
  <c r="O679" i="30" s="1"/>
  <c r="N679" i="30"/>
  <c r="M679" i="30"/>
  <c r="L679" i="30"/>
  <c r="I679" i="30"/>
  <c r="O678" i="30" a="1"/>
  <c r="O678" i="30" s="1"/>
  <c r="N678" i="30"/>
  <c r="M678" i="30"/>
  <c r="L678" i="30"/>
  <c r="I678" i="30"/>
  <c r="O677" i="30" a="1"/>
  <c r="O677" i="30" s="1"/>
  <c r="N677" i="30"/>
  <c r="M677" i="30"/>
  <c r="L677" i="30"/>
  <c r="I677" i="30"/>
  <c r="O676" i="30" a="1"/>
  <c r="O676" i="30" s="1"/>
  <c r="N676" i="30"/>
  <c r="M676" i="30"/>
  <c r="L676" i="30"/>
  <c r="I676" i="30"/>
  <c r="O675" i="30" a="1"/>
  <c r="O675" i="30" s="1"/>
  <c r="N675" i="30"/>
  <c r="M675" i="30"/>
  <c r="L675" i="30"/>
  <c r="I675" i="30"/>
  <c r="O674" i="30" a="1"/>
  <c r="O674" i="30" s="1"/>
  <c r="N674" i="30"/>
  <c r="M674" i="30"/>
  <c r="L674" i="30"/>
  <c r="I674" i="30"/>
  <c r="O673" i="30" a="1"/>
  <c r="O673" i="30" s="1"/>
  <c r="N673" i="30"/>
  <c r="M673" i="30"/>
  <c r="L673" i="30"/>
  <c r="I673" i="30"/>
  <c r="O672" i="30" a="1"/>
  <c r="O672" i="30" s="1"/>
  <c r="N672" i="30"/>
  <c r="M672" i="30"/>
  <c r="L672" i="30"/>
  <c r="I672" i="30"/>
  <c r="O671" i="30" a="1"/>
  <c r="O671" i="30" s="1"/>
  <c r="N671" i="30"/>
  <c r="M671" i="30"/>
  <c r="L671" i="30"/>
  <c r="I671" i="30"/>
  <c r="O670" i="30" a="1"/>
  <c r="O670" i="30" s="1"/>
  <c r="N670" i="30"/>
  <c r="M670" i="30"/>
  <c r="L670" i="30"/>
  <c r="I670" i="30"/>
  <c r="O669" i="30" a="1"/>
  <c r="O669" i="30" s="1"/>
  <c r="N669" i="30"/>
  <c r="M669" i="30"/>
  <c r="L669" i="30"/>
  <c r="I669" i="30"/>
  <c r="O668" i="30" a="1"/>
  <c r="O668" i="30" s="1"/>
  <c r="N668" i="30"/>
  <c r="M668" i="30"/>
  <c r="L668" i="30"/>
  <c r="I668" i="30"/>
  <c r="O667" i="30" a="1"/>
  <c r="O667" i="30" s="1"/>
  <c r="N667" i="30"/>
  <c r="M667" i="30"/>
  <c r="L667" i="30"/>
  <c r="I667" i="30"/>
  <c r="O666" i="30" a="1"/>
  <c r="O666" i="30" s="1"/>
  <c r="N666" i="30"/>
  <c r="M666" i="30"/>
  <c r="L666" i="30"/>
  <c r="I666" i="30"/>
  <c r="O665" i="30" a="1"/>
  <c r="O665" i="30" s="1"/>
  <c r="N665" i="30"/>
  <c r="M665" i="30"/>
  <c r="L665" i="30"/>
  <c r="I665" i="30"/>
  <c r="O664" i="30" a="1"/>
  <c r="O664" i="30" s="1"/>
  <c r="N664" i="30"/>
  <c r="M664" i="30"/>
  <c r="L664" i="30"/>
  <c r="I664" i="30"/>
  <c r="O663" i="30" a="1"/>
  <c r="O663" i="30" s="1"/>
  <c r="N663" i="30"/>
  <c r="M663" i="30"/>
  <c r="L663" i="30"/>
  <c r="I663" i="30"/>
  <c r="O662" i="30" a="1"/>
  <c r="O662" i="30" s="1"/>
  <c r="N662" i="30"/>
  <c r="M662" i="30"/>
  <c r="L662" i="30"/>
  <c r="I662" i="30"/>
  <c r="O661" i="30" a="1"/>
  <c r="O661" i="30" s="1"/>
  <c r="N661" i="30"/>
  <c r="M661" i="30"/>
  <c r="L661" i="30"/>
  <c r="I661" i="30"/>
  <c r="O660" i="30" a="1"/>
  <c r="O660" i="30" s="1"/>
  <c r="N660" i="30"/>
  <c r="M660" i="30"/>
  <c r="L660" i="30"/>
  <c r="I660" i="30"/>
  <c r="O659" i="30" a="1"/>
  <c r="O659" i="30" s="1"/>
  <c r="N659" i="30"/>
  <c r="M659" i="30"/>
  <c r="L659" i="30"/>
  <c r="I659" i="30"/>
  <c r="O658" i="30" a="1"/>
  <c r="O658" i="30" s="1"/>
  <c r="N658" i="30"/>
  <c r="M658" i="30"/>
  <c r="L658" i="30"/>
  <c r="I658" i="30"/>
  <c r="O657" i="30" a="1"/>
  <c r="O657" i="30" s="1"/>
  <c r="N657" i="30"/>
  <c r="M657" i="30"/>
  <c r="L657" i="30"/>
  <c r="I657" i="30"/>
  <c r="O656" i="30" a="1"/>
  <c r="O656" i="30" s="1"/>
  <c r="N656" i="30"/>
  <c r="M656" i="30"/>
  <c r="L656" i="30"/>
  <c r="I656" i="30"/>
  <c r="O655" i="30" a="1"/>
  <c r="O655" i="30" s="1"/>
  <c r="N655" i="30"/>
  <c r="M655" i="30"/>
  <c r="L655" i="30"/>
  <c r="I655" i="30"/>
  <c r="O654" i="30" a="1"/>
  <c r="O654" i="30" s="1"/>
  <c r="N654" i="30"/>
  <c r="M654" i="30"/>
  <c r="L654" i="30"/>
  <c r="I654" i="30"/>
  <c r="O653" i="30" a="1"/>
  <c r="O653" i="30" s="1"/>
  <c r="N653" i="30"/>
  <c r="M653" i="30"/>
  <c r="L653" i="30"/>
  <c r="I653" i="30"/>
  <c r="O652" i="30" a="1"/>
  <c r="O652" i="30" s="1"/>
  <c r="N652" i="30"/>
  <c r="M652" i="30"/>
  <c r="L652" i="30"/>
  <c r="I652" i="30"/>
  <c r="O651" i="30" a="1"/>
  <c r="O651" i="30" s="1"/>
  <c r="N651" i="30"/>
  <c r="M651" i="30"/>
  <c r="L651" i="30"/>
  <c r="I651" i="30"/>
  <c r="O650" i="30" a="1"/>
  <c r="O650" i="30" s="1"/>
  <c r="N650" i="30"/>
  <c r="M650" i="30"/>
  <c r="L650" i="30"/>
  <c r="I650" i="30"/>
  <c r="O649" i="30" a="1"/>
  <c r="O649" i="30" s="1"/>
  <c r="N649" i="30"/>
  <c r="M649" i="30"/>
  <c r="L649" i="30"/>
  <c r="I649" i="30"/>
  <c r="O648" i="30" a="1"/>
  <c r="O648" i="30" s="1"/>
  <c r="N648" i="30"/>
  <c r="M648" i="30"/>
  <c r="L648" i="30"/>
  <c r="I648" i="30"/>
  <c r="O647" i="30" a="1"/>
  <c r="O647" i="30" s="1"/>
  <c r="N647" i="30"/>
  <c r="M647" i="30"/>
  <c r="L647" i="30"/>
  <c r="I647" i="30"/>
  <c r="O646" i="30" a="1"/>
  <c r="O646" i="30" s="1"/>
  <c r="N646" i="30"/>
  <c r="M646" i="30"/>
  <c r="L646" i="30"/>
  <c r="I646" i="30"/>
  <c r="O645" i="30" a="1"/>
  <c r="O645" i="30" s="1"/>
  <c r="N645" i="30"/>
  <c r="M645" i="30"/>
  <c r="L645" i="30"/>
  <c r="I645" i="30"/>
  <c r="O644" i="30" a="1"/>
  <c r="O644" i="30" s="1"/>
  <c r="N644" i="30"/>
  <c r="M644" i="30"/>
  <c r="L644" i="30"/>
  <c r="I644" i="30"/>
  <c r="O643" i="30" a="1"/>
  <c r="O643" i="30" s="1"/>
  <c r="N643" i="30"/>
  <c r="M643" i="30"/>
  <c r="L643" i="30"/>
  <c r="I643" i="30"/>
  <c r="O642" i="30" a="1"/>
  <c r="O642" i="30" s="1"/>
  <c r="N642" i="30"/>
  <c r="M642" i="30"/>
  <c r="L642" i="30"/>
  <c r="I642" i="30"/>
  <c r="O641" i="30" a="1"/>
  <c r="O641" i="30" s="1"/>
  <c r="N641" i="30"/>
  <c r="M641" i="30"/>
  <c r="L641" i="30"/>
  <c r="I641" i="30"/>
  <c r="O640" i="30" a="1"/>
  <c r="O640" i="30" s="1"/>
  <c r="N640" i="30"/>
  <c r="M640" i="30"/>
  <c r="L640" i="30"/>
  <c r="I640" i="30"/>
  <c r="O639" i="30" a="1"/>
  <c r="O639" i="30" s="1"/>
  <c r="N639" i="30"/>
  <c r="M639" i="30"/>
  <c r="L639" i="30"/>
  <c r="I639" i="30"/>
  <c r="O638" i="30" a="1"/>
  <c r="O638" i="30" s="1"/>
  <c r="N638" i="30"/>
  <c r="M638" i="30"/>
  <c r="L638" i="30"/>
  <c r="I638" i="30"/>
  <c r="O637" i="30" a="1"/>
  <c r="O637" i="30" s="1"/>
  <c r="N637" i="30"/>
  <c r="M637" i="30"/>
  <c r="L637" i="30"/>
  <c r="I637" i="30"/>
  <c r="O636" i="30" a="1"/>
  <c r="O636" i="30" s="1"/>
  <c r="N636" i="30"/>
  <c r="M636" i="30"/>
  <c r="L636" i="30"/>
  <c r="I636" i="30"/>
  <c r="O635" i="30" a="1"/>
  <c r="O635" i="30" s="1"/>
  <c r="N635" i="30"/>
  <c r="M635" i="30"/>
  <c r="L635" i="30"/>
  <c r="I635" i="30"/>
  <c r="O634" i="30" a="1"/>
  <c r="O634" i="30" s="1"/>
  <c r="N634" i="30"/>
  <c r="M634" i="30"/>
  <c r="L634" i="30"/>
  <c r="I634" i="30"/>
  <c r="O633" i="30" a="1"/>
  <c r="O633" i="30" s="1"/>
  <c r="N633" i="30"/>
  <c r="M633" i="30"/>
  <c r="L633" i="30"/>
  <c r="I633" i="30"/>
  <c r="O632" i="30" a="1"/>
  <c r="O632" i="30" s="1"/>
  <c r="N632" i="30"/>
  <c r="M632" i="30"/>
  <c r="L632" i="30"/>
  <c r="I632" i="30"/>
  <c r="O631" i="30" a="1"/>
  <c r="O631" i="30" s="1"/>
  <c r="N631" i="30"/>
  <c r="M631" i="30"/>
  <c r="L631" i="30"/>
  <c r="I631" i="30"/>
  <c r="O630" i="30" a="1"/>
  <c r="O630" i="30" s="1"/>
  <c r="N630" i="30"/>
  <c r="M630" i="30"/>
  <c r="L630" i="30"/>
  <c r="I630" i="30"/>
  <c r="O629" i="30" a="1"/>
  <c r="O629" i="30" s="1"/>
  <c r="N629" i="30"/>
  <c r="M629" i="30"/>
  <c r="L629" i="30"/>
  <c r="I629" i="30"/>
  <c r="O628" i="30" a="1"/>
  <c r="O628" i="30" s="1"/>
  <c r="N628" i="30"/>
  <c r="M628" i="30"/>
  <c r="L628" i="30"/>
  <c r="I628" i="30"/>
  <c r="O627" i="30" a="1"/>
  <c r="O627" i="30" s="1"/>
  <c r="N627" i="30"/>
  <c r="M627" i="30"/>
  <c r="L627" i="30"/>
  <c r="I627" i="30"/>
  <c r="O626" i="30" a="1"/>
  <c r="O626" i="30" s="1"/>
  <c r="N626" i="30"/>
  <c r="M626" i="30"/>
  <c r="L626" i="30"/>
  <c r="I626" i="30"/>
  <c r="O625" i="30" a="1"/>
  <c r="O625" i="30" s="1"/>
  <c r="N625" i="30"/>
  <c r="M625" i="30"/>
  <c r="L625" i="30"/>
  <c r="I625" i="30"/>
  <c r="O624" i="30" a="1"/>
  <c r="O624" i="30" s="1"/>
  <c r="N624" i="30"/>
  <c r="M624" i="30"/>
  <c r="L624" i="30"/>
  <c r="I624" i="30"/>
  <c r="O623" i="30" a="1"/>
  <c r="O623" i="30" s="1"/>
  <c r="N623" i="30"/>
  <c r="M623" i="30"/>
  <c r="L623" i="30"/>
  <c r="I623" i="30"/>
  <c r="O622" i="30" a="1"/>
  <c r="O622" i="30" s="1"/>
  <c r="N622" i="30"/>
  <c r="M622" i="30"/>
  <c r="L622" i="30"/>
  <c r="I622" i="30"/>
  <c r="O621" i="30" a="1"/>
  <c r="O621" i="30" s="1"/>
  <c r="N621" i="30"/>
  <c r="M621" i="30"/>
  <c r="L621" i="30"/>
  <c r="I621" i="30"/>
  <c r="O620" i="30" a="1"/>
  <c r="O620" i="30" s="1"/>
  <c r="N620" i="30"/>
  <c r="M620" i="30"/>
  <c r="L620" i="30"/>
  <c r="I620" i="30"/>
  <c r="O619" i="30" a="1"/>
  <c r="O619" i="30" s="1"/>
  <c r="N619" i="30"/>
  <c r="M619" i="30"/>
  <c r="L619" i="30"/>
  <c r="I619" i="30"/>
  <c r="O618" i="30" a="1"/>
  <c r="O618" i="30" s="1"/>
  <c r="N618" i="30"/>
  <c r="M618" i="30"/>
  <c r="L618" i="30"/>
  <c r="I618" i="30"/>
  <c r="O617" i="30" a="1"/>
  <c r="O617" i="30" s="1"/>
  <c r="N617" i="30"/>
  <c r="M617" i="30"/>
  <c r="L617" i="30"/>
  <c r="I617" i="30"/>
  <c r="O616" i="30" a="1"/>
  <c r="O616" i="30" s="1"/>
  <c r="N616" i="30"/>
  <c r="M616" i="30"/>
  <c r="L616" i="30"/>
  <c r="I616" i="30"/>
  <c r="O615" i="30" a="1"/>
  <c r="O615" i="30" s="1"/>
  <c r="N615" i="30"/>
  <c r="M615" i="30"/>
  <c r="L615" i="30"/>
  <c r="I615" i="30"/>
  <c r="O614" i="30" a="1"/>
  <c r="O614" i="30" s="1"/>
  <c r="N614" i="30"/>
  <c r="M614" i="30"/>
  <c r="L614" i="30"/>
  <c r="I614" i="30"/>
  <c r="O613" i="30" a="1"/>
  <c r="O613" i="30" s="1"/>
  <c r="N613" i="30"/>
  <c r="M613" i="30"/>
  <c r="L613" i="30"/>
  <c r="I613" i="30"/>
  <c r="O612" i="30" a="1"/>
  <c r="O612" i="30" s="1"/>
  <c r="N612" i="30"/>
  <c r="M612" i="30"/>
  <c r="L612" i="30"/>
  <c r="I612" i="30"/>
  <c r="O611" i="30" a="1"/>
  <c r="O611" i="30" s="1"/>
  <c r="N611" i="30"/>
  <c r="M611" i="30"/>
  <c r="L611" i="30"/>
  <c r="I611" i="30"/>
  <c r="O610" i="30" a="1"/>
  <c r="O610" i="30" s="1"/>
  <c r="N610" i="30"/>
  <c r="M610" i="30"/>
  <c r="L610" i="30"/>
  <c r="I610" i="30"/>
  <c r="O609" i="30" a="1"/>
  <c r="O609" i="30" s="1"/>
  <c r="N609" i="30"/>
  <c r="M609" i="30"/>
  <c r="L609" i="30"/>
  <c r="I609" i="30"/>
  <c r="O608" i="30" a="1"/>
  <c r="O608" i="30" s="1"/>
  <c r="N608" i="30"/>
  <c r="M608" i="30"/>
  <c r="L608" i="30"/>
  <c r="I608" i="30"/>
  <c r="O607" i="30" a="1"/>
  <c r="O607" i="30" s="1"/>
  <c r="N607" i="30"/>
  <c r="M607" i="30"/>
  <c r="L607" i="30"/>
  <c r="I607" i="30"/>
  <c r="O606" i="30" a="1"/>
  <c r="O606" i="30" s="1"/>
  <c r="N606" i="30"/>
  <c r="M606" i="30"/>
  <c r="L606" i="30"/>
  <c r="I606" i="30"/>
  <c r="O605" i="30" a="1"/>
  <c r="O605" i="30" s="1"/>
  <c r="N605" i="30"/>
  <c r="M605" i="30"/>
  <c r="L605" i="30"/>
  <c r="I605" i="30"/>
  <c r="O604" i="30" a="1"/>
  <c r="O604" i="30" s="1"/>
  <c r="N604" i="30"/>
  <c r="M604" i="30"/>
  <c r="L604" i="30"/>
  <c r="I604" i="30"/>
  <c r="O603" i="30" a="1"/>
  <c r="O603" i="30" s="1"/>
  <c r="N603" i="30"/>
  <c r="M603" i="30"/>
  <c r="L603" i="30"/>
  <c r="I603" i="30"/>
  <c r="O602" i="30" a="1"/>
  <c r="O602" i="30" s="1"/>
  <c r="N602" i="30"/>
  <c r="M602" i="30"/>
  <c r="L602" i="30"/>
  <c r="I602" i="30"/>
  <c r="O601" i="30" a="1"/>
  <c r="O601" i="30" s="1"/>
  <c r="N601" i="30"/>
  <c r="M601" i="30"/>
  <c r="L601" i="30"/>
  <c r="I601" i="30"/>
  <c r="O600" i="30" a="1"/>
  <c r="O600" i="30" s="1"/>
  <c r="N600" i="30"/>
  <c r="M600" i="30"/>
  <c r="L600" i="30"/>
  <c r="I600" i="30"/>
  <c r="O599" i="30" a="1"/>
  <c r="O599" i="30" s="1"/>
  <c r="N599" i="30"/>
  <c r="M599" i="30"/>
  <c r="L599" i="30"/>
  <c r="I599" i="30"/>
  <c r="O598" i="30" a="1"/>
  <c r="O598" i="30" s="1"/>
  <c r="N598" i="30"/>
  <c r="M598" i="30"/>
  <c r="L598" i="30"/>
  <c r="I598" i="30"/>
  <c r="O597" i="30" a="1"/>
  <c r="O597" i="30" s="1"/>
  <c r="N597" i="30"/>
  <c r="M597" i="30"/>
  <c r="L597" i="30"/>
  <c r="I597" i="30"/>
  <c r="O596" i="30" a="1"/>
  <c r="O596" i="30" s="1"/>
  <c r="N596" i="30"/>
  <c r="M596" i="30"/>
  <c r="L596" i="30"/>
  <c r="I596" i="30"/>
  <c r="O595" i="30" a="1"/>
  <c r="O595" i="30" s="1"/>
  <c r="N595" i="30"/>
  <c r="M595" i="30"/>
  <c r="L595" i="30"/>
  <c r="I595" i="30"/>
  <c r="O594" i="30" a="1"/>
  <c r="O594" i="30" s="1"/>
  <c r="N594" i="30"/>
  <c r="M594" i="30"/>
  <c r="L594" i="30"/>
  <c r="I594" i="30"/>
  <c r="O593" i="30" a="1"/>
  <c r="O593" i="30" s="1"/>
  <c r="N593" i="30"/>
  <c r="M593" i="30"/>
  <c r="L593" i="30"/>
  <c r="I593" i="30"/>
  <c r="O592" i="30" a="1"/>
  <c r="O592" i="30" s="1"/>
  <c r="N592" i="30"/>
  <c r="M592" i="30"/>
  <c r="L592" i="30"/>
  <c r="I592" i="30"/>
  <c r="O591" i="30" a="1"/>
  <c r="O591" i="30" s="1"/>
  <c r="N591" i="30"/>
  <c r="M591" i="30"/>
  <c r="L591" i="30"/>
  <c r="I591" i="30"/>
  <c r="O590" i="30" a="1"/>
  <c r="O590" i="30" s="1"/>
  <c r="N590" i="30"/>
  <c r="M590" i="30"/>
  <c r="L590" i="30"/>
  <c r="I590" i="30"/>
  <c r="O589" i="30" a="1"/>
  <c r="O589" i="30" s="1"/>
  <c r="N589" i="30"/>
  <c r="M589" i="30"/>
  <c r="L589" i="30"/>
  <c r="I589" i="30"/>
  <c r="O588" i="30" a="1"/>
  <c r="O588" i="30" s="1"/>
  <c r="N588" i="30"/>
  <c r="M588" i="30"/>
  <c r="L588" i="30"/>
  <c r="I588" i="30"/>
  <c r="O587" i="30" a="1"/>
  <c r="O587" i="30" s="1"/>
  <c r="N587" i="30"/>
  <c r="M587" i="30"/>
  <c r="L587" i="30"/>
  <c r="I587" i="30"/>
  <c r="O586" i="30" a="1"/>
  <c r="O586" i="30" s="1"/>
  <c r="N586" i="30"/>
  <c r="M586" i="30"/>
  <c r="L586" i="30"/>
  <c r="I586" i="30"/>
  <c r="O585" i="30" a="1"/>
  <c r="O585" i="30" s="1"/>
  <c r="N585" i="30"/>
  <c r="M585" i="30"/>
  <c r="L585" i="30"/>
  <c r="I585" i="30"/>
  <c r="O584" i="30" a="1"/>
  <c r="O584" i="30" s="1"/>
  <c r="N584" i="30"/>
  <c r="M584" i="30"/>
  <c r="L584" i="30"/>
  <c r="I584" i="30"/>
  <c r="O583" i="30" a="1"/>
  <c r="O583" i="30" s="1"/>
  <c r="N583" i="30"/>
  <c r="M583" i="30"/>
  <c r="L583" i="30"/>
  <c r="I583" i="30"/>
  <c r="O582" i="30" a="1"/>
  <c r="O582" i="30" s="1"/>
  <c r="N582" i="30"/>
  <c r="M582" i="30"/>
  <c r="L582" i="30"/>
  <c r="I582" i="30"/>
  <c r="O581" i="30" a="1"/>
  <c r="O581" i="30" s="1"/>
  <c r="N581" i="30"/>
  <c r="M581" i="30"/>
  <c r="L581" i="30"/>
  <c r="I581" i="30"/>
  <c r="O580" i="30" a="1"/>
  <c r="O580" i="30" s="1"/>
  <c r="N580" i="30"/>
  <c r="M580" i="30"/>
  <c r="L580" i="30"/>
  <c r="I580" i="30"/>
  <c r="O579" i="30" a="1"/>
  <c r="O579" i="30" s="1"/>
  <c r="N579" i="30"/>
  <c r="M579" i="30"/>
  <c r="L579" i="30"/>
  <c r="I579" i="30"/>
  <c r="O578" i="30" a="1"/>
  <c r="O578" i="30" s="1"/>
  <c r="N578" i="30"/>
  <c r="M578" i="30"/>
  <c r="L578" i="30"/>
  <c r="I578" i="30"/>
  <c r="O577" i="30" a="1"/>
  <c r="O577" i="30" s="1"/>
  <c r="N577" i="30"/>
  <c r="M577" i="30"/>
  <c r="L577" i="30"/>
  <c r="I577" i="30"/>
  <c r="O576" i="30" a="1"/>
  <c r="O576" i="30" s="1"/>
  <c r="N576" i="30"/>
  <c r="M576" i="30"/>
  <c r="L576" i="30"/>
  <c r="I576" i="30"/>
  <c r="O575" i="30" a="1"/>
  <c r="O575" i="30" s="1"/>
  <c r="N575" i="30"/>
  <c r="M575" i="30"/>
  <c r="L575" i="30"/>
  <c r="I575" i="30"/>
  <c r="O574" i="30" a="1"/>
  <c r="O574" i="30" s="1"/>
  <c r="N574" i="30"/>
  <c r="M574" i="30"/>
  <c r="L574" i="30"/>
  <c r="I574" i="30"/>
  <c r="O573" i="30" a="1"/>
  <c r="O573" i="30" s="1"/>
  <c r="N573" i="30"/>
  <c r="M573" i="30"/>
  <c r="L573" i="30"/>
  <c r="I573" i="30"/>
  <c r="O572" i="30" a="1"/>
  <c r="O572" i="30" s="1"/>
  <c r="N572" i="30"/>
  <c r="M572" i="30"/>
  <c r="L572" i="30"/>
  <c r="I572" i="30"/>
  <c r="O571" i="30" a="1"/>
  <c r="O571" i="30" s="1"/>
  <c r="N571" i="30"/>
  <c r="M571" i="30"/>
  <c r="L571" i="30"/>
  <c r="I571" i="30"/>
  <c r="O570" i="30" a="1"/>
  <c r="O570" i="30" s="1"/>
  <c r="N570" i="30"/>
  <c r="M570" i="30"/>
  <c r="L570" i="30"/>
  <c r="I570" i="30"/>
  <c r="O569" i="30" a="1"/>
  <c r="O569" i="30" s="1"/>
  <c r="N569" i="30"/>
  <c r="M569" i="30"/>
  <c r="L569" i="30"/>
  <c r="I569" i="30"/>
  <c r="O568" i="30" a="1"/>
  <c r="O568" i="30" s="1"/>
  <c r="N568" i="30"/>
  <c r="M568" i="30"/>
  <c r="L568" i="30"/>
  <c r="I568" i="30"/>
  <c r="O567" i="30" a="1"/>
  <c r="O567" i="30" s="1"/>
  <c r="N567" i="30"/>
  <c r="M567" i="30"/>
  <c r="L567" i="30"/>
  <c r="I567" i="30"/>
  <c r="O566" i="30" a="1"/>
  <c r="O566" i="30" s="1"/>
  <c r="N566" i="30"/>
  <c r="M566" i="30"/>
  <c r="L566" i="30"/>
  <c r="I566" i="30"/>
  <c r="O565" i="30" a="1"/>
  <c r="O565" i="30" s="1"/>
  <c r="N565" i="30"/>
  <c r="M565" i="30"/>
  <c r="L565" i="30"/>
  <c r="I565" i="30"/>
  <c r="O564" i="30" a="1"/>
  <c r="O564" i="30" s="1"/>
  <c r="N564" i="30"/>
  <c r="M564" i="30"/>
  <c r="L564" i="30"/>
  <c r="I564" i="30"/>
  <c r="O563" i="30" a="1"/>
  <c r="O563" i="30" s="1"/>
  <c r="N563" i="30"/>
  <c r="M563" i="30"/>
  <c r="L563" i="30"/>
  <c r="I563" i="30"/>
  <c r="O562" i="30" a="1"/>
  <c r="O562" i="30" s="1"/>
  <c r="N562" i="30"/>
  <c r="M562" i="30"/>
  <c r="L562" i="30"/>
  <c r="I562" i="30"/>
  <c r="O561" i="30" a="1"/>
  <c r="O561" i="30" s="1"/>
  <c r="N561" i="30"/>
  <c r="M561" i="30"/>
  <c r="L561" i="30"/>
  <c r="I561" i="30"/>
  <c r="O560" i="30" a="1"/>
  <c r="O560" i="30" s="1"/>
  <c r="N560" i="30"/>
  <c r="M560" i="30"/>
  <c r="L560" i="30"/>
  <c r="I560" i="30"/>
  <c r="O559" i="30" a="1"/>
  <c r="O559" i="30" s="1"/>
  <c r="N559" i="30"/>
  <c r="M559" i="30"/>
  <c r="L559" i="30"/>
  <c r="I559" i="30"/>
  <c r="O558" i="30" a="1"/>
  <c r="O558" i="30" s="1"/>
  <c r="N558" i="30"/>
  <c r="M558" i="30"/>
  <c r="L558" i="30"/>
  <c r="I558" i="30"/>
  <c r="O557" i="30" a="1"/>
  <c r="O557" i="30" s="1"/>
  <c r="N557" i="30"/>
  <c r="M557" i="30"/>
  <c r="L557" i="30"/>
  <c r="I557" i="30"/>
  <c r="O556" i="30" a="1"/>
  <c r="O556" i="30" s="1"/>
  <c r="N556" i="30"/>
  <c r="M556" i="30"/>
  <c r="L556" i="30"/>
  <c r="I556" i="30"/>
  <c r="O555" i="30" a="1"/>
  <c r="O555" i="30" s="1"/>
  <c r="N555" i="30"/>
  <c r="M555" i="30"/>
  <c r="L555" i="30"/>
  <c r="I555" i="30"/>
  <c r="O554" i="30" a="1"/>
  <c r="O554" i="30" s="1"/>
  <c r="N554" i="30"/>
  <c r="M554" i="30"/>
  <c r="L554" i="30"/>
  <c r="I554" i="30"/>
  <c r="O553" i="30" a="1"/>
  <c r="O553" i="30" s="1"/>
  <c r="N553" i="30"/>
  <c r="M553" i="30"/>
  <c r="L553" i="30"/>
  <c r="I553" i="30"/>
  <c r="O552" i="30" a="1"/>
  <c r="O552" i="30" s="1"/>
  <c r="N552" i="30"/>
  <c r="M552" i="30"/>
  <c r="L552" i="30"/>
  <c r="I552" i="30"/>
  <c r="O551" i="30" a="1"/>
  <c r="O551" i="30" s="1"/>
  <c r="N551" i="30"/>
  <c r="M551" i="30"/>
  <c r="L551" i="30"/>
  <c r="I551" i="30"/>
  <c r="O550" i="30" a="1"/>
  <c r="O550" i="30" s="1"/>
  <c r="N550" i="30"/>
  <c r="M550" i="30"/>
  <c r="L550" i="30"/>
  <c r="I550" i="30"/>
  <c r="O549" i="30" a="1"/>
  <c r="O549" i="30" s="1"/>
  <c r="N549" i="30"/>
  <c r="M549" i="30"/>
  <c r="L549" i="30"/>
  <c r="I549" i="30"/>
  <c r="O548" i="30" a="1"/>
  <c r="O548" i="30" s="1"/>
  <c r="N548" i="30"/>
  <c r="M548" i="30"/>
  <c r="L548" i="30"/>
  <c r="I548" i="30"/>
  <c r="O547" i="30" a="1"/>
  <c r="O547" i="30" s="1"/>
  <c r="N547" i="30"/>
  <c r="M547" i="30"/>
  <c r="L547" i="30"/>
  <c r="I547" i="30"/>
  <c r="O546" i="30" a="1"/>
  <c r="O546" i="30" s="1"/>
  <c r="N546" i="30"/>
  <c r="M546" i="30"/>
  <c r="L546" i="30"/>
  <c r="I546" i="30"/>
  <c r="O545" i="30" a="1"/>
  <c r="O545" i="30" s="1"/>
  <c r="N545" i="30"/>
  <c r="M545" i="30"/>
  <c r="L545" i="30"/>
  <c r="I545" i="30"/>
  <c r="O544" i="30" a="1"/>
  <c r="O544" i="30" s="1"/>
  <c r="N544" i="30"/>
  <c r="M544" i="30"/>
  <c r="L544" i="30"/>
  <c r="I544" i="30"/>
  <c r="O543" i="30" a="1"/>
  <c r="O543" i="30" s="1"/>
  <c r="N543" i="30"/>
  <c r="M543" i="30"/>
  <c r="L543" i="30"/>
  <c r="I543" i="30"/>
  <c r="O542" i="30" a="1"/>
  <c r="O542" i="30" s="1"/>
  <c r="N542" i="30"/>
  <c r="M542" i="30"/>
  <c r="L542" i="30"/>
  <c r="I542" i="30"/>
  <c r="O541" i="30" a="1"/>
  <c r="O541" i="30" s="1"/>
  <c r="N541" i="30"/>
  <c r="M541" i="30"/>
  <c r="L541" i="30"/>
  <c r="I541" i="30"/>
  <c r="O540" i="30" a="1"/>
  <c r="O540" i="30" s="1"/>
  <c r="N540" i="30"/>
  <c r="M540" i="30"/>
  <c r="L540" i="30"/>
  <c r="I540" i="30"/>
  <c r="O539" i="30" a="1"/>
  <c r="O539" i="30" s="1"/>
  <c r="N539" i="30"/>
  <c r="M539" i="30"/>
  <c r="L539" i="30"/>
  <c r="I539" i="30"/>
  <c r="O538" i="30" a="1"/>
  <c r="O538" i="30" s="1"/>
  <c r="N538" i="30"/>
  <c r="M538" i="30"/>
  <c r="L538" i="30"/>
  <c r="I538" i="30"/>
  <c r="O537" i="30" a="1"/>
  <c r="O537" i="30" s="1"/>
  <c r="N537" i="30"/>
  <c r="M537" i="30"/>
  <c r="L537" i="30"/>
  <c r="I537" i="30"/>
  <c r="O536" i="30" a="1"/>
  <c r="O536" i="30" s="1"/>
  <c r="N536" i="30"/>
  <c r="M536" i="30"/>
  <c r="L536" i="30"/>
  <c r="I536" i="30"/>
  <c r="O535" i="30" a="1"/>
  <c r="O535" i="30" s="1"/>
  <c r="N535" i="30"/>
  <c r="M535" i="30"/>
  <c r="L535" i="30"/>
  <c r="I535" i="30"/>
  <c r="O534" i="30" a="1"/>
  <c r="O534" i="30" s="1"/>
  <c r="N534" i="30"/>
  <c r="M534" i="30"/>
  <c r="L534" i="30"/>
  <c r="I534" i="30"/>
  <c r="O533" i="30" a="1"/>
  <c r="O533" i="30" s="1"/>
  <c r="N533" i="30"/>
  <c r="M533" i="30"/>
  <c r="L533" i="30"/>
  <c r="I533" i="30"/>
  <c r="O532" i="30" a="1"/>
  <c r="O532" i="30" s="1"/>
  <c r="N532" i="30"/>
  <c r="M532" i="30"/>
  <c r="L532" i="30"/>
  <c r="I532" i="30"/>
  <c r="O531" i="30" a="1"/>
  <c r="O531" i="30" s="1"/>
  <c r="N531" i="30"/>
  <c r="M531" i="30"/>
  <c r="L531" i="30"/>
  <c r="I531" i="30"/>
  <c r="O530" i="30" a="1"/>
  <c r="O530" i="30" s="1"/>
  <c r="N530" i="30"/>
  <c r="M530" i="30"/>
  <c r="L530" i="30"/>
  <c r="I530" i="30"/>
  <c r="O529" i="30" a="1"/>
  <c r="O529" i="30" s="1"/>
  <c r="N529" i="30"/>
  <c r="M529" i="30"/>
  <c r="L529" i="30"/>
  <c r="I529" i="30"/>
  <c r="O528" i="30" a="1"/>
  <c r="O528" i="30" s="1"/>
  <c r="N528" i="30"/>
  <c r="M528" i="30"/>
  <c r="L528" i="30"/>
  <c r="I528" i="30"/>
  <c r="O527" i="30" a="1"/>
  <c r="O527" i="30" s="1"/>
  <c r="N527" i="30"/>
  <c r="M527" i="30"/>
  <c r="L527" i="30"/>
  <c r="I527" i="30"/>
  <c r="O526" i="30" a="1"/>
  <c r="O526" i="30" s="1"/>
  <c r="N526" i="30"/>
  <c r="M526" i="30"/>
  <c r="L526" i="30"/>
  <c r="I526" i="30"/>
  <c r="O525" i="30" a="1"/>
  <c r="O525" i="30" s="1"/>
  <c r="N525" i="30"/>
  <c r="M525" i="30"/>
  <c r="L525" i="30"/>
  <c r="I525" i="30"/>
  <c r="O524" i="30" a="1"/>
  <c r="O524" i="30" s="1"/>
  <c r="N524" i="30"/>
  <c r="M524" i="30"/>
  <c r="L524" i="30"/>
  <c r="I524" i="30"/>
  <c r="O523" i="30" a="1"/>
  <c r="O523" i="30" s="1"/>
  <c r="N523" i="30"/>
  <c r="M523" i="30"/>
  <c r="L523" i="30"/>
  <c r="I523" i="30"/>
  <c r="O522" i="30" a="1"/>
  <c r="O522" i="30" s="1"/>
  <c r="N522" i="30"/>
  <c r="M522" i="30"/>
  <c r="L522" i="30"/>
  <c r="I522" i="30"/>
  <c r="O521" i="30" a="1"/>
  <c r="O521" i="30" s="1"/>
  <c r="N521" i="30"/>
  <c r="M521" i="30"/>
  <c r="L521" i="30"/>
  <c r="I521" i="30"/>
  <c r="O520" i="30" a="1"/>
  <c r="O520" i="30" s="1"/>
  <c r="N520" i="30"/>
  <c r="M520" i="30"/>
  <c r="L520" i="30"/>
  <c r="I520" i="30"/>
  <c r="O519" i="30" a="1"/>
  <c r="O519" i="30" s="1"/>
  <c r="N519" i="30"/>
  <c r="M519" i="30"/>
  <c r="L519" i="30"/>
  <c r="I519" i="30"/>
  <c r="O518" i="30" a="1"/>
  <c r="O518" i="30" s="1"/>
  <c r="N518" i="30"/>
  <c r="M518" i="30"/>
  <c r="L518" i="30"/>
  <c r="I518" i="30"/>
  <c r="O517" i="30" a="1"/>
  <c r="O517" i="30" s="1"/>
  <c r="N517" i="30"/>
  <c r="M517" i="30"/>
  <c r="L517" i="30"/>
  <c r="I517" i="30"/>
  <c r="O516" i="30" a="1"/>
  <c r="O516" i="30" s="1"/>
  <c r="N516" i="30"/>
  <c r="M516" i="30"/>
  <c r="L516" i="30"/>
  <c r="I516" i="30"/>
  <c r="O515" i="30" a="1"/>
  <c r="O515" i="30" s="1"/>
  <c r="N515" i="30"/>
  <c r="M515" i="30"/>
  <c r="L515" i="30"/>
  <c r="I515" i="30"/>
  <c r="O514" i="30" a="1"/>
  <c r="O514" i="30" s="1"/>
  <c r="N514" i="30"/>
  <c r="M514" i="30"/>
  <c r="L514" i="30"/>
  <c r="I514" i="30"/>
  <c r="O513" i="30" a="1"/>
  <c r="O513" i="30" s="1"/>
  <c r="N513" i="30"/>
  <c r="M513" i="30"/>
  <c r="L513" i="30"/>
  <c r="I513" i="30"/>
  <c r="O512" i="30" a="1"/>
  <c r="O512" i="30" s="1"/>
  <c r="N512" i="30"/>
  <c r="M512" i="30"/>
  <c r="L512" i="30"/>
  <c r="I512" i="30"/>
  <c r="O511" i="30" a="1"/>
  <c r="O511" i="30" s="1"/>
  <c r="N511" i="30"/>
  <c r="M511" i="30"/>
  <c r="L511" i="30"/>
  <c r="I511" i="30"/>
  <c r="O510" i="30" a="1"/>
  <c r="O510" i="30" s="1"/>
  <c r="N510" i="30"/>
  <c r="M510" i="30"/>
  <c r="L510" i="30"/>
  <c r="I510" i="30"/>
  <c r="O509" i="30" a="1"/>
  <c r="O509" i="30" s="1"/>
  <c r="N509" i="30"/>
  <c r="M509" i="30"/>
  <c r="L509" i="30"/>
  <c r="I509" i="30"/>
  <c r="O508" i="30" a="1"/>
  <c r="O508" i="30" s="1"/>
  <c r="N508" i="30"/>
  <c r="M508" i="30"/>
  <c r="L508" i="30"/>
  <c r="I508" i="30"/>
  <c r="O507" i="30" a="1"/>
  <c r="O507" i="30" s="1"/>
  <c r="N507" i="30"/>
  <c r="M507" i="30"/>
  <c r="L507" i="30"/>
  <c r="I507" i="30"/>
  <c r="O506" i="30" a="1"/>
  <c r="O506" i="30" s="1"/>
  <c r="N506" i="30"/>
  <c r="M506" i="30"/>
  <c r="L506" i="30"/>
  <c r="I506" i="30"/>
  <c r="O505" i="30" a="1"/>
  <c r="O505" i="30" s="1"/>
  <c r="N505" i="30"/>
  <c r="M505" i="30"/>
  <c r="L505" i="30"/>
  <c r="I505" i="30"/>
  <c r="O504" i="30" a="1"/>
  <c r="O504" i="30" s="1"/>
  <c r="N504" i="30"/>
  <c r="M504" i="30"/>
  <c r="L504" i="30"/>
  <c r="I504" i="30"/>
  <c r="O503" i="30" a="1"/>
  <c r="O503" i="30" s="1"/>
  <c r="N503" i="30"/>
  <c r="M503" i="30"/>
  <c r="L503" i="30"/>
  <c r="I503" i="30"/>
  <c r="O502" i="30" a="1"/>
  <c r="O502" i="30" s="1"/>
  <c r="N502" i="30"/>
  <c r="M502" i="30"/>
  <c r="L502" i="30"/>
  <c r="I502" i="30"/>
  <c r="O501" i="30" a="1"/>
  <c r="O501" i="30" s="1"/>
  <c r="N501" i="30"/>
  <c r="M501" i="30"/>
  <c r="L501" i="30"/>
  <c r="I501" i="30"/>
  <c r="O500" i="30" a="1"/>
  <c r="O500" i="30" s="1"/>
  <c r="N500" i="30"/>
  <c r="M500" i="30"/>
  <c r="L500" i="30"/>
  <c r="I500" i="30"/>
  <c r="O499" i="30" a="1"/>
  <c r="O499" i="30" s="1"/>
  <c r="N499" i="30"/>
  <c r="M499" i="30"/>
  <c r="L499" i="30"/>
  <c r="I499" i="30"/>
  <c r="O498" i="30" a="1"/>
  <c r="O498" i="30" s="1"/>
  <c r="N498" i="30"/>
  <c r="M498" i="30"/>
  <c r="L498" i="30"/>
  <c r="I498" i="30"/>
  <c r="O497" i="30" a="1"/>
  <c r="O497" i="30" s="1"/>
  <c r="N497" i="30"/>
  <c r="M497" i="30"/>
  <c r="L497" i="30"/>
  <c r="I497" i="30"/>
  <c r="O496" i="30" a="1"/>
  <c r="O496" i="30" s="1"/>
  <c r="N496" i="30"/>
  <c r="M496" i="30"/>
  <c r="L496" i="30"/>
  <c r="I496" i="30"/>
  <c r="O495" i="30" a="1"/>
  <c r="O495" i="30" s="1"/>
  <c r="N495" i="30"/>
  <c r="M495" i="30"/>
  <c r="L495" i="30"/>
  <c r="I495" i="30"/>
  <c r="O494" i="30" a="1"/>
  <c r="O494" i="30" s="1"/>
  <c r="N494" i="30"/>
  <c r="M494" i="30"/>
  <c r="L494" i="30"/>
  <c r="I494" i="30"/>
  <c r="O493" i="30" a="1"/>
  <c r="O493" i="30" s="1"/>
  <c r="N493" i="30"/>
  <c r="M493" i="30"/>
  <c r="L493" i="30"/>
  <c r="I493" i="30"/>
  <c r="O492" i="30" a="1"/>
  <c r="O492" i="30" s="1"/>
  <c r="N492" i="30"/>
  <c r="M492" i="30"/>
  <c r="L492" i="30"/>
  <c r="I492" i="30"/>
  <c r="O491" i="30" a="1"/>
  <c r="O491" i="30" s="1"/>
  <c r="N491" i="30"/>
  <c r="M491" i="30"/>
  <c r="L491" i="30"/>
  <c r="I491" i="30"/>
  <c r="O490" i="30" a="1"/>
  <c r="O490" i="30" s="1"/>
  <c r="N490" i="30"/>
  <c r="M490" i="30"/>
  <c r="L490" i="30"/>
  <c r="I490" i="30"/>
  <c r="O489" i="30" a="1"/>
  <c r="O489" i="30" s="1"/>
  <c r="N489" i="30"/>
  <c r="M489" i="30"/>
  <c r="L489" i="30"/>
  <c r="I489" i="30"/>
  <c r="O488" i="30" a="1"/>
  <c r="O488" i="30" s="1"/>
  <c r="N488" i="30"/>
  <c r="M488" i="30"/>
  <c r="L488" i="30"/>
  <c r="I488" i="30"/>
  <c r="O487" i="30" a="1"/>
  <c r="O487" i="30" s="1"/>
  <c r="N487" i="30"/>
  <c r="M487" i="30"/>
  <c r="L487" i="30"/>
  <c r="I487" i="30"/>
  <c r="O486" i="30" a="1"/>
  <c r="O486" i="30" s="1"/>
  <c r="N486" i="30"/>
  <c r="M486" i="30"/>
  <c r="L486" i="30"/>
  <c r="I486" i="30"/>
  <c r="O485" i="30" a="1"/>
  <c r="O485" i="30" s="1"/>
  <c r="N485" i="30"/>
  <c r="M485" i="30"/>
  <c r="L485" i="30"/>
  <c r="I485" i="30"/>
  <c r="O484" i="30" a="1"/>
  <c r="O484" i="30" s="1"/>
  <c r="N484" i="30"/>
  <c r="M484" i="30"/>
  <c r="L484" i="30"/>
  <c r="I484" i="30"/>
  <c r="O483" i="30" a="1"/>
  <c r="O483" i="30" s="1"/>
  <c r="N483" i="30"/>
  <c r="M483" i="30"/>
  <c r="L483" i="30"/>
  <c r="I483" i="30"/>
  <c r="O482" i="30" a="1"/>
  <c r="O482" i="30" s="1"/>
  <c r="N482" i="30"/>
  <c r="M482" i="30"/>
  <c r="L482" i="30"/>
  <c r="I482" i="30"/>
  <c r="O481" i="30" a="1"/>
  <c r="O481" i="30" s="1"/>
  <c r="N481" i="30"/>
  <c r="M481" i="30"/>
  <c r="L481" i="30"/>
  <c r="I481" i="30"/>
  <c r="O480" i="30" a="1"/>
  <c r="O480" i="30" s="1"/>
  <c r="N480" i="30"/>
  <c r="M480" i="30"/>
  <c r="L480" i="30"/>
  <c r="I480" i="30"/>
  <c r="O479" i="30" a="1"/>
  <c r="O479" i="30" s="1"/>
  <c r="N479" i="30"/>
  <c r="M479" i="30"/>
  <c r="L479" i="30"/>
  <c r="I479" i="30"/>
  <c r="O478" i="30" a="1"/>
  <c r="O478" i="30" s="1"/>
  <c r="N478" i="30"/>
  <c r="M478" i="30"/>
  <c r="L478" i="30"/>
  <c r="I478" i="30"/>
  <c r="O477" i="30" a="1"/>
  <c r="O477" i="30" s="1"/>
  <c r="N477" i="30"/>
  <c r="M477" i="30"/>
  <c r="L477" i="30"/>
  <c r="I477" i="30"/>
  <c r="O476" i="30" a="1"/>
  <c r="O476" i="30" s="1"/>
  <c r="N476" i="30"/>
  <c r="M476" i="30"/>
  <c r="L476" i="30"/>
  <c r="I476" i="30"/>
  <c r="O475" i="30" a="1"/>
  <c r="O475" i="30" s="1"/>
  <c r="N475" i="30"/>
  <c r="M475" i="30"/>
  <c r="L475" i="30"/>
  <c r="I475" i="30"/>
  <c r="O474" i="30" a="1"/>
  <c r="O474" i="30" s="1"/>
  <c r="N474" i="30"/>
  <c r="M474" i="30"/>
  <c r="L474" i="30"/>
  <c r="I474" i="30"/>
  <c r="O473" i="30" a="1"/>
  <c r="O473" i="30" s="1"/>
  <c r="N473" i="30"/>
  <c r="M473" i="30"/>
  <c r="L473" i="30"/>
  <c r="I473" i="30"/>
  <c r="O472" i="30" a="1"/>
  <c r="O472" i="30" s="1"/>
  <c r="N472" i="30"/>
  <c r="M472" i="30"/>
  <c r="L472" i="30"/>
  <c r="I472" i="30"/>
  <c r="O471" i="30" a="1"/>
  <c r="O471" i="30" s="1"/>
  <c r="N471" i="30"/>
  <c r="M471" i="30"/>
  <c r="L471" i="30"/>
  <c r="I471" i="30"/>
  <c r="O470" i="30" a="1"/>
  <c r="O470" i="30" s="1"/>
  <c r="N470" i="30"/>
  <c r="M470" i="30"/>
  <c r="L470" i="30"/>
  <c r="I470" i="30"/>
  <c r="O469" i="30" a="1"/>
  <c r="O469" i="30" s="1"/>
  <c r="N469" i="30"/>
  <c r="M469" i="30"/>
  <c r="L469" i="30"/>
  <c r="I469" i="30"/>
  <c r="O468" i="30" a="1"/>
  <c r="O468" i="30" s="1"/>
  <c r="N468" i="30"/>
  <c r="M468" i="30"/>
  <c r="L468" i="30"/>
  <c r="I468" i="30"/>
  <c r="O467" i="30" a="1"/>
  <c r="O467" i="30" s="1"/>
  <c r="N467" i="30"/>
  <c r="M467" i="30"/>
  <c r="L467" i="30"/>
  <c r="I467" i="30"/>
  <c r="O466" i="30" a="1"/>
  <c r="O466" i="30" s="1"/>
  <c r="N466" i="30"/>
  <c r="M466" i="30"/>
  <c r="L466" i="30"/>
  <c r="I466" i="30"/>
  <c r="O465" i="30" a="1"/>
  <c r="O465" i="30" s="1"/>
  <c r="N465" i="30"/>
  <c r="M465" i="30"/>
  <c r="L465" i="30"/>
  <c r="I465" i="30"/>
  <c r="O464" i="30" a="1"/>
  <c r="O464" i="30" s="1"/>
  <c r="N464" i="30"/>
  <c r="M464" i="30"/>
  <c r="L464" i="30"/>
  <c r="I464" i="30"/>
  <c r="O463" i="30" a="1"/>
  <c r="O463" i="30" s="1"/>
  <c r="N463" i="30"/>
  <c r="M463" i="30"/>
  <c r="L463" i="30"/>
  <c r="I463" i="30"/>
  <c r="O462" i="30" a="1"/>
  <c r="O462" i="30" s="1"/>
  <c r="N462" i="30"/>
  <c r="M462" i="30"/>
  <c r="L462" i="30"/>
  <c r="I462" i="30"/>
  <c r="O461" i="30" a="1"/>
  <c r="O461" i="30" s="1"/>
  <c r="N461" i="30"/>
  <c r="M461" i="30"/>
  <c r="L461" i="30"/>
  <c r="I461" i="30"/>
  <c r="O460" i="30" a="1"/>
  <c r="O460" i="30" s="1"/>
  <c r="N460" i="30"/>
  <c r="M460" i="30"/>
  <c r="L460" i="30"/>
  <c r="I460" i="30"/>
  <c r="O459" i="30" a="1"/>
  <c r="O459" i="30" s="1"/>
  <c r="N459" i="30"/>
  <c r="M459" i="30"/>
  <c r="L459" i="30"/>
  <c r="I459" i="30"/>
  <c r="O458" i="30" a="1"/>
  <c r="O458" i="30" s="1"/>
  <c r="N458" i="30"/>
  <c r="M458" i="30"/>
  <c r="L458" i="30"/>
  <c r="I458" i="30"/>
  <c r="O457" i="30" a="1"/>
  <c r="O457" i="30" s="1"/>
  <c r="N457" i="30"/>
  <c r="M457" i="30"/>
  <c r="L457" i="30"/>
  <c r="I457" i="30"/>
  <c r="O456" i="30" a="1"/>
  <c r="O456" i="30" s="1"/>
  <c r="N456" i="30"/>
  <c r="M456" i="30"/>
  <c r="L456" i="30"/>
  <c r="I456" i="30"/>
  <c r="O455" i="30" a="1"/>
  <c r="O455" i="30" s="1"/>
  <c r="N455" i="30"/>
  <c r="M455" i="30"/>
  <c r="L455" i="30"/>
  <c r="I455" i="30"/>
  <c r="O454" i="30" a="1"/>
  <c r="O454" i="30" s="1"/>
  <c r="N454" i="30"/>
  <c r="M454" i="30"/>
  <c r="L454" i="30"/>
  <c r="I454" i="30"/>
  <c r="O453" i="30" a="1"/>
  <c r="O453" i="30" s="1"/>
  <c r="N453" i="30"/>
  <c r="M453" i="30"/>
  <c r="L453" i="30"/>
  <c r="I453" i="30"/>
  <c r="O452" i="30" a="1"/>
  <c r="O452" i="30" s="1"/>
  <c r="N452" i="30"/>
  <c r="M452" i="30"/>
  <c r="L452" i="30"/>
  <c r="I452" i="30"/>
  <c r="O451" i="30" a="1"/>
  <c r="O451" i="30" s="1"/>
  <c r="N451" i="30"/>
  <c r="M451" i="30"/>
  <c r="L451" i="30"/>
  <c r="I451" i="30"/>
  <c r="O450" i="30" a="1"/>
  <c r="O450" i="30" s="1"/>
  <c r="N450" i="30"/>
  <c r="M450" i="30"/>
  <c r="L450" i="30"/>
  <c r="I450" i="30"/>
  <c r="O449" i="30" a="1"/>
  <c r="O449" i="30" s="1"/>
  <c r="N449" i="30"/>
  <c r="M449" i="30"/>
  <c r="L449" i="30"/>
  <c r="I449" i="30"/>
  <c r="O448" i="30" a="1"/>
  <c r="O448" i="30" s="1"/>
  <c r="N448" i="30"/>
  <c r="M448" i="30"/>
  <c r="L448" i="30"/>
  <c r="I448" i="30"/>
  <c r="O447" i="30" a="1"/>
  <c r="O447" i="30" s="1"/>
  <c r="N447" i="30"/>
  <c r="M447" i="30"/>
  <c r="L447" i="30"/>
  <c r="I447" i="30"/>
  <c r="O446" i="30" a="1"/>
  <c r="O446" i="30" s="1"/>
  <c r="N446" i="30"/>
  <c r="M446" i="30"/>
  <c r="L446" i="30"/>
  <c r="I446" i="30"/>
  <c r="O445" i="30" a="1"/>
  <c r="O445" i="30" s="1"/>
  <c r="N445" i="30"/>
  <c r="M445" i="30"/>
  <c r="L445" i="30"/>
  <c r="I445" i="30"/>
  <c r="O444" i="30" a="1"/>
  <c r="O444" i="30" s="1"/>
  <c r="N444" i="30"/>
  <c r="M444" i="30"/>
  <c r="L444" i="30"/>
  <c r="I444" i="30"/>
  <c r="O443" i="30" a="1"/>
  <c r="O443" i="30" s="1"/>
  <c r="N443" i="30"/>
  <c r="M443" i="30"/>
  <c r="L443" i="30"/>
  <c r="I443" i="30"/>
  <c r="O442" i="30" a="1"/>
  <c r="O442" i="30" s="1"/>
  <c r="N442" i="30"/>
  <c r="M442" i="30"/>
  <c r="L442" i="30"/>
  <c r="I442" i="30"/>
  <c r="O441" i="30" a="1"/>
  <c r="O441" i="30" s="1"/>
  <c r="N441" i="30"/>
  <c r="M441" i="30"/>
  <c r="L441" i="30"/>
  <c r="I441" i="30"/>
  <c r="O440" i="30" a="1"/>
  <c r="O440" i="30" s="1"/>
  <c r="N440" i="30"/>
  <c r="M440" i="30"/>
  <c r="L440" i="30"/>
  <c r="I440" i="30"/>
  <c r="O439" i="30" a="1"/>
  <c r="O439" i="30" s="1"/>
  <c r="N439" i="30"/>
  <c r="M439" i="30"/>
  <c r="L439" i="30"/>
  <c r="I439" i="30"/>
  <c r="O438" i="30" a="1"/>
  <c r="O438" i="30" s="1"/>
  <c r="N438" i="30"/>
  <c r="M438" i="30"/>
  <c r="L438" i="30"/>
  <c r="I438" i="30"/>
  <c r="O437" i="30" a="1"/>
  <c r="O437" i="30" s="1"/>
  <c r="N437" i="30"/>
  <c r="M437" i="30"/>
  <c r="L437" i="30"/>
  <c r="I437" i="30"/>
  <c r="O436" i="30" a="1"/>
  <c r="O436" i="30" s="1"/>
  <c r="N436" i="30"/>
  <c r="M436" i="30"/>
  <c r="L436" i="30"/>
  <c r="I436" i="30"/>
  <c r="O435" i="30" a="1"/>
  <c r="O435" i="30" s="1"/>
  <c r="N435" i="30"/>
  <c r="M435" i="30"/>
  <c r="L435" i="30"/>
  <c r="I435" i="30"/>
  <c r="O434" i="30" a="1"/>
  <c r="O434" i="30" s="1"/>
  <c r="N434" i="30"/>
  <c r="M434" i="30"/>
  <c r="L434" i="30"/>
  <c r="I434" i="30"/>
  <c r="O433" i="30" a="1"/>
  <c r="O433" i="30" s="1"/>
  <c r="N433" i="30"/>
  <c r="M433" i="30"/>
  <c r="L433" i="30"/>
  <c r="I433" i="30"/>
  <c r="O432" i="30" a="1"/>
  <c r="O432" i="30" s="1"/>
  <c r="N432" i="30"/>
  <c r="M432" i="30"/>
  <c r="L432" i="30"/>
  <c r="I432" i="30"/>
  <c r="O431" i="30" a="1"/>
  <c r="O431" i="30" s="1"/>
  <c r="N431" i="30"/>
  <c r="M431" i="30"/>
  <c r="L431" i="30"/>
  <c r="I431" i="30"/>
  <c r="O430" i="30" a="1"/>
  <c r="O430" i="30" s="1"/>
  <c r="N430" i="30"/>
  <c r="M430" i="30"/>
  <c r="L430" i="30"/>
  <c r="I430" i="30"/>
  <c r="O429" i="30" a="1"/>
  <c r="O429" i="30" s="1"/>
  <c r="N429" i="30"/>
  <c r="M429" i="30"/>
  <c r="L429" i="30"/>
  <c r="I429" i="30"/>
  <c r="O428" i="30" a="1"/>
  <c r="O428" i="30" s="1"/>
  <c r="N428" i="30"/>
  <c r="M428" i="30"/>
  <c r="L428" i="30"/>
  <c r="I428" i="30"/>
  <c r="O427" i="30" a="1"/>
  <c r="O427" i="30" s="1"/>
  <c r="N427" i="30"/>
  <c r="M427" i="30"/>
  <c r="L427" i="30"/>
  <c r="I427" i="30"/>
  <c r="O426" i="30" a="1"/>
  <c r="O426" i="30" s="1"/>
  <c r="N426" i="30"/>
  <c r="M426" i="30"/>
  <c r="L426" i="30"/>
  <c r="I426" i="30"/>
  <c r="O425" i="30" a="1"/>
  <c r="O425" i="30" s="1"/>
  <c r="N425" i="30"/>
  <c r="M425" i="30"/>
  <c r="L425" i="30"/>
  <c r="I425" i="30"/>
  <c r="O424" i="30" a="1"/>
  <c r="O424" i="30" s="1"/>
  <c r="N424" i="30"/>
  <c r="M424" i="30"/>
  <c r="L424" i="30"/>
  <c r="I424" i="30"/>
  <c r="O423" i="30" a="1"/>
  <c r="O423" i="30" s="1"/>
  <c r="N423" i="30"/>
  <c r="M423" i="30"/>
  <c r="L423" i="30"/>
  <c r="I423" i="30"/>
  <c r="O422" i="30" a="1"/>
  <c r="O422" i="30" s="1"/>
  <c r="N422" i="30"/>
  <c r="M422" i="30"/>
  <c r="L422" i="30"/>
  <c r="I422" i="30"/>
  <c r="O421" i="30" a="1"/>
  <c r="O421" i="30" s="1"/>
  <c r="N421" i="30"/>
  <c r="M421" i="30"/>
  <c r="L421" i="30"/>
  <c r="I421" i="30"/>
  <c r="O420" i="30" a="1"/>
  <c r="O420" i="30" s="1"/>
  <c r="N420" i="30"/>
  <c r="M420" i="30"/>
  <c r="L420" i="30"/>
  <c r="I420" i="30"/>
  <c r="O419" i="30" a="1"/>
  <c r="O419" i="30" s="1"/>
  <c r="N419" i="30"/>
  <c r="M419" i="30"/>
  <c r="L419" i="30"/>
  <c r="I419" i="30"/>
  <c r="O418" i="30" a="1"/>
  <c r="O418" i="30" s="1"/>
  <c r="N418" i="30"/>
  <c r="M418" i="30"/>
  <c r="L418" i="30"/>
  <c r="I418" i="30"/>
  <c r="O417" i="30" a="1"/>
  <c r="O417" i="30" s="1"/>
  <c r="N417" i="30"/>
  <c r="M417" i="30"/>
  <c r="L417" i="30"/>
  <c r="I417" i="30"/>
  <c r="O416" i="30" a="1"/>
  <c r="O416" i="30" s="1"/>
  <c r="N416" i="30"/>
  <c r="M416" i="30"/>
  <c r="L416" i="30"/>
  <c r="I416" i="30"/>
  <c r="O415" i="30" a="1"/>
  <c r="O415" i="30" s="1"/>
  <c r="N415" i="30"/>
  <c r="M415" i="30"/>
  <c r="L415" i="30"/>
  <c r="I415" i="30"/>
  <c r="O414" i="30" a="1"/>
  <c r="O414" i="30" s="1"/>
  <c r="N414" i="30"/>
  <c r="M414" i="30"/>
  <c r="L414" i="30"/>
  <c r="I414" i="30"/>
  <c r="O413" i="30" a="1"/>
  <c r="O413" i="30" s="1"/>
  <c r="N413" i="30"/>
  <c r="M413" i="30"/>
  <c r="L413" i="30"/>
  <c r="I413" i="30"/>
  <c r="O412" i="30" a="1"/>
  <c r="O412" i="30" s="1"/>
  <c r="N412" i="30"/>
  <c r="M412" i="30"/>
  <c r="L412" i="30"/>
  <c r="I412" i="30"/>
  <c r="O411" i="30" a="1"/>
  <c r="O411" i="30" s="1"/>
  <c r="N411" i="30"/>
  <c r="M411" i="30"/>
  <c r="L411" i="30"/>
  <c r="I411" i="30"/>
  <c r="O410" i="30" a="1"/>
  <c r="O410" i="30" s="1"/>
  <c r="N410" i="30"/>
  <c r="M410" i="30"/>
  <c r="L410" i="30"/>
  <c r="I410" i="30"/>
  <c r="O409" i="30" a="1"/>
  <c r="O409" i="30" s="1"/>
  <c r="N409" i="30"/>
  <c r="M409" i="30"/>
  <c r="L409" i="30"/>
  <c r="I409" i="30"/>
  <c r="O408" i="30" a="1"/>
  <c r="O408" i="30" s="1"/>
  <c r="N408" i="30"/>
  <c r="M408" i="30"/>
  <c r="L408" i="30"/>
  <c r="I408" i="30"/>
  <c r="O407" i="30" a="1"/>
  <c r="O407" i="30" s="1"/>
  <c r="N407" i="30"/>
  <c r="M407" i="30"/>
  <c r="L407" i="30"/>
  <c r="I407" i="30"/>
  <c r="O406" i="30" a="1"/>
  <c r="O406" i="30" s="1"/>
  <c r="N406" i="30"/>
  <c r="M406" i="30"/>
  <c r="L406" i="30"/>
  <c r="I406" i="30"/>
  <c r="O405" i="30" a="1"/>
  <c r="O405" i="30" s="1"/>
  <c r="N405" i="30"/>
  <c r="M405" i="30"/>
  <c r="L405" i="30"/>
  <c r="I405" i="30"/>
  <c r="O404" i="30" a="1"/>
  <c r="O404" i="30" s="1"/>
  <c r="N404" i="30"/>
  <c r="M404" i="30"/>
  <c r="L404" i="30"/>
  <c r="I404" i="30"/>
  <c r="O403" i="30" a="1"/>
  <c r="O403" i="30" s="1"/>
  <c r="N403" i="30"/>
  <c r="M403" i="30"/>
  <c r="L403" i="30"/>
  <c r="I403" i="30"/>
  <c r="O402" i="30" a="1"/>
  <c r="O402" i="30" s="1"/>
  <c r="N402" i="30"/>
  <c r="M402" i="30"/>
  <c r="L402" i="30"/>
  <c r="I402" i="30"/>
  <c r="O401" i="30" a="1"/>
  <c r="O401" i="30" s="1"/>
  <c r="N401" i="30"/>
  <c r="M401" i="30"/>
  <c r="L401" i="30"/>
  <c r="I401" i="30"/>
  <c r="O400" i="30" a="1"/>
  <c r="O400" i="30" s="1"/>
  <c r="N400" i="30"/>
  <c r="M400" i="30"/>
  <c r="L400" i="30"/>
  <c r="I400" i="30"/>
  <c r="O399" i="30" a="1"/>
  <c r="O399" i="30" s="1"/>
  <c r="N399" i="30"/>
  <c r="M399" i="30"/>
  <c r="L399" i="30"/>
  <c r="I399" i="30"/>
  <c r="O398" i="30" a="1"/>
  <c r="O398" i="30" s="1"/>
  <c r="N398" i="30"/>
  <c r="M398" i="30"/>
  <c r="L398" i="30"/>
  <c r="I398" i="30"/>
  <c r="O397" i="30" a="1"/>
  <c r="O397" i="30" s="1"/>
  <c r="N397" i="30"/>
  <c r="M397" i="30"/>
  <c r="L397" i="30"/>
  <c r="I397" i="30"/>
  <c r="O396" i="30" a="1"/>
  <c r="O396" i="30" s="1"/>
  <c r="N396" i="30"/>
  <c r="M396" i="30"/>
  <c r="L396" i="30"/>
  <c r="I396" i="30"/>
  <c r="O395" i="30" a="1"/>
  <c r="O395" i="30" s="1"/>
  <c r="N395" i="30"/>
  <c r="M395" i="30"/>
  <c r="L395" i="30"/>
  <c r="I395" i="30"/>
  <c r="O394" i="30" a="1"/>
  <c r="O394" i="30" s="1"/>
  <c r="N394" i="30"/>
  <c r="M394" i="30"/>
  <c r="L394" i="30"/>
  <c r="I394" i="30"/>
  <c r="O393" i="30" a="1"/>
  <c r="O393" i="30" s="1"/>
  <c r="N393" i="30"/>
  <c r="M393" i="30"/>
  <c r="L393" i="30"/>
  <c r="I393" i="30"/>
  <c r="O392" i="30" a="1"/>
  <c r="O392" i="30" s="1"/>
  <c r="N392" i="30"/>
  <c r="M392" i="30"/>
  <c r="L392" i="30"/>
  <c r="I392" i="30"/>
  <c r="O391" i="30" a="1"/>
  <c r="O391" i="30" s="1"/>
  <c r="N391" i="30"/>
  <c r="M391" i="30"/>
  <c r="L391" i="30"/>
  <c r="I391" i="30"/>
  <c r="O390" i="30" a="1"/>
  <c r="O390" i="30" s="1"/>
  <c r="N390" i="30"/>
  <c r="M390" i="30"/>
  <c r="L390" i="30"/>
  <c r="I390" i="30"/>
  <c r="O389" i="30" a="1"/>
  <c r="O389" i="30" s="1"/>
  <c r="N389" i="30"/>
  <c r="M389" i="30"/>
  <c r="L389" i="30"/>
  <c r="I389" i="30"/>
  <c r="O388" i="30" a="1"/>
  <c r="O388" i="30" s="1"/>
  <c r="N388" i="30"/>
  <c r="M388" i="30"/>
  <c r="L388" i="30"/>
  <c r="I388" i="30"/>
  <c r="O387" i="30" a="1"/>
  <c r="O387" i="30" s="1"/>
  <c r="N387" i="30"/>
  <c r="M387" i="30"/>
  <c r="L387" i="30"/>
  <c r="I387" i="30"/>
  <c r="O386" i="30" a="1"/>
  <c r="O386" i="30" s="1"/>
  <c r="N386" i="30"/>
  <c r="M386" i="30"/>
  <c r="L386" i="30"/>
  <c r="I386" i="30"/>
  <c r="O385" i="30" a="1"/>
  <c r="O385" i="30" s="1"/>
  <c r="N385" i="30"/>
  <c r="M385" i="30"/>
  <c r="L385" i="30"/>
  <c r="I385" i="30"/>
  <c r="O384" i="30" a="1"/>
  <c r="O384" i="30" s="1"/>
  <c r="N384" i="30"/>
  <c r="M384" i="30"/>
  <c r="L384" i="30"/>
  <c r="I384" i="30"/>
  <c r="O383" i="30" a="1"/>
  <c r="O383" i="30" s="1"/>
  <c r="N383" i="30"/>
  <c r="M383" i="30"/>
  <c r="L383" i="30"/>
  <c r="I383" i="30"/>
  <c r="O382" i="30" a="1"/>
  <c r="O382" i="30" s="1"/>
  <c r="N382" i="30"/>
  <c r="M382" i="30"/>
  <c r="L382" i="30"/>
  <c r="I382" i="30"/>
  <c r="O381" i="30" a="1"/>
  <c r="O381" i="30" s="1"/>
  <c r="N381" i="30"/>
  <c r="M381" i="30"/>
  <c r="L381" i="30"/>
  <c r="I381" i="30"/>
  <c r="O380" i="30" a="1"/>
  <c r="O380" i="30" s="1"/>
  <c r="N380" i="30"/>
  <c r="M380" i="30"/>
  <c r="L380" i="30"/>
  <c r="I380" i="30"/>
  <c r="O379" i="30" a="1"/>
  <c r="O379" i="30" s="1"/>
  <c r="N379" i="30"/>
  <c r="M379" i="30"/>
  <c r="L379" i="30"/>
  <c r="I379" i="30"/>
  <c r="O378" i="30" a="1"/>
  <c r="O378" i="30" s="1"/>
  <c r="N378" i="30"/>
  <c r="M378" i="30"/>
  <c r="L378" i="30"/>
  <c r="I378" i="30"/>
  <c r="O377" i="30" a="1"/>
  <c r="O377" i="30" s="1"/>
  <c r="N377" i="30"/>
  <c r="M377" i="30"/>
  <c r="L377" i="30"/>
  <c r="I377" i="30"/>
  <c r="O376" i="30" a="1"/>
  <c r="O376" i="30" s="1"/>
  <c r="N376" i="30"/>
  <c r="M376" i="30"/>
  <c r="L376" i="30"/>
  <c r="I376" i="30"/>
  <c r="O375" i="30" a="1"/>
  <c r="O375" i="30" s="1"/>
  <c r="N375" i="30"/>
  <c r="M375" i="30"/>
  <c r="L375" i="30"/>
  <c r="I375" i="30"/>
  <c r="O374" i="30" a="1"/>
  <c r="O374" i="30" s="1"/>
  <c r="N374" i="30"/>
  <c r="M374" i="30"/>
  <c r="L374" i="30"/>
  <c r="I374" i="30"/>
  <c r="O373" i="30" a="1"/>
  <c r="O373" i="30" s="1"/>
  <c r="N373" i="30"/>
  <c r="M373" i="30"/>
  <c r="L373" i="30"/>
  <c r="I373" i="30"/>
  <c r="O372" i="30" a="1"/>
  <c r="O372" i="30" s="1"/>
  <c r="N372" i="30"/>
  <c r="M372" i="30"/>
  <c r="L372" i="30"/>
  <c r="I372" i="30"/>
  <c r="O371" i="30" a="1"/>
  <c r="O371" i="30" s="1"/>
  <c r="N371" i="30"/>
  <c r="M371" i="30"/>
  <c r="L371" i="30"/>
  <c r="I371" i="30"/>
  <c r="O370" i="30" a="1"/>
  <c r="O370" i="30" s="1"/>
  <c r="N370" i="30"/>
  <c r="M370" i="30"/>
  <c r="L370" i="30"/>
  <c r="I370" i="30"/>
  <c r="O369" i="30" a="1"/>
  <c r="O369" i="30" s="1"/>
  <c r="N369" i="30"/>
  <c r="M369" i="30"/>
  <c r="L369" i="30"/>
  <c r="I369" i="30"/>
  <c r="O368" i="30" a="1"/>
  <c r="O368" i="30" s="1"/>
  <c r="N368" i="30"/>
  <c r="M368" i="30"/>
  <c r="L368" i="30"/>
  <c r="I368" i="30"/>
  <c r="O367" i="30" a="1"/>
  <c r="O367" i="30" s="1"/>
  <c r="N367" i="30"/>
  <c r="M367" i="30"/>
  <c r="L367" i="30"/>
  <c r="I367" i="30"/>
  <c r="O366" i="30" a="1"/>
  <c r="O366" i="30" s="1"/>
  <c r="N366" i="30"/>
  <c r="M366" i="30"/>
  <c r="L366" i="30"/>
  <c r="I366" i="30"/>
  <c r="O365" i="30" a="1"/>
  <c r="O365" i="30" s="1"/>
  <c r="N365" i="30"/>
  <c r="M365" i="30"/>
  <c r="L365" i="30"/>
  <c r="I365" i="30"/>
  <c r="O364" i="30" a="1"/>
  <c r="O364" i="30" s="1"/>
  <c r="N364" i="30"/>
  <c r="M364" i="30"/>
  <c r="L364" i="30"/>
  <c r="I364" i="30"/>
  <c r="O363" i="30" a="1"/>
  <c r="O363" i="30" s="1"/>
  <c r="N363" i="30"/>
  <c r="M363" i="30"/>
  <c r="L363" i="30"/>
  <c r="I363" i="30"/>
  <c r="O362" i="30" a="1"/>
  <c r="O362" i="30" s="1"/>
  <c r="N362" i="30"/>
  <c r="M362" i="30"/>
  <c r="L362" i="30"/>
  <c r="I362" i="30"/>
  <c r="O361" i="30" a="1"/>
  <c r="O361" i="30" s="1"/>
  <c r="N361" i="30"/>
  <c r="M361" i="30"/>
  <c r="L361" i="30"/>
  <c r="I361" i="30"/>
  <c r="O360" i="30" a="1"/>
  <c r="O360" i="30" s="1"/>
  <c r="N360" i="30"/>
  <c r="M360" i="30"/>
  <c r="L360" i="30"/>
  <c r="I360" i="30"/>
  <c r="O359" i="30" a="1"/>
  <c r="O359" i="30" s="1"/>
  <c r="N359" i="30"/>
  <c r="M359" i="30"/>
  <c r="L359" i="30"/>
  <c r="I359" i="30"/>
  <c r="O358" i="30" a="1"/>
  <c r="O358" i="30" s="1"/>
  <c r="N358" i="30"/>
  <c r="M358" i="30"/>
  <c r="L358" i="30"/>
  <c r="I358" i="30"/>
  <c r="O357" i="30" a="1"/>
  <c r="O357" i="30" s="1"/>
  <c r="N357" i="30"/>
  <c r="M357" i="30"/>
  <c r="L357" i="30"/>
  <c r="I357" i="30"/>
  <c r="O356" i="30" a="1"/>
  <c r="O356" i="30" s="1"/>
  <c r="N356" i="30"/>
  <c r="M356" i="30"/>
  <c r="L356" i="30"/>
  <c r="I356" i="30"/>
  <c r="O355" i="30" a="1"/>
  <c r="O355" i="30" s="1"/>
  <c r="N355" i="30"/>
  <c r="M355" i="30"/>
  <c r="L355" i="30"/>
  <c r="I355" i="30"/>
  <c r="O354" i="30" a="1"/>
  <c r="O354" i="30" s="1"/>
  <c r="N354" i="30"/>
  <c r="M354" i="30"/>
  <c r="L354" i="30"/>
  <c r="I354" i="30"/>
  <c r="O353" i="30" a="1"/>
  <c r="O353" i="30" s="1"/>
  <c r="N353" i="30"/>
  <c r="M353" i="30"/>
  <c r="L353" i="30"/>
  <c r="I353" i="30"/>
  <c r="O352" i="30" a="1"/>
  <c r="O352" i="30" s="1"/>
  <c r="N352" i="30"/>
  <c r="M352" i="30"/>
  <c r="L352" i="30"/>
  <c r="I352" i="30"/>
  <c r="O351" i="30" a="1"/>
  <c r="O351" i="30" s="1"/>
  <c r="N351" i="30"/>
  <c r="M351" i="30"/>
  <c r="L351" i="30"/>
  <c r="I351" i="30"/>
  <c r="O350" i="30" a="1"/>
  <c r="O350" i="30" s="1"/>
  <c r="N350" i="30"/>
  <c r="M350" i="30"/>
  <c r="L350" i="30"/>
  <c r="I350" i="30"/>
  <c r="O349" i="30" a="1"/>
  <c r="O349" i="30" s="1"/>
  <c r="N349" i="30"/>
  <c r="M349" i="30"/>
  <c r="L349" i="30"/>
  <c r="I349" i="30"/>
  <c r="O348" i="30" a="1"/>
  <c r="O348" i="30" s="1"/>
  <c r="N348" i="30"/>
  <c r="M348" i="30"/>
  <c r="L348" i="30"/>
  <c r="I348" i="30"/>
  <c r="O347" i="30" a="1"/>
  <c r="O347" i="30" s="1"/>
  <c r="N347" i="30"/>
  <c r="M347" i="30"/>
  <c r="L347" i="30"/>
  <c r="I347" i="30"/>
  <c r="O346" i="30" a="1"/>
  <c r="O346" i="30" s="1"/>
  <c r="N346" i="30"/>
  <c r="M346" i="30"/>
  <c r="L346" i="30"/>
  <c r="I346" i="30"/>
  <c r="O345" i="30" a="1"/>
  <c r="O345" i="30" s="1"/>
  <c r="N345" i="30"/>
  <c r="M345" i="30"/>
  <c r="L345" i="30"/>
  <c r="I345" i="30"/>
  <c r="O344" i="30" a="1"/>
  <c r="O344" i="30" s="1"/>
  <c r="N344" i="30"/>
  <c r="M344" i="30"/>
  <c r="L344" i="30"/>
  <c r="I344" i="30"/>
  <c r="O343" i="30" a="1"/>
  <c r="O343" i="30" s="1"/>
  <c r="N343" i="30"/>
  <c r="M343" i="30"/>
  <c r="L343" i="30"/>
  <c r="I343" i="30"/>
  <c r="O342" i="30" a="1"/>
  <c r="O342" i="30" s="1"/>
  <c r="N342" i="30"/>
  <c r="M342" i="30"/>
  <c r="L342" i="30"/>
  <c r="I342" i="30"/>
  <c r="O341" i="30" a="1"/>
  <c r="O341" i="30" s="1"/>
  <c r="N341" i="30"/>
  <c r="M341" i="30"/>
  <c r="L341" i="30"/>
  <c r="I341" i="30"/>
  <c r="O340" i="30" a="1"/>
  <c r="O340" i="30" s="1"/>
  <c r="N340" i="30"/>
  <c r="M340" i="30"/>
  <c r="L340" i="30"/>
  <c r="I340" i="30"/>
  <c r="O339" i="30" a="1"/>
  <c r="O339" i="30" s="1"/>
  <c r="N339" i="30"/>
  <c r="M339" i="30"/>
  <c r="L339" i="30"/>
  <c r="I339" i="30"/>
  <c r="O338" i="30" a="1"/>
  <c r="O338" i="30" s="1"/>
  <c r="N338" i="30"/>
  <c r="M338" i="30"/>
  <c r="L338" i="30"/>
  <c r="I338" i="30"/>
  <c r="O337" i="30" a="1"/>
  <c r="O337" i="30" s="1"/>
  <c r="N337" i="30"/>
  <c r="M337" i="30"/>
  <c r="L337" i="30"/>
  <c r="I337" i="30"/>
  <c r="O336" i="30" a="1"/>
  <c r="O336" i="30" s="1"/>
  <c r="N336" i="30"/>
  <c r="M336" i="30"/>
  <c r="L336" i="30"/>
  <c r="I336" i="30"/>
  <c r="O335" i="30" a="1"/>
  <c r="O335" i="30" s="1"/>
  <c r="N335" i="30"/>
  <c r="M335" i="30"/>
  <c r="L335" i="30"/>
  <c r="I335" i="30"/>
  <c r="O334" i="30" a="1"/>
  <c r="O334" i="30" s="1"/>
  <c r="N334" i="30"/>
  <c r="M334" i="30"/>
  <c r="L334" i="30"/>
  <c r="I334" i="30"/>
  <c r="O333" i="30" a="1"/>
  <c r="O333" i="30" s="1"/>
  <c r="N333" i="30"/>
  <c r="M333" i="30"/>
  <c r="L333" i="30"/>
  <c r="I333" i="30"/>
  <c r="O332" i="30" a="1"/>
  <c r="O332" i="30" s="1"/>
  <c r="N332" i="30"/>
  <c r="M332" i="30"/>
  <c r="L332" i="30"/>
  <c r="I332" i="30"/>
  <c r="O331" i="30" a="1"/>
  <c r="O331" i="30" s="1"/>
  <c r="N331" i="30"/>
  <c r="M331" i="30"/>
  <c r="L331" i="30"/>
  <c r="I331" i="30"/>
  <c r="O330" i="30" a="1"/>
  <c r="O330" i="30" s="1"/>
  <c r="N330" i="30"/>
  <c r="M330" i="30"/>
  <c r="L330" i="30"/>
  <c r="I330" i="30"/>
  <c r="O329" i="30" a="1"/>
  <c r="O329" i="30" s="1"/>
  <c r="N329" i="30"/>
  <c r="M329" i="30"/>
  <c r="L329" i="30"/>
  <c r="I329" i="30"/>
  <c r="O328" i="30" a="1"/>
  <c r="O328" i="30" s="1"/>
  <c r="N328" i="30"/>
  <c r="M328" i="30"/>
  <c r="L328" i="30"/>
  <c r="I328" i="30"/>
  <c r="O327" i="30" a="1"/>
  <c r="O327" i="30" s="1"/>
  <c r="N327" i="30"/>
  <c r="M327" i="30"/>
  <c r="L327" i="30"/>
  <c r="I327" i="30"/>
  <c r="O326" i="30" a="1"/>
  <c r="O326" i="30" s="1"/>
  <c r="N326" i="30"/>
  <c r="M326" i="30"/>
  <c r="L326" i="30"/>
  <c r="I326" i="30"/>
  <c r="O325" i="30" a="1"/>
  <c r="O325" i="30" s="1"/>
  <c r="N325" i="30"/>
  <c r="M325" i="30"/>
  <c r="L325" i="30"/>
  <c r="I325" i="30"/>
  <c r="O324" i="30" a="1"/>
  <c r="O324" i="30" s="1"/>
  <c r="N324" i="30"/>
  <c r="M324" i="30"/>
  <c r="L324" i="30"/>
  <c r="I324" i="30"/>
  <c r="O323" i="30" a="1"/>
  <c r="O323" i="30" s="1"/>
  <c r="N323" i="30"/>
  <c r="M323" i="30"/>
  <c r="L323" i="30"/>
  <c r="I323" i="30"/>
  <c r="O322" i="30" a="1"/>
  <c r="O322" i="30" s="1"/>
  <c r="N322" i="30"/>
  <c r="M322" i="30"/>
  <c r="L322" i="30"/>
  <c r="I322" i="30"/>
  <c r="O321" i="30" a="1"/>
  <c r="O321" i="30" s="1"/>
  <c r="N321" i="30"/>
  <c r="M321" i="30"/>
  <c r="L321" i="30"/>
  <c r="I321" i="30"/>
  <c r="O320" i="30" a="1"/>
  <c r="O320" i="30" s="1"/>
  <c r="N320" i="30"/>
  <c r="M320" i="30"/>
  <c r="L320" i="30"/>
  <c r="I320" i="30"/>
  <c r="O319" i="30" a="1"/>
  <c r="O319" i="30" s="1"/>
  <c r="N319" i="30"/>
  <c r="M319" i="30"/>
  <c r="L319" i="30"/>
  <c r="I319" i="30"/>
  <c r="O318" i="30" a="1"/>
  <c r="O318" i="30" s="1"/>
  <c r="N318" i="30"/>
  <c r="M318" i="30"/>
  <c r="L318" i="30"/>
  <c r="I318" i="30"/>
  <c r="O317" i="30" a="1"/>
  <c r="O317" i="30" s="1"/>
  <c r="N317" i="30"/>
  <c r="M317" i="30"/>
  <c r="L317" i="30"/>
  <c r="I317" i="30"/>
  <c r="O316" i="30" a="1"/>
  <c r="O316" i="30" s="1"/>
  <c r="N316" i="30"/>
  <c r="M316" i="30"/>
  <c r="L316" i="30"/>
  <c r="I316" i="30"/>
  <c r="O315" i="30" a="1"/>
  <c r="O315" i="30" s="1"/>
  <c r="N315" i="30"/>
  <c r="M315" i="30"/>
  <c r="L315" i="30"/>
  <c r="I315" i="30"/>
  <c r="O314" i="30" a="1"/>
  <c r="O314" i="30" s="1"/>
  <c r="N314" i="30"/>
  <c r="M314" i="30"/>
  <c r="L314" i="30"/>
  <c r="I314" i="30"/>
  <c r="O313" i="30" a="1"/>
  <c r="O313" i="30" s="1"/>
  <c r="N313" i="30"/>
  <c r="M313" i="30"/>
  <c r="L313" i="30"/>
  <c r="I313" i="30"/>
  <c r="O312" i="30" a="1"/>
  <c r="O312" i="30" s="1"/>
  <c r="N312" i="30"/>
  <c r="M312" i="30"/>
  <c r="L312" i="30"/>
  <c r="I312" i="30"/>
  <c r="O311" i="30" a="1"/>
  <c r="O311" i="30" s="1"/>
  <c r="N311" i="30"/>
  <c r="M311" i="30"/>
  <c r="L311" i="30"/>
  <c r="I311" i="30"/>
  <c r="O310" i="30" a="1"/>
  <c r="O310" i="30" s="1"/>
  <c r="N310" i="30"/>
  <c r="M310" i="30"/>
  <c r="L310" i="30"/>
  <c r="I310" i="30"/>
  <c r="O309" i="30" a="1"/>
  <c r="O309" i="30" s="1"/>
  <c r="N309" i="30"/>
  <c r="M309" i="30"/>
  <c r="L309" i="30"/>
  <c r="I309" i="30"/>
  <c r="O308" i="30" a="1"/>
  <c r="O308" i="30" s="1"/>
  <c r="N308" i="30"/>
  <c r="M308" i="30"/>
  <c r="L308" i="30"/>
  <c r="I308" i="30"/>
  <c r="O307" i="30" a="1"/>
  <c r="O307" i="30" s="1"/>
  <c r="N307" i="30"/>
  <c r="M307" i="30"/>
  <c r="L307" i="30"/>
  <c r="I307" i="30"/>
  <c r="O306" i="30" a="1"/>
  <c r="O306" i="30" s="1"/>
  <c r="N306" i="30"/>
  <c r="M306" i="30"/>
  <c r="L306" i="30"/>
  <c r="I306" i="30"/>
  <c r="O305" i="30" a="1"/>
  <c r="O305" i="30" s="1"/>
  <c r="N305" i="30"/>
  <c r="M305" i="30"/>
  <c r="L305" i="30"/>
  <c r="I305" i="30"/>
  <c r="O304" i="30" a="1"/>
  <c r="O304" i="30" s="1"/>
  <c r="N304" i="30"/>
  <c r="M304" i="30"/>
  <c r="L304" i="30"/>
  <c r="I304" i="30"/>
  <c r="O303" i="30" a="1"/>
  <c r="O303" i="30" s="1"/>
  <c r="N303" i="30"/>
  <c r="M303" i="30"/>
  <c r="L303" i="30"/>
  <c r="I303" i="30"/>
  <c r="O302" i="30" a="1"/>
  <c r="O302" i="30" s="1"/>
  <c r="N302" i="30"/>
  <c r="M302" i="30"/>
  <c r="L302" i="30"/>
  <c r="I302" i="30"/>
  <c r="O301" i="30" a="1"/>
  <c r="O301" i="30" s="1"/>
  <c r="N301" i="30"/>
  <c r="M301" i="30"/>
  <c r="L301" i="30"/>
  <c r="I301" i="30"/>
  <c r="O300" i="30" a="1"/>
  <c r="O300" i="30" s="1"/>
  <c r="N300" i="30"/>
  <c r="M300" i="30"/>
  <c r="L300" i="30"/>
  <c r="I300" i="30"/>
  <c r="O299" i="30" a="1"/>
  <c r="O299" i="30" s="1"/>
  <c r="N299" i="30"/>
  <c r="M299" i="30"/>
  <c r="L299" i="30"/>
  <c r="I299" i="30"/>
  <c r="O298" i="30" a="1"/>
  <c r="O298" i="30" s="1"/>
  <c r="N298" i="30"/>
  <c r="M298" i="30"/>
  <c r="L298" i="30"/>
  <c r="I298" i="30"/>
  <c r="O297" i="30" a="1"/>
  <c r="O297" i="30" s="1"/>
  <c r="N297" i="30"/>
  <c r="M297" i="30"/>
  <c r="L297" i="30"/>
  <c r="I297" i="30"/>
  <c r="O296" i="30" a="1"/>
  <c r="O296" i="30" s="1"/>
  <c r="N296" i="30"/>
  <c r="M296" i="30"/>
  <c r="L296" i="30"/>
  <c r="I296" i="30"/>
  <c r="O295" i="30" a="1"/>
  <c r="O295" i="30" s="1"/>
  <c r="N295" i="30"/>
  <c r="M295" i="30"/>
  <c r="L295" i="30"/>
  <c r="I295" i="30"/>
  <c r="O294" i="30" a="1"/>
  <c r="O294" i="30" s="1"/>
  <c r="N294" i="30"/>
  <c r="M294" i="30"/>
  <c r="L294" i="30"/>
  <c r="I294" i="30"/>
  <c r="O293" i="30" a="1"/>
  <c r="O293" i="30" s="1"/>
  <c r="N293" i="30"/>
  <c r="M293" i="30"/>
  <c r="L293" i="30"/>
  <c r="I293" i="30"/>
  <c r="O292" i="30" a="1"/>
  <c r="O292" i="30" s="1"/>
  <c r="N292" i="30"/>
  <c r="M292" i="30"/>
  <c r="L292" i="30"/>
  <c r="I292" i="30"/>
  <c r="O291" i="30" a="1"/>
  <c r="O291" i="30" s="1"/>
  <c r="N291" i="30"/>
  <c r="M291" i="30"/>
  <c r="L291" i="30"/>
  <c r="I291" i="30"/>
  <c r="O290" i="30" a="1"/>
  <c r="O290" i="30" s="1"/>
  <c r="N290" i="30"/>
  <c r="M290" i="30"/>
  <c r="L290" i="30"/>
  <c r="I290" i="30"/>
  <c r="O289" i="30" a="1"/>
  <c r="O289" i="30" s="1"/>
  <c r="N289" i="30"/>
  <c r="M289" i="30"/>
  <c r="L289" i="30"/>
  <c r="I289" i="30"/>
  <c r="O288" i="30" a="1"/>
  <c r="O288" i="30" s="1"/>
  <c r="N288" i="30"/>
  <c r="M288" i="30"/>
  <c r="L288" i="30"/>
  <c r="I288" i="30"/>
  <c r="O287" i="30" a="1"/>
  <c r="O287" i="30" s="1"/>
  <c r="N287" i="30"/>
  <c r="M287" i="30"/>
  <c r="L287" i="30"/>
  <c r="I287" i="30"/>
  <c r="O286" i="30" a="1"/>
  <c r="O286" i="30" s="1"/>
  <c r="N286" i="30"/>
  <c r="M286" i="30"/>
  <c r="L286" i="30"/>
  <c r="I286" i="30"/>
  <c r="O285" i="30" a="1"/>
  <c r="O285" i="30" s="1"/>
  <c r="N285" i="30"/>
  <c r="M285" i="30"/>
  <c r="L285" i="30"/>
  <c r="I285" i="30"/>
  <c r="O284" i="30" a="1"/>
  <c r="O284" i="30" s="1"/>
  <c r="N284" i="30"/>
  <c r="M284" i="30"/>
  <c r="L284" i="30"/>
  <c r="I284" i="30"/>
  <c r="O283" i="30" a="1"/>
  <c r="O283" i="30" s="1"/>
  <c r="N283" i="30"/>
  <c r="M283" i="30"/>
  <c r="L283" i="30"/>
  <c r="I283" i="30"/>
  <c r="O282" i="30" a="1"/>
  <c r="O282" i="30" s="1"/>
  <c r="N282" i="30"/>
  <c r="M282" i="30"/>
  <c r="L282" i="30"/>
  <c r="I282" i="30"/>
  <c r="O281" i="30" a="1"/>
  <c r="O281" i="30" s="1"/>
  <c r="N281" i="30"/>
  <c r="M281" i="30"/>
  <c r="L281" i="30"/>
  <c r="I281" i="30"/>
  <c r="O280" i="30" a="1"/>
  <c r="O280" i="30" s="1"/>
  <c r="N280" i="30"/>
  <c r="M280" i="30"/>
  <c r="L280" i="30"/>
  <c r="I280" i="30"/>
  <c r="O279" i="30" a="1"/>
  <c r="O279" i="30" s="1"/>
  <c r="N279" i="30"/>
  <c r="M279" i="30"/>
  <c r="L279" i="30"/>
  <c r="I279" i="30"/>
  <c r="O278" i="30" a="1"/>
  <c r="O278" i="30" s="1"/>
  <c r="N278" i="30"/>
  <c r="M278" i="30"/>
  <c r="L278" i="30"/>
  <c r="I278" i="30"/>
  <c r="O277" i="30" a="1"/>
  <c r="O277" i="30" s="1"/>
  <c r="N277" i="30"/>
  <c r="M277" i="30"/>
  <c r="L277" i="30"/>
  <c r="I277" i="30"/>
  <c r="O276" i="30" a="1"/>
  <c r="O276" i="30" s="1"/>
  <c r="N276" i="30"/>
  <c r="M276" i="30"/>
  <c r="L276" i="30"/>
  <c r="I276" i="30"/>
  <c r="O275" i="30" a="1"/>
  <c r="O275" i="30" s="1"/>
  <c r="N275" i="30"/>
  <c r="M275" i="30"/>
  <c r="L275" i="30"/>
  <c r="I275" i="30"/>
  <c r="O274" i="30" a="1"/>
  <c r="O274" i="30" s="1"/>
  <c r="N274" i="30"/>
  <c r="M274" i="30"/>
  <c r="L274" i="30"/>
  <c r="I274" i="30"/>
  <c r="O273" i="30" a="1"/>
  <c r="O273" i="30" s="1"/>
  <c r="N273" i="30"/>
  <c r="M273" i="30"/>
  <c r="L273" i="30"/>
  <c r="I273" i="30"/>
  <c r="O272" i="30" a="1"/>
  <c r="O272" i="30" s="1"/>
  <c r="N272" i="30"/>
  <c r="M272" i="30"/>
  <c r="L272" i="30"/>
  <c r="I272" i="30"/>
  <c r="O271" i="30" a="1"/>
  <c r="O271" i="30" s="1"/>
  <c r="N271" i="30"/>
  <c r="M271" i="30"/>
  <c r="L271" i="30"/>
  <c r="I271" i="30"/>
  <c r="O270" i="30" a="1"/>
  <c r="O270" i="30" s="1"/>
  <c r="N270" i="30"/>
  <c r="M270" i="30"/>
  <c r="L270" i="30"/>
  <c r="I270" i="30"/>
  <c r="O269" i="30" a="1"/>
  <c r="O269" i="30" s="1"/>
  <c r="N269" i="30"/>
  <c r="M269" i="30"/>
  <c r="L269" i="30"/>
  <c r="I269" i="30"/>
  <c r="O268" i="30" a="1"/>
  <c r="O268" i="30" s="1"/>
  <c r="N268" i="30"/>
  <c r="M268" i="30"/>
  <c r="L268" i="30"/>
  <c r="I268" i="30"/>
  <c r="O267" i="30" a="1"/>
  <c r="O267" i="30" s="1"/>
  <c r="N267" i="30"/>
  <c r="M267" i="30"/>
  <c r="L267" i="30"/>
  <c r="I267" i="30"/>
  <c r="O266" i="30" a="1"/>
  <c r="O266" i="30" s="1"/>
  <c r="N266" i="30"/>
  <c r="M266" i="30"/>
  <c r="L266" i="30"/>
  <c r="I266" i="30"/>
  <c r="O265" i="30" a="1"/>
  <c r="O265" i="30" s="1"/>
  <c r="N265" i="30"/>
  <c r="M265" i="30"/>
  <c r="L265" i="30"/>
  <c r="I265" i="30"/>
  <c r="O264" i="30" a="1"/>
  <c r="O264" i="30" s="1"/>
  <c r="N264" i="30"/>
  <c r="M264" i="30"/>
  <c r="L264" i="30"/>
  <c r="I264" i="30"/>
  <c r="O263" i="30" a="1"/>
  <c r="O263" i="30" s="1"/>
  <c r="N263" i="30"/>
  <c r="M263" i="30"/>
  <c r="L263" i="30"/>
  <c r="I263" i="30"/>
  <c r="O262" i="30" a="1"/>
  <c r="O262" i="30" s="1"/>
  <c r="N262" i="30"/>
  <c r="M262" i="30"/>
  <c r="L262" i="30"/>
  <c r="I262" i="30"/>
  <c r="O261" i="30" a="1"/>
  <c r="O261" i="30" s="1"/>
  <c r="N261" i="30"/>
  <c r="M261" i="30"/>
  <c r="L261" i="30"/>
  <c r="I261" i="30"/>
  <c r="O260" i="30" a="1"/>
  <c r="O260" i="30" s="1"/>
  <c r="N260" i="30"/>
  <c r="M260" i="30"/>
  <c r="L260" i="30"/>
  <c r="I260" i="30"/>
  <c r="O259" i="30" a="1"/>
  <c r="O259" i="30" s="1"/>
  <c r="N259" i="30"/>
  <c r="M259" i="30"/>
  <c r="L259" i="30"/>
  <c r="I259" i="30"/>
  <c r="O258" i="30" a="1"/>
  <c r="O258" i="30" s="1"/>
  <c r="N258" i="30"/>
  <c r="M258" i="30"/>
  <c r="L258" i="30"/>
  <c r="I258" i="30"/>
  <c r="O257" i="30" a="1"/>
  <c r="O257" i="30" s="1"/>
  <c r="N257" i="30"/>
  <c r="M257" i="30"/>
  <c r="L257" i="30"/>
  <c r="I257" i="30"/>
  <c r="O256" i="30" a="1"/>
  <c r="O256" i="30" s="1"/>
  <c r="N256" i="30"/>
  <c r="M256" i="30"/>
  <c r="L256" i="30"/>
  <c r="I256" i="30"/>
  <c r="O255" i="30" a="1"/>
  <c r="O255" i="30" s="1"/>
  <c r="N255" i="30"/>
  <c r="M255" i="30"/>
  <c r="L255" i="30"/>
  <c r="I255" i="30"/>
  <c r="O254" i="30" a="1"/>
  <c r="O254" i="30" s="1"/>
  <c r="N254" i="30"/>
  <c r="M254" i="30"/>
  <c r="L254" i="30"/>
  <c r="I254" i="30"/>
  <c r="O253" i="30" a="1"/>
  <c r="O253" i="30" s="1"/>
  <c r="N253" i="30"/>
  <c r="M253" i="30"/>
  <c r="L253" i="30"/>
  <c r="I253" i="30"/>
  <c r="O252" i="30" a="1"/>
  <c r="O252" i="30" s="1"/>
  <c r="N252" i="30"/>
  <c r="M252" i="30"/>
  <c r="L252" i="30"/>
  <c r="I252" i="30"/>
  <c r="O251" i="30" a="1"/>
  <c r="O251" i="30" s="1"/>
  <c r="N251" i="30"/>
  <c r="M251" i="30"/>
  <c r="L251" i="30"/>
  <c r="I251" i="30"/>
  <c r="O250" i="30" a="1"/>
  <c r="O250" i="30" s="1"/>
  <c r="N250" i="30"/>
  <c r="M250" i="30"/>
  <c r="L250" i="30"/>
  <c r="I250" i="30"/>
  <c r="O249" i="30" a="1"/>
  <c r="O249" i="30" s="1"/>
  <c r="N249" i="30"/>
  <c r="M249" i="30"/>
  <c r="L249" i="30"/>
  <c r="I249" i="30"/>
  <c r="O248" i="30" a="1"/>
  <c r="O248" i="30" s="1"/>
  <c r="N248" i="30"/>
  <c r="M248" i="30"/>
  <c r="L248" i="30"/>
  <c r="I248" i="30"/>
  <c r="O247" i="30" a="1"/>
  <c r="O247" i="30" s="1"/>
  <c r="N247" i="30"/>
  <c r="M247" i="30"/>
  <c r="L247" i="30"/>
  <c r="I247" i="30"/>
  <c r="O246" i="30" a="1"/>
  <c r="O246" i="30" s="1"/>
  <c r="N246" i="30"/>
  <c r="M246" i="30"/>
  <c r="L246" i="30"/>
  <c r="I246" i="30"/>
  <c r="O245" i="30" a="1"/>
  <c r="O245" i="30" s="1"/>
  <c r="N245" i="30"/>
  <c r="M245" i="30"/>
  <c r="L245" i="30"/>
  <c r="I245" i="30"/>
  <c r="O244" i="30" a="1"/>
  <c r="O244" i="30" s="1"/>
  <c r="N244" i="30"/>
  <c r="M244" i="30"/>
  <c r="L244" i="30"/>
  <c r="I244" i="30"/>
  <c r="O243" i="30" a="1"/>
  <c r="O243" i="30" s="1"/>
  <c r="N243" i="30"/>
  <c r="M243" i="30"/>
  <c r="L243" i="30"/>
  <c r="I243" i="30"/>
  <c r="O242" i="30" a="1"/>
  <c r="O242" i="30" s="1"/>
  <c r="N242" i="30"/>
  <c r="M242" i="30"/>
  <c r="L242" i="30"/>
  <c r="I242" i="30"/>
  <c r="O241" i="30" a="1"/>
  <c r="O241" i="30" s="1"/>
  <c r="N241" i="30"/>
  <c r="M241" i="30"/>
  <c r="L241" i="30"/>
  <c r="I241" i="30"/>
  <c r="O240" i="30" a="1"/>
  <c r="O240" i="30" s="1"/>
  <c r="N240" i="30"/>
  <c r="M240" i="30"/>
  <c r="L240" i="30"/>
  <c r="I240" i="30"/>
  <c r="O239" i="30" a="1"/>
  <c r="O239" i="30" s="1"/>
  <c r="N239" i="30"/>
  <c r="M239" i="30"/>
  <c r="L239" i="30"/>
  <c r="I239" i="30"/>
  <c r="O238" i="30" a="1"/>
  <c r="O238" i="30" s="1"/>
  <c r="N238" i="30"/>
  <c r="M238" i="30"/>
  <c r="L238" i="30"/>
  <c r="I238" i="30"/>
  <c r="O237" i="30" a="1"/>
  <c r="O237" i="30" s="1"/>
  <c r="N237" i="30"/>
  <c r="M237" i="30"/>
  <c r="L237" i="30"/>
  <c r="I237" i="30"/>
  <c r="O236" i="30" a="1"/>
  <c r="O236" i="30" s="1"/>
  <c r="N236" i="30"/>
  <c r="M236" i="30"/>
  <c r="L236" i="30"/>
  <c r="I236" i="30"/>
  <c r="O235" i="30" a="1"/>
  <c r="O235" i="30" s="1"/>
  <c r="N235" i="30"/>
  <c r="M235" i="30"/>
  <c r="L235" i="30"/>
  <c r="I235" i="30"/>
  <c r="O234" i="30" a="1"/>
  <c r="O234" i="30" s="1"/>
  <c r="N234" i="30"/>
  <c r="M234" i="30"/>
  <c r="L234" i="30"/>
  <c r="I234" i="30"/>
  <c r="O233" i="30" a="1"/>
  <c r="O233" i="30" s="1"/>
  <c r="N233" i="30"/>
  <c r="M233" i="30"/>
  <c r="L233" i="30"/>
  <c r="I233" i="30"/>
  <c r="O232" i="30" a="1"/>
  <c r="O232" i="30" s="1"/>
  <c r="N232" i="30"/>
  <c r="M232" i="30"/>
  <c r="L232" i="30"/>
  <c r="I232" i="30"/>
  <c r="O231" i="30" a="1"/>
  <c r="O231" i="30" s="1"/>
  <c r="N231" i="30"/>
  <c r="M231" i="30"/>
  <c r="L231" i="30"/>
  <c r="I231" i="30"/>
  <c r="O230" i="30" a="1"/>
  <c r="O230" i="30" s="1"/>
  <c r="N230" i="30"/>
  <c r="M230" i="30"/>
  <c r="L230" i="30"/>
  <c r="I230" i="30"/>
  <c r="O229" i="30" a="1"/>
  <c r="O229" i="30" s="1"/>
  <c r="N229" i="30"/>
  <c r="M229" i="30"/>
  <c r="L229" i="30"/>
  <c r="I229" i="30"/>
  <c r="O228" i="30" a="1"/>
  <c r="O228" i="30" s="1"/>
  <c r="N228" i="30"/>
  <c r="M228" i="30"/>
  <c r="L228" i="30"/>
  <c r="I228" i="30"/>
  <c r="O227" i="30" a="1"/>
  <c r="O227" i="30" s="1"/>
  <c r="N227" i="30"/>
  <c r="M227" i="30"/>
  <c r="L227" i="30"/>
  <c r="I227" i="30"/>
  <c r="O226" i="30" a="1"/>
  <c r="O226" i="30" s="1"/>
  <c r="N226" i="30"/>
  <c r="M226" i="30"/>
  <c r="L226" i="30"/>
  <c r="I226" i="30"/>
  <c r="O225" i="30" a="1"/>
  <c r="O225" i="30" s="1"/>
  <c r="N225" i="30"/>
  <c r="M225" i="30"/>
  <c r="L225" i="30"/>
  <c r="I225" i="30"/>
  <c r="O224" i="30" a="1"/>
  <c r="O224" i="30" s="1"/>
  <c r="N224" i="30"/>
  <c r="M224" i="30"/>
  <c r="L224" i="30"/>
  <c r="I224" i="30"/>
  <c r="O223" i="30" a="1"/>
  <c r="O223" i="30" s="1"/>
  <c r="N223" i="30"/>
  <c r="M223" i="30"/>
  <c r="L223" i="30"/>
  <c r="I223" i="30"/>
  <c r="O222" i="30" a="1"/>
  <c r="O222" i="30" s="1"/>
  <c r="N222" i="30"/>
  <c r="M222" i="30"/>
  <c r="L222" i="30"/>
  <c r="I222" i="30"/>
  <c r="O221" i="30" a="1"/>
  <c r="O221" i="30" s="1"/>
  <c r="N221" i="30"/>
  <c r="M221" i="30"/>
  <c r="L221" i="30"/>
  <c r="I221" i="30"/>
  <c r="O220" i="30" a="1"/>
  <c r="O220" i="30" s="1"/>
  <c r="N220" i="30"/>
  <c r="M220" i="30"/>
  <c r="L220" i="30"/>
  <c r="I220" i="30"/>
  <c r="O219" i="30" a="1"/>
  <c r="O219" i="30" s="1"/>
  <c r="N219" i="30"/>
  <c r="M219" i="30"/>
  <c r="L219" i="30"/>
  <c r="I219" i="30"/>
  <c r="O218" i="30" a="1"/>
  <c r="O218" i="30" s="1"/>
  <c r="N218" i="30"/>
  <c r="M218" i="30"/>
  <c r="L218" i="30"/>
  <c r="I218" i="30"/>
  <c r="O217" i="30" a="1"/>
  <c r="O217" i="30" s="1"/>
  <c r="N217" i="30"/>
  <c r="M217" i="30"/>
  <c r="L217" i="30"/>
  <c r="I217" i="30"/>
  <c r="O216" i="30" a="1"/>
  <c r="O216" i="30" s="1"/>
  <c r="N216" i="30"/>
  <c r="M216" i="30"/>
  <c r="L216" i="30"/>
  <c r="I216" i="30"/>
  <c r="O215" i="30" a="1"/>
  <c r="O215" i="30" s="1"/>
  <c r="N215" i="30"/>
  <c r="M215" i="30"/>
  <c r="L215" i="30"/>
  <c r="I215" i="30"/>
  <c r="O214" i="30" a="1"/>
  <c r="O214" i="30" s="1"/>
  <c r="N214" i="30"/>
  <c r="M214" i="30"/>
  <c r="L214" i="30"/>
  <c r="I214" i="30"/>
  <c r="O213" i="30" a="1"/>
  <c r="O213" i="30" s="1"/>
  <c r="N213" i="30"/>
  <c r="M213" i="30"/>
  <c r="L213" i="30"/>
  <c r="I213" i="30"/>
  <c r="O212" i="30" a="1"/>
  <c r="O212" i="30" s="1"/>
  <c r="N212" i="30"/>
  <c r="M212" i="30"/>
  <c r="L212" i="30"/>
  <c r="I212" i="30"/>
  <c r="O211" i="30" a="1"/>
  <c r="O211" i="30" s="1"/>
  <c r="N211" i="30"/>
  <c r="M211" i="30"/>
  <c r="L211" i="30"/>
  <c r="I211" i="30"/>
  <c r="O210" i="30" a="1"/>
  <c r="O210" i="30" s="1"/>
  <c r="N210" i="30"/>
  <c r="M210" i="30"/>
  <c r="L210" i="30"/>
  <c r="I210" i="30"/>
  <c r="O209" i="30" a="1"/>
  <c r="O209" i="30" s="1"/>
  <c r="N209" i="30"/>
  <c r="M209" i="30"/>
  <c r="L209" i="30"/>
  <c r="I209" i="30"/>
  <c r="O208" i="30" a="1"/>
  <c r="O208" i="30" s="1"/>
  <c r="N208" i="30"/>
  <c r="M208" i="30"/>
  <c r="L208" i="30"/>
  <c r="I208" i="30"/>
  <c r="O207" i="30" a="1"/>
  <c r="O207" i="30" s="1"/>
  <c r="N207" i="30"/>
  <c r="M207" i="30"/>
  <c r="L207" i="30"/>
  <c r="I207" i="30"/>
  <c r="O206" i="30" a="1"/>
  <c r="O206" i="30" s="1"/>
  <c r="N206" i="30"/>
  <c r="M206" i="30"/>
  <c r="L206" i="30"/>
  <c r="I206" i="30"/>
  <c r="O205" i="30" a="1"/>
  <c r="O205" i="30" s="1"/>
  <c r="N205" i="30"/>
  <c r="M205" i="30"/>
  <c r="L205" i="30"/>
  <c r="I205" i="30"/>
  <c r="O204" i="30" a="1"/>
  <c r="O204" i="30" s="1"/>
  <c r="N204" i="30"/>
  <c r="M204" i="30"/>
  <c r="L204" i="30"/>
  <c r="I204" i="30"/>
  <c r="O203" i="30" a="1"/>
  <c r="O203" i="30" s="1"/>
  <c r="N203" i="30"/>
  <c r="M203" i="30"/>
  <c r="L203" i="30"/>
  <c r="I203" i="30"/>
  <c r="O202" i="30" a="1"/>
  <c r="O202" i="30" s="1"/>
  <c r="N202" i="30"/>
  <c r="M202" i="30"/>
  <c r="L202" i="30"/>
  <c r="I202" i="30"/>
  <c r="O201" i="30" a="1"/>
  <c r="O201" i="30" s="1"/>
  <c r="N201" i="30"/>
  <c r="M201" i="30"/>
  <c r="L201" i="30"/>
  <c r="I201" i="30"/>
  <c r="O200" i="30" a="1"/>
  <c r="O200" i="30" s="1"/>
  <c r="N200" i="30"/>
  <c r="M200" i="30"/>
  <c r="L200" i="30"/>
  <c r="I200" i="30"/>
  <c r="O199" i="30" a="1"/>
  <c r="O199" i="30" s="1"/>
  <c r="N199" i="30"/>
  <c r="M199" i="30"/>
  <c r="L199" i="30"/>
  <c r="I199" i="30"/>
  <c r="O198" i="30" a="1"/>
  <c r="O198" i="30" s="1"/>
  <c r="N198" i="30"/>
  <c r="M198" i="30"/>
  <c r="L198" i="30"/>
  <c r="I198" i="30"/>
  <c r="O197" i="30" a="1"/>
  <c r="O197" i="30" s="1"/>
  <c r="N197" i="30"/>
  <c r="M197" i="30"/>
  <c r="L197" i="30"/>
  <c r="I197" i="30"/>
  <c r="O196" i="30" a="1"/>
  <c r="O196" i="30" s="1"/>
  <c r="N196" i="30"/>
  <c r="M196" i="30"/>
  <c r="L196" i="30"/>
  <c r="I196" i="30"/>
  <c r="O195" i="30" a="1"/>
  <c r="O195" i="30" s="1"/>
  <c r="N195" i="30"/>
  <c r="M195" i="30"/>
  <c r="L195" i="30"/>
  <c r="I195" i="30"/>
  <c r="O194" i="30" a="1"/>
  <c r="O194" i="30" s="1"/>
  <c r="N194" i="30"/>
  <c r="M194" i="30"/>
  <c r="L194" i="30"/>
  <c r="I194" i="30"/>
  <c r="O193" i="30" a="1"/>
  <c r="O193" i="30" s="1"/>
  <c r="N193" i="30"/>
  <c r="M193" i="30"/>
  <c r="L193" i="30"/>
  <c r="I193" i="30"/>
  <c r="O192" i="30" a="1"/>
  <c r="O192" i="30" s="1"/>
  <c r="N192" i="30"/>
  <c r="M192" i="30"/>
  <c r="L192" i="30"/>
  <c r="I192" i="30"/>
  <c r="O191" i="30" a="1"/>
  <c r="O191" i="30" s="1"/>
  <c r="N191" i="30"/>
  <c r="M191" i="30"/>
  <c r="L191" i="30"/>
  <c r="I191" i="30"/>
  <c r="O190" i="30" a="1"/>
  <c r="O190" i="30" s="1"/>
  <c r="N190" i="30"/>
  <c r="M190" i="30"/>
  <c r="L190" i="30"/>
  <c r="I190" i="30"/>
  <c r="O189" i="30" a="1"/>
  <c r="O189" i="30" s="1"/>
  <c r="N189" i="30"/>
  <c r="M189" i="30"/>
  <c r="L189" i="30"/>
  <c r="I189" i="30"/>
  <c r="O188" i="30" a="1"/>
  <c r="O188" i="30" s="1"/>
  <c r="N188" i="30"/>
  <c r="M188" i="30"/>
  <c r="L188" i="30"/>
  <c r="I188" i="30"/>
  <c r="O187" i="30" a="1"/>
  <c r="O187" i="30" s="1"/>
  <c r="N187" i="30"/>
  <c r="M187" i="30"/>
  <c r="L187" i="30"/>
  <c r="I187" i="30"/>
  <c r="O186" i="30" a="1"/>
  <c r="O186" i="30" s="1"/>
  <c r="N186" i="30"/>
  <c r="M186" i="30"/>
  <c r="L186" i="30"/>
  <c r="I186" i="30"/>
  <c r="O185" i="30" a="1"/>
  <c r="O185" i="30" s="1"/>
  <c r="N185" i="30"/>
  <c r="M185" i="30"/>
  <c r="L185" i="30"/>
  <c r="I185" i="30"/>
  <c r="O184" i="30" a="1"/>
  <c r="O184" i="30" s="1"/>
  <c r="N184" i="30"/>
  <c r="M184" i="30"/>
  <c r="L184" i="30"/>
  <c r="I184" i="30"/>
  <c r="O183" i="30" a="1"/>
  <c r="O183" i="30" s="1"/>
  <c r="N183" i="30"/>
  <c r="M183" i="30"/>
  <c r="L183" i="30"/>
  <c r="I183" i="30"/>
  <c r="O182" i="30" a="1"/>
  <c r="O182" i="30" s="1"/>
  <c r="N182" i="30"/>
  <c r="M182" i="30"/>
  <c r="L182" i="30"/>
  <c r="I182" i="30"/>
  <c r="O181" i="30" a="1"/>
  <c r="O181" i="30" s="1"/>
  <c r="N181" i="30"/>
  <c r="M181" i="30"/>
  <c r="L181" i="30"/>
  <c r="I181" i="30"/>
  <c r="O180" i="30" a="1"/>
  <c r="O180" i="30" s="1"/>
  <c r="N180" i="30"/>
  <c r="M180" i="30"/>
  <c r="L180" i="30"/>
  <c r="I180" i="30"/>
  <c r="O179" i="30" a="1"/>
  <c r="O179" i="30" s="1"/>
  <c r="N179" i="30"/>
  <c r="M179" i="30"/>
  <c r="L179" i="30"/>
  <c r="I179" i="30"/>
  <c r="O178" i="30" a="1"/>
  <c r="O178" i="30" s="1"/>
  <c r="N178" i="30"/>
  <c r="M178" i="30"/>
  <c r="L178" i="30"/>
  <c r="I178" i="30"/>
  <c r="O177" i="30" a="1"/>
  <c r="O177" i="30" s="1"/>
  <c r="N177" i="30"/>
  <c r="M177" i="30"/>
  <c r="L177" i="30"/>
  <c r="I177" i="30"/>
  <c r="O176" i="30" a="1"/>
  <c r="O176" i="30" s="1"/>
  <c r="N176" i="30"/>
  <c r="M176" i="30"/>
  <c r="L176" i="30"/>
  <c r="I176" i="30"/>
  <c r="O175" i="30" a="1"/>
  <c r="O175" i="30" s="1"/>
  <c r="N175" i="30"/>
  <c r="M175" i="30"/>
  <c r="L175" i="30"/>
  <c r="I175" i="30"/>
  <c r="O174" i="30" a="1"/>
  <c r="O174" i="30" s="1"/>
  <c r="N174" i="30"/>
  <c r="M174" i="30"/>
  <c r="L174" i="30"/>
  <c r="I174" i="30"/>
  <c r="O173" i="30" a="1"/>
  <c r="O173" i="30" s="1"/>
  <c r="N173" i="30"/>
  <c r="M173" i="30"/>
  <c r="L173" i="30"/>
  <c r="I173" i="30"/>
  <c r="O172" i="30" a="1"/>
  <c r="O172" i="30" s="1"/>
  <c r="N172" i="30"/>
  <c r="M172" i="30"/>
  <c r="L172" i="30"/>
  <c r="I172" i="30"/>
  <c r="O171" i="30" a="1"/>
  <c r="O171" i="30" s="1"/>
  <c r="N171" i="30"/>
  <c r="M171" i="30"/>
  <c r="L171" i="30"/>
  <c r="I171" i="30"/>
  <c r="O170" i="30" a="1"/>
  <c r="O170" i="30" s="1"/>
  <c r="N170" i="30"/>
  <c r="M170" i="30"/>
  <c r="L170" i="30"/>
  <c r="I170" i="30"/>
  <c r="O169" i="30" a="1"/>
  <c r="O169" i="30" s="1"/>
  <c r="N169" i="30"/>
  <c r="M169" i="30"/>
  <c r="L169" i="30"/>
  <c r="I169" i="30"/>
  <c r="O168" i="30" a="1"/>
  <c r="O168" i="30" s="1"/>
  <c r="N168" i="30"/>
  <c r="M168" i="30"/>
  <c r="L168" i="30"/>
  <c r="I168" i="30"/>
  <c r="O167" i="30" a="1"/>
  <c r="O167" i="30" s="1"/>
  <c r="N167" i="30"/>
  <c r="M167" i="30"/>
  <c r="L167" i="30"/>
  <c r="I167" i="30"/>
  <c r="O166" i="30" a="1"/>
  <c r="O166" i="30" s="1"/>
  <c r="N166" i="30"/>
  <c r="M166" i="30"/>
  <c r="L166" i="30"/>
  <c r="I166" i="30"/>
  <c r="O165" i="30" a="1"/>
  <c r="O165" i="30" s="1"/>
  <c r="N165" i="30"/>
  <c r="M165" i="30"/>
  <c r="L165" i="30"/>
  <c r="I165" i="30"/>
  <c r="O164" i="30" a="1"/>
  <c r="O164" i="30" s="1"/>
  <c r="N164" i="30"/>
  <c r="M164" i="30"/>
  <c r="L164" i="30"/>
  <c r="I164" i="30"/>
  <c r="O163" i="30" a="1"/>
  <c r="O163" i="30" s="1"/>
  <c r="N163" i="30"/>
  <c r="M163" i="30"/>
  <c r="L163" i="30"/>
  <c r="I163" i="30"/>
  <c r="O162" i="30" a="1"/>
  <c r="O162" i="30" s="1"/>
  <c r="N162" i="30"/>
  <c r="M162" i="30"/>
  <c r="L162" i="30"/>
  <c r="I162" i="30"/>
  <c r="O161" i="30" a="1"/>
  <c r="O161" i="30" s="1"/>
  <c r="N161" i="30"/>
  <c r="M161" i="30"/>
  <c r="L161" i="30"/>
  <c r="I161" i="30"/>
  <c r="O160" i="30" a="1"/>
  <c r="O160" i="30" s="1"/>
  <c r="N160" i="30"/>
  <c r="M160" i="30"/>
  <c r="L160" i="30"/>
  <c r="I160" i="30"/>
  <c r="O159" i="30" a="1"/>
  <c r="O159" i="30" s="1"/>
  <c r="N159" i="30"/>
  <c r="M159" i="30"/>
  <c r="L159" i="30"/>
  <c r="I159" i="30"/>
  <c r="O158" i="30" a="1"/>
  <c r="O158" i="30" s="1"/>
  <c r="N158" i="30"/>
  <c r="M158" i="30"/>
  <c r="L158" i="30"/>
  <c r="I158" i="30"/>
  <c r="O157" i="30" a="1"/>
  <c r="O157" i="30" s="1"/>
  <c r="N157" i="30"/>
  <c r="M157" i="30"/>
  <c r="L157" i="30"/>
  <c r="I157" i="30"/>
  <c r="O156" i="30" a="1"/>
  <c r="O156" i="30" s="1"/>
  <c r="N156" i="30"/>
  <c r="M156" i="30"/>
  <c r="L156" i="30"/>
  <c r="I156" i="30"/>
  <c r="O155" i="30" a="1"/>
  <c r="O155" i="30" s="1"/>
  <c r="N155" i="30"/>
  <c r="M155" i="30"/>
  <c r="L155" i="30"/>
  <c r="I155" i="30"/>
  <c r="O154" i="30" a="1"/>
  <c r="O154" i="30" s="1"/>
  <c r="N154" i="30"/>
  <c r="M154" i="30"/>
  <c r="L154" i="30"/>
  <c r="I154" i="30"/>
  <c r="O153" i="30" a="1"/>
  <c r="O153" i="30" s="1"/>
  <c r="N153" i="30"/>
  <c r="M153" i="30"/>
  <c r="L153" i="30"/>
  <c r="I153" i="30"/>
  <c r="O152" i="30" a="1"/>
  <c r="O152" i="30" s="1"/>
  <c r="N152" i="30"/>
  <c r="M152" i="30"/>
  <c r="L152" i="30"/>
  <c r="I152" i="30"/>
  <c r="O151" i="30" a="1"/>
  <c r="O151" i="30" s="1"/>
  <c r="N151" i="30"/>
  <c r="M151" i="30"/>
  <c r="L151" i="30"/>
  <c r="I151" i="30"/>
  <c r="O150" i="30" a="1"/>
  <c r="O150" i="30" s="1"/>
  <c r="N150" i="30"/>
  <c r="M150" i="30"/>
  <c r="L150" i="30"/>
  <c r="I150" i="30"/>
  <c r="O149" i="30" a="1"/>
  <c r="O149" i="30" s="1"/>
  <c r="N149" i="30"/>
  <c r="M149" i="30"/>
  <c r="L149" i="30"/>
  <c r="I149" i="30"/>
  <c r="O148" i="30" a="1"/>
  <c r="O148" i="30" s="1"/>
  <c r="N148" i="30"/>
  <c r="M148" i="30"/>
  <c r="L148" i="30"/>
  <c r="I148" i="30"/>
  <c r="O147" i="30" a="1"/>
  <c r="O147" i="30" s="1"/>
  <c r="N147" i="30"/>
  <c r="M147" i="30"/>
  <c r="L147" i="30"/>
  <c r="I147" i="30"/>
  <c r="O146" i="30" a="1"/>
  <c r="O146" i="30" s="1"/>
  <c r="N146" i="30"/>
  <c r="M146" i="30"/>
  <c r="L146" i="30"/>
  <c r="I146" i="30"/>
  <c r="O145" i="30" a="1"/>
  <c r="O145" i="30" s="1"/>
  <c r="N145" i="30"/>
  <c r="M145" i="30"/>
  <c r="L145" i="30"/>
  <c r="I145" i="30"/>
  <c r="O144" i="30" a="1"/>
  <c r="O144" i="30" s="1"/>
  <c r="N144" i="30"/>
  <c r="M144" i="30"/>
  <c r="L144" i="30"/>
  <c r="I144" i="30"/>
  <c r="O143" i="30" a="1"/>
  <c r="O143" i="30" s="1"/>
  <c r="N143" i="30"/>
  <c r="M143" i="30"/>
  <c r="L143" i="30"/>
  <c r="I143" i="30"/>
  <c r="O142" i="30" a="1"/>
  <c r="O142" i="30" s="1"/>
  <c r="N142" i="30"/>
  <c r="M142" i="30"/>
  <c r="L142" i="30"/>
  <c r="I142" i="30"/>
  <c r="O141" i="30" a="1"/>
  <c r="O141" i="30" s="1"/>
  <c r="N141" i="30"/>
  <c r="M141" i="30"/>
  <c r="L141" i="30"/>
  <c r="I141" i="30"/>
  <c r="O140" i="30" a="1"/>
  <c r="O140" i="30" s="1"/>
  <c r="N140" i="30"/>
  <c r="M140" i="30"/>
  <c r="L140" i="30"/>
  <c r="I140" i="30"/>
  <c r="O139" i="30" a="1"/>
  <c r="O139" i="30" s="1"/>
  <c r="N139" i="30"/>
  <c r="M139" i="30"/>
  <c r="L139" i="30"/>
  <c r="I139" i="30"/>
  <c r="O138" i="30" a="1"/>
  <c r="O138" i="30" s="1"/>
  <c r="N138" i="30"/>
  <c r="M138" i="30"/>
  <c r="L138" i="30"/>
  <c r="I138" i="30"/>
  <c r="O137" i="30" a="1"/>
  <c r="O137" i="30" s="1"/>
  <c r="N137" i="30"/>
  <c r="M137" i="30"/>
  <c r="L137" i="30"/>
  <c r="I137" i="30"/>
  <c r="O136" i="30" a="1"/>
  <c r="O136" i="30" s="1"/>
  <c r="N136" i="30"/>
  <c r="M136" i="30"/>
  <c r="L136" i="30"/>
  <c r="I136" i="30"/>
  <c r="O135" i="30" a="1"/>
  <c r="O135" i="30" s="1"/>
  <c r="N135" i="30"/>
  <c r="M135" i="30"/>
  <c r="L135" i="30"/>
  <c r="I135" i="30"/>
  <c r="O134" i="30" a="1"/>
  <c r="O134" i="30" s="1"/>
  <c r="N134" i="30"/>
  <c r="M134" i="30"/>
  <c r="L134" i="30"/>
  <c r="I134" i="30"/>
  <c r="O133" i="30" a="1"/>
  <c r="O133" i="30" s="1"/>
  <c r="N133" i="30"/>
  <c r="M133" i="30"/>
  <c r="L133" i="30"/>
  <c r="I133" i="30"/>
  <c r="O132" i="30" a="1"/>
  <c r="O132" i="30" s="1"/>
  <c r="N132" i="30"/>
  <c r="M132" i="30"/>
  <c r="L132" i="30"/>
  <c r="I132" i="30"/>
  <c r="O131" i="30" a="1"/>
  <c r="O131" i="30" s="1"/>
  <c r="N131" i="30"/>
  <c r="M131" i="30"/>
  <c r="L131" i="30"/>
  <c r="I131" i="30"/>
  <c r="O130" i="30" a="1"/>
  <c r="O130" i="30" s="1"/>
  <c r="N130" i="30"/>
  <c r="M130" i="30"/>
  <c r="L130" i="30"/>
  <c r="I130" i="30"/>
  <c r="O129" i="30" a="1"/>
  <c r="O129" i="30" s="1"/>
  <c r="N129" i="30"/>
  <c r="M129" i="30"/>
  <c r="L129" i="30"/>
  <c r="I129" i="30"/>
  <c r="O128" i="30" a="1"/>
  <c r="O128" i="30" s="1"/>
  <c r="N128" i="30"/>
  <c r="M128" i="30"/>
  <c r="L128" i="30"/>
  <c r="I128" i="30"/>
  <c r="O127" i="30" a="1"/>
  <c r="O127" i="30" s="1"/>
  <c r="N127" i="30"/>
  <c r="M127" i="30"/>
  <c r="L127" i="30"/>
  <c r="I127" i="30"/>
  <c r="O126" i="30" a="1"/>
  <c r="O126" i="30" s="1"/>
  <c r="N126" i="30"/>
  <c r="M126" i="30"/>
  <c r="L126" i="30"/>
  <c r="I126" i="30"/>
  <c r="O125" i="30" a="1"/>
  <c r="O125" i="30" s="1"/>
  <c r="N125" i="30"/>
  <c r="M125" i="30"/>
  <c r="L125" i="30"/>
  <c r="I125" i="30"/>
  <c r="O124" i="30" a="1"/>
  <c r="O124" i="30" s="1"/>
  <c r="N124" i="30"/>
  <c r="M124" i="30"/>
  <c r="L124" i="30"/>
  <c r="I124" i="30"/>
  <c r="O123" i="30" a="1"/>
  <c r="O123" i="30" s="1"/>
  <c r="N123" i="30"/>
  <c r="M123" i="30"/>
  <c r="L123" i="30"/>
  <c r="I123" i="30"/>
  <c r="O122" i="30" a="1"/>
  <c r="O122" i="30" s="1"/>
  <c r="N122" i="30"/>
  <c r="M122" i="30"/>
  <c r="L122" i="30"/>
  <c r="I122" i="30"/>
  <c r="O121" i="30" a="1"/>
  <c r="O121" i="30" s="1"/>
  <c r="N121" i="30"/>
  <c r="M121" i="30"/>
  <c r="L121" i="30"/>
  <c r="I121" i="30"/>
  <c r="O120" i="30" a="1"/>
  <c r="O120" i="30" s="1"/>
  <c r="N120" i="30"/>
  <c r="M120" i="30"/>
  <c r="L120" i="30"/>
  <c r="I120" i="30"/>
  <c r="O119" i="30" a="1"/>
  <c r="O119" i="30" s="1"/>
  <c r="N119" i="30"/>
  <c r="M119" i="30"/>
  <c r="L119" i="30"/>
  <c r="I119" i="30"/>
  <c r="O118" i="30" a="1"/>
  <c r="O118" i="30" s="1"/>
  <c r="N118" i="30"/>
  <c r="M118" i="30"/>
  <c r="L118" i="30"/>
  <c r="I118" i="30"/>
  <c r="O117" i="30" a="1"/>
  <c r="O117" i="30" s="1"/>
  <c r="N117" i="30"/>
  <c r="M117" i="30"/>
  <c r="L117" i="30"/>
  <c r="I117" i="30"/>
  <c r="O116" i="30" a="1"/>
  <c r="O116" i="30" s="1"/>
  <c r="N116" i="30"/>
  <c r="M116" i="30"/>
  <c r="L116" i="30"/>
  <c r="I116" i="30"/>
  <c r="O115" i="30" a="1"/>
  <c r="O115" i="30" s="1"/>
  <c r="N115" i="30"/>
  <c r="M115" i="30"/>
  <c r="L115" i="30"/>
  <c r="I115" i="30"/>
  <c r="O114" i="30" a="1"/>
  <c r="O114" i="30" s="1"/>
  <c r="N114" i="30"/>
  <c r="M114" i="30"/>
  <c r="L114" i="30"/>
  <c r="I114" i="30"/>
  <c r="O113" i="30" a="1"/>
  <c r="O113" i="30" s="1"/>
  <c r="N113" i="30"/>
  <c r="M113" i="30"/>
  <c r="L113" i="30"/>
  <c r="I113" i="30"/>
  <c r="O112" i="30" a="1"/>
  <c r="O112" i="30" s="1"/>
  <c r="N112" i="30"/>
  <c r="M112" i="30"/>
  <c r="L112" i="30"/>
  <c r="I112" i="30"/>
  <c r="O111" i="30" a="1"/>
  <c r="O111" i="30" s="1"/>
  <c r="N111" i="30"/>
  <c r="M111" i="30"/>
  <c r="L111" i="30"/>
  <c r="I111" i="30"/>
  <c r="O110" i="30" a="1"/>
  <c r="O110" i="30" s="1"/>
  <c r="N110" i="30"/>
  <c r="M110" i="30"/>
  <c r="L110" i="30"/>
  <c r="I110" i="30"/>
  <c r="O109" i="30" a="1"/>
  <c r="O109" i="30" s="1"/>
  <c r="N109" i="30"/>
  <c r="M109" i="30"/>
  <c r="L109" i="30"/>
  <c r="I109" i="30"/>
  <c r="O108" i="30" a="1"/>
  <c r="O108" i="30" s="1"/>
  <c r="N108" i="30"/>
  <c r="M108" i="30"/>
  <c r="L108" i="30"/>
  <c r="I108" i="30"/>
  <c r="O107" i="30" a="1"/>
  <c r="O107" i="30" s="1"/>
  <c r="N107" i="30"/>
  <c r="M107" i="30"/>
  <c r="L107" i="30"/>
  <c r="I107" i="30"/>
  <c r="O106" i="30" a="1"/>
  <c r="O106" i="30" s="1"/>
  <c r="N106" i="30"/>
  <c r="M106" i="30"/>
  <c r="L106" i="30"/>
  <c r="I106" i="30"/>
  <c r="O105" i="30" a="1"/>
  <c r="O105" i="30" s="1"/>
  <c r="N105" i="30"/>
  <c r="M105" i="30"/>
  <c r="L105" i="30"/>
  <c r="I105" i="30"/>
  <c r="O104" i="30" a="1"/>
  <c r="O104" i="30" s="1"/>
  <c r="N104" i="30"/>
  <c r="M104" i="30"/>
  <c r="L104" i="30"/>
  <c r="I104" i="30"/>
  <c r="O103" i="30" a="1"/>
  <c r="O103" i="30" s="1"/>
  <c r="N103" i="30"/>
  <c r="M103" i="30"/>
  <c r="L103" i="30"/>
  <c r="I103" i="30"/>
  <c r="O102" i="30" a="1"/>
  <c r="O102" i="30" s="1"/>
  <c r="N102" i="30"/>
  <c r="M102" i="30"/>
  <c r="L102" i="30"/>
  <c r="I102" i="30"/>
  <c r="O101" i="30" a="1"/>
  <c r="O101" i="30" s="1"/>
  <c r="N101" i="30"/>
  <c r="M101" i="30"/>
  <c r="L101" i="30"/>
  <c r="I101" i="30"/>
  <c r="O100" i="30" a="1"/>
  <c r="O100" i="30" s="1"/>
  <c r="N100" i="30"/>
  <c r="M100" i="30"/>
  <c r="L100" i="30"/>
  <c r="I100" i="30"/>
  <c r="O99" i="30" a="1"/>
  <c r="O99" i="30" s="1"/>
  <c r="N99" i="30"/>
  <c r="M99" i="30"/>
  <c r="L99" i="30"/>
  <c r="I99" i="30"/>
  <c r="O98" i="30" a="1"/>
  <c r="O98" i="30" s="1"/>
  <c r="N98" i="30"/>
  <c r="M98" i="30"/>
  <c r="L98" i="30"/>
  <c r="I98" i="30"/>
  <c r="O97" i="30" a="1"/>
  <c r="O97" i="30" s="1"/>
  <c r="N97" i="30"/>
  <c r="M97" i="30"/>
  <c r="L97" i="30"/>
  <c r="I97" i="30"/>
  <c r="O96" i="30" a="1"/>
  <c r="O96" i="30" s="1"/>
  <c r="N96" i="30"/>
  <c r="M96" i="30"/>
  <c r="L96" i="30"/>
  <c r="I96" i="30"/>
  <c r="O95" i="30" a="1"/>
  <c r="O95" i="30" s="1"/>
  <c r="N95" i="30"/>
  <c r="M95" i="30"/>
  <c r="L95" i="30"/>
  <c r="I95" i="30"/>
  <c r="O94" i="30" a="1"/>
  <c r="O94" i="30" s="1"/>
  <c r="N94" i="30"/>
  <c r="M94" i="30"/>
  <c r="L94" i="30"/>
  <c r="I94" i="30"/>
  <c r="O93" i="30" a="1"/>
  <c r="O93" i="30" s="1"/>
  <c r="N93" i="30"/>
  <c r="M93" i="30"/>
  <c r="L93" i="30"/>
  <c r="I93" i="30"/>
  <c r="O92" i="30" a="1"/>
  <c r="O92" i="30" s="1"/>
  <c r="N92" i="30"/>
  <c r="M92" i="30"/>
  <c r="L92" i="30"/>
  <c r="I92" i="30"/>
  <c r="O91" i="30" a="1"/>
  <c r="O91" i="30" s="1"/>
  <c r="N91" i="30"/>
  <c r="M91" i="30"/>
  <c r="L91" i="30"/>
  <c r="I91" i="30"/>
  <c r="O90" i="30" a="1"/>
  <c r="O90" i="30" s="1"/>
  <c r="N90" i="30"/>
  <c r="M90" i="30"/>
  <c r="L90" i="30"/>
  <c r="I90" i="30"/>
  <c r="O89" i="30" a="1"/>
  <c r="O89" i="30" s="1"/>
  <c r="N89" i="30"/>
  <c r="M89" i="30"/>
  <c r="L89" i="30"/>
  <c r="I89" i="30"/>
  <c r="O88" i="30" a="1"/>
  <c r="O88" i="30" s="1"/>
  <c r="N88" i="30"/>
  <c r="M88" i="30"/>
  <c r="L88" i="30"/>
  <c r="I88" i="30"/>
  <c r="O87" i="30" a="1"/>
  <c r="O87" i="30" s="1"/>
  <c r="N87" i="30"/>
  <c r="M87" i="30"/>
  <c r="L87" i="30"/>
  <c r="I87" i="30"/>
  <c r="O86" i="30" a="1"/>
  <c r="O86" i="30" s="1"/>
  <c r="N86" i="30"/>
  <c r="M86" i="30"/>
  <c r="L86" i="30"/>
  <c r="I86" i="30"/>
  <c r="O85" i="30" a="1"/>
  <c r="O85" i="30" s="1"/>
  <c r="N85" i="30"/>
  <c r="M85" i="30"/>
  <c r="L85" i="30"/>
  <c r="I85" i="30"/>
  <c r="O84" i="30" a="1"/>
  <c r="O84" i="30" s="1"/>
  <c r="N84" i="30"/>
  <c r="M84" i="30"/>
  <c r="L84" i="30"/>
  <c r="I84" i="30"/>
  <c r="O83" i="30" a="1"/>
  <c r="O83" i="30" s="1"/>
  <c r="N83" i="30"/>
  <c r="M83" i="30"/>
  <c r="L83" i="30"/>
  <c r="I83" i="30"/>
  <c r="O82" i="30" a="1"/>
  <c r="O82" i="30" s="1"/>
  <c r="N82" i="30"/>
  <c r="M82" i="30"/>
  <c r="L82" i="30"/>
  <c r="I82" i="30"/>
  <c r="O81" i="30" a="1"/>
  <c r="O81" i="30" s="1"/>
  <c r="N81" i="30"/>
  <c r="M81" i="30"/>
  <c r="L81" i="30"/>
  <c r="I81" i="30"/>
  <c r="O80" i="30" a="1"/>
  <c r="O80" i="30" s="1"/>
  <c r="N80" i="30"/>
  <c r="M80" i="30"/>
  <c r="L80" i="30"/>
  <c r="I80" i="30"/>
  <c r="O79" i="30" a="1"/>
  <c r="O79" i="30" s="1"/>
  <c r="N79" i="30"/>
  <c r="M79" i="30"/>
  <c r="L79" i="30"/>
  <c r="I79" i="30"/>
  <c r="O78" i="30" a="1"/>
  <c r="O78" i="30" s="1"/>
  <c r="N78" i="30"/>
  <c r="M78" i="30"/>
  <c r="L78" i="30"/>
  <c r="I78" i="30"/>
  <c r="O77" i="30" a="1"/>
  <c r="O77" i="30" s="1"/>
  <c r="N77" i="30"/>
  <c r="M77" i="30"/>
  <c r="L77" i="30"/>
  <c r="I77" i="30"/>
  <c r="O76" i="30" a="1"/>
  <c r="O76" i="30" s="1"/>
  <c r="N76" i="30"/>
  <c r="M76" i="30"/>
  <c r="L76" i="30"/>
  <c r="I76" i="30"/>
  <c r="O75" i="30" a="1"/>
  <c r="O75" i="30" s="1"/>
  <c r="N75" i="30"/>
  <c r="M75" i="30"/>
  <c r="L75" i="30"/>
  <c r="I75" i="30"/>
  <c r="O74" i="30" a="1"/>
  <c r="O74" i="30" s="1"/>
  <c r="N74" i="30"/>
  <c r="M74" i="30"/>
  <c r="L74" i="30"/>
  <c r="I74" i="30"/>
  <c r="O73" i="30" a="1"/>
  <c r="O73" i="30" s="1"/>
  <c r="N73" i="30"/>
  <c r="M73" i="30"/>
  <c r="L73" i="30"/>
  <c r="I73" i="30"/>
  <c r="O72" i="30" a="1"/>
  <c r="O72" i="30" s="1"/>
  <c r="N72" i="30"/>
  <c r="M72" i="30"/>
  <c r="L72" i="30"/>
  <c r="I72" i="30"/>
  <c r="O71" i="30" a="1"/>
  <c r="O71" i="30" s="1"/>
  <c r="N71" i="30"/>
  <c r="M71" i="30"/>
  <c r="L71" i="30"/>
  <c r="I71" i="30"/>
  <c r="O70" i="30" a="1"/>
  <c r="O70" i="30" s="1"/>
  <c r="N70" i="30"/>
  <c r="M70" i="30"/>
  <c r="L70" i="30"/>
  <c r="I70" i="30"/>
  <c r="O69" i="30" a="1"/>
  <c r="O69" i="30" s="1"/>
  <c r="N69" i="30"/>
  <c r="M69" i="30"/>
  <c r="L69" i="30"/>
  <c r="I69" i="30"/>
  <c r="O68" i="30" a="1"/>
  <c r="O68" i="30" s="1"/>
  <c r="N68" i="30"/>
  <c r="M68" i="30"/>
  <c r="L68" i="30"/>
  <c r="I68" i="30"/>
  <c r="O67" i="30" a="1"/>
  <c r="O67" i="30" s="1"/>
  <c r="N67" i="30"/>
  <c r="M67" i="30"/>
  <c r="L67" i="30"/>
  <c r="I67" i="30"/>
  <c r="O66" i="30" a="1"/>
  <c r="O66" i="30" s="1"/>
  <c r="N66" i="30"/>
  <c r="M66" i="30"/>
  <c r="L66" i="30"/>
  <c r="I66" i="30"/>
  <c r="O65" i="30" a="1"/>
  <c r="O65" i="30" s="1"/>
  <c r="N65" i="30"/>
  <c r="M65" i="30"/>
  <c r="L65" i="30"/>
  <c r="I65" i="30"/>
  <c r="O64" i="30" a="1"/>
  <c r="O64" i="30" s="1"/>
  <c r="N64" i="30"/>
  <c r="M64" i="30"/>
  <c r="L64" i="30"/>
  <c r="I64" i="30"/>
  <c r="O63" i="30" a="1"/>
  <c r="O63" i="30" s="1"/>
  <c r="N63" i="30"/>
  <c r="M63" i="30"/>
  <c r="L63" i="30"/>
  <c r="I63" i="30"/>
  <c r="O62" i="30" a="1"/>
  <c r="O62" i="30" s="1"/>
  <c r="N62" i="30"/>
  <c r="M62" i="30"/>
  <c r="L62" i="30"/>
  <c r="I62" i="30"/>
  <c r="O61" i="30" a="1"/>
  <c r="O61" i="30" s="1"/>
  <c r="N61" i="30"/>
  <c r="M61" i="30"/>
  <c r="L61" i="30"/>
  <c r="I61" i="30"/>
  <c r="O60" i="30" a="1"/>
  <c r="O60" i="30" s="1"/>
  <c r="N60" i="30"/>
  <c r="M60" i="30"/>
  <c r="L60" i="30"/>
  <c r="I60" i="30"/>
  <c r="O59" i="30" a="1"/>
  <c r="O59" i="30" s="1"/>
  <c r="N59" i="30"/>
  <c r="M59" i="30"/>
  <c r="L59" i="30"/>
  <c r="I59" i="30"/>
  <c r="O58" i="30" a="1"/>
  <c r="O58" i="30" s="1"/>
  <c r="N58" i="30"/>
  <c r="M58" i="30"/>
  <c r="L58" i="30"/>
  <c r="I58" i="30"/>
  <c r="O57" i="30" a="1"/>
  <c r="O57" i="30" s="1"/>
  <c r="N57" i="30"/>
  <c r="M57" i="30"/>
  <c r="L57" i="30"/>
  <c r="I57" i="30"/>
  <c r="O56" i="30" a="1"/>
  <c r="O56" i="30" s="1"/>
  <c r="N56" i="30"/>
  <c r="M56" i="30"/>
  <c r="L56" i="30"/>
  <c r="I56" i="30"/>
  <c r="O55" i="30" a="1"/>
  <c r="O55" i="30" s="1"/>
  <c r="N55" i="30"/>
  <c r="M55" i="30"/>
  <c r="L55" i="30"/>
  <c r="I55" i="30"/>
  <c r="O54" i="30" a="1"/>
  <c r="O54" i="30" s="1"/>
  <c r="N54" i="30"/>
  <c r="M54" i="30"/>
  <c r="L54" i="30"/>
  <c r="I54" i="30"/>
  <c r="O53" i="30" a="1"/>
  <c r="O53" i="30" s="1"/>
  <c r="N53" i="30"/>
  <c r="M53" i="30"/>
  <c r="L53" i="30"/>
  <c r="I53" i="30"/>
  <c r="O52" i="30" a="1"/>
  <c r="O52" i="30" s="1"/>
  <c r="N52" i="30"/>
  <c r="M52" i="30"/>
  <c r="L52" i="30"/>
  <c r="I52" i="30"/>
  <c r="O51" i="30" a="1"/>
  <c r="O51" i="30" s="1"/>
  <c r="N51" i="30"/>
  <c r="M51" i="30"/>
  <c r="L51" i="30"/>
  <c r="I51" i="30"/>
  <c r="O50" i="30" a="1"/>
  <c r="O50" i="30" s="1"/>
  <c r="N50" i="30"/>
  <c r="M50" i="30"/>
  <c r="L50" i="30"/>
  <c r="I50" i="30"/>
  <c r="O49" i="30" a="1"/>
  <c r="O49" i="30" s="1"/>
  <c r="N49" i="30"/>
  <c r="M49" i="30"/>
  <c r="L49" i="30"/>
  <c r="I49" i="30"/>
  <c r="O48" i="30" a="1"/>
  <c r="O48" i="30" s="1"/>
  <c r="N48" i="30"/>
  <c r="M48" i="30"/>
  <c r="L48" i="30"/>
  <c r="I48" i="30"/>
  <c r="O47" i="30" a="1"/>
  <c r="O47" i="30" s="1"/>
  <c r="N47" i="30"/>
  <c r="M47" i="30"/>
  <c r="L47" i="30"/>
  <c r="I47" i="30"/>
  <c r="O46" i="30" a="1"/>
  <c r="O46" i="30" s="1"/>
  <c r="N46" i="30"/>
  <c r="M46" i="30"/>
  <c r="L46" i="30"/>
  <c r="I46" i="30"/>
  <c r="O45" i="30" a="1"/>
  <c r="O45" i="30" s="1"/>
  <c r="N45" i="30"/>
  <c r="M45" i="30"/>
  <c r="L45" i="30"/>
  <c r="I45" i="30"/>
  <c r="O44" i="30" a="1"/>
  <c r="O44" i="30" s="1"/>
  <c r="N44" i="30"/>
  <c r="M44" i="30"/>
  <c r="L44" i="30"/>
  <c r="I44" i="30"/>
  <c r="O43" i="30" a="1"/>
  <c r="O43" i="30" s="1"/>
  <c r="N43" i="30"/>
  <c r="M43" i="30"/>
  <c r="L43" i="30"/>
  <c r="I43" i="30"/>
  <c r="O42" i="30" a="1"/>
  <c r="O42" i="30" s="1"/>
  <c r="N42" i="30"/>
  <c r="M42" i="30"/>
  <c r="L42" i="30"/>
  <c r="I42" i="30"/>
  <c r="O41" i="30" a="1"/>
  <c r="O41" i="30" s="1"/>
  <c r="N41" i="30"/>
  <c r="M41" i="30"/>
  <c r="L41" i="30"/>
  <c r="I41" i="30"/>
  <c r="O40" i="30" a="1"/>
  <c r="O40" i="30" s="1"/>
  <c r="N40" i="30"/>
  <c r="M40" i="30"/>
  <c r="L40" i="30"/>
  <c r="I40" i="30"/>
  <c r="O39" i="30" a="1"/>
  <c r="O39" i="30" s="1"/>
  <c r="N39" i="30"/>
  <c r="M39" i="30"/>
  <c r="L39" i="30"/>
  <c r="I39" i="30"/>
  <c r="O38" i="30" a="1"/>
  <c r="O38" i="30" s="1"/>
  <c r="N38" i="30"/>
  <c r="M38" i="30"/>
  <c r="L38" i="30"/>
  <c r="I38" i="30"/>
  <c r="O37" i="30" a="1"/>
  <c r="O37" i="30" s="1"/>
  <c r="N37" i="30"/>
  <c r="M37" i="30"/>
  <c r="L37" i="30"/>
  <c r="I37" i="30"/>
  <c r="O36" i="30" a="1"/>
  <c r="O36" i="30" s="1"/>
  <c r="N36" i="30"/>
  <c r="M36" i="30"/>
  <c r="L36" i="30"/>
  <c r="I36" i="30"/>
  <c r="O35" i="30" a="1"/>
  <c r="O35" i="30" s="1"/>
  <c r="N35" i="30"/>
  <c r="M35" i="30"/>
  <c r="L35" i="30"/>
  <c r="I35" i="30"/>
  <c r="O34" i="30" a="1"/>
  <c r="O34" i="30" s="1"/>
  <c r="N34" i="30"/>
  <c r="M34" i="30"/>
  <c r="L34" i="30"/>
  <c r="I34" i="30"/>
  <c r="O33" i="30" a="1"/>
  <c r="O33" i="30" s="1"/>
  <c r="N33" i="30"/>
  <c r="M33" i="30"/>
  <c r="L33" i="30"/>
  <c r="I33" i="30"/>
  <c r="O32" i="30" a="1"/>
  <c r="O32" i="30" s="1"/>
  <c r="N32" i="30"/>
  <c r="M32" i="30"/>
  <c r="L32" i="30"/>
  <c r="I32" i="30"/>
  <c r="O31" i="30" a="1"/>
  <c r="O31" i="30" s="1"/>
  <c r="N31" i="30"/>
  <c r="M31" i="30"/>
  <c r="L31" i="30"/>
  <c r="I31" i="30"/>
  <c r="O30" i="30" a="1"/>
  <c r="O30" i="30" s="1"/>
  <c r="N30" i="30"/>
  <c r="M30" i="30"/>
  <c r="L30" i="30"/>
  <c r="I30" i="30"/>
  <c r="O29" i="30" a="1"/>
  <c r="O29" i="30" s="1"/>
  <c r="N29" i="30"/>
  <c r="M29" i="30"/>
  <c r="L29" i="30"/>
  <c r="I29" i="30"/>
  <c r="O28" i="30" a="1"/>
  <c r="O28" i="30" s="1"/>
  <c r="N28" i="30"/>
  <c r="M28" i="30"/>
  <c r="L28" i="30"/>
  <c r="I28" i="30"/>
  <c r="O27" i="30" a="1"/>
  <c r="O27" i="30" s="1"/>
  <c r="N27" i="30"/>
  <c r="M27" i="30"/>
  <c r="L27" i="30"/>
  <c r="I27" i="30"/>
  <c r="O26" i="30" a="1"/>
  <c r="O26" i="30" s="1"/>
  <c r="N26" i="30"/>
  <c r="M26" i="30"/>
  <c r="L26" i="30"/>
  <c r="I26" i="30"/>
  <c r="O25" i="30" a="1"/>
  <c r="O25" i="30" s="1"/>
  <c r="N25" i="30"/>
  <c r="M25" i="30"/>
  <c r="L25" i="30"/>
  <c r="I25" i="30"/>
  <c r="O24" i="30" a="1"/>
  <c r="O24" i="30" s="1"/>
  <c r="N24" i="30"/>
  <c r="M24" i="30"/>
  <c r="L24" i="30"/>
  <c r="I24" i="30"/>
  <c r="O23" i="30" a="1"/>
  <c r="O23" i="30" s="1"/>
  <c r="N23" i="30"/>
  <c r="M23" i="30"/>
  <c r="L23" i="30"/>
  <c r="I23" i="30"/>
  <c r="O22" i="30" a="1"/>
  <c r="O22" i="30" s="1"/>
  <c r="N22" i="30"/>
  <c r="M22" i="30"/>
  <c r="L22" i="30"/>
  <c r="I22" i="30"/>
  <c r="O21" i="30" a="1"/>
  <c r="O21" i="30" s="1"/>
  <c r="N21" i="30"/>
  <c r="M21" i="30"/>
  <c r="L21" i="30"/>
  <c r="I21" i="30"/>
  <c r="O20" i="30" a="1"/>
  <c r="O20" i="30" s="1"/>
  <c r="N20" i="30"/>
  <c r="M20" i="30"/>
  <c r="L20" i="30"/>
  <c r="I20" i="30"/>
  <c r="O19" i="30" a="1"/>
  <c r="O19" i="30" s="1"/>
  <c r="N19" i="30"/>
  <c r="M19" i="30"/>
  <c r="L19" i="30"/>
  <c r="I19" i="30"/>
  <c r="O18" i="30" a="1"/>
  <c r="O18" i="30" s="1"/>
  <c r="N18" i="30"/>
  <c r="M18" i="30"/>
  <c r="L18" i="30"/>
  <c r="I18" i="30"/>
  <c r="O17" i="30" a="1"/>
  <c r="O17" i="30" s="1"/>
  <c r="N17" i="30"/>
  <c r="M17" i="30"/>
  <c r="L17" i="30"/>
  <c r="I17" i="30"/>
  <c r="O16" i="30" a="1"/>
  <c r="O16" i="30" s="1"/>
  <c r="N16" i="30"/>
  <c r="M16" i="30"/>
  <c r="L16" i="30"/>
  <c r="I16" i="30"/>
  <c r="O15" i="30" a="1"/>
  <c r="O15" i="30" s="1"/>
  <c r="N15" i="30"/>
  <c r="M15" i="30"/>
  <c r="L15" i="30"/>
  <c r="I15" i="30"/>
  <c r="O14" i="30" a="1"/>
  <c r="O14" i="30" s="1"/>
  <c r="N14" i="30"/>
  <c r="M14" i="30"/>
  <c r="L14" i="30"/>
  <c r="I14" i="30"/>
  <c r="O13" i="30" a="1"/>
  <c r="O13" i="30" s="1"/>
  <c r="N13" i="30"/>
  <c r="M13" i="30"/>
  <c r="L13" i="30"/>
  <c r="I13" i="30"/>
  <c r="O12" i="30" a="1"/>
  <c r="O12" i="30" s="1"/>
  <c r="N12" i="30"/>
  <c r="M12" i="30"/>
  <c r="L12" i="30"/>
  <c r="I12" i="30"/>
  <c r="O11" i="30" a="1"/>
  <c r="O11" i="30" s="1"/>
  <c r="N11" i="30"/>
  <c r="M11" i="30"/>
  <c r="L11" i="30"/>
  <c r="I11" i="30"/>
  <c r="O10" i="30" a="1"/>
  <c r="O10" i="30" s="1"/>
  <c r="N10" i="30"/>
  <c r="M10" i="30"/>
  <c r="L10" i="30"/>
  <c r="I10" i="30"/>
  <c r="O9" i="30" a="1"/>
  <c r="O9" i="30" s="1"/>
  <c r="N9" i="30"/>
  <c r="M9" i="30"/>
  <c r="L9" i="30"/>
  <c r="I9" i="30"/>
  <c r="O8" i="30" a="1"/>
  <c r="O8" i="30" s="1"/>
  <c r="N8" i="30"/>
  <c r="M8" i="30"/>
  <c r="L8" i="30"/>
  <c r="I8" i="30"/>
  <c r="O7" i="30" a="1"/>
  <c r="O7" i="30" s="1"/>
  <c r="N7" i="30"/>
  <c r="M7" i="30"/>
  <c r="L7" i="30"/>
  <c r="I7" i="30"/>
  <c r="O6" i="30" a="1"/>
  <c r="O6" i="30" s="1"/>
  <c r="N6" i="30"/>
  <c r="M6" i="30"/>
  <c r="L6" i="30"/>
  <c r="I6" i="30"/>
  <c r="O5" i="30" a="1"/>
  <c r="O5" i="30" s="1"/>
  <c r="N5" i="30"/>
  <c r="M5" i="30"/>
  <c r="L5" i="30"/>
  <c r="I5" i="30"/>
  <c r="O4" i="30" a="1"/>
  <c r="O4" i="30" s="1"/>
  <c r="N4" i="30"/>
  <c r="M4" i="30"/>
  <c r="L4" i="30"/>
  <c r="I4" i="30"/>
  <c r="O3" i="30" a="1"/>
  <c r="O3" i="30" s="1"/>
  <c r="N3" i="30"/>
  <c r="M3" i="30"/>
  <c r="L3" i="30"/>
  <c r="I3" i="30"/>
  <c r="O2" i="30" a="1"/>
  <c r="O2" i="30" s="1"/>
  <c r="N2" i="30"/>
  <c r="M2" i="30"/>
  <c r="L2" i="30"/>
  <c r="I2" i="30"/>
  <c r="O2883" i="1" a="1"/>
  <c r="O2883" i="1" s="1"/>
  <c r="O2994" i="1" a="1"/>
  <c r="O2994" i="1" s="1"/>
  <c r="N2994" i="1"/>
  <c r="I2994" i="1"/>
  <c r="L2994" i="1"/>
  <c r="M2994" i="1"/>
  <c r="O2974" i="1" a="1"/>
  <c r="O2974" i="1" s="1"/>
  <c r="O2975" i="1" a="1"/>
  <c r="O2975" i="1"/>
  <c r="N2883" i="1"/>
  <c r="O2923" i="1" a="1"/>
  <c r="O2923" i="1" s="1"/>
  <c r="O2924" i="1" a="1"/>
  <c r="O2924" i="1" s="1"/>
  <c r="O2925" i="1" a="1"/>
  <c r="O2925" i="1" s="1"/>
  <c r="O2926" i="1" a="1"/>
  <c r="O2926" i="1"/>
  <c r="O2927" i="1" a="1"/>
  <c r="O2927" i="1" s="1"/>
  <c r="O2928" i="1" a="1"/>
  <c r="O2928" i="1" s="1"/>
  <c r="O2929" i="1" a="1"/>
  <c r="O2929" i="1" s="1"/>
  <c r="O2930" i="1" a="1"/>
  <c r="O2930" i="1" s="1"/>
  <c r="O2931" i="1" a="1"/>
  <c r="O2931" i="1" s="1"/>
  <c r="O2932" i="1" a="1"/>
  <c r="O2932" i="1" s="1"/>
  <c r="O2933" i="1" a="1"/>
  <c r="O2933" i="1"/>
  <c r="O2934" i="1" a="1"/>
  <c r="O2934" i="1"/>
  <c r="O2935" i="1" a="1"/>
  <c r="O2935" i="1" s="1"/>
  <c r="O2936" i="1" a="1"/>
  <c r="O2936" i="1" s="1"/>
  <c r="O2937" i="1" a="1"/>
  <c r="O2937" i="1" s="1"/>
  <c r="O2938" i="1" a="1"/>
  <c r="O2938" i="1" s="1"/>
  <c r="O2939" i="1" a="1"/>
  <c r="O2939" i="1" s="1"/>
  <c r="O2940" i="1" a="1"/>
  <c r="O2940" i="1" s="1"/>
  <c r="O2941" i="1" a="1"/>
  <c r="O2941" i="1" s="1"/>
  <c r="O2942" i="1" a="1"/>
  <c r="O2942" i="1" s="1"/>
  <c r="O2943" i="1" a="1"/>
  <c r="O2943" i="1" s="1"/>
  <c r="O2944" i="1" a="1"/>
  <c r="O2944" i="1" s="1"/>
  <c r="O2945" i="1" a="1"/>
  <c r="O2945" i="1" s="1"/>
  <c r="O2946" i="1" a="1"/>
  <c r="O2946" i="1" s="1"/>
  <c r="O2947" i="1" a="1"/>
  <c r="O2947" i="1" s="1"/>
  <c r="O2948" i="1" a="1"/>
  <c r="O2948" i="1" s="1"/>
  <c r="O2949" i="1" a="1"/>
  <c r="O2949" i="1" s="1"/>
  <c r="O2950" i="1" a="1"/>
  <c r="O2950" i="1" s="1"/>
  <c r="O2951" i="1" a="1"/>
  <c r="O2951" i="1" s="1"/>
  <c r="O2952" i="1" a="1"/>
  <c r="O2952" i="1" s="1"/>
  <c r="O2953" i="1" a="1"/>
  <c r="O2953" i="1" s="1"/>
  <c r="O2954" i="1" a="1"/>
  <c r="O2954" i="1" s="1"/>
  <c r="O2955" i="1" a="1"/>
  <c r="O2955" i="1" s="1"/>
  <c r="O2956" i="1" a="1"/>
  <c r="O2956" i="1" s="1"/>
  <c r="O2957" i="1" a="1"/>
  <c r="O2957" i="1" s="1"/>
  <c r="O2958" i="1" a="1"/>
  <c r="O2958" i="1" s="1"/>
  <c r="O2959" i="1" a="1"/>
  <c r="O2959" i="1" s="1"/>
  <c r="O2960" i="1" a="1"/>
  <c r="O2960" i="1" s="1"/>
  <c r="O2961" i="1" a="1"/>
  <c r="O2961" i="1"/>
  <c r="O2962" i="1" a="1"/>
  <c r="O2962" i="1" s="1"/>
  <c r="O2963" i="1" a="1"/>
  <c r="O2963" i="1" s="1"/>
  <c r="O2964" i="1" a="1"/>
  <c r="O2964" i="1" s="1"/>
  <c r="O2965" i="1" a="1"/>
  <c r="O2965" i="1" s="1"/>
  <c r="O2966" i="1" a="1"/>
  <c r="O2966" i="1" s="1"/>
  <c r="O2967" i="1" a="1"/>
  <c r="O2967" i="1" s="1"/>
  <c r="O2968" i="1" a="1"/>
  <c r="O2968" i="1" s="1"/>
  <c r="O2969" i="1" a="1"/>
  <c r="O2969" i="1" s="1"/>
  <c r="O2970" i="1" a="1"/>
  <c r="O2970" i="1" s="1"/>
  <c r="O2971" i="1" a="1"/>
  <c r="O2971" i="1" s="1"/>
  <c r="O2972" i="1" a="1"/>
  <c r="O2972" i="1" s="1"/>
  <c r="O2973" i="1" a="1"/>
  <c r="O2973" i="1" s="1"/>
  <c r="O2976" i="1" a="1"/>
  <c r="O2976" i="1" s="1"/>
  <c r="O2977" i="1" a="1"/>
  <c r="O2977" i="1"/>
  <c r="O2978" i="1" a="1"/>
  <c r="O2978" i="1" s="1"/>
  <c r="O2979" i="1" a="1"/>
  <c r="O2979" i="1" s="1"/>
  <c r="O2980" i="1" a="1"/>
  <c r="O2980" i="1" s="1"/>
  <c r="O2981" i="1" a="1"/>
  <c r="O2981" i="1" s="1"/>
  <c r="O2982" i="1" a="1"/>
  <c r="O2982" i="1" s="1"/>
  <c r="O2983" i="1" a="1"/>
  <c r="O2983" i="1" s="1"/>
  <c r="O2984" i="1" a="1"/>
  <c r="O2984" i="1" s="1"/>
  <c r="O2985" i="1" a="1"/>
  <c r="O2985" i="1" s="1"/>
  <c r="O2986" i="1" a="1"/>
  <c r="O2986" i="1" s="1"/>
  <c r="O2987" i="1" a="1"/>
  <c r="O2987" i="1" s="1"/>
  <c r="O2988" i="1" a="1"/>
  <c r="O2988" i="1" s="1"/>
  <c r="O2989" i="1" a="1"/>
  <c r="O2989" i="1" s="1"/>
  <c r="O2990" i="1" a="1"/>
  <c r="O2990" i="1" s="1"/>
  <c r="O2991" i="1" a="1"/>
  <c r="O2991" i="1" s="1"/>
  <c r="O2992" i="1" a="1"/>
  <c r="O2992" i="1" s="1"/>
  <c r="O2993" i="1" a="1"/>
  <c r="O2993" i="1" s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883" i="1"/>
  <c r="L2883" i="1"/>
  <c r="I2883" i="1"/>
  <c r="O2903" i="1" a="1"/>
  <c r="O2903" i="1"/>
  <c r="O2904" i="1" a="1"/>
  <c r="O2904" i="1"/>
  <c r="O2905" i="1" a="1"/>
  <c r="O2905" i="1" s="1"/>
  <c r="O2906" i="1" a="1"/>
  <c r="O2906" i="1" s="1"/>
  <c r="O2907" i="1" a="1"/>
  <c r="O2907" i="1" s="1"/>
  <c r="O2908" i="1" a="1"/>
  <c r="O2908" i="1" s="1"/>
  <c r="O2909" i="1" a="1"/>
  <c r="O2909" i="1" s="1"/>
  <c r="O2910" i="1" a="1"/>
  <c r="O2910" i="1" s="1"/>
  <c r="O2911" i="1" a="1"/>
  <c r="O2911" i="1" s="1"/>
  <c r="O2912" i="1" a="1"/>
  <c r="O2912" i="1" s="1"/>
  <c r="O2913" i="1" a="1"/>
  <c r="O2913" i="1"/>
  <c r="O2914" i="1" a="1"/>
  <c r="O2914" i="1" s="1"/>
  <c r="O2915" i="1" a="1"/>
  <c r="O2915" i="1" s="1"/>
  <c r="O2916" i="1" a="1"/>
  <c r="O2916" i="1" s="1"/>
  <c r="O2917" i="1" a="1"/>
  <c r="O2917" i="1" s="1"/>
  <c r="O2918" i="1" a="1"/>
  <c r="O2918" i="1"/>
  <c r="O2919" i="1" a="1"/>
  <c r="O2919" i="1" s="1"/>
  <c r="O2920" i="1" a="1"/>
  <c r="O2920" i="1"/>
  <c r="O2921" i="1" a="1"/>
  <c r="O2921" i="1" s="1"/>
  <c r="O2922" i="1" a="1"/>
  <c r="O2922" i="1" s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O2902" i="1" a="1"/>
  <c r="O2902" i="1" s="1"/>
  <c r="N2902" i="1"/>
  <c r="I2902" i="1"/>
  <c r="L2902" i="1"/>
  <c r="M2902" i="1"/>
  <c r="N2901" i="1"/>
  <c r="O2901" i="1" a="1"/>
  <c r="O2901" i="1" s="1"/>
  <c r="I2901" i="1"/>
  <c r="L2901" i="1"/>
  <c r="M2901" i="1"/>
  <c r="O2856" i="1" a="1"/>
  <c r="O2856" i="1"/>
  <c r="O2857" i="1" a="1"/>
  <c r="O2857" i="1" s="1"/>
  <c r="O2858" i="1" a="1"/>
  <c r="O2858" i="1"/>
  <c r="O2859" i="1" a="1"/>
  <c r="O2859" i="1" s="1"/>
  <c r="O2860" i="1" a="1"/>
  <c r="O2860" i="1" s="1"/>
  <c r="O2861" i="1" a="1"/>
  <c r="O2861" i="1" s="1"/>
  <c r="O2862" i="1" a="1"/>
  <c r="O2862" i="1" s="1"/>
  <c r="O2863" i="1" a="1"/>
  <c r="O2863" i="1"/>
  <c r="O2864" i="1" a="1"/>
  <c r="O2864" i="1" s="1"/>
  <c r="O2865" i="1" a="1"/>
  <c r="O2865" i="1" s="1"/>
  <c r="O2866" i="1" a="1"/>
  <c r="O2866" i="1" s="1"/>
  <c r="O2867" i="1" a="1"/>
  <c r="O2867" i="1" s="1"/>
  <c r="O2868" i="1" a="1"/>
  <c r="O2868" i="1" s="1"/>
  <c r="O2869" i="1" a="1"/>
  <c r="O2869" i="1" s="1"/>
  <c r="O2870" i="1" a="1"/>
  <c r="O2870" i="1" s="1"/>
  <c r="O2871" i="1" a="1"/>
  <c r="O2871" i="1" s="1"/>
  <c r="O2872" i="1" a="1"/>
  <c r="O2872" i="1" s="1"/>
  <c r="O2873" i="1" a="1"/>
  <c r="O2873" i="1"/>
  <c r="O2874" i="1" a="1"/>
  <c r="O2874" i="1" s="1"/>
  <c r="O2875" i="1" a="1"/>
  <c r="O2875" i="1"/>
  <c r="O2876" i="1" a="1"/>
  <c r="O2876" i="1" s="1"/>
  <c r="O2877" i="1" a="1"/>
  <c r="O2877" i="1" s="1"/>
  <c r="O2878" i="1" a="1"/>
  <c r="O2878" i="1" s="1"/>
  <c r="O2879" i="1" a="1"/>
  <c r="O2879" i="1"/>
  <c r="O2880" i="1" a="1"/>
  <c r="O2880" i="1" s="1"/>
  <c r="O2881" i="1" a="1"/>
  <c r="O2881" i="1" s="1"/>
  <c r="O2882" i="1" a="1"/>
  <c r="O2882" i="1" s="1"/>
  <c r="O2884" i="1" a="1"/>
  <c r="O2884" i="1" s="1"/>
  <c r="O2885" i="1" a="1"/>
  <c r="O2885" i="1" s="1"/>
  <c r="O2886" i="1" a="1"/>
  <c r="O2886" i="1" s="1"/>
  <c r="O2887" i="1" a="1"/>
  <c r="O2887" i="1" s="1"/>
  <c r="O2888" i="1" a="1"/>
  <c r="O2888" i="1"/>
  <c r="O2889" i="1" a="1"/>
  <c r="O2889" i="1"/>
  <c r="O2890" i="1" a="1"/>
  <c r="O2890" i="1" s="1"/>
  <c r="O2891" i="1" a="1"/>
  <c r="O2891" i="1" s="1"/>
  <c r="O2892" i="1" a="1"/>
  <c r="O2892" i="1" s="1"/>
  <c r="O2893" i="1" a="1"/>
  <c r="O2893" i="1" s="1"/>
  <c r="O2894" i="1" a="1"/>
  <c r="O2894" i="1" s="1"/>
  <c r="O2895" i="1" a="1"/>
  <c r="O2895" i="1" s="1"/>
  <c r="O2896" i="1" a="1"/>
  <c r="O2896" i="1" s="1"/>
  <c r="O2897" i="1" a="1"/>
  <c r="O2897" i="1"/>
  <c r="O2898" i="1" a="1"/>
  <c r="O2898" i="1" s="1"/>
  <c r="O2899" i="1" a="1"/>
  <c r="O2899" i="1"/>
  <c r="O2900" i="1" a="1"/>
  <c r="O2900" i="1" s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O2810" i="1" a="1"/>
  <c r="O2810" i="1" s="1"/>
  <c r="O2811" i="1" a="1"/>
  <c r="O2811" i="1" s="1"/>
  <c r="O2812" i="1" a="1"/>
  <c r="O2812" i="1" s="1"/>
  <c r="O2813" i="1" a="1"/>
  <c r="O2813" i="1" s="1"/>
  <c r="O2814" i="1" a="1"/>
  <c r="O2814" i="1" s="1"/>
  <c r="O2815" i="1" a="1"/>
  <c r="O2815" i="1"/>
  <c r="O2816" i="1" a="1"/>
  <c r="O2816" i="1" s="1"/>
  <c r="O2817" i="1" a="1"/>
  <c r="O2817" i="1"/>
  <c r="O2818" i="1" a="1"/>
  <c r="O2818" i="1" s="1"/>
  <c r="O2819" i="1" a="1"/>
  <c r="O2819" i="1" s="1"/>
  <c r="O2820" i="1" a="1"/>
  <c r="O2820" i="1" s="1"/>
  <c r="O2821" i="1" a="1"/>
  <c r="O2821" i="1" s="1"/>
  <c r="O2822" i="1" a="1"/>
  <c r="O2822" i="1"/>
  <c r="O2823" i="1" a="1"/>
  <c r="O2823" i="1" s="1"/>
  <c r="O2824" i="1" a="1"/>
  <c r="O2824" i="1" s="1"/>
  <c r="O2825" i="1" a="1"/>
  <c r="O2825" i="1"/>
  <c r="O2826" i="1" a="1"/>
  <c r="O2826" i="1" s="1"/>
  <c r="O2827" i="1" a="1"/>
  <c r="O2827" i="1" s="1"/>
  <c r="O2828" i="1" a="1"/>
  <c r="O2828" i="1" s="1"/>
  <c r="O2829" i="1" a="1"/>
  <c r="O2829" i="1" s="1"/>
  <c r="O2830" i="1" a="1"/>
  <c r="O2830" i="1" s="1"/>
  <c r="O2831" i="1" a="1"/>
  <c r="O2831" i="1" s="1"/>
  <c r="O2832" i="1" a="1"/>
  <c r="O2832" i="1" s="1"/>
  <c r="O2833" i="1" a="1"/>
  <c r="O2833" i="1"/>
  <c r="O2834" i="1" a="1"/>
  <c r="O2834" i="1" s="1"/>
  <c r="O2835" i="1" a="1"/>
  <c r="O2835" i="1" s="1"/>
  <c r="O2836" i="1" a="1"/>
  <c r="O2836" i="1" s="1"/>
  <c r="O2837" i="1" a="1"/>
  <c r="O2837" i="1" s="1"/>
  <c r="O2838" i="1" a="1"/>
  <c r="O2838" i="1"/>
  <c r="O2839" i="1" a="1"/>
  <c r="O2839" i="1" s="1"/>
  <c r="O2840" i="1" a="1"/>
  <c r="O2840" i="1" s="1"/>
  <c r="O2841" i="1" a="1"/>
  <c r="O2841" i="1"/>
  <c r="O2842" i="1" a="1"/>
  <c r="O2842" i="1" s="1"/>
  <c r="O2843" i="1" a="1"/>
  <c r="O2843" i="1" s="1"/>
  <c r="O2844" i="1" a="1"/>
  <c r="O2844" i="1" s="1"/>
  <c r="O2845" i="1" a="1"/>
  <c r="O2845" i="1"/>
  <c r="O2846" i="1" a="1"/>
  <c r="O2846" i="1"/>
  <c r="O2847" i="1" a="1"/>
  <c r="O2847" i="1" s="1"/>
  <c r="O2848" i="1" a="1"/>
  <c r="O2848" i="1" s="1"/>
  <c r="O2849" i="1" a="1"/>
  <c r="O2849" i="1" s="1"/>
  <c r="O2850" i="1" a="1"/>
  <c r="O2850" i="1" s="1"/>
  <c r="O2851" i="1" a="1"/>
  <c r="O2851" i="1" s="1"/>
  <c r="O2852" i="1" a="1"/>
  <c r="O2852" i="1" s="1"/>
  <c r="O2853" i="1" a="1"/>
  <c r="O2853" i="1" s="1"/>
  <c r="O2854" i="1" a="1"/>
  <c r="O2854" i="1" s="1"/>
  <c r="O2855" i="1" a="1"/>
  <c r="O2855" i="1" s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O2718" i="1" a="1"/>
  <c r="O2718" i="1" s="1"/>
  <c r="O2719" i="1" a="1"/>
  <c r="O2719" i="1" s="1"/>
  <c r="O2720" i="1" a="1"/>
  <c r="O2720" i="1" s="1"/>
  <c r="O2721" i="1" a="1"/>
  <c r="O2721" i="1"/>
  <c r="O2722" i="1" a="1"/>
  <c r="O2722" i="1" s="1"/>
  <c r="O2723" i="1" a="1"/>
  <c r="O2723" i="1" s="1"/>
  <c r="O2724" i="1" a="1"/>
  <c r="O2724" i="1" s="1"/>
  <c r="O2725" i="1" a="1"/>
  <c r="O2725" i="1" s="1"/>
  <c r="O2726" i="1" a="1"/>
  <c r="O2726" i="1" s="1"/>
  <c r="O2727" i="1" a="1"/>
  <c r="O2727" i="1" s="1"/>
  <c r="O2728" i="1" a="1"/>
  <c r="O2728" i="1"/>
  <c r="O2729" i="1" a="1"/>
  <c r="O2729" i="1" s="1"/>
  <c r="O2730" i="1" a="1"/>
  <c r="O2730" i="1" s="1"/>
  <c r="O2731" i="1" a="1"/>
  <c r="O2731" i="1" s="1"/>
  <c r="O2732" i="1" a="1"/>
  <c r="O2732" i="1" s="1"/>
  <c r="O2733" i="1" a="1"/>
  <c r="O2733" i="1" s="1"/>
  <c r="O2734" i="1" a="1"/>
  <c r="O2734" i="1" s="1"/>
  <c r="O2735" i="1" a="1"/>
  <c r="O2735" i="1"/>
  <c r="O2736" i="1" a="1"/>
  <c r="O2736" i="1" s="1"/>
  <c r="O2737" i="1" a="1"/>
  <c r="O2737" i="1" s="1"/>
  <c r="O2738" i="1" a="1"/>
  <c r="O2738" i="1" s="1"/>
  <c r="O2739" i="1" a="1"/>
  <c r="O2739" i="1"/>
  <c r="O2740" i="1" a="1"/>
  <c r="O2740" i="1" s="1"/>
  <c r="O2741" i="1" a="1"/>
  <c r="O2741" i="1" s="1"/>
  <c r="O2742" i="1" a="1"/>
  <c r="O2742" i="1" s="1"/>
  <c r="O2743" i="1" a="1"/>
  <c r="O2743" i="1"/>
  <c r="O2744" i="1" a="1"/>
  <c r="O2744" i="1" s="1"/>
  <c r="O2745" i="1" a="1"/>
  <c r="O2745" i="1" s="1"/>
  <c r="O2746" i="1" a="1"/>
  <c r="O2746" i="1" s="1"/>
  <c r="O2747" i="1" a="1"/>
  <c r="O2747" i="1" s="1"/>
  <c r="O2748" i="1" a="1"/>
  <c r="O2748" i="1" s="1"/>
  <c r="O2749" i="1" a="1"/>
  <c r="O2749" i="1" s="1"/>
  <c r="O2750" i="1" a="1"/>
  <c r="O2750" i="1" s="1"/>
  <c r="O2751" i="1" a="1"/>
  <c r="O2751" i="1" s="1"/>
  <c r="O2752" i="1" a="1"/>
  <c r="O2752" i="1" s="1"/>
  <c r="O2753" i="1" a="1"/>
  <c r="O2753" i="1" s="1"/>
  <c r="O2754" i="1" a="1"/>
  <c r="O2754" i="1" s="1"/>
  <c r="O2755" i="1" a="1"/>
  <c r="O2755" i="1" s="1"/>
  <c r="O2756" i="1" a="1"/>
  <c r="O2756" i="1"/>
  <c r="O2757" i="1" a="1"/>
  <c r="O2757" i="1" s="1"/>
  <c r="O2758" i="1" a="1"/>
  <c r="O2758" i="1"/>
  <c r="O2759" i="1" a="1"/>
  <c r="O2759" i="1" s="1"/>
  <c r="O2760" i="1" a="1"/>
  <c r="O2760" i="1"/>
  <c r="O2761" i="1" a="1"/>
  <c r="O2761" i="1" s="1"/>
  <c r="O2762" i="1" a="1"/>
  <c r="O2762" i="1" s="1"/>
  <c r="O2763" i="1" a="1"/>
  <c r="O2763" i="1" s="1"/>
  <c r="O2764" i="1" a="1"/>
  <c r="O2764" i="1"/>
  <c r="O2765" i="1" a="1"/>
  <c r="O2765" i="1" s="1"/>
  <c r="O2766" i="1" a="1"/>
  <c r="O2766" i="1" s="1"/>
  <c r="O2767" i="1" a="1"/>
  <c r="O2767" i="1"/>
  <c r="O2768" i="1" a="1"/>
  <c r="O2768" i="1" s="1"/>
  <c r="O2769" i="1" a="1"/>
  <c r="O2769" i="1"/>
  <c r="O2770" i="1" a="1"/>
  <c r="O2770" i="1" s="1"/>
  <c r="O2771" i="1" a="1"/>
  <c r="O2771" i="1" s="1"/>
  <c r="O2772" i="1" a="1"/>
  <c r="O2772" i="1" s="1"/>
  <c r="O2773" i="1" a="1"/>
  <c r="O2773" i="1" s="1"/>
  <c r="O2774" i="1" a="1"/>
  <c r="O2774" i="1"/>
  <c r="O2775" i="1" a="1"/>
  <c r="O2775" i="1" s="1"/>
  <c r="O2776" i="1" a="1"/>
  <c r="O2776" i="1" s="1"/>
  <c r="O2777" i="1" a="1"/>
  <c r="O2777" i="1" s="1"/>
  <c r="O2778" i="1" a="1"/>
  <c r="O2778" i="1" s="1"/>
  <c r="O2779" i="1" a="1"/>
  <c r="O2779" i="1" s="1"/>
  <c r="O2780" i="1" a="1"/>
  <c r="O2780" i="1" s="1"/>
  <c r="O2781" i="1" a="1"/>
  <c r="O2781" i="1"/>
  <c r="O2782" i="1" a="1"/>
  <c r="O2782" i="1" s="1"/>
  <c r="O2783" i="1" a="1"/>
  <c r="O2783" i="1" s="1"/>
  <c r="O2784" i="1" a="1"/>
  <c r="O2784" i="1" s="1"/>
  <c r="O2785" i="1" a="1"/>
  <c r="O2785" i="1"/>
  <c r="O2786" i="1" a="1"/>
  <c r="O2786" i="1" s="1"/>
  <c r="O2787" i="1" a="1"/>
  <c r="O2787" i="1" s="1"/>
  <c r="O2788" i="1" a="1"/>
  <c r="O2788" i="1" s="1"/>
  <c r="O2789" i="1" a="1"/>
  <c r="O2789" i="1" s="1"/>
  <c r="O2790" i="1" a="1"/>
  <c r="O2790" i="1" s="1"/>
  <c r="O2791" i="1" a="1"/>
  <c r="O2791" i="1" s="1"/>
  <c r="O2792" i="1" a="1"/>
  <c r="O2792" i="1" s="1"/>
  <c r="O2793" i="1" a="1"/>
  <c r="O2793" i="1" s="1"/>
  <c r="O2794" i="1" a="1"/>
  <c r="O2794" i="1" s="1"/>
  <c r="O2795" i="1" a="1"/>
  <c r="O2795" i="1" s="1"/>
  <c r="O2796" i="1" a="1"/>
  <c r="O2796" i="1" s="1"/>
  <c r="O2797" i="1" a="1"/>
  <c r="O2797" i="1" s="1"/>
  <c r="O2798" i="1" a="1"/>
  <c r="O2798" i="1" s="1"/>
  <c r="O2799" i="1" a="1"/>
  <c r="O2799" i="1"/>
  <c r="O2800" i="1" a="1"/>
  <c r="O2800" i="1" s="1"/>
  <c r="O2801" i="1" a="1"/>
  <c r="O2801" i="1" s="1"/>
  <c r="O2802" i="1" a="1"/>
  <c r="O2802" i="1" s="1"/>
  <c r="O2803" i="1" a="1"/>
  <c r="O2803" i="1" s="1"/>
  <c r="O2804" i="1" a="1"/>
  <c r="O2804" i="1" s="1"/>
  <c r="O2805" i="1" a="1"/>
  <c r="O2805" i="1" s="1"/>
  <c r="O2806" i="1" a="1"/>
  <c r="O2806" i="1" s="1"/>
  <c r="O2807" i="1" a="1"/>
  <c r="O2807" i="1" s="1"/>
  <c r="O2808" i="1" a="1"/>
  <c r="O2808" i="1" s="1"/>
  <c r="O2809" i="1" a="1"/>
  <c r="O2809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I2719" i="1"/>
  <c r="L2719" i="1"/>
  <c r="M2719" i="1"/>
  <c r="O2692" i="1" a="1"/>
  <c r="O2692" i="1" s="1"/>
  <c r="N2692" i="1"/>
  <c r="M2692" i="1"/>
  <c r="L2692" i="1"/>
  <c r="I2692" i="1"/>
  <c r="O2700" i="1" a="1"/>
  <c r="O2700" i="1" s="1"/>
  <c r="O2701" i="1" a="1"/>
  <c r="O2701" i="1" s="1"/>
  <c r="O2702" i="1" a="1"/>
  <c r="O2702" i="1" s="1"/>
  <c r="O2703" i="1" a="1"/>
  <c r="O2703" i="1" s="1"/>
  <c r="O2704" i="1" a="1"/>
  <c r="O2704" i="1" s="1"/>
  <c r="O2705" i="1" a="1"/>
  <c r="O2705" i="1" s="1"/>
  <c r="O2706" i="1" a="1"/>
  <c r="O2706" i="1"/>
  <c r="O2707" i="1" a="1"/>
  <c r="O2707" i="1" s="1"/>
  <c r="O2708" i="1" a="1"/>
  <c r="O2708" i="1" s="1"/>
  <c r="O2709" i="1" a="1"/>
  <c r="O2709" i="1" s="1"/>
  <c r="O2710" i="1" a="1"/>
  <c r="O2710" i="1" s="1"/>
  <c r="O2711" i="1" a="1"/>
  <c r="O2711" i="1" s="1"/>
  <c r="O2712" i="1" a="1"/>
  <c r="O2712" i="1" s="1"/>
  <c r="O2713" i="1" a="1"/>
  <c r="O2713" i="1"/>
  <c r="O2714" i="1" a="1"/>
  <c r="O2714" i="1" s="1"/>
  <c r="O2715" i="1" a="1"/>
  <c r="O2715" i="1" s="1"/>
  <c r="O2716" i="1" a="1"/>
  <c r="O2716" i="1" s="1"/>
  <c r="O2717" i="1" a="1"/>
  <c r="O2717" i="1" s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I2718" i="1"/>
  <c r="L2718" i="1"/>
  <c r="M2718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O2602" i="1" a="1"/>
  <c r="O2602" i="1" s="1"/>
  <c r="O2603" i="1" a="1"/>
  <c r="O2603" i="1" s="1"/>
  <c r="O2604" i="1" a="1"/>
  <c r="O2604" i="1" s="1"/>
  <c r="O2605" i="1" a="1"/>
  <c r="O2605" i="1" s="1"/>
  <c r="O2606" i="1" a="1"/>
  <c r="O2606" i="1" s="1"/>
  <c r="O2607" i="1" a="1"/>
  <c r="O2607" i="1" s="1"/>
  <c r="O2608" i="1" a="1"/>
  <c r="O2608" i="1" s="1"/>
  <c r="O2609" i="1" a="1"/>
  <c r="O2609" i="1" s="1"/>
  <c r="O2610" i="1" a="1"/>
  <c r="O2610" i="1" s="1"/>
  <c r="O2611" i="1" a="1"/>
  <c r="O2611" i="1" s="1"/>
  <c r="O2612" i="1" a="1"/>
  <c r="O2612" i="1" s="1"/>
  <c r="O2613" i="1" a="1"/>
  <c r="O2613" i="1" s="1"/>
  <c r="O2614" i="1" a="1"/>
  <c r="O2614" i="1" s="1"/>
  <c r="O2615" i="1" a="1"/>
  <c r="O2615" i="1" s="1"/>
  <c r="O2616" i="1" a="1"/>
  <c r="O2616" i="1" s="1"/>
  <c r="O2617" i="1" a="1"/>
  <c r="O2617" i="1" s="1"/>
  <c r="O2618" i="1" a="1"/>
  <c r="O2618" i="1" s="1"/>
  <c r="O2619" i="1" a="1"/>
  <c r="O2619" i="1" s="1"/>
  <c r="O2620" i="1" a="1"/>
  <c r="O2620" i="1" s="1"/>
  <c r="O2621" i="1" a="1"/>
  <c r="O2621" i="1" s="1"/>
  <c r="O2622" i="1" a="1"/>
  <c r="O2622" i="1" s="1"/>
  <c r="O2623" i="1" a="1"/>
  <c r="O2623" i="1" s="1"/>
  <c r="O2624" i="1" a="1"/>
  <c r="O2624" i="1" s="1"/>
  <c r="O2625" i="1" a="1"/>
  <c r="O2625" i="1" s="1"/>
  <c r="O2626" i="1" a="1"/>
  <c r="O2626" i="1" s="1"/>
  <c r="O2627" i="1" a="1"/>
  <c r="O2627" i="1" s="1"/>
  <c r="O2628" i="1" a="1"/>
  <c r="O2628" i="1" s="1"/>
  <c r="O2629" i="1" a="1"/>
  <c r="O2629" i="1" s="1"/>
  <c r="O2630" i="1" a="1"/>
  <c r="O2630" i="1"/>
  <c r="O2631" i="1" a="1"/>
  <c r="O2631" i="1" s="1"/>
  <c r="O2632" i="1" a="1"/>
  <c r="O2632" i="1"/>
  <c r="O2633" i="1" a="1"/>
  <c r="O2633" i="1" s="1"/>
  <c r="O2634" i="1" a="1"/>
  <c r="O2634" i="1"/>
  <c r="O2635" i="1" a="1"/>
  <c r="O2635" i="1" s="1"/>
  <c r="O2636" i="1" a="1"/>
  <c r="O2636" i="1" s="1"/>
  <c r="O2637" i="1" a="1"/>
  <c r="O2637" i="1"/>
  <c r="O2638" i="1" a="1"/>
  <c r="O2638" i="1" s="1"/>
  <c r="O2639" i="1" a="1"/>
  <c r="O2639" i="1" s="1"/>
  <c r="O2640" i="1" a="1"/>
  <c r="O2640" i="1"/>
  <c r="O2641" i="1" a="1"/>
  <c r="O2641" i="1" s="1"/>
  <c r="O2642" i="1" a="1"/>
  <c r="O2642" i="1"/>
  <c r="O2643" i="1" a="1"/>
  <c r="O2643" i="1" s="1"/>
  <c r="O2644" i="1" a="1"/>
  <c r="O2644" i="1"/>
  <c r="O2645" i="1" a="1"/>
  <c r="O2645" i="1" s="1"/>
  <c r="O2646" i="1" a="1"/>
  <c r="O2646" i="1" s="1"/>
  <c r="O2647" i="1" a="1"/>
  <c r="O2647" i="1" s="1"/>
  <c r="O2648" i="1" a="1"/>
  <c r="O2648" i="1" s="1"/>
  <c r="O2649" i="1" a="1"/>
  <c r="O2649" i="1" s="1"/>
  <c r="O2650" i="1" a="1"/>
  <c r="O2650" i="1" s="1"/>
  <c r="O2651" i="1" a="1"/>
  <c r="O2651" i="1" s="1"/>
  <c r="O2652" i="1" a="1"/>
  <c r="O2652" i="1" s="1"/>
  <c r="O2653" i="1" a="1"/>
  <c r="O2653" i="1" s="1"/>
  <c r="O2654" i="1" a="1"/>
  <c r="O2654" i="1" s="1"/>
  <c r="O2655" i="1" a="1"/>
  <c r="O2655" i="1" s="1"/>
  <c r="O2656" i="1" a="1"/>
  <c r="O2656" i="1" s="1"/>
  <c r="O2657" i="1" a="1"/>
  <c r="O2657" i="1" s="1"/>
  <c r="O2658" i="1" a="1"/>
  <c r="O2658" i="1" s="1"/>
  <c r="O2659" i="1" a="1"/>
  <c r="O2659" i="1" s="1"/>
  <c r="O2660" i="1" a="1"/>
  <c r="O2660" i="1" s="1"/>
  <c r="O2661" i="1" a="1"/>
  <c r="O2661" i="1" s="1"/>
  <c r="O2662" i="1" a="1"/>
  <c r="O2662" i="1" s="1"/>
  <c r="O2663" i="1" a="1"/>
  <c r="O2663" i="1" s="1"/>
  <c r="O2664" i="1" a="1"/>
  <c r="O2664" i="1" s="1"/>
  <c r="O2665" i="1" a="1"/>
  <c r="O2665" i="1" s="1"/>
  <c r="O2666" i="1" a="1"/>
  <c r="O2666" i="1" s="1"/>
  <c r="O2667" i="1" a="1"/>
  <c r="O2667" i="1" s="1"/>
  <c r="O2668" i="1" a="1"/>
  <c r="O2668" i="1" s="1"/>
  <c r="O2669" i="1" a="1"/>
  <c r="O2669" i="1" s="1"/>
  <c r="O2670" i="1" a="1"/>
  <c r="O2670" i="1" s="1"/>
  <c r="O2671" i="1" a="1"/>
  <c r="O2671" i="1" s="1"/>
  <c r="O2672" i="1" a="1"/>
  <c r="O2672" i="1" s="1"/>
  <c r="O2673" i="1" a="1"/>
  <c r="O2673" i="1" s="1"/>
  <c r="O2674" i="1" a="1"/>
  <c r="O2674" i="1" s="1"/>
  <c r="O2675" i="1" a="1"/>
  <c r="O2675" i="1"/>
  <c r="O2676" i="1" a="1"/>
  <c r="O2676" i="1" s="1"/>
  <c r="O2677" i="1" a="1"/>
  <c r="O2677" i="1" s="1"/>
  <c r="O2678" i="1" a="1"/>
  <c r="O2678" i="1" s="1"/>
  <c r="O2679" i="1" a="1"/>
  <c r="O2679" i="1" s="1"/>
  <c r="O2680" i="1" a="1"/>
  <c r="O2680" i="1" s="1"/>
  <c r="O2681" i="1" a="1"/>
  <c r="O2681" i="1" s="1"/>
  <c r="O2682" i="1" a="1"/>
  <c r="O2682" i="1" s="1"/>
  <c r="O2683" i="1" a="1"/>
  <c r="O2683" i="1" s="1"/>
  <c r="O2684" i="1" a="1"/>
  <c r="O2684" i="1" s="1"/>
  <c r="O2685" i="1" a="1"/>
  <c r="O2685" i="1" s="1"/>
  <c r="O2686" i="1" a="1"/>
  <c r="O2686" i="1"/>
  <c r="O2687" i="1" a="1"/>
  <c r="O2687" i="1" s="1"/>
  <c r="O2688" i="1" a="1"/>
  <c r="O2688" i="1" s="1"/>
  <c r="O2689" i="1" a="1"/>
  <c r="O2689" i="1" s="1"/>
  <c r="O2690" i="1" a="1"/>
  <c r="O2690" i="1" s="1"/>
  <c r="O2693" i="1" a="1"/>
  <c r="O2693" i="1" s="1"/>
  <c r="O2694" i="1" a="1"/>
  <c r="O2694" i="1" s="1"/>
  <c r="O2691" i="1" a="1"/>
  <c r="O2691" i="1" s="1"/>
  <c r="O2695" i="1" a="1"/>
  <c r="O2695" i="1" s="1"/>
  <c r="O2696" i="1" a="1"/>
  <c r="O2696" i="1" s="1"/>
  <c r="O2697" i="1" a="1"/>
  <c r="O2697" i="1" s="1"/>
  <c r="O2698" i="1" a="1"/>
  <c r="O2698" i="1" s="1"/>
  <c r="O2699" i="1" a="1"/>
  <c r="O2699" i="1" s="1"/>
  <c r="I2700" i="1"/>
  <c r="I2701" i="1"/>
  <c r="I2702" i="1"/>
  <c r="I2703" i="1"/>
  <c r="L2700" i="1"/>
  <c r="L2701" i="1"/>
  <c r="L2702" i="1"/>
  <c r="L2703" i="1"/>
  <c r="M2700" i="1"/>
  <c r="M2701" i="1"/>
  <c r="M2702" i="1"/>
  <c r="M2703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3" i="1"/>
  <c r="N2694" i="1"/>
  <c r="N2691" i="1"/>
  <c r="N2695" i="1"/>
  <c r="N2696" i="1"/>
  <c r="N2697" i="1"/>
  <c r="N2698" i="1"/>
  <c r="N2699" i="1"/>
  <c r="N2700" i="1"/>
  <c r="N2701" i="1"/>
  <c r="N2702" i="1"/>
  <c r="N2703" i="1"/>
  <c r="N2540" i="1"/>
  <c r="N2541" i="1"/>
  <c r="N2542" i="1"/>
  <c r="N2543" i="1"/>
  <c r="N2544" i="1"/>
  <c r="N2545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3" i="1"/>
  <c r="M2694" i="1"/>
  <c r="M2691" i="1"/>
  <c r="M2695" i="1"/>
  <c r="M2696" i="1"/>
  <c r="M2697" i="1"/>
  <c r="M2698" i="1"/>
  <c r="M2699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3" i="1"/>
  <c r="L2694" i="1"/>
  <c r="L2691" i="1"/>
  <c r="L2695" i="1"/>
  <c r="L2696" i="1"/>
  <c r="L2697" i="1"/>
  <c r="L2698" i="1"/>
  <c r="L2699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3" i="1"/>
  <c r="I2694" i="1"/>
  <c r="I2691" i="1"/>
  <c r="I2695" i="1"/>
  <c r="I2696" i="1"/>
  <c r="I2697" i="1"/>
  <c r="I2698" i="1"/>
  <c r="I2699" i="1"/>
  <c r="M2602" i="1"/>
  <c r="L2602" i="1"/>
  <c r="I2602" i="1"/>
  <c r="O2592" i="1" a="1"/>
  <c r="O2592" i="1" s="1"/>
  <c r="O2593" i="1" a="1"/>
  <c r="O2593" i="1" s="1"/>
  <c r="O2594" i="1" a="1"/>
  <c r="O2594" i="1" s="1"/>
  <c r="O2595" i="1" a="1"/>
  <c r="O2595" i="1" s="1"/>
  <c r="O2596" i="1" a="1"/>
  <c r="O2596" i="1" s="1"/>
  <c r="O2597" i="1" a="1"/>
  <c r="O2597" i="1" s="1"/>
  <c r="O2598" i="1" a="1"/>
  <c r="O2598" i="1" s="1"/>
  <c r="O2599" i="1" a="1"/>
  <c r="O2599" i="1"/>
  <c r="O2600" i="1" a="1"/>
  <c r="O2600" i="1" s="1"/>
  <c r="O2601" i="1" a="1"/>
  <c r="O2601" i="1"/>
  <c r="N2594" i="1"/>
  <c r="N2595" i="1"/>
  <c r="N2596" i="1"/>
  <c r="N2597" i="1"/>
  <c r="N2598" i="1"/>
  <c r="N2599" i="1"/>
  <c r="N2600" i="1"/>
  <c r="N2601" i="1"/>
  <c r="I2594" i="1"/>
  <c r="I2595" i="1"/>
  <c r="I2596" i="1"/>
  <c r="I2597" i="1"/>
  <c r="I2598" i="1"/>
  <c r="I2599" i="1"/>
  <c r="I2600" i="1"/>
  <c r="I2601" i="1"/>
  <c r="L2594" i="1"/>
  <c r="L2595" i="1"/>
  <c r="L2596" i="1"/>
  <c r="L2597" i="1"/>
  <c r="L2598" i="1"/>
  <c r="L2599" i="1"/>
  <c r="L2600" i="1"/>
  <c r="L2601" i="1"/>
  <c r="M2594" i="1"/>
  <c r="M2595" i="1"/>
  <c r="M2596" i="1"/>
  <c r="M2597" i="1"/>
  <c r="M2598" i="1"/>
  <c r="M2599" i="1"/>
  <c r="M2600" i="1"/>
  <c r="M2601" i="1"/>
  <c r="O2591" i="1" a="1"/>
  <c r="O2591" i="1" s="1"/>
  <c r="O2590" i="1" a="1"/>
  <c r="O2590" i="1" s="1"/>
  <c r="O2589" i="1" a="1"/>
  <c r="O2589" i="1" s="1"/>
  <c r="O2588" i="1" a="1"/>
  <c r="O2588" i="1" s="1"/>
  <c r="O2587" i="1" a="1"/>
  <c r="O2587" i="1" s="1"/>
  <c r="O2586" i="1" a="1"/>
  <c r="O2586" i="1" s="1"/>
  <c r="O2585" i="1" a="1"/>
  <c r="O2585" i="1"/>
  <c r="O2584" i="1" a="1"/>
  <c r="O2584" i="1" s="1"/>
  <c r="O2583" i="1" a="1"/>
  <c r="O2583" i="1"/>
  <c r="O2582" i="1" a="1"/>
  <c r="O2582" i="1" s="1"/>
  <c r="O2581" i="1" a="1"/>
  <c r="O2581" i="1" s="1"/>
  <c r="O2580" i="1" a="1"/>
  <c r="O2580" i="1"/>
  <c r="O2579" i="1" a="1"/>
  <c r="O2579" i="1" s="1"/>
  <c r="O2578" i="1" a="1"/>
  <c r="O2578" i="1" s="1"/>
  <c r="O2577" i="1" a="1"/>
  <c r="O2577" i="1" s="1"/>
  <c r="O2576" i="1" a="1"/>
  <c r="O2576" i="1"/>
  <c r="O2575" i="1" a="1"/>
  <c r="O2575" i="1" s="1"/>
  <c r="O2574" i="1" a="1"/>
  <c r="O2574" i="1" s="1"/>
  <c r="O2573" i="1" a="1"/>
  <c r="O2573" i="1" s="1"/>
  <c r="O2572" i="1" a="1"/>
  <c r="O2572" i="1" s="1"/>
  <c r="O2571" i="1" a="1"/>
  <c r="O2571" i="1" s="1"/>
  <c r="O2570" i="1" a="1"/>
  <c r="O2570" i="1" s="1"/>
  <c r="O2569" i="1" a="1"/>
  <c r="O2569" i="1"/>
  <c r="O2568" i="1" a="1"/>
  <c r="O2568" i="1" s="1"/>
  <c r="O2567" i="1" a="1"/>
  <c r="O2567" i="1" s="1"/>
  <c r="O2566" i="1" a="1"/>
  <c r="O2566" i="1"/>
  <c r="O2565" i="1" a="1"/>
  <c r="O2565" i="1" s="1"/>
  <c r="O2564" i="1" a="1"/>
  <c r="O2564" i="1" s="1"/>
  <c r="O2563" i="1" a="1"/>
  <c r="O2563" i="1" s="1"/>
  <c r="O2562" i="1" a="1"/>
  <c r="O2562" i="1"/>
  <c r="O2561" i="1" a="1"/>
  <c r="O2561" i="1" s="1"/>
  <c r="O2560" i="1" a="1"/>
  <c r="O2560" i="1" s="1"/>
  <c r="O2559" i="1" a="1"/>
  <c r="O2559" i="1" s="1"/>
  <c r="O2558" i="1" a="1"/>
  <c r="O2558" i="1" s="1"/>
  <c r="O2557" i="1" a="1"/>
  <c r="O2557" i="1" s="1"/>
  <c r="O2556" i="1" a="1"/>
  <c r="O2556" i="1" s="1"/>
  <c r="O2555" i="1" a="1"/>
  <c r="O2555" i="1" s="1"/>
  <c r="O2554" i="1" a="1"/>
  <c r="O2554" i="1" s="1"/>
  <c r="O2553" i="1" a="1"/>
  <c r="O2553" i="1" s="1"/>
  <c r="O2552" i="1" a="1"/>
  <c r="O2552" i="1" s="1"/>
  <c r="O2551" i="1" a="1"/>
  <c r="O2551" i="1" s="1"/>
  <c r="O2550" i="1" a="1"/>
  <c r="O2550" i="1"/>
  <c r="O2549" i="1" a="1"/>
  <c r="O2549" i="1" s="1"/>
  <c r="O2548" i="1" a="1"/>
  <c r="O2548" i="1" s="1"/>
  <c r="O2547" i="1" a="1"/>
  <c r="O2547" i="1" s="1"/>
  <c r="O2546" i="1" a="1"/>
  <c r="O2546" i="1" s="1"/>
  <c r="O2545" i="1" a="1"/>
  <c r="O2545" i="1" s="1"/>
  <c r="O2544" i="1" a="1"/>
  <c r="O2544" i="1" s="1"/>
  <c r="O2543" i="1" a="1"/>
  <c r="O2543" i="1" s="1"/>
  <c r="O2542" i="1" a="1"/>
  <c r="O2542" i="1" s="1"/>
  <c r="O2541" i="1" a="1"/>
  <c r="O2541" i="1"/>
  <c r="O2540" i="1" a="1"/>
  <c r="O2540" i="1"/>
  <c r="O2539" i="1" a="1"/>
  <c r="O2539" i="1" s="1"/>
  <c r="O2538" i="1" a="1"/>
  <c r="O2538" i="1" s="1"/>
  <c r="O2537" i="1" a="1"/>
  <c r="O2537" i="1" s="1"/>
  <c r="O2536" i="1" a="1"/>
  <c r="O2536" i="1" s="1"/>
  <c r="O2535" i="1" a="1"/>
  <c r="O2535" i="1" s="1"/>
  <c r="O2534" i="1" a="1"/>
  <c r="O2534" i="1" s="1"/>
  <c r="O2533" i="1" a="1"/>
  <c r="O2533" i="1" s="1"/>
  <c r="O2532" i="1" a="1"/>
  <c r="O2532" i="1"/>
  <c r="O2531" i="1" a="1"/>
  <c r="O2531" i="1" s="1"/>
  <c r="O2530" i="1" a="1"/>
  <c r="O2530" i="1" s="1"/>
  <c r="O2529" i="1" a="1"/>
  <c r="O2529" i="1" s="1"/>
  <c r="O2528" i="1" a="1"/>
  <c r="O2528" i="1" s="1"/>
  <c r="O2527" i="1" a="1"/>
  <c r="O2527" i="1" s="1"/>
  <c r="O2526" i="1" a="1"/>
  <c r="O2526" i="1" s="1"/>
  <c r="M2540" i="1"/>
  <c r="L2540" i="1"/>
  <c r="I2540" i="1"/>
  <c r="M2541" i="1"/>
  <c r="L2541" i="1"/>
  <c r="I2541" i="1"/>
  <c r="M2542" i="1"/>
  <c r="L2542" i="1"/>
  <c r="I2542" i="1"/>
  <c r="M2543" i="1"/>
  <c r="L2543" i="1"/>
  <c r="I2543" i="1"/>
  <c r="M2544" i="1"/>
  <c r="L2544" i="1"/>
  <c r="I2544" i="1"/>
  <c r="M2545" i="1"/>
  <c r="L2545" i="1"/>
  <c r="I2545" i="1"/>
  <c r="O2525" i="1" a="1"/>
  <c r="O2525" i="1"/>
  <c r="O2524" i="1" a="1"/>
  <c r="O2524" i="1" s="1"/>
  <c r="O2523" i="1" a="1"/>
  <c r="O2523" i="1" s="1"/>
  <c r="O2522" i="1" a="1"/>
  <c r="O2522" i="1" s="1"/>
  <c r="O2521" i="1" a="1"/>
  <c r="O2521" i="1" s="1"/>
  <c r="O2520" i="1" a="1"/>
  <c r="O2520" i="1" s="1"/>
  <c r="O2519" i="1" a="1"/>
  <c r="O2519" i="1"/>
  <c r="O2518" i="1" a="1"/>
  <c r="O2518" i="1" s="1"/>
  <c r="O2517" i="1" a="1"/>
  <c r="O2517" i="1" s="1"/>
  <c r="O2516" i="1" a="1"/>
  <c r="O2516" i="1" s="1"/>
  <c r="O2515" i="1" a="1"/>
  <c r="O2515" i="1" s="1"/>
  <c r="O2514" i="1" a="1"/>
  <c r="O2514" i="1"/>
  <c r="O2513" i="1" a="1"/>
  <c r="O2513" i="1" s="1"/>
  <c r="O2512" i="1" a="1"/>
  <c r="O2512" i="1"/>
  <c r="O2511" i="1" a="1"/>
  <c r="O2511" i="1" s="1"/>
  <c r="O2510" i="1" a="1"/>
  <c r="O2510" i="1"/>
  <c r="O2509" i="1" a="1"/>
  <c r="O2509" i="1" s="1"/>
  <c r="O2508" i="1" a="1"/>
  <c r="O2508" i="1" s="1"/>
  <c r="O2507" i="1" a="1"/>
  <c r="O2507" i="1" s="1"/>
  <c r="O2506" i="1" a="1"/>
  <c r="O2506" i="1" s="1"/>
  <c r="O2505" i="1" a="1"/>
  <c r="O2505" i="1" s="1"/>
  <c r="O2504" i="1" a="1"/>
  <c r="O2504" i="1" s="1"/>
  <c r="O2503" i="1" a="1"/>
  <c r="O2503" i="1" s="1"/>
  <c r="O2502" i="1" a="1"/>
  <c r="O2502" i="1" s="1"/>
  <c r="O2501" i="1" a="1"/>
  <c r="O2501" i="1" s="1"/>
  <c r="O2500" i="1" a="1"/>
  <c r="O2500" i="1"/>
  <c r="O2499" i="1" a="1"/>
  <c r="O2499" i="1"/>
  <c r="O2498" i="1" a="1"/>
  <c r="O2498" i="1" s="1"/>
  <c r="O2497" i="1" a="1"/>
  <c r="O2497" i="1"/>
  <c r="O2496" i="1" a="1"/>
  <c r="O2496" i="1" s="1"/>
  <c r="O2495" i="1" a="1"/>
  <c r="O2495" i="1" s="1"/>
  <c r="O2494" i="1" a="1"/>
  <c r="O2494" i="1" s="1"/>
  <c r="O2493" i="1" a="1"/>
  <c r="O2493" i="1" s="1"/>
  <c r="O2492" i="1" a="1"/>
  <c r="O2492" i="1" s="1"/>
  <c r="O2491" i="1" a="1"/>
  <c r="O2491" i="1" s="1"/>
  <c r="O2490" i="1" a="1"/>
  <c r="O2490" i="1" s="1"/>
  <c r="O2489" i="1" a="1"/>
  <c r="O2489" i="1" s="1"/>
  <c r="O2488" i="1" a="1"/>
  <c r="O2488" i="1" s="1"/>
  <c r="O2487" i="1" a="1"/>
  <c r="O2487" i="1" s="1"/>
  <c r="O2486" i="1" a="1"/>
  <c r="O2486" i="1" s="1"/>
  <c r="O2485" i="1" a="1"/>
  <c r="O2485" i="1" s="1"/>
  <c r="O2484" i="1" a="1"/>
  <c r="O2484" i="1" s="1"/>
  <c r="O2483" i="1" a="1"/>
  <c r="O2483" i="1" s="1"/>
  <c r="O2482" i="1" a="1"/>
  <c r="O2482" i="1" s="1"/>
  <c r="O2481" i="1" a="1"/>
  <c r="O2481" i="1" s="1"/>
  <c r="O2480" i="1" a="1"/>
  <c r="O2480" i="1" s="1"/>
  <c r="O2479" i="1" a="1"/>
  <c r="O2479" i="1" s="1"/>
  <c r="O2478" i="1" a="1"/>
  <c r="O2478" i="1" s="1"/>
  <c r="O2477" i="1" a="1"/>
  <c r="O2477" i="1" s="1"/>
  <c r="O2476" i="1" a="1"/>
  <c r="O2476" i="1" s="1"/>
  <c r="O2475" i="1" a="1"/>
  <c r="O2475" i="1" s="1"/>
  <c r="O2474" i="1" a="1"/>
  <c r="O2474" i="1" s="1"/>
  <c r="O2473" i="1" a="1"/>
  <c r="O2473" i="1" s="1"/>
  <c r="O2472" i="1" a="1"/>
  <c r="O2472" i="1"/>
  <c r="O2471" i="1" a="1"/>
  <c r="O2471" i="1" s="1"/>
  <c r="O2470" i="1" a="1"/>
  <c r="O2470" i="1" s="1"/>
  <c r="O2469" i="1" a="1"/>
  <c r="O2469" i="1" s="1"/>
  <c r="O2468" i="1" a="1"/>
  <c r="O2468" i="1"/>
  <c r="O2467" i="1" a="1"/>
  <c r="O2467" i="1" s="1"/>
  <c r="O2466" i="1" a="1"/>
  <c r="O2466" i="1"/>
  <c r="O2465" i="1" a="1"/>
  <c r="O2465" i="1" s="1"/>
  <c r="O2464" i="1" a="1"/>
  <c r="O2464" i="1" s="1"/>
  <c r="O2463" i="1" a="1"/>
  <c r="O2463" i="1" s="1"/>
  <c r="O2462" i="1" a="1"/>
  <c r="O2462" i="1" s="1"/>
  <c r="O2461" i="1" a="1"/>
  <c r="O2461" i="1" s="1"/>
  <c r="O2460" i="1" a="1"/>
  <c r="O2460" i="1" s="1"/>
  <c r="O2459" i="1" a="1"/>
  <c r="O2459" i="1" s="1"/>
  <c r="O2458" i="1" a="1"/>
  <c r="O2458" i="1" s="1"/>
  <c r="O2457" i="1" a="1"/>
  <c r="O2457" i="1"/>
  <c r="O2456" i="1" a="1"/>
  <c r="O2456" i="1" s="1"/>
  <c r="O2455" i="1" a="1"/>
  <c r="O2455" i="1" s="1"/>
  <c r="O2454" i="1" a="1"/>
  <c r="O2454" i="1" s="1"/>
  <c r="O2453" i="1" a="1"/>
  <c r="O2453" i="1" s="1"/>
  <c r="O2452" i="1" a="1"/>
  <c r="O2452" i="1" s="1"/>
  <c r="O2451" i="1" a="1"/>
  <c r="O2451" i="1" s="1"/>
  <c r="O2450" i="1" a="1"/>
  <c r="O2450" i="1" s="1"/>
  <c r="O2449" i="1" a="1"/>
  <c r="O2449" i="1" s="1"/>
  <c r="O2448" i="1" a="1"/>
  <c r="O2448" i="1" s="1"/>
  <c r="O2447" i="1" a="1"/>
  <c r="O2447" i="1" s="1"/>
  <c r="O2446" i="1" a="1"/>
  <c r="O2446" i="1" s="1"/>
  <c r="O2445" i="1" a="1"/>
  <c r="O2445" i="1" s="1"/>
  <c r="O2444" i="1" a="1"/>
  <c r="O2444" i="1"/>
  <c r="O2443" i="1" a="1"/>
  <c r="O2443" i="1" s="1"/>
  <c r="O2442" i="1" a="1"/>
  <c r="O2442" i="1" s="1"/>
  <c r="O2441" i="1" a="1"/>
  <c r="O2441" i="1" s="1"/>
  <c r="O2440" i="1" a="1"/>
  <c r="O2440" i="1" s="1"/>
  <c r="O2439" i="1" a="1"/>
  <c r="O2439" i="1" s="1"/>
  <c r="O2438" i="1" a="1"/>
  <c r="O2438" i="1" s="1"/>
  <c r="O2437" i="1" a="1"/>
  <c r="O2437" i="1" s="1"/>
  <c r="O2436" i="1" a="1"/>
  <c r="O2436" i="1" s="1"/>
  <c r="O2435" i="1" a="1"/>
  <c r="O2435" i="1" s="1"/>
  <c r="O2434" i="1" a="1"/>
  <c r="O2434" i="1"/>
  <c r="O2433" i="1" a="1"/>
  <c r="O2433" i="1" s="1"/>
  <c r="O2432" i="1" a="1"/>
  <c r="O2432" i="1" s="1"/>
  <c r="O2431" i="1" a="1"/>
  <c r="O2431" i="1" s="1"/>
  <c r="O2430" i="1" a="1"/>
  <c r="O2430" i="1" s="1"/>
  <c r="O2429" i="1" a="1"/>
  <c r="O2429" i="1"/>
  <c r="O2428" i="1" a="1"/>
  <c r="O2428" i="1" s="1"/>
  <c r="O2427" i="1" a="1"/>
  <c r="O2427" i="1"/>
  <c r="O2426" i="1" a="1"/>
  <c r="O2426" i="1" s="1"/>
  <c r="O2425" i="1" a="1"/>
  <c r="O2425" i="1" s="1"/>
  <c r="O2424" i="1" a="1"/>
  <c r="O2424" i="1" s="1"/>
  <c r="O2423" i="1" a="1"/>
  <c r="O2423" i="1" s="1"/>
  <c r="O2422" i="1" a="1"/>
  <c r="O2422" i="1" s="1"/>
  <c r="O2421" i="1" a="1"/>
  <c r="O2421" i="1" s="1"/>
  <c r="O2420" i="1" a="1"/>
  <c r="O2420" i="1" s="1"/>
  <c r="O2419" i="1" a="1"/>
  <c r="O2419" i="1" s="1"/>
  <c r="O2418" i="1" a="1"/>
  <c r="O2418" i="1" s="1"/>
  <c r="O2417" i="1" a="1"/>
  <c r="O2417" i="1"/>
  <c r="O2416" i="1" a="1"/>
  <c r="O2416" i="1" s="1"/>
  <c r="O2415" i="1" a="1"/>
  <c r="O2415" i="1"/>
  <c r="O2414" i="1" a="1"/>
  <c r="O2414" i="1" s="1"/>
  <c r="O2413" i="1" a="1"/>
  <c r="O2413" i="1" s="1"/>
  <c r="O2412" i="1" a="1"/>
  <c r="O2412" i="1" s="1"/>
  <c r="O2411" i="1" a="1"/>
  <c r="O2411" i="1" s="1"/>
  <c r="O2410" i="1" a="1"/>
  <c r="O2410" i="1" s="1"/>
  <c r="O2409" i="1" a="1"/>
  <c r="O2409" i="1" s="1"/>
  <c r="O2408" i="1" a="1"/>
  <c r="O2408" i="1" s="1"/>
  <c r="O2407" i="1" a="1"/>
  <c r="O2407" i="1" s="1"/>
  <c r="O2406" i="1" a="1"/>
  <c r="O2406" i="1" s="1"/>
  <c r="O2405" i="1" a="1"/>
  <c r="O2405" i="1" s="1"/>
  <c r="O2404" i="1" a="1"/>
  <c r="O2404" i="1" s="1"/>
  <c r="O2403" i="1" a="1"/>
  <c r="O2403" i="1" s="1"/>
  <c r="O2402" i="1" a="1"/>
  <c r="O2402" i="1" s="1"/>
  <c r="O2401" i="1" a="1"/>
  <c r="O2401" i="1" s="1"/>
  <c r="O2400" i="1" a="1"/>
  <c r="O2400" i="1" s="1"/>
  <c r="O2399" i="1" a="1"/>
  <c r="O2399" i="1"/>
  <c r="O2398" i="1" a="1"/>
  <c r="O2398" i="1" s="1"/>
  <c r="O2397" i="1" a="1"/>
  <c r="O2397" i="1" s="1"/>
  <c r="O2396" i="1" a="1"/>
  <c r="O2396" i="1"/>
  <c r="O2395" i="1" a="1"/>
  <c r="O2395" i="1" s="1"/>
  <c r="O2394" i="1" a="1"/>
  <c r="O2394" i="1" s="1"/>
  <c r="O2393" i="1" a="1"/>
  <c r="O2393" i="1" s="1"/>
  <c r="O2392" i="1" a="1"/>
  <c r="O2392" i="1" s="1"/>
  <c r="O2391" i="1" a="1"/>
  <c r="O2391" i="1" s="1"/>
  <c r="O2390" i="1" a="1"/>
  <c r="O2390" i="1" s="1"/>
  <c r="O2389" i="1" a="1"/>
  <c r="O2389" i="1" s="1"/>
  <c r="O2388" i="1" a="1"/>
  <c r="O2388" i="1" s="1"/>
  <c r="O2387" i="1" a="1"/>
  <c r="O2387" i="1" s="1"/>
  <c r="O2386" i="1" a="1"/>
  <c r="O2386" i="1"/>
  <c r="O2385" i="1" a="1"/>
  <c r="O2385" i="1" s="1"/>
  <c r="O2384" i="1" a="1"/>
  <c r="O2384" i="1" s="1"/>
  <c r="O2383" i="1" a="1"/>
  <c r="O2383" i="1" s="1"/>
  <c r="O2382" i="1" a="1"/>
  <c r="O2382" i="1" s="1"/>
  <c r="O2381" i="1" a="1"/>
  <c r="O2381" i="1" s="1"/>
  <c r="O2380" i="1" a="1"/>
  <c r="O2380" i="1" s="1"/>
  <c r="O2379" i="1" a="1"/>
  <c r="O2379" i="1" s="1"/>
  <c r="O2378" i="1" a="1"/>
  <c r="O2378" i="1" s="1"/>
  <c r="O2377" i="1" a="1"/>
  <c r="O2377" i="1" s="1"/>
  <c r="O2376" i="1" a="1"/>
  <c r="O2376" i="1" s="1"/>
  <c r="O2375" i="1" a="1"/>
  <c r="O2375" i="1"/>
  <c r="O2374" i="1" a="1"/>
  <c r="O2374" i="1" s="1"/>
  <c r="O2373" i="1" a="1"/>
  <c r="O2373" i="1" s="1"/>
  <c r="O2372" i="1" a="1"/>
  <c r="O2372" i="1"/>
  <c r="O2371" i="1" a="1"/>
  <c r="O2371" i="1"/>
  <c r="O2370" i="1" a="1"/>
  <c r="O2370" i="1" s="1"/>
  <c r="O2369" i="1" a="1"/>
  <c r="O2369" i="1" s="1"/>
  <c r="O2368" i="1" a="1"/>
  <c r="O2368" i="1" s="1"/>
  <c r="O2367" i="1" a="1"/>
  <c r="O2367" i="1" s="1"/>
  <c r="O2366" i="1" a="1"/>
  <c r="O2366" i="1" s="1"/>
  <c r="O2365" i="1" a="1"/>
  <c r="O2365" i="1" s="1"/>
  <c r="O2364" i="1" a="1"/>
  <c r="O2364" i="1" s="1"/>
  <c r="O2363" i="1" a="1"/>
  <c r="O2363" i="1" s="1"/>
  <c r="O2362" i="1" a="1"/>
  <c r="O2362" i="1" s="1"/>
  <c r="O2361" i="1" a="1"/>
  <c r="O2361" i="1" s="1"/>
  <c r="O2360" i="1" a="1"/>
  <c r="O2360" i="1" s="1"/>
  <c r="O2359" i="1" a="1"/>
  <c r="O2359" i="1" s="1"/>
  <c r="O2358" i="1" a="1"/>
  <c r="O2358" i="1" s="1"/>
  <c r="O2357" i="1" a="1"/>
  <c r="O2357" i="1" s="1"/>
  <c r="O2356" i="1" a="1"/>
  <c r="O2356" i="1" s="1"/>
  <c r="O2355" i="1" a="1"/>
  <c r="O2355" i="1"/>
  <c r="O2354" i="1" a="1"/>
  <c r="O2354" i="1"/>
  <c r="O2353" i="1" a="1"/>
  <c r="O2353" i="1" s="1"/>
  <c r="O2352" i="1" a="1"/>
  <c r="O2352" i="1" s="1"/>
  <c r="O2351" i="1" a="1"/>
  <c r="O2351" i="1" s="1"/>
  <c r="O2350" i="1" a="1"/>
  <c r="O2350" i="1" s="1"/>
  <c r="O2349" i="1" a="1"/>
  <c r="O2349" i="1"/>
  <c r="O2348" i="1" a="1"/>
  <c r="O2348" i="1" s="1"/>
  <c r="O2347" i="1" a="1"/>
  <c r="O2347" i="1" s="1"/>
  <c r="O2346" i="1" a="1"/>
  <c r="O2346" i="1" s="1"/>
  <c r="O2345" i="1" a="1"/>
  <c r="O2345" i="1" s="1"/>
  <c r="O2344" i="1" a="1"/>
  <c r="O2344" i="1" s="1"/>
  <c r="O2343" i="1" a="1"/>
  <c r="O2343" i="1"/>
  <c r="O2342" i="1" a="1"/>
  <c r="O2342" i="1" s="1"/>
  <c r="O2341" i="1" a="1"/>
  <c r="O2341" i="1" s="1"/>
  <c r="O2340" i="1" a="1"/>
  <c r="O2340" i="1" s="1"/>
  <c r="O2339" i="1" a="1"/>
  <c r="O2339" i="1" s="1"/>
  <c r="O2338" i="1" a="1"/>
  <c r="O2338" i="1" s="1"/>
  <c r="O2337" i="1" a="1"/>
  <c r="O2337" i="1" s="1"/>
  <c r="O2336" i="1" a="1"/>
  <c r="O2336" i="1" s="1"/>
  <c r="O2335" i="1" a="1"/>
  <c r="O2335" i="1" s="1"/>
  <c r="O2334" i="1" a="1"/>
  <c r="O2334" i="1" s="1"/>
  <c r="O2333" i="1" a="1"/>
  <c r="O2333" i="1"/>
  <c r="O2332" i="1" a="1"/>
  <c r="O2332" i="1"/>
  <c r="O2331" i="1" a="1"/>
  <c r="O2331" i="1"/>
  <c r="O2330" i="1" a="1"/>
  <c r="O2330" i="1" s="1"/>
  <c r="O2329" i="1" a="1"/>
  <c r="O2329" i="1" s="1"/>
  <c r="O2328" i="1" a="1"/>
  <c r="O2328" i="1" s="1"/>
  <c r="O2327" i="1" a="1"/>
  <c r="O2327" i="1" s="1"/>
  <c r="O2326" i="1" a="1"/>
  <c r="O2326" i="1"/>
  <c r="O2325" i="1" a="1"/>
  <c r="O2325" i="1" s="1"/>
  <c r="O2324" i="1" a="1"/>
  <c r="O2324" i="1"/>
  <c r="O2323" i="1" a="1"/>
  <c r="O2323" i="1" s="1"/>
  <c r="O2322" i="1" a="1"/>
  <c r="O2322" i="1" s="1"/>
  <c r="O2321" i="1" a="1"/>
  <c r="O2321" i="1"/>
  <c r="O2320" i="1" a="1"/>
  <c r="O2320" i="1" s="1"/>
  <c r="O2319" i="1" a="1"/>
  <c r="O2319" i="1" s="1"/>
  <c r="O2318" i="1" a="1"/>
  <c r="O2318" i="1" s="1"/>
  <c r="O2317" i="1" a="1"/>
  <c r="O2317" i="1" s="1"/>
  <c r="O2316" i="1" a="1"/>
  <c r="O2316" i="1" s="1"/>
  <c r="O2315" i="1" a="1"/>
  <c r="O2315" i="1"/>
  <c r="O2314" i="1" a="1"/>
  <c r="O2314" i="1" s="1"/>
  <c r="O2313" i="1" a="1"/>
  <c r="O2313" i="1" s="1"/>
  <c r="O2312" i="1" a="1"/>
  <c r="O2312" i="1" s="1"/>
  <c r="O2311" i="1" a="1"/>
  <c r="O2311" i="1" s="1"/>
  <c r="O2310" i="1" a="1"/>
  <c r="O2310" i="1" s="1"/>
  <c r="O2309" i="1" a="1"/>
  <c r="O2309" i="1" s="1"/>
  <c r="O2308" i="1" a="1"/>
  <c r="O2308" i="1" s="1"/>
  <c r="O2307" i="1" a="1"/>
  <c r="O2307" i="1"/>
  <c r="O2306" i="1" a="1"/>
  <c r="O2306" i="1" s="1"/>
  <c r="O2305" i="1" a="1"/>
  <c r="O2305" i="1" s="1"/>
  <c r="O2304" i="1" a="1"/>
  <c r="O2304" i="1"/>
  <c r="O2303" i="1" a="1"/>
  <c r="O2303" i="1" s="1"/>
  <c r="O2302" i="1" a="1"/>
  <c r="O2302" i="1" s="1"/>
  <c r="O2301" i="1" a="1"/>
  <c r="O2301" i="1" s="1"/>
  <c r="O2300" i="1" a="1"/>
  <c r="O2300" i="1"/>
  <c r="O2299" i="1" a="1"/>
  <c r="O2299" i="1" s="1"/>
  <c r="O2298" i="1" a="1"/>
  <c r="O2298" i="1" s="1"/>
  <c r="O2297" i="1" a="1"/>
  <c r="O2297" i="1"/>
  <c r="O2296" i="1" a="1"/>
  <c r="O2296" i="1"/>
  <c r="O2295" i="1" a="1"/>
  <c r="O2295" i="1" s="1"/>
  <c r="O2294" i="1" a="1"/>
  <c r="O2294" i="1" s="1"/>
  <c r="O2293" i="1" a="1"/>
  <c r="O2293" i="1"/>
  <c r="O2292" i="1" a="1"/>
  <c r="O2292" i="1" s="1"/>
  <c r="O2291" i="1" a="1"/>
  <c r="O2291" i="1" s="1"/>
  <c r="O2290" i="1" a="1"/>
  <c r="O2290" i="1" s="1"/>
  <c r="O2289" i="1" a="1"/>
  <c r="O2289" i="1" s="1"/>
  <c r="O2288" i="1" a="1"/>
  <c r="O2288" i="1" s="1"/>
  <c r="O2287" i="1" a="1"/>
  <c r="O2287" i="1"/>
  <c r="O2286" i="1" a="1"/>
  <c r="O2286" i="1" s="1"/>
  <c r="O2285" i="1" a="1"/>
  <c r="O2285" i="1"/>
  <c r="O2284" i="1" a="1"/>
  <c r="O2284" i="1" s="1"/>
  <c r="O2283" i="1" a="1"/>
  <c r="O2283" i="1" s="1"/>
  <c r="O2282" i="1" a="1"/>
  <c r="O2282" i="1" s="1"/>
  <c r="O2281" i="1" a="1"/>
  <c r="O2281" i="1" s="1"/>
  <c r="O2280" i="1" a="1"/>
  <c r="O2280" i="1" s="1"/>
  <c r="O2279" i="1" a="1"/>
  <c r="O2279" i="1" s="1"/>
  <c r="O2278" i="1" a="1"/>
  <c r="O2278" i="1" s="1"/>
  <c r="O2277" i="1" a="1"/>
  <c r="O2277" i="1" s="1"/>
  <c r="O2276" i="1" a="1"/>
  <c r="O2276" i="1"/>
  <c r="O2275" i="1" a="1"/>
  <c r="O2275" i="1" s="1"/>
  <c r="O2274" i="1" a="1"/>
  <c r="O2274" i="1" s="1"/>
  <c r="O2273" i="1" a="1"/>
  <c r="O2273" i="1"/>
  <c r="O2272" i="1" a="1"/>
  <c r="O2272" i="1" s="1"/>
  <c r="O2271" i="1" a="1"/>
  <c r="O2271" i="1" s="1"/>
  <c r="O2270" i="1" a="1"/>
  <c r="O2270" i="1" s="1"/>
  <c r="O2269" i="1" a="1"/>
  <c r="O2269" i="1" s="1"/>
  <c r="O2268" i="1" a="1"/>
  <c r="O2268" i="1" s="1"/>
  <c r="O2267" i="1" a="1"/>
  <c r="O2267" i="1" s="1"/>
  <c r="O2266" i="1" a="1"/>
  <c r="O2266" i="1"/>
  <c r="O2265" i="1" a="1"/>
  <c r="O2265" i="1"/>
  <c r="O2264" i="1" a="1"/>
  <c r="O2264" i="1" s="1"/>
  <c r="O2263" i="1" a="1"/>
  <c r="O2263" i="1" s="1"/>
  <c r="O2262" i="1" a="1"/>
  <c r="O2262" i="1" s="1"/>
  <c r="O2261" i="1" a="1"/>
  <c r="O2261" i="1" s="1"/>
  <c r="O2260" i="1" a="1"/>
  <c r="O2260" i="1" s="1"/>
  <c r="O2259" i="1" a="1"/>
  <c r="O2259" i="1" s="1"/>
  <c r="O2258" i="1" a="1"/>
  <c r="O2258" i="1"/>
  <c r="O2257" i="1" a="1"/>
  <c r="O2257" i="1"/>
  <c r="O2256" i="1" a="1"/>
  <c r="O2256" i="1" s="1"/>
  <c r="O2255" i="1" a="1"/>
  <c r="O2255" i="1" s="1"/>
  <c r="O2254" i="1" a="1"/>
  <c r="O2254" i="1"/>
  <c r="O2253" i="1" a="1"/>
  <c r="O2253" i="1" s="1"/>
  <c r="O2252" i="1" a="1"/>
  <c r="O2252" i="1" s="1"/>
  <c r="O2251" i="1" a="1"/>
  <c r="O2251" i="1" s="1"/>
  <c r="O2250" i="1" a="1"/>
  <c r="O2250" i="1" s="1"/>
  <c r="O2249" i="1" a="1"/>
  <c r="O2249" i="1" s="1"/>
  <c r="O2248" i="1" a="1"/>
  <c r="O2248" i="1" s="1"/>
  <c r="O2247" i="1" a="1"/>
  <c r="O2247" i="1" s="1"/>
  <c r="O2246" i="1" a="1"/>
  <c r="O2246" i="1" s="1"/>
  <c r="O2245" i="1" a="1"/>
  <c r="O2245" i="1" s="1"/>
  <c r="O2244" i="1" a="1"/>
  <c r="O2244" i="1"/>
  <c r="O2243" i="1" a="1"/>
  <c r="O2243" i="1" s="1"/>
  <c r="O2242" i="1" a="1"/>
  <c r="O2242" i="1" s="1"/>
  <c r="O2241" i="1" a="1"/>
  <c r="O2241" i="1" s="1"/>
  <c r="O2240" i="1" a="1"/>
  <c r="O2240" i="1" s="1"/>
  <c r="O2239" i="1" a="1"/>
  <c r="O2239" i="1" s="1"/>
  <c r="O2238" i="1" a="1"/>
  <c r="O2238" i="1" s="1"/>
  <c r="O2237" i="1" a="1"/>
  <c r="O2237" i="1" s="1"/>
  <c r="O2236" i="1" a="1"/>
  <c r="O2236" i="1" s="1"/>
  <c r="O2235" i="1" a="1"/>
  <c r="O2235" i="1" s="1"/>
  <c r="O2234" i="1" a="1"/>
  <c r="O2234" i="1" s="1"/>
  <c r="O2233" i="1" a="1"/>
  <c r="O2233" i="1" s="1"/>
  <c r="O2232" i="1" a="1"/>
  <c r="O2232" i="1" s="1"/>
  <c r="O2231" i="1" a="1"/>
  <c r="O2231" i="1" s="1"/>
  <c r="O2230" i="1" a="1"/>
  <c r="O2230" i="1" s="1"/>
  <c r="O2229" i="1" a="1"/>
  <c r="O2229" i="1" s="1"/>
  <c r="O2228" i="1" a="1"/>
  <c r="O2228" i="1" s="1"/>
  <c r="O2227" i="1" a="1"/>
  <c r="O2227" i="1" s="1"/>
  <c r="O2226" i="1" a="1"/>
  <c r="O2226" i="1"/>
  <c r="O2225" i="1" a="1"/>
  <c r="O2225" i="1" s="1"/>
  <c r="O2224" i="1" a="1"/>
  <c r="O2224" i="1" s="1"/>
  <c r="O2223" i="1" a="1"/>
  <c r="O2223" i="1" s="1"/>
  <c r="O2222" i="1" a="1"/>
  <c r="O2222" i="1"/>
  <c r="O2221" i="1" a="1"/>
  <c r="O2221" i="1" s="1"/>
  <c r="O2220" i="1" a="1"/>
  <c r="O2220" i="1" s="1"/>
  <c r="O2219" i="1" a="1"/>
  <c r="O2219" i="1" s="1"/>
  <c r="O2218" i="1" a="1"/>
  <c r="O2218" i="1" s="1"/>
  <c r="O2217" i="1" a="1"/>
  <c r="O2217" i="1" s="1"/>
  <c r="O2216" i="1" a="1"/>
  <c r="O2216" i="1" s="1"/>
  <c r="O2215" i="1" a="1"/>
  <c r="O2215" i="1" s="1"/>
  <c r="O2214" i="1" a="1"/>
  <c r="O2214" i="1" s="1"/>
  <c r="O2213" i="1" a="1"/>
  <c r="O2213" i="1" s="1"/>
  <c r="O2212" i="1" a="1"/>
  <c r="O2212" i="1"/>
  <c r="O2211" i="1" a="1"/>
  <c r="O2211" i="1" s="1"/>
  <c r="O2210" i="1" a="1"/>
  <c r="O2210" i="1" s="1"/>
  <c r="O2209" i="1" a="1"/>
  <c r="O2209" i="1" s="1"/>
  <c r="O2208" i="1" a="1"/>
  <c r="O2208" i="1" s="1"/>
  <c r="O2207" i="1" a="1"/>
  <c r="O2207" i="1" s="1"/>
  <c r="O2206" i="1" a="1"/>
  <c r="O2206" i="1" s="1"/>
  <c r="O2205" i="1" a="1"/>
  <c r="O2205" i="1" s="1"/>
  <c r="O2204" i="1" a="1"/>
  <c r="O2204" i="1" s="1"/>
  <c r="O2203" i="1" a="1"/>
  <c r="O2203" i="1" s="1"/>
  <c r="O2202" i="1" a="1"/>
  <c r="O2202" i="1" s="1"/>
  <c r="O2201" i="1" a="1"/>
  <c r="O2201" i="1" s="1"/>
  <c r="O2200" i="1" a="1"/>
  <c r="O2200" i="1" s="1"/>
  <c r="O2199" i="1" a="1"/>
  <c r="O2199" i="1" s="1"/>
  <c r="O2198" i="1" a="1"/>
  <c r="O2198" i="1"/>
  <c r="O2197" i="1" a="1"/>
  <c r="O2197" i="1" s="1"/>
  <c r="O2196" i="1" a="1"/>
  <c r="O2196" i="1" s="1"/>
  <c r="O2195" i="1" a="1"/>
  <c r="O2195" i="1" s="1"/>
  <c r="O2194" i="1" a="1"/>
  <c r="O2194" i="1" s="1"/>
  <c r="O2193" i="1" a="1"/>
  <c r="O2193" i="1" s="1"/>
  <c r="O2192" i="1" a="1"/>
  <c r="O2192" i="1" s="1"/>
  <c r="O2191" i="1" a="1"/>
  <c r="O2191" i="1" s="1"/>
  <c r="O2190" i="1" a="1"/>
  <c r="O2190" i="1" s="1"/>
  <c r="O2189" i="1" a="1"/>
  <c r="O2189" i="1" s="1"/>
  <c r="O2188" i="1" a="1"/>
  <c r="O2188" i="1"/>
  <c r="O2187" i="1" a="1"/>
  <c r="O2187" i="1" s="1"/>
  <c r="O2186" i="1" a="1"/>
  <c r="O2186" i="1" s="1"/>
  <c r="O2185" i="1" a="1"/>
  <c r="O2185" i="1"/>
  <c r="O2184" i="1" a="1"/>
  <c r="O2184" i="1" s="1"/>
  <c r="O2183" i="1" a="1"/>
  <c r="O2183" i="1" s="1"/>
  <c r="O2182" i="1" a="1"/>
  <c r="O2182" i="1" s="1"/>
  <c r="O2181" i="1" a="1"/>
  <c r="O2181" i="1" s="1"/>
  <c r="O2180" i="1" a="1"/>
  <c r="O2180" i="1" s="1"/>
  <c r="O2179" i="1" a="1"/>
  <c r="O2179" i="1" s="1"/>
  <c r="O2178" i="1" a="1"/>
  <c r="O2178" i="1" s="1"/>
  <c r="O2177" i="1" a="1"/>
  <c r="O2177" i="1"/>
  <c r="O2176" i="1" a="1"/>
  <c r="O2176" i="1" s="1"/>
  <c r="O2175" i="1" a="1"/>
  <c r="O2175" i="1" s="1"/>
  <c r="O2174" i="1" a="1"/>
  <c r="O2174" i="1" s="1"/>
  <c r="O2173" i="1" a="1"/>
  <c r="O2173" i="1" s="1"/>
  <c r="O2172" i="1" a="1"/>
  <c r="O2172" i="1" s="1"/>
  <c r="O2171" i="1" a="1"/>
  <c r="O2171" i="1"/>
  <c r="O2170" i="1" a="1"/>
  <c r="O2170" i="1" s="1"/>
  <c r="O2169" i="1" a="1"/>
  <c r="O2169" i="1" s="1"/>
  <c r="O2168" i="1" a="1"/>
  <c r="O2168" i="1" s="1"/>
  <c r="O2167" i="1" a="1"/>
  <c r="O2167" i="1"/>
  <c r="O2166" i="1" a="1"/>
  <c r="O2166" i="1"/>
  <c r="O2165" i="1" a="1"/>
  <c r="O2165" i="1" s="1"/>
  <c r="O2164" i="1" a="1"/>
  <c r="O2164" i="1" s="1"/>
  <c r="O2163" i="1" a="1"/>
  <c r="O2163" i="1" s="1"/>
  <c r="O2162" i="1" a="1"/>
  <c r="O2162" i="1"/>
  <c r="O2161" i="1" a="1"/>
  <c r="O2161" i="1" s="1"/>
  <c r="O2160" i="1" a="1"/>
  <c r="O2160" i="1" s="1"/>
  <c r="O2159" i="1" a="1"/>
  <c r="O2159" i="1"/>
  <c r="O2158" i="1" a="1"/>
  <c r="O2158" i="1" s="1"/>
  <c r="O2157" i="1" a="1"/>
  <c r="O2157" i="1" s="1"/>
  <c r="O2156" i="1" a="1"/>
  <c r="O2156" i="1" s="1"/>
  <c r="O2155" i="1" a="1"/>
  <c r="O2155" i="1" s="1"/>
  <c r="O2154" i="1" a="1"/>
  <c r="O2154" i="1" s="1"/>
  <c r="O2153" i="1" a="1"/>
  <c r="O2153" i="1"/>
  <c r="O2152" i="1" a="1"/>
  <c r="O2152" i="1" s="1"/>
  <c r="O2151" i="1" a="1"/>
  <c r="O2151" i="1" s="1"/>
  <c r="O2150" i="1" a="1"/>
  <c r="O2150" i="1" s="1"/>
  <c r="O2149" i="1" a="1"/>
  <c r="O2149" i="1" s="1"/>
  <c r="O2148" i="1" a="1"/>
  <c r="O2148" i="1" s="1"/>
  <c r="O2147" i="1" a="1"/>
  <c r="O2147" i="1" s="1"/>
  <c r="O2146" i="1" a="1"/>
  <c r="O2146" i="1" s="1"/>
  <c r="O2145" i="1" a="1"/>
  <c r="O2145" i="1"/>
  <c r="O2144" i="1" a="1"/>
  <c r="O2144" i="1" s="1"/>
  <c r="O2143" i="1" a="1"/>
  <c r="O2143" i="1" s="1"/>
  <c r="O2142" i="1" a="1"/>
  <c r="O2142" i="1" s="1"/>
  <c r="O2141" i="1" a="1"/>
  <c r="O2141" i="1"/>
  <c r="O2140" i="1" a="1"/>
  <c r="O2140" i="1" s="1"/>
  <c r="O2139" i="1" a="1"/>
  <c r="O2139" i="1" s="1"/>
  <c r="O2138" i="1" a="1"/>
  <c r="O2138" i="1" s="1"/>
  <c r="O2137" i="1" a="1"/>
  <c r="O2137" i="1" s="1"/>
  <c r="O2136" i="1" a="1"/>
  <c r="O2136" i="1" s="1"/>
  <c r="O2135" i="1" a="1"/>
  <c r="O2135" i="1"/>
  <c r="O2134" i="1" a="1"/>
  <c r="O2134" i="1" s="1"/>
  <c r="O2133" i="1" a="1"/>
  <c r="O2133" i="1" s="1"/>
  <c r="O2132" i="1" a="1"/>
  <c r="O2132" i="1" s="1"/>
  <c r="O2131" i="1" a="1"/>
  <c r="O2131" i="1"/>
  <c r="O2130" i="1" a="1"/>
  <c r="O2130" i="1" s="1"/>
  <c r="O2129" i="1" a="1"/>
  <c r="O2129" i="1" s="1"/>
  <c r="O2128" i="1" a="1"/>
  <c r="O2128" i="1" s="1"/>
  <c r="O2127" i="1" a="1"/>
  <c r="O2127" i="1" s="1"/>
  <c r="O2126" i="1" a="1"/>
  <c r="O2126" i="1" s="1"/>
  <c r="O2125" i="1" a="1"/>
  <c r="O2125" i="1" s="1"/>
  <c r="O2124" i="1" a="1"/>
  <c r="O2124" i="1" s="1"/>
  <c r="O2123" i="1" a="1"/>
  <c r="O2123" i="1" s="1"/>
  <c r="O2122" i="1" a="1"/>
  <c r="O2122" i="1" s="1"/>
  <c r="O2121" i="1" a="1"/>
  <c r="O2121" i="1" s="1"/>
  <c r="O2120" i="1" a="1"/>
  <c r="O2120" i="1" s="1"/>
  <c r="O2119" i="1" a="1"/>
  <c r="O2119" i="1" s="1"/>
  <c r="O2118" i="1" a="1"/>
  <c r="O2118" i="1" s="1"/>
  <c r="O2117" i="1" a="1"/>
  <c r="O2117" i="1" s="1"/>
  <c r="O2116" i="1" a="1"/>
  <c r="O2116" i="1" s="1"/>
  <c r="O2115" i="1" a="1"/>
  <c r="O2115" i="1" s="1"/>
  <c r="O2114" i="1" a="1"/>
  <c r="O2114" i="1" s="1"/>
  <c r="O2113" i="1" a="1"/>
  <c r="O2113" i="1" s="1"/>
  <c r="O2112" i="1" a="1"/>
  <c r="O2112" i="1" s="1"/>
  <c r="O2111" i="1" a="1"/>
  <c r="O2111" i="1" s="1"/>
  <c r="O2110" i="1" a="1"/>
  <c r="O2110" i="1"/>
  <c r="O2109" i="1" a="1"/>
  <c r="O2109" i="1" s="1"/>
  <c r="O2108" i="1" a="1"/>
  <c r="O2108" i="1"/>
  <c r="O2107" i="1" a="1"/>
  <c r="O2107" i="1" s="1"/>
  <c r="O2106" i="1" a="1"/>
  <c r="O2106" i="1" s="1"/>
  <c r="O2105" i="1" a="1"/>
  <c r="O2105" i="1" s="1"/>
  <c r="O2104" i="1" a="1"/>
  <c r="O2104" i="1" s="1"/>
  <c r="O2103" i="1" a="1"/>
  <c r="O2103" i="1" s="1"/>
  <c r="O2102" i="1" a="1"/>
  <c r="O2102" i="1" s="1"/>
  <c r="O2101" i="1" a="1"/>
  <c r="O2101" i="1"/>
  <c r="O2100" i="1" a="1"/>
  <c r="O2100" i="1" s="1"/>
  <c r="O2099" i="1" a="1"/>
  <c r="O2099" i="1" s="1"/>
  <c r="O2098" i="1" a="1"/>
  <c r="O2098" i="1" s="1"/>
  <c r="O2097" i="1" a="1"/>
  <c r="O2097" i="1" s="1"/>
  <c r="O2096" i="1" a="1"/>
  <c r="O2096" i="1" s="1"/>
  <c r="O2095" i="1" a="1"/>
  <c r="O2095" i="1" s="1"/>
  <c r="O2094" i="1" a="1"/>
  <c r="O2094" i="1"/>
  <c r="O2093" i="1" a="1"/>
  <c r="O2093" i="1" s="1"/>
  <c r="O2092" i="1" a="1"/>
  <c r="O2092" i="1" s="1"/>
  <c r="O2091" i="1" a="1"/>
  <c r="O2091" i="1" s="1"/>
  <c r="O2090" i="1" a="1"/>
  <c r="O2090" i="1" s="1"/>
  <c r="O2089" i="1" a="1"/>
  <c r="O2089" i="1"/>
  <c r="O2088" i="1" a="1"/>
  <c r="O2088" i="1" s="1"/>
  <c r="O2087" i="1" a="1"/>
  <c r="O2087" i="1"/>
  <c r="O2086" i="1" a="1"/>
  <c r="O2086" i="1" s="1"/>
  <c r="O2085" i="1" a="1"/>
  <c r="O2085" i="1" s="1"/>
  <c r="O2084" i="1" a="1"/>
  <c r="O2084" i="1" s="1"/>
  <c r="O2083" i="1" a="1"/>
  <c r="O2083" i="1" s="1"/>
  <c r="O2082" i="1" a="1"/>
  <c r="O2082" i="1" s="1"/>
  <c r="O2081" i="1" a="1"/>
  <c r="O2081" i="1" s="1"/>
  <c r="O2080" i="1" a="1"/>
  <c r="O2080" i="1"/>
  <c r="O2079" i="1" a="1"/>
  <c r="O2079" i="1"/>
  <c r="O2078" i="1" a="1"/>
  <c r="O2078" i="1" s="1"/>
  <c r="O2077" i="1" a="1"/>
  <c r="O2077" i="1" s="1"/>
  <c r="O2076" i="1" a="1"/>
  <c r="O2076" i="1" s="1"/>
  <c r="O2075" i="1" a="1"/>
  <c r="O2075" i="1" s="1"/>
  <c r="O2074" i="1" a="1"/>
  <c r="O2074" i="1" s="1"/>
  <c r="O2073" i="1" a="1"/>
  <c r="O2073" i="1" s="1"/>
  <c r="O2072" i="1" a="1"/>
  <c r="O2072" i="1" s="1"/>
  <c r="O2071" i="1" a="1"/>
  <c r="O2071" i="1" s="1"/>
  <c r="O2070" i="1" a="1"/>
  <c r="O2070" i="1" s="1"/>
  <c r="O2069" i="1" a="1"/>
  <c r="O2069" i="1" s="1"/>
  <c r="O2068" i="1" a="1"/>
  <c r="O2068" i="1"/>
  <c r="O2067" i="1" a="1"/>
  <c r="O2067" i="1" s="1"/>
  <c r="O2066" i="1" a="1"/>
  <c r="O2066" i="1" s="1"/>
  <c r="O2065" i="1" a="1"/>
  <c r="O2065" i="1" s="1"/>
  <c r="O2064" i="1" a="1"/>
  <c r="O2064" i="1" s="1"/>
  <c r="O2063" i="1" a="1"/>
  <c r="O2063" i="1" s="1"/>
  <c r="O2062" i="1" a="1"/>
  <c r="O2062" i="1" s="1"/>
  <c r="O2061" i="1" a="1"/>
  <c r="O2061" i="1" s="1"/>
  <c r="O2060" i="1" a="1"/>
  <c r="O2060" i="1" s="1"/>
  <c r="O2059" i="1" a="1"/>
  <c r="O2059" i="1" s="1"/>
  <c r="O2058" i="1" a="1"/>
  <c r="O2058" i="1" s="1"/>
  <c r="O2057" i="1" a="1"/>
  <c r="O2057" i="1" s="1"/>
  <c r="O2056" i="1" a="1"/>
  <c r="O2056" i="1" s="1"/>
  <c r="O2055" i="1" a="1"/>
  <c r="O2055" i="1" s="1"/>
  <c r="O2054" i="1" a="1"/>
  <c r="O2054" i="1" s="1"/>
  <c r="O2053" i="1" a="1"/>
  <c r="O2053" i="1" s="1"/>
  <c r="O2052" i="1" a="1"/>
  <c r="O2052" i="1"/>
  <c r="O2051" i="1" a="1"/>
  <c r="O2051" i="1" s="1"/>
  <c r="O2050" i="1" a="1"/>
  <c r="O2050" i="1" s="1"/>
  <c r="O2049" i="1" a="1"/>
  <c r="O2049" i="1" s="1"/>
  <c r="O2048" i="1" a="1"/>
  <c r="O2048" i="1" s="1"/>
  <c r="O2047" i="1" a="1"/>
  <c r="O2047" i="1" s="1"/>
  <c r="O2046" i="1" a="1"/>
  <c r="O2046" i="1" s="1"/>
  <c r="O2045" i="1" a="1"/>
  <c r="O2045" i="1" s="1"/>
  <c r="O2044" i="1" a="1"/>
  <c r="O2044" i="1"/>
  <c r="O2043" i="1" a="1"/>
  <c r="O2043" i="1"/>
  <c r="O2042" i="1" a="1"/>
  <c r="O2042" i="1" s="1"/>
  <c r="O2041" i="1" a="1"/>
  <c r="O2041" i="1" s="1"/>
  <c r="O2040" i="1" a="1"/>
  <c r="O2040" i="1" s="1"/>
  <c r="O2039" i="1" a="1"/>
  <c r="O2039" i="1" s="1"/>
  <c r="O2038" i="1" a="1"/>
  <c r="O2038" i="1" s="1"/>
  <c r="O2037" i="1" a="1"/>
  <c r="O2037" i="1" s="1"/>
  <c r="O2036" i="1" a="1"/>
  <c r="O2036" i="1" s="1"/>
  <c r="O2035" i="1" a="1"/>
  <c r="O2035" i="1" s="1"/>
  <c r="O2034" i="1" a="1"/>
  <c r="O2034" i="1" s="1"/>
  <c r="O2033" i="1" a="1"/>
  <c r="O2033" i="1"/>
  <c r="O2032" i="1" a="1"/>
  <c r="O2032" i="1" s="1"/>
  <c r="O2031" i="1" a="1"/>
  <c r="O2031" i="1"/>
  <c r="O2030" i="1" a="1"/>
  <c r="O2030" i="1" s="1"/>
  <c r="O2029" i="1" a="1"/>
  <c r="O2029" i="1" s="1"/>
  <c r="O2028" i="1" a="1"/>
  <c r="O2028" i="1" s="1"/>
  <c r="O2027" i="1" a="1"/>
  <c r="O2027" i="1" s="1"/>
  <c r="O2026" i="1" a="1"/>
  <c r="O2026" i="1" s="1"/>
  <c r="O2025" i="1" a="1"/>
  <c r="O2025" i="1" s="1"/>
  <c r="O2024" i="1" a="1"/>
  <c r="O2024" i="1" s="1"/>
  <c r="O2023" i="1" a="1"/>
  <c r="O2023" i="1" s="1"/>
  <c r="O2022" i="1" a="1"/>
  <c r="O2022" i="1" s="1"/>
  <c r="O2021" i="1" a="1"/>
  <c r="O2021" i="1" s="1"/>
  <c r="O2020" i="1" a="1"/>
  <c r="O2020" i="1" s="1"/>
  <c r="O2019" i="1" a="1"/>
  <c r="O2019" i="1"/>
  <c r="O2018" i="1" a="1"/>
  <c r="O2018" i="1" s="1"/>
  <c r="O2017" i="1" a="1"/>
  <c r="O2017" i="1"/>
  <c r="O2016" i="1" a="1"/>
  <c r="O2016" i="1" s="1"/>
  <c r="O2015" i="1" a="1"/>
  <c r="O2015" i="1" s="1"/>
  <c r="O2014" i="1" a="1"/>
  <c r="O2014" i="1" s="1"/>
  <c r="O2013" i="1" a="1"/>
  <c r="O2013" i="1" s="1"/>
  <c r="O2012" i="1" a="1"/>
  <c r="O2012" i="1" s="1"/>
  <c r="O2011" i="1" a="1"/>
  <c r="O2011" i="1" s="1"/>
  <c r="O2010" i="1" a="1"/>
  <c r="O2010" i="1"/>
  <c r="O2009" i="1" a="1"/>
  <c r="O2009" i="1" s="1"/>
  <c r="O2008" i="1" a="1"/>
  <c r="O2008" i="1"/>
  <c r="O2007" i="1" a="1"/>
  <c r="O2007" i="1" s="1"/>
  <c r="O2006" i="1" a="1"/>
  <c r="O2006" i="1" s="1"/>
  <c r="O2005" i="1" a="1"/>
  <c r="O2005" i="1" s="1"/>
  <c r="O2004" i="1" a="1"/>
  <c r="O2004" i="1" s="1"/>
  <c r="O2003" i="1" a="1"/>
  <c r="O2003" i="1" s="1"/>
  <c r="O2002" i="1" a="1"/>
  <c r="O2002" i="1" s="1"/>
  <c r="O2001" i="1" a="1"/>
  <c r="O2001" i="1" s="1"/>
  <c r="O2000" i="1" a="1"/>
  <c r="O2000" i="1" s="1"/>
  <c r="O1999" i="1" a="1"/>
  <c r="O1999" i="1" s="1"/>
  <c r="O1998" i="1" a="1"/>
  <c r="O1998" i="1" s="1"/>
  <c r="O1997" i="1" a="1"/>
  <c r="O1997" i="1" s="1"/>
  <c r="O1996" i="1" a="1"/>
  <c r="O1996" i="1" s="1"/>
  <c r="O1995" i="1" a="1"/>
  <c r="O1995" i="1" s="1"/>
  <c r="O1994" i="1" a="1"/>
  <c r="O1994" i="1" s="1"/>
  <c r="O1993" i="1" a="1"/>
  <c r="O1993" i="1" s="1"/>
  <c r="O1992" i="1" a="1"/>
  <c r="O1992" i="1" s="1"/>
  <c r="O1991" i="1" a="1"/>
  <c r="O1991" i="1" s="1"/>
  <c r="O1990" i="1" a="1"/>
  <c r="O1990" i="1" s="1"/>
  <c r="O1989" i="1" a="1"/>
  <c r="O1989" i="1"/>
  <c r="O1988" i="1" a="1"/>
  <c r="O1988" i="1" s="1"/>
  <c r="O1987" i="1" a="1"/>
  <c r="O1987" i="1"/>
  <c r="O1986" i="1" a="1"/>
  <c r="O1986" i="1" s="1"/>
  <c r="O1985" i="1" a="1"/>
  <c r="O1985" i="1" s="1"/>
  <c r="O1984" i="1" a="1"/>
  <c r="O1984" i="1" s="1"/>
  <c r="O1983" i="1" a="1"/>
  <c r="O1983" i="1" s="1"/>
  <c r="O1982" i="1" a="1"/>
  <c r="O1982" i="1" s="1"/>
  <c r="O1981" i="1" a="1"/>
  <c r="O1981" i="1"/>
  <c r="O1980" i="1" a="1"/>
  <c r="O1980" i="1" s="1"/>
  <c r="O1979" i="1" a="1"/>
  <c r="O1979" i="1" s="1"/>
  <c r="O1978" i="1" a="1"/>
  <c r="O1978" i="1" s="1"/>
  <c r="O1977" i="1" a="1"/>
  <c r="O1977" i="1" s="1"/>
  <c r="O1976" i="1" a="1"/>
  <c r="O1976" i="1" s="1"/>
  <c r="O1975" i="1" a="1"/>
  <c r="O1975" i="1" s="1"/>
  <c r="O1974" i="1" a="1"/>
  <c r="O1974" i="1" s="1"/>
  <c r="O1973" i="1" a="1"/>
  <c r="O1973" i="1" s="1"/>
  <c r="O1972" i="1" a="1"/>
  <c r="O1972" i="1" s="1"/>
  <c r="O1971" i="1" a="1"/>
  <c r="O1971" i="1" s="1"/>
  <c r="O1970" i="1" a="1"/>
  <c r="O1970" i="1" s="1"/>
  <c r="O1969" i="1" a="1"/>
  <c r="O1969" i="1" s="1"/>
  <c r="O1968" i="1" a="1"/>
  <c r="O1968" i="1" s="1"/>
  <c r="O1967" i="1" a="1"/>
  <c r="O1967" i="1" s="1"/>
  <c r="O1966" i="1" a="1"/>
  <c r="O1966" i="1" s="1"/>
  <c r="O1965" i="1" a="1"/>
  <c r="O1965" i="1" s="1"/>
  <c r="O1964" i="1" a="1"/>
  <c r="O1964" i="1" s="1"/>
  <c r="O1963" i="1" a="1"/>
  <c r="O1963" i="1" s="1"/>
  <c r="O1962" i="1" a="1"/>
  <c r="O1962" i="1" s="1"/>
  <c r="O1961" i="1" a="1"/>
  <c r="O1961" i="1" s="1"/>
  <c r="O1960" i="1" a="1"/>
  <c r="O1960" i="1" s="1"/>
  <c r="O1959" i="1" a="1"/>
  <c r="O1959" i="1"/>
  <c r="O1958" i="1" a="1"/>
  <c r="O1958" i="1" s="1"/>
  <c r="O1957" i="1" a="1"/>
  <c r="O1957" i="1" s="1"/>
  <c r="O1956" i="1" a="1"/>
  <c r="O1956" i="1" s="1"/>
  <c r="O1955" i="1" a="1"/>
  <c r="O1955" i="1" s="1"/>
  <c r="O1954" i="1" a="1"/>
  <c r="O1954" i="1" s="1"/>
  <c r="O1953" i="1" a="1"/>
  <c r="O1953" i="1" s="1"/>
  <c r="O1952" i="1" a="1"/>
  <c r="O1952" i="1" s="1"/>
  <c r="O1951" i="1" a="1"/>
  <c r="O1951" i="1" s="1"/>
  <c r="O1950" i="1" a="1"/>
  <c r="O1950" i="1" s="1"/>
  <c r="O1949" i="1" a="1"/>
  <c r="O1949" i="1" s="1"/>
  <c r="O1948" i="1" a="1"/>
  <c r="O1948" i="1" s="1"/>
  <c r="O1947" i="1" a="1"/>
  <c r="O1947" i="1" s="1"/>
  <c r="O1946" i="1" a="1"/>
  <c r="O1946" i="1"/>
  <c r="O1945" i="1" a="1"/>
  <c r="O1945" i="1" s="1"/>
  <c r="O1944" i="1" a="1"/>
  <c r="O1944" i="1" s="1"/>
  <c r="O1943" i="1" a="1"/>
  <c r="O1943" i="1" s="1"/>
  <c r="O1942" i="1" a="1"/>
  <c r="O1942" i="1" s="1"/>
  <c r="O1941" i="1" a="1"/>
  <c r="O1941" i="1" s="1"/>
  <c r="O1940" i="1" a="1"/>
  <c r="O1940" i="1" s="1"/>
  <c r="O1939" i="1" a="1"/>
  <c r="O1939" i="1" s="1"/>
  <c r="O1938" i="1" a="1"/>
  <c r="O1938" i="1"/>
  <c r="O1937" i="1" a="1"/>
  <c r="O1937" i="1" s="1"/>
  <c r="O1936" i="1" a="1"/>
  <c r="O1936" i="1" s="1"/>
  <c r="O1935" i="1" a="1"/>
  <c r="O1935" i="1" s="1"/>
  <c r="O1934" i="1" a="1"/>
  <c r="O1934" i="1" s="1"/>
  <c r="O1933" i="1" a="1"/>
  <c r="O1933" i="1" s="1"/>
  <c r="O1932" i="1" a="1"/>
  <c r="O1932" i="1" s="1"/>
  <c r="O1931" i="1" a="1"/>
  <c r="O1931" i="1" s="1"/>
  <c r="O1930" i="1" a="1"/>
  <c r="O1930" i="1" s="1"/>
  <c r="O1929" i="1" a="1"/>
  <c r="O1929" i="1" s="1"/>
  <c r="O1928" i="1" a="1"/>
  <c r="O1928" i="1" s="1"/>
  <c r="O1927" i="1" a="1"/>
  <c r="O1927" i="1" s="1"/>
  <c r="O1926" i="1" a="1"/>
  <c r="O1926" i="1" s="1"/>
  <c r="O1925" i="1" a="1"/>
  <c r="O1925" i="1"/>
  <c r="O1924" i="1" a="1"/>
  <c r="O1924" i="1" s="1"/>
  <c r="O1923" i="1" a="1"/>
  <c r="O1923" i="1" s="1"/>
  <c r="O1922" i="1" a="1"/>
  <c r="O1922" i="1" s="1"/>
  <c r="O1921" i="1" a="1"/>
  <c r="O1921" i="1" s="1"/>
  <c r="O1920" i="1" a="1"/>
  <c r="O1920" i="1" s="1"/>
  <c r="O1919" i="1" a="1"/>
  <c r="O1919" i="1"/>
  <c r="O1918" i="1" a="1"/>
  <c r="O1918" i="1" s="1"/>
  <c r="O1917" i="1" a="1"/>
  <c r="O1917" i="1" s="1"/>
  <c r="O1916" i="1" a="1"/>
  <c r="O1916" i="1" s="1"/>
  <c r="O1915" i="1" a="1"/>
  <c r="O1915" i="1" s="1"/>
  <c r="O1914" i="1" a="1"/>
  <c r="O1914" i="1" s="1"/>
  <c r="O1913" i="1" a="1"/>
  <c r="O1913" i="1" s="1"/>
  <c r="O1912" i="1" a="1"/>
  <c r="O1912" i="1" s="1"/>
  <c r="O1911" i="1" a="1"/>
  <c r="O1911" i="1"/>
  <c r="O1910" i="1" a="1"/>
  <c r="O1910" i="1" s="1"/>
  <c r="O1909" i="1" a="1"/>
  <c r="O1909" i="1" s="1"/>
  <c r="O1908" i="1" a="1"/>
  <c r="O1908" i="1" s="1"/>
  <c r="O1907" i="1" a="1"/>
  <c r="O1907" i="1" s="1"/>
  <c r="O1906" i="1" a="1"/>
  <c r="O1906" i="1" s="1"/>
  <c r="O1905" i="1" a="1"/>
  <c r="O1905" i="1" s="1"/>
  <c r="O1904" i="1" a="1"/>
  <c r="O1904" i="1" s="1"/>
  <c r="O1903" i="1" a="1"/>
  <c r="O1903" i="1" s="1"/>
  <c r="O1902" i="1" a="1"/>
  <c r="O1902" i="1" s="1"/>
  <c r="O1901" i="1" a="1"/>
  <c r="O1901" i="1" s="1"/>
  <c r="O1900" i="1" a="1"/>
  <c r="O1900" i="1"/>
  <c r="O1899" i="1" a="1"/>
  <c r="O1899" i="1" s="1"/>
  <c r="O1898" i="1" a="1"/>
  <c r="O1898" i="1" s="1"/>
  <c r="O1897" i="1" a="1"/>
  <c r="O1897" i="1" s="1"/>
  <c r="O1896" i="1" a="1"/>
  <c r="O1896" i="1" s="1"/>
  <c r="O1895" i="1" a="1"/>
  <c r="O1895" i="1" s="1"/>
  <c r="O1894" i="1" a="1"/>
  <c r="O1894" i="1" s="1"/>
  <c r="O1893" i="1" a="1"/>
  <c r="O1893" i="1"/>
  <c r="O1892" i="1" a="1"/>
  <c r="O1892" i="1" s="1"/>
  <c r="O1891" i="1" a="1"/>
  <c r="O1891" i="1" s="1"/>
  <c r="O1890" i="1" a="1"/>
  <c r="O1890" i="1" s="1"/>
  <c r="O1889" i="1" a="1"/>
  <c r="O1889" i="1"/>
  <c r="O1888" i="1" a="1"/>
  <c r="O1888" i="1" s="1"/>
  <c r="O1887" i="1" a="1"/>
  <c r="O1887" i="1" s="1"/>
  <c r="O1886" i="1" a="1"/>
  <c r="O1886" i="1" s="1"/>
  <c r="O1885" i="1" a="1"/>
  <c r="O1885" i="1" s="1"/>
  <c r="O1884" i="1" a="1"/>
  <c r="O1884" i="1" s="1"/>
  <c r="O1883" i="1" a="1"/>
  <c r="O1883" i="1"/>
  <c r="O1882" i="1" a="1"/>
  <c r="O1882" i="1"/>
  <c r="O1881" i="1" a="1"/>
  <c r="O1881" i="1" s="1"/>
  <c r="O1880" i="1" a="1"/>
  <c r="O1880" i="1" s="1"/>
  <c r="O1879" i="1" a="1"/>
  <c r="O1879" i="1" s="1"/>
  <c r="O1878" i="1" a="1"/>
  <c r="O1878" i="1" s="1"/>
  <c r="O1877" i="1" a="1"/>
  <c r="O1877" i="1" s="1"/>
  <c r="O1876" i="1" a="1"/>
  <c r="O1876" i="1" s="1"/>
  <c r="O1875" i="1" a="1"/>
  <c r="O1875" i="1" s="1"/>
  <c r="O1874" i="1" a="1"/>
  <c r="O1874" i="1" s="1"/>
  <c r="O1873" i="1" a="1"/>
  <c r="O1873" i="1" s="1"/>
  <c r="O1872" i="1" a="1"/>
  <c r="O1872" i="1" s="1"/>
  <c r="O1871" i="1" a="1"/>
  <c r="O1871" i="1" s="1"/>
  <c r="O1870" i="1" a="1"/>
  <c r="O1870" i="1" s="1"/>
  <c r="O1869" i="1" a="1"/>
  <c r="O1869" i="1" s="1"/>
  <c r="O1868" i="1" a="1"/>
  <c r="O1868" i="1"/>
  <c r="O1867" i="1" a="1"/>
  <c r="O1867" i="1" s="1"/>
  <c r="O1866" i="1" a="1"/>
  <c r="O1866" i="1" s="1"/>
  <c r="O1865" i="1" a="1"/>
  <c r="O1865" i="1"/>
  <c r="O1864" i="1" a="1"/>
  <c r="O1864" i="1" s="1"/>
  <c r="O1863" i="1" a="1"/>
  <c r="O1863" i="1" s="1"/>
  <c r="O1862" i="1" a="1"/>
  <c r="O1862" i="1" s="1"/>
  <c r="O1861" i="1" a="1"/>
  <c r="O1861" i="1" s="1"/>
  <c r="O1860" i="1" a="1"/>
  <c r="O1860" i="1" s="1"/>
  <c r="O1859" i="1" a="1"/>
  <c r="O1859" i="1" s="1"/>
  <c r="O1858" i="1" a="1"/>
  <c r="O1858" i="1" s="1"/>
  <c r="O1857" i="1" a="1"/>
  <c r="O1857" i="1" s="1"/>
  <c r="O1856" i="1" a="1"/>
  <c r="O1856" i="1" s="1"/>
  <c r="O1855" i="1" a="1"/>
  <c r="O1855" i="1"/>
  <c r="O1854" i="1" a="1"/>
  <c r="O1854" i="1" s="1"/>
  <c r="O1853" i="1" a="1"/>
  <c r="O1853" i="1" s="1"/>
  <c r="O1852" i="1" a="1"/>
  <c r="O1852" i="1" s="1"/>
  <c r="O1851" i="1" a="1"/>
  <c r="O1851" i="1" s="1"/>
  <c r="O1850" i="1" a="1"/>
  <c r="O1850" i="1" s="1"/>
  <c r="O1849" i="1" a="1"/>
  <c r="O1849" i="1" s="1"/>
  <c r="O1848" i="1" a="1"/>
  <c r="O1848" i="1" s="1"/>
  <c r="O1847" i="1" a="1"/>
  <c r="O1847" i="1"/>
  <c r="O1846" i="1" a="1"/>
  <c r="O1846" i="1" s="1"/>
  <c r="O1845" i="1" a="1"/>
  <c r="O1845" i="1" s="1"/>
  <c r="O1844" i="1" a="1"/>
  <c r="O1844" i="1" s="1"/>
  <c r="O1843" i="1" a="1"/>
  <c r="O1843" i="1" s="1"/>
  <c r="O1842" i="1" a="1"/>
  <c r="O1842" i="1" s="1"/>
  <c r="O1841" i="1" a="1"/>
  <c r="O1841" i="1" s="1"/>
  <c r="O1840" i="1" a="1"/>
  <c r="O1840" i="1" s="1"/>
  <c r="O1839" i="1" a="1"/>
  <c r="O1839" i="1" s="1"/>
  <c r="O1838" i="1" a="1"/>
  <c r="O1838" i="1" s="1"/>
  <c r="O1837" i="1" a="1"/>
  <c r="O1837" i="1" s="1"/>
  <c r="O1836" i="1" a="1"/>
  <c r="O1836" i="1" s="1"/>
  <c r="O1835" i="1" a="1"/>
  <c r="O1835" i="1"/>
  <c r="O1834" i="1" a="1"/>
  <c r="O1834" i="1" s="1"/>
  <c r="O1833" i="1" a="1"/>
  <c r="O1833" i="1" s="1"/>
  <c r="O1832" i="1" a="1"/>
  <c r="O1832" i="1" s="1"/>
  <c r="O1831" i="1" a="1"/>
  <c r="O1831" i="1" s="1"/>
  <c r="O1830" i="1" a="1"/>
  <c r="O1830" i="1" s="1"/>
  <c r="O1829" i="1" a="1"/>
  <c r="O1829" i="1" s="1"/>
  <c r="O1828" i="1" a="1"/>
  <c r="O1828" i="1" s="1"/>
  <c r="O1827" i="1" a="1"/>
  <c r="O1827" i="1" s="1"/>
  <c r="O1826" i="1" a="1"/>
  <c r="O1826" i="1" s="1"/>
  <c r="O1825" i="1" a="1"/>
  <c r="O1825" i="1" s="1"/>
  <c r="O1824" i="1" a="1"/>
  <c r="O1824" i="1" s="1"/>
  <c r="O1823" i="1" a="1"/>
  <c r="O1823" i="1"/>
  <c r="O1822" i="1" a="1"/>
  <c r="O1822" i="1" s="1"/>
  <c r="O1821" i="1" a="1"/>
  <c r="O1821" i="1" s="1"/>
  <c r="O1820" i="1" a="1"/>
  <c r="O1820" i="1"/>
  <c r="O1819" i="1" a="1"/>
  <c r="O1819" i="1" s="1"/>
  <c r="O1818" i="1" a="1"/>
  <c r="O1818" i="1" s="1"/>
  <c r="O1817" i="1" a="1"/>
  <c r="O1817" i="1" s="1"/>
  <c r="O1816" i="1" a="1"/>
  <c r="O1816" i="1" s="1"/>
  <c r="O1815" i="1" a="1"/>
  <c r="O1815" i="1" s="1"/>
  <c r="O1814" i="1" a="1"/>
  <c r="O1814" i="1" s="1"/>
  <c r="O1813" i="1" a="1"/>
  <c r="O1813" i="1"/>
  <c r="O1812" i="1" a="1"/>
  <c r="O1812" i="1"/>
  <c r="O1811" i="1" a="1"/>
  <c r="O1811" i="1" s="1"/>
  <c r="O1810" i="1" a="1"/>
  <c r="O1810" i="1" s="1"/>
  <c r="O1809" i="1" a="1"/>
  <c r="O1809" i="1" s="1"/>
  <c r="O1808" i="1" a="1"/>
  <c r="O1808" i="1" s="1"/>
  <c r="O1807" i="1" a="1"/>
  <c r="O1807" i="1"/>
  <c r="O1806" i="1" a="1"/>
  <c r="O1806" i="1" s="1"/>
  <c r="O1805" i="1" a="1"/>
  <c r="O1805" i="1" s="1"/>
  <c r="O1804" i="1" a="1"/>
  <c r="O1804" i="1" s="1"/>
  <c r="O1803" i="1" a="1"/>
  <c r="O1803" i="1" s="1"/>
  <c r="O1802" i="1" a="1"/>
  <c r="O1802" i="1" s="1"/>
  <c r="O1801" i="1" a="1"/>
  <c r="O1801" i="1" s="1"/>
  <c r="O1800" i="1" a="1"/>
  <c r="O1800" i="1"/>
  <c r="O1799" i="1" a="1"/>
  <c r="O1799" i="1" s="1"/>
  <c r="O1798" i="1" a="1"/>
  <c r="O1798" i="1" s="1"/>
  <c r="O1797" i="1" a="1"/>
  <c r="O1797" i="1" s="1"/>
  <c r="O1796" i="1" a="1"/>
  <c r="O1796" i="1" s="1"/>
  <c r="O1795" i="1" a="1"/>
  <c r="O1795" i="1"/>
  <c r="O1794" i="1" a="1"/>
  <c r="O1794" i="1" s="1"/>
  <c r="O1793" i="1" a="1"/>
  <c r="O1793" i="1" s="1"/>
  <c r="O1792" i="1" a="1"/>
  <c r="O1792" i="1" s="1"/>
  <c r="O1791" i="1" a="1"/>
  <c r="O1791" i="1"/>
  <c r="O1790" i="1" a="1"/>
  <c r="O1790" i="1" s="1"/>
  <c r="O1789" i="1" a="1"/>
  <c r="O1789" i="1" s="1"/>
  <c r="O1788" i="1" a="1"/>
  <c r="O1788" i="1" s="1"/>
  <c r="O1787" i="1" a="1"/>
  <c r="O1787" i="1" s="1"/>
  <c r="O1786" i="1" a="1"/>
  <c r="O1786" i="1" s="1"/>
  <c r="O1785" i="1" a="1"/>
  <c r="O1785" i="1"/>
  <c r="O1784" i="1" a="1"/>
  <c r="O1784" i="1" s="1"/>
  <c r="O1783" i="1" a="1"/>
  <c r="O1783" i="1" s="1"/>
  <c r="O1782" i="1" a="1"/>
  <c r="O1782" i="1" s="1"/>
  <c r="O1781" i="1" a="1"/>
  <c r="O1781" i="1" s="1"/>
  <c r="O1780" i="1" a="1"/>
  <c r="O1780" i="1" s="1"/>
  <c r="O1779" i="1" a="1"/>
  <c r="O1779" i="1" s="1"/>
  <c r="O1778" i="1" a="1"/>
  <c r="O1778" i="1" s="1"/>
  <c r="O1777" i="1" a="1"/>
  <c r="O1777" i="1" s="1"/>
  <c r="O1776" i="1" a="1"/>
  <c r="O1776" i="1" s="1"/>
  <c r="O1775" i="1" a="1"/>
  <c r="O1775" i="1" s="1"/>
  <c r="O1774" i="1" a="1"/>
  <c r="O1774" i="1" s="1"/>
  <c r="O1773" i="1" a="1"/>
  <c r="O1773" i="1" s="1"/>
  <c r="O1772" i="1" a="1"/>
  <c r="O1772" i="1" s="1"/>
  <c r="O1771" i="1" a="1"/>
  <c r="O1771" i="1" s="1"/>
  <c r="O1770" i="1" a="1"/>
  <c r="O1770" i="1" s="1"/>
  <c r="O1769" i="1" a="1"/>
  <c r="O1769" i="1" s="1"/>
  <c r="O1768" i="1" a="1"/>
  <c r="O1768" i="1" s="1"/>
  <c r="O1767" i="1" a="1"/>
  <c r="O1767" i="1"/>
  <c r="O1766" i="1" a="1"/>
  <c r="O1766" i="1" s="1"/>
  <c r="O1765" i="1" a="1"/>
  <c r="O1765" i="1" s="1"/>
  <c r="O1764" i="1" a="1"/>
  <c r="O1764" i="1"/>
  <c r="O1763" i="1" a="1"/>
  <c r="O1763" i="1" s="1"/>
  <c r="O1762" i="1" a="1"/>
  <c r="O1762" i="1" s="1"/>
  <c r="O1761" i="1" a="1"/>
  <c r="O1761" i="1" s="1"/>
  <c r="O1760" i="1" a="1"/>
  <c r="O1760" i="1" s="1"/>
  <c r="O1759" i="1" a="1"/>
  <c r="O1759" i="1" s="1"/>
  <c r="O1758" i="1" a="1"/>
  <c r="O1758" i="1"/>
  <c r="O1757" i="1" a="1"/>
  <c r="O1757" i="1"/>
  <c r="O1756" i="1" a="1"/>
  <c r="O1756" i="1" s="1"/>
  <c r="O1755" i="1" a="1"/>
  <c r="O1755" i="1" s="1"/>
  <c r="O1754" i="1" a="1"/>
  <c r="O1754" i="1" s="1"/>
  <c r="O1753" i="1" a="1"/>
  <c r="O1753" i="1" s="1"/>
  <c r="O1752" i="1" a="1"/>
  <c r="O1752" i="1" s="1"/>
  <c r="O1751" i="1" a="1"/>
  <c r="O1751" i="1" s="1"/>
  <c r="O1750" i="1" a="1"/>
  <c r="O1750" i="1"/>
  <c r="O1749" i="1" a="1"/>
  <c r="O1749" i="1" s="1"/>
  <c r="O1748" i="1" a="1"/>
  <c r="O1748" i="1" s="1"/>
  <c r="O1747" i="1" a="1"/>
  <c r="O1747" i="1" s="1"/>
  <c r="O1746" i="1" a="1"/>
  <c r="O1746" i="1" s="1"/>
  <c r="O1745" i="1" a="1"/>
  <c r="O1745" i="1" s="1"/>
  <c r="O1744" i="1" a="1"/>
  <c r="O1744" i="1" s="1"/>
  <c r="O1743" i="1" a="1"/>
  <c r="O1743" i="1"/>
  <c r="O1742" i="1" a="1"/>
  <c r="O1742" i="1" s="1"/>
  <c r="O1741" i="1" a="1"/>
  <c r="O1741" i="1" s="1"/>
  <c r="O1740" i="1" a="1"/>
  <c r="O1740" i="1" s="1"/>
  <c r="O1739" i="1" a="1"/>
  <c r="O1739" i="1" s="1"/>
  <c r="O1738" i="1" a="1"/>
  <c r="O1738" i="1" s="1"/>
  <c r="O1737" i="1" a="1"/>
  <c r="O1737" i="1" s="1"/>
  <c r="O1736" i="1" a="1"/>
  <c r="O1736" i="1" s="1"/>
  <c r="O1735" i="1" a="1"/>
  <c r="O1735" i="1"/>
  <c r="O1734" i="1" a="1"/>
  <c r="O1734" i="1" s="1"/>
  <c r="O1733" i="1" a="1"/>
  <c r="O1733" i="1" s="1"/>
  <c r="O1732" i="1" a="1"/>
  <c r="O1732" i="1" s="1"/>
  <c r="O1731" i="1" a="1"/>
  <c r="O1731" i="1" s="1"/>
  <c r="O1730" i="1" a="1"/>
  <c r="O1730" i="1" s="1"/>
  <c r="O1729" i="1" a="1"/>
  <c r="O1729" i="1" s="1"/>
  <c r="O1728" i="1" a="1"/>
  <c r="O1728" i="1" s="1"/>
  <c r="O1727" i="1" a="1"/>
  <c r="O1727" i="1" s="1"/>
  <c r="O1726" i="1" a="1"/>
  <c r="O1726" i="1" s="1"/>
  <c r="O1725" i="1" a="1"/>
  <c r="O1725" i="1" s="1"/>
  <c r="O1724" i="1" a="1"/>
  <c r="O1724" i="1" s="1"/>
  <c r="O1723" i="1" a="1"/>
  <c r="O1723" i="1" s="1"/>
  <c r="O1722" i="1" a="1"/>
  <c r="O1722" i="1"/>
  <c r="O1721" i="1" a="1"/>
  <c r="O1721" i="1" s="1"/>
  <c r="O1720" i="1" a="1"/>
  <c r="O1720" i="1" s="1"/>
  <c r="O1719" i="1" a="1"/>
  <c r="O1719" i="1" s="1"/>
  <c r="O1718" i="1" a="1"/>
  <c r="O1718" i="1"/>
  <c r="O1717" i="1" a="1"/>
  <c r="O1717" i="1" s="1"/>
  <c r="O1716" i="1" a="1"/>
  <c r="O1716" i="1"/>
  <c r="O1715" i="1" a="1"/>
  <c r="O1715" i="1" s="1"/>
  <c r="O1714" i="1" a="1"/>
  <c r="O1714" i="1" s="1"/>
  <c r="O1713" i="1" a="1"/>
  <c r="O1713" i="1" s="1"/>
  <c r="O1712" i="1" a="1"/>
  <c r="O1712" i="1" s="1"/>
  <c r="O1711" i="1" a="1"/>
  <c r="O1711" i="1" s="1"/>
  <c r="O1710" i="1" a="1"/>
  <c r="O1710" i="1" s="1"/>
  <c r="O1709" i="1" a="1"/>
  <c r="O1709" i="1"/>
  <c r="O1708" i="1" a="1"/>
  <c r="O1708" i="1" s="1"/>
  <c r="O1707" i="1" a="1"/>
  <c r="O1707" i="1" s="1"/>
  <c r="O1706" i="1" a="1"/>
  <c r="O1706" i="1" s="1"/>
  <c r="O1705" i="1" a="1"/>
  <c r="O1705" i="1" s="1"/>
  <c r="O1704" i="1" a="1"/>
  <c r="O1704" i="1" s="1"/>
  <c r="O1703" i="1" a="1"/>
  <c r="O1703" i="1" s="1"/>
  <c r="O1702" i="1" a="1"/>
  <c r="O1702" i="1" s="1"/>
  <c r="O1701" i="1" a="1"/>
  <c r="O1701" i="1" s="1"/>
  <c r="O1700" i="1" a="1"/>
  <c r="O1700" i="1" s="1"/>
  <c r="O1699" i="1" a="1"/>
  <c r="O1699" i="1" s="1"/>
  <c r="O1698" i="1" a="1"/>
  <c r="O1698" i="1" s="1"/>
  <c r="O1697" i="1" a="1"/>
  <c r="O1697" i="1" s="1"/>
  <c r="O1696" i="1" a="1"/>
  <c r="O1696" i="1" s="1"/>
  <c r="O1695" i="1" a="1"/>
  <c r="O1695" i="1"/>
  <c r="O1694" i="1" a="1"/>
  <c r="O1694" i="1" s="1"/>
  <c r="O1693" i="1" a="1"/>
  <c r="O1693" i="1" s="1"/>
  <c r="O1692" i="1" a="1"/>
  <c r="O1692" i="1" s="1"/>
  <c r="O1691" i="1" a="1"/>
  <c r="O1691" i="1" s="1"/>
  <c r="O1690" i="1" a="1"/>
  <c r="O1690" i="1" s="1"/>
  <c r="O1689" i="1" a="1"/>
  <c r="O1689" i="1" s="1"/>
  <c r="O1688" i="1" a="1"/>
  <c r="O1688" i="1" s="1"/>
  <c r="O1687" i="1" a="1"/>
  <c r="O1687" i="1"/>
  <c r="O1686" i="1" a="1"/>
  <c r="O1686" i="1"/>
  <c r="O1685" i="1" a="1"/>
  <c r="O1685" i="1" s="1"/>
  <c r="O1684" i="1" a="1"/>
  <c r="O1684" i="1" s="1"/>
  <c r="O1683" i="1" a="1"/>
  <c r="O1683" i="1" s="1"/>
  <c r="O1682" i="1" a="1"/>
  <c r="O1682" i="1" s="1"/>
  <c r="O1681" i="1" a="1"/>
  <c r="O1681" i="1" s="1"/>
  <c r="O1680" i="1" a="1"/>
  <c r="O1680" i="1" s="1"/>
  <c r="O1679" i="1" a="1"/>
  <c r="O1679" i="1" s="1"/>
  <c r="O1678" i="1" a="1"/>
  <c r="O1678" i="1" s="1"/>
  <c r="O1677" i="1" a="1"/>
  <c r="O1677" i="1" s="1"/>
  <c r="O1676" i="1" a="1"/>
  <c r="O1676" i="1" s="1"/>
  <c r="O1675" i="1" a="1"/>
  <c r="O1675" i="1" s="1"/>
  <c r="O1674" i="1" a="1"/>
  <c r="O1674" i="1" s="1"/>
  <c r="O1673" i="1" a="1"/>
  <c r="O1673" i="1" s="1"/>
  <c r="O1672" i="1" a="1"/>
  <c r="O1672" i="1" s="1"/>
  <c r="O1671" i="1" a="1"/>
  <c r="O1671" i="1" s="1"/>
  <c r="O1670" i="1" a="1"/>
  <c r="O1670" i="1" s="1"/>
  <c r="O1669" i="1" a="1"/>
  <c r="O1669" i="1" s="1"/>
  <c r="O1668" i="1" a="1"/>
  <c r="O1668" i="1" s="1"/>
  <c r="O1667" i="1" a="1"/>
  <c r="O1667" i="1" s="1"/>
  <c r="O1666" i="1" a="1"/>
  <c r="O1666" i="1" s="1"/>
  <c r="O1665" i="1" a="1"/>
  <c r="O1665" i="1" s="1"/>
  <c r="O1664" i="1" a="1"/>
  <c r="O1664" i="1" s="1"/>
  <c r="O1663" i="1" a="1"/>
  <c r="O1663" i="1" s="1"/>
  <c r="O1662" i="1" a="1"/>
  <c r="O1662" i="1" s="1"/>
  <c r="O1661" i="1" a="1"/>
  <c r="O1661" i="1" s="1"/>
  <c r="O1660" i="1" a="1"/>
  <c r="O1660" i="1"/>
  <c r="O1659" i="1" a="1"/>
  <c r="O1659" i="1" s="1"/>
  <c r="O1658" i="1" a="1"/>
  <c r="O1658" i="1" s="1"/>
  <c r="O1657" i="1" a="1"/>
  <c r="O1657" i="1" s="1"/>
  <c r="O1656" i="1" a="1"/>
  <c r="O1656" i="1" s="1"/>
  <c r="O1655" i="1" a="1"/>
  <c r="O1655" i="1" s="1"/>
  <c r="O1654" i="1" a="1"/>
  <c r="O1654" i="1" s="1"/>
  <c r="O1653" i="1" a="1"/>
  <c r="O1653" i="1" s="1"/>
  <c r="O1652" i="1" a="1"/>
  <c r="O1652" i="1" s="1"/>
  <c r="O1651" i="1" a="1"/>
  <c r="O1651" i="1"/>
  <c r="O1650" i="1" a="1"/>
  <c r="O1650" i="1" s="1"/>
  <c r="O1649" i="1" a="1"/>
  <c r="O1649" i="1" s="1"/>
  <c r="O1648" i="1" a="1"/>
  <c r="O1648" i="1" s="1"/>
  <c r="O1647" i="1" a="1"/>
  <c r="O1647" i="1" s="1"/>
  <c r="O1646" i="1" a="1"/>
  <c r="O1646" i="1" s="1"/>
  <c r="O1645" i="1" a="1"/>
  <c r="O1645" i="1" s="1"/>
  <c r="O1644" i="1" a="1"/>
  <c r="O1644" i="1"/>
  <c r="O1643" i="1" a="1"/>
  <c r="O1643" i="1" s="1"/>
  <c r="O1642" i="1" a="1"/>
  <c r="O1642" i="1" s="1"/>
  <c r="O1641" i="1" a="1"/>
  <c r="O1641" i="1"/>
  <c r="O1640" i="1" a="1"/>
  <c r="O1640" i="1" s="1"/>
  <c r="O1639" i="1" a="1"/>
  <c r="O1639" i="1" s="1"/>
  <c r="O1638" i="1" a="1"/>
  <c r="O1638" i="1" s="1"/>
  <c r="O885" i="1" a="1"/>
  <c r="O885" i="1" s="1"/>
  <c r="O884" i="1" a="1"/>
  <c r="O884" i="1"/>
  <c r="O883" i="1" a="1"/>
  <c r="O883" i="1" s="1"/>
  <c r="O882" i="1" a="1"/>
  <c r="O882" i="1" s="1"/>
  <c r="O881" i="1" a="1"/>
  <c r="O881" i="1" s="1"/>
  <c r="O880" i="1" a="1"/>
  <c r="O880" i="1" s="1"/>
  <c r="O879" i="1" a="1"/>
  <c r="O879" i="1" s="1"/>
  <c r="O878" i="1" a="1"/>
  <c r="O878" i="1" s="1"/>
  <c r="O877" i="1" a="1"/>
  <c r="O877" i="1" s="1"/>
  <c r="O876" i="1" a="1"/>
  <c r="O876" i="1" s="1"/>
  <c r="O875" i="1" a="1"/>
  <c r="O875" i="1"/>
  <c r="O874" i="1" a="1"/>
  <c r="O874" i="1" s="1"/>
  <c r="O873" i="1" a="1"/>
  <c r="O873" i="1" s="1"/>
  <c r="O872" i="1" a="1"/>
  <c r="O872" i="1" s="1"/>
  <c r="O871" i="1" a="1"/>
  <c r="O871" i="1" s="1"/>
  <c r="O870" i="1" a="1"/>
  <c r="O870" i="1"/>
  <c r="O869" i="1" a="1"/>
  <c r="O869" i="1" s="1"/>
  <c r="O868" i="1" a="1"/>
  <c r="O868" i="1"/>
  <c r="O867" i="1" a="1"/>
  <c r="O867" i="1" s="1"/>
  <c r="O866" i="1" a="1"/>
  <c r="O866" i="1"/>
  <c r="O865" i="1" a="1"/>
  <c r="O865" i="1" s="1"/>
  <c r="O864" i="1" a="1"/>
  <c r="O864" i="1" s="1"/>
  <c r="O863" i="1" a="1"/>
  <c r="O863" i="1"/>
  <c r="O862" i="1" a="1"/>
  <c r="O862" i="1" s="1"/>
  <c r="O861" i="1" a="1"/>
  <c r="O861" i="1" s="1"/>
  <c r="O860" i="1" a="1"/>
  <c r="O860" i="1" s="1"/>
  <c r="O859" i="1" a="1"/>
  <c r="O859" i="1" s="1"/>
  <c r="O858" i="1" a="1"/>
  <c r="O858" i="1" s="1"/>
  <c r="O857" i="1" a="1"/>
  <c r="O857" i="1"/>
  <c r="O856" i="1" a="1"/>
  <c r="O856" i="1" s="1"/>
  <c r="O855" i="1" a="1"/>
  <c r="O855" i="1"/>
  <c r="O854" i="1" a="1"/>
  <c r="O854" i="1" s="1"/>
  <c r="O853" i="1" a="1"/>
  <c r="O853" i="1" s="1"/>
  <c r="O852" i="1" a="1"/>
  <c r="O852" i="1" s="1"/>
  <c r="O851" i="1" a="1"/>
  <c r="O851" i="1" s="1"/>
  <c r="O850" i="1" a="1"/>
  <c r="O850" i="1" s="1"/>
  <c r="O849" i="1" a="1"/>
  <c r="O849" i="1" s="1"/>
  <c r="O848" i="1" a="1"/>
  <c r="O848" i="1" s="1"/>
  <c r="O847" i="1" a="1"/>
  <c r="O847" i="1" s="1"/>
  <c r="O846" i="1" a="1"/>
  <c r="O846" i="1" s="1"/>
  <c r="O845" i="1" a="1"/>
  <c r="O845" i="1" s="1"/>
  <c r="O844" i="1" a="1"/>
  <c r="O844" i="1" s="1"/>
  <c r="O843" i="1" a="1"/>
  <c r="O843" i="1" s="1"/>
  <c r="O842" i="1" a="1"/>
  <c r="O842" i="1" s="1"/>
  <c r="O841" i="1" a="1"/>
  <c r="O841" i="1" s="1"/>
  <c r="O840" i="1" a="1"/>
  <c r="O840" i="1" s="1"/>
  <c r="O839" i="1" a="1"/>
  <c r="O839" i="1" s="1"/>
  <c r="O838" i="1" a="1"/>
  <c r="O838" i="1" s="1"/>
  <c r="O837" i="1" a="1"/>
  <c r="O837" i="1" s="1"/>
  <c r="O836" i="1" a="1"/>
  <c r="O836" i="1" s="1"/>
  <c r="O835" i="1" a="1"/>
  <c r="O835" i="1" s="1"/>
  <c r="O834" i="1" a="1"/>
  <c r="O834" i="1" s="1"/>
  <c r="O833" i="1" a="1"/>
  <c r="O833" i="1" s="1"/>
  <c r="O832" i="1" a="1"/>
  <c r="O832" i="1" s="1"/>
  <c r="O831" i="1" a="1"/>
  <c r="O831" i="1"/>
  <c r="O830" i="1" a="1"/>
  <c r="O830" i="1"/>
  <c r="O829" i="1" a="1"/>
  <c r="O829" i="1" s="1"/>
  <c r="O828" i="1" a="1"/>
  <c r="O828" i="1" s="1"/>
  <c r="O827" i="1" a="1"/>
  <c r="O827" i="1"/>
  <c r="O826" i="1" a="1"/>
  <c r="O826" i="1" s="1"/>
  <c r="O825" i="1" a="1"/>
  <c r="O825" i="1" s="1"/>
  <c r="O824" i="1" a="1"/>
  <c r="O824" i="1"/>
  <c r="O823" i="1" a="1"/>
  <c r="O823" i="1" s="1"/>
  <c r="O822" i="1" a="1"/>
  <c r="O822" i="1" s="1"/>
  <c r="O821" i="1" a="1"/>
  <c r="O821" i="1" s="1"/>
  <c r="O820" i="1" a="1"/>
  <c r="O820" i="1" s="1"/>
  <c r="O819" i="1" a="1"/>
  <c r="O819" i="1" s="1"/>
  <c r="O817" i="1" a="1"/>
  <c r="O817" i="1" s="1"/>
  <c r="O816" i="1" a="1"/>
  <c r="O816" i="1" s="1"/>
  <c r="O815" i="1" a="1"/>
  <c r="O815" i="1" s="1"/>
  <c r="O814" i="1" a="1"/>
  <c r="O814" i="1" s="1"/>
  <c r="O813" i="1" a="1"/>
  <c r="O813" i="1" s="1"/>
  <c r="O812" i="1" a="1"/>
  <c r="O812" i="1" s="1"/>
  <c r="O811" i="1" a="1"/>
  <c r="O811" i="1"/>
  <c r="O810" i="1" a="1"/>
  <c r="O810" i="1" s="1"/>
  <c r="O809" i="1" a="1"/>
  <c r="O809" i="1"/>
  <c r="O808" i="1" a="1"/>
  <c r="O808" i="1"/>
  <c r="O807" i="1" a="1"/>
  <c r="O807" i="1" s="1"/>
  <c r="O806" i="1" a="1"/>
  <c r="O806" i="1" s="1"/>
  <c r="O805" i="1" a="1"/>
  <c r="O805" i="1"/>
  <c r="O804" i="1" a="1"/>
  <c r="O804" i="1" s="1"/>
  <c r="O803" i="1" a="1"/>
  <c r="O803" i="1" s="1"/>
  <c r="O802" i="1" a="1"/>
  <c r="O802" i="1" s="1"/>
  <c r="O801" i="1" a="1"/>
  <c r="O801" i="1" s="1"/>
  <c r="O800" i="1" a="1"/>
  <c r="O800" i="1"/>
  <c r="O799" i="1" a="1"/>
  <c r="O799" i="1"/>
  <c r="N2237" i="1"/>
  <c r="N2238" i="1"/>
  <c r="N2239" i="1"/>
  <c r="N2240" i="1"/>
  <c r="N2241" i="1"/>
  <c r="N2250" i="1"/>
  <c r="N2275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6" i="1"/>
  <c r="M2533" i="1"/>
  <c r="M2534" i="1"/>
  <c r="M2535" i="1"/>
  <c r="M2536" i="1"/>
  <c r="M2537" i="1"/>
  <c r="M2538" i="1"/>
  <c r="M2539" i="1"/>
  <c r="L2533" i="1"/>
  <c r="L2534" i="1"/>
  <c r="L2535" i="1"/>
  <c r="L2536" i="1"/>
  <c r="L2537" i="1"/>
  <c r="L2538" i="1"/>
  <c r="L2539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6" i="1"/>
  <c r="I2504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N2394" i="1"/>
  <c r="N2391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394" i="1"/>
  <c r="I239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2" i="1"/>
  <c r="N2393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I2353" i="1"/>
  <c r="N2348" i="1"/>
  <c r="I2348" i="1"/>
  <c r="I2423" i="1"/>
  <c r="I2424" i="1"/>
  <c r="I2352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2" i="1"/>
  <c r="I2393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N2333" i="1"/>
  <c r="I2333" i="1"/>
  <c r="N2310" i="1"/>
  <c r="I2310" i="1"/>
  <c r="I2302" i="1"/>
  <c r="I2275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9" i="1"/>
  <c r="N2350" i="1"/>
  <c r="N2351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3" i="1"/>
  <c r="I2304" i="1"/>
  <c r="I2305" i="1"/>
  <c r="I2306" i="1"/>
  <c r="I2307" i="1"/>
  <c r="I2308" i="1"/>
  <c r="I2309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9" i="1"/>
  <c r="I2350" i="1"/>
  <c r="I2351" i="1"/>
  <c r="I2250" i="1"/>
  <c r="I2238" i="1"/>
  <c r="I2239" i="1"/>
  <c r="I2240" i="1"/>
  <c r="I2241" i="1"/>
  <c r="I2237" i="1"/>
  <c r="N1826" i="1"/>
  <c r="N2011" i="1"/>
  <c r="N2012" i="1"/>
  <c r="N2155" i="1"/>
  <c r="N2156" i="1"/>
  <c r="I2199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42" i="1"/>
  <c r="N2243" i="1"/>
  <c r="N2244" i="1"/>
  <c r="N2245" i="1"/>
  <c r="N2246" i="1"/>
  <c r="N2247" i="1"/>
  <c r="N2248" i="1"/>
  <c r="N2249" i="1"/>
  <c r="N2251" i="1"/>
  <c r="N2252" i="1"/>
  <c r="N2253" i="1"/>
  <c r="N2254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42" i="1"/>
  <c r="I2243" i="1"/>
  <c r="I2244" i="1"/>
  <c r="I2245" i="1"/>
  <c r="I2246" i="1"/>
  <c r="I2247" i="1"/>
  <c r="I2248" i="1"/>
  <c r="I2249" i="1"/>
  <c r="I2251" i="1"/>
  <c r="I2252" i="1"/>
  <c r="I2253" i="1"/>
  <c r="I2254" i="1"/>
  <c r="I2155" i="1"/>
  <c r="I2156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200" i="1"/>
  <c r="I2201" i="1"/>
  <c r="I2202" i="1"/>
  <c r="I2203" i="1"/>
  <c r="I2204" i="1"/>
  <c r="I2205" i="1"/>
  <c r="I2206" i="1"/>
  <c r="I2207" i="1"/>
  <c r="I2208" i="1"/>
  <c r="I2209" i="1"/>
  <c r="I2210" i="1"/>
  <c r="I2167" i="1"/>
  <c r="I2168" i="1"/>
  <c r="I2169" i="1"/>
  <c r="I2170" i="1"/>
  <c r="I2171" i="1"/>
  <c r="I2172" i="1"/>
  <c r="I2173" i="1"/>
  <c r="I2174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7" i="1"/>
  <c r="I2158" i="1"/>
  <c r="I2159" i="1"/>
  <c r="I2160" i="1"/>
  <c r="I2161" i="1"/>
  <c r="I2162" i="1"/>
  <c r="I2163" i="1"/>
  <c r="I2164" i="1"/>
  <c r="I2165" i="1"/>
  <c r="I2166" i="1"/>
  <c r="I2012" i="1"/>
  <c r="I2011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N2056" i="1"/>
  <c r="I2056" i="1"/>
  <c r="N2026" i="1"/>
  <c r="N2027" i="1"/>
  <c r="I2027" i="1"/>
  <c r="I2026" i="1"/>
  <c r="N2018" i="1"/>
  <c r="N2019" i="1"/>
  <c r="N2020" i="1"/>
  <c r="N2021" i="1"/>
  <c r="N2022" i="1"/>
  <c r="N2023" i="1"/>
  <c r="N2024" i="1"/>
  <c r="N2025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I2018" i="1"/>
  <c r="I2019" i="1"/>
  <c r="I2020" i="1"/>
  <c r="I2021" i="1"/>
  <c r="I2022" i="1"/>
  <c r="I2023" i="1"/>
  <c r="I2024" i="1"/>
  <c r="I2025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3" i="1"/>
  <c r="N2014" i="1"/>
  <c r="N2015" i="1"/>
  <c r="N2016" i="1"/>
  <c r="N2017" i="1"/>
  <c r="I2010" i="1"/>
  <c r="I2013" i="1"/>
  <c r="I2014" i="1"/>
  <c r="I2015" i="1"/>
  <c r="I2016" i="1"/>
  <c r="I2017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I1928" i="1"/>
  <c r="I1927" i="1"/>
  <c r="I1926" i="1"/>
  <c r="I1925" i="1"/>
  <c r="I1924" i="1"/>
  <c r="I1923" i="1"/>
  <c r="I1955" i="1"/>
  <c r="I1956" i="1"/>
  <c r="I1957" i="1"/>
  <c r="I1958" i="1"/>
  <c r="I1959" i="1"/>
  <c r="I1960" i="1"/>
  <c r="I1961" i="1"/>
  <c r="I1962" i="1"/>
  <c r="I1963" i="1"/>
  <c r="I1964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29" i="1"/>
  <c r="I1930" i="1"/>
  <c r="I1931" i="1"/>
  <c r="I1932" i="1"/>
  <c r="I1933" i="1"/>
  <c r="I1934" i="1"/>
  <c r="I1935" i="1"/>
  <c r="I1936" i="1"/>
  <c r="I1937" i="1"/>
  <c r="I1938" i="1"/>
  <c r="I1939" i="1"/>
  <c r="I182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877" i="1"/>
  <c r="I1878" i="1"/>
  <c r="I1879" i="1"/>
  <c r="I1880" i="1"/>
  <c r="I1881" i="1"/>
  <c r="I1882" i="1"/>
  <c r="I1883" i="1"/>
  <c r="I1884" i="1"/>
  <c r="N1801" i="1"/>
  <c r="N1876" i="1"/>
  <c r="I1876" i="1"/>
  <c r="N1874" i="1"/>
  <c r="N1875" i="1"/>
  <c r="I1874" i="1"/>
  <c r="I1875" i="1"/>
  <c r="I1801" i="1"/>
  <c r="O1637" i="1" a="1"/>
  <c r="O1637" i="1"/>
  <c r="O1636" i="1" a="1"/>
  <c r="O1636" i="1"/>
  <c r="O1635" i="1" a="1"/>
  <c r="O1635" i="1" s="1"/>
  <c r="O1634" i="1" a="1"/>
  <c r="O1634" i="1" s="1"/>
  <c r="O1633" i="1" a="1"/>
  <c r="O1633" i="1" s="1"/>
  <c r="O1632" i="1" a="1"/>
  <c r="O1632" i="1" s="1"/>
  <c r="O1631" i="1" a="1"/>
  <c r="O1631" i="1" s="1"/>
  <c r="O1630" i="1" a="1"/>
  <c r="O1630" i="1" s="1"/>
  <c r="O1629" i="1" a="1"/>
  <c r="O1629" i="1" s="1"/>
  <c r="O1628" i="1" a="1"/>
  <c r="O1628" i="1" s="1"/>
  <c r="O1627" i="1" a="1"/>
  <c r="O1627" i="1" s="1"/>
  <c r="O1626" i="1" a="1"/>
  <c r="O1626" i="1"/>
  <c r="O1625" i="1" a="1"/>
  <c r="O1625" i="1" s="1"/>
  <c r="O1624" i="1" a="1"/>
  <c r="O1624" i="1" s="1"/>
  <c r="O1623" i="1" a="1"/>
  <c r="O1623" i="1" s="1"/>
  <c r="O1622" i="1" a="1"/>
  <c r="O1622" i="1"/>
  <c r="O1621" i="1" a="1"/>
  <c r="O1621" i="1" s="1"/>
  <c r="O1620" i="1" a="1"/>
  <c r="O1620" i="1" s="1"/>
  <c r="O1619" i="1" a="1"/>
  <c r="O1619" i="1" s="1"/>
  <c r="O1618" i="1" a="1"/>
  <c r="O1618" i="1" s="1"/>
  <c r="O1617" i="1" a="1"/>
  <c r="O1617" i="1" s="1"/>
  <c r="O1616" i="1" a="1"/>
  <c r="O1616" i="1" s="1"/>
  <c r="O1615" i="1" a="1"/>
  <c r="O1615" i="1" s="1"/>
  <c r="O1614" i="1" a="1"/>
  <c r="O1614" i="1" s="1"/>
  <c r="O1613" i="1" a="1"/>
  <c r="O1613" i="1" s="1"/>
  <c r="O1612" i="1" a="1"/>
  <c r="O1612" i="1"/>
  <c r="O1611" i="1" a="1"/>
  <c r="O1611" i="1" s="1"/>
  <c r="O1610" i="1" a="1"/>
  <c r="O1610" i="1" s="1"/>
  <c r="O1609" i="1" a="1"/>
  <c r="O1609" i="1" s="1"/>
  <c r="O1608" i="1" a="1"/>
  <c r="O1608" i="1" s="1"/>
  <c r="O1607" i="1" a="1"/>
  <c r="O1607" i="1" s="1"/>
  <c r="O1606" i="1" a="1"/>
  <c r="O1606" i="1" s="1"/>
  <c r="O1605" i="1" a="1"/>
  <c r="O1605" i="1" s="1"/>
  <c r="O1604" i="1" a="1"/>
  <c r="O1604" i="1" s="1"/>
  <c r="O1603" i="1" a="1"/>
  <c r="O1603" i="1" s="1"/>
  <c r="O1602" i="1" a="1"/>
  <c r="O1602" i="1"/>
  <c r="O1601" i="1" a="1"/>
  <c r="O1601" i="1" s="1"/>
  <c r="O1600" i="1" a="1"/>
  <c r="O1600" i="1" s="1"/>
  <c r="O1599" i="1" a="1"/>
  <c r="O1599" i="1" s="1"/>
  <c r="O1598" i="1" a="1"/>
  <c r="O1598" i="1"/>
  <c r="O1597" i="1" a="1"/>
  <c r="O1597" i="1" s="1"/>
  <c r="O1596" i="1" a="1"/>
  <c r="O1596" i="1" s="1"/>
  <c r="O1595" i="1" a="1"/>
  <c r="O1595" i="1" s="1"/>
  <c r="O1594" i="1" a="1"/>
  <c r="O1594" i="1" s="1"/>
  <c r="O1593" i="1" a="1"/>
  <c r="O1593" i="1" s="1"/>
  <c r="O1592" i="1" a="1"/>
  <c r="O1592" i="1" s="1"/>
  <c r="O1591" i="1" a="1"/>
  <c r="O1591" i="1" s="1"/>
  <c r="O1590" i="1" a="1"/>
  <c r="O1590" i="1" s="1"/>
  <c r="O1589" i="1" a="1"/>
  <c r="O1589" i="1" s="1"/>
  <c r="O1588" i="1" a="1"/>
  <c r="O1588" i="1"/>
  <c r="O1587" i="1" a="1"/>
  <c r="O1587" i="1"/>
  <c r="O1586" i="1" a="1"/>
  <c r="O1586" i="1" s="1"/>
  <c r="O1585" i="1" a="1"/>
  <c r="O1585" i="1" s="1"/>
  <c r="O1584" i="1" a="1"/>
  <c r="O1584" i="1" s="1"/>
  <c r="O1583" i="1" a="1"/>
  <c r="O1583" i="1" s="1"/>
  <c r="O1582" i="1" a="1"/>
  <c r="O1582" i="1" s="1"/>
  <c r="O1581" i="1" a="1"/>
  <c r="O1581" i="1" s="1"/>
  <c r="O1580" i="1" a="1"/>
  <c r="O1580" i="1" s="1"/>
  <c r="O1579" i="1" a="1"/>
  <c r="O1579" i="1" s="1"/>
  <c r="O1578" i="1" a="1"/>
  <c r="O1578" i="1" s="1"/>
  <c r="O1577" i="1" a="1"/>
  <c r="O1577" i="1"/>
  <c r="O1576" i="1" a="1"/>
  <c r="O1576" i="1" s="1"/>
  <c r="O1575" i="1" a="1"/>
  <c r="O1575" i="1" s="1"/>
  <c r="O1574" i="1" a="1"/>
  <c r="O1574" i="1" s="1"/>
  <c r="O1573" i="1" a="1"/>
  <c r="O1573" i="1" s="1"/>
  <c r="O1572" i="1" a="1"/>
  <c r="O1572" i="1" s="1"/>
  <c r="O1571" i="1" a="1"/>
  <c r="O1571" i="1" s="1"/>
  <c r="O1570" i="1" a="1"/>
  <c r="O1570" i="1" s="1"/>
  <c r="O1569" i="1" a="1"/>
  <c r="O1569" i="1" s="1"/>
  <c r="O1568" i="1" a="1"/>
  <c r="O1568" i="1" s="1"/>
  <c r="O1567" i="1" a="1"/>
  <c r="O1567" i="1"/>
  <c r="O1566" i="1" a="1"/>
  <c r="O1566" i="1" s="1"/>
  <c r="O1565" i="1" a="1"/>
  <c r="O1565" i="1" s="1"/>
  <c r="O1564" i="1" a="1"/>
  <c r="O1564" i="1" s="1"/>
  <c r="O1563" i="1" a="1"/>
  <c r="O1563" i="1"/>
  <c r="O1562" i="1" a="1"/>
  <c r="O1562" i="1" s="1"/>
  <c r="O1561" i="1" a="1"/>
  <c r="O1561" i="1" s="1"/>
  <c r="O1560" i="1" a="1"/>
  <c r="O1560" i="1" s="1"/>
  <c r="O1559" i="1" a="1"/>
  <c r="O1559" i="1" s="1"/>
  <c r="O1558" i="1" a="1"/>
  <c r="O1558" i="1" s="1"/>
  <c r="O1557" i="1" a="1"/>
  <c r="O1557" i="1" s="1"/>
  <c r="O1556" i="1" a="1"/>
  <c r="O1556" i="1" s="1"/>
  <c r="O1555" i="1" a="1"/>
  <c r="O1555" i="1" s="1"/>
  <c r="O1554" i="1" a="1"/>
  <c r="O1554" i="1" s="1"/>
  <c r="O1553" i="1" a="1"/>
  <c r="O1553" i="1"/>
  <c r="O1552" i="1" a="1"/>
  <c r="O1552" i="1" s="1"/>
  <c r="O1551" i="1" a="1"/>
  <c r="O1551" i="1" s="1"/>
  <c r="O1550" i="1" a="1"/>
  <c r="O1550" i="1" s="1"/>
  <c r="O1549" i="1" a="1"/>
  <c r="O1549" i="1" s="1"/>
  <c r="O1548" i="1" a="1"/>
  <c r="O1548" i="1" s="1"/>
  <c r="O1547" i="1" a="1"/>
  <c r="O1547" i="1" s="1"/>
  <c r="O1546" i="1" a="1"/>
  <c r="O1546" i="1" s="1"/>
  <c r="O1545" i="1" a="1"/>
  <c r="O1545" i="1" s="1"/>
  <c r="O1544" i="1" a="1"/>
  <c r="O1544" i="1" s="1"/>
  <c r="O1543" i="1" a="1"/>
  <c r="O1543" i="1" s="1"/>
  <c r="O1542" i="1" a="1"/>
  <c r="O1542" i="1" s="1"/>
  <c r="O1541" i="1" a="1"/>
  <c r="O1541" i="1" s="1"/>
  <c r="O1540" i="1" a="1"/>
  <c r="O1540" i="1" s="1"/>
  <c r="O1539" i="1" a="1"/>
  <c r="O1539" i="1"/>
  <c r="O1538" i="1" a="1"/>
  <c r="O1538" i="1" s="1"/>
  <c r="O1537" i="1" a="1"/>
  <c r="O1537" i="1" s="1"/>
  <c r="O1536" i="1" a="1"/>
  <c r="O1536" i="1" s="1"/>
  <c r="O1535" i="1" a="1"/>
  <c r="O1535" i="1" s="1"/>
  <c r="O1534" i="1" a="1"/>
  <c r="O1534" i="1" s="1"/>
  <c r="O1533" i="1" a="1"/>
  <c r="O1533" i="1" s="1"/>
  <c r="O1532" i="1" a="1"/>
  <c r="O1532" i="1" s="1"/>
  <c r="O1531" i="1" a="1"/>
  <c r="O1531" i="1" s="1"/>
  <c r="O1530" i="1" a="1"/>
  <c r="O1530" i="1" s="1"/>
  <c r="O1529" i="1" a="1"/>
  <c r="O1529" i="1" s="1"/>
  <c r="O1528" i="1" a="1"/>
  <c r="O1528" i="1" s="1"/>
  <c r="O1527" i="1" a="1"/>
  <c r="O1527" i="1" s="1"/>
  <c r="O1526" i="1" a="1"/>
  <c r="O1526" i="1" s="1"/>
  <c r="O1525" i="1" a="1"/>
  <c r="O1525" i="1" s="1"/>
  <c r="O1524" i="1" a="1"/>
  <c r="O1524" i="1"/>
  <c r="O1523" i="1" a="1"/>
  <c r="O1523" i="1" s="1"/>
  <c r="O1522" i="1" a="1"/>
  <c r="O1522" i="1" s="1"/>
  <c r="O1521" i="1" a="1"/>
  <c r="O1521" i="1" s="1"/>
  <c r="O1520" i="1" a="1"/>
  <c r="O1520" i="1" s="1"/>
  <c r="O1519" i="1" a="1"/>
  <c r="O1519" i="1" s="1"/>
  <c r="O1518" i="1" a="1"/>
  <c r="O1518" i="1"/>
  <c r="O1517" i="1" a="1"/>
  <c r="O1517" i="1" s="1"/>
  <c r="O1516" i="1" a="1"/>
  <c r="O1516" i="1" s="1"/>
  <c r="O1515" i="1" a="1"/>
  <c r="O1515" i="1" s="1"/>
  <c r="O1514" i="1" a="1"/>
  <c r="O1514" i="1" s="1"/>
  <c r="O1513" i="1" a="1"/>
  <c r="O1513" i="1" s="1"/>
  <c r="O1512" i="1" a="1"/>
  <c r="O1512" i="1" s="1"/>
  <c r="O1511" i="1" a="1"/>
  <c r="O1511" i="1" s="1"/>
  <c r="O1510" i="1" a="1"/>
  <c r="O1510" i="1" s="1"/>
  <c r="O1509" i="1" a="1"/>
  <c r="O1509" i="1" s="1"/>
  <c r="O1508" i="1" a="1"/>
  <c r="O1508" i="1" s="1"/>
  <c r="O1507" i="1" a="1"/>
  <c r="O1507" i="1" s="1"/>
  <c r="O1506" i="1" a="1"/>
  <c r="O1506" i="1" s="1"/>
  <c r="O1505" i="1" a="1"/>
  <c r="O1505" i="1" s="1"/>
  <c r="O1504" i="1" a="1"/>
  <c r="O1504" i="1"/>
  <c r="O1503" i="1" a="1"/>
  <c r="O1503" i="1" s="1"/>
  <c r="O1502" i="1" a="1"/>
  <c r="O1502" i="1" s="1"/>
  <c r="O1501" i="1" a="1"/>
  <c r="O1501" i="1" s="1"/>
  <c r="O1500" i="1" a="1"/>
  <c r="O1500" i="1" s="1"/>
  <c r="O1499" i="1" a="1"/>
  <c r="O1499" i="1" s="1"/>
  <c r="O1498" i="1" a="1"/>
  <c r="O1498" i="1" s="1"/>
  <c r="O1497" i="1" a="1"/>
  <c r="O1497" i="1" s="1"/>
  <c r="O1496" i="1" a="1"/>
  <c r="O1496" i="1" s="1"/>
  <c r="O1495" i="1" a="1"/>
  <c r="O1495" i="1" s="1"/>
  <c r="O1494" i="1" a="1"/>
  <c r="O1494" i="1" s="1"/>
  <c r="O1493" i="1" a="1"/>
  <c r="O1493" i="1" s="1"/>
  <c r="O1492" i="1" a="1"/>
  <c r="O1492" i="1" s="1"/>
  <c r="O1491" i="1" a="1"/>
  <c r="O1491" i="1" s="1"/>
  <c r="O1490" i="1" a="1"/>
  <c r="O1490" i="1" s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2" i="1"/>
  <c r="N1803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I1780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" i="1"/>
  <c r="N2" i="16"/>
  <c r="I1739" i="1"/>
  <c r="I1787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1" i="1"/>
  <c r="I1782" i="1"/>
  <c r="I1783" i="1"/>
  <c r="I1784" i="1"/>
  <c r="I1785" i="1"/>
  <c r="I1786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T14" i="28"/>
  <c r="S14" i="28"/>
  <c r="R14" i="28"/>
  <c r="T13" i="28"/>
  <c r="S13" i="28"/>
  <c r="R13" i="28"/>
  <c r="T12" i="28"/>
  <c r="S12" i="28"/>
  <c r="R12" i="28"/>
  <c r="T11" i="28"/>
  <c r="S11" i="28"/>
  <c r="R11" i="28"/>
  <c r="T10" i="28"/>
  <c r="S10" i="28"/>
  <c r="R10" i="28"/>
  <c r="T9" i="28"/>
  <c r="S9" i="28"/>
  <c r="R9" i="28"/>
  <c r="T8" i="28"/>
  <c r="S8" i="28"/>
  <c r="R8" i="28"/>
  <c r="T7" i="28"/>
  <c r="S7" i="28"/>
  <c r="R7" i="28"/>
  <c r="T6" i="28"/>
  <c r="S6" i="28"/>
  <c r="R6" i="28"/>
  <c r="I1702" i="1"/>
  <c r="I1703" i="1"/>
  <c r="I1704" i="1"/>
  <c r="I1705" i="1"/>
  <c r="I1706" i="1"/>
  <c r="I1707" i="1"/>
  <c r="I1708" i="1"/>
  <c r="I1709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M2" i="16"/>
  <c r="E2" i="16"/>
  <c r="E3" i="16"/>
  <c r="E4" i="16"/>
  <c r="E5" i="16"/>
  <c r="E6" i="16"/>
  <c r="E8" i="16"/>
  <c r="E9" i="16"/>
  <c r="E10" i="16"/>
  <c r="E11" i="16"/>
  <c r="E12" i="16"/>
  <c r="E13" i="16"/>
  <c r="E14" i="16"/>
  <c r="M340" i="1" s="1"/>
  <c r="E15" i="16"/>
  <c r="E16" i="16"/>
  <c r="M2530" i="1" s="1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M2272" i="1" s="1"/>
  <c r="E37" i="16"/>
  <c r="E38" i="16"/>
  <c r="E39" i="16"/>
  <c r="E40" i="16"/>
  <c r="D2" i="16"/>
  <c r="D3" i="16"/>
  <c r="D4" i="16"/>
  <c r="D5" i="16"/>
  <c r="D6" i="16"/>
  <c r="D8" i="16"/>
  <c r="D9" i="16"/>
  <c r="D10" i="16"/>
  <c r="D11" i="16"/>
  <c r="D12" i="16"/>
  <c r="D13" i="16"/>
  <c r="D14" i="16"/>
  <c r="L340" i="1" s="1"/>
  <c r="D15" i="16"/>
  <c r="D16" i="16"/>
  <c r="L2530" i="1" s="1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L2272" i="1" s="1"/>
  <c r="D37" i="16"/>
  <c r="D38" i="16"/>
  <c r="D39" i="16"/>
  <c r="D40" i="16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O462" i="1" a="1"/>
  <c r="O462" i="1" s="1"/>
  <c r="O463" i="1" a="1"/>
  <c r="O463" i="1" s="1"/>
  <c r="O464" i="1" a="1"/>
  <c r="O464" i="1" s="1"/>
  <c r="O465" i="1" a="1"/>
  <c r="O465" i="1" s="1"/>
  <c r="O466" i="1" a="1"/>
  <c r="O466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6" i="1" a="1"/>
  <c r="O496" i="1" s="1"/>
  <c r="O497" i="1" a="1"/>
  <c r="O497" i="1" s="1"/>
  <c r="O498" i="1" a="1"/>
  <c r="O498" i="1" s="1"/>
  <c r="O499" i="1" a="1"/>
  <c r="O499" i="1" s="1"/>
  <c r="O500" i="1" a="1"/>
  <c r="O500" i="1" s="1"/>
  <c r="O501" i="1" a="1"/>
  <c r="O501" i="1" s="1"/>
  <c r="O502" i="1" a="1"/>
  <c r="O502" i="1" s="1"/>
  <c r="O503" i="1" a="1"/>
  <c r="O503" i="1" s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0" i="1" a="1"/>
  <c r="O510" i="1" s="1"/>
  <c r="O511" i="1" a="1"/>
  <c r="O511" i="1" s="1"/>
  <c r="O512" i="1" a="1"/>
  <c r="O512" i="1" s="1"/>
  <c r="O513" i="1" a="1"/>
  <c r="O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27" i="1" a="1"/>
  <c r="O527" i="1" s="1"/>
  <c r="O528" i="1" a="1"/>
  <c r="O528" i="1" s="1"/>
  <c r="O529" i="1" a="1"/>
  <c r="O529" i="1" s="1"/>
  <c r="O530" i="1" a="1"/>
  <c r="O530" i="1" s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O542" i="1" a="1"/>
  <c r="O542" i="1" s="1"/>
  <c r="O543" i="1" a="1"/>
  <c r="O543" i="1" s="1"/>
  <c r="O544" i="1" a="1"/>
  <c r="O544" i="1" s="1"/>
  <c r="O545" i="1" a="1"/>
  <c r="O545" i="1" s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 s="1"/>
  <c r="O557" i="1" a="1"/>
  <c r="O557" i="1" s="1"/>
  <c r="O558" i="1" a="1"/>
  <c r="O558" i="1" s="1"/>
  <c r="O559" i="1" a="1"/>
  <c r="O559" i="1" s="1"/>
  <c r="O560" i="1" a="1"/>
  <c r="O560" i="1" s="1"/>
  <c r="O561" i="1" a="1"/>
  <c r="O561" i="1" s="1"/>
  <c r="O562" i="1" a="1"/>
  <c r="O562" i="1" s="1"/>
  <c r="O563" i="1" a="1"/>
  <c r="O563" i="1" s="1"/>
  <c r="O564" i="1" a="1"/>
  <c r="O564" i="1" s="1"/>
  <c r="O565" i="1" a="1"/>
  <c r="O565" i="1" s="1"/>
  <c r="O566" i="1" a="1"/>
  <c r="O566" i="1" s="1"/>
  <c r="O567" i="1" a="1"/>
  <c r="O567" i="1" s="1"/>
  <c r="O568" i="1" a="1"/>
  <c r="O568" i="1" s="1"/>
  <c r="O569" i="1" a="1"/>
  <c r="O569" i="1" s="1"/>
  <c r="O570" i="1" a="1"/>
  <c r="O570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 s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587" i="1" a="1"/>
  <c r="O587" i="1" s="1"/>
  <c r="O588" i="1" a="1"/>
  <c r="O588" i="1" s="1"/>
  <c r="O589" i="1" a="1"/>
  <c r="O589" i="1" s="1"/>
  <c r="O590" i="1" a="1"/>
  <c r="O590" i="1" s="1"/>
  <c r="O591" i="1" a="1"/>
  <c r="O591" i="1" s="1"/>
  <c r="O592" i="1" a="1"/>
  <c r="O592" i="1" s="1"/>
  <c r="O593" i="1" a="1"/>
  <c r="O593" i="1" s="1"/>
  <c r="O594" i="1" a="1"/>
  <c r="O594" i="1" s="1"/>
  <c r="O595" i="1" a="1"/>
  <c r="O595" i="1" s="1"/>
  <c r="O596" i="1" a="1"/>
  <c r="O596" i="1" s="1"/>
  <c r="O597" i="1" a="1"/>
  <c r="O597" i="1" s="1"/>
  <c r="O598" i="1" a="1"/>
  <c r="O598" i="1" s="1"/>
  <c r="O599" i="1" a="1"/>
  <c r="O599" i="1" s="1"/>
  <c r="O600" i="1" a="1"/>
  <c r="O600" i="1" s="1"/>
  <c r="O601" i="1" a="1"/>
  <c r="O601" i="1" s="1"/>
  <c r="O602" i="1" a="1"/>
  <c r="O602" i="1" s="1"/>
  <c r="O603" i="1" a="1"/>
  <c r="O603" i="1" s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 s="1"/>
  <c r="O615" i="1" a="1"/>
  <c r="O615" i="1" s="1"/>
  <c r="O616" i="1" a="1"/>
  <c r="O616" i="1" s="1"/>
  <c r="O617" i="1" a="1"/>
  <c r="O617" i="1" s="1"/>
  <c r="O618" i="1" a="1"/>
  <c r="O618" i="1" s="1"/>
  <c r="O619" i="1" a="1"/>
  <c r="O619" i="1" s="1"/>
  <c r="O620" i="1" a="1"/>
  <c r="O620" i="1" s="1"/>
  <c r="O621" i="1" a="1"/>
  <c r="O621" i="1" s="1"/>
  <c r="O622" i="1" a="1"/>
  <c r="O622" i="1" s="1"/>
  <c r="O623" i="1" a="1"/>
  <c r="O623" i="1" s="1"/>
  <c r="O624" i="1" a="1"/>
  <c r="O624" i="1" s="1"/>
  <c r="O625" i="1" a="1"/>
  <c r="O625" i="1" s="1"/>
  <c r="O626" i="1" a="1"/>
  <c r="O626" i="1" s="1"/>
  <c r="O627" i="1" a="1"/>
  <c r="O627" i="1" s="1"/>
  <c r="O628" i="1" a="1"/>
  <c r="O628" i="1" s="1"/>
  <c r="O629" i="1" a="1"/>
  <c r="O629" i="1" s="1"/>
  <c r="O630" i="1" a="1"/>
  <c r="O630" i="1" s="1"/>
  <c r="O631" i="1" a="1"/>
  <c r="O631" i="1" s="1"/>
  <c r="O632" i="1" a="1"/>
  <c r="O632" i="1" s="1"/>
  <c r="O633" i="1" a="1"/>
  <c r="O633" i="1" s="1"/>
  <c r="O634" i="1" a="1"/>
  <c r="O634" i="1" s="1"/>
  <c r="O635" i="1" a="1"/>
  <c r="O635" i="1" s="1"/>
  <c r="O636" i="1" a="1"/>
  <c r="O636" i="1" s="1"/>
  <c r="O637" i="1" a="1"/>
  <c r="O637" i="1" s="1"/>
  <c r="O638" i="1" a="1"/>
  <c r="O638" i="1" s="1"/>
  <c r="O639" i="1" a="1"/>
  <c r="O639" i="1" s="1"/>
  <c r="O640" i="1" a="1"/>
  <c r="O640" i="1" s="1"/>
  <c r="O641" i="1" a="1"/>
  <c r="O641" i="1" s="1"/>
  <c r="O642" i="1" a="1"/>
  <c r="O642" i="1" s="1"/>
  <c r="O643" i="1" a="1"/>
  <c r="O643" i="1" s="1"/>
  <c r="O644" i="1" a="1"/>
  <c r="O644" i="1" s="1"/>
  <c r="O645" i="1" a="1"/>
  <c r="O645" i="1" s="1"/>
  <c r="O646" i="1" a="1"/>
  <c r="O646" i="1" s="1"/>
  <c r="O647" i="1" a="1"/>
  <c r="O647" i="1" s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 s="1"/>
  <c r="O664" i="1" a="1"/>
  <c r="O664" i="1" s="1"/>
  <c r="O665" i="1" a="1"/>
  <c r="O665" i="1" s="1"/>
  <c r="O666" i="1" a="1"/>
  <c r="O666" i="1" s="1"/>
  <c r="O667" i="1" a="1"/>
  <c r="O667" i="1" s="1"/>
  <c r="O668" i="1" a="1"/>
  <c r="O668" i="1" s="1"/>
  <c r="O669" i="1" a="1"/>
  <c r="O669" i="1" s="1"/>
  <c r="O670" i="1" a="1"/>
  <c r="O670" i="1" s="1"/>
  <c r="O671" i="1" a="1"/>
  <c r="O671" i="1" s="1"/>
  <c r="O672" i="1" a="1"/>
  <c r="O672" i="1" s="1"/>
  <c r="O673" i="1" a="1"/>
  <c r="O673" i="1" s="1"/>
  <c r="O674" i="1" a="1"/>
  <c r="O674" i="1" s="1"/>
  <c r="O675" i="1" a="1"/>
  <c r="O675" i="1" s="1"/>
  <c r="O676" i="1" a="1"/>
  <c r="O676" i="1" s="1"/>
  <c r="O677" i="1" a="1"/>
  <c r="O677" i="1" s="1"/>
  <c r="O678" i="1" a="1"/>
  <c r="O678" i="1" s="1"/>
  <c r="O679" i="1" a="1"/>
  <c r="O679" i="1" s="1"/>
  <c r="O680" i="1" a="1"/>
  <c r="O680" i="1" s="1"/>
  <c r="O681" i="1" a="1"/>
  <c r="O681" i="1" s="1"/>
  <c r="O682" i="1" a="1"/>
  <c r="O682" i="1" s="1"/>
  <c r="O683" i="1" a="1"/>
  <c r="O683" i="1" s="1"/>
  <c r="O684" i="1" a="1"/>
  <c r="O684" i="1" s="1"/>
  <c r="O685" i="1" a="1"/>
  <c r="O685" i="1" s="1"/>
  <c r="O686" i="1" a="1"/>
  <c r="O686" i="1" s="1"/>
  <c r="O687" i="1" a="1"/>
  <c r="O687" i="1" s="1"/>
  <c r="O688" i="1" a="1"/>
  <c r="O688" i="1" s="1"/>
  <c r="O689" i="1" a="1"/>
  <c r="O689" i="1" s="1"/>
  <c r="O690" i="1" a="1"/>
  <c r="O690" i="1" s="1"/>
  <c r="O691" i="1" a="1"/>
  <c r="O691" i="1" s="1"/>
  <c r="O692" i="1" a="1"/>
  <c r="O692" i="1" s="1"/>
  <c r="O693" i="1" a="1"/>
  <c r="O693" i="1" s="1"/>
  <c r="O694" i="1" a="1"/>
  <c r="O694" i="1" s="1"/>
  <c r="O695" i="1" a="1"/>
  <c r="O695" i="1" s="1"/>
  <c r="O696" i="1" a="1"/>
  <c r="O696" i="1" s="1"/>
  <c r="O697" i="1" a="1"/>
  <c r="O697" i="1" s="1"/>
  <c r="O698" i="1" a="1"/>
  <c r="O698" i="1" s="1"/>
  <c r="O699" i="1" a="1"/>
  <c r="O699" i="1" s="1"/>
  <c r="O700" i="1" a="1"/>
  <c r="O700" i="1" s="1"/>
  <c r="O701" i="1" a="1"/>
  <c r="O701" i="1" s="1"/>
  <c r="O702" i="1" a="1"/>
  <c r="O702" i="1" s="1"/>
  <c r="O703" i="1" a="1"/>
  <c r="O703" i="1" s="1"/>
  <c r="O704" i="1" a="1"/>
  <c r="O704" i="1" s="1"/>
  <c r="O705" i="1" a="1"/>
  <c r="O705" i="1" s="1"/>
  <c r="O706" i="1" a="1"/>
  <c r="O706" i="1" s="1"/>
  <c r="O707" i="1" a="1"/>
  <c r="O707" i="1" s="1"/>
  <c r="O708" i="1" a="1"/>
  <c r="O708" i="1" s="1"/>
  <c r="O709" i="1" a="1"/>
  <c r="O709" i="1" s="1"/>
  <c r="O710" i="1" a="1"/>
  <c r="O710" i="1" s="1"/>
  <c r="O711" i="1" a="1"/>
  <c r="O711" i="1" s="1"/>
  <c r="O712" i="1" a="1"/>
  <c r="O712" i="1" s="1"/>
  <c r="O713" i="1" a="1"/>
  <c r="O713" i="1" s="1"/>
  <c r="O714" i="1" a="1"/>
  <c r="O714" i="1" s="1"/>
  <c r="O715" i="1" a="1"/>
  <c r="O715" i="1" s="1"/>
  <c r="O716" i="1" a="1"/>
  <c r="O716" i="1" s="1"/>
  <c r="O717" i="1" a="1"/>
  <c r="O717" i="1" s="1"/>
  <c r="O718" i="1" a="1"/>
  <c r="O718" i="1" s="1"/>
  <c r="O719" i="1" a="1"/>
  <c r="O719" i="1" s="1"/>
  <c r="O720" i="1" a="1"/>
  <c r="O720" i="1" s="1"/>
  <c r="O721" i="1" a="1"/>
  <c r="O721" i="1" s="1"/>
  <c r="O722" i="1" a="1"/>
  <c r="O722" i="1" s="1"/>
  <c r="O723" i="1" a="1"/>
  <c r="O723" i="1" s="1"/>
  <c r="O724" i="1" a="1"/>
  <c r="O724" i="1" s="1"/>
  <c r="O725" i="1" a="1"/>
  <c r="O725" i="1" s="1"/>
  <c r="O726" i="1" a="1"/>
  <c r="O726" i="1" s="1"/>
  <c r="O727" i="1" a="1"/>
  <c r="O727" i="1" s="1"/>
  <c r="O728" i="1" a="1"/>
  <c r="O728" i="1" s="1"/>
  <c r="O729" i="1" a="1"/>
  <c r="O729" i="1" s="1"/>
  <c r="O730" i="1" a="1"/>
  <c r="O730" i="1" s="1"/>
  <c r="O731" i="1" a="1"/>
  <c r="O731" i="1" s="1"/>
  <c r="O732" i="1" a="1"/>
  <c r="O732" i="1" s="1"/>
  <c r="O733" i="1" a="1"/>
  <c r="O733" i="1" s="1"/>
  <c r="O734" i="1" a="1"/>
  <c r="O734" i="1" s="1"/>
  <c r="O735" i="1" a="1"/>
  <c r="O735" i="1" s="1"/>
  <c r="O736" i="1" a="1"/>
  <c r="O736" i="1" s="1"/>
  <c r="O737" i="1" a="1"/>
  <c r="O737" i="1" s="1"/>
  <c r="O738" i="1" a="1"/>
  <c r="O738" i="1" s="1"/>
  <c r="O739" i="1" a="1"/>
  <c r="O739" i="1" s="1"/>
  <c r="O740" i="1" a="1"/>
  <c r="O740" i="1" s="1"/>
  <c r="O741" i="1" a="1"/>
  <c r="O741" i="1" s="1"/>
  <c r="O742" i="1" a="1"/>
  <c r="O742" i="1" s="1"/>
  <c r="O743" i="1" a="1"/>
  <c r="O743" i="1" s="1"/>
  <c r="O744" i="1" a="1"/>
  <c r="O744" i="1" s="1"/>
  <c r="O745" i="1" a="1"/>
  <c r="O745" i="1" s="1"/>
  <c r="O746" i="1" a="1"/>
  <c r="O746" i="1" s="1"/>
  <c r="O747" i="1" a="1"/>
  <c r="O747" i="1" s="1"/>
  <c r="O748" i="1" a="1"/>
  <c r="O748" i="1" s="1"/>
  <c r="O749" i="1" a="1"/>
  <c r="O749" i="1" s="1"/>
  <c r="O750" i="1" a="1"/>
  <c r="O750" i="1" s="1"/>
  <c r="O751" i="1" a="1"/>
  <c r="O751" i="1" s="1"/>
  <c r="O752" i="1" a="1"/>
  <c r="O752" i="1" s="1"/>
  <c r="O753" i="1" a="1"/>
  <c r="O753" i="1" s="1"/>
  <c r="O754" i="1" a="1"/>
  <c r="O754" i="1" s="1"/>
  <c r="O755" i="1" a="1"/>
  <c r="O755" i="1" s="1"/>
  <c r="O756" i="1" a="1"/>
  <c r="O756" i="1" s="1"/>
  <c r="O757" i="1" a="1"/>
  <c r="O757" i="1" s="1"/>
  <c r="O758" i="1" a="1"/>
  <c r="O758" i="1" s="1"/>
  <c r="O759" i="1" a="1"/>
  <c r="O759" i="1" s="1"/>
  <c r="O760" i="1" a="1"/>
  <c r="O760" i="1" s="1"/>
  <c r="O761" i="1" a="1"/>
  <c r="O761" i="1" s="1"/>
  <c r="O762" i="1" a="1"/>
  <c r="O762" i="1" s="1"/>
  <c r="O763" i="1" a="1"/>
  <c r="O763" i="1" s="1"/>
  <c r="O764" i="1" a="1"/>
  <c r="O764" i="1" s="1"/>
  <c r="O765" i="1" a="1"/>
  <c r="O765" i="1" s="1"/>
  <c r="O766" i="1" a="1"/>
  <c r="O766" i="1" s="1"/>
  <c r="O767" i="1" a="1"/>
  <c r="O767" i="1" s="1"/>
  <c r="O768" i="1" a="1"/>
  <c r="O768" i="1" s="1"/>
  <c r="O769" i="1" a="1"/>
  <c r="O769" i="1" s="1"/>
  <c r="O770" i="1" a="1"/>
  <c r="O770" i="1" s="1"/>
  <c r="O771" i="1" a="1"/>
  <c r="O771" i="1" s="1"/>
  <c r="O772" i="1" a="1"/>
  <c r="O772" i="1" s="1"/>
  <c r="O773" i="1" a="1"/>
  <c r="O773" i="1" s="1"/>
  <c r="O774" i="1" a="1"/>
  <c r="O774" i="1" s="1"/>
  <c r="O775" i="1" a="1"/>
  <c r="O775" i="1" s="1"/>
  <c r="O776" i="1" a="1"/>
  <c r="O776" i="1" s="1"/>
  <c r="O777" i="1" a="1"/>
  <c r="O777" i="1" s="1"/>
  <c r="O778" i="1" a="1"/>
  <c r="O778" i="1" s="1"/>
  <c r="O779" i="1" a="1"/>
  <c r="O779" i="1" s="1"/>
  <c r="O780" i="1" a="1"/>
  <c r="O780" i="1" s="1"/>
  <c r="O781" i="1" a="1"/>
  <c r="O781" i="1" s="1"/>
  <c r="O782" i="1" a="1"/>
  <c r="O782" i="1" s="1"/>
  <c r="O783" i="1" a="1"/>
  <c r="O783" i="1" s="1"/>
  <c r="O784" i="1" a="1"/>
  <c r="O784" i="1" s="1"/>
  <c r="O785" i="1" a="1"/>
  <c r="O785" i="1" s="1"/>
  <c r="O786" i="1" a="1"/>
  <c r="O786" i="1" s="1"/>
  <c r="O787" i="1" a="1"/>
  <c r="O787" i="1" s="1"/>
  <c r="O788" i="1" a="1"/>
  <c r="O788" i="1" s="1"/>
  <c r="O789" i="1" a="1"/>
  <c r="O789" i="1" s="1"/>
  <c r="O790" i="1" a="1"/>
  <c r="O790" i="1" s="1"/>
  <c r="O791" i="1" a="1"/>
  <c r="O791" i="1" s="1"/>
  <c r="O792" i="1" a="1"/>
  <c r="O792" i="1" s="1"/>
  <c r="O793" i="1" a="1"/>
  <c r="O793" i="1" s="1"/>
  <c r="O794" i="1" a="1"/>
  <c r="O794" i="1" s="1"/>
  <c r="O795" i="1" a="1"/>
  <c r="O795" i="1" s="1"/>
  <c r="O796" i="1" a="1"/>
  <c r="O796" i="1" s="1"/>
  <c r="O797" i="1" a="1"/>
  <c r="O797" i="1" s="1"/>
  <c r="O798" i="1" a="1"/>
  <c r="O798" i="1" s="1"/>
  <c r="O818" i="1" a="1"/>
  <c r="O818" i="1" s="1"/>
  <c r="O886" i="1" a="1"/>
  <c r="O886" i="1" s="1"/>
  <c r="O887" i="1" a="1"/>
  <c r="O887" i="1" s="1"/>
  <c r="O888" i="1" a="1"/>
  <c r="O888" i="1" s="1"/>
  <c r="O889" i="1" a="1"/>
  <c r="O889" i="1" s="1"/>
  <c r="O890" i="1" a="1"/>
  <c r="O890" i="1" s="1"/>
  <c r="O891" i="1" a="1"/>
  <c r="O891" i="1" s="1"/>
  <c r="O892" i="1" a="1"/>
  <c r="O892" i="1" s="1"/>
  <c r="O893" i="1" a="1"/>
  <c r="O893" i="1" s="1"/>
  <c r="O894" i="1" a="1"/>
  <c r="O894" i="1" s="1"/>
  <c r="O895" i="1" a="1"/>
  <c r="O895" i="1" s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913" i="1" a="1"/>
  <c r="O913" i="1" s="1"/>
  <c r="O914" i="1" a="1"/>
  <c r="O914" i="1" s="1"/>
  <c r="O915" i="1" a="1"/>
  <c r="O915" i="1" s="1"/>
  <c r="O916" i="1" a="1"/>
  <c r="O916" i="1" s="1"/>
  <c r="O917" i="1" a="1"/>
  <c r="O917" i="1" s="1"/>
  <c r="O918" i="1" a="1"/>
  <c r="O918" i="1" s="1"/>
  <c r="O919" i="1" a="1"/>
  <c r="O919" i="1" s="1"/>
  <c r="O920" i="1" a="1"/>
  <c r="O920" i="1" s="1"/>
  <c r="O921" i="1" a="1"/>
  <c r="O921" i="1" s="1"/>
  <c r="O922" i="1" a="1"/>
  <c r="O922" i="1" s="1"/>
  <c r="O923" i="1" a="1"/>
  <c r="O923" i="1" s="1"/>
  <c r="O924" i="1" a="1"/>
  <c r="O924" i="1" s="1"/>
  <c r="O925" i="1" a="1"/>
  <c r="O925" i="1" s="1"/>
  <c r="O926" i="1" a="1"/>
  <c r="O926" i="1" s="1"/>
  <c r="O927" i="1" a="1"/>
  <c r="O927" i="1" s="1"/>
  <c r="O928" i="1" a="1"/>
  <c r="O928" i="1" s="1"/>
  <c r="O929" i="1" a="1"/>
  <c r="O929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 s="1"/>
  <c r="O948" i="1" a="1"/>
  <c r="O948" i="1" s="1"/>
  <c r="O949" i="1" a="1"/>
  <c r="O949" i="1" s="1"/>
  <c r="O950" i="1" a="1"/>
  <c r="O950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979" i="1" a="1"/>
  <c r="O979" i="1" s="1"/>
  <c r="O980" i="1" a="1"/>
  <c r="O980" i="1" s="1"/>
  <c r="O981" i="1" a="1"/>
  <c r="O981" i="1" s="1"/>
  <c r="O982" i="1" a="1"/>
  <c r="O982" i="1" s="1"/>
  <c r="O983" i="1" a="1"/>
  <c r="O983" i="1" s="1"/>
  <c r="O984" i="1" a="1"/>
  <c r="O984" i="1" s="1"/>
  <c r="O985" i="1" a="1"/>
  <c r="O985" i="1" s="1"/>
  <c r="O986" i="1" a="1"/>
  <c r="O986" i="1" s="1"/>
  <c r="O987" i="1" a="1"/>
  <c r="O987" i="1" s="1"/>
  <c r="O988" i="1" a="1"/>
  <c r="O988" i="1" s="1"/>
  <c r="O989" i="1" a="1"/>
  <c r="O989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O995" i="1" a="1"/>
  <c r="O995" i="1" s="1"/>
  <c r="O996" i="1" a="1"/>
  <c r="O996" i="1" s="1"/>
  <c r="O997" i="1" a="1"/>
  <c r="O997" i="1" s="1"/>
  <c r="O998" i="1" a="1"/>
  <c r="O998" i="1" s="1"/>
  <c r="O999" i="1" a="1"/>
  <c r="O999" i="1" s="1"/>
  <c r="O1000" i="1" a="1"/>
  <c r="O1000" i="1" s="1"/>
  <c r="O1001" i="1" a="1"/>
  <c r="O1001" i="1" s="1"/>
  <c r="O1002" i="1" a="1"/>
  <c r="O1002" i="1" s="1"/>
  <c r="O1003" i="1" a="1"/>
  <c r="O1003" i="1" s="1"/>
  <c r="O1004" i="1" a="1"/>
  <c r="O1004" i="1" s="1"/>
  <c r="O1005" i="1" a="1"/>
  <c r="O1005" i="1" s="1"/>
  <c r="O1006" i="1" a="1"/>
  <c r="O1006" i="1" s="1"/>
  <c r="O1007" i="1" a="1"/>
  <c r="O1007" i="1" s="1"/>
  <c r="O1008" i="1" a="1"/>
  <c r="O1008" i="1" s="1"/>
  <c r="O1009" i="1" a="1"/>
  <c r="O1009" i="1" s="1"/>
  <c r="O1010" i="1" a="1"/>
  <c r="O1010" i="1" s="1"/>
  <c r="O1011" i="1" a="1"/>
  <c r="O1011" i="1" s="1"/>
  <c r="O1012" i="1" a="1"/>
  <c r="O1012" i="1" s="1"/>
  <c r="O1013" i="1" a="1"/>
  <c r="O1013" i="1" s="1"/>
  <c r="O1014" i="1" a="1"/>
  <c r="O1014" i="1" s="1"/>
  <c r="O1015" i="1" a="1"/>
  <c r="O1015" i="1" s="1"/>
  <c r="O1016" i="1" a="1"/>
  <c r="O1016" i="1" s="1"/>
  <c r="O1017" i="1" a="1"/>
  <c r="O1017" i="1" s="1"/>
  <c r="O1018" i="1" a="1"/>
  <c r="O1018" i="1" s="1"/>
  <c r="O1019" i="1" a="1"/>
  <c r="O1019" i="1" s="1"/>
  <c r="O1020" i="1" a="1"/>
  <c r="O1020" i="1" s="1"/>
  <c r="O1021" i="1" a="1"/>
  <c r="O1021" i="1" s="1"/>
  <c r="O1022" i="1" a="1"/>
  <c r="O1022" i="1" s="1"/>
  <c r="O1023" i="1" a="1"/>
  <c r="O1023" i="1" s="1"/>
  <c r="O1024" i="1" a="1"/>
  <c r="O1024" i="1" s="1"/>
  <c r="O1025" i="1" a="1"/>
  <c r="O1025" i="1" s="1"/>
  <c r="O1026" i="1" a="1"/>
  <c r="O1026" i="1" s="1"/>
  <c r="O1027" i="1" a="1"/>
  <c r="O1027" i="1" s="1"/>
  <c r="O1028" i="1" a="1"/>
  <c r="O1028" i="1" s="1"/>
  <c r="O1029" i="1" a="1"/>
  <c r="O1029" i="1" s="1"/>
  <c r="O1030" i="1" a="1"/>
  <c r="O1030" i="1" s="1"/>
  <c r="O1031" i="1" a="1"/>
  <c r="O1031" i="1" s="1"/>
  <c r="O1032" i="1" a="1"/>
  <c r="O1032" i="1" s="1"/>
  <c r="O1033" i="1" a="1"/>
  <c r="O1033" i="1" s="1"/>
  <c r="O1034" i="1" a="1"/>
  <c r="O1034" i="1" s="1"/>
  <c r="O1035" i="1" a="1"/>
  <c r="O1035" i="1" s="1"/>
  <c r="O1036" i="1" a="1"/>
  <c r="O1036" i="1" s="1"/>
  <c r="O1037" i="1" a="1"/>
  <c r="O1037" i="1" s="1"/>
  <c r="O1038" i="1" a="1"/>
  <c r="O1038" i="1" s="1"/>
  <c r="O1039" i="1" a="1"/>
  <c r="O1039" i="1" s="1"/>
  <c r="O1040" i="1" a="1"/>
  <c r="O1040" i="1" s="1"/>
  <c r="O1041" i="1" a="1"/>
  <c r="O1041" i="1" s="1"/>
  <c r="O1042" i="1" a="1"/>
  <c r="O1042" i="1" s="1"/>
  <c r="O1043" i="1" a="1"/>
  <c r="O1043" i="1" s="1"/>
  <c r="O1044" i="1" a="1"/>
  <c r="O1044" i="1" s="1"/>
  <c r="O1045" i="1" a="1"/>
  <c r="O1045" i="1" s="1"/>
  <c r="O1046" i="1" a="1"/>
  <c r="O1046" i="1" s="1"/>
  <c r="O1047" i="1" a="1"/>
  <c r="O1047" i="1" s="1"/>
  <c r="O1048" i="1" a="1"/>
  <c r="O1048" i="1" s="1"/>
  <c r="O1049" i="1" a="1"/>
  <c r="O1049" i="1" s="1"/>
  <c r="O1050" i="1" a="1"/>
  <c r="O1050" i="1" s="1"/>
  <c r="O1051" i="1" a="1"/>
  <c r="O1051" i="1" s="1"/>
  <c r="O1052" i="1" a="1"/>
  <c r="O1052" i="1" s="1"/>
  <c r="O1053" i="1" a="1"/>
  <c r="O1053" i="1" s="1"/>
  <c r="O1054" i="1" a="1"/>
  <c r="O1054" i="1" s="1"/>
  <c r="O1055" i="1" a="1"/>
  <c r="O1055" i="1" s="1"/>
  <c r="O1056" i="1" a="1"/>
  <c r="O1056" i="1" s="1"/>
  <c r="O1057" i="1" a="1"/>
  <c r="O1057" i="1" s="1"/>
  <c r="O1058" i="1" a="1"/>
  <c r="O1058" i="1" s="1"/>
  <c r="O1059" i="1" a="1"/>
  <c r="O1059" i="1" s="1"/>
  <c r="O1060" i="1" a="1"/>
  <c r="O1060" i="1" s="1"/>
  <c r="O1061" i="1" a="1"/>
  <c r="O1061" i="1" s="1"/>
  <c r="O1062" i="1" a="1"/>
  <c r="O1062" i="1" s="1"/>
  <c r="O1063" i="1" a="1"/>
  <c r="O1063" i="1" s="1"/>
  <c r="O1064" i="1" a="1"/>
  <c r="O1064" i="1" s="1"/>
  <c r="O1065" i="1" a="1"/>
  <c r="O1065" i="1" s="1"/>
  <c r="O1066" i="1" a="1"/>
  <c r="O1066" i="1" s="1"/>
  <c r="O1067" i="1" a="1"/>
  <c r="O1067" i="1" s="1"/>
  <c r="O1068" i="1" a="1"/>
  <c r="O1068" i="1" s="1"/>
  <c r="O1069" i="1" a="1"/>
  <c r="O1069" i="1" s="1"/>
  <c r="O1070" i="1" a="1"/>
  <c r="O1070" i="1" s="1"/>
  <c r="O1071" i="1" a="1"/>
  <c r="O1071" i="1" s="1"/>
  <c r="O1072" i="1" a="1"/>
  <c r="O1072" i="1" s="1"/>
  <c r="O1073" i="1" a="1"/>
  <c r="O1073" i="1" s="1"/>
  <c r="O1074" i="1" a="1"/>
  <c r="O1074" i="1" s="1"/>
  <c r="O1075" i="1" a="1"/>
  <c r="O1075" i="1" s="1"/>
  <c r="O1076" i="1" a="1"/>
  <c r="O1076" i="1" s="1"/>
  <c r="O1077" i="1" a="1"/>
  <c r="O1077" i="1" s="1"/>
  <c r="O1078" i="1" a="1"/>
  <c r="O1078" i="1" s="1"/>
  <c r="O1079" i="1" a="1"/>
  <c r="O1079" i="1" s="1"/>
  <c r="O1080" i="1" a="1"/>
  <c r="O1080" i="1" s="1"/>
  <c r="O1081" i="1" a="1"/>
  <c r="O1081" i="1" s="1"/>
  <c r="O1082" i="1" a="1"/>
  <c r="O1082" i="1" s="1"/>
  <c r="O1083" i="1" a="1"/>
  <c r="O1083" i="1" s="1"/>
  <c r="O1084" i="1" a="1"/>
  <c r="O1084" i="1" s="1"/>
  <c r="O1085" i="1" a="1"/>
  <c r="O1085" i="1" s="1"/>
  <c r="O1086" i="1" a="1"/>
  <c r="O1086" i="1" s="1"/>
  <c r="O1087" i="1" a="1"/>
  <c r="O1087" i="1" s="1"/>
  <c r="O1088" i="1" a="1"/>
  <c r="O1088" i="1" s="1"/>
  <c r="O1089" i="1" a="1"/>
  <c r="O1089" i="1" s="1"/>
  <c r="O1090" i="1" a="1"/>
  <c r="O1090" i="1" s="1"/>
  <c r="O1091" i="1" a="1"/>
  <c r="O1091" i="1" s="1"/>
  <c r="O1092" i="1" a="1"/>
  <c r="O1092" i="1" s="1"/>
  <c r="O1093" i="1" a="1"/>
  <c r="O1093" i="1" s="1"/>
  <c r="O1094" i="1" a="1"/>
  <c r="O1094" i="1" s="1"/>
  <c r="O1095" i="1" a="1"/>
  <c r="O1095" i="1" s="1"/>
  <c r="O1096" i="1" a="1"/>
  <c r="O1096" i="1" s="1"/>
  <c r="O1097" i="1" a="1"/>
  <c r="O1097" i="1" s="1"/>
  <c r="O1098" i="1" a="1"/>
  <c r="O1098" i="1"/>
  <c r="O1099" i="1" a="1"/>
  <c r="O1099" i="1" s="1"/>
  <c r="O1100" i="1" a="1"/>
  <c r="O1100" i="1" s="1"/>
  <c r="O1101" i="1" a="1"/>
  <c r="O1101" i="1" s="1"/>
  <c r="O1102" i="1" a="1"/>
  <c r="O1102" i="1" s="1"/>
  <c r="O1103" i="1" a="1"/>
  <c r="O1103" i="1" s="1"/>
  <c r="O1104" i="1" a="1"/>
  <c r="O1104" i="1" s="1"/>
  <c r="O1105" i="1" a="1"/>
  <c r="O1105" i="1" s="1"/>
  <c r="O1106" i="1" a="1"/>
  <c r="O1106" i="1" s="1"/>
  <c r="O1107" i="1" a="1"/>
  <c r="O1107" i="1" s="1"/>
  <c r="O1108" i="1" a="1"/>
  <c r="O1108" i="1" s="1"/>
  <c r="O1109" i="1" a="1"/>
  <c r="O1109" i="1" s="1"/>
  <c r="O1110" i="1" a="1"/>
  <c r="O1110" i="1" s="1"/>
  <c r="O1111" i="1" a="1"/>
  <c r="O1111" i="1" s="1"/>
  <c r="O1112" i="1" a="1"/>
  <c r="O1112" i="1" s="1"/>
  <c r="O1113" i="1" a="1"/>
  <c r="O1113" i="1" s="1"/>
  <c r="O1114" i="1" a="1"/>
  <c r="O1114" i="1" s="1"/>
  <c r="O1115" i="1" a="1"/>
  <c r="O1115" i="1" s="1"/>
  <c r="O1116" i="1" a="1"/>
  <c r="O1116" i="1" s="1"/>
  <c r="O1117" i="1" a="1"/>
  <c r="O1117" i="1" s="1"/>
  <c r="O1118" i="1" a="1"/>
  <c r="O1118" i="1" s="1"/>
  <c r="O1119" i="1" a="1"/>
  <c r="O1119" i="1" s="1"/>
  <c r="O1120" i="1" a="1"/>
  <c r="O1120" i="1" s="1"/>
  <c r="O1121" i="1" a="1"/>
  <c r="O1121" i="1" s="1"/>
  <c r="O1122" i="1" a="1"/>
  <c r="O1122" i="1" s="1"/>
  <c r="O1123" i="1" a="1"/>
  <c r="O1123" i="1" s="1"/>
  <c r="O1124" i="1" a="1"/>
  <c r="O1124" i="1" s="1"/>
  <c r="O1125" i="1" a="1"/>
  <c r="O1125" i="1" s="1"/>
  <c r="O1126" i="1" a="1"/>
  <c r="O1126" i="1" s="1"/>
  <c r="O1127" i="1" a="1"/>
  <c r="O1127" i="1" s="1"/>
  <c r="O1128" i="1" a="1"/>
  <c r="O1128" i="1" s="1"/>
  <c r="O1129" i="1" a="1"/>
  <c r="O1129" i="1" s="1"/>
  <c r="O1130" i="1" a="1"/>
  <c r="O1130" i="1" s="1"/>
  <c r="O1131" i="1" a="1"/>
  <c r="O1131" i="1" s="1"/>
  <c r="O1132" i="1" a="1"/>
  <c r="O1132" i="1" s="1"/>
  <c r="O1133" i="1" a="1"/>
  <c r="O1133" i="1" s="1"/>
  <c r="O1134" i="1" a="1"/>
  <c r="O1134" i="1" s="1"/>
  <c r="O1135" i="1" a="1"/>
  <c r="O1135" i="1" s="1"/>
  <c r="O1136" i="1" a="1"/>
  <c r="O1136" i="1" s="1"/>
  <c r="O1137" i="1" a="1"/>
  <c r="O1137" i="1" s="1"/>
  <c r="O1138" i="1" a="1"/>
  <c r="O1138" i="1" s="1"/>
  <c r="O1139" i="1" a="1"/>
  <c r="O1139" i="1" s="1"/>
  <c r="O1140" i="1" a="1"/>
  <c r="O1140" i="1" s="1"/>
  <c r="O1141" i="1" a="1"/>
  <c r="O1141" i="1" s="1"/>
  <c r="O1142" i="1" a="1"/>
  <c r="O1142" i="1" s="1"/>
  <c r="O1143" i="1" a="1"/>
  <c r="O1143" i="1" s="1"/>
  <c r="O1144" i="1" a="1"/>
  <c r="O1144" i="1" s="1"/>
  <c r="O1145" i="1" a="1"/>
  <c r="O1145" i="1" s="1"/>
  <c r="O1146" i="1" a="1"/>
  <c r="O1146" i="1" s="1"/>
  <c r="O1147" i="1" a="1"/>
  <c r="O1147" i="1" s="1"/>
  <c r="O1148" i="1" a="1"/>
  <c r="O1148" i="1" s="1"/>
  <c r="O1149" i="1" a="1"/>
  <c r="O1149" i="1" s="1"/>
  <c r="O1150" i="1" a="1"/>
  <c r="O1150" i="1" s="1"/>
  <c r="O1151" i="1" a="1"/>
  <c r="O1151" i="1" s="1"/>
  <c r="O1152" i="1" a="1"/>
  <c r="O1152" i="1" s="1"/>
  <c r="O1153" i="1" a="1"/>
  <c r="O1153" i="1" s="1"/>
  <c r="O1154" i="1" a="1"/>
  <c r="O1154" i="1" s="1"/>
  <c r="O1155" i="1" a="1"/>
  <c r="O1155" i="1" s="1"/>
  <c r="O1156" i="1" a="1"/>
  <c r="O1156" i="1" s="1"/>
  <c r="O1157" i="1" a="1"/>
  <c r="O1157" i="1" s="1"/>
  <c r="O1158" i="1" a="1"/>
  <c r="O1158" i="1" s="1"/>
  <c r="O1159" i="1" a="1"/>
  <c r="O1159" i="1" s="1"/>
  <c r="O1160" i="1" a="1"/>
  <c r="O1160" i="1" s="1"/>
  <c r="O1161" i="1" a="1"/>
  <c r="O1161" i="1" s="1"/>
  <c r="O1162" i="1" a="1"/>
  <c r="O1162" i="1" s="1"/>
  <c r="O1163" i="1" a="1"/>
  <c r="O1163" i="1" s="1"/>
  <c r="O1164" i="1" a="1"/>
  <c r="O1164" i="1" s="1"/>
  <c r="O1165" i="1" a="1"/>
  <c r="O1165" i="1" s="1"/>
  <c r="O1166" i="1" a="1"/>
  <c r="O1166" i="1" s="1"/>
  <c r="O1167" i="1" a="1"/>
  <c r="O1167" i="1" s="1"/>
  <c r="O1168" i="1" a="1"/>
  <c r="O1168" i="1" s="1"/>
  <c r="O1169" i="1" a="1"/>
  <c r="O1169" i="1" s="1"/>
  <c r="O1170" i="1" a="1"/>
  <c r="O1170" i="1" s="1"/>
  <c r="O1171" i="1" a="1"/>
  <c r="O1171" i="1" s="1"/>
  <c r="O1172" i="1" a="1"/>
  <c r="O1172" i="1" s="1"/>
  <c r="O1173" i="1" a="1"/>
  <c r="O1173" i="1" s="1"/>
  <c r="O1174" i="1" a="1"/>
  <c r="O1174" i="1" s="1"/>
  <c r="O1175" i="1" a="1"/>
  <c r="O1175" i="1" s="1"/>
  <c r="O1176" i="1" a="1"/>
  <c r="O1176" i="1" s="1"/>
  <c r="O1177" i="1" a="1"/>
  <c r="O1177" i="1" s="1"/>
  <c r="O1178" i="1" a="1"/>
  <c r="O1178" i="1" s="1"/>
  <c r="O1179" i="1" a="1"/>
  <c r="O1179" i="1" s="1"/>
  <c r="O1180" i="1" a="1"/>
  <c r="O1180" i="1" s="1"/>
  <c r="O1181" i="1" a="1"/>
  <c r="O1181" i="1" s="1"/>
  <c r="O1182" i="1" a="1"/>
  <c r="O1182" i="1" s="1"/>
  <c r="O1183" i="1" a="1"/>
  <c r="O1183" i="1" s="1"/>
  <c r="O1184" i="1" a="1"/>
  <c r="O1184" i="1" s="1"/>
  <c r="O1185" i="1" a="1"/>
  <c r="O1185" i="1" s="1"/>
  <c r="O1186" i="1" a="1"/>
  <c r="O1186" i="1" s="1"/>
  <c r="O1187" i="1" a="1"/>
  <c r="O1187" i="1" s="1"/>
  <c r="O1188" i="1" a="1"/>
  <c r="O1188" i="1" s="1"/>
  <c r="O1189" i="1" a="1"/>
  <c r="O1189" i="1" s="1"/>
  <c r="O1190" i="1" a="1"/>
  <c r="O1190" i="1" s="1"/>
  <c r="O1191" i="1" a="1"/>
  <c r="O1191" i="1" s="1"/>
  <c r="O1192" i="1" a="1"/>
  <c r="O1192" i="1" s="1"/>
  <c r="O1193" i="1" a="1"/>
  <c r="O1193" i="1" s="1"/>
  <c r="O1194" i="1" a="1"/>
  <c r="O1194" i="1" s="1"/>
  <c r="O1195" i="1" a="1"/>
  <c r="O1195" i="1" s="1"/>
  <c r="O1196" i="1" a="1"/>
  <c r="O1196" i="1" s="1"/>
  <c r="O1197" i="1" a="1"/>
  <c r="O1197" i="1" s="1"/>
  <c r="O1198" i="1" a="1"/>
  <c r="O1198" i="1" s="1"/>
  <c r="O1199" i="1" a="1"/>
  <c r="O1199" i="1" s="1"/>
  <c r="O1200" i="1" a="1"/>
  <c r="O1200" i="1" s="1"/>
  <c r="O1201" i="1" a="1"/>
  <c r="O1201" i="1" s="1"/>
  <c r="O1202" i="1" a="1"/>
  <c r="O1202" i="1" s="1"/>
  <c r="O1203" i="1" a="1"/>
  <c r="O1203" i="1" s="1"/>
  <c r="O1204" i="1" a="1"/>
  <c r="O1204" i="1" s="1"/>
  <c r="O1205" i="1" a="1"/>
  <c r="O1205" i="1" s="1"/>
  <c r="O1206" i="1" a="1"/>
  <c r="O1206" i="1" s="1"/>
  <c r="O1207" i="1" a="1"/>
  <c r="O1207" i="1" s="1"/>
  <c r="O1208" i="1" a="1"/>
  <c r="O1208" i="1" s="1"/>
  <c r="O1209" i="1" a="1"/>
  <c r="O1209" i="1" s="1"/>
  <c r="O1210" i="1" a="1"/>
  <c r="O1210" i="1" s="1"/>
  <c r="O1211" i="1" a="1"/>
  <c r="O1211" i="1" s="1"/>
  <c r="O1212" i="1" a="1"/>
  <c r="O1212" i="1" s="1"/>
  <c r="O1213" i="1" a="1"/>
  <c r="O1213" i="1" s="1"/>
  <c r="O1214" i="1" a="1"/>
  <c r="O1214" i="1" s="1"/>
  <c r="O1215" i="1" a="1"/>
  <c r="O1215" i="1" s="1"/>
  <c r="O1216" i="1" a="1"/>
  <c r="O1216" i="1" s="1"/>
  <c r="O1217" i="1" a="1"/>
  <c r="O1217" i="1" s="1"/>
  <c r="O1218" i="1" a="1"/>
  <c r="O1218" i="1" s="1"/>
  <c r="O1219" i="1" a="1"/>
  <c r="O1219" i="1" s="1"/>
  <c r="O1220" i="1" a="1"/>
  <c r="O1220" i="1" s="1"/>
  <c r="O1221" i="1" a="1"/>
  <c r="O1221" i="1" s="1"/>
  <c r="O1222" i="1" a="1"/>
  <c r="O1222" i="1" s="1"/>
  <c r="O1223" i="1" a="1"/>
  <c r="O1223" i="1" s="1"/>
  <c r="O1224" i="1" a="1"/>
  <c r="O1224" i="1" s="1"/>
  <c r="O1225" i="1" a="1"/>
  <c r="O1225" i="1" s="1"/>
  <c r="O1226" i="1" a="1"/>
  <c r="O1226" i="1" s="1"/>
  <c r="O1227" i="1" a="1"/>
  <c r="O1227" i="1" s="1"/>
  <c r="O1228" i="1" a="1"/>
  <c r="O1228" i="1" s="1"/>
  <c r="O1229" i="1" a="1"/>
  <c r="O1229" i="1" s="1"/>
  <c r="O1230" i="1" a="1"/>
  <c r="O1230" i="1" s="1"/>
  <c r="O1231" i="1" a="1"/>
  <c r="O1231" i="1" s="1"/>
  <c r="O1232" i="1" a="1"/>
  <c r="O1232" i="1" s="1"/>
  <c r="O1233" i="1" a="1"/>
  <c r="O1233" i="1" s="1"/>
  <c r="O1234" i="1" a="1"/>
  <c r="O1234" i="1" s="1"/>
  <c r="O1235" i="1" a="1"/>
  <c r="O1235" i="1" s="1"/>
  <c r="O1236" i="1" a="1"/>
  <c r="O1236" i="1" s="1"/>
  <c r="O1237" i="1" a="1"/>
  <c r="O1237" i="1" s="1"/>
  <c r="O1238" i="1" a="1"/>
  <c r="O1238" i="1" s="1"/>
  <c r="O1239" i="1" a="1"/>
  <c r="O1239" i="1" s="1"/>
  <c r="O1240" i="1" a="1"/>
  <c r="O1240" i="1" s="1"/>
  <c r="O1241" i="1" a="1"/>
  <c r="O1241" i="1" s="1"/>
  <c r="O1242" i="1" a="1"/>
  <c r="O1242" i="1" s="1"/>
  <c r="O1243" i="1" a="1"/>
  <c r="O1243" i="1" s="1"/>
  <c r="O1244" i="1" a="1"/>
  <c r="O1244" i="1" s="1"/>
  <c r="O1245" i="1" a="1"/>
  <c r="O1245" i="1" s="1"/>
  <c r="O1246" i="1" a="1"/>
  <c r="O1246" i="1" s="1"/>
  <c r="O1247" i="1" a="1"/>
  <c r="O1247" i="1" s="1"/>
  <c r="O1248" i="1" a="1"/>
  <c r="O1248" i="1" s="1"/>
  <c r="O1249" i="1" a="1"/>
  <c r="O1249" i="1" s="1"/>
  <c r="O1250" i="1" a="1"/>
  <c r="O1250" i="1" s="1"/>
  <c r="O1251" i="1" a="1"/>
  <c r="O1251" i="1" s="1"/>
  <c r="O1252" i="1" a="1"/>
  <c r="O1252" i="1" s="1"/>
  <c r="O1253" i="1" a="1"/>
  <c r="O1253" i="1" s="1"/>
  <c r="O1254" i="1" a="1"/>
  <c r="O1254" i="1" s="1"/>
  <c r="O1255" i="1" a="1"/>
  <c r="O1255" i="1" s="1"/>
  <c r="O1256" i="1" a="1"/>
  <c r="O1256" i="1" s="1"/>
  <c r="O1257" i="1" a="1"/>
  <c r="O1257" i="1" s="1"/>
  <c r="O1258" i="1" a="1"/>
  <c r="O1258" i="1" s="1"/>
  <c r="O1259" i="1" a="1"/>
  <c r="O1259" i="1" s="1"/>
  <c r="O1260" i="1" a="1"/>
  <c r="O1260" i="1" s="1"/>
  <c r="O1261" i="1" a="1"/>
  <c r="O1261" i="1" s="1"/>
  <c r="O1262" i="1" a="1"/>
  <c r="O1262" i="1" s="1"/>
  <c r="O1263" i="1" a="1"/>
  <c r="O1263" i="1" s="1"/>
  <c r="O1264" i="1" a="1"/>
  <c r="O1264" i="1" s="1"/>
  <c r="O1265" i="1" a="1"/>
  <c r="O1265" i="1" s="1"/>
  <c r="O1266" i="1" a="1"/>
  <c r="O1266" i="1" s="1"/>
  <c r="O1267" i="1" a="1"/>
  <c r="O1267" i="1" s="1"/>
  <c r="O1268" i="1" a="1"/>
  <c r="O1268" i="1" s="1"/>
  <c r="O1269" i="1" a="1"/>
  <c r="O1269" i="1" s="1"/>
  <c r="O1270" i="1" a="1"/>
  <c r="O1270" i="1" s="1"/>
  <c r="O1271" i="1" a="1"/>
  <c r="O1271" i="1" s="1"/>
  <c r="O1272" i="1" a="1"/>
  <c r="O1272" i="1" s="1"/>
  <c r="O1273" i="1" a="1"/>
  <c r="O1273" i="1" s="1"/>
  <c r="O1274" i="1" a="1"/>
  <c r="O1274" i="1" s="1"/>
  <c r="O1275" i="1" a="1"/>
  <c r="O1275" i="1" s="1"/>
  <c r="O1276" i="1" a="1"/>
  <c r="O1276" i="1" s="1"/>
  <c r="O1277" i="1" a="1"/>
  <c r="O1277" i="1" s="1"/>
  <c r="O1278" i="1" a="1"/>
  <c r="O1278" i="1" s="1"/>
  <c r="O1279" i="1" a="1"/>
  <c r="O1279" i="1" s="1"/>
  <c r="O1280" i="1" a="1"/>
  <c r="O1280" i="1" s="1"/>
  <c r="O1281" i="1" a="1"/>
  <c r="O1281" i="1" s="1"/>
  <c r="O1282" i="1" a="1"/>
  <c r="O1282" i="1" s="1"/>
  <c r="O1283" i="1" a="1"/>
  <c r="O1283" i="1" s="1"/>
  <c r="O1284" i="1" a="1"/>
  <c r="O1284" i="1" s="1"/>
  <c r="O1285" i="1" a="1"/>
  <c r="O1285" i="1" s="1"/>
  <c r="O1286" i="1" a="1"/>
  <c r="O1286" i="1" s="1"/>
  <c r="O1287" i="1" a="1"/>
  <c r="O1287" i="1" s="1"/>
  <c r="O1288" i="1" a="1"/>
  <c r="O1288" i="1" s="1"/>
  <c r="O1289" i="1" a="1"/>
  <c r="O1289" i="1" s="1"/>
  <c r="O1290" i="1" a="1"/>
  <c r="O1290" i="1" s="1"/>
  <c r="O1291" i="1" a="1"/>
  <c r="O1291" i="1" s="1"/>
  <c r="O1292" i="1" a="1"/>
  <c r="O1292" i="1" s="1"/>
  <c r="O1293" i="1" a="1"/>
  <c r="O1293" i="1" s="1"/>
  <c r="O1294" i="1" a="1"/>
  <c r="O1294" i="1" s="1"/>
  <c r="O1295" i="1" a="1"/>
  <c r="O1295" i="1" s="1"/>
  <c r="O1296" i="1" a="1"/>
  <c r="O1296" i="1" s="1"/>
  <c r="O1297" i="1" a="1"/>
  <c r="O1297" i="1" s="1"/>
  <c r="O1298" i="1" a="1"/>
  <c r="O1298" i="1" s="1"/>
  <c r="O1299" i="1" a="1"/>
  <c r="O1299" i="1" s="1"/>
  <c r="O1300" i="1" a="1"/>
  <c r="O1300" i="1" s="1"/>
  <c r="O1301" i="1" a="1"/>
  <c r="O1301" i="1" s="1"/>
  <c r="O1302" i="1" a="1"/>
  <c r="O1302" i="1" s="1"/>
  <c r="O1303" i="1" a="1"/>
  <c r="O1303" i="1" s="1"/>
  <c r="O1304" i="1" a="1"/>
  <c r="O1304" i="1" s="1"/>
  <c r="O1305" i="1" a="1"/>
  <c r="O1305" i="1" s="1"/>
  <c r="O1306" i="1" a="1"/>
  <c r="O1306" i="1" s="1"/>
  <c r="O1307" i="1" a="1"/>
  <c r="O1307" i="1" s="1"/>
  <c r="O1308" i="1" a="1"/>
  <c r="O1308" i="1" s="1"/>
  <c r="O1309" i="1" a="1"/>
  <c r="O1309" i="1" s="1"/>
  <c r="O1310" i="1" a="1"/>
  <c r="O1310" i="1" s="1"/>
  <c r="O1311" i="1" a="1"/>
  <c r="O1311" i="1" s="1"/>
  <c r="O1312" i="1" a="1"/>
  <c r="O1312" i="1" s="1"/>
  <c r="O1313" i="1" a="1"/>
  <c r="O1313" i="1" s="1"/>
  <c r="O1314" i="1" a="1"/>
  <c r="O1314" i="1" s="1"/>
  <c r="O1315" i="1" a="1"/>
  <c r="O1315" i="1" s="1"/>
  <c r="O1316" i="1" a="1"/>
  <c r="O1316" i="1" s="1"/>
  <c r="O1317" i="1" a="1"/>
  <c r="O1317" i="1" s="1"/>
  <c r="O1318" i="1" a="1"/>
  <c r="O1318" i="1" s="1"/>
  <c r="O1319" i="1" a="1"/>
  <c r="O1319" i="1" s="1"/>
  <c r="O1320" i="1" a="1"/>
  <c r="O1320" i="1" s="1"/>
  <c r="O1321" i="1" a="1"/>
  <c r="O1321" i="1" s="1"/>
  <c r="O1322" i="1" a="1"/>
  <c r="O1322" i="1" s="1"/>
  <c r="O1323" i="1" a="1"/>
  <c r="O1323" i="1" s="1"/>
  <c r="O1324" i="1" a="1"/>
  <c r="O1324" i="1" s="1"/>
  <c r="O1325" i="1" a="1"/>
  <c r="O1325" i="1" s="1"/>
  <c r="O1326" i="1" a="1"/>
  <c r="O1326" i="1" s="1"/>
  <c r="O1327" i="1" a="1"/>
  <c r="O1327" i="1" s="1"/>
  <c r="O1328" i="1" a="1"/>
  <c r="O1328" i="1" s="1"/>
  <c r="O1329" i="1" a="1"/>
  <c r="O1329" i="1" s="1"/>
  <c r="O1330" i="1" a="1"/>
  <c r="O1330" i="1" s="1"/>
  <c r="O1331" i="1" a="1"/>
  <c r="O1331" i="1" s="1"/>
  <c r="O1332" i="1" a="1"/>
  <c r="O1332" i="1" s="1"/>
  <c r="O1333" i="1" a="1"/>
  <c r="O1333" i="1" s="1"/>
  <c r="O1334" i="1" a="1"/>
  <c r="O1334" i="1" s="1"/>
  <c r="O1335" i="1" a="1"/>
  <c r="O1335" i="1" s="1"/>
  <c r="O1336" i="1" a="1"/>
  <c r="O1336" i="1" s="1"/>
  <c r="O1337" i="1" a="1"/>
  <c r="O1337" i="1" s="1"/>
  <c r="O1338" i="1" a="1"/>
  <c r="O1338" i="1" s="1"/>
  <c r="O1339" i="1" a="1"/>
  <c r="O1339" i="1" s="1"/>
  <c r="O1340" i="1" a="1"/>
  <c r="O1340" i="1" s="1"/>
  <c r="O1341" i="1" a="1"/>
  <c r="O1341" i="1" s="1"/>
  <c r="O1342" i="1" a="1"/>
  <c r="O1342" i="1" s="1"/>
  <c r="O1343" i="1" a="1"/>
  <c r="O1343" i="1" s="1"/>
  <c r="O1344" i="1" a="1"/>
  <c r="O1344" i="1" s="1"/>
  <c r="O1345" i="1" a="1"/>
  <c r="O1345" i="1" s="1"/>
  <c r="O1346" i="1" a="1"/>
  <c r="O1346" i="1" s="1"/>
  <c r="O1347" i="1" a="1"/>
  <c r="O1347" i="1" s="1"/>
  <c r="O1348" i="1" a="1"/>
  <c r="O1348" i="1" s="1"/>
  <c r="O1349" i="1" a="1"/>
  <c r="O1349" i="1" s="1"/>
  <c r="O1350" i="1" a="1"/>
  <c r="O1350" i="1" s="1"/>
  <c r="O1351" i="1" a="1"/>
  <c r="O1351" i="1" s="1"/>
  <c r="O1352" i="1" a="1"/>
  <c r="O1352" i="1" s="1"/>
  <c r="O1353" i="1" a="1"/>
  <c r="O1353" i="1" s="1"/>
  <c r="O1354" i="1" a="1"/>
  <c r="O1354" i="1" s="1"/>
  <c r="O1355" i="1" a="1"/>
  <c r="O1355" i="1" s="1"/>
  <c r="O1356" i="1" a="1"/>
  <c r="O1356" i="1" s="1"/>
  <c r="O1357" i="1" a="1"/>
  <c r="O1357" i="1" s="1"/>
  <c r="O1358" i="1" a="1"/>
  <c r="O1358" i="1" s="1"/>
  <c r="O1359" i="1" a="1"/>
  <c r="O1359" i="1" s="1"/>
  <c r="O1360" i="1" a="1"/>
  <c r="O1360" i="1" s="1"/>
  <c r="O1361" i="1" a="1"/>
  <c r="O1361" i="1" s="1"/>
  <c r="O1362" i="1" a="1"/>
  <c r="O1362" i="1" s="1"/>
  <c r="O1363" i="1" a="1"/>
  <c r="O1363" i="1" s="1"/>
  <c r="O1364" i="1" a="1"/>
  <c r="O1364" i="1" s="1"/>
  <c r="O1365" i="1" a="1"/>
  <c r="O1365" i="1" s="1"/>
  <c r="O1366" i="1" a="1"/>
  <c r="O1366" i="1" s="1"/>
  <c r="O1367" i="1" a="1"/>
  <c r="O1367" i="1" s="1"/>
  <c r="O1368" i="1" a="1"/>
  <c r="O1368" i="1" s="1"/>
  <c r="O1369" i="1" a="1"/>
  <c r="O1369" i="1" s="1"/>
  <c r="O1370" i="1" a="1"/>
  <c r="O1370" i="1" s="1"/>
  <c r="O1371" i="1" a="1"/>
  <c r="O1371" i="1" s="1"/>
  <c r="O1372" i="1" a="1"/>
  <c r="O1372" i="1" s="1"/>
  <c r="O1373" i="1" a="1"/>
  <c r="O1373" i="1" s="1"/>
  <c r="O1374" i="1" a="1"/>
  <c r="O1374" i="1" s="1"/>
  <c r="O1375" i="1" a="1"/>
  <c r="O1375" i="1" s="1"/>
  <c r="O1376" i="1" a="1"/>
  <c r="O1376" i="1" s="1"/>
  <c r="O1377" i="1" a="1"/>
  <c r="O1377" i="1" s="1"/>
  <c r="O1378" i="1" a="1"/>
  <c r="O1378" i="1" s="1"/>
  <c r="O1379" i="1" a="1"/>
  <c r="O1379" i="1" s="1"/>
  <c r="O1380" i="1" a="1"/>
  <c r="O1380" i="1" s="1"/>
  <c r="O1381" i="1" a="1"/>
  <c r="O1381" i="1" s="1"/>
  <c r="O1382" i="1" a="1"/>
  <c r="O1382" i="1" s="1"/>
  <c r="O1383" i="1" a="1"/>
  <c r="O1383" i="1" s="1"/>
  <c r="O1384" i="1" a="1"/>
  <c r="O1384" i="1" s="1"/>
  <c r="O1385" i="1" a="1"/>
  <c r="O1385" i="1" s="1"/>
  <c r="O1386" i="1" a="1"/>
  <c r="O1386" i="1" s="1"/>
  <c r="O1387" i="1" a="1"/>
  <c r="O1387" i="1" s="1"/>
  <c r="O1388" i="1" a="1"/>
  <c r="O1388" i="1" s="1"/>
  <c r="O1389" i="1" a="1"/>
  <c r="O1389" i="1" s="1"/>
  <c r="O1390" i="1" a="1"/>
  <c r="O1390" i="1" s="1"/>
  <c r="O1391" i="1" a="1"/>
  <c r="O1391" i="1" s="1"/>
  <c r="O1392" i="1" a="1"/>
  <c r="O1392" i="1" s="1"/>
  <c r="O1393" i="1" a="1"/>
  <c r="O1393" i="1" s="1"/>
  <c r="O1394" i="1" a="1"/>
  <c r="O1394" i="1" s="1"/>
  <c r="O1395" i="1" a="1"/>
  <c r="O1395" i="1" s="1"/>
  <c r="O1396" i="1" a="1"/>
  <c r="O1396" i="1" s="1"/>
  <c r="O1397" i="1" a="1"/>
  <c r="O1397" i="1" s="1"/>
  <c r="O1398" i="1" a="1"/>
  <c r="O1398" i="1" s="1"/>
  <c r="O1399" i="1" a="1"/>
  <c r="O1399" i="1" s="1"/>
  <c r="O1400" i="1" a="1"/>
  <c r="O1400" i="1" s="1"/>
  <c r="O1401" i="1" a="1"/>
  <c r="O1401" i="1" s="1"/>
  <c r="O1402" i="1" a="1"/>
  <c r="O1402" i="1" s="1"/>
  <c r="O1403" i="1" a="1"/>
  <c r="O1403" i="1" s="1"/>
  <c r="O1404" i="1" a="1"/>
  <c r="O1404" i="1" s="1"/>
  <c r="O1405" i="1" a="1"/>
  <c r="O1405" i="1" s="1"/>
  <c r="O1406" i="1" a="1"/>
  <c r="O1406" i="1" s="1"/>
  <c r="O1407" i="1" a="1"/>
  <c r="O1407" i="1" s="1"/>
  <c r="O1408" i="1" a="1"/>
  <c r="O1408" i="1" s="1"/>
  <c r="O1409" i="1" a="1"/>
  <c r="O1409" i="1" s="1"/>
  <c r="O1410" i="1" a="1"/>
  <c r="O1410" i="1" s="1"/>
  <c r="O1411" i="1" a="1"/>
  <c r="O1411" i="1" s="1"/>
  <c r="O1412" i="1" a="1"/>
  <c r="O1412" i="1" s="1"/>
  <c r="O1413" i="1" a="1"/>
  <c r="O1413" i="1" s="1"/>
  <c r="O1414" i="1" a="1"/>
  <c r="O1414" i="1" s="1"/>
  <c r="O1415" i="1" a="1"/>
  <c r="O1415" i="1" s="1"/>
  <c r="O1416" i="1" a="1"/>
  <c r="O1416" i="1" s="1"/>
  <c r="O1417" i="1" a="1"/>
  <c r="O1417" i="1" s="1"/>
  <c r="O1418" i="1" a="1"/>
  <c r="O1418" i="1" s="1"/>
  <c r="O1419" i="1" a="1"/>
  <c r="O1419" i="1" s="1"/>
  <c r="O1420" i="1" a="1"/>
  <c r="O1420" i="1" s="1"/>
  <c r="O1421" i="1" a="1"/>
  <c r="O1421" i="1" s="1"/>
  <c r="O1422" i="1" a="1"/>
  <c r="O1422" i="1" s="1"/>
  <c r="O1423" i="1" a="1"/>
  <c r="O1423" i="1" s="1"/>
  <c r="O1424" i="1" a="1"/>
  <c r="O1424" i="1" s="1"/>
  <c r="O1425" i="1" a="1"/>
  <c r="O1425" i="1" s="1"/>
  <c r="O1426" i="1" a="1"/>
  <c r="O1426" i="1" s="1"/>
  <c r="O1427" i="1" a="1"/>
  <c r="O1427" i="1" s="1"/>
  <c r="O1428" i="1" a="1"/>
  <c r="O1428" i="1" s="1"/>
  <c r="O1429" i="1" a="1"/>
  <c r="O1429" i="1" s="1"/>
  <c r="O1430" i="1" a="1"/>
  <c r="O1430" i="1" s="1"/>
  <c r="O1431" i="1" a="1"/>
  <c r="O1431" i="1" s="1"/>
  <c r="O1432" i="1" a="1"/>
  <c r="O1432" i="1" s="1"/>
  <c r="O1433" i="1" a="1"/>
  <c r="O1433" i="1" s="1"/>
  <c r="O1434" i="1" a="1"/>
  <c r="O1434" i="1" s="1"/>
  <c r="O1435" i="1" a="1"/>
  <c r="O1435" i="1" s="1"/>
  <c r="O1436" i="1" a="1"/>
  <c r="O1436" i="1" s="1"/>
  <c r="O1437" i="1" a="1"/>
  <c r="O1437" i="1" s="1"/>
  <c r="O1438" i="1" a="1"/>
  <c r="O1438" i="1" s="1"/>
  <c r="O1439" i="1" a="1"/>
  <c r="O1439" i="1" s="1"/>
  <c r="O1440" i="1" a="1"/>
  <c r="O1440" i="1" s="1"/>
  <c r="O1441" i="1" a="1"/>
  <c r="O1441" i="1" s="1"/>
  <c r="O1442" i="1" a="1"/>
  <c r="O1442" i="1" s="1"/>
  <c r="O1443" i="1" a="1"/>
  <c r="O1443" i="1" s="1"/>
  <c r="O1444" i="1" a="1"/>
  <c r="O1444" i="1" s="1"/>
  <c r="O1445" i="1" a="1"/>
  <c r="O1445" i="1" s="1"/>
  <c r="O1446" i="1" a="1"/>
  <c r="O1446" i="1" s="1"/>
  <c r="O1447" i="1" a="1"/>
  <c r="O1447" i="1" s="1"/>
  <c r="O1448" i="1" a="1"/>
  <c r="O1448" i="1" s="1"/>
  <c r="O1449" i="1" a="1"/>
  <c r="O1449" i="1" s="1"/>
  <c r="O1450" i="1" a="1"/>
  <c r="O1450" i="1" s="1"/>
  <c r="O1451" i="1" a="1"/>
  <c r="O1451" i="1" s="1"/>
  <c r="O1452" i="1" a="1"/>
  <c r="O1452" i="1" s="1"/>
  <c r="O1453" i="1" a="1"/>
  <c r="O1453" i="1" s="1"/>
  <c r="O1454" i="1" a="1"/>
  <c r="O1454" i="1" s="1"/>
  <c r="O1455" i="1" a="1"/>
  <c r="O1455" i="1" s="1"/>
  <c r="O1456" i="1" a="1"/>
  <c r="O1456" i="1" s="1"/>
  <c r="O1457" i="1" a="1"/>
  <c r="O1457" i="1" s="1"/>
  <c r="O1458" i="1" a="1"/>
  <c r="O1458" i="1" s="1"/>
  <c r="O1459" i="1" a="1"/>
  <c r="O1459" i="1" s="1"/>
  <c r="O1460" i="1" a="1"/>
  <c r="O1460" i="1" s="1"/>
  <c r="O1461" i="1" a="1"/>
  <c r="O1461" i="1" s="1"/>
  <c r="O1462" i="1" a="1"/>
  <c r="O1462" i="1" s="1"/>
  <c r="O1463" i="1" a="1"/>
  <c r="O1463" i="1" s="1"/>
  <c r="O1464" i="1" a="1"/>
  <c r="O1464" i="1" s="1"/>
  <c r="O1465" i="1" a="1"/>
  <c r="O1465" i="1" s="1"/>
  <c r="O1466" i="1" a="1"/>
  <c r="O1466" i="1" s="1"/>
  <c r="O1467" i="1" a="1"/>
  <c r="O1467" i="1" s="1"/>
  <c r="O1468" i="1" a="1"/>
  <c r="O1468" i="1" s="1"/>
  <c r="O1469" i="1" a="1"/>
  <c r="O1469" i="1" s="1"/>
  <c r="O1470" i="1" a="1"/>
  <c r="O1470" i="1" s="1"/>
  <c r="O1471" i="1" a="1"/>
  <c r="O1471" i="1" s="1"/>
  <c r="O1472" i="1" a="1"/>
  <c r="O1472" i="1" s="1"/>
  <c r="O1473" i="1" a="1"/>
  <c r="O1473" i="1" s="1"/>
  <c r="O1474" i="1" a="1"/>
  <c r="O1474" i="1" s="1"/>
  <c r="O1475" i="1" a="1"/>
  <c r="O1475" i="1" s="1"/>
  <c r="O1476" i="1" a="1"/>
  <c r="O1476" i="1" s="1"/>
  <c r="O1477" i="1" a="1"/>
  <c r="O1477" i="1" s="1"/>
  <c r="O1478" i="1" a="1"/>
  <c r="O1478" i="1" s="1"/>
  <c r="O1479" i="1" a="1"/>
  <c r="O1479" i="1" s="1"/>
  <c r="O1480" i="1" a="1"/>
  <c r="O1480" i="1" s="1"/>
  <c r="O1481" i="1" a="1"/>
  <c r="O1481" i="1" s="1"/>
  <c r="O1482" i="1" a="1"/>
  <c r="O1482" i="1" s="1"/>
  <c r="O1483" i="1" a="1"/>
  <c r="O1483" i="1" s="1"/>
  <c r="O1484" i="1" a="1"/>
  <c r="O1484" i="1" s="1"/>
  <c r="O1485" i="1" a="1"/>
  <c r="O1485" i="1" s="1"/>
  <c r="O1486" i="1" a="1"/>
  <c r="O1486" i="1" s="1"/>
  <c r="O1487" i="1" a="1"/>
  <c r="O1487" i="1" s="1"/>
  <c r="O1488" i="1" a="1"/>
  <c r="O1488" i="1" s="1"/>
  <c r="O1489" i="1" a="1"/>
  <c r="O1489" i="1" s="1"/>
  <c r="O3" i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2" i="1" a="1"/>
  <c r="O2" i="1" s="1"/>
  <c r="U13" i="28" l="1"/>
  <c r="U7" i="28"/>
  <c r="L2531" i="1"/>
  <c r="L2532" i="1"/>
  <c r="M2531" i="1"/>
  <c r="M2532" i="1"/>
  <c r="L2547" i="1"/>
  <c r="L2548" i="1"/>
  <c r="L2553" i="1"/>
  <c r="L2555" i="1"/>
  <c r="L2556" i="1"/>
  <c r="L2559" i="1"/>
  <c r="L2561" i="1"/>
  <c r="L2562" i="1"/>
  <c r="L2567" i="1"/>
  <c r="L2568" i="1"/>
  <c r="L2569" i="1"/>
  <c r="L2570" i="1"/>
  <c r="L2573" i="1"/>
  <c r="L2505" i="1"/>
  <c r="L2506" i="1"/>
  <c r="L2509" i="1"/>
  <c r="L2517" i="1"/>
  <c r="L2520" i="1"/>
  <c r="L2521" i="1"/>
  <c r="L2522" i="1"/>
  <c r="L2523" i="1"/>
  <c r="L2524" i="1"/>
  <c r="L2525" i="1"/>
  <c r="L2526" i="1"/>
  <c r="L2527" i="1"/>
  <c r="L2528" i="1"/>
  <c r="L2529" i="1"/>
  <c r="L2480" i="1"/>
  <c r="L2485" i="1"/>
  <c r="L2498" i="1"/>
  <c r="L2499" i="1"/>
  <c r="L2425" i="1"/>
  <c r="L2428" i="1"/>
  <c r="L2432" i="1"/>
  <c r="L2433" i="1"/>
  <c r="L2434" i="1"/>
  <c r="L2435" i="1"/>
  <c r="L2436" i="1"/>
  <c r="L2437" i="1"/>
  <c r="L2438" i="1"/>
  <c r="L2439" i="1"/>
  <c r="L2440" i="1"/>
  <c r="L2441" i="1"/>
  <c r="L2442" i="1"/>
  <c r="L2444" i="1"/>
  <c r="L2445" i="1"/>
  <c r="L2446" i="1"/>
  <c r="L2447" i="1"/>
  <c r="L2449" i="1"/>
  <c r="L2450" i="1"/>
  <c r="L2451" i="1"/>
  <c r="L2452" i="1"/>
  <c r="L2453" i="1"/>
  <c r="L2454" i="1"/>
  <c r="L2457" i="1"/>
  <c r="L2458" i="1"/>
  <c r="L2459" i="1"/>
  <c r="L2460" i="1"/>
  <c r="L2461" i="1"/>
  <c r="L2462" i="1"/>
  <c r="L2463" i="1"/>
  <c r="L2464" i="1"/>
  <c r="L2465" i="1"/>
  <c r="L2467" i="1"/>
  <c r="L2468" i="1"/>
  <c r="L2469" i="1"/>
  <c r="L2471" i="1"/>
  <c r="L2472" i="1"/>
  <c r="L2473" i="1"/>
  <c r="L2475" i="1"/>
  <c r="L2353" i="1"/>
  <c r="L2423" i="1"/>
  <c r="L2424" i="1"/>
  <c r="L2352" i="1"/>
  <c r="L2355" i="1"/>
  <c r="L2356" i="1"/>
  <c r="L2357" i="1"/>
  <c r="L2358" i="1"/>
  <c r="L2359" i="1"/>
  <c r="L2361" i="1"/>
  <c r="L2362" i="1"/>
  <c r="L2363" i="1"/>
  <c r="L2364" i="1"/>
  <c r="L2367" i="1"/>
  <c r="L2368" i="1"/>
  <c r="L2369" i="1"/>
  <c r="L2370" i="1"/>
  <c r="L2372" i="1"/>
  <c r="L2373" i="1"/>
  <c r="L2377" i="1"/>
  <c r="L2387" i="1"/>
  <c r="L2396" i="1"/>
  <c r="L2397" i="1"/>
  <c r="L2398" i="1"/>
  <c r="L2401" i="1"/>
  <c r="L2407" i="1"/>
  <c r="L2413" i="1"/>
  <c r="L2414" i="1"/>
  <c r="L2415" i="1"/>
  <c r="L2416" i="1"/>
  <c r="L2417" i="1"/>
  <c r="L2418" i="1"/>
  <c r="L2419" i="1"/>
  <c r="L2420" i="1"/>
  <c r="L2421" i="1"/>
  <c r="L2422" i="1"/>
  <c r="L2333" i="1"/>
  <c r="L2255" i="1"/>
  <c r="L2256" i="1"/>
  <c r="L2257" i="1"/>
  <c r="L2258" i="1"/>
  <c r="L2259" i="1"/>
  <c r="L2260" i="1"/>
  <c r="L2261" i="1"/>
  <c r="L2262" i="1"/>
  <c r="L2263" i="1"/>
  <c r="L2265" i="1"/>
  <c r="L2266" i="1"/>
  <c r="L2276" i="1"/>
  <c r="L2281" i="1"/>
  <c r="L2284" i="1"/>
  <c r="L2295" i="1"/>
  <c r="L2296" i="1"/>
  <c r="L2297" i="1"/>
  <c r="L2298" i="1"/>
  <c r="L2300" i="1"/>
  <c r="L2301" i="1"/>
  <c r="L2302" i="1"/>
  <c r="L2305" i="1"/>
  <c r="L2326" i="1"/>
  <c r="L2327" i="1"/>
  <c r="L2330" i="1"/>
  <c r="L2331" i="1"/>
  <c r="L2332" i="1"/>
  <c r="L2334" i="1"/>
  <c r="L2335" i="1"/>
  <c r="L2338" i="1"/>
  <c r="L2339" i="1"/>
  <c r="L2342" i="1"/>
  <c r="L2343" i="1"/>
  <c r="L2344" i="1"/>
  <c r="L2345" i="1"/>
  <c r="L2346" i="1"/>
  <c r="L2349" i="1"/>
  <c r="L2351" i="1"/>
  <c r="L2250" i="1"/>
  <c r="L2214" i="1"/>
  <c r="L2215" i="1"/>
  <c r="L2216" i="1"/>
  <c r="L2218" i="1"/>
  <c r="L2219" i="1"/>
  <c r="L2220" i="1"/>
  <c r="L2221" i="1"/>
  <c r="L2222" i="1"/>
  <c r="L2224" i="1"/>
  <c r="L2226" i="1"/>
  <c r="L2228" i="1"/>
  <c r="L2246" i="1"/>
  <c r="L2247" i="1"/>
  <c r="L2253" i="1"/>
  <c r="L2254" i="1"/>
  <c r="L2175" i="1"/>
  <c r="L2184" i="1"/>
  <c r="L2185" i="1"/>
  <c r="L2187" i="1"/>
  <c r="L2188" i="1"/>
  <c r="L2189" i="1"/>
  <c r="L2190" i="1"/>
  <c r="L2191" i="1"/>
  <c r="L2192" i="1"/>
  <c r="L2193" i="1"/>
  <c r="L2194" i="1"/>
  <c r="L2196" i="1"/>
  <c r="L2197" i="1"/>
  <c r="L2199" i="1"/>
  <c r="L2202" i="1"/>
  <c r="L2203" i="1"/>
  <c r="L2204" i="1"/>
  <c r="L2205" i="1"/>
  <c r="L2206" i="1"/>
  <c r="L2207" i="1"/>
  <c r="L2208" i="1"/>
  <c r="L2209" i="1"/>
  <c r="L2167" i="1"/>
  <c r="L2170" i="1"/>
  <c r="L2174" i="1"/>
  <c r="L2104" i="1"/>
  <c r="L2105" i="1"/>
  <c r="L2106" i="1"/>
  <c r="L2107" i="1"/>
  <c r="L2109" i="1"/>
  <c r="L2110" i="1"/>
  <c r="L2111" i="1"/>
  <c r="L2117" i="1"/>
  <c r="L2118" i="1"/>
  <c r="L2119" i="1"/>
  <c r="L2120" i="1"/>
  <c r="L2121" i="1"/>
  <c r="L2123" i="1"/>
  <c r="L2124" i="1"/>
  <c r="L2125" i="1"/>
  <c r="L2134" i="1"/>
  <c r="L2150" i="1"/>
  <c r="L2151" i="1"/>
  <c r="L2152" i="1"/>
  <c r="L2163" i="1"/>
  <c r="L2166" i="1"/>
  <c r="L2078" i="1"/>
  <c r="L2086" i="1"/>
  <c r="L2087" i="1"/>
  <c r="L2088" i="1"/>
  <c r="L2089" i="1"/>
  <c r="L2090" i="1"/>
  <c r="L2093" i="1"/>
  <c r="L2095" i="1"/>
  <c r="L2096" i="1"/>
  <c r="L2097" i="1"/>
  <c r="L2098" i="1"/>
  <c r="L2099" i="1"/>
  <c r="L2100" i="1"/>
  <c r="L2101" i="1"/>
  <c r="L2102" i="1"/>
  <c r="L2103" i="1"/>
  <c r="L2019" i="1"/>
  <c r="L2021" i="1"/>
  <c r="L2022" i="1"/>
  <c r="L2023" i="1"/>
  <c r="L2024" i="1"/>
  <c r="L2025" i="1"/>
  <c r="L2030" i="1"/>
  <c r="L2035" i="1"/>
  <c r="L2039" i="1"/>
  <c r="L2042" i="1"/>
  <c r="L2043" i="1"/>
  <c r="L2044" i="1"/>
  <c r="L2045" i="1"/>
  <c r="L1692" i="1"/>
  <c r="L2552" i="1"/>
  <c r="L2487" i="1"/>
  <c r="L2496" i="1"/>
  <c r="L2443" i="1"/>
  <c r="L2466" i="1"/>
  <c r="L2474" i="1"/>
  <c r="L2198" i="1"/>
  <c r="L2082" i="1"/>
  <c r="L2212" i="1"/>
  <c r="L2200" i="1"/>
  <c r="L2210" i="1"/>
  <c r="L2173" i="1"/>
  <c r="L2092" i="1"/>
  <c r="L1662" i="1"/>
  <c r="L2576" i="1"/>
  <c r="L2431" i="1"/>
  <c r="L2371" i="1"/>
  <c r="L2402" i="1"/>
  <c r="L2319" i="1"/>
  <c r="L2323" i="1"/>
  <c r="L2142" i="1"/>
  <c r="L2563" i="1"/>
  <c r="L2565" i="1"/>
  <c r="L2490" i="1"/>
  <c r="L2275" i="1"/>
  <c r="L2274" i="1"/>
  <c r="L1905" i="1"/>
  <c r="L1678" i="1"/>
  <c r="L2501" i="1"/>
  <c r="L2094" i="1"/>
  <c r="L2028" i="1"/>
  <c r="L1726" i="1"/>
  <c r="L2497" i="1"/>
  <c r="L2283" i="1"/>
  <c r="L2183" i="1"/>
  <c r="L2085" i="1"/>
  <c r="L2091" i="1"/>
  <c r="L2018" i="1"/>
  <c r="L2041" i="1"/>
  <c r="L1955" i="1"/>
  <c r="L1904" i="1"/>
  <c r="L1846" i="1"/>
  <c r="L1824" i="1"/>
  <c r="L2360" i="1"/>
  <c r="L2277" i="1"/>
  <c r="L2122" i="1"/>
  <c r="L2059" i="1"/>
  <c r="L2069" i="1"/>
  <c r="L2070" i="1"/>
  <c r="L2073" i="1"/>
  <c r="L2027" i="1"/>
  <c r="L2046" i="1"/>
  <c r="L1965" i="1"/>
  <c r="L1966" i="1"/>
  <c r="L1967" i="1"/>
  <c r="L1969" i="1"/>
  <c r="L1970" i="1"/>
  <c r="L1971" i="1"/>
  <c r="L1972" i="1"/>
  <c r="L1973" i="1"/>
  <c r="L1974" i="1"/>
  <c r="L1975" i="1"/>
  <c r="L1976" i="1"/>
  <c r="L1977" i="1"/>
  <c r="L1979" i="1"/>
  <c r="L1980" i="1"/>
  <c r="L1988" i="1"/>
  <c r="L1989" i="1"/>
  <c r="L1990" i="1"/>
  <c r="L1991" i="1"/>
  <c r="L1992" i="1"/>
  <c r="L1993" i="1"/>
  <c r="L2003" i="1"/>
  <c r="L2004" i="1"/>
  <c r="L2005" i="1"/>
  <c r="L1926" i="1"/>
  <c r="L1956" i="1"/>
  <c r="L1957" i="1"/>
  <c r="L1958" i="1"/>
  <c r="L1961" i="1"/>
  <c r="L1963" i="1"/>
  <c r="L1964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33" i="1"/>
  <c r="L1936" i="1"/>
  <c r="L1937" i="1"/>
  <c r="L1938" i="1"/>
  <c r="L1895" i="1"/>
  <c r="L1896" i="1"/>
  <c r="L1897" i="1"/>
  <c r="L1898" i="1"/>
  <c r="L1899" i="1"/>
  <c r="L1900" i="1"/>
  <c r="L1801" i="1"/>
  <c r="L1827" i="1"/>
  <c r="L1850" i="1"/>
  <c r="L1851" i="1"/>
  <c r="L1852" i="1"/>
  <c r="L1853" i="1"/>
  <c r="L1855" i="1"/>
  <c r="L1856" i="1"/>
  <c r="L1788" i="1"/>
  <c r="L1790" i="1"/>
  <c r="L1791" i="1"/>
  <c r="L1792" i="1"/>
  <c r="L1793" i="1"/>
  <c r="L1794" i="1"/>
  <c r="L1797" i="1"/>
  <c r="L1798" i="1"/>
  <c r="L1799" i="1"/>
  <c r="L1800" i="1"/>
  <c r="L1802" i="1"/>
  <c r="L1803" i="1"/>
  <c r="L1804" i="1"/>
  <c r="L1805" i="1"/>
  <c r="L1806" i="1"/>
  <c r="L1807" i="1"/>
  <c r="L1808" i="1"/>
  <c r="L1810" i="1"/>
  <c r="L1811" i="1"/>
  <c r="L1812" i="1"/>
  <c r="L1813" i="1"/>
  <c r="L1814" i="1"/>
  <c r="L1816" i="1"/>
  <c r="L1817" i="1"/>
  <c r="L1818" i="1"/>
  <c r="L1819" i="1"/>
  <c r="L1825" i="1"/>
  <c r="L1780" i="1"/>
  <c r="L1739" i="1"/>
  <c r="L1787" i="1"/>
  <c r="L1776" i="1"/>
  <c r="L1777" i="1"/>
  <c r="L1778" i="1"/>
  <c r="L1779" i="1"/>
  <c r="L1781" i="1"/>
  <c r="L1782" i="1"/>
  <c r="L1783" i="1"/>
  <c r="L1784" i="1"/>
  <c r="L1785" i="1"/>
  <c r="L1786" i="1"/>
  <c r="L1733" i="1"/>
  <c r="L1734" i="1"/>
  <c r="L1736" i="1"/>
  <c r="L1737" i="1"/>
  <c r="L1738" i="1"/>
  <c r="L2273" i="1"/>
  <c r="L1981" i="1"/>
  <c r="L2560" i="1"/>
  <c r="L2572" i="1"/>
  <c r="L2574" i="1"/>
  <c r="L2507" i="1"/>
  <c r="L2508" i="1"/>
  <c r="L2510" i="1"/>
  <c r="L2511" i="1"/>
  <c r="L2512" i="1"/>
  <c r="L2513" i="1"/>
  <c r="L2514" i="1"/>
  <c r="L2515" i="1"/>
  <c r="L2516" i="1"/>
  <c r="L2518" i="1"/>
  <c r="L2519" i="1"/>
  <c r="L2546" i="1"/>
  <c r="L2504" i="1"/>
  <c r="L2484" i="1"/>
  <c r="L2491" i="1"/>
  <c r="L2492" i="1"/>
  <c r="L2493" i="1"/>
  <c r="L2494" i="1"/>
  <c r="L2495" i="1"/>
  <c r="L2500" i="1"/>
  <c r="L2503" i="1"/>
  <c r="L2426" i="1"/>
  <c r="L2455" i="1"/>
  <c r="L2470" i="1"/>
  <c r="L2478" i="1"/>
  <c r="L2348" i="1"/>
  <c r="L2354" i="1"/>
  <c r="L2374" i="1"/>
  <c r="L2375" i="1"/>
  <c r="L2376" i="1"/>
  <c r="L2378" i="1"/>
  <c r="L2380" i="1"/>
  <c r="L2381" i="1"/>
  <c r="L2382" i="1"/>
  <c r="L2383" i="1"/>
  <c r="L2384" i="1"/>
  <c r="L2386" i="1"/>
  <c r="L2388" i="1"/>
  <c r="L2389" i="1"/>
  <c r="L2392" i="1"/>
  <c r="L2395" i="1"/>
  <c r="L2399" i="1"/>
  <c r="L2400" i="1"/>
  <c r="L2403" i="1"/>
  <c r="L2404" i="1"/>
  <c r="L2409" i="1"/>
  <c r="L2310" i="1"/>
  <c r="L2264" i="1"/>
  <c r="L2267" i="1"/>
  <c r="L2268" i="1"/>
  <c r="L2269" i="1"/>
  <c r="L2270" i="1"/>
  <c r="L2280" i="1"/>
  <c r="L2282" i="1"/>
  <c r="L2286" i="1"/>
  <c r="L2287" i="1"/>
  <c r="L2288" i="1"/>
  <c r="L2289" i="1"/>
  <c r="L2291" i="1"/>
  <c r="L2292" i="1"/>
  <c r="L2293" i="1"/>
  <c r="L2304" i="1"/>
  <c r="L2308" i="1"/>
  <c r="L2309" i="1"/>
  <c r="L2311" i="1"/>
  <c r="L2312" i="1"/>
  <c r="L2313" i="1"/>
  <c r="L2315" i="1"/>
  <c r="L2316" i="1"/>
  <c r="L2317" i="1"/>
  <c r="L2320" i="1"/>
  <c r="L2322" i="1"/>
  <c r="L2324" i="1"/>
  <c r="L2328" i="1"/>
  <c r="L2336" i="1"/>
  <c r="L2341" i="1"/>
  <c r="L2347" i="1"/>
  <c r="L2350" i="1"/>
  <c r="L2238" i="1"/>
  <c r="L2239" i="1"/>
  <c r="L2240" i="1"/>
  <c r="L2241" i="1"/>
  <c r="L2237" i="1"/>
  <c r="L2211" i="1"/>
  <c r="L2213" i="1"/>
  <c r="L2217" i="1"/>
  <c r="L2229" i="1"/>
  <c r="L2230" i="1"/>
  <c r="L2231" i="1"/>
  <c r="L2232" i="1"/>
  <c r="L2233" i="1"/>
  <c r="L2234" i="1"/>
  <c r="L2235" i="1"/>
  <c r="L2236" i="1"/>
  <c r="L2242" i="1"/>
  <c r="L2244" i="1"/>
  <c r="L2245" i="1"/>
  <c r="L2249" i="1"/>
  <c r="L2251" i="1"/>
  <c r="L2252" i="1"/>
  <c r="L2155" i="1"/>
  <c r="L2156" i="1"/>
  <c r="L2176" i="1"/>
  <c r="L2177" i="1"/>
  <c r="L2178" i="1"/>
  <c r="L2179" i="1"/>
  <c r="L2180" i="1"/>
  <c r="L2201" i="1"/>
  <c r="L2168" i="1"/>
  <c r="L2169" i="1"/>
  <c r="L2171" i="1"/>
  <c r="L2172" i="1"/>
  <c r="L2113" i="1"/>
  <c r="L2114" i="1"/>
  <c r="L2115" i="1"/>
  <c r="L2127" i="1"/>
  <c r="L2136" i="1"/>
  <c r="L2146" i="1"/>
  <c r="L2147" i="1"/>
  <c r="L2148" i="1"/>
  <c r="L2149" i="1"/>
  <c r="L2154" i="1"/>
  <c r="L2158" i="1"/>
  <c r="L2159" i="1"/>
  <c r="L2160" i="1"/>
  <c r="L2161" i="1"/>
  <c r="L2162" i="1"/>
  <c r="L2165" i="1"/>
  <c r="L2060" i="1"/>
  <c r="L2061" i="1"/>
  <c r="L2062" i="1"/>
  <c r="L2065" i="1"/>
  <c r="L2076" i="1"/>
  <c r="L2077" i="1"/>
  <c r="L2079" i="1"/>
  <c r="L2080" i="1"/>
  <c r="L2081" i="1"/>
  <c r="L2084" i="1"/>
  <c r="L2026" i="1"/>
  <c r="L2020" i="1"/>
  <c r="L2029" i="1"/>
  <c r="L2031" i="1"/>
  <c r="L2032" i="1"/>
  <c r="L2033" i="1"/>
  <c r="L2034" i="1"/>
  <c r="L2036" i="1"/>
  <c r="L2037" i="1"/>
  <c r="L2038" i="1"/>
  <c r="L2040" i="1"/>
  <c r="L1968" i="1"/>
  <c r="L1978" i="1"/>
  <c r="L1985" i="1"/>
  <c r="L1987" i="1"/>
  <c r="L1997" i="1"/>
  <c r="L1998" i="1"/>
  <c r="L1999" i="1"/>
  <c r="L2002" i="1"/>
  <c r="L2007" i="1"/>
  <c r="L2009" i="1"/>
  <c r="L1959" i="1"/>
  <c r="L1954" i="1"/>
  <c r="L1930" i="1"/>
  <c r="L1935" i="1"/>
  <c r="L1885" i="1"/>
  <c r="L1889" i="1"/>
  <c r="L1890" i="1"/>
  <c r="L1892" i="1"/>
  <c r="L1893" i="1"/>
  <c r="L1902" i="1"/>
  <c r="L1903" i="1"/>
  <c r="L1906" i="1"/>
  <c r="L1907" i="1"/>
  <c r="L1908" i="1"/>
  <c r="L1909" i="1"/>
  <c r="L1910" i="1"/>
  <c r="L1915" i="1"/>
  <c r="L1916" i="1"/>
  <c r="L1919" i="1"/>
  <c r="L1921" i="1"/>
  <c r="L1922" i="1"/>
  <c r="L1878" i="1"/>
  <c r="L1879" i="1"/>
  <c r="L1884" i="1"/>
  <c r="L1874" i="1"/>
  <c r="L1832" i="1"/>
  <c r="L1833" i="1"/>
  <c r="L1834" i="1"/>
  <c r="L1835" i="1"/>
  <c r="L1836" i="1"/>
  <c r="L1837" i="1"/>
  <c r="L1838" i="1"/>
  <c r="L1839" i="1"/>
  <c r="L1861" i="1"/>
  <c r="L1864" i="1"/>
  <c r="L1865" i="1"/>
  <c r="L1871" i="1"/>
  <c r="L1872" i="1"/>
  <c r="L1873" i="1"/>
  <c r="L1796" i="1"/>
  <c r="L1809" i="1"/>
  <c r="L1815" i="1"/>
  <c r="L1820" i="1"/>
  <c r="L1730" i="1"/>
  <c r="L1731" i="1"/>
  <c r="L1735" i="1"/>
  <c r="L2391" i="1"/>
  <c r="L2390" i="1"/>
  <c r="L2482" i="1"/>
  <c r="L2411" i="1"/>
  <c r="L2412" i="1"/>
  <c r="L2285" i="1"/>
  <c r="L2483" i="1"/>
  <c r="L2502" i="1"/>
  <c r="L2279" i="1"/>
  <c r="L2394" i="1"/>
  <c r="L2393" i="1"/>
  <c r="L2550" i="1"/>
  <c r="L2551" i="1"/>
  <c r="L2554" i="1"/>
  <c r="L2558" i="1"/>
  <c r="L2564" i="1"/>
  <c r="L2566" i="1"/>
  <c r="L2571" i="1"/>
  <c r="L2481" i="1"/>
  <c r="L2486" i="1"/>
  <c r="L2488" i="1"/>
  <c r="L2489" i="1"/>
  <c r="L2427" i="1"/>
  <c r="L2429" i="1"/>
  <c r="L2430" i="1"/>
  <c r="L2456" i="1"/>
  <c r="L2476" i="1"/>
  <c r="L2477" i="1"/>
  <c r="L2479" i="1"/>
  <c r="L2365" i="1"/>
  <c r="L2385" i="1"/>
  <c r="L2405" i="1"/>
  <c r="L2406" i="1"/>
  <c r="L2408" i="1"/>
  <c r="L2410" i="1"/>
  <c r="L2278" i="1"/>
  <c r="L2290" i="1"/>
  <c r="L2294" i="1"/>
  <c r="L2299" i="1"/>
  <c r="L2303" i="1"/>
  <c r="L2306" i="1"/>
  <c r="L2307" i="1"/>
  <c r="L2314" i="1"/>
  <c r="L2318" i="1"/>
  <c r="L2321" i="1"/>
  <c r="L2337" i="1"/>
  <c r="L2248" i="1"/>
  <c r="L2181" i="1"/>
  <c r="L2112" i="1"/>
  <c r="L2116" i="1"/>
  <c r="L2130" i="1"/>
  <c r="L2131" i="1"/>
  <c r="L2133" i="1"/>
  <c r="L2135" i="1"/>
  <c r="L2137" i="1"/>
  <c r="L2138" i="1"/>
  <c r="L2139" i="1"/>
  <c r="L2140" i="1"/>
  <c r="L2141" i="1"/>
  <c r="L2144" i="1"/>
  <c r="L2145" i="1"/>
  <c r="L2153" i="1"/>
  <c r="L2157" i="1"/>
  <c r="L2164" i="1"/>
  <c r="L2012" i="1"/>
  <c r="L2011" i="1"/>
  <c r="L2057" i="1"/>
  <c r="L2058" i="1"/>
  <c r="L2063" i="1"/>
  <c r="L2064" i="1"/>
  <c r="L2066" i="1"/>
  <c r="L2074" i="1"/>
  <c r="L2075" i="1"/>
  <c r="L2083" i="1"/>
  <c r="L2049" i="1"/>
  <c r="L2051" i="1"/>
  <c r="L2052" i="1"/>
  <c r="L2053" i="1"/>
  <c r="L2010" i="1"/>
  <c r="L2013" i="1"/>
  <c r="L2014" i="1"/>
  <c r="L2015" i="1"/>
  <c r="L2016" i="1"/>
  <c r="L2017" i="1"/>
  <c r="L1982" i="1"/>
  <c r="L1983" i="1"/>
  <c r="L1984" i="1"/>
  <c r="L1986" i="1"/>
  <c r="L1994" i="1"/>
  <c r="L1995" i="1"/>
  <c r="L1996" i="1"/>
  <c r="L2000" i="1"/>
  <c r="L2001" i="1"/>
  <c r="L2006" i="1"/>
  <c r="L2008" i="1"/>
  <c r="L1928" i="1"/>
  <c r="L1927" i="1"/>
  <c r="L1925" i="1"/>
  <c r="L1924" i="1"/>
  <c r="L1923" i="1"/>
  <c r="L1960" i="1"/>
  <c r="L1962" i="1"/>
  <c r="L1929" i="1"/>
  <c r="L1931" i="1"/>
  <c r="L1932" i="1"/>
  <c r="L1934" i="1"/>
  <c r="L1939" i="1"/>
  <c r="L1826" i="1"/>
  <c r="L1886" i="1"/>
  <c r="L1887" i="1"/>
  <c r="L1888" i="1"/>
  <c r="L1891" i="1"/>
  <c r="L1894" i="1"/>
  <c r="L1901" i="1"/>
  <c r="L1911" i="1"/>
  <c r="L1912" i="1"/>
  <c r="L1913" i="1"/>
  <c r="L1914" i="1"/>
  <c r="L1917" i="1"/>
  <c r="L1918" i="1"/>
  <c r="L1920" i="1"/>
  <c r="L1877" i="1"/>
  <c r="L1880" i="1"/>
  <c r="L1881" i="1"/>
  <c r="L1882" i="1"/>
  <c r="L1883" i="1"/>
  <c r="L1876" i="1"/>
  <c r="L1875" i="1"/>
  <c r="L1828" i="1"/>
  <c r="L1829" i="1"/>
  <c r="L1830" i="1"/>
  <c r="L1831" i="1"/>
  <c r="L1840" i="1"/>
  <c r="L1841" i="1"/>
  <c r="L1842" i="1"/>
  <c r="L1843" i="1"/>
  <c r="L1844" i="1"/>
  <c r="L1845" i="1"/>
  <c r="L1847" i="1"/>
  <c r="L1848" i="1"/>
  <c r="L1849" i="1"/>
  <c r="L1854" i="1"/>
  <c r="L1857" i="1"/>
  <c r="L1858" i="1"/>
  <c r="L1859" i="1"/>
  <c r="L1860" i="1"/>
  <c r="L1862" i="1"/>
  <c r="L1863" i="1"/>
  <c r="L1866" i="1"/>
  <c r="L1867" i="1"/>
  <c r="L1868" i="1"/>
  <c r="L1869" i="1"/>
  <c r="L1870" i="1"/>
  <c r="L1789" i="1"/>
  <c r="L1795" i="1"/>
  <c r="L1821" i="1"/>
  <c r="L1822" i="1"/>
  <c r="L1823" i="1"/>
  <c r="L1732" i="1"/>
  <c r="L2549" i="1"/>
  <c r="L2557" i="1"/>
  <c r="L2575" i="1"/>
  <c r="L2448" i="1"/>
  <c r="L2366" i="1"/>
  <c r="L2379" i="1"/>
  <c r="L2271" i="1"/>
  <c r="L2325" i="1"/>
  <c r="L2329" i="1"/>
  <c r="L2340" i="1"/>
  <c r="L2223" i="1"/>
  <c r="L2225" i="1"/>
  <c r="L2227" i="1"/>
  <c r="L2243" i="1"/>
  <c r="L2182" i="1"/>
  <c r="L2186" i="1"/>
  <c r="L2195" i="1"/>
  <c r="L2108" i="1"/>
  <c r="L2126" i="1"/>
  <c r="L2128" i="1"/>
  <c r="L2129" i="1"/>
  <c r="L2132" i="1"/>
  <c r="L2143" i="1"/>
  <c r="L2067" i="1"/>
  <c r="L2068" i="1"/>
  <c r="L2071" i="1"/>
  <c r="L2072" i="1"/>
  <c r="L2056" i="1"/>
  <c r="L2047" i="1"/>
  <c r="L2048" i="1"/>
  <c r="L2050" i="1"/>
  <c r="L2054" i="1"/>
  <c r="L2055" i="1"/>
  <c r="M2547" i="1"/>
  <c r="M2548" i="1"/>
  <c r="M2553" i="1"/>
  <c r="M2555" i="1"/>
  <c r="M2556" i="1"/>
  <c r="M2559" i="1"/>
  <c r="M2561" i="1"/>
  <c r="M2562" i="1"/>
  <c r="M2567" i="1"/>
  <c r="M2568" i="1"/>
  <c r="M2569" i="1"/>
  <c r="M2570" i="1"/>
  <c r="M2573" i="1"/>
  <c r="M2505" i="1"/>
  <c r="M2506" i="1"/>
  <c r="M2509" i="1"/>
  <c r="M2517" i="1"/>
  <c r="M2520" i="1"/>
  <c r="M2521" i="1"/>
  <c r="M2522" i="1"/>
  <c r="M2523" i="1"/>
  <c r="M2524" i="1"/>
  <c r="M2525" i="1"/>
  <c r="M2526" i="1"/>
  <c r="M2527" i="1"/>
  <c r="M2528" i="1"/>
  <c r="M2529" i="1"/>
  <c r="M2480" i="1"/>
  <c r="M2485" i="1"/>
  <c r="M2498" i="1"/>
  <c r="M2499" i="1"/>
  <c r="M2425" i="1"/>
  <c r="M2428" i="1"/>
  <c r="M2432" i="1"/>
  <c r="M2433" i="1"/>
  <c r="M2434" i="1"/>
  <c r="M2435" i="1"/>
  <c r="M2436" i="1"/>
  <c r="M2437" i="1"/>
  <c r="M2438" i="1"/>
  <c r="M2439" i="1"/>
  <c r="M2440" i="1"/>
  <c r="M2441" i="1"/>
  <c r="M2442" i="1"/>
  <c r="M2444" i="1"/>
  <c r="M2445" i="1"/>
  <c r="M2446" i="1"/>
  <c r="M2447" i="1"/>
  <c r="M2449" i="1"/>
  <c r="M2450" i="1"/>
  <c r="M2451" i="1"/>
  <c r="M2452" i="1"/>
  <c r="M2453" i="1"/>
  <c r="M2454" i="1"/>
  <c r="M2457" i="1"/>
  <c r="M2458" i="1"/>
  <c r="M2459" i="1"/>
  <c r="M2460" i="1"/>
  <c r="M2461" i="1"/>
  <c r="M2462" i="1"/>
  <c r="M2463" i="1"/>
  <c r="M2464" i="1"/>
  <c r="M2465" i="1"/>
  <c r="M2467" i="1"/>
  <c r="M2468" i="1"/>
  <c r="M2469" i="1"/>
  <c r="M2471" i="1"/>
  <c r="M2472" i="1"/>
  <c r="M2473" i="1"/>
  <c r="M2475" i="1"/>
  <c r="M2353" i="1"/>
  <c r="M2423" i="1"/>
  <c r="M2424" i="1"/>
  <c r="M2352" i="1"/>
  <c r="M2355" i="1"/>
  <c r="M2356" i="1"/>
  <c r="M2357" i="1"/>
  <c r="M2358" i="1"/>
  <c r="M2359" i="1"/>
  <c r="M2361" i="1"/>
  <c r="M2362" i="1"/>
  <c r="M2363" i="1"/>
  <c r="M2364" i="1"/>
  <c r="M2367" i="1"/>
  <c r="M2368" i="1"/>
  <c r="M2369" i="1"/>
  <c r="M2370" i="1"/>
  <c r="M2372" i="1"/>
  <c r="M2373" i="1"/>
  <c r="M2377" i="1"/>
  <c r="M2387" i="1"/>
  <c r="M2396" i="1"/>
  <c r="M2397" i="1"/>
  <c r="M2398" i="1"/>
  <c r="M2401" i="1"/>
  <c r="M2407" i="1"/>
  <c r="M2413" i="1"/>
  <c r="M2414" i="1"/>
  <c r="M2415" i="1"/>
  <c r="M2416" i="1"/>
  <c r="M2417" i="1"/>
  <c r="M2418" i="1"/>
  <c r="M2419" i="1"/>
  <c r="M2420" i="1"/>
  <c r="M2421" i="1"/>
  <c r="M2422" i="1"/>
  <c r="M2333" i="1"/>
  <c r="M2255" i="1"/>
  <c r="M2256" i="1"/>
  <c r="M2257" i="1"/>
  <c r="M2258" i="1"/>
  <c r="M2259" i="1"/>
  <c r="M2260" i="1"/>
  <c r="M2261" i="1"/>
  <c r="M2262" i="1"/>
  <c r="M2263" i="1"/>
  <c r="M2265" i="1"/>
  <c r="M2266" i="1"/>
  <c r="M2276" i="1"/>
  <c r="M2281" i="1"/>
  <c r="M2284" i="1"/>
  <c r="M2295" i="1"/>
  <c r="M2296" i="1"/>
  <c r="M2297" i="1"/>
  <c r="M2298" i="1"/>
  <c r="M2300" i="1"/>
  <c r="M2301" i="1"/>
  <c r="M2302" i="1"/>
  <c r="M2305" i="1"/>
  <c r="M2326" i="1"/>
  <c r="M2327" i="1"/>
  <c r="M2330" i="1"/>
  <c r="M2331" i="1"/>
  <c r="M2332" i="1"/>
  <c r="M2334" i="1"/>
  <c r="M2335" i="1"/>
  <c r="M2338" i="1"/>
  <c r="M2339" i="1"/>
  <c r="M2342" i="1"/>
  <c r="M2343" i="1"/>
  <c r="M2344" i="1"/>
  <c r="M2345" i="1"/>
  <c r="M2346" i="1"/>
  <c r="M2349" i="1"/>
  <c r="M2351" i="1"/>
  <c r="M2250" i="1"/>
  <c r="M2214" i="1"/>
  <c r="M2215" i="1"/>
  <c r="M2216" i="1"/>
  <c r="M2218" i="1"/>
  <c r="M2219" i="1"/>
  <c r="M2220" i="1"/>
  <c r="M2221" i="1"/>
  <c r="M2222" i="1"/>
  <c r="M2224" i="1"/>
  <c r="M2226" i="1"/>
  <c r="M2228" i="1"/>
  <c r="M2246" i="1"/>
  <c r="M2247" i="1"/>
  <c r="M2253" i="1"/>
  <c r="M2254" i="1"/>
  <c r="M2175" i="1"/>
  <c r="M2184" i="1"/>
  <c r="M2185" i="1"/>
  <c r="M2187" i="1"/>
  <c r="M2188" i="1"/>
  <c r="M2189" i="1"/>
  <c r="M2190" i="1"/>
  <c r="M2191" i="1"/>
  <c r="M2192" i="1"/>
  <c r="M2193" i="1"/>
  <c r="M2194" i="1"/>
  <c r="M2196" i="1"/>
  <c r="M2197" i="1"/>
  <c r="M2199" i="1"/>
  <c r="M2202" i="1"/>
  <c r="M2203" i="1"/>
  <c r="M2204" i="1"/>
  <c r="M2205" i="1"/>
  <c r="M2206" i="1"/>
  <c r="M2207" i="1"/>
  <c r="M2208" i="1"/>
  <c r="M2209" i="1"/>
  <c r="M2167" i="1"/>
  <c r="M2170" i="1"/>
  <c r="M2174" i="1"/>
  <c r="M2104" i="1"/>
  <c r="M2105" i="1"/>
  <c r="M2106" i="1"/>
  <c r="M2107" i="1"/>
  <c r="M2109" i="1"/>
  <c r="M2110" i="1"/>
  <c r="M2111" i="1"/>
  <c r="M2117" i="1"/>
  <c r="M2118" i="1"/>
  <c r="M2119" i="1"/>
  <c r="M2120" i="1"/>
  <c r="M2121" i="1"/>
  <c r="M2123" i="1"/>
  <c r="M2124" i="1"/>
  <c r="M2125" i="1"/>
  <c r="M2134" i="1"/>
  <c r="M2150" i="1"/>
  <c r="M2151" i="1"/>
  <c r="M2152" i="1"/>
  <c r="M2163" i="1"/>
  <c r="M2166" i="1"/>
  <c r="M2078" i="1"/>
  <c r="M2086" i="1"/>
  <c r="M2087" i="1"/>
  <c r="M2088" i="1"/>
  <c r="M2089" i="1"/>
  <c r="M2090" i="1"/>
  <c r="M2093" i="1"/>
  <c r="M2095" i="1"/>
  <c r="M2096" i="1"/>
  <c r="M2097" i="1"/>
  <c r="M2098" i="1"/>
  <c r="M2099" i="1"/>
  <c r="M2100" i="1"/>
  <c r="M2101" i="1"/>
  <c r="M2102" i="1"/>
  <c r="M2103" i="1"/>
  <c r="M2019" i="1"/>
  <c r="M2021" i="1"/>
  <c r="M2022" i="1"/>
  <c r="M2023" i="1"/>
  <c r="M2024" i="1"/>
  <c r="M2025" i="1"/>
  <c r="M2030" i="1"/>
  <c r="M2035" i="1"/>
  <c r="M2039" i="1"/>
  <c r="M2042" i="1"/>
  <c r="M2043" i="1"/>
  <c r="M2044" i="1"/>
  <c r="M2045" i="1"/>
  <c r="M2552" i="1"/>
  <c r="M2487" i="1"/>
  <c r="M2496" i="1"/>
  <c r="M2443" i="1"/>
  <c r="M2466" i="1"/>
  <c r="M2474" i="1"/>
  <c r="M2198" i="1"/>
  <c r="M2082" i="1"/>
  <c r="M2212" i="1"/>
  <c r="M2200" i="1"/>
  <c r="M2210" i="1"/>
  <c r="M2173" i="1"/>
  <c r="M2092" i="1"/>
  <c r="M2576" i="1"/>
  <c r="M2431" i="1"/>
  <c r="M2371" i="1"/>
  <c r="M2402" i="1"/>
  <c r="M2319" i="1"/>
  <c r="M2323" i="1"/>
  <c r="M2142" i="1"/>
  <c r="M2563" i="1"/>
  <c r="M2565" i="1"/>
  <c r="M2490" i="1"/>
  <c r="M2275" i="1"/>
  <c r="M2274" i="1"/>
  <c r="M1905" i="1"/>
  <c r="M2501" i="1"/>
  <c r="M2094" i="1"/>
  <c r="M2028" i="1"/>
  <c r="M1726" i="1"/>
  <c r="M2497" i="1"/>
  <c r="M2283" i="1"/>
  <c r="M2183" i="1"/>
  <c r="M2085" i="1"/>
  <c r="M2091" i="1"/>
  <c r="M2018" i="1"/>
  <c r="M2041" i="1"/>
  <c r="M1955" i="1"/>
  <c r="M1904" i="1"/>
  <c r="M1846" i="1"/>
  <c r="M1824" i="1"/>
  <c r="M2360" i="1"/>
  <c r="M2277" i="1"/>
  <c r="M2122" i="1"/>
  <c r="M2059" i="1"/>
  <c r="M2069" i="1"/>
  <c r="M2070" i="1"/>
  <c r="M2073" i="1"/>
  <c r="M2027" i="1"/>
  <c r="M2046" i="1"/>
  <c r="M1965" i="1"/>
  <c r="M1966" i="1"/>
  <c r="M1967" i="1"/>
  <c r="M1969" i="1"/>
  <c r="M1970" i="1"/>
  <c r="M1971" i="1"/>
  <c r="M1972" i="1"/>
  <c r="M1973" i="1"/>
  <c r="M1974" i="1"/>
  <c r="M1975" i="1"/>
  <c r="M1976" i="1"/>
  <c r="M1977" i="1"/>
  <c r="M1979" i="1"/>
  <c r="M1980" i="1"/>
  <c r="M1988" i="1"/>
  <c r="M1989" i="1"/>
  <c r="M1990" i="1"/>
  <c r="M1991" i="1"/>
  <c r="M1992" i="1"/>
  <c r="M1993" i="1"/>
  <c r="M2003" i="1"/>
  <c r="M2004" i="1"/>
  <c r="M2005" i="1"/>
  <c r="M1926" i="1"/>
  <c r="M1956" i="1"/>
  <c r="M1957" i="1"/>
  <c r="M1958" i="1"/>
  <c r="M1961" i="1"/>
  <c r="M1963" i="1"/>
  <c r="M1964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33" i="1"/>
  <c r="M1936" i="1"/>
  <c r="M1937" i="1"/>
  <c r="M1938" i="1"/>
  <c r="M1895" i="1"/>
  <c r="M1896" i="1"/>
  <c r="M1897" i="1"/>
  <c r="M1898" i="1"/>
  <c r="M1899" i="1"/>
  <c r="M1900" i="1"/>
  <c r="M1801" i="1"/>
  <c r="M1827" i="1"/>
  <c r="M1850" i="1"/>
  <c r="M1851" i="1"/>
  <c r="M1852" i="1"/>
  <c r="M1853" i="1"/>
  <c r="M1855" i="1"/>
  <c r="M1856" i="1"/>
  <c r="M1788" i="1"/>
  <c r="M1790" i="1"/>
  <c r="M1791" i="1"/>
  <c r="M1792" i="1"/>
  <c r="M1793" i="1"/>
  <c r="M1794" i="1"/>
  <c r="M1797" i="1"/>
  <c r="M1798" i="1"/>
  <c r="M1799" i="1"/>
  <c r="M1800" i="1"/>
  <c r="M1802" i="1"/>
  <c r="M1803" i="1"/>
  <c r="M1804" i="1"/>
  <c r="M1805" i="1"/>
  <c r="M1806" i="1"/>
  <c r="M1807" i="1"/>
  <c r="M1808" i="1"/>
  <c r="M1810" i="1"/>
  <c r="M1811" i="1"/>
  <c r="M1812" i="1"/>
  <c r="M1813" i="1"/>
  <c r="M1814" i="1"/>
  <c r="M1816" i="1"/>
  <c r="M1817" i="1"/>
  <c r="M1818" i="1"/>
  <c r="M1819" i="1"/>
  <c r="M1825" i="1"/>
  <c r="M1780" i="1"/>
  <c r="M1739" i="1"/>
  <c r="M1787" i="1"/>
  <c r="M1776" i="1"/>
  <c r="M1777" i="1"/>
  <c r="M1778" i="1"/>
  <c r="M1779" i="1"/>
  <c r="M1781" i="1"/>
  <c r="M1782" i="1"/>
  <c r="M1783" i="1"/>
  <c r="M1784" i="1"/>
  <c r="M1785" i="1"/>
  <c r="M1786" i="1"/>
  <c r="M1733" i="1"/>
  <c r="M1734" i="1"/>
  <c r="M1736" i="1"/>
  <c r="M1737" i="1"/>
  <c r="M1738" i="1"/>
  <c r="M2273" i="1"/>
  <c r="M1981" i="1"/>
  <c r="M2560" i="1"/>
  <c r="M2572" i="1"/>
  <c r="M2574" i="1"/>
  <c r="M2507" i="1"/>
  <c r="M2508" i="1"/>
  <c r="M2510" i="1"/>
  <c r="M2511" i="1"/>
  <c r="M2512" i="1"/>
  <c r="M2513" i="1"/>
  <c r="M2514" i="1"/>
  <c r="M2515" i="1"/>
  <c r="M2516" i="1"/>
  <c r="M2518" i="1"/>
  <c r="M2519" i="1"/>
  <c r="M2546" i="1"/>
  <c r="M2504" i="1"/>
  <c r="M2484" i="1"/>
  <c r="M2491" i="1"/>
  <c r="M2492" i="1"/>
  <c r="M2493" i="1"/>
  <c r="M2494" i="1"/>
  <c r="M2495" i="1"/>
  <c r="M2500" i="1"/>
  <c r="M2503" i="1"/>
  <c r="M2426" i="1"/>
  <c r="M2455" i="1"/>
  <c r="M2470" i="1"/>
  <c r="M2478" i="1"/>
  <c r="M2348" i="1"/>
  <c r="M2354" i="1"/>
  <c r="M2374" i="1"/>
  <c r="M2375" i="1"/>
  <c r="M2376" i="1"/>
  <c r="M2378" i="1"/>
  <c r="M2380" i="1"/>
  <c r="M2381" i="1"/>
  <c r="M2382" i="1"/>
  <c r="M2383" i="1"/>
  <c r="M2384" i="1"/>
  <c r="M2386" i="1"/>
  <c r="M2388" i="1"/>
  <c r="M2389" i="1"/>
  <c r="M2392" i="1"/>
  <c r="M2395" i="1"/>
  <c r="M2399" i="1"/>
  <c r="M2400" i="1"/>
  <c r="M2403" i="1"/>
  <c r="M2404" i="1"/>
  <c r="M2409" i="1"/>
  <c r="M2310" i="1"/>
  <c r="M2264" i="1"/>
  <c r="M2267" i="1"/>
  <c r="M2268" i="1"/>
  <c r="M2269" i="1"/>
  <c r="M2270" i="1"/>
  <c r="M2280" i="1"/>
  <c r="M2282" i="1"/>
  <c r="M2286" i="1"/>
  <c r="M2287" i="1"/>
  <c r="M2288" i="1"/>
  <c r="M2289" i="1"/>
  <c r="M2291" i="1"/>
  <c r="M2292" i="1"/>
  <c r="M2293" i="1"/>
  <c r="M2304" i="1"/>
  <c r="M2308" i="1"/>
  <c r="M2309" i="1"/>
  <c r="M2311" i="1"/>
  <c r="M2312" i="1"/>
  <c r="M2313" i="1"/>
  <c r="M2315" i="1"/>
  <c r="M2316" i="1"/>
  <c r="M2317" i="1"/>
  <c r="M2320" i="1"/>
  <c r="M2322" i="1"/>
  <c r="M2324" i="1"/>
  <c r="M2328" i="1"/>
  <c r="M2336" i="1"/>
  <c r="M2341" i="1"/>
  <c r="M2347" i="1"/>
  <c r="M2350" i="1"/>
  <c r="M2238" i="1"/>
  <c r="M2239" i="1"/>
  <c r="M2240" i="1"/>
  <c r="M2241" i="1"/>
  <c r="M2237" i="1"/>
  <c r="M2211" i="1"/>
  <c r="M2213" i="1"/>
  <c r="M2217" i="1"/>
  <c r="M2229" i="1"/>
  <c r="M2230" i="1"/>
  <c r="M2231" i="1"/>
  <c r="M2232" i="1"/>
  <c r="M2233" i="1"/>
  <c r="M2234" i="1"/>
  <c r="M2235" i="1"/>
  <c r="M2236" i="1"/>
  <c r="M2242" i="1"/>
  <c r="M2244" i="1"/>
  <c r="M2245" i="1"/>
  <c r="M2249" i="1"/>
  <c r="M2251" i="1"/>
  <c r="M2252" i="1"/>
  <c r="M2155" i="1"/>
  <c r="M2156" i="1"/>
  <c r="M2176" i="1"/>
  <c r="M2177" i="1"/>
  <c r="M2178" i="1"/>
  <c r="M2179" i="1"/>
  <c r="M2180" i="1"/>
  <c r="M2201" i="1"/>
  <c r="M2168" i="1"/>
  <c r="M2169" i="1"/>
  <c r="M2171" i="1"/>
  <c r="M2172" i="1"/>
  <c r="M2113" i="1"/>
  <c r="M2114" i="1"/>
  <c r="M2115" i="1"/>
  <c r="M2127" i="1"/>
  <c r="M2136" i="1"/>
  <c r="M2146" i="1"/>
  <c r="M2147" i="1"/>
  <c r="M2148" i="1"/>
  <c r="M2149" i="1"/>
  <c r="M2154" i="1"/>
  <c r="M2158" i="1"/>
  <c r="M2159" i="1"/>
  <c r="M2160" i="1"/>
  <c r="M2161" i="1"/>
  <c r="M2162" i="1"/>
  <c r="M2165" i="1"/>
  <c r="M2060" i="1"/>
  <c r="M2061" i="1"/>
  <c r="M2062" i="1"/>
  <c r="M2065" i="1"/>
  <c r="M2076" i="1"/>
  <c r="M2077" i="1"/>
  <c r="M2079" i="1"/>
  <c r="M2080" i="1"/>
  <c r="M2081" i="1"/>
  <c r="M2084" i="1"/>
  <c r="M2026" i="1"/>
  <c r="M2020" i="1"/>
  <c r="M2029" i="1"/>
  <c r="M2031" i="1"/>
  <c r="M2032" i="1"/>
  <c r="M2033" i="1"/>
  <c r="M2034" i="1"/>
  <c r="M2036" i="1"/>
  <c r="M2037" i="1"/>
  <c r="M2038" i="1"/>
  <c r="M2040" i="1"/>
  <c r="M1968" i="1"/>
  <c r="M1978" i="1"/>
  <c r="M1985" i="1"/>
  <c r="M1987" i="1"/>
  <c r="M1997" i="1"/>
  <c r="M1998" i="1"/>
  <c r="M1999" i="1"/>
  <c r="M2002" i="1"/>
  <c r="M2007" i="1"/>
  <c r="M2009" i="1"/>
  <c r="M1959" i="1"/>
  <c r="M1954" i="1"/>
  <c r="M1930" i="1"/>
  <c r="M1935" i="1"/>
  <c r="M1885" i="1"/>
  <c r="M1889" i="1"/>
  <c r="M1890" i="1"/>
  <c r="M1892" i="1"/>
  <c r="M1893" i="1"/>
  <c r="M1902" i="1"/>
  <c r="M1903" i="1"/>
  <c r="M1906" i="1"/>
  <c r="M1907" i="1"/>
  <c r="M1908" i="1"/>
  <c r="M1909" i="1"/>
  <c r="M1910" i="1"/>
  <c r="M1915" i="1"/>
  <c r="M1916" i="1"/>
  <c r="M1919" i="1"/>
  <c r="M1921" i="1"/>
  <c r="M1922" i="1"/>
  <c r="M1878" i="1"/>
  <c r="M1879" i="1"/>
  <c r="M1884" i="1"/>
  <c r="M1874" i="1"/>
  <c r="M1832" i="1"/>
  <c r="M1833" i="1"/>
  <c r="M1834" i="1"/>
  <c r="M1835" i="1"/>
  <c r="M1836" i="1"/>
  <c r="M1837" i="1"/>
  <c r="M1838" i="1"/>
  <c r="M1839" i="1"/>
  <c r="M1861" i="1"/>
  <c r="M1864" i="1"/>
  <c r="M1865" i="1"/>
  <c r="M1871" i="1"/>
  <c r="M1872" i="1"/>
  <c r="M1873" i="1"/>
  <c r="M1796" i="1"/>
  <c r="M1809" i="1"/>
  <c r="M1815" i="1"/>
  <c r="M1820" i="1"/>
  <c r="M1730" i="1"/>
  <c r="M1731" i="1"/>
  <c r="M1735" i="1"/>
  <c r="M2391" i="1"/>
  <c r="M2390" i="1"/>
  <c r="M2482" i="1"/>
  <c r="M2411" i="1"/>
  <c r="M2412" i="1"/>
  <c r="M2285" i="1"/>
  <c r="M2483" i="1"/>
  <c r="M2502" i="1"/>
  <c r="M2279" i="1"/>
  <c r="M2394" i="1"/>
  <c r="M2393" i="1"/>
  <c r="M2550" i="1"/>
  <c r="M2551" i="1"/>
  <c r="M2554" i="1"/>
  <c r="M2558" i="1"/>
  <c r="M2564" i="1"/>
  <c r="M2566" i="1"/>
  <c r="M2571" i="1"/>
  <c r="M2481" i="1"/>
  <c r="M2486" i="1"/>
  <c r="M2488" i="1"/>
  <c r="M2489" i="1"/>
  <c r="M2427" i="1"/>
  <c r="M2429" i="1"/>
  <c r="M2430" i="1"/>
  <c r="M2456" i="1"/>
  <c r="M2476" i="1"/>
  <c r="M2477" i="1"/>
  <c r="M2479" i="1"/>
  <c r="M2365" i="1"/>
  <c r="M2385" i="1"/>
  <c r="M2405" i="1"/>
  <c r="M2406" i="1"/>
  <c r="M2408" i="1"/>
  <c r="M2410" i="1"/>
  <c r="M2278" i="1"/>
  <c r="M2290" i="1"/>
  <c r="M2294" i="1"/>
  <c r="M2299" i="1"/>
  <c r="M2303" i="1"/>
  <c r="M2306" i="1"/>
  <c r="M2307" i="1"/>
  <c r="M2314" i="1"/>
  <c r="M2318" i="1"/>
  <c r="M2321" i="1"/>
  <c r="M2337" i="1"/>
  <c r="M2248" i="1"/>
  <c r="M2181" i="1"/>
  <c r="M2112" i="1"/>
  <c r="M2116" i="1"/>
  <c r="M2130" i="1"/>
  <c r="M2131" i="1"/>
  <c r="M2133" i="1"/>
  <c r="M2135" i="1"/>
  <c r="M2137" i="1"/>
  <c r="M2138" i="1"/>
  <c r="M2139" i="1"/>
  <c r="M2140" i="1"/>
  <c r="M2141" i="1"/>
  <c r="M2144" i="1"/>
  <c r="M2145" i="1"/>
  <c r="M2153" i="1"/>
  <c r="M2157" i="1"/>
  <c r="M2164" i="1"/>
  <c r="M2012" i="1"/>
  <c r="M2011" i="1"/>
  <c r="M2057" i="1"/>
  <c r="M2058" i="1"/>
  <c r="M2063" i="1"/>
  <c r="M2064" i="1"/>
  <c r="M2066" i="1"/>
  <c r="M2074" i="1"/>
  <c r="M2075" i="1"/>
  <c r="M2083" i="1"/>
  <c r="M2049" i="1"/>
  <c r="M2051" i="1"/>
  <c r="M2052" i="1"/>
  <c r="M2053" i="1"/>
  <c r="M2010" i="1"/>
  <c r="M2013" i="1"/>
  <c r="M2014" i="1"/>
  <c r="M2015" i="1"/>
  <c r="M2016" i="1"/>
  <c r="M2017" i="1"/>
  <c r="M1982" i="1"/>
  <c r="M1983" i="1"/>
  <c r="M1984" i="1"/>
  <c r="M1986" i="1"/>
  <c r="M1994" i="1"/>
  <c r="M1995" i="1"/>
  <c r="M1996" i="1"/>
  <c r="M2000" i="1"/>
  <c r="M2001" i="1"/>
  <c r="M2006" i="1"/>
  <c r="M2008" i="1"/>
  <c r="M1928" i="1"/>
  <c r="M1927" i="1"/>
  <c r="M1925" i="1"/>
  <c r="M1924" i="1"/>
  <c r="M1923" i="1"/>
  <c r="M1960" i="1"/>
  <c r="M1962" i="1"/>
  <c r="M1929" i="1"/>
  <c r="M1931" i="1"/>
  <c r="M1932" i="1"/>
  <c r="M1934" i="1"/>
  <c r="M1939" i="1"/>
  <c r="M1826" i="1"/>
  <c r="M1886" i="1"/>
  <c r="M1887" i="1"/>
  <c r="M1888" i="1"/>
  <c r="M1891" i="1"/>
  <c r="M1894" i="1"/>
  <c r="M1901" i="1"/>
  <c r="M1911" i="1"/>
  <c r="M1912" i="1"/>
  <c r="M1913" i="1"/>
  <c r="M1914" i="1"/>
  <c r="M1917" i="1"/>
  <c r="M1918" i="1"/>
  <c r="M1920" i="1"/>
  <c r="M1877" i="1"/>
  <c r="M1880" i="1"/>
  <c r="M1881" i="1"/>
  <c r="M1882" i="1"/>
  <c r="M1883" i="1"/>
  <c r="M1876" i="1"/>
  <c r="M1875" i="1"/>
  <c r="M1828" i="1"/>
  <c r="M1829" i="1"/>
  <c r="M1830" i="1"/>
  <c r="M1831" i="1"/>
  <c r="M1840" i="1"/>
  <c r="M1841" i="1"/>
  <c r="M1842" i="1"/>
  <c r="M1843" i="1"/>
  <c r="M1844" i="1"/>
  <c r="M1845" i="1"/>
  <c r="M1847" i="1"/>
  <c r="M1848" i="1"/>
  <c r="M1849" i="1"/>
  <c r="M1854" i="1"/>
  <c r="M1857" i="1"/>
  <c r="M1858" i="1"/>
  <c r="M1859" i="1"/>
  <c r="M1860" i="1"/>
  <c r="M1862" i="1"/>
  <c r="M1863" i="1"/>
  <c r="M1866" i="1"/>
  <c r="M1867" i="1"/>
  <c r="M1868" i="1"/>
  <c r="M1869" i="1"/>
  <c r="M1870" i="1"/>
  <c r="M1789" i="1"/>
  <c r="M1795" i="1"/>
  <c r="M1821" i="1"/>
  <c r="M1822" i="1"/>
  <c r="M1823" i="1"/>
  <c r="M1732" i="1"/>
  <c r="M2549" i="1"/>
  <c r="M2557" i="1"/>
  <c r="M2575" i="1"/>
  <c r="M2448" i="1"/>
  <c r="M2366" i="1"/>
  <c r="M2379" i="1"/>
  <c r="M2271" i="1"/>
  <c r="M2325" i="1"/>
  <c r="M2329" i="1"/>
  <c r="M2340" i="1"/>
  <c r="M2223" i="1"/>
  <c r="M2225" i="1"/>
  <c r="M2227" i="1"/>
  <c r="M2243" i="1"/>
  <c r="M2182" i="1"/>
  <c r="M2186" i="1"/>
  <c r="M2195" i="1"/>
  <c r="M2108" i="1"/>
  <c r="M2126" i="1"/>
  <c r="M2128" i="1"/>
  <c r="M2129" i="1"/>
  <c r="M2132" i="1"/>
  <c r="M2143" i="1"/>
  <c r="M2067" i="1"/>
  <c r="M2068" i="1"/>
  <c r="M2071" i="1"/>
  <c r="M2072" i="1"/>
  <c r="M2056" i="1"/>
  <c r="M2047" i="1"/>
  <c r="M2048" i="1"/>
  <c r="M2050" i="1"/>
  <c r="M2054" i="1"/>
  <c r="M2055" i="1"/>
  <c r="L1771" i="1"/>
  <c r="L1772" i="1"/>
  <c r="L1773" i="1"/>
  <c r="L1774" i="1"/>
  <c r="L1775" i="1"/>
  <c r="M1771" i="1"/>
  <c r="M1772" i="1"/>
  <c r="M1773" i="1"/>
  <c r="M1774" i="1"/>
  <c r="M1775" i="1"/>
  <c r="L1728" i="1"/>
  <c r="L1729" i="1"/>
  <c r="M1728" i="1"/>
  <c r="M1729" i="1"/>
  <c r="L1761" i="1"/>
  <c r="L1762" i="1"/>
  <c r="L1763" i="1"/>
  <c r="L1764" i="1"/>
  <c r="L1765" i="1"/>
  <c r="L1766" i="1"/>
  <c r="L1767" i="1"/>
  <c r="L1768" i="1"/>
  <c r="L1769" i="1"/>
  <c r="L1770" i="1"/>
  <c r="L1723" i="1"/>
  <c r="L1724" i="1"/>
  <c r="L1725" i="1"/>
  <c r="L1727" i="1"/>
  <c r="M1761" i="1"/>
  <c r="M1762" i="1"/>
  <c r="M1763" i="1"/>
  <c r="M1764" i="1"/>
  <c r="M1765" i="1"/>
  <c r="M1766" i="1"/>
  <c r="M1767" i="1"/>
  <c r="M1768" i="1"/>
  <c r="M1769" i="1"/>
  <c r="M1770" i="1"/>
  <c r="M1723" i="1"/>
  <c r="M1724" i="1"/>
  <c r="M1725" i="1"/>
  <c r="M1727" i="1"/>
  <c r="L1721" i="1"/>
  <c r="L1722" i="1"/>
  <c r="M1721" i="1"/>
  <c r="M1722" i="1"/>
  <c r="L1756" i="1"/>
  <c r="L1757" i="1"/>
  <c r="L1758" i="1"/>
  <c r="L1759" i="1"/>
  <c r="L1760" i="1"/>
  <c r="M1756" i="1"/>
  <c r="M1757" i="1"/>
  <c r="M1758" i="1"/>
  <c r="M1759" i="1"/>
  <c r="M1760" i="1"/>
  <c r="L1751" i="1"/>
  <c r="L1752" i="1"/>
  <c r="L1753" i="1"/>
  <c r="L1754" i="1"/>
  <c r="L1755" i="1"/>
  <c r="M1751" i="1"/>
  <c r="M1752" i="1"/>
  <c r="M1753" i="1"/>
  <c r="M1754" i="1"/>
  <c r="M1755" i="1"/>
  <c r="L1714" i="1"/>
  <c r="L1718" i="1"/>
  <c r="L1744" i="1"/>
  <c r="L1745" i="1"/>
  <c r="L1746" i="1"/>
  <c r="L1747" i="1"/>
  <c r="L1748" i="1"/>
  <c r="L1749" i="1"/>
  <c r="L1750" i="1"/>
  <c r="L1717" i="1"/>
  <c r="L1720" i="1"/>
  <c r="L1710" i="1"/>
  <c r="L1712" i="1"/>
  <c r="L1715" i="1"/>
  <c r="L1709" i="1"/>
  <c r="L1711" i="1"/>
  <c r="L1713" i="1"/>
  <c r="L1716" i="1"/>
  <c r="L1719" i="1"/>
  <c r="M1714" i="1"/>
  <c r="M1718" i="1"/>
  <c r="M1744" i="1"/>
  <c r="M1745" i="1"/>
  <c r="M1746" i="1"/>
  <c r="M1747" i="1"/>
  <c r="M1748" i="1"/>
  <c r="M1749" i="1"/>
  <c r="M1750" i="1"/>
  <c r="M1717" i="1"/>
  <c r="M1720" i="1"/>
  <c r="M1710" i="1"/>
  <c r="M1712" i="1"/>
  <c r="M1715" i="1"/>
  <c r="M1709" i="1"/>
  <c r="M1711" i="1"/>
  <c r="M1713" i="1"/>
  <c r="M1716" i="1"/>
  <c r="M1719" i="1"/>
  <c r="L1742" i="1"/>
  <c r="L1743" i="1"/>
  <c r="M1742" i="1"/>
  <c r="M1743" i="1"/>
  <c r="L1740" i="1"/>
  <c r="L1741" i="1"/>
  <c r="L1706" i="1"/>
  <c r="L1707" i="1"/>
  <c r="L1708" i="1"/>
  <c r="M1740" i="1"/>
  <c r="M1741" i="1"/>
  <c r="M1706" i="1"/>
  <c r="M1707" i="1"/>
  <c r="M1708" i="1"/>
  <c r="L1704" i="1"/>
  <c r="L1705" i="1"/>
  <c r="M1704" i="1"/>
  <c r="M1705" i="1"/>
  <c r="L1701" i="1"/>
  <c r="L1672" i="1"/>
  <c r="L1680" i="1"/>
  <c r="L1684" i="1"/>
  <c r="L1687" i="1"/>
  <c r="L1688" i="1"/>
  <c r="L1689" i="1"/>
  <c r="L1690" i="1"/>
  <c r="L1691" i="1"/>
  <c r="L1665" i="1"/>
  <c r="L1670" i="1"/>
  <c r="L1661" i="1"/>
  <c r="L1702" i="1"/>
  <c r="L1703" i="1"/>
  <c r="L1682" i="1"/>
  <c r="L1683" i="1"/>
  <c r="L1685" i="1"/>
  <c r="L1686" i="1"/>
  <c r="L1693" i="1"/>
  <c r="L1694" i="1"/>
  <c r="L1697" i="1"/>
  <c r="L1698" i="1"/>
  <c r="L1699" i="1"/>
  <c r="L1700" i="1"/>
  <c r="L1663" i="1"/>
  <c r="L1664" i="1"/>
  <c r="L1666" i="1"/>
  <c r="L1667" i="1"/>
  <c r="L1668" i="1"/>
  <c r="L1671" i="1"/>
  <c r="L1673" i="1"/>
  <c r="L1674" i="1"/>
  <c r="L1675" i="1"/>
  <c r="L1676" i="1"/>
  <c r="L1679" i="1"/>
  <c r="L1681" i="1"/>
  <c r="L1642" i="1"/>
  <c r="L1643" i="1"/>
  <c r="L1644" i="1"/>
  <c r="L1645" i="1"/>
  <c r="L1646" i="1"/>
  <c r="L1649" i="1"/>
  <c r="L1650" i="1"/>
  <c r="L1651" i="1"/>
  <c r="L1652" i="1"/>
  <c r="L1653" i="1"/>
  <c r="L1654" i="1"/>
  <c r="L1655" i="1"/>
  <c r="L1656" i="1"/>
  <c r="L1657" i="1"/>
  <c r="L1659" i="1"/>
  <c r="L1695" i="1"/>
  <c r="L1696" i="1"/>
  <c r="L1669" i="1"/>
  <c r="L1677" i="1"/>
  <c r="L1647" i="1"/>
  <c r="L1648" i="1"/>
  <c r="L1658" i="1"/>
  <c r="L1660" i="1"/>
  <c r="M595" i="1"/>
  <c r="M684" i="1"/>
  <c r="M687" i="1"/>
  <c r="M1165" i="1"/>
  <c r="M1260" i="1"/>
  <c r="M1267" i="1"/>
  <c r="M23" i="1"/>
  <c r="M36" i="1"/>
  <c r="M80" i="1"/>
  <c r="M182" i="1"/>
  <c r="M205" i="1"/>
  <c r="M258" i="1"/>
  <c r="M1535" i="1"/>
  <c r="M1537" i="1"/>
  <c r="M1538" i="1"/>
  <c r="M1539" i="1"/>
  <c r="M1540" i="1"/>
  <c r="M1541" i="1"/>
  <c r="M1542" i="1"/>
  <c r="M1547" i="1"/>
  <c r="M1633" i="1"/>
  <c r="M1692" i="1"/>
  <c r="M319" i="1"/>
  <c r="M330" i="1"/>
  <c r="M343" i="1"/>
  <c r="M356" i="1"/>
  <c r="M389" i="1"/>
  <c r="M425" i="1"/>
  <c r="M448" i="1"/>
  <c r="M465" i="1"/>
  <c r="M467" i="1"/>
  <c r="M572" i="1"/>
  <c r="M590" i="1"/>
  <c r="M712" i="1"/>
  <c r="M790" i="1"/>
  <c r="M830" i="1"/>
  <c r="M844" i="1"/>
  <c r="M855" i="1"/>
  <c r="M884" i="1"/>
  <c r="M885" i="1"/>
  <c r="M937" i="1"/>
  <c r="M941" i="1"/>
  <c r="M945" i="1"/>
  <c r="M946" i="1"/>
  <c r="M950" i="1"/>
  <c r="M968" i="1"/>
  <c r="M1014" i="1"/>
  <c r="M1016" i="1"/>
  <c r="M308" i="1"/>
  <c r="M349" i="1"/>
  <c r="M457" i="1"/>
  <c r="M460" i="1"/>
  <c r="M463" i="1"/>
  <c r="M591" i="1"/>
  <c r="M341" i="1"/>
  <c r="M539" i="1"/>
  <c r="M1662" i="1"/>
  <c r="M3" i="1"/>
  <c r="M55" i="1"/>
  <c r="M132" i="1"/>
  <c r="M149" i="1"/>
  <c r="M187" i="1"/>
  <c r="M390" i="1"/>
  <c r="M393" i="1"/>
  <c r="M400" i="1"/>
  <c r="M427" i="1"/>
  <c r="M452" i="1"/>
  <c r="M455" i="1"/>
  <c r="M483" i="1"/>
  <c r="M496" i="1"/>
  <c r="M562" i="1"/>
  <c r="M563" i="1"/>
  <c r="M583" i="1"/>
  <c r="M721" i="1"/>
  <c r="M773" i="1"/>
  <c r="M777" i="1"/>
  <c r="M1290" i="1"/>
  <c r="M1391" i="1"/>
  <c r="M1458" i="1"/>
  <c r="M1476" i="1"/>
  <c r="M1605" i="1"/>
  <c r="M1627" i="1"/>
  <c r="M302" i="1"/>
  <c r="M312" i="1"/>
  <c r="M329" i="1"/>
  <c r="M388" i="1"/>
  <c r="M469" i="1"/>
  <c r="M471" i="1"/>
  <c r="M586" i="1"/>
  <c r="M587" i="1"/>
  <c r="M588" i="1"/>
  <c r="M872" i="1"/>
  <c r="M1678" i="1"/>
  <c r="M104" i="1"/>
  <c r="M125" i="1"/>
  <c r="M161" i="1"/>
  <c r="M181" i="1"/>
  <c r="M295" i="1"/>
  <c r="M482" i="1"/>
  <c r="M1280" i="1"/>
  <c r="M1517" i="1"/>
  <c r="M94" i="1"/>
  <c r="M252" i="1"/>
  <c r="M476" i="1"/>
  <c r="M1080" i="1"/>
  <c r="M1169" i="1"/>
  <c r="M1170" i="1"/>
  <c r="M1241" i="1"/>
  <c r="M1288" i="1"/>
  <c r="M1426" i="1"/>
  <c r="M1428" i="1"/>
  <c r="M1471" i="1"/>
  <c r="M1489" i="1"/>
  <c r="M1551" i="1"/>
  <c r="M1574" i="1"/>
  <c r="M1611" i="1"/>
  <c r="M1701" i="1"/>
  <c r="M1672" i="1"/>
  <c r="M1680" i="1"/>
  <c r="M10" i="1"/>
  <c r="M16" i="1"/>
  <c r="M18" i="1"/>
  <c r="M19" i="1"/>
  <c r="M26" i="1"/>
  <c r="M27" i="1"/>
  <c r="M30" i="1"/>
  <c r="M31" i="1"/>
  <c r="M44" i="1"/>
  <c r="M50" i="1"/>
  <c r="M54" i="1"/>
  <c r="M63" i="1"/>
  <c r="M64" i="1"/>
  <c r="M92" i="1"/>
  <c r="M93" i="1"/>
  <c r="M111" i="1"/>
  <c r="M112" i="1"/>
  <c r="M124" i="1"/>
  <c r="M133" i="1"/>
  <c r="M134" i="1"/>
  <c r="M144" i="1"/>
  <c r="M163" i="1"/>
  <c r="M171" i="1"/>
  <c r="M238" i="1"/>
  <c r="M239" i="1"/>
  <c r="M240" i="1"/>
  <c r="M248" i="1"/>
  <c r="M262" i="1"/>
  <c r="M597" i="1"/>
  <c r="M623" i="1"/>
  <c r="M795" i="1"/>
  <c r="M798" i="1"/>
  <c r="M853" i="1"/>
  <c r="M859" i="1"/>
  <c r="M860" i="1"/>
  <c r="M871" i="1"/>
  <c r="M897" i="1"/>
  <c r="M917" i="1"/>
  <c r="M918" i="1"/>
  <c r="M921" i="1"/>
  <c r="M922" i="1"/>
  <c r="M925" i="1"/>
  <c r="M926" i="1"/>
  <c r="M931" i="1"/>
  <c r="M935" i="1"/>
  <c r="M954" i="1"/>
  <c r="M958" i="1"/>
  <c r="M963" i="1"/>
  <c r="M972" i="1"/>
  <c r="M987" i="1"/>
  <c r="M991" i="1"/>
  <c r="M992" i="1"/>
  <c r="M1005" i="1"/>
  <c r="M1026" i="1"/>
  <c r="M1029" i="1"/>
  <c r="M1040" i="1"/>
  <c r="M1042" i="1"/>
  <c r="M1046" i="1"/>
  <c r="M1052" i="1"/>
  <c r="M1055" i="1"/>
  <c r="M1056" i="1"/>
  <c r="M1057" i="1"/>
  <c r="M1058" i="1"/>
  <c r="M1061" i="1"/>
  <c r="M1062" i="1"/>
  <c r="M1063" i="1"/>
  <c r="M1064" i="1"/>
  <c r="M1065" i="1"/>
  <c r="M1066" i="1"/>
  <c r="M1081" i="1"/>
  <c r="M1104" i="1"/>
  <c r="M1199" i="1"/>
  <c r="M1214" i="1"/>
  <c r="M1251" i="1"/>
  <c r="M1252" i="1"/>
  <c r="M1253" i="1"/>
  <c r="M1254" i="1"/>
  <c r="M1283" i="1"/>
  <c r="M1284" i="1"/>
  <c r="M1528" i="1"/>
  <c r="M1543" i="1"/>
  <c r="M1552" i="1"/>
  <c r="M1591" i="1"/>
  <c r="M674" i="1"/>
  <c r="M676" i="1"/>
  <c r="M683" i="1"/>
  <c r="M686" i="1"/>
  <c r="M695" i="1"/>
  <c r="M732" i="1"/>
  <c r="M1485" i="1"/>
  <c r="M1612" i="1"/>
  <c r="M626" i="1"/>
  <c r="M846" i="1"/>
  <c r="M847" i="1"/>
  <c r="M1437" i="1"/>
  <c r="M1684" i="1"/>
  <c r="M1687" i="1"/>
  <c r="M1688" i="1"/>
  <c r="M1689" i="1"/>
  <c r="M1690" i="1"/>
  <c r="M1691" i="1"/>
  <c r="M1665" i="1"/>
  <c r="M1670" i="1"/>
  <c r="M128" i="1"/>
  <c r="M129" i="1"/>
  <c r="M131" i="1"/>
  <c r="M306" i="1"/>
  <c r="M307" i="1"/>
  <c r="M309" i="1"/>
  <c r="M345" i="1"/>
  <c r="M351" i="1"/>
  <c r="M354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9" i="1"/>
  <c r="M404" i="1"/>
  <c r="M405" i="1"/>
  <c r="M406" i="1"/>
  <c r="M407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4" i="1"/>
  <c r="M429" i="1"/>
  <c r="M430" i="1"/>
  <c r="M431" i="1"/>
  <c r="M432" i="1"/>
  <c r="M433" i="1"/>
  <c r="M435" i="1"/>
  <c r="M436" i="1"/>
  <c r="M446" i="1"/>
  <c r="M472" i="1"/>
  <c r="M477" i="1"/>
  <c r="M481" i="1"/>
  <c r="M500" i="1"/>
  <c r="M502" i="1"/>
  <c r="M535" i="1"/>
  <c r="M536" i="1"/>
  <c r="M537" i="1"/>
  <c r="M538" i="1"/>
  <c r="M541" i="1"/>
  <c r="M542" i="1"/>
  <c r="M543" i="1"/>
  <c r="M544" i="1"/>
  <c r="M545" i="1"/>
  <c r="M547" i="1"/>
  <c r="M548" i="1"/>
  <c r="M568" i="1"/>
  <c r="M571" i="1"/>
  <c r="M611" i="1"/>
  <c r="M612" i="1"/>
  <c r="M622" i="1"/>
  <c r="M635" i="1"/>
  <c r="M641" i="1"/>
  <c r="M642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702" i="1"/>
  <c r="M706" i="1"/>
  <c r="M710" i="1"/>
  <c r="M714" i="1"/>
  <c r="M715" i="1"/>
  <c r="M733" i="1"/>
  <c r="M734" i="1"/>
  <c r="M735" i="1"/>
  <c r="M736" i="1"/>
  <c r="M737" i="1"/>
  <c r="M782" i="1"/>
  <c r="M783" i="1"/>
  <c r="M802" i="1"/>
  <c r="M808" i="1"/>
  <c r="M814" i="1"/>
  <c r="M849" i="1"/>
  <c r="M877" i="1"/>
  <c r="M879" i="1"/>
  <c r="M905" i="1"/>
  <c r="M914" i="1"/>
  <c r="M927" i="1"/>
  <c r="M949" i="1"/>
  <c r="M951" i="1"/>
  <c r="M952" i="1"/>
  <c r="M979" i="1"/>
  <c r="M981" i="1"/>
  <c r="M982" i="1"/>
  <c r="M983" i="1"/>
  <c r="M996" i="1"/>
  <c r="M997" i="1"/>
  <c r="M1011" i="1"/>
  <c r="M1031" i="1"/>
  <c r="M1032" i="1"/>
  <c r="M1033" i="1"/>
  <c r="M1070" i="1"/>
  <c r="M1095" i="1"/>
  <c r="M1099" i="1"/>
  <c r="M1110" i="1"/>
  <c r="M1111" i="1"/>
  <c r="M1112" i="1"/>
  <c r="M1113" i="1"/>
  <c r="M1114" i="1"/>
  <c r="M1115" i="1"/>
  <c r="M1116" i="1"/>
  <c r="M1117" i="1"/>
  <c r="M1119" i="1"/>
  <c r="M1172" i="1"/>
  <c r="M1173" i="1"/>
  <c r="M1174" i="1"/>
  <c r="M1175" i="1"/>
  <c r="M1176" i="1"/>
  <c r="M1177" i="1"/>
  <c r="M1178" i="1"/>
  <c r="M1179" i="1"/>
  <c r="M1181" i="1"/>
  <c r="M1182" i="1"/>
  <c r="M1189" i="1"/>
  <c r="M1201" i="1"/>
  <c r="M1233" i="1"/>
  <c r="M1234" i="1"/>
  <c r="M1236" i="1"/>
  <c r="M1237" i="1"/>
  <c r="M1238" i="1"/>
  <c r="M1239" i="1"/>
  <c r="M1242" i="1"/>
  <c r="M1249" i="1"/>
  <c r="M1250" i="1"/>
  <c r="M1255" i="1"/>
  <c r="M1256" i="1"/>
  <c r="M1268" i="1"/>
  <c r="M1270" i="1"/>
  <c r="M1271" i="1"/>
  <c r="M1282" i="1"/>
  <c r="M1285" i="1"/>
  <c r="M1286" i="1"/>
  <c r="M1295" i="1"/>
  <c r="M1296" i="1"/>
  <c r="M1302" i="1"/>
  <c r="M1304" i="1"/>
  <c r="M1305" i="1"/>
  <c r="M1306" i="1"/>
  <c r="M1311" i="1"/>
  <c r="M1314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60" i="1"/>
  <c r="M1364" i="1"/>
  <c r="M1365" i="1"/>
  <c r="M1371" i="1"/>
  <c r="M1372" i="1"/>
  <c r="M1373" i="1"/>
  <c r="M1376" i="1"/>
  <c r="M1403" i="1"/>
  <c r="M1408" i="1"/>
  <c r="M1413" i="1"/>
  <c r="M1414" i="1"/>
  <c r="M1415" i="1"/>
  <c r="M1420" i="1"/>
  <c r="M1434" i="1"/>
  <c r="M1497" i="1"/>
  <c r="M1498" i="1"/>
  <c r="M1499" i="1"/>
  <c r="M1500" i="1"/>
  <c r="M1512" i="1"/>
  <c r="M1522" i="1"/>
  <c r="M1564" i="1"/>
  <c r="M1595" i="1"/>
  <c r="M1600" i="1"/>
  <c r="M1628" i="1"/>
  <c r="M1661" i="1"/>
  <c r="M819" i="1"/>
  <c r="M822" i="1"/>
  <c r="M659" i="1"/>
  <c r="M1096" i="1"/>
  <c r="M1012" i="1"/>
  <c r="M1021" i="1"/>
  <c r="M1291" i="1"/>
  <c r="M321" i="1"/>
  <c r="M322" i="1"/>
  <c r="M323" i="1"/>
  <c r="M324" i="1"/>
  <c r="M325" i="1"/>
  <c r="M332" i="1"/>
  <c r="M1702" i="1"/>
  <c r="M1703" i="1"/>
  <c r="M1682" i="1"/>
  <c r="M1683" i="1"/>
  <c r="M1685" i="1"/>
  <c r="M1686" i="1"/>
  <c r="M1693" i="1"/>
  <c r="M1694" i="1"/>
  <c r="M1697" i="1"/>
  <c r="M1698" i="1"/>
  <c r="M1699" i="1"/>
  <c r="M1700" i="1"/>
  <c r="M1663" i="1"/>
  <c r="M1664" i="1"/>
  <c r="M1666" i="1"/>
  <c r="M1667" i="1"/>
  <c r="M1668" i="1"/>
  <c r="M1671" i="1"/>
  <c r="M1673" i="1"/>
  <c r="M1674" i="1"/>
  <c r="M1675" i="1"/>
  <c r="M1676" i="1"/>
  <c r="M1679" i="1"/>
  <c r="M1681" i="1"/>
  <c r="M2" i="1"/>
  <c r="M5" i="1"/>
  <c r="M6" i="1"/>
  <c r="M7" i="1"/>
  <c r="M8" i="1"/>
  <c r="M9" i="1"/>
  <c r="M11" i="1"/>
  <c r="M12" i="1"/>
  <c r="M13" i="1"/>
  <c r="M14" i="1"/>
  <c r="M15" i="1"/>
  <c r="M17" i="1"/>
  <c r="M20" i="1"/>
  <c r="M22" i="1"/>
  <c r="M24" i="1"/>
  <c r="M25" i="1"/>
  <c r="M28" i="1"/>
  <c r="M29" i="1"/>
  <c r="M33" i="1"/>
  <c r="M34" i="1"/>
  <c r="M35" i="1"/>
  <c r="M37" i="1"/>
  <c r="M38" i="1"/>
  <c r="M39" i="1"/>
  <c r="M40" i="1"/>
  <c r="M41" i="1"/>
  <c r="M42" i="1"/>
  <c r="M43" i="1"/>
  <c r="M45" i="1"/>
  <c r="M46" i="1"/>
  <c r="M47" i="1"/>
  <c r="M51" i="1"/>
  <c r="M52" i="1"/>
  <c r="M53" i="1"/>
  <c r="M58" i="1"/>
  <c r="M59" i="1"/>
  <c r="M60" i="1"/>
  <c r="M61" i="1"/>
  <c r="M62" i="1"/>
  <c r="M65" i="1"/>
  <c r="M67" i="1"/>
  <c r="M68" i="1"/>
  <c r="M69" i="1"/>
  <c r="M70" i="1"/>
  <c r="M71" i="1"/>
  <c r="M72" i="1"/>
  <c r="M73" i="1"/>
  <c r="M74" i="1"/>
  <c r="M75" i="1"/>
  <c r="M76" i="1"/>
  <c r="M77" i="1"/>
  <c r="M78" i="1"/>
  <c r="M81" i="1"/>
  <c r="M83" i="1"/>
  <c r="M84" i="1"/>
  <c r="M85" i="1"/>
  <c r="M86" i="1"/>
  <c r="M87" i="1"/>
  <c r="M89" i="1"/>
  <c r="M90" i="1"/>
  <c r="M91" i="1"/>
  <c r="M95" i="1"/>
  <c r="M96" i="1"/>
  <c r="M97" i="1"/>
  <c r="M98" i="1"/>
  <c r="M99" i="1"/>
  <c r="M101" i="1"/>
  <c r="M102" i="1"/>
  <c r="M103" i="1"/>
  <c r="M105" i="1"/>
  <c r="M106" i="1"/>
  <c r="M107" i="1"/>
  <c r="M108" i="1"/>
  <c r="M109" i="1"/>
  <c r="M110" i="1"/>
  <c r="M113" i="1"/>
  <c r="M114" i="1"/>
  <c r="M115" i="1"/>
  <c r="M116" i="1"/>
  <c r="M117" i="1"/>
  <c r="M118" i="1"/>
  <c r="M120" i="1"/>
  <c r="M121" i="1"/>
  <c r="M122" i="1"/>
  <c r="M123" i="1"/>
  <c r="M126" i="1"/>
  <c r="M127" i="1"/>
  <c r="M130" i="1"/>
  <c r="M135" i="1"/>
  <c r="M136" i="1"/>
  <c r="M137" i="1"/>
  <c r="M138" i="1"/>
  <c r="M139" i="1"/>
  <c r="M140" i="1"/>
  <c r="M141" i="1"/>
  <c r="M142" i="1"/>
  <c r="M143" i="1"/>
  <c r="M145" i="1"/>
  <c r="M146" i="1"/>
  <c r="M147" i="1"/>
  <c r="M148" i="1"/>
  <c r="M150" i="1"/>
  <c r="M151" i="1"/>
  <c r="M152" i="1"/>
  <c r="M153" i="1"/>
  <c r="M154" i="1"/>
  <c r="M155" i="1"/>
  <c r="M156" i="1"/>
  <c r="M157" i="1"/>
  <c r="M158" i="1"/>
  <c r="M159" i="1"/>
  <c r="M160" i="1"/>
  <c r="M164" i="1"/>
  <c r="M165" i="1"/>
  <c r="M166" i="1"/>
  <c r="M167" i="1"/>
  <c r="M169" i="1"/>
  <c r="M170" i="1"/>
  <c r="M172" i="1"/>
  <c r="M174" i="1"/>
  <c r="M175" i="1"/>
  <c r="M176" i="1"/>
  <c r="M177" i="1"/>
  <c r="M178" i="1"/>
  <c r="M179" i="1"/>
  <c r="M180" i="1"/>
  <c r="M183" i="1"/>
  <c r="M184" i="1"/>
  <c r="M185" i="1"/>
  <c r="M186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4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41" i="1"/>
  <c r="M243" i="1"/>
  <c r="M244" i="1"/>
  <c r="M245" i="1"/>
  <c r="M246" i="1"/>
  <c r="M247" i="1"/>
  <c r="M249" i="1"/>
  <c r="M250" i="1"/>
  <c r="M251" i="1"/>
  <c r="M253" i="1"/>
  <c r="M254" i="1"/>
  <c r="M256" i="1"/>
  <c r="M257" i="1"/>
  <c r="M259" i="1"/>
  <c r="M261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7" i="1"/>
  <c r="M298" i="1"/>
  <c r="M299" i="1"/>
  <c r="M300" i="1"/>
  <c r="M301" i="1"/>
  <c r="M303" i="1"/>
  <c r="M304" i="1"/>
  <c r="M305" i="1"/>
  <c r="M310" i="1"/>
  <c r="M311" i="1"/>
  <c r="M314" i="1"/>
  <c r="M315" i="1"/>
  <c r="M316" i="1"/>
  <c r="M318" i="1"/>
  <c r="M320" i="1"/>
  <c r="M327" i="1"/>
  <c r="M328" i="1"/>
  <c r="M334" i="1"/>
  <c r="M338" i="1"/>
  <c r="M352" i="1"/>
  <c r="M358" i="1"/>
  <c r="M378" i="1"/>
  <c r="M380" i="1"/>
  <c r="M382" i="1"/>
  <c r="M383" i="1"/>
  <c r="M384" i="1"/>
  <c r="M386" i="1"/>
  <c r="M391" i="1"/>
  <c r="M392" i="1"/>
  <c r="M396" i="1"/>
  <c r="M397" i="1"/>
  <c r="M398" i="1"/>
  <c r="M399" i="1"/>
  <c r="M401" i="1"/>
  <c r="M402" i="1"/>
  <c r="M403" i="1"/>
  <c r="M408" i="1"/>
  <c r="M409" i="1"/>
  <c r="M423" i="1"/>
  <c r="M426" i="1"/>
  <c r="M428" i="1"/>
  <c r="M434" i="1"/>
  <c r="M438" i="1"/>
  <c r="M439" i="1"/>
  <c r="M440" i="1"/>
  <c r="M441" i="1"/>
  <c r="M442" i="1"/>
  <c r="M443" i="1"/>
  <c r="M444" i="1"/>
  <c r="M445" i="1"/>
  <c r="M447" i="1"/>
  <c r="M449" i="1"/>
  <c r="M451" i="1"/>
  <c r="M454" i="1"/>
  <c r="M456" i="1"/>
  <c r="M459" i="1"/>
  <c r="M462" i="1"/>
  <c r="M464" i="1"/>
  <c r="M466" i="1"/>
  <c r="M468" i="1"/>
  <c r="M470" i="1"/>
  <c r="M473" i="1"/>
  <c r="M474" i="1"/>
  <c r="M478" i="1"/>
  <c r="M479" i="1"/>
  <c r="M480" i="1"/>
  <c r="M485" i="1"/>
  <c r="M486" i="1"/>
  <c r="M489" i="1"/>
  <c r="M490" i="1"/>
  <c r="M491" i="1"/>
  <c r="M493" i="1"/>
  <c r="M494" i="1"/>
  <c r="M495" i="1"/>
  <c r="M498" i="1"/>
  <c r="M499" i="1"/>
  <c r="M501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5" i="1"/>
  <c r="M526" i="1"/>
  <c r="M527" i="1"/>
  <c r="M528" i="1"/>
  <c r="M529" i="1"/>
  <c r="M530" i="1"/>
  <c r="M531" i="1"/>
  <c r="M532" i="1"/>
  <c r="M533" i="1"/>
  <c r="M540" i="1"/>
  <c r="M546" i="1"/>
  <c r="M549" i="1"/>
  <c r="M550" i="1"/>
  <c r="M552" i="1"/>
  <c r="M553" i="1"/>
  <c r="M554" i="1"/>
  <c r="M555" i="1"/>
  <c r="M556" i="1"/>
  <c r="M557" i="1"/>
  <c r="M558" i="1"/>
  <c r="M559" i="1"/>
  <c r="M561" i="1"/>
  <c r="M564" i="1"/>
  <c r="M565" i="1"/>
  <c r="M566" i="1"/>
  <c r="M567" i="1"/>
  <c r="M569" i="1"/>
  <c r="M570" i="1"/>
  <c r="M573" i="1"/>
  <c r="M574" i="1"/>
  <c r="M575" i="1"/>
  <c r="M578" i="1"/>
  <c r="M579" i="1"/>
  <c r="M580" i="1"/>
  <c r="M581" i="1"/>
  <c r="M582" i="1"/>
  <c r="M584" i="1"/>
  <c r="M585" i="1"/>
  <c r="M592" i="1"/>
  <c r="M593" i="1"/>
  <c r="M594" i="1"/>
  <c r="M596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3" i="1"/>
  <c r="M614" i="1"/>
  <c r="M615" i="1"/>
  <c r="M616" i="1"/>
  <c r="M617" i="1"/>
  <c r="M618" i="1"/>
  <c r="M619" i="1"/>
  <c r="M620" i="1"/>
  <c r="M621" i="1"/>
  <c r="M624" i="1"/>
  <c r="M625" i="1"/>
  <c r="M627" i="1"/>
  <c r="M628" i="1"/>
  <c r="M629" i="1"/>
  <c r="M630" i="1"/>
  <c r="M631" i="1"/>
  <c r="M632" i="1"/>
  <c r="M633" i="1"/>
  <c r="M634" i="1"/>
  <c r="M636" i="1"/>
  <c r="M637" i="1"/>
  <c r="M638" i="1"/>
  <c r="M639" i="1"/>
  <c r="M640" i="1"/>
  <c r="M643" i="1"/>
  <c r="M657" i="1"/>
  <c r="M658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5" i="1"/>
  <c r="M677" i="1"/>
  <c r="M678" i="1"/>
  <c r="M679" i="1"/>
  <c r="M680" i="1"/>
  <c r="M681" i="1"/>
  <c r="M682" i="1"/>
  <c r="M685" i="1"/>
  <c r="M688" i="1"/>
  <c r="M689" i="1"/>
  <c r="M690" i="1"/>
  <c r="M691" i="1"/>
  <c r="M692" i="1"/>
  <c r="M693" i="1"/>
  <c r="M694" i="1"/>
  <c r="M696" i="1"/>
  <c r="M697" i="1"/>
  <c r="M698" i="1"/>
  <c r="M699" i="1"/>
  <c r="M700" i="1"/>
  <c r="M701" i="1"/>
  <c r="M703" i="1"/>
  <c r="M704" i="1"/>
  <c r="M705" i="1"/>
  <c r="M707" i="1"/>
  <c r="M708" i="1"/>
  <c r="M709" i="1"/>
  <c r="M711" i="1"/>
  <c r="M713" i="1"/>
  <c r="M716" i="1"/>
  <c r="M717" i="1"/>
  <c r="M718" i="1"/>
  <c r="M719" i="1"/>
  <c r="M720" i="1"/>
  <c r="M722" i="1"/>
  <c r="M723" i="1"/>
  <c r="M724" i="1"/>
  <c r="M725" i="1"/>
  <c r="M727" i="1"/>
  <c r="M728" i="1"/>
  <c r="M729" i="1"/>
  <c r="M730" i="1"/>
  <c r="M731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4" i="1"/>
  <c r="M775" i="1"/>
  <c r="M776" i="1"/>
  <c r="M778" i="1"/>
  <c r="M779" i="1"/>
  <c r="M780" i="1"/>
  <c r="M781" i="1"/>
  <c r="M784" i="1"/>
  <c r="M785" i="1"/>
  <c r="M786" i="1"/>
  <c r="M787" i="1"/>
  <c r="M788" i="1"/>
  <c r="M789" i="1"/>
  <c r="M791" i="1"/>
  <c r="M792" i="1"/>
  <c r="M793" i="1"/>
  <c r="M794" i="1"/>
  <c r="M796" i="1"/>
  <c r="M797" i="1"/>
  <c r="M799" i="1"/>
  <c r="M800" i="1"/>
  <c r="M801" i="1"/>
  <c r="M803" i="1"/>
  <c r="M804" i="1"/>
  <c r="M805" i="1"/>
  <c r="M806" i="1"/>
  <c r="M807" i="1"/>
  <c r="M809" i="1"/>
  <c r="M810" i="1"/>
  <c r="M811" i="1"/>
  <c r="M812" i="1"/>
  <c r="M813" i="1"/>
  <c r="M815" i="1"/>
  <c r="M816" i="1"/>
  <c r="M817" i="1"/>
  <c r="M818" i="1"/>
  <c r="M820" i="1"/>
  <c r="M821" i="1"/>
  <c r="M823" i="1"/>
  <c r="M824" i="1"/>
  <c r="M825" i="1"/>
  <c r="M826" i="1"/>
  <c r="M827" i="1"/>
  <c r="M828" i="1"/>
  <c r="M829" i="1"/>
  <c r="M831" i="1"/>
  <c r="M832" i="1"/>
  <c r="M833" i="1"/>
  <c r="M834" i="1"/>
  <c r="M835" i="1"/>
  <c r="M839" i="1"/>
  <c r="M840" i="1"/>
  <c r="M842" i="1"/>
  <c r="M843" i="1"/>
  <c r="M845" i="1"/>
  <c r="M848" i="1"/>
  <c r="M850" i="1"/>
  <c r="M854" i="1"/>
  <c r="M856" i="1"/>
  <c r="M861" i="1"/>
  <c r="M863" i="1"/>
  <c r="M864" i="1"/>
  <c r="M866" i="1"/>
  <c r="M868" i="1"/>
  <c r="M869" i="1"/>
  <c r="M881" i="1"/>
  <c r="M886" i="1"/>
  <c r="M887" i="1"/>
  <c r="M889" i="1"/>
  <c r="M890" i="1"/>
  <c r="M891" i="1"/>
  <c r="M892" i="1"/>
  <c r="M893" i="1"/>
  <c r="M894" i="1"/>
  <c r="M895" i="1"/>
  <c r="M896" i="1"/>
  <c r="M898" i="1"/>
  <c r="M899" i="1"/>
  <c r="M900" i="1"/>
  <c r="M901" i="1"/>
  <c r="M903" i="1"/>
  <c r="M904" i="1"/>
  <c r="M906" i="1"/>
  <c r="M909" i="1"/>
  <c r="M911" i="1"/>
  <c r="M916" i="1"/>
  <c r="M919" i="1"/>
  <c r="M920" i="1"/>
  <c r="M923" i="1"/>
  <c r="M936" i="1"/>
  <c r="M940" i="1"/>
  <c r="M943" i="1"/>
  <c r="M953" i="1"/>
  <c r="M959" i="1"/>
  <c r="M961" i="1"/>
  <c r="M962" i="1"/>
  <c r="M964" i="1"/>
  <c r="M965" i="1"/>
  <c r="M971" i="1"/>
  <c r="M973" i="1"/>
  <c r="M976" i="1"/>
  <c r="M977" i="1"/>
  <c r="M978" i="1"/>
  <c r="M985" i="1"/>
  <c r="M988" i="1"/>
  <c r="M989" i="1"/>
  <c r="M990" i="1"/>
  <c r="M998" i="1"/>
  <c r="M999" i="1"/>
  <c r="M1000" i="1"/>
  <c r="M1001" i="1"/>
  <c r="M1003" i="1"/>
  <c r="M1004" i="1"/>
  <c r="M1006" i="1"/>
  <c r="M1007" i="1"/>
  <c r="M1008" i="1"/>
  <c r="M1013" i="1"/>
  <c r="M1015" i="1"/>
  <c r="M1019" i="1"/>
  <c r="M1022" i="1"/>
  <c r="M1024" i="1"/>
  <c r="M1025" i="1"/>
  <c r="M1027" i="1"/>
  <c r="M1028" i="1"/>
  <c r="M1035" i="1"/>
  <c r="M1036" i="1"/>
  <c r="M1037" i="1"/>
  <c r="M1038" i="1"/>
  <c r="M1039" i="1"/>
  <c r="M1044" i="1"/>
  <c r="M1045" i="1"/>
  <c r="M1047" i="1"/>
  <c r="M1048" i="1"/>
  <c r="M1049" i="1"/>
  <c r="M1050" i="1"/>
  <c r="M1051" i="1"/>
  <c r="M1053" i="1"/>
  <c r="M1054" i="1"/>
  <c r="M1059" i="1"/>
  <c r="M1060" i="1"/>
  <c r="M1067" i="1"/>
  <c r="M1068" i="1"/>
  <c r="M1069" i="1"/>
  <c r="M1071" i="1"/>
  <c r="M1072" i="1"/>
  <c r="M1073" i="1"/>
  <c r="M1074" i="1"/>
  <c r="M1075" i="1"/>
  <c r="M1076" i="1"/>
  <c r="M1077" i="1"/>
  <c r="M1078" i="1"/>
  <c r="M1079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7" i="1"/>
  <c r="M1098" i="1"/>
  <c r="M1100" i="1"/>
  <c r="M1101" i="1"/>
  <c r="M1102" i="1"/>
  <c r="M1103" i="1"/>
  <c r="M1105" i="1"/>
  <c r="M1106" i="1"/>
  <c r="M1107" i="1"/>
  <c r="M1108" i="1"/>
  <c r="M1109" i="1"/>
  <c r="M1118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6" i="1"/>
  <c r="M1167" i="1"/>
  <c r="M1168" i="1"/>
  <c r="M1171" i="1"/>
  <c r="M1180" i="1"/>
  <c r="M1183" i="1"/>
  <c r="M1184" i="1"/>
  <c r="M1185" i="1"/>
  <c r="M1186" i="1"/>
  <c r="M1187" i="1"/>
  <c r="M1188" i="1"/>
  <c r="M1190" i="1"/>
  <c r="M1191" i="1"/>
  <c r="M1192" i="1"/>
  <c r="M1193" i="1"/>
  <c r="M1194" i="1"/>
  <c r="M1195" i="1"/>
  <c r="M1196" i="1"/>
  <c r="M1197" i="1"/>
  <c r="M1198" i="1"/>
  <c r="M1200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5" i="1"/>
  <c r="M1240" i="1"/>
  <c r="M1243" i="1"/>
  <c r="M1244" i="1"/>
  <c r="M1245" i="1"/>
  <c r="M1246" i="1"/>
  <c r="M1247" i="1"/>
  <c r="M1248" i="1"/>
  <c r="M1257" i="1"/>
  <c r="M1258" i="1"/>
  <c r="M1259" i="1"/>
  <c r="M1261" i="1"/>
  <c r="M1262" i="1"/>
  <c r="M1263" i="1"/>
  <c r="M1264" i="1"/>
  <c r="M1265" i="1"/>
  <c r="M1266" i="1"/>
  <c r="M1269" i="1"/>
  <c r="M1272" i="1"/>
  <c r="M1273" i="1"/>
  <c r="M1274" i="1"/>
  <c r="M1275" i="1"/>
  <c r="M1276" i="1"/>
  <c r="M1277" i="1"/>
  <c r="M1278" i="1"/>
  <c r="M1279" i="1"/>
  <c r="M1281" i="1"/>
  <c r="M1287" i="1"/>
  <c r="M1289" i="1"/>
  <c r="M1292" i="1"/>
  <c r="M1293" i="1"/>
  <c r="M1294" i="1"/>
  <c r="M1297" i="1"/>
  <c r="M1298" i="1"/>
  <c r="M1299" i="1"/>
  <c r="M1300" i="1"/>
  <c r="M1301" i="1"/>
  <c r="M1303" i="1"/>
  <c r="M1307" i="1"/>
  <c r="M1308" i="1"/>
  <c r="M1309" i="1"/>
  <c r="M1310" i="1"/>
  <c r="M1312" i="1"/>
  <c r="M1313" i="1"/>
  <c r="M1315" i="1"/>
  <c r="M1316" i="1"/>
  <c r="M1334" i="1"/>
  <c r="M1335" i="1"/>
  <c r="M1357" i="1"/>
  <c r="M1358" i="1"/>
  <c r="M1359" i="1"/>
  <c r="M1361" i="1"/>
  <c r="M1362" i="1"/>
  <c r="M1363" i="1"/>
  <c r="M1366" i="1"/>
  <c r="M1367" i="1"/>
  <c r="M1368" i="1"/>
  <c r="M1369" i="1"/>
  <c r="M1370" i="1"/>
  <c r="M1374" i="1"/>
  <c r="M1375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2" i="1"/>
  <c r="M1393" i="1"/>
  <c r="M1394" i="1"/>
  <c r="M1395" i="1"/>
  <c r="M1396" i="1"/>
  <c r="M1397" i="1"/>
  <c r="M1398" i="1"/>
  <c r="M1399" i="1"/>
  <c r="M1400" i="1"/>
  <c r="M1401" i="1"/>
  <c r="M1402" i="1"/>
  <c r="M1404" i="1"/>
  <c r="M1405" i="1"/>
  <c r="M1406" i="1"/>
  <c r="M1407" i="1"/>
  <c r="M1409" i="1"/>
  <c r="M1410" i="1"/>
  <c r="M1411" i="1"/>
  <c r="M1412" i="1"/>
  <c r="M1416" i="1"/>
  <c r="M1417" i="1"/>
  <c r="M1418" i="1"/>
  <c r="M1419" i="1"/>
  <c r="M1421" i="1"/>
  <c r="M1422" i="1"/>
  <c r="M1423" i="1"/>
  <c r="M1427" i="1"/>
  <c r="M1429" i="1"/>
  <c r="M1430" i="1"/>
  <c r="M1431" i="1"/>
  <c r="M1432" i="1"/>
  <c r="M1433" i="1"/>
  <c r="M1435" i="1"/>
  <c r="M1436" i="1"/>
  <c r="M1438" i="1"/>
  <c r="M1439" i="1"/>
  <c r="M1440" i="1"/>
  <c r="M1441" i="1"/>
  <c r="M1442" i="1"/>
  <c r="M1443" i="1"/>
  <c r="M1445" i="1"/>
  <c r="M1446" i="1"/>
  <c r="M1447" i="1"/>
  <c r="M1449" i="1"/>
  <c r="M1452" i="1"/>
  <c r="M1453" i="1"/>
  <c r="M1454" i="1"/>
  <c r="M1455" i="1"/>
  <c r="M1456" i="1"/>
  <c r="M1457" i="1"/>
  <c r="M1459" i="1"/>
  <c r="M1460" i="1"/>
  <c r="M1461" i="1"/>
  <c r="M1463" i="1"/>
  <c r="M1464" i="1"/>
  <c r="M1465" i="1"/>
  <c r="M1466" i="1"/>
  <c r="M1468" i="1"/>
  <c r="M1469" i="1"/>
  <c r="M1470" i="1"/>
  <c r="M1472" i="1"/>
  <c r="M1473" i="1"/>
  <c r="M1474" i="1"/>
  <c r="M1477" i="1"/>
  <c r="M1479" i="1"/>
  <c r="M1481" i="1"/>
  <c r="M1482" i="1"/>
  <c r="M1484" i="1"/>
  <c r="M1486" i="1"/>
  <c r="M1487" i="1"/>
  <c r="M1488" i="1"/>
  <c r="M1490" i="1"/>
  <c r="M1491" i="1"/>
  <c r="M1492" i="1"/>
  <c r="M1493" i="1"/>
  <c r="M1494" i="1"/>
  <c r="M1495" i="1"/>
  <c r="M1496" i="1"/>
  <c r="M1501" i="1"/>
  <c r="M1502" i="1"/>
  <c r="M1503" i="1"/>
  <c r="M1504" i="1"/>
  <c r="M1505" i="1"/>
  <c r="M1506" i="1"/>
  <c r="M1507" i="1"/>
  <c r="M1508" i="1"/>
  <c r="M1509" i="1"/>
  <c r="M1510" i="1"/>
  <c r="M1511" i="1"/>
  <c r="M1513" i="1"/>
  <c r="M1514" i="1"/>
  <c r="M1515" i="1"/>
  <c r="M1516" i="1"/>
  <c r="M1518" i="1"/>
  <c r="M1519" i="1"/>
  <c r="M1520" i="1"/>
  <c r="M1521" i="1"/>
  <c r="M1523" i="1"/>
  <c r="M1524" i="1"/>
  <c r="M1525" i="1"/>
  <c r="M1526" i="1"/>
  <c r="M1527" i="1"/>
  <c r="M1529" i="1"/>
  <c r="M1532" i="1"/>
  <c r="M1533" i="1"/>
  <c r="M1534" i="1"/>
  <c r="M1536" i="1"/>
  <c r="M1544" i="1"/>
  <c r="M1545" i="1"/>
  <c r="M1546" i="1"/>
  <c r="M1548" i="1"/>
  <c r="M1549" i="1"/>
  <c r="M1550" i="1"/>
  <c r="M1553" i="1"/>
  <c r="M1554" i="1"/>
  <c r="M1555" i="1"/>
  <c r="M1556" i="1"/>
  <c r="M1557" i="1"/>
  <c r="M1558" i="1"/>
  <c r="M1560" i="1"/>
  <c r="M1562" i="1"/>
  <c r="M1563" i="1"/>
  <c r="M1565" i="1"/>
  <c r="M1567" i="1"/>
  <c r="M1570" i="1"/>
  <c r="M1571" i="1"/>
  <c r="M1572" i="1"/>
  <c r="M1573" i="1"/>
  <c r="M1575" i="1"/>
  <c r="M1576" i="1"/>
  <c r="M1577" i="1"/>
  <c r="M1578" i="1"/>
  <c r="M1579" i="1"/>
  <c r="M1580" i="1"/>
  <c r="M1582" i="1"/>
  <c r="M1583" i="1"/>
  <c r="M1584" i="1"/>
  <c r="M1585" i="1"/>
  <c r="M1586" i="1"/>
  <c r="M1587" i="1"/>
  <c r="M1588" i="1"/>
  <c r="M1589" i="1"/>
  <c r="M1590" i="1"/>
  <c r="M1592" i="1"/>
  <c r="M1596" i="1"/>
  <c r="M1597" i="1"/>
  <c r="M1599" i="1"/>
  <c r="M1601" i="1"/>
  <c r="M1603" i="1"/>
  <c r="M1604" i="1"/>
  <c r="M1606" i="1"/>
  <c r="M1607" i="1"/>
  <c r="M1609" i="1"/>
  <c r="M1610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9" i="1"/>
  <c r="M1630" i="1"/>
  <c r="M1631" i="1"/>
  <c r="M1632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9" i="1"/>
  <c r="M1650" i="1"/>
  <c r="M1651" i="1"/>
  <c r="M1652" i="1"/>
  <c r="M1653" i="1"/>
  <c r="M1654" i="1"/>
  <c r="M1655" i="1"/>
  <c r="M1656" i="1"/>
  <c r="M1657" i="1"/>
  <c r="M1659" i="1"/>
  <c r="M1695" i="1"/>
  <c r="M1696" i="1"/>
  <c r="M1669" i="1"/>
  <c r="M1677" i="1"/>
  <c r="M4" i="1"/>
  <c r="M21" i="1"/>
  <c r="M32" i="1"/>
  <c r="M48" i="1"/>
  <c r="M49" i="1"/>
  <c r="M56" i="1"/>
  <c r="M57" i="1"/>
  <c r="M66" i="1"/>
  <c r="M79" i="1"/>
  <c r="M82" i="1"/>
  <c r="M88" i="1"/>
  <c r="M100" i="1"/>
  <c r="M119" i="1"/>
  <c r="M162" i="1"/>
  <c r="M168" i="1"/>
  <c r="M173" i="1"/>
  <c r="M203" i="1"/>
  <c r="M218" i="1"/>
  <c r="M242" i="1"/>
  <c r="M255" i="1"/>
  <c r="M260" i="1"/>
  <c r="M278" i="1"/>
  <c r="M296" i="1"/>
  <c r="M313" i="1"/>
  <c r="M317" i="1"/>
  <c r="M326" i="1"/>
  <c r="M331" i="1"/>
  <c r="M333" i="1"/>
  <c r="M335" i="1"/>
  <c r="M336" i="1"/>
  <c r="M337" i="1"/>
  <c r="M339" i="1"/>
  <c r="M342" i="1"/>
  <c r="M344" i="1"/>
  <c r="M346" i="1"/>
  <c r="M347" i="1"/>
  <c r="M348" i="1"/>
  <c r="M350" i="1"/>
  <c r="M353" i="1"/>
  <c r="M355" i="1"/>
  <c r="M357" i="1"/>
  <c r="M377" i="1"/>
  <c r="M381" i="1"/>
  <c r="M385" i="1"/>
  <c r="M387" i="1"/>
  <c r="M394" i="1"/>
  <c r="M395" i="1"/>
  <c r="M437" i="1"/>
  <c r="M450" i="1"/>
  <c r="M453" i="1"/>
  <c r="M458" i="1"/>
  <c r="M461" i="1"/>
  <c r="M475" i="1"/>
  <c r="M484" i="1"/>
  <c r="M487" i="1"/>
  <c r="M488" i="1"/>
  <c r="M492" i="1"/>
  <c r="M497" i="1"/>
  <c r="M524" i="1"/>
  <c r="M534" i="1"/>
  <c r="M551" i="1"/>
  <c r="M560" i="1"/>
  <c r="M576" i="1"/>
  <c r="M577" i="1"/>
  <c r="M589" i="1"/>
  <c r="M726" i="1"/>
  <c r="M836" i="1"/>
  <c r="M837" i="1"/>
  <c r="M838" i="1"/>
  <c r="M841" i="1"/>
  <c r="M851" i="1"/>
  <c r="M852" i="1"/>
  <c r="M857" i="1"/>
  <c r="M858" i="1"/>
  <c r="M862" i="1"/>
  <c r="M865" i="1"/>
  <c r="M867" i="1"/>
  <c r="M870" i="1"/>
  <c r="M873" i="1"/>
  <c r="M874" i="1"/>
  <c r="M875" i="1"/>
  <c r="M876" i="1"/>
  <c r="M878" i="1"/>
  <c r="M880" i="1"/>
  <c r="M882" i="1"/>
  <c r="M883" i="1"/>
  <c r="M888" i="1"/>
  <c r="M902" i="1"/>
  <c r="M907" i="1"/>
  <c r="M908" i="1"/>
  <c r="M910" i="1"/>
  <c r="M912" i="1"/>
  <c r="M913" i="1"/>
  <c r="M915" i="1"/>
  <c r="M924" i="1"/>
  <c r="M928" i="1"/>
  <c r="M929" i="1"/>
  <c r="M930" i="1"/>
  <c r="M932" i="1"/>
  <c r="M933" i="1"/>
  <c r="M934" i="1"/>
  <c r="M938" i="1"/>
  <c r="M939" i="1"/>
  <c r="M942" i="1"/>
  <c r="M944" i="1"/>
  <c r="M947" i="1"/>
  <c r="M948" i="1"/>
  <c r="M955" i="1"/>
  <c r="M956" i="1"/>
  <c r="M957" i="1"/>
  <c r="M960" i="1"/>
  <c r="M966" i="1"/>
  <c r="M967" i="1"/>
  <c r="M969" i="1"/>
  <c r="M970" i="1"/>
  <c r="M974" i="1"/>
  <c r="M975" i="1"/>
  <c r="M980" i="1"/>
  <c r="M984" i="1"/>
  <c r="M986" i="1"/>
  <c r="M993" i="1"/>
  <c r="M994" i="1"/>
  <c r="M995" i="1"/>
  <c r="M1002" i="1"/>
  <c r="M1009" i="1"/>
  <c r="M1010" i="1"/>
  <c r="M1017" i="1"/>
  <c r="M1018" i="1"/>
  <c r="M1020" i="1"/>
  <c r="M1023" i="1"/>
  <c r="M1030" i="1"/>
  <c r="M1034" i="1"/>
  <c r="M1041" i="1"/>
  <c r="M1043" i="1"/>
  <c r="M1377" i="1"/>
  <c r="M1424" i="1"/>
  <c r="M1425" i="1"/>
  <c r="M1444" i="1"/>
  <c r="M1448" i="1"/>
  <c r="M1450" i="1"/>
  <c r="M1451" i="1"/>
  <c r="M1462" i="1"/>
  <c r="M1467" i="1"/>
  <c r="M1475" i="1"/>
  <c r="M1478" i="1"/>
  <c r="M1480" i="1"/>
  <c r="M1483" i="1"/>
  <c r="M1530" i="1"/>
  <c r="M1531" i="1"/>
  <c r="M1559" i="1"/>
  <c r="M1561" i="1"/>
  <c r="M1566" i="1"/>
  <c r="M1568" i="1"/>
  <c r="M1569" i="1"/>
  <c r="M1581" i="1"/>
  <c r="M1593" i="1"/>
  <c r="M1594" i="1"/>
  <c r="M1598" i="1"/>
  <c r="M1602" i="1"/>
  <c r="M1608" i="1"/>
  <c r="M1647" i="1"/>
  <c r="M1648" i="1"/>
  <c r="M1658" i="1"/>
  <c r="M1660" i="1"/>
  <c r="U10" i="28"/>
  <c r="U8" i="28"/>
  <c r="U11" i="28"/>
  <c r="U6" i="28"/>
  <c r="U9" i="28"/>
  <c r="U14" i="28"/>
  <c r="U12" i="28"/>
  <c r="L595" i="1"/>
  <c r="L684" i="1"/>
  <c r="L687" i="1"/>
  <c r="L1165" i="1"/>
  <c r="L1260" i="1"/>
  <c r="L1267" i="1"/>
  <c r="L23" i="1"/>
  <c r="L36" i="1"/>
  <c r="L80" i="1"/>
  <c r="L182" i="1"/>
  <c r="L205" i="1"/>
  <c r="L258" i="1"/>
  <c r="L1535" i="1"/>
  <c r="L1537" i="1"/>
  <c r="L1538" i="1"/>
  <c r="L1539" i="1"/>
  <c r="L1540" i="1"/>
  <c r="L1541" i="1"/>
  <c r="L1542" i="1"/>
  <c r="L1547" i="1"/>
  <c r="L1633" i="1"/>
  <c r="L319" i="1"/>
  <c r="L330" i="1"/>
  <c r="L343" i="1"/>
  <c r="L356" i="1"/>
  <c r="L389" i="1"/>
  <c r="L425" i="1"/>
  <c r="L448" i="1"/>
  <c r="L465" i="1"/>
  <c r="L467" i="1"/>
  <c r="L572" i="1"/>
  <c r="L590" i="1"/>
  <c r="L712" i="1"/>
  <c r="L790" i="1"/>
  <c r="L830" i="1"/>
  <c r="L844" i="1"/>
  <c r="L855" i="1"/>
  <c r="L884" i="1"/>
  <c r="L885" i="1"/>
  <c r="L937" i="1"/>
  <c r="L941" i="1"/>
  <c r="L945" i="1"/>
  <c r="L946" i="1"/>
  <c r="L950" i="1"/>
  <c r="L968" i="1"/>
  <c r="L1014" i="1"/>
  <c r="L1016" i="1"/>
  <c r="L308" i="1"/>
  <c r="L349" i="1"/>
  <c r="L457" i="1"/>
  <c r="L460" i="1"/>
  <c r="L463" i="1"/>
  <c r="L591" i="1"/>
  <c r="L341" i="1"/>
  <c r="L539" i="1"/>
  <c r="L55" i="1"/>
  <c r="L132" i="1"/>
  <c r="L149" i="1"/>
  <c r="L187" i="1"/>
  <c r="L390" i="1"/>
  <c r="L393" i="1"/>
  <c r="L400" i="1"/>
  <c r="L427" i="1"/>
  <c r="L452" i="1"/>
  <c r="L455" i="1"/>
  <c r="L483" i="1"/>
  <c r="L496" i="1"/>
  <c r="L562" i="1"/>
  <c r="L563" i="1"/>
  <c r="L583" i="1"/>
  <c r="L721" i="1"/>
  <c r="L773" i="1"/>
  <c r="L777" i="1"/>
  <c r="L1290" i="1"/>
  <c r="L1391" i="1"/>
  <c r="L1458" i="1"/>
  <c r="L1476" i="1"/>
  <c r="L1605" i="1"/>
  <c r="L1627" i="1"/>
  <c r="L302" i="1"/>
  <c r="L312" i="1"/>
  <c r="L329" i="1"/>
  <c r="L388" i="1"/>
  <c r="L469" i="1"/>
  <c r="L471" i="1"/>
  <c r="L586" i="1"/>
  <c r="L587" i="1"/>
  <c r="L588" i="1"/>
  <c r="L872" i="1"/>
  <c r="L104" i="1"/>
  <c r="L125" i="1"/>
  <c r="L161" i="1"/>
  <c r="L181" i="1"/>
  <c r="L295" i="1"/>
  <c r="L482" i="1"/>
  <c r="L1280" i="1"/>
  <c r="L1517" i="1"/>
  <c r="L94" i="1"/>
  <c r="L252" i="1"/>
  <c r="L476" i="1"/>
  <c r="L1080" i="1"/>
  <c r="L1169" i="1"/>
  <c r="L1170" i="1"/>
  <c r="L1241" i="1"/>
  <c r="L1288" i="1"/>
  <c r="L1426" i="1"/>
  <c r="L1428" i="1"/>
  <c r="L1471" i="1"/>
  <c r="L1489" i="1"/>
  <c r="L1551" i="1"/>
  <c r="L1574" i="1"/>
  <c r="L1611" i="1"/>
  <c r="L10" i="1"/>
  <c r="L16" i="1"/>
  <c r="L18" i="1"/>
  <c r="L19" i="1"/>
  <c r="L26" i="1"/>
  <c r="L27" i="1"/>
  <c r="L30" i="1"/>
  <c r="L31" i="1"/>
  <c r="L44" i="1"/>
  <c r="L50" i="1"/>
  <c r="L54" i="1"/>
  <c r="L63" i="1"/>
  <c r="L64" i="1"/>
  <c r="L92" i="1"/>
  <c r="L93" i="1"/>
  <c r="L111" i="1"/>
  <c r="L112" i="1"/>
  <c r="L124" i="1"/>
  <c r="L133" i="1"/>
  <c r="L134" i="1"/>
  <c r="L144" i="1"/>
  <c r="L163" i="1"/>
  <c r="L171" i="1"/>
  <c r="L238" i="1"/>
  <c r="L239" i="1"/>
  <c r="L240" i="1"/>
  <c r="L248" i="1"/>
  <c r="L262" i="1"/>
  <c r="L597" i="1"/>
  <c r="L623" i="1"/>
  <c r="L795" i="1"/>
  <c r="L798" i="1"/>
  <c r="L853" i="1"/>
  <c r="L859" i="1"/>
  <c r="L860" i="1"/>
  <c r="L871" i="1"/>
  <c r="L897" i="1"/>
  <c r="L917" i="1"/>
  <c r="L918" i="1"/>
  <c r="L921" i="1"/>
  <c r="L922" i="1"/>
  <c r="L925" i="1"/>
  <c r="L926" i="1"/>
  <c r="L931" i="1"/>
  <c r="L935" i="1"/>
  <c r="L954" i="1"/>
  <c r="L958" i="1"/>
  <c r="L963" i="1"/>
  <c r="L972" i="1"/>
  <c r="L987" i="1"/>
  <c r="L991" i="1"/>
  <c r="L992" i="1"/>
  <c r="L1005" i="1"/>
  <c r="L1026" i="1"/>
  <c r="L1029" i="1"/>
  <c r="L1040" i="1"/>
  <c r="L1042" i="1"/>
  <c r="L1046" i="1"/>
  <c r="L1052" i="1"/>
  <c r="L1055" i="1"/>
  <c r="L1056" i="1"/>
  <c r="L1057" i="1"/>
  <c r="L1058" i="1"/>
  <c r="L1061" i="1"/>
  <c r="L1062" i="1"/>
  <c r="L1063" i="1"/>
  <c r="L1064" i="1"/>
  <c r="L1065" i="1"/>
  <c r="L1066" i="1"/>
  <c r="L1081" i="1"/>
  <c r="L1104" i="1"/>
  <c r="L1199" i="1"/>
  <c r="L1214" i="1"/>
  <c r="L1251" i="1"/>
  <c r="L1252" i="1"/>
  <c r="L1253" i="1"/>
  <c r="L1254" i="1"/>
  <c r="L1283" i="1"/>
  <c r="L1284" i="1"/>
  <c r="L1528" i="1"/>
  <c r="L1543" i="1"/>
  <c r="L1552" i="1"/>
  <c r="L1591" i="1"/>
  <c r="L674" i="1"/>
  <c r="L676" i="1"/>
  <c r="L683" i="1"/>
  <c r="L686" i="1"/>
  <c r="L695" i="1"/>
  <c r="L732" i="1"/>
  <c r="L1485" i="1"/>
  <c r="L1612" i="1"/>
  <c r="L626" i="1"/>
  <c r="L846" i="1"/>
  <c r="L847" i="1"/>
  <c r="L1437" i="1"/>
  <c r="L128" i="1"/>
  <c r="L129" i="1"/>
  <c r="L131" i="1"/>
  <c r="L306" i="1"/>
  <c r="L307" i="1"/>
  <c r="L309" i="1"/>
  <c r="L345" i="1"/>
  <c r="L351" i="1"/>
  <c r="L354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9" i="1"/>
  <c r="L404" i="1"/>
  <c r="L405" i="1"/>
  <c r="L406" i="1"/>
  <c r="L407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4" i="1"/>
  <c r="L429" i="1"/>
  <c r="L430" i="1"/>
  <c r="L431" i="1"/>
  <c r="L432" i="1"/>
  <c r="L433" i="1"/>
  <c r="L435" i="1"/>
  <c r="L436" i="1"/>
  <c r="L446" i="1"/>
  <c r="L472" i="1"/>
  <c r="L477" i="1"/>
  <c r="L481" i="1"/>
  <c r="L500" i="1"/>
  <c r="L502" i="1"/>
  <c r="L535" i="1"/>
  <c r="L536" i="1"/>
  <c r="L537" i="1"/>
  <c r="L538" i="1"/>
  <c r="L541" i="1"/>
  <c r="L542" i="1"/>
  <c r="L543" i="1"/>
  <c r="L544" i="1"/>
  <c r="L545" i="1"/>
  <c r="L547" i="1"/>
  <c r="L548" i="1"/>
  <c r="L568" i="1"/>
  <c r="L571" i="1"/>
  <c r="L611" i="1"/>
  <c r="L612" i="1"/>
  <c r="L622" i="1"/>
  <c r="L635" i="1"/>
  <c r="L641" i="1"/>
  <c r="L642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702" i="1"/>
  <c r="L706" i="1"/>
  <c r="L710" i="1"/>
  <c r="L714" i="1"/>
  <c r="L715" i="1"/>
  <c r="L733" i="1"/>
  <c r="L734" i="1"/>
  <c r="L735" i="1"/>
  <c r="L736" i="1"/>
  <c r="L737" i="1"/>
  <c r="L782" i="1"/>
  <c r="L783" i="1"/>
  <c r="L802" i="1"/>
  <c r="L808" i="1"/>
  <c r="L814" i="1"/>
  <c r="L849" i="1"/>
  <c r="L877" i="1"/>
  <c r="L879" i="1"/>
  <c r="L905" i="1"/>
  <c r="L914" i="1"/>
  <c r="L927" i="1"/>
  <c r="L949" i="1"/>
  <c r="L951" i="1"/>
  <c r="L952" i="1"/>
  <c r="L979" i="1"/>
  <c r="L981" i="1"/>
  <c r="L982" i="1"/>
  <c r="L983" i="1"/>
  <c r="L996" i="1"/>
  <c r="L997" i="1"/>
  <c r="L1011" i="1"/>
  <c r="L1031" i="1"/>
  <c r="L1032" i="1"/>
  <c r="L1033" i="1"/>
  <c r="L1070" i="1"/>
  <c r="L1095" i="1"/>
  <c r="L1099" i="1"/>
  <c r="L1110" i="1"/>
  <c r="L1111" i="1"/>
  <c r="L1112" i="1"/>
  <c r="L1113" i="1"/>
  <c r="L1114" i="1"/>
  <c r="L1115" i="1"/>
  <c r="L1116" i="1"/>
  <c r="L1117" i="1"/>
  <c r="L1119" i="1"/>
  <c r="L1172" i="1"/>
  <c r="L1173" i="1"/>
  <c r="L1174" i="1"/>
  <c r="L1175" i="1"/>
  <c r="L1176" i="1"/>
  <c r="L1177" i="1"/>
  <c r="L1178" i="1"/>
  <c r="L1179" i="1"/>
  <c r="L1181" i="1"/>
  <c r="L1182" i="1"/>
  <c r="L1189" i="1"/>
  <c r="L1201" i="1"/>
  <c r="L1233" i="1"/>
  <c r="L1234" i="1"/>
  <c r="L1236" i="1"/>
  <c r="L1237" i="1"/>
  <c r="L1238" i="1"/>
  <c r="L1239" i="1"/>
  <c r="L1242" i="1"/>
  <c r="L1249" i="1"/>
  <c r="L1250" i="1"/>
  <c r="L1255" i="1"/>
  <c r="L1256" i="1"/>
  <c r="L1268" i="1"/>
  <c r="L1270" i="1"/>
  <c r="L1271" i="1"/>
  <c r="L1282" i="1"/>
  <c r="L1285" i="1"/>
  <c r="L1286" i="1"/>
  <c r="L1295" i="1"/>
  <c r="L1296" i="1"/>
  <c r="L1302" i="1"/>
  <c r="L1304" i="1"/>
  <c r="L1305" i="1"/>
  <c r="L1306" i="1"/>
  <c r="L1311" i="1"/>
  <c r="L1314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60" i="1"/>
  <c r="L1364" i="1"/>
  <c r="L1365" i="1"/>
  <c r="L1371" i="1"/>
  <c r="L1372" i="1"/>
  <c r="L1373" i="1"/>
  <c r="L1376" i="1"/>
  <c r="L1403" i="1"/>
  <c r="L1408" i="1"/>
  <c r="L1413" i="1"/>
  <c r="L1414" i="1"/>
  <c r="L1415" i="1"/>
  <c r="L1420" i="1"/>
  <c r="L1434" i="1"/>
  <c r="L1497" i="1"/>
  <c r="L1498" i="1"/>
  <c r="L1499" i="1"/>
  <c r="L1500" i="1"/>
  <c r="L1512" i="1"/>
  <c r="L1522" i="1"/>
  <c r="L1564" i="1"/>
  <c r="L1595" i="1"/>
  <c r="L1600" i="1"/>
  <c r="L1628" i="1"/>
  <c r="L819" i="1"/>
  <c r="L822" i="1"/>
  <c r="L659" i="1"/>
  <c r="L1096" i="1"/>
  <c r="L1012" i="1"/>
  <c r="L1021" i="1"/>
  <c r="L1291" i="1"/>
  <c r="L321" i="1"/>
  <c r="L322" i="1"/>
  <c r="L323" i="1"/>
  <c r="L324" i="1"/>
  <c r="L325" i="1"/>
  <c r="L332" i="1"/>
  <c r="L1641" i="1"/>
  <c r="L2" i="1"/>
  <c r="L5" i="1"/>
  <c r="L6" i="1"/>
  <c r="L7" i="1"/>
  <c r="L8" i="1"/>
  <c r="L9" i="1"/>
  <c r="L11" i="1"/>
  <c r="L12" i="1"/>
  <c r="L13" i="1"/>
  <c r="L14" i="1"/>
  <c r="L15" i="1"/>
  <c r="L17" i="1"/>
  <c r="L20" i="1"/>
  <c r="L22" i="1"/>
  <c r="L24" i="1"/>
  <c r="L25" i="1"/>
  <c r="L28" i="1"/>
  <c r="L29" i="1"/>
  <c r="L33" i="1"/>
  <c r="L34" i="1"/>
  <c r="L35" i="1"/>
  <c r="L37" i="1"/>
  <c r="L38" i="1"/>
  <c r="L39" i="1"/>
  <c r="L40" i="1"/>
  <c r="L41" i="1"/>
  <c r="L42" i="1"/>
  <c r="L43" i="1"/>
  <c r="L45" i="1"/>
  <c r="L46" i="1"/>
  <c r="L47" i="1"/>
  <c r="L51" i="1"/>
  <c r="L52" i="1"/>
  <c r="L53" i="1"/>
  <c r="L58" i="1"/>
  <c r="L59" i="1"/>
  <c r="L60" i="1"/>
  <c r="L61" i="1"/>
  <c r="L62" i="1"/>
  <c r="L65" i="1"/>
  <c r="L67" i="1"/>
  <c r="L68" i="1"/>
  <c r="L69" i="1"/>
  <c r="L70" i="1"/>
  <c r="L71" i="1"/>
  <c r="L72" i="1"/>
  <c r="L73" i="1"/>
  <c r="L74" i="1"/>
  <c r="L75" i="1"/>
  <c r="L76" i="1"/>
  <c r="L77" i="1"/>
  <c r="L78" i="1"/>
  <c r="L81" i="1"/>
  <c r="L83" i="1"/>
  <c r="L84" i="1"/>
  <c r="L85" i="1"/>
  <c r="L86" i="1"/>
  <c r="L87" i="1"/>
  <c r="L89" i="1"/>
  <c r="L90" i="1"/>
  <c r="L91" i="1"/>
  <c r="L95" i="1"/>
  <c r="L96" i="1"/>
  <c r="L97" i="1"/>
  <c r="L98" i="1"/>
  <c r="L99" i="1"/>
  <c r="L101" i="1"/>
  <c r="L102" i="1"/>
  <c r="L103" i="1"/>
  <c r="L105" i="1"/>
  <c r="L106" i="1"/>
  <c r="L107" i="1"/>
  <c r="L108" i="1"/>
  <c r="L109" i="1"/>
  <c r="L110" i="1"/>
  <c r="L113" i="1"/>
  <c r="L114" i="1"/>
  <c r="L115" i="1"/>
  <c r="L116" i="1"/>
  <c r="L117" i="1"/>
  <c r="L118" i="1"/>
  <c r="L120" i="1"/>
  <c r="L121" i="1"/>
  <c r="L122" i="1"/>
  <c r="L123" i="1"/>
  <c r="L126" i="1"/>
  <c r="L127" i="1"/>
  <c r="L130" i="1"/>
  <c r="L135" i="1"/>
  <c r="L136" i="1"/>
  <c r="L137" i="1"/>
  <c r="L138" i="1"/>
  <c r="L139" i="1"/>
  <c r="L140" i="1"/>
  <c r="L141" i="1"/>
  <c r="L142" i="1"/>
  <c r="L143" i="1"/>
  <c r="L145" i="1"/>
  <c r="L146" i="1"/>
  <c r="L147" i="1"/>
  <c r="L148" i="1"/>
  <c r="L150" i="1"/>
  <c r="L151" i="1"/>
  <c r="L152" i="1"/>
  <c r="L153" i="1"/>
  <c r="L154" i="1"/>
  <c r="L155" i="1"/>
  <c r="L156" i="1"/>
  <c r="L157" i="1"/>
  <c r="L158" i="1"/>
  <c r="L159" i="1"/>
  <c r="L160" i="1"/>
  <c r="L164" i="1"/>
  <c r="L165" i="1"/>
  <c r="L166" i="1"/>
  <c r="L167" i="1"/>
  <c r="L169" i="1"/>
  <c r="L170" i="1"/>
  <c r="L172" i="1"/>
  <c r="L174" i="1"/>
  <c r="L175" i="1"/>
  <c r="L176" i="1"/>
  <c r="L177" i="1"/>
  <c r="L178" i="1"/>
  <c r="L179" i="1"/>
  <c r="L180" i="1"/>
  <c r="L183" i="1"/>
  <c r="L184" i="1"/>
  <c r="L185" i="1"/>
  <c r="L186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41" i="1"/>
  <c r="L243" i="1"/>
  <c r="L244" i="1"/>
  <c r="L245" i="1"/>
  <c r="L246" i="1"/>
  <c r="L247" i="1"/>
  <c r="L249" i="1"/>
  <c r="L250" i="1"/>
  <c r="L251" i="1"/>
  <c r="L253" i="1"/>
  <c r="L254" i="1"/>
  <c r="L256" i="1"/>
  <c r="L257" i="1"/>
  <c r="L259" i="1"/>
  <c r="L261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7" i="1"/>
  <c r="L298" i="1"/>
  <c r="L299" i="1"/>
  <c r="L300" i="1"/>
  <c r="L301" i="1"/>
  <c r="L303" i="1"/>
  <c r="L304" i="1"/>
  <c r="L305" i="1"/>
  <c r="L310" i="1"/>
  <c r="L311" i="1"/>
  <c r="L314" i="1"/>
  <c r="L315" i="1"/>
  <c r="L316" i="1"/>
  <c r="L318" i="1"/>
  <c r="L320" i="1"/>
  <c r="L327" i="1"/>
  <c r="L328" i="1"/>
  <c r="L334" i="1"/>
  <c r="L338" i="1"/>
  <c r="L352" i="1"/>
  <c r="L358" i="1"/>
  <c r="L378" i="1"/>
  <c r="L380" i="1"/>
  <c r="L382" i="1"/>
  <c r="L383" i="1"/>
  <c r="L384" i="1"/>
  <c r="L386" i="1"/>
  <c r="L391" i="1"/>
  <c r="L392" i="1"/>
  <c r="L396" i="1"/>
  <c r="L397" i="1"/>
  <c r="L398" i="1"/>
  <c r="L399" i="1"/>
  <c r="L401" i="1"/>
  <c r="L402" i="1"/>
  <c r="L403" i="1"/>
  <c r="L408" i="1"/>
  <c r="L409" i="1"/>
  <c r="L423" i="1"/>
  <c r="L426" i="1"/>
  <c r="L428" i="1"/>
  <c r="L434" i="1"/>
  <c r="L438" i="1"/>
  <c r="L439" i="1"/>
  <c r="L440" i="1"/>
  <c r="L441" i="1"/>
  <c r="L442" i="1"/>
  <c r="L443" i="1"/>
  <c r="L444" i="1"/>
  <c r="L445" i="1"/>
  <c r="L447" i="1"/>
  <c r="L449" i="1"/>
  <c r="L451" i="1"/>
  <c r="L454" i="1"/>
  <c r="L456" i="1"/>
  <c r="L459" i="1"/>
  <c r="L462" i="1"/>
  <c r="L464" i="1"/>
  <c r="L466" i="1"/>
  <c r="L468" i="1"/>
  <c r="L470" i="1"/>
  <c r="L473" i="1"/>
  <c r="L474" i="1"/>
  <c r="L478" i="1"/>
  <c r="L479" i="1"/>
  <c r="L480" i="1"/>
  <c r="L485" i="1"/>
  <c r="L486" i="1"/>
  <c r="L489" i="1"/>
  <c r="L490" i="1"/>
  <c r="L491" i="1"/>
  <c r="L493" i="1"/>
  <c r="L494" i="1"/>
  <c r="L495" i="1"/>
  <c r="L498" i="1"/>
  <c r="L499" i="1"/>
  <c r="L501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5" i="1"/>
  <c r="L526" i="1"/>
  <c r="L527" i="1"/>
  <c r="L528" i="1"/>
  <c r="L529" i="1"/>
  <c r="L530" i="1"/>
  <c r="L531" i="1"/>
  <c r="L532" i="1"/>
  <c r="L533" i="1"/>
  <c r="L540" i="1"/>
  <c r="L546" i="1"/>
  <c r="L549" i="1"/>
  <c r="L550" i="1"/>
  <c r="L552" i="1"/>
  <c r="L553" i="1"/>
  <c r="L554" i="1"/>
  <c r="L555" i="1"/>
  <c r="L556" i="1"/>
  <c r="L557" i="1"/>
  <c r="L558" i="1"/>
  <c r="L559" i="1"/>
  <c r="L561" i="1"/>
  <c r="L564" i="1"/>
  <c r="L565" i="1"/>
  <c r="L566" i="1"/>
  <c r="L567" i="1"/>
  <c r="L569" i="1"/>
  <c r="L570" i="1"/>
  <c r="L573" i="1"/>
  <c r="L574" i="1"/>
  <c r="L575" i="1"/>
  <c r="L578" i="1"/>
  <c r="L579" i="1"/>
  <c r="L580" i="1"/>
  <c r="L581" i="1"/>
  <c r="L582" i="1"/>
  <c r="L584" i="1"/>
  <c r="L585" i="1"/>
  <c r="L592" i="1"/>
  <c r="L593" i="1"/>
  <c r="L594" i="1"/>
  <c r="L596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3" i="1"/>
  <c r="L614" i="1"/>
  <c r="L615" i="1"/>
  <c r="L616" i="1"/>
  <c r="L617" i="1"/>
  <c r="L618" i="1"/>
  <c r="L619" i="1"/>
  <c r="L620" i="1"/>
  <c r="L621" i="1"/>
  <c r="L624" i="1"/>
  <c r="L625" i="1"/>
  <c r="L627" i="1"/>
  <c r="L628" i="1"/>
  <c r="L629" i="1"/>
  <c r="L630" i="1"/>
  <c r="L631" i="1"/>
  <c r="L632" i="1"/>
  <c r="L633" i="1"/>
  <c r="L634" i="1"/>
  <c r="L636" i="1"/>
  <c r="L637" i="1"/>
  <c r="L638" i="1"/>
  <c r="L639" i="1"/>
  <c r="L640" i="1"/>
  <c r="L643" i="1"/>
  <c r="L657" i="1"/>
  <c r="L658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5" i="1"/>
  <c r="L677" i="1"/>
  <c r="L678" i="1"/>
  <c r="L679" i="1"/>
  <c r="L680" i="1"/>
  <c r="L681" i="1"/>
  <c r="L682" i="1"/>
  <c r="L685" i="1"/>
  <c r="L688" i="1"/>
  <c r="L689" i="1"/>
  <c r="L690" i="1"/>
  <c r="L691" i="1"/>
  <c r="L692" i="1"/>
  <c r="L693" i="1"/>
  <c r="L694" i="1"/>
  <c r="L696" i="1"/>
  <c r="L697" i="1"/>
  <c r="L698" i="1"/>
  <c r="L699" i="1"/>
  <c r="L700" i="1"/>
  <c r="L701" i="1"/>
  <c r="L703" i="1"/>
  <c r="L704" i="1"/>
  <c r="L705" i="1"/>
  <c r="L707" i="1"/>
  <c r="L708" i="1"/>
  <c r="L709" i="1"/>
  <c r="L711" i="1"/>
  <c r="L713" i="1"/>
  <c r="L716" i="1"/>
  <c r="L717" i="1"/>
  <c r="L718" i="1"/>
  <c r="L719" i="1"/>
  <c r="L720" i="1"/>
  <c r="L722" i="1"/>
  <c r="L723" i="1"/>
  <c r="L724" i="1"/>
  <c r="L725" i="1"/>
  <c r="L727" i="1"/>
  <c r="L728" i="1"/>
  <c r="L729" i="1"/>
  <c r="L730" i="1"/>
  <c r="L731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4" i="1"/>
  <c r="L775" i="1"/>
  <c r="L776" i="1"/>
  <c r="L778" i="1"/>
  <c r="L779" i="1"/>
  <c r="L780" i="1"/>
  <c r="L781" i="1"/>
  <c r="L784" i="1"/>
  <c r="L785" i="1"/>
  <c r="L786" i="1"/>
  <c r="L787" i="1"/>
  <c r="L788" i="1"/>
  <c r="L789" i="1"/>
  <c r="L791" i="1"/>
  <c r="L792" i="1"/>
  <c r="L793" i="1"/>
  <c r="L794" i="1"/>
  <c r="L796" i="1"/>
  <c r="L797" i="1"/>
  <c r="L799" i="1"/>
  <c r="L800" i="1"/>
  <c r="L801" i="1"/>
  <c r="L803" i="1"/>
  <c r="L804" i="1"/>
  <c r="L805" i="1"/>
  <c r="L806" i="1"/>
  <c r="L807" i="1"/>
  <c r="L809" i="1"/>
  <c r="L810" i="1"/>
  <c r="L811" i="1"/>
  <c r="L812" i="1"/>
  <c r="L813" i="1"/>
  <c r="L815" i="1"/>
  <c r="L816" i="1"/>
  <c r="L817" i="1"/>
  <c r="L818" i="1"/>
  <c r="L820" i="1"/>
  <c r="L821" i="1"/>
  <c r="L823" i="1"/>
  <c r="L824" i="1"/>
  <c r="L825" i="1"/>
  <c r="L826" i="1"/>
  <c r="L827" i="1"/>
  <c r="L828" i="1"/>
  <c r="L829" i="1"/>
  <c r="L831" i="1"/>
  <c r="L832" i="1"/>
  <c r="L833" i="1"/>
  <c r="L834" i="1"/>
  <c r="L835" i="1"/>
  <c r="L839" i="1"/>
  <c r="L840" i="1"/>
  <c r="L842" i="1"/>
  <c r="L843" i="1"/>
  <c r="L845" i="1"/>
  <c r="L848" i="1"/>
  <c r="L850" i="1"/>
  <c r="L854" i="1"/>
  <c r="L856" i="1"/>
  <c r="L861" i="1"/>
  <c r="L863" i="1"/>
  <c r="L864" i="1"/>
  <c r="L866" i="1"/>
  <c r="L868" i="1"/>
  <c r="L869" i="1"/>
  <c r="L881" i="1"/>
  <c r="L886" i="1"/>
  <c r="L887" i="1"/>
  <c r="L889" i="1"/>
  <c r="L890" i="1"/>
  <c r="L891" i="1"/>
  <c r="L892" i="1"/>
  <c r="L893" i="1"/>
  <c r="L894" i="1"/>
  <c r="L895" i="1"/>
  <c r="L896" i="1"/>
  <c r="L898" i="1"/>
  <c r="L899" i="1"/>
  <c r="L900" i="1"/>
  <c r="L901" i="1"/>
  <c r="L903" i="1"/>
  <c r="L904" i="1"/>
  <c r="L906" i="1"/>
  <c r="L909" i="1"/>
  <c r="L911" i="1"/>
  <c r="L916" i="1"/>
  <c r="L919" i="1"/>
  <c r="L920" i="1"/>
  <c r="L923" i="1"/>
  <c r="L936" i="1"/>
  <c r="L940" i="1"/>
  <c r="L943" i="1"/>
  <c r="L953" i="1"/>
  <c r="L959" i="1"/>
  <c r="L961" i="1"/>
  <c r="L962" i="1"/>
  <c r="L964" i="1"/>
  <c r="L965" i="1"/>
  <c r="L971" i="1"/>
  <c r="L973" i="1"/>
  <c r="L976" i="1"/>
  <c r="L977" i="1"/>
  <c r="L978" i="1"/>
  <c r="L985" i="1"/>
  <c r="L988" i="1"/>
  <c r="L989" i="1"/>
  <c r="L990" i="1"/>
  <c r="L998" i="1"/>
  <c r="L999" i="1"/>
  <c r="L1000" i="1"/>
  <c r="L1001" i="1"/>
  <c r="L1003" i="1"/>
  <c r="L1004" i="1"/>
  <c r="L1006" i="1"/>
  <c r="L1007" i="1"/>
  <c r="L1008" i="1"/>
  <c r="L1013" i="1"/>
  <c r="L1015" i="1"/>
  <c r="L1019" i="1"/>
  <c r="L1022" i="1"/>
  <c r="L1024" i="1"/>
  <c r="L1025" i="1"/>
  <c r="L1027" i="1"/>
  <c r="L1028" i="1"/>
  <c r="L1035" i="1"/>
  <c r="L1036" i="1"/>
  <c r="L1037" i="1"/>
  <c r="L1038" i="1"/>
  <c r="L1039" i="1"/>
  <c r="L1044" i="1"/>
  <c r="L1045" i="1"/>
  <c r="L1047" i="1"/>
  <c r="L1048" i="1"/>
  <c r="L1049" i="1"/>
  <c r="L1050" i="1"/>
  <c r="L1051" i="1"/>
  <c r="L1053" i="1"/>
  <c r="L1054" i="1"/>
  <c r="L1059" i="1"/>
  <c r="L1060" i="1"/>
  <c r="L1067" i="1"/>
  <c r="L1068" i="1"/>
  <c r="L1069" i="1"/>
  <c r="L1071" i="1"/>
  <c r="L1072" i="1"/>
  <c r="L1073" i="1"/>
  <c r="L1074" i="1"/>
  <c r="L1075" i="1"/>
  <c r="L1076" i="1"/>
  <c r="L1077" i="1"/>
  <c r="L1078" i="1"/>
  <c r="L1079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7" i="1"/>
  <c r="L1098" i="1"/>
  <c r="L1100" i="1"/>
  <c r="L1101" i="1"/>
  <c r="L1102" i="1"/>
  <c r="L1103" i="1"/>
  <c r="L1105" i="1"/>
  <c r="L1106" i="1"/>
  <c r="L1107" i="1"/>
  <c r="L1108" i="1"/>
  <c r="L1109" i="1"/>
  <c r="L1118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6" i="1"/>
  <c r="L1167" i="1"/>
  <c r="L1168" i="1"/>
  <c r="L1171" i="1"/>
  <c r="L1180" i="1"/>
  <c r="L1183" i="1"/>
  <c r="L1184" i="1"/>
  <c r="L1185" i="1"/>
  <c r="L1186" i="1"/>
  <c r="L1187" i="1"/>
  <c r="L1188" i="1"/>
  <c r="L1190" i="1"/>
  <c r="L1191" i="1"/>
  <c r="L1192" i="1"/>
  <c r="L1193" i="1"/>
  <c r="L1194" i="1"/>
  <c r="L1195" i="1"/>
  <c r="L1196" i="1"/>
  <c r="L1197" i="1"/>
  <c r="L1198" i="1"/>
  <c r="L1200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5" i="1"/>
  <c r="L1240" i="1"/>
  <c r="L1243" i="1"/>
  <c r="L1244" i="1"/>
  <c r="L1245" i="1"/>
  <c r="L1246" i="1"/>
  <c r="L1247" i="1"/>
  <c r="L1248" i="1"/>
  <c r="L1257" i="1"/>
  <c r="L1258" i="1"/>
  <c r="L1259" i="1"/>
  <c r="L1261" i="1"/>
  <c r="L1262" i="1"/>
  <c r="L1263" i="1"/>
  <c r="L1264" i="1"/>
  <c r="L1265" i="1"/>
  <c r="L1266" i="1"/>
  <c r="L1269" i="1"/>
  <c r="L1272" i="1"/>
  <c r="L1273" i="1"/>
  <c r="L1274" i="1"/>
  <c r="L1275" i="1"/>
  <c r="L1276" i="1"/>
  <c r="L1277" i="1"/>
  <c r="L1278" i="1"/>
  <c r="L1279" i="1"/>
  <c r="L1281" i="1"/>
  <c r="L1287" i="1"/>
  <c r="L1289" i="1"/>
  <c r="L1292" i="1"/>
  <c r="L1293" i="1"/>
  <c r="L1294" i="1"/>
  <c r="L1297" i="1"/>
  <c r="L1298" i="1"/>
  <c r="L1299" i="1"/>
  <c r="L1300" i="1"/>
  <c r="L1301" i="1"/>
  <c r="L1303" i="1"/>
  <c r="L1307" i="1"/>
  <c r="L1308" i="1"/>
  <c r="L1309" i="1"/>
  <c r="L1310" i="1"/>
  <c r="L1312" i="1"/>
  <c r="L1313" i="1"/>
  <c r="L1315" i="1"/>
  <c r="L1316" i="1"/>
  <c r="L1334" i="1"/>
  <c r="L1335" i="1"/>
  <c r="L1357" i="1"/>
  <c r="L1358" i="1"/>
  <c r="L1359" i="1"/>
  <c r="L1361" i="1"/>
  <c r="L1362" i="1"/>
  <c r="L1363" i="1"/>
  <c r="L1366" i="1"/>
  <c r="L1367" i="1"/>
  <c r="L1368" i="1"/>
  <c r="L1369" i="1"/>
  <c r="L1370" i="1"/>
  <c r="L1374" i="1"/>
  <c r="L1375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2" i="1"/>
  <c r="L1393" i="1"/>
  <c r="L1394" i="1"/>
  <c r="L1395" i="1"/>
  <c r="L1396" i="1"/>
  <c r="L1397" i="1"/>
  <c r="L1398" i="1"/>
  <c r="L1399" i="1"/>
  <c r="L1400" i="1"/>
  <c r="L1401" i="1"/>
  <c r="L1402" i="1"/>
  <c r="L1404" i="1"/>
  <c r="L1405" i="1"/>
  <c r="L1406" i="1"/>
  <c r="L1407" i="1"/>
  <c r="L1409" i="1"/>
  <c r="L1410" i="1"/>
  <c r="L1411" i="1"/>
  <c r="L1412" i="1"/>
  <c r="L1416" i="1"/>
  <c r="L1417" i="1"/>
  <c r="L1418" i="1"/>
  <c r="L1419" i="1"/>
  <c r="L1421" i="1"/>
  <c r="L1422" i="1"/>
  <c r="L1423" i="1"/>
  <c r="L1427" i="1"/>
  <c r="L1429" i="1"/>
  <c r="L1430" i="1"/>
  <c r="L1431" i="1"/>
  <c r="L1432" i="1"/>
  <c r="L1433" i="1"/>
  <c r="L1435" i="1"/>
  <c r="L1436" i="1"/>
  <c r="L1438" i="1"/>
  <c r="L1439" i="1"/>
  <c r="L1440" i="1"/>
  <c r="L1441" i="1"/>
  <c r="L1442" i="1"/>
  <c r="L1443" i="1"/>
  <c r="L1445" i="1"/>
  <c r="L1446" i="1"/>
  <c r="L1447" i="1"/>
  <c r="L1449" i="1"/>
  <c r="L1452" i="1"/>
  <c r="L1453" i="1"/>
  <c r="L1454" i="1"/>
  <c r="L1455" i="1"/>
  <c r="L1456" i="1"/>
  <c r="L1457" i="1"/>
  <c r="L1459" i="1"/>
  <c r="L1460" i="1"/>
  <c r="L1461" i="1"/>
  <c r="L1463" i="1"/>
  <c r="L1464" i="1"/>
  <c r="L1465" i="1"/>
  <c r="L1466" i="1"/>
  <c r="L1468" i="1"/>
  <c r="L1469" i="1"/>
  <c r="L1470" i="1"/>
  <c r="L1472" i="1"/>
  <c r="L1473" i="1"/>
  <c r="L1474" i="1"/>
  <c r="L1477" i="1"/>
  <c r="L1479" i="1"/>
  <c r="L1481" i="1"/>
  <c r="L1482" i="1"/>
  <c r="L1484" i="1"/>
  <c r="L1486" i="1"/>
  <c r="L1487" i="1"/>
  <c r="L1488" i="1"/>
  <c r="L1490" i="1"/>
  <c r="L1491" i="1"/>
  <c r="L1492" i="1"/>
  <c r="L1493" i="1"/>
  <c r="L1494" i="1"/>
  <c r="L1495" i="1"/>
  <c r="L1496" i="1"/>
  <c r="L1501" i="1"/>
  <c r="L1502" i="1"/>
  <c r="L1503" i="1"/>
  <c r="L1504" i="1"/>
  <c r="L1505" i="1"/>
  <c r="L1506" i="1"/>
  <c r="L1507" i="1"/>
  <c r="L1508" i="1"/>
  <c r="L1509" i="1"/>
  <c r="L1510" i="1"/>
  <c r="L1511" i="1"/>
  <c r="L1513" i="1"/>
  <c r="L1514" i="1"/>
  <c r="L1515" i="1"/>
  <c r="L1516" i="1"/>
  <c r="L1518" i="1"/>
  <c r="L1519" i="1"/>
  <c r="L1520" i="1"/>
  <c r="L1521" i="1"/>
  <c r="L1523" i="1"/>
  <c r="L1524" i="1"/>
  <c r="L1525" i="1"/>
  <c r="L1526" i="1"/>
  <c r="L1527" i="1"/>
  <c r="L1529" i="1"/>
  <c r="L1532" i="1"/>
  <c r="L1533" i="1"/>
  <c r="L1534" i="1"/>
  <c r="L1536" i="1"/>
  <c r="L1544" i="1"/>
  <c r="L1545" i="1"/>
  <c r="L1546" i="1"/>
  <c r="L1548" i="1"/>
  <c r="L1549" i="1"/>
  <c r="L1550" i="1"/>
  <c r="L1553" i="1"/>
  <c r="L1554" i="1"/>
  <c r="L1555" i="1"/>
  <c r="L1556" i="1"/>
  <c r="L1557" i="1"/>
  <c r="L1558" i="1"/>
  <c r="L1560" i="1"/>
  <c r="L1562" i="1"/>
  <c r="L1563" i="1"/>
  <c r="L1565" i="1"/>
  <c r="L1567" i="1"/>
  <c r="L1570" i="1"/>
  <c r="L1571" i="1"/>
  <c r="L1572" i="1"/>
  <c r="L1573" i="1"/>
  <c r="L1575" i="1"/>
  <c r="L1576" i="1"/>
  <c r="L1577" i="1"/>
  <c r="L1578" i="1"/>
  <c r="L1579" i="1"/>
  <c r="L1580" i="1"/>
  <c r="L1582" i="1"/>
  <c r="L1583" i="1"/>
  <c r="L1584" i="1"/>
  <c r="L1585" i="1"/>
  <c r="L1586" i="1"/>
  <c r="L1587" i="1"/>
  <c r="L1588" i="1"/>
  <c r="L1589" i="1"/>
  <c r="L1590" i="1"/>
  <c r="L1592" i="1"/>
  <c r="L1596" i="1"/>
  <c r="L1597" i="1"/>
  <c r="L1599" i="1"/>
  <c r="L1601" i="1"/>
  <c r="L1603" i="1"/>
  <c r="L1604" i="1"/>
  <c r="L1606" i="1"/>
  <c r="L1607" i="1"/>
  <c r="L1609" i="1"/>
  <c r="L1610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9" i="1"/>
  <c r="L1630" i="1"/>
  <c r="L1631" i="1"/>
  <c r="L1632" i="1"/>
  <c r="L1634" i="1"/>
  <c r="L1635" i="1"/>
  <c r="L1636" i="1"/>
  <c r="L1637" i="1"/>
  <c r="L1638" i="1"/>
  <c r="L1639" i="1"/>
  <c r="L1640" i="1"/>
  <c r="L4" i="1"/>
  <c r="L21" i="1"/>
  <c r="L32" i="1"/>
  <c r="L48" i="1"/>
  <c r="L49" i="1"/>
  <c r="L56" i="1"/>
  <c r="L57" i="1"/>
  <c r="L66" i="1"/>
  <c r="L79" i="1"/>
  <c r="L82" i="1"/>
  <c r="L88" i="1"/>
  <c r="L100" i="1"/>
  <c r="L119" i="1"/>
  <c r="L162" i="1"/>
  <c r="L168" i="1"/>
  <c r="L173" i="1"/>
  <c r="L203" i="1"/>
  <c r="L218" i="1"/>
  <c r="L242" i="1"/>
  <c r="L255" i="1"/>
  <c r="L260" i="1"/>
  <c r="L278" i="1"/>
  <c r="L296" i="1"/>
  <c r="L313" i="1"/>
  <c r="L317" i="1"/>
  <c r="L326" i="1"/>
  <c r="L331" i="1"/>
  <c r="L333" i="1"/>
  <c r="L335" i="1"/>
  <c r="L336" i="1"/>
  <c r="L337" i="1"/>
  <c r="L339" i="1"/>
  <c r="L342" i="1"/>
  <c r="L344" i="1"/>
  <c r="L346" i="1"/>
  <c r="L347" i="1"/>
  <c r="L348" i="1"/>
  <c r="L350" i="1"/>
  <c r="L353" i="1"/>
  <c r="L355" i="1"/>
  <c r="L357" i="1"/>
  <c r="L377" i="1"/>
  <c r="L381" i="1"/>
  <c r="L385" i="1"/>
  <c r="L387" i="1"/>
  <c r="L394" i="1"/>
  <c r="L395" i="1"/>
  <c r="L437" i="1"/>
  <c r="L450" i="1"/>
  <c r="L453" i="1"/>
  <c r="L458" i="1"/>
  <c r="L461" i="1"/>
  <c r="L475" i="1"/>
  <c r="L484" i="1"/>
  <c r="L487" i="1"/>
  <c r="L488" i="1"/>
  <c r="L492" i="1"/>
  <c r="L497" i="1"/>
  <c r="L524" i="1"/>
  <c r="L534" i="1"/>
  <c r="L551" i="1"/>
  <c r="L560" i="1"/>
  <c r="L576" i="1"/>
  <c r="L577" i="1"/>
  <c r="L589" i="1"/>
  <c r="L726" i="1"/>
  <c r="L836" i="1"/>
  <c r="L837" i="1"/>
  <c r="L838" i="1"/>
  <c r="L841" i="1"/>
  <c r="L851" i="1"/>
  <c r="L852" i="1"/>
  <c r="L857" i="1"/>
  <c r="L858" i="1"/>
  <c r="L862" i="1"/>
  <c r="L865" i="1"/>
  <c r="L867" i="1"/>
  <c r="L870" i="1"/>
  <c r="L873" i="1"/>
  <c r="L874" i="1"/>
  <c r="L875" i="1"/>
  <c r="L876" i="1"/>
  <c r="L878" i="1"/>
  <c r="L880" i="1"/>
  <c r="L882" i="1"/>
  <c r="L883" i="1"/>
  <c r="L888" i="1"/>
  <c r="L902" i="1"/>
  <c r="L907" i="1"/>
  <c r="L908" i="1"/>
  <c r="L910" i="1"/>
  <c r="L912" i="1"/>
  <c r="L913" i="1"/>
  <c r="L915" i="1"/>
  <c r="L924" i="1"/>
  <c r="L928" i="1"/>
  <c r="L929" i="1"/>
  <c r="L930" i="1"/>
  <c r="L932" i="1"/>
  <c r="L933" i="1"/>
  <c r="L934" i="1"/>
  <c r="L938" i="1"/>
  <c r="L939" i="1"/>
  <c r="L942" i="1"/>
  <c r="L944" i="1"/>
  <c r="L947" i="1"/>
  <c r="L948" i="1"/>
  <c r="L955" i="1"/>
  <c r="L956" i="1"/>
  <c r="L957" i="1"/>
  <c r="L960" i="1"/>
  <c r="L966" i="1"/>
  <c r="L967" i="1"/>
  <c r="L969" i="1"/>
  <c r="L970" i="1"/>
  <c r="L974" i="1"/>
  <c r="L975" i="1"/>
  <c r="L980" i="1"/>
  <c r="L984" i="1"/>
  <c r="L986" i="1"/>
  <c r="L993" i="1"/>
  <c r="L994" i="1"/>
  <c r="L995" i="1"/>
  <c r="L1002" i="1"/>
  <c r="L1009" i="1"/>
  <c r="L1010" i="1"/>
  <c r="L1017" i="1"/>
  <c r="L1018" i="1"/>
  <c r="L1020" i="1"/>
  <c r="L1023" i="1"/>
  <c r="L1030" i="1"/>
  <c r="L1034" i="1"/>
  <c r="L1041" i="1"/>
  <c r="L1043" i="1"/>
  <c r="L1377" i="1"/>
  <c r="L1424" i="1"/>
  <c r="L1425" i="1"/>
  <c r="L1444" i="1"/>
  <c r="L1448" i="1"/>
  <c r="L1450" i="1"/>
  <c r="L1451" i="1"/>
  <c r="L1462" i="1"/>
  <c r="L1467" i="1"/>
  <c r="L1475" i="1"/>
  <c r="L1478" i="1"/>
  <c r="L1480" i="1"/>
  <c r="L1483" i="1"/>
  <c r="L1530" i="1"/>
  <c r="L1531" i="1"/>
  <c r="L1559" i="1"/>
  <c r="L1561" i="1"/>
  <c r="L1566" i="1"/>
  <c r="L1568" i="1"/>
  <c r="L1569" i="1"/>
  <c r="L1581" i="1"/>
  <c r="L1593" i="1"/>
  <c r="L1594" i="1"/>
  <c r="L1598" i="1"/>
  <c r="L1602" i="1"/>
  <c r="L1608" i="1"/>
  <c r="L3" i="1"/>
  <c r="I1640" i="1"/>
  <c r="I1641" i="1"/>
  <c r="I1637" i="1"/>
  <c r="I1638" i="1"/>
  <c r="I1639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42" i="1"/>
  <c r="I1443" i="1"/>
  <c r="I1444" i="1"/>
  <c r="I1445" i="1"/>
  <c r="I1446" i="1"/>
  <c r="I1447" i="1"/>
  <c r="I1448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03" i="1"/>
  <c r="I1404" i="1"/>
  <c r="I1405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375" i="1"/>
  <c r="I1376" i="1"/>
  <c r="I1377" i="1"/>
  <c r="I1378" i="1"/>
  <c r="I1379" i="1"/>
  <c r="I1380" i="1"/>
  <c r="I1381" i="1"/>
  <c r="I1382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08" i="1"/>
  <c r="I1309" i="1"/>
  <c r="I1310" i="1"/>
  <c r="I1311" i="1"/>
  <c r="I1312" i="1"/>
  <c r="I1314" i="1"/>
  <c r="I1315" i="1"/>
  <c r="I1316" i="1"/>
  <c r="I1317" i="1"/>
  <c r="I1318" i="1"/>
  <c r="I1319" i="1"/>
  <c r="I1302" i="1"/>
  <c r="I1303" i="1"/>
  <c r="I1304" i="1"/>
  <c r="I1305" i="1"/>
  <c r="I1306" i="1"/>
  <c r="I1307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282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61" i="1"/>
  <c r="I1260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39" i="1"/>
  <c r="I1236" i="1"/>
  <c r="I1237" i="1"/>
  <c r="I1238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15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070" i="1"/>
  <c r="I1071" i="1"/>
  <c r="I1072" i="1"/>
  <c r="I1073" i="1"/>
  <c r="I1074" i="1"/>
  <c r="I1075" i="1"/>
  <c r="I1076" i="1"/>
  <c r="I1077" i="1"/>
  <c r="I1078" i="1"/>
  <c r="I1079" i="1"/>
  <c r="I1080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054" i="1"/>
  <c r="I1051" i="1"/>
  <c r="I1052" i="1"/>
  <c r="I1053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98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42" i="1"/>
  <c r="I941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794" i="1"/>
  <c r="I804" i="1"/>
  <c r="I805" i="1"/>
  <c r="I806" i="1"/>
  <c r="I786" i="1"/>
  <c r="I787" i="1"/>
  <c r="I788" i="1"/>
  <c r="I789" i="1"/>
  <c r="I790" i="1"/>
  <c r="I791" i="1"/>
  <c r="I792" i="1"/>
  <c r="I793" i="1"/>
  <c r="I795" i="1"/>
  <c r="I796" i="1"/>
  <c r="I797" i="1"/>
  <c r="I798" i="1"/>
  <c r="I799" i="1"/>
  <c r="I800" i="1"/>
  <c r="I801" i="1"/>
  <c r="I802" i="1"/>
  <c r="I803" i="1"/>
  <c r="I779" i="1"/>
  <c r="I780" i="1"/>
  <c r="I781" i="1"/>
  <c r="I782" i="1"/>
  <c r="I783" i="1"/>
  <c r="I784" i="1"/>
  <c r="I785" i="1"/>
  <c r="I772" i="1"/>
  <c r="I773" i="1"/>
  <c r="I774" i="1"/>
  <c r="I775" i="1"/>
  <c r="I776" i="1"/>
  <c r="I777" i="1"/>
  <c r="I778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52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41" i="1"/>
  <c r="I642" i="1"/>
  <c r="I631" i="1"/>
  <c r="I632" i="1"/>
  <c r="I633" i="1"/>
  <c r="I634" i="1"/>
  <c r="I635" i="1"/>
  <c r="I636" i="1"/>
  <c r="I637" i="1"/>
  <c r="I638" i="1"/>
  <c r="I639" i="1"/>
  <c r="I640" i="1"/>
  <c r="I628" i="1"/>
  <c r="I629" i="1"/>
  <c r="I630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08" i="1"/>
  <c r="I609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52" i="1"/>
  <c r="I553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31" i="1"/>
  <c r="I332" i="1"/>
  <c r="I333" i="1"/>
  <c r="I334" i="1"/>
  <c r="I335" i="1"/>
  <c r="I336" i="1"/>
  <c r="I337" i="1"/>
  <c r="I338" i="1"/>
  <c r="I339" i="1"/>
  <c r="I340" i="1"/>
  <c r="I311" i="1"/>
  <c r="I312" i="1"/>
  <c r="I313" i="1"/>
  <c r="I314" i="1"/>
  <c r="I315" i="1"/>
  <c r="I316" i="1"/>
  <c r="I317" i="1"/>
  <c r="I318" i="1"/>
  <c r="I319" i="1"/>
  <c r="I321" i="1"/>
  <c r="I323" i="1"/>
  <c r="I324" i="1"/>
  <c r="I325" i="1"/>
  <c r="I326" i="1"/>
  <c r="I327" i="1"/>
  <c r="I328" i="1"/>
  <c r="I329" i="1"/>
  <c r="I330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298" i="1"/>
  <c r="I288" i="1"/>
  <c r="I289" i="1"/>
  <c r="I290" i="1"/>
  <c r="I291" i="1"/>
  <c r="I292" i="1"/>
  <c r="I293" i="1"/>
  <c r="I294" i="1"/>
  <c r="I295" i="1"/>
  <c r="I296" i="1"/>
  <c r="I297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55" i="1"/>
  <c r="I256" i="1"/>
  <c r="I257" i="1"/>
  <c r="I258" i="1"/>
  <c r="I259" i="1"/>
  <c r="I260" i="1"/>
  <c r="I261" i="1"/>
  <c r="I262" i="1"/>
  <c r="I263" i="1"/>
  <c r="I264" i="1"/>
  <c r="I265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33" i="1"/>
  <c r="I234" i="1"/>
  <c r="I235" i="1"/>
  <c r="I236" i="1"/>
  <c r="I237" i="1"/>
  <c r="I238" i="1"/>
  <c r="I239" i="1"/>
  <c r="I240" i="1"/>
  <c r="I241" i="1"/>
  <c r="I242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165" i="1"/>
  <c r="I166" i="1"/>
  <c r="I167" i="1"/>
  <c r="I168" i="1"/>
  <c r="I169" i="1"/>
  <c r="I170" i="1"/>
  <c r="I171" i="1"/>
  <c r="I172" i="1"/>
  <c r="I173" i="1"/>
  <c r="I174" i="1"/>
  <c r="I175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23" i="1"/>
  <c r="I124" i="1"/>
  <c r="I125" i="1"/>
  <c r="I122" i="1"/>
  <c r="I120" i="1"/>
  <c r="I121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99" i="1"/>
  <c r="I98" i="1"/>
  <c r="I96" i="1"/>
  <c r="I97" i="1"/>
  <c r="I9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<sst xmlns="http://schemas.openxmlformats.org/spreadsheetml/2006/main" count="33991" uniqueCount="850">
  <si>
    <t>Plot</t>
  </si>
  <si>
    <t>Date</t>
  </si>
  <si>
    <t>Species</t>
  </si>
  <si>
    <t>Tag</t>
  </si>
  <si>
    <t>StemTag</t>
  </si>
  <si>
    <t>DBH.cm</t>
  </si>
  <si>
    <t>Code</t>
  </si>
  <si>
    <t>Notes</t>
  </si>
  <si>
    <t>StemID</t>
  </si>
  <si>
    <t>NaturalArea</t>
  </si>
  <si>
    <t>ForestType</t>
  </si>
  <si>
    <t>Genus</t>
  </si>
  <si>
    <t>Sp</t>
  </si>
  <si>
    <t>Family</t>
  </si>
  <si>
    <t>DBH Class</t>
  </si>
  <si>
    <t>CW-MM</t>
  </si>
  <si>
    <t>ACESAC</t>
  </si>
  <si>
    <t>L</t>
  </si>
  <si>
    <t>Corning_Woods</t>
  </si>
  <si>
    <t>Mixed_Mesophytic</t>
  </si>
  <si>
    <t>PRUSER</t>
  </si>
  <si>
    <t>N/A</t>
  </si>
  <si>
    <t>ACERUB</t>
  </si>
  <si>
    <t>Leaning Heavily</t>
  </si>
  <si>
    <t>LIRTUL</t>
  </si>
  <si>
    <t>I,M,A</t>
  </si>
  <si>
    <t>split just above POM. Really wide mostly down trunk.  POM at 0.8m</t>
  </si>
  <si>
    <t>A,X</t>
  </si>
  <si>
    <t>POM at 1.45m</t>
  </si>
  <si>
    <t>SASALB</t>
  </si>
  <si>
    <t>A</t>
  </si>
  <si>
    <t>POM at 1.15m</t>
  </si>
  <si>
    <t>M</t>
  </si>
  <si>
    <t>tagged on N side</t>
  </si>
  <si>
    <t>M,L</t>
  </si>
  <si>
    <t>large hole w/ swelling @ base</t>
  </si>
  <si>
    <t>slight lean</t>
  </si>
  <si>
    <t>large vine</t>
  </si>
  <si>
    <t>L,B</t>
  </si>
  <si>
    <t>L,X</t>
  </si>
  <si>
    <t>double lead that broke off</t>
  </si>
  <si>
    <t>Knot</t>
  </si>
  <si>
    <t>POM at 1.25</t>
  </si>
  <si>
    <t>soft measure used</t>
  </si>
  <si>
    <t>splits above POM</t>
  </si>
  <si>
    <t>Tagged</t>
  </si>
  <si>
    <t>W, B</t>
  </si>
  <si>
    <t>W</t>
  </si>
  <si>
    <t xml:space="preserve">soft measure used </t>
  </si>
  <si>
    <t xml:space="preserve">upper half of stem is dead/dying, but still has leaves. </t>
  </si>
  <si>
    <t>leaning slightly, close to dead, neighbor is dead</t>
  </si>
  <si>
    <t>L,I</t>
  </si>
  <si>
    <t>oddly shaped</t>
  </si>
  <si>
    <t>tag will most likely fall</t>
  </si>
  <si>
    <t>B,L</t>
  </si>
  <si>
    <t>MAGACU</t>
  </si>
  <si>
    <t>I</t>
  </si>
  <si>
    <t>W,L</t>
  </si>
  <si>
    <t>branch below POM</t>
  </si>
  <si>
    <t>NYSSYL</t>
  </si>
  <si>
    <t>very knobby above/below POM</t>
  </si>
  <si>
    <t>M,A</t>
  </si>
  <si>
    <t>two branches/trunks above POM</t>
  </si>
  <si>
    <t>soft tape used for B POM</t>
  </si>
  <si>
    <t>FAGGRA</t>
  </si>
  <si>
    <t>A,M</t>
  </si>
  <si>
    <t>POM at 1.8m, as low as possible in gap</t>
  </si>
  <si>
    <t>POM at 1.85m, as low as possible in gap</t>
  </si>
  <si>
    <t>knot at POM, POM at 1.28</t>
  </si>
  <si>
    <t>L,W</t>
  </si>
  <si>
    <t>Irregularity at POM, POM at 1.28m</t>
  </si>
  <si>
    <t>P</t>
  </si>
  <si>
    <t>measured underside, tree grows under fallen ash</t>
  </si>
  <si>
    <t>slope, irregularity at POM</t>
  </si>
  <si>
    <t>Irregularity at POM</t>
  </si>
  <si>
    <t>irregularities/knots throughout trunk</t>
  </si>
  <si>
    <t>soft measure used, multiple branches above POM, smaller &gt; 1cm</t>
  </si>
  <si>
    <t>Branches right above POM</t>
  </si>
  <si>
    <t>small knot at POM</t>
  </si>
  <si>
    <t>Knot at POM</t>
  </si>
  <si>
    <t>knotted trunk, knot at POM</t>
  </si>
  <si>
    <t>B,W,I</t>
  </si>
  <si>
    <t>soft measure used, knotty</t>
  </si>
  <si>
    <t>I,L</t>
  </si>
  <si>
    <t>knotty trunk</t>
  </si>
  <si>
    <t>branches off slightly above POM</t>
  </si>
  <si>
    <t>knots along trunk</t>
  </si>
  <si>
    <t>split along trunk</t>
  </si>
  <si>
    <t>L,A</t>
  </si>
  <si>
    <t>knot at POM, POM at 1.28m</t>
  </si>
  <si>
    <t>M,L,W</t>
  </si>
  <si>
    <t>knot at POM, meausured just below, POM at 1.28m</t>
  </si>
  <si>
    <t>tagged</t>
  </si>
  <si>
    <t>M,W</t>
  </si>
  <si>
    <t>A,L</t>
  </si>
  <si>
    <t>heavily arched, POM at 1.28m, top third dead, new growth</t>
  </si>
  <si>
    <t>POM at 1.25m</t>
  </si>
  <si>
    <t>POM at 1.33m</t>
  </si>
  <si>
    <t>soft measure used, arched at top</t>
  </si>
  <si>
    <t>POM at 1.28m</t>
  </si>
  <si>
    <t>POM at 1.27m</t>
  </si>
  <si>
    <t>POM at 1.7m</t>
  </si>
  <si>
    <t>POM at 1.3m</t>
  </si>
  <si>
    <t>B</t>
  </si>
  <si>
    <t>A,W</t>
  </si>
  <si>
    <t>POM at 1.35, swelling at POM, soft measure used</t>
  </si>
  <si>
    <t xml:space="preserve">slight lean </t>
  </si>
  <si>
    <t>large open wound on western side, wavy all around</t>
  </si>
  <si>
    <t>POM at 1.05m, very knobby, soft measure used</t>
  </si>
  <si>
    <t>stem splits above POM, swollen at POM, swollen above and below POM</t>
  </si>
  <si>
    <t>POM at 1.23m</t>
  </si>
  <si>
    <t>A,L,B</t>
  </si>
  <si>
    <t>POM at 0.9m, knot in way, caused lots of swelling</t>
  </si>
  <si>
    <t>POM at 1.21, knots in way</t>
  </si>
  <si>
    <t>CW-OH</t>
  </si>
  <si>
    <t>Oak_Hickory</t>
  </si>
  <si>
    <t>slight lean, POM at 1.27m</t>
  </si>
  <si>
    <t>OSTVIR</t>
  </si>
  <si>
    <t>QUEMON</t>
  </si>
  <si>
    <t>poor condition</t>
  </si>
  <si>
    <t>A,B,L,W</t>
  </si>
  <si>
    <t>POM at 1.26m</t>
  </si>
  <si>
    <t>tag at base</t>
  </si>
  <si>
    <t>QUERUB</t>
  </si>
  <si>
    <t>AMEARB</t>
  </si>
  <si>
    <t>facing south, measured right to left</t>
  </si>
  <si>
    <t>soft measure used, facing south measured right to left</t>
  </si>
  <si>
    <t>CORFLO</t>
  </si>
  <si>
    <t>flowering dog wood</t>
  </si>
  <si>
    <t>QUEALB</t>
  </si>
  <si>
    <t>POM at 1.24m</t>
  </si>
  <si>
    <t>A is main stem, clockwise in dripline</t>
  </si>
  <si>
    <t>M,L,A</t>
  </si>
  <si>
    <t>POM at 1.28m, slight lean</t>
  </si>
  <si>
    <t>knots near POM</t>
  </si>
  <si>
    <t>main stem</t>
  </si>
  <si>
    <t>POM at 1.23m, knotty</t>
  </si>
  <si>
    <t>multi at POM, soft measure used</t>
  </si>
  <si>
    <t>X</t>
  </si>
  <si>
    <t>W,A</t>
  </si>
  <si>
    <t>POM at 1.26m, soft measure used</t>
  </si>
  <si>
    <t>M,B</t>
  </si>
  <si>
    <t>W,B,A</t>
  </si>
  <si>
    <t>POM at 1.28m, soft measure used</t>
  </si>
  <si>
    <t>W,X</t>
  </si>
  <si>
    <t>third stem just below 1cm cutoff</t>
  </si>
  <si>
    <t>X,W,M</t>
  </si>
  <si>
    <t>this lead is dead</t>
  </si>
  <si>
    <t>POM at 1.32m</t>
  </si>
  <si>
    <t>sprouts color</t>
  </si>
  <si>
    <t>POM at 1.17m</t>
  </si>
  <si>
    <t>bark makes trunk irregular</t>
  </si>
  <si>
    <t>other stems not yet in DBH range</t>
  </si>
  <si>
    <t>W,L,X</t>
  </si>
  <si>
    <t>mostly dead with sprouts</t>
  </si>
  <si>
    <t>tag might fall</t>
  </si>
  <si>
    <t>B,W</t>
  </si>
  <si>
    <t>slight lean, tag might fall</t>
  </si>
  <si>
    <t>slight lean, POM at 1.28m</t>
  </si>
  <si>
    <t>POM at 1.28m, knots around POM</t>
  </si>
  <si>
    <t>large dead stem</t>
  </si>
  <si>
    <t>dead branch below POM</t>
  </si>
  <si>
    <t>Broken stem above POM</t>
  </si>
  <si>
    <t>holes and divot at POM</t>
  </si>
  <si>
    <t>POM at 1.03m</t>
  </si>
  <si>
    <t>P,X,A</t>
  </si>
  <si>
    <t>soft measure used, POM at 1.28m</t>
  </si>
  <si>
    <t>slight lean, POM at 1.26m</t>
  </si>
  <si>
    <t>very curved, multi stem with other stem dead, POM at 1.28m</t>
  </si>
  <si>
    <t>tag fell to base</t>
  </si>
  <si>
    <t>B,L,A</t>
  </si>
  <si>
    <t>POM at 1.21m</t>
  </si>
  <si>
    <t>tag on N Side</t>
  </si>
  <si>
    <t>mostly dead, but signgs of life, soft measure used, POM at 1.27m</t>
  </si>
  <si>
    <t>dying</t>
  </si>
  <si>
    <t>dying, soft measure used</t>
  </si>
  <si>
    <t>soft measure used, POM at 1.20m</t>
  </si>
  <si>
    <t>WW-BM</t>
  </si>
  <si>
    <t>Working_Woods</t>
  </si>
  <si>
    <t>Beech_Maple</t>
  </si>
  <si>
    <t>TILAME</t>
  </si>
  <si>
    <t>W,M</t>
  </si>
  <si>
    <t>tagged higher than 1.4m</t>
  </si>
  <si>
    <t>POM at 1.1m</t>
  </si>
  <si>
    <t>mostly dead</t>
  </si>
  <si>
    <t>FRAAME</t>
  </si>
  <si>
    <t>M,I</t>
  </si>
  <si>
    <t>CARCOR</t>
  </si>
  <si>
    <t>POM at 1.20m</t>
  </si>
  <si>
    <t>JUGNIG</t>
  </si>
  <si>
    <t>dead branch</t>
  </si>
  <si>
    <t>soft measure used, POM at 1.25m</t>
  </si>
  <si>
    <t>POM at 1.19m</t>
  </si>
  <si>
    <t>POM at 1.205m</t>
  </si>
  <si>
    <t>soft measure used, POM at 1.73m</t>
  </si>
  <si>
    <t>also tagged 349</t>
  </si>
  <si>
    <t>I,X,A</t>
  </si>
  <si>
    <t>main stem broken in half (vertically), POM at 0.8m</t>
  </si>
  <si>
    <t>POM at 1.17m, knotty trunk</t>
  </si>
  <si>
    <t>also tagged 350</t>
  </si>
  <si>
    <t>POM at 1.187m</t>
  </si>
  <si>
    <t>also tagged 1288 at foot of tree</t>
  </si>
  <si>
    <t>arched, soft measure used</t>
  </si>
  <si>
    <t>also tagged 1134</t>
  </si>
  <si>
    <t>letters assigned counterclockwise from main stem</t>
  </si>
  <si>
    <t>M,A,L</t>
  </si>
  <si>
    <t>soft measure used, POM at 1.32m</t>
  </si>
  <si>
    <t>POM at 1.28m, knotty on trunk</t>
  </si>
  <si>
    <t>POM at 1.27m, swelling at POM</t>
  </si>
  <si>
    <t>UNKSPP</t>
  </si>
  <si>
    <t>Snag</t>
  </si>
  <si>
    <t>W,B</t>
  </si>
  <si>
    <t>dead second stem</t>
  </si>
  <si>
    <t>GAS-MM</t>
  </si>
  <si>
    <t>Green_Ash_Swamp (Across from WW)</t>
  </si>
  <si>
    <t>nearly dead</t>
  </si>
  <si>
    <t>CRASPP</t>
  </si>
  <si>
    <t>POM at 1.225, knotty at POM</t>
  </si>
  <si>
    <t>lots of dieback</t>
  </si>
  <si>
    <t>branching below POM, &lt; 1cm</t>
  </si>
  <si>
    <t>tag may fall</t>
  </si>
  <si>
    <t>in poor condition, dead branch below POM</t>
  </si>
  <si>
    <t>branching below POM, &lt;1cm</t>
  </si>
  <si>
    <t>large hole below POM</t>
  </si>
  <si>
    <t xml:space="preserve">tag well above 1.4m </t>
  </si>
  <si>
    <t>L,I,A</t>
  </si>
  <si>
    <t>wrapping around 00911, POM at 1.2m</t>
  </si>
  <si>
    <t>slight lean, branches below POM &lt; 1cm</t>
  </si>
  <si>
    <t>POM at 1.25m, knots, tag may fall</t>
  </si>
  <si>
    <t>nearly dead, bark peeling</t>
  </si>
  <si>
    <t>POM at 1.24m, branches, soft measure used</t>
  </si>
  <si>
    <t>branches below POM &lt;1cm</t>
  </si>
  <si>
    <t>branches below POM &lt;1cm, soft measure used</t>
  </si>
  <si>
    <t>slightlean</t>
  </si>
  <si>
    <t>POM at 1.27m, knot</t>
  </si>
  <si>
    <t>CARCAR</t>
  </si>
  <si>
    <t>POM at 1.29m</t>
  </si>
  <si>
    <t>I,A</t>
  </si>
  <si>
    <t>POM at 1.25m, lower branches counted as multiple stems</t>
  </si>
  <si>
    <t>lower branches counted as multiple stems</t>
  </si>
  <si>
    <t>SC-BM-1</t>
  </si>
  <si>
    <t>Stebbins_Core</t>
  </si>
  <si>
    <t>X,L,A</t>
  </si>
  <si>
    <t>knots at and around POM</t>
  </si>
  <si>
    <t>POM at 1.28m, knots</t>
  </si>
  <si>
    <t>POM at 1.205m, knots</t>
  </si>
  <si>
    <t>M,W,A</t>
  </si>
  <si>
    <t>POM at 1.29m, knots, soft measure used</t>
  </si>
  <si>
    <t>POM at 1.20m, knots</t>
  </si>
  <si>
    <t>POM at 1.27m, soft measure used</t>
  </si>
  <si>
    <t>X,L</t>
  </si>
  <si>
    <t>A,I,W</t>
  </si>
  <si>
    <t>POM at 1.21m, almost dead</t>
  </si>
  <si>
    <t>M,B,A</t>
  </si>
  <si>
    <t>W,I</t>
  </si>
  <si>
    <t>knots along whole trunk</t>
  </si>
  <si>
    <t>POM at 1.23m, swelling/knot, slight lean</t>
  </si>
  <si>
    <t>POM at 1.28m, knots, deteriorating</t>
  </si>
  <si>
    <t>POM at 1.26m, knots, slight lean</t>
  </si>
  <si>
    <t>POM at 1.28m, knot, soft measure used</t>
  </si>
  <si>
    <t>POM at 1.28m, knots, slight lean</t>
  </si>
  <si>
    <t>W,L,A</t>
  </si>
  <si>
    <t>POM at 1.28m, knot</t>
  </si>
  <si>
    <t>branch below POM &lt; 1cm</t>
  </si>
  <si>
    <t>dead branch/stem below POM</t>
  </si>
  <si>
    <t>A,W,L,M</t>
  </si>
  <si>
    <t>POM at 1.28m,knot, soft measure used</t>
  </si>
  <si>
    <t>W,L,M</t>
  </si>
  <si>
    <t>L,M</t>
  </si>
  <si>
    <t>POM at 0.95m, soft measure used</t>
  </si>
  <si>
    <t>POM at 1.9m, root flare</t>
  </si>
  <si>
    <t>not looking too hot</t>
  </si>
  <si>
    <t>doesn't look alive but stem was alive when measured</t>
  </si>
  <si>
    <t>many root sprouts</t>
  </si>
  <si>
    <t>heavily leaning, soft measure used</t>
  </si>
  <si>
    <t>teensy bit wavy</t>
  </si>
  <si>
    <t>main trunk acclining, all sprouts very close to dead</t>
  </si>
  <si>
    <t>W,B,L</t>
  </si>
  <si>
    <t>other branch but too small, soft measure used</t>
  </si>
  <si>
    <t>covered in smilax, soft measure used</t>
  </si>
  <si>
    <t>I,L,A</t>
  </si>
  <si>
    <t>stem alive, but crown looks just about dead</t>
  </si>
  <si>
    <t>M,W,B</t>
  </si>
  <si>
    <t>POM = 1.27m</t>
  </si>
  <si>
    <t>in a  giant tree fall</t>
  </si>
  <si>
    <t>bark torn off</t>
  </si>
  <si>
    <t>soft measure used, origins under fallen log</t>
  </si>
  <si>
    <t xml:space="preserve">POM at 1.28m </t>
  </si>
  <si>
    <t xml:space="preserve">second stem likely needs to be measured next time, POM at 1.25m </t>
  </si>
  <si>
    <t>B,L,I</t>
  </si>
  <si>
    <t>curved but POM stick used</t>
  </si>
  <si>
    <t>slight curve</t>
  </si>
  <si>
    <t>curved slightly, POM stick used</t>
  </si>
  <si>
    <t>LM-MM</t>
  </si>
  <si>
    <t>Little_Mountain</t>
  </si>
  <si>
    <t>slight lean, branches below POM &lt;1cm, POM at 1.25m, knots/swelling</t>
  </si>
  <si>
    <t>soft tape</t>
  </si>
  <si>
    <t>poor health</t>
  </si>
  <si>
    <t xml:space="preserve">long stem / branch below POM, branch &lt;1cm </t>
  </si>
  <si>
    <t>soft tape, large split at POM, knots on whole trunk</t>
  </si>
  <si>
    <t>curved, POM at 1.28m, knots</t>
  </si>
  <si>
    <t>POM at 1.21m, knots, seedling, soft tape</t>
  </si>
  <si>
    <t>soft tape, POM at 1.28, hole, ash, death in canopy</t>
  </si>
  <si>
    <t>heavily lean</t>
  </si>
  <si>
    <t>POM at 1.26m, knots</t>
  </si>
  <si>
    <t>POM at 1.28m, dead branch</t>
  </si>
  <si>
    <t>POM at 1.28, slight knot</t>
  </si>
  <si>
    <t>POM at 1.23m, small branches and knots</t>
  </si>
  <si>
    <t>M,X,L</t>
  </si>
  <si>
    <t>split along base of tree, slight lean</t>
  </si>
  <si>
    <t>almost dead but some are still alive</t>
  </si>
  <si>
    <t>POM at 0.9m, large irregularity at 1.3m</t>
  </si>
  <si>
    <t>FRASPP</t>
  </si>
  <si>
    <t>slight bend but POM stick used</t>
  </si>
  <si>
    <t>W,A,B</t>
  </si>
  <si>
    <t>soft tape, POM at 1.1m, broken at 1.3, did not measure broken limb</t>
  </si>
  <si>
    <t>2 smaller branches not within DBH range</t>
  </si>
  <si>
    <t>in a bunch of branches</t>
  </si>
  <si>
    <t>other stem will need measuring next time</t>
  </si>
  <si>
    <t>tagged later</t>
  </si>
  <si>
    <t>messed up</t>
  </si>
  <si>
    <t xml:space="preserve">more stems that could be big enough later </t>
  </si>
  <si>
    <t>POM stick used</t>
  </si>
  <si>
    <t>M,A,I,L</t>
  </si>
  <si>
    <t>bark irregularities, POM = 1.4m</t>
  </si>
  <si>
    <t>bark irregularities, POM = 1.45m</t>
  </si>
  <si>
    <t>soft tape, POM at 1.28m, knot</t>
  </si>
  <si>
    <t>knots, POm at 1.23m</t>
  </si>
  <si>
    <t>slight lean, split</t>
  </si>
  <si>
    <t>POM at 1.28m, branch in the way</t>
  </si>
  <si>
    <t>POM at 1.21m, knots</t>
  </si>
  <si>
    <t>slight lean, split/knot at base</t>
  </si>
  <si>
    <t>curved, soft tape</t>
  </si>
  <si>
    <t>POM at 1.25m, slight lean</t>
  </si>
  <si>
    <t>X,A</t>
  </si>
  <si>
    <t>POM at 1.24m, slight lean</t>
  </si>
  <si>
    <t>knots</t>
  </si>
  <si>
    <t>POM at 1.26m, soft tape</t>
  </si>
  <si>
    <t xml:space="preserve">branch below POM &lt;1cm </t>
  </si>
  <si>
    <t>POM at 1.18m, knots</t>
  </si>
  <si>
    <t>POM at 1.28, soft tape</t>
  </si>
  <si>
    <t>B,W,A</t>
  </si>
  <si>
    <t xml:space="preserve">POM at 1.27m </t>
  </si>
  <si>
    <t>Fungi indicating dying</t>
  </si>
  <si>
    <t>soft measure used, POM = 1.28m</t>
  </si>
  <si>
    <t>dead above in one branch</t>
  </si>
  <si>
    <t>trunk is irregular</t>
  </si>
  <si>
    <t>stick used</t>
  </si>
  <si>
    <t>weird bark, POM at 1.5m</t>
  </si>
  <si>
    <t>slightly irregular shape</t>
  </si>
  <si>
    <t>M,X,A</t>
  </si>
  <si>
    <t>SC-BM-2</t>
  </si>
  <si>
    <t>POM at 1.19m, knots on all trunk</t>
  </si>
  <si>
    <t>POM at 1.05m, soft tape, hole and knots, small branch</t>
  </si>
  <si>
    <t>branch below POM &lt; 2cm, poor health</t>
  </si>
  <si>
    <t>POM at 1.17m knob, slight lean</t>
  </si>
  <si>
    <t>POM at 1.28m, knots, swelling, slight lean</t>
  </si>
  <si>
    <t>slightly wavy</t>
  </si>
  <si>
    <t>BB, soft tape, POM at 1.28m, branches</t>
  </si>
  <si>
    <t>BB</t>
  </si>
  <si>
    <t>branches at POM &lt;1cm</t>
  </si>
  <si>
    <t>A, L, BB</t>
  </si>
  <si>
    <t>POM at 1.28m, branches at POM</t>
  </si>
  <si>
    <t>also tagged 381 N side base</t>
  </si>
  <si>
    <t>Divot at POM (roots), also tagged 374</t>
  </si>
  <si>
    <t>W, BB</t>
  </si>
  <si>
    <t>Growing adjacent to another sapling, could be same tree?</t>
  </si>
  <si>
    <t>Branches below POM&lt; 1cm</t>
  </si>
  <si>
    <t>L, BB</t>
  </si>
  <si>
    <t>POM at 1.29, BB</t>
  </si>
  <si>
    <t>M, BB</t>
  </si>
  <si>
    <t>M,L, BB</t>
  </si>
  <si>
    <t>POM at 1.29</t>
  </si>
  <si>
    <t>Origins into 1647</t>
  </si>
  <si>
    <t>BB, POM at 1.29m</t>
  </si>
  <si>
    <t>poor health, also tagged 505</t>
  </si>
  <si>
    <t>A, BB</t>
  </si>
  <si>
    <t>POM at 1.28</t>
  </si>
  <si>
    <t>death in canopy</t>
  </si>
  <si>
    <t>split below POM where tag is hung, nearly dead</t>
  </si>
  <si>
    <t>POM at 1.23, knot</t>
  </si>
  <si>
    <t>L, A</t>
  </si>
  <si>
    <t>POM at 1.28, knots</t>
  </si>
  <si>
    <t>POM at 0.95m, large split/knot</t>
  </si>
  <si>
    <t>A,L,I</t>
  </si>
  <si>
    <t>POM at 1.22, knot, split on whole trunk</t>
  </si>
  <si>
    <t>POM at 1.28, knot</t>
  </si>
  <si>
    <t>large knot/split on trunk</t>
  </si>
  <si>
    <t>P,A,BB</t>
  </si>
  <si>
    <t xml:space="preserve">POM at 1.28m, branch, </t>
  </si>
  <si>
    <t xml:space="preserve">POM at 1.28m, knots, </t>
  </si>
  <si>
    <t>slight lean, poor health</t>
  </si>
  <si>
    <t>POM at 1.05 m, knots/swelling, tapering growth</t>
  </si>
  <si>
    <t>POM at 1.26m, knot, soft tape</t>
  </si>
  <si>
    <t>POM at 1.15, knots</t>
  </si>
  <si>
    <t>knots on whole trunk</t>
  </si>
  <si>
    <t>POM at 1.2, tree curves at 1.3</t>
  </si>
  <si>
    <t>large patch torn out from bark, crown looks sad</t>
  </si>
  <si>
    <t>M,BB</t>
  </si>
  <si>
    <t>almost dead</t>
  </si>
  <si>
    <t>growing from old dead beech</t>
  </si>
  <si>
    <t>I,M</t>
  </si>
  <si>
    <t>very irregular, large open wound on NE side of tree</t>
  </si>
  <si>
    <t>still alive, but sad canopy</t>
  </si>
  <si>
    <t>almost dead, 0-10% canopy, but stem is alive</t>
  </si>
  <si>
    <t>alive, but really sad canopy</t>
  </si>
  <si>
    <t>thin canopy, not too healthy</t>
  </si>
  <si>
    <t>soft tape, almost dead, missed tag</t>
  </si>
  <si>
    <t>very sad</t>
  </si>
  <si>
    <t>BB,L</t>
  </si>
  <si>
    <t>soft tape used, very sad looking, close to dead</t>
  </si>
  <si>
    <t>multistem form, but second stem isn't big enough yet. second lead is 0.9 DBH</t>
  </si>
  <si>
    <t>BB, A</t>
  </si>
  <si>
    <t>BB, L</t>
  </si>
  <si>
    <t>pretty poor canopy</t>
  </si>
  <si>
    <t>FRAPEN</t>
  </si>
  <si>
    <t>BB, W</t>
  </si>
  <si>
    <t>L, W, A</t>
  </si>
  <si>
    <t>stick used, POM at 1.28</t>
  </si>
  <si>
    <t>tagging mishap, found after 1828 and 1829</t>
  </si>
  <si>
    <t>L, I</t>
  </si>
  <si>
    <t>warty bark</t>
  </si>
  <si>
    <t>W, L, M</t>
  </si>
  <si>
    <t>soft tape, doesn't look too happy</t>
  </si>
  <si>
    <t>very unhappy looking</t>
  </si>
  <si>
    <t>3rd stem slightly below 1cm. sparse canopy</t>
  </si>
  <si>
    <t>POM at 1.2m, knot</t>
  </si>
  <si>
    <t>SG-HH-1</t>
  </si>
  <si>
    <t>Stebbins_Gulch</t>
  </si>
  <si>
    <t>Hemlock_Hardwood</t>
  </si>
  <si>
    <t>TSUCAN</t>
  </si>
  <si>
    <t>POM at 1.2m, dead branches</t>
  </si>
  <si>
    <t>slight lean, POM at 1.28m, dead branch</t>
  </si>
  <si>
    <t>tag moved to later tree, POM at 1.17m, knots/swelling</t>
  </si>
  <si>
    <t>tag moved</t>
  </si>
  <si>
    <t>curved</t>
  </si>
  <si>
    <t>POM at 1.28m, knot (c)</t>
  </si>
  <si>
    <t>POM at 1.27m, knot/bark tear</t>
  </si>
  <si>
    <t>slightly curved, POM at 1.29m, knot/dead branch</t>
  </si>
  <si>
    <t>POM at 1.29m, knot</t>
  </si>
  <si>
    <t>slightly curved</t>
  </si>
  <si>
    <t>POM at 1.22m, knots</t>
  </si>
  <si>
    <t>large splits and knots on trunk, POM at 1.29m</t>
  </si>
  <si>
    <t>POM at 1.2m, knots, trunk is irregular</t>
  </si>
  <si>
    <t>W,I,A</t>
  </si>
  <si>
    <t>soft tape, POM at 1.28m, knots on trunk/at POM</t>
  </si>
  <si>
    <t>soft tape, POM at 1.25m, knots</t>
  </si>
  <si>
    <t>slight lean/curve</t>
  </si>
  <si>
    <t>soft tape, BB</t>
  </si>
  <si>
    <t>POM at 1.29m, knot, slight lean</t>
  </si>
  <si>
    <t>curved, growing into/around 1900</t>
  </si>
  <si>
    <t>largest stem prostrate, tons of small sprouts along it</t>
  </si>
  <si>
    <t>large splits along trunk</t>
  </si>
  <si>
    <t>I,W</t>
  </si>
  <si>
    <t>soft tape, knot near POM maybe swollen</t>
  </si>
  <si>
    <t>slight lean, slight curve</t>
  </si>
  <si>
    <t>soft tape, tag may fall</t>
  </si>
  <si>
    <t>POM at 1.27m, dead branch</t>
  </si>
  <si>
    <t>POM at 1.28, branch</t>
  </si>
  <si>
    <t>POM at 1.21, branch</t>
  </si>
  <si>
    <t>growing out of stump</t>
  </si>
  <si>
    <t>M, L, A</t>
  </si>
  <si>
    <t>POM at 1.28, dead branch</t>
  </si>
  <si>
    <t>M, L</t>
  </si>
  <si>
    <t>slight wave</t>
  </si>
  <si>
    <t>trunk slightly irregular</t>
  </si>
  <si>
    <t>a little wavy</t>
  </si>
  <si>
    <t>soft tape used</t>
  </si>
  <si>
    <t>partially fallen over</t>
  </si>
  <si>
    <t>M, W</t>
  </si>
  <si>
    <t>tagged twice (as 2074 too)</t>
  </si>
  <si>
    <t>B, L</t>
  </si>
  <si>
    <t>started from point of origin on root, root sprout of dead beech</t>
  </si>
  <si>
    <t>curved, irregular bark texture</t>
  </si>
  <si>
    <t>L, B</t>
  </si>
  <si>
    <t>many broken branches and broken top</t>
  </si>
  <si>
    <t>M, A</t>
  </si>
  <si>
    <t>M, L, BB</t>
  </si>
  <si>
    <t>POM at 1.23, knots, dead branches</t>
  </si>
  <si>
    <t>multiple dead branches above POM</t>
  </si>
  <si>
    <t>I, L</t>
  </si>
  <si>
    <t>slight lean, bark slightly irregular</t>
  </si>
  <si>
    <t>soft tape, large burl at base</t>
  </si>
  <si>
    <t>curved, multiple dead branches above POM</t>
  </si>
  <si>
    <t>slight curve, POM at 1.28, dead branch</t>
  </si>
  <si>
    <t>huge burl</t>
  </si>
  <si>
    <t>trunk a little irregular</t>
  </si>
  <si>
    <t>growing out of 2054</t>
  </si>
  <si>
    <t>curved down from fallen tree</t>
  </si>
  <si>
    <t>top is dead completely</t>
  </si>
  <si>
    <t>A, L</t>
  </si>
  <si>
    <t>POM at 1.24m, knot</t>
  </si>
  <si>
    <t>POM at 1.26, knot</t>
  </si>
  <si>
    <t>POM at 1.26, knot, soft tape</t>
  </si>
  <si>
    <t>M, W, A</t>
  </si>
  <si>
    <t>not healthy</t>
  </si>
  <si>
    <t>tag reused</t>
  </si>
  <si>
    <t>completely bent over</t>
  </si>
  <si>
    <t>SG-HH-2</t>
  </si>
  <si>
    <t>lots of dead branches</t>
  </si>
  <si>
    <t>ground is sloped</t>
  </si>
  <si>
    <t>L, W, BB</t>
  </si>
  <si>
    <t>curved slightly</t>
  </si>
  <si>
    <t>W, M</t>
  </si>
  <si>
    <t>POM at 1.28m, knot, soft tape used</t>
  </si>
  <si>
    <t>W, A</t>
  </si>
  <si>
    <t>lots of dead branches, POM at 1.28m</t>
  </si>
  <si>
    <t>I,L,M</t>
  </si>
  <si>
    <t>growing next to 2179</t>
  </si>
  <si>
    <t xml:space="preserve">L </t>
  </si>
  <si>
    <t>L,BB</t>
  </si>
  <si>
    <t>half of the trunk is hollow</t>
  </si>
  <si>
    <t>soft tape used, bent under a fallen log</t>
  </si>
  <si>
    <t>AESGLA</t>
  </si>
  <si>
    <t>ground is sloped, POM at 1.28m</t>
  </si>
  <si>
    <t>A, I</t>
  </si>
  <si>
    <t>two stems with swelling at POM. POM ato 0.8</t>
  </si>
  <si>
    <t>ground is sloped, slight lean</t>
  </si>
  <si>
    <t>I, A</t>
  </si>
  <si>
    <t>POM at 1.5m. fused crotch, swollen on both sides. raised to avoid large protrusion on W side.</t>
  </si>
  <si>
    <t>large section of bark broken off</t>
  </si>
  <si>
    <t>slight lean, ground is sloped</t>
  </si>
  <si>
    <t>ground is sloped, two trees fused together</t>
  </si>
  <si>
    <t>retagged, dead root flare, ground is sloped</t>
  </si>
  <si>
    <t>POM at 1.28m, ground is sloped</t>
  </si>
  <si>
    <t>L,W,A</t>
  </si>
  <si>
    <t>W,BB</t>
  </si>
  <si>
    <t>soft tape. Possibly OSVI. seen both here, no lenticles to indicate OSVI</t>
  </si>
  <si>
    <t>soft tape, ground is sloped</t>
  </si>
  <si>
    <t>L,W,M,A</t>
  </si>
  <si>
    <t>A,BB</t>
  </si>
  <si>
    <t>W,BB,A</t>
  </si>
  <si>
    <t>BA-HH</t>
  </si>
  <si>
    <t>Baldwin</t>
  </si>
  <si>
    <t>maybe rootsprout, but hard to tell</t>
  </si>
  <si>
    <t>next to dead TSCA under debris</t>
  </si>
  <si>
    <t>debris on top killed original lead</t>
  </si>
  <si>
    <t>L/W</t>
  </si>
  <si>
    <t>sad canopy</t>
  </si>
  <si>
    <t>damage on top side</t>
  </si>
  <si>
    <t>M,A,W</t>
  </si>
  <si>
    <t>M,B,W</t>
  </si>
  <si>
    <t>really sad</t>
  </si>
  <si>
    <t>BETALL</t>
  </si>
  <si>
    <t>trunk irregular</t>
  </si>
  <si>
    <t>ULMAME</t>
  </si>
  <si>
    <t>main stem dead, new main stem</t>
  </si>
  <si>
    <t>within a fallen beech crown</t>
  </si>
  <si>
    <t>hit by fallen beech</t>
  </si>
  <si>
    <t>POM at 1.24</t>
  </si>
  <si>
    <t>L,A,I</t>
  </si>
  <si>
    <t>next to 2425, POM at 1.21m, knots, not tagged (?)</t>
  </si>
  <si>
    <t>oriental bittersweet growth</t>
  </si>
  <si>
    <t>soft tape, POM at 1.24</t>
  </si>
  <si>
    <t>soft tape, POM at 1.28</t>
  </si>
  <si>
    <t>trunk weird shape</t>
  </si>
  <si>
    <t>Hard to ID, 80% certain, slight lean</t>
  </si>
  <si>
    <t>W, L</t>
  </si>
  <si>
    <t>POM at 1.26m, knot</t>
  </si>
  <si>
    <t>stem a little irregular</t>
  </si>
  <si>
    <t>soft tape. hit by fallen beech</t>
  </si>
  <si>
    <t>POM at 1.22m</t>
  </si>
  <si>
    <t>massive grapevine</t>
  </si>
  <si>
    <t>Severely leaning</t>
  </si>
  <si>
    <t>w</t>
  </si>
  <si>
    <t>POM at 0.5, large hole that caused us to lower a lot</t>
  </si>
  <si>
    <t>BA-OH-2</t>
  </si>
  <si>
    <t>soft tape, POM at 1.25</t>
  </si>
  <si>
    <t xml:space="preserve">slightly wavy </t>
  </si>
  <si>
    <t>slight lean, POM at 1.24m</t>
  </si>
  <si>
    <t>slightly wavy all around</t>
  </si>
  <si>
    <t>tag fell to base of tree</t>
  </si>
  <si>
    <t>CAROVA</t>
  </si>
  <si>
    <t>W/L</t>
  </si>
  <si>
    <t>B, W</t>
  </si>
  <si>
    <t>branch became new lead. soft tape</t>
  </si>
  <si>
    <t>POM at 1.26, soft tape</t>
  </si>
  <si>
    <t>W, X, I</t>
  </si>
  <si>
    <t>POM at 1.28, slight lean</t>
  </si>
  <si>
    <t>original lead broke off, stem slightly irregular, soft tape</t>
  </si>
  <si>
    <t>moderate canopy</t>
  </si>
  <si>
    <t>Pom at 1.18</t>
  </si>
  <si>
    <t>swelling at/below POM</t>
  </si>
  <si>
    <t>POM at 1.22</t>
  </si>
  <si>
    <t>trapped under fallen branch</t>
  </si>
  <si>
    <t>large branch has fallen off</t>
  </si>
  <si>
    <t>a lot of old healed wounds</t>
  </si>
  <si>
    <t>slightly wavy, stick used</t>
  </si>
  <si>
    <t>dead lower branch, soft tape</t>
  </si>
  <si>
    <t>L, I, A</t>
  </si>
  <si>
    <t>bumps all over, POM ant 1.28m</t>
  </si>
  <si>
    <t>A, W, X</t>
  </si>
  <si>
    <t>main leader dead, POM at 1.28m, soft tape</t>
  </si>
  <si>
    <t>BA-OH-1</t>
  </si>
  <si>
    <t>soft measure used, POM at 1.29m</t>
  </si>
  <si>
    <t>slightly wavy, POM at 1.28m</t>
  </si>
  <si>
    <t>POM stick used, POM at 1.22m</t>
  </si>
  <si>
    <t xml:space="preserve">soft measure used, POM at 1.29m </t>
  </si>
  <si>
    <t>not best shape</t>
  </si>
  <si>
    <t>W, B, A</t>
  </si>
  <si>
    <t>POM at 1.29, soft tape</t>
  </si>
  <si>
    <t>POM at 1.27m, stick used, slightly wavy</t>
  </si>
  <si>
    <t>soft tape, POM at 1.29m, knot</t>
  </si>
  <si>
    <t>POM at 1.285, knot</t>
  </si>
  <si>
    <t>burl/swelling</t>
  </si>
  <si>
    <t>M,W,I</t>
  </si>
  <si>
    <t>knots on trunk, curved, weighed down by tree</t>
  </si>
  <si>
    <t>prominent bark texture</t>
  </si>
  <si>
    <t>POM at 1.28m, knot, BB</t>
  </si>
  <si>
    <t>trunk irregular, many divots</t>
  </si>
  <si>
    <t>knots on all of trunk, slight lean</t>
  </si>
  <si>
    <t>POM at 1.265, knot</t>
  </si>
  <si>
    <t>POM at 1.245, knots</t>
  </si>
  <si>
    <t>soft tape, gnarled bark</t>
  </si>
  <si>
    <t>trunk slightly irregular, divots</t>
  </si>
  <si>
    <t>POM stick used, poor health, thin canopy</t>
  </si>
  <si>
    <t>peeling bark</t>
  </si>
  <si>
    <t>poor health, slight curve and lean</t>
  </si>
  <si>
    <t>slightly curved, stick used</t>
  </si>
  <si>
    <t>curved, stick used</t>
  </si>
  <si>
    <t>B, A</t>
  </si>
  <si>
    <t>POM at 1.245m, knots</t>
  </si>
  <si>
    <t>POM at 1.26, knots/swelling, soft tape</t>
  </si>
  <si>
    <t>POM at 1.24m, knot/swelling</t>
  </si>
  <si>
    <t>POM at 1.28m, knot/swelling</t>
  </si>
  <si>
    <t>splits, peeling bark, irregular shape</t>
  </si>
  <si>
    <t>missing</t>
  </si>
  <si>
    <t>POM at 1.19m, knots</t>
  </si>
  <si>
    <t>main stem split near base, soft tape, poor health</t>
  </si>
  <si>
    <t>POM at 1.24m, knots</t>
  </si>
  <si>
    <t>poor health, thin canopy</t>
  </si>
  <si>
    <t>slightly wavy, swelling, POM stick used</t>
  </si>
  <si>
    <t>1 cm dead branch below POM</t>
  </si>
  <si>
    <t>POM at 1.25m, branching above POM/bark texture</t>
  </si>
  <si>
    <t>soft tape, POM at 1.26m</t>
  </si>
  <si>
    <t>divots</t>
  </si>
  <si>
    <t>M,L,I</t>
  </si>
  <si>
    <t>POM stick used, curved</t>
  </si>
  <si>
    <t>slight lean, POM at 1.28m, knot</t>
  </si>
  <si>
    <t>long knot does not stick out past bark</t>
  </si>
  <si>
    <t>W,X,A</t>
  </si>
  <si>
    <t>POM at 1.26m, knots/swelling</t>
  </si>
  <si>
    <t>looking sad</t>
  </si>
  <si>
    <t>slightly wavy, POM stick used</t>
  </si>
  <si>
    <t>POM at 1.26m, slight lean</t>
  </si>
  <si>
    <t>POM stick used, POM at 1.28m</t>
  </si>
  <si>
    <t>tip up, runs across about 3 rows</t>
  </si>
  <si>
    <t>soft tape, POM at 1.15m</t>
  </si>
  <si>
    <t>bark weird</t>
  </si>
  <si>
    <t>trunk odd shape</t>
  </si>
  <si>
    <t>thin canopy</t>
  </si>
  <si>
    <t>knobby trunk</t>
  </si>
  <si>
    <t>Trunk irregular</t>
  </si>
  <si>
    <t>POM at 1.2m, knots</t>
  </si>
  <si>
    <t>dead top of crown, sad</t>
  </si>
  <si>
    <t>deer damage</t>
  </si>
  <si>
    <t>open spot in trunk</t>
  </si>
  <si>
    <t>(All)</t>
  </si>
  <si>
    <t>DBH Class by Plot</t>
  </si>
  <si>
    <t>DBH Ranges</t>
  </si>
  <si>
    <t>Plot &amp; Species</t>
  </si>
  <si>
    <t>0 to 5</t>
  </si>
  <si>
    <t>5.1 to 10</t>
  </si>
  <si>
    <t>10 to 20</t>
  </si>
  <si>
    <t>20 to 40</t>
  </si>
  <si>
    <t>40 to 50</t>
  </si>
  <si>
    <t>&gt;50</t>
  </si>
  <si>
    <t>Grand Total</t>
  </si>
  <si>
    <t>CW-MM Total</t>
  </si>
  <si>
    <t>CW-OH Total</t>
  </si>
  <si>
    <t>GAS-MM Total</t>
  </si>
  <si>
    <t>LM-MM Total</t>
  </si>
  <si>
    <t>SC-BM-1 Total</t>
  </si>
  <si>
    <t>WW-BM Total</t>
  </si>
  <si>
    <t>SC-BM-2 Total</t>
  </si>
  <si>
    <t>SG-HH-1 Total</t>
  </si>
  <si>
    <t>SG-HH-2 Total</t>
  </si>
  <si>
    <t>BA-OH-2 Total</t>
  </si>
  <si>
    <t>BA-OH-1 Total</t>
  </si>
  <si>
    <t>BA-HH Total</t>
  </si>
  <si>
    <t>Count of StemTag</t>
  </si>
  <si>
    <t>Beech_Maple Total</t>
  </si>
  <si>
    <t>Hemlock_Hardwood Total</t>
  </si>
  <si>
    <t>Mixed_Mesophytic Total</t>
  </si>
  <si>
    <t>Oak_Hickory Total</t>
  </si>
  <si>
    <t>Count of DBH Class</t>
  </si>
  <si>
    <t>CW - MM (Percentages Based on Total Trees)</t>
  </si>
  <si>
    <t>0 to 5 cm</t>
  </si>
  <si>
    <t>5 to 10cm</t>
  </si>
  <si>
    <t xml:space="preserve">&gt;10 cm </t>
  </si>
  <si>
    <t>Total</t>
  </si>
  <si>
    <t>Species(4-letter code)</t>
  </si>
  <si>
    <t>Scientific Name</t>
  </si>
  <si>
    <t>Sp. Name</t>
  </si>
  <si>
    <t>Common Names</t>
  </si>
  <si>
    <t>Classification Comments/Conditions</t>
  </si>
  <si>
    <t>ACRU</t>
  </si>
  <si>
    <t>Acer rubrum</t>
  </si>
  <si>
    <t>Sapindaceae</t>
  </si>
  <si>
    <t>Red Maple</t>
  </si>
  <si>
    <t>ACSA</t>
  </si>
  <si>
    <t>Acer saccharum</t>
  </si>
  <si>
    <t>Sugar Maple</t>
  </si>
  <si>
    <t>AEGL</t>
  </si>
  <si>
    <t>Aesculus glabra</t>
  </si>
  <si>
    <t>Ohio Buckeye</t>
  </si>
  <si>
    <t>AMAR</t>
  </si>
  <si>
    <t>Amelanchier arborea</t>
  </si>
  <si>
    <t>Rosaceae</t>
  </si>
  <si>
    <t>Common Serviceberry</t>
  </si>
  <si>
    <t>ASITRI</t>
  </si>
  <si>
    <t>ASTR</t>
  </si>
  <si>
    <t>Asimina triloba</t>
  </si>
  <si>
    <t>Magnoliales</t>
  </si>
  <si>
    <t>Paw Paw</t>
  </si>
  <si>
    <t>BEAL</t>
  </si>
  <si>
    <t>Betula alleghaniensis</t>
  </si>
  <si>
    <t>Betula</t>
  </si>
  <si>
    <t>alleghaniensis</t>
  </si>
  <si>
    <t>Betulaceae</t>
  </si>
  <si>
    <t>Yellow Birch</t>
  </si>
  <si>
    <t>CACA</t>
  </si>
  <si>
    <t>Carpinus caroliniana</t>
  </si>
  <si>
    <t>American Hornbean (Musclewood)</t>
  </si>
  <si>
    <t>CACO</t>
  </si>
  <si>
    <t>Carya cordiformis</t>
  </si>
  <si>
    <t>Juglandaceae</t>
  </si>
  <si>
    <t>Bitternut Hickory</t>
  </si>
  <si>
    <t>CARGLA</t>
  </si>
  <si>
    <t>CAGL</t>
  </si>
  <si>
    <t>Carya glabra</t>
  </si>
  <si>
    <t>Pignut Hickory</t>
  </si>
  <si>
    <t>CARLAC</t>
  </si>
  <si>
    <t>CALA</t>
  </si>
  <si>
    <t>Carya laciniosa</t>
  </si>
  <si>
    <t>Shellbark Hickory</t>
  </si>
  <si>
    <t>CAOV</t>
  </si>
  <si>
    <t>Carya ovata</t>
  </si>
  <si>
    <t>Shagbark Hickory</t>
  </si>
  <si>
    <t>CARTOM</t>
  </si>
  <si>
    <t>CATO</t>
  </si>
  <si>
    <t>Carya tomentosa</t>
  </si>
  <si>
    <t>Mockernut Hickory</t>
  </si>
  <si>
    <t>COFL</t>
  </si>
  <si>
    <t>Cornus florida</t>
  </si>
  <si>
    <t>Cornaceae</t>
  </si>
  <si>
    <t>Flowering Dogwood</t>
  </si>
  <si>
    <t>CRSP</t>
  </si>
  <si>
    <t>Crataegus species</t>
  </si>
  <si>
    <t>Hawthorn Species</t>
  </si>
  <si>
    <t>FAGR</t>
  </si>
  <si>
    <t>Fagus grandifolia</t>
  </si>
  <si>
    <t>Fagaceae</t>
  </si>
  <si>
    <t>American Beech</t>
  </si>
  <si>
    <t>FRAM</t>
  </si>
  <si>
    <t>Fraxinus americana</t>
  </si>
  <si>
    <t>Oleaceae</t>
  </si>
  <si>
    <t>White Ash</t>
  </si>
  <si>
    <t>FRPE</t>
  </si>
  <si>
    <t>Fraxinus pennsylvanica</t>
  </si>
  <si>
    <t>Green Ash</t>
  </si>
  <si>
    <t>FRSP</t>
  </si>
  <si>
    <t>Fraxinus Species</t>
  </si>
  <si>
    <t>Ash Species</t>
  </si>
  <si>
    <t>When larger trees are found and leaves can't be used for identification.</t>
  </si>
  <si>
    <t>JUNI</t>
  </si>
  <si>
    <t>Juglans nigra</t>
  </si>
  <si>
    <t>Black Walnut</t>
  </si>
  <si>
    <t>LITU</t>
  </si>
  <si>
    <t>Lirodendron tulipfera</t>
  </si>
  <si>
    <t>Magnoliaceae</t>
  </si>
  <si>
    <t>Tulip Poplar</t>
  </si>
  <si>
    <t>MAAC</t>
  </si>
  <si>
    <t>Magnolia acuminata</t>
  </si>
  <si>
    <t>Cucumber Magnolia</t>
  </si>
  <si>
    <t>NYSY</t>
  </si>
  <si>
    <t>Nyssa sylvatica</t>
  </si>
  <si>
    <t>Nyssaceae</t>
  </si>
  <si>
    <t>Tupelo (Black Gum)</t>
  </si>
  <si>
    <t>OSVI</t>
  </si>
  <si>
    <t>Ostrya viginiana</t>
  </si>
  <si>
    <t>Hophornbeam</t>
  </si>
  <si>
    <t>POPDEL</t>
  </si>
  <si>
    <t>PODE</t>
  </si>
  <si>
    <t>Populus Deltoides</t>
  </si>
  <si>
    <t>Salicaceae</t>
  </si>
  <si>
    <t>Eastern Cottonwood</t>
  </si>
  <si>
    <t>PRSE</t>
  </si>
  <si>
    <t>Prunus serotina</t>
  </si>
  <si>
    <t>Black Cherry</t>
  </si>
  <si>
    <t>QUAL</t>
  </si>
  <si>
    <t>Quercus alba</t>
  </si>
  <si>
    <t>White Oak</t>
  </si>
  <si>
    <t>QUEBIC</t>
  </si>
  <si>
    <t>QUBI</t>
  </si>
  <si>
    <t>Quercus bicolor</t>
  </si>
  <si>
    <t>Swamp White Oak</t>
  </si>
  <si>
    <t>QUEMAC</t>
  </si>
  <si>
    <t>QUMA</t>
  </si>
  <si>
    <t>Quercus macrocarpa</t>
  </si>
  <si>
    <t>Bur Oak</t>
  </si>
  <si>
    <t>QUMO</t>
  </si>
  <si>
    <t xml:space="preserve">Quercus montana </t>
  </si>
  <si>
    <t>Chestnut Oak</t>
  </si>
  <si>
    <t>QUEMUE</t>
  </si>
  <si>
    <t>QUMU</t>
  </si>
  <si>
    <t>Quercus muehlenbergii</t>
  </si>
  <si>
    <t>Chinquapin Oak (Chinkapin Oak)</t>
  </si>
  <si>
    <t>QUEPAL</t>
  </si>
  <si>
    <t>QUPA</t>
  </si>
  <si>
    <t>Quercus Palustris</t>
  </si>
  <si>
    <t>Pin Oak</t>
  </si>
  <si>
    <t>QURU</t>
  </si>
  <si>
    <t>Quercus rubra</t>
  </si>
  <si>
    <t>Red Oak</t>
  </si>
  <si>
    <t>QUEVEL</t>
  </si>
  <si>
    <t>QUVE</t>
  </si>
  <si>
    <t>Quercus velutina</t>
  </si>
  <si>
    <t>Black Oak</t>
  </si>
  <si>
    <t>SAAL</t>
  </si>
  <si>
    <t>Sassafras Albidum</t>
  </si>
  <si>
    <t>Lauraceae</t>
  </si>
  <si>
    <t>Sassafras</t>
  </si>
  <si>
    <t>TIAM</t>
  </si>
  <si>
    <t>Tilia americana</t>
  </si>
  <si>
    <t>Malvaceae</t>
  </si>
  <si>
    <t>American Basswood</t>
  </si>
  <si>
    <t>TSCA</t>
  </si>
  <si>
    <t>Tsuga canadensis</t>
  </si>
  <si>
    <t>Pinaceae</t>
  </si>
  <si>
    <t>Eastern Hemlock</t>
  </si>
  <si>
    <t>ULAM</t>
  </si>
  <si>
    <t>Ulmus americana</t>
  </si>
  <si>
    <t>Ulmaceae</t>
  </si>
  <si>
    <t>American Elm</t>
  </si>
  <si>
    <t>ULMRUB</t>
  </si>
  <si>
    <t>ULRU</t>
  </si>
  <si>
    <t>Ulmus rubra</t>
  </si>
  <si>
    <t>Slippery Elm</t>
  </si>
  <si>
    <t>UNSP</t>
  </si>
  <si>
    <t>Unknown Species</t>
  </si>
  <si>
    <t>Unknown</t>
  </si>
  <si>
    <t>Can't Identify</t>
  </si>
  <si>
    <t>STDDEV</t>
  </si>
  <si>
    <t>MEAN</t>
  </si>
  <si>
    <t>Coeff</t>
  </si>
  <si>
    <t>SC-HH-1</t>
  </si>
  <si>
    <t>SC-HH-2</t>
  </si>
  <si>
    <t>`1.6</t>
  </si>
  <si>
    <t>not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</si>
</sst>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16" fontId="0" fillId="2" borderId="0" xfId="0" applyNumberFormat="1" applyFill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" fontId="2" fillId="0" borderId="0" xfId="0" applyNumberFormat="1" applyFont="1"/>
    <xf numFmtId="0" fontId="4" fillId="0" borderId="5" xfId="0" applyFont="1" applyBorder="1"/>
    <xf numFmtId="2" fontId="4" fillId="0" borderId="5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2" fontId="0" fillId="0" borderId="0" xfId="0" applyNumberFormat="1"/>
    <xf numFmtId="0" fontId="0" fillId="0" borderId="4" xfId="0" applyBorder="1"/>
    <xf numFmtId="0" fontId="0" fillId="0" borderId="4" xfId="0" applyBorder="1" applyAlignment="1">
      <alignment horizontal="left" indent="1"/>
    </xf>
    <xf numFmtId="0" fontId="4" fillId="0" borderId="6" xfId="0" applyFont="1" applyBorder="1" applyAlignment="1">
      <alignment horizontal="left" inden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 applyAlignment="1">
      <alignment horizontal="center"/>
    </xf>
    <xf numFmtId="0" fontId="0" fillId="3" borderId="0" xfId="0" applyFill="1"/>
    <xf numFmtId="16" fontId="0" fillId="3" borderId="0" xfId="0" applyNumberFormat="1" applyFill="1"/>
    <xf numFmtId="0" fontId="4" fillId="0" borderId="0" xfId="0" applyFont="1"/>
    <xf numFmtId="0" fontId="0" fillId="4" borderId="0" xfId="0" applyFill="1"/>
    <xf numFmtId="16" fontId="0" fillId="4" borderId="0" xfId="0" applyNumberFormat="1" applyFill="1"/>
    <xf numFmtId="0" fontId="0" fillId="5" borderId="0" xfId="0" applyFill="1"/>
    <xf numFmtId="16" fontId="0" fillId="5" borderId="0" xfId="0" applyNumberFormat="1" applyFill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</cellXfs>
  <cellStyles count="1">
    <cellStyle name="Normal" xfId="0" builtinId="0"/>
  </cellStyles>
  <dxfs count="47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1" formatCode="d\-mmm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2" formatCode="0.0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indent="0"/>
    </dxf>
    <dxf>
      <alignment horizontal="center" indent="0"/>
    </dxf>
    <dxf>
      <alignment horizontal="center" indent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1" formatCode="d\-mm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 Worthy" refreshedDate="46231.638515046296" createdVersion="8" refreshedVersion="8" minRefreshableVersion="3" recordCount="3185" xr:uid="{96E9C606-8DDE-48E2-A8F9-A32F04C8319B}">
  <cacheSource type="worksheet">
    <worksheetSource name="Table9"/>
  </cacheSource>
  <cacheFields count="15">
    <cacheField name="Plot" numFmtId="0">
      <sharedItems containsBlank="1" count="17">
        <s v="CW-MM"/>
        <s v="CW-OH"/>
        <s v="WW-BM"/>
        <s v="GAS-MM"/>
        <s v="SC-BM-1"/>
        <s v="LM-MM"/>
        <s v="SC-BM-2"/>
        <s v="SG-HH-1"/>
        <s v="SG-HH-2"/>
        <s v="BA-HH"/>
        <s v="BA-OH-2"/>
        <s v="BA-OH-1"/>
        <s v="BA-OH-3" u="1"/>
        <s v="BA-HH-3" u="1"/>
        <s v="BA-HH-4" u="1"/>
        <s v="SG-HH-3" u="1"/>
        <m u="1"/>
      </sharedItems>
    </cacheField>
    <cacheField name="Date" numFmtId="16">
      <sharedItems containsNonDate="0" containsDate="1" containsString="0" containsBlank="1" minDate="2026-05-18T00:00:00" maxDate="2026-07-21T00:00:00"/>
    </cacheField>
    <cacheField name="Species" numFmtId="0">
      <sharedItems containsBlank="1" count="29">
        <s v="ACESAC"/>
        <s v="PRUSER"/>
        <s v="ACERUB"/>
        <s v="LIRTUL"/>
        <s v="SASALB"/>
        <s v="MAGACU"/>
        <s v="NYSSYL"/>
        <s v="FAGGRA"/>
        <s v="OSTVIR"/>
        <s v="QUEMON"/>
        <s v="QUERUB"/>
        <s v="AMEARB"/>
        <s v="CORFLO"/>
        <s v="QUEALB"/>
        <s v="TILAME"/>
        <s v="FRAAME"/>
        <s v="CARCOR"/>
        <s v="JUGNIG"/>
        <s v="CRASPP"/>
        <s v="CARCAR"/>
        <s v="FRASPP"/>
        <s v="FRAPEN"/>
        <s v="TSUCAN"/>
        <s v="AESGLA"/>
        <s v="BETALL"/>
        <s v="ULMAME"/>
        <s v="CAROVA"/>
        <s v="UNKSPP" u="1"/>
        <m u="1"/>
      </sharedItems>
    </cacheField>
    <cacheField name="Tag" numFmtId="0">
      <sharedItems containsSemiMixedTypes="0" containsString="0" containsNumber="1" containsInteger="1" minValue="0" maxValue="2985"/>
    </cacheField>
    <cacheField name="StemTag" numFmtId="0">
      <sharedItems containsSemiMixedTypes="0" containsString="0" containsNumber="1" minValue="1" maxValue="21" count="25">
        <n v="1"/>
        <n v="2"/>
        <n v="3"/>
        <n v="4"/>
        <n v="5"/>
        <n v="6"/>
        <n v="7"/>
        <n v="8"/>
        <n v="9"/>
        <n v="10"/>
        <n v="11"/>
        <n v="12"/>
        <n v="4.0999999999999996"/>
        <n v="4.2"/>
        <n v="2.1"/>
        <n v="2.2000000000000002"/>
        <n v="3.1"/>
        <n v="3.2"/>
        <n v="3.3"/>
        <n v="5.0999999999999996"/>
        <n v="5.2"/>
        <n v="10.1"/>
        <n v="10.199999999999999"/>
        <n v="21" u="1"/>
        <n v="4.9000000000000004" u="1"/>
      </sharedItems>
    </cacheField>
    <cacheField name="DBH.cm" numFmtId="0">
      <sharedItems containsSemiMixedTypes="0" containsString="0" containsNumber="1" minValue="1" maxValue="134.80000000000001"/>
    </cacheField>
    <cacheField name="Code" numFmtId="0">
      <sharedItems containsBlank="1"/>
    </cacheField>
    <cacheField name="Notes" numFmtId="0">
      <sharedItems containsBlank="1" containsMixedTypes="1" containsNumber="1" containsInteger="1" minValue="3" maxValue="3"/>
    </cacheField>
    <cacheField name="StemID" numFmtId="0">
      <sharedItems containsBlank="1"/>
    </cacheField>
    <cacheField name="NaturalArea" numFmtId="0">
      <sharedItems containsBlank="1"/>
    </cacheField>
    <cacheField name="ForestType" numFmtId="0">
      <sharedItems count="4">
        <s v="Mixed_Mesophytic"/>
        <s v="Oak_Hickory"/>
        <s v="Beech_Maple"/>
        <s v="Hemlock_Hardwood"/>
      </sharedItems>
    </cacheField>
    <cacheField name="Genus" numFmtId="0">
      <sharedItems/>
    </cacheField>
    <cacheField name="Sp" numFmtId="0">
      <sharedItems/>
    </cacheField>
    <cacheField name="Family" numFmtId="0">
      <sharedItems/>
    </cacheField>
    <cacheField name="DBH Class" numFmtId="0">
      <sharedItems containsBlank="1" count="9">
        <s v="20 to 40"/>
        <s v="40 to 50"/>
        <s v="0 to 5"/>
        <s v="10 to 20"/>
        <s v="&gt;50"/>
        <s v="5.1 to 10"/>
        <s v="" u="1"/>
        <m u="1"/>
        <s v="&gt;1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5">
  <r>
    <x v="0"/>
    <d v="2026-05-18T00:00:00"/>
    <x v="0"/>
    <n v="1"/>
    <x v="0"/>
    <n v="24.3"/>
    <s v="L"/>
    <m/>
    <s v="1_1"/>
    <s v="Corning_Woods"/>
    <x v="0"/>
    <s v="Acer"/>
    <s v="saccharum"/>
    <s v="Sapindaceae"/>
    <x v="0"/>
  </r>
  <r>
    <x v="0"/>
    <d v="2026-05-18T00:00:00"/>
    <x v="1"/>
    <n v="2"/>
    <x v="0"/>
    <n v="43.8"/>
    <s v="N/A"/>
    <m/>
    <s v="2_1"/>
    <s v="Corning_Woods"/>
    <x v="0"/>
    <s v="serotina"/>
    <s v="serotina"/>
    <s v="Rosaceae"/>
    <x v="1"/>
  </r>
  <r>
    <x v="0"/>
    <d v="2026-05-18T00:00:00"/>
    <x v="2"/>
    <n v="3"/>
    <x v="0"/>
    <n v="26.6"/>
    <s v="L"/>
    <m/>
    <s v="3_1"/>
    <s v="Corning_Woods"/>
    <x v="0"/>
    <s v="Acer"/>
    <s v="rubrum"/>
    <s v="Sapindaceae"/>
    <x v="0"/>
  </r>
  <r>
    <x v="0"/>
    <d v="2026-05-18T00:00:00"/>
    <x v="0"/>
    <n v="4"/>
    <x v="0"/>
    <n v="25.5"/>
    <s v="L"/>
    <m/>
    <s v="4_1"/>
    <s v="Corning_Woods"/>
    <x v="0"/>
    <s v="Acer"/>
    <s v="saccharum"/>
    <s v="Sapindaceae"/>
    <x v="0"/>
  </r>
  <r>
    <x v="0"/>
    <d v="2026-05-18T00:00:00"/>
    <x v="0"/>
    <n v="5"/>
    <x v="0"/>
    <n v="1.9"/>
    <s v="N/A"/>
    <m/>
    <s v="5_1"/>
    <s v="Corning_Woods"/>
    <x v="0"/>
    <s v="Acer"/>
    <s v="saccharum"/>
    <s v="Sapindaceae"/>
    <x v="2"/>
  </r>
  <r>
    <x v="0"/>
    <d v="2026-05-18T00:00:00"/>
    <x v="0"/>
    <n v="6"/>
    <x v="0"/>
    <n v="2.2000000000000002"/>
    <s v="N/A"/>
    <m/>
    <s v="6_1"/>
    <s v="Corning_Woods"/>
    <x v="0"/>
    <s v="Acer"/>
    <s v="saccharum"/>
    <s v="Sapindaceae"/>
    <x v="2"/>
  </r>
  <r>
    <x v="0"/>
    <d v="2026-05-18T00:00:00"/>
    <x v="0"/>
    <n v="7"/>
    <x v="0"/>
    <n v="11.2"/>
    <s v="L"/>
    <s v="Leaning Heavily"/>
    <s v="7_1"/>
    <s v="Corning_Woods"/>
    <x v="0"/>
    <s v="Acer"/>
    <s v="saccharum"/>
    <s v="Sapindaceae"/>
    <x v="3"/>
  </r>
  <r>
    <x v="0"/>
    <d v="2026-05-18T00:00:00"/>
    <x v="0"/>
    <n v="10"/>
    <x v="0"/>
    <n v="1.5"/>
    <s v="N/A"/>
    <m/>
    <s v="10_1"/>
    <s v="Corning_Woods"/>
    <x v="0"/>
    <s v="Acer"/>
    <s v="saccharum"/>
    <s v="Sapindaceae"/>
    <x v="2"/>
  </r>
  <r>
    <x v="0"/>
    <d v="2026-05-18T00:00:00"/>
    <x v="3"/>
    <n v="8"/>
    <x v="0"/>
    <n v="77.3"/>
    <s v="N/A"/>
    <m/>
    <s v="8_1"/>
    <s v="Corning_Woods"/>
    <x v="0"/>
    <s v="Lirodendron"/>
    <s v="tulipfera"/>
    <s v="Magnoliaceae"/>
    <x v="4"/>
  </r>
  <r>
    <x v="0"/>
    <d v="2026-05-18T00:00:00"/>
    <x v="0"/>
    <n v="9"/>
    <x v="0"/>
    <n v="1.3"/>
    <s v="N/A"/>
    <m/>
    <s v="9_1"/>
    <s v="Corning_Woods"/>
    <x v="0"/>
    <s v="Acer"/>
    <s v="saccharum"/>
    <s v="Sapindaceae"/>
    <x v="2"/>
  </r>
  <r>
    <x v="0"/>
    <d v="2026-05-18T00:00:00"/>
    <x v="0"/>
    <n v="12"/>
    <x v="0"/>
    <n v="21.4"/>
    <s v="N/A"/>
    <m/>
    <s v="12_1"/>
    <s v="Corning_Woods"/>
    <x v="0"/>
    <s v="Acer"/>
    <s v="saccharum"/>
    <s v="Sapindaceae"/>
    <x v="0"/>
  </r>
  <r>
    <x v="0"/>
    <d v="2026-05-18T00:00:00"/>
    <x v="0"/>
    <n v="14"/>
    <x v="0"/>
    <n v="3.2"/>
    <s v="N/A"/>
    <m/>
    <s v="14_1"/>
    <s v="Corning_Woods"/>
    <x v="0"/>
    <s v="Acer"/>
    <s v="saccharum"/>
    <s v="Sapindaceae"/>
    <x v="2"/>
  </r>
  <r>
    <x v="0"/>
    <d v="2026-05-18T00:00:00"/>
    <x v="0"/>
    <n v="13"/>
    <x v="0"/>
    <n v="5.9"/>
    <s v="L"/>
    <m/>
    <s v="13_1"/>
    <s v="Corning_Woods"/>
    <x v="0"/>
    <s v="Acer"/>
    <s v="saccharum"/>
    <s v="Sapindaceae"/>
    <x v="5"/>
  </r>
  <r>
    <x v="0"/>
    <d v="2026-05-18T00:00:00"/>
    <x v="0"/>
    <n v="11"/>
    <x v="0"/>
    <n v="46"/>
    <s v="I,M,A"/>
    <s v="split just above POM. Really wide mostly down trunk.  POM at 0.8m"/>
    <s v="11_1"/>
    <s v="Corning_Woods"/>
    <x v="0"/>
    <s v="Acer"/>
    <s v="saccharum"/>
    <s v="Sapindaceae"/>
    <x v="1"/>
  </r>
  <r>
    <x v="0"/>
    <d v="2026-05-18T00:00:00"/>
    <x v="3"/>
    <n v="15"/>
    <x v="0"/>
    <n v="52.3"/>
    <s v="N/A"/>
    <m/>
    <s v="15_1"/>
    <s v="Corning_Woods"/>
    <x v="0"/>
    <s v="Lirodendron"/>
    <s v="tulipfera"/>
    <s v="Magnoliaceae"/>
    <x v="4"/>
  </r>
  <r>
    <x v="0"/>
    <d v="2026-05-18T00:00:00"/>
    <x v="0"/>
    <n v="16"/>
    <x v="0"/>
    <n v="18.600000000000001"/>
    <s v="N/A"/>
    <m/>
    <s v="16_1"/>
    <s v="Corning_Woods"/>
    <x v="0"/>
    <s v="Acer"/>
    <s v="saccharum"/>
    <s v="Sapindaceae"/>
    <x v="3"/>
  </r>
  <r>
    <x v="0"/>
    <d v="2026-05-18T00:00:00"/>
    <x v="3"/>
    <n v="17"/>
    <x v="0"/>
    <n v="35.4"/>
    <s v="N/A"/>
    <m/>
    <s v="17_1"/>
    <s v="Corning_Woods"/>
    <x v="0"/>
    <s v="Lirodendron"/>
    <s v="tulipfera"/>
    <s v="Magnoliaceae"/>
    <x v="0"/>
  </r>
  <r>
    <x v="0"/>
    <d v="2026-05-18T00:00:00"/>
    <x v="3"/>
    <n v="18"/>
    <x v="0"/>
    <n v="44.8"/>
    <s v="N/A"/>
    <m/>
    <s v="18_1"/>
    <s v="Corning_Woods"/>
    <x v="0"/>
    <s v="Lirodendron"/>
    <s v="tulipfera"/>
    <s v="Magnoliaceae"/>
    <x v="1"/>
  </r>
  <r>
    <x v="0"/>
    <d v="2026-05-18T00:00:00"/>
    <x v="0"/>
    <n v="19"/>
    <x v="0"/>
    <n v="8"/>
    <s v="L"/>
    <m/>
    <s v="19_1"/>
    <s v="Corning_Woods"/>
    <x v="0"/>
    <s v="Acer"/>
    <s v="saccharum"/>
    <s v="Sapindaceae"/>
    <x v="5"/>
  </r>
  <r>
    <x v="0"/>
    <d v="2026-05-19T00:00:00"/>
    <x v="2"/>
    <n v="20"/>
    <x v="0"/>
    <n v="34.1"/>
    <s v="A,X"/>
    <s v="POM at 1.45m"/>
    <s v="20_1"/>
    <s v="Corning_Woods"/>
    <x v="0"/>
    <s v="Acer"/>
    <s v="rubrum"/>
    <s v="Sapindaceae"/>
    <x v="0"/>
  </r>
  <r>
    <x v="0"/>
    <d v="2026-05-19T00:00:00"/>
    <x v="0"/>
    <n v="21"/>
    <x v="0"/>
    <n v="9.8000000000000007"/>
    <s v="N/A"/>
    <m/>
    <s v="21_1"/>
    <s v="Corning_Woods"/>
    <x v="0"/>
    <s v="Acer"/>
    <s v="saccharum"/>
    <s v="Sapindaceae"/>
    <x v="5"/>
  </r>
  <r>
    <x v="0"/>
    <d v="2026-05-19T00:00:00"/>
    <x v="4"/>
    <n v="22"/>
    <x v="0"/>
    <n v="31.6"/>
    <s v="N/A"/>
    <m/>
    <s v="22_1"/>
    <s v="Corning_Woods"/>
    <x v="0"/>
    <s v="Sassafras"/>
    <s v="albidum"/>
    <s v="Lauraceae"/>
    <x v="0"/>
  </r>
  <r>
    <x v="0"/>
    <d v="2026-05-19T00:00:00"/>
    <x v="0"/>
    <n v="23"/>
    <x v="0"/>
    <n v="12.6"/>
    <s v="N/A"/>
    <m/>
    <s v="23_1"/>
    <s v="Corning_Woods"/>
    <x v="0"/>
    <s v="Acer"/>
    <s v="saccharum"/>
    <s v="Sapindaceae"/>
    <x v="3"/>
  </r>
  <r>
    <x v="0"/>
    <d v="2026-05-19T00:00:00"/>
    <x v="0"/>
    <n v="24"/>
    <x v="0"/>
    <n v="17.100000000000001"/>
    <s v="A"/>
    <s v="POM at 1.15m"/>
    <s v="24_1"/>
    <s v="Corning_Woods"/>
    <x v="0"/>
    <s v="Acer"/>
    <s v="saccharum"/>
    <s v="Sapindaceae"/>
    <x v="3"/>
  </r>
  <r>
    <x v="0"/>
    <d v="2026-05-19T00:00:00"/>
    <x v="3"/>
    <n v="25"/>
    <x v="0"/>
    <n v="60.2"/>
    <s v="M"/>
    <s v="tagged on N side"/>
    <s v="25_1"/>
    <s v="Corning_Woods"/>
    <x v="0"/>
    <s v="Lirodendron"/>
    <s v="tulipfera"/>
    <s v="Magnoliaceae"/>
    <x v="4"/>
  </r>
  <r>
    <x v="0"/>
    <d v="2026-05-19T00:00:00"/>
    <x v="3"/>
    <n v="25"/>
    <x v="1"/>
    <n v="41.5"/>
    <s v="M,L"/>
    <m/>
    <s v="25_2"/>
    <s v="Corning_Woods"/>
    <x v="0"/>
    <s v="Lirodendron"/>
    <s v="tulipfera"/>
    <s v="Magnoliaceae"/>
    <x v="1"/>
  </r>
  <r>
    <x v="0"/>
    <d v="2026-05-19T00:00:00"/>
    <x v="0"/>
    <n v="26"/>
    <x v="0"/>
    <n v="19"/>
    <s v="N/A"/>
    <m/>
    <s v="26_1"/>
    <s v="Corning_Woods"/>
    <x v="0"/>
    <s v="Acer"/>
    <s v="saccharum"/>
    <s v="Sapindaceae"/>
    <x v="3"/>
  </r>
  <r>
    <x v="0"/>
    <d v="2026-05-19T00:00:00"/>
    <x v="0"/>
    <n v="27"/>
    <x v="0"/>
    <n v="23.9"/>
    <s v="L"/>
    <s v="large hole w/ swelling @ base"/>
    <s v="27_1"/>
    <s v="Corning_Woods"/>
    <x v="0"/>
    <s v="Acer"/>
    <s v="saccharum"/>
    <s v="Sapindaceae"/>
    <x v="0"/>
  </r>
  <r>
    <x v="0"/>
    <d v="2026-05-19T00:00:00"/>
    <x v="3"/>
    <n v="28"/>
    <x v="0"/>
    <n v="60.8"/>
    <s v="L"/>
    <s v="slight lean"/>
    <s v="28_1"/>
    <s v="Corning_Woods"/>
    <x v="0"/>
    <s v="Lirodendron"/>
    <s v="tulipfera"/>
    <s v="Magnoliaceae"/>
    <x v="4"/>
  </r>
  <r>
    <x v="0"/>
    <d v="2026-05-19T00:00:00"/>
    <x v="3"/>
    <n v="29"/>
    <x v="0"/>
    <n v="52.2"/>
    <s v="N/A"/>
    <s v="large vine"/>
    <s v="29_1"/>
    <s v="Corning_Woods"/>
    <x v="0"/>
    <s v="Lirodendron"/>
    <s v="tulipfera"/>
    <s v="Magnoliaceae"/>
    <x v="4"/>
  </r>
  <r>
    <x v="0"/>
    <d v="2026-05-19T00:00:00"/>
    <x v="2"/>
    <n v="30"/>
    <x v="0"/>
    <n v="45"/>
    <s v="L"/>
    <m/>
    <s v="30_1"/>
    <s v="Corning_Woods"/>
    <x v="0"/>
    <s v="Acer"/>
    <s v="rubrum"/>
    <s v="Sapindaceae"/>
    <x v="1"/>
  </r>
  <r>
    <x v="0"/>
    <d v="2026-05-19T00:00:00"/>
    <x v="0"/>
    <n v="31"/>
    <x v="0"/>
    <n v="1.6"/>
    <s v="N/A"/>
    <m/>
    <s v="31_1"/>
    <s v="Corning_Woods"/>
    <x v="0"/>
    <s v="Acer"/>
    <s v="saccharum"/>
    <s v="Sapindaceae"/>
    <x v="2"/>
  </r>
  <r>
    <x v="0"/>
    <d v="2026-05-19T00:00:00"/>
    <x v="0"/>
    <n v="32"/>
    <x v="0"/>
    <n v="2"/>
    <s v="N/A"/>
    <m/>
    <s v="32_1"/>
    <s v="Corning_Woods"/>
    <x v="0"/>
    <s v="Acer"/>
    <s v="saccharum"/>
    <s v="Sapindaceae"/>
    <x v="2"/>
  </r>
  <r>
    <x v="0"/>
    <d v="2026-05-19T00:00:00"/>
    <x v="0"/>
    <n v="33"/>
    <x v="0"/>
    <n v="15.6"/>
    <s v="L"/>
    <s v="slight lean"/>
    <s v="33_1"/>
    <s v="Corning_Woods"/>
    <x v="0"/>
    <s v="Acer"/>
    <s v="saccharum"/>
    <s v="Sapindaceae"/>
    <x v="3"/>
  </r>
  <r>
    <x v="0"/>
    <d v="2026-05-19T00:00:00"/>
    <x v="4"/>
    <n v="34"/>
    <x v="0"/>
    <n v="36.200000000000003"/>
    <s v="N/A"/>
    <m/>
    <s v="34_1"/>
    <s v="Corning_Woods"/>
    <x v="0"/>
    <s v="Sassafras"/>
    <s v="albidum"/>
    <s v="Lauraceae"/>
    <x v="0"/>
  </r>
  <r>
    <x v="0"/>
    <d v="2026-05-19T00:00:00"/>
    <x v="0"/>
    <n v="35"/>
    <x v="0"/>
    <n v="4.8"/>
    <s v="N/A"/>
    <m/>
    <s v="35_1"/>
    <s v="Corning_Woods"/>
    <x v="0"/>
    <s v="Acer"/>
    <s v="saccharum"/>
    <s v="Sapindaceae"/>
    <x v="2"/>
  </r>
  <r>
    <x v="0"/>
    <d v="2026-05-19T00:00:00"/>
    <x v="0"/>
    <n v="36"/>
    <x v="0"/>
    <n v="3"/>
    <s v="M,L"/>
    <m/>
    <s v="36_1"/>
    <s v="Corning_Woods"/>
    <x v="0"/>
    <s v="Acer"/>
    <s v="saccharum"/>
    <s v="Sapindaceae"/>
    <x v="2"/>
  </r>
  <r>
    <x v="0"/>
    <d v="2026-05-19T00:00:00"/>
    <x v="0"/>
    <n v="36"/>
    <x v="1"/>
    <n v="1.8"/>
    <s v="M,L"/>
    <m/>
    <s v="36_2"/>
    <s v="Corning_Woods"/>
    <x v="0"/>
    <s v="Acer"/>
    <s v="saccharum"/>
    <s v="Sapindaceae"/>
    <x v="2"/>
  </r>
  <r>
    <x v="0"/>
    <d v="2026-05-19T00:00:00"/>
    <x v="0"/>
    <n v="37"/>
    <x v="0"/>
    <n v="2.5"/>
    <s v="N/A"/>
    <m/>
    <s v="37_1"/>
    <s v="Corning_Woods"/>
    <x v="0"/>
    <s v="Acer"/>
    <s v="saccharum"/>
    <s v="Sapindaceae"/>
    <x v="2"/>
  </r>
  <r>
    <x v="0"/>
    <d v="2026-05-19T00:00:00"/>
    <x v="0"/>
    <n v="38"/>
    <x v="0"/>
    <n v="1.6"/>
    <s v="L"/>
    <m/>
    <s v="38_1"/>
    <s v="Corning_Woods"/>
    <x v="0"/>
    <s v="Acer"/>
    <s v="saccharum"/>
    <s v="Sapindaceae"/>
    <x v="2"/>
  </r>
  <r>
    <x v="0"/>
    <d v="2026-05-19T00:00:00"/>
    <x v="0"/>
    <n v="39"/>
    <x v="0"/>
    <n v="1.5"/>
    <s v="L,B"/>
    <m/>
    <s v="39_1"/>
    <s v="Corning_Woods"/>
    <x v="0"/>
    <s v="Acer"/>
    <s v="saccharum"/>
    <s v="Sapindaceae"/>
    <x v="2"/>
  </r>
  <r>
    <x v="0"/>
    <d v="2026-05-19T00:00:00"/>
    <x v="0"/>
    <n v="40"/>
    <x v="0"/>
    <n v="1.3"/>
    <s v="L"/>
    <m/>
    <s v="40_1"/>
    <s v="Corning_Woods"/>
    <x v="0"/>
    <s v="Acer"/>
    <s v="saccharum"/>
    <s v="Sapindaceae"/>
    <x v="2"/>
  </r>
  <r>
    <x v="0"/>
    <d v="2026-05-19T00:00:00"/>
    <x v="3"/>
    <n v="41"/>
    <x v="0"/>
    <n v="61.5"/>
    <s v="N/A"/>
    <m/>
    <s v="41_1"/>
    <s v="Corning_Woods"/>
    <x v="0"/>
    <s v="Lirodendron"/>
    <s v="tulipfera"/>
    <s v="Magnoliaceae"/>
    <x v="4"/>
  </r>
  <r>
    <x v="0"/>
    <d v="2026-05-19T00:00:00"/>
    <x v="0"/>
    <n v="42"/>
    <x v="0"/>
    <n v="12.7"/>
    <s v="L,X"/>
    <s v="double lead that broke off"/>
    <s v="42_1"/>
    <s v="Corning_Woods"/>
    <x v="0"/>
    <s v="Acer"/>
    <s v="saccharum"/>
    <s v="Sapindaceae"/>
    <x v="3"/>
  </r>
  <r>
    <x v="0"/>
    <d v="2026-05-19T00:00:00"/>
    <x v="0"/>
    <n v="43"/>
    <x v="0"/>
    <n v="17.600000000000001"/>
    <s v="N/A"/>
    <s v="Knot"/>
    <s v="43_1"/>
    <s v="Corning_Woods"/>
    <x v="0"/>
    <s v="Acer"/>
    <s v="saccharum"/>
    <s v="Sapindaceae"/>
    <x v="3"/>
  </r>
  <r>
    <x v="0"/>
    <d v="2026-05-19T00:00:00"/>
    <x v="0"/>
    <n v="44"/>
    <x v="0"/>
    <n v="17.600000000000001"/>
    <s v="A"/>
    <s v="POM at 1.25"/>
    <s v="44_1"/>
    <s v="Corning_Woods"/>
    <x v="0"/>
    <s v="Acer"/>
    <s v="saccharum"/>
    <s v="Sapindaceae"/>
    <x v="3"/>
  </r>
  <r>
    <x v="0"/>
    <d v="2026-05-19T00:00:00"/>
    <x v="2"/>
    <n v="45"/>
    <x v="0"/>
    <n v="33.1"/>
    <s v="N/A"/>
    <m/>
    <s v="45_1"/>
    <s v="Corning_Woods"/>
    <x v="0"/>
    <s v="Acer"/>
    <s v="rubrum"/>
    <s v="Sapindaceae"/>
    <x v="0"/>
  </r>
  <r>
    <x v="0"/>
    <d v="2026-05-19T00:00:00"/>
    <x v="2"/>
    <n v="46"/>
    <x v="0"/>
    <n v="9.5"/>
    <s v="L"/>
    <s v="soft measure used"/>
    <s v="46_1"/>
    <s v="Corning_Woods"/>
    <x v="0"/>
    <s v="Acer"/>
    <s v="rubrum"/>
    <s v="Sapindaceae"/>
    <x v="5"/>
  </r>
  <r>
    <x v="0"/>
    <d v="2026-05-19T00:00:00"/>
    <x v="3"/>
    <n v="47"/>
    <x v="0"/>
    <n v="61.8"/>
    <s v="L"/>
    <s v="slight lean"/>
    <s v="47_1"/>
    <s v="Corning_Woods"/>
    <x v="0"/>
    <s v="Lirodendron"/>
    <s v="tulipfera"/>
    <s v="Magnoliaceae"/>
    <x v="4"/>
  </r>
  <r>
    <x v="0"/>
    <d v="2026-05-19T00:00:00"/>
    <x v="0"/>
    <n v="48"/>
    <x v="0"/>
    <n v="1.6"/>
    <s v="L"/>
    <s v="splits above POM"/>
    <s v="48_1"/>
    <s v="Corning_Woods"/>
    <x v="0"/>
    <s v="Acer"/>
    <s v="saccharum"/>
    <s v="Sapindaceae"/>
    <x v="2"/>
  </r>
  <r>
    <x v="0"/>
    <d v="2026-05-19T00:00:00"/>
    <x v="0"/>
    <n v="49"/>
    <x v="0"/>
    <n v="1.2"/>
    <s v="L"/>
    <m/>
    <s v="49_1"/>
    <s v="Corning_Woods"/>
    <x v="0"/>
    <s v="Acer"/>
    <s v="saccharum"/>
    <s v="Sapindaceae"/>
    <x v="2"/>
  </r>
  <r>
    <x v="0"/>
    <d v="2026-05-19T00:00:00"/>
    <x v="0"/>
    <n v="50"/>
    <x v="0"/>
    <n v="1.5"/>
    <s v="N/A"/>
    <m/>
    <s v="50_1"/>
    <s v="Corning_Woods"/>
    <x v="0"/>
    <s v="Acer"/>
    <s v="saccharum"/>
    <s v="Sapindaceae"/>
    <x v="2"/>
  </r>
  <r>
    <x v="0"/>
    <d v="2026-05-19T00:00:00"/>
    <x v="3"/>
    <n v="51"/>
    <x v="0"/>
    <n v="46"/>
    <s v="N/A"/>
    <m/>
    <s v="51_1"/>
    <s v="Corning_Woods"/>
    <x v="0"/>
    <s v="Lirodendron"/>
    <s v="tulipfera"/>
    <s v="Magnoliaceae"/>
    <x v="1"/>
  </r>
  <r>
    <x v="0"/>
    <d v="2026-05-19T00:00:00"/>
    <x v="1"/>
    <n v="52"/>
    <x v="0"/>
    <n v="50.1"/>
    <s v="N/A"/>
    <m/>
    <s v="52_1"/>
    <s v="Corning_Woods"/>
    <x v="0"/>
    <s v="Prunus"/>
    <s v="serotina"/>
    <s v="Rosaceae"/>
    <x v="4"/>
  </r>
  <r>
    <x v="0"/>
    <d v="2026-05-19T00:00:00"/>
    <x v="2"/>
    <n v="53"/>
    <x v="0"/>
    <n v="20.100000000000001"/>
    <s v="N/A"/>
    <m/>
    <s v="53_1"/>
    <s v="Corning_Woods"/>
    <x v="0"/>
    <s v="Acer"/>
    <s v="rubrum"/>
    <s v="Sapindaceae"/>
    <x v="0"/>
  </r>
  <r>
    <x v="0"/>
    <d v="2026-05-19T00:00:00"/>
    <x v="2"/>
    <n v="54"/>
    <x v="0"/>
    <n v="7"/>
    <s v="N/A"/>
    <m/>
    <s v="54_1"/>
    <s v="Corning_Woods"/>
    <x v="0"/>
    <s v="Acer"/>
    <s v="rubrum"/>
    <s v="Sapindaceae"/>
    <x v="5"/>
  </r>
  <r>
    <x v="0"/>
    <d v="2026-05-19T00:00:00"/>
    <x v="0"/>
    <n v="55"/>
    <x v="0"/>
    <n v="2.2999999999999998"/>
    <s v="L"/>
    <m/>
    <s v="55_1"/>
    <s v="Corning_Woods"/>
    <x v="0"/>
    <s v="Acer"/>
    <s v="saccharum"/>
    <s v="Sapindaceae"/>
    <x v="2"/>
  </r>
  <r>
    <x v="0"/>
    <d v="2026-05-19T00:00:00"/>
    <x v="0"/>
    <n v="56"/>
    <x v="0"/>
    <n v="2.9"/>
    <s v="N/A"/>
    <m/>
    <s v="56_1"/>
    <s v="Corning_Woods"/>
    <x v="0"/>
    <s v="Acer"/>
    <s v="saccharum"/>
    <s v="Sapindaceae"/>
    <x v="2"/>
  </r>
  <r>
    <x v="0"/>
    <d v="2026-05-19T00:00:00"/>
    <x v="0"/>
    <n v="57"/>
    <x v="0"/>
    <n v="1.8"/>
    <s v="L"/>
    <m/>
    <s v="57_1"/>
    <s v="Corning_Woods"/>
    <x v="0"/>
    <s v="Acer"/>
    <s v="saccharum"/>
    <s v="Sapindaceae"/>
    <x v="2"/>
  </r>
  <r>
    <x v="0"/>
    <d v="2026-05-19T00:00:00"/>
    <x v="0"/>
    <n v="58"/>
    <x v="0"/>
    <n v="1.9"/>
    <s v="L,B"/>
    <m/>
    <s v="58_1"/>
    <s v="Corning_Woods"/>
    <x v="0"/>
    <s v="Acer"/>
    <s v="saccharum"/>
    <s v="Sapindaceae"/>
    <x v="2"/>
  </r>
  <r>
    <x v="0"/>
    <d v="2026-05-19T00:00:00"/>
    <x v="0"/>
    <n v="59"/>
    <x v="0"/>
    <n v="1.9"/>
    <s v="L"/>
    <m/>
    <s v="59_1"/>
    <s v="Corning_Woods"/>
    <x v="0"/>
    <s v="Acer"/>
    <s v="saccharum"/>
    <s v="Sapindaceae"/>
    <x v="2"/>
  </r>
  <r>
    <x v="0"/>
    <d v="2026-05-20T00:00:00"/>
    <x v="3"/>
    <n v="60"/>
    <x v="0"/>
    <n v="74.400000000000006"/>
    <s v="M,L"/>
    <s v="Tagged"/>
    <s v="60_1"/>
    <s v="Corning_Woods"/>
    <x v="0"/>
    <s v="Lirodendron"/>
    <s v="tulipfera"/>
    <s v="Magnoliaceae"/>
    <x v="4"/>
  </r>
  <r>
    <x v="0"/>
    <d v="2026-05-20T00:00:00"/>
    <x v="3"/>
    <n v="60"/>
    <x v="1"/>
    <n v="65.400000000000006"/>
    <s v="M,L"/>
    <m/>
    <s v="60_2"/>
    <s v="Corning_Woods"/>
    <x v="0"/>
    <s v="Lirodendron"/>
    <s v="tulipfera"/>
    <s v="Magnoliaceae"/>
    <x v="4"/>
  </r>
  <r>
    <x v="0"/>
    <d v="2026-05-20T00:00:00"/>
    <x v="0"/>
    <n v="61"/>
    <x v="0"/>
    <n v="2"/>
    <s v="N/A"/>
    <m/>
    <s v="61_1"/>
    <s v="Corning_Woods"/>
    <x v="0"/>
    <s v="Acer"/>
    <s v="saccharum"/>
    <s v="Sapindaceae"/>
    <x v="2"/>
  </r>
  <r>
    <x v="0"/>
    <d v="2026-05-20T00:00:00"/>
    <x v="2"/>
    <n v="62"/>
    <x v="0"/>
    <n v="4"/>
    <s v="N/A"/>
    <m/>
    <s v="62_1"/>
    <s v="Corning_Woods"/>
    <x v="0"/>
    <s v="Acer"/>
    <s v="rubrum"/>
    <s v="Sapindaceae"/>
    <x v="2"/>
  </r>
  <r>
    <x v="0"/>
    <d v="2026-05-20T00:00:00"/>
    <x v="0"/>
    <n v="63"/>
    <x v="0"/>
    <n v="2.9"/>
    <s v="N/A"/>
    <m/>
    <s v="63_1"/>
    <s v="Corning_Woods"/>
    <x v="0"/>
    <s v="Acer"/>
    <s v="saccharum"/>
    <s v="Sapindaceae"/>
    <x v="2"/>
  </r>
  <r>
    <x v="0"/>
    <d v="2026-05-20T00:00:00"/>
    <x v="0"/>
    <n v="64"/>
    <x v="0"/>
    <n v="2.2000000000000002"/>
    <s v="N/A"/>
    <m/>
    <s v="64_1"/>
    <s v="Corning_Woods"/>
    <x v="0"/>
    <s v="Acer"/>
    <s v="saccharum"/>
    <s v="Sapindaceae"/>
    <x v="2"/>
  </r>
  <r>
    <x v="0"/>
    <d v="2026-05-20T00:00:00"/>
    <x v="0"/>
    <n v="65"/>
    <x v="0"/>
    <n v="17.7"/>
    <s v="L"/>
    <m/>
    <s v="65_1"/>
    <s v="Corning_Woods"/>
    <x v="0"/>
    <s v="Acer"/>
    <s v="saccharum"/>
    <s v="Sapindaceae"/>
    <x v="3"/>
  </r>
  <r>
    <x v="0"/>
    <d v="2026-05-20T00:00:00"/>
    <x v="0"/>
    <n v="66"/>
    <x v="0"/>
    <n v="3.2"/>
    <s v="N/A"/>
    <m/>
    <s v="66_1"/>
    <s v="Corning_Woods"/>
    <x v="0"/>
    <s v="Acer"/>
    <s v="saccharum"/>
    <s v="Sapindaceae"/>
    <x v="2"/>
  </r>
  <r>
    <x v="0"/>
    <d v="2026-05-20T00:00:00"/>
    <x v="0"/>
    <n v="67"/>
    <x v="0"/>
    <n v="7.4"/>
    <s v="N/A"/>
    <m/>
    <s v="67_1"/>
    <s v="Corning_Woods"/>
    <x v="0"/>
    <s v="Acer"/>
    <s v="saccharum"/>
    <s v="Sapindaceae"/>
    <x v="5"/>
  </r>
  <r>
    <x v="0"/>
    <d v="2026-05-20T00:00:00"/>
    <x v="0"/>
    <n v="68"/>
    <x v="0"/>
    <n v="1.3"/>
    <s v="L"/>
    <m/>
    <s v="68_1"/>
    <s v="Corning_Woods"/>
    <x v="0"/>
    <s v="Acer"/>
    <s v="saccharum"/>
    <s v="Sapindaceae"/>
    <x v="2"/>
  </r>
  <r>
    <x v="0"/>
    <d v="2026-05-20T00:00:00"/>
    <x v="0"/>
    <n v="69"/>
    <x v="0"/>
    <n v="12.4"/>
    <s v="W, B"/>
    <s v="soft measure used"/>
    <s v="69_1"/>
    <s v="Corning_Woods"/>
    <x v="0"/>
    <s v="Acer"/>
    <s v="saccharum"/>
    <s v="Sapindaceae"/>
    <x v="3"/>
  </r>
  <r>
    <x v="0"/>
    <d v="2026-05-20T00:00:00"/>
    <x v="0"/>
    <n v="70"/>
    <x v="0"/>
    <n v="8.6"/>
    <s v="W"/>
    <s v="soft measure used "/>
    <s v="70_1"/>
    <s v="Corning_Woods"/>
    <x v="0"/>
    <s v="Acer"/>
    <s v="saccharum"/>
    <s v="Sapindaceae"/>
    <x v="5"/>
  </r>
  <r>
    <x v="0"/>
    <d v="2026-05-20T00:00:00"/>
    <x v="0"/>
    <n v="71"/>
    <x v="0"/>
    <n v="10.7"/>
    <s v="N/A"/>
    <m/>
    <s v="71_1"/>
    <s v="Corning_Woods"/>
    <x v="0"/>
    <s v="Acer"/>
    <s v="saccharum"/>
    <s v="Sapindaceae"/>
    <x v="3"/>
  </r>
  <r>
    <x v="0"/>
    <d v="2026-05-20T00:00:00"/>
    <x v="0"/>
    <n v="72"/>
    <x v="0"/>
    <n v="2.5"/>
    <s v="L"/>
    <s v="upper half of stem is dead/dying, but still has leaves. "/>
    <s v="72_1"/>
    <s v="Corning_Woods"/>
    <x v="0"/>
    <s v="Acer"/>
    <s v="saccharum"/>
    <s v="Sapindaceae"/>
    <x v="2"/>
  </r>
  <r>
    <x v="0"/>
    <d v="2026-05-20T00:00:00"/>
    <x v="0"/>
    <n v="73"/>
    <x v="0"/>
    <n v="2.7"/>
    <s v="W"/>
    <s v="soft measure used"/>
    <s v="73_1"/>
    <s v="Corning_Woods"/>
    <x v="0"/>
    <s v="Acer"/>
    <s v="saccharum"/>
    <s v="Sapindaceae"/>
    <x v="2"/>
  </r>
  <r>
    <x v="0"/>
    <d v="2026-05-20T00:00:00"/>
    <x v="0"/>
    <n v="74"/>
    <x v="0"/>
    <n v="3.4"/>
    <s v="W"/>
    <s v="soft measure used"/>
    <s v="74_1"/>
    <s v="Corning_Woods"/>
    <x v="0"/>
    <s v="Acer"/>
    <s v="saccharum"/>
    <s v="Sapindaceae"/>
    <x v="2"/>
  </r>
  <r>
    <x v="0"/>
    <d v="2026-05-20T00:00:00"/>
    <x v="2"/>
    <n v="75"/>
    <x v="0"/>
    <n v="17"/>
    <s v="N/A"/>
    <m/>
    <s v="75_1"/>
    <s v="Corning_Woods"/>
    <x v="0"/>
    <s v="Acer"/>
    <s v="rubrum"/>
    <s v="Sapindaceae"/>
    <x v="3"/>
  </r>
  <r>
    <x v="0"/>
    <d v="2026-05-20T00:00:00"/>
    <x v="4"/>
    <n v="76"/>
    <x v="0"/>
    <n v="45.2"/>
    <s v="L"/>
    <s v="leaning slightly, close to dead, neighbor is dead"/>
    <s v="76_1"/>
    <s v="Corning_Woods"/>
    <x v="0"/>
    <s v="Sassafras"/>
    <s v="albidum"/>
    <s v="Lauraceae"/>
    <x v="1"/>
  </r>
  <r>
    <x v="0"/>
    <d v="2026-05-20T00:00:00"/>
    <x v="0"/>
    <n v="77"/>
    <x v="0"/>
    <n v="2.2999999999999998"/>
    <s v="L"/>
    <m/>
    <s v="77_1"/>
    <s v="Corning_Woods"/>
    <x v="0"/>
    <s v="Acer"/>
    <s v="saccharum"/>
    <s v="Sapindaceae"/>
    <x v="2"/>
  </r>
  <r>
    <x v="0"/>
    <d v="2026-05-20T00:00:00"/>
    <x v="2"/>
    <n v="78"/>
    <x v="0"/>
    <n v="14.6"/>
    <s v="L,I"/>
    <s v="oddly shaped"/>
    <s v="78_1"/>
    <s v="Corning_Woods"/>
    <x v="0"/>
    <s v="Acer"/>
    <s v="rubrum"/>
    <s v="Sapindaceae"/>
    <x v="3"/>
  </r>
  <r>
    <x v="0"/>
    <d v="2026-05-20T00:00:00"/>
    <x v="0"/>
    <n v="79"/>
    <x v="0"/>
    <n v="2.9"/>
    <s v="W"/>
    <s v="soft measure used"/>
    <s v="79_1"/>
    <s v="Corning_Woods"/>
    <x v="0"/>
    <s v="Acer"/>
    <s v="saccharum"/>
    <s v="Sapindaceae"/>
    <x v="2"/>
  </r>
  <r>
    <x v="0"/>
    <d v="2026-05-20T00:00:00"/>
    <x v="0"/>
    <n v="80"/>
    <x v="0"/>
    <n v="1.6"/>
    <s v="L"/>
    <m/>
    <s v="80_1"/>
    <s v="Corning_Woods"/>
    <x v="0"/>
    <s v="Acer"/>
    <s v="saccharum"/>
    <s v="Sapindaceae"/>
    <x v="2"/>
  </r>
  <r>
    <x v="0"/>
    <d v="2026-05-20T00:00:00"/>
    <x v="0"/>
    <n v="81"/>
    <x v="0"/>
    <n v="7.3"/>
    <s v="N/A"/>
    <m/>
    <s v="81_1"/>
    <s v="Corning_Woods"/>
    <x v="0"/>
    <s v="Acer"/>
    <s v="saccharum"/>
    <s v="Sapindaceae"/>
    <x v="5"/>
  </r>
  <r>
    <x v="0"/>
    <d v="2026-05-20T00:00:00"/>
    <x v="0"/>
    <n v="82"/>
    <x v="0"/>
    <n v="22.2"/>
    <s v="L"/>
    <m/>
    <s v="82_1"/>
    <s v="Corning_Woods"/>
    <x v="0"/>
    <s v="Acer"/>
    <s v="saccharum"/>
    <s v="Sapindaceae"/>
    <x v="0"/>
  </r>
  <r>
    <x v="0"/>
    <d v="2026-05-20T00:00:00"/>
    <x v="0"/>
    <n v="83"/>
    <x v="0"/>
    <n v="2.2999999999999998"/>
    <s v="N/A"/>
    <m/>
    <s v="83_1"/>
    <s v="Corning_Woods"/>
    <x v="0"/>
    <s v="Acer"/>
    <s v="saccharum"/>
    <s v="Sapindaceae"/>
    <x v="2"/>
  </r>
  <r>
    <x v="0"/>
    <d v="2026-05-20T00:00:00"/>
    <x v="2"/>
    <n v="84"/>
    <x v="0"/>
    <n v="2.2000000000000002"/>
    <s v="N/A"/>
    <m/>
    <s v="84_1"/>
    <s v="Corning_Woods"/>
    <x v="0"/>
    <s v="Acer"/>
    <s v="rubrum"/>
    <s v="Sapindaceae"/>
    <x v="2"/>
  </r>
  <r>
    <x v="0"/>
    <d v="2026-05-20T00:00:00"/>
    <x v="0"/>
    <n v="85"/>
    <x v="0"/>
    <n v="4.3"/>
    <s v="N/A"/>
    <s v="tag will most likely fall"/>
    <s v="85_1"/>
    <s v="Corning_Woods"/>
    <x v="0"/>
    <s v="Acer"/>
    <s v="saccharum"/>
    <s v="Sapindaceae"/>
    <x v="2"/>
  </r>
  <r>
    <x v="0"/>
    <d v="2026-05-20T00:00:00"/>
    <x v="0"/>
    <n v="86"/>
    <x v="0"/>
    <n v="3.4"/>
    <s v="L"/>
    <m/>
    <s v="86_1"/>
    <s v="Corning_Woods"/>
    <x v="0"/>
    <s v="Acer"/>
    <s v="saccharum"/>
    <s v="Sapindaceae"/>
    <x v="2"/>
  </r>
  <r>
    <x v="0"/>
    <d v="2026-05-20T00:00:00"/>
    <x v="0"/>
    <n v="87"/>
    <x v="0"/>
    <n v="1.8"/>
    <s v="B,L"/>
    <m/>
    <s v="87_1"/>
    <s v="Corning_Woods"/>
    <x v="0"/>
    <s v="Acer"/>
    <s v="saccharum"/>
    <s v="Sapindaceae"/>
    <x v="2"/>
  </r>
  <r>
    <x v="0"/>
    <d v="2026-05-22T00:00:00"/>
    <x v="3"/>
    <n v="88"/>
    <x v="0"/>
    <n v="20.9"/>
    <s v="N/A"/>
    <m/>
    <s v="88_1"/>
    <s v="Corning_Woods"/>
    <x v="0"/>
    <s v="Lirodendron"/>
    <s v="tulipfera"/>
    <s v="Magnoliaceae"/>
    <x v="0"/>
  </r>
  <r>
    <x v="0"/>
    <d v="2026-05-22T00:00:00"/>
    <x v="3"/>
    <n v="89"/>
    <x v="0"/>
    <n v="70.7"/>
    <s v="N/A"/>
    <m/>
    <s v="89_1"/>
    <s v="Corning_Woods"/>
    <x v="0"/>
    <s v="Lirodendron"/>
    <s v="tulipfera"/>
    <s v="Magnoliaceae"/>
    <x v="4"/>
  </r>
  <r>
    <x v="0"/>
    <d v="2026-05-22T00:00:00"/>
    <x v="5"/>
    <n v="90"/>
    <x v="0"/>
    <n v="33"/>
    <s v="N/A"/>
    <m/>
    <s v="90_1"/>
    <s v="Corning_Woods"/>
    <x v="0"/>
    <s v="Magnolia"/>
    <s v="acuminata"/>
    <s v="Magnoliaceae"/>
    <x v="0"/>
  </r>
  <r>
    <x v="0"/>
    <d v="2026-05-22T00:00:00"/>
    <x v="0"/>
    <n v="91"/>
    <x v="0"/>
    <n v="4.5"/>
    <s v="W"/>
    <s v="soft measure used "/>
    <s v="91_1"/>
    <s v="Corning_Woods"/>
    <x v="0"/>
    <s v="Acer"/>
    <s v="saccharum"/>
    <s v="Sapindaceae"/>
    <x v="2"/>
  </r>
  <r>
    <x v="0"/>
    <d v="2026-05-22T00:00:00"/>
    <x v="0"/>
    <n v="92"/>
    <x v="0"/>
    <n v="3.7"/>
    <s v="N/A"/>
    <m/>
    <s v="92_1"/>
    <s v="Corning_Woods"/>
    <x v="0"/>
    <s v="Acer"/>
    <s v="saccharum"/>
    <s v="Sapindaceae"/>
    <x v="2"/>
  </r>
  <r>
    <x v="0"/>
    <d v="2026-05-22T00:00:00"/>
    <x v="0"/>
    <n v="93"/>
    <x v="0"/>
    <n v="2.2999999999999998"/>
    <s v="N/A"/>
    <m/>
    <s v="93_1"/>
    <s v="Corning_Woods"/>
    <x v="0"/>
    <s v="Acer"/>
    <s v="saccharum"/>
    <s v="Sapindaceae"/>
    <x v="2"/>
  </r>
  <r>
    <x v="0"/>
    <d v="2026-05-22T00:00:00"/>
    <x v="0"/>
    <n v="94"/>
    <x v="0"/>
    <n v="3.3"/>
    <s v="L,I"/>
    <m/>
    <s v="94_1"/>
    <s v="Corning_Woods"/>
    <x v="0"/>
    <s v="Acer"/>
    <s v="saccharum"/>
    <s v="Sapindaceae"/>
    <x v="2"/>
  </r>
  <r>
    <x v="0"/>
    <d v="2026-05-22T00:00:00"/>
    <x v="0"/>
    <n v="95"/>
    <x v="0"/>
    <n v="2.1"/>
    <s v="L"/>
    <m/>
    <s v="95_1"/>
    <s v="Corning_Woods"/>
    <x v="0"/>
    <s v="Acer"/>
    <s v="saccharum"/>
    <s v="Sapindaceae"/>
    <x v="2"/>
  </r>
  <r>
    <x v="0"/>
    <d v="2026-05-22T00:00:00"/>
    <x v="2"/>
    <n v="96"/>
    <x v="0"/>
    <n v="24.2"/>
    <s v="I"/>
    <m/>
    <s v="96_1"/>
    <s v="Corning_Woods"/>
    <x v="0"/>
    <s v="Acer"/>
    <s v="rubrum"/>
    <s v="Sapindaceae"/>
    <x v="0"/>
  </r>
  <r>
    <x v="0"/>
    <d v="2026-05-22T00:00:00"/>
    <x v="0"/>
    <n v="97"/>
    <x v="0"/>
    <n v="1.6"/>
    <s v="W,L"/>
    <s v="soft measure used "/>
    <s v="97_1"/>
    <s v="Corning_Woods"/>
    <x v="0"/>
    <s v="Acer"/>
    <s v="saccharum"/>
    <s v="Sapindaceae"/>
    <x v="2"/>
  </r>
  <r>
    <x v="0"/>
    <d v="2026-05-22T00:00:00"/>
    <x v="0"/>
    <n v="98"/>
    <x v="0"/>
    <n v="1.8"/>
    <s v="L"/>
    <s v="branch below POM"/>
    <s v="98_1"/>
    <s v="Corning_Woods"/>
    <x v="0"/>
    <s v="Acer"/>
    <s v="saccharum"/>
    <s v="Sapindaceae"/>
    <x v="2"/>
  </r>
  <r>
    <x v="0"/>
    <d v="2026-05-22T00:00:00"/>
    <x v="0"/>
    <n v="99"/>
    <x v="0"/>
    <n v="11.3"/>
    <s v="N/A"/>
    <m/>
    <s v="99_1"/>
    <s v="Corning_Woods"/>
    <x v="0"/>
    <s v="Acer"/>
    <s v="saccharum"/>
    <s v="Sapindaceae"/>
    <x v="3"/>
  </r>
  <r>
    <x v="0"/>
    <d v="2026-05-22T00:00:00"/>
    <x v="6"/>
    <n v="100"/>
    <x v="0"/>
    <n v="26.6"/>
    <s v="N/A"/>
    <m/>
    <s v="100_1"/>
    <s v="Corning_Woods"/>
    <x v="0"/>
    <s v="Nyssa"/>
    <s v="sylvatica"/>
    <s v="Nyssaceae"/>
    <x v="0"/>
  </r>
  <r>
    <x v="0"/>
    <d v="2026-05-22T00:00:00"/>
    <x v="0"/>
    <n v="101"/>
    <x v="0"/>
    <n v="32.200000000000003"/>
    <s v="L"/>
    <m/>
    <s v="101_1"/>
    <s v="Corning_Woods"/>
    <x v="0"/>
    <s v="Acer"/>
    <s v="saccharum"/>
    <s v="Sapindaceae"/>
    <x v="0"/>
  </r>
  <r>
    <x v="0"/>
    <d v="2026-05-22T00:00:00"/>
    <x v="0"/>
    <n v="102"/>
    <x v="0"/>
    <n v="1.4"/>
    <s v="L"/>
    <s v="slight lean"/>
    <s v="102_1"/>
    <s v="Corning_Woods"/>
    <x v="0"/>
    <s v="Acer"/>
    <s v="saccharum"/>
    <s v="Sapindaceae"/>
    <x v="2"/>
  </r>
  <r>
    <x v="0"/>
    <d v="2026-05-22T00:00:00"/>
    <x v="0"/>
    <n v="103"/>
    <x v="0"/>
    <n v="1.8"/>
    <s v="N/A"/>
    <m/>
    <s v="103_1"/>
    <s v="Corning_Woods"/>
    <x v="0"/>
    <s v="Acer"/>
    <s v="saccharum"/>
    <s v="Sapindaceae"/>
    <x v="2"/>
  </r>
  <r>
    <x v="0"/>
    <d v="2026-05-22T00:00:00"/>
    <x v="0"/>
    <n v="104"/>
    <x v="0"/>
    <n v="3"/>
    <s v="L"/>
    <m/>
    <s v="104_1"/>
    <s v="Corning_Woods"/>
    <x v="0"/>
    <s v="Acer"/>
    <s v="saccharum"/>
    <s v="Sapindaceae"/>
    <x v="2"/>
  </r>
  <r>
    <x v="0"/>
    <d v="2026-05-22T00:00:00"/>
    <x v="0"/>
    <n v="105"/>
    <x v="0"/>
    <n v="1.5"/>
    <s v="L"/>
    <m/>
    <s v="105_1"/>
    <s v="Corning_Woods"/>
    <x v="0"/>
    <s v="Acer"/>
    <s v="saccharum"/>
    <s v="Sapindaceae"/>
    <x v="2"/>
  </r>
  <r>
    <x v="0"/>
    <d v="2026-05-22T00:00:00"/>
    <x v="0"/>
    <n v="106"/>
    <x v="0"/>
    <n v="10.199999999999999"/>
    <s v="I"/>
    <s v="very knobby above/below POM"/>
    <s v="106_1"/>
    <s v="Corning_Woods"/>
    <x v="0"/>
    <s v="Acer"/>
    <s v="saccharum"/>
    <s v="Sapindaceae"/>
    <x v="3"/>
  </r>
  <r>
    <x v="0"/>
    <d v="2026-05-22T00:00:00"/>
    <x v="3"/>
    <n v="107"/>
    <x v="0"/>
    <n v="68.7"/>
    <s v="N/A"/>
    <m/>
    <s v="107_1"/>
    <s v="Corning_Woods"/>
    <x v="0"/>
    <s v="Lirodendron"/>
    <s v="tulipfera"/>
    <s v="Magnoliaceae"/>
    <x v="4"/>
  </r>
  <r>
    <x v="0"/>
    <d v="2026-05-22T00:00:00"/>
    <x v="3"/>
    <n v="108"/>
    <x v="0"/>
    <n v="48.3"/>
    <s v="N/A"/>
    <m/>
    <s v="108_1"/>
    <s v="Corning_Woods"/>
    <x v="0"/>
    <s v="Lirodendron"/>
    <s v="tulipfera"/>
    <s v="Magnoliaceae"/>
    <x v="1"/>
  </r>
  <r>
    <x v="0"/>
    <d v="2026-05-22T00:00:00"/>
    <x v="0"/>
    <n v="109"/>
    <x v="0"/>
    <n v="20"/>
    <s v="I"/>
    <s v="very knobby above/below POM"/>
    <s v="109_1"/>
    <s v="Corning_Woods"/>
    <x v="0"/>
    <s v="Acer"/>
    <s v="saccharum"/>
    <s v="Sapindaceae"/>
    <x v="3"/>
  </r>
  <r>
    <x v="0"/>
    <d v="2026-05-22T00:00:00"/>
    <x v="0"/>
    <n v="110"/>
    <x v="0"/>
    <n v="1.8"/>
    <s v="M,A"/>
    <s v="two branches/trunks above POM"/>
    <s v="110_1"/>
    <s v="Corning_Woods"/>
    <x v="0"/>
    <s v="Acer"/>
    <s v="saccharum"/>
    <s v="Sapindaceae"/>
    <x v="2"/>
  </r>
  <r>
    <x v="0"/>
    <d v="2026-05-22T00:00:00"/>
    <x v="0"/>
    <n v="111"/>
    <x v="0"/>
    <n v="1.3"/>
    <s v="L"/>
    <m/>
    <s v="111_1"/>
    <s v="Corning_Woods"/>
    <x v="0"/>
    <s v="Acer"/>
    <s v="saccharum"/>
    <s v="Sapindaceae"/>
    <x v="2"/>
  </r>
  <r>
    <x v="0"/>
    <d v="2026-05-22T00:00:00"/>
    <x v="0"/>
    <n v="112"/>
    <x v="0"/>
    <n v="1.9"/>
    <s v="M,L"/>
    <m/>
    <s v="112_1"/>
    <s v="Corning_Woods"/>
    <x v="0"/>
    <s v="Acer"/>
    <s v="saccharum"/>
    <s v="Sapindaceae"/>
    <x v="2"/>
  </r>
  <r>
    <x v="0"/>
    <d v="2026-05-22T00:00:00"/>
    <x v="0"/>
    <n v="112"/>
    <x v="1"/>
    <n v="1.4"/>
    <s v="M,L"/>
    <s v="soft tape used for B POM"/>
    <s v="112_2"/>
    <s v="Corning_Woods"/>
    <x v="0"/>
    <s v="Acer"/>
    <s v="saccharum"/>
    <s v="Sapindaceae"/>
    <x v="2"/>
  </r>
  <r>
    <x v="0"/>
    <d v="2026-05-22T00:00:00"/>
    <x v="0"/>
    <n v="113"/>
    <x v="0"/>
    <n v="1.2"/>
    <s v="W,L"/>
    <s v="soft measure used "/>
    <s v="113_1"/>
    <s v="Corning_Woods"/>
    <x v="0"/>
    <s v="Acer"/>
    <s v="saccharum"/>
    <s v="Sapindaceae"/>
    <x v="2"/>
  </r>
  <r>
    <x v="0"/>
    <d v="2026-05-22T00:00:00"/>
    <x v="2"/>
    <n v="114"/>
    <x v="0"/>
    <n v="43.4"/>
    <s v="N/A"/>
    <m/>
    <s v="114_1"/>
    <s v="Corning_Woods"/>
    <x v="0"/>
    <s v="Acer"/>
    <s v="rubrum"/>
    <s v="Sapindaceae"/>
    <x v="1"/>
  </r>
  <r>
    <x v="0"/>
    <d v="2026-05-22T00:00:00"/>
    <x v="0"/>
    <n v="115"/>
    <x v="0"/>
    <n v="19.100000000000001"/>
    <s v="L,I"/>
    <m/>
    <s v="115_1"/>
    <s v="Corning_Woods"/>
    <x v="0"/>
    <s v="Acer"/>
    <s v="saccharum"/>
    <s v="Sapindaceae"/>
    <x v="3"/>
  </r>
  <r>
    <x v="0"/>
    <d v="2026-05-22T00:00:00"/>
    <x v="0"/>
    <n v="116"/>
    <x v="0"/>
    <n v="10.8"/>
    <s v="L,I"/>
    <m/>
    <s v="116_1"/>
    <s v="Corning_Woods"/>
    <x v="0"/>
    <s v="Acer"/>
    <s v="saccharum"/>
    <s v="Sapindaceae"/>
    <x v="3"/>
  </r>
  <r>
    <x v="0"/>
    <d v="2026-05-22T00:00:00"/>
    <x v="0"/>
    <n v="117"/>
    <x v="0"/>
    <n v="25.8"/>
    <s v="N/A"/>
    <m/>
    <s v="117_1"/>
    <s v="Corning_Woods"/>
    <x v="0"/>
    <s v="Acer"/>
    <s v="saccharum"/>
    <s v="Sapindaceae"/>
    <x v="0"/>
  </r>
  <r>
    <x v="0"/>
    <d v="2026-05-22T00:00:00"/>
    <x v="0"/>
    <n v="118"/>
    <x v="0"/>
    <n v="14.3"/>
    <s v="I"/>
    <m/>
    <s v="118_1"/>
    <s v="Corning_Woods"/>
    <x v="0"/>
    <s v="Acer"/>
    <s v="saccharum"/>
    <s v="Sapindaceae"/>
    <x v="3"/>
  </r>
  <r>
    <x v="0"/>
    <d v="2026-05-22T00:00:00"/>
    <x v="3"/>
    <n v="119"/>
    <x v="0"/>
    <n v="87.3"/>
    <s v="N/A"/>
    <m/>
    <s v="119_1"/>
    <s v="Corning_Woods"/>
    <x v="0"/>
    <s v="Lirodendron"/>
    <s v="tulipfera"/>
    <s v="Magnoliaceae"/>
    <x v="4"/>
  </r>
  <r>
    <x v="0"/>
    <d v="2026-05-22T00:00:00"/>
    <x v="6"/>
    <n v="120"/>
    <x v="0"/>
    <n v="25.1"/>
    <s v="N/A"/>
    <m/>
    <s v="120_1"/>
    <s v="Corning_Woods"/>
    <x v="0"/>
    <s v="Nyssa"/>
    <s v="sylvatica"/>
    <s v="Nyssaceae"/>
    <x v="0"/>
  </r>
  <r>
    <x v="0"/>
    <d v="2026-05-22T00:00:00"/>
    <x v="0"/>
    <n v="121"/>
    <x v="0"/>
    <n v="16.5"/>
    <s v="I"/>
    <m/>
    <s v="121_1"/>
    <s v="Corning_Woods"/>
    <x v="0"/>
    <s v="Acer"/>
    <s v="saccharum"/>
    <s v="Sapindaceae"/>
    <x v="3"/>
  </r>
  <r>
    <x v="0"/>
    <d v="2026-05-22T00:00:00"/>
    <x v="0"/>
    <n v="122"/>
    <x v="0"/>
    <n v="14.6"/>
    <s v="N/A"/>
    <m/>
    <s v="122_1"/>
    <s v="Corning_Woods"/>
    <x v="0"/>
    <s v="Acer"/>
    <s v="saccharum"/>
    <s v="Sapindaceae"/>
    <x v="3"/>
  </r>
  <r>
    <x v="0"/>
    <d v="2026-05-22T00:00:00"/>
    <x v="7"/>
    <n v="123"/>
    <x v="0"/>
    <n v="3.7"/>
    <s v="N/A"/>
    <m/>
    <s v="123_1"/>
    <s v="Corning_Woods"/>
    <x v="0"/>
    <s v="Fagus"/>
    <s v="grandifolia"/>
    <s v="Fagaceae"/>
    <x v="2"/>
  </r>
  <r>
    <x v="0"/>
    <d v="2026-05-22T00:00:00"/>
    <x v="7"/>
    <n v="124"/>
    <x v="0"/>
    <n v="8.1"/>
    <s v="N/A"/>
    <m/>
    <s v="124_1"/>
    <s v="Corning_Woods"/>
    <x v="0"/>
    <s v="Fagus"/>
    <s v="grandifolia"/>
    <s v="Fagaceae"/>
    <x v="5"/>
  </r>
  <r>
    <x v="0"/>
    <d v="2026-05-22T00:00:00"/>
    <x v="0"/>
    <n v="125"/>
    <x v="0"/>
    <n v="3"/>
    <s v="N/A"/>
    <m/>
    <s v="125_1"/>
    <s v="Corning_Woods"/>
    <x v="0"/>
    <s v="Acer"/>
    <s v="saccharum"/>
    <s v="Sapindaceae"/>
    <x v="2"/>
  </r>
  <r>
    <x v="0"/>
    <d v="2026-05-22T00:00:00"/>
    <x v="7"/>
    <n v="126"/>
    <x v="0"/>
    <n v="3.4"/>
    <s v="N/A"/>
    <m/>
    <s v="126_1"/>
    <s v="Corning_Woods"/>
    <x v="0"/>
    <s v="Fagus"/>
    <s v="grandifolia"/>
    <s v="Fagaceae"/>
    <x v="2"/>
  </r>
  <r>
    <x v="0"/>
    <d v="2026-05-22T00:00:00"/>
    <x v="1"/>
    <n v="127"/>
    <x v="0"/>
    <n v="3.1"/>
    <s v="W"/>
    <s v="soft measure used "/>
    <s v="127_1"/>
    <s v="Corning_Woods"/>
    <x v="0"/>
    <s v="Prunus"/>
    <s v="serotina"/>
    <s v="Rosaceae"/>
    <x v="2"/>
  </r>
  <r>
    <x v="0"/>
    <d v="2026-05-22T00:00:00"/>
    <x v="3"/>
    <n v="142"/>
    <x v="0"/>
    <n v="53.1"/>
    <s v="A,M"/>
    <s v="POM at 1.8m, as low as possible in gap"/>
    <s v="142_1"/>
    <s v="Corning_Woods"/>
    <x v="0"/>
    <s v="Lirodendron"/>
    <s v="tulipfera"/>
    <s v="Magnoliaceae"/>
    <x v="4"/>
  </r>
  <r>
    <x v="0"/>
    <d v="2026-05-22T00:00:00"/>
    <x v="3"/>
    <n v="142"/>
    <x v="1"/>
    <n v="50.7"/>
    <s v="A,M"/>
    <s v="POM at 1.85m, as low as possible in gap"/>
    <s v="142_2"/>
    <s v="Corning_Woods"/>
    <x v="0"/>
    <s v="Lirodendron"/>
    <s v="tulipfera"/>
    <s v="Magnoliaceae"/>
    <x v="4"/>
  </r>
  <r>
    <x v="0"/>
    <d v="2026-05-22T00:00:00"/>
    <x v="0"/>
    <n v="128"/>
    <x v="0"/>
    <n v="3.7"/>
    <s v="L"/>
    <m/>
    <s v="128_1"/>
    <s v="Corning_Woods"/>
    <x v="0"/>
    <s v="Acer"/>
    <s v="saccharum"/>
    <s v="Sapindaceae"/>
    <x v="2"/>
  </r>
  <r>
    <x v="0"/>
    <d v="2026-05-22T00:00:00"/>
    <x v="0"/>
    <n v="129"/>
    <x v="0"/>
    <n v="3.5"/>
    <s v="N/A"/>
    <m/>
    <s v="129_1"/>
    <s v="Corning_Woods"/>
    <x v="0"/>
    <s v="Acer"/>
    <s v="saccharum"/>
    <s v="Sapindaceae"/>
    <x v="2"/>
  </r>
  <r>
    <x v="0"/>
    <d v="2026-05-22T00:00:00"/>
    <x v="0"/>
    <n v="130"/>
    <x v="0"/>
    <n v="2.2000000000000002"/>
    <s v="L"/>
    <m/>
    <s v="130_1"/>
    <s v="Corning_Woods"/>
    <x v="0"/>
    <s v="Acer"/>
    <s v="saccharum"/>
    <s v="Sapindaceae"/>
    <x v="2"/>
  </r>
  <r>
    <x v="0"/>
    <d v="2026-05-22T00:00:00"/>
    <x v="0"/>
    <n v="131"/>
    <x v="0"/>
    <n v="1.8"/>
    <s v="L"/>
    <m/>
    <s v="131_1"/>
    <s v="Corning_Woods"/>
    <x v="0"/>
    <s v="Acer"/>
    <s v="saccharum"/>
    <s v="Sapindaceae"/>
    <x v="2"/>
  </r>
  <r>
    <x v="0"/>
    <d v="2026-05-22T00:00:00"/>
    <x v="0"/>
    <n v="132"/>
    <x v="0"/>
    <n v="3.4"/>
    <s v="I"/>
    <s v="knot at POM, POM at 1.28"/>
    <s v="132_1"/>
    <s v="Corning_Woods"/>
    <x v="0"/>
    <s v="Acer"/>
    <s v="saccharum"/>
    <s v="Sapindaceae"/>
    <x v="2"/>
  </r>
  <r>
    <x v="0"/>
    <d v="2026-05-22T00:00:00"/>
    <x v="0"/>
    <n v="133"/>
    <x v="0"/>
    <n v="1.8"/>
    <s v="N/A"/>
    <m/>
    <s v="133_1"/>
    <s v="Corning_Woods"/>
    <x v="0"/>
    <s v="Acer"/>
    <s v="saccharum"/>
    <s v="Sapindaceae"/>
    <x v="2"/>
  </r>
  <r>
    <x v="0"/>
    <d v="2026-05-22T00:00:00"/>
    <x v="0"/>
    <n v="134"/>
    <x v="0"/>
    <n v="2.2000000000000002"/>
    <s v="L"/>
    <m/>
    <s v="134_1"/>
    <s v="Corning_Woods"/>
    <x v="0"/>
    <s v="Acer"/>
    <s v="saccharum"/>
    <s v="Sapindaceae"/>
    <x v="2"/>
  </r>
  <r>
    <x v="0"/>
    <d v="2026-05-22T00:00:00"/>
    <x v="0"/>
    <n v="135"/>
    <x v="0"/>
    <n v="2"/>
    <s v="L,W"/>
    <s v="soft measure used "/>
    <s v="135_1"/>
    <s v="Corning_Woods"/>
    <x v="0"/>
    <s v="Acer"/>
    <s v="saccharum"/>
    <s v="Sapindaceae"/>
    <x v="2"/>
  </r>
  <r>
    <x v="0"/>
    <d v="2026-05-22T00:00:00"/>
    <x v="0"/>
    <n v="136"/>
    <x v="0"/>
    <n v="4.3"/>
    <s v="W"/>
    <s v="soft measure used "/>
    <s v="136_1"/>
    <s v="Corning_Woods"/>
    <x v="0"/>
    <s v="Acer"/>
    <s v="saccharum"/>
    <s v="Sapindaceae"/>
    <x v="2"/>
  </r>
  <r>
    <x v="0"/>
    <d v="2026-05-22T00:00:00"/>
    <x v="3"/>
    <n v="137"/>
    <x v="0"/>
    <n v="27.9"/>
    <s v="N/A"/>
    <m/>
    <s v="137_1"/>
    <s v="Corning_Woods"/>
    <x v="0"/>
    <s v="Lirodendron"/>
    <s v="tulipfera"/>
    <s v="Magnoliaceae"/>
    <x v="0"/>
  </r>
  <r>
    <x v="0"/>
    <d v="2026-05-22T00:00:00"/>
    <x v="0"/>
    <n v="138"/>
    <x v="0"/>
    <n v="2.7"/>
    <s v="L"/>
    <m/>
    <s v="138_1"/>
    <s v="Corning_Woods"/>
    <x v="0"/>
    <s v="Acer"/>
    <s v="saccharum"/>
    <s v="Sapindaceae"/>
    <x v="2"/>
  </r>
  <r>
    <x v="0"/>
    <d v="2026-05-22T00:00:00"/>
    <x v="0"/>
    <n v="139"/>
    <x v="0"/>
    <n v="2.8"/>
    <s v="L"/>
    <m/>
    <s v="139_1"/>
    <s v="Corning_Woods"/>
    <x v="0"/>
    <s v="Acer"/>
    <s v="saccharum"/>
    <s v="Sapindaceae"/>
    <x v="2"/>
  </r>
  <r>
    <x v="0"/>
    <d v="2026-05-22T00:00:00"/>
    <x v="0"/>
    <n v="140"/>
    <x v="0"/>
    <n v="3.3"/>
    <s v="L"/>
    <s v="Irregularity at POM, POM at 1.28m"/>
    <s v="140_1"/>
    <s v="Corning_Woods"/>
    <x v="0"/>
    <s v="Acer"/>
    <s v="saccharum"/>
    <s v="Sapindaceae"/>
    <x v="2"/>
  </r>
  <r>
    <x v="0"/>
    <d v="2026-05-22T00:00:00"/>
    <x v="0"/>
    <n v="141"/>
    <x v="0"/>
    <n v="4.7"/>
    <s v="P"/>
    <s v="measured underside, tree grows under fallen ash"/>
    <s v="141_1"/>
    <s v="Corning_Woods"/>
    <x v="0"/>
    <s v="Acer"/>
    <s v="saccharum"/>
    <s v="Sapindaceae"/>
    <x v="2"/>
  </r>
  <r>
    <x v="0"/>
    <d v="2026-05-22T00:00:00"/>
    <x v="1"/>
    <n v="143"/>
    <x v="0"/>
    <n v="4.2"/>
    <s v="L"/>
    <m/>
    <s v="143_1"/>
    <s v="Corning_Woods"/>
    <x v="0"/>
    <s v="Prunus"/>
    <s v="serotina"/>
    <s v="Rosaceae"/>
    <x v="2"/>
  </r>
  <r>
    <x v="0"/>
    <d v="2026-05-22T00:00:00"/>
    <x v="0"/>
    <n v="144"/>
    <x v="0"/>
    <n v="1.4"/>
    <s v="L"/>
    <m/>
    <s v="144_1"/>
    <s v="Corning_Woods"/>
    <x v="0"/>
    <s v="Acer"/>
    <s v="saccharum"/>
    <s v="Sapindaceae"/>
    <x v="2"/>
  </r>
  <r>
    <x v="0"/>
    <d v="2026-05-22T00:00:00"/>
    <x v="0"/>
    <n v="145"/>
    <x v="0"/>
    <n v="1.6"/>
    <s v="I"/>
    <s v="slope, irregularity at POM"/>
    <s v="145_1"/>
    <s v="Corning_Woods"/>
    <x v="0"/>
    <s v="Acer"/>
    <s v="saccharum"/>
    <s v="Sapindaceae"/>
    <x v="2"/>
  </r>
  <r>
    <x v="0"/>
    <d v="2026-05-22T00:00:00"/>
    <x v="0"/>
    <n v="146"/>
    <x v="0"/>
    <n v="2.4"/>
    <s v="I"/>
    <s v="Irregularity at POM"/>
    <s v="146_1"/>
    <s v="Corning_Woods"/>
    <x v="0"/>
    <s v="Acer"/>
    <s v="saccharum"/>
    <s v="Sapindaceae"/>
    <x v="2"/>
  </r>
  <r>
    <x v="0"/>
    <d v="2026-05-22T00:00:00"/>
    <x v="0"/>
    <n v="147"/>
    <x v="0"/>
    <n v="3.7"/>
    <s v="L"/>
    <m/>
    <s v="147_1"/>
    <s v="Corning_Woods"/>
    <x v="0"/>
    <s v="Acer"/>
    <s v="saccharum"/>
    <s v="Sapindaceae"/>
    <x v="2"/>
  </r>
  <r>
    <x v="0"/>
    <d v="2026-05-22T00:00:00"/>
    <x v="0"/>
    <n v="148"/>
    <x v="0"/>
    <n v="4.5999999999999996"/>
    <s v="N/A"/>
    <m/>
    <s v="148_1"/>
    <s v="Corning_Woods"/>
    <x v="0"/>
    <s v="Acer"/>
    <s v="saccharum"/>
    <s v="Sapindaceae"/>
    <x v="2"/>
  </r>
  <r>
    <x v="0"/>
    <d v="2026-05-22T00:00:00"/>
    <x v="0"/>
    <n v="149"/>
    <x v="0"/>
    <n v="2.2999999999999998"/>
    <s v="N/A"/>
    <m/>
    <s v="149_1"/>
    <s v="Corning_Woods"/>
    <x v="0"/>
    <s v="Acer"/>
    <s v="saccharum"/>
    <s v="Sapindaceae"/>
    <x v="2"/>
  </r>
  <r>
    <x v="0"/>
    <d v="2026-05-22T00:00:00"/>
    <x v="0"/>
    <n v="150"/>
    <x v="0"/>
    <n v="1.7"/>
    <s v="L"/>
    <m/>
    <s v="150_1"/>
    <s v="Corning_Woods"/>
    <x v="0"/>
    <s v="Acer"/>
    <s v="saccharum"/>
    <s v="Sapindaceae"/>
    <x v="2"/>
  </r>
  <r>
    <x v="0"/>
    <d v="2026-05-22T00:00:00"/>
    <x v="0"/>
    <n v="151"/>
    <x v="0"/>
    <n v="1.9"/>
    <s v="L"/>
    <m/>
    <s v="151_1"/>
    <s v="Corning_Woods"/>
    <x v="0"/>
    <s v="Acer"/>
    <s v="saccharum"/>
    <s v="Sapindaceae"/>
    <x v="2"/>
  </r>
  <r>
    <x v="0"/>
    <d v="2026-05-22T00:00:00"/>
    <x v="0"/>
    <n v="152"/>
    <x v="0"/>
    <n v="2.7"/>
    <s v="N/A"/>
    <m/>
    <s v="152_1"/>
    <s v="Corning_Woods"/>
    <x v="0"/>
    <s v="Acer"/>
    <s v="saccharum"/>
    <s v="Sapindaceae"/>
    <x v="2"/>
  </r>
  <r>
    <x v="0"/>
    <d v="2026-05-22T00:00:00"/>
    <x v="0"/>
    <n v="153"/>
    <x v="0"/>
    <n v="3.3"/>
    <s v="B,L"/>
    <m/>
    <s v="153_1"/>
    <s v="Corning_Woods"/>
    <x v="0"/>
    <s v="Acer"/>
    <s v="saccharum"/>
    <s v="Sapindaceae"/>
    <x v="2"/>
  </r>
  <r>
    <x v="0"/>
    <d v="2026-05-22T00:00:00"/>
    <x v="0"/>
    <n v="154"/>
    <x v="0"/>
    <n v="6.9"/>
    <s v="I"/>
    <s v="irregularities/knots throughout trunk"/>
    <s v="154_1"/>
    <s v="Corning_Woods"/>
    <x v="0"/>
    <s v="Acer"/>
    <s v="saccharum"/>
    <s v="Sapindaceae"/>
    <x v="5"/>
  </r>
  <r>
    <x v="0"/>
    <d v="2026-05-22T00:00:00"/>
    <x v="6"/>
    <n v="155"/>
    <x v="0"/>
    <n v="17.2"/>
    <s v="N/A"/>
    <m/>
    <s v="155_1"/>
    <s v="Corning_Woods"/>
    <x v="0"/>
    <s v="Nyssa"/>
    <s v="sylvatica"/>
    <s v="Nyssaceae"/>
    <x v="3"/>
  </r>
  <r>
    <x v="0"/>
    <d v="2026-05-22T00:00:00"/>
    <x v="2"/>
    <n v="156"/>
    <x v="0"/>
    <n v="30.7"/>
    <s v="N/A"/>
    <m/>
    <s v="156_1"/>
    <s v="Corning_Woods"/>
    <x v="0"/>
    <s v="Acer"/>
    <s v="rubrum"/>
    <s v="Sapindaceae"/>
    <x v="0"/>
  </r>
  <r>
    <x v="0"/>
    <d v="2026-05-22T00:00:00"/>
    <x v="3"/>
    <n v="157"/>
    <x v="0"/>
    <n v="38.5"/>
    <s v="N/A"/>
    <m/>
    <s v="157_1"/>
    <s v="Corning_Woods"/>
    <x v="0"/>
    <s v="Lirodendron"/>
    <s v="tulipfera"/>
    <s v="Magnoliaceae"/>
    <x v="0"/>
  </r>
  <r>
    <x v="0"/>
    <d v="2026-05-22T00:00:00"/>
    <x v="0"/>
    <n v="158"/>
    <x v="0"/>
    <n v="1.6"/>
    <s v="L"/>
    <m/>
    <s v="158_1"/>
    <s v="Corning_Woods"/>
    <x v="0"/>
    <s v="Acer"/>
    <s v="saccharum"/>
    <s v="Sapindaceae"/>
    <x v="2"/>
  </r>
  <r>
    <x v="0"/>
    <d v="2026-05-22T00:00:00"/>
    <x v="0"/>
    <n v="159"/>
    <x v="0"/>
    <n v="2.2000000000000002"/>
    <s v="W"/>
    <s v="soft measure used "/>
    <s v="159_1"/>
    <s v="Corning_Woods"/>
    <x v="0"/>
    <s v="Acer"/>
    <s v="saccharum"/>
    <s v="Sapindaceae"/>
    <x v="2"/>
  </r>
  <r>
    <x v="0"/>
    <d v="2026-05-22T00:00:00"/>
    <x v="0"/>
    <n v="160"/>
    <x v="0"/>
    <n v="4.9000000000000004"/>
    <s v="N/A"/>
    <m/>
    <s v="160_1"/>
    <s v="Corning_Woods"/>
    <x v="0"/>
    <s v="Acer"/>
    <s v="saccharum"/>
    <s v="Sapindaceae"/>
    <x v="2"/>
  </r>
  <r>
    <x v="0"/>
    <d v="2026-05-22T00:00:00"/>
    <x v="0"/>
    <n v="161"/>
    <x v="0"/>
    <n v="3.1"/>
    <s v="L"/>
    <m/>
    <s v="161_1"/>
    <s v="Corning_Woods"/>
    <x v="0"/>
    <s v="Acer"/>
    <s v="saccharum"/>
    <s v="Sapindaceae"/>
    <x v="2"/>
  </r>
  <r>
    <x v="0"/>
    <d v="2026-05-22T00:00:00"/>
    <x v="2"/>
    <n v="162"/>
    <x v="0"/>
    <n v="37.4"/>
    <s v="N/A"/>
    <m/>
    <s v="162_1"/>
    <s v="Corning_Woods"/>
    <x v="0"/>
    <s v="Acer"/>
    <s v="rubrum"/>
    <s v="Sapindaceae"/>
    <x v="0"/>
  </r>
  <r>
    <x v="0"/>
    <d v="2026-05-22T00:00:00"/>
    <x v="0"/>
    <n v="163"/>
    <x v="0"/>
    <n v="1.9"/>
    <s v="N/A"/>
    <s v="soft measure used, multiple branches above POM, smaller &gt; 1cm"/>
    <s v="163_1"/>
    <s v="Corning_Woods"/>
    <x v="0"/>
    <s v="Acer"/>
    <s v="saccharum"/>
    <s v="Sapindaceae"/>
    <x v="2"/>
  </r>
  <r>
    <x v="0"/>
    <d v="2026-05-22T00:00:00"/>
    <x v="0"/>
    <n v="164"/>
    <x v="0"/>
    <n v="1.9"/>
    <s v="N/A"/>
    <m/>
    <s v="164_1"/>
    <s v="Corning_Woods"/>
    <x v="0"/>
    <s v="Acer"/>
    <s v="saccharum"/>
    <s v="Sapindaceae"/>
    <x v="2"/>
  </r>
  <r>
    <x v="0"/>
    <d v="2026-05-22T00:00:00"/>
    <x v="3"/>
    <n v="165"/>
    <x v="0"/>
    <n v="20.2"/>
    <s v="N/A"/>
    <m/>
    <s v="165_1"/>
    <s v="Corning_Woods"/>
    <x v="0"/>
    <s v="Lirodendron"/>
    <s v="tulipfera"/>
    <s v="Magnoliaceae"/>
    <x v="0"/>
  </r>
  <r>
    <x v="0"/>
    <d v="2026-05-22T00:00:00"/>
    <x v="0"/>
    <n v="166"/>
    <x v="0"/>
    <n v="1.7"/>
    <s v="L"/>
    <s v="Branches right above POM"/>
    <s v="166_1"/>
    <s v="Corning_Woods"/>
    <x v="0"/>
    <s v="Acer"/>
    <s v="saccharum"/>
    <s v="Sapindaceae"/>
    <x v="2"/>
  </r>
  <r>
    <x v="0"/>
    <d v="2026-05-22T00:00:00"/>
    <x v="2"/>
    <n v="167"/>
    <x v="0"/>
    <n v="10"/>
    <s v="I"/>
    <s v="small knot at POM"/>
    <s v="167_1"/>
    <s v="Corning_Woods"/>
    <x v="0"/>
    <s v="Acer"/>
    <s v="rubrum"/>
    <s v="Sapindaceae"/>
    <x v="5"/>
  </r>
  <r>
    <x v="0"/>
    <d v="2026-05-22T00:00:00"/>
    <x v="0"/>
    <n v="168"/>
    <x v="0"/>
    <n v="11.7"/>
    <s v="L"/>
    <m/>
    <s v="168_1"/>
    <s v="Corning_Woods"/>
    <x v="0"/>
    <s v="Acer"/>
    <s v="saccharum"/>
    <s v="Sapindaceae"/>
    <x v="3"/>
  </r>
  <r>
    <x v="0"/>
    <d v="2026-05-22T00:00:00"/>
    <x v="0"/>
    <n v="169"/>
    <x v="0"/>
    <n v="2.9"/>
    <s v="N/A"/>
    <m/>
    <s v="169_1"/>
    <s v="Corning_Woods"/>
    <x v="0"/>
    <s v="Acer"/>
    <s v="saccharum"/>
    <s v="Sapindaceae"/>
    <x v="2"/>
  </r>
  <r>
    <x v="0"/>
    <d v="2026-05-22T00:00:00"/>
    <x v="0"/>
    <n v="170"/>
    <x v="0"/>
    <n v="2.5"/>
    <s v="L"/>
    <m/>
    <s v="170_1"/>
    <s v="Corning_Woods"/>
    <x v="0"/>
    <s v="Acer"/>
    <s v="saccharum"/>
    <s v="Sapindaceae"/>
    <x v="2"/>
  </r>
  <r>
    <x v="0"/>
    <d v="2026-05-22T00:00:00"/>
    <x v="0"/>
    <n v="171"/>
    <x v="0"/>
    <n v="2.9"/>
    <s v="L"/>
    <m/>
    <s v="171_1"/>
    <s v="Corning_Woods"/>
    <x v="0"/>
    <s v="Acer"/>
    <s v="saccharum"/>
    <s v="Sapindaceae"/>
    <x v="2"/>
  </r>
  <r>
    <x v="0"/>
    <d v="2026-05-22T00:00:00"/>
    <x v="0"/>
    <n v="172"/>
    <x v="0"/>
    <n v="2.6"/>
    <s v="W"/>
    <s v="soft measure used "/>
    <s v="172_1"/>
    <s v="Corning_Woods"/>
    <x v="0"/>
    <s v="Acer"/>
    <s v="saccharum"/>
    <s v="Sapindaceae"/>
    <x v="2"/>
  </r>
  <r>
    <x v="0"/>
    <d v="2026-05-22T00:00:00"/>
    <x v="0"/>
    <n v="173"/>
    <x v="0"/>
    <n v="3.5"/>
    <s v="I"/>
    <s v="Knot at POM"/>
    <s v="173_1"/>
    <s v="Corning_Woods"/>
    <x v="0"/>
    <s v="Acer"/>
    <s v="saccharum"/>
    <s v="Sapindaceae"/>
    <x v="2"/>
  </r>
  <r>
    <x v="0"/>
    <d v="2026-05-22T00:00:00"/>
    <x v="0"/>
    <n v="174"/>
    <x v="0"/>
    <n v="1.9"/>
    <s v="L"/>
    <m/>
    <s v="174_1"/>
    <s v="Corning_Woods"/>
    <x v="0"/>
    <s v="Acer"/>
    <s v="saccharum"/>
    <s v="Sapindaceae"/>
    <x v="2"/>
  </r>
  <r>
    <x v="0"/>
    <d v="2026-05-22T00:00:00"/>
    <x v="6"/>
    <n v="175"/>
    <x v="0"/>
    <n v="25.2"/>
    <s v="N/A"/>
    <m/>
    <s v="175_1"/>
    <s v="Corning_Woods"/>
    <x v="0"/>
    <s v="Nyssa"/>
    <s v="sylvatica"/>
    <s v="Nyssaceae"/>
    <x v="0"/>
  </r>
  <r>
    <x v="0"/>
    <d v="2026-05-22T00:00:00"/>
    <x v="4"/>
    <n v="176"/>
    <x v="0"/>
    <n v="45.2"/>
    <s v="N/A"/>
    <m/>
    <s v="176_1"/>
    <s v="Corning_Woods"/>
    <x v="0"/>
    <s v="Sassafras"/>
    <s v="albidum"/>
    <s v="Lauraceae"/>
    <x v="1"/>
  </r>
  <r>
    <x v="0"/>
    <d v="2026-05-22T00:00:00"/>
    <x v="0"/>
    <n v="177"/>
    <x v="0"/>
    <n v="2"/>
    <s v="L"/>
    <m/>
    <s v="177_1"/>
    <s v="Corning_Woods"/>
    <x v="0"/>
    <s v="Acer"/>
    <s v="saccharum"/>
    <s v="Sapindaceae"/>
    <x v="2"/>
  </r>
  <r>
    <x v="0"/>
    <d v="2026-05-22T00:00:00"/>
    <x v="0"/>
    <n v="178"/>
    <x v="0"/>
    <n v="3.6"/>
    <s v="I"/>
    <s v="knotted trunk, knot at POM"/>
    <s v="178_1"/>
    <s v="Corning_Woods"/>
    <x v="0"/>
    <s v="Acer"/>
    <s v="saccharum"/>
    <s v="Sapindaceae"/>
    <x v="2"/>
  </r>
  <r>
    <x v="0"/>
    <d v="2026-05-22T00:00:00"/>
    <x v="0"/>
    <n v="179"/>
    <x v="0"/>
    <n v="1.4"/>
    <s v="B,W,I"/>
    <s v="soft measure used, knotty"/>
    <s v="179_1"/>
    <s v="Corning_Woods"/>
    <x v="0"/>
    <s v="Acer"/>
    <s v="saccharum"/>
    <s v="Sapindaceae"/>
    <x v="2"/>
  </r>
  <r>
    <x v="0"/>
    <d v="2026-05-22T00:00:00"/>
    <x v="0"/>
    <n v="180"/>
    <x v="0"/>
    <n v="2.6"/>
    <s v="L"/>
    <m/>
    <s v="180_1"/>
    <s v="Corning_Woods"/>
    <x v="0"/>
    <s v="Acer"/>
    <s v="saccharum"/>
    <s v="Sapindaceae"/>
    <x v="2"/>
  </r>
  <r>
    <x v="0"/>
    <d v="2026-05-22T00:00:00"/>
    <x v="1"/>
    <n v="181"/>
    <x v="0"/>
    <n v="62.7"/>
    <s v="N/A"/>
    <m/>
    <s v="181_1"/>
    <s v="Corning_Woods"/>
    <x v="0"/>
    <s v="Prunus"/>
    <s v="serotina"/>
    <s v="Rosaceae"/>
    <x v="4"/>
  </r>
  <r>
    <x v="0"/>
    <d v="2026-05-22T00:00:00"/>
    <x v="0"/>
    <n v="182"/>
    <x v="0"/>
    <n v="1.9"/>
    <s v="W"/>
    <s v="soft measure used"/>
    <s v="182_1"/>
    <s v="Corning_Woods"/>
    <x v="0"/>
    <s v="Acer"/>
    <s v="saccharum"/>
    <s v="Sapindaceae"/>
    <x v="2"/>
  </r>
  <r>
    <x v="0"/>
    <d v="2026-05-22T00:00:00"/>
    <x v="0"/>
    <n v="183"/>
    <x v="0"/>
    <n v="1"/>
    <s v="W"/>
    <s v="soft measure used"/>
    <s v="183_1"/>
    <s v="Corning_Woods"/>
    <x v="0"/>
    <s v="Acer"/>
    <s v="saccharum"/>
    <s v="Sapindaceae"/>
    <x v="2"/>
  </r>
  <r>
    <x v="0"/>
    <d v="2026-05-22T00:00:00"/>
    <x v="0"/>
    <n v="184"/>
    <x v="0"/>
    <n v="4.4000000000000004"/>
    <s v="N/A"/>
    <m/>
    <s v="184_1"/>
    <s v="Corning_Woods"/>
    <x v="0"/>
    <s v="Acer"/>
    <s v="saccharum"/>
    <s v="Sapindaceae"/>
    <x v="2"/>
  </r>
  <r>
    <x v="0"/>
    <d v="2026-05-22T00:00:00"/>
    <x v="0"/>
    <n v="185"/>
    <x v="0"/>
    <n v="46.9"/>
    <s v="N/A"/>
    <m/>
    <s v="185_1"/>
    <s v="Corning_Woods"/>
    <x v="0"/>
    <s v="Acer"/>
    <s v="saccharum"/>
    <s v="Sapindaceae"/>
    <x v="1"/>
  </r>
  <r>
    <x v="0"/>
    <d v="2026-05-22T00:00:00"/>
    <x v="0"/>
    <n v="186"/>
    <x v="0"/>
    <n v="3.3"/>
    <s v="I,L"/>
    <s v="knotty trunk"/>
    <s v="186_1"/>
    <s v="Corning_Woods"/>
    <x v="0"/>
    <s v="Acer"/>
    <s v="saccharum"/>
    <s v="Sapindaceae"/>
    <x v="2"/>
  </r>
  <r>
    <x v="0"/>
    <d v="2026-05-22T00:00:00"/>
    <x v="0"/>
    <n v="187"/>
    <x v="0"/>
    <n v="3.9"/>
    <s v="N/A"/>
    <m/>
    <s v="187_1"/>
    <s v="Corning_Woods"/>
    <x v="0"/>
    <s v="Acer"/>
    <s v="saccharum"/>
    <s v="Sapindaceae"/>
    <x v="2"/>
  </r>
  <r>
    <x v="0"/>
    <d v="2026-05-22T00:00:00"/>
    <x v="0"/>
    <n v="188"/>
    <x v="0"/>
    <n v="2"/>
    <s v="W"/>
    <s v="soft measure used"/>
    <s v="188_1"/>
    <s v="Corning_Woods"/>
    <x v="0"/>
    <s v="Acer"/>
    <s v="saccharum"/>
    <s v="Sapindaceae"/>
    <x v="2"/>
  </r>
  <r>
    <x v="0"/>
    <d v="2026-05-22T00:00:00"/>
    <x v="0"/>
    <n v="189"/>
    <x v="0"/>
    <n v="1.2"/>
    <s v="L"/>
    <m/>
    <s v="189_1"/>
    <s v="Corning_Woods"/>
    <x v="0"/>
    <s v="Acer"/>
    <s v="saccharum"/>
    <s v="Sapindaceae"/>
    <x v="2"/>
  </r>
  <r>
    <x v="0"/>
    <d v="2026-05-22T00:00:00"/>
    <x v="0"/>
    <n v="190"/>
    <x v="0"/>
    <n v="2.7"/>
    <s v="N/A"/>
    <m/>
    <s v="190_1"/>
    <s v="Corning_Woods"/>
    <x v="0"/>
    <s v="Acer"/>
    <s v="saccharum"/>
    <s v="Sapindaceae"/>
    <x v="2"/>
  </r>
  <r>
    <x v="0"/>
    <d v="2026-05-22T00:00:00"/>
    <x v="0"/>
    <n v="191"/>
    <x v="0"/>
    <n v="3.1"/>
    <s v="N/A"/>
    <m/>
    <s v="191_1"/>
    <s v="Corning_Woods"/>
    <x v="0"/>
    <s v="Acer"/>
    <s v="saccharum"/>
    <s v="Sapindaceae"/>
    <x v="2"/>
  </r>
  <r>
    <x v="0"/>
    <d v="2026-05-22T00:00:00"/>
    <x v="0"/>
    <n v="192"/>
    <x v="0"/>
    <n v="4.0999999999999996"/>
    <s v="N/A"/>
    <s v="branches off slightly above POM"/>
    <s v="192_1"/>
    <s v="Corning_Woods"/>
    <x v="0"/>
    <s v="Acer"/>
    <s v="saccharum"/>
    <s v="Sapindaceae"/>
    <x v="2"/>
  </r>
  <r>
    <x v="0"/>
    <d v="2026-05-22T00:00:00"/>
    <x v="0"/>
    <n v="193"/>
    <x v="0"/>
    <n v="3.8"/>
    <s v="L"/>
    <m/>
    <s v="193_1"/>
    <s v="Corning_Woods"/>
    <x v="0"/>
    <s v="Acer"/>
    <s v="saccharum"/>
    <s v="Sapindaceae"/>
    <x v="2"/>
  </r>
  <r>
    <x v="0"/>
    <d v="2026-05-22T00:00:00"/>
    <x v="0"/>
    <n v="194"/>
    <x v="0"/>
    <n v="2.1"/>
    <s v="L"/>
    <m/>
    <s v="194_1"/>
    <s v="Corning_Woods"/>
    <x v="0"/>
    <s v="Acer"/>
    <s v="saccharum"/>
    <s v="Sapindaceae"/>
    <x v="2"/>
  </r>
  <r>
    <x v="0"/>
    <d v="2026-05-22T00:00:00"/>
    <x v="0"/>
    <n v="195"/>
    <x v="0"/>
    <n v="1.7"/>
    <s v="N/A"/>
    <m/>
    <s v="195_1"/>
    <s v="Corning_Woods"/>
    <x v="0"/>
    <s v="Acer"/>
    <s v="saccharum"/>
    <s v="Sapindaceae"/>
    <x v="2"/>
  </r>
  <r>
    <x v="0"/>
    <d v="2026-05-22T00:00:00"/>
    <x v="0"/>
    <n v="196"/>
    <x v="0"/>
    <n v="2.7"/>
    <s v="N/A"/>
    <m/>
    <s v="196_1"/>
    <s v="Corning_Woods"/>
    <x v="0"/>
    <s v="Acer"/>
    <s v="saccharum"/>
    <s v="Sapindaceae"/>
    <x v="2"/>
  </r>
  <r>
    <x v="0"/>
    <d v="2026-05-22T00:00:00"/>
    <x v="2"/>
    <n v="197"/>
    <x v="0"/>
    <n v="27.8"/>
    <s v="I"/>
    <s v="knots along trunk"/>
    <s v="197_1"/>
    <s v="Corning_Woods"/>
    <x v="0"/>
    <s v="Acer"/>
    <s v="rubrum"/>
    <s v="Sapindaceae"/>
    <x v="0"/>
  </r>
  <r>
    <x v="0"/>
    <d v="2026-05-22T00:00:00"/>
    <x v="0"/>
    <n v="198"/>
    <x v="0"/>
    <n v="2.6"/>
    <s v="N/A"/>
    <m/>
    <s v="198_1"/>
    <s v="Corning_Woods"/>
    <x v="0"/>
    <s v="Acer"/>
    <s v="saccharum"/>
    <s v="Sapindaceae"/>
    <x v="2"/>
  </r>
  <r>
    <x v="0"/>
    <d v="2026-05-22T00:00:00"/>
    <x v="4"/>
    <n v="199"/>
    <x v="0"/>
    <n v="63.8"/>
    <s v="L"/>
    <s v="split along trunk"/>
    <s v="199_1"/>
    <s v="Corning_Woods"/>
    <x v="0"/>
    <s v="Sassafras"/>
    <s v="albidum"/>
    <s v="Lauraceae"/>
    <x v="4"/>
  </r>
  <r>
    <x v="0"/>
    <d v="2026-05-22T00:00:00"/>
    <x v="0"/>
    <n v="200"/>
    <x v="0"/>
    <n v="4.2"/>
    <s v="L,A"/>
    <s v="knot at POM, POM at 1.28m"/>
    <s v="200_1"/>
    <s v="Corning_Woods"/>
    <x v="0"/>
    <s v="Acer"/>
    <s v="saccharum"/>
    <s v="Sapindaceae"/>
    <x v="2"/>
  </r>
  <r>
    <x v="0"/>
    <d v="2026-05-22T00:00:00"/>
    <x v="0"/>
    <n v="201"/>
    <x v="0"/>
    <n v="3.8"/>
    <s v="N/A"/>
    <m/>
    <s v="201_1"/>
    <s v="Corning_Woods"/>
    <x v="0"/>
    <s v="Acer"/>
    <s v="saccharum"/>
    <s v="Sapindaceae"/>
    <x v="2"/>
  </r>
  <r>
    <x v="0"/>
    <d v="2026-05-22T00:00:00"/>
    <x v="0"/>
    <n v="202"/>
    <x v="0"/>
    <n v="3.2"/>
    <s v="N/A"/>
    <m/>
    <s v="202_1"/>
    <s v="Corning_Woods"/>
    <x v="0"/>
    <s v="Acer"/>
    <s v="saccharum"/>
    <s v="Sapindaceae"/>
    <x v="2"/>
  </r>
  <r>
    <x v="0"/>
    <d v="2026-05-22T00:00:00"/>
    <x v="0"/>
    <n v="203"/>
    <x v="0"/>
    <n v="2.8"/>
    <s v="N/A"/>
    <m/>
    <s v="203_1"/>
    <s v="Corning_Woods"/>
    <x v="0"/>
    <s v="Acer"/>
    <s v="saccharum"/>
    <s v="Sapindaceae"/>
    <x v="2"/>
  </r>
  <r>
    <x v="0"/>
    <d v="2026-05-22T00:00:00"/>
    <x v="0"/>
    <n v="204"/>
    <x v="0"/>
    <n v="23.4"/>
    <s v="N/A"/>
    <m/>
    <s v="204_1"/>
    <s v="Corning_Woods"/>
    <x v="0"/>
    <s v="Acer"/>
    <s v="saccharum"/>
    <s v="Sapindaceae"/>
    <x v="0"/>
  </r>
  <r>
    <x v="0"/>
    <d v="2026-05-22T00:00:00"/>
    <x v="0"/>
    <n v="205"/>
    <x v="0"/>
    <n v="1.9"/>
    <s v="L"/>
    <m/>
    <s v="205_1"/>
    <s v="Corning_Woods"/>
    <x v="0"/>
    <s v="Acer"/>
    <s v="saccharum"/>
    <s v="Sapindaceae"/>
    <x v="2"/>
  </r>
  <r>
    <x v="0"/>
    <d v="2026-05-22T00:00:00"/>
    <x v="0"/>
    <n v="206"/>
    <x v="0"/>
    <n v="2.8"/>
    <s v="N/A"/>
    <m/>
    <s v="206_1"/>
    <s v="Corning_Woods"/>
    <x v="0"/>
    <s v="Acer"/>
    <s v="saccharum"/>
    <s v="Sapindaceae"/>
    <x v="2"/>
  </r>
  <r>
    <x v="0"/>
    <d v="2026-05-22T00:00:00"/>
    <x v="0"/>
    <n v="207"/>
    <x v="0"/>
    <n v="1.1000000000000001"/>
    <s v="M,L,W"/>
    <s v="soft measure used "/>
    <s v="207_1"/>
    <s v="Corning_Woods"/>
    <x v="0"/>
    <s v="Acer"/>
    <s v="saccharum"/>
    <s v="Sapindaceae"/>
    <x v="2"/>
  </r>
  <r>
    <x v="0"/>
    <d v="2026-05-22T00:00:00"/>
    <x v="0"/>
    <n v="207"/>
    <x v="1"/>
    <n v="1"/>
    <s v="M,L,W"/>
    <s v="soft measure used"/>
    <s v="207_2"/>
    <s v="Corning_Woods"/>
    <x v="0"/>
    <s v="Acer"/>
    <s v="saccharum"/>
    <s v="Sapindaceae"/>
    <x v="2"/>
  </r>
  <r>
    <x v="0"/>
    <d v="2026-05-22T00:00:00"/>
    <x v="0"/>
    <n v="208"/>
    <x v="0"/>
    <n v="1.3"/>
    <s v="L"/>
    <m/>
    <s v="208_1"/>
    <s v="Corning_Woods"/>
    <x v="0"/>
    <s v="Acer"/>
    <s v="saccharum"/>
    <s v="Sapindaceae"/>
    <x v="2"/>
  </r>
  <r>
    <x v="0"/>
    <d v="2026-05-22T00:00:00"/>
    <x v="0"/>
    <n v="209"/>
    <x v="0"/>
    <n v="1.5"/>
    <s v="L"/>
    <m/>
    <s v="209_1"/>
    <s v="Corning_Woods"/>
    <x v="0"/>
    <s v="Acer"/>
    <s v="saccharum"/>
    <s v="Sapindaceae"/>
    <x v="2"/>
  </r>
  <r>
    <x v="0"/>
    <d v="2026-05-22T00:00:00"/>
    <x v="0"/>
    <n v="210"/>
    <x v="0"/>
    <n v="9.4"/>
    <s v="L,I"/>
    <s v="knot at POM, meausured just below, POM at 1.28m"/>
    <s v="210_1"/>
    <s v="Corning_Woods"/>
    <x v="0"/>
    <s v="Acer"/>
    <s v="saccharum"/>
    <s v="Sapindaceae"/>
    <x v="5"/>
  </r>
  <r>
    <x v="0"/>
    <d v="2026-05-28T00:00:00"/>
    <x v="2"/>
    <n v="211"/>
    <x v="0"/>
    <n v="2.5"/>
    <s v="W,L"/>
    <s v="soft measure used "/>
    <s v="211_1"/>
    <s v="Corning_Woods"/>
    <x v="0"/>
    <s v="Acer"/>
    <s v="rubrum"/>
    <s v="Sapindaceae"/>
    <x v="2"/>
  </r>
  <r>
    <x v="0"/>
    <d v="2026-05-28T00:00:00"/>
    <x v="0"/>
    <n v="212"/>
    <x v="0"/>
    <n v="6.9"/>
    <s v="M"/>
    <s v="Tagged"/>
    <s v="212_1"/>
    <s v="Corning_Woods"/>
    <x v="0"/>
    <s v="Acer"/>
    <s v="saccharum"/>
    <s v="Sapindaceae"/>
    <x v="5"/>
  </r>
  <r>
    <x v="0"/>
    <d v="2026-05-28T00:00:00"/>
    <x v="0"/>
    <n v="212"/>
    <x v="1"/>
    <n v="4.2"/>
    <s v="M,W"/>
    <m/>
    <s v="212_2"/>
    <s v="Corning_Woods"/>
    <x v="0"/>
    <s v="Acer"/>
    <s v="saccharum"/>
    <s v="Sapindaceae"/>
    <x v="2"/>
  </r>
  <r>
    <x v="0"/>
    <d v="2026-05-28T00:00:00"/>
    <x v="0"/>
    <n v="213"/>
    <x v="0"/>
    <n v="6.3"/>
    <s v="L"/>
    <m/>
    <s v="213_1"/>
    <s v="Corning_Woods"/>
    <x v="0"/>
    <s v="Acer"/>
    <s v="saccharum"/>
    <s v="Sapindaceae"/>
    <x v="5"/>
  </r>
  <r>
    <x v="0"/>
    <d v="2026-05-28T00:00:00"/>
    <x v="0"/>
    <n v="214"/>
    <x v="0"/>
    <n v="4"/>
    <s v="A,L"/>
    <s v="heavily arched, POM at 1.28m, top third dead, new growth"/>
    <s v="214_1"/>
    <s v="Corning_Woods"/>
    <x v="0"/>
    <s v="Acer"/>
    <s v="saccharum"/>
    <s v="Sapindaceae"/>
    <x v="2"/>
  </r>
  <r>
    <x v="0"/>
    <d v="2026-05-28T00:00:00"/>
    <x v="0"/>
    <n v="215"/>
    <x v="0"/>
    <n v="3"/>
    <s v="A"/>
    <s v="POM at 1.25m"/>
    <s v="215_1"/>
    <s v="Corning_Woods"/>
    <x v="0"/>
    <s v="Acer"/>
    <s v="saccharum"/>
    <s v="Sapindaceae"/>
    <x v="2"/>
  </r>
  <r>
    <x v="0"/>
    <d v="2026-05-28T00:00:00"/>
    <x v="0"/>
    <n v="216"/>
    <x v="0"/>
    <n v="3.7"/>
    <s v="W"/>
    <m/>
    <s v="216_1"/>
    <s v="Corning_Woods"/>
    <x v="0"/>
    <s v="Acer"/>
    <s v="saccharum"/>
    <s v="Sapindaceae"/>
    <x v="2"/>
  </r>
  <r>
    <x v="0"/>
    <d v="2026-05-28T00:00:00"/>
    <x v="0"/>
    <n v="217"/>
    <x v="0"/>
    <n v="5.0999999999999996"/>
    <s v="L"/>
    <m/>
    <s v="217_1"/>
    <s v="Corning_Woods"/>
    <x v="0"/>
    <s v="Acer"/>
    <s v="saccharum"/>
    <s v="Sapindaceae"/>
    <x v="5"/>
  </r>
  <r>
    <x v="0"/>
    <d v="2026-05-28T00:00:00"/>
    <x v="0"/>
    <n v="218"/>
    <x v="0"/>
    <n v="20.8"/>
    <s v="L"/>
    <m/>
    <s v="218_1"/>
    <s v="Corning_Woods"/>
    <x v="0"/>
    <s v="Acer"/>
    <s v="saccharum"/>
    <s v="Sapindaceae"/>
    <x v="0"/>
  </r>
  <r>
    <x v="0"/>
    <d v="2026-05-28T00:00:00"/>
    <x v="0"/>
    <n v="219"/>
    <x v="0"/>
    <n v="2.2000000000000002"/>
    <s v="A"/>
    <s v="POM at 1.33m"/>
    <s v="219_1"/>
    <s v="Corning_Woods"/>
    <x v="0"/>
    <s v="Acer"/>
    <s v="saccharum"/>
    <s v="Sapindaceae"/>
    <x v="2"/>
  </r>
  <r>
    <x v="0"/>
    <d v="2026-05-28T00:00:00"/>
    <x v="0"/>
    <n v="220"/>
    <x v="0"/>
    <n v="10.5"/>
    <s v="L"/>
    <s v="soft measure used, arched at top"/>
    <s v="220_1"/>
    <s v="Corning_Woods"/>
    <x v="0"/>
    <s v="Acer"/>
    <s v="saccharum"/>
    <s v="Sapindaceae"/>
    <x v="3"/>
  </r>
  <r>
    <x v="0"/>
    <d v="2026-05-28T00:00:00"/>
    <x v="0"/>
    <n v="286"/>
    <x v="0"/>
    <n v="2.7"/>
    <s v="N/A"/>
    <m/>
    <s v="286_1"/>
    <s v="Corning_Woods"/>
    <x v="0"/>
    <s v="Acer"/>
    <s v="saccharum"/>
    <s v="Sapindaceae"/>
    <x v="2"/>
  </r>
  <r>
    <x v="0"/>
    <d v="2026-05-28T00:00:00"/>
    <x v="0"/>
    <n v="221"/>
    <x v="0"/>
    <n v="3.8"/>
    <s v="L"/>
    <m/>
    <s v="221_1"/>
    <s v="Corning_Woods"/>
    <x v="0"/>
    <s v="Acer"/>
    <s v="saccharum"/>
    <s v="Sapindaceae"/>
    <x v="2"/>
  </r>
  <r>
    <x v="0"/>
    <d v="2026-05-28T00:00:00"/>
    <x v="0"/>
    <n v="222"/>
    <x v="0"/>
    <n v="1.6"/>
    <s v="B,L"/>
    <m/>
    <s v="222_1"/>
    <s v="Corning_Woods"/>
    <x v="0"/>
    <s v="Acer"/>
    <s v="saccharum"/>
    <s v="Sapindaceae"/>
    <x v="2"/>
  </r>
  <r>
    <x v="0"/>
    <d v="2026-05-28T00:00:00"/>
    <x v="0"/>
    <n v="223"/>
    <x v="0"/>
    <n v="5.3"/>
    <s v="W"/>
    <m/>
    <s v="223_1"/>
    <s v="Corning_Woods"/>
    <x v="0"/>
    <s v="Acer"/>
    <s v="saccharum"/>
    <s v="Sapindaceae"/>
    <x v="5"/>
  </r>
  <r>
    <x v="0"/>
    <d v="2026-05-28T00:00:00"/>
    <x v="0"/>
    <n v="224"/>
    <x v="0"/>
    <n v="3.8"/>
    <s v="A"/>
    <s v="POM at 1.28m"/>
    <s v="224_1"/>
    <s v="Corning_Woods"/>
    <x v="0"/>
    <s v="Acer"/>
    <s v="saccharum"/>
    <s v="Sapindaceae"/>
    <x v="2"/>
  </r>
  <r>
    <x v="0"/>
    <d v="2026-05-28T00:00:00"/>
    <x v="0"/>
    <n v="225"/>
    <x v="0"/>
    <n v="1.9"/>
    <s v="L"/>
    <m/>
    <s v="225_1"/>
    <s v="Corning_Woods"/>
    <x v="0"/>
    <s v="Acer"/>
    <s v="saccharum"/>
    <s v="Sapindaceae"/>
    <x v="2"/>
  </r>
  <r>
    <x v="0"/>
    <d v="2026-05-28T00:00:00"/>
    <x v="0"/>
    <n v="226"/>
    <x v="0"/>
    <n v="2.4"/>
    <s v="L"/>
    <m/>
    <s v="226_1"/>
    <s v="Corning_Woods"/>
    <x v="0"/>
    <s v="Acer"/>
    <s v="saccharum"/>
    <s v="Sapindaceae"/>
    <x v="2"/>
  </r>
  <r>
    <x v="0"/>
    <d v="2026-05-28T00:00:00"/>
    <x v="0"/>
    <n v="287"/>
    <x v="0"/>
    <n v="2.8"/>
    <s v="A,L"/>
    <s v="POM at 1.27m"/>
    <s v="287_1"/>
    <s v="Corning_Woods"/>
    <x v="0"/>
    <s v="Acer"/>
    <s v="saccharum"/>
    <s v="Sapindaceae"/>
    <x v="2"/>
  </r>
  <r>
    <x v="0"/>
    <d v="2026-05-28T00:00:00"/>
    <x v="0"/>
    <n v="227"/>
    <x v="0"/>
    <n v="3.1"/>
    <s v="L"/>
    <m/>
    <s v="227_1"/>
    <s v="Corning_Woods"/>
    <x v="0"/>
    <s v="Acer"/>
    <s v="saccharum"/>
    <s v="Sapindaceae"/>
    <x v="2"/>
  </r>
  <r>
    <x v="0"/>
    <d v="2026-05-28T00:00:00"/>
    <x v="3"/>
    <n v="228"/>
    <x v="0"/>
    <n v="61.5"/>
    <s v="A,M"/>
    <s v="POM at 1.7m"/>
    <s v="228_1"/>
    <s v="Corning_Woods"/>
    <x v="0"/>
    <s v="Lirodendron"/>
    <s v="tulipfera"/>
    <s v="Magnoliaceae"/>
    <x v="4"/>
  </r>
  <r>
    <x v="0"/>
    <d v="2026-05-28T00:00:00"/>
    <x v="3"/>
    <n v="228"/>
    <x v="1"/>
    <n v="52.8"/>
    <s v="A,M"/>
    <s v="POM at 1.7m"/>
    <s v="228_2"/>
    <s v="Corning_Woods"/>
    <x v="0"/>
    <s v="Lirodendron"/>
    <s v="tulipfera"/>
    <s v="Magnoliaceae"/>
    <x v="4"/>
  </r>
  <r>
    <x v="0"/>
    <d v="2026-05-28T00:00:00"/>
    <x v="3"/>
    <n v="228"/>
    <x v="2"/>
    <n v="52.5"/>
    <s v="M"/>
    <s v="POM at 1.3m"/>
    <s v="228_3"/>
    <s v="Corning_Woods"/>
    <x v="0"/>
    <s v="Lirodendron"/>
    <s v="tulipfera"/>
    <s v="Magnoliaceae"/>
    <x v="4"/>
  </r>
  <r>
    <x v="0"/>
    <d v="2026-05-28T00:00:00"/>
    <x v="0"/>
    <n v="229"/>
    <x v="0"/>
    <n v="3.5"/>
    <s v="L"/>
    <m/>
    <s v="229_1"/>
    <s v="Corning_Woods"/>
    <x v="0"/>
    <s v="Acer"/>
    <s v="saccharum"/>
    <s v="Sapindaceae"/>
    <x v="2"/>
  </r>
  <r>
    <x v="0"/>
    <d v="2026-05-28T00:00:00"/>
    <x v="2"/>
    <n v="230"/>
    <x v="0"/>
    <n v="13.4"/>
    <s v="N/A"/>
    <m/>
    <s v="230_1"/>
    <s v="Corning_Woods"/>
    <x v="0"/>
    <s v="Acer"/>
    <s v="rubrum"/>
    <s v="Sapindaceae"/>
    <x v="3"/>
  </r>
  <r>
    <x v="0"/>
    <d v="2026-05-28T00:00:00"/>
    <x v="0"/>
    <n v="231"/>
    <x v="0"/>
    <n v="4.5999999999999996"/>
    <s v="L"/>
    <m/>
    <s v="231_1"/>
    <s v="Corning_Woods"/>
    <x v="0"/>
    <s v="Acer"/>
    <s v="saccharum"/>
    <s v="Sapindaceae"/>
    <x v="2"/>
  </r>
  <r>
    <x v="0"/>
    <d v="2026-05-28T00:00:00"/>
    <x v="0"/>
    <n v="232"/>
    <x v="0"/>
    <n v="2.2999999999999998"/>
    <s v="L"/>
    <m/>
    <s v="232_1"/>
    <s v="Corning_Woods"/>
    <x v="0"/>
    <s v="Acer"/>
    <s v="saccharum"/>
    <s v="Sapindaceae"/>
    <x v="2"/>
  </r>
  <r>
    <x v="0"/>
    <d v="2026-05-28T00:00:00"/>
    <x v="0"/>
    <n v="233"/>
    <x v="0"/>
    <n v="2.5"/>
    <s v="A,L"/>
    <s v="POM at 1.27m"/>
    <s v="233_1"/>
    <s v="Corning_Woods"/>
    <x v="0"/>
    <s v="Acer"/>
    <s v="saccharum"/>
    <s v="Sapindaceae"/>
    <x v="2"/>
  </r>
  <r>
    <x v="0"/>
    <d v="2026-05-28T00:00:00"/>
    <x v="0"/>
    <n v="234"/>
    <x v="0"/>
    <n v="2.2000000000000002"/>
    <s v="W"/>
    <m/>
    <s v="234_1"/>
    <s v="Corning_Woods"/>
    <x v="0"/>
    <s v="Acer"/>
    <s v="saccharum"/>
    <s v="Sapindaceae"/>
    <x v="2"/>
  </r>
  <r>
    <x v="0"/>
    <d v="2026-05-28T00:00:00"/>
    <x v="0"/>
    <n v="235"/>
    <x v="0"/>
    <n v="2.8"/>
    <s v="W"/>
    <s v="soft measure used"/>
    <s v="235_1"/>
    <s v="Corning_Woods"/>
    <x v="0"/>
    <s v="Acer"/>
    <s v="saccharum"/>
    <s v="Sapindaceae"/>
    <x v="2"/>
  </r>
  <r>
    <x v="0"/>
    <d v="2026-05-28T00:00:00"/>
    <x v="3"/>
    <n v="236"/>
    <x v="0"/>
    <n v="63.5"/>
    <s v="N/A"/>
    <m/>
    <s v="236_1"/>
    <s v="Corning_Woods"/>
    <x v="0"/>
    <s v="Lirodendron"/>
    <s v="tulipfera"/>
    <s v="Magnoliaceae"/>
    <x v="4"/>
  </r>
  <r>
    <x v="0"/>
    <d v="2026-05-28T00:00:00"/>
    <x v="0"/>
    <n v="237"/>
    <x v="0"/>
    <n v="12.2"/>
    <s v="L"/>
    <s v="slight lean"/>
    <s v="237_1"/>
    <s v="Corning_Woods"/>
    <x v="0"/>
    <s v="Acer"/>
    <s v="saccharum"/>
    <s v="Sapindaceae"/>
    <x v="3"/>
  </r>
  <r>
    <x v="0"/>
    <d v="2026-05-28T00:00:00"/>
    <x v="0"/>
    <n v="238"/>
    <x v="0"/>
    <n v="2.7"/>
    <s v="B"/>
    <m/>
    <s v="238_1"/>
    <s v="Corning_Woods"/>
    <x v="0"/>
    <s v="Acer"/>
    <s v="saccharum"/>
    <s v="Sapindaceae"/>
    <x v="2"/>
  </r>
  <r>
    <x v="0"/>
    <d v="2026-05-28T00:00:00"/>
    <x v="0"/>
    <n v="239"/>
    <x v="0"/>
    <n v="3.9"/>
    <s v="A,W"/>
    <s v="POM at 1.35, swelling at POM, soft measure used"/>
    <s v="239_1"/>
    <s v="Corning_Woods"/>
    <x v="0"/>
    <s v="Acer"/>
    <s v="saccharum"/>
    <s v="Sapindaceae"/>
    <x v="2"/>
  </r>
  <r>
    <x v="0"/>
    <d v="2026-05-28T00:00:00"/>
    <x v="5"/>
    <n v="240"/>
    <x v="0"/>
    <n v="48.3"/>
    <s v="N/A"/>
    <m/>
    <s v="240_1"/>
    <s v="Corning_Woods"/>
    <x v="0"/>
    <s v="Magnolia"/>
    <s v="acuminata"/>
    <s v="Magnoliaceae"/>
    <x v="1"/>
  </r>
  <r>
    <x v="0"/>
    <d v="2026-05-28T00:00:00"/>
    <x v="0"/>
    <n v="241"/>
    <x v="0"/>
    <n v="1.4"/>
    <s v="L"/>
    <m/>
    <s v="241_1"/>
    <s v="Corning_Woods"/>
    <x v="0"/>
    <s v="Acer"/>
    <s v="saccharum"/>
    <s v="Sapindaceae"/>
    <x v="2"/>
  </r>
  <r>
    <x v="0"/>
    <d v="2026-05-28T00:00:00"/>
    <x v="0"/>
    <n v="242"/>
    <x v="0"/>
    <n v="5.2"/>
    <s v="L"/>
    <s v="slight lean "/>
    <s v="242_1"/>
    <s v="Corning_Woods"/>
    <x v="0"/>
    <s v="Acer"/>
    <s v="saccharum"/>
    <s v="Sapindaceae"/>
    <x v="5"/>
  </r>
  <r>
    <x v="0"/>
    <d v="2026-05-28T00:00:00"/>
    <x v="2"/>
    <n v="243"/>
    <x v="0"/>
    <n v="56.8"/>
    <s v="I"/>
    <s v="large open wound on western side, wavy all around"/>
    <s v="243_1"/>
    <s v="Corning_Woods"/>
    <x v="0"/>
    <s v="Acer"/>
    <s v="rubrum"/>
    <s v="Sapindaceae"/>
    <x v="4"/>
  </r>
  <r>
    <x v="0"/>
    <d v="2026-05-28T00:00:00"/>
    <x v="0"/>
    <n v="244"/>
    <x v="0"/>
    <n v="3"/>
    <s v="W"/>
    <m/>
    <s v="244_1"/>
    <s v="Corning_Woods"/>
    <x v="0"/>
    <s v="Acer"/>
    <s v="saccharum"/>
    <s v="Sapindaceae"/>
    <x v="2"/>
  </r>
  <r>
    <x v="0"/>
    <d v="2026-05-28T00:00:00"/>
    <x v="0"/>
    <n v="245"/>
    <x v="0"/>
    <n v="1.7"/>
    <s v="L,X"/>
    <m/>
    <s v="245_1"/>
    <s v="Corning_Woods"/>
    <x v="0"/>
    <s v="Acer"/>
    <s v="saccharum"/>
    <s v="Sapindaceae"/>
    <x v="2"/>
  </r>
  <r>
    <x v="0"/>
    <d v="2026-05-28T00:00:00"/>
    <x v="4"/>
    <n v="246"/>
    <x v="0"/>
    <n v="48.8"/>
    <s v="L"/>
    <m/>
    <s v="246_1"/>
    <s v="Corning_Woods"/>
    <x v="0"/>
    <s v="Sassafras"/>
    <s v="albidum"/>
    <s v="Lauraceae"/>
    <x v="1"/>
  </r>
  <r>
    <x v="0"/>
    <d v="2026-05-28T00:00:00"/>
    <x v="0"/>
    <n v="247"/>
    <x v="0"/>
    <n v="2.2999999999999998"/>
    <s v="L"/>
    <m/>
    <s v="247_1"/>
    <s v="Corning_Woods"/>
    <x v="0"/>
    <s v="Acer"/>
    <s v="saccharum"/>
    <s v="Sapindaceae"/>
    <x v="2"/>
  </r>
  <r>
    <x v="0"/>
    <d v="2026-05-28T00:00:00"/>
    <x v="2"/>
    <n v="248"/>
    <x v="0"/>
    <n v="32.799999999999997"/>
    <s v="L"/>
    <m/>
    <s v="248_1"/>
    <s v="Corning_Woods"/>
    <x v="0"/>
    <s v="Acer"/>
    <s v="rubrum"/>
    <s v="Sapindaceae"/>
    <x v="0"/>
  </r>
  <r>
    <x v="0"/>
    <d v="2026-05-28T00:00:00"/>
    <x v="0"/>
    <n v="249"/>
    <x v="0"/>
    <n v="26.8"/>
    <s v="L"/>
    <s v="slight lean "/>
    <s v="249_1"/>
    <s v="Corning_Woods"/>
    <x v="0"/>
    <s v="Acer"/>
    <s v="saccharum"/>
    <s v="Sapindaceae"/>
    <x v="0"/>
  </r>
  <r>
    <x v="0"/>
    <d v="2026-05-28T00:00:00"/>
    <x v="3"/>
    <n v="250"/>
    <x v="0"/>
    <n v="33.9"/>
    <s v="N/A"/>
    <m/>
    <s v="250_1"/>
    <s v="Corning_Woods"/>
    <x v="0"/>
    <s v="Lirodendron"/>
    <s v="tulipfera"/>
    <s v="Magnoliaceae"/>
    <x v="0"/>
  </r>
  <r>
    <x v="0"/>
    <d v="2026-05-28T00:00:00"/>
    <x v="0"/>
    <n v="251"/>
    <x v="0"/>
    <n v="1.2"/>
    <s v="L"/>
    <m/>
    <s v="251_1"/>
    <s v="Corning_Woods"/>
    <x v="0"/>
    <s v="Acer"/>
    <s v="saccharum"/>
    <s v="Sapindaceae"/>
    <x v="2"/>
  </r>
  <r>
    <x v="0"/>
    <d v="2026-05-28T00:00:00"/>
    <x v="0"/>
    <n v="252"/>
    <x v="0"/>
    <n v="2.7"/>
    <s v="A,L"/>
    <s v="POM at 1.28m"/>
    <s v="252_1"/>
    <s v="Corning_Woods"/>
    <x v="0"/>
    <s v="Acer"/>
    <s v="saccharum"/>
    <s v="Sapindaceae"/>
    <x v="2"/>
  </r>
  <r>
    <x v="0"/>
    <d v="2026-05-28T00:00:00"/>
    <x v="0"/>
    <n v="253"/>
    <x v="0"/>
    <n v="1.6"/>
    <s v="L"/>
    <m/>
    <s v="253_1"/>
    <s v="Corning_Woods"/>
    <x v="0"/>
    <s v="Acer"/>
    <s v="saccharum"/>
    <s v="Sapindaceae"/>
    <x v="2"/>
  </r>
  <r>
    <x v="0"/>
    <d v="2026-05-28T00:00:00"/>
    <x v="0"/>
    <n v="254"/>
    <x v="0"/>
    <n v="1.8"/>
    <s v="L"/>
    <m/>
    <s v="254_1"/>
    <s v="Corning_Woods"/>
    <x v="0"/>
    <s v="Acer"/>
    <s v="saccharum"/>
    <s v="Sapindaceae"/>
    <x v="2"/>
  </r>
  <r>
    <x v="0"/>
    <d v="2026-05-28T00:00:00"/>
    <x v="0"/>
    <n v="255"/>
    <x v="0"/>
    <n v="1.7"/>
    <s v="L"/>
    <m/>
    <s v="255_1"/>
    <s v="Corning_Woods"/>
    <x v="0"/>
    <s v="Acer"/>
    <s v="saccharum"/>
    <s v="Sapindaceae"/>
    <x v="2"/>
  </r>
  <r>
    <x v="0"/>
    <d v="2026-05-28T00:00:00"/>
    <x v="0"/>
    <n v="256"/>
    <x v="0"/>
    <n v="2.4"/>
    <s v="A"/>
    <s v="POM at 1.05m, very knobby, soft measure used"/>
    <s v="256_1"/>
    <s v="Corning_Woods"/>
    <x v="0"/>
    <s v="Acer"/>
    <s v="saccharum"/>
    <s v="Sapindaceae"/>
    <x v="2"/>
  </r>
  <r>
    <x v="0"/>
    <d v="2026-05-28T00:00:00"/>
    <x v="0"/>
    <n v="257"/>
    <x v="0"/>
    <n v="2.1"/>
    <s v="A,L"/>
    <s v="POM at 1.28m"/>
    <s v="257_1"/>
    <s v="Corning_Woods"/>
    <x v="0"/>
    <s v="Acer"/>
    <s v="saccharum"/>
    <s v="Sapindaceae"/>
    <x v="2"/>
  </r>
  <r>
    <x v="0"/>
    <d v="2026-05-28T00:00:00"/>
    <x v="0"/>
    <n v="258"/>
    <x v="0"/>
    <n v="1.6"/>
    <s v="L"/>
    <m/>
    <s v="258_1"/>
    <s v="Corning_Woods"/>
    <x v="0"/>
    <s v="Acer"/>
    <s v="saccharum"/>
    <s v="Sapindaceae"/>
    <x v="2"/>
  </r>
  <r>
    <x v="0"/>
    <d v="2026-05-28T00:00:00"/>
    <x v="0"/>
    <n v="259"/>
    <x v="0"/>
    <n v="1.2"/>
    <s v="L"/>
    <m/>
    <s v="259_1"/>
    <s v="Corning_Woods"/>
    <x v="0"/>
    <s v="Acer"/>
    <s v="saccharum"/>
    <s v="Sapindaceae"/>
    <x v="2"/>
  </r>
  <r>
    <x v="0"/>
    <d v="2026-05-28T00:00:00"/>
    <x v="0"/>
    <n v="260"/>
    <x v="0"/>
    <n v="3.4"/>
    <s v="A,L"/>
    <s v="POM at 1.28m"/>
    <s v="260_1"/>
    <s v="Corning_Woods"/>
    <x v="0"/>
    <s v="Acer"/>
    <s v="saccharum"/>
    <s v="Sapindaceae"/>
    <x v="2"/>
  </r>
  <r>
    <x v="0"/>
    <d v="2026-05-28T00:00:00"/>
    <x v="0"/>
    <n v="261"/>
    <x v="0"/>
    <n v="1.4"/>
    <s v="W"/>
    <s v="soft measure used "/>
    <s v="261_1"/>
    <s v="Corning_Woods"/>
    <x v="0"/>
    <s v="Acer"/>
    <s v="saccharum"/>
    <s v="Sapindaceae"/>
    <x v="2"/>
  </r>
  <r>
    <x v="0"/>
    <d v="2026-05-28T00:00:00"/>
    <x v="0"/>
    <n v="262"/>
    <x v="0"/>
    <n v="2"/>
    <s v="W"/>
    <s v="soft measure used "/>
    <s v="262_1"/>
    <s v="Corning_Woods"/>
    <x v="0"/>
    <s v="Acer"/>
    <s v="saccharum"/>
    <s v="Sapindaceae"/>
    <x v="2"/>
  </r>
  <r>
    <x v="0"/>
    <d v="2026-05-28T00:00:00"/>
    <x v="0"/>
    <n v="263"/>
    <x v="0"/>
    <n v="2"/>
    <s v="W"/>
    <s v="soft measure used "/>
    <s v="263_1"/>
    <s v="Corning_Woods"/>
    <x v="0"/>
    <s v="Acer"/>
    <s v="saccharum"/>
    <s v="Sapindaceae"/>
    <x v="2"/>
  </r>
  <r>
    <x v="0"/>
    <d v="2026-05-28T00:00:00"/>
    <x v="0"/>
    <n v="264"/>
    <x v="0"/>
    <n v="1.2"/>
    <s v="L"/>
    <m/>
    <s v="264_1"/>
    <s v="Corning_Woods"/>
    <x v="0"/>
    <s v="Acer"/>
    <s v="saccharum"/>
    <s v="Sapindaceae"/>
    <x v="2"/>
  </r>
  <r>
    <x v="0"/>
    <d v="2026-05-28T00:00:00"/>
    <x v="0"/>
    <n v="265"/>
    <x v="0"/>
    <n v="1.5"/>
    <s v="L"/>
    <m/>
    <s v="265_1"/>
    <s v="Corning_Woods"/>
    <x v="0"/>
    <s v="Acer"/>
    <s v="saccharum"/>
    <s v="Sapindaceae"/>
    <x v="2"/>
  </r>
  <r>
    <x v="0"/>
    <d v="2026-05-28T00:00:00"/>
    <x v="2"/>
    <n v="266"/>
    <x v="0"/>
    <n v="82"/>
    <s v="I"/>
    <s v="stem splits above POM, swollen at POM, swollen above and below POM"/>
    <s v="266_1"/>
    <s v="Corning_Woods"/>
    <x v="0"/>
    <s v="Acer"/>
    <s v="rubrum"/>
    <s v="Sapindaceae"/>
    <x v="4"/>
  </r>
  <r>
    <x v="0"/>
    <d v="2026-05-28T00:00:00"/>
    <x v="0"/>
    <n v="267"/>
    <x v="0"/>
    <n v="2.2000000000000002"/>
    <s v="A,L"/>
    <s v="POM at 1.23m"/>
    <s v="267_1"/>
    <s v="Corning_Woods"/>
    <x v="0"/>
    <s v="Acer"/>
    <s v="saccharum"/>
    <s v="Sapindaceae"/>
    <x v="2"/>
  </r>
  <r>
    <x v="0"/>
    <d v="2026-05-28T00:00:00"/>
    <x v="0"/>
    <n v="268"/>
    <x v="0"/>
    <n v="5.4"/>
    <s v="A"/>
    <s v="POM at 1.15m"/>
    <s v="268_1"/>
    <s v="Corning_Woods"/>
    <x v="0"/>
    <s v="Acer"/>
    <s v="saccharum"/>
    <s v="Sapindaceae"/>
    <x v="5"/>
  </r>
  <r>
    <x v="0"/>
    <d v="2026-05-28T00:00:00"/>
    <x v="0"/>
    <n v="269"/>
    <x v="0"/>
    <n v="4.7"/>
    <s v="N/A"/>
    <m/>
    <s v="269_1"/>
    <s v="Corning_Woods"/>
    <x v="0"/>
    <s v="Acer"/>
    <s v="saccharum"/>
    <s v="Sapindaceae"/>
    <x v="2"/>
  </r>
  <r>
    <x v="0"/>
    <d v="2026-05-28T00:00:00"/>
    <x v="0"/>
    <n v="270"/>
    <x v="0"/>
    <n v="2.2999999999999998"/>
    <s v="L"/>
    <m/>
    <s v="270_1"/>
    <s v="Corning_Woods"/>
    <x v="0"/>
    <s v="Acer"/>
    <s v="saccharum"/>
    <s v="Sapindaceae"/>
    <x v="2"/>
  </r>
  <r>
    <x v="0"/>
    <d v="2026-05-28T00:00:00"/>
    <x v="0"/>
    <n v="271"/>
    <x v="0"/>
    <n v="2.5"/>
    <s v="L"/>
    <s v="slight lean "/>
    <s v="271_1"/>
    <s v="Corning_Woods"/>
    <x v="0"/>
    <s v="Acer"/>
    <s v="saccharum"/>
    <s v="Sapindaceae"/>
    <x v="2"/>
  </r>
  <r>
    <x v="0"/>
    <d v="2026-05-28T00:00:00"/>
    <x v="0"/>
    <n v="272"/>
    <x v="0"/>
    <n v="3.5"/>
    <s v="L"/>
    <s v="slight lean "/>
    <s v="272_1"/>
    <s v="Corning_Woods"/>
    <x v="0"/>
    <s v="Acer"/>
    <s v="saccharum"/>
    <s v="Sapindaceae"/>
    <x v="2"/>
  </r>
  <r>
    <x v="0"/>
    <d v="2026-05-28T00:00:00"/>
    <x v="0"/>
    <n v="273"/>
    <x v="0"/>
    <n v="2.9"/>
    <s v="N/A"/>
    <m/>
    <s v="273_1"/>
    <s v="Corning_Woods"/>
    <x v="0"/>
    <s v="Acer"/>
    <s v="saccharum"/>
    <s v="Sapindaceae"/>
    <x v="2"/>
  </r>
  <r>
    <x v="0"/>
    <d v="2026-05-28T00:00:00"/>
    <x v="0"/>
    <n v="274"/>
    <x v="0"/>
    <n v="1.6"/>
    <s v="L"/>
    <m/>
    <s v="274_1"/>
    <s v="Corning_Woods"/>
    <x v="0"/>
    <s v="Acer"/>
    <s v="saccharum"/>
    <s v="Sapindaceae"/>
    <x v="2"/>
  </r>
  <r>
    <x v="0"/>
    <d v="2026-05-28T00:00:00"/>
    <x v="0"/>
    <n v="275"/>
    <x v="0"/>
    <n v="3.7"/>
    <s v="W"/>
    <s v="soft measure used"/>
    <s v="275_1"/>
    <s v="Corning_Woods"/>
    <x v="0"/>
    <s v="Acer"/>
    <s v="saccharum"/>
    <s v="Sapindaceae"/>
    <x v="2"/>
  </r>
  <r>
    <x v="0"/>
    <d v="2026-05-28T00:00:00"/>
    <x v="0"/>
    <n v="276"/>
    <x v="0"/>
    <n v="3.4"/>
    <s v="L"/>
    <m/>
    <s v="276_1"/>
    <s v="Corning_Woods"/>
    <x v="0"/>
    <s v="Acer"/>
    <s v="saccharum"/>
    <s v="Sapindaceae"/>
    <x v="2"/>
  </r>
  <r>
    <x v="0"/>
    <d v="2026-05-28T00:00:00"/>
    <x v="0"/>
    <n v="277"/>
    <x v="0"/>
    <n v="1.3"/>
    <s v="L"/>
    <m/>
    <s v="277_1"/>
    <s v="Corning_Woods"/>
    <x v="0"/>
    <s v="Acer"/>
    <s v="saccharum"/>
    <s v="Sapindaceae"/>
    <x v="2"/>
  </r>
  <r>
    <x v="0"/>
    <d v="2026-05-28T00:00:00"/>
    <x v="0"/>
    <n v="278"/>
    <x v="0"/>
    <n v="3.1"/>
    <s v="L"/>
    <m/>
    <s v="278_1"/>
    <s v="Corning_Woods"/>
    <x v="0"/>
    <s v="Acer"/>
    <s v="saccharum"/>
    <s v="Sapindaceae"/>
    <x v="2"/>
  </r>
  <r>
    <x v="0"/>
    <d v="2026-05-28T00:00:00"/>
    <x v="0"/>
    <n v="279"/>
    <x v="0"/>
    <n v="1.5"/>
    <s v="L"/>
    <m/>
    <s v="279_1"/>
    <s v="Corning_Woods"/>
    <x v="0"/>
    <s v="Acer"/>
    <s v="saccharum"/>
    <s v="Sapindaceae"/>
    <x v="2"/>
  </r>
  <r>
    <x v="0"/>
    <d v="2026-05-28T00:00:00"/>
    <x v="0"/>
    <n v="280"/>
    <x v="0"/>
    <n v="3"/>
    <s v="L"/>
    <m/>
    <s v="280_1"/>
    <s v="Corning_Woods"/>
    <x v="0"/>
    <s v="Acer"/>
    <s v="saccharum"/>
    <s v="Sapindaceae"/>
    <x v="2"/>
  </r>
  <r>
    <x v="0"/>
    <d v="2026-05-28T00:00:00"/>
    <x v="0"/>
    <n v="281"/>
    <x v="0"/>
    <n v="2.7"/>
    <s v="M"/>
    <s v="soft measure used "/>
    <s v="281_1"/>
    <s v="Corning_Woods"/>
    <x v="0"/>
    <s v="Acer"/>
    <s v="saccharum"/>
    <s v="Sapindaceae"/>
    <x v="2"/>
  </r>
  <r>
    <x v="0"/>
    <d v="2026-05-28T00:00:00"/>
    <x v="0"/>
    <n v="281"/>
    <x v="1"/>
    <n v="1"/>
    <s v="M"/>
    <s v="soft measure used"/>
    <s v="281_2"/>
    <s v="Corning_Woods"/>
    <x v="0"/>
    <s v="Acer"/>
    <s v="saccharum"/>
    <s v="Sapindaceae"/>
    <x v="2"/>
  </r>
  <r>
    <x v="0"/>
    <d v="2026-05-28T00:00:00"/>
    <x v="6"/>
    <n v="282"/>
    <x v="0"/>
    <n v="8.9"/>
    <s v="N/A"/>
    <m/>
    <s v="282_1"/>
    <s v="Corning_Woods"/>
    <x v="0"/>
    <s v="Nyssa"/>
    <s v="sylvatica"/>
    <s v="Nyssaceae"/>
    <x v="5"/>
  </r>
  <r>
    <x v="0"/>
    <d v="2026-05-28T00:00:00"/>
    <x v="2"/>
    <n v="283"/>
    <x v="0"/>
    <n v="27.4"/>
    <s v="A,L,B"/>
    <s v="POM at 0.9m, knot in way, caused lots of swelling"/>
    <s v="283_1"/>
    <s v="Corning_Woods"/>
    <x v="0"/>
    <s v="Acer"/>
    <s v="rubrum"/>
    <s v="Sapindaceae"/>
    <x v="0"/>
  </r>
  <r>
    <x v="0"/>
    <d v="2026-05-28T00:00:00"/>
    <x v="0"/>
    <n v="284"/>
    <x v="0"/>
    <n v="8.9"/>
    <s v="A,L"/>
    <s v="POM at 1.21, knots in way"/>
    <s v="284_1"/>
    <s v="Corning_Woods"/>
    <x v="0"/>
    <s v="Acer"/>
    <s v="saccharum"/>
    <s v="Sapindaceae"/>
    <x v="5"/>
  </r>
  <r>
    <x v="0"/>
    <d v="2026-05-28T00:00:00"/>
    <x v="0"/>
    <n v="285"/>
    <x v="0"/>
    <n v="1.5"/>
    <s v="L"/>
    <m/>
    <s v="285_1"/>
    <s v="Corning_Woods"/>
    <x v="0"/>
    <s v="Acer"/>
    <s v="saccharum"/>
    <s v="Sapindaceae"/>
    <x v="2"/>
  </r>
  <r>
    <x v="1"/>
    <d v="2026-06-01T00:00:00"/>
    <x v="0"/>
    <n v="288"/>
    <x v="0"/>
    <n v="33.1"/>
    <s v="L"/>
    <m/>
    <s v="288_1"/>
    <s v="Corning_Woods"/>
    <x v="1"/>
    <s v="Acer"/>
    <s v="saccharum"/>
    <s v="Sapindaceae"/>
    <x v="0"/>
  </r>
  <r>
    <x v="1"/>
    <d v="2026-06-01T00:00:00"/>
    <x v="0"/>
    <n v="289"/>
    <x v="0"/>
    <n v="5"/>
    <s v="N/A"/>
    <m/>
    <s v="289_1"/>
    <s v="Corning_Woods"/>
    <x v="1"/>
    <s v="Acer"/>
    <s v="saccharum"/>
    <s v="Sapindaceae"/>
    <x v="2"/>
  </r>
  <r>
    <x v="1"/>
    <d v="2026-06-01T00:00:00"/>
    <x v="0"/>
    <n v="290"/>
    <x v="0"/>
    <n v="3.3"/>
    <s v="A,L"/>
    <s v="slight lean, POM at 1.27m"/>
    <s v="290_1"/>
    <s v="Corning_Woods"/>
    <x v="1"/>
    <s v="Acer"/>
    <s v="saccharum"/>
    <s v="Sapindaceae"/>
    <x v="2"/>
  </r>
  <r>
    <x v="1"/>
    <d v="2026-06-01T00:00:00"/>
    <x v="8"/>
    <n v="291"/>
    <x v="0"/>
    <n v="3.2"/>
    <s v="L"/>
    <m/>
    <s v="291_1"/>
    <s v="Corning_Woods"/>
    <x v="1"/>
    <s v="Ostrya"/>
    <s v="viginiana"/>
    <s v="Betulaceae"/>
    <x v="2"/>
  </r>
  <r>
    <x v="1"/>
    <d v="2026-06-01T00:00:00"/>
    <x v="0"/>
    <n v="292"/>
    <x v="0"/>
    <n v="3.8"/>
    <s v="N/A"/>
    <m/>
    <s v="292_1"/>
    <s v="Corning_Woods"/>
    <x v="1"/>
    <s v="Acer"/>
    <s v="saccharum"/>
    <s v="Sapindaceae"/>
    <x v="2"/>
  </r>
  <r>
    <x v="1"/>
    <d v="2026-06-01T00:00:00"/>
    <x v="0"/>
    <n v="293"/>
    <x v="0"/>
    <n v="7"/>
    <s v="N/A"/>
    <m/>
    <s v="293_1"/>
    <s v="Corning_Woods"/>
    <x v="1"/>
    <s v="Acer"/>
    <s v="saccharum"/>
    <s v="Sapindaceae"/>
    <x v="5"/>
  </r>
  <r>
    <x v="1"/>
    <d v="2026-06-01T00:00:00"/>
    <x v="0"/>
    <n v="294"/>
    <x v="0"/>
    <n v="2.1"/>
    <s v="N/A"/>
    <m/>
    <s v="294_1"/>
    <s v="Corning_Woods"/>
    <x v="1"/>
    <s v="Acer"/>
    <s v="saccharum"/>
    <s v="Sapindaceae"/>
    <x v="2"/>
  </r>
  <r>
    <x v="1"/>
    <d v="2026-06-01T00:00:00"/>
    <x v="7"/>
    <n v="295"/>
    <x v="0"/>
    <n v="21.9"/>
    <s v="L"/>
    <m/>
    <s v="295_1"/>
    <s v="Corning_Woods"/>
    <x v="1"/>
    <s v="Fagus"/>
    <s v="grandifolia"/>
    <s v="Fagaceae"/>
    <x v="0"/>
  </r>
  <r>
    <x v="1"/>
    <d v="2026-06-01T00:00:00"/>
    <x v="7"/>
    <n v="296"/>
    <x v="0"/>
    <n v="26"/>
    <s v="N/A"/>
    <m/>
    <s v="296_1"/>
    <s v="Corning_Woods"/>
    <x v="1"/>
    <s v="Fagus"/>
    <s v="grandifolia"/>
    <s v="Fagaceae"/>
    <x v="0"/>
  </r>
  <r>
    <x v="1"/>
    <d v="2026-06-01T00:00:00"/>
    <x v="9"/>
    <n v="297"/>
    <x v="0"/>
    <n v="71.2"/>
    <s v="L"/>
    <m/>
    <s v="297_1"/>
    <s v="Corning_Woods"/>
    <x v="1"/>
    <s v="Quercus"/>
    <s v="montana"/>
    <s v="Fagaceae"/>
    <x v="4"/>
  </r>
  <r>
    <x v="1"/>
    <d v="2026-06-01T00:00:00"/>
    <x v="7"/>
    <n v="298"/>
    <x v="0"/>
    <n v="9.3000000000000007"/>
    <s v="W"/>
    <s v="poor condition"/>
    <s v="298_1"/>
    <s v="Corning_Woods"/>
    <x v="1"/>
    <s v="Fagus"/>
    <s v="grandifolia"/>
    <s v="Fagaceae"/>
    <x v="5"/>
  </r>
  <r>
    <x v="1"/>
    <d v="2026-06-01T00:00:00"/>
    <x v="0"/>
    <n v="299"/>
    <x v="0"/>
    <n v="2.9"/>
    <s v="L"/>
    <m/>
    <s v="299_1"/>
    <s v="Corning_Woods"/>
    <x v="1"/>
    <s v="Acer"/>
    <s v="saccharum"/>
    <s v="Sapindaceae"/>
    <x v="2"/>
  </r>
  <r>
    <x v="1"/>
    <d v="2026-06-01T00:00:00"/>
    <x v="0"/>
    <n v="300"/>
    <x v="0"/>
    <n v="14.6"/>
    <s v="N/A"/>
    <m/>
    <s v="300_1"/>
    <s v="Corning_Woods"/>
    <x v="1"/>
    <s v="Acer"/>
    <s v="saccharum"/>
    <s v="Sapindaceae"/>
    <x v="3"/>
  </r>
  <r>
    <x v="1"/>
    <d v="2026-06-01T00:00:00"/>
    <x v="8"/>
    <n v="301"/>
    <x v="0"/>
    <n v="1.7"/>
    <s v="L,W"/>
    <m/>
    <s v="301_1"/>
    <s v="Corning_Woods"/>
    <x v="1"/>
    <s v="Ostrya"/>
    <s v="viginiana"/>
    <s v="Betulaceae"/>
    <x v="2"/>
  </r>
  <r>
    <x v="1"/>
    <d v="2026-06-01T00:00:00"/>
    <x v="2"/>
    <n v="302"/>
    <x v="0"/>
    <n v="7"/>
    <s v="N/A"/>
    <m/>
    <s v="302_1"/>
    <s v="Corning_Woods"/>
    <x v="1"/>
    <s v="Acer"/>
    <s v="rubrum"/>
    <s v="Sapindaceae"/>
    <x v="5"/>
  </r>
  <r>
    <x v="1"/>
    <d v="2026-06-01T00:00:00"/>
    <x v="0"/>
    <n v="303"/>
    <x v="0"/>
    <n v="24.2"/>
    <s v="N/A"/>
    <m/>
    <s v="303_1"/>
    <s v="Corning_Woods"/>
    <x v="1"/>
    <s v="Acer"/>
    <s v="saccharum"/>
    <s v="Sapindaceae"/>
    <x v="0"/>
  </r>
  <r>
    <x v="1"/>
    <d v="2026-06-01T00:00:00"/>
    <x v="0"/>
    <n v="304"/>
    <x v="0"/>
    <n v="2"/>
    <s v="W"/>
    <m/>
    <s v="304_1"/>
    <s v="Corning_Woods"/>
    <x v="1"/>
    <s v="Acer"/>
    <s v="saccharum"/>
    <s v="Sapindaceae"/>
    <x v="2"/>
  </r>
  <r>
    <x v="1"/>
    <d v="2026-06-01T00:00:00"/>
    <x v="0"/>
    <n v="305"/>
    <x v="0"/>
    <n v="3.1"/>
    <s v="A,B,L,W"/>
    <s v="POM at 1.26m"/>
    <s v="305_1"/>
    <s v="Corning_Woods"/>
    <x v="1"/>
    <s v="Acer"/>
    <s v="saccharum"/>
    <s v="Sapindaceae"/>
    <x v="2"/>
  </r>
  <r>
    <x v="1"/>
    <d v="2026-06-01T00:00:00"/>
    <x v="2"/>
    <n v="306"/>
    <x v="0"/>
    <n v="3.1"/>
    <s v="L"/>
    <s v="POM at 1.26m"/>
    <s v="306_1"/>
    <s v="Corning_Woods"/>
    <x v="1"/>
    <s v="Acer"/>
    <s v="rubrum"/>
    <s v="Sapindaceae"/>
    <x v="2"/>
  </r>
  <r>
    <x v="1"/>
    <d v="2026-06-01T00:00:00"/>
    <x v="0"/>
    <n v="307"/>
    <x v="0"/>
    <n v="6.4"/>
    <s v="L"/>
    <s v="tag at base"/>
    <s v="307_1"/>
    <s v="Corning_Woods"/>
    <x v="1"/>
    <s v="Acer"/>
    <s v="saccharum"/>
    <s v="Sapindaceae"/>
    <x v="5"/>
  </r>
  <r>
    <x v="1"/>
    <d v="2026-06-01T00:00:00"/>
    <x v="10"/>
    <n v="308"/>
    <x v="0"/>
    <n v="60.6"/>
    <s v="L"/>
    <s v="slight lean"/>
    <s v="308_1"/>
    <s v="Corning_Woods"/>
    <x v="1"/>
    <s v="Quercus"/>
    <s v="rubra"/>
    <s v="Fagaceae"/>
    <x v="4"/>
  </r>
  <r>
    <x v="1"/>
    <d v="2026-06-01T00:00:00"/>
    <x v="0"/>
    <n v="309"/>
    <x v="0"/>
    <n v="2.9"/>
    <s v="L"/>
    <m/>
    <s v="309_1"/>
    <s v="Corning_Woods"/>
    <x v="1"/>
    <s v="Acer"/>
    <s v="saccharum"/>
    <s v="Sapindaceae"/>
    <x v="2"/>
  </r>
  <r>
    <x v="1"/>
    <d v="2026-06-01T00:00:00"/>
    <x v="11"/>
    <n v="310"/>
    <x v="0"/>
    <n v="2.4"/>
    <s v="M,L"/>
    <s v="facing south, measured right to left"/>
    <s v="310_1"/>
    <s v="Corning_Woods"/>
    <x v="1"/>
    <s v="Amelanchier"/>
    <s v="arborea"/>
    <s v="Rosaceae"/>
    <x v="2"/>
  </r>
  <r>
    <x v="1"/>
    <d v="2026-06-01T00:00:00"/>
    <x v="11"/>
    <n v="310"/>
    <x v="1"/>
    <n v="1"/>
    <s v="M,L"/>
    <s v="facing south, measured right to left"/>
    <s v="310_2"/>
    <s v="Corning_Woods"/>
    <x v="1"/>
    <s v="Amelanchier"/>
    <s v="arborea"/>
    <s v="Rosaceae"/>
    <x v="2"/>
  </r>
  <r>
    <x v="1"/>
    <d v="2026-06-01T00:00:00"/>
    <x v="11"/>
    <n v="310"/>
    <x v="2"/>
    <n v="1.7"/>
    <s v="M,W"/>
    <s v="facing south, measured right to left"/>
    <s v="310_3"/>
    <s v="Corning_Woods"/>
    <x v="1"/>
    <s v="Amelanchier"/>
    <s v="arborea"/>
    <s v="Rosaceae"/>
    <x v="2"/>
  </r>
  <r>
    <x v="1"/>
    <d v="2026-06-01T00:00:00"/>
    <x v="11"/>
    <n v="310"/>
    <x v="3"/>
    <n v="1.5"/>
    <s v="M,W"/>
    <s v="facing south, measured right to left"/>
    <s v="310_4"/>
    <s v="Corning_Woods"/>
    <x v="1"/>
    <s v="Amelanchier"/>
    <s v="arborea"/>
    <s v="Rosaceae"/>
    <x v="2"/>
  </r>
  <r>
    <x v="1"/>
    <d v="2026-06-01T00:00:00"/>
    <x v="11"/>
    <n v="310"/>
    <x v="4"/>
    <n v="1.1000000000000001"/>
    <s v="M,W"/>
    <s v="soft measure used, facing south measured right to left"/>
    <s v="310_5"/>
    <s v="Corning_Woods"/>
    <x v="1"/>
    <s v="Amelanchier"/>
    <s v="arborea"/>
    <s v="Rosaceae"/>
    <x v="2"/>
  </r>
  <r>
    <x v="1"/>
    <d v="2026-06-01T00:00:00"/>
    <x v="2"/>
    <n v="311"/>
    <x v="0"/>
    <n v="6"/>
    <s v="N/A"/>
    <m/>
    <s v="311_1"/>
    <s v="Corning_Woods"/>
    <x v="1"/>
    <s v="Acer"/>
    <s v="rubrum"/>
    <s v="Sapindaceae"/>
    <x v="5"/>
  </r>
  <r>
    <x v="1"/>
    <d v="2026-06-01T00:00:00"/>
    <x v="0"/>
    <n v="312"/>
    <x v="0"/>
    <n v="2.4"/>
    <s v="L"/>
    <m/>
    <s v="312_1"/>
    <s v="Corning_Woods"/>
    <x v="1"/>
    <s v="Acer"/>
    <s v="saccharum"/>
    <s v="Sapindaceae"/>
    <x v="2"/>
  </r>
  <r>
    <x v="1"/>
    <d v="2026-06-01T00:00:00"/>
    <x v="0"/>
    <n v="313"/>
    <x v="0"/>
    <n v="5"/>
    <s v="A,L"/>
    <s v="POM at 1.28m"/>
    <s v="313_1"/>
    <s v="Corning_Woods"/>
    <x v="1"/>
    <s v="Acer"/>
    <s v="saccharum"/>
    <s v="Sapindaceae"/>
    <x v="2"/>
  </r>
  <r>
    <x v="1"/>
    <d v="2026-06-01T00:00:00"/>
    <x v="8"/>
    <n v="314"/>
    <x v="0"/>
    <n v="15.5"/>
    <s v="L"/>
    <m/>
    <s v="314_1"/>
    <s v="Corning_Woods"/>
    <x v="1"/>
    <s v="Ostrya"/>
    <s v="viginiana"/>
    <s v="Betulaceae"/>
    <x v="3"/>
  </r>
  <r>
    <x v="1"/>
    <d v="2026-06-01T00:00:00"/>
    <x v="10"/>
    <n v="315"/>
    <x v="0"/>
    <n v="55.6"/>
    <s v="L"/>
    <m/>
    <s v="315_1"/>
    <s v="Corning_Woods"/>
    <x v="1"/>
    <s v="Quercus"/>
    <s v="rubra"/>
    <s v="Fagaceae"/>
    <x v="4"/>
  </r>
  <r>
    <x v="1"/>
    <d v="2026-06-01T00:00:00"/>
    <x v="2"/>
    <n v="316"/>
    <x v="0"/>
    <n v="9.8000000000000007"/>
    <s v="N/A"/>
    <m/>
    <s v="316_1"/>
    <s v="Corning_Woods"/>
    <x v="1"/>
    <s v="Acer"/>
    <s v="rubrum"/>
    <s v="Sapindaceae"/>
    <x v="5"/>
  </r>
  <r>
    <x v="1"/>
    <d v="2026-06-01T00:00:00"/>
    <x v="11"/>
    <n v="317"/>
    <x v="0"/>
    <n v="9.1999999999999993"/>
    <s v="L"/>
    <m/>
    <s v="317_1"/>
    <s v="Corning_Woods"/>
    <x v="1"/>
    <s v="Amelanchier"/>
    <s v="arborea"/>
    <s v="Rosaceae"/>
    <x v="5"/>
  </r>
  <r>
    <x v="1"/>
    <d v="2026-06-01T00:00:00"/>
    <x v="2"/>
    <n v="318"/>
    <x v="0"/>
    <n v="8.9"/>
    <s v="L"/>
    <m/>
    <s v="318_1"/>
    <s v="Corning_Woods"/>
    <x v="1"/>
    <s v="Acer"/>
    <s v="rubrum"/>
    <s v="Sapindaceae"/>
    <x v="5"/>
  </r>
  <r>
    <x v="1"/>
    <d v="2026-06-01T00:00:00"/>
    <x v="0"/>
    <n v="319"/>
    <x v="0"/>
    <n v="4.2"/>
    <s v="L"/>
    <s v="slight lean"/>
    <s v="319_1"/>
    <s v="Corning_Woods"/>
    <x v="1"/>
    <s v="Acer"/>
    <s v="saccharum"/>
    <s v="Sapindaceae"/>
    <x v="2"/>
  </r>
  <r>
    <x v="1"/>
    <d v="2026-06-01T00:00:00"/>
    <x v="2"/>
    <n v="320"/>
    <x v="0"/>
    <n v="15.4"/>
    <s v="L,W"/>
    <s v="slight lean"/>
    <s v="320_1"/>
    <s v="Corning_Woods"/>
    <x v="1"/>
    <s v="Acer"/>
    <s v="rubrum"/>
    <s v="Sapindaceae"/>
    <x v="3"/>
  </r>
  <r>
    <x v="1"/>
    <d v="2026-06-01T00:00:00"/>
    <x v="2"/>
    <n v="321"/>
    <x v="0"/>
    <n v="13.9"/>
    <s v="L"/>
    <s v="slight lean"/>
    <s v="321_1"/>
    <s v="Corning_Woods"/>
    <x v="1"/>
    <s v="Acer"/>
    <s v="rubrum"/>
    <s v="Sapindaceae"/>
    <x v="3"/>
  </r>
  <r>
    <x v="1"/>
    <d v="2026-06-01T00:00:00"/>
    <x v="2"/>
    <n v="322"/>
    <x v="0"/>
    <n v="24.8"/>
    <s v="L"/>
    <s v="slight lean"/>
    <s v="322_1"/>
    <s v="Corning_Woods"/>
    <x v="1"/>
    <s v="Acer"/>
    <s v="rubrum"/>
    <s v="Sapindaceae"/>
    <x v="0"/>
  </r>
  <r>
    <x v="1"/>
    <d v="2026-06-01T00:00:00"/>
    <x v="0"/>
    <n v="323"/>
    <x v="0"/>
    <n v="8.5"/>
    <s v="L"/>
    <m/>
    <s v="323_1"/>
    <s v="Corning_Woods"/>
    <x v="1"/>
    <s v="Acer"/>
    <s v="saccharum"/>
    <s v="Sapindaceae"/>
    <x v="5"/>
  </r>
  <r>
    <x v="1"/>
    <d v="2026-06-01T00:00:00"/>
    <x v="2"/>
    <n v="324"/>
    <x v="0"/>
    <n v="5.7"/>
    <s v="L"/>
    <m/>
    <s v="324_1"/>
    <s v="Corning_Woods"/>
    <x v="1"/>
    <s v="Acer"/>
    <s v="rubrum"/>
    <s v="Sapindaceae"/>
    <x v="5"/>
  </r>
  <r>
    <x v="1"/>
    <d v="2026-06-01T00:00:00"/>
    <x v="12"/>
    <n v="325"/>
    <x v="0"/>
    <n v="8.5"/>
    <s v="N/A"/>
    <s v="flowering dog wood"/>
    <s v="325_1"/>
    <s v="Corning_Woods"/>
    <x v="1"/>
    <s v="Cornus"/>
    <s v="florida"/>
    <s v="Cornaceae"/>
    <x v="5"/>
  </r>
  <r>
    <x v="1"/>
    <d v="2026-06-01T00:00:00"/>
    <x v="13"/>
    <n v="326"/>
    <x v="0"/>
    <n v="21.9"/>
    <s v="N/A"/>
    <m/>
    <s v="326_1"/>
    <s v="Corning_Woods"/>
    <x v="1"/>
    <s v="Quercus"/>
    <s v="alba"/>
    <s v="Fagaceae"/>
    <x v="0"/>
  </r>
  <r>
    <x v="1"/>
    <d v="2026-06-01T00:00:00"/>
    <x v="2"/>
    <n v="327"/>
    <x v="0"/>
    <n v="5.0999999999999996"/>
    <s v="L"/>
    <m/>
    <s v="327_1"/>
    <s v="Corning_Woods"/>
    <x v="1"/>
    <s v="Acer"/>
    <s v="rubrum"/>
    <s v="Sapindaceae"/>
    <x v="5"/>
  </r>
  <r>
    <x v="1"/>
    <d v="2026-06-01T00:00:00"/>
    <x v="10"/>
    <n v="328"/>
    <x v="0"/>
    <n v="53.1"/>
    <s v="L"/>
    <m/>
    <s v="328_1"/>
    <s v="Corning_Woods"/>
    <x v="1"/>
    <s v="Quercus"/>
    <s v="rubra"/>
    <s v="Fagaceae"/>
    <x v="4"/>
  </r>
  <r>
    <x v="1"/>
    <d v="2026-06-01T00:00:00"/>
    <x v="2"/>
    <n v="329"/>
    <x v="0"/>
    <n v="5"/>
    <s v="A,L"/>
    <s v="POM at 1.24m"/>
    <s v="329_1"/>
    <s v="Corning_Woods"/>
    <x v="1"/>
    <s v="Acer"/>
    <s v="rubrum"/>
    <s v="Sapindaceae"/>
    <x v="2"/>
  </r>
  <r>
    <x v="1"/>
    <d v="2026-06-01T00:00:00"/>
    <x v="7"/>
    <n v="330"/>
    <x v="0"/>
    <n v="5.3"/>
    <s v="N/A"/>
    <m/>
    <s v="330_1"/>
    <s v="Corning_Woods"/>
    <x v="1"/>
    <s v="Fagus"/>
    <s v="grandifolia"/>
    <s v="Fagaceae"/>
    <x v="5"/>
  </r>
  <r>
    <x v="1"/>
    <d v="2026-06-01T00:00:00"/>
    <x v="2"/>
    <n v="331"/>
    <x v="0"/>
    <n v="11"/>
    <s v="N/A"/>
    <m/>
    <s v="331_1"/>
    <s v="Corning_Woods"/>
    <x v="1"/>
    <s v="Acer"/>
    <s v="rubrum"/>
    <s v="Sapindaceae"/>
    <x v="3"/>
  </r>
  <r>
    <x v="1"/>
    <d v="2026-06-01T00:00:00"/>
    <x v="2"/>
    <n v="332"/>
    <x v="0"/>
    <n v="5.3"/>
    <s v="L"/>
    <m/>
    <s v="332_1"/>
    <s v="Corning_Woods"/>
    <x v="1"/>
    <s v="Acer"/>
    <s v="rubrum"/>
    <s v="Sapindaceae"/>
    <x v="5"/>
  </r>
  <r>
    <x v="1"/>
    <d v="2026-06-01T00:00:00"/>
    <x v="2"/>
    <n v="333"/>
    <x v="0"/>
    <n v="15"/>
    <s v="N/A"/>
    <m/>
    <s v="333_1"/>
    <s v="Corning_Woods"/>
    <x v="1"/>
    <s v="Acer"/>
    <s v="rubrum"/>
    <s v="Sapindaceae"/>
    <x v="3"/>
  </r>
  <r>
    <x v="1"/>
    <d v="2026-06-01T00:00:00"/>
    <x v="9"/>
    <n v="334"/>
    <x v="0"/>
    <n v="71.8"/>
    <s v="L"/>
    <m/>
    <s v="334_1"/>
    <s v="Corning_Woods"/>
    <x v="1"/>
    <s v="Quercus"/>
    <s v="montana"/>
    <s v="Fagaceae"/>
    <x v="4"/>
  </r>
  <r>
    <x v="1"/>
    <d v="2026-06-01T00:00:00"/>
    <x v="2"/>
    <n v="335"/>
    <x v="0"/>
    <n v="3.5"/>
    <s v="W"/>
    <s v="soft measure used"/>
    <s v="335_1"/>
    <s v="Corning_Woods"/>
    <x v="1"/>
    <s v="Acer"/>
    <s v="rubrum"/>
    <s v="Sapindaceae"/>
    <x v="2"/>
  </r>
  <r>
    <x v="1"/>
    <d v="2026-06-01T00:00:00"/>
    <x v="7"/>
    <n v="336"/>
    <x v="0"/>
    <n v="2.8"/>
    <s v="W"/>
    <s v="soft measure used"/>
    <s v="336_1"/>
    <s v="Corning_Woods"/>
    <x v="1"/>
    <s v="Fagus"/>
    <s v="grandifolia"/>
    <s v="Fagaceae"/>
    <x v="2"/>
  </r>
  <r>
    <x v="1"/>
    <d v="2026-06-01T00:00:00"/>
    <x v="0"/>
    <n v="337"/>
    <x v="0"/>
    <n v="5.7"/>
    <s v="L"/>
    <s v="slight lean"/>
    <s v="337_1"/>
    <s v="Corning_Woods"/>
    <x v="1"/>
    <s v="Acer"/>
    <s v="saccharum"/>
    <s v="Sapindaceae"/>
    <x v="5"/>
  </r>
  <r>
    <x v="1"/>
    <d v="2026-06-01T00:00:00"/>
    <x v="2"/>
    <n v="338"/>
    <x v="0"/>
    <n v="9"/>
    <s v="L"/>
    <m/>
    <s v="338_1"/>
    <s v="Corning_Woods"/>
    <x v="1"/>
    <s v="Acer"/>
    <s v="rubrum"/>
    <s v="Sapindaceae"/>
    <x v="5"/>
  </r>
  <r>
    <x v="1"/>
    <d v="2026-06-01T00:00:00"/>
    <x v="7"/>
    <n v="339"/>
    <x v="0"/>
    <n v="5"/>
    <s v="L"/>
    <m/>
    <s v="339_1"/>
    <s v="Corning_Woods"/>
    <x v="1"/>
    <s v="Fagus"/>
    <s v="grandifolia"/>
    <s v="Fagaceae"/>
    <x v="2"/>
  </r>
  <r>
    <x v="1"/>
    <d v="2026-06-01T00:00:00"/>
    <x v="2"/>
    <n v="340"/>
    <x v="0"/>
    <n v="14.2"/>
    <s v="L"/>
    <s v="slight lean"/>
    <s v="340_1"/>
    <s v="Corning_Woods"/>
    <x v="1"/>
    <s v="Acer"/>
    <s v="rubrum"/>
    <s v="Sapindaceae"/>
    <x v="3"/>
  </r>
  <r>
    <x v="1"/>
    <d v="2026-06-01T00:00:00"/>
    <x v="10"/>
    <n v="341"/>
    <x v="0"/>
    <n v="29.1"/>
    <s v="L"/>
    <s v="slight lean"/>
    <s v="341_1"/>
    <s v="Corning_Woods"/>
    <x v="1"/>
    <s v="Quercus"/>
    <s v="rubra"/>
    <s v="Fagaceae"/>
    <x v="0"/>
  </r>
  <r>
    <x v="1"/>
    <d v="2026-06-01T00:00:00"/>
    <x v="2"/>
    <n v="342"/>
    <x v="0"/>
    <n v="4.2"/>
    <s v="L"/>
    <m/>
    <s v="342_1"/>
    <s v="Corning_Woods"/>
    <x v="1"/>
    <s v="Acer"/>
    <s v="rubrum"/>
    <s v="Sapindaceae"/>
    <x v="2"/>
  </r>
  <r>
    <x v="1"/>
    <d v="2026-06-01T00:00:00"/>
    <x v="0"/>
    <n v="343"/>
    <x v="0"/>
    <n v="10.8"/>
    <s v="L"/>
    <m/>
    <s v="343_1"/>
    <s v="Corning_Woods"/>
    <x v="1"/>
    <s v="Acer"/>
    <s v="saccharum"/>
    <s v="Sapindaceae"/>
    <x v="3"/>
  </r>
  <r>
    <x v="1"/>
    <d v="2026-06-01T00:00:00"/>
    <x v="7"/>
    <n v="387"/>
    <x v="0"/>
    <n v="74.2"/>
    <s v="M,L"/>
    <s v="A is main stem, clockwise in dripline"/>
    <s v="387_1"/>
    <s v="Corning_Woods"/>
    <x v="1"/>
    <s v="Fagus"/>
    <s v="grandifolia"/>
    <s v="Fagaceae"/>
    <x v="4"/>
  </r>
  <r>
    <x v="1"/>
    <d v="2026-06-01T00:00:00"/>
    <x v="7"/>
    <n v="387"/>
    <x v="1"/>
    <n v="3"/>
    <s v="M,L,A"/>
    <s v="POM at 1.28m"/>
    <s v="387_2"/>
    <s v="Corning_Woods"/>
    <x v="1"/>
    <s v="Fagus"/>
    <s v="grandifolia"/>
    <s v="Fagaceae"/>
    <x v="2"/>
  </r>
  <r>
    <x v="1"/>
    <d v="2026-06-01T00:00:00"/>
    <x v="7"/>
    <n v="387"/>
    <x v="2"/>
    <n v="3.1"/>
    <s v="M,L,A"/>
    <s v="POM at 1.28m"/>
    <s v="387_3"/>
    <s v="Corning_Woods"/>
    <x v="1"/>
    <s v="Fagus"/>
    <s v="grandifolia"/>
    <s v="Fagaceae"/>
    <x v="2"/>
  </r>
  <r>
    <x v="1"/>
    <d v="2026-06-01T00:00:00"/>
    <x v="7"/>
    <n v="387"/>
    <x v="3"/>
    <n v="2.2999999999999998"/>
    <s v="M,L"/>
    <m/>
    <s v="387_4"/>
    <s v="Corning_Woods"/>
    <x v="1"/>
    <s v="Fagus"/>
    <s v="grandifolia"/>
    <s v="Fagaceae"/>
    <x v="2"/>
  </r>
  <r>
    <x v="1"/>
    <d v="2026-06-01T00:00:00"/>
    <x v="7"/>
    <n v="387"/>
    <x v="4"/>
    <n v="2.4"/>
    <s v="M,L"/>
    <m/>
    <s v="387_5"/>
    <s v="Corning_Woods"/>
    <x v="1"/>
    <s v="Fagus"/>
    <s v="grandifolia"/>
    <s v="Fagaceae"/>
    <x v="2"/>
  </r>
  <r>
    <x v="1"/>
    <d v="2026-06-01T00:00:00"/>
    <x v="7"/>
    <n v="387"/>
    <x v="5"/>
    <n v="3.1"/>
    <s v="M,L,A"/>
    <s v="POM at 1.26m"/>
    <s v="387_6"/>
    <s v="Corning_Woods"/>
    <x v="1"/>
    <s v="Fagus"/>
    <s v="grandifolia"/>
    <s v="Fagaceae"/>
    <x v="2"/>
  </r>
  <r>
    <x v="1"/>
    <d v="2026-06-01T00:00:00"/>
    <x v="7"/>
    <n v="387"/>
    <x v="6"/>
    <n v="3.6"/>
    <s v="M,L"/>
    <s v="slight lean"/>
    <s v="387_7"/>
    <s v="Corning_Woods"/>
    <x v="1"/>
    <s v="Fagus"/>
    <s v="grandifolia"/>
    <s v="Fagaceae"/>
    <x v="2"/>
  </r>
  <r>
    <x v="1"/>
    <d v="2026-06-01T00:00:00"/>
    <x v="7"/>
    <n v="387"/>
    <x v="7"/>
    <n v="3.9"/>
    <s v="M,L"/>
    <s v="slight lean"/>
    <s v="387_8"/>
    <s v="Corning_Woods"/>
    <x v="1"/>
    <s v="Fagus"/>
    <s v="grandifolia"/>
    <s v="Fagaceae"/>
    <x v="2"/>
  </r>
  <r>
    <x v="1"/>
    <d v="2026-06-01T00:00:00"/>
    <x v="7"/>
    <n v="387"/>
    <x v="8"/>
    <n v="2.2999999999999998"/>
    <s v="M,L,A"/>
    <s v="POM at 1.28m, slight lean"/>
    <s v="387_9"/>
    <s v="Corning_Woods"/>
    <x v="1"/>
    <s v="Fagus"/>
    <s v="grandifolia"/>
    <s v="Fagaceae"/>
    <x v="2"/>
  </r>
  <r>
    <x v="1"/>
    <d v="2026-06-01T00:00:00"/>
    <x v="7"/>
    <n v="387"/>
    <x v="9"/>
    <n v="3"/>
    <s v="M,L,A"/>
    <s v="POM at 1.28m, slight lean"/>
    <s v="387_10"/>
    <s v="Corning_Woods"/>
    <x v="1"/>
    <s v="Fagus"/>
    <s v="grandifolia"/>
    <s v="Fagaceae"/>
    <x v="2"/>
  </r>
  <r>
    <x v="1"/>
    <d v="2026-06-01T00:00:00"/>
    <x v="7"/>
    <n v="387"/>
    <x v="10"/>
    <n v="3"/>
    <s v="M,A"/>
    <m/>
    <s v="387_11"/>
    <s v="Corning_Woods"/>
    <x v="1"/>
    <s v="Fagus"/>
    <s v="grandifolia"/>
    <s v="Fagaceae"/>
    <x v="2"/>
  </r>
  <r>
    <x v="1"/>
    <d v="2026-06-01T00:00:00"/>
    <x v="7"/>
    <n v="387"/>
    <x v="11"/>
    <n v="5.6"/>
    <s v="M"/>
    <s v="knots near POM"/>
    <s v="387_12"/>
    <s v="Corning_Woods"/>
    <x v="1"/>
    <s v="Fagus"/>
    <s v="grandifolia"/>
    <s v="Fagaceae"/>
    <x v="5"/>
  </r>
  <r>
    <x v="1"/>
    <d v="2026-06-01T00:00:00"/>
    <x v="7"/>
    <n v="385"/>
    <x v="0"/>
    <n v="61.2"/>
    <s v="M"/>
    <s v="main stem"/>
    <s v="385_1"/>
    <s v="Corning_Woods"/>
    <x v="1"/>
    <s v="Fagus"/>
    <s v="grandifolia"/>
    <s v="Fagaceae"/>
    <x v="4"/>
  </r>
  <r>
    <x v="1"/>
    <d v="2026-06-01T00:00:00"/>
    <x v="7"/>
    <n v="385"/>
    <x v="1"/>
    <n v="2.5"/>
    <s v="M,W"/>
    <s v="soft measure used"/>
    <s v="385_2"/>
    <s v="Corning_Woods"/>
    <x v="1"/>
    <s v="Fagus"/>
    <s v="grandifolia"/>
    <s v="Fagaceae"/>
    <x v="2"/>
  </r>
  <r>
    <x v="1"/>
    <d v="2026-06-01T00:00:00"/>
    <x v="7"/>
    <n v="385"/>
    <x v="2"/>
    <n v="2.1"/>
    <s v="M,L"/>
    <s v="soft measure used"/>
    <s v="385_3"/>
    <s v="Corning_Woods"/>
    <x v="1"/>
    <s v="Fagus"/>
    <s v="grandifolia"/>
    <s v="Fagaceae"/>
    <x v="2"/>
  </r>
  <r>
    <x v="1"/>
    <d v="2026-06-01T00:00:00"/>
    <x v="7"/>
    <n v="385"/>
    <x v="3"/>
    <n v="3.4"/>
    <s v="M,L"/>
    <m/>
    <s v="385_4"/>
    <s v="Corning_Woods"/>
    <x v="1"/>
    <s v="Fagus"/>
    <s v="grandifolia"/>
    <s v="Fagaceae"/>
    <x v="2"/>
  </r>
  <r>
    <x v="1"/>
    <d v="2026-06-01T00:00:00"/>
    <x v="7"/>
    <n v="385"/>
    <x v="4"/>
    <n v="2.8"/>
    <s v="M,L,A"/>
    <s v="POM at 1.28m"/>
    <s v="385_5"/>
    <s v="Corning_Woods"/>
    <x v="1"/>
    <s v="Fagus"/>
    <s v="grandifolia"/>
    <s v="Fagaceae"/>
    <x v="2"/>
  </r>
  <r>
    <x v="1"/>
    <d v="2026-06-01T00:00:00"/>
    <x v="7"/>
    <n v="385"/>
    <x v="5"/>
    <n v="3.5"/>
    <s v="M,A"/>
    <s v="POM at 1.23m, knotty"/>
    <s v="385_6"/>
    <s v="Corning_Woods"/>
    <x v="1"/>
    <s v="Fagus"/>
    <s v="grandifolia"/>
    <s v="Fagaceae"/>
    <x v="2"/>
  </r>
  <r>
    <x v="1"/>
    <d v="2026-06-01T00:00:00"/>
    <x v="2"/>
    <n v="344"/>
    <x v="0"/>
    <n v="2.8"/>
    <s v="A"/>
    <s v="POM at 1.28m"/>
    <s v="344_1"/>
    <s v="Corning_Woods"/>
    <x v="1"/>
    <s v="Acer"/>
    <s v="rubrum"/>
    <s v="Sapindaceae"/>
    <x v="2"/>
  </r>
  <r>
    <x v="1"/>
    <d v="2026-06-01T00:00:00"/>
    <x v="0"/>
    <n v="345"/>
    <x v="0"/>
    <n v="20.6"/>
    <s v="L"/>
    <s v="slight lean"/>
    <s v="345_1"/>
    <s v="Corning_Woods"/>
    <x v="1"/>
    <s v="Acer"/>
    <s v="saccharum"/>
    <s v="Sapindaceae"/>
    <x v="0"/>
  </r>
  <r>
    <x v="1"/>
    <d v="2026-06-01T00:00:00"/>
    <x v="7"/>
    <n v="346"/>
    <x v="0"/>
    <n v="15.6"/>
    <s v="N/A"/>
    <m/>
    <s v="346_1"/>
    <s v="Corning_Woods"/>
    <x v="1"/>
    <s v="Fagus"/>
    <s v="grandifolia"/>
    <s v="Fagaceae"/>
    <x v="3"/>
  </r>
  <r>
    <x v="1"/>
    <d v="2026-06-01T00:00:00"/>
    <x v="0"/>
    <n v="347"/>
    <x v="0"/>
    <n v="2.5"/>
    <s v="L"/>
    <m/>
    <s v="347_1"/>
    <s v="Corning_Woods"/>
    <x v="1"/>
    <s v="Acer"/>
    <s v="saccharum"/>
    <s v="Sapindaceae"/>
    <x v="2"/>
  </r>
  <r>
    <x v="1"/>
    <d v="2026-06-01T00:00:00"/>
    <x v="2"/>
    <n v="348"/>
    <x v="0"/>
    <n v="29.2"/>
    <s v="N/A"/>
    <m/>
    <s v="348_1"/>
    <s v="Corning_Woods"/>
    <x v="1"/>
    <s v="Acer"/>
    <s v="rubrum"/>
    <s v="Sapindaceae"/>
    <x v="0"/>
  </r>
  <r>
    <x v="1"/>
    <d v="2026-06-01T00:00:00"/>
    <x v="0"/>
    <n v="349"/>
    <x v="0"/>
    <n v="1.6"/>
    <s v="M,W"/>
    <s v="multi at POM, soft measure used"/>
    <s v="349_1"/>
    <s v="Corning_Woods"/>
    <x v="1"/>
    <s v="Acer"/>
    <s v="saccharum"/>
    <s v="Sapindaceae"/>
    <x v="2"/>
  </r>
  <r>
    <x v="1"/>
    <d v="2026-06-01T00:00:00"/>
    <x v="0"/>
    <n v="349"/>
    <x v="1"/>
    <n v="1"/>
    <s v="M,W"/>
    <s v="multi at POM, soft measure used"/>
    <s v="349_2"/>
    <s v="Corning_Woods"/>
    <x v="1"/>
    <s v="Acer"/>
    <s v="saccharum"/>
    <s v="Sapindaceae"/>
    <x v="2"/>
  </r>
  <r>
    <x v="1"/>
    <d v="2026-06-01T00:00:00"/>
    <x v="0"/>
    <n v="350"/>
    <x v="0"/>
    <n v="3.8"/>
    <s v="A"/>
    <s v="POM at 1.28m"/>
    <s v="350_1"/>
    <s v="Corning_Woods"/>
    <x v="1"/>
    <s v="Acer"/>
    <s v="saccharum"/>
    <s v="Sapindaceae"/>
    <x v="2"/>
  </r>
  <r>
    <x v="1"/>
    <d v="2026-06-01T00:00:00"/>
    <x v="2"/>
    <n v="351"/>
    <x v="0"/>
    <n v="10.9"/>
    <s v="L"/>
    <s v="slight lean"/>
    <s v="351_1"/>
    <s v="Corning_Woods"/>
    <x v="1"/>
    <s v="Acer"/>
    <s v="rubrum"/>
    <s v="Sapindaceae"/>
    <x v="3"/>
  </r>
  <r>
    <x v="1"/>
    <d v="2026-06-01T00:00:00"/>
    <x v="0"/>
    <n v="352"/>
    <x v="0"/>
    <n v="5.8"/>
    <s v="L"/>
    <s v="slight lean"/>
    <s v="352_1"/>
    <s v="Corning_Woods"/>
    <x v="1"/>
    <s v="Acer"/>
    <s v="saccharum"/>
    <s v="Sapindaceae"/>
    <x v="5"/>
  </r>
  <r>
    <x v="1"/>
    <d v="2026-06-01T00:00:00"/>
    <x v="2"/>
    <n v="353"/>
    <x v="0"/>
    <n v="6.9"/>
    <s v="L"/>
    <m/>
    <s v="353_1"/>
    <s v="Corning_Woods"/>
    <x v="1"/>
    <s v="Acer"/>
    <s v="rubrum"/>
    <s v="Sapindaceae"/>
    <x v="5"/>
  </r>
  <r>
    <x v="1"/>
    <d v="2026-06-01T00:00:00"/>
    <x v="8"/>
    <n v="354"/>
    <x v="0"/>
    <n v="4.5"/>
    <s v="N/A"/>
    <m/>
    <s v="354_1"/>
    <s v="Corning_Woods"/>
    <x v="1"/>
    <s v="Ostrya"/>
    <s v="viginiana"/>
    <s v="Betulaceae"/>
    <x v="2"/>
  </r>
  <r>
    <x v="1"/>
    <d v="2026-06-01T00:00:00"/>
    <x v="10"/>
    <n v="355"/>
    <x v="0"/>
    <n v="55.1"/>
    <s v="N/A"/>
    <m/>
    <s v="355_1"/>
    <s v="Corning_Woods"/>
    <x v="1"/>
    <s v="Quercus"/>
    <s v="rubra"/>
    <s v="Fagaceae"/>
    <x v="4"/>
  </r>
  <r>
    <x v="1"/>
    <d v="2026-06-01T00:00:00"/>
    <x v="1"/>
    <n v="356"/>
    <x v="0"/>
    <n v="7.4"/>
    <s v="W"/>
    <s v="soft measure used"/>
    <s v="356_1"/>
    <s v="Corning_Woods"/>
    <x v="1"/>
    <s v="Prunus"/>
    <s v="serotina"/>
    <s v="Rosaceae"/>
    <x v="5"/>
  </r>
  <r>
    <x v="1"/>
    <d v="2026-06-01T00:00:00"/>
    <x v="0"/>
    <n v="357"/>
    <x v="0"/>
    <n v="1.1000000000000001"/>
    <s v="W,L"/>
    <s v="soft measure used"/>
    <s v="357_1"/>
    <s v="Corning_Woods"/>
    <x v="1"/>
    <s v="Acer"/>
    <s v="saccharum"/>
    <s v="Sapindaceae"/>
    <x v="2"/>
  </r>
  <r>
    <x v="1"/>
    <d v="2026-06-01T00:00:00"/>
    <x v="0"/>
    <n v="358"/>
    <x v="0"/>
    <n v="7.6"/>
    <s v="L"/>
    <m/>
    <s v="358_1"/>
    <s v="Corning_Woods"/>
    <x v="1"/>
    <s v="Acer"/>
    <s v="saccharum"/>
    <s v="Sapindaceae"/>
    <x v="5"/>
  </r>
  <r>
    <x v="1"/>
    <d v="2026-06-01T00:00:00"/>
    <x v="1"/>
    <n v="359"/>
    <x v="0"/>
    <n v="4.9000000000000004"/>
    <s v="X"/>
    <m/>
    <s v="359_1"/>
    <s v="Corning_Woods"/>
    <x v="1"/>
    <s v="Prunus"/>
    <s v="serotina"/>
    <s v="Rosaceae"/>
    <x v="2"/>
  </r>
  <r>
    <x v="1"/>
    <d v="2026-06-01T00:00:00"/>
    <x v="2"/>
    <n v="360"/>
    <x v="0"/>
    <n v="8.1999999999999993"/>
    <s v="N/A"/>
    <m/>
    <s v="360_1"/>
    <s v="Corning_Woods"/>
    <x v="1"/>
    <s v="Acer"/>
    <s v="rubrum"/>
    <s v="Sapindaceae"/>
    <x v="5"/>
  </r>
  <r>
    <x v="1"/>
    <d v="2026-06-02T00:00:00"/>
    <x v="2"/>
    <n v="361"/>
    <x v="0"/>
    <n v="3.1"/>
    <s v="W"/>
    <s v="soft measure used"/>
    <s v="361_1"/>
    <s v="Corning_Woods"/>
    <x v="1"/>
    <s v="Acer"/>
    <s v="rubrum"/>
    <s v="Sapindaceae"/>
    <x v="2"/>
  </r>
  <r>
    <x v="1"/>
    <d v="2026-06-02T00:00:00"/>
    <x v="0"/>
    <n v="362"/>
    <x v="0"/>
    <n v="3.8"/>
    <s v="W,A"/>
    <s v="POM at 1.26m, soft measure used"/>
    <s v="362_1"/>
    <s v="Corning_Woods"/>
    <x v="1"/>
    <s v="Acer"/>
    <s v="saccharum"/>
    <s v="Sapindaceae"/>
    <x v="2"/>
  </r>
  <r>
    <x v="1"/>
    <d v="2026-06-02T00:00:00"/>
    <x v="0"/>
    <n v="363"/>
    <x v="0"/>
    <n v="3.2"/>
    <s v="M,B"/>
    <m/>
    <s v="363_1"/>
    <s v="Corning_Woods"/>
    <x v="1"/>
    <s v="Acer"/>
    <s v="saccharum"/>
    <s v="Sapindaceae"/>
    <x v="2"/>
  </r>
  <r>
    <x v="1"/>
    <d v="2026-06-02T00:00:00"/>
    <x v="0"/>
    <n v="363"/>
    <x v="1"/>
    <n v="1.7"/>
    <s v="M,B"/>
    <s v="soft measure used"/>
    <s v="363_2"/>
    <s v="Corning_Woods"/>
    <x v="1"/>
    <s v="Acer"/>
    <s v="saccharum"/>
    <s v="Sapindaceae"/>
    <x v="2"/>
  </r>
  <r>
    <x v="1"/>
    <d v="2026-06-02T00:00:00"/>
    <x v="0"/>
    <n v="364"/>
    <x v="0"/>
    <n v="2.7"/>
    <s v="W,B,A"/>
    <s v="POM at 1.28m, soft measure used"/>
    <s v="364_1"/>
    <s v="Corning_Woods"/>
    <x v="1"/>
    <s v="Acer"/>
    <s v="saccharum"/>
    <s v="Sapindaceae"/>
    <x v="2"/>
  </r>
  <r>
    <x v="1"/>
    <d v="2026-06-02T00:00:00"/>
    <x v="1"/>
    <n v="365"/>
    <x v="0"/>
    <n v="7.6"/>
    <s v="N/A"/>
    <m/>
    <s v="365_1"/>
    <s v="Corning_Woods"/>
    <x v="1"/>
    <s v="Prunus"/>
    <s v="serotina"/>
    <s v="Rosaceae"/>
    <x v="5"/>
  </r>
  <r>
    <x v="1"/>
    <d v="2026-06-02T00:00:00"/>
    <x v="0"/>
    <n v="366"/>
    <x v="0"/>
    <n v="4.3"/>
    <s v="L"/>
    <m/>
    <s v="366_1"/>
    <s v="Corning_Woods"/>
    <x v="1"/>
    <s v="Acer"/>
    <s v="saccharum"/>
    <s v="Sapindaceae"/>
    <x v="2"/>
  </r>
  <r>
    <x v="1"/>
    <d v="2026-06-02T00:00:00"/>
    <x v="0"/>
    <n v="367"/>
    <x v="0"/>
    <n v="3.1"/>
    <s v="X"/>
    <s v="soft measure used"/>
    <s v="367_1"/>
    <s v="Corning_Woods"/>
    <x v="1"/>
    <s v="Acer"/>
    <s v="saccharum"/>
    <s v="Sapindaceae"/>
    <x v="2"/>
  </r>
  <r>
    <x v="1"/>
    <d v="2026-06-02T00:00:00"/>
    <x v="0"/>
    <n v="368"/>
    <x v="0"/>
    <n v="2.6"/>
    <s v="W,A"/>
    <s v="POM at 1.26m, soft measure used"/>
    <s v="368_1"/>
    <s v="Corning_Woods"/>
    <x v="1"/>
    <s v="Acer"/>
    <s v="saccharum"/>
    <s v="Sapindaceae"/>
    <x v="2"/>
  </r>
  <r>
    <x v="1"/>
    <d v="2026-06-02T00:00:00"/>
    <x v="7"/>
    <n v="369"/>
    <x v="0"/>
    <n v="54.4"/>
    <s v="N/A"/>
    <m/>
    <s v="369_1"/>
    <s v="Corning_Woods"/>
    <x v="1"/>
    <s v="Fagus"/>
    <s v="grandifolia"/>
    <s v="Fagaceae"/>
    <x v="4"/>
  </r>
  <r>
    <x v="1"/>
    <d v="2026-06-02T00:00:00"/>
    <x v="7"/>
    <n v="370"/>
    <x v="0"/>
    <n v="3"/>
    <s v="M"/>
    <m/>
    <s v="370_1"/>
    <s v="Corning_Woods"/>
    <x v="1"/>
    <s v="Fagus"/>
    <s v="grandifolia"/>
    <s v="Fagaceae"/>
    <x v="2"/>
  </r>
  <r>
    <x v="1"/>
    <d v="2026-06-02T00:00:00"/>
    <x v="7"/>
    <n v="370"/>
    <x v="1"/>
    <n v="2.6"/>
    <s v="M,A"/>
    <s v="POM at 1.28m, soft measure used"/>
    <s v="370_2"/>
    <s v="Corning_Woods"/>
    <x v="1"/>
    <s v="Fagus"/>
    <s v="grandifolia"/>
    <s v="Fagaceae"/>
    <x v="2"/>
  </r>
  <r>
    <x v="1"/>
    <d v="2026-06-02T00:00:00"/>
    <x v="7"/>
    <n v="371"/>
    <x v="0"/>
    <n v="1.5"/>
    <s v="W,X"/>
    <m/>
    <s v="371_1"/>
    <s v="Corning_Woods"/>
    <x v="1"/>
    <s v="Fagus"/>
    <s v="grandifolia"/>
    <s v="Fagaceae"/>
    <x v="2"/>
  </r>
  <r>
    <x v="1"/>
    <d v="2026-06-02T00:00:00"/>
    <x v="0"/>
    <n v="372"/>
    <x v="0"/>
    <n v="1"/>
    <s v="M"/>
    <s v="third stem just below 1cm cutoff"/>
    <s v="372_1"/>
    <s v="Corning_Woods"/>
    <x v="1"/>
    <s v="Acer"/>
    <s v="saccharum"/>
    <s v="Sapindaceae"/>
    <x v="2"/>
  </r>
  <r>
    <x v="1"/>
    <d v="2026-06-02T00:00:00"/>
    <x v="0"/>
    <n v="372"/>
    <x v="1"/>
    <n v="1"/>
    <s v="M"/>
    <s v="third stem just below 1cm cutoff"/>
    <s v="372_2"/>
    <s v="Corning_Woods"/>
    <x v="1"/>
    <s v="Acer"/>
    <s v="saccharum"/>
    <s v="Sapindaceae"/>
    <x v="2"/>
  </r>
  <r>
    <x v="1"/>
    <d v="2026-06-02T00:00:00"/>
    <x v="7"/>
    <n v="373"/>
    <x v="0"/>
    <n v="18.3"/>
    <s v="N/A"/>
    <m/>
    <s v="373_1"/>
    <s v="Corning_Woods"/>
    <x v="1"/>
    <s v="Fagus"/>
    <s v="grandifolia"/>
    <s v="Fagaceae"/>
    <x v="3"/>
  </r>
  <r>
    <x v="1"/>
    <d v="2026-06-02T00:00:00"/>
    <x v="7"/>
    <n v="374"/>
    <x v="0"/>
    <n v="2.7"/>
    <s v="X,W,M"/>
    <s v="soft measure used"/>
    <s v="374_1"/>
    <s v="Corning_Woods"/>
    <x v="1"/>
    <s v="Fagus"/>
    <s v="grandifolia"/>
    <s v="Fagaceae"/>
    <x v="2"/>
  </r>
  <r>
    <x v="1"/>
    <d v="2026-06-02T00:00:00"/>
    <x v="7"/>
    <n v="374"/>
    <x v="1"/>
    <n v="1"/>
    <s v="X,W,M"/>
    <s v="soft measure used"/>
    <s v="374_2"/>
    <s v="Corning_Woods"/>
    <x v="1"/>
    <s v="Fagus"/>
    <s v="grandifolia"/>
    <s v="Fagaceae"/>
    <x v="2"/>
  </r>
  <r>
    <x v="1"/>
    <d v="2026-06-02T00:00:00"/>
    <x v="7"/>
    <n v="375"/>
    <x v="0"/>
    <n v="26.9"/>
    <s v="L"/>
    <s v="slight lean"/>
    <s v="375_1"/>
    <s v="Corning_Woods"/>
    <x v="1"/>
    <s v="Fagus"/>
    <s v="grandifolia"/>
    <s v="Fagaceae"/>
    <x v="0"/>
  </r>
  <r>
    <x v="1"/>
    <d v="2026-06-02T00:00:00"/>
    <x v="7"/>
    <n v="376"/>
    <x v="0"/>
    <n v="3.7"/>
    <s v="A"/>
    <s v="POM at 1.28m"/>
    <s v="376_1"/>
    <s v="Corning_Woods"/>
    <x v="1"/>
    <s v="Fagus"/>
    <s v="grandifolia"/>
    <s v="Fagaceae"/>
    <x v="2"/>
  </r>
  <r>
    <x v="1"/>
    <d v="2026-06-02T00:00:00"/>
    <x v="7"/>
    <n v="377"/>
    <x v="0"/>
    <n v="1.3"/>
    <s v="L"/>
    <m/>
    <s v="377_1"/>
    <s v="Corning_Woods"/>
    <x v="1"/>
    <s v="Fagus"/>
    <s v="grandifolia"/>
    <s v="Fagaceae"/>
    <x v="2"/>
  </r>
  <r>
    <x v="1"/>
    <d v="2026-06-02T00:00:00"/>
    <x v="7"/>
    <n v="378"/>
    <x v="0"/>
    <n v="9.6"/>
    <s v="B"/>
    <m/>
    <s v="378_1"/>
    <s v="Corning_Woods"/>
    <x v="1"/>
    <s v="Fagus"/>
    <s v="grandifolia"/>
    <s v="Fagaceae"/>
    <x v="5"/>
  </r>
  <r>
    <x v="1"/>
    <d v="2026-06-02T00:00:00"/>
    <x v="7"/>
    <n v="379"/>
    <x v="0"/>
    <n v="2"/>
    <s v="W"/>
    <s v="soft measure used"/>
    <s v="379_1"/>
    <s v="Corning_Woods"/>
    <x v="1"/>
    <s v="Fagus"/>
    <s v="grandifolia"/>
    <s v="Fagaceae"/>
    <x v="2"/>
  </r>
  <r>
    <x v="1"/>
    <d v="2026-06-02T00:00:00"/>
    <x v="7"/>
    <n v="380"/>
    <x v="0"/>
    <n v="2.9"/>
    <s v="M"/>
    <m/>
    <s v="380_1"/>
    <s v="Corning_Woods"/>
    <x v="1"/>
    <s v="Fagus"/>
    <s v="grandifolia"/>
    <s v="Fagaceae"/>
    <x v="2"/>
  </r>
  <r>
    <x v="1"/>
    <d v="2026-06-02T00:00:00"/>
    <x v="7"/>
    <n v="380"/>
    <x v="1"/>
    <n v="2.4"/>
    <s v="M"/>
    <m/>
    <s v="380_2"/>
    <s v="Corning_Woods"/>
    <x v="1"/>
    <s v="Fagus"/>
    <s v="grandifolia"/>
    <s v="Fagaceae"/>
    <x v="2"/>
  </r>
  <r>
    <x v="1"/>
    <d v="2026-06-02T00:00:00"/>
    <x v="7"/>
    <n v="381"/>
    <x v="0"/>
    <n v="17.8"/>
    <s v="L"/>
    <m/>
    <s v="381_1"/>
    <s v="Corning_Woods"/>
    <x v="1"/>
    <s v="Fagus"/>
    <s v="grandifolia"/>
    <s v="Fagaceae"/>
    <x v="3"/>
  </r>
  <r>
    <x v="1"/>
    <d v="2026-06-02T00:00:00"/>
    <x v="7"/>
    <n v="382"/>
    <x v="0"/>
    <n v="4.4000000000000004"/>
    <s v="M"/>
    <s v="this lead is dead"/>
    <s v="382_1"/>
    <s v="Corning_Woods"/>
    <x v="1"/>
    <s v="Fagus"/>
    <s v="grandifolia"/>
    <s v="Fagaceae"/>
    <x v="2"/>
  </r>
  <r>
    <x v="1"/>
    <d v="2026-06-02T00:00:00"/>
    <x v="7"/>
    <n v="382"/>
    <x v="1"/>
    <n v="1.9"/>
    <s v="A,L"/>
    <s v="soft measure used"/>
    <s v="382_2"/>
    <s v="Corning_Woods"/>
    <x v="1"/>
    <s v="Fagus"/>
    <s v="grandifolia"/>
    <s v="Fagaceae"/>
    <x v="2"/>
  </r>
  <r>
    <x v="1"/>
    <d v="2026-06-02T00:00:00"/>
    <x v="0"/>
    <n v="383"/>
    <x v="0"/>
    <n v="8.8000000000000007"/>
    <s v="L"/>
    <m/>
    <s v="383_1"/>
    <s v="Corning_Woods"/>
    <x v="1"/>
    <s v="Acer"/>
    <s v="saccharum"/>
    <s v="Sapindaceae"/>
    <x v="5"/>
  </r>
  <r>
    <x v="1"/>
    <d v="2026-06-02T00:00:00"/>
    <x v="7"/>
    <n v="384"/>
    <x v="0"/>
    <n v="13.6"/>
    <s v="L,A"/>
    <s v="POM at 1.32m"/>
    <s v="384_1"/>
    <s v="Corning_Woods"/>
    <x v="1"/>
    <s v="Fagus"/>
    <s v="grandifolia"/>
    <s v="Fagaceae"/>
    <x v="3"/>
  </r>
  <r>
    <x v="1"/>
    <d v="2026-06-02T00:00:00"/>
    <x v="10"/>
    <n v="386"/>
    <x v="0"/>
    <n v="77.7"/>
    <s v="N/A"/>
    <m/>
    <s v="386_1"/>
    <s v="Corning_Woods"/>
    <x v="1"/>
    <s v="Quercus"/>
    <s v="rubra"/>
    <s v="Fagaceae"/>
    <x v="4"/>
  </r>
  <r>
    <x v="1"/>
    <d v="2026-06-02T00:00:00"/>
    <x v="0"/>
    <n v="388"/>
    <x v="0"/>
    <n v="15"/>
    <s v="L"/>
    <m/>
    <s v="388_1"/>
    <s v="Corning_Woods"/>
    <x v="1"/>
    <s v="Acer"/>
    <s v="saccharum"/>
    <s v="Sapindaceae"/>
    <x v="3"/>
  </r>
  <r>
    <x v="1"/>
    <d v="2026-06-02T00:00:00"/>
    <x v="1"/>
    <n v="389"/>
    <x v="0"/>
    <n v="5.6"/>
    <s v="B,L"/>
    <s v="sprouts color"/>
    <s v="389_1"/>
    <s v="Corning_Woods"/>
    <x v="1"/>
    <s v="Prunus"/>
    <s v="serotina"/>
    <s v="Rosaceae"/>
    <x v="5"/>
  </r>
  <r>
    <x v="1"/>
    <d v="2026-06-02T00:00:00"/>
    <x v="0"/>
    <n v="390"/>
    <x v="0"/>
    <n v="3.4"/>
    <s v="L"/>
    <s v="slight lean"/>
    <s v="390_1"/>
    <s v="Corning_Woods"/>
    <x v="1"/>
    <s v="Acer"/>
    <s v="saccharum"/>
    <s v="Sapindaceae"/>
    <x v="2"/>
  </r>
  <r>
    <x v="1"/>
    <d v="2026-06-02T00:00:00"/>
    <x v="7"/>
    <n v="391"/>
    <x v="0"/>
    <n v="10.9"/>
    <s v="B,L"/>
    <m/>
    <s v="391_1"/>
    <s v="Corning_Woods"/>
    <x v="1"/>
    <s v="Fagus"/>
    <s v="grandifolia"/>
    <s v="Fagaceae"/>
    <x v="3"/>
  </r>
  <r>
    <x v="1"/>
    <d v="2026-06-02T00:00:00"/>
    <x v="7"/>
    <n v="392"/>
    <x v="0"/>
    <n v="43.1"/>
    <s v="M"/>
    <s v="soft measure used"/>
    <s v="392_1"/>
    <s v="Corning_Woods"/>
    <x v="1"/>
    <s v="Fagus"/>
    <s v="grandifolia"/>
    <s v="Fagaceae"/>
    <x v="1"/>
  </r>
  <r>
    <x v="1"/>
    <d v="2026-06-02T00:00:00"/>
    <x v="7"/>
    <n v="392"/>
    <x v="1"/>
    <n v="1.7"/>
    <s v="M,L"/>
    <m/>
    <s v="392_2"/>
    <s v="Corning_Woods"/>
    <x v="1"/>
    <s v="Fagus"/>
    <s v="grandifolia"/>
    <s v="Fagaceae"/>
    <x v="2"/>
  </r>
  <r>
    <x v="1"/>
    <d v="2026-06-02T00:00:00"/>
    <x v="7"/>
    <n v="392"/>
    <x v="2"/>
    <n v="1.7"/>
    <s v="M,L"/>
    <m/>
    <s v="392_3"/>
    <s v="Corning_Woods"/>
    <x v="1"/>
    <s v="Fagus"/>
    <s v="grandifolia"/>
    <s v="Fagaceae"/>
    <x v="2"/>
  </r>
  <r>
    <x v="1"/>
    <d v="2026-06-02T00:00:00"/>
    <x v="7"/>
    <n v="392"/>
    <x v="3"/>
    <n v="2.2000000000000002"/>
    <s v="M,L,A"/>
    <s v="POM at 1.17m"/>
    <s v="392_4"/>
    <s v="Corning_Woods"/>
    <x v="1"/>
    <s v="Fagus"/>
    <s v="grandifolia"/>
    <s v="Fagaceae"/>
    <x v="2"/>
  </r>
  <r>
    <x v="1"/>
    <d v="2026-06-02T00:00:00"/>
    <x v="0"/>
    <n v="393"/>
    <x v="0"/>
    <n v="3.7"/>
    <s v="W"/>
    <s v="soft measure used"/>
    <s v="393_1"/>
    <s v="Corning_Woods"/>
    <x v="1"/>
    <s v="Acer"/>
    <s v="saccharum"/>
    <s v="Sapindaceae"/>
    <x v="2"/>
  </r>
  <r>
    <x v="1"/>
    <d v="2026-06-02T00:00:00"/>
    <x v="7"/>
    <n v="394"/>
    <x v="0"/>
    <n v="13"/>
    <s v="L"/>
    <m/>
    <s v="394_1"/>
    <s v="Corning_Woods"/>
    <x v="1"/>
    <s v="Fagus"/>
    <s v="grandifolia"/>
    <s v="Fagaceae"/>
    <x v="3"/>
  </r>
  <r>
    <x v="1"/>
    <d v="2026-06-02T00:00:00"/>
    <x v="7"/>
    <n v="395"/>
    <x v="0"/>
    <n v="11.6"/>
    <s v="P"/>
    <m/>
    <s v="395_1"/>
    <s v="Corning_Woods"/>
    <x v="1"/>
    <s v="Fagus"/>
    <s v="grandifolia"/>
    <s v="Fagaceae"/>
    <x v="3"/>
  </r>
  <r>
    <x v="1"/>
    <d v="2026-06-02T00:00:00"/>
    <x v="2"/>
    <n v="396"/>
    <x v="0"/>
    <n v="45.3"/>
    <s v="N/A"/>
    <m/>
    <s v="396_1"/>
    <s v="Corning_Woods"/>
    <x v="1"/>
    <s v="Acer"/>
    <s v="rubrum"/>
    <s v="Sapindaceae"/>
    <x v="1"/>
  </r>
  <r>
    <x v="1"/>
    <d v="2026-06-02T00:00:00"/>
    <x v="0"/>
    <n v="397"/>
    <x v="0"/>
    <n v="1.2"/>
    <s v="W"/>
    <s v="soft measure used"/>
    <s v="397_1"/>
    <s v="Corning_Woods"/>
    <x v="1"/>
    <s v="Acer"/>
    <s v="saccharum"/>
    <s v="Sapindaceae"/>
    <x v="2"/>
  </r>
  <r>
    <x v="1"/>
    <d v="2026-06-02T00:00:00"/>
    <x v="0"/>
    <n v="398"/>
    <x v="0"/>
    <n v="2.9"/>
    <s v="L"/>
    <m/>
    <s v="398_1"/>
    <s v="Corning_Woods"/>
    <x v="1"/>
    <s v="Acer"/>
    <s v="saccharum"/>
    <s v="Sapindaceae"/>
    <x v="2"/>
  </r>
  <r>
    <x v="1"/>
    <d v="2026-06-02T00:00:00"/>
    <x v="0"/>
    <n v="399"/>
    <x v="0"/>
    <n v="4.3"/>
    <s v="L,A"/>
    <m/>
    <s v="399_1"/>
    <s v="Corning_Woods"/>
    <x v="1"/>
    <s v="Acer"/>
    <s v="saccharum"/>
    <s v="Sapindaceae"/>
    <x v="2"/>
  </r>
  <r>
    <x v="1"/>
    <d v="2026-06-02T00:00:00"/>
    <x v="0"/>
    <n v="400"/>
    <x v="0"/>
    <n v="5.3"/>
    <s v="N/A"/>
    <m/>
    <s v="400_1"/>
    <s v="Corning_Woods"/>
    <x v="1"/>
    <s v="Acer"/>
    <s v="saccharum"/>
    <s v="Sapindaceae"/>
    <x v="5"/>
  </r>
  <r>
    <x v="1"/>
    <d v="2026-06-02T00:00:00"/>
    <x v="0"/>
    <n v="401"/>
    <x v="0"/>
    <n v="1.9"/>
    <s v="L,A"/>
    <s v="POM at 1.28m"/>
    <s v="401_1"/>
    <s v="Corning_Woods"/>
    <x v="1"/>
    <s v="Acer"/>
    <s v="saccharum"/>
    <s v="Sapindaceae"/>
    <x v="2"/>
  </r>
  <r>
    <x v="1"/>
    <d v="2026-06-02T00:00:00"/>
    <x v="0"/>
    <n v="402"/>
    <x v="0"/>
    <n v="1.9"/>
    <s v="L"/>
    <m/>
    <s v="402_1"/>
    <s v="Corning_Woods"/>
    <x v="1"/>
    <s v="Acer"/>
    <s v="saccharum"/>
    <s v="Sapindaceae"/>
    <x v="2"/>
  </r>
  <r>
    <x v="1"/>
    <d v="2026-06-02T00:00:00"/>
    <x v="0"/>
    <n v="403"/>
    <x v="0"/>
    <n v="5.8"/>
    <s v="L"/>
    <s v="slight lean"/>
    <s v="403_1"/>
    <s v="Corning_Woods"/>
    <x v="1"/>
    <s v="Acer"/>
    <s v="saccharum"/>
    <s v="Sapindaceae"/>
    <x v="5"/>
  </r>
  <r>
    <x v="1"/>
    <d v="2026-06-02T00:00:00"/>
    <x v="0"/>
    <n v="404"/>
    <x v="0"/>
    <n v="2.9"/>
    <s v="A"/>
    <s v="POM at 1.28m"/>
    <s v="404_1"/>
    <s v="Corning_Woods"/>
    <x v="1"/>
    <s v="Acer"/>
    <s v="saccharum"/>
    <s v="Sapindaceae"/>
    <x v="2"/>
  </r>
  <r>
    <x v="1"/>
    <d v="2026-06-02T00:00:00"/>
    <x v="7"/>
    <n v="405"/>
    <x v="0"/>
    <n v="16"/>
    <s v="N/A"/>
    <m/>
    <s v="405_1"/>
    <s v="Corning_Woods"/>
    <x v="1"/>
    <s v="Fagus"/>
    <s v="grandifolia"/>
    <s v="Fagaceae"/>
    <x v="3"/>
  </r>
  <r>
    <x v="1"/>
    <d v="2026-06-02T00:00:00"/>
    <x v="0"/>
    <n v="406"/>
    <x v="0"/>
    <n v="1.5"/>
    <s v="B"/>
    <m/>
    <s v="406_1"/>
    <s v="Corning_Woods"/>
    <x v="1"/>
    <s v="Acer"/>
    <s v="saccharum"/>
    <s v="Sapindaceae"/>
    <x v="2"/>
  </r>
  <r>
    <x v="1"/>
    <d v="2026-06-02T00:00:00"/>
    <x v="10"/>
    <n v="407"/>
    <x v="0"/>
    <n v="31.3"/>
    <s v="N/A"/>
    <s v="soft measure used"/>
    <s v="407_1"/>
    <s v="Corning_Woods"/>
    <x v="1"/>
    <s v="Quercus"/>
    <s v="rubra"/>
    <s v="Fagaceae"/>
    <x v="0"/>
  </r>
  <r>
    <x v="1"/>
    <d v="2026-06-02T00:00:00"/>
    <x v="0"/>
    <n v="408"/>
    <x v="0"/>
    <n v="3.4"/>
    <s v="L"/>
    <m/>
    <s v="408_1"/>
    <s v="Corning_Woods"/>
    <x v="1"/>
    <s v="Acer"/>
    <s v="saccharum"/>
    <s v="Sapindaceae"/>
    <x v="2"/>
  </r>
  <r>
    <x v="1"/>
    <d v="2026-06-02T00:00:00"/>
    <x v="2"/>
    <n v="409"/>
    <x v="0"/>
    <n v="38.5"/>
    <s v="N/A"/>
    <m/>
    <s v="409_1"/>
    <s v="Corning_Woods"/>
    <x v="1"/>
    <s v="Acer"/>
    <s v="rubrum"/>
    <s v="Sapindaceae"/>
    <x v="0"/>
  </r>
  <r>
    <x v="1"/>
    <d v="2026-06-02T00:00:00"/>
    <x v="0"/>
    <n v="410"/>
    <x v="0"/>
    <n v="3.1"/>
    <s v="L"/>
    <m/>
    <s v="410_1"/>
    <s v="Corning_Woods"/>
    <x v="1"/>
    <s v="Acer"/>
    <s v="saccharum"/>
    <s v="Sapindaceae"/>
    <x v="2"/>
  </r>
  <r>
    <x v="1"/>
    <d v="2026-06-02T00:00:00"/>
    <x v="1"/>
    <n v="411"/>
    <x v="0"/>
    <n v="22.4"/>
    <s v="L,I"/>
    <s v="bark makes trunk irregular"/>
    <s v="411_1"/>
    <s v="Corning_Woods"/>
    <x v="1"/>
    <s v="Prunus"/>
    <s v="serotina"/>
    <s v="Rosaceae"/>
    <x v="0"/>
  </r>
  <r>
    <x v="1"/>
    <d v="2026-06-02T00:00:00"/>
    <x v="2"/>
    <n v="412"/>
    <x v="0"/>
    <n v="6.9"/>
    <s v="N/A"/>
    <m/>
    <s v="412_1"/>
    <s v="Corning_Woods"/>
    <x v="1"/>
    <s v="Acer"/>
    <s v="rubrum"/>
    <s v="Sapindaceae"/>
    <x v="5"/>
  </r>
  <r>
    <x v="1"/>
    <d v="2026-06-02T00:00:00"/>
    <x v="0"/>
    <n v="413"/>
    <x v="0"/>
    <n v="3.2"/>
    <s v="L"/>
    <s v="slight lean"/>
    <s v="413_1"/>
    <s v="Corning_Woods"/>
    <x v="1"/>
    <s v="Acer"/>
    <s v="saccharum"/>
    <s v="Sapindaceae"/>
    <x v="2"/>
  </r>
  <r>
    <x v="1"/>
    <d v="2026-06-02T00:00:00"/>
    <x v="1"/>
    <n v="414"/>
    <x v="0"/>
    <n v="13"/>
    <s v="L"/>
    <m/>
    <s v="414_1"/>
    <s v="Corning_Woods"/>
    <x v="1"/>
    <s v="Prunus"/>
    <s v="serotina"/>
    <s v="Rosaceae"/>
    <x v="3"/>
  </r>
  <r>
    <x v="1"/>
    <d v="2026-06-02T00:00:00"/>
    <x v="0"/>
    <n v="415"/>
    <x v="0"/>
    <n v="3.3"/>
    <s v="N/A"/>
    <m/>
    <s v="415_1"/>
    <s v="Corning_Woods"/>
    <x v="1"/>
    <s v="Acer"/>
    <s v="saccharum"/>
    <s v="Sapindaceae"/>
    <x v="2"/>
  </r>
  <r>
    <x v="1"/>
    <d v="2026-06-02T00:00:00"/>
    <x v="9"/>
    <n v="416"/>
    <x v="0"/>
    <n v="85.8"/>
    <s v="L"/>
    <m/>
    <s v="416_1"/>
    <s v="Corning_Woods"/>
    <x v="1"/>
    <s v="Quercus"/>
    <s v="montana"/>
    <s v="Fagaceae"/>
    <x v="4"/>
  </r>
  <r>
    <x v="1"/>
    <d v="2026-06-02T00:00:00"/>
    <x v="2"/>
    <n v="417"/>
    <x v="0"/>
    <n v="3.1"/>
    <s v="N/A"/>
    <m/>
    <s v="417_1"/>
    <s v="Corning_Woods"/>
    <x v="1"/>
    <s v="Acer"/>
    <s v="rubrum"/>
    <s v="Sapindaceae"/>
    <x v="2"/>
  </r>
  <r>
    <x v="1"/>
    <d v="2026-06-02T00:00:00"/>
    <x v="0"/>
    <n v="418"/>
    <x v="0"/>
    <n v="25.9"/>
    <s v="L"/>
    <m/>
    <s v="418_1"/>
    <s v="Corning_Woods"/>
    <x v="1"/>
    <s v="Acer"/>
    <s v="saccharum"/>
    <s v="Sapindaceae"/>
    <x v="0"/>
  </r>
  <r>
    <x v="1"/>
    <d v="2026-06-02T00:00:00"/>
    <x v="9"/>
    <n v="419"/>
    <x v="0"/>
    <n v="41.9"/>
    <s v="L"/>
    <m/>
    <s v="419_1"/>
    <s v="Corning_Woods"/>
    <x v="1"/>
    <s v="Quercus"/>
    <s v="montana"/>
    <s v="Fagaceae"/>
    <x v="1"/>
  </r>
  <r>
    <x v="1"/>
    <d v="2026-06-02T00:00:00"/>
    <x v="2"/>
    <n v="420"/>
    <x v="0"/>
    <n v="16.7"/>
    <s v="N/A"/>
    <m/>
    <s v="420_1"/>
    <s v="Corning_Woods"/>
    <x v="1"/>
    <s v="Acer"/>
    <s v="rubrum"/>
    <s v="Sapindaceae"/>
    <x v="3"/>
  </r>
  <r>
    <x v="1"/>
    <d v="2026-06-02T00:00:00"/>
    <x v="0"/>
    <n v="421"/>
    <x v="0"/>
    <n v="5.3"/>
    <s v="L"/>
    <m/>
    <s v="421_1"/>
    <s v="Corning_Woods"/>
    <x v="1"/>
    <s v="Acer"/>
    <s v="saccharum"/>
    <s v="Sapindaceae"/>
    <x v="5"/>
  </r>
  <r>
    <x v="1"/>
    <d v="2026-06-02T00:00:00"/>
    <x v="9"/>
    <n v="422"/>
    <x v="0"/>
    <n v="36.6"/>
    <s v="L"/>
    <m/>
    <s v="422_1"/>
    <s v="Corning_Woods"/>
    <x v="1"/>
    <s v="Quercus"/>
    <s v="montana"/>
    <s v="Fagaceae"/>
    <x v="0"/>
  </r>
  <r>
    <x v="1"/>
    <d v="2026-06-02T00:00:00"/>
    <x v="0"/>
    <n v="423"/>
    <x v="0"/>
    <n v="3"/>
    <s v="W,A"/>
    <s v="soft measure used"/>
    <s v="423_1"/>
    <s v="Corning_Woods"/>
    <x v="1"/>
    <s v="Acer"/>
    <s v="saccharum"/>
    <s v="Sapindaceae"/>
    <x v="2"/>
  </r>
  <r>
    <x v="1"/>
    <d v="2026-06-02T00:00:00"/>
    <x v="10"/>
    <n v="424"/>
    <x v="0"/>
    <n v="48.7"/>
    <s v="L"/>
    <m/>
    <s v="424_1"/>
    <s v="Corning_Woods"/>
    <x v="1"/>
    <s v="Quercus"/>
    <s v="rubra"/>
    <s v="Fagaceae"/>
    <x v="1"/>
  </r>
  <r>
    <x v="1"/>
    <d v="2026-06-02T00:00:00"/>
    <x v="0"/>
    <n v="425"/>
    <x v="0"/>
    <n v="21.1"/>
    <s v="N/A"/>
    <m/>
    <s v="425_1"/>
    <s v="Corning_Woods"/>
    <x v="1"/>
    <s v="Acer"/>
    <s v="saccharum"/>
    <s v="Sapindaceae"/>
    <x v="0"/>
  </r>
  <r>
    <x v="1"/>
    <d v="2026-06-02T00:00:00"/>
    <x v="10"/>
    <n v="426"/>
    <x v="0"/>
    <n v="37.4"/>
    <s v="L"/>
    <s v="slight lean"/>
    <s v="426_1"/>
    <s v="Corning_Woods"/>
    <x v="1"/>
    <s v="Quercus"/>
    <s v="rubra"/>
    <s v="Fagaceae"/>
    <x v="0"/>
  </r>
  <r>
    <x v="1"/>
    <d v="2026-06-02T00:00:00"/>
    <x v="0"/>
    <n v="427"/>
    <x v="0"/>
    <n v="5.2"/>
    <s v="L"/>
    <m/>
    <s v="427_1"/>
    <s v="Corning_Woods"/>
    <x v="1"/>
    <s v="Acer"/>
    <s v="saccharum"/>
    <s v="Sapindaceae"/>
    <x v="5"/>
  </r>
  <r>
    <x v="1"/>
    <d v="2026-06-02T00:00:00"/>
    <x v="8"/>
    <n v="428"/>
    <x v="0"/>
    <n v="5.2"/>
    <s v="W"/>
    <m/>
    <s v="428_1"/>
    <s v="Corning_Woods"/>
    <x v="1"/>
    <s v="Ostrya"/>
    <s v="viginiana"/>
    <s v="Betulaceae"/>
    <x v="5"/>
  </r>
  <r>
    <x v="1"/>
    <d v="2026-06-02T00:00:00"/>
    <x v="0"/>
    <n v="429"/>
    <x v="0"/>
    <n v="2.1"/>
    <s v="L,A"/>
    <s v="POM at 1.27m"/>
    <s v="429_1"/>
    <s v="Corning_Woods"/>
    <x v="1"/>
    <s v="Acer"/>
    <s v="saccharum"/>
    <s v="Sapindaceae"/>
    <x v="2"/>
  </r>
  <r>
    <x v="1"/>
    <d v="2026-06-02T00:00:00"/>
    <x v="8"/>
    <n v="430"/>
    <x v="0"/>
    <n v="4.3"/>
    <s v="L"/>
    <m/>
    <s v="430_1"/>
    <s v="Corning_Woods"/>
    <x v="1"/>
    <s v="Ostrya"/>
    <s v="viginiana"/>
    <s v="Betulaceae"/>
    <x v="2"/>
  </r>
  <r>
    <x v="1"/>
    <d v="2026-06-02T00:00:00"/>
    <x v="7"/>
    <n v="431"/>
    <x v="0"/>
    <n v="1.5"/>
    <s v="L,A"/>
    <s v="POM at 1.28m"/>
    <s v="431_1"/>
    <s v="Corning_Woods"/>
    <x v="1"/>
    <s v="Fagus"/>
    <s v="grandifolia"/>
    <s v="Fagaceae"/>
    <x v="2"/>
  </r>
  <r>
    <x v="1"/>
    <d v="2026-06-02T00:00:00"/>
    <x v="0"/>
    <n v="432"/>
    <x v="0"/>
    <n v="14.4"/>
    <s v="N/A"/>
    <m/>
    <s v="432_1"/>
    <s v="Corning_Woods"/>
    <x v="1"/>
    <s v="Acer"/>
    <s v="saccharum"/>
    <s v="Sapindaceae"/>
    <x v="3"/>
  </r>
  <r>
    <x v="1"/>
    <d v="2026-06-02T00:00:00"/>
    <x v="0"/>
    <n v="433"/>
    <x v="0"/>
    <n v="6"/>
    <s v="L"/>
    <m/>
    <s v="433_1"/>
    <s v="Corning_Woods"/>
    <x v="1"/>
    <s v="Acer"/>
    <s v="saccharum"/>
    <s v="Sapindaceae"/>
    <x v="5"/>
  </r>
  <r>
    <x v="1"/>
    <d v="2026-06-02T00:00:00"/>
    <x v="2"/>
    <n v="434"/>
    <x v="0"/>
    <n v="9.9"/>
    <s v="N/A"/>
    <m/>
    <s v="434_1"/>
    <s v="Corning_Woods"/>
    <x v="1"/>
    <s v="Acer"/>
    <s v="rubrum"/>
    <s v="Sapindaceae"/>
    <x v="5"/>
  </r>
  <r>
    <x v="1"/>
    <d v="2026-06-02T00:00:00"/>
    <x v="5"/>
    <n v="435"/>
    <x v="0"/>
    <n v="3.1"/>
    <s v="L"/>
    <s v="other stems not yet in DBH range"/>
    <s v="435_1"/>
    <s v="Corning_Woods"/>
    <x v="1"/>
    <s v="Magnolia"/>
    <s v="acuminata"/>
    <s v="Magnoliaceae"/>
    <x v="2"/>
  </r>
  <r>
    <x v="1"/>
    <d v="2026-06-02T00:00:00"/>
    <x v="7"/>
    <n v="436"/>
    <x v="0"/>
    <n v="3.9"/>
    <s v="N/A"/>
    <m/>
    <s v="436_1"/>
    <s v="Corning_Woods"/>
    <x v="1"/>
    <s v="Fagus"/>
    <s v="grandifolia"/>
    <s v="Fagaceae"/>
    <x v="2"/>
  </r>
  <r>
    <x v="1"/>
    <d v="2026-06-02T00:00:00"/>
    <x v="0"/>
    <n v="437"/>
    <x v="0"/>
    <n v="31.3"/>
    <s v="N/A"/>
    <m/>
    <s v="437_1"/>
    <s v="Corning_Woods"/>
    <x v="1"/>
    <s v="Acer"/>
    <s v="saccharum"/>
    <s v="Sapindaceae"/>
    <x v="0"/>
  </r>
  <r>
    <x v="1"/>
    <d v="2026-06-02T00:00:00"/>
    <x v="0"/>
    <n v="438"/>
    <x v="0"/>
    <n v="8.9"/>
    <s v="N/A"/>
    <m/>
    <s v="438_1"/>
    <s v="Corning_Woods"/>
    <x v="1"/>
    <s v="Acer"/>
    <s v="saccharum"/>
    <s v="Sapindaceae"/>
    <x v="5"/>
  </r>
  <r>
    <x v="1"/>
    <d v="2026-06-02T00:00:00"/>
    <x v="0"/>
    <n v="439"/>
    <x v="0"/>
    <n v="10.8"/>
    <s v="N/A"/>
    <m/>
    <s v="439_1"/>
    <s v="Corning_Woods"/>
    <x v="1"/>
    <s v="Acer"/>
    <s v="saccharum"/>
    <s v="Sapindaceae"/>
    <x v="3"/>
  </r>
  <r>
    <x v="1"/>
    <d v="2026-06-02T00:00:00"/>
    <x v="7"/>
    <n v="440"/>
    <x v="0"/>
    <n v="6.7"/>
    <s v="N/A"/>
    <m/>
    <s v="440_1"/>
    <s v="Corning_Woods"/>
    <x v="1"/>
    <s v="Fagus"/>
    <s v="grandifolia"/>
    <s v="Fagaceae"/>
    <x v="5"/>
  </r>
  <r>
    <x v="1"/>
    <d v="2026-06-02T00:00:00"/>
    <x v="6"/>
    <n v="441"/>
    <x v="0"/>
    <n v="7.2"/>
    <s v="N/A"/>
    <m/>
    <s v="441_1"/>
    <s v="Corning_Woods"/>
    <x v="1"/>
    <s v="Nyssa"/>
    <s v="sylvatica"/>
    <s v="Nyssaceae"/>
    <x v="5"/>
  </r>
  <r>
    <x v="1"/>
    <d v="2026-06-02T00:00:00"/>
    <x v="1"/>
    <n v="442"/>
    <x v="0"/>
    <n v="4.9000000000000004"/>
    <s v="W,L,X"/>
    <s v="mostly dead with sprouts"/>
    <s v="442_1"/>
    <s v="Corning_Woods"/>
    <x v="1"/>
    <s v="Prunus"/>
    <s v="serotina"/>
    <s v="Rosaceae"/>
    <x v="2"/>
  </r>
  <r>
    <x v="1"/>
    <d v="2026-06-02T00:00:00"/>
    <x v="2"/>
    <n v="443"/>
    <x v="0"/>
    <n v="2.2999999999999998"/>
    <s v="L"/>
    <m/>
    <s v="443_1"/>
    <s v="Corning_Woods"/>
    <x v="1"/>
    <s v="Acer"/>
    <s v="rubrum"/>
    <s v="Sapindaceae"/>
    <x v="2"/>
  </r>
  <r>
    <x v="1"/>
    <d v="2026-06-02T00:00:00"/>
    <x v="0"/>
    <n v="444"/>
    <x v="0"/>
    <n v="3.3"/>
    <s v="N/A"/>
    <s v="tag might fall"/>
    <s v="444_1"/>
    <s v="Corning_Woods"/>
    <x v="1"/>
    <s v="Acer"/>
    <s v="saccharum"/>
    <s v="Sapindaceae"/>
    <x v="2"/>
  </r>
  <r>
    <x v="1"/>
    <d v="2026-06-02T00:00:00"/>
    <x v="0"/>
    <n v="445"/>
    <x v="0"/>
    <n v="3.2"/>
    <s v="B,W"/>
    <m/>
    <s v="445_1"/>
    <s v="Corning_Woods"/>
    <x v="1"/>
    <s v="Acer"/>
    <s v="saccharum"/>
    <s v="Sapindaceae"/>
    <x v="2"/>
  </r>
  <r>
    <x v="1"/>
    <d v="2026-06-02T00:00:00"/>
    <x v="2"/>
    <n v="446"/>
    <x v="0"/>
    <n v="5.4"/>
    <s v="B"/>
    <m/>
    <s v="446_1"/>
    <s v="Corning_Woods"/>
    <x v="1"/>
    <s v="Acer"/>
    <s v="rubrum"/>
    <s v="Sapindaceae"/>
    <x v="5"/>
  </r>
  <r>
    <x v="1"/>
    <d v="2026-06-02T00:00:00"/>
    <x v="2"/>
    <n v="447"/>
    <x v="0"/>
    <n v="4.5999999999999996"/>
    <s v="L"/>
    <s v="slight lean, tag might fall"/>
    <s v="447_1"/>
    <s v="Corning_Woods"/>
    <x v="1"/>
    <s v="Acer"/>
    <s v="rubrum"/>
    <s v="Sapindaceae"/>
    <x v="2"/>
  </r>
  <r>
    <x v="1"/>
    <d v="2026-06-02T00:00:00"/>
    <x v="0"/>
    <n v="448"/>
    <x v="0"/>
    <n v="15.7"/>
    <s v="N/A"/>
    <m/>
    <s v="448_1"/>
    <s v="Corning_Woods"/>
    <x v="1"/>
    <s v="Acer"/>
    <s v="saccharum"/>
    <s v="Sapindaceae"/>
    <x v="3"/>
  </r>
  <r>
    <x v="1"/>
    <d v="2026-06-02T00:00:00"/>
    <x v="0"/>
    <n v="449"/>
    <x v="0"/>
    <n v="1.8"/>
    <s v="N/A"/>
    <m/>
    <s v="449_1"/>
    <s v="Corning_Woods"/>
    <x v="1"/>
    <s v="Acer"/>
    <s v="saccharum"/>
    <s v="Sapindaceae"/>
    <x v="2"/>
  </r>
  <r>
    <x v="1"/>
    <d v="2026-06-02T00:00:00"/>
    <x v="0"/>
    <n v="450"/>
    <x v="0"/>
    <n v="15.4"/>
    <s v="L"/>
    <s v="slight lean, tag might fall"/>
    <s v="450_1"/>
    <s v="Corning_Woods"/>
    <x v="1"/>
    <s v="Acer"/>
    <s v="saccharum"/>
    <s v="Sapindaceae"/>
    <x v="3"/>
  </r>
  <r>
    <x v="1"/>
    <d v="2026-06-02T00:00:00"/>
    <x v="2"/>
    <n v="451"/>
    <x v="0"/>
    <n v="1.6"/>
    <s v="W"/>
    <m/>
    <s v="451_1"/>
    <s v="Corning_Woods"/>
    <x v="1"/>
    <s v="Acer"/>
    <s v="rubrum"/>
    <s v="Sapindaceae"/>
    <x v="2"/>
  </r>
  <r>
    <x v="1"/>
    <d v="2026-06-02T00:00:00"/>
    <x v="0"/>
    <n v="452"/>
    <x v="0"/>
    <n v="4.5"/>
    <s v="A,L"/>
    <s v="slight lean, POM at 1.28m"/>
    <s v="452_1"/>
    <s v="Corning_Woods"/>
    <x v="1"/>
    <s v="Acer"/>
    <s v="saccharum"/>
    <s v="Sapindaceae"/>
    <x v="2"/>
  </r>
  <r>
    <x v="1"/>
    <d v="2026-06-02T00:00:00"/>
    <x v="0"/>
    <n v="453"/>
    <x v="0"/>
    <n v="3.5"/>
    <s v="N/A"/>
    <m/>
    <s v="453_1"/>
    <s v="Corning_Woods"/>
    <x v="1"/>
    <s v="Acer"/>
    <s v="saccharum"/>
    <s v="Sapindaceae"/>
    <x v="2"/>
  </r>
  <r>
    <x v="1"/>
    <d v="2026-06-02T00:00:00"/>
    <x v="0"/>
    <n v="454"/>
    <x v="0"/>
    <n v="11.2"/>
    <s v="A"/>
    <s v="POM at 1.28m"/>
    <s v="454_1"/>
    <s v="Corning_Woods"/>
    <x v="1"/>
    <s v="Acer"/>
    <s v="saccharum"/>
    <s v="Sapindaceae"/>
    <x v="3"/>
  </r>
  <r>
    <x v="1"/>
    <d v="2026-06-02T00:00:00"/>
    <x v="1"/>
    <n v="455"/>
    <x v="0"/>
    <n v="4.4000000000000004"/>
    <s v="A,L"/>
    <s v="POM at 1.27m"/>
    <s v="455_1"/>
    <s v="Corning_Woods"/>
    <x v="1"/>
    <s v="Prunus"/>
    <s v="serotina"/>
    <s v="Rosaceae"/>
    <x v="2"/>
  </r>
  <r>
    <x v="1"/>
    <d v="2026-06-02T00:00:00"/>
    <x v="2"/>
    <n v="456"/>
    <x v="0"/>
    <n v="51.3"/>
    <s v="I"/>
    <m/>
    <s v="456_1"/>
    <s v="Corning_Woods"/>
    <x v="1"/>
    <s v="Acer"/>
    <s v="rubrum"/>
    <s v="Sapindaceae"/>
    <x v="4"/>
  </r>
  <r>
    <x v="1"/>
    <d v="2026-06-02T00:00:00"/>
    <x v="0"/>
    <n v="457"/>
    <x v="0"/>
    <n v="12.2"/>
    <s v="A"/>
    <s v="POM at 1.28m, knots around POM"/>
    <s v="457_1"/>
    <s v="Corning_Woods"/>
    <x v="1"/>
    <s v="Acer"/>
    <s v="saccharum"/>
    <s v="Sapindaceae"/>
    <x v="3"/>
  </r>
  <r>
    <x v="1"/>
    <d v="2026-06-02T00:00:00"/>
    <x v="0"/>
    <n v="458"/>
    <x v="0"/>
    <n v="9.5"/>
    <s v="L"/>
    <s v="large dead stem"/>
    <s v="458_1"/>
    <s v="Corning_Woods"/>
    <x v="1"/>
    <s v="Acer"/>
    <s v="saccharum"/>
    <s v="Sapindaceae"/>
    <x v="5"/>
  </r>
  <r>
    <x v="1"/>
    <d v="2026-06-02T00:00:00"/>
    <x v="7"/>
    <n v="459"/>
    <x v="0"/>
    <n v="4.2"/>
    <s v="L"/>
    <m/>
    <s v="459_1"/>
    <s v="Corning_Woods"/>
    <x v="1"/>
    <s v="Fagus"/>
    <s v="grandifolia"/>
    <s v="Fagaceae"/>
    <x v="2"/>
  </r>
  <r>
    <x v="1"/>
    <d v="2026-06-02T00:00:00"/>
    <x v="0"/>
    <n v="460"/>
    <x v="0"/>
    <n v="30"/>
    <s v="L"/>
    <m/>
    <s v="460_1"/>
    <s v="Corning_Woods"/>
    <x v="1"/>
    <s v="Acer"/>
    <s v="saccharum"/>
    <s v="Sapindaceae"/>
    <x v="0"/>
  </r>
  <r>
    <x v="1"/>
    <d v="2026-06-02T00:00:00"/>
    <x v="7"/>
    <n v="461"/>
    <x v="0"/>
    <n v="2"/>
    <s v="L"/>
    <m/>
    <s v="461_1"/>
    <s v="Corning_Woods"/>
    <x v="1"/>
    <s v="Fagus"/>
    <s v="grandifolia"/>
    <s v="Fagaceae"/>
    <x v="2"/>
  </r>
  <r>
    <x v="1"/>
    <d v="2026-06-02T00:00:00"/>
    <x v="0"/>
    <n v="462"/>
    <x v="0"/>
    <n v="4.0999999999999996"/>
    <s v="W"/>
    <s v="dead branch below POM"/>
    <s v="462_1"/>
    <s v="Corning_Woods"/>
    <x v="1"/>
    <s v="Acer"/>
    <s v="saccharum"/>
    <s v="Sapindaceae"/>
    <x v="2"/>
  </r>
  <r>
    <x v="1"/>
    <d v="2026-06-02T00:00:00"/>
    <x v="0"/>
    <n v="463"/>
    <x v="0"/>
    <n v="4.0999999999999996"/>
    <s v="B"/>
    <s v="Broken stem above POM"/>
    <s v="463_1"/>
    <s v="Corning_Woods"/>
    <x v="1"/>
    <s v="Acer"/>
    <s v="saccharum"/>
    <s v="Sapindaceae"/>
    <x v="2"/>
  </r>
  <r>
    <x v="1"/>
    <d v="2026-06-02T00:00:00"/>
    <x v="0"/>
    <n v="464"/>
    <x v="0"/>
    <n v="19"/>
    <s v="N/A"/>
    <m/>
    <s v="464_1"/>
    <s v="Corning_Woods"/>
    <x v="1"/>
    <s v="Acer"/>
    <s v="saccharum"/>
    <s v="Sapindaceae"/>
    <x v="3"/>
  </r>
  <r>
    <x v="1"/>
    <d v="2026-06-02T00:00:00"/>
    <x v="0"/>
    <n v="465"/>
    <x v="0"/>
    <n v="4.9000000000000004"/>
    <s v="L"/>
    <s v="slight lean"/>
    <s v="465_1"/>
    <s v="Corning_Woods"/>
    <x v="1"/>
    <s v="Acer"/>
    <s v="saccharum"/>
    <s v="Sapindaceae"/>
    <x v="2"/>
  </r>
  <r>
    <x v="1"/>
    <d v="2026-06-02T00:00:00"/>
    <x v="0"/>
    <n v="466"/>
    <x v="0"/>
    <n v="6.8"/>
    <s v="A"/>
    <s v="POM at 1.26m"/>
    <s v="466_1"/>
    <s v="Corning_Woods"/>
    <x v="1"/>
    <s v="Acer"/>
    <s v="saccharum"/>
    <s v="Sapindaceae"/>
    <x v="5"/>
  </r>
  <r>
    <x v="1"/>
    <d v="2026-06-02T00:00:00"/>
    <x v="0"/>
    <n v="467"/>
    <x v="0"/>
    <n v="51.1"/>
    <s v="L,I"/>
    <s v="holes and divot at POM"/>
    <s v="467_1"/>
    <s v="Corning_Woods"/>
    <x v="1"/>
    <s v="Acer"/>
    <s v="saccharum"/>
    <s v="Sapindaceae"/>
    <x v="4"/>
  </r>
  <r>
    <x v="1"/>
    <d v="2026-06-02T00:00:00"/>
    <x v="0"/>
    <n v="468"/>
    <x v="0"/>
    <n v="5.2"/>
    <s v="N/A"/>
    <m/>
    <s v="468_1"/>
    <s v="Corning_Woods"/>
    <x v="1"/>
    <s v="Acer"/>
    <s v="saccharum"/>
    <s v="Sapindaceae"/>
    <x v="5"/>
  </r>
  <r>
    <x v="1"/>
    <d v="2026-06-02T00:00:00"/>
    <x v="0"/>
    <n v="469"/>
    <x v="0"/>
    <n v="5.9"/>
    <s v="L,A"/>
    <s v="POM at 1.03m"/>
    <s v="469_1"/>
    <s v="Corning_Woods"/>
    <x v="1"/>
    <s v="Acer"/>
    <s v="saccharum"/>
    <s v="Sapindaceae"/>
    <x v="5"/>
  </r>
  <r>
    <x v="1"/>
    <d v="2026-06-02T00:00:00"/>
    <x v="0"/>
    <n v="470"/>
    <x v="0"/>
    <n v="1.8"/>
    <s v="N/A"/>
    <m/>
    <s v="470_1"/>
    <s v="Corning_Woods"/>
    <x v="1"/>
    <s v="Acer"/>
    <s v="saccharum"/>
    <s v="Sapindaceae"/>
    <x v="2"/>
  </r>
  <r>
    <x v="1"/>
    <d v="2026-06-03T00:00:00"/>
    <x v="0"/>
    <n v="471"/>
    <x v="0"/>
    <n v="2.2000000000000002"/>
    <s v="A"/>
    <s v="POM at 1.28m"/>
    <s v="471_1"/>
    <s v="Corning_Woods"/>
    <x v="1"/>
    <s v="Acer"/>
    <s v="saccharum"/>
    <s v="Sapindaceae"/>
    <x v="2"/>
  </r>
  <r>
    <x v="1"/>
    <d v="2026-06-03T00:00:00"/>
    <x v="0"/>
    <n v="472"/>
    <x v="0"/>
    <n v="6.5"/>
    <s v="N/A"/>
    <m/>
    <s v="472_1"/>
    <s v="Corning_Woods"/>
    <x v="1"/>
    <s v="Acer"/>
    <s v="saccharum"/>
    <s v="Sapindaceae"/>
    <x v="5"/>
  </r>
  <r>
    <x v="1"/>
    <d v="2026-06-03T00:00:00"/>
    <x v="0"/>
    <n v="473"/>
    <x v="0"/>
    <n v="5"/>
    <s v="L"/>
    <m/>
    <s v="473_1"/>
    <s v="Corning_Woods"/>
    <x v="1"/>
    <s v="Acer"/>
    <s v="saccharum"/>
    <s v="Sapindaceae"/>
    <x v="2"/>
  </r>
  <r>
    <x v="1"/>
    <d v="2026-06-03T00:00:00"/>
    <x v="0"/>
    <n v="474"/>
    <x v="0"/>
    <n v="1.5"/>
    <s v="L"/>
    <m/>
    <s v="474_1"/>
    <s v="Corning_Woods"/>
    <x v="1"/>
    <s v="Acer"/>
    <s v="saccharum"/>
    <s v="Sapindaceae"/>
    <x v="2"/>
  </r>
  <r>
    <x v="1"/>
    <d v="2026-06-03T00:00:00"/>
    <x v="0"/>
    <n v="475"/>
    <x v="0"/>
    <n v="1.3"/>
    <s v="L"/>
    <m/>
    <s v="475_1"/>
    <s v="Corning_Woods"/>
    <x v="1"/>
    <s v="Acer"/>
    <s v="saccharum"/>
    <s v="Sapindaceae"/>
    <x v="2"/>
  </r>
  <r>
    <x v="1"/>
    <d v="2026-06-03T00:00:00"/>
    <x v="0"/>
    <n v="476"/>
    <x v="0"/>
    <n v="4.2"/>
    <s v="L"/>
    <s v="slight lean"/>
    <s v="476_1"/>
    <s v="Corning_Woods"/>
    <x v="1"/>
    <s v="Acer"/>
    <s v="saccharum"/>
    <s v="Sapindaceae"/>
    <x v="2"/>
  </r>
  <r>
    <x v="1"/>
    <d v="2026-06-03T00:00:00"/>
    <x v="0"/>
    <n v="477"/>
    <x v="0"/>
    <n v="3.1"/>
    <s v="N/A"/>
    <m/>
    <s v="477_1"/>
    <s v="Corning_Woods"/>
    <x v="1"/>
    <s v="Acer"/>
    <s v="saccharum"/>
    <s v="Sapindaceae"/>
    <x v="2"/>
  </r>
  <r>
    <x v="1"/>
    <d v="2026-06-03T00:00:00"/>
    <x v="0"/>
    <n v="478"/>
    <x v="0"/>
    <n v="1.1000000000000001"/>
    <s v="L"/>
    <m/>
    <s v="478_1"/>
    <s v="Corning_Woods"/>
    <x v="1"/>
    <s v="Acer"/>
    <s v="saccharum"/>
    <s v="Sapindaceae"/>
    <x v="2"/>
  </r>
  <r>
    <x v="1"/>
    <d v="2026-06-03T00:00:00"/>
    <x v="0"/>
    <n v="479"/>
    <x v="0"/>
    <n v="1.5"/>
    <s v="L"/>
    <m/>
    <s v="479_1"/>
    <s v="Corning_Woods"/>
    <x v="1"/>
    <s v="Acer"/>
    <s v="saccharum"/>
    <s v="Sapindaceae"/>
    <x v="2"/>
  </r>
  <r>
    <x v="1"/>
    <d v="2026-06-03T00:00:00"/>
    <x v="0"/>
    <n v="480"/>
    <x v="0"/>
    <n v="1.5"/>
    <s v="L"/>
    <m/>
    <s v="480_1"/>
    <s v="Corning_Woods"/>
    <x v="1"/>
    <s v="Acer"/>
    <s v="saccharum"/>
    <s v="Sapindaceae"/>
    <x v="2"/>
  </r>
  <r>
    <x v="1"/>
    <d v="2026-06-03T00:00:00"/>
    <x v="0"/>
    <n v="481"/>
    <x v="0"/>
    <n v="3.6"/>
    <s v="A"/>
    <s v="POM at 1.25m"/>
    <s v="481_1"/>
    <s v="Corning_Woods"/>
    <x v="1"/>
    <s v="Acer"/>
    <s v="saccharum"/>
    <s v="Sapindaceae"/>
    <x v="2"/>
  </r>
  <r>
    <x v="1"/>
    <d v="2026-06-03T00:00:00"/>
    <x v="0"/>
    <n v="482"/>
    <x v="0"/>
    <n v="56.4"/>
    <s v="N/A"/>
    <m/>
    <s v="482_1"/>
    <s v="Corning_Woods"/>
    <x v="1"/>
    <s v="Acer"/>
    <s v="saccharum"/>
    <s v="Sapindaceae"/>
    <x v="4"/>
  </r>
  <r>
    <x v="1"/>
    <d v="2026-06-03T00:00:00"/>
    <x v="2"/>
    <n v="483"/>
    <x v="0"/>
    <n v="6.2"/>
    <s v="P,X,A"/>
    <s v="soft measure used, POM at 1.28m"/>
    <s v="483_1"/>
    <s v="Corning_Woods"/>
    <x v="1"/>
    <s v="Acer"/>
    <s v="rubrum"/>
    <s v="Sapindaceae"/>
    <x v="5"/>
  </r>
  <r>
    <x v="1"/>
    <d v="2026-06-03T00:00:00"/>
    <x v="0"/>
    <n v="484"/>
    <x v="0"/>
    <n v="2.8"/>
    <s v="L"/>
    <m/>
    <s v="484_1"/>
    <s v="Corning_Woods"/>
    <x v="1"/>
    <s v="Acer"/>
    <s v="saccharum"/>
    <s v="Sapindaceae"/>
    <x v="2"/>
  </r>
  <r>
    <x v="1"/>
    <d v="2026-06-03T00:00:00"/>
    <x v="0"/>
    <n v="485"/>
    <x v="0"/>
    <n v="3.8"/>
    <s v="L,A"/>
    <s v="slight lean, POM at 1.26m"/>
    <s v="485_1"/>
    <s v="Corning_Woods"/>
    <x v="1"/>
    <s v="Acer"/>
    <s v="saccharum"/>
    <s v="Sapindaceae"/>
    <x v="2"/>
  </r>
  <r>
    <x v="1"/>
    <d v="2026-06-03T00:00:00"/>
    <x v="0"/>
    <n v="486"/>
    <x v="0"/>
    <n v="5.3"/>
    <s v="L"/>
    <m/>
    <s v="486_1"/>
    <s v="Corning_Woods"/>
    <x v="1"/>
    <s v="Acer"/>
    <s v="saccharum"/>
    <s v="Sapindaceae"/>
    <x v="5"/>
  </r>
  <r>
    <x v="1"/>
    <d v="2026-06-03T00:00:00"/>
    <x v="0"/>
    <n v="487"/>
    <x v="0"/>
    <n v="3"/>
    <s v="L,A"/>
    <s v="very curved, multi stem with other stem dead, POM at 1.28m"/>
    <s v="487_1"/>
    <s v="Corning_Woods"/>
    <x v="1"/>
    <s v="Acer"/>
    <s v="saccharum"/>
    <s v="Sapindaceae"/>
    <x v="2"/>
  </r>
  <r>
    <x v="1"/>
    <d v="2026-06-03T00:00:00"/>
    <x v="0"/>
    <n v="488"/>
    <x v="0"/>
    <n v="2.7"/>
    <s v="A"/>
    <s v="POM at 1.28m"/>
    <s v="488_1"/>
    <s v="Corning_Woods"/>
    <x v="1"/>
    <s v="Acer"/>
    <s v="saccharum"/>
    <s v="Sapindaceae"/>
    <x v="2"/>
  </r>
  <r>
    <x v="1"/>
    <d v="2026-06-03T00:00:00"/>
    <x v="0"/>
    <n v="489"/>
    <x v="0"/>
    <n v="4.9000000000000004"/>
    <s v="N/A"/>
    <s v="soft measure used"/>
    <s v="489_1"/>
    <s v="Corning_Woods"/>
    <x v="1"/>
    <s v="Acer"/>
    <s v="saccharum"/>
    <s v="Sapindaceae"/>
    <x v="2"/>
  </r>
  <r>
    <x v="1"/>
    <d v="2026-06-03T00:00:00"/>
    <x v="0"/>
    <n v="490"/>
    <x v="0"/>
    <n v="11.1"/>
    <s v="A"/>
    <s v="POM at 1.25m"/>
    <s v="490_1"/>
    <s v="Corning_Woods"/>
    <x v="1"/>
    <s v="Acer"/>
    <s v="saccharum"/>
    <s v="Sapindaceae"/>
    <x v="3"/>
  </r>
  <r>
    <x v="1"/>
    <d v="2026-06-03T00:00:00"/>
    <x v="0"/>
    <n v="491"/>
    <x v="0"/>
    <n v="3.9"/>
    <s v="N/A"/>
    <m/>
    <s v="491_1"/>
    <s v="Corning_Woods"/>
    <x v="1"/>
    <s v="Acer"/>
    <s v="saccharum"/>
    <s v="Sapindaceae"/>
    <x v="2"/>
  </r>
  <r>
    <x v="1"/>
    <d v="2026-06-03T00:00:00"/>
    <x v="0"/>
    <n v="492"/>
    <x v="0"/>
    <n v="2.2999999999999998"/>
    <s v="L"/>
    <m/>
    <s v="492_1"/>
    <s v="Corning_Woods"/>
    <x v="1"/>
    <s v="Acer"/>
    <s v="saccharum"/>
    <s v="Sapindaceae"/>
    <x v="2"/>
  </r>
  <r>
    <x v="1"/>
    <d v="2026-06-03T00:00:00"/>
    <x v="2"/>
    <n v="493"/>
    <x v="0"/>
    <n v="8.3000000000000007"/>
    <s v="B"/>
    <m/>
    <s v="493_1"/>
    <s v="Corning_Woods"/>
    <x v="1"/>
    <s v="Acer"/>
    <s v="rubrum"/>
    <s v="Sapindaceae"/>
    <x v="5"/>
  </r>
  <r>
    <x v="1"/>
    <d v="2026-06-03T00:00:00"/>
    <x v="7"/>
    <n v="494"/>
    <x v="0"/>
    <n v="1.7"/>
    <s v="L"/>
    <m/>
    <s v="494_1"/>
    <s v="Corning_Woods"/>
    <x v="1"/>
    <s v="Fagus"/>
    <s v="grandifolia"/>
    <s v="Fagaceae"/>
    <x v="2"/>
  </r>
  <r>
    <x v="1"/>
    <d v="2026-06-03T00:00:00"/>
    <x v="7"/>
    <n v="495"/>
    <x v="0"/>
    <n v="6.6"/>
    <s v="L"/>
    <m/>
    <s v="495_1"/>
    <s v="Corning_Woods"/>
    <x v="1"/>
    <s v="Fagus"/>
    <s v="grandifolia"/>
    <s v="Fagaceae"/>
    <x v="5"/>
  </r>
  <r>
    <x v="1"/>
    <d v="2026-06-03T00:00:00"/>
    <x v="7"/>
    <n v="496"/>
    <x v="0"/>
    <n v="7.8"/>
    <s v="L"/>
    <s v="tag fell to base"/>
    <s v="496_1"/>
    <s v="Corning_Woods"/>
    <x v="1"/>
    <s v="Fagus"/>
    <s v="grandifolia"/>
    <s v="Fagaceae"/>
    <x v="5"/>
  </r>
  <r>
    <x v="1"/>
    <d v="2026-06-03T00:00:00"/>
    <x v="7"/>
    <n v="497"/>
    <x v="0"/>
    <n v="12.5"/>
    <s v="B,L,A"/>
    <s v="POM at 1.21m"/>
    <s v="497_1"/>
    <s v="Corning_Woods"/>
    <x v="1"/>
    <s v="Fagus"/>
    <s v="grandifolia"/>
    <s v="Fagaceae"/>
    <x v="3"/>
  </r>
  <r>
    <x v="1"/>
    <d v="2026-06-03T00:00:00"/>
    <x v="13"/>
    <n v="498"/>
    <x v="0"/>
    <n v="106.2"/>
    <s v="L"/>
    <m/>
    <s v="498_1"/>
    <s v="Corning_Woods"/>
    <x v="1"/>
    <s v="Quercus"/>
    <s v="alba"/>
    <s v="Fagaceae"/>
    <x v="4"/>
  </r>
  <r>
    <x v="1"/>
    <d v="2026-06-03T00:00:00"/>
    <x v="0"/>
    <n v="499"/>
    <x v="0"/>
    <n v="25.3"/>
    <s v="L"/>
    <m/>
    <s v="499_1"/>
    <s v="Corning_Woods"/>
    <x v="1"/>
    <s v="Acer"/>
    <s v="saccharum"/>
    <s v="Sapindaceae"/>
    <x v="0"/>
  </r>
  <r>
    <x v="1"/>
    <d v="2026-06-03T00:00:00"/>
    <x v="7"/>
    <n v="500"/>
    <x v="0"/>
    <n v="7.6"/>
    <s v="L"/>
    <m/>
    <s v="500_1"/>
    <s v="Corning_Woods"/>
    <x v="1"/>
    <s v="Fagus"/>
    <s v="grandifolia"/>
    <s v="Fagaceae"/>
    <x v="5"/>
  </r>
  <r>
    <x v="1"/>
    <d v="2026-06-03T00:00:00"/>
    <x v="7"/>
    <n v="501"/>
    <x v="0"/>
    <n v="9.6"/>
    <s v="A"/>
    <s v="POM at 1.28m"/>
    <s v="501_1"/>
    <s v="Corning_Woods"/>
    <x v="1"/>
    <s v="Fagus"/>
    <s v="grandifolia"/>
    <s v="Fagaceae"/>
    <x v="5"/>
  </r>
  <r>
    <x v="1"/>
    <d v="2026-06-03T00:00:00"/>
    <x v="7"/>
    <n v="502"/>
    <x v="0"/>
    <n v="2.2000000000000002"/>
    <s v="M"/>
    <s v="soft measure used"/>
    <s v="502_1"/>
    <s v="Corning_Woods"/>
    <x v="1"/>
    <s v="Fagus"/>
    <s v="grandifolia"/>
    <s v="Fagaceae"/>
    <x v="2"/>
  </r>
  <r>
    <x v="1"/>
    <d v="2026-06-03T00:00:00"/>
    <x v="7"/>
    <n v="502"/>
    <x v="1"/>
    <n v="1.2"/>
    <s v="M"/>
    <s v="soft measure used"/>
    <s v="502_2"/>
    <s v="Corning_Woods"/>
    <x v="1"/>
    <s v="Fagus"/>
    <s v="grandifolia"/>
    <s v="Fagaceae"/>
    <x v="2"/>
  </r>
  <r>
    <x v="1"/>
    <d v="2026-06-03T00:00:00"/>
    <x v="7"/>
    <n v="503"/>
    <x v="0"/>
    <n v="4.4000000000000004"/>
    <s v="L,A"/>
    <s v="POM at 1.28m"/>
    <s v="503_1"/>
    <s v="Corning_Woods"/>
    <x v="1"/>
    <s v="Fagus"/>
    <s v="grandifolia"/>
    <s v="Fagaceae"/>
    <x v="2"/>
  </r>
  <r>
    <x v="1"/>
    <d v="2026-06-03T00:00:00"/>
    <x v="0"/>
    <n v="504"/>
    <x v="0"/>
    <n v="21.5"/>
    <s v="L"/>
    <m/>
    <s v="504_1"/>
    <s v="Corning_Woods"/>
    <x v="1"/>
    <s v="Acer"/>
    <s v="saccharum"/>
    <s v="Sapindaceae"/>
    <x v="0"/>
  </r>
  <r>
    <x v="1"/>
    <d v="2026-06-03T00:00:00"/>
    <x v="7"/>
    <n v="505"/>
    <x v="0"/>
    <n v="10.1"/>
    <s v="M"/>
    <s v="tag on N Side"/>
    <s v="505_1"/>
    <s v="Corning_Woods"/>
    <x v="1"/>
    <s v="Fagus"/>
    <s v="grandifolia"/>
    <s v="Fagaceae"/>
    <x v="3"/>
  </r>
  <r>
    <x v="1"/>
    <d v="2026-06-03T00:00:00"/>
    <x v="7"/>
    <n v="505"/>
    <x v="1"/>
    <n v="3.7"/>
    <s v="M"/>
    <s v="soft measure used"/>
    <s v="505_2"/>
    <s v="Corning_Woods"/>
    <x v="1"/>
    <s v="Fagus"/>
    <s v="grandifolia"/>
    <s v="Fagaceae"/>
    <x v="2"/>
  </r>
  <r>
    <x v="1"/>
    <d v="2026-06-03T00:00:00"/>
    <x v="0"/>
    <n v="506"/>
    <x v="0"/>
    <n v="14.1"/>
    <s v="L"/>
    <m/>
    <s v="506_1"/>
    <s v="Corning_Woods"/>
    <x v="1"/>
    <s v="Acer"/>
    <s v="saccharum"/>
    <s v="Sapindaceae"/>
    <x v="3"/>
  </r>
  <r>
    <x v="1"/>
    <d v="2026-06-03T00:00:00"/>
    <x v="0"/>
    <n v="507"/>
    <x v="0"/>
    <n v="7.8"/>
    <s v="N/A"/>
    <m/>
    <s v="507_1"/>
    <s v="Corning_Woods"/>
    <x v="1"/>
    <s v="Acer"/>
    <s v="saccharum"/>
    <s v="Sapindaceae"/>
    <x v="5"/>
  </r>
  <r>
    <x v="1"/>
    <d v="2026-06-03T00:00:00"/>
    <x v="2"/>
    <n v="508"/>
    <x v="0"/>
    <n v="12.8"/>
    <s v="L"/>
    <m/>
    <s v="508_1"/>
    <s v="Corning_Woods"/>
    <x v="1"/>
    <s v="Acer"/>
    <s v="rubrum"/>
    <s v="Sapindaceae"/>
    <x v="3"/>
  </r>
  <r>
    <x v="1"/>
    <d v="2026-06-03T00:00:00"/>
    <x v="0"/>
    <n v="509"/>
    <x v="0"/>
    <n v="5.5"/>
    <s v="N/A"/>
    <m/>
    <s v="509_1"/>
    <s v="Corning_Woods"/>
    <x v="1"/>
    <s v="Acer"/>
    <s v="saccharum"/>
    <s v="Sapindaceae"/>
    <x v="5"/>
  </r>
  <r>
    <x v="1"/>
    <d v="2026-06-03T00:00:00"/>
    <x v="0"/>
    <n v="510"/>
    <x v="0"/>
    <n v="11"/>
    <s v="L"/>
    <m/>
    <s v="510_1"/>
    <s v="Corning_Woods"/>
    <x v="1"/>
    <s v="Acer"/>
    <s v="saccharum"/>
    <s v="Sapindaceae"/>
    <x v="3"/>
  </r>
  <r>
    <x v="1"/>
    <d v="2026-06-03T00:00:00"/>
    <x v="0"/>
    <n v="511"/>
    <x v="0"/>
    <n v="5.9"/>
    <s v="L"/>
    <m/>
    <s v="511_1"/>
    <s v="Corning_Woods"/>
    <x v="1"/>
    <s v="Acer"/>
    <s v="saccharum"/>
    <s v="Sapindaceae"/>
    <x v="5"/>
  </r>
  <r>
    <x v="1"/>
    <d v="2026-06-03T00:00:00"/>
    <x v="0"/>
    <n v="512"/>
    <x v="0"/>
    <n v="7.7"/>
    <s v="L"/>
    <m/>
    <s v="512_1"/>
    <s v="Corning_Woods"/>
    <x v="1"/>
    <s v="Acer"/>
    <s v="saccharum"/>
    <s v="Sapindaceae"/>
    <x v="5"/>
  </r>
  <r>
    <x v="1"/>
    <d v="2026-06-03T00:00:00"/>
    <x v="0"/>
    <n v="513"/>
    <x v="0"/>
    <n v="2.7"/>
    <s v="L,A"/>
    <s v="POM at 1.28m"/>
    <s v="513_1"/>
    <s v="Corning_Woods"/>
    <x v="1"/>
    <s v="Acer"/>
    <s v="saccharum"/>
    <s v="Sapindaceae"/>
    <x v="2"/>
  </r>
  <r>
    <x v="1"/>
    <d v="2026-06-03T00:00:00"/>
    <x v="0"/>
    <n v="514"/>
    <x v="0"/>
    <n v="10.9"/>
    <s v="L,B"/>
    <m/>
    <s v="514_1"/>
    <s v="Corning_Woods"/>
    <x v="1"/>
    <s v="Acer"/>
    <s v="saccharum"/>
    <s v="Sapindaceae"/>
    <x v="3"/>
  </r>
  <r>
    <x v="1"/>
    <d v="2026-06-03T00:00:00"/>
    <x v="0"/>
    <n v="515"/>
    <x v="0"/>
    <n v="59.6"/>
    <s v="L"/>
    <m/>
    <s v="515_1"/>
    <s v="Corning_Woods"/>
    <x v="1"/>
    <s v="Acer"/>
    <s v="saccharum"/>
    <s v="Sapindaceae"/>
    <x v="4"/>
  </r>
  <r>
    <x v="1"/>
    <d v="2026-06-03T00:00:00"/>
    <x v="0"/>
    <n v="516"/>
    <x v="0"/>
    <n v="8.1"/>
    <s v="N/A"/>
    <m/>
    <s v="516_1"/>
    <s v="Corning_Woods"/>
    <x v="1"/>
    <s v="Acer"/>
    <s v="saccharum"/>
    <s v="Sapindaceae"/>
    <x v="5"/>
  </r>
  <r>
    <x v="1"/>
    <d v="2026-06-03T00:00:00"/>
    <x v="2"/>
    <n v="517"/>
    <x v="0"/>
    <n v="13.1"/>
    <s v="L"/>
    <m/>
    <s v="517_1"/>
    <s v="Corning_Woods"/>
    <x v="1"/>
    <s v="Acer"/>
    <s v="rubrum"/>
    <s v="Sapindaceae"/>
    <x v="3"/>
  </r>
  <r>
    <x v="1"/>
    <d v="2026-06-03T00:00:00"/>
    <x v="0"/>
    <n v="518"/>
    <x v="0"/>
    <n v="2.2999999999999998"/>
    <s v="L"/>
    <m/>
    <s v="518_1"/>
    <s v="Corning_Woods"/>
    <x v="1"/>
    <s v="Acer"/>
    <s v="saccharum"/>
    <s v="Sapindaceae"/>
    <x v="2"/>
  </r>
  <r>
    <x v="1"/>
    <d v="2026-06-03T00:00:00"/>
    <x v="1"/>
    <n v="519"/>
    <x v="0"/>
    <n v="8.6"/>
    <s v="L,A"/>
    <s v="POM at 1.26m"/>
    <s v="519_1"/>
    <s v="Corning_Woods"/>
    <x v="1"/>
    <s v="Prunus"/>
    <s v="serotina"/>
    <s v="Rosaceae"/>
    <x v="5"/>
  </r>
  <r>
    <x v="1"/>
    <d v="2026-06-03T00:00:00"/>
    <x v="1"/>
    <n v="520"/>
    <x v="0"/>
    <n v="8.5"/>
    <s v="L,A"/>
    <s v="mostly dead, but signgs of life, soft measure used, POM at 1.27m"/>
    <s v="520_1"/>
    <s v="Corning_Woods"/>
    <x v="1"/>
    <s v="Prunus"/>
    <s v="serotina"/>
    <s v="Rosaceae"/>
    <x v="5"/>
  </r>
  <r>
    <x v="1"/>
    <d v="2026-06-03T00:00:00"/>
    <x v="0"/>
    <n v="521"/>
    <x v="0"/>
    <n v="3.5"/>
    <s v="N/A"/>
    <m/>
    <s v="521_1"/>
    <s v="Corning_Woods"/>
    <x v="1"/>
    <s v="Acer"/>
    <s v="saccharum"/>
    <s v="Sapindaceae"/>
    <x v="2"/>
  </r>
  <r>
    <x v="1"/>
    <d v="2026-06-03T00:00:00"/>
    <x v="0"/>
    <n v="522"/>
    <x v="0"/>
    <n v="11.6"/>
    <s v="L"/>
    <m/>
    <s v="522_1"/>
    <s v="Corning_Woods"/>
    <x v="1"/>
    <s v="Acer"/>
    <s v="saccharum"/>
    <s v="Sapindaceae"/>
    <x v="3"/>
  </r>
  <r>
    <x v="1"/>
    <d v="2026-06-03T00:00:00"/>
    <x v="0"/>
    <n v="523"/>
    <x v="0"/>
    <n v="3.1"/>
    <s v="L"/>
    <m/>
    <s v="523_1"/>
    <s v="Corning_Woods"/>
    <x v="1"/>
    <s v="Acer"/>
    <s v="saccharum"/>
    <s v="Sapindaceae"/>
    <x v="2"/>
  </r>
  <r>
    <x v="1"/>
    <d v="2026-06-03T00:00:00"/>
    <x v="0"/>
    <n v="524"/>
    <x v="0"/>
    <n v="3.4"/>
    <s v="L"/>
    <s v="dying"/>
    <s v="524_1"/>
    <s v="Corning_Woods"/>
    <x v="1"/>
    <s v="Acer"/>
    <s v="saccharum"/>
    <s v="Sapindaceae"/>
    <x v="2"/>
  </r>
  <r>
    <x v="1"/>
    <d v="2026-06-03T00:00:00"/>
    <x v="7"/>
    <n v="525"/>
    <x v="0"/>
    <n v="3.2"/>
    <s v="W"/>
    <s v="dying, soft measure used"/>
    <s v="525_1"/>
    <s v="Corning_Woods"/>
    <x v="1"/>
    <s v="Fagus"/>
    <s v="grandifolia"/>
    <s v="Fagaceae"/>
    <x v="2"/>
  </r>
  <r>
    <x v="1"/>
    <d v="2026-06-03T00:00:00"/>
    <x v="0"/>
    <n v="526"/>
    <x v="0"/>
    <n v="2.7"/>
    <s v="L"/>
    <m/>
    <s v="526_1"/>
    <s v="Corning_Woods"/>
    <x v="1"/>
    <s v="Acer"/>
    <s v="saccharum"/>
    <s v="Sapindaceae"/>
    <x v="2"/>
  </r>
  <r>
    <x v="1"/>
    <d v="2026-06-03T00:00:00"/>
    <x v="0"/>
    <n v="527"/>
    <x v="0"/>
    <n v="24.9"/>
    <s v="L"/>
    <m/>
    <s v="527_1"/>
    <s v="Corning_Woods"/>
    <x v="1"/>
    <s v="Acer"/>
    <s v="saccharum"/>
    <s v="Sapindaceae"/>
    <x v="0"/>
  </r>
  <r>
    <x v="1"/>
    <d v="2026-06-03T00:00:00"/>
    <x v="7"/>
    <n v="528"/>
    <x v="0"/>
    <n v="18.600000000000001"/>
    <s v="L"/>
    <m/>
    <s v="528_1"/>
    <s v="Corning_Woods"/>
    <x v="1"/>
    <s v="Fagus"/>
    <s v="grandifolia"/>
    <s v="Fagaceae"/>
    <x v="3"/>
  </r>
  <r>
    <x v="1"/>
    <d v="2026-06-03T00:00:00"/>
    <x v="10"/>
    <n v="529"/>
    <x v="0"/>
    <n v="93.6"/>
    <s v="N/A"/>
    <m/>
    <s v="529_1"/>
    <s v="Corning_Woods"/>
    <x v="1"/>
    <s v="Quercus"/>
    <s v="rubra"/>
    <s v="Fagaceae"/>
    <x v="4"/>
  </r>
  <r>
    <x v="1"/>
    <d v="2026-06-03T00:00:00"/>
    <x v="0"/>
    <n v="530"/>
    <x v="0"/>
    <n v="2.2999999999999998"/>
    <s v="N/A"/>
    <m/>
    <s v="530_1"/>
    <s v="Corning_Woods"/>
    <x v="1"/>
    <s v="Acer"/>
    <s v="saccharum"/>
    <s v="Sapindaceae"/>
    <x v="2"/>
  </r>
  <r>
    <x v="1"/>
    <d v="2026-06-03T00:00:00"/>
    <x v="0"/>
    <n v="531"/>
    <x v="0"/>
    <n v="7.8"/>
    <s v="L"/>
    <m/>
    <s v="531_1"/>
    <s v="Corning_Woods"/>
    <x v="1"/>
    <s v="Acer"/>
    <s v="saccharum"/>
    <s v="Sapindaceae"/>
    <x v="5"/>
  </r>
  <r>
    <x v="1"/>
    <d v="2026-06-03T00:00:00"/>
    <x v="0"/>
    <n v="532"/>
    <x v="0"/>
    <n v="1.8"/>
    <s v="L"/>
    <m/>
    <s v="532_1"/>
    <s v="Corning_Woods"/>
    <x v="1"/>
    <s v="Acer"/>
    <s v="saccharum"/>
    <s v="Sapindaceae"/>
    <x v="2"/>
  </r>
  <r>
    <x v="1"/>
    <d v="2026-06-03T00:00:00"/>
    <x v="2"/>
    <n v="533"/>
    <x v="0"/>
    <n v="50.1"/>
    <s v="N/A"/>
    <m/>
    <s v="533_1"/>
    <s v="Corning_Woods"/>
    <x v="1"/>
    <s v="Acer"/>
    <s v="rubrum"/>
    <s v="Sapindaceae"/>
    <x v="4"/>
  </r>
  <r>
    <x v="1"/>
    <d v="2026-06-03T00:00:00"/>
    <x v="2"/>
    <n v="534"/>
    <x v="0"/>
    <n v="6.2"/>
    <s v="A"/>
    <s v="POM at 1.28m"/>
    <s v="534_1"/>
    <s v="Corning_Woods"/>
    <x v="1"/>
    <s v="Acer"/>
    <s v="rubrum"/>
    <s v="Sapindaceae"/>
    <x v="5"/>
  </r>
  <r>
    <x v="1"/>
    <d v="2026-06-03T00:00:00"/>
    <x v="0"/>
    <n v="535"/>
    <x v="0"/>
    <n v="2.7"/>
    <s v="L"/>
    <m/>
    <s v="535_1"/>
    <s v="Corning_Woods"/>
    <x v="1"/>
    <s v="Acer"/>
    <s v="saccharum"/>
    <s v="Sapindaceae"/>
    <x v="2"/>
  </r>
  <r>
    <x v="1"/>
    <d v="2026-06-03T00:00:00"/>
    <x v="0"/>
    <n v="536"/>
    <x v="0"/>
    <n v="2.5"/>
    <s v="L"/>
    <m/>
    <s v="536_1"/>
    <s v="Corning_Woods"/>
    <x v="1"/>
    <s v="Acer"/>
    <s v="saccharum"/>
    <s v="Sapindaceae"/>
    <x v="2"/>
  </r>
  <r>
    <x v="1"/>
    <d v="2026-06-03T00:00:00"/>
    <x v="0"/>
    <n v="537"/>
    <x v="0"/>
    <n v="1.9"/>
    <s v="L"/>
    <m/>
    <s v="537_1"/>
    <s v="Corning_Woods"/>
    <x v="1"/>
    <s v="Acer"/>
    <s v="saccharum"/>
    <s v="Sapindaceae"/>
    <x v="2"/>
  </r>
  <r>
    <x v="1"/>
    <d v="2026-06-03T00:00:00"/>
    <x v="0"/>
    <n v="538"/>
    <x v="0"/>
    <n v="4.3"/>
    <s v="N/A"/>
    <m/>
    <s v="538_1"/>
    <s v="Corning_Woods"/>
    <x v="1"/>
    <s v="Acer"/>
    <s v="saccharum"/>
    <s v="Sapindaceae"/>
    <x v="2"/>
  </r>
  <r>
    <x v="1"/>
    <d v="2026-06-03T00:00:00"/>
    <x v="0"/>
    <n v="539"/>
    <x v="0"/>
    <n v="23.8"/>
    <s v="N/A"/>
    <m/>
    <s v="539_1"/>
    <s v="Corning_Woods"/>
    <x v="1"/>
    <s v="Acer"/>
    <s v="saccharum"/>
    <s v="Sapindaceae"/>
    <x v="0"/>
  </r>
  <r>
    <x v="1"/>
    <d v="2026-06-03T00:00:00"/>
    <x v="1"/>
    <n v="540"/>
    <x v="0"/>
    <n v="43.7"/>
    <s v="L"/>
    <m/>
    <s v="540_1"/>
    <s v="Corning_Woods"/>
    <x v="1"/>
    <s v="Prunus"/>
    <s v="serotina"/>
    <s v="Rosaceae"/>
    <x v="1"/>
  </r>
  <r>
    <x v="1"/>
    <d v="2026-06-03T00:00:00"/>
    <x v="0"/>
    <n v="541"/>
    <x v="0"/>
    <n v="21.2"/>
    <s v="M,L"/>
    <m/>
    <s v="541_1"/>
    <s v="Corning_Woods"/>
    <x v="1"/>
    <s v="Acer"/>
    <s v="saccharum"/>
    <s v="Sapindaceae"/>
    <x v="0"/>
  </r>
  <r>
    <x v="1"/>
    <d v="2026-06-03T00:00:00"/>
    <x v="0"/>
    <n v="541"/>
    <x v="1"/>
    <n v="3.1"/>
    <s v="M,L,A"/>
    <s v="soft measure used, POM at 1.28m"/>
    <s v="541_2"/>
    <s v="Corning_Woods"/>
    <x v="1"/>
    <s v="Acer"/>
    <s v="saccharum"/>
    <s v="Sapindaceae"/>
    <x v="2"/>
  </r>
  <r>
    <x v="1"/>
    <d v="2026-06-03T00:00:00"/>
    <x v="8"/>
    <n v="542"/>
    <x v="0"/>
    <n v="4.9000000000000004"/>
    <s v="W,A"/>
    <s v="soft measure used, POM at 1.20m"/>
    <s v="542_1"/>
    <s v="Corning_Woods"/>
    <x v="1"/>
    <s v="Ostrya"/>
    <s v="viginiana"/>
    <s v="Betulaceae"/>
    <x v="2"/>
  </r>
  <r>
    <x v="1"/>
    <d v="2026-06-03T00:00:00"/>
    <x v="8"/>
    <n v="543"/>
    <x v="0"/>
    <n v="1.3"/>
    <s v="L"/>
    <m/>
    <s v="543_1"/>
    <s v="Corning_Woods"/>
    <x v="1"/>
    <s v="Ostrya"/>
    <s v="viginiana"/>
    <s v="Betulaceae"/>
    <x v="2"/>
  </r>
  <r>
    <x v="1"/>
    <d v="2026-06-03T00:00:00"/>
    <x v="8"/>
    <n v="544"/>
    <x v="0"/>
    <n v="2.8"/>
    <s v="L"/>
    <m/>
    <s v="544_1"/>
    <s v="Corning_Woods"/>
    <x v="1"/>
    <s v="Ostrya"/>
    <s v="viginiana"/>
    <s v="Betulaceae"/>
    <x v="2"/>
  </r>
  <r>
    <x v="1"/>
    <d v="2026-06-03T00:00:00"/>
    <x v="2"/>
    <n v="545"/>
    <x v="0"/>
    <n v="11.5"/>
    <s v="N/A"/>
    <m/>
    <s v="545_1"/>
    <s v="Corning_Woods"/>
    <x v="1"/>
    <s v="Acer"/>
    <s v="rubrum"/>
    <s v="Sapindaceae"/>
    <x v="3"/>
  </r>
  <r>
    <x v="1"/>
    <d v="2026-06-03T00:00:00"/>
    <x v="10"/>
    <n v="546"/>
    <x v="0"/>
    <n v="31.9"/>
    <s v="L"/>
    <m/>
    <s v="546_1"/>
    <s v="Corning_Woods"/>
    <x v="1"/>
    <s v="Quercus"/>
    <s v="rubra"/>
    <s v="Fagaceae"/>
    <x v="0"/>
  </r>
  <r>
    <x v="1"/>
    <d v="2026-06-03T00:00:00"/>
    <x v="9"/>
    <n v="547"/>
    <x v="0"/>
    <n v="32"/>
    <s v="N/A"/>
    <m/>
    <s v="547_1"/>
    <s v="Corning_Woods"/>
    <x v="1"/>
    <s v="Quercus"/>
    <s v="montana"/>
    <s v="Fagaceae"/>
    <x v="0"/>
  </r>
  <r>
    <x v="2"/>
    <d v="2026-06-03T00:00:00"/>
    <x v="0"/>
    <n v="548"/>
    <x v="0"/>
    <n v="2.8"/>
    <s v="B"/>
    <m/>
    <s v="548_1"/>
    <s v="Working_Woods"/>
    <x v="2"/>
    <s v="Acer"/>
    <s v="saccharum"/>
    <s v="Sapindaceae"/>
    <x v="2"/>
  </r>
  <r>
    <x v="2"/>
    <d v="2026-06-03T00:00:00"/>
    <x v="0"/>
    <n v="549"/>
    <x v="0"/>
    <n v="53.8"/>
    <s v="A"/>
    <s v="POM at 1.28m"/>
    <s v="549_1"/>
    <s v="Working_Woods"/>
    <x v="2"/>
    <s v="Acer"/>
    <s v="saccharum"/>
    <s v="Sapindaceae"/>
    <x v="4"/>
  </r>
  <r>
    <x v="2"/>
    <d v="2026-06-03T00:00:00"/>
    <x v="0"/>
    <n v="550"/>
    <x v="0"/>
    <n v="2.2000000000000002"/>
    <s v="N/A"/>
    <m/>
    <s v="550_1"/>
    <s v="Working_Woods"/>
    <x v="2"/>
    <s v="Acer"/>
    <s v="saccharum"/>
    <s v="Sapindaceae"/>
    <x v="2"/>
  </r>
  <r>
    <x v="2"/>
    <d v="2026-06-03T00:00:00"/>
    <x v="14"/>
    <n v="551"/>
    <x v="0"/>
    <n v="43"/>
    <s v="N/A"/>
    <m/>
    <s v="551_1"/>
    <s v="Working_Woods"/>
    <x v="2"/>
    <s v="Tilia"/>
    <s v="americana"/>
    <s v="Malvaceae"/>
    <x v="1"/>
  </r>
  <r>
    <x v="2"/>
    <d v="2026-06-03T00:00:00"/>
    <x v="0"/>
    <n v="552"/>
    <x v="0"/>
    <n v="7.2"/>
    <s v="N/A"/>
    <m/>
    <s v="552_1"/>
    <s v="Working_Woods"/>
    <x v="2"/>
    <s v="Acer"/>
    <s v="saccharum"/>
    <s v="Sapindaceae"/>
    <x v="5"/>
  </r>
  <r>
    <x v="2"/>
    <d v="2026-06-03T00:00:00"/>
    <x v="3"/>
    <n v="553"/>
    <x v="0"/>
    <n v="61"/>
    <s v="L,A"/>
    <m/>
    <s v="553_1"/>
    <s v="Working_Woods"/>
    <x v="2"/>
    <s v="Lirodendron"/>
    <s v="tulipfera"/>
    <s v="Magnoliaceae"/>
    <x v="4"/>
  </r>
  <r>
    <x v="2"/>
    <d v="2026-06-03T00:00:00"/>
    <x v="0"/>
    <n v="554"/>
    <x v="0"/>
    <n v="6.5"/>
    <s v="L"/>
    <m/>
    <s v="554_1"/>
    <s v="Working_Woods"/>
    <x v="2"/>
    <s v="Acer"/>
    <s v="saccharum"/>
    <s v="Sapindaceae"/>
    <x v="5"/>
  </r>
  <r>
    <x v="2"/>
    <d v="2026-06-03T00:00:00"/>
    <x v="0"/>
    <n v="555"/>
    <x v="0"/>
    <n v="5.4"/>
    <s v="L"/>
    <m/>
    <s v="555_1"/>
    <s v="Working_Woods"/>
    <x v="2"/>
    <s v="Acer"/>
    <s v="saccharum"/>
    <s v="Sapindaceae"/>
    <x v="5"/>
  </r>
  <r>
    <x v="2"/>
    <d v="2026-06-03T00:00:00"/>
    <x v="0"/>
    <n v="556"/>
    <x v="0"/>
    <n v="5.3"/>
    <s v="W,M"/>
    <s v="soft measure used"/>
    <s v="556_1"/>
    <s v="Working_Woods"/>
    <x v="2"/>
    <s v="Acer"/>
    <s v="saccharum"/>
    <s v="Sapindaceae"/>
    <x v="5"/>
  </r>
  <r>
    <x v="2"/>
    <d v="2026-06-03T00:00:00"/>
    <x v="0"/>
    <n v="556"/>
    <x v="1"/>
    <n v="1"/>
    <s v="W,M"/>
    <s v="soft measure used"/>
    <s v="556_2"/>
    <s v="Working_Woods"/>
    <x v="2"/>
    <s v="Acer"/>
    <s v="saccharum"/>
    <s v="Sapindaceae"/>
    <x v="2"/>
  </r>
  <r>
    <x v="2"/>
    <d v="2026-06-03T00:00:00"/>
    <x v="0"/>
    <n v="557"/>
    <x v="0"/>
    <n v="7.8"/>
    <s v="P"/>
    <s v="tagged higher than 1.4m"/>
    <s v="557_1"/>
    <s v="Working_Woods"/>
    <x v="2"/>
    <s v="Acer"/>
    <s v="saccharum"/>
    <s v="Sapindaceae"/>
    <x v="5"/>
  </r>
  <r>
    <x v="2"/>
    <d v="2026-06-03T00:00:00"/>
    <x v="0"/>
    <n v="558"/>
    <x v="0"/>
    <n v="4.2"/>
    <s v="N/A"/>
    <m/>
    <s v="558_1"/>
    <s v="Working_Woods"/>
    <x v="2"/>
    <s v="Acer"/>
    <s v="saccharum"/>
    <s v="Sapindaceae"/>
    <x v="2"/>
  </r>
  <r>
    <x v="2"/>
    <d v="2026-06-03T00:00:00"/>
    <x v="0"/>
    <n v="559"/>
    <x v="0"/>
    <n v="4.5999999999999996"/>
    <s v="L"/>
    <m/>
    <s v="559_1"/>
    <s v="Working_Woods"/>
    <x v="2"/>
    <s v="Acer"/>
    <s v="saccharum"/>
    <s v="Sapindaceae"/>
    <x v="2"/>
  </r>
  <r>
    <x v="2"/>
    <d v="2026-06-03T00:00:00"/>
    <x v="0"/>
    <n v="560"/>
    <x v="0"/>
    <n v="52.5"/>
    <s v="L"/>
    <m/>
    <s v="560_1"/>
    <s v="Working_Woods"/>
    <x v="2"/>
    <s v="Acer"/>
    <s v="saccharum"/>
    <s v="Sapindaceae"/>
    <x v="4"/>
  </r>
  <r>
    <x v="2"/>
    <d v="2026-06-03T00:00:00"/>
    <x v="0"/>
    <n v="561"/>
    <x v="0"/>
    <n v="46"/>
    <s v="N/A"/>
    <m/>
    <s v="561_1"/>
    <s v="Working_Woods"/>
    <x v="2"/>
    <s v="Acer"/>
    <s v="saccharum"/>
    <s v="Sapindaceae"/>
    <x v="1"/>
  </r>
  <r>
    <x v="2"/>
    <d v="2026-06-03T00:00:00"/>
    <x v="0"/>
    <n v="562"/>
    <x v="0"/>
    <n v="7.1"/>
    <s v="N/A"/>
    <m/>
    <s v="562_1"/>
    <s v="Working_Woods"/>
    <x v="2"/>
    <s v="Acer"/>
    <s v="saccharum"/>
    <s v="Sapindaceae"/>
    <x v="5"/>
  </r>
  <r>
    <x v="2"/>
    <d v="2026-06-03T00:00:00"/>
    <x v="0"/>
    <n v="563"/>
    <x v="0"/>
    <n v="3.3"/>
    <s v="N/A"/>
    <m/>
    <s v="563_1"/>
    <s v="Working_Woods"/>
    <x v="2"/>
    <s v="Acer"/>
    <s v="saccharum"/>
    <s v="Sapindaceae"/>
    <x v="2"/>
  </r>
  <r>
    <x v="2"/>
    <d v="2026-06-03T00:00:00"/>
    <x v="0"/>
    <n v="564"/>
    <x v="0"/>
    <n v="10.6"/>
    <s v="L,A"/>
    <s v="POM at 1.1m"/>
    <s v="564_1"/>
    <s v="Working_Woods"/>
    <x v="2"/>
    <s v="Acer"/>
    <s v="saccharum"/>
    <s v="Sapindaceae"/>
    <x v="3"/>
  </r>
  <r>
    <x v="2"/>
    <d v="2026-06-03T00:00:00"/>
    <x v="0"/>
    <n v="565"/>
    <x v="0"/>
    <n v="6.3"/>
    <s v="L"/>
    <m/>
    <s v="565_1"/>
    <s v="Working_Woods"/>
    <x v="2"/>
    <s v="Acer"/>
    <s v="saccharum"/>
    <s v="Sapindaceae"/>
    <x v="5"/>
  </r>
  <r>
    <x v="2"/>
    <d v="2026-06-03T00:00:00"/>
    <x v="7"/>
    <n v="566"/>
    <x v="0"/>
    <n v="8.3000000000000007"/>
    <s v="A"/>
    <s v="POM at 1.28m"/>
    <s v="566_1"/>
    <s v="Working_Woods"/>
    <x v="2"/>
    <s v="Fagus"/>
    <s v="grandifolia"/>
    <s v="Fagaceae"/>
    <x v="5"/>
  </r>
  <r>
    <x v="2"/>
    <d v="2026-06-03T00:00:00"/>
    <x v="7"/>
    <n v="567"/>
    <x v="0"/>
    <n v="3.8"/>
    <s v="N/A"/>
    <m/>
    <s v="567_1"/>
    <s v="Working_Woods"/>
    <x v="2"/>
    <s v="Fagus"/>
    <s v="grandifolia"/>
    <s v="Fagaceae"/>
    <x v="2"/>
  </r>
  <r>
    <x v="2"/>
    <d v="2026-06-03T00:00:00"/>
    <x v="0"/>
    <n v="568"/>
    <x v="0"/>
    <n v="41.1"/>
    <s v="N/A"/>
    <m/>
    <s v="568_1"/>
    <s v="Working_Woods"/>
    <x v="2"/>
    <s v="Acer"/>
    <s v="saccharum"/>
    <s v="Sapindaceae"/>
    <x v="1"/>
  </r>
  <r>
    <x v="2"/>
    <d v="2026-06-03T00:00:00"/>
    <x v="0"/>
    <n v="569"/>
    <x v="0"/>
    <n v="4.4000000000000004"/>
    <s v="L,A"/>
    <s v="POM at 1.26m"/>
    <s v="569_1"/>
    <s v="Working_Woods"/>
    <x v="2"/>
    <s v="Acer"/>
    <s v="saccharum"/>
    <s v="Sapindaceae"/>
    <x v="2"/>
  </r>
  <r>
    <x v="2"/>
    <d v="2026-06-03T00:00:00"/>
    <x v="0"/>
    <n v="570"/>
    <x v="0"/>
    <n v="3.4"/>
    <s v="L"/>
    <m/>
    <s v="570_1"/>
    <s v="Working_Woods"/>
    <x v="2"/>
    <s v="Acer"/>
    <s v="saccharum"/>
    <s v="Sapindaceae"/>
    <x v="2"/>
  </r>
  <r>
    <x v="2"/>
    <d v="2026-06-03T00:00:00"/>
    <x v="0"/>
    <n v="571"/>
    <x v="0"/>
    <n v="4.2"/>
    <s v="W"/>
    <s v="soft measure used"/>
    <s v="571_1"/>
    <s v="Working_Woods"/>
    <x v="2"/>
    <s v="Acer"/>
    <s v="saccharum"/>
    <s v="Sapindaceae"/>
    <x v="2"/>
  </r>
  <r>
    <x v="2"/>
    <d v="2026-06-03T00:00:00"/>
    <x v="0"/>
    <n v="572"/>
    <x v="0"/>
    <n v="3.2"/>
    <s v="M"/>
    <m/>
    <s v="572_1"/>
    <s v="Working_Woods"/>
    <x v="2"/>
    <s v="Acer"/>
    <s v="saccharum"/>
    <s v="Sapindaceae"/>
    <x v="2"/>
  </r>
  <r>
    <x v="2"/>
    <d v="2026-06-03T00:00:00"/>
    <x v="0"/>
    <n v="572"/>
    <x v="1"/>
    <n v="2.9"/>
    <s v="M"/>
    <m/>
    <s v="572_2"/>
    <s v="Working_Woods"/>
    <x v="2"/>
    <s v="Acer"/>
    <s v="saccharum"/>
    <s v="Sapindaceae"/>
    <x v="2"/>
  </r>
  <r>
    <x v="2"/>
    <d v="2026-06-03T00:00:00"/>
    <x v="0"/>
    <n v="573"/>
    <x v="0"/>
    <n v="7"/>
    <s v="L,A"/>
    <s v="POM at 1.27m"/>
    <s v="573_1"/>
    <s v="Working_Woods"/>
    <x v="2"/>
    <s v="Acer"/>
    <s v="saccharum"/>
    <s v="Sapindaceae"/>
    <x v="5"/>
  </r>
  <r>
    <x v="2"/>
    <d v="2026-06-03T00:00:00"/>
    <x v="0"/>
    <n v="574"/>
    <x v="0"/>
    <n v="5.4"/>
    <s v="N/A"/>
    <m/>
    <s v="574_1"/>
    <s v="Working_Woods"/>
    <x v="2"/>
    <s v="Acer"/>
    <s v="saccharum"/>
    <s v="Sapindaceae"/>
    <x v="5"/>
  </r>
  <r>
    <x v="2"/>
    <d v="2026-06-03T00:00:00"/>
    <x v="0"/>
    <n v="575"/>
    <x v="0"/>
    <n v="10.6"/>
    <s v="L"/>
    <m/>
    <s v="575_1"/>
    <s v="Working_Woods"/>
    <x v="2"/>
    <s v="Acer"/>
    <s v="saccharum"/>
    <s v="Sapindaceae"/>
    <x v="3"/>
  </r>
  <r>
    <x v="2"/>
    <d v="2026-06-03T00:00:00"/>
    <x v="7"/>
    <n v="576"/>
    <x v="0"/>
    <n v="47.3"/>
    <s v="N/A"/>
    <s v="mostly dead"/>
    <s v="576_1"/>
    <s v="Working_Woods"/>
    <x v="2"/>
    <s v="Fagus"/>
    <s v="grandifolia"/>
    <s v="Fagaceae"/>
    <x v="1"/>
  </r>
  <r>
    <x v="2"/>
    <d v="2026-06-03T00:00:00"/>
    <x v="3"/>
    <n v="577"/>
    <x v="0"/>
    <n v="1.4"/>
    <s v="N/A"/>
    <m/>
    <s v="577_1"/>
    <s v="Working_Woods"/>
    <x v="2"/>
    <s v="Lirodendron"/>
    <s v="tulipfera"/>
    <s v="Magnoliaceae"/>
    <x v="2"/>
  </r>
  <r>
    <x v="2"/>
    <d v="2026-06-03T00:00:00"/>
    <x v="0"/>
    <n v="578"/>
    <x v="0"/>
    <n v="10.3"/>
    <s v="N/A"/>
    <m/>
    <s v="578_1"/>
    <s v="Working_Woods"/>
    <x v="2"/>
    <s v="Acer"/>
    <s v="saccharum"/>
    <s v="Sapindaceae"/>
    <x v="3"/>
  </r>
  <r>
    <x v="2"/>
    <d v="2026-06-03T00:00:00"/>
    <x v="0"/>
    <n v="579"/>
    <x v="0"/>
    <n v="24"/>
    <s v="N/A"/>
    <m/>
    <s v="579_1"/>
    <s v="Working_Woods"/>
    <x v="2"/>
    <s v="Acer"/>
    <s v="saccharum"/>
    <s v="Sapindaceae"/>
    <x v="0"/>
  </r>
  <r>
    <x v="2"/>
    <d v="2026-06-03T00:00:00"/>
    <x v="15"/>
    <n v="580"/>
    <x v="0"/>
    <n v="1.5"/>
    <s v="N/A"/>
    <m/>
    <s v="580_1"/>
    <s v="Working_Woods"/>
    <x v="2"/>
    <s v="Fraxinus"/>
    <s v="americana"/>
    <s v="Oleaceae"/>
    <x v="2"/>
  </r>
  <r>
    <x v="2"/>
    <d v="2026-06-03T00:00:00"/>
    <x v="0"/>
    <n v="581"/>
    <x v="0"/>
    <n v="16.5"/>
    <s v="N/A"/>
    <m/>
    <s v="581_1"/>
    <s v="Working_Woods"/>
    <x v="2"/>
    <s v="Acer"/>
    <s v="saccharum"/>
    <s v="Sapindaceae"/>
    <x v="3"/>
  </r>
  <r>
    <x v="2"/>
    <d v="2026-06-03T00:00:00"/>
    <x v="0"/>
    <n v="582"/>
    <x v="0"/>
    <n v="4.7"/>
    <s v="N/A"/>
    <m/>
    <s v="582_1"/>
    <s v="Working_Woods"/>
    <x v="2"/>
    <s v="Acer"/>
    <s v="saccharum"/>
    <s v="Sapindaceae"/>
    <x v="2"/>
  </r>
  <r>
    <x v="2"/>
    <d v="2026-06-03T00:00:00"/>
    <x v="0"/>
    <n v="583"/>
    <x v="0"/>
    <n v="4.8"/>
    <s v="W"/>
    <s v="soft measure used"/>
    <s v="583_1"/>
    <s v="Working_Woods"/>
    <x v="2"/>
    <s v="Acer"/>
    <s v="saccharum"/>
    <s v="Sapindaceae"/>
    <x v="2"/>
  </r>
  <r>
    <x v="2"/>
    <d v="2026-06-03T00:00:00"/>
    <x v="0"/>
    <n v="584"/>
    <x v="0"/>
    <n v="5.3"/>
    <s v="L"/>
    <m/>
    <s v="584_1"/>
    <s v="Working_Woods"/>
    <x v="2"/>
    <s v="Acer"/>
    <s v="saccharum"/>
    <s v="Sapindaceae"/>
    <x v="5"/>
  </r>
  <r>
    <x v="2"/>
    <d v="2026-06-03T00:00:00"/>
    <x v="0"/>
    <n v="585"/>
    <x v="0"/>
    <n v="4.5999999999999996"/>
    <s v="L"/>
    <s v="soft measure used"/>
    <s v="585_1"/>
    <s v="Working_Woods"/>
    <x v="2"/>
    <s v="Acer"/>
    <s v="saccharum"/>
    <s v="Sapindaceae"/>
    <x v="2"/>
  </r>
  <r>
    <x v="2"/>
    <d v="2026-06-03T00:00:00"/>
    <x v="0"/>
    <n v="586"/>
    <x v="0"/>
    <n v="7.5"/>
    <s v="W"/>
    <s v="soft measure used"/>
    <s v="586_1"/>
    <s v="Working_Woods"/>
    <x v="2"/>
    <s v="Acer"/>
    <s v="saccharum"/>
    <s v="Sapindaceae"/>
    <x v="5"/>
  </r>
  <r>
    <x v="2"/>
    <d v="2026-06-03T00:00:00"/>
    <x v="0"/>
    <n v="587"/>
    <x v="0"/>
    <n v="2.2000000000000002"/>
    <s v="L"/>
    <m/>
    <s v="587_1"/>
    <s v="Working_Woods"/>
    <x v="2"/>
    <s v="Acer"/>
    <s v="saccharum"/>
    <s v="Sapindaceae"/>
    <x v="2"/>
  </r>
  <r>
    <x v="2"/>
    <d v="2026-06-03T00:00:00"/>
    <x v="0"/>
    <n v="588"/>
    <x v="0"/>
    <n v="2.1"/>
    <s v="W"/>
    <s v="soft measure used"/>
    <s v="588_1"/>
    <s v="Working_Woods"/>
    <x v="2"/>
    <s v="Acer"/>
    <s v="saccharum"/>
    <s v="Sapindaceae"/>
    <x v="2"/>
  </r>
  <r>
    <x v="2"/>
    <d v="2026-06-03T00:00:00"/>
    <x v="7"/>
    <n v="589"/>
    <x v="0"/>
    <n v="2.7"/>
    <s v="L"/>
    <s v="mostly dead"/>
    <s v="589_1"/>
    <s v="Working_Woods"/>
    <x v="2"/>
    <s v="Fagus"/>
    <s v="grandifolia"/>
    <s v="Fagaceae"/>
    <x v="2"/>
  </r>
  <r>
    <x v="2"/>
    <d v="2026-06-03T00:00:00"/>
    <x v="0"/>
    <n v="590"/>
    <x v="0"/>
    <n v="3.7"/>
    <s v="W"/>
    <s v="soft measure used"/>
    <s v="590_1"/>
    <s v="Working_Woods"/>
    <x v="2"/>
    <s v="Acer"/>
    <s v="saccharum"/>
    <s v="Sapindaceae"/>
    <x v="2"/>
  </r>
  <r>
    <x v="2"/>
    <d v="2026-06-03T00:00:00"/>
    <x v="0"/>
    <n v="591"/>
    <x v="0"/>
    <n v="8.5"/>
    <s v="L"/>
    <m/>
    <s v="591_1"/>
    <s v="Working_Woods"/>
    <x v="2"/>
    <s v="Acer"/>
    <s v="saccharum"/>
    <s v="Sapindaceae"/>
    <x v="5"/>
  </r>
  <r>
    <x v="2"/>
    <d v="2026-06-03T00:00:00"/>
    <x v="0"/>
    <n v="592"/>
    <x v="0"/>
    <n v="1.8"/>
    <s v="L"/>
    <m/>
    <s v="592_1"/>
    <s v="Working_Woods"/>
    <x v="2"/>
    <s v="Acer"/>
    <s v="saccharum"/>
    <s v="Sapindaceae"/>
    <x v="2"/>
  </r>
  <r>
    <x v="2"/>
    <d v="2026-06-03T00:00:00"/>
    <x v="0"/>
    <n v="593"/>
    <x v="0"/>
    <n v="2"/>
    <s v="N/A"/>
    <m/>
    <s v="593_1"/>
    <s v="Working_Woods"/>
    <x v="2"/>
    <s v="Acer"/>
    <s v="saccharum"/>
    <s v="Sapindaceae"/>
    <x v="2"/>
  </r>
  <r>
    <x v="2"/>
    <d v="2026-06-03T00:00:00"/>
    <x v="0"/>
    <n v="594"/>
    <x v="0"/>
    <n v="9.6999999999999993"/>
    <s v="L"/>
    <m/>
    <s v="594_1"/>
    <s v="Working_Woods"/>
    <x v="2"/>
    <s v="Acer"/>
    <s v="saccharum"/>
    <s v="Sapindaceae"/>
    <x v="5"/>
  </r>
  <r>
    <x v="2"/>
    <d v="2026-06-03T00:00:00"/>
    <x v="7"/>
    <n v="595"/>
    <x v="0"/>
    <n v="55.1"/>
    <s v="N/A"/>
    <m/>
    <s v="595_1"/>
    <s v="Working_Woods"/>
    <x v="2"/>
    <s v="Fagus"/>
    <s v="grandifolia"/>
    <s v="Fagaceae"/>
    <x v="4"/>
  </r>
  <r>
    <x v="2"/>
    <d v="2026-06-03T00:00:00"/>
    <x v="7"/>
    <n v="596"/>
    <x v="0"/>
    <n v="6"/>
    <s v="L,A"/>
    <s v="POM at 1.27m"/>
    <s v="596_1"/>
    <s v="Working_Woods"/>
    <x v="2"/>
    <s v="Fagus"/>
    <s v="grandifolia"/>
    <s v="Fagaceae"/>
    <x v="5"/>
  </r>
  <r>
    <x v="2"/>
    <d v="2026-06-03T00:00:00"/>
    <x v="0"/>
    <n v="597"/>
    <x v="0"/>
    <n v="23.2"/>
    <s v="L"/>
    <m/>
    <s v="597_1"/>
    <s v="Working_Woods"/>
    <x v="2"/>
    <s v="Acer"/>
    <s v="saccharum"/>
    <s v="Sapindaceae"/>
    <x v="0"/>
  </r>
  <r>
    <x v="2"/>
    <d v="2026-06-03T00:00:00"/>
    <x v="7"/>
    <n v="598"/>
    <x v="0"/>
    <n v="95.6"/>
    <s v="M,I"/>
    <m/>
    <s v="598_1"/>
    <s v="Working_Woods"/>
    <x v="2"/>
    <s v="Fagus"/>
    <s v="grandifolia"/>
    <s v="Fagaceae"/>
    <x v="4"/>
  </r>
  <r>
    <x v="2"/>
    <d v="2026-06-03T00:00:00"/>
    <x v="7"/>
    <n v="598"/>
    <x v="1"/>
    <n v="3.3"/>
    <s v="M,W"/>
    <s v="soft measure used"/>
    <s v="598_2"/>
    <s v="Working_Woods"/>
    <x v="2"/>
    <s v="Fagus"/>
    <s v="grandifolia"/>
    <s v="Fagaceae"/>
    <x v="2"/>
  </r>
  <r>
    <x v="2"/>
    <d v="2026-06-03T00:00:00"/>
    <x v="7"/>
    <n v="598"/>
    <x v="2"/>
    <n v="1.7"/>
    <s v="M"/>
    <m/>
    <s v="598_3"/>
    <s v="Working_Woods"/>
    <x v="2"/>
    <s v="Fagus"/>
    <s v="grandifolia"/>
    <s v="Fagaceae"/>
    <x v="2"/>
  </r>
  <r>
    <x v="2"/>
    <d v="2026-06-03T00:00:00"/>
    <x v="7"/>
    <n v="598"/>
    <x v="3"/>
    <n v="5.0999999999999996"/>
    <s v="M"/>
    <m/>
    <s v="598_4"/>
    <s v="Working_Woods"/>
    <x v="2"/>
    <s v="Fagus"/>
    <s v="grandifolia"/>
    <s v="Fagaceae"/>
    <x v="5"/>
  </r>
  <r>
    <x v="2"/>
    <d v="2026-06-03T00:00:00"/>
    <x v="7"/>
    <n v="598"/>
    <x v="4"/>
    <n v="4.7"/>
    <s v="M"/>
    <m/>
    <s v="598_5"/>
    <s v="Working_Woods"/>
    <x v="2"/>
    <s v="Fagus"/>
    <s v="grandifolia"/>
    <s v="Fagaceae"/>
    <x v="2"/>
  </r>
  <r>
    <x v="2"/>
    <d v="2026-06-03T00:00:00"/>
    <x v="7"/>
    <n v="598"/>
    <x v="5"/>
    <n v="2.1"/>
    <s v="M,L"/>
    <m/>
    <s v="598_6"/>
    <s v="Working_Woods"/>
    <x v="2"/>
    <s v="Fagus"/>
    <s v="grandifolia"/>
    <s v="Fagaceae"/>
    <x v="2"/>
  </r>
  <r>
    <x v="2"/>
    <d v="2026-06-03T00:00:00"/>
    <x v="7"/>
    <n v="598"/>
    <x v="6"/>
    <n v="1.8"/>
    <s v="M,L"/>
    <m/>
    <s v="598_7"/>
    <s v="Working_Woods"/>
    <x v="2"/>
    <s v="Fagus"/>
    <s v="grandifolia"/>
    <s v="Fagaceae"/>
    <x v="2"/>
  </r>
  <r>
    <x v="2"/>
    <d v="2026-06-03T00:00:00"/>
    <x v="7"/>
    <n v="601"/>
    <x v="0"/>
    <n v="1.9"/>
    <s v="M"/>
    <m/>
    <s v="601_1"/>
    <s v="Working_Woods"/>
    <x v="2"/>
    <s v="Fagus"/>
    <s v="grandifolia"/>
    <s v="Fagaceae"/>
    <x v="2"/>
  </r>
  <r>
    <x v="2"/>
    <d v="2026-06-03T00:00:00"/>
    <x v="7"/>
    <n v="602"/>
    <x v="0"/>
    <n v="2.2000000000000002"/>
    <s v="M,L"/>
    <m/>
    <s v="602_1"/>
    <s v="Working_Woods"/>
    <x v="2"/>
    <s v="Fagus"/>
    <s v="grandifolia"/>
    <s v="Fagaceae"/>
    <x v="2"/>
  </r>
  <r>
    <x v="2"/>
    <d v="2026-06-03T00:00:00"/>
    <x v="7"/>
    <n v="602"/>
    <x v="1"/>
    <n v="1.1000000000000001"/>
    <s v="M,L"/>
    <s v="soft measure used"/>
    <s v="602_2"/>
    <s v="Working_Woods"/>
    <x v="2"/>
    <s v="Fagus"/>
    <s v="grandifolia"/>
    <s v="Fagaceae"/>
    <x v="2"/>
  </r>
  <r>
    <x v="2"/>
    <d v="2026-06-03T00:00:00"/>
    <x v="7"/>
    <n v="602"/>
    <x v="2"/>
    <n v="1.2"/>
    <s v="M,L"/>
    <s v="soft measure used"/>
    <s v="602_3"/>
    <s v="Working_Woods"/>
    <x v="2"/>
    <s v="Fagus"/>
    <s v="grandifolia"/>
    <s v="Fagaceae"/>
    <x v="2"/>
  </r>
  <r>
    <x v="2"/>
    <d v="2026-06-03T00:00:00"/>
    <x v="7"/>
    <n v="603"/>
    <x v="0"/>
    <n v="8.1"/>
    <s v="M,L"/>
    <m/>
    <s v="603_1"/>
    <s v="Working_Woods"/>
    <x v="2"/>
    <s v="Fagus"/>
    <s v="grandifolia"/>
    <s v="Fagaceae"/>
    <x v="5"/>
  </r>
  <r>
    <x v="2"/>
    <d v="2026-06-03T00:00:00"/>
    <x v="7"/>
    <n v="604"/>
    <x v="0"/>
    <n v="6.3"/>
    <s v="M,L"/>
    <m/>
    <s v="604_1"/>
    <s v="Working_Woods"/>
    <x v="2"/>
    <s v="Fagus"/>
    <s v="grandifolia"/>
    <s v="Fagaceae"/>
    <x v="5"/>
  </r>
  <r>
    <x v="2"/>
    <d v="2026-06-03T00:00:00"/>
    <x v="0"/>
    <n v="599"/>
    <x v="0"/>
    <n v="3.7"/>
    <s v="N/A"/>
    <m/>
    <s v="599_1"/>
    <s v="Working_Woods"/>
    <x v="2"/>
    <s v="Acer"/>
    <s v="saccharum"/>
    <s v="Sapindaceae"/>
    <x v="2"/>
  </r>
  <r>
    <x v="2"/>
    <d v="2026-06-03T00:00:00"/>
    <x v="0"/>
    <n v="600"/>
    <x v="0"/>
    <n v="4"/>
    <s v="L,B"/>
    <m/>
    <s v="600_1"/>
    <s v="Working_Woods"/>
    <x v="2"/>
    <s v="Acer"/>
    <s v="saccharum"/>
    <s v="Sapindaceae"/>
    <x v="2"/>
  </r>
  <r>
    <x v="2"/>
    <d v="2026-06-04T00:00:00"/>
    <x v="16"/>
    <n v="605"/>
    <x v="0"/>
    <n v="55.1"/>
    <s v="N/A"/>
    <m/>
    <s v="605_1"/>
    <s v="Working_Woods"/>
    <x v="2"/>
    <s v="Carya"/>
    <s v="cordiformis"/>
    <s v="Juglandaceae"/>
    <x v="4"/>
  </r>
  <r>
    <x v="2"/>
    <d v="2026-06-04T00:00:00"/>
    <x v="0"/>
    <n v="606"/>
    <x v="0"/>
    <n v="4.3"/>
    <s v="N/A"/>
    <m/>
    <s v="606_1"/>
    <s v="Working_Woods"/>
    <x v="2"/>
    <s v="Acer"/>
    <s v="saccharum"/>
    <s v="Sapindaceae"/>
    <x v="2"/>
  </r>
  <r>
    <x v="2"/>
    <d v="2026-06-04T00:00:00"/>
    <x v="0"/>
    <n v="607"/>
    <x v="0"/>
    <n v="5.9"/>
    <s v="A"/>
    <s v="POM at 1.26m"/>
    <s v="607_1"/>
    <s v="Working_Woods"/>
    <x v="2"/>
    <s v="Acer"/>
    <s v="saccharum"/>
    <s v="Sapindaceae"/>
    <x v="5"/>
  </r>
  <r>
    <x v="2"/>
    <d v="2026-06-04T00:00:00"/>
    <x v="0"/>
    <n v="608"/>
    <x v="0"/>
    <n v="5.0999999999999996"/>
    <s v="N/A"/>
    <m/>
    <s v="608_1"/>
    <s v="Working_Woods"/>
    <x v="2"/>
    <s v="Acer"/>
    <s v="saccharum"/>
    <s v="Sapindaceae"/>
    <x v="5"/>
  </r>
  <r>
    <x v="2"/>
    <d v="2026-06-04T00:00:00"/>
    <x v="0"/>
    <n v="609"/>
    <x v="0"/>
    <n v="4"/>
    <s v="A"/>
    <s v="POM at 1.28m"/>
    <s v="609_1"/>
    <s v="Working_Woods"/>
    <x v="2"/>
    <s v="Acer"/>
    <s v="saccharum"/>
    <s v="Sapindaceae"/>
    <x v="2"/>
  </r>
  <r>
    <x v="2"/>
    <d v="2026-06-04T00:00:00"/>
    <x v="0"/>
    <n v="610"/>
    <x v="0"/>
    <n v="5.7"/>
    <s v="W"/>
    <m/>
    <s v="610_1"/>
    <s v="Working_Woods"/>
    <x v="2"/>
    <s v="Acer"/>
    <s v="saccharum"/>
    <s v="Sapindaceae"/>
    <x v="5"/>
  </r>
  <r>
    <x v="2"/>
    <d v="2026-06-04T00:00:00"/>
    <x v="0"/>
    <n v="611"/>
    <x v="0"/>
    <n v="7.3"/>
    <s v="L"/>
    <s v="slight lean"/>
    <s v="611_1"/>
    <s v="Working_Woods"/>
    <x v="2"/>
    <s v="Acer"/>
    <s v="saccharum"/>
    <s v="Sapindaceae"/>
    <x v="5"/>
  </r>
  <r>
    <x v="2"/>
    <d v="2026-06-04T00:00:00"/>
    <x v="0"/>
    <n v="612"/>
    <x v="0"/>
    <n v="7.6"/>
    <s v="N/A"/>
    <m/>
    <s v="612_1"/>
    <s v="Working_Woods"/>
    <x v="2"/>
    <s v="Acer"/>
    <s v="saccharum"/>
    <s v="Sapindaceae"/>
    <x v="5"/>
  </r>
  <r>
    <x v="2"/>
    <d v="2026-06-04T00:00:00"/>
    <x v="0"/>
    <n v="613"/>
    <x v="0"/>
    <n v="32"/>
    <s v="L"/>
    <m/>
    <s v="613_1"/>
    <s v="Working_Woods"/>
    <x v="2"/>
    <s v="Acer"/>
    <s v="saccharum"/>
    <s v="Sapindaceae"/>
    <x v="0"/>
  </r>
  <r>
    <x v="2"/>
    <d v="2026-06-04T00:00:00"/>
    <x v="0"/>
    <n v="614"/>
    <x v="0"/>
    <n v="8.1999999999999993"/>
    <s v="L"/>
    <m/>
    <s v="614_1"/>
    <s v="Working_Woods"/>
    <x v="2"/>
    <s v="Acer"/>
    <s v="saccharum"/>
    <s v="Sapindaceae"/>
    <x v="5"/>
  </r>
  <r>
    <x v="2"/>
    <d v="2026-06-04T00:00:00"/>
    <x v="0"/>
    <n v="615"/>
    <x v="0"/>
    <n v="12.7"/>
    <s v="L,A"/>
    <s v="POM at 1.20m"/>
    <s v="615_1"/>
    <s v="Working_Woods"/>
    <x v="2"/>
    <s v="Acer"/>
    <s v="saccharum"/>
    <s v="Sapindaceae"/>
    <x v="3"/>
  </r>
  <r>
    <x v="2"/>
    <d v="2026-06-04T00:00:00"/>
    <x v="0"/>
    <n v="616"/>
    <x v="0"/>
    <n v="11"/>
    <s v="L"/>
    <m/>
    <s v="616_1"/>
    <s v="Working_Woods"/>
    <x v="2"/>
    <s v="Acer"/>
    <s v="saccharum"/>
    <s v="Sapindaceae"/>
    <x v="3"/>
  </r>
  <r>
    <x v="2"/>
    <d v="2026-06-04T00:00:00"/>
    <x v="0"/>
    <n v="617"/>
    <x v="0"/>
    <n v="2.4"/>
    <s v="N/A"/>
    <m/>
    <s v="617_1"/>
    <s v="Working_Woods"/>
    <x v="2"/>
    <s v="Acer"/>
    <s v="saccharum"/>
    <s v="Sapindaceae"/>
    <x v="2"/>
  </r>
  <r>
    <x v="2"/>
    <d v="2026-06-04T00:00:00"/>
    <x v="0"/>
    <n v="618"/>
    <x v="0"/>
    <n v="2"/>
    <s v="L"/>
    <m/>
    <s v="618_1"/>
    <s v="Working_Woods"/>
    <x v="2"/>
    <s v="Acer"/>
    <s v="saccharum"/>
    <s v="Sapindaceae"/>
    <x v="2"/>
  </r>
  <r>
    <x v="2"/>
    <d v="2026-06-04T00:00:00"/>
    <x v="0"/>
    <n v="619"/>
    <x v="0"/>
    <n v="11.2"/>
    <s v="L"/>
    <s v="slight lean"/>
    <s v="619_1"/>
    <s v="Working_Woods"/>
    <x v="2"/>
    <s v="Acer"/>
    <s v="saccharum"/>
    <s v="Sapindaceae"/>
    <x v="3"/>
  </r>
  <r>
    <x v="2"/>
    <d v="2026-06-04T00:00:00"/>
    <x v="17"/>
    <n v="620"/>
    <x v="0"/>
    <n v="51.7"/>
    <s v="N/A"/>
    <m/>
    <s v="620_1"/>
    <s v="Working_Woods"/>
    <x v="2"/>
    <s v="Juglans"/>
    <s v="nigra"/>
    <s v="Juglandaceae"/>
    <x v="4"/>
  </r>
  <r>
    <x v="2"/>
    <d v="2026-06-04T00:00:00"/>
    <x v="0"/>
    <n v="621"/>
    <x v="0"/>
    <n v="7.7"/>
    <s v="A"/>
    <s v="POM at 1.28m"/>
    <s v="621_1"/>
    <s v="Working_Woods"/>
    <x v="2"/>
    <s v="Acer"/>
    <s v="saccharum"/>
    <s v="Sapindaceae"/>
    <x v="5"/>
  </r>
  <r>
    <x v="2"/>
    <d v="2026-06-04T00:00:00"/>
    <x v="17"/>
    <n v="622"/>
    <x v="0"/>
    <n v="71.2"/>
    <s v="N/A"/>
    <m/>
    <s v="622_1"/>
    <s v="Working_Woods"/>
    <x v="2"/>
    <s v="Juglans"/>
    <s v="nigra"/>
    <s v="Juglandaceae"/>
    <x v="4"/>
  </r>
  <r>
    <x v="2"/>
    <d v="2026-06-04T00:00:00"/>
    <x v="0"/>
    <n v="623"/>
    <x v="0"/>
    <n v="3.3"/>
    <s v="N/A"/>
    <s v="dead branch"/>
    <s v="623_1"/>
    <s v="Working_Woods"/>
    <x v="2"/>
    <s v="Acer"/>
    <s v="saccharum"/>
    <s v="Sapindaceae"/>
    <x v="2"/>
  </r>
  <r>
    <x v="2"/>
    <d v="2026-06-04T00:00:00"/>
    <x v="0"/>
    <n v="624"/>
    <x v="0"/>
    <n v="7.6"/>
    <s v="L"/>
    <m/>
    <s v="624_1"/>
    <s v="Working_Woods"/>
    <x v="2"/>
    <s v="Acer"/>
    <s v="saccharum"/>
    <s v="Sapindaceae"/>
    <x v="5"/>
  </r>
  <r>
    <x v="2"/>
    <d v="2026-06-04T00:00:00"/>
    <x v="0"/>
    <n v="625"/>
    <x v="0"/>
    <n v="6.5"/>
    <s v="W"/>
    <s v="soft measure used"/>
    <s v="625_1"/>
    <s v="Working_Woods"/>
    <x v="2"/>
    <s v="Acer"/>
    <s v="saccharum"/>
    <s v="Sapindaceae"/>
    <x v="5"/>
  </r>
  <r>
    <x v="2"/>
    <d v="2026-06-04T00:00:00"/>
    <x v="0"/>
    <n v="625"/>
    <x v="1"/>
    <n v="1.8"/>
    <s v="W"/>
    <s v="soft measure used, POM at 1.25m"/>
    <s v="625_2"/>
    <s v="Working_Woods"/>
    <x v="2"/>
    <s v="Acer"/>
    <s v="saccharum"/>
    <s v="Sapindaceae"/>
    <x v="2"/>
  </r>
  <r>
    <x v="2"/>
    <d v="2026-06-04T00:00:00"/>
    <x v="0"/>
    <n v="626"/>
    <x v="0"/>
    <n v="5.0999999999999996"/>
    <s v="L,A"/>
    <s v="POM at 1.19m"/>
    <s v="626_1"/>
    <s v="Working_Woods"/>
    <x v="2"/>
    <s v="Acer"/>
    <s v="saccharum"/>
    <s v="Sapindaceae"/>
    <x v="5"/>
  </r>
  <r>
    <x v="2"/>
    <d v="2026-06-04T00:00:00"/>
    <x v="0"/>
    <n v="627"/>
    <x v="0"/>
    <n v="15.1"/>
    <s v="L,A"/>
    <s v="POM at 1.28m"/>
    <s v="627_1"/>
    <s v="Working_Woods"/>
    <x v="2"/>
    <s v="Acer"/>
    <s v="saccharum"/>
    <s v="Sapindaceae"/>
    <x v="3"/>
  </r>
  <r>
    <x v="2"/>
    <d v="2026-06-04T00:00:00"/>
    <x v="17"/>
    <n v="628"/>
    <x v="0"/>
    <n v="59.2"/>
    <s v="N/A"/>
    <m/>
    <s v="628_1"/>
    <s v="Working_Woods"/>
    <x v="2"/>
    <s v="Juglans"/>
    <s v="nigra"/>
    <s v="Juglandaceae"/>
    <x v="4"/>
  </r>
  <r>
    <x v="2"/>
    <d v="2026-06-04T00:00:00"/>
    <x v="14"/>
    <n v="629"/>
    <x v="0"/>
    <n v="14.9"/>
    <s v="L"/>
    <m/>
    <s v="629_1"/>
    <s v="Working_Woods"/>
    <x v="2"/>
    <s v="Tilia"/>
    <s v="americana"/>
    <s v="Malvaceae"/>
    <x v="3"/>
  </r>
  <r>
    <x v="2"/>
    <d v="2026-06-04T00:00:00"/>
    <x v="0"/>
    <n v="630"/>
    <x v="0"/>
    <n v="3.3"/>
    <s v="A"/>
    <s v="POM at 1.28m"/>
    <s v="630_1"/>
    <s v="Working_Woods"/>
    <x v="2"/>
    <s v="Acer"/>
    <s v="saccharum"/>
    <s v="Sapindaceae"/>
    <x v="2"/>
  </r>
  <r>
    <x v="2"/>
    <d v="2026-06-04T00:00:00"/>
    <x v="17"/>
    <n v="631"/>
    <x v="0"/>
    <n v="54.9"/>
    <s v="N/A"/>
    <m/>
    <s v="631_1"/>
    <s v="Working_Woods"/>
    <x v="2"/>
    <s v="Juglans"/>
    <s v="nigra"/>
    <s v="Juglandaceae"/>
    <x v="4"/>
  </r>
  <r>
    <x v="2"/>
    <d v="2026-06-04T00:00:00"/>
    <x v="14"/>
    <n v="632"/>
    <x v="0"/>
    <n v="18.399999999999999"/>
    <s v="L"/>
    <s v="slight lean"/>
    <s v="632_1"/>
    <s v="Working_Woods"/>
    <x v="2"/>
    <s v="Tilia"/>
    <s v="americana"/>
    <s v="Malvaceae"/>
    <x v="3"/>
  </r>
  <r>
    <x v="2"/>
    <d v="2026-06-04T00:00:00"/>
    <x v="0"/>
    <n v="633"/>
    <x v="0"/>
    <n v="4.2"/>
    <s v="N/A"/>
    <m/>
    <s v="633_1"/>
    <s v="Working_Woods"/>
    <x v="2"/>
    <s v="Acer"/>
    <s v="saccharum"/>
    <s v="Sapindaceae"/>
    <x v="2"/>
  </r>
  <r>
    <x v="2"/>
    <d v="2026-06-04T00:00:00"/>
    <x v="0"/>
    <n v="634"/>
    <x v="0"/>
    <n v="14.8"/>
    <s v="L"/>
    <m/>
    <s v="634_1"/>
    <s v="Working_Woods"/>
    <x v="2"/>
    <s v="Acer"/>
    <s v="saccharum"/>
    <s v="Sapindaceae"/>
    <x v="3"/>
  </r>
  <r>
    <x v="2"/>
    <d v="2026-06-04T00:00:00"/>
    <x v="0"/>
    <n v="635"/>
    <x v="0"/>
    <n v="14.5"/>
    <s v="N/A"/>
    <m/>
    <s v="635_1"/>
    <s v="Working_Woods"/>
    <x v="2"/>
    <s v="Acer"/>
    <s v="saccharum"/>
    <s v="Sapindaceae"/>
    <x v="3"/>
  </r>
  <r>
    <x v="2"/>
    <d v="2026-06-04T00:00:00"/>
    <x v="0"/>
    <n v="636"/>
    <x v="0"/>
    <n v="5.3"/>
    <s v="N/A"/>
    <m/>
    <s v="636_1"/>
    <s v="Working_Woods"/>
    <x v="2"/>
    <s v="Acer"/>
    <s v="saccharum"/>
    <s v="Sapindaceae"/>
    <x v="5"/>
  </r>
  <r>
    <x v="2"/>
    <d v="2026-06-04T00:00:00"/>
    <x v="0"/>
    <n v="637"/>
    <x v="0"/>
    <n v="6.1"/>
    <s v="N/A"/>
    <m/>
    <s v="637_1"/>
    <s v="Working_Woods"/>
    <x v="2"/>
    <s v="Acer"/>
    <s v="saccharum"/>
    <s v="Sapindaceae"/>
    <x v="5"/>
  </r>
  <r>
    <x v="2"/>
    <d v="2026-06-04T00:00:00"/>
    <x v="0"/>
    <n v="638"/>
    <x v="0"/>
    <n v="4.3"/>
    <s v="W,A"/>
    <s v="POM at 1.205m"/>
    <s v="638_1"/>
    <s v="Working_Woods"/>
    <x v="2"/>
    <s v="Acer"/>
    <s v="saccharum"/>
    <s v="Sapindaceae"/>
    <x v="2"/>
  </r>
  <r>
    <x v="2"/>
    <d v="2026-06-04T00:00:00"/>
    <x v="0"/>
    <n v="639"/>
    <x v="0"/>
    <n v="8.6999999999999993"/>
    <s v="L"/>
    <m/>
    <s v="639_1"/>
    <s v="Working_Woods"/>
    <x v="2"/>
    <s v="Acer"/>
    <s v="saccharum"/>
    <s v="Sapindaceae"/>
    <x v="5"/>
  </r>
  <r>
    <x v="2"/>
    <d v="2026-06-04T00:00:00"/>
    <x v="17"/>
    <n v="640"/>
    <x v="0"/>
    <n v="75.3"/>
    <s v="A"/>
    <s v="soft measure used, POM at 1.73m"/>
    <s v="640_1"/>
    <s v="Working_Woods"/>
    <x v="2"/>
    <s v="Juglans"/>
    <s v="nigra"/>
    <s v="Juglandaceae"/>
    <x v="4"/>
  </r>
  <r>
    <x v="2"/>
    <d v="2026-06-04T00:00:00"/>
    <x v="0"/>
    <n v="641"/>
    <x v="0"/>
    <n v="38.1"/>
    <s v="N/A"/>
    <s v="also tagged 349"/>
    <s v="641_1"/>
    <s v="Working_Woods"/>
    <x v="2"/>
    <s v="Acer"/>
    <s v="saccharum"/>
    <s v="Sapindaceae"/>
    <x v="0"/>
  </r>
  <r>
    <x v="2"/>
    <d v="2026-06-04T00:00:00"/>
    <x v="0"/>
    <n v="642"/>
    <x v="0"/>
    <n v="3.7"/>
    <s v="W"/>
    <m/>
    <s v="642_1"/>
    <s v="Working_Woods"/>
    <x v="2"/>
    <s v="Acer"/>
    <s v="saccharum"/>
    <s v="Sapindaceae"/>
    <x v="2"/>
  </r>
  <r>
    <x v="2"/>
    <d v="2026-06-04T00:00:00"/>
    <x v="0"/>
    <n v="643"/>
    <x v="0"/>
    <n v="5.9"/>
    <s v="N/A"/>
    <m/>
    <s v="643_1"/>
    <s v="Working_Woods"/>
    <x v="2"/>
    <s v="Acer"/>
    <s v="saccharum"/>
    <s v="Sapindaceae"/>
    <x v="5"/>
  </r>
  <r>
    <x v="2"/>
    <d v="2026-06-04T00:00:00"/>
    <x v="0"/>
    <n v="644"/>
    <x v="0"/>
    <n v="5.5"/>
    <s v="W"/>
    <m/>
    <s v="644_1"/>
    <s v="Working_Woods"/>
    <x v="2"/>
    <s v="Acer"/>
    <s v="saccharum"/>
    <s v="Sapindaceae"/>
    <x v="5"/>
  </r>
  <r>
    <x v="2"/>
    <d v="2026-06-04T00:00:00"/>
    <x v="0"/>
    <n v="645"/>
    <x v="0"/>
    <n v="8.5"/>
    <s v="L"/>
    <m/>
    <s v="645_1"/>
    <s v="Working_Woods"/>
    <x v="2"/>
    <s v="Acer"/>
    <s v="saccharum"/>
    <s v="Sapindaceae"/>
    <x v="5"/>
  </r>
  <r>
    <x v="2"/>
    <d v="2026-06-04T00:00:00"/>
    <x v="0"/>
    <n v="646"/>
    <x v="0"/>
    <n v="4.5999999999999996"/>
    <s v="I,X,A"/>
    <s v="main stem broken in half (vertically), POM at 0.8m"/>
    <s v="646_1"/>
    <s v="Working_Woods"/>
    <x v="2"/>
    <s v="Acer"/>
    <s v="saccharum"/>
    <s v="Sapindaceae"/>
    <x v="2"/>
  </r>
  <r>
    <x v="2"/>
    <d v="2026-06-04T00:00:00"/>
    <x v="7"/>
    <n v="647"/>
    <x v="0"/>
    <n v="9.1999999999999993"/>
    <s v="A"/>
    <s v="POM at 1.17m, knotty trunk"/>
    <s v="647_1"/>
    <s v="Working_Woods"/>
    <x v="2"/>
    <s v="Fagus"/>
    <s v="grandifolia"/>
    <s v="Fagaceae"/>
    <x v="5"/>
  </r>
  <r>
    <x v="2"/>
    <d v="2026-06-04T00:00:00"/>
    <x v="0"/>
    <n v="648"/>
    <x v="0"/>
    <n v="5.6"/>
    <s v="L"/>
    <m/>
    <s v="648_1"/>
    <s v="Working_Woods"/>
    <x v="2"/>
    <s v="Acer"/>
    <s v="saccharum"/>
    <s v="Sapindaceae"/>
    <x v="5"/>
  </r>
  <r>
    <x v="2"/>
    <d v="2026-06-04T00:00:00"/>
    <x v="0"/>
    <n v="649"/>
    <x v="0"/>
    <n v="7.5"/>
    <s v="L,B"/>
    <s v="soft measure used"/>
    <s v="649_1"/>
    <s v="Working_Woods"/>
    <x v="2"/>
    <s v="Acer"/>
    <s v="saccharum"/>
    <s v="Sapindaceae"/>
    <x v="5"/>
  </r>
  <r>
    <x v="2"/>
    <d v="2026-06-04T00:00:00"/>
    <x v="0"/>
    <n v="650"/>
    <x v="0"/>
    <n v="2"/>
    <s v="N/A"/>
    <s v="soft measure used"/>
    <s v="650_1"/>
    <s v="Working_Woods"/>
    <x v="2"/>
    <s v="Acer"/>
    <s v="saccharum"/>
    <s v="Sapindaceae"/>
    <x v="2"/>
  </r>
  <r>
    <x v="2"/>
    <d v="2026-06-04T00:00:00"/>
    <x v="7"/>
    <n v="651"/>
    <x v="0"/>
    <n v="29.5"/>
    <s v="N/A"/>
    <m/>
    <s v="651_1"/>
    <s v="Working_Woods"/>
    <x v="2"/>
    <s v="Fagus"/>
    <s v="grandifolia"/>
    <s v="Fagaceae"/>
    <x v="0"/>
  </r>
  <r>
    <x v="2"/>
    <d v="2026-06-04T00:00:00"/>
    <x v="0"/>
    <n v="652"/>
    <x v="0"/>
    <n v="1.9"/>
    <s v="N/A"/>
    <m/>
    <s v="652_1"/>
    <s v="Working_Woods"/>
    <x v="2"/>
    <s v="Acer"/>
    <s v="saccharum"/>
    <s v="Sapindaceae"/>
    <x v="2"/>
  </r>
  <r>
    <x v="2"/>
    <d v="2026-06-04T00:00:00"/>
    <x v="0"/>
    <n v="653"/>
    <x v="0"/>
    <n v="3.6"/>
    <s v="W"/>
    <s v="soft measure used"/>
    <s v="653_1"/>
    <s v="Working_Woods"/>
    <x v="2"/>
    <s v="Acer"/>
    <s v="saccharum"/>
    <s v="Sapindaceae"/>
    <x v="2"/>
  </r>
  <r>
    <x v="2"/>
    <d v="2026-06-04T00:00:00"/>
    <x v="0"/>
    <n v="654"/>
    <x v="0"/>
    <n v="1.3"/>
    <s v="L"/>
    <m/>
    <s v="654_1"/>
    <s v="Working_Woods"/>
    <x v="2"/>
    <s v="Acer"/>
    <s v="saccharum"/>
    <s v="Sapindaceae"/>
    <x v="2"/>
  </r>
  <r>
    <x v="2"/>
    <d v="2026-06-04T00:00:00"/>
    <x v="7"/>
    <n v="655"/>
    <x v="0"/>
    <n v="8.3000000000000007"/>
    <s v="N/A"/>
    <m/>
    <s v="655_1"/>
    <s v="Working_Woods"/>
    <x v="2"/>
    <s v="Fagus"/>
    <s v="grandifolia"/>
    <s v="Fagaceae"/>
    <x v="5"/>
  </r>
  <r>
    <x v="2"/>
    <d v="2026-06-04T00:00:00"/>
    <x v="0"/>
    <n v="656"/>
    <x v="0"/>
    <n v="21.6"/>
    <s v="L"/>
    <s v="slight lean"/>
    <s v="656_1"/>
    <s v="Working_Woods"/>
    <x v="2"/>
    <s v="Acer"/>
    <s v="saccharum"/>
    <s v="Sapindaceae"/>
    <x v="0"/>
  </r>
  <r>
    <x v="2"/>
    <d v="2026-06-04T00:00:00"/>
    <x v="10"/>
    <n v="657"/>
    <x v="0"/>
    <n v="134.80000000000001"/>
    <s v="L"/>
    <m/>
    <s v="657_1"/>
    <s v="Working_Woods"/>
    <x v="2"/>
    <s v="Quercus"/>
    <s v="rubra"/>
    <s v="Fagaceae"/>
    <x v="4"/>
  </r>
  <r>
    <x v="2"/>
    <d v="2026-06-04T00:00:00"/>
    <x v="0"/>
    <n v="658"/>
    <x v="0"/>
    <n v="13.3"/>
    <s v="N/A"/>
    <m/>
    <s v="658_1"/>
    <s v="Working_Woods"/>
    <x v="2"/>
    <s v="Acer"/>
    <s v="saccharum"/>
    <s v="Sapindaceae"/>
    <x v="3"/>
  </r>
  <r>
    <x v="2"/>
    <d v="2026-06-04T00:00:00"/>
    <x v="7"/>
    <n v="659"/>
    <x v="0"/>
    <n v="8.6"/>
    <s v="N/A"/>
    <m/>
    <s v="659_1"/>
    <s v="Working_Woods"/>
    <x v="2"/>
    <s v="Fagus"/>
    <s v="grandifolia"/>
    <s v="Fagaceae"/>
    <x v="5"/>
  </r>
  <r>
    <x v="2"/>
    <d v="2026-06-04T00:00:00"/>
    <x v="7"/>
    <n v="660"/>
    <x v="0"/>
    <n v="11.9"/>
    <s v="L"/>
    <m/>
    <s v="660_1"/>
    <s v="Working_Woods"/>
    <x v="2"/>
    <s v="Fagus"/>
    <s v="grandifolia"/>
    <s v="Fagaceae"/>
    <x v="3"/>
  </r>
  <r>
    <x v="2"/>
    <d v="2026-06-04T00:00:00"/>
    <x v="0"/>
    <n v="661"/>
    <x v="0"/>
    <n v="73.5"/>
    <s v="N/A"/>
    <m/>
    <s v="661_1"/>
    <s v="Working_Woods"/>
    <x v="2"/>
    <s v="Acer"/>
    <s v="saccharum"/>
    <s v="Sapindaceae"/>
    <x v="4"/>
  </r>
  <r>
    <x v="2"/>
    <d v="2026-06-04T00:00:00"/>
    <x v="0"/>
    <n v="662"/>
    <x v="0"/>
    <n v="15.5"/>
    <s v="L,B"/>
    <m/>
    <s v="662_1"/>
    <s v="Working_Woods"/>
    <x v="2"/>
    <s v="Acer"/>
    <s v="saccharum"/>
    <s v="Sapindaceae"/>
    <x v="3"/>
  </r>
  <r>
    <x v="2"/>
    <d v="2026-06-04T00:00:00"/>
    <x v="0"/>
    <n v="663"/>
    <x v="0"/>
    <n v="9.6999999999999993"/>
    <s v="W"/>
    <s v="soft measure used"/>
    <s v="663_1"/>
    <s v="Working_Woods"/>
    <x v="2"/>
    <s v="Acer"/>
    <s v="saccharum"/>
    <s v="Sapindaceae"/>
    <x v="5"/>
  </r>
  <r>
    <x v="2"/>
    <d v="2026-06-04T00:00:00"/>
    <x v="0"/>
    <n v="664"/>
    <x v="0"/>
    <n v="8.1"/>
    <s v="W"/>
    <s v="soft measure used"/>
    <s v="664_1"/>
    <s v="Working_Woods"/>
    <x v="2"/>
    <s v="Acer"/>
    <s v="saccharum"/>
    <s v="Sapindaceae"/>
    <x v="5"/>
  </r>
  <r>
    <x v="2"/>
    <d v="2026-06-04T00:00:00"/>
    <x v="0"/>
    <n v="665"/>
    <x v="0"/>
    <n v="4.3"/>
    <s v="A"/>
    <s v="POM at 1.28m"/>
    <s v="665_1"/>
    <s v="Working_Woods"/>
    <x v="2"/>
    <s v="Acer"/>
    <s v="saccharum"/>
    <s v="Sapindaceae"/>
    <x v="2"/>
  </r>
  <r>
    <x v="2"/>
    <d v="2026-06-04T00:00:00"/>
    <x v="1"/>
    <n v="666"/>
    <x v="0"/>
    <n v="65.5"/>
    <s v="L"/>
    <s v="also tagged 350"/>
    <s v="666_1"/>
    <s v="Working_Woods"/>
    <x v="2"/>
    <s v="Prunus"/>
    <s v="serotina"/>
    <s v="Rosaceae"/>
    <x v="4"/>
  </r>
  <r>
    <x v="2"/>
    <d v="2026-06-04T00:00:00"/>
    <x v="0"/>
    <n v="667"/>
    <x v="0"/>
    <n v="4.9000000000000004"/>
    <s v="N/A"/>
    <m/>
    <s v="667_1"/>
    <s v="Working_Woods"/>
    <x v="2"/>
    <s v="Acer"/>
    <s v="saccharum"/>
    <s v="Sapindaceae"/>
    <x v="2"/>
  </r>
  <r>
    <x v="2"/>
    <d v="2026-06-04T00:00:00"/>
    <x v="0"/>
    <n v="668"/>
    <x v="0"/>
    <n v="4.7"/>
    <s v="N/A"/>
    <m/>
    <s v="668_1"/>
    <s v="Working_Woods"/>
    <x v="2"/>
    <s v="Acer"/>
    <s v="saccharum"/>
    <s v="Sapindaceae"/>
    <x v="2"/>
  </r>
  <r>
    <x v="2"/>
    <d v="2026-06-04T00:00:00"/>
    <x v="0"/>
    <n v="669"/>
    <x v="0"/>
    <n v="46.8"/>
    <s v="N/A"/>
    <m/>
    <s v="669_1"/>
    <s v="Working_Woods"/>
    <x v="2"/>
    <s v="Acer"/>
    <s v="saccharum"/>
    <s v="Sapindaceae"/>
    <x v="1"/>
  </r>
  <r>
    <x v="2"/>
    <d v="2026-06-04T00:00:00"/>
    <x v="0"/>
    <n v="670"/>
    <x v="0"/>
    <n v="13.2"/>
    <s v="A"/>
    <s v="POM at 1.187m"/>
    <s v="670_1"/>
    <s v="Working_Woods"/>
    <x v="2"/>
    <s v="Acer"/>
    <s v="saccharum"/>
    <s v="Sapindaceae"/>
    <x v="3"/>
  </r>
  <r>
    <x v="2"/>
    <d v="2026-06-04T00:00:00"/>
    <x v="2"/>
    <n v="671"/>
    <x v="0"/>
    <n v="78"/>
    <s v="N/A"/>
    <s v="also tagged 1288 at foot of tree"/>
    <s v="671_1"/>
    <s v="Working_Woods"/>
    <x v="2"/>
    <s v="Acer"/>
    <s v="rubrum"/>
    <s v="Sapindaceae"/>
    <x v="4"/>
  </r>
  <r>
    <x v="2"/>
    <d v="2026-06-04T00:00:00"/>
    <x v="0"/>
    <n v="672"/>
    <x v="0"/>
    <n v="3.9"/>
    <s v="L"/>
    <s v="arched, soft measure used"/>
    <s v="672_1"/>
    <s v="Working_Woods"/>
    <x v="2"/>
    <s v="Acer"/>
    <s v="saccharum"/>
    <s v="Sapindaceae"/>
    <x v="2"/>
  </r>
  <r>
    <x v="2"/>
    <d v="2026-06-04T00:00:00"/>
    <x v="0"/>
    <n v="673"/>
    <x v="0"/>
    <n v="2.4"/>
    <s v="N/A"/>
    <m/>
    <s v="673_1"/>
    <s v="Working_Woods"/>
    <x v="2"/>
    <s v="Acer"/>
    <s v="saccharum"/>
    <s v="Sapindaceae"/>
    <x v="2"/>
  </r>
  <r>
    <x v="2"/>
    <d v="2026-06-04T00:00:00"/>
    <x v="0"/>
    <n v="674"/>
    <x v="0"/>
    <n v="7.5"/>
    <s v="L"/>
    <m/>
    <s v="674_1"/>
    <s v="Working_Woods"/>
    <x v="2"/>
    <s v="Acer"/>
    <s v="saccharum"/>
    <s v="Sapindaceae"/>
    <x v="5"/>
  </r>
  <r>
    <x v="2"/>
    <d v="2026-06-04T00:00:00"/>
    <x v="0"/>
    <n v="675"/>
    <x v="0"/>
    <n v="4.7"/>
    <s v="L"/>
    <m/>
    <s v="675_1"/>
    <s v="Working_Woods"/>
    <x v="2"/>
    <s v="Acer"/>
    <s v="saccharum"/>
    <s v="Sapindaceae"/>
    <x v="2"/>
  </r>
  <r>
    <x v="2"/>
    <d v="2026-06-04T00:00:00"/>
    <x v="0"/>
    <n v="676"/>
    <x v="0"/>
    <n v="7.8"/>
    <s v="L"/>
    <m/>
    <s v="676_1"/>
    <s v="Working_Woods"/>
    <x v="2"/>
    <s v="Acer"/>
    <s v="saccharum"/>
    <s v="Sapindaceae"/>
    <x v="5"/>
  </r>
  <r>
    <x v="2"/>
    <d v="2026-06-04T00:00:00"/>
    <x v="17"/>
    <n v="677"/>
    <x v="0"/>
    <n v="58"/>
    <s v="N/A"/>
    <s v="also tagged 1134"/>
    <s v="677_1"/>
    <s v="Working_Woods"/>
    <x v="2"/>
    <s v="Juglans"/>
    <s v="nigra"/>
    <s v="Juglandaceae"/>
    <x v="4"/>
  </r>
  <r>
    <x v="2"/>
    <d v="2026-06-04T00:00:00"/>
    <x v="7"/>
    <n v="678"/>
    <x v="0"/>
    <n v="37.4"/>
    <s v="M"/>
    <s v="letters assigned counterclockwise from main stem"/>
    <s v="678_1"/>
    <s v="Working_Woods"/>
    <x v="2"/>
    <s v="Fagus"/>
    <s v="grandifolia"/>
    <s v="Fagaceae"/>
    <x v="0"/>
  </r>
  <r>
    <x v="2"/>
    <d v="2026-06-04T00:00:00"/>
    <x v="7"/>
    <n v="678"/>
    <x v="1"/>
    <n v="5.4"/>
    <s v="M"/>
    <m/>
    <s v="678_2"/>
    <s v="Working_Woods"/>
    <x v="2"/>
    <s v="Fagus"/>
    <s v="grandifolia"/>
    <s v="Fagaceae"/>
    <x v="5"/>
  </r>
  <r>
    <x v="2"/>
    <d v="2026-06-04T00:00:00"/>
    <x v="7"/>
    <n v="678"/>
    <x v="2"/>
    <n v="2.6"/>
    <s v="M,W"/>
    <s v="soft measure used"/>
    <s v="678_3"/>
    <s v="Working_Woods"/>
    <x v="2"/>
    <s v="Fagus"/>
    <s v="grandifolia"/>
    <s v="Fagaceae"/>
    <x v="2"/>
  </r>
  <r>
    <x v="2"/>
    <d v="2026-06-04T00:00:00"/>
    <x v="7"/>
    <n v="678"/>
    <x v="3"/>
    <n v="1.9"/>
    <s v="M,A"/>
    <s v="POM at 1.28m"/>
    <s v="678_4"/>
    <s v="Working_Woods"/>
    <x v="2"/>
    <s v="Fagus"/>
    <s v="grandifolia"/>
    <s v="Fagaceae"/>
    <x v="2"/>
  </r>
  <r>
    <x v="2"/>
    <d v="2026-06-04T00:00:00"/>
    <x v="7"/>
    <n v="678"/>
    <x v="4"/>
    <n v="1.2"/>
    <m/>
    <m/>
    <s v="678_5"/>
    <s v="Working_Woods"/>
    <x v="2"/>
    <s v="Fagus"/>
    <s v="grandifolia"/>
    <s v="Fagaceae"/>
    <x v="2"/>
  </r>
  <r>
    <x v="2"/>
    <d v="2026-06-04T00:00:00"/>
    <x v="0"/>
    <n v="679"/>
    <x v="0"/>
    <n v="20.9"/>
    <s v="L"/>
    <s v="slight lean"/>
    <s v="679_1"/>
    <s v="Working_Woods"/>
    <x v="2"/>
    <s v="Acer"/>
    <s v="saccharum"/>
    <s v="Sapindaceae"/>
    <x v="0"/>
  </r>
  <r>
    <x v="2"/>
    <d v="2026-06-04T00:00:00"/>
    <x v="0"/>
    <n v="680"/>
    <x v="0"/>
    <n v="10.7"/>
    <s v="N/A"/>
    <m/>
    <s v="680_1"/>
    <s v="Working_Woods"/>
    <x v="2"/>
    <s v="Acer"/>
    <s v="saccharum"/>
    <s v="Sapindaceae"/>
    <x v="3"/>
  </r>
  <r>
    <x v="2"/>
    <d v="2026-06-04T00:00:00"/>
    <x v="0"/>
    <n v="681"/>
    <x v="0"/>
    <n v="5.2"/>
    <s v="M,L"/>
    <m/>
    <s v="681_1"/>
    <s v="Working_Woods"/>
    <x v="2"/>
    <s v="Acer"/>
    <s v="saccharum"/>
    <s v="Sapindaceae"/>
    <x v="5"/>
  </r>
  <r>
    <x v="2"/>
    <d v="2026-06-04T00:00:00"/>
    <x v="0"/>
    <n v="681"/>
    <x v="1"/>
    <n v="1.5"/>
    <s v="M,A,L"/>
    <s v="soft measure used, POM at 1.32m"/>
    <s v="681_2"/>
    <s v="Working_Woods"/>
    <x v="2"/>
    <s v="Acer"/>
    <s v="saccharum"/>
    <s v="Sapindaceae"/>
    <x v="2"/>
  </r>
  <r>
    <x v="2"/>
    <d v="2026-06-04T00:00:00"/>
    <x v="0"/>
    <n v="682"/>
    <x v="0"/>
    <n v="5.5"/>
    <s v="N/A"/>
    <m/>
    <s v="682_1"/>
    <s v="Working_Woods"/>
    <x v="2"/>
    <s v="Acer"/>
    <s v="saccharum"/>
    <s v="Sapindaceae"/>
    <x v="5"/>
  </r>
  <r>
    <x v="2"/>
    <d v="2026-06-04T00:00:00"/>
    <x v="0"/>
    <n v="683"/>
    <x v="0"/>
    <n v="25.7"/>
    <s v="N/A"/>
    <m/>
    <s v="683_1"/>
    <s v="Working_Woods"/>
    <x v="2"/>
    <s v="Acer"/>
    <s v="saccharum"/>
    <s v="Sapindaceae"/>
    <x v="0"/>
  </r>
  <r>
    <x v="2"/>
    <d v="2026-06-04T00:00:00"/>
    <x v="0"/>
    <n v="684"/>
    <x v="0"/>
    <n v="55.9"/>
    <s v="N/A"/>
    <m/>
    <s v="684_1"/>
    <s v="Working_Woods"/>
    <x v="2"/>
    <s v="Acer"/>
    <s v="saccharum"/>
    <s v="Sapindaceae"/>
    <x v="4"/>
  </r>
  <r>
    <x v="2"/>
    <d v="2026-06-04T00:00:00"/>
    <x v="0"/>
    <n v="685"/>
    <x v="0"/>
    <n v="2.8"/>
    <s v="N/A"/>
    <m/>
    <s v="685_1"/>
    <s v="Working_Woods"/>
    <x v="2"/>
    <s v="Acer"/>
    <s v="saccharum"/>
    <s v="Sapindaceae"/>
    <x v="2"/>
  </r>
  <r>
    <x v="2"/>
    <d v="2026-06-04T00:00:00"/>
    <x v="0"/>
    <n v="686"/>
    <x v="0"/>
    <n v="16.899999999999999"/>
    <s v="L"/>
    <m/>
    <s v="686_1"/>
    <s v="Working_Woods"/>
    <x v="2"/>
    <s v="Acer"/>
    <s v="saccharum"/>
    <s v="Sapindaceae"/>
    <x v="3"/>
  </r>
  <r>
    <x v="2"/>
    <d v="2026-06-04T00:00:00"/>
    <x v="0"/>
    <n v="687"/>
    <x v="0"/>
    <n v="5"/>
    <s v="N/A"/>
    <m/>
    <s v="687_1"/>
    <s v="Working_Woods"/>
    <x v="2"/>
    <s v="Acer"/>
    <s v="saccharum"/>
    <s v="Sapindaceae"/>
    <x v="2"/>
  </r>
  <r>
    <x v="2"/>
    <d v="2026-06-04T00:00:00"/>
    <x v="0"/>
    <n v="688"/>
    <x v="0"/>
    <n v="20.7"/>
    <s v="N/A"/>
    <m/>
    <s v="688_1"/>
    <s v="Working_Woods"/>
    <x v="2"/>
    <s v="Acer"/>
    <s v="saccharum"/>
    <s v="Sapindaceae"/>
    <x v="0"/>
  </r>
  <r>
    <x v="2"/>
    <d v="2026-06-04T00:00:00"/>
    <x v="0"/>
    <n v="689"/>
    <x v="0"/>
    <n v="6"/>
    <s v="N/A"/>
    <m/>
    <s v="689_1"/>
    <s v="Working_Woods"/>
    <x v="2"/>
    <s v="Acer"/>
    <s v="saccharum"/>
    <s v="Sapindaceae"/>
    <x v="5"/>
  </r>
  <r>
    <x v="2"/>
    <d v="2026-06-04T00:00:00"/>
    <x v="0"/>
    <n v="690"/>
    <x v="0"/>
    <n v="2.5"/>
    <s v="W,A"/>
    <s v="soft measure used, POM at 1.28m"/>
    <s v="690_1"/>
    <s v="Working_Woods"/>
    <x v="2"/>
    <s v="Acer"/>
    <s v="saccharum"/>
    <s v="Sapindaceae"/>
    <x v="2"/>
  </r>
  <r>
    <x v="2"/>
    <d v="2026-06-04T00:00:00"/>
    <x v="0"/>
    <n v="691"/>
    <x v="0"/>
    <n v="4.7"/>
    <s v="N/A"/>
    <m/>
    <s v="691_1"/>
    <s v="Working_Woods"/>
    <x v="2"/>
    <s v="Acer"/>
    <s v="saccharum"/>
    <s v="Sapindaceae"/>
    <x v="2"/>
  </r>
  <r>
    <x v="2"/>
    <d v="2026-06-04T00:00:00"/>
    <x v="0"/>
    <n v="692"/>
    <x v="0"/>
    <n v="20.100000000000001"/>
    <s v="L"/>
    <m/>
    <s v="692_1"/>
    <s v="Working_Woods"/>
    <x v="2"/>
    <s v="Acer"/>
    <s v="saccharum"/>
    <s v="Sapindaceae"/>
    <x v="0"/>
  </r>
  <r>
    <x v="2"/>
    <d v="2026-06-05T00:00:00"/>
    <x v="0"/>
    <n v="693"/>
    <x v="0"/>
    <n v="6.7"/>
    <s v="A"/>
    <s v="POM at 1.28m"/>
    <s v="693_1"/>
    <s v="Working_Woods"/>
    <x v="2"/>
    <s v="Acer"/>
    <s v="saccharum"/>
    <s v="Sapindaceae"/>
    <x v="5"/>
  </r>
  <r>
    <x v="2"/>
    <d v="2026-06-05T00:00:00"/>
    <x v="0"/>
    <n v="694"/>
    <x v="0"/>
    <n v="6.2"/>
    <s v="N/A"/>
    <m/>
    <s v="694_1"/>
    <s v="Working_Woods"/>
    <x v="2"/>
    <s v="Acer"/>
    <s v="saccharum"/>
    <s v="Sapindaceae"/>
    <x v="5"/>
  </r>
  <r>
    <x v="2"/>
    <d v="2026-06-05T00:00:00"/>
    <x v="0"/>
    <n v="695"/>
    <x v="0"/>
    <n v="1.1000000000000001"/>
    <s v="L,A"/>
    <s v="POM at 1.28m"/>
    <s v="695_1"/>
    <s v="Working_Woods"/>
    <x v="2"/>
    <s v="Acer"/>
    <s v="saccharum"/>
    <s v="Sapindaceae"/>
    <x v="2"/>
  </r>
  <r>
    <x v="2"/>
    <d v="2026-06-05T00:00:00"/>
    <x v="0"/>
    <n v="696"/>
    <x v="0"/>
    <n v="9"/>
    <s v="L"/>
    <s v="slight lean"/>
    <s v="696_1"/>
    <s v="Working_Woods"/>
    <x v="2"/>
    <s v="Acer"/>
    <s v="saccharum"/>
    <s v="Sapindaceae"/>
    <x v="5"/>
  </r>
  <r>
    <x v="2"/>
    <d v="2026-06-05T00:00:00"/>
    <x v="0"/>
    <n v="697"/>
    <x v="0"/>
    <n v="2.8"/>
    <s v="A"/>
    <s v="POM at 1.28m"/>
    <s v="697_1"/>
    <s v="Working_Woods"/>
    <x v="2"/>
    <s v="Acer"/>
    <s v="saccharum"/>
    <s v="Sapindaceae"/>
    <x v="2"/>
  </r>
  <r>
    <x v="2"/>
    <d v="2026-06-05T00:00:00"/>
    <x v="0"/>
    <n v="698"/>
    <x v="0"/>
    <n v="6.3"/>
    <s v="W"/>
    <s v="soft measure used"/>
    <s v="698_1"/>
    <s v="Working_Woods"/>
    <x v="2"/>
    <s v="Acer"/>
    <s v="saccharum"/>
    <s v="Sapindaceae"/>
    <x v="5"/>
  </r>
  <r>
    <x v="2"/>
    <d v="2026-06-05T00:00:00"/>
    <x v="0"/>
    <n v="699"/>
    <x v="0"/>
    <n v="3.7"/>
    <s v="A"/>
    <s v="POM at 1.28m, knotty on trunk"/>
    <s v="699_1"/>
    <s v="Working_Woods"/>
    <x v="2"/>
    <s v="Acer"/>
    <s v="saccharum"/>
    <s v="Sapindaceae"/>
    <x v="2"/>
  </r>
  <r>
    <x v="2"/>
    <d v="2026-06-05T00:00:00"/>
    <x v="0"/>
    <n v="700"/>
    <x v="0"/>
    <n v="25.3"/>
    <s v="L"/>
    <s v="slight lean"/>
    <s v="700_1"/>
    <s v="Working_Woods"/>
    <x v="2"/>
    <s v="Acer"/>
    <s v="saccharum"/>
    <s v="Sapindaceae"/>
    <x v="0"/>
  </r>
  <r>
    <x v="2"/>
    <d v="2026-06-05T00:00:00"/>
    <x v="0"/>
    <n v="701"/>
    <x v="0"/>
    <n v="5.0999999999999996"/>
    <s v="A"/>
    <s v="POM at 1.27m, swelling at POM"/>
    <s v="701_1"/>
    <s v="Working_Woods"/>
    <x v="2"/>
    <s v="Acer"/>
    <s v="saccharum"/>
    <s v="Sapindaceae"/>
    <x v="5"/>
  </r>
  <r>
    <x v="2"/>
    <d v="2026-06-05T00:00:00"/>
    <x v="0"/>
    <n v="702"/>
    <x v="0"/>
    <n v="3.3"/>
    <s v="A"/>
    <s v="POM at 1.28m"/>
    <s v="702_1"/>
    <s v="Working_Woods"/>
    <x v="2"/>
    <s v="Acer"/>
    <s v="saccharum"/>
    <s v="Sapindaceae"/>
    <x v="2"/>
  </r>
  <r>
    <x v="2"/>
    <d v="2026-06-05T00:00:00"/>
    <x v="0"/>
    <n v="704"/>
    <x v="0"/>
    <n v="5.8"/>
    <s v="N/A"/>
    <m/>
    <s v="704_1"/>
    <s v="Working_Woods"/>
    <x v="2"/>
    <s v="Acer"/>
    <s v="saccharum"/>
    <s v="Sapindaceae"/>
    <x v="5"/>
  </r>
  <r>
    <x v="2"/>
    <d v="2026-06-05T00:00:00"/>
    <x v="0"/>
    <n v="705"/>
    <x v="0"/>
    <n v="6.7"/>
    <s v="A,L"/>
    <s v="POM at 1.28m"/>
    <s v="705_1"/>
    <s v="Working_Woods"/>
    <x v="2"/>
    <s v="Acer"/>
    <s v="saccharum"/>
    <s v="Sapindaceae"/>
    <x v="5"/>
  </r>
  <r>
    <x v="2"/>
    <d v="2026-06-05T00:00:00"/>
    <x v="0"/>
    <n v="706"/>
    <x v="0"/>
    <n v="11.8"/>
    <s v="N/A"/>
    <m/>
    <s v="706_1"/>
    <s v="Working_Woods"/>
    <x v="2"/>
    <s v="Acer"/>
    <s v="saccharum"/>
    <s v="Sapindaceae"/>
    <x v="3"/>
  </r>
  <r>
    <x v="2"/>
    <d v="2026-06-05T00:00:00"/>
    <x v="0"/>
    <n v="707"/>
    <x v="0"/>
    <n v="5.3"/>
    <s v="L"/>
    <m/>
    <s v="707_1"/>
    <s v="Working_Woods"/>
    <x v="2"/>
    <s v="Acer"/>
    <s v="saccharum"/>
    <s v="Sapindaceae"/>
    <x v="5"/>
  </r>
  <r>
    <x v="2"/>
    <d v="2026-06-05T00:00:00"/>
    <x v="0"/>
    <n v="708"/>
    <x v="0"/>
    <n v="4.3"/>
    <s v="L"/>
    <m/>
    <s v="708_1"/>
    <s v="Working_Woods"/>
    <x v="2"/>
    <s v="Acer"/>
    <s v="saccharum"/>
    <s v="Sapindaceae"/>
    <x v="2"/>
  </r>
  <r>
    <x v="2"/>
    <d v="2026-06-05T00:00:00"/>
    <x v="0"/>
    <n v="709"/>
    <x v="0"/>
    <n v="5.9"/>
    <s v="L"/>
    <m/>
    <s v="709_1"/>
    <s v="Working_Woods"/>
    <x v="2"/>
    <s v="Acer"/>
    <s v="saccharum"/>
    <s v="Sapindaceae"/>
    <x v="5"/>
  </r>
  <r>
    <x v="2"/>
    <d v="2026-06-05T00:00:00"/>
    <x v="0"/>
    <n v="710"/>
    <x v="0"/>
    <n v="8.1999999999999993"/>
    <s v="P"/>
    <s v="soft measure used"/>
    <s v="710_1"/>
    <s v="Working_Woods"/>
    <x v="2"/>
    <s v="Acer"/>
    <s v="saccharum"/>
    <s v="Sapindaceae"/>
    <x v="5"/>
  </r>
  <r>
    <x v="2"/>
    <d v="2026-06-05T00:00:00"/>
    <x v="0"/>
    <n v="711"/>
    <x v="0"/>
    <n v="3.1"/>
    <s v="L,A"/>
    <s v="POM at 1.28m"/>
    <s v="711_1"/>
    <s v="Working_Woods"/>
    <x v="2"/>
    <s v="Acer"/>
    <s v="saccharum"/>
    <s v="Sapindaceae"/>
    <x v="2"/>
  </r>
  <r>
    <x v="2"/>
    <d v="2026-06-05T00:00:00"/>
    <x v="0"/>
    <n v="712"/>
    <x v="0"/>
    <n v="3.5"/>
    <s v="W,B"/>
    <s v="soft measure used"/>
    <s v="712_1"/>
    <s v="Working_Woods"/>
    <x v="2"/>
    <s v="Acer"/>
    <s v="saccharum"/>
    <s v="Sapindaceae"/>
    <x v="2"/>
  </r>
  <r>
    <x v="2"/>
    <d v="2026-06-05T00:00:00"/>
    <x v="0"/>
    <n v="713"/>
    <x v="0"/>
    <n v="3.2"/>
    <s v="W,A"/>
    <s v="POM at 1.28m, soft measure used"/>
    <s v="713_1"/>
    <s v="Working_Woods"/>
    <x v="2"/>
    <s v="Acer"/>
    <s v="saccharum"/>
    <s v="Sapindaceae"/>
    <x v="2"/>
  </r>
  <r>
    <x v="2"/>
    <d v="2026-06-05T00:00:00"/>
    <x v="1"/>
    <n v="714"/>
    <x v="0"/>
    <n v="81.3"/>
    <s v="L"/>
    <m/>
    <s v="714_1"/>
    <s v="Working_Woods"/>
    <x v="2"/>
    <s v="Prunus"/>
    <s v="serotina"/>
    <s v="Rosaceae"/>
    <x v="4"/>
  </r>
  <r>
    <x v="2"/>
    <d v="2026-06-05T00:00:00"/>
    <x v="0"/>
    <n v="715"/>
    <x v="0"/>
    <n v="4.5999999999999996"/>
    <s v="L"/>
    <m/>
    <s v="715_1"/>
    <s v="Working_Woods"/>
    <x v="2"/>
    <s v="Acer"/>
    <s v="saccharum"/>
    <s v="Sapindaceae"/>
    <x v="2"/>
  </r>
  <r>
    <x v="2"/>
    <d v="2026-06-05T00:00:00"/>
    <x v="0"/>
    <n v="716"/>
    <x v="0"/>
    <n v="5"/>
    <s v="L"/>
    <m/>
    <s v="716_1"/>
    <s v="Working_Woods"/>
    <x v="2"/>
    <s v="Acer"/>
    <s v="saccharum"/>
    <s v="Sapindaceae"/>
    <x v="2"/>
  </r>
  <r>
    <x v="2"/>
    <d v="2026-06-05T00:00:00"/>
    <x v="0"/>
    <n v="717"/>
    <x v="0"/>
    <n v="6.3"/>
    <s v="L"/>
    <m/>
    <s v="717_1"/>
    <s v="Working_Woods"/>
    <x v="2"/>
    <s v="Acer"/>
    <s v="saccharum"/>
    <s v="Sapindaceae"/>
    <x v="5"/>
  </r>
  <r>
    <x v="2"/>
    <d v="2026-06-05T00:00:00"/>
    <x v="1"/>
    <n v="718"/>
    <x v="0"/>
    <n v="73.8"/>
    <s v="N/A"/>
    <m/>
    <s v="718_1"/>
    <s v="Working_Woods"/>
    <x v="2"/>
    <s v="Prunus"/>
    <s v="serotina"/>
    <s v="Rosaceae"/>
    <x v="4"/>
  </r>
  <r>
    <x v="2"/>
    <d v="2026-06-05T00:00:00"/>
    <x v="0"/>
    <n v="719"/>
    <x v="0"/>
    <n v="4.2"/>
    <s v="L"/>
    <m/>
    <s v="719_1"/>
    <s v="Working_Woods"/>
    <x v="2"/>
    <s v="Acer"/>
    <s v="saccharum"/>
    <s v="Sapindaceae"/>
    <x v="2"/>
  </r>
  <r>
    <x v="2"/>
    <d v="2026-06-05T00:00:00"/>
    <x v="0"/>
    <n v="720"/>
    <x v="0"/>
    <n v="7.4"/>
    <s v="A"/>
    <s v="POM at 1.27m"/>
    <s v="720_1"/>
    <s v="Working_Woods"/>
    <x v="2"/>
    <s v="Acer"/>
    <s v="saccharum"/>
    <s v="Sapindaceae"/>
    <x v="5"/>
  </r>
  <r>
    <x v="2"/>
    <d v="2026-06-05T00:00:00"/>
    <x v="0"/>
    <n v="721"/>
    <x v="0"/>
    <n v="6.2"/>
    <s v="N/A"/>
    <m/>
    <s v="721_1"/>
    <s v="Working_Woods"/>
    <x v="2"/>
    <s v="Acer"/>
    <s v="saccharum"/>
    <s v="Sapindaceae"/>
    <x v="5"/>
  </r>
  <r>
    <x v="2"/>
    <d v="2026-06-05T00:00:00"/>
    <x v="0"/>
    <n v="722"/>
    <x v="0"/>
    <n v="12.2"/>
    <s v="N/A"/>
    <s v="dead second stem"/>
    <s v="722_1"/>
    <s v="Working_Woods"/>
    <x v="2"/>
    <s v="Acer"/>
    <s v="saccharum"/>
    <s v="Sapindaceae"/>
    <x v="3"/>
  </r>
  <r>
    <x v="2"/>
    <d v="2026-06-05T00:00:00"/>
    <x v="7"/>
    <n v="723"/>
    <x v="0"/>
    <n v="8.8000000000000007"/>
    <s v="W"/>
    <s v="soft measure used"/>
    <s v="723_1"/>
    <s v="Working_Woods"/>
    <x v="2"/>
    <s v="Fagus"/>
    <s v="grandifolia"/>
    <s v="Fagaceae"/>
    <x v="5"/>
  </r>
  <r>
    <x v="2"/>
    <d v="2026-06-05T00:00:00"/>
    <x v="7"/>
    <n v="724"/>
    <x v="0"/>
    <n v="12.2"/>
    <s v="L"/>
    <m/>
    <s v="724_1"/>
    <s v="Working_Woods"/>
    <x v="2"/>
    <s v="Fagus"/>
    <s v="grandifolia"/>
    <s v="Fagaceae"/>
    <x v="3"/>
  </r>
  <r>
    <x v="2"/>
    <d v="2026-06-05T00:00:00"/>
    <x v="0"/>
    <n v="725"/>
    <x v="0"/>
    <n v="21.4"/>
    <s v="L"/>
    <m/>
    <s v="725_1"/>
    <s v="Working_Woods"/>
    <x v="2"/>
    <s v="Acer"/>
    <s v="saccharum"/>
    <s v="Sapindaceae"/>
    <x v="0"/>
  </r>
  <r>
    <x v="2"/>
    <d v="2026-06-05T00:00:00"/>
    <x v="0"/>
    <n v="726"/>
    <x v="0"/>
    <n v="21.1"/>
    <s v="L"/>
    <m/>
    <s v="726_1"/>
    <s v="Working_Woods"/>
    <x v="2"/>
    <s v="Acer"/>
    <s v="saccharum"/>
    <s v="Sapindaceae"/>
    <x v="0"/>
  </r>
  <r>
    <x v="2"/>
    <d v="2026-06-05T00:00:00"/>
    <x v="0"/>
    <n v="727"/>
    <x v="0"/>
    <n v="2"/>
    <s v="M"/>
    <m/>
    <s v="727_1"/>
    <s v="Working_Woods"/>
    <x v="2"/>
    <s v="Acer"/>
    <s v="saccharum"/>
    <s v="Sapindaceae"/>
    <x v="2"/>
  </r>
  <r>
    <x v="2"/>
    <d v="2026-06-05T00:00:00"/>
    <x v="0"/>
    <n v="727"/>
    <x v="1"/>
    <n v="1.5"/>
    <s v="M"/>
    <m/>
    <s v="727_2"/>
    <s v="Working_Woods"/>
    <x v="2"/>
    <s v="Acer"/>
    <s v="saccharum"/>
    <s v="Sapindaceae"/>
    <x v="2"/>
  </r>
  <r>
    <x v="2"/>
    <d v="2026-06-05T00:00:00"/>
    <x v="0"/>
    <n v="728"/>
    <x v="0"/>
    <n v="21.8"/>
    <s v="L"/>
    <m/>
    <s v="728_1"/>
    <s v="Working_Woods"/>
    <x v="2"/>
    <s v="Acer"/>
    <s v="saccharum"/>
    <s v="Sapindaceae"/>
    <x v="0"/>
  </r>
  <r>
    <x v="2"/>
    <d v="2026-06-05T00:00:00"/>
    <x v="0"/>
    <n v="729"/>
    <x v="0"/>
    <n v="4.2"/>
    <s v="P"/>
    <s v="soft measure used"/>
    <s v="729_1"/>
    <s v="Working_Woods"/>
    <x v="2"/>
    <s v="Acer"/>
    <s v="saccharum"/>
    <s v="Sapindaceae"/>
    <x v="2"/>
  </r>
  <r>
    <x v="3"/>
    <d v="2026-06-05T00:00:00"/>
    <x v="10"/>
    <n v="730"/>
    <x v="0"/>
    <n v="33.4"/>
    <s v="L"/>
    <m/>
    <s v="730_1"/>
    <s v="Green_Ash_Swamp (Across from WW)"/>
    <x v="0"/>
    <s v="Quercus"/>
    <s v="rubra"/>
    <s v="Fagaceae"/>
    <x v="0"/>
  </r>
  <r>
    <x v="3"/>
    <d v="2026-06-05T00:00:00"/>
    <x v="0"/>
    <n v="731"/>
    <x v="0"/>
    <n v="1.3"/>
    <s v="W"/>
    <s v="soft measure used"/>
    <s v="731_1"/>
    <s v="Green_Ash_Swamp (Across from WW)"/>
    <x v="0"/>
    <s v="Acer"/>
    <s v="saccharum"/>
    <s v="Sapindaceae"/>
    <x v="2"/>
  </r>
  <r>
    <x v="3"/>
    <d v="2026-06-05T00:00:00"/>
    <x v="0"/>
    <n v="732"/>
    <x v="0"/>
    <n v="1.9"/>
    <s v="N/A"/>
    <m/>
    <s v="732_1"/>
    <s v="Green_Ash_Swamp (Across from WW)"/>
    <x v="0"/>
    <s v="Acer"/>
    <s v="saccharum"/>
    <s v="Sapindaceae"/>
    <x v="2"/>
  </r>
  <r>
    <x v="3"/>
    <d v="2026-06-05T00:00:00"/>
    <x v="0"/>
    <n v="733"/>
    <x v="0"/>
    <n v="1.8"/>
    <s v="M"/>
    <s v="Tagged"/>
    <s v="733_1"/>
    <s v="Green_Ash_Swamp (Across from WW)"/>
    <x v="0"/>
    <s v="Acer"/>
    <s v="saccharum"/>
    <s v="Sapindaceae"/>
    <x v="2"/>
  </r>
  <r>
    <x v="3"/>
    <m/>
    <x v="0"/>
    <n v="733"/>
    <x v="1"/>
    <n v="1.8"/>
    <s v="M,W"/>
    <s v="soft measure used"/>
    <s v="733_2"/>
    <s v="Green_Ash_Swamp (Across from WW)"/>
    <x v="0"/>
    <s v="Acer"/>
    <s v="saccharum"/>
    <s v="Sapindaceae"/>
    <x v="2"/>
  </r>
  <r>
    <x v="3"/>
    <d v="2026-06-05T00:00:00"/>
    <x v="3"/>
    <n v="734"/>
    <x v="0"/>
    <n v="27.7"/>
    <s v="N/A"/>
    <m/>
    <s v="734_1"/>
    <s v="Green_Ash_Swamp (Across from WW)"/>
    <x v="0"/>
    <s v="Lirodendron"/>
    <s v="tulipfera"/>
    <s v="Magnoliaceae"/>
    <x v="0"/>
  </r>
  <r>
    <x v="3"/>
    <d v="2026-06-05T00:00:00"/>
    <x v="0"/>
    <n v="735"/>
    <x v="0"/>
    <n v="1.5"/>
    <s v="L"/>
    <m/>
    <s v="735_1"/>
    <s v="Green_Ash_Swamp (Across from WW)"/>
    <x v="0"/>
    <s v="Acer"/>
    <s v="saccharum"/>
    <s v="Sapindaceae"/>
    <x v="2"/>
  </r>
  <r>
    <x v="3"/>
    <d v="2026-06-05T00:00:00"/>
    <x v="0"/>
    <n v="736"/>
    <x v="0"/>
    <n v="4.5"/>
    <s v="N/A"/>
    <m/>
    <s v="736_1"/>
    <s v="Green_Ash_Swamp (Across from WW)"/>
    <x v="0"/>
    <s v="Acer"/>
    <s v="saccharum"/>
    <s v="Sapindaceae"/>
    <x v="2"/>
  </r>
  <r>
    <x v="3"/>
    <d v="2026-06-05T00:00:00"/>
    <x v="3"/>
    <n v="737"/>
    <x v="0"/>
    <n v="44.8"/>
    <s v="N/A"/>
    <m/>
    <s v="737_1"/>
    <s v="Green_Ash_Swamp (Across from WW)"/>
    <x v="0"/>
    <s v="Lirodendron"/>
    <s v="tulipfera"/>
    <s v="Magnoliaceae"/>
    <x v="1"/>
  </r>
  <r>
    <x v="3"/>
    <d v="2026-06-05T00:00:00"/>
    <x v="0"/>
    <n v="738"/>
    <x v="0"/>
    <n v="7.2"/>
    <s v="N/A"/>
    <m/>
    <s v="738_1"/>
    <s v="Green_Ash_Swamp (Across from WW)"/>
    <x v="0"/>
    <s v="Acer"/>
    <s v="saccharum"/>
    <s v="Sapindaceae"/>
    <x v="5"/>
  </r>
  <r>
    <x v="3"/>
    <d v="2026-06-05T00:00:00"/>
    <x v="0"/>
    <n v="739"/>
    <x v="0"/>
    <n v="3.4"/>
    <s v="L"/>
    <m/>
    <s v="739_1"/>
    <s v="Green_Ash_Swamp (Across from WW)"/>
    <x v="0"/>
    <s v="Acer"/>
    <s v="saccharum"/>
    <s v="Sapindaceae"/>
    <x v="2"/>
  </r>
  <r>
    <x v="3"/>
    <d v="2026-06-05T00:00:00"/>
    <x v="0"/>
    <n v="740"/>
    <x v="0"/>
    <n v="21.8"/>
    <s v="N/A"/>
    <m/>
    <s v="740_1"/>
    <s v="Green_Ash_Swamp (Across from WW)"/>
    <x v="0"/>
    <s v="Acer"/>
    <s v="saccharum"/>
    <s v="Sapindaceae"/>
    <x v="0"/>
  </r>
  <r>
    <x v="3"/>
    <d v="2026-06-05T00:00:00"/>
    <x v="7"/>
    <n v="741"/>
    <x v="0"/>
    <n v="1.8"/>
    <s v="N/A"/>
    <m/>
    <s v="741_1"/>
    <s v="Green_Ash_Swamp (Across from WW)"/>
    <x v="0"/>
    <s v="Fagus"/>
    <s v="grandifolia"/>
    <s v="Fagaceae"/>
    <x v="2"/>
  </r>
  <r>
    <x v="3"/>
    <d v="2026-06-05T00:00:00"/>
    <x v="0"/>
    <n v="742"/>
    <x v="0"/>
    <n v="3.3"/>
    <s v="L"/>
    <m/>
    <s v="742_1"/>
    <s v="Green_Ash_Swamp (Across from WW)"/>
    <x v="0"/>
    <s v="Acer"/>
    <s v="saccharum"/>
    <s v="Sapindaceae"/>
    <x v="2"/>
  </r>
  <r>
    <x v="3"/>
    <d v="2026-06-05T00:00:00"/>
    <x v="0"/>
    <n v="743"/>
    <x v="0"/>
    <n v="2.6"/>
    <s v="L"/>
    <m/>
    <s v="743_1"/>
    <s v="Green_Ash_Swamp (Across from WW)"/>
    <x v="0"/>
    <s v="Acer"/>
    <s v="saccharum"/>
    <s v="Sapindaceae"/>
    <x v="2"/>
  </r>
  <r>
    <x v="3"/>
    <d v="2026-06-05T00:00:00"/>
    <x v="0"/>
    <n v="744"/>
    <x v="0"/>
    <n v="5.2"/>
    <s v="N/A"/>
    <m/>
    <s v="744_1"/>
    <s v="Green_Ash_Swamp (Across from WW)"/>
    <x v="0"/>
    <s v="Acer"/>
    <s v="saccharum"/>
    <s v="Sapindaceae"/>
    <x v="5"/>
  </r>
  <r>
    <x v="3"/>
    <d v="2026-06-05T00:00:00"/>
    <x v="0"/>
    <n v="745"/>
    <x v="0"/>
    <n v="2.5"/>
    <s v="L"/>
    <m/>
    <s v="745_1"/>
    <s v="Green_Ash_Swamp (Across from WW)"/>
    <x v="0"/>
    <s v="Acer"/>
    <s v="saccharum"/>
    <s v="Sapindaceae"/>
    <x v="2"/>
  </r>
  <r>
    <x v="3"/>
    <d v="2026-06-05T00:00:00"/>
    <x v="0"/>
    <n v="746"/>
    <x v="0"/>
    <n v="4"/>
    <s v="L"/>
    <m/>
    <s v="746_1"/>
    <s v="Green_Ash_Swamp (Across from WW)"/>
    <x v="0"/>
    <s v="Acer"/>
    <s v="saccharum"/>
    <s v="Sapindaceae"/>
    <x v="2"/>
  </r>
  <r>
    <x v="3"/>
    <d v="2026-06-05T00:00:00"/>
    <x v="7"/>
    <n v="747"/>
    <x v="0"/>
    <n v="1.8"/>
    <s v="N/A"/>
    <m/>
    <s v="747_1"/>
    <s v="Green_Ash_Swamp (Across from WW)"/>
    <x v="0"/>
    <s v="Fagus"/>
    <s v="grandifolia"/>
    <s v="Fagaceae"/>
    <x v="2"/>
  </r>
  <r>
    <x v="3"/>
    <d v="2026-06-05T00:00:00"/>
    <x v="0"/>
    <n v="748"/>
    <x v="0"/>
    <n v="2.2000000000000002"/>
    <s v="L"/>
    <m/>
    <s v="748_1"/>
    <s v="Green_Ash_Swamp (Across from WW)"/>
    <x v="0"/>
    <s v="Acer"/>
    <s v="saccharum"/>
    <s v="Sapindaceae"/>
    <x v="2"/>
  </r>
  <r>
    <x v="3"/>
    <d v="2026-06-05T00:00:00"/>
    <x v="0"/>
    <n v="749"/>
    <x v="0"/>
    <n v="5.5"/>
    <s v="L"/>
    <m/>
    <s v="749_1"/>
    <s v="Green_Ash_Swamp (Across from WW)"/>
    <x v="0"/>
    <s v="Acer"/>
    <s v="saccharum"/>
    <s v="Sapindaceae"/>
    <x v="5"/>
  </r>
  <r>
    <x v="3"/>
    <d v="2026-06-05T00:00:00"/>
    <x v="0"/>
    <n v="750"/>
    <x v="0"/>
    <n v="2.6"/>
    <s v="L"/>
    <m/>
    <s v="750_1"/>
    <s v="Green_Ash_Swamp (Across from WW)"/>
    <x v="0"/>
    <s v="Acer"/>
    <s v="saccharum"/>
    <s v="Sapindaceae"/>
    <x v="2"/>
  </r>
  <r>
    <x v="3"/>
    <d v="2026-06-05T00:00:00"/>
    <x v="0"/>
    <n v="751"/>
    <x v="0"/>
    <n v="2.7"/>
    <s v="L"/>
    <m/>
    <s v="751_1"/>
    <s v="Green_Ash_Swamp (Across from WW)"/>
    <x v="0"/>
    <s v="Acer"/>
    <s v="saccharum"/>
    <s v="Sapindaceae"/>
    <x v="2"/>
  </r>
  <r>
    <x v="3"/>
    <d v="2026-06-05T00:00:00"/>
    <x v="0"/>
    <n v="752"/>
    <x v="0"/>
    <n v="3.4"/>
    <s v="A"/>
    <s v="POM at 1.28m"/>
    <s v="752_1"/>
    <s v="Green_Ash_Swamp (Across from WW)"/>
    <x v="0"/>
    <s v="Acer"/>
    <s v="saccharum"/>
    <s v="Sapindaceae"/>
    <x v="2"/>
  </r>
  <r>
    <x v="3"/>
    <d v="2026-06-05T00:00:00"/>
    <x v="7"/>
    <n v="753"/>
    <x v="0"/>
    <n v="2.2000000000000002"/>
    <s v="N/A"/>
    <m/>
    <s v="753_1"/>
    <s v="Green_Ash_Swamp (Across from WW)"/>
    <x v="0"/>
    <s v="Fagus"/>
    <s v="grandifolia"/>
    <s v="Fagaceae"/>
    <x v="2"/>
  </r>
  <r>
    <x v="3"/>
    <d v="2026-06-05T00:00:00"/>
    <x v="0"/>
    <n v="754"/>
    <x v="0"/>
    <n v="3.1"/>
    <s v="L"/>
    <m/>
    <s v="754_1"/>
    <s v="Green_Ash_Swamp (Across from WW)"/>
    <x v="0"/>
    <s v="Acer"/>
    <s v="saccharum"/>
    <s v="Sapindaceae"/>
    <x v="2"/>
  </r>
  <r>
    <x v="3"/>
    <d v="2026-06-05T00:00:00"/>
    <x v="0"/>
    <n v="755"/>
    <x v="0"/>
    <n v="2"/>
    <s v="B,L"/>
    <s v="nearly dead"/>
    <s v="755_1"/>
    <s v="Green_Ash_Swamp (Across from WW)"/>
    <x v="0"/>
    <s v="Acer"/>
    <s v="saccharum"/>
    <s v="Sapindaceae"/>
    <x v="2"/>
  </r>
  <r>
    <x v="3"/>
    <d v="2026-06-05T00:00:00"/>
    <x v="0"/>
    <n v="756"/>
    <x v="0"/>
    <n v="1.4"/>
    <s v="N/A"/>
    <m/>
    <s v="756_1"/>
    <s v="Green_Ash_Swamp (Across from WW)"/>
    <x v="0"/>
    <s v="Acer"/>
    <s v="saccharum"/>
    <s v="Sapindaceae"/>
    <x v="2"/>
  </r>
  <r>
    <x v="3"/>
    <d v="2026-06-05T00:00:00"/>
    <x v="0"/>
    <n v="757"/>
    <x v="0"/>
    <n v="1.9"/>
    <s v="L"/>
    <m/>
    <s v="757_1"/>
    <s v="Green_Ash_Swamp (Across from WW)"/>
    <x v="0"/>
    <s v="Acer"/>
    <s v="saccharum"/>
    <s v="Sapindaceae"/>
    <x v="2"/>
  </r>
  <r>
    <x v="3"/>
    <d v="2026-06-05T00:00:00"/>
    <x v="18"/>
    <n v="758"/>
    <x v="0"/>
    <n v="9.1999999999999993"/>
    <s v="N/A"/>
    <m/>
    <s v="758_1"/>
    <s v="Green_Ash_Swamp (Across from WW)"/>
    <x v="0"/>
    <s v="Crataegus"/>
    <s v="species"/>
    <s v="Rosaceae"/>
    <x v="5"/>
  </r>
  <r>
    <x v="3"/>
    <d v="2026-06-05T00:00:00"/>
    <x v="0"/>
    <n v="759"/>
    <x v="0"/>
    <n v="2"/>
    <s v="N/A"/>
    <m/>
    <s v="759_1"/>
    <s v="Green_Ash_Swamp (Across from WW)"/>
    <x v="0"/>
    <s v="Acer"/>
    <s v="saccharum"/>
    <s v="Sapindaceae"/>
    <x v="2"/>
  </r>
  <r>
    <x v="3"/>
    <d v="2026-06-05T00:00:00"/>
    <x v="0"/>
    <n v="760"/>
    <x v="0"/>
    <n v="1.4"/>
    <s v="W"/>
    <m/>
    <s v="760_1"/>
    <s v="Green_Ash_Swamp (Across from WW)"/>
    <x v="0"/>
    <s v="Acer"/>
    <s v="saccharum"/>
    <s v="Sapindaceae"/>
    <x v="2"/>
  </r>
  <r>
    <x v="3"/>
    <d v="2026-06-05T00:00:00"/>
    <x v="18"/>
    <n v="761"/>
    <x v="0"/>
    <n v="13.4"/>
    <s v="L"/>
    <s v="slight lean"/>
    <s v="761_1"/>
    <s v="Green_Ash_Swamp (Across from WW)"/>
    <x v="0"/>
    <s v="Crataegus"/>
    <s v="species"/>
    <s v="Rosaceae"/>
    <x v="3"/>
  </r>
  <r>
    <x v="3"/>
    <d v="2026-06-05T00:00:00"/>
    <x v="0"/>
    <n v="762"/>
    <x v="0"/>
    <n v="1.9"/>
    <s v="N/A"/>
    <m/>
    <s v="762_1"/>
    <s v="Green_Ash_Swamp (Across from WW)"/>
    <x v="0"/>
    <s v="Acer"/>
    <s v="saccharum"/>
    <s v="Sapindaceae"/>
    <x v="2"/>
  </r>
  <r>
    <x v="3"/>
    <d v="2026-06-05T00:00:00"/>
    <x v="0"/>
    <n v="763"/>
    <x v="0"/>
    <n v="3.8"/>
    <s v="A"/>
    <s v="POM at 1.225, knotty at POM"/>
    <s v="763_1"/>
    <s v="Green_Ash_Swamp (Across from WW)"/>
    <x v="0"/>
    <s v="Acer"/>
    <s v="saccharum"/>
    <s v="Sapindaceae"/>
    <x v="2"/>
  </r>
  <r>
    <x v="3"/>
    <d v="2026-06-05T00:00:00"/>
    <x v="0"/>
    <n v="764"/>
    <x v="0"/>
    <n v="1.5"/>
    <s v="N/A"/>
    <s v="lots of dieback"/>
    <s v="764_1"/>
    <s v="Green_Ash_Swamp (Across from WW)"/>
    <x v="0"/>
    <s v="Acer"/>
    <s v="saccharum"/>
    <s v="Sapindaceae"/>
    <x v="2"/>
  </r>
  <r>
    <x v="3"/>
    <d v="2026-06-05T00:00:00"/>
    <x v="0"/>
    <n v="765"/>
    <x v="0"/>
    <n v="3.1"/>
    <s v="N/A"/>
    <s v="branching below POM, &lt; 1cm"/>
    <s v="765_1"/>
    <s v="Green_Ash_Swamp (Across from WW)"/>
    <x v="0"/>
    <s v="Acer"/>
    <s v="saccharum"/>
    <s v="Sapindaceae"/>
    <x v="2"/>
  </r>
  <r>
    <x v="3"/>
    <d v="2026-06-05T00:00:00"/>
    <x v="0"/>
    <n v="766"/>
    <x v="0"/>
    <n v="3.3"/>
    <s v="L"/>
    <m/>
    <s v="766_1"/>
    <s v="Green_Ash_Swamp (Across from WW)"/>
    <x v="0"/>
    <s v="Acer"/>
    <s v="saccharum"/>
    <s v="Sapindaceae"/>
    <x v="2"/>
  </r>
  <r>
    <x v="3"/>
    <d v="2026-06-05T00:00:00"/>
    <x v="0"/>
    <n v="767"/>
    <x v="0"/>
    <n v="1.5"/>
    <s v="N/A"/>
    <m/>
    <s v="767_1"/>
    <s v="Green_Ash_Swamp (Across from WW)"/>
    <x v="0"/>
    <s v="Acer"/>
    <s v="saccharum"/>
    <s v="Sapindaceae"/>
    <x v="2"/>
  </r>
  <r>
    <x v="3"/>
    <d v="2026-06-05T00:00:00"/>
    <x v="0"/>
    <n v="768"/>
    <x v="0"/>
    <n v="5"/>
    <s v="L"/>
    <m/>
    <s v="768_1"/>
    <s v="Green_Ash_Swamp (Across from WW)"/>
    <x v="0"/>
    <s v="Acer"/>
    <s v="saccharum"/>
    <s v="Sapindaceae"/>
    <x v="2"/>
  </r>
  <r>
    <x v="3"/>
    <d v="2026-06-05T00:00:00"/>
    <x v="10"/>
    <n v="769"/>
    <x v="0"/>
    <n v="76.599999999999994"/>
    <s v="N/A"/>
    <m/>
    <s v="769_1"/>
    <s v="Green_Ash_Swamp (Across from WW)"/>
    <x v="0"/>
    <s v="Quercus"/>
    <s v="rubra"/>
    <s v="Fagaceae"/>
    <x v="4"/>
  </r>
  <r>
    <x v="3"/>
    <d v="2026-06-05T00:00:00"/>
    <x v="0"/>
    <n v="770"/>
    <x v="0"/>
    <n v="3.2"/>
    <s v="N/A"/>
    <m/>
    <s v="770_1"/>
    <s v="Green_Ash_Swamp (Across from WW)"/>
    <x v="0"/>
    <s v="Acer"/>
    <s v="saccharum"/>
    <s v="Sapindaceae"/>
    <x v="2"/>
  </r>
  <r>
    <x v="3"/>
    <d v="2026-06-05T00:00:00"/>
    <x v="0"/>
    <n v="771"/>
    <x v="0"/>
    <n v="1.5"/>
    <s v="L"/>
    <m/>
    <s v="771_1"/>
    <s v="Green_Ash_Swamp (Across from WW)"/>
    <x v="0"/>
    <s v="Acer"/>
    <s v="saccharum"/>
    <s v="Sapindaceae"/>
    <x v="2"/>
  </r>
  <r>
    <x v="3"/>
    <d v="2026-06-05T00:00:00"/>
    <x v="0"/>
    <n v="772"/>
    <x v="0"/>
    <n v="3.9"/>
    <s v="N/A"/>
    <m/>
    <s v="772_1"/>
    <s v="Green_Ash_Swamp (Across from WW)"/>
    <x v="0"/>
    <s v="Acer"/>
    <s v="saccharum"/>
    <s v="Sapindaceae"/>
    <x v="2"/>
  </r>
  <r>
    <x v="3"/>
    <d v="2026-06-05T00:00:00"/>
    <x v="0"/>
    <n v="773"/>
    <x v="0"/>
    <n v="1.3"/>
    <s v="N/A"/>
    <m/>
    <s v="773_1"/>
    <s v="Green_Ash_Swamp (Across from WW)"/>
    <x v="0"/>
    <s v="Acer"/>
    <s v="saccharum"/>
    <s v="Sapindaceae"/>
    <x v="2"/>
  </r>
  <r>
    <x v="3"/>
    <d v="2026-06-05T00:00:00"/>
    <x v="0"/>
    <n v="774"/>
    <x v="0"/>
    <n v="4.2"/>
    <s v="N/A"/>
    <m/>
    <s v="774_1"/>
    <s v="Green_Ash_Swamp (Across from WW)"/>
    <x v="0"/>
    <s v="Acer"/>
    <s v="saccharum"/>
    <s v="Sapindaceae"/>
    <x v="2"/>
  </r>
  <r>
    <x v="3"/>
    <d v="2026-06-05T00:00:00"/>
    <x v="2"/>
    <n v="775"/>
    <x v="0"/>
    <n v="18.399999999999999"/>
    <s v="N/A"/>
    <m/>
    <s v="775_1"/>
    <s v="Green_Ash_Swamp (Across from WW)"/>
    <x v="0"/>
    <s v="Acer"/>
    <s v="rubrum"/>
    <s v="Sapindaceae"/>
    <x v="3"/>
  </r>
  <r>
    <x v="3"/>
    <d v="2026-06-05T00:00:00"/>
    <x v="2"/>
    <n v="776"/>
    <x v="0"/>
    <n v="16.7"/>
    <s v="N/A"/>
    <m/>
    <s v="776_1"/>
    <s v="Green_Ash_Swamp (Across from WW)"/>
    <x v="0"/>
    <s v="Acer"/>
    <s v="rubrum"/>
    <s v="Sapindaceae"/>
    <x v="3"/>
  </r>
  <r>
    <x v="3"/>
    <d v="2026-06-05T00:00:00"/>
    <x v="2"/>
    <n v="777"/>
    <x v="0"/>
    <n v="25.8"/>
    <s v="L"/>
    <s v="slight lean"/>
    <s v="777_1"/>
    <s v="Green_Ash_Swamp (Across from WW)"/>
    <x v="0"/>
    <s v="Acer"/>
    <s v="rubrum"/>
    <s v="Sapindaceae"/>
    <x v="0"/>
  </r>
  <r>
    <x v="3"/>
    <d v="2026-06-05T00:00:00"/>
    <x v="0"/>
    <n v="778"/>
    <x v="0"/>
    <n v="1.8"/>
    <s v="N/A"/>
    <m/>
    <s v="778_1"/>
    <s v="Green_Ash_Swamp (Across from WW)"/>
    <x v="0"/>
    <s v="Acer"/>
    <s v="saccharum"/>
    <s v="Sapindaceae"/>
    <x v="2"/>
  </r>
  <r>
    <x v="3"/>
    <d v="2026-06-05T00:00:00"/>
    <x v="0"/>
    <n v="779"/>
    <x v="0"/>
    <n v="1.7"/>
    <s v="N/A"/>
    <m/>
    <s v="779_1"/>
    <s v="Green_Ash_Swamp (Across from WW)"/>
    <x v="0"/>
    <s v="Acer"/>
    <s v="saccharum"/>
    <s v="Sapindaceae"/>
    <x v="2"/>
  </r>
  <r>
    <x v="3"/>
    <d v="2026-06-05T00:00:00"/>
    <x v="2"/>
    <n v="780"/>
    <x v="0"/>
    <n v="18.600000000000001"/>
    <s v="N/A"/>
    <m/>
    <s v="780_1"/>
    <s v="Green_Ash_Swamp (Across from WW)"/>
    <x v="0"/>
    <s v="Acer"/>
    <s v="rubrum"/>
    <s v="Sapindaceae"/>
    <x v="3"/>
  </r>
  <r>
    <x v="3"/>
    <d v="2026-06-05T00:00:00"/>
    <x v="0"/>
    <n v="781"/>
    <x v="0"/>
    <n v="1.8"/>
    <s v="N/A"/>
    <m/>
    <s v="781_1"/>
    <s v="Green_Ash_Swamp (Across from WW)"/>
    <x v="0"/>
    <s v="Acer"/>
    <s v="saccharum"/>
    <s v="Sapindaceae"/>
    <x v="2"/>
  </r>
  <r>
    <x v="3"/>
    <d v="2026-06-05T00:00:00"/>
    <x v="0"/>
    <n v="782"/>
    <x v="0"/>
    <n v="2.2999999999999998"/>
    <s v="L"/>
    <m/>
    <s v="782_1"/>
    <s v="Green_Ash_Swamp (Across from WW)"/>
    <x v="0"/>
    <s v="Acer"/>
    <s v="saccharum"/>
    <s v="Sapindaceae"/>
    <x v="2"/>
  </r>
  <r>
    <x v="3"/>
    <d v="2026-06-05T00:00:00"/>
    <x v="10"/>
    <n v="783"/>
    <x v="0"/>
    <n v="42.5"/>
    <s v="L"/>
    <s v="slight lean"/>
    <s v="783_1"/>
    <s v="Green_Ash_Swamp (Across from WW)"/>
    <x v="0"/>
    <s v="Quercus"/>
    <s v="rubra"/>
    <s v="Fagaceae"/>
    <x v="1"/>
  </r>
  <r>
    <x v="3"/>
    <d v="2026-06-05T00:00:00"/>
    <x v="0"/>
    <n v="784"/>
    <x v="0"/>
    <n v="1.1000000000000001"/>
    <s v="L"/>
    <m/>
    <s v="784_1"/>
    <s v="Green_Ash_Swamp (Across from WW)"/>
    <x v="0"/>
    <s v="Acer"/>
    <s v="saccharum"/>
    <s v="Sapindaceae"/>
    <x v="2"/>
  </r>
  <r>
    <x v="3"/>
    <d v="2026-06-05T00:00:00"/>
    <x v="15"/>
    <n v="785"/>
    <x v="0"/>
    <n v="3.3"/>
    <s v="L"/>
    <m/>
    <s v="785_1"/>
    <s v="Green_Ash_Swamp (Across from WW)"/>
    <x v="0"/>
    <s v="Fraxinus"/>
    <s v="americana"/>
    <s v="Oleaceae"/>
    <x v="2"/>
  </r>
  <r>
    <x v="3"/>
    <d v="2026-06-05T00:00:00"/>
    <x v="15"/>
    <n v="786"/>
    <x v="0"/>
    <n v="2.7"/>
    <s v="W"/>
    <m/>
    <s v="786_1"/>
    <s v="Green_Ash_Swamp (Across from WW)"/>
    <x v="0"/>
    <s v="Fraxinus"/>
    <s v="americana"/>
    <s v="Oleaceae"/>
    <x v="2"/>
  </r>
  <r>
    <x v="3"/>
    <d v="2026-06-05T00:00:00"/>
    <x v="0"/>
    <n v="787"/>
    <x v="0"/>
    <n v="1.5"/>
    <s v="W"/>
    <s v="soft measure used"/>
    <s v="787_1"/>
    <s v="Green_Ash_Swamp (Across from WW)"/>
    <x v="0"/>
    <s v="Acer"/>
    <s v="saccharum"/>
    <s v="Sapindaceae"/>
    <x v="2"/>
  </r>
  <r>
    <x v="3"/>
    <d v="2026-06-05T00:00:00"/>
    <x v="7"/>
    <n v="788"/>
    <x v="0"/>
    <n v="5.4"/>
    <s v="N/A"/>
    <m/>
    <s v="788_1"/>
    <s v="Green_Ash_Swamp (Across from WW)"/>
    <x v="0"/>
    <s v="Fagus"/>
    <s v="grandifolia"/>
    <s v="Fagaceae"/>
    <x v="5"/>
  </r>
  <r>
    <x v="3"/>
    <d v="2026-06-05T00:00:00"/>
    <x v="0"/>
    <n v="789"/>
    <x v="0"/>
    <n v="1.2"/>
    <s v="L"/>
    <m/>
    <s v="789_1"/>
    <s v="Green_Ash_Swamp (Across from WW)"/>
    <x v="0"/>
    <s v="Acer"/>
    <s v="saccharum"/>
    <s v="Sapindaceae"/>
    <x v="2"/>
  </r>
  <r>
    <x v="3"/>
    <d v="2026-06-05T00:00:00"/>
    <x v="2"/>
    <n v="790"/>
    <x v="0"/>
    <n v="29.5"/>
    <s v="N/A"/>
    <m/>
    <s v="790_1"/>
    <s v="Green_Ash_Swamp (Across from WW)"/>
    <x v="0"/>
    <s v="Acer"/>
    <s v="rubrum"/>
    <s v="Sapindaceae"/>
    <x v="0"/>
  </r>
  <r>
    <x v="3"/>
    <d v="2026-06-05T00:00:00"/>
    <x v="2"/>
    <n v="791"/>
    <x v="0"/>
    <n v="15.8"/>
    <s v="N/A"/>
    <m/>
    <s v="791_1"/>
    <s v="Green_Ash_Swamp (Across from WW)"/>
    <x v="0"/>
    <s v="Acer"/>
    <s v="rubrum"/>
    <s v="Sapindaceae"/>
    <x v="3"/>
  </r>
  <r>
    <x v="3"/>
    <d v="2026-06-05T00:00:00"/>
    <x v="3"/>
    <n v="792"/>
    <x v="0"/>
    <n v="37.5"/>
    <s v="N/A"/>
    <m/>
    <s v="792_1"/>
    <s v="Green_Ash_Swamp (Across from WW)"/>
    <x v="0"/>
    <s v="Lirodendron"/>
    <s v="tulipfera"/>
    <s v="Magnoliaceae"/>
    <x v="0"/>
  </r>
  <r>
    <x v="3"/>
    <d v="2026-06-05T00:00:00"/>
    <x v="0"/>
    <n v="793"/>
    <x v="0"/>
    <n v="3.9"/>
    <s v="L"/>
    <m/>
    <s v="793_1"/>
    <s v="Green_Ash_Swamp (Across from WW)"/>
    <x v="0"/>
    <s v="Acer"/>
    <s v="saccharum"/>
    <s v="Sapindaceae"/>
    <x v="2"/>
  </r>
  <r>
    <x v="3"/>
    <d v="2026-06-05T00:00:00"/>
    <x v="10"/>
    <n v="794"/>
    <x v="0"/>
    <n v="72.5"/>
    <s v="L"/>
    <m/>
    <s v="794_1"/>
    <s v="Green_Ash_Swamp (Across from WW)"/>
    <x v="0"/>
    <s v="Quercus"/>
    <s v="rubra"/>
    <s v="Fagaceae"/>
    <x v="4"/>
  </r>
  <r>
    <x v="3"/>
    <d v="2026-06-05T00:00:00"/>
    <x v="0"/>
    <n v="795"/>
    <x v="0"/>
    <n v="1.1000000000000001"/>
    <s v="N/A"/>
    <m/>
    <s v="795_1"/>
    <s v="Green_Ash_Swamp (Across from WW)"/>
    <x v="0"/>
    <s v="Acer"/>
    <s v="saccharum"/>
    <s v="Sapindaceae"/>
    <x v="2"/>
  </r>
  <r>
    <x v="3"/>
    <d v="2026-06-05T00:00:00"/>
    <x v="2"/>
    <n v="796"/>
    <x v="0"/>
    <n v="12.5"/>
    <s v="N/A"/>
    <m/>
    <s v="796_1"/>
    <s v="Green_Ash_Swamp (Across from WW)"/>
    <x v="0"/>
    <s v="Acer"/>
    <s v="rubrum"/>
    <s v="Sapindaceae"/>
    <x v="3"/>
  </r>
  <r>
    <x v="3"/>
    <d v="2026-06-05T00:00:00"/>
    <x v="2"/>
    <n v="797"/>
    <x v="0"/>
    <n v="7.2"/>
    <s v="N/A"/>
    <m/>
    <s v="797_1"/>
    <s v="Green_Ash_Swamp (Across from WW)"/>
    <x v="0"/>
    <s v="Acer"/>
    <s v="rubrum"/>
    <s v="Sapindaceae"/>
    <x v="5"/>
  </r>
  <r>
    <x v="3"/>
    <d v="2026-06-05T00:00:00"/>
    <x v="3"/>
    <n v="798"/>
    <x v="0"/>
    <n v="33.799999999999997"/>
    <s v="N/A"/>
    <m/>
    <s v="798_1"/>
    <s v="Green_Ash_Swamp (Across from WW)"/>
    <x v="0"/>
    <s v="Lirodendron"/>
    <s v="tulipfera"/>
    <s v="Magnoliaceae"/>
    <x v="0"/>
  </r>
  <r>
    <x v="3"/>
    <d v="2026-06-05T00:00:00"/>
    <x v="3"/>
    <n v="799"/>
    <x v="0"/>
    <n v="28.2"/>
    <s v="N/A"/>
    <m/>
    <s v="799_1"/>
    <s v="Green_Ash_Swamp (Across from WW)"/>
    <x v="0"/>
    <s v="Lirodendron"/>
    <s v="tulipfera"/>
    <s v="Magnoliaceae"/>
    <x v="0"/>
  </r>
  <r>
    <x v="3"/>
    <d v="2026-06-05T00:00:00"/>
    <x v="0"/>
    <n v="800"/>
    <x v="0"/>
    <n v="3.4"/>
    <s v="N/A"/>
    <m/>
    <s v="800_1"/>
    <s v="Green_Ash_Swamp (Across from WW)"/>
    <x v="0"/>
    <s v="Acer"/>
    <s v="saccharum"/>
    <s v="Sapindaceae"/>
    <x v="2"/>
  </r>
  <r>
    <x v="3"/>
    <d v="2026-06-05T00:00:00"/>
    <x v="2"/>
    <n v="801"/>
    <x v="0"/>
    <n v="4"/>
    <s v="L"/>
    <m/>
    <s v="801_1"/>
    <s v="Green_Ash_Swamp (Across from WW)"/>
    <x v="0"/>
    <s v="Acer"/>
    <s v="rubrum"/>
    <s v="Sapindaceae"/>
    <x v="2"/>
  </r>
  <r>
    <x v="3"/>
    <d v="2026-06-05T00:00:00"/>
    <x v="0"/>
    <n v="802"/>
    <x v="0"/>
    <n v="2.4"/>
    <s v="A"/>
    <s v="POM at 1.28m"/>
    <s v="802_1"/>
    <s v="Green_Ash_Swamp (Across from WW)"/>
    <x v="0"/>
    <s v="Acer"/>
    <s v="saccharum"/>
    <s v="Sapindaceae"/>
    <x v="2"/>
  </r>
  <r>
    <x v="3"/>
    <d v="2026-06-05T00:00:00"/>
    <x v="0"/>
    <n v="803"/>
    <x v="0"/>
    <n v="13.9"/>
    <s v="L"/>
    <s v="slight lean"/>
    <s v="803_1"/>
    <s v="Green_Ash_Swamp (Across from WW)"/>
    <x v="0"/>
    <s v="Acer"/>
    <s v="saccharum"/>
    <s v="Sapindaceae"/>
    <x v="3"/>
  </r>
  <r>
    <x v="3"/>
    <d v="2026-06-05T00:00:00"/>
    <x v="2"/>
    <n v="804"/>
    <x v="0"/>
    <n v="7.8"/>
    <s v="N/A"/>
    <m/>
    <s v="804_1"/>
    <s v="Green_Ash_Swamp (Across from WW)"/>
    <x v="0"/>
    <s v="Acer"/>
    <s v="rubrum"/>
    <s v="Sapindaceae"/>
    <x v="5"/>
  </r>
  <r>
    <x v="3"/>
    <d v="2026-06-05T00:00:00"/>
    <x v="0"/>
    <n v="805"/>
    <x v="0"/>
    <n v="1.8"/>
    <s v="L"/>
    <m/>
    <s v="805_1"/>
    <s v="Green_Ash_Swamp (Across from WW)"/>
    <x v="0"/>
    <s v="Acer"/>
    <s v="saccharum"/>
    <s v="Sapindaceae"/>
    <x v="2"/>
  </r>
  <r>
    <x v="3"/>
    <d v="2026-06-05T00:00:00"/>
    <x v="2"/>
    <n v="806"/>
    <x v="0"/>
    <n v="35.299999999999997"/>
    <s v="N/A"/>
    <m/>
    <s v="806_1"/>
    <s v="Green_Ash_Swamp (Across from WW)"/>
    <x v="0"/>
    <s v="Acer"/>
    <s v="rubrum"/>
    <s v="Sapindaceae"/>
    <x v="0"/>
  </r>
  <r>
    <x v="3"/>
    <d v="2026-06-05T00:00:00"/>
    <x v="0"/>
    <n v="807"/>
    <x v="0"/>
    <n v="2.9"/>
    <s v="N/A"/>
    <m/>
    <s v="807_1"/>
    <s v="Green_Ash_Swamp (Across from WW)"/>
    <x v="0"/>
    <s v="Acer"/>
    <s v="saccharum"/>
    <s v="Sapindaceae"/>
    <x v="2"/>
  </r>
  <r>
    <x v="3"/>
    <d v="2026-06-05T00:00:00"/>
    <x v="0"/>
    <n v="808"/>
    <x v="0"/>
    <n v="18.7"/>
    <s v="N/A"/>
    <m/>
    <s v="808_1"/>
    <s v="Green_Ash_Swamp (Across from WW)"/>
    <x v="0"/>
    <s v="Acer"/>
    <s v="saccharum"/>
    <s v="Sapindaceae"/>
    <x v="3"/>
  </r>
  <r>
    <x v="3"/>
    <d v="2026-06-05T00:00:00"/>
    <x v="2"/>
    <n v="809"/>
    <x v="0"/>
    <n v="59.3"/>
    <s v="N/A"/>
    <m/>
    <s v="809_1"/>
    <s v="Green_Ash_Swamp (Across from WW)"/>
    <x v="0"/>
    <s v="Acer"/>
    <s v="rubrum"/>
    <s v="Sapindaceae"/>
    <x v="4"/>
  </r>
  <r>
    <x v="3"/>
    <d v="2026-06-05T00:00:00"/>
    <x v="3"/>
    <n v="810"/>
    <x v="0"/>
    <n v="46.5"/>
    <s v="N/A"/>
    <m/>
    <s v="810_1"/>
    <s v="Green_Ash_Swamp (Across from WW)"/>
    <x v="0"/>
    <s v="Lirodendron"/>
    <s v="tulipfera"/>
    <s v="Magnoliaceae"/>
    <x v="1"/>
  </r>
  <r>
    <x v="3"/>
    <d v="2026-06-05T00:00:00"/>
    <x v="8"/>
    <n v="811"/>
    <x v="0"/>
    <n v="1.3"/>
    <s v="L"/>
    <s v="slight lean"/>
    <s v="811_1"/>
    <s v="Green_Ash_Swamp (Across from WW)"/>
    <x v="0"/>
    <s v="Ostrya"/>
    <s v="viginiana"/>
    <s v="Betulaceae"/>
    <x v="2"/>
  </r>
  <r>
    <x v="3"/>
    <d v="2026-06-05T00:00:00"/>
    <x v="2"/>
    <n v="812"/>
    <x v="0"/>
    <n v="37.6"/>
    <s v="N/A"/>
    <m/>
    <s v="812_1"/>
    <s v="Green_Ash_Swamp (Across from WW)"/>
    <x v="0"/>
    <s v="Acer"/>
    <s v="rubrum"/>
    <s v="Sapindaceae"/>
    <x v="0"/>
  </r>
  <r>
    <x v="3"/>
    <d v="2026-06-05T00:00:00"/>
    <x v="2"/>
    <n v="813"/>
    <x v="0"/>
    <n v="14.5"/>
    <s v="N/A"/>
    <m/>
    <s v="813_1"/>
    <s v="Green_Ash_Swamp (Across from WW)"/>
    <x v="0"/>
    <s v="Acer"/>
    <s v="rubrum"/>
    <s v="Sapindaceae"/>
    <x v="3"/>
  </r>
  <r>
    <x v="3"/>
    <d v="2026-06-05T00:00:00"/>
    <x v="2"/>
    <n v="814"/>
    <x v="0"/>
    <n v="10"/>
    <s v="N/A"/>
    <m/>
    <s v="814_1"/>
    <s v="Green_Ash_Swamp (Across from WW)"/>
    <x v="0"/>
    <s v="Acer"/>
    <s v="rubrum"/>
    <s v="Sapindaceae"/>
    <x v="5"/>
  </r>
  <r>
    <x v="3"/>
    <d v="2026-06-05T00:00:00"/>
    <x v="2"/>
    <n v="815"/>
    <x v="0"/>
    <n v="42.2"/>
    <s v="N/A"/>
    <m/>
    <s v="815_1"/>
    <s v="Green_Ash_Swamp (Across from WW)"/>
    <x v="0"/>
    <s v="Acer"/>
    <s v="rubrum"/>
    <s v="Sapindaceae"/>
    <x v="1"/>
  </r>
  <r>
    <x v="3"/>
    <d v="2026-06-05T00:00:00"/>
    <x v="7"/>
    <n v="816"/>
    <x v="0"/>
    <n v="2.2999999999999998"/>
    <s v="W"/>
    <m/>
    <s v="816_1"/>
    <s v="Green_Ash_Swamp (Across from WW)"/>
    <x v="0"/>
    <s v="Fagus"/>
    <s v="grandifolia"/>
    <s v="Fagaceae"/>
    <x v="2"/>
  </r>
  <r>
    <x v="3"/>
    <d v="2026-06-05T00:00:00"/>
    <x v="2"/>
    <n v="817"/>
    <x v="0"/>
    <n v="27.4"/>
    <s v="L"/>
    <m/>
    <s v="817_1"/>
    <s v="Green_Ash_Swamp (Across from WW)"/>
    <x v="0"/>
    <s v="Acer"/>
    <s v="rubrum"/>
    <s v="Sapindaceae"/>
    <x v="0"/>
  </r>
  <r>
    <x v="3"/>
    <d v="2026-06-05T00:00:00"/>
    <x v="7"/>
    <n v="818"/>
    <x v="0"/>
    <n v="3.4"/>
    <s v="N/A"/>
    <m/>
    <s v="818_1"/>
    <s v="Green_Ash_Swamp (Across from WW)"/>
    <x v="0"/>
    <s v="Fagus"/>
    <s v="grandifolia"/>
    <s v="Fagaceae"/>
    <x v="2"/>
  </r>
  <r>
    <x v="3"/>
    <d v="2026-06-05T00:00:00"/>
    <x v="2"/>
    <n v="819"/>
    <x v="0"/>
    <n v="18.7"/>
    <s v="L"/>
    <s v="slight lean"/>
    <s v="819_1"/>
    <s v="Green_Ash_Swamp (Across from WW)"/>
    <x v="0"/>
    <s v="Acer"/>
    <s v="rubrum"/>
    <s v="Sapindaceae"/>
    <x v="3"/>
  </r>
  <r>
    <x v="3"/>
    <d v="2026-06-05T00:00:00"/>
    <x v="0"/>
    <n v="820"/>
    <x v="0"/>
    <n v="4.8"/>
    <s v="W"/>
    <m/>
    <s v="820_1"/>
    <s v="Green_Ash_Swamp (Across from WW)"/>
    <x v="0"/>
    <s v="Acer"/>
    <s v="saccharum"/>
    <s v="Sapindaceae"/>
    <x v="2"/>
  </r>
  <r>
    <x v="3"/>
    <d v="2026-06-05T00:00:00"/>
    <x v="2"/>
    <n v="821"/>
    <x v="0"/>
    <n v="16.8"/>
    <s v="N/A"/>
    <m/>
    <s v="821_1"/>
    <s v="Green_Ash_Swamp (Across from WW)"/>
    <x v="0"/>
    <s v="Acer"/>
    <s v="rubrum"/>
    <s v="Sapindaceae"/>
    <x v="3"/>
  </r>
  <r>
    <x v="3"/>
    <d v="2026-06-11T00:00:00"/>
    <x v="2"/>
    <n v="822"/>
    <x v="0"/>
    <n v="8.1999999999999993"/>
    <s v="N/A"/>
    <m/>
    <s v="822_1"/>
    <s v="Green_Ash_Swamp (Across from WW)"/>
    <x v="0"/>
    <s v="Acer"/>
    <s v="rubrum"/>
    <s v="Sapindaceae"/>
    <x v="5"/>
  </r>
  <r>
    <x v="3"/>
    <d v="2026-06-11T00:00:00"/>
    <x v="10"/>
    <n v="823"/>
    <x v="0"/>
    <n v="110.1"/>
    <s v="N/A"/>
    <m/>
    <s v="823_1"/>
    <s v="Green_Ash_Swamp (Across from WW)"/>
    <x v="0"/>
    <s v="Quercus"/>
    <s v="rubra"/>
    <s v="Fagaceae"/>
    <x v="4"/>
  </r>
  <r>
    <x v="3"/>
    <d v="2026-06-11T00:00:00"/>
    <x v="10"/>
    <n v="824"/>
    <x v="0"/>
    <n v="120.8"/>
    <s v="N/A"/>
    <m/>
    <s v="824_1"/>
    <s v="Green_Ash_Swamp (Across from WW)"/>
    <x v="0"/>
    <s v="Quercus"/>
    <s v="rubra"/>
    <s v="Fagaceae"/>
    <x v="4"/>
  </r>
  <r>
    <x v="3"/>
    <d v="2026-06-11T00:00:00"/>
    <x v="0"/>
    <n v="825"/>
    <x v="0"/>
    <n v="4.8"/>
    <s v="N/A"/>
    <m/>
    <s v="825_1"/>
    <s v="Green_Ash_Swamp (Across from WW)"/>
    <x v="0"/>
    <s v="Acer"/>
    <s v="saccharum"/>
    <s v="Sapindaceae"/>
    <x v="2"/>
  </r>
  <r>
    <x v="3"/>
    <d v="2026-06-11T00:00:00"/>
    <x v="0"/>
    <n v="826"/>
    <x v="0"/>
    <n v="2.8"/>
    <s v="N/A"/>
    <m/>
    <s v="826_1"/>
    <s v="Green_Ash_Swamp (Across from WW)"/>
    <x v="0"/>
    <s v="Acer"/>
    <s v="saccharum"/>
    <s v="Sapindaceae"/>
    <x v="2"/>
  </r>
  <r>
    <x v="3"/>
    <d v="2026-06-11T00:00:00"/>
    <x v="2"/>
    <n v="827"/>
    <x v="0"/>
    <n v="10.7"/>
    <s v="N/A"/>
    <m/>
    <s v="827_1"/>
    <s v="Green_Ash_Swamp (Across from WW)"/>
    <x v="0"/>
    <s v="Acer"/>
    <s v="rubrum"/>
    <s v="Sapindaceae"/>
    <x v="3"/>
  </r>
  <r>
    <x v="3"/>
    <d v="2026-06-11T00:00:00"/>
    <x v="0"/>
    <n v="828"/>
    <x v="0"/>
    <n v="2.2999999999999998"/>
    <s v="N/A"/>
    <m/>
    <s v="828_1"/>
    <s v="Green_Ash_Swamp (Across from WW)"/>
    <x v="0"/>
    <s v="Acer"/>
    <s v="saccharum"/>
    <s v="Sapindaceae"/>
    <x v="2"/>
  </r>
  <r>
    <x v="3"/>
    <d v="2026-06-11T00:00:00"/>
    <x v="0"/>
    <n v="829"/>
    <x v="0"/>
    <n v="2.8"/>
    <s v="N/A"/>
    <m/>
    <s v="829_1"/>
    <s v="Green_Ash_Swamp (Across from WW)"/>
    <x v="0"/>
    <s v="Acer"/>
    <s v="saccharum"/>
    <s v="Sapindaceae"/>
    <x v="2"/>
  </r>
  <r>
    <x v="3"/>
    <d v="2026-06-11T00:00:00"/>
    <x v="0"/>
    <n v="830"/>
    <x v="0"/>
    <n v="2.9"/>
    <s v="W"/>
    <s v="soft measure used"/>
    <s v="830_1"/>
    <s v="Green_Ash_Swamp (Across from WW)"/>
    <x v="0"/>
    <s v="Acer"/>
    <s v="saccharum"/>
    <s v="Sapindaceae"/>
    <x v="2"/>
  </r>
  <r>
    <x v="3"/>
    <d v="2026-06-11T00:00:00"/>
    <x v="0"/>
    <n v="831"/>
    <x v="0"/>
    <n v="1.3"/>
    <s v="N/A"/>
    <m/>
    <s v="831_1"/>
    <s v="Green_Ash_Swamp (Across from WW)"/>
    <x v="0"/>
    <s v="Acer"/>
    <s v="saccharum"/>
    <s v="Sapindaceae"/>
    <x v="2"/>
  </r>
  <r>
    <x v="3"/>
    <d v="2026-06-11T00:00:00"/>
    <x v="0"/>
    <n v="832"/>
    <x v="0"/>
    <n v="10.199999999999999"/>
    <s v="N/A"/>
    <m/>
    <s v="832_1"/>
    <s v="Green_Ash_Swamp (Across from WW)"/>
    <x v="0"/>
    <s v="Acer"/>
    <s v="saccharum"/>
    <s v="Sapindaceae"/>
    <x v="3"/>
  </r>
  <r>
    <x v="3"/>
    <d v="2026-06-11T00:00:00"/>
    <x v="0"/>
    <n v="833"/>
    <x v="0"/>
    <n v="1.9"/>
    <s v="L"/>
    <s v="tag may fall"/>
    <s v="833_1"/>
    <s v="Green_Ash_Swamp (Across from WW)"/>
    <x v="0"/>
    <s v="Acer"/>
    <s v="saccharum"/>
    <s v="Sapindaceae"/>
    <x v="2"/>
  </r>
  <r>
    <x v="3"/>
    <d v="2026-06-11T00:00:00"/>
    <x v="0"/>
    <n v="834"/>
    <x v="0"/>
    <n v="5.7"/>
    <s v="N/A"/>
    <m/>
    <s v="834_1"/>
    <s v="Green_Ash_Swamp (Across from WW)"/>
    <x v="0"/>
    <s v="Acer"/>
    <s v="saccharum"/>
    <s v="Sapindaceae"/>
    <x v="5"/>
  </r>
  <r>
    <x v="3"/>
    <d v="2026-06-11T00:00:00"/>
    <x v="0"/>
    <n v="835"/>
    <x v="0"/>
    <n v="4.2"/>
    <s v="N/A"/>
    <m/>
    <s v="835_1"/>
    <s v="Green_Ash_Swamp (Across from WW)"/>
    <x v="0"/>
    <s v="Acer"/>
    <s v="saccharum"/>
    <s v="Sapindaceae"/>
    <x v="2"/>
  </r>
  <r>
    <x v="3"/>
    <d v="2026-06-11T00:00:00"/>
    <x v="3"/>
    <n v="836"/>
    <x v="0"/>
    <n v="28.4"/>
    <s v="N/A"/>
    <m/>
    <s v="836_1"/>
    <s v="Green_Ash_Swamp (Across from WW)"/>
    <x v="0"/>
    <s v="Lirodendron"/>
    <s v="tulipfera"/>
    <s v="Magnoliaceae"/>
    <x v="0"/>
  </r>
  <r>
    <x v="3"/>
    <d v="2026-06-11T00:00:00"/>
    <x v="0"/>
    <n v="837"/>
    <x v="0"/>
    <n v="1.9"/>
    <s v="N/A"/>
    <m/>
    <s v="837_1"/>
    <s v="Green_Ash_Swamp (Across from WW)"/>
    <x v="0"/>
    <s v="Acer"/>
    <s v="saccharum"/>
    <s v="Sapindaceae"/>
    <x v="2"/>
  </r>
  <r>
    <x v="3"/>
    <d v="2026-06-11T00:00:00"/>
    <x v="0"/>
    <n v="838"/>
    <x v="0"/>
    <n v="4.5999999999999996"/>
    <s v="N/A"/>
    <m/>
    <s v="838_1"/>
    <s v="Green_Ash_Swamp (Across from WW)"/>
    <x v="0"/>
    <s v="Acer"/>
    <s v="saccharum"/>
    <s v="Sapindaceae"/>
    <x v="2"/>
  </r>
  <r>
    <x v="3"/>
    <d v="2026-06-11T00:00:00"/>
    <x v="0"/>
    <n v="839"/>
    <x v="0"/>
    <n v="2"/>
    <s v="N/A"/>
    <m/>
    <s v="839_1"/>
    <s v="Green_Ash_Swamp (Across from WW)"/>
    <x v="0"/>
    <s v="Acer"/>
    <s v="saccharum"/>
    <s v="Sapindaceae"/>
    <x v="2"/>
  </r>
  <r>
    <x v="3"/>
    <d v="2026-06-11T00:00:00"/>
    <x v="0"/>
    <n v="840"/>
    <x v="0"/>
    <n v="4.0999999999999996"/>
    <s v="L"/>
    <s v="slight lean"/>
    <s v="840_1"/>
    <s v="Green_Ash_Swamp (Across from WW)"/>
    <x v="0"/>
    <s v="Acer"/>
    <s v="saccharum"/>
    <s v="Sapindaceae"/>
    <x v="2"/>
  </r>
  <r>
    <x v="3"/>
    <d v="2026-06-11T00:00:00"/>
    <x v="2"/>
    <n v="841"/>
    <x v="0"/>
    <n v="14.1"/>
    <s v="N/A"/>
    <m/>
    <s v="841_1"/>
    <s v="Green_Ash_Swamp (Across from WW)"/>
    <x v="0"/>
    <s v="Acer"/>
    <s v="rubrum"/>
    <s v="Sapindaceae"/>
    <x v="3"/>
  </r>
  <r>
    <x v="3"/>
    <d v="2026-06-11T00:00:00"/>
    <x v="0"/>
    <n v="842"/>
    <x v="0"/>
    <n v="5"/>
    <s v="N/A"/>
    <m/>
    <s v="842_1"/>
    <s v="Green_Ash_Swamp (Across from WW)"/>
    <x v="0"/>
    <s v="Acer"/>
    <s v="saccharum"/>
    <s v="Sapindaceae"/>
    <x v="2"/>
  </r>
  <r>
    <x v="3"/>
    <d v="2026-06-11T00:00:00"/>
    <x v="0"/>
    <n v="843"/>
    <x v="0"/>
    <n v="33.1"/>
    <s v="N/A"/>
    <m/>
    <s v="843_1"/>
    <s v="Green_Ash_Swamp (Across from WW)"/>
    <x v="0"/>
    <s v="Acer"/>
    <s v="saccharum"/>
    <s v="Sapindaceae"/>
    <x v="0"/>
  </r>
  <r>
    <x v="3"/>
    <d v="2026-06-11T00:00:00"/>
    <x v="7"/>
    <n v="844"/>
    <x v="0"/>
    <n v="5.8"/>
    <s v="N/A"/>
    <m/>
    <s v="844_1"/>
    <s v="Green_Ash_Swamp (Across from WW)"/>
    <x v="0"/>
    <s v="Fagus"/>
    <s v="grandifolia"/>
    <s v="Fagaceae"/>
    <x v="5"/>
  </r>
  <r>
    <x v="3"/>
    <d v="2026-06-11T00:00:00"/>
    <x v="0"/>
    <n v="845"/>
    <x v="0"/>
    <n v="13.3"/>
    <s v="N/A"/>
    <m/>
    <s v="845_1"/>
    <s v="Green_Ash_Swamp (Across from WW)"/>
    <x v="0"/>
    <s v="Acer"/>
    <s v="saccharum"/>
    <s v="Sapindaceae"/>
    <x v="3"/>
  </r>
  <r>
    <x v="3"/>
    <d v="2026-06-11T00:00:00"/>
    <x v="2"/>
    <n v="846"/>
    <x v="0"/>
    <n v="20.6"/>
    <s v="N/A"/>
    <m/>
    <s v="846_1"/>
    <s v="Green_Ash_Swamp (Across from WW)"/>
    <x v="0"/>
    <s v="Acer"/>
    <s v="rubrum"/>
    <s v="Sapindaceae"/>
    <x v="0"/>
  </r>
  <r>
    <x v="3"/>
    <d v="2026-06-11T00:00:00"/>
    <x v="2"/>
    <n v="847"/>
    <x v="0"/>
    <n v="20.100000000000001"/>
    <s v="N/A"/>
    <m/>
    <s v="847_1"/>
    <s v="Green_Ash_Swamp (Across from WW)"/>
    <x v="0"/>
    <s v="Acer"/>
    <s v="rubrum"/>
    <s v="Sapindaceae"/>
    <x v="0"/>
  </r>
  <r>
    <x v="3"/>
    <d v="2026-06-11T00:00:00"/>
    <x v="0"/>
    <n v="848"/>
    <x v="0"/>
    <n v="2.2000000000000002"/>
    <s v="W"/>
    <m/>
    <s v="848_1"/>
    <s v="Green_Ash_Swamp (Across from WW)"/>
    <x v="0"/>
    <s v="Acer"/>
    <s v="saccharum"/>
    <s v="Sapindaceae"/>
    <x v="2"/>
  </r>
  <r>
    <x v="3"/>
    <d v="2026-06-11T00:00:00"/>
    <x v="2"/>
    <n v="849"/>
    <x v="0"/>
    <n v="8.8000000000000007"/>
    <s v="N/A"/>
    <m/>
    <s v="849_1"/>
    <s v="Green_Ash_Swamp (Across from WW)"/>
    <x v="0"/>
    <s v="Acer"/>
    <s v="rubrum"/>
    <s v="Sapindaceae"/>
    <x v="5"/>
  </r>
  <r>
    <x v="3"/>
    <d v="2026-06-11T00:00:00"/>
    <x v="0"/>
    <n v="850"/>
    <x v="0"/>
    <n v="1.9"/>
    <s v="N/A"/>
    <m/>
    <s v="850_1"/>
    <s v="Green_Ash_Swamp (Across from WW)"/>
    <x v="0"/>
    <s v="Acer"/>
    <s v="saccharum"/>
    <s v="Sapindaceae"/>
    <x v="2"/>
  </r>
  <r>
    <x v="3"/>
    <d v="2026-06-11T00:00:00"/>
    <x v="2"/>
    <n v="851"/>
    <x v="0"/>
    <n v="16.100000000000001"/>
    <s v="N/A"/>
    <m/>
    <s v="851_1"/>
    <s v="Green_Ash_Swamp (Across from WW)"/>
    <x v="0"/>
    <s v="Acer"/>
    <s v="rubrum"/>
    <s v="Sapindaceae"/>
    <x v="3"/>
  </r>
  <r>
    <x v="3"/>
    <d v="2026-06-11T00:00:00"/>
    <x v="2"/>
    <n v="852"/>
    <x v="0"/>
    <n v="20.3"/>
    <s v="N/A"/>
    <m/>
    <s v="852_1"/>
    <s v="Green_Ash_Swamp (Across from WW)"/>
    <x v="0"/>
    <s v="Acer"/>
    <s v="rubrum"/>
    <s v="Sapindaceae"/>
    <x v="0"/>
  </r>
  <r>
    <x v="3"/>
    <d v="2026-06-11T00:00:00"/>
    <x v="7"/>
    <n v="853"/>
    <x v="0"/>
    <n v="5.8"/>
    <s v="N/A"/>
    <s v="in poor condition, dead branch below POM"/>
    <s v="853_1"/>
    <s v="Green_Ash_Swamp (Across from WW)"/>
    <x v="0"/>
    <s v="Fagus"/>
    <s v="grandifolia"/>
    <s v="Fagaceae"/>
    <x v="5"/>
  </r>
  <r>
    <x v="3"/>
    <d v="2026-06-11T00:00:00"/>
    <x v="2"/>
    <n v="854"/>
    <x v="0"/>
    <n v="39.299999999999997"/>
    <s v="N/A"/>
    <m/>
    <s v="854_1"/>
    <s v="Green_Ash_Swamp (Across from WW)"/>
    <x v="0"/>
    <s v="Acer"/>
    <s v="rubrum"/>
    <s v="Sapindaceae"/>
    <x v="0"/>
  </r>
  <r>
    <x v="3"/>
    <d v="2026-06-11T00:00:00"/>
    <x v="0"/>
    <n v="855"/>
    <x v="0"/>
    <n v="3.1"/>
    <s v="N/A"/>
    <m/>
    <s v="855_1"/>
    <s v="Green_Ash_Swamp (Across from WW)"/>
    <x v="0"/>
    <s v="Acer"/>
    <s v="saccharum"/>
    <s v="Sapindaceae"/>
    <x v="2"/>
  </r>
  <r>
    <x v="3"/>
    <d v="2026-06-11T00:00:00"/>
    <x v="3"/>
    <n v="856"/>
    <x v="0"/>
    <n v="44.6"/>
    <s v="N/A"/>
    <m/>
    <s v="856_1"/>
    <s v="Green_Ash_Swamp (Across from WW)"/>
    <x v="0"/>
    <s v="Lirodendron"/>
    <s v="tulipfera"/>
    <s v="Magnoliaceae"/>
    <x v="1"/>
  </r>
  <r>
    <x v="3"/>
    <d v="2026-06-11T00:00:00"/>
    <x v="3"/>
    <n v="857"/>
    <x v="0"/>
    <n v="42.4"/>
    <s v="N/A"/>
    <m/>
    <s v="857_1"/>
    <s v="Green_Ash_Swamp (Across from WW)"/>
    <x v="0"/>
    <s v="Lirodendron"/>
    <s v="tulipfera"/>
    <s v="Magnoliaceae"/>
    <x v="1"/>
  </r>
  <r>
    <x v="3"/>
    <d v="2026-06-11T00:00:00"/>
    <x v="0"/>
    <n v="858"/>
    <x v="0"/>
    <n v="25.9"/>
    <s v="N/A"/>
    <m/>
    <s v="858_1"/>
    <s v="Green_Ash_Swamp (Across from WW)"/>
    <x v="0"/>
    <s v="Acer"/>
    <s v="saccharum"/>
    <s v="Sapindaceae"/>
    <x v="0"/>
  </r>
  <r>
    <x v="3"/>
    <d v="2026-06-11T00:00:00"/>
    <x v="0"/>
    <n v="859"/>
    <x v="0"/>
    <n v="4.7"/>
    <s v="N/A"/>
    <m/>
    <s v="859_1"/>
    <s v="Green_Ash_Swamp (Across from WW)"/>
    <x v="0"/>
    <s v="Acer"/>
    <s v="saccharum"/>
    <s v="Sapindaceae"/>
    <x v="2"/>
  </r>
  <r>
    <x v="3"/>
    <d v="2026-06-11T00:00:00"/>
    <x v="3"/>
    <n v="860"/>
    <x v="0"/>
    <n v="30.8"/>
    <s v="N/A"/>
    <m/>
    <s v="860_1"/>
    <s v="Green_Ash_Swamp (Across from WW)"/>
    <x v="0"/>
    <s v="Lirodendron"/>
    <s v="tulipfera"/>
    <s v="Magnoliaceae"/>
    <x v="0"/>
  </r>
  <r>
    <x v="3"/>
    <d v="2026-06-11T00:00:00"/>
    <x v="3"/>
    <n v="861"/>
    <x v="0"/>
    <n v="41"/>
    <s v="N/A"/>
    <m/>
    <s v="861_1"/>
    <s v="Green_Ash_Swamp (Across from WW)"/>
    <x v="0"/>
    <s v="Lirodendron"/>
    <s v="tulipfera"/>
    <s v="Magnoliaceae"/>
    <x v="1"/>
  </r>
  <r>
    <x v="3"/>
    <d v="2026-06-11T00:00:00"/>
    <x v="0"/>
    <n v="862"/>
    <x v="0"/>
    <n v="19.3"/>
    <s v="L"/>
    <m/>
    <s v="862_1"/>
    <s v="Green_Ash_Swamp (Across from WW)"/>
    <x v="0"/>
    <s v="Acer"/>
    <s v="saccharum"/>
    <s v="Sapindaceae"/>
    <x v="3"/>
  </r>
  <r>
    <x v="3"/>
    <d v="2026-06-11T00:00:00"/>
    <x v="2"/>
    <n v="863"/>
    <x v="0"/>
    <n v="8.1999999999999993"/>
    <s v="N/A"/>
    <m/>
    <s v="863_1"/>
    <s v="Green_Ash_Swamp (Across from WW)"/>
    <x v="0"/>
    <s v="Acer"/>
    <s v="rubrum"/>
    <s v="Sapindaceae"/>
    <x v="5"/>
  </r>
  <r>
    <x v="3"/>
    <d v="2026-06-11T00:00:00"/>
    <x v="3"/>
    <n v="864"/>
    <x v="0"/>
    <n v="41.2"/>
    <s v="L"/>
    <m/>
    <s v="864_1"/>
    <s v="Green_Ash_Swamp (Across from WW)"/>
    <x v="0"/>
    <s v="Lirodendron"/>
    <s v="tulipfera"/>
    <s v="Magnoliaceae"/>
    <x v="1"/>
  </r>
  <r>
    <x v="3"/>
    <d v="2026-06-11T00:00:00"/>
    <x v="3"/>
    <n v="865"/>
    <x v="0"/>
    <n v="48.1"/>
    <s v="N/A"/>
    <m/>
    <s v="865_1"/>
    <s v="Green_Ash_Swamp (Across from WW)"/>
    <x v="0"/>
    <s v="Lirodendron"/>
    <s v="tulipfera"/>
    <s v="Magnoliaceae"/>
    <x v="1"/>
  </r>
  <r>
    <x v="3"/>
    <d v="2026-06-11T00:00:00"/>
    <x v="7"/>
    <n v="866"/>
    <x v="0"/>
    <n v="2.1"/>
    <s v="N/A"/>
    <s v="branching below POM, &lt;1cm"/>
    <s v="866_1"/>
    <s v="Green_Ash_Swamp (Across from WW)"/>
    <x v="0"/>
    <s v="Fagus"/>
    <s v="grandifolia"/>
    <s v="Fagaceae"/>
    <x v="2"/>
  </r>
  <r>
    <x v="3"/>
    <d v="2026-06-11T00:00:00"/>
    <x v="2"/>
    <n v="867"/>
    <x v="0"/>
    <n v="35.1"/>
    <s v="N/A"/>
    <m/>
    <s v="867_1"/>
    <s v="Green_Ash_Swamp (Across from WW)"/>
    <x v="0"/>
    <s v="Acer"/>
    <s v="rubrum"/>
    <s v="Sapindaceae"/>
    <x v="0"/>
  </r>
  <r>
    <x v="3"/>
    <d v="2026-06-11T00:00:00"/>
    <x v="2"/>
    <n v="868"/>
    <x v="0"/>
    <n v="53.2"/>
    <s v="N/A"/>
    <m/>
    <s v="868_1"/>
    <s v="Green_Ash_Swamp (Across from WW)"/>
    <x v="0"/>
    <s v="Acer"/>
    <s v="rubrum"/>
    <s v="Sapindaceae"/>
    <x v="4"/>
  </r>
  <r>
    <x v="3"/>
    <d v="2026-06-11T00:00:00"/>
    <x v="2"/>
    <n v="869"/>
    <x v="0"/>
    <n v="9.1"/>
    <s v="N/A"/>
    <m/>
    <s v="869_1"/>
    <s v="Green_Ash_Swamp (Across from WW)"/>
    <x v="0"/>
    <s v="Acer"/>
    <s v="rubrum"/>
    <s v="Sapindaceae"/>
    <x v="5"/>
  </r>
  <r>
    <x v="3"/>
    <d v="2026-06-11T00:00:00"/>
    <x v="3"/>
    <n v="870"/>
    <x v="0"/>
    <n v="29.8"/>
    <s v="N/A"/>
    <m/>
    <s v="870_1"/>
    <s v="Green_Ash_Swamp (Across from WW)"/>
    <x v="0"/>
    <s v="Lirodendron"/>
    <s v="tulipfera"/>
    <s v="Magnoliaceae"/>
    <x v="0"/>
  </r>
  <r>
    <x v="3"/>
    <d v="2026-06-11T00:00:00"/>
    <x v="2"/>
    <n v="871"/>
    <x v="0"/>
    <n v="35"/>
    <s v="N/A"/>
    <m/>
    <s v="871_1"/>
    <s v="Green_Ash_Swamp (Across from WW)"/>
    <x v="0"/>
    <s v="Acer"/>
    <s v="rubrum"/>
    <s v="Sapindaceae"/>
    <x v="0"/>
  </r>
  <r>
    <x v="3"/>
    <d v="2026-06-11T00:00:00"/>
    <x v="2"/>
    <n v="872"/>
    <x v="0"/>
    <n v="13.1"/>
    <s v="N/A"/>
    <m/>
    <s v="872_1"/>
    <s v="Green_Ash_Swamp (Across from WW)"/>
    <x v="0"/>
    <s v="Acer"/>
    <s v="rubrum"/>
    <s v="Sapindaceae"/>
    <x v="3"/>
  </r>
  <r>
    <x v="3"/>
    <d v="2026-06-11T00:00:00"/>
    <x v="2"/>
    <n v="873"/>
    <x v="0"/>
    <n v="44.7"/>
    <s v="N/A"/>
    <m/>
    <s v="873_1"/>
    <s v="Green_Ash_Swamp (Across from WW)"/>
    <x v="0"/>
    <s v="Acer"/>
    <s v="rubrum"/>
    <s v="Sapindaceae"/>
    <x v="1"/>
  </r>
  <r>
    <x v="3"/>
    <d v="2026-06-11T00:00:00"/>
    <x v="3"/>
    <n v="874"/>
    <x v="0"/>
    <n v="39.6"/>
    <s v="N/A"/>
    <m/>
    <s v="874_1"/>
    <s v="Green_Ash_Swamp (Across from WW)"/>
    <x v="0"/>
    <s v="Lirodendron"/>
    <s v="tulipfera"/>
    <s v="Magnoliaceae"/>
    <x v="0"/>
  </r>
  <r>
    <x v="3"/>
    <d v="2026-06-11T00:00:00"/>
    <x v="0"/>
    <n v="875"/>
    <x v="0"/>
    <n v="3.6"/>
    <s v="N/A"/>
    <m/>
    <s v="875_1"/>
    <s v="Green_Ash_Swamp (Across from WW)"/>
    <x v="0"/>
    <s v="Acer"/>
    <s v="saccharum"/>
    <s v="Sapindaceae"/>
    <x v="2"/>
  </r>
  <r>
    <x v="3"/>
    <d v="2026-06-11T00:00:00"/>
    <x v="10"/>
    <n v="876"/>
    <x v="0"/>
    <n v="49.5"/>
    <s v="N/A"/>
    <m/>
    <s v="876_1"/>
    <s v="Green_Ash_Swamp (Across from WW)"/>
    <x v="0"/>
    <s v="Quercus"/>
    <s v="rubra"/>
    <s v="Fagaceae"/>
    <x v="1"/>
  </r>
  <r>
    <x v="3"/>
    <d v="2026-06-11T00:00:00"/>
    <x v="2"/>
    <n v="877"/>
    <x v="0"/>
    <n v="22.4"/>
    <s v="M"/>
    <m/>
    <s v="877_1"/>
    <s v="Green_Ash_Swamp (Across from WW)"/>
    <x v="0"/>
    <s v="Acer"/>
    <s v="rubrum"/>
    <s v="Sapindaceae"/>
    <x v="0"/>
  </r>
  <r>
    <x v="3"/>
    <d v="2026-06-11T00:00:00"/>
    <x v="2"/>
    <n v="877"/>
    <x v="1"/>
    <n v="16.899999999999999"/>
    <s v="M,L"/>
    <m/>
    <s v="877_2"/>
    <s v="Green_Ash_Swamp (Across from WW)"/>
    <x v="0"/>
    <s v="Acer"/>
    <s v="rubrum"/>
    <s v="Sapindaceae"/>
    <x v="3"/>
  </r>
  <r>
    <x v="3"/>
    <d v="2026-06-11T00:00:00"/>
    <x v="0"/>
    <n v="878"/>
    <x v="0"/>
    <n v="7.5"/>
    <s v="N/A"/>
    <m/>
    <s v="878_1"/>
    <s v="Green_Ash_Swamp (Across from WW)"/>
    <x v="0"/>
    <s v="Acer"/>
    <s v="saccharum"/>
    <s v="Sapindaceae"/>
    <x v="5"/>
  </r>
  <r>
    <x v="3"/>
    <d v="2026-06-11T00:00:00"/>
    <x v="10"/>
    <n v="879"/>
    <x v="0"/>
    <n v="37.700000000000003"/>
    <s v="N/A"/>
    <m/>
    <s v="879_1"/>
    <s v="Green_Ash_Swamp (Across from WW)"/>
    <x v="0"/>
    <s v="Quercus"/>
    <s v="rubra"/>
    <s v="Fagaceae"/>
    <x v="0"/>
  </r>
  <r>
    <x v="3"/>
    <d v="2026-06-11T00:00:00"/>
    <x v="2"/>
    <n v="880"/>
    <x v="0"/>
    <n v="28.1"/>
    <s v="N/A"/>
    <s v="large hole below POM"/>
    <s v="880_1"/>
    <s v="Green_Ash_Swamp (Across from WW)"/>
    <x v="0"/>
    <s v="Acer"/>
    <s v="rubrum"/>
    <s v="Sapindaceae"/>
    <x v="0"/>
  </r>
  <r>
    <x v="3"/>
    <d v="2026-06-11T00:00:00"/>
    <x v="0"/>
    <n v="881"/>
    <x v="0"/>
    <n v="2.5"/>
    <s v="N/A"/>
    <m/>
    <s v="881_1"/>
    <s v="Green_Ash_Swamp (Across from WW)"/>
    <x v="0"/>
    <s v="Acer"/>
    <s v="saccharum"/>
    <s v="Sapindaceae"/>
    <x v="2"/>
  </r>
  <r>
    <x v="3"/>
    <d v="2026-06-11T00:00:00"/>
    <x v="2"/>
    <n v="882"/>
    <x v="0"/>
    <n v="25.3"/>
    <s v="L"/>
    <m/>
    <s v="882_1"/>
    <s v="Green_Ash_Swamp (Across from WW)"/>
    <x v="0"/>
    <s v="Acer"/>
    <s v="rubrum"/>
    <s v="Sapindaceae"/>
    <x v="0"/>
  </r>
  <r>
    <x v="3"/>
    <d v="2026-06-11T00:00:00"/>
    <x v="10"/>
    <n v="883"/>
    <x v="0"/>
    <n v="52.6"/>
    <s v="L"/>
    <m/>
    <s v="883_1"/>
    <s v="Green_Ash_Swamp (Across from WW)"/>
    <x v="0"/>
    <s v="Quercus"/>
    <s v="rubra"/>
    <s v="Fagaceae"/>
    <x v="4"/>
  </r>
  <r>
    <x v="3"/>
    <d v="2026-06-11T00:00:00"/>
    <x v="10"/>
    <n v="884"/>
    <x v="0"/>
    <n v="37.799999999999997"/>
    <s v="L"/>
    <m/>
    <s v="884_1"/>
    <s v="Green_Ash_Swamp (Across from WW)"/>
    <x v="0"/>
    <s v="Quercus"/>
    <s v="rubra"/>
    <s v="Fagaceae"/>
    <x v="0"/>
  </r>
  <r>
    <x v="3"/>
    <d v="2026-06-11T00:00:00"/>
    <x v="2"/>
    <n v="885"/>
    <x v="0"/>
    <n v="22.8"/>
    <s v="L"/>
    <s v="dying"/>
    <s v="885_1"/>
    <s v="Green_Ash_Swamp (Across from WW)"/>
    <x v="0"/>
    <s v="Acer"/>
    <s v="rubrum"/>
    <s v="Sapindaceae"/>
    <x v="0"/>
  </r>
  <r>
    <x v="3"/>
    <d v="2026-06-11T00:00:00"/>
    <x v="2"/>
    <n v="886"/>
    <x v="0"/>
    <n v="35.1"/>
    <s v="I"/>
    <m/>
    <s v="886_1"/>
    <s v="Green_Ash_Swamp (Across from WW)"/>
    <x v="0"/>
    <s v="Acer"/>
    <s v="rubrum"/>
    <s v="Sapindaceae"/>
    <x v="0"/>
  </r>
  <r>
    <x v="3"/>
    <d v="2026-06-11T00:00:00"/>
    <x v="7"/>
    <n v="887"/>
    <x v="0"/>
    <n v="4.5999999999999996"/>
    <s v="N/A"/>
    <m/>
    <s v="887_1"/>
    <s v="Green_Ash_Swamp (Across from WW)"/>
    <x v="0"/>
    <s v="Fagus"/>
    <s v="grandifolia"/>
    <s v="Fagaceae"/>
    <x v="2"/>
  </r>
  <r>
    <x v="3"/>
    <d v="2026-06-11T00:00:00"/>
    <x v="10"/>
    <n v="888"/>
    <x v="0"/>
    <n v="22.5"/>
    <s v="N/A"/>
    <m/>
    <s v="888_1"/>
    <s v="Green_Ash_Swamp (Across from WW)"/>
    <x v="0"/>
    <s v="Quercus"/>
    <s v="rubra"/>
    <s v="Fagaceae"/>
    <x v="0"/>
  </r>
  <r>
    <x v="3"/>
    <d v="2026-06-11T00:00:00"/>
    <x v="7"/>
    <n v="889"/>
    <x v="0"/>
    <n v="1.3"/>
    <s v="M"/>
    <m/>
    <s v="889_1"/>
    <s v="Green_Ash_Swamp (Across from WW)"/>
    <x v="0"/>
    <s v="Fagus"/>
    <s v="grandifolia"/>
    <s v="Fagaceae"/>
    <x v="2"/>
  </r>
  <r>
    <x v="3"/>
    <d v="2026-06-11T00:00:00"/>
    <x v="7"/>
    <n v="889"/>
    <x v="1"/>
    <n v="1.2"/>
    <s v="M"/>
    <m/>
    <s v="889_2"/>
    <s v="Green_Ash_Swamp (Across from WW)"/>
    <x v="0"/>
    <s v="Fagus"/>
    <s v="grandifolia"/>
    <s v="Fagaceae"/>
    <x v="2"/>
  </r>
  <r>
    <x v="3"/>
    <d v="2026-06-11T00:00:00"/>
    <x v="0"/>
    <n v="890"/>
    <x v="0"/>
    <n v="5.3"/>
    <s v="N/A"/>
    <m/>
    <s v="890_1"/>
    <s v="Green_Ash_Swamp (Across from WW)"/>
    <x v="0"/>
    <s v="Acer"/>
    <s v="saccharum"/>
    <s v="Sapindaceae"/>
    <x v="5"/>
  </r>
  <r>
    <x v="3"/>
    <d v="2026-06-11T00:00:00"/>
    <x v="3"/>
    <n v="891"/>
    <x v="0"/>
    <n v="43"/>
    <s v="N/A"/>
    <m/>
    <s v="891_1"/>
    <s v="Green_Ash_Swamp (Across from WW)"/>
    <x v="0"/>
    <s v="Lirodendron"/>
    <s v="tulipfera"/>
    <s v="Magnoliaceae"/>
    <x v="1"/>
  </r>
  <r>
    <x v="3"/>
    <d v="2026-06-11T00:00:00"/>
    <x v="2"/>
    <n v="892"/>
    <x v="0"/>
    <n v="7.6"/>
    <s v="N/A"/>
    <m/>
    <s v="892_1"/>
    <s v="Green_Ash_Swamp (Across from WW)"/>
    <x v="0"/>
    <s v="Acer"/>
    <s v="rubrum"/>
    <s v="Sapindaceae"/>
    <x v="5"/>
  </r>
  <r>
    <x v="3"/>
    <d v="2026-06-11T00:00:00"/>
    <x v="2"/>
    <n v="893"/>
    <x v="0"/>
    <n v="17.2"/>
    <s v="N/A"/>
    <m/>
    <s v="893_1"/>
    <s v="Green_Ash_Swamp (Across from WW)"/>
    <x v="0"/>
    <s v="Acer"/>
    <s v="rubrum"/>
    <s v="Sapindaceae"/>
    <x v="3"/>
  </r>
  <r>
    <x v="3"/>
    <d v="2026-06-11T00:00:00"/>
    <x v="2"/>
    <n v="894"/>
    <x v="0"/>
    <n v="25.7"/>
    <s v="N/A"/>
    <m/>
    <s v="894_1"/>
    <s v="Green_Ash_Swamp (Across from WW)"/>
    <x v="0"/>
    <s v="Acer"/>
    <s v="rubrum"/>
    <s v="Sapindaceae"/>
    <x v="0"/>
  </r>
  <r>
    <x v="3"/>
    <d v="2026-06-11T00:00:00"/>
    <x v="3"/>
    <n v="895"/>
    <x v="0"/>
    <n v="28.5"/>
    <s v="N/A"/>
    <m/>
    <s v="895_1"/>
    <s v="Green_Ash_Swamp (Across from WW)"/>
    <x v="0"/>
    <s v="Lirodendron"/>
    <s v="tulipfera"/>
    <s v="Magnoliaceae"/>
    <x v="0"/>
  </r>
  <r>
    <x v="3"/>
    <d v="2026-06-11T00:00:00"/>
    <x v="0"/>
    <n v="896"/>
    <x v="0"/>
    <n v="8.1"/>
    <s v="N/A"/>
    <m/>
    <s v="896_1"/>
    <s v="Green_Ash_Swamp (Across from WW)"/>
    <x v="0"/>
    <s v="Acer"/>
    <s v="saccharum"/>
    <s v="Sapindaceae"/>
    <x v="5"/>
  </r>
  <r>
    <x v="3"/>
    <d v="2026-06-11T00:00:00"/>
    <x v="2"/>
    <n v="897"/>
    <x v="0"/>
    <n v="36.799999999999997"/>
    <s v="N/A"/>
    <m/>
    <s v="897_1"/>
    <s v="Green_Ash_Swamp (Across from WW)"/>
    <x v="0"/>
    <s v="Acer"/>
    <s v="rubrum"/>
    <s v="Sapindaceae"/>
    <x v="0"/>
  </r>
  <r>
    <x v="3"/>
    <d v="2026-06-11T00:00:00"/>
    <x v="0"/>
    <n v="898"/>
    <x v="0"/>
    <n v="11.3"/>
    <s v="N/A"/>
    <m/>
    <s v="898_1"/>
    <s v="Green_Ash_Swamp (Across from WW)"/>
    <x v="0"/>
    <s v="Acer"/>
    <s v="saccharum"/>
    <s v="Sapindaceae"/>
    <x v="3"/>
  </r>
  <r>
    <x v="3"/>
    <d v="2026-06-11T00:00:00"/>
    <x v="0"/>
    <n v="899"/>
    <x v="0"/>
    <n v="7.1"/>
    <s v="N/A"/>
    <m/>
    <s v="899_1"/>
    <s v="Green_Ash_Swamp (Across from WW)"/>
    <x v="0"/>
    <s v="Acer"/>
    <s v="saccharum"/>
    <s v="Sapindaceae"/>
    <x v="5"/>
  </r>
  <r>
    <x v="3"/>
    <d v="2026-06-11T00:00:00"/>
    <x v="3"/>
    <n v="900"/>
    <x v="0"/>
    <n v="55.4"/>
    <s v="N/A"/>
    <m/>
    <s v="900_1"/>
    <s v="Green_Ash_Swamp (Across from WW)"/>
    <x v="0"/>
    <s v="Lirodendron"/>
    <s v="tulipfera"/>
    <s v="Magnoliaceae"/>
    <x v="4"/>
  </r>
  <r>
    <x v="3"/>
    <d v="2026-06-11T00:00:00"/>
    <x v="0"/>
    <n v="901"/>
    <x v="0"/>
    <n v="3"/>
    <s v="M,L"/>
    <s v="tag well above 1.4m "/>
    <s v="901_1"/>
    <s v="Green_Ash_Swamp (Across from WW)"/>
    <x v="0"/>
    <s v="Acer"/>
    <s v="saccharum"/>
    <s v="Sapindaceae"/>
    <x v="2"/>
  </r>
  <r>
    <x v="3"/>
    <d v="2026-06-11T00:00:00"/>
    <x v="0"/>
    <n v="901"/>
    <x v="1"/>
    <n v="1.7"/>
    <s v="M,L"/>
    <m/>
    <s v="901_2"/>
    <s v="Green_Ash_Swamp (Across from WW)"/>
    <x v="0"/>
    <s v="Acer"/>
    <s v="saccharum"/>
    <s v="Sapindaceae"/>
    <x v="2"/>
  </r>
  <r>
    <x v="3"/>
    <d v="2026-06-11T00:00:00"/>
    <x v="2"/>
    <n v="902"/>
    <x v="0"/>
    <n v="13.7"/>
    <s v="N/A"/>
    <m/>
    <s v="902_1"/>
    <s v="Green_Ash_Swamp (Across from WW)"/>
    <x v="0"/>
    <s v="Acer"/>
    <s v="rubrum"/>
    <s v="Sapindaceae"/>
    <x v="3"/>
  </r>
  <r>
    <x v="3"/>
    <d v="2026-06-11T00:00:00"/>
    <x v="2"/>
    <n v="903"/>
    <x v="0"/>
    <n v="16"/>
    <s v="N/A"/>
    <m/>
    <s v="903_1"/>
    <s v="Green_Ash_Swamp (Across from WW)"/>
    <x v="0"/>
    <s v="Acer"/>
    <s v="rubrum"/>
    <s v="Sapindaceae"/>
    <x v="3"/>
  </r>
  <r>
    <x v="3"/>
    <d v="2026-06-11T00:00:00"/>
    <x v="10"/>
    <n v="904"/>
    <x v="0"/>
    <n v="36.4"/>
    <m/>
    <m/>
    <s v="904_1"/>
    <s v="Green_Ash_Swamp (Across from WW)"/>
    <x v="0"/>
    <s v="Quercus"/>
    <s v="rubra"/>
    <s v="Fagaceae"/>
    <x v="0"/>
  </r>
  <r>
    <x v="3"/>
    <d v="2026-06-11T00:00:00"/>
    <x v="2"/>
    <n v="905"/>
    <x v="0"/>
    <n v="9.1999999999999993"/>
    <m/>
    <m/>
    <s v="905_1"/>
    <s v="Green_Ash_Swamp (Across from WW)"/>
    <x v="0"/>
    <s v="Acer"/>
    <s v="rubrum"/>
    <s v="Sapindaceae"/>
    <x v="5"/>
  </r>
  <r>
    <x v="3"/>
    <d v="2026-06-11T00:00:00"/>
    <x v="2"/>
    <n v="906"/>
    <x v="0"/>
    <n v="12.8"/>
    <m/>
    <m/>
    <s v="906_1"/>
    <s v="Green_Ash_Swamp (Across from WW)"/>
    <x v="0"/>
    <s v="Acer"/>
    <s v="rubrum"/>
    <s v="Sapindaceae"/>
    <x v="3"/>
  </r>
  <r>
    <x v="3"/>
    <d v="2026-06-11T00:00:00"/>
    <x v="0"/>
    <n v="907"/>
    <x v="0"/>
    <n v="2.8"/>
    <s v="L"/>
    <m/>
    <s v="907_1"/>
    <s v="Green_Ash_Swamp (Across from WW)"/>
    <x v="0"/>
    <s v="Acer"/>
    <s v="saccharum"/>
    <s v="Sapindaceae"/>
    <x v="2"/>
  </r>
  <r>
    <x v="3"/>
    <d v="2026-06-11T00:00:00"/>
    <x v="3"/>
    <n v="908"/>
    <x v="0"/>
    <n v="69.400000000000006"/>
    <m/>
    <m/>
    <s v="908_1"/>
    <s v="Green_Ash_Swamp (Across from WW)"/>
    <x v="0"/>
    <s v="Lirodendron"/>
    <s v="tulipfera"/>
    <s v="Magnoliaceae"/>
    <x v="4"/>
  </r>
  <r>
    <x v="3"/>
    <d v="2026-06-11T00:00:00"/>
    <x v="0"/>
    <n v="909"/>
    <x v="0"/>
    <n v="2.9"/>
    <m/>
    <m/>
    <s v="909_1"/>
    <s v="Green_Ash_Swamp (Across from WW)"/>
    <x v="0"/>
    <s v="Acer"/>
    <s v="saccharum"/>
    <s v="Sapindaceae"/>
    <x v="2"/>
  </r>
  <r>
    <x v="3"/>
    <d v="2026-06-11T00:00:00"/>
    <x v="2"/>
    <n v="910"/>
    <x v="0"/>
    <n v="5.9"/>
    <m/>
    <m/>
    <s v="910_1"/>
    <s v="Green_Ash_Swamp (Across from WW)"/>
    <x v="0"/>
    <s v="Acer"/>
    <s v="rubrum"/>
    <s v="Sapindaceae"/>
    <x v="5"/>
  </r>
  <r>
    <x v="3"/>
    <d v="2026-06-11T00:00:00"/>
    <x v="2"/>
    <n v="911"/>
    <x v="0"/>
    <n v="16.2"/>
    <m/>
    <m/>
    <s v="911_1"/>
    <s v="Green_Ash_Swamp (Across from WW)"/>
    <x v="0"/>
    <s v="Acer"/>
    <s v="rubrum"/>
    <s v="Sapindaceae"/>
    <x v="3"/>
  </r>
  <r>
    <x v="3"/>
    <d v="2026-06-11T00:00:00"/>
    <x v="0"/>
    <n v="912"/>
    <x v="0"/>
    <n v="4.0999999999999996"/>
    <s v="L,I,A"/>
    <s v="wrapping around 00911, POM at 1.2m"/>
    <s v="912_1"/>
    <s v="Green_Ash_Swamp (Across from WW)"/>
    <x v="0"/>
    <s v="Acer"/>
    <s v="saccharum"/>
    <s v="Sapindaceae"/>
    <x v="2"/>
  </r>
  <r>
    <x v="3"/>
    <d v="2026-06-11T00:00:00"/>
    <x v="0"/>
    <n v="913"/>
    <x v="0"/>
    <n v="2.6"/>
    <s v="M,L"/>
    <m/>
    <s v="913_1"/>
    <s v="Green_Ash_Swamp (Across from WW)"/>
    <x v="0"/>
    <s v="Acer"/>
    <s v="saccharum"/>
    <s v="Sapindaceae"/>
    <x v="2"/>
  </r>
  <r>
    <x v="3"/>
    <d v="2026-06-11T00:00:00"/>
    <x v="0"/>
    <n v="913"/>
    <x v="1"/>
    <n v="2.2000000000000002"/>
    <s v="M,L"/>
    <m/>
    <s v="913_2"/>
    <s v="Green_Ash_Swamp (Across from WW)"/>
    <x v="0"/>
    <s v="Acer"/>
    <s v="saccharum"/>
    <s v="Sapindaceae"/>
    <x v="2"/>
  </r>
  <r>
    <x v="3"/>
    <d v="2026-06-11T00:00:00"/>
    <x v="7"/>
    <n v="914"/>
    <x v="0"/>
    <n v="3"/>
    <s v="W"/>
    <s v="soft measure used"/>
    <s v="914_1"/>
    <s v="Green_Ash_Swamp (Across from WW)"/>
    <x v="0"/>
    <s v="Fagus"/>
    <s v="grandifolia"/>
    <s v="Fagaceae"/>
    <x v="2"/>
  </r>
  <r>
    <x v="3"/>
    <d v="2026-06-11T00:00:00"/>
    <x v="2"/>
    <n v="915"/>
    <x v="0"/>
    <n v="28"/>
    <s v="I"/>
    <m/>
    <s v="915_1"/>
    <s v="Green_Ash_Swamp (Across from WW)"/>
    <x v="0"/>
    <s v="Acer"/>
    <s v="rubrum"/>
    <s v="Sapindaceae"/>
    <x v="0"/>
  </r>
  <r>
    <x v="3"/>
    <d v="2026-06-11T00:00:00"/>
    <x v="7"/>
    <n v="916"/>
    <x v="0"/>
    <n v="1.3"/>
    <s v="L"/>
    <s v="slight lean, branches below POM &lt; 1cm"/>
    <s v="916_1"/>
    <s v="Green_Ash_Swamp (Across from WW)"/>
    <x v="0"/>
    <s v="Fagus"/>
    <s v="grandifolia"/>
    <s v="Fagaceae"/>
    <x v="2"/>
  </r>
  <r>
    <x v="3"/>
    <d v="2026-06-11T00:00:00"/>
    <x v="7"/>
    <n v="917"/>
    <x v="0"/>
    <n v="2"/>
    <s v="M"/>
    <m/>
    <s v="917_1"/>
    <s v="Green_Ash_Swamp (Across from WW)"/>
    <x v="0"/>
    <s v="Fagus"/>
    <s v="grandifolia"/>
    <s v="Fagaceae"/>
    <x v="2"/>
  </r>
  <r>
    <x v="3"/>
    <d v="2026-06-11T00:00:00"/>
    <x v="7"/>
    <n v="917"/>
    <x v="1"/>
    <n v="1"/>
    <s v="M"/>
    <m/>
    <s v="917_2"/>
    <s v="Green_Ash_Swamp (Across from WW)"/>
    <x v="0"/>
    <s v="Fagus"/>
    <s v="grandifolia"/>
    <s v="Fagaceae"/>
    <x v="2"/>
  </r>
  <r>
    <x v="3"/>
    <d v="2026-06-16T00:00:00"/>
    <x v="2"/>
    <n v="918"/>
    <x v="0"/>
    <n v="6.9"/>
    <s v="A,L"/>
    <s v="POM at 1.28m, slight lean"/>
    <s v="918_1"/>
    <s v="Green_Ash_Swamp (Across from WW)"/>
    <x v="0"/>
    <s v="Acer"/>
    <s v="rubrum"/>
    <s v="Sapindaceae"/>
    <x v="5"/>
  </r>
  <r>
    <x v="3"/>
    <d v="2026-06-16T00:00:00"/>
    <x v="0"/>
    <n v="919"/>
    <x v="0"/>
    <n v="3.7"/>
    <s v="A"/>
    <s v="POM at 1.28m"/>
    <s v="919_1"/>
    <s v="Green_Ash_Swamp (Across from WW)"/>
    <x v="0"/>
    <s v="Acer"/>
    <s v="saccharum"/>
    <s v="Sapindaceae"/>
    <x v="2"/>
  </r>
  <r>
    <x v="3"/>
    <d v="2026-06-16T00:00:00"/>
    <x v="2"/>
    <n v="920"/>
    <x v="0"/>
    <n v="27.5"/>
    <s v="L"/>
    <s v="slight lean"/>
    <s v="920_1"/>
    <s v="Green_Ash_Swamp (Across from WW)"/>
    <x v="0"/>
    <s v="Acer"/>
    <s v="rubrum"/>
    <s v="Sapindaceae"/>
    <x v="0"/>
  </r>
  <r>
    <x v="3"/>
    <d v="2026-06-16T00:00:00"/>
    <x v="3"/>
    <n v="921"/>
    <x v="0"/>
    <n v="44.5"/>
    <s v="N/A"/>
    <m/>
    <s v="921_1"/>
    <s v="Green_Ash_Swamp (Across from WW)"/>
    <x v="0"/>
    <s v="Lirodendron"/>
    <s v="tulipfera"/>
    <s v="Magnoliaceae"/>
    <x v="1"/>
  </r>
  <r>
    <x v="3"/>
    <d v="2026-06-16T00:00:00"/>
    <x v="0"/>
    <n v="922"/>
    <x v="0"/>
    <n v="1.6"/>
    <s v="L"/>
    <m/>
    <s v="922_1"/>
    <s v="Green_Ash_Swamp (Across from WW)"/>
    <x v="0"/>
    <s v="Acer"/>
    <s v="saccharum"/>
    <s v="Sapindaceae"/>
    <x v="2"/>
  </r>
  <r>
    <x v="3"/>
    <d v="2026-06-16T00:00:00"/>
    <x v="0"/>
    <n v="923"/>
    <x v="0"/>
    <n v="1.3"/>
    <s v="L"/>
    <m/>
    <s v="923_1"/>
    <s v="Green_Ash_Swamp (Across from WW)"/>
    <x v="0"/>
    <s v="Acer"/>
    <s v="saccharum"/>
    <s v="Sapindaceae"/>
    <x v="2"/>
  </r>
  <r>
    <x v="3"/>
    <d v="2026-06-16T00:00:00"/>
    <x v="0"/>
    <n v="924"/>
    <x v="0"/>
    <n v="1.4"/>
    <s v="W"/>
    <m/>
    <s v="924_1"/>
    <s v="Green_Ash_Swamp (Across from WW)"/>
    <x v="0"/>
    <s v="Acer"/>
    <s v="saccharum"/>
    <s v="Sapindaceae"/>
    <x v="2"/>
  </r>
  <r>
    <x v="3"/>
    <d v="2026-06-16T00:00:00"/>
    <x v="3"/>
    <n v="925"/>
    <x v="0"/>
    <n v="44.4"/>
    <s v="N/A"/>
    <m/>
    <s v="925_1"/>
    <s v="Green_Ash_Swamp (Across from WW)"/>
    <x v="0"/>
    <s v="Lirodendron"/>
    <s v="tulipfera"/>
    <s v="Magnoliaceae"/>
    <x v="1"/>
  </r>
  <r>
    <x v="3"/>
    <d v="2026-06-16T00:00:00"/>
    <x v="3"/>
    <n v="926"/>
    <x v="0"/>
    <n v="25.2"/>
    <s v="W"/>
    <s v="soft measure used"/>
    <s v="926_1"/>
    <s v="Green_Ash_Swamp (Across from WW)"/>
    <x v="0"/>
    <s v="Lirodendron"/>
    <s v="tulipfera"/>
    <s v="Magnoliaceae"/>
    <x v="0"/>
  </r>
  <r>
    <x v="3"/>
    <d v="2026-06-16T00:00:00"/>
    <x v="2"/>
    <n v="927"/>
    <x v="0"/>
    <n v="6.1"/>
    <s v="N/A"/>
    <m/>
    <s v="927_1"/>
    <s v="Green_Ash_Swamp (Across from WW)"/>
    <x v="0"/>
    <s v="Acer"/>
    <s v="rubrum"/>
    <s v="Sapindaceae"/>
    <x v="5"/>
  </r>
  <r>
    <x v="3"/>
    <d v="2026-06-16T00:00:00"/>
    <x v="2"/>
    <n v="928"/>
    <x v="0"/>
    <n v="9"/>
    <s v="A,L"/>
    <s v="POM at 1.25m, knots, tag may fall"/>
    <s v="928_1"/>
    <s v="Green_Ash_Swamp (Across from WW)"/>
    <x v="0"/>
    <s v="Acer"/>
    <s v="rubrum"/>
    <s v="Sapindaceae"/>
    <x v="5"/>
  </r>
  <r>
    <x v="3"/>
    <d v="2026-06-16T00:00:00"/>
    <x v="2"/>
    <n v="929"/>
    <x v="0"/>
    <n v="23.5"/>
    <s v="I"/>
    <s v="nearly dead, bark peeling"/>
    <s v="929_1"/>
    <s v="Green_Ash_Swamp (Across from WW)"/>
    <x v="0"/>
    <s v="Acer"/>
    <s v="rubrum"/>
    <s v="Sapindaceae"/>
    <x v="0"/>
  </r>
  <r>
    <x v="3"/>
    <d v="2026-06-16T00:00:00"/>
    <x v="7"/>
    <n v="930"/>
    <x v="0"/>
    <n v="5.3"/>
    <s v="M,L,A"/>
    <s v="POM at 1.24m, branches, soft measure used"/>
    <s v="930_1"/>
    <s v="Green_Ash_Swamp (Across from WW)"/>
    <x v="0"/>
    <s v="Fagus"/>
    <s v="grandifolia"/>
    <s v="Fagaceae"/>
    <x v="5"/>
  </r>
  <r>
    <x v="3"/>
    <d v="2026-06-16T00:00:00"/>
    <x v="7"/>
    <n v="930"/>
    <x v="1"/>
    <n v="1.3"/>
    <s v="M,L"/>
    <s v="soft measure used"/>
    <s v="930_2"/>
    <s v="Green_Ash_Swamp (Across from WW)"/>
    <x v="0"/>
    <s v="Fagus"/>
    <s v="grandifolia"/>
    <s v="Fagaceae"/>
    <x v="2"/>
  </r>
  <r>
    <x v="3"/>
    <d v="2026-06-16T00:00:00"/>
    <x v="0"/>
    <n v="931"/>
    <x v="0"/>
    <n v="3.4"/>
    <s v="N/A"/>
    <m/>
    <s v="931_1"/>
    <s v="Green_Ash_Swamp (Across from WW)"/>
    <x v="0"/>
    <s v="Acer"/>
    <s v="saccharum"/>
    <s v="Sapindaceae"/>
    <x v="2"/>
  </r>
  <r>
    <x v="3"/>
    <d v="2026-06-16T00:00:00"/>
    <x v="0"/>
    <n v="932"/>
    <x v="0"/>
    <n v="2.4"/>
    <s v="N/A"/>
    <m/>
    <s v="932_1"/>
    <s v="Green_Ash_Swamp (Across from WW)"/>
    <x v="0"/>
    <s v="Acer"/>
    <s v="saccharum"/>
    <s v="Sapindaceae"/>
    <x v="2"/>
  </r>
  <r>
    <x v="3"/>
    <d v="2026-06-16T00:00:00"/>
    <x v="0"/>
    <n v="933"/>
    <x v="0"/>
    <n v="2.6"/>
    <s v="W"/>
    <m/>
    <s v="933_1"/>
    <s v="Green_Ash_Swamp (Across from WW)"/>
    <x v="0"/>
    <s v="Acer"/>
    <s v="saccharum"/>
    <s v="Sapindaceae"/>
    <x v="2"/>
  </r>
  <r>
    <x v="3"/>
    <d v="2026-06-16T00:00:00"/>
    <x v="0"/>
    <n v="934"/>
    <x v="0"/>
    <n v="1.7"/>
    <s v="L"/>
    <s v="branches below POM &lt;1cm"/>
    <s v="934_1"/>
    <s v="Green_Ash_Swamp (Across from WW)"/>
    <x v="0"/>
    <s v="Acer"/>
    <s v="saccharum"/>
    <s v="Sapindaceae"/>
    <x v="2"/>
  </r>
  <r>
    <x v="3"/>
    <d v="2026-06-16T00:00:00"/>
    <x v="2"/>
    <n v="935"/>
    <x v="0"/>
    <n v="30.5"/>
    <s v="N/A"/>
    <m/>
    <s v="935_1"/>
    <s v="Green_Ash_Swamp (Across from WW)"/>
    <x v="0"/>
    <s v="Acer"/>
    <s v="rubrum"/>
    <s v="Sapindaceae"/>
    <x v="0"/>
  </r>
  <r>
    <x v="3"/>
    <d v="2026-06-16T00:00:00"/>
    <x v="0"/>
    <n v="936"/>
    <x v="0"/>
    <n v="2.2999999999999998"/>
    <s v="N/A"/>
    <m/>
    <s v="936_1"/>
    <s v="Green_Ash_Swamp (Across from WW)"/>
    <x v="0"/>
    <s v="Acer"/>
    <s v="saccharum"/>
    <s v="Sapindaceae"/>
    <x v="2"/>
  </r>
  <r>
    <x v="3"/>
    <d v="2026-06-16T00:00:00"/>
    <x v="0"/>
    <n v="937"/>
    <x v="0"/>
    <n v="2"/>
    <s v="L"/>
    <s v="branches below POM &lt;1cm, soft measure used"/>
    <s v="937_1"/>
    <s v="Green_Ash_Swamp (Across from WW)"/>
    <x v="0"/>
    <s v="Acer"/>
    <s v="saccharum"/>
    <s v="Sapindaceae"/>
    <x v="2"/>
  </r>
  <r>
    <x v="3"/>
    <d v="2026-06-16T00:00:00"/>
    <x v="3"/>
    <n v="938"/>
    <x v="0"/>
    <n v="50"/>
    <s v="L"/>
    <s v="slightlean"/>
    <s v="938_1"/>
    <s v="Green_Ash_Swamp (Across from WW)"/>
    <x v="0"/>
    <s v="Lirodendron"/>
    <s v="tulipfera"/>
    <s v="Magnoliaceae"/>
    <x v="1"/>
  </r>
  <r>
    <x v="3"/>
    <d v="2026-06-16T00:00:00"/>
    <x v="0"/>
    <n v="939"/>
    <x v="0"/>
    <n v="1.1000000000000001"/>
    <s v="L"/>
    <m/>
    <s v="939_1"/>
    <s v="Green_Ash_Swamp (Across from WW)"/>
    <x v="0"/>
    <s v="Acer"/>
    <s v="saccharum"/>
    <s v="Sapindaceae"/>
    <x v="2"/>
  </r>
  <r>
    <x v="3"/>
    <d v="2026-06-16T00:00:00"/>
    <x v="0"/>
    <n v="940"/>
    <x v="0"/>
    <n v="1.2"/>
    <s v="L"/>
    <s v="slight lean"/>
    <s v="940_1"/>
    <s v="Green_Ash_Swamp (Across from WW)"/>
    <x v="0"/>
    <s v="Acer"/>
    <s v="saccharum"/>
    <s v="Sapindaceae"/>
    <x v="2"/>
  </r>
  <r>
    <x v="3"/>
    <d v="2026-06-16T00:00:00"/>
    <x v="0"/>
    <n v="941"/>
    <x v="0"/>
    <n v="1.3"/>
    <s v="W"/>
    <s v="branches below POM &lt;1cm, soft measure used"/>
    <s v="941_1"/>
    <s v="Green_Ash_Swamp (Across from WW)"/>
    <x v="0"/>
    <s v="Acer"/>
    <s v="saccharum"/>
    <s v="Sapindaceae"/>
    <x v="2"/>
  </r>
  <r>
    <x v="3"/>
    <d v="2026-06-16T00:00:00"/>
    <x v="2"/>
    <n v="942"/>
    <x v="0"/>
    <n v="27.9"/>
    <s v="A"/>
    <s v="POM at 1.27m, knot"/>
    <s v="942_1"/>
    <s v="Green_Ash_Swamp (Across from WW)"/>
    <x v="0"/>
    <s v="Acer"/>
    <s v="rubrum"/>
    <s v="Sapindaceae"/>
    <x v="0"/>
  </r>
  <r>
    <x v="3"/>
    <d v="2026-06-16T00:00:00"/>
    <x v="2"/>
    <n v="943"/>
    <x v="0"/>
    <n v="38"/>
    <s v="L"/>
    <m/>
    <s v="943_1"/>
    <s v="Green_Ash_Swamp (Across from WW)"/>
    <x v="0"/>
    <s v="Acer"/>
    <s v="rubrum"/>
    <s v="Sapindaceae"/>
    <x v="0"/>
  </r>
  <r>
    <x v="3"/>
    <d v="2026-06-16T00:00:00"/>
    <x v="7"/>
    <n v="944"/>
    <x v="0"/>
    <n v="1"/>
    <s v="N/A"/>
    <s v="branches below POM &lt;1cm"/>
    <s v="944_1"/>
    <s v="Green_Ash_Swamp (Across from WW)"/>
    <x v="0"/>
    <s v="Fagus"/>
    <s v="grandifolia"/>
    <s v="Fagaceae"/>
    <x v="2"/>
  </r>
  <r>
    <x v="3"/>
    <d v="2026-06-16T00:00:00"/>
    <x v="19"/>
    <n v="945"/>
    <x v="0"/>
    <n v="1.3"/>
    <s v="L"/>
    <m/>
    <s v="945_1"/>
    <s v="Green_Ash_Swamp (Across from WW)"/>
    <x v="0"/>
    <s v="Carpinus"/>
    <s v="caroliniana"/>
    <s v="Betulaceae"/>
    <x v="2"/>
  </r>
  <r>
    <x v="3"/>
    <d v="2026-06-16T00:00:00"/>
    <x v="0"/>
    <n v="946"/>
    <x v="0"/>
    <n v="2.1"/>
    <s v="N/A"/>
    <m/>
    <s v="946_1"/>
    <s v="Green_Ash_Swamp (Across from WW)"/>
    <x v="0"/>
    <s v="Acer"/>
    <s v="saccharum"/>
    <s v="Sapindaceae"/>
    <x v="2"/>
  </r>
  <r>
    <x v="3"/>
    <d v="2026-06-16T00:00:00"/>
    <x v="10"/>
    <n v="947"/>
    <x v="0"/>
    <n v="50.6"/>
    <s v="L"/>
    <s v="slight lean"/>
    <s v="947_1"/>
    <s v="Green_Ash_Swamp (Across from WW)"/>
    <x v="0"/>
    <s v="Quercus"/>
    <s v="rubra"/>
    <s v="Fagaceae"/>
    <x v="4"/>
  </r>
  <r>
    <x v="3"/>
    <d v="2026-06-16T00:00:00"/>
    <x v="0"/>
    <n v="948"/>
    <x v="0"/>
    <n v="4"/>
    <s v="A,L"/>
    <s v="POM at 1.25m"/>
    <s v="948_1"/>
    <s v="Green_Ash_Swamp (Across from WW)"/>
    <x v="0"/>
    <s v="Acer"/>
    <s v="saccharum"/>
    <s v="Sapindaceae"/>
    <x v="2"/>
  </r>
  <r>
    <x v="3"/>
    <d v="2026-06-16T00:00:00"/>
    <x v="10"/>
    <n v="949"/>
    <x v="0"/>
    <n v="51.3"/>
    <s v="L"/>
    <s v="slight lean"/>
    <s v="949_1"/>
    <s v="Green_Ash_Swamp (Across from WW)"/>
    <x v="0"/>
    <s v="Quercus"/>
    <s v="rubra"/>
    <s v="Fagaceae"/>
    <x v="4"/>
  </r>
  <r>
    <x v="3"/>
    <d v="2026-06-16T00:00:00"/>
    <x v="2"/>
    <n v="950"/>
    <x v="0"/>
    <n v="8.3000000000000007"/>
    <s v="W,L"/>
    <s v="soft measure used"/>
    <s v="950_1"/>
    <s v="Green_Ash_Swamp (Across from WW)"/>
    <x v="0"/>
    <s v="Acer"/>
    <s v="rubrum"/>
    <s v="Sapindaceae"/>
    <x v="5"/>
  </r>
  <r>
    <x v="3"/>
    <d v="2026-06-16T00:00:00"/>
    <x v="2"/>
    <n v="951"/>
    <x v="0"/>
    <n v="12.7"/>
    <s v="W,L"/>
    <m/>
    <s v="951_1"/>
    <s v="Green_Ash_Swamp (Across from WW)"/>
    <x v="0"/>
    <s v="Acer"/>
    <s v="rubrum"/>
    <s v="Sapindaceae"/>
    <x v="3"/>
  </r>
  <r>
    <x v="3"/>
    <d v="2026-06-16T00:00:00"/>
    <x v="0"/>
    <n v="952"/>
    <x v="0"/>
    <n v="5.6"/>
    <s v="N/A"/>
    <m/>
    <s v="952_1"/>
    <s v="Green_Ash_Swamp (Across from WW)"/>
    <x v="0"/>
    <s v="Acer"/>
    <s v="saccharum"/>
    <s v="Sapindaceae"/>
    <x v="5"/>
  </r>
  <r>
    <x v="3"/>
    <d v="2026-06-16T00:00:00"/>
    <x v="2"/>
    <n v="953"/>
    <x v="0"/>
    <n v="16.100000000000001"/>
    <s v="N/A"/>
    <m/>
    <s v="953_1"/>
    <s v="Green_Ash_Swamp (Across from WW)"/>
    <x v="0"/>
    <s v="Acer"/>
    <s v="rubrum"/>
    <s v="Sapindaceae"/>
    <x v="3"/>
  </r>
  <r>
    <x v="3"/>
    <d v="2026-06-16T00:00:00"/>
    <x v="19"/>
    <n v="954"/>
    <x v="0"/>
    <n v="2"/>
    <s v="B,L"/>
    <s v="soft measure used"/>
    <s v="954_1"/>
    <s v="Green_Ash_Swamp (Across from WW)"/>
    <x v="0"/>
    <s v="Carpinus"/>
    <s v="caroliniana"/>
    <s v="Betulaceae"/>
    <x v="2"/>
  </r>
  <r>
    <x v="3"/>
    <d v="2026-06-16T00:00:00"/>
    <x v="0"/>
    <n v="955"/>
    <x v="0"/>
    <n v="1.5"/>
    <s v="L,A"/>
    <s v="POM at 1.29m"/>
    <s v="955_1"/>
    <s v="Green_Ash_Swamp (Across from WW)"/>
    <x v="0"/>
    <s v="Acer"/>
    <s v="saccharum"/>
    <s v="Sapindaceae"/>
    <x v="2"/>
  </r>
  <r>
    <x v="3"/>
    <d v="2026-06-16T00:00:00"/>
    <x v="2"/>
    <n v="956"/>
    <x v="0"/>
    <n v="7.5"/>
    <s v="N/A"/>
    <m/>
    <s v="956_1"/>
    <s v="Green_Ash_Swamp (Across from WW)"/>
    <x v="0"/>
    <s v="Acer"/>
    <s v="rubrum"/>
    <s v="Sapindaceae"/>
    <x v="5"/>
  </r>
  <r>
    <x v="3"/>
    <d v="2026-06-16T00:00:00"/>
    <x v="0"/>
    <n v="957"/>
    <x v="0"/>
    <n v="1.4"/>
    <s v="N/A"/>
    <m/>
    <s v="957_1"/>
    <s v="Green_Ash_Swamp (Across from WW)"/>
    <x v="0"/>
    <s v="Acer"/>
    <s v="saccharum"/>
    <s v="Sapindaceae"/>
    <x v="2"/>
  </r>
  <r>
    <x v="3"/>
    <d v="2026-06-16T00:00:00"/>
    <x v="0"/>
    <n v="958"/>
    <x v="0"/>
    <n v="2"/>
    <s v="I,A"/>
    <s v="POM at 1.26m"/>
    <s v="958_1"/>
    <s v="Green_Ash_Swamp (Across from WW)"/>
    <x v="0"/>
    <s v="Acer"/>
    <s v="saccharum"/>
    <s v="Sapindaceae"/>
    <x v="2"/>
  </r>
  <r>
    <x v="3"/>
    <d v="2026-06-16T00:00:00"/>
    <x v="3"/>
    <n v="959"/>
    <x v="0"/>
    <n v="35.5"/>
    <s v="N/A"/>
    <m/>
    <s v="959_1"/>
    <s v="Green_Ash_Swamp (Across from WW)"/>
    <x v="0"/>
    <s v="Lirodendron"/>
    <s v="tulipfera"/>
    <s v="Magnoliaceae"/>
    <x v="0"/>
  </r>
  <r>
    <x v="3"/>
    <d v="2026-06-16T00:00:00"/>
    <x v="0"/>
    <n v="960"/>
    <x v="0"/>
    <n v="3.3"/>
    <s v="L,A"/>
    <s v="POM at 1.28m"/>
    <s v="960_1"/>
    <s v="Green_Ash_Swamp (Across from WW)"/>
    <x v="0"/>
    <s v="Acer"/>
    <s v="saccharum"/>
    <s v="Sapindaceae"/>
    <x v="2"/>
  </r>
  <r>
    <x v="3"/>
    <d v="2026-06-16T00:00:00"/>
    <x v="0"/>
    <n v="961"/>
    <x v="0"/>
    <n v="1.7"/>
    <s v="L"/>
    <m/>
    <s v="961_1"/>
    <s v="Green_Ash_Swamp (Across from WW)"/>
    <x v="0"/>
    <s v="Acer"/>
    <s v="saccharum"/>
    <s v="Sapindaceae"/>
    <x v="2"/>
  </r>
  <r>
    <x v="3"/>
    <d v="2026-06-16T00:00:00"/>
    <x v="3"/>
    <n v="962"/>
    <x v="0"/>
    <n v="14.3"/>
    <s v="L"/>
    <m/>
    <s v="962_1"/>
    <s v="Green_Ash_Swamp (Across from WW)"/>
    <x v="0"/>
    <s v="Lirodendron"/>
    <s v="tulipfera"/>
    <s v="Magnoliaceae"/>
    <x v="3"/>
  </r>
  <r>
    <x v="3"/>
    <d v="2026-06-16T00:00:00"/>
    <x v="2"/>
    <n v="963"/>
    <x v="0"/>
    <n v="19"/>
    <s v="W"/>
    <s v="soft measure used"/>
    <s v="963_1"/>
    <s v="Green_Ash_Swamp (Across from WW)"/>
    <x v="0"/>
    <s v="Acer"/>
    <s v="rubrum"/>
    <s v="Sapindaceae"/>
    <x v="3"/>
  </r>
  <r>
    <x v="3"/>
    <d v="2026-06-16T00:00:00"/>
    <x v="7"/>
    <n v="964"/>
    <x v="0"/>
    <n v="5.2"/>
    <s v="M,A"/>
    <s v="POM at 1.25m, lower branches counted as multiple stems"/>
    <s v="964_1"/>
    <s v="Green_Ash_Swamp (Across from WW)"/>
    <x v="0"/>
    <s v="Fagus"/>
    <s v="grandifolia"/>
    <s v="Fagaceae"/>
    <x v="5"/>
  </r>
  <r>
    <x v="3"/>
    <d v="2026-06-16T00:00:00"/>
    <x v="7"/>
    <n v="964"/>
    <x v="1"/>
    <n v="1.7"/>
    <s v="M"/>
    <s v="lower branches counted as multiple stems"/>
    <s v="964_2"/>
    <s v="Green_Ash_Swamp (Across from WW)"/>
    <x v="0"/>
    <s v="Fagus"/>
    <s v="grandifolia"/>
    <s v="Fagaceae"/>
    <x v="2"/>
  </r>
  <r>
    <x v="3"/>
    <d v="2026-06-16T00:00:00"/>
    <x v="7"/>
    <n v="964"/>
    <x v="2"/>
    <n v="1"/>
    <s v="M"/>
    <s v="lower branches counted as multiple stems"/>
    <s v="964_3"/>
    <s v="Green_Ash_Swamp (Across from WW)"/>
    <x v="0"/>
    <s v="Fagus"/>
    <s v="grandifolia"/>
    <s v="Fagaceae"/>
    <x v="2"/>
  </r>
  <r>
    <x v="3"/>
    <d v="2026-06-16T00:00:00"/>
    <x v="2"/>
    <n v="965"/>
    <x v="0"/>
    <n v="18.100000000000001"/>
    <s v="N/A"/>
    <m/>
    <s v="965_1"/>
    <s v="Green_Ash_Swamp (Across from WW)"/>
    <x v="0"/>
    <s v="Acer"/>
    <s v="rubrum"/>
    <s v="Sapindaceae"/>
    <x v="3"/>
  </r>
  <r>
    <x v="3"/>
    <d v="2026-06-16T00:00:00"/>
    <x v="0"/>
    <n v="966"/>
    <x v="0"/>
    <n v="1.3"/>
    <s v="L"/>
    <m/>
    <s v="966_1"/>
    <s v="Green_Ash_Swamp (Across from WW)"/>
    <x v="0"/>
    <s v="Acer"/>
    <s v="saccharum"/>
    <s v="Sapindaceae"/>
    <x v="2"/>
  </r>
  <r>
    <x v="3"/>
    <d v="2026-06-16T00:00:00"/>
    <x v="0"/>
    <n v="967"/>
    <x v="0"/>
    <n v="1.7"/>
    <s v="W"/>
    <s v="soft measure used"/>
    <s v="967_1"/>
    <s v="Green_Ash_Swamp (Across from WW)"/>
    <x v="0"/>
    <s v="Acer"/>
    <s v="saccharum"/>
    <s v="Sapindaceae"/>
    <x v="2"/>
  </r>
  <r>
    <x v="3"/>
    <d v="2026-06-16T00:00:00"/>
    <x v="0"/>
    <n v="968"/>
    <x v="0"/>
    <n v="2"/>
    <s v="N/A"/>
    <m/>
    <s v="968_1"/>
    <s v="Green_Ash_Swamp (Across from WW)"/>
    <x v="0"/>
    <s v="Acer"/>
    <s v="saccharum"/>
    <s v="Sapindaceae"/>
    <x v="2"/>
  </r>
  <r>
    <x v="3"/>
    <d v="2026-06-16T00:00:00"/>
    <x v="0"/>
    <n v="969"/>
    <x v="0"/>
    <n v="1.3"/>
    <s v="M,L"/>
    <m/>
    <s v="969_1"/>
    <s v="Green_Ash_Swamp (Across from WW)"/>
    <x v="0"/>
    <s v="Acer"/>
    <s v="saccharum"/>
    <s v="Sapindaceae"/>
    <x v="2"/>
  </r>
  <r>
    <x v="3"/>
    <d v="2026-06-16T00:00:00"/>
    <x v="0"/>
    <n v="969"/>
    <x v="1"/>
    <n v="1.2"/>
    <s v="M,L"/>
    <m/>
    <s v="969_2"/>
    <s v="Green_Ash_Swamp (Across from WW)"/>
    <x v="0"/>
    <s v="Acer"/>
    <s v="saccharum"/>
    <s v="Sapindaceae"/>
    <x v="2"/>
  </r>
  <r>
    <x v="3"/>
    <d v="2026-06-16T00:00:00"/>
    <x v="3"/>
    <n v="970"/>
    <x v="0"/>
    <n v="25"/>
    <s v="L"/>
    <m/>
    <s v="970_1"/>
    <s v="Green_Ash_Swamp (Across from WW)"/>
    <x v="0"/>
    <s v="Lirodendron"/>
    <s v="tulipfera"/>
    <s v="Magnoliaceae"/>
    <x v="0"/>
  </r>
  <r>
    <x v="3"/>
    <d v="2026-06-16T00:00:00"/>
    <x v="2"/>
    <n v="971"/>
    <x v="0"/>
    <n v="6.8"/>
    <s v="W"/>
    <s v="soft measure used"/>
    <s v="971_1"/>
    <s v="Green_Ash_Swamp (Across from WW)"/>
    <x v="0"/>
    <s v="Acer"/>
    <s v="rubrum"/>
    <s v="Sapindaceae"/>
    <x v="5"/>
  </r>
  <r>
    <x v="3"/>
    <d v="2026-06-16T00:00:00"/>
    <x v="3"/>
    <n v="972"/>
    <x v="0"/>
    <n v="25"/>
    <s v="L"/>
    <m/>
    <s v="972_1"/>
    <s v="Green_Ash_Swamp (Across from WW)"/>
    <x v="0"/>
    <s v="Lirodendron"/>
    <s v="tulipfera"/>
    <s v="Magnoliaceae"/>
    <x v="0"/>
  </r>
  <r>
    <x v="3"/>
    <d v="2026-06-16T00:00:00"/>
    <x v="2"/>
    <n v="973"/>
    <x v="0"/>
    <n v="5.3"/>
    <s v="L"/>
    <m/>
    <s v="973_1"/>
    <s v="Green_Ash_Swamp (Across from WW)"/>
    <x v="0"/>
    <s v="Acer"/>
    <s v="rubrum"/>
    <s v="Sapindaceae"/>
    <x v="5"/>
  </r>
  <r>
    <x v="3"/>
    <d v="2026-06-16T00:00:00"/>
    <x v="0"/>
    <n v="974"/>
    <x v="0"/>
    <n v="1.8"/>
    <s v="L"/>
    <m/>
    <s v="974_1"/>
    <s v="Green_Ash_Swamp (Across from WW)"/>
    <x v="0"/>
    <s v="Acer"/>
    <s v="saccharum"/>
    <s v="Sapindaceae"/>
    <x v="2"/>
  </r>
  <r>
    <x v="3"/>
    <d v="2026-06-16T00:00:00"/>
    <x v="0"/>
    <n v="975"/>
    <x v="0"/>
    <n v="2.1"/>
    <s v="L"/>
    <m/>
    <s v="975_1"/>
    <s v="Green_Ash_Swamp (Across from WW)"/>
    <x v="0"/>
    <s v="Acer"/>
    <s v="saccharum"/>
    <s v="Sapindaceae"/>
    <x v="2"/>
  </r>
  <r>
    <x v="3"/>
    <d v="2026-06-16T00:00:00"/>
    <x v="3"/>
    <n v="976"/>
    <x v="0"/>
    <n v="33.4"/>
    <s v="L"/>
    <s v="slight lean"/>
    <s v="976_1"/>
    <s v="Green_Ash_Swamp (Across from WW)"/>
    <x v="0"/>
    <s v="Lirodendron"/>
    <s v="tulipfera"/>
    <s v="Magnoliaceae"/>
    <x v="0"/>
  </r>
  <r>
    <x v="3"/>
    <d v="2026-06-16T00:00:00"/>
    <x v="0"/>
    <n v="977"/>
    <x v="0"/>
    <n v="1.1000000000000001"/>
    <s v="N/A"/>
    <m/>
    <s v="977_1"/>
    <s v="Green_Ash_Swamp (Across from WW)"/>
    <x v="0"/>
    <s v="Acer"/>
    <s v="saccharum"/>
    <s v="Sapindaceae"/>
    <x v="2"/>
  </r>
  <r>
    <x v="3"/>
    <d v="2026-06-16T00:00:00"/>
    <x v="0"/>
    <n v="978"/>
    <x v="0"/>
    <n v="1"/>
    <s v="X"/>
    <m/>
    <s v="978_1"/>
    <s v="Green_Ash_Swamp (Across from WW)"/>
    <x v="0"/>
    <s v="Acer"/>
    <s v="saccharum"/>
    <s v="Sapindaceae"/>
    <x v="2"/>
  </r>
  <r>
    <x v="3"/>
    <d v="2026-06-16T00:00:00"/>
    <x v="0"/>
    <n v="979"/>
    <x v="0"/>
    <n v="1.2"/>
    <s v="L"/>
    <m/>
    <s v="979_1"/>
    <s v="Green_Ash_Swamp (Across from WW)"/>
    <x v="0"/>
    <s v="Acer"/>
    <s v="saccharum"/>
    <s v="Sapindaceae"/>
    <x v="2"/>
  </r>
  <r>
    <x v="3"/>
    <d v="2026-06-16T00:00:00"/>
    <x v="0"/>
    <n v="980"/>
    <x v="0"/>
    <n v="1.4"/>
    <s v="L"/>
    <m/>
    <s v="980_1"/>
    <s v="Green_Ash_Swamp (Across from WW)"/>
    <x v="0"/>
    <s v="Acer"/>
    <s v="saccharum"/>
    <s v="Sapindaceae"/>
    <x v="2"/>
  </r>
  <r>
    <x v="3"/>
    <d v="2026-06-16T00:00:00"/>
    <x v="0"/>
    <n v="981"/>
    <x v="0"/>
    <n v="6.6"/>
    <s v="A"/>
    <s v="POM at 1.26m"/>
    <s v="981_1"/>
    <s v="Green_Ash_Swamp (Across from WW)"/>
    <x v="0"/>
    <s v="Acer"/>
    <s v="saccharum"/>
    <s v="Sapindaceae"/>
    <x v="5"/>
  </r>
  <r>
    <x v="3"/>
    <d v="2026-06-16T00:00:00"/>
    <x v="3"/>
    <n v="982"/>
    <x v="0"/>
    <n v="36.799999999999997"/>
    <s v="L"/>
    <m/>
    <s v="982_1"/>
    <s v="Green_Ash_Swamp (Across from WW)"/>
    <x v="0"/>
    <s v="Lirodendron"/>
    <s v="tulipfera"/>
    <s v="Magnoliaceae"/>
    <x v="0"/>
  </r>
  <r>
    <x v="3"/>
    <d v="2026-06-16T00:00:00"/>
    <x v="0"/>
    <n v="983"/>
    <x v="0"/>
    <n v="1.6"/>
    <s v="W"/>
    <s v="soft measure used"/>
    <s v="983_1"/>
    <s v="Green_Ash_Swamp (Across from WW)"/>
    <x v="0"/>
    <s v="Acer"/>
    <s v="saccharum"/>
    <s v="Sapindaceae"/>
    <x v="2"/>
  </r>
  <r>
    <x v="3"/>
    <d v="2026-06-16T00:00:00"/>
    <x v="0"/>
    <n v="984"/>
    <x v="0"/>
    <n v="5.9"/>
    <s v="W"/>
    <s v="soft measure used"/>
    <s v="984_1"/>
    <s v="Green_Ash_Swamp (Across from WW)"/>
    <x v="0"/>
    <s v="Acer"/>
    <s v="saccharum"/>
    <s v="Sapindaceae"/>
    <x v="5"/>
  </r>
  <r>
    <x v="4"/>
    <d v="2026-06-16T00:00:00"/>
    <x v="3"/>
    <n v="985"/>
    <x v="0"/>
    <n v="1.1000000000000001"/>
    <s v="N/A"/>
    <s v="branches below POM &lt;1cm"/>
    <s v="985_1"/>
    <s v="Stebbins_Core"/>
    <x v="2"/>
    <s v="Lirodendron"/>
    <s v="tulipfera"/>
    <s v="Magnoliaceae"/>
    <x v="2"/>
  </r>
  <r>
    <x v="4"/>
    <d v="2026-06-16T00:00:00"/>
    <x v="3"/>
    <n v="986"/>
    <x v="0"/>
    <n v="1.8"/>
    <s v="N/A"/>
    <s v="branches below POM &lt;1cm"/>
    <s v="986_1"/>
    <s v="Stebbins_Core"/>
    <x v="2"/>
    <s v="Lirodendron"/>
    <s v="tulipfera"/>
    <s v="Magnoliaceae"/>
    <x v="2"/>
  </r>
  <r>
    <x v="4"/>
    <d v="2026-06-16T00:00:00"/>
    <x v="3"/>
    <n v="987"/>
    <x v="0"/>
    <n v="1.3"/>
    <s v="L"/>
    <s v="slight lean"/>
    <s v="987_1"/>
    <s v="Stebbins_Core"/>
    <x v="2"/>
    <s v="Lirodendron"/>
    <s v="tulipfera"/>
    <s v="Magnoliaceae"/>
    <x v="2"/>
  </r>
  <r>
    <x v="4"/>
    <d v="2026-06-16T00:00:00"/>
    <x v="3"/>
    <n v="988"/>
    <x v="0"/>
    <n v="2.1"/>
    <s v="N/A"/>
    <s v="branches below POM &lt;1cm"/>
    <s v="988_1"/>
    <s v="Stebbins_Core"/>
    <x v="2"/>
    <s v="Lirodendron"/>
    <s v="tulipfera"/>
    <s v="Magnoliaceae"/>
    <x v="2"/>
  </r>
  <r>
    <x v="4"/>
    <d v="2026-06-16T00:00:00"/>
    <x v="0"/>
    <n v="989"/>
    <x v="0"/>
    <n v="10.5"/>
    <s v="L"/>
    <m/>
    <s v="989_1"/>
    <s v="Stebbins_Core"/>
    <x v="2"/>
    <s v="Acer"/>
    <s v="saccharum"/>
    <s v="Sapindaceae"/>
    <x v="3"/>
  </r>
  <r>
    <x v="4"/>
    <d v="2026-06-16T00:00:00"/>
    <x v="0"/>
    <n v="990"/>
    <x v="0"/>
    <n v="3"/>
    <s v="X,L,A"/>
    <s v="POM at 1.28m"/>
    <s v="990_1"/>
    <s v="Stebbins_Core"/>
    <x v="2"/>
    <s v="Acer"/>
    <s v="saccharum"/>
    <s v="Sapindaceae"/>
    <x v="2"/>
  </r>
  <r>
    <x v="4"/>
    <d v="2026-06-16T00:00:00"/>
    <x v="3"/>
    <n v="991"/>
    <x v="0"/>
    <n v="1.4"/>
    <s v="N/A"/>
    <s v="branches below POM &lt;1cm"/>
    <s v="991_1"/>
    <s v="Stebbins_Core"/>
    <x v="2"/>
    <s v="Lirodendron"/>
    <s v="tulipfera"/>
    <s v="Magnoliaceae"/>
    <x v="2"/>
  </r>
  <r>
    <x v="4"/>
    <d v="2026-06-16T00:00:00"/>
    <x v="3"/>
    <n v="992"/>
    <x v="0"/>
    <n v="1.4"/>
    <s v="M"/>
    <s v="Tagged"/>
    <s v="992_1"/>
    <s v="Stebbins_Core"/>
    <x v="2"/>
    <s v="Lirodendron"/>
    <s v="tulipfera"/>
    <s v="Magnoliaceae"/>
    <x v="2"/>
  </r>
  <r>
    <x v="4"/>
    <d v="2026-06-16T00:00:00"/>
    <x v="3"/>
    <n v="992"/>
    <x v="1"/>
    <n v="1.4"/>
    <s v="M"/>
    <s v="soft measure used"/>
    <s v="992_2"/>
    <s v="Stebbins_Core"/>
    <x v="2"/>
    <s v="Lirodendron"/>
    <s v="tulipfera"/>
    <s v="Magnoliaceae"/>
    <x v="2"/>
  </r>
  <r>
    <x v="4"/>
    <d v="2026-06-16T00:00:00"/>
    <x v="3"/>
    <n v="992"/>
    <x v="2"/>
    <n v="1"/>
    <s v="M"/>
    <s v="soft measure used"/>
    <s v="992_3"/>
    <s v="Stebbins_Core"/>
    <x v="2"/>
    <s v="Lirodendron"/>
    <s v="tulipfera"/>
    <s v="Magnoliaceae"/>
    <x v="2"/>
  </r>
  <r>
    <x v="4"/>
    <d v="2026-06-16T00:00:00"/>
    <x v="3"/>
    <n v="992"/>
    <x v="3"/>
    <n v="1.4"/>
    <s v="M,L"/>
    <s v="soft measure used"/>
    <s v="992_4"/>
    <s v="Stebbins_Core"/>
    <x v="2"/>
    <s v="Lirodendron"/>
    <s v="tulipfera"/>
    <s v="Magnoliaceae"/>
    <x v="2"/>
  </r>
  <r>
    <x v="4"/>
    <d v="2026-06-16T00:00:00"/>
    <x v="3"/>
    <n v="993"/>
    <x v="0"/>
    <n v="1.5"/>
    <s v="N/A"/>
    <s v="branches below POM &lt;1cm"/>
    <s v="993_1"/>
    <s v="Stebbins_Core"/>
    <x v="2"/>
    <s v="Lirodendron"/>
    <s v="tulipfera"/>
    <s v="Magnoliaceae"/>
    <x v="2"/>
  </r>
  <r>
    <x v="4"/>
    <d v="2026-06-16T00:00:00"/>
    <x v="0"/>
    <n v="994"/>
    <x v="0"/>
    <n v="4.4000000000000004"/>
    <s v="M,L"/>
    <s v="soft measure used"/>
    <s v="994_1"/>
    <s v="Stebbins_Core"/>
    <x v="2"/>
    <s v="Acer"/>
    <s v="saccharum"/>
    <s v="Sapindaceae"/>
    <x v="2"/>
  </r>
  <r>
    <x v="4"/>
    <d v="2026-06-16T00:00:00"/>
    <x v="0"/>
    <n v="994"/>
    <x v="1"/>
    <n v="1.8"/>
    <s v="M,L"/>
    <s v="soft measure used"/>
    <s v="994_2"/>
    <s v="Stebbins_Core"/>
    <x v="2"/>
    <s v="Acer"/>
    <s v="saccharum"/>
    <s v="Sapindaceae"/>
    <x v="2"/>
  </r>
  <r>
    <x v="4"/>
    <d v="2026-06-16T00:00:00"/>
    <x v="0"/>
    <n v="995"/>
    <x v="0"/>
    <n v="6.2"/>
    <s v="I,L"/>
    <s v="knots at and around POM"/>
    <s v="995_1"/>
    <s v="Stebbins_Core"/>
    <x v="2"/>
    <s v="Acer"/>
    <s v="saccharum"/>
    <s v="Sapindaceae"/>
    <x v="5"/>
  </r>
  <r>
    <x v="4"/>
    <d v="2026-06-16T00:00:00"/>
    <x v="7"/>
    <n v="996"/>
    <x v="0"/>
    <n v="59.5"/>
    <s v="L"/>
    <m/>
    <s v="996_1"/>
    <s v="Stebbins_Core"/>
    <x v="2"/>
    <s v="Fagus"/>
    <s v="grandifolia"/>
    <s v="Fagaceae"/>
    <x v="4"/>
  </r>
  <r>
    <x v="4"/>
    <d v="2026-06-16T00:00:00"/>
    <x v="0"/>
    <n v="997"/>
    <x v="0"/>
    <n v="3.5"/>
    <s v="W"/>
    <m/>
    <s v="997_1"/>
    <s v="Stebbins_Core"/>
    <x v="2"/>
    <s v="Acer"/>
    <s v="saccharum"/>
    <s v="Sapindaceae"/>
    <x v="2"/>
  </r>
  <r>
    <x v="4"/>
    <d v="2026-06-16T00:00:00"/>
    <x v="0"/>
    <n v="998"/>
    <x v="0"/>
    <n v="18"/>
    <s v="L"/>
    <m/>
    <s v="998_1"/>
    <s v="Stebbins_Core"/>
    <x v="2"/>
    <s v="Acer"/>
    <s v="saccharum"/>
    <s v="Sapindaceae"/>
    <x v="3"/>
  </r>
  <r>
    <x v="4"/>
    <d v="2026-06-16T00:00:00"/>
    <x v="0"/>
    <n v="999"/>
    <x v="0"/>
    <n v="5.4"/>
    <s v="L"/>
    <m/>
    <s v="999_1"/>
    <s v="Stebbins_Core"/>
    <x v="2"/>
    <s v="Acer"/>
    <s v="saccharum"/>
    <s v="Sapindaceae"/>
    <x v="5"/>
  </r>
  <r>
    <x v="4"/>
    <d v="2026-06-16T00:00:00"/>
    <x v="0"/>
    <n v="1000"/>
    <x v="0"/>
    <n v="3.8"/>
    <s v="L"/>
    <m/>
    <s v="1000_1"/>
    <s v="Stebbins_Core"/>
    <x v="2"/>
    <s v="Acer"/>
    <s v="saccharum"/>
    <s v="Sapindaceae"/>
    <x v="2"/>
  </r>
  <r>
    <x v="4"/>
    <d v="2026-06-16T00:00:00"/>
    <x v="0"/>
    <n v="1001"/>
    <x v="0"/>
    <n v="2.7"/>
    <s v="L"/>
    <m/>
    <s v="1001_1"/>
    <s v="Stebbins_Core"/>
    <x v="2"/>
    <s v="Acer"/>
    <s v="saccharum"/>
    <s v="Sapindaceae"/>
    <x v="2"/>
  </r>
  <r>
    <x v="4"/>
    <d v="2026-06-16T00:00:00"/>
    <x v="0"/>
    <n v="1002"/>
    <x v="0"/>
    <n v="3.2"/>
    <s v="N/A"/>
    <m/>
    <s v="1002_1"/>
    <s v="Stebbins_Core"/>
    <x v="2"/>
    <s v="Acer"/>
    <s v="saccharum"/>
    <s v="Sapindaceae"/>
    <x v="2"/>
  </r>
  <r>
    <x v="4"/>
    <d v="2026-06-16T00:00:00"/>
    <x v="0"/>
    <n v="1017"/>
    <x v="0"/>
    <n v="1.8"/>
    <s v="A,L"/>
    <s v="POM at 1.28m"/>
    <s v="1017_1"/>
    <s v="Stebbins_Core"/>
    <x v="2"/>
    <s v="Acer"/>
    <s v="saccharum"/>
    <s v="Sapindaceae"/>
    <x v="2"/>
  </r>
  <r>
    <x v="4"/>
    <d v="2026-06-16T00:00:00"/>
    <x v="0"/>
    <n v="1003"/>
    <x v="0"/>
    <n v="6"/>
    <s v="A"/>
    <s v="POM at 1.28m, knots"/>
    <s v="1003_1"/>
    <s v="Stebbins_Core"/>
    <x v="2"/>
    <s v="Acer"/>
    <s v="saccharum"/>
    <s v="Sapindaceae"/>
    <x v="5"/>
  </r>
  <r>
    <x v="4"/>
    <d v="2026-06-16T00:00:00"/>
    <x v="0"/>
    <n v="1004"/>
    <x v="0"/>
    <n v="12"/>
    <s v="N/A"/>
    <m/>
    <s v="1004_1"/>
    <s v="Stebbins_Core"/>
    <x v="2"/>
    <s v="Acer"/>
    <s v="saccharum"/>
    <s v="Sapindaceae"/>
    <x v="3"/>
  </r>
  <r>
    <x v="4"/>
    <d v="2026-06-16T00:00:00"/>
    <x v="5"/>
    <n v="1005"/>
    <x v="0"/>
    <n v="2.5"/>
    <s v="N/A"/>
    <s v="branches below POM &lt;1cm"/>
    <s v="1005_1"/>
    <s v="Stebbins_Core"/>
    <x v="2"/>
    <s v="Magnolia"/>
    <s v="acuminata"/>
    <s v="Magnoliaceae"/>
    <x v="2"/>
  </r>
  <r>
    <x v="4"/>
    <d v="2026-06-16T00:00:00"/>
    <x v="3"/>
    <n v="1006"/>
    <x v="0"/>
    <n v="1.3"/>
    <s v="L"/>
    <s v="slight lean, branches below POM &lt; 1cm"/>
    <s v="1006_1"/>
    <s v="Stebbins_Core"/>
    <x v="2"/>
    <s v="Lirodendron"/>
    <s v="tulipfera"/>
    <s v="Magnoliaceae"/>
    <x v="2"/>
  </r>
  <r>
    <x v="4"/>
    <d v="2026-06-16T00:00:00"/>
    <x v="0"/>
    <n v="1007"/>
    <x v="0"/>
    <n v="6.2"/>
    <s v="L"/>
    <m/>
    <s v="1007_1"/>
    <s v="Stebbins_Core"/>
    <x v="2"/>
    <s v="Acer"/>
    <s v="saccharum"/>
    <s v="Sapindaceae"/>
    <x v="5"/>
  </r>
  <r>
    <x v="4"/>
    <d v="2026-06-16T00:00:00"/>
    <x v="0"/>
    <n v="1008"/>
    <x v="0"/>
    <n v="6.1"/>
    <s v="I,L"/>
    <s v="knots along trunk"/>
    <s v="1008_1"/>
    <s v="Stebbins_Core"/>
    <x v="2"/>
    <s v="Acer"/>
    <s v="saccharum"/>
    <s v="Sapindaceae"/>
    <x v="5"/>
  </r>
  <r>
    <x v="4"/>
    <d v="2026-06-16T00:00:00"/>
    <x v="0"/>
    <n v="1009"/>
    <x v="0"/>
    <n v="15.2"/>
    <s v="W"/>
    <m/>
    <s v="1009_1"/>
    <s v="Stebbins_Core"/>
    <x v="2"/>
    <s v="Acer"/>
    <s v="saccharum"/>
    <s v="Sapindaceae"/>
    <x v="3"/>
  </r>
  <r>
    <x v="4"/>
    <d v="2026-06-16T00:00:00"/>
    <x v="0"/>
    <n v="1010"/>
    <x v="0"/>
    <n v="4.4000000000000004"/>
    <s v="L"/>
    <m/>
    <s v="1010_1"/>
    <s v="Stebbins_Core"/>
    <x v="2"/>
    <s v="Acer"/>
    <s v="saccharum"/>
    <s v="Sapindaceae"/>
    <x v="2"/>
  </r>
  <r>
    <x v="4"/>
    <d v="2026-06-16T00:00:00"/>
    <x v="0"/>
    <n v="1011"/>
    <x v="0"/>
    <n v="12.3"/>
    <s v="A,L"/>
    <s v="POM at 1.205m, knots"/>
    <s v="1011_1"/>
    <s v="Stebbins_Core"/>
    <x v="2"/>
    <s v="Acer"/>
    <s v="saccharum"/>
    <s v="Sapindaceae"/>
    <x v="3"/>
  </r>
  <r>
    <x v="4"/>
    <d v="2026-06-16T00:00:00"/>
    <x v="0"/>
    <n v="1012"/>
    <x v="0"/>
    <n v="1.9"/>
    <s v="M,W"/>
    <s v="soft measure used"/>
    <s v="1012_1"/>
    <s v="Stebbins_Core"/>
    <x v="2"/>
    <s v="Acer"/>
    <s v="saccharum"/>
    <s v="Sapindaceae"/>
    <x v="2"/>
  </r>
  <r>
    <x v="4"/>
    <d v="2026-06-16T00:00:00"/>
    <x v="0"/>
    <n v="1012"/>
    <x v="1"/>
    <n v="1"/>
    <s v="M,W,A"/>
    <s v="POM at 1.29m, knots, soft measure used"/>
    <s v="1012_2"/>
    <s v="Stebbins_Core"/>
    <x v="2"/>
    <s v="Acer"/>
    <s v="saccharum"/>
    <s v="Sapindaceae"/>
    <x v="2"/>
  </r>
  <r>
    <x v="4"/>
    <d v="2026-06-16T00:00:00"/>
    <x v="0"/>
    <n v="1013"/>
    <x v="0"/>
    <n v="4.3"/>
    <s v="L"/>
    <s v="slight lean"/>
    <s v="1013_1"/>
    <s v="Stebbins_Core"/>
    <x v="2"/>
    <s v="Acer"/>
    <s v="saccharum"/>
    <s v="Sapindaceae"/>
    <x v="2"/>
  </r>
  <r>
    <x v="4"/>
    <d v="2026-06-16T00:00:00"/>
    <x v="0"/>
    <n v="1014"/>
    <x v="0"/>
    <n v="25.6"/>
    <s v="L"/>
    <s v="slight lean"/>
    <s v="1014_1"/>
    <s v="Stebbins_Core"/>
    <x v="2"/>
    <s v="Acer"/>
    <s v="saccharum"/>
    <s v="Sapindaceae"/>
    <x v="0"/>
  </r>
  <r>
    <x v="4"/>
    <d v="2026-06-16T00:00:00"/>
    <x v="0"/>
    <n v="1015"/>
    <x v="0"/>
    <n v="4.4000000000000004"/>
    <s v="A"/>
    <s v="POM at 1.20m, knots"/>
    <s v="1015_1"/>
    <s v="Stebbins_Core"/>
    <x v="2"/>
    <s v="Acer"/>
    <s v="saccharum"/>
    <s v="Sapindaceae"/>
    <x v="2"/>
  </r>
  <r>
    <x v="4"/>
    <d v="2026-06-16T00:00:00"/>
    <x v="0"/>
    <n v="1016"/>
    <x v="0"/>
    <n v="7.7"/>
    <s v="A,L"/>
    <s v="POM at 1.27m, knot"/>
    <s v="1016_1"/>
    <s v="Stebbins_Core"/>
    <x v="2"/>
    <s v="Acer"/>
    <s v="saccharum"/>
    <s v="Sapindaceae"/>
    <x v="5"/>
  </r>
  <r>
    <x v="4"/>
    <d v="2026-06-16T00:00:00"/>
    <x v="0"/>
    <n v="1018"/>
    <x v="0"/>
    <n v="7.3"/>
    <s v="N/A"/>
    <s v="branches below POM &lt;1cm"/>
    <s v="1018_1"/>
    <s v="Stebbins_Core"/>
    <x v="2"/>
    <s v="Acer"/>
    <s v="saccharum"/>
    <s v="Sapindaceae"/>
    <x v="5"/>
  </r>
  <r>
    <x v="4"/>
    <d v="2026-06-16T00:00:00"/>
    <x v="0"/>
    <n v="1019"/>
    <x v="0"/>
    <n v="7.5"/>
    <s v="W,A"/>
    <s v="POM at 1.27m, soft measure used"/>
    <s v="1019_1"/>
    <s v="Stebbins_Core"/>
    <x v="2"/>
    <s v="Acer"/>
    <s v="saccharum"/>
    <s v="Sapindaceae"/>
    <x v="5"/>
  </r>
  <r>
    <x v="4"/>
    <d v="2026-06-16T00:00:00"/>
    <x v="7"/>
    <n v="1020"/>
    <x v="0"/>
    <n v="3.7"/>
    <s v="L"/>
    <m/>
    <s v="1020_1"/>
    <s v="Stebbins_Core"/>
    <x v="2"/>
    <s v="Fagus"/>
    <s v="grandifolia"/>
    <s v="Fagaceae"/>
    <x v="2"/>
  </r>
  <r>
    <x v="4"/>
    <d v="2026-06-16T00:00:00"/>
    <x v="16"/>
    <n v="1021"/>
    <x v="0"/>
    <n v="51.6"/>
    <s v="N/A"/>
    <m/>
    <s v="1021_1"/>
    <s v="Stebbins_Core"/>
    <x v="2"/>
    <s v="Carya"/>
    <s v="cordiformis"/>
    <s v="Juglandaceae"/>
    <x v="4"/>
  </r>
  <r>
    <x v="4"/>
    <d v="2026-06-16T00:00:00"/>
    <x v="0"/>
    <n v="1022"/>
    <x v="0"/>
    <n v="6.4"/>
    <s v="B,L"/>
    <m/>
    <s v="1022_1"/>
    <s v="Stebbins_Core"/>
    <x v="2"/>
    <s v="Acer"/>
    <s v="saccharum"/>
    <s v="Sapindaceae"/>
    <x v="5"/>
  </r>
  <r>
    <x v="4"/>
    <d v="2026-06-16T00:00:00"/>
    <x v="0"/>
    <n v="1023"/>
    <x v="0"/>
    <n v="2.5"/>
    <s v="A,L"/>
    <s v="POM at 1.28m, knots"/>
    <s v="1023_1"/>
    <s v="Stebbins_Core"/>
    <x v="2"/>
    <s v="Acer"/>
    <s v="saccharum"/>
    <s v="Sapindaceae"/>
    <x v="2"/>
  </r>
  <r>
    <x v="4"/>
    <d v="2026-06-16T00:00:00"/>
    <x v="7"/>
    <n v="1024"/>
    <x v="0"/>
    <n v="4.2"/>
    <s v="W"/>
    <m/>
    <s v="1024_1"/>
    <s v="Stebbins_Core"/>
    <x v="2"/>
    <s v="Fagus"/>
    <s v="grandifolia"/>
    <s v="Fagaceae"/>
    <x v="2"/>
  </r>
  <r>
    <x v="4"/>
    <d v="2026-06-16T00:00:00"/>
    <x v="0"/>
    <n v="1025"/>
    <x v="0"/>
    <n v="8.4"/>
    <s v="A,L"/>
    <s v="POM at 1.29m"/>
    <s v="1025_1"/>
    <s v="Stebbins_Core"/>
    <x v="2"/>
    <s v="Acer"/>
    <s v="saccharum"/>
    <s v="Sapindaceae"/>
    <x v="5"/>
  </r>
  <r>
    <x v="4"/>
    <d v="2026-06-16T00:00:00"/>
    <x v="0"/>
    <n v="1026"/>
    <x v="0"/>
    <n v="3.2"/>
    <s v="L"/>
    <m/>
    <s v="1026_1"/>
    <s v="Stebbins_Core"/>
    <x v="2"/>
    <s v="Acer"/>
    <s v="saccharum"/>
    <s v="Sapindaceae"/>
    <x v="2"/>
  </r>
  <r>
    <x v="4"/>
    <d v="2026-06-16T00:00:00"/>
    <x v="0"/>
    <n v="1027"/>
    <x v="0"/>
    <n v="4.0999999999999996"/>
    <s v="L,A"/>
    <s v="POM at 1.27m"/>
    <s v="1027_1"/>
    <s v="Stebbins_Core"/>
    <x v="2"/>
    <s v="Acer"/>
    <s v="saccharum"/>
    <s v="Sapindaceae"/>
    <x v="2"/>
  </r>
  <r>
    <x v="4"/>
    <d v="2026-06-16T00:00:00"/>
    <x v="0"/>
    <n v="1028"/>
    <x v="0"/>
    <n v="3.1"/>
    <s v="N/A"/>
    <m/>
    <s v="1028_1"/>
    <s v="Stebbins_Core"/>
    <x v="2"/>
    <s v="Acer"/>
    <s v="saccharum"/>
    <s v="Sapindaceae"/>
    <x v="2"/>
  </r>
  <r>
    <x v="4"/>
    <d v="2026-06-16T00:00:00"/>
    <x v="3"/>
    <n v="1029"/>
    <x v="0"/>
    <n v="2.7"/>
    <s v="N/A"/>
    <m/>
    <s v="1029_1"/>
    <s v="Stebbins_Core"/>
    <x v="2"/>
    <s v="Lirodendron"/>
    <s v="tulipfera"/>
    <s v="Magnoliaceae"/>
    <x v="2"/>
  </r>
  <r>
    <x v="4"/>
    <d v="2026-06-16T00:00:00"/>
    <x v="0"/>
    <n v="1030"/>
    <x v="0"/>
    <n v="5"/>
    <s v="L"/>
    <m/>
    <s v="1030_1"/>
    <s v="Stebbins_Core"/>
    <x v="2"/>
    <s v="Acer"/>
    <s v="saccharum"/>
    <s v="Sapindaceae"/>
    <x v="2"/>
  </r>
  <r>
    <x v="4"/>
    <d v="2026-06-16T00:00:00"/>
    <x v="0"/>
    <n v="1031"/>
    <x v="0"/>
    <n v="2.4"/>
    <s v="W"/>
    <m/>
    <s v="1031_1"/>
    <s v="Stebbins_Core"/>
    <x v="2"/>
    <s v="Acer"/>
    <s v="saccharum"/>
    <s v="Sapindaceae"/>
    <x v="2"/>
  </r>
  <r>
    <x v="4"/>
    <d v="2026-06-16T00:00:00"/>
    <x v="0"/>
    <n v="1032"/>
    <x v="0"/>
    <n v="3.4"/>
    <s v="X,L"/>
    <m/>
    <s v="1032_1"/>
    <s v="Stebbins_Core"/>
    <x v="2"/>
    <s v="Acer"/>
    <s v="saccharum"/>
    <s v="Sapindaceae"/>
    <x v="2"/>
  </r>
  <r>
    <x v="4"/>
    <d v="2026-06-16T00:00:00"/>
    <x v="0"/>
    <n v="1033"/>
    <x v="0"/>
    <n v="4.4000000000000004"/>
    <s v="A,I,W"/>
    <s v="POM at 1.28m, soft measure used"/>
    <s v="1033_1"/>
    <s v="Stebbins_Core"/>
    <x v="2"/>
    <s v="Acer"/>
    <s v="saccharum"/>
    <s v="Sapindaceae"/>
    <x v="2"/>
  </r>
  <r>
    <x v="4"/>
    <d v="2026-06-16T00:00:00"/>
    <x v="0"/>
    <n v="1034"/>
    <x v="0"/>
    <n v="12.6"/>
    <s v="L"/>
    <m/>
    <s v="1034_1"/>
    <s v="Stebbins_Core"/>
    <x v="2"/>
    <s v="Acer"/>
    <s v="saccharum"/>
    <s v="Sapindaceae"/>
    <x v="3"/>
  </r>
  <r>
    <x v="4"/>
    <d v="2026-06-16T00:00:00"/>
    <x v="7"/>
    <n v="1035"/>
    <x v="0"/>
    <n v="4.7"/>
    <s v="L"/>
    <m/>
    <s v="1035_1"/>
    <s v="Stebbins_Core"/>
    <x v="2"/>
    <s v="Fagus"/>
    <s v="grandifolia"/>
    <s v="Fagaceae"/>
    <x v="2"/>
  </r>
  <r>
    <x v="4"/>
    <d v="2026-06-16T00:00:00"/>
    <x v="7"/>
    <n v="1036"/>
    <x v="0"/>
    <n v="62.6"/>
    <s v="M"/>
    <m/>
    <s v="1036_1"/>
    <s v="Stebbins_Core"/>
    <x v="2"/>
    <s v="Fagus"/>
    <s v="grandifolia"/>
    <s v="Fagaceae"/>
    <x v="4"/>
  </r>
  <r>
    <x v="4"/>
    <d v="2026-06-16T00:00:00"/>
    <x v="7"/>
    <n v="1036"/>
    <x v="1"/>
    <n v="4.0999999999999996"/>
    <s v="M"/>
    <m/>
    <s v="1036_2"/>
    <s v="Stebbins_Core"/>
    <x v="2"/>
    <s v="Fagus"/>
    <s v="grandifolia"/>
    <s v="Fagaceae"/>
    <x v="2"/>
  </r>
  <r>
    <x v="4"/>
    <d v="2026-06-16T00:00:00"/>
    <x v="7"/>
    <n v="1036"/>
    <x v="2"/>
    <n v="3.5"/>
    <s v="M,W"/>
    <m/>
    <s v="1036_3"/>
    <s v="Stebbins_Core"/>
    <x v="2"/>
    <s v="Fagus"/>
    <s v="grandifolia"/>
    <s v="Fagaceae"/>
    <x v="2"/>
  </r>
  <r>
    <x v="4"/>
    <d v="2026-06-16T00:00:00"/>
    <x v="7"/>
    <n v="1036"/>
    <x v="12"/>
    <n v="2.6"/>
    <s v="M"/>
    <m/>
    <s v="1036_4.1"/>
    <s v="Stebbins_Core"/>
    <x v="2"/>
    <s v="Fagus"/>
    <s v="grandifolia"/>
    <s v="Fagaceae"/>
    <x v="2"/>
  </r>
  <r>
    <x v="4"/>
    <d v="2026-06-16T00:00:00"/>
    <x v="7"/>
    <n v="1036"/>
    <x v="13"/>
    <n v="2.4"/>
    <s v="M"/>
    <m/>
    <s v="1036_4.2"/>
    <s v="Stebbins_Core"/>
    <x v="2"/>
    <s v="Fagus"/>
    <s v="grandifolia"/>
    <s v="Fagaceae"/>
    <x v="2"/>
  </r>
  <r>
    <x v="4"/>
    <d v="2026-06-16T00:00:00"/>
    <x v="7"/>
    <n v="1036"/>
    <x v="4"/>
    <n v="3.6"/>
    <s v="M,A"/>
    <s v="POM at 1.21m, almost dead"/>
    <s v="1036_5"/>
    <s v="Stebbins_Core"/>
    <x v="2"/>
    <s v="Fagus"/>
    <s v="grandifolia"/>
    <s v="Fagaceae"/>
    <x v="2"/>
  </r>
  <r>
    <x v="4"/>
    <d v="2026-06-16T00:00:00"/>
    <x v="7"/>
    <n v="1036"/>
    <x v="5"/>
    <n v="8.1999999999999993"/>
    <s v="M,B,A"/>
    <s v="POM at 1.28m"/>
    <s v="1036_6"/>
    <s v="Stebbins_Core"/>
    <x v="2"/>
    <s v="Fagus"/>
    <s v="grandifolia"/>
    <s v="Fagaceae"/>
    <x v="5"/>
  </r>
  <r>
    <x v="4"/>
    <d v="2026-06-16T00:00:00"/>
    <x v="0"/>
    <n v="1037"/>
    <x v="0"/>
    <n v="14.3"/>
    <s v="L"/>
    <m/>
    <s v="1037_1"/>
    <s v="Stebbins_Core"/>
    <x v="2"/>
    <s v="Acer"/>
    <s v="saccharum"/>
    <s v="Sapindaceae"/>
    <x v="3"/>
  </r>
  <r>
    <x v="4"/>
    <d v="2026-06-16T00:00:00"/>
    <x v="7"/>
    <n v="1038"/>
    <x v="0"/>
    <n v="2.5"/>
    <s v="L"/>
    <s v="branches below POM &lt;1cm"/>
    <s v="1038_1"/>
    <s v="Stebbins_Core"/>
    <x v="2"/>
    <s v="Fagus"/>
    <s v="grandifolia"/>
    <s v="Fagaceae"/>
    <x v="2"/>
  </r>
  <r>
    <x v="4"/>
    <d v="2026-06-16T00:00:00"/>
    <x v="0"/>
    <n v="1039"/>
    <x v="0"/>
    <n v="8.1"/>
    <s v="W"/>
    <s v="soft measure used"/>
    <s v="1039_1"/>
    <s v="Stebbins_Core"/>
    <x v="2"/>
    <s v="Acer"/>
    <s v="saccharum"/>
    <s v="Sapindaceae"/>
    <x v="5"/>
  </r>
  <r>
    <x v="4"/>
    <d v="2026-06-16T00:00:00"/>
    <x v="0"/>
    <n v="1040"/>
    <x v="0"/>
    <n v="7.3"/>
    <s v="L"/>
    <m/>
    <s v="1040_1"/>
    <s v="Stebbins_Core"/>
    <x v="2"/>
    <s v="Acer"/>
    <s v="saccharum"/>
    <s v="Sapindaceae"/>
    <x v="5"/>
  </r>
  <r>
    <x v="4"/>
    <d v="2026-06-17T00:00:00"/>
    <x v="0"/>
    <n v="1041"/>
    <x v="0"/>
    <n v="35.1"/>
    <s v="N/A"/>
    <m/>
    <s v="1041_1"/>
    <s v="Stebbins_Core"/>
    <x v="2"/>
    <s v="Acer"/>
    <s v="saccharum"/>
    <s v="Sapindaceae"/>
    <x v="0"/>
  </r>
  <r>
    <x v="4"/>
    <d v="2026-06-17T00:00:00"/>
    <x v="0"/>
    <n v="1042"/>
    <x v="0"/>
    <n v="2.7"/>
    <s v="W,I"/>
    <s v="knots along whole trunk"/>
    <s v="1042_1"/>
    <s v="Stebbins_Core"/>
    <x v="2"/>
    <s v="Acer"/>
    <s v="saccharum"/>
    <s v="Sapindaceae"/>
    <x v="2"/>
  </r>
  <r>
    <x v="4"/>
    <d v="2026-06-17T00:00:00"/>
    <x v="0"/>
    <n v="1043"/>
    <x v="0"/>
    <n v="5.6"/>
    <s v="A,L"/>
    <s v="POM at 1.28m, knots"/>
    <s v="1043_1"/>
    <s v="Stebbins_Core"/>
    <x v="2"/>
    <s v="Acer"/>
    <s v="saccharum"/>
    <s v="Sapindaceae"/>
    <x v="5"/>
  </r>
  <r>
    <x v="4"/>
    <d v="2026-06-17T00:00:00"/>
    <x v="0"/>
    <n v="1044"/>
    <x v="0"/>
    <n v="20.399999999999999"/>
    <s v="L"/>
    <s v="slight lean"/>
    <s v="1044_1"/>
    <s v="Stebbins_Core"/>
    <x v="2"/>
    <s v="Acer"/>
    <s v="saccharum"/>
    <s v="Sapindaceae"/>
    <x v="0"/>
  </r>
  <r>
    <x v="4"/>
    <d v="2026-06-17T00:00:00"/>
    <x v="0"/>
    <n v="1045"/>
    <x v="0"/>
    <n v="3.3"/>
    <s v="W"/>
    <s v="soft measure used"/>
    <s v="1045_1"/>
    <s v="Stebbins_Core"/>
    <x v="2"/>
    <s v="Acer"/>
    <s v="saccharum"/>
    <s v="Sapindaceae"/>
    <x v="2"/>
  </r>
  <r>
    <x v="4"/>
    <d v="2026-06-17T00:00:00"/>
    <x v="0"/>
    <n v="1046"/>
    <x v="0"/>
    <n v="16.5"/>
    <s v="A,L"/>
    <s v="POM at 1.23m, swelling/knot, slight lean"/>
    <s v="1046_1"/>
    <s v="Stebbins_Core"/>
    <x v="2"/>
    <s v="Acer"/>
    <s v="saccharum"/>
    <s v="Sapindaceae"/>
    <x v="3"/>
  </r>
  <r>
    <x v="4"/>
    <d v="2026-06-17T00:00:00"/>
    <x v="0"/>
    <n v="1047"/>
    <x v="0"/>
    <n v="2.8"/>
    <s v="A,W"/>
    <s v="POM at 1.28m, knots, deteriorating"/>
    <s v="1047_1"/>
    <s v="Stebbins_Core"/>
    <x v="2"/>
    <s v="Acer"/>
    <s v="saccharum"/>
    <s v="Sapindaceae"/>
    <x v="2"/>
  </r>
  <r>
    <x v="4"/>
    <d v="2026-06-17T00:00:00"/>
    <x v="0"/>
    <n v="1048"/>
    <x v="0"/>
    <n v="2.2000000000000002"/>
    <s v="W,L"/>
    <s v="soft measure used"/>
    <s v="1048_1"/>
    <s v="Stebbins_Core"/>
    <x v="2"/>
    <s v="Acer"/>
    <s v="saccharum"/>
    <s v="Sapindaceae"/>
    <x v="2"/>
  </r>
  <r>
    <x v="4"/>
    <d v="2026-06-17T00:00:00"/>
    <x v="0"/>
    <n v="1049"/>
    <x v="0"/>
    <n v="8.1"/>
    <s v="W"/>
    <s v="soft measure used"/>
    <s v="1049_1"/>
    <s v="Stebbins_Core"/>
    <x v="2"/>
    <s v="Acer"/>
    <s v="saccharum"/>
    <s v="Sapindaceae"/>
    <x v="5"/>
  </r>
  <r>
    <x v="4"/>
    <d v="2026-06-17T00:00:00"/>
    <x v="0"/>
    <n v="1050"/>
    <x v="0"/>
    <n v="11"/>
    <s v="A,L"/>
    <s v="POM at 1.26m, knots, slight lean"/>
    <s v="1050_1"/>
    <s v="Stebbins_Core"/>
    <x v="2"/>
    <s v="Acer"/>
    <s v="saccharum"/>
    <s v="Sapindaceae"/>
    <x v="3"/>
  </r>
  <r>
    <x v="4"/>
    <d v="2026-06-17T00:00:00"/>
    <x v="0"/>
    <n v="1051"/>
    <x v="0"/>
    <n v="15.2"/>
    <s v="L"/>
    <m/>
    <s v="1051_1"/>
    <s v="Stebbins_Core"/>
    <x v="2"/>
    <s v="Acer"/>
    <s v="saccharum"/>
    <s v="Sapindaceae"/>
    <x v="3"/>
  </r>
  <r>
    <x v="4"/>
    <d v="2026-06-17T00:00:00"/>
    <x v="0"/>
    <n v="1052"/>
    <x v="0"/>
    <n v="4.7"/>
    <s v="L"/>
    <m/>
    <s v="1052_1"/>
    <s v="Stebbins_Core"/>
    <x v="2"/>
    <s v="Acer"/>
    <s v="saccharum"/>
    <s v="Sapindaceae"/>
    <x v="2"/>
  </r>
  <r>
    <x v="4"/>
    <d v="2026-06-17T00:00:00"/>
    <x v="0"/>
    <n v="1053"/>
    <x v="0"/>
    <n v="10.1"/>
    <s v="N/A"/>
    <m/>
    <s v="1053_1"/>
    <s v="Stebbins_Core"/>
    <x v="2"/>
    <s v="Acer"/>
    <s v="saccharum"/>
    <s v="Sapindaceae"/>
    <x v="3"/>
  </r>
  <r>
    <x v="4"/>
    <d v="2026-06-17T00:00:00"/>
    <x v="0"/>
    <n v="1054"/>
    <x v="0"/>
    <n v="8.8000000000000007"/>
    <s v="N/A"/>
    <m/>
    <s v="1054_1"/>
    <s v="Stebbins_Core"/>
    <x v="2"/>
    <s v="Acer"/>
    <s v="saccharum"/>
    <s v="Sapindaceae"/>
    <x v="5"/>
  </r>
  <r>
    <x v="4"/>
    <d v="2026-06-17T00:00:00"/>
    <x v="0"/>
    <n v="1055"/>
    <x v="0"/>
    <n v="1.8"/>
    <s v="L"/>
    <m/>
    <s v="1055_1"/>
    <s v="Stebbins_Core"/>
    <x v="2"/>
    <s v="Acer"/>
    <s v="saccharum"/>
    <s v="Sapindaceae"/>
    <x v="2"/>
  </r>
  <r>
    <x v="4"/>
    <d v="2026-06-17T00:00:00"/>
    <x v="0"/>
    <n v="1056"/>
    <x v="0"/>
    <n v="5.4"/>
    <s v="A,L"/>
    <s v="POM at 1.28m"/>
    <s v="1056_1"/>
    <s v="Stebbins_Core"/>
    <x v="2"/>
    <s v="Acer"/>
    <s v="saccharum"/>
    <s v="Sapindaceae"/>
    <x v="5"/>
  </r>
  <r>
    <x v="4"/>
    <d v="2026-06-17T00:00:00"/>
    <x v="0"/>
    <n v="1057"/>
    <x v="0"/>
    <n v="16.600000000000001"/>
    <s v="A,W"/>
    <s v="POM at 1.28m, knot, soft measure used"/>
    <s v="1057_1"/>
    <s v="Stebbins_Core"/>
    <x v="2"/>
    <s v="Acer"/>
    <s v="saccharum"/>
    <s v="Sapindaceae"/>
    <x v="3"/>
  </r>
  <r>
    <x v="4"/>
    <d v="2026-06-17T00:00:00"/>
    <x v="0"/>
    <n v="1058"/>
    <x v="0"/>
    <n v="3.5"/>
    <s v="W,L"/>
    <s v="soft measure used"/>
    <s v="1058_1"/>
    <s v="Stebbins_Core"/>
    <x v="2"/>
    <s v="Acer"/>
    <s v="saccharum"/>
    <s v="Sapindaceae"/>
    <x v="2"/>
  </r>
  <r>
    <x v="4"/>
    <d v="2026-06-17T00:00:00"/>
    <x v="0"/>
    <n v="1059"/>
    <x v="0"/>
    <n v="18.3"/>
    <s v="W"/>
    <m/>
    <s v="1059_1"/>
    <s v="Stebbins_Core"/>
    <x v="2"/>
    <s v="Acer"/>
    <s v="saccharum"/>
    <s v="Sapindaceae"/>
    <x v="3"/>
  </r>
  <r>
    <x v="4"/>
    <d v="2026-06-17T00:00:00"/>
    <x v="0"/>
    <n v="1060"/>
    <x v="0"/>
    <n v="3.9"/>
    <s v="A,L"/>
    <s v="POM at 1.28m, knots, slight lean"/>
    <s v="1060_1"/>
    <s v="Stebbins_Core"/>
    <x v="2"/>
    <s v="Acer"/>
    <s v="saccharum"/>
    <s v="Sapindaceae"/>
    <x v="2"/>
  </r>
  <r>
    <x v="4"/>
    <d v="2026-06-17T00:00:00"/>
    <x v="0"/>
    <n v="1061"/>
    <x v="0"/>
    <n v="7.1"/>
    <s v="L"/>
    <m/>
    <s v="1061_1"/>
    <s v="Stebbins_Core"/>
    <x v="2"/>
    <s v="Acer"/>
    <s v="saccharum"/>
    <s v="Sapindaceae"/>
    <x v="5"/>
  </r>
  <r>
    <x v="4"/>
    <d v="2026-06-17T00:00:00"/>
    <x v="0"/>
    <n v="1062"/>
    <x v="0"/>
    <n v="1.4"/>
    <s v="L"/>
    <m/>
    <s v="1062_1"/>
    <s v="Stebbins_Core"/>
    <x v="2"/>
    <s v="Acer"/>
    <s v="saccharum"/>
    <s v="Sapindaceae"/>
    <x v="2"/>
  </r>
  <r>
    <x v="4"/>
    <d v="2026-06-17T00:00:00"/>
    <x v="0"/>
    <n v="1063"/>
    <x v="0"/>
    <n v="2.2999999999999998"/>
    <s v="W,L,A"/>
    <s v="POM at 1.28m, soft measure used"/>
    <s v="1063_1"/>
    <s v="Stebbins_Core"/>
    <x v="2"/>
    <s v="Acer"/>
    <s v="saccharum"/>
    <s v="Sapindaceae"/>
    <x v="2"/>
  </r>
  <r>
    <x v="4"/>
    <d v="2026-06-17T00:00:00"/>
    <x v="0"/>
    <n v="1064"/>
    <x v="0"/>
    <n v="5.5"/>
    <s v="L"/>
    <m/>
    <s v="1064_1"/>
    <s v="Stebbins_Core"/>
    <x v="2"/>
    <s v="Acer"/>
    <s v="saccharum"/>
    <s v="Sapindaceae"/>
    <x v="5"/>
  </r>
  <r>
    <x v="4"/>
    <d v="2026-06-17T00:00:00"/>
    <x v="0"/>
    <n v="1065"/>
    <x v="0"/>
    <n v="1.6"/>
    <s v="L,A"/>
    <s v="POM at 1.28m, knot"/>
    <s v="1065_1"/>
    <s v="Stebbins_Core"/>
    <x v="2"/>
    <s v="Acer"/>
    <s v="saccharum"/>
    <s v="Sapindaceae"/>
    <x v="2"/>
  </r>
  <r>
    <x v="4"/>
    <d v="2026-06-17T00:00:00"/>
    <x v="0"/>
    <n v="1066"/>
    <x v="0"/>
    <n v="1.2"/>
    <s v="W"/>
    <s v="branch below POM &lt; 1cm"/>
    <s v="1066_1"/>
    <s v="Stebbins_Core"/>
    <x v="2"/>
    <s v="Acer"/>
    <s v="saccharum"/>
    <s v="Sapindaceae"/>
    <x v="2"/>
  </r>
  <r>
    <x v="4"/>
    <d v="2026-06-17T00:00:00"/>
    <x v="0"/>
    <n v="1067"/>
    <x v="0"/>
    <n v="13"/>
    <s v="L,X"/>
    <s v="dead branch/stem below POM"/>
    <s v="1067_1"/>
    <s v="Stebbins_Core"/>
    <x v="2"/>
    <s v="Acer"/>
    <s v="saccharum"/>
    <s v="Sapindaceae"/>
    <x v="3"/>
  </r>
  <r>
    <x v="4"/>
    <d v="2026-06-17T00:00:00"/>
    <x v="0"/>
    <n v="1068"/>
    <x v="0"/>
    <n v="19.3"/>
    <s v="L"/>
    <s v="slight lean"/>
    <s v="1068_1"/>
    <s v="Stebbins_Core"/>
    <x v="2"/>
    <s v="Acer"/>
    <s v="saccharum"/>
    <s v="Sapindaceae"/>
    <x v="3"/>
  </r>
  <r>
    <x v="4"/>
    <d v="2026-06-17T00:00:00"/>
    <x v="0"/>
    <n v="1069"/>
    <x v="0"/>
    <n v="7.7"/>
    <s v="W"/>
    <s v="soft measure used"/>
    <s v="1069_1"/>
    <s v="Stebbins_Core"/>
    <x v="2"/>
    <s v="Acer"/>
    <s v="saccharum"/>
    <s v="Sapindaceae"/>
    <x v="5"/>
  </r>
  <r>
    <x v="4"/>
    <d v="2026-06-17T00:00:00"/>
    <x v="0"/>
    <n v="1070"/>
    <x v="0"/>
    <n v="5.9"/>
    <s v="N/A"/>
    <m/>
    <s v="1070_1"/>
    <s v="Stebbins_Core"/>
    <x v="2"/>
    <s v="Acer"/>
    <s v="saccharum"/>
    <s v="Sapindaceae"/>
    <x v="5"/>
  </r>
  <r>
    <x v="4"/>
    <d v="2026-06-17T00:00:00"/>
    <x v="0"/>
    <n v="1071"/>
    <x v="0"/>
    <n v="1.6"/>
    <s v="A,W,L,M"/>
    <s v="POM at 1.28m,knot, soft measure used"/>
    <s v="1071_1"/>
    <s v="Stebbins_Core"/>
    <x v="2"/>
    <s v="Acer"/>
    <s v="saccharum"/>
    <s v="Sapindaceae"/>
    <x v="2"/>
  </r>
  <r>
    <x v="4"/>
    <d v="2026-06-17T00:00:00"/>
    <x v="0"/>
    <n v="1071"/>
    <x v="1"/>
    <n v="1.3"/>
    <s v="W,L,M"/>
    <s v="soft measure used"/>
    <s v="1071_2"/>
    <s v="Stebbins_Core"/>
    <x v="2"/>
    <s v="Acer"/>
    <s v="saccharum"/>
    <s v="Sapindaceae"/>
    <x v="2"/>
  </r>
  <r>
    <x v="4"/>
    <d v="2026-06-17T00:00:00"/>
    <x v="0"/>
    <n v="1072"/>
    <x v="0"/>
    <n v="15"/>
    <s v="A,L"/>
    <s v="POM at 1.28m, knot"/>
    <s v="1072_1"/>
    <s v="Stebbins_Core"/>
    <x v="2"/>
    <s v="Acer"/>
    <s v="saccharum"/>
    <s v="Sapindaceae"/>
    <x v="3"/>
  </r>
  <r>
    <x v="4"/>
    <d v="2026-06-17T00:00:00"/>
    <x v="0"/>
    <n v="1073"/>
    <x v="0"/>
    <n v="4"/>
    <s v="N/A"/>
    <m/>
    <s v="1073_1"/>
    <s v="Stebbins_Core"/>
    <x v="2"/>
    <s v="Acer"/>
    <s v="saccharum"/>
    <s v="Sapindaceae"/>
    <x v="2"/>
  </r>
  <r>
    <x v="4"/>
    <d v="2026-06-17T00:00:00"/>
    <x v="0"/>
    <n v="1074"/>
    <x v="0"/>
    <n v="9.8000000000000007"/>
    <s v="A,L"/>
    <s v="POM at 1.28m, knots"/>
    <s v="1074_1"/>
    <s v="Stebbins_Core"/>
    <x v="2"/>
    <s v="Acer"/>
    <s v="saccharum"/>
    <s v="Sapindaceae"/>
    <x v="5"/>
  </r>
  <r>
    <x v="4"/>
    <d v="2026-06-17T00:00:00"/>
    <x v="0"/>
    <n v="1075"/>
    <x v="0"/>
    <n v="3.3"/>
    <s v="L"/>
    <s v="slight lean"/>
    <s v="1075_1"/>
    <s v="Stebbins_Core"/>
    <x v="2"/>
    <s v="Acer"/>
    <s v="saccharum"/>
    <s v="Sapindaceae"/>
    <x v="2"/>
  </r>
  <r>
    <x v="4"/>
    <d v="2026-06-17T00:00:00"/>
    <x v="0"/>
    <n v="1117"/>
    <x v="0"/>
    <n v="2"/>
    <s v="L,M"/>
    <m/>
    <s v="1117_1"/>
    <s v="Stebbins_Core"/>
    <x v="2"/>
    <s v="Acer"/>
    <s v="saccharum"/>
    <s v="Sapindaceae"/>
    <x v="2"/>
  </r>
  <r>
    <x v="4"/>
    <d v="2026-06-17T00:00:00"/>
    <x v="0"/>
    <n v="1117"/>
    <x v="1"/>
    <n v="1.6"/>
    <s v="L,M"/>
    <m/>
    <s v="1117_2"/>
    <s v="Stebbins_Core"/>
    <x v="2"/>
    <s v="Acer"/>
    <s v="saccharum"/>
    <s v="Sapindaceae"/>
    <x v="2"/>
  </r>
  <r>
    <x v="4"/>
    <d v="2026-06-17T00:00:00"/>
    <x v="0"/>
    <n v="1076"/>
    <x v="0"/>
    <n v="10.6"/>
    <s v="A"/>
    <s v="POM at 0.95m, soft measure used"/>
    <s v="1076_1"/>
    <s v="Stebbins_Core"/>
    <x v="2"/>
    <s v="Acer"/>
    <s v="saccharum"/>
    <s v="Sapindaceae"/>
    <x v="3"/>
  </r>
  <r>
    <x v="4"/>
    <d v="2026-06-17T00:00:00"/>
    <x v="0"/>
    <n v="1077"/>
    <x v="0"/>
    <n v="9.4"/>
    <s v="N/A"/>
    <m/>
    <s v="1077_1"/>
    <s v="Stebbins_Core"/>
    <x v="2"/>
    <s v="Acer"/>
    <s v="saccharum"/>
    <s v="Sapindaceae"/>
    <x v="5"/>
  </r>
  <r>
    <x v="4"/>
    <d v="2026-06-17T00:00:00"/>
    <x v="0"/>
    <n v="1078"/>
    <x v="0"/>
    <n v="13.1"/>
    <s v="L"/>
    <s v="slight lean"/>
    <s v="1078_1"/>
    <s v="Stebbins_Core"/>
    <x v="2"/>
    <s v="Acer"/>
    <s v="saccharum"/>
    <s v="Sapindaceae"/>
    <x v="3"/>
  </r>
  <r>
    <x v="4"/>
    <d v="2026-06-17T00:00:00"/>
    <x v="0"/>
    <n v="1079"/>
    <x v="0"/>
    <n v="26.3"/>
    <s v="N/A"/>
    <m/>
    <s v="1079_1"/>
    <s v="Stebbins_Core"/>
    <x v="2"/>
    <s v="Acer"/>
    <s v="saccharum"/>
    <s v="Sapindaceae"/>
    <x v="0"/>
  </r>
  <r>
    <x v="4"/>
    <d v="2026-06-17T00:00:00"/>
    <x v="0"/>
    <n v="1080"/>
    <x v="0"/>
    <n v="3.1"/>
    <s v="L"/>
    <m/>
    <s v="1080_1"/>
    <s v="Stebbins_Core"/>
    <x v="2"/>
    <s v="Acer"/>
    <s v="saccharum"/>
    <s v="Sapindaceae"/>
    <x v="2"/>
  </r>
  <r>
    <x v="4"/>
    <d v="2026-06-17T00:00:00"/>
    <x v="14"/>
    <n v="1081"/>
    <x v="0"/>
    <n v="88.7"/>
    <s v="A"/>
    <s v="POM at 1.9m, root flare"/>
    <s v="1081_1"/>
    <s v="Stebbins_Core"/>
    <x v="2"/>
    <s v="Tilia"/>
    <s v="americana"/>
    <s v="Malvaceae"/>
    <x v="4"/>
  </r>
  <r>
    <x v="4"/>
    <d v="2026-06-17T00:00:00"/>
    <x v="0"/>
    <n v="1082"/>
    <x v="0"/>
    <n v="3.8"/>
    <s v="A"/>
    <s v="POM at 1.28m"/>
    <s v="1082_1"/>
    <s v="Stebbins_Core"/>
    <x v="2"/>
    <s v="Acer"/>
    <s v="saccharum"/>
    <s v="Sapindaceae"/>
    <x v="2"/>
  </r>
  <r>
    <x v="4"/>
    <d v="2026-06-17T00:00:00"/>
    <x v="0"/>
    <n v="1083"/>
    <x v="0"/>
    <n v="23.7"/>
    <s v="M"/>
    <m/>
    <s v="1083_1"/>
    <s v="Stebbins_Core"/>
    <x v="2"/>
    <s v="Acer"/>
    <s v="saccharum"/>
    <s v="Sapindaceae"/>
    <x v="0"/>
  </r>
  <r>
    <x v="4"/>
    <d v="2026-06-17T00:00:00"/>
    <x v="0"/>
    <n v="1083"/>
    <x v="1"/>
    <n v="2.6"/>
    <s v="M"/>
    <s v="not looking too hot"/>
    <s v="1083_2"/>
    <s v="Stebbins_Core"/>
    <x v="2"/>
    <s v="Acer"/>
    <s v="saccharum"/>
    <s v="Sapindaceae"/>
    <x v="2"/>
  </r>
  <r>
    <x v="4"/>
    <d v="2026-06-17T00:00:00"/>
    <x v="5"/>
    <n v="1084"/>
    <x v="0"/>
    <n v="2.5"/>
    <s v="N/A"/>
    <s v="doesn't look alive but stem was alive when measured"/>
    <s v="1084_1"/>
    <s v="Stebbins_Core"/>
    <x v="2"/>
    <s v="Magnolia"/>
    <s v="acuminata"/>
    <s v="Magnoliaceae"/>
    <x v="2"/>
  </r>
  <r>
    <x v="4"/>
    <d v="2026-06-17T00:00:00"/>
    <x v="5"/>
    <n v="1085"/>
    <x v="0"/>
    <n v="1.5"/>
    <s v="X"/>
    <m/>
    <s v="1085_1"/>
    <s v="Stebbins_Core"/>
    <x v="2"/>
    <s v="Magnolia"/>
    <s v="acuminata"/>
    <s v="Magnoliaceae"/>
    <x v="2"/>
  </r>
  <r>
    <x v="4"/>
    <d v="2026-06-17T00:00:00"/>
    <x v="0"/>
    <n v="1086"/>
    <x v="0"/>
    <n v="2.6"/>
    <s v="N/A"/>
    <m/>
    <s v="1086_1"/>
    <s v="Stebbins_Core"/>
    <x v="2"/>
    <s v="Acer"/>
    <s v="saccharum"/>
    <s v="Sapindaceae"/>
    <x v="2"/>
  </r>
  <r>
    <x v="4"/>
    <d v="2026-06-17T00:00:00"/>
    <x v="7"/>
    <n v="1087"/>
    <x v="0"/>
    <n v="24.5"/>
    <s v="M"/>
    <s v="many root sprouts"/>
    <s v="1087_1"/>
    <s v="Stebbins_Core"/>
    <x v="2"/>
    <s v="Fagus"/>
    <s v="grandifolia"/>
    <s v="Fagaceae"/>
    <x v="0"/>
  </r>
  <r>
    <x v="4"/>
    <d v="2026-06-17T00:00:00"/>
    <x v="7"/>
    <n v="1087"/>
    <x v="14"/>
    <n v="1.4"/>
    <s v="M"/>
    <m/>
    <s v="1087_2.1"/>
    <s v="Stebbins_Core"/>
    <x v="2"/>
    <s v="Fagus"/>
    <s v="grandifolia"/>
    <s v="Fagaceae"/>
    <x v="2"/>
  </r>
  <r>
    <x v="4"/>
    <d v="2026-06-17T00:00:00"/>
    <x v="7"/>
    <n v="1087"/>
    <x v="15"/>
    <n v="1.2"/>
    <s v="M"/>
    <m/>
    <s v="1087_2.2"/>
    <s v="Stebbins_Core"/>
    <x v="2"/>
    <s v="Fagus"/>
    <s v="grandifolia"/>
    <s v="Fagaceae"/>
    <x v="2"/>
  </r>
  <r>
    <x v="4"/>
    <d v="2026-06-17T00:00:00"/>
    <x v="7"/>
    <n v="1087"/>
    <x v="16"/>
    <n v="2"/>
    <s v="M"/>
    <m/>
    <s v="1087_3.1"/>
    <s v="Stebbins_Core"/>
    <x v="2"/>
    <s v="Fagus"/>
    <s v="grandifolia"/>
    <s v="Fagaceae"/>
    <x v="2"/>
  </r>
  <r>
    <x v="4"/>
    <d v="2026-06-17T00:00:00"/>
    <x v="7"/>
    <n v="1087"/>
    <x v="17"/>
    <n v="2"/>
    <s v="M"/>
    <m/>
    <s v="1087_3.2"/>
    <s v="Stebbins_Core"/>
    <x v="2"/>
    <s v="Fagus"/>
    <s v="grandifolia"/>
    <s v="Fagaceae"/>
    <x v="2"/>
  </r>
  <r>
    <x v="4"/>
    <d v="2026-06-17T00:00:00"/>
    <x v="7"/>
    <n v="1087"/>
    <x v="18"/>
    <n v="1.4"/>
    <s v="M"/>
    <m/>
    <s v="1087_3.3"/>
    <s v="Stebbins_Core"/>
    <x v="2"/>
    <s v="Fagus"/>
    <s v="grandifolia"/>
    <s v="Fagaceae"/>
    <x v="2"/>
  </r>
  <r>
    <x v="4"/>
    <d v="2026-06-17T00:00:00"/>
    <x v="7"/>
    <n v="1087"/>
    <x v="3"/>
    <n v="1.3"/>
    <s v="M"/>
    <m/>
    <s v="1087_4"/>
    <s v="Stebbins_Core"/>
    <x v="2"/>
    <s v="Fagus"/>
    <s v="grandifolia"/>
    <s v="Fagaceae"/>
    <x v="2"/>
  </r>
  <r>
    <x v="4"/>
    <d v="2026-06-17T00:00:00"/>
    <x v="7"/>
    <n v="1087"/>
    <x v="4"/>
    <n v="2.1"/>
    <s v="M"/>
    <m/>
    <s v="1087_5"/>
    <s v="Stebbins_Core"/>
    <x v="2"/>
    <s v="Fagus"/>
    <s v="grandifolia"/>
    <s v="Fagaceae"/>
    <x v="2"/>
  </r>
  <r>
    <x v="4"/>
    <d v="2026-06-17T00:00:00"/>
    <x v="0"/>
    <n v="1088"/>
    <x v="0"/>
    <n v="14.3"/>
    <s v="B"/>
    <m/>
    <s v="1088_1"/>
    <s v="Stebbins_Core"/>
    <x v="2"/>
    <s v="Acer"/>
    <s v="saccharum"/>
    <s v="Sapindaceae"/>
    <x v="3"/>
  </r>
  <r>
    <x v="4"/>
    <d v="2026-06-17T00:00:00"/>
    <x v="7"/>
    <n v="1089"/>
    <x v="0"/>
    <n v="1.5"/>
    <s v="L"/>
    <m/>
    <s v="1089_1"/>
    <s v="Stebbins_Core"/>
    <x v="2"/>
    <s v="Fagus"/>
    <s v="grandifolia"/>
    <s v="Fagaceae"/>
    <x v="2"/>
  </r>
  <r>
    <x v="4"/>
    <d v="2026-06-17T00:00:00"/>
    <x v="7"/>
    <n v="1090"/>
    <x v="0"/>
    <n v="6.3"/>
    <s v="L,A"/>
    <s v="POM at 1.28m"/>
    <s v="1090_1"/>
    <s v="Stebbins_Core"/>
    <x v="2"/>
    <s v="Fagus"/>
    <s v="grandifolia"/>
    <s v="Fagaceae"/>
    <x v="5"/>
  </r>
  <r>
    <x v="4"/>
    <d v="2026-06-17T00:00:00"/>
    <x v="0"/>
    <n v="1091"/>
    <x v="0"/>
    <n v="1.9"/>
    <s v="L"/>
    <m/>
    <s v="1091_1"/>
    <s v="Stebbins_Core"/>
    <x v="2"/>
    <s v="Acer"/>
    <s v="saccharum"/>
    <s v="Sapindaceae"/>
    <x v="2"/>
  </r>
  <r>
    <x v="4"/>
    <d v="2026-06-17T00:00:00"/>
    <x v="0"/>
    <n v="1092"/>
    <x v="0"/>
    <n v="3.1"/>
    <s v="L"/>
    <m/>
    <s v="1092_1"/>
    <s v="Stebbins_Core"/>
    <x v="2"/>
    <s v="Acer"/>
    <s v="saccharum"/>
    <s v="Sapindaceae"/>
    <x v="2"/>
  </r>
  <r>
    <x v="4"/>
    <d v="2026-06-17T00:00:00"/>
    <x v="0"/>
    <n v="1093"/>
    <x v="0"/>
    <n v="5.9"/>
    <s v="N/A"/>
    <m/>
    <s v="1093_1"/>
    <s v="Stebbins_Core"/>
    <x v="2"/>
    <s v="Acer"/>
    <s v="saccharum"/>
    <s v="Sapindaceae"/>
    <x v="5"/>
  </r>
  <r>
    <x v="4"/>
    <d v="2026-06-17T00:00:00"/>
    <x v="0"/>
    <n v="1094"/>
    <x v="0"/>
    <n v="2.8"/>
    <s v="W"/>
    <s v="soft measure used"/>
    <s v="1094_1"/>
    <s v="Stebbins_Core"/>
    <x v="2"/>
    <s v="Acer"/>
    <s v="saccharum"/>
    <s v="Sapindaceae"/>
    <x v="2"/>
  </r>
  <r>
    <x v="4"/>
    <d v="2026-06-17T00:00:00"/>
    <x v="0"/>
    <n v="1095"/>
    <x v="0"/>
    <n v="3.6"/>
    <s v="L"/>
    <s v="heavily leaning, soft measure used"/>
    <s v="1095_1"/>
    <s v="Stebbins_Core"/>
    <x v="2"/>
    <s v="Acer"/>
    <s v="saccharum"/>
    <s v="Sapindaceae"/>
    <x v="2"/>
  </r>
  <r>
    <x v="4"/>
    <d v="2026-06-17T00:00:00"/>
    <x v="0"/>
    <n v="1096"/>
    <x v="0"/>
    <n v="2.2000000000000002"/>
    <s v="W"/>
    <s v="soft measure used"/>
    <s v="1096_1"/>
    <s v="Stebbins_Core"/>
    <x v="2"/>
    <s v="Acer"/>
    <s v="saccharum"/>
    <s v="Sapindaceae"/>
    <x v="2"/>
  </r>
  <r>
    <x v="4"/>
    <d v="2026-06-17T00:00:00"/>
    <x v="7"/>
    <n v="1097"/>
    <x v="0"/>
    <n v="4.9000000000000004"/>
    <s v="N/A"/>
    <m/>
    <s v="1097_1"/>
    <s v="Stebbins_Core"/>
    <x v="2"/>
    <s v="Fagus"/>
    <s v="grandifolia"/>
    <s v="Fagaceae"/>
    <x v="2"/>
  </r>
  <r>
    <x v="4"/>
    <d v="2026-06-17T00:00:00"/>
    <x v="0"/>
    <n v="1098"/>
    <x v="0"/>
    <n v="2.6"/>
    <s v="W"/>
    <s v="teensy bit wavy"/>
    <s v="1098_1"/>
    <s v="Stebbins_Core"/>
    <x v="2"/>
    <s v="Acer"/>
    <s v="saccharum"/>
    <s v="Sapindaceae"/>
    <x v="2"/>
  </r>
  <r>
    <x v="4"/>
    <d v="2026-06-17T00:00:00"/>
    <x v="0"/>
    <n v="1099"/>
    <x v="0"/>
    <n v="2.2000000000000002"/>
    <s v="L"/>
    <m/>
    <s v="1099_1"/>
    <s v="Stebbins_Core"/>
    <x v="2"/>
    <s v="Acer"/>
    <s v="saccharum"/>
    <s v="Sapindaceae"/>
    <x v="2"/>
  </r>
  <r>
    <x v="4"/>
    <d v="2026-06-17T00:00:00"/>
    <x v="0"/>
    <n v="1100"/>
    <x v="0"/>
    <n v="14.6"/>
    <s v="L"/>
    <m/>
    <s v="1100_1"/>
    <s v="Stebbins_Core"/>
    <x v="2"/>
    <s v="Acer"/>
    <s v="saccharum"/>
    <s v="Sapindaceae"/>
    <x v="3"/>
  </r>
  <r>
    <x v="4"/>
    <d v="2026-06-17T00:00:00"/>
    <x v="0"/>
    <n v="1101"/>
    <x v="0"/>
    <n v="3.3"/>
    <s v="L,A"/>
    <s v="POM at 1.28m"/>
    <s v="1101_1"/>
    <s v="Stebbins_Core"/>
    <x v="2"/>
    <s v="Acer"/>
    <s v="saccharum"/>
    <s v="Sapindaceae"/>
    <x v="2"/>
  </r>
  <r>
    <x v="4"/>
    <d v="2026-06-17T00:00:00"/>
    <x v="0"/>
    <n v="1102"/>
    <x v="0"/>
    <n v="3.7"/>
    <s v="L"/>
    <m/>
    <s v="1102_1"/>
    <s v="Stebbins_Core"/>
    <x v="2"/>
    <s v="Acer"/>
    <s v="saccharum"/>
    <s v="Sapindaceae"/>
    <x v="2"/>
  </r>
  <r>
    <x v="4"/>
    <d v="2026-06-17T00:00:00"/>
    <x v="0"/>
    <n v="1103"/>
    <x v="0"/>
    <n v="4.3"/>
    <s v="L"/>
    <m/>
    <s v="1103_1"/>
    <s v="Stebbins_Core"/>
    <x v="2"/>
    <s v="Acer"/>
    <s v="saccharum"/>
    <s v="Sapindaceae"/>
    <x v="2"/>
  </r>
  <r>
    <x v="4"/>
    <d v="2026-06-17T00:00:00"/>
    <x v="0"/>
    <n v="1104"/>
    <x v="0"/>
    <n v="3.1"/>
    <s v="L"/>
    <m/>
    <s v="1104_1"/>
    <s v="Stebbins_Core"/>
    <x v="2"/>
    <s v="Acer"/>
    <s v="saccharum"/>
    <s v="Sapindaceae"/>
    <x v="2"/>
  </r>
  <r>
    <x v="4"/>
    <d v="2026-06-17T00:00:00"/>
    <x v="0"/>
    <n v="1105"/>
    <x v="0"/>
    <n v="15.8"/>
    <s v="N/A"/>
    <m/>
    <s v="1105_1"/>
    <s v="Stebbins_Core"/>
    <x v="2"/>
    <s v="Acer"/>
    <s v="saccharum"/>
    <s v="Sapindaceae"/>
    <x v="3"/>
  </r>
  <r>
    <x v="4"/>
    <d v="2026-06-17T00:00:00"/>
    <x v="0"/>
    <n v="1106"/>
    <x v="0"/>
    <n v="1.4"/>
    <s v="W"/>
    <m/>
    <s v="1106_1"/>
    <s v="Stebbins_Core"/>
    <x v="2"/>
    <s v="Acer"/>
    <s v="saccharum"/>
    <s v="Sapindaceae"/>
    <x v="2"/>
  </r>
  <r>
    <x v="4"/>
    <d v="2026-06-17T00:00:00"/>
    <x v="3"/>
    <n v="1107"/>
    <x v="0"/>
    <n v="1.3"/>
    <s v="N/A"/>
    <m/>
    <s v="1107_1"/>
    <s v="Stebbins_Core"/>
    <x v="2"/>
    <s v="Lirodendron"/>
    <s v="tulipfera"/>
    <s v="Magnoliaceae"/>
    <x v="2"/>
  </r>
  <r>
    <x v="4"/>
    <d v="2026-06-17T00:00:00"/>
    <x v="0"/>
    <n v="1108"/>
    <x v="0"/>
    <n v="2.4"/>
    <s v="L"/>
    <m/>
    <s v="1108_1"/>
    <s v="Stebbins_Core"/>
    <x v="2"/>
    <s v="Acer"/>
    <s v="saccharum"/>
    <s v="Sapindaceae"/>
    <x v="2"/>
  </r>
  <r>
    <x v="4"/>
    <d v="2026-06-17T00:00:00"/>
    <x v="7"/>
    <n v="1109"/>
    <x v="0"/>
    <n v="15.5"/>
    <s v="L"/>
    <m/>
    <s v="1109_1"/>
    <s v="Stebbins_Core"/>
    <x v="2"/>
    <s v="Fagus"/>
    <s v="grandifolia"/>
    <s v="Fagaceae"/>
    <x v="3"/>
  </r>
  <r>
    <x v="4"/>
    <d v="2026-06-17T00:00:00"/>
    <x v="0"/>
    <n v="1110"/>
    <x v="0"/>
    <n v="9.1999999999999993"/>
    <s v="B,L"/>
    <m/>
    <s v="1110_1"/>
    <s v="Stebbins_Core"/>
    <x v="2"/>
    <s v="Acer"/>
    <s v="saccharum"/>
    <s v="Sapindaceae"/>
    <x v="5"/>
  </r>
  <r>
    <x v="4"/>
    <d v="2026-06-17T00:00:00"/>
    <x v="0"/>
    <n v="1111"/>
    <x v="0"/>
    <n v="5.8"/>
    <s v="L"/>
    <m/>
    <s v="1111_1"/>
    <s v="Stebbins_Core"/>
    <x v="2"/>
    <s v="Acer"/>
    <s v="saccharum"/>
    <s v="Sapindaceae"/>
    <x v="5"/>
  </r>
  <r>
    <x v="4"/>
    <d v="2026-06-17T00:00:00"/>
    <x v="0"/>
    <n v="1112"/>
    <x v="0"/>
    <n v="4.5"/>
    <s v="L"/>
    <m/>
    <s v="1112_1"/>
    <s v="Stebbins_Core"/>
    <x v="2"/>
    <s v="Acer"/>
    <s v="saccharum"/>
    <s v="Sapindaceae"/>
    <x v="2"/>
  </r>
  <r>
    <x v="4"/>
    <d v="2026-06-17T00:00:00"/>
    <x v="0"/>
    <n v="1113"/>
    <x v="0"/>
    <n v="5.3"/>
    <s v="L,I"/>
    <m/>
    <s v="1113_1"/>
    <s v="Stebbins_Core"/>
    <x v="2"/>
    <s v="Acer"/>
    <s v="saccharum"/>
    <s v="Sapindaceae"/>
    <x v="5"/>
  </r>
  <r>
    <x v="4"/>
    <d v="2026-06-17T00:00:00"/>
    <x v="0"/>
    <n v="1114"/>
    <x v="0"/>
    <n v="3.6"/>
    <s v="A"/>
    <s v="POM at 1.28m"/>
    <s v="1114_1"/>
    <s v="Stebbins_Core"/>
    <x v="2"/>
    <s v="Acer"/>
    <s v="saccharum"/>
    <s v="Sapindaceae"/>
    <x v="2"/>
  </r>
  <r>
    <x v="4"/>
    <d v="2026-06-17T00:00:00"/>
    <x v="0"/>
    <n v="1115"/>
    <x v="0"/>
    <n v="11.7"/>
    <s v="L,B"/>
    <m/>
    <s v="1115_1"/>
    <s v="Stebbins_Core"/>
    <x v="2"/>
    <s v="Acer"/>
    <s v="saccharum"/>
    <s v="Sapindaceae"/>
    <x v="3"/>
  </r>
  <r>
    <x v="4"/>
    <d v="2026-06-17T00:00:00"/>
    <x v="0"/>
    <n v="1116"/>
    <x v="0"/>
    <n v="1.3"/>
    <s v="W"/>
    <m/>
    <s v="1116_1"/>
    <s v="Stebbins_Core"/>
    <x v="2"/>
    <s v="Acer"/>
    <s v="saccharum"/>
    <s v="Sapindaceae"/>
    <x v="2"/>
  </r>
  <r>
    <x v="4"/>
    <d v="2026-06-18T00:00:00"/>
    <x v="0"/>
    <n v="1118"/>
    <x v="0"/>
    <n v="2.4"/>
    <s v="L"/>
    <m/>
    <s v="1118_1"/>
    <s v="Stebbins_Core"/>
    <x v="2"/>
    <s v="Acer"/>
    <s v="saccharum"/>
    <s v="Sapindaceae"/>
    <x v="2"/>
  </r>
  <r>
    <x v="4"/>
    <d v="2026-06-18T00:00:00"/>
    <x v="0"/>
    <n v="1119"/>
    <x v="0"/>
    <n v="2.1"/>
    <s v="B,L,A"/>
    <s v="POM at 1.28m"/>
    <s v="1119_1"/>
    <s v="Stebbins_Core"/>
    <x v="2"/>
    <s v="Acer"/>
    <s v="saccharum"/>
    <s v="Sapindaceae"/>
    <x v="2"/>
  </r>
  <r>
    <x v="4"/>
    <d v="2026-06-18T00:00:00"/>
    <x v="0"/>
    <n v="1120"/>
    <x v="0"/>
    <n v="6"/>
    <s v="N/A"/>
    <m/>
    <s v="1120_1"/>
    <s v="Stebbins_Core"/>
    <x v="2"/>
    <s v="Acer"/>
    <s v="saccharum"/>
    <s v="Sapindaceae"/>
    <x v="5"/>
  </r>
  <r>
    <x v="4"/>
    <d v="2026-06-18T00:00:00"/>
    <x v="0"/>
    <n v="1121"/>
    <x v="0"/>
    <n v="6.7"/>
    <s v="W"/>
    <s v="soft measure used"/>
    <s v="1121_1"/>
    <s v="Stebbins_Core"/>
    <x v="2"/>
    <s v="Acer"/>
    <s v="saccharum"/>
    <s v="Sapindaceae"/>
    <x v="5"/>
  </r>
  <r>
    <x v="4"/>
    <d v="2026-06-18T00:00:00"/>
    <x v="0"/>
    <n v="1122"/>
    <x v="0"/>
    <n v="2"/>
    <s v="B,L"/>
    <m/>
    <s v="1122_1"/>
    <s v="Stebbins_Core"/>
    <x v="2"/>
    <s v="Acer"/>
    <s v="saccharum"/>
    <s v="Sapindaceae"/>
    <x v="2"/>
  </r>
  <r>
    <x v="4"/>
    <d v="2026-06-18T00:00:00"/>
    <x v="3"/>
    <n v="1123"/>
    <x v="0"/>
    <n v="90.7"/>
    <s v="N/A"/>
    <m/>
    <s v="1123_1"/>
    <s v="Stebbins_Core"/>
    <x v="2"/>
    <s v="Lirodendron"/>
    <s v="tulipfera"/>
    <s v="Magnoliaceae"/>
    <x v="4"/>
  </r>
  <r>
    <x v="4"/>
    <d v="2026-06-18T00:00:00"/>
    <x v="0"/>
    <n v="1124"/>
    <x v="0"/>
    <n v="12.3"/>
    <s v="L"/>
    <m/>
    <s v="1124_1"/>
    <s v="Stebbins_Core"/>
    <x v="2"/>
    <s v="Acer"/>
    <s v="saccharum"/>
    <s v="Sapindaceae"/>
    <x v="3"/>
  </r>
  <r>
    <x v="4"/>
    <d v="2026-06-18T00:00:00"/>
    <x v="0"/>
    <n v="1125"/>
    <x v="0"/>
    <n v="10.199999999999999"/>
    <s v="N/A"/>
    <m/>
    <s v="1125_1"/>
    <s v="Stebbins_Core"/>
    <x v="2"/>
    <s v="Acer"/>
    <s v="saccharum"/>
    <s v="Sapindaceae"/>
    <x v="3"/>
  </r>
  <r>
    <x v="4"/>
    <d v="2026-06-18T00:00:00"/>
    <x v="0"/>
    <n v="1126"/>
    <x v="0"/>
    <n v="4.0999999999999996"/>
    <s v="W"/>
    <s v="soft measure used"/>
    <s v="1126_1"/>
    <s v="Stebbins_Core"/>
    <x v="2"/>
    <s v="Acer"/>
    <s v="saccharum"/>
    <s v="Sapindaceae"/>
    <x v="2"/>
  </r>
  <r>
    <x v="4"/>
    <d v="2026-06-18T00:00:00"/>
    <x v="0"/>
    <n v="1127"/>
    <x v="0"/>
    <n v="10.6"/>
    <s v="L"/>
    <m/>
    <s v="1127_1"/>
    <s v="Stebbins_Core"/>
    <x v="2"/>
    <s v="Acer"/>
    <s v="saccharum"/>
    <s v="Sapindaceae"/>
    <x v="3"/>
  </r>
  <r>
    <x v="4"/>
    <d v="2026-06-18T00:00:00"/>
    <x v="0"/>
    <n v="1128"/>
    <x v="0"/>
    <n v="4.8"/>
    <s v="L"/>
    <m/>
    <s v="1128_1"/>
    <s v="Stebbins_Core"/>
    <x v="2"/>
    <s v="Acer"/>
    <s v="saccharum"/>
    <s v="Sapindaceae"/>
    <x v="2"/>
  </r>
  <r>
    <x v="4"/>
    <d v="2026-06-18T00:00:00"/>
    <x v="0"/>
    <n v="1129"/>
    <x v="0"/>
    <n v="3"/>
    <s v="M,L"/>
    <m/>
    <s v="1129_1"/>
    <s v="Stebbins_Core"/>
    <x v="2"/>
    <s v="Acer"/>
    <s v="saccharum"/>
    <s v="Sapindaceae"/>
    <x v="2"/>
  </r>
  <r>
    <x v="4"/>
    <d v="2026-06-18T00:00:00"/>
    <x v="0"/>
    <n v="1129"/>
    <x v="1"/>
    <n v="2.9"/>
    <s v="M,L"/>
    <m/>
    <s v="1129_2"/>
    <s v="Stebbins_Core"/>
    <x v="2"/>
    <s v="Acer"/>
    <s v="saccharum"/>
    <s v="Sapindaceae"/>
    <x v="2"/>
  </r>
  <r>
    <x v="4"/>
    <d v="2026-06-18T00:00:00"/>
    <x v="0"/>
    <n v="1130"/>
    <x v="0"/>
    <n v="5.0999999999999996"/>
    <s v="L"/>
    <m/>
    <s v="1130_1"/>
    <s v="Stebbins_Core"/>
    <x v="2"/>
    <s v="Acer"/>
    <s v="saccharum"/>
    <s v="Sapindaceae"/>
    <x v="5"/>
  </r>
  <r>
    <x v="4"/>
    <d v="2026-06-18T00:00:00"/>
    <x v="0"/>
    <n v="1131"/>
    <x v="0"/>
    <n v="1.8"/>
    <s v="L,W"/>
    <s v="soft measure used"/>
    <s v="1131_1"/>
    <s v="Stebbins_Core"/>
    <x v="2"/>
    <s v="Acer"/>
    <s v="saccharum"/>
    <s v="Sapindaceae"/>
    <x v="2"/>
  </r>
  <r>
    <x v="4"/>
    <d v="2026-06-18T00:00:00"/>
    <x v="0"/>
    <n v="1132"/>
    <x v="0"/>
    <n v="1.6"/>
    <s v="L"/>
    <m/>
    <s v="1132_1"/>
    <s v="Stebbins_Core"/>
    <x v="2"/>
    <s v="Acer"/>
    <s v="saccharum"/>
    <s v="Sapindaceae"/>
    <x v="2"/>
  </r>
  <r>
    <x v="4"/>
    <d v="2026-06-18T00:00:00"/>
    <x v="0"/>
    <n v="1133"/>
    <x v="0"/>
    <n v="3.5"/>
    <s v="L"/>
    <m/>
    <s v="1133_1"/>
    <s v="Stebbins_Core"/>
    <x v="2"/>
    <s v="Acer"/>
    <s v="saccharum"/>
    <s v="Sapindaceae"/>
    <x v="2"/>
  </r>
  <r>
    <x v="4"/>
    <d v="2026-06-18T00:00:00"/>
    <x v="0"/>
    <n v="1134"/>
    <x v="0"/>
    <n v="1.8"/>
    <s v="L,W"/>
    <s v="soft measure used"/>
    <s v="1134_1"/>
    <s v="Stebbins_Core"/>
    <x v="2"/>
    <s v="Acer"/>
    <s v="saccharum"/>
    <s v="Sapindaceae"/>
    <x v="2"/>
  </r>
  <r>
    <x v="4"/>
    <d v="2026-06-18T00:00:00"/>
    <x v="0"/>
    <n v="1135"/>
    <x v="0"/>
    <n v="7.5"/>
    <s v="L"/>
    <m/>
    <s v="1135_1"/>
    <s v="Stebbins_Core"/>
    <x v="2"/>
    <s v="Acer"/>
    <s v="saccharum"/>
    <s v="Sapindaceae"/>
    <x v="5"/>
  </r>
  <r>
    <x v="4"/>
    <d v="2026-06-18T00:00:00"/>
    <x v="0"/>
    <n v="1136"/>
    <x v="0"/>
    <n v="1.1000000000000001"/>
    <s v="L"/>
    <s v="soft measure used"/>
    <s v="1136_1"/>
    <s v="Stebbins_Core"/>
    <x v="2"/>
    <s v="Acer"/>
    <s v="saccharum"/>
    <s v="Sapindaceae"/>
    <x v="2"/>
  </r>
  <r>
    <x v="4"/>
    <d v="2026-06-18T00:00:00"/>
    <x v="0"/>
    <n v="1137"/>
    <x v="0"/>
    <n v="1.9"/>
    <s v="L"/>
    <m/>
    <s v="1137_1"/>
    <s v="Stebbins_Core"/>
    <x v="2"/>
    <s v="Acer"/>
    <s v="saccharum"/>
    <s v="Sapindaceae"/>
    <x v="2"/>
  </r>
  <r>
    <x v="4"/>
    <d v="2026-06-18T00:00:00"/>
    <x v="0"/>
    <n v="1138"/>
    <x v="0"/>
    <n v="3"/>
    <s v="L,A"/>
    <s v="POM at 1.28m"/>
    <s v="1138_1"/>
    <s v="Stebbins_Core"/>
    <x v="2"/>
    <s v="Acer"/>
    <s v="saccharum"/>
    <s v="Sapindaceae"/>
    <x v="2"/>
  </r>
  <r>
    <x v="4"/>
    <d v="2026-06-18T00:00:00"/>
    <x v="0"/>
    <n v="1139"/>
    <x v="0"/>
    <n v="10.1"/>
    <s v="L"/>
    <m/>
    <s v="1139_1"/>
    <s v="Stebbins_Core"/>
    <x v="2"/>
    <s v="Acer"/>
    <s v="saccharum"/>
    <s v="Sapindaceae"/>
    <x v="3"/>
  </r>
  <r>
    <x v="4"/>
    <d v="2026-06-18T00:00:00"/>
    <x v="0"/>
    <n v="1140"/>
    <x v="0"/>
    <n v="20.8"/>
    <s v="W"/>
    <s v="soft measure used"/>
    <s v="1140_1"/>
    <s v="Stebbins_Core"/>
    <x v="2"/>
    <s v="Acer"/>
    <s v="saccharum"/>
    <s v="Sapindaceae"/>
    <x v="0"/>
  </r>
  <r>
    <x v="4"/>
    <d v="2026-06-18T00:00:00"/>
    <x v="7"/>
    <n v="1141"/>
    <x v="0"/>
    <n v="3.9"/>
    <s v="M,L"/>
    <m/>
    <s v="1141_1"/>
    <s v="Stebbins_Core"/>
    <x v="2"/>
    <s v="Fagus"/>
    <s v="grandifolia"/>
    <s v="Fagaceae"/>
    <x v="2"/>
  </r>
  <r>
    <x v="4"/>
    <d v="2026-06-18T00:00:00"/>
    <x v="7"/>
    <n v="1141"/>
    <x v="1"/>
    <n v="1.8"/>
    <s v="M,L"/>
    <m/>
    <s v="1141_2"/>
    <s v="Stebbins_Core"/>
    <x v="2"/>
    <s v="Fagus"/>
    <s v="grandifolia"/>
    <s v="Fagaceae"/>
    <x v="2"/>
  </r>
  <r>
    <x v="4"/>
    <d v="2026-06-18T00:00:00"/>
    <x v="0"/>
    <n v="1142"/>
    <x v="0"/>
    <n v="10.5"/>
    <s v="L"/>
    <m/>
    <s v="1142_1"/>
    <s v="Stebbins_Core"/>
    <x v="2"/>
    <s v="Acer"/>
    <s v="saccharum"/>
    <s v="Sapindaceae"/>
    <x v="3"/>
  </r>
  <r>
    <x v="4"/>
    <d v="2026-06-18T00:00:00"/>
    <x v="7"/>
    <n v="1143"/>
    <x v="0"/>
    <n v="1"/>
    <s v="M"/>
    <s v="main trunk acclining, all sprouts very close to dead"/>
    <s v="1143_1"/>
    <s v="Stebbins_Core"/>
    <x v="2"/>
    <s v="Fagus"/>
    <s v="grandifolia"/>
    <s v="Fagaceae"/>
    <x v="2"/>
  </r>
  <r>
    <x v="4"/>
    <d v="2026-06-18T00:00:00"/>
    <x v="7"/>
    <n v="1143"/>
    <x v="1"/>
    <n v="6.1"/>
    <s v="M,A"/>
    <s v="POM at 1.27m"/>
    <s v="1143_2"/>
    <s v="Stebbins_Core"/>
    <x v="2"/>
    <s v="Fagus"/>
    <s v="grandifolia"/>
    <s v="Fagaceae"/>
    <x v="5"/>
  </r>
  <r>
    <x v="4"/>
    <d v="2026-06-18T00:00:00"/>
    <x v="7"/>
    <n v="1143"/>
    <x v="2"/>
    <n v="2.2999999999999998"/>
    <s v="M,L"/>
    <m/>
    <s v="1143_3"/>
    <s v="Stebbins_Core"/>
    <x v="2"/>
    <s v="Fagus"/>
    <s v="grandifolia"/>
    <s v="Fagaceae"/>
    <x v="2"/>
  </r>
  <r>
    <x v="4"/>
    <d v="2026-06-18T00:00:00"/>
    <x v="7"/>
    <n v="1143"/>
    <x v="3"/>
    <n v="1.3"/>
    <s v="M,L"/>
    <m/>
    <s v="1143_4"/>
    <s v="Stebbins_Core"/>
    <x v="2"/>
    <s v="Fagus"/>
    <s v="grandifolia"/>
    <s v="Fagaceae"/>
    <x v="2"/>
  </r>
  <r>
    <x v="4"/>
    <d v="2026-06-18T00:00:00"/>
    <x v="0"/>
    <n v="1144"/>
    <x v="0"/>
    <n v="3.5"/>
    <s v="L"/>
    <m/>
    <s v="1144_1"/>
    <s v="Stebbins_Core"/>
    <x v="2"/>
    <s v="Acer"/>
    <s v="saccharum"/>
    <s v="Sapindaceae"/>
    <x v="2"/>
  </r>
  <r>
    <x v="4"/>
    <d v="2026-06-18T00:00:00"/>
    <x v="5"/>
    <n v="1145"/>
    <x v="0"/>
    <n v="1.6"/>
    <s v="N/A"/>
    <m/>
    <s v="1145_1"/>
    <s v="Stebbins_Core"/>
    <x v="2"/>
    <s v="Magnolia"/>
    <s v="acuminata"/>
    <s v="Magnoliaceae"/>
    <x v="2"/>
  </r>
  <r>
    <x v="4"/>
    <d v="2026-06-18T00:00:00"/>
    <x v="7"/>
    <n v="1146"/>
    <x v="0"/>
    <n v="1.6"/>
    <s v="L"/>
    <s v="nearly dead"/>
    <s v="1146_1"/>
    <s v="Stebbins_Core"/>
    <x v="2"/>
    <s v="Fagus"/>
    <s v="grandifolia"/>
    <s v="Fagaceae"/>
    <x v="2"/>
  </r>
  <r>
    <x v="4"/>
    <d v="2026-06-18T00:00:00"/>
    <x v="0"/>
    <n v="1147"/>
    <x v="0"/>
    <n v="6.2"/>
    <s v="L,A"/>
    <s v="POM at 1.28m"/>
    <s v="1147_1"/>
    <s v="Stebbins_Core"/>
    <x v="2"/>
    <s v="Acer"/>
    <s v="saccharum"/>
    <s v="Sapindaceae"/>
    <x v="5"/>
  </r>
  <r>
    <x v="4"/>
    <d v="2026-06-18T00:00:00"/>
    <x v="0"/>
    <n v="1148"/>
    <x v="0"/>
    <n v="16.8"/>
    <s v="L"/>
    <m/>
    <s v="1148_1"/>
    <s v="Stebbins_Core"/>
    <x v="2"/>
    <s v="Acer"/>
    <s v="saccharum"/>
    <s v="Sapindaceae"/>
    <x v="3"/>
  </r>
  <r>
    <x v="4"/>
    <d v="2026-06-18T00:00:00"/>
    <x v="0"/>
    <n v="1149"/>
    <x v="0"/>
    <n v="3.1"/>
    <s v="L"/>
    <m/>
    <s v="1149_1"/>
    <s v="Stebbins_Core"/>
    <x v="2"/>
    <s v="Acer"/>
    <s v="saccharum"/>
    <s v="Sapindaceae"/>
    <x v="2"/>
  </r>
  <r>
    <x v="4"/>
    <d v="2026-06-18T00:00:00"/>
    <x v="0"/>
    <n v="1150"/>
    <x v="0"/>
    <n v="14.3"/>
    <s v="L"/>
    <m/>
    <s v="1150_1"/>
    <s v="Stebbins_Core"/>
    <x v="2"/>
    <s v="Acer"/>
    <s v="saccharum"/>
    <s v="Sapindaceae"/>
    <x v="3"/>
  </r>
  <r>
    <x v="4"/>
    <d v="2026-06-18T00:00:00"/>
    <x v="0"/>
    <n v="1151"/>
    <x v="0"/>
    <n v="1.1000000000000001"/>
    <s v="W,B,L"/>
    <s v="other branch but too small, soft measure used"/>
    <s v="1151_1"/>
    <s v="Stebbins_Core"/>
    <x v="2"/>
    <s v="Acer"/>
    <s v="saccharum"/>
    <s v="Sapindaceae"/>
    <x v="2"/>
  </r>
  <r>
    <x v="4"/>
    <d v="2026-06-18T00:00:00"/>
    <x v="0"/>
    <n v="1152"/>
    <x v="0"/>
    <n v="3.6"/>
    <s v="L,A"/>
    <s v="POM at 1.27m"/>
    <s v="1152_1"/>
    <s v="Stebbins_Core"/>
    <x v="2"/>
    <s v="Acer"/>
    <s v="saccharum"/>
    <s v="Sapindaceae"/>
    <x v="2"/>
  </r>
  <r>
    <x v="4"/>
    <d v="2026-06-18T00:00:00"/>
    <x v="7"/>
    <n v="1153"/>
    <x v="0"/>
    <n v="13.9"/>
    <s v="M"/>
    <m/>
    <s v="1153_1"/>
    <s v="Stebbins_Core"/>
    <x v="2"/>
    <s v="Fagus"/>
    <s v="grandifolia"/>
    <s v="Fagaceae"/>
    <x v="3"/>
  </r>
  <r>
    <x v="4"/>
    <d v="2026-06-18T00:00:00"/>
    <x v="7"/>
    <n v="1153"/>
    <x v="1"/>
    <n v="4.5"/>
    <s v="M,L"/>
    <m/>
    <s v="1153_2"/>
    <s v="Stebbins_Core"/>
    <x v="2"/>
    <s v="Fagus"/>
    <s v="grandifolia"/>
    <s v="Fagaceae"/>
    <x v="2"/>
  </r>
  <r>
    <x v="4"/>
    <d v="2026-06-18T00:00:00"/>
    <x v="3"/>
    <n v="1154"/>
    <x v="0"/>
    <n v="85.9"/>
    <s v="M"/>
    <m/>
    <s v="1154_1"/>
    <s v="Stebbins_Core"/>
    <x v="2"/>
    <s v="Lirodendron"/>
    <s v="tulipfera"/>
    <s v="Magnoliaceae"/>
    <x v="4"/>
  </r>
  <r>
    <x v="4"/>
    <d v="2026-06-18T00:00:00"/>
    <x v="3"/>
    <n v="1154"/>
    <x v="1"/>
    <n v="1.6"/>
    <s v="M,W"/>
    <s v="soft measure used"/>
    <s v="1154_2"/>
    <s v="Stebbins_Core"/>
    <x v="2"/>
    <s v="Lirodendron"/>
    <s v="tulipfera"/>
    <s v="Magnoliaceae"/>
    <x v="2"/>
  </r>
  <r>
    <x v="4"/>
    <d v="2026-06-18T00:00:00"/>
    <x v="3"/>
    <n v="1154"/>
    <x v="16"/>
    <n v="1.6"/>
    <s v="M,W"/>
    <s v="soft measure used"/>
    <s v="1154_3.1"/>
    <s v="Stebbins_Core"/>
    <x v="2"/>
    <s v="Lirodendron"/>
    <s v="tulipfera"/>
    <s v="Magnoliaceae"/>
    <x v="2"/>
  </r>
  <r>
    <x v="4"/>
    <d v="2026-06-18T00:00:00"/>
    <x v="3"/>
    <n v="1154"/>
    <x v="17"/>
    <n v="2.8"/>
    <s v="M,W"/>
    <s v="soft measure used"/>
    <s v="1154_3.2"/>
    <s v="Stebbins_Core"/>
    <x v="2"/>
    <s v="Lirodendron"/>
    <s v="tulipfera"/>
    <s v="Magnoliaceae"/>
    <x v="2"/>
  </r>
  <r>
    <x v="4"/>
    <d v="2026-06-18T00:00:00"/>
    <x v="7"/>
    <n v="1155"/>
    <x v="0"/>
    <n v="4.8"/>
    <s v="L,A"/>
    <s v="POM at 1.25m"/>
    <s v="1155_1"/>
    <s v="Stebbins_Core"/>
    <x v="2"/>
    <s v="Fagus"/>
    <s v="grandifolia"/>
    <s v="Fagaceae"/>
    <x v="2"/>
  </r>
  <r>
    <x v="4"/>
    <d v="2026-06-18T00:00:00"/>
    <x v="7"/>
    <n v="1156"/>
    <x v="0"/>
    <n v="6.6"/>
    <s v="L"/>
    <m/>
    <s v="1156_1"/>
    <s v="Stebbins_Core"/>
    <x v="2"/>
    <s v="Fagus"/>
    <s v="grandifolia"/>
    <s v="Fagaceae"/>
    <x v="5"/>
  </r>
  <r>
    <x v="4"/>
    <d v="2026-06-18T00:00:00"/>
    <x v="0"/>
    <n v="1157"/>
    <x v="0"/>
    <n v="2"/>
    <s v="L"/>
    <m/>
    <s v="1157_1"/>
    <s v="Stebbins_Core"/>
    <x v="2"/>
    <s v="Acer"/>
    <s v="saccharum"/>
    <s v="Sapindaceae"/>
    <x v="2"/>
  </r>
  <r>
    <x v="4"/>
    <d v="2026-06-18T00:00:00"/>
    <x v="0"/>
    <n v="1158"/>
    <x v="0"/>
    <n v="25.3"/>
    <s v="L"/>
    <m/>
    <s v="1158_1"/>
    <s v="Stebbins_Core"/>
    <x v="2"/>
    <s v="Acer"/>
    <s v="saccharum"/>
    <s v="Sapindaceae"/>
    <x v="0"/>
  </r>
  <r>
    <x v="4"/>
    <d v="2026-06-18T00:00:00"/>
    <x v="0"/>
    <n v="1159"/>
    <x v="0"/>
    <n v="2.4"/>
    <s v="L"/>
    <m/>
    <s v="1159_1"/>
    <s v="Stebbins_Core"/>
    <x v="2"/>
    <s v="Acer"/>
    <s v="saccharum"/>
    <s v="Sapindaceae"/>
    <x v="2"/>
  </r>
  <r>
    <x v="4"/>
    <d v="2026-06-18T00:00:00"/>
    <x v="14"/>
    <n v="1160"/>
    <x v="0"/>
    <n v="11.6"/>
    <s v="L"/>
    <m/>
    <s v="1160_1"/>
    <s v="Stebbins_Core"/>
    <x v="2"/>
    <s v="Tilia"/>
    <s v="americana"/>
    <s v="Malvaceae"/>
    <x v="3"/>
  </r>
  <r>
    <x v="4"/>
    <d v="2026-06-18T00:00:00"/>
    <x v="0"/>
    <n v="1161"/>
    <x v="0"/>
    <n v="4.8"/>
    <s v="L"/>
    <m/>
    <s v="1161_1"/>
    <s v="Stebbins_Core"/>
    <x v="2"/>
    <s v="Acer"/>
    <s v="saccharum"/>
    <s v="Sapindaceae"/>
    <x v="2"/>
  </r>
  <r>
    <x v="4"/>
    <d v="2026-06-24T00:00:00"/>
    <x v="0"/>
    <n v="1162"/>
    <x v="0"/>
    <n v="2.5"/>
    <s v="L,B"/>
    <m/>
    <s v="1162_1"/>
    <s v="Stebbins_Core"/>
    <x v="2"/>
    <s v="Acer"/>
    <s v="saccharum"/>
    <s v="Sapindaceae"/>
    <x v="2"/>
  </r>
  <r>
    <x v="4"/>
    <d v="2026-06-24T00:00:00"/>
    <x v="0"/>
    <n v="1163"/>
    <x v="0"/>
    <n v="3"/>
    <s v="L,A"/>
    <s v="POM at 1.28m"/>
    <s v="1163_1"/>
    <s v="Stebbins_Core"/>
    <x v="2"/>
    <s v="Acer"/>
    <s v="saccharum"/>
    <s v="Sapindaceae"/>
    <x v="2"/>
  </r>
  <r>
    <x v="4"/>
    <d v="2026-06-24T00:00:00"/>
    <x v="0"/>
    <n v="1164"/>
    <x v="0"/>
    <n v="1.7"/>
    <s v="L"/>
    <m/>
    <s v="1164_1"/>
    <s v="Stebbins_Core"/>
    <x v="2"/>
    <s v="Acer"/>
    <s v="saccharum"/>
    <s v="Sapindaceae"/>
    <x v="2"/>
  </r>
  <r>
    <x v="4"/>
    <d v="2026-06-24T00:00:00"/>
    <x v="0"/>
    <n v="1165"/>
    <x v="0"/>
    <n v="13.8"/>
    <s v="L"/>
    <m/>
    <s v="1165_1"/>
    <s v="Stebbins_Core"/>
    <x v="2"/>
    <s v="Acer"/>
    <s v="saccharum"/>
    <s v="Sapindaceae"/>
    <x v="3"/>
  </r>
  <r>
    <x v="4"/>
    <d v="2026-06-24T00:00:00"/>
    <x v="0"/>
    <n v="1166"/>
    <x v="0"/>
    <n v="5.7"/>
    <s v="L"/>
    <m/>
    <s v="1166_1"/>
    <s v="Stebbins_Core"/>
    <x v="2"/>
    <s v="Acer"/>
    <s v="saccharum"/>
    <s v="Sapindaceae"/>
    <x v="5"/>
  </r>
  <r>
    <x v="4"/>
    <d v="2026-06-24T00:00:00"/>
    <x v="14"/>
    <n v="1167"/>
    <x v="0"/>
    <n v="12"/>
    <s v="W"/>
    <m/>
    <s v="1167_1"/>
    <s v="Stebbins_Core"/>
    <x v="2"/>
    <s v="Tilia"/>
    <s v="americana"/>
    <s v="Malvaceae"/>
    <x v="3"/>
  </r>
  <r>
    <x v="4"/>
    <d v="2026-06-24T00:00:00"/>
    <x v="7"/>
    <n v="1168"/>
    <x v="0"/>
    <n v="4.5"/>
    <s v="W"/>
    <s v="soft measure used"/>
    <s v="1168_1"/>
    <s v="Stebbins_Core"/>
    <x v="2"/>
    <s v="Fagus"/>
    <s v="grandifolia"/>
    <s v="Fagaceae"/>
    <x v="2"/>
  </r>
  <r>
    <x v="4"/>
    <d v="2026-06-24T00:00:00"/>
    <x v="0"/>
    <n v="1169"/>
    <x v="0"/>
    <n v="2.6"/>
    <s v="L"/>
    <m/>
    <s v="1169_1"/>
    <s v="Stebbins_Core"/>
    <x v="2"/>
    <s v="Acer"/>
    <s v="saccharum"/>
    <s v="Sapindaceae"/>
    <x v="2"/>
  </r>
  <r>
    <x v="4"/>
    <d v="2026-06-24T00:00:00"/>
    <x v="7"/>
    <n v="1170"/>
    <x v="0"/>
    <n v="3.7"/>
    <s v="M,W"/>
    <s v="covered in smilax, soft measure used"/>
    <s v="1170_1"/>
    <s v="Stebbins_Core"/>
    <x v="2"/>
    <s v="Fagus"/>
    <s v="grandifolia"/>
    <s v="Fagaceae"/>
    <x v="2"/>
  </r>
  <r>
    <x v="4"/>
    <d v="2026-06-24T00:00:00"/>
    <x v="7"/>
    <n v="1170"/>
    <x v="1"/>
    <n v="1.5"/>
    <s v="M,W"/>
    <s v="covered in smilax, soft measure used"/>
    <s v="1170_2"/>
    <s v="Stebbins_Core"/>
    <x v="2"/>
    <s v="Fagus"/>
    <s v="grandifolia"/>
    <s v="Fagaceae"/>
    <x v="2"/>
  </r>
  <r>
    <x v="4"/>
    <d v="2026-06-24T00:00:00"/>
    <x v="0"/>
    <n v="1171"/>
    <x v="0"/>
    <n v="54.3"/>
    <s v="L"/>
    <m/>
    <s v="1171_1"/>
    <s v="Stebbins_Core"/>
    <x v="2"/>
    <s v="Acer"/>
    <s v="saccharum"/>
    <s v="Sapindaceae"/>
    <x v="4"/>
  </r>
  <r>
    <x v="4"/>
    <d v="2026-06-24T00:00:00"/>
    <x v="0"/>
    <n v="1172"/>
    <x v="0"/>
    <n v="39"/>
    <s v="L"/>
    <m/>
    <s v="1172_1"/>
    <s v="Stebbins_Core"/>
    <x v="2"/>
    <s v="Acer"/>
    <s v="saccharum"/>
    <s v="Sapindaceae"/>
    <x v="0"/>
  </r>
  <r>
    <x v="4"/>
    <d v="2026-06-24T00:00:00"/>
    <x v="0"/>
    <n v="1173"/>
    <x v="0"/>
    <n v="8.4"/>
    <s v="L"/>
    <m/>
    <s v="1173_1"/>
    <s v="Stebbins_Core"/>
    <x v="2"/>
    <s v="Acer"/>
    <s v="saccharum"/>
    <s v="Sapindaceae"/>
    <x v="5"/>
  </r>
  <r>
    <x v="4"/>
    <d v="2026-06-24T00:00:00"/>
    <x v="0"/>
    <n v="1174"/>
    <x v="0"/>
    <n v="4.9000000000000004"/>
    <s v="L"/>
    <m/>
    <s v="1174_1"/>
    <s v="Stebbins_Core"/>
    <x v="2"/>
    <s v="Acer"/>
    <s v="saccharum"/>
    <s v="Sapindaceae"/>
    <x v="2"/>
  </r>
  <r>
    <x v="4"/>
    <d v="2026-06-24T00:00:00"/>
    <x v="0"/>
    <n v="1175"/>
    <x v="0"/>
    <n v="5"/>
    <s v="L"/>
    <m/>
    <s v="1175_1"/>
    <s v="Stebbins_Core"/>
    <x v="2"/>
    <s v="Acer"/>
    <s v="saccharum"/>
    <s v="Sapindaceae"/>
    <x v="2"/>
  </r>
  <r>
    <x v="4"/>
    <d v="2026-06-24T00:00:00"/>
    <x v="0"/>
    <n v="1176"/>
    <x v="0"/>
    <n v="1.3"/>
    <s v="W"/>
    <s v="soft measure used"/>
    <s v="1176_1"/>
    <s v="Stebbins_Core"/>
    <x v="2"/>
    <s v="Acer"/>
    <s v="saccharum"/>
    <s v="Sapindaceae"/>
    <x v="2"/>
  </r>
  <r>
    <x v="4"/>
    <d v="2026-06-24T00:00:00"/>
    <x v="0"/>
    <n v="1177"/>
    <x v="0"/>
    <n v="3.1"/>
    <s v="L,B"/>
    <m/>
    <s v="1177_1"/>
    <s v="Stebbins_Core"/>
    <x v="2"/>
    <s v="Acer"/>
    <s v="saccharum"/>
    <s v="Sapindaceae"/>
    <x v="2"/>
  </r>
  <r>
    <x v="4"/>
    <d v="2026-06-24T00:00:00"/>
    <x v="0"/>
    <n v="1178"/>
    <x v="0"/>
    <n v="12.5"/>
    <s v="L"/>
    <m/>
    <s v="1178_1"/>
    <s v="Stebbins_Core"/>
    <x v="2"/>
    <s v="Acer"/>
    <s v="saccharum"/>
    <s v="Sapindaceae"/>
    <x v="3"/>
  </r>
  <r>
    <x v="4"/>
    <d v="2026-06-24T00:00:00"/>
    <x v="6"/>
    <n v="1179"/>
    <x v="0"/>
    <n v="5.0999999999999996"/>
    <s v="W"/>
    <s v="soft measure used"/>
    <s v="1179_1"/>
    <s v="Stebbins_Core"/>
    <x v="2"/>
    <s v="Nyssa"/>
    <s v="sylvatica"/>
    <s v="Nyssaceae"/>
    <x v="5"/>
  </r>
  <r>
    <x v="4"/>
    <d v="2026-06-24T00:00:00"/>
    <x v="0"/>
    <n v="1180"/>
    <x v="0"/>
    <n v="5.5"/>
    <s v="L"/>
    <m/>
    <s v="1180_1"/>
    <s v="Stebbins_Core"/>
    <x v="2"/>
    <s v="Acer"/>
    <s v="saccharum"/>
    <s v="Sapindaceae"/>
    <x v="5"/>
  </r>
  <r>
    <x v="4"/>
    <d v="2026-06-24T00:00:00"/>
    <x v="7"/>
    <n v="1181"/>
    <x v="0"/>
    <n v="8.6"/>
    <s v="N/A"/>
    <m/>
    <s v="1181_1"/>
    <s v="Stebbins_Core"/>
    <x v="2"/>
    <s v="Fagus"/>
    <s v="grandifolia"/>
    <s v="Fagaceae"/>
    <x v="5"/>
  </r>
  <r>
    <x v="4"/>
    <d v="2026-06-24T00:00:00"/>
    <x v="3"/>
    <n v="1182"/>
    <x v="0"/>
    <n v="1.1000000000000001"/>
    <s v="N/A"/>
    <m/>
    <s v="1182_1"/>
    <s v="Stebbins_Core"/>
    <x v="2"/>
    <s v="Lirodendron"/>
    <s v="tulipfera"/>
    <s v="Magnoliaceae"/>
    <x v="2"/>
  </r>
  <r>
    <x v="4"/>
    <d v="2026-06-24T00:00:00"/>
    <x v="3"/>
    <n v="1183"/>
    <x v="0"/>
    <n v="1.2"/>
    <s v="N/A"/>
    <m/>
    <s v="1183_1"/>
    <s v="Stebbins_Core"/>
    <x v="2"/>
    <s v="Lirodendron"/>
    <s v="tulipfera"/>
    <s v="Magnoliaceae"/>
    <x v="2"/>
  </r>
  <r>
    <x v="4"/>
    <d v="2026-06-24T00:00:00"/>
    <x v="7"/>
    <n v="1184"/>
    <x v="0"/>
    <n v="3.9"/>
    <s v="B"/>
    <m/>
    <s v="1184_1"/>
    <s v="Stebbins_Core"/>
    <x v="2"/>
    <s v="Fagus"/>
    <s v="grandifolia"/>
    <s v="Fagaceae"/>
    <x v="2"/>
  </r>
  <r>
    <x v="4"/>
    <d v="2026-06-24T00:00:00"/>
    <x v="7"/>
    <n v="1185"/>
    <x v="0"/>
    <n v="9.6999999999999993"/>
    <s v="L"/>
    <m/>
    <s v="1185_1"/>
    <s v="Stebbins_Core"/>
    <x v="2"/>
    <s v="Fagus"/>
    <s v="grandifolia"/>
    <s v="Fagaceae"/>
    <x v="5"/>
  </r>
  <r>
    <x v="4"/>
    <d v="2026-06-24T00:00:00"/>
    <x v="0"/>
    <n v="1186"/>
    <x v="0"/>
    <n v="7.3"/>
    <s v="L"/>
    <m/>
    <s v="1186_1"/>
    <s v="Stebbins_Core"/>
    <x v="2"/>
    <s v="Acer"/>
    <s v="saccharum"/>
    <s v="Sapindaceae"/>
    <x v="5"/>
  </r>
  <r>
    <x v="4"/>
    <d v="2026-06-24T00:00:00"/>
    <x v="5"/>
    <n v="1187"/>
    <x v="0"/>
    <n v="1.2"/>
    <s v="N/A"/>
    <m/>
    <s v="1187_1"/>
    <s v="Stebbins_Core"/>
    <x v="2"/>
    <s v="Magnolia"/>
    <s v="acuminata"/>
    <s v="Magnoliaceae"/>
    <x v="2"/>
  </r>
  <r>
    <x v="4"/>
    <d v="2026-06-24T00:00:00"/>
    <x v="0"/>
    <n v="1188"/>
    <x v="0"/>
    <n v="21.8"/>
    <s v="L"/>
    <m/>
    <s v="1188_1"/>
    <s v="Stebbins_Core"/>
    <x v="2"/>
    <s v="Acer"/>
    <s v="saccharum"/>
    <s v="Sapindaceae"/>
    <x v="0"/>
  </r>
  <r>
    <x v="4"/>
    <d v="2026-06-24T00:00:00"/>
    <x v="1"/>
    <n v="1189"/>
    <x v="0"/>
    <n v="12.3"/>
    <s v="L"/>
    <m/>
    <s v="1189_1"/>
    <s v="Stebbins_Core"/>
    <x v="2"/>
    <s v="Prunus"/>
    <s v="serotina"/>
    <s v="Rosaceae"/>
    <x v="3"/>
  </r>
  <r>
    <x v="4"/>
    <d v="2026-06-24T00:00:00"/>
    <x v="19"/>
    <n v="1190"/>
    <x v="0"/>
    <n v="8.9"/>
    <s v="L"/>
    <m/>
    <s v="1190_1"/>
    <s v="Stebbins_Core"/>
    <x v="2"/>
    <s v="Carpinus"/>
    <s v="caroliniana"/>
    <s v="Betulaceae"/>
    <x v="5"/>
  </r>
  <r>
    <x v="4"/>
    <d v="2026-06-24T00:00:00"/>
    <x v="0"/>
    <n v="1191"/>
    <x v="0"/>
    <n v="2.2000000000000002"/>
    <s v="L,A"/>
    <s v="POM at 1.28m"/>
    <s v="1191_1"/>
    <s v="Stebbins_Core"/>
    <x v="2"/>
    <s v="Acer"/>
    <s v="saccharum"/>
    <s v="Sapindaceae"/>
    <x v="2"/>
  </r>
  <r>
    <x v="4"/>
    <d v="2026-06-24T00:00:00"/>
    <x v="0"/>
    <n v="1192"/>
    <x v="0"/>
    <n v="18.8"/>
    <s v="L"/>
    <m/>
    <s v="1192_1"/>
    <s v="Stebbins_Core"/>
    <x v="2"/>
    <s v="Acer"/>
    <s v="saccharum"/>
    <s v="Sapindaceae"/>
    <x v="3"/>
  </r>
  <r>
    <x v="4"/>
    <d v="2026-06-24T00:00:00"/>
    <x v="0"/>
    <n v="1193"/>
    <x v="0"/>
    <n v="6.6"/>
    <s v="L"/>
    <m/>
    <s v="1193_1"/>
    <s v="Stebbins_Core"/>
    <x v="2"/>
    <s v="Acer"/>
    <s v="saccharum"/>
    <s v="Sapindaceae"/>
    <x v="5"/>
  </r>
  <r>
    <x v="4"/>
    <d v="2026-06-24T00:00:00"/>
    <x v="7"/>
    <n v="1194"/>
    <x v="0"/>
    <n v="2.5"/>
    <s v="L,A"/>
    <s v="POM at 1.27m"/>
    <s v="1194_1"/>
    <s v="Stebbins_Core"/>
    <x v="2"/>
    <s v="Fagus"/>
    <s v="grandifolia"/>
    <s v="Fagaceae"/>
    <x v="2"/>
  </r>
  <r>
    <x v="4"/>
    <d v="2026-06-24T00:00:00"/>
    <x v="7"/>
    <n v="1195"/>
    <x v="0"/>
    <n v="12.2"/>
    <s v="L"/>
    <m/>
    <s v="1195_1"/>
    <s v="Stebbins_Core"/>
    <x v="2"/>
    <s v="Fagus"/>
    <s v="grandifolia"/>
    <s v="Fagaceae"/>
    <x v="3"/>
  </r>
  <r>
    <x v="4"/>
    <d v="2026-06-24T00:00:00"/>
    <x v="0"/>
    <n v="1196"/>
    <x v="0"/>
    <n v="28.5"/>
    <s v="L"/>
    <m/>
    <s v="1196_1"/>
    <s v="Stebbins_Core"/>
    <x v="2"/>
    <s v="Acer"/>
    <s v="saccharum"/>
    <s v="Sapindaceae"/>
    <x v="0"/>
  </r>
  <r>
    <x v="4"/>
    <d v="2026-06-24T00:00:00"/>
    <x v="0"/>
    <n v="1197"/>
    <x v="0"/>
    <n v="5.3"/>
    <s v="I,L,A"/>
    <s v="POM at 1.25m"/>
    <s v="1197_1"/>
    <s v="Stebbins_Core"/>
    <x v="2"/>
    <s v="Acer"/>
    <s v="saccharum"/>
    <s v="Sapindaceae"/>
    <x v="5"/>
  </r>
  <r>
    <x v="4"/>
    <d v="2026-06-24T00:00:00"/>
    <x v="0"/>
    <n v="1198"/>
    <x v="0"/>
    <n v="1.9"/>
    <s v="L,A"/>
    <s v="POM at 1.28m"/>
    <s v="1198_1"/>
    <s v="Stebbins_Core"/>
    <x v="2"/>
    <s v="Acer"/>
    <s v="saccharum"/>
    <s v="Sapindaceae"/>
    <x v="2"/>
  </r>
  <r>
    <x v="4"/>
    <d v="2026-06-24T00:00:00"/>
    <x v="0"/>
    <n v="1199"/>
    <x v="0"/>
    <n v="3.5"/>
    <s v="L,I"/>
    <m/>
    <s v="1199_1"/>
    <s v="Stebbins_Core"/>
    <x v="2"/>
    <s v="Acer"/>
    <s v="saccharum"/>
    <s v="Sapindaceae"/>
    <x v="2"/>
  </r>
  <r>
    <x v="4"/>
    <d v="2026-06-24T00:00:00"/>
    <x v="0"/>
    <n v="1200"/>
    <x v="0"/>
    <n v="8.4"/>
    <s v="W,I"/>
    <s v="soft measure used"/>
    <s v="1200_1"/>
    <s v="Stebbins_Core"/>
    <x v="2"/>
    <s v="Acer"/>
    <s v="saccharum"/>
    <s v="Sapindaceae"/>
    <x v="5"/>
  </r>
  <r>
    <x v="4"/>
    <d v="2026-06-24T00:00:00"/>
    <x v="7"/>
    <n v="1201"/>
    <x v="0"/>
    <n v="4.4000000000000004"/>
    <s v="L"/>
    <m/>
    <s v="1201_1"/>
    <s v="Stebbins_Core"/>
    <x v="2"/>
    <s v="Fagus"/>
    <s v="grandifolia"/>
    <s v="Fagaceae"/>
    <x v="2"/>
  </r>
  <r>
    <x v="4"/>
    <d v="2026-06-24T00:00:00"/>
    <x v="0"/>
    <n v="1202"/>
    <x v="0"/>
    <n v="6.4"/>
    <s v="I,L"/>
    <m/>
    <s v="1202_1"/>
    <s v="Stebbins_Core"/>
    <x v="2"/>
    <s v="Acer"/>
    <s v="saccharum"/>
    <s v="Sapindaceae"/>
    <x v="5"/>
  </r>
  <r>
    <x v="4"/>
    <d v="2026-06-24T00:00:00"/>
    <x v="7"/>
    <n v="1203"/>
    <x v="0"/>
    <n v="2.6"/>
    <s v="L"/>
    <m/>
    <s v="1203_1"/>
    <s v="Stebbins_Core"/>
    <x v="2"/>
    <s v="Fagus"/>
    <s v="grandifolia"/>
    <s v="Fagaceae"/>
    <x v="2"/>
  </r>
  <r>
    <x v="4"/>
    <d v="2026-06-24T00:00:00"/>
    <x v="7"/>
    <n v="1204"/>
    <x v="0"/>
    <n v="5.0999999999999996"/>
    <s v="L"/>
    <m/>
    <s v="1204_1"/>
    <s v="Stebbins_Core"/>
    <x v="2"/>
    <s v="Fagus"/>
    <s v="grandifolia"/>
    <s v="Fagaceae"/>
    <x v="5"/>
  </r>
  <r>
    <x v="4"/>
    <d v="2026-06-24T00:00:00"/>
    <x v="7"/>
    <n v="1205"/>
    <x v="0"/>
    <n v="7.7"/>
    <s v="L"/>
    <m/>
    <s v="1205_1"/>
    <s v="Stebbins_Core"/>
    <x v="2"/>
    <s v="Fagus"/>
    <s v="grandifolia"/>
    <s v="Fagaceae"/>
    <x v="5"/>
  </r>
  <r>
    <x v="4"/>
    <d v="2026-06-24T00:00:00"/>
    <x v="0"/>
    <n v="1206"/>
    <x v="0"/>
    <n v="14.8"/>
    <s v="W"/>
    <s v="soft measure used"/>
    <s v="1206_1"/>
    <s v="Stebbins_Core"/>
    <x v="2"/>
    <s v="Acer"/>
    <s v="saccharum"/>
    <s v="Sapindaceae"/>
    <x v="3"/>
  </r>
  <r>
    <x v="4"/>
    <d v="2026-06-24T00:00:00"/>
    <x v="0"/>
    <n v="1207"/>
    <x v="0"/>
    <n v="7.9"/>
    <s v="W"/>
    <s v="soft measure used"/>
    <s v="1207_1"/>
    <s v="Stebbins_Core"/>
    <x v="2"/>
    <s v="Acer"/>
    <s v="saccharum"/>
    <s v="Sapindaceae"/>
    <x v="5"/>
  </r>
  <r>
    <x v="4"/>
    <d v="2026-06-24T00:00:00"/>
    <x v="0"/>
    <n v="1208"/>
    <x v="0"/>
    <n v="5.0999999999999996"/>
    <s v="L"/>
    <m/>
    <s v="1208_1"/>
    <s v="Stebbins_Core"/>
    <x v="2"/>
    <s v="Acer"/>
    <s v="saccharum"/>
    <s v="Sapindaceae"/>
    <x v="5"/>
  </r>
  <r>
    <x v="4"/>
    <d v="2026-06-24T00:00:00"/>
    <x v="0"/>
    <n v="1209"/>
    <x v="0"/>
    <n v="12.3"/>
    <s v="L"/>
    <m/>
    <s v="1209_1"/>
    <s v="Stebbins_Core"/>
    <x v="2"/>
    <s v="Acer"/>
    <s v="saccharum"/>
    <s v="Sapindaceae"/>
    <x v="3"/>
  </r>
  <r>
    <x v="4"/>
    <d v="2026-06-24T00:00:00"/>
    <x v="7"/>
    <n v="1210"/>
    <x v="0"/>
    <n v="5.8"/>
    <s v="L"/>
    <m/>
    <s v="1210_1"/>
    <s v="Stebbins_Core"/>
    <x v="2"/>
    <s v="Fagus"/>
    <s v="grandifolia"/>
    <s v="Fagaceae"/>
    <x v="5"/>
  </r>
  <r>
    <x v="4"/>
    <d v="2026-06-24T00:00:00"/>
    <x v="0"/>
    <n v="1211"/>
    <x v="0"/>
    <n v="14.5"/>
    <s v="L,M"/>
    <m/>
    <s v="1211_1"/>
    <s v="Stebbins_Core"/>
    <x v="2"/>
    <s v="Acer"/>
    <s v="saccharum"/>
    <s v="Sapindaceae"/>
    <x v="3"/>
  </r>
  <r>
    <x v="4"/>
    <d v="2026-06-24T00:00:00"/>
    <x v="0"/>
    <n v="1211"/>
    <x v="1"/>
    <n v="3.6"/>
    <s v="L,M"/>
    <m/>
    <m/>
    <m/>
    <x v="2"/>
    <s v="Acer"/>
    <s v="saccharum"/>
    <s v="Sapindaceae"/>
    <x v="2"/>
  </r>
  <r>
    <x v="4"/>
    <d v="2026-06-24T00:00:00"/>
    <x v="7"/>
    <n v="1212"/>
    <x v="0"/>
    <n v="8"/>
    <s v="L"/>
    <m/>
    <s v="1212_1"/>
    <s v="Stebbins_Core"/>
    <x v="2"/>
    <s v="Fagus"/>
    <s v="grandifolia"/>
    <s v="Fagaceae"/>
    <x v="5"/>
  </r>
  <r>
    <x v="4"/>
    <d v="2026-06-24T00:00:00"/>
    <x v="0"/>
    <n v="1213"/>
    <x v="0"/>
    <n v="11.8"/>
    <s v="L"/>
    <m/>
    <s v="1213_1"/>
    <s v="Stebbins_Core"/>
    <x v="2"/>
    <s v="Acer"/>
    <s v="saccharum"/>
    <s v="Sapindaceae"/>
    <x v="3"/>
  </r>
  <r>
    <x v="4"/>
    <d v="2026-06-24T00:00:00"/>
    <x v="0"/>
    <n v="1214"/>
    <x v="0"/>
    <n v="1.6"/>
    <s v="L,B"/>
    <m/>
    <s v="1214_1"/>
    <s v="Stebbins_Core"/>
    <x v="2"/>
    <s v="Acer"/>
    <s v="saccharum"/>
    <s v="Sapindaceae"/>
    <x v="2"/>
  </r>
  <r>
    <x v="4"/>
    <d v="2026-06-24T00:00:00"/>
    <x v="7"/>
    <n v="1215"/>
    <x v="0"/>
    <n v="4.5"/>
    <s v="L"/>
    <m/>
    <s v="1215_1"/>
    <s v="Stebbins_Core"/>
    <x v="2"/>
    <s v="Fagus"/>
    <s v="grandifolia"/>
    <s v="Fagaceae"/>
    <x v="2"/>
  </r>
  <r>
    <x v="4"/>
    <d v="2026-06-24T00:00:00"/>
    <x v="7"/>
    <n v="1216"/>
    <x v="0"/>
    <n v="4.2"/>
    <s v="L"/>
    <m/>
    <s v="1216_1"/>
    <s v="Stebbins_Core"/>
    <x v="2"/>
    <s v="Fagus"/>
    <s v="grandifolia"/>
    <s v="Fagaceae"/>
    <x v="2"/>
  </r>
  <r>
    <x v="4"/>
    <d v="2026-06-24T00:00:00"/>
    <x v="7"/>
    <n v="1217"/>
    <x v="0"/>
    <n v="7.5"/>
    <s v="L,M"/>
    <s v="stem alive, but crown looks just about dead"/>
    <s v="1217_1"/>
    <s v="Stebbins_Core"/>
    <x v="2"/>
    <s v="Fagus"/>
    <s v="grandifolia"/>
    <s v="Fagaceae"/>
    <x v="5"/>
  </r>
  <r>
    <x v="4"/>
    <d v="2026-06-24T00:00:00"/>
    <x v="7"/>
    <n v="1217"/>
    <x v="1"/>
    <n v="1.2"/>
    <s v="L,M"/>
    <s v="stem alive, but crown looks just about dead"/>
    <s v="1217_2"/>
    <s v="Stebbins_Core"/>
    <x v="2"/>
    <s v="Fagus"/>
    <s v="grandifolia"/>
    <s v="Fagaceae"/>
    <x v="2"/>
  </r>
  <r>
    <x v="4"/>
    <d v="2026-06-24T00:00:00"/>
    <x v="7"/>
    <n v="1218"/>
    <x v="0"/>
    <n v="86"/>
    <s v="M"/>
    <s v="many root sprouts"/>
    <s v="1218_1"/>
    <s v="Stebbins_Core"/>
    <x v="2"/>
    <s v="Fagus"/>
    <s v="grandifolia"/>
    <s v="Fagaceae"/>
    <x v="4"/>
  </r>
  <r>
    <x v="4"/>
    <d v="2026-06-24T00:00:00"/>
    <x v="7"/>
    <n v="1218"/>
    <x v="1"/>
    <n v="2.8"/>
    <s v="M,W"/>
    <m/>
    <s v="1218_2"/>
    <s v="Stebbins_Core"/>
    <x v="2"/>
    <s v="Fagus"/>
    <s v="grandifolia"/>
    <s v="Fagaceae"/>
    <x v="2"/>
  </r>
  <r>
    <x v="4"/>
    <d v="2026-06-24T00:00:00"/>
    <x v="7"/>
    <n v="1218"/>
    <x v="16"/>
    <n v="1.1000000000000001"/>
    <s v="M"/>
    <m/>
    <s v="1218_3.1"/>
    <s v="Stebbins_Core"/>
    <x v="2"/>
    <s v="Fagus"/>
    <s v="grandifolia"/>
    <s v="Fagaceae"/>
    <x v="2"/>
  </r>
  <r>
    <x v="4"/>
    <d v="2026-06-24T00:00:00"/>
    <x v="7"/>
    <n v="1218"/>
    <x v="17"/>
    <n v="1"/>
    <s v="M"/>
    <m/>
    <s v="1218_3.2"/>
    <s v="Stebbins_Core"/>
    <x v="2"/>
    <s v="Fagus"/>
    <s v="grandifolia"/>
    <s v="Fagaceae"/>
    <x v="2"/>
  </r>
  <r>
    <x v="4"/>
    <d v="2026-06-24T00:00:00"/>
    <x v="7"/>
    <n v="1218"/>
    <x v="3"/>
    <n v="2.5"/>
    <s v="M"/>
    <m/>
    <s v="1218_4"/>
    <s v="Stebbins_Core"/>
    <x v="2"/>
    <s v="Fagus"/>
    <s v="grandifolia"/>
    <s v="Fagaceae"/>
    <x v="2"/>
  </r>
  <r>
    <x v="4"/>
    <d v="2026-06-24T00:00:00"/>
    <x v="7"/>
    <n v="1218"/>
    <x v="19"/>
    <n v="5.2"/>
    <s v="M"/>
    <m/>
    <s v="1218_5.1"/>
    <s v="Stebbins_Core"/>
    <x v="2"/>
    <s v="Fagus"/>
    <s v="grandifolia"/>
    <s v="Fagaceae"/>
    <x v="5"/>
  </r>
  <r>
    <x v="4"/>
    <d v="2026-06-24T00:00:00"/>
    <x v="7"/>
    <n v="1218"/>
    <x v="20"/>
    <n v="1.3"/>
    <s v="M"/>
    <m/>
    <s v="1218_5.2"/>
    <s v="Stebbins_Core"/>
    <x v="2"/>
    <s v="Fagus"/>
    <s v="grandifolia"/>
    <s v="Fagaceae"/>
    <x v="2"/>
  </r>
  <r>
    <x v="4"/>
    <d v="2026-06-24T00:00:00"/>
    <x v="7"/>
    <n v="1218"/>
    <x v="5"/>
    <n v="5.2"/>
    <s v="M,B"/>
    <m/>
    <s v="1218_6"/>
    <s v="Stebbins_Core"/>
    <x v="2"/>
    <s v="Fagus"/>
    <s v="grandifolia"/>
    <s v="Fagaceae"/>
    <x v="5"/>
  </r>
  <r>
    <x v="4"/>
    <d v="2026-06-24T00:00:00"/>
    <x v="7"/>
    <n v="1218"/>
    <x v="6"/>
    <n v="1.3"/>
    <s v="M"/>
    <m/>
    <s v="1218_7"/>
    <s v="Stebbins_Core"/>
    <x v="2"/>
    <s v="Fagus"/>
    <s v="grandifolia"/>
    <s v="Fagaceae"/>
    <x v="2"/>
  </r>
  <r>
    <x v="4"/>
    <d v="2026-06-24T00:00:00"/>
    <x v="7"/>
    <n v="1218"/>
    <x v="7"/>
    <n v="1.8"/>
    <s v="M,W,B"/>
    <m/>
    <s v="1218_8"/>
    <s v="Stebbins_Core"/>
    <x v="2"/>
    <s v="Fagus"/>
    <s v="grandifolia"/>
    <s v="Fagaceae"/>
    <x v="2"/>
  </r>
  <r>
    <x v="4"/>
    <d v="2026-06-24T00:00:00"/>
    <x v="7"/>
    <n v="1218"/>
    <x v="8"/>
    <n v="1.8"/>
    <s v="M"/>
    <m/>
    <s v="1218_9"/>
    <s v="Stebbins_Core"/>
    <x v="2"/>
    <s v="Fagus"/>
    <s v="grandifolia"/>
    <s v="Fagaceae"/>
    <x v="2"/>
  </r>
  <r>
    <x v="4"/>
    <d v="2026-06-24T00:00:00"/>
    <x v="7"/>
    <n v="1218"/>
    <x v="21"/>
    <n v="1.2"/>
    <s v="M"/>
    <m/>
    <s v="1218_10.1"/>
    <s v="Stebbins_Core"/>
    <x v="2"/>
    <s v="Fagus"/>
    <s v="grandifolia"/>
    <s v="Fagaceae"/>
    <x v="2"/>
  </r>
  <r>
    <x v="4"/>
    <d v="2026-06-24T00:00:00"/>
    <x v="7"/>
    <n v="1218"/>
    <x v="22"/>
    <n v="1.1000000000000001"/>
    <s v="M"/>
    <m/>
    <s v="1218_10.2"/>
    <s v="Stebbins_Core"/>
    <x v="2"/>
    <s v="Fagus"/>
    <s v="grandifolia"/>
    <s v="Fagaceae"/>
    <x v="2"/>
  </r>
  <r>
    <x v="4"/>
    <d v="2026-06-24T00:00:00"/>
    <x v="0"/>
    <n v="1219"/>
    <x v="0"/>
    <n v="8.1"/>
    <s v="L"/>
    <m/>
    <s v="1219_1"/>
    <s v="Stebbins_Core"/>
    <x v="2"/>
    <s v="Acer"/>
    <s v="saccharum"/>
    <s v="Sapindaceae"/>
    <x v="5"/>
  </r>
  <r>
    <x v="4"/>
    <d v="2026-06-24T00:00:00"/>
    <x v="0"/>
    <n v="1220"/>
    <x v="0"/>
    <n v="15.1"/>
    <s v="L"/>
    <m/>
    <s v="1220_1"/>
    <s v="Stebbins_Core"/>
    <x v="2"/>
    <s v="Acer"/>
    <s v="saccharum"/>
    <s v="Sapindaceae"/>
    <x v="3"/>
  </r>
  <r>
    <x v="4"/>
    <d v="2026-06-24T00:00:00"/>
    <x v="7"/>
    <n v="1221"/>
    <x v="0"/>
    <n v="5.2"/>
    <s v="L"/>
    <m/>
    <s v="1221_1"/>
    <s v="Stebbins_Core"/>
    <x v="2"/>
    <s v="Fagus"/>
    <s v="grandifolia"/>
    <s v="Fagaceae"/>
    <x v="5"/>
  </r>
  <r>
    <x v="4"/>
    <d v="2026-06-24T00:00:00"/>
    <x v="7"/>
    <n v="1222"/>
    <x v="0"/>
    <n v="17.8"/>
    <s v="L"/>
    <m/>
    <s v="1222_1"/>
    <s v="Stebbins_Core"/>
    <x v="2"/>
    <s v="Fagus"/>
    <s v="grandifolia"/>
    <s v="Fagaceae"/>
    <x v="3"/>
  </r>
  <r>
    <x v="4"/>
    <d v="2026-06-24T00:00:00"/>
    <x v="7"/>
    <n v="1223"/>
    <x v="0"/>
    <n v="6.8"/>
    <s v="M"/>
    <m/>
    <s v="1223_1"/>
    <s v="Stebbins_Core"/>
    <x v="2"/>
    <s v="Fagus"/>
    <s v="grandifolia"/>
    <s v="Fagaceae"/>
    <x v="5"/>
  </r>
  <r>
    <x v="4"/>
    <d v="2026-06-24T00:00:00"/>
    <x v="7"/>
    <n v="1223"/>
    <x v="1"/>
    <n v="6.3"/>
    <s v="M"/>
    <m/>
    <s v="1223_2"/>
    <s v="Stebbins_Core"/>
    <x v="2"/>
    <s v="Fagus"/>
    <s v="grandifolia"/>
    <s v="Fagaceae"/>
    <x v="5"/>
  </r>
  <r>
    <x v="4"/>
    <d v="2026-06-24T00:00:00"/>
    <x v="7"/>
    <n v="1224"/>
    <x v="0"/>
    <n v="3.2"/>
    <s v="L"/>
    <m/>
    <s v="1224_1"/>
    <s v="Stebbins_Core"/>
    <x v="2"/>
    <s v="Fagus"/>
    <s v="grandifolia"/>
    <s v="Fagaceae"/>
    <x v="2"/>
  </r>
  <r>
    <x v="4"/>
    <d v="2026-06-24T00:00:00"/>
    <x v="7"/>
    <n v="1225"/>
    <x v="0"/>
    <n v="1.3"/>
    <s v="L"/>
    <m/>
    <s v="1225_1"/>
    <s v="Stebbins_Core"/>
    <x v="2"/>
    <s v="Fagus"/>
    <s v="grandifolia"/>
    <s v="Fagaceae"/>
    <x v="2"/>
  </r>
  <r>
    <x v="4"/>
    <d v="2026-06-24T00:00:00"/>
    <x v="7"/>
    <n v="1226"/>
    <x v="0"/>
    <n v="7.3"/>
    <s v="M"/>
    <m/>
    <s v="1226_1"/>
    <s v="Stebbins_Core"/>
    <x v="2"/>
    <s v="Fagus"/>
    <s v="grandifolia"/>
    <s v="Fagaceae"/>
    <x v="5"/>
  </r>
  <r>
    <x v="4"/>
    <d v="2026-06-24T00:00:00"/>
    <x v="7"/>
    <n v="1226"/>
    <x v="1"/>
    <n v="1.2"/>
    <s v="M"/>
    <m/>
    <s v="1226_2"/>
    <s v="Stebbins_Core"/>
    <x v="2"/>
    <s v="Fagus"/>
    <s v="grandifolia"/>
    <s v="Fagaceae"/>
    <x v="2"/>
  </r>
  <r>
    <x v="4"/>
    <d v="2026-06-24T00:00:00"/>
    <x v="7"/>
    <n v="1227"/>
    <x v="0"/>
    <n v="1.3"/>
    <s v="W"/>
    <s v="soft measure used"/>
    <s v="1227_1"/>
    <s v="Stebbins_Core"/>
    <x v="2"/>
    <s v="Fagus"/>
    <s v="grandifolia"/>
    <s v="Fagaceae"/>
    <x v="2"/>
  </r>
  <r>
    <x v="4"/>
    <d v="2026-06-24T00:00:00"/>
    <x v="7"/>
    <n v="1228"/>
    <x v="0"/>
    <n v="3.4"/>
    <s v="M"/>
    <m/>
    <s v="1228_1"/>
    <s v="Stebbins_Core"/>
    <x v="2"/>
    <s v="Fagus"/>
    <s v="grandifolia"/>
    <s v="Fagaceae"/>
    <x v="2"/>
  </r>
  <r>
    <x v="4"/>
    <d v="2026-06-24T00:00:00"/>
    <x v="7"/>
    <n v="1228"/>
    <x v="1"/>
    <n v="1"/>
    <s v="M,W"/>
    <s v="soft measure used"/>
    <s v="1228_2"/>
    <s v="Stebbins_Core"/>
    <x v="2"/>
    <s v="Fagus"/>
    <s v="grandifolia"/>
    <s v="Fagaceae"/>
    <x v="2"/>
  </r>
  <r>
    <x v="4"/>
    <d v="2026-06-24T00:00:00"/>
    <x v="7"/>
    <n v="1229"/>
    <x v="0"/>
    <n v="13.7"/>
    <s v="A"/>
    <s v="POM = 1.27m"/>
    <s v="1229_1"/>
    <s v="Stebbins_Core"/>
    <x v="2"/>
    <s v="Fagus"/>
    <s v="grandifolia"/>
    <s v="Fagaceae"/>
    <x v="3"/>
  </r>
  <r>
    <x v="4"/>
    <d v="2026-06-24T00:00:00"/>
    <x v="7"/>
    <n v="1230"/>
    <x v="0"/>
    <n v="12"/>
    <s v="M"/>
    <m/>
    <s v="1230_1"/>
    <s v="Stebbins_Core"/>
    <x v="2"/>
    <s v="Fagus"/>
    <s v="grandifolia"/>
    <s v="Fagaceae"/>
    <x v="3"/>
  </r>
  <r>
    <x v="4"/>
    <d v="2026-06-24T00:00:00"/>
    <x v="7"/>
    <n v="1230"/>
    <x v="1"/>
    <n v="2.4"/>
    <s v="M"/>
    <m/>
    <s v="1230_2"/>
    <s v="Stebbins_Core"/>
    <x v="2"/>
    <s v="Fagus"/>
    <s v="grandifolia"/>
    <s v="Fagaceae"/>
    <x v="2"/>
  </r>
  <r>
    <x v="4"/>
    <d v="2026-06-24T00:00:00"/>
    <x v="7"/>
    <n v="1231"/>
    <x v="0"/>
    <n v="5.4"/>
    <s v="L"/>
    <m/>
    <s v="1231_1"/>
    <s v="Stebbins_Core"/>
    <x v="2"/>
    <s v="Fagus"/>
    <s v="grandifolia"/>
    <s v="Fagaceae"/>
    <x v="5"/>
  </r>
  <r>
    <x v="4"/>
    <d v="2026-06-24T00:00:00"/>
    <x v="7"/>
    <n v="1232"/>
    <x v="0"/>
    <n v="4.3"/>
    <s v="L"/>
    <m/>
    <s v="1232_1"/>
    <s v="Stebbins_Core"/>
    <x v="2"/>
    <s v="Fagus"/>
    <s v="grandifolia"/>
    <s v="Fagaceae"/>
    <x v="2"/>
  </r>
  <r>
    <x v="4"/>
    <d v="2026-06-24T00:00:00"/>
    <x v="7"/>
    <n v="1233"/>
    <x v="0"/>
    <n v="2.8"/>
    <s v="L"/>
    <m/>
    <s v="1233_1"/>
    <s v="Stebbins_Core"/>
    <x v="2"/>
    <s v="Fagus"/>
    <s v="grandifolia"/>
    <s v="Fagaceae"/>
    <x v="2"/>
  </r>
  <r>
    <x v="4"/>
    <d v="2026-06-24T00:00:00"/>
    <x v="7"/>
    <n v="1234"/>
    <x v="0"/>
    <n v="9.4"/>
    <s v="M"/>
    <m/>
    <s v="1234_1"/>
    <s v="Stebbins_Core"/>
    <x v="2"/>
    <s v="Fagus"/>
    <s v="grandifolia"/>
    <s v="Fagaceae"/>
    <x v="5"/>
  </r>
  <r>
    <x v="4"/>
    <d v="2026-06-24T00:00:00"/>
    <x v="7"/>
    <n v="1234"/>
    <x v="1"/>
    <n v="1.1000000000000001"/>
    <s v="M"/>
    <m/>
    <s v="1234_2"/>
    <s v="Stebbins_Core"/>
    <x v="2"/>
    <s v="Fagus"/>
    <s v="grandifolia"/>
    <s v="Fagaceae"/>
    <x v="2"/>
  </r>
  <r>
    <x v="4"/>
    <d v="2026-06-24T00:00:00"/>
    <x v="7"/>
    <n v="1235"/>
    <x v="0"/>
    <n v="1.3"/>
    <s v="W"/>
    <s v="soft measure used"/>
    <s v="1235_1"/>
    <s v="Stebbins_Core"/>
    <x v="2"/>
    <s v="Fagus"/>
    <s v="grandifolia"/>
    <s v="Fagaceae"/>
    <x v="2"/>
  </r>
  <r>
    <x v="4"/>
    <d v="2026-06-24T00:00:00"/>
    <x v="7"/>
    <n v="1236"/>
    <x v="0"/>
    <n v="1.2"/>
    <s v="W"/>
    <s v="soft measure used"/>
    <s v="1236_1"/>
    <s v="Stebbins_Core"/>
    <x v="2"/>
    <s v="Fagus"/>
    <s v="grandifolia"/>
    <s v="Fagaceae"/>
    <x v="2"/>
  </r>
  <r>
    <x v="4"/>
    <d v="2026-06-24T00:00:00"/>
    <x v="0"/>
    <n v="1237"/>
    <x v="0"/>
    <n v="13"/>
    <s v="I,L"/>
    <m/>
    <s v="1237_1"/>
    <s v="Stebbins_Core"/>
    <x v="2"/>
    <s v="Acer"/>
    <s v="saccharum"/>
    <s v="Sapindaceae"/>
    <x v="3"/>
  </r>
  <r>
    <x v="4"/>
    <d v="2026-06-24T00:00:00"/>
    <x v="0"/>
    <n v="1238"/>
    <x v="0"/>
    <n v="3.1"/>
    <s v="I,L"/>
    <m/>
    <s v="1238_1"/>
    <s v="Stebbins_Core"/>
    <x v="2"/>
    <s v="Acer"/>
    <s v="saccharum"/>
    <s v="Sapindaceae"/>
    <x v="2"/>
  </r>
  <r>
    <x v="4"/>
    <d v="2026-06-24T00:00:00"/>
    <x v="0"/>
    <n v="1239"/>
    <x v="0"/>
    <n v="15.5"/>
    <s v="N/A"/>
    <m/>
    <s v="1239_1"/>
    <s v="Stebbins_Core"/>
    <x v="2"/>
    <s v="Acer"/>
    <s v="saccharum"/>
    <s v="Sapindaceae"/>
    <x v="3"/>
  </r>
  <r>
    <x v="4"/>
    <d v="2026-06-24T00:00:00"/>
    <x v="7"/>
    <n v="1270"/>
    <x v="0"/>
    <n v="6.3"/>
    <s v="L"/>
    <s v="in a  giant tree fall"/>
    <s v="1270_1"/>
    <s v="Stebbins_Core"/>
    <x v="2"/>
    <s v="Fagus"/>
    <s v="grandifolia"/>
    <s v="Fagaceae"/>
    <x v="5"/>
  </r>
  <r>
    <x v="4"/>
    <d v="2026-06-24T00:00:00"/>
    <x v="0"/>
    <n v="1271"/>
    <x v="0"/>
    <n v="22"/>
    <s v="B"/>
    <s v="bark torn off"/>
    <s v="1271_1"/>
    <s v="Stebbins_Core"/>
    <x v="2"/>
    <s v="Acer"/>
    <s v="saccharum"/>
    <s v="Sapindaceae"/>
    <x v="0"/>
  </r>
  <r>
    <x v="4"/>
    <d v="2026-06-24T00:00:00"/>
    <x v="0"/>
    <n v="1240"/>
    <x v="0"/>
    <n v="5.2"/>
    <s v="L"/>
    <m/>
    <s v="1240_1"/>
    <s v="Stebbins_Core"/>
    <x v="2"/>
    <s v="Acer"/>
    <s v="saccharum"/>
    <s v="Sapindaceae"/>
    <x v="5"/>
  </r>
  <r>
    <x v="4"/>
    <d v="2026-06-24T00:00:00"/>
    <x v="0"/>
    <n v="1241"/>
    <x v="0"/>
    <n v="4"/>
    <s v="N/A"/>
    <m/>
    <s v="1241_1"/>
    <s v="Stebbins_Core"/>
    <x v="2"/>
    <s v="Acer"/>
    <s v="saccharum"/>
    <s v="Sapindaceae"/>
    <x v="2"/>
  </r>
  <r>
    <x v="4"/>
    <d v="2026-06-24T00:00:00"/>
    <x v="7"/>
    <n v="1242"/>
    <x v="0"/>
    <n v="6.5"/>
    <s v="W"/>
    <m/>
    <s v="1242_1"/>
    <s v="Stebbins_Core"/>
    <x v="2"/>
    <s v="Fagus"/>
    <s v="grandifolia"/>
    <s v="Fagaceae"/>
    <x v="5"/>
  </r>
  <r>
    <x v="4"/>
    <d v="2026-06-24T00:00:00"/>
    <x v="7"/>
    <n v="1243"/>
    <x v="0"/>
    <n v="8.5"/>
    <s v="L"/>
    <m/>
    <s v="1243_1"/>
    <s v="Stebbins_Core"/>
    <x v="2"/>
    <s v="Fagus"/>
    <s v="grandifolia"/>
    <s v="Fagaceae"/>
    <x v="5"/>
  </r>
  <r>
    <x v="4"/>
    <d v="2026-06-24T00:00:00"/>
    <x v="0"/>
    <n v="1244"/>
    <x v="0"/>
    <n v="7.9"/>
    <s v="W"/>
    <m/>
    <s v="1244_1"/>
    <s v="Stebbins_Core"/>
    <x v="2"/>
    <s v="Acer"/>
    <s v="saccharum"/>
    <s v="Sapindaceae"/>
    <x v="5"/>
  </r>
  <r>
    <x v="4"/>
    <d v="2026-06-24T00:00:00"/>
    <x v="0"/>
    <n v="1245"/>
    <x v="0"/>
    <n v="34.299999999999997"/>
    <s v="I"/>
    <m/>
    <s v="1245_1"/>
    <s v="Stebbins_Core"/>
    <x v="2"/>
    <s v="Acer"/>
    <s v="saccharum"/>
    <s v="Sapindaceae"/>
    <x v="0"/>
  </r>
  <r>
    <x v="4"/>
    <d v="2026-06-24T00:00:00"/>
    <x v="0"/>
    <n v="1246"/>
    <x v="0"/>
    <n v="4.4000000000000004"/>
    <s v="N/A"/>
    <m/>
    <s v="1246_1"/>
    <s v="Stebbins_Core"/>
    <x v="2"/>
    <s v="Acer"/>
    <s v="saccharum"/>
    <s v="Sapindaceae"/>
    <x v="2"/>
  </r>
  <r>
    <x v="4"/>
    <d v="2026-06-24T00:00:00"/>
    <x v="0"/>
    <n v="1247"/>
    <x v="0"/>
    <n v="14.3"/>
    <s v="N/A"/>
    <m/>
    <s v="1247_1"/>
    <s v="Stebbins_Core"/>
    <x v="2"/>
    <s v="Acer"/>
    <s v="saccharum"/>
    <s v="Sapindaceae"/>
    <x v="3"/>
  </r>
  <r>
    <x v="4"/>
    <d v="2026-06-24T00:00:00"/>
    <x v="0"/>
    <n v="1248"/>
    <x v="0"/>
    <n v="23"/>
    <s v="L"/>
    <m/>
    <s v="1248_1"/>
    <s v="Stebbins_Core"/>
    <x v="2"/>
    <s v="Acer"/>
    <s v="saccharum"/>
    <s v="Sapindaceae"/>
    <x v="0"/>
  </r>
  <r>
    <x v="4"/>
    <d v="2026-06-24T00:00:00"/>
    <x v="7"/>
    <n v="1249"/>
    <x v="0"/>
    <n v="8.8000000000000007"/>
    <s v="L"/>
    <m/>
    <s v="1249_1"/>
    <s v="Stebbins_Core"/>
    <x v="2"/>
    <s v="Fagus"/>
    <s v="grandifolia"/>
    <s v="Fagaceae"/>
    <x v="5"/>
  </r>
  <r>
    <x v="4"/>
    <d v="2026-06-24T00:00:00"/>
    <x v="7"/>
    <n v="1250"/>
    <x v="0"/>
    <n v="9"/>
    <s v="L"/>
    <m/>
    <s v="1250_1"/>
    <s v="Stebbins_Core"/>
    <x v="2"/>
    <s v="Fagus"/>
    <s v="grandifolia"/>
    <s v="Fagaceae"/>
    <x v="5"/>
  </r>
  <r>
    <x v="4"/>
    <d v="2026-06-24T00:00:00"/>
    <x v="7"/>
    <n v="1251"/>
    <x v="0"/>
    <n v="5.8"/>
    <s v="L"/>
    <m/>
    <s v="1251_1"/>
    <s v="Stebbins_Core"/>
    <x v="2"/>
    <s v="Fagus"/>
    <s v="grandifolia"/>
    <s v="Fagaceae"/>
    <x v="5"/>
  </r>
  <r>
    <x v="4"/>
    <d v="2026-06-24T00:00:00"/>
    <x v="0"/>
    <n v="1252"/>
    <x v="0"/>
    <n v="11.3"/>
    <s v="N/A"/>
    <m/>
    <s v="1252_1"/>
    <s v="Stebbins_Core"/>
    <x v="2"/>
    <s v="Acer"/>
    <s v="saccharum"/>
    <s v="Sapindaceae"/>
    <x v="3"/>
  </r>
  <r>
    <x v="4"/>
    <d v="2026-06-24T00:00:00"/>
    <x v="0"/>
    <n v="1253"/>
    <x v="0"/>
    <n v="25.2"/>
    <s v="N/A"/>
    <m/>
    <s v="1253_1"/>
    <s v="Stebbins_Core"/>
    <x v="2"/>
    <s v="Acer"/>
    <s v="saccharum"/>
    <s v="Sapindaceae"/>
    <x v="0"/>
  </r>
  <r>
    <x v="4"/>
    <d v="2026-06-24T00:00:00"/>
    <x v="7"/>
    <n v="1254"/>
    <x v="0"/>
    <n v="5.6"/>
    <s v="L"/>
    <m/>
    <s v="1254_1"/>
    <s v="Stebbins_Core"/>
    <x v="2"/>
    <s v="Fagus"/>
    <s v="grandifolia"/>
    <s v="Fagaceae"/>
    <x v="5"/>
  </r>
  <r>
    <x v="4"/>
    <d v="2026-06-24T00:00:00"/>
    <x v="2"/>
    <n v="1255"/>
    <x v="0"/>
    <n v="51.3"/>
    <s v="B"/>
    <m/>
    <s v="1255_1"/>
    <s v="Stebbins_Core"/>
    <x v="2"/>
    <s v="Acer"/>
    <s v="rubrum"/>
    <s v="Sapindaceae"/>
    <x v="4"/>
  </r>
  <r>
    <x v="4"/>
    <d v="2026-06-24T00:00:00"/>
    <x v="0"/>
    <n v="1256"/>
    <x v="0"/>
    <n v="4.3"/>
    <s v="W"/>
    <s v="soft measure used"/>
    <s v="1256_1"/>
    <s v="Stebbins_Core"/>
    <x v="2"/>
    <s v="Acer"/>
    <s v="saccharum"/>
    <s v="Sapindaceae"/>
    <x v="2"/>
  </r>
  <r>
    <x v="4"/>
    <d v="2026-06-24T00:00:00"/>
    <x v="0"/>
    <n v="1257"/>
    <x v="0"/>
    <n v="37.799999999999997"/>
    <s v="N/A"/>
    <m/>
    <s v="1257_1"/>
    <s v="Stebbins_Core"/>
    <x v="2"/>
    <s v="Acer"/>
    <s v="saccharum"/>
    <s v="Sapindaceae"/>
    <x v="0"/>
  </r>
  <r>
    <x v="4"/>
    <d v="2026-06-24T00:00:00"/>
    <x v="0"/>
    <n v="1258"/>
    <x v="0"/>
    <n v="8.1999999999999993"/>
    <s v="N/A"/>
    <m/>
    <s v="1258_1"/>
    <s v="Stebbins_Core"/>
    <x v="2"/>
    <s v="Acer"/>
    <s v="saccharum"/>
    <s v="Sapindaceae"/>
    <x v="5"/>
  </r>
  <r>
    <x v="4"/>
    <d v="2026-06-25T00:00:00"/>
    <x v="0"/>
    <n v="1259"/>
    <x v="0"/>
    <n v="57.5"/>
    <s v="L"/>
    <m/>
    <s v="1259_1"/>
    <s v="Stebbins_Core"/>
    <x v="2"/>
    <s v="Acer"/>
    <s v="saccharum"/>
    <s v="Sapindaceae"/>
    <x v="4"/>
  </r>
  <r>
    <x v="4"/>
    <d v="2026-06-25T00:00:00"/>
    <x v="0"/>
    <n v="1260"/>
    <x v="0"/>
    <n v="5.2"/>
    <s v="W"/>
    <s v="soft measure used, origins under fallen log"/>
    <s v="1260_1"/>
    <s v="Stebbins_Core"/>
    <x v="2"/>
    <s v="Acer"/>
    <s v="saccharum"/>
    <s v="Sapindaceae"/>
    <x v="5"/>
  </r>
  <r>
    <x v="4"/>
    <d v="2026-06-25T00:00:00"/>
    <x v="0"/>
    <n v="1261"/>
    <x v="0"/>
    <n v="4.3"/>
    <s v="W"/>
    <s v="soft measure used"/>
    <s v="1261_1"/>
    <s v="Stebbins_Core"/>
    <x v="2"/>
    <s v="Acer"/>
    <s v="saccharum"/>
    <s v="Sapindaceae"/>
    <x v="2"/>
  </r>
  <r>
    <x v="4"/>
    <d v="2026-06-25T00:00:00"/>
    <x v="0"/>
    <n v="1262"/>
    <x v="0"/>
    <n v="9.6"/>
    <s v="A"/>
    <s v="POM at 1.28m "/>
    <s v="1262_1"/>
    <s v="Stebbins_Core"/>
    <x v="2"/>
    <s v="Acer"/>
    <s v="saccharum"/>
    <s v="Sapindaceae"/>
    <x v="5"/>
  </r>
  <r>
    <x v="4"/>
    <d v="2026-06-25T00:00:00"/>
    <x v="0"/>
    <n v="1263"/>
    <x v="0"/>
    <n v="6.8"/>
    <s v="L,A"/>
    <s v="second stem likely needs to be measured next time, POM at 1.25m "/>
    <s v="1263_1"/>
    <s v="Stebbins_Core"/>
    <x v="2"/>
    <s v="Acer"/>
    <s v="saccharum"/>
    <s v="Sapindaceae"/>
    <x v="5"/>
  </r>
  <r>
    <x v="4"/>
    <d v="2026-06-25T00:00:00"/>
    <x v="0"/>
    <n v="1264"/>
    <x v="0"/>
    <n v="6"/>
    <s v="L,A"/>
    <s v="POM at 1.28m "/>
    <s v="1264_1"/>
    <s v="Stebbins_Core"/>
    <x v="2"/>
    <s v="Acer"/>
    <s v="saccharum"/>
    <s v="Sapindaceae"/>
    <x v="5"/>
  </r>
  <r>
    <x v="4"/>
    <d v="2026-06-25T00:00:00"/>
    <x v="0"/>
    <n v="1265"/>
    <x v="0"/>
    <n v="11.1"/>
    <s v="L"/>
    <m/>
    <s v="1265_1"/>
    <s v="Stebbins_Core"/>
    <x v="2"/>
    <s v="Acer"/>
    <s v="saccharum"/>
    <s v="Sapindaceae"/>
    <x v="3"/>
  </r>
  <r>
    <x v="4"/>
    <d v="2026-06-25T00:00:00"/>
    <x v="0"/>
    <n v="1266"/>
    <x v="0"/>
    <n v="8.1"/>
    <s v="L"/>
    <m/>
    <s v="1266_1"/>
    <s v="Stebbins_Core"/>
    <x v="2"/>
    <s v="Acer"/>
    <s v="saccharum"/>
    <s v="Sapindaceae"/>
    <x v="5"/>
  </r>
  <r>
    <x v="4"/>
    <d v="2026-06-25T00:00:00"/>
    <x v="0"/>
    <n v="1267"/>
    <x v="0"/>
    <n v="5"/>
    <s v="B,L,I"/>
    <m/>
    <s v="1267_1"/>
    <s v="Stebbins_Core"/>
    <x v="2"/>
    <s v="Acer"/>
    <s v="saccharum"/>
    <s v="Sapindaceae"/>
    <x v="2"/>
  </r>
  <r>
    <x v="4"/>
    <d v="2026-06-25T00:00:00"/>
    <x v="0"/>
    <n v="1268"/>
    <x v="0"/>
    <n v="5.0999999999999996"/>
    <s v="L"/>
    <s v="curved but POM stick used"/>
    <s v="1268_1"/>
    <s v="Stebbins_Core"/>
    <x v="2"/>
    <s v="Acer"/>
    <s v="saccharum"/>
    <s v="Sapindaceae"/>
    <x v="5"/>
  </r>
  <r>
    <x v="4"/>
    <d v="2026-06-25T00:00:00"/>
    <x v="1"/>
    <n v="1269"/>
    <x v="0"/>
    <n v="6.9"/>
    <s v="L"/>
    <m/>
    <s v="1269_1"/>
    <s v="Stebbins_Core"/>
    <x v="2"/>
    <s v="Prunus"/>
    <s v="serotina"/>
    <s v="Rosaceae"/>
    <x v="5"/>
  </r>
  <r>
    <x v="4"/>
    <d v="2026-06-25T00:00:00"/>
    <x v="0"/>
    <n v="1272"/>
    <x v="0"/>
    <n v="11"/>
    <s v="N/A"/>
    <s v="slight curve"/>
    <s v="1272_1"/>
    <s v="Stebbins_Core"/>
    <x v="2"/>
    <s v="Acer"/>
    <s v="saccharum"/>
    <s v="Sapindaceae"/>
    <x v="3"/>
  </r>
  <r>
    <x v="4"/>
    <d v="2026-06-25T00:00:00"/>
    <x v="0"/>
    <n v="1273"/>
    <x v="0"/>
    <n v="3.1"/>
    <s v="L,A"/>
    <s v="POM at 1.23m"/>
    <s v="1273_1"/>
    <s v="Stebbins_Core"/>
    <x v="2"/>
    <s v="Acer"/>
    <s v="saccharum"/>
    <s v="Sapindaceae"/>
    <x v="2"/>
  </r>
  <r>
    <x v="4"/>
    <d v="2026-06-25T00:00:00"/>
    <x v="0"/>
    <n v="1274"/>
    <x v="0"/>
    <n v="12.5"/>
    <s v="N/A"/>
    <m/>
    <s v="1274_1"/>
    <s v="Stebbins_Core"/>
    <x v="2"/>
    <s v="Acer"/>
    <s v="saccharum"/>
    <s v="Sapindaceae"/>
    <x v="3"/>
  </r>
  <r>
    <x v="4"/>
    <d v="2026-06-25T00:00:00"/>
    <x v="0"/>
    <n v="1275"/>
    <x v="0"/>
    <n v="42.1"/>
    <s v="L"/>
    <m/>
    <s v="1275_1"/>
    <s v="Stebbins_Core"/>
    <x v="2"/>
    <s v="Acer"/>
    <s v="saccharum"/>
    <s v="Sapindaceae"/>
    <x v="1"/>
  </r>
  <r>
    <x v="4"/>
    <d v="2026-06-25T00:00:00"/>
    <x v="0"/>
    <n v="1276"/>
    <x v="0"/>
    <n v="9.1"/>
    <s v="L"/>
    <m/>
    <s v="1276_1"/>
    <s v="Stebbins_Core"/>
    <x v="2"/>
    <s v="Acer"/>
    <s v="saccharum"/>
    <s v="Sapindaceae"/>
    <x v="5"/>
  </r>
  <r>
    <x v="4"/>
    <d v="2026-06-25T00:00:00"/>
    <x v="0"/>
    <n v="1277"/>
    <x v="0"/>
    <n v="14.9"/>
    <s v="A"/>
    <s v="POM at 1.28m "/>
    <s v="1277_1"/>
    <s v="Stebbins_Core"/>
    <x v="2"/>
    <s v="Acer"/>
    <s v="saccharum"/>
    <s v="Sapindaceae"/>
    <x v="3"/>
  </r>
  <r>
    <x v="4"/>
    <d v="2026-06-25T00:00:00"/>
    <x v="0"/>
    <n v="1278"/>
    <x v="0"/>
    <n v="2.2000000000000002"/>
    <s v="L"/>
    <m/>
    <s v="1278_1"/>
    <s v="Stebbins_Core"/>
    <x v="2"/>
    <s v="Acer"/>
    <s v="saccharum"/>
    <s v="Sapindaceae"/>
    <x v="2"/>
  </r>
  <r>
    <x v="4"/>
    <d v="2026-06-25T00:00:00"/>
    <x v="0"/>
    <n v="1279"/>
    <x v="0"/>
    <n v="4.0999999999999996"/>
    <s v="L,A"/>
    <s v="POM at 1.28m "/>
    <s v="1279_1"/>
    <s v="Stebbins_Core"/>
    <x v="2"/>
    <s v="Acer"/>
    <s v="saccharum"/>
    <s v="Sapindaceae"/>
    <x v="2"/>
  </r>
  <r>
    <x v="4"/>
    <d v="2026-06-25T00:00:00"/>
    <x v="0"/>
    <n v="1280"/>
    <x v="0"/>
    <n v="3.6"/>
    <s v="L"/>
    <m/>
    <s v="1280_1"/>
    <s v="Stebbins_Core"/>
    <x v="2"/>
    <s v="Acer"/>
    <s v="saccharum"/>
    <s v="Sapindaceae"/>
    <x v="2"/>
  </r>
  <r>
    <x v="4"/>
    <d v="2026-06-25T00:00:00"/>
    <x v="0"/>
    <n v="1281"/>
    <x v="0"/>
    <n v="13.6"/>
    <s v="B"/>
    <m/>
    <s v="1281_1"/>
    <s v="Stebbins_Core"/>
    <x v="2"/>
    <s v="Acer"/>
    <s v="saccharum"/>
    <s v="Sapindaceae"/>
    <x v="3"/>
  </r>
  <r>
    <x v="4"/>
    <d v="2026-06-25T00:00:00"/>
    <x v="0"/>
    <n v="1282"/>
    <x v="0"/>
    <n v="3.3"/>
    <s v="L"/>
    <m/>
    <s v="1282_1"/>
    <s v="Stebbins_Core"/>
    <x v="2"/>
    <s v="Acer"/>
    <s v="saccharum"/>
    <s v="Sapindaceae"/>
    <x v="2"/>
  </r>
  <r>
    <x v="4"/>
    <d v="2026-06-25T00:00:00"/>
    <x v="7"/>
    <n v="1283"/>
    <x v="0"/>
    <n v="5.4"/>
    <s v="N/A"/>
    <m/>
    <s v="1283_1"/>
    <s v="Stebbins_Core"/>
    <x v="2"/>
    <s v="Fagus"/>
    <s v="grandifolia"/>
    <s v="Fagaceae"/>
    <x v="5"/>
  </r>
  <r>
    <x v="4"/>
    <d v="2026-06-25T00:00:00"/>
    <x v="0"/>
    <n v="1284"/>
    <x v="0"/>
    <n v="49.4"/>
    <s v="N/A"/>
    <m/>
    <s v="1284_1"/>
    <s v="Stebbins_Core"/>
    <x v="2"/>
    <s v="Acer"/>
    <s v="saccharum"/>
    <s v="Sapindaceae"/>
    <x v="1"/>
  </r>
  <r>
    <x v="4"/>
    <d v="2026-06-25T00:00:00"/>
    <x v="0"/>
    <n v="1285"/>
    <x v="0"/>
    <n v="6.7"/>
    <s v="L"/>
    <s v="curved slightly, POM stick used"/>
    <s v="1285_1"/>
    <s v="Stebbins_Core"/>
    <x v="2"/>
    <s v="Acer"/>
    <s v="saccharum"/>
    <s v="Sapindaceae"/>
    <x v="5"/>
  </r>
  <r>
    <x v="5"/>
    <d v="2026-06-25T00:00:00"/>
    <x v="0"/>
    <n v="1286"/>
    <x v="0"/>
    <n v="1.9"/>
    <s v="M"/>
    <m/>
    <s v="1286_1"/>
    <s v="Little_Mountain"/>
    <x v="0"/>
    <s v="Acer"/>
    <s v="saccharum"/>
    <s v="Sapindaceae"/>
    <x v="2"/>
  </r>
  <r>
    <x v="5"/>
    <d v="2026-06-25T00:00:00"/>
    <x v="0"/>
    <n v="1286"/>
    <x v="1"/>
    <n v="1.1000000000000001"/>
    <s v="M"/>
    <m/>
    <s v="1286_2"/>
    <s v="Little_Mountain"/>
    <x v="0"/>
    <s v="Acer"/>
    <s v="saccharum"/>
    <s v="Sapindaceae"/>
    <x v="2"/>
  </r>
  <r>
    <x v="5"/>
    <d v="2026-06-25T00:00:00"/>
    <x v="7"/>
    <n v="1287"/>
    <x v="0"/>
    <n v="18.899999999999999"/>
    <s v="L"/>
    <s v="slight lean"/>
    <s v="1287_1"/>
    <s v="Little_Mountain"/>
    <x v="0"/>
    <s v="Fagus"/>
    <s v="grandifolia"/>
    <s v="Fagaceae"/>
    <x v="3"/>
  </r>
  <r>
    <x v="5"/>
    <d v="2026-06-25T00:00:00"/>
    <x v="0"/>
    <n v="1288"/>
    <x v="0"/>
    <n v="2.2000000000000002"/>
    <s v="A,L"/>
    <s v="slight lean, branches below POM &lt;1cm, POM at 1.25m, knots/swelling"/>
    <s v="1288_1"/>
    <s v="Little_Mountain"/>
    <x v="0"/>
    <s v="Acer"/>
    <s v="saccharum"/>
    <s v="Sapindaceae"/>
    <x v="2"/>
  </r>
  <r>
    <x v="5"/>
    <d v="2026-06-25T00:00:00"/>
    <x v="0"/>
    <n v="1289"/>
    <x v="0"/>
    <n v="2.4"/>
    <s v="N/A"/>
    <m/>
    <s v="1289_1"/>
    <s v="Little_Mountain"/>
    <x v="0"/>
    <s v="Acer"/>
    <s v="saccharum"/>
    <s v="Sapindaceae"/>
    <x v="2"/>
  </r>
  <r>
    <x v="5"/>
    <d v="2026-06-25T00:00:00"/>
    <x v="0"/>
    <n v="1290"/>
    <x v="0"/>
    <n v="2.2000000000000002"/>
    <s v="M,L"/>
    <m/>
    <s v="1290_1"/>
    <s v="Little_Mountain"/>
    <x v="0"/>
    <s v="Acer"/>
    <s v="saccharum"/>
    <s v="Sapindaceae"/>
    <x v="2"/>
  </r>
  <r>
    <x v="5"/>
    <d v="2026-06-25T00:00:00"/>
    <x v="0"/>
    <n v="1290"/>
    <x v="1"/>
    <n v="1.2"/>
    <s v="M,L"/>
    <m/>
    <s v="1290_2"/>
    <s v="Little_Mountain"/>
    <x v="0"/>
    <s v="Acer"/>
    <s v="saccharum"/>
    <s v="Sapindaceae"/>
    <x v="2"/>
  </r>
  <r>
    <x v="5"/>
    <d v="2026-06-25T00:00:00"/>
    <x v="7"/>
    <n v="1291"/>
    <x v="0"/>
    <n v="48.2"/>
    <s v="M"/>
    <m/>
    <s v="1291_1"/>
    <s v="Little_Mountain"/>
    <x v="0"/>
    <s v="Fagus"/>
    <s v="grandifolia"/>
    <s v="Fagaceae"/>
    <x v="1"/>
  </r>
  <r>
    <x v="5"/>
    <d v="2026-06-25T00:00:00"/>
    <x v="7"/>
    <n v="1291"/>
    <x v="1"/>
    <n v="6.4"/>
    <s v="M,A"/>
    <m/>
    <s v="1291_2"/>
    <s v="Little_Mountain"/>
    <x v="0"/>
    <s v="Fagus"/>
    <s v="grandifolia"/>
    <s v="Fagaceae"/>
    <x v="5"/>
  </r>
  <r>
    <x v="5"/>
    <d v="2026-06-25T00:00:00"/>
    <x v="7"/>
    <n v="1292"/>
    <x v="0"/>
    <n v="18"/>
    <s v="N/A"/>
    <m/>
    <s v="1292_1"/>
    <s v="Little_Mountain"/>
    <x v="0"/>
    <s v="Fagus"/>
    <s v="grandifolia"/>
    <s v="Fagaceae"/>
    <x v="3"/>
  </r>
  <r>
    <x v="5"/>
    <d v="2026-06-25T00:00:00"/>
    <x v="0"/>
    <n v="1293"/>
    <x v="0"/>
    <n v="6.9"/>
    <s v="N/A"/>
    <m/>
    <s v="1293_1"/>
    <s v="Little_Mountain"/>
    <x v="0"/>
    <s v="Acer"/>
    <s v="saccharum"/>
    <s v="Sapindaceae"/>
    <x v="5"/>
  </r>
  <r>
    <x v="5"/>
    <d v="2026-06-25T00:00:00"/>
    <x v="0"/>
    <n v="1294"/>
    <x v="0"/>
    <n v="2.6"/>
    <s v="L"/>
    <m/>
    <s v="1294_1"/>
    <s v="Little_Mountain"/>
    <x v="0"/>
    <s v="Acer"/>
    <s v="saccharum"/>
    <s v="Sapindaceae"/>
    <x v="2"/>
  </r>
  <r>
    <x v="5"/>
    <d v="2026-06-25T00:00:00"/>
    <x v="0"/>
    <n v="1295"/>
    <x v="0"/>
    <n v="4.9000000000000004"/>
    <s v="N/A"/>
    <m/>
    <s v="1295_1"/>
    <s v="Little_Mountain"/>
    <x v="0"/>
    <s v="Acer"/>
    <s v="saccharum"/>
    <s v="Sapindaceae"/>
    <x v="2"/>
  </r>
  <r>
    <x v="5"/>
    <d v="2026-06-25T00:00:00"/>
    <x v="0"/>
    <n v="1296"/>
    <x v="0"/>
    <n v="3.1"/>
    <s v="L"/>
    <s v="slight lean"/>
    <s v="1296_1"/>
    <s v="Little_Mountain"/>
    <x v="0"/>
    <s v="Acer"/>
    <s v="saccharum"/>
    <s v="Sapindaceae"/>
    <x v="2"/>
  </r>
  <r>
    <x v="5"/>
    <d v="2026-06-25T00:00:00"/>
    <x v="7"/>
    <n v="1297"/>
    <x v="0"/>
    <n v="1.7"/>
    <s v="W"/>
    <s v="soft tape"/>
    <s v="1297_1"/>
    <s v="Little_Mountain"/>
    <x v="0"/>
    <s v="Fagus"/>
    <s v="grandifolia"/>
    <s v="Fagaceae"/>
    <x v="2"/>
  </r>
  <r>
    <x v="5"/>
    <d v="2026-06-25T00:00:00"/>
    <x v="0"/>
    <n v="1298"/>
    <x v="0"/>
    <n v="3.2"/>
    <s v="L,A"/>
    <s v="POM at 1.28m, knot"/>
    <s v="1298_1"/>
    <s v="Little_Mountain"/>
    <x v="0"/>
    <s v="Acer"/>
    <s v="saccharum"/>
    <s v="Sapindaceae"/>
    <x v="2"/>
  </r>
  <r>
    <x v="5"/>
    <d v="2026-06-25T00:00:00"/>
    <x v="0"/>
    <n v="1299"/>
    <x v="0"/>
    <n v="20.100000000000001"/>
    <s v="N/A"/>
    <m/>
    <s v="1299_1"/>
    <s v="Little_Mountain"/>
    <x v="0"/>
    <s v="Acer"/>
    <s v="saccharum"/>
    <s v="Sapindaceae"/>
    <x v="0"/>
  </r>
  <r>
    <x v="5"/>
    <d v="2026-06-25T00:00:00"/>
    <x v="0"/>
    <n v="1300"/>
    <x v="0"/>
    <n v="1.8"/>
    <s v="B,L"/>
    <s v="poor health"/>
    <s v="1300_1"/>
    <s v="Little_Mountain"/>
    <x v="0"/>
    <s v="Acer"/>
    <s v="saccharum"/>
    <s v="Sapindaceae"/>
    <x v="2"/>
  </r>
  <r>
    <x v="5"/>
    <d v="2026-06-25T00:00:00"/>
    <x v="2"/>
    <n v="1301"/>
    <x v="0"/>
    <n v="3.2"/>
    <s v="W"/>
    <m/>
    <s v="1301_1"/>
    <s v="Little_Mountain"/>
    <x v="0"/>
    <s v="Acer"/>
    <s v="rubrum"/>
    <s v="Sapindaceae"/>
    <x v="2"/>
  </r>
  <r>
    <x v="5"/>
    <d v="2026-06-25T00:00:00"/>
    <x v="2"/>
    <n v="1302"/>
    <x v="0"/>
    <n v="23.7"/>
    <s v="L,A"/>
    <s v="slight lean"/>
    <s v="1302_1"/>
    <s v="Little_Mountain"/>
    <x v="0"/>
    <s v="Acer"/>
    <s v="rubrum"/>
    <s v="Sapindaceae"/>
    <x v="0"/>
  </r>
  <r>
    <x v="5"/>
    <d v="2026-06-25T00:00:00"/>
    <x v="5"/>
    <n v="1303"/>
    <x v="0"/>
    <n v="86.9"/>
    <s v="N/A"/>
    <m/>
    <s v="1303_1"/>
    <s v="Little_Mountain"/>
    <x v="0"/>
    <s v="Magnolia"/>
    <s v="acuminata"/>
    <s v="Magnoliaceae"/>
    <x v="4"/>
  </r>
  <r>
    <x v="5"/>
    <d v="2026-06-25T00:00:00"/>
    <x v="0"/>
    <n v="1304"/>
    <x v="0"/>
    <n v="7.2"/>
    <s v="L"/>
    <m/>
    <s v="1304_1"/>
    <s v="Little_Mountain"/>
    <x v="0"/>
    <s v="Acer"/>
    <s v="saccharum"/>
    <s v="Sapindaceae"/>
    <x v="5"/>
  </r>
  <r>
    <x v="5"/>
    <d v="2026-06-25T00:00:00"/>
    <x v="5"/>
    <n v="1305"/>
    <x v="0"/>
    <n v="3.2"/>
    <s v="W"/>
    <s v="soft tape"/>
    <s v="1305_1"/>
    <s v="Little_Mountain"/>
    <x v="0"/>
    <s v="Magnolia"/>
    <s v="acuminata"/>
    <s v="Magnoliaceae"/>
    <x v="2"/>
  </r>
  <r>
    <x v="5"/>
    <d v="2026-06-25T00:00:00"/>
    <x v="0"/>
    <n v="1306"/>
    <x v="0"/>
    <n v="3.5"/>
    <s v="W"/>
    <s v="long stem / branch below POM, branch &lt;1cm "/>
    <s v="1306_1"/>
    <s v="Little_Mountain"/>
    <x v="0"/>
    <s v="Acer"/>
    <s v="saccharum"/>
    <s v="Sapindaceae"/>
    <x v="2"/>
  </r>
  <r>
    <x v="5"/>
    <d v="2026-06-25T00:00:00"/>
    <x v="0"/>
    <n v="1307"/>
    <x v="0"/>
    <n v="10.1"/>
    <s v="W,I"/>
    <s v="soft tape, large split at POM, knots on whole trunk"/>
    <s v="1307_1"/>
    <s v="Little_Mountain"/>
    <x v="0"/>
    <s v="Acer"/>
    <s v="saccharum"/>
    <s v="Sapindaceae"/>
    <x v="3"/>
  </r>
  <r>
    <x v="5"/>
    <d v="2026-06-25T00:00:00"/>
    <x v="0"/>
    <n v="1308"/>
    <x v="0"/>
    <n v="2.9"/>
    <s v="L,A"/>
    <s v="curved, POM at 1.28m, knots"/>
    <s v="1308_1"/>
    <s v="Little_Mountain"/>
    <x v="0"/>
    <s v="Acer"/>
    <s v="saccharum"/>
    <s v="Sapindaceae"/>
    <x v="2"/>
  </r>
  <r>
    <x v="5"/>
    <d v="2026-06-25T00:00:00"/>
    <x v="0"/>
    <n v="1309"/>
    <x v="0"/>
    <n v="2.6"/>
    <s v="W,A"/>
    <s v="POM at 1.21m, knots, seedling, soft tape"/>
    <s v="1309_1"/>
    <s v="Little_Mountain"/>
    <x v="0"/>
    <s v="Acer"/>
    <s v="saccharum"/>
    <s v="Sapindaceae"/>
    <x v="2"/>
  </r>
  <r>
    <x v="5"/>
    <d v="2026-06-25T00:00:00"/>
    <x v="0"/>
    <n v="1310"/>
    <x v="0"/>
    <n v="4.3"/>
    <s v="W,A"/>
    <s v="POM at 1.28m, knot"/>
    <s v="1310_1"/>
    <s v="Little_Mountain"/>
    <x v="0"/>
    <s v="Acer"/>
    <s v="saccharum"/>
    <s v="Sapindaceae"/>
    <x v="2"/>
  </r>
  <r>
    <x v="5"/>
    <d v="2026-06-25T00:00:00"/>
    <x v="7"/>
    <n v="1311"/>
    <x v="0"/>
    <n v="32.6"/>
    <s v="N/A"/>
    <m/>
    <s v="1311_1"/>
    <s v="Little_Mountain"/>
    <x v="0"/>
    <s v="Fagus"/>
    <s v="grandifolia"/>
    <s v="Fagaceae"/>
    <x v="0"/>
  </r>
  <r>
    <x v="5"/>
    <d v="2026-06-25T00:00:00"/>
    <x v="0"/>
    <n v="1312"/>
    <x v="0"/>
    <n v="5.6"/>
    <s v="L"/>
    <m/>
    <s v="1312_1"/>
    <s v="Little_Mountain"/>
    <x v="0"/>
    <s v="Acer"/>
    <s v="saccharum"/>
    <s v="Sapindaceae"/>
    <x v="5"/>
  </r>
  <r>
    <x v="5"/>
    <d v="2026-06-25T00:00:00"/>
    <x v="0"/>
    <n v="1313"/>
    <x v="0"/>
    <n v="1.9"/>
    <s v="W"/>
    <s v="soft tape"/>
    <s v="1313_1"/>
    <s v="Little_Mountain"/>
    <x v="0"/>
    <s v="Acer"/>
    <s v="saccharum"/>
    <s v="Sapindaceae"/>
    <x v="2"/>
  </r>
  <r>
    <x v="5"/>
    <d v="2026-06-25T00:00:00"/>
    <x v="15"/>
    <n v="1314"/>
    <x v="0"/>
    <n v="20"/>
    <s v="W,A"/>
    <s v="soft tape, POM at 1.28, hole, ash, death in canopy"/>
    <s v="1314_1"/>
    <s v="Little_Mountain"/>
    <x v="0"/>
    <s v="Fraxinus"/>
    <s v="americana"/>
    <s v="Oleaceae"/>
    <x v="3"/>
  </r>
  <r>
    <x v="5"/>
    <d v="2026-06-25T00:00:00"/>
    <x v="0"/>
    <n v="1315"/>
    <x v="0"/>
    <n v="4.4000000000000004"/>
    <s v="W"/>
    <s v="soft tape"/>
    <s v="1315_1"/>
    <s v="Little_Mountain"/>
    <x v="0"/>
    <s v="Acer"/>
    <s v="saccharum"/>
    <s v="Sapindaceae"/>
    <x v="2"/>
  </r>
  <r>
    <x v="5"/>
    <d v="2026-06-25T00:00:00"/>
    <x v="0"/>
    <n v="1316"/>
    <x v="0"/>
    <n v="8.5"/>
    <s v="L"/>
    <m/>
    <s v="1316_1"/>
    <s v="Little_Mountain"/>
    <x v="0"/>
    <s v="Acer"/>
    <s v="saccharum"/>
    <s v="Sapindaceae"/>
    <x v="5"/>
  </r>
  <r>
    <x v="5"/>
    <d v="2026-06-25T00:00:00"/>
    <x v="0"/>
    <n v="1317"/>
    <x v="0"/>
    <n v="7.1"/>
    <s v="N/A"/>
    <m/>
    <s v="1317_1"/>
    <s v="Little_Mountain"/>
    <x v="0"/>
    <s v="Acer"/>
    <s v="saccharum"/>
    <s v="Sapindaceae"/>
    <x v="5"/>
  </r>
  <r>
    <x v="5"/>
    <d v="2026-06-25T00:00:00"/>
    <x v="0"/>
    <n v="1318"/>
    <x v="0"/>
    <n v="15.4"/>
    <s v="N/A"/>
    <m/>
    <s v="1318_1"/>
    <s v="Little_Mountain"/>
    <x v="0"/>
    <s v="Acer"/>
    <s v="saccharum"/>
    <s v="Sapindaceae"/>
    <x v="3"/>
  </r>
  <r>
    <x v="5"/>
    <d v="2026-06-25T00:00:00"/>
    <x v="0"/>
    <n v="1319"/>
    <x v="0"/>
    <n v="7.1"/>
    <s v="L"/>
    <s v="heavily lean"/>
    <s v="1319_1"/>
    <s v="Little_Mountain"/>
    <x v="0"/>
    <s v="Acer"/>
    <s v="saccharum"/>
    <s v="Sapindaceae"/>
    <x v="5"/>
  </r>
  <r>
    <x v="5"/>
    <d v="2026-06-25T00:00:00"/>
    <x v="0"/>
    <n v="1320"/>
    <x v="0"/>
    <n v="2.5"/>
    <s v="W"/>
    <s v="soft tape"/>
    <s v="1320_1"/>
    <s v="Little_Mountain"/>
    <x v="0"/>
    <s v="Acer"/>
    <s v="saccharum"/>
    <s v="Sapindaceae"/>
    <x v="2"/>
  </r>
  <r>
    <x v="5"/>
    <d v="2026-06-25T00:00:00"/>
    <x v="2"/>
    <n v="1321"/>
    <x v="0"/>
    <n v="6.8"/>
    <s v="L"/>
    <s v="slight lean"/>
    <s v="1321_1"/>
    <s v="Little_Mountain"/>
    <x v="0"/>
    <s v="Acer"/>
    <s v="rubrum"/>
    <s v="Sapindaceae"/>
    <x v="5"/>
  </r>
  <r>
    <x v="5"/>
    <d v="2026-06-25T00:00:00"/>
    <x v="0"/>
    <n v="1322"/>
    <x v="0"/>
    <n v="5.6"/>
    <s v="A,L"/>
    <s v="POM at 1.28m, knot"/>
    <s v="1322_1"/>
    <s v="Little_Mountain"/>
    <x v="0"/>
    <s v="Acer"/>
    <s v="saccharum"/>
    <s v="Sapindaceae"/>
    <x v="5"/>
  </r>
  <r>
    <x v="5"/>
    <d v="2026-06-25T00:00:00"/>
    <x v="0"/>
    <n v="1323"/>
    <x v="0"/>
    <n v="7.4"/>
    <s v="L"/>
    <m/>
    <s v="1323_1"/>
    <s v="Little_Mountain"/>
    <x v="0"/>
    <s v="Acer"/>
    <s v="saccharum"/>
    <s v="Sapindaceae"/>
    <x v="5"/>
  </r>
  <r>
    <x v="5"/>
    <d v="2026-06-25T00:00:00"/>
    <x v="0"/>
    <n v="1324"/>
    <x v="0"/>
    <n v="3.4"/>
    <s v="B,W"/>
    <m/>
    <s v="1324_1"/>
    <s v="Little_Mountain"/>
    <x v="0"/>
    <s v="Acer"/>
    <s v="saccharum"/>
    <s v="Sapindaceae"/>
    <x v="2"/>
  </r>
  <r>
    <x v="5"/>
    <d v="2026-06-25T00:00:00"/>
    <x v="2"/>
    <n v="1325"/>
    <x v="0"/>
    <n v="34.9"/>
    <s v="N/A"/>
    <m/>
    <s v="1325_1"/>
    <s v="Little_Mountain"/>
    <x v="0"/>
    <s v="Acer"/>
    <s v="rubrum"/>
    <s v="Sapindaceae"/>
    <x v="0"/>
  </r>
  <r>
    <x v="5"/>
    <d v="2026-06-25T00:00:00"/>
    <x v="0"/>
    <n v="1326"/>
    <x v="0"/>
    <n v="26.5"/>
    <s v="N/A"/>
    <m/>
    <s v="1326_1"/>
    <s v="Little_Mountain"/>
    <x v="0"/>
    <s v="Acer"/>
    <s v="saccharum"/>
    <s v="Sapindaceae"/>
    <x v="0"/>
  </r>
  <r>
    <x v="5"/>
    <d v="2026-06-25T00:00:00"/>
    <x v="2"/>
    <n v="1327"/>
    <x v="0"/>
    <n v="6.6"/>
    <s v="M,L"/>
    <s v="slight lean"/>
    <s v="1327_1"/>
    <s v="Little_Mountain"/>
    <x v="0"/>
    <s v="Acer"/>
    <s v="rubrum"/>
    <s v="Sapindaceae"/>
    <x v="5"/>
  </r>
  <r>
    <x v="5"/>
    <d v="2026-06-25T00:00:00"/>
    <x v="2"/>
    <n v="1327"/>
    <x v="1"/>
    <n v="1.9"/>
    <s v="M"/>
    <s v="soft tape"/>
    <s v="1327_2"/>
    <s v="Little_Mountain"/>
    <x v="0"/>
    <s v="Acer"/>
    <s v="rubrum"/>
    <s v="Sapindaceae"/>
    <x v="2"/>
  </r>
  <r>
    <x v="5"/>
    <d v="2026-06-25T00:00:00"/>
    <x v="0"/>
    <n v="1328"/>
    <x v="0"/>
    <n v="5.3"/>
    <s v="N/A"/>
    <m/>
    <s v="1328_1"/>
    <s v="Little_Mountain"/>
    <x v="0"/>
    <s v="Acer"/>
    <s v="saccharum"/>
    <s v="Sapindaceae"/>
    <x v="5"/>
  </r>
  <r>
    <x v="5"/>
    <d v="2026-06-25T00:00:00"/>
    <x v="0"/>
    <n v="1329"/>
    <x v="0"/>
    <n v="5.7"/>
    <s v="A"/>
    <s v="POM at 1.28m, knot"/>
    <s v="1329_1"/>
    <s v="Little_Mountain"/>
    <x v="0"/>
    <s v="Acer"/>
    <s v="saccharum"/>
    <s v="Sapindaceae"/>
    <x v="5"/>
  </r>
  <r>
    <x v="5"/>
    <d v="2026-06-25T00:00:00"/>
    <x v="0"/>
    <n v="1330"/>
    <x v="0"/>
    <n v="2.2999999999999998"/>
    <s v="W,A"/>
    <s v="POM at 1.26m, knots"/>
    <s v="1330_1"/>
    <s v="Little_Mountain"/>
    <x v="0"/>
    <s v="Acer"/>
    <s v="saccharum"/>
    <s v="Sapindaceae"/>
    <x v="2"/>
  </r>
  <r>
    <x v="5"/>
    <d v="2026-06-25T00:00:00"/>
    <x v="0"/>
    <n v="1331"/>
    <x v="0"/>
    <n v="3.1"/>
    <s v="L"/>
    <m/>
    <s v="1331_1"/>
    <s v="Little_Mountain"/>
    <x v="0"/>
    <s v="Acer"/>
    <s v="saccharum"/>
    <s v="Sapindaceae"/>
    <x v="2"/>
  </r>
  <r>
    <x v="5"/>
    <d v="2026-06-25T00:00:00"/>
    <x v="0"/>
    <n v="1332"/>
    <x v="0"/>
    <n v="4"/>
    <s v="A,L"/>
    <s v="POM at 1.28m, dead branch"/>
    <s v="1332_1"/>
    <s v="Little_Mountain"/>
    <x v="0"/>
    <s v="Acer"/>
    <s v="saccharum"/>
    <s v="Sapindaceae"/>
    <x v="2"/>
  </r>
  <r>
    <x v="5"/>
    <d v="2026-06-25T00:00:00"/>
    <x v="0"/>
    <n v="1333"/>
    <x v="0"/>
    <n v="6.2"/>
    <s v="W"/>
    <s v="soft tape"/>
    <s v="1333_1"/>
    <s v="Little_Mountain"/>
    <x v="0"/>
    <s v="Acer"/>
    <s v="saccharum"/>
    <s v="Sapindaceae"/>
    <x v="5"/>
  </r>
  <r>
    <x v="5"/>
    <d v="2026-06-25T00:00:00"/>
    <x v="1"/>
    <n v="1334"/>
    <x v="0"/>
    <n v="43.9"/>
    <s v="L"/>
    <s v="slight lean"/>
    <s v="1334_1"/>
    <s v="Little_Mountain"/>
    <x v="0"/>
    <s v="Prunus"/>
    <s v="serotina"/>
    <s v="Rosaceae"/>
    <x v="1"/>
  </r>
  <r>
    <x v="5"/>
    <d v="2026-06-25T00:00:00"/>
    <x v="0"/>
    <n v="1335"/>
    <x v="0"/>
    <n v="5.6"/>
    <s v="W,A"/>
    <s v="POM at 1.28m, knot"/>
    <s v="1335_1"/>
    <s v="Little_Mountain"/>
    <x v="0"/>
    <s v="Acer"/>
    <s v="saccharum"/>
    <s v="Sapindaceae"/>
    <x v="5"/>
  </r>
  <r>
    <x v="5"/>
    <d v="2026-06-25T00:00:00"/>
    <x v="0"/>
    <n v="1336"/>
    <x v="0"/>
    <n v="5.4"/>
    <s v="A"/>
    <s v="POM at 1.28, slight knot"/>
    <s v="1336_1"/>
    <s v="Little_Mountain"/>
    <x v="0"/>
    <s v="Acer"/>
    <s v="saccharum"/>
    <s v="Sapindaceae"/>
    <x v="5"/>
  </r>
  <r>
    <x v="5"/>
    <d v="2026-06-25T00:00:00"/>
    <x v="0"/>
    <n v="1337"/>
    <x v="0"/>
    <n v="4.0999999999999996"/>
    <s v="L"/>
    <s v="slight lean"/>
    <s v="1337_1"/>
    <s v="Little_Mountain"/>
    <x v="0"/>
    <s v="Acer"/>
    <s v="saccharum"/>
    <s v="Sapindaceae"/>
    <x v="2"/>
  </r>
  <r>
    <x v="5"/>
    <d v="2026-06-25T00:00:00"/>
    <x v="2"/>
    <n v="1338"/>
    <x v="0"/>
    <n v="51.8"/>
    <s v="N/A"/>
    <m/>
    <s v="1338_1"/>
    <s v="Little_Mountain"/>
    <x v="0"/>
    <s v="Acer"/>
    <s v="rubrum"/>
    <s v="Sapindaceae"/>
    <x v="4"/>
  </r>
  <r>
    <x v="5"/>
    <d v="2026-06-25T00:00:00"/>
    <x v="0"/>
    <n v="1339"/>
    <x v="0"/>
    <n v="3.7"/>
    <s v="N/A"/>
    <m/>
    <s v="1339_1"/>
    <s v="Little_Mountain"/>
    <x v="0"/>
    <s v="Acer"/>
    <s v="saccharum"/>
    <s v="Sapindaceae"/>
    <x v="2"/>
  </r>
  <r>
    <x v="5"/>
    <d v="2026-06-25T00:00:00"/>
    <x v="0"/>
    <n v="1340"/>
    <x v="0"/>
    <n v="3.2"/>
    <s v="L"/>
    <m/>
    <s v="1340_1"/>
    <s v="Little_Mountain"/>
    <x v="0"/>
    <s v="Acer"/>
    <s v="saccharum"/>
    <s v="Sapindaceae"/>
    <x v="2"/>
  </r>
  <r>
    <x v="5"/>
    <d v="2026-06-25T00:00:00"/>
    <x v="0"/>
    <n v="1341"/>
    <x v="0"/>
    <n v="7.2"/>
    <s v="A"/>
    <s v="POM at 1.23m, small branches and knots"/>
    <s v="1341_1"/>
    <s v="Little_Mountain"/>
    <x v="0"/>
    <s v="Acer"/>
    <s v="saccharum"/>
    <s v="Sapindaceae"/>
    <x v="5"/>
  </r>
  <r>
    <x v="5"/>
    <d v="2026-06-25T00:00:00"/>
    <x v="0"/>
    <n v="1342"/>
    <x v="0"/>
    <n v="3.4"/>
    <s v="L"/>
    <m/>
    <s v="1342_1"/>
    <s v="Little_Mountain"/>
    <x v="0"/>
    <s v="Acer"/>
    <s v="saccharum"/>
    <s v="Sapindaceae"/>
    <x v="2"/>
  </r>
  <r>
    <x v="5"/>
    <d v="2026-06-25T00:00:00"/>
    <x v="2"/>
    <n v="1343"/>
    <x v="0"/>
    <n v="75"/>
    <s v="N/A"/>
    <m/>
    <s v="1343_1"/>
    <s v="Little_Mountain"/>
    <x v="0"/>
    <s v="Acer"/>
    <s v="rubrum"/>
    <s v="Sapindaceae"/>
    <x v="4"/>
  </r>
  <r>
    <x v="5"/>
    <d v="2026-06-25T00:00:00"/>
    <x v="0"/>
    <n v="1344"/>
    <x v="0"/>
    <n v="2.5"/>
    <s v="M,X,L"/>
    <s v="soft tape"/>
    <s v="1344_1"/>
    <s v="Little_Mountain"/>
    <x v="0"/>
    <s v="Acer"/>
    <s v="saccharum"/>
    <s v="Sapindaceae"/>
    <x v="2"/>
  </r>
  <r>
    <x v="5"/>
    <d v="2026-06-25T00:00:00"/>
    <x v="0"/>
    <n v="1344"/>
    <x v="1"/>
    <n v="1"/>
    <s v="M,L"/>
    <s v="soft tape"/>
    <s v="1344_2"/>
    <s v="Little_Mountain"/>
    <x v="0"/>
    <s v="Acer"/>
    <s v="saccharum"/>
    <s v="Sapindaceae"/>
    <x v="2"/>
  </r>
  <r>
    <x v="5"/>
    <d v="2026-06-25T00:00:00"/>
    <x v="0"/>
    <n v="1345"/>
    <x v="0"/>
    <n v="4.4000000000000004"/>
    <s v="A"/>
    <s v="POM at 1.28m, knot"/>
    <s v="1345_1"/>
    <s v="Little_Mountain"/>
    <x v="0"/>
    <s v="Acer"/>
    <s v="saccharum"/>
    <s v="Sapindaceae"/>
    <x v="2"/>
  </r>
  <r>
    <x v="5"/>
    <d v="2026-06-25T00:00:00"/>
    <x v="5"/>
    <n v="1346"/>
    <x v="0"/>
    <n v="77.599999999999994"/>
    <s v="I,L"/>
    <s v="split along base of tree, slight lean"/>
    <s v="1346_1"/>
    <s v="Little_Mountain"/>
    <x v="0"/>
    <s v="Magnolia"/>
    <s v="acuminata"/>
    <s v="Magnoliaceae"/>
    <x v="4"/>
  </r>
  <r>
    <x v="5"/>
    <d v="2026-06-26T00:00:00"/>
    <x v="0"/>
    <n v="1347"/>
    <x v="0"/>
    <n v="5.2"/>
    <s v="L"/>
    <m/>
    <s v="1347_1"/>
    <s v="Little_Mountain"/>
    <x v="0"/>
    <s v="Acer"/>
    <s v="saccharum"/>
    <s v="Sapindaceae"/>
    <x v="5"/>
  </r>
  <r>
    <x v="5"/>
    <d v="2026-06-26T00:00:00"/>
    <x v="0"/>
    <n v="1348"/>
    <x v="0"/>
    <n v="3.6"/>
    <s v="L"/>
    <m/>
    <s v="1348_1"/>
    <s v="Little_Mountain"/>
    <x v="0"/>
    <s v="Acer"/>
    <s v="saccharum"/>
    <s v="Sapindaceae"/>
    <x v="2"/>
  </r>
  <r>
    <x v="5"/>
    <d v="2026-06-26T00:00:00"/>
    <x v="0"/>
    <n v="1349"/>
    <x v="0"/>
    <n v="2.9"/>
    <s v="A"/>
    <s v="POM at 1.27m"/>
    <s v="1349_1"/>
    <s v="Little_Mountain"/>
    <x v="0"/>
    <s v="Acer"/>
    <s v="saccharum"/>
    <s v="Sapindaceae"/>
    <x v="2"/>
  </r>
  <r>
    <x v="5"/>
    <d v="2026-06-26T00:00:00"/>
    <x v="2"/>
    <n v="1350"/>
    <x v="0"/>
    <n v="42.3"/>
    <s v="N/A"/>
    <m/>
    <s v="1350_1"/>
    <s v="Little_Mountain"/>
    <x v="0"/>
    <s v="Acer"/>
    <s v="rubrum"/>
    <s v="Sapindaceae"/>
    <x v="1"/>
  </r>
  <r>
    <x v="5"/>
    <d v="2026-06-26T00:00:00"/>
    <x v="1"/>
    <n v="1351"/>
    <x v="0"/>
    <n v="5"/>
    <s v="L,B"/>
    <s v="almost dead but some are still alive"/>
    <s v="1351_1"/>
    <s v="Little_Mountain"/>
    <x v="0"/>
    <s v="Prunus"/>
    <s v="serotina"/>
    <s v="Rosaceae"/>
    <x v="2"/>
  </r>
  <r>
    <x v="5"/>
    <d v="2026-06-26T00:00:00"/>
    <x v="0"/>
    <n v="1352"/>
    <x v="0"/>
    <n v="9.1"/>
    <s v="N/A"/>
    <m/>
    <s v="1352_1"/>
    <s v="Little_Mountain"/>
    <x v="0"/>
    <s v="Acer"/>
    <s v="saccharum"/>
    <s v="Sapindaceae"/>
    <x v="5"/>
  </r>
  <r>
    <x v="5"/>
    <d v="2026-06-26T00:00:00"/>
    <x v="2"/>
    <n v="1353"/>
    <x v="0"/>
    <n v="16.899999999999999"/>
    <s v="N/A"/>
    <m/>
    <s v="1353_1"/>
    <s v="Little_Mountain"/>
    <x v="0"/>
    <s v="Acer"/>
    <s v="rubrum"/>
    <s v="Sapindaceae"/>
    <x v="3"/>
  </r>
  <r>
    <x v="5"/>
    <d v="2026-06-26T00:00:00"/>
    <x v="0"/>
    <n v="1354"/>
    <x v="0"/>
    <n v="3.9"/>
    <s v="W"/>
    <s v="soft tape"/>
    <s v="1354_1"/>
    <s v="Little_Mountain"/>
    <x v="0"/>
    <s v="Acer"/>
    <s v="saccharum"/>
    <s v="Sapindaceae"/>
    <x v="2"/>
  </r>
  <r>
    <x v="5"/>
    <d v="2026-06-26T00:00:00"/>
    <x v="2"/>
    <n v="1355"/>
    <x v="0"/>
    <n v="72"/>
    <s v="I"/>
    <m/>
    <s v="1355_1"/>
    <s v="Little_Mountain"/>
    <x v="0"/>
    <s v="Acer"/>
    <s v="rubrum"/>
    <s v="Sapindaceae"/>
    <x v="4"/>
  </r>
  <r>
    <x v="5"/>
    <d v="2026-06-26T00:00:00"/>
    <x v="0"/>
    <n v="1356"/>
    <x v="0"/>
    <n v="5.3"/>
    <s v="L"/>
    <m/>
    <s v="1356_1"/>
    <s v="Little_Mountain"/>
    <x v="0"/>
    <s v="Acer"/>
    <s v="saccharum"/>
    <s v="Sapindaceae"/>
    <x v="5"/>
  </r>
  <r>
    <x v="5"/>
    <d v="2026-06-26T00:00:00"/>
    <x v="0"/>
    <n v="1357"/>
    <x v="0"/>
    <n v="9"/>
    <s v="L"/>
    <m/>
    <s v="1357_1"/>
    <s v="Little_Mountain"/>
    <x v="0"/>
    <s v="Acer"/>
    <s v="saccharum"/>
    <s v="Sapindaceae"/>
    <x v="5"/>
  </r>
  <r>
    <x v="5"/>
    <d v="2026-06-26T00:00:00"/>
    <x v="2"/>
    <n v="1358"/>
    <x v="0"/>
    <n v="15.8"/>
    <s v="A"/>
    <s v="POM at 0.9m, large irregularity at 1.3m"/>
    <s v="1358_1"/>
    <s v="Little_Mountain"/>
    <x v="0"/>
    <s v="Acer"/>
    <s v="rubrum"/>
    <s v="Sapindaceae"/>
    <x v="3"/>
  </r>
  <r>
    <x v="5"/>
    <d v="2026-06-26T00:00:00"/>
    <x v="0"/>
    <n v="1359"/>
    <x v="0"/>
    <n v="5.0999999999999996"/>
    <s v="W"/>
    <s v="soft tape"/>
    <s v="1359_1"/>
    <s v="Little_Mountain"/>
    <x v="0"/>
    <s v="Acer"/>
    <s v="saccharum"/>
    <s v="Sapindaceae"/>
    <x v="5"/>
  </r>
  <r>
    <x v="5"/>
    <d v="2026-06-26T00:00:00"/>
    <x v="20"/>
    <n v="1360"/>
    <x v="0"/>
    <n v="9.8000000000000007"/>
    <s v="W"/>
    <s v="soft tape"/>
    <s v="1360_1"/>
    <s v="Little_Mountain"/>
    <x v="0"/>
    <s v="Fraxinus"/>
    <s v="species"/>
    <s v="Oleaceae"/>
    <x v="5"/>
  </r>
  <r>
    <x v="5"/>
    <d v="2026-06-26T00:00:00"/>
    <x v="0"/>
    <n v="1361"/>
    <x v="0"/>
    <n v="3.1"/>
    <s v="L"/>
    <m/>
    <s v="1361_1"/>
    <s v="Little_Mountain"/>
    <x v="0"/>
    <s v="Acer"/>
    <s v="saccharum"/>
    <s v="Sapindaceae"/>
    <x v="2"/>
  </r>
  <r>
    <x v="5"/>
    <d v="2026-06-26T00:00:00"/>
    <x v="0"/>
    <n v="1362"/>
    <x v="0"/>
    <n v="4.8"/>
    <s v="L"/>
    <m/>
    <s v="1362_1"/>
    <s v="Little_Mountain"/>
    <x v="0"/>
    <s v="Acer"/>
    <s v="saccharum"/>
    <s v="Sapindaceae"/>
    <x v="2"/>
  </r>
  <r>
    <x v="5"/>
    <d v="2026-06-26T00:00:00"/>
    <x v="0"/>
    <n v="1363"/>
    <x v="0"/>
    <n v="4.3"/>
    <s v="L"/>
    <s v="slight bend but POM stick used"/>
    <s v="1363_1"/>
    <s v="Little_Mountain"/>
    <x v="0"/>
    <s v="Acer"/>
    <s v="saccharum"/>
    <s v="Sapindaceae"/>
    <x v="2"/>
  </r>
  <r>
    <x v="5"/>
    <d v="2026-06-26T00:00:00"/>
    <x v="5"/>
    <n v="1364"/>
    <x v="0"/>
    <n v="47.8"/>
    <s v="L"/>
    <m/>
    <s v="1364_1"/>
    <s v="Little_Mountain"/>
    <x v="0"/>
    <s v="Magnolia"/>
    <s v="acuminata"/>
    <s v="Magnoliaceae"/>
    <x v="1"/>
  </r>
  <r>
    <x v="5"/>
    <d v="2026-06-26T00:00:00"/>
    <x v="0"/>
    <n v="1365"/>
    <x v="0"/>
    <n v="1.6"/>
    <s v="W"/>
    <s v="soft tape"/>
    <s v="1365_1"/>
    <s v="Little_Mountain"/>
    <x v="0"/>
    <s v="Acer"/>
    <s v="saccharum"/>
    <s v="Sapindaceae"/>
    <x v="2"/>
  </r>
  <r>
    <x v="5"/>
    <d v="2026-06-26T00:00:00"/>
    <x v="0"/>
    <n v="1366"/>
    <x v="0"/>
    <n v="14.6"/>
    <s v="L"/>
    <m/>
    <s v="1366_1"/>
    <s v="Little_Mountain"/>
    <x v="0"/>
    <s v="Acer"/>
    <s v="saccharum"/>
    <s v="Sapindaceae"/>
    <x v="3"/>
  </r>
  <r>
    <x v="5"/>
    <d v="2026-06-26T00:00:00"/>
    <x v="0"/>
    <n v="1367"/>
    <x v="0"/>
    <n v="3.7"/>
    <s v="L"/>
    <m/>
    <s v="1367_1"/>
    <s v="Little_Mountain"/>
    <x v="0"/>
    <s v="Acer"/>
    <s v="saccharum"/>
    <s v="Sapindaceae"/>
    <x v="2"/>
  </r>
  <r>
    <x v="5"/>
    <d v="2026-06-26T00:00:00"/>
    <x v="0"/>
    <n v="1368"/>
    <x v="0"/>
    <n v="6.4"/>
    <s v="L"/>
    <m/>
    <s v="1368_1"/>
    <s v="Little_Mountain"/>
    <x v="0"/>
    <s v="Acer"/>
    <s v="saccharum"/>
    <s v="Sapindaceae"/>
    <x v="5"/>
  </r>
  <r>
    <x v="5"/>
    <d v="2026-06-26T00:00:00"/>
    <x v="0"/>
    <n v="1369"/>
    <x v="0"/>
    <n v="14.6"/>
    <s v="L"/>
    <m/>
    <s v="1369_1"/>
    <s v="Little_Mountain"/>
    <x v="0"/>
    <s v="Acer"/>
    <s v="saccharum"/>
    <s v="Sapindaceae"/>
    <x v="3"/>
  </r>
  <r>
    <x v="5"/>
    <d v="2026-06-26T00:00:00"/>
    <x v="0"/>
    <n v="1370"/>
    <x v="0"/>
    <n v="1.5"/>
    <s v="W"/>
    <s v="soft tape"/>
    <s v="1370_1"/>
    <s v="Little_Mountain"/>
    <x v="0"/>
    <s v="Acer"/>
    <s v="saccharum"/>
    <s v="Sapindaceae"/>
    <x v="2"/>
  </r>
  <r>
    <x v="5"/>
    <d v="2026-06-26T00:00:00"/>
    <x v="0"/>
    <n v="1371"/>
    <x v="0"/>
    <n v="6.5"/>
    <s v="W,A,B"/>
    <s v="soft tape, POM at 1.1m, broken at 1.3, did not measure broken limb"/>
    <s v="1371_1"/>
    <s v="Little_Mountain"/>
    <x v="0"/>
    <s v="Acer"/>
    <s v="saccharum"/>
    <s v="Sapindaceae"/>
    <x v="5"/>
  </r>
  <r>
    <x v="5"/>
    <d v="2026-06-26T00:00:00"/>
    <x v="7"/>
    <n v="1372"/>
    <x v="0"/>
    <n v="2.5"/>
    <s v="M,L"/>
    <s v="2 smaller branches not within DBH range"/>
    <s v="1372_1"/>
    <s v="Little_Mountain"/>
    <x v="0"/>
    <s v="Fagus"/>
    <s v="grandifolia"/>
    <s v="Fagaceae"/>
    <x v="2"/>
  </r>
  <r>
    <x v="5"/>
    <d v="2026-06-26T00:00:00"/>
    <x v="7"/>
    <n v="1372"/>
    <x v="1"/>
    <n v="1.1000000000000001"/>
    <s v="M,L"/>
    <s v="2 smaller branches not within DBH range"/>
    <s v="1372_2"/>
    <s v="Little_Mountain"/>
    <x v="0"/>
    <s v="Fagus"/>
    <s v="grandifolia"/>
    <s v="Fagaceae"/>
    <x v="2"/>
  </r>
  <r>
    <x v="5"/>
    <d v="2026-06-26T00:00:00"/>
    <x v="7"/>
    <n v="1373"/>
    <x v="0"/>
    <n v="5.2"/>
    <s v="L"/>
    <m/>
    <s v="1373_1"/>
    <s v="Little_Mountain"/>
    <x v="0"/>
    <s v="Fagus"/>
    <s v="grandifolia"/>
    <s v="Fagaceae"/>
    <x v="5"/>
  </r>
  <r>
    <x v="5"/>
    <d v="2026-06-26T00:00:00"/>
    <x v="7"/>
    <n v="1374"/>
    <x v="0"/>
    <n v="11.6"/>
    <s v="L"/>
    <m/>
    <s v="1374_1"/>
    <s v="Little_Mountain"/>
    <x v="0"/>
    <s v="Fagus"/>
    <s v="grandifolia"/>
    <s v="Fagaceae"/>
    <x v="3"/>
  </r>
  <r>
    <x v="5"/>
    <d v="2026-06-26T00:00:00"/>
    <x v="0"/>
    <n v="1375"/>
    <x v="0"/>
    <n v="3"/>
    <s v="L"/>
    <m/>
    <s v="1375_1"/>
    <s v="Little_Mountain"/>
    <x v="0"/>
    <s v="Acer"/>
    <s v="saccharum"/>
    <s v="Sapindaceae"/>
    <x v="2"/>
  </r>
  <r>
    <x v="5"/>
    <d v="2026-06-26T00:00:00"/>
    <x v="0"/>
    <n v="1376"/>
    <x v="0"/>
    <n v="1.5"/>
    <s v="L"/>
    <m/>
    <s v="1376_1"/>
    <s v="Little_Mountain"/>
    <x v="0"/>
    <s v="Acer"/>
    <s v="saccharum"/>
    <s v="Sapindaceae"/>
    <x v="2"/>
  </r>
  <r>
    <x v="5"/>
    <d v="2026-06-26T00:00:00"/>
    <x v="0"/>
    <n v="1377"/>
    <x v="0"/>
    <n v="5.8"/>
    <s v="L"/>
    <s v="in a bunch of branches"/>
    <s v="1377_1"/>
    <s v="Little_Mountain"/>
    <x v="0"/>
    <s v="Acer"/>
    <s v="saccharum"/>
    <s v="Sapindaceae"/>
    <x v="5"/>
  </r>
  <r>
    <x v="5"/>
    <d v="2026-06-26T00:00:00"/>
    <x v="0"/>
    <n v="1378"/>
    <x v="0"/>
    <n v="1"/>
    <s v="W"/>
    <s v="other stem will need measuring next time"/>
    <s v="1378_1"/>
    <s v="Little_Mountain"/>
    <x v="0"/>
    <s v="Acer"/>
    <s v="saccharum"/>
    <s v="Sapindaceae"/>
    <x v="2"/>
  </r>
  <r>
    <x v="5"/>
    <d v="2026-06-26T00:00:00"/>
    <x v="0"/>
    <n v="1379"/>
    <x v="0"/>
    <n v="1.9"/>
    <s v="M,W"/>
    <m/>
    <s v="1379_1"/>
    <s v="Little_Mountain"/>
    <x v="0"/>
    <s v="Acer"/>
    <s v="saccharum"/>
    <s v="Sapindaceae"/>
    <x v="2"/>
  </r>
  <r>
    <x v="5"/>
    <d v="2026-06-26T00:00:00"/>
    <x v="0"/>
    <n v="1379"/>
    <x v="1"/>
    <n v="1"/>
    <s v="M,W"/>
    <m/>
    <s v="1379_2"/>
    <s v="Little_Mountain"/>
    <x v="0"/>
    <s v="Acer"/>
    <s v="saccharum"/>
    <s v="Sapindaceae"/>
    <x v="2"/>
  </r>
  <r>
    <x v="5"/>
    <d v="2026-06-26T00:00:00"/>
    <x v="0"/>
    <n v="1380"/>
    <x v="0"/>
    <n v="6.4"/>
    <s v="L"/>
    <m/>
    <s v="1380_1"/>
    <s v="Little_Mountain"/>
    <x v="0"/>
    <s v="Acer"/>
    <s v="saccharum"/>
    <s v="Sapindaceae"/>
    <x v="5"/>
  </r>
  <r>
    <x v="5"/>
    <d v="2026-06-26T00:00:00"/>
    <x v="0"/>
    <n v="1381"/>
    <x v="0"/>
    <n v="6.9"/>
    <s v="L"/>
    <m/>
    <s v="1381_1"/>
    <s v="Little_Mountain"/>
    <x v="0"/>
    <s v="Acer"/>
    <s v="saccharum"/>
    <s v="Sapindaceae"/>
    <x v="5"/>
  </r>
  <r>
    <x v="5"/>
    <d v="2026-06-26T00:00:00"/>
    <x v="0"/>
    <n v="1382"/>
    <x v="0"/>
    <n v="4.8"/>
    <s v="W"/>
    <s v="soft tape"/>
    <s v="1382_1"/>
    <s v="Little_Mountain"/>
    <x v="0"/>
    <s v="Acer"/>
    <s v="saccharum"/>
    <s v="Sapindaceae"/>
    <x v="2"/>
  </r>
  <r>
    <x v="5"/>
    <d v="2026-06-26T00:00:00"/>
    <x v="0"/>
    <n v="1556"/>
    <x v="0"/>
    <n v="6"/>
    <s v="L"/>
    <s v="tagged later"/>
    <s v="1556_1"/>
    <s v="Little_Mountain"/>
    <x v="0"/>
    <s v="Acer"/>
    <s v="saccharum"/>
    <s v="Sapindaceae"/>
    <x v="5"/>
  </r>
  <r>
    <x v="5"/>
    <d v="2026-06-26T00:00:00"/>
    <x v="0"/>
    <n v="1557"/>
    <x v="0"/>
    <n v="2.5"/>
    <s v="L"/>
    <s v="tagged later"/>
    <s v="1557_1"/>
    <s v="Little_Mountain"/>
    <x v="0"/>
    <s v="Acer"/>
    <s v="saccharum"/>
    <s v="Sapindaceae"/>
    <x v="2"/>
  </r>
  <r>
    <x v="5"/>
    <d v="2026-06-26T00:00:00"/>
    <x v="7"/>
    <n v="1383"/>
    <x v="0"/>
    <n v="43.3"/>
    <s v="L"/>
    <m/>
    <s v="1383_1"/>
    <s v="Little_Mountain"/>
    <x v="0"/>
    <s v="Fagus"/>
    <s v="grandifolia"/>
    <s v="Fagaceae"/>
    <x v="1"/>
  </r>
  <r>
    <x v="5"/>
    <d v="2026-06-26T00:00:00"/>
    <x v="0"/>
    <n v="1384"/>
    <x v="0"/>
    <n v="2.8"/>
    <s v="L"/>
    <m/>
    <s v="1384_1"/>
    <s v="Little_Mountain"/>
    <x v="0"/>
    <s v="Acer"/>
    <s v="saccharum"/>
    <s v="Sapindaceae"/>
    <x v="2"/>
  </r>
  <r>
    <x v="5"/>
    <d v="2026-06-26T00:00:00"/>
    <x v="0"/>
    <n v="1385"/>
    <x v="0"/>
    <n v="4"/>
    <s v="L"/>
    <m/>
    <s v="1385_1"/>
    <s v="Little_Mountain"/>
    <x v="0"/>
    <s v="Acer"/>
    <s v="saccharum"/>
    <s v="Sapindaceae"/>
    <x v="2"/>
  </r>
  <r>
    <x v="5"/>
    <d v="2026-06-26T00:00:00"/>
    <x v="0"/>
    <n v="1386"/>
    <x v="0"/>
    <n v="6.3"/>
    <s v="L"/>
    <m/>
    <s v="1386_1"/>
    <s v="Little_Mountain"/>
    <x v="0"/>
    <s v="Acer"/>
    <s v="saccharum"/>
    <s v="Sapindaceae"/>
    <x v="5"/>
  </r>
  <r>
    <x v="5"/>
    <d v="2026-06-26T00:00:00"/>
    <x v="0"/>
    <n v="1387"/>
    <x v="0"/>
    <n v="7.6"/>
    <s v="L,I"/>
    <s v="messed up"/>
    <s v="1387_1"/>
    <s v="Little_Mountain"/>
    <x v="0"/>
    <s v="Acer"/>
    <s v="saccharum"/>
    <s v="Sapindaceae"/>
    <x v="5"/>
  </r>
  <r>
    <x v="5"/>
    <d v="2026-06-26T00:00:00"/>
    <x v="6"/>
    <n v="1388"/>
    <x v="0"/>
    <n v="32.6"/>
    <s v="W"/>
    <s v="soft tape"/>
    <s v="1388_1"/>
    <s v="Little_Mountain"/>
    <x v="0"/>
    <s v="Nyssa"/>
    <s v="sylvatica"/>
    <s v="Nyssaceae"/>
    <x v="0"/>
  </r>
  <r>
    <x v="5"/>
    <d v="2026-06-26T00:00:00"/>
    <x v="0"/>
    <n v="1389"/>
    <x v="0"/>
    <n v="3.6"/>
    <s v="A"/>
    <s v="POM at 1.28m"/>
    <s v="1389_1"/>
    <s v="Little_Mountain"/>
    <x v="0"/>
    <s v="Acer"/>
    <s v="saccharum"/>
    <s v="Sapindaceae"/>
    <x v="2"/>
  </r>
  <r>
    <x v="5"/>
    <d v="2026-06-26T00:00:00"/>
    <x v="0"/>
    <n v="1390"/>
    <x v="0"/>
    <n v="4.2"/>
    <s v="N/A"/>
    <m/>
    <s v="1390_1"/>
    <s v="Little_Mountain"/>
    <x v="0"/>
    <s v="Acer"/>
    <s v="saccharum"/>
    <s v="Sapindaceae"/>
    <x v="2"/>
  </r>
  <r>
    <x v="5"/>
    <d v="2026-06-26T00:00:00"/>
    <x v="0"/>
    <n v="1391"/>
    <x v="0"/>
    <n v="2.7"/>
    <s v="L"/>
    <m/>
    <s v="1391_1"/>
    <s v="Little_Mountain"/>
    <x v="0"/>
    <s v="Acer"/>
    <s v="saccharum"/>
    <s v="Sapindaceae"/>
    <x v="2"/>
  </r>
  <r>
    <x v="5"/>
    <d v="2026-06-26T00:00:00"/>
    <x v="0"/>
    <n v="1392"/>
    <x v="0"/>
    <n v="7.7"/>
    <s v="L"/>
    <m/>
    <s v="1392_1"/>
    <s v="Little_Mountain"/>
    <x v="0"/>
    <s v="Acer"/>
    <s v="saccharum"/>
    <s v="Sapindaceae"/>
    <x v="5"/>
  </r>
  <r>
    <x v="5"/>
    <d v="2026-06-26T00:00:00"/>
    <x v="7"/>
    <n v="1393"/>
    <x v="0"/>
    <n v="1.8"/>
    <s v="N/A"/>
    <s v="more stems that could be big enough later "/>
    <s v="1393_1"/>
    <s v="Little_Mountain"/>
    <x v="0"/>
    <s v="Fagus"/>
    <s v="grandifolia"/>
    <s v="Fagaceae"/>
    <x v="2"/>
  </r>
  <r>
    <x v="5"/>
    <d v="2026-06-26T00:00:00"/>
    <x v="0"/>
    <n v="1394"/>
    <x v="1"/>
    <n v="2.5"/>
    <s v="L"/>
    <m/>
    <s v="1394_2"/>
    <s v="Little_Mountain"/>
    <x v="0"/>
    <s v="Acer"/>
    <s v="saccharum"/>
    <s v="Sapindaceae"/>
    <x v="2"/>
  </r>
  <r>
    <x v="5"/>
    <d v="2026-06-26T00:00:00"/>
    <x v="0"/>
    <n v="1395"/>
    <x v="0"/>
    <n v="9.4"/>
    <s v="M"/>
    <s v="soft tape"/>
    <s v="1395_1"/>
    <s v="Little_Mountain"/>
    <x v="0"/>
    <s v="Acer"/>
    <s v="saccharum"/>
    <s v="Sapindaceae"/>
    <x v="5"/>
  </r>
  <r>
    <x v="5"/>
    <d v="2026-06-26T00:00:00"/>
    <x v="0"/>
    <n v="1395"/>
    <x v="1"/>
    <n v="2.1"/>
    <s v="M"/>
    <s v="soft tape"/>
    <s v="1395_2"/>
    <s v="Little_Mountain"/>
    <x v="0"/>
    <s v="Acer"/>
    <s v="saccharum"/>
    <s v="Sapindaceae"/>
    <x v="2"/>
  </r>
  <r>
    <x v="5"/>
    <d v="2026-06-26T00:00:00"/>
    <x v="0"/>
    <n v="1395"/>
    <x v="2"/>
    <n v="1.2"/>
    <s v="M"/>
    <s v="soft tape"/>
    <s v="1395_3"/>
    <s v="Little_Mountain"/>
    <x v="0"/>
    <s v="Acer"/>
    <s v="saccharum"/>
    <s v="Sapindaceae"/>
    <x v="2"/>
  </r>
  <r>
    <x v="5"/>
    <d v="2026-06-26T00:00:00"/>
    <x v="0"/>
    <n v="1396"/>
    <x v="0"/>
    <n v="2.6"/>
    <s v="W"/>
    <s v="POM stick used"/>
    <s v="1396_1"/>
    <s v="Little_Mountain"/>
    <x v="0"/>
    <s v="Acer"/>
    <s v="saccharum"/>
    <s v="Sapindaceae"/>
    <x v="2"/>
  </r>
  <r>
    <x v="5"/>
    <d v="2026-06-26T00:00:00"/>
    <x v="3"/>
    <n v="1397"/>
    <x v="0"/>
    <n v="68.8"/>
    <s v="I"/>
    <m/>
    <s v="1397_1"/>
    <s v="Little_Mountain"/>
    <x v="0"/>
    <s v="Lirodendron"/>
    <s v="tulipfera"/>
    <s v="Magnoliaceae"/>
    <x v="4"/>
  </r>
  <r>
    <x v="5"/>
    <d v="2026-06-26T00:00:00"/>
    <x v="0"/>
    <n v="1398"/>
    <x v="0"/>
    <n v="6.2"/>
    <s v="W"/>
    <s v="soft tape"/>
    <s v="1398_1"/>
    <s v="Little_Mountain"/>
    <x v="0"/>
    <s v="Acer"/>
    <s v="saccharum"/>
    <s v="Sapindaceae"/>
    <x v="5"/>
  </r>
  <r>
    <x v="5"/>
    <d v="2026-06-26T00:00:00"/>
    <x v="2"/>
    <n v="1399"/>
    <x v="0"/>
    <n v="71.2"/>
    <s v="M,A,I,L"/>
    <s v="bark irregularities, POM = 1.4m"/>
    <s v="1399_1"/>
    <s v="Little_Mountain"/>
    <x v="0"/>
    <s v="Acer"/>
    <s v="rubrum"/>
    <s v="Sapindaceae"/>
    <x v="4"/>
  </r>
  <r>
    <x v="5"/>
    <d v="2026-06-26T00:00:00"/>
    <x v="2"/>
    <n v="1399"/>
    <x v="1"/>
    <n v="34"/>
    <s v="M,A,I,L"/>
    <s v="bark irregularities, POM = 1.45m"/>
    <s v="1399_2"/>
    <s v="Little_Mountain"/>
    <x v="0"/>
    <s v="Acer"/>
    <s v="rubrum"/>
    <s v="Sapindaceae"/>
    <x v="0"/>
  </r>
  <r>
    <x v="5"/>
    <d v="2026-06-26T00:00:00"/>
    <x v="0"/>
    <n v="1400"/>
    <x v="0"/>
    <n v="3.2"/>
    <s v="M"/>
    <m/>
    <s v="1400_1"/>
    <s v="Little_Mountain"/>
    <x v="0"/>
    <s v="Acer"/>
    <s v="saccharum"/>
    <s v="Sapindaceae"/>
    <x v="2"/>
  </r>
  <r>
    <x v="5"/>
    <d v="2026-06-26T00:00:00"/>
    <x v="0"/>
    <n v="1400"/>
    <x v="1"/>
    <n v="1.3"/>
    <s v="M"/>
    <m/>
    <s v="1400_2"/>
    <s v="Little_Mountain"/>
    <x v="0"/>
    <s v="Acer"/>
    <s v="saccharum"/>
    <s v="Sapindaceae"/>
    <x v="2"/>
  </r>
  <r>
    <x v="5"/>
    <d v="2026-06-26T00:00:00"/>
    <x v="0"/>
    <n v="1400"/>
    <x v="2"/>
    <n v="1.2"/>
    <s v="M"/>
    <m/>
    <s v="1400_3"/>
    <s v="Little_Mountain"/>
    <x v="0"/>
    <s v="Acer"/>
    <s v="saccharum"/>
    <s v="Sapindaceae"/>
    <x v="2"/>
  </r>
  <r>
    <x v="5"/>
    <d v="2026-06-26T00:00:00"/>
    <x v="4"/>
    <n v="1401"/>
    <x v="0"/>
    <n v="1.9"/>
    <s v="W"/>
    <s v="POM stick used"/>
    <s v="1401_1"/>
    <s v="Little_Mountain"/>
    <x v="0"/>
    <s v="Sassafras"/>
    <s v="albidum"/>
    <s v="Lauraceae"/>
    <x v="2"/>
  </r>
  <r>
    <x v="5"/>
    <d v="2026-06-26T00:00:00"/>
    <x v="0"/>
    <n v="1402"/>
    <x v="0"/>
    <n v="3.3"/>
    <s v="W,L"/>
    <s v="soft tape"/>
    <s v="1402_1"/>
    <s v="Little_Mountain"/>
    <x v="0"/>
    <s v="Acer"/>
    <s v="saccharum"/>
    <s v="Sapindaceae"/>
    <x v="2"/>
  </r>
  <r>
    <x v="5"/>
    <d v="2026-06-26T00:00:00"/>
    <x v="4"/>
    <n v="1403"/>
    <x v="0"/>
    <n v="1.6"/>
    <s v="W,L"/>
    <s v="POM stick used"/>
    <s v="1403_1"/>
    <s v="Little_Mountain"/>
    <x v="0"/>
    <s v="Sassafras"/>
    <s v="albidum"/>
    <s v="Lauraceae"/>
    <x v="2"/>
  </r>
  <r>
    <x v="5"/>
    <d v="2026-06-26T00:00:00"/>
    <x v="4"/>
    <n v="1404"/>
    <x v="0"/>
    <n v="2.6"/>
    <s v="L"/>
    <m/>
    <s v="1404_1"/>
    <s v="Little_Mountain"/>
    <x v="0"/>
    <s v="Sassafras"/>
    <s v="albidum"/>
    <s v="Lauraceae"/>
    <x v="2"/>
  </r>
  <r>
    <x v="5"/>
    <d v="2026-06-26T00:00:00"/>
    <x v="4"/>
    <n v="1405"/>
    <x v="0"/>
    <n v="1.2"/>
    <s v="W,L"/>
    <s v="POM stick used"/>
    <s v="1405_1"/>
    <s v="Little_Mountain"/>
    <x v="0"/>
    <s v="Sassafras"/>
    <s v="albidum"/>
    <s v="Lauraceae"/>
    <x v="2"/>
  </r>
  <r>
    <x v="5"/>
    <d v="2026-06-26T00:00:00"/>
    <x v="4"/>
    <n v="1406"/>
    <x v="0"/>
    <n v="2.2000000000000002"/>
    <s v="L"/>
    <m/>
    <s v="1406_1"/>
    <s v="Little_Mountain"/>
    <x v="0"/>
    <s v="Sassafras"/>
    <s v="albidum"/>
    <s v="Lauraceae"/>
    <x v="2"/>
  </r>
  <r>
    <x v="5"/>
    <d v="2026-06-26T00:00:00"/>
    <x v="4"/>
    <n v="1407"/>
    <x v="0"/>
    <n v="1.4"/>
    <s v="L"/>
    <m/>
    <s v="1407_1"/>
    <s v="Little_Mountain"/>
    <x v="0"/>
    <s v="Sassafras"/>
    <s v="albidum"/>
    <s v="Lauraceae"/>
    <x v="2"/>
  </r>
  <r>
    <x v="5"/>
    <d v="2026-06-26T00:00:00"/>
    <x v="4"/>
    <n v="1408"/>
    <x v="0"/>
    <n v="1.1000000000000001"/>
    <s v="L"/>
    <m/>
    <s v="1408_1"/>
    <s v="Little_Mountain"/>
    <x v="0"/>
    <s v="Sassafras"/>
    <s v="albidum"/>
    <s v="Lauraceae"/>
    <x v="2"/>
  </r>
  <r>
    <x v="5"/>
    <d v="2026-06-26T00:00:00"/>
    <x v="3"/>
    <n v="1409"/>
    <x v="0"/>
    <n v="43.6"/>
    <s v="L"/>
    <m/>
    <s v="1409_1"/>
    <s v="Little_Mountain"/>
    <x v="0"/>
    <s v="Lirodendron"/>
    <s v="tulipfera"/>
    <s v="Magnoliaceae"/>
    <x v="1"/>
  </r>
  <r>
    <x v="5"/>
    <d v="2026-06-26T00:00:00"/>
    <x v="0"/>
    <n v="1410"/>
    <x v="0"/>
    <n v="3.9"/>
    <s v="X,L,A"/>
    <s v="POM at 1.28m"/>
    <s v="1410_1"/>
    <s v="Little_Mountain"/>
    <x v="0"/>
    <s v="Acer"/>
    <s v="saccharum"/>
    <s v="Sapindaceae"/>
    <x v="2"/>
  </r>
  <r>
    <x v="5"/>
    <d v="2026-06-26T00:00:00"/>
    <x v="0"/>
    <n v="1411"/>
    <x v="0"/>
    <n v="6.1"/>
    <s v="L"/>
    <s v="slight lean"/>
    <s v="1411_1"/>
    <s v="Little_Mountain"/>
    <x v="0"/>
    <s v="Acer"/>
    <s v="saccharum"/>
    <s v="Sapindaceae"/>
    <x v="5"/>
  </r>
  <r>
    <x v="5"/>
    <d v="2026-06-26T00:00:00"/>
    <x v="0"/>
    <n v="1412"/>
    <x v="0"/>
    <n v="9.5"/>
    <s v="L"/>
    <m/>
    <s v="1412_1"/>
    <s v="Little_Mountain"/>
    <x v="0"/>
    <s v="Acer"/>
    <s v="saccharum"/>
    <s v="Sapindaceae"/>
    <x v="5"/>
  </r>
  <r>
    <x v="5"/>
    <d v="2026-06-26T00:00:00"/>
    <x v="4"/>
    <n v="1413"/>
    <x v="0"/>
    <n v="51.7"/>
    <s v="L"/>
    <m/>
    <s v="1413_1"/>
    <s v="Little_Mountain"/>
    <x v="0"/>
    <s v="Sassafras"/>
    <s v="albidum"/>
    <s v="Lauraceae"/>
    <x v="4"/>
  </r>
  <r>
    <x v="5"/>
    <d v="2026-06-26T00:00:00"/>
    <x v="0"/>
    <n v="1414"/>
    <x v="0"/>
    <n v="3.4"/>
    <s v="L,A"/>
    <s v="POM at 1.27m"/>
    <s v="1414_1"/>
    <s v="Little_Mountain"/>
    <x v="0"/>
    <s v="Acer"/>
    <s v="saccharum"/>
    <s v="Sapindaceae"/>
    <x v="2"/>
  </r>
  <r>
    <x v="5"/>
    <d v="2026-06-26T00:00:00"/>
    <x v="0"/>
    <n v="1415"/>
    <x v="0"/>
    <n v="15"/>
    <s v="N/A"/>
    <m/>
    <s v="1415_1"/>
    <s v="Little_Mountain"/>
    <x v="0"/>
    <s v="Acer"/>
    <s v="saccharum"/>
    <s v="Sapindaceae"/>
    <x v="3"/>
  </r>
  <r>
    <x v="5"/>
    <d v="2026-06-26T00:00:00"/>
    <x v="0"/>
    <n v="1416"/>
    <x v="0"/>
    <n v="5.0999999999999996"/>
    <s v="W"/>
    <m/>
    <s v="1416_1"/>
    <s v="Little_Mountain"/>
    <x v="0"/>
    <s v="Acer"/>
    <s v="saccharum"/>
    <s v="Sapindaceae"/>
    <x v="5"/>
  </r>
  <r>
    <x v="5"/>
    <d v="2026-06-26T00:00:00"/>
    <x v="5"/>
    <n v="1417"/>
    <x v="0"/>
    <n v="80.900000000000006"/>
    <s v="L"/>
    <s v="slight lean"/>
    <s v="1417_1"/>
    <s v="Little_Mountain"/>
    <x v="0"/>
    <s v="Magnolia"/>
    <s v="acuminata"/>
    <s v="Magnoliaceae"/>
    <x v="4"/>
  </r>
  <r>
    <x v="5"/>
    <d v="2026-06-26T00:00:00"/>
    <x v="3"/>
    <n v="1418"/>
    <x v="0"/>
    <n v="42.2"/>
    <s v="L"/>
    <m/>
    <s v="1418_1"/>
    <s v="Little_Mountain"/>
    <x v="0"/>
    <s v="Lirodendron"/>
    <s v="tulipfera"/>
    <s v="Magnoliaceae"/>
    <x v="1"/>
  </r>
  <r>
    <x v="5"/>
    <d v="2026-06-26T00:00:00"/>
    <x v="0"/>
    <n v="1419"/>
    <x v="0"/>
    <n v="4.2"/>
    <s v="M,L"/>
    <m/>
    <s v="1419_1"/>
    <s v="Little_Mountain"/>
    <x v="0"/>
    <s v="Acer"/>
    <s v="saccharum"/>
    <s v="Sapindaceae"/>
    <x v="2"/>
  </r>
  <r>
    <x v="5"/>
    <d v="2026-06-26T00:00:00"/>
    <x v="0"/>
    <n v="1419"/>
    <x v="1"/>
    <n v="4.5999999999999996"/>
    <s v="M,L"/>
    <m/>
    <s v="1419_2"/>
    <s v="Little_Mountain"/>
    <x v="0"/>
    <s v="Acer"/>
    <s v="saccharum"/>
    <s v="Sapindaceae"/>
    <x v="2"/>
  </r>
  <r>
    <x v="5"/>
    <d v="2026-06-26T00:00:00"/>
    <x v="0"/>
    <n v="1420"/>
    <x v="0"/>
    <n v="5.4"/>
    <s v="W,A"/>
    <s v="soft tape, POM at 1.28m, knot"/>
    <s v="1420_1"/>
    <s v="Little_Mountain"/>
    <x v="0"/>
    <s v="Acer"/>
    <s v="saccharum"/>
    <s v="Sapindaceae"/>
    <x v="5"/>
  </r>
  <r>
    <x v="5"/>
    <d v="2026-06-26T00:00:00"/>
    <x v="0"/>
    <n v="1421"/>
    <x v="0"/>
    <n v="7"/>
    <s v="L"/>
    <s v="slight lean"/>
    <s v="1421_1"/>
    <s v="Little_Mountain"/>
    <x v="0"/>
    <s v="Acer"/>
    <s v="saccharum"/>
    <s v="Sapindaceae"/>
    <x v="5"/>
  </r>
  <r>
    <x v="5"/>
    <d v="2026-06-26T00:00:00"/>
    <x v="0"/>
    <n v="1422"/>
    <x v="0"/>
    <n v="5.5"/>
    <s v="L,A"/>
    <s v="knots, POm at 1.23m"/>
    <s v="1422_1"/>
    <s v="Little_Mountain"/>
    <x v="0"/>
    <s v="Acer"/>
    <s v="saccharum"/>
    <s v="Sapindaceae"/>
    <x v="5"/>
  </r>
  <r>
    <x v="5"/>
    <d v="2026-06-26T00:00:00"/>
    <x v="0"/>
    <n v="1423"/>
    <x v="0"/>
    <n v="2.1"/>
    <s v="L"/>
    <m/>
    <s v="1423_1"/>
    <s v="Little_Mountain"/>
    <x v="0"/>
    <s v="Acer"/>
    <s v="saccharum"/>
    <s v="Sapindaceae"/>
    <x v="2"/>
  </r>
  <r>
    <x v="5"/>
    <d v="2026-06-26T00:00:00"/>
    <x v="2"/>
    <n v="1424"/>
    <x v="0"/>
    <n v="14.9"/>
    <s v="L"/>
    <s v="slight lean"/>
    <s v="1424_1"/>
    <s v="Little_Mountain"/>
    <x v="0"/>
    <s v="Acer"/>
    <s v="rubrum"/>
    <s v="Sapindaceae"/>
    <x v="3"/>
  </r>
  <r>
    <x v="5"/>
    <d v="2026-06-26T00:00:00"/>
    <x v="0"/>
    <n v="1425"/>
    <x v="0"/>
    <n v="8.3000000000000007"/>
    <s v="N/A"/>
    <m/>
    <s v="1425_1"/>
    <s v="Little_Mountain"/>
    <x v="0"/>
    <s v="Acer"/>
    <s v="saccharum"/>
    <s v="Sapindaceae"/>
    <x v="5"/>
  </r>
  <r>
    <x v="5"/>
    <d v="2026-06-26T00:00:00"/>
    <x v="2"/>
    <n v="1426"/>
    <x v="0"/>
    <n v="8.4"/>
    <s v="L"/>
    <s v="slight lean, split"/>
    <s v="1426_1"/>
    <s v="Little_Mountain"/>
    <x v="0"/>
    <s v="Acer"/>
    <s v="rubrum"/>
    <s v="Sapindaceae"/>
    <x v="5"/>
  </r>
  <r>
    <x v="5"/>
    <d v="2026-06-26T00:00:00"/>
    <x v="0"/>
    <n v="1427"/>
    <x v="0"/>
    <n v="3.9"/>
    <s v="W"/>
    <s v="soft tape"/>
    <s v="1427_1"/>
    <s v="Little_Mountain"/>
    <x v="0"/>
    <s v="Acer"/>
    <s v="saccharum"/>
    <s v="Sapindaceae"/>
    <x v="2"/>
  </r>
  <r>
    <x v="5"/>
    <d v="2026-06-26T00:00:00"/>
    <x v="0"/>
    <n v="1428"/>
    <x v="0"/>
    <n v="8"/>
    <s v="N/A"/>
    <m/>
    <s v="1428_1"/>
    <s v="Little_Mountain"/>
    <x v="0"/>
    <s v="Acer"/>
    <s v="saccharum"/>
    <s v="Sapindaceae"/>
    <x v="5"/>
  </r>
  <r>
    <x v="5"/>
    <d v="2026-06-26T00:00:00"/>
    <x v="7"/>
    <n v="1429"/>
    <x v="0"/>
    <n v="3.6"/>
    <s v="N/A"/>
    <m/>
    <s v="1429_1"/>
    <s v="Little_Mountain"/>
    <x v="0"/>
    <s v="Fagus"/>
    <s v="grandifolia"/>
    <s v="Fagaceae"/>
    <x v="2"/>
  </r>
  <r>
    <x v="5"/>
    <d v="2026-06-26T00:00:00"/>
    <x v="0"/>
    <n v="1430"/>
    <x v="0"/>
    <n v="6.4"/>
    <s v="W,A"/>
    <s v="POM at 1.28m, branch in the way"/>
    <s v="1430_1"/>
    <s v="Little_Mountain"/>
    <x v="0"/>
    <s v="Acer"/>
    <s v="saccharum"/>
    <s v="Sapindaceae"/>
    <x v="5"/>
  </r>
  <r>
    <x v="5"/>
    <d v="2026-06-26T00:00:00"/>
    <x v="2"/>
    <n v="1431"/>
    <x v="0"/>
    <n v="36.9"/>
    <s v="N/A"/>
    <m/>
    <s v="1431_1"/>
    <s v="Little_Mountain"/>
    <x v="0"/>
    <s v="Acer"/>
    <s v="rubrum"/>
    <s v="Sapindaceae"/>
    <x v="0"/>
  </r>
  <r>
    <x v="5"/>
    <d v="2026-06-26T00:00:00"/>
    <x v="0"/>
    <n v="1432"/>
    <x v="0"/>
    <n v="7"/>
    <s v="L"/>
    <s v="slight lean"/>
    <s v="1432_1"/>
    <s v="Little_Mountain"/>
    <x v="0"/>
    <s v="Acer"/>
    <s v="saccharum"/>
    <s v="Sapindaceae"/>
    <x v="5"/>
  </r>
  <r>
    <x v="5"/>
    <d v="2026-06-26T00:00:00"/>
    <x v="2"/>
    <n v="1433"/>
    <x v="0"/>
    <n v="25.7"/>
    <s v="L"/>
    <s v="slight lean"/>
    <s v="1433_1"/>
    <s v="Little_Mountain"/>
    <x v="0"/>
    <s v="Acer"/>
    <s v="rubrum"/>
    <s v="Sapindaceae"/>
    <x v="0"/>
  </r>
  <r>
    <x v="5"/>
    <d v="2026-06-26T00:00:00"/>
    <x v="2"/>
    <n v="1434"/>
    <x v="0"/>
    <n v="12.5"/>
    <s v="L,A"/>
    <s v="POM at 1.21m, knots"/>
    <s v="1434_1"/>
    <s v="Little_Mountain"/>
    <x v="0"/>
    <s v="Acer"/>
    <s v="rubrum"/>
    <s v="Sapindaceae"/>
    <x v="3"/>
  </r>
  <r>
    <x v="5"/>
    <d v="2026-06-26T00:00:00"/>
    <x v="0"/>
    <n v="1435"/>
    <x v="0"/>
    <n v="3.1"/>
    <s v="L"/>
    <m/>
    <s v="1435_1"/>
    <s v="Little_Mountain"/>
    <x v="0"/>
    <s v="Acer"/>
    <s v="saccharum"/>
    <s v="Sapindaceae"/>
    <x v="2"/>
  </r>
  <r>
    <x v="5"/>
    <d v="2026-06-26T00:00:00"/>
    <x v="0"/>
    <n v="1436"/>
    <x v="0"/>
    <n v="4.2"/>
    <s v="L,A"/>
    <s v="POM at 1.28m"/>
    <s v="1436_1"/>
    <s v="Little_Mountain"/>
    <x v="0"/>
    <s v="Acer"/>
    <s v="saccharum"/>
    <s v="Sapindaceae"/>
    <x v="2"/>
  </r>
  <r>
    <x v="5"/>
    <d v="2026-06-26T00:00:00"/>
    <x v="0"/>
    <n v="1437"/>
    <x v="0"/>
    <n v="4"/>
    <s v="L,A"/>
    <s v="slight lean, split/knot at base"/>
    <s v="1437_1"/>
    <s v="Little_Mountain"/>
    <x v="0"/>
    <s v="Acer"/>
    <s v="saccharum"/>
    <s v="Sapindaceae"/>
    <x v="2"/>
  </r>
  <r>
    <x v="5"/>
    <d v="2026-06-26T00:00:00"/>
    <x v="0"/>
    <n v="1438"/>
    <x v="0"/>
    <n v="5"/>
    <s v="N/A"/>
    <m/>
    <s v="1438_1"/>
    <s v="Little_Mountain"/>
    <x v="0"/>
    <s v="Acer"/>
    <s v="saccharum"/>
    <s v="Sapindaceae"/>
    <x v="2"/>
  </r>
  <r>
    <x v="5"/>
    <d v="2026-06-26T00:00:00"/>
    <x v="5"/>
    <n v="1439"/>
    <x v="0"/>
    <n v="56.4"/>
    <s v="L"/>
    <s v="slight lean"/>
    <s v="1439_1"/>
    <s v="Little_Mountain"/>
    <x v="0"/>
    <s v="Magnolia"/>
    <s v="acuminata"/>
    <s v="Magnoliaceae"/>
    <x v="4"/>
  </r>
  <r>
    <x v="5"/>
    <d v="2026-06-26T00:00:00"/>
    <x v="0"/>
    <n v="1440"/>
    <x v="0"/>
    <n v="4.7"/>
    <s v="W"/>
    <m/>
    <s v="1440_1"/>
    <s v="Little_Mountain"/>
    <x v="0"/>
    <s v="Acer"/>
    <s v="saccharum"/>
    <s v="Sapindaceae"/>
    <x v="2"/>
  </r>
  <r>
    <x v="5"/>
    <d v="2026-06-26T00:00:00"/>
    <x v="0"/>
    <n v="1441"/>
    <x v="0"/>
    <n v="1.7"/>
    <s v="A"/>
    <s v="POM at 1.27m"/>
    <s v="1441_1"/>
    <s v="Little_Mountain"/>
    <x v="0"/>
    <s v="Acer"/>
    <s v="saccharum"/>
    <s v="Sapindaceae"/>
    <x v="2"/>
  </r>
  <r>
    <x v="5"/>
    <d v="2026-06-26T00:00:00"/>
    <x v="0"/>
    <n v="1442"/>
    <x v="0"/>
    <n v="2.6"/>
    <s v="N/A"/>
    <m/>
    <s v="1442_1"/>
    <s v="Little_Mountain"/>
    <x v="0"/>
    <s v="Acer"/>
    <s v="saccharum"/>
    <s v="Sapindaceae"/>
    <x v="2"/>
  </r>
  <r>
    <x v="5"/>
    <d v="2026-06-26T00:00:00"/>
    <x v="0"/>
    <n v="1443"/>
    <x v="0"/>
    <n v="5.9"/>
    <s v="L"/>
    <m/>
    <s v="1443_1"/>
    <s v="Little_Mountain"/>
    <x v="0"/>
    <s v="Acer"/>
    <s v="saccharum"/>
    <s v="Sapindaceae"/>
    <x v="5"/>
  </r>
  <r>
    <x v="5"/>
    <d v="2026-06-26T00:00:00"/>
    <x v="0"/>
    <n v="1444"/>
    <x v="0"/>
    <n v="1.3"/>
    <s v="L"/>
    <s v="curved, soft tape"/>
    <s v="1444_1"/>
    <s v="Little_Mountain"/>
    <x v="0"/>
    <s v="Acer"/>
    <s v="saccharum"/>
    <s v="Sapindaceae"/>
    <x v="2"/>
  </r>
  <r>
    <x v="5"/>
    <d v="2026-06-26T00:00:00"/>
    <x v="0"/>
    <n v="1445"/>
    <x v="0"/>
    <n v="2.1"/>
    <s v="L"/>
    <s v="slight lean"/>
    <s v="1445_1"/>
    <s v="Little_Mountain"/>
    <x v="0"/>
    <s v="Acer"/>
    <s v="saccharum"/>
    <s v="Sapindaceae"/>
    <x v="2"/>
  </r>
  <r>
    <x v="5"/>
    <d v="2026-06-26T00:00:00"/>
    <x v="2"/>
    <n v="1446"/>
    <x v="0"/>
    <n v="23.5"/>
    <s v="L"/>
    <m/>
    <s v="1446_1"/>
    <s v="Little_Mountain"/>
    <x v="0"/>
    <s v="Acer"/>
    <s v="rubrum"/>
    <s v="Sapindaceae"/>
    <x v="0"/>
  </r>
  <r>
    <x v="5"/>
    <d v="2026-06-26T00:00:00"/>
    <x v="0"/>
    <n v="1447"/>
    <x v="0"/>
    <n v="4"/>
    <s v="L,A"/>
    <s v="POM at 1.28m, slight lean"/>
    <s v="1447_1"/>
    <s v="Little_Mountain"/>
    <x v="0"/>
    <s v="Acer"/>
    <s v="saccharum"/>
    <s v="Sapindaceae"/>
    <x v="2"/>
  </r>
  <r>
    <x v="5"/>
    <d v="2026-06-26T00:00:00"/>
    <x v="0"/>
    <n v="1448"/>
    <x v="0"/>
    <n v="6.4"/>
    <s v="L,A"/>
    <s v="POM at 1.25m, slight lean"/>
    <s v="1448_1"/>
    <s v="Little_Mountain"/>
    <x v="0"/>
    <s v="Acer"/>
    <s v="saccharum"/>
    <s v="Sapindaceae"/>
    <x v="5"/>
  </r>
  <r>
    <x v="5"/>
    <d v="2026-06-26T00:00:00"/>
    <x v="0"/>
    <n v="1449"/>
    <x v="0"/>
    <n v="1.9"/>
    <s v="X,A"/>
    <s v="POM at 1.28m"/>
    <s v="1449_1"/>
    <s v="Little_Mountain"/>
    <x v="0"/>
    <s v="Acer"/>
    <s v="saccharum"/>
    <s v="Sapindaceae"/>
    <x v="2"/>
  </r>
  <r>
    <x v="5"/>
    <d v="2026-06-26T00:00:00"/>
    <x v="0"/>
    <n v="1450"/>
    <x v="0"/>
    <n v="14.1"/>
    <s v="L"/>
    <m/>
    <s v="1450_1"/>
    <s v="Little_Mountain"/>
    <x v="0"/>
    <s v="Acer"/>
    <s v="saccharum"/>
    <s v="Sapindaceae"/>
    <x v="3"/>
  </r>
  <r>
    <x v="5"/>
    <d v="2026-06-26T00:00:00"/>
    <x v="0"/>
    <n v="1451"/>
    <x v="0"/>
    <n v="4.0999999999999996"/>
    <s v="L,I"/>
    <m/>
    <s v="1451_1"/>
    <s v="Little_Mountain"/>
    <x v="0"/>
    <s v="Acer"/>
    <s v="saccharum"/>
    <s v="Sapindaceae"/>
    <x v="2"/>
  </r>
  <r>
    <x v="5"/>
    <d v="2026-06-26T00:00:00"/>
    <x v="0"/>
    <n v="1452"/>
    <x v="0"/>
    <n v="3.4"/>
    <s v="A"/>
    <s v="POM at 1.28m"/>
    <s v="1452_1"/>
    <s v="Little_Mountain"/>
    <x v="0"/>
    <s v="Acer"/>
    <s v="saccharum"/>
    <s v="Sapindaceae"/>
    <x v="2"/>
  </r>
  <r>
    <x v="5"/>
    <d v="2026-06-26T00:00:00"/>
    <x v="0"/>
    <n v="1453"/>
    <x v="0"/>
    <n v="8.1"/>
    <s v="W"/>
    <s v="soft tape"/>
    <s v="1453_1"/>
    <s v="Little_Mountain"/>
    <x v="0"/>
    <s v="Acer"/>
    <s v="saccharum"/>
    <s v="Sapindaceae"/>
    <x v="5"/>
  </r>
  <r>
    <x v="5"/>
    <d v="2026-06-26T00:00:00"/>
    <x v="0"/>
    <n v="1454"/>
    <x v="0"/>
    <n v="1.7"/>
    <s v="M"/>
    <m/>
    <s v="1454_1"/>
    <s v="Little_Mountain"/>
    <x v="0"/>
    <s v="Acer"/>
    <s v="saccharum"/>
    <s v="Sapindaceae"/>
    <x v="2"/>
  </r>
  <r>
    <x v="5"/>
    <d v="2026-06-26T00:00:00"/>
    <x v="0"/>
    <n v="1454"/>
    <x v="1"/>
    <n v="1.1000000000000001"/>
    <s v="M"/>
    <m/>
    <s v="1454_2"/>
    <s v="Little_Mountain"/>
    <x v="0"/>
    <s v="Acer"/>
    <s v="saccharum"/>
    <s v="Sapindaceae"/>
    <x v="2"/>
  </r>
  <r>
    <x v="5"/>
    <d v="2026-06-26T00:00:00"/>
    <x v="3"/>
    <n v="1455"/>
    <x v="0"/>
    <n v="82"/>
    <s v="N/A"/>
    <m/>
    <s v="1455_1"/>
    <s v="Little_Mountain"/>
    <x v="0"/>
    <s v="Lirodendron"/>
    <s v="tulipfera"/>
    <s v="Magnoliaceae"/>
    <x v="4"/>
  </r>
  <r>
    <x v="5"/>
    <d v="2026-06-26T00:00:00"/>
    <x v="0"/>
    <n v="1456"/>
    <x v="0"/>
    <n v="3.1"/>
    <s v="W,B"/>
    <m/>
    <s v="1456_1"/>
    <s v="Little_Mountain"/>
    <x v="0"/>
    <s v="Acer"/>
    <s v="saccharum"/>
    <s v="Sapindaceae"/>
    <x v="2"/>
  </r>
  <r>
    <x v="5"/>
    <d v="2026-06-26T00:00:00"/>
    <x v="2"/>
    <n v="1457"/>
    <x v="0"/>
    <n v="4.3"/>
    <s v="N/A"/>
    <m/>
    <s v="1457_1"/>
    <s v="Little_Mountain"/>
    <x v="0"/>
    <s v="Acer"/>
    <s v="rubrum"/>
    <s v="Sapindaceae"/>
    <x v="2"/>
  </r>
  <r>
    <x v="5"/>
    <d v="2026-06-26T00:00:00"/>
    <x v="2"/>
    <n v="1458"/>
    <x v="0"/>
    <n v="2.6"/>
    <s v="L"/>
    <m/>
    <s v="1458_1"/>
    <s v="Little_Mountain"/>
    <x v="0"/>
    <s v="Acer"/>
    <s v="rubrum"/>
    <s v="Sapindaceae"/>
    <x v="2"/>
  </r>
  <r>
    <x v="5"/>
    <d v="2026-06-26T00:00:00"/>
    <x v="7"/>
    <n v="1459"/>
    <x v="0"/>
    <n v="1.3"/>
    <s v="N/A"/>
    <s v="nearly dead"/>
    <s v="1459_1"/>
    <s v="Little_Mountain"/>
    <x v="0"/>
    <s v="Fagus"/>
    <s v="grandifolia"/>
    <s v="Fagaceae"/>
    <x v="2"/>
  </r>
  <r>
    <x v="5"/>
    <d v="2026-06-26T00:00:00"/>
    <x v="0"/>
    <n v="1460"/>
    <x v="0"/>
    <n v="6.9"/>
    <s v="L"/>
    <m/>
    <s v="1460_1"/>
    <s v="Little_Mountain"/>
    <x v="0"/>
    <s v="Acer"/>
    <s v="saccharum"/>
    <s v="Sapindaceae"/>
    <x v="5"/>
  </r>
  <r>
    <x v="5"/>
    <d v="2026-06-26T00:00:00"/>
    <x v="0"/>
    <n v="1461"/>
    <x v="0"/>
    <n v="5.7"/>
    <s v="N/A"/>
    <m/>
    <s v="1461_1"/>
    <s v="Little_Mountain"/>
    <x v="0"/>
    <s v="Acer"/>
    <s v="saccharum"/>
    <s v="Sapindaceae"/>
    <x v="5"/>
  </r>
  <r>
    <x v="5"/>
    <d v="2026-06-26T00:00:00"/>
    <x v="2"/>
    <n v="1462"/>
    <x v="0"/>
    <n v="49"/>
    <s v="N/A"/>
    <m/>
    <s v="1462_1"/>
    <s v="Little_Mountain"/>
    <x v="0"/>
    <s v="Acer"/>
    <s v="rubrum"/>
    <s v="Sapindaceae"/>
    <x v="1"/>
  </r>
  <r>
    <x v="5"/>
    <d v="2026-06-26T00:00:00"/>
    <x v="0"/>
    <n v="1463"/>
    <x v="0"/>
    <n v="1.9"/>
    <s v="W"/>
    <s v="soft tape"/>
    <s v="1463_1"/>
    <s v="Little_Mountain"/>
    <x v="0"/>
    <s v="Acer"/>
    <s v="saccharum"/>
    <s v="Sapindaceae"/>
    <x v="2"/>
  </r>
  <r>
    <x v="5"/>
    <d v="2026-06-26T00:00:00"/>
    <x v="7"/>
    <n v="1464"/>
    <x v="0"/>
    <n v="3.3"/>
    <s v="L,A"/>
    <s v="POM at 1.24m, slight lean"/>
    <s v="1464_1"/>
    <s v="Little_Mountain"/>
    <x v="0"/>
    <s v="Fagus"/>
    <s v="grandifolia"/>
    <s v="Fagaceae"/>
    <x v="2"/>
  </r>
  <r>
    <x v="5"/>
    <d v="2026-06-26T00:00:00"/>
    <x v="0"/>
    <n v="1465"/>
    <x v="0"/>
    <n v="2.6"/>
    <s v="L"/>
    <s v="slight lean"/>
    <s v="1465_1"/>
    <s v="Little_Mountain"/>
    <x v="0"/>
    <s v="Acer"/>
    <s v="saccharum"/>
    <s v="Sapindaceae"/>
    <x v="2"/>
  </r>
  <r>
    <x v="5"/>
    <d v="2026-06-26T00:00:00"/>
    <x v="2"/>
    <n v="1466"/>
    <x v="0"/>
    <n v="32.5"/>
    <s v="W"/>
    <m/>
    <s v="1466_1"/>
    <s v="Little_Mountain"/>
    <x v="0"/>
    <s v="Acer"/>
    <s v="rubrum"/>
    <s v="Sapindaceae"/>
    <x v="0"/>
  </r>
  <r>
    <x v="5"/>
    <d v="2026-06-26T00:00:00"/>
    <x v="0"/>
    <n v="1467"/>
    <x v="0"/>
    <n v="2"/>
    <s v="L"/>
    <m/>
    <s v="1467_1"/>
    <s v="Little_Mountain"/>
    <x v="0"/>
    <s v="Acer"/>
    <s v="saccharum"/>
    <s v="Sapindaceae"/>
    <x v="2"/>
  </r>
  <r>
    <x v="5"/>
    <d v="2026-06-26T00:00:00"/>
    <x v="0"/>
    <n v="1468"/>
    <x v="0"/>
    <n v="4"/>
    <s v="L,I"/>
    <s v="knots"/>
    <s v="1468_1"/>
    <s v="Little_Mountain"/>
    <x v="0"/>
    <s v="Acer"/>
    <s v="saccharum"/>
    <s v="Sapindaceae"/>
    <x v="2"/>
  </r>
  <r>
    <x v="5"/>
    <d v="2026-06-26T00:00:00"/>
    <x v="1"/>
    <n v="1469"/>
    <x v="0"/>
    <n v="7.3"/>
    <s v="W,A"/>
    <s v="POM at 1.26m, soft tape"/>
    <s v="1469_1"/>
    <s v="Little_Mountain"/>
    <x v="0"/>
    <s v="Prunus"/>
    <s v="serotina"/>
    <s v="Rosaceae"/>
    <x v="5"/>
  </r>
  <r>
    <x v="5"/>
    <d v="2026-06-26T00:00:00"/>
    <x v="0"/>
    <n v="1470"/>
    <x v="0"/>
    <n v="5"/>
    <s v="N/A"/>
    <m/>
    <s v="1470_1"/>
    <s v="Little_Mountain"/>
    <x v="0"/>
    <s v="Acer"/>
    <s v="saccharum"/>
    <s v="Sapindaceae"/>
    <x v="2"/>
  </r>
  <r>
    <x v="5"/>
    <d v="2026-06-26T00:00:00"/>
    <x v="0"/>
    <n v="1471"/>
    <x v="0"/>
    <n v="2.8"/>
    <s v="A"/>
    <s v="POM at 1.28m"/>
    <s v="1471_1"/>
    <s v="Little_Mountain"/>
    <x v="0"/>
    <s v="Acer"/>
    <s v="saccharum"/>
    <s v="Sapindaceae"/>
    <x v="2"/>
  </r>
  <r>
    <x v="5"/>
    <d v="2026-06-26T00:00:00"/>
    <x v="2"/>
    <n v="1472"/>
    <x v="0"/>
    <n v="5"/>
    <s v="L"/>
    <m/>
    <s v="1472_1"/>
    <s v="Little_Mountain"/>
    <x v="0"/>
    <s v="Acer"/>
    <s v="rubrum"/>
    <s v="Sapindaceae"/>
    <x v="2"/>
  </r>
  <r>
    <x v="5"/>
    <d v="2026-06-26T00:00:00"/>
    <x v="0"/>
    <n v="1473"/>
    <x v="0"/>
    <n v="2.8"/>
    <s v="L"/>
    <s v="branch below POM &lt;1cm "/>
    <s v="1473_1"/>
    <s v="Little_Mountain"/>
    <x v="0"/>
    <s v="Acer"/>
    <s v="saccharum"/>
    <s v="Sapindaceae"/>
    <x v="2"/>
  </r>
  <r>
    <x v="5"/>
    <d v="2026-06-26T00:00:00"/>
    <x v="0"/>
    <n v="1474"/>
    <x v="0"/>
    <n v="52.8"/>
    <s v="W,A"/>
    <s v="POM at 1.28m"/>
    <s v="1474_1"/>
    <s v="Little_Mountain"/>
    <x v="0"/>
    <s v="Acer"/>
    <s v="saccharum"/>
    <s v="Sapindaceae"/>
    <x v="4"/>
  </r>
  <r>
    <x v="5"/>
    <d v="2026-06-26T00:00:00"/>
    <x v="5"/>
    <n v="1475"/>
    <x v="0"/>
    <n v="52.8"/>
    <s v="N/A"/>
    <m/>
    <s v="1475_1"/>
    <s v="Little_Mountain"/>
    <x v="0"/>
    <s v="Magnolia"/>
    <s v="acuminata"/>
    <s v="Magnoliaceae"/>
    <x v="4"/>
  </r>
  <r>
    <x v="5"/>
    <d v="2026-06-26T00:00:00"/>
    <x v="20"/>
    <n v="1476"/>
    <x v="0"/>
    <n v="6.1"/>
    <s v="W"/>
    <m/>
    <s v="1476_1"/>
    <s v="Little_Mountain"/>
    <x v="0"/>
    <s v="Fraxinus"/>
    <s v="species"/>
    <s v="Oleaceae"/>
    <x v="5"/>
  </r>
  <r>
    <x v="5"/>
    <d v="2026-06-26T00:00:00"/>
    <x v="0"/>
    <n v="1477"/>
    <x v="0"/>
    <n v="5.2"/>
    <s v="A"/>
    <s v="POM at 1.28m"/>
    <s v="1477_1"/>
    <s v="Little_Mountain"/>
    <x v="0"/>
    <s v="Acer"/>
    <s v="saccharum"/>
    <s v="Sapindaceae"/>
    <x v="5"/>
  </r>
  <r>
    <x v="5"/>
    <d v="2026-06-26T00:00:00"/>
    <x v="0"/>
    <n v="1478"/>
    <x v="0"/>
    <n v="6.8"/>
    <s v="A"/>
    <s v="POM at 1.28m"/>
    <s v="1478_1"/>
    <s v="Little_Mountain"/>
    <x v="0"/>
    <s v="Acer"/>
    <s v="saccharum"/>
    <s v="Sapindaceae"/>
    <x v="5"/>
  </r>
  <r>
    <x v="5"/>
    <d v="2026-06-26T00:00:00"/>
    <x v="0"/>
    <n v="1479"/>
    <x v="0"/>
    <n v="2.7"/>
    <s v="N/A"/>
    <m/>
    <s v="1479_1"/>
    <s v="Little_Mountain"/>
    <x v="0"/>
    <s v="Acer"/>
    <s v="saccharum"/>
    <s v="Sapindaceae"/>
    <x v="2"/>
  </r>
  <r>
    <x v="5"/>
    <d v="2026-06-26T00:00:00"/>
    <x v="0"/>
    <n v="1480"/>
    <x v="0"/>
    <n v="4.2"/>
    <s v="L"/>
    <s v="slight lean"/>
    <s v="1480_1"/>
    <s v="Little_Mountain"/>
    <x v="0"/>
    <s v="Acer"/>
    <s v="saccharum"/>
    <s v="Sapindaceae"/>
    <x v="2"/>
  </r>
  <r>
    <x v="5"/>
    <d v="2026-06-26T00:00:00"/>
    <x v="0"/>
    <n v="1481"/>
    <x v="0"/>
    <n v="4.9000000000000004"/>
    <s v="L,A"/>
    <s v="POM at 1.28m, slight lean"/>
    <s v="1481_1"/>
    <s v="Little_Mountain"/>
    <x v="0"/>
    <s v="Acer"/>
    <s v="saccharum"/>
    <s v="Sapindaceae"/>
    <x v="2"/>
  </r>
  <r>
    <x v="5"/>
    <d v="2026-06-26T00:00:00"/>
    <x v="0"/>
    <n v="1482"/>
    <x v="0"/>
    <n v="3.9"/>
    <s v="L"/>
    <s v="slight lean"/>
    <s v="1482_1"/>
    <s v="Little_Mountain"/>
    <x v="0"/>
    <s v="Acer"/>
    <s v="saccharum"/>
    <s v="Sapindaceae"/>
    <x v="2"/>
  </r>
  <r>
    <x v="5"/>
    <d v="2026-06-26T00:00:00"/>
    <x v="0"/>
    <n v="1483"/>
    <x v="0"/>
    <n v="20.7"/>
    <s v="L"/>
    <m/>
    <s v="1483_1"/>
    <s v="Little_Mountain"/>
    <x v="0"/>
    <s v="Acer"/>
    <s v="saccharum"/>
    <s v="Sapindaceae"/>
    <x v="0"/>
  </r>
  <r>
    <x v="5"/>
    <d v="2026-06-26T00:00:00"/>
    <x v="0"/>
    <n v="1484"/>
    <x v="0"/>
    <n v="17.600000000000001"/>
    <s v="L"/>
    <m/>
    <s v="1484_1"/>
    <s v="Little_Mountain"/>
    <x v="0"/>
    <s v="Acer"/>
    <s v="saccharum"/>
    <s v="Sapindaceae"/>
    <x v="3"/>
  </r>
  <r>
    <x v="5"/>
    <d v="2026-06-26T00:00:00"/>
    <x v="0"/>
    <n v="1485"/>
    <x v="0"/>
    <n v="4.2"/>
    <s v="L"/>
    <m/>
    <s v="1485_1"/>
    <s v="Little_Mountain"/>
    <x v="0"/>
    <s v="Acer"/>
    <s v="saccharum"/>
    <s v="Sapindaceae"/>
    <x v="2"/>
  </r>
  <r>
    <x v="5"/>
    <d v="2026-06-26T00:00:00"/>
    <x v="0"/>
    <n v="1486"/>
    <x v="0"/>
    <n v="4.5999999999999996"/>
    <s v="N/A"/>
    <m/>
    <s v="1486_1"/>
    <s v="Little_Mountain"/>
    <x v="0"/>
    <s v="Acer"/>
    <s v="saccharum"/>
    <s v="Sapindaceae"/>
    <x v="2"/>
  </r>
  <r>
    <x v="5"/>
    <d v="2026-06-26T00:00:00"/>
    <x v="0"/>
    <n v="1487"/>
    <x v="0"/>
    <n v="4.2"/>
    <s v="W"/>
    <s v="soft tape"/>
    <s v="1487_1"/>
    <s v="Little_Mountain"/>
    <x v="0"/>
    <s v="Acer"/>
    <s v="saccharum"/>
    <s v="Sapindaceae"/>
    <x v="2"/>
  </r>
  <r>
    <x v="5"/>
    <d v="2026-06-26T00:00:00"/>
    <x v="0"/>
    <n v="1488"/>
    <x v="0"/>
    <n v="10.6"/>
    <s v="N/A"/>
    <m/>
    <s v="1488_1"/>
    <s v="Little_Mountain"/>
    <x v="0"/>
    <s v="Acer"/>
    <s v="saccharum"/>
    <s v="Sapindaceae"/>
    <x v="3"/>
  </r>
  <r>
    <x v="5"/>
    <d v="2026-06-26T00:00:00"/>
    <x v="0"/>
    <n v="1489"/>
    <x v="0"/>
    <n v="5.0999999999999996"/>
    <s v="N/A"/>
    <m/>
    <s v="1489_1"/>
    <s v="Little_Mountain"/>
    <x v="0"/>
    <s v="Acer"/>
    <s v="saccharum"/>
    <s v="Sapindaceae"/>
    <x v="5"/>
  </r>
  <r>
    <x v="5"/>
    <d v="2026-06-26T00:00:00"/>
    <x v="0"/>
    <n v="1490"/>
    <x v="0"/>
    <n v="2.2999999999999998"/>
    <s v="W"/>
    <m/>
    <s v="1490_1"/>
    <s v="Little_Mountain"/>
    <x v="0"/>
    <s v="Acer"/>
    <s v="saccharum"/>
    <s v="Sapindaceae"/>
    <x v="2"/>
  </r>
  <r>
    <x v="5"/>
    <d v="2026-06-26T00:00:00"/>
    <x v="1"/>
    <n v="1491"/>
    <x v="0"/>
    <n v="69.3"/>
    <s v="L"/>
    <m/>
    <s v="1491_1"/>
    <s v="Little_Mountain"/>
    <x v="0"/>
    <s v="Prunus"/>
    <s v="serotina"/>
    <s v="Rosaceae"/>
    <x v="4"/>
  </r>
  <r>
    <x v="5"/>
    <d v="2026-06-26T00:00:00"/>
    <x v="7"/>
    <n v="1492"/>
    <x v="0"/>
    <n v="35"/>
    <s v="N/A"/>
    <m/>
    <s v="1492_1"/>
    <s v="Little_Mountain"/>
    <x v="0"/>
    <s v="Fagus"/>
    <s v="grandifolia"/>
    <s v="Fagaceae"/>
    <x v="0"/>
  </r>
  <r>
    <x v="5"/>
    <d v="2026-06-26T00:00:00"/>
    <x v="0"/>
    <n v="1493"/>
    <x v="0"/>
    <n v="6.3"/>
    <s v="A"/>
    <s v="POM at 1.28m"/>
    <s v="1493_1"/>
    <s v="Little_Mountain"/>
    <x v="0"/>
    <s v="Acer"/>
    <s v="saccharum"/>
    <s v="Sapindaceae"/>
    <x v="5"/>
  </r>
  <r>
    <x v="5"/>
    <d v="2026-06-26T00:00:00"/>
    <x v="0"/>
    <n v="1494"/>
    <x v="0"/>
    <n v="4.3"/>
    <s v="N/A"/>
    <m/>
    <s v="1494_1"/>
    <s v="Little_Mountain"/>
    <x v="0"/>
    <s v="Acer"/>
    <s v="saccharum"/>
    <s v="Sapindaceae"/>
    <x v="2"/>
  </r>
  <r>
    <x v="5"/>
    <d v="2026-06-26T00:00:00"/>
    <x v="0"/>
    <n v="1495"/>
    <x v="0"/>
    <n v="3.3"/>
    <s v="N/A"/>
    <m/>
    <s v="1495_1"/>
    <s v="Little_Mountain"/>
    <x v="0"/>
    <s v="Acer"/>
    <s v="saccharum"/>
    <s v="Sapindaceae"/>
    <x v="2"/>
  </r>
  <r>
    <x v="5"/>
    <d v="2026-06-26T00:00:00"/>
    <x v="0"/>
    <n v="1496"/>
    <x v="0"/>
    <n v="12.3"/>
    <s v="L"/>
    <s v="slight lean"/>
    <s v="1496_1"/>
    <s v="Little_Mountain"/>
    <x v="0"/>
    <s v="Acer"/>
    <s v="saccharum"/>
    <s v="Sapindaceae"/>
    <x v="3"/>
  </r>
  <r>
    <x v="5"/>
    <d v="2026-06-26T00:00:00"/>
    <x v="4"/>
    <n v="1497"/>
    <x v="0"/>
    <n v="42.6"/>
    <s v="N/A"/>
    <m/>
    <s v="1497_1"/>
    <s v="Little_Mountain"/>
    <x v="0"/>
    <s v="Sassafras"/>
    <s v="albidum"/>
    <s v="Lauraceae"/>
    <x v="1"/>
  </r>
  <r>
    <x v="5"/>
    <d v="2026-06-26T00:00:00"/>
    <x v="0"/>
    <n v="1498"/>
    <x v="0"/>
    <n v="14.8"/>
    <s v="M"/>
    <s v="POM at 1.18m, knots"/>
    <s v="1498_1"/>
    <s v="Little_Mountain"/>
    <x v="0"/>
    <s v="Acer"/>
    <s v="saccharum"/>
    <s v="Sapindaceae"/>
    <x v="3"/>
  </r>
  <r>
    <x v="5"/>
    <d v="2026-06-26T00:00:00"/>
    <x v="0"/>
    <n v="1498"/>
    <x v="1"/>
    <n v="4.5"/>
    <s v="M,L"/>
    <s v="POM at 1.18m, knots"/>
    <s v="1498_2"/>
    <s v="Little_Mountain"/>
    <x v="0"/>
    <s v="Acer"/>
    <s v="saccharum"/>
    <s v="Sapindaceae"/>
    <x v="2"/>
  </r>
  <r>
    <x v="5"/>
    <d v="2026-06-26T00:00:00"/>
    <x v="0"/>
    <n v="1499"/>
    <x v="0"/>
    <n v="4"/>
    <s v="M,L"/>
    <s v="POM at 1.28, soft tape"/>
    <s v="1499_1"/>
    <s v="Little_Mountain"/>
    <x v="0"/>
    <s v="Acer"/>
    <s v="saccharum"/>
    <s v="Sapindaceae"/>
    <x v="2"/>
  </r>
  <r>
    <x v="5"/>
    <d v="2026-06-26T00:00:00"/>
    <x v="0"/>
    <n v="1499"/>
    <x v="1"/>
    <n v="1.2"/>
    <s v="M,L"/>
    <s v="POM at 1.28, soft tape"/>
    <s v="1499_2"/>
    <s v="Little_Mountain"/>
    <x v="0"/>
    <s v="Acer"/>
    <s v="saccharum"/>
    <s v="Sapindaceae"/>
    <x v="2"/>
  </r>
  <r>
    <x v="5"/>
    <d v="2026-06-26T00:00:00"/>
    <x v="0"/>
    <n v="1500"/>
    <x v="0"/>
    <n v="4.2"/>
    <s v="L"/>
    <m/>
    <s v="1500_1"/>
    <s v="Little_Mountain"/>
    <x v="0"/>
    <s v="Acer"/>
    <s v="saccharum"/>
    <s v="Sapindaceae"/>
    <x v="2"/>
  </r>
  <r>
    <x v="5"/>
    <d v="2026-06-26T00:00:00"/>
    <x v="0"/>
    <n v="1501"/>
    <x v="0"/>
    <n v="7.5"/>
    <s v="L,A"/>
    <s v="POM at 1.28m "/>
    <s v="1501_1"/>
    <s v="Little_Mountain"/>
    <x v="0"/>
    <s v="Acer"/>
    <s v="saccharum"/>
    <s v="Sapindaceae"/>
    <x v="5"/>
  </r>
  <r>
    <x v="5"/>
    <d v="2026-06-26T00:00:00"/>
    <x v="0"/>
    <n v="1502"/>
    <x v="0"/>
    <n v="6.8"/>
    <s v="L"/>
    <m/>
    <s v="1502_1"/>
    <s v="Little_Mountain"/>
    <x v="0"/>
    <s v="Acer"/>
    <s v="saccharum"/>
    <s v="Sapindaceae"/>
    <x v="5"/>
  </r>
  <r>
    <x v="5"/>
    <d v="2026-06-26T00:00:00"/>
    <x v="0"/>
    <n v="1503"/>
    <x v="0"/>
    <n v="2.1"/>
    <s v="B,W,A"/>
    <s v="POM at 1.27m "/>
    <s v="1503_1"/>
    <s v="Little_Mountain"/>
    <x v="0"/>
    <s v="Acer"/>
    <s v="saccharum"/>
    <s v="Sapindaceae"/>
    <x v="2"/>
  </r>
  <r>
    <x v="5"/>
    <d v="2026-06-26T00:00:00"/>
    <x v="0"/>
    <n v="1504"/>
    <x v="0"/>
    <n v="47.2"/>
    <s v="L"/>
    <m/>
    <s v="1504_1"/>
    <s v="Little_Mountain"/>
    <x v="0"/>
    <s v="Acer"/>
    <s v="saccharum"/>
    <s v="Sapindaceae"/>
    <x v="1"/>
  </r>
  <r>
    <x v="5"/>
    <d v="2026-06-26T00:00:00"/>
    <x v="0"/>
    <n v="1505"/>
    <x v="0"/>
    <n v="4.9000000000000004"/>
    <s v="L"/>
    <m/>
    <s v="1505_1"/>
    <s v="Little_Mountain"/>
    <x v="0"/>
    <s v="Acer"/>
    <s v="saccharum"/>
    <s v="Sapindaceae"/>
    <x v="2"/>
  </r>
  <r>
    <x v="5"/>
    <d v="2026-06-26T00:00:00"/>
    <x v="0"/>
    <n v="1506"/>
    <x v="0"/>
    <n v="4.0999999999999996"/>
    <s v="L"/>
    <m/>
    <s v="1506_1"/>
    <s v="Little_Mountain"/>
    <x v="0"/>
    <s v="Acer"/>
    <s v="saccharum"/>
    <s v="Sapindaceae"/>
    <x v="2"/>
  </r>
  <r>
    <x v="5"/>
    <d v="2026-06-26T00:00:00"/>
    <x v="0"/>
    <n v="1507"/>
    <x v="0"/>
    <n v="3.2"/>
    <s v="L,I"/>
    <m/>
    <s v="1507_1"/>
    <s v="Little_Mountain"/>
    <x v="0"/>
    <s v="Acer"/>
    <s v="saccharum"/>
    <s v="Sapindaceae"/>
    <x v="2"/>
  </r>
  <r>
    <x v="5"/>
    <d v="2026-06-26T00:00:00"/>
    <x v="0"/>
    <n v="1508"/>
    <x v="0"/>
    <n v="25.2"/>
    <s v="L"/>
    <m/>
    <s v="1508_1"/>
    <s v="Little_Mountain"/>
    <x v="0"/>
    <s v="Acer"/>
    <s v="saccharum"/>
    <s v="Sapindaceae"/>
    <x v="0"/>
  </r>
  <r>
    <x v="5"/>
    <d v="2026-06-26T00:00:00"/>
    <x v="2"/>
    <n v="1509"/>
    <x v="0"/>
    <n v="53.9"/>
    <s v="L"/>
    <s v="Fungi indicating dying"/>
    <s v="1509_1"/>
    <s v="Little_Mountain"/>
    <x v="0"/>
    <s v="Acer"/>
    <s v="rubrum"/>
    <s v="Sapindaceae"/>
    <x v="4"/>
  </r>
  <r>
    <x v="5"/>
    <d v="2026-06-26T00:00:00"/>
    <x v="2"/>
    <n v="1510"/>
    <x v="0"/>
    <n v="53.2"/>
    <s v="N/A"/>
    <m/>
    <s v="1510_1"/>
    <s v="Little_Mountain"/>
    <x v="0"/>
    <s v="Acer"/>
    <s v="rubrum"/>
    <s v="Sapindaceae"/>
    <x v="4"/>
  </r>
  <r>
    <x v="5"/>
    <d v="2026-06-26T00:00:00"/>
    <x v="0"/>
    <n v="1511"/>
    <x v="0"/>
    <n v="5.6"/>
    <s v="W,A"/>
    <s v="soft measure used, POM = 1.28m"/>
    <s v="1511_1"/>
    <s v="Little_Mountain"/>
    <x v="0"/>
    <s v="Acer"/>
    <s v="saccharum"/>
    <s v="Sapindaceae"/>
    <x v="5"/>
  </r>
  <r>
    <x v="5"/>
    <d v="2026-06-26T00:00:00"/>
    <x v="0"/>
    <n v="1512"/>
    <x v="0"/>
    <n v="6"/>
    <s v="L"/>
    <m/>
    <s v="1512_1"/>
    <s v="Little_Mountain"/>
    <x v="0"/>
    <s v="Acer"/>
    <s v="saccharum"/>
    <s v="Sapindaceae"/>
    <x v="5"/>
  </r>
  <r>
    <x v="5"/>
    <d v="2026-06-26T00:00:00"/>
    <x v="0"/>
    <n v="1513"/>
    <x v="0"/>
    <n v="7.8"/>
    <s v="L"/>
    <m/>
    <s v="1513_1"/>
    <s v="Little_Mountain"/>
    <x v="0"/>
    <s v="Acer"/>
    <s v="saccharum"/>
    <s v="Sapindaceae"/>
    <x v="5"/>
  </r>
  <r>
    <x v="5"/>
    <d v="2026-06-26T00:00:00"/>
    <x v="0"/>
    <n v="1514"/>
    <x v="0"/>
    <n v="4.2"/>
    <s v="W"/>
    <s v="soft measure used"/>
    <s v="1514_1"/>
    <s v="Little_Mountain"/>
    <x v="0"/>
    <s v="Acer"/>
    <s v="saccharum"/>
    <s v="Sapindaceae"/>
    <x v="2"/>
  </r>
  <r>
    <x v="5"/>
    <d v="2026-06-26T00:00:00"/>
    <x v="0"/>
    <n v="1515"/>
    <x v="0"/>
    <n v="4.9000000000000004"/>
    <s v="M,W"/>
    <s v="soft measure used"/>
    <s v="1515_1"/>
    <s v="Little_Mountain"/>
    <x v="0"/>
    <s v="Acer"/>
    <s v="saccharum"/>
    <s v="Sapindaceae"/>
    <x v="2"/>
  </r>
  <r>
    <x v="5"/>
    <d v="2026-06-26T00:00:00"/>
    <x v="0"/>
    <n v="1515"/>
    <x v="1"/>
    <n v="3.2"/>
    <s v="M,W"/>
    <s v="soft measure used"/>
    <s v="1515_2"/>
    <s v="Little_Mountain"/>
    <x v="0"/>
    <s v="Acer"/>
    <s v="saccharum"/>
    <s v="Sapindaceae"/>
    <x v="2"/>
  </r>
  <r>
    <x v="5"/>
    <d v="2026-06-26T00:00:00"/>
    <x v="0"/>
    <n v="1515"/>
    <x v="2"/>
    <n v="1.8"/>
    <s v="M,W"/>
    <s v="soft measure used"/>
    <s v="1515_3"/>
    <s v="Little_Mountain"/>
    <x v="0"/>
    <s v="Acer"/>
    <s v="saccharum"/>
    <s v="Sapindaceae"/>
    <x v="2"/>
  </r>
  <r>
    <x v="5"/>
    <d v="2026-06-26T00:00:00"/>
    <x v="0"/>
    <n v="1515"/>
    <x v="3"/>
    <n v="1.3"/>
    <s v="M,W"/>
    <s v="soft measure used"/>
    <s v="1515_4"/>
    <s v="Little_Mountain"/>
    <x v="0"/>
    <s v="Acer"/>
    <s v="saccharum"/>
    <s v="Sapindaceae"/>
    <x v="2"/>
  </r>
  <r>
    <x v="5"/>
    <d v="2026-06-26T00:00:00"/>
    <x v="0"/>
    <n v="1516"/>
    <x v="0"/>
    <n v="8.3000000000000007"/>
    <s v="N/A"/>
    <m/>
    <s v="1516_1"/>
    <s v="Little_Mountain"/>
    <x v="0"/>
    <s v="Acer"/>
    <s v="saccharum"/>
    <s v="Sapindaceae"/>
    <x v="5"/>
  </r>
  <r>
    <x v="5"/>
    <d v="2026-06-26T00:00:00"/>
    <x v="2"/>
    <n v="1517"/>
    <x v="0"/>
    <n v="42.5"/>
    <s v="N/A"/>
    <m/>
    <s v="1517_1"/>
    <s v="Little_Mountain"/>
    <x v="0"/>
    <s v="Acer"/>
    <s v="rubrum"/>
    <s v="Sapindaceae"/>
    <x v="1"/>
  </r>
  <r>
    <x v="5"/>
    <d v="2026-06-26T00:00:00"/>
    <x v="0"/>
    <n v="1518"/>
    <x v="0"/>
    <n v="7.2"/>
    <s v="B,L"/>
    <s v="dead above in one branch"/>
    <s v="1518_1"/>
    <s v="Little_Mountain"/>
    <x v="0"/>
    <s v="Acer"/>
    <s v="saccharum"/>
    <s v="Sapindaceae"/>
    <x v="5"/>
  </r>
  <r>
    <x v="5"/>
    <d v="2026-06-26T00:00:00"/>
    <x v="2"/>
    <n v="1519"/>
    <x v="0"/>
    <n v="48.2"/>
    <s v="I"/>
    <s v="trunk is irregular"/>
    <s v="1519_1"/>
    <s v="Little_Mountain"/>
    <x v="0"/>
    <s v="Acer"/>
    <s v="rubrum"/>
    <s v="Sapindaceae"/>
    <x v="1"/>
  </r>
  <r>
    <x v="5"/>
    <d v="2026-06-26T00:00:00"/>
    <x v="7"/>
    <n v="1520"/>
    <x v="0"/>
    <n v="7.3"/>
    <s v="N/A"/>
    <m/>
    <s v="1520_1"/>
    <s v="Little_Mountain"/>
    <x v="0"/>
    <s v="Fagus"/>
    <s v="grandifolia"/>
    <s v="Fagaceae"/>
    <x v="5"/>
  </r>
  <r>
    <x v="5"/>
    <d v="2026-06-26T00:00:00"/>
    <x v="1"/>
    <n v="1521"/>
    <x v="0"/>
    <n v="71.599999999999994"/>
    <s v="N/A"/>
    <m/>
    <s v="1521_1"/>
    <s v="Little_Mountain"/>
    <x v="0"/>
    <s v="Prunus"/>
    <s v="serotina"/>
    <s v="Rosaceae"/>
    <x v="4"/>
  </r>
  <r>
    <x v="5"/>
    <d v="2026-06-26T00:00:00"/>
    <x v="0"/>
    <n v="1522"/>
    <x v="0"/>
    <n v="4.2"/>
    <s v="W"/>
    <s v="stick used"/>
    <s v="1522_1"/>
    <s v="Little_Mountain"/>
    <x v="0"/>
    <s v="Acer"/>
    <s v="saccharum"/>
    <s v="Sapindaceae"/>
    <x v="2"/>
  </r>
  <r>
    <x v="5"/>
    <d v="2026-06-26T00:00:00"/>
    <x v="0"/>
    <n v="1523"/>
    <x v="0"/>
    <n v="3.3"/>
    <s v="W"/>
    <s v="soft measure used"/>
    <s v="1523_1"/>
    <s v="Little_Mountain"/>
    <x v="0"/>
    <s v="Acer"/>
    <s v="saccharum"/>
    <s v="Sapindaceae"/>
    <x v="2"/>
  </r>
  <r>
    <x v="5"/>
    <d v="2026-06-26T00:00:00"/>
    <x v="7"/>
    <n v="1524"/>
    <x v="0"/>
    <n v="21.9"/>
    <s v="I"/>
    <m/>
    <s v="1524_1"/>
    <s v="Little_Mountain"/>
    <x v="0"/>
    <s v="Fagus"/>
    <s v="grandifolia"/>
    <s v="Fagaceae"/>
    <x v="0"/>
  </r>
  <r>
    <x v="5"/>
    <d v="2026-06-26T00:00:00"/>
    <x v="0"/>
    <n v="1525"/>
    <x v="0"/>
    <n v="4.0999999999999996"/>
    <s v="A"/>
    <s v="POM at 1.25m"/>
    <s v="1525_1"/>
    <s v="Little_Mountain"/>
    <x v="0"/>
    <s v="Acer"/>
    <s v="saccharum"/>
    <s v="Sapindaceae"/>
    <x v="2"/>
  </r>
  <r>
    <x v="5"/>
    <d v="2026-06-26T00:00:00"/>
    <x v="0"/>
    <n v="1526"/>
    <x v="0"/>
    <n v="4.3"/>
    <s v="L"/>
    <m/>
    <s v="1526_1"/>
    <s v="Little_Mountain"/>
    <x v="0"/>
    <s v="Acer"/>
    <s v="saccharum"/>
    <s v="Sapindaceae"/>
    <x v="2"/>
  </r>
  <r>
    <x v="5"/>
    <d v="2026-06-26T00:00:00"/>
    <x v="0"/>
    <n v="1527"/>
    <x v="0"/>
    <n v="3.6"/>
    <s v="L"/>
    <m/>
    <s v="1527_1"/>
    <s v="Little_Mountain"/>
    <x v="0"/>
    <s v="Acer"/>
    <s v="saccharum"/>
    <s v="Sapindaceae"/>
    <x v="2"/>
  </r>
  <r>
    <x v="5"/>
    <d v="2026-06-26T00:00:00"/>
    <x v="2"/>
    <n v="1528"/>
    <x v="0"/>
    <n v="38.799999999999997"/>
    <s v="I,A"/>
    <s v="weird bark, POM at 1.5m"/>
    <s v="1528_1"/>
    <s v="Little_Mountain"/>
    <x v="0"/>
    <s v="Acer"/>
    <s v="rubrum"/>
    <s v="Sapindaceae"/>
    <x v="0"/>
  </r>
  <r>
    <x v="5"/>
    <d v="2026-06-26T00:00:00"/>
    <x v="7"/>
    <n v="1529"/>
    <x v="0"/>
    <n v="11.7"/>
    <s v="N/A"/>
    <m/>
    <s v="1529_1"/>
    <s v="Little_Mountain"/>
    <x v="0"/>
    <s v="Fagus"/>
    <s v="grandifolia"/>
    <s v="Fagaceae"/>
    <x v="3"/>
  </r>
  <r>
    <x v="5"/>
    <d v="2026-06-26T00:00:00"/>
    <x v="0"/>
    <n v="1530"/>
    <x v="0"/>
    <n v="1.8"/>
    <s v="W"/>
    <s v="soft measure used"/>
    <s v="1530_1"/>
    <s v="Little_Mountain"/>
    <x v="0"/>
    <s v="Acer"/>
    <s v="saccharum"/>
    <s v="Sapindaceae"/>
    <x v="2"/>
  </r>
  <r>
    <x v="5"/>
    <d v="2026-06-26T00:00:00"/>
    <x v="3"/>
    <n v="1531"/>
    <x v="0"/>
    <n v="62.7"/>
    <s v="N/A"/>
    <m/>
    <s v="1531_1"/>
    <s v="Little_Mountain"/>
    <x v="0"/>
    <s v="Lirodendron"/>
    <s v="tulipfera"/>
    <s v="Magnoliaceae"/>
    <x v="4"/>
  </r>
  <r>
    <x v="5"/>
    <d v="2026-06-26T00:00:00"/>
    <x v="0"/>
    <n v="1532"/>
    <x v="0"/>
    <n v="3.3"/>
    <s v="B,W"/>
    <s v="soft measure used"/>
    <s v="1532_1"/>
    <s v="Little_Mountain"/>
    <x v="0"/>
    <s v="Acer"/>
    <s v="saccharum"/>
    <s v="Sapindaceae"/>
    <x v="2"/>
  </r>
  <r>
    <x v="5"/>
    <d v="2026-06-26T00:00:00"/>
    <x v="0"/>
    <n v="1533"/>
    <x v="0"/>
    <n v="3.3"/>
    <s v="L"/>
    <n v="3"/>
    <s v="1533_1"/>
    <s v="Little_Mountain"/>
    <x v="0"/>
    <s v="Acer"/>
    <s v="saccharum"/>
    <s v="Sapindaceae"/>
    <x v="2"/>
  </r>
  <r>
    <x v="5"/>
    <d v="2026-06-26T00:00:00"/>
    <x v="0"/>
    <n v="1534"/>
    <x v="0"/>
    <n v="6.2"/>
    <s v="N/A"/>
    <m/>
    <s v="1534_1"/>
    <s v="Little_Mountain"/>
    <x v="0"/>
    <s v="Acer"/>
    <s v="saccharum"/>
    <s v="Sapindaceae"/>
    <x v="5"/>
  </r>
  <r>
    <x v="5"/>
    <d v="2026-06-26T00:00:00"/>
    <x v="0"/>
    <n v="1535"/>
    <x v="0"/>
    <n v="3.5"/>
    <s v="L"/>
    <m/>
    <s v="1535_1"/>
    <s v="Little_Mountain"/>
    <x v="0"/>
    <s v="Acer"/>
    <s v="saccharum"/>
    <s v="Sapindaceae"/>
    <x v="2"/>
  </r>
  <r>
    <x v="5"/>
    <d v="2026-06-26T00:00:00"/>
    <x v="2"/>
    <n v="1536"/>
    <x v="0"/>
    <n v="82.8"/>
    <s v="I"/>
    <s v="slightly irregular shape"/>
    <s v="1536_1"/>
    <s v="Little_Mountain"/>
    <x v="0"/>
    <s v="Acer"/>
    <s v="rubrum"/>
    <s v="Sapindaceae"/>
    <x v="4"/>
  </r>
  <r>
    <x v="5"/>
    <d v="2026-06-26T00:00:00"/>
    <x v="6"/>
    <n v="1537"/>
    <x v="0"/>
    <n v="32.4"/>
    <s v="L"/>
    <m/>
    <s v="1537_1"/>
    <s v="Little_Mountain"/>
    <x v="0"/>
    <s v="Nyssa"/>
    <s v="sylvatica"/>
    <s v="Nyssaceae"/>
    <x v="0"/>
  </r>
  <r>
    <x v="5"/>
    <d v="2026-06-26T00:00:00"/>
    <x v="0"/>
    <n v="1538"/>
    <x v="0"/>
    <n v="10.4"/>
    <s v="N/A"/>
    <m/>
    <s v="1538_1"/>
    <s v="Little_Mountain"/>
    <x v="0"/>
    <s v="Acer"/>
    <s v="saccharum"/>
    <s v="Sapindaceae"/>
    <x v="3"/>
  </r>
  <r>
    <x v="5"/>
    <d v="2026-06-26T00:00:00"/>
    <x v="3"/>
    <n v="1539"/>
    <x v="0"/>
    <n v="79.2"/>
    <s v="N/A"/>
    <m/>
    <s v="1539_1"/>
    <s v="Little_Mountain"/>
    <x v="0"/>
    <s v="Lirodendron"/>
    <s v="tulipfera"/>
    <s v="Magnoliaceae"/>
    <x v="4"/>
  </r>
  <r>
    <x v="5"/>
    <d v="2026-06-26T00:00:00"/>
    <x v="0"/>
    <n v="1540"/>
    <x v="0"/>
    <n v="4.8"/>
    <s v="W"/>
    <s v="soft measure used"/>
    <s v="1540_1"/>
    <s v="Little_Mountain"/>
    <x v="0"/>
    <s v="Acer"/>
    <s v="saccharum"/>
    <s v="Sapindaceae"/>
    <x v="2"/>
  </r>
  <r>
    <x v="5"/>
    <d v="2026-06-26T00:00:00"/>
    <x v="0"/>
    <n v="1541"/>
    <x v="0"/>
    <n v="3.9"/>
    <s v="W"/>
    <s v="soft measure used"/>
    <s v="1541_1"/>
    <s v="Little_Mountain"/>
    <x v="0"/>
    <s v="Acer"/>
    <s v="saccharum"/>
    <s v="Sapindaceae"/>
    <x v="2"/>
  </r>
  <r>
    <x v="5"/>
    <d v="2026-06-26T00:00:00"/>
    <x v="0"/>
    <n v="1542"/>
    <x v="0"/>
    <n v="7.5"/>
    <s v="L"/>
    <m/>
    <s v="1542_1"/>
    <s v="Little_Mountain"/>
    <x v="0"/>
    <s v="Acer"/>
    <s v="saccharum"/>
    <s v="Sapindaceae"/>
    <x v="5"/>
  </r>
  <r>
    <x v="5"/>
    <d v="2026-06-26T00:00:00"/>
    <x v="7"/>
    <n v="1543"/>
    <x v="0"/>
    <n v="3.7"/>
    <s v="L"/>
    <m/>
    <s v="1543_1"/>
    <s v="Little_Mountain"/>
    <x v="0"/>
    <s v="Fagus"/>
    <s v="grandifolia"/>
    <s v="Fagaceae"/>
    <x v="2"/>
  </r>
  <r>
    <x v="5"/>
    <d v="2026-06-26T00:00:00"/>
    <x v="0"/>
    <n v="1544"/>
    <x v="0"/>
    <n v="5.2"/>
    <s v="L"/>
    <m/>
    <s v="1544_1"/>
    <s v="Little_Mountain"/>
    <x v="0"/>
    <s v="Acer"/>
    <s v="saccharum"/>
    <s v="Sapindaceae"/>
    <x v="5"/>
  </r>
  <r>
    <x v="5"/>
    <d v="2026-06-26T00:00:00"/>
    <x v="0"/>
    <n v="1545"/>
    <x v="0"/>
    <n v="3.1"/>
    <s v="L"/>
    <m/>
    <s v="1545_1"/>
    <s v="Little_Mountain"/>
    <x v="0"/>
    <s v="Acer"/>
    <s v="saccharum"/>
    <s v="Sapindaceae"/>
    <x v="2"/>
  </r>
  <r>
    <x v="5"/>
    <d v="2026-06-26T00:00:00"/>
    <x v="7"/>
    <n v="1546"/>
    <x v="0"/>
    <n v="55.6"/>
    <s v="M,L"/>
    <m/>
    <s v="1546_1"/>
    <s v="Little_Mountain"/>
    <x v="0"/>
    <s v="Fagus"/>
    <s v="grandifolia"/>
    <s v="Fagaceae"/>
    <x v="4"/>
  </r>
  <r>
    <x v="5"/>
    <d v="2026-06-26T00:00:00"/>
    <x v="7"/>
    <n v="1546"/>
    <x v="1"/>
    <n v="5.0999999999999996"/>
    <s v="M"/>
    <m/>
    <s v="1546_2"/>
    <s v="Little_Mountain"/>
    <x v="0"/>
    <s v="Fagus"/>
    <s v="grandifolia"/>
    <s v="Fagaceae"/>
    <x v="5"/>
  </r>
  <r>
    <x v="5"/>
    <d v="2026-06-26T00:00:00"/>
    <x v="7"/>
    <n v="1546"/>
    <x v="15"/>
    <n v="2.2999999999999998"/>
    <s v="M,X,A"/>
    <s v="POM at 1.28m"/>
    <s v="1546_2.2"/>
    <s v="Little_Mountain"/>
    <x v="0"/>
    <s v="Fagus"/>
    <s v="grandifolia"/>
    <s v="Fagaceae"/>
    <x v="2"/>
  </r>
  <r>
    <x v="5"/>
    <d v="2026-06-26T00:00:00"/>
    <x v="7"/>
    <n v="1546"/>
    <x v="2"/>
    <n v="1.4"/>
    <s v="M"/>
    <m/>
    <s v="1546_3"/>
    <s v="Little_Mountain"/>
    <x v="0"/>
    <s v="Fagus"/>
    <s v="grandifolia"/>
    <s v="Fagaceae"/>
    <x v="2"/>
  </r>
  <r>
    <x v="5"/>
    <d v="2026-06-26T00:00:00"/>
    <x v="7"/>
    <n v="1546"/>
    <x v="3"/>
    <n v="6.7"/>
    <s v="M"/>
    <m/>
    <s v="1546_4"/>
    <s v="Little_Mountain"/>
    <x v="0"/>
    <s v="Fagus"/>
    <s v="grandifolia"/>
    <s v="Fagaceae"/>
    <x v="5"/>
  </r>
  <r>
    <x v="5"/>
    <d v="2026-06-26T00:00:00"/>
    <x v="10"/>
    <n v="1547"/>
    <x v="0"/>
    <n v="66"/>
    <s v="L"/>
    <m/>
    <s v="1547_1"/>
    <s v="Little_Mountain"/>
    <x v="0"/>
    <s v="Quercus"/>
    <s v="rubra"/>
    <s v="Fagaceae"/>
    <x v="4"/>
  </r>
  <r>
    <x v="5"/>
    <d v="2026-06-26T00:00:00"/>
    <x v="0"/>
    <n v="1548"/>
    <x v="0"/>
    <n v="3.7"/>
    <s v="L"/>
    <m/>
    <s v="1548_1"/>
    <s v="Little_Mountain"/>
    <x v="0"/>
    <s v="Acer"/>
    <s v="saccharum"/>
    <s v="Sapindaceae"/>
    <x v="2"/>
  </r>
  <r>
    <x v="5"/>
    <d v="2026-06-26T00:00:00"/>
    <x v="0"/>
    <n v="1549"/>
    <x v="0"/>
    <n v="3.5"/>
    <s v="L"/>
    <m/>
    <s v="1549_1"/>
    <s v="Little_Mountain"/>
    <x v="0"/>
    <s v="Acer"/>
    <s v="saccharum"/>
    <s v="Sapindaceae"/>
    <x v="2"/>
  </r>
  <r>
    <x v="5"/>
    <d v="2026-06-26T00:00:00"/>
    <x v="2"/>
    <n v="1550"/>
    <x v="0"/>
    <n v="41.6"/>
    <s v="L"/>
    <m/>
    <s v="1550_1"/>
    <s v="Little_Mountain"/>
    <x v="0"/>
    <s v="Acer"/>
    <s v="rubrum"/>
    <s v="Sapindaceae"/>
    <x v="1"/>
  </r>
  <r>
    <x v="5"/>
    <d v="2026-06-26T00:00:00"/>
    <x v="2"/>
    <n v="1551"/>
    <x v="0"/>
    <n v="27.8"/>
    <s v="L"/>
    <m/>
    <s v="1551_1"/>
    <s v="Little_Mountain"/>
    <x v="0"/>
    <s v="Acer"/>
    <s v="rubrum"/>
    <s v="Sapindaceae"/>
    <x v="0"/>
  </r>
  <r>
    <x v="5"/>
    <d v="2026-06-26T00:00:00"/>
    <x v="0"/>
    <n v="1552"/>
    <x v="0"/>
    <n v="4.4000000000000004"/>
    <s v="L"/>
    <m/>
    <s v="1552_1"/>
    <s v="Little_Mountain"/>
    <x v="0"/>
    <s v="Acer"/>
    <s v="saccharum"/>
    <s v="Sapindaceae"/>
    <x v="2"/>
  </r>
  <r>
    <x v="5"/>
    <d v="2026-06-26T00:00:00"/>
    <x v="0"/>
    <n v="1553"/>
    <x v="0"/>
    <n v="1.3"/>
    <s v="L,A"/>
    <s v="POM at 1.28m"/>
    <s v="1553_1"/>
    <s v="Little_Mountain"/>
    <x v="0"/>
    <s v="Acer"/>
    <s v="saccharum"/>
    <s v="Sapindaceae"/>
    <x v="2"/>
  </r>
  <r>
    <x v="5"/>
    <d v="2026-06-26T00:00:00"/>
    <x v="0"/>
    <n v="1554"/>
    <x v="0"/>
    <n v="2.9"/>
    <s v="M"/>
    <m/>
    <s v="1554_1"/>
    <s v="Little_Mountain"/>
    <x v="0"/>
    <s v="Acer"/>
    <s v="saccharum"/>
    <s v="Sapindaceae"/>
    <x v="2"/>
  </r>
  <r>
    <x v="5"/>
    <d v="2026-06-26T00:00:00"/>
    <x v="0"/>
    <n v="1554"/>
    <x v="1"/>
    <n v="1.5"/>
    <s v="M"/>
    <m/>
    <s v="1554_2"/>
    <s v="Little_Mountain"/>
    <x v="0"/>
    <s v="Acer"/>
    <s v="saccharum"/>
    <s v="Sapindaceae"/>
    <x v="2"/>
  </r>
  <r>
    <x v="5"/>
    <d v="2026-06-26T00:00:00"/>
    <x v="3"/>
    <n v="1555"/>
    <x v="0"/>
    <n v="47.4"/>
    <s v="W"/>
    <s v="soft measure used"/>
    <s v="1555_1"/>
    <s v="Little_Mountain"/>
    <x v="0"/>
    <s v="Lirodendron"/>
    <s v="tulipfera"/>
    <s v="Magnoliaceae"/>
    <x v="1"/>
  </r>
  <r>
    <x v="6"/>
    <d v="2026-06-29T00:00:00"/>
    <x v="0"/>
    <n v="1558"/>
    <x v="0"/>
    <n v="4.8"/>
    <s v="A"/>
    <s v="POM at 1.19m, knots on all trunk"/>
    <s v="1558_1"/>
    <s v="Stebbins_Core"/>
    <x v="2"/>
    <s v="Acer"/>
    <s v="saccharum"/>
    <s v="Sapindaceae"/>
    <x v="2"/>
  </r>
  <r>
    <x v="6"/>
    <d v="2026-06-29T00:00:00"/>
    <x v="0"/>
    <n v="1559"/>
    <x v="0"/>
    <n v="7.4"/>
    <s v="A"/>
    <s v="POM at 1.28m, knots"/>
    <s v="1559_1"/>
    <s v="Stebbins_Core"/>
    <x v="2"/>
    <s v="Acer"/>
    <s v="saccharum"/>
    <s v="Sapindaceae"/>
    <x v="5"/>
  </r>
  <r>
    <x v="6"/>
    <d v="2026-06-29T00:00:00"/>
    <x v="0"/>
    <n v="1560"/>
    <x v="0"/>
    <n v="18.2"/>
    <s v="A"/>
    <s v="POM at 1.28m, knots"/>
    <s v="1560_1"/>
    <s v="Stebbins_Core"/>
    <x v="2"/>
    <s v="Acer"/>
    <s v="saccharum"/>
    <s v="Sapindaceae"/>
    <x v="3"/>
  </r>
  <r>
    <x v="6"/>
    <d v="2026-06-29T00:00:00"/>
    <x v="0"/>
    <n v="1561"/>
    <x v="0"/>
    <n v="11.3"/>
    <s v="L"/>
    <s v="slight lean"/>
    <s v="1561_1"/>
    <s v="Stebbins_Core"/>
    <x v="2"/>
    <s v="Acer"/>
    <s v="saccharum"/>
    <s v="Sapindaceae"/>
    <x v="3"/>
  </r>
  <r>
    <x v="6"/>
    <d v="2026-06-29T00:00:00"/>
    <x v="0"/>
    <n v="1562"/>
    <x v="0"/>
    <n v="2"/>
    <s v="N/A"/>
    <m/>
    <s v="1562_1"/>
    <s v="Stebbins_Core"/>
    <x v="2"/>
    <s v="Acer"/>
    <s v="saccharum"/>
    <s v="Sapindaceae"/>
    <x v="2"/>
  </r>
  <r>
    <x v="6"/>
    <d v="2026-06-29T00:00:00"/>
    <x v="0"/>
    <n v="1563"/>
    <x v="0"/>
    <n v="8.6"/>
    <s v="L"/>
    <s v="POM at 1.05m, soft tape, hole and knots, small branch"/>
    <s v="1563_1"/>
    <s v="Stebbins_Core"/>
    <x v="2"/>
    <s v="Acer"/>
    <s v="saccharum"/>
    <s v="Sapindaceae"/>
    <x v="5"/>
  </r>
  <r>
    <x v="6"/>
    <d v="2026-06-29T00:00:00"/>
    <x v="0"/>
    <n v="1564"/>
    <x v="0"/>
    <n v="10.7"/>
    <s v="L"/>
    <m/>
    <s v="1564_1"/>
    <s v="Stebbins_Core"/>
    <x v="2"/>
    <s v="Acer"/>
    <s v="saccharum"/>
    <s v="Sapindaceae"/>
    <x v="3"/>
  </r>
  <r>
    <x v="6"/>
    <d v="2026-06-29T00:00:00"/>
    <x v="0"/>
    <n v="1565"/>
    <x v="0"/>
    <n v="9.8000000000000007"/>
    <s v="N/A"/>
    <m/>
    <s v="1565_1"/>
    <s v="Stebbins_Core"/>
    <x v="2"/>
    <s v="Acer"/>
    <s v="saccharum"/>
    <s v="Sapindaceae"/>
    <x v="5"/>
  </r>
  <r>
    <x v="6"/>
    <d v="2026-06-29T00:00:00"/>
    <x v="7"/>
    <n v="1566"/>
    <x v="0"/>
    <n v="2.2000000000000002"/>
    <s v="L"/>
    <s v="branch below POM &lt; 2cm, poor health"/>
    <s v="1566_1"/>
    <s v="Stebbins_Core"/>
    <x v="2"/>
    <s v="Fagus"/>
    <s v="grandifolia"/>
    <s v="Fagaceae"/>
    <x v="2"/>
  </r>
  <r>
    <x v="6"/>
    <d v="2026-06-29T00:00:00"/>
    <x v="0"/>
    <n v="1567"/>
    <x v="0"/>
    <n v="8.3000000000000007"/>
    <s v="A,L"/>
    <s v="POM at 1.17m knob, slight lean"/>
    <s v="1567_1"/>
    <s v="Stebbins_Core"/>
    <x v="2"/>
    <s v="Acer"/>
    <s v="saccharum"/>
    <s v="Sapindaceae"/>
    <x v="5"/>
  </r>
  <r>
    <x v="6"/>
    <d v="2026-06-29T00:00:00"/>
    <x v="7"/>
    <n v="1568"/>
    <x v="0"/>
    <n v="1.5"/>
    <s v="L"/>
    <m/>
    <s v="1568_1"/>
    <s v="Stebbins_Core"/>
    <x v="2"/>
    <s v="Fagus"/>
    <s v="grandifolia"/>
    <s v="Fagaceae"/>
    <x v="2"/>
  </r>
  <r>
    <x v="6"/>
    <d v="2026-06-29T00:00:00"/>
    <x v="0"/>
    <n v="1569"/>
    <x v="0"/>
    <n v="13"/>
    <s v="L"/>
    <m/>
    <s v="1569_1"/>
    <s v="Stebbins_Core"/>
    <x v="2"/>
    <s v="Acer"/>
    <s v="saccharum"/>
    <s v="Sapindaceae"/>
    <x v="3"/>
  </r>
  <r>
    <x v="6"/>
    <d v="2026-06-29T00:00:00"/>
    <x v="5"/>
    <n v="1570"/>
    <x v="0"/>
    <n v="29"/>
    <s v="N/A"/>
    <m/>
    <s v="1570_1"/>
    <s v="Stebbins_Core"/>
    <x v="2"/>
    <s v="Magnolia"/>
    <s v="acuminata"/>
    <s v="Magnoliaceae"/>
    <x v="0"/>
  </r>
  <r>
    <x v="6"/>
    <d v="2026-06-29T00:00:00"/>
    <x v="7"/>
    <n v="1571"/>
    <x v="0"/>
    <n v="2.4"/>
    <s v="A,L"/>
    <s v="POM at 1.28m, knots, swelling, slight lean"/>
    <s v="1571_1"/>
    <s v="Stebbins_Core"/>
    <x v="2"/>
    <s v="Fagus"/>
    <s v="grandifolia"/>
    <s v="Fagaceae"/>
    <x v="2"/>
  </r>
  <r>
    <x v="6"/>
    <d v="2026-06-29T00:00:00"/>
    <x v="0"/>
    <n v="1572"/>
    <x v="0"/>
    <n v="44.8"/>
    <s v="L"/>
    <m/>
    <s v="1572_1"/>
    <s v="Stebbins_Core"/>
    <x v="2"/>
    <s v="Acer"/>
    <s v="saccharum"/>
    <s v="Sapindaceae"/>
    <x v="1"/>
  </r>
  <r>
    <x v="6"/>
    <d v="2026-06-29T00:00:00"/>
    <x v="3"/>
    <n v="1573"/>
    <x v="0"/>
    <n v="24.8"/>
    <s v="N/A"/>
    <m/>
    <s v="1573_1"/>
    <s v="Stebbins_Core"/>
    <x v="2"/>
    <s v="Lirodendron"/>
    <s v="tulipfera"/>
    <s v="Magnoliaceae"/>
    <x v="0"/>
  </r>
  <r>
    <x v="6"/>
    <d v="2026-06-29T00:00:00"/>
    <x v="5"/>
    <n v="1574"/>
    <x v="0"/>
    <n v="18.5"/>
    <s v="W"/>
    <s v="slightly wavy"/>
    <s v="1574_1"/>
    <s v="Stebbins_Core"/>
    <x v="2"/>
    <s v="Magnolia"/>
    <s v="acuminata"/>
    <s v="Magnoliaceae"/>
    <x v="3"/>
  </r>
  <r>
    <x v="6"/>
    <d v="2026-06-29T00:00:00"/>
    <x v="0"/>
    <n v="1575"/>
    <x v="0"/>
    <n v="6.1"/>
    <s v="N/A"/>
    <m/>
    <s v="1575_1"/>
    <s v="Stebbins_Core"/>
    <x v="2"/>
    <s v="Acer"/>
    <s v="saccharum"/>
    <s v="Sapindaceae"/>
    <x v="5"/>
  </r>
  <r>
    <x v="6"/>
    <d v="2026-06-29T00:00:00"/>
    <x v="3"/>
    <n v="1576"/>
    <x v="0"/>
    <n v="1.1000000000000001"/>
    <s v="W,A"/>
    <s v="BB, soft tape, POM at 1.28m, branches"/>
    <s v="1576_1"/>
    <s v="Stebbins_Core"/>
    <x v="2"/>
    <s v="Lirodendron"/>
    <s v="tulipfera"/>
    <s v="Magnoliaceae"/>
    <x v="2"/>
  </r>
  <r>
    <x v="6"/>
    <d v="2026-06-29T00:00:00"/>
    <x v="3"/>
    <n v="1577"/>
    <x v="0"/>
    <n v="1.1000000000000001"/>
    <s v="BB"/>
    <m/>
    <s v="1577_1"/>
    <s v="Stebbins_Core"/>
    <x v="2"/>
    <s v="Lirodendron"/>
    <s v="tulipfera"/>
    <s v="Magnoliaceae"/>
    <x v="2"/>
  </r>
  <r>
    <x v="6"/>
    <d v="2026-06-29T00:00:00"/>
    <x v="3"/>
    <n v="1578"/>
    <x v="0"/>
    <n v="1.1000000000000001"/>
    <s v="W,A"/>
    <s v="branches at POM &lt;1cm"/>
    <s v="1578_1"/>
    <s v="Stebbins_Core"/>
    <x v="2"/>
    <s v="Lirodendron"/>
    <s v="tulipfera"/>
    <s v="Magnoliaceae"/>
    <x v="2"/>
  </r>
  <r>
    <x v="6"/>
    <d v="2026-06-29T00:00:00"/>
    <x v="3"/>
    <n v="1579"/>
    <x v="0"/>
    <n v="1"/>
    <s v="BB"/>
    <m/>
    <s v="1579_1"/>
    <s v="Stebbins_Core"/>
    <x v="2"/>
    <s v="Lirodendron"/>
    <s v="tulipfera"/>
    <s v="Magnoliaceae"/>
    <x v="2"/>
  </r>
  <r>
    <x v="6"/>
    <d v="2026-06-29T00:00:00"/>
    <x v="3"/>
    <n v="1580"/>
    <x v="0"/>
    <n v="1.2"/>
    <s v="BB"/>
    <m/>
    <s v="1580_1"/>
    <s v="Stebbins_Core"/>
    <x v="2"/>
    <s v="Lirodendron"/>
    <s v="tulipfera"/>
    <s v="Magnoliaceae"/>
    <x v="2"/>
  </r>
  <r>
    <x v="6"/>
    <d v="2026-06-29T00:00:00"/>
    <x v="3"/>
    <n v="1581"/>
    <x v="0"/>
    <n v="1.2"/>
    <s v="A, L, BB"/>
    <s v="POM at 1.28m, branches at POM"/>
    <s v="1581_1"/>
    <s v="Stebbins_Core"/>
    <x v="2"/>
    <s v="Lirodendron"/>
    <s v="tulipfera"/>
    <s v="Magnoliaceae"/>
    <x v="2"/>
  </r>
  <r>
    <x v="6"/>
    <d v="2026-06-29T00:00:00"/>
    <x v="5"/>
    <n v="1582"/>
    <x v="0"/>
    <n v="17.399999999999999"/>
    <s v="W"/>
    <m/>
    <s v="1582_1"/>
    <s v="Stebbins_Core"/>
    <x v="2"/>
    <s v="Magnolia"/>
    <s v="acuminata"/>
    <s v="Magnoliaceae"/>
    <x v="3"/>
  </r>
  <r>
    <x v="6"/>
    <d v="2026-06-29T00:00:00"/>
    <x v="3"/>
    <n v="1583"/>
    <x v="0"/>
    <n v="1.1000000000000001"/>
    <s v="BB"/>
    <m/>
    <s v="1583_1"/>
    <s v="Stebbins_Core"/>
    <x v="2"/>
    <s v="Lirodendron"/>
    <s v="tulipfera"/>
    <s v="Magnoliaceae"/>
    <x v="2"/>
  </r>
  <r>
    <x v="6"/>
    <d v="2026-06-29T00:00:00"/>
    <x v="7"/>
    <n v="1584"/>
    <x v="0"/>
    <n v="47.6"/>
    <s v="M"/>
    <s v="also tagged 381 N side base"/>
    <s v="1584_1"/>
    <s v="Stebbins_Core"/>
    <x v="2"/>
    <s v="Fagus"/>
    <s v="grandifolia"/>
    <s v="Fagaceae"/>
    <x v="1"/>
  </r>
  <r>
    <x v="6"/>
    <d v="2026-06-29T00:00:00"/>
    <x v="7"/>
    <n v="1584"/>
    <x v="1"/>
    <n v="3.9"/>
    <s v="M,L"/>
    <m/>
    <s v="1584_2"/>
    <s v="Stebbins_Core"/>
    <x v="2"/>
    <s v="Fagus"/>
    <s v="grandifolia"/>
    <s v="Fagaceae"/>
    <x v="2"/>
  </r>
  <r>
    <x v="6"/>
    <d v="2026-06-29T00:00:00"/>
    <x v="7"/>
    <n v="1585"/>
    <x v="0"/>
    <n v="54.7"/>
    <s v="M,I"/>
    <s v="Divot at POM (roots), also tagged 374"/>
    <s v="1585_1"/>
    <s v="Stebbins_Core"/>
    <x v="2"/>
    <s v="Fagus"/>
    <s v="grandifolia"/>
    <s v="Fagaceae"/>
    <x v="4"/>
  </r>
  <r>
    <x v="6"/>
    <d v="2026-06-29T00:00:00"/>
    <x v="7"/>
    <n v="1585"/>
    <x v="1"/>
    <n v="11"/>
    <s v="M,B"/>
    <m/>
    <s v="1585_2"/>
    <s v="Stebbins_Core"/>
    <x v="2"/>
    <s v="Fagus"/>
    <s v="grandifolia"/>
    <s v="Fagaceae"/>
    <x v="3"/>
  </r>
  <r>
    <x v="6"/>
    <d v="2026-06-29T00:00:00"/>
    <x v="0"/>
    <n v="1586"/>
    <x v="0"/>
    <n v="7.7"/>
    <s v="N/A"/>
    <m/>
    <s v="1586_1"/>
    <s v="Stebbins_Core"/>
    <x v="2"/>
    <s v="Acer"/>
    <s v="saccharum"/>
    <s v="Sapindaceae"/>
    <x v="5"/>
  </r>
  <r>
    <x v="6"/>
    <d v="2026-06-29T00:00:00"/>
    <x v="3"/>
    <n v="1587"/>
    <x v="0"/>
    <n v="1.2"/>
    <s v="BB"/>
    <m/>
    <s v="1587_1"/>
    <s v="Stebbins_Core"/>
    <x v="2"/>
    <s v="Lirodendron"/>
    <s v="tulipfera"/>
    <s v="Magnoliaceae"/>
    <x v="2"/>
  </r>
  <r>
    <x v="6"/>
    <d v="2026-06-29T00:00:00"/>
    <x v="3"/>
    <n v="1588"/>
    <x v="0"/>
    <n v="1.4"/>
    <s v="BB"/>
    <m/>
    <s v="1588_1"/>
    <s v="Stebbins_Core"/>
    <x v="2"/>
    <s v="Lirodendron"/>
    <s v="tulipfera"/>
    <s v="Magnoliaceae"/>
    <x v="2"/>
  </r>
  <r>
    <x v="6"/>
    <d v="2026-06-29T00:00:00"/>
    <x v="7"/>
    <n v="1589"/>
    <x v="0"/>
    <n v="22.3"/>
    <s v="L"/>
    <s v="slight lean"/>
    <s v="1589_1"/>
    <s v="Stebbins_Core"/>
    <x v="2"/>
    <s v="Fagus"/>
    <s v="grandifolia"/>
    <s v="Fagaceae"/>
    <x v="0"/>
  </r>
  <r>
    <x v="6"/>
    <d v="2026-06-29T00:00:00"/>
    <x v="3"/>
    <n v="1590"/>
    <x v="0"/>
    <n v="1.1000000000000001"/>
    <s v="W, BB"/>
    <s v="soft tape"/>
    <s v="1590_1"/>
    <s v="Stebbins_Core"/>
    <x v="2"/>
    <s v="Lirodendron"/>
    <s v="tulipfera"/>
    <s v="Magnoliaceae"/>
    <x v="2"/>
  </r>
  <r>
    <x v="6"/>
    <d v="2026-06-29T00:00:00"/>
    <x v="3"/>
    <n v="1591"/>
    <x v="0"/>
    <n v="1"/>
    <s v="BB"/>
    <m/>
    <s v="1591_1"/>
    <s v="Stebbins_Core"/>
    <x v="2"/>
    <s v="Lirodendron"/>
    <s v="tulipfera"/>
    <s v="Magnoliaceae"/>
    <x v="2"/>
  </r>
  <r>
    <x v="6"/>
    <d v="2026-06-29T00:00:00"/>
    <x v="3"/>
    <n v="1592"/>
    <x v="0"/>
    <n v="1.6"/>
    <s v="BB"/>
    <m/>
    <s v="1592_1"/>
    <s v="Stebbins_Core"/>
    <x v="2"/>
    <s v="Lirodendron"/>
    <s v="tulipfera"/>
    <s v="Magnoliaceae"/>
    <x v="2"/>
  </r>
  <r>
    <x v="6"/>
    <d v="2026-06-29T00:00:00"/>
    <x v="3"/>
    <n v="1593"/>
    <x v="0"/>
    <n v="1.1000000000000001"/>
    <s v="N/A"/>
    <m/>
    <s v="1593_1"/>
    <s v="Stebbins_Core"/>
    <x v="2"/>
    <s v="Lirodendron"/>
    <s v="tulipfera"/>
    <s v="Magnoliaceae"/>
    <x v="2"/>
  </r>
  <r>
    <x v="6"/>
    <d v="2026-06-29T00:00:00"/>
    <x v="3"/>
    <n v="1594"/>
    <x v="0"/>
    <n v="1"/>
    <s v="W"/>
    <s v="Growing adjacent to another sapling, could be same tree?"/>
    <s v="1594_1"/>
    <s v="Stebbins_Core"/>
    <x v="2"/>
    <s v="Lirodendron"/>
    <s v="tulipfera"/>
    <s v="Magnoliaceae"/>
    <x v="2"/>
  </r>
  <r>
    <x v="6"/>
    <d v="2026-06-29T00:00:00"/>
    <x v="3"/>
    <n v="1595"/>
    <x v="0"/>
    <n v="1.1000000000000001"/>
    <s v="L"/>
    <s v="Branches below POM&lt; 1cm"/>
    <s v="1595_1"/>
    <s v="Stebbins_Core"/>
    <x v="2"/>
    <s v="Lirodendron"/>
    <s v="tulipfera"/>
    <s v="Magnoliaceae"/>
    <x v="2"/>
  </r>
  <r>
    <x v="6"/>
    <d v="2026-06-29T00:00:00"/>
    <x v="3"/>
    <n v="1596"/>
    <x v="0"/>
    <n v="1.2"/>
    <s v="N/A"/>
    <s v="Branches below POM&lt; 1cm"/>
    <s v="1596_1"/>
    <s v="Stebbins_Core"/>
    <x v="2"/>
    <s v="Lirodendron"/>
    <s v="tulipfera"/>
    <s v="Magnoliaceae"/>
    <x v="2"/>
  </r>
  <r>
    <x v="6"/>
    <d v="2026-06-29T00:00:00"/>
    <x v="3"/>
    <n v="1597"/>
    <x v="0"/>
    <n v="1.2"/>
    <s v="N/A"/>
    <s v="Branches below POM&lt; 1cm"/>
    <s v="1597_1"/>
    <s v="Stebbins_Core"/>
    <x v="2"/>
    <s v="Lirodendron"/>
    <s v="tulipfera"/>
    <s v="Magnoliaceae"/>
    <x v="2"/>
  </r>
  <r>
    <x v="6"/>
    <d v="2026-06-29T00:00:00"/>
    <x v="3"/>
    <n v="1598"/>
    <x v="0"/>
    <n v="2.2000000000000002"/>
    <s v="N/A"/>
    <s v="Branches below POM&lt; 1cm"/>
    <s v="1598_1"/>
    <s v="Stebbins_Core"/>
    <x v="2"/>
    <s v="Lirodendron"/>
    <s v="tulipfera"/>
    <s v="Magnoliaceae"/>
    <x v="2"/>
  </r>
  <r>
    <x v="6"/>
    <d v="2026-06-29T00:00:00"/>
    <x v="3"/>
    <n v="1599"/>
    <x v="0"/>
    <n v="1.1000000000000001"/>
    <s v="N/A"/>
    <s v="Branches below POM&lt; 1cm"/>
    <s v="1599_1"/>
    <s v="Stebbins_Core"/>
    <x v="2"/>
    <s v="Lirodendron"/>
    <s v="tulipfera"/>
    <s v="Magnoliaceae"/>
    <x v="2"/>
  </r>
  <r>
    <x v="6"/>
    <d v="2026-06-29T00:00:00"/>
    <x v="3"/>
    <n v="1600"/>
    <x v="0"/>
    <n v="1.2"/>
    <s v="N/A"/>
    <s v="Branches below POM&lt; 1cm"/>
    <s v="1600_1"/>
    <s v="Stebbins_Core"/>
    <x v="2"/>
    <s v="Lirodendron"/>
    <s v="tulipfera"/>
    <s v="Magnoliaceae"/>
    <x v="2"/>
  </r>
  <r>
    <x v="6"/>
    <d v="2026-06-29T00:00:00"/>
    <x v="3"/>
    <n v="1601"/>
    <x v="0"/>
    <n v="1.3"/>
    <s v="BB"/>
    <m/>
    <s v="1601_1"/>
    <s v="Stebbins_Core"/>
    <x v="2"/>
    <s v="Lirodendron"/>
    <s v="tulipfera"/>
    <s v="Magnoliaceae"/>
    <x v="2"/>
  </r>
  <r>
    <x v="6"/>
    <d v="2026-06-29T00:00:00"/>
    <x v="3"/>
    <n v="1602"/>
    <x v="0"/>
    <n v="1.3"/>
    <s v="BB"/>
    <m/>
    <s v="1602_1"/>
    <s v="Stebbins_Core"/>
    <x v="2"/>
    <s v="Lirodendron"/>
    <s v="tulipfera"/>
    <s v="Magnoliaceae"/>
    <x v="2"/>
  </r>
  <r>
    <x v="6"/>
    <d v="2026-06-29T00:00:00"/>
    <x v="3"/>
    <n v="1603"/>
    <x v="0"/>
    <n v="1.5"/>
    <s v="BB"/>
    <m/>
    <s v="1603_1"/>
    <s v="Stebbins_Core"/>
    <x v="2"/>
    <s v="Lirodendron"/>
    <s v="tulipfera"/>
    <s v="Magnoliaceae"/>
    <x v="2"/>
  </r>
  <r>
    <x v="6"/>
    <d v="2026-06-29T00:00:00"/>
    <x v="3"/>
    <n v="1604"/>
    <x v="0"/>
    <n v="1.3"/>
    <s v="BB"/>
    <m/>
    <s v="1604_1"/>
    <s v="Stebbins_Core"/>
    <x v="2"/>
    <s v="Lirodendron"/>
    <s v="tulipfera"/>
    <s v="Magnoliaceae"/>
    <x v="2"/>
  </r>
  <r>
    <x v="6"/>
    <d v="2026-06-29T00:00:00"/>
    <x v="3"/>
    <n v="1605"/>
    <x v="0"/>
    <n v="1.1000000000000001"/>
    <s v="BB"/>
    <m/>
    <s v="1605_1"/>
    <s v="Stebbins_Core"/>
    <x v="2"/>
    <s v="Lirodendron"/>
    <s v="tulipfera"/>
    <s v="Magnoliaceae"/>
    <x v="2"/>
  </r>
  <r>
    <x v="6"/>
    <d v="2026-06-29T00:00:00"/>
    <x v="3"/>
    <n v="1606"/>
    <x v="0"/>
    <n v="1.4"/>
    <s v="BB"/>
    <m/>
    <s v="1606_1"/>
    <s v="Stebbins_Core"/>
    <x v="2"/>
    <s v="Lirodendron"/>
    <s v="tulipfera"/>
    <s v="Magnoliaceae"/>
    <x v="2"/>
  </r>
  <r>
    <x v="6"/>
    <d v="2026-06-29T00:00:00"/>
    <x v="3"/>
    <n v="1607"/>
    <x v="0"/>
    <n v="1.1000000000000001"/>
    <s v="BB"/>
    <m/>
    <s v="1607_1"/>
    <s v="Stebbins_Core"/>
    <x v="2"/>
    <s v="Lirodendron"/>
    <s v="tulipfera"/>
    <s v="Magnoliaceae"/>
    <x v="2"/>
  </r>
  <r>
    <x v="6"/>
    <d v="2026-06-29T00:00:00"/>
    <x v="3"/>
    <n v="1608"/>
    <x v="0"/>
    <n v="1.1000000000000001"/>
    <s v="BB"/>
    <m/>
    <s v="1608_1"/>
    <s v="Stebbins_Core"/>
    <x v="2"/>
    <s v="Lirodendron"/>
    <s v="tulipfera"/>
    <s v="Magnoliaceae"/>
    <x v="2"/>
  </r>
  <r>
    <x v="6"/>
    <d v="2026-06-29T00:00:00"/>
    <x v="3"/>
    <n v="1609"/>
    <x v="0"/>
    <n v="1.6"/>
    <s v="BB"/>
    <m/>
    <s v="1609_1"/>
    <s v="Stebbins_Core"/>
    <x v="2"/>
    <s v="Lirodendron"/>
    <s v="tulipfera"/>
    <s v="Magnoliaceae"/>
    <x v="2"/>
  </r>
  <r>
    <x v="6"/>
    <d v="2026-06-29T00:00:00"/>
    <x v="3"/>
    <n v="1610"/>
    <x v="0"/>
    <n v="1.1000000000000001"/>
    <s v="L, BB"/>
    <m/>
    <s v="1610_1"/>
    <s v="Stebbins_Core"/>
    <x v="2"/>
    <s v="Lirodendron"/>
    <s v="tulipfera"/>
    <s v="Magnoliaceae"/>
    <x v="2"/>
  </r>
  <r>
    <x v="6"/>
    <d v="2026-06-29T00:00:00"/>
    <x v="3"/>
    <n v="1611"/>
    <x v="0"/>
    <n v="2"/>
    <s v="A"/>
    <s v="POM at 1.29, BB"/>
    <s v="1611_1"/>
    <s v="Stebbins_Core"/>
    <x v="2"/>
    <s v="Lirodendron"/>
    <s v="tulipfera"/>
    <s v="Magnoliaceae"/>
    <x v="2"/>
  </r>
  <r>
    <x v="6"/>
    <d v="2026-06-29T00:00:00"/>
    <x v="3"/>
    <n v="1612"/>
    <x v="0"/>
    <n v="1.6"/>
    <s v="M, BB"/>
    <m/>
    <s v="1612_1"/>
    <s v="Stebbins_Core"/>
    <x v="2"/>
    <s v="Lirodendron"/>
    <s v="tulipfera"/>
    <s v="Magnoliaceae"/>
    <x v="2"/>
  </r>
  <r>
    <x v="6"/>
    <d v="2026-06-29T00:00:00"/>
    <x v="3"/>
    <n v="1612"/>
    <x v="1"/>
    <n v="1.2"/>
    <s v="M,L, BB"/>
    <m/>
    <s v="1612_2"/>
    <s v="Stebbins_Core"/>
    <x v="2"/>
    <s v="Lirodendron"/>
    <s v="tulipfera"/>
    <s v="Magnoliaceae"/>
    <x v="2"/>
  </r>
  <r>
    <x v="6"/>
    <d v="2026-06-29T00:00:00"/>
    <x v="3"/>
    <n v="1613"/>
    <x v="0"/>
    <n v="1.3"/>
    <s v="BB"/>
    <m/>
    <s v="1613_1"/>
    <s v="Stebbins_Core"/>
    <x v="2"/>
    <s v="Lirodendron"/>
    <s v="tulipfera"/>
    <s v="Magnoliaceae"/>
    <x v="2"/>
  </r>
  <r>
    <x v="6"/>
    <d v="2026-06-29T00:00:00"/>
    <x v="3"/>
    <n v="1614"/>
    <x v="0"/>
    <n v="2"/>
    <s v="BB"/>
    <m/>
    <s v="1614_1"/>
    <s v="Stebbins_Core"/>
    <x v="2"/>
    <s v="Lirodendron"/>
    <s v="tulipfera"/>
    <s v="Magnoliaceae"/>
    <x v="2"/>
  </r>
  <r>
    <x v="6"/>
    <d v="2026-06-29T00:00:00"/>
    <x v="3"/>
    <n v="1615"/>
    <x v="0"/>
    <n v="1.8"/>
    <s v="N/A"/>
    <m/>
    <s v="1615_1"/>
    <s v="Stebbins_Core"/>
    <x v="2"/>
    <s v="Lirodendron"/>
    <s v="tulipfera"/>
    <s v="Magnoliaceae"/>
    <x v="2"/>
  </r>
  <r>
    <x v="6"/>
    <d v="2026-06-29T00:00:00"/>
    <x v="3"/>
    <n v="1616"/>
    <x v="0"/>
    <n v="1.6"/>
    <s v="M"/>
    <m/>
    <s v="1616_1"/>
    <s v="Stebbins_Core"/>
    <x v="2"/>
    <s v="Lirodendron"/>
    <s v="tulipfera"/>
    <s v="Magnoliaceae"/>
    <x v="2"/>
  </r>
  <r>
    <x v="6"/>
    <d v="2026-06-29T00:00:00"/>
    <x v="3"/>
    <n v="1616"/>
    <x v="1"/>
    <n v="1.2"/>
    <s v="M"/>
    <m/>
    <s v="1616_2"/>
    <s v="Stebbins_Core"/>
    <x v="2"/>
    <s v="Lirodendron"/>
    <s v="tulipfera"/>
    <s v="Magnoliaceae"/>
    <x v="2"/>
  </r>
  <r>
    <x v="6"/>
    <d v="2026-06-29T00:00:00"/>
    <x v="3"/>
    <n v="1617"/>
    <x v="0"/>
    <n v="1.1000000000000001"/>
    <s v="BB"/>
    <m/>
    <s v="1617_1"/>
    <s v="Stebbins_Core"/>
    <x v="2"/>
    <s v="Lirodendron"/>
    <s v="tulipfera"/>
    <s v="Magnoliaceae"/>
    <x v="2"/>
  </r>
  <r>
    <x v="6"/>
    <d v="2026-06-29T00:00:00"/>
    <x v="3"/>
    <n v="1618"/>
    <x v="0"/>
    <n v="2.2000000000000002"/>
    <s v="BB"/>
    <m/>
    <s v="1618_1"/>
    <s v="Stebbins_Core"/>
    <x v="2"/>
    <s v="Lirodendron"/>
    <s v="tulipfera"/>
    <s v="Magnoliaceae"/>
    <x v="2"/>
  </r>
  <r>
    <x v="6"/>
    <d v="2026-06-29T00:00:00"/>
    <x v="3"/>
    <n v="1619"/>
    <x v="0"/>
    <n v="1.3"/>
    <s v="BB"/>
    <m/>
    <s v="1619_1"/>
    <s v="Stebbins_Core"/>
    <x v="2"/>
    <s v="Lirodendron"/>
    <s v="tulipfera"/>
    <s v="Magnoliaceae"/>
    <x v="2"/>
  </r>
  <r>
    <x v="6"/>
    <d v="2026-06-29T00:00:00"/>
    <x v="3"/>
    <n v="1620"/>
    <x v="0"/>
    <n v="1.3"/>
    <s v="BB"/>
    <m/>
    <s v="1620_1"/>
    <s v="Stebbins_Core"/>
    <x v="2"/>
    <s v="Lirodendron"/>
    <s v="tulipfera"/>
    <s v="Magnoliaceae"/>
    <x v="2"/>
  </r>
  <r>
    <x v="6"/>
    <d v="2026-06-29T00:00:00"/>
    <x v="3"/>
    <n v="1621"/>
    <x v="0"/>
    <n v="1.1000000000000001"/>
    <s v="N/A"/>
    <m/>
    <s v="1621_1"/>
    <s v="Stebbins_Core"/>
    <x v="2"/>
    <s v="Lirodendron"/>
    <s v="tulipfera"/>
    <s v="Magnoliaceae"/>
    <x v="2"/>
  </r>
  <r>
    <x v="6"/>
    <d v="2026-06-29T00:00:00"/>
    <x v="3"/>
    <n v="1622"/>
    <x v="0"/>
    <n v="1.7"/>
    <s v="BB"/>
    <m/>
    <s v="1622_1"/>
    <s v="Stebbins_Core"/>
    <x v="2"/>
    <s v="Lirodendron"/>
    <s v="tulipfera"/>
    <s v="Magnoliaceae"/>
    <x v="2"/>
  </r>
  <r>
    <x v="6"/>
    <d v="2026-06-29T00:00:00"/>
    <x v="3"/>
    <n v="1623"/>
    <x v="0"/>
    <n v="1.3"/>
    <s v="BB"/>
    <m/>
    <s v="1623_1"/>
    <s v="Stebbins_Core"/>
    <x v="2"/>
    <s v="Lirodendron"/>
    <s v="tulipfera"/>
    <s v="Magnoliaceae"/>
    <x v="2"/>
  </r>
  <r>
    <x v="6"/>
    <d v="2026-06-29T00:00:00"/>
    <x v="3"/>
    <n v="1624"/>
    <x v="0"/>
    <n v="1.2"/>
    <s v="BB"/>
    <m/>
    <s v="1624_1"/>
    <s v="Stebbins_Core"/>
    <x v="2"/>
    <s v="Lirodendron"/>
    <s v="tulipfera"/>
    <s v="Magnoliaceae"/>
    <x v="2"/>
  </r>
  <r>
    <x v="6"/>
    <d v="2026-06-29T00:00:00"/>
    <x v="3"/>
    <n v="1625"/>
    <x v="0"/>
    <n v="1.2"/>
    <s v="BB"/>
    <m/>
    <s v="1625_1"/>
    <s v="Stebbins_Core"/>
    <x v="2"/>
    <s v="Lirodendron"/>
    <s v="tulipfera"/>
    <s v="Magnoliaceae"/>
    <x v="2"/>
  </r>
  <r>
    <x v="6"/>
    <d v="2026-06-29T00:00:00"/>
    <x v="3"/>
    <n v="1626"/>
    <x v="0"/>
    <n v="1.6"/>
    <s v="A"/>
    <s v="POM at 1.29"/>
    <s v="1626_1"/>
    <s v="Stebbins_Core"/>
    <x v="2"/>
    <s v="Lirodendron"/>
    <s v="tulipfera"/>
    <s v="Magnoliaceae"/>
    <x v="2"/>
  </r>
  <r>
    <x v="6"/>
    <d v="2026-06-29T00:00:00"/>
    <x v="3"/>
    <n v="1627"/>
    <x v="0"/>
    <n v="1.5"/>
    <s v="BB"/>
    <m/>
    <s v="1627_1"/>
    <s v="Stebbins_Core"/>
    <x v="2"/>
    <s v="Lirodendron"/>
    <s v="tulipfera"/>
    <s v="Magnoliaceae"/>
    <x v="2"/>
  </r>
  <r>
    <x v="6"/>
    <d v="2026-06-29T00:00:00"/>
    <x v="3"/>
    <n v="1628"/>
    <x v="0"/>
    <n v="1.6"/>
    <s v="BB"/>
    <m/>
    <s v="1628_1"/>
    <s v="Stebbins_Core"/>
    <x v="2"/>
    <s v="Lirodendron"/>
    <s v="tulipfera"/>
    <s v="Magnoliaceae"/>
    <x v="2"/>
  </r>
  <r>
    <x v="6"/>
    <d v="2026-06-29T00:00:00"/>
    <x v="3"/>
    <n v="1629"/>
    <x v="0"/>
    <n v="1"/>
    <s v="BB"/>
    <m/>
    <s v="1629_1"/>
    <s v="Stebbins_Core"/>
    <x v="2"/>
    <s v="Lirodendron"/>
    <s v="tulipfera"/>
    <s v="Magnoliaceae"/>
    <x v="2"/>
  </r>
  <r>
    <x v="6"/>
    <d v="2026-06-29T00:00:00"/>
    <x v="3"/>
    <n v="1630"/>
    <x v="0"/>
    <n v="1.1000000000000001"/>
    <s v="BB"/>
    <m/>
    <s v="1630_1"/>
    <s v="Stebbins_Core"/>
    <x v="2"/>
    <s v="Lirodendron"/>
    <s v="tulipfera"/>
    <s v="Magnoliaceae"/>
    <x v="2"/>
  </r>
  <r>
    <x v="6"/>
    <d v="2026-06-29T00:00:00"/>
    <x v="3"/>
    <n v="1631"/>
    <x v="0"/>
    <n v="1.7"/>
    <s v="BB"/>
    <m/>
    <s v="1631_1"/>
    <s v="Stebbins_Core"/>
    <x v="2"/>
    <s v="Lirodendron"/>
    <s v="tulipfera"/>
    <s v="Magnoliaceae"/>
    <x v="2"/>
  </r>
  <r>
    <x v="6"/>
    <d v="2026-06-29T00:00:00"/>
    <x v="3"/>
    <n v="1632"/>
    <x v="0"/>
    <n v="1.3"/>
    <s v="BB"/>
    <m/>
    <s v="1632_1"/>
    <s v="Stebbins_Core"/>
    <x v="2"/>
    <s v="Lirodendron"/>
    <s v="tulipfera"/>
    <s v="Magnoliaceae"/>
    <x v="2"/>
  </r>
  <r>
    <x v="6"/>
    <d v="2026-06-29T00:00:00"/>
    <x v="3"/>
    <n v="1633"/>
    <x v="0"/>
    <n v="1.3"/>
    <s v="BB"/>
    <m/>
    <s v="1633_1"/>
    <s v="Stebbins_Core"/>
    <x v="2"/>
    <s v="Lirodendron"/>
    <s v="tulipfera"/>
    <s v="Magnoliaceae"/>
    <x v="2"/>
  </r>
  <r>
    <x v="6"/>
    <d v="2026-06-29T00:00:00"/>
    <x v="3"/>
    <n v="1634"/>
    <x v="0"/>
    <n v="1.4"/>
    <s v="BB"/>
    <m/>
    <s v="1634_1"/>
    <s v="Stebbins_Core"/>
    <x v="2"/>
    <s v="Lirodendron"/>
    <s v="tulipfera"/>
    <s v="Magnoliaceae"/>
    <x v="2"/>
  </r>
  <r>
    <x v="6"/>
    <d v="2026-06-29T00:00:00"/>
    <x v="3"/>
    <n v="1635"/>
    <x v="0"/>
    <n v="1.5"/>
    <s v="BB"/>
    <m/>
    <s v="1635_1"/>
    <s v="Stebbins_Core"/>
    <x v="2"/>
    <s v="Lirodendron"/>
    <s v="tulipfera"/>
    <s v="Magnoliaceae"/>
    <x v="2"/>
  </r>
  <r>
    <x v="6"/>
    <d v="2026-06-29T00:00:00"/>
    <x v="3"/>
    <n v="1636"/>
    <x v="0"/>
    <n v="1.2"/>
    <s v="BB"/>
    <m/>
    <s v="1636_1"/>
    <s v="Stebbins_Core"/>
    <x v="2"/>
    <s v="Lirodendron"/>
    <s v="tulipfera"/>
    <s v="Magnoliaceae"/>
    <x v="2"/>
  </r>
  <r>
    <x v="6"/>
    <d v="2026-06-29T00:00:00"/>
    <x v="3"/>
    <n v="1637"/>
    <x v="0"/>
    <n v="1.3"/>
    <s v="BB"/>
    <m/>
    <s v="1637_1"/>
    <s v="Stebbins_Core"/>
    <x v="2"/>
    <s v="Lirodendron"/>
    <s v="tulipfera"/>
    <s v="Magnoliaceae"/>
    <x v="2"/>
  </r>
  <r>
    <x v="6"/>
    <d v="2026-06-29T00:00:00"/>
    <x v="3"/>
    <n v="1638"/>
    <x v="0"/>
    <n v="1.9"/>
    <s v="BB"/>
    <m/>
    <s v="1638_1"/>
    <s v="Stebbins_Core"/>
    <x v="2"/>
    <s v="Lirodendron"/>
    <s v="tulipfera"/>
    <s v="Magnoliaceae"/>
    <x v="2"/>
  </r>
  <r>
    <x v="6"/>
    <d v="2026-06-29T00:00:00"/>
    <x v="3"/>
    <n v="1639"/>
    <x v="0"/>
    <n v="1.3"/>
    <s v="BB"/>
    <m/>
    <s v="1639_1"/>
    <s v="Stebbins_Core"/>
    <x v="2"/>
    <s v="Lirodendron"/>
    <s v="tulipfera"/>
    <s v="Magnoliaceae"/>
    <x v="2"/>
  </r>
  <r>
    <x v="6"/>
    <d v="2026-06-29T00:00:00"/>
    <x v="3"/>
    <n v="1640"/>
    <x v="0"/>
    <n v="1.6"/>
    <s v="BB"/>
    <m/>
    <s v="1640_1"/>
    <s v="Stebbins_Core"/>
    <x v="2"/>
    <s v="Lirodendron"/>
    <s v="tulipfera"/>
    <s v="Magnoliaceae"/>
    <x v="2"/>
  </r>
  <r>
    <x v="6"/>
    <d v="2026-06-29T00:00:00"/>
    <x v="0"/>
    <n v="1641"/>
    <x v="0"/>
    <n v="50.4"/>
    <s v="N/A"/>
    <m/>
    <s v="1641_1"/>
    <s v="Stebbins_Core"/>
    <x v="2"/>
    <s v="Acer"/>
    <s v="saccharum"/>
    <s v="Sapindaceae"/>
    <x v="4"/>
  </r>
  <r>
    <x v="6"/>
    <d v="2026-06-29T00:00:00"/>
    <x v="3"/>
    <n v="1642"/>
    <x v="0"/>
    <n v="1.6"/>
    <s v="BB"/>
    <m/>
    <s v="1642_1"/>
    <s v="Stebbins_Core"/>
    <x v="2"/>
    <s v="Lirodendron"/>
    <s v="tulipfera"/>
    <s v="Magnoliaceae"/>
    <x v="2"/>
  </r>
  <r>
    <x v="6"/>
    <d v="2026-06-29T00:00:00"/>
    <x v="3"/>
    <n v="1643"/>
    <x v="0"/>
    <n v="1.3"/>
    <s v="BB"/>
    <m/>
    <s v="1643_1"/>
    <s v="Stebbins_Core"/>
    <x v="2"/>
    <s v="Lirodendron"/>
    <s v="tulipfera"/>
    <s v="Magnoliaceae"/>
    <x v="2"/>
  </r>
  <r>
    <x v="6"/>
    <d v="2026-06-29T00:00:00"/>
    <x v="3"/>
    <n v="1644"/>
    <x v="0"/>
    <n v="1.2"/>
    <s v="L, BB"/>
    <m/>
    <s v="1644_1"/>
    <s v="Stebbins_Core"/>
    <x v="2"/>
    <s v="Lirodendron"/>
    <s v="tulipfera"/>
    <s v="Magnoliaceae"/>
    <x v="2"/>
  </r>
  <r>
    <x v="6"/>
    <d v="2026-06-29T00:00:00"/>
    <x v="3"/>
    <n v="1645"/>
    <x v="0"/>
    <n v="1.1000000000000001"/>
    <s v="BB"/>
    <m/>
    <s v="1645_1"/>
    <s v="Stebbins_Core"/>
    <x v="2"/>
    <s v="Lirodendron"/>
    <s v="tulipfera"/>
    <s v="Magnoliaceae"/>
    <x v="2"/>
  </r>
  <r>
    <x v="6"/>
    <d v="2026-06-29T00:00:00"/>
    <x v="3"/>
    <n v="1646"/>
    <x v="0"/>
    <n v="1.1000000000000001"/>
    <s v="N/A"/>
    <m/>
    <s v="1646_1"/>
    <s v="Stebbins_Core"/>
    <x v="2"/>
    <s v="Lirodendron"/>
    <s v="tulipfera"/>
    <s v="Magnoliaceae"/>
    <x v="2"/>
  </r>
  <r>
    <x v="6"/>
    <d v="2026-06-29T00:00:00"/>
    <x v="0"/>
    <n v="1647"/>
    <x v="0"/>
    <n v="65.8"/>
    <s v="L"/>
    <m/>
    <s v="1647_1"/>
    <s v="Stebbins_Core"/>
    <x v="2"/>
    <s v="Acer"/>
    <s v="saccharum"/>
    <s v="Sapindaceae"/>
    <x v="4"/>
  </r>
  <r>
    <x v="6"/>
    <d v="2026-06-29T00:00:00"/>
    <x v="7"/>
    <n v="1648"/>
    <x v="0"/>
    <n v="10.4"/>
    <s v="N/A"/>
    <s v="Origins into 1647"/>
    <s v="1648_1"/>
    <s v="Stebbins_Core"/>
    <x v="2"/>
    <s v="Fagus"/>
    <s v="grandifolia"/>
    <s v="Fagaceae"/>
    <x v="3"/>
  </r>
  <r>
    <x v="6"/>
    <d v="2026-06-29T00:00:00"/>
    <x v="3"/>
    <n v="1649"/>
    <x v="0"/>
    <n v="1.1000000000000001"/>
    <s v="BB"/>
    <m/>
    <s v="1649_1"/>
    <s v="Stebbins_Core"/>
    <x v="2"/>
    <s v="Lirodendron"/>
    <s v="tulipfera"/>
    <s v="Magnoliaceae"/>
    <x v="2"/>
  </r>
  <r>
    <x v="6"/>
    <d v="2026-06-29T00:00:00"/>
    <x v="3"/>
    <n v="1650"/>
    <x v="0"/>
    <n v="1.4"/>
    <s v="BB"/>
    <m/>
    <s v="1650_1"/>
    <s v="Stebbins_Core"/>
    <x v="2"/>
    <s v="Lirodendron"/>
    <s v="tulipfera"/>
    <s v="Magnoliaceae"/>
    <x v="2"/>
  </r>
  <r>
    <x v="6"/>
    <d v="2026-06-29T00:00:00"/>
    <x v="3"/>
    <n v="1651"/>
    <x v="0"/>
    <n v="1.4"/>
    <s v="BB"/>
    <m/>
    <s v="1651_1"/>
    <s v="Stebbins_Core"/>
    <x v="2"/>
    <s v="Lirodendron"/>
    <s v="tulipfera"/>
    <s v="Magnoliaceae"/>
    <x v="2"/>
  </r>
  <r>
    <x v="6"/>
    <d v="2026-06-29T00:00:00"/>
    <x v="3"/>
    <n v="1652"/>
    <x v="0"/>
    <n v="1.6"/>
    <s v="M"/>
    <m/>
    <s v="1652_1"/>
    <s v="Stebbins_Core"/>
    <x v="2"/>
    <s v="Lirodendron"/>
    <s v="tulipfera"/>
    <s v="Magnoliaceae"/>
    <x v="2"/>
  </r>
  <r>
    <x v="6"/>
    <d v="2026-06-29T00:00:00"/>
    <x v="3"/>
    <n v="1652"/>
    <x v="1"/>
    <n v="1.2"/>
    <s v="M"/>
    <s v="soft tape"/>
    <s v="1652_2"/>
    <s v="Stebbins_Core"/>
    <x v="2"/>
    <s v="Lirodendron"/>
    <s v="tulipfera"/>
    <s v="Magnoliaceae"/>
    <x v="2"/>
  </r>
  <r>
    <x v="6"/>
    <d v="2026-06-29T00:00:00"/>
    <x v="3"/>
    <n v="1653"/>
    <x v="0"/>
    <n v="1.4"/>
    <s v="BB"/>
    <m/>
    <s v="1653_1"/>
    <s v="Stebbins_Core"/>
    <x v="2"/>
    <s v="Lirodendron"/>
    <s v="tulipfera"/>
    <s v="Magnoliaceae"/>
    <x v="2"/>
  </r>
  <r>
    <x v="6"/>
    <d v="2026-06-29T00:00:00"/>
    <x v="3"/>
    <n v="1654"/>
    <x v="0"/>
    <n v="1.6"/>
    <s v="BB"/>
    <m/>
    <s v="1654_1"/>
    <s v="Stebbins_Core"/>
    <x v="2"/>
    <s v="Lirodendron"/>
    <s v="tulipfera"/>
    <s v="Magnoliaceae"/>
    <x v="2"/>
  </r>
  <r>
    <x v="6"/>
    <d v="2026-06-29T00:00:00"/>
    <x v="3"/>
    <n v="1655"/>
    <x v="0"/>
    <n v="1.2"/>
    <s v="BB"/>
    <m/>
    <s v="1655_1"/>
    <s v="Stebbins_Core"/>
    <x v="2"/>
    <s v="Lirodendron"/>
    <s v="tulipfera"/>
    <s v="Magnoliaceae"/>
    <x v="2"/>
  </r>
  <r>
    <x v="6"/>
    <d v="2026-06-29T00:00:00"/>
    <x v="3"/>
    <n v="1656"/>
    <x v="0"/>
    <n v="1.1000000000000001"/>
    <s v="A"/>
    <s v="BB, POM at 1.29m"/>
    <s v="1656_1"/>
    <s v="Stebbins_Core"/>
    <x v="2"/>
    <s v="Lirodendron"/>
    <s v="tulipfera"/>
    <s v="Magnoliaceae"/>
    <x v="2"/>
  </r>
  <r>
    <x v="6"/>
    <d v="2026-06-29T00:00:00"/>
    <x v="3"/>
    <n v="1657"/>
    <x v="0"/>
    <n v="1.6"/>
    <s v="BB"/>
    <m/>
    <s v="1657_1"/>
    <s v="Stebbins_Core"/>
    <x v="2"/>
    <s v="Lirodendron"/>
    <s v="tulipfera"/>
    <s v="Magnoliaceae"/>
    <x v="2"/>
  </r>
  <r>
    <x v="6"/>
    <d v="2026-06-29T00:00:00"/>
    <x v="3"/>
    <n v="1658"/>
    <x v="0"/>
    <n v="1.5"/>
    <s v="BB"/>
    <m/>
    <s v="1658_1"/>
    <s v="Stebbins_Core"/>
    <x v="2"/>
    <s v="Lirodendron"/>
    <s v="tulipfera"/>
    <s v="Magnoliaceae"/>
    <x v="2"/>
  </r>
  <r>
    <x v="6"/>
    <d v="2026-06-29T00:00:00"/>
    <x v="3"/>
    <n v="1659"/>
    <x v="0"/>
    <n v="1.2"/>
    <s v="BB"/>
    <m/>
    <s v="1659_1"/>
    <s v="Stebbins_Core"/>
    <x v="2"/>
    <s v="Lirodendron"/>
    <s v="tulipfera"/>
    <s v="Magnoliaceae"/>
    <x v="2"/>
  </r>
  <r>
    <x v="6"/>
    <d v="2026-06-29T00:00:00"/>
    <x v="7"/>
    <n v="1660"/>
    <x v="0"/>
    <n v="59.6"/>
    <s v="N/A"/>
    <s v="poor health, also tagged 505"/>
    <s v="1660_1"/>
    <s v="Stebbins_Core"/>
    <x v="2"/>
    <s v="Fagus"/>
    <s v="grandifolia"/>
    <s v="Fagaceae"/>
    <x v="4"/>
  </r>
  <r>
    <x v="6"/>
    <d v="2026-06-29T00:00:00"/>
    <x v="3"/>
    <n v="1661"/>
    <x v="0"/>
    <n v="1.4"/>
    <s v="W, BB"/>
    <m/>
    <s v="1661_1"/>
    <s v="Stebbins_Core"/>
    <x v="2"/>
    <s v="Lirodendron"/>
    <s v="tulipfera"/>
    <s v="Magnoliaceae"/>
    <x v="2"/>
  </r>
  <r>
    <x v="6"/>
    <d v="2026-06-29T00:00:00"/>
    <x v="3"/>
    <n v="1662"/>
    <x v="0"/>
    <n v="1.3"/>
    <s v="A"/>
    <s v="BB, POM at 1.29m"/>
    <s v="1662_1"/>
    <s v="Stebbins_Core"/>
    <x v="2"/>
    <s v="Lirodendron"/>
    <s v="tulipfera"/>
    <s v="Magnoliaceae"/>
    <x v="2"/>
  </r>
  <r>
    <x v="6"/>
    <d v="2026-06-29T00:00:00"/>
    <x v="3"/>
    <n v="1663"/>
    <x v="0"/>
    <n v="1.2"/>
    <s v="BB"/>
    <m/>
    <s v="1663_1"/>
    <s v="Stebbins_Core"/>
    <x v="2"/>
    <s v="Lirodendron"/>
    <s v="tulipfera"/>
    <s v="Magnoliaceae"/>
    <x v="2"/>
  </r>
  <r>
    <x v="6"/>
    <d v="2026-06-29T00:00:00"/>
    <x v="3"/>
    <n v="1664"/>
    <x v="0"/>
    <n v="1.1000000000000001"/>
    <s v="W, BB"/>
    <s v="soft tape"/>
    <s v="1664_1"/>
    <s v="Stebbins_Core"/>
    <x v="2"/>
    <s v="Lirodendron"/>
    <s v="tulipfera"/>
    <s v="Magnoliaceae"/>
    <x v="2"/>
  </r>
  <r>
    <x v="6"/>
    <d v="2026-06-29T00:00:00"/>
    <x v="3"/>
    <n v="1665"/>
    <x v="0"/>
    <n v="2"/>
    <s v="A, BB"/>
    <s v="POM at 1.28"/>
    <s v="1665_1"/>
    <s v="Stebbins_Core"/>
    <x v="2"/>
    <s v="Lirodendron"/>
    <s v="tulipfera"/>
    <s v="Magnoliaceae"/>
    <x v="2"/>
  </r>
  <r>
    <x v="6"/>
    <d v="2026-06-29T00:00:00"/>
    <x v="7"/>
    <n v="1666"/>
    <x v="0"/>
    <n v="41.3"/>
    <s v="B"/>
    <s v="death in canopy"/>
    <s v="1666_1"/>
    <s v="Stebbins_Core"/>
    <x v="2"/>
    <s v="Fagus"/>
    <s v="grandifolia"/>
    <s v="Fagaceae"/>
    <x v="1"/>
  </r>
  <r>
    <x v="6"/>
    <d v="2026-06-29T00:00:00"/>
    <x v="3"/>
    <n v="1667"/>
    <x v="0"/>
    <n v="1.3"/>
    <s v="A, BB"/>
    <s v="POM at 1.29"/>
    <s v="1667_1"/>
    <s v="Stebbins_Core"/>
    <x v="2"/>
    <s v="Lirodendron"/>
    <s v="tulipfera"/>
    <s v="Magnoliaceae"/>
    <x v="2"/>
  </r>
  <r>
    <x v="6"/>
    <d v="2026-06-29T00:00:00"/>
    <x v="3"/>
    <n v="1668"/>
    <x v="0"/>
    <n v="1.5"/>
    <s v="BB"/>
    <m/>
    <s v="1668_1"/>
    <s v="Stebbins_Core"/>
    <x v="2"/>
    <s v="Lirodendron"/>
    <s v="tulipfera"/>
    <s v="Magnoliaceae"/>
    <x v="2"/>
  </r>
  <r>
    <x v="6"/>
    <d v="2026-06-29T00:00:00"/>
    <x v="3"/>
    <n v="1669"/>
    <x v="0"/>
    <n v="1.1000000000000001"/>
    <s v="BB"/>
    <m/>
    <s v="1669_1"/>
    <s v="Stebbins_Core"/>
    <x v="2"/>
    <s v="Lirodendron"/>
    <s v="tulipfera"/>
    <s v="Magnoliaceae"/>
    <x v="2"/>
  </r>
  <r>
    <x v="6"/>
    <d v="2026-06-29T00:00:00"/>
    <x v="3"/>
    <n v="1670"/>
    <x v="0"/>
    <n v="1.1000000000000001"/>
    <s v="BB"/>
    <m/>
    <s v="1670_1"/>
    <s v="Stebbins_Core"/>
    <x v="2"/>
    <s v="Lirodendron"/>
    <s v="tulipfera"/>
    <s v="Magnoliaceae"/>
    <x v="2"/>
  </r>
  <r>
    <x v="6"/>
    <d v="2026-06-29T00:00:00"/>
    <x v="7"/>
    <n v="1671"/>
    <x v="0"/>
    <n v="1.2"/>
    <s v="N/A"/>
    <s v="split below POM where tag is hung, nearly dead"/>
    <s v="1671_1"/>
    <s v="Stebbins_Core"/>
    <x v="2"/>
    <s v="Fagus"/>
    <s v="grandifolia"/>
    <s v="Fagaceae"/>
    <x v="2"/>
  </r>
  <r>
    <x v="6"/>
    <d v="2026-06-29T00:00:00"/>
    <x v="0"/>
    <n v="1672"/>
    <x v="0"/>
    <n v="14.6"/>
    <s v="A"/>
    <s v="POM at 1.23, knot"/>
    <s v="1672_1"/>
    <s v="Stebbins_Core"/>
    <x v="2"/>
    <s v="Acer"/>
    <s v="saccharum"/>
    <s v="Sapindaceae"/>
    <x v="3"/>
  </r>
  <r>
    <x v="6"/>
    <d v="2026-06-29T00:00:00"/>
    <x v="0"/>
    <n v="1673"/>
    <x v="0"/>
    <n v="4.5"/>
    <s v="L"/>
    <s v="slight lean"/>
    <s v="1673_1"/>
    <s v="Stebbins_Core"/>
    <x v="2"/>
    <s v="Acer"/>
    <s v="saccharum"/>
    <s v="Sapindaceae"/>
    <x v="2"/>
  </r>
  <r>
    <x v="6"/>
    <d v="2026-06-29T00:00:00"/>
    <x v="0"/>
    <n v="1674"/>
    <x v="0"/>
    <n v="3.5"/>
    <s v="L"/>
    <m/>
    <s v="1674_1"/>
    <s v="Stebbins_Core"/>
    <x v="2"/>
    <s v="Acer"/>
    <s v="saccharum"/>
    <s v="Sapindaceae"/>
    <x v="2"/>
  </r>
  <r>
    <x v="6"/>
    <d v="2026-06-29T00:00:00"/>
    <x v="5"/>
    <n v="1675"/>
    <x v="0"/>
    <n v="30.8"/>
    <s v="L"/>
    <m/>
    <s v="1675_1"/>
    <s v="Stebbins_Core"/>
    <x v="2"/>
    <s v="Magnolia"/>
    <s v="acuminata"/>
    <s v="Magnoliaceae"/>
    <x v="0"/>
  </r>
  <r>
    <x v="6"/>
    <d v="2026-06-29T00:00:00"/>
    <x v="3"/>
    <n v="1676"/>
    <x v="0"/>
    <n v="35.299999999999997"/>
    <s v="L"/>
    <m/>
    <s v="1676_1"/>
    <s v="Stebbins_Core"/>
    <x v="2"/>
    <s v="Lirodendron"/>
    <s v="tulipfera"/>
    <s v="Magnoliaceae"/>
    <x v="0"/>
  </r>
  <r>
    <x v="6"/>
    <d v="2026-06-29T00:00:00"/>
    <x v="0"/>
    <n v="1677"/>
    <x v="0"/>
    <n v="2.5"/>
    <s v="L, A"/>
    <s v="POM at 1.28, knots"/>
    <s v="1677_1"/>
    <s v="Stebbins_Core"/>
    <x v="2"/>
    <s v="Acer"/>
    <s v="saccharum"/>
    <s v="Sapindaceae"/>
    <x v="2"/>
  </r>
  <r>
    <x v="6"/>
    <d v="2026-06-29T00:00:00"/>
    <x v="3"/>
    <n v="1678"/>
    <x v="0"/>
    <n v="22.7"/>
    <s v="N/A"/>
    <m/>
    <s v="1678_1"/>
    <s v="Stebbins_Core"/>
    <x v="2"/>
    <s v="Lirodendron"/>
    <s v="tulipfera"/>
    <s v="Magnoliaceae"/>
    <x v="0"/>
  </r>
  <r>
    <x v="6"/>
    <d v="2026-06-29T00:00:00"/>
    <x v="0"/>
    <n v="1679"/>
    <x v="0"/>
    <n v="3.2"/>
    <s v="L, BB"/>
    <m/>
    <s v="1679_1"/>
    <s v="Stebbins_Core"/>
    <x v="2"/>
    <s v="Acer"/>
    <s v="saccharum"/>
    <s v="Sapindaceae"/>
    <x v="2"/>
  </r>
  <r>
    <x v="6"/>
    <d v="2026-06-29T00:00:00"/>
    <x v="0"/>
    <n v="1680"/>
    <x v="0"/>
    <n v="10.7"/>
    <s v="N/A"/>
    <m/>
    <s v="1680_1"/>
    <s v="Stebbins_Core"/>
    <x v="2"/>
    <s v="Acer"/>
    <s v="saccharum"/>
    <s v="Sapindaceae"/>
    <x v="3"/>
  </r>
  <r>
    <x v="6"/>
    <d v="2026-06-29T00:00:00"/>
    <x v="0"/>
    <n v="1681"/>
    <x v="0"/>
    <n v="11.2"/>
    <s v="L"/>
    <s v="slight lean"/>
    <s v="1681_1"/>
    <s v="Stebbins_Core"/>
    <x v="2"/>
    <s v="Acer"/>
    <s v="saccharum"/>
    <s v="Sapindaceae"/>
    <x v="3"/>
  </r>
  <r>
    <x v="6"/>
    <d v="2026-06-29T00:00:00"/>
    <x v="0"/>
    <n v="1682"/>
    <x v="0"/>
    <n v="6.5"/>
    <s v="L"/>
    <s v="slight lean"/>
    <s v="1682_1"/>
    <s v="Stebbins_Core"/>
    <x v="2"/>
    <s v="Acer"/>
    <s v="saccharum"/>
    <s v="Sapindaceae"/>
    <x v="5"/>
  </r>
  <r>
    <x v="6"/>
    <d v="2026-06-29T00:00:00"/>
    <x v="7"/>
    <n v="1683"/>
    <x v="0"/>
    <n v="71"/>
    <s v="M"/>
    <m/>
    <s v="1683_1"/>
    <s v="Stebbins_Core"/>
    <x v="2"/>
    <s v="Fagus"/>
    <s v="grandifolia"/>
    <s v="Fagaceae"/>
    <x v="4"/>
  </r>
  <r>
    <x v="6"/>
    <d v="2026-06-29T00:00:00"/>
    <x v="7"/>
    <n v="1683"/>
    <x v="1"/>
    <n v="2.2999999999999998"/>
    <s v="M,L"/>
    <m/>
    <s v="1683_2"/>
    <s v="Stebbins_Core"/>
    <x v="2"/>
    <s v="Fagus"/>
    <s v="grandifolia"/>
    <s v="Fagaceae"/>
    <x v="2"/>
  </r>
  <r>
    <x v="6"/>
    <d v="2026-06-29T00:00:00"/>
    <x v="7"/>
    <n v="1683"/>
    <x v="16"/>
    <n v="1.1000000000000001"/>
    <s v="M,L"/>
    <m/>
    <s v="1683_3.1"/>
    <s v="Stebbins_Core"/>
    <x v="2"/>
    <s v="Fagus"/>
    <s v="grandifolia"/>
    <s v="Fagaceae"/>
    <x v="2"/>
  </r>
  <r>
    <x v="6"/>
    <d v="2026-06-29T00:00:00"/>
    <x v="7"/>
    <n v="1683"/>
    <x v="17"/>
    <n v="1"/>
    <s v="M,L"/>
    <s v="dying"/>
    <s v="1683_3.2"/>
    <s v="Stebbins_Core"/>
    <x v="2"/>
    <s v="Fagus"/>
    <s v="grandifolia"/>
    <s v="Fagaceae"/>
    <x v="2"/>
  </r>
  <r>
    <x v="6"/>
    <d v="2026-06-30T00:00:00"/>
    <x v="7"/>
    <n v="1684"/>
    <x v="0"/>
    <n v="9.6999999999999993"/>
    <s v="B"/>
    <s v="poor health"/>
    <s v="1684_1"/>
    <s v="Stebbins_Core"/>
    <x v="2"/>
    <s v="Fagus"/>
    <s v="grandifolia"/>
    <s v="Fagaceae"/>
    <x v="5"/>
  </r>
  <r>
    <x v="6"/>
    <d v="2026-06-30T00:00:00"/>
    <x v="7"/>
    <n v="1685"/>
    <x v="0"/>
    <n v="7"/>
    <s v="A,L"/>
    <s v="POM at 0.95m, large split/knot"/>
    <s v="1685_1"/>
    <s v="Stebbins_Core"/>
    <x v="2"/>
    <s v="Fagus"/>
    <s v="grandifolia"/>
    <s v="Fagaceae"/>
    <x v="5"/>
  </r>
  <r>
    <x v="6"/>
    <d v="2026-06-30T00:00:00"/>
    <x v="7"/>
    <n v="1686"/>
    <x v="0"/>
    <n v="7.9"/>
    <s v="L, BB"/>
    <s v="poor health"/>
    <s v="1686_1"/>
    <s v="Stebbins_Core"/>
    <x v="2"/>
    <s v="Fagus"/>
    <s v="grandifolia"/>
    <s v="Fagaceae"/>
    <x v="5"/>
  </r>
  <r>
    <x v="6"/>
    <d v="2026-06-30T00:00:00"/>
    <x v="7"/>
    <n v="1687"/>
    <x v="0"/>
    <n v="13.3"/>
    <s v="A,L,I"/>
    <s v="POM at 1.22, knot, split on whole trunk"/>
    <s v="1687_1"/>
    <s v="Stebbins_Core"/>
    <x v="2"/>
    <s v="Fagus"/>
    <s v="grandifolia"/>
    <s v="Fagaceae"/>
    <x v="3"/>
  </r>
  <r>
    <x v="6"/>
    <d v="2026-06-30T00:00:00"/>
    <x v="0"/>
    <n v="1688"/>
    <x v="0"/>
    <n v="8.6"/>
    <s v="L"/>
    <m/>
    <s v="1688_1"/>
    <s v="Stebbins_Core"/>
    <x v="2"/>
    <s v="Acer"/>
    <s v="saccharum"/>
    <s v="Sapindaceae"/>
    <x v="5"/>
  </r>
  <r>
    <x v="6"/>
    <d v="2026-06-30T00:00:00"/>
    <x v="0"/>
    <n v="1689"/>
    <x v="0"/>
    <n v="7.2"/>
    <s v="W"/>
    <m/>
    <s v="1689_1"/>
    <s v="Stebbins_Core"/>
    <x v="2"/>
    <s v="Acer"/>
    <s v="saccharum"/>
    <s v="Sapindaceae"/>
    <x v="5"/>
  </r>
  <r>
    <x v="6"/>
    <d v="2026-06-30T00:00:00"/>
    <x v="0"/>
    <n v="1690"/>
    <x v="0"/>
    <n v="4.4000000000000004"/>
    <s v="W,A"/>
    <s v="POM at 1.28, knot"/>
    <s v="1690_1"/>
    <s v="Stebbins_Core"/>
    <x v="2"/>
    <s v="Acer"/>
    <s v="saccharum"/>
    <s v="Sapindaceae"/>
    <x v="2"/>
  </r>
  <r>
    <x v="6"/>
    <d v="2026-06-30T00:00:00"/>
    <x v="0"/>
    <n v="1691"/>
    <x v="0"/>
    <n v="17.7"/>
    <s v="N/A"/>
    <m/>
    <s v="1691_1"/>
    <s v="Stebbins_Core"/>
    <x v="2"/>
    <s v="Acer"/>
    <s v="saccharum"/>
    <s v="Sapindaceae"/>
    <x v="3"/>
  </r>
  <r>
    <x v="6"/>
    <d v="2026-06-30T00:00:00"/>
    <x v="0"/>
    <n v="1692"/>
    <x v="0"/>
    <n v="22.6"/>
    <s v="L"/>
    <s v="slight lean"/>
    <s v="1692_1"/>
    <s v="Stebbins_Core"/>
    <x v="2"/>
    <s v="Acer"/>
    <s v="saccharum"/>
    <s v="Sapindaceae"/>
    <x v="0"/>
  </r>
  <r>
    <x v="6"/>
    <d v="2026-06-30T00:00:00"/>
    <x v="0"/>
    <n v="1693"/>
    <x v="0"/>
    <n v="3"/>
    <s v="W"/>
    <m/>
    <s v="1693_1"/>
    <s v="Stebbins_Core"/>
    <x v="2"/>
    <s v="Acer"/>
    <s v="saccharum"/>
    <s v="Sapindaceae"/>
    <x v="2"/>
  </r>
  <r>
    <x v="6"/>
    <d v="2026-06-30T00:00:00"/>
    <x v="5"/>
    <n v="1694"/>
    <x v="0"/>
    <n v="11.9"/>
    <s v="W,A"/>
    <s v="soft tape, POM at 1.28m, knot"/>
    <s v="1694_1"/>
    <s v="Stebbins_Core"/>
    <x v="2"/>
    <s v="Magnolia"/>
    <s v="acuminata"/>
    <s v="Magnoliaceae"/>
    <x v="3"/>
  </r>
  <r>
    <x v="6"/>
    <d v="2026-06-30T00:00:00"/>
    <x v="0"/>
    <n v="1695"/>
    <x v="0"/>
    <n v="7.9"/>
    <s v="L"/>
    <m/>
    <s v="1695_1"/>
    <s v="Stebbins_Core"/>
    <x v="2"/>
    <s v="Acer"/>
    <s v="saccharum"/>
    <s v="Sapindaceae"/>
    <x v="5"/>
  </r>
  <r>
    <x v="6"/>
    <d v="2026-06-30T00:00:00"/>
    <x v="0"/>
    <n v="1696"/>
    <x v="0"/>
    <n v="16.399999999999999"/>
    <s v="I"/>
    <s v="large knot/split on trunk"/>
    <s v="1696_1"/>
    <s v="Stebbins_Core"/>
    <x v="2"/>
    <s v="Acer"/>
    <s v="saccharum"/>
    <s v="Sapindaceae"/>
    <x v="3"/>
  </r>
  <r>
    <x v="6"/>
    <d v="2026-06-30T00:00:00"/>
    <x v="0"/>
    <n v="1697"/>
    <x v="0"/>
    <n v="2"/>
    <s v="N/A"/>
    <m/>
    <s v="1697_1"/>
    <s v="Stebbins_Core"/>
    <x v="2"/>
    <s v="Acer"/>
    <s v="saccharum"/>
    <s v="Sapindaceae"/>
    <x v="2"/>
  </r>
  <r>
    <x v="6"/>
    <d v="2026-06-30T00:00:00"/>
    <x v="3"/>
    <n v="1698"/>
    <x v="0"/>
    <n v="1"/>
    <s v="BB"/>
    <m/>
    <s v="1698_1"/>
    <s v="Stebbins_Core"/>
    <x v="2"/>
    <s v="Lirodendron"/>
    <s v="tulipfera"/>
    <s v="Magnoliaceae"/>
    <x v="2"/>
  </r>
  <r>
    <x v="6"/>
    <d v="2026-06-30T00:00:00"/>
    <x v="3"/>
    <n v="1699"/>
    <x v="0"/>
    <n v="1.2"/>
    <s v="N/A"/>
    <m/>
    <s v="1699_1"/>
    <s v="Stebbins_Core"/>
    <x v="2"/>
    <s v="Lirodendron"/>
    <s v="tulipfera"/>
    <s v="Magnoliaceae"/>
    <x v="2"/>
  </r>
  <r>
    <x v="6"/>
    <d v="2026-06-30T00:00:00"/>
    <x v="3"/>
    <n v="1700"/>
    <x v="0"/>
    <n v="1.2"/>
    <s v="M"/>
    <s v="Tagged"/>
    <s v="1700_1"/>
    <s v="Stebbins_Core"/>
    <x v="2"/>
    <s v="Lirodendron"/>
    <s v="tulipfera"/>
    <s v="Magnoliaceae"/>
    <x v="2"/>
  </r>
  <r>
    <x v="6"/>
    <d v="2026-06-30T00:00:00"/>
    <x v="3"/>
    <n v="1700"/>
    <x v="1"/>
    <n v="1"/>
    <s v="M, BB"/>
    <s v="soft tape"/>
    <s v="1700_2"/>
    <s v="Stebbins_Core"/>
    <x v="2"/>
    <s v="Lirodendron"/>
    <s v="tulipfera"/>
    <s v="Magnoliaceae"/>
    <x v="2"/>
  </r>
  <r>
    <x v="6"/>
    <d v="2026-06-30T00:00:00"/>
    <x v="0"/>
    <n v="1701"/>
    <x v="0"/>
    <n v="5.9"/>
    <s v="P,A,BB"/>
    <s v="POM at 1.28m, knots"/>
    <s v="1701_1"/>
    <s v="Stebbins_Core"/>
    <x v="2"/>
    <s v="Acer"/>
    <s v="saccharum"/>
    <s v="Sapindaceae"/>
    <x v="5"/>
  </r>
  <r>
    <x v="6"/>
    <d v="2026-06-30T00:00:00"/>
    <x v="3"/>
    <n v="1702"/>
    <x v="0"/>
    <n v="1.5"/>
    <s v="A, BB"/>
    <s v="POM at 1.28m, branch, "/>
    <s v="1702_1"/>
    <s v="Stebbins_Core"/>
    <x v="2"/>
    <s v="Lirodendron"/>
    <s v="tulipfera"/>
    <s v="Magnoliaceae"/>
    <x v="2"/>
  </r>
  <r>
    <x v="6"/>
    <d v="2026-06-30T00:00:00"/>
    <x v="3"/>
    <n v="1703"/>
    <x v="0"/>
    <n v="1"/>
    <s v="L, BB"/>
    <m/>
    <s v="1703_1"/>
    <s v="Stebbins_Core"/>
    <x v="2"/>
    <s v="Lirodendron"/>
    <s v="tulipfera"/>
    <s v="Magnoliaceae"/>
    <x v="2"/>
  </r>
  <r>
    <x v="6"/>
    <d v="2026-06-30T00:00:00"/>
    <x v="0"/>
    <n v="1704"/>
    <x v="0"/>
    <n v="10.3"/>
    <s v="N/A"/>
    <m/>
    <s v="1704_1"/>
    <s v="Stebbins_Core"/>
    <x v="2"/>
    <s v="Acer"/>
    <s v="saccharum"/>
    <s v="Sapindaceae"/>
    <x v="3"/>
  </r>
  <r>
    <x v="6"/>
    <d v="2026-06-30T00:00:00"/>
    <x v="0"/>
    <n v="1705"/>
    <x v="0"/>
    <n v="13.8"/>
    <s v="L"/>
    <m/>
    <s v="1705_1"/>
    <s v="Stebbins_Core"/>
    <x v="2"/>
    <s v="Acer"/>
    <s v="saccharum"/>
    <s v="Sapindaceae"/>
    <x v="3"/>
  </r>
  <r>
    <x v="6"/>
    <d v="2026-06-30T00:00:00"/>
    <x v="0"/>
    <n v="1706"/>
    <x v="0"/>
    <n v="5.7"/>
    <s v="L"/>
    <m/>
    <s v="1706_1"/>
    <s v="Stebbins_Core"/>
    <x v="2"/>
    <s v="Acer"/>
    <s v="saccharum"/>
    <s v="Sapindaceae"/>
    <x v="5"/>
  </r>
  <r>
    <x v="6"/>
    <d v="2026-06-30T00:00:00"/>
    <x v="0"/>
    <n v="1707"/>
    <x v="0"/>
    <n v="16.5"/>
    <s v="A, BB"/>
    <s v="POM at 1.28m, knots, "/>
    <s v="1707_1"/>
    <s v="Stebbins_Core"/>
    <x v="2"/>
    <s v="Acer"/>
    <s v="saccharum"/>
    <s v="Sapindaceae"/>
    <x v="3"/>
  </r>
  <r>
    <x v="6"/>
    <d v="2026-06-30T00:00:00"/>
    <x v="7"/>
    <n v="1708"/>
    <x v="0"/>
    <n v="16.3"/>
    <s v="L"/>
    <s v="slight lean, poor health"/>
    <s v="1708_1"/>
    <s v="Stebbins_Core"/>
    <x v="2"/>
    <s v="Fagus"/>
    <s v="grandifolia"/>
    <s v="Fagaceae"/>
    <x v="3"/>
  </r>
  <r>
    <x v="6"/>
    <d v="2026-06-30T00:00:00"/>
    <x v="0"/>
    <n v="1709"/>
    <x v="0"/>
    <n v="10"/>
    <s v="W"/>
    <m/>
    <s v="1709_1"/>
    <s v="Stebbins_Core"/>
    <x v="2"/>
    <s v="Acer"/>
    <s v="saccharum"/>
    <s v="Sapindaceae"/>
    <x v="5"/>
  </r>
  <r>
    <x v="6"/>
    <d v="2026-06-30T00:00:00"/>
    <x v="0"/>
    <n v="1710"/>
    <x v="0"/>
    <n v="26"/>
    <s v="A"/>
    <s v="POM at 1.05 m, knots/swelling, tapering growth"/>
    <s v="1710_1"/>
    <s v="Stebbins_Core"/>
    <x v="2"/>
    <s v="Acer"/>
    <s v="saccharum"/>
    <s v="Sapindaceae"/>
    <x v="0"/>
  </r>
  <r>
    <x v="6"/>
    <d v="2026-06-30T00:00:00"/>
    <x v="7"/>
    <n v="1711"/>
    <x v="0"/>
    <n v="11"/>
    <s v="A,L"/>
    <s v="slight lean, POM at 1.28m"/>
    <s v="1711_1"/>
    <s v="Stebbins_Core"/>
    <x v="2"/>
    <s v="Fagus"/>
    <s v="grandifolia"/>
    <s v="Fagaceae"/>
    <x v="3"/>
  </r>
  <r>
    <x v="6"/>
    <d v="2026-06-30T00:00:00"/>
    <x v="7"/>
    <n v="1712"/>
    <x v="0"/>
    <n v="20.9"/>
    <s v="N/A"/>
    <m/>
    <s v="1712_1"/>
    <s v="Stebbins_Core"/>
    <x v="2"/>
    <s v="Fagus"/>
    <s v="grandifolia"/>
    <s v="Fagaceae"/>
    <x v="0"/>
  </r>
  <r>
    <x v="6"/>
    <d v="2026-06-30T00:00:00"/>
    <x v="0"/>
    <n v="1713"/>
    <x v="0"/>
    <n v="10.5"/>
    <s v="L"/>
    <m/>
    <s v="1713_1"/>
    <s v="Stebbins_Core"/>
    <x v="2"/>
    <s v="Acer"/>
    <s v="saccharum"/>
    <s v="Sapindaceae"/>
    <x v="3"/>
  </r>
  <r>
    <x v="6"/>
    <d v="2026-06-30T00:00:00"/>
    <x v="0"/>
    <n v="1714"/>
    <x v="0"/>
    <n v="13.5"/>
    <s v="N/A"/>
    <m/>
    <s v="1714_1"/>
    <s v="Stebbins_Core"/>
    <x v="2"/>
    <s v="Acer"/>
    <s v="saccharum"/>
    <s v="Sapindaceae"/>
    <x v="3"/>
  </r>
  <r>
    <x v="6"/>
    <d v="2026-06-30T00:00:00"/>
    <x v="0"/>
    <n v="1715"/>
    <x v="0"/>
    <n v="6.5"/>
    <s v="W,A"/>
    <s v="POM at 1.26m, knot, soft tape"/>
    <s v="1715_1"/>
    <s v="Stebbins_Core"/>
    <x v="2"/>
    <s v="Acer"/>
    <s v="saccharum"/>
    <s v="Sapindaceae"/>
    <x v="5"/>
  </r>
  <r>
    <x v="6"/>
    <d v="2026-06-30T00:00:00"/>
    <x v="0"/>
    <n v="1716"/>
    <x v="0"/>
    <n v="14.4"/>
    <s v="L"/>
    <m/>
    <s v="1716_1"/>
    <s v="Stebbins_Core"/>
    <x v="2"/>
    <s v="Acer"/>
    <s v="saccharum"/>
    <s v="Sapindaceae"/>
    <x v="3"/>
  </r>
  <r>
    <x v="6"/>
    <d v="2026-06-30T00:00:00"/>
    <x v="0"/>
    <n v="1717"/>
    <x v="0"/>
    <n v="6.4"/>
    <s v="W"/>
    <m/>
    <s v="1717_1"/>
    <s v="Stebbins_Core"/>
    <x v="2"/>
    <s v="Acer"/>
    <s v="saccharum"/>
    <s v="Sapindaceae"/>
    <x v="5"/>
  </r>
  <r>
    <x v="6"/>
    <d v="2026-06-30T00:00:00"/>
    <x v="7"/>
    <n v="1718"/>
    <x v="0"/>
    <n v="7.7"/>
    <s v="N/A"/>
    <s v="poor health"/>
    <s v="1718_1"/>
    <s v="Stebbins_Core"/>
    <x v="2"/>
    <s v="Fagus"/>
    <s v="grandifolia"/>
    <s v="Fagaceae"/>
    <x v="5"/>
  </r>
  <r>
    <x v="6"/>
    <d v="2026-06-30T00:00:00"/>
    <x v="7"/>
    <n v="1719"/>
    <x v="0"/>
    <n v="11.9"/>
    <s v="N/A"/>
    <m/>
    <s v="1719_1"/>
    <s v="Stebbins_Core"/>
    <x v="2"/>
    <s v="Fagus"/>
    <s v="grandifolia"/>
    <s v="Fagaceae"/>
    <x v="3"/>
  </r>
  <r>
    <x v="6"/>
    <d v="2026-06-30T00:00:00"/>
    <x v="7"/>
    <n v="1720"/>
    <x v="0"/>
    <n v="64.3"/>
    <s v="N/A"/>
    <m/>
    <s v="1720_1"/>
    <s v="Stebbins_Core"/>
    <x v="2"/>
    <s v="Fagus"/>
    <s v="grandifolia"/>
    <s v="Fagaceae"/>
    <x v="4"/>
  </r>
  <r>
    <x v="6"/>
    <d v="2026-06-30T00:00:00"/>
    <x v="7"/>
    <n v="1721"/>
    <x v="0"/>
    <n v="6.4"/>
    <s v="A"/>
    <s v="POM at 1.15, knots"/>
    <s v="1721_1"/>
    <s v="Stebbins_Core"/>
    <x v="2"/>
    <s v="Fagus"/>
    <s v="grandifolia"/>
    <s v="Fagaceae"/>
    <x v="5"/>
  </r>
  <r>
    <x v="6"/>
    <d v="2026-06-30T00:00:00"/>
    <x v="0"/>
    <n v="1722"/>
    <x v="0"/>
    <n v="6.4"/>
    <s v="L,I"/>
    <s v="knots on whole trunk"/>
    <s v="1722_1"/>
    <s v="Stebbins_Core"/>
    <x v="2"/>
    <s v="Acer"/>
    <s v="saccharum"/>
    <s v="Sapindaceae"/>
    <x v="5"/>
  </r>
  <r>
    <x v="6"/>
    <d v="2026-06-30T00:00:00"/>
    <x v="0"/>
    <n v="1723"/>
    <x v="0"/>
    <n v="17"/>
    <s v="L"/>
    <s v="slight lean"/>
    <s v="1723_1"/>
    <s v="Stebbins_Core"/>
    <x v="2"/>
    <s v="Acer"/>
    <s v="saccharum"/>
    <s v="Sapindaceae"/>
    <x v="3"/>
  </r>
  <r>
    <x v="6"/>
    <d v="2026-06-30T00:00:00"/>
    <x v="0"/>
    <n v="1724"/>
    <x v="0"/>
    <n v="7.5"/>
    <s v="L,A"/>
    <s v="POM at 1.27m, knot"/>
    <s v="1724_1"/>
    <s v="Stebbins_Core"/>
    <x v="2"/>
    <s v="Acer"/>
    <s v="saccharum"/>
    <s v="Sapindaceae"/>
    <x v="5"/>
  </r>
  <r>
    <x v="6"/>
    <d v="2026-06-30T00:00:00"/>
    <x v="7"/>
    <n v="1725"/>
    <x v="0"/>
    <n v="77.5"/>
    <s v="L"/>
    <m/>
    <s v="1725_1"/>
    <s v="Stebbins_Core"/>
    <x v="2"/>
    <s v="Fagus"/>
    <s v="grandifolia"/>
    <s v="Fagaceae"/>
    <x v="4"/>
  </r>
  <r>
    <x v="6"/>
    <d v="2026-06-30T00:00:00"/>
    <x v="7"/>
    <n v="1726"/>
    <x v="0"/>
    <n v="8.3000000000000007"/>
    <s v="A"/>
    <s v="POM at 1.2, tree curves at 1.3"/>
    <s v="1726_1"/>
    <s v="Stebbins_Core"/>
    <x v="2"/>
    <s v="Fagus"/>
    <s v="grandifolia"/>
    <s v="Fagaceae"/>
    <x v="5"/>
  </r>
  <r>
    <x v="6"/>
    <d v="2026-06-30T00:00:00"/>
    <x v="0"/>
    <n v="1727"/>
    <x v="0"/>
    <n v="5.2"/>
    <s v="M"/>
    <m/>
    <s v="1727_1"/>
    <s v="Stebbins_Core"/>
    <x v="2"/>
    <s v="Acer"/>
    <s v="saccharum"/>
    <s v="Sapindaceae"/>
    <x v="5"/>
  </r>
  <r>
    <x v="6"/>
    <d v="2026-06-30T00:00:00"/>
    <x v="0"/>
    <n v="1727"/>
    <x v="1"/>
    <n v="1.2"/>
    <s v="M"/>
    <m/>
    <s v="1727_2"/>
    <s v="Stebbins_Core"/>
    <x v="2"/>
    <s v="Acer"/>
    <s v="saccharum"/>
    <s v="Sapindaceae"/>
    <x v="2"/>
  </r>
  <r>
    <x v="6"/>
    <d v="2026-06-30T00:00:00"/>
    <x v="0"/>
    <n v="1728"/>
    <x v="0"/>
    <n v="9.3000000000000007"/>
    <s v="W"/>
    <s v="soft tape"/>
    <s v="1728_1"/>
    <s v="Stebbins_Core"/>
    <x v="2"/>
    <s v="Acer"/>
    <s v="saccharum"/>
    <s v="Sapindaceae"/>
    <x v="5"/>
  </r>
  <r>
    <x v="6"/>
    <d v="2026-06-30T00:00:00"/>
    <x v="0"/>
    <n v="1729"/>
    <x v="0"/>
    <n v="7.2"/>
    <s v="L,I"/>
    <m/>
    <s v="1729_1"/>
    <s v="Stebbins_Core"/>
    <x v="2"/>
    <s v="Acer"/>
    <s v="saccharum"/>
    <s v="Sapindaceae"/>
    <x v="5"/>
  </r>
  <r>
    <x v="6"/>
    <d v="2026-06-30T00:00:00"/>
    <x v="7"/>
    <n v="1730"/>
    <x v="0"/>
    <n v="4.8"/>
    <s v="M"/>
    <m/>
    <s v="1730_1"/>
    <s v="Stebbins_Core"/>
    <x v="2"/>
    <s v="Fagus"/>
    <s v="grandifolia"/>
    <s v="Fagaceae"/>
    <x v="2"/>
  </r>
  <r>
    <x v="6"/>
    <d v="2026-06-30T00:00:00"/>
    <x v="7"/>
    <n v="1730"/>
    <x v="1"/>
    <n v="3.3"/>
    <s v="M"/>
    <m/>
    <s v="1730_2"/>
    <s v="Stebbins_Core"/>
    <x v="2"/>
    <s v="Fagus"/>
    <s v="grandifolia"/>
    <s v="Fagaceae"/>
    <x v="2"/>
  </r>
  <r>
    <x v="6"/>
    <d v="2026-06-30T00:00:00"/>
    <x v="0"/>
    <n v="1731"/>
    <x v="0"/>
    <n v="2.8"/>
    <s v="L"/>
    <m/>
    <s v="1731_1"/>
    <s v="Stebbins_Core"/>
    <x v="2"/>
    <s v="Acer"/>
    <s v="saccharum"/>
    <s v="Sapindaceae"/>
    <x v="2"/>
  </r>
  <r>
    <x v="6"/>
    <d v="2026-06-30T00:00:00"/>
    <x v="0"/>
    <n v="1732"/>
    <x v="0"/>
    <n v="6.7"/>
    <s v="L"/>
    <m/>
    <s v="1732_1"/>
    <s v="Stebbins_Core"/>
    <x v="2"/>
    <s v="Acer"/>
    <s v="saccharum"/>
    <s v="Sapindaceae"/>
    <x v="5"/>
  </r>
  <r>
    <x v="6"/>
    <d v="2026-06-30T00:00:00"/>
    <x v="0"/>
    <n v="1733"/>
    <x v="0"/>
    <n v="5.5"/>
    <s v="W"/>
    <s v="soft tape"/>
    <s v="1733_1"/>
    <s v="Stebbins_Core"/>
    <x v="2"/>
    <s v="Acer"/>
    <s v="saccharum"/>
    <s v="Sapindaceae"/>
    <x v="5"/>
  </r>
  <r>
    <x v="6"/>
    <d v="2026-06-30T00:00:00"/>
    <x v="7"/>
    <n v="1734"/>
    <x v="0"/>
    <n v="6.6"/>
    <s v="W"/>
    <s v="soft tape"/>
    <s v="1734_1"/>
    <s v="Stebbins_Core"/>
    <x v="2"/>
    <s v="Fagus"/>
    <s v="grandifolia"/>
    <s v="Fagaceae"/>
    <x v="5"/>
  </r>
  <r>
    <x v="6"/>
    <d v="2026-06-30T00:00:00"/>
    <x v="7"/>
    <n v="1735"/>
    <x v="0"/>
    <n v="8.6999999999999993"/>
    <s v="L"/>
    <m/>
    <s v="1735_1"/>
    <s v="Stebbins_Core"/>
    <x v="2"/>
    <s v="Fagus"/>
    <s v="grandifolia"/>
    <s v="Fagaceae"/>
    <x v="5"/>
  </r>
  <r>
    <x v="6"/>
    <d v="2026-06-30T00:00:00"/>
    <x v="0"/>
    <n v="1736"/>
    <x v="0"/>
    <n v="12.1"/>
    <s v="L"/>
    <m/>
    <s v="1736_1"/>
    <s v="Stebbins_Core"/>
    <x v="2"/>
    <s v="Acer"/>
    <s v="saccharum"/>
    <s v="Sapindaceae"/>
    <x v="3"/>
  </r>
  <r>
    <x v="6"/>
    <d v="2026-06-30T00:00:00"/>
    <x v="7"/>
    <n v="1737"/>
    <x v="0"/>
    <n v="67.099999999999994"/>
    <s v="M"/>
    <s v="large patch torn out from bark, crown looks sad"/>
    <s v="1737_1"/>
    <s v="Stebbins_Core"/>
    <x v="2"/>
    <s v="Fagus"/>
    <s v="grandifolia"/>
    <s v="Fagaceae"/>
    <x v="4"/>
  </r>
  <r>
    <x v="6"/>
    <d v="2026-06-30T00:00:00"/>
    <x v="7"/>
    <n v="1737"/>
    <x v="1"/>
    <n v="4.8"/>
    <s v="M"/>
    <m/>
    <s v="1737_2"/>
    <s v="Stebbins_Core"/>
    <x v="2"/>
    <s v="Fagus"/>
    <s v="grandifolia"/>
    <s v="Fagaceae"/>
    <x v="2"/>
  </r>
  <r>
    <x v="6"/>
    <d v="2026-06-30T00:00:00"/>
    <x v="0"/>
    <n v="1738"/>
    <x v="0"/>
    <n v="38.299999999999997"/>
    <s v="L"/>
    <m/>
    <s v="1738_1"/>
    <s v="Stebbins_Core"/>
    <x v="2"/>
    <s v="Acer"/>
    <s v="saccharum"/>
    <s v="Sapindaceae"/>
    <x v="0"/>
  </r>
  <r>
    <x v="6"/>
    <d v="2026-06-30T00:00:00"/>
    <x v="3"/>
    <n v="1739"/>
    <x v="0"/>
    <n v="1.1000000000000001"/>
    <s v="BB"/>
    <m/>
    <s v="1739_1"/>
    <s v="Stebbins_Core"/>
    <x v="2"/>
    <s v="Lirodendron"/>
    <s v="tulipfera"/>
    <s v="Magnoliaceae"/>
    <x v="2"/>
  </r>
  <r>
    <x v="6"/>
    <d v="2026-06-30T00:00:00"/>
    <x v="3"/>
    <n v="1740"/>
    <x v="0"/>
    <n v="1.2"/>
    <s v="BB"/>
    <m/>
    <s v="1740_1"/>
    <s v="Stebbins_Core"/>
    <x v="2"/>
    <s v="Lirodendron"/>
    <s v="tulipfera"/>
    <s v="Magnoliaceae"/>
    <x v="2"/>
  </r>
  <r>
    <x v="6"/>
    <d v="2026-06-30T00:00:00"/>
    <x v="3"/>
    <n v="1741"/>
    <x v="0"/>
    <n v="1.1000000000000001"/>
    <s v="BB"/>
    <m/>
    <s v="1741_1"/>
    <s v="Stebbins_Core"/>
    <x v="2"/>
    <s v="Lirodendron"/>
    <s v="tulipfera"/>
    <s v="Magnoliaceae"/>
    <x v="2"/>
  </r>
  <r>
    <x v="6"/>
    <d v="2026-06-30T00:00:00"/>
    <x v="3"/>
    <n v="1742"/>
    <x v="0"/>
    <n v="1.1000000000000001"/>
    <s v="BB"/>
    <m/>
    <s v="1742_1"/>
    <s v="Stebbins_Core"/>
    <x v="2"/>
    <s v="Lirodendron"/>
    <s v="tulipfera"/>
    <s v="Magnoliaceae"/>
    <x v="2"/>
  </r>
  <r>
    <x v="6"/>
    <d v="2026-06-30T00:00:00"/>
    <x v="3"/>
    <n v="1743"/>
    <x v="0"/>
    <n v="1.3"/>
    <s v="M,BB"/>
    <m/>
    <s v="1743_1"/>
    <s v="Stebbins_Core"/>
    <x v="2"/>
    <s v="Lirodendron"/>
    <s v="tulipfera"/>
    <s v="Magnoliaceae"/>
    <x v="2"/>
  </r>
  <r>
    <x v="6"/>
    <d v="2026-06-30T00:00:00"/>
    <x v="3"/>
    <n v="1743"/>
    <x v="1"/>
    <n v="1.1000000000000001"/>
    <s v="M,BB"/>
    <m/>
    <s v="1743_2"/>
    <s v="Stebbins_Core"/>
    <x v="2"/>
    <s v="Lirodendron"/>
    <s v="tulipfera"/>
    <s v="Magnoliaceae"/>
    <x v="2"/>
  </r>
  <r>
    <x v="6"/>
    <d v="2026-06-30T00:00:00"/>
    <x v="0"/>
    <n v="1744"/>
    <x v="0"/>
    <n v="4.8"/>
    <s v="W"/>
    <s v="soft tape"/>
    <s v="1744_1"/>
    <s v="Stebbins_Core"/>
    <x v="2"/>
    <s v="Acer"/>
    <s v="saccharum"/>
    <s v="Sapindaceae"/>
    <x v="2"/>
  </r>
  <r>
    <x v="6"/>
    <d v="2026-06-30T00:00:00"/>
    <x v="7"/>
    <n v="1745"/>
    <x v="0"/>
    <n v="9.6"/>
    <s v="L"/>
    <s v="almost dead"/>
    <s v="1745_1"/>
    <s v="Stebbins_Core"/>
    <x v="2"/>
    <s v="Fagus"/>
    <s v="grandifolia"/>
    <s v="Fagaceae"/>
    <x v="5"/>
  </r>
  <r>
    <x v="6"/>
    <d v="2026-06-30T00:00:00"/>
    <x v="7"/>
    <n v="1746"/>
    <x v="0"/>
    <n v="7.7"/>
    <s v="L"/>
    <m/>
    <s v="1746_1"/>
    <s v="Stebbins_Core"/>
    <x v="2"/>
    <s v="Fagus"/>
    <s v="grandifolia"/>
    <s v="Fagaceae"/>
    <x v="5"/>
  </r>
  <r>
    <x v="6"/>
    <d v="2026-06-30T00:00:00"/>
    <x v="5"/>
    <n v="1747"/>
    <x v="0"/>
    <n v="5.6"/>
    <s v="W"/>
    <m/>
    <s v="1747_1"/>
    <s v="Stebbins_Core"/>
    <x v="2"/>
    <s v="Magnolia"/>
    <s v="acuminata"/>
    <s v="Magnoliaceae"/>
    <x v="5"/>
  </r>
  <r>
    <x v="6"/>
    <d v="2026-06-30T00:00:00"/>
    <x v="8"/>
    <n v="1748"/>
    <x v="0"/>
    <n v="4.4000000000000004"/>
    <s v="L"/>
    <m/>
    <s v="1748_1"/>
    <s v="Stebbins_Core"/>
    <x v="2"/>
    <s v="Ostrya"/>
    <s v="viginiana"/>
    <s v="Betulaceae"/>
    <x v="2"/>
  </r>
  <r>
    <x v="6"/>
    <d v="2026-06-30T00:00:00"/>
    <x v="7"/>
    <n v="1749"/>
    <x v="0"/>
    <n v="1.7"/>
    <s v="BB"/>
    <s v="growing from old dead beech"/>
    <s v="1749_1"/>
    <s v="Stebbins_Core"/>
    <x v="2"/>
    <s v="Fagus"/>
    <s v="grandifolia"/>
    <s v="Fagaceae"/>
    <x v="2"/>
  </r>
  <r>
    <x v="6"/>
    <d v="2026-06-30T00:00:00"/>
    <x v="7"/>
    <n v="1750"/>
    <x v="0"/>
    <n v="1.1000000000000001"/>
    <s v="M"/>
    <m/>
    <s v="1750_1"/>
    <s v="Stebbins_Core"/>
    <x v="2"/>
    <s v="Fagus"/>
    <s v="grandifolia"/>
    <s v="Fagaceae"/>
    <x v="2"/>
  </r>
  <r>
    <x v="6"/>
    <d v="2026-06-30T00:00:00"/>
    <x v="7"/>
    <n v="1750"/>
    <x v="1"/>
    <n v="1"/>
    <s v="M"/>
    <m/>
    <s v="1750_2"/>
    <s v="Stebbins_Core"/>
    <x v="2"/>
    <s v="Fagus"/>
    <s v="grandifolia"/>
    <s v="Fagaceae"/>
    <x v="2"/>
  </r>
  <r>
    <x v="6"/>
    <d v="2026-06-30T00:00:00"/>
    <x v="7"/>
    <n v="1751"/>
    <x v="0"/>
    <n v="84.8"/>
    <s v="I,M"/>
    <s v="very irregular, large open wound on NE side of tree"/>
    <s v="1751_1"/>
    <s v="Stebbins_Core"/>
    <x v="2"/>
    <s v="Fagus"/>
    <s v="grandifolia"/>
    <s v="Fagaceae"/>
    <x v="4"/>
  </r>
  <r>
    <x v="6"/>
    <d v="2026-06-30T00:00:00"/>
    <x v="7"/>
    <n v="1751"/>
    <x v="1"/>
    <n v="1.1000000000000001"/>
    <s v="I,M"/>
    <s v="still alive, but sad canopy"/>
    <s v="1751_2"/>
    <s v="Stebbins_Core"/>
    <x v="2"/>
    <s v="Fagus"/>
    <s v="grandifolia"/>
    <s v="Fagaceae"/>
    <x v="2"/>
  </r>
  <r>
    <x v="6"/>
    <d v="2026-06-30T00:00:00"/>
    <x v="0"/>
    <n v="1752"/>
    <x v="0"/>
    <n v="8.1"/>
    <s v="M,L"/>
    <m/>
    <s v="1752_1"/>
    <s v="Stebbins_Core"/>
    <x v="2"/>
    <s v="Acer"/>
    <s v="saccharum"/>
    <s v="Sapindaceae"/>
    <x v="5"/>
  </r>
  <r>
    <x v="6"/>
    <d v="2026-06-30T00:00:00"/>
    <x v="0"/>
    <n v="1752"/>
    <x v="1"/>
    <n v="2.1"/>
    <s v="M,L"/>
    <m/>
    <s v="1752_2"/>
    <s v="Stebbins_Core"/>
    <x v="2"/>
    <s v="Acer"/>
    <s v="saccharum"/>
    <s v="Sapindaceae"/>
    <x v="2"/>
  </r>
  <r>
    <x v="6"/>
    <d v="2026-06-30T00:00:00"/>
    <x v="0"/>
    <n v="1753"/>
    <x v="0"/>
    <n v="12.1"/>
    <s v="L"/>
    <m/>
    <s v="1753_1"/>
    <s v="Stebbins_Core"/>
    <x v="2"/>
    <s v="Acer"/>
    <s v="saccharum"/>
    <s v="Sapindaceae"/>
    <x v="3"/>
  </r>
  <r>
    <x v="6"/>
    <d v="2026-06-30T00:00:00"/>
    <x v="0"/>
    <n v="1754"/>
    <x v="0"/>
    <n v="7.9"/>
    <s v="L"/>
    <m/>
    <s v="1754_1"/>
    <s v="Stebbins_Core"/>
    <x v="2"/>
    <s v="Acer"/>
    <s v="saccharum"/>
    <s v="Sapindaceae"/>
    <x v="5"/>
  </r>
  <r>
    <x v="6"/>
    <d v="2026-06-30T00:00:00"/>
    <x v="7"/>
    <n v="1755"/>
    <x v="0"/>
    <n v="14.9"/>
    <s v="L"/>
    <s v="almost dead, 0-10% canopy, but stem is alive"/>
    <s v="1755_1"/>
    <s v="Stebbins_Core"/>
    <x v="2"/>
    <s v="Fagus"/>
    <s v="grandifolia"/>
    <s v="Fagaceae"/>
    <x v="3"/>
  </r>
  <r>
    <x v="6"/>
    <d v="2026-06-30T00:00:00"/>
    <x v="7"/>
    <n v="1756"/>
    <x v="0"/>
    <n v="13.9"/>
    <s v="N/A"/>
    <s v="alive, but really sad canopy"/>
    <s v="1756_1"/>
    <s v="Stebbins_Core"/>
    <x v="2"/>
    <s v="Fagus"/>
    <s v="grandifolia"/>
    <s v="Fagaceae"/>
    <x v="3"/>
  </r>
  <r>
    <x v="6"/>
    <d v="2026-06-30T00:00:00"/>
    <x v="0"/>
    <n v="1757"/>
    <x v="0"/>
    <n v="13.5"/>
    <s v="N/A"/>
    <m/>
    <s v="1757_1"/>
    <s v="Stebbins_Core"/>
    <x v="2"/>
    <s v="Acer"/>
    <s v="saccharum"/>
    <s v="Sapindaceae"/>
    <x v="3"/>
  </r>
  <r>
    <x v="6"/>
    <d v="2026-06-30T00:00:00"/>
    <x v="0"/>
    <n v="1758"/>
    <x v="0"/>
    <n v="9.1999999999999993"/>
    <s v="L"/>
    <m/>
    <s v="1758_1"/>
    <s v="Stebbins_Core"/>
    <x v="2"/>
    <s v="Acer"/>
    <s v="saccharum"/>
    <s v="Sapindaceae"/>
    <x v="5"/>
  </r>
  <r>
    <x v="6"/>
    <d v="2026-06-30T00:00:00"/>
    <x v="7"/>
    <n v="1759"/>
    <x v="0"/>
    <n v="71.599999999999994"/>
    <s v="L"/>
    <s v="thin canopy, not too healthy"/>
    <s v="1759_1"/>
    <s v="Stebbins_Core"/>
    <x v="2"/>
    <s v="Fagus"/>
    <s v="grandifolia"/>
    <s v="Fagaceae"/>
    <x v="4"/>
  </r>
  <r>
    <x v="6"/>
    <d v="2026-06-30T00:00:00"/>
    <x v="0"/>
    <n v="1760"/>
    <x v="0"/>
    <n v="12.1"/>
    <s v="A"/>
    <s v="POM at 1.28m"/>
    <s v="1760_1"/>
    <s v="Stebbins_Core"/>
    <x v="2"/>
    <s v="Acer"/>
    <s v="saccharum"/>
    <s v="Sapindaceae"/>
    <x v="3"/>
  </r>
  <r>
    <x v="6"/>
    <d v="2026-06-30T00:00:00"/>
    <x v="7"/>
    <n v="0"/>
    <x v="0"/>
    <n v="6.3"/>
    <s v="W"/>
    <s v="soft tape, almost dead, missed tag"/>
    <s v="0_1"/>
    <s v="Stebbins_Core"/>
    <x v="2"/>
    <s v="Fagus"/>
    <s v="grandifolia"/>
    <s v="Fagaceae"/>
    <x v="5"/>
  </r>
  <r>
    <x v="6"/>
    <d v="2026-06-30T00:00:00"/>
    <x v="7"/>
    <n v="1761"/>
    <x v="0"/>
    <n v="2.8"/>
    <s v="L"/>
    <m/>
    <s v="1761_1"/>
    <s v="Stebbins_Core"/>
    <x v="2"/>
    <s v="Fagus"/>
    <s v="grandifolia"/>
    <s v="Fagaceae"/>
    <x v="2"/>
  </r>
  <r>
    <x v="6"/>
    <d v="2026-06-30T00:00:00"/>
    <x v="0"/>
    <n v="1762"/>
    <x v="0"/>
    <n v="8"/>
    <s v="L"/>
    <m/>
    <s v="1762_1"/>
    <s v="Stebbins_Core"/>
    <x v="2"/>
    <s v="Acer"/>
    <s v="saccharum"/>
    <s v="Sapindaceae"/>
    <x v="5"/>
  </r>
  <r>
    <x v="6"/>
    <d v="2026-06-30T00:00:00"/>
    <x v="0"/>
    <n v="1763"/>
    <x v="0"/>
    <n v="9.9"/>
    <s v="L"/>
    <m/>
    <s v="1763_1"/>
    <s v="Stebbins_Core"/>
    <x v="2"/>
    <s v="Acer"/>
    <s v="saccharum"/>
    <s v="Sapindaceae"/>
    <x v="5"/>
  </r>
  <r>
    <x v="6"/>
    <d v="2026-06-30T00:00:00"/>
    <x v="0"/>
    <n v="1764"/>
    <x v="0"/>
    <n v="9.8000000000000007"/>
    <s v="B,L"/>
    <m/>
    <s v="1764_1"/>
    <s v="Stebbins_Core"/>
    <x v="2"/>
    <s v="Acer"/>
    <s v="saccharum"/>
    <s v="Sapindaceae"/>
    <x v="5"/>
  </r>
  <r>
    <x v="6"/>
    <d v="2026-06-30T00:00:00"/>
    <x v="3"/>
    <n v="1765"/>
    <x v="0"/>
    <n v="88.6"/>
    <s v="N/A"/>
    <m/>
    <s v="1765_1"/>
    <s v="Stebbins_Core"/>
    <x v="2"/>
    <s v="Lirodendron"/>
    <s v="tulipfera"/>
    <s v="Magnoliaceae"/>
    <x v="4"/>
  </r>
  <r>
    <x v="6"/>
    <d v="2026-06-30T00:00:00"/>
    <x v="0"/>
    <n v="1766"/>
    <x v="0"/>
    <n v="9.3000000000000007"/>
    <s v="L,B"/>
    <m/>
    <s v="1766_1"/>
    <s v="Stebbins_Core"/>
    <x v="2"/>
    <s v="Acer"/>
    <s v="saccharum"/>
    <s v="Sapindaceae"/>
    <x v="5"/>
  </r>
  <r>
    <x v="6"/>
    <d v="2026-06-30T00:00:00"/>
    <x v="0"/>
    <n v="1767"/>
    <x v="0"/>
    <n v="21.1"/>
    <s v="N/A"/>
    <m/>
    <s v="1767_1"/>
    <s v="Stebbins_Core"/>
    <x v="2"/>
    <s v="Acer"/>
    <s v="saccharum"/>
    <s v="Sapindaceae"/>
    <x v="0"/>
  </r>
  <r>
    <x v="6"/>
    <d v="2026-06-30T00:00:00"/>
    <x v="0"/>
    <n v="1768"/>
    <x v="0"/>
    <n v="9"/>
    <s v="L"/>
    <m/>
    <s v="1768_1"/>
    <s v="Stebbins_Core"/>
    <x v="2"/>
    <s v="Acer"/>
    <s v="saccharum"/>
    <s v="Sapindaceae"/>
    <x v="5"/>
  </r>
  <r>
    <x v="6"/>
    <d v="2026-06-30T00:00:00"/>
    <x v="7"/>
    <n v="1769"/>
    <x v="0"/>
    <n v="19.600000000000001"/>
    <s v="L"/>
    <m/>
    <s v="1769_1"/>
    <s v="Stebbins_Core"/>
    <x v="2"/>
    <s v="Fagus"/>
    <s v="grandifolia"/>
    <s v="Fagaceae"/>
    <x v="3"/>
  </r>
  <r>
    <x v="6"/>
    <d v="2026-06-30T00:00:00"/>
    <x v="0"/>
    <n v="1770"/>
    <x v="0"/>
    <n v="17.100000000000001"/>
    <s v="L"/>
    <m/>
    <s v="1770_1"/>
    <s v="Stebbins_Core"/>
    <x v="2"/>
    <s v="Acer"/>
    <s v="saccharum"/>
    <s v="Sapindaceae"/>
    <x v="3"/>
  </r>
  <r>
    <x v="6"/>
    <d v="2026-06-30T00:00:00"/>
    <x v="0"/>
    <n v="1771"/>
    <x v="0"/>
    <n v="3.2"/>
    <s v="L"/>
    <m/>
    <s v="1771_1"/>
    <s v="Stebbins_Core"/>
    <x v="2"/>
    <s v="Acer"/>
    <s v="saccharum"/>
    <s v="Sapindaceae"/>
    <x v="2"/>
  </r>
  <r>
    <x v="6"/>
    <d v="2026-06-30T00:00:00"/>
    <x v="3"/>
    <n v="1772"/>
    <x v="0"/>
    <n v="1.1000000000000001"/>
    <s v="BB"/>
    <m/>
    <s v="1772_1"/>
    <s v="Stebbins_Core"/>
    <x v="2"/>
    <s v="Lirodendron"/>
    <s v="tulipfera"/>
    <s v="Magnoliaceae"/>
    <x v="2"/>
  </r>
  <r>
    <x v="6"/>
    <d v="2026-06-30T00:00:00"/>
    <x v="0"/>
    <n v="1773"/>
    <x v="0"/>
    <n v="37"/>
    <s v="N/A"/>
    <m/>
    <s v="1773_1"/>
    <s v="Stebbins_Core"/>
    <x v="2"/>
    <s v="Acer"/>
    <s v="saccharum"/>
    <s v="Sapindaceae"/>
    <x v="0"/>
  </r>
  <r>
    <x v="6"/>
    <d v="2026-06-30T00:00:00"/>
    <x v="7"/>
    <n v="1774"/>
    <x v="0"/>
    <n v="2"/>
    <s v="L"/>
    <s v="very sad"/>
    <s v="1774_1"/>
    <s v="Stebbins_Core"/>
    <x v="2"/>
    <s v="Fagus"/>
    <s v="grandifolia"/>
    <s v="Fagaceae"/>
    <x v="2"/>
  </r>
  <r>
    <x v="6"/>
    <d v="2026-06-30T00:00:00"/>
    <x v="3"/>
    <n v="1775"/>
    <x v="0"/>
    <n v="1.1000000000000001"/>
    <s v="BB"/>
    <m/>
    <s v="1775_1"/>
    <s v="Stebbins_Core"/>
    <x v="2"/>
    <s v="Lirodendron"/>
    <s v="tulipfera"/>
    <s v="Magnoliaceae"/>
    <x v="2"/>
  </r>
  <r>
    <x v="6"/>
    <d v="2026-06-30T00:00:00"/>
    <x v="3"/>
    <n v="1776"/>
    <x v="0"/>
    <n v="1.1000000000000001"/>
    <s v="BB"/>
    <m/>
    <s v="1776_1"/>
    <s v="Stebbins_Core"/>
    <x v="2"/>
    <s v="Lirodendron"/>
    <s v="tulipfera"/>
    <s v="Magnoliaceae"/>
    <x v="2"/>
  </r>
  <r>
    <x v="6"/>
    <d v="2026-06-30T00:00:00"/>
    <x v="3"/>
    <n v="1777"/>
    <x v="0"/>
    <n v="1.3"/>
    <s v="BB"/>
    <m/>
    <s v="1777_1"/>
    <s v="Stebbins_Core"/>
    <x v="2"/>
    <s v="Lirodendron"/>
    <s v="tulipfera"/>
    <s v="Magnoliaceae"/>
    <x v="2"/>
  </r>
  <r>
    <x v="6"/>
    <d v="2026-06-30T00:00:00"/>
    <x v="0"/>
    <n v="1778"/>
    <x v="0"/>
    <n v="9.3000000000000007"/>
    <s v="N/A"/>
    <m/>
    <s v="1778_1"/>
    <s v="Stebbins_Core"/>
    <x v="2"/>
    <s v="Acer"/>
    <s v="saccharum"/>
    <s v="Sapindaceae"/>
    <x v="5"/>
  </r>
  <r>
    <x v="6"/>
    <d v="2026-06-30T00:00:00"/>
    <x v="3"/>
    <n v="1779"/>
    <x v="0"/>
    <n v="1.5"/>
    <s v="BB"/>
    <m/>
    <s v="1779_1"/>
    <s v="Stebbins_Core"/>
    <x v="2"/>
    <s v="Lirodendron"/>
    <s v="tulipfera"/>
    <s v="Magnoliaceae"/>
    <x v="2"/>
  </r>
  <r>
    <x v="6"/>
    <d v="2026-06-30T00:00:00"/>
    <x v="3"/>
    <n v="1780"/>
    <x v="0"/>
    <n v="1.5"/>
    <s v="BB"/>
    <m/>
    <s v="1780_1"/>
    <s v="Stebbins_Core"/>
    <x v="2"/>
    <s v="Lirodendron"/>
    <s v="tulipfera"/>
    <s v="Magnoliaceae"/>
    <x v="2"/>
  </r>
  <r>
    <x v="6"/>
    <d v="2026-06-30T00:00:00"/>
    <x v="3"/>
    <n v="1781"/>
    <x v="0"/>
    <n v="1.3"/>
    <s v="BB,L"/>
    <m/>
    <s v="1781_1"/>
    <s v="Stebbins_Core"/>
    <x v="2"/>
    <s v="Lirodendron"/>
    <s v="tulipfera"/>
    <s v="Magnoliaceae"/>
    <x v="2"/>
  </r>
  <r>
    <x v="6"/>
    <d v="2026-06-30T00:00:00"/>
    <x v="3"/>
    <n v="1782"/>
    <x v="0"/>
    <n v="1.4"/>
    <s v="BB"/>
    <m/>
    <s v="1782_1"/>
    <s v="Stebbins_Core"/>
    <x v="2"/>
    <s v="Lirodendron"/>
    <s v="tulipfera"/>
    <s v="Magnoliaceae"/>
    <x v="2"/>
  </r>
  <r>
    <x v="6"/>
    <d v="2026-06-30T00:00:00"/>
    <x v="3"/>
    <n v="1783"/>
    <x v="0"/>
    <n v="1.6"/>
    <s v="BB"/>
    <m/>
    <s v="1783_1"/>
    <s v="Stebbins_Core"/>
    <x v="2"/>
    <s v="Lirodendron"/>
    <s v="tulipfera"/>
    <s v="Magnoliaceae"/>
    <x v="2"/>
  </r>
  <r>
    <x v="6"/>
    <d v="2026-06-30T00:00:00"/>
    <x v="3"/>
    <n v="1784"/>
    <x v="0"/>
    <n v="1.5"/>
    <s v="BB"/>
    <m/>
    <s v="1784_1"/>
    <s v="Stebbins_Core"/>
    <x v="2"/>
    <s v="Lirodendron"/>
    <s v="tulipfera"/>
    <s v="Magnoliaceae"/>
    <x v="2"/>
  </r>
  <r>
    <x v="6"/>
    <d v="2026-06-30T00:00:00"/>
    <x v="3"/>
    <n v="1785"/>
    <x v="0"/>
    <n v="1.1000000000000001"/>
    <s v="BB"/>
    <m/>
    <s v="1785_1"/>
    <s v="Stebbins_Core"/>
    <x v="2"/>
    <s v="Lirodendron"/>
    <s v="tulipfera"/>
    <s v="Magnoliaceae"/>
    <x v="2"/>
  </r>
  <r>
    <x v="6"/>
    <d v="2026-06-30T00:00:00"/>
    <x v="3"/>
    <n v="1786"/>
    <x v="0"/>
    <n v="1.2"/>
    <s v="BB"/>
    <m/>
    <s v="1786_1"/>
    <s v="Stebbins_Core"/>
    <x v="2"/>
    <s v="Lirodendron"/>
    <s v="tulipfera"/>
    <s v="Magnoliaceae"/>
    <x v="2"/>
  </r>
  <r>
    <x v="6"/>
    <d v="2026-06-30T00:00:00"/>
    <x v="3"/>
    <n v="1787"/>
    <x v="0"/>
    <n v="1.5"/>
    <s v="BB"/>
    <m/>
    <s v="1787_1"/>
    <s v="Stebbins_Core"/>
    <x v="2"/>
    <s v="Lirodendron"/>
    <s v="tulipfera"/>
    <s v="Magnoliaceae"/>
    <x v="2"/>
  </r>
  <r>
    <x v="6"/>
    <d v="2026-06-30T00:00:00"/>
    <x v="3"/>
    <n v="1788"/>
    <x v="0"/>
    <n v="1.3"/>
    <s v="BB"/>
    <m/>
    <s v="1788_1"/>
    <s v="Stebbins_Core"/>
    <x v="2"/>
    <s v="Lirodendron"/>
    <s v="tulipfera"/>
    <s v="Magnoliaceae"/>
    <x v="2"/>
  </r>
  <r>
    <x v="6"/>
    <d v="2026-06-30T00:00:00"/>
    <x v="3"/>
    <n v="1789"/>
    <x v="0"/>
    <n v="1.3"/>
    <s v="BB"/>
    <m/>
    <s v="1789_1"/>
    <s v="Stebbins_Core"/>
    <x v="2"/>
    <s v="Lirodendron"/>
    <s v="tulipfera"/>
    <s v="Magnoliaceae"/>
    <x v="2"/>
  </r>
  <r>
    <x v="6"/>
    <d v="2026-06-30T00:00:00"/>
    <x v="3"/>
    <n v="1790"/>
    <x v="0"/>
    <n v="1.3"/>
    <s v="BB"/>
    <m/>
    <s v="1790_1"/>
    <s v="Stebbins_Core"/>
    <x v="2"/>
    <s v="Lirodendron"/>
    <s v="tulipfera"/>
    <s v="Magnoliaceae"/>
    <x v="2"/>
  </r>
  <r>
    <x v="6"/>
    <d v="2026-06-30T00:00:00"/>
    <x v="3"/>
    <n v="1791"/>
    <x v="0"/>
    <n v="1"/>
    <s v="BB"/>
    <m/>
    <s v="1791_1"/>
    <s v="Stebbins_Core"/>
    <x v="2"/>
    <s v="Lirodendron"/>
    <s v="tulipfera"/>
    <s v="Magnoliaceae"/>
    <x v="2"/>
  </r>
  <r>
    <x v="6"/>
    <d v="2026-06-30T00:00:00"/>
    <x v="3"/>
    <n v="1792"/>
    <x v="0"/>
    <n v="1"/>
    <s v="W"/>
    <s v="soft tape"/>
    <s v="1792_1"/>
    <s v="Stebbins_Core"/>
    <x v="2"/>
    <s v="Lirodendron"/>
    <s v="tulipfera"/>
    <s v="Magnoliaceae"/>
    <x v="2"/>
  </r>
  <r>
    <x v="6"/>
    <d v="2026-06-30T00:00:00"/>
    <x v="7"/>
    <n v="1793"/>
    <x v="0"/>
    <n v="27.4"/>
    <s v="N/A"/>
    <m/>
    <s v="1793_1"/>
    <s v="Stebbins_Core"/>
    <x v="2"/>
    <s v="Fagus"/>
    <s v="grandifolia"/>
    <s v="Fagaceae"/>
    <x v="0"/>
  </r>
  <r>
    <x v="6"/>
    <d v="2026-06-30T00:00:00"/>
    <x v="5"/>
    <n v="1794"/>
    <x v="0"/>
    <n v="1.2"/>
    <s v="BB"/>
    <m/>
    <s v="1794_1"/>
    <s v="Stebbins_Core"/>
    <x v="2"/>
    <s v="Magnolia"/>
    <s v="acuminata"/>
    <s v="Magnoliaceae"/>
    <x v="2"/>
  </r>
  <r>
    <x v="6"/>
    <d v="2026-06-30T00:00:00"/>
    <x v="3"/>
    <n v="1795"/>
    <x v="0"/>
    <n v="1"/>
    <s v="BB"/>
    <m/>
    <s v="1795_1"/>
    <s v="Stebbins_Core"/>
    <x v="2"/>
    <s v="Lirodendron"/>
    <s v="tulipfera"/>
    <s v="Magnoliaceae"/>
    <x v="2"/>
  </r>
  <r>
    <x v="6"/>
    <d v="2026-06-30T00:00:00"/>
    <x v="3"/>
    <n v="1796"/>
    <x v="0"/>
    <n v="1.1000000000000001"/>
    <s v="BB,L"/>
    <m/>
    <s v="1796_1"/>
    <s v="Stebbins_Core"/>
    <x v="2"/>
    <s v="Lirodendron"/>
    <s v="tulipfera"/>
    <s v="Magnoliaceae"/>
    <x v="2"/>
  </r>
  <r>
    <x v="6"/>
    <d v="2026-06-30T00:00:00"/>
    <x v="3"/>
    <n v="1797"/>
    <x v="0"/>
    <n v="1.2"/>
    <s v="BB,L"/>
    <m/>
    <s v="1797_1"/>
    <s v="Stebbins_Core"/>
    <x v="2"/>
    <s v="Lirodendron"/>
    <s v="tulipfera"/>
    <s v="Magnoliaceae"/>
    <x v="2"/>
  </r>
  <r>
    <x v="6"/>
    <d v="2026-06-30T00:00:00"/>
    <x v="7"/>
    <n v="1798"/>
    <x v="0"/>
    <n v="7"/>
    <s v="L"/>
    <s v="very sad"/>
    <s v="1798_1"/>
    <s v="Stebbins_Core"/>
    <x v="2"/>
    <s v="Fagus"/>
    <s v="grandifolia"/>
    <s v="Fagaceae"/>
    <x v="5"/>
  </r>
  <r>
    <x v="6"/>
    <d v="2026-06-30T00:00:00"/>
    <x v="0"/>
    <n v="1799"/>
    <x v="0"/>
    <n v="1.6"/>
    <s v="BB"/>
    <s v="soft tape"/>
    <s v="1799_1"/>
    <s v="Stebbins_Core"/>
    <x v="2"/>
    <s v="Acer"/>
    <s v="saccharum"/>
    <s v="Sapindaceae"/>
    <x v="2"/>
  </r>
  <r>
    <x v="6"/>
    <d v="2026-06-30T00:00:00"/>
    <x v="3"/>
    <n v="1800"/>
    <x v="0"/>
    <n v="39"/>
    <s v="N/A"/>
    <m/>
    <s v="1800_1"/>
    <s v="Stebbins_Core"/>
    <x v="2"/>
    <s v="Lirodendron"/>
    <s v="tulipfera"/>
    <s v="Magnoliaceae"/>
    <x v="0"/>
  </r>
  <r>
    <x v="6"/>
    <d v="2026-07-01T00:00:00"/>
    <x v="0"/>
    <n v="1801"/>
    <x v="0"/>
    <n v="7.2"/>
    <s v="A"/>
    <s v="POM at 1.28"/>
    <s v="1801_1"/>
    <s v="Stebbins_Core"/>
    <x v="2"/>
    <s v="Acer"/>
    <s v="saccharum"/>
    <s v="Sapindaceae"/>
    <x v="5"/>
  </r>
  <r>
    <x v="6"/>
    <d v="2026-07-01T00:00:00"/>
    <x v="3"/>
    <n v="1802"/>
    <x v="0"/>
    <n v="1.2"/>
    <s v="BB"/>
    <m/>
    <s v="1802_1"/>
    <s v="Stebbins_Core"/>
    <x v="2"/>
    <s v="Lirodendron"/>
    <s v="tulipfera"/>
    <s v="Magnoliaceae"/>
    <x v="2"/>
  </r>
  <r>
    <x v="6"/>
    <d v="2026-07-01T00:00:00"/>
    <x v="3"/>
    <n v="1803"/>
    <x v="0"/>
    <n v="1"/>
    <s v="BB"/>
    <m/>
    <s v="1803_1"/>
    <s v="Stebbins_Core"/>
    <x v="2"/>
    <s v="Lirodendron"/>
    <s v="tulipfera"/>
    <s v="Magnoliaceae"/>
    <x v="2"/>
  </r>
  <r>
    <x v="6"/>
    <d v="2026-07-01T00:00:00"/>
    <x v="3"/>
    <n v="1804"/>
    <x v="0"/>
    <n v="1.3"/>
    <s v="BB"/>
    <m/>
    <s v="1804_1"/>
    <s v="Stebbins_Core"/>
    <x v="2"/>
    <s v="Lirodendron"/>
    <s v="tulipfera"/>
    <s v="Magnoliaceae"/>
    <x v="2"/>
  </r>
  <r>
    <x v="6"/>
    <d v="2026-07-01T00:00:00"/>
    <x v="3"/>
    <n v="1805"/>
    <x v="0"/>
    <n v="1.2"/>
    <s v="BB"/>
    <m/>
    <s v="1805_1"/>
    <s v="Stebbins_Core"/>
    <x v="2"/>
    <s v="Lirodendron"/>
    <s v="tulipfera"/>
    <s v="Magnoliaceae"/>
    <x v="2"/>
  </r>
  <r>
    <x v="6"/>
    <d v="2026-07-01T00:00:00"/>
    <x v="3"/>
    <n v="1806"/>
    <x v="0"/>
    <n v="1.1000000000000001"/>
    <s v="BB"/>
    <m/>
    <s v="1806_1"/>
    <s v="Stebbins_Core"/>
    <x v="2"/>
    <s v="Lirodendron"/>
    <s v="tulipfera"/>
    <s v="Magnoliaceae"/>
    <x v="2"/>
  </r>
  <r>
    <x v="6"/>
    <d v="2026-07-01T00:00:00"/>
    <x v="7"/>
    <n v="1807"/>
    <x v="0"/>
    <n v="1.5"/>
    <s v="W"/>
    <s v="soft tape used, very sad looking, close to dead"/>
    <s v="1807_1"/>
    <s v="Stebbins_Core"/>
    <x v="2"/>
    <s v="Fagus"/>
    <s v="grandifolia"/>
    <s v="Fagaceae"/>
    <x v="2"/>
  </r>
  <r>
    <x v="6"/>
    <d v="2026-07-01T00:00:00"/>
    <x v="3"/>
    <n v="1808"/>
    <x v="0"/>
    <n v="1.6"/>
    <s v="BB"/>
    <m/>
    <s v="1808_1"/>
    <s v="Stebbins_Core"/>
    <x v="2"/>
    <s v="Lirodendron"/>
    <s v="tulipfera"/>
    <s v="Magnoliaceae"/>
    <x v="2"/>
  </r>
  <r>
    <x v="6"/>
    <d v="2026-07-01T00:00:00"/>
    <x v="3"/>
    <n v="1809"/>
    <x v="0"/>
    <n v="1.3"/>
    <s v="BB"/>
    <s v="multistem form, but second stem isn't big enough yet. second lead is 0.9 DBH"/>
    <s v="1809_1"/>
    <s v="Stebbins_Core"/>
    <x v="2"/>
    <s v="Lirodendron"/>
    <s v="tulipfera"/>
    <s v="Magnoliaceae"/>
    <x v="2"/>
  </r>
  <r>
    <x v="6"/>
    <d v="2026-07-01T00:00:00"/>
    <x v="3"/>
    <n v="1810"/>
    <x v="0"/>
    <n v="1"/>
    <s v="BB"/>
    <m/>
    <s v="1810_1"/>
    <s v="Stebbins_Core"/>
    <x v="2"/>
    <s v="Lirodendron"/>
    <s v="tulipfera"/>
    <s v="Magnoliaceae"/>
    <x v="2"/>
  </r>
  <r>
    <x v="6"/>
    <d v="2026-07-01T00:00:00"/>
    <x v="3"/>
    <n v="1811"/>
    <x v="0"/>
    <n v="1.4"/>
    <s v="N/A"/>
    <m/>
    <s v="1811_1"/>
    <s v="Stebbins_Core"/>
    <x v="2"/>
    <s v="Lirodendron"/>
    <s v="tulipfera"/>
    <s v="Magnoliaceae"/>
    <x v="2"/>
  </r>
  <r>
    <x v="6"/>
    <d v="2026-07-01T00:00:00"/>
    <x v="3"/>
    <n v="1812"/>
    <x v="0"/>
    <n v="1.2"/>
    <s v="L, BB"/>
    <m/>
    <s v="1812_1"/>
    <s v="Stebbins_Core"/>
    <x v="2"/>
    <s v="Lirodendron"/>
    <s v="tulipfera"/>
    <s v="Magnoliaceae"/>
    <x v="2"/>
  </r>
  <r>
    <x v="6"/>
    <d v="2026-07-01T00:00:00"/>
    <x v="3"/>
    <n v="1813"/>
    <x v="0"/>
    <n v="1.2"/>
    <s v="N/A"/>
    <m/>
    <s v="1813_1"/>
    <s v="Stebbins_Core"/>
    <x v="2"/>
    <s v="Lirodendron"/>
    <s v="tulipfera"/>
    <s v="Magnoliaceae"/>
    <x v="2"/>
  </r>
  <r>
    <x v="6"/>
    <d v="2026-07-01T00:00:00"/>
    <x v="3"/>
    <n v="1814"/>
    <x v="0"/>
    <n v="1.2"/>
    <s v="A"/>
    <s v="POM at 1.28"/>
    <s v="1814_1"/>
    <s v="Stebbins_Core"/>
    <x v="2"/>
    <s v="Lirodendron"/>
    <s v="tulipfera"/>
    <s v="Magnoliaceae"/>
    <x v="2"/>
  </r>
  <r>
    <x v="6"/>
    <d v="2026-07-01T00:00:00"/>
    <x v="3"/>
    <n v="1815"/>
    <x v="0"/>
    <n v="1.2"/>
    <s v="N/A"/>
    <m/>
    <s v="1815_1"/>
    <s v="Stebbins_Core"/>
    <x v="2"/>
    <s v="Lirodendron"/>
    <s v="tulipfera"/>
    <s v="Magnoliaceae"/>
    <x v="2"/>
  </r>
  <r>
    <x v="6"/>
    <d v="2026-07-01T00:00:00"/>
    <x v="3"/>
    <n v="1816"/>
    <x v="0"/>
    <n v="1.3"/>
    <s v="BB, A"/>
    <s v="POM at 1.29"/>
    <s v="1816_1"/>
    <s v="Stebbins_Core"/>
    <x v="2"/>
    <s v="Lirodendron"/>
    <s v="tulipfera"/>
    <s v="Magnoliaceae"/>
    <x v="2"/>
  </r>
  <r>
    <x v="6"/>
    <d v="2026-07-01T00:00:00"/>
    <x v="7"/>
    <n v="1817"/>
    <x v="0"/>
    <n v="2.4"/>
    <s v="BB, L"/>
    <s v="pretty poor canopy"/>
    <s v="1817_1"/>
    <s v="Stebbins_Core"/>
    <x v="2"/>
    <s v="Fagus"/>
    <s v="grandifolia"/>
    <s v="Fagaceae"/>
    <x v="2"/>
  </r>
  <r>
    <x v="6"/>
    <d v="2026-07-01T00:00:00"/>
    <x v="3"/>
    <n v="1818"/>
    <x v="0"/>
    <n v="1.2"/>
    <s v="BB, L"/>
    <m/>
    <s v="1818_1"/>
    <s v="Stebbins_Core"/>
    <x v="2"/>
    <s v="Lirodendron"/>
    <s v="tulipfera"/>
    <s v="Magnoliaceae"/>
    <x v="2"/>
  </r>
  <r>
    <x v="6"/>
    <d v="2026-07-01T00:00:00"/>
    <x v="3"/>
    <n v="1819"/>
    <x v="0"/>
    <n v="1.3"/>
    <s v="BB"/>
    <m/>
    <s v="1819_1"/>
    <s v="Stebbins_Core"/>
    <x v="2"/>
    <s v="Lirodendron"/>
    <s v="tulipfera"/>
    <s v="Magnoliaceae"/>
    <x v="2"/>
  </r>
  <r>
    <x v="6"/>
    <d v="2026-07-01T00:00:00"/>
    <x v="21"/>
    <n v="1820"/>
    <x v="0"/>
    <n v="1.1000000000000001"/>
    <s v="BB, W"/>
    <s v="soft tape"/>
    <s v="1820_1"/>
    <s v="Stebbins_Core"/>
    <x v="2"/>
    <s v="Fraxinus"/>
    <s v="pennsylvanica"/>
    <s v="Oleaceae"/>
    <x v="2"/>
  </r>
  <r>
    <x v="6"/>
    <d v="2026-07-01T00:00:00"/>
    <x v="0"/>
    <n v="1821"/>
    <x v="0"/>
    <n v="6.1"/>
    <s v="L, W, A"/>
    <s v="stick used, POM at 1.28"/>
    <s v="1821_1"/>
    <s v="Stebbins_Core"/>
    <x v="2"/>
    <s v="Acer"/>
    <s v="saccharum"/>
    <s v="Sapindaceae"/>
    <x v="5"/>
  </r>
  <r>
    <x v="6"/>
    <d v="2026-07-01T00:00:00"/>
    <x v="0"/>
    <n v="1822"/>
    <x v="0"/>
    <n v="10.7"/>
    <s v="L"/>
    <m/>
    <s v="1822_1"/>
    <s v="Stebbins_Core"/>
    <x v="2"/>
    <s v="Acer"/>
    <s v="saccharum"/>
    <s v="Sapindaceae"/>
    <x v="3"/>
  </r>
  <r>
    <x v="6"/>
    <d v="2026-07-01T00:00:00"/>
    <x v="0"/>
    <n v="1823"/>
    <x v="0"/>
    <n v="9.9"/>
    <s v="W"/>
    <s v="stick used"/>
    <s v="1823_1"/>
    <s v="Stebbins_Core"/>
    <x v="2"/>
    <s v="Acer"/>
    <s v="saccharum"/>
    <s v="Sapindaceae"/>
    <x v="5"/>
  </r>
  <r>
    <x v="6"/>
    <d v="2026-07-01T00:00:00"/>
    <x v="7"/>
    <n v="1824"/>
    <x v="0"/>
    <n v="6.3"/>
    <s v="L"/>
    <m/>
    <s v="1824_1"/>
    <s v="Stebbins_Core"/>
    <x v="2"/>
    <s v="Fagus"/>
    <s v="grandifolia"/>
    <s v="Fagaceae"/>
    <x v="5"/>
  </r>
  <r>
    <x v="6"/>
    <d v="2026-07-01T00:00:00"/>
    <x v="0"/>
    <n v="1825"/>
    <x v="0"/>
    <n v="10.4"/>
    <s v="N/A"/>
    <m/>
    <s v="1825_1"/>
    <s v="Stebbins_Core"/>
    <x v="2"/>
    <s v="Acer"/>
    <s v="saccharum"/>
    <s v="Sapindaceae"/>
    <x v="3"/>
  </r>
  <r>
    <x v="6"/>
    <d v="2026-07-01T00:00:00"/>
    <x v="7"/>
    <n v="1826"/>
    <x v="0"/>
    <n v="7.9"/>
    <s v="L"/>
    <m/>
    <s v="1826_1"/>
    <s v="Stebbins_Core"/>
    <x v="2"/>
    <s v="Fagus"/>
    <s v="grandifolia"/>
    <s v="Fagaceae"/>
    <x v="5"/>
  </r>
  <r>
    <x v="6"/>
    <d v="2026-07-01T00:00:00"/>
    <x v="3"/>
    <n v="1827"/>
    <x v="0"/>
    <n v="1.8"/>
    <s v="BB, W"/>
    <s v="tagging mishap, found after 1828 and 1829"/>
    <s v="1827_1"/>
    <s v="Stebbins_Core"/>
    <x v="2"/>
    <s v="Lirodendron"/>
    <s v="tulipfera"/>
    <s v="Magnoliaceae"/>
    <x v="2"/>
  </r>
  <r>
    <x v="6"/>
    <d v="2026-07-01T00:00:00"/>
    <x v="3"/>
    <n v="1828"/>
    <x v="0"/>
    <n v="1.3"/>
    <s v="BB"/>
    <m/>
    <s v="1828_1"/>
    <s v="Stebbins_Core"/>
    <x v="2"/>
    <s v="Lirodendron"/>
    <s v="tulipfera"/>
    <s v="Magnoliaceae"/>
    <x v="2"/>
  </r>
  <r>
    <x v="6"/>
    <d v="2026-07-01T00:00:00"/>
    <x v="3"/>
    <n v="1829"/>
    <x v="0"/>
    <n v="1.2"/>
    <s v="BB, W"/>
    <s v="soft tape"/>
    <s v="1829_1"/>
    <s v="Stebbins_Core"/>
    <x v="2"/>
    <s v="Lirodendron"/>
    <s v="tulipfera"/>
    <s v="Magnoliaceae"/>
    <x v="2"/>
  </r>
  <r>
    <x v="6"/>
    <d v="2026-07-01T00:00:00"/>
    <x v="3"/>
    <n v="1830"/>
    <x v="0"/>
    <n v="1.5"/>
    <s v="BB, A"/>
    <s v="POM at 1.28"/>
    <s v="1830_1"/>
    <s v="Stebbins_Core"/>
    <x v="2"/>
    <s v="Lirodendron"/>
    <s v="tulipfera"/>
    <s v="Magnoliaceae"/>
    <x v="2"/>
  </r>
  <r>
    <x v="6"/>
    <d v="2026-07-01T00:00:00"/>
    <x v="3"/>
    <n v="1831"/>
    <x v="0"/>
    <n v="1.1000000000000001"/>
    <s v="BB"/>
    <m/>
    <s v="1831_1"/>
    <s v="Stebbins_Core"/>
    <x v="2"/>
    <s v="Lirodendron"/>
    <s v="tulipfera"/>
    <s v="Magnoliaceae"/>
    <x v="2"/>
  </r>
  <r>
    <x v="6"/>
    <d v="2026-07-01T00:00:00"/>
    <x v="3"/>
    <n v="1832"/>
    <x v="0"/>
    <n v="1"/>
    <s v="BB, L"/>
    <m/>
    <s v="1832_1"/>
    <s v="Stebbins_Core"/>
    <x v="2"/>
    <s v="Lirodendron"/>
    <s v="tulipfera"/>
    <s v="Magnoliaceae"/>
    <x v="2"/>
  </r>
  <r>
    <x v="6"/>
    <d v="2026-07-01T00:00:00"/>
    <x v="0"/>
    <n v="1833"/>
    <x v="0"/>
    <n v="5.6"/>
    <s v="L, I"/>
    <s v="warty bark"/>
    <s v="1833_1"/>
    <s v="Stebbins_Core"/>
    <x v="2"/>
    <s v="Acer"/>
    <s v="saccharum"/>
    <s v="Sapindaceae"/>
    <x v="5"/>
  </r>
  <r>
    <x v="6"/>
    <d v="2026-07-01T00:00:00"/>
    <x v="0"/>
    <n v="1834"/>
    <x v="0"/>
    <n v="5.7"/>
    <s v="L"/>
    <m/>
    <s v="1834_1"/>
    <s v="Stebbins_Core"/>
    <x v="2"/>
    <s v="Acer"/>
    <s v="saccharum"/>
    <s v="Sapindaceae"/>
    <x v="5"/>
  </r>
  <r>
    <x v="6"/>
    <d v="2026-07-01T00:00:00"/>
    <x v="0"/>
    <n v="1835"/>
    <x v="0"/>
    <n v="7.3"/>
    <s v="L"/>
    <m/>
    <s v="1835_1"/>
    <s v="Stebbins_Core"/>
    <x v="2"/>
    <s v="Acer"/>
    <s v="saccharum"/>
    <s v="Sapindaceae"/>
    <x v="5"/>
  </r>
  <r>
    <x v="6"/>
    <d v="2026-07-01T00:00:00"/>
    <x v="7"/>
    <n v="1836"/>
    <x v="0"/>
    <n v="1.9"/>
    <s v="W, L, M"/>
    <s v="soft tape, doesn't look too happy"/>
    <s v="1836_1"/>
    <s v="Stebbins_Core"/>
    <x v="2"/>
    <s v="Fagus"/>
    <s v="grandifolia"/>
    <s v="Fagaceae"/>
    <x v="2"/>
  </r>
  <r>
    <x v="6"/>
    <d v="2026-07-01T00:00:00"/>
    <x v="7"/>
    <n v="1836"/>
    <x v="1"/>
    <n v="1.1000000000000001"/>
    <s v="W, L, M"/>
    <s v="soft tape, doesn't look too happy"/>
    <s v="1836_2"/>
    <s v="Stebbins_Core"/>
    <x v="2"/>
    <s v="Fagus"/>
    <s v="grandifolia"/>
    <s v="Fagaceae"/>
    <x v="2"/>
  </r>
  <r>
    <x v="6"/>
    <d v="2026-07-01T00:00:00"/>
    <x v="7"/>
    <n v="1837"/>
    <x v="0"/>
    <n v="1.1000000000000001"/>
    <s v="L"/>
    <s v="very unhappy looking"/>
    <s v="1837_1"/>
    <s v="Stebbins_Core"/>
    <x v="2"/>
    <s v="Fagus"/>
    <s v="grandifolia"/>
    <s v="Fagaceae"/>
    <x v="2"/>
  </r>
  <r>
    <x v="6"/>
    <d v="2026-07-01T00:00:00"/>
    <x v="0"/>
    <n v="1838"/>
    <x v="0"/>
    <n v="10.199999999999999"/>
    <s v="L"/>
    <m/>
    <s v="1838_1"/>
    <s v="Stebbins_Core"/>
    <x v="2"/>
    <s v="Acer"/>
    <s v="saccharum"/>
    <s v="Sapindaceae"/>
    <x v="3"/>
  </r>
  <r>
    <x v="6"/>
    <d v="2026-07-01T00:00:00"/>
    <x v="0"/>
    <n v="1839"/>
    <x v="0"/>
    <n v="2.9"/>
    <s v="L"/>
    <m/>
    <s v="1839_1"/>
    <s v="Stebbins_Core"/>
    <x v="2"/>
    <s v="Acer"/>
    <s v="saccharum"/>
    <s v="Sapindaceae"/>
    <x v="2"/>
  </r>
  <r>
    <x v="6"/>
    <d v="2026-07-01T00:00:00"/>
    <x v="7"/>
    <n v="1840"/>
    <x v="0"/>
    <n v="10.8"/>
    <s v="N/A"/>
    <m/>
    <s v="1840_1"/>
    <s v="Stebbins_Core"/>
    <x v="2"/>
    <s v="Fagus"/>
    <s v="grandifolia"/>
    <s v="Fagaceae"/>
    <x v="3"/>
  </r>
  <r>
    <x v="6"/>
    <d v="2026-07-01T00:00:00"/>
    <x v="3"/>
    <n v="1841"/>
    <x v="0"/>
    <n v="4.9000000000000004"/>
    <s v="L,M"/>
    <s v="3rd stem slightly below 1cm. sparse canopy"/>
    <s v="1841_1"/>
    <s v="Stebbins_Core"/>
    <x v="2"/>
    <s v="Lirodendron"/>
    <s v="tulipfera"/>
    <s v="Magnoliaceae"/>
    <x v="2"/>
  </r>
  <r>
    <x v="6"/>
    <d v="2026-07-01T00:00:00"/>
    <x v="3"/>
    <n v="1841"/>
    <x v="1"/>
    <n v="2"/>
    <s v="L,M"/>
    <s v="soft tape"/>
    <s v="1841_2"/>
    <s v="Stebbins_Core"/>
    <x v="2"/>
    <s v="Lirodendron"/>
    <s v="tulipfera"/>
    <s v="Magnoliaceae"/>
    <x v="2"/>
  </r>
  <r>
    <x v="6"/>
    <d v="2026-07-01T00:00:00"/>
    <x v="3"/>
    <n v="1842"/>
    <x v="0"/>
    <n v="78.8"/>
    <s v="N/A"/>
    <m/>
    <s v="1842_1"/>
    <s v="Stebbins_Core"/>
    <x v="2"/>
    <s v="Lirodendron"/>
    <s v="tulipfera"/>
    <s v="Magnoliaceae"/>
    <x v="4"/>
  </r>
  <r>
    <x v="6"/>
    <d v="2026-07-01T00:00:00"/>
    <x v="0"/>
    <n v="1843"/>
    <x v="0"/>
    <n v="6.4"/>
    <s v="L"/>
    <m/>
    <s v="1843_1"/>
    <s v="Stebbins_Core"/>
    <x v="2"/>
    <s v="Acer"/>
    <s v="saccharum"/>
    <s v="Sapindaceae"/>
    <x v="5"/>
  </r>
  <r>
    <x v="6"/>
    <d v="2026-07-01T00:00:00"/>
    <x v="7"/>
    <n v="1844"/>
    <x v="0"/>
    <n v="49.7"/>
    <s v="N/A"/>
    <m/>
    <s v="1844_1"/>
    <s v="Stebbins_Core"/>
    <x v="2"/>
    <s v="Fagus"/>
    <s v="grandifolia"/>
    <s v="Fagaceae"/>
    <x v="1"/>
  </r>
  <r>
    <x v="6"/>
    <d v="2026-07-01T00:00:00"/>
    <x v="0"/>
    <n v="1845"/>
    <x v="0"/>
    <n v="5.2"/>
    <s v="L"/>
    <m/>
    <s v="1845_1"/>
    <s v="Stebbins_Core"/>
    <x v="2"/>
    <s v="Acer"/>
    <s v="saccharum"/>
    <s v="Sapindaceae"/>
    <x v="5"/>
  </r>
  <r>
    <x v="6"/>
    <d v="2026-07-01T00:00:00"/>
    <x v="7"/>
    <n v="1846"/>
    <x v="0"/>
    <n v="53.8"/>
    <s v="L"/>
    <m/>
    <s v="1846_1"/>
    <s v="Stebbins_Core"/>
    <x v="2"/>
    <s v="Fagus"/>
    <s v="grandifolia"/>
    <s v="Fagaceae"/>
    <x v="4"/>
  </r>
  <r>
    <x v="6"/>
    <d v="2026-07-01T00:00:00"/>
    <x v="0"/>
    <n v="1847"/>
    <x v="0"/>
    <n v="2.9"/>
    <s v="L"/>
    <m/>
    <s v="1847_1"/>
    <s v="Stebbins_Core"/>
    <x v="2"/>
    <s v="Acer"/>
    <s v="saccharum"/>
    <s v="Sapindaceae"/>
    <x v="2"/>
  </r>
  <r>
    <x v="6"/>
    <d v="2026-07-01T00:00:00"/>
    <x v="0"/>
    <n v="1848"/>
    <x v="0"/>
    <n v="6.3"/>
    <s v="L"/>
    <m/>
    <s v="1848_1"/>
    <s v="Stebbins_Core"/>
    <x v="2"/>
    <s v="Acer"/>
    <s v="saccharum"/>
    <s v="Sapindaceae"/>
    <x v="5"/>
  </r>
  <r>
    <x v="6"/>
    <d v="2026-07-01T00:00:00"/>
    <x v="0"/>
    <n v="1849"/>
    <x v="0"/>
    <n v="6"/>
    <s v="W"/>
    <m/>
    <s v="1849_1"/>
    <s v="Stebbins_Core"/>
    <x v="2"/>
    <s v="Acer"/>
    <s v="saccharum"/>
    <s v="Sapindaceae"/>
    <x v="5"/>
  </r>
  <r>
    <x v="6"/>
    <d v="2026-07-01T00:00:00"/>
    <x v="0"/>
    <n v="1850"/>
    <x v="0"/>
    <n v="2.4"/>
    <s v="L,B"/>
    <m/>
    <s v="1850_1"/>
    <s v="Stebbins_Core"/>
    <x v="2"/>
    <s v="Acer"/>
    <s v="saccharum"/>
    <s v="Sapindaceae"/>
    <x v="2"/>
  </r>
  <r>
    <x v="6"/>
    <d v="2026-07-01T00:00:00"/>
    <x v="0"/>
    <n v="1851"/>
    <x v="0"/>
    <n v="14.2"/>
    <s v="L"/>
    <m/>
    <s v="1851_1"/>
    <s v="Stebbins_Core"/>
    <x v="2"/>
    <s v="Acer"/>
    <s v="saccharum"/>
    <s v="Sapindaceae"/>
    <x v="3"/>
  </r>
  <r>
    <x v="6"/>
    <d v="2026-07-01T00:00:00"/>
    <x v="0"/>
    <n v="1852"/>
    <x v="0"/>
    <n v="1.8"/>
    <s v="W"/>
    <m/>
    <s v="1852_1"/>
    <s v="Stebbins_Core"/>
    <x v="2"/>
    <s v="Acer"/>
    <s v="saccharum"/>
    <s v="Sapindaceae"/>
    <x v="2"/>
  </r>
  <r>
    <x v="6"/>
    <d v="2026-07-01T00:00:00"/>
    <x v="0"/>
    <n v="1853"/>
    <x v="0"/>
    <n v="2.4"/>
    <s v="L"/>
    <m/>
    <s v="1853_1"/>
    <s v="Stebbins_Core"/>
    <x v="2"/>
    <s v="Acer"/>
    <s v="saccharum"/>
    <s v="Sapindaceae"/>
    <x v="2"/>
  </r>
  <r>
    <x v="6"/>
    <d v="2026-07-01T00:00:00"/>
    <x v="0"/>
    <n v="1854"/>
    <x v="0"/>
    <n v="42.1"/>
    <s v="L,I"/>
    <s v="POM at 1.2m, knot"/>
    <s v="1854_1"/>
    <s v="Stebbins_Core"/>
    <x v="2"/>
    <s v="Acer"/>
    <s v="saccharum"/>
    <s v="Sapindaceae"/>
    <x v="1"/>
  </r>
  <r>
    <x v="7"/>
    <d v="2026-07-07T00:00:00"/>
    <x v="5"/>
    <n v="1855"/>
    <x v="0"/>
    <n v="10.4"/>
    <s v="L"/>
    <m/>
    <s v="1855_1"/>
    <s v="Stebbins_Gulch"/>
    <x v="3"/>
    <s v="Magnolia"/>
    <s v="acuminata"/>
    <s v="Magnoliaceae"/>
    <x v="3"/>
  </r>
  <r>
    <x v="7"/>
    <d v="2026-07-07T00:00:00"/>
    <x v="22"/>
    <n v="1856"/>
    <x v="0"/>
    <n v="47.9"/>
    <s v="N/A"/>
    <m/>
    <s v="1856_1"/>
    <s v="Stebbins_Gulch"/>
    <x v="3"/>
    <s v="Tsuga"/>
    <s v="canadensis"/>
    <s v="Pinaceae"/>
    <x v="1"/>
  </r>
  <r>
    <x v="7"/>
    <d v="2026-07-07T00:00:00"/>
    <x v="7"/>
    <n v="1857"/>
    <x v="0"/>
    <n v="7.3"/>
    <s v="N/A"/>
    <m/>
    <s v="1857_1"/>
    <s v="Stebbins_Gulch"/>
    <x v="3"/>
    <s v="Fagus"/>
    <s v="grandifolia"/>
    <s v="Fagaceae"/>
    <x v="5"/>
  </r>
  <r>
    <x v="7"/>
    <d v="2026-07-07T00:00:00"/>
    <x v="22"/>
    <n v="1858"/>
    <x v="0"/>
    <n v="51.8"/>
    <s v="I"/>
    <s v="trunk is irregular"/>
    <s v="1858_1"/>
    <s v="Stebbins_Gulch"/>
    <x v="3"/>
    <s v="Tsuga"/>
    <s v="canadensis"/>
    <s v="Pinaceae"/>
    <x v="4"/>
  </r>
  <r>
    <x v="7"/>
    <d v="2026-07-07T00:00:00"/>
    <x v="22"/>
    <n v="1859"/>
    <x v="0"/>
    <n v="4.5"/>
    <s v="L,A"/>
    <s v="POM at 1.2m, dead branches"/>
    <s v="1859_1"/>
    <s v="Stebbins_Gulch"/>
    <x v="3"/>
    <s v="Tsuga"/>
    <s v="canadensis"/>
    <s v="Pinaceae"/>
    <x v="2"/>
  </r>
  <r>
    <x v="7"/>
    <d v="2026-07-07T00:00:00"/>
    <x v="22"/>
    <n v="1860"/>
    <x v="0"/>
    <n v="2.5"/>
    <s v="L"/>
    <s v="curved, soft tape"/>
    <s v="1860_1"/>
    <s v="Stebbins_Gulch"/>
    <x v="3"/>
    <s v="Tsuga"/>
    <s v="canadensis"/>
    <s v="Pinaceae"/>
    <x v="2"/>
  </r>
  <r>
    <x v="7"/>
    <d v="2026-07-07T00:00:00"/>
    <x v="22"/>
    <n v="1861"/>
    <x v="0"/>
    <n v="5.9"/>
    <s v="L,A"/>
    <s v="slight lean, POM at 1.28m, dead branch"/>
    <s v="1861_1"/>
    <s v="Stebbins_Gulch"/>
    <x v="3"/>
    <s v="Tsuga"/>
    <s v="canadensis"/>
    <s v="Pinaceae"/>
    <x v="5"/>
  </r>
  <r>
    <x v="7"/>
    <d v="2026-07-07T00:00:00"/>
    <x v="22"/>
    <n v="1862"/>
    <x v="0"/>
    <n v="13.5"/>
    <s v="L"/>
    <m/>
    <s v="1862_1"/>
    <s v="Stebbins_Gulch"/>
    <x v="3"/>
    <s v="Tsuga"/>
    <s v="canadensis"/>
    <s v="Pinaceae"/>
    <x v="3"/>
  </r>
  <r>
    <x v="7"/>
    <d v="2026-07-07T00:00:00"/>
    <x v="7"/>
    <n v="1863"/>
    <x v="0"/>
    <n v="5.5"/>
    <s v="A"/>
    <s v="tag moved to later tree, POM at 1.17m, knots/swelling"/>
    <s v="1863_1"/>
    <s v="Stebbins_Gulch"/>
    <x v="3"/>
    <s v="Fagus"/>
    <s v="grandifolia"/>
    <s v="Fagaceae"/>
    <x v="5"/>
  </r>
  <r>
    <x v="7"/>
    <d v="2026-07-07T00:00:00"/>
    <x v="3"/>
    <n v="1864"/>
    <x v="0"/>
    <n v="94"/>
    <s v="N/A"/>
    <s v="tag moved"/>
    <s v="1864_1"/>
    <s v="Stebbins_Gulch"/>
    <x v="3"/>
    <s v="Lirodendron"/>
    <s v="tulipfera"/>
    <s v="Magnoliaceae"/>
    <x v="4"/>
  </r>
  <r>
    <x v="7"/>
    <d v="2026-07-07T00:00:00"/>
    <x v="6"/>
    <n v="1865"/>
    <x v="0"/>
    <n v="4.3"/>
    <s v="W"/>
    <s v="soft tape"/>
    <s v="1865_1"/>
    <s v="Stebbins_Gulch"/>
    <x v="3"/>
    <s v="Nyssa"/>
    <s v="sylvatica"/>
    <s v="Nyssaceae"/>
    <x v="2"/>
  </r>
  <r>
    <x v="7"/>
    <d v="2026-07-07T00:00:00"/>
    <x v="7"/>
    <n v="1866"/>
    <x v="0"/>
    <n v="4.2"/>
    <s v="L"/>
    <s v="slight lean"/>
    <s v="1866_1"/>
    <s v="Stebbins_Gulch"/>
    <x v="3"/>
    <s v="Fagus"/>
    <s v="grandifolia"/>
    <s v="Fagaceae"/>
    <x v="2"/>
  </r>
  <r>
    <x v="7"/>
    <d v="2026-07-07T00:00:00"/>
    <x v="22"/>
    <n v="1867"/>
    <x v="0"/>
    <n v="57.4"/>
    <s v="L"/>
    <s v="slight lean"/>
    <s v="1867_1"/>
    <s v="Stebbins_Gulch"/>
    <x v="3"/>
    <s v="Tsuga"/>
    <s v="canadensis"/>
    <s v="Pinaceae"/>
    <x v="4"/>
  </r>
  <r>
    <x v="7"/>
    <d v="2026-07-07T00:00:00"/>
    <x v="7"/>
    <n v="1868"/>
    <x v="0"/>
    <n v="6.5"/>
    <s v="A"/>
    <s v="POM at 1.28m, knot"/>
    <s v="1868_1"/>
    <s v="Stebbins_Gulch"/>
    <x v="3"/>
    <s v="Fagus"/>
    <s v="grandifolia"/>
    <s v="Fagaceae"/>
    <x v="5"/>
  </r>
  <r>
    <x v="7"/>
    <d v="2026-07-07T00:00:00"/>
    <x v="7"/>
    <n v="1869"/>
    <x v="0"/>
    <n v="4.0999999999999996"/>
    <s v="N/A"/>
    <m/>
    <s v="1869_1"/>
    <s v="Stebbins_Gulch"/>
    <x v="3"/>
    <s v="Fagus"/>
    <s v="grandifolia"/>
    <s v="Fagaceae"/>
    <x v="2"/>
  </r>
  <r>
    <x v="7"/>
    <d v="2026-07-07T00:00:00"/>
    <x v="7"/>
    <n v="1870"/>
    <x v="0"/>
    <n v="3.6"/>
    <s v="N/A"/>
    <m/>
    <s v="1870_1"/>
    <s v="Stebbins_Gulch"/>
    <x v="3"/>
    <s v="Fagus"/>
    <s v="grandifolia"/>
    <s v="Fagaceae"/>
    <x v="2"/>
  </r>
  <r>
    <x v="7"/>
    <d v="2026-07-07T00:00:00"/>
    <x v="7"/>
    <n v="1871"/>
    <x v="0"/>
    <n v="5.2"/>
    <s v="L"/>
    <s v="slight lean"/>
    <s v="1871_1"/>
    <s v="Stebbins_Gulch"/>
    <x v="3"/>
    <s v="Fagus"/>
    <s v="grandifolia"/>
    <s v="Fagaceae"/>
    <x v="5"/>
  </r>
  <r>
    <x v="7"/>
    <d v="2026-07-07T00:00:00"/>
    <x v="22"/>
    <n v="1872"/>
    <x v="0"/>
    <n v="11.7"/>
    <s v="L"/>
    <s v="curved"/>
    <s v="1872_1"/>
    <s v="Stebbins_Gulch"/>
    <x v="3"/>
    <s v="Tsuga"/>
    <s v="canadensis"/>
    <s v="Pinaceae"/>
    <x v="3"/>
  </r>
  <r>
    <x v="7"/>
    <d v="2026-07-07T00:00:00"/>
    <x v="7"/>
    <n v="1873"/>
    <x v="0"/>
    <n v="57.3"/>
    <s v="M"/>
    <m/>
    <s v="1873_1"/>
    <s v="Stebbins_Gulch"/>
    <x v="3"/>
    <s v="Fagus"/>
    <s v="grandifolia"/>
    <s v="Fagaceae"/>
    <x v="4"/>
  </r>
  <r>
    <x v="7"/>
    <d v="2026-07-07T00:00:00"/>
    <x v="7"/>
    <n v="1873"/>
    <x v="1"/>
    <n v="4.4000000000000004"/>
    <s v="M"/>
    <m/>
    <s v="1873_2"/>
    <s v="Stebbins_Gulch"/>
    <x v="3"/>
    <s v="Fagus"/>
    <s v="grandifolia"/>
    <s v="Fagaceae"/>
    <x v="2"/>
  </r>
  <r>
    <x v="7"/>
    <d v="2026-07-07T00:00:00"/>
    <x v="7"/>
    <n v="1873"/>
    <x v="2"/>
    <n v="3"/>
    <s v="M,A"/>
    <s v="POM at 1.28m, knot (c)"/>
    <s v="1873_3"/>
    <s v="Stebbins_Gulch"/>
    <x v="3"/>
    <s v="Fagus"/>
    <s v="grandifolia"/>
    <s v="Fagaceae"/>
    <x v="2"/>
  </r>
  <r>
    <x v="7"/>
    <d v="2026-07-07T00:00:00"/>
    <x v="22"/>
    <n v="1874"/>
    <x v="0"/>
    <n v="39"/>
    <s v="L"/>
    <m/>
    <s v="1874_1"/>
    <s v="Stebbins_Gulch"/>
    <x v="3"/>
    <s v="Tsuga"/>
    <s v="canadensis"/>
    <s v="Pinaceae"/>
    <x v="0"/>
  </r>
  <r>
    <x v="7"/>
    <d v="2026-07-07T00:00:00"/>
    <x v="7"/>
    <n v="1875"/>
    <x v="0"/>
    <n v="1.7"/>
    <s v="X"/>
    <m/>
    <s v="1875_1"/>
    <s v="Stebbins_Gulch"/>
    <x v="3"/>
    <s v="Fagus"/>
    <s v="grandifolia"/>
    <s v="Fagaceae"/>
    <x v="2"/>
  </r>
  <r>
    <x v="7"/>
    <d v="2026-07-07T00:00:00"/>
    <x v="5"/>
    <n v="1876"/>
    <x v="0"/>
    <n v="27.2"/>
    <s v="L,A"/>
    <s v="POM at 1.27m, knot/bark tear"/>
    <s v="1876_1"/>
    <s v="Stebbins_Gulch"/>
    <x v="3"/>
    <s v="Magnolia"/>
    <s v="acuminata"/>
    <s v="Magnoliaceae"/>
    <x v="0"/>
  </r>
  <r>
    <x v="7"/>
    <d v="2026-07-07T00:00:00"/>
    <x v="22"/>
    <n v="1877"/>
    <x v="0"/>
    <n v="21.4"/>
    <s v="A,W"/>
    <s v="slightly curved, POM at 1.29m, knot/dead branch"/>
    <s v="1877_1"/>
    <s v="Stebbins_Gulch"/>
    <x v="3"/>
    <s v="Tsuga"/>
    <s v="canadensis"/>
    <s v="Pinaceae"/>
    <x v="0"/>
  </r>
  <r>
    <x v="7"/>
    <d v="2026-07-07T00:00:00"/>
    <x v="22"/>
    <n v="1878"/>
    <x v="0"/>
    <n v="13.3"/>
    <s v="L,A"/>
    <s v="POM at 1.29m, knot"/>
    <s v="1878_1"/>
    <s v="Stebbins_Gulch"/>
    <x v="3"/>
    <s v="Tsuga"/>
    <s v="canadensis"/>
    <s v="Pinaceae"/>
    <x v="3"/>
  </r>
  <r>
    <x v="7"/>
    <d v="2026-07-07T00:00:00"/>
    <x v="22"/>
    <n v="1879"/>
    <x v="0"/>
    <n v="16.3"/>
    <s v="W"/>
    <s v="slightly curved"/>
    <s v="1879_1"/>
    <s v="Stebbins_Gulch"/>
    <x v="3"/>
    <s v="Tsuga"/>
    <s v="canadensis"/>
    <s v="Pinaceae"/>
    <x v="3"/>
  </r>
  <r>
    <x v="7"/>
    <d v="2026-07-07T00:00:00"/>
    <x v="22"/>
    <n v="1880"/>
    <x v="0"/>
    <n v="22.5"/>
    <s v="N/A"/>
    <m/>
    <s v="1880_1"/>
    <s v="Stebbins_Gulch"/>
    <x v="3"/>
    <s v="Tsuga"/>
    <s v="canadensis"/>
    <s v="Pinaceae"/>
    <x v="0"/>
  </r>
  <r>
    <x v="7"/>
    <d v="2026-07-07T00:00:00"/>
    <x v="3"/>
    <n v="1881"/>
    <x v="0"/>
    <n v="20.399999999999999"/>
    <s v="L"/>
    <m/>
    <s v="1881_1"/>
    <s v="Stebbins_Gulch"/>
    <x v="3"/>
    <s v="Lirodendron"/>
    <s v="tulipfera"/>
    <s v="Magnoliaceae"/>
    <x v="0"/>
  </r>
  <r>
    <x v="7"/>
    <d v="2026-07-07T00:00:00"/>
    <x v="2"/>
    <n v="1882"/>
    <x v="0"/>
    <n v="6.7"/>
    <s v="W,A"/>
    <s v="POM at 1.22m, knots"/>
    <s v="1882_1"/>
    <s v="Stebbins_Gulch"/>
    <x v="3"/>
    <s v="Acer"/>
    <s v="rubrum"/>
    <s v="Sapindaceae"/>
    <x v="5"/>
  </r>
  <r>
    <x v="7"/>
    <d v="2026-07-07T00:00:00"/>
    <x v="2"/>
    <n v="1883"/>
    <x v="0"/>
    <n v="5.6"/>
    <s v="I,L,A"/>
    <s v="large splits and knots on trunk, POM at 1.29m"/>
    <s v="1883_1"/>
    <s v="Stebbins_Gulch"/>
    <x v="3"/>
    <s v="Acer"/>
    <s v="rubrum"/>
    <s v="Sapindaceae"/>
    <x v="5"/>
  </r>
  <r>
    <x v="7"/>
    <d v="2026-07-07T00:00:00"/>
    <x v="0"/>
    <n v="1884"/>
    <x v="0"/>
    <n v="2.6"/>
    <s v="W,B"/>
    <m/>
    <s v="1884_1"/>
    <s v="Stebbins_Gulch"/>
    <x v="3"/>
    <s v="Acer"/>
    <s v="saccharum"/>
    <s v="Sapindaceae"/>
    <x v="2"/>
  </r>
  <r>
    <x v="7"/>
    <d v="2026-07-07T00:00:00"/>
    <x v="2"/>
    <n v="1885"/>
    <x v="0"/>
    <n v="35.1"/>
    <s v="I,A"/>
    <s v="POM at 1.2m, knots, trunk is irregular"/>
    <s v="1885_1"/>
    <s v="Stebbins_Gulch"/>
    <x v="3"/>
    <s v="Acer"/>
    <s v="rubrum"/>
    <s v="Sapindaceae"/>
    <x v="0"/>
  </r>
  <r>
    <x v="7"/>
    <d v="2026-07-07T00:00:00"/>
    <x v="0"/>
    <n v="1886"/>
    <x v="0"/>
    <n v="3.3"/>
    <s v="W,I,A"/>
    <s v="soft tape, POM at 1.28m, knots on trunk/at POM"/>
    <s v="1886_1"/>
    <s v="Stebbins_Gulch"/>
    <x v="3"/>
    <s v="Acer"/>
    <s v="saccharum"/>
    <s v="Sapindaceae"/>
    <x v="2"/>
  </r>
  <r>
    <x v="7"/>
    <d v="2026-07-07T00:00:00"/>
    <x v="0"/>
    <n v="1887"/>
    <x v="0"/>
    <n v="3.6"/>
    <s v="W,A"/>
    <s v="soft tape, POM at 1.25m, knots"/>
    <s v="1887_1"/>
    <s v="Stebbins_Gulch"/>
    <x v="3"/>
    <s v="Acer"/>
    <s v="saccharum"/>
    <s v="Sapindaceae"/>
    <x v="2"/>
  </r>
  <r>
    <x v="7"/>
    <d v="2026-07-07T00:00:00"/>
    <x v="0"/>
    <n v="1888"/>
    <x v="0"/>
    <n v="5"/>
    <s v="L,W"/>
    <s v="soft tape"/>
    <s v="1888_1"/>
    <s v="Stebbins_Gulch"/>
    <x v="3"/>
    <s v="Acer"/>
    <s v="saccharum"/>
    <s v="Sapindaceae"/>
    <x v="2"/>
  </r>
  <r>
    <x v="7"/>
    <d v="2026-07-07T00:00:00"/>
    <x v="2"/>
    <n v="1889"/>
    <x v="0"/>
    <n v="11.7"/>
    <s v="L"/>
    <m/>
    <s v="1889_1"/>
    <s v="Stebbins_Gulch"/>
    <x v="3"/>
    <s v="Acer"/>
    <s v="rubrum"/>
    <s v="Sapindaceae"/>
    <x v="3"/>
  </r>
  <r>
    <x v="7"/>
    <d v="2026-07-07T00:00:00"/>
    <x v="2"/>
    <n v="1890"/>
    <x v="0"/>
    <n v="6.5"/>
    <s v="M,W"/>
    <s v="soft tape"/>
    <s v="1890_1"/>
    <s v="Stebbins_Gulch"/>
    <x v="3"/>
    <s v="Acer"/>
    <s v="rubrum"/>
    <s v="Sapindaceae"/>
    <x v="5"/>
  </r>
  <r>
    <x v="7"/>
    <d v="2026-07-07T00:00:00"/>
    <x v="2"/>
    <n v="1890"/>
    <x v="1"/>
    <n v="4.8"/>
    <s v="M,W"/>
    <s v="soft tape"/>
    <s v="1890_2"/>
    <s v="Stebbins_Gulch"/>
    <x v="3"/>
    <s v="Acer"/>
    <s v="rubrum"/>
    <s v="Sapindaceae"/>
    <x v="2"/>
  </r>
  <r>
    <x v="7"/>
    <d v="2026-07-07T00:00:00"/>
    <x v="0"/>
    <n v="1891"/>
    <x v="0"/>
    <n v="4.8"/>
    <s v="L"/>
    <s v="slight lean"/>
    <s v="1891_1"/>
    <s v="Stebbins_Gulch"/>
    <x v="3"/>
    <s v="Acer"/>
    <s v="saccharum"/>
    <s v="Sapindaceae"/>
    <x v="2"/>
  </r>
  <r>
    <x v="7"/>
    <d v="2026-07-07T00:00:00"/>
    <x v="0"/>
    <n v="1892"/>
    <x v="0"/>
    <n v="2.6"/>
    <s v="W,A"/>
    <s v="POM at 1.28m, knots"/>
    <s v="1892_1"/>
    <s v="Stebbins_Gulch"/>
    <x v="3"/>
    <s v="Acer"/>
    <s v="saccharum"/>
    <s v="Sapindaceae"/>
    <x v="2"/>
  </r>
  <r>
    <x v="7"/>
    <d v="2026-07-07T00:00:00"/>
    <x v="3"/>
    <n v="1893"/>
    <x v="0"/>
    <n v="13.8"/>
    <s v="L"/>
    <s v="slight lean/curve"/>
    <s v="1893_1"/>
    <s v="Stebbins_Gulch"/>
    <x v="3"/>
    <s v="Lirodendron"/>
    <s v="tulipfera"/>
    <s v="Magnoliaceae"/>
    <x v="3"/>
  </r>
  <r>
    <x v="7"/>
    <d v="2026-07-07T00:00:00"/>
    <x v="7"/>
    <n v="1894"/>
    <x v="0"/>
    <n v="1.3"/>
    <s v="W"/>
    <s v="curved"/>
    <s v="1894_1"/>
    <s v="Stebbins_Gulch"/>
    <x v="3"/>
    <s v="Fagus"/>
    <s v="grandifolia"/>
    <s v="Fagaceae"/>
    <x v="2"/>
  </r>
  <r>
    <x v="7"/>
    <d v="2026-07-07T00:00:00"/>
    <x v="7"/>
    <n v="1895"/>
    <x v="0"/>
    <n v="1"/>
    <s v="N/A"/>
    <s v="soft tape, BB"/>
    <s v="1895_1"/>
    <s v="Stebbins_Gulch"/>
    <x v="3"/>
    <s v="Fagus"/>
    <s v="grandifolia"/>
    <s v="Fagaceae"/>
    <x v="2"/>
  </r>
  <r>
    <x v="7"/>
    <d v="2026-07-07T00:00:00"/>
    <x v="7"/>
    <n v="1896"/>
    <x v="0"/>
    <n v="1.1000000000000001"/>
    <s v="L"/>
    <s v="BB"/>
    <s v="1896_1"/>
    <s v="Stebbins_Gulch"/>
    <x v="3"/>
    <s v="Fagus"/>
    <s v="grandifolia"/>
    <s v="Fagaceae"/>
    <x v="2"/>
  </r>
  <r>
    <x v="7"/>
    <d v="2026-07-07T00:00:00"/>
    <x v="0"/>
    <n v="1897"/>
    <x v="0"/>
    <n v="12.5"/>
    <s v="L"/>
    <m/>
    <s v="1897_1"/>
    <s v="Stebbins_Gulch"/>
    <x v="3"/>
    <s v="Acer"/>
    <s v="saccharum"/>
    <s v="Sapindaceae"/>
    <x v="3"/>
  </r>
  <r>
    <x v="7"/>
    <d v="2026-07-07T00:00:00"/>
    <x v="0"/>
    <n v="1898"/>
    <x v="0"/>
    <n v="9.6999999999999993"/>
    <s v="A,L"/>
    <s v="POM at 1.29m, knot, slight lean"/>
    <s v="1898_1"/>
    <s v="Stebbins_Gulch"/>
    <x v="3"/>
    <s v="Acer"/>
    <s v="saccharum"/>
    <s v="Sapindaceae"/>
    <x v="5"/>
  </r>
  <r>
    <x v="7"/>
    <d v="2026-07-07T00:00:00"/>
    <x v="7"/>
    <n v="1899"/>
    <x v="0"/>
    <n v="1.2"/>
    <s v="L"/>
    <s v="BB"/>
    <s v="1899_1"/>
    <s v="Stebbins_Gulch"/>
    <x v="3"/>
    <s v="Fagus"/>
    <s v="grandifolia"/>
    <s v="Fagaceae"/>
    <x v="2"/>
  </r>
  <r>
    <x v="7"/>
    <d v="2026-07-07T00:00:00"/>
    <x v="0"/>
    <n v="1900"/>
    <x v="0"/>
    <n v="7.9"/>
    <s v="L"/>
    <s v="POM at 1.21m, knots"/>
    <s v="1900_1"/>
    <s v="Stebbins_Gulch"/>
    <x v="3"/>
    <s v="Acer"/>
    <s v="saccharum"/>
    <s v="Sapindaceae"/>
    <x v="5"/>
  </r>
  <r>
    <x v="7"/>
    <d v="2026-07-07T00:00:00"/>
    <x v="2"/>
    <n v="1901"/>
    <x v="0"/>
    <n v="7.5"/>
    <s v="L"/>
    <s v="curved, growing into/around 1900"/>
    <s v="1901_1"/>
    <s v="Stebbins_Gulch"/>
    <x v="3"/>
    <s v="Acer"/>
    <s v="rubrum"/>
    <s v="Sapindaceae"/>
    <x v="5"/>
  </r>
  <r>
    <x v="7"/>
    <d v="2026-07-07T00:00:00"/>
    <x v="2"/>
    <n v="1902"/>
    <x v="0"/>
    <n v="10.6"/>
    <s v="N/A"/>
    <m/>
    <s v="1902_1"/>
    <s v="Stebbins_Gulch"/>
    <x v="3"/>
    <s v="Acer"/>
    <s v="rubrum"/>
    <s v="Sapindaceae"/>
    <x v="3"/>
  </r>
  <r>
    <x v="7"/>
    <d v="2026-07-07T00:00:00"/>
    <x v="3"/>
    <n v="1903"/>
    <x v="0"/>
    <n v="12.9"/>
    <s v="P"/>
    <s v="largest stem prostrate, tons of small sprouts along it"/>
    <s v="1903_1"/>
    <s v="Stebbins_Gulch"/>
    <x v="3"/>
    <s v="Lirodendron"/>
    <s v="tulipfera"/>
    <s v="Magnoliaceae"/>
    <x v="3"/>
  </r>
  <r>
    <x v="7"/>
    <d v="2026-07-07T00:00:00"/>
    <x v="3"/>
    <n v="1904"/>
    <x v="0"/>
    <n v="13.7"/>
    <s v="I,L"/>
    <s v="large splits along trunk"/>
    <s v="1904_1"/>
    <s v="Stebbins_Gulch"/>
    <x v="3"/>
    <s v="Lirodendron"/>
    <s v="tulipfera"/>
    <s v="Magnoliaceae"/>
    <x v="3"/>
  </r>
  <r>
    <x v="7"/>
    <d v="2026-07-07T00:00:00"/>
    <x v="2"/>
    <n v="1905"/>
    <x v="0"/>
    <n v="19.600000000000001"/>
    <s v="W"/>
    <s v="slightly curved"/>
    <s v="1905_1"/>
    <s v="Stebbins_Gulch"/>
    <x v="3"/>
    <s v="Acer"/>
    <s v="rubrum"/>
    <s v="Sapindaceae"/>
    <x v="3"/>
  </r>
  <r>
    <x v="7"/>
    <d v="2026-07-07T00:00:00"/>
    <x v="2"/>
    <n v="1906"/>
    <x v="0"/>
    <n v="12"/>
    <s v="I,W"/>
    <s v="soft tape, knot near POM maybe swollen"/>
    <s v="1906_1"/>
    <s v="Stebbins_Gulch"/>
    <x v="3"/>
    <s v="Acer"/>
    <s v="rubrum"/>
    <s v="Sapindaceae"/>
    <x v="3"/>
  </r>
  <r>
    <x v="7"/>
    <d v="2026-07-07T00:00:00"/>
    <x v="3"/>
    <n v="1907"/>
    <x v="0"/>
    <n v="2"/>
    <s v="L"/>
    <s v="slight lean, slight curve"/>
    <s v="1907_1"/>
    <s v="Stebbins_Gulch"/>
    <x v="3"/>
    <s v="Lirodendron"/>
    <s v="tulipfera"/>
    <s v="Magnoliaceae"/>
    <x v="2"/>
  </r>
  <r>
    <x v="7"/>
    <d v="2026-07-07T00:00:00"/>
    <x v="0"/>
    <n v="1908"/>
    <x v="0"/>
    <n v="5.3"/>
    <s v="W"/>
    <s v="soft tape"/>
    <s v="1908_1"/>
    <s v="Stebbins_Gulch"/>
    <x v="3"/>
    <s v="Acer"/>
    <s v="saccharum"/>
    <s v="Sapindaceae"/>
    <x v="5"/>
  </r>
  <r>
    <x v="7"/>
    <d v="2026-07-07T00:00:00"/>
    <x v="0"/>
    <n v="1909"/>
    <x v="0"/>
    <n v="3"/>
    <s v="L"/>
    <m/>
    <s v="1909_1"/>
    <s v="Stebbins_Gulch"/>
    <x v="3"/>
    <s v="Acer"/>
    <s v="saccharum"/>
    <s v="Sapindaceae"/>
    <x v="2"/>
  </r>
  <r>
    <x v="7"/>
    <d v="2026-07-07T00:00:00"/>
    <x v="7"/>
    <n v="1910"/>
    <x v="0"/>
    <n v="13.9"/>
    <s v="N/A"/>
    <m/>
    <s v="1910_1"/>
    <s v="Stebbins_Gulch"/>
    <x v="3"/>
    <s v="Fagus"/>
    <s v="grandifolia"/>
    <s v="Fagaceae"/>
    <x v="3"/>
  </r>
  <r>
    <x v="7"/>
    <d v="2026-07-07T00:00:00"/>
    <x v="7"/>
    <n v="1911"/>
    <x v="0"/>
    <n v="7.4"/>
    <s v="L"/>
    <m/>
    <s v="1911_1"/>
    <s v="Stebbins_Gulch"/>
    <x v="3"/>
    <s v="Fagus"/>
    <s v="grandifolia"/>
    <s v="Fagaceae"/>
    <x v="5"/>
  </r>
  <r>
    <x v="7"/>
    <d v="2026-07-07T00:00:00"/>
    <x v="22"/>
    <n v="1912"/>
    <x v="0"/>
    <n v="5"/>
    <s v="L"/>
    <s v="curved"/>
    <s v="1912_1"/>
    <s v="Stebbins_Gulch"/>
    <x v="3"/>
    <s v="Tsuga"/>
    <s v="canadensis"/>
    <s v="Pinaceae"/>
    <x v="2"/>
  </r>
  <r>
    <x v="7"/>
    <d v="2026-07-07T00:00:00"/>
    <x v="7"/>
    <n v="1913"/>
    <x v="0"/>
    <n v="6"/>
    <s v="W"/>
    <s v="soft tape, tag may fall"/>
    <s v="1913_1"/>
    <s v="Stebbins_Gulch"/>
    <x v="3"/>
    <s v="Fagus"/>
    <s v="grandifolia"/>
    <s v="Fagaceae"/>
    <x v="5"/>
  </r>
  <r>
    <x v="7"/>
    <d v="2026-07-07T00:00:00"/>
    <x v="7"/>
    <n v="1914"/>
    <x v="0"/>
    <n v="7.3"/>
    <s v="L,A"/>
    <s v="POM at 1.27m, knot"/>
    <s v="1914_1"/>
    <s v="Stebbins_Gulch"/>
    <x v="3"/>
    <s v="Fagus"/>
    <s v="grandifolia"/>
    <s v="Fagaceae"/>
    <x v="5"/>
  </r>
  <r>
    <x v="7"/>
    <d v="2026-07-07T00:00:00"/>
    <x v="7"/>
    <n v="1915"/>
    <x v="0"/>
    <n v="5.9"/>
    <s v="L"/>
    <s v="slight lean"/>
    <s v="1915_1"/>
    <s v="Stebbins_Gulch"/>
    <x v="3"/>
    <s v="Fagus"/>
    <s v="grandifolia"/>
    <s v="Fagaceae"/>
    <x v="5"/>
  </r>
  <r>
    <x v="7"/>
    <d v="2026-07-07T00:00:00"/>
    <x v="10"/>
    <n v="1916"/>
    <x v="0"/>
    <n v="25.9"/>
    <s v="L"/>
    <m/>
    <s v="1916_1"/>
    <s v="Stebbins_Gulch"/>
    <x v="3"/>
    <s v="Quercus"/>
    <s v="rubra"/>
    <s v="Fagaceae"/>
    <x v="0"/>
  </r>
  <r>
    <x v="7"/>
    <d v="2026-07-07T00:00:00"/>
    <x v="0"/>
    <n v="1917"/>
    <x v="0"/>
    <n v="9.3000000000000007"/>
    <s v="W"/>
    <s v="soft tape"/>
    <s v="1917_1"/>
    <s v="Stebbins_Gulch"/>
    <x v="3"/>
    <s v="Acer"/>
    <s v="saccharum"/>
    <s v="Sapindaceae"/>
    <x v="5"/>
  </r>
  <r>
    <x v="7"/>
    <d v="2026-07-07T00:00:00"/>
    <x v="7"/>
    <n v="1918"/>
    <x v="0"/>
    <n v="15.7"/>
    <s v="N/A"/>
    <m/>
    <s v="1918_1"/>
    <s v="Stebbins_Gulch"/>
    <x v="3"/>
    <s v="Fagus"/>
    <s v="grandifolia"/>
    <s v="Fagaceae"/>
    <x v="3"/>
  </r>
  <r>
    <x v="7"/>
    <d v="2026-07-07T00:00:00"/>
    <x v="5"/>
    <n v="1919"/>
    <x v="0"/>
    <n v="28.5"/>
    <s v="N/A"/>
    <m/>
    <s v="1919_1"/>
    <s v="Stebbins_Gulch"/>
    <x v="3"/>
    <s v="Magnolia"/>
    <s v="acuminata"/>
    <s v="Magnoliaceae"/>
    <x v="0"/>
  </r>
  <r>
    <x v="7"/>
    <d v="2026-07-07T00:00:00"/>
    <x v="22"/>
    <n v="1920"/>
    <x v="0"/>
    <n v="17.2"/>
    <s v="L,A"/>
    <s v="POM at 1.28m, dead branch"/>
    <s v="1920_1"/>
    <s v="Stebbins_Gulch"/>
    <x v="3"/>
    <s v="Tsuga"/>
    <s v="canadensis"/>
    <s v="Pinaceae"/>
    <x v="3"/>
  </r>
  <r>
    <x v="7"/>
    <d v="2026-07-07T00:00:00"/>
    <x v="22"/>
    <n v="1921"/>
    <x v="0"/>
    <n v="22.6"/>
    <s v="L"/>
    <m/>
    <s v="1921_1"/>
    <s v="Stebbins_Gulch"/>
    <x v="3"/>
    <s v="Tsuga"/>
    <s v="canadensis"/>
    <s v="Pinaceae"/>
    <x v="0"/>
  </r>
  <r>
    <x v="7"/>
    <d v="2026-07-07T00:00:00"/>
    <x v="22"/>
    <n v="1922"/>
    <x v="0"/>
    <n v="7.2"/>
    <s v="L,A"/>
    <s v="POM at 1.27m, dead branch"/>
    <s v="1922_1"/>
    <s v="Stebbins_Gulch"/>
    <x v="3"/>
    <s v="Tsuga"/>
    <s v="canadensis"/>
    <s v="Pinaceae"/>
    <x v="5"/>
  </r>
  <r>
    <x v="7"/>
    <d v="2026-07-07T00:00:00"/>
    <x v="22"/>
    <n v="1923"/>
    <x v="0"/>
    <n v="25.5"/>
    <s v="W"/>
    <m/>
    <s v="1923_1"/>
    <s v="Stebbins_Gulch"/>
    <x v="3"/>
    <s v="Tsuga"/>
    <s v="canadensis"/>
    <s v="Pinaceae"/>
    <x v="0"/>
  </r>
  <r>
    <x v="7"/>
    <d v="2026-07-07T00:00:00"/>
    <x v="22"/>
    <n v="1924"/>
    <x v="0"/>
    <n v="17.899999999999999"/>
    <s v="L"/>
    <s v="slight lean"/>
    <s v="1924_1"/>
    <s v="Stebbins_Gulch"/>
    <x v="3"/>
    <s v="Tsuga"/>
    <s v="canadensis"/>
    <s v="Pinaceae"/>
    <x v="3"/>
  </r>
  <r>
    <x v="7"/>
    <d v="2026-07-07T00:00:00"/>
    <x v="5"/>
    <n v="1925"/>
    <x v="0"/>
    <n v="48.8"/>
    <s v="N/A"/>
    <m/>
    <s v="1925_1"/>
    <s v="Stebbins_Gulch"/>
    <x v="3"/>
    <s v="Magnolia"/>
    <s v="acuminata"/>
    <s v="Magnoliaceae"/>
    <x v="1"/>
  </r>
  <r>
    <x v="7"/>
    <d v="2026-07-07T00:00:00"/>
    <x v="9"/>
    <n v="1926"/>
    <x v="0"/>
    <n v="101.3"/>
    <s v="L"/>
    <m/>
    <s v="1926_1"/>
    <s v="Stebbins_Gulch"/>
    <x v="3"/>
    <s v="Quercus"/>
    <s v="montana"/>
    <s v="Fagaceae"/>
    <x v="4"/>
  </r>
  <r>
    <x v="7"/>
    <d v="2026-07-07T00:00:00"/>
    <x v="22"/>
    <n v="1927"/>
    <x v="0"/>
    <n v="13.4"/>
    <s v="N/A"/>
    <m/>
    <s v="1927_1"/>
    <s v="Stebbins_Gulch"/>
    <x v="3"/>
    <s v="Tsuga"/>
    <s v="canadensis"/>
    <s v="Pinaceae"/>
    <x v="3"/>
  </r>
  <r>
    <x v="7"/>
    <d v="2026-07-07T00:00:00"/>
    <x v="6"/>
    <n v="1928"/>
    <x v="0"/>
    <n v="80.2"/>
    <s v="N/A"/>
    <m/>
    <s v="1928_1"/>
    <s v="Stebbins_Gulch"/>
    <x v="3"/>
    <s v="Nyssa"/>
    <s v="sylvatica"/>
    <s v="Nyssaceae"/>
    <x v="4"/>
  </r>
  <r>
    <x v="7"/>
    <d v="2026-07-07T00:00:00"/>
    <x v="22"/>
    <n v="1929"/>
    <x v="0"/>
    <n v="49.3"/>
    <s v="L"/>
    <m/>
    <s v="1929_1"/>
    <s v="Stebbins_Gulch"/>
    <x v="3"/>
    <s v="Tsuga"/>
    <s v="canadensis"/>
    <s v="Pinaceae"/>
    <x v="1"/>
  </r>
  <r>
    <x v="7"/>
    <d v="2026-07-07T00:00:00"/>
    <x v="22"/>
    <n v="1930"/>
    <x v="0"/>
    <n v="9.5"/>
    <s v="W"/>
    <s v="slightly wavy"/>
    <s v="1930_1"/>
    <s v="Stebbins_Gulch"/>
    <x v="3"/>
    <s v="Tsuga"/>
    <s v="canadensis"/>
    <s v="Pinaceae"/>
    <x v="5"/>
  </r>
  <r>
    <x v="7"/>
    <d v="2026-07-07T00:00:00"/>
    <x v="22"/>
    <n v="1931"/>
    <x v="0"/>
    <n v="8.1"/>
    <s v="N/A"/>
    <m/>
    <s v="1931_1"/>
    <s v="Stebbins_Gulch"/>
    <x v="3"/>
    <s v="Tsuga"/>
    <s v="canadensis"/>
    <s v="Pinaceae"/>
    <x v="5"/>
  </r>
  <r>
    <x v="7"/>
    <d v="2026-07-07T00:00:00"/>
    <x v="22"/>
    <n v="1932"/>
    <x v="0"/>
    <n v="8.9"/>
    <s v="L"/>
    <m/>
    <s v="1932_1"/>
    <s v="Stebbins_Gulch"/>
    <x v="3"/>
    <s v="Tsuga"/>
    <s v="canadensis"/>
    <s v="Pinaceae"/>
    <x v="5"/>
  </r>
  <r>
    <x v="7"/>
    <d v="2026-07-07T00:00:00"/>
    <x v="22"/>
    <n v="1933"/>
    <x v="0"/>
    <n v="11.3"/>
    <s v="N/A"/>
    <m/>
    <s v="1933_1"/>
    <s v="Stebbins_Gulch"/>
    <x v="3"/>
    <s v="Tsuga"/>
    <s v="canadensis"/>
    <s v="Pinaceae"/>
    <x v="3"/>
  </r>
  <r>
    <x v="7"/>
    <d v="2026-07-07T00:00:00"/>
    <x v="22"/>
    <n v="1934"/>
    <x v="0"/>
    <n v="7"/>
    <s v="L"/>
    <m/>
    <s v="1934_1"/>
    <s v="Stebbins_Gulch"/>
    <x v="3"/>
    <s v="Tsuga"/>
    <s v="canadensis"/>
    <s v="Pinaceae"/>
    <x v="5"/>
  </r>
  <r>
    <x v="7"/>
    <d v="2026-07-07T00:00:00"/>
    <x v="22"/>
    <n v="1935"/>
    <x v="0"/>
    <n v="8.6"/>
    <s v="L"/>
    <s v="slight lean"/>
    <s v="1935_1"/>
    <s v="Stebbins_Gulch"/>
    <x v="3"/>
    <s v="Tsuga"/>
    <s v="canadensis"/>
    <s v="Pinaceae"/>
    <x v="5"/>
  </r>
  <r>
    <x v="7"/>
    <d v="2026-07-07T00:00:00"/>
    <x v="22"/>
    <n v="1936"/>
    <x v="0"/>
    <n v="2.7"/>
    <s v="L,A"/>
    <s v="POM at 1.28m, dead branch"/>
    <s v="1936_1"/>
    <s v="Stebbins_Gulch"/>
    <x v="3"/>
    <s v="Tsuga"/>
    <s v="canadensis"/>
    <s v="Pinaceae"/>
    <x v="2"/>
  </r>
  <r>
    <x v="7"/>
    <d v="2026-07-07T00:00:00"/>
    <x v="22"/>
    <n v="1937"/>
    <x v="0"/>
    <n v="42.9"/>
    <s v="N/A"/>
    <m/>
    <s v="1937_1"/>
    <s v="Stebbins_Gulch"/>
    <x v="3"/>
    <s v="Tsuga"/>
    <s v="canadensis"/>
    <s v="Pinaceae"/>
    <x v="1"/>
  </r>
  <r>
    <x v="7"/>
    <d v="2026-07-07T00:00:00"/>
    <x v="22"/>
    <n v="1938"/>
    <x v="0"/>
    <n v="48.7"/>
    <s v="L"/>
    <s v="slight lean"/>
    <s v="1938_1"/>
    <s v="Stebbins_Gulch"/>
    <x v="3"/>
    <s v="Tsuga"/>
    <s v="canadensis"/>
    <s v="Pinaceae"/>
    <x v="1"/>
  </r>
  <r>
    <x v="7"/>
    <d v="2026-07-07T00:00:00"/>
    <x v="22"/>
    <n v="1939"/>
    <x v="0"/>
    <n v="54.1"/>
    <s v="N/A"/>
    <m/>
    <s v="1939_1"/>
    <s v="Stebbins_Gulch"/>
    <x v="3"/>
    <s v="Tsuga"/>
    <s v="canadensis"/>
    <s v="Pinaceae"/>
    <x v="4"/>
  </r>
  <r>
    <x v="7"/>
    <d v="2026-07-07T00:00:00"/>
    <x v="22"/>
    <n v="1940"/>
    <x v="0"/>
    <n v="3.7"/>
    <s v="L"/>
    <m/>
    <s v="1940_1"/>
    <s v="Stebbins_Gulch"/>
    <x v="3"/>
    <s v="Tsuga"/>
    <s v="canadensis"/>
    <s v="Pinaceae"/>
    <x v="2"/>
  </r>
  <r>
    <x v="7"/>
    <d v="2026-07-07T00:00:00"/>
    <x v="22"/>
    <n v="1941"/>
    <x v="0"/>
    <n v="11.1"/>
    <s v="A"/>
    <s v="POM at 1.28, branch"/>
    <s v="1941_1"/>
    <s v="Stebbins_Gulch"/>
    <x v="3"/>
    <s v="Tsuga"/>
    <s v="canadensis"/>
    <s v="Pinaceae"/>
    <x v="3"/>
  </r>
  <r>
    <x v="7"/>
    <d v="2026-07-07T00:00:00"/>
    <x v="2"/>
    <n v="1942"/>
    <x v="0"/>
    <n v="21.5"/>
    <s v="N/A"/>
    <m/>
    <s v="1942_1"/>
    <s v="Stebbins_Gulch"/>
    <x v="3"/>
    <s v="Acer"/>
    <s v="rubrum"/>
    <s v="Sapindaceae"/>
    <x v="0"/>
  </r>
  <r>
    <x v="7"/>
    <d v="2026-07-07T00:00:00"/>
    <x v="22"/>
    <n v="1943"/>
    <x v="0"/>
    <n v="16.3"/>
    <s v="L"/>
    <m/>
    <s v="1943_1"/>
    <s v="Stebbins_Gulch"/>
    <x v="3"/>
    <s v="Tsuga"/>
    <s v="canadensis"/>
    <s v="Pinaceae"/>
    <x v="3"/>
  </r>
  <r>
    <x v="7"/>
    <d v="2026-07-07T00:00:00"/>
    <x v="22"/>
    <n v="1944"/>
    <x v="0"/>
    <n v="11.5"/>
    <s v="L"/>
    <m/>
    <s v="1944_1"/>
    <s v="Stebbins_Gulch"/>
    <x v="3"/>
    <s v="Tsuga"/>
    <s v="canadensis"/>
    <s v="Pinaceae"/>
    <x v="3"/>
  </r>
  <r>
    <x v="7"/>
    <d v="2026-07-07T00:00:00"/>
    <x v="22"/>
    <n v="1945"/>
    <x v="0"/>
    <n v="59"/>
    <s v="N/A"/>
    <m/>
    <s v="1945_1"/>
    <s v="Stebbins_Gulch"/>
    <x v="3"/>
    <s v="Tsuga"/>
    <s v="canadensis"/>
    <s v="Pinaceae"/>
    <x v="4"/>
  </r>
  <r>
    <x v="7"/>
    <d v="2026-07-07T00:00:00"/>
    <x v="0"/>
    <n v="1946"/>
    <x v="0"/>
    <n v="5.4"/>
    <s v="A"/>
    <s v="POM at 1.21, branch"/>
    <s v="1946_1"/>
    <s v="Stebbins_Gulch"/>
    <x v="3"/>
    <s v="Acer"/>
    <s v="saccharum"/>
    <s v="Sapindaceae"/>
    <x v="5"/>
  </r>
  <r>
    <x v="7"/>
    <d v="2026-07-07T00:00:00"/>
    <x v="7"/>
    <n v="1947"/>
    <x v="0"/>
    <n v="1.7"/>
    <s v="W"/>
    <m/>
    <s v="1947_1"/>
    <s v="Stebbins_Gulch"/>
    <x v="3"/>
    <s v="Fagus"/>
    <s v="grandifolia"/>
    <s v="Fagaceae"/>
    <x v="2"/>
  </r>
  <r>
    <x v="7"/>
    <d v="2026-07-07T00:00:00"/>
    <x v="7"/>
    <n v="1948"/>
    <x v="0"/>
    <n v="4.4000000000000004"/>
    <s v="N/A"/>
    <m/>
    <s v="1948_1"/>
    <s v="Stebbins_Gulch"/>
    <x v="3"/>
    <s v="Fagus"/>
    <s v="grandifolia"/>
    <s v="Fagaceae"/>
    <x v="2"/>
  </r>
  <r>
    <x v="7"/>
    <d v="2026-07-07T00:00:00"/>
    <x v="7"/>
    <n v="1949"/>
    <x v="0"/>
    <n v="3.6"/>
    <s v="N/A"/>
    <m/>
    <s v="1949_1"/>
    <s v="Stebbins_Gulch"/>
    <x v="3"/>
    <s v="Fagus"/>
    <s v="grandifolia"/>
    <s v="Fagaceae"/>
    <x v="2"/>
  </r>
  <r>
    <x v="7"/>
    <d v="2026-07-07T00:00:00"/>
    <x v="0"/>
    <n v="1950"/>
    <x v="0"/>
    <n v="2.1"/>
    <s v="L,A"/>
    <m/>
    <s v="1950_1"/>
    <s v="Stebbins_Gulch"/>
    <x v="3"/>
    <s v="Acer"/>
    <s v="saccharum"/>
    <s v="Sapindaceae"/>
    <x v="2"/>
  </r>
  <r>
    <x v="7"/>
    <d v="2026-07-07T00:00:00"/>
    <x v="22"/>
    <n v="1951"/>
    <x v="0"/>
    <n v="11"/>
    <s v="N/A"/>
    <m/>
    <s v="1951_1"/>
    <s v="Stebbins_Gulch"/>
    <x v="3"/>
    <s v="Tsuga"/>
    <s v="canadensis"/>
    <s v="Pinaceae"/>
    <x v="3"/>
  </r>
  <r>
    <x v="7"/>
    <d v="2026-07-07T00:00:00"/>
    <x v="22"/>
    <n v="1952"/>
    <x v="0"/>
    <n v="11.1"/>
    <s v="L"/>
    <m/>
    <s v="1952_1"/>
    <s v="Stebbins_Gulch"/>
    <x v="3"/>
    <s v="Tsuga"/>
    <s v="canadensis"/>
    <s v="Pinaceae"/>
    <x v="3"/>
  </r>
  <r>
    <x v="7"/>
    <d v="2026-07-07T00:00:00"/>
    <x v="22"/>
    <n v="1953"/>
    <x v="0"/>
    <n v="14.1"/>
    <s v="L, A"/>
    <s v="slight lean, POM at 1.28m, dead branch"/>
    <s v="1953_1"/>
    <s v="Stebbins_Gulch"/>
    <x v="3"/>
    <s v="Tsuga"/>
    <s v="canadensis"/>
    <s v="Pinaceae"/>
    <x v="3"/>
  </r>
  <r>
    <x v="7"/>
    <d v="2026-07-07T00:00:00"/>
    <x v="22"/>
    <n v="1954"/>
    <x v="0"/>
    <n v="11.6"/>
    <s v="N/A"/>
    <m/>
    <s v="1954_1"/>
    <s v="Stebbins_Gulch"/>
    <x v="3"/>
    <s v="Tsuga"/>
    <s v="canadensis"/>
    <s v="Pinaceae"/>
    <x v="3"/>
  </r>
  <r>
    <x v="7"/>
    <d v="2026-07-07T00:00:00"/>
    <x v="22"/>
    <n v="1955"/>
    <x v="0"/>
    <n v="21.2"/>
    <s v="L"/>
    <m/>
    <s v="1955_1"/>
    <s v="Stebbins_Gulch"/>
    <x v="3"/>
    <s v="Tsuga"/>
    <s v="canadensis"/>
    <s v="Pinaceae"/>
    <x v="0"/>
  </r>
  <r>
    <x v="7"/>
    <d v="2026-07-07T00:00:00"/>
    <x v="3"/>
    <n v="1956"/>
    <x v="0"/>
    <n v="23.6"/>
    <s v="W"/>
    <m/>
    <s v="1956_1"/>
    <s v="Stebbins_Gulch"/>
    <x v="3"/>
    <s v="Lirodendron"/>
    <s v="tulipfera"/>
    <s v="Magnoliaceae"/>
    <x v="0"/>
  </r>
  <r>
    <x v="7"/>
    <d v="2026-07-07T00:00:00"/>
    <x v="22"/>
    <n v="1957"/>
    <x v="0"/>
    <n v="12.6"/>
    <s v="L"/>
    <s v="growing out of stump"/>
    <s v="1957_1"/>
    <s v="Stebbins_Gulch"/>
    <x v="3"/>
    <s v="Tsuga"/>
    <s v="canadensis"/>
    <s v="Pinaceae"/>
    <x v="3"/>
  </r>
  <r>
    <x v="7"/>
    <d v="2026-07-07T00:00:00"/>
    <x v="22"/>
    <n v="1958"/>
    <x v="0"/>
    <n v="9.6"/>
    <s v="M, L, A"/>
    <s v="POM at 1.28, dead branch"/>
    <s v="1958_1"/>
    <s v="Stebbins_Gulch"/>
    <x v="3"/>
    <s v="Tsuga"/>
    <s v="canadensis"/>
    <s v="Pinaceae"/>
    <x v="5"/>
  </r>
  <r>
    <x v="7"/>
    <d v="2026-07-07T00:00:00"/>
    <x v="22"/>
    <n v="1958"/>
    <x v="1"/>
    <n v="7.9"/>
    <s v="M, L"/>
    <m/>
    <s v="1958_2"/>
    <s v="Stebbins_Gulch"/>
    <x v="3"/>
    <s v="Tsuga"/>
    <s v="canadensis"/>
    <s v="Pinaceae"/>
    <x v="5"/>
  </r>
  <r>
    <x v="7"/>
    <d v="2026-07-07T00:00:00"/>
    <x v="2"/>
    <n v="1959"/>
    <x v="0"/>
    <n v="6"/>
    <s v="W"/>
    <m/>
    <s v="1959_1"/>
    <s v="Stebbins_Gulch"/>
    <x v="3"/>
    <s v="Acer"/>
    <s v="rubrum"/>
    <s v="Sapindaceae"/>
    <x v="5"/>
  </r>
  <r>
    <x v="7"/>
    <d v="2026-07-07T00:00:00"/>
    <x v="7"/>
    <n v="1960"/>
    <x v="0"/>
    <n v="5.4"/>
    <s v="L"/>
    <m/>
    <s v="1960_1"/>
    <s v="Stebbins_Gulch"/>
    <x v="3"/>
    <s v="Fagus"/>
    <s v="grandifolia"/>
    <s v="Fagaceae"/>
    <x v="5"/>
  </r>
  <r>
    <x v="7"/>
    <d v="2026-07-07T00:00:00"/>
    <x v="2"/>
    <n v="1961"/>
    <x v="0"/>
    <n v="8.4"/>
    <s v="L"/>
    <s v="slight lean"/>
    <s v="1961_1"/>
    <s v="Stebbins_Gulch"/>
    <x v="3"/>
    <s v="Acer"/>
    <s v="rubrum"/>
    <s v="Sapindaceae"/>
    <x v="5"/>
  </r>
  <r>
    <x v="7"/>
    <d v="2026-07-07T00:00:00"/>
    <x v="2"/>
    <n v="1962"/>
    <x v="0"/>
    <n v="2.4"/>
    <s v="A"/>
    <s v="POM at 1.28m"/>
    <s v="1962_1"/>
    <s v="Stebbins_Gulch"/>
    <x v="3"/>
    <s v="Acer"/>
    <s v="rubrum"/>
    <s v="Sapindaceae"/>
    <x v="2"/>
  </r>
  <r>
    <x v="7"/>
    <d v="2026-07-07T00:00:00"/>
    <x v="0"/>
    <n v="1963"/>
    <x v="0"/>
    <n v="2.2999999999999998"/>
    <s v="W"/>
    <m/>
    <s v="1963_1"/>
    <s v="Stebbins_Gulch"/>
    <x v="3"/>
    <s v="Acer"/>
    <s v="saccharum"/>
    <s v="Sapindaceae"/>
    <x v="2"/>
  </r>
  <r>
    <x v="7"/>
    <d v="2026-07-07T00:00:00"/>
    <x v="0"/>
    <n v="1964"/>
    <x v="0"/>
    <n v="1.9"/>
    <s v="W"/>
    <s v="soft tape"/>
    <s v="1964_1"/>
    <s v="Stebbins_Gulch"/>
    <x v="3"/>
    <s v="Acer"/>
    <s v="saccharum"/>
    <s v="Sapindaceae"/>
    <x v="2"/>
  </r>
  <r>
    <x v="7"/>
    <d v="2026-07-07T00:00:00"/>
    <x v="2"/>
    <n v="1965"/>
    <x v="0"/>
    <n v="6"/>
    <s v="W"/>
    <s v="soft tape"/>
    <s v="1965_1"/>
    <s v="Stebbins_Gulch"/>
    <x v="3"/>
    <s v="Acer"/>
    <s v="rubrum"/>
    <s v="Sapindaceae"/>
    <x v="5"/>
  </r>
  <r>
    <x v="7"/>
    <d v="2026-07-07T00:00:00"/>
    <x v="0"/>
    <n v="1966"/>
    <x v="0"/>
    <n v="5.9"/>
    <s v="L,A"/>
    <s v="POM at 1.27m"/>
    <s v="1966_1"/>
    <s v="Stebbins_Gulch"/>
    <x v="3"/>
    <s v="Acer"/>
    <s v="saccharum"/>
    <s v="Sapindaceae"/>
    <x v="5"/>
  </r>
  <r>
    <x v="7"/>
    <d v="2026-07-07T00:00:00"/>
    <x v="22"/>
    <n v="1967"/>
    <x v="0"/>
    <n v="14.5"/>
    <s v="W"/>
    <m/>
    <s v="1967_1"/>
    <s v="Stebbins_Gulch"/>
    <x v="3"/>
    <s v="Tsuga"/>
    <s v="canadensis"/>
    <s v="Pinaceae"/>
    <x v="3"/>
  </r>
  <r>
    <x v="7"/>
    <d v="2026-07-07T00:00:00"/>
    <x v="0"/>
    <n v="1968"/>
    <x v="0"/>
    <n v="6.5"/>
    <s v="L"/>
    <m/>
    <s v="1968_1"/>
    <s v="Stebbins_Gulch"/>
    <x v="3"/>
    <s v="Acer"/>
    <s v="saccharum"/>
    <s v="Sapindaceae"/>
    <x v="5"/>
  </r>
  <r>
    <x v="7"/>
    <d v="2026-07-07T00:00:00"/>
    <x v="7"/>
    <n v="1969"/>
    <x v="0"/>
    <n v="2.2999999999999998"/>
    <s v="W"/>
    <m/>
    <s v="1969_1"/>
    <s v="Stebbins_Gulch"/>
    <x v="3"/>
    <s v="Fagus"/>
    <s v="grandifolia"/>
    <s v="Fagaceae"/>
    <x v="2"/>
  </r>
  <r>
    <x v="7"/>
    <d v="2026-07-07T00:00:00"/>
    <x v="0"/>
    <n v="1970"/>
    <x v="0"/>
    <n v="5.8"/>
    <s v="L"/>
    <m/>
    <s v="1970_1"/>
    <s v="Stebbins_Gulch"/>
    <x v="3"/>
    <s v="Acer"/>
    <s v="saccharum"/>
    <s v="Sapindaceae"/>
    <x v="5"/>
  </r>
  <r>
    <x v="7"/>
    <d v="2026-07-07T00:00:00"/>
    <x v="0"/>
    <n v="1971"/>
    <x v="0"/>
    <n v="7.2"/>
    <s v="W"/>
    <m/>
    <s v="1971_1"/>
    <s v="Stebbins_Gulch"/>
    <x v="3"/>
    <s v="Acer"/>
    <s v="saccharum"/>
    <s v="Sapindaceae"/>
    <x v="5"/>
  </r>
  <r>
    <x v="7"/>
    <d v="2026-07-07T00:00:00"/>
    <x v="0"/>
    <n v="1972"/>
    <x v="0"/>
    <n v="2.1"/>
    <s v="L"/>
    <m/>
    <s v="1972_1"/>
    <s v="Stebbins_Gulch"/>
    <x v="3"/>
    <s v="Acer"/>
    <s v="saccharum"/>
    <s v="Sapindaceae"/>
    <x v="2"/>
  </r>
  <r>
    <x v="7"/>
    <d v="2026-07-07T00:00:00"/>
    <x v="0"/>
    <n v="1973"/>
    <x v="0"/>
    <n v="6.5"/>
    <s v="W"/>
    <s v="slight wave"/>
    <s v="1973_1"/>
    <s v="Stebbins_Gulch"/>
    <x v="3"/>
    <s v="Acer"/>
    <s v="saccharum"/>
    <s v="Sapindaceae"/>
    <x v="5"/>
  </r>
  <r>
    <x v="7"/>
    <d v="2026-07-07T00:00:00"/>
    <x v="0"/>
    <n v="1974"/>
    <x v="0"/>
    <n v="4.0999999999999996"/>
    <s v="L"/>
    <m/>
    <s v="1974_1"/>
    <s v="Stebbins_Gulch"/>
    <x v="3"/>
    <s v="Acer"/>
    <s v="saccharum"/>
    <s v="Sapindaceae"/>
    <x v="2"/>
  </r>
  <r>
    <x v="7"/>
    <d v="2026-07-07T00:00:00"/>
    <x v="1"/>
    <n v="1975"/>
    <x v="0"/>
    <n v="4.9000000000000004"/>
    <s v="L"/>
    <s v="curved"/>
    <s v="1975_1"/>
    <s v="Stebbins_Gulch"/>
    <x v="3"/>
    <s v="Prunus"/>
    <s v="serotina"/>
    <s v="Rosaceae"/>
    <x v="2"/>
  </r>
  <r>
    <x v="7"/>
    <d v="2026-07-07T00:00:00"/>
    <x v="2"/>
    <n v="1976"/>
    <x v="0"/>
    <n v="35.299999999999997"/>
    <s v="I"/>
    <s v="trunk slightly irregular"/>
    <s v="1976_1"/>
    <s v="Stebbins_Gulch"/>
    <x v="3"/>
    <s v="Acer"/>
    <s v="rubrum"/>
    <s v="Sapindaceae"/>
    <x v="0"/>
  </r>
  <r>
    <x v="7"/>
    <d v="2026-07-07T00:00:00"/>
    <x v="0"/>
    <n v="1977"/>
    <x v="0"/>
    <n v="5.0999999999999996"/>
    <s v="N/A"/>
    <m/>
    <s v="1977_1"/>
    <s v="Stebbins_Gulch"/>
    <x v="3"/>
    <s v="Acer"/>
    <s v="saccharum"/>
    <s v="Sapindaceae"/>
    <x v="5"/>
  </r>
  <r>
    <x v="7"/>
    <d v="2026-07-07T00:00:00"/>
    <x v="0"/>
    <n v="1978"/>
    <x v="0"/>
    <n v="36.4"/>
    <s v="L"/>
    <m/>
    <s v="1978_1"/>
    <s v="Stebbins_Gulch"/>
    <x v="3"/>
    <s v="Acer"/>
    <s v="saccharum"/>
    <s v="Sapindaceae"/>
    <x v="0"/>
  </r>
  <r>
    <x v="7"/>
    <d v="2026-07-07T00:00:00"/>
    <x v="7"/>
    <n v="1979"/>
    <x v="0"/>
    <n v="3.6"/>
    <s v="A"/>
    <s v="POM at 1.27m"/>
    <s v="1979_1"/>
    <s v="Stebbins_Gulch"/>
    <x v="3"/>
    <s v="Fagus"/>
    <s v="grandifolia"/>
    <s v="Fagaceae"/>
    <x v="2"/>
  </r>
  <r>
    <x v="7"/>
    <d v="2026-07-07T00:00:00"/>
    <x v="7"/>
    <n v="1980"/>
    <x v="0"/>
    <n v="3"/>
    <s v="L"/>
    <s v="a little wavy"/>
    <s v="1980_1"/>
    <s v="Stebbins_Gulch"/>
    <x v="3"/>
    <s v="Fagus"/>
    <s v="grandifolia"/>
    <s v="Fagaceae"/>
    <x v="2"/>
  </r>
  <r>
    <x v="7"/>
    <d v="2026-07-07T00:00:00"/>
    <x v="7"/>
    <n v="1981"/>
    <x v="0"/>
    <n v="7.9"/>
    <s v="L"/>
    <m/>
    <s v="1981_1"/>
    <s v="Stebbins_Gulch"/>
    <x v="3"/>
    <s v="Fagus"/>
    <s v="grandifolia"/>
    <s v="Fagaceae"/>
    <x v="5"/>
  </r>
  <r>
    <x v="7"/>
    <d v="2026-07-07T00:00:00"/>
    <x v="7"/>
    <n v="1982"/>
    <x v="0"/>
    <n v="2.2000000000000002"/>
    <s v="W"/>
    <s v="soft tape used"/>
    <s v="1982_1"/>
    <s v="Stebbins_Gulch"/>
    <x v="3"/>
    <s v="Fagus"/>
    <s v="grandifolia"/>
    <s v="Fagaceae"/>
    <x v="2"/>
  </r>
  <r>
    <x v="7"/>
    <d v="2026-07-07T00:00:00"/>
    <x v="22"/>
    <n v="1983"/>
    <x v="0"/>
    <n v="79.2"/>
    <s v="N/A"/>
    <m/>
    <s v="1983_1"/>
    <s v="Stebbins_Gulch"/>
    <x v="3"/>
    <s v="Tsuga"/>
    <s v="canadensis"/>
    <s v="Pinaceae"/>
    <x v="4"/>
  </r>
  <r>
    <x v="7"/>
    <d v="2026-07-07T00:00:00"/>
    <x v="22"/>
    <n v="1984"/>
    <x v="0"/>
    <n v="20"/>
    <s v="L"/>
    <s v="partially fallen over"/>
    <s v="1984_1"/>
    <s v="Stebbins_Gulch"/>
    <x v="3"/>
    <s v="Tsuga"/>
    <s v="canadensis"/>
    <s v="Pinaceae"/>
    <x v="3"/>
  </r>
  <r>
    <x v="7"/>
    <d v="2026-07-07T00:00:00"/>
    <x v="22"/>
    <n v="1985"/>
    <x v="0"/>
    <n v="28.6"/>
    <s v="L"/>
    <m/>
    <s v="1985_1"/>
    <s v="Stebbins_Gulch"/>
    <x v="3"/>
    <s v="Tsuga"/>
    <s v="canadensis"/>
    <s v="Pinaceae"/>
    <x v="0"/>
  </r>
  <r>
    <x v="7"/>
    <d v="2026-07-07T00:00:00"/>
    <x v="0"/>
    <n v="1986"/>
    <x v="0"/>
    <n v="2.6"/>
    <s v="W"/>
    <s v="soft tape used"/>
    <s v="1986_1"/>
    <s v="Stebbins_Gulch"/>
    <x v="3"/>
    <s v="Acer"/>
    <s v="saccharum"/>
    <s v="Sapindaceae"/>
    <x v="2"/>
  </r>
  <r>
    <x v="7"/>
    <d v="2026-07-07T00:00:00"/>
    <x v="7"/>
    <n v="1987"/>
    <x v="0"/>
    <n v="6.7"/>
    <s v="M, W"/>
    <s v="soft tape used"/>
    <s v="1987_1"/>
    <s v="Stebbins_Gulch"/>
    <x v="3"/>
    <s v="Fagus"/>
    <s v="grandifolia"/>
    <s v="Fagaceae"/>
    <x v="5"/>
  </r>
  <r>
    <x v="7"/>
    <d v="2026-07-07T00:00:00"/>
    <x v="7"/>
    <n v="1987"/>
    <x v="1"/>
    <n v="4.3"/>
    <s v="M, L"/>
    <m/>
    <s v="1987_2"/>
    <s v="Stebbins_Gulch"/>
    <x v="3"/>
    <s v="Fagus"/>
    <s v="grandifolia"/>
    <s v="Fagaceae"/>
    <x v="2"/>
  </r>
  <r>
    <x v="7"/>
    <d v="2026-07-07T00:00:00"/>
    <x v="7"/>
    <n v="1987"/>
    <x v="2"/>
    <n v="3"/>
    <s v="M, W"/>
    <m/>
    <s v="1987_3"/>
    <s v="Stebbins_Gulch"/>
    <x v="3"/>
    <s v="Fagus"/>
    <s v="grandifolia"/>
    <s v="Fagaceae"/>
    <x v="2"/>
  </r>
  <r>
    <x v="7"/>
    <d v="2026-07-07T00:00:00"/>
    <x v="0"/>
    <n v="1988"/>
    <x v="0"/>
    <n v="5.6"/>
    <s v="L"/>
    <m/>
    <s v="1988_1"/>
    <s v="Stebbins_Gulch"/>
    <x v="3"/>
    <s v="Acer"/>
    <s v="saccharum"/>
    <s v="Sapindaceae"/>
    <x v="5"/>
  </r>
  <r>
    <x v="7"/>
    <d v="2026-07-07T00:00:00"/>
    <x v="7"/>
    <n v="1989"/>
    <x v="0"/>
    <n v="19"/>
    <s v="L"/>
    <s v="tagged twice (as 2074 too)"/>
    <s v="1989_1"/>
    <s v="Stebbins_Gulch"/>
    <x v="3"/>
    <s v="Fagus"/>
    <s v="grandifolia"/>
    <s v="Fagaceae"/>
    <x v="3"/>
  </r>
  <r>
    <x v="7"/>
    <d v="2026-07-07T00:00:00"/>
    <x v="7"/>
    <n v="1990"/>
    <x v="0"/>
    <n v="6.1"/>
    <s v="L"/>
    <m/>
    <s v="1990_1"/>
    <s v="Stebbins_Gulch"/>
    <x v="3"/>
    <s v="Fagus"/>
    <s v="grandifolia"/>
    <s v="Fagaceae"/>
    <x v="5"/>
  </r>
  <r>
    <x v="7"/>
    <d v="2026-07-07T00:00:00"/>
    <x v="7"/>
    <n v="1991"/>
    <x v="0"/>
    <n v="5.7"/>
    <s v="B, L"/>
    <s v="curved"/>
    <s v="1991_1"/>
    <s v="Stebbins_Gulch"/>
    <x v="3"/>
    <s v="Fagus"/>
    <s v="grandifolia"/>
    <s v="Fagaceae"/>
    <x v="5"/>
  </r>
  <r>
    <x v="7"/>
    <d v="2026-07-08T00:00:00"/>
    <x v="7"/>
    <n v="1992"/>
    <x v="0"/>
    <n v="3.7"/>
    <s v="L"/>
    <s v="started from point of origin on root, root sprout of dead beech"/>
    <s v="1992_1"/>
    <s v="Stebbins_Gulch"/>
    <x v="3"/>
    <s v="Fagus"/>
    <s v="grandifolia"/>
    <s v="Fagaceae"/>
    <x v="2"/>
  </r>
  <r>
    <x v="7"/>
    <d v="2026-07-08T00:00:00"/>
    <x v="7"/>
    <n v="1993"/>
    <x v="0"/>
    <n v="7.9"/>
    <s v="L, A"/>
    <s v="curved, irregular bark texture"/>
    <s v="1993_1"/>
    <s v="Stebbins_Gulch"/>
    <x v="3"/>
    <s v="Fagus"/>
    <s v="grandifolia"/>
    <s v="Fagaceae"/>
    <x v="5"/>
  </r>
  <r>
    <x v="7"/>
    <d v="2026-07-08T00:00:00"/>
    <x v="22"/>
    <n v="1994"/>
    <x v="0"/>
    <n v="24.6"/>
    <s v="N/A"/>
    <m/>
    <s v="1994_1"/>
    <s v="Stebbins_Gulch"/>
    <x v="3"/>
    <s v="Tsuga"/>
    <s v="canadensis"/>
    <s v="Pinaceae"/>
    <x v="0"/>
  </r>
  <r>
    <x v="7"/>
    <d v="2026-07-08T00:00:00"/>
    <x v="0"/>
    <n v="1995"/>
    <x v="0"/>
    <n v="3.5"/>
    <s v="N/A"/>
    <m/>
    <s v="1995_1"/>
    <s v="Stebbins_Gulch"/>
    <x v="3"/>
    <s v="Acer"/>
    <s v="saccharum"/>
    <s v="Sapindaceae"/>
    <x v="2"/>
  </r>
  <r>
    <x v="7"/>
    <d v="2026-07-08T00:00:00"/>
    <x v="7"/>
    <n v="1996"/>
    <x v="0"/>
    <n v="6.9"/>
    <s v="BB"/>
    <m/>
    <s v="1996_1"/>
    <s v="Stebbins_Gulch"/>
    <x v="3"/>
    <s v="Fagus"/>
    <s v="grandifolia"/>
    <s v="Fagaceae"/>
    <x v="5"/>
  </r>
  <r>
    <x v="7"/>
    <d v="2026-07-08T00:00:00"/>
    <x v="22"/>
    <n v="1997"/>
    <x v="0"/>
    <n v="5.5"/>
    <s v="L, B"/>
    <s v="curved"/>
    <s v="1997_1"/>
    <s v="Stebbins_Gulch"/>
    <x v="3"/>
    <s v="Tsuga"/>
    <s v="canadensis"/>
    <s v="Pinaceae"/>
    <x v="5"/>
  </r>
  <r>
    <x v="7"/>
    <d v="2026-07-08T00:00:00"/>
    <x v="22"/>
    <n v="1998"/>
    <x v="0"/>
    <n v="31.8"/>
    <s v="L"/>
    <m/>
    <s v="1998_1"/>
    <s v="Stebbins_Gulch"/>
    <x v="3"/>
    <s v="Tsuga"/>
    <s v="canadensis"/>
    <s v="Pinaceae"/>
    <x v="0"/>
  </r>
  <r>
    <x v="7"/>
    <d v="2026-07-08T00:00:00"/>
    <x v="7"/>
    <n v="1999"/>
    <x v="0"/>
    <n v="6.9"/>
    <s v="A"/>
    <s v="POM at 1.28m, knot"/>
    <s v="1999_1"/>
    <s v="Stebbins_Gulch"/>
    <x v="3"/>
    <s v="Fagus"/>
    <s v="grandifolia"/>
    <s v="Fagaceae"/>
    <x v="5"/>
  </r>
  <r>
    <x v="7"/>
    <d v="2026-07-08T00:00:00"/>
    <x v="7"/>
    <n v="2000"/>
    <x v="0"/>
    <n v="4.5"/>
    <s v="L"/>
    <m/>
    <s v="2000_1"/>
    <s v="Stebbins_Gulch"/>
    <x v="3"/>
    <s v="Fagus"/>
    <s v="grandifolia"/>
    <s v="Fagaceae"/>
    <x v="2"/>
  </r>
  <r>
    <x v="7"/>
    <d v="2026-07-08T00:00:00"/>
    <x v="22"/>
    <n v="2001"/>
    <x v="0"/>
    <n v="50.9"/>
    <s v="L"/>
    <m/>
    <s v="2001_1"/>
    <s v="Stebbins_Gulch"/>
    <x v="3"/>
    <s v="Tsuga"/>
    <s v="canadensis"/>
    <s v="Pinaceae"/>
    <x v="4"/>
  </r>
  <r>
    <x v="7"/>
    <d v="2026-07-08T00:00:00"/>
    <x v="7"/>
    <n v="2002"/>
    <x v="0"/>
    <n v="4.5"/>
    <s v="L"/>
    <m/>
    <s v="2002_1"/>
    <s v="Stebbins_Gulch"/>
    <x v="3"/>
    <s v="Fagus"/>
    <s v="grandifolia"/>
    <s v="Fagaceae"/>
    <x v="2"/>
  </r>
  <r>
    <x v="7"/>
    <d v="2026-07-08T00:00:00"/>
    <x v="7"/>
    <n v="2003"/>
    <x v="0"/>
    <n v="3.2"/>
    <s v="W"/>
    <s v="slight wave"/>
    <s v="2003_1"/>
    <s v="Stebbins_Gulch"/>
    <x v="3"/>
    <s v="Fagus"/>
    <s v="grandifolia"/>
    <s v="Fagaceae"/>
    <x v="2"/>
  </r>
  <r>
    <x v="7"/>
    <d v="2026-07-08T00:00:00"/>
    <x v="9"/>
    <n v="2004"/>
    <x v="0"/>
    <n v="90"/>
    <s v="L"/>
    <m/>
    <s v="2004_1"/>
    <s v="Stebbins_Gulch"/>
    <x v="3"/>
    <s v="Quercus"/>
    <s v="montana"/>
    <s v="Fagaceae"/>
    <x v="4"/>
  </r>
  <r>
    <x v="7"/>
    <d v="2026-07-08T00:00:00"/>
    <x v="22"/>
    <n v="2005"/>
    <x v="0"/>
    <n v="32.5"/>
    <s v="B"/>
    <s v="many broken branches and broken top"/>
    <s v="2005_1"/>
    <s v="Stebbins_Gulch"/>
    <x v="3"/>
    <s v="Tsuga"/>
    <s v="canadensis"/>
    <s v="Pinaceae"/>
    <x v="0"/>
  </r>
  <r>
    <x v="7"/>
    <d v="2026-07-08T00:00:00"/>
    <x v="22"/>
    <n v="2006"/>
    <x v="0"/>
    <n v="62.2"/>
    <s v="L"/>
    <m/>
    <s v="2006_1"/>
    <s v="Stebbins_Gulch"/>
    <x v="3"/>
    <s v="Tsuga"/>
    <s v="canadensis"/>
    <s v="Pinaceae"/>
    <x v="4"/>
  </r>
  <r>
    <x v="7"/>
    <d v="2026-07-08T00:00:00"/>
    <x v="7"/>
    <n v="2007"/>
    <x v="0"/>
    <n v="4.0999999999999996"/>
    <s v="A"/>
    <s v="POM at 1.28m"/>
    <s v="2007_1"/>
    <s v="Stebbins_Gulch"/>
    <x v="3"/>
    <s v="Fagus"/>
    <s v="grandifolia"/>
    <s v="Fagaceae"/>
    <x v="2"/>
  </r>
  <r>
    <x v="7"/>
    <d v="2026-07-08T00:00:00"/>
    <x v="7"/>
    <n v="2008"/>
    <x v="0"/>
    <n v="5"/>
    <s v="M, A"/>
    <s v="POM at 1.24m"/>
    <s v="2008_1"/>
    <s v="Stebbins_Gulch"/>
    <x v="3"/>
    <s v="Fagus"/>
    <s v="grandifolia"/>
    <s v="Fagaceae"/>
    <x v="2"/>
  </r>
  <r>
    <x v="7"/>
    <d v="2026-07-08T00:00:00"/>
    <x v="7"/>
    <n v="2008"/>
    <x v="1"/>
    <n v="3"/>
    <s v="M,W"/>
    <s v="soft tape used"/>
    <s v="2008_2"/>
    <s v="Stebbins_Gulch"/>
    <x v="3"/>
    <s v="Fagus"/>
    <s v="grandifolia"/>
    <s v="Fagaceae"/>
    <x v="2"/>
  </r>
  <r>
    <x v="7"/>
    <d v="2026-07-08T00:00:00"/>
    <x v="7"/>
    <n v="2009"/>
    <x v="0"/>
    <n v="3.4"/>
    <s v="M, L"/>
    <m/>
    <s v="2009_1"/>
    <s v="Stebbins_Gulch"/>
    <x v="3"/>
    <s v="Fagus"/>
    <s v="grandifolia"/>
    <s v="Fagaceae"/>
    <x v="2"/>
  </r>
  <r>
    <x v="7"/>
    <d v="2026-07-08T00:00:00"/>
    <x v="7"/>
    <n v="2009"/>
    <x v="1"/>
    <n v="1.9"/>
    <s v="M, L, BB"/>
    <s v="soft tape used"/>
    <s v="2009_2"/>
    <s v="Stebbins_Gulch"/>
    <x v="3"/>
    <s v="Fagus"/>
    <s v="grandifolia"/>
    <s v="Fagaceae"/>
    <x v="2"/>
  </r>
  <r>
    <x v="7"/>
    <d v="2026-07-08T00:00:00"/>
    <x v="0"/>
    <n v="2010"/>
    <x v="0"/>
    <n v="5.3"/>
    <s v="W"/>
    <m/>
    <s v="2010_1"/>
    <s v="Stebbins_Gulch"/>
    <x v="3"/>
    <s v="Acer"/>
    <s v="saccharum"/>
    <s v="Sapindaceae"/>
    <x v="5"/>
  </r>
  <r>
    <x v="7"/>
    <d v="2026-07-08T00:00:00"/>
    <x v="2"/>
    <n v="2011"/>
    <x v="0"/>
    <n v="59.2"/>
    <s v="L, I"/>
    <s v="slight lean"/>
    <s v="2011_1"/>
    <s v="Stebbins_Gulch"/>
    <x v="3"/>
    <s v="Acer"/>
    <s v="rubrum"/>
    <s v="Sapindaceae"/>
    <x v="4"/>
  </r>
  <r>
    <x v="7"/>
    <d v="2026-07-08T00:00:00"/>
    <x v="5"/>
    <n v="2012"/>
    <x v="0"/>
    <n v="22"/>
    <s v="L"/>
    <m/>
    <s v="2012_1"/>
    <s v="Stebbins_Gulch"/>
    <x v="3"/>
    <s v="Magnolia"/>
    <s v="acuminata"/>
    <s v="Magnoliaceae"/>
    <x v="0"/>
  </r>
  <r>
    <x v="7"/>
    <d v="2026-07-08T00:00:00"/>
    <x v="22"/>
    <n v="2013"/>
    <x v="0"/>
    <n v="6.3"/>
    <s v="L, A"/>
    <s v="POM at 1.23, knots, dead branches"/>
    <s v="2013_1"/>
    <s v="Stebbins_Gulch"/>
    <x v="3"/>
    <s v="Tsuga"/>
    <s v="canadensis"/>
    <s v="Pinaceae"/>
    <x v="5"/>
  </r>
  <r>
    <x v="7"/>
    <d v="2026-07-08T00:00:00"/>
    <x v="22"/>
    <n v="2014"/>
    <x v="0"/>
    <n v="17.600000000000001"/>
    <s v="L"/>
    <m/>
    <s v="2014_1"/>
    <s v="Stebbins_Gulch"/>
    <x v="3"/>
    <s v="Tsuga"/>
    <s v="canadensis"/>
    <s v="Pinaceae"/>
    <x v="3"/>
  </r>
  <r>
    <x v="7"/>
    <d v="2026-07-08T00:00:00"/>
    <x v="2"/>
    <n v="2015"/>
    <x v="0"/>
    <n v="42.9"/>
    <s v="N/A"/>
    <m/>
    <s v="2015_1"/>
    <s v="Stebbins_Gulch"/>
    <x v="3"/>
    <s v="Acer"/>
    <s v="rubrum"/>
    <s v="Sapindaceae"/>
    <x v="1"/>
  </r>
  <r>
    <x v="7"/>
    <d v="2026-07-08T00:00:00"/>
    <x v="22"/>
    <n v="2016"/>
    <x v="0"/>
    <n v="6.9"/>
    <s v="L"/>
    <m/>
    <s v="2016_1"/>
    <s v="Stebbins_Gulch"/>
    <x v="3"/>
    <s v="Tsuga"/>
    <s v="canadensis"/>
    <s v="Pinaceae"/>
    <x v="5"/>
  </r>
  <r>
    <x v="7"/>
    <d v="2026-07-08T00:00:00"/>
    <x v="22"/>
    <n v="2017"/>
    <x v="0"/>
    <n v="8.1999999999999993"/>
    <s v="L"/>
    <s v="multiple dead branches above POM"/>
    <s v="2017_1"/>
    <s v="Stebbins_Gulch"/>
    <x v="3"/>
    <s v="Tsuga"/>
    <s v="canadensis"/>
    <s v="Pinaceae"/>
    <x v="5"/>
  </r>
  <r>
    <x v="7"/>
    <d v="2026-07-08T00:00:00"/>
    <x v="22"/>
    <n v="2018"/>
    <x v="0"/>
    <n v="5.0999999999999996"/>
    <s v="L"/>
    <m/>
    <s v="2018_1"/>
    <s v="Stebbins_Gulch"/>
    <x v="3"/>
    <s v="Tsuga"/>
    <s v="canadensis"/>
    <s v="Pinaceae"/>
    <x v="5"/>
  </r>
  <r>
    <x v="7"/>
    <d v="2026-07-08T00:00:00"/>
    <x v="22"/>
    <n v="2019"/>
    <x v="0"/>
    <n v="12.9"/>
    <s v="L, A"/>
    <m/>
    <s v="2019_1"/>
    <s v="Stebbins_Gulch"/>
    <x v="3"/>
    <s v="Tsuga"/>
    <s v="canadensis"/>
    <s v="Pinaceae"/>
    <x v="3"/>
  </r>
  <r>
    <x v="7"/>
    <d v="2026-07-08T00:00:00"/>
    <x v="22"/>
    <n v="2020"/>
    <x v="0"/>
    <n v="9.5"/>
    <s v="L"/>
    <m/>
    <s v="2020_1"/>
    <s v="Stebbins_Gulch"/>
    <x v="3"/>
    <s v="Tsuga"/>
    <s v="canadensis"/>
    <s v="Pinaceae"/>
    <x v="5"/>
  </r>
  <r>
    <x v="7"/>
    <d v="2026-07-08T00:00:00"/>
    <x v="22"/>
    <n v="2021"/>
    <x v="0"/>
    <n v="16.899999999999999"/>
    <s v="L"/>
    <m/>
    <s v="2021_1"/>
    <s v="Stebbins_Gulch"/>
    <x v="3"/>
    <s v="Tsuga"/>
    <s v="canadensis"/>
    <s v="Pinaceae"/>
    <x v="3"/>
  </r>
  <r>
    <x v="7"/>
    <d v="2026-07-08T00:00:00"/>
    <x v="22"/>
    <n v="2022"/>
    <x v="0"/>
    <n v="14.8"/>
    <s v="L"/>
    <m/>
    <s v="2022_1"/>
    <s v="Stebbins_Gulch"/>
    <x v="3"/>
    <s v="Tsuga"/>
    <s v="canadensis"/>
    <s v="Pinaceae"/>
    <x v="3"/>
  </r>
  <r>
    <x v="7"/>
    <d v="2026-07-08T00:00:00"/>
    <x v="22"/>
    <n v="2023"/>
    <x v="0"/>
    <n v="6.5"/>
    <s v="L"/>
    <s v="multiple dead branches above POM"/>
    <s v="2023_1"/>
    <s v="Stebbins_Gulch"/>
    <x v="3"/>
    <s v="Tsuga"/>
    <s v="canadensis"/>
    <s v="Pinaceae"/>
    <x v="5"/>
  </r>
  <r>
    <x v="7"/>
    <d v="2026-07-08T00:00:00"/>
    <x v="2"/>
    <n v="2024"/>
    <x v="0"/>
    <n v="19.5"/>
    <s v="N/A"/>
    <m/>
    <s v="2024_1"/>
    <s v="Stebbins_Gulch"/>
    <x v="3"/>
    <s v="Acer"/>
    <s v="rubrum"/>
    <s v="Sapindaceae"/>
    <x v="3"/>
  </r>
  <r>
    <x v="7"/>
    <d v="2026-07-08T00:00:00"/>
    <x v="22"/>
    <n v="2025"/>
    <x v="0"/>
    <n v="6.1"/>
    <s v="L"/>
    <s v="multiple dead branches above POM"/>
    <s v="2025_1"/>
    <s v="Stebbins_Gulch"/>
    <x v="3"/>
    <s v="Tsuga"/>
    <s v="canadensis"/>
    <s v="Pinaceae"/>
    <x v="5"/>
  </r>
  <r>
    <x v="7"/>
    <d v="2026-07-08T00:00:00"/>
    <x v="22"/>
    <n v="2026"/>
    <x v="0"/>
    <n v="10.9"/>
    <s v="L"/>
    <m/>
    <s v="2026_1"/>
    <s v="Stebbins_Gulch"/>
    <x v="3"/>
    <s v="Tsuga"/>
    <s v="canadensis"/>
    <s v="Pinaceae"/>
    <x v="3"/>
  </r>
  <r>
    <x v="7"/>
    <d v="2026-07-08T00:00:00"/>
    <x v="10"/>
    <n v="2027"/>
    <x v="0"/>
    <n v="66.8"/>
    <s v="I, L"/>
    <s v="slight lean, bark slightly irregular"/>
    <s v="2027_1"/>
    <s v="Stebbins_Gulch"/>
    <x v="3"/>
    <s v="Quercus"/>
    <s v="rubra"/>
    <s v="Fagaceae"/>
    <x v="4"/>
  </r>
  <r>
    <x v="7"/>
    <d v="2026-07-08T00:00:00"/>
    <x v="22"/>
    <n v="2028"/>
    <x v="0"/>
    <n v="8.4"/>
    <s v="L"/>
    <m/>
    <s v="2028_1"/>
    <s v="Stebbins_Gulch"/>
    <x v="3"/>
    <s v="Tsuga"/>
    <s v="canadensis"/>
    <s v="Pinaceae"/>
    <x v="5"/>
  </r>
  <r>
    <x v="7"/>
    <d v="2026-07-08T00:00:00"/>
    <x v="9"/>
    <n v="2029"/>
    <x v="0"/>
    <n v="81.099999999999994"/>
    <s v="L"/>
    <s v="soft tape, large burl at base"/>
    <s v="2029_1"/>
    <s v="Stebbins_Gulch"/>
    <x v="3"/>
    <s v="Quercus"/>
    <s v="montana"/>
    <s v="Fagaceae"/>
    <x v="4"/>
  </r>
  <r>
    <x v="7"/>
    <d v="2026-07-08T00:00:00"/>
    <x v="7"/>
    <n v="2030"/>
    <x v="0"/>
    <n v="4.5999999999999996"/>
    <s v="L"/>
    <m/>
    <s v="2030_1"/>
    <s v="Stebbins_Gulch"/>
    <x v="3"/>
    <s v="Fagus"/>
    <s v="grandifolia"/>
    <s v="Fagaceae"/>
    <x v="2"/>
  </r>
  <r>
    <x v="7"/>
    <d v="2026-07-08T00:00:00"/>
    <x v="22"/>
    <n v="2031"/>
    <x v="0"/>
    <n v="8.5"/>
    <s v="L"/>
    <s v="multiple dead branches above POM"/>
    <s v="2031_1"/>
    <s v="Stebbins_Gulch"/>
    <x v="3"/>
    <s v="Tsuga"/>
    <s v="canadensis"/>
    <s v="Pinaceae"/>
    <x v="5"/>
  </r>
  <r>
    <x v="7"/>
    <d v="2026-07-08T00:00:00"/>
    <x v="22"/>
    <n v="2032"/>
    <x v="0"/>
    <n v="7.9"/>
    <s v="L"/>
    <m/>
    <s v="2032_1"/>
    <s v="Stebbins_Gulch"/>
    <x v="3"/>
    <s v="Tsuga"/>
    <s v="canadensis"/>
    <s v="Pinaceae"/>
    <x v="5"/>
  </r>
  <r>
    <x v="7"/>
    <d v="2026-07-08T00:00:00"/>
    <x v="22"/>
    <n v="2033"/>
    <x v="0"/>
    <n v="7.1"/>
    <s v="L"/>
    <m/>
    <s v="2033_1"/>
    <s v="Stebbins_Gulch"/>
    <x v="3"/>
    <s v="Tsuga"/>
    <s v="canadensis"/>
    <s v="Pinaceae"/>
    <x v="5"/>
  </r>
  <r>
    <x v="7"/>
    <d v="2026-07-08T00:00:00"/>
    <x v="22"/>
    <n v="2034"/>
    <x v="0"/>
    <n v="4.0999999999999996"/>
    <s v="L"/>
    <m/>
    <s v="2034_1"/>
    <s v="Stebbins_Gulch"/>
    <x v="3"/>
    <s v="Tsuga"/>
    <s v="canadensis"/>
    <s v="Pinaceae"/>
    <x v="2"/>
  </r>
  <r>
    <x v="7"/>
    <d v="2026-07-08T00:00:00"/>
    <x v="22"/>
    <n v="2035"/>
    <x v="0"/>
    <n v="9.3000000000000007"/>
    <s v="L"/>
    <s v="curved, multiple dead branches above POM"/>
    <s v="2035_1"/>
    <s v="Stebbins_Gulch"/>
    <x v="3"/>
    <s v="Tsuga"/>
    <s v="canadensis"/>
    <s v="Pinaceae"/>
    <x v="5"/>
  </r>
  <r>
    <x v="7"/>
    <d v="2026-07-08T00:00:00"/>
    <x v="22"/>
    <n v="2036"/>
    <x v="0"/>
    <n v="12.5"/>
    <s v="L"/>
    <m/>
    <s v="2036_1"/>
    <s v="Stebbins_Gulch"/>
    <x v="3"/>
    <s v="Tsuga"/>
    <s v="canadensis"/>
    <s v="Pinaceae"/>
    <x v="3"/>
  </r>
  <r>
    <x v="7"/>
    <d v="2026-07-08T00:00:00"/>
    <x v="22"/>
    <n v="2037"/>
    <x v="0"/>
    <n v="5.7"/>
    <s v="L, A"/>
    <s v="slight curve, POM at 1.28, dead branch"/>
    <s v="2037_1"/>
    <s v="Stebbins_Gulch"/>
    <x v="3"/>
    <s v="Tsuga"/>
    <s v="canadensis"/>
    <s v="Pinaceae"/>
    <x v="5"/>
  </r>
  <r>
    <x v="7"/>
    <d v="2026-07-08T00:00:00"/>
    <x v="22"/>
    <n v="2038"/>
    <x v="0"/>
    <n v="8"/>
    <s v="A,W"/>
    <s v="POM at 1.28m"/>
    <s v="2038_1"/>
    <s v="Stebbins_Gulch"/>
    <x v="3"/>
    <s v="Tsuga"/>
    <s v="canadensis"/>
    <s v="Pinaceae"/>
    <x v="5"/>
  </r>
  <r>
    <x v="7"/>
    <d v="2026-07-08T00:00:00"/>
    <x v="9"/>
    <n v="2039"/>
    <x v="0"/>
    <n v="79.2"/>
    <s v="N/A"/>
    <m/>
    <s v="2039_1"/>
    <s v="Stebbins_Gulch"/>
    <x v="3"/>
    <s v="Quercus"/>
    <s v="montana"/>
    <s v="Fagaceae"/>
    <x v="4"/>
  </r>
  <r>
    <x v="7"/>
    <d v="2026-07-08T00:00:00"/>
    <x v="7"/>
    <n v="2040"/>
    <x v="0"/>
    <n v="3.6"/>
    <s v="L"/>
    <m/>
    <s v="2040_1"/>
    <s v="Stebbins_Gulch"/>
    <x v="3"/>
    <s v="Fagus"/>
    <s v="grandifolia"/>
    <s v="Fagaceae"/>
    <x v="2"/>
  </r>
  <r>
    <x v="7"/>
    <d v="2026-07-08T00:00:00"/>
    <x v="9"/>
    <n v="2041"/>
    <x v="0"/>
    <n v="92.3"/>
    <s v="L"/>
    <s v="huge burl"/>
    <s v="2041_1"/>
    <s v="Stebbins_Gulch"/>
    <x v="3"/>
    <s v="Quercus"/>
    <s v="montana"/>
    <s v="Fagaceae"/>
    <x v="4"/>
  </r>
  <r>
    <x v="7"/>
    <d v="2026-07-08T00:00:00"/>
    <x v="7"/>
    <n v="2042"/>
    <x v="0"/>
    <n v="4.9000000000000004"/>
    <s v="L,A"/>
    <s v="POM at 1.25m"/>
    <s v="2042_1"/>
    <s v="Stebbins_Gulch"/>
    <x v="3"/>
    <s v="Fagus"/>
    <s v="grandifolia"/>
    <s v="Fagaceae"/>
    <x v="2"/>
  </r>
  <r>
    <x v="7"/>
    <d v="2026-07-08T00:00:00"/>
    <x v="22"/>
    <n v="2043"/>
    <x v="0"/>
    <n v="17.2"/>
    <s v="W"/>
    <m/>
    <s v="2043_1"/>
    <s v="Stebbins_Gulch"/>
    <x v="3"/>
    <s v="Tsuga"/>
    <s v="canadensis"/>
    <s v="Pinaceae"/>
    <x v="3"/>
  </r>
  <r>
    <x v="7"/>
    <d v="2026-07-08T00:00:00"/>
    <x v="22"/>
    <n v="2044"/>
    <x v="0"/>
    <n v="6.1"/>
    <s v="L,A"/>
    <s v="POM at 1.27m"/>
    <s v="2044_1"/>
    <s v="Stebbins_Gulch"/>
    <x v="3"/>
    <s v="Tsuga"/>
    <s v="canadensis"/>
    <s v="Pinaceae"/>
    <x v="5"/>
  </r>
  <r>
    <x v="7"/>
    <d v="2026-07-08T00:00:00"/>
    <x v="22"/>
    <n v="2045"/>
    <x v="0"/>
    <n v="7.7"/>
    <s v="W"/>
    <m/>
    <s v="2045_1"/>
    <s v="Stebbins_Gulch"/>
    <x v="3"/>
    <s v="Tsuga"/>
    <s v="canadensis"/>
    <s v="Pinaceae"/>
    <x v="5"/>
  </r>
  <r>
    <x v="7"/>
    <d v="2026-07-08T00:00:00"/>
    <x v="7"/>
    <n v="2046"/>
    <x v="0"/>
    <n v="7.3"/>
    <s v="N/A"/>
    <m/>
    <s v="2046_1"/>
    <s v="Stebbins_Gulch"/>
    <x v="3"/>
    <s v="Fagus"/>
    <s v="grandifolia"/>
    <s v="Fagaceae"/>
    <x v="5"/>
  </r>
  <r>
    <x v="7"/>
    <d v="2026-07-08T00:00:00"/>
    <x v="22"/>
    <n v="2047"/>
    <x v="0"/>
    <n v="7.8"/>
    <s v="L, A"/>
    <m/>
    <s v="2047_1"/>
    <s v="Stebbins_Gulch"/>
    <x v="3"/>
    <s v="Tsuga"/>
    <s v="canadensis"/>
    <s v="Pinaceae"/>
    <x v="5"/>
  </r>
  <r>
    <x v="7"/>
    <d v="2026-07-08T00:00:00"/>
    <x v="22"/>
    <n v="2048"/>
    <x v="0"/>
    <n v="11"/>
    <s v="W"/>
    <s v="soft tape used"/>
    <s v="2048_1"/>
    <s v="Stebbins_Gulch"/>
    <x v="3"/>
    <s v="Tsuga"/>
    <s v="canadensis"/>
    <s v="Pinaceae"/>
    <x v="3"/>
  </r>
  <r>
    <x v="7"/>
    <d v="2026-07-08T00:00:00"/>
    <x v="22"/>
    <n v="2049"/>
    <x v="0"/>
    <n v="9.6999999999999993"/>
    <s v="L"/>
    <s v="slight lean"/>
    <s v="2049_1"/>
    <s v="Stebbins_Gulch"/>
    <x v="3"/>
    <s v="Tsuga"/>
    <s v="canadensis"/>
    <s v="Pinaceae"/>
    <x v="5"/>
  </r>
  <r>
    <x v="7"/>
    <d v="2026-07-08T00:00:00"/>
    <x v="22"/>
    <n v="2050"/>
    <x v="0"/>
    <n v="3.6"/>
    <s v="L"/>
    <m/>
    <s v="2050_1"/>
    <s v="Stebbins_Gulch"/>
    <x v="3"/>
    <s v="Tsuga"/>
    <s v="canadensis"/>
    <s v="Pinaceae"/>
    <x v="2"/>
  </r>
  <r>
    <x v="7"/>
    <d v="2026-07-08T00:00:00"/>
    <x v="22"/>
    <n v="2051"/>
    <x v="0"/>
    <n v="17.2"/>
    <s v="N/A"/>
    <m/>
    <s v="2051_1"/>
    <s v="Stebbins_Gulch"/>
    <x v="3"/>
    <s v="Tsuga"/>
    <s v="canadensis"/>
    <s v="Pinaceae"/>
    <x v="3"/>
  </r>
  <r>
    <x v="7"/>
    <d v="2026-07-08T00:00:00"/>
    <x v="2"/>
    <n v="2052"/>
    <x v="0"/>
    <n v="36.700000000000003"/>
    <s v="N/A"/>
    <m/>
    <s v="2052_1"/>
    <s v="Stebbins_Gulch"/>
    <x v="3"/>
    <s v="Acer"/>
    <s v="rubrum"/>
    <s v="Sapindaceae"/>
    <x v="0"/>
  </r>
  <r>
    <x v="7"/>
    <d v="2026-07-08T00:00:00"/>
    <x v="22"/>
    <n v="2053"/>
    <x v="0"/>
    <n v="30"/>
    <s v="L"/>
    <m/>
    <s v="2053_1"/>
    <s v="Stebbins_Gulch"/>
    <x v="3"/>
    <s v="Tsuga"/>
    <s v="canadensis"/>
    <s v="Pinaceae"/>
    <x v="0"/>
  </r>
  <r>
    <x v="7"/>
    <d v="2026-07-08T00:00:00"/>
    <x v="2"/>
    <n v="2054"/>
    <x v="0"/>
    <n v="56.6"/>
    <s v="N/A"/>
    <m/>
    <s v="2054_1"/>
    <s v="Stebbins_Gulch"/>
    <x v="3"/>
    <s v="Acer"/>
    <s v="rubrum"/>
    <s v="Sapindaceae"/>
    <x v="4"/>
  </r>
  <r>
    <x v="7"/>
    <d v="2026-07-08T00:00:00"/>
    <x v="22"/>
    <n v="2055"/>
    <x v="0"/>
    <n v="15.8"/>
    <s v="L"/>
    <m/>
    <s v="2055_1"/>
    <s v="Stebbins_Gulch"/>
    <x v="3"/>
    <s v="Tsuga"/>
    <s v="canadensis"/>
    <s v="Pinaceae"/>
    <x v="3"/>
  </r>
  <r>
    <x v="7"/>
    <d v="2026-07-08T00:00:00"/>
    <x v="2"/>
    <n v="2056"/>
    <x v="0"/>
    <n v="35.9"/>
    <s v="I"/>
    <s v="trunk a little irregular"/>
    <s v="2056_1"/>
    <s v="Stebbins_Gulch"/>
    <x v="3"/>
    <s v="Acer"/>
    <s v="rubrum"/>
    <s v="Sapindaceae"/>
    <x v="0"/>
  </r>
  <r>
    <x v="7"/>
    <d v="2026-07-08T00:00:00"/>
    <x v="22"/>
    <n v="2057"/>
    <x v="0"/>
    <n v="18"/>
    <s v="L"/>
    <s v="growing out of 2054"/>
    <s v="2057_1"/>
    <s v="Stebbins_Gulch"/>
    <x v="3"/>
    <s v="Tsuga"/>
    <s v="canadensis"/>
    <s v="Pinaceae"/>
    <x v="3"/>
  </r>
  <r>
    <x v="7"/>
    <d v="2026-07-08T00:00:00"/>
    <x v="7"/>
    <n v="2058"/>
    <x v="0"/>
    <n v="4.5999999999999996"/>
    <s v="L"/>
    <s v="curved down from fallen tree"/>
    <s v="2058_1"/>
    <s v="Stebbins_Gulch"/>
    <x v="3"/>
    <s v="Fagus"/>
    <s v="grandifolia"/>
    <s v="Fagaceae"/>
    <x v="2"/>
  </r>
  <r>
    <x v="7"/>
    <d v="2026-07-08T00:00:00"/>
    <x v="7"/>
    <n v="2059"/>
    <x v="0"/>
    <n v="2.4"/>
    <s v="W"/>
    <s v="soft tape"/>
    <s v="2059_1"/>
    <s v="Stebbins_Gulch"/>
    <x v="3"/>
    <s v="Fagus"/>
    <s v="grandifolia"/>
    <s v="Fagaceae"/>
    <x v="2"/>
  </r>
  <r>
    <x v="7"/>
    <d v="2026-07-08T00:00:00"/>
    <x v="7"/>
    <n v="2060"/>
    <x v="0"/>
    <n v="1.5"/>
    <s v="L,B"/>
    <s v="top is dead completely"/>
    <s v="2060_1"/>
    <s v="Stebbins_Gulch"/>
    <x v="3"/>
    <s v="Fagus"/>
    <s v="grandifolia"/>
    <s v="Fagaceae"/>
    <x v="2"/>
  </r>
  <r>
    <x v="7"/>
    <d v="2026-07-08T00:00:00"/>
    <x v="7"/>
    <n v="2061"/>
    <x v="0"/>
    <n v="3.1"/>
    <s v="W"/>
    <s v="soft tape used"/>
    <s v="2061_1"/>
    <s v="Stebbins_Gulch"/>
    <x v="3"/>
    <s v="Fagus"/>
    <s v="grandifolia"/>
    <s v="Fagaceae"/>
    <x v="2"/>
  </r>
  <r>
    <x v="7"/>
    <d v="2026-07-08T00:00:00"/>
    <x v="7"/>
    <n v="2062"/>
    <x v="0"/>
    <n v="5.5"/>
    <s v="L"/>
    <m/>
    <s v="2062_1"/>
    <s v="Stebbins_Gulch"/>
    <x v="3"/>
    <s v="Fagus"/>
    <s v="grandifolia"/>
    <s v="Fagaceae"/>
    <x v="5"/>
  </r>
  <r>
    <x v="7"/>
    <d v="2026-07-08T00:00:00"/>
    <x v="7"/>
    <n v="2063"/>
    <x v="0"/>
    <n v="17"/>
    <s v="A, L"/>
    <s v="POM at 1.24m, knot"/>
    <s v="2063_1"/>
    <s v="Stebbins_Gulch"/>
    <x v="3"/>
    <s v="Fagus"/>
    <s v="grandifolia"/>
    <s v="Fagaceae"/>
    <x v="3"/>
  </r>
  <r>
    <x v="7"/>
    <d v="2026-07-08T00:00:00"/>
    <x v="7"/>
    <n v="2064"/>
    <x v="0"/>
    <n v="3.2"/>
    <s v="L"/>
    <m/>
    <s v="2064_1"/>
    <s v="Stebbins_Gulch"/>
    <x v="3"/>
    <s v="Fagus"/>
    <s v="grandifolia"/>
    <s v="Fagaceae"/>
    <x v="2"/>
  </r>
  <r>
    <x v="7"/>
    <d v="2026-07-08T00:00:00"/>
    <x v="7"/>
    <n v="2065"/>
    <x v="0"/>
    <n v="71.8"/>
    <s v="M"/>
    <m/>
    <s v="2065_1"/>
    <s v="Stebbins_Gulch"/>
    <x v="3"/>
    <s v="Fagus"/>
    <s v="grandifolia"/>
    <s v="Fagaceae"/>
    <x v="4"/>
  </r>
  <r>
    <x v="7"/>
    <d v="2026-07-08T00:00:00"/>
    <x v="7"/>
    <n v="2065"/>
    <x v="1"/>
    <n v="6.8"/>
    <s v="M, A"/>
    <s v="POM at 1.26, knot"/>
    <s v="2065_2"/>
    <s v="Stebbins_Gulch"/>
    <x v="3"/>
    <s v="Fagus"/>
    <s v="grandifolia"/>
    <s v="Fagaceae"/>
    <x v="5"/>
  </r>
  <r>
    <x v="7"/>
    <d v="2026-07-08T00:00:00"/>
    <x v="7"/>
    <n v="2065"/>
    <x v="2"/>
    <n v="5.4"/>
    <s v="M, L"/>
    <s v="curved"/>
    <s v="2065_3"/>
    <s v="Stebbins_Gulch"/>
    <x v="3"/>
    <s v="Fagus"/>
    <s v="grandifolia"/>
    <s v="Fagaceae"/>
    <x v="5"/>
  </r>
  <r>
    <x v="7"/>
    <d v="2026-07-08T00:00:00"/>
    <x v="7"/>
    <n v="2065"/>
    <x v="3"/>
    <n v="3.5"/>
    <s v="M, L, A"/>
    <s v="POM at 1.26, knot, soft tape"/>
    <s v="2065_4"/>
    <s v="Stebbins_Gulch"/>
    <x v="3"/>
    <s v="Fagus"/>
    <s v="grandifolia"/>
    <s v="Fagaceae"/>
    <x v="2"/>
  </r>
  <r>
    <x v="7"/>
    <d v="2026-07-08T00:00:00"/>
    <x v="7"/>
    <n v="2065"/>
    <x v="4"/>
    <n v="2.7"/>
    <s v="M, W, A"/>
    <s v="POM at 1.26, knot"/>
    <s v="2065_5"/>
    <s v="Stebbins_Gulch"/>
    <x v="3"/>
    <s v="Fagus"/>
    <s v="grandifolia"/>
    <s v="Fagaceae"/>
    <x v="2"/>
  </r>
  <r>
    <x v="7"/>
    <d v="2026-07-08T00:00:00"/>
    <x v="7"/>
    <n v="2065"/>
    <x v="5"/>
    <n v="6.8"/>
    <s v="M, L, A"/>
    <s v="slight lean"/>
    <s v="2065_6"/>
    <s v="Stebbins_Gulch"/>
    <x v="3"/>
    <s v="Fagus"/>
    <s v="grandifolia"/>
    <s v="Fagaceae"/>
    <x v="5"/>
  </r>
  <r>
    <x v="7"/>
    <d v="2026-07-08T00:00:00"/>
    <x v="7"/>
    <n v="2066"/>
    <x v="0"/>
    <n v="3.7"/>
    <s v="N/A"/>
    <s v="not healthy"/>
    <s v="2066_1"/>
    <s v="Stebbins_Gulch"/>
    <x v="3"/>
    <s v="Fagus"/>
    <s v="grandifolia"/>
    <s v="Fagaceae"/>
    <x v="2"/>
  </r>
  <r>
    <x v="7"/>
    <d v="2026-07-08T00:00:00"/>
    <x v="2"/>
    <n v="2067"/>
    <x v="0"/>
    <n v="12.6"/>
    <s v="N/A"/>
    <m/>
    <s v="2067_1"/>
    <s v="Stebbins_Gulch"/>
    <x v="3"/>
    <s v="Acer"/>
    <s v="rubrum"/>
    <s v="Sapindaceae"/>
    <x v="3"/>
  </r>
  <r>
    <x v="7"/>
    <d v="2026-07-08T00:00:00"/>
    <x v="7"/>
    <n v="2068"/>
    <x v="0"/>
    <n v="8.6999999999999993"/>
    <s v="W"/>
    <m/>
    <s v="2068_1"/>
    <s v="Stebbins_Gulch"/>
    <x v="3"/>
    <s v="Fagus"/>
    <s v="grandifolia"/>
    <s v="Fagaceae"/>
    <x v="5"/>
  </r>
  <r>
    <x v="7"/>
    <d v="2026-07-08T00:00:00"/>
    <x v="7"/>
    <n v="2069"/>
    <x v="0"/>
    <n v="7.7"/>
    <s v="N/A"/>
    <m/>
    <s v="2069_1"/>
    <s v="Stebbins_Gulch"/>
    <x v="3"/>
    <s v="Fagus"/>
    <s v="grandifolia"/>
    <s v="Fagaceae"/>
    <x v="5"/>
  </r>
  <r>
    <x v="7"/>
    <d v="2026-07-08T00:00:00"/>
    <x v="22"/>
    <n v="2070"/>
    <x v="0"/>
    <n v="29.8"/>
    <s v="L"/>
    <m/>
    <s v="2070_1"/>
    <s v="Stebbins_Gulch"/>
    <x v="3"/>
    <s v="Tsuga"/>
    <s v="canadensis"/>
    <s v="Pinaceae"/>
    <x v="0"/>
  </r>
  <r>
    <x v="7"/>
    <d v="2026-07-08T00:00:00"/>
    <x v="22"/>
    <n v="2071"/>
    <x v="0"/>
    <n v="7.2"/>
    <s v="W"/>
    <m/>
    <s v="2071_1"/>
    <s v="Stebbins_Gulch"/>
    <x v="3"/>
    <s v="Tsuga"/>
    <s v="canadensis"/>
    <s v="Pinaceae"/>
    <x v="5"/>
  </r>
  <r>
    <x v="7"/>
    <d v="2026-07-08T00:00:00"/>
    <x v="0"/>
    <n v="2072"/>
    <x v="0"/>
    <n v="4.2"/>
    <s v="W"/>
    <s v="curved down from fallen tree"/>
    <s v="2072_1"/>
    <s v="Stebbins_Gulch"/>
    <x v="3"/>
    <s v="Acer"/>
    <s v="saccharum"/>
    <s v="Sapindaceae"/>
    <x v="2"/>
  </r>
  <r>
    <x v="7"/>
    <d v="2026-07-08T00:00:00"/>
    <x v="7"/>
    <n v="2073"/>
    <x v="0"/>
    <n v="4"/>
    <s v="L"/>
    <m/>
    <s v="2073_1"/>
    <s v="Stebbins_Gulch"/>
    <x v="3"/>
    <s v="Fagus"/>
    <s v="grandifolia"/>
    <s v="Fagaceae"/>
    <x v="2"/>
  </r>
  <r>
    <x v="7"/>
    <d v="2026-07-08T00:00:00"/>
    <x v="22"/>
    <n v="2074"/>
    <x v="0"/>
    <n v="12.3"/>
    <s v="L"/>
    <s v="tag reused"/>
    <s v="2074_1"/>
    <s v="Stebbins_Gulch"/>
    <x v="3"/>
    <s v="Tsuga"/>
    <s v="canadensis"/>
    <s v="Pinaceae"/>
    <x v="3"/>
  </r>
  <r>
    <x v="7"/>
    <d v="2026-07-08T00:00:00"/>
    <x v="7"/>
    <n v="2075"/>
    <x v="0"/>
    <n v="7"/>
    <s v="L"/>
    <m/>
    <s v="2075_1"/>
    <s v="Stebbins_Gulch"/>
    <x v="3"/>
    <s v="Fagus"/>
    <s v="grandifolia"/>
    <s v="Fagaceae"/>
    <x v="5"/>
  </r>
  <r>
    <x v="7"/>
    <d v="2026-07-08T00:00:00"/>
    <x v="7"/>
    <n v="2076"/>
    <x v="0"/>
    <n v="11.4"/>
    <s v="W"/>
    <s v="completely bent over"/>
    <s v="2076_1"/>
    <s v="Stebbins_Gulch"/>
    <x v="3"/>
    <s v="Fagus"/>
    <s v="grandifolia"/>
    <s v="Fagaceae"/>
    <x v="3"/>
  </r>
  <r>
    <x v="7"/>
    <d v="2026-07-08T00:00:00"/>
    <x v="22"/>
    <n v="2077"/>
    <x v="0"/>
    <n v="18.5"/>
    <s v="B,L"/>
    <m/>
    <s v="2077_1"/>
    <s v="Stebbins_Gulch"/>
    <x v="3"/>
    <s v="Tsuga"/>
    <s v="canadensis"/>
    <s v="Pinaceae"/>
    <x v="3"/>
  </r>
  <r>
    <x v="7"/>
    <d v="2026-07-08T00:00:00"/>
    <x v="22"/>
    <n v="2078"/>
    <x v="0"/>
    <n v="18"/>
    <s v="B,L"/>
    <m/>
    <s v="2078_1"/>
    <s v="Stebbins_Gulch"/>
    <x v="3"/>
    <s v="Tsuga"/>
    <s v="canadensis"/>
    <s v="Pinaceae"/>
    <x v="3"/>
  </r>
  <r>
    <x v="8"/>
    <d v="2026-07-08T00:00:00"/>
    <x v="22"/>
    <n v="2079"/>
    <x v="0"/>
    <n v="7.9"/>
    <s v="L"/>
    <s v="curved"/>
    <s v="2079_1"/>
    <s v="Stebbins_Gulch"/>
    <x v="3"/>
    <s v="Tsuga"/>
    <s v="canadensis"/>
    <s v="Pinaceae"/>
    <x v="5"/>
  </r>
  <r>
    <x v="8"/>
    <d v="2026-07-08T00:00:00"/>
    <x v="22"/>
    <n v="2080"/>
    <x v="0"/>
    <n v="28"/>
    <s v="N/A"/>
    <m/>
    <s v="2080_1"/>
    <s v="Stebbins_Gulch"/>
    <x v="3"/>
    <s v="Tsuga"/>
    <s v="canadensis"/>
    <s v="Pinaceae"/>
    <x v="0"/>
  </r>
  <r>
    <x v="8"/>
    <d v="2026-07-08T00:00:00"/>
    <x v="22"/>
    <n v="2081"/>
    <x v="0"/>
    <n v="13.9"/>
    <s v="W"/>
    <s v="soft tape used"/>
    <s v="2081_1"/>
    <s v="Stebbins_Gulch"/>
    <x v="3"/>
    <s v="Tsuga"/>
    <s v="canadensis"/>
    <s v="Pinaceae"/>
    <x v="3"/>
  </r>
  <r>
    <x v="8"/>
    <d v="2026-07-08T00:00:00"/>
    <x v="22"/>
    <n v="2082"/>
    <x v="0"/>
    <n v="9.5"/>
    <s v="L"/>
    <s v="lots of dead branches"/>
    <s v="2082_1"/>
    <s v="Stebbins_Gulch"/>
    <x v="3"/>
    <s v="Tsuga"/>
    <s v="canadensis"/>
    <s v="Pinaceae"/>
    <x v="5"/>
  </r>
  <r>
    <x v="8"/>
    <d v="2026-07-08T00:00:00"/>
    <x v="22"/>
    <n v="2083"/>
    <x v="0"/>
    <n v="19.2"/>
    <s v="L"/>
    <m/>
    <s v="2083_1"/>
    <s v="Stebbins_Gulch"/>
    <x v="3"/>
    <s v="Tsuga"/>
    <s v="canadensis"/>
    <s v="Pinaceae"/>
    <x v="3"/>
  </r>
  <r>
    <x v="8"/>
    <d v="2026-07-08T00:00:00"/>
    <x v="22"/>
    <n v="2084"/>
    <x v="0"/>
    <n v="22.6"/>
    <s v="L"/>
    <s v="slight lean"/>
    <s v="2084_1"/>
    <s v="Stebbins_Gulch"/>
    <x v="3"/>
    <s v="Tsuga"/>
    <s v="canadensis"/>
    <s v="Pinaceae"/>
    <x v="0"/>
  </r>
  <r>
    <x v="8"/>
    <d v="2026-07-08T00:00:00"/>
    <x v="22"/>
    <n v="2085"/>
    <x v="0"/>
    <n v="15.7"/>
    <s v="L"/>
    <m/>
    <s v="2085_1"/>
    <s v="Stebbins_Gulch"/>
    <x v="3"/>
    <s v="Tsuga"/>
    <s v="canadensis"/>
    <s v="Pinaceae"/>
    <x v="3"/>
  </r>
  <r>
    <x v="8"/>
    <d v="2026-07-08T00:00:00"/>
    <x v="22"/>
    <n v="2086"/>
    <x v="0"/>
    <n v="26.2"/>
    <s v="L"/>
    <m/>
    <s v="2086_1"/>
    <s v="Stebbins_Gulch"/>
    <x v="3"/>
    <s v="Tsuga"/>
    <s v="canadensis"/>
    <s v="Pinaceae"/>
    <x v="0"/>
  </r>
  <r>
    <x v="8"/>
    <d v="2026-07-08T00:00:00"/>
    <x v="22"/>
    <n v="2087"/>
    <x v="0"/>
    <n v="20.6"/>
    <s v="L"/>
    <m/>
    <s v="2087_1"/>
    <s v="Stebbins_Gulch"/>
    <x v="3"/>
    <s v="Tsuga"/>
    <s v="canadensis"/>
    <s v="Pinaceae"/>
    <x v="0"/>
  </r>
  <r>
    <x v="8"/>
    <d v="2026-07-08T00:00:00"/>
    <x v="7"/>
    <n v="2088"/>
    <x v="0"/>
    <n v="4.4000000000000004"/>
    <s v="N/A"/>
    <m/>
    <s v="2088_1"/>
    <s v="Stebbins_Gulch"/>
    <x v="3"/>
    <s v="Fagus"/>
    <s v="grandifolia"/>
    <s v="Fagaceae"/>
    <x v="2"/>
  </r>
  <r>
    <x v="8"/>
    <d v="2026-07-08T00:00:00"/>
    <x v="22"/>
    <n v="2089"/>
    <x v="0"/>
    <n v="19.600000000000001"/>
    <s v="N/A"/>
    <m/>
    <s v="2089_1"/>
    <s v="Stebbins_Gulch"/>
    <x v="3"/>
    <s v="Tsuga"/>
    <s v="canadensis"/>
    <s v="Pinaceae"/>
    <x v="3"/>
  </r>
  <r>
    <x v="8"/>
    <d v="2026-07-08T00:00:00"/>
    <x v="22"/>
    <n v="2090"/>
    <x v="0"/>
    <n v="5.8"/>
    <s v="L"/>
    <m/>
    <s v="2090_1"/>
    <s v="Stebbins_Gulch"/>
    <x v="3"/>
    <s v="Tsuga"/>
    <s v="canadensis"/>
    <s v="Pinaceae"/>
    <x v="5"/>
  </r>
  <r>
    <x v="8"/>
    <d v="2026-07-08T00:00:00"/>
    <x v="7"/>
    <n v="2091"/>
    <x v="0"/>
    <n v="1.4"/>
    <s v="A,L"/>
    <s v="slight lean, POM at 1.28m, dead branch"/>
    <s v="2091_1"/>
    <s v="Stebbins_Gulch"/>
    <x v="3"/>
    <s v="Fagus"/>
    <s v="grandifolia"/>
    <s v="Fagaceae"/>
    <x v="2"/>
  </r>
  <r>
    <x v="8"/>
    <d v="2026-07-08T00:00:00"/>
    <x v="7"/>
    <n v="2092"/>
    <x v="0"/>
    <n v="5.2"/>
    <s v="N/A"/>
    <m/>
    <s v="2092_1"/>
    <s v="Stebbins_Gulch"/>
    <x v="3"/>
    <s v="Fagus"/>
    <s v="grandifolia"/>
    <s v="Fagaceae"/>
    <x v="5"/>
  </r>
  <r>
    <x v="8"/>
    <d v="2026-07-08T00:00:00"/>
    <x v="7"/>
    <n v="2093"/>
    <x v="0"/>
    <n v="2"/>
    <s v="N/A"/>
    <m/>
    <s v="2093_1"/>
    <s v="Stebbins_Gulch"/>
    <x v="3"/>
    <s v="Fagus"/>
    <s v="grandifolia"/>
    <s v="Fagaceae"/>
    <x v="2"/>
  </r>
  <r>
    <x v="8"/>
    <d v="2026-07-08T00:00:00"/>
    <x v="7"/>
    <n v="2094"/>
    <x v="0"/>
    <n v="3.2"/>
    <s v="N/A"/>
    <m/>
    <s v="2094_1"/>
    <s v="Stebbins_Gulch"/>
    <x v="3"/>
    <s v="Fagus"/>
    <s v="grandifolia"/>
    <s v="Fagaceae"/>
    <x v="2"/>
  </r>
  <r>
    <x v="8"/>
    <d v="2026-07-08T00:00:00"/>
    <x v="2"/>
    <n v="2095"/>
    <x v="0"/>
    <n v="24.6"/>
    <s v="N/A"/>
    <m/>
    <s v="2095_1"/>
    <s v="Stebbins_Gulch"/>
    <x v="3"/>
    <s v="Acer"/>
    <s v="rubrum"/>
    <s v="Sapindaceae"/>
    <x v="0"/>
  </r>
  <r>
    <x v="8"/>
    <d v="2026-07-08T00:00:00"/>
    <x v="14"/>
    <n v="2096"/>
    <x v="0"/>
    <n v="19.2"/>
    <s v="N/A"/>
    <m/>
    <s v="2096_1"/>
    <s v="Stebbins_Gulch"/>
    <x v="3"/>
    <s v="Tilia"/>
    <s v="americana"/>
    <s v="Malvaceae"/>
    <x v="3"/>
  </r>
  <r>
    <x v="8"/>
    <d v="2026-07-08T00:00:00"/>
    <x v="21"/>
    <n v="2097"/>
    <x v="0"/>
    <n v="1.4"/>
    <s v="W"/>
    <s v="soft tape used"/>
    <s v="2097_1"/>
    <s v="Stebbins_Gulch"/>
    <x v="3"/>
    <s v="Fraxinus"/>
    <s v="pennsylvanica"/>
    <s v="Oleaceae"/>
    <x v="2"/>
  </r>
  <r>
    <x v="8"/>
    <d v="2026-07-08T00:00:00"/>
    <x v="8"/>
    <n v="2098"/>
    <x v="0"/>
    <n v="8.1"/>
    <s v="M, W"/>
    <m/>
    <s v="2098_1"/>
    <s v="Stebbins_Gulch"/>
    <x v="3"/>
    <s v="Ostrya"/>
    <s v="viginiana"/>
    <s v="Betulaceae"/>
    <x v="5"/>
  </r>
  <r>
    <x v="8"/>
    <d v="2026-07-09T00:00:00"/>
    <x v="8"/>
    <n v="2098"/>
    <x v="1"/>
    <n v="2.4"/>
    <s v="M"/>
    <m/>
    <s v="2098_2"/>
    <s v="Stebbins_Gulch"/>
    <x v="3"/>
    <s v="Ostrya"/>
    <s v="viginiana"/>
    <s v="Betulaceae"/>
    <x v="2"/>
  </r>
  <r>
    <x v="8"/>
    <d v="2026-07-08T00:00:00"/>
    <x v="22"/>
    <n v="2099"/>
    <x v="0"/>
    <n v="38.700000000000003"/>
    <s v="N/A"/>
    <m/>
    <s v="2099_1"/>
    <s v="Stebbins_Gulch"/>
    <x v="3"/>
    <s v="Tsuga"/>
    <s v="canadensis"/>
    <s v="Pinaceae"/>
    <x v="0"/>
  </r>
  <r>
    <x v="8"/>
    <d v="2026-07-08T00:00:00"/>
    <x v="3"/>
    <n v="2100"/>
    <x v="0"/>
    <n v="68.8"/>
    <s v="N/A"/>
    <s v="ground is sloped"/>
    <s v="2100_1"/>
    <s v="Stebbins_Gulch"/>
    <x v="3"/>
    <s v="Lirodendron"/>
    <s v="tulipfera"/>
    <s v="Magnoliaceae"/>
    <x v="4"/>
  </r>
  <r>
    <x v="8"/>
    <d v="2026-07-08T00:00:00"/>
    <x v="0"/>
    <n v="2101"/>
    <x v="0"/>
    <n v="15.1"/>
    <s v="N/A"/>
    <m/>
    <s v="2101_1"/>
    <s v="Stebbins_Gulch"/>
    <x v="3"/>
    <s v="Acer"/>
    <s v="saccharum"/>
    <s v="Sapindaceae"/>
    <x v="3"/>
  </r>
  <r>
    <x v="8"/>
    <d v="2026-07-08T00:00:00"/>
    <x v="19"/>
    <n v="2102"/>
    <x v="0"/>
    <n v="6"/>
    <s v="W"/>
    <m/>
    <s v="2102_1"/>
    <s v="Stebbins_Gulch"/>
    <x v="3"/>
    <s v="Carpinus"/>
    <s v="caroliniana"/>
    <s v="Betulaceae"/>
    <x v="5"/>
  </r>
  <r>
    <x v="8"/>
    <d v="2026-07-08T00:00:00"/>
    <x v="7"/>
    <n v="2103"/>
    <x v="0"/>
    <n v="4.9000000000000004"/>
    <s v="N/A"/>
    <m/>
    <s v="2103_1"/>
    <s v="Stebbins_Gulch"/>
    <x v="3"/>
    <s v="Fagus"/>
    <s v="grandifolia"/>
    <s v="Fagaceae"/>
    <x v="2"/>
  </r>
  <r>
    <x v="8"/>
    <d v="2026-07-08T00:00:00"/>
    <x v="22"/>
    <n v="2104"/>
    <x v="0"/>
    <n v="12.2"/>
    <s v="L"/>
    <m/>
    <s v="2104_1"/>
    <s v="Stebbins_Gulch"/>
    <x v="3"/>
    <s v="Tsuga"/>
    <s v="canadensis"/>
    <s v="Pinaceae"/>
    <x v="3"/>
  </r>
  <r>
    <x v="8"/>
    <d v="2026-07-08T00:00:00"/>
    <x v="7"/>
    <n v="2105"/>
    <x v="0"/>
    <n v="2.2999999999999998"/>
    <s v="N/A"/>
    <m/>
    <s v="2105_1"/>
    <s v="Stebbins_Gulch"/>
    <x v="3"/>
    <s v="Fagus"/>
    <s v="grandifolia"/>
    <s v="Fagaceae"/>
    <x v="2"/>
  </r>
  <r>
    <x v="8"/>
    <d v="2026-07-08T00:00:00"/>
    <x v="5"/>
    <n v="2106"/>
    <x v="0"/>
    <n v="1"/>
    <s v="L, W, BB"/>
    <s v="soft tape used"/>
    <s v="2106_1"/>
    <s v="Stebbins_Gulch"/>
    <x v="3"/>
    <s v="Magnolia"/>
    <s v="acuminata"/>
    <s v="Magnoliaceae"/>
    <x v="2"/>
  </r>
  <r>
    <x v="8"/>
    <d v="2026-07-08T00:00:00"/>
    <x v="22"/>
    <n v="2107"/>
    <x v="0"/>
    <n v="41"/>
    <s v="N/A"/>
    <m/>
    <s v="2107_1"/>
    <s v="Stebbins_Gulch"/>
    <x v="3"/>
    <s v="Tsuga"/>
    <s v="canadensis"/>
    <s v="Pinaceae"/>
    <x v="1"/>
  </r>
  <r>
    <x v="8"/>
    <d v="2026-07-08T00:00:00"/>
    <x v="16"/>
    <n v="2108"/>
    <x v="0"/>
    <n v="32"/>
    <s v="N/A"/>
    <m/>
    <s v="2108_1"/>
    <s v="Stebbins_Gulch"/>
    <x v="3"/>
    <s v="Carya"/>
    <s v="cordiformis"/>
    <s v="Juglandaceae"/>
    <x v="0"/>
  </r>
  <r>
    <x v="8"/>
    <d v="2026-07-08T00:00:00"/>
    <x v="7"/>
    <n v="2109"/>
    <x v="0"/>
    <n v="3.9"/>
    <s v="L"/>
    <s v="BB"/>
    <s v="2109_1"/>
    <s v="Stebbins_Gulch"/>
    <x v="3"/>
    <s v="Fagus"/>
    <s v="grandifolia"/>
    <s v="Fagaceae"/>
    <x v="2"/>
  </r>
  <r>
    <x v="8"/>
    <d v="2026-07-08T00:00:00"/>
    <x v="7"/>
    <n v="2110"/>
    <x v="0"/>
    <n v="4.9000000000000004"/>
    <s v="W"/>
    <s v="slightly wavy"/>
    <s v="2110_1"/>
    <s v="Stebbins_Gulch"/>
    <x v="3"/>
    <s v="Fagus"/>
    <s v="grandifolia"/>
    <s v="Fagaceae"/>
    <x v="2"/>
  </r>
  <r>
    <x v="8"/>
    <d v="2026-07-08T00:00:00"/>
    <x v="7"/>
    <n v="2111"/>
    <x v="0"/>
    <n v="4.3"/>
    <s v="L,A"/>
    <s v="POM at 1.28m, knot"/>
    <s v="2111_1"/>
    <s v="Stebbins_Gulch"/>
    <x v="3"/>
    <s v="Fagus"/>
    <s v="grandifolia"/>
    <s v="Fagaceae"/>
    <x v="2"/>
  </r>
  <r>
    <x v="8"/>
    <d v="2026-07-08T00:00:00"/>
    <x v="7"/>
    <n v="2112"/>
    <x v="0"/>
    <n v="1.1000000000000001"/>
    <s v="W, BB"/>
    <m/>
    <s v="2112_1"/>
    <s v="Stebbins_Gulch"/>
    <x v="3"/>
    <s v="Fagus"/>
    <s v="grandifolia"/>
    <s v="Fagaceae"/>
    <x v="2"/>
  </r>
  <r>
    <x v="8"/>
    <d v="2026-07-08T00:00:00"/>
    <x v="0"/>
    <n v="2113"/>
    <x v="0"/>
    <n v="10.7"/>
    <s v="A"/>
    <s v="POM at 1.28m, knot"/>
    <s v="2113_1"/>
    <s v="Stebbins_Gulch"/>
    <x v="3"/>
    <s v="Acer"/>
    <s v="saccharum"/>
    <s v="Sapindaceae"/>
    <x v="3"/>
  </r>
  <r>
    <x v="8"/>
    <d v="2026-07-08T00:00:00"/>
    <x v="7"/>
    <n v="2114"/>
    <x v="0"/>
    <n v="6.2"/>
    <s v="N/A"/>
    <m/>
    <s v="2114_1"/>
    <s v="Stebbins_Gulch"/>
    <x v="3"/>
    <s v="Fagus"/>
    <s v="grandifolia"/>
    <s v="Fagaceae"/>
    <x v="5"/>
  </r>
  <r>
    <x v="8"/>
    <d v="2026-07-08T00:00:00"/>
    <x v="7"/>
    <n v="2115"/>
    <x v="0"/>
    <n v="5.8"/>
    <s v="N/A"/>
    <m/>
    <s v="2115_1"/>
    <s v="Stebbins_Gulch"/>
    <x v="3"/>
    <s v="Fagus"/>
    <s v="grandifolia"/>
    <s v="Fagaceae"/>
    <x v="5"/>
  </r>
  <r>
    <x v="8"/>
    <d v="2026-07-08T00:00:00"/>
    <x v="7"/>
    <n v="2116"/>
    <x v="0"/>
    <n v="4.4000000000000004"/>
    <s v="A,L"/>
    <s v="POM at 1.28"/>
    <s v="2116_1"/>
    <s v="Stebbins_Gulch"/>
    <x v="3"/>
    <s v="Fagus"/>
    <s v="grandifolia"/>
    <s v="Fagaceae"/>
    <x v="2"/>
  </r>
  <r>
    <x v="8"/>
    <d v="2026-07-08T00:00:00"/>
    <x v="0"/>
    <n v="2117"/>
    <x v="0"/>
    <n v="2.9"/>
    <s v="A"/>
    <s v="POM at 1.28m, knot"/>
    <s v="2117_1"/>
    <s v="Stebbins_Gulch"/>
    <x v="3"/>
    <s v="Acer"/>
    <s v="saccharum"/>
    <s v="Sapindaceae"/>
    <x v="2"/>
  </r>
  <r>
    <x v="8"/>
    <d v="2026-07-08T00:00:00"/>
    <x v="22"/>
    <n v="2118"/>
    <x v="0"/>
    <n v="6.1"/>
    <s v="L, A"/>
    <s v="POM at 1.28m"/>
    <s v="2118_1"/>
    <s v="Stebbins_Gulch"/>
    <x v="3"/>
    <s v="Tsuga"/>
    <s v="canadensis"/>
    <s v="Pinaceae"/>
    <x v="5"/>
  </r>
  <r>
    <x v="8"/>
    <d v="2026-07-08T00:00:00"/>
    <x v="22"/>
    <n v="2119"/>
    <x v="0"/>
    <n v="10.1"/>
    <s v="L"/>
    <m/>
    <s v="2119_1"/>
    <s v="Stebbins_Gulch"/>
    <x v="3"/>
    <s v="Tsuga"/>
    <s v="canadensis"/>
    <s v="Pinaceae"/>
    <x v="3"/>
  </r>
  <r>
    <x v="8"/>
    <d v="2026-07-08T00:00:00"/>
    <x v="22"/>
    <n v="2120"/>
    <x v="0"/>
    <n v="21"/>
    <s v="N/A"/>
    <m/>
    <s v="2120_1"/>
    <s v="Stebbins_Gulch"/>
    <x v="3"/>
    <s v="Tsuga"/>
    <s v="canadensis"/>
    <s v="Pinaceae"/>
    <x v="0"/>
  </r>
  <r>
    <x v="8"/>
    <d v="2026-07-08T00:00:00"/>
    <x v="22"/>
    <n v="2121"/>
    <x v="0"/>
    <n v="3.3"/>
    <s v="L,A"/>
    <s v="POM at 1.28m, dead branch"/>
    <s v="2121_1"/>
    <s v="Stebbins_Gulch"/>
    <x v="3"/>
    <s v="Tsuga"/>
    <s v="canadensis"/>
    <s v="Pinaceae"/>
    <x v="2"/>
  </r>
  <r>
    <x v="8"/>
    <d v="2026-07-08T00:00:00"/>
    <x v="0"/>
    <n v="2122"/>
    <x v="0"/>
    <n v="63.3"/>
    <s v="I"/>
    <m/>
    <s v="2122_1"/>
    <s v="Stebbins_Gulch"/>
    <x v="3"/>
    <s v="Acer"/>
    <s v="saccharum"/>
    <s v="Sapindaceae"/>
    <x v="4"/>
  </r>
  <r>
    <x v="8"/>
    <d v="2026-07-08T00:00:00"/>
    <x v="22"/>
    <n v="2123"/>
    <x v="0"/>
    <n v="16.2"/>
    <s v="L,A"/>
    <s v="POM at 1.28m, knot"/>
    <s v="2123_1"/>
    <s v="Stebbins_Gulch"/>
    <x v="3"/>
    <s v="Tsuga"/>
    <s v="canadensis"/>
    <s v="Pinaceae"/>
    <x v="3"/>
  </r>
  <r>
    <x v="8"/>
    <d v="2026-07-08T00:00:00"/>
    <x v="22"/>
    <n v="2124"/>
    <x v="0"/>
    <n v="8.8000000000000007"/>
    <s v="L, A"/>
    <s v="POM at 1.26, knot"/>
    <s v="2124_1"/>
    <s v="Stebbins_Gulch"/>
    <x v="3"/>
    <s v="Tsuga"/>
    <s v="canadensis"/>
    <s v="Pinaceae"/>
    <x v="5"/>
  </r>
  <r>
    <x v="8"/>
    <d v="2026-07-08T00:00:00"/>
    <x v="22"/>
    <n v="2125"/>
    <x v="0"/>
    <n v="14.3"/>
    <s v="W"/>
    <s v="curved slightly"/>
    <s v="2125_1"/>
    <s v="Stebbins_Gulch"/>
    <x v="3"/>
    <s v="Tsuga"/>
    <s v="canadensis"/>
    <s v="Pinaceae"/>
    <x v="3"/>
  </r>
  <r>
    <x v="8"/>
    <d v="2026-07-08T00:00:00"/>
    <x v="0"/>
    <n v="2126"/>
    <x v="0"/>
    <n v="35.5"/>
    <s v="N/A"/>
    <m/>
    <s v="2126_1"/>
    <s v="Stebbins_Gulch"/>
    <x v="3"/>
    <s v="Acer"/>
    <s v="saccharum"/>
    <s v="Sapindaceae"/>
    <x v="0"/>
  </r>
  <r>
    <x v="8"/>
    <d v="2026-07-08T00:00:00"/>
    <x v="7"/>
    <n v="2127"/>
    <x v="0"/>
    <n v="1.2"/>
    <s v="W"/>
    <s v="soft tape used"/>
    <s v="2127_1"/>
    <s v="Stebbins_Gulch"/>
    <x v="3"/>
    <s v="Fagus"/>
    <s v="grandifolia"/>
    <s v="Fagaceae"/>
    <x v="2"/>
  </r>
  <r>
    <x v="8"/>
    <d v="2026-07-08T00:00:00"/>
    <x v="22"/>
    <n v="2128"/>
    <x v="0"/>
    <n v="22.8"/>
    <s v="L"/>
    <m/>
    <s v="2128_1"/>
    <s v="Stebbins_Gulch"/>
    <x v="3"/>
    <s v="Tsuga"/>
    <s v="canadensis"/>
    <s v="Pinaceae"/>
    <x v="0"/>
  </r>
  <r>
    <x v="8"/>
    <d v="2026-07-08T00:00:00"/>
    <x v="0"/>
    <n v="2129"/>
    <x v="0"/>
    <n v="44.1"/>
    <s v="N/A"/>
    <m/>
    <s v="2129_1"/>
    <s v="Stebbins_Gulch"/>
    <x v="3"/>
    <s v="Acer"/>
    <s v="saccharum"/>
    <s v="Sapindaceae"/>
    <x v="1"/>
  </r>
  <r>
    <x v="8"/>
    <d v="2026-07-08T00:00:00"/>
    <x v="0"/>
    <n v="2130"/>
    <x v="0"/>
    <n v="6.9"/>
    <s v="I"/>
    <m/>
    <s v="2130_1"/>
    <s v="Stebbins_Gulch"/>
    <x v="3"/>
    <s v="Acer"/>
    <s v="saccharum"/>
    <s v="Sapindaceae"/>
    <x v="5"/>
  </r>
  <r>
    <x v="8"/>
    <d v="2026-07-08T00:00:00"/>
    <x v="7"/>
    <n v="2131"/>
    <x v="0"/>
    <n v="4.4000000000000004"/>
    <s v="N/A"/>
    <m/>
    <s v="2131_1"/>
    <s v="Stebbins_Gulch"/>
    <x v="3"/>
    <s v="Fagus"/>
    <s v="grandifolia"/>
    <s v="Fagaceae"/>
    <x v="2"/>
  </r>
  <r>
    <x v="8"/>
    <d v="2026-07-08T00:00:00"/>
    <x v="7"/>
    <n v="2132"/>
    <x v="0"/>
    <n v="1.8"/>
    <s v="W, M"/>
    <m/>
    <s v="2132_1"/>
    <s v="Stebbins_Gulch"/>
    <x v="3"/>
    <s v="Fagus"/>
    <s v="grandifolia"/>
    <s v="Fagaceae"/>
    <x v="2"/>
  </r>
  <r>
    <x v="8"/>
    <d v="2026-07-08T00:00:00"/>
    <x v="7"/>
    <n v="2132"/>
    <x v="1"/>
    <n v="1.3"/>
    <s v="W, M"/>
    <m/>
    <s v="2132_2"/>
    <s v="Stebbins_Gulch"/>
    <x v="3"/>
    <s v="Fagus"/>
    <s v="grandifolia"/>
    <s v="Fagaceae"/>
    <x v="2"/>
  </r>
  <r>
    <x v="8"/>
    <d v="2026-07-08T00:00:00"/>
    <x v="7"/>
    <n v="2133"/>
    <x v="0"/>
    <n v="5.9"/>
    <s v="N/A"/>
    <m/>
    <s v="2133_1"/>
    <s v="Stebbins_Gulch"/>
    <x v="3"/>
    <s v="Fagus"/>
    <s v="grandifolia"/>
    <s v="Fagaceae"/>
    <x v="5"/>
  </r>
  <r>
    <x v="8"/>
    <d v="2026-07-08T00:00:00"/>
    <x v="7"/>
    <n v="2134"/>
    <x v="0"/>
    <n v="1.6"/>
    <s v="N/A"/>
    <m/>
    <s v="2134_1"/>
    <s v="Stebbins_Gulch"/>
    <x v="3"/>
    <s v="Fagus"/>
    <s v="grandifolia"/>
    <s v="Fagaceae"/>
    <x v="2"/>
  </r>
  <r>
    <x v="8"/>
    <d v="2026-07-08T00:00:00"/>
    <x v="7"/>
    <n v="2135"/>
    <x v="0"/>
    <n v="2"/>
    <s v="W,A"/>
    <s v="POM at 1.28m, knot, soft tape used"/>
    <s v="2135_1"/>
    <s v="Stebbins_Gulch"/>
    <x v="3"/>
    <s v="Fagus"/>
    <s v="grandifolia"/>
    <s v="Fagaceae"/>
    <x v="2"/>
  </r>
  <r>
    <x v="8"/>
    <d v="2026-07-08T00:00:00"/>
    <x v="0"/>
    <n v="2136"/>
    <x v="0"/>
    <n v="59.2"/>
    <s v="I, L"/>
    <m/>
    <s v="2136_1"/>
    <s v="Stebbins_Gulch"/>
    <x v="3"/>
    <s v="Acer"/>
    <s v="saccharum"/>
    <s v="Sapindaceae"/>
    <x v="4"/>
  </r>
  <r>
    <x v="8"/>
    <d v="2026-07-08T00:00:00"/>
    <x v="7"/>
    <n v="2137"/>
    <x v="0"/>
    <n v="2.5"/>
    <s v="N/A"/>
    <m/>
    <s v="2137_1"/>
    <s v="Stebbins_Gulch"/>
    <x v="3"/>
    <s v="Fagus"/>
    <s v="grandifolia"/>
    <s v="Fagaceae"/>
    <x v="2"/>
  </r>
  <r>
    <x v="8"/>
    <d v="2026-07-08T00:00:00"/>
    <x v="7"/>
    <n v="2138"/>
    <x v="0"/>
    <n v="1.3"/>
    <s v="BB"/>
    <m/>
    <s v="2138_1"/>
    <s v="Stebbins_Gulch"/>
    <x v="3"/>
    <s v="Fagus"/>
    <s v="grandifolia"/>
    <s v="Fagaceae"/>
    <x v="2"/>
  </r>
  <r>
    <x v="8"/>
    <d v="2026-07-08T00:00:00"/>
    <x v="7"/>
    <n v="2139"/>
    <x v="0"/>
    <n v="1.5"/>
    <s v="L,A"/>
    <s v="slight lean, POM at 1.28m, dead branch"/>
    <s v="2139_1"/>
    <s v="Stebbins_Gulch"/>
    <x v="3"/>
    <s v="Fagus"/>
    <s v="grandifolia"/>
    <s v="Fagaceae"/>
    <x v="2"/>
  </r>
  <r>
    <x v="8"/>
    <d v="2026-07-08T00:00:00"/>
    <x v="0"/>
    <n v="2140"/>
    <x v="0"/>
    <n v="9"/>
    <s v="L"/>
    <m/>
    <s v="2140_1"/>
    <s v="Stebbins_Gulch"/>
    <x v="3"/>
    <s v="Acer"/>
    <s v="saccharum"/>
    <s v="Sapindaceae"/>
    <x v="5"/>
  </r>
  <r>
    <x v="8"/>
    <d v="2026-07-08T00:00:00"/>
    <x v="1"/>
    <n v="2141"/>
    <x v="0"/>
    <n v="54.7"/>
    <s v="L"/>
    <s v="slight lean"/>
    <s v="2141_1"/>
    <s v="Stebbins_Gulch"/>
    <x v="3"/>
    <s v="Prunus"/>
    <s v="serotina"/>
    <s v="Rosaceae"/>
    <x v="4"/>
  </r>
  <r>
    <x v="8"/>
    <d v="2026-07-08T00:00:00"/>
    <x v="7"/>
    <n v="2142"/>
    <x v="0"/>
    <n v="2.7"/>
    <s v="A,L"/>
    <s v="POM at 1.28m"/>
    <s v="2142_1"/>
    <s v="Stebbins_Gulch"/>
    <x v="3"/>
    <s v="Fagus"/>
    <s v="grandifolia"/>
    <s v="Fagaceae"/>
    <x v="2"/>
  </r>
  <r>
    <x v="8"/>
    <d v="2026-07-08T00:00:00"/>
    <x v="0"/>
    <n v="2143"/>
    <x v="0"/>
    <n v="7.1"/>
    <s v="L,A"/>
    <s v="POM at 1.29m, knot"/>
    <s v="2143_1"/>
    <s v="Stebbins_Gulch"/>
    <x v="3"/>
    <s v="Acer"/>
    <s v="saccharum"/>
    <s v="Sapindaceae"/>
    <x v="5"/>
  </r>
  <r>
    <x v="8"/>
    <d v="2026-07-08T00:00:00"/>
    <x v="7"/>
    <n v="2144"/>
    <x v="0"/>
    <n v="5.0999999999999996"/>
    <s v="BB"/>
    <m/>
    <s v="2144_1"/>
    <s v="Stebbins_Gulch"/>
    <x v="3"/>
    <s v="Fagus"/>
    <s v="grandifolia"/>
    <s v="Fagaceae"/>
    <x v="5"/>
  </r>
  <r>
    <x v="8"/>
    <d v="2026-07-08T00:00:00"/>
    <x v="1"/>
    <n v="2145"/>
    <x v="0"/>
    <n v="66"/>
    <s v="N/A"/>
    <m/>
    <s v="2145_1"/>
    <s v="Stebbins_Gulch"/>
    <x v="3"/>
    <s v="Prunus"/>
    <s v="serotina"/>
    <s v="Rosaceae"/>
    <x v="4"/>
  </r>
  <r>
    <x v="8"/>
    <d v="2026-07-08T00:00:00"/>
    <x v="7"/>
    <n v="2146"/>
    <x v="0"/>
    <n v="4.0999999999999996"/>
    <s v="N/A"/>
    <m/>
    <s v="2146_1"/>
    <s v="Stebbins_Gulch"/>
    <x v="3"/>
    <s v="Fagus"/>
    <s v="grandifolia"/>
    <s v="Fagaceae"/>
    <x v="2"/>
  </r>
  <r>
    <x v="8"/>
    <d v="2026-07-08T00:00:00"/>
    <x v="2"/>
    <n v="2147"/>
    <x v="0"/>
    <n v="37.4"/>
    <s v="L"/>
    <s v="slight lean"/>
    <s v="2147_1"/>
    <s v="Stebbins_Gulch"/>
    <x v="3"/>
    <s v="Acer"/>
    <s v="rubrum"/>
    <s v="Sapindaceae"/>
    <x v="0"/>
  </r>
  <r>
    <x v="8"/>
    <d v="2026-07-08T00:00:00"/>
    <x v="22"/>
    <n v="2148"/>
    <x v="0"/>
    <n v="10.8"/>
    <s v="W, A"/>
    <s v="POM at 1.28m"/>
    <s v="2148_1"/>
    <s v="Stebbins_Gulch"/>
    <x v="3"/>
    <s v="Tsuga"/>
    <s v="canadensis"/>
    <s v="Pinaceae"/>
    <x v="3"/>
  </r>
  <r>
    <x v="8"/>
    <d v="2026-07-08T00:00:00"/>
    <x v="22"/>
    <n v="2149"/>
    <x v="0"/>
    <n v="6.5"/>
    <s v="L"/>
    <m/>
    <s v="2149_1"/>
    <s v="Stebbins_Gulch"/>
    <x v="3"/>
    <s v="Tsuga"/>
    <s v="canadensis"/>
    <s v="Pinaceae"/>
    <x v="5"/>
  </r>
  <r>
    <x v="8"/>
    <d v="2026-07-08T00:00:00"/>
    <x v="7"/>
    <n v="2150"/>
    <x v="0"/>
    <n v="6.8"/>
    <s v="BB"/>
    <m/>
    <s v="2150_1"/>
    <s v="Stebbins_Gulch"/>
    <x v="3"/>
    <s v="Fagus"/>
    <s v="grandifolia"/>
    <s v="Fagaceae"/>
    <x v="5"/>
  </r>
  <r>
    <x v="8"/>
    <d v="2026-07-08T00:00:00"/>
    <x v="2"/>
    <n v="2151"/>
    <x v="0"/>
    <n v="14.3"/>
    <s v="A"/>
    <s v="POM at 1.28m, knot"/>
    <s v="2151_1"/>
    <s v="Stebbins_Gulch"/>
    <x v="3"/>
    <s v="Acer"/>
    <s v="rubrum"/>
    <s v="Sapindaceae"/>
    <x v="3"/>
  </r>
  <r>
    <x v="8"/>
    <d v="2026-07-08T00:00:00"/>
    <x v="22"/>
    <n v="2152"/>
    <x v="0"/>
    <n v="13.7"/>
    <s v="A,L"/>
    <s v="lots of dead branches, POM at 1.28m"/>
    <s v="2152_1"/>
    <s v="Stebbins_Gulch"/>
    <x v="3"/>
    <s v="Tsuga"/>
    <s v="canadensis"/>
    <s v="Pinaceae"/>
    <x v="3"/>
  </r>
  <r>
    <x v="8"/>
    <d v="2026-07-08T00:00:00"/>
    <x v="22"/>
    <n v="2153"/>
    <x v="0"/>
    <n v="10.6"/>
    <s v="L"/>
    <s v="slight lean"/>
    <s v="2153_1"/>
    <s v="Stebbins_Gulch"/>
    <x v="3"/>
    <s v="Tsuga"/>
    <s v="canadensis"/>
    <s v="Pinaceae"/>
    <x v="3"/>
  </r>
  <r>
    <x v="8"/>
    <d v="2026-07-08T00:00:00"/>
    <x v="22"/>
    <n v="2154"/>
    <x v="0"/>
    <n v="13.2"/>
    <s v="M,L,A"/>
    <s v="POM at 1.28m"/>
    <s v="2154_1"/>
    <s v="Stebbins_Gulch"/>
    <x v="3"/>
    <s v="Tsuga"/>
    <s v="canadensis"/>
    <s v="Pinaceae"/>
    <x v="3"/>
  </r>
  <r>
    <x v="8"/>
    <d v="2026-07-08T00:00:00"/>
    <x v="22"/>
    <n v="2154"/>
    <x v="1"/>
    <n v="7.4"/>
    <s v="M,L,A"/>
    <s v="POM at 1.28m"/>
    <s v="2154_2"/>
    <s v="Stebbins_Gulch"/>
    <x v="3"/>
    <s v="Tsuga"/>
    <s v="canadensis"/>
    <s v="Pinaceae"/>
    <x v="5"/>
  </r>
  <r>
    <x v="8"/>
    <d v="2026-07-08T00:00:00"/>
    <x v="22"/>
    <n v="2155"/>
    <x v="0"/>
    <n v="7"/>
    <s v="L"/>
    <m/>
    <s v="2155_1"/>
    <s v="Stebbins_Gulch"/>
    <x v="3"/>
    <s v="Tsuga"/>
    <s v="canadensis"/>
    <s v="Pinaceae"/>
    <x v="5"/>
  </r>
  <r>
    <x v="8"/>
    <d v="2026-07-08T00:00:00"/>
    <x v="22"/>
    <n v="2156"/>
    <x v="0"/>
    <n v="23.6"/>
    <s v="L"/>
    <s v="slight lean"/>
    <s v="2156_1"/>
    <s v="Stebbins_Gulch"/>
    <x v="3"/>
    <s v="Tsuga"/>
    <s v="canadensis"/>
    <s v="Pinaceae"/>
    <x v="0"/>
  </r>
  <r>
    <x v="8"/>
    <d v="2026-07-08T00:00:00"/>
    <x v="7"/>
    <n v="2157"/>
    <x v="0"/>
    <n v="54.3"/>
    <s v="N/A"/>
    <s v="poor health"/>
    <s v="2157_1"/>
    <s v="Stebbins_Gulch"/>
    <x v="3"/>
    <s v="Fagus"/>
    <s v="grandifolia"/>
    <s v="Fagaceae"/>
    <x v="4"/>
  </r>
  <r>
    <x v="8"/>
    <d v="2026-07-08T00:00:00"/>
    <x v="0"/>
    <n v="2158"/>
    <x v="0"/>
    <n v="47.5"/>
    <s v="N/A"/>
    <m/>
    <s v="2158_1"/>
    <s v="Stebbins_Gulch"/>
    <x v="3"/>
    <s v="Acer"/>
    <s v="saccharum"/>
    <s v="Sapindaceae"/>
    <x v="1"/>
  </r>
  <r>
    <x v="8"/>
    <d v="2026-07-08T00:00:00"/>
    <x v="22"/>
    <n v="2159"/>
    <x v="0"/>
    <n v="14.4"/>
    <s v="L"/>
    <m/>
    <s v="2159_1"/>
    <s v="Stebbins_Gulch"/>
    <x v="3"/>
    <s v="Tsuga"/>
    <s v="canadensis"/>
    <s v="Pinaceae"/>
    <x v="3"/>
  </r>
  <r>
    <x v="8"/>
    <d v="2026-07-08T00:00:00"/>
    <x v="22"/>
    <n v="2160"/>
    <x v="0"/>
    <n v="13.6"/>
    <s v="L"/>
    <m/>
    <s v="2160_1"/>
    <s v="Stebbins_Gulch"/>
    <x v="3"/>
    <s v="Tsuga"/>
    <s v="canadensis"/>
    <s v="Pinaceae"/>
    <x v="3"/>
  </r>
  <r>
    <x v="8"/>
    <d v="2026-07-08T00:00:00"/>
    <x v="2"/>
    <n v="2161"/>
    <x v="0"/>
    <n v="58.8"/>
    <s v="L"/>
    <m/>
    <s v="2161_1"/>
    <s v="Stebbins_Gulch"/>
    <x v="3"/>
    <s v="Acer"/>
    <s v="rubrum"/>
    <s v="Sapindaceae"/>
    <x v="4"/>
  </r>
  <r>
    <x v="8"/>
    <d v="2026-07-08T00:00:00"/>
    <x v="7"/>
    <n v="2162"/>
    <x v="0"/>
    <n v="6.8"/>
    <s v="N/A"/>
    <m/>
    <s v="2162_1"/>
    <s v="Stebbins_Gulch"/>
    <x v="3"/>
    <s v="Fagus"/>
    <s v="grandifolia"/>
    <s v="Fagaceae"/>
    <x v="5"/>
  </r>
  <r>
    <x v="8"/>
    <d v="2026-07-08T00:00:00"/>
    <x v="22"/>
    <n v="2163"/>
    <x v="0"/>
    <n v="16.7"/>
    <s v="L"/>
    <m/>
    <s v="2163_1"/>
    <s v="Stebbins_Gulch"/>
    <x v="3"/>
    <s v="Tsuga"/>
    <s v="canadensis"/>
    <s v="Pinaceae"/>
    <x v="3"/>
  </r>
  <r>
    <x v="8"/>
    <d v="2026-07-08T00:00:00"/>
    <x v="22"/>
    <n v="2164"/>
    <x v="0"/>
    <n v="18.600000000000001"/>
    <s v="L"/>
    <m/>
    <s v="2164_1"/>
    <s v="Stebbins_Gulch"/>
    <x v="3"/>
    <s v="Tsuga"/>
    <s v="canadensis"/>
    <s v="Pinaceae"/>
    <x v="3"/>
  </r>
  <r>
    <x v="8"/>
    <d v="2026-07-08T00:00:00"/>
    <x v="22"/>
    <n v="2165"/>
    <x v="0"/>
    <n v="7.3"/>
    <s v="L"/>
    <s v="curved"/>
    <s v="2165_1"/>
    <s v="Stebbins_Gulch"/>
    <x v="3"/>
    <s v="Tsuga"/>
    <s v="canadensis"/>
    <s v="Pinaceae"/>
    <x v="5"/>
  </r>
  <r>
    <x v="8"/>
    <d v="2026-07-08T00:00:00"/>
    <x v="22"/>
    <n v="2166"/>
    <x v="0"/>
    <n v="11.4"/>
    <s v="A"/>
    <s v="POM at 1.28"/>
    <s v="2166_1"/>
    <s v="Stebbins_Gulch"/>
    <x v="3"/>
    <s v="Tsuga"/>
    <s v="canadensis"/>
    <s v="Pinaceae"/>
    <x v="3"/>
  </r>
  <r>
    <x v="8"/>
    <d v="2026-07-08T00:00:00"/>
    <x v="22"/>
    <n v="2167"/>
    <x v="0"/>
    <n v="8.3000000000000007"/>
    <s v="N/A"/>
    <m/>
    <s v="2167_1"/>
    <s v="Stebbins_Gulch"/>
    <x v="3"/>
    <s v="Tsuga"/>
    <s v="canadensis"/>
    <s v="Pinaceae"/>
    <x v="5"/>
  </r>
  <r>
    <x v="8"/>
    <d v="2026-07-08T00:00:00"/>
    <x v="7"/>
    <n v="2168"/>
    <x v="0"/>
    <n v="46.7"/>
    <s v="I,L,M"/>
    <s v="ground is sloped"/>
    <s v="2168_1"/>
    <s v="Stebbins_Gulch"/>
    <x v="3"/>
    <s v="Fagus"/>
    <s v="grandifolia"/>
    <s v="Fagaceae"/>
    <x v="1"/>
  </r>
  <r>
    <x v="8"/>
    <d v="2026-07-08T00:00:00"/>
    <x v="7"/>
    <n v="2168"/>
    <x v="1"/>
    <n v="27.6"/>
    <s v="I,M"/>
    <m/>
    <s v="2168_2"/>
    <s v="Stebbins_Gulch"/>
    <x v="3"/>
    <s v="Fagus"/>
    <s v="grandifolia"/>
    <s v="Fagaceae"/>
    <x v="0"/>
  </r>
  <r>
    <x v="8"/>
    <d v="2026-07-08T00:00:00"/>
    <x v="22"/>
    <n v="2169"/>
    <x v="0"/>
    <n v="6.5"/>
    <s v="A"/>
    <s v="POM at 1.28m, dead branch"/>
    <s v="2169_1"/>
    <s v="Stebbins_Gulch"/>
    <x v="3"/>
    <s v="Tsuga"/>
    <s v="canadensis"/>
    <s v="Pinaceae"/>
    <x v="5"/>
  </r>
  <r>
    <x v="8"/>
    <d v="2026-07-08T00:00:00"/>
    <x v="7"/>
    <n v="2170"/>
    <x v="0"/>
    <n v="4.5999999999999996"/>
    <s v="L"/>
    <m/>
    <s v="2170_1"/>
    <s v="Stebbins_Gulch"/>
    <x v="3"/>
    <s v="Fagus"/>
    <s v="grandifolia"/>
    <s v="Fagaceae"/>
    <x v="2"/>
  </r>
  <r>
    <x v="8"/>
    <d v="2026-07-08T00:00:00"/>
    <x v="22"/>
    <n v="2171"/>
    <x v="0"/>
    <n v="9.1"/>
    <s v="L"/>
    <s v="curved"/>
    <s v="2171_1"/>
    <s v="Stebbins_Gulch"/>
    <x v="3"/>
    <s v="Tsuga"/>
    <s v="canadensis"/>
    <s v="Pinaceae"/>
    <x v="5"/>
  </r>
  <r>
    <x v="8"/>
    <d v="2026-07-08T00:00:00"/>
    <x v="22"/>
    <n v="2172"/>
    <x v="0"/>
    <n v="6.6"/>
    <s v="L,M"/>
    <m/>
    <s v="2172_1"/>
    <s v="Stebbins_Gulch"/>
    <x v="3"/>
    <s v="Tsuga"/>
    <s v="canadensis"/>
    <s v="Pinaceae"/>
    <x v="5"/>
  </r>
  <r>
    <x v="8"/>
    <d v="2026-07-08T00:00:00"/>
    <x v="22"/>
    <n v="2172"/>
    <x v="1"/>
    <n v="6"/>
    <s v="L,M"/>
    <m/>
    <s v="2172_2"/>
    <s v="Stebbins_Gulch"/>
    <x v="3"/>
    <s v="Tsuga"/>
    <s v="canadensis"/>
    <s v="Pinaceae"/>
    <x v="5"/>
  </r>
  <r>
    <x v="8"/>
    <d v="2026-07-08T00:00:00"/>
    <x v="7"/>
    <n v="2173"/>
    <x v="0"/>
    <n v="5.6"/>
    <s v="L"/>
    <m/>
    <s v="2173_1"/>
    <s v="Stebbins_Gulch"/>
    <x v="3"/>
    <s v="Fagus"/>
    <s v="grandifolia"/>
    <s v="Fagaceae"/>
    <x v="5"/>
  </r>
  <r>
    <x v="8"/>
    <d v="2026-07-08T00:00:00"/>
    <x v="22"/>
    <n v="2174"/>
    <x v="0"/>
    <n v="9.1999999999999993"/>
    <s v="L,A"/>
    <s v="POM at 1.28m"/>
    <s v="2174_1"/>
    <s v="Stebbins_Gulch"/>
    <x v="3"/>
    <s v="Tsuga"/>
    <s v="canadensis"/>
    <s v="Pinaceae"/>
    <x v="5"/>
  </r>
  <r>
    <x v="8"/>
    <d v="2026-07-08T00:00:00"/>
    <x v="22"/>
    <n v="2175"/>
    <x v="0"/>
    <n v="14.3"/>
    <s v="W"/>
    <s v="soft tape"/>
    <s v="2175_1"/>
    <s v="Stebbins_Gulch"/>
    <x v="3"/>
    <s v="Tsuga"/>
    <s v="canadensis"/>
    <s v="Pinaceae"/>
    <x v="3"/>
  </r>
  <r>
    <x v="8"/>
    <d v="2026-07-08T00:00:00"/>
    <x v="22"/>
    <n v="2176"/>
    <x v="0"/>
    <n v="9.6999999999999993"/>
    <s v="L"/>
    <s v="slight lean"/>
    <s v="2176_1"/>
    <s v="Stebbins_Gulch"/>
    <x v="3"/>
    <s v="Tsuga"/>
    <s v="canadensis"/>
    <s v="Pinaceae"/>
    <x v="5"/>
  </r>
  <r>
    <x v="8"/>
    <d v="2026-07-08T00:00:00"/>
    <x v="22"/>
    <n v="2177"/>
    <x v="0"/>
    <n v="6.6"/>
    <s v="L"/>
    <s v="curved"/>
    <s v="2177_1"/>
    <s v="Stebbins_Gulch"/>
    <x v="3"/>
    <s v="Tsuga"/>
    <s v="canadensis"/>
    <s v="Pinaceae"/>
    <x v="5"/>
  </r>
  <r>
    <x v="8"/>
    <d v="2026-07-08T00:00:00"/>
    <x v="22"/>
    <n v="2178"/>
    <x v="0"/>
    <n v="9.6999999999999993"/>
    <s v="W"/>
    <m/>
    <s v="2178_1"/>
    <s v="Stebbins_Gulch"/>
    <x v="3"/>
    <s v="Tsuga"/>
    <s v="canadensis"/>
    <s v="Pinaceae"/>
    <x v="5"/>
  </r>
  <r>
    <x v="8"/>
    <d v="2026-07-08T00:00:00"/>
    <x v="3"/>
    <n v="2179"/>
    <x v="0"/>
    <n v="80.3"/>
    <s v="N/A"/>
    <m/>
    <s v="2179_1"/>
    <s v="Stebbins_Gulch"/>
    <x v="3"/>
    <s v="Lirodendron"/>
    <s v="tulipfera"/>
    <s v="Magnoliaceae"/>
    <x v="4"/>
  </r>
  <r>
    <x v="8"/>
    <d v="2026-07-08T00:00:00"/>
    <x v="22"/>
    <n v="2180"/>
    <x v="0"/>
    <n v="14.8"/>
    <s v="L"/>
    <m/>
    <s v="2180_1"/>
    <s v="Stebbins_Gulch"/>
    <x v="3"/>
    <s v="Tsuga"/>
    <s v="canadensis"/>
    <s v="Pinaceae"/>
    <x v="3"/>
  </r>
  <r>
    <x v="8"/>
    <d v="2026-07-08T00:00:00"/>
    <x v="22"/>
    <n v="2181"/>
    <x v="0"/>
    <n v="13.9"/>
    <s v="N/A"/>
    <s v="growing next to 2179"/>
    <s v="2181_1"/>
    <s v="Stebbins_Gulch"/>
    <x v="3"/>
    <s v="Tsuga"/>
    <s v="canadensis"/>
    <s v="Pinaceae"/>
    <x v="3"/>
  </r>
  <r>
    <x v="8"/>
    <d v="2026-07-08T00:00:00"/>
    <x v="22"/>
    <n v="2182"/>
    <x v="0"/>
    <n v="6.5"/>
    <s v="L"/>
    <s v="slight lean"/>
    <s v="2182_1"/>
    <s v="Stebbins_Gulch"/>
    <x v="3"/>
    <s v="Tsuga"/>
    <s v="canadensis"/>
    <s v="Pinaceae"/>
    <x v="5"/>
  </r>
  <r>
    <x v="8"/>
    <d v="2026-07-08T00:00:00"/>
    <x v="22"/>
    <n v="2183"/>
    <x v="0"/>
    <n v="12.4"/>
    <s v="L"/>
    <m/>
    <s v="2183_1"/>
    <s v="Stebbins_Gulch"/>
    <x v="3"/>
    <s v="Tsuga"/>
    <s v="canadensis"/>
    <s v="Pinaceae"/>
    <x v="3"/>
  </r>
  <r>
    <x v="8"/>
    <d v="2026-07-08T00:00:00"/>
    <x v="0"/>
    <n v="2184"/>
    <x v="0"/>
    <n v="5"/>
    <s v="L"/>
    <m/>
    <s v="2184_1"/>
    <s v="Stebbins_Gulch"/>
    <x v="3"/>
    <s v="Acer"/>
    <s v="saccharum"/>
    <s v="Sapindaceae"/>
    <x v="2"/>
  </r>
  <r>
    <x v="8"/>
    <d v="2026-07-08T00:00:00"/>
    <x v="2"/>
    <n v="2185"/>
    <x v="0"/>
    <n v="22.8"/>
    <s v="L "/>
    <s v="slight lean"/>
    <s v="2185_1"/>
    <s v="Stebbins_Gulch"/>
    <x v="3"/>
    <s v="Acer"/>
    <s v="rubrum"/>
    <s v="Sapindaceae"/>
    <x v="0"/>
  </r>
  <r>
    <x v="8"/>
    <d v="2026-07-08T00:00:00"/>
    <x v="22"/>
    <n v="2186"/>
    <x v="0"/>
    <n v="9.1999999999999993"/>
    <s v="W,A"/>
    <s v="POM at 1.26m"/>
    <s v="2186_1"/>
    <s v="Stebbins_Gulch"/>
    <x v="3"/>
    <s v="Tsuga"/>
    <s v="canadensis"/>
    <s v="Pinaceae"/>
    <x v="5"/>
  </r>
  <r>
    <x v="8"/>
    <d v="2026-07-08T00:00:00"/>
    <x v="22"/>
    <n v="2187"/>
    <x v="0"/>
    <n v="5.5"/>
    <s v="L"/>
    <m/>
    <s v="2187_1"/>
    <s v="Stebbins_Gulch"/>
    <x v="3"/>
    <s v="Tsuga"/>
    <s v="canadensis"/>
    <s v="Pinaceae"/>
    <x v="5"/>
  </r>
  <r>
    <x v="8"/>
    <d v="2026-07-08T00:00:00"/>
    <x v="22"/>
    <n v="2188"/>
    <x v="0"/>
    <n v="16.3"/>
    <s v="L"/>
    <m/>
    <s v="2188_1"/>
    <s v="Stebbins_Gulch"/>
    <x v="3"/>
    <s v="Tsuga"/>
    <s v="canadensis"/>
    <s v="Pinaceae"/>
    <x v="3"/>
  </r>
  <r>
    <x v="8"/>
    <d v="2026-07-08T00:00:00"/>
    <x v="22"/>
    <n v="2189"/>
    <x v="0"/>
    <n v="14.3"/>
    <s v="L "/>
    <m/>
    <s v="2189_1"/>
    <s v="Stebbins_Gulch"/>
    <x v="3"/>
    <s v="Tsuga"/>
    <s v="canadensis"/>
    <s v="Pinaceae"/>
    <x v="3"/>
  </r>
  <r>
    <x v="8"/>
    <d v="2026-07-08T00:00:00"/>
    <x v="1"/>
    <n v="2190"/>
    <x v="0"/>
    <n v="72.2"/>
    <s v="N/A"/>
    <m/>
    <s v="2190_1"/>
    <s v="Stebbins_Gulch"/>
    <x v="3"/>
    <s v="Prunus"/>
    <s v="serotina"/>
    <s v="Rosaceae"/>
    <x v="4"/>
  </r>
  <r>
    <x v="8"/>
    <d v="2026-07-08T00:00:00"/>
    <x v="22"/>
    <n v="2191"/>
    <x v="0"/>
    <n v="7.3"/>
    <s v="L "/>
    <m/>
    <s v="2191_1"/>
    <s v="Stebbins_Gulch"/>
    <x v="3"/>
    <s v="Tsuga"/>
    <s v="canadensis"/>
    <s v="Pinaceae"/>
    <x v="5"/>
  </r>
  <r>
    <x v="8"/>
    <d v="2026-07-08T00:00:00"/>
    <x v="22"/>
    <n v="2192"/>
    <x v="0"/>
    <n v="11.6"/>
    <s v="L"/>
    <m/>
    <s v="2192_1"/>
    <s v="Stebbins_Gulch"/>
    <x v="3"/>
    <s v="Tsuga"/>
    <s v="canadensis"/>
    <s v="Pinaceae"/>
    <x v="3"/>
  </r>
  <r>
    <x v="8"/>
    <d v="2026-07-08T00:00:00"/>
    <x v="7"/>
    <n v="2193"/>
    <x v="0"/>
    <n v="1.6"/>
    <s v="A"/>
    <s v="POM at 1.27m, knot"/>
    <s v="2193_1"/>
    <s v="Stebbins_Gulch"/>
    <x v="3"/>
    <s v="Fagus"/>
    <s v="grandifolia"/>
    <s v="Fagaceae"/>
    <x v="2"/>
  </r>
  <r>
    <x v="8"/>
    <d v="2026-07-08T00:00:00"/>
    <x v="7"/>
    <n v="2194"/>
    <x v="0"/>
    <n v="3"/>
    <s v="L,BB"/>
    <m/>
    <s v="2194_1"/>
    <s v="Stebbins_Gulch"/>
    <x v="3"/>
    <s v="Fagus"/>
    <s v="grandifolia"/>
    <s v="Fagaceae"/>
    <x v="2"/>
  </r>
  <r>
    <x v="8"/>
    <d v="2026-07-08T00:00:00"/>
    <x v="7"/>
    <n v="2195"/>
    <x v="0"/>
    <n v="1.6"/>
    <s v="L, BB"/>
    <m/>
    <s v="2195_1"/>
    <s v="Stebbins_Gulch"/>
    <x v="3"/>
    <s v="Fagus"/>
    <s v="grandifolia"/>
    <s v="Fagaceae"/>
    <x v="2"/>
  </r>
  <r>
    <x v="8"/>
    <d v="2026-07-08T00:00:00"/>
    <x v="22"/>
    <n v="2196"/>
    <x v="0"/>
    <n v="10.199999999999999"/>
    <s v="L "/>
    <m/>
    <s v="2196_1"/>
    <s v="Stebbins_Gulch"/>
    <x v="3"/>
    <s v="Tsuga"/>
    <s v="canadensis"/>
    <s v="Pinaceae"/>
    <x v="3"/>
  </r>
  <r>
    <x v="8"/>
    <d v="2026-07-08T00:00:00"/>
    <x v="7"/>
    <n v="2197"/>
    <x v="0"/>
    <n v="3.8"/>
    <s v="N/A"/>
    <m/>
    <s v="2197_1"/>
    <s v="Stebbins_Gulch"/>
    <x v="3"/>
    <s v="Fagus"/>
    <s v="grandifolia"/>
    <s v="Fagaceae"/>
    <x v="2"/>
  </r>
  <r>
    <x v="8"/>
    <d v="2026-07-08T00:00:00"/>
    <x v="2"/>
    <n v="2198"/>
    <x v="0"/>
    <n v="27"/>
    <s v="N/A"/>
    <m/>
    <s v="2198_1"/>
    <s v="Stebbins_Gulch"/>
    <x v="3"/>
    <s v="Acer"/>
    <s v="rubrum"/>
    <s v="Sapindaceae"/>
    <x v="0"/>
  </r>
  <r>
    <x v="8"/>
    <d v="2026-07-08T00:00:00"/>
    <x v="7"/>
    <n v="2199"/>
    <x v="0"/>
    <n v="1.3"/>
    <s v="L, A"/>
    <s v="POM at 1.28m, dead branch"/>
    <s v="2199_1"/>
    <s v="Stebbins_Gulch"/>
    <x v="3"/>
    <s v="Fagus"/>
    <s v="grandifolia"/>
    <s v="Fagaceae"/>
    <x v="2"/>
  </r>
  <r>
    <x v="8"/>
    <d v="2026-07-08T00:00:00"/>
    <x v="7"/>
    <n v="2200"/>
    <x v="0"/>
    <n v="4.4000000000000004"/>
    <s v="N/A"/>
    <s v="ground is sloped"/>
    <s v="2200_1"/>
    <s v="Stebbins_Gulch"/>
    <x v="3"/>
    <s v="Fagus"/>
    <s v="grandifolia"/>
    <s v="Fagaceae"/>
    <x v="2"/>
  </r>
  <r>
    <x v="8"/>
    <d v="2026-07-08T00:00:00"/>
    <x v="7"/>
    <n v="2201"/>
    <x v="0"/>
    <n v="12.8"/>
    <s v="N/A"/>
    <m/>
    <s v="2201_1"/>
    <s v="Stebbins_Gulch"/>
    <x v="3"/>
    <s v="Fagus"/>
    <s v="grandifolia"/>
    <s v="Fagaceae"/>
    <x v="3"/>
  </r>
  <r>
    <x v="8"/>
    <d v="2026-07-08T00:00:00"/>
    <x v="7"/>
    <n v="2202"/>
    <x v="0"/>
    <n v="5.8"/>
    <s v="N/A"/>
    <m/>
    <s v="2202_1"/>
    <s v="Stebbins_Gulch"/>
    <x v="3"/>
    <s v="Fagus"/>
    <s v="grandifolia"/>
    <s v="Fagaceae"/>
    <x v="5"/>
  </r>
  <r>
    <x v="8"/>
    <d v="2026-07-08T00:00:00"/>
    <x v="7"/>
    <n v="2203"/>
    <x v="0"/>
    <n v="7.4"/>
    <s v="L"/>
    <s v="slight lean"/>
    <s v="2203_1"/>
    <s v="Stebbins_Gulch"/>
    <x v="3"/>
    <s v="Fagus"/>
    <s v="grandifolia"/>
    <s v="Fagaceae"/>
    <x v="5"/>
  </r>
  <r>
    <x v="8"/>
    <d v="2026-07-08T00:00:00"/>
    <x v="0"/>
    <n v="2204"/>
    <x v="0"/>
    <n v="56"/>
    <s v="I"/>
    <s v="half of the trunk is hollow"/>
    <s v="2204_1"/>
    <s v="Stebbins_Gulch"/>
    <x v="3"/>
    <s v="Acer"/>
    <s v="saccharum"/>
    <s v="Sapindaceae"/>
    <x v="4"/>
  </r>
  <r>
    <x v="8"/>
    <d v="2026-07-08T00:00:00"/>
    <x v="7"/>
    <n v="2205"/>
    <x v="0"/>
    <n v="5.3"/>
    <s v="N/A"/>
    <m/>
    <s v="2205_1"/>
    <s v="Stebbins_Gulch"/>
    <x v="3"/>
    <s v="Fagus"/>
    <s v="grandifolia"/>
    <s v="Fagaceae"/>
    <x v="5"/>
  </r>
  <r>
    <x v="8"/>
    <d v="2026-07-08T00:00:00"/>
    <x v="22"/>
    <n v="2206"/>
    <x v="0"/>
    <n v="11.6"/>
    <s v="N/A"/>
    <s v="ground is sloped"/>
    <s v="2206_1"/>
    <s v="Stebbins_Gulch"/>
    <x v="3"/>
    <s v="Tsuga"/>
    <s v="canadensis"/>
    <s v="Pinaceae"/>
    <x v="3"/>
  </r>
  <r>
    <x v="8"/>
    <d v="2026-07-08T00:00:00"/>
    <x v="7"/>
    <n v="2207"/>
    <x v="0"/>
    <n v="3.6"/>
    <s v="N/A"/>
    <m/>
    <s v="2207_1"/>
    <s v="Stebbins_Gulch"/>
    <x v="3"/>
    <s v="Fagus"/>
    <s v="grandifolia"/>
    <s v="Fagaceae"/>
    <x v="2"/>
  </r>
  <r>
    <x v="8"/>
    <d v="2026-07-08T00:00:00"/>
    <x v="7"/>
    <n v="2208"/>
    <x v="0"/>
    <n v="5.6"/>
    <s v="BB"/>
    <m/>
    <s v="2208_1"/>
    <s v="Stebbins_Gulch"/>
    <x v="3"/>
    <s v="Fagus"/>
    <s v="grandifolia"/>
    <s v="Fagaceae"/>
    <x v="5"/>
  </r>
  <r>
    <x v="8"/>
    <d v="2026-07-08T00:00:00"/>
    <x v="18"/>
    <n v="2209"/>
    <x v="0"/>
    <n v="1.8"/>
    <s v="M, W"/>
    <s v="soft tape"/>
    <s v="2209_1"/>
    <s v="Stebbins_Gulch"/>
    <x v="3"/>
    <s v="Crataegus"/>
    <s v="species"/>
    <s v="Rosaceae"/>
    <x v="2"/>
  </r>
  <r>
    <x v="8"/>
    <d v="2026-07-08T00:00:00"/>
    <x v="18"/>
    <n v="2209"/>
    <x v="1"/>
    <n v="1.2"/>
    <s v="M, W"/>
    <s v="soft tape"/>
    <s v="2209_2"/>
    <s v="Stebbins_Gulch"/>
    <x v="3"/>
    <s v="Crataegus"/>
    <s v="species"/>
    <s v="Rosaceae"/>
    <x v="2"/>
  </r>
  <r>
    <x v="8"/>
    <d v="2026-07-08T00:00:00"/>
    <x v="7"/>
    <n v="2210"/>
    <x v="0"/>
    <n v="2.6"/>
    <s v="L"/>
    <s v="soft tape used, bent under a fallen log"/>
    <s v="2210_1"/>
    <s v="Stebbins_Gulch"/>
    <x v="3"/>
    <s v="Fagus"/>
    <s v="grandifolia"/>
    <s v="Fagaceae"/>
    <x v="2"/>
  </r>
  <r>
    <x v="8"/>
    <d v="2026-07-08T00:00:00"/>
    <x v="23"/>
    <n v="2211"/>
    <x v="0"/>
    <n v="35.700000000000003"/>
    <s v="M"/>
    <m/>
    <s v="2211_1"/>
    <s v="Stebbins_Gulch"/>
    <x v="3"/>
    <s v="Aesculus"/>
    <s v="glabra"/>
    <s v="Sapindaceae"/>
    <x v="0"/>
  </r>
  <r>
    <x v="8"/>
    <d v="2026-07-08T00:00:00"/>
    <x v="23"/>
    <n v="2211"/>
    <x v="1"/>
    <n v="14.7"/>
    <s v="M"/>
    <m/>
    <s v="2211_2"/>
    <s v="Stebbins_Gulch"/>
    <x v="3"/>
    <s v="Aesculus"/>
    <s v="glabra"/>
    <s v="Sapindaceae"/>
    <x v="3"/>
  </r>
  <r>
    <x v="8"/>
    <d v="2026-07-08T00:00:00"/>
    <x v="7"/>
    <n v="2212"/>
    <x v="0"/>
    <n v="3.2"/>
    <s v="BB"/>
    <s v="ground is sloped"/>
    <s v="2212_1"/>
    <s v="Stebbins_Gulch"/>
    <x v="3"/>
    <s v="Fagus"/>
    <s v="grandifolia"/>
    <s v="Fagaceae"/>
    <x v="2"/>
  </r>
  <r>
    <x v="8"/>
    <d v="2026-07-08T00:00:00"/>
    <x v="22"/>
    <n v="2213"/>
    <x v="0"/>
    <n v="12.5"/>
    <s v="N/A"/>
    <m/>
    <s v="2213_1"/>
    <s v="Stebbins_Gulch"/>
    <x v="3"/>
    <s v="Tsuga"/>
    <s v="canadensis"/>
    <s v="Pinaceae"/>
    <x v="3"/>
  </r>
  <r>
    <x v="8"/>
    <d v="2026-07-08T00:00:00"/>
    <x v="22"/>
    <n v="2214"/>
    <x v="0"/>
    <n v="6.4"/>
    <s v="A"/>
    <s v="ground is sloped, POM at 1.28m"/>
    <s v="2214_1"/>
    <s v="Stebbins_Gulch"/>
    <x v="3"/>
    <s v="Tsuga"/>
    <s v="canadensis"/>
    <s v="Pinaceae"/>
    <x v="5"/>
  </r>
  <r>
    <x v="8"/>
    <d v="2026-07-09T00:00:00"/>
    <x v="22"/>
    <n v="2215"/>
    <x v="0"/>
    <n v="10"/>
    <s v="W"/>
    <s v="soft tape"/>
    <s v="2215_1"/>
    <s v="Stebbins_Gulch"/>
    <x v="3"/>
    <s v="Tsuga"/>
    <s v="canadensis"/>
    <s v="Pinaceae"/>
    <x v="5"/>
  </r>
  <r>
    <x v="8"/>
    <d v="2026-07-08T00:00:00"/>
    <x v="7"/>
    <n v="2216"/>
    <x v="0"/>
    <n v="2.7"/>
    <s v="BB"/>
    <s v="ground is sloped"/>
    <s v="2216_1"/>
    <s v="Stebbins_Gulch"/>
    <x v="3"/>
    <s v="Fagus"/>
    <s v="grandifolia"/>
    <s v="Fagaceae"/>
    <x v="2"/>
  </r>
  <r>
    <x v="8"/>
    <d v="2026-07-09T00:00:00"/>
    <x v="7"/>
    <n v="2217"/>
    <x v="0"/>
    <n v="49.7"/>
    <s v="N/A"/>
    <m/>
    <s v="2217_1"/>
    <s v="Stebbins_Gulch"/>
    <x v="3"/>
    <s v="Fagus"/>
    <s v="grandifolia"/>
    <s v="Fagaceae"/>
    <x v="1"/>
  </r>
  <r>
    <x v="8"/>
    <d v="2026-07-08T00:00:00"/>
    <x v="22"/>
    <n v="2218"/>
    <x v="0"/>
    <n v="10"/>
    <s v="N/A"/>
    <s v="ground is sloped"/>
    <s v="2218_1"/>
    <s v="Stebbins_Gulch"/>
    <x v="3"/>
    <s v="Tsuga"/>
    <s v="canadensis"/>
    <s v="Pinaceae"/>
    <x v="5"/>
  </r>
  <r>
    <x v="8"/>
    <d v="2026-07-09T00:00:00"/>
    <x v="1"/>
    <n v="2219"/>
    <x v="0"/>
    <n v="76.400000000000006"/>
    <s v="A, I"/>
    <s v="two stems with swelling at POM. POM ato 0.8"/>
    <s v="2219_1"/>
    <s v="Stebbins_Gulch"/>
    <x v="3"/>
    <s v="Prunus"/>
    <s v="serotina"/>
    <s v="Rosaceae"/>
    <x v="4"/>
  </r>
  <r>
    <x v="8"/>
    <d v="2026-07-08T00:00:00"/>
    <x v="7"/>
    <n v="2220"/>
    <x v="0"/>
    <n v="9.1"/>
    <s v="BB"/>
    <s v="ground is sloped"/>
    <s v="2220_1"/>
    <s v="Stebbins_Gulch"/>
    <x v="3"/>
    <s v="Fagus"/>
    <s v="grandifolia"/>
    <s v="Fagaceae"/>
    <x v="5"/>
  </r>
  <r>
    <x v="8"/>
    <d v="2026-07-09T00:00:00"/>
    <x v="7"/>
    <n v="2221"/>
    <x v="0"/>
    <n v="10"/>
    <s v="N/A"/>
    <m/>
    <s v="2221_1"/>
    <s v="Stebbins_Gulch"/>
    <x v="3"/>
    <s v="Fagus"/>
    <s v="grandifolia"/>
    <s v="Fagaceae"/>
    <x v="5"/>
  </r>
  <r>
    <x v="8"/>
    <d v="2026-07-08T00:00:00"/>
    <x v="0"/>
    <n v="2222"/>
    <x v="0"/>
    <n v="11.3"/>
    <s v="I"/>
    <s v="ground is sloped"/>
    <s v="2222_1"/>
    <s v="Stebbins_Gulch"/>
    <x v="3"/>
    <s v="Acer"/>
    <s v="saccharum"/>
    <s v="Sapindaceae"/>
    <x v="3"/>
  </r>
  <r>
    <x v="8"/>
    <d v="2026-07-09T00:00:00"/>
    <x v="0"/>
    <n v="2223"/>
    <x v="0"/>
    <n v="24.2"/>
    <s v="N/A"/>
    <m/>
    <s v="2223_1"/>
    <s v="Stebbins_Gulch"/>
    <x v="3"/>
    <s v="Acer"/>
    <s v="saccharum"/>
    <s v="Sapindaceae"/>
    <x v="0"/>
  </r>
  <r>
    <x v="8"/>
    <d v="2026-07-08T00:00:00"/>
    <x v="22"/>
    <n v="2224"/>
    <x v="0"/>
    <n v="11.1"/>
    <s v="L"/>
    <s v="ground is sloped"/>
    <s v="2224_1"/>
    <s v="Stebbins_Gulch"/>
    <x v="3"/>
    <s v="Tsuga"/>
    <s v="canadensis"/>
    <s v="Pinaceae"/>
    <x v="3"/>
  </r>
  <r>
    <x v="8"/>
    <d v="2026-07-09T00:00:00"/>
    <x v="0"/>
    <n v="2225"/>
    <x v="0"/>
    <n v="26.3"/>
    <s v="N/A"/>
    <m/>
    <s v="2225_1"/>
    <s v="Stebbins_Gulch"/>
    <x v="3"/>
    <s v="Acer"/>
    <s v="saccharum"/>
    <s v="Sapindaceae"/>
    <x v="0"/>
  </r>
  <r>
    <x v="8"/>
    <d v="2026-07-08T00:00:00"/>
    <x v="7"/>
    <n v="2226"/>
    <x v="0"/>
    <n v="3.4"/>
    <s v="N/A"/>
    <s v="ground is sloped"/>
    <s v="2226_1"/>
    <s v="Stebbins_Gulch"/>
    <x v="3"/>
    <s v="Fagus"/>
    <s v="grandifolia"/>
    <s v="Fagaceae"/>
    <x v="2"/>
  </r>
  <r>
    <x v="8"/>
    <d v="2026-07-09T00:00:00"/>
    <x v="0"/>
    <n v="2227"/>
    <x v="0"/>
    <n v="10"/>
    <s v="N/A"/>
    <m/>
    <s v="2227_1"/>
    <s v="Stebbins_Gulch"/>
    <x v="3"/>
    <s v="Acer"/>
    <s v="saccharum"/>
    <s v="Sapindaceae"/>
    <x v="5"/>
  </r>
  <r>
    <x v="8"/>
    <d v="2026-07-08T00:00:00"/>
    <x v="16"/>
    <n v="2228"/>
    <x v="0"/>
    <n v="29.1"/>
    <s v="N/A"/>
    <s v="ground is sloped"/>
    <s v="2228_1"/>
    <s v="Stebbins_Gulch"/>
    <x v="3"/>
    <s v="Carya"/>
    <s v="cordiformis"/>
    <s v="Juglandaceae"/>
    <x v="0"/>
  </r>
  <r>
    <x v="8"/>
    <d v="2026-07-09T00:00:00"/>
    <x v="16"/>
    <n v="2229"/>
    <x v="0"/>
    <n v="39.200000000000003"/>
    <s v="N/A"/>
    <m/>
    <s v="2229_1"/>
    <s v="Stebbins_Gulch"/>
    <x v="3"/>
    <s v="Carya"/>
    <s v="cordiformis"/>
    <s v="Juglandaceae"/>
    <x v="0"/>
  </r>
  <r>
    <x v="8"/>
    <d v="2026-07-08T00:00:00"/>
    <x v="22"/>
    <n v="2230"/>
    <x v="0"/>
    <n v="6.9"/>
    <s v="L "/>
    <m/>
    <s v="2230_1"/>
    <s v="Stebbins_Gulch"/>
    <x v="3"/>
    <s v="Tsuga"/>
    <s v="canadensis"/>
    <s v="Pinaceae"/>
    <x v="5"/>
  </r>
  <r>
    <x v="8"/>
    <d v="2026-07-09T00:00:00"/>
    <x v="22"/>
    <n v="2231"/>
    <x v="0"/>
    <n v="20.8"/>
    <s v="N/A"/>
    <m/>
    <s v="2231_1"/>
    <s v="Stebbins_Gulch"/>
    <x v="3"/>
    <s v="Tsuga"/>
    <s v="canadensis"/>
    <s v="Pinaceae"/>
    <x v="0"/>
  </r>
  <r>
    <x v="8"/>
    <d v="2026-07-08T00:00:00"/>
    <x v="22"/>
    <n v="2232"/>
    <x v="0"/>
    <n v="3.1"/>
    <s v="L"/>
    <m/>
    <s v="2232_1"/>
    <s v="Stebbins_Gulch"/>
    <x v="3"/>
    <s v="Tsuga"/>
    <s v="canadensis"/>
    <s v="Pinaceae"/>
    <x v="2"/>
  </r>
  <r>
    <x v="8"/>
    <d v="2026-07-09T00:00:00"/>
    <x v="22"/>
    <n v="2233"/>
    <x v="0"/>
    <n v="14.7"/>
    <s v="W"/>
    <m/>
    <s v="2233_1"/>
    <s v="Stebbins_Gulch"/>
    <x v="3"/>
    <s v="Tsuga"/>
    <s v="canadensis"/>
    <s v="Pinaceae"/>
    <x v="3"/>
  </r>
  <r>
    <x v="8"/>
    <d v="2026-07-08T00:00:00"/>
    <x v="22"/>
    <n v="2234"/>
    <x v="0"/>
    <n v="6.9"/>
    <s v="L "/>
    <m/>
    <s v="2234_1"/>
    <s v="Stebbins_Gulch"/>
    <x v="3"/>
    <s v="Tsuga"/>
    <s v="canadensis"/>
    <s v="Pinaceae"/>
    <x v="5"/>
  </r>
  <r>
    <x v="8"/>
    <d v="2026-07-09T00:00:00"/>
    <x v="22"/>
    <n v="2235"/>
    <x v="0"/>
    <n v="9.1"/>
    <s v="L"/>
    <m/>
    <s v="2235_1"/>
    <s v="Stebbins_Gulch"/>
    <x v="3"/>
    <s v="Tsuga"/>
    <s v="canadensis"/>
    <s v="Pinaceae"/>
    <x v="5"/>
  </r>
  <r>
    <x v="8"/>
    <d v="2026-07-08T00:00:00"/>
    <x v="22"/>
    <n v="2236"/>
    <x v="0"/>
    <n v="15.9"/>
    <s v="N/A"/>
    <s v="ground is sloped"/>
    <s v="2236_1"/>
    <s v="Stebbins_Gulch"/>
    <x v="3"/>
    <s v="Tsuga"/>
    <s v="canadensis"/>
    <s v="Pinaceae"/>
    <x v="3"/>
  </r>
  <r>
    <x v="8"/>
    <d v="2026-07-09T00:00:00"/>
    <x v="22"/>
    <n v="2237"/>
    <x v="0"/>
    <n v="12.9"/>
    <s v="L "/>
    <m/>
    <s v="2237_1"/>
    <s v="Stebbins_Gulch"/>
    <x v="3"/>
    <s v="Tsuga"/>
    <s v="canadensis"/>
    <s v="Pinaceae"/>
    <x v="3"/>
  </r>
  <r>
    <x v="8"/>
    <d v="2026-07-08T00:00:00"/>
    <x v="22"/>
    <n v="2238"/>
    <x v="0"/>
    <n v="21.7"/>
    <s v="N/A"/>
    <m/>
    <s v="2238_1"/>
    <s v="Stebbins_Gulch"/>
    <x v="3"/>
    <s v="Tsuga"/>
    <s v="canadensis"/>
    <s v="Pinaceae"/>
    <x v="0"/>
  </r>
  <r>
    <x v="8"/>
    <d v="2026-07-09T00:00:00"/>
    <x v="22"/>
    <n v="2239"/>
    <x v="0"/>
    <n v="11.7"/>
    <s v="L"/>
    <m/>
    <s v="2239_1"/>
    <s v="Stebbins_Gulch"/>
    <x v="3"/>
    <s v="Tsuga"/>
    <s v="canadensis"/>
    <s v="Pinaceae"/>
    <x v="3"/>
  </r>
  <r>
    <x v="8"/>
    <d v="2026-07-08T00:00:00"/>
    <x v="22"/>
    <n v="2240"/>
    <x v="0"/>
    <n v="3.5"/>
    <s v="N/A"/>
    <s v="ground is sloped"/>
    <s v="2240_1"/>
    <s v="Stebbins_Gulch"/>
    <x v="3"/>
    <s v="Tsuga"/>
    <s v="canadensis"/>
    <s v="Pinaceae"/>
    <x v="2"/>
  </r>
  <r>
    <x v="8"/>
    <d v="2026-07-09T00:00:00"/>
    <x v="22"/>
    <n v="2241"/>
    <x v="0"/>
    <n v="4.8"/>
    <s v="L"/>
    <m/>
    <s v="2241_1"/>
    <s v="Stebbins_Gulch"/>
    <x v="3"/>
    <s v="Tsuga"/>
    <s v="canadensis"/>
    <s v="Pinaceae"/>
    <x v="2"/>
  </r>
  <r>
    <x v="8"/>
    <d v="2026-07-08T00:00:00"/>
    <x v="22"/>
    <n v="2242"/>
    <x v="0"/>
    <n v="11.1"/>
    <s v="W"/>
    <s v="slightly wavy"/>
    <s v="2242_1"/>
    <s v="Stebbins_Gulch"/>
    <x v="3"/>
    <s v="Tsuga"/>
    <s v="canadensis"/>
    <s v="Pinaceae"/>
    <x v="3"/>
  </r>
  <r>
    <x v="8"/>
    <d v="2026-07-09T00:00:00"/>
    <x v="7"/>
    <n v="2243"/>
    <x v="0"/>
    <n v="4.8"/>
    <s v="W"/>
    <s v="slightly wavy"/>
    <s v="2243_1"/>
    <s v="Stebbins_Gulch"/>
    <x v="3"/>
    <s v="Fagus"/>
    <s v="grandifolia"/>
    <s v="Fagaceae"/>
    <x v="2"/>
  </r>
  <r>
    <x v="8"/>
    <d v="2026-07-08T00:00:00"/>
    <x v="0"/>
    <n v="2244"/>
    <x v="0"/>
    <n v="30.8"/>
    <s v="N/A"/>
    <s v="ground is sloped"/>
    <s v="2244_1"/>
    <s v="Stebbins_Gulch"/>
    <x v="3"/>
    <s v="Acer"/>
    <s v="saccharum"/>
    <s v="Sapindaceae"/>
    <x v="0"/>
  </r>
  <r>
    <x v="8"/>
    <d v="2026-07-09T00:00:00"/>
    <x v="22"/>
    <n v="2245"/>
    <x v="0"/>
    <n v="16.3"/>
    <s v="L"/>
    <m/>
    <s v="2245_1"/>
    <s v="Stebbins_Gulch"/>
    <x v="3"/>
    <s v="Tsuga"/>
    <s v="canadensis"/>
    <s v="Pinaceae"/>
    <x v="3"/>
  </r>
  <r>
    <x v="8"/>
    <d v="2026-07-08T00:00:00"/>
    <x v="0"/>
    <n v="2246"/>
    <x v="0"/>
    <n v="23.7"/>
    <s v="M, L"/>
    <s v="ground is sloped, slight lean"/>
    <s v="2246_1"/>
    <s v="Stebbins_Gulch"/>
    <x v="3"/>
    <s v="Acer"/>
    <s v="saccharum"/>
    <s v="Sapindaceae"/>
    <x v="0"/>
  </r>
  <r>
    <x v="8"/>
    <d v="2026-07-08T00:00:00"/>
    <x v="0"/>
    <n v="2246"/>
    <x v="1"/>
    <n v="15.3"/>
    <s v="M,L"/>
    <s v="slight lean"/>
    <s v="2246_2"/>
    <s v="Stebbins_Gulch"/>
    <x v="3"/>
    <s v="Acer"/>
    <s v="saccharum"/>
    <s v="Sapindaceae"/>
    <x v="3"/>
  </r>
  <r>
    <x v="8"/>
    <d v="2026-07-09T00:00:00"/>
    <x v="1"/>
    <n v="2247"/>
    <x v="0"/>
    <n v="57.2"/>
    <s v="I, A"/>
    <s v="POM at 1.5m. fused crotch, swollen on both sides. raised to avoid large protrusion on W side."/>
    <s v="2247_1"/>
    <s v="Stebbins_Gulch"/>
    <x v="3"/>
    <s v="Prunus"/>
    <s v="serotina"/>
    <s v="Rosaceae"/>
    <x v="4"/>
  </r>
  <r>
    <x v="8"/>
    <d v="2026-07-08T00:00:00"/>
    <x v="22"/>
    <n v="2248"/>
    <x v="0"/>
    <n v="6"/>
    <s v="L "/>
    <s v="slight lean"/>
    <s v="2248_1"/>
    <s v="Stebbins_Gulch"/>
    <x v="3"/>
    <s v="Tsuga"/>
    <s v="canadensis"/>
    <s v="Pinaceae"/>
    <x v="5"/>
  </r>
  <r>
    <x v="8"/>
    <d v="2026-07-09T00:00:00"/>
    <x v="22"/>
    <n v="2249"/>
    <x v="0"/>
    <n v="3.6"/>
    <s v="L"/>
    <m/>
    <s v="2249_1"/>
    <s v="Stebbins_Gulch"/>
    <x v="3"/>
    <s v="Tsuga"/>
    <s v="canadensis"/>
    <s v="Pinaceae"/>
    <x v="2"/>
  </r>
  <r>
    <x v="8"/>
    <d v="2026-07-08T00:00:00"/>
    <x v="22"/>
    <n v="2250"/>
    <x v="0"/>
    <n v="14.2"/>
    <s v="N/A"/>
    <m/>
    <s v="2250_1"/>
    <s v="Stebbins_Gulch"/>
    <x v="3"/>
    <s v="Tsuga"/>
    <s v="canadensis"/>
    <s v="Pinaceae"/>
    <x v="3"/>
  </r>
  <r>
    <x v="8"/>
    <d v="2026-07-09T00:00:00"/>
    <x v="22"/>
    <n v="2251"/>
    <x v="0"/>
    <n v="13.8"/>
    <s v="L "/>
    <m/>
    <s v="2251_1"/>
    <s v="Stebbins_Gulch"/>
    <x v="3"/>
    <s v="Tsuga"/>
    <s v="canadensis"/>
    <s v="Pinaceae"/>
    <x v="3"/>
  </r>
  <r>
    <x v="8"/>
    <d v="2026-07-08T00:00:00"/>
    <x v="22"/>
    <n v="2252"/>
    <x v="0"/>
    <n v="10.6"/>
    <s v="W"/>
    <s v="ground is sloped"/>
    <s v="2252_1"/>
    <s v="Stebbins_Gulch"/>
    <x v="3"/>
    <s v="Tsuga"/>
    <s v="canadensis"/>
    <s v="Pinaceae"/>
    <x v="3"/>
  </r>
  <r>
    <x v="8"/>
    <d v="2026-07-09T00:00:00"/>
    <x v="22"/>
    <n v="2253"/>
    <x v="0"/>
    <n v="17.7"/>
    <s v="W"/>
    <m/>
    <s v="2253_1"/>
    <s v="Stebbins_Gulch"/>
    <x v="3"/>
    <s v="Tsuga"/>
    <s v="canadensis"/>
    <s v="Pinaceae"/>
    <x v="3"/>
  </r>
  <r>
    <x v="8"/>
    <d v="2026-07-08T00:00:00"/>
    <x v="22"/>
    <n v="2254"/>
    <x v="0"/>
    <n v="16.399999999999999"/>
    <s v="L "/>
    <s v="slight lean"/>
    <s v="2254_1"/>
    <s v="Stebbins_Gulch"/>
    <x v="3"/>
    <s v="Tsuga"/>
    <s v="canadensis"/>
    <s v="Pinaceae"/>
    <x v="3"/>
  </r>
  <r>
    <x v="8"/>
    <d v="2026-07-09T00:00:00"/>
    <x v="22"/>
    <n v="2255"/>
    <x v="0"/>
    <n v="9.1999999999999993"/>
    <s v="W"/>
    <m/>
    <s v="2255_1"/>
    <s v="Stebbins_Gulch"/>
    <x v="3"/>
    <s v="Tsuga"/>
    <s v="canadensis"/>
    <s v="Pinaceae"/>
    <x v="5"/>
  </r>
  <r>
    <x v="8"/>
    <d v="2026-07-08T00:00:00"/>
    <x v="22"/>
    <n v="2256"/>
    <x v="0"/>
    <n v="9.8000000000000007"/>
    <s v="L "/>
    <m/>
    <s v="2256_1"/>
    <s v="Stebbins_Gulch"/>
    <x v="3"/>
    <s v="Tsuga"/>
    <s v="canadensis"/>
    <s v="Pinaceae"/>
    <x v="5"/>
  </r>
  <r>
    <x v="8"/>
    <d v="2026-07-09T00:00:00"/>
    <x v="22"/>
    <n v="2257"/>
    <x v="0"/>
    <n v="7"/>
    <s v="L "/>
    <m/>
    <s v="2257_1"/>
    <s v="Stebbins_Gulch"/>
    <x v="3"/>
    <s v="Tsuga"/>
    <s v="canadensis"/>
    <s v="Pinaceae"/>
    <x v="5"/>
  </r>
  <r>
    <x v="8"/>
    <d v="2026-07-08T00:00:00"/>
    <x v="22"/>
    <n v="2258"/>
    <x v="0"/>
    <n v="13.5"/>
    <s v="L "/>
    <m/>
    <s v="2258_1"/>
    <s v="Stebbins_Gulch"/>
    <x v="3"/>
    <s v="Tsuga"/>
    <s v="canadensis"/>
    <s v="Pinaceae"/>
    <x v="3"/>
  </r>
  <r>
    <x v="8"/>
    <d v="2026-07-09T00:00:00"/>
    <x v="10"/>
    <n v="2259"/>
    <x v="0"/>
    <n v="87.7"/>
    <s v="L, I"/>
    <s v="large section of bark broken off"/>
    <s v="2259_1"/>
    <s v="Stebbins_Gulch"/>
    <x v="3"/>
    <s v="Quercus"/>
    <s v="rubra"/>
    <s v="Fagaceae"/>
    <x v="4"/>
  </r>
  <r>
    <x v="8"/>
    <d v="2026-07-08T00:00:00"/>
    <x v="22"/>
    <n v="2260"/>
    <x v="0"/>
    <n v="13.6"/>
    <s v="L"/>
    <s v="ground is sloped"/>
    <s v="2260_1"/>
    <s v="Stebbins_Gulch"/>
    <x v="3"/>
    <s v="Tsuga"/>
    <s v="canadensis"/>
    <s v="Pinaceae"/>
    <x v="3"/>
  </r>
  <r>
    <x v="8"/>
    <d v="2026-07-09T00:00:00"/>
    <x v="22"/>
    <n v="2261"/>
    <x v="0"/>
    <n v="21"/>
    <s v="L"/>
    <m/>
    <s v="2261_1"/>
    <s v="Stebbins_Gulch"/>
    <x v="3"/>
    <s v="Tsuga"/>
    <s v="canadensis"/>
    <s v="Pinaceae"/>
    <x v="0"/>
  </r>
  <r>
    <x v="8"/>
    <d v="2026-07-08T00:00:00"/>
    <x v="22"/>
    <n v="2262"/>
    <x v="0"/>
    <n v="17.399999999999999"/>
    <s v="L"/>
    <s v="slight lean, ground is sloped"/>
    <s v="2262_1"/>
    <s v="Stebbins_Gulch"/>
    <x v="3"/>
    <s v="Tsuga"/>
    <s v="canadensis"/>
    <s v="Pinaceae"/>
    <x v="3"/>
  </r>
  <r>
    <x v="8"/>
    <d v="2026-07-09T00:00:00"/>
    <x v="22"/>
    <n v="2263"/>
    <x v="0"/>
    <n v="23.6"/>
    <s v="N/A"/>
    <m/>
    <s v="2263_1"/>
    <s v="Stebbins_Gulch"/>
    <x v="3"/>
    <s v="Tsuga"/>
    <s v="canadensis"/>
    <s v="Pinaceae"/>
    <x v="0"/>
  </r>
  <r>
    <x v="8"/>
    <d v="2026-07-08T00:00:00"/>
    <x v="2"/>
    <n v="2264"/>
    <x v="0"/>
    <n v="127.3"/>
    <s v="I"/>
    <s v="ground is sloped, two trees fused together"/>
    <s v="2264_1"/>
    <s v="Stebbins_Gulch"/>
    <x v="3"/>
    <s v="Acer"/>
    <s v="rubrum"/>
    <s v="Sapindaceae"/>
    <x v="4"/>
  </r>
  <r>
    <x v="8"/>
    <d v="2026-07-09T00:00:00"/>
    <x v="22"/>
    <n v="2265"/>
    <x v="0"/>
    <n v="12.5"/>
    <s v="L "/>
    <m/>
    <s v="2265_1"/>
    <s v="Stebbins_Gulch"/>
    <x v="3"/>
    <s v="Tsuga"/>
    <s v="canadensis"/>
    <s v="Pinaceae"/>
    <x v="3"/>
  </r>
  <r>
    <x v="8"/>
    <d v="2026-07-09T00:00:00"/>
    <x v="22"/>
    <n v="2266"/>
    <x v="0"/>
    <n v="10.3"/>
    <s v="N/A"/>
    <s v="ground is sloped"/>
    <s v="2266_1"/>
    <s v="Stebbins_Gulch"/>
    <x v="3"/>
    <s v="Tsuga"/>
    <s v="canadensis"/>
    <s v="Pinaceae"/>
    <x v="3"/>
  </r>
  <r>
    <x v="8"/>
    <d v="2026-07-09T00:00:00"/>
    <x v="22"/>
    <n v="2267"/>
    <x v="0"/>
    <n v="5.4"/>
    <s v="L"/>
    <m/>
    <s v="2267_1"/>
    <s v="Stebbins_Gulch"/>
    <x v="3"/>
    <s v="Tsuga"/>
    <s v="canadensis"/>
    <s v="Pinaceae"/>
    <x v="5"/>
  </r>
  <r>
    <x v="8"/>
    <d v="2026-07-09T00:00:00"/>
    <x v="22"/>
    <n v="2268"/>
    <x v="0"/>
    <n v="9.4"/>
    <s v="L "/>
    <s v="slight lean, ground is sloped"/>
    <s v="2268_1"/>
    <s v="Stebbins_Gulch"/>
    <x v="3"/>
    <s v="Tsuga"/>
    <s v="canadensis"/>
    <s v="Pinaceae"/>
    <x v="5"/>
  </r>
  <r>
    <x v="8"/>
    <d v="2026-07-09T00:00:00"/>
    <x v="22"/>
    <n v="2269"/>
    <x v="0"/>
    <n v="7.4"/>
    <s v="W"/>
    <m/>
    <s v="2269_1"/>
    <s v="Stebbins_Gulch"/>
    <x v="3"/>
    <s v="Tsuga"/>
    <s v="canadensis"/>
    <s v="Pinaceae"/>
    <x v="5"/>
  </r>
  <r>
    <x v="8"/>
    <d v="2026-07-09T00:00:00"/>
    <x v="22"/>
    <n v="2270"/>
    <x v="0"/>
    <n v="22.2"/>
    <s v="N/A"/>
    <s v="ground is sloped"/>
    <s v="2270_1"/>
    <s v="Stebbins_Gulch"/>
    <x v="3"/>
    <s v="Tsuga"/>
    <s v="canadensis"/>
    <s v="Pinaceae"/>
    <x v="0"/>
  </r>
  <r>
    <x v="8"/>
    <d v="2026-07-09T00:00:00"/>
    <x v="7"/>
    <n v="2271"/>
    <x v="0"/>
    <n v="25.7"/>
    <s v="N/A"/>
    <m/>
    <s v="2271_1"/>
    <s v="Stebbins_Gulch"/>
    <x v="3"/>
    <s v="Fagus"/>
    <s v="grandifolia"/>
    <s v="Fagaceae"/>
    <x v="0"/>
  </r>
  <r>
    <x v="8"/>
    <d v="2026-07-09T00:00:00"/>
    <x v="0"/>
    <n v="2272"/>
    <x v="0"/>
    <n v="21.1"/>
    <s v="N/A"/>
    <s v="retagged, dead root flare, ground is sloped"/>
    <s v="2272_1"/>
    <s v="Stebbins_Gulch"/>
    <x v="3"/>
    <s v="Acer"/>
    <s v="saccharum"/>
    <s v="Sapindaceae"/>
    <x v="0"/>
  </r>
  <r>
    <x v="8"/>
    <d v="2026-07-09T00:00:00"/>
    <x v="22"/>
    <n v="2273"/>
    <x v="0"/>
    <n v="6.8"/>
    <s v="L "/>
    <m/>
    <s v="2273_1"/>
    <s v="Stebbins_Gulch"/>
    <x v="3"/>
    <s v="Tsuga"/>
    <s v="canadensis"/>
    <s v="Pinaceae"/>
    <x v="5"/>
  </r>
  <r>
    <x v="8"/>
    <d v="2026-07-09T00:00:00"/>
    <x v="22"/>
    <n v="2274"/>
    <x v="0"/>
    <n v="16.3"/>
    <s v="L,A"/>
    <s v="POM at 1.28m"/>
    <s v="2274_1"/>
    <s v="Stebbins_Gulch"/>
    <x v="3"/>
    <s v="Tsuga"/>
    <s v="canadensis"/>
    <s v="Pinaceae"/>
    <x v="3"/>
  </r>
  <r>
    <x v="8"/>
    <d v="2026-07-09T00:00:00"/>
    <x v="22"/>
    <n v="2275"/>
    <x v="0"/>
    <n v="8.1999999999999993"/>
    <s v="N/A"/>
    <m/>
    <s v="2275_1"/>
    <s v="Stebbins_Gulch"/>
    <x v="3"/>
    <s v="Tsuga"/>
    <s v="canadensis"/>
    <s v="Pinaceae"/>
    <x v="5"/>
  </r>
  <r>
    <x v="8"/>
    <d v="2026-07-09T00:00:00"/>
    <x v="22"/>
    <n v="2276"/>
    <x v="0"/>
    <n v="8.1999999999999993"/>
    <s v="L "/>
    <m/>
    <s v="2276_1"/>
    <s v="Stebbins_Gulch"/>
    <x v="3"/>
    <s v="Tsuga"/>
    <s v="canadensis"/>
    <s v="Pinaceae"/>
    <x v="5"/>
  </r>
  <r>
    <x v="8"/>
    <d v="2026-07-09T00:00:00"/>
    <x v="22"/>
    <n v="2277"/>
    <x v="0"/>
    <n v="9.3000000000000007"/>
    <s v="L"/>
    <m/>
    <s v="2277_1"/>
    <s v="Stebbins_Gulch"/>
    <x v="3"/>
    <s v="Tsuga"/>
    <s v="canadensis"/>
    <s v="Pinaceae"/>
    <x v="5"/>
  </r>
  <r>
    <x v="8"/>
    <d v="2026-07-09T00:00:00"/>
    <x v="22"/>
    <n v="2278"/>
    <x v="0"/>
    <n v="14.6"/>
    <s v="L "/>
    <m/>
    <s v="2278_1"/>
    <s v="Stebbins_Gulch"/>
    <x v="3"/>
    <s v="Tsuga"/>
    <s v="canadensis"/>
    <s v="Pinaceae"/>
    <x v="3"/>
  </r>
  <r>
    <x v="8"/>
    <d v="2026-07-09T00:00:00"/>
    <x v="22"/>
    <n v="2279"/>
    <x v="0"/>
    <n v="8"/>
    <s v="L"/>
    <m/>
    <s v="2279_1"/>
    <s v="Stebbins_Gulch"/>
    <x v="3"/>
    <s v="Tsuga"/>
    <s v="canadensis"/>
    <s v="Pinaceae"/>
    <x v="5"/>
  </r>
  <r>
    <x v="8"/>
    <d v="2026-07-09T00:00:00"/>
    <x v="22"/>
    <n v="2280"/>
    <x v="0"/>
    <n v="5"/>
    <s v="L,A"/>
    <s v="POM at 1.28m, ground is sloped"/>
    <s v="2280_1"/>
    <s v="Stebbins_Gulch"/>
    <x v="3"/>
    <s v="Tsuga"/>
    <s v="canadensis"/>
    <s v="Pinaceae"/>
    <x v="2"/>
  </r>
  <r>
    <x v="8"/>
    <d v="2026-07-09T00:00:00"/>
    <x v="22"/>
    <n v="2281"/>
    <x v="0"/>
    <n v="9.1"/>
    <s v="W"/>
    <s v="soft tape"/>
    <s v="2281_1"/>
    <s v="Stebbins_Gulch"/>
    <x v="3"/>
    <s v="Tsuga"/>
    <s v="canadensis"/>
    <s v="Pinaceae"/>
    <x v="5"/>
  </r>
  <r>
    <x v="8"/>
    <d v="2026-07-09T00:00:00"/>
    <x v="10"/>
    <n v="2282"/>
    <x v="0"/>
    <n v="74.8"/>
    <s v="I"/>
    <m/>
    <s v="2282_1"/>
    <s v="Stebbins_Gulch"/>
    <x v="3"/>
    <s v="Quercus"/>
    <s v="rubra"/>
    <s v="Fagaceae"/>
    <x v="4"/>
  </r>
  <r>
    <x v="8"/>
    <d v="2026-07-09T00:00:00"/>
    <x v="22"/>
    <n v="2283"/>
    <x v="0"/>
    <n v="6"/>
    <s v="L"/>
    <m/>
    <s v="2283_1"/>
    <s v="Stebbins_Gulch"/>
    <x v="3"/>
    <s v="Tsuga"/>
    <s v="canadensis"/>
    <s v="Pinaceae"/>
    <x v="5"/>
  </r>
  <r>
    <x v="8"/>
    <d v="2026-07-09T00:00:00"/>
    <x v="22"/>
    <n v="2284"/>
    <x v="0"/>
    <n v="14"/>
    <s v="L,A"/>
    <s v="POM at 1.28m, ground is sloped"/>
    <s v="2284_1"/>
    <s v="Stebbins_Gulch"/>
    <x v="3"/>
    <s v="Tsuga"/>
    <s v="canadensis"/>
    <s v="Pinaceae"/>
    <x v="3"/>
  </r>
  <r>
    <x v="8"/>
    <d v="2026-07-09T00:00:00"/>
    <x v="22"/>
    <n v="2285"/>
    <x v="0"/>
    <n v="8"/>
    <s v="L"/>
    <m/>
    <s v="2285_1"/>
    <s v="Stebbins_Gulch"/>
    <x v="3"/>
    <s v="Tsuga"/>
    <s v="canadensis"/>
    <s v="Pinaceae"/>
    <x v="5"/>
  </r>
  <r>
    <x v="8"/>
    <d v="2026-07-09T00:00:00"/>
    <x v="7"/>
    <n v="2286"/>
    <x v="0"/>
    <n v="16.8"/>
    <s v="N/A"/>
    <m/>
    <s v="2286_1"/>
    <s v="Stebbins_Gulch"/>
    <x v="3"/>
    <s v="Fagus"/>
    <s v="grandifolia"/>
    <s v="Fagaceae"/>
    <x v="3"/>
  </r>
  <r>
    <x v="8"/>
    <d v="2026-07-09T00:00:00"/>
    <x v="22"/>
    <n v="2287"/>
    <x v="0"/>
    <n v="6.2"/>
    <s v="L"/>
    <m/>
    <s v="2287_1"/>
    <s v="Stebbins_Gulch"/>
    <x v="3"/>
    <s v="Tsuga"/>
    <s v="canadensis"/>
    <s v="Pinaceae"/>
    <x v="5"/>
  </r>
  <r>
    <x v="8"/>
    <d v="2026-07-09T00:00:00"/>
    <x v="22"/>
    <n v="2288"/>
    <x v="0"/>
    <n v="6.4"/>
    <s v="N/A"/>
    <s v="ground is sloped"/>
    <s v="2288_1"/>
    <s v="Stebbins_Gulch"/>
    <x v="3"/>
    <s v="Tsuga"/>
    <s v="canadensis"/>
    <s v="Pinaceae"/>
    <x v="5"/>
  </r>
  <r>
    <x v="8"/>
    <d v="2026-07-09T00:00:00"/>
    <x v="22"/>
    <n v="2289"/>
    <x v="0"/>
    <n v="12.2"/>
    <s v="L"/>
    <m/>
    <s v="2289_1"/>
    <s v="Stebbins_Gulch"/>
    <x v="3"/>
    <s v="Tsuga"/>
    <s v="canadensis"/>
    <s v="Pinaceae"/>
    <x v="3"/>
  </r>
  <r>
    <x v="8"/>
    <d v="2026-07-09T00:00:00"/>
    <x v="10"/>
    <n v="2290"/>
    <x v="0"/>
    <n v="86.9"/>
    <s v="L"/>
    <m/>
    <s v="2290_1"/>
    <s v="Stebbins_Gulch"/>
    <x v="3"/>
    <s v="Quercus"/>
    <s v="rubra"/>
    <s v="Fagaceae"/>
    <x v="4"/>
  </r>
  <r>
    <x v="8"/>
    <d v="2026-07-09T00:00:00"/>
    <x v="22"/>
    <n v="2291"/>
    <x v="0"/>
    <n v="8.6999999999999993"/>
    <s v="L "/>
    <m/>
    <s v="2291_1"/>
    <s v="Stebbins_Gulch"/>
    <x v="3"/>
    <s v="Tsuga"/>
    <s v="canadensis"/>
    <s v="Pinaceae"/>
    <x v="5"/>
  </r>
  <r>
    <x v="8"/>
    <d v="2026-07-09T00:00:00"/>
    <x v="0"/>
    <n v="2292"/>
    <x v="0"/>
    <n v="4.7"/>
    <s v="N/A"/>
    <m/>
    <s v="2292_1"/>
    <s v="Stebbins_Gulch"/>
    <x v="3"/>
    <s v="Acer"/>
    <s v="saccharum"/>
    <s v="Sapindaceae"/>
    <x v="2"/>
  </r>
  <r>
    <x v="8"/>
    <d v="2026-07-09T00:00:00"/>
    <x v="0"/>
    <n v="2293"/>
    <x v="0"/>
    <n v="24.2"/>
    <s v="L"/>
    <m/>
    <s v="2293_1"/>
    <s v="Stebbins_Gulch"/>
    <x v="3"/>
    <s v="Acer"/>
    <s v="saccharum"/>
    <s v="Sapindaceae"/>
    <x v="0"/>
  </r>
  <r>
    <x v="8"/>
    <d v="2026-07-09T00:00:00"/>
    <x v="7"/>
    <n v="2294"/>
    <x v="0"/>
    <n v="5.7"/>
    <s v="BB,L"/>
    <m/>
    <s v="2294_1"/>
    <s v="Stebbins_Gulch"/>
    <x v="3"/>
    <s v="Fagus"/>
    <s v="grandifolia"/>
    <s v="Fagaceae"/>
    <x v="5"/>
  </r>
  <r>
    <x v="8"/>
    <d v="2026-07-09T00:00:00"/>
    <x v="0"/>
    <n v="2295"/>
    <x v="0"/>
    <n v="23.6"/>
    <s v="N/A"/>
    <m/>
    <s v="2295_1"/>
    <s v="Stebbins_Gulch"/>
    <x v="3"/>
    <s v="Acer"/>
    <s v="saccharum"/>
    <s v="Sapindaceae"/>
    <x v="0"/>
  </r>
  <r>
    <x v="8"/>
    <d v="2026-07-09T00:00:00"/>
    <x v="22"/>
    <n v="2296"/>
    <x v="0"/>
    <n v="10.3"/>
    <s v="L,W,A"/>
    <s v="POM at 1.28m"/>
    <s v="2296_1"/>
    <s v="Stebbins_Gulch"/>
    <x v="3"/>
    <s v="Tsuga"/>
    <s v="canadensis"/>
    <s v="Pinaceae"/>
    <x v="3"/>
  </r>
  <r>
    <x v="8"/>
    <d v="2026-07-09T00:00:00"/>
    <x v="0"/>
    <n v="2297"/>
    <x v="0"/>
    <n v="22.8"/>
    <s v="N/A"/>
    <m/>
    <s v="2297_1"/>
    <s v="Stebbins_Gulch"/>
    <x v="3"/>
    <s v="Acer"/>
    <s v="saccharum"/>
    <s v="Sapindaceae"/>
    <x v="0"/>
  </r>
  <r>
    <x v="8"/>
    <d v="2026-07-09T00:00:00"/>
    <x v="16"/>
    <n v="2298"/>
    <x v="0"/>
    <n v="46.1"/>
    <s v="N/A"/>
    <s v="ground is sloped"/>
    <s v="2298_1"/>
    <s v="Stebbins_Gulch"/>
    <x v="3"/>
    <s v="Carya"/>
    <s v="cordiformis"/>
    <s v="Juglandaceae"/>
    <x v="1"/>
  </r>
  <r>
    <x v="8"/>
    <d v="2026-07-09T00:00:00"/>
    <x v="19"/>
    <n v="2299"/>
    <x v="0"/>
    <n v="1.2"/>
    <s v="W,BB"/>
    <s v="soft tape. Possibly OSVI. seen both here, no lenticles to indicate OSVI"/>
    <s v="2299_1"/>
    <s v="Stebbins_Gulch"/>
    <x v="3"/>
    <s v="Carpinus"/>
    <s v="caroliniana"/>
    <s v="Betulaceae"/>
    <x v="2"/>
  </r>
  <r>
    <x v="8"/>
    <d v="2026-07-09T00:00:00"/>
    <x v="7"/>
    <n v="2300"/>
    <x v="0"/>
    <n v="2.9"/>
    <s v="BB"/>
    <s v="ground is sloped"/>
    <s v="2300_1"/>
    <s v="Stebbins_Gulch"/>
    <x v="3"/>
    <s v="Fagus"/>
    <s v="grandifolia"/>
    <s v="Fagaceae"/>
    <x v="2"/>
  </r>
  <r>
    <x v="8"/>
    <d v="2026-07-09T00:00:00"/>
    <x v="22"/>
    <n v="2301"/>
    <x v="0"/>
    <n v="10.6"/>
    <s v="L"/>
    <m/>
    <s v="2301_1"/>
    <s v="Stebbins_Gulch"/>
    <x v="3"/>
    <s v="Tsuga"/>
    <s v="canadensis"/>
    <s v="Pinaceae"/>
    <x v="3"/>
  </r>
  <r>
    <x v="8"/>
    <d v="2026-07-09T00:00:00"/>
    <x v="0"/>
    <n v="2302"/>
    <x v="0"/>
    <n v="17.2"/>
    <s v="N/A"/>
    <s v="ground is sloped"/>
    <s v="2302_1"/>
    <s v="Stebbins_Gulch"/>
    <x v="3"/>
    <s v="Acer"/>
    <s v="saccharum"/>
    <s v="Sapindaceae"/>
    <x v="3"/>
  </r>
  <r>
    <x v="8"/>
    <d v="2026-07-09T00:00:00"/>
    <x v="10"/>
    <n v="2303"/>
    <x v="0"/>
    <n v="52.1"/>
    <s v="N/A"/>
    <s v="ground is sloped"/>
    <s v="2303_1"/>
    <s v="Stebbins_Gulch"/>
    <x v="3"/>
    <s v="Quercus"/>
    <s v="rubra"/>
    <s v="Fagaceae"/>
    <x v="4"/>
  </r>
  <r>
    <x v="8"/>
    <d v="2026-07-09T00:00:00"/>
    <x v="0"/>
    <n v="2304"/>
    <x v="0"/>
    <n v="1.3"/>
    <s v="L"/>
    <s v="soft tape, ground is sloped"/>
    <s v="2304_1"/>
    <s v="Stebbins_Gulch"/>
    <x v="3"/>
    <s v="Acer"/>
    <s v="saccharum"/>
    <s v="Sapindaceae"/>
    <x v="2"/>
  </r>
  <r>
    <x v="8"/>
    <d v="2026-07-09T00:00:00"/>
    <x v="0"/>
    <n v="2305"/>
    <x v="0"/>
    <n v="1.5"/>
    <s v="N/A"/>
    <m/>
    <s v="2305_1"/>
    <s v="Stebbins_Gulch"/>
    <x v="3"/>
    <s v="Acer"/>
    <s v="saccharum"/>
    <s v="Sapindaceae"/>
    <x v="2"/>
  </r>
  <r>
    <x v="8"/>
    <d v="2026-07-09T00:00:00"/>
    <x v="8"/>
    <n v="2306"/>
    <x v="0"/>
    <n v="1.5"/>
    <s v="BB"/>
    <s v="ground is sloped"/>
    <s v="2306_1"/>
    <s v="Stebbins_Gulch"/>
    <x v="3"/>
    <s v="Ostrya"/>
    <s v="viginiana"/>
    <s v="Betulaceae"/>
    <x v="2"/>
  </r>
  <r>
    <x v="8"/>
    <d v="2026-07-09T00:00:00"/>
    <x v="7"/>
    <n v="2307"/>
    <x v="0"/>
    <n v="3.2"/>
    <s v="L,M"/>
    <s v="ground is sloped"/>
    <s v="2307_1"/>
    <s v="Stebbins_Gulch"/>
    <x v="3"/>
    <s v="Fagus"/>
    <s v="grandifolia"/>
    <s v="Fagaceae"/>
    <x v="2"/>
  </r>
  <r>
    <x v="8"/>
    <d v="2026-07-09T00:00:00"/>
    <x v="7"/>
    <n v="2307"/>
    <x v="1"/>
    <n v="1.5"/>
    <s v="L,W,M,A"/>
    <s v="POM at 1.28m"/>
    <s v="2307_2"/>
    <s v="Stebbins_Gulch"/>
    <x v="3"/>
    <s v="Fagus"/>
    <s v="grandifolia"/>
    <s v="Fagaceae"/>
    <x v="2"/>
  </r>
  <r>
    <x v="8"/>
    <d v="2026-07-09T00:00:00"/>
    <x v="7"/>
    <n v="2308"/>
    <x v="0"/>
    <n v="6"/>
    <s v="L"/>
    <s v="ground is sloped"/>
    <s v="2308_1"/>
    <s v="Stebbins_Gulch"/>
    <x v="3"/>
    <s v="Fagus"/>
    <s v="grandifolia"/>
    <s v="Fagaceae"/>
    <x v="5"/>
  </r>
  <r>
    <x v="8"/>
    <d v="2026-07-09T00:00:00"/>
    <x v="7"/>
    <n v="2309"/>
    <x v="0"/>
    <n v="10.8"/>
    <s v="N/A"/>
    <s v="ground is sloped"/>
    <s v="2309_1"/>
    <s v="Stebbins_Gulch"/>
    <x v="3"/>
    <s v="Fagus"/>
    <s v="grandifolia"/>
    <s v="Fagaceae"/>
    <x v="3"/>
  </r>
  <r>
    <x v="8"/>
    <d v="2026-07-09T00:00:00"/>
    <x v="7"/>
    <n v="2310"/>
    <x v="0"/>
    <n v="1.8"/>
    <s v="A,BB"/>
    <s v="POM at 1.28m"/>
    <s v="2310_1"/>
    <s v="Stebbins_Gulch"/>
    <x v="3"/>
    <s v="Fagus"/>
    <s v="grandifolia"/>
    <s v="Fagaceae"/>
    <x v="2"/>
  </r>
  <r>
    <x v="8"/>
    <d v="2026-07-09T00:00:00"/>
    <x v="10"/>
    <n v="2311"/>
    <x v="0"/>
    <n v="47.8"/>
    <s v="L"/>
    <s v="ground is sloped"/>
    <s v="2311_1"/>
    <s v="Stebbins_Gulch"/>
    <x v="3"/>
    <s v="Quercus"/>
    <s v="rubra"/>
    <s v="Fagaceae"/>
    <x v="1"/>
  </r>
  <r>
    <x v="8"/>
    <d v="2026-07-09T00:00:00"/>
    <x v="5"/>
    <n v="2312"/>
    <x v="0"/>
    <n v="29.2"/>
    <s v="N/A"/>
    <s v="ground is sloped"/>
    <s v="2312_1"/>
    <s v="Stebbins_Gulch"/>
    <x v="3"/>
    <s v="Magnolia"/>
    <s v="acuminata"/>
    <s v="Magnoliaceae"/>
    <x v="0"/>
  </r>
  <r>
    <x v="8"/>
    <d v="2026-07-09T00:00:00"/>
    <x v="22"/>
    <n v="2313"/>
    <x v="0"/>
    <n v="11.6"/>
    <s v="L,A"/>
    <s v="POM at 1.28m, ground is sloped"/>
    <s v="2313_1"/>
    <s v="Stebbins_Gulch"/>
    <x v="3"/>
    <s v="Tsuga"/>
    <s v="canadensis"/>
    <s v="Pinaceae"/>
    <x v="3"/>
  </r>
  <r>
    <x v="8"/>
    <d v="2026-07-09T00:00:00"/>
    <x v="22"/>
    <n v="2314"/>
    <x v="0"/>
    <n v="18.5"/>
    <s v="L"/>
    <m/>
    <s v="2314_1"/>
    <s v="Stebbins_Gulch"/>
    <x v="3"/>
    <s v="Tsuga"/>
    <s v="canadensis"/>
    <s v="Pinaceae"/>
    <x v="3"/>
  </r>
  <r>
    <x v="8"/>
    <d v="2026-07-09T00:00:00"/>
    <x v="7"/>
    <n v="2315"/>
    <x v="0"/>
    <n v="10.199999999999999"/>
    <s v="A"/>
    <s v="POM at 1.28m"/>
    <s v="2315_1"/>
    <s v="Stebbins_Gulch"/>
    <x v="3"/>
    <s v="Fagus"/>
    <s v="grandifolia"/>
    <s v="Fagaceae"/>
    <x v="3"/>
  </r>
  <r>
    <x v="8"/>
    <d v="2026-07-09T00:00:00"/>
    <x v="6"/>
    <n v="2316"/>
    <x v="0"/>
    <n v="27.2"/>
    <s v="N/A"/>
    <m/>
    <s v="2316_1"/>
    <s v="Stebbins_Gulch"/>
    <x v="3"/>
    <s v="Nyssa"/>
    <s v="sylvatica"/>
    <s v="Nyssaceae"/>
    <x v="0"/>
  </r>
  <r>
    <x v="8"/>
    <d v="2026-07-09T00:00:00"/>
    <x v="19"/>
    <n v="2317"/>
    <x v="0"/>
    <n v="3"/>
    <s v="W,L"/>
    <s v="soft tape used"/>
    <s v="2317_1"/>
    <s v="Stebbins_Gulch"/>
    <x v="3"/>
    <s v="Carpinus"/>
    <s v="caroliniana"/>
    <s v="Betulaceae"/>
    <x v="2"/>
  </r>
  <r>
    <x v="8"/>
    <d v="2026-07-09T00:00:00"/>
    <x v="7"/>
    <n v="2318"/>
    <x v="0"/>
    <n v="4.7"/>
    <s v="W,BB,A"/>
    <s v="POM at 1.28m"/>
    <s v="2318_1"/>
    <s v="Stebbins_Gulch"/>
    <x v="3"/>
    <s v="Fagus"/>
    <s v="grandifolia"/>
    <s v="Fagaceae"/>
    <x v="2"/>
  </r>
  <r>
    <x v="9"/>
    <d v="2026-07-10T00:00:00"/>
    <x v="7"/>
    <n v="2319"/>
    <x v="0"/>
    <n v="18.5"/>
    <s v="N/A"/>
    <m/>
    <s v="2319_1"/>
    <s v="Baldwin"/>
    <x v="3"/>
    <s v="Fagus"/>
    <s v="grandifolia"/>
    <s v="Fagaceae"/>
    <x v="3"/>
  </r>
  <r>
    <x v="9"/>
    <d v="2026-07-10T00:00:00"/>
    <x v="22"/>
    <n v="2320"/>
    <x v="0"/>
    <n v="8.5"/>
    <s v="W"/>
    <m/>
    <s v="2320_1"/>
    <s v="Baldwin"/>
    <x v="3"/>
    <s v="Tsuga"/>
    <s v="canadensis"/>
    <s v="Pinaceae"/>
    <x v="5"/>
  </r>
  <r>
    <x v="9"/>
    <d v="2026-07-10T00:00:00"/>
    <x v="22"/>
    <n v="2321"/>
    <x v="0"/>
    <n v="21.8"/>
    <s v="N/A"/>
    <m/>
    <s v="2321_1"/>
    <s v="Baldwin"/>
    <x v="3"/>
    <s v="Tsuga"/>
    <s v="canadensis"/>
    <s v="Pinaceae"/>
    <x v="0"/>
  </r>
  <r>
    <x v="9"/>
    <d v="2026-07-10T00:00:00"/>
    <x v="7"/>
    <n v="2322"/>
    <x v="0"/>
    <n v="4"/>
    <s v="N/A"/>
    <m/>
    <s v="2322_1"/>
    <s v="Baldwin"/>
    <x v="3"/>
    <s v="Fagus"/>
    <s v="grandifolia"/>
    <s v="Fagaceae"/>
    <x v="2"/>
  </r>
  <r>
    <x v="9"/>
    <d v="2026-07-10T00:00:00"/>
    <x v="7"/>
    <n v="2323"/>
    <x v="0"/>
    <n v="2.2999999999999998"/>
    <s v="L"/>
    <m/>
    <s v="2323_1"/>
    <s v="Baldwin"/>
    <x v="3"/>
    <s v="Fagus"/>
    <s v="grandifolia"/>
    <s v="Fagaceae"/>
    <x v="2"/>
  </r>
  <r>
    <x v="9"/>
    <d v="2026-07-10T00:00:00"/>
    <x v="22"/>
    <n v="2324"/>
    <x v="0"/>
    <n v="8.3000000000000007"/>
    <s v="L"/>
    <m/>
    <s v="2324_1"/>
    <s v="Baldwin"/>
    <x v="3"/>
    <s v="Tsuga"/>
    <s v="canadensis"/>
    <s v="Pinaceae"/>
    <x v="5"/>
  </r>
  <r>
    <x v="9"/>
    <d v="2026-07-10T00:00:00"/>
    <x v="7"/>
    <n v="2325"/>
    <x v="0"/>
    <n v="56.1"/>
    <s v="M"/>
    <m/>
    <s v="2325_1"/>
    <s v="Baldwin"/>
    <x v="3"/>
    <s v="Fagus"/>
    <s v="grandifolia"/>
    <s v="Fagaceae"/>
    <x v="4"/>
  </r>
  <r>
    <x v="9"/>
    <d v="2026-07-10T00:00:00"/>
    <x v="7"/>
    <n v="2325"/>
    <x v="1"/>
    <n v="4.2"/>
    <s v="M"/>
    <s v="slight wave"/>
    <s v="2325_2"/>
    <s v="Baldwin"/>
    <x v="3"/>
    <s v="Fagus"/>
    <s v="grandifolia"/>
    <s v="Fagaceae"/>
    <x v="2"/>
  </r>
  <r>
    <x v="9"/>
    <d v="2026-07-10T00:00:00"/>
    <x v="7"/>
    <n v="2325"/>
    <x v="2"/>
    <n v="3.9"/>
    <s v="M"/>
    <s v="slight wave"/>
    <s v="2325_3"/>
    <s v="Baldwin"/>
    <x v="3"/>
    <s v="Fagus"/>
    <s v="grandifolia"/>
    <s v="Fagaceae"/>
    <x v="2"/>
  </r>
  <r>
    <x v="9"/>
    <d v="2026-07-10T00:00:00"/>
    <x v="7"/>
    <n v="2325"/>
    <x v="3"/>
    <n v="3.5"/>
    <s v="M, L"/>
    <s v="slight wave"/>
    <s v="2325_4"/>
    <s v="Baldwin"/>
    <x v="3"/>
    <s v="Fagus"/>
    <s v="grandifolia"/>
    <s v="Fagaceae"/>
    <x v="2"/>
  </r>
  <r>
    <x v="9"/>
    <d v="2026-07-10T00:00:00"/>
    <x v="7"/>
    <n v="2325"/>
    <x v="4"/>
    <n v="2"/>
    <s v="M"/>
    <s v="slight wave"/>
    <s v="2325_5"/>
    <s v="Baldwin"/>
    <x v="3"/>
    <s v="Fagus"/>
    <s v="grandifolia"/>
    <s v="Fagaceae"/>
    <x v="2"/>
  </r>
  <r>
    <x v="9"/>
    <d v="2026-07-10T00:00:00"/>
    <x v="7"/>
    <n v="2325"/>
    <x v="5"/>
    <n v="1.6"/>
    <s v="M"/>
    <s v="slight wave"/>
    <s v="2325_6"/>
    <s v="Baldwin"/>
    <x v="3"/>
    <s v="Fagus"/>
    <s v="grandifolia"/>
    <s v="Fagaceae"/>
    <x v="2"/>
  </r>
  <r>
    <x v="9"/>
    <d v="2026-07-10T00:00:00"/>
    <x v="7"/>
    <n v="2326"/>
    <x v="0"/>
    <n v="2.6"/>
    <s v="N/A"/>
    <m/>
    <s v="2326_1"/>
    <s v="Baldwin"/>
    <x v="3"/>
    <s v="Fagus"/>
    <s v="grandifolia"/>
    <s v="Fagaceae"/>
    <x v="2"/>
  </r>
  <r>
    <x v="9"/>
    <d v="2026-07-10T00:00:00"/>
    <x v="22"/>
    <n v="2327"/>
    <x v="0"/>
    <n v="18.600000000000001"/>
    <s v="N/A"/>
    <m/>
    <s v="2327_1"/>
    <s v="Baldwin"/>
    <x v="3"/>
    <s v="Tsuga"/>
    <s v="canadensis"/>
    <s v="Pinaceae"/>
    <x v="3"/>
  </r>
  <r>
    <x v="9"/>
    <d v="2026-07-10T00:00:00"/>
    <x v="7"/>
    <n v="2328"/>
    <x v="0"/>
    <n v="19.899999999999999"/>
    <s v="N/A"/>
    <m/>
    <s v="2328_1"/>
    <s v="Baldwin"/>
    <x v="3"/>
    <s v="Fagus"/>
    <s v="grandifolia"/>
    <s v="Fagaceae"/>
    <x v="3"/>
  </r>
  <r>
    <x v="9"/>
    <d v="2026-07-10T00:00:00"/>
    <x v="7"/>
    <n v="2329"/>
    <x v="0"/>
    <n v="1.3"/>
    <s v="L"/>
    <s v="maybe rootsprout, but hard to tell"/>
    <s v="2329_1"/>
    <s v="Baldwin"/>
    <x v="3"/>
    <s v="Fagus"/>
    <s v="grandifolia"/>
    <s v="Fagaceae"/>
    <x v="2"/>
  </r>
  <r>
    <x v="9"/>
    <d v="2026-07-10T00:00:00"/>
    <x v="22"/>
    <n v="2330"/>
    <x v="0"/>
    <n v="14.4"/>
    <s v="L"/>
    <m/>
    <s v="2330_1"/>
    <s v="Baldwin"/>
    <x v="3"/>
    <s v="Tsuga"/>
    <s v="canadensis"/>
    <s v="Pinaceae"/>
    <x v="3"/>
  </r>
  <r>
    <x v="9"/>
    <d v="2026-07-10T00:00:00"/>
    <x v="22"/>
    <n v="2331"/>
    <x v="0"/>
    <n v="10.199999999999999"/>
    <s v="W"/>
    <s v="stick used"/>
    <s v="2331_1"/>
    <s v="Baldwin"/>
    <x v="3"/>
    <s v="Tsuga"/>
    <s v="canadensis"/>
    <s v="Pinaceae"/>
    <x v="3"/>
  </r>
  <r>
    <x v="9"/>
    <d v="2026-07-10T00:00:00"/>
    <x v="22"/>
    <n v="2332"/>
    <x v="0"/>
    <n v="14.2"/>
    <s v="W"/>
    <s v="stick used"/>
    <s v="2332_1"/>
    <s v="Baldwin"/>
    <x v="3"/>
    <s v="Tsuga"/>
    <s v="canadensis"/>
    <s v="Pinaceae"/>
    <x v="3"/>
  </r>
  <r>
    <x v="9"/>
    <d v="2026-07-10T00:00:00"/>
    <x v="22"/>
    <n v="2333"/>
    <x v="0"/>
    <n v="10.1"/>
    <s v="L"/>
    <m/>
    <s v="2333_1"/>
    <s v="Baldwin"/>
    <x v="3"/>
    <s v="Tsuga"/>
    <s v="canadensis"/>
    <s v="Pinaceae"/>
    <x v="3"/>
  </r>
  <r>
    <x v="9"/>
    <d v="2026-07-10T00:00:00"/>
    <x v="22"/>
    <n v="2334"/>
    <x v="0"/>
    <n v="4.5"/>
    <s v="W"/>
    <s v="stick used"/>
    <s v="2334_1"/>
    <s v="Baldwin"/>
    <x v="3"/>
    <s v="Tsuga"/>
    <s v="canadensis"/>
    <s v="Pinaceae"/>
    <x v="2"/>
  </r>
  <r>
    <x v="9"/>
    <d v="2026-07-10T00:00:00"/>
    <x v="22"/>
    <n v="2335"/>
    <x v="0"/>
    <n v="2.4"/>
    <s v="L"/>
    <s v="next to dead TSCA under debris"/>
    <s v="2335_1"/>
    <s v="Baldwin"/>
    <x v="3"/>
    <s v="Tsuga"/>
    <s v="canadensis"/>
    <s v="Pinaceae"/>
    <x v="2"/>
  </r>
  <r>
    <x v="9"/>
    <d v="2026-07-10T00:00:00"/>
    <x v="22"/>
    <n v="2336"/>
    <x v="0"/>
    <n v="4.2"/>
    <s v="W"/>
    <m/>
    <s v="2336_1"/>
    <s v="Baldwin"/>
    <x v="3"/>
    <s v="Tsuga"/>
    <s v="canadensis"/>
    <s v="Pinaceae"/>
    <x v="2"/>
  </r>
  <r>
    <x v="9"/>
    <d v="2026-07-10T00:00:00"/>
    <x v="22"/>
    <n v="2337"/>
    <x v="0"/>
    <n v="15.6"/>
    <s v="N/A"/>
    <m/>
    <s v="2337_1"/>
    <s v="Baldwin"/>
    <x v="3"/>
    <s v="Tsuga"/>
    <s v="canadensis"/>
    <s v="Pinaceae"/>
    <x v="3"/>
  </r>
  <r>
    <x v="9"/>
    <d v="2026-07-10T00:00:00"/>
    <x v="22"/>
    <n v="2338"/>
    <x v="0"/>
    <n v="27.3"/>
    <s v="L"/>
    <m/>
    <s v="2338_1"/>
    <s v="Baldwin"/>
    <x v="3"/>
    <s v="Tsuga"/>
    <s v="canadensis"/>
    <s v="Pinaceae"/>
    <x v="0"/>
  </r>
  <r>
    <x v="9"/>
    <d v="2026-07-10T00:00:00"/>
    <x v="22"/>
    <n v="2339"/>
    <x v="0"/>
    <n v="7.1"/>
    <s v="L, B"/>
    <s v="debris on top killed original lead"/>
    <s v="2339_1"/>
    <s v="Baldwin"/>
    <x v="3"/>
    <s v="Tsuga"/>
    <s v="canadensis"/>
    <s v="Pinaceae"/>
    <x v="5"/>
  </r>
  <r>
    <x v="9"/>
    <d v="2026-07-10T00:00:00"/>
    <x v="7"/>
    <n v="2340"/>
    <x v="0"/>
    <n v="57"/>
    <s v="N/A"/>
    <m/>
    <s v="2340_1"/>
    <s v="Baldwin"/>
    <x v="3"/>
    <s v="Fagus"/>
    <s v="grandifolia"/>
    <s v="Fagaceae"/>
    <x v="4"/>
  </r>
  <r>
    <x v="9"/>
    <d v="2026-07-10T00:00:00"/>
    <x v="22"/>
    <n v="2341"/>
    <x v="0"/>
    <n v="13.2"/>
    <s v="L/W"/>
    <s v="stick used"/>
    <s v="2341_1"/>
    <s v="Baldwin"/>
    <x v="3"/>
    <s v="Tsuga"/>
    <s v="canadensis"/>
    <s v="Pinaceae"/>
    <x v="3"/>
  </r>
  <r>
    <x v="9"/>
    <d v="2026-07-10T00:00:00"/>
    <x v="22"/>
    <n v="2342"/>
    <x v="0"/>
    <n v="19.899999999999999"/>
    <s v="L/W"/>
    <s v="stick used"/>
    <s v="2342_1"/>
    <s v="Baldwin"/>
    <x v="3"/>
    <s v="Tsuga"/>
    <s v="canadensis"/>
    <s v="Pinaceae"/>
    <x v="3"/>
  </r>
  <r>
    <x v="9"/>
    <d v="2026-07-10T00:00:00"/>
    <x v="7"/>
    <n v="2343"/>
    <x v="0"/>
    <n v="67.400000000000006"/>
    <s v="L"/>
    <s v="sad canopy"/>
    <s v="2343_1"/>
    <s v="Baldwin"/>
    <x v="3"/>
    <s v="Fagus"/>
    <s v="grandifolia"/>
    <s v="Fagaceae"/>
    <x v="4"/>
  </r>
  <r>
    <x v="9"/>
    <d v="2026-07-10T00:00:00"/>
    <x v="22"/>
    <n v="2344"/>
    <x v="0"/>
    <n v="13"/>
    <s v="L/W"/>
    <s v="stick used"/>
    <s v="2344_1"/>
    <s v="Baldwin"/>
    <x v="3"/>
    <s v="Tsuga"/>
    <s v="canadensis"/>
    <s v="Pinaceae"/>
    <x v="3"/>
  </r>
  <r>
    <x v="9"/>
    <d v="2026-07-10T00:00:00"/>
    <x v="22"/>
    <n v="2345"/>
    <x v="0"/>
    <n v="12.4"/>
    <s v="L/W"/>
    <s v="stick used"/>
    <s v="2345_1"/>
    <s v="Baldwin"/>
    <x v="3"/>
    <s v="Tsuga"/>
    <s v="canadensis"/>
    <s v="Pinaceae"/>
    <x v="3"/>
  </r>
  <r>
    <x v="9"/>
    <d v="2026-07-10T00:00:00"/>
    <x v="22"/>
    <n v="2346"/>
    <x v="0"/>
    <n v="15.2"/>
    <s v="L, A"/>
    <s v="POM at 1.28"/>
    <s v="2346_1"/>
    <s v="Baldwin"/>
    <x v="3"/>
    <s v="Tsuga"/>
    <s v="canadensis"/>
    <s v="Pinaceae"/>
    <x v="3"/>
  </r>
  <r>
    <x v="9"/>
    <d v="2026-07-10T00:00:00"/>
    <x v="22"/>
    <n v="2347"/>
    <x v="0"/>
    <n v="8.6999999999999993"/>
    <s v="L"/>
    <m/>
    <s v="2347_1"/>
    <s v="Baldwin"/>
    <x v="3"/>
    <s v="Tsuga"/>
    <s v="canadensis"/>
    <s v="Pinaceae"/>
    <x v="5"/>
  </r>
  <r>
    <x v="9"/>
    <d v="2026-07-10T00:00:00"/>
    <x v="22"/>
    <n v="2348"/>
    <x v="0"/>
    <n v="8.4"/>
    <s v="L/W"/>
    <s v="stick used"/>
    <s v="2348_1"/>
    <s v="Baldwin"/>
    <x v="3"/>
    <s v="Tsuga"/>
    <s v="canadensis"/>
    <s v="Pinaceae"/>
    <x v="5"/>
  </r>
  <r>
    <x v="9"/>
    <d v="2026-07-10T00:00:00"/>
    <x v="22"/>
    <n v="2349"/>
    <x v="0"/>
    <n v="26.5"/>
    <s v="N/A"/>
    <m/>
    <s v="2349_1"/>
    <s v="Baldwin"/>
    <x v="3"/>
    <s v="Tsuga"/>
    <s v="canadensis"/>
    <s v="Pinaceae"/>
    <x v="0"/>
  </r>
  <r>
    <x v="9"/>
    <d v="2026-07-10T00:00:00"/>
    <x v="22"/>
    <n v="2350"/>
    <x v="0"/>
    <n v="14.1"/>
    <s v="L"/>
    <m/>
    <s v="2350_1"/>
    <s v="Baldwin"/>
    <x v="3"/>
    <s v="Tsuga"/>
    <s v="canadensis"/>
    <s v="Pinaceae"/>
    <x v="3"/>
  </r>
  <r>
    <x v="9"/>
    <d v="2026-07-10T00:00:00"/>
    <x v="22"/>
    <n v="2351"/>
    <x v="0"/>
    <n v="14.6"/>
    <s v="N/A"/>
    <m/>
    <s v="2351_1"/>
    <s v="Baldwin"/>
    <x v="3"/>
    <s v="Tsuga"/>
    <s v="canadensis"/>
    <s v="Pinaceae"/>
    <x v="3"/>
  </r>
  <r>
    <x v="9"/>
    <d v="2026-07-10T00:00:00"/>
    <x v="22"/>
    <n v="2352"/>
    <x v="0"/>
    <n v="31"/>
    <s v="N/A"/>
    <m/>
    <s v="2352_1"/>
    <s v="Baldwin"/>
    <x v="3"/>
    <s v="Tsuga"/>
    <s v="canadensis"/>
    <s v="Pinaceae"/>
    <x v="0"/>
  </r>
  <r>
    <x v="9"/>
    <d v="2026-07-10T00:00:00"/>
    <x v="22"/>
    <n v="2353"/>
    <x v="0"/>
    <n v="11.2"/>
    <s v="L"/>
    <s v="damage on top side"/>
    <s v="2353_1"/>
    <s v="Baldwin"/>
    <x v="3"/>
    <s v="Tsuga"/>
    <s v="canadensis"/>
    <s v="Pinaceae"/>
    <x v="3"/>
  </r>
  <r>
    <x v="9"/>
    <d v="2026-07-10T00:00:00"/>
    <x v="22"/>
    <n v="2354"/>
    <x v="0"/>
    <n v="31.8"/>
    <s v="N/A"/>
    <m/>
    <s v="2354_1"/>
    <s v="Baldwin"/>
    <x v="3"/>
    <s v="Tsuga"/>
    <s v="canadensis"/>
    <s v="Pinaceae"/>
    <x v="0"/>
  </r>
  <r>
    <x v="9"/>
    <d v="2026-07-10T00:00:00"/>
    <x v="22"/>
    <n v="2355"/>
    <x v="0"/>
    <n v="21"/>
    <s v="N/A"/>
    <m/>
    <s v="2355_1"/>
    <s v="Baldwin"/>
    <x v="3"/>
    <s v="Tsuga"/>
    <s v="canadensis"/>
    <s v="Pinaceae"/>
    <x v="0"/>
  </r>
  <r>
    <x v="9"/>
    <d v="2026-07-10T00:00:00"/>
    <x v="7"/>
    <n v="2356"/>
    <x v="0"/>
    <n v="27.6"/>
    <s v="L"/>
    <m/>
    <s v="2356_1"/>
    <s v="Baldwin"/>
    <x v="3"/>
    <s v="Fagus"/>
    <s v="grandifolia"/>
    <s v="Fagaceae"/>
    <x v="0"/>
  </r>
  <r>
    <x v="9"/>
    <d v="2026-07-10T00:00:00"/>
    <x v="22"/>
    <n v="2357"/>
    <x v="0"/>
    <n v="35"/>
    <s v="L"/>
    <m/>
    <s v="2357_1"/>
    <s v="Baldwin"/>
    <x v="3"/>
    <s v="Tsuga"/>
    <s v="canadensis"/>
    <s v="Pinaceae"/>
    <x v="0"/>
  </r>
  <r>
    <x v="9"/>
    <d v="2026-07-10T00:00:00"/>
    <x v="22"/>
    <n v="2358"/>
    <x v="0"/>
    <n v="8.1999999999999993"/>
    <s v="W"/>
    <s v="soft tape"/>
    <s v="2358_1"/>
    <s v="Baldwin"/>
    <x v="3"/>
    <s v="Tsuga"/>
    <s v="canadensis"/>
    <s v="Pinaceae"/>
    <x v="5"/>
  </r>
  <r>
    <x v="9"/>
    <d v="2026-07-10T00:00:00"/>
    <x v="2"/>
    <n v="2359"/>
    <x v="0"/>
    <n v="29.4"/>
    <s v="L"/>
    <m/>
    <s v="2359_1"/>
    <s v="Baldwin"/>
    <x v="3"/>
    <s v="Acer"/>
    <s v="rubrum"/>
    <s v="Sapindaceae"/>
    <x v="0"/>
  </r>
  <r>
    <x v="9"/>
    <d v="2026-07-10T00:00:00"/>
    <x v="0"/>
    <n v="2360"/>
    <x v="0"/>
    <n v="2.5"/>
    <s v="M,A,W"/>
    <s v="soft tape"/>
    <s v="2360_1"/>
    <s v="Baldwin"/>
    <x v="3"/>
    <s v="Acer"/>
    <s v="saccharum"/>
    <s v="Sapindaceae"/>
    <x v="2"/>
  </r>
  <r>
    <x v="9"/>
    <d v="2026-07-10T00:00:00"/>
    <x v="0"/>
    <n v="2360"/>
    <x v="1"/>
    <n v="1.7"/>
    <s v="M,B,W"/>
    <s v="soft tape"/>
    <s v="2360_2"/>
    <s v="Baldwin"/>
    <x v="3"/>
    <s v="Acer"/>
    <s v="saccharum"/>
    <s v="Sapindaceae"/>
    <x v="2"/>
  </r>
  <r>
    <x v="9"/>
    <d v="2026-07-10T00:00:00"/>
    <x v="10"/>
    <n v="2361"/>
    <x v="0"/>
    <n v="82.3"/>
    <s v="N/A"/>
    <m/>
    <s v="2361_1"/>
    <s v="Baldwin"/>
    <x v="3"/>
    <s v="Quercus"/>
    <s v="rubra"/>
    <s v="Fagaceae"/>
    <x v="4"/>
  </r>
  <r>
    <x v="9"/>
    <d v="2026-07-10T00:00:00"/>
    <x v="22"/>
    <n v="2362"/>
    <x v="0"/>
    <n v="34"/>
    <s v="N/A"/>
    <m/>
    <s v="2362_1"/>
    <s v="Baldwin"/>
    <x v="3"/>
    <s v="Tsuga"/>
    <s v="canadensis"/>
    <s v="Pinaceae"/>
    <x v="0"/>
  </r>
  <r>
    <x v="9"/>
    <d v="2026-07-10T00:00:00"/>
    <x v="0"/>
    <n v="2363"/>
    <x v="0"/>
    <n v="11.6"/>
    <s v="W"/>
    <s v="soft tape"/>
    <s v="2363_1"/>
    <s v="Baldwin"/>
    <x v="3"/>
    <s v="Acer"/>
    <s v="saccharum"/>
    <s v="Sapindaceae"/>
    <x v="3"/>
  </r>
  <r>
    <x v="9"/>
    <d v="2026-07-10T00:00:00"/>
    <x v="22"/>
    <n v="2364"/>
    <x v="0"/>
    <n v="11.7"/>
    <s v="N/A"/>
    <m/>
    <s v="2364_1"/>
    <s v="Baldwin"/>
    <x v="3"/>
    <s v="Tsuga"/>
    <s v="canadensis"/>
    <s v="Pinaceae"/>
    <x v="3"/>
  </r>
  <r>
    <x v="9"/>
    <d v="2026-07-10T00:00:00"/>
    <x v="22"/>
    <n v="2365"/>
    <x v="0"/>
    <n v="13.4"/>
    <s v="B"/>
    <m/>
    <s v="2365_1"/>
    <s v="Baldwin"/>
    <x v="3"/>
    <s v="Tsuga"/>
    <s v="canadensis"/>
    <s v="Pinaceae"/>
    <x v="3"/>
  </r>
  <r>
    <x v="9"/>
    <d v="2026-07-10T00:00:00"/>
    <x v="2"/>
    <n v="2366"/>
    <x v="0"/>
    <n v="7.2"/>
    <s v="L"/>
    <m/>
    <s v="2366_1"/>
    <s v="Baldwin"/>
    <x v="3"/>
    <s v="Acer"/>
    <s v="rubrum"/>
    <s v="Sapindaceae"/>
    <x v="5"/>
  </r>
  <r>
    <x v="9"/>
    <d v="2026-07-10T00:00:00"/>
    <x v="0"/>
    <n v="2367"/>
    <x v="0"/>
    <n v="7"/>
    <s v="N/A"/>
    <m/>
    <s v="2367_1"/>
    <s v="Baldwin"/>
    <x v="3"/>
    <s v="Acer"/>
    <s v="saccharum"/>
    <s v="Sapindaceae"/>
    <x v="5"/>
  </r>
  <r>
    <x v="9"/>
    <d v="2026-07-10T00:00:00"/>
    <x v="22"/>
    <n v="2368"/>
    <x v="0"/>
    <n v="11.8"/>
    <s v="N/A"/>
    <m/>
    <s v="2368_1"/>
    <s v="Baldwin"/>
    <x v="3"/>
    <s v="Tsuga"/>
    <s v="canadensis"/>
    <s v="Pinaceae"/>
    <x v="3"/>
  </r>
  <r>
    <x v="9"/>
    <d v="2026-07-10T00:00:00"/>
    <x v="7"/>
    <n v="2369"/>
    <x v="0"/>
    <n v="9.6999999999999993"/>
    <s v="L,W"/>
    <m/>
    <s v="2369_1"/>
    <s v="Baldwin"/>
    <x v="3"/>
    <s v="Fagus"/>
    <s v="grandifolia"/>
    <s v="Fagaceae"/>
    <x v="5"/>
  </r>
  <r>
    <x v="9"/>
    <d v="2026-07-10T00:00:00"/>
    <x v="22"/>
    <n v="2370"/>
    <x v="0"/>
    <n v="14.2"/>
    <s v="L"/>
    <m/>
    <s v="2370_1"/>
    <s v="Baldwin"/>
    <x v="3"/>
    <s v="Tsuga"/>
    <s v="canadensis"/>
    <s v="Pinaceae"/>
    <x v="3"/>
  </r>
  <r>
    <x v="9"/>
    <d v="2026-07-10T00:00:00"/>
    <x v="22"/>
    <n v="2371"/>
    <x v="0"/>
    <n v="19.2"/>
    <s v="L"/>
    <m/>
    <s v="2371_1"/>
    <s v="Baldwin"/>
    <x v="3"/>
    <s v="Tsuga"/>
    <s v="canadensis"/>
    <s v="Pinaceae"/>
    <x v="3"/>
  </r>
  <r>
    <x v="9"/>
    <d v="2026-07-10T00:00:00"/>
    <x v="8"/>
    <n v="2372"/>
    <x v="0"/>
    <n v="2.1"/>
    <s v="L"/>
    <m/>
    <s v="2372_1"/>
    <s v="Baldwin"/>
    <x v="3"/>
    <s v="Ostrya"/>
    <s v="viginiana"/>
    <s v="Betulaceae"/>
    <x v="2"/>
  </r>
  <r>
    <x v="9"/>
    <d v="2026-07-10T00:00:00"/>
    <x v="0"/>
    <n v="2373"/>
    <x v="0"/>
    <n v="2.7"/>
    <s v="L"/>
    <m/>
    <s v="2373_1"/>
    <s v="Baldwin"/>
    <x v="3"/>
    <s v="Acer"/>
    <s v="saccharum"/>
    <s v="Sapindaceae"/>
    <x v="2"/>
  </r>
  <r>
    <x v="9"/>
    <d v="2026-07-10T00:00:00"/>
    <x v="8"/>
    <n v="2374"/>
    <x v="0"/>
    <n v="7.9"/>
    <s v="L,W"/>
    <m/>
    <s v="2374_1"/>
    <s v="Baldwin"/>
    <x v="3"/>
    <s v="Ostrya"/>
    <s v="viginiana"/>
    <s v="Betulaceae"/>
    <x v="5"/>
  </r>
  <r>
    <x v="9"/>
    <d v="2026-07-10T00:00:00"/>
    <x v="0"/>
    <n v="2375"/>
    <x v="0"/>
    <n v="5.2"/>
    <s v="L"/>
    <m/>
    <s v="2375_1"/>
    <s v="Baldwin"/>
    <x v="3"/>
    <s v="Acer"/>
    <s v="saccharum"/>
    <s v="Sapindaceae"/>
    <x v="5"/>
  </r>
  <r>
    <x v="9"/>
    <d v="2026-07-10T00:00:00"/>
    <x v="22"/>
    <n v="2376"/>
    <x v="0"/>
    <n v="12.9"/>
    <s v="L,W"/>
    <m/>
    <s v="2376_1"/>
    <s v="Baldwin"/>
    <x v="3"/>
    <s v="Tsuga"/>
    <s v="canadensis"/>
    <s v="Pinaceae"/>
    <x v="3"/>
  </r>
  <r>
    <x v="9"/>
    <d v="2026-07-10T00:00:00"/>
    <x v="22"/>
    <n v="2377"/>
    <x v="0"/>
    <n v="20.6"/>
    <s v="L,W"/>
    <m/>
    <s v="2377_1"/>
    <s v="Baldwin"/>
    <x v="3"/>
    <s v="Tsuga"/>
    <s v="canadensis"/>
    <s v="Pinaceae"/>
    <x v="0"/>
  </r>
  <r>
    <x v="9"/>
    <d v="2026-07-10T00:00:00"/>
    <x v="22"/>
    <n v="2378"/>
    <x v="0"/>
    <n v="8.8000000000000007"/>
    <s v="L"/>
    <m/>
    <s v="2378_1"/>
    <s v="Baldwin"/>
    <x v="3"/>
    <s v="Tsuga"/>
    <s v="canadensis"/>
    <s v="Pinaceae"/>
    <x v="5"/>
  </r>
  <r>
    <x v="9"/>
    <d v="2026-07-10T00:00:00"/>
    <x v="22"/>
    <n v="2379"/>
    <x v="0"/>
    <n v="21.2"/>
    <s v="N/A"/>
    <m/>
    <s v="2379_1"/>
    <s v="Baldwin"/>
    <x v="3"/>
    <s v="Tsuga"/>
    <s v="canadensis"/>
    <s v="Pinaceae"/>
    <x v="0"/>
  </r>
  <r>
    <x v="9"/>
    <d v="2026-07-10T00:00:00"/>
    <x v="0"/>
    <n v="2380"/>
    <x v="0"/>
    <n v="20.6"/>
    <s v="N/A"/>
    <m/>
    <s v="2380_1"/>
    <s v="Baldwin"/>
    <x v="3"/>
    <s v="Acer"/>
    <s v="saccharum"/>
    <s v="Sapindaceae"/>
    <x v="0"/>
  </r>
  <r>
    <x v="9"/>
    <d v="2026-07-10T00:00:00"/>
    <x v="7"/>
    <n v="2381"/>
    <x v="0"/>
    <n v="18.399999999999999"/>
    <s v="N/A"/>
    <s v="sad canopy"/>
    <s v="2381_1"/>
    <s v="Baldwin"/>
    <x v="3"/>
    <s v="Fagus"/>
    <s v="grandifolia"/>
    <s v="Fagaceae"/>
    <x v="3"/>
  </r>
  <r>
    <x v="9"/>
    <d v="2026-07-10T00:00:00"/>
    <x v="22"/>
    <n v="2382"/>
    <x v="0"/>
    <n v="23.7"/>
    <s v="A"/>
    <s v="POM at 1.28m"/>
    <s v="2382_1"/>
    <s v="Baldwin"/>
    <x v="3"/>
    <s v="Tsuga"/>
    <s v="canadensis"/>
    <s v="Pinaceae"/>
    <x v="0"/>
  </r>
  <r>
    <x v="9"/>
    <d v="2026-07-10T00:00:00"/>
    <x v="7"/>
    <n v="2383"/>
    <x v="0"/>
    <n v="10.9"/>
    <s v="L"/>
    <s v="really sad"/>
    <s v="2383_1"/>
    <s v="Baldwin"/>
    <x v="3"/>
    <s v="Fagus"/>
    <s v="grandifolia"/>
    <s v="Fagaceae"/>
    <x v="3"/>
  </r>
  <r>
    <x v="9"/>
    <d v="2026-07-13T00:00:00"/>
    <x v="2"/>
    <n v="2384"/>
    <x v="0"/>
    <n v="29.6"/>
    <s v="L"/>
    <m/>
    <s v="2384_1"/>
    <s v="Baldwin"/>
    <x v="3"/>
    <s v="Acer"/>
    <s v="rubrum"/>
    <s v="Sapindaceae"/>
    <x v="0"/>
  </r>
  <r>
    <x v="9"/>
    <d v="2026-07-13T00:00:00"/>
    <x v="1"/>
    <n v="2385"/>
    <x v="0"/>
    <n v="61.2"/>
    <s v="L"/>
    <m/>
    <s v="2385_1"/>
    <s v="Baldwin"/>
    <x v="3"/>
    <s v="Prunus"/>
    <s v="serotina"/>
    <s v="Rosaceae"/>
    <x v="4"/>
  </r>
  <r>
    <x v="9"/>
    <d v="2026-07-13T00:00:00"/>
    <x v="24"/>
    <n v="2386"/>
    <x v="0"/>
    <n v="27.3"/>
    <s v="L"/>
    <m/>
    <s v="2386_1"/>
    <s v="Baldwin"/>
    <x v="3"/>
    <s v="Betula"/>
    <s v="alleghaniensis"/>
    <s v="Betulaceae"/>
    <x v="0"/>
  </r>
  <r>
    <x v="9"/>
    <d v="2026-07-13T00:00:00"/>
    <x v="22"/>
    <n v="2387"/>
    <x v="0"/>
    <n v="13.9"/>
    <s v="L"/>
    <m/>
    <s v="2387_1"/>
    <s v="Baldwin"/>
    <x v="3"/>
    <s v="Tsuga"/>
    <s v="canadensis"/>
    <s v="Pinaceae"/>
    <x v="3"/>
  </r>
  <r>
    <x v="9"/>
    <d v="2026-07-13T00:00:00"/>
    <x v="22"/>
    <n v="2388"/>
    <x v="0"/>
    <n v="6.6"/>
    <s v="L"/>
    <m/>
    <s v="2388_1"/>
    <s v="Baldwin"/>
    <x v="3"/>
    <s v="Tsuga"/>
    <s v="canadensis"/>
    <s v="Pinaceae"/>
    <x v="5"/>
  </r>
  <r>
    <x v="9"/>
    <d v="2026-07-13T00:00:00"/>
    <x v="22"/>
    <n v="2389"/>
    <x v="0"/>
    <n v="28.6"/>
    <s v="L"/>
    <m/>
    <s v="2389_1"/>
    <s v="Baldwin"/>
    <x v="3"/>
    <s v="Tsuga"/>
    <s v="canadensis"/>
    <s v="Pinaceae"/>
    <x v="0"/>
  </r>
  <r>
    <x v="9"/>
    <d v="2026-07-13T00:00:00"/>
    <x v="10"/>
    <n v="2390"/>
    <x v="0"/>
    <n v="55.4"/>
    <s v="L"/>
    <m/>
    <s v="2390_1"/>
    <s v="Baldwin"/>
    <x v="3"/>
    <s v="Quercus"/>
    <s v="rubra"/>
    <s v="Fagaceae"/>
    <x v="4"/>
  </r>
  <r>
    <x v="9"/>
    <d v="2026-07-13T00:00:00"/>
    <x v="22"/>
    <n v="2391"/>
    <x v="0"/>
    <n v="10.6"/>
    <s v="L"/>
    <m/>
    <s v="2391_1"/>
    <s v="Baldwin"/>
    <x v="3"/>
    <s v="Tsuga"/>
    <s v="canadensis"/>
    <s v="Pinaceae"/>
    <x v="3"/>
  </r>
  <r>
    <x v="9"/>
    <d v="2026-07-13T00:00:00"/>
    <x v="22"/>
    <n v="2392"/>
    <x v="0"/>
    <n v="7.6"/>
    <s v="L,W"/>
    <m/>
    <s v="2392_1"/>
    <s v="Baldwin"/>
    <x v="3"/>
    <s v="Tsuga"/>
    <s v="canadensis"/>
    <s v="Pinaceae"/>
    <x v="5"/>
  </r>
  <r>
    <x v="9"/>
    <d v="2026-07-13T00:00:00"/>
    <x v="10"/>
    <n v="2393"/>
    <x v="0"/>
    <n v="65.400000000000006"/>
    <s v="L"/>
    <m/>
    <s v="2393_1"/>
    <s v="Baldwin"/>
    <x v="3"/>
    <s v="Quercus"/>
    <s v="rubra"/>
    <s v="Fagaceae"/>
    <x v="4"/>
  </r>
  <r>
    <x v="9"/>
    <d v="2026-07-13T00:00:00"/>
    <x v="0"/>
    <n v="2394"/>
    <x v="0"/>
    <n v="15.1"/>
    <s v="L"/>
    <m/>
    <s v="2394_1"/>
    <s v="Baldwin"/>
    <x v="3"/>
    <s v="Acer"/>
    <s v="saccharum"/>
    <s v="Sapindaceae"/>
    <x v="3"/>
  </r>
  <r>
    <x v="9"/>
    <d v="2026-07-13T00:00:00"/>
    <x v="0"/>
    <n v="2395"/>
    <x v="0"/>
    <n v="9.6999999999999993"/>
    <s v="L"/>
    <m/>
    <s v="2395_1"/>
    <s v="Baldwin"/>
    <x v="3"/>
    <s v="Acer"/>
    <s v="saccharum"/>
    <s v="Sapindaceae"/>
    <x v="5"/>
  </r>
  <r>
    <x v="9"/>
    <d v="2026-07-13T00:00:00"/>
    <x v="8"/>
    <n v="2396"/>
    <x v="0"/>
    <n v="8.9"/>
    <s v="W,L"/>
    <m/>
    <s v="2396_1"/>
    <s v="Baldwin"/>
    <x v="3"/>
    <s v="Ostrya"/>
    <s v="viginiana"/>
    <s v="Betulaceae"/>
    <x v="5"/>
  </r>
  <r>
    <x v="9"/>
    <d v="2026-07-13T00:00:00"/>
    <x v="0"/>
    <n v="2397"/>
    <x v="0"/>
    <n v="6.9"/>
    <s v="N/A"/>
    <m/>
    <s v="2397_1"/>
    <s v="Baldwin"/>
    <x v="3"/>
    <s v="Acer"/>
    <s v="saccharum"/>
    <s v="Sapindaceae"/>
    <x v="5"/>
  </r>
  <r>
    <x v="9"/>
    <d v="2026-07-13T00:00:00"/>
    <x v="10"/>
    <n v="2398"/>
    <x v="0"/>
    <n v="77.2"/>
    <s v="L"/>
    <m/>
    <s v="2398_1"/>
    <s v="Baldwin"/>
    <x v="3"/>
    <s v="Quercus"/>
    <s v="rubra"/>
    <s v="Fagaceae"/>
    <x v="4"/>
  </r>
  <r>
    <x v="9"/>
    <d v="2026-07-13T00:00:00"/>
    <x v="10"/>
    <n v="2399"/>
    <x v="0"/>
    <n v="58.6"/>
    <s v="L"/>
    <m/>
    <s v="2399_1"/>
    <s v="Baldwin"/>
    <x v="3"/>
    <s v="Quercus"/>
    <s v="rubra"/>
    <s v="Fagaceae"/>
    <x v="4"/>
  </r>
  <r>
    <x v="9"/>
    <d v="2026-07-13T00:00:00"/>
    <x v="10"/>
    <n v="2400"/>
    <x v="0"/>
    <n v="52.5"/>
    <s v="L,I"/>
    <s v="trunk irregular"/>
    <s v="2400_1"/>
    <s v="Baldwin"/>
    <x v="3"/>
    <s v="Quercus"/>
    <s v="rubra"/>
    <s v="Fagaceae"/>
    <x v="4"/>
  </r>
  <r>
    <x v="9"/>
    <d v="2026-07-13T00:00:00"/>
    <x v="14"/>
    <n v="2401"/>
    <x v="0"/>
    <n v="6.9"/>
    <s v="W,L"/>
    <s v="soft tape"/>
    <s v="2401_1"/>
    <s v="Baldwin"/>
    <x v="3"/>
    <s v="Tilia"/>
    <s v="americana"/>
    <s v="Malvaceae"/>
    <x v="5"/>
  </r>
  <r>
    <x v="9"/>
    <d v="2026-07-13T00:00:00"/>
    <x v="25"/>
    <n v="2402"/>
    <x v="0"/>
    <n v="4.3"/>
    <s v="L,B"/>
    <s v="main stem dead, new main stem"/>
    <s v="2402_1"/>
    <s v="Baldwin"/>
    <x v="3"/>
    <s v="Ulmus"/>
    <s v="americana"/>
    <s v="Ulmaceae"/>
    <x v="2"/>
  </r>
  <r>
    <x v="9"/>
    <d v="2026-07-13T00:00:00"/>
    <x v="0"/>
    <n v="2403"/>
    <x v="0"/>
    <n v="4.7"/>
    <s v="L"/>
    <m/>
    <s v="2403_1"/>
    <s v="Baldwin"/>
    <x v="3"/>
    <s v="Acer"/>
    <s v="saccharum"/>
    <s v="Sapindaceae"/>
    <x v="2"/>
  </r>
  <r>
    <x v="9"/>
    <d v="2026-07-13T00:00:00"/>
    <x v="7"/>
    <n v="2404"/>
    <x v="0"/>
    <n v="3.6"/>
    <s v="L"/>
    <m/>
    <s v="2404_1"/>
    <s v="Baldwin"/>
    <x v="3"/>
    <s v="Fagus"/>
    <s v="grandifolia"/>
    <s v="Fagaceae"/>
    <x v="2"/>
  </r>
  <r>
    <x v="9"/>
    <d v="2026-07-13T00:00:00"/>
    <x v="19"/>
    <n v="2405"/>
    <x v="0"/>
    <n v="4.2"/>
    <s v="L"/>
    <m/>
    <s v="2405_1"/>
    <s v="Baldwin"/>
    <x v="3"/>
    <s v="Carpinus"/>
    <s v="caroliniana"/>
    <s v="Betulaceae"/>
    <x v="2"/>
  </r>
  <r>
    <x v="9"/>
    <d v="2026-07-13T00:00:00"/>
    <x v="2"/>
    <n v="2406"/>
    <x v="0"/>
    <n v="6.4"/>
    <s v="L"/>
    <m/>
    <s v="2406_1"/>
    <s v="Baldwin"/>
    <x v="3"/>
    <s v="Acer"/>
    <s v="rubrum"/>
    <s v="Sapindaceae"/>
    <x v="5"/>
  </r>
  <r>
    <x v="9"/>
    <d v="2026-07-13T00:00:00"/>
    <x v="16"/>
    <n v="2407"/>
    <x v="0"/>
    <n v="53.9"/>
    <s v="L"/>
    <m/>
    <s v="2407_1"/>
    <s v="Baldwin"/>
    <x v="3"/>
    <s v="Carya"/>
    <s v="cordiformis"/>
    <s v="Juglandaceae"/>
    <x v="4"/>
  </r>
  <r>
    <x v="9"/>
    <d v="2026-07-13T00:00:00"/>
    <x v="7"/>
    <n v="2408"/>
    <x v="0"/>
    <n v="6.4"/>
    <s v="L"/>
    <s v="within a fallen beech crown"/>
    <s v="2408_1"/>
    <s v="Baldwin"/>
    <x v="3"/>
    <s v="Fagus"/>
    <s v="grandifolia"/>
    <s v="Fagaceae"/>
    <x v="5"/>
  </r>
  <r>
    <x v="9"/>
    <d v="2026-07-13T00:00:00"/>
    <x v="8"/>
    <n v="2409"/>
    <x v="0"/>
    <n v="5.9"/>
    <s v="W,L"/>
    <m/>
    <s v="2409_1"/>
    <s v="Baldwin"/>
    <x v="3"/>
    <s v="Ostrya"/>
    <s v="viginiana"/>
    <s v="Betulaceae"/>
    <x v="5"/>
  </r>
  <r>
    <x v="9"/>
    <d v="2026-07-13T00:00:00"/>
    <x v="16"/>
    <n v="2410"/>
    <x v="0"/>
    <n v="33.4"/>
    <s v="L"/>
    <m/>
    <s v="2410_1"/>
    <s v="Baldwin"/>
    <x v="3"/>
    <s v="Carya"/>
    <s v="cordiformis"/>
    <s v="Juglandaceae"/>
    <x v="0"/>
  </r>
  <r>
    <x v="9"/>
    <d v="2026-07-14T00:00:00"/>
    <x v="19"/>
    <n v="2411"/>
    <x v="0"/>
    <n v="7.4"/>
    <s v="L"/>
    <s v="hit by fallen beech"/>
    <s v="2411_1"/>
    <s v="Baldwin"/>
    <x v="3"/>
    <s v="Carpinus"/>
    <s v="caroliniana"/>
    <s v="Betulaceae"/>
    <x v="5"/>
  </r>
  <r>
    <x v="9"/>
    <d v="2026-07-14T00:00:00"/>
    <x v="7"/>
    <n v="2412"/>
    <x v="0"/>
    <n v="1.4"/>
    <s v="W"/>
    <s v="soft tape, BB"/>
    <s v="2412_1"/>
    <s v="Baldwin"/>
    <x v="3"/>
    <s v="Fagus"/>
    <s v="grandifolia"/>
    <s v="Fagaceae"/>
    <x v="2"/>
  </r>
  <r>
    <x v="9"/>
    <d v="2026-07-14T00:00:00"/>
    <x v="7"/>
    <n v="2413"/>
    <x v="0"/>
    <n v="1.5"/>
    <s v="W"/>
    <s v="hit by fallen beech"/>
    <s v="2413_1"/>
    <s v="Baldwin"/>
    <x v="3"/>
    <s v="Fagus"/>
    <s v="grandifolia"/>
    <s v="Fagaceae"/>
    <x v="2"/>
  </r>
  <r>
    <x v="9"/>
    <d v="2026-07-14T00:00:00"/>
    <x v="2"/>
    <n v="2414"/>
    <x v="0"/>
    <n v="9.9"/>
    <s v="W"/>
    <m/>
    <s v="2414_1"/>
    <s v="Baldwin"/>
    <x v="3"/>
    <s v="Acer"/>
    <s v="rubrum"/>
    <s v="Sapindaceae"/>
    <x v="5"/>
  </r>
  <r>
    <x v="9"/>
    <d v="2026-07-14T00:00:00"/>
    <x v="0"/>
    <n v="2415"/>
    <x v="0"/>
    <n v="3.6"/>
    <s v="L"/>
    <s v="hit by fallen beech"/>
    <s v="2415_1"/>
    <s v="Baldwin"/>
    <x v="3"/>
    <s v="Acer"/>
    <s v="saccharum"/>
    <s v="Sapindaceae"/>
    <x v="2"/>
  </r>
  <r>
    <x v="9"/>
    <d v="2026-07-14T00:00:00"/>
    <x v="0"/>
    <n v="2416"/>
    <x v="0"/>
    <n v="10.3"/>
    <s v="N/A"/>
    <m/>
    <s v="2416_1"/>
    <s v="Baldwin"/>
    <x v="3"/>
    <s v="Acer"/>
    <s v="saccharum"/>
    <s v="Sapindaceae"/>
    <x v="3"/>
  </r>
  <r>
    <x v="9"/>
    <d v="2026-07-14T00:00:00"/>
    <x v="22"/>
    <n v="2417"/>
    <x v="0"/>
    <n v="23.2"/>
    <s v="L"/>
    <s v="slight lean"/>
    <s v="2417_1"/>
    <s v="Baldwin"/>
    <x v="3"/>
    <s v="Tsuga"/>
    <s v="canadensis"/>
    <s v="Pinaceae"/>
    <x v="0"/>
  </r>
  <r>
    <x v="9"/>
    <d v="2026-07-14T00:00:00"/>
    <x v="19"/>
    <n v="2418"/>
    <x v="0"/>
    <n v="6.6"/>
    <s v="A,W"/>
    <s v="POM at 1.28m, knots"/>
    <s v="2418_1"/>
    <s v="Baldwin"/>
    <x v="3"/>
    <s v="Carpinus"/>
    <s v="caroliniana"/>
    <s v="Betulaceae"/>
    <x v="5"/>
  </r>
  <r>
    <x v="9"/>
    <d v="2026-07-14T00:00:00"/>
    <x v="19"/>
    <n v="2419"/>
    <x v="0"/>
    <n v="8.1999999999999993"/>
    <s v="M, A"/>
    <s v="POM at 1.24"/>
    <s v="2419_1"/>
    <s v="Baldwin"/>
    <x v="3"/>
    <s v="Carpinus"/>
    <s v="caroliniana"/>
    <s v="Betulaceae"/>
    <x v="5"/>
  </r>
  <r>
    <x v="9"/>
    <d v="2026-07-14T00:00:00"/>
    <x v="19"/>
    <n v="2419"/>
    <x v="1"/>
    <n v="3.9"/>
    <s v="M"/>
    <m/>
    <s v="2419_2"/>
    <s v="Baldwin"/>
    <x v="3"/>
    <s v="Carpinus"/>
    <s v="caroliniana"/>
    <s v="Betulaceae"/>
    <x v="2"/>
  </r>
  <r>
    <x v="9"/>
    <d v="2026-07-14T00:00:00"/>
    <x v="19"/>
    <n v="2419"/>
    <x v="2"/>
    <n v="1.6"/>
    <s v="M"/>
    <m/>
    <s v="2419_3"/>
    <s v="Baldwin"/>
    <x v="3"/>
    <s v="Carpinus"/>
    <s v="caroliniana"/>
    <s v="Betulaceae"/>
    <x v="2"/>
  </r>
  <r>
    <x v="9"/>
    <d v="2026-07-14T00:00:00"/>
    <x v="8"/>
    <n v="2420"/>
    <x v="0"/>
    <n v="8"/>
    <s v="L"/>
    <m/>
    <s v="2420_1"/>
    <s v="Baldwin"/>
    <x v="3"/>
    <s v="Ostrya"/>
    <s v="viginiana"/>
    <s v="Betulaceae"/>
    <x v="5"/>
  </r>
  <r>
    <x v="9"/>
    <d v="2026-07-14T00:00:00"/>
    <x v="19"/>
    <n v="2421"/>
    <x v="0"/>
    <n v="6.3"/>
    <s v="W"/>
    <s v="soft tape"/>
    <s v="2421_1"/>
    <s v="Baldwin"/>
    <x v="3"/>
    <s v="Carpinus"/>
    <s v="caroliniana"/>
    <s v="Betulaceae"/>
    <x v="5"/>
  </r>
  <r>
    <x v="9"/>
    <d v="2026-07-14T00:00:00"/>
    <x v="7"/>
    <n v="2422"/>
    <x v="0"/>
    <n v="5"/>
    <s v="I"/>
    <s v="split along trunk"/>
    <s v="2422_1"/>
    <s v="Baldwin"/>
    <x v="3"/>
    <s v="Fagus"/>
    <s v="grandifolia"/>
    <s v="Fagaceae"/>
    <x v="2"/>
  </r>
  <r>
    <x v="9"/>
    <d v="2026-07-14T00:00:00"/>
    <x v="3"/>
    <n v="2423"/>
    <x v="0"/>
    <n v="1.3"/>
    <s v="W, BB"/>
    <s v="soft tape"/>
    <s v="2423_1"/>
    <s v="Baldwin"/>
    <x v="3"/>
    <s v="Lirodendron"/>
    <s v="tulipfera"/>
    <s v="Magnoliaceae"/>
    <x v="2"/>
  </r>
  <r>
    <x v="9"/>
    <d v="2026-07-14T00:00:00"/>
    <x v="21"/>
    <n v="2424"/>
    <x v="0"/>
    <n v="1.1000000000000001"/>
    <s v="W"/>
    <m/>
    <s v="2424_1"/>
    <s v="Baldwin"/>
    <x v="3"/>
    <s v="Fraxinus"/>
    <s v="pennsylvanica"/>
    <s v="Oleaceae"/>
    <x v="2"/>
  </r>
  <r>
    <x v="9"/>
    <d v="2026-07-14T00:00:00"/>
    <x v="10"/>
    <n v="2425"/>
    <x v="0"/>
    <n v="80.7"/>
    <s v="L"/>
    <m/>
    <s v="2425_1"/>
    <s v="Baldwin"/>
    <x v="3"/>
    <s v="Quercus"/>
    <s v="rubra"/>
    <s v="Fagaceae"/>
    <x v="4"/>
  </r>
  <r>
    <x v="9"/>
    <d v="2026-07-14T00:00:00"/>
    <x v="7"/>
    <n v="2985"/>
    <x v="0"/>
    <n v="6.7"/>
    <s v="L,A,I"/>
    <s v="next to 2425, POM at 1.21m, knots, not tagged (?)"/>
    <s v="2985_1"/>
    <s v="Baldwin"/>
    <x v="3"/>
    <s v="Fagus"/>
    <s v="grandifolia"/>
    <s v="Fagaceae"/>
    <x v="5"/>
  </r>
  <r>
    <x v="9"/>
    <d v="2026-07-14T00:00:00"/>
    <x v="19"/>
    <n v="2427"/>
    <x v="0"/>
    <n v="5.9"/>
    <s v="W"/>
    <s v="soft tape"/>
    <s v="2427_1"/>
    <s v="Baldwin"/>
    <x v="3"/>
    <s v="Carpinus"/>
    <s v="caroliniana"/>
    <s v="Betulaceae"/>
    <x v="5"/>
  </r>
  <r>
    <x v="9"/>
    <d v="2026-07-14T00:00:00"/>
    <x v="19"/>
    <n v="2428"/>
    <x v="0"/>
    <n v="5.9"/>
    <s v="L"/>
    <m/>
    <s v="2428_1"/>
    <s v="Baldwin"/>
    <x v="3"/>
    <s v="Carpinus"/>
    <s v="caroliniana"/>
    <s v="Betulaceae"/>
    <x v="5"/>
  </r>
  <r>
    <x v="9"/>
    <d v="2026-07-14T00:00:00"/>
    <x v="3"/>
    <n v="2429"/>
    <x v="0"/>
    <n v="19.399999999999999"/>
    <s v="W"/>
    <s v="stick used"/>
    <s v="2429_1"/>
    <s v="Baldwin"/>
    <x v="3"/>
    <s v="Lirodendron"/>
    <s v="tulipfera"/>
    <s v="Magnoliaceae"/>
    <x v="3"/>
  </r>
  <r>
    <x v="9"/>
    <d v="2026-07-14T00:00:00"/>
    <x v="7"/>
    <n v="2430"/>
    <x v="0"/>
    <n v="12.1"/>
    <s v="N/A"/>
    <s v="oriental bittersweet growth"/>
    <s v="2430_1"/>
    <s v="Baldwin"/>
    <x v="3"/>
    <s v="Fagus"/>
    <s v="grandifolia"/>
    <s v="Fagaceae"/>
    <x v="3"/>
  </r>
  <r>
    <x v="9"/>
    <d v="2026-07-14T00:00:00"/>
    <x v="7"/>
    <n v="2431"/>
    <x v="0"/>
    <n v="3.8"/>
    <s v="M, A"/>
    <s v="soft tape, POM at 1.24"/>
    <s v="2431_1"/>
    <s v="Baldwin"/>
    <x v="3"/>
    <s v="Fagus"/>
    <s v="grandifolia"/>
    <s v="Fagaceae"/>
    <x v="2"/>
  </r>
  <r>
    <x v="9"/>
    <d v="2026-07-14T00:00:00"/>
    <x v="7"/>
    <n v="2431"/>
    <x v="1"/>
    <n v="1.6"/>
    <s v="M, A"/>
    <s v="soft tape, POM at 1.28"/>
    <s v="2431_2"/>
    <s v="Baldwin"/>
    <x v="3"/>
    <s v="Fagus"/>
    <s v="grandifolia"/>
    <s v="Fagaceae"/>
    <x v="2"/>
  </r>
  <r>
    <x v="9"/>
    <d v="2026-07-14T00:00:00"/>
    <x v="19"/>
    <n v="2432"/>
    <x v="0"/>
    <n v="6.2"/>
    <s v="N/A"/>
    <m/>
    <s v="2432_1"/>
    <s v="Baldwin"/>
    <x v="3"/>
    <s v="Carpinus"/>
    <s v="caroliniana"/>
    <s v="Betulaceae"/>
    <x v="5"/>
  </r>
  <r>
    <x v="9"/>
    <d v="2026-07-14T00:00:00"/>
    <x v="2"/>
    <n v="2433"/>
    <x v="0"/>
    <n v="19"/>
    <s v="N/A"/>
    <m/>
    <s v="2433_1"/>
    <s v="Baldwin"/>
    <x v="3"/>
    <s v="Acer"/>
    <s v="rubrum"/>
    <s v="Sapindaceae"/>
    <x v="3"/>
  </r>
  <r>
    <x v="9"/>
    <d v="2026-07-14T00:00:00"/>
    <x v="19"/>
    <n v="2434"/>
    <x v="0"/>
    <n v="8.1"/>
    <s v="L,A"/>
    <s v="POM at 1.28m, knots"/>
    <s v="2434_1"/>
    <s v="Baldwin"/>
    <x v="3"/>
    <s v="Carpinus"/>
    <s v="caroliniana"/>
    <s v="Betulaceae"/>
    <x v="5"/>
  </r>
  <r>
    <x v="9"/>
    <d v="2026-07-14T00:00:00"/>
    <x v="2"/>
    <n v="2435"/>
    <x v="0"/>
    <n v="34.6"/>
    <s v="I"/>
    <s v="trunk weird shape"/>
    <s v="2435_1"/>
    <s v="Baldwin"/>
    <x v="3"/>
    <s v="Acer"/>
    <s v="rubrum"/>
    <s v="Sapindaceae"/>
    <x v="0"/>
  </r>
  <r>
    <x v="9"/>
    <d v="2026-07-14T00:00:00"/>
    <x v="2"/>
    <n v="2436"/>
    <x v="0"/>
    <n v="26.9"/>
    <s v="L"/>
    <s v="slight lean"/>
    <s v="2436_1"/>
    <s v="Baldwin"/>
    <x v="3"/>
    <s v="Acer"/>
    <s v="rubrum"/>
    <s v="Sapindaceae"/>
    <x v="0"/>
  </r>
  <r>
    <x v="9"/>
    <d v="2026-07-14T00:00:00"/>
    <x v="7"/>
    <n v="2437"/>
    <x v="0"/>
    <n v="2.2999999999999998"/>
    <s v="W"/>
    <s v="soft tape"/>
    <s v="2437_1"/>
    <s v="Baldwin"/>
    <x v="3"/>
    <s v="Fagus"/>
    <s v="grandifolia"/>
    <s v="Fagaceae"/>
    <x v="2"/>
  </r>
  <r>
    <x v="9"/>
    <d v="2026-07-14T00:00:00"/>
    <x v="19"/>
    <n v="2438"/>
    <x v="0"/>
    <n v="4.9000000000000004"/>
    <s v="L"/>
    <m/>
    <s v="2438_4.9"/>
    <s v="Baldwin"/>
    <x v="3"/>
    <s v="Carpinus"/>
    <s v="caroliniana"/>
    <s v="Betulaceae"/>
    <x v="4"/>
  </r>
  <r>
    <x v="9"/>
    <d v="2026-07-14T00:00:00"/>
    <x v="7"/>
    <n v="2439"/>
    <x v="0"/>
    <n v="2.9"/>
    <s v="W"/>
    <s v="soft tape"/>
    <s v="2439_1"/>
    <s v="Baldwin"/>
    <x v="3"/>
    <s v="Fagus"/>
    <s v="grandifolia"/>
    <s v="Fagaceae"/>
    <x v="2"/>
  </r>
  <r>
    <x v="9"/>
    <d v="2026-07-14T00:00:00"/>
    <x v="2"/>
    <n v="2440"/>
    <x v="0"/>
    <n v="41.8"/>
    <s v="N/A"/>
    <m/>
    <s v="2440_1"/>
    <s v="Baldwin"/>
    <x v="3"/>
    <s v="Acer"/>
    <s v="rubrum"/>
    <s v="Sapindaceae"/>
    <x v="1"/>
  </r>
  <r>
    <x v="9"/>
    <d v="2026-07-14T00:00:00"/>
    <x v="2"/>
    <n v="2441"/>
    <x v="0"/>
    <n v="32.299999999999997"/>
    <s v="N/A"/>
    <m/>
    <s v="2441_1"/>
    <s v="Baldwin"/>
    <x v="3"/>
    <s v="Acer"/>
    <s v="rubrum"/>
    <s v="Sapindaceae"/>
    <x v="0"/>
  </r>
  <r>
    <x v="9"/>
    <d v="2026-07-14T00:00:00"/>
    <x v="7"/>
    <n v="2442"/>
    <x v="0"/>
    <n v="6.9"/>
    <s v="N/A"/>
    <m/>
    <s v="2442_1"/>
    <s v="Baldwin"/>
    <x v="3"/>
    <s v="Fagus"/>
    <s v="grandifolia"/>
    <s v="Fagaceae"/>
    <x v="5"/>
  </r>
  <r>
    <x v="9"/>
    <d v="2026-07-14T00:00:00"/>
    <x v="7"/>
    <n v="2443"/>
    <x v="0"/>
    <n v="2.2999999999999998"/>
    <s v="W"/>
    <s v="stick used"/>
    <s v="2443_1"/>
    <s v="Baldwin"/>
    <x v="3"/>
    <s v="Fagus"/>
    <s v="grandifolia"/>
    <s v="Fagaceae"/>
    <x v="2"/>
  </r>
  <r>
    <x v="9"/>
    <d v="2026-07-14T00:00:00"/>
    <x v="25"/>
    <n v="2444"/>
    <x v="0"/>
    <n v="11.1"/>
    <s v="L"/>
    <s v="Hard to ID, 80% certain, slight lean"/>
    <s v="2444_1"/>
    <s v="Baldwin"/>
    <x v="3"/>
    <s v="Ulmus"/>
    <s v="americana"/>
    <s v="Ulmaceae"/>
    <x v="3"/>
  </r>
  <r>
    <x v="9"/>
    <d v="2026-07-14T00:00:00"/>
    <x v="19"/>
    <n v="2445"/>
    <x v="0"/>
    <n v="4.5"/>
    <s v="W, L"/>
    <s v="soft tape"/>
    <s v="2445_1"/>
    <s v="Baldwin"/>
    <x v="3"/>
    <s v="Carpinus"/>
    <s v="caroliniana"/>
    <s v="Betulaceae"/>
    <x v="2"/>
  </r>
  <r>
    <x v="9"/>
    <d v="2026-07-14T00:00:00"/>
    <x v="7"/>
    <n v="2446"/>
    <x v="0"/>
    <n v="2.6"/>
    <s v="W"/>
    <s v="slight wave"/>
    <s v="2446_1"/>
    <s v="Baldwin"/>
    <x v="3"/>
    <s v="Fagus"/>
    <s v="grandifolia"/>
    <s v="Fagaceae"/>
    <x v="2"/>
  </r>
  <r>
    <x v="9"/>
    <d v="2026-07-14T00:00:00"/>
    <x v="2"/>
    <n v="2447"/>
    <x v="0"/>
    <n v="24.4"/>
    <s v="N/A"/>
    <m/>
    <s v="2447_1"/>
    <s v="Baldwin"/>
    <x v="3"/>
    <s v="Acer"/>
    <s v="rubrum"/>
    <s v="Sapindaceae"/>
    <x v="0"/>
  </r>
  <r>
    <x v="9"/>
    <d v="2026-07-14T00:00:00"/>
    <x v="2"/>
    <n v="2448"/>
    <x v="0"/>
    <n v="24.5"/>
    <s v="N/A"/>
    <m/>
    <s v="2448_1"/>
    <s v="Baldwin"/>
    <x v="3"/>
    <s v="Acer"/>
    <s v="rubrum"/>
    <s v="Sapindaceae"/>
    <x v="0"/>
  </r>
  <r>
    <x v="9"/>
    <d v="2026-07-14T00:00:00"/>
    <x v="8"/>
    <n v="2449"/>
    <x v="0"/>
    <n v="4.5"/>
    <s v="W"/>
    <s v="soft tape"/>
    <s v="2449_1"/>
    <s v="Baldwin"/>
    <x v="3"/>
    <s v="Ostrya"/>
    <s v="viginiana"/>
    <s v="Betulaceae"/>
    <x v="2"/>
  </r>
  <r>
    <x v="9"/>
    <d v="2026-07-14T00:00:00"/>
    <x v="2"/>
    <n v="2450"/>
    <x v="0"/>
    <n v="13.9"/>
    <s v="A"/>
    <s v="POM at 1.26m, knot"/>
    <s v="2450_1"/>
    <s v="Baldwin"/>
    <x v="3"/>
    <s v="Acer"/>
    <s v="rubrum"/>
    <s v="Sapindaceae"/>
    <x v="3"/>
  </r>
  <r>
    <x v="9"/>
    <d v="2026-07-14T00:00:00"/>
    <x v="2"/>
    <n v="2451"/>
    <x v="0"/>
    <n v="37.4"/>
    <s v="I"/>
    <s v="stem a little irregular"/>
    <s v="2451_1"/>
    <s v="Baldwin"/>
    <x v="3"/>
    <s v="Acer"/>
    <s v="rubrum"/>
    <s v="Sapindaceae"/>
    <x v="0"/>
  </r>
  <r>
    <x v="9"/>
    <d v="2026-07-14T00:00:00"/>
    <x v="2"/>
    <n v="2452"/>
    <x v="0"/>
    <n v="23.9"/>
    <s v="N/A"/>
    <m/>
    <s v="2452_1"/>
    <s v="Baldwin"/>
    <x v="3"/>
    <s v="Acer"/>
    <s v="rubrum"/>
    <s v="Sapindaceae"/>
    <x v="0"/>
  </r>
  <r>
    <x v="9"/>
    <d v="2026-07-14T00:00:00"/>
    <x v="7"/>
    <n v="2453"/>
    <x v="0"/>
    <n v="5.0999999999999996"/>
    <s v="B, L"/>
    <m/>
    <s v="2453_1"/>
    <s v="Baldwin"/>
    <x v="3"/>
    <s v="Fagus"/>
    <s v="grandifolia"/>
    <s v="Fagaceae"/>
    <x v="5"/>
  </r>
  <r>
    <x v="9"/>
    <d v="2026-07-14T00:00:00"/>
    <x v="2"/>
    <n v="2454"/>
    <x v="0"/>
    <n v="21.2"/>
    <s v="N/A"/>
    <m/>
    <s v="2454_1"/>
    <s v="Baldwin"/>
    <x v="3"/>
    <s v="Acer"/>
    <s v="rubrum"/>
    <s v="Sapindaceae"/>
    <x v="0"/>
  </r>
  <r>
    <x v="9"/>
    <d v="2026-07-14T00:00:00"/>
    <x v="7"/>
    <n v="2455"/>
    <x v="0"/>
    <n v="3.3"/>
    <s v="W"/>
    <s v="soft tape. hit by fallen beech"/>
    <s v="2455_1"/>
    <s v="Baldwin"/>
    <x v="3"/>
    <s v="Fagus"/>
    <s v="grandifolia"/>
    <s v="Fagaceae"/>
    <x v="2"/>
  </r>
  <r>
    <x v="9"/>
    <d v="2026-07-14T00:00:00"/>
    <x v="25"/>
    <n v="2456"/>
    <x v="0"/>
    <n v="11.9"/>
    <s v="N/A"/>
    <m/>
    <s v="2456_1"/>
    <s v="Baldwin"/>
    <x v="3"/>
    <s v="Ulmus"/>
    <s v="americana"/>
    <s v="Ulmaceae"/>
    <x v="3"/>
  </r>
  <r>
    <x v="9"/>
    <d v="2026-07-14T00:00:00"/>
    <x v="0"/>
    <n v="2457"/>
    <x v="0"/>
    <n v="8"/>
    <s v="L"/>
    <m/>
    <s v="2457_1"/>
    <s v="Baldwin"/>
    <x v="3"/>
    <s v="Acer"/>
    <s v="saccharum"/>
    <s v="Sapindaceae"/>
    <x v="5"/>
  </r>
  <r>
    <x v="9"/>
    <d v="2026-07-14T00:00:00"/>
    <x v="2"/>
    <n v="2458"/>
    <x v="0"/>
    <n v="14.7"/>
    <s v="N/A"/>
    <s v="poor health"/>
    <s v="2458_1"/>
    <s v="Baldwin"/>
    <x v="3"/>
    <s v="Acer"/>
    <s v="rubrum"/>
    <s v="Sapindaceae"/>
    <x v="3"/>
  </r>
  <r>
    <x v="9"/>
    <d v="2026-07-14T00:00:00"/>
    <x v="0"/>
    <n v="2459"/>
    <x v="0"/>
    <n v="2.2999999999999998"/>
    <s v="L"/>
    <m/>
    <s v="2459_1"/>
    <s v="Baldwin"/>
    <x v="3"/>
    <s v="Acer"/>
    <s v="saccharum"/>
    <s v="Sapindaceae"/>
    <x v="2"/>
  </r>
  <r>
    <x v="9"/>
    <d v="2026-07-14T00:00:00"/>
    <x v="0"/>
    <n v="2460"/>
    <x v="0"/>
    <n v="22.3"/>
    <s v="N/A"/>
    <m/>
    <s v="2460_1"/>
    <s v="Baldwin"/>
    <x v="3"/>
    <s v="Acer"/>
    <s v="saccharum"/>
    <s v="Sapindaceae"/>
    <x v="0"/>
  </r>
  <r>
    <x v="9"/>
    <d v="2026-07-14T00:00:00"/>
    <x v="7"/>
    <n v="2461"/>
    <x v="0"/>
    <n v="5.3"/>
    <s v="A,W"/>
    <s v="POM at 1.22m"/>
    <s v="2461_1"/>
    <s v="Baldwin"/>
    <x v="3"/>
    <s v="Fagus"/>
    <s v="grandifolia"/>
    <s v="Fagaceae"/>
    <x v="5"/>
  </r>
  <r>
    <x v="9"/>
    <d v="2026-07-14T00:00:00"/>
    <x v="7"/>
    <n v="2462"/>
    <x v="0"/>
    <n v="2.2000000000000002"/>
    <s v="L"/>
    <m/>
    <s v="2462_1"/>
    <s v="Baldwin"/>
    <x v="3"/>
    <s v="Fagus"/>
    <s v="grandifolia"/>
    <s v="Fagaceae"/>
    <x v="2"/>
  </r>
  <r>
    <x v="9"/>
    <d v="2026-07-14T00:00:00"/>
    <x v="0"/>
    <n v="2463"/>
    <x v="0"/>
    <n v="14.1"/>
    <s v="L"/>
    <m/>
    <s v="2463_1"/>
    <s v="Baldwin"/>
    <x v="3"/>
    <s v="Acer"/>
    <s v="saccharum"/>
    <s v="Sapindaceae"/>
    <x v="3"/>
  </r>
  <r>
    <x v="9"/>
    <d v="2026-07-14T00:00:00"/>
    <x v="22"/>
    <n v="2464"/>
    <x v="0"/>
    <n v="26.1"/>
    <s v="L"/>
    <s v="slight lean"/>
    <s v="2464_1"/>
    <s v="Baldwin"/>
    <x v="3"/>
    <s v="Tsuga"/>
    <s v="canadensis"/>
    <s v="Pinaceae"/>
    <x v="0"/>
  </r>
  <r>
    <x v="9"/>
    <d v="2026-07-14T00:00:00"/>
    <x v="22"/>
    <n v="2465"/>
    <x v="0"/>
    <n v="18.600000000000001"/>
    <s v="L"/>
    <m/>
    <s v="2465_1"/>
    <s v="Baldwin"/>
    <x v="3"/>
    <s v="Tsuga"/>
    <s v="canadensis"/>
    <s v="Pinaceae"/>
    <x v="3"/>
  </r>
  <r>
    <x v="9"/>
    <d v="2026-07-14T00:00:00"/>
    <x v="22"/>
    <n v="2466"/>
    <x v="0"/>
    <n v="14.1"/>
    <s v="L"/>
    <m/>
    <s v="2466_1"/>
    <s v="Baldwin"/>
    <x v="3"/>
    <s v="Tsuga"/>
    <s v="canadensis"/>
    <s v="Pinaceae"/>
    <x v="3"/>
  </r>
  <r>
    <x v="9"/>
    <d v="2026-07-14T00:00:00"/>
    <x v="22"/>
    <n v="2467"/>
    <x v="0"/>
    <n v="7.8"/>
    <s v="L,W"/>
    <s v="soft tape"/>
    <s v="2467_1"/>
    <s v="Baldwin"/>
    <x v="3"/>
    <s v="Tsuga"/>
    <s v="canadensis"/>
    <s v="Pinaceae"/>
    <x v="5"/>
  </r>
  <r>
    <x v="9"/>
    <d v="2026-07-14T00:00:00"/>
    <x v="22"/>
    <n v="2468"/>
    <x v="0"/>
    <n v="22.3"/>
    <s v="L"/>
    <m/>
    <s v="2468_1"/>
    <s v="Baldwin"/>
    <x v="3"/>
    <s v="Tsuga"/>
    <s v="canadensis"/>
    <s v="Pinaceae"/>
    <x v="0"/>
  </r>
  <r>
    <x v="9"/>
    <d v="2026-07-14T00:00:00"/>
    <x v="22"/>
    <n v="2469"/>
    <x v="0"/>
    <n v="19.899999999999999"/>
    <s v="L"/>
    <s v="massive grapevine"/>
    <s v="2469_1"/>
    <s v="Baldwin"/>
    <x v="3"/>
    <s v="Tsuga"/>
    <s v="canadensis"/>
    <s v="Pinaceae"/>
    <x v="3"/>
  </r>
  <r>
    <x v="9"/>
    <d v="2026-07-14T00:00:00"/>
    <x v="22"/>
    <n v="2470"/>
    <x v="0"/>
    <n v="29.5"/>
    <s v="L"/>
    <m/>
    <s v="2470_1"/>
    <s v="Baldwin"/>
    <x v="3"/>
    <s v="Tsuga"/>
    <s v="canadensis"/>
    <s v="Pinaceae"/>
    <x v="0"/>
  </r>
  <r>
    <x v="9"/>
    <d v="2026-07-14T00:00:00"/>
    <x v="22"/>
    <n v="2471"/>
    <x v="0"/>
    <n v="13.9"/>
    <s v="L"/>
    <m/>
    <s v="2471_1"/>
    <s v="Baldwin"/>
    <x v="3"/>
    <s v="Tsuga"/>
    <s v="canadensis"/>
    <s v="Pinaceae"/>
    <x v="3"/>
  </r>
  <r>
    <x v="9"/>
    <d v="2026-07-14T00:00:00"/>
    <x v="22"/>
    <n v="2472"/>
    <x v="0"/>
    <n v="44.8"/>
    <s v="L"/>
    <s v="slight lean"/>
    <s v="2472_1"/>
    <s v="Baldwin"/>
    <x v="3"/>
    <s v="Tsuga"/>
    <s v="canadensis"/>
    <s v="Pinaceae"/>
    <x v="1"/>
  </r>
  <r>
    <x v="9"/>
    <d v="2026-07-14T00:00:00"/>
    <x v="22"/>
    <n v="2473"/>
    <x v="0"/>
    <n v="28.4"/>
    <m/>
    <m/>
    <s v="2473_1"/>
    <s v="Baldwin"/>
    <x v="3"/>
    <s v="Tsuga"/>
    <s v="canadensis"/>
    <s v="Pinaceae"/>
    <x v="0"/>
  </r>
  <r>
    <x v="9"/>
    <d v="2026-07-14T00:00:00"/>
    <x v="22"/>
    <n v="2474"/>
    <x v="0"/>
    <n v="24.4"/>
    <s v="L"/>
    <s v="slight lean"/>
    <s v="2474_1"/>
    <s v="Baldwin"/>
    <x v="3"/>
    <s v="Tsuga"/>
    <s v="canadensis"/>
    <s v="Pinaceae"/>
    <x v="0"/>
  </r>
  <r>
    <x v="9"/>
    <d v="2026-07-14T00:00:00"/>
    <x v="22"/>
    <n v="2475"/>
    <x v="0"/>
    <n v="23.9"/>
    <s v="L"/>
    <m/>
    <s v="2475_1"/>
    <s v="Baldwin"/>
    <x v="3"/>
    <s v="Tsuga"/>
    <s v="canadensis"/>
    <s v="Pinaceae"/>
    <x v="0"/>
  </r>
  <r>
    <x v="9"/>
    <d v="2026-07-14T00:00:00"/>
    <x v="22"/>
    <n v="2476"/>
    <x v="0"/>
    <n v="17"/>
    <s v="N/A"/>
    <m/>
    <s v="2476_1"/>
    <s v="Baldwin"/>
    <x v="3"/>
    <s v="Tsuga"/>
    <s v="canadensis"/>
    <s v="Pinaceae"/>
    <x v="3"/>
  </r>
  <r>
    <x v="9"/>
    <d v="2026-07-14T00:00:00"/>
    <x v="22"/>
    <n v="2477"/>
    <x v="0"/>
    <n v="26"/>
    <s v="L"/>
    <m/>
    <s v="2477_1"/>
    <s v="Baldwin"/>
    <x v="3"/>
    <s v="Tsuga"/>
    <s v="canadensis"/>
    <s v="Pinaceae"/>
    <x v="0"/>
  </r>
  <r>
    <x v="9"/>
    <d v="2026-07-14T00:00:00"/>
    <x v="22"/>
    <n v="2478"/>
    <x v="0"/>
    <n v="22.7"/>
    <s v="M,L"/>
    <m/>
    <s v="2478_1"/>
    <s v="Baldwin"/>
    <x v="3"/>
    <s v="Tsuga"/>
    <s v="canadensis"/>
    <s v="Pinaceae"/>
    <x v="0"/>
  </r>
  <r>
    <x v="9"/>
    <d v="2026-07-14T00:00:00"/>
    <x v="22"/>
    <n v="2478"/>
    <x v="1"/>
    <n v="9.1"/>
    <s v="M,L"/>
    <m/>
    <s v="2478_2"/>
    <s v="Baldwin"/>
    <x v="3"/>
    <s v="Tsuga"/>
    <s v="canadensis"/>
    <s v="Pinaceae"/>
    <x v="5"/>
  </r>
  <r>
    <x v="9"/>
    <d v="2026-07-14T00:00:00"/>
    <x v="22"/>
    <n v="2479"/>
    <x v="0"/>
    <n v="23.4"/>
    <s v="L"/>
    <m/>
    <s v="2479_1"/>
    <s v="Baldwin"/>
    <x v="3"/>
    <s v="Tsuga"/>
    <s v="canadensis"/>
    <s v="Pinaceae"/>
    <x v="0"/>
  </r>
  <r>
    <x v="9"/>
    <d v="2026-07-14T00:00:00"/>
    <x v="22"/>
    <n v="2480"/>
    <x v="0"/>
    <n v="27.9"/>
    <s v="L"/>
    <s v="slight lean"/>
    <s v="2480_1"/>
    <s v="Baldwin"/>
    <x v="3"/>
    <s v="Tsuga"/>
    <s v="canadensis"/>
    <s v="Pinaceae"/>
    <x v="0"/>
  </r>
  <r>
    <x v="9"/>
    <d v="2026-07-14T00:00:00"/>
    <x v="22"/>
    <n v="2481"/>
    <x v="0"/>
    <n v="14.1"/>
    <s v="L, A"/>
    <s v="POM at 1.28"/>
    <s v="2481_1"/>
    <s v="Baldwin"/>
    <x v="3"/>
    <s v="Tsuga"/>
    <s v="canadensis"/>
    <s v="Pinaceae"/>
    <x v="3"/>
  </r>
  <r>
    <x v="9"/>
    <d v="2026-07-14T00:00:00"/>
    <x v="22"/>
    <n v="2482"/>
    <x v="0"/>
    <n v="14.8"/>
    <s v="L/W"/>
    <s v="slight lean"/>
    <s v="2482_1"/>
    <s v="Baldwin"/>
    <x v="3"/>
    <s v="Tsuga"/>
    <s v="canadensis"/>
    <s v="Pinaceae"/>
    <x v="3"/>
  </r>
  <r>
    <x v="9"/>
    <d v="2026-07-14T00:00:00"/>
    <x v="22"/>
    <n v="2483"/>
    <x v="0"/>
    <n v="10.8"/>
    <s v="L"/>
    <m/>
    <s v="2483_1"/>
    <s v="Baldwin"/>
    <x v="3"/>
    <s v="Tsuga"/>
    <s v="canadensis"/>
    <s v="Pinaceae"/>
    <x v="3"/>
  </r>
  <r>
    <x v="9"/>
    <d v="2026-07-14T00:00:00"/>
    <x v="22"/>
    <n v="2484"/>
    <x v="0"/>
    <n v="13.4"/>
    <s v="N/A"/>
    <m/>
    <s v="2484_1"/>
    <s v="Baldwin"/>
    <x v="3"/>
    <s v="Tsuga"/>
    <s v="canadensis"/>
    <s v="Pinaceae"/>
    <x v="3"/>
  </r>
  <r>
    <x v="9"/>
    <d v="2026-07-14T00:00:00"/>
    <x v="22"/>
    <n v="2485"/>
    <x v="0"/>
    <n v="16"/>
    <s v="L"/>
    <m/>
    <s v="2485_1"/>
    <s v="Baldwin"/>
    <x v="3"/>
    <s v="Tsuga"/>
    <s v="canadensis"/>
    <s v="Pinaceae"/>
    <x v="3"/>
  </r>
  <r>
    <x v="9"/>
    <d v="2026-07-14T00:00:00"/>
    <x v="22"/>
    <n v="2486"/>
    <x v="0"/>
    <n v="23.5"/>
    <s v="M"/>
    <m/>
    <s v="2486_1"/>
    <s v="Baldwin"/>
    <x v="3"/>
    <s v="Tsuga"/>
    <s v="canadensis"/>
    <s v="Pinaceae"/>
    <x v="0"/>
  </r>
  <r>
    <x v="9"/>
    <d v="2026-07-14T00:00:00"/>
    <x v="22"/>
    <n v="2486"/>
    <x v="1"/>
    <n v="14.3"/>
    <s v="M,L"/>
    <m/>
    <s v="2486_2"/>
    <s v="Baldwin"/>
    <x v="3"/>
    <s v="Tsuga"/>
    <s v="canadensis"/>
    <s v="Pinaceae"/>
    <x v="3"/>
  </r>
  <r>
    <x v="9"/>
    <d v="2026-07-14T00:00:00"/>
    <x v="22"/>
    <n v="2486"/>
    <x v="2"/>
    <n v="12.9"/>
    <s v="M,L"/>
    <m/>
    <s v="2486_3"/>
    <s v="Baldwin"/>
    <x v="3"/>
    <s v="Tsuga"/>
    <s v="canadensis"/>
    <s v="Pinaceae"/>
    <x v="3"/>
  </r>
  <r>
    <x v="9"/>
    <d v="2026-07-14T00:00:00"/>
    <x v="22"/>
    <n v="2487"/>
    <x v="0"/>
    <n v="15.4"/>
    <s v="L"/>
    <m/>
    <s v="2487_1"/>
    <s v="Baldwin"/>
    <x v="3"/>
    <s v="Tsuga"/>
    <s v="canadensis"/>
    <s v="Pinaceae"/>
    <x v="3"/>
  </r>
  <r>
    <x v="9"/>
    <d v="2026-07-14T00:00:00"/>
    <x v="22"/>
    <n v="2488"/>
    <x v="0"/>
    <n v="29.4"/>
    <s v="L"/>
    <m/>
    <s v="2488_1"/>
    <s v="Baldwin"/>
    <x v="3"/>
    <s v="Tsuga"/>
    <s v="canadensis"/>
    <s v="Pinaceae"/>
    <x v="0"/>
  </r>
  <r>
    <x v="9"/>
    <d v="2026-07-14T00:00:00"/>
    <x v="2"/>
    <n v="2489"/>
    <x v="0"/>
    <n v="5.7"/>
    <s v="L"/>
    <m/>
    <s v="2489_1"/>
    <s v="Baldwin"/>
    <x v="3"/>
    <s v="Acer"/>
    <s v="rubrum"/>
    <s v="Sapindaceae"/>
    <x v="5"/>
  </r>
  <r>
    <x v="9"/>
    <d v="2026-07-14T00:00:00"/>
    <x v="10"/>
    <n v="2490"/>
    <x v="0"/>
    <n v="66.8"/>
    <s v="L"/>
    <s v="slight lean"/>
    <s v="2490_1"/>
    <s v="Baldwin"/>
    <x v="3"/>
    <s v="Quercus"/>
    <s v="rubra"/>
    <s v="Fagaceae"/>
    <x v="4"/>
  </r>
  <r>
    <x v="9"/>
    <d v="2026-07-14T00:00:00"/>
    <x v="2"/>
    <n v="2491"/>
    <x v="0"/>
    <n v="42.6"/>
    <s v="N/A"/>
    <m/>
    <s v="2491_1"/>
    <s v="Baldwin"/>
    <x v="3"/>
    <s v="Acer"/>
    <s v="rubrum"/>
    <s v="Sapindaceae"/>
    <x v="1"/>
  </r>
  <r>
    <x v="9"/>
    <d v="2026-07-14T00:00:00"/>
    <x v="2"/>
    <n v="2492"/>
    <x v="0"/>
    <n v="20.8"/>
    <s v="N/A"/>
    <m/>
    <s v="2492_1"/>
    <s v="Baldwin"/>
    <x v="3"/>
    <s v="Acer"/>
    <s v="rubrum"/>
    <s v="Sapindaceae"/>
    <x v="0"/>
  </r>
  <r>
    <x v="9"/>
    <d v="2026-07-14T00:00:00"/>
    <x v="2"/>
    <n v="2493"/>
    <x v="0"/>
    <n v="17.2"/>
    <s v="L"/>
    <m/>
    <s v="2493_1"/>
    <s v="Baldwin"/>
    <x v="3"/>
    <s v="Acer"/>
    <s v="rubrum"/>
    <s v="Sapindaceae"/>
    <x v="3"/>
  </r>
  <r>
    <x v="9"/>
    <d v="2026-07-14T00:00:00"/>
    <x v="2"/>
    <n v="2494"/>
    <x v="0"/>
    <n v="35.1"/>
    <s v="I"/>
    <m/>
    <s v="2494_1"/>
    <s v="Baldwin"/>
    <x v="3"/>
    <s v="Acer"/>
    <s v="rubrum"/>
    <s v="Sapindaceae"/>
    <x v="0"/>
  </r>
  <r>
    <x v="9"/>
    <d v="2026-07-14T00:00:00"/>
    <x v="2"/>
    <n v="2495"/>
    <x v="0"/>
    <n v="27.1"/>
    <s v="N/A"/>
    <m/>
    <s v="2495_1"/>
    <s v="Baldwin"/>
    <x v="3"/>
    <s v="Acer"/>
    <s v="rubrum"/>
    <s v="Sapindaceae"/>
    <x v="0"/>
  </r>
  <r>
    <x v="9"/>
    <d v="2026-07-14T00:00:00"/>
    <x v="22"/>
    <n v="2496"/>
    <x v="0"/>
    <n v="12.5"/>
    <s v="L"/>
    <m/>
    <s v="2496_1"/>
    <s v="Baldwin"/>
    <x v="3"/>
    <s v="Tsuga"/>
    <s v="canadensis"/>
    <s v="Pinaceae"/>
    <x v="3"/>
  </r>
  <r>
    <x v="9"/>
    <d v="2026-07-14T00:00:00"/>
    <x v="22"/>
    <n v="2497"/>
    <x v="0"/>
    <n v="16.8"/>
    <s v="L"/>
    <m/>
    <s v="2497_1"/>
    <s v="Baldwin"/>
    <x v="3"/>
    <s v="Tsuga"/>
    <s v="canadensis"/>
    <s v="Pinaceae"/>
    <x v="3"/>
  </r>
  <r>
    <x v="9"/>
    <d v="2026-07-14T00:00:00"/>
    <x v="2"/>
    <n v="2498"/>
    <x v="0"/>
    <n v="15"/>
    <s v="N/A"/>
    <m/>
    <s v="2498_1"/>
    <s v="Baldwin"/>
    <x v="3"/>
    <s v="Acer"/>
    <s v="rubrum"/>
    <s v="Sapindaceae"/>
    <x v="3"/>
  </r>
  <r>
    <x v="9"/>
    <d v="2026-07-14T00:00:00"/>
    <x v="22"/>
    <n v="2499"/>
    <x v="0"/>
    <n v="15.4"/>
    <s v="L/W"/>
    <s v="soft tape"/>
    <s v="2499_1"/>
    <s v="Baldwin"/>
    <x v="3"/>
    <s v="Tsuga"/>
    <s v="canadensis"/>
    <s v="Pinaceae"/>
    <x v="3"/>
  </r>
  <r>
    <x v="9"/>
    <d v="2026-07-14T00:00:00"/>
    <x v="22"/>
    <n v="2500"/>
    <x v="0"/>
    <n v="15.6"/>
    <s v="L"/>
    <m/>
    <s v="2500_1"/>
    <s v="Baldwin"/>
    <x v="3"/>
    <s v="Tsuga"/>
    <s v="canadensis"/>
    <s v="Pinaceae"/>
    <x v="3"/>
  </r>
  <r>
    <x v="9"/>
    <d v="2026-07-14T00:00:00"/>
    <x v="0"/>
    <n v="2501"/>
    <x v="0"/>
    <n v="7.4"/>
    <s v="L"/>
    <m/>
    <s v="2501_1"/>
    <s v="Baldwin"/>
    <x v="3"/>
    <s v="Acer"/>
    <s v="saccharum"/>
    <s v="Sapindaceae"/>
    <x v="5"/>
  </r>
  <r>
    <x v="9"/>
    <d v="2026-07-14T00:00:00"/>
    <x v="22"/>
    <n v="2502"/>
    <x v="0"/>
    <n v="13.1"/>
    <s v="L"/>
    <s v="Severely leaning"/>
    <s v="2502_1"/>
    <s v="Baldwin"/>
    <x v="3"/>
    <s v="Tsuga"/>
    <s v="canadensis"/>
    <s v="Pinaceae"/>
    <x v="3"/>
  </r>
  <r>
    <x v="9"/>
    <d v="2026-07-14T00:00:00"/>
    <x v="2"/>
    <n v="2503"/>
    <x v="0"/>
    <n v="41.8"/>
    <s v="N/A"/>
    <m/>
    <s v="2503_1"/>
    <s v="Baldwin"/>
    <x v="3"/>
    <s v="Acer"/>
    <s v="rubrum"/>
    <s v="Sapindaceae"/>
    <x v="1"/>
  </r>
  <r>
    <x v="9"/>
    <d v="2026-07-14T00:00:00"/>
    <x v="2"/>
    <n v="2504"/>
    <x v="0"/>
    <n v="17.3"/>
    <s v="N/A"/>
    <m/>
    <s v="2504_1"/>
    <s v="Baldwin"/>
    <x v="3"/>
    <s v="Acer"/>
    <s v="rubrum"/>
    <s v="Sapindaceae"/>
    <x v="3"/>
  </r>
  <r>
    <x v="9"/>
    <d v="2026-07-14T00:00:00"/>
    <x v="22"/>
    <n v="2505"/>
    <x v="0"/>
    <n v="16.100000000000001"/>
    <s v="W"/>
    <s v="stick used"/>
    <s v="2505_1"/>
    <s v="Baldwin"/>
    <x v="3"/>
    <s v="Tsuga"/>
    <s v="canadensis"/>
    <s v="Pinaceae"/>
    <x v="3"/>
  </r>
  <r>
    <x v="9"/>
    <d v="2026-07-14T00:00:00"/>
    <x v="2"/>
    <n v="2506"/>
    <x v="0"/>
    <n v="14.8"/>
    <s v="N/A"/>
    <m/>
    <s v="2506_1"/>
    <s v="Baldwin"/>
    <x v="3"/>
    <s v="Acer"/>
    <s v="rubrum"/>
    <s v="Sapindaceae"/>
    <x v="3"/>
  </r>
  <r>
    <x v="9"/>
    <d v="2026-07-14T00:00:00"/>
    <x v="2"/>
    <n v="2507"/>
    <x v="0"/>
    <n v="15.9"/>
    <s v="L"/>
    <m/>
    <s v="2507_1"/>
    <s v="Baldwin"/>
    <x v="3"/>
    <s v="Acer"/>
    <s v="rubrum"/>
    <s v="Sapindaceae"/>
    <x v="3"/>
  </r>
  <r>
    <x v="9"/>
    <d v="2026-07-14T00:00:00"/>
    <x v="21"/>
    <n v="2508"/>
    <x v="0"/>
    <n v="1.6"/>
    <s v="X"/>
    <m/>
    <s v="2508_1"/>
    <s v="Baldwin"/>
    <x v="3"/>
    <s v="Fraxinus"/>
    <s v="pennsylvanica"/>
    <s v="Oleaceae"/>
    <x v="2"/>
  </r>
  <r>
    <x v="9"/>
    <d v="2026-07-14T00:00:00"/>
    <x v="21"/>
    <n v="2509"/>
    <x v="0"/>
    <n v="1.2"/>
    <s v="W, BB"/>
    <s v="soft tape"/>
    <s v="2509_1"/>
    <s v="Baldwin"/>
    <x v="3"/>
    <s v="Fraxinus"/>
    <s v="pennsylvanica"/>
    <s v="Oleaceae"/>
    <x v="2"/>
  </r>
  <r>
    <x v="9"/>
    <d v="2026-07-14T00:00:00"/>
    <x v="19"/>
    <n v="2510"/>
    <x v="0"/>
    <n v="7.7"/>
    <s v="B,L"/>
    <m/>
    <s v="2510_1"/>
    <s v="Baldwin"/>
    <x v="3"/>
    <s v="Carpinus"/>
    <s v="caroliniana"/>
    <s v="Betulaceae"/>
    <x v="5"/>
  </r>
  <r>
    <x v="9"/>
    <d v="2026-07-14T00:00:00"/>
    <x v="21"/>
    <n v="2511"/>
    <x v="0"/>
    <n v="2.6"/>
    <s v="W, BB"/>
    <s v="soft tape"/>
    <s v="2511_1"/>
    <s v="Baldwin"/>
    <x v="3"/>
    <s v="Fraxinus"/>
    <s v="pennsylvanica"/>
    <s v="Oleaceae"/>
    <x v="2"/>
  </r>
  <r>
    <x v="9"/>
    <d v="2026-07-14T00:00:00"/>
    <x v="19"/>
    <n v="2512"/>
    <x v="0"/>
    <n v="8.1"/>
    <s v="A,L"/>
    <s v="POM at 1.27m, knot"/>
    <s v="2512_1"/>
    <s v="Baldwin"/>
    <x v="3"/>
    <s v="Carpinus"/>
    <s v="caroliniana"/>
    <s v="Betulaceae"/>
    <x v="5"/>
  </r>
  <r>
    <x v="9"/>
    <d v="2026-07-14T00:00:00"/>
    <x v="21"/>
    <n v="2513"/>
    <x v="0"/>
    <n v="2.2000000000000002"/>
    <s v="W, BB"/>
    <s v="soft tape"/>
    <s v="2513_1"/>
    <s v="Baldwin"/>
    <x v="3"/>
    <s v="Fraxinus"/>
    <s v="pennsylvanica"/>
    <s v="Oleaceae"/>
    <x v="2"/>
  </r>
  <r>
    <x v="9"/>
    <d v="2026-07-14T00:00:00"/>
    <x v="16"/>
    <n v="2514"/>
    <x v="0"/>
    <n v="4.0999999999999996"/>
    <s v="W"/>
    <m/>
    <s v="2514_1"/>
    <s v="Baldwin"/>
    <x v="3"/>
    <s v="Carya"/>
    <s v="cordiformis"/>
    <s v="Juglandaceae"/>
    <x v="2"/>
  </r>
  <r>
    <x v="9"/>
    <d v="2026-07-14T00:00:00"/>
    <x v="21"/>
    <n v="2515"/>
    <x v="0"/>
    <n v="1.7"/>
    <s v="W"/>
    <s v="soft tape"/>
    <s v="2515_1"/>
    <s v="Baldwin"/>
    <x v="3"/>
    <s v="Fraxinus"/>
    <s v="pennsylvanica"/>
    <s v="Oleaceae"/>
    <x v="2"/>
  </r>
  <r>
    <x v="9"/>
    <d v="2026-07-14T00:00:00"/>
    <x v="25"/>
    <n v="2516"/>
    <x v="0"/>
    <n v="11.3"/>
    <s v="W"/>
    <s v="soft tape"/>
    <s v="2516_1"/>
    <s v="Baldwin"/>
    <x v="3"/>
    <s v="Ulmus"/>
    <s v="americana"/>
    <s v="Ulmaceae"/>
    <x v="3"/>
  </r>
  <r>
    <x v="9"/>
    <d v="2026-07-14T00:00:00"/>
    <x v="2"/>
    <n v="2517"/>
    <x v="0"/>
    <n v="36.4"/>
    <s v="A"/>
    <s v="POM at 0.5, large hole that caused us to lower a lot"/>
    <s v="2517_1"/>
    <s v="Baldwin"/>
    <x v="3"/>
    <s v="Acer"/>
    <s v="rubrum"/>
    <s v="Sapindaceae"/>
    <x v="0"/>
  </r>
  <r>
    <x v="9"/>
    <d v="2026-07-14T00:00:00"/>
    <x v="25"/>
    <n v="2518"/>
    <x v="0"/>
    <n v="7.6"/>
    <s v="L"/>
    <s v="slight lean"/>
    <s v="2518_1"/>
    <s v="Baldwin"/>
    <x v="3"/>
    <s v="Ulmus"/>
    <s v="americana"/>
    <s v="Ulmaceae"/>
    <x v="5"/>
  </r>
  <r>
    <x v="9"/>
    <d v="2026-07-14T00:00:00"/>
    <x v="25"/>
    <n v="2519"/>
    <x v="0"/>
    <n v="9.8000000000000007"/>
    <s v="L"/>
    <m/>
    <s v="2519_1"/>
    <s v="Baldwin"/>
    <x v="3"/>
    <s v="Ulmus"/>
    <s v="americana"/>
    <s v="Ulmaceae"/>
    <x v="5"/>
  </r>
  <r>
    <x v="9"/>
    <d v="2026-07-14T00:00:00"/>
    <x v="2"/>
    <n v="2520"/>
    <x v="0"/>
    <n v="18.100000000000001"/>
    <s v="N/A"/>
    <m/>
    <s v="2520_1"/>
    <s v="Baldwin"/>
    <x v="3"/>
    <s v="Acer"/>
    <s v="rubrum"/>
    <s v="Sapindaceae"/>
    <x v="3"/>
  </r>
  <r>
    <x v="9"/>
    <d v="2026-07-14T00:00:00"/>
    <x v="0"/>
    <n v="2521"/>
    <x v="0"/>
    <n v="8.1999999999999993"/>
    <s v="L"/>
    <m/>
    <s v="2521_1"/>
    <s v="Baldwin"/>
    <x v="3"/>
    <s v="Acer"/>
    <s v="saccharum"/>
    <s v="Sapindaceae"/>
    <x v="5"/>
  </r>
  <r>
    <x v="10"/>
    <d v="2026-07-14T00:00:00"/>
    <x v="0"/>
    <n v="2522"/>
    <x v="0"/>
    <n v="4.5"/>
    <s v="W"/>
    <m/>
    <s v="2522_1"/>
    <s v="Baldwin"/>
    <x v="1"/>
    <s v="Acer"/>
    <s v="saccharum"/>
    <s v="Sapindaceae"/>
    <x v="2"/>
  </r>
  <r>
    <x v="10"/>
    <d v="2026-07-14T00:00:00"/>
    <x v="0"/>
    <n v="2523"/>
    <x v="0"/>
    <n v="5.3"/>
    <s v="L"/>
    <m/>
    <s v="2523_1"/>
    <s v="Baldwin"/>
    <x v="1"/>
    <s v="Acer"/>
    <s v="saccharum"/>
    <s v="Sapindaceae"/>
    <x v="5"/>
  </r>
  <r>
    <x v="10"/>
    <d v="2026-07-14T00:00:00"/>
    <x v="0"/>
    <n v="2524"/>
    <x v="0"/>
    <n v="7.1"/>
    <s v="L"/>
    <m/>
    <s v="2524_1"/>
    <s v="Baldwin"/>
    <x v="1"/>
    <s v="Acer"/>
    <s v="saccharum"/>
    <s v="Sapindaceae"/>
    <x v="5"/>
  </r>
  <r>
    <x v="10"/>
    <d v="2026-07-14T00:00:00"/>
    <x v="0"/>
    <n v="2525"/>
    <x v="0"/>
    <n v="13.3"/>
    <s v="N/A"/>
    <m/>
    <s v="2525_1"/>
    <s v="Baldwin"/>
    <x v="1"/>
    <s v="Acer"/>
    <s v="saccharum"/>
    <s v="Sapindaceae"/>
    <x v="3"/>
  </r>
  <r>
    <x v="10"/>
    <d v="2026-07-14T00:00:00"/>
    <x v="0"/>
    <n v="2526"/>
    <x v="0"/>
    <n v="5.0999999999999996"/>
    <s v="L,A"/>
    <s v="POM at 1.28m"/>
    <s v="2526_1"/>
    <s v="Baldwin"/>
    <x v="1"/>
    <s v="Acer"/>
    <s v="saccharum"/>
    <s v="Sapindaceae"/>
    <x v="5"/>
  </r>
  <r>
    <x v="10"/>
    <d v="2026-07-14T00:00:00"/>
    <x v="0"/>
    <n v="2527"/>
    <x v="0"/>
    <n v="13"/>
    <s v="W"/>
    <s v="stick used"/>
    <s v="2527_1"/>
    <s v="Baldwin"/>
    <x v="1"/>
    <s v="Acer"/>
    <s v="saccharum"/>
    <s v="Sapindaceae"/>
    <x v="3"/>
  </r>
  <r>
    <x v="10"/>
    <d v="2026-07-14T00:00:00"/>
    <x v="0"/>
    <n v="2528"/>
    <x v="0"/>
    <n v="26"/>
    <s v="N/A"/>
    <m/>
    <s v="2528_1"/>
    <s v="Baldwin"/>
    <x v="1"/>
    <s v="Acer"/>
    <s v="saccharum"/>
    <s v="Sapindaceae"/>
    <x v="0"/>
  </r>
  <r>
    <x v="10"/>
    <d v="2026-07-14T00:00:00"/>
    <x v="0"/>
    <n v="2529"/>
    <x v="0"/>
    <n v="6.2"/>
    <s v="N/A"/>
    <m/>
    <s v="2529_1"/>
    <s v="Baldwin"/>
    <x v="1"/>
    <s v="Acer"/>
    <s v="saccharum"/>
    <s v="Sapindaceae"/>
    <x v="5"/>
  </r>
  <r>
    <x v="10"/>
    <d v="2026-07-14T00:00:00"/>
    <x v="0"/>
    <n v="2530"/>
    <x v="0"/>
    <n v="6.9"/>
    <s v="W,A"/>
    <s v="POM at 1.22m"/>
    <s v="2530_1"/>
    <s v="Baldwin"/>
    <x v="1"/>
    <s v="Acer"/>
    <s v="saccharum"/>
    <s v="Sapindaceae"/>
    <x v="5"/>
  </r>
  <r>
    <x v="10"/>
    <d v="2026-07-14T00:00:00"/>
    <x v="2"/>
    <n v="2531"/>
    <x v="0"/>
    <n v="36.1"/>
    <s v="N/A"/>
    <m/>
    <s v="2531_1"/>
    <s v="Baldwin"/>
    <x v="1"/>
    <s v="Acer"/>
    <s v="rubrum"/>
    <s v="Sapindaceae"/>
    <x v="0"/>
  </r>
  <r>
    <x v="10"/>
    <d v="2026-07-14T00:00:00"/>
    <x v="0"/>
    <n v="2532"/>
    <x v="0"/>
    <n v="10.9"/>
    <s v="L"/>
    <m/>
    <s v="2532_1"/>
    <s v="Baldwin"/>
    <x v="1"/>
    <s v="Acer"/>
    <s v="saccharum"/>
    <s v="Sapindaceae"/>
    <x v="3"/>
  </r>
  <r>
    <x v="10"/>
    <d v="2026-07-14T00:00:00"/>
    <x v="0"/>
    <n v="2533"/>
    <x v="0"/>
    <n v="4.2"/>
    <s v="W"/>
    <s v="stick used"/>
    <s v="2533_1"/>
    <s v="Baldwin"/>
    <x v="1"/>
    <s v="Acer"/>
    <s v="saccharum"/>
    <s v="Sapindaceae"/>
    <x v="2"/>
  </r>
  <r>
    <x v="10"/>
    <d v="2026-07-14T00:00:00"/>
    <x v="0"/>
    <n v="2534"/>
    <x v="0"/>
    <n v="29.1"/>
    <s v="L"/>
    <m/>
    <s v="2534_1"/>
    <s v="Baldwin"/>
    <x v="1"/>
    <s v="Acer"/>
    <s v="saccharum"/>
    <s v="Sapindaceae"/>
    <x v="0"/>
  </r>
  <r>
    <x v="10"/>
    <d v="2026-07-14T00:00:00"/>
    <x v="0"/>
    <n v="2535"/>
    <x v="0"/>
    <n v="13.2"/>
    <s v="L"/>
    <m/>
    <s v="2535_1"/>
    <s v="Baldwin"/>
    <x v="1"/>
    <s v="Acer"/>
    <s v="saccharum"/>
    <s v="Sapindaceae"/>
    <x v="3"/>
  </r>
  <r>
    <x v="10"/>
    <d v="2026-07-14T00:00:00"/>
    <x v="0"/>
    <n v="2536"/>
    <x v="0"/>
    <n v="4.3"/>
    <s v="L"/>
    <s v="slight lean"/>
    <s v="2536_1"/>
    <s v="Baldwin"/>
    <x v="1"/>
    <s v="Acer"/>
    <s v="saccharum"/>
    <s v="Sapindaceae"/>
    <x v="2"/>
  </r>
  <r>
    <x v="10"/>
    <d v="2026-07-14T00:00:00"/>
    <x v="0"/>
    <n v="2537"/>
    <x v="0"/>
    <n v="26.9"/>
    <s v="L, I"/>
    <s v="trunk irregular"/>
    <s v="2537_1"/>
    <s v="Baldwin"/>
    <x v="1"/>
    <s v="Acer"/>
    <s v="saccharum"/>
    <s v="Sapindaceae"/>
    <x v="0"/>
  </r>
  <r>
    <x v="10"/>
    <d v="2026-07-14T00:00:00"/>
    <x v="2"/>
    <n v="2538"/>
    <x v="0"/>
    <n v="25.1"/>
    <s v="N/A"/>
    <m/>
    <s v="2538_1"/>
    <s v="Baldwin"/>
    <x v="1"/>
    <s v="Acer"/>
    <s v="rubrum"/>
    <s v="Sapindaceae"/>
    <x v="0"/>
  </r>
  <r>
    <x v="10"/>
    <d v="2026-07-14T00:00:00"/>
    <x v="0"/>
    <n v="2539"/>
    <x v="0"/>
    <n v="8.8000000000000007"/>
    <s v="W, A"/>
    <s v="soft tape, POM at 1.25"/>
    <s v="2539_1"/>
    <s v="Baldwin"/>
    <x v="1"/>
    <s v="Acer"/>
    <s v="saccharum"/>
    <s v="Sapindaceae"/>
    <x v="5"/>
  </r>
  <r>
    <x v="10"/>
    <d v="2026-07-14T00:00:00"/>
    <x v="0"/>
    <n v="2540"/>
    <x v="0"/>
    <n v="3.5"/>
    <s v="W"/>
    <s v="slightly wavy"/>
    <s v="2540_1"/>
    <s v="Baldwin"/>
    <x v="1"/>
    <s v="Acer"/>
    <s v="saccharum"/>
    <s v="Sapindaceae"/>
    <x v="2"/>
  </r>
  <r>
    <x v="10"/>
    <d v="2026-07-14T00:00:00"/>
    <x v="0"/>
    <n v="2541"/>
    <x v="0"/>
    <n v="5.2"/>
    <s v="W"/>
    <s v="stick used"/>
    <s v="2541_1"/>
    <s v="Baldwin"/>
    <x v="1"/>
    <s v="Acer"/>
    <s v="saccharum"/>
    <s v="Sapindaceae"/>
    <x v="5"/>
  </r>
  <r>
    <x v="10"/>
    <d v="2026-07-14T00:00:00"/>
    <x v="0"/>
    <n v="2542"/>
    <x v="0"/>
    <n v="7.5"/>
    <s v="W"/>
    <s v="slightly wavy "/>
    <s v="2542_1"/>
    <s v="Baldwin"/>
    <x v="1"/>
    <s v="Acer"/>
    <s v="saccharum"/>
    <s v="Sapindaceae"/>
    <x v="5"/>
  </r>
  <r>
    <x v="10"/>
    <d v="2026-07-14T00:00:00"/>
    <x v="0"/>
    <n v="2543"/>
    <x v="0"/>
    <n v="3"/>
    <s v="W"/>
    <s v="stick used"/>
    <s v="2543_1"/>
    <s v="Baldwin"/>
    <x v="1"/>
    <s v="Acer"/>
    <s v="saccharum"/>
    <s v="Sapindaceae"/>
    <x v="2"/>
  </r>
  <r>
    <x v="10"/>
    <d v="2026-07-14T00:00:00"/>
    <x v="2"/>
    <n v="2544"/>
    <x v="0"/>
    <n v="33.799999999999997"/>
    <s v="N/A"/>
    <m/>
    <s v="2544_1"/>
    <s v="Baldwin"/>
    <x v="1"/>
    <s v="Acer"/>
    <s v="rubrum"/>
    <s v="Sapindaceae"/>
    <x v="0"/>
  </r>
  <r>
    <x v="10"/>
    <d v="2026-07-14T00:00:00"/>
    <x v="0"/>
    <n v="2545"/>
    <x v="0"/>
    <n v="13.2"/>
    <s v="L"/>
    <m/>
    <s v="2545_1"/>
    <s v="Baldwin"/>
    <x v="1"/>
    <s v="Acer"/>
    <s v="saccharum"/>
    <s v="Sapindaceae"/>
    <x v="3"/>
  </r>
  <r>
    <x v="10"/>
    <d v="2026-07-14T00:00:00"/>
    <x v="0"/>
    <n v="2546"/>
    <x v="0"/>
    <n v="9.1999999999999993"/>
    <s v="L,A"/>
    <s v="slight lean, POM at 1.24m"/>
    <s v="2546_1"/>
    <s v="Baldwin"/>
    <x v="1"/>
    <s v="Acer"/>
    <s v="saccharum"/>
    <s v="Sapindaceae"/>
    <x v="5"/>
  </r>
  <r>
    <x v="10"/>
    <d v="2026-07-14T00:00:00"/>
    <x v="0"/>
    <n v="2547"/>
    <x v="0"/>
    <n v="7.1"/>
    <s v="L"/>
    <s v="slight lean"/>
    <s v="2547_1"/>
    <s v="Baldwin"/>
    <x v="1"/>
    <s v="Acer"/>
    <s v="saccharum"/>
    <s v="Sapindaceae"/>
    <x v="5"/>
  </r>
  <r>
    <x v="10"/>
    <d v="2026-07-14T00:00:00"/>
    <x v="2"/>
    <n v="2548"/>
    <x v="0"/>
    <n v="45.6"/>
    <s v="N/A"/>
    <m/>
    <s v="2548_1"/>
    <s v="Baldwin"/>
    <x v="1"/>
    <s v="Acer"/>
    <s v="rubrum"/>
    <s v="Sapindaceae"/>
    <x v="1"/>
  </r>
  <r>
    <x v="10"/>
    <d v="2026-07-14T00:00:00"/>
    <x v="0"/>
    <n v="2549"/>
    <x v="0"/>
    <n v="8.5"/>
    <s v="L/W"/>
    <s v="stick used"/>
    <s v="2549_1"/>
    <s v="Baldwin"/>
    <x v="1"/>
    <s v="Acer"/>
    <s v="saccharum"/>
    <s v="Sapindaceae"/>
    <x v="5"/>
  </r>
  <r>
    <x v="10"/>
    <d v="2026-07-14T00:00:00"/>
    <x v="0"/>
    <n v="2550"/>
    <x v="0"/>
    <n v="13.6"/>
    <s v="W"/>
    <s v="slightly wavy "/>
    <s v="2550_1"/>
    <s v="Baldwin"/>
    <x v="1"/>
    <s v="Acer"/>
    <s v="saccharum"/>
    <s v="Sapindaceae"/>
    <x v="3"/>
  </r>
  <r>
    <x v="10"/>
    <d v="2026-07-14T00:00:00"/>
    <x v="10"/>
    <n v="2551"/>
    <x v="0"/>
    <n v="57"/>
    <s v="N/A"/>
    <m/>
    <s v="2551_1"/>
    <s v="Baldwin"/>
    <x v="1"/>
    <s v="Quercus"/>
    <s v="rubra"/>
    <s v="Fagaceae"/>
    <x v="4"/>
  </r>
  <r>
    <x v="10"/>
    <d v="2026-07-14T00:00:00"/>
    <x v="0"/>
    <n v="2552"/>
    <x v="0"/>
    <n v="3.6"/>
    <s v="W,B"/>
    <s v="slightly wavy "/>
    <s v="2552_1"/>
    <s v="Baldwin"/>
    <x v="1"/>
    <s v="Acer"/>
    <s v="saccharum"/>
    <s v="Sapindaceae"/>
    <x v="2"/>
  </r>
  <r>
    <x v="10"/>
    <d v="2026-07-14T00:00:00"/>
    <x v="0"/>
    <n v="2553"/>
    <x v="0"/>
    <n v="17.100000000000001"/>
    <s v="I"/>
    <s v="slightly wavy all around"/>
    <s v="2553_1"/>
    <s v="Baldwin"/>
    <x v="1"/>
    <s v="Acer"/>
    <s v="saccharum"/>
    <s v="Sapindaceae"/>
    <x v="3"/>
  </r>
  <r>
    <x v="10"/>
    <d v="2026-07-14T00:00:00"/>
    <x v="2"/>
    <n v="2554"/>
    <x v="0"/>
    <n v="48.7"/>
    <s v="N/A"/>
    <m/>
    <s v="2554_1"/>
    <s v="Baldwin"/>
    <x v="1"/>
    <s v="Acer"/>
    <s v="rubrum"/>
    <s v="Sapindaceae"/>
    <x v="1"/>
  </r>
  <r>
    <x v="10"/>
    <d v="2026-07-14T00:00:00"/>
    <x v="0"/>
    <n v="2555"/>
    <x v="0"/>
    <n v="2.8"/>
    <s v="L"/>
    <s v="tag fell to base of tree"/>
    <s v="2555_1"/>
    <s v="Baldwin"/>
    <x v="1"/>
    <s v="Acer"/>
    <s v="saccharum"/>
    <s v="Sapindaceae"/>
    <x v="2"/>
  </r>
  <r>
    <x v="10"/>
    <d v="2026-07-14T00:00:00"/>
    <x v="0"/>
    <n v="2556"/>
    <x v="0"/>
    <n v="5.4"/>
    <s v="L"/>
    <m/>
    <s v="2556_1"/>
    <s v="Baldwin"/>
    <x v="1"/>
    <s v="Acer"/>
    <s v="saccharum"/>
    <s v="Sapindaceae"/>
    <x v="5"/>
  </r>
  <r>
    <x v="10"/>
    <d v="2026-07-14T00:00:00"/>
    <x v="0"/>
    <n v="2557"/>
    <x v="0"/>
    <n v="5.4"/>
    <s v="L"/>
    <m/>
    <s v="2557_1"/>
    <s v="Baldwin"/>
    <x v="1"/>
    <s v="Acer"/>
    <s v="saccharum"/>
    <s v="Sapindaceae"/>
    <x v="5"/>
  </r>
  <r>
    <x v="10"/>
    <d v="2026-07-14T00:00:00"/>
    <x v="0"/>
    <n v="2558"/>
    <x v="0"/>
    <n v="27.8"/>
    <s v="N/A"/>
    <m/>
    <s v="2558_1"/>
    <s v="Baldwin"/>
    <x v="1"/>
    <s v="Acer"/>
    <s v="saccharum"/>
    <s v="Sapindaceae"/>
    <x v="0"/>
  </r>
  <r>
    <x v="10"/>
    <d v="2026-07-14T00:00:00"/>
    <x v="0"/>
    <n v="2559"/>
    <x v="0"/>
    <n v="34.9"/>
    <s v="I"/>
    <s v="trunk irregular"/>
    <s v="2559_1"/>
    <s v="Baldwin"/>
    <x v="1"/>
    <s v="Acer"/>
    <s v="saccharum"/>
    <s v="Sapindaceae"/>
    <x v="0"/>
  </r>
  <r>
    <x v="10"/>
    <d v="2026-07-14T00:00:00"/>
    <x v="0"/>
    <n v="2560"/>
    <x v="0"/>
    <n v="35.700000000000003"/>
    <s v="L"/>
    <m/>
    <s v="2560_1"/>
    <s v="Baldwin"/>
    <x v="1"/>
    <s v="Acer"/>
    <s v="saccharum"/>
    <s v="Sapindaceae"/>
    <x v="0"/>
  </r>
  <r>
    <x v="10"/>
    <d v="2026-07-14T00:00:00"/>
    <x v="0"/>
    <n v="2561"/>
    <x v="0"/>
    <n v="12.9"/>
    <s v="L"/>
    <m/>
    <s v="2561_1"/>
    <s v="Baldwin"/>
    <x v="1"/>
    <s v="Acer"/>
    <s v="saccharum"/>
    <s v="Sapindaceae"/>
    <x v="3"/>
  </r>
  <r>
    <x v="10"/>
    <d v="2026-07-14T00:00:00"/>
    <x v="0"/>
    <n v="2562"/>
    <x v="0"/>
    <n v="9.6999999999999993"/>
    <s v="N/A"/>
    <m/>
    <s v="2562_1"/>
    <s v="Baldwin"/>
    <x v="1"/>
    <s v="Acer"/>
    <s v="saccharum"/>
    <s v="Sapindaceae"/>
    <x v="5"/>
  </r>
  <r>
    <x v="10"/>
    <d v="2026-07-14T00:00:00"/>
    <x v="0"/>
    <n v="2563"/>
    <x v="0"/>
    <n v="16"/>
    <s v="L"/>
    <m/>
    <s v="2563_1"/>
    <s v="Baldwin"/>
    <x v="1"/>
    <s v="Acer"/>
    <s v="saccharum"/>
    <s v="Sapindaceae"/>
    <x v="3"/>
  </r>
  <r>
    <x v="10"/>
    <d v="2026-07-14T00:00:00"/>
    <x v="0"/>
    <n v="2564"/>
    <x v="0"/>
    <n v="7.2"/>
    <s v="L"/>
    <m/>
    <s v="2564_1"/>
    <s v="Baldwin"/>
    <x v="1"/>
    <s v="Acer"/>
    <s v="saccharum"/>
    <s v="Sapindaceae"/>
    <x v="5"/>
  </r>
  <r>
    <x v="10"/>
    <d v="2026-07-14T00:00:00"/>
    <x v="0"/>
    <n v="2565"/>
    <x v="0"/>
    <n v="17"/>
    <s v="L"/>
    <m/>
    <s v="2565_1"/>
    <s v="Baldwin"/>
    <x v="1"/>
    <s v="Acer"/>
    <s v="saccharum"/>
    <s v="Sapindaceae"/>
    <x v="3"/>
  </r>
  <r>
    <x v="10"/>
    <d v="2026-07-14T00:00:00"/>
    <x v="0"/>
    <n v="2566"/>
    <x v="0"/>
    <n v="25"/>
    <s v="N/A"/>
    <m/>
    <s v="2566_1"/>
    <s v="Baldwin"/>
    <x v="1"/>
    <s v="Acer"/>
    <s v="saccharum"/>
    <s v="Sapindaceae"/>
    <x v="0"/>
  </r>
  <r>
    <x v="10"/>
    <d v="2026-07-14T00:00:00"/>
    <x v="0"/>
    <n v="2567"/>
    <x v="0"/>
    <n v="27.4"/>
    <s v="L"/>
    <m/>
    <s v="2567_1"/>
    <s v="Baldwin"/>
    <x v="1"/>
    <s v="Acer"/>
    <s v="saccharum"/>
    <s v="Sapindaceae"/>
    <x v="0"/>
  </r>
  <r>
    <x v="10"/>
    <d v="2026-07-14T00:00:00"/>
    <x v="0"/>
    <n v="2568"/>
    <x v="0"/>
    <n v="12.1"/>
    <s v="N/A"/>
    <m/>
    <s v="2568_1"/>
    <s v="Baldwin"/>
    <x v="1"/>
    <s v="Acer"/>
    <s v="saccharum"/>
    <s v="Sapindaceae"/>
    <x v="3"/>
  </r>
  <r>
    <x v="10"/>
    <d v="2026-07-14T00:00:00"/>
    <x v="2"/>
    <n v="2569"/>
    <x v="0"/>
    <n v="43.3"/>
    <s v="L"/>
    <m/>
    <s v="2569_1"/>
    <s v="Baldwin"/>
    <x v="1"/>
    <s v="Acer"/>
    <s v="rubrum"/>
    <s v="Sapindaceae"/>
    <x v="1"/>
  </r>
  <r>
    <x v="10"/>
    <d v="2026-07-14T00:00:00"/>
    <x v="26"/>
    <n v="2570"/>
    <x v="0"/>
    <n v="24.3"/>
    <s v="N/A"/>
    <m/>
    <s v="2570_1"/>
    <s v="Baldwin"/>
    <x v="1"/>
    <s v="Carya"/>
    <s v="ovata"/>
    <s v="Juglandaceae"/>
    <x v="0"/>
  </r>
  <r>
    <x v="10"/>
    <d v="2026-07-14T00:00:00"/>
    <x v="2"/>
    <n v="2571"/>
    <x v="0"/>
    <n v="40"/>
    <s v="N/A"/>
    <m/>
    <s v="2571_1"/>
    <s v="Baldwin"/>
    <x v="1"/>
    <s v="Acer"/>
    <s v="rubrum"/>
    <s v="Sapindaceae"/>
    <x v="0"/>
  </r>
  <r>
    <x v="10"/>
    <d v="2026-07-14T00:00:00"/>
    <x v="0"/>
    <n v="2572"/>
    <x v="0"/>
    <n v="6.7"/>
    <s v="L"/>
    <s v="slight lean"/>
    <s v="2572_1"/>
    <s v="Baldwin"/>
    <x v="1"/>
    <s v="Acer"/>
    <s v="saccharum"/>
    <s v="Sapindaceae"/>
    <x v="5"/>
  </r>
  <r>
    <x v="10"/>
    <d v="2026-07-14T00:00:00"/>
    <x v="0"/>
    <n v="2573"/>
    <x v="0"/>
    <n v="24.9"/>
    <s v="W/L"/>
    <s v="stick used"/>
    <s v="2573_1"/>
    <s v="Baldwin"/>
    <x v="1"/>
    <s v="Acer"/>
    <s v="saccharum"/>
    <s v="Sapindaceae"/>
    <x v="0"/>
  </r>
  <r>
    <x v="10"/>
    <d v="2026-07-14T00:00:00"/>
    <x v="0"/>
    <n v="2574"/>
    <x v="0"/>
    <n v="10.7"/>
    <s v="N/A"/>
    <m/>
    <s v="2574_1"/>
    <s v="Baldwin"/>
    <x v="1"/>
    <s v="Acer"/>
    <s v="saccharum"/>
    <s v="Sapindaceae"/>
    <x v="3"/>
  </r>
  <r>
    <x v="10"/>
    <d v="2026-07-14T00:00:00"/>
    <x v="0"/>
    <n v="2575"/>
    <x v="0"/>
    <n v="7.4"/>
    <s v="L"/>
    <m/>
    <s v="2575_1"/>
    <s v="Baldwin"/>
    <x v="1"/>
    <s v="Acer"/>
    <s v="saccharum"/>
    <s v="Sapindaceae"/>
    <x v="5"/>
  </r>
  <r>
    <x v="10"/>
    <d v="2026-07-14T00:00:00"/>
    <x v="0"/>
    <n v="2576"/>
    <x v="0"/>
    <n v="6.6"/>
    <s v="I"/>
    <m/>
    <s v="2576_1"/>
    <s v="Baldwin"/>
    <x v="1"/>
    <s v="Acer"/>
    <s v="saccharum"/>
    <s v="Sapindaceae"/>
    <x v="5"/>
  </r>
  <r>
    <x v="10"/>
    <d v="2026-07-14T00:00:00"/>
    <x v="0"/>
    <n v="2577"/>
    <x v="0"/>
    <n v="3.3"/>
    <s v="B, W"/>
    <s v="branch became new lead. soft tape"/>
    <s v="2577_1"/>
    <s v="Baldwin"/>
    <x v="1"/>
    <s v="Acer"/>
    <s v="saccharum"/>
    <s v="Sapindaceae"/>
    <x v="2"/>
  </r>
  <r>
    <x v="10"/>
    <d v="2026-07-14T00:00:00"/>
    <x v="10"/>
    <n v="2578"/>
    <x v="0"/>
    <n v="71.3"/>
    <s v="N/A"/>
    <m/>
    <s v="2578_1"/>
    <s v="Baldwin"/>
    <x v="1"/>
    <s v="Quercus"/>
    <s v="rubra"/>
    <s v="Fagaceae"/>
    <x v="4"/>
  </r>
  <r>
    <x v="10"/>
    <d v="2026-07-14T00:00:00"/>
    <x v="0"/>
    <n v="2579"/>
    <x v="0"/>
    <n v="3.9"/>
    <s v="L"/>
    <m/>
    <s v="2579_1"/>
    <s v="Baldwin"/>
    <x v="1"/>
    <s v="Acer"/>
    <s v="saccharum"/>
    <s v="Sapindaceae"/>
    <x v="2"/>
  </r>
  <r>
    <x v="10"/>
    <d v="2026-07-14T00:00:00"/>
    <x v="0"/>
    <n v="2580"/>
    <x v="0"/>
    <n v="10.6"/>
    <s v="N/A"/>
    <m/>
    <s v="2580_1"/>
    <s v="Baldwin"/>
    <x v="1"/>
    <s v="Acer"/>
    <s v="saccharum"/>
    <s v="Sapindaceae"/>
    <x v="3"/>
  </r>
  <r>
    <x v="10"/>
    <d v="2026-07-14T00:00:00"/>
    <x v="0"/>
    <n v="2581"/>
    <x v="0"/>
    <n v="25.4"/>
    <s v="L"/>
    <m/>
    <s v="2581_1"/>
    <s v="Baldwin"/>
    <x v="1"/>
    <s v="Acer"/>
    <s v="saccharum"/>
    <s v="Sapindaceae"/>
    <x v="0"/>
  </r>
  <r>
    <x v="10"/>
    <d v="2026-07-14T00:00:00"/>
    <x v="0"/>
    <n v="2582"/>
    <x v="0"/>
    <n v="9.9"/>
    <s v="A"/>
    <s v="POM at 1.28m"/>
    <s v="2582_1"/>
    <s v="Baldwin"/>
    <x v="1"/>
    <s v="Acer"/>
    <s v="saccharum"/>
    <s v="Sapindaceae"/>
    <x v="5"/>
  </r>
  <r>
    <x v="10"/>
    <d v="2026-07-14T00:00:00"/>
    <x v="0"/>
    <n v="2583"/>
    <x v="0"/>
    <n v="38"/>
    <s v="L"/>
    <m/>
    <s v="2583_1"/>
    <s v="Baldwin"/>
    <x v="1"/>
    <s v="Acer"/>
    <s v="saccharum"/>
    <s v="Sapindaceae"/>
    <x v="0"/>
  </r>
  <r>
    <x v="10"/>
    <d v="2026-07-14T00:00:00"/>
    <x v="8"/>
    <n v="2584"/>
    <x v="0"/>
    <n v="3.4"/>
    <s v="N/A"/>
    <m/>
    <s v="2584_1"/>
    <s v="Baldwin"/>
    <x v="1"/>
    <s v="Ostrya"/>
    <s v="viginiana"/>
    <s v="Betulaceae"/>
    <x v="2"/>
  </r>
  <r>
    <x v="10"/>
    <d v="2026-07-14T00:00:00"/>
    <x v="0"/>
    <n v="2585"/>
    <x v="0"/>
    <n v="4.5999999999999996"/>
    <s v="W"/>
    <s v="soft tape"/>
    <s v="2585_1"/>
    <s v="Baldwin"/>
    <x v="1"/>
    <s v="Acer"/>
    <s v="saccharum"/>
    <s v="Sapindaceae"/>
    <x v="2"/>
  </r>
  <r>
    <x v="10"/>
    <d v="2026-07-14T00:00:00"/>
    <x v="0"/>
    <n v="2586"/>
    <x v="0"/>
    <n v="9.5"/>
    <s v="L"/>
    <s v="slight lean"/>
    <s v="2586_1"/>
    <s v="Baldwin"/>
    <x v="1"/>
    <s v="Acer"/>
    <s v="saccharum"/>
    <s v="Sapindaceae"/>
    <x v="5"/>
  </r>
  <r>
    <x v="10"/>
    <d v="2026-07-14T00:00:00"/>
    <x v="26"/>
    <n v="2587"/>
    <x v="0"/>
    <n v="18.7"/>
    <s v="L"/>
    <m/>
    <s v="2587_1"/>
    <s v="Baldwin"/>
    <x v="1"/>
    <s v="Carya"/>
    <s v="ovata"/>
    <s v="Juglandaceae"/>
    <x v="3"/>
  </r>
  <r>
    <x v="10"/>
    <d v="2026-07-14T00:00:00"/>
    <x v="0"/>
    <n v="2588"/>
    <x v="0"/>
    <n v="8.8000000000000007"/>
    <s v="N/A"/>
    <m/>
    <s v="2588_1"/>
    <s v="Baldwin"/>
    <x v="1"/>
    <s v="Acer"/>
    <s v="saccharum"/>
    <s v="Sapindaceae"/>
    <x v="5"/>
  </r>
  <r>
    <x v="10"/>
    <d v="2026-07-14T00:00:00"/>
    <x v="0"/>
    <n v="2589"/>
    <x v="0"/>
    <n v="3"/>
    <s v="W"/>
    <s v="soft tape"/>
    <s v="2589_1"/>
    <s v="Baldwin"/>
    <x v="1"/>
    <s v="Acer"/>
    <s v="saccharum"/>
    <s v="Sapindaceae"/>
    <x v="2"/>
  </r>
  <r>
    <x v="10"/>
    <d v="2026-07-14T00:00:00"/>
    <x v="0"/>
    <n v="2590"/>
    <x v="0"/>
    <n v="4.5"/>
    <s v="N/A"/>
    <m/>
    <s v="2590_1"/>
    <s v="Baldwin"/>
    <x v="1"/>
    <s v="Acer"/>
    <s v="saccharum"/>
    <s v="Sapindaceae"/>
    <x v="2"/>
  </r>
  <r>
    <x v="10"/>
    <d v="2026-07-14T00:00:00"/>
    <x v="26"/>
    <n v="2591"/>
    <x v="0"/>
    <n v="21.3"/>
    <s v="L"/>
    <m/>
    <s v="2591_1"/>
    <s v="Baldwin"/>
    <x v="1"/>
    <s v="Carya"/>
    <s v="ovata"/>
    <s v="Juglandaceae"/>
    <x v="0"/>
  </r>
  <r>
    <x v="10"/>
    <d v="2026-07-14T00:00:00"/>
    <x v="0"/>
    <n v="2592"/>
    <x v="0"/>
    <n v="5.6"/>
    <s v="A"/>
    <s v="POM at 1.28m"/>
    <s v="2592_1"/>
    <s v="Baldwin"/>
    <x v="1"/>
    <s v="Acer"/>
    <s v="saccharum"/>
    <s v="Sapindaceae"/>
    <x v="5"/>
  </r>
  <r>
    <x v="10"/>
    <d v="2026-07-14T00:00:00"/>
    <x v="26"/>
    <n v="2593"/>
    <x v="0"/>
    <n v="27.8"/>
    <s v="N/A"/>
    <m/>
    <s v="2593_1"/>
    <s v="Baldwin"/>
    <x v="1"/>
    <s v="Carya"/>
    <s v="ovata"/>
    <s v="Juglandaceae"/>
    <x v="0"/>
  </r>
  <r>
    <x v="10"/>
    <d v="2026-07-14T00:00:00"/>
    <x v="0"/>
    <n v="2594"/>
    <x v="0"/>
    <n v="13.6"/>
    <s v="L"/>
    <s v="slight lean"/>
    <s v="2594_1"/>
    <s v="Baldwin"/>
    <x v="1"/>
    <s v="Acer"/>
    <s v="saccharum"/>
    <s v="Sapindaceae"/>
    <x v="3"/>
  </r>
  <r>
    <x v="10"/>
    <d v="2026-07-14T00:00:00"/>
    <x v="0"/>
    <n v="2595"/>
    <x v="0"/>
    <n v="12.7"/>
    <s v="N/A"/>
    <m/>
    <s v="2595_1"/>
    <s v="Baldwin"/>
    <x v="1"/>
    <s v="Acer"/>
    <s v="saccharum"/>
    <s v="Sapindaceae"/>
    <x v="3"/>
  </r>
  <r>
    <x v="10"/>
    <d v="2026-07-14T00:00:00"/>
    <x v="13"/>
    <n v="2596"/>
    <x v="0"/>
    <n v="35.700000000000003"/>
    <s v="N/A"/>
    <m/>
    <s v="2596_1"/>
    <s v="Baldwin"/>
    <x v="1"/>
    <s v="Quercus"/>
    <s v="alba"/>
    <s v="Fagaceae"/>
    <x v="0"/>
  </r>
  <r>
    <x v="10"/>
    <d v="2026-07-14T00:00:00"/>
    <x v="0"/>
    <n v="2597"/>
    <x v="0"/>
    <n v="31.9"/>
    <s v="L"/>
    <m/>
    <s v="2597_1"/>
    <s v="Baldwin"/>
    <x v="1"/>
    <s v="Acer"/>
    <s v="saccharum"/>
    <s v="Sapindaceae"/>
    <x v="0"/>
  </r>
  <r>
    <x v="10"/>
    <d v="2026-07-14T00:00:00"/>
    <x v="0"/>
    <n v="2598"/>
    <x v="0"/>
    <n v="5"/>
    <s v="N/A"/>
    <m/>
    <s v="2598_1"/>
    <s v="Baldwin"/>
    <x v="1"/>
    <s v="Acer"/>
    <s v="saccharum"/>
    <s v="Sapindaceae"/>
    <x v="2"/>
  </r>
  <r>
    <x v="10"/>
    <d v="2026-07-14T00:00:00"/>
    <x v="0"/>
    <n v="2599"/>
    <x v="0"/>
    <n v="6.9"/>
    <s v="N/A"/>
    <m/>
    <s v="2599_1"/>
    <s v="Baldwin"/>
    <x v="1"/>
    <s v="Acer"/>
    <s v="saccharum"/>
    <s v="Sapindaceae"/>
    <x v="5"/>
  </r>
  <r>
    <x v="10"/>
    <d v="2026-07-14T00:00:00"/>
    <x v="26"/>
    <n v="2600"/>
    <x v="0"/>
    <n v="22.1"/>
    <s v="N/A"/>
    <m/>
    <s v="2600_1"/>
    <s v="Baldwin"/>
    <x v="1"/>
    <s v="Carya"/>
    <s v="ovata"/>
    <s v="Juglandaceae"/>
    <x v="0"/>
  </r>
  <r>
    <x v="10"/>
    <d v="2026-07-15T00:00:00"/>
    <x v="0"/>
    <n v="2601"/>
    <x v="0"/>
    <n v="14.9"/>
    <s v="L"/>
    <m/>
    <s v="2601_1"/>
    <s v="Baldwin"/>
    <x v="1"/>
    <s v="Acer"/>
    <s v="saccharum"/>
    <s v="Sapindaceae"/>
    <x v="3"/>
  </r>
  <r>
    <x v="10"/>
    <d v="2026-07-15T00:00:00"/>
    <x v="26"/>
    <n v="2602"/>
    <x v="0"/>
    <n v="24.8"/>
    <s v="N/A"/>
    <m/>
    <s v="2602_1"/>
    <s v="Baldwin"/>
    <x v="1"/>
    <s v="Carya"/>
    <s v="ovata"/>
    <s v="Juglandaceae"/>
    <x v="0"/>
  </r>
  <r>
    <x v="10"/>
    <d v="2026-07-15T00:00:00"/>
    <x v="0"/>
    <n v="2603"/>
    <x v="0"/>
    <n v="2.2000000000000002"/>
    <s v="W"/>
    <s v="soft tape"/>
    <s v="2603_1"/>
    <s v="Baldwin"/>
    <x v="1"/>
    <s v="Acer"/>
    <s v="saccharum"/>
    <s v="Sapindaceae"/>
    <x v="2"/>
  </r>
  <r>
    <x v="10"/>
    <d v="2026-07-15T00:00:00"/>
    <x v="0"/>
    <n v="2604"/>
    <x v="0"/>
    <n v="14.1"/>
    <s v="W"/>
    <m/>
    <s v="2604_1"/>
    <s v="Baldwin"/>
    <x v="1"/>
    <s v="Acer"/>
    <s v="saccharum"/>
    <s v="Sapindaceae"/>
    <x v="3"/>
  </r>
  <r>
    <x v="10"/>
    <d v="2026-07-15T00:00:00"/>
    <x v="16"/>
    <n v="2605"/>
    <x v="0"/>
    <n v="20.399999999999999"/>
    <s v="N/A"/>
    <m/>
    <s v="2605_1"/>
    <s v="Baldwin"/>
    <x v="1"/>
    <s v="Carya"/>
    <s v="cordiformis"/>
    <s v="Juglandaceae"/>
    <x v="0"/>
  </r>
  <r>
    <x v="10"/>
    <d v="2026-07-15T00:00:00"/>
    <x v="0"/>
    <n v="2606"/>
    <x v="0"/>
    <n v="3.3"/>
    <s v="W"/>
    <m/>
    <s v="2606_1"/>
    <s v="Baldwin"/>
    <x v="1"/>
    <s v="Acer"/>
    <s v="saccharum"/>
    <s v="Sapindaceae"/>
    <x v="2"/>
  </r>
  <r>
    <x v="10"/>
    <d v="2026-07-15T00:00:00"/>
    <x v="10"/>
    <n v="2607"/>
    <x v="0"/>
    <n v="50.5"/>
    <s v="N/A"/>
    <m/>
    <s v="2607_1"/>
    <s v="Baldwin"/>
    <x v="1"/>
    <s v="Quercus"/>
    <s v="rubra"/>
    <s v="Fagaceae"/>
    <x v="4"/>
  </r>
  <r>
    <x v="10"/>
    <d v="2026-07-15T00:00:00"/>
    <x v="0"/>
    <n v="2608"/>
    <x v="0"/>
    <n v="3.9"/>
    <s v="L"/>
    <m/>
    <s v="2608_1"/>
    <s v="Baldwin"/>
    <x v="1"/>
    <s v="Acer"/>
    <s v="saccharum"/>
    <s v="Sapindaceae"/>
    <x v="2"/>
  </r>
  <r>
    <x v="10"/>
    <d v="2026-07-15T00:00:00"/>
    <x v="0"/>
    <n v="2609"/>
    <x v="0"/>
    <n v="7.9"/>
    <s v="L"/>
    <s v="slight lean"/>
    <s v="2609_1"/>
    <s v="Baldwin"/>
    <x v="1"/>
    <s v="Acer"/>
    <s v="saccharum"/>
    <s v="Sapindaceae"/>
    <x v="5"/>
  </r>
  <r>
    <x v="10"/>
    <d v="2026-07-15T00:00:00"/>
    <x v="0"/>
    <n v="2610"/>
    <x v="0"/>
    <n v="6"/>
    <s v="W"/>
    <m/>
    <s v="2610_1"/>
    <s v="Baldwin"/>
    <x v="1"/>
    <s v="Acer"/>
    <s v="saccharum"/>
    <s v="Sapindaceae"/>
    <x v="5"/>
  </r>
  <r>
    <x v="10"/>
    <d v="2026-07-15T00:00:00"/>
    <x v="18"/>
    <n v="2611"/>
    <x v="0"/>
    <n v="2.2000000000000002"/>
    <s v="W, A"/>
    <s v="POM at 1.26, soft tape"/>
    <s v="2611_1"/>
    <s v="Baldwin"/>
    <x v="1"/>
    <s v="Crataegus"/>
    <s v="species"/>
    <s v="Rosaceae"/>
    <x v="2"/>
  </r>
  <r>
    <x v="10"/>
    <d v="2026-07-15T00:00:00"/>
    <x v="26"/>
    <n v="2612"/>
    <x v="0"/>
    <n v="15.9"/>
    <s v="N/A"/>
    <m/>
    <s v="2612_1"/>
    <s v="Baldwin"/>
    <x v="1"/>
    <s v="Carya"/>
    <s v="ovata"/>
    <s v="Juglandaceae"/>
    <x v="3"/>
  </r>
  <r>
    <x v="10"/>
    <d v="2026-07-15T00:00:00"/>
    <x v="0"/>
    <n v="2613"/>
    <x v="0"/>
    <n v="5.5"/>
    <s v="L"/>
    <m/>
    <s v="2613_1"/>
    <s v="Baldwin"/>
    <x v="1"/>
    <s v="Acer"/>
    <s v="saccharum"/>
    <s v="Sapindaceae"/>
    <x v="5"/>
  </r>
  <r>
    <x v="10"/>
    <d v="2026-07-15T00:00:00"/>
    <x v="0"/>
    <n v="2614"/>
    <x v="0"/>
    <n v="5.2"/>
    <s v="A"/>
    <s v="POM at 1.28m"/>
    <s v="2614_1"/>
    <s v="Baldwin"/>
    <x v="1"/>
    <s v="Acer"/>
    <s v="saccharum"/>
    <s v="Sapindaceae"/>
    <x v="5"/>
  </r>
  <r>
    <x v="10"/>
    <d v="2026-07-15T00:00:00"/>
    <x v="0"/>
    <n v="2615"/>
    <x v="0"/>
    <n v="4.4000000000000004"/>
    <s v="W, X, I"/>
    <s v="soft tape"/>
    <s v="2615_1"/>
    <s v="Baldwin"/>
    <x v="1"/>
    <s v="Acer"/>
    <s v="saccharum"/>
    <s v="Sapindaceae"/>
    <x v="2"/>
  </r>
  <r>
    <x v="10"/>
    <d v="2026-07-15T00:00:00"/>
    <x v="0"/>
    <n v="2616"/>
    <x v="0"/>
    <n v="25.5"/>
    <s v="L"/>
    <s v="slight lean"/>
    <s v="2616_1"/>
    <s v="Baldwin"/>
    <x v="1"/>
    <s v="Acer"/>
    <s v="saccharum"/>
    <s v="Sapindaceae"/>
    <x v="0"/>
  </r>
  <r>
    <x v="10"/>
    <d v="2026-07-15T00:00:00"/>
    <x v="0"/>
    <n v="2617"/>
    <x v="0"/>
    <n v="6.7"/>
    <s v="L, A"/>
    <s v="POM at 1.28, slight lean"/>
    <s v="2617_1"/>
    <s v="Baldwin"/>
    <x v="1"/>
    <s v="Acer"/>
    <s v="saccharum"/>
    <s v="Sapindaceae"/>
    <x v="5"/>
  </r>
  <r>
    <x v="10"/>
    <d v="2026-07-15T00:00:00"/>
    <x v="0"/>
    <n v="2618"/>
    <x v="0"/>
    <n v="7.2"/>
    <s v="L"/>
    <s v="slight lean"/>
    <s v="2618_1"/>
    <s v="Baldwin"/>
    <x v="1"/>
    <s v="Acer"/>
    <s v="saccharum"/>
    <s v="Sapindaceae"/>
    <x v="5"/>
  </r>
  <r>
    <x v="10"/>
    <d v="2026-07-15T00:00:00"/>
    <x v="26"/>
    <n v="2619"/>
    <x v="0"/>
    <n v="6.7"/>
    <s v="L/W"/>
    <s v="stick used"/>
    <s v="2619_1"/>
    <s v="Baldwin"/>
    <x v="1"/>
    <s v="Carya"/>
    <s v="ovata"/>
    <s v="Juglandaceae"/>
    <x v="5"/>
  </r>
  <r>
    <x v="10"/>
    <d v="2026-07-15T00:00:00"/>
    <x v="0"/>
    <n v="2620"/>
    <x v="0"/>
    <n v="2.2000000000000002"/>
    <s v="W"/>
    <m/>
    <s v="2620_1"/>
    <s v="Baldwin"/>
    <x v="1"/>
    <s v="Acer"/>
    <s v="saccharum"/>
    <s v="Sapindaceae"/>
    <x v="2"/>
  </r>
  <r>
    <x v="10"/>
    <d v="2026-07-15T00:00:00"/>
    <x v="0"/>
    <n v="2621"/>
    <x v="0"/>
    <n v="4.4000000000000004"/>
    <s v="W, X, I"/>
    <s v="original lead broke off, stem slightly irregular, soft tape"/>
    <s v="2621_1"/>
    <s v="Baldwin"/>
    <x v="1"/>
    <s v="Acer"/>
    <s v="saccharum"/>
    <s v="Sapindaceae"/>
    <x v="2"/>
  </r>
  <r>
    <x v="10"/>
    <d v="2026-07-15T00:00:00"/>
    <x v="8"/>
    <n v="2622"/>
    <x v="0"/>
    <n v="7.9"/>
    <s v="N/A"/>
    <m/>
    <s v="2622_1"/>
    <s v="Baldwin"/>
    <x v="1"/>
    <s v="Ostrya"/>
    <s v="viginiana"/>
    <s v="Betulaceae"/>
    <x v="5"/>
  </r>
  <r>
    <x v="10"/>
    <d v="2026-07-15T00:00:00"/>
    <x v="0"/>
    <n v="2623"/>
    <x v="0"/>
    <n v="3.4"/>
    <s v="W, A"/>
    <s v="POM at 1.26, soft tape"/>
    <s v="2623_1"/>
    <s v="Baldwin"/>
    <x v="1"/>
    <s v="Acer"/>
    <s v="saccharum"/>
    <s v="Sapindaceae"/>
    <x v="2"/>
  </r>
  <r>
    <x v="10"/>
    <d v="2026-07-15T00:00:00"/>
    <x v="0"/>
    <n v="2624"/>
    <x v="0"/>
    <n v="4"/>
    <s v="L"/>
    <m/>
    <s v="2624_1"/>
    <s v="Baldwin"/>
    <x v="1"/>
    <s v="Acer"/>
    <s v="saccharum"/>
    <s v="Sapindaceae"/>
    <x v="2"/>
  </r>
  <r>
    <x v="10"/>
    <d v="2026-07-15T00:00:00"/>
    <x v="26"/>
    <n v="2625"/>
    <x v="0"/>
    <n v="15.1"/>
    <s v="L"/>
    <m/>
    <s v="2625_1"/>
    <s v="Baldwin"/>
    <x v="1"/>
    <s v="Carya"/>
    <s v="ovata"/>
    <s v="Juglandaceae"/>
    <x v="3"/>
  </r>
  <r>
    <x v="10"/>
    <d v="2026-07-15T00:00:00"/>
    <x v="0"/>
    <n v="2626"/>
    <x v="0"/>
    <n v="4.0999999999999996"/>
    <s v="A"/>
    <s v="POM at 1.28m"/>
    <s v="2626_1"/>
    <s v="Baldwin"/>
    <x v="1"/>
    <s v="Acer"/>
    <s v="saccharum"/>
    <s v="Sapindaceae"/>
    <x v="2"/>
  </r>
  <r>
    <x v="10"/>
    <d v="2026-07-15T00:00:00"/>
    <x v="7"/>
    <n v="2627"/>
    <x v="0"/>
    <n v="6.2"/>
    <s v="L"/>
    <s v="moderate canopy"/>
    <s v="2627_1"/>
    <s v="Baldwin"/>
    <x v="1"/>
    <s v="Fagus"/>
    <s v="grandifolia"/>
    <s v="Fagaceae"/>
    <x v="5"/>
  </r>
  <r>
    <x v="10"/>
    <d v="2026-07-15T00:00:00"/>
    <x v="0"/>
    <n v="2628"/>
    <x v="0"/>
    <n v="2.8"/>
    <s v="W"/>
    <s v="ground is sloped"/>
    <s v="2628_1"/>
    <s v="Baldwin"/>
    <x v="1"/>
    <s v="Acer"/>
    <s v="saccharum"/>
    <s v="Sapindaceae"/>
    <x v="2"/>
  </r>
  <r>
    <x v="10"/>
    <d v="2026-07-15T00:00:00"/>
    <x v="2"/>
    <n v="2629"/>
    <x v="0"/>
    <n v="12.5"/>
    <s v="L"/>
    <m/>
    <s v="2629_1"/>
    <s v="Baldwin"/>
    <x v="1"/>
    <s v="Acer"/>
    <s v="rubrum"/>
    <s v="Sapindaceae"/>
    <x v="3"/>
  </r>
  <r>
    <x v="10"/>
    <d v="2026-07-15T00:00:00"/>
    <x v="0"/>
    <n v="2630"/>
    <x v="0"/>
    <n v="4"/>
    <s v="N/A"/>
    <s v="ground is sloped"/>
    <s v="2630_1"/>
    <s v="Baldwin"/>
    <x v="1"/>
    <s v="Acer"/>
    <s v="saccharum"/>
    <s v="Sapindaceae"/>
    <x v="2"/>
  </r>
  <r>
    <x v="10"/>
    <d v="2026-07-15T00:00:00"/>
    <x v="0"/>
    <n v="2631"/>
    <x v="0"/>
    <n v="28.7"/>
    <s v="N/A"/>
    <m/>
    <s v="2631_1"/>
    <s v="Baldwin"/>
    <x v="1"/>
    <s v="Acer"/>
    <s v="saccharum"/>
    <s v="Sapindaceae"/>
    <x v="0"/>
  </r>
  <r>
    <x v="10"/>
    <d v="2026-07-15T00:00:00"/>
    <x v="0"/>
    <n v="2632"/>
    <x v="0"/>
    <n v="12.1"/>
    <s v="W"/>
    <s v="ground is sloped"/>
    <s v="2632_1"/>
    <s v="Baldwin"/>
    <x v="1"/>
    <s v="Acer"/>
    <s v="saccharum"/>
    <s v="Sapindaceae"/>
    <x v="3"/>
  </r>
  <r>
    <x v="10"/>
    <d v="2026-07-15T00:00:00"/>
    <x v="0"/>
    <n v="2633"/>
    <x v="0"/>
    <n v="16.2"/>
    <s v="N/A"/>
    <m/>
    <s v="2633_1"/>
    <s v="Baldwin"/>
    <x v="1"/>
    <s v="Acer"/>
    <s v="saccharum"/>
    <s v="Sapindaceae"/>
    <x v="3"/>
  </r>
  <r>
    <x v="10"/>
    <d v="2026-07-15T00:00:00"/>
    <x v="10"/>
    <n v="2634"/>
    <x v="0"/>
    <n v="74.099999999999994"/>
    <s v="L"/>
    <m/>
    <s v="2634_1"/>
    <s v="Baldwin"/>
    <x v="1"/>
    <s v="Quercus"/>
    <s v="rubra"/>
    <s v="Fagaceae"/>
    <x v="4"/>
  </r>
  <r>
    <x v="10"/>
    <d v="2026-07-15T00:00:00"/>
    <x v="10"/>
    <n v="2635"/>
    <x v="0"/>
    <n v="46.3"/>
    <s v="L"/>
    <m/>
    <s v="2635_1"/>
    <s v="Baldwin"/>
    <x v="1"/>
    <s v="Quercus"/>
    <s v="rubra"/>
    <s v="Fagaceae"/>
    <x v="1"/>
  </r>
  <r>
    <x v="10"/>
    <d v="2026-07-15T00:00:00"/>
    <x v="0"/>
    <n v="2636"/>
    <x v="0"/>
    <n v="4.5999999999999996"/>
    <s v="L,A"/>
    <s v="POM at 1.28m, ground is sloped"/>
    <s v="2636_1"/>
    <s v="Baldwin"/>
    <x v="1"/>
    <s v="Acer"/>
    <s v="saccharum"/>
    <s v="Sapindaceae"/>
    <x v="2"/>
  </r>
  <r>
    <x v="10"/>
    <d v="2026-07-15T00:00:00"/>
    <x v="0"/>
    <n v="2637"/>
    <x v="0"/>
    <n v="5.4"/>
    <s v="L"/>
    <m/>
    <s v="2637_1"/>
    <s v="Baldwin"/>
    <x v="1"/>
    <s v="Acer"/>
    <s v="saccharum"/>
    <s v="Sapindaceae"/>
    <x v="5"/>
  </r>
  <r>
    <x v="10"/>
    <d v="2026-07-15T00:00:00"/>
    <x v="2"/>
    <n v="2638"/>
    <x v="0"/>
    <n v="47.8"/>
    <s v="N/A"/>
    <m/>
    <s v="2638_1"/>
    <s v="Baldwin"/>
    <x v="1"/>
    <s v="Acer"/>
    <s v="rubrum"/>
    <s v="Sapindaceae"/>
    <x v="1"/>
  </r>
  <r>
    <x v="10"/>
    <d v="2026-07-15T00:00:00"/>
    <x v="10"/>
    <n v="2639"/>
    <x v="0"/>
    <n v="39"/>
    <s v="L"/>
    <m/>
    <s v="2639_1"/>
    <s v="Baldwin"/>
    <x v="1"/>
    <s v="Quercus"/>
    <s v="rubra"/>
    <s v="Fagaceae"/>
    <x v="0"/>
  </r>
  <r>
    <x v="10"/>
    <d v="2026-07-15T00:00:00"/>
    <x v="2"/>
    <n v="2640"/>
    <x v="0"/>
    <n v="43.9"/>
    <s v="N/A"/>
    <m/>
    <s v="2640_1"/>
    <s v="Baldwin"/>
    <x v="1"/>
    <s v="Acer"/>
    <s v="rubrum"/>
    <s v="Sapindaceae"/>
    <x v="1"/>
  </r>
  <r>
    <x v="10"/>
    <d v="2026-07-15T00:00:00"/>
    <x v="0"/>
    <n v="2641"/>
    <x v="0"/>
    <n v="14.4"/>
    <s v="L"/>
    <m/>
    <s v="2641_1"/>
    <s v="Baldwin"/>
    <x v="1"/>
    <s v="Acer"/>
    <s v="saccharum"/>
    <s v="Sapindaceae"/>
    <x v="3"/>
  </r>
  <r>
    <x v="10"/>
    <d v="2026-07-15T00:00:00"/>
    <x v="0"/>
    <n v="2642"/>
    <x v="0"/>
    <n v="10.199999999999999"/>
    <s v="N/A"/>
    <m/>
    <s v="2642_1"/>
    <s v="Baldwin"/>
    <x v="1"/>
    <s v="Acer"/>
    <s v="saccharum"/>
    <s v="Sapindaceae"/>
    <x v="3"/>
  </r>
  <r>
    <x v="10"/>
    <d v="2026-07-15T00:00:00"/>
    <x v="0"/>
    <n v="2643"/>
    <x v="0"/>
    <n v="4.9000000000000004"/>
    <s v="L/W"/>
    <s v="soft tape"/>
    <s v="2643_1"/>
    <s v="Baldwin"/>
    <x v="1"/>
    <s v="Acer"/>
    <s v="saccharum"/>
    <s v="Sapindaceae"/>
    <x v="2"/>
  </r>
  <r>
    <x v="10"/>
    <d v="2026-07-15T00:00:00"/>
    <x v="0"/>
    <n v="2644"/>
    <x v="0"/>
    <n v="43.8"/>
    <s v="N/A"/>
    <m/>
    <s v="2644_1"/>
    <s v="Baldwin"/>
    <x v="1"/>
    <s v="Acer"/>
    <s v="saccharum"/>
    <s v="Sapindaceae"/>
    <x v="1"/>
  </r>
  <r>
    <x v="10"/>
    <d v="2026-07-15T00:00:00"/>
    <x v="0"/>
    <n v="2645"/>
    <x v="0"/>
    <n v="11.1"/>
    <s v="L, A"/>
    <s v="Pom at 1.18"/>
    <s v="2645_1"/>
    <s v="Baldwin"/>
    <x v="1"/>
    <s v="Acer"/>
    <s v="saccharum"/>
    <s v="Sapindaceae"/>
    <x v="3"/>
  </r>
  <r>
    <x v="10"/>
    <d v="2026-07-15T00:00:00"/>
    <x v="13"/>
    <n v="2646"/>
    <x v="0"/>
    <n v="74.400000000000006"/>
    <s v="I"/>
    <s v="swelling at/below POM"/>
    <s v="2646_1"/>
    <s v="Baldwin"/>
    <x v="1"/>
    <s v="Quercus"/>
    <s v="alba"/>
    <s v="Fagaceae"/>
    <x v="4"/>
  </r>
  <r>
    <x v="10"/>
    <d v="2026-07-15T00:00:00"/>
    <x v="0"/>
    <n v="2647"/>
    <x v="0"/>
    <n v="8.6"/>
    <s v="W"/>
    <s v="stick used"/>
    <s v="2647_1"/>
    <s v="Baldwin"/>
    <x v="1"/>
    <s v="Acer"/>
    <s v="saccharum"/>
    <s v="Sapindaceae"/>
    <x v="5"/>
  </r>
  <r>
    <x v="10"/>
    <d v="2026-07-15T00:00:00"/>
    <x v="0"/>
    <n v="2648"/>
    <x v="0"/>
    <n v="3.3"/>
    <s v="W"/>
    <m/>
    <s v="2648_1"/>
    <s v="Baldwin"/>
    <x v="1"/>
    <s v="Acer"/>
    <s v="saccharum"/>
    <s v="Sapindaceae"/>
    <x v="2"/>
  </r>
  <r>
    <x v="10"/>
    <d v="2026-07-15T00:00:00"/>
    <x v="26"/>
    <n v="2649"/>
    <x v="0"/>
    <n v="14.6"/>
    <s v="L"/>
    <m/>
    <s v="2649_1"/>
    <s v="Baldwin"/>
    <x v="1"/>
    <s v="Carya"/>
    <s v="ovata"/>
    <s v="Juglandaceae"/>
    <x v="3"/>
  </r>
  <r>
    <x v="10"/>
    <d v="2026-07-15T00:00:00"/>
    <x v="0"/>
    <n v="2650"/>
    <x v="0"/>
    <n v="4"/>
    <s v="A"/>
    <s v="POM at 1.28m"/>
    <s v="2650_1"/>
    <s v="Baldwin"/>
    <x v="1"/>
    <s v="Acer"/>
    <s v="saccharum"/>
    <s v="Sapindaceae"/>
    <x v="2"/>
  </r>
  <r>
    <x v="10"/>
    <d v="2026-07-15T00:00:00"/>
    <x v="0"/>
    <n v="2651"/>
    <x v="0"/>
    <n v="4.4000000000000004"/>
    <s v="L"/>
    <m/>
    <s v="2651_1"/>
    <s v="Baldwin"/>
    <x v="1"/>
    <s v="Acer"/>
    <s v="saccharum"/>
    <s v="Sapindaceae"/>
    <x v="2"/>
  </r>
  <r>
    <x v="10"/>
    <d v="2026-07-15T00:00:00"/>
    <x v="1"/>
    <n v="2652"/>
    <x v="0"/>
    <n v="15.1"/>
    <s v="L"/>
    <s v="slight lean"/>
    <s v="2652_1"/>
    <s v="Baldwin"/>
    <x v="1"/>
    <s v="Prunus"/>
    <s v="serotina"/>
    <s v="Rosaceae"/>
    <x v="3"/>
  </r>
  <r>
    <x v="10"/>
    <d v="2026-07-15T00:00:00"/>
    <x v="0"/>
    <n v="2653"/>
    <x v="0"/>
    <n v="10.199999999999999"/>
    <s v="L"/>
    <m/>
    <s v="2653_1"/>
    <s v="Baldwin"/>
    <x v="1"/>
    <s v="Acer"/>
    <s v="saccharum"/>
    <s v="Sapindaceae"/>
    <x v="3"/>
  </r>
  <r>
    <x v="10"/>
    <d v="2026-07-15T00:00:00"/>
    <x v="0"/>
    <n v="2654"/>
    <x v="0"/>
    <n v="8.1"/>
    <s v="N/A"/>
    <m/>
    <s v="2654_1"/>
    <s v="Baldwin"/>
    <x v="1"/>
    <s v="Acer"/>
    <s v="saccharum"/>
    <s v="Sapindaceae"/>
    <x v="5"/>
  </r>
  <r>
    <x v="10"/>
    <d v="2026-07-15T00:00:00"/>
    <x v="0"/>
    <n v="2655"/>
    <x v="0"/>
    <n v="7.1"/>
    <s v="L"/>
    <m/>
    <s v="2655_1"/>
    <s v="Baldwin"/>
    <x v="1"/>
    <s v="Acer"/>
    <s v="saccharum"/>
    <s v="Sapindaceae"/>
    <x v="5"/>
  </r>
  <r>
    <x v="10"/>
    <d v="2026-07-15T00:00:00"/>
    <x v="13"/>
    <n v="2656"/>
    <x v="0"/>
    <n v="33.299999999999997"/>
    <s v="N/A"/>
    <m/>
    <s v="2656_1"/>
    <s v="Baldwin"/>
    <x v="1"/>
    <s v="Quercus"/>
    <s v="alba"/>
    <s v="Fagaceae"/>
    <x v="0"/>
  </r>
  <r>
    <x v="10"/>
    <d v="2026-07-15T00:00:00"/>
    <x v="0"/>
    <n v="2657"/>
    <x v="0"/>
    <n v="9.3000000000000007"/>
    <s v="L"/>
    <m/>
    <s v="2657_1"/>
    <s v="Baldwin"/>
    <x v="1"/>
    <s v="Acer"/>
    <s v="saccharum"/>
    <s v="Sapindaceae"/>
    <x v="5"/>
  </r>
  <r>
    <x v="10"/>
    <d v="2026-07-15T00:00:00"/>
    <x v="10"/>
    <n v="2658"/>
    <x v="0"/>
    <n v="55.5"/>
    <s v="N/A"/>
    <s v="ground is sloped"/>
    <s v="2658_1"/>
    <s v="Baldwin"/>
    <x v="1"/>
    <s v="Quercus"/>
    <s v="rubra"/>
    <s v="Fagaceae"/>
    <x v="4"/>
  </r>
  <r>
    <x v="10"/>
    <d v="2026-07-15T00:00:00"/>
    <x v="0"/>
    <n v="2659"/>
    <x v="0"/>
    <n v="8.3000000000000007"/>
    <s v="L"/>
    <m/>
    <s v="2659_1"/>
    <s v="Baldwin"/>
    <x v="1"/>
    <s v="Acer"/>
    <s v="saccharum"/>
    <s v="Sapindaceae"/>
    <x v="5"/>
  </r>
  <r>
    <x v="10"/>
    <d v="2026-07-15T00:00:00"/>
    <x v="0"/>
    <n v="2660"/>
    <x v="0"/>
    <n v="5"/>
    <s v="N/A"/>
    <m/>
    <s v="2660_1"/>
    <s v="Baldwin"/>
    <x v="1"/>
    <s v="Acer"/>
    <s v="saccharum"/>
    <s v="Sapindaceae"/>
    <x v="2"/>
  </r>
  <r>
    <x v="10"/>
    <d v="2026-07-15T00:00:00"/>
    <x v="10"/>
    <n v="2661"/>
    <x v="0"/>
    <n v="61.5"/>
    <s v="L"/>
    <m/>
    <s v="2661_1"/>
    <s v="Baldwin"/>
    <x v="1"/>
    <s v="Quercus"/>
    <s v="rubra"/>
    <s v="Fagaceae"/>
    <x v="4"/>
  </r>
  <r>
    <x v="10"/>
    <d v="2026-07-15T00:00:00"/>
    <x v="0"/>
    <n v="2662"/>
    <x v="0"/>
    <n v="5.5"/>
    <s v="A"/>
    <s v="POM at 1.22"/>
    <s v="2662_1"/>
    <s v="Baldwin"/>
    <x v="1"/>
    <s v="Acer"/>
    <s v="saccharum"/>
    <s v="Sapindaceae"/>
    <x v="5"/>
  </r>
  <r>
    <x v="10"/>
    <d v="2026-07-15T00:00:00"/>
    <x v="10"/>
    <n v="2663"/>
    <x v="0"/>
    <n v="16.8"/>
    <s v="W/L"/>
    <m/>
    <s v="2663_1"/>
    <s v="Baldwin"/>
    <x v="1"/>
    <s v="Quercus"/>
    <s v="rubra"/>
    <s v="Fagaceae"/>
    <x v="3"/>
  </r>
  <r>
    <x v="10"/>
    <d v="2026-07-15T00:00:00"/>
    <x v="14"/>
    <n v="2664"/>
    <x v="0"/>
    <n v="7.9"/>
    <s v="N/A"/>
    <s v="trapped under fallen branch"/>
    <s v="2664_1"/>
    <s v="Baldwin"/>
    <x v="1"/>
    <s v="Tilia"/>
    <s v="americana"/>
    <s v="Malvaceae"/>
    <x v="5"/>
  </r>
  <r>
    <x v="10"/>
    <d v="2026-07-15T00:00:00"/>
    <x v="0"/>
    <n v="2665"/>
    <x v="0"/>
    <n v="5"/>
    <s v="L"/>
    <m/>
    <s v="2665_1"/>
    <s v="Baldwin"/>
    <x v="1"/>
    <s v="Acer"/>
    <s v="saccharum"/>
    <s v="Sapindaceae"/>
    <x v="2"/>
  </r>
  <r>
    <x v="10"/>
    <d v="2026-07-15T00:00:00"/>
    <x v="0"/>
    <n v="2666"/>
    <x v="0"/>
    <n v="4.4000000000000004"/>
    <s v="L"/>
    <m/>
    <s v="2666_1"/>
    <s v="Baldwin"/>
    <x v="1"/>
    <s v="Acer"/>
    <s v="saccharum"/>
    <s v="Sapindaceae"/>
    <x v="2"/>
  </r>
  <r>
    <x v="10"/>
    <d v="2026-07-15T00:00:00"/>
    <x v="0"/>
    <n v="2667"/>
    <x v="0"/>
    <n v="5.6"/>
    <s v="L"/>
    <m/>
    <s v="2667_1"/>
    <s v="Baldwin"/>
    <x v="1"/>
    <s v="Acer"/>
    <s v="saccharum"/>
    <s v="Sapindaceae"/>
    <x v="5"/>
  </r>
  <r>
    <x v="10"/>
    <d v="2026-07-15T00:00:00"/>
    <x v="26"/>
    <n v="2668"/>
    <x v="0"/>
    <n v="65.2"/>
    <s v="B"/>
    <s v="large branch has fallen off"/>
    <s v="2668_1"/>
    <s v="Baldwin"/>
    <x v="1"/>
    <s v="Carya"/>
    <s v="ovata"/>
    <s v="Juglandaceae"/>
    <x v="4"/>
  </r>
  <r>
    <x v="10"/>
    <d v="2026-07-15T00:00:00"/>
    <x v="0"/>
    <n v="2669"/>
    <x v="0"/>
    <n v="14.6"/>
    <s v="N/A"/>
    <m/>
    <s v="2669_1"/>
    <s v="Baldwin"/>
    <x v="1"/>
    <s v="Acer"/>
    <s v="saccharum"/>
    <s v="Sapindaceae"/>
    <x v="3"/>
  </r>
  <r>
    <x v="10"/>
    <d v="2026-07-15T00:00:00"/>
    <x v="19"/>
    <n v="2670"/>
    <x v="0"/>
    <n v="3.8"/>
    <s v="W,A"/>
    <s v="POM at 1.28m"/>
    <s v="2670_1"/>
    <s v="Baldwin"/>
    <x v="1"/>
    <s v="Carpinus"/>
    <s v="caroliniana"/>
    <s v="Betulaceae"/>
    <x v="2"/>
  </r>
  <r>
    <x v="10"/>
    <d v="2026-07-15T00:00:00"/>
    <x v="7"/>
    <n v="2671"/>
    <x v="0"/>
    <n v="5.3"/>
    <s v="L, B"/>
    <m/>
    <s v="2671_1"/>
    <s v="Baldwin"/>
    <x v="1"/>
    <s v="Fagus"/>
    <s v="grandifolia"/>
    <s v="Fagaceae"/>
    <x v="5"/>
  </r>
  <r>
    <x v="10"/>
    <d v="2026-07-15T00:00:00"/>
    <x v="0"/>
    <n v="2672"/>
    <x v="0"/>
    <n v="5.9"/>
    <s v="N/A"/>
    <m/>
    <s v="2672_1"/>
    <s v="Baldwin"/>
    <x v="1"/>
    <s v="Acer"/>
    <s v="saccharum"/>
    <s v="Sapindaceae"/>
    <x v="5"/>
  </r>
  <r>
    <x v="10"/>
    <d v="2026-07-15T00:00:00"/>
    <x v="0"/>
    <n v="2673"/>
    <x v="0"/>
    <n v="3.5"/>
    <s v="L"/>
    <m/>
    <s v="2673_1"/>
    <s v="Baldwin"/>
    <x v="1"/>
    <s v="Acer"/>
    <s v="saccharum"/>
    <s v="Sapindaceae"/>
    <x v="2"/>
  </r>
  <r>
    <x v="10"/>
    <d v="2026-07-15T00:00:00"/>
    <x v="0"/>
    <n v="2674"/>
    <x v="0"/>
    <n v="10.4"/>
    <s v="I"/>
    <m/>
    <s v="2674_1"/>
    <s v="Baldwin"/>
    <x v="1"/>
    <s v="Acer"/>
    <s v="saccharum"/>
    <s v="Sapindaceae"/>
    <x v="3"/>
  </r>
  <r>
    <x v="10"/>
    <d v="2026-07-15T00:00:00"/>
    <x v="8"/>
    <n v="2675"/>
    <x v="0"/>
    <n v="6.9"/>
    <s v="N/A"/>
    <m/>
    <s v="2675_1"/>
    <s v="Baldwin"/>
    <x v="1"/>
    <s v="Ostrya"/>
    <s v="viginiana"/>
    <s v="Betulaceae"/>
    <x v="5"/>
  </r>
  <r>
    <x v="10"/>
    <d v="2026-07-15T00:00:00"/>
    <x v="0"/>
    <n v="2676"/>
    <x v="0"/>
    <n v="5.8"/>
    <s v="A"/>
    <s v="POM at 1.25m"/>
    <s v="2676_1"/>
    <s v="Baldwin"/>
    <x v="1"/>
    <s v="Acer"/>
    <s v="saccharum"/>
    <s v="Sapindaceae"/>
    <x v="5"/>
  </r>
  <r>
    <x v="10"/>
    <d v="2026-07-15T00:00:00"/>
    <x v="0"/>
    <n v="2677"/>
    <x v="0"/>
    <n v="21.9"/>
    <s v="I"/>
    <s v="a lot of old healed wounds"/>
    <s v="2677_1"/>
    <s v="Baldwin"/>
    <x v="1"/>
    <s v="Acer"/>
    <s v="saccharum"/>
    <s v="Sapindaceae"/>
    <x v="0"/>
  </r>
  <r>
    <x v="10"/>
    <d v="2026-07-15T00:00:00"/>
    <x v="0"/>
    <n v="2678"/>
    <x v="0"/>
    <n v="7.1"/>
    <s v="W,A"/>
    <s v="POM at 1.25m"/>
    <s v="2678_1"/>
    <s v="Baldwin"/>
    <x v="1"/>
    <s v="Acer"/>
    <s v="saccharum"/>
    <s v="Sapindaceae"/>
    <x v="5"/>
  </r>
  <r>
    <x v="10"/>
    <d v="2026-07-15T00:00:00"/>
    <x v="26"/>
    <n v="2679"/>
    <x v="0"/>
    <n v="30.8"/>
    <s v="L"/>
    <m/>
    <s v="2679_1"/>
    <s v="Baldwin"/>
    <x v="1"/>
    <s v="Carya"/>
    <s v="ovata"/>
    <s v="Juglandaceae"/>
    <x v="0"/>
  </r>
  <r>
    <x v="10"/>
    <d v="2026-07-15T00:00:00"/>
    <x v="0"/>
    <n v="2680"/>
    <x v="0"/>
    <n v="8.6"/>
    <s v="N/A"/>
    <m/>
    <s v="2680_1"/>
    <s v="Baldwin"/>
    <x v="1"/>
    <s v="Acer"/>
    <s v="saccharum"/>
    <s v="Sapindaceae"/>
    <x v="5"/>
  </r>
  <r>
    <x v="10"/>
    <d v="2026-07-15T00:00:00"/>
    <x v="0"/>
    <n v="2681"/>
    <x v="0"/>
    <n v="10"/>
    <s v="W"/>
    <s v="slightly wavy, stick used"/>
    <s v="2681_1"/>
    <s v="Baldwin"/>
    <x v="1"/>
    <s v="Acer"/>
    <s v="saccharum"/>
    <s v="Sapindaceae"/>
    <x v="5"/>
  </r>
  <r>
    <x v="10"/>
    <d v="2026-07-15T00:00:00"/>
    <x v="0"/>
    <n v="2682"/>
    <x v="0"/>
    <n v="3"/>
    <s v="W"/>
    <m/>
    <s v="2682_1"/>
    <s v="Baldwin"/>
    <x v="1"/>
    <s v="Acer"/>
    <s v="saccharum"/>
    <s v="Sapindaceae"/>
    <x v="2"/>
  </r>
  <r>
    <x v="10"/>
    <d v="2026-07-15T00:00:00"/>
    <x v="26"/>
    <n v="2683"/>
    <x v="0"/>
    <n v="10.5"/>
    <s v="N/A"/>
    <m/>
    <s v="2683_1"/>
    <s v="Baldwin"/>
    <x v="1"/>
    <s v="Carya"/>
    <s v="ovata"/>
    <s v="Juglandaceae"/>
    <x v="3"/>
  </r>
  <r>
    <x v="10"/>
    <d v="2026-07-15T00:00:00"/>
    <x v="0"/>
    <n v="2684"/>
    <x v="0"/>
    <n v="7.7"/>
    <s v="X"/>
    <m/>
    <s v="2684_1"/>
    <s v="Baldwin"/>
    <x v="1"/>
    <s v="Acer"/>
    <s v="saccharum"/>
    <s v="Sapindaceae"/>
    <x v="5"/>
  </r>
  <r>
    <x v="10"/>
    <d v="2026-07-15T00:00:00"/>
    <x v="11"/>
    <n v="2685"/>
    <x v="0"/>
    <n v="6.1"/>
    <s v="M, W"/>
    <s v="soft tape"/>
    <s v="2685_1"/>
    <s v="Baldwin"/>
    <x v="1"/>
    <s v="Amelanchier"/>
    <s v="arborea"/>
    <s v="Rosaceae"/>
    <x v="5"/>
  </r>
  <r>
    <x v="10"/>
    <d v="2026-07-16T00:00:00"/>
    <x v="11"/>
    <n v="2685"/>
    <x v="1"/>
    <n v="2.8"/>
    <s v="M, W"/>
    <s v="soft tape"/>
    <s v="2685_2"/>
    <s v="Baldwin"/>
    <x v="1"/>
    <s v="Amelanchier"/>
    <s v="arborea"/>
    <s v="Rosaceae"/>
    <x v="2"/>
  </r>
  <r>
    <x v="10"/>
    <d v="2026-07-15T00:00:00"/>
    <x v="0"/>
    <n v="2686"/>
    <x v="0"/>
    <n v="15.2"/>
    <s v="N/A"/>
    <m/>
    <s v="2686_1"/>
    <s v="Baldwin"/>
    <x v="1"/>
    <s v="Acer"/>
    <s v="saccharum"/>
    <s v="Sapindaceae"/>
    <x v="3"/>
  </r>
  <r>
    <x v="10"/>
    <d v="2026-07-15T00:00:00"/>
    <x v="11"/>
    <n v="2687"/>
    <x v="0"/>
    <n v="3.4"/>
    <s v="W"/>
    <s v="dead lower branch, soft tape"/>
    <s v="2687_1"/>
    <s v="Baldwin"/>
    <x v="1"/>
    <s v="Amelanchier"/>
    <s v="arborea"/>
    <s v="Rosaceae"/>
    <x v="2"/>
  </r>
  <r>
    <x v="10"/>
    <d v="2026-07-15T00:00:00"/>
    <x v="0"/>
    <n v="2688"/>
    <x v="0"/>
    <n v="4.7"/>
    <s v="N/A"/>
    <m/>
    <s v="2688_1"/>
    <s v="Baldwin"/>
    <x v="1"/>
    <s v="Acer"/>
    <s v="saccharum"/>
    <s v="Sapindaceae"/>
    <x v="2"/>
  </r>
  <r>
    <x v="10"/>
    <d v="2026-07-15T00:00:00"/>
    <x v="0"/>
    <n v="2689"/>
    <x v="0"/>
    <n v="5.7"/>
    <s v="W"/>
    <s v="soft tape"/>
    <s v="2689_1"/>
    <s v="Baldwin"/>
    <x v="1"/>
    <s v="Acer"/>
    <s v="saccharum"/>
    <s v="Sapindaceae"/>
    <x v="5"/>
  </r>
  <r>
    <x v="10"/>
    <d v="2026-07-15T00:00:00"/>
    <x v="0"/>
    <n v="2690"/>
    <x v="0"/>
    <n v="2.1"/>
    <s v="L"/>
    <m/>
    <s v="2690_1"/>
    <s v="Baldwin"/>
    <x v="1"/>
    <s v="Acer"/>
    <s v="saccharum"/>
    <s v="Sapindaceae"/>
    <x v="2"/>
  </r>
  <r>
    <x v="10"/>
    <d v="2026-07-15T00:00:00"/>
    <x v="26"/>
    <n v="2691"/>
    <x v="0"/>
    <n v="20"/>
    <s v="L, A"/>
    <s v="POM at 1.28m"/>
    <s v="2691_1"/>
    <s v="Baldwin"/>
    <x v="1"/>
    <s v="Carya"/>
    <s v="ovata"/>
    <s v="Juglandaceae"/>
    <x v="3"/>
  </r>
  <r>
    <x v="10"/>
    <d v="2026-07-15T00:00:00"/>
    <x v="26"/>
    <n v="2692"/>
    <x v="0"/>
    <n v="48.9"/>
    <s v="A"/>
    <s v="POM at 1.28m"/>
    <s v="2692_1"/>
    <s v="Baldwin"/>
    <x v="1"/>
    <s v="Carya"/>
    <s v="ovata"/>
    <s v="Juglandaceae"/>
    <x v="1"/>
  </r>
  <r>
    <x v="10"/>
    <d v="2026-07-15T00:00:00"/>
    <x v="0"/>
    <n v="2693"/>
    <x v="0"/>
    <n v="3.1"/>
    <s v="L"/>
    <m/>
    <s v="2693_1"/>
    <s v="Baldwin"/>
    <x v="1"/>
    <s v="Acer"/>
    <s v="saccharum"/>
    <s v="Sapindaceae"/>
    <x v="2"/>
  </r>
  <r>
    <x v="10"/>
    <d v="2026-07-15T00:00:00"/>
    <x v="0"/>
    <n v="2694"/>
    <x v="0"/>
    <n v="6.1"/>
    <s v="L,I"/>
    <s v="slight lean"/>
    <s v="2694_1"/>
    <s v="Baldwin"/>
    <x v="1"/>
    <s v="Acer"/>
    <s v="saccharum"/>
    <s v="Sapindaceae"/>
    <x v="5"/>
  </r>
  <r>
    <x v="10"/>
    <d v="2026-07-15T00:00:00"/>
    <x v="0"/>
    <n v="2695"/>
    <x v="0"/>
    <n v="4.2"/>
    <s v="L"/>
    <m/>
    <s v="2695_1"/>
    <s v="Baldwin"/>
    <x v="1"/>
    <s v="Acer"/>
    <s v="saccharum"/>
    <s v="Sapindaceae"/>
    <x v="2"/>
  </r>
  <r>
    <x v="10"/>
    <d v="2026-07-15T00:00:00"/>
    <x v="8"/>
    <n v="2696"/>
    <x v="0"/>
    <n v="7"/>
    <s v="L"/>
    <m/>
    <s v="2696_1"/>
    <s v="Baldwin"/>
    <x v="1"/>
    <s v="Ostrya"/>
    <s v="viginiana"/>
    <s v="Betulaceae"/>
    <x v="5"/>
  </r>
  <r>
    <x v="10"/>
    <d v="2026-07-15T00:00:00"/>
    <x v="0"/>
    <n v="2697"/>
    <x v="0"/>
    <n v="4.3"/>
    <s v="L"/>
    <m/>
    <s v="2697_1"/>
    <s v="Baldwin"/>
    <x v="1"/>
    <s v="Acer"/>
    <s v="saccharum"/>
    <s v="Sapindaceae"/>
    <x v="2"/>
  </r>
  <r>
    <x v="10"/>
    <d v="2026-07-15T00:00:00"/>
    <x v="26"/>
    <n v="2698"/>
    <x v="0"/>
    <n v="61.4"/>
    <s v="N/A"/>
    <m/>
    <s v="2698_1"/>
    <s v="Baldwin"/>
    <x v="1"/>
    <s v="Carya"/>
    <s v="ovata"/>
    <s v="Juglandaceae"/>
    <x v="4"/>
  </r>
  <r>
    <x v="10"/>
    <d v="2026-07-15T00:00:00"/>
    <x v="0"/>
    <n v="2699"/>
    <x v="0"/>
    <n v="2.2000000000000002"/>
    <s v="L, I, A"/>
    <s v="bumps all over, POM ant 1.28m"/>
    <s v="2699_1"/>
    <s v="Baldwin"/>
    <x v="1"/>
    <s v="Acer"/>
    <s v="saccharum"/>
    <s v="Sapindaceae"/>
    <x v="2"/>
  </r>
  <r>
    <x v="10"/>
    <d v="2026-07-15T00:00:00"/>
    <x v="0"/>
    <n v="2700"/>
    <x v="0"/>
    <n v="7.7"/>
    <s v="I"/>
    <m/>
    <s v="2700_1"/>
    <s v="Baldwin"/>
    <x v="1"/>
    <s v="Acer"/>
    <s v="saccharum"/>
    <s v="Sapindaceae"/>
    <x v="5"/>
  </r>
  <r>
    <x v="10"/>
    <d v="2026-07-15T00:00:00"/>
    <x v="0"/>
    <n v="2701"/>
    <x v="0"/>
    <n v="2.2000000000000002"/>
    <s v="A, W, X"/>
    <s v="main leader dead, POM at 1.28m, soft tape"/>
    <s v="2701_1"/>
    <s v="Baldwin"/>
    <x v="1"/>
    <s v="Acer"/>
    <s v="saccharum"/>
    <s v="Sapindaceae"/>
    <x v="2"/>
  </r>
  <r>
    <x v="10"/>
    <d v="2026-07-15T00:00:00"/>
    <x v="0"/>
    <n v="2702"/>
    <x v="0"/>
    <n v="5.9"/>
    <s v="N/A"/>
    <m/>
    <s v="2702_1"/>
    <s v="Baldwin"/>
    <x v="1"/>
    <s v="Acer"/>
    <s v="saccharum"/>
    <s v="Sapindaceae"/>
    <x v="5"/>
  </r>
  <r>
    <x v="10"/>
    <d v="2026-07-15T00:00:00"/>
    <x v="0"/>
    <n v="2703"/>
    <x v="0"/>
    <n v="2.5"/>
    <s v="W"/>
    <s v="soft tape"/>
    <s v="2703_1"/>
    <s v="Baldwin"/>
    <x v="1"/>
    <s v="Acer"/>
    <s v="saccharum"/>
    <s v="Sapindaceae"/>
    <x v="2"/>
  </r>
  <r>
    <x v="10"/>
    <d v="2026-07-15T00:00:00"/>
    <x v="0"/>
    <n v="2704"/>
    <x v="0"/>
    <n v="5.2"/>
    <s v="N/A"/>
    <m/>
    <s v="2704_1"/>
    <s v="Baldwin"/>
    <x v="1"/>
    <s v="Acer"/>
    <s v="saccharum"/>
    <s v="Sapindaceae"/>
    <x v="5"/>
  </r>
  <r>
    <x v="10"/>
    <d v="2026-07-15T00:00:00"/>
    <x v="13"/>
    <n v="2705"/>
    <x v="0"/>
    <n v="21.8"/>
    <s v="L"/>
    <m/>
    <s v="2705_1"/>
    <s v="Baldwin"/>
    <x v="1"/>
    <s v="Quercus"/>
    <s v="alba"/>
    <s v="Fagaceae"/>
    <x v="0"/>
  </r>
  <r>
    <x v="10"/>
    <d v="2026-07-15T00:00:00"/>
    <x v="0"/>
    <n v="2706"/>
    <x v="0"/>
    <n v="6.2"/>
    <s v="L"/>
    <m/>
    <s v="2706_1"/>
    <s v="Baldwin"/>
    <x v="1"/>
    <s v="Acer"/>
    <s v="saccharum"/>
    <s v="Sapindaceae"/>
    <x v="5"/>
  </r>
  <r>
    <x v="10"/>
    <d v="2026-07-15T00:00:00"/>
    <x v="0"/>
    <n v="2707"/>
    <x v="0"/>
    <n v="4"/>
    <s v="L"/>
    <m/>
    <s v="2707_1"/>
    <s v="Baldwin"/>
    <x v="1"/>
    <s v="Acer"/>
    <s v="saccharum"/>
    <s v="Sapindaceae"/>
    <x v="2"/>
  </r>
  <r>
    <x v="10"/>
    <d v="2026-07-15T00:00:00"/>
    <x v="0"/>
    <n v="2708"/>
    <x v="0"/>
    <n v="4.3"/>
    <s v="A"/>
    <s v="POM at 1.28m"/>
    <s v="2708_1"/>
    <s v="Baldwin"/>
    <x v="1"/>
    <s v="Acer"/>
    <s v="saccharum"/>
    <s v="Sapindaceae"/>
    <x v="2"/>
  </r>
  <r>
    <x v="10"/>
    <d v="2026-07-15T00:00:00"/>
    <x v="0"/>
    <n v="2709"/>
    <x v="0"/>
    <n v="6.4"/>
    <s v="W"/>
    <s v="soft tape"/>
    <s v="2709_1"/>
    <s v="Baldwin"/>
    <x v="1"/>
    <s v="Acer"/>
    <s v="saccharum"/>
    <s v="Sapindaceae"/>
    <x v="5"/>
  </r>
  <r>
    <x v="10"/>
    <d v="2026-07-15T00:00:00"/>
    <x v="10"/>
    <n v="2710"/>
    <x v="0"/>
    <n v="29.4"/>
    <s v="L"/>
    <m/>
    <s v="2710_1"/>
    <s v="Baldwin"/>
    <x v="1"/>
    <s v="Quercus"/>
    <s v="rubra"/>
    <s v="Fagaceae"/>
    <x v="0"/>
  </r>
  <r>
    <x v="10"/>
    <d v="2026-07-15T00:00:00"/>
    <x v="0"/>
    <n v="2711"/>
    <x v="0"/>
    <n v="3.8"/>
    <s v="N/A"/>
    <m/>
    <s v="2711_1"/>
    <s v="Baldwin"/>
    <x v="1"/>
    <s v="Acer"/>
    <s v="saccharum"/>
    <s v="Sapindaceae"/>
    <x v="2"/>
  </r>
  <r>
    <x v="10"/>
    <d v="2026-07-15T00:00:00"/>
    <x v="8"/>
    <n v="2712"/>
    <x v="0"/>
    <n v="11.7"/>
    <s v="N/A"/>
    <m/>
    <s v="2712_1"/>
    <s v="Baldwin"/>
    <x v="1"/>
    <s v="Ostrya"/>
    <s v="viginiana"/>
    <s v="Betulaceae"/>
    <x v="3"/>
  </r>
  <r>
    <x v="10"/>
    <d v="2026-07-15T00:00:00"/>
    <x v="10"/>
    <n v="2713"/>
    <x v="0"/>
    <n v="65.900000000000006"/>
    <s v="L"/>
    <m/>
    <s v="2713_1"/>
    <s v="Baldwin"/>
    <x v="1"/>
    <s v="Quercus"/>
    <s v="rubra"/>
    <s v="Fagaceae"/>
    <x v="4"/>
  </r>
  <r>
    <x v="10"/>
    <d v="2026-07-15T00:00:00"/>
    <x v="0"/>
    <n v="2714"/>
    <x v="0"/>
    <n v="4.5999999999999996"/>
    <s v="W"/>
    <m/>
    <s v="2714_1"/>
    <s v="Baldwin"/>
    <x v="1"/>
    <s v="Acer"/>
    <s v="saccharum"/>
    <s v="Sapindaceae"/>
    <x v="2"/>
  </r>
  <r>
    <x v="10"/>
    <d v="2026-07-15T00:00:00"/>
    <x v="13"/>
    <n v="2715"/>
    <x v="0"/>
    <n v="21.6"/>
    <s v="L"/>
    <m/>
    <s v="2715_1"/>
    <s v="Baldwin"/>
    <x v="1"/>
    <s v="Quercus"/>
    <s v="alba"/>
    <s v="Fagaceae"/>
    <x v="0"/>
  </r>
  <r>
    <x v="10"/>
    <d v="2026-07-15T00:00:00"/>
    <x v="0"/>
    <n v="2716"/>
    <x v="0"/>
    <n v="8.4"/>
    <s v="L"/>
    <s v="slight lean"/>
    <s v="2716_1"/>
    <s v="Baldwin"/>
    <x v="1"/>
    <s v="Acer"/>
    <s v="saccharum"/>
    <s v="Sapindaceae"/>
    <x v="5"/>
  </r>
  <r>
    <x v="10"/>
    <d v="2026-07-15T00:00:00"/>
    <x v="2"/>
    <n v="2717"/>
    <x v="0"/>
    <n v="29.8"/>
    <s v="L"/>
    <m/>
    <s v="2717_1"/>
    <s v="Baldwin"/>
    <x v="1"/>
    <s v="Acer"/>
    <s v="rubrum"/>
    <s v="Sapindaceae"/>
    <x v="0"/>
  </r>
  <r>
    <x v="10"/>
    <d v="2026-07-15T00:00:00"/>
    <x v="0"/>
    <n v="2718"/>
    <x v="0"/>
    <n v="20.8"/>
    <s v="A"/>
    <s v="POM at 1.28m"/>
    <s v="2718_1"/>
    <s v="Baldwin"/>
    <x v="1"/>
    <s v="Acer"/>
    <s v="saccharum"/>
    <s v="Sapindaceae"/>
    <x v="0"/>
  </r>
  <r>
    <x v="10"/>
    <d v="2026-07-15T00:00:00"/>
    <x v="0"/>
    <n v="2719"/>
    <x v="0"/>
    <n v="18.100000000000001"/>
    <s v="N/A"/>
    <m/>
    <s v="2719_1"/>
    <s v="Baldwin"/>
    <x v="1"/>
    <s v="Acer"/>
    <s v="saccharum"/>
    <s v="Sapindaceae"/>
    <x v="3"/>
  </r>
  <r>
    <x v="10"/>
    <d v="2026-07-15T00:00:00"/>
    <x v="0"/>
    <n v="2720"/>
    <x v="0"/>
    <n v="23.8"/>
    <s v="A"/>
    <s v="POM at 1.26m"/>
    <s v="2720_1"/>
    <s v="Baldwin"/>
    <x v="1"/>
    <s v="Acer"/>
    <s v="saccharum"/>
    <s v="Sapindaceae"/>
    <x v="0"/>
  </r>
  <r>
    <x v="10"/>
    <d v="2026-07-15T00:00:00"/>
    <x v="0"/>
    <n v="2721"/>
    <x v="0"/>
    <n v="9.1"/>
    <s v="L"/>
    <m/>
    <s v="2721_1"/>
    <s v="Baldwin"/>
    <x v="1"/>
    <s v="Acer"/>
    <s v="saccharum"/>
    <s v="Sapindaceae"/>
    <x v="5"/>
  </r>
  <r>
    <x v="10"/>
    <d v="2026-07-15T00:00:00"/>
    <x v="4"/>
    <n v="2722"/>
    <x v="0"/>
    <n v="33.4"/>
    <s v="L"/>
    <m/>
    <s v="2722_1"/>
    <s v="Baldwin"/>
    <x v="1"/>
    <s v="Sassafras"/>
    <s v="albidum"/>
    <s v="Lauraceae"/>
    <x v="0"/>
  </r>
  <r>
    <x v="10"/>
    <d v="2026-07-15T00:00:00"/>
    <x v="4"/>
    <n v="2723"/>
    <x v="0"/>
    <n v="36"/>
    <s v="L"/>
    <m/>
    <s v="2723_1"/>
    <s v="Baldwin"/>
    <x v="1"/>
    <s v="Sassafras"/>
    <s v="albidum"/>
    <s v="Lauraceae"/>
    <x v="0"/>
  </r>
  <r>
    <x v="10"/>
    <d v="2026-07-15T00:00:00"/>
    <x v="0"/>
    <n v="2724"/>
    <x v="0"/>
    <n v="6.8"/>
    <s v="P"/>
    <m/>
    <s v="2724_1"/>
    <s v="Baldwin"/>
    <x v="1"/>
    <s v="Acer"/>
    <s v="saccharum"/>
    <s v="Sapindaceae"/>
    <x v="5"/>
  </r>
  <r>
    <x v="11"/>
    <d v="2026-07-15T00:00:00"/>
    <x v="0"/>
    <n v="2725"/>
    <x v="0"/>
    <n v="3.8"/>
    <s v="N/A"/>
    <m/>
    <s v="2725_1"/>
    <s v="Baldwin"/>
    <x v="1"/>
    <s v="Acer"/>
    <s v="saccharum"/>
    <s v="Sapindaceae"/>
    <x v="2"/>
  </r>
  <r>
    <x v="11"/>
    <d v="2026-07-15T00:00:00"/>
    <x v="0"/>
    <n v="2726"/>
    <x v="0"/>
    <n v="5.5"/>
    <s v="I"/>
    <m/>
    <s v="2726_1"/>
    <s v="Baldwin"/>
    <x v="1"/>
    <s v="Acer"/>
    <s v="saccharum"/>
    <s v="Sapindaceae"/>
    <x v="5"/>
  </r>
  <r>
    <x v="11"/>
    <d v="2026-07-15T00:00:00"/>
    <x v="0"/>
    <n v="2727"/>
    <x v="0"/>
    <n v="7.6"/>
    <s v="N/A"/>
    <m/>
    <s v="2727_1"/>
    <s v="Baldwin"/>
    <x v="1"/>
    <s v="Acer"/>
    <s v="saccharum"/>
    <s v="Sapindaceae"/>
    <x v="5"/>
  </r>
  <r>
    <x v="11"/>
    <d v="2026-07-15T00:00:00"/>
    <x v="0"/>
    <n v="2728"/>
    <x v="0"/>
    <n v="4.7"/>
    <s v="W"/>
    <s v="soft tape"/>
    <s v="2728_1"/>
    <s v="Baldwin"/>
    <x v="1"/>
    <s v="Acer"/>
    <s v="saccharum"/>
    <s v="Sapindaceae"/>
    <x v="2"/>
  </r>
  <r>
    <x v="11"/>
    <d v="2026-07-15T00:00:00"/>
    <x v="0"/>
    <n v="2729"/>
    <x v="0"/>
    <n v="1.6"/>
    <s v="L"/>
    <m/>
    <s v="2729_1"/>
    <s v="Baldwin"/>
    <x v="1"/>
    <s v="Acer"/>
    <s v="saccharum"/>
    <s v="Sapindaceae"/>
    <x v="2"/>
  </r>
  <r>
    <x v="11"/>
    <d v="2026-07-15T00:00:00"/>
    <x v="0"/>
    <n v="2730"/>
    <x v="0"/>
    <n v="2.2999999999999998"/>
    <s v="W"/>
    <s v="soft tape"/>
    <s v="2730_1"/>
    <s v="Baldwin"/>
    <x v="1"/>
    <s v="Acer"/>
    <s v="saccharum"/>
    <s v="Sapindaceae"/>
    <x v="2"/>
  </r>
  <r>
    <x v="11"/>
    <d v="2026-07-15T00:00:00"/>
    <x v="0"/>
    <n v="2731"/>
    <x v="0"/>
    <n v="23.5"/>
    <s v="N/A"/>
    <m/>
    <s v="2731_1"/>
    <s v="Baldwin"/>
    <x v="1"/>
    <s v="Acer"/>
    <s v="saccharum"/>
    <s v="Sapindaceae"/>
    <x v="0"/>
  </r>
  <r>
    <x v="11"/>
    <d v="2026-07-15T00:00:00"/>
    <x v="0"/>
    <n v="2732"/>
    <x v="0"/>
    <n v="4.5999999999999996"/>
    <s v="N/A"/>
    <m/>
    <s v="2732_1"/>
    <s v="Baldwin"/>
    <x v="1"/>
    <s v="Acer"/>
    <s v="saccharum"/>
    <s v="Sapindaceae"/>
    <x v="2"/>
  </r>
  <r>
    <x v="11"/>
    <d v="2026-07-15T00:00:00"/>
    <x v="0"/>
    <n v="2733"/>
    <x v="0"/>
    <n v="3.4"/>
    <s v="L"/>
    <m/>
    <s v="2733_1"/>
    <s v="Baldwin"/>
    <x v="1"/>
    <s v="Acer"/>
    <s v="saccharum"/>
    <s v="Sapindaceae"/>
    <x v="2"/>
  </r>
  <r>
    <x v="11"/>
    <d v="2026-07-15T00:00:00"/>
    <x v="0"/>
    <n v="2734"/>
    <x v="0"/>
    <n v="64.099999999999994"/>
    <s v="I"/>
    <m/>
    <s v="2734_1"/>
    <s v="Baldwin"/>
    <x v="1"/>
    <s v="Acer"/>
    <s v="saccharum"/>
    <s v="Sapindaceae"/>
    <x v="4"/>
  </r>
  <r>
    <x v="11"/>
    <d v="2026-07-15T00:00:00"/>
    <x v="0"/>
    <n v="2735"/>
    <x v="0"/>
    <n v="10.9"/>
    <s v="L"/>
    <m/>
    <s v="2735_1"/>
    <s v="Baldwin"/>
    <x v="1"/>
    <s v="Acer"/>
    <s v="saccharum"/>
    <s v="Sapindaceae"/>
    <x v="3"/>
  </r>
  <r>
    <x v="11"/>
    <d v="2026-07-15T00:00:00"/>
    <x v="0"/>
    <n v="2736"/>
    <x v="0"/>
    <n v="15.3"/>
    <s v="N/A"/>
    <m/>
    <s v="2736_1"/>
    <s v="Baldwin"/>
    <x v="1"/>
    <s v="Acer"/>
    <s v="saccharum"/>
    <s v="Sapindaceae"/>
    <x v="3"/>
  </r>
  <r>
    <x v="11"/>
    <d v="2026-07-15T00:00:00"/>
    <x v="0"/>
    <n v="2737"/>
    <x v="0"/>
    <n v="5.9"/>
    <s v="W,A"/>
    <s v="soft measure used, POM at 1.29m"/>
    <s v="2737_1"/>
    <s v="Baldwin"/>
    <x v="1"/>
    <s v="Acer"/>
    <s v="saccharum"/>
    <s v="Sapindaceae"/>
    <x v="5"/>
  </r>
  <r>
    <x v="11"/>
    <d v="2026-07-15T00:00:00"/>
    <x v="0"/>
    <n v="2738"/>
    <x v="0"/>
    <n v="11.8"/>
    <s v="L"/>
    <s v="slight lean"/>
    <s v="2738_1"/>
    <s v="Baldwin"/>
    <x v="1"/>
    <s v="Acer"/>
    <s v="saccharum"/>
    <s v="Sapindaceae"/>
    <x v="3"/>
  </r>
  <r>
    <x v="11"/>
    <d v="2026-07-15T00:00:00"/>
    <x v="5"/>
    <n v="2739"/>
    <x v="0"/>
    <n v="26.6"/>
    <s v="N/A"/>
    <m/>
    <s v="2739_1"/>
    <s v="Baldwin"/>
    <x v="1"/>
    <s v="Magnolia"/>
    <s v="acuminata"/>
    <s v="Magnoliaceae"/>
    <x v="0"/>
  </r>
  <r>
    <x v="11"/>
    <d v="2026-07-15T00:00:00"/>
    <x v="0"/>
    <n v="2740"/>
    <x v="0"/>
    <n v="7.1"/>
    <s v="N/A"/>
    <m/>
    <s v="2740_1"/>
    <s v="Baldwin"/>
    <x v="1"/>
    <s v="Acer"/>
    <s v="saccharum"/>
    <s v="Sapindaceae"/>
    <x v="5"/>
  </r>
  <r>
    <x v="11"/>
    <d v="2026-07-15T00:00:00"/>
    <x v="0"/>
    <n v="2741"/>
    <x v="0"/>
    <n v="46.7"/>
    <s v="L"/>
    <m/>
    <s v="2741_1"/>
    <s v="Baldwin"/>
    <x v="1"/>
    <s v="Acer"/>
    <s v="saccharum"/>
    <s v="Sapindaceae"/>
    <x v="1"/>
  </r>
  <r>
    <x v="11"/>
    <d v="2026-07-15T00:00:00"/>
    <x v="0"/>
    <n v="2742"/>
    <x v="0"/>
    <n v="4.5"/>
    <s v="W,A"/>
    <s v="slightly wavy, POM at 1.28m"/>
    <s v="2742_1"/>
    <s v="Baldwin"/>
    <x v="1"/>
    <s v="Acer"/>
    <s v="saccharum"/>
    <s v="Sapindaceae"/>
    <x v="2"/>
  </r>
  <r>
    <x v="11"/>
    <d v="2026-07-15T00:00:00"/>
    <x v="0"/>
    <n v="2743"/>
    <x v="0"/>
    <n v="13"/>
    <s v="W"/>
    <s v="POM stick used"/>
    <s v="2743_1"/>
    <s v="Baldwin"/>
    <x v="1"/>
    <s v="Acer"/>
    <s v="saccharum"/>
    <s v="Sapindaceae"/>
    <x v="3"/>
  </r>
  <r>
    <x v="11"/>
    <d v="2026-07-15T00:00:00"/>
    <x v="0"/>
    <n v="2744"/>
    <x v="0"/>
    <n v="5.2"/>
    <s v="N/A"/>
    <m/>
    <s v="2744_1"/>
    <s v="Baldwin"/>
    <x v="1"/>
    <s v="Acer"/>
    <s v="saccharum"/>
    <s v="Sapindaceae"/>
    <x v="5"/>
  </r>
  <r>
    <x v="11"/>
    <d v="2026-07-15T00:00:00"/>
    <x v="0"/>
    <n v="2745"/>
    <x v="0"/>
    <n v="3"/>
    <s v="N/A"/>
    <m/>
    <s v="2745_1"/>
    <s v="Baldwin"/>
    <x v="1"/>
    <s v="Acer"/>
    <s v="saccharum"/>
    <s v="Sapindaceae"/>
    <x v="2"/>
  </r>
  <r>
    <x v="11"/>
    <d v="2026-07-15T00:00:00"/>
    <x v="0"/>
    <n v="2746"/>
    <x v="0"/>
    <n v="5.5"/>
    <s v="W"/>
    <m/>
    <s v="2746_1"/>
    <s v="Baldwin"/>
    <x v="1"/>
    <s v="Acer"/>
    <s v="saccharum"/>
    <s v="Sapindaceae"/>
    <x v="5"/>
  </r>
  <r>
    <x v="11"/>
    <d v="2026-07-15T00:00:00"/>
    <x v="0"/>
    <n v="2747"/>
    <x v="0"/>
    <n v="1.8"/>
    <s v="L"/>
    <m/>
    <s v="2747_1"/>
    <s v="Baldwin"/>
    <x v="1"/>
    <s v="Acer"/>
    <s v="saccharum"/>
    <s v="Sapindaceae"/>
    <x v="2"/>
  </r>
  <r>
    <x v="11"/>
    <d v="2026-07-15T00:00:00"/>
    <x v="22"/>
    <n v="2748"/>
    <x v="0"/>
    <n v="34"/>
    <s v="W,L"/>
    <s v="ground is sloped"/>
    <s v="2748_1"/>
    <s v="Baldwin"/>
    <x v="1"/>
    <s v="Tsuga"/>
    <s v="canadensis"/>
    <s v="Pinaceae"/>
    <x v="0"/>
  </r>
  <r>
    <x v="11"/>
    <d v="2026-07-15T00:00:00"/>
    <x v="0"/>
    <n v="2749"/>
    <x v="0"/>
    <n v="22.6"/>
    <s v="L"/>
    <m/>
    <s v="2749_1"/>
    <s v="Baldwin"/>
    <x v="1"/>
    <s v="Acer"/>
    <s v="saccharum"/>
    <s v="Sapindaceae"/>
    <x v="0"/>
  </r>
  <r>
    <x v="11"/>
    <d v="2026-07-15T00:00:00"/>
    <x v="0"/>
    <n v="2750"/>
    <x v="0"/>
    <n v="4.0999999999999996"/>
    <s v="N/A"/>
    <m/>
    <s v="2750_1"/>
    <s v="Baldwin"/>
    <x v="1"/>
    <s v="Acer"/>
    <s v="saccharum"/>
    <s v="Sapindaceae"/>
    <x v="2"/>
  </r>
  <r>
    <x v="11"/>
    <d v="2026-07-15T00:00:00"/>
    <x v="0"/>
    <n v="2751"/>
    <x v="0"/>
    <n v="4.9000000000000004"/>
    <s v="L"/>
    <m/>
    <s v="2751_1"/>
    <s v="Baldwin"/>
    <x v="1"/>
    <s v="Acer"/>
    <s v="saccharum"/>
    <s v="Sapindaceae"/>
    <x v="2"/>
  </r>
  <r>
    <x v="11"/>
    <d v="2026-07-15T00:00:00"/>
    <x v="0"/>
    <n v="2752"/>
    <x v="0"/>
    <n v="5.3"/>
    <s v="W"/>
    <m/>
    <s v="2752_1"/>
    <s v="Baldwin"/>
    <x v="1"/>
    <s v="Acer"/>
    <s v="saccharum"/>
    <s v="Sapindaceae"/>
    <x v="5"/>
  </r>
  <r>
    <x v="11"/>
    <d v="2026-07-15T00:00:00"/>
    <x v="0"/>
    <n v="2753"/>
    <x v="0"/>
    <n v="4.9000000000000004"/>
    <s v="L"/>
    <m/>
    <s v="2753_1"/>
    <s v="Baldwin"/>
    <x v="1"/>
    <s v="Acer"/>
    <s v="saccharum"/>
    <s v="Sapindaceae"/>
    <x v="2"/>
  </r>
  <r>
    <x v="11"/>
    <d v="2026-07-15T00:00:00"/>
    <x v="0"/>
    <n v="2754"/>
    <x v="0"/>
    <n v="14.4"/>
    <s v="N/A"/>
    <m/>
    <s v="2754_1"/>
    <s v="Baldwin"/>
    <x v="1"/>
    <s v="Acer"/>
    <s v="saccharum"/>
    <s v="Sapindaceae"/>
    <x v="3"/>
  </r>
  <r>
    <x v="11"/>
    <d v="2026-07-15T00:00:00"/>
    <x v="0"/>
    <n v="2755"/>
    <x v="0"/>
    <n v="2.8"/>
    <s v="W"/>
    <s v="soft measure used"/>
    <s v="2755_1"/>
    <s v="Baldwin"/>
    <x v="1"/>
    <s v="Acer"/>
    <s v="saccharum"/>
    <s v="Sapindaceae"/>
    <x v="2"/>
  </r>
  <r>
    <x v="11"/>
    <d v="2026-07-15T00:00:00"/>
    <x v="0"/>
    <n v="2756"/>
    <x v="0"/>
    <n v="42.7"/>
    <s v="N/A"/>
    <m/>
    <s v="2756_1"/>
    <s v="Baldwin"/>
    <x v="1"/>
    <s v="Acer"/>
    <s v="saccharum"/>
    <s v="Sapindaceae"/>
    <x v="1"/>
  </r>
  <r>
    <x v="11"/>
    <d v="2026-07-15T00:00:00"/>
    <x v="0"/>
    <n v="2757"/>
    <x v="0"/>
    <n v="2.2000000000000002"/>
    <s v="L"/>
    <m/>
    <s v="2757_1"/>
    <s v="Baldwin"/>
    <x v="1"/>
    <s v="Acer"/>
    <s v="saccharum"/>
    <s v="Sapindaceae"/>
    <x v="2"/>
  </r>
  <r>
    <x v="11"/>
    <d v="2026-07-15T00:00:00"/>
    <x v="0"/>
    <n v="2758"/>
    <x v="0"/>
    <n v="2.7"/>
    <s v="W,L"/>
    <s v="soft tape"/>
    <s v="2758_1"/>
    <s v="Baldwin"/>
    <x v="1"/>
    <s v="Acer"/>
    <s v="saccharum"/>
    <s v="Sapindaceae"/>
    <x v="2"/>
  </r>
  <r>
    <x v="11"/>
    <d v="2026-07-15T00:00:00"/>
    <x v="0"/>
    <n v="2759"/>
    <x v="0"/>
    <n v="3.5"/>
    <s v="W,A"/>
    <s v="POM stick used, POM at 1.22m"/>
    <s v="2759_1"/>
    <s v="Baldwin"/>
    <x v="1"/>
    <s v="Acer"/>
    <s v="saccharum"/>
    <s v="Sapindaceae"/>
    <x v="2"/>
  </r>
  <r>
    <x v="11"/>
    <d v="2026-07-15T00:00:00"/>
    <x v="0"/>
    <n v="2760"/>
    <x v="0"/>
    <n v="5.5"/>
    <s v="A"/>
    <s v="POM at 1.28m"/>
    <s v="2760_1"/>
    <s v="Baldwin"/>
    <x v="1"/>
    <s v="Acer"/>
    <s v="saccharum"/>
    <s v="Sapindaceae"/>
    <x v="5"/>
  </r>
  <r>
    <x v="11"/>
    <d v="2026-07-15T00:00:00"/>
    <x v="0"/>
    <n v="2761"/>
    <x v="0"/>
    <n v="3.7"/>
    <s v="W,A"/>
    <s v="soft measure used, POM at 1.29m "/>
    <s v="2761_1"/>
    <s v="Baldwin"/>
    <x v="1"/>
    <s v="Acer"/>
    <s v="saccharum"/>
    <s v="Sapindaceae"/>
    <x v="2"/>
  </r>
  <r>
    <x v="11"/>
    <d v="2026-07-15T00:00:00"/>
    <x v="10"/>
    <n v="2762"/>
    <x v="0"/>
    <n v="73.400000000000006"/>
    <s v="I"/>
    <m/>
    <s v="2762_1"/>
    <s v="Baldwin"/>
    <x v="1"/>
    <s v="Quercus"/>
    <s v="rubra"/>
    <s v="Fagaceae"/>
    <x v="4"/>
  </r>
  <r>
    <x v="11"/>
    <d v="2026-07-15T00:00:00"/>
    <x v="0"/>
    <n v="2763"/>
    <x v="0"/>
    <n v="17.2"/>
    <s v="N/A"/>
    <m/>
    <s v="2763_1"/>
    <s v="Baldwin"/>
    <x v="1"/>
    <s v="Acer"/>
    <s v="saccharum"/>
    <s v="Sapindaceae"/>
    <x v="3"/>
  </r>
  <r>
    <x v="11"/>
    <d v="2026-07-15T00:00:00"/>
    <x v="0"/>
    <n v="2764"/>
    <x v="0"/>
    <n v="1.6"/>
    <s v="L"/>
    <s v="soft tape"/>
    <s v="2764_1"/>
    <s v="Baldwin"/>
    <x v="1"/>
    <s v="Acer"/>
    <s v="saccharum"/>
    <s v="Sapindaceae"/>
    <x v="2"/>
  </r>
  <r>
    <x v="11"/>
    <d v="2026-07-15T00:00:00"/>
    <x v="0"/>
    <n v="2765"/>
    <x v="0"/>
    <n v="28.1"/>
    <s v="L"/>
    <m/>
    <s v="2765_1"/>
    <s v="Baldwin"/>
    <x v="1"/>
    <s v="Acer"/>
    <s v="saccharum"/>
    <s v="Sapindaceae"/>
    <x v="0"/>
  </r>
  <r>
    <x v="11"/>
    <d v="2026-07-15T00:00:00"/>
    <x v="0"/>
    <n v="2766"/>
    <x v="0"/>
    <n v="13"/>
    <s v="L,I"/>
    <m/>
    <s v="2766_1"/>
    <s v="Baldwin"/>
    <x v="1"/>
    <s v="Acer"/>
    <s v="saccharum"/>
    <s v="Sapindaceae"/>
    <x v="3"/>
  </r>
  <r>
    <x v="11"/>
    <d v="2026-07-15T00:00:00"/>
    <x v="0"/>
    <n v="2767"/>
    <x v="0"/>
    <n v="36.299999999999997"/>
    <s v="L,I"/>
    <m/>
    <s v="2767_1"/>
    <s v="Baldwin"/>
    <x v="1"/>
    <s v="Acer"/>
    <s v="saccharum"/>
    <s v="Sapindaceae"/>
    <x v="0"/>
  </r>
  <r>
    <x v="11"/>
    <d v="2026-07-15T00:00:00"/>
    <x v="0"/>
    <n v="2768"/>
    <x v="0"/>
    <n v="37.1"/>
    <s v="L"/>
    <m/>
    <s v="2768_1"/>
    <s v="Baldwin"/>
    <x v="1"/>
    <s v="Acer"/>
    <s v="saccharum"/>
    <s v="Sapindaceae"/>
    <x v="0"/>
  </r>
  <r>
    <x v="11"/>
    <d v="2026-07-15T00:00:00"/>
    <x v="0"/>
    <n v="2769"/>
    <x v="0"/>
    <n v="12.5"/>
    <s v="L"/>
    <m/>
    <s v="2769_1"/>
    <s v="Baldwin"/>
    <x v="1"/>
    <s v="Acer"/>
    <s v="saccharum"/>
    <s v="Sapindaceae"/>
    <x v="3"/>
  </r>
  <r>
    <x v="11"/>
    <d v="2026-07-15T00:00:00"/>
    <x v="0"/>
    <n v="2770"/>
    <x v="0"/>
    <n v="11.3"/>
    <s v="N/A"/>
    <m/>
    <s v="2770_1"/>
    <s v="Baldwin"/>
    <x v="1"/>
    <s v="Acer"/>
    <s v="saccharum"/>
    <s v="Sapindaceae"/>
    <x v="3"/>
  </r>
  <r>
    <x v="11"/>
    <d v="2026-07-15T00:00:00"/>
    <x v="0"/>
    <n v="2771"/>
    <x v="0"/>
    <n v="47"/>
    <s v="L"/>
    <m/>
    <s v="2771_1"/>
    <s v="Baldwin"/>
    <x v="1"/>
    <s v="Acer"/>
    <s v="saccharum"/>
    <s v="Sapindaceae"/>
    <x v="1"/>
  </r>
  <r>
    <x v="11"/>
    <d v="2026-07-15T00:00:00"/>
    <x v="0"/>
    <n v="2772"/>
    <x v="0"/>
    <n v="2.6"/>
    <s v="N/A"/>
    <m/>
    <s v="2772_1"/>
    <s v="Baldwin"/>
    <x v="1"/>
    <s v="Acer"/>
    <s v="saccharum"/>
    <s v="Sapindaceae"/>
    <x v="2"/>
  </r>
  <r>
    <x v="11"/>
    <d v="2026-07-15T00:00:00"/>
    <x v="0"/>
    <n v="2773"/>
    <x v="0"/>
    <n v="2.5"/>
    <s v="L"/>
    <m/>
    <s v="2773_1"/>
    <s v="Baldwin"/>
    <x v="1"/>
    <s v="Acer"/>
    <s v="saccharum"/>
    <s v="Sapindaceae"/>
    <x v="2"/>
  </r>
  <r>
    <x v="11"/>
    <d v="2026-07-15T00:00:00"/>
    <x v="0"/>
    <n v="2774"/>
    <x v="0"/>
    <n v="3.8"/>
    <s v="N/A"/>
    <m/>
    <s v="2774_1"/>
    <s v="Baldwin"/>
    <x v="1"/>
    <s v="Acer"/>
    <s v="saccharum"/>
    <s v="Sapindaceae"/>
    <x v="2"/>
  </r>
  <r>
    <x v="11"/>
    <d v="2026-07-15T00:00:00"/>
    <x v="0"/>
    <n v="2775"/>
    <x v="0"/>
    <n v="8.6"/>
    <s v="L"/>
    <m/>
    <s v="2775_1"/>
    <s v="Baldwin"/>
    <x v="1"/>
    <s v="Acer"/>
    <s v="saccharum"/>
    <s v="Sapindaceae"/>
    <x v="5"/>
  </r>
  <r>
    <x v="11"/>
    <d v="2026-07-15T00:00:00"/>
    <x v="0"/>
    <n v="2776"/>
    <x v="0"/>
    <n v="3.9"/>
    <s v="N/A"/>
    <m/>
    <s v="2776_1"/>
    <s v="Baldwin"/>
    <x v="1"/>
    <s v="Acer"/>
    <s v="saccharum"/>
    <s v="Sapindaceae"/>
    <x v="2"/>
  </r>
  <r>
    <x v="11"/>
    <d v="2026-07-15T00:00:00"/>
    <x v="0"/>
    <n v="2777"/>
    <x v="0"/>
    <n v="2.2999999999999998"/>
    <s v="L"/>
    <m/>
    <s v="2777_1"/>
    <s v="Baldwin"/>
    <x v="1"/>
    <s v="Acer"/>
    <s v="saccharum"/>
    <s v="Sapindaceae"/>
    <x v="2"/>
  </r>
  <r>
    <x v="11"/>
    <d v="2026-07-15T00:00:00"/>
    <x v="0"/>
    <n v="2778"/>
    <x v="0"/>
    <n v="4.8"/>
    <s v="A"/>
    <s v="POM at 1.28m"/>
    <s v="2778_1"/>
    <s v="Baldwin"/>
    <x v="1"/>
    <s v="Acer"/>
    <s v="saccharum"/>
    <s v="Sapindaceae"/>
    <x v="2"/>
  </r>
  <r>
    <x v="11"/>
    <d v="2026-07-15T00:00:00"/>
    <x v="0"/>
    <n v="2779"/>
    <x v="0"/>
    <n v="11.3"/>
    <s v="L"/>
    <m/>
    <s v="2779_1"/>
    <s v="Baldwin"/>
    <x v="1"/>
    <s v="Acer"/>
    <s v="saccharum"/>
    <s v="Sapindaceae"/>
    <x v="3"/>
  </r>
  <r>
    <x v="11"/>
    <d v="2026-07-15T00:00:00"/>
    <x v="0"/>
    <n v="2780"/>
    <x v="0"/>
    <n v="2.8"/>
    <s v="A"/>
    <s v="POM at 1.27m"/>
    <s v="2780_1"/>
    <s v="Baldwin"/>
    <x v="1"/>
    <s v="Acer"/>
    <s v="saccharum"/>
    <s v="Sapindaceae"/>
    <x v="2"/>
  </r>
  <r>
    <x v="11"/>
    <d v="2026-07-15T00:00:00"/>
    <x v="0"/>
    <n v="2781"/>
    <x v="0"/>
    <n v="4.3"/>
    <s v="L,A"/>
    <s v="POM at 1.28m"/>
    <s v="2781_1"/>
    <s v="Baldwin"/>
    <x v="1"/>
    <s v="Acer"/>
    <s v="saccharum"/>
    <s v="Sapindaceae"/>
    <x v="2"/>
  </r>
  <r>
    <x v="11"/>
    <d v="2026-07-15T00:00:00"/>
    <x v="0"/>
    <n v="2782"/>
    <x v="0"/>
    <n v="11.5"/>
    <s v="N/A"/>
    <m/>
    <s v="2782_1"/>
    <s v="Baldwin"/>
    <x v="1"/>
    <s v="Acer"/>
    <s v="saccharum"/>
    <s v="Sapindaceae"/>
    <x v="3"/>
  </r>
  <r>
    <x v="11"/>
    <d v="2026-07-15T00:00:00"/>
    <x v="0"/>
    <n v="2783"/>
    <x v="0"/>
    <n v="4.5999999999999996"/>
    <s v="L"/>
    <m/>
    <s v="2783_1"/>
    <s v="Baldwin"/>
    <x v="1"/>
    <s v="Acer"/>
    <s v="saccharum"/>
    <s v="Sapindaceae"/>
    <x v="2"/>
  </r>
  <r>
    <x v="11"/>
    <d v="2026-07-15T00:00:00"/>
    <x v="0"/>
    <n v="2784"/>
    <x v="0"/>
    <n v="7.2"/>
    <s v="N/A"/>
    <m/>
    <s v="2784_1"/>
    <s v="Baldwin"/>
    <x v="1"/>
    <s v="Acer"/>
    <s v="saccharum"/>
    <s v="Sapindaceae"/>
    <x v="5"/>
  </r>
  <r>
    <x v="11"/>
    <d v="2026-07-15T00:00:00"/>
    <x v="0"/>
    <n v="2785"/>
    <x v="0"/>
    <n v="3.9"/>
    <s v="L,A"/>
    <s v="POM at 1.27m"/>
    <s v="2785_1"/>
    <s v="Baldwin"/>
    <x v="1"/>
    <s v="Acer"/>
    <s v="saccharum"/>
    <s v="Sapindaceae"/>
    <x v="2"/>
  </r>
  <r>
    <x v="11"/>
    <d v="2026-07-15T00:00:00"/>
    <x v="2"/>
    <n v="2786"/>
    <x v="0"/>
    <n v="18"/>
    <s v="N/A"/>
    <m/>
    <s v="2786_1"/>
    <s v="Baldwin"/>
    <x v="1"/>
    <s v="Acer"/>
    <s v="rubrum"/>
    <s v="Sapindaceae"/>
    <x v="3"/>
  </r>
  <r>
    <x v="11"/>
    <d v="2026-07-15T00:00:00"/>
    <x v="0"/>
    <n v="2787"/>
    <x v="0"/>
    <n v="3.9"/>
    <s v="L"/>
    <m/>
    <s v="2787_1"/>
    <s v="Baldwin"/>
    <x v="1"/>
    <s v="Acer"/>
    <s v="saccharum"/>
    <s v="Sapindaceae"/>
    <x v="2"/>
  </r>
  <r>
    <x v="11"/>
    <d v="2026-07-15T00:00:00"/>
    <x v="2"/>
    <n v="2788"/>
    <x v="0"/>
    <n v="32.6"/>
    <s v="N/A"/>
    <m/>
    <s v="2788_1"/>
    <s v="Baldwin"/>
    <x v="1"/>
    <s v="Acer"/>
    <s v="rubrum"/>
    <s v="Sapindaceae"/>
    <x v="0"/>
  </r>
  <r>
    <x v="11"/>
    <d v="2026-07-15T00:00:00"/>
    <x v="0"/>
    <n v="2789"/>
    <x v="0"/>
    <n v="3.7"/>
    <s v="L"/>
    <m/>
    <s v="2789_1"/>
    <s v="Baldwin"/>
    <x v="1"/>
    <s v="Acer"/>
    <s v="saccharum"/>
    <s v="Sapindaceae"/>
    <x v="2"/>
  </r>
  <r>
    <x v="11"/>
    <d v="2026-07-15T00:00:00"/>
    <x v="0"/>
    <n v="2790"/>
    <x v="0"/>
    <n v="2.8"/>
    <s v="N/A"/>
    <m/>
    <s v="2790_1"/>
    <s v="Baldwin"/>
    <x v="1"/>
    <s v="Acer"/>
    <s v="saccharum"/>
    <s v="Sapindaceae"/>
    <x v="2"/>
  </r>
  <r>
    <x v="11"/>
    <d v="2026-07-15T00:00:00"/>
    <x v="0"/>
    <n v="2791"/>
    <x v="0"/>
    <n v="2.1"/>
    <s v="L"/>
    <m/>
    <s v="2791_1"/>
    <s v="Baldwin"/>
    <x v="1"/>
    <s v="Acer"/>
    <s v="saccharum"/>
    <s v="Sapindaceae"/>
    <x v="2"/>
  </r>
  <r>
    <x v="11"/>
    <d v="2026-07-15T00:00:00"/>
    <x v="0"/>
    <n v="2792"/>
    <x v="0"/>
    <n v="2.2999999999999998"/>
    <s v="L"/>
    <m/>
    <s v="2792_1"/>
    <s v="Baldwin"/>
    <x v="1"/>
    <s v="Acer"/>
    <s v="saccharum"/>
    <s v="Sapindaceae"/>
    <x v="2"/>
  </r>
  <r>
    <x v="11"/>
    <d v="2026-07-15T00:00:00"/>
    <x v="7"/>
    <n v="2793"/>
    <x v="0"/>
    <n v="1.5"/>
    <s v="W"/>
    <s v="not best shape"/>
    <s v="2793_1"/>
    <s v="Baldwin"/>
    <x v="1"/>
    <s v="Fagus"/>
    <s v="grandifolia"/>
    <s v="Fagaceae"/>
    <x v="2"/>
  </r>
  <r>
    <x v="11"/>
    <d v="2026-07-15T00:00:00"/>
    <x v="0"/>
    <n v="2794"/>
    <x v="0"/>
    <n v="7.3"/>
    <s v="I"/>
    <m/>
    <s v="2794_1"/>
    <s v="Baldwin"/>
    <x v="1"/>
    <s v="Acer"/>
    <s v="saccharum"/>
    <s v="Sapindaceae"/>
    <x v="5"/>
  </r>
  <r>
    <x v="11"/>
    <d v="2026-07-15T00:00:00"/>
    <x v="0"/>
    <n v="2795"/>
    <x v="0"/>
    <n v="5.2"/>
    <s v="L"/>
    <m/>
    <s v="2795_1"/>
    <s v="Baldwin"/>
    <x v="1"/>
    <s v="Acer"/>
    <s v="saccharum"/>
    <s v="Sapindaceae"/>
    <x v="5"/>
  </r>
  <r>
    <x v="11"/>
    <d v="2026-07-15T00:00:00"/>
    <x v="0"/>
    <n v="2796"/>
    <x v="0"/>
    <n v="6.4"/>
    <s v="N/A"/>
    <m/>
    <s v="2796_1"/>
    <s v="Baldwin"/>
    <x v="1"/>
    <s v="Acer"/>
    <s v="saccharum"/>
    <s v="Sapindaceae"/>
    <x v="5"/>
  </r>
  <r>
    <x v="11"/>
    <d v="2026-07-15T00:00:00"/>
    <x v="0"/>
    <n v="2797"/>
    <x v="0"/>
    <n v="3.9"/>
    <s v="W"/>
    <s v="soft tape"/>
    <s v="2797_1"/>
    <s v="Baldwin"/>
    <x v="1"/>
    <s v="Acer"/>
    <s v="saccharum"/>
    <s v="Sapindaceae"/>
    <x v="2"/>
  </r>
  <r>
    <x v="11"/>
    <d v="2026-07-15T00:00:00"/>
    <x v="0"/>
    <n v="2798"/>
    <x v="0"/>
    <n v="12.4"/>
    <s v="L"/>
    <m/>
    <s v="2798_1"/>
    <s v="Baldwin"/>
    <x v="1"/>
    <s v="Acer"/>
    <s v="saccharum"/>
    <s v="Sapindaceae"/>
    <x v="3"/>
  </r>
  <r>
    <x v="11"/>
    <d v="2026-07-15T00:00:00"/>
    <x v="0"/>
    <n v="2799"/>
    <x v="0"/>
    <n v="60.8"/>
    <s v="L"/>
    <m/>
    <s v="2799_1"/>
    <s v="Baldwin"/>
    <x v="1"/>
    <s v="Acer"/>
    <s v="saccharum"/>
    <s v="Sapindaceae"/>
    <x v="4"/>
  </r>
  <r>
    <x v="11"/>
    <d v="2026-07-15T00:00:00"/>
    <x v="0"/>
    <n v="2800"/>
    <x v="0"/>
    <n v="10.3"/>
    <s v="N/A"/>
    <m/>
    <s v="2800_1"/>
    <s v="Baldwin"/>
    <x v="1"/>
    <s v="Acer"/>
    <s v="saccharum"/>
    <s v="Sapindaceae"/>
    <x v="3"/>
  </r>
  <r>
    <x v="11"/>
    <d v="2026-07-15T00:00:00"/>
    <x v="0"/>
    <n v="2801"/>
    <x v="0"/>
    <n v="6.8"/>
    <s v="L"/>
    <m/>
    <s v="2801_1"/>
    <s v="Baldwin"/>
    <x v="1"/>
    <s v="Acer"/>
    <s v="saccharum"/>
    <s v="Sapindaceae"/>
    <x v="5"/>
  </r>
  <r>
    <x v="11"/>
    <d v="2026-07-15T00:00:00"/>
    <x v="0"/>
    <n v="2802"/>
    <x v="0"/>
    <n v="6.6"/>
    <s v="W"/>
    <s v="slightly wavy"/>
    <s v="2802_1"/>
    <s v="Baldwin"/>
    <x v="1"/>
    <s v="Acer"/>
    <s v="saccharum"/>
    <s v="Sapindaceae"/>
    <x v="5"/>
  </r>
  <r>
    <x v="11"/>
    <d v="2026-07-15T00:00:00"/>
    <x v="0"/>
    <n v="2803"/>
    <x v="0"/>
    <n v="2.5"/>
    <s v="W, B, A"/>
    <s v="POM at 1.29, soft tape"/>
    <s v="2803_1"/>
    <s v="Baldwin"/>
    <x v="1"/>
    <s v="Acer"/>
    <s v="saccharum"/>
    <s v="Sapindaceae"/>
    <x v="2"/>
  </r>
  <r>
    <x v="11"/>
    <d v="2026-07-15T00:00:00"/>
    <x v="0"/>
    <n v="2804"/>
    <x v="0"/>
    <n v="1.3"/>
    <s v="N/A"/>
    <m/>
    <s v="2804_1"/>
    <s v="Baldwin"/>
    <x v="1"/>
    <s v="Acer"/>
    <s v="saccharum"/>
    <s v="Sapindaceae"/>
    <x v="2"/>
  </r>
  <r>
    <x v="11"/>
    <d v="2026-07-15T00:00:00"/>
    <x v="0"/>
    <n v="2805"/>
    <x v="0"/>
    <n v="6"/>
    <s v="L"/>
    <m/>
    <s v="2805_1"/>
    <s v="Baldwin"/>
    <x v="1"/>
    <s v="Acer"/>
    <s v="saccharum"/>
    <s v="Sapindaceae"/>
    <x v="5"/>
  </r>
  <r>
    <x v="11"/>
    <d v="2026-07-15T00:00:00"/>
    <x v="0"/>
    <n v="2806"/>
    <x v="0"/>
    <n v="12.1"/>
    <s v="N/A"/>
    <m/>
    <s v="2806_1"/>
    <s v="Baldwin"/>
    <x v="1"/>
    <s v="Acer"/>
    <s v="saccharum"/>
    <s v="Sapindaceae"/>
    <x v="3"/>
  </r>
  <r>
    <x v="11"/>
    <d v="2026-07-15T00:00:00"/>
    <x v="0"/>
    <n v="2807"/>
    <x v="0"/>
    <n v="2.5"/>
    <s v="L"/>
    <s v="slight lean"/>
    <s v="2807_1"/>
    <s v="Baldwin"/>
    <x v="1"/>
    <s v="Acer"/>
    <s v="saccharum"/>
    <s v="Sapindaceae"/>
    <x v="2"/>
  </r>
  <r>
    <x v="11"/>
    <d v="2026-07-15T00:00:00"/>
    <x v="0"/>
    <n v="2808"/>
    <x v="0"/>
    <n v="4.2"/>
    <s v="L"/>
    <s v="slight lean"/>
    <s v="2808_1"/>
    <s v="Baldwin"/>
    <x v="1"/>
    <s v="Acer"/>
    <s v="saccharum"/>
    <s v="Sapindaceae"/>
    <x v="2"/>
  </r>
  <r>
    <x v="11"/>
    <d v="2026-07-15T00:00:00"/>
    <x v="0"/>
    <n v="2809"/>
    <x v="0"/>
    <n v="19.100000000000001"/>
    <s v="N/A"/>
    <m/>
    <s v="2809_1"/>
    <s v="Baldwin"/>
    <x v="1"/>
    <s v="Acer"/>
    <s v="saccharum"/>
    <s v="Sapindaceae"/>
    <x v="3"/>
  </r>
  <r>
    <x v="11"/>
    <d v="2026-07-15T00:00:00"/>
    <x v="0"/>
    <n v="2810"/>
    <x v="0"/>
    <n v="5.2"/>
    <s v="L"/>
    <m/>
    <s v="2810_1"/>
    <s v="Baldwin"/>
    <x v="1"/>
    <s v="Acer"/>
    <s v="saccharum"/>
    <s v="Sapindaceae"/>
    <x v="5"/>
  </r>
  <r>
    <x v="11"/>
    <d v="2026-07-15T00:00:00"/>
    <x v="0"/>
    <n v="2811"/>
    <x v="0"/>
    <n v="7"/>
    <s v="W, A"/>
    <s v="POM at 1.27m, stick used, slightly wavy"/>
    <s v="2811_1"/>
    <s v="Baldwin"/>
    <x v="1"/>
    <s v="Acer"/>
    <s v="saccharum"/>
    <s v="Sapindaceae"/>
    <x v="5"/>
  </r>
  <r>
    <x v="11"/>
    <d v="2026-07-15T00:00:00"/>
    <x v="0"/>
    <n v="2812"/>
    <x v="0"/>
    <n v="11.6"/>
    <s v="N/A"/>
    <m/>
    <s v="2812_1"/>
    <s v="Baldwin"/>
    <x v="1"/>
    <s v="Acer"/>
    <s v="saccharum"/>
    <s v="Sapindaceae"/>
    <x v="3"/>
  </r>
  <r>
    <x v="11"/>
    <d v="2026-07-15T00:00:00"/>
    <x v="0"/>
    <n v="2813"/>
    <x v="0"/>
    <n v="7.3"/>
    <s v="L"/>
    <s v="slight lean"/>
    <s v="2813_1"/>
    <s v="Baldwin"/>
    <x v="1"/>
    <s v="Acer"/>
    <s v="saccharum"/>
    <s v="Sapindaceae"/>
    <x v="5"/>
  </r>
  <r>
    <x v="11"/>
    <d v="2026-07-15T00:00:00"/>
    <x v="0"/>
    <n v="2814"/>
    <x v="0"/>
    <n v="9.6"/>
    <s v="N/A"/>
    <m/>
    <s v="2814_1"/>
    <s v="Baldwin"/>
    <x v="1"/>
    <s v="Acer"/>
    <s v="saccharum"/>
    <s v="Sapindaceae"/>
    <x v="5"/>
  </r>
  <r>
    <x v="11"/>
    <d v="2026-07-15T00:00:00"/>
    <x v="0"/>
    <n v="2815"/>
    <x v="0"/>
    <n v="45.3"/>
    <s v="L"/>
    <m/>
    <s v="2815_1"/>
    <s v="Baldwin"/>
    <x v="1"/>
    <s v="Acer"/>
    <s v="saccharum"/>
    <s v="Sapindaceae"/>
    <x v="1"/>
  </r>
  <r>
    <x v="11"/>
    <d v="2026-07-15T00:00:00"/>
    <x v="0"/>
    <n v="2816"/>
    <x v="0"/>
    <n v="2.4"/>
    <s v="M"/>
    <m/>
    <s v="2816_1"/>
    <s v="Baldwin"/>
    <x v="1"/>
    <s v="Acer"/>
    <s v="saccharum"/>
    <s v="Sapindaceae"/>
    <x v="2"/>
  </r>
  <r>
    <x v="11"/>
    <d v="2026-07-15T00:00:00"/>
    <x v="0"/>
    <n v="2816"/>
    <x v="1"/>
    <n v="1.4"/>
    <s v="M,L"/>
    <m/>
    <s v="2816_2"/>
    <s v="Baldwin"/>
    <x v="1"/>
    <s v="Acer"/>
    <s v="saccharum"/>
    <s v="Sapindaceae"/>
    <x v="2"/>
  </r>
  <r>
    <x v="11"/>
    <d v="2026-07-15T00:00:00"/>
    <x v="0"/>
    <n v="2817"/>
    <x v="0"/>
    <n v="12.2"/>
    <s v="W"/>
    <s v="stick used"/>
    <s v="2817_1"/>
    <s v="Baldwin"/>
    <x v="1"/>
    <s v="Acer"/>
    <s v="saccharum"/>
    <s v="Sapindaceae"/>
    <x v="3"/>
  </r>
  <r>
    <x v="11"/>
    <d v="2026-07-15T00:00:00"/>
    <x v="0"/>
    <n v="2818"/>
    <x v="0"/>
    <n v="5.2"/>
    <s v="W"/>
    <s v="slightly wavy"/>
    <s v="2818_1"/>
    <s v="Baldwin"/>
    <x v="1"/>
    <s v="Acer"/>
    <s v="saccharum"/>
    <s v="Sapindaceae"/>
    <x v="5"/>
  </r>
  <r>
    <x v="11"/>
    <d v="2026-07-15T00:00:00"/>
    <x v="0"/>
    <n v="2819"/>
    <x v="0"/>
    <n v="33.299999999999997"/>
    <s v="L"/>
    <m/>
    <s v="2819_1"/>
    <s v="Baldwin"/>
    <x v="1"/>
    <s v="Acer"/>
    <s v="saccharum"/>
    <s v="Sapindaceae"/>
    <x v="0"/>
  </r>
  <r>
    <x v="11"/>
    <d v="2026-07-15T00:00:00"/>
    <x v="0"/>
    <n v="2820"/>
    <x v="0"/>
    <n v="6"/>
    <s v="N/A"/>
    <m/>
    <s v="2820_1"/>
    <s v="Baldwin"/>
    <x v="1"/>
    <s v="Acer"/>
    <s v="saccharum"/>
    <s v="Sapindaceae"/>
    <x v="5"/>
  </r>
  <r>
    <x v="11"/>
    <d v="2026-07-15T00:00:00"/>
    <x v="0"/>
    <n v="2821"/>
    <x v="0"/>
    <n v="2.2999999999999998"/>
    <s v="L"/>
    <m/>
    <s v="2821_1"/>
    <s v="Baldwin"/>
    <x v="1"/>
    <s v="Acer"/>
    <s v="saccharum"/>
    <s v="Sapindaceae"/>
    <x v="2"/>
  </r>
  <r>
    <x v="11"/>
    <d v="2026-07-15T00:00:00"/>
    <x v="0"/>
    <n v="2822"/>
    <x v="0"/>
    <n v="3.5"/>
    <s v="X"/>
    <m/>
    <s v="2822_1"/>
    <s v="Baldwin"/>
    <x v="1"/>
    <s v="Acer"/>
    <s v="saccharum"/>
    <s v="Sapindaceae"/>
    <x v="2"/>
  </r>
  <r>
    <x v="11"/>
    <d v="2026-07-15T00:00:00"/>
    <x v="0"/>
    <n v="2823"/>
    <x v="0"/>
    <n v="2.9"/>
    <s v="L"/>
    <m/>
    <s v="2823_1"/>
    <s v="Baldwin"/>
    <x v="1"/>
    <s v="Acer"/>
    <s v="saccharum"/>
    <s v="Sapindaceae"/>
    <x v="2"/>
  </r>
  <r>
    <x v="11"/>
    <d v="2026-07-15T00:00:00"/>
    <x v="0"/>
    <n v="2824"/>
    <x v="0"/>
    <n v="15.1"/>
    <s v="L"/>
    <m/>
    <s v="2824_1"/>
    <s v="Baldwin"/>
    <x v="1"/>
    <s v="Acer"/>
    <s v="saccharum"/>
    <s v="Sapindaceae"/>
    <x v="3"/>
  </r>
  <r>
    <x v="11"/>
    <d v="2026-07-15T00:00:00"/>
    <x v="13"/>
    <n v="2825"/>
    <x v="0"/>
    <n v="71.5"/>
    <s v="L"/>
    <m/>
    <s v="2825_1"/>
    <s v="Baldwin"/>
    <x v="1"/>
    <s v="Quercus"/>
    <s v="alba"/>
    <s v="Fagaceae"/>
    <x v="4"/>
  </r>
  <r>
    <x v="11"/>
    <d v="2026-07-15T00:00:00"/>
    <x v="0"/>
    <n v="2826"/>
    <x v="0"/>
    <n v="3.5"/>
    <s v="W"/>
    <m/>
    <s v="2826_1"/>
    <s v="Baldwin"/>
    <x v="1"/>
    <s v="Acer"/>
    <s v="saccharum"/>
    <s v="Sapindaceae"/>
    <x v="2"/>
  </r>
  <r>
    <x v="11"/>
    <d v="2026-07-15T00:00:00"/>
    <x v="13"/>
    <n v="2827"/>
    <x v="0"/>
    <n v="43.9"/>
    <s v="N/A"/>
    <m/>
    <s v="2827_1"/>
    <s v="Baldwin"/>
    <x v="1"/>
    <s v="Quercus"/>
    <s v="alba"/>
    <s v="Fagaceae"/>
    <x v="1"/>
  </r>
  <r>
    <x v="11"/>
    <d v="2026-07-15T00:00:00"/>
    <x v="0"/>
    <n v="2828"/>
    <x v="0"/>
    <n v="4.8"/>
    <s v="N/A"/>
    <m/>
    <s v="2828_1"/>
    <s v="Baldwin"/>
    <x v="1"/>
    <s v="Acer"/>
    <s v="saccharum"/>
    <s v="Sapindaceae"/>
    <x v="2"/>
  </r>
  <r>
    <x v="11"/>
    <d v="2026-07-15T00:00:00"/>
    <x v="0"/>
    <n v="2829"/>
    <x v="0"/>
    <n v="65"/>
    <s v="N/A"/>
    <m/>
    <s v="2829_1"/>
    <s v="Baldwin"/>
    <x v="1"/>
    <s v="Acer"/>
    <s v="saccharum"/>
    <s v="Sapindaceae"/>
    <x v="4"/>
  </r>
  <r>
    <x v="11"/>
    <d v="2026-07-15T00:00:00"/>
    <x v="2"/>
    <n v="2830"/>
    <x v="0"/>
    <n v="4.2"/>
    <s v="L"/>
    <m/>
    <s v="2830_1"/>
    <s v="Baldwin"/>
    <x v="1"/>
    <s v="Acer"/>
    <s v="rubrum"/>
    <s v="Sapindaceae"/>
    <x v="2"/>
  </r>
  <r>
    <x v="11"/>
    <d v="2026-07-15T00:00:00"/>
    <x v="0"/>
    <n v="2831"/>
    <x v="0"/>
    <n v="3.5"/>
    <s v="L"/>
    <m/>
    <s v="2831_1"/>
    <s v="Baldwin"/>
    <x v="1"/>
    <s v="Acer"/>
    <s v="saccharum"/>
    <s v="Sapindaceae"/>
    <x v="2"/>
  </r>
  <r>
    <x v="11"/>
    <d v="2026-07-20T00:00:00"/>
    <x v="0"/>
    <n v="2832"/>
    <x v="0"/>
    <n v="3.6"/>
    <s v="M,W"/>
    <m/>
    <s v="2832_1"/>
    <s v="Baldwin"/>
    <x v="1"/>
    <s v="Acer"/>
    <s v="saccharum"/>
    <s v="Sapindaceae"/>
    <x v="2"/>
  </r>
  <r>
    <x v="11"/>
    <d v="2026-07-20T00:00:00"/>
    <x v="0"/>
    <n v="2832"/>
    <x v="1"/>
    <n v="1.8"/>
    <s v="M,W,A"/>
    <s v="soft tape, POM at 1.29m, knot"/>
    <s v="2832_2"/>
    <s v="Baldwin"/>
    <x v="1"/>
    <s v="Acer"/>
    <s v="saccharum"/>
    <s v="Sapindaceae"/>
    <x v="2"/>
  </r>
  <r>
    <x v="11"/>
    <d v="2026-07-20T00:00:00"/>
    <x v="22"/>
    <n v="2833"/>
    <x v="0"/>
    <n v="40.799999999999997"/>
    <s v="L"/>
    <m/>
    <s v="2833_1"/>
    <s v="Baldwin"/>
    <x v="1"/>
    <s v="Tsuga"/>
    <s v="canadensis"/>
    <s v="Pinaceae"/>
    <x v="1"/>
  </r>
  <r>
    <x v="11"/>
    <d v="2026-07-20T00:00:00"/>
    <x v="0"/>
    <n v="2834"/>
    <x v="0"/>
    <n v="4.3"/>
    <s v="N/A"/>
    <m/>
    <s v="2834_1"/>
    <s v="Baldwin"/>
    <x v="1"/>
    <s v="Acer"/>
    <s v="saccharum"/>
    <s v="Sapindaceae"/>
    <x v="2"/>
  </r>
  <r>
    <x v="11"/>
    <d v="2026-07-20T00:00:00"/>
    <x v="0"/>
    <n v="2835"/>
    <x v="0"/>
    <n v="2.6"/>
    <s v="A"/>
    <s v="POM at 1.28m, knot"/>
    <s v="2835_1"/>
    <s v="Baldwin"/>
    <x v="1"/>
    <s v="Acer"/>
    <s v="saccharum"/>
    <s v="Sapindaceae"/>
    <x v="2"/>
  </r>
  <r>
    <x v="11"/>
    <d v="2026-07-20T00:00:00"/>
    <x v="0"/>
    <n v="2836"/>
    <x v="0"/>
    <n v="4.2"/>
    <s v="A"/>
    <s v="POM at 1.285, knot"/>
    <s v="2836_1"/>
    <s v="Baldwin"/>
    <x v="1"/>
    <s v="Acer"/>
    <s v="saccharum"/>
    <s v="Sapindaceae"/>
    <x v="2"/>
  </r>
  <r>
    <x v="11"/>
    <d v="2026-07-20T00:00:00"/>
    <x v="0"/>
    <n v="2837"/>
    <x v="0"/>
    <n v="4.0999999999999996"/>
    <s v="A"/>
    <s v="POM at 1.28m, knot"/>
    <s v="2837_1"/>
    <s v="Baldwin"/>
    <x v="1"/>
    <s v="Acer"/>
    <s v="saccharum"/>
    <s v="Sapindaceae"/>
    <x v="2"/>
  </r>
  <r>
    <x v="11"/>
    <d v="2026-07-20T00:00:00"/>
    <x v="22"/>
    <n v="2838"/>
    <x v="0"/>
    <n v="25.2"/>
    <s v="L"/>
    <m/>
    <s v="2838_1"/>
    <s v="Baldwin"/>
    <x v="1"/>
    <s v="Tsuga"/>
    <s v="canadensis"/>
    <s v="Pinaceae"/>
    <x v="0"/>
  </r>
  <r>
    <x v="11"/>
    <d v="2026-07-20T00:00:00"/>
    <x v="0"/>
    <n v="2839"/>
    <x v="0"/>
    <n v="2.2000000000000002"/>
    <s v="A"/>
    <s v="POM at 1.28m, knot"/>
    <s v="2839_1"/>
    <s v="Baldwin"/>
    <x v="1"/>
    <s v="Acer"/>
    <s v="saccharum"/>
    <s v="Sapindaceae"/>
    <x v="2"/>
  </r>
  <r>
    <x v="11"/>
    <d v="2026-07-20T00:00:00"/>
    <x v="0"/>
    <n v="2840"/>
    <x v="0"/>
    <n v="2.6"/>
    <s v="A"/>
    <s v="POM at 1.26m, knot"/>
    <s v="2840_1"/>
    <s v="Baldwin"/>
    <x v="1"/>
    <s v="Acer"/>
    <s v="saccharum"/>
    <s v="Sapindaceae"/>
    <x v="2"/>
  </r>
  <r>
    <x v="11"/>
    <d v="2026-07-20T00:00:00"/>
    <x v="2"/>
    <n v="2841"/>
    <x v="0"/>
    <n v="8.1"/>
    <s v="A"/>
    <s v="POM at 1.26m, knot"/>
    <s v="2841_1"/>
    <s v="Baldwin"/>
    <x v="1"/>
    <s v="Acer"/>
    <s v="rubrum"/>
    <s v="Sapindaceae"/>
    <x v="5"/>
  </r>
  <r>
    <x v="11"/>
    <d v="2026-07-20T00:00:00"/>
    <x v="0"/>
    <n v="2842"/>
    <x v="0"/>
    <n v="46"/>
    <s v="M,I"/>
    <s v="burl/swelling"/>
    <s v="2842_1"/>
    <s v="Baldwin"/>
    <x v="1"/>
    <s v="Acer"/>
    <s v="saccharum"/>
    <s v="Sapindaceae"/>
    <x v="1"/>
  </r>
  <r>
    <x v="11"/>
    <d v="2026-07-20T00:00:00"/>
    <x v="0"/>
    <n v="2842"/>
    <x v="1"/>
    <n v="5"/>
    <s v="M,W,I"/>
    <s v="knots on trunk, curved, weighed down by tree"/>
    <s v="2842_2"/>
    <s v="Baldwin"/>
    <x v="1"/>
    <s v="Acer"/>
    <s v="saccharum"/>
    <s v="Sapindaceae"/>
    <x v="2"/>
  </r>
  <r>
    <x v="11"/>
    <d v="2026-07-20T00:00:00"/>
    <x v="0"/>
    <n v="2843"/>
    <x v="0"/>
    <n v="66.400000000000006"/>
    <s v="N/A"/>
    <s v="prominent bark texture"/>
    <s v="2843_1"/>
    <s v="Baldwin"/>
    <x v="1"/>
    <s v="Acer"/>
    <s v="saccharum"/>
    <s v="Sapindaceae"/>
    <x v="4"/>
  </r>
  <r>
    <x v="11"/>
    <d v="2026-07-20T00:00:00"/>
    <x v="0"/>
    <n v="2844"/>
    <x v="0"/>
    <n v="13.9"/>
    <s v="N/A"/>
    <m/>
    <s v="2844_1"/>
    <s v="Baldwin"/>
    <x v="1"/>
    <s v="Acer"/>
    <s v="saccharum"/>
    <s v="Sapindaceae"/>
    <x v="3"/>
  </r>
  <r>
    <x v="11"/>
    <d v="2026-07-20T00:00:00"/>
    <x v="0"/>
    <n v="2845"/>
    <x v="0"/>
    <n v="7.6"/>
    <s v="L"/>
    <m/>
    <s v="2845_1"/>
    <s v="Baldwin"/>
    <x v="1"/>
    <s v="Acer"/>
    <s v="saccharum"/>
    <s v="Sapindaceae"/>
    <x v="5"/>
  </r>
  <r>
    <x v="11"/>
    <d v="2026-07-20T00:00:00"/>
    <x v="0"/>
    <n v="2846"/>
    <x v="0"/>
    <n v="5.6"/>
    <s v="W"/>
    <s v="soft tape"/>
    <s v="2846_1"/>
    <s v="Baldwin"/>
    <x v="1"/>
    <s v="Acer"/>
    <s v="saccharum"/>
    <s v="Sapindaceae"/>
    <x v="5"/>
  </r>
  <r>
    <x v="11"/>
    <d v="2026-07-20T00:00:00"/>
    <x v="0"/>
    <n v="2847"/>
    <x v="0"/>
    <n v="3.8"/>
    <s v="A"/>
    <s v="POM at 1.28m, knot, BB"/>
    <s v="2847_1"/>
    <s v="Baldwin"/>
    <x v="1"/>
    <s v="Acer"/>
    <s v="saccharum"/>
    <s v="Sapindaceae"/>
    <x v="2"/>
  </r>
  <r>
    <x v="11"/>
    <d v="2026-07-20T00:00:00"/>
    <x v="2"/>
    <n v="2848"/>
    <x v="0"/>
    <n v="59.5"/>
    <s v="L,I"/>
    <s v="trunk irregular, many divots"/>
    <s v="2848_1"/>
    <s v="Baldwin"/>
    <x v="1"/>
    <s v="Acer"/>
    <s v="rubrum"/>
    <s v="Sapindaceae"/>
    <x v="4"/>
  </r>
  <r>
    <x v="11"/>
    <d v="2026-07-20T00:00:00"/>
    <x v="0"/>
    <n v="2849"/>
    <x v="0"/>
    <n v="4.9000000000000004"/>
    <s v="I,L"/>
    <s v="knots on all of trunk, slight lean"/>
    <s v="2849_1"/>
    <s v="Baldwin"/>
    <x v="1"/>
    <s v="Acer"/>
    <s v="saccharum"/>
    <s v="Sapindaceae"/>
    <x v="2"/>
  </r>
  <r>
    <x v="11"/>
    <d v="2026-07-20T00:00:00"/>
    <x v="0"/>
    <n v="2850"/>
    <x v="0"/>
    <n v="5.3"/>
    <s v="L"/>
    <s v="slight lean"/>
    <s v="2850_1"/>
    <s v="Baldwin"/>
    <x v="1"/>
    <s v="Acer"/>
    <s v="saccharum"/>
    <s v="Sapindaceae"/>
    <x v="5"/>
  </r>
  <r>
    <x v="11"/>
    <d v="2026-07-20T00:00:00"/>
    <x v="0"/>
    <n v="2851"/>
    <x v="0"/>
    <n v="2.1"/>
    <s v="L, A"/>
    <s v="POM at 1.265, knot"/>
    <s v="2851_1"/>
    <s v="Baldwin"/>
    <x v="1"/>
    <s v="Acer"/>
    <s v="saccharum"/>
    <s v="Sapindaceae"/>
    <x v="2"/>
  </r>
  <r>
    <x v="11"/>
    <d v="2026-07-20T00:00:00"/>
    <x v="0"/>
    <n v="2852"/>
    <x v="0"/>
    <n v="1.8"/>
    <s v="W"/>
    <s v="stick used"/>
    <s v="2852_1"/>
    <s v="Baldwin"/>
    <x v="1"/>
    <s v="Acer"/>
    <s v="saccharum"/>
    <s v="Sapindaceae"/>
    <x v="2"/>
  </r>
  <r>
    <x v="11"/>
    <d v="2026-07-20T00:00:00"/>
    <x v="2"/>
    <n v="2853"/>
    <x v="0"/>
    <n v="15.3"/>
    <s v="A"/>
    <s v="POM at 1.245, knots"/>
    <s v="2853_1"/>
    <s v="Baldwin"/>
    <x v="1"/>
    <s v="Acer"/>
    <s v="rubrum"/>
    <s v="Sapindaceae"/>
    <x v="3"/>
  </r>
  <r>
    <x v="11"/>
    <d v="2026-07-20T00:00:00"/>
    <x v="0"/>
    <n v="2854"/>
    <x v="0"/>
    <n v="1.3"/>
    <s v="W, L"/>
    <s v="soft tape"/>
    <s v="2854_1"/>
    <s v="Baldwin"/>
    <x v="1"/>
    <s v="Acer"/>
    <s v="saccharum"/>
    <s v="Sapindaceae"/>
    <x v="2"/>
  </r>
  <r>
    <x v="11"/>
    <d v="2026-07-20T00:00:00"/>
    <x v="2"/>
    <n v="2855"/>
    <x v="0"/>
    <n v="52.1"/>
    <s v="I"/>
    <s v="soft tape, gnarled bark"/>
    <s v="2855_1"/>
    <s v="Baldwin"/>
    <x v="1"/>
    <s v="Acer"/>
    <s v="rubrum"/>
    <s v="Sapindaceae"/>
    <x v="4"/>
  </r>
  <r>
    <x v="11"/>
    <d v="2026-07-20T00:00:00"/>
    <x v="0"/>
    <n v="2856"/>
    <x v="0"/>
    <n v="1.9"/>
    <s v="W"/>
    <s v="soft tape"/>
    <s v="2856_1"/>
    <s v="Baldwin"/>
    <x v="1"/>
    <s v="Acer"/>
    <s v="saccharum"/>
    <s v="Sapindaceae"/>
    <x v="2"/>
  </r>
  <r>
    <x v="11"/>
    <d v="2026-07-20T00:00:00"/>
    <x v="2"/>
    <n v="2857"/>
    <x v="0"/>
    <n v="12.9"/>
    <s v="N/A"/>
    <m/>
    <s v="2857_1"/>
    <s v="Baldwin"/>
    <x v="1"/>
    <s v="Acer"/>
    <s v="rubrum"/>
    <s v="Sapindaceae"/>
    <x v="3"/>
  </r>
  <r>
    <x v="11"/>
    <d v="2026-07-20T00:00:00"/>
    <x v="2"/>
    <n v="2858"/>
    <x v="0"/>
    <n v="51.6"/>
    <s v="I"/>
    <s v="trunk slightly irregular, divots"/>
    <s v="2858_1"/>
    <s v="Baldwin"/>
    <x v="1"/>
    <s v="Acer"/>
    <s v="rubrum"/>
    <s v="Sapindaceae"/>
    <x v="4"/>
  </r>
  <r>
    <x v="11"/>
    <d v="2026-07-20T00:00:00"/>
    <x v="0"/>
    <n v="2859"/>
    <x v="0"/>
    <n v="2.7"/>
    <s v="W"/>
    <s v="soft tape"/>
    <s v="2859_1"/>
    <s v="Baldwin"/>
    <x v="1"/>
    <s v="Acer"/>
    <s v="saccharum"/>
    <s v="Sapindaceae"/>
    <x v="2"/>
  </r>
  <r>
    <x v="11"/>
    <d v="2026-07-20T00:00:00"/>
    <x v="1"/>
    <n v="2860"/>
    <x v="0"/>
    <n v="36.1"/>
    <s v="W"/>
    <s v="POM stick used, poor health, thin canopy"/>
    <s v="2860_1"/>
    <s v="Baldwin"/>
    <x v="1"/>
    <s v="Prunus"/>
    <s v="serotina"/>
    <s v="Rosaceae"/>
    <x v="0"/>
  </r>
  <r>
    <x v="11"/>
    <d v="2026-07-20T00:00:00"/>
    <x v="0"/>
    <n v="2861"/>
    <x v="0"/>
    <n v="2.9"/>
    <s v="N/A"/>
    <m/>
    <s v="2861_1"/>
    <s v="Baldwin"/>
    <x v="1"/>
    <s v="Acer"/>
    <s v="saccharum"/>
    <s v="Sapindaceae"/>
    <x v="2"/>
  </r>
  <r>
    <x v="11"/>
    <d v="2026-07-20T00:00:00"/>
    <x v="0"/>
    <n v="2862"/>
    <x v="0"/>
    <n v="9"/>
    <s v="N/A"/>
    <m/>
    <s v="2862_1"/>
    <s v="Baldwin"/>
    <x v="1"/>
    <s v="Acer"/>
    <s v="saccharum"/>
    <s v="Sapindaceae"/>
    <x v="5"/>
  </r>
  <r>
    <x v="11"/>
    <d v="2026-07-20T00:00:00"/>
    <x v="0"/>
    <n v="2863"/>
    <x v="0"/>
    <n v="3.2"/>
    <s v="N/A"/>
    <m/>
    <s v="2863_1"/>
    <s v="Baldwin"/>
    <x v="1"/>
    <s v="Acer"/>
    <s v="saccharum"/>
    <s v="Sapindaceae"/>
    <x v="2"/>
  </r>
  <r>
    <x v="11"/>
    <d v="2026-07-20T00:00:00"/>
    <x v="0"/>
    <n v="2864"/>
    <x v="0"/>
    <n v="1.6"/>
    <s v="N/A"/>
    <m/>
    <s v="2864_1"/>
    <s v="Baldwin"/>
    <x v="1"/>
    <s v="Acer"/>
    <s v="saccharum"/>
    <s v="Sapindaceae"/>
    <x v="2"/>
  </r>
  <r>
    <x v="11"/>
    <d v="2026-07-20T00:00:00"/>
    <x v="0"/>
    <n v="2865"/>
    <x v="0"/>
    <n v="15"/>
    <s v="A"/>
    <s v="POM at 1.26m, knot"/>
    <s v="2865_1"/>
    <s v="Baldwin"/>
    <x v="1"/>
    <s v="Acer"/>
    <s v="saccharum"/>
    <s v="Sapindaceae"/>
    <x v="3"/>
  </r>
  <r>
    <x v="11"/>
    <d v="2026-07-20T00:00:00"/>
    <x v="0"/>
    <n v="2866"/>
    <x v="0"/>
    <n v="6.2"/>
    <s v="A"/>
    <s v="POM at 1.27m, knot"/>
    <s v="2866_1"/>
    <s v="Baldwin"/>
    <x v="1"/>
    <s v="Acer"/>
    <s v="saccharum"/>
    <s v="Sapindaceae"/>
    <x v="5"/>
  </r>
  <r>
    <x v="11"/>
    <d v="2026-07-20T00:00:00"/>
    <x v="2"/>
    <n v="2867"/>
    <x v="0"/>
    <n v="22.7"/>
    <s v="N/A"/>
    <m/>
    <s v="2867_1"/>
    <s v="Baldwin"/>
    <x v="1"/>
    <s v="Acer"/>
    <s v="rubrum"/>
    <s v="Sapindaceae"/>
    <x v="0"/>
  </r>
  <r>
    <x v="11"/>
    <d v="2026-07-20T00:00:00"/>
    <x v="0"/>
    <n v="2868"/>
    <x v="0"/>
    <n v="3.2"/>
    <s v="L"/>
    <m/>
    <s v="2868_1"/>
    <s v="Baldwin"/>
    <x v="1"/>
    <s v="Acer"/>
    <s v="saccharum"/>
    <s v="Sapindaceae"/>
    <x v="2"/>
  </r>
  <r>
    <x v="11"/>
    <d v="2026-07-20T00:00:00"/>
    <x v="2"/>
    <n v="2869"/>
    <x v="0"/>
    <n v="62.9"/>
    <s v="N/A"/>
    <m/>
    <s v="2869_1"/>
    <s v="Baldwin"/>
    <x v="1"/>
    <s v="Acer"/>
    <s v="rubrum"/>
    <s v="Sapindaceae"/>
    <x v="4"/>
  </r>
  <r>
    <x v="11"/>
    <d v="2026-07-20T00:00:00"/>
    <x v="0"/>
    <n v="2870"/>
    <x v="0"/>
    <n v="4.5"/>
    <s v="N/A"/>
    <m/>
    <s v="2870_1"/>
    <s v="Baldwin"/>
    <x v="1"/>
    <s v="Acer"/>
    <s v="saccharum"/>
    <s v="Sapindaceae"/>
    <x v="2"/>
  </r>
  <r>
    <x v="11"/>
    <d v="2026-07-20T00:00:00"/>
    <x v="0"/>
    <n v="2871"/>
    <x v="0"/>
    <n v="4.3"/>
    <s v="B, L"/>
    <s v="slight lean"/>
    <s v="2871_1"/>
    <s v="Baldwin"/>
    <x v="1"/>
    <s v="Acer"/>
    <s v="saccharum"/>
    <s v="Sapindaceae"/>
    <x v="2"/>
  </r>
  <r>
    <x v="11"/>
    <d v="2026-07-20T00:00:00"/>
    <x v="0"/>
    <n v="2872"/>
    <x v="0"/>
    <n v="1.1000000000000001"/>
    <s v="N/A"/>
    <m/>
    <s v="2872_1"/>
    <s v="Baldwin"/>
    <x v="1"/>
    <s v="Acer"/>
    <s v="saccharum"/>
    <s v="Sapindaceae"/>
    <x v="2"/>
  </r>
  <r>
    <x v="11"/>
    <d v="2026-07-20T00:00:00"/>
    <x v="16"/>
    <n v="2873"/>
    <x v="0"/>
    <n v="47.2"/>
    <s v="N/A"/>
    <m/>
    <s v="2873_1"/>
    <s v="Baldwin"/>
    <x v="1"/>
    <s v="Carya"/>
    <s v="cordiformis"/>
    <s v="Juglandaceae"/>
    <x v="1"/>
  </r>
  <r>
    <x v="11"/>
    <d v="2026-07-20T00:00:00"/>
    <x v="2"/>
    <n v="2874"/>
    <x v="0"/>
    <n v="35.9"/>
    <s v="N/A"/>
    <m/>
    <s v="2874_1"/>
    <s v="Baldwin"/>
    <x v="1"/>
    <s v="Acer"/>
    <s v="rubrum"/>
    <s v="Sapindaceae"/>
    <x v="0"/>
  </r>
  <r>
    <x v="11"/>
    <d v="2026-07-20T00:00:00"/>
    <x v="2"/>
    <n v="2875"/>
    <x v="0"/>
    <n v="23"/>
    <s v="N/A"/>
    <m/>
    <s v="2875_1"/>
    <s v="Baldwin"/>
    <x v="1"/>
    <s v="Acer"/>
    <s v="rubrum"/>
    <s v="Sapindaceae"/>
    <x v="0"/>
  </r>
  <r>
    <x v="11"/>
    <d v="2026-07-20T00:00:00"/>
    <x v="0"/>
    <n v="2876"/>
    <x v="0"/>
    <n v="4.3"/>
    <s v="N/A"/>
    <m/>
    <s v="2876_1"/>
    <s v="Baldwin"/>
    <x v="1"/>
    <s v="Acer"/>
    <s v="saccharum"/>
    <s v="Sapindaceae"/>
    <x v="2"/>
  </r>
  <r>
    <x v="11"/>
    <d v="2026-07-20T00:00:00"/>
    <x v="2"/>
    <n v="2877"/>
    <x v="0"/>
    <n v="74.3"/>
    <s v="I, L"/>
    <s v="peeling bark"/>
    <s v="2877_1"/>
    <s v="Baldwin"/>
    <x v="1"/>
    <s v="Acer"/>
    <s v="rubrum"/>
    <s v="Sapindaceae"/>
    <x v="4"/>
  </r>
  <r>
    <x v="11"/>
    <d v="2026-07-20T00:00:00"/>
    <x v="0"/>
    <n v="2878"/>
    <x v="0"/>
    <n v="3.5"/>
    <s v="L"/>
    <s v="slight curve"/>
    <s v="2878_1"/>
    <s v="Baldwin"/>
    <x v="1"/>
    <s v="Acer"/>
    <s v="saccharum"/>
    <s v="Sapindaceae"/>
    <x v="2"/>
  </r>
  <r>
    <x v="11"/>
    <d v="2026-07-20T00:00:00"/>
    <x v="0"/>
    <n v="2879"/>
    <x v="0"/>
    <n v="5.7"/>
    <s v="A"/>
    <s v="POM at 1.21m, knots"/>
    <s v="2879_1"/>
    <s v="Baldwin"/>
    <x v="1"/>
    <s v="Acer"/>
    <s v="saccharum"/>
    <s v="Sapindaceae"/>
    <x v="5"/>
  </r>
  <r>
    <x v="11"/>
    <d v="2026-07-20T00:00:00"/>
    <x v="0"/>
    <n v="2880"/>
    <x v="0"/>
    <n v="5.9"/>
    <s v="L"/>
    <s v="poor health, slight curve and lean"/>
    <s v="2880_1"/>
    <s v="Baldwin"/>
    <x v="1"/>
    <s v="Acer"/>
    <s v="saccharum"/>
    <s v="Sapindaceae"/>
    <x v="5"/>
  </r>
  <r>
    <x v="11"/>
    <d v="2026-07-20T00:00:00"/>
    <x v="0"/>
    <n v="2881"/>
    <x v="0"/>
    <n v="3.9"/>
    <s v="A"/>
    <s v="POM at 1.28m, knot"/>
    <s v="2881_1"/>
    <s v="Baldwin"/>
    <x v="1"/>
    <s v="Acer"/>
    <s v="saccharum"/>
    <s v="Sapindaceae"/>
    <x v="2"/>
  </r>
  <r>
    <x v="11"/>
    <d v="2026-07-20T00:00:00"/>
    <x v="0"/>
    <n v="2882"/>
    <x v="0"/>
    <n v="23.6"/>
    <s v="I"/>
    <s v="trunk is irregular"/>
    <s v="2882_1"/>
    <s v="Baldwin"/>
    <x v="1"/>
    <s v="Acer"/>
    <s v="saccharum"/>
    <s v="Sapindaceae"/>
    <x v="0"/>
  </r>
  <r>
    <x v="11"/>
    <d v="2026-07-20T00:00:00"/>
    <x v="0"/>
    <n v="2883"/>
    <x v="0"/>
    <n v="2.1"/>
    <s v="N/A"/>
    <m/>
    <s v="2883_1"/>
    <s v="Baldwin"/>
    <x v="1"/>
    <s v="Acer"/>
    <s v="saccharum"/>
    <s v="Sapindaceae"/>
    <x v="2"/>
  </r>
  <r>
    <x v="11"/>
    <d v="2026-07-20T00:00:00"/>
    <x v="0"/>
    <n v="2884"/>
    <x v="0"/>
    <n v="2.1"/>
    <s v="L, A"/>
    <s v="POM at 1.29m, knot"/>
    <s v="2884_1"/>
    <s v="Baldwin"/>
    <x v="1"/>
    <s v="Acer"/>
    <s v="saccharum"/>
    <s v="Sapindaceae"/>
    <x v="2"/>
  </r>
  <r>
    <x v="11"/>
    <d v="2026-07-20T00:00:00"/>
    <x v="0"/>
    <n v="2885"/>
    <x v="0"/>
    <n v="4.4000000000000004"/>
    <s v="W"/>
    <s v="slightly curved, stick used"/>
    <s v="2885_1"/>
    <s v="Baldwin"/>
    <x v="1"/>
    <s v="Acer"/>
    <s v="saccharum"/>
    <s v="Sapindaceae"/>
    <x v="2"/>
  </r>
  <r>
    <x v="11"/>
    <d v="2026-07-20T00:00:00"/>
    <x v="2"/>
    <n v="2886"/>
    <x v="0"/>
    <n v="8.1999999999999993"/>
    <s v="W"/>
    <s v="curved, stick used"/>
    <s v="2886_1"/>
    <s v="Baldwin"/>
    <x v="1"/>
    <s v="Acer"/>
    <s v="rubrum"/>
    <s v="Sapindaceae"/>
    <x v="5"/>
  </r>
  <r>
    <x v="11"/>
    <d v="2026-07-20T00:00:00"/>
    <x v="0"/>
    <n v="2887"/>
    <x v="0"/>
    <n v="3.3"/>
    <s v="B, A"/>
    <s v="POM at 1.245m, knots"/>
    <s v="2887_1"/>
    <s v="Baldwin"/>
    <x v="1"/>
    <s v="Acer"/>
    <s v="saccharum"/>
    <s v="Sapindaceae"/>
    <x v="2"/>
  </r>
  <r>
    <x v="11"/>
    <d v="2026-07-20T00:00:00"/>
    <x v="0"/>
    <n v="2888"/>
    <x v="0"/>
    <n v="5.6"/>
    <s v="N/A"/>
    <m/>
    <s v="2888_1"/>
    <s v="Baldwin"/>
    <x v="1"/>
    <s v="Acer"/>
    <s v="saccharum"/>
    <s v="Sapindaceae"/>
    <x v="5"/>
  </r>
  <r>
    <x v="11"/>
    <d v="2026-07-20T00:00:00"/>
    <x v="0"/>
    <n v="2889"/>
    <x v="0"/>
    <n v="4.5999999999999996"/>
    <s v="W, A"/>
    <s v="POM at 1.26, knots/swelling, soft tape"/>
    <s v="2889_1"/>
    <s v="Baldwin"/>
    <x v="1"/>
    <s v="Acer"/>
    <s v="saccharum"/>
    <s v="Sapindaceae"/>
    <x v="2"/>
  </r>
  <r>
    <x v="11"/>
    <d v="2026-07-20T00:00:00"/>
    <x v="0"/>
    <n v="2890"/>
    <x v="0"/>
    <n v="3.7"/>
    <s v="W"/>
    <s v="soft tape"/>
    <s v="2890_1"/>
    <s v="Baldwin"/>
    <x v="1"/>
    <s v="Acer"/>
    <s v="saccharum"/>
    <s v="Sapindaceae"/>
    <x v="2"/>
  </r>
  <r>
    <x v="11"/>
    <d v="2026-07-20T00:00:00"/>
    <x v="0"/>
    <n v="2891"/>
    <x v="0"/>
    <n v="8.4"/>
    <s v="L, A"/>
    <s v="POM at 1.24m, knot/swelling"/>
    <s v="2891_1"/>
    <s v="Baldwin"/>
    <x v="1"/>
    <s v="Acer"/>
    <s v="saccharum"/>
    <s v="Sapindaceae"/>
    <x v="5"/>
  </r>
  <r>
    <x v="11"/>
    <d v="2026-07-20T00:00:00"/>
    <x v="0"/>
    <n v="2892"/>
    <x v="0"/>
    <n v="8.6"/>
    <s v="L, A"/>
    <s v="POM at 1.28m, knot"/>
    <s v="2892_1"/>
    <s v="Baldwin"/>
    <x v="1"/>
    <s v="Acer"/>
    <s v="saccharum"/>
    <s v="Sapindaceae"/>
    <x v="5"/>
  </r>
  <r>
    <x v="11"/>
    <d v="2026-07-20T00:00:00"/>
    <x v="0"/>
    <n v="2893"/>
    <x v="0"/>
    <n v="16.899999999999999"/>
    <s v="W"/>
    <s v="soft tape"/>
    <s v="2893_1"/>
    <s v="Baldwin"/>
    <x v="1"/>
    <s v="Acer"/>
    <s v="saccharum"/>
    <s v="Sapindaceae"/>
    <x v="3"/>
  </r>
  <r>
    <x v="11"/>
    <d v="2026-07-20T00:00:00"/>
    <x v="0"/>
    <n v="2894"/>
    <x v="0"/>
    <n v="1.6"/>
    <s v="L, A"/>
    <s v="POM at 1.28m, knot/swelling"/>
    <s v="2894_1"/>
    <s v="Baldwin"/>
    <x v="1"/>
    <s v="Acer"/>
    <s v="saccharum"/>
    <s v="Sapindaceae"/>
    <x v="2"/>
  </r>
  <r>
    <x v="11"/>
    <d v="2026-07-20T00:00:00"/>
    <x v="0"/>
    <n v="2895"/>
    <x v="0"/>
    <n v="56.5"/>
    <s v="L, I"/>
    <s v="splits, peeling bark, irregular shape"/>
    <s v="2895_1"/>
    <s v="Baldwin"/>
    <x v="1"/>
    <s v="Acer"/>
    <s v="saccharum"/>
    <s v="Sapindaceae"/>
    <x v="4"/>
  </r>
  <r>
    <x v="11"/>
    <d v="2026-07-20T00:00:00"/>
    <x v="0"/>
    <n v="2896"/>
    <x v="0"/>
    <n v="2.6"/>
    <s v="N/A"/>
    <m/>
    <s v="2896_1"/>
    <s v="Baldwin"/>
    <x v="1"/>
    <s v="Acer"/>
    <s v="saccharum"/>
    <s v="Sapindaceae"/>
    <x v="2"/>
  </r>
  <r>
    <x v="11"/>
    <d v="2026-07-20T00:00:00"/>
    <x v="0"/>
    <n v="2898"/>
    <x v="0"/>
    <n v="63.5"/>
    <s v="N/A"/>
    <m/>
    <s v="2898_1"/>
    <s v="Baldwin"/>
    <x v="1"/>
    <s v="Acer"/>
    <s v="saccharum"/>
    <s v="Sapindaceae"/>
    <x v="4"/>
  </r>
  <r>
    <x v="11"/>
    <d v="2026-07-20T00:00:00"/>
    <x v="0"/>
    <n v="2899"/>
    <x v="0"/>
    <n v="7"/>
    <s v="L,A"/>
    <s v="POM at 1.19m, knots"/>
    <s v="2899_1"/>
    <s v="Baldwin"/>
    <x v="1"/>
    <s v="Acer"/>
    <s v="saccharum"/>
    <s v="Sapindaceae"/>
    <x v="5"/>
  </r>
  <r>
    <x v="11"/>
    <d v="2026-07-20T00:00:00"/>
    <x v="22"/>
    <n v="2900"/>
    <x v="0"/>
    <n v="20.399999999999999"/>
    <s v="M,L"/>
    <m/>
    <s v="2900_1"/>
    <s v="Baldwin"/>
    <x v="1"/>
    <s v="Tsuga"/>
    <s v="canadensis"/>
    <s v="Pinaceae"/>
    <x v="0"/>
  </r>
  <r>
    <x v="11"/>
    <d v="2026-07-20T00:00:00"/>
    <x v="22"/>
    <n v="2900"/>
    <x v="1"/>
    <n v="19.600000000000001"/>
    <s v="M,L"/>
    <m/>
    <s v="2900_2"/>
    <s v="Baldwin"/>
    <x v="1"/>
    <s v="Tsuga"/>
    <s v="canadensis"/>
    <s v="Pinaceae"/>
    <x v="3"/>
  </r>
  <r>
    <x v="11"/>
    <d v="2026-07-20T00:00:00"/>
    <x v="22"/>
    <n v="2901"/>
    <x v="0"/>
    <n v="42.5"/>
    <s v="L"/>
    <m/>
    <s v="2901_1"/>
    <s v="Baldwin"/>
    <x v="1"/>
    <s v="Tsuga"/>
    <s v="canadensis"/>
    <s v="Pinaceae"/>
    <x v="1"/>
  </r>
  <r>
    <x v="11"/>
    <d v="2026-07-20T00:00:00"/>
    <x v="0"/>
    <n v="2902"/>
    <x v="0"/>
    <n v="50.5"/>
    <s v="N/A"/>
    <m/>
    <s v="2902_1"/>
    <s v="Baldwin"/>
    <x v="1"/>
    <s v="Acer"/>
    <s v="saccharum"/>
    <s v="Sapindaceae"/>
    <x v="4"/>
  </r>
  <r>
    <x v="11"/>
    <d v="2026-07-20T00:00:00"/>
    <x v="0"/>
    <n v="2903"/>
    <x v="0"/>
    <n v="18"/>
    <s v="N/A"/>
    <m/>
    <s v="2903_1"/>
    <s v="Baldwin"/>
    <x v="1"/>
    <s v="Acer"/>
    <s v="saccharum"/>
    <s v="Sapindaceae"/>
    <x v="3"/>
  </r>
  <r>
    <x v="11"/>
    <d v="2026-07-20T00:00:00"/>
    <x v="0"/>
    <n v="2904"/>
    <x v="0"/>
    <n v="3.4"/>
    <s v="W"/>
    <m/>
    <s v="2904_1"/>
    <s v="Baldwin"/>
    <x v="1"/>
    <s v="Acer"/>
    <s v="saccharum"/>
    <s v="Sapindaceae"/>
    <x v="2"/>
  </r>
  <r>
    <x v="11"/>
    <d v="2026-07-20T00:00:00"/>
    <x v="0"/>
    <n v="2905"/>
    <x v="0"/>
    <n v="6.4"/>
    <s v="W"/>
    <m/>
    <s v="2905_1"/>
    <s v="Baldwin"/>
    <x v="1"/>
    <s v="Acer"/>
    <s v="saccharum"/>
    <s v="Sapindaceae"/>
    <x v="5"/>
  </r>
  <r>
    <x v="11"/>
    <d v="2026-07-20T00:00:00"/>
    <x v="2"/>
    <n v="2906"/>
    <x v="0"/>
    <n v="5.8"/>
    <s v="X,L"/>
    <s v="main stem split near base, soft tape, poor health"/>
    <s v="2906_1"/>
    <s v="Baldwin"/>
    <x v="1"/>
    <s v="Acer"/>
    <s v="rubrum"/>
    <s v="Sapindaceae"/>
    <x v="5"/>
  </r>
  <r>
    <x v="11"/>
    <d v="2026-07-20T00:00:00"/>
    <x v="0"/>
    <n v="2907"/>
    <x v="0"/>
    <n v="6.4"/>
    <s v="A"/>
    <s v="POM at 1.24m, knots"/>
    <s v="2907_1"/>
    <s v="Baldwin"/>
    <x v="1"/>
    <s v="Acer"/>
    <s v="saccharum"/>
    <s v="Sapindaceae"/>
    <x v="5"/>
  </r>
  <r>
    <x v="11"/>
    <d v="2026-07-20T00:00:00"/>
    <x v="7"/>
    <n v="2908"/>
    <x v="0"/>
    <n v="59.6"/>
    <s v="N/A"/>
    <s v="poor health, thin canopy"/>
    <s v="2908_1"/>
    <s v="Baldwin"/>
    <x v="1"/>
    <s v="Fagus"/>
    <s v="grandifolia"/>
    <s v="Fagaceae"/>
    <x v="4"/>
  </r>
  <r>
    <x v="11"/>
    <d v="2026-07-20T00:00:00"/>
    <x v="0"/>
    <n v="2909"/>
    <x v="0"/>
    <n v="9.1999999999999993"/>
    <s v="N/A"/>
    <m/>
    <s v="2909_1"/>
    <s v="Baldwin"/>
    <x v="1"/>
    <s v="Acer"/>
    <s v="saccharum"/>
    <s v="Sapindaceae"/>
    <x v="5"/>
  </r>
  <r>
    <x v="11"/>
    <d v="2026-07-20T00:00:00"/>
    <x v="0"/>
    <n v="2910"/>
    <x v="0"/>
    <n v="18.399999999999999"/>
    <s v="W,I"/>
    <s v="slightly wavy, swelling, POM stick used"/>
    <s v="2910_1"/>
    <s v="Baldwin"/>
    <x v="1"/>
    <s v="Acer"/>
    <s v="saccharum"/>
    <s v="Sapindaceae"/>
    <x v="3"/>
  </r>
  <r>
    <x v="11"/>
    <d v="2026-07-20T00:00:00"/>
    <x v="0"/>
    <n v="2911"/>
    <x v="0"/>
    <n v="4.4000000000000004"/>
    <s v="A"/>
    <s v="POM at 1.28m, knot"/>
    <s v="2911_1"/>
    <s v="Baldwin"/>
    <x v="1"/>
    <s v="Acer"/>
    <s v="saccharum"/>
    <s v="Sapindaceae"/>
    <x v="2"/>
  </r>
  <r>
    <x v="11"/>
    <d v="2026-07-20T00:00:00"/>
    <x v="0"/>
    <n v="2912"/>
    <x v="0"/>
    <n v="2.4"/>
    <s v="L"/>
    <s v="slight lean"/>
    <s v="2912_1"/>
    <s v="Baldwin"/>
    <x v="1"/>
    <s v="Acer"/>
    <s v="saccharum"/>
    <s v="Sapindaceae"/>
    <x v="2"/>
  </r>
  <r>
    <x v="11"/>
    <d v="2026-07-20T00:00:00"/>
    <x v="0"/>
    <n v="2913"/>
    <x v="0"/>
    <n v="6.3"/>
    <s v="L,A"/>
    <s v="POM at 1.24m, knots"/>
    <s v="2913_1"/>
    <s v="Baldwin"/>
    <x v="1"/>
    <s v="Acer"/>
    <s v="saccharum"/>
    <s v="Sapindaceae"/>
    <x v="5"/>
  </r>
  <r>
    <x v="11"/>
    <d v="2026-07-20T00:00:00"/>
    <x v="0"/>
    <n v="2914"/>
    <x v="0"/>
    <n v="4.8"/>
    <s v="L,A"/>
    <s v="POM at 1.28m, knot"/>
    <s v="2914_1"/>
    <s v="Baldwin"/>
    <x v="1"/>
    <s v="Acer"/>
    <s v="saccharum"/>
    <s v="Sapindaceae"/>
    <x v="2"/>
  </r>
  <r>
    <x v="11"/>
    <d v="2026-07-20T00:00:00"/>
    <x v="0"/>
    <n v="2915"/>
    <x v="0"/>
    <n v="7"/>
    <s v="L"/>
    <s v="slight lean"/>
    <s v="2915_1"/>
    <s v="Baldwin"/>
    <x v="1"/>
    <s v="Acer"/>
    <s v="saccharum"/>
    <s v="Sapindaceae"/>
    <x v="5"/>
  </r>
  <r>
    <x v="11"/>
    <d v="2026-07-20T00:00:00"/>
    <x v="0"/>
    <n v="2916"/>
    <x v="0"/>
    <n v="2.7"/>
    <s v="A"/>
    <s v="POM at 1.27m, knot"/>
    <s v="2916_1"/>
    <s v="Baldwin"/>
    <x v="1"/>
    <s v="Acer"/>
    <s v="saccharum"/>
    <s v="Sapindaceae"/>
    <x v="2"/>
  </r>
  <r>
    <x v="11"/>
    <d v="2026-07-20T00:00:00"/>
    <x v="0"/>
    <n v="2917"/>
    <x v="0"/>
    <n v="3.2"/>
    <s v="N/A"/>
    <s v="1 cm dead branch below POM"/>
    <s v="2917_1"/>
    <s v="Baldwin"/>
    <x v="1"/>
    <s v="Acer"/>
    <s v="saccharum"/>
    <s v="Sapindaceae"/>
    <x v="2"/>
  </r>
  <r>
    <x v="11"/>
    <d v="2026-07-20T00:00:00"/>
    <x v="0"/>
    <n v="2918"/>
    <x v="0"/>
    <n v="16.5"/>
    <s v="A"/>
    <m/>
    <s v="2918_1"/>
    <s v="Baldwin"/>
    <x v="1"/>
    <s v="Acer"/>
    <s v="saccharum"/>
    <s v="Sapindaceae"/>
    <x v="3"/>
  </r>
  <r>
    <x v="11"/>
    <d v="2026-07-20T00:00:00"/>
    <x v="0"/>
    <n v="2919"/>
    <x v="0"/>
    <n v="14.1"/>
    <s v="N/A"/>
    <m/>
    <s v="2919_1"/>
    <s v="Baldwin"/>
    <x v="1"/>
    <s v="Acer"/>
    <s v="saccharum"/>
    <s v="Sapindaceae"/>
    <x v="3"/>
  </r>
  <r>
    <x v="11"/>
    <d v="2026-07-20T00:00:00"/>
    <x v="0"/>
    <n v="2920"/>
    <x v="0"/>
    <n v="3.8"/>
    <s v="W"/>
    <s v="POM stick used"/>
    <s v="2920_1"/>
    <s v="Baldwin"/>
    <x v="1"/>
    <s v="Acer"/>
    <s v="saccharum"/>
    <s v="Sapindaceae"/>
    <x v="2"/>
  </r>
  <r>
    <x v="11"/>
    <d v="2026-07-20T00:00:00"/>
    <x v="0"/>
    <n v="2921"/>
    <x v="0"/>
    <n v="6.8"/>
    <s v="A"/>
    <s v="POM at 1.22m, knots"/>
    <s v="2921_1"/>
    <s v="Baldwin"/>
    <x v="1"/>
    <s v="Acer"/>
    <s v="saccharum"/>
    <s v="Sapindaceae"/>
    <x v="5"/>
  </r>
  <r>
    <x v="11"/>
    <d v="2026-07-20T00:00:00"/>
    <x v="0"/>
    <n v="2922"/>
    <x v="0"/>
    <n v="2.5"/>
    <s v="A"/>
    <s v="POM at 1.25m, branching above POM/bark texture"/>
    <s v="2922_1"/>
    <s v="Baldwin"/>
    <x v="1"/>
    <s v="Acer"/>
    <s v="saccharum"/>
    <s v="Sapindaceae"/>
    <x v="2"/>
  </r>
  <r>
    <x v="11"/>
    <d v="2026-07-20T00:00:00"/>
    <x v="0"/>
    <n v="2923"/>
    <x v="0"/>
    <n v="7.9"/>
    <s v="L"/>
    <m/>
    <s v="2923_1"/>
    <s v="Baldwin"/>
    <x v="1"/>
    <s v="Acer"/>
    <s v="saccharum"/>
    <s v="Sapindaceae"/>
    <x v="5"/>
  </r>
  <r>
    <x v="11"/>
    <d v="2026-07-20T00:00:00"/>
    <x v="0"/>
    <n v="2924"/>
    <x v="0"/>
    <n v="5.8"/>
    <s v="L"/>
    <m/>
    <s v="2924_1"/>
    <s v="Baldwin"/>
    <x v="1"/>
    <s v="Acer"/>
    <s v="saccharum"/>
    <s v="Sapindaceae"/>
    <x v="5"/>
  </r>
  <r>
    <x v="11"/>
    <d v="2026-07-20T00:00:00"/>
    <x v="8"/>
    <n v="2925"/>
    <x v="0"/>
    <n v="3.1"/>
    <s v="M,L,A"/>
    <s v="soft tape, POM at 1.26m"/>
    <s v="2925_1"/>
    <s v="Baldwin"/>
    <x v="1"/>
    <s v="Ostrya"/>
    <s v="viginiana"/>
    <s v="Betulaceae"/>
    <x v="2"/>
  </r>
  <r>
    <x v="11"/>
    <d v="2026-07-20T00:00:00"/>
    <x v="8"/>
    <n v="2925"/>
    <x v="1"/>
    <n v="1.9"/>
    <s v="M,L"/>
    <s v="soft tape"/>
    <s v="2925_2"/>
    <s v="Baldwin"/>
    <x v="1"/>
    <s v="Ostrya"/>
    <s v="viginiana"/>
    <s v="Betulaceae"/>
    <x v="2"/>
  </r>
  <r>
    <x v="11"/>
    <d v="2026-07-20T00:00:00"/>
    <x v="8"/>
    <n v="2926"/>
    <x v="0"/>
    <n v="32.4"/>
    <s v="L,I"/>
    <s v="divots"/>
    <s v="2926_1"/>
    <s v="Baldwin"/>
    <x v="1"/>
    <s v="Ostrya"/>
    <s v="viginiana"/>
    <s v="Betulaceae"/>
    <x v="0"/>
  </r>
  <r>
    <x v="11"/>
    <d v="2026-07-20T00:00:00"/>
    <x v="0"/>
    <n v="2927"/>
    <x v="0"/>
    <n v="6.8"/>
    <s v="M,L"/>
    <m/>
    <s v="2927_1"/>
    <s v="Baldwin"/>
    <x v="1"/>
    <s v="Acer"/>
    <s v="saccharum"/>
    <s v="Sapindaceae"/>
    <x v="5"/>
  </r>
  <r>
    <x v="11"/>
    <d v="2026-07-20T00:00:00"/>
    <x v="0"/>
    <n v="2927"/>
    <x v="1"/>
    <n v="5.7"/>
    <s v="M,L,I"/>
    <s v="knots along trunk"/>
    <s v="2927_2"/>
    <s v="Baldwin"/>
    <x v="1"/>
    <s v="Acer"/>
    <s v="saccharum"/>
    <s v="Sapindaceae"/>
    <x v="5"/>
  </r>
  <r>
    <x v="11"/>
    <d v="2026-07-20T00:00:00"/>
    <x v="2"/>
    <n v="2928"/>
    <x v="0"/>
    <n v="76.400000000000006"/>
    <s v="N/A"/>
    <m/>
    <s v="2928_1"/>
    <s v="Baldwin"/>
    <x v="1"/>
    <s v="Acer"/>
    <s v="rubrum"/>
    <s v="Sapindaceae"/>
    <x v="4"/>
  </r>
  <r>
    <x v="11"/>
    <d v="2026-07-20T00:00:00"/>
    <x v="0"/>
    <n v="2929"/>
    <x v="0"/>
    <n v="4.2"/>
    <s v="N/A"/>
    <m/>
    <s v="2929_1"/>
    <s v="Baldwin"/>
    <x v="1"/>
    <s v="Acer"/>
    <s v="saccharum"/>
    <s v="Sapindaceae"/>
    <x v="2"/>
  </r>
  <r>
    <x v="11"/>
    <d v="2026-07-20T00:00:00"/>
    <x v="8"/>
    <n v="2930"/>
    <x v="0"/>
    <n v="3.4"/>
    <s v="W"/>
    <s v="POM stick used"/>
    <s v="2930_1"/>
    <s v="Baldwin"/>
    <x v="1"/>
    <s v="Ostrya"/>
    <s v="viginiana"/>
    <s v="Betulaceae"/>
    <x v="2"/>
  </r>
  <r>
    <x v="11"/>
    <d v="2026-07-20T00:00:00"/>
    <x v="7"/>
    <n v="2931"/>
    <x v="0"/>
    <n v="3.1"/>
    <s v="W"/>
    <s v="POM stick used, curved"/>
    <s v="2931_1"/>
    <s v="Baldwin"/>
    <x v="1"/>
    <s v="Fagus"/>
    <s v="grandifolia"/>
    <s v="Fagaceae"/>
    <x v="2"/>
  </r>
  <r>
    <x v="11"/>
    <d v="2026-07-20T00:00:00"/>
    <x v="0"/>
    <n v="2932"/>
    <x v="0"/>
    <n v="3.1"/>
    <s v="L,A"/>
    <s v="slight lean, POM at 1.28m, knot"/>
    <s v="2932_1"/>
    <s v="Baldwin"/>
    <x v="1"/>
    <s v="Acer"/>
    <s v="saccharum"/>
    <s v="Sapindaceae"/>
    <x v="2"/>
  </r>
  <r>
    <x v="11"/>
    <d v="2026-07-20T00:00:00"/>
    <x v="6"/>
    <n v="2933"/>
    <x v="0"/>
    <n v="46.1"/>
    <s v="N/A"/>
    <s v="long knot does not stick out past bark"/>
    <s v="2933_1"/>
    <s v="Baldwin"/>
    <x v="1"/>
    <s v="Nyssa"/>
    <s v="sylvatica"/>
    <s v="Nyssaceae"/>
    <x v="1"/>
  </r>
  <r>
    <x v="11"/>
    <d v="2026-07-20T00:00:00"/>
    <x v="0"/>
    <n v="2934"/>
    <x v="0"/>
    <n v="2"/>
    <s v="W,X,A"/>
    <s v="POM at 1.26m, knots/swelling"/>
    <s v="2934_1"/>
    <s v="Baldwin"/>
    <x v="1"/>
    <s v="Acer"/>
    <s v="saccharum"/>
    <s v="Sapindaceae"/>
    <x v="2"/>
  </r>
  <r>
    <x v="11"/>
    <d v="2026-07-20T00:00:00"/>
    <x v="0"/>
    <n v="2935"/>
    <x v="0"/>
    <n v="9.1999999999999993"/>
    <s v="A"/>
    <s v="POM at 1.28m, knot"/>
    <s v="2935_1"/>
    <s v="Baldwin"/>
    <x v="1"/>
    <s v="Acer"/>
    <s v="saccharum"/>
    <s v="Sapindaceae"/>
    <x v="5"/>
  </r>
  <r>
    <x v="11"/>
    <d v="2026-07-20T00:00:00"/>
    <x v="0"/>
    <n v="2936"/>
    <x v="0"/>
    <n v="19.899999999999999"/>
    <s v="L"/>
    <m/>
    <s v="2936_1"/>
    <s v="Baldwin"/>
    <x v="1"/>
    <s v="Acer"/>
    <s v="saccharum"/>
    <s v="Sapindaceae"/>
    <x v="3"/>
  </r>
  <r>
    <x v="11"/>
    <d v="2026-07-20T00:00:00"/>
    <x v="0"/>
    <n v="2937"/>
    <x v="0"/>
    <n v="6.7"/>
    <s v="N/A"/>
    <s v="looking sad"/>
    <s v="2937_1"/>
    <s v="Baldwin"/>
    <x v="1"/>
    <s v="Acer"/>
    <s v="saccharum"/>
    <s v="Sapindaceae"/>
    <x v="5"/>
  </r>
  <r>
    <x v="11"/>
    <d v="2026-07-20T00:00:00"/>
    <x v="0"/>
    <n v="2938"/>
    <x v="0"/>
    <n v="15.1"/>
    <s v="W"/>
    <s v="slightly wavy, POM stick used"/>
    <s v="2938_1"/>
    <s v="Baldwin"/>
    <x v="1"/>
    <s v="Acer"/>
    <s v="saccharum"/>
    <s v="Sapindaceae"/>
    <x v="3"/>
  </r>
  <r>
    <x v="11"/>
    <d v="2026-07-20T00:00:00"/>
    <x v="0"/>
    <n v="2939"/>
    <x v="0"/>
    <n v="7.8"/>
    <s v="A,L"/>
    <s v="POM at 1.26m, slight lean"/>
    <s v="2939_1"/>
    <s v="Baldwin"/>
    <x v="1"/>
    <s v="Acer"/>
    <s v="saccharum"/>
    <s v="Sapindaceae"/>
    <x v="5"/>
  </r>
  <r>
    <x v="11"/>
    <d v="2026-07-20T00:00:00"/>
    <x v="0"/>
    <n v="2940"/>
    <x v="0"/>
    <n v="4.5999999999999996"/>
    <s v="W,A"/>
    <s v="POM stick used, POM at 1.28m"/>
    <s v="2940_1"/>
    <s v="Baldwin"/>
    <x v="1"/>
    <s v="Acer"/>
    <s v="saccharum"/>
    <s v="Sapindaceae"/>
    <x v="2"/>
  </r>
  <r>
    <x v="11"/>
    <d v="2026-07-20T00:00:00"/>
    <x v="0"/>
    <n v="2941"/>
    <x v="0"/>
    <n v="20.5"/>
    <s v="A"/>
    <s v="POM at 1.23m"/>
    <s v="2941_1"/>
    <s v="Baldwin"/>
    <x v="1"/>
    <s v="Acer"/>
    <s v="saccharum"/>
    <s v="Sapindaceae"/>
    <x v="0"/>
  </r>
  <r>
    <x v="11"/>
    <d v="2026-07-20T00:00:00"/>
    <x v="0"/>
    <n v="2942"/>
    <x v="0"/>
    <n v="18.100000000000001"/>
    <s v="L"/>
    <m/>
    <s v="2942_1"/>
    <s v="Baldwin"/>
    <x v="1"/>
    <s v="Acer"/>
    <s v="saccharum"/>
    <s v="Sapindaceae"/>
    <x v="3"/>
  </r>
  <r>
    <x v="11"/>
    <d v="2026-07-20T00:00:00"/>
    <x v="0"/>
    <n v="2944"/>
    <x v="0"/>
    <n v="29.5"/>
    <s v="P"/>
    <s v="tip up, runs across about 3 rows"/>
    <s v="2944_1"/>
    <s v="Baldwin"/>
    <x v="1"/>
    <s v="Acer"/>
    <s v="saccharum"/>
    <s v="Sapindaceae"/>
    <x v="0"/>
  </r>
  <r>
    <x v="11"/>
    <d v="2026-07-20T00:00:00"/>
    <x v="0"/>
    <n v="2945"/>
    <x v="0"/>
    <n v="3.5"/>
    <s v="L"/>
    <m/>
    <s v="2945_1"/>
    <s v="Baldwin"/>
    <x v="1"/>
    <s v="Acer"/>
    <s v="saccharum"/>
    <s v="Sapindaceae"/>
    <x v="2"/>
  </r>
  <r>
    <x v="11"/>
    <d v="2026-07-20T00:00:00"/>
    <x v="0"/>
    <n v="2946"/>
    <x v="0"/>
    <n v="1.5"/>
    <s v="W"/>
    <s v="stick used"/>
    <s v="2946_1"/>
    <s v="Baldwin"/>
    <x v="1"/>
    <s v="Acer"/>
    <s v="saccharum"/>
    <s v="Sapindaceae"/>
    <x v="2"/>
  </r>
  <r>
    <x v="11"/>
    <d v="2026-07-20T00:00:00"/>
    <x v="0"/>
    <n v="2947"/>
    <x v="0"/>
    <n v="3.7"/>
    <s v="L"/>
    <m/>
    <s v="2947_1"/>
    <s v="Baldwin"/>
    <x v="1"/>
    <s v="Acer"/>
    <s v="saccharum"/>
    <s v="Sapindaceae"/>
    <x v="2"/>
  </r>
  <r>
    <x v="11"/>
    <d v="2026-07-20T00:00:00"/>
    <x v="0"/>
    <n v="2948"/>
    <x v="0"/>
    <n v="9"/>
    <s v="W, A"/>
    <s v="soft tape, POM at 1.15m"/>
    <s v="2948_1"/>
    <s v="Baldwin"/>
    <x v="1"/>
    <s v="Acer"/>
    <s v="saccharum"/>
    <s v="Sapindaceae"/>
    <x v="5"/>
  </r>
  <r>
    <x v="11"/>
    <d v="2026-07-20T00:00:00"/>
    <x v="10"/>
    <n v="2949"/>
    <x v="0"/>
    <n v="31.6"/>
    <s v="N/A"/>
    <m/>
    <s v="2949_1"/>
    <s v="Baldwin"/>
    <x v="1"/>
    <s v="Quercus"/>
    <s v="rubra"/>
    <s v="Fagaceae"/>
    <x v="0"/>
  </r>
  <r>
    <x v="11"/>
    <d v="2026-07-20T00:00:00"/>
    <x v="0"/>
    <n v="2950"/>
    <x v="0"/>
    <n v="13.7"/>
    <s v="N/A"/>
    <m/>
    <s v="2950_1"/>
    <s v="Baldwin"/>
    <x v="1"/>
    <s v="Acer"/>
    <s v="saccharum"/>
    <s v="Sapindaceae"/>
    <x v="3"/>
  </r>
  <r>
    <x v="11"/>
    <d v="2026-07-20T00:00:00"/>
    <x v="0"/>
    <n v="2951"/>
    <x v="0"/>
    <n v="4.5999999999999996"/>
    <s v="L"/>
    <m/>
    <s v="2951_1"/>
    <s v="Baldwin"/>
    <x v="1"/>
    <s v="Acer"/>
    <s v="saccharum"/>
    <s v="Sapindaceae"/>
    <x v="2"/>
  </r>
  <r>
    <x v="11"/>
    <d v="2026-07-20T00:00:00"/>
    <x v="0"/>
    <n v="2952"/>
    <x v="0"/>
    <n v="49.7"/>
    <s v="I"/>
    <s v="bark weird"/>
    <s v="2952_1"/>
    <s v="Baldwin"/>
    <x v="1"/>
    <s v="Acer"/>
    <s v="saccharum"/>
    <s v="Sapindaceae"/>
    <x v="1"/>
  </r>
  <r>
    <x v="11"/>
    <d v="2026-07-20T00:00:00"/>
    <x v="0"/>
    <n v="2953"/>
    <x v="0"/>
    <n v="10.8"/>
    <s v="L"/>
    <m/>
    <s v="2953_1"/>
    <s v="Baldwin"/>
    <x v="1"/>
    <s v="Acer"/>
    <s v="saccharum"/>
    <s v="Sapindaceae"/>
    <x v="3"/>
  </r>
  <r>
    <x v="11"/>
    <d v="2026-07-20T00:00:00"/>
    <x v="0"/>
    <n v="2954"/>
    <x v="0"/>
    <n v="14.7"/>
    <s v="N/A"/>
    <m/>
    <s v="2954_1"/>
    <s v="Baldwin"/>
    <x v="1"/>
    <s v="Acer"/>
    <s v="saccharum"/>
    <s v="Sapindaceae"/>
    <x v="3"/>
  </r>
  <r>
    <x v="11"/>
    <d v="2026-07-20T00:00:00"/>
    <x v="0"/>
    <n v="2955"/>
    <x v="0"/>
    <n v="5.5"/>
    <s v="L"/>
    <s v="very sad"/>
    <s v="2955_1"/>
    <s v="Baldwin"/>
    <x v="1"/>
    <s v="Acer"/>
    <s v="saccharum"/>
    <s v="Sapindaceae"/>
    <x v="5"/>
  </r>
  <r>
    <x v="11"/>
    <d v="2026-07-20T00:00:00"/>
    <x v="0"/>
    <n v="2956"/>
    <x v="0"/>
    <n v="10"/>
    <s v="A,L"/>
    <s v="POM at 1.27m"/>
    <s v="2956_1"/>
    <s v="Baldwin"/>
    <x v="1"/>
    <s v="Acer"/>
    <s v="saccharum"/>
    <s v="Sapindaceae"/>
    <x v="5"/>
  </r>
  <r>
    <x v="11"/>
    <d v="2026-07-20T00:00:00"/>
    <x v="0"/>
    <n v="2957"/>
    <x v="0"/>
    <n v="8"/>
    <s v="L, A"/>
    <s v="POM at 1.28m"/>
    <s v="2957_1"/>
    <s v="Baldwin"/>
    <x v="1"/>
    <s v="Acer"/>
    <s v="saccharum"/>
    <s v="Sapindaceae"/>
    <x v="5"/>
  </r>
  <r>
    <x v="11"/>
    <d v="2026-07-20T00:00:00"/>
    <x v="2"/>
    <n v="2958"/>
    <x v="0"/>
    <n v="54.1"/>
    <s v="L, I"/>
    <s v="trunk odd shape"/>
    <s v="2958_1"/>
    <s v="Baldwin"/>
    <x v="1"/>
    <s v="Acer"/>
    <s v="rubrum"/>
    <s v="Sapindaceae"/>
    <x v="4"/>
  </r>
  <r>
    <x v="11"/>
    <d v="2026-07-20T00:00:00"/>
    <x v="0"/>
    <n v="2959"/>
    <x v="0"/>
    <n v="4.4000000000000004"/>
    <s v="L, A"/>
    <s v="POM at 1.23m"/>
    <s v="2959_1"/>
    <s v="Baldwin"/>
    <x v="1"/>
    <s v="Acer"/>
    <s v="saccharum"/>
    <s v="Sapindaceae"/>
    <x v="2"/>
  </r>
  <r>
    <x v="11"/>
    <d v="2026-07-20T00:00:00"/>
    <x v="0"/>
    <n v="2960"/>
    <x v="0"/>
    <n v="6.6"/>
    <s v="N/A"/>
    <s v="thin canopy"/>
    <s v="2960_1"/>
    <s v="Baldwin"/>
    <x v="1"/>
    <s v="Acer"/>
    <s v="saccharum"/>
    <s v="Sapindaceae"/>
    <x v="5"/>
  </r>
  <r>
    <x v="11"/>
    <d v="2026-07-20T00:00:00"/>
    <x v="0"/>
    <n v="2961"/>
    <x v="0"/>
    <n v="5.3"/>
    <s v="L"/>
    <m/>
    <s v="2961_1"/>
    <s v="Baldwin"/>
    <x v="1"/>
    <s v="Acer"/>
    <s v="rubrum"/>
    <s v="Sapindaceae"/>
    <x v="5"/>
  </r>
  <r>
    <x v="11"/>
    <d v="2026-07-20T00:00:00"/>
    <x v="2"/>
    <n v="2962"/>
    <x v="0"/>
    <n v="28.3"/>
    <s v="L, I"/>
    <s v="trunk odd shape"/>
    <s v="2962_1"/>
    <s v="Baldwin"/>
    <x v="1"/>
    <s v="Acer"/>
    <s v="saccharum"/>
    <s v="Sapindaceae"/>
    <x v="0"/>
  </r>
  <r>
    <x v="11"/>
    <d v="2026-07-20T00:00:00"/>
    <x v="0"/>
    <n v="2963"/>
    <x v="0"/>
    <n v="3.3"/>
    <s v="W"/>
    <s v="stick used"/>
    <s v="2963_1"/>
    <s v="Baldwin"/>
    <x v="1"/>
    <s v="Acer"/>
    <s v="saccharum"/>
    <s v="Sapindaceae"/>
    <x v="2"/>
  </r>
  <r>
    <x v="11"/>
    <d v="2026-07-20T00:00:00"/>
    <x v="0"/>
    <n v="2964"/>
    <x v="0"/>
    <n v="8.1"/>
    <s v="L, A"/>
    <s v="POM at 1.27m"/>
    <s v="2964_1"/>
    <s v="Baldwin"/>
    <x v="1"/>
    <s v="Acer"/>
    <s v="saccharum"/>
    <s v="Sapindaceae"/>
    <x v="5"/>
  </r>
  <r>
    <x v="11"/>
    <d v="2026-07-20T00:00:00"/>
    <x v="2"/>
    <n v="2965"/>
    <x v="0"/>
    <n v="26.1"/>
    <s v="L"/>
    <s v="sad canopy"/>
    <s v="2965_1"/>
    <s v="Baldwin"/>
    <x v="1"/>
    <s v="Acer"/>
    <s v="rubrum"/>
    <s v="Sapindaceae"/>
    <x v="0"/>
  </r>
  <r>
    <x v="11"/>
    <d v="2026-07-20T00:00:00"/>
    <x v="0"/>
    <n v="2966"/>
    <x v="0"/>
    <n v="5.7"/>
    <s v="L"/>
    <m/>
    <s v="2966_1"/>
    <s v="Baldwin"/>
    <x v="1"/>
    <s v="Acer"/>
    <s v="saccharum"/>
    <s v="Sapindaceae"/>
    <x v="5"/>
  </r>
  <r>
    <x v="11"/>
    <d v="2026-07-20T00:00:00"/>
    <x v="0"/>
    <n v="2967"/>
    <x v="0"/>
    <n v="2.6"/>
    <s v="L"/>
    <m/>
    <s v="2967_1"/>
    <s v="Baldwin"/>
    <x v="1"/>
    <s v="Acer"/>
    <s v="saccharum"/>
    <s v="Sapindaceae"/>
    <x v="2"/>
  </r>
  <r>
    <x v="11"/>
    <d v="2026-07-20T00:00:00"/>
    <x v="0"/>
    <n v="2968"/>
    <x v="0"/>
    <n v="9"/>
    <s v="I"/>
    <s v="knobby trunk"/>
    <s v="2968_1"/>
    <s v="Baldwin"/>
    <x v="1"/>
    <s v="Acer"/>
    <s v="saccharum"/>
    <s v="Sapindaceae"/>
    <x v="5"/>
  </r>
  <r>
    <x v="11"/>
    <d v="2026-07-20T00:00:00"/>
    <x v="0"/>
    <n v="2969"/>
    <x v="0"/>
    <n v="2.4"/>
    <s v="W"/>
    <s v="stick used"/>
    <s v="2969_1"/>
    <s v="Baldwin"/>
    <x v="1"/>
    <s v="Acer"/>
    <s v="saccharum"/>
    <s v="Sapindaceae"/>
    <x v="2"/>
  </r>
  <r>
    <x v="11"/>
    <d v="2026-07-20T00:00:00"/>
    <x v="2"/>
    <n v="2970"/>
    <x v="0"/>
    <n v="26.3"/>
    <s v="N/A"/>
    <m/>
    <s v="2970_1"/>
    <s v="Baldwin"/>
    <x v="1"/>
    <s v="Acer"/>
    <s v="rubrum"/>
    <s v="Sapindaceae"/>
    <x v="0"/>
  </r>
  <r>
    <x v="11"/>
    <d v="2026-07-20T00:00:00"/>
    <x v="2"/>
    <n v="2971"/>
    <x v="0"/>
    <n v="30.8"/>
    <s v="I"/>
    <s v="Trunk irregular"/>
    <s v="2971_1"/>
    <s v="Baldwin"/>
    <x v="1"/>
    <s v="Acer"/>
    <s v="rubrum"/>
    <s v="Sapindaceae"/>
    <x v="0"/>
  </r>
  <r>
    <x v="11"/>
    <d v="2026-07-20T00:00:00"/>
    <x v="0"/>
    <n v="2972"/>
    <x v="0"/>
    <n v="6.4"/>
    <s v="W"/>
    <s v="POM stick used"/>
    <s v="2972_1"/>
    <s v="Baldwin"/>
    <x v="1"/>
    <s v="Acer"/>
    <s v="saccharum"/>
    <s v="Sapindaceae"/>
    <x v="5"/>
  </r>
  <r>
    <x v="11"/>
    <d v="2026-07-20T00:00:00"/>
    <x v="0"/>
    <n v="2973"/>
    <x v="0"/>
    <n v="2.4"/>
    <s v="A"/>
    <s v="POM at 1.26m, knot"/>
    <s v="2973_1"/>
    <s v="Baldwin"/>
    <x v="1"/>
    <s v="Acer"/>
    <s v="saccharum"/>
    <s v="Sapindaceae"/>
    <x v="2"/>
  </r>
  <r>
    <x v="11"/>
    <d v="2026-07-20T00:00:00"/>
    <x v="2"/>
    <n v="2974"/>
    <x v="0"/>
    <n v="3.4"/>
    <s v="W,A"/>
    <s v="POM at 1.28m, knot"/>
    <s v="2974_1"/>
    <s v="Baldwin"/>
    <x v="1"/>
    <s v="Acer"/>
    <s v="rubrum"/>
    <s v="Sapindaceae"/>
    <x v="2"/>
  </r>
  <r>
    <x v="11"/>
    <d v="2026-07-20T00:00:00"/>
    <x v="0"/>
    <n v="2975"/>
    <x v="0"/>
    <n v="3.3"/>
    <s v="W,A"/>
    <s v="POM at 1.2m, knots"/>
    <s v="2975_1"/>
    <s v="Baldwin"/>
    <x v="1"/>
    <s v="Acer"/>
    <s v="saccharum"/>
    <s v="Sapindaceae"/>
    <x v="2"/>
  </r>
  <r>
    <x v="11"/>
    <d v="2026-07-20T00:00:00"/>
    <x v="2"/>
    <n v="2976"/>
    <x v="0"/>
    <n v="48"/>
    <s v="N/A"/>
    <m/>
    <s v="2976_1"/>
    <s v="Baldwin"/>
    <x v="1"/>
    <s v="Acer"/>
    <s v="rubrum"/>
    <s v="Sapindaceae"/>
    <x v="1"/>
  </r>
  <r>
    <x v="11"/>
    <d v="2026-07-20T00:00:00"/>
    <x v="0"/>
    <n v="2977"/>
    <x v="0"/>
    <n v="6.8"/>
    <s v="W"/>
    <s v="POM stick used"/>
    <s v="2977_1"/>
    <s v="Baldwin"/>
    <x v="1"/>
    <s v="Acer"/>
    <s v="saccharum"/>
    <s v="Sapindaceae"/>
    <x v="5"/>
  </r>
  <r>
    <x v="11"/>
    <d v="2026-07-20T00:00:00"/>
    <x v="0"/>
    <n v="2978"/>
    <x v="0"/>
    <n v="2.2000000000000002"/>
    <s v="L"/>
    <m/>
    <s v="2978_1"/>
    <s v="Baldwin"/>
    <x v="1"/>
    <s v="Acer"/>
    <s v="saccharum"/>
    <s v="Sapindaceae"/>
    <x v="2"/>
  </r>
  <r>
    <x v="11"/>
    <d v="2026-07-20T00:00:00"/>
    <x v="0"/>
    <n v="2979"/>
    <x v="0"/>
    <n v="3.6"/>
    <s v="L"/>
    <m/>
    <s v="2979_1"/>
    <s v="Baldwin"/>
    <x v="1"/>
    <s v="Acer"/>
    <s v="saccharum"/>
    <s v="Sapindaceae"/>
    <x v="2"/>
  </r>
  <r>
    <x v="11"/>
    <d v="2026-07-20T00:00:00"/>
    <x v="2"/>
    <n v="2980"/>
    <x v="0"/>
    <n v="19.100000000000001"/>
    <s v="N/A"/>
    <s v="dead top of crown, sad"/>
    <s v="2980_1"/>
    <s v="Baldwin"/>
    <x v="1"/>
    <s v="Acer"/>
    <s v="rubrum"/>
    <s v="Sapindaceae"/>
    <x v="3"/>
  </r>
  <r>
    <x v="11"/>
    <d v="2026-07-20T00:00:00"/>
    <x v="0"/>
    <n v="2981"/>
    <x v="0"/>
    <n v="2.9"/>
    <s v="L"/>
    <s v="deer damage"/>
    <s v="2981_1"/>
    <s v="Baldwin"/>
    <x v="1"/>
    <s v="Acer"/>
    <s v="saccharum"/>
    <s v="Sapindaceae"/>
    <x v="2"/>
  </r>
  <r>
    <x v="11"/>
    <d v="2026-07-20T00:00:00"/>
    <x v="2"/>
    <n v="2982"/>
    <x v="0"/>
    <n v="55.4"/>
    <s v="I,L"/>
    <s v="open spot in trunk"/>
    <s v="2982_1"/>
    <s v="Baldwin"/>
    <x v="1"/>
    <s v="Acer"/>
    <s v="rubrum"/>
    <s v="Sapindaceae"/>
    <x v="4"/>
  </r>
  <r>
    <x v="11"/>
    <d v="2026-07-20T00:00:00"/>
    <x v="0"/>
    <n v="2983"/>
    <x v="0"/>
    <n v="6.7"/>
    <s v="L"/>
    <m/>
    <s v="2983_1"/>
    <s v="Baldwin"/>
    <x v="1"/>
    <s v="Acer"/>
    <s v="saccharum"/>
    <s v="Sapindaceae"/>
    <x v="5"/>
  </r>
  <r>
    <x v="11"/>
    <d v="2026-07-20T00:00:00"/>
    <x v="0"/>
    <n v="2984"/>
    <x v="0"/>
    <n v="1.4"/>
    <s v="L"/>
    <s v="dead branch below POM"/>
    <s v="2984_1"/>
    <s v="Baldwin"/>
    <x v="1"/>
    <s v="Acer"/>
    <s v="saccharum"/>
    <s v="Sapindaceae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FA037-2EB1-463B-A214-9CC25CE52395}" name="PivotTable5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2" rowHeaderCaption="Plot &amp; Species" colHeaderCaption="DBH Ranges">
  <location ref="A3:H160" firstHeaderRow="1" firstDataRow="2" firstDataCol="1" rowPageCount="1" colPageCount="1"/>
  <pivotFields count="15">
    <pivotField axis="axisRow" subtotalTop="0" showAll="0">
      <items count="18">
        <item x="0"/>
        <item x="1"/>
        <item x="3"/>
        <item x="5"/>
        <item x="4"/>
        <item x="2"/>
        <item m="1" x="16"/>
        <item x="6"/>
        <item x="7"/>
        <item x="8"/>
        <item sd="0" m="1" x="15"/>
        <item m="1" x="13"/>
        <item sd="0" m="1" x="14"/>
        <item x="10"/>
        <item m="1" x="12"/>
        <item x="11"/>
        <item x="9"/>
        <item t="default"/>
      </items>
    </pivotField>
    <pivotField subtotalTop="0" showAll="0"/>
    <pivotField axis="axisRow" subtotalTop="0" showAll="0">
      <items count="30">
        <item x="2"/>
        <item x="0"/>
        <item x="11"/>
        <item x="19"/>
        <item x="16"/>
        <item x="12"/>
        <item x="18"/>
        <item x="7"/>
        <item x="15"/>
        <item x="17"/>
        <item x="3"/>
        <item x="5"/>
        <item x="6"/>
        <item x="8"/>
        <item x="1"/>
        <item x="13"/>
        <item x="9"/>
        <item x="10"/>
        <item x="4"/>
        <item x="14"/>
        <item m="1" x="27"/>
        <item m="1" x="28"/>
        <item x="20"/>
        <item x="21"/>
        <item x="22"/>
        <item x="23"/>
        <item x="24"/>
        <item x="25"/>
        <item x="26"/>
        <item t="default"/>
      </items>
    </pivotField>
    <pivotField subtotalTop="0" showAll="0"/>
    <pivotField axis="axisPage" subtotalTop="0" multipleItemSelectionAllowed="1" showAll="0">
      <items count="26">
        <item x="0"/>
        <item x="1"/>
        <item x="14"/>
        <item x="15"/>
        <item x="2"/>
        <item x="16"/>
        <item x="17"/>
        <item x="18"/>
        <item x="3"/>
        <item x="12"/>
        <item x="13"/>
        <item x="4"/>
        <item x="19"/>
        <item x="20"/>
        <item x="5"/>
        <item x="6"/>
        <item x="7"/>
        <item x="8"/>
        <item x="9"/>
        <item x="21"/>
        <item x="22"/>
        <item x="10"/>
        <item x="11"/>
        <item m="1" x="23"/>
        <item m="1" x="24"/>
        <item t="default"/>
      </items>
    </pivotField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Col" subtotalTop="0" showAll="0">
      <items count="10">
        <item m="1" x="6"/>
        <item x="2"/>
        <item x="5"/>
        <item m="1" x="8"/>
        <item x="3"/>
        <item x="0"/>
        <item x="1"/>
        <item x="4"/>
        <item m="1" x="7"/>
        <item t="default"/>
      </items>
    </pivotField>
  </pivotFields>
  <rowFields count="2">
    <field x="0"/>
    <field x="2"/>
  </rowFields>
  <rowItems count="156">
    <i>
      <x/>
    </i>
    <i r="1">
      <x/>
    </i>
    <i r="1">
      <x v="1"/>
    </i>
    <i r="1">
      <x v="7"/>
    </i>
    <i r="1">
      <x v="10"/>
    </i>
    <i r="1">
      <x v="11"/>
    </i>
    <i r="1">
      <x v="12"/>
    </i>
    <i r="1">
      <x v="14"/>
    </i>
    <i r="1">
      <x v="18"/>
    </i>
    <i t="default">
      <x/>
    </i>
    <i>
      <x v="1"/>
    </i>
    <i r="1">
      <x/>
    </i>
    <i r="1">
      <x v="1"/>
    </i>
    <i r="1">
      <x v="2"/>
    </i>
    <i r="1">
      <x v="5"/>
    </i>
    <i r="1">
      <x v="7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 v="1"/>
    </i>
    <i>
      <x v="2"/>
    </i>
    <i r="1">
      <x/>
    </i>
    <i r="1">
      <x v="1"/>
    </i>
    <i r="1">
      <x v="3"/>
    </i>
    <i r="1">
      <x v="6"/>
    </i>
    <i r="1">
      <x v="7"/>
    </i>
    <i r="1">
      <x v="8"/>
    </i>
    <i r="1">
      <x v="10"/>
    </i>
    <i r="1">
      <x v="13"/>
    </i>
    <i r="1">
      <x v="17"/>
    </i>
    <i t="default">
      <x v="2"/>
    </i>
    <i>
      <x v="3"/>
    </i>
    <i r="1">
      <x/>
    </i>
    <i r="1">
      <x v="1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7"/>
    </i>
    <i r="1">
      <x v="18"/>
    </i>
    <i r="1">
      <x v="22"/>
    </i>
    <i t="default">
      <x v="3"/>
    </i>
    <i>
      <x v="4"/>
    </i>
    <i r="1">
      <x/>
    </i>
    <i r="1">
      <x v="1"/>
    </i>
    <i r="1">
      <x v="3"/>
    </i>
    <i r="1">
      <x v="4"/>
    </i>
    <i r="1">
      <x v="7"/>
    </i>
    <i r="1">
      <x v="10"/>
    </i>
    <i r="1">
      <x v="11"/>
    </i>
    <i r="1">
      <x v="12"/>
    </i>
    <i r="1">
      <x v="14"/>
    </i>
    <i r="1">
      <x v="19"/>
    </i>
    <i t="default">
      <x v="4"/>
    </i>
    <i>
      <x v="5"/>
    </i>
    <i r="1">
      <x/>
    </i>
    <i r="1">
      <x v="1"/>
    </i>
    <i r="1">
      <x v="4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9"/>
    </i>
    <i t="default">
      <x v="5"/>
    </i>
    <i>
      <x v="7"/>
    </i>
    <i r="1">
      <x v="1"/>
    </i>
    <i r="1">
      <x v="7"/>
    </i>
    <i r="1">
      <x v="10"/>
    </i>
    <i r="1">
      <x v="11"/>
    </i>
    <i r="1">
      <x v="13"/>
    </i>
    <i r="1">
      <x v="23"/>
    </i>
    <i t="default">
      <x v="7"/>
    </i>
    <i>
      <x v="8"/>
    </i>
    <i r="1">
      <x/>
    </i>
    <i r="1">
      <x v="1"/>
    </i>
    <i r="1">
      <x v="7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24"/>
    </i>
    <i t="default">
      <x v="8"/>
    </i>
    <i>
      <x v="9"/>
    </i>
    <i r="1">
      <x/>
    </i>
    <i r="1">
      <x v="1"/>
    </i>
    <i r="1">
      <x v="3"/>
    </i>
    <i r="1">
      <x v="4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9"/>
    </i>
    <i r="1">
      <x v="23"/>
    </i>
    <i r="1">
      <x v="24"/>
    </i>
    <i r="1">
      <x v="25"/>
    </i>
    <i t="default">
      <x v="9"/>
    </i>
    <i>
      <x v="1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8"/>
    </i>
    <i t="default">
      <x v="13"/>
    </i>
    <i>
      <x v="15"/>
    </i>
    <i r="1">
      <x/>
    </i>
    <i r="1">
      <x v="1"/>
    </i>
    <i r="1">
      <x v="4"/>
    </i>
    <i r="1">
      <x v="7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24"/>
    </i>
    <i t="default">
      <x v="15"/>
    </i>
    <i>
      <x v="16"/>
    </i>
    <i r="1">
      <x/>
    </i>
    <i r="1">
      <x v="1"/>
    </i>
    <i r="1">
      <x v="3"/>
    </i>
    <i r="1">
      <x v="4"/>
    </i>
    <i r="1">
      <x v="7"/>
    </i>
    <i r="1">
      <x v="10"/>
    </i>
    <i r="1">
      <x v="13"/>
    </i>
    <i r="1">
      <x v="14"/>
    </i>
    <i r="1">
      <x v="17"/>
    </i>
    <i r="1">
      <x v="19"/>
    </i>
    <i r="1">
      <x v="23"/>
    </i>
    <i r="1">
      <x v="24"/>
    </i>
    <i r="1">
      <x v="26"/>
    </i>
    <i r="1">
      <x v="27"/>
    </i>
    <i t="default">
      <x v="16"/>
    </i>
    <i t="grand">
      <x/>
    </i>
  </rowItems>
  <colFields count="1">
    <field x="14"/>
  </colFields>
  <colItems count="7">
    <i>
      <x v="1"/>
    </i>
    <i>
      <x v="2"/>
    </i>
    <i>
      <x v="4"/>
    </i>
    <i>
      <x v="5"/>
    </i>
    <i>
      <x v="6"/>
    </i>
    <i>
      <x v="7"/>
    </i>
    <i t="grand">
      <x/>
    </i>
  </colItems>
  <pageFields count="1">
    <pageField fld="4" hier="-1"/>
  </pageFields>
  <dataFields count="1">
    <dataField name="DBH Class by Plot" fld="5" subtotal="count" baseField="0" baseItem="0"/>
  </dataFields>
  <formats count="1">
    <format dxfId="41">
      <pivotArea type="all" dataOnly="0" outline="0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B7F00-1EB9-4324-9060-1B0731C85BC6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Plot" colHeaderCaption="Species">
  <location ref="A3:AC9" firstHeaderRow="1" firstDataRow="2" firstDataCol="1" rowPageCount="1" colPageCount="1"/>
  <pivotFields count="15">
    <pivotField showAll="0"/>
    <pivotField showAll="0"/>
    <pivotField axis="axisCol" showAll="0">
      <items count="30">
        <item x="2"/>
        <item x="0"/>
        <item x="11"/>
        <item x="19"/>
        <item x="16"/>
        <item x="12"/>
        <item x="18"/>
        <item x="7"/>
        <item x="15"/>
        <item x="20"/>
        <item x="17"/>
        <item x="3"/>
        <item x="5"/>
        <item x="6"/>
        <item x="8"/>
        <item x="1"/>
        <item x="13"/>
        <item x="9"/>
        <item x="10"/>
        <item x="4"/>
        <item x="14"/>
        <item m="1" x="27"/>
        <item m="1" x="28"/>
        <item x="21"/>
        <item x="22"/>
        <item x="23"/>
        <item x="24"/>
        <item x="25"/>
        <item x="26"/>
        <item t="default"/>
      </items>
    </pivotField>
    <pivotField showAll="0"/>
    <pivotField axis="axisPage" dataField="1" multipleItemSelectionAllowed="1" showAll="0">
      <items count="26">
        <item x="0"/>
        <item x="1"/>
        <item x="14"/>
        <item x="15"/>
        <item x="2"/>
        <item x="16"/>
        <item x="17"/>
        <item x="18"/>
        <item x="3"/>
        <item x="12"/>
        <item x="13"/>
        <item x="4"/>
        <item x="19"/>
        <item x="20"/>
        <item x="5"/>
        <item x="6"/>
        <item x="7"/>
        <item x="8"/>
        <item x="9"/>
        <item x="21"/>
        <item x="22"/>
        <item x="10"/>
        <item x="11"/>
        <item m="1" x="23"/>
        <item m="1" x="2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3"/>
    </i>
    <i>
      <x v="24"/>
    </i>
    <i>
      <x v="25"/>
    </i>
    <i>
      <x v="26"/>
    </i>
    <i>
      <x v="27"/>
    </i>
    <i>
      <x v="28"/>
    </i>
    <i t="grand">
      <x/>
    </i>
  </colItems>
  <pageFields count="1">
    <pageField fld="4" hier="-1"/>
  </pageFields>
  <dataFields count="1">
    <dataField name="Count of StemTag" fld="4" subtotal="count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34965-9219-4AF7-BB90-1B0D5E104873}" name="PivotTable5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2" rowHeaderCaption="Plot &amp; Species" colHeaderCaption="DBH Ranges">
  <location ref="A3:H80" firstHeaderRow="1" firstDataRow="2" firstDataCol="1" rowPageCount="1" colPageCount="1"/>
  <pivotFields count="15">
    <pivotField subtotalTop="0" showAll="0"/>
    <pivotField subtotalTop="0" showAll="0"/>
    <pivotField axis="axisRow" subtotalTop="0" showAll="0">
      <items count="30">
        <item x="2"/>
        <item x="0"/>
        <item x="11"/>
        <item x="19"/>
        <item x="16"/>
        <item x="12"/>
        <item x="18"/>
        <item x="7"/>
        <item x="15"/>
        <item x="17"/>
        <item x="3"/>
        <item x="5"/>
        <item x="6"/>
        <item x="8"/>
        <item x="1"/>
        <item x="13"/>
        <item x="9"/>
        <item x="10"/>
        <item x="4"/>
        <item x="14"/>
        <item m="1" x="27"/>
        <item m="1" x="28"/>
        <item x="20"/>
        <item x="21"/>
        <item x="22"/>
        <item x="23"/>
        <item x="24"/>
        <item x="25"/>
        <item x="26"/>
        <item t="default"/>
      </items>
    </pivotField>
    <pivotField subtotalTop="0" showAll="0"/>
    <pivotField axis="axisPage" subtotalTop="0" multipleItemSelectionAllowed="1" showAll="0">
      <items count="26">
        <item x="0"/>
        <item x="1"/>
        <item x="14"/>
        <item x="15"/>
        <item x="2"/>
        <item x="16"/>
        <item x="17"/>
        <item x="18"/>
        <item x="3"/>
        <item x="12"/>
        <item x="13"/>
        <item x="4"/>
        <item x="19"/>
        <item x="20"/>
        <item x="5"/>
        <item x="6"/>
        <item x="7"/>
        <item x="8"/>
        <item x="9"/>
        <item x="21"/>
        <item x="22"/>
        <item x="10"/>
        <item x="11"/>
        <item m="1" x="23"/>
        <item m="1" x="24"/>
        <item t="default"/>
      </items>
    </pivotField>
    <pivotField dataField="1"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5">
        <item x="2"/>
        <item x="3"/>
        <item x="0"/>
        <item x="1"/>
        <item t="default"/>
      </items>
    </pivotField>
    <pivotField subtotalTop="0" showAll="0"/>
    <pivotField subtotalTop="0" showAll="0"/>
    <pivotField subtotalTop="0" showAll="0"/>
    <pivotField axis="axisCol" subtotalTop="0" showAll="0">
      <items count="10">
        <item m="1" x="6"/>
        <item x="2"/>
        <item x="5"/>
        <item m="1" x="8"/>
        <item x="3"/>
        <item x="0"/>
        <item x="1"/>
        <item x="4"/>
        <item m="1" x="7"/>
        <item t="default"/>
      </items>
    </pivotField>
  </pivotFields>
  <rowFields count="2">
    <field x="10"/>
    <field x="2"/>
  </rowFields>
  <rowItems count="76">
    <i>
      <x/>
    </i>
    <i r="1">
      <x/>
    </i>
    <i r="1">
      <x v="1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9"/>
    </i>
    <i r="1">
      <x v="23"/>
    </i>
    <i t="default">
      <x/>
    </i>
    <i>
      <x v="1"/>
    </i>
    <i r="1">
      <x/>
    </i>
    <i r="1">
      <x v="1"/>
    </i>
    <i r="1">
      <x v="3"/>
    </i>
    <i r="1">
      <x v="4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9"/>
    </i>
    <i r="1">
      <x v="23"/>
    </i>
    <i r="1">
      <x v="24"/>
    </i>
    <i r="1">
      <x v="25"/>
    </i>
    <i r="1">
      <x v="26"/>
    </i>
    <i r="1">
      <x v="27"/>
    </i>
    <i t="default">
      <x v="1"/>
    </i>
    <i>
      <x v="2"/>
    </i>
    <i r="1">
      <x/>
    </i>
    <i r="1">
      <x v="1"/>
    </i>
    <i r="1">
      <x v="3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22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4"/>
    </i>
    <i r="1">
      <x v="28"/>
    </i>
    <i t="default">
      <x v="3"/>
    </i>
    <i t="grand">
      <x/>
    </i>
  </rowItems>
  <colFields count="1">
    <field x="14"/>
  </colFields>
  <colItems count="7">
    <i>
      <x v="1"/>
    </i>
    <i>
      <x v="2"/>
    </i>
    <i>
      <x v="4"/>
    </i>
    <i>
      <x v="5"/>
    </i>
    <i>
      <x v="6"/>
    </i>
    <i>
      <x v="7"/>
    </i>
    <i t="grand">
      <x/>
    </i>
  </colItems>
  <pageFields count="1">
    <pageField fld="4" hier="-1"/>
  </pageFields>
  <dataFields count="1">
    <dataField name="DBH Class by Plot" fld="5" subtotal="count" baseField="0" baseItem="0"/>
  </dataFields>
  <formats count="15">
    <format dxfId="40">
      <pivotArea type="all" dataOnly="0" outline="0" fieldPosition="0"/>
    </format>
    <format dxfId="13">
      <pivotArea collapsedLevelsAreSubtotals="1" fieldPosition="0">
        <references count="2">
          <reference field="2" count="1">
            <x v="1"/>
          </reference>
          <reference field="10" count="1" selected="0">
            <x v="0"/>
          </reference>
        </references>
      </pivotArea>
    </format>
    <format dxfId="12">
      <pivotArea dataOnly="0" labelOnly="1" fieldPosition="0">
        <references count="2">
          <reference field="2" count="1">
            <x v="1"/>
          </reference>
          <reference field="10" count="1" selected="0">
            <x v="0"/>
          </reference>
        </references>
      </pivotArea>
    </format>
    <format dxfId="11">
      <pivotArea collapsedLevelsAreSubtotals="1" fieldPosition="0">
        <references count="2">
          <reference field="2" count="1">
            <x v="7"/>
          </reference>
          <reference field="10" count="1" selected="0">
            <x v="0"/>
          </reference>
        </references>
      </pivotArea>
    </format>
    <format dxfId="10">
      <pivotArea dataOnly="0" labelOnly="1" fieldPosition="0">
        <references count="2">
          <reference field="2" count="1">
            <x v="7"/>
          </reference>
          <reference field="10" count="1" selected="0">
            <x v="0"/>
          </reference>
        </references>
      </pivotArea>
    </format>
    <format dxfId="9">
      <pivotArea collapsedLevelsAreSubtotals="1" fieldPosition="0">
        <references count="2">
          <reference field="2" count="1">
            <x v="10"/>
          </reference>
          <reference field="10" count="1" selected="0">
            <x v="0"/>
          </reference>
        </references>
      </pivotArea>
    </format>
    <format dxfId="8">
      <pivotArea dataOnly="0" labelOnly="1" fieldPosition="0">
        <references count="2">
          <reference field="2" count="1">
            <x v="10"/>
          </reference>
          <reference field="10" count="1" selected="0">
            <x v="0"/>
          </reference>
        </references>
      </pivotArea>
    </format>
    <format dxfId="7">
      <pivotArea collapsedLevelsAreSubtotals="1" fieldPosition="0">
        <references count="2">
          <reference field="2" count="1">
            <x v="11"/>
          </reference>
          <reference field="10" count="1" selected="0">
            <x v="0"/>
          </reference>
        </references>
      </pivotArea>
    </format>
    <format dxfId="6">
      <pivotArea dataOnly="0" labelOnly="1" fieldPosition="0">
        <references count="2">
          <reference field="2" count="1">
            <x v="11"/>
          </reference>
          <reference field="10" count="1" selected="0">
            <x v="0"/>
          </reference>
        </references>
      </pivotArea>
    </format>
    <format dxfId="5">
      <pivotArea collapsedLevelsAreSubtotals="1" fieldPosition="0">
        <references count="2">
          <reference field="2" count="1">
            <x v="4"/>
          </reference>
          <reference field="10" count="1" selected="0">
            <x v="0"/>
          </reference>
        </references>
      </pivotArea>
    </format>
    <format dxfId="4">
      <pivotArea dataOnly="0" labelOnly="1" fieldPosition="0">
        <references count="2">
          <reference field="2" count="1">
            <x v="4"/>
          </reference>
          <reference field="10" count="1" selected="0">
            <x v="0"/>
          </reference>
        </references>
      </pivotArea>
    </format>
    <format dxfId="3">
      <pivotArea collapsedLevelsAreSubtotals="1" fieldPosition="0">
        <references count="2">
          <reference field="2" count="1">
            <x v="0"/>
          </reference>
          <reference field="10" count="1" selected="0">
            <x v="0"/>
          </reference>
        </references>
      </pivotArea>
    </format>
    <format dxfId="2">
      <pivotArea dataOnly="0" labelOnly="1" fieldPosition="0">
        <references count="2">
          <reference field="2" count="1">
            <x v="0"/>
          </reference>
          <reference field="10" count="1" selected="0">
            <x v="0"/>
          </reference>
        </references>
      </pivotArea>
    </format>
    <format dxfId="1">
      <pivotArea collapsedLevelsAreSubtotals="1" fieldPosition="0">
        <references count="2">
          <reference field="2" count="1">
            <x v="17"/>
          </reference>
          <reference field="10" count="1" selected="0">
            <x v="0"/>
          </reference>
        </references>
      </pivotArea>
    </format>
    <format dxfId="0">
      <pivotArea dataOnly="0" labelOnly="1" fieldPosition="0">
        <references count="2">
          <reference field="2" count="1">
            <x v="17"/>
          </reference>
          <reference field="10" count="1" selected="0">
            <x v="0"/>
          </reference>
        </references>
      </pivotArea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00D76-3C56-4151-9BEE-0FF7841F2CCD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Plot" colHeaderCaption="Species">
  <location ref="A3:AC17" firstHeaderRow="1" firstDataRow="2" firstDataCol="1" rowPageCount="1" colPageCount="1"/>
  <pivotFields count="15">
    <pivotField axis="axisRow" showAll="0">
      <items count="18">
        <item x="0"/>
        <item x="1"/>
        <item x="3"/>
        <item x="5"/>
        <item x="4"/>
        <item x="2"/>
        <item m="1" x="16"/>
        <item x="6"/>
        <item x="7"/>
        <item x="8"/>
        <item m="1" x="15"/>
        <item m="1" x="13"/>
        <item m="1" x="14"/>
        <item x="10"/>
        <item m="1" x="12"/>
        <item x="11"/>
        <item x="9"/>
        <item t="default"/>
      </items>
    </pivotField>
    <pivotField showAll="0"/>
    <pivotField axis="axisCol" showAll="0">
      <items count="30">
        <item x="2"/>
        <item x="0"/>
        <item x="11"/>
        <item x="19"/>
        <item x="16"/>
        <item x="12"/>
        <item x="18"/>
        <item x="7"/>
        <item x="15"/>
        <item x="20"/>
        <item x="17"/>
        <item x="3"/>
        <item x="5"/>
        <item x="6"/>
        <item x="8"/>
        <item x="1"/>
        <item x="13"/>
        <item x="9"/>
        <item x="10"/>
        <item x="4"/>
        <item x="14"/>
        <item m="1" x="27"/>
        <item m="1" x="28"/>
        <item x="21"/>
        <item x="22"/>
        <item x="23"/>
        <item x="24"/>
        <item x="25"/>
        <item x="26"/>
        <item t="default"/>
      </items>
    </pivotField>
    <pivotField showAll="0"/>
    <pivotField axis="axisPage" dataField="1" multipleItemSelectionAllowed="1" showAll="0">
      <items count="26">
        <item x="0"/>
        <item x="1"/>
        <item x="14"/>
        <item x="15"/>
        <item x="2"/>
        <item x="16"/>
        <item x="17"/>
        <item x="18"/>
        <item x="3"/>
        <item x="12"/>
        <item x="13"/>
        <item x="4"/>
        <item x="19"/>
        <item x="20"/>
        <item x="5"/>
        <item x="6"/>
        <item x="7"/>
        <item x="8"/>
        <item x="9"/>
        <item x="21"/>
        <item x="22"/>
        <item x="10"/>
        <item x="11"/>
        <item m="1" x="23"/>
        <item m="1"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3"/>
    </i>
    <i>
      <x v="15"/>
    </i>
    <i>
      <x v="16"/>
    </i>
    <i t="grand">
      <x/>
    </i>
  </rowItems>
  <colFields count="1">
    <field x="2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3"/>
    </i>
    <i>
      <x v="24"/>
    </i>
    <i>
      <x v="25"/>
    </i>
    <i>
      <x v="26"/>
    </i>
    <i>
      <x v="27"/>
    </i>
    <i>
      <x v="28"/>
    </i>
    <i t="grand">
      <x/>
    </i>
  </colItems>
  <pageFields count="1">
    <pageField fld="4" hier="-1"/>
  </pageFields>
  <dataFields count="1">
    <dataField name="Count of StemTag" fld="4" subtotal="count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678CB-F781-4FCA-A982-C6F9E06C0B38}" name="PivotTable5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Plot &amp; Species" colHeaderCaption="DBH Ranges">
  <location ref="A3:H160" firstHeaderRow="1" firstDataRow="2" firstDataCol="1" rowPageCount="1" colPageCount="1"/>
  <pivotFields count="15">
    <pivotField axis="axisRow" subtotalTop="0" showAll="0">
      <items count="18">
        <item x="0"/>
        <item x="1"/>
        <item x="3"/>
        <item x="5"/>
        <item x="4"/>
        <item x="2"/>
        <item m="1" x="16"/>
        <item x="6"/>
        <item x="7"/>
        <item x="8"/>
        <item m="1" x="15"/>
        <item m="1" x="13"/>
        <item m="1" x="14"/>
        <item x="10"/>
        <item m="1" x="12"/>
        <item x="11"/>
        <item x="9"/>
        <item t="default"/>
      </items>
    </pivotField>
    <pivotField subtotalTop="0" showAll="0"/>
    <pivotField axis="axisRow" subtotalTop="0" showAll="0">
      <items count="30">
        <item x="2"/>
        <item x="0"/>
        <item x="11"/>
        <item x="19"/>
        <item x="16"/>
        <item x="12"/>
        <item x="18"/>
        <item x="7"/>
        <item x="15"/>
        <item x="17"/>
        <item x="3"/>
        <item x="5"/>
        <item x="6"/>
        <item x="8"/>
        <item x="1"/>
        <item x="13"/>
        <item x="9"/>
        <item x="10"/>
        <item x="4"/>
        <item x="14"/>
        <item m="1" x="27"/>
        <item m="1" x="28"/>
        <item x="20"/>
        <item x="21"/>
        <item x="22"/>
        <item x="23"/>
        <item x="24"/>
        <item x="25"/>
        <item x="26"/>
        <item t="default"/>
      </items>
    </pivotField>
    <pivotField subtotalTop="0" showAll="0"/>
    <pivotField axis="axisPage" subtotalTop="0" multipleItemSelectionAllowed="1" showAll="0">
      <items count="26">
        <item x="0"/>
        <item x="1"/>
        <item x="14"/>
        <item x="15"/>
        <item x="2"/>
        <item x="16"/>
        <item x="17"/>
        <item x="18"/>
        <item x="3"/>
        <item x="12"/>
        <item x="13"/>
        <item x="4"/>
        <item x="19"/>
        <item x="20"/>
        <item x="5"/>
        <item x="6"/>
        <item x="7"/>
        <item x="8"/>
        <item x="9"/>
        <item x="21"/>
        <item x="22"/>
        <item x="10"/>
        <item x="11"/>
        <item m="1" x="23"/>
        <item m="1" x="24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Col" dataField="1" subtotalTop="0" showAll="0">
      <items count="10">
        <item m="1" x="6"/>
        <item x="2"/>
        <item x="5"/>
        <item m="1" x="8"/>
        <item x="3"/>
        <item x="0"/>
        <item x="1"/>
        <item x="4"/>
        <item m="1" x="7"/>
        <item t="default"/>
      </items>
    </pivotField>
  </pivotFields>
  <rowFields count="2">
    <field x="0"/>
    <field x="2"/>
  </rowFields>
  <rowItems count="156">
    <i>
      <x/>
    </i>
    <i r="1">
      <x/>
    </i>
    <i r="1">
      <x v="1"/>
    </i>
    <i r="1">
      <x v="7"/>
    </i>
    <i r="1">
      <x v="10"/>
    </i>
    <i r="1">
      <x v="11"/>
    </i>
    <i r="1">
      <x v="12"/>
    </i>
    <i r="1">
      <x v="14"/>
    </i>
    <i r="1">
      <x v="18"/>
    </i>
    <i t="default">
      <x/>
    </i>
    <i>
      <x v="1"/>
    </i>
    <i r="1">
      <x/>
    </i>
    <i r="1">
      <x v="1"/>
    </i>
    <i r="1">
      <x v="2"/>
    </i>
    <i r="1">
      <x v="5"/>
    </i>
    <i r="1">
      <x v="7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 v="1"/>
    </i>
    <i>
      <x v="2"/>
    </i>
    <i r="1">
      <x/>
    </i>
    <i r="1">
      <x v="1"/>
    </i>
    <i r="1">
      <x v="3"/>
    </i>
    <i r="1">
      <x v="6"/>
    </i>
    <i r="1">
      <x v="7"/>
    </i>
    <i r="1">
      <x v="8"/>
    </i>
    <i r="1">
      <x v="10"/>
    </i>
    <i r="1">
      <x v="13"/>
    </i>
    <i r="1">
      <x v="17"/>
    </i>
    <i t="default">
      <x v="2"/>
    </i>
    <i>
      <x v="3"/>
    </i>
    <i r="1">
      <x/>
    </i>
    <i r="1">
      <x v="1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7"/>
    </i>
    <i r="1">
      <x v="18"/>
    </i>
    <i r="1">
      <x v="22"/>
    </i>
    <i t="default">
      <x v="3"/>
    </i>
    <i>
      <x v="4"/>
    </i>
    <i r="1">
      <x/>
    </i>
    <i r="1">
      <x v="1"/>
    </i>
    <i r="1">
      <x v="3"/>
    </i>
    <i r="1">
      <x v="4"/>
    </i>
    <i r="1">
      <x v="7"/>
    </i>
    <i r="1">
      <x v="10"/>
    </i>
    <i r="1">
      <x v="11"/>
    </i>
    <i r="1">
      <x v="12"/>
    </i>
    <i r="1">
      <x v="14"/>
    </i>
    <i r="1">
      <x v="19"/>
    </i>
    <i t="default">
      <x v="4"/>
    </i>
    <i>
      <x v="5"/>
    </i>
    <i r="1">
      <x/>
    </i>
    <i r="1">
      <x v="1"/>
    </i>
    <i r="1">
      <x v="4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9"/>
    </i>
    <i t="default">
      <x v="5"/>
    </i>
    <i>
      <x v="7"/>
    </i>
    <i r="1">
      <x v="1"/>
    </i>
    <i r="1">
      <x v="7"/>
    </i>
    <i r="1">
      <x v="10"/>
    </i>
    <i r="1">
      <x v="11"/>
    </i>
    <i r="1">
      <x v="13"/>
    </i>
    <i r="1">
      <x v="23"/>
    </i>
    <i t="default">
      <x v="7"/>
    </i>
    <i>
      <x v="8"/>
    </i>
    <i r="1">
      <x/>
    </i>
    <i r="1">
      <x v="1"/>
    </i>
    <i r="1">
      <x v="7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24"/>
    </i>
    <i t="default">
      <x v="8"/>
    </i>
    <i>
      <x v="9"/>
    </i>
    <i r="1">
      <x/>
    </i>
    <i r="1">
      <x v="1"/>
    </i>
    <i r="1">
      <x v="3"/>
    </i>
    <i r="1">
      <x v="4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9"/>
    </i>
    <i r="1">
      <x v="23"/>
    </i>
    <i r="1">
      <x v="24"/>
    </i>
    <i r="1">
      <x v="25"/>
    </i>
    <i t="default">
      <x v="9"/>
    </i>
    <i>
      <x v="1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8"/>
    </i>
    <i t="default">
      <x v="13"/>
    </i>
    <i>
      <x v="15"/>
    </i>
    <i r="1">
      <x/>
    </i>
    <i r="1">
      <x v="1"/>
    </i>
    <i r="1">
      <x v="4"/>
    </i>
    <i r="1">
      <x v="7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24"/>
    </i>
    <i t="default">
      <x v="15"/>
    </i>
    <i>
      <x v="16"/>
    </i>
    <i r="1">
      <x/>
    </i>
    <i r="1">
      <x v="1"/>
    </i>
    <i r="1">
      <x v="3"/>
    </i>
    <i r="1">
      <x v="4"/>
    </i>
    <i r="1">
      <x v="7"/>
    </i>
    <i r="1">
      <x v="10"/>
    </i>
    <i r="1">
      <x v="13"/>
    </i>
    <i r="1">
      <x v="14"/>
    </i>
    <i r="1">
      <x v="17"/>
    </i>
    <i r="1">
      <x v="19"/>
    </i>
    <i r="1">
      <x v="23"/>
    </i>
    <i r="1">
      <x v="24"/>
    </i>
    <i r="1">
      <x v="26"/>
    </i>
    <i r="1">
      <x v="27"/>
    </i>
    <i t="default">
      <x v="16"/>
    </i>
    <i t="grand">
      <x/>
    </i>
  </rowItems>
  <colFields count="1">
    <field x="14"/>
  </colFields>
  <colItems count="7">
    <i>
      <x v="1"/>
    </i>
    <i>
      <x v="2"/>
    </i>
    <i>
      <x v="4"/>
    </i>
    <i>
      <x v="5"/>
    </i>
    <i>
      <x v="6"/>
    </i>
    <i>
      <x v="7"/>
    </i>
    <i t="grand">
      <x/>
    </i>
  </colItems>
  <pageFields count="1">
    <pageField fld="4" hier="-1"/>
  </pageFields>
  <dataFields count="1">
    <dataField name="Count of DBH Class" fld="14" subtotal="count" baseField="0" baseItem="0"/>
  </dataFields>
  <formats count="1">
    <format dxfId="39">
      <pivotArea type="all" dataOnly="0" outline="0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D1CFB3-4EF1-4130-AF9C-6ABB9019ED4A}" name="Table9" displayName="Table9" ref="A1:O3186" totalsRowShown="0">
  <autoFilter ref="A1:O3186" xr:uid="{00000000-0001-0000-0000-000000000000}"/>
  <tableColumns count="15">
    <tableColumn id="1" xr3:uid="{8578D851-7146-43AF-9DFD-698A79D28CB1}" name="Plot"/>
    <tableColumn id="2" xr3:uid="{9D288530-FBDF-493C-B006-151380A7ADAF}" name="Date" dataDxfId="46"/>
    <tableColumn id="3" xr3:uid="{5FC4FE8C-611C-49F0-95B8-452E98A52479}" name="Species"/>
    <tableColumn id="4" xr3:uid="{F3CA9422-E573-4AD2-9932-C00C543D4F04}" name="Tag"/>
    <tableColumn id="5" xr3:uid="{C9788CB1-A691-4CD1-8B2A-AD9EB7E89468}" name="StemTag"/>
    <tableColumn id="6" xr3:uid="{1EE8CE9F-8920-4830-B7AC-783F80A15551}" name="DBH.cm"/>
    <tableColumn id="7" xr3:uid="{DFB7D315-A799-46C6-8E2C-B4D277728223}" name="Code"/>
    <tableColumn id="8" xr3:uid="{247873E8-FCE3-4B5C-96D0-7FBF3A3B05FE}" name="Notes"/>
    <tableColumn id="9" xr3:uid="{2813F0A8-53C7-4B6B-A639-C35A63F905BF}" name="StemID">
      <calculatedColumnFormula>D2&amp;"_"&amp;E2</calculatedColumnFormula>
    </tableColumn>
    <tableColumn id="11" xr3:uid="{573CE74C-5A28-4B7D-B698-779DF7F94FF4}" name="NaturalArea"/>
    <tableColumn id="13" xr3:uid="{53402A5D-AD98-48DD-8057-D23560F2E77C}" name="ForestType"/>
    <tableColumn id="14" xr3:uid="{D454B503-AC27-4F6B-B819-C2AD8E503AEE}" name="Genus" dataDxfId="45">
      <calculatedColumnFormula>_xlfn.XLOOKUP(C2, Table2[Species],Table2[Genus], "Code Not Found")</calculatedColumnFormula>
    </tableColumn>
    <tableColumn id="16" xr3:uid="{2DD1FC9D-FEA9-4E03-9D2D-4D141BDF6C83}" name="Sp" dataDxfId="44">
      <calculatedColumnFormula>_xlfn.XLOOKUP(C2, Table2[Species],Table2[Sp. Name], "Code Not Found")</calculatedColumnFormula>
    </tableColumn>
    <tableColumn id="12" xr3:uid="{378B9564-A8FE-412E-B13A-01E479FBA10F}" name="Family" dataDxfId="43">
      <calculatedColumnFormula>_xleta.XLOOKUP</calculatedColumnFormula>
    </tableColumn>
    <tableColumn id="10" xr3:uid="{5C4429F2-B852-413A-B5CB-6610C6F2065D}" name="DBH Class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551E80-D6B1-40BC-BCA1-50D92D586B04}" name="Table108" displayName="Table108" ref="Q5:U14" headerRowDxfId="38">
  <autoFilter ref="Q5:U14" xr:uid="{84616E89-19E5-45E7-9EBB-D1C21276DB2C}"/>
  <tableColumns count="5">
    <tableColumn id="1" xr3:uid="{0B6CB9C0-BE25-4208-B33A-F65A22A54D28}" name="Species" totalsRowLabel="Total" dataDxfId="37" totalsRowDxfId="36"/>
    <tableColumn id="2" xr3:uid="{91FA01AC-A7D3-45C9-9450-C14AE11B33EA}" name="0 to 5 cm" dataDxfId="35" totalsRowDxfId="34">
      <calculatedColumnFormula>(C6/$F$14)*100</calculatedColumnFormula>
    </tableColumn>
    <tableColumn id="3" xr3:uid="{E758E5C8-508F-4E5C-BFB7-4346CAFA6AB9}" name="5 to 10cm" dataDxfId="33" totalsRowDxfId="32">
      <calculatedColumnFormula>(D6/$F$14)*100</calculatedColumnFormula>
    </tableColumn>
    <tableColumn id="4" xr3:uid="{E0AD9E94-AFD3-4940-A5ED-4A93A336EE4A}" name="&gt;10 cm " totalsRowFunction="sum" dataDxfId="31" totalsRowDxfId="30">
      <calculatedColumnFormula>(E6/$F$14)*100</calculatedColumnFormula>
    </tableColumn>
    <tableColumn id="5" xr3:uid="{29B7BD9F-85C9-4B23-9F04-68CB49EF75EF}" name="Total" dataDxfId="29">
      <calculatedColumnFormula>SUM(Q6:T6)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35462C-2565-42A7-8D8A-D08D599E74E2}" name="Table2" displayName="Table2" ref="A1:H40" totalsRowShown="0" headerRowDxfId="28" dataDxfId="27">
  <autoFilter ref="A1:H40" xr:uid="{C935462C-2565-42A7-8D8A-D08D599E74E2}"/>
  <sortState xmlns:xlrd2="http://schemas.microsoft.com/office/spreadsheetml/2017/richdata2" ref="A2:H40">
    <sortCondition ref="A26:A40"/>
  </sortState>
  <tableColumns count="8">
    <tableColumn id="1" xr3:uid="{3EA745BE-7064-4D0A-A80F-E7D95934B832}" name="Species"/>
    <tableColumn id="2" xr3:uid="{F1D34198-30F3-424E-99B9-B1C6D0344795}" name="Species(4-letter code)" dataDxfId="26"/>
    <tableColumn id="3" xr3:uid="{AA670552-3FAF-4358-9ACB-49244C436F37}" name="Scientific Name" dataDxfId="25"/>
    <tableColumn id="5" xr3:uid="{729DF2D9-376A-42FC-B200-9C9105CA4762}" name="Genus" dataDxfId="24">
      <calculatedColumnFormula>_xlfn.TEXTBEFORE(TRIM(Table2[[#This Row],[Scientific Name]]), " ", 1)</calculatedColumnFormula>
    </tableColumn>
    <tableColumn id="7" xr3:uid="{2C93F0F6-F6AF-4476-902D-3171C125A2A6}" name="Sp. Name" dataDxfId="23">
      <calculatedColumnFormula>LOWER(_xlfn.TEXTAFTER(TRIM(Table2[[#This Row],[Scientific Name]]), " ", -1))</calculatedColumnFormula>
    </tableColumn>
    <tableColumn id="8" xr3:uid="{9E0DD224-6D5F-450F-AB49-3CCD00B57EDB}" name="Family" dataDxfId="22"/>
    <tableColumn id="4" xr3:uid="{0B25ABC2-D900-4D0A-9BFB-A6288282064C}" name="Common Names" dataDxfId="21"/>
    <tableColumn id="6" xr3:uid="{AE96BACD-B569-4249-AC2A-D137BA232E44}" name="Classification Comments/Condition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E324C3-0908-4AE9-9E9F-AA6F50F83A1C}" name="Table96" displayName="Table96" ref="A1:O2995" totalsRowShown="0">
  <autoFilter ref="A1:O2995" xr:uid="{00000000-0001-0000-0000-000000000000}"/>
  <tableColumns count="15">
    <tableColumn id="1" xr3:uid="{A24A114E-76E5-4147-A68B-4B57A03F6DF1}" name="Plot"/>
    <tableColumn id="2" xr3:uid="{33D137D9-E63F-4BEA-BE79-BEFD083F9CE9}" name="Date" dataDxfId="20"/>
    <tableColumn id="3" xr3:uid="{7BA30993-3A84-4FD2-A343-B261DC9DE3D9}" name="Species"/>
    <tableColumn id="4" xr3:uid="{36AD251D-7E9D-4873-8ADA-E9B2B51706A7}" name="Tag"/>
    <tableColumn id="5" xr3:uid="{CBEF31EC-4275-4AA5-B493-367697A9DCDB}" name="StemTag"/>
    <tableColumn id="6" xr3:uid="{C607367F-AA46-437D-A2D4-1DD032773AA3}" name="DBH.cm"/>
    <tableColumn id="7" xr3:uid="{3E1419CB-05AB-43D0-B0E0-72744F797304}" name="Code"/>
    <tableColumn id="8" xr3:uid="{2C0A6E1B-51FC-4916-A4BF-D90AF02881A8}" name="Notes"/>
    <tableColumn id="9" xr3:uid="{8E2302AB-D644-4447-9666-A0AF1D63635F}" name="StemID">
      <calculatedColumnFormula>D2&amp;"_"&amp;E2</calculatedColumnFormula>
    </tableColumn>
    <tableColumn id="11" xr3:uid="{D8485BFF-A719-48E5-88FA-76893C9111E5}" name="NaturalArea"/>
    <tableColumn id="13" xr3:uid="{264413BD-D62C-4526-B1FF-046260AF6D92}" name="ForestType"/>
    <tableColumn id="14" xr3:uid="{693B836B-527D-4C21-8C69-12DBAA8B51B8}" name="Genus" dataDxfId="19">
      <calculatedColumnFormula>_xlfn.XLOOKUP(C2, Table2[Species],Table2[Genus], "Code Not Found")</calculatedColumnFormula>
    </tableColumn>
    <tableColumn id="16" xr3:uid="{E0AA7E4E-CC4A-46FA-8262-88B81310BC8F}" name="Sp" dataDxfId="18">
      <calculatedColumnFormula>_xlfn.XLOOKUP(C2, Table2[Species],Table2[Sp. Name], "Code Not Found")</calculatedColumnFormula>
    </tableColumn>
    <tableColumn id="12" xr3:uid="{5E84EBF5-C1E6-49CB-BF01-C97599F86612}" name="Family" dataDxfId="17">
      <calculatedColumnFormula>_xlfn.XLOOKUP(C2,Table2[Species],Table2[Family],"Code Not Found")</calculatedColumnFormula>
    </tableColumn>
    <tableColumn id="10" xr3:uid="{ED8F2168-5CB1-47F0-ADF7-00F2673CC30A}" name="DBH Class" dataDxfId="16">
      <calculatedColumnFormula array="1">_xlfn.IFS(F2="","",F2&lt;=5,"0 to 5",F2&lt;=10,"5.1 to 10",F2&lt;=20,"10 to 20", F2&lt;= 40, "20 to 40", F2 &lt;= 50, "40 to 50", F2 &gt; 50, "&gt;50" 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86"/>
  <sheetViews>
    <sheetView topLeftCell="A1258" zoomScale="92" workbookViewId="0">
      <selection activeCell="C1612" sqref="C1612"/>
    </sheetView>
  </sheetViews>
  <sheetFormatPr defaultRowHeight="15" customHeight="1" x14ac:dyDescent="0.3"/>
  <cols>
    <col min="3" max="3" width="11.33203125" customWidth="1"/>
    <col min="5" max="5" width="11" bestFit="1" customWidth="1"/>
    <col min="6" max="6" width="10.88671875" customWidth="1"/>
    <col min="7" max="7" width="7.33203125" customWidth="1"/>
    <col min="8" max="8" width="47.44140625" customWidth="1"/>
    <col min="9" max="9" width="9" customWidth="1"/>
    <col min="10" max="10" width="25.5546875" customWidth="1"/>
    <col min="11" max="11" width="19.44140625" customWidth="1"/>
    <col min="12" max="12" width="18.5546875" customWidth="1"/>
    <col min="13" max="14" width="22.44140625" customWidth="1"/>
    <col min="15" max="15" width="9" customWidth="1"/>
  </cols>
  <sheetData>
    <row r="1" spans="1:15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4.4" x14ac:dyDescent="0.3">
      <c r="A2" t="s">
        <v>15</v>
      </c>
      <c r="B2" s="1">
        <v>46160</v>
      </c>
      <c r="C2" t="s">
        <v>16</v>
      </c>
      <c r="D2">
        <v>1</v>
      </c>
      <c r="E2">
        <v>1</v>
      </c>
      <c r="F2">
        <v>24.3</v>
      </c>
      <c r="G2" t="s">
        <v>17</v>
      </c>
      <c r="I2" t="str">
        <f>D2&amp;"_"&amp;E2</f>
        <v>1_1</v>
      </c>
      <c r="J2" t="s">
        <v>18</v>
      </c>
      <c r="K2" t="s">
        <v>19</v>
      </c>
      <c r="L2" t="str">
        <f>_xlfn.XLOOKUP(C2, Table2[Species],Table2[Genus], "Code Not Found")</f>
        <v>Acer</v>
      </c>
      <c r="M2" t="str">
        <f>_xlfn.XLOOKUP(C2, Table2[Species],Table2[Sp. Name], "Code Not Found")</f>
        <v>saccharum</v>
      </c>
      <c r="N2" t="str">
        <f>_xlfn.XLOOKUP(C2,Table2[Species],Table2[Family],"Code Not Found")</f>
        <v>Sapindaceae</v>
      </c>
      <c r="O2" t="str" cm="1">
        <f t="array" ref="O2">_xlfn.IFS(F2="","",F2&lt;=5,"0 to 5",F2&lt;=10,"5.1 to 10",F2&lt;=20,"10 to 20", F2&lt;= 40, "20 to 40", F2 &lt;= 50, "40 to 50", F2 &gt; 50, "&gt;50" )</f>
        <v>20 to 40</v>
      </c>
    </row>
    <row r="3" spans="1:15" ht="14.4" x14ac:dyDescent="0.3">
      <c r="A3" t="s">
        <v>15</v>
      </c>
      <c r="B3" s="1">
        <v>46160</v>
      </c>
      <c r="C3" t="s">
        <v>20</v>
      </c>
      <c r="D3">
        <v>2</v>
      </c>
      <c r="E3">
        <v>1</v>
      </c>
      <c r="F3">
        <v>43.8</v>
      </c>
      <c r="G3" t="s">
        <v>21</v>
      </c>
      <c r="I3" t="str">
        <f t="shared" ref="I3:I66" si="0">D3&amp;"_"&amp;E3</f>
        <v>2_1</v>
      </c>
      <c r="J3" t="s">
        <v>18</v>
      </c>
      <c r="K3" t="s">
        <v>19</v>
      </c>
      <c r="L3" t="str">
        <f>_xlfn.XLOOKUP(C3, Table2[Species],Table2[Sp. Name], "Code Not Found")</f>
        <v>serotina</v>
      </c>
      <c r="M3" t="str">
        <f>_xlfn.XLOOKUP(C3, Table2[Species],Table2[Sp. Name], "Code Not Found")</f>
        <v>serotina</v>
      </c>
      <c r="N3" t="str">
        <f>_xlfn.XLOOKUP(C3,Table2[Species],Table2[Family],"Code Not Found")</f>
        <v>Rosaceae</v>
      </c>
      <c r="O3" t="str" cm="1">
        <f t="array" ref="O3">_xlfn.IFS(F3="","",F3&lt;=5,"0 to 5",F3&lt;=10,"5.1 to 10",F3&lt;=20,"10 to 20", F3&lt;= 40, "20 to 40", F3 &lt;= 50, "40 to 50", F3 &gt; 50, "&gt;50" )</f>
        <v>40 to 50</v>
      </c>
    </row>
    <row r="4" spans="1:15" ht="14.4" x14ac:dyDescent="0.3">
      <c r="A4" t="s">
        <v>15</v>
      </c>
      <c r="B4" s="1">
        <v>46160</v>
      </c>
      <c r="C4" t="s">
        <v>22</v>
      </c>
      <c r="D4">
        <v>3</v>
      </c>
      <c r="E4">
        <v>1</v>
      </c>
      <c r="F4">
        <v>26.6</v>
      </c>
      <c r="G4" t="s">
        <v>17</v>
      </c>
      <c r="I4" t="str">
        <f t="shared" si="0"/>
        <v>3_1</v>
      </c>
      <c r="J4" t="s">
        <v>18</v>
      </c>
      <c r="K4" t="s">
        <v>19</v>
      </c>
      <c r="L4" t="str">
        <f>_xlfn.XLOOKUP(C4, Table2[Species],Table2[Genus], "Code Not Found")</f>
        <v>Acer</v>
      </c>
      <c r="M4" t="str">
        <f>_xlfn.XLOOKUP(C4, Table2[Species],Table2[Sp. Name], "Code Not Found")</f>
        <v>rubrum</v>
      </c>
      <c r="N4" t="str">
        <f>_xlfn.XLOOKUP(C4,Table2[Species],Table2[Family],"Code Not Found")</f>
        <v>Sapindaceae</v>
      </c>
      <c r="O4" t="str" cm="1">
        <f t="array" ref="O4">_xlfn.IFS(F4="","",F4&lt;=5,"0 to 5",F4&lt;=10,"5.1 to 10",F4&lt;=20,"10 to 20", F4&lt;= 40, "20 to 40", F4 &lt;= 50, "40 to 50", F4 &gt; 50, "&gt;50" )</f>
        <v>20 to 40</v>
      </c>
    </row>
    <row r="5" spans="1:15" ht="14.4" x14ac:dyDescent="0.3">
      <c r="A5" t="s">
        <v>15</v>
      </c>
      <c r="B5" s="1">
        <v>46160</v>
      </c>
      <c r="C5" t="s">
        <v>16</v>
      </c>
      <c r="D5">
        <v>4</v>
      </c>
      <c r="E5">
        <v>1</v>
      </c>
      <c r="F5">
        <v>25.5</v>
      </c>
      <c r="G5" t="s">
        <v>17</v>
      </c>
      <c r="I5" t="str">
        <f t="shared" si="0"/>
        <v>4_1</v>
      </c>
      <c r="J5" t="s">
        <v>18</v>
      </c>
      <c r="K5" t="s">
        <v>19</v>
      </c>
      <c r="L5" t="str">
        <f>_xlfn.XLOOKUP(C5, Table2[Species],Table2[Genus], "Code Not Found")</f>
        <v>Acer</v>
      </c>
      <c r="M5" t="str">
        <f>_xlfn.XLOOKUP(C5, Table2[Species],Table2[Sp. Name], "Code Not Found")</f>
        <v>saccharum</v>
      </c>
      <c r="N5" t="str">
        <f>_xlfn.XLOOKUP(C5,Table2[Species],Table2[Family],"Code Not Found")</f>
        <v>Sapindaceae</v>
      </c>
      <c r="O5" t="str" cm="1">
        <f t="array" ref="O5">_xlfn.IFS(F5="","",F5&lt;=5,"0 to 5",F5&lt;=10,"5.1 to 10",F5&lt;=20,"10 to 20", F5&lt;= 40, "20 to 40", F5 &lt;= 50, "40 to 50", F5 &gt; 50, "&gt;50" )</f>
        <v>20 to 40</v>
      </c>
    </row>
    <row r="6" spans="1:15" ht="14.4" x14ac:dyDescent="0.3">
      <c r="A6" t="s">
        <v>15</v>
      </c>
      <c r="B6" s="1">
        <v>46160</v>
      </c>
      <c r="C6" t="s">
        <v>16</v>
      </c>
      <c r="D6">
        <v>5</v>
      </c>
      <c r="E6">
        <v>1</v>
      </c>
      <c r="F6">
        <v>1.9</v>
      </c>
      <c r="G6" t="s">
        <v>21</v>
      </c>
      <c r="H6" s="2"/>
      <c r="I6" t="str">
        <f t="shared" si="0"/>
        <v>5_1</v>
      </c>
      <c r="J6" t="s">
        <v>18</v>
      </c>
      <c r="K6" t="s">
        <v>19</v>
      </c>
      <c r="L6" t="str">
        <f>_xlfn.XLOOKUP(C6, Table2[Species],Table2[Genus], "Code Not Found")</f>
        <v>Acer</v>
      </c>
      <c r="M6" t="str">
        <f>_xlfn.XLOOKUP(C6, Table2[Species],Table2[Sp. Name], "Code Not Found")</f>
        <v>saccharum</v>
      </c>
      <c r="N6" t="str">
        <f>_xlfn.XLOOKUP(C6,Table2[Species],Table2[Family],"Code Not Found")</f>
        <v>Sapindaceae</v>
      </c>
      <c r="O6" t="str" cm="1">
        <f t="array" ref="O6">_xlfn.IFS(F6="","",F6&lt;=5,"0 to 5",F6&lt;=10,"5.1 to 10",F6&lt;=20,"10 to 20", F6&lt;= 40, "20 to 40", F6 &lt;= 50, "40 to 50", F6 &gt; 50, "&gt;50" )</f>
        <v>0 to 5</v>
      </c>
    </row>
    <row r="7" spans="1:15" ht="14.4" x14ac:dyDescent="0.3">
      <c r="A7" t="s">
        <v>15</v>
      </c>
      <c r="B7" s="1">
        <v>46160</v>
      </c>
      <c r="C7" t="s">
        <v>16</v>
      </c>
      <c r="D7">
        <v>6</v>
      </c>
      <c r="E7">
        <v>1</v>
      </c>
      <c r="F7">
        <v>2.2000000000000002</v>
      </c>
      <c r="G7" t="s">
        <v>21</v>
      </c>
      <c r="H7" s="2"/>
      <c r="I7" t="str">
        <f t="shared" si="0"/>
        <v>6_1</v>
      </c>
      <c r="J7" t="s">
        <v>18</v>
      </c>
      <c r="K7" t="s">
        <v>19</v>
      </c>
      <c r="L7" t="str">
        <f>_xlfn.XLOOKUP(C7, Table2[Species],Table2[Genus], "Code Not Found")</f>
        <v>Acer</v>
      </c>
      <c r="M7" t="str">
        <f>_xlfn.XLOOKUP(C7, Table2[Species],Table2[Sp. Name], "Code Not Found")</f>
        <v>saccharum</v>
      </c>
      <c r="N7" t="str">
        <f>_xlfn.XLOOKUP(C7,Table2[Species],Table2[Family],"Code Not Found")</f>
        <v>Sapindaceae</v>
      </c>
      <c r="O7" t="str" cm="1">
        <f t="array" ref="O7">_xlfn.IFS(F7="","",F7&lt;=5,"0 to 5",F7&lt;=10,"5.1 to 10",F7&lt;=20,"10 to 20", F7&lt;= 40, "20 to 40", F7 &lt;= 50, "40 to 50", F7 &gt; 50, "&gt;50" )</f>
        <v>0 to 5</v>
      </c>
    </row>
    <row r="8" spans="1:15" ht="14.4" x14ac:dyDescent="0.3">
      <c r="A8" t="s">
        <v>15</v>
      </c>
      <c r="B8" s="1">
        <v>46160</v>
      </c>
      <c r="C8" t="s">
        <v>16</v>
      </c>
      <c r="D8">
        <v>7</v>
      </c>
      <c r="E8">
        <v>1</v>
      </c>
      <c r="F8">
        <v>11.2</v>
      </c>
      <c r="G8" t="s">
        <v>17</v>
      </c>
      <c r="H8" t="s">
        <v>23</v>
      </c>
      <c r="I8" t="str">
        <f t="shared" si="0"/>
        <v>7_1</v>
      </c>
      <c r="J8" t="s">
        <v>18</v>
      </c>
      <c r="K8" t="s">
        <v>19</v>
      </c>
      <c r="L8" t="str">
        <f>_xlfn.XLOOKUP(C8, Table2[Species],Table2[Genus], "Code Not Found")</f>
        <v>Acer</v>
      </c>
      <c r="M8" t="str">
        <f>_xlfn.XLOOKUP(C8, Table2[Species],Table2[Sp. Name], "Code Not Found")</f>
        <v>saccharum</v>
      </c>
      <c r="N8" t="str">
        <f>_xlfn.XLOOKUP(C8,Table2[Species],Table2[Family],"Code Not Found")</f>
        <v>Sapindaceae</v>
      </c>
      <c r="O8" t="str" cm="1">
        <f t="array" ref="O8">_xlfn.IFS(F8="","",F8&lt;=5,"0 to 5",F8&lt;=10,"5.1 to 10",F8&lt;=20,"10 to 20", F8&lt;= 40, "20 to 40", F8 &lt;= 50, "40 to 50", F8 &gt; 50, "&gt;50" )</f>
        <v>10 to 20</v>
      </c>
    </row>
    <row r="9" spans="1:15" ht="14.4" x14ac:dyDescent="0.3">
      <c r="A9" t="s">
        <v>15</v>
      </c>
      <c r="B9" s="1">
        <v>46160</v>
      </c>
      <c r="C9" t="s">
        <v>16</v>
      </c>
      <c r="D9">
        <v>10</v>
      </c>
      <c r="E9">
        <v>1</v>
      </c>
      <c r="F9">
        <v>1.5</v>
      </c>
      <c r="G9" t="s">
        <v>21</v>
      </c>
      <c r="I9" t="str">
        <f t="shared" si="0"/>
        <v>10_1</v>
      </c>
      <c r="J9" t="s">
        <v>18</v>
      </c>
      <c r="K9" t="s">
        <v>19</v>
      </c>
      <c r="L9" t="str">
        <f>_xlfn.XLOOKUP(C9, Table2[Species],Table2[Genus], "Code Not Found")</f>
        <v>Acer</v>
      </c>
      <c r="M9" t="str">
        <f>_xlfn.XLOOKUP(C9, Table2[Species],Table2[Sp. Name], "Code Not Found")</f>
        <v>saccharum</v>
      </c>
      <c r="N9" t="str">
        <f>_xlfn.XLOOKUP(C9,Table2[Species],Table2[Family],"Code Not Found")</f>
        <v>Sapindaceae</v>
      </c>
      <c r="O9" t="str" cm="1">
        <f t="array" ref="O9">_xlfn.IFS(F9="","",F9&lt;=5,"0 to 5",F9&lt;=10,"5.1 to 10",F9&lt;=20,"10 to 20", F9&lt;= 40, "20 to 40", F9 &lt;= 50, "40 to 50", F9 &gt; 50, "&gt;50" )</f>
        <v>0 to 5</v>
      </c>
    </row>
    <row r="10" spans="1:15" ht="14.4" x14ac:dyDescent="0.3">
      <c r="A10" t="s">
        <v>15</v>
      </c>
      <c r="B10" s="1">
        <v>46160</v>
      </c>
      <c r="C10" t="s">
        <v>24</v>
      </c>
      <c r="D10">
        <v>8</v>
      </c>
      <c r="E10">
        <v>1</v>
      </c>
      <c r="F10">
        <v>77.3</v>
      </c>
      <c r="G10" t="s">
        <v>21</v>
      </c>
      <c r="I10" t="str">
        <f t="shared" si="0"/>
        <v>8_1</v>
      </c>
      <c r="J10" t="s">
        <v>18</v>
      </c>
      <c r="K10" t="s">
        <v>19</v>
      </c>
      <c r="L10" t="str">
        <f>_xlfn.XLOOKUP(C10, Table2[Species],Table2[Genus], "Code Not Found")</f>
        <v>Lirodendron</v>
      </c>
      <c r="M10" t="str">
        <f>_xlfn.XLOOKUP(C10, Table2[Species],Table2[Sp. Name], "Code Not Found")</f>
        <v>tulipfera</v>
      </c>
      <c r="N10" t="str">
        <f>_xlfn.XLOOKUP(C10,Table2[Species],Table2[Family],"Code Not Found")</f>
        <v>Magnoliaceae</v>
      </c>
      <c r="O10" t="str" cm="1">
        <f t="array" ref="O10">_xlfn.IFS(F10="","",F10&lt;=5,"0 to 5",F10&lt;=10,"5.1 to 10",F10&lt;=20,"10 to 20", F10&lt;= 40, "20 to 40", F10 &lt;= 50, "40 to 50", F10 &gt; 50, "&gt;50" )</f>
        <v>&gt;50</v>
      </c>
    </row>
    <row r="11" spans="1:15" ht="14.4" x14ac:dyDescent="0.3">
      <c r="A11" t="s">
        <v>15</v>
      </c>
      <c r="B11" s="1">
        <v>46160</v>
      </c>
      <c r="C11" t="s">
        <v>16</v>
      </c>
      <c r="D11">
        <v>9</v>
      </c>
      <c r="E11">
        <v>1</v>
      </c>
      <c r="F11">
        <v>1.3</v>
      </c>
      <c r="G11" t="s">
        <v>21</v>
      </c>
      <c r="I11" t="str">
        <f t="shared" si="0"/>
        <v>9_1</v>
      </c>
      <c r="J11" t="s">
        <v>18</v>
      </c>
      <c r="K11" t="s">
        <v>19</v>
      </c>
      <c r="L11" t="str">
        <f>_xlfn.XLOOKUP(C11, Table2[Species],Table2[Genus], "Code Not Found")</f>
        <v>Acer</v>
      </c>
      <c r="M11" t="str">
        <f>_xlfn.XLOOKUP(C11, Table2[Species],Table2[Sp. Name], "Code Not Found")</f>
        <v>saccharum</v>
      </c>
      <c r="N11" t="str">
        <f>_xlfn.XLOOKUP(C11,Table2[Species],Table2[Family],"Code Not Found")</f>
        <v>Sapindaceae</v>
      </c>
      <c r="O11" t="str" cm="1">
        <f t="array" ref="O11">_xlfn.IFS(F11="","",F11&lt;=5,"0 to 5",F11&lt;=10,"5.1 to 10",F11&lt;=20,"10 to 20", F11&lt;= 40, "20 to 40", F11 &lt;= 50, "40 to 50", F11 &gt; 50, "&gt;50" )</f>
        <v>0 to 5</v>
      </c>
    </row>
    <row r="12" spans="1:15" ht="14.4" x14ac:dyDescent="0.3">
      <c r="A12" t="s">
        <v>15</v>
      </c>
      <c r="B12" s="1">
        <v>46160</v>
      </c>
      <c r="C12" t="s">
        <v>16</v>
      </c>
      <c r="D12">
        <v>12</v>
      </c>
      <c r="E12">
        <v>1</v>
      </c>
      <c r="F12">
        <v>21.4</v>
      </c>
      <c r="G12" t="s">
        <v>21</v>
      </c>
      <c r="I12" t="str">
        <f t="shared" si="0"/>
        <v>12_1</v>
      </c>
      <c r="J12" t="s">
        <v>18</v>
      </c>
      <c r="K12" t="s">
        <v>19</v>
      </c>
      <c r="L12" t="str">
        <f>_xlfn.XLOOKUP(C12, Table2[Species],Table2[Genus], "Code Not Found")</f>
        <v>Acer</v>
      </c>
      <c r="M12" t="str">
        <f>_xlfn.XLOOKUP(C12, Table2[Species],Table2[Sp. Name], "Code Not Found")</f>
        <v>saccharum</v>
      </c>
      <c r="N12" t="str">
        <f>_xlfn.XLOOKUP(C12,Table2[Species],Table2[Family],"Code Not Found")</f>
        <v>Sapindaceae</v>
      </c>
      <c r="O12" t="str" cm="1">
        <f t="array" ref="O12">_xlfn.IFS(F12="","",F12&lt;=5,"0 to 5",F12&lt;=10,"5.1 to 10",F12&lt;=20,"10 to 20", F12&lt;= 40, "20 to 40", F12 &lt;= 50, "40 to 50", F12 &gt; 50, "&gt;50" )</f>
        <v>20 to 40</v>
      </c>
    </row>
    <row r="13" spans="1:15" ht="14.4" x14ac:dyDescent="0.3">
      <c r="A13" t="s">
        <v>15</v>
      </c>
      <c r="B13" s="1">
        <v>46160</v>
      </c>
      <c r="C13" t="s">
        <v>16</v>
      </c>
      <c r="D13">
        <v>14</v>
      </c>
      <c r="E13">
        <v>1</v>
      </c>
      <c r="F13">
        <v>3.2</v>
      </c>
      <c r="G13" t="s">
        <v>21</v>
      </c>
      <c r="I13" t="str">
        <f t="shared" si="0"/>
        <v>14_1</v>
      </c>
      <c r="J13" t="s">
        <v>18</v>
      </c>
      <c r="K13" t="s">
        <v>19</v>
      </c>
      <c r="L13" t="str">
        <f>_xlfn.XLOOKUP(C13, Table2[Species],Table2[Genus], "Code Not Found")</f>
        <v>Acer</v>
      </c>
      <c r="M13" t="str">
        <f>_xlfn.XLOOKUP(C13, Table2[Species],Table2[Sp. Name], "Code Not Found")</f>
        <v>saccharum</v>
      </c>
      <c r="N13" t="str">
        <f>_xlfn.XLOOKUP(C13,Table2[Species],Table2[Family],"Code Not Found")</f>
        <v>Sapindaceae</v>
      </c>
      <c r="O13" t="str" cm="1">
        <f t="array" ref="O13">_xlfn.IFS(F13="","",F13&lt;=5,"0 to 5",F13&lt;=10,"5.1 to 10",F13&lt;=20,"10 to 20", F13&lt;= 40, "20 to 40", F13 &lt;= 50, "40 to 50", F13 &gt; 50, "&gt;50" )</f>
        <v>0 to 5</v>
      </c>
    </row>
    <row r="14" spans="1:15" ht="14.4" x14ac:dyDescent="0.3">
      <c r="A14" t="s">
        <v>15</v>
      </c>
      <c r="B14" s="1">
        <v>46160</v>
      </c>
      <c r="C14" t="s">
        <v>16</v>
      </c>
      <c r="D14">
        <v>13</v>
      </c>
      <c r="E14">
        <v>1</v>
      </c>
      <c r="F14">
        <v>5.9</v>
      </c>
      <c r="G14" t="s">
        <v>17</v>
      </c>
      <c r="I14" t="str">
        <f t="shared" si="0"/>
        <v>13_1</v>
      </c>
      <c r="J14" t="s">
        <v>18</v>
      </c>
      <c r="K14" t="s">
        <v>19</v>
      </c>
      <c r="L14" t="str">
        <f>_xlfn.XLOOKUP(C14, Table2[Species],Table2[Genus], "Code Not Found")</f>
        <v>Acer</v>
      </c>
      <c r="M14" t="str">
        <f>_xlfn.XLOOKUP(C14, Table2[Species],Table2[Sp. Name], "Code Not Found")</f>
        <v>saccharum</v>
      </c>
      <c r="N14" t="str">
        <f>_xlfn.XLOOKUP(C14,Table2[Species],Table2[Family],"Code Not Found")</f>
        <v>Sapindaceae</v>
      </c>
      <c r="O14" t="str" cm="1">
        <f t="array" ref="O14">_xlfn.IFS(F14="","",F14&lt;=5,"0 to 5",F14&lt;=10,"5.1 to 10",F14&lt;=20,"10 to 20", F14&lt;= 40, "20 to 40", F14 &lt;= 50, "40 to 50", F14 &gt; 50, "&gt;50" )</f>
        <v>5.1 to 10</v>
      </c>
    </row>
    <row r="15" spans="1:15" ht="14.4" x14ac:dyDescent="0.3">
      <c r="A15" t="s">
        <v>15</v>
      </c>
      <c r="B15" s="1">
        <v>46160</v>
      </c>
      <c r="C15" t="s">
        <v>16</v>
      </c>
      <c r="D15">
        <v>11</v>
      </c>
      <c r="E15">
        <v>1</v>
      </c>
      <c r="F15">
        <v>46</v>
      </c>
      <c r="G15" t="s">
        <v>25</v>
      </c>
      <c r="H15" s="3" t="s">
        <v>26</v>
      </c>
      <c r="I15" t="str">
        <f t="shared" si="0"/>
        <v>11_1</v>
      </c>
      <c r="J15" t="s">
        <v>18</v>
      </c>
      <c r="K15" t="s">
        <v>19</v>
      </c>
      <c r="L15" t="str">
        <f>_xlfn.XLOOKUP(C15, Table2[Species],Table2[Genus], "Code Not Found")</f>
        <v>Acer</v>
      </c>
      <c r="M15" t="str">
        <f>_xlfn.XLOOKUP(C15, Table2[Species],Table2[Sp. Name], "Code Not Found")</f>
        <v>saccharum</v>
      </c>
      <c r="N15" t="str">
        <f>_xlfn.XLOOKUP(C15,Table2[Species],Table2[Family],"Code Not Found")</f>
        <v>Sapindaceae</v>
      </c>
      <c r="O15" t="str" cm="1">
        <f t="array" ref="O15">_xlfn.IFS(F15="","",F15&lt;=5,"0 to 5",F15&lt;=10,"5.1 to 10",F15&lt;=20,"10 to 20", F15&lt;= 40, "20 to 40", F15 &lt;= 50, "40 to 50", F15 &gt; 50, "&gt;50" )</f>
        <v>40 to 50</v>
      </c>
    </row>
    <row r="16" spans="1:15" ht="14.4" x14ac:dyDescent="0.3">
      <c r="A16" t="s">
        <v>15</v>
      </c>
      <c r="B16" s="1">
        <v>46160</v>
      </c>
      <c r="C16" t="s">
        <v>24</v>
      </c>
      <c r="D16">
        <v>15</v>
      </c>
      <c r="E16">
        <v>1</v>
      </c>
      <c r="F16">
        <v>52.3</v>
      </c>
      <c r="G16" t="s">
        <v>21</v>
      </c>
      <c r="I16" t="str">
        <f t="shared" si="0"/>
        <v>15_1</v>
      </c>
      <c r="J16" t="s">
        <v>18</v>
      </c>
      <c r="K16" t="s">
        <v>19</v>
      </c>
      <c r="L16" t="str">
        <f>_xlfn.XLOOKUP(C16, Table2[Species],Table2[Genus], "Code Not Found")</f>
        <v>Lirodendron</v>
      </c>
      <c r="M16" t="str">
        <f>_xlfn.XLOOKUP(C16, Table2[Species],Table2[Sp. Name], "Code Not Found")</f>
        <v>tulipfera</v>
      </c>
      <c r="N16" t="str">
        <f>_xlfn.XLOOKUP(C16,Table2[Species],Table2[Family],"Code Not Found")</f>
        <v>Magnoliaceae</v>
      </c>
      <c r="O16" t="str" cm="1">
        <f t="array" ref="O16">_xlfn.IFS(F16="","",F16&lt;=5,"0 to 5",F16&lt;=10,"5.1 to 10",F16&lt;=20,"10 to 20", F16&lt;= 40, "20 to 40", F16 &lt;= 50, "40 to 50", F16 &gt; 50, "&gt;50" )</f>
        <v>&gt;50</v>
      </c>
    </row>
    <row r="17" spans="1:15" ht="14.4" x14ac:dyDescent="0.3">
      <c r="A17" t="s">
        <v>15</v>
      </c>
      <c r="B17" s="1">
        <v>46160</v>
      </c>
      <c r="C17" t="s">
        <v>16</v>
      </c>
      <c r="D17">
        <v>16</v>
      </c>
      <c r="E17">
        <v>1</v>
      </c>
      <c r="F17">
        <v>18.600000000000001</v>
      </c>
      <c r="G17" t="s">
        <v>21</v>
      </c>
      <c r="I17" t="str">
        <f t="shared" si="0"/>
        <v>16_1</v>
      </c>
      <c r="J17" t="s">
        <v>18</v>
      </c>
      <c r="K17" t="s">
        <v>19</v>
      </c>
      <c r="L17" t="str">
        <f>_xlfn.XLOOKUP(C17, Table2[Species],Table2[Genus], "Code Not Found")</f>
        <v>Acer</v>
      </c>
      <c r="M17" t="str">
        <f>_xlfn.XLOOKUP(C17, Table2[Species],Table2[Sp. Name], "Code Not Found")</f>
        <v>saccharum</v>
      </c>
      <c r="N17" t="str">
        <f>_xlfn.XLOOKUP(C17,Table2[Species],Table2[Family],"Code Not Found")</f>
        <v>Sapindaceae</v>
      </c>
      <c r="O17" t="str" cm="1">
        <f t="array" ref="O17">_xlfn.IFS(F17="","",F17&lt;=5,"0 to 5",F17&lt;=10,"5.1 to 10",F17&lt;=20,"10 to 20", F17&lt;= 40, "20 to 40", F17 &lt;= 50, "40 to 50", F17 &gt; 50, "&gt;50" )</f>
        <v>10 to 20</v>
      </c>
    </row>
    <row r="18" spans="1:15" ht="14.4" x14ac:dyDescent="0.3">
      <c r="A18" t="s">
        <v>15</v>
      </c>
      <c r="B18" s="1">
        <v>46160</v>
      </c>
      <c r="C18" t="s">
        <v>24</v>
      </c>
      <c r="D18">
        <v>17</v>
      </c>
      <c r="E18">
        <v>1</v>
      </c>
      <c r="F18">
        <v>35.4</v>
      </c>
      <c r="G18" t="s">
        <v>21</v>
      </c>
      <c r="I18" t="str">
        <f t="shared" si="0"/>
        <v>17_1</v>
      </c>
      <c r="J18" t="s">
        <v>18</v>
      </c>
      <c r="K18" t="s">
        <v>19</v>
      </c>
      <c r="L18" t="str">
        <f>_xlfn.XLOOKUP(C18, Table2[Species],Table2[Genus], "Code Not Found")</f>
        <v>Lirodendron</v>
      </c>
      <c r="M18" t="str">
        <f>_xlfn.XLOOKUP(C18, Table2[Species],Table2[Sp. Name], "Code Not Found")</f>
        <v>tulipfera</v>
      </c>
      <c r="N18" t="str">
        <f>_xlfn.XLOOKUP(C18,Table2[Species],Table2[Family],"Code Not Found")</f>
        <v>Magnoliaceae</v>
      </c>
      <c r="O18" t="str" cm="1">
        <f t="array" ref="O18">_xlfn.IFS(F18="","",F18&lt;=5,"0 to 5",F18&lt;=10,"5.1 to 10",F18&lt;=20,"10 to 20", F18&lt;= 40, "20 to 40", F18 &lt;= 50, "40 to 50", F18 &gt; 50, "&gt;50" )</f>
        <v>20 to 40</v>
      </c>
    </row>
    <row r="19" spans="1:15" ht="14.4" x14ac:dyDescent="0.3">
      <c r="A19" t="s">
        <v>15</v>
      </c>
      <c r="B19" s="1">
        <v>46160</v>
      </c>
      <c r="C19" t="s">
        <v>24</v>
      </c>
      <c r="D19">
        <v>18</v>
      </c>
      <c r="E19">
        <v>1</v>
      </c>
      <c r="F19">
        <v>44.8</v>
      </c>
      <c r="G19" t="s">
        <v>21</v>
      </c>
      <c r="I19" t="str">
        <f t="shared" si="0"/>
        <v>18_1</v>
      </c>
      <c r="J19" t="s">
        <v>18</v>
      </c>
      <c r="K19" t="s">
        <v>19</v>
      </c>
      <c r="L19" t="str">
        <f>_xlfn.XLOOKUP(C19, Table2[Species],Table2[Genus], "Code Not Found")</f>
        <v>Lirodendron</v>
      </c>
      <c r="M19" t="str">
        <f>_xlfn.XLOOKUP(C19, Table2[Species],Table2[Sp. Name], "Code Not Found")</f>
        <v>tulipfera</v>
      </c>
      <c r="N19" t="str">
        <f>_xlfn.XLOOKUP(C19,Table2[Species],Table2[Family],"Code Not Found")</f>
        <v>Magnoliaceae</v>
      </c>
      <c r="O19" t="str" cm="1">
        <f t="array" ref="O19">_xlfn.IFS(F19="","",F19&lt;=5,"0 to 5",F19&lt;=10,"5.1 to 10",F19&lt;=20,"10 to 20", F19&lt;= 40, "20 to 40", F19 &lt;= 50, "40 to 50", F19 &gt; 50, "&gt;50" )</f>
        <v>40 to 50</v>
      </c>
    </row>
    <row r="20" spans="1:15" ht="14.4" x14ac:dyDescent="0.3">
      <c r="A20" t="s">
        <v>15</v>
      </c>
      <c r="B20" s="1">
        <v>46160</v>
      </c>
      <c r="C20" t="s">
        <v>16</v>
      </c>
      <c r="D20">
        <v>19</v>
      </c>
      <c r="E20">
        <v>1</v>
      </c>
      <c r="F20">
        <v>8</v>
      </c>
      <c r="G20" t="s">
        <v>17</v>
      </c>
      <c r="I20" t="str">
        <f t="shared" si="0"/>
        <v>19_1</v>
      </c>
      <c r="J20" t="s">
        <v>18</v>
      </c>
      <c r="K20" t="s">
        <v>19</v>
      </c>
      <c r="L20" t="str">
        <f>_xlfn.XLOOKUP(C20, Table2[Species],Table2[Genus], "Code Not Found")</f>
        <v>Acer</v>
      </c>
      <c r="M20" t="str">
        <f>_xlfn.XLOOKUP(C20, Table2[Species],Table2[Sp. Name], "Code Not Found")</f>
        <v>saccharum</v>
      </c>
      <c r="N20" t="str">
        <f>_xlfn.XLOOKUP(C20,Table2[Species],Table2[Family],"Code Not Found")</f>
        <v>Sapindaceae</v>
      </c>
      <c r="O20" t="str" cm="1">
        <f t="array" ref="O20">_xlfn.IFS(F20="","",F20&lt;=5,"0 to 5",F20&lt;=10,"5.1 to 10",F20&lt;=20,"10 to 20", F20&lt;= 40, "20 to 40", F20 &lt;= 50, "40 to 50", F20 &gt; 50, "&gt;50" )</f>
        <v>5.1 to 10</v>
      </c>
    </row>
    <row r="21" spans="1:15" ht="14.4" x14ac:dyDescent="0.3">
      <c r="A21" t="s">
        <v>15</v>
      </c>
      <c r="B21" s="1">
        <v>46161</v>
      </c>
      <c r="C21" t="s">
        <v>22</v>
      </c>
      <c r="D21">
        <v>20</v>
      </c>
      <c r="E21">
        <v>1</v>
      </c>
      <c r="F21">
        <v>34.1</v>
      </c>
      <c r="G21" t="s">
        <v>27</v>
      </c>
      <c r="H21" t="s">
        <v>28</v>
      </c>
      <c r="I21" t="str">
        <f t="shared" si="0"/>
        <v>20_1</v>
      </c>
      <c r="J21" t="s">
        <v>18</v>
      </c>
      <c r="K21" t="s">
        <v>19</v>
      </c>
      <c r="L21" t="str">
        <f>_xlfn.XLOOKUP(C21, Table2[Species],Table2[Genus], "Code Not Found")</f>
        <v>Acer</v>
      </c>
      <c r="M21" t="str">
        <f>_xlfn.XLOOKUP(C21, Table2[Species],Table2[Sp. Name], "Code Not Found")</f>
        <v>rubrum</v>
      </c>
      <c r="N21" t="str">
        <f>_xlfn.XLOOKUP(C21,Table2[Species],Table2[Family],"Code Not Found")</f>
        <v>Sapindaceae</v>
      </c>
      <c r="O21" t="str" cm="1">
        <f t="array" ref="O21">_xlfn.IFS(F21="","",F21&lt;=5,"0 to 5",F21&lt;=10,"5.1 to 10",F21&lt;=20,"10 to 20", F21&lt;= 40, "20 to 40", F21 &lt;= 50, "40 to 50", F21 &gt; 50, "&gt;50" )</f>
        <v>20 to 40</v>
      </c>
    </row>
    <row r="22" spans="1:15" ht="14.4" x14ac:dyDescent="0.3">
      <c r="A22" t="s">
        <v>15</v>
      </c>
      <c r="B22" s="1">
        <v>46161</v>
      </c>
      <c r="C22" t="s">
        <v>16</v>
      </c>
      <c r="D22">
        <v>21</v>
      </c>
      <c r="E22">
        <v>1</v>
      </c>
      <c r="F22">
        <v>9.8000000000000007</v>
      </c>
      <c r="G22" t="s">
        <v>21</v>
      </c>
      <c r="I22" t="str">
        <f t="shared" si="0"/>
        <v>21_1</v>
      </c>
      <c r="J22" t="s">
        <v>18</v>
      </c>
      <c r="K22" t="s">
        <v>19</v>
      </c>
      <c r="L22" t="str">
        <f>_xlfn.XLOOKUP(C22, Table2[Species],Table2[Genus], "Code Not Found")</f>
        <v>Acer</v>
      </c>
      <c r="M22" t="str">
        <f>_xlfn.XLOOKUP(C22, Table2[Species],Table2[Sp. Name], "Code Not Found")</f>
        <v>saccharum</v>
      </c>
      <c r="N22" t="str">
        <f>_xlfn.XLOOKUP(C22,Table2[Species],Table2[Family],"Code Not Found")</f>
        <v>Sapindaceae</v>
      </c>
      <c r="O22" t="str" cm="1">
        <f t="array" ref="O22">_xlfn.IFS(F22="","",F22&lt;=5,"0 to 5",F22&lt;=10,"5.1 to 10",F22&lt;=20,"10 to 20", F22&lt;= 40, "20 to 40", F22 &lt;= 50, "40 to 50", F22 &gt; 50, "&gt;50" )</f>
        <v>5.1 to 10</v>
      </c>
    </row>
    <row r="23" spans="1:15" ht="14.4" x14ac:dyDescent="0.3">
      <c r="A23" t="s">
        <v>15</v>
      </c>
      <c r="B23" s="1">
        <v>46161</v>
      </c>
      <c r="C23" t="s">
        <v>29</v>
      </c>
      <c r="D23">
        <v>22</v>
      </c>
      <c r="E23">
        <v>1</v>
      </c>
      <c r="F23">
        <v>31.6</v>
      </c>
      <c r="G23" t="s">
        <v>21</v>
      </c>
      <c r="I23" t="str">
        <f t="shared" si="0"/>
        <v>22_1</v>
      </c>
      <c r="J23" t="s">
        <v>18</v>
      </c>
      <c r="K23" t="s">
        <v>19</v>
      </c>
      <c r="L23" t="str">
        <f>_xlfn.XLOOKUP(C23, Table2[Species],Table2[Genus], "Code Not Found")</f>
        <v>Sassafras</v>
      </c>
      <c r="M23" t="str">
        <f>_xlfn.XLOOKUP(C23, Table2[Species],Table2[Sp. Name], "Code Not Found")</f>
        <v>albidum</v>
      </c>
      <c r="N23" t="str">
        <f>_xlfn.XLOOKUP(C23,Table2[Species],Table2[Family],"Code Not Found")</f>
        <v>Lauraceae</v>
      </c>
      <c r="O23" t="str" cm="1">
        <f t="array" ref="O23">_xlfn.IFS(F23="","",F23&lt;=5,"0 to 5",F23&lt;=10,"5.1 to 10",F23&lt;=20,"10 to 20", F23&lt;= 40, "20 to 40", F23 &lt;= 50, "40 to 50", F23 &gt; 50, "&gt;50" )</f>
        <v>20 to 40</v>
      </c>
    </row>
    <row r="24" spans="1:15" ht="14.4" x14ac:dyDescent="0.3">
      <c r="A24" t="s">
        <v>15</v>
      </c>
      <c r="B24" s="1">
        <v>46161</v>
      </c>
      <c r="C24" t="s">
        <v>16</v>
      </c>
      <c r="D24">
        <v>23</v>
      </c>
      <c r="E24">
        <v>1</v>
      </c>
      <c r="F24">
        <v>12.6</v>
      </c>
      <c r="G24" t="s">
        <v>21</v>
      </c>
      <c r="I24" t="str">
        <f t="shared" si="0"/>
        <v>23_1</v>
      </c>
      <c r="J24" t="s">
        <v>18</v>
      </c>
      <c r="K24" t="s">
        <v>19</v>
      </c>
      <c r="L24" t="str">
        <f>_xlfn.XLOOKUP(C24, Table2[Species],Table2[Genus], "Code Not Found")</f>
        <v>Acer</v>
      </c>
      <c r="M24" t="str">
        <f>_xlfn.XLOOKUP(C24, Table2[Species],Table2[Sp. Name], "Code Not Found")</f>
        <v>saccharum</v>
      </c>
      <c r="N24" t="str">
        <f>_xlfn.XLOOKUP(C24,Table2[Species],Table2[Family],"Code Not Found")</f>
        <v>Sapindaceae</v>
      </c>
      <c r="O24" t="str" cm="1">
        <f t="array" ref="O24">_xlfn.IFS(F24="","",F24&lt;=5,"0 to 5",F24&lt;=10,"5.1 to 10",F24&lt;=20,"10 to 20", F24&lt;= 40, "20 to 40", F24 &lt;= 50, "40 to 50", F24 &gt; 50, "&gt;50" )</f>
        <v>10 to 20</v>
      </c>
    </row>
    <row r="25" spans="1:15" ht="14.4" x14ac:dyDescent="0.3">
      <c r="A25" t="s">
        <v>15</v>
      </c>
      <c r="B25" s="1">
        <v>46161</v>
      </c>
      <c r="C25" t="s">
        <v>16</v>
      </c>
      <c r="D25">
        <v>24</v>
      </c>
      <c r="E25">
        <v>1</v>
      </c>
      <c r="F25">
        <v>17.100000000000001</v>
      </c>
      <c r="G25" t="s">
        <v>30</v>
      </c>
      <c r="H25" t="s">
        <v>31</v>
      </c>
      <c r="I25" t="str">
        <f t="shared" si="0"/>
        <v>24_1</v>
      </c>
      <c r="J25" t="s">
        <v>18</v>
      </c>
      <c r="K25" t="s">
        <v>19</v>
      </c>
      <c r="L25" t="str">
        <f>_xlfn.XLOOKUP(C25, Table2[Species],Table2[Genus], "Code Not Found")</f>
        <v>Acer</v>
      </c>
      <c r="M25" t="str">
        <f>_xlfn.XLOOKUP(C25, Table2[Species],Table2[Sp. Name], "Code Not Found")</f>
        <v>saccharum</v>
      </c>
      <c r="N25" t="str">
        <f>_xlfn.XLOOKUP(C25,Table2[Species],Table2[Family],"Code Not Found")</f>
        <v>Sapindaceae</v>
      </c>
      <c r="O25" t="str" cm="1">
        <f t="array" ref="O25">_xlfn.IFS(F25="","",F25&lt;=5,"0 to 5",F25&lt;=10,"5.1 to 10",F25&lt;=20,"10 to 20", F25&lt;= 40, "20 to 40", F25 &lt;= 50, "40 to 50", F25 &gt; 50, "&gt;50" )</f>
        <v>10 to 20</v>
      </c>
    </row>
    <row r="26" spans="1:15" ht="14.4" x14ac:dyDescent="0.3">
      <c r="A26" t="s">
        <v>15</v>
      </c>
      <c r="B26" s="1">
        <v>46161</v>
      </c>
      <c r="C26" t="s">
        <v>24</v>
      </c>
      <c r="D26">
        <v>25</v>
      </c>
      <c r="E26">
        <v>1</v>
      </c>
      <c r="F26">
        <v>60.2</v>
      </c>
      <c r="G26" t="s">
        <v>32</v>
      </c>
      <c r="H26" t="s">
        <v>33</v>
      </c>
      <c r="I26" t="str">
        <f t="shared" si="0"/>
        <v>25_1</v>
      </c>
      <c r="J26" t="s">
        <v>18</v>
      </c>
      <c r="K26" t="s">
        <v>19</v>
      </c>
      <c r="L26" t="str">
        <f>_xlfn.XLOOKUP(C26, Table2[Species],Table2[Genus], "Code Not Found")</f>
        <v>Lirodendron</v>
      </c>
      <c r="M26" t="str">
        <f>_xlfn.XLOOKUP(C26, Table2[Species],Table2[Sp. Name], "Code Not Found")</f>
        <v>tulipfera</v>
      </c>
      <c r="N26" t="str">
        <f>_xlfn.XLOOKUP(C26,Table2[Species],Table2[Family],"Code Not Found")</f>
        <v>Magnoliaceae</v>
      </c>
      <c r="O26" t="str" cm="1">
        <f t="array" ref="O26">_xlfn.IFS(F26="","",F26&lt;=5,"0 to 5",F26&lt;=10,"5.1 to 10",F26&lt;=20,"10 to 20", F26&lt;= 40, "20 to 40", F26 &lt;= 50, "40 to 50", F26 &gt; 50, "&gt;50" )</f>
        <v>&gt;50</v>
      </c>
    </row>
    <row r="27" spans="1:15" ht="14.4" x14ac:dyDescent="0.3">
      <c r="A27" t="s">
        <v>15</v>
      </c>
      <c r="B27" s="1">
        <v>46161</v>
      </c>
      <c r="C27" t="s">
        <v>24</v>
      </c>
      <c r="D27">
        <v>25</v>
      </c>
      <c r="E27">
        <v>2</v>
      </c>
      <c r="F27">
        <v>41.5</v>
      </c>
      <c r="G27" t="s">
        <v>34</v>
      </c>
      <c r="I27" t="str">
        <f t="shared" si="0"/>
        <v>25_2</v>
      </c>
      <c r="J27" t="s">
        <v>18</v>
      </c>
      <c r="K27" t="s">
        <v>19</v>
      </c>
      <c r="L27" t="str">
        <f>_xlfn.XLOOKUP(C27, Table2[Species],Table2[Genus], "Code Not Found")</f>
        <v>Lirodendron</v>
      </c>
      <c r="M27" t="str">
        <f>_xlfn.XLOOKUP(C27, Table2[Species],Table2[Sp. Name], "Code Not Found")</f>
        <v>tulipfera</v>
      </c>
      <c r="N27" t="str">
        <f>_xlfn.XLOOKUP(C27,Table2[Species],Table2[Family],"Code Not Found")</f>
        <v>Magnoliaceae</v>
      </c>
      <c r="O27" t="str" cm="1">
        <f t="array" ref="O27">_xlfn.IFS(F27="","",F27&lt;=5,"0 to 5",F27&lt;=10,"5.1 to 10",F27&lt;=20,"10 to 20", F27&lt;= 40, "20 to 40", F27 &lt;= 50, "40 to 50", F27 &gt; 50, "&gt;50" )</f>
        <v>40 to 50</v>
      </c>
    </row>
    <row r="28" spans="1:15" ht="14.4" x14ac:dyDescent="0.3">
      <c r="A28" t="s">
        <v>15</v>
      </c>
      <c r="B28" s="1">
        <v>46161</v>
      </c>
      <c r="C28" t="s">
        <v>16</v>
      </c>
      <c r="D28">
        <v>26</v>
      </c>
      <c r="E28">
        <v>1</v>
      </c>
      <c r="F28">
        <v>19</v>
      </c>
      <c r="G28" t="s">
        <v>21</v>
      </c>
      <c r="I28" t="str">
        <f t="shared" si="0"/>
        <v>26_1</v>
      </c>
      <c r="J28" t="s">
        <v>18</v>
      </c>
      <c r="K28" t="s">
        <v>19</v>
      </c>
      <c r="L28" t="str">
        <f>_xlfn.XLOOKUP(C28, Table2[Species],Table2[Genus], "Code Not Found")</f>
        <v>Acer</v>
      </c>
      <c r="M28" t="str">
        <f>_xlfn.XLOOKUP(C28, Table2[Species],Table2[Sp. Name], "Code Not Found")</f>
        <v>saccharum</v>
      </c>
      <c r="N28" t="str">
        <f>_xlfn.XLOOKUP(C28,Table2[Species],Table2[Family],"Code Not Found")</f>
        <v>Sapindaceae</v>
      </c>
      <c r="O28" t="str" cm="1">
        <f t="array" ref="O28">_xlfn.IFS(F28="","",F28&lt;=5,"0 to 5",F28&lt;=10,"5.1 to 10",F28&lt;=20,"10 to 20", F28&lt;= 40, "20 to 40", F28 &lt;= 50, "40 to 50", F28 &gt; 50, "&gt;50" )</f>
        <v>10 to 20</v>
      </c>
    </row>
    <row r="29" spans="1:15" ht="14.4" x14ac:dyDescent="0.3">
      <c r="A29" t="s">
        <v>15</v>
      </c>
      <c r="B29" s="1">
        <v>46161</v>
      </c>
      <c r="C29" t="s">
        <v>16</v>
      </c>
      <c r="D29">
        <v>27</v>
      </c>
      <c r="E29">
        <v>1</v>
      </c>
      <c r="F29">
        <v>23.9</v>
      </c>
      <c r="G29" t="s">
        <v>17</v>
      </c>
      <c r="H29" t="s">
        <v>35</v>
      </c>
      <c r="I29" t="str">
        <f t="shared" si="0"/>
        <v>27_1</v>
      </c>
      <c r="J29" t="s">
        <v>18</v>
      </c>
      <c r="K29" t="s">
        <v>19</v>
      </c>
      <c r="L29" t="str">
        <f>_xlfn.XLOOKUP(C29, Table2[Species],Table2[Genus], "Code Not Found")</f>
        <v>Acer</v>
      </c>
      <c r="M29" t="str">
        <f>_xlfn.XLOOKUP(C29, Table2[Species],Table2[Sp. Name], "Code Not Found")</f>
        <v>saccharum</v>
      </c>
      <c r="N29" t="str">
        <f>_xlfn.XLOOKUP(C29,Table2[Species],Table2[Family],"Code Not Found")</f>
        <v>Sapindaceae</v>
      </c>
      <c r="O29" t="str" cm="1">
        <f t="array" ref="O29">_xlfn.IFS(F29="","",F29&lt;=5,"0 to 5",F29&lt;=10,"5.1 to 10",F29&lt;=20,"10 to 20", F29&lt;= 40, "20 to 40", F29 &lt;= 50, "40 to 50", F29 &gt; 50, "&gt;50" )</f>
        <v>20 to 40</v>
      </c>
    </row>
    <row r="30" spans="1:15" ht="14.4" x14ac:dyDescent="0.3">
      <c r="A30" t="s">
        <v>15</v>
      </c>
      <c r="B30" s="1">
        <v>46161</v>
      </c>
      <c r="C30" t="s">
        <v>24</v>
      </c>
      <c r="D30">
        <v>28</v>
      </c>
      <c r="E30">
        <v>1</v>
      </c>
      <c r="F30">
        <v>60.8</v>
      </c>
      <c r="G30" t="s">
        <v>17</v>
      </c>
      <c r="H30" t="s">
        <v>36</v>
      </c>
      <c r="I30" t="str">
        <f t="shared" si="0"/>
        <v>28_1</v>
      </c>
      <c r="J30" t="s">
        <v>18</v>
      </c>
      <c r="K30" t="s">
        <v>19</v>
      </c>
      <c r="L30" t="str">
        <f>_xlfn.XLOOKUP(C30, Table2[Species],Table2[Genus], "Code Not Found")</f>
        <v>Lirodendron</v>
      </c>
      <c r="M30" t="str">
        <f>_xlfn.XLOOKUP(C30, Table2[Species],Table2[Sp. Name], "Code Not Found")</f>
        <v>tulipfera</v>
      </c>
      <c r="N30" t="str">
        <f>_xlfn.XLOOKUP(C30,Table2[Species],Table2[Family],"Code Not Found")</f>
        <v>Magnoliaceae</v>
      </c>
      <c r="O30" t="str" cm="1">
        <f t="array" ref="O30">_xlfn.IFS(F30="","",F30&lt;=5,"0 to 5",F30&lt;=10,"5.1 to 10",F30&lt;=20,"10 to 20", F30&lt;= 40, "20 to 40", F30 &lt;= 50, "40 to 50", F30 &gt; 50, "&gt;50" )</f>
        <v>&gt;50</v>
      </c>
    </row>
    <row r="31" spans="1:15" ht="14.4" x14ac:dyDescent="0.3">
      <c r="A31" t="s">
        <v>15</v>
      </c>
      <c r="B31" s="1">
        <v>46161</v>
      </c>
      <c r="C31" t="s">
        <v>24</v>
      </c>
      <c r="D31">
        <v>29</v>
      </c>
      <c r="E31">
        <v>1</v>
      </c>
      <c r="F31">
        <v>52.2</v>
      </c>
      <c r="G31" t="s">
        <v>21</v>
      </c>
      <c r="H31" t="s">
        <v>37</v>
      </c>
      <c r="I31" t="str">
        <f t="shared" si="0"/>
        <v>29_1</v>
      </c>
      <c r="J31" t="s">
        <v>18</v>
      </c>
      <c r="K31" t="s">
        <v>19</v>
      </c>
      <c r="L31" t="str">
        <f>_xlfn.XLOOKUP(C31, Table2[Species],Table2[Genus], "Code Not Found")</f>
        <v>Lirodendron</v>
      </c>
      <c r="M31" t="str">
        <f>_xlfn.XLOOKUP(C31, Table2[Species],Table2[Sp. Name], "Code Not Found")</f>
        <v>tulipfera</v>
      </c>
      <c r="N31" t="str">
        <f>_xlfn.XLOOKUP(C31,Table2[Species],Table2[Family],"Code Not Found")</f>
        <v>Magnoliaceae</v>
      </c>
      <c r="O31" t="str" cm="1">
        <f t="array" ref="O31">_xlfn.IFS(F31="","",F31&lt;=5,"0 to 5",F31&lt;=10,"5.1 to 10",F31&lt;=20,"10 to 20", F31&lt;= 40, "20 to 40", F31 &lt;= 50, "40 to 50", F31 &gt; 50, "&gt;50" )</f>
        <v>&gt;50</v>
      </c>
    </row>
    <row r="32" spans="1:15" ht="14.4" x14ac:dyDescent="0.3">
      <c r="A32" t="s">
        <v>15</v>
      </c>
      <c r="B32" s="1">
        <v>46161</v>
      </c>
      <c r="C32" t="s">
        <v>22</v>
      </c>
      <c r="D32">
        <v>30</v>
      </c>
      <c r="E32">
        <v>1</v>
      </c>
      <c r="F32">
        <v>45</v>
      </c>
      <c r="G32" t="s">
        <v>17</v>
      </c>
      <c r="I32" t="str">
        <f t="shared" si="0"/>
        <v>30_1</v>
      </c>
      <c r="J32" t="s">
        <v>18</v>
      </c>
      <c r="K32" t="s">
        <v>19</v>
      </c>
      <c r="L32" t="str">
        <f>_xlfn.XLOOKUP(C32, Table2[Species],Table2[Genus], "Code Not Found")</f>
        <v>Acer</v>
      </c>
      <c r="M32" t="str">
        <f>_xlfn.XLOOKUP(C32, Table2[Species],Table2[Sp. Name], "Code Not Found")</f>
        <v>rubrum</v>
      </c>
      <c r="N32" t="str">
        <f>_xlfn.XLOOKUP(C32,Table2[Species],Table2[Family],"Code Not Found")</f>
        <v>Sapindaceae</v>
      </c>
      <c r="O32" t="str" cm="1">
        <f t="array" ref="O32">_xlfn.IFS(F32="","",F32&lt;=5,"0 to 5",F32&lt;=10,"5.1 to 10",F32&lt;=20,"10 to 20", F32&lt;= 40, "20 to 40", F32 &lt;= 50, "40 to 50", F32 &gt; 50, "&gt;50" )</f>
        <v>40 to 50</v>
      </c>
    </row>
    <row r="33" spans="1:15" ht="14.4" x14ac:dyDescent="0.3">
      <c r="A33" t="s">
        <v>15</v>
      </c>
      <c r="B33" s="1">
        <v>46161</v>
      </c>
      <c r="C33" t="s">
        <v>16</v>
      </c>
      <c r="D33">
        <v>31</v>
      </c>
      <c r="E33">
        <v>1</v>
      </c>
      <c r="F33">
        <v>1.6</v>
      </c>
      <c r="G33" t="s">
        <v>21</v>
      </c>
      <c r="I33" t="str">
        <f t="shared" si="0"/>
        <v>31_1</v>
      </c>
      <c r="J33" t="s">
        <v>18</v>
      </c>
      <c r="K33" t="s">
        <v>19</v>
      </c>
      <c r="L33" t="str">
        <f>_xlfn.XLOOKUP(C33, Table2[Species],Table2[Genus], "Code Not Found")</f>
        <v>Acer</v>
      </c>
      <c r="M33" t="str">
        <f>_xlfn.XLOOKUP(C33, Table2[Species],Table2[Sp. Name], "Code Not Found")</f>
        <v>saccharum</v>
      </c>
      <c r="N33" t="str">
        <f>_xlfn.XLOOKUP(C33,Table2[Species],Table2[Family],"Code Not Found")</f>
        <v>Sapindaceae</v>
      </c>
      <c r="O33" t="str" cm="1">
        <f t="array" ref="O33">_xlfn.IFS(F33="","",F33&lt;=5,"0 to 5",F33&lt;=10,"5.1 to 10",F33&lt;=20,"10 to 20", F33&lt;= 40, "20 to 40", F33 &lt;= 50, "40 to 50", F33 &gt; 50, "&gt;50" )</f>
        <v>0 to 5</v>
      </c>
    </row>
    <row r="34" spans="1:15" ht="14.4" x14ac:dyDescent="0.3">
      <c r="A34" t="s">
        <v>15</v>
      </c>
      <c r="B34" s="1">
        <v>46161</v>
      </c>
      <c r="C34" t="s">
        <v>16</v>
      </c>
      <c r="D34">
        <v>32</v>
      </c>
      <c r="E34">
        <v>1</v>
      </c>
      <c r="F34">
        <v>2</v>
      </c>
      <c r="G34" t="s">
        <v>21</v>
      </c>
      <c r="I34" t="str">
        <f t="shared" si="0"/>
        <v>32_1</v>
      </c>
      <c r="J34" t="s">
        <v>18</v>
      </c>
      <c r="K34" t="s">
        <v>19</v>
      </c>
      <c r="L34" t="str">
        <f>_xlfn.XLOOKUP(C34, Table2[Species],Table2[Genus], "Code Not Found")</f>
        <v>Acer</v>
      </c>
      <c r="M34" t="str">
        <f>_xlfn.XLOOKUP(C34, Table2[Species],Table2[Sp. Name], "Code Not Found")</f>
        <v>saccharum</v>
      </c>
      <c r="N34" t="str">
        <f>_xlfn.XLOOKUP(C34,Table2[Species],Table2[Family],"Code Not Found")</f>
        <v>Sapindaceae</v>
      </c>
      <c r="O34" t="str" cm="1">
        <f t="array" ref="O34">_xlfn.IFS(F34="","",F34&lt;=5,"0 to 5",F34&lt;=10,"5.1 to 10",F34&lt;=20,"10 to 20", F34&lt;= 40, "20 to 40", F34 &lt;= 50, "40 to 50", F34 &gt; 50, "&gt;50" )</f>
        <v>0 to 5</v>
      </c>
    </row>
    <row r="35" spans="1:15" ht="14.4" x14ac:dyDescent="0.3">
      <c r="A35" t="s">
        <v>15</v>
      </c>
      <c r="B35" s="1">
        <v>46161</v>
      </c>
      <c r="C35" t="s">
        <v>16</v>
      </c>
      <c r="D35">
        <v>33</v>
      </c>
      <c r="E35">
        <v>1</v>
      </c>
      <c r="F35">
        <v>15.6</v>
      </c>
      <c r="G35" t="s">
        <v>17</v>
      </c>
      <c r="H35" t="s">
        <v>36</v>
      </c>
      <c r="I35" t="str">
        <f t="shared" si="0"/>
        <v>33_1</v>
      </c>
      <c r="J35" t="s">
        <v>18</v>
      </c>
      <c r="K35" t="s">
        <v>19</v>
      </c>
      <c r="L35" t="str">
        <f>_xlfn.XLOOKUP(C35, Table2[Species],Table2[Genus], "Code Not Found")</f>
        <v>Acer</v>
      </c>
      <c r="M35" t="str">
        <f>_xlfn.XLOOKUP(C35, Table2[Species],Table2[Sp. Name], "Code Not Found")</f>
        <v>saccharum</v>
      </c>
      <c r="N35" t="str">
        <f>_xlfn.XLOOKUP(C35,Table2[Species],Table2[Family],"Code Not Found")</f>
        <v>Sapindaceae</v>
      </c>
      <c r="O35" t="str" cm="1">
        <f t="array" ref="O35">_xlfn.IFS(F35="","",F35&lt;=5,"0 to 5",F35&lt;=10,"5.1 to 10",F35&lt;=20,"10 to 20", F35&lt;= 40, "20 to 40", F35 &lt;= 50, "40 to 50", F35 &gt; 50, "&gt;50" )</f>
        <v>10 to 20</v>
      </c>
    </row>
    <row r="36" spans="1:15" ht="14.4" x14ac:dyDescent="0.3">
      <c r="A36" t="s">
        <v>15</v>
      </c>
      <c r="B36" s="1">
        <v>46161</v>
      </c>
      <c r="C36" t="s">
        <v>29</v>
      </c>
      <c r="D36">
        <v>34</v>
      </c>
      <c r="E36">
        <v>1</v>
      </c>
      <c r="F36">
        <v>36.200000000000003</v>
      </c>
      <c r="G36" t="s">
        <v>21</v>
      </c>
      <c r="I36" t="str">
        <f t="shared" si="0"/>
        <v>34_1</v>
      </c>
      <c r="J36" t="s">
        <v>18</v>
      </c>
      <c r="K36" t="s">
        <v>19</v>
      </c>
      <c r="L36" t="str">
        <f>_xlfn.XLOOKUP(C36, Table2[Species],Table2[Genus], "Code Not Found")</f>
        <v>Sassafras</v>
      </c>
      <c r="M36" t="str">
        <f>_xlfn.XLOOKUP(C36, Table2[Species],Table2[Sp. Name], "Code Not Found")</f>
        <v>albidum</v>
      </c>
      <c r="N36" t="str">
        <f>_xlfn.XLOOKUP(C36,Table2[Species],Table2[Family],"Code Not Found")</f>
        <v>Lauraceae</v>
      </c>
      <c r="O36" t="str" cm="1">
        <f t="array" ref="O36">_xlfn.IFS(F36="","",F36&lt;=5,"0 to 5",F36&lt;=10,"5.1 to 10",F36&lt;=20,"10 to 20", F36&lt;= 40, "20 to 40", F36 &lt;= 50, "40 to 50", F36 &gt; 50, "&gt;50" )</f>
        <v>20 to 40</v>
      </c>
    </row>
    <row r="37" spans="1:15" ht="14.4" x14ac:dyDescent="0.3">
      <c r="A37" t="s">
        <v>15</v>
      </c>
      <c r="B37" s="1">
        <v>46161</v>
      </c>
      <c r="C37" t="s">
        <v>16</v>
      </c>
      <c r="D37">
        <v>35</v>
      </c>
      <c r="E37">
        <v>1</v>
      </c>
      <c r="F37">
        <v>4.8</v>
      </c>
      <c r="G37" t="s">
        <v>21</v>
      </c>
      <c r="I37" t="str">
        <f t="shared" si="0"/>
        <v>35_1</v>
      </c>
      <c r="J37" t="s">
        <v>18</v>
      </c>
      <c r="K37" t="s">
        <v>19</v>
      </c>
      <c r="L37" t="str">
        <f>_xlfn.XLOOKUP(C37, Table2[Species],Table2[Genus], "Code Not Found")</f>
        <v>Acer</v>
      </c>
      <c r="M37" t="str">
        <f>_xlfn.XLOOKUP(C37, Table2[Species],Table2[Sp. Name], "Code Not Found")</f>
        <v>saccharum</v>
      </c>
      <c r="N37" t="str">
        <f>_xlfn.XLOOKUP(C37,Table2[Species],Table2[Family],"Code Not Found")</f>
        <v>Sapindaceae</v>
      </c>
      <c r="O37" t="str" cm="1">
        <f t="array" ref="O37">_xlfn.IFS(F37="","",F37&lt;=5,"0 to 5",F37&lt;=10,"5.1 to 10",F37&lt;=20,"10 to 20", F37&lt;= 40, "20 to 40", F37 &lt;= 50, "40 to 50", F37 &gt; 50, "&gt;50" )</f>
        <v>0 to 5</v>
      </c>
    </row>
    <row r="38" spans="1:15" ht="14.4" x14ac:dyDescent="0.3">
      <c r="A38" t="s">
        <v>15</v>
      </c>
      <c r="B38" s="1">
        <v>46161</v>
      </c>
      <c r="C38" t="s">
        <v>16</v>
      </c>
      <c r="D38">
        <v>36</v>
      </c>
      <c r="E38">
        <v>1</v>
      </c>
      <c r="F38">
        <v>3</v>
      </c>
      <c r="G38" t="s">
        <v>34</v>
      </c>
      <c r="I38" t="str">
        <f t="shared" si="0"/>
        <v>36_1</v>
      </c>
      <c r="J38" t="s">
        <v>18</v>
      </c>
      <c r="K38" t="s">
        <v>19</v>
      </c>
      <c r="L38" t="str">
        <f>_xlfn.XLOOKUP(C38, Table2[Species],Table2[Genus], "Code Not Found")</f>
        <v>Acer</v>
      </c>
      <c r="M38" t="str">
        <f>_xlfn.XLOOKUP(C38, Table2[Species],Table2[Sp. Name], "Code Not Found")</f>
        <v>saccharum</v>
      </c>
      <c r="N38" t="str">
        <f>_xlfn.XLOOKUP(C38,Table2[Species],Table2[Family],"Code Not Found")</f>
        <v>Sapindaceae</v>
      </c>
      <c r="O38" t="str" cm="1">
        <f t="array" ref="O38">_xlfn.IFS(F38="","",F38&lt;=5,"0 to 5",F38&lt;=10,"5.1 to 10",F38&lt;=20,"10 to 20", F38&lt;= 40, "20 to 40", F38 &lt;= 50, "40 to 50", F38 &gt; 50, "&gt;50" )</f>
        <v>0 to 5</v>
      </c>
    </row>
    <row r="39" spans="1:15" ht="14.4" x14ac:dyDescent="0.3">
      <c r="A39" t="s">
        <v>15</v>
      </c>
      <c r="B39" s="1">
        <v>46161</v>
      </c>
      <c r="C39" t="s">
        <v>16</v>
      </c>
      <c r="D39">
        <v>36</v>
      </c>
      <c r="E39">
        <v>2</v>
      </c>
      <c r="F39">
        <v>1.8</v>
      </c>
      <c r="G39" t="s">
        <v>34</v>
      </c>
      <c r="I39" t="str">
        <f t="shared" si="0"/>
        <v>36_2</v>
      </c>
      <c r="J39" t="s">
        <v>18</v>
      </c>
      <c r="K39" t="s">
        <v>19</v>
      </c>
      <c r="L39" t="str">
        <f>_xlfn.XLOOKUP(C39, Table2[Species],Table2[Genus], "Code Not Found")</f>
        <v>Acer</v>
      </c>
      <c r="M39" t="str">
        <f>_xlfn.XLOOKUP(C39, Table2[Species],Table2[Sp. Name], "Code Not Found")</f>
        <v>saccharum</v>
      </c>
      <c r="N39" t="str">
        <f>_xlfn.XLOOKUP(C39,Table2[Species],Table2[Family],"Code Not Found")</f>
        <v>Sapindaceae</v>
      </c>
      <c r="O39" t="str" cm="1">
        <f t="array" ref="O39">_xlfn.IFS(F39="","",F39&lt;=5,"0 to 5",F39&lt;=10,"5.1 to 10",F39&lt;=20,"10 to 20", F39&lt;= 40, "20 to 40", F39 &lt;= 50, "40 to 50", F39 &gt; 50, "&gt;50" )</f>
        <v>0 to 5</v>
      </c>
    </row>
    <row r="40" spans="1:15" ht="14.4" x14ac:dyDescent="0.3">
      <c r="A40" t="s">
        <v>15</v>
      </c>
      <c r="B40" s="1">
        <v>46161</v>
      </c>
      <c r="C40" t="s">
        <v>16</v>
      </c>
      <c r="D40">
        <v>37</v>
      </c>
      <c r="E40">
        <v>1</v>
      </c>
      <c r="F40">
        <v>2.5</v>
      </c>
      <c r="G40" t="s">
        <v>21</v>
      </c>
      <c r="I40" t="str">
        <f t="shared" si="0"/>
        <v>37_1</v>
      </c>
      <c r="J40" t="s">
        <v>18</v>
      </c>
      <c r="K40" t="s">
        <v>19</v>
      </c>
      <c r="L40" t="str">
        <f>_xlfn.XLOOKUP(C40, Table2[Species],Table2[Genus], "Code Not Found")</f>
        <v>Acer</v>
      </c>
      <c r="M40" t="str">
        <f>_xlfn.XLOOKUP(C40, Table2[Species],Table2[Sp. Name], "Code Not Found")</f>
        <v>saccharum</v>
      </c>
      <c r="N40" t="str">
        <f>_xlfn.XLOOKUP(C40,Table2[Species],Table2[Family],"Code Not Found")</f>
        <v>Sapindaceae</v>
      </c>
      <c r="O40" t="str" cm="1">
        <f t="array" ref="O40">_xlfn.IFS(F40="","",F40&lt;=5,"0 to 5",F40&lt;=10,"5.1 to 10",F40&lt;=20,"10 to 20", F40&lt;= 40, "20 to 40", F40 &lt;= 50, "40 to 50", F40 &gt; 50, "&gt;50" )</f>
        <v>0 to 5</v>
      </c>
    </row>
    <row r="41" spans="1:15" ht="14.4" x14ac:dyDescent="0.3">
      <c r="A41" t="s">
        <v>15</v>
      </c>
      <c r="B41" s="1">
        <v>46161</v>
      </c>
      <c r="C41" t="s">
        <v>16</v>
      </c>
      <c r="D41">
        <v>38</v>
      </c>
      <c r="E41">
        <v>1</v>
      </c>
      <c r="F41">
        <v>1.6</v>
      </c>
      <c r="G41" t="s">
        <v>17</v>
      </c>
      <c r="I41" t="str">
        <f t="shared" si="0"/>
        <v>38_1</v>
      </c>
      <c r="J41" t="s">
        <v>18</v>
      </c>
      <c r="K41" t="s">
        <v>19</v>
      </c>
      <c r="L41" t="str">
        <f>_xlfn.XLOOKUP(C41, Table2[Species],Table2[Genus], "Code Not Found")</f>
        <v>Acer</v>
      </c>
      <c r="M41" t="str">
        <f>_xlfn.XLOOKUP(C41, Table2[Species],Table2[Sp. Name], "Code Not Found")</f>
        <v>saccharum</v>
      </c>
      <c r="N41" t="str">
        <f>_xlfn.XLOOKUP(C41,Table2[Species],Table2[Family],"Code Not Found")</f>
        <v>Sapindaceae</v>
      </c>
      <c r="O41" t="str" cm="1">
        <f t="array" ref="O41">_xlfn.IFS(F41="","",F41&lt;=5,"0 to 5",F41&lt;=10,"5.1 to 10",F41&lt;=20,"10 to 20", F41&lt;= 40, "20 to 40", F41 &lt;= 50, "40 to 50", F41 &gt; 50, "&gt;50" )</f>
        <v>0 to 5</v>
      </c>
    </row>
    <row r="42" spans="1:15" ht="14.4" x14ac:dyDescent="0.3">
      <c r="A42" t="s">
        <v>15</v>
      </c>
      <c r="B42" s="1">
        <v>46161</v>
      </c>
      <c r="C42" t="s">
        <v>16</v>
      </c>
      <c r="D42">
        <v>39</v>
      </c>
      <c r="E42">
        <v>1</v>
      </c>
      <c r="F42">
        <v>1.5</v>
      </c>
      <c r="G42" t="s">
        <v>38</v>
      </c>
      <c r="I42" t="str">
        <f t="shared" si="0"/>
        <v>39_1</v>
      </c>
      <c r="J42" t="s">
        <v>18</v>
      </c>
      <c r="K42" t="s">
        <v>19</v>
      </c>
      <c r="L42" t="str">
        <f>_xlfn.XLOOKUP(C42, Table2[Species],Table2[Genus], "Code Not Found")</f>
        <v>Acer</v>
      </c>
      <c r="M42" t="str">
        <f>_xlfn.XLOOKUP(C42, Table2[Species],Table2[Sp. Name], "Code Not Found")</f>
        <v>saccharum</v>
      </c>
      <c r="N42" t="str">
        <f>_xlfn.XLOOKUP(C42,Table2[Species],Table2[Family],"Code Not Found")</f>
        <v>Sapindaceae</v>
      </c>
      <c r="O42" t="str" cm="1">
        <f t="array" ref="O42">_xlfn.IFS(F42="","",F42&lt;=5,"0 to 5",F42&lt;=10,"5.1 to 10",F42&lt;=20,"10 to 20", F42&lt;= 40, "20 to 40", F42 &lt;= 50, "40 to 50", F42 &gt; 50, "&gt;50" )</f>
        <v>0 to 5</v>
      </c>
    </row>
    <row r="43" spans="1:15" ht="14.4" x14ac:dyDescent="0.3">
      <c r="A43" t="s">
        <v>15</v>
      </c>
      <c r="B43" s="1">
        <v>46161</v>
      </c>
      <c r="C43" t="s">
        <v>16</v>
      </c>
      <c r="D43">
        <v>40</v>
      </c>
      <c r="E43">
        <v>1</v>
      </c>
      <c r="F43">
        <v>1.3</v>
      </c>
      <c r="G43" t="s">
        <v>17</v>
      </c>
      <c r="I43" t="str">
        <f t="shared" si="0"/>
        <v>40_1</v>
      </c>
      <c r="J43" t="s">
        <v>18</v>
      </c>
      <c r="K43" t="s">
        <v>19</v>
      </c>
      <c r="L43" t="str">
        <f>_xlfn.XLOOKUP(C43, Table2[Species],Table2[Genus], "Code Not Found")</f>
        <v>Acer</v>
      </c>
      <c r="M43" t="str">
        <f>_xlfn.XLOOKUP(C43, Table2[Species],Table2[Sp. Name], "Code Not Found")</f>
        <v>saccharum</v>
      </c>
      <c r="N43" t="str">
        <f>_xlfn.XLOOKUP(C43,Table2[Species],Table2[Family],"Code Not Found")</f>
        <v>Sapindaceae</v>
      </c>
      <c r="O43" t="str" cm="1">
        <f t="array" ref="O43">_xlfn.IFS(F43="","",F43&lt;=5,"0 to 5",F43&lt;=10,"5.1 to 10",F43&lt;=20,"10 to 20", F43&lt;= 40, "20 to 40", F43 &lt;= 50, "40 to 50", F43 &gt; 50, "&gt;50" )</f>
        <v>0 to 5</v>
      </c>
    </row>
    <row r="44" spans="1:15" ht="14.4" x14ac:dyDescent="0.3">
      <c r="A44" t="s">
        <v>15</v>
      </c>
      <c r="B44" s="1">
        <v>46161</v>
      </c>
      <c r="C44" t="s">
        <v>24</v>
      </c>
      <c r="D44">
        <v>41</v>
      </c>
      <c r="E44">
        <v>1</v>
      </c>
      <c r="F44">
        <v>61.5</v>
      </c>
      <c r="G44" t="s">
        <v>21</v>
      </c>
      <c r="I44" t="str">
        <f t="shared" si="0"/>
        <v>41_1</v>
      </c>
      <c r="J44" t="s">
        <v>18</v>
      </c>
      <c r="K44" t="s">
        <v>19</v>
      </c>
      <c r="L44" t="str">
        <f>_xlfn.XLOOKUP(C44, Table2[Species],Table2[Genus], "Code Not Found")</f>
        <v>Lirodendron</v>
      </c>
      <c r="M44" t="str">
        <f>_xlfn.XLOOKUP(C44, Table2[Species],Table2[Sp. Name], "Code Not Found")</f>
        <v>tulipfera</v>
      </c>
      <c r="N44" t="str">
        <f>_xlfn.XLOOKUP(C44,Table2[Species],Table2[Family],"Code Not Found")</f>
        <v>Magnoliaceae</v>
      </c>
      <c r="O44" t="str" cm="1">
        <f t="array" ref="O44">_xlfn.IFS(F44="","",F44&lt;=5,"0 to 5",F44&lt;=10,"5.1 to 10",F44&lt;=20,"10 to 20", F44&lt;= 40, "20 to 40", F44 &lt;= 50, "40 to 50", F44 &gt; 50, "&gt;50" )</f>
        <v>&gt;50</v>
      </c>
    </row>
    <row r="45" spans="1:15" ht="14.4" x14ac:dyDescent="0.3">
      <c r="A45" t="s">
        <v>15</v>
      </c>
      <c r="B45" s="1">
        <v>46161</v>
      </c>
      <c r="C45" t="s">
        <v>16</v>
      </c>
      <c r="D45">
        <v>42</v>
      </c>
      <c r="E45">
        <v>1</v>
      </c>
      <c r="F45">
        <v>12.7</v>
      </c>
      <c r="G45" t="s">
        <v>39</v>
      </c>
      <c r="H45" t="s">
        <v>40</v>
      </c>
      <c r="I45" t="str">
        <f t="shared" si="0"/>
        <v>42_1</v>
      </c>
      <c r="J45" t="s">
        <v>18</v>
      </c>
      <c r="K45" t="s">
        <v>19</v>
      </c>
      <c r="L45" t="str">
        <f>_xlfn.XLOOKUP(C45, Table2[Species],Table2[Genus], "Code Not Found")</f>
        <v>Acer</v>
      </c>
      <c r="M45" t="str">
        <f>_xlfn.XLOOKUP(C45, Table2[Species],Table2[Sp. Name], "Code Not Found")</f>
        <v>saccharum</v>
      </c>
      <c r="N45" t="str">
        <f>_xlfn.XLOOKUP(C45,Table2[Species],Table2[Family],"Code Not Found")</f>
        <v>Sapindaceae</v>
      </c>
      <c r="O45" t="str" cm="1">
        <f t="array" ref="O45">_xlfn.IFS(F45="","",F45&lt;=5,"0 to 5",F45&lt;=10,"5.1 to 10",F45&lt;=20,"10 to 20", F45&lt;= 40, "20 to 40", F45 &lt;= 50, "40 to 50", F45 &gt; 50, "&gt;50" )</f>
        <v>10 to 20</v>
      </c>
    </row>
    <row r="46" spans="1:15" ht="14.4" x14ac:dyDescent="0.3">
      <c r="A46" t="s">
        <v>15</v>
      </c>
      <c r="B46" s="1">
        <v>46161</v>
      </c>
      <c r="C46" t="s">
        <v>16</v>
      </c>
      <c r="D46">
        <v>43</v>
      </c>
      <c r="E46">
        <v>1</v>
      </c>
      <c r="F46">
        <v>17.600000000000001</v>
      </c>
      <c r="G46" t="s">
        <v>21</v>
      </c>
      <c r="H46" t="s">
        <v>41</v>
      </c>
      <c r="I46" t="str">
        <f t="shared" si="0"/>
        <v>43_1</v>
      </c>
      <c r="J46" t="s">
        <v>18</v>
      </c>
      <c r="K46" t="s">
        <v>19</v>
      </c>
      <c r="L46" t="str">
        <f>_xlfn.XLOOKUP(C46, Table2[Species],Table2[Genus], "Code Not Found")</f>
        <v>Acer</v>
      </c>
      <c r="M46" t="str">
        <f>_xlfn.XLOOKUP(C46, Table2[Species],Table2[Sp. Name], "Code Not Found")</f>
        <v>saccharum</v>
      </c>
      <c r="N46" t="str">
        <f>_xlfn.XLOOKUP(C46,Table2[Species],Table2[Family],"Code Not Found")</f>
        <v>Sapindaceae</v>
      </c>
      <c r="O46" t="str" cm="1">
        <f t="array" ref="O46">_xlfn.IFS(F46="","",F46&lt;=5,"0 to 5",F46&lt;=10,"5.1 to 10",F46&lt;=20,"10 to 20", F46&lt;= 40, "20 to 40", F46 &lt;= 50, "40 to 50", F46 &gt; 50, "&gt;50" )</f>
        <v>10 to 20</v>
      </c>
    </row>
    <row r="47" spans="1:15" ht="14.4" x14ac:dyDescent="0.3">
      <c r="A47" t="s">
        <v>15</v>
      </c>
      <c r="B47" s="1">
        <v>46161</v>
      </c>
      <c r="C47" t="s">
        <v>16</v>
      </c>
      <c r="D47">
        <v>44</v>
      </c>
      <c r="E47">
        <v>1</v>
      </c>
      <c r="F47">
        <v>17.600000000000001</v>
      </c>
      <c r="G47" t="s">
        <v>30</v>
      </c>
      <c r="H47" t="s">
        <v>42</v>
      </c>
      <c r="I47" t="str">
        <f t="shared" si="0"/>
        <v>44_1</v>
      </c>
      <c r="J47" t="s">
        <v>18</v>
      </c>
      <c r="K47" t="s">
        <v>19</v>
      </c>
      <c r="L47" t="str">
        <f>_xlfn.XLOOKUP(C47, Table2[Species],Table2[Genus], "Code Not Found")</f>
        <v>Acer</v>
      </c>
      <c r="M47" t="str">
        <f>_xlfn.XLOOKUP(C47, Table2[Species],Table2[Sp. Name], "Code Not Found")</f>
        <v>saccharum</v>
      </c>
      <c r="N47" t="str">
        <f>_xlfn.XLOOKUP(C47,Table2[Species],Table2[Family],"Code Not Found")</f>
        <v>Sapindaceae</v>
      </c>
      <c r="O47" t="str" cm="1">
        <f t="array" ref="O47">_xlfn.IFS(F47="","",F47&lt;=5,"0 to 5",F47&lt;=10,"5.1 to 10",F47&lt;=20,"10 to 20", F47&lt;= 40, "20 to 40", F47 &lt;= 50, "40 to 50", F47 &gt; 50, "&gt;50" )</f>
        <v>10 to 20</v>
      </c>
    </row>
    <row r="48" spans="1:15" ht="14.4" x14ac:dyDescent="0.3">
      <c r="A48" t="s">
        <v>15</v>
      </c>
      <c r="B48" s="1">
        <v>46161</v>
      </c>
      <c r="C48" t="s">
        <v>22</v>
      </c>
      <c r="D48">
        <v>45</v>
      </c>
      <c r="E48">
        <v>1</v>
      </c>
      <c r="F48">
        <v>33.1</v>
      </c>
      <c r="G48" t="s">
        <v>21</v>
      </c>
      <c r="I48" t="str">
        <f t="shared" si="0"/>
        <v>45_1</v>
      </c>
      <c r="J48" t="s">
        <v>18</v>
      </c>
      <c r="K48" t="s">
        <v>19</v>
      </c>
      <c r="L48" t="str">
        <f>_xlfn.XLOOKUP(C48, Table2[Species],Table2[Genus], "Code Not Found")</f>
        <v>Acer</v>
      </c>
      <c r="M48" t="str">
        <f>_xlfn.XLOOKUP(C48, Table2[Species],Table2[Sp. Name], "Code Not Found")</f>
        <v>rubrum</v>
      </c>
      <c r="N48" t="str">
        <f>_xlfn.XLOOKUP(C48,Table2[Species],Table2[Family],"Code Not Found")</f>
        <v>Sapindaceae</v>
      </c>
      <c r="O48" t="str" cm="1">
        <f t="array" ref="O48">_xlfn.IFS(F48="","",F48&lt;=5,"0 to 5",F48&lt;=10,"5.1 to 10",F48&lt;=20,"10 to 20", F48&lt;= 40, "20 to 40", F48 &lt;= 50, "40 to 50", F48 &gt; 50, "&gt;50" )</f>
        <v>20 to 40</v>
      </c>
    </row>
    <row r="49" spans="1:15" ht="14.4" x14ac:dyDescent="0.3">
      <c r="A49" t="s">
        <v>15</v>
      </c>
      <c r="B49" s="1">
        <v>46161</v>
      </c>
      <c r="C49" t="s">
        <v>22</v>
      </c>
      <c r="D49">
        <v>46</v>
      </c>
      <c r="E49">
        <v>1</v>
      </c>
      <c r="F49">
        <v>9.5</v>
      </c>
      <c r="G49" t="s">
        <v>17</v>
      </c>
      <c r="H49" t="s">
        <v>43</v>
      </c>
      <c r="I49" t="str">
        <f t="shared" si="0"/>
        <v>46_1</v>
      </c>
      <c r="J49" t="s">
        <v>18</v>
      </c>
      <c r="K49" t="s">
        <v>19</v>
      </c>
      <c r="L49" t="str">
        <f>_xlfn.XLOOKUP(C49, Table2[Species],Table2[Genus], "Code Not Found")</f>
        <v>Acer</v>
      </c>
      <c r="M49" t="str">
        <f>_xlfn.XLOOKUP(C49, Table2[Species],Table2[Sp. Name], "Code Not Found")</f>
        <v>rubrum</v>
      </c>
      <c r="N49" t="str">
        <f>_xlfn.XLOOKUP(C49,Table2[Species],Table2[Family],"Code Not Found")</f>
        <v>Sapindaceae</v>
      </c>
      <c r="O49" t="str" cm="1">
        <f t="array" ref="O49">_xlfn.IFS(F49="","",F49&lt;=5,"0 to 5",F49&lt;=10,"5.1 to 10",F49&lt;=20,"10 to 20", F49&lt;= 40, "20 to 40", F49 &lt;= 50, "40 to 50", F49 &gt; 50, "&gt;50" )</f>
        <v>5.1 to 10</v>
      </c>
    </row>
    <row r="50" spans="1:15" ht="14.4" x14ac:dyDescent="0.3">
      <c r="A50" t="s">
        <v>15</v>
      </c>
      <c r="B50" s="1">
        <v>46161</v>
      </c>
      <c r="C50" t="s">
        <v>24</v>
      </c>
      <c r="D50">
        <v>47</v>
      </c>
      <c r="E50">
        <v>1</v>
      </c>
      <c r="F50">
        <v>61.8</v>
      </c>
      <c r="G50" t="s">
        <v>17</v>
      </c>
      <c r="H50" t="s">
        <v>36</v>
      </c>
      <c r="I50" t="str">
        <f t="shared" si="0"/>
        <v>47_1</v>
      </c>
      <c r="J50" t="s">
        <v>18</v>
      </c>
      <c r="K50" t="s">
        <v>19</v>
      </c>
      <c r="L50" t="str">
        <f>_xlfn.XLOOKUP(C50, Table2[Species],Table2[Genus], "Code Not Found")</f>
        <v>Lirodendron</v>
      </c>
      <c r="M50" t="str">
        <f>_xlfn.XLOOKUP(C50, Table2[Species],Table2[Sp. Name], "Code Not Found")</f>
        <v>tulipfera</v>
      </c>
      <c r="N50" t="str">
        <f>_xlfn.XLOOKUP(C50,Table2[Species],Table2[Family],"Code Not Found")</f>
        <v>Magnoliaceae</v>
      </c>
      <c r="O50" t="str" cm="1">
        <f t="array" ref="O50">_xlfn.IFS(F50="","",F50&lt;=5,"0 to 5",F50&lt;=10,"5.1 to 10",F50&lt;=20,"10 to 20", F50&lt;= 40, "20 to 40", F50 &lt;= 50, "40 to 50", F50 &gt; 50, "&gt;50" )</f>
        <v>&gt;50</v>
      </c>
    </row>
    <row r="51" spans="1:15" ht="14.4" x14ac:dyDescent="0.3">
      <c r="A51" t="s">
        <v>15</v>
      </c>
      <c r="B51" s="1">
        <v>46161</v>
      </c>
      <c r="C51" t="s">
        <v>16</v>
      </c>
      <c r="D51">
        <v>48</v>
      </c>
      <c r="E51">
        <v>1</v>
      </c>
      <c r="F51">
        <v>1.6</v>
      </c>
      <c r="G51" t="s">
        <v>17</v>
      </c>
      <c r="H51" t="s">
        <v>44</v>
      </c>
      <c r="I51" t="str">
        <f t="shared" si="0"/>
        <v>48_1</v>
      </c>
      <c r="J51" t="s">
        <v>18</v>
      </c>
      <c r="K51" t="s">
        <v>19</v>
      </c>
      <c r="L51" t="str">
        <f>_xlfn.XLOOKUP(C51, Table2[Species],Table2[Genus], "Code Not Found")</f>
        <v>Acer</v>
      </c>
      <c r="M51" t="str">
        <f>_xlfn.XLOOKUP(C51, Table2[Species],Table2[Sp. Name], "Code Not Found")</f>
        <v>saccharum</v>
      </c>
      <c r="N51" t="str">
        <f>_xlfn.XLOOKUP(C51,Table2[Species],Table2[Family],"Code Not Found")</f>
        <v>Sapindaceae</v>
      </c>
      <c r="O51" t="str" cm="1">
        <f t="array" ref="O51">_xlfn.IFS(F51="","",F51&lt;=5,"0 to 5",F51&lt;=10,"5.1 to 10",F51&lt;=20,"10 to 20", F51&lt;= 40, "20 to 40", F51 &lt;= 50, "40 to 50", F51 &gt; 50, "&gt;50" )</f>
        <v>0 to 5</v>
      </c>
    </row>
    <row r="52" spans="1:15" ht="14.4" x14ac:dyDescent="0.3">
      <c r="A52" t="s">
        <v>15</v>
      </c>
      <c r="B52" s="1">
        <v>46161</v>
      </c>
      <c r="C52" t="s">
        <v>16</v>
      </c>
      <c r="D52">
        <v>49</v>
      </c>
      <c r="E52">
        <v>1</v>
      </c>
      <c r="F52">
        <v>1.2</v>
      </c>
      <c r="G52" t="s">
        <v>17</v>
      </c>
      <c r="I52" t="str">
        <f t="shared" si="0"/>
        <v>49_1</v>
      </c>
      <c r="J52" t="s">
        <v>18</v>
      </c>
      <c r="K52" t="s">
        <v>19</v>
      </c>
      <c r="L52" t="str">
        <f>_xlfn.XLOOKUP(C52, Table2[Species],Table2[Genus], "Code Not Found")</f>
        <v>Acer</v>
      </c>
      <c r="M52" t="str">
        <f>_xlfn.XLOOKUP(C52, Table2[Species],Table2[Sp. Name], "Code Not Found")</f>
        <v>saccharum</v>
      </c>
      <c r="N52" t="str">
        <f>_xlfn.XLOOKUP(C52,Table2[Species],Table2[Family],"Code Not Found")</f>
        <v>Sapindaceae</v>
      </c>
      <c r="O52" t="str" cm="1">
        <f t="array" ref="O52">_xlfn.IFS(F52="","",F52&lt;=5,"0 to 5",F52&lt;=10,"5.1 to 10",F52&lt;=20,"10 to 20", F52&lt;= 40, "20 to 40", F52 &lt;= 50, "40 to 50", F52 &gt; 50, "&gt;50" )</f>
        <v>0 to 5</v>
      </c>
    </row>
    <row r="53" spans="1:15" ht="14.4" x14ac:dyDescent="0.3">
      <c r="A53" t="s">
        <v>15</v>
      </c>
      <c r="B53" s="1">
        <v>46161</v>
      </c>
      <c r="C53" t="s">
        <v>16</v>
      </c>
      <c r="D53">
        <v>50</v>
      </c>
      <c r="E53">
        <v>1</v>
      </c>
      <c r="F53">
        <v>1.5</v>
      </c>
      <c r="G53" t="s">
        <v>21</v>
      </c>
      <c r="I53" t="str">
        <f t="shared" si="0"/>
        <v>50_1</v>
      </c>
      <c r="J53" t="s">
        <v>18</v>
      </c>
      <c r="K53" t="s">
        <v>19</v>
      </c>
      <c r="L53" t="str">
        <f>_xlfn.XLOOKUP(C53, Table2[Species],Table2[Genus], "Code Not Found")</f>
        <v>Acer</v>
      </c>
      <c r="M53" t="str">
        <f>_xlfn.XLOOKUP(C53, Table2[Species],Table2[Sp. Name], "Code Not Found")</f>
        <v>saccharum</v>
      </c>
      <c r="N53" t="str">
        <f>_xlfn.XLOOKUP(C53,Table2[Species],Table2[Family],"Code Not Found")</f>
        <v>Sapindaceae</v>
      </c>
      <c r="O53" t="str" cm="1">
        <f t="array" ref="O53">_xlfn.IFS(F53="","",F53&lt;=5,"0 to 5",F53&lt;=10,"5.1 to 10",F53&lt;=20,"10 to 20", F53&lt;= 40, "20 to 40", F53 &lt;= 50, "40 to 50", F53 &gt; 50, "&gt;50" )</f>
        <v>0 to 5</v>
      </c>
    </row>
    <row r="54" spans="1:15" ht="14.4" x14ac:dyDescent="0.3">
      <c r="A54" t="s">
        <v>15</v>
      </c>
      <c r="B54" s="1">
        <v>46161</v>
      </c>
      <c r="C54" t="s">
        <v>24</v>
      </c>
      <c r="D54">
        <v>51</v>
      </c>
      <c r="E54">
        <v>1</v>
      </c>
      <c r="F54">
        <v>46</v>
      </c>
      <c r="G54" t="s">
        <v>21</v>
      </c>
      <c r="I54" t="str">
        <f t="shared" si="0"/>
        <v>51_1</v>
      </c>
      <c r="J54" t="s">
        <v>18</v>
      </c>
      <c r="K54" t="s">
        <v>19</v>
      </c>
      <c r="L54" t="str">
        <f>_xlfn.XLOOKUP(C54, Table2[Species],Table2[Genus], "Code Not Found")</f>
        <v>Lirodendron</v>
      </c>
      <c r="M54" t="str">
        <f>_xlfn.XLOOKUP(C54, Table2[Species],Table2[Sp. Name], "Code Not Found")</f>
        <v>tulipfera</v>
      </c>
      <c r="N54" t="str">
        <f>_xlfn.XLOOKUP(C54,Table2[Species],Table2[Family],"Code Not Found")</f>
        <v>Magnoliaceae</v>
      </c>
      <c r="O54" t="str" cm="1">
        <f t="array" ref="O54">_xlfn.IFS(F54="","",F54&lt;=5,"0 to 5",F54&lt;=10,"5.1 to 10",F54&lt;=20,"10 to 20", F54&lt;= 40, "20 to 40", F54 &lt;= 50, "40 to 50", F54 &gt; 50, "&gt;50" )</f>
        <v>40 to 50</v>
      </c>
    </row>
    <row r="55" spans="1:15" ht="14.4" x14ac:dyDescent="0.3">
      <c r="A55" t="s">
        <v>15</v>
      </c>
      <c r="B55" s="1">
        <v>46161</v>
      </c>
      <c r="C55" t="s">
        <v>20</v>
      </c>
      <c r="D55">
        <v>52</v>
      </c>
      <c r="E55">
        <v>1</v>
      </c>
      <c r="F55">
        <v>50.1</v>
      </c>
      <c r="G55" t="s">
        <v>21</v>
      </c>
      <c r="I55" t="str">
        <f t="shared" si="0"/>
        <v>52_1</v>
      </c>
      <c r="J55" t="s">
        <v>18</v>
      </c>
      <c r="K55" t="s">
        <v>19</v>
      </c>
      <c r="L55" t="str">
        <f>_xlfn.XLOOKUP(C55, Table2[Species],Table2[Genus], "Code Not Found")</f>
        <v>Prunus</v>
      </c>
      <c r="M55" t="str">
        <f>_xlfn.XLOOKUP(C55, Table2[Species],Table2[Sp. Name], "Code Not Found")</f>
        <v>serotina</v>
      </c>
      <c r="N55" t="str">
        <f>_xlfn.XLOOKUP(C55,Table2[Species],Table2[Family],"Code Not Found")</f>
        <v>Rosaceae</v>
      </c>
      <c r="O55" t="str" cm="1">
        <f t="array" ref="O55">_xlfn.IFS(F55="","",F55&lt;=5,"0 to 5",F55&lt;=10,"5.1 to 10",F55&lt;=20,"10 to 20", F55&lt;= 40, "20 to 40", F55 &lt;= 50, "40 to 50", F55 &gt; 50, "&gt;50" )</f>
        <v>&gt;50</v>
      </c>
    </row>
    <row r="56" spans="1:15" ht="14.4" x14ac:dyDescent="0.3">
      <c r="A56" t="s">
        <v>15</v>
      </c>
      <c r="B56" s="1">
        <v>46161</v>
      </c>
      <c r="C56" t="s">
        <v>22</v>
      </c>
      <c r="D56">
        <v>53</v>
      </c>
      <c r="E56">
        <v>1</v>
      </c>
      <c r="F56">
        <v>20.100000000000001</v>
      </c>
      <c r="G56" t="s">
        <v>21</v>
      </c>
      <c r="I56" t="str">
        <f t="shared" si="0"/>
        <v>53_1</v>
      </c>
      <c r="J56" t="s">
        <v>18</v>
      </c>
      <c r="K56" t="s">
        <v>19</v>
      </c>
      <c r="L56" t="str">
        <f>_xlfn.XLOOKUP(C56, Table2[Species],Table2[Genus], "Code Not Found")</f>
        <v>Acer</v>
      </c>
      <c r="M56" t="str">
        <f>_xlfn.XLOOKUP(C56, Table2[Species],Table2[Sp. Name], "Code Not Found")</f>
        <v>rubrum</v>
      </c>
      <c r="N56" t="str">
        <f>_xlfn.XLOOKUP(C56,Table2[Species],Table2[Family],"Code Not Found")</f>
        <v>Sapindaceae</v>
      </c>
      <c r="O56" t="str" cm="1">
        <f t="array" ref="O56">_xlfn.IFS(F56="","",F56&lt;=5,"0 to 5",F56&lt;=10,"5.1 to 10",F56&lt;=20,"10 to 20", F56&lt;= 40, "20 to 40", F56 &lt;= 50, "40 to 50", F56 &gt; 50, "&gt;50" )</f>
        <v>20 to 40</v>
      </c>
    </row>
    <row r="57" spans="1:15" ht="14.4" x14ac:dyDescent="0.3">
      <c r="A57" t="s">
        <v>15</v>
      </c>
      <c r="B57" s="1">
        <v>46161</v>
      </c>
      <c r="C57" t="s">
        <v>22</v>
      </c>
      <c r="D57">
        <v>54</v>
      </c>
      <c r="E57">
        <v>1</v>
      </c>
      <c r="F57">
        <v>7</v>
      </c>
      <c r="G57" t="s">
        <v>21</v>
      </c>
      <c r="I57" t="str">
        <f t="shared" si="0"/>
        <v>54_1</v>
      </c>
      <c r="J57" t="s">
        <v>18</v>
      </c>
      <c r="K57" t="s">
        <v>19</v>
      </c>
      <c r="L57" t="str">
        <f>_xlfn.XLOOKUP(C57, Table2[Species],Table2[Genus], "Code Not Found")</f>
        <v>Acer</v>
      </c>
      <c r="M57" t="str">
        <f>_xlfn.XLOOKUP(C57, Table2[Species],Table2[Sp. Name], "Code Not Found")</f>
        <v>rubrum</v>
      </c>
      <c r="N57" t="str">
        <f>_xlfn.XLOOKUP(C57,Table2[Species],Table2[Family],"Code Not Found")</f>
        <v>Sapindaceae</v>
      </c>
      <c r="O57" t="str" cm="1">
        <f t="array" ref="O57">_xlfn.IFS(F57="","",F57&lt;=5,"0 to 5",F57&lt;=10,"5.1 to 10",F57&lt;=20,"10 to 20", F57&lt;= 40, "20 to 40", F57 &lt;= 50, "40 to 50", F57 &gt; 50, "&gt;50" )</f>
        <v>5.1 to 10</v>
      </c>
    </row>
    <row r="58" spans="1:15" ht="14.4" x14ac:dyDescent="0.3">
      <c r="A58" t="s">
        <v>15</v>
      </c>
      <c r="B58" s="1">
        <v>46161</v>
      </c>
      <c r="C58" t="s">
        <v>16</v>
      </c>
      <c r="D58">
        <v>55</v>
      </c>
      <c r="E58">
        <v>1</v>
      </c>
      <c r="F58">
        <v>2.2999999999999998</v>
      </c>
      <c r="G58" t="s">
        <v>17</v>
      </c>
      <c r="I58" t="str">
        <f t="shared" si="0"/>
        <v>55_1</v>
      </c>
      <c r="J58" t="s">
        <v>18</v>
      </c>
      <c r="K58" t="s">
        <v>19</v>
      </c>
      <c r="L58" t="str">
        <f>_xlfn.XLOOKUP(C58, Table2[Species],Table2[Genus], "Code Not Found")</f>
        <v>Acer</v>
      </c>
      <c r="M58" t="str">
        <f>_xlfn.XLOOKUP(C58, Table2[Species],Table2[Sp. Name], "Code Not Found")</f>
        <v>saccharum</v>
      </c>
      <c r="N58" t="str">
        <f>_xlfn.XLOOKUP(C58,Table2[Species],Table2[Family],"Code Not Found")</f>
        <v>Sapindaceae</v>
      </c>
      <c r="O58" t="str" cm="1">
        <f t="array" ref="O58">_xlfn.IFS(F58="","",F58&lt;=5,"0 to 5",F58&lt;=10,"5.1 to 10",F58&lt;=20,"10 to 20", F58&lt;= 40, "20 to 40", F58 &lt;= 50, "40 to 50", F58 &gt; 50, "&gt;50" )</f>
        <v>0 to 5</v>
      </c>
    </row>
    <row r="59" spans="1:15" ht="14.4" x14ac:dyDescent="0.3">
      <c r="A59" t="s">
        <v>15</v>
      </c>
      <c r="B59" s="1">
        <v>46161</v>
      </c>
      <c r="C59" t="s">
        <v>16</v>
      </c>
      <c r="D59">
        <v>56</v>
      </c>
      <c r="E59">
        <v>1</v>
      </c>
      <c r="F59">
        <v>2.9</v>
      </c>
      <c r="G59" t="s">
        <v>21</v>
      </c>
      <c r="I59" t="str">
        <f t="shared" si="0"/>
        <v>56_1</v>
      </c>
      <c r="J59" t="s">
        <v>18</v>
      </c>
      <c r="K59" t="s">
        <v>19</v>
      </c>
      <c r="L59" t="str">
        <f>_xlfn.XLOOKUP(C59, Table2[Species],Table2[Genus], "Code Not Found")</f>
        <v>Acer</v>
      </c>
      <c r="M59" t="str">
        <f>_xlfn.XLOOKUP(C59, Table2[Species],Table2[Sp. Name], "Code Not Found")</f>
        <v>saccharum</v>
      </c>
      <c r="N59" t="str">
        <f>_xlfn.XLOOKUP(C59,Table2[Species],Table2[Family],"Code Not Found")</f>
        <v>Sapindaceae</v>
      </c>
      <c r="O59" t="str" cm="1">
        <f t="array" ref="O59">_xlfn.IFS(F59="","",F59&lt;=5,"0 to 5",F59&lt;=10,"5.1 to 10",F59&lt;=20,"10 to 20", F59&lt;= 40, "20 to 40", F59 &lt;= 50, "40 to 50", F59 &gt; 50, "&gt;50" )</f>
        <v>0 to 5</v>
      </c>
    </row>
    <row r="60" spans="1:15" ht="14.4" x14ac:dyDescent="0.3">
      <c r="A60" t="s">
        <v>15</v>
      </c>
      <c r="B60" s="1">
        <v>46161</v>
      </c>
      <c r="C60" t="s">
        <v>16</v>
      </c>
      <c r="D60">
        <v>57</v>
      </c>
      <c r="E60">
        <v>1</v>
      </c>
      <c r="F60">
        <v>1.8</v>
      </c>
      <c r="G60" t="s">
        <v>17</v>
      </c>
      <c r="I60" t="str">
        <f t="shared" si="0"/>
        <v>57_1</v>
      </c>
      <c r="J60" t="s">
        <v>18</v>
      </c>
      <c r="K60" t="s">
        <v>19</v>
      </c>
      <c r="L60" t="str">
        <f>_xlfn.XLOOKUP(C60, Table2[Species],Table2[Genus], "Code Not Found")</f>
        <v>Acer</v>
      </c>
      <c r="M60" t="str">
        <f>_xlfn.XLOOKUP(C60, Table2[Species],Table2[Sp. Name], "Code Not Found")</f>
        <v>saccharum</v>
      </c>
      <c r="N60" t="str">
        <f>_xlfn.XLOOKUP(C60,Table2[Species],Table2[Family],"Code Not Found")</f>
        <v>Sapindaceae</v>
      </c>
      <c r="O60" t="str" cm="1">
        <f t="array" ref="O60">_xlfn.IFS(F60="","",F60&lt;=5,"0 to 5",F60&lt;=10,"5.1 to 10",F60&lt;=20,"10 to 20", F60&lt;= 40, "20 to 40", F60 &lt;= 50, "40 to 50", F60 &gt; 50, "&gt;50" )</f>
        <v>0 to 5</v>
      </c>
    </row>
    <row r="61" spans="1:15" ht="14.4" x14ac:dyDescent="0.3">
      <c r="A61" t="s">
        <v>15</v>
      </c>
      <c r="B61" s="1">
        <v>46161</v>
      </c>
      <c r="C61" t="s">
        <v>16</v>
      </c>
      <c r="D61">
        <v>58</v>
      </c>
      <c r="E61">
        <v>1</v>
      </c>
      <c r="F61">
        <v>1.9</v>
      </c>
      <c r="G61" t="s">
        <v>38</v>
      </c>
      <c r="I61" t="str">
        <f t="shared" si="0"/>
        <v>58_1</v>
      </c>
      <c r="J61" t="s">
        <v>18</v>
      </c>
      <c r="K61" t="s">
        <v>19</v>
      </c>
      <c r="L61" t="str">
        <f>_xlfn.XLOOKUP(C61, Table2[Species],Table2[Genus], "Code Not Found")</f>
        <v>Acer</v>
      </c>
      <c r="M61" t="str">
        <f>_xlfn.XLOOKUP(C61, Table2[Species],Table2[Sp. Name], "Code Not Found")</f>
        <v>saccharum</v>
      </c>
      <c r="N61" t="str">
        <f>_xlfn.XLOOKUP(C61,Table2[Species],Table2[Family],"Code Not Found")</f>
        <v>Sapindaceae</v>
      </c>
      <c r="O61" t="str" cm="1">
        <f t="array" ref="O61">_xlfn.IFS(F61="","",F61&lt;=5,"0 to 5",F61&lt;=10,"5.1 to 10",F61&lt;=20,"10 to 20", F61&lt;= 40, "20 to 40", F61 &lt;= 50, "40 to 50", F61 &gt; 50, "&gt;50" )</f>
        <v>0 to 5</v>
      </c>
    </row>
    <row r="62" spans="1:15" ht="14.4" x14ac:dyDescent="0.3">
      <c r="A62" t="s">
        <v>15</v>
      </c>
      <c r="B62" s="1">
        <v>46161</v>
      </c>
      <c r="C62" t="s">
        <v>16</v>
      </c>
      <c r="D62">
        <v>59</v>
      </c>
      <c r="E62">
        <v>1</v>
      </c>
      <c r="F62">
        <v>1.9</v>
      </c>
      <c r="G62" t="s">
        <v>17</v>
      </c>
      <c r="I62" t="str">
        <f t="shared" si="0"/>
        <v>59_1</v>
      </c>
      <c r="J62" t="s">
        <v>18</v>
      </c>
      <c r="K62" t="s">
        <v>19</v>
      </c>
      <c r="L62" t="str">
        <f>_xlfn.XLOOKUP(C62, Table2[Species],Table2[Genus], "Code Not Found")</f>
        <v>Acer</v>
      </c>
      <c r="M62" t="str">
        <f>_xlfn.XLOOKUP(C62, Table2[Species],Table2[Sp. Name], "Code Not Found")</f>
        <v>saccharum</v>
      </c>
      <c r="N62" t="str">
        <f>_xlfn.XLOOKUP(C62,Table2[Species],Table2[Family],"Code Not Found")</f>
        <v>Sapindaceae</v>
      </c>
      <c r="O62" t="str" cm="1">
        <f t="array" ref="O62">_xlfn.IFS(F62="","",F62&lt;=5,"0 to 5",F62&lt;=10,"5.1 to 10",F62&lt;=20,"10 to 20", F62&lt;= 40, "20 to 40", F62 &lt;= 50, "40 to 50", F62 &gt; 50, "&gt;50" )</f>
        <v>0 to 5</v>
      </c>
    </row>
    <row r="63" spans="1:15" ht="14.4" x14ac:dyDescent="0.3">
      <c r="A63" t="s">
        <v>15</v>
      </c>
      <c r="B63" s="1">
        <v>46162</v>
      </c>
      <c r="C63" t="s">
        <v>24</v>
      </c>
      <c r="D63">
        <v>60</v>
      </c>
      <c r="E63">
        <v>1</v>
      </c>
      <c r="F63">
        <v>74.400000000000006</v>
      </c>
      <c r="G63" t="s">
        <v>34</v>
      </c>
      <c r="H63" t="s">
        <v>45</v>
      </c>
      <c r="I63" t="str">
        <f t="shared" si="0"/>
        <v>60_1</v>
      </c>
      <c r="J63" t="s">
        <v>18</v>
      </c>
      <c r="K63" t="s">
        <v>19</v>
      </c>
      <c r="L63" t="str">
        <f>_xlfn.XLOOKUP(C63, Table2[Species],Table2[Genus], "Code Not Found")</f>
        <v>Lirodendron</v>
      </c>
      <c r="M63" t="str">
        <f>_xlfn.XLOOKUP(C63, Table2[Species],Table2[Sp. Name], "Code Not Found")</f>
        <v>tulipfera</v>
      </c>
      <c r="N63" t="str">
        <f>_xlfn.XLOOKUP(C63,Table2[Species],Table2[Family],"Code Not Found")</f>
        <v>Magnoliaceae</v>
      </c>
      <c r="O63" t="str" cm="1">
        <f t="array" ref="O63">_xlfn.IFS(F63="","",F63&lt;=5,"0 to 5",F63&lt;=10,"5.1 to 10",F63&lt;=20,"10 to 20", F63&lt;= 40, "20 to 40", F63 &lt;= 50, "40 to 50", F63 &gt; 50, "&gt;50" )</f>
        <v>&gt;50</v>
      </c>
    </row>
    <row r="64" spans="1:15" ht="14.4" x14ac:dyDescent="0.3">
      <c r="A64" t="s">
        <v>15</v>
      </c>
      <c r="B64" s="1">
        <v>46162</v>
      </c>
      <c r="C64" t="s">
        <v>24</v>
      </c>
      <c r="D64">
        <v>60</v>
      </c>
      <c r="E64">
        <v>2</v>
      </c>
      <c r="F64">
        <v>65.400000000000006</v>
      </c>
      <c r="G64" t="s">
        <v>34</v>
      </c>
      <c r="I64" t="str">
        <f t="shared" si="0"/>
        <v>60_2</v>
      </c>
      <c r="J64" t="s">
        <v>18</v>
      </c>
      <c r="K64" t="s">
        <v>19</v>
      </c>
      <c r="L64" t="str">
        <f>_xlfn.XLOOKUP(C64, Table2[Species],Table2[Genus], "Code Not Found")</f>
        <v>Lirodendron</v>
      </c>
      <c r="M64" t="str">
        <f>_xlfn.XLOOKUP(C64, Table2[Species],Table2[Sp. Name], "Code Not Found")</f>
        <v>tulipfera</v>
      </c>
      <c r="N64" t="str">
        <f>_xlfn.XLOOKUP(C64,Table2[Species],Table2[Family],"Code Not Found")</f>
        <v>Magnoliaceae</v>
      </c>
      <c r="O64" t="str" cm="1">
        <f t="array" ref="O64">_xlfn.IFS(F64="","",F64&lt;=5,"0 to 5",F64&lt;=10,"5.1 to 10",F64&lt;=20,"10 to 20", F64&lt;= 40, "20 to 40", F64 &lt;= 50, "40 to 50", F64 &gt; 50, "&gt;50" )</f>
        <v>&gt;50</v>
      </c>
    </row>
    <row r="65" spans="1:15" ht="14.4" x14ac:dyDescent="0.3">
      <c r="A65" t="s">
        <v>15</v>
      </c>
      <c r="B65" s="1">
        <v>46162</v>
      </c>
      <c r="C65" t="s">
        <v>16</v>
      </c>
      <c r="D65">
        <v>61</v>
      </c>
      <c r="E65">
        <v>1</v>
      </c>
      <c r="F65">
        <v>2</v>
      </c>
      <c r="G65" t="s">
        <v>21</v>
      </c>
      <c r="I65" t="str">
        <f t="shared" si="0"/>
        <v>61_1</v>
      </c>
      <c r="J65" t="s">
        <v>18</v>
      </c>
      <c r="K65" t="s">
        <v>19</v>
      </c>
      <c r="L65" t="str">
        <f>_xlfn.XLOOKUP(C65, Table2[Species],Table2[Genus], "Code Not Found")</f>
        <v>Acer</v>
      </c>
      <c r="M65" t="str">
        <f>_xlfn.XLOOKUP(C65, Table2[Species],Table2[Sp. Name], "Code Not Found")</f>
        <v>saccharum</v>
      </c>
      <c r="N65" t="str">
        <f>_xlfn.XLOOKUP(C65,Table2[Species],Table2[Family],"Code Not Found")</f>
        <v>Sapindaceae</v>
      </c>
      <c r="O65" t="str" cm="1">
        <f t="array" ref="O65">_xlfn.IFS(F65="","",F65&lt;=5,"0 to 5",F65&lt;=10,"5.1 to 10",F65&lt;=20,"10 to 20", F65&lt;= 40, "20 to 40", F65 &lt;= 50, "40 to 50", F65 &gt; 50, "&gt;50" )</f>
        <v>0 to 5</v>
      </c>
    </row>
    <row r="66" spans="1:15" ht="14.4" x14ac:dyDescent="0.3">
      <c r="A66" t="s">
        <v>15</v>
      </c>
      <c r="B66" s="1">
        <v>46162</v>
      </c>
      <c r="C66" t="s">
        <v>22</v>
      </c>
      <c r="D66">
        <v>62</v>
      </c>
      <c r="E66">
        <v>1</v>
      </c>
      <c r="F66">
        <v>4</v>
      </c>
      <c r="G66" t="s">
        <v>21</v>
      </c>
      <c r="I66" t="str">
        <f t="shared" si="0"/>
        <v>62_1</v>
      </c>
      <c r="J66" t="s">
        <v>18</v>
      </c>
      <c r="K66" t="s">
        <v>19</v>
      </c>
      <c r="L66" t="str">
        <f>_xlfn.XLOOKUP(C66, Table2[Species],Table2[Genus], "Code Not Found")</f>
        <v>Acer</v>
      </c>
      <c r="M66" t="str">
        <f>_xlfn.XLOOKUP(C66, Table2[Species],Table2[Sp. Name], "Code Not Found")</f>
        <v>rubrum</v>
      </c>
      <c r="N66" t="str">
        <f>_xlfn.XLOOKUP(C66,Table2[Species],Table2[Family],"Code Not Found")</f>
        <v>Sapindaceae</v>
      </c>
      <c r="O66" t="str" cm="1">
        <f t="array" ref="O66">_xlfn.IFS(F66="","",F66&lt;=5,"0 to 5",F66&lt;=10,"5.1 to 10",F66&lt;=20,"10 to 20", F66&lt;= 40, "20 to 40", F66 &lt;= 50, "40 to 50", F66 &gt; 50, "&gt;50" )</f>
        <v>0 to 5</v>
      </c>
    </row>
    <row r="67" spans="1:15" ht="14.4" x14ac:dyDescent="0.3">
      <c r="A67" t="s">
        <v>15</v>
      </c>
      <c r="B67" s="1">
        <v>46162</v>
      </c>
      <c r="C67" t="s">
        <v>16</v>
      </c>
      <c r="D67">
        <v>63</v>
      </c>
      <c r="E67">
        <v>1</v>
      </c>
      <c r="F67">
        <v>2.9</v>
      </c>
      <c r="G67" t="s">
        <v>21</v>
      </c>
      <c r="I67" t="str">
        <f t="shared" ref="I67:I130" si="1">D67&amp;"_"&amp;E67</f>
        <v>63_1</v>
      </c>
      <c r="J67" t="s">
        <v>18</v>
      </c>
      <c r="K67" t="s">
        <v>19</v>
      </c>
      <c r="L67" t="str">
        <f>_xlfn.XLOOKUP(C67, Table2[Species],Table2[Genus], "Code Not Found")</f>
        <v>Acer</v>
      </c>
      <c r="M67" t="str">
        <f>_xlfn.XLOOKUP(C67, Table2[Species],Table2[Sp. Name], "Code Not Found")</f>
        <v>saccharum</v>
      </c>
      <c r="N67" t="str">
        <f>_xlfn.XLOOKUP(C67,Table2[Species],Table2[Family],"Code Not Found")</f>
        <v>Sapindaceae</v>
      </c>
      <c r="O67" t="str" cm="1">
        <f t="array" ref="O67">_xlfn.IFS(F67="","",F67&lt;=5,"0 to 5",F67&lt;=10,"5.1 to 10",F67&lt;=20,"10 to 20", F67&lt;= 40, "20 to 40", F67 &lt;= 50, "40 to 50", F67 &gt; 50, "&gt;50" )</f>
        <v>0 to 5</v>
      </c>
    </row>
    <row r="68" spans="1:15" ht="14.4" x14ac:dyDescent="0.3">
      <c r="A68" t="s">
        <v>15</v>
      </c>
      <c r="B68" s="1">
        <v>46162</v>
      </c>
      <c r="C68" t="s">
        <v>16</v>
      </c>
      <c r="D68">
        <v>64</v>
      </c>
      <c r="E68">
        <v>1</v>
      </c>
      <c r="F68">
        <v>2.2000000000000002</v>
      </c>
      <c r="G68" t="s">
        <v>21</v>
      </c>
      <c r="I68" t="str">
        <f t="shared" si="1"/>
        <v>64_1</v>
      </c>
      <c r="J68" t="s">
        <v>18</v>
      </c>
      <c r="K68" t="s">
        <v>19</v>
      </c>
      <c r="L68" t="str">
        <f>_xlfn.XLOOKUP(C68, Table2[Species],Table2[Genus], "Code Not Found")</f>
        <v>Acer</v>
      </c>
      <c r="M68" t="str">
        <f>_xlfn.XLOOKUP(C68, Table2[Species],Table2[Sp. Name], "Code Not Found")</f>
        <v>saccharum</v>
      </c>
      <c r="N68" t="str">
        <f>_xlfn.XLOOKUP(C68,Table2[Species],Table2[Family],"Code Not Found")</f>
        <v>Sapindaceae</v>
      </c>
      <c r="O68" t="str" cm="1">
        <f t="array" ref="O68">_xlfn.IFS(F68="","",F68&lt;=5,"0 to 5",F68&lt;=10,"5.1 to 10",F68&lt;=20,"10 to 20", F68&lt;= 40, "20 to 40", F68 &lt;= 50, "40 to 50", F68 &gt; 50, "&gt;50" )</f>
        <v>0 to 5</v>
      </c>
    </row>
    <row r="69" spans="1:15" ht="14.4" x14ac:dyDescent="0.3">
      <c r="A69" t="s">
        <v>15</v>
      </c>
      <c r="B69" s="1">
        <v>46162</v>
      </c>
      <c r="C69" t="s">
        <v>16</v>
      </c>
      <c r="D69">
        <v>65</v>
      </c>
      <c r="E69">
        <v>1</v>
      </c>
      <c r="F69">
        <v>17.7</v>
      </c>
      <c r="G69" t="s">
        <v>17</v>
      </c>
      <c r="I69" t="str">
        <f t="shared" si="1"/>
        <v>65_1</v>
      </c>
      <c r="J69" t="s">
        <v>18</v>
      </c>
      <c r="K69" t="s">
        <v>19</v>
      </c>
      <c r="L69" t="str">
        <f>_xlfn.XLOOKUP(C69, Table2[Species],Table2[Genus], "Code Not Found")</f>
        <v>Acer</v>
      </c>
      <c r="M69" t="str">
        <f>_xlfn.XLOOKUP(C69, Table2[Species],Table2[Sp. Name], "Code Not Found")</f>
        <v>saccharum</v>
      </c>
      <c r="N69" t="str">
        <f>_xlfn.XLOOKUP(C69,Table2[Species],Table2[Family],"Code Not Found")</f>
        <v>Sapindaceae</v>
      </c>
      <c r="O69" t="str" cm="1">
        <f t="array" ref="O69">_xlfn.IFS(F69="","",F69&lt;=5,"0 to 5",F69&lt;=10,"5.1 to 10",F69&lt;=20,"10 to 20", F69&lt;= 40, "20 to 40", F69 &lt;= 50, "40 to 50", F69 &gt; 50, "&gt;50" )</f>
        <v>10 to 20</v>
      </c>
    </row>
    <row r="70" spans="1:15" ht="14.4" x14ac:dyDescent="0.3">
      <c r="A70" t="s">
        <v>15</v>
      </c>
      <c r="B70" s="1">
        <v>46162</v>
      </c>
      <c r="C70" t="s">
        <v>16</v>
      </c>
      <c r="D70">
        <v>66</v>
      </c>
      <c r="E70">
        <v>1</v>
      </c>
      <c r="F70">
        <v>3.2</v>
      </c>
      <c r="G70" t="s">
        <v>21</v>
      </c>
      <c r="I70" t="str">
        <f t="shared" si="1"/>
        <v>66_1</v>
      </c>
      <c r="J70" t="s">
        <v>18</v>
      </c>
      <c r="K70" t="s">
        <v>19</v>
      </c>
      <c r="L70" t="str">
        <f>_xlfn.XLOOKUP(C70, Table2[Species],Table2[Genus], "Code Not Found")</f>
        <v>Acer</v>
      </c>
      <c r="M70" t="str">
        <f>_xlfn.XLOOKUP(C70, Table2[Species],Table2[Sp. Name], "Code Not Found")</f>
        <v>saccharum</v>
      </c>
      <c r="N70" t="str">
        <f>_xlfn.XLOOKUP(C70,Table2[Species],Table2[Family],"Code Not Found")</f>
        <v>Sapindaceae</v>
      </c>
      <c r="O70" t="str" cm="1">
        <f t="array" ref="O70">_xlfn.IFS(F70="","",F70&lt;=5,"0 to 5",F70&lt;=10,"5.1 to 10",F70&lt;=20,"10 to 20", F70&lt;= 40, "20 to 40", F70 &lt;= 50, "40 to 50", F70 &gt; 50, "&gt;50" )</f>
        <v>0 to 5</v>
      </c>
    </row>
    <row r="71" spans="1:15" ht="14.4" x14ac:dyDescent="0.3">
      <c r="A71" t="s">
        <v>15</v>
      </c>
      <c r="B71" s="1">
        <v>46162</v>
      </c>
      <c r="C71" t="s">
        <v>16</v>
      </c>
      <c r="D71">
        <v>67</v>
      </c>
      <c r="E71">
        <v>1</v>
      </c>
      <c r="F71">
        <v>7.4</v>
      </c>
      <c r="G71" t="s">
        <v>21</v>
      </c>
      <c r="I71" t="str">
        <f t="shared" si="1"/>
        <v>67_1</v>
      </c>
      <c r="J71" t="s">
        <v>18</v>
      </c>
      <c r="K71" t="s">
        <v>19</v>
      </c>
      <c r="L71" t="str">
        <f>_xlfn.XLOOKUP(C71, Table2[Species],Table2[Genus], "Code Not Found")</f>
        <v>Acer</v>
      </c>
      <c r="M71" t="str">
        <f>_xlfn.XLOOKUP(C71, Table2[Species],Table2[Sp. Name], "Code Not Found")</f>
        <v>saccharum</v>
      </c>
      <c r="N71" t="str">
        <f>_xlfn.XLOOKUP(C71,Table2[Species],Table2[Family],"Code Not Found")</f>
        <v>Sapindaceae</v>
      </c>
      <c r="O71" t="str" cm="1">
        <f t="array" ref="O71">_xlfn.IFS(F71="","",F71&lt;=5,"0 to 5",F71&lt;=10,"5.1 to 10",F71&lt;=20,"10 to 20", F71&lt;= 40, "20 to 40", F71 &lt;= 50, "40 to 50", F71 &gt; 50, "&gt;50" )</f>
        <v>5.1 to 10</v>
      </c>
    </row>
    <row r="72" spans="1:15" ht="14.4" x14ac:dyDescent="0.3">
      <c r="A72" t="s">
        <v>15</v>
      </c>
      <c r="B72" s="1">
        <v>46162</v>
      </c>
      <c r="C72" t="s">
        <v>16</v>
      </c>
      <c r="D72">
        <v>68</v>
      </c>
      <c r="E72">
        <v>1</v>
      </c>
      <c r="F72">
        <v>1.3</v>
      </c>
      <c r="G72" t="s">
        <v>17</v>
      </c>
      <c r="I72" t="str">
        <f t="shared" si="1"/>
        <v>68_1</v>
      </c>
      <c r="J72" t="s">
        <v>18</v>
      </c>
      <c r="K72" t="s">
        <v>19</v>
      </c>
      <c r="L72" t="str">
        <f>_xlfn.XLOOKUP(C72, Table2[Species],Table2[Genus], "Code Not Found")</f>
        <v>Acer</v>
      </c>
      <c r="M72" t="str">
        <f>_xlfn.XLOOKUP(C72, Table2[Species],Table2[Sp. Name], "Code Not Found")</f>
        <v>saccharum</v>
      </c>
      <c r="N72" t="str">
        <f>_xlfn.XLOOKUP(C72,Table2[Species],Table2[Family],"Code Not Found")</f>
        <v>Sapindaceae</v>
      </c>
      <c r="O72" t="str" cm="1">
        <f t="array" ref="O72">_xlfn.IFS(F72="","",F72&lt;=5,"0 to 5",F72&lt;=10,"5.1 to 10",F72&lt;=20,"10 to 20", F72&lt;= 40, "20 to 40", F72 &lt;= 50, "40 to 50", F72 &gt; 50, "&gt;50" )</f>
        <v>0 to 5</v>
      </c>
    </row>
    <row r="73" spans="1:15" ht="14.4" x14ac:dyDescent="0.3">
      <c r="A73" t="s">
        <v>15</v>
      </c>
      <c r="B73" s="1">
        <v>46162</v>
      </c>
      <c r="C73" t="s">
        <v>16</v>
      </c>
      <c r="D73">
        <v>69</v>
      </c>
      <c r="E73">
        <v>1</v>
      </c>
      <c r="F73">
        <v>12.4</v>
      </c>
      <c r="G73" t="s">
        <v>46</v>
      </c>
      <c r="H73" t="s">
        <v>43</v>
      </c>
      <c r="I73" t="str">
        <f t="shared" si="1"/>
        <v>69_1</v>
      </c>
      <c r="J73" t="s">
        <v>18</v>
      </c>
      <c r="K73" t="s">
        <v>19</v>
      </c>
      <c r="L73" t="str">
        <f>_xlfn.XLOOKUP(C73, Table2[Species],Table2[Genus], "Code Not Found")</f>
        <v>Acer</v>
      </c>
      <c r="M73" t="str">
        <f>_xlfn.XLOOKUP(C73, Table2[Species],Table2[Sp. Name], "Code Not Found")</f>
        <v>saccharum</v>
      </c>
      <c r="N73" t="str">
        <f>_xlfn.XLOOKUP(C73,Table2[Species],Table2[Family],"Code Not Found")</f>
        <v>Sapindaceae</v>
      </c>
      <c r="O73" t="str" cm="1">
        <f t="array" ref="O73">_xlfn.IFS(F73="","",F73&lt;=5,"0 to 5",F73&lt;=10,"5.1 to 10",F73&lt;=20,"10 to 20", F73&lt;= 40, "20 to 40", F73 &lt;= 50, "40 to 50", F73 &gt; 50, "&gt;50" )</f>
        <v>10 to 20</v>
      </c>
    </row>
    <row r="74" spans="1:15" ht="14.4" x14ac:dyDescent="0.3">
      <c r="A74" t="s">
        <v>15</v>
      </c>
      <c r="B74" s="1">
        <v>46162</v>
      </c>
      <c r="C74" t="s">
        <v>16</v>
      </c>
      <c r="D74">
        <v>70</v>
      </c>
      <c r="E74">
        <v>1</v>
      </c>
      <c r="F74">
        <v>8.6</v>
      </c>
      <c r="G74" t="s">
        <v>47</v>
      </c>
      <c r="H74" t="s">
        <v>48</v>
      </c>
      <c r="I74" t="str">
        <f t="shared" si="1"/>
        <v>70_1</v>
      </c>
      <c r="J74" t="s">
        <v>18</v>
      </c>
      <c r="K74" t="s">
        <v>19</v>
      </c>
      <c r="L74" t="str">
        <f>_xlfn.XLOOKUP(C74, Table2[Species],Table2[Genus], "Code Not Found")</f>
        <v>Acer</v>
      </c>
      <c r="M74" t="str">
        <f>_xlfn.XLOOKUP(C74, Table2[Species],Table2[Sp. Name], "Code Not Found")</f>
        <v>saccharum</v>
      </c>
      <c r="N74" t="str">
        <f>_xlfn.XLOOKUP(C74,Table2[Species],Table2[Family],"Code Not Found")</f>
        <v>Sapindaceae</v>
      </c>
      <c r="O74" t="str" cm="1">
        <f t="array" ref="O74">_xlfn.IFS(F74="","",F74&lt;=5,"0 to 5",F74&lt;=10,"5.1 to 10",F74&lt;=20,"10 to 20", F74&lt;= 40, "20 to 40", F74 &lt;= 50, "40 to 50", F74 &gt; 50, "&gt;50" )</f>
        <v>5.1 to 10</v>
      </c>
    </row>
    <row r="75" spans="1:15" ht="14.4" x14ac:dyDescent="0.3">
      <c r="A75" t="s">
        <v>15</v>
      </c>
      <c r="B75" s="1">
        <v>46162</v>
      </c>
      <c r="C75" t="s">
        <v>16</v>
      </c>
      <c r="D75">
        <v>71</v>
      </c>
      <c r="E75">
        <v>1</v>
      </c>
      <c r="F75">
        <v>10.7</v>
      </c>
      <c r="G75" t="s">
        <v>21</v>
      </c>
      <c r="I75" t="str">
        <f t="shared" si="1"/>
        <v>71_1</v>
      </c>
      <c r="J75" t="s">
        <v>18</v>
      </c>
      <c r="K75" t="s">
        <v>19</v>
      </c>
      <c r="L75" t="str">
        <f>_xlfn.XLOOKUP(C75, Table2[Species],Table2[Genus], "Code Not Found")</f>
        <v>Acer</v>
      </c>
      <c r="M75" t="str">
        <f>_xlfn.XLOOKUP(C75, Table2[Species],Table2[Sp. Name], "Code Not Found")</f>
        <v>saccharum</v>
      </c>
      <c r="N75" t="str">
        <f>_xlfn.XLOOKUP(C75,Table2[Species],Table2[Family],"Code Not Found")</f>
        <v>Sapindaceae</v>
      </c>
      <c r="O75" t="str" cm="1">
        <f t="array" ref="O75">_xlfn.IFS(F75="","",F75&lt;=5,"0 to 5",F75&lt;=10,"5.1 to 10",F75&lt;=20,"10 to 20", F75&lt;= 40, "20 to 40", F75 &lt;= 50, "40 to 50", F75 &gt; 50, "&gt;50" )</f>
        <v>10 to 20</v>
      </c>
    </row>
    <row r="76" spans="1:15" ht="14.4" x14ac:dyDescent="0.3">
      <c r="A76" t="s">
        <v>15</v>
      </c>
      <c r="B76" s="1">
        <v>46162</v>
      </c>
      <c r="C76" t="s">
        <v>16</v>
      </c>
      <c r="D76">
        <v>72</v>
      </c>
      <c r="E76">
        <v>1</v>
      </c>
      <c r="F76">
        <v>2.5</v>
      </c>
      <c r="G76" t="s">
        <v>17</v>
      </c>
      <c r="H76" t="s">
        <v>49</v>
      </c>
      <c r="I76" t="str">
        <f t="shared" si="1"/>
        <v>72_1</v>
      </c>
      <c r="J76" t="s">
        <v>18</v>
      </c>
      <c r="K76" t="s">
        <v>19</v>
      </c>
      <c r="L76" t="str">
        <f>_xlfn.XLOOKUP(C76, Table2[Species],Table2[Genus], "Code Not Found")</f>
        <v>Acer</v>
      </c>
      <c r="M76" t="str">
        <f>_xlfn.XLOOKUP(C76, Table2[Species],Table2[Sp. Name], "Code Not Found")</f>
        <v>saccharum</v>
      </c>
      <c r="N76" t="str">
        <f>_xlfn.XLOOKUP(C76,Table2[Species],Table2[Family],"Code Not Found")</f>
        <v>Sapindaceae</v>
      </c>
      <c r="O76" t="str" cm="1">
        <f t="array" ref="O76">_xlfn.IFS(F76="","",F76&lt;=5,"0 to 5",F76&lt;=10,"5.1 to 10",F76&lt;=20,"10 to 20", F76&lt;= 40, "20 to 40", F76 &lt;= 50, "40 to 50", F76 &gt; 50, "&gt;50" )</f>
        <v>0 to 5</v>
      </c>
    </row>
    <row r="77" spans="1:15" ht="14.4" x14ac:dyDescent="0.3">
      <c r="A77" t="s">
        <v>15</v>
      </c>
      <c r="B77" s="1">
        <v>46162</v>
      </c>
      <c r="C77" t="s">
        <v>16</v>
      </c>
      <c r="D77">
        <v>73</v>
      </c>
      <c r="E77">
        <v>1</v>
      </c>
      <c r="F77">
        <v>2.7</v>
      </c>
      <c r="G77" t="s">
        <v>47</v>
      </c>
      <c r="H77" t="s">
        <v>43</v>
      </c>
      <c r="I77" t="str">
        <f t="shared" si="1"/>
        <v>73_1</v>
      </c>
      <c r="J77" t="s">
        <v>18</v>
      </c>
      <c r="K77" t="s">
        <v>19</v>
      </c>
      <c r="L77" t="str">
        <f>_xlfn.XLOOKUP(C77, Table2[Species],Table2[Genus], "Code Not Found")</f>
        <v>Acer</v>
      </c>
      <c r="M77" t="str">
        <f>_xlfn.XLOOKUP(C77, Table2[Species],Table2[Sp. Name], "Code Not Found")</f>
        <v>saccharum</v>
      </c>
      <c r="N77" t="str">
        <f>_xlfn.XLOOKUP(C77,Table2[Species],Table2[Family],"Code Not Found")</f>
        <v>Sapindaceae</v>
      </c>
      <c r="O77" t="str" cm="1">
        <f t="array" ref="O77">_xlfn.IFS(F77="","",F77&lt;=5,"0 to 5",F77&lt;=10,"5.1 to 10",F77&lt;=20,"10 to 20", F77&lt;= 40, "20 to 40", F77 &lt;= 50, "40 to 50", F77 &gt; 50, "&gt;50" )</f>
        <v>0 to 5</v>
      </c>
    </row>
    <row r="78" spans="1:15" ht="14.4" x14ac:dyDescent="0.3">
      <c r="A78" t="s">
        <v>15</v>
      </c>
      <c r="B78" s="1">
        <v>46162</v>
      </c>
      <c r="C78" t="s">
        <v>16</v>
      </c>
      <c r="D78">
        <v>74</v>
      </c>
      <c r="E78">
        <v>1</v>
      </c>
      <c r="F78">
        <v>3.4</v>
      </c>
      <c r="G78" t="s">
        <v>47</v>
      </c>
      <c r="H78" t="s">
        <v>43</v>
      </c>
      <c r="I78" t="str">
        <f t="shared" si="1"/>
        <v>74_1</v>
      </c>
      <c r="J78" t="s">
        <v>18</v>
      </c>
      <c r="K78" t="s">
        <v>19</v>
      </c>
      <c r="L78" t="str">
        <f>_xlfn.XLOOKUP(C78, Table2[Species],Table2[Genus], "Code Not Found")</f>
        <v>Acer</v>
      </c>
      <c r="M78" t="str">
        <f>_xlfn.XLOOKUP(C78, Table2[Species],Table2[Sp. Name], "Code Not Found")</f>
        <v>saccharum</v>
      </c>
      <c r="N78" t="str">
        <f>_xlfn.XLOOKUP(C78,Table2[Species],Table2[Family],"Code Not Found")</f>
        <v>Sapindaceae</v>
      </c>
      <c r="O78" t="str" cm="1">
        <f t="array" ref="O78">_xlfn.IFS(F78="","",F78&lt;=5,"0 to 5",F78&lt;=10,"5.1 to 10",F78&lt;=20,"10 to 20", F78&lt;= 40, "20 to 40", F78 &lt;= 50, "40 to 50", F78 &gt; 50, "&gt;50" )</f>
        <v>0 to 5</v>
      </c>
    </row>
    <row r="79" spans="1:15" ht="14.4" x14ac:dyDescent="0.3">
      <c r="A79" t="s">
        <v>15</v>
      </c>
      <c r="B79" s="1">
        <v>46162</v>
      </c>
      <c r="C79" t="s">
        <v>22</v>
      </c>
      <c r="D79">
        <v>75</v>
      </c>
      <c r="E79">
        <v>1</v>
      </c>
      <c r="F79">
        <v>17</v>
      </c>
      <c r="G79" t="s">
        <v>21</v>
      </c>
      <c r="I79" t="str">
        <f t="shared" si="1"/>
        <v>75_1</v>
      </c>
      <c r="J79" t="s">
        <v>18</v>
      </c>
      <c r="K79" t="s">
        <v>19</v>
      </c>
      <c r="L79" t="str">
        <f>_xlfn.XLOOKUP(C79, Table2[Species],Table2[Genus], "Code Not Found")</f>
        <v>Acer</v>
      </c>
      <c r="M79" t="str">
        <f>_xlfn.XLOOKUP(C79, Table2[Species],Table2[Sp. Name], "Code Not Found")</f>
        <v>rubrum</v>
      </c>
      <c r="N79" t="str">
        <f>_xlfn.XLOOKUP(C79,Table2[Species],Table2[Family],"Code Not Found")</f>
        <v>Sapindaceae</v>
      </c>
      <c r="O79" t="str" cm="1">
        <f t="array" ref="O79">_xlfn.IFS(F79="","",F79&lt;=5,"0 to 5",F79&lt;=10,"5.1 to 10",F79&lt;=20,"10 to 20", F79&lt;= 40, "20 to 40", F79 &lt;= 50, "40 to 50", F79 &gt; 50, "&gt;50" )</f>
        <v>10 to 20</v>
      </c>
    </row>
    <row r="80" spans="1:15" ht="14.4" x14ac:dyDescent="0.3">
      <c r="A80" t="s">
        <v>15</v>
      </c>
      <c r="B80" s="1">
        <v>46162</v>
      </c>
      <c r="C80" t="s">
        <v>29</v>
      </c>
      <c r="D80">
        <v>76</v>
      </c>
      <c r="E80">
        <v>1</v>
      </c>
      <c r="F80">
        <v>45.2</v>
      </c>
      <c r="G80" t="s">
        <v>17</v>
      </c>
      <c r="H80" t="s">
        <v>50</v>
      </c>
      <c r="I80" t="str">
        <f t="shared" si="1"/>
        <v>76_1</v>
      </c>
      <c r="J80" t="s">
        <v>18</v>
      </c>
      <c r="K80" t="s">
        <v>19</v>
      </c>
      <c r="L80" t="str">
        <f>_xlfn.XLOOKUP(C80, Table2[Species],Table2[Genus], "Code Not Found")</f>
        <v>Sassafras</v>
      </c>
      <c r="M80" t="str">
        <f>_xlfn.XLOOKUP(C80, Table2[Species],Table2[Sp. Name], "Code Not Found")</f>
        <v>albidum</v>
      </c>
      <c r="N80" t="str">
        <f>_xlfn.XLOOKUP(C80,Table2[Species],Table2[Family],"Code Not Found")</f>
        <v>Lauraceae</v>
      </c>
      <c r="O80" t="str" cm="1">
        <f t="array" ref="O80">_xlfn.IFS(F80="","",F80&lt;=5,"0 to 5",F80&lt;=10,"5.1 to 10",F80&lt;=20,"10 to 20", F80&lt;= 40, "20 to 40", F80 &lt;= 50, "40 to 50", F80 &gt; 50, "&gt;50" )</f>
        <v>40 to 50</v>
      </c>
    </row>
    <row r="81" spans="1:15" ht="14.4" x14ac:dyDescent="0.3">
      <c r="A81" t="s">
        <v>15</v>
      </c>
      <c r="B81" s="1">
        <v>46162</v>
      </c>
      <c r="C81" t="s">
        <v>16</v>
      </c>
      <c r="D81">
        <v>77</v>
      </c>
      <c r="E81">
        <v>1</v>
      </c>
      <c r="F81">
        <v>2.2999999999999998</v>
      </c>
      <c r="G81" t="s">
        <v>17</v>
      </c>
      <c r="I81" t="str">
        <f t="shared" si="1"/>
        <v>77_1</v>
      </c>
      <c r="J81" t="s">
        <v>18</v>
      </c>
      <c r="K81" t="s">
        <v>19</v>
      </c>
      <c r="L81" t="str">
        <f>_xlfn.XLOOKUP(C81, Table2[Species],Table2[Genus], "Code Not Found")</f>
        <v>Acer</v>
      </c>
      <c r="M81" t="str">
        <f>_xlfn.XLOOKUP(C81, Table2[Species],Table2[Sp. Name], "Code Not Found")</f>
        <v>saccharum</v>
      </c>
      <c r="N81" t="str">
        <f>_xlfn.XLOOKUP(C81,Table2[Species],Table2[Family],"Code Not Found")</f>
        <v>Sapindaceae</v>
      </c>
      <c r="O81" t="str" cm="1">
        <f t="array" ref="O81">_xlfn.IFS(F81="","",F81&lt;=5,"0 to 5",F81&lt;=10,"5.1 to 10",F81&lt;=20,"10 to 20", F81&lt;= 40, "20 to 40", F81 &lt;= 50, "40 to 50", F81 &gt; 50, "&gt;50" )</f>
        <v>0 to 5</v>
      </c>
    </row>
    <row r="82" spans="1:15" ht="14.4" x14ac:dyDescent="0.3">
      <c r="A82" t="s">
        <v>15</v>
      </c>
      <c r="B82" s="1">
        <v>46162</v>
      </c>
      <c r="C82" t="s">
        <v>22</v>
      </c>
      <c r="D82">
        <v>78</v>
      </c>
      <c r="E82">
        <v>1</v>
      </c>
      <c r="F82">
        <v>14.6</v>
      </c>
      <c r="G82" t="s">
        <v>51</v>
      </c>
      <c r="H82" t="s">
        <v>52</v>
      </c>
      <c r="I82" t="str">
        <f t="shared" si="1"/>
        <v>78_1</v>
      </c>
      <c r="J82" t="s">
        <v>18</v>
      </c>
      <c r="K82" t="s">
        <v>19</v>
      </c>
      <c r="L82" t="str">
        <f>_xlfn.XLOOKUP(C82, Table2[Species],Table2[Genus], "Code Not Found")</f>
        <v>Acer</v>
      </c>
      <c r="M82" t="str">
        <f>_xlfn.XLOOKUP(C82, Table2[Species],Table2[Sp. Name], "Code Not Found")</f>
        <v>rubrum</v>
      </c>
      <c r="N82" t="str">
        <f>_xlfn.XLOOKUP(C82,Table2[Species],Table2[Family],"Code Not Found")</f>
        <v>Sapindaceae</v>
      </c>
      <c r="O82" t="str" cm="1">
        <f t="array" ref="O82">_xlfn.IFS(F82="","",F82&lt;=5,"0 to 5",F82&lt;=10,"5.1 to 10",F82&lt;=20,"10 to 20", F82&lt;= 40, "20 to 40", F82 &lt;= 50, "40 to 50", F82 &gt; 50, "&gt;50" )</f>
        <v>10 to 20</v>
      </c>
    </row>
    <row r="83" spans="1:15" ht="14.4" x14ac:dyDescent="0.3">
      <c r="A83" t="s">
        <v>15</v>
      </c>
      <c r="B83" s="1">
        <v>46162</v>
      </c>
      <c r="C83" t="s">
        <v>16</v>
      </c>
      <c r="D83">
        <v>79</v>
      </c>
      <c r="E83">
        <v>1</v>
      </c>
      <c r="F83">
        <v>2.9</v>
      </c>
      <c r="G83" t="s">
        <v>47</v>
      </c>
      <c r="H83" t="s">
        <v>43</v>
      </c>
      <c r="I83" t="str">
        <f t="shared" si="1"/>
        <v>79_1</v>
      </c>
      <c r="J83" t="s">
        <v>18</v>
      </c>
      <c r="K83" t="s">
        <v>19</v>
      </c>
      <c r="L83" t="str">
        <f>_xlfn.XLOOKUP(C83, Table2[Species],Table2[Genus], "Code Not Found")</f>
        <v>Acer</v>
      </c>
      <c r="M83" t="str">
        <f>_xlfn.XLOOKUP(C83, Table2[Species],Table2[Sp. Name], "Code Not Found")</f>
        <v>saccharum</v>
      </c>
      <c r="N83" t="str">
        <f>_xlfn.XLOOKUP(C83,Table2[Species],Table2[Family],"Code Not Found")</f>
        <v>Sapindaceae</v>
      </c>
      <c r="O83" t="str" cm="1">
        <f t="array" ref="O83">_xlfn.IFS(F83="","",F83&lt;=5,"0 to 5",F83&lt;=10,"5.1 to 10",F83&lt;=20,"10 to 20", F83&lt;= 40, "20 to 40", F83 &lt;= 50, "40 to 50", F83 &gt; 50, "&gt;50" )</f>
        <v>0 to 5</v>
      </c>
    </row>
    <row r="84" spans="1:15" ht="14.4" x14ac:dyDescent="0.3">
      <c r="A84" t="s">
        <v>15</v>
      </c>
      <c r="B84" s="1">
        <v>46162</v>
      </c>
      <c r="C84" t="s">
        <v>16</v>
      </c>
      <c r="D84">
        <v>80</v>
      </c>
      <c r="E84">
        <v>1</v>
      </c>
      <c r="F84">
        <v>1.6</v>
      </c>
      <c r="G84" t="s">
        <v>17</v>
      </c>
      <c r="I84" t="str">
        <f t="shared" si="1"/>
        <v>80_1</v>
      </c>
      <c r="J84" t="s">
        <v>18</v>
      </c>
      <c r="K84" t="s">
        <v>19</v>
      </c>
      <c r="L84" t="str">
        <f>_xlfn.XLOOKUP(C84, Table2[Species],Table2[Genus], "Code Not Found")</f>
        <v>Acer</v>
      </c>
      <c r="M84" t="str">
        <f>_xlfn.XLOOKUP(C84, Table2[Species],Table2[Sp. Name], "Code Not Found")</f>
        <v>saccharum</v>
      </c>
      <c r="N84" t="str">
        <f>_xlfn.XLOOKUP(C84,Table2[Species],Table2[Family],"Code Not Found")</f>
        <v>Sapindaceae</v>
      </c>
      <c r="O84" t="str" cm="1">
        <f t="array" ref="O84">_xlfn.IFS(F84="","",F84&lt;=5,"0 to 5",F84&lt;=10,"5.1 to 10",F84&lt;=20,"10 to 20", F84&lt;= 40, "20 to 40", F84 &lt;= 50, "40 to 50", F84 &gt; 50, "&gt;50" )</f>
        <v>0 to 5</v>
      </c>
    </row>
    <row r="85" spans="1:15" ht="14.4" x14ac:dyDescent="0.3">
      <c r="A85" t="s">
        <v>15</v>
      </c>
      <c r="B85" s="1">
        <v>46162</v>
      </c>
      <c r="C85" t="s">
        <v>16</v>
      </c>
      <c r="D85">
        <v>81</v>
      </c>
      <c r="E85">
        <v>1</v>
      </c>
      <c r="F85">
        <v>7.3</v>
      </c>
      <c r="G85" t="s">
        <v>21</v>
      </c>
      <c r="I85" t="str">
        <f t="shared" si="1"/>
        <v>81_1</v>
      </c>
      <c r="J85" t="s">
        <v>18</v>
      </c>
      <c r="K85" t="s">
        <v>19</v>
      </c>
      <c r="L85" t="str">
        <f>_xlfn.XLOOKUP(C85, Table2[Species],Table2[Genus], "Code Not Found")</f>
        <v>Acer</v>
      </c>
      <c r="M85" t="str">
        <f>_xlfn.XLOOKUP(C85, Table2[Species],Table2[Sp. Name], "Code Not Found")</f>
        <v>saccharum</v>
      </c>
      <c r="N85" t="str">
        <f>_xlfn.XLOOKUP(C85,Table2[Species],Table2[Family],"Code Not Found")</f>
        <v>Sapindaceae</v>
      </c>
      <c r="O85" t="str" cm="1">
        <f t="array" ref="O85">_xlfn.IFS(F85="","",F85&lt;=5,"0 to 5",F85&lt;=10,"5.1 to 10",F85&lt;=20,"10 to 20", F85&lt;= 40, "20 to 40", F85 &lt;= 50, "40 to 50", F85 &gt; 50, "&gt;50" )</f>
        <v>5.1 to 10</v>
      </c>
    </row>
    <row r="86" spans="1:15" ht="14.4" x14ac:dyDescent="0.3">
      <c r="A86" t="s">
        <v>15</v>
      </c>
      <c r="B86" s="1">
        <v>46162</v>
      </c>
      <c r="C86" t="s">
        <v>16</v>
      </c>
      <c r="D86">
        <v>82</v>
      </c>
      <c r="E86">
        <v>1</v>
      </c>
      <c r="F86">
        <v>22.2</v>
      </c>
      <c r="G86" t="s">
        <v>17</v>
      </c>
      <c r="I86" t="str">
        <f t="shared" si="1"/>
        <v>82_1</v>
      </c>
      <c r="J86" t="s">
        <v>18</v>
      </c>
      <c r="K86" t="s">
        <v>19</v>
      </c>
      <c r="L86" t="str">
        <f>_xlfn.XLOOKUP(C86, Table2[Species],Table2[Genus], "Code Not Found")</f>
        <v>Acer</v>
      </c>
      <c r="M86" t="str">
        <f>_xlfn.XLOOKUP(C86, Table2[Species],Table2[Sp. Name], "Code Not Found")</f>
        <v>saccharum</v>
      </c>
      <c r="N86" t="str">
        <f>_xlfn.XLOOKUP(C86,Table2[Species],Table2[Family],"Code Not Found")</f>
        <v>Sapindaceae</v>
      </c>
      <c r="O86" t="str" cm="1">
        <f t="array" ref="O86">_xlfn.IFS(F86="","",F86&lt;=5,"0 to 5",F86&lt;=10,"5.1 to 10",F86&lt;=20,"10 to 20", F86&lt;= 40, "20 to 40", F86 &lt;= 50, "40 to 50", F86 &gt; 50, "&gt;50" )</f>
        <v>20 to 40</v>
      </c>
    </row>
    <row r="87" spans="1:15" ht="14.4" x14ac:dyDescent="0.3">
      <c r="A87" t="s">
        <v>15</v>
      </c>
      <c r="B87" s="1">
        <v>46162</v>
      </c>
      <c r="C87" t="s">
        <v>16</v>
      </c>
      <c r="D87">
        <v>83</v>
      </c>
      <c r="E87">
        <v>1</v>
      </c>
      <c r="F87">
        <v>2.2999999999999998</v>
      </c>
      <c r="G87" t="s">
        <v>21</v>
      </c>
      <c r="I87" t="str">
        <f t="shared" si="1"/>
        <v>83_1</v>
      </c>
      <c r="J87" t="s">
        <v>18</v>
      </c>
      <c r="K87" t="s">
        <v>19</v>
      </c>
      <c r="L87" t="str">
        <f>_xlfn.XLOOKUP(C87, Table2[Species],Table2[Genus], "Code Not Found")</f>
        <v>Acer</v>
      </c>
      <c r="M87" t="str">
        <f>_xlfn.XLOOKUP(C87, Table2[Species],Table2[Sp. Name], "Code Not Found")</f>
        <v>saccharum</v>
      </c>
      <c r="N87" t="str">
        <f>_xlfn.XLOOKUP(C87,Table2[Species],Table2[Family],"Code Not Found")</f>
        <v>Sapindaceae</v>
      </c>
      <c r="O87" t="str" cm="1">
        <f t="array" ref="O87">_xlfn.IFS(F87="","",F87&lt;=5,"0 to 5",F87&lt;=10,"5.1 to 10",F87&lt;=20,"10 to 20", F87&lt;= 40, "20 to 40", F87 &lt;= 50, "40 to 50", F87 &gt; 50, "&gt;50" )</f>
        <v>0 to 5</v>
      </c>
    </row>
    <row r="88" spans="1:15" ht="14.4" x14ac:dyDescent="0.3">
      <c r="A88" t="s">
        <v>15</v>
      </c>
      <c r="B88" s="1">
        <v>46162</v>
      </c>
      <c r="C88" t="s">
        <v>22</v>
      </c>
      <c r="D88">
        <v>84</v>
      </c>
      <c r="E88">
        <v>1</v>
      </c>
      <c r="F88">
        <v>2.2000000000000002</v>
      </c>
      <c r="G88" t="s">
        <v>21</v>
      </c>
      <c r="I88" t="str">
        <f t="shared" si="1"/>
        <v>84_1</v>
      </c>
      <c r="J88" t="s">
        <v>18</v>
      </c>
      <c r="K88" t="s">
        <v>19</v>
      </c>
      <c r="L88" t="str">
        <f>_xlfn.XLOOKUP(C88, Table2[Species],Table2[Genus], "Code Not Found")</f>
        <v>Acer</v>
      </c>
      <c r="M88" t="str">
        <f>_xlfn.XLOOKUP(C88, Table2[Species],Table2[Sp. Name], "Code Not Found")</f>
        <v>rubrum</v>
      </c>
      <c r="N88" t="str">
        <f>_xlfn.XLOOKUP(C88,Table2[Species],Table2[Family],"Code Not Found")</f>
        <v>Sapindaceae</v>
      </c>
      <c r="O88" t="str" cm="1">
        <f t="array" ref="O88">_xlfn.IFS(F88="","",F88&lt;=5,"0 to 5",F88&lt;=10,"5.1 to 10",F88&lt;=20,"10 to 20", F88&lt;= 40, "20 to 40", F88 &lt;= 50, "40 to 50", F88 &gt; 50, "&gt;50" )</f>
        <v>0 to 5</v>
      </c>
    </row>
    <row r="89" spans="1:15" ht="14.4" x14ac:dyDescent="0.3">
      <c r="A89" t="s">
        <v>15</v>
      </c>
      <c r="B89" s="1">
        <v>46162</v>
      </c>
      <c r="C89" t="s">
        <v>16</v>
      </c>
      <c r="D89">
        <v>85</v>
      </c>
      <c r="E89">
        <v>1</v>
      </c>
      <c r="F89">
        <v>4.3</v>
      </c>
      <c r="G89" t="s">
        <v>21</v>
      </c>
      <c r="H89" t="s">
        <v>53</v>
      </c>
      <c r="I89" t="str">
        <f t="shared" si="1"/>
        <v>85_1</v>
      </c>
      <c r="J89" t="s">
        <v>18</v>
      </c>
      <c r="K89" t="s">
        <v>19</v>
      </c>
      <c r="L89" t="str">
        <f>_xlfn.XLOOKUP(C89, Table2[Species],Table2[Genus], "Code Not Found")</f>
        <v>Acer</v>
      </c>
      <c r="M89" t="str">
        <f>_xlfn.XLOOKUP(C89, Table2[Species],Table2[Sp. Name], "Code Not Found")</f>
        <v>saccharum</v>
      </c>
      <c r="N89" t="str">
        <f>_xlfn.XLOOKUP(C89,Table2[Species],Table2[Family],"Code Not Found")</f>
        <v>Sapindaceae</v>
      </c>
      <c r="O89" t="str" cm="1">
        <f t="array" ref="O89">_xlfn.IFS(F89="","",F89&lt;=5,"0 to 5",F89&lt;=10,"5.1 to 10",F89&lt;=20,"10 to 20", F89&lt;= 40, "20 to 40", F89 &lt;= 50, "40 to 50", F89 &gt; 50, "&gt;50" )</f>
        <v>0 to 5</v>
      </c>
    </row>
    <row r="90" spans="1:15" ht="14.4" x14ac:dyDescent="0.3">
      <c r="A90" t="s">
        <v>15</v>
      </c>
      <c r="B90" s="1">
        <v>46162</v>
      </c>
      <c r="C90" t="s">
        <v>16</v>
      </c>
      <c r="D90">
        <v>86</v>
      </c>
      <c r="E90">
        <v>1</v>
      </c>
      <c r="F90">
        <v>3.4</v>
      </c>
      <c r="G90" t="s">
        <v>17</v>
      </c>
      <c r="I90" t="str">
        <f t="shared" si="1"/>
        <v>86_1</v>
      </c>
      <c r="J90" t="s">
        <v>18</v>
      </c>
      <c r="K90" t="s">
        <v>19</v>
      </c>
      <c r="L90" t="str">
        <f>_xlfn.XLOOKUP(C90, Table2[Species],Table2[Genus], "Code Not Found")</f>
        <v>Acer</v>
      </c>
      <c r="M90" t="str">
        <f>_xlfn.XLOOKUP(C90, Table2[Species],Table2[Sp. Name], "Code Not Found")</f>
        <v>saccharum</v>
      </c>
      <c r="N90" t="str">
        <f>_xlfn.XLOOKUP(C90,Table2[Species],Table2[Family],"Code Not Found")</f>
        <v>Sapindaceae</v>
      </c>
      <c r="O90" t="str" cm="1">
        <f t="array" ref="O90">_xlfn.IFS(F90="","",F90&lt;=5,"0 to 5",F90&lt;=10,"5.1 to 10",F90&lt;=20,"10 to 20", F90&lt;= 40, "20 to 40", F90 &lt;= 50, "40 to 50", F90 &gt; 50, "&gt;50" )</f>
        <v>0 to 5</v>
      </c>
    </row>
    <row r="91" spans="1:15" ht="14.4" x14ac:dyDescent="0.3">
      <c r="A91" t="s">
        <v>15</v>
      </c>
      <c r="B91" s="1">
        <v>46162</v>
      </c>
      <c r="C91" t="s">
        <v>16</v>
      </c>
      <c r="D91">
        <v>87</v>
      </c>
      <c r="E91">
        <v>1</v>
      </c>
      <c r="F91">
        <v>1.8</v>
      </c>
      <c r="G91" t="s">
        <v>54</v>
      </c>
      <c r="I91" t="str">
        <f t="shared" si="1"/>
        <v>87_1</v>
      </c>
      <c r="J91" t="s">
        <v>18</v>
      </c>
      <c r="K91" t="s">
        <v>19</v>
      </c>
      <c r="L91" t="str">
        <f>_xlfn.XLOOKUP(C91, Table2[Species],Table2[Genus], "Code Not Found")</f>
        <v>Acer</v>
      </c>
      <c r="M91" t="str">
        <f>_xlfn.XLOOKUP(C91, Table2[Species],Table2[Sp. Name], "Code Not Found")</f>
        <v>saccharum</v>
      </c>
      <c r="N91" t="str">
        <f>_xlfn.XLOOKUP(C91,Table2[Species],Table2[Family],"Code Not Found")</f>
        <v>Sapindaceae</v>
      </c>
      <c r="O91" t="str" cm="1">
        <f t="array" ref="O91">_xlfn.IFS(F91="","",F91&lt;=5,"0 to 5",F91&lt;=10,"5.1 to 10",F91&lt;=20,"10 to 20", F91&lt;= 40, "20 to 40", F91 &lt;= 50, "40 to 50", F91 &gt; 50, "&gt;50" )</f>
        <v>0 to 5</v>
      </c>
    </row>
    <row r="92" spans="1:15" ht="14.4" x14ac:dyDescent="0.3">
      <c r="A92" t="s">
        <v>15</v>
      </c>
      <c r="B92" s="1">
        <v>46164</v>
      </c>
      <c r="C92" t="s">
        <v>24</v>
      </c>
      <c r="D92">
        <v>88</v>
      </c>
      <c r="E92">
        <v>1</v>
      </c>
      <c r="F92">
        <v>20.9</v>
      </c>
      <c r="G92" t="s">
        <v>21</v>
      </c>
      <c r="I92" t="str">
        <f t="shared" si="1"/>
        <v>88_1</v>
      </c>
      <c r="J92" t="s">
        <v>18</v>
      </c>
      <c r="K92" t="s">
        <v>19</v>
      </c>
      <c r="L92" t="str">
        <f>_xlfn.XLOOKUP(C92, Table2[Species],Table2[Genus], "Code Not Found")</f>
        <v>Lirodendron</v>
      </c>
      <c r="M92" t="str">
        <f>_xlfn.XLOOKUP(C92, Table2[Species],Table2[Sp. Name], "Code Not Found")</f>
        <v>tulipfera</v>
      </c>
      <c r="N92" t="str">
        <f>_xlfn.XLOOKUP(C92,Table2[Species],Table2[Family],"Code Not Found")</f>
        <v>Magnoliaceae</v>
      </c>
      <c r="O92" t="str" cm="1">
        <f t="array" ref="O92">_xlfn.IFS(F92="","",F92&lt;=5,"0 to 5",F92&lt;=10,"5.1 to 10",F92&lt;=20,"10 to 20", F92&lt;= 40, "20 to 40", F92 &lt;= 50, "40 to 50", F92 &gt; 50, "&gt;50" )</f>
        <v>20 to 40</v>
      </c>
    </row>
    <row r="93" spans="1:15" ht="14.4" x14ac:dyDescent="0.3">
      <c r="A93" t="s">
        <v>15</v>
      </c>
      <c r="B93" s="1">
        <v>46164</v>
      </c>
      <c r="C93" t="s">
        <v>24</v>
      </c>
      <c r="D93">
        <v>89</v>
      </c>
      <c r="E93">
        <v>1</v>
      </c>
      <c r="F93">
        <v>70.7</v>
      </c>
      <c r="G93" t="s">
        <v>21</v>
      </c>
      <c r="I93" t="str">
        <f t="shared" si="1"/>
        <v>89_1</v>
      </c>
      <c r="J93" t="s">
        <v>18</v>
      </c>
      <c r="K93" t="s">
        <v>19</v>
      </c>
      <c r="L93" t="str">
        <f>_xlfn.XLOOKUP(C93, Table2[Species],Table2[Genus], "Code Not Found")</f>
        <v>Lirodendron</v>
      </c>
      <c r="M93" t="str">
        <f>_xlfn.XLOOKUP(C93, Table2[Species],Table2[Sp. Name], "Code Not Found")</f>
        <v>tulipfera</v>
      </c>
      <c r="N93" t="str">
        <f>_xlfn.XLOOKUP(C93,Table2[Species],Table2[Family],"Code Not Found")</f>
        <v>Magnoliaceae</v>
      </c>
      <c r="O93" t="str" cm="1">
        <f t="array" ref="O93">_xlfn.IFS(F93="","",F93&lt;=5,"0 to 5",F93&lt;=10,"5.1 to 10",F93&lt;=20,"10 to 20", F93&lt;= 40, "20 to 40", F93 &lt;= 50, "40 to 50", F93 &gt; 50, "&gt;50" )</f>
        <v>&gt;50</v>
      </c>
    </row>
    <row r="94" spans="1:15" ht="14.4" x14ac:dyDescent="0.3">
      <c r="A94" t="s">
        <v>15</v>
      </c>
      <c r="B94" s="1">
        <v>46164</v>
      </c>
      <c r="C94" t="s">
        <v>55</v>
      </c>
      <c r="D94">
        <v>90</v>
      </c>
      <c r="E94">
        <v>1</v>
      </c>
      <c r="F94">
        <v>33</v>
      </c>
      <c r="G94" t="s">
        <v>21</v>
      </c>
      <c r="I94" t="str">
        <f t="shared" si="1"/>
        <v>90_1</v>
      </c>
      <c r="J94" t="s">
        <v>18</v>
      </c>
      <c r="K94" t="s">
        <v>19</v>
      </c>
      <c r="L94" t="str">
        <f>_xlfn.XLOOKUP(C94, Table2[Species],Table2[Genus], "Code Not Found")</f>
        <v>Magnolia</v>
      </c>
      <c r="M94" t="str">
        <f>_xlfn.XLOOKUP(C94, Table2[Species],Table2[Sp. Name], "Code Not Found")</f>
        <v>acuminata</v>
      </c>
      <c r="N94" t="str">
        <f>_xlfn.XLOOKUP(C94,Table2[Species],Table2[Family],"Code Not Found")</f>
        <v>Magnoliaceae</v>
      </c>
      <c r="O94" t="str" cm="1">
        <f t="array" ref="O94">_xlfn.IFS(F94="","",F94&lt;=5,"0 to 5",F94&lt;=10,"5.1 to 10",F94&lt;=20,"10 to 20", F94&lt;= 40, "20 to 40", F94 &lt;= 50, "40 to 50", F94 &gt; 50, "&gt;50" )</f>
        <v>20 to 40</v>
      </c>
    </row>
    <row r="95" spans="1:15" ht="14.4" x14ac:dyDescent="0.3">
      <c r="A95" t="s">
        <v>15</v>
      </c>
      <c r="B95" s="1">
        <v>46164</v>
      </c>
      <c r="C95" t="s">
        <v>16</v>
      </c>
      <c r="D95">
        <v>91</v>
      </c>
      <c r="E95">
        <v>1</v>
      </c>
      <c r="F95">
        <v>4.5</v>
      </c>
      <c r="G95" t="s">
        <v>47</v>
      </c>
      <c r="H95" t="s">
        <v>48</v>
      </c>
      <c r="I95" t="str">
        <f t="shared" si="1"/>
        <v>91_1</v>
      </c>
      <c r="J95" t="s">
        <v>18</v>
      </c>
      <c r="K95" t="s">
        <v>19</v>
      </c>
      <c r="L95" t="str">
        <f>_xlfn.XLOOKUP(C95, Table2[Species],Table2[Genus], "Code Not Found")</f>
        <v>Acer</v>
      </c>
      <c r="M95" t="str">
        <f>_xlfn.XLOOKUP(C95, Table2[Species],Table2[Sp. Name], "Code Not Found")</f>
        <v>saccharum</v>
      </c>
      <c r="N95" t="str">
        <f>_xlfn.XLOOKUP(C95,Table2[Species],Table2[Family],"Code Not Found")</f>
        <v>Sapindaceae</v>
      </c>
      <c r="O95" t="str" cm="1">
        <f t="array" ref="O95">_xlfn.IFS(F95="","",F95&lt;=5,"0 to 5",F95&lt;=10,"5.1 to 10",F95&lt;=20,"10 to 20", F95&lt;= 40, "20 to 40", F95 &lt;= 50, "40 to 50", F95 &gt; 50, "&gt;50" )</f>
        <v>0 to 5</v>
      </c>
    </row>
    <row r="96" spans="1:15" ht="14.4" x14ac:dyDescent="0.3">
      <c r="A96" t="s">
        <v>15</v>
      </c>
      <c r="B96" s="1">
        <v>46164</v>
      </c>
      <c r="C96" t="s">
        <v>16</v>
      </c>
      <c r="D96">
        <v>92</v>
      </c>
      <c r="E96">
        <v>1</v>
      </c>
      <c r="F96">
        <v>3.7</v>
      </c>
      <c r="G96" t="s">
        <v>21</v>
      </c>
      <c r="I96" t="str">
        <f t="shared" si="1"/>
        <v>92_1</v>
      </c>
      <c r="J96" t="s">
        <v>18</v>
      </c>
      <c r="K96" t="s">
        <v>19</v>
      </c>
      <c r="L96" t="str">
        <f>_xlfn.XLOOKUP(C96, Table2[Species],Table2[Genus], "Code Not Found")</f>
        <v>Acer</v>
      </c>
      <c r="M96" t="str">
        <f>_xlfn.XLOOKUP(C96, Table2[Species],Table2[Sp. Name], "Code Not Found")</f>
        <v>saccharum</v>
      </c>
      <c r="N96" t="str">
        <f>_xlfn.XLOOKUP(C96,Table2[Species],Table2[Family],"Code Not Found")</f>
        <v>Sapindaceae</v>
      </c>
      <c r="O96" t="str" cm="1">
        <f t="array" ref="O96">_xlfn.IFS(F96="","",F96&lt;=5,"0 to 5",F96&lt;=10,"5.1 to 10",F96&lt;=20,"10 to 20", F96&lt;= 40, "20 to 40", F96 &lt;= 50, "40 to 50", F96 &gt; 50, "&gt;50" )</f>
        <v>0 to 5</v>
      </c>
    </row>
    <row r="97" spans="1:15" ht="14.4" x14ac:dyDescent="0.3">
      <c r="A97" t="s">
        <v>15</v>
      </c>
      <c r="B97" s="1">
        <v>46164</v>
      </c>
      <c r="C97" t="s">
        <v>16</v>
      </c>
      <c r="D97">
        <v>93</v>
      </c>
      <c r="E97">
        <v>1</v>
      </c>
      <c r="F97">
        <v>2.2999999999999998</v>
      </c>
      <c r="G97" t="s">
        <v>21</v>
      </c>
      <c r="I97" t="str">
        <f t="shared" si="1"/>
        <v>93_1</v>
      </c>
      <c r="J97" t="s">
        <v>18</v>
      </c>
      <c r="K97" t="s">
        <v>19</v>
      </c>
      <c r="L97" t="str">
        <f>_xlfn.XLOOKUP(C97, Table2[Species],Table2[Genus], "Code Not Found")</f>
        <v>Acer</v>
      </c>
      <c r="M97" t="str">
        <f>_xlfn.XLOOKUP(C97, Table2[Species],Table2[Sp. Name], "Code Not Found")</f>
        <v>saccharum</v>
      </c>
      <c r="N97" t="str">
        <f>_xlfn.XLOOKUP(C97,Table2[Species],Table2[Family],"Code Not Found")</f>
        <v>Sapindaceae</v>
      </c>
      <c r="O97" t="str" cm="1">
        <f t="array" ref="O97">_xlfn.IFS(F97="","",F97&lt;=5,"0 to 5",F97&lt;=10,"5.1 to 10",F97&lt;=20,"10 to 20", F97&lt;= 40, "20 to 40", F97 &lt;= 50, "40 to 50", F97 &gt; 50, "&gt;50" )</f>
        <v>0 to 5</v>
      </c>
    </row>
    <row r="98" spans="1:15" ht="14.4" x14ac:dyDescent="0.3">
      <c r="A98" t="s">
        <v>15</v>
      </c>
      <c r="B98" s="1">
        <v>46164</v>
      </c>
      <c r="C98" t="s">
        <v>16</v>
      </c>
      <c r="D98">
        <v>94</v>
      </c>
      <c r="E98">
        <v>1</v>
      </c>
      <c r="F98">
        <v>3.3</v>
      </c>
      <c r="G98" t="s">
        <v>51</v>
      </c>
      <c r="I98" t="str">
        <f t="shared" si="1"/>
        <v>94_1</v>
      </c>
      <c r="J98" t="s">
        <v>18</v>
      </c>
      <c r="K98" t="s">
        <v>19</v>
      </c>
      <c r="L98" t="str">
        <f>_xlfn.XLOOKUP(C98, Table2[Species],Table2[Genus], "Code Not Found")</f>
        <v>Acer</v>
      </c>
      <c r="M98" t="str">
        <f>_xlfn.XLOOKUP(C98, Table2[Species],Table2[Sp. Name], "Code Not Found")</f>
        <v>saccharum</v>
      </c>
      <c r="N98" t="str">
        <f>_xlfn.XLOOKUP(C98,Table2[Species],Table2[Family],"Code Not Found")</f>
        <v>Sapindaceae</v>
      </c>
      <c r="O98" t="str" cm="1">
        <f t="array" ref="O98">_xlfn.IFS(F98="","",F98&lt;=5,"0 to 5",F98&lt;=10,"5.1 to 10",F98&lt;=20,"10 to 20", F98&lt;= 40, "20 to 40", F98 &lt;= 50, "40 to 50", F98 &gt; 50, "&gt;50" )</f>
        <v>0 to 5</v>
      </c>
    </row>
    <row r="99" spans="1:15" ht="14.4" x14ac:dyDescent="0.3">
      <c r="A99" t="s">
        <v>15</v>
      </c>
      <c r="B99" s="1">
        <v>46164</v>
      </c>
      <c r="C99" t="s">
        <v>16</v>
      </c>
      <c r="D99">
        <v>95</v>
      </c>
      <c r="E99">
        <v>1</v>
      </c>
      <c r="F99">
        <v>2.1</v>
      </c>
      <c r="G99" t="s">
        <v>17</v>
      </c>
      <c r="I99" t="str">
        <f t="shared" si="1"/>
        <v>95_1</v>
      </c>
      <c r="J99" t="s">
        <v>18</v>
      </c>
      <c r="K99" t="s">
        <v>19</v>
      </c>
      <c r="L99" t="str">
        <f>_xlfn.XLOOKUP(C99, Table2[Species],Table2[Genus], "Code Not Found")</f>
        <v>Acer</v>
      </c>
      <c r="M99" t="str">
        <f>_xlfn.XLOOKUP(C99, Table2[Species],Table2[Sp. Name], "Code Not Found")</f>
        <v>saccharum</v>
      </c>
      <c r="N99" t="str">
        <f>_xlfn.XLOOKUP(C99,Table2[Species],Table2[Family],"Code Not Found")</f>
        <v>Sapindaceae</v>
      </c>
      <c r="O99" t="str" cm="1">
        <f t="array" ref="O99">_xlfn.IFS(F99="","",F99&lt;=5,"0 to 5",F99&lt;=10,"5.1 to 10",F99&lt;=20,"10 to 20", F99&lt;= 40, "20 to 40", F99 &lt;= 50, "40 to 50", F99 &gt; 50, "&gt;50" )</f>
        <v>0 to 5</v>
      </c>
    </row>
    <row r="100" spans="1:15" ht="14.4" x14ac:dyDescent="0.3">
      <c r="A100" t="s">
        <v>15</v>
      </c>
      <c r="B100" s="1">
        <v>46164</v>
      </c>
      <c r="C100" t="s">
        <v>22</v>
      </c>
      <c r="D100">
        <v>96</v>
      </c>
      <c r="E100">
        <v>1</v>
      </c>
      <c r="F100">
        <v>24.2</v>
      </c>
      <c r="G100" t="s">
        <v>56</v>
      </c>
      <c r="I100" t="str">
        <f t="shared" si="1"/>
        <v>96_1</v>
      </c>
      <c r="J100" t="s">
        <v>18</v>
      </c>
      <c r="K100" t="s">
        <v>19</v>
      </c>
      <c r="L100" t="str">
        <f>_xlfn.XLOOKUP(C100, Table2[Species],Table2[Genus], "Code Not Found")</f>
        <v>Acer</v>
      </c>
      <c r="M100" t="str">
        <f>_xlfn.XLOOKUP(C100, Table2[Species],Table2[Sp. Name], "Code Not Found")</f>
        <v>rubrum</v>
      </c>
      <c r="N100" t="str">
        <f>_xlfn.XLOOKUP(C100,Table2[Species],Table2[Family],"Code Not Found")</f>
        <v>Sapindaceae</v>
      </c>
      <c r="O100" t="str" cm="1">
        <f t="array" ref="O100">_xlfn.IFS(F100="","",F100&lt;=5,"0 to 5",F100&lt;=10,"5.1 to 10",F100&lt;=20,"10 to 20", F100&lt;= 40, "20 to 40", F100 &lt;= 50, "40 to 50", F100 &gt; 50, "&gt;50" )</f>
        <v>20 to 40</v>
      </c>
    </row>
    <row r="101" spans="1:15" ht="14.4" x14ac:dyDescent="0.3">
      <c r="A101" t="s">
        <v>15</v>
      </c>
      <c r="B101" s="1">
        <v>46164</v>
      </c>
      <c r="C101" t="s">
        <v>16</v>
      </c>
      <c r="D101">
        <v>97</v>
      </c>
      <c r="E101">
        <v>1</v>
      </c>
      <c r="F101">
        <v>1.6</v>
      </c>
      <c r="G101" t="s">
        <v>57</v>
      </c>
      <c r="H101" t="s">
        <v>48</v>
      </c>
      <c r="I101" t="str">
        <f t="shared" si="1"/>
        <v>97_1</v>
      </c>
      <c r="J101" t="s">
        <v>18</v>
      </c>
      <c r="K101" t="s">
        <v>19</v>
      </c>
      <c r="L101" t="str">
        <f>_xlfn.XLOOKUP(C101, Table2[Species],Table2[Genus], "Code Not Found")</f>
        <v>Acer</v>
      </c>
      <c r="M101" t="str">
        <f>_xlfn.XLOOKUP(C101, Table2[Species],Table2[Sp. Name], "Code Not Found")</f>
        <v>saccharum</v>
      </c>
      <c r="N101" t="str">
        <f>_xlfn.XLOOKUP(C101,Table2[Species],Table2[Family],"Code Not Found")</f>
        <v>Sapindaceae</v>
      </c>
      <c r="O101" t="str" cm="1">
        <f t="array" ref="O101">_xlfn.IFS(F101="","",F101&lt;=5,"0 to 5",F101&lt;=10,"5.1 to 10",F101&lt;=20,"10 to 20", F101&lt;= 40, "20 to 40", F101 &lt;= 50, "40 to 50", F101 &gt; 50, "&gt;50" )</f>
        <v>0 to 5</v>
      </c>
    </row>
    <row r="102" spans="1:15" ht="14.4" x14ac:dyDescent="0.3">
      <c r="A102" t="s">
        <v>15</v>
      </c>
      <c r="B102" s="1">
        <v>46164</v>
      </c>
      <c r="C102" t="s">
        <v>16</v>
      </c>
      <c r="D102">
        <v>98</v>
      </c>
      <c r="E102">
        <v>1</v>
      </c>
      <c r="F102">
        <v>1.8</v>
      </c>
      <c r="G102" t="s">
        <v>17</v>
      </c>
      <c r="H102" t="s">
        <v>58</v>
      </c>
      <c r="I102" t="str">
        <f t="shared" si="1"/>
        <v>98_1</v>
      </c>
      <c r="J102" t="s">
        <v>18</v>
      </c>
      <c r="K102" t="s">
        <v>19</v>
      </c>
      <c r="L102" t="str">
        <f>_xlfn.XLOOKUP(C102, Table2[Species],Table2[Genus], "Code Not Found")</f>
        <v>Acer</v>
      </c>
      <c r="M102" t="str">
        <f>_xlfn.XLOOKUP(C102, Table2[Species],Table2[Sp. Name], "Code Not Found")</f>
        <v>saccharum</v>
      </c>
      <c r="N102" t="str">
        <f>_xlfn.XLOOKUP(C102,Table2[Species],Table2[Family],"Code Not Found")</f>
        <v>Sapindaceae</v>
      </c>
      <c r="O102" t="str" cm="1">
        <f t="array" ref="O102">_xlfn.IFS(F102="","",F102&lt;=5,"0 to 5",F102&lt;=10,"5.1 to 10",F102&lt;=20,"10 to 20", F102&lt;= 40, "20 to 40", F102 &lt;= 50, "40 to 50", F102 &gt; 50, "&gt;50" )</f>
        <v>0 to 5</v>
      </c>
    </row>
    <row r="103" spans="1:15" ht="14.4" x14ac:dyDescent="0.3">
      <c r="A103" t="s">
        <v>15</v>
      </c>
      <c r="B103" s="1">
        <v>46164</v>
      </c>
      <c r="C103" t="s">
        <v>16</v>
      </c>
      <c r="D103">
        <v>99</v>
      </c>
      <c r="E103">
        <v>1</v>
      </c>
      <c r="F103">
        <v>11.3</v>
      </c>
      <c r="G103" t="s">
        <v>21</v>
      </c>
      <c r="I103" t="str">
        <f t="shared" si="1"/>
        <v>99_1</v>
      </c>
      <c r="J103" t="s">
        <v>18</v>
      </c>
      <c r="K103" t="s">
        <v>19</v>
      </c>
      <c r="L103" t="str">
        <f>_xlfn.XLOOKUP(C103, Table2[Species],Table2[Genus], "Code Not Found")</f>
        <v>Acer</v>
      </c>
      <c r="M103" t="str">
        <f>_xlfn.XLOOKUP(C103, Table2[Species],Table2[Sp. Name], "Code Not Found")</f>
        <v>saccharum</v>
      </c>
      <c r="N103" t="str">
        <f>_xlfn.XLOOKUP(C103,Table2[Species],Table2[Family],"Code Not Found")</f>
        <v>Sapindaceae</v>
      </c>
      <c r="O103" t="str" cm="1">
        <f t="array" ref="O103">_xlfn.IFS(F103="","",F103&lt;=5,"0 to 5",F103&lt;=10,"5.1 to 10",F103&lt;=20,"10 to 20", F103&lt;= 40, "20 to 40", F103 &lt;= 50, "40 to 50", F103 &gt; 50, "&gt;50" )</f>
        <v>10 to 20</v>
      </c>
    </row>
    <row r="104" spans="1:15" ht="14.4" x14ac:dyDescent="0.3">
      <c r="A104" t="s">
        <v>15</v>
      </c>
      <c r="B104" s="1">
        <v>46164</v>
      </c>
      <c r="C104" t="s">
        <v>59</v>
      </c>
      <c r="D104">
        <v>100</v>
      </c>
      <c r="E104">
        <v>1</v>
      </c>
      <c r="F104">
        <v>26.6</v>
      </c>
      <c r="G104" t="s">
        <v>21</v>
      </c>
      <c r="I104" t="str">
        <f t="shared" si="1"/>
        <v>100_1</v>
      </c>
      <c r="J104" t="s">
        <v>18</v>
      </c>
      <c r="K104" t="s">
        <v>19</v>
      </c>
      <c r="L104" t="str">
        <f>_xlfn.XLOOKUP(C104, Table2[Species],Table2[Genus], "Code Not Found")</f>
        <v>Nyssa</v>
      </c>
      <c r="M104" t="str">
        <f>_xlfn.XLOOKUP(C104, Table2[Species],Table2[Sp. Name], "Code Not Found")</f>
        <v>sylvatica</v>
      </c>
      <c r="N104" t="str">
        <f>_xlfn.XLOOKUP(C104,Table2[Species],Table2[Family],"Code Not Found")</f>
        <v>Nyssaceae</v>
      </c>
      <c r="O104" t="str" cm="1">
        <f t="array" ref="O104">_xlfn.IFS(F104="","",F104&lt;=5,"0 to 5",F104&lt;=10,"5.1 to 10",F104&lt;=20,"10 to 20", F104&lt;= 40, "20 to 40", F104 &lt;= 50, "40 to 50", F104 &gt; 50, "&gt;50" )</f>
        <v>20 to 40</v>
      </c>
    </row>
    <row r="105" spans="1:15" ht="14.4" x14ac:dyDescent="0.3">
      <c r="A105" t="s">
        <v>15</v>
      </c>
      <c r="B105" s="1">
        <v>46164</v>
      </c>
      <c r="C105" t="s">
        <v>16</v>
      </c>
      <c r="D105">
        <v>101</v>
      </c>
      <c r="E105">
        <v>1</v>
      </c>
      <c r="F105">
        <v>32.200000000000003</v>
      </c>
      <c r="G105" t="s">
        <v>17</v>
      </c>
      <c r="I105" t="str">
        <f t="shared" si="1"/>
        <v>101_1</v>
      </c>
      <c r="J105" t="s">
        <v>18</v>
      </c>
      <c r="K105" t="s">
        <v>19</v>
      </c>
      <c r="L105" t="str">
        <f>_xlfn.XLOOKUP(C105, Table2[Species],Table2[Genus], "Code Not Found")</f>
        <v>Acer</v>
      </c>
      <c r="M105" t="str">
        <f>_xlfn.XLOOKUP(C105, Table2[Species],Table2[Sp. Name], "Code Not Found")</f>
        <v>saccharum</v>
      </c>
      <c r="N105" t="str">
        <f>_xlfn.XLOOKUP(C105,Table2[Species],Table2[Family],"Code Not Found")</f>
        <v>Sapindaceae</v>
      </c>
      <c r="O105" t="str" cm="1">
        <f t="array" ref="O105">_xlfn.IFS(F105="","",F105&lt;=5,"0 to 5",F105&lt;=10,"5.1 to 10",F105&lt;=20,"10 to 20", F105&lt;= 40, "20 to 40", F105 &lt;= 50, "40 to 50", F105 &gt; 50, "&gt;50" )</f>
        <v>20 to 40</v>
      </c>
    </row>
    <row r="106" spans="1:15" ht="14.4" x14ac:dyDescent="0.3">
      <c r="A106" t="s">
        <v>15</v>
      </c>
      <c r="B106" s="1">
        <v>46164</v>
      </c>
      <c r="C106" t="s">
        <v>16</v>
      </c>
      <c r="D106">
        <v>102</v>
      </c>
      <c r="E106">
        <v>1</v>
      </c>
      <c r="F106">
        <v>1.4</v>
      </c>
      <c r="G106" t="s">
        <v>17</v>
      </c>
      <c r="H106" t="s">
        <v>36</v>
      </c>
      <c r="I106" t="str">
        <f t="shared" si="1"/>
        <v>102_1</v>
      </c>
      <c r="J106" t="s">
        <v>18</v>
      </c>
      <c r="K106" t="s">
        <v>19</v>
      </c>
      <c r="L106" t="str">
        <f>_xlfn.XLOOKUP(C106, Table2[Species],Table2[Genus], "Code Not Found")</f>
        <v>Acer</v>
      </c>
      <c r="M106" t="str">
        <f>_xlfn.XLOOKUP(C106, Table2[Species],Table2[Sp. Name], "Code Not Found")</f>
        <v>saccharum</v>
      </c>
      <c r="N106" t="str">
        <f>_xlfn.XLOOKUP(C106,Table2[Species],Table2[Family],"Code Not Found")</f>
        <v>Sapindaceae</v>
      </c>
      <c r="O106" t="str" cm="1">
        <f t="array" ref="O106">_xlfn.IFS(F106="","",F106&lt;=5,"0 to 5",F106&lt;=10,"5.1 to 10",F106&lt;=20,"10 to 20", F106&lt;= 40, "20 to 40", F106 &lt;= 50, "40 to 50", F106 &gt; 50, "&gt;50" )</f>
        <v>0 to 5</v>
      </c>
    </row>
    <row r="107" spans="1:15" ht="14.4" x14ac:dyDescent="0.3">
      <c r="A107" t="s">
        <v>15</v>
      </c>
      <c r="B107" s="1">
        <v>46164</v>
      </c>
      <c r="C107" t="s">
        <v>16</v>
      </c>
      <c r="D107">
        <v>103</v>
      </c>
      <c r="E107">
        <v>1</v>
      </c>
      <c r="F107">
        <v>1.8</v>
      </c>
      <c r="G107" t="s">
        <v>21</v>
      </c>
      <c r="I107" t="str">
        <f t="shared" si="1"/>
        <v>103_1</v>
      </c>
      <c r="J107" t="s">
        <v>18</v>
      </c>
      <c r="K107" t="s">
        <v>19</v>
      </c>
      <c r="L107" t="str">
        <f>_xlfn.XLOOKUP(C107, Table2[Species],Table2[Genus], "Code Not Found")</f>
        <v>Acer</v>
      </c>
      <c r="M107" t="str">
        <f>_xlfn.XLOOKUP(C107, Table2[Species],Table2[Sp. Name], "Code Not Found")</f>
        <v>saccharum</v>
      </c>
      <c r="N107" t="str">
        <f>_xlfn.XLOOKUP(C107,Table2[Species],Table2[Family],"Code Not Found")</f>
        <v>Sapindaceae</v>
      </c>
      <c r="O107" t="str" cm="1">
        <f t="array" ref="O107">_xlfn.IFS(F107="","",F107&lt;=5,"0 to 5",F107&lt;=10,"5.1 to 10",F107&lt;=20,"10 to 20", F107&lt;= 40, "20 to 40", F107 &lt;= 50, "40 to 50", F107 &gt; 50, "&gt;50" )</f>
        <v>0 to 5</v>
      </c>
    </row>
    <row r="108" spans="1:15" ht="14.4" x14ac:dyDescent="0.3">
      <c r="A108" t="s">
        <v>15</v>
      </c>
      <c r="B108" s="1">
        <v>46164</v>
      </c>
      <c r="C108" t="s">
        <v>16</v>
      </c>
      <c r="D108">
        <v>104</v>
      </c>
      <c r="E108">
        <v>1</v>
      </c>
      <c r="F108">
        <v>3</v>
      </c>
      <c r="G108" t="s">
        <v>17</v>
      </c>
      <c r="I108" t="str">
        <f t="shared" si="1"/>
        <v>104_1</v>
      </c>
      <c r="J108" t="s">
        <v>18</v>
      </c>
      <c r="K108" t="s">
        <v>19</v>
      </c>
      <c r="L108" t="str">
        <f>_xlfn.XLOOKUP(C108, Table2[Species],Table2[Genus], "Code Not Found")</f>
        <v>Acer</v>
      </c>
      <c r="M108" t="str">
        <f>_xlfn.XLOOKUP(C108, Table2[Species],Table2[Sp. Name], "Code Not Found")</f>
        <v>saccharum</v>
      </c>
      <c r="N108" t="str">
        <f>_xlfn.XLOOKUP(C108,Table2[Species],Table2[Family],"Code Not Found")</f>
        <v>Sapindaceae</v>
      </c>
      <c r="O108" t="str" cm="1">
        <f t="array" ref="O108">_xlfn.IFS(F108="","",F108&lt;=5,"0 to 5",F108&lt;=10,"5.1 to 10",F108&lt;=20,"10 to 20", F108&lt;= 40, "20 to 40", F108 &lt;= 50, "40 to 50", F108 &gt; 50, "&gt;50" )</f>
        <v>0 to 5</v>
      </c>
    </row>
    <row r="109" spans="1:15" ht="14.4" x14ac:dyDescent="0.3">
      <c r="A109" t="s">
        <v>15</v>
      </c>
      <c r="B109" s="1">
        <v>46164</v>
      </c>
      <c r="C109" t="s">
        <v>16</v>
      </c>
      <c r="D109">
        <v>105</v>
      </c>
      <c r="E109">
        <v>1</v>
      </c>
      <c r="F109">
        <v>1.5</v>
      </c>
      <c r="G109" t="s">
        <v>17</v>
      </c>
      <c r="I109" t="str">
        <f t="shared" si="1"/>
        <v>105_1</v>
      </c>
      <c r="J109" t="s">
        <v>18</v>
      </c>
      <c r="K109" t="s">
        <v>19</v>
      </c>
      <c r="L109" t="str">
        <f>_xlfn.XLOOKUP(C109, Table2[Species],Table2[Genus], "Code Not Found")</f>
        <v>Acer</v>
      </c>
      <c r="M109" t="str">
        <f>_xlfn.XLOOKUP(C109, Table2[Species],Table2[Sp. Name], "Code Not Found")</f>
        <v>saccharum</v>
      </c>
      <c r="N109" t="str">
        <f>_xlfn.XLOOKUP(C109,Table2[Species],Table2[Family],"Code Not Found")</f>
        <v>Sapindaceae</v>
      </c>
      <c r="O109" t="str" cm="1">
        <f t="array" ref="O109">_xlfn.IFS(F109="","",F109&lt;=5,"0 to 5",F109&lt;=10,"5.1 to 10",F109&lt;=20,"10 to 20", F109&lt;= 40, "20 to 40", F109 &lt;= 50, "40 to 50", F109 &gt; 50, "&gt;50" )</f>
        <v>0 to 5</v>
      </c>
    </row>
    <row r="110" spans="1:15" ht="14.4" x14ac:dyDescent="0.3">
      <c r="A110" t="s">
        <v>15</v>
      </c>
      <c r="B110" s="1">
        <v>46164</v>
      </c>
      <c r="C110" t="s">
        <v>16</v>
      </c>
      <c r="D110">
        <v>106</v>
      </c>
      <c r="E110">
        <v>1</v>
      </c>
      <c r="F110">
        <v>10.199999999999999</v>
      </c>
      <c r="G110" t="s">
        <v>56</v>
      </c>
      <c r="H110" t="s">
        <v>60</v>
      </c>
      <c r="I110" t="str">
        <f t="shared" si="1"/>
        <v>106_1</v>
      </c>
      <c r="J110" t="s">
        <v>18</v>
      </c>
      <c r="K110" t="s">
        <v>19</v>
      </c>
      <c r="L110" t="str">
        <f>_xlfn.XLOOKUP(C110, Table2[Species],Table2[Genus], "Code Not Found")</f>
        <v>Acer</v>
      </c>
      <c r="M110" t="str">
        <f>_xlfn.XLOOKUP(C110, Table2[Species],Table2[Sp. Name], "Code Not Found")</f>
        <v>saccharum</v>
      </c>
      <c r="N110" t="str">
        <f>_xlfn.XLOOKUP(C110,Table2[Species],Table2[Family],"Code Not Found")</f>
        <v>Sapindaceae</v>
      </c>
      <c r="O110" t="str" cm="1">
        <f t="array" ref="O110">_xlfn.IFS(F110="","",F110&lt;=5,"0 to 5",F110&lt;=10,"5.1 to 10",F110&lt;=20,"10 to 20", F110&lt;= 40, "20 to 40", F110 &lt;= 50, "40 to 50", F110 &gt; 50, "&gt;50" )</f>
        <v>10 to 20</v>
      </c>
    </row>
    <row r="111" spans="1:15" ht="14.4" x14ac:dyDescent="0.3">
      <c r="A111" t="s">
        <v>15</v>
      </c>
      <c r="B111" s="1">
        <v>46164</v>
      </c>
      <c r="C111" t="s">
        <v>24</v>
      </c>
      <c r="D111">
        <v>107</v>
      </c>
      <c r="E111">
        <v>1</v>
      </c>
      <c r="F111">
        <v>68.7</v>
      </c>
      <c r="G111" t="s">
        <v>21</v>
      </c>
      <c r="I111" t="str">
        <f t="shared" si="1"/>
        <v>107_1</v>
      </c>
      <c r="J111" t="s">
        <v>18</v>
      </c>
      <c r="K111" t="s">
        <v>19</v>
      </c>
      <c r="L111" t="str">
        <f>_xlfn.XLOOKUP(C111, Table2[Species],Table2[Genus], "Code Not Found")</f>
        <v>Lirodendron</v>
      </c>
      <c r="M111" t="str">
        <f>_xlfn.XLOOKUP(C111, Table2[Species],Table2[Sp. Name], "Code Not Found")</f>
        <v>tulipfera</v>
      </c>
      <c r="N111" t="str">
        <f>_xlfn.XLOOKUP(C111,Table2[Species],Table2[Family],"Code Not Found")</f>
        <v>Magnoliaceae</v>
      </c>
      <c r="O111" t="str" cm="1">
        <f t="array" ref="O111">_xlfn.IFS(F111="","",F111&lt;=5,"0 to 5",F111&lt;=10,"5.1 to 10",F111&lt;=20,"10 to 20", F111&lt;= 40, "20 to 40", F111 &lt;= 50, "40 to 50", F111 &gt; 50, "&gt;50" )</f>
        <v>&gt;50</v>
      </c>
    </row>
    <row r="112" spans="1:15" ht="14.4" x14ac:dyDescent="0.3">
      <c r="A112" t="s">
        <v>15</v>
      </c>
      <c r="B112" s="1">
        <v>46164</v>
      </c>
      <c r="C112" t="s">
        <v>24</v>
      </c>
      <c r="D112">
        <v>108</v>
      </c>
      <c r="E112">
        <v>1</v>
      </c>
      <c r="F112">
        <v>48.3</v>
      </c>
      <c r="G112" t="s">
        <v>21</v>
      </c>
      <c r="I112" t="str">
        <f t="shared" si="1"/>
        <v>108_1</v>
      </c>
      <c r="J112" t="s">
        <v>18</v>
      </c>
      <c r="K112" t="s">
        <v>19</v>
      </c>
      <c r="L112" t="str">
        <f>_xlfn.XLOOKUP(C112, Table2[Species],Table2[Genus], "Code Not Found")</f>
        <v>Lirodendron</v>
      </c>
      <c r="M112" t="str">
        <f>_xlfn.XLOOKUP(C112, Table2[Species],Table2[Sp. Name], "Code Not Found")</f>
        <v>tulipfera</v>
      </c>
      <c r="N112" t="str">
        <f>_xlfn.XLOOKUP(C112,Table2[Species],Table2[Family],"Code Not Found")</f>
        <v>Magnoliaceae</v>
      </c>
      <c r="O112" t="str" cm="1">
        <f t="array" ref="O112">_xlfn.IFS(F112="","",F112&lt;=5,"0 to 5",F112&lt;=10,"5.1 to 10",F112&lt;=20,"10 to 20", F112&lt;= 40, "20 to 40", F112 &lt;= 50, "40 to 50", F112 &gt; 50, "&gt;50" )</f>
        <v>40 to 50</v>
      </c>
    </row>
    <row r="113" spans="1:15" ht="14.4" x14ac:dyDescent="0.3">
      <c r="A113" t="s">
        <v>15</v>
      </c>
      <c r="B113" s="1">
        <v>46164</v>
      </c>
      <c r="C113" t="s">
        <v>16</v>
      </c>
      <c r="D113">
        <v>109</v>
      </c>
      <c r="E113">
        <v>1</v>
      </c>
      <c r="F113">
        <v>20</v>
      </c>
      <c r="G113" t="s">
        <v>56</v>
      </c>
      <c r="H113" t="s">
        <v>60</v>
      </c>
      <c r="I113" t="str">
        <f t="shared" si="1"/>
        <v>109_1</v>
      </c>
      <c r="J113" t="s">
        <v>18</v>
      </c>
      <c r="K113" t="s">
        <v>19</v>
      </c>
      <c r="L113" t="str">
        <f>_xlfn.XLOOKUP(C113, Table2[Species],Table2[Genus], "Code Not Found")</f>
        <v>Acer</v>
      </c>
      <c r="M113" t="str">
        <f>_xlfn.XLOOKUP(C113, Table2[Species],Table2[Sp. Name], "Code Not Found")</f>
        <v>saccharum</v>
      </c>
      <c r="N113" t="str">
        <f>_xlfn.XLOOKUP(C113,Table2[Species],Table2[Family],"Code Not Found")</f>
        <v>Sapindaceae</v>
      </c>
      <c r="O113" t="str" cm="1">
        <f t="array" ref="O113">_xlfn.IFS(F113="","",F113&lt;=5,"0 to 5",F113&lt;=10,"5.1 to 10",F113&lt;=20,"10 to 20", F113&lt;= 40, "20 to 40", F113 &lt;= 50, "40 to 50", F113 &gt; 50, "&gt;50" )</f>
        <v>10 to 20</v>
      </c>
    </row>
    <row r="114" spans="1:15" ht="14.4" x14ac:dyDescent="0.3">
      <c r="A114" t="s">
        <v>15</v>
      </c>
      <c r="B114" s="1">
        <v>46164</v>
      </c>
      <c r="C114" t="s">
        <v>16</v>
      </c>
      <c r="D114">
        <v>110</v>
      </c>
      <c r="E114">
        <v>1</v>
      </c>
      <c r="F114">
        <v>1.8</v>
      </c>
      <c r="G114" t="s">
        <v>61</v>
      </c>
      <c r="H114" t="s">
        <v>62</v>
      </c>
      <c r="I114" t="str">
        <f t="shared" si="1"/>
        <v>110_1</v>
      </c>
      <c r="J114" t="s">
        <v>18</v>
      </c>
      <c r="K114" t="s">
        <v>19</v>
      </c>
      <c r="L114" t="str">
        <f>_xlfn.XLOOKUP(C114, Table2[Species],Table2[Genus], "Code Not Found")</f>
        <v>Acer</v>
      </c>
      <c r="M114" t="str">
        <f>_xlfn.XLOOKUP(C114, Table2[Species],Table2[Sp. Name], "Code Not Found")</f>
        <v>saccharum</v>
      </c>
      <c r="N114" t="str">
        <f>_xlfn.XLOOKUP(C114,Table2[Species],Table2[Family],"Code Not Found")</f>
        <v>Sapindaceae</v>
      </c>
      <c r="O114" t="str" cm="1">
        <f t="array" ref="O114">_xlfn.IFS(F114="","",F114&lt;=5,"0 to 5",F114&lt;=10,"5.1 to 10",F114&lt;=20,"10 to 20", F114&lt;= 40, "20 to 40", F114 &lt;= 50, "40 to 50", F114 &gt; 50, "&gt;50" )</f>
        <v>0 to 5</v>
      </c>
    </row>
    <row r="115" spans="1:15" ht="14.4" x14ac:dyDescent="0.3">
      <c r="A115" t="s">
        <v>15</v>
      </c>
      <c r="B115" s="1">
        <v>46164</v>
      </c>
      <c r="C115" t="s">
        <v>16</v>
      </c>
      <c r="D115">
        <v>111</v>
      </c>
      <c r="E115">
        <v>1</v>
      </c>
      <c r="F115">
        <v>1.3</v>
      </c>
      <c r="G115" t="s">
        <v>17</v>
      </c>
      <c r="I115" t="str">
        <f t="shared" si="1"/>
        <v>111_1</v>
      </c>
      <c r="J115" t="s">
        <v>18</v>
      </c>
      <c r="K115" t="s">
        <v>19</v>
      </c>
      <c r="L115" t="str">
        <f>_xlfn.XLOOKUP(C115, Table2[Species],Table2[Genus], "Code Not Found")</f>
        <v>Acer</v>
      </c>
      <c r="M115" t="str">
        <f>_xlfn.XLOOKUP(C115, Table2[Species],Table2[Sp. Name], "Code Not Found")</f>
        <v>saccharum</v>
      </c>
      <c r="N115" t="str">
        <f>_xlfn.XLOOKUP(C115,Table2[Species],Table2[Family],"Code Not Found")</f>
        <v>Sapindaceae</v>
      </c>
      <c r="O115" t="str" cm="1">
        <f t="array" ref="O115">_xlfn.IFS(F115="","",F115&lt;=5,"0 to 5",F115&lt;=10,"5.1 to 10",F115&lt;=20,"10 to 20", F115&lt;= 40, "20 to 40", F115 &lt;= 50, "40 to 50", F115 &gt; 50, "&gt;50" )</f>
        <v>0 to 5</v>
      </c>
    </row>
    <row r="116" spans="1:15" ht="14.4" x14ac:dyDescent="0.3">
      <c r="A116" t="s">
        <v>15</v>
      </c>
      <c r="B116" s="1">
        <v>46164</v>
      </c>
      <c r="C116" t="s">
        <v>16</v>
      </c>
      <c r="D116">
        <v>112</v>
      </c>
      <c r="E116">
        <v>1</v>
      </c>
      <c r="F116">
        <v>1.9</v>
      </c>
      <c r="G116" t="s">
        <v>34</v>
      </c>
      <c r="I116" t="str">
        <f t="shared" si="1"/>
        <v>112_1</v>
      </c>
      <c r="J116" t="s">
        <v>18</v>
      </c>
      <c r="K116" t="s">
        <v>19</v>
      </c>
      <c r="L116" t="str">
        <f>_xlfn.XLOOKUP(C116, Table2[Species],Table2[Genus], "Code Not Found")</f>
        <v>Acer</v>
      </c>
      <c r="M116" t="str">
        <f>_xlfn.XLOOKUP(C116, Table2[Species],Table2[Sp. Name], "Code Not Found")</f>
        <v>saccharum</v>
      </c>
      <c r="N116" t="str">
        <f>_xlfn.XLOOKUP(C116,Table2[Species],Table2[Family],"Code Not Found")</f>
        <v>Sapindaceae</v>
      </c>
      <c r="O116" t="str" cm="1">
        <f t="array" ref="O116">_xlfn.IFS(F116="","",F116&lt;=5,"0 to 5",F116&lt;=10,"5.1 to 10",F116&lt;=20,"10 to 20", F116&lt;= 40, "20 to 40", F116 &lt;= 50, "40 to 50", F116 &gt; 50, "&gt;50" )</f>
        <v>0 to 5</v>
      </c>
    </row>
    <row r="117" spans="1:15" ht="14.4" x14ac:dyDescent="0.3">
      <c r="A117" t="s">
        <v>15</v>
      </c>
      <c r="B117" s="1">
        <v>46164</v>
      </c>
      <c r="C117" t="s">
        <v>16</v>
      </c>
      <c r="D117">
        <v>112</v>
      </c>
      <c r="E117">
        <v>2</v>
      </c>
      <c r="F117">
        <v>1.4</v>
      </c>
      <c r="G117" t="s">
        <v>34</v>
      </c>
      <c r="H117" t="s">
        <v>63</v>
      </c>
      <c r="I117" t="str">
        <f t="shared" si="1"/>
        <v>112_2</v>
      </c>
      <c r="J117" t="s">
        <v>18</v>
      </c>
      <c r="K117" t="s">
        <v>19</v>
      </c>
      <c r="L117" t="str">
        <f>_xlfn.XLOOKUP(C117, Table2[Species],Table2[Genus], "Code Not Found")</f>
        <v>Acer</v>
      </c>
      <c r="M117" t="str">
        <f>_xlfn.XLOOKUP(C117, Table2[Species],Table2[Sp. Name], "Code Not Found")</f>
        <v>saccharum</v>
      </c>
      <c r="N117" t="str">
        <f>_xlfn.XLOOKUP(C117,Table2[Species],Table2[Family],"Code Not Found")</f>
        <v>Sapindaceae</v>
      </c>
      <c r="O117" t="str" cm="1">
        <f t="array" ref="O117">_xlfn.IFS(F117="","",F117&lt;=5,"0 to 5",F117&lt;=10,"5.1 to 10",F117&lt;=20,"10 to 20", F117&lt;= 40, "20 to 40", F117 &lt;= 50, "40 to 50", F117 &gt; 50, "&gt;50" )</f>
        <v>0 to 5</v>
      </c>
    </row>
    <row r="118" spans="1:15" ht="14.4" x14ac:dyDescent="0.3">
      <c r="A118" t="s">
        <v>15</v>
      </c>
      <c r="B118" s="1">
        <v>46164</v>
      </c>
      <c r="C118" t="s">
        <v>16</v>
      </c>
      <c r="D118">
        <v>113</v>
      </c>
      <c r="E118">
        <v>1</v>
      </c>
      <c r="F118">
        <v>1.2</v>
      </c>
      <c r="G118" t="s">
        <v>57</v>
      </c>
      <c r="H118" t="s">
        <v>48</v>
      </c>
      <c r="I118" t="str">
        <f t="shared" si="1"/>
        <v>113_1</v>
      </c>
      <c r="J118" t="s">
        <v>18</v>
      </c>
      <c r="K118" t="s">
        <v>19</v>
      </c>
      <c r="L118" t="str">
        <f>_xlfn.XLOOKUP(C118, Table2[Species],Table2[Genus], "Code Not Found")</f>
        <v>Acer</v>
      </c>
      <c r="M118" t="str">
        <f>_xlfn.XLOOKUP(C118, Table2[Species],Table2[Sp. Name], "Code Not Found")</f>
        <v>saccharum</v>
      </c>
      <c r="N118" t="str">
        <f>_xlfn.XLOOKUP(C118,Table2[Species],Table2[Family],"Code Not Found")</f>
        <v>Sapindaceae</v>
      </c>
      <c r="O118" t="str" cm="1">
        <f t="array" ref="O118">_xlfn.IFS(F118="","",F118&lt;=5,"0 to 5",F118&lt;=10,"5.1 to 10",F118&lt;=20,"10 to 20", F118&lt;= 40, "20 to 40", F118 &lt;= 50, "40 to 50", F118 &gt; 50, "&gt;50" )</f>
        <v>0 to 5</v>
      </c>
    </row>
    <row r="119" spans="1:15" ht="14.4" x14ac:dyDescent="0.3">
      <c r="A119" t="s">
        <v>15</v>
      </c>
      <c r="B119" s="1">
        <v>46164</v>
      </c>
      <c r="C119" t="s">
        <v>22</v>
      </c>
      <c r="D119">
        <v>114</v>
      </c>
      <c r="E119">
        <v>1</v>
      </c>
      <c r="F119">
        <v>43.4</v>
      </c>
      <c r="G119" t="s">
        <v>21</v>
      </c>
      <c r="I119" t="str">
        <f t="shared" si="1"/>
        <v>114_1</v>
      </c>
      <c r="J119" t="s">
        <v>18</v>
      </c>
      <c r="K119" t="s">
        <v>19</v>
      </c>
      <c r="L119" t="str">
        <f>_xlfn.XLOOKUP(C119, Table2[Species],Table2[Genus], "Code Not Found")</f>
        <v>Acer</v>
      </c>
      <c r="M119" t="str">
        <f>_xlfn.XLOOKUP(C119, Table2[Species],Table2[Sp. Name], "Code Not Found")</f>
        <v>rubrum</v>
      </c>
      <c r="N119" t="str">
        <f>_xlfn.XLOOKUP(C119,Table2[Species],Table2[Family],"Code Not Found")</f>
        <v>Sapindaceae</v>
      </c>
      <c r="O119" t="str" cm="1">
        <f t="array" ref="O119">_xlfn.IFS(F119="","",F119&lt;=5,"0 to 5",F119&lt;=10,"5.1 to 10",F119&lt;=20,"10 to 20", F119&lt;= 40, "20 to 40", F119 &lt;= 50, "40 to 50", F119 &gt; 50, "&gt;50" )</f>
        <v>40 to 50</v>
      </c>
    </row>
    <row r="120" spans="1:15" ht="14.4" x14ac:dyDescent="0.3">
      <c r="A120" t="s">
        <v>15</v>
      </c>
      <c r="B120" s="1">
        <v>46164</v>
      </c>
      <c r="C120" t="s">
        <v>16</v>
      </c>
      <c r="D120">
        <v>115</v>
      </c>
      <c r="E120">
        <v>1</v>
      </c>
      <c r="F120">
        <v>19.100000000000001</v>
      </c>
      <c r="G120" t="s">
        <v>51</v>
      </c>
      <c r="I120" t="str">
        <f t="shared" si="1"/>
        <v>115_1</v>
      </c>
      <c r="J120" t="s">
        <v>18</v>
      </c>
      <c r="K120" t="s">
        <v>19</v>
      </c>
      <c r="L120" t="str">
        <f>_xlfn.XLOOKUP(C120, Table2[Species],Table2[Genus], "Code Not Found")</f>
        <v>Acer</v>
      </c>
      <c r="M120" t="str">
        <f>_xlfn.XLOOKUP(C120, Table2[Species],Table2[Sp. Name], "Code Not Found")</f>
        <v>saccharum</v>
      </c>
      <c r="N120" t="str">
        <f>_xlfn.XLOOKUP(C120,Table2[Species],Table2[Family],"Code Not Found")</f>
        <v>Sapindaceae</v>
      </c>
      <c r="O120" t="str" cm="1">
        <f t="array" ref="O120">_xlfn.IFS(F120="","",F120&lt;=5,"0 to 5",F120&lt;=10,"5.1 to 10",F120&lt;=20,"10 to 20", F120&lt;= 40, "20 to 40", F120 &lt;= 50, "40 to 50", F120 &gt; 50, "&gt;50" )</f>
        <v>10 to 20</v>
      </c>
    </row>
    <row r="121" spans="1:15" ht="14.4" x14ac:dyDescent="0.3">
      <c r="A121" t="s">
        <v>15</v>
      </c>
      <c r="B121" s="1">
        <v>46164</v>
      </c>
      <c r="C121" t="s">
        <v>16</v>
      </c>
      <c r="D121">
        <v>116</v>
      </c>
      <c r="E121">
        <v>1</v>
      </c>
      <c r="F121">
        <v>10.8</v>
      </c>
      <c r="G121" t="s">
        <v>51</v>
      </c>
      <c r="I121" t="str">
        <f t="shared" si="1"/>
        <v>116_1</v>
      </c>
      <c r="J121" t="s">
        <v>18</v>
      </c>
      <c r="K121" t="s">
        <v>19</v>
      </c>
      <c r="L121" t="str">
        <f>_xlfn.XLOOKUP(C121, Table2[Species],Table2[Genus], "Code Not Found")</f>
        <v>Acer</v>
      </c>
      <c r="M121" t="str">
        <f>_xlfn.XLOOKUP(C121, Table2[Species],Table2[Sp. Name], "Code Not Found")</f>
        <v>saccharum</v>
      </c>
      <c r="N121" t="str">
        <f>_xlfn.XLOOKUP(C121,Table2[Species],Table2[Family],"Code Not Found")</f>
        <v>Sapindaceae</v>
      </c>
      <c r="O121" t="str" cm="1">
        <f t="array" ref="O121">_xlfn.IFS(F121="","",F121&lt;=5,"0 to 5",F121&lt;=10,"5.1 to 10",F121&lt;=20,"10 to 20", F121&lt;= 40, "20 to 40", F121 &lt;= 50, "40 to 50", F121 &gt; 50, "&gt;50" )</f>
        <v>10 to 20</v>
      </c>
    </row>
    <row r="122" spans="1:15" ht="14.4" x14ac:dyDescent="0.3">
      <c r="A122" t="s">
        <v>15</v>
      </c>
      <c r="B122" s="1">
        <v>46164</v>
      </c>
      <c r="C122" t="s">
        <v>16</v>
      </c>
      <c r="D122">
        <v>117</v>
      </c>
      <c r="E122">
        <v>1</v>
      </c>
      <c r="F122">
        <v>25.8</v>
      </c>
      <c r="G122" t="s">
        <v>21</v>
      </c>
      <c r="I122" t="str">
        <f t="shared" si="1"/>
        <v>117_1</v>
      </c>
      <c r="J122" t="s">
        <v>18</v>
      </c>
      <c r="K122" t="s">
        <v>19</v>
      </c>
      <c r="L122" t="str">
        <f>_xlfn.XLOOKUP(C122, Table2[Species],Table2[Genus], "Code Not Found")</f>
        <v>Acer</v>
      </c>
      <c r="M122" t="str">
        <f>_xlfn.XLOOKUP(C122, Table2[Species],Table2[Sp. Name], "Code Not Found")</f>
        <v>saccharum</v>
      </c>
      <c r="N122" t="str">
        <f>_xlfn.XLOOKUP(C122,Table2[Species],Table2[Family],"Code Not Found")</f>
        <v>Sapindaceae</v>
      </c>
      <c r="O122" t="str" cm="1">
        <f t="array" ref="O122">_xlfn.IFS(F122="","",F122&lt;=5,"0 to 5",F122&lt;=10,"5.1 to 10",F122&lt;=20,"10 to 20", F122&lt;= 40, "20 to 40", F122 &lt;= 50, "40 to 50", F122 &gt; 50, "&gt;50" )</f>
        <v>20 to 40</v>
      </c>
    </row>
    <row r="123" spans="1:15" ht="14.4" x14ac:dyDescent="0.3">
      <c r="A123" t="s">
        <v>15</v>
      </c>
      <c r="B123" s="1">
        <v>46164</v>
      </c>
      <c r="C123" t="s">
        <v>16</v>
      </c>
      <c r="D123">
        <v>118</v>
      </c>
      <c r="E123">
        <v>1</v>
      </c>
      <c r="F123">
        <v>14.3</v>
      </c>
      <c r="G123" t="s">
        <v>56</v>
      </c>
      <c r="I123" t="str">
        <f t="shared" si="1"/>
        <v>118_1</v>
      </c>
      <c r="J123" t="s">
        <v>18</v>
      </c>
      <c r="K123" t="s">
        <v>19</v>
      </c>
      <c r="L123" t="str">
        <f>_xlfn.XLOOKUP(C123, Table2[Species],Table2[Genus], "Code Not Found")</f>
        <v>Acer</v>
      </c>
      <c r="M123" t="str">
        <f>_xlfn.XLOOKUP(C123, Table2[Species],Table2[Sp. Name], "Code Not Found")</f>
        <v>saccharum</v>
      </c>
      <c r="N123" t="str">
        <f>_xlfn.XLOOKUP(C123,Table2[Species],Table2[Family],"Code Not Found")</f>
        <v>Sapindaceae</v>
      </c>
      <c r="O123" t="str" cm="1">
        <f t="array" ref="O123">_xlfn.IFS(F123="","",F123&lt;=5,"0 to 5",F123&lt;=10,"5.1 to 10",F123&lt;=20,"10 to 20", F123&lt;= 40, "20 to 40", F123 &lt;= 50, "40 to 50", F123 &gt; 50, "&gt;50" )</f>
        <v>10 to 20</v>
      </c>
    </row>
    <row r="124" spans="1:15" ht="14.4" x14ac:dyDescent="0.3">
      <c r="A124" t="s">
        <v>15</v>
      </c>
      <c r="B124" s="1">
        <v>46164</v>
      </c>
      <c r="C124" t="s">
        <v>24</v>
      </c>
      <c r="D124">
        <v>119</v>
      </c>
      <c r="E124">
        <v>1</v>
      </c>
      <c r="F124">
        <v>87.3</v>
      </c>
      <c r="G124" t="s">
        <v>21</v>
      </c>
      <c r="I124" t="str">
        <f t="shared" si="1"/>
        <v>119_1</v>
      </c>
      <c r="J124" t="s">
        <v>18</v>
      </c>
      <c r="K124" t="s">
        <v>19</v>
      </c>
      <c r="L124" t="str">
        <f>_xlfn.XLOOKUP(C124, Table2[Species],Table2[Genus], "Code Not Found")</f>
        <v>Lirodendron</v>
      </c>
      <c r="M124" t="str">
        <f>_xlfn.XLOOKUP(C124, Table2[Species],Table2[Sp. Name], "Code Not Found")</f>
        <v>tulipfera</v>
      </c>
      <c r="N124" t="str">
        <f>_xlfn.XLOOKUP(C124,Table2[Species],Table2[Family],"Code Not Found")</f>
        <v>Magnoliaceae</v>
      </c>
      <c r="O124" t="str" cm="1">
        <f t="array" ref="O124">_xlfn.IFS(F124="","",F124&lt;=5,"0 to 5",F124&lt;=10,"5.1 to 10",F124&lt;=20,"10 to 20", F124&lt;= 40, "20 to 40", F124 &lt;= 50, "40 to 50", F124 &gt; 50, "&gt;50" )</f>
        <v>&gt;50</v>
      </c>
    </row>
    <row r="125" spans="1:15" ht="14.4" x14ac:dyDescent="0.3">
      <c r="A125" t="s">
        <v>15</v>
      </c>
      <c r="B125" s="1">
        <v>46164</v>
      </c>
      <c r="C125" t="s">
        <v>59</v>
      </c>
      <c r="D125">
        <v>120</v>
      </c>
      <c r="E125">
        <v>1</v>
      </c>
      <c r="F125">
        <v>25.1</v>
      </c>
      <c r="G125" t="s">
        <v>21</v>
      </c>
      <c r="I125" t="str">
        <f t="shared" si="1"/>
        <v>120_1</v>
      </c>
      <c r="J125" t="s">
        <v>18</v>
      </c>
      <c r="K125" t="s">
        <v>19</v>
      </c>
      <c r="L125" t="str">
        <f>_xlfn.XLOOKUP(C125, Table2[Species],Table2[Genus], "Code Not Found")</f>
        <v>Nyssa</v>
      </c>
      <c r="M125" t="str">
        <f>_xlfn.XLOOKUP(C125, Table2[Species],Table2[Sp. Name], "Code Not Found")</f>
        <v>sylvatica</v>
      </c>
      <c r="N125" t="str">
        <f>_xlfn.XLOOKUP(C125,Table2[Species],Table2[Family],"Code Not Found")</f>
        <v>Nyssaceae</v>
      </c>
      <c r="O125" t="str" cm="1">
        <f t="array" ref="O125">_xlfn.IFS(F125="","",F125&lt;=5,"0 to 5",F125&lt;=10,"5.1 to 10",F125&lt;=20,"10 to 20", F125&lt;= 40, "20 to 40", F125 &lt;= 50, "40 to 50", F125 &gt; 50, "&gt;50" )</f>
        <v>20 to 40</v>
      </c>
    </row>
    <row r="126" spans="1:15" ht="14.4" x14ac:dyDescent="0.3">
      <c r="A126" t="s">
        <v>15</v>
      </c>
      <c r="B126" s="1">
        <v>46164</v>
      </c>
      <c r="C126" t="s">
        <v>16</v>
      </c>
      <c r="D126">
        <v>121</v>
      </c>
      <c r="E126">
        <v>1</v>
      </c>
      <c r="F126">
        <v>16.5</v>
      </c>
      <c r="G126" t="s">
        <v>56</v>
      </c>
      <c r="I126" t="str">
        <f t="shared" si="1"/>
        <v>121_1</v>
      </c>
      <c r="J126" t="s">
        <v>18</v>
      </c>
      <c r="K126" t="s">
        <v>19</v>
      </c>
      <c r="L126" t="str">
        <f>_xlfn.XLOOKUP(C126, Table2[Species],Table2[Genus], "Code Not Found")</f>
        <v>Acer</v>
      </c>
      <c r="M126" t="str">
        <f>_xlfn.XLOOKUP(C126, Table2[Species],Table2[Sp. Name], "Code Not Found")</f>
        <v>saccharum</v>
      </c>
      <c r="N126" t="str">
        <f>_xlfn.XLOOKUP(C126,Table2[Species],Table2[Family],"Code Not Found")</f>
        <v>Sapindaceae</v>
      </c>
      <c r="O126" t="str" cm="1">
        <f t="array" ref="O126">_xlfn.IFS(F126="","",F126&lt;=5,"0 to 5",F126&lt;=10,"5.1 to 10",F126&lt;=20,"10 to 20", F126&lt;= 40, "20 to 40", F126 &lt;= 50, "40 to 50", F126 &gt; 50, "&gt;50" )</f>
        <v>10 to 20</v>
      </c>
    </row>
    <row r="127" spans="1:15" ht="14.4" x14ac:dyDescent="0.3">
      <c r="A127" t="s">
        <v>15</v>
      </c>
      <c r="B127" s="1">
        <v>46164</v>
      </c>
      <c r="C127" t="s">
        <v>16</v>
      </c>
      <c r="D127">
        <v>122</v>
      </c>
      <c r="E127">
        <v>1</v>
      </c>
      <c r="F127">
        <v>14.6</v>
      </c>
      <c r="G127" t="s">
        <v>21</v>
      </c>
      <c r="I127" t="str">
        <f t="shared" si="1"/>
        <v>122_1</v>
      </c>
      <c r="J127" t="s">
        <v>18</v>
      </c>
      <c r="K127" t="s">
        <v>19</v>
      </c>
      <c r="L127" t="str">
        <f>_xlfn.XLOOKUP(C127, Table2[Species],Table2[Genus], "Code Not Found")</f>
        <v>Acer</v>
      </c>
      <c r="M127" t="str">
        <f>_xlfn.XLOOKUP(C127, Table2[Species],Table2[Sp. Name], "Code Not Found")</f>
        <v>saccharum</v>
      </c>
      <c r="N127" t="str">
        <f>_xlfn.XLOOKUP(C127,Table2[Species],Table2[Family],"Code Not Found")</f>
        <v>Sapindaceae</v>
      </c>
      <c r="O127" t="str" cm="1">
        <f t="array" ref="O127">_xlfn.IFS(F127="","",F127&lt;=5,"0 to 5",F127&lt;=10,"5.1 to 10",F127&lt;=20,"10 to 20", F127&lt;= 40, "20 to 40", F127 &lt;= 50, "40 to 50", F127 &gt; 50, "&gt;50" )</f>
        <v>10 to 20</v>
      </c>
    </row>
    <row r="128" spans="1:15" ht="14.4" x14ac:dyDescent="0.3">
      <c r="A128" t="s">
        <v>15</v>
      </c>
      <c r="B128" s="1">
        <v>46164</v>
      </c>
      <c r="C128" t="s">
        <v>64</v>
      </c>
      <c r="D128">
        <v>123</v>
      </c>
      <c r="E128">
        <v>1</v>
      </c>
      <c r="F128">
        <v>3.7</v>
      </c>
      <c r="G128" t="s">
        <v>21</v>
      </c>
      <c r="I128" t="str">
        <f t="shared" si="1"/>
        <v>123_1</v>
      </c>
      <c r="J128" t="s">
        <v>18</v>
      </c>
      <c r="K128" t="s">
        <v>19</v>
      </c>
      <c r="L128" t="str">
        <f>_xlfn.XLOOKUP(C128, Table2[Species],Table2[Genus], "Code Not Found")</f>
        <v>Fagus</v>
      </c>
      <c r="M128" t="str">
        <f>_xlfn.XLOOKUP(C128, Table2[Species],Table2[Sp. Name], "Code Not Found")</f>
        <v>grandifolia</v>
      </c>
      <c r="N128" t="str">
        <f>_xlfn.XLOOKUP(C128,Table2[Species],Table2[Family],"Code Not Found")</f>
        <v>Fagaceae</v>
      </c>
      <c r="O128" t="str" cm="1">
        <f t="array" ref="O128">_xlfn.IFS(F128="","",F128&lt;=5,"0 to 5",F128&lt;=10,"5.1 to 10",F128&lt;=20,"10 to 20", F128&lt;= 40, "20 to 40", F128 &lt;= 50, "40 to 50", F128 &gt; 50, "&gt;50" )</f>
        <v>0 to 5</v>
      </c>
    </row>
    <row r="129" spans="1:15" ht="14.4" x14ac:dyDescent="0.3">
      <c r="A129" t="s">
        <v>15</v>
      </c>
      <c r="B129" s="1">
        <v>46164</v>
      </c>
      <c r="C129" t="s">
        <v>64</v>
      </c>
      <c r="D129">
        <v>124</v>
      </c>
      <c r="E129">
        <v>1</v>
      </c>
      <c r="F129">
        <v>8.1</v>
      </c>
      <c r="G129" t="s">
        <v>21</v>
      </c>
      <c r="I129" t="str">
        <f t="shared" si="1"/>
        <v>124_1</v>
      </c>
      <c r="J129" t="s">
        <v>18</v>
      </c>
      <c r="K129" t="s">
        <v>19</v>
      </c>
      <c r="L129" t="str">
        <f>_xlfn.XLOOKUP(C129, Table2[Species],Table2[Genus], "Code Not Found")</f>
        <v>Fagus</v>
      </c>
      <c r="M129" t="str">
        <f>_xlfn.XLOOKUP(C129, Table2[Species],Table2[Sp. Name], "Code Not Found")</f>
        <v>grandifolia</v>
      </c>
      <c r="N129" t="str">
        <f>_xlfn.XLOOKUP(C129,Table2[Species],Table2[Family],"Code Not Found")</f>
        <v>Fagaceae</v>
      </c>
      <c r="O129" t="str" cm="1">
        <f t="array" ref="O129">_xlfn.IFS(F129="","",F129&lt;=5,"0 to 5",F129&lt;=10,"5.1 to 10",F129&lt;=20,"10 to 20", F129&lt;= 40, "20 to 40", F129 &lt;= 50, "40 to 50", F129 &gt; 50, "&gt;50" )</f>
        <v>5.1 to 10</v>
      </c>
    </row>
    <row r="130" spans="1:15" ht="14.4" x14ac:dyDescent="0.3">
      <c r="A130" t="s">
        <v>15</v>
      </c>
      <c r="B130" s="1">
        <v>46164</v>
      </c>
      <c r="C130" t="s">
        <v>16</v>
      </c>
      <c r="D130">
        <v>125</v>
      </c>
      <c r="E130">
        <v>1</v>
      </c>
      <c r="F130">
        <v>3</v>
      </c>
      <c r="G130" t="s">
        <v>21</v>
      </c>
      <c r="I130" t="str">
        <f t="shared" si="1"/>
        <v>125_1</v>
      </c>
      <c r="J130" t="s">
        <v>18</v>
      </c>
      <c r="K130" t="s">
        <v>19</v>
      </c>
      <c r="L130" t="str">
        <f>_xlfn.XLOOKUP(C130, Table2[Species],Table2[Genus], "Code Not Found")</f>
        <v>Acer</v>
      </c>
      <c r="M130" t="str">
        <f>_xlfn.XLOOKUP(C130, Table2[Species],Table2[Sp. Name], "Code Not Found")</f>
        <v>saccharum</v>
      </c>
      <c r="N130" t="str">
        <f>_xlfn.XLOOKUP(C130,Table2[Species],Table2[Family],"Code Not Found")</f>
        <v>Sapindaceae</v>
      </c>
      <c r="O130" t="str" cm="1">
        <f t="array" ref="O130">_xlfn.IFS(F130="","",F130&lt;=5,"0 to 5",F130&lt;=10,"5.1 to 10",F130&lt;=20,"10 to 20", F130&lt;= 40, "20 to 40", F130 &lt;= 50, "40 to 50", F130 &gt; 50, "&gt;50" )</f>
        <v>0 to 5</v>
      </c>
    </row>
    <row r="131" spans="1:15" ht="14.4" x14ac:dyDescent="0.3">
      <c r="A131" t="s">
        <v>15</v>
      </c>
      <c r="B131" s="1">
        <v>46164</v>
      </c>
      <c r="C131" t="s">
        <v>64</v>
      </c>
      <c r="D131">
        <v>126</v>
      </c>
      <c r="E131">
        <v>1</v>
      </c>
      <c r="F131">
        <v>3.4</v>
      </c>
      <c r="G131" t="s">
        <v>21</v>
      </c>
      <c r="I131" t="str">
        <f t="shared" ref="I131:I194" si="2">D131&amp;"_"&amp;E131</f>
        <v>126_1</v>
      </c>
      <c r="J131" t="s">
        <v>18</v>
      </c>
      <c r="K131" t="s">
        <v>19</v>
      </c>
      <c r="L131" t="str">
        <f>_xlfn.XLOOKUP(C131, Table2[Species],Table2[Genus], "Code Not Found")</f>
        <v>Fagus</v>
      </c>
      <c r="M131" t="str">
        <f>_xlfn.XLOOKUP(C131, Table2[Species],Table2[Sp. Name], "Code Not Found")</f>
        <v>grandifolia</v>
      </c>
      <c r="N131" t="str">
        <f>_xlfn.XLOOKUP(C131,Table2[Species],Table2[Family],"Code Not Found")</f>
        <v>Fagaceae</v>
      </c>
      <c r="O131" t="str" cm="1">
        <f t="array" ref="O131">_xlfn.IFS(F131="","",F131&lt;=5,"0 to 5",F131&lt;=10,"5.1 to 10",F131&lt;=20,"10 to 20", F131&lt;= 40, "20 to 40", F131 &lt;= 50, "40 to 50", F131 &gt; 50, "&gt;50" )</f>
        <v>0 to 5</v>
      </c>
    </row>
    <row r="132" spans="1:15" ht="14.4" x14ac:dyDescent="0.3">
      <c r="A132" t="s">
        <v>15</v>
      </c>
      <c r="B132" s="1">
        <v>46164</v>
      </c>
      <c r="C132" t="s">
        <v>20</v>
      </c>
      <c r="D132">
        <v>127</v>
      </c>
      <c r="E132">
        <v>1</v>
      </c>
      <c r="F132">
        <v>3.1</v>
      </c>
      <c r="G132" t="s">
        <v>47</v>
      </c>
      <c r="H132" t="s">
        <v>48</v>
      </c>
      <c r="I132" t="str">
        <f t="shared" si="2"/>
        <v>127_1</v>
      </c>
      <c r="J132" t="s">
        <v>18</v>
      </c>
      <c r="K132" t="s">
        <v>19</v>
      </c>
      <c r="L132" t="str">
        <f>_xlfn.XLOOKUP(C132, Table2[Species],Table2[Genus], "Code Not Found")</f>
        <v>Prunus</v>
      </c>
      <c r="M132" t="str">
        <f>_xlfn.XLOOKUP(C132, Table2[Species],Table2[Sp. Name], "Code Not Found")</f>
        <v>serotina</v>
      </c>
      <c r="N132" t="str">
        <f>_xlfn.XLOOKUP(C132,Table2[Species],Table2[Family],"Code Not Found")</f>
        <v>Rosaceae</v>
      </c>
      <c r="O132" t="str" cm="1">
        <f t="array" ref="O132">_xlfn.IFS(F132="","",F132&lt;=5,"0 to 5",F132&lt;=10,"5.1 to 10",F132&lt;=20,"10 to 20", F132&lt;= 40, "20 to 40", F132 &lt;= 50, "40 to 50", F132 &gt; 50, "&gt;50" )</f>
        <v>0 to 5</v>
      </c>
    </row>
    <row r="133" spans="1:15" ht="14.4" x14ac:dyDescent="0.3">
      <c r="A133" t="s">
        <v>15</v>
      </c>
      <c r="B133" s="1">
        <v>46164</v>
      </c>
      <c r="C133" t="s">
        <v>24</v>
      </c>
      <c r="D133">
        <v>142</v>
      </c>
      <c r="E133">
        <v>1</v>
      </c>
      <c r="F133">
        <v>53.1</v>
      </c>
      <c r="G133" t="s">
        <v>65</v>
      </c>
      <c r="H133" t="s">
        <v>66</v>
      </c>
      <c r="I133" t="str">
        <f t="shared" si="2"/>
        <v>142_1</v>
      </c>
      <c r="J133" t="s">
        <v>18</v>
      </c>
      <c r="K133" t="s">
        <v>19</v>
      </c>
      <c r="L133" t="str">
        <f>_xlfn.XLOOKUP(C133, Table2[Species],Table2[Genus], "Code Not Found")</f>
        <v>Lirodendron</v>
      </c>
      <c r="M133" t="str">
        <f>_xlfn.XLOOKUP(C133, Table2[Species],Table2[Sp. Name], "Code Not Found")</f>
        <v>tulipfera</v>
      </c>
      <c r="N133" t="str">
        <f>_xlfn.XLOOKUP(C133,Table2[Species],Table2[Family],"Code Not Found")</f>
        <v>Magnoliaceae</v>
      </c>
      <c r="O133" t="str" cm="1">
        <f t="array" ref="O133">_xlfn.IFS(F133="","",F133&lt;=5,"0 to 5",F133&lt;=10,"5.1 to 10",F133&lt;=20,"10 to 20", F133&lt;= 40, "20 to 40", F133 &lt;= 50, "40 to 50", F133 &gt; 50, "&gt;50" )</f>
        <v>&gt;50</v>
      </c>
    </row>
    <row r="134" spans="1:15" ht="14.4" x14ac:dyDescent="0.3">
      <c r="A134" t="s">
        <v>15</v>
      </c>
      <c r="B134" s="1">
        <v>46164</v>
      </c>
      <c r="C134" t="s">
        <v>24</v>
      </c>
      <c r="D134">
        <v>142</v>
      </c>
      <c r="E134">
        <v>2</v>
      </c>
      <c r="F134">
        <v>50.7</v>
      </c>
      <c r="G134" t="s">
        <v>65</v>
      </c>
      <c r="H134" t="s">
        <v>67</v>
      </c>
      <c r="I134" t="str">
        <f t="shared" si="2"/>
        <v>142_2</v>
      </c>
      <c r="J134" t="s">
        <v>18</v>
      </c>
      <c r="K134" t="s">
        <v>19</v>
      </c>
      <c r="L134" t="str">
        <f>_xlfn.XLOOKUP(C134, Table2[Species],Table2[Genus], "Code Not Found")</f>
        <v>Lirodendron</v>
      </c>
      <c r="M134" t="str">
        <f>_xlfn.XLOOKUP(C134, Table2[Species],Table2[Sp. Name], "Code Not Found")</f>
        <v>tulipfera</v>
      </c>
      <c r="N134" t="str">
        <f>_xlfn.XLOOKUP(C134,Table2[Species],Table2[Family],"Code Not Found")</f>
        <v>Magnoliaceae</v>
      </c>
      <c r="O134" t="str" cm="1">
        <f t="array" ref="O134">_xlfn.IFS(F134="","",F134&lt;=5,"0 to 5",F134&lt;=10,"5.1 to 10",F134&lt;=20,"10 to 20", F134&lt;= 40, "20 to 40", F134 &lt;= 50, "40 to 50", F134 &gt; 50, "&gt;50" )</f>
        <v>&gt;50</v>
      </c>
    </row>
    <row r="135" spans="1:15" ht="14.4" x14ac:dyDescent="0.3">
      <c r="A135" t="s">
        <v>15</v>
      </c>
      <c r="B135" s="1">
        <v>46164</v>
      </c>
      <c r="C135" t="s">
        <v>16</v>
      </c>
      <c r="D135">
        <v>128</v>
      </c>
      <c r="E135">
        <v>1</v>
      </c>
      <c r="F135">
        <v>3.7</v>
      </c>
      <c r="G135" t="s">
        <v>17</v>
      </c>
      <c r="I135" t="str">
        <f t="shared" si="2"/>
        <v>128_1</v>
      </c>
      <c r="J135" t="s">
        <v>18</v>
      </c>
      <c r="K135" t="s">
        <v>19</v>
      </c>
      <c r="L135" t="str">
        <f>_xlfn.XLOOKUP(C135, Table2[Species],Table2[Genus], "Code Not Found")</f>
        <v>Acer</v>
      </c>
      <c r="M135" t="str">
        <f>_xlfn.XLOOKUP(C135, Table2[Species],Table2[Sp. Name], "Code Not Found")</f>
        <v>saccharum</v>
      </c>
      <c r="N135" t="str">
        <f>_xlfn.XLOOKUP(C135,Table2[Species],Table2[Family],"Code Not Found")</f>
        <v>Sapindaceae</v>
      </c>
      <c r="O135" t="str" cm="1">
        <f t="array" ref="O135">_xlfn.IFS(F135="","",F135&lt;=5,"0 to 5",F135&lt;=10,"5.1 to 10",F135&lt;=20,"10 to 20", F135&lt;= 40, "20 to 40", F135 &lt;= 50, "40 to 50", F135 &gt; 50, "&gt;50" )</f>
        <v>0 to 5</v>
      </c>
    </row>
    <row r="136" spans="1:15" ht="14.4" x14ac:dyDescent="0.3">
      <c r="A136" t="s">
        <v>15</v>
      </c>
      <c r="B136" s="1">
        <v>46164</v>
      </c>
      <c r="C136" t="s">
        <v>16</v>
      </c>
      <c r="D136">
        <v>129</v>
      </c>
      <c r="E136">
        <v>1</v>
      </c>
      <c r="F136">
        <v>3.5</v>
      </c>
      <c r="G136" t="s">
        <v>21</v>
      </c>
      <c r="I136" t="str">
        <f t="shared" si="2"/>
        <v>129_1</v>
      </c>
      <c r="J136" t="s">
        <v>18</v>
      </c>
      <c r="K136" t="s">
        <v>19</v>
      </c>
      <c r="L136" t="str">
        <f>_xlfn.XLOOKUP(C136, Table2[Species],Table2[Genus], "Code Not Found")</f>
        <v>Acer</v>
      </c>
      <c r="M136" t="str">
        <f>_xlfn.XLOOKUP(C136, Table2[Species],Table2[Sp. Name], "Code Not Found")</f>
        <v>saccharum</v>
      </c>
      <c r="N136" t="str">
        <f>_xlfn.XLOOKUP(C136,Table2[Species],Table2[Family],"Code Not Found")</f>
        <v>Sapindaceae</v>
      </c>
      <c r="O136" t="str" cm="1">
        <f t="array" ref="O136">_xlfn.IFS(F136="","",F136&lt;=5,"0 to 5",F136&lt;=10,"5.1 to 10",F136&lt;=20,"10 to 20", F136&lt;= 40, "20 to 40", F136 &lt;= 50, "40 to 50", F136 &gt; 50, "&gt;50" )</f>
        <v>0 to 5</v>
      </c>
    </row>
    <row r="137" spans="1:15" ht="14.4" x14ac:dyDescent="0.3">
      <c r="A137" t="s">
        <v>15</v>
      </c>
      <c r="B137" s="1">
        <v>46164</v>
      </c>
      <c r="C137" t="s">
        <v>16</v>
      </c>
      <c r="D137">
        <v>130</v>
      </c>
      <c r="E137">
        <v>1</v>
      </c>
      <c r="F137">
        <v>2.2000000000000002</v>
      </c>
      <c r="G137" t="s">
        <v>17</v>
      </c>
      <c r="I137" t="str">
        <f t="shared" si="2"/>
        <v>130_1</v>
      </c>
      <c r="J137" t="s">
        <v>18</v>
      </c>
      <c r="K137" t="s">
        <v>19</v>
      </c>
      <c r="L137" t="str">
        <f>_xlfn.XLOOKUP(C137, Table2[Species],Table2[Genus], "Code Not Found")</f>
        <v>Acer</v>
      </c>
      <c r="M137" t="str">
        <f>_xlfn.XLOOKUP(C137, Table2[Species],Table2[Sp. Name], "Code Not Found")</f>
        <v>saccharum</v>
      </c>
      <c r="N137" t="str">
        <f>_xlfn.XLOOKUP(C137,Table2[Species],Table2[Family],"Code Not Found")</f>
        <v>Sapindaceae</v>
      </c>
      <c r="O137" t="str" cm="1">
        <f t="array" ref="O137">_xlfn.IFS(F137="","",F137&lt;=5,"0 to 5",F137&lt;=10,"5.1 to 10",F137&lt;=20,"10 to 20", F137&lt;= 40, "20 to 40", F137 &lt;= 50, "40 to 50", F137 &gt; 50, "&gt;50" )</f>
        <v>0 to 5</v>
      </c>
    </row>
    <row r="138" spans="1:15" ht="14.4" x14ac:dyDescent="0.3">
      <c r="A138" t="s">
        <v>15</v>
      </c>
      <c r="B138" s="1">
        <v>46164</v>
      </c>
      <c r="C138" t="s">
        <v>16</v>
      </c>
      <c r="D138">
        <v>131</v>
      </c>
      <c r="E138">
        <v>1</v>
      </c>
      <c r="F138">
        <v>1.8</v>
      </c>
      <c r="G138" t="s">
        <v>17</v>
      </c>
      <c r="I138" t="str">
        <f t="shared" si="2"/>
        <v>131_1</v>
      </c>
      <c r="J138" t="s">
        <v>18</v>
      </c>
      <c r="K138" t="s">
        <v>19</v>
      </c>
      <c r="L138" t="str">
        <f>_xlfn.XLOOKUP(C138, Table2[Species],Table2[Genus], "Code Not Found")</f>
        <v>Acer</v>
      </c>
      <c r="M138" t="str">
        <f>_xlfn.XLOOKUP(C138, Table2[Species],Table2[Sp. Name], "Code Not Found")</f>
        <v>saccharum</v>
      </c>
      <c r="N138" t="str">
        <f>_xlfn.XLOOKUP(C138,Table2[Species],Table2[Family],"Code Not Found")</f>
        <v>Sapindaceae</v>
      </c>
      <c r="O138" t="str" cm="1">
        <f t="array" ref="O138">_xlfn.IFS(F138="","",F138&lt;=5,"0 to 5",F138&lt;=10,"5.1 to 10",F138&lt;=20,"10 to 20", F138&lt;= 40, "20 to 40", F138 &lt;= 50, "40 to 50", F138 &gt; 50, "&gt;50" )</f>
        <v>0 to 5</v>
      </c>
    </row>
    <row r="139" spans="1:15" ht="14.4" x14ac:dyDescent="0.3">
      <c r="A139" t="s">
        <v>15</v>
      </c>
      <c r="B139" s="1">
        <v>46164</v>
      </c>
      <c r="C139" t="s">
        <v>16</v>
      </c>
      <c r="D139">
        <v>132</v>
      </c>
      <c r="E139">
        <v>1</v>
      </c>
      <c r="F139">
        <v>3.4</v>
      </c>
      <c r="G139" t="s">
        <v>56</v>
      </c>
      <c r="H139" t="s">
        <v>68</v>
      </c>
      <c r="I139" t="str">
        <f t="shared" si="2"/>
        <v>132_1</v>
      </c>
      <c r="J139" t="s">
        <v>18</v>
      </c>
      <c r="K139" t="s">
        <v>19</v>
      </c>
      <c r="L139" t="str">
        <f>_xlfn.XLOOKUP(C139, Table2[Species],Table2[Genus], "Code Not Found")</f>
        <v>Acer</v>
      </c>
      <c r="M139" t="str">
        <f>_xlfn.XLOOKUP(C139, Table2[Species],Table2[Sp. Name], "Code Not Found")</f>
        <v>saccharum</v>
      </c>
      <c r="N139" t="str">
        <f>_xlfn.XLOOKUP(C139,Table2[Species],Table2[Family],"Code Not Found")</f>
        <v>Sapindaceae</v>
      </c>
      <c r="O139" t="str" cm="1">
        <f t="array" ref="O139">_xlfn.IFS(F139="","",F139&lt;=5,"0 to 5",F139&lt;=10,"5.1 to 10",F139&lt;=20,"10 to 20", F139&lt;= 40, "20 to 40", F139 &lt;= 50, "40 to 50", F139 &gt; 50, "&gt;50" )</f>
        <v>0 to 5</v>
      </c>
    </row>
    <row r="140" spans="1:15" ht="14.4" x14ac:dyDescent="0.3">
      <c r="A140" t="s">
        <v>15</v>
      </c>
      <c r="B140" s="1">
        <v>46164</v>
      </c>
      <c r="C140" t="s">
        <v>16</v>
      </c>
      <c r="D140">
        <v>133</v>
      </c>
      <c r="E140">
        <v>1</v>
      </c>
      <c r="F140">
        <v>1.8</v>
      </c>
      <c r="G140" t="s">
        <v>21</v>
      </c>
      <c r="I140" t="str">
        <f t="shared" si="2"/>
        <v>133_1</v>
      </c>
      <c r="J140" t="s">
        <v>18</v>
      </c>
      <c r="K140" t="s">
        <v>19</v>
      </c>
      <c r="L140" t="str">
        <f>_xlfn.XLOOKUP(C140, Table2[Species],Table2[Genus], "Code Not Found")</f>
        <v>Acer</v>
      </c>
      <c r="M140" t="str">
        <f>_xlfn.XLOOKUP(C140, Table2[Species],Table2[Sp. Name], "Code Not Found")</f>
        <v>saccharum</v>
      </c>
      <c r="N140" t="str">
        <f>_xlfn.XLOOKUP(C140,Table2[Species],Table2[Family],"Code Not Found")</f>
        <v>Sapindaceae</v>
      </c>
      <c r="O140" t="str" cm="1">
        <f t="array" ref="O140">_xlfn.IFS(F140="","",F140&lt;=5,"0 to 5",F140&lt;=10,"5.1 to 10",F140&lt;=20,"10 to 20", F140&lt;= 40, "20 to 40", F140 &lt;= 50, "40 to 50", F140 &gt; 50, "&gt;50" )</f>
        <v>0 to 5</v>
      </c>
    </row>
    <row r="141" spans="1:15" ht="14.4" x14ac:dyDescent="0.3">
      <c r="A141" t="s">
        <v>15</v>
      </c>
      <c r="B141" s="1">
        <v>46164</v>
      </c>
      <c r="C141" t="s">
        <v>16</v>
      </c>
      <c r="D141">
        <v>134</v>
      </c>
      <c r="E141">
        <v>1</v>
      </c>
      <c r="F141">
        <v>2.2000000000000002</v>
      </c>
      <c r="G141" t="s">
        <v>17</v>
      </c>
      <c r="I141" t="str">
        <f t="shared" si="2"/>
        <v>134_1</v>
      </c>
      <c r="J141" t="s">
        <v>18</v>
      </c>
      <c r="K141" t="s">
        <v>19</v>
      </c>
      <c r="L141" t="str">
        <f>_xlfn.XLOOKUP(C141, Table2[Species],Table2[Genus], "Code Not Found")</f>
        <v>Acer</v>
      </c>
      <c r="M141" t="str">
        <f>_xlfn.XLOOKUP(C141, Table2[Species],Table2[Sp. Name], "Code Not Found")</f>
        <v>saccharum</v>
      </c>
      <c r="N141" t="str">
        <f>_xlfn.XLOOKUP(C141,Table2[Species],Table2[Family],"Code Not Found")</f>
        <v>Sapindaceae</v>
      </c>
      <c r="O141" t="str" cm="1">
        <f t="array" ref="O141">_xlfn.IFS(F141="","",F141&lt;=5,"0 to 5",F141&lt;=10,"5.1 to 10",F141&lt;=20,"10 to 20", F141&lt;= 40, "20 to 40", F141 &lt;= 50, "40 to 50", F141 &gt; 50, "&gt;50" )</f>
        <v>0 to 5</v>
      </c>
    </row>
    <row r="142" spans="1:15" ht="14.4" x14ac:dyDescent="0.3">
      <c r="A142" t="s">
        <v>15</v>
      </c>
      <c r="B142" s="1">
        <v>46164</v>
      </c>
      <c r="C142" t="s">
        <v>16</v>
      </c>
      <c r="D142">
        <v>135</v>
      </c>
      <c r="E142">
        <v>1</v>
      </c>
      <c r="F142">
        <v>2</v>
      </c>
      <c r="G142" t="s">
        <v>69</v>
      </c>
      <c r="H142" t="s">
        <v>48</v>
      </c>
      <c r="I142" t="str">
        <f t="shared" si="2"/>
        <v>135_1</v>
      </c>
      <c r="J142" t="s">
        <v>18</v>
      </c>
      <c r="K142" t="s">
        <v>19</v>
      </c>
      <c r="L142" t="str">
        <f>_xlfn.XLOOKUP(C142, Table2[Species],Table2[Genus], "Code Not Found")</f>
        <v>Acer</v>
      </c>
      <c r="M142" t="str">
        <f>_xlfn.XLOOKUP(C142, Table2[Species],Table2[Sp. Name], "Code Not Found")</f>
        <v>saccharum</v>
      </c>
      <c r="N142" t="str">
        <f>_xlfn.XLOOKUP(C142,Table2[Species],Table2[Family],"Code Not Found")</f>
        <v>Sapindaceae</v>
      </c>
      <c r="O142" t="str" cm="1">
        <f t="array" ref="O142">_xlfn.IFS(F142="","",F142&lt;=5,"0 to 5",F142&lt;=10,"5.1 to 10",F142&lt;=20,"10 to 20", F142&lt;= 40, "20 to 40", F142 &lt;= 50, "40 to 50", F142 &gt; 50, "&gt;50" )</f>
        <v>0 to 5</v>
      </c>
    </row>
    <row r="143" spans="1:15" ht="14.4" x14ac:dyDescent="0.3">
      <c r="A143" t="s">
        <v>15</v>
      </c>
      <c r="B143" s="1">
        <v>46164</v>
      </c>
      <c r="C143" t="s">
        <v>16</v>
      </c>
      <c r="D143">
        <v>136</v>
      </c>
      <c r="E143">
        <v>1</v>
      </c>
      <c r="F143">
        <v>4.3</v>
      </c>
      <c r="G143" t="s">
        <v>47</v>
      </c>
      <c r="H143" t="s">
        <v>48</v>
      </c>
      <c r="I143" t="str">
        <f t="shared" si="2"/>
        <v>136_1</v>
      </c>
      <c r="J143" t="s">
        <v>18</v>
      </c>
      <c r="K143" t="s">
        <v>19</v>
      </c>
      <c r="L143" t="str">
        <f>_xlfn.XLOOKUP(C143, Table2[Species],Table2[Genus], "Code Not Found")</f>
        <v>Acer</v>
      </c>
      <c r="M143" t="str">
        <f>_xlfn.XLOOKUP(C143, Table2[Species],Table2[Sp. Name], "Code Not Found")</f>
        <v>saccharum</v>
      </c>
      <c r="N143" t="str">
        <f>_xlfn.XLOOKUP(C143,Table2[Species],Table2[Family],"Code Not Found")</f>
        <v>Sapindaceae</v>
      </c>
      <c r="O143" t="str" cm="1">
        <f t="array" ref="O143">_xlfn.IFS(F143="","",F143&lt;=5,"0 to 5",F143&lt;=10,"5.1 to 10",F143&lt;=20,"10 to 20", F143&lt;= 40, "20 to 40", F143 &lt;= 50, "40 to 50", F143 &gt; 50, "&gt;50" )</f>
        <v>0 to 5</v>
      </c>
    </row>
    <row r="144" spans="1:15" ht="14.4" x14ac:dyDescent="0.3">
      <c r="A144" t="s">
        <v>15</v>
      </c>
      <c r="B144" s="1">
        <v>46164</v>
      </c>
      <c r="C144" t="s">
        <v>24</v>
      </c>
      <c r="D144">
        <v>137</v>
      </c>
      <c r="E144">
        <v>1</v>
      </c>
      <c r="F144">
        <v>27.9</v>
      </c>
      <c r="G144" t="s">
        <v>21</v>
      </c>
      <c r="I144" t="str">
        <f t="shared" si="2"/>
        <v>137_1</v>
      </c>
      <c r="J144" t="s">
        <v>18</v>
      </c>
      <c r="K144" t="s">
        <v>19</v>
      </c>
      <c r="L144" t="str">
        <f>_xlfn.XLOOKUP(C144, Table2[Species],Table2[Genus], "Code Not Found")</f>
        <v>Lirodendron</v>
      </c>
      <c r="M144" t="str">
        <f>_xlfn.XLOOKUP(C144, Table2[Species],Table2[Sp. Name], "Code Not Found")</f>
        <v>tulipfera</v>
      </c>
      <c r="N144" t="str">
        <f>_xlfn.XLOOKUP(C144,Table2[Species],Table2[Family],"Code Not Found")</f>
        <v>Magnoliaceae</v>
      </c>
      <c r="O144" t="str" cm="1">
        <f t="array" ref="O144">_xlfn.IFS(F144="","",F144&lt;=5,"0 to 5",F144&lt;=10,"5.1 to 10",F144&lt;=20,"10 to 20", F144&lt;= 40, "20 to 40", F144 &lt;= 50, "40 to 50", F144 &gt; 50, "&gt;50" )</f>
        <v>20 to 40</v>
      </c>
    </row>
    <row r="145" spans="1:15" ht="14.4" x14ac:dyDescent="0.3">
      <c r="A145" t="s">
        <v>15</v>
      </c>
      <c r="B145" s="1">
        <v>46164</v>
      </c>
      <c r="C145" t="s">
        <v>16</v>
      </c>
      <c r="D145">
        <v>138</v>
      </c>
      <c r="E145">
        <v>1</v>
      </c>
      <c r="F145">
        <v>2.7</v>
      </c>
      <c r="G145" t="s">
        <v>17</v>
      </c>
      <c r="I145" t="str">
        <f t="shared" si="2"/>
        <v>138_1</v>
      </c>
      <c r="J145" t="s">
        <v>18</v>
      </c>
      <c r="K145" t="s">
        <v>19</v>
      </c>
      <c r="L145" t="str">
        <f>_xlfn.XLOOKUP(C145, Table2[Species],Table2[Genus], "Code Not Found")</f>
        <v>Acer</v>
      </c>
      <c r="M145" t="str">
        <f>_xlfn.XLOOKUP(C145, Table2[Species],Table2[Sp. Name], "Code Not Found")</f>
        <v>saccharum</v>
      </c>
      <c r="N145" t="str">
        <f>_xlfn.XLOOKUP(C145,Table2[Species],Table2[Family],"Code Not Found")</f>
        <v>Sapindaceae</v>
      </c>
      <c r="O145" t="str" cm="1">
        <f t="array" ref="O145">_xlfn.IFS(F145="","",F145&lt;=5,"0 to 5",F145&lt;=10,"5.1 to 10",F145&lt;=20,"10 to 20", F145&lt;= 40, "20 to 40", F145 &lt;= 50, "40 to 50", F145 &gt; 50, "&gt;50" )</f>
        <v>0 to 5</v>
      </c>
    </row>
    <row r="146" spans="1:15" ht="14.4" x14ac:dyDescent="0.3">
      <c r="A146" t="s">
        <v>15</v>
      </c>
      <c r="B146" s="1">
        <v>46164</v>
      </c>
      <c r="C146" t="s">
        <v>16</v>
      </c>
      <c r="D146">
        <v>139</v>
      </c>
      <c r="E146">
        <v>1</v>
      </c>
      <c r="F146">
        <v>2.8</v>
      </c>
      <c r="G146" t="s">
        <v>17</v>
      </c>
      <c r="I146" t="str">
        <f t="shared" si="2"/>
        <v>139_1</v>
      </c>
      <c r="J146" t="s">
        <v>18</v>
      </c>
      <c r="K146" t="s">
        <v>19</v>
      </c>
      <c r="L146" t="str">
        <f>_xlfn.XLOOKUP(C146, Table2[Species],Table2[Genus], "Code Not Found")</f>
        <v>Acer</v>
      </c>
      <c r="M146" t="str">
        <f>_xlfn.XLOOKUP(C146, Table2[Species],Table2[Sp. Name], "Code Not Found")</f>
        <v>saccharum</v>
      </c>
      <c r="N146" t="str">
        <f>_xlfn.XLOOKUP(C146,Table2[Species],Table2[Family],"Code Not Found")</f>
        <v>Sapindaceae</v>
      </c>
      <c r="O146" t="str" cm="1">
        <f t="array" ref="O146">_xlfn.IFS(F146="","",F146&lt;=5,"0 to 5",F146&lt;=10,"5.1 to 10",F146&lt;=20,"10 to 20", F146&lt;= 40, "20 to 40", F146 &lt;= 50, "40 to 50", F146 &gt; 50, "&gt;50" )</f>
        <v>0 to 5</v>
      </c>
    </row>
    <row r="147" spans="1:15" ht="14.4" x14ac:dyDescent="0.3">
      <c r="A147" t="s">
        <v>15</v>
      </c>
      <c r="B147" s="1">
        <v>46164</v>
      </c>
      <c r="C147" t="s">
        <v>16</v>
      </c>
      <c r="D147">
        <v>140</v>
      </c>
      <c r="E147">
        <v>1</v>
      </c>
      <c r="F147">
        <v>3.3</v>
      </c>
      <c r="G147" t="s">
        <v>17</v>
      </c>
      <c r="H147" t="s">
        <v>70</v>
      </c>
      <c r="I147" t="str">
        <f t="shared" si="2"/>
        <v>140_1</v>
      </c>
      <c r="J147" t="s">
        <v>18</v>
      </c>
      <c r="K147" t="s">
        <v>19</v>
      </c>
      <c r="L147" t="str">
        <f>_xlfn.XLOOKUP(C147, Table2[Species],Table2[Genus], "Code Not Found")</f>
        <v>Acer</v>
      </c>
      <c r="M147" t="str">
        <f>_xlfn.XLOOKUP(C147, Table2[Species],Table2[Sp. Name], "Code Not Found")</f>
        <v>saccharum</v>
      </c>
      <c r="N147" t="str">
        <f>_xlfn.XLOOKUP(C147,Table2[Species],Table2[Family],"Code Not Found")</f>
        <v>Sapindaceae</v>
      </c>
      <c r="O147" t="str" cm="1">
        <f t="array" ref="O147">_xlfn.IFS(F147="","",F147&lt;=5,"0 to 5",F147&lt;=10,"5.1 to 10",F147&lt;=20,"10 to 20", F147&lt;= 40, "20 to 40", F147 &lt;= 50, "40 to 50", F147 &gt; 50, "&gt;50" )</f>
        <v>0 to 5</v>
      </c>
    </row>
    <row r="148" spans="1:15" ht="14.4" x14ac:dyDescent="0.3">
      <c r="A148" t="s">
        <v>15</v>
      </c>
      <c r="B148" s="1">
        <v>46164</v>
      </c>
      <c r="C148" t="s">
        <v>16</v>
      </c>
      <c r="D148">
        <v>141</v>
      </c>
      <c r="E148">
        <v>1</v>
      </c>
      <c r="F148">
        <v>4.7</v>
      </c>
      <c r="G148" t="s">
        <v>71</v>
      </c>
      <c r="H148" t="s">
        <v>72</v>
      </c>
      <c r="I148" t="str">
        <f t="shared" si="2"/>
        <v>141_1</v>
      </c>
      <c r="J148" t="s">
        <v>18</v>
      </c>
      <c r="K148" t="s">
        <v>19</v>
      </c>
      <c r="L148" t="str">
        <f>_xlfn.XLOOKUP(C148, Table2[Species],Table2[Genus], "Code Not Found")</f>
        <v>Acer</v>
      </c>
      <c r="M148" t="str">
        <f>_xlfn.XLOOKUP(C148, Table2[Species],Table2[Sp. Name], "Code Not Found")</f>
        <v>saccharum</v>
      </c>
      <c r="N148" t="str">
        <f>_xlfn.XLOOKUP(C148,Table2[Species],Table2[Family],"Code Not Found")</f>
        <v>Sapindaceae</v>
      </c>
      <c r="O148" t="str" cm="1">
        <f t="array" ref="O148">_xlfn.IFS(F148="","",F148&lt;=5,"0 to 5",F148&lt;=10,"5.1 to 10",F148&lt;=20,"10 to 20", F148&lt;= 40, "20 to 40", F148 &lt;= 50, "40 to 50", F148 &gt; 50, "&gt;50" )</f>
        <v>0 to 5</v>
      </c>
    </row>
    <row r="149" spans="1:15" ht="14.4" x14ac:dyDescent="0.3">
      <c r="A149" t="s">
        <v>15</v>
      </c>
      <c r="B149" s="1">
        <v>46164</v>
      </c>
      <c r="C149" t="s">
        <v>20</v>
      </c>
      <c r="D149">
        <v>143</v>
      </c>
      <c r="E149">
        <v>1</v>
      </c>
      <c r="F149">
        <v>4.2</v>
      </c>
      <c r="G149" t="s">
        <v>17</v>
      </c>
      <c r="I149" t="str">
        <f t="shared" si="2"/>
        <v>143_1</v>
      </c>
      <c r="J149" t="s">
        <v>18</v>
      </c>
      <c r="K149" t="s">
        <v>19</v>
      </c>
      <c r="L149" t="str">
        <f>_xlfn.XLOOKUP(C149, Table2[Species],Table2[Genus], "Code Not Found")</f>
        <v>Prunus</v>
      </c>
      <c r="M149" t="str">
        <f>_xlfn.XLOOKUP(C149, Table2[Species],Table2[Sp. Name], "Code Not Found")</f>
        <v>serotina</v>
      </c>
      <c r="N149" t="str">
        <f>_xlfn.XLOOKUP(C149,Table2[Species],Table2[Family],"Code Not Found")</f>
        <v>Rosaceae</v>
      </c>
      <c r="O149" t="str" cm="1">
        <f t="array" ref="O149">_xlfn.IFS(F149="","",F149&lt;=5,"0 to 5",F149&lt;=10,"5.1 to 10",F149&lt;=20,"10 to 20", F149&lt;= 40, "20 to 40", F149 &lt;= 50, "40 to 50", F149 &gt; 50, "&gt;50" )</f>
        <v>0 to 5</v>
      </c>
    </row>
    <row r="150" spans="1:15" ht="14.4" x14ac:dyDescent="0.3">
      <c r="A150" t="s">
        <v>15</v>
      </c>
      <c r="B150" s="1">
        <v>46164</v>
      </c>
      <c r="C150" t="s">
        <v>16</v>
      </c>
      <c r="D150">
        <v>144</v>
      </c>
      <c r="E150">
        <v>1</v>
      </c>
      <c r="F150">
        <v>1.4</v>
      </c>
      <c r="G150" t="s">
        <v>17</v>
      </c>
      <c r="I150" t="str">
        <f t="shared" si="2"/>
        <v>144_1</v>
      </c>
      <c r="J150" t="s">
        <v>18</v>
      </c>
      <c r="K150" t="s">
        <v>19</v>
      </c>
      <c r="L150" t="str">
        <f>_xlfn.XLOOKUP(C150, Table2[Species],Table2[Genus], "Code Not Found")</f>
        <v>Acer</v>
      </c>
      <c r="M150" t="str">
        <f>_xlfn.XLOOKUP(C150, Table2[Species],Table2[Sp. Name], "Code Not Found")</f>
        <v>saccharum</v>
      </c>
      <c r="N150" t="str">
        <f>_xlfn.XLOOKUP(C150,Table2[Species],Table2[Family],"Code Not Found")</f>
        <v>Sapindaceae</v>
      </c>
      <c r="O150" t="str" cm="1">
        <f t="array" ref="O150">_xlfn.IFS(F150="","",F150&lt;=5,"0 to 5",F150&lt;=10,"5.1 to 10",F150&lt;=20,"10 to 20", F150&lt;= 40, "20 to 40", F150 &lt;= 50, "40 to 50", F150 &gt; 50, "&gt;50" )</f>
        <v>0 to 5</v>
      </c>
    </row>
    <row r="151" spans="1:15" ht="14.4" x14ac:dyDescent="0.3">
      <c r="A151" t="s">
        <v>15</v>
      </c>
      <c r="B151" s="1">
        <v>46164</v>
      </c>
      <c r="C151" t="s">
        <v>16</v>
      </c>
      <c r="D151">
        <v>145</v>
      </c>
      <c r="E151">
        <v>1</v>
      </c>
      <c r="F151">
        <v>1.6</v>
      </c>
      <c r="G151" t="s">
        <v>56</v>
      </c>
      <c r="H151" t="s">
        <v>73</v>
      </c>
      <c r="I151" t="str">
        <f t="shared" si="2"/>
        <v>145_1</v>
      </c>
      <c r="J151" t="s">
        <v>18</v>
      </c>
      <c r="K151" t="s">
        <v>19</v>
      </c>
      <c r="L151" t="str">
        <f>_xlfn.XLOOKUP(C151, Table2[Species],Table2[Genus], "Code Not Found")</f>
        <v>Acer</v>
      </c>
      <c r="M151" t="str">
        <f>_xlfn.XLOOKUP(C151, Table2[Species],Table2[Sp. Name], "Code Not Found")</f>
        <v>saccharum</v>
      </c>
      <c r="N151" t="str">
        <f>_xlfn.XLOOKUP(C151,Table2[Species],Table2[Family],"Code Not Found")</f>
        <v>Sapindaceae</v>
      </c>
      <c r="O151" t="str" cm="1">
        <f t="array" ref="O151">_xlfn.IFS(F151="","",F151&lt;=5,"0 to 5",F151&lt;=10,"5.1 to 10",F151&lt;=20,"10 to 20", F151&lt;= 40, "20 to 40", F151 &lt;= 50, "40 to 50", F151 &gt; 50, "&gt;50" )</f>
        <v>0 to 5</v>
      </c>
    </row>
    <row r="152" spans="1:15" ht="14.4" x14ac:dyDescent="0.3">
      <c r="A152" t="s">
        <v>15</v>
      </c>
      <c r="B152" s="1">
        <v>46164</v>
      </c>
      <c r="C152" t="s">
        <v>16</v>
      </c>
      <c r="D152">
        <v>146</v>
      </c>
      <c r="E152">
        <v>1</v>
      </c>
      <c r="F152">
        <v>2.4</v>
      </c>
      <c r="G152" t="s">
        <v>56</v>
      </c>
      <c r="H152" t="s">
        <v>74</v>
      </c>
      <c r="I152" t="str">
        <f t="shared" si="2"/>
        <v>146_1</v>
      </c>
      <c r="J152" t="s">
        <v>18</v>
      </c>
      <c r="K152" t="s">
        <v>19</v>
      </c>
      <c r="L152" t="str">
        <f>_xlfn.XLOOKUP(C152, Table2[Species],Table2[Genus], "Code Not Found")</f>
        <v>Acer</v>
      </c>
      <c r="M152" t="str">
        <f>_xlfn.XLOOKUP(C152, Table2[Species],Table2[Sp. Name], "Code Not Found")</f>
        <v>saccharum</v>
      </c>
      <c r="N152" t="str">
        <f>_xlfn.XLOOKUP(C152,Table2[Species],Table2[Family],"Code Not Found")</f>
        <v>Sapindaceae</v>
      </c>
      <c r="O152" t="str" cm="1">
        <f t="array" ref="O152">_xlfn.IFS(F152="","",F152&lt;=5,"0 to 5",F152&lt;=10,"5.1 to 10",F152&lt;=20,"10 to 20", F152&lt;= 40, "20 to 40", F152 &lt;= 50, "40 to 50", F152 &gt; 50, "&gt;50" )</f>
        <v>0 to 5</v>
      </c>
    </row>
    <row r="153" spans="1:15" ht="14.4" x14ac:dyDescent="0.3">
      <c r="A153" t="s">
        <v>15</v>
      </c>
      <c r="B153" s="1">
        <v>46164</v>
      </c>
      <c r="C153" t="s">
        <v>16</v>
      </c>
      <c r="D153">
        <v>147</v>
      </c>
      <c r="E153">
        <v>1</v>
      </c>
      <c r="F153">
        <v>3.7</v>
      </c>
      <c r="G153" t="s">
        <v>17</v>
      </c>
      <c r="I153" t="str">
        <f t="shared" si="2"/>
        <v>147_1</v>
      </c>
      <c r="J153" t="s">
        <v>18</v>
      </c>
      <c r="K153" t="s">
        <v>19</v>
      </c>
      <c r="L153" t="str">
        <f>_xlfn.XLOOKUP(C153, Table2[Species],Table2[Genus], "Code Not Found")</f>
        <v>Acer</v>
      </c>
      <c r="M153" t="str">
        <f>_xlfn.XLOOKUP(C153, Table2[Species],Table2[Sp. Name], "Code Not Found")</f>
        <v>saccharum</v>
      </c>
      <c r="N153" t="str">
        <f>_xlfn.XLOOKUP(C153,Table2[Species],Table2[Family],"Code Not Found")</f>
        <v>Sapindaceae</v>
      </c>
      <c r="O153" t="str" cm="1">
        <f t="array" ref="O153">_xlfn.IFS(F153="","",F153&lt;=5,"0 to 5",F153&lt;=10,"5.1 to 10",F153&lt;=20,"10 to 20", F153&lt;= 40, "20 to 40", F153 &lt;= 50, "40 to 50", F153 &gt; 50, "&gt;50" )</f>
        <v>0 to 5</v>
      </c>
    </row>
    <row r="154" spans="1:15" ht="14.4" x14ac:dyDescent="0.3">
      <c r="A154" t="s">
        <v>15</v>
      </c>
      <c r="B154" s="1">
        <v>46164</v>
      </c>
      <c r="C154" t="s">
        <v>16</v>
      </c>
      <c r="D154">
        <v>148</v>
      </c>
      <c r="E154">
        <v>1</v>
      </c>
      <c r="F154">
        <v>4.5999999999999996</v>
      </c>
      <c r="G154" t="s">
        <v>21</v>
      </c>
      <c r="I154" t="str">
        <f t="shared" si="2"/>
        <v>148_1</v>
      </c>
      <c r="J154" t="s">
        <v>18</v>
      </c>
      <c r="K154" t="s">
        <v>19</v>
      </c>
      <c r="L154" t="str">
        <f>_xlfn.XLOOKUP(C154, Table2[Species],Table2[Genus], "Code Not Found")</f>
        <v>Acer</v>
      </c>
      <c r="M154" t="str">
        <f>_xlfn.XLOOKUP(C154, Table2[Species],Table2[Sp. Name], "Code Not Found")</f>
        <v>saccharum</v>
      </c>
      <c r="N154" t="str">
        <f>_xlfn.XLOOKUP(C154,Table2[Species],Table2[Family],"Code Not Found")</f>
        <v>Sapindaceae</v>
      </c>
      <c r="O154" t="str" cm="1">
        <f t="array" ref="O154">_xlfn.IFS(F154="","",F154&lt;=5,"0 to 5",F154&lt;=10,"5.1 to 10",F154&lt;=20,"10 to 20", F154&lt;= 40, "20 to 40", F154 &lt;= 50, "40 to 50", F154 &gt; 50, "&gt;50" )</f>
        <v>0 to 5</v>
      </c>
    </row>
    <row r="155" spans="1:15" ht="14.4" x14ac:dyDescent="0.3">
      <c r="A155" t="s">
        <v>15</v>
      </c>
      <c r="B155" s="1">
        <v>46164</v>
      </c>
      <c r="C155" t="s">
        <v>16</v>
      </c>
      <c r="D155">
        <v>149</v>
      </c>
      <c r="E155">
        <v>1</v>
      </c>
      <c r="F155">
        <v>2.2999999999999998</v>
      </c>
      <c r="G155" t="s">
        <v>21</v>
      </c>
      <c r="I155" t="str">
        <f t="shared" si="2"/>
        <v>149_1</v>
      </c>
      <c r="J155" t="s">
        <v>18</v>
      </c>
      <c r="K155" t="s">
        <v>19</v>
      </c>
      <c r="L155" t="str">
        <f>_xlfn.XLOOKUP(C155, Table2[Species],Table2[Genus], "Code Not Found")</f>
        <v>Acer</v>
      </c>
      <c r="M155" t="str">
        <f>_xlfn.XLOOKUP(C155, Table2[Species],Table2[Sp. Name], "Code Not Found")</f>
        <v>saccharum</v>
      </c>
      <c r="N155" t="str">
        <f>_xlfn.XLOOKUP(C155,Table2[Species],Table2[Family],"Code Not Found")</f>
        <v>Sapindaceae</v>
      </c>
      <c r="O155" t="str" cm="1">
        <f t="array" ref="O155">_xlfn.IFS(F155="","",F155&lt;=5,"0 to 5",F155&lt;=10,"5.1 to 10",F155&lt;=20,"10 to 20", F155&lt;= 40, "20 to 40", F155 &lt;= 50, "40 to 50", F155 &gt; 50, "&gt;50" )</f>
        <v>0 to 5</v>
      </c>
    </row>
    <row r="156" spans="1:15" ht="14.4" x14ac:dyDescent="0.3">
      <c r="A156" t="s">
        <v>15</v>
      </c>
      <c r="B156" s="1">
        <v>46164</v>
      </c>
      <c r="C156" t="s">
        <v>16</v>
      </c>
      <c r="D156">
        <v>150</v>
      </c>
      <c r="E156">
        <v>1</v>
      </c>
      <c r="F156">
        <v>1.7</v>
      </c>
      <c r="G156" t="s">
        <v>17</v>
      </c>
      <c r="I156" t="str">
        <f t="shared" si="2"/>
        <v>150_1</v>
      </c>
      <c r="J156" t="s">
        <v>18</v>
      </c>
      <c r="K156" t="s">
        <v>19</v>
      </c>
      <c r="L156" t="str">
        <f>_xlfn.XLOOKUP(C156, Table2[Species],Table2[Genus], "Code Not Found")</f>
        <v>Acer</v>
      </c>
      <c r="M156" t="str">
        <f>_xlfn.XLOOKUP(C156, Table2[Species],Table2[Sp. Name], "Code Not Found")</f>
        <v>saccharum</v>
      </c>
      <c r="N156" t="str">
        <f>_xlfn.XLOOKUP(C156,Table2[Species],Table2[Family],"Code Not Found")</f>
        <v>Sapindaceae</v>
      </c>
      <c r="O156" t="str" cm="1">
        <f t="array" ref="O156">_xlfn.IFS(F156="","",F156&lt;=5,"0 to 5",F156&lt;=10,"5.1 to 10",F156&lt;=20,"10 to 20", F156&lt;= 40, "20 to 40", F156 &lt;= 50, "40 to 50", F156 &gt; 50, "&gt;50" )</f>
        <v>0 to 5</v>
      </c>
    </row>
    <row r="157" spans="1:15" ht="14.4" x14ac:dyDescent="0.3">
      <c r="A157" t="s">
        <v>15</v>
      </c>
      <c r="B157" s="1">
        <v>46164</v>
      </c>
      <c r="C157" t="s">
        <v>16</v>
      </c>
      <c r="D157">
        <v>151</v>
      </c>
      <c r="E157">
        <v>1</v>
      </c>
      <c r="F157">
        <v>1.9</v>
      </c>
      <c r="G157" t="s">
        <v>17</v>
      </c>
      <c r="I157" t="str">
        <f t="shared" si="2"/>
        <v>151_1</v>
      </c>
      <c r="J157" t="s">
        <v>18</v>
      </c>
      <c r="K157" t="s">
        <v>19</v>
      </c>
      <c r="L157" t="str">
        <f>_xlfn.XLOOKUP(C157, Table2[Species],Table2[Genus], "Code Not Found")</f>
        <v>Acer</v>
      </c>
      <c r="M157" t="str">
        <f>_xlfn.XLOOKUP(C157, Table2[Species],Table2[Sp. Name], "Code Not Found")</f>
        <v>saccharum</v>
      </c>
      <c r="N157" t="str">
        <f>_xlfn.XLOOKUP(C157,Table2[Species],Table2[Family],"Code Not Found")</f>
        <v>Sapindaceae</v>
      </c>
      <c r="O157" t="str" cm="1">
        <f t="array" ref="O157">_xlfn.IFS(F157="","",F157&lt;=5,"0 to 5",F157&lt;=10,"5.1 to 10",F157&lt;=20,"10 to 20", F157&lt;= 40, "20 to 40", F157 &lt;= 50, "40 to 50", F157 &gt; 50, "&gt;50" )</f>
        <v>0 to 5</v>
      </c>
    </row>
    <row r="158" spans="1:15" ht="14.4" x14ac:dyDescent="0.3">
      <c r="A158" t="s">
        <v>15</v>
      </c>
      <c r="B158" s="1">
        <v>46164</v>
      </c>
      <c r="C158" t="s">
        <v>16</v>
      </c>
      <c r="D158">
        <v>152</v>
      </c>
      <c r="E158">
        <v>1</v>
      </c>
      <c r="F158">
        <v>2.7</v>
      </c>
      <c r="G158" t="s">
        <v>21</v>
      </c>
      <c r="I158" t="str">
        <f t="shared" si="2"/>
        <v>152_1</v>
      </c>
      <c r="J158" t="s">
        <v>18</v>
      </c>
      <c r="K158" t="s">
        <v>19</v>
      </c>
      <c r="L158" t="str">
        <f>_xlfn.XLOOKUP(C158, Table2[Species],Table2[Genus], "Code Not Found")</f>
        <v>Acer</v>
      </c>
      <c r="M158" t="str">
        <f>_xlfn.XLOOKUP(C158, Table2[Species],Table2[Sp. Name], "Code Not Found")</f>
        <v>saccharum</v>
      </c>
      <c r="N158" t="str">
        <f>_xlfn.XLOOKUP(C158,Table2[Species],Table2[Family],"Code Not Found")</f>
        <v>Sapindaceae</v>
      </c>
      <c r="O158" t="str" cm="1">
        <f t="array" ref="O158">_xlfn.IFS(F158="","",F158&lt;=5,"0 to 5",F158&lt;=10,"5.1 to 10",F158&lt;=20,"10 to 20", F158&lt;= 40, "20 to 40", F158 &lt;= 50, "40 to 50", F158 &gt; 50, "&gt;50" )</f>
        <v>0 to 5</v>
      </c>
    </row>
    <row r="159" spans="1:15" ht="14.4" x14ac:dyDescent="0.3">
      <c r="A159" t="s">
        <v>15</v>
      </c>
      <c r="B159" s="1">
        <v>46164</v>
      </c>
      <c r="C159" t="s">
        <v>16</v>
      </c>
      <c r="D159">
        <v>153</v>
      </c>
      <c r="E159">
        <v>1</v>
      </c>
      <c r="F159">
        <v>3.3</v>
      </c>
      <c r="G159" t="s">
        <v>54</v>
      </c>
      <c r="I159" t="str">
        <f t="shared" si="2"/>
        <v>153_1</v>
      </c>
      <c r="J159" t="s">
        <v>18</v>
      </c>
      <c r="K159" t="s">
        <v>19</v>
      </c>
      <c r="L159" t="str">
        <f>_xlfn.XLOOKUP(C159, Table2[Species],Table2[Genus], "Code Not Found")</f>
        <v>Acer</v>
      </c>
      <c r="M159" t="str">
        <f>_xlfn.XLOOKUP(C159, Table2[Species],Table2[Sp. Name], "Code Not Found")</f>
        <v>saccharum</v>
      </c>
      <c r="N159" t="str">
        <f>_xlfn.XLOOKUP(C159,Table2[Species],Table2[Family],"Code Not Found")</f>
        <v>Sapindaceae</v>
      </c>
      <c r="O159" t="str" cm="1">
        <f t="array" ref="O159">_xlfn.IFS(F159="","",F159&lt;=5,"0 to 5",F159&lt;=10,"5.1 to 10",F159&lt;=20,"10 to 20", F159&lt;= 40, "20 to 40", F159 &lt;= 50, "40 to 50", F159 &gt; 50, "&gt;50" )</f>
        <v>0 to 5</v>
      </c>
    </row>
    <row r="160" spans="1:15" ht="14.4" x14ac:dyDescent="0.3">
      <c r="A160" t="s">
        <v>15</v>
      </c>
      <c r="B160" s="1">
        <v>46164</v>
      </c>
      <c r="C160" t="s">
        <v>16</v>
      </c>
      <c r="D160">
        <v>154</v>
      </c>
      <c r="E160">
        <v>1</v>
      </c>
      <c r="F160">
        <v>6.9</v>
      </c>
      <c r="G160" t="s">
        <v>56</v>
      </c>
      <c r="H160" t="s">
        <v>75</v>
      </c>
      <c r="I160" t="str">
        <f t="shared" si="2"/>
        <v>154_1</v>
      </c>
      <c r="J160" t="s">
        <v>18</v>
      </c>
      <c r="K160" t="s">
        <v>19</v>
      </c>
      <c r="L160" t="str">
        <f>_xlfn.XLOOKUP(C160, Table2[Species],Table2[Genus], "Code Not Found")</f>
        <v>Acer</v>
      </c>
      <c r="M160" t="str">
        <f>_xlfn.XLOOKUP(C160, Table2[Species],Table2[Sp. Name], "Code Not Found")</f>
        <v>saccharum</v>
      </c>
      <c r="N160" t="str">
        <f>_xlfn.XLOOKUP(C160,Table2[Species],Table2[Family],"Code Not Found")</f>
        <v>Sapindaceae</v>
      </c>
      <c r="O160" t="str" cm="1">
        <f t="array" ref="O160">_xlfn.IFS(F160="","",F160&lt;=5,"0 to 5",F160&lt;=10,"5.1 to 10",F160&lt;=20,"10 to 20", F160&lt;= 40, "20 to 40", F160 &lt;= 50, "40 to 50", F160 &gt; 50, "&gt;50" )</f>
        <v>5.1 to 10</v>
      </c>
    </row>
    <row r="161" spans="1:15" ht="14.4" x14ac:dyDescent="0.3">
      <c r="A161" t="s">
        <v>15</v>
      </c>
      <c r="B161" s="1">
        <v>46164</v>
      </c>
      <c r="C161" t="s">
        <v>59</v>
      </c>
      <c r="D161">
        <v>155</v>
      </c>
      <c r="E161">
        <v>1</v>
      </c>
      <c r="F161">
        <v>17.2</v>
      </c>
      <c r="G161" t="s">
        <v>21</v>
      </c>
      <c r="I161" t="str">
        <f t="shared" si="2"/>
        <v>155_1</v>
      </c>
      <c r="J161" t="s">
        <v>18</v>
      </c>
      <c r="K161" t="s">
        <v>19</v>
      </c>
      <c r="L161" t="str">
        <f>_xlfn.XLOOKUP(C161, Table2[Species],Table2[Genus], "Code Not Found")</f>
        <v>Nyssa</v>
      </c>
      <c r="M161" t="str">
        <f>_xlfn.XLOOKUP(C161, Table2[Species],Table2[Sp. Name], "Code Not Found")</f>
        <v>sylvatica</v>
      </c>
      <c r="N161" t="str">
        <f>_xlfn.XLOOKUP(C161,Table2[Species],Table2[Family],"Code Not Found")</f>
        <v>Nyssaceae</v>
      </c>
      <c r="O161" t="str" cm="1">
        <f t="array" ref="O161">_xlfn.IFS(F161="","",F161&lt;=5,"0 to 5",F161&lt;=10,"5.1 to 10",F161&lt;=20,"10 to 20", F161&lt;= 40, "20 to 40", F161 &lt;= 50, "40 to 50", F161 &gt; 50, "&gt;50" )</f>
        <v>10 to 20</v>
      </c>
    </row>
    <row r="162" spans="1:15" ht="14.4" x14ac:dyDescent="0.3">
      <c r="A162" t="s">
        <v>15</v>
      </c>
      <c r="B162" s="1">
        <v>46164</v>
      </c>
      <c r="C162" t="s">
        <v>22</v>
      </c>
      <c r="D162">
        <v>156</v>
      </c>
      <c r="E162">
        <v>1</v>
      </c>
      <c r="F162">
        <v>30.7</v>
      </c>
      <c r="G162" t="s">
        <v>21</v>
      </c>
      <c r="I162" t="str">
        <f t="shared" si="2"/>
        <v>156_1</v>
      </c>
      <c r="J162" t="s">
        <v>18</v>
      </c>
      <c r="K162" t="s">
        <v>19</v>
      </c>
      <c r="L162" t="str">
        <f>_xlfn.XLOOKUP(C162, Table2[Species],Table2[Genus], "Code Not Found")</f>
        <v>Acer</v>
      </c>
      <c r="M162" t="str">
        <f>_xlfn.XLOOKUP(C162, Table2[Species],Table2[Sp. Name], "Code Not Found")</f>
        <v>rubrum</v>
      </c>
      <c r="N162" t="str">
        <f>_xlfn.XLOOKUP(C162,Table2[Species],Table2[Family],"Code Not Found")</f>
        <v>Sapindaceae</v>
      </c>
      <c r="O162" t="str" cm="1">
        <f t="array" ref="O162">_xlfn.IFS(F162="","",F162&lt;=5,"0 to 5",F162&lt;=10,"5.1 to 10",F162&lt;=20,"10 to 20", F162&lt;= 40, "20 to 40", F162 &lt;= 50, "40 to 50", F162 &gt; 50, "&gt;50" )</f>
        <v>20 to 40</v>
      </c>
    </row>
    <row r="163" spans="1:15" ht="14.4" x14ac:dyDescent="0.3">
      <c r="A163" t="s">
        <v>15</v>
      </c>
      <c r="B163" s="1">
        <v>46164</v>
      </c>
      <c r="C163" t="s">
        <v>24</v>
      </c>
      <c r="D163">
        <v>157</v>
      </c>
      <c r="E163">
        <v>1</v>
      </c>
      <c r="F163">
        <v>38.5</v>
      </c>
      <c r="G163" t="s">
        <v>21</v>
      </c>
      <c r="I163" t="str">
        <f t="shared" si="2"/>
        <v>157_1</v>
      </c>
      <c r="J163" t="s">
        <v>18</v>
      </c>
      <c r="K163" t="s">
        <v>19</v>
      </c>
      <c r="L163" t="str">
        <f>_xlfn.XLOOKUP(C163, Table2[Species],Table2[Genus], "Code Not Found")</f>
        <v>Lirodendron</v>
      </c>
      <c r="M163" t="str">
        <f>_xlfn.XLOOKUP(C163, Table2[Species],Table2[Sp. Name], "Code Not Found")</f>
        <v>tulipfera</v>
      </c>
      <c r="N163" t="str">
        <f>_xlfn.XLOOKUP(C163,Table2[Species],Table2[Family],"Code Not Found")</f>
        <v>Magnoliaceae</v>
      </c>
      <c r="O163" t="str" cm="1">
        <f t="array" ref="O163">_xlfn.IFS(F163="","",F163&lt;=5,"0 to 5",F163&lt;=10,"5.1 to 10",F163&lt;=20,"10 to 20", F163&lt;= 40, "20 to 40", F163 &lt;= 50, "40 to 50", F163 &gt; 50, "&gt;50" )</f>
        <v>20 to 40</v>
      </c>
    </row>
    <row r="164" spans="1:15" ht="14.4" x14ac:dyDescent="0.3">
      <c r="A164" t="s">
        <v>15</v>
      </c>
      <c r="B164" s="1">
        <v>46164</v>
      </c>
      <c r="C164" t="s">
        <v>16</v>
      </c>
      <c r="D164">
        <v>158</v>
      </c>
      <c r="E164">
        <v>1</v>
      </c>
      <c r="F164">
        <v>1.6</v>
      </c>
      <c r="G164" t="s">
        <v>17</v>
      </c>
      <c r="I164" t="str">
        <f t="shared" si="2"/>
        <v>158_1</v>
      </c>
      <c r="J164" t="s">
        <v>18</v>
      </c>
      <c r="K164" t="s">
        <v>19</v>
      </c>
      <c r="L164" t="str">
        <f>_xlfn.XLOOKUP(C164, Table2[Species],Table2[Genus], "Code Not Found")</f>
        <v>Acer</v>
      </c>
      <c r="M164" t="str">
        <f>_xlfn.XLOOKUP(C164, Table2[Species],Table2[Sp. Name], "Code Not Found")</f>
        <v>saccharum</v>
      </c>
      <c r="N164" t="str">
        <f>_xlfn.XLOOKUP(C164,Table2[Species],Table2[Family],"Code Not Found")</f>
        <v>Sapindaceae</v>
      </c>
      <c r="O164" t="str" cm="1">
        <f t="array" ref="O164">_xlfn.IFS(F164="","",F164&lt;=5,"0 to 5",F164&lt;=10,"5.1 to 10",F164&lt;=20,"10 to 20", F164&lt;= 40, "20 to 40", F164 &lt;= 50, "40 to 50", F164 &gt; 50, "&gt;50" )</f>
        <v>0 to 5</v>
      </c>
    </row>
    <row r="165" spans="1:15" ht="14.4" x14ac:dyDescent="0.3">
      <c r="A165" t="s">
        <v>15</v>
      </c>
      <c r="B165" s="1">
        <v>46164</v>
      </c>
      <c r="C165" t="s">
        <v>16</v>
      </c>
      <c r="D165">
        <v>159</v>
      </c>
      <c r="E165">
        <v>1</v>
      </c>
      <c r="F165">
        <v>2.2000000000000002</v>
      </c>
      <c r="G165" t="s">
        <v>47</v>
      </c>
      <c r="H165" t="s">
        <v>48</v>
      </c>
      <c r="I165" t="str">
        <f t="shared" si="2"/>
        <v>159_1</v>
      </c>
      <c r="J165" t="s">
        <v>18</v>
      </c>
      <c r="K165" t="s">
        <v>19</v>
      </c>
      <c r="L165" t="str">
        <f>_xlfn.XLOOKUP(C165, Table2[Species],Table2[Genus], "Code Not Found")</f>
        <v>Acer</v>
      </c>
      <c r="M165" t="str">
        <f>_xlfn.XLOOKUP(C165, Table2[Species],Table2[Sp. Name], "Code Not Found")</f>
        <v>saccharum</v>
      </c>
      <c r="N165" t="str">
        <f>_xlfn.XLOOKUP(C165,Table2[Species],Table2[Family],"Code Not Found")</f>
        <v>Sapindaceae</v>
      </c>
      <c r="O165" t="str" cm="1">
        <f t="array" ref="O165">_xlfn.IFS(F165="","",F165&lt;=5,"0 to 5",F165&lt;=10,"5.1 to 10",F165&lt;=20,"10 to 20", F165&lt;= 40, "20 to 40", F165 &lt;= 50, "40 to 50", F165 &gt; 50, "&gt;50" )</f>
        <v>0 to 5</v>
      </c>
    </row>
    <row r="166" spans="1:15" ht="14.4" x14ac:dyDescent="0.3">
      <c r="A166" t="s">
        <v>15</v>
      </c>
      <c r="B166" s="1">
        <v>46164</v>
      </c>
      <c r="C166" t="s">
        <v>16</v>
      </c>
      <c r="D166">
        <v>160</v>
      </c>
      <c r="E166">
        <v>1</v>
      </c>
      <c r="F166">
        <v>4.9000000000000004</v>
      </c>
      <c r="G166" t="s">
        <v>21</v>
      </c>
      <c r="I166" t="str">
        <f t="shared" si="2"/>
        <v>160_1</v>
      </c>
      <c r="J166" t="s">
        <v>18</v>
      </c>
      <c r="K166" t="s">
        <v>19</v>
      </c>
      <c r="L166" t="str">
        <f>_xlfn.XLOOKUP(C166, Table2[Species],Table2[Genus], "Code Not Found")</f>
        <v>Acer</v>
      </c>
      <c r="M166" t="str">
        <f>_xlfn.XLOOKUP(C166, Table2[Species],Table2[Sp. Name], "Code Not Found")</f>
        <v>saccharum</v>
      </c>
      <c r="N166" t="str">
        <f>_xlfn.XLOOKUP(C166,Table2[Species],Table2[Family],"Code Not Found")</f>
        <v>Sapindaceae</v>
      </c>
      <c r="O166" t="str" cm="1">
        <f t="array" ref="O166">_xlfn.IFS(F166="","",F166&lt;=5,"0 to 5",F166&lt;=10,"5.1 to 10",F166&lt;=20,"10 to 20", F166&lt;= 40, "20 to 40", F166 &lt;= 50, "40 to 50", F166 &gt; 50, "&gt;50" )</f>
        <v>0 to 5</v>
      </c>
    </row>
    <row r="167" spans="1:15" ht="14.4" x14ac:dyDescent="0.3">
      <c r="A167" t="s">
        <v>15</v>
      </c>
      <c r="B167" s="1">
        <v>46164</v>
      </c>
      <c r="C167" t="s">
        <v>16</v>
      </c>
      <c r="D167">
        <v>161</v>
      </c>
      <c r="E167">
        <v>1</v>
      </c>
      <c r="F167">
        <v>3.1</v>
      </c>
      <c r="G167" t="s">
        <v>17</v>
      </c>
      <c r="I167" t="str">
        <f t="shared" si="2"/>
        <v>161_1</v>
      </c>
      <c r="J167" t="s">
        <v>18</v>
      </c>
      <c r="K167" t="s">
        <v>19</v>
      </c>
      <c r="L167" t="str">
        <f>_xlfn.XLOOKUP(C167, Table2[Species],Table2[Genus], "Code Not Found")</f>
        <v>Acer</v>
      </c>
      <c r="M167" t="str">
        <f>_xlfn.XLOOKUP(C167, Table2[Species],Table2[Sp. Name], "Code Not Found")</f>
        <v>saccharum</v>
      </c>
      <c r="N167" t="str">
        <f>_xlfn.XLOOKUP(C167,Table2[Species],Table2[Family],"Code Not Found")</f>
        <v>Sapindaceae</v>
      </c>
      <c r="O167" t="str" cm="1">
        <f t="array" ref="O167">_xlfn.IFS(F167="","",F167&lt;=5,"0 to 5",F167&lt;=10,"5.1 to 10",F167&lt;=20,"10 to 20", F167&lt;= 40, "20 to 40", F167 &lt;= 50, "40 to 50", F167 &gt; 50, "&gt;50" )</f>
        <v>0 to 5</v>
      </c>
    </row>
    <row r="168" spans="1:15" ht="14.4" x14ac:dyDescent="0.3">
      <c r="A168" t="s">
        <v>15</v>
      </c>
      <c r="B168" s="1">
        <v>46164</v>
      </c>
      <c r="C168" t="s">
        <v>22</v>
      </c>
      <c r="D168">
        <v>162</v>
      </c>
      <c r="E168">
        <v>1</v>
      </c>
      <c r="F168">
        <v>37.4</v>
      </c>
      <c r="G168" t="s">
        <v>21</v>
      </c>
      <c r="I168" t="str">
        <f t="shared" si="2"/>
        <v>162_1</v>
      </c>
      <c r="J168" t="s">
        <v>18</v>
      </c>
      <c r="K168" t="s">
        <v>19</v>
      </c>
      <c r="L168" t="str">
        <f>_xlfn.XLOOKUP(C168, Table2[Species],Table2[Genus], "Code Not Found")</f>
        <v>Acer</v>
      </c>
      <c r="M168" t="str">
        <f>_xlfn.XLOOKUP(C168, Table2[Species],Table2[Sp. Name], "Code Not Found")</f>
        <v>rubrum</v>
      </c>
      <c r="N168" t="str">
        <f>_xlfn.XLOOKUP(C168,Table2[Species],Table2[Family],"Code Not Found")</f>
        <v>Sapindaceae</v>
      </c>
      <c r="O168" t="str" cm="1">
        <f t="array" ref="O168">_xlfn.IFS(F168="","",F168&lt;=5,"0 to 5",F168&lt;=10,"5.1 to 10",F168&lt;=20,"10 to 20", F168&lt;= 40, "20 to 40", F168 &lt;= 50, "40 to 50", F168 &gt; 50, "&gt;50" )</f>
        <v>20 to 40</v>
      </c>
    </row>
    <row r="169" spans="1:15" ht="14.4" x14ac:dyDescent="0.3">
      <c r="A169" t="s">
        <v>15</v>
      </c>
      <c r="B169" s="1">
        <v>46164</v>
      </c>
      <c r="C169" t="s">
        <v>16</v>
      </c>
      <c r="D169">
        <v>163</v>
      </c>
      <c r="E169">
        <v>1</v>
      </c>
      <c r="F169">
        <v>1.9</v>
      </c>
      <c r="G169" t="s">
        <v>21</v>
      </c>
      <c r="H169" t="s">
        <v>76</v>
      </c>
      <c r="I169" t="str">
        <f t="shared" si="2"/>
        <v>163_1</v>
      </c>
      <c r="J169" t="s">
        <v>18</v>
      </c>
      <c r="K169" t="s">
        <v>19</v>
      </c>
      <c r="L169" t="str">
        <f>_xlfn.XLOOKUP(C169, Table2[Species],Table2[Genus], "Code Not Found")</f>
        <v>Acer</v>
      </c>
      <c r="M169" t="str">
        <f>_xlfn.XLOOKUP(C169, Table2[Species],Table2[Sp. Name], "Code Not Found")</f>
        <v>saccharum</v>
      </c>
      <c r="N169" t="str">
        <f>_xlfn.XLOOKUP(C169,Table2[Species],Table2[Family],"Code Not Found")</f>
        <v>Sapindaceae</v>
      </c>
      <c r="O169" t="str" cm="1">
        <f t="array" ref="O169">_xlfn.IFS(F169="","",F169&lt;=5,"0 to 5",F169&lt;=10,"5.1 to 10",F169&lt;=20,"10 to 20", F169&lt;= 40, "20 to 40", F169 &lt;= 50, "40 to 50", F169 &gt; 50, "&gt;50" )</f>
        <v>0 to 5</v>
      </c>
    </row>
    <row r="170" spans="1:15" ht="14.4" x14ac:dyDescent="0.3">
      <c r="A170" t="s">
        <v>15</v>
      </c>
      <c r="B170" s="1">
        <v>46164</v>
      </c>
      <c r="C170" t="s">
        <v>16</v>
      </c>
      <c r="D170">
        <v>164</v>
      </c>
      <c r="E170">
        <v>1</v>
      </c>
      <c r="F170">
        <v>1.9</v>
      </c>
      <c r="G170" t="s">
        <v>21</v>
      </c>
      <c r="I170" t="str">
        <f t="shared" si="2"/>
        <v>164_1</v>
      </c>
      <c r="J170" t="s">
        <v>18</v>
      </c>
      <c r="K170" t="s">
        <v>19</v>
      </c>
      <c r="L170" t="str">
        <f>_xlfn.XLOOKUP(C170, Table2[Species],Table2[Genus], "Code Not Found")</f>
        <v>Acer</v>
      </c>
      <c r="M170" t="str">
        <f>_xlfn.XLOOKUP(C170, Table2[Species],Table2[Sp. Name], "Code Not Found")</f>
        <v>saccharum</v>
      </c>
      <c r="N170" t="str">
        <f>_xlfn.XLOOKUP(C170,Table2[Species],Table2[Family],"Code Not Found")</f>
        <v>Sapindaceae</v>
      </c>
      <c r="O170" t="str" cm="1">
        <f t="array" ref="O170">_xlfn.IFS(F170="","",F170&lt;=5,"0 to 5",F170&lt;=10,"5.1 to 10",F170&lt;=20,"10 to 20", F170&lt;= 40, "20 to 40", F170 &lt;= 50, "40 to 50", F170 &gt; 50, "&gt;50" )</f>
        <v>0 to 5</v>
      </c>
    </row>
    <row r="171" spans="1:15" ht="14.4" x14ac:dyDescent="0.3">
      <c r="A171" t="s">
        <v>15</v>
      </c>
      <c r="B171" s="1">
        <v>46164</v>
      </c>
      <c r="C171" t="s">
        <v>24</v>
      </c>
      <c r="D171">
        <v>165</v>
      </c>
      <c r="E171">
        <v>1</v>
      </c>
      <c r="F171">
        <v>20.2</v>
      </c>
      <c r="G171" t="s">
        <v>21</v>
      </c>
      <c r="I171" t="str">
        <f t="shared" si="2"/>
        <v>165_1</v>
      </c>
      <c r="J171" t="s">
        <v>18</v>
      </c>
      <c r="K171" t="s">
        <v>19</v>
      </c>
      <c r="L171" t="str">
        <f>_xlfn.XLOOKUP(C171, Table2[Species],Table2[Genus], "Code Not Found")</f>
        <v>Lirodendron</v>
      </c>
      <c r="M171" t="str">
        <f>_xlfn.XLOOKUP(C171, Table2[Species],Table2[Sp. Name], "Code Not Found")</f>
        <v>tulipfera</v>
      </c>
      <c r="N171" t="str">
        <f>_xlfn.XLOOKUP(C171,Table2[Species],Table2[Family],"Code Not Found")</f>
        <v>Magnoliaceae</v>
      </c>
      <c r="O171" t="str" cm="1">
        <f t="array" ref="O171">_xlfn.IFS(F171="","",F171&lt;=5,"0 to 5",F171&lt;=10,"5.1 to 10",F171&lt;=20,"10 to 20", F171&lt;= 40, "20 to 40", F171 &lt;= 50, "40 to 50", F171 &gt; 50, "&gt;50" )</f>
        <v>20 to 40</v>
      </c>
    </row>
    <row r="172" spans="1:15" ht="14.4" x14ac:dyDescent="0.3">
      <c r="A172" t="s">
        <v>15</v>
      </c>
      <c r="B172" s="1">
        <v>46164</v>
      </c>
      <c r="C172" t="s">
        <v>16</v>
      </c>
      <c r="D172">
        <v>166</v>
      </c>
      <c r="E172">
        <v>1</v>
      </c>
      <c r="F172">
        <v>1.7</v>
      </c>
      <c r="G172" t="s">
        <v>17</v>
      </c>
      <c r="H172" t="s">
        <v>77</v>
      </c>
      <c r="I172" t="str">
        <f t="shared" si="2"/>
        <v>166_1</v>
      </c>
      <c r="J172" t="s">
        <v>18</v>
      </c>
      <c r="K172" t="s">
        <v>19</v>
      </c>
      <c r="L172" t="str">
        <f>_xlfn.XLOOKUP(C172, Table2[Species],Table2[Genus], "Code Not Found")</f>
        <v>Acer</v>
      </c>
      <c r="M172" t="str">
        <f>_xlfn.XLOOKUP(C172, Table2[Species],Table2[Sp. Name], "Code Not Found")</f>
        <v>saccharum</v>
      </c>
      <c r="N172" t="str">
        <f>_xlfn.XLOOKUP(C172,Table2[Species],Table2[Family],"Code Not Found")</f>
        <v>Sapindaceae</v>
      </c>
      <c r="O172" t="str" cm="1">
        <f t="array" ref="O172">_xlfn.IFS(F172="","",F172&lt;=5,"0 to 5",F172&lt;=10,"5.1 to 10",F172&lt;=20,"10 to 20", F172&lt;= 40, "20 to 40", F172 &lt;= 50, "40 to 50", F172 &gt; 50, "&gt;50" )</f>
        <v>0 to 5</v>
      </c>
    </row>
    <row r="173" spans="1:15" ht="14.4" x14ac:dyDescent="0.3">
      <c r="A173" t="s">
        <v>15</v>
      </c>
      <c r="B173" s="1">
        <v>46164</v>
      </c>
      <c r="C173" t="s">
        <v>22</v>
      </c>
      <c r="D173">
        <v>167</v>
      </c>
      <c r="E173">
        <v>1</v>
      </c>
      <c r="F173">
        <v>10</v>
      </c>
      <c r="G173" t="s">
        <v>56</v>
      </c>
      <c r="H173" t="s">
        <v>78</v>
      </c>
      <c r="I173" t="str">
        <f t="shared" si="2"/>
        <v>167_1</v>
      </c>
      <c r="J173" t="s">
        <v>18</v>
      </c>
      <c r="K173" t="s">
        <v>19</v>
      </c>
      <c r="L173" t="str">
        <f>_xlfn.XLOOKUP(C173, Table2[Species],Table2[Genus], "Code Not Found")</f>
        <v>Acer</v>
      </c>
      <c r="M173" t="str">
        <f>_xlfn.XLOOKUP(C173, Table2[Species],Table2[Sp. Name], "Code Not Found")</f>
        <v>rubrum</v>
      </c>
      <c r="N173" t="str">
        <f>_xlfn.XLOOKUP(C173,Table2[Species],Table2[Family],"Code Not Found")</f>
        <v>Sapindaceae</v>
      </c>
      <c r="O173" t="str" cm="1">
        <f t="array" ref="O173">_xlfn.IFS(F173="","",F173&lt;=5,"0 to 5",F173&lt;=10,"5.1 to 10",F173&lt;=20,"10 to 20", F173&lt;= 40, "20 to 40", F173 &lt;= 50, "40 to 50", F173 &gt; 50, "&gt;50" )</f>
        <v>5.1 to 10</v>
      </c>
    </row>
    <row r="174" spans="1:15" ht="14.4" x14ac:dyDescent="0.3">
      <c r="A174" t="s">
        <v>15</v>
      </c>
      <c r="B174" s="1">
        <v>46164</v>
      </c>
      <c r="C174" t="s">
        <v>16</v>
      </c>
      <c r="D174">
        <v>168</v>
      </c>
      <c r="E174">
        <v>1</v>
      </c>
      <c r="F174">
        <v>11.7</v>
      </c>
      <c r="G174" t="s">
        <v>17</v>
      </c>
      <c r="I174" t="str">
        <f t="shared" si="2"/>
        <v>168_1</v>
      </c>
      <c r="J174" t="s">
        <v>18</v>
      </c>
      <c r="K174" t="s">
        <v>19</v>
      </c>
      <c r="L174" t="str">
        <f>_xlfn.XLOOKUP(C174, Table2[Species],Table2[Genus], "Code Not Found")</f>
        <v>Acer</v>
      </c>
      <c r="M174" t="str">
        <f>_xlfn.XLOOKUP(C174, Table2[Species],Table2[Sp. Name], "Code Not Found")</f>
        <v>saccharum</v>
      </c>
      <c r="N174" t="str">
        <f>_xlfn.XLOOKUP(C174,Table2[Species],Table2[Family],"Code Not Found")</f>
        <v>Sapindaceae</v>
      </c>
      <c r="O174" t="str" cm="1">
        <f t="array" ref="O174">_xlfn.IFS(F174="","",F174&lt;=5,"0 to 5",F174&lt;=10,"5.1 to 10",F174&lt;=20,"10 to 20", F174&lt;= 40, "20 to 40", F174 &lt;= 50, "40 to 50", F174 &gt; 50, "&gt;50" )</f>
        <v>10 to 20</v>
      </c>
    </row>
    <row r="175" spans="1:15" ht="14.4" x14ac:dyDescent="0.3">
      <c r="A175" t="s">
        <v>15</v>
      </c>
      <c r="B175" s="1">
        <v>46164</v>
      </c>
      <c r="C175" t="s">
        <v>16</v>
      </c>
      <c r="D175">
        <v>169</v>
      </c>
      <c r="E175">
        <v>1</v>
      </c>
      <c r="F175">
        <v>2.9</v>
      </c>
      <c r="G175" t="s">
        <v>21</v>
      </c>
      <c r="I175" t="str">
        <f t="shared" si="2"/>
        <v>169_1</v>
      </c>
      <c r="J175" t="s">
        <v>18</v>
      </c>
      <c r="K175" t="s">
        <v>19</v>
      </c>
      <c r="L175" t="str">
        <f>_xlfn.XLOOKUP(C175, Table2[Species],Table2[Genus], "Code Not Found")</f>
        <v>Acer</v>
      </c>
      <c r="M175" t="str">
        <f>_xlfn.XLOOKUP(C175, Table2[Species],Table2[Sp. Name], "Code Not Found")</f>
        <v>saccharum</v>
      </c>
      <c r="N175" t="str">
        <f>_xlfn.XLOOKUP(C175,Table2[Species],Table2[Family],"Code Not Found")</f>
        <v>Sapindaceae</v>
      </c>
      <c r="O175" t="str" cm="1">
        <f t="array" ref="O175">_xlfn.IFS(F175="","",F175&lt;=5,"0 to 5",F175&lt;=10,"5.1 to 10",F175&lt;=20,"10 to 20", F175&lt;= 40, "20 to 40", F175 &lt;= 50, "40 to 50", F175 &gt; 50, "&gt;50" )</f>
        <v>0 to 5</v>
      </c>
    </row>
    <row r="176" spans="1:15" ht="14.4" x14ac:dyDescent="0.3">
      <c r="A176" t="s">
        <v>15</v>
      </c>
      <c r="B176" s="1">
        <v>46164</v>
      </c>
      <c r="C176" t="s">
        <v>16</v>
      </c>
      <c r="D176">
        <v>170</v>
      </c>
      <c r="E176">
        <v>1</v>
      </c>
      <c r="F176">
        <v>2.5</v>
      </c>
      <c r="G176" t="s">
        <v>17</v>
      </c>
      <c r="I176" t="str">
        <f t="shared" si="2"/>
        <v>170_1</v>
      </c>
      <c r="J176" t="s">
        <v>18</v>
      </c>
      <c r="K176" t="s">
        <v>19</v>
      </c>
      <c r="L176" t="str">
        <f>_xlfn.XLOOKUP(C176, Table2[Species],Table2[Genus], "Code Not Found")</f>
        <v>Acer</v>
      </c>
      <c r="M176" t="str">
        <f>_xlfn.XLOOKUP(C176, Table2[Species],Table2[Sp. Name], "Code Not Found")</f>
        <v>saccharum</v>
      </c>
      <c r="N176" t="str">
        <f>_xlfn.XLOOKUP(C176,Table2[Species],Table2[Family],"Code Not Found")</f>
        <v>Sapindaceae</v>
      </c>
      <c r="O176" t="str" cm="1">
        <f t="array" ref="O176">_xlfn.IFS(F176="","",F176&lt;=5,"0 to 5",F176&lt;=10,"5.1 to 10",F176&lt;=20,"10 to 20", F176&lt;= 40, "20 to 40", F176 &lt;= 50, "40 to 50", F176 &gt; 50, "&gt;50" )</f>
        <v>0 to 5</v>
      </c>
    </row>
    <row r="177" spans="1:15" ht="14.4" x14ac:dyDescent="0.3">
      <c r="A177" t="s">
        <v>15</v>
      </c>
      <c r="B177" s="1">
        <v>46164</v>
      </c>
      <c r="C177" t="s">
        <v>16</v>
      </c>
      <c r="D177">
        <v>171</v>
      </c>
      <c r="E177">
        <v>1</v>
      </c>
      <c r="F177">
        <v>2.9</v>
      </c>
      <c r="G177" t="s">
        <v>17</v>
      </c>
      <c r="I177" t="str">
        <f t="shared" si="2"/>
        <v>171_1</v>
      </c>
      <c r="J177" t="s">
        <v>18</v>
      </c>
      <c r="K177" t="s">
        <v>19</v>
      </c>
      <c r="L177" t="str">
        <f>_xlfn.XLOOKUP(C177, Table2[Species],Table2[Genus], "Code Not Found")</f>
        <v>Acer</v>
      </c>
      <c r="M177" t="str">
        <f>_xlfn.XLOOKUP(C177, Table2[Species],Table2[Sp. Name], "Code Not Found")</f>
        <v>saccharum</v>
      </c>
      <c r="N177" t="str">
        <f>_xlfn.XLOOKUP(C177,Table2[Species],Table2[Family],"Code Not Found")</f>
        <v>Sapindaceae</v>
      </c>
      <c r="O177" t="str" cm="1">
        <f t="array" ref="O177">_xlfn.IFS(F177="","",F177&lt;=5,"0 to 5",F177&lt;=10,"5.1 to 10",F177&lt;=20,"10 to 20", F177&lt;= 40, "20 to 40", F177 &lt;= 50, "40 to 50", F177 &gt; 50, "&gt;50" )</f>
        <v>0 to 5</v>
      </c>
    </row>
    <row r="178" spans="1:15" ht="14.4" x14ac:dyDescent="0.3">
      <c r="A178" t="s">
        <v>15</v>
      </c>
      <c r="B178" s="1">
        <v>46164</v>
      </c>
      <c r="C178" t="s">
        <v>16</v>
      </c>
      <c r="D178">
        <v>172</v>
      </c>
      <c r="E178">
        <v>1</v>
      </c>
      <c r="F178">
        <v>2.6</v>
      </c>
      <c r="G178" t="s">
        <v>47</v>
      </c>
      <c r="H178" t="s">
        <v>48</v>
      </c>
      <c r="I178" t="str">
        <f t="shared" si="2"/>
        <v>172_1</v>
      </c>
      <c r="J178" t="s">
        <v>18</v>
      </c>
      <c r="K178" t="s">
        <v>19</v>
      </c>
      <c r="L178" t="str">
        <f>_xlfn.XLOOKUP(C178, Table2[Species],Table2[Genus], "Code Not Found")</f>
        <v>Acer</v>
      </c>
      <c r="M178" t="str">
        <f>_xlfn.XLOOKUP(C178, Table2[Species],Table2[Sp. Name], "Code Not Found")</f>
        <v>saccharum</v>
      </c>
      <c r="N178" t="str">
        <f>_xlfn.XLOOKUP(C178,Table2[Species],Table2[Family],"Code Not Found")</f>
        <v>Sapindaceae</v>
      </c>
      <c r="O178" t="str" cm="1">
        <f t="array" ref="O178">_xlfn.IFS(F178="","",F178&lt;=5,"0 to 5",F178&lt;=10,"5.1 to 10",F178&lt;=20,"10 to 20", F178&lt;= 40, "20 to 40", F178 &lt;= 50, "40 to 50", F178 &gt; 50, "&gt;50" )</f>
        <v>0 to 5</v>
      </c>
    </row>
    <row r="179" spans="1:15" ht="14.4" x14ac:dyDescent="0.3">
      <c r="A179" t="s">
        <v>15</v>
      </c>
      <c r="B179" s="1">
        <v>46164</v>
      </c>
      <c r="C179" t="s">
        <v>16</v>
      </c>
      <c r="D179">
        <v>173</v>
      </c>
      <c r="E179">
        <v>1</v>
      </c>
      <c r="F179">
        <v>3.5</v>
      </c>
      <c r="G179" t="s">
        <v>56</v>
      </c>
      <c r="H179" t="s">
        <v>79</v>
      </c>
      <c r="I179" t="str">
        <f t="shared" si="2"/>
        <v>173_1</v>
      </c>
      <c r="J179" t="s">
        <v>18</v>
      </c>
      <c r="K179" t="s">
        <v>19</v>
      </c>
      <c r="L179" t="str">
        <f>_xlfn.XLOOKUP(C179, Table2[Species],Table2[Genus], "Code Not Found")</f>
        <v>Acer</v>
      </c>
      <c r="M179" t="str">
        <f>_xlfn.XLOOKUP(C179, Table2[Species],Table2[Sp. Name], "Code Not Found")</f>
        <v>saccharum</v>
      </c>
      <c r="N179" t="str">
        <f>_xlfn.XLOOKUP(C179,Table2[Species],Table2[Family],"Code Not Found")</f>
        <v>Sapindaceae</v>
      </c>
      <c r="O179" t="str" cm="1">
        <f t="array" ref="O179">_xlfn.IFS(F179="","",F179&lt;=5,"0 to 5",F179&lt;=10,"5.1 to 10",F179&lt;=20,"10 to 20", F179&lt;= 40, "20 to 40", F179 &lt;= 50, "40 to 50", F179 &gt; 50, "&gt;50" )</f>
        <v>0 to 5</v>
      </c>
    </row>
    <row r="180" spans="1:15" ht="14.4" x14ac:dyDescent="0.3">
      <c r="A180" t="s">
        <v>15</v>
      </c>
      <c r="B180" s="1">
        <v>46164</v>
      </c>
      <c r="C180" t="s">
        <v>16</v>
      </c>
      <c r="D180">
        <v>174</v>
      </c>
      <c r="E180">
        <v>1</v>
      </c>
      <c r="F180">
        <v>1.9</v>
      </c>
      <c r="G180" t="s">
        <v>17</v>
      </c>
      <c r="I180" t="str">
        <f t="shared" si="2"/>
        <v>174_1</v>
      </c>
      <c r="J180" t="s">
        <v>18</v>
      </c>
      <c r="K180" t="s">
        <v>19</v>
      </c>
      <c r="L180" t="str">
        <f>_xlfn.XLOOKUP(C180, Table2[Species],Table2[Genus], "Code Not Found")</f>
        <v>Acer</v>
      </c>
      <c r="M180" t="str">
        <f>_xlfn.XLOOKUP(C180, Table2[Species],Table2[Sp. Name], "Code Not Found")</f>
        <v>saccharum</v>
      </c>
      <c r="N180" t="str">
        <f>_xlfn.XLOOKUP(C180,Table2[Species],Table2[Family],"Code Not Found")</f>
        <v>Sapindaceae</v>
      </c>
      <c r="O180" t="str" cm="1">
        <f t="array" ref="O180">_xlfn.IFS(F180="","",F180&lt;=5,"0 to 5",F180&lt;=10,"5.1 to 10",F180&lt;=20,"10 to 20", F180&lt;= 40, "20 to 40", F180 &lt;= 50, "40 to 50", F180 &gt; 50, "&gt;50" )</f>
        <v>0 to 5</v>
      </c>
    </row>
    <row r="181" spans="1:15" ht="14.4" x14ac:dyDescent="0.3">
      <c r="A181" t="s">
        <v>15</v>
      </c>
      <c r="B181" s="1">
        <v>46164</v>
      </c>
      <c r="C181" t="s">
        <v>59</v>
      </c>
      <c r="D181">
        <v>175</v>
      </c>
      <c r="E181">
        <v>1</v>
      </c>
      <c r="F181">
        <v>25.2</v>
      </c>
      <c r="G181" t="s">
        <v>21</v>
      </c>
      <c r="I181" t="str">
        <f t="shared" si="2"/>
        <v>175_1</v>
      </c>
      <c r="J181" t="s">
        <v>18</v>
      </c>
      <c r="K181" t="s">
        <v>19</v>
      </c>
      <c r="L181" t="str">
        <f>_xlfn.XLOOKUP(C181, Table2[Species],Table2[Genus], "Code Not Found")</f>
        <v>Nyssa</v>
      </c>
      <c r="M181" t="str">
        <f>_xlfn.XLOOKUP(C181, Table2[Species],Table2[Sp. Name], "Code Not Found")</f>
        <v>sylvatica</v>
      </c>
      <c r="N181" t="str">
        <f>_xlfn.XLOOKUP(C181,Table2[Species],Table2[Family],"Code Not Found")</f>
        <v>Nyssaceae</v>
      </c>
      <c r="O181" t="str" cm="1">
        <f t="array" ref="O181">_xlfn.IFS(F181="","",F181&lt;=5,"0 to 5",F181&lt;=10,"5.1 to 10",F181&lt;=20,"10 to 20", F181&lt;= 40, "20 to 40", F181 &lt;= 50, "40 to 50", F181 &gt; 50, "&gt;50" )</f>
        <v>20 to 40</v>
      </c>
    </row>
    <row r="182" spans="1:15" ht="14.4" x14ac:dyDescent="0.3">
      <c r="A182" t="s">
        <v>15</v>
      </c>
      <c r="B182" s="1">
        <v>46164</v>
      </c>
      <c r="C182" t="s">
        <v>29</v>
      </c>
      <c r="D182">
        <v>176</v>
      </c>
      <c r="E182">
        <v>1</v>
      </c>
      <c r="F182">
        <v>45.2</v>
      </c>
      <c r="G182" t="s">
        <v>21</v>
      </c>
      <c r="I182" t="str">
        <f t="shared" si="2"/>
        <v>176_1</v>
      </c>
      <c r="J182" t="s">
        <v>18</v>
      </c>
      <c r="K182" t="s">
        <v>19</v>
      </c>
      <c r="L182" t="str">
        <f>_xlfn.XLOOKUP(C182, Table2[Species],Table2[Genus], "Code Not Found")</f>
        <v>Sassafras</v>
      </c>
      <c r="M182" t="str">
        <f>_xlfn.XLOOKUP(C182, Table2[Species],Table2[Sp. Name], "Code Not Found")</f>
        <v>albidum</v>
      </c>
      <c r="N182" t="str">
        <f>_xlfn.XLOOKUP(C182,Table2[Species],Table2[Family],"Code Not Found")</f>
        <v>Lauraceae</v>
      </c>
      <c r="O182" t="str" cm="1">
        <f t="array" ref="O182">_xlfn.IFS(F182="","",F182&lt;=5,"0 to 5",F182&lt;=10,"5.1 to 10",F182&lt;=20,"10 to 20", F182&lt;= 40, "20 to 40", F182 &lt;= 50, "40 to 50", F182 &gt; 50, "&gt;50" )</f>
        <v>40 to 50</v>
      </c>
    </row>
    <row r="183" spans="1:15" ht="14.4" x14ac:dyDescent="0.3">
      <c r="A183" t="s">
        <v>15</v>
      </c>
      <c r="B183" s="1">
        <v>46164</v>
      </c>
      <c r="C183" t="s">
        <v>16</v>
      </c>
      <c r="D183">
        <v>177</v>
      </c>
      <c r="E183">
        <v>1</v>
      </c>
      <c r="F183">
        <v>2</v>
      </c>
      <c r="G183" t="s">
        <v>17</v>
      </c>
      <c r="I183" t="str">
        <f t="shared" si="2"/>
        <v>177_1</v>
      </c>
      <c r="J183" t="s">
        <v>18</v>
      </c>
      <c r="K183" t="s">
        <v>19</v>
      </c>
      <c r="L183" t="str">
        <f>_xlfn.XLOOKUP(C183, Table2[Species],Table2[Genus], "Code Not Found")</f>
        <v>Acer</v>
      </c>
      <c r="M183" t="str">
        <f>_xlfn.XLOOKUP(C183, Table2[Species],Table2[Sp. Name], "Code Not Found")</f>
        <v>saccharum</v>
      </c>
      <c r="N183" t="str">
        <f>_xlfn.XLOOKUP(C183,Table2[Species],Table2[Family],"Code Not Found")</f>
        <v>Sapindaceae</v>
      </c>
      <c r="O183" t="str" cm="1">
        <f t="array" ref="O183">_xlfn.IFS(F183="","",F183&lt;=5,"0 to 5",F183&lt;=10,"5.1 to 10",F183&lt;=20,"10 to 20", F183&lt;= 40, "20 to 40", F183 &lt;= 50, "40 to 50", F183 &gt; 50, "&gt;50" )</f>
        <v>0 to 5</v>
      </c>
    </row>
    <row r="184" spans="1:15" ht="14.4" x14ac:dyDescent="0.3">
      <c r="A184" t="s">
        <v>15</v>
      </c>
      <c r="B184" s="1">
        <v>46164</v>
      </c>
      <c r="C184" t="s">
        <v>16</v>
      </c>
      <c r="D184">
        <v>178</v>
      </c>
      <c r="E184">
        <v>1</v>
      </c>
      <c r="F184">
        <v>3.6</v>
      </c>
      <c r="G184" t="s">
        <v>56</v>
      </c>
      <c r="H184" t="s">
        <v>80</v>
      </c>
      <c r="I184" t="str">
        <f t="shared" si="2"/>
        <v>178_1</v>
      </c>
      <c r="J184" t="s">
        <v>18</v>
      </c>
      <c r="K184" t="s">
        <v>19</v>
      </c>
      <c r="L184" t="str">
        <f>_xlfn.XLOOKUP(C184, Table2[Species],Table2[Genus], "Code Not Found")</f>
        <v>Acer</v>
      </c>
      <c r="M184" t="str">
        <f>_xlfn.XLOOKUP(C184, Table2[Species],Table2[Sp. Name], "Code Not Found")</f>
        <v>saccharum</v>
      </c>
      <c r="N184" t="str">
        <f>_xlfn.XLOOKUP(C184,Table2[Species],Table2[Family],"Code Not Found")</f>
        <v>Sapindaceae</v>
      </c>
      <c r="O184" t="str" cm="1">
        <f t="array" ref="O184">_xlfn.IFS(F184="","",F184&lt;=5,"0 to 5",F184&lt;=10,"5.1 to 10",F184&lt;=20,"10 to 20", F184&lt;= 40, "20 to 40", F184 &lt;= 50, "40 to 50", F184 &gt; 50, "&gt;50" )</f>
        <v>0 to 5</v>
      </c>
    </row>
    <row r="185" spans="1:15" ht="14.4" x14ac:dyDescent="0.3">
      <c r="A185" t="s">
        <v>15</v>
      </c>
      <c r="B185" s="1">
        <v>46164</v>
      </c>
      <c r="C185" t="s">
        <v>16</v>
      </c>
      <c r="D185">
        <v>179</v>
      </c>
      <c r="E185">
        <v>1</v>
      </c>
      <c r="F185">
        <v>1.4</v>
      </c>
      <c r="G185" t="s">
        <v>81</v>
      </c>
      <c r="H185" t="s">
        <v>82</v>
      </c>
      <c r="I185" t="str">
        <f t="shared" si="2"/>
        <v>179_1</v>
      </c>
      <c r="J185" t="s">
        <v>18</v>
      </c>
      <c r="K185" t="s">
        <v>19</v>
      </c>
      <c r="L185" t="str">
        <f>_xlfn.XLOOKUP(C185, Table2[Species],Table2[Genus], "Code Not Found")</f>
        <v>Acer</v>
      </c>
      <c r="M185" t="str">
        <f>_xlfn.XLOOKUP(C185, Table2[Species],Table2[Sp. Name], "Code Not Found")</f>
        <v>saccharum</v>
      </c>
      <c r="N185" t="str">
        <f>_xlfn.XLOOKUP(C185,Table2[Species],Table2[Family],"Code Not Found")</f>
        <v>Sapindaceae</v>
      </c>
      <c r="O185" t="str" cm="1">
        <f t="array" ref="O185">_xlfn.IFS(F185="","",F185&lt;=5,"0 to 5",F185&lt;=10,"5.1 to 10",F185&lt;=20,"10 to 20", F185&lt;= 40, "20 to 40", F185 &lt;= 50, "40 to 50", F185 &gt; 50, "&gt;50" )</f>
        <v>0 to 5</v>
      </c>
    </row>
    <row r="186" spans="1:15" ht="14.4" x14ac:dyDescent="0.3">
      <c r="A186" t="s">
        <v>15</v>
      </c>
      <c r="B186" s="1">
        <v>46164</v>
      </c>
      <c r="C186" t="s">
        <v>16</v>
      </c>
      <c r="D186">
        <v>180</v>
      </c>
      <c r="E186">
        <v>1</v>
      </c>
      <c r="F186">
        <v>2.6</v>
      </c>
      <c r="G186" t="s">
        <v>17</v>
      </c>
      <c r="I186" t="str">
        <f t="shared" si="2"/>
        <v>180_1</v>
      </c>
      <c r="J186" t="s">
        <v>18</v>
      </c>
      <c r="K186" t="s">
        <v>19</v>
      </c>
      <c r="L186" t="str">
        <f>_xlfn.XLOOKUP(C186, Table2[Species],Table2[Genus], "Code Not Found")</f>
        <v>Acer</v>
      </c>
      <c r="M186" t="str">
        <f>_xlfn.XLOOKUP(C186, Table2[Species],Table2[Sp. Name], "Code Not Found")</f>
        <v>saccharum</v>
      </c>
      <c r="N186" t="str">
        <f>_xlfn.XLOOKUP(C186,Table2[Species],Table2[Family],"Code Not Found")</f>
        <v>Sapindaceae</v>
      </c>
      <c r="O186" t="str" cm="1">
        <f t="array" ref="O186">_xlfn.IFS(F186="","",F186&lt;=5,"0 to 5",F186&lt;=10,"5.1 to 10",F186&lt;=20,"10 to 20", F186&lt;= 40, "20 to 40", F186 &lt;= 50, "40 to 50", F186 &gt; 50, "&gt;50" )</f>
        <v>0 to 5</v>
      </c>
    </row>
    <row r="187" spans="1:15" ht="14.4" x14ac:dyDescent="0.3">
      <c r="A187" t="s">
        <v>15</v>
      </c>
      <c r="B187" s="1">
        <v>46164</v>
      </c>
      <c r="C187" t="s">
        <v>20</v>
      </c>
      <c r="D187">
        <v>181</v>
      </c>
      <c r="E187">
        <v>1</v>
      </c>
      <c r="F187">
        <v>62.7</v>
      </c>
      <c r="G187" t="s">
        <v>21</v>
      </c>
      <c r="I187" t="str">
        <f t="shared" si="2"/>
        <v>181_1</v>
      </c>
      <c r="J187" t="s">
        <v>18</v>
      </c>
      <c r="K187" t="s">
        <v>19</v>
      </c>
      <c r="L187" t="str">
        <f>_xlfn.XLOOKUP(C187, Table2[Species],Table2[Genus], "Code Not Found")</f>
        <v>Prunus</v>
      </c>
      <c r="M187" t="str">
        <f>_xlfn.XLOOKUP(C187, Table2[Species],Table2[Sp. Name], "Code Not Found")</f>
        <v>serotina</v>
      </c>
      <c r="N187" t="str">
        <f>_xlfn.XLOOKUP(C187,Table2[Species],Table2[Family],"Code Not Found")</f>
        <v>Rosaceae</v>
      </c>
      <c r="O187" t="str" cm="1">
        <f t="array" ref="O187">_xlfn.IFS(F187="","",F187&lt;=5,"0 to 5",F187&lt;=10,"5.1 to 10",F187&lt;=20,"10 to 20", F187&lt;= 40, "20 to 40", F187 &lt;= 50, "40 to 50", F187 &gt; 50, "&gt;50" )</f>
        <v>&gt;50</v>
      </c>
    </row>
    <row r="188" spans="1:15" ht="14.4" x14ac:dyDescent="0.3">
      <c r="A188" t="s">
        <v>15</v>
      </c>
      <c r="B188" s="1">
        <v>46164</v>
      </c>
      <c r="C188" t="s">
        <v>16</v>
      </c>
      <c r="D188">
        <v>182</v>
      </c>
      <c r="E188">
        <v>1</v>
      </c>
      <c r="F188">
        <v>1.9</v>
      </c>
      <c r="G188" t="s">
        <v>47</v>
      </c>
      <c r="H188" t="s">
        <v>43</v>
      </c>
      <c r="I188" t="str">
        <f t="shared" si="2"/>
        <v>182_1</v>
      </c>
      <c r="J188" t="s">
        <v>18</v>
      </c>
      <c r="K188" t="s">
        <v>19</v>
      </c>
      <c r="L188" t="str">
        <f>_xlfn.XLOOKUP(C188, Table2[Species],Table2[Genus], "Code Not Found")</f>
        <v>Acer</v>
      </c>
      <c r="M188" t="str">
        <f>_xlfn.XLOOKUP(C188, Table2[Species],Table2[Sp. Name], "Code Not Found")</f>
        <v>saccharum</v>
      </c>
      <c r="N188" t="str">
        <f>_xlfn.XLOOKUP(C188,Table2[Species],Table2[Family],"Code Not Found")</f>
        <v>Sapindaceae</v>
      </c>
      <c r="O188" t="str" cm="1">
        <f t="array" ref="O188">_xlfn.IFS(F188="","",F188&lt;=5,"0 to 5",F188&lt;=10,"5.1 to 10",F188&lt;=20,"10 to 20", F188&lt;= 40, "20 to 40", F188 &lt;= 50, "40 to 50", F188 &gt; 50, "&gt;50" )</f>
        <v>0 to 5</v>
      </c>
    </row>
    <row r="189" spans="1:15" ht="14.4" x14ac:dyDescent="0.3">
      <c r="A189" t="s">
        <v>15</v>
      </c>
      <c r="B189" s="1">
        <v>46164</v>
      </c>
      <c r="C189" t="s">
        <v>16</v>
      </c>
      <c r="D189">
        <v>183</v>
      </c>
      <c r="E189">
        <v>1</v>
      </c>
      <c r="F189">
        <v>1</v>
      </c>
      <c r="G189" t="s">
        <v>47</v>
      </c>
      <c r="H189" t="s">
        <v>43</v>
      </c>
      <c r="I189" t="str">
        <f t="shared" si="2"/>
        <v>183_1</v>
      </c>
      <c r="J189" t="s">
        <v>18</v>
      </c>
      <c r="K189" t="s">
        <v>19</v>
      </c>
      <c r="L189" t="str">
        <f>_xlfn.XLOOKUP(C189, Table2[Species],Table2[Genus], "Code Not Found")</f>
        <v>Acer</v>
      </c>
      <c r="M189" t="str">
        <f>_xlfn.XLOOKUP(C189, Table2[Species],Table2[Sp. Name], "Code Not Found")</f>
        <v>saccharum</v>
      </c>
      <c r="N189" t="str">
        <f>_xlfn.XLOOKUP(C189,Table2[Species],Table2[Family],"Code Not Found")</f>
        <v>Sapindaceae</v>
      </c>
      <c r="O189" t="str" cm="1">
        <f t="array" ref="O189">_xlfn.IFS(F189="","",F189&lt;=5,"0 to 5",F189&lt;=10,"5.1 to 10",F189&lt;=20,"10 to 20", F189&lt;= 40, "20 to 40", F189 &lt;= 50, "40 to 50", F189 &gt; 50, "&gt;50" )</f>
        <v>0 to 5</v>
      </c>
    </row>
    <row r="190" spans="1:15" ht="14.4" x14ac:dyDescent="0.3">
      <c r="A190" t="s">
        <v>15</v>
      </c>
      <c r="B190" s="1">
        <v>46164</v>
      </c>
      <c r="C190" t="s">
        <v>16</v>
      </c>
      <c r="D190">
        <v>184</v>
      </c>
      <c r="E190">
        <v>1</v>
      </c>
      <c r="F190">
        <v>4.4000000000000004</v>
      </c>
      <c r="G190" t="s">
        <v>21</v>
      </c>
      <c r="I190" t="str">
        <f t="shared" si="2"/>
        <v>184_1</v>
      </c>
      <c r="J190" t="s">
        <v>18</v>
      </c>
      <c r="K190" t="s">
        <v>19</v>
      </c>
      <c r="L190" t="str">
        <f>_xlfn.XLOOKUP(C190, Table2[Species],Table2[Genus], "Code Not Found")</f>
        <v>Acer</v>
      </c>
      <c r="M190" t="str">
        <f>_xlfn.XLOOKUP(C190, Table2[Species],Table2[Sp. Name], "Code Not Found")</f>
        <v>saccharum</v>
      </c>
      <c r="N190" t="str">
        <f>_xlfn.XLOOKUP(C190,Table2[Species],Table2[Family],"Code Not Found")</f>
        <v>Sapindaceae</v>
      </c>
      <c r="O190" t="str" cm="1">
        <f t="array" ref="O190">_xlfn.IFS(F190="","",F190&lt;=5,"0 to 5",F190&lt;=10,"5.1 to 10",F190&lt;=20,"10 to 20", F190&lt;= 40, "20 to 40", F190 &lt;= 50, "40 to 50", F190 &gt; 50, "&gt;50" )</f>
        <v>0 to 5</v>
      </c>
    </row>
    <row r="191" spans="1:15" ht="14.4" x14ac:dyDescent="0.3">
      <c r="A191" t="s">
        <v>15</v>
      </c>
      <c r="B191" s="1">
        <v>46164</v>
      </c>
      <c r="C191" t="s">
        <v>16</v>
      </c>
      <c r="D191">
        <v>185</v>
      </c>
      <c r="E191">
        <v>1</v>
      </c>
      <c r="F191">
        <v>46.9</v>
      </c>
      <c r="G191" t="s">
        <v>21</v>
      </c>
      <c r="I191" t="str">
        <f t="shared" si="2"/>
        <v>185_1</v>
      </c>
      <c r="J191" t="s">
        <v>18</v>
      </c>
      <c r="K191" t="s">
        <v>19</v>
      </c>
      <c r="L191" t="str">
        <f>_xlfn.XLOOKUP(C191, Table2[Species],Table2[Genus], "Code Not Found")</f>
        <v>Acer</v>
      </c>
      <c r="M191" t="str">
        <f>_xlfn.XLOOKUP(C191, Table2[Species],Table2[Sp. Name], "Code Not Found")</f>
        <v>saccharum</v>
      </c>
      <c r="N191" t="str">
        <f>_xlfn.XLOOKUP(C191,Table2[Species],Table2[Family],"Code Not Found")</f>
        <v>Sapindaceae</v>
      </c>
      <c r="O191" t="str" cm="1">
        <f t="array" ref="O191">_xlfn.IFS(F191="","",F191&lt;=5,"0 to 5",F191&lt;=10,"5.1 to 10",F191&lt;=20,"10 to 20", F191&lt;= 40, "20 to 40", F191 &lt;= 50, "40 to 50", F191 &gt; 50, "&gt;50" )</f>
        <v>40 to 50</v>
      </c>
    </row>
    <row r="192" spans="1:15" ht="14.4" x14ac:dyDescent="0.3">
      <c r="A192" t="s">
        <v>15</v>
      </c>
      <c r="B192" s="1">
        <v>46164</v>
      </c>
      <c r="C192" t="s">
        <v>16</v>
      </c>
      <c r="D192">
        <v>186</v>
      </c>
      <c r="E192">
        <v>1</v>
      </c>
      <c r="F192">
        <v>3.3</v>
      </c>
      <c r="G192" t="s">
        <v>83</v>
      </c>
      <c r="H192" t="s">
        <v>84</v>
      </c>
      <c r="I192" t="str">
        <f t="shared" si="2"/>
        <v>186_1</v>
      </c>
      <c r="J192" t="s">
        <v>18</v>
      </c>
      <c r="K192" t="s">
        <v>19</v>
      </c>
      <c r="L192" t="str">
        <f>_xlfn.XLOOKUP(C192, Table2[Species],Table2[Genus], "Code Not Found")</f>
        <v>Acer</v>
      </c>
      <c r="M192" t="str">
        <f>_xlfn.XLOOKUP(C192, Table2[Species],Table2[Sp. Name], "Code Not Found")</f>
        <v>saccharum</v>
      </c>
      <c r="N192" t="str">
        <f>_xlfn.XLOOKUP(C192,Table2[Species],Table2[Family],"Code Not Found")</f>
        <v>Sapindaceae</v>
      </c>
      <c r="O192" t="str" cm="1">
        <f t="array" ref="O192">_xlfn.IFS(F192="","",F192&lt;=5,"0 to 5",F192&lt;=10,"5.1 to 10",F192&lt;=20,"10 to 20", F192&lt;= 40, "20 to 40", F192 &lt;= 50, "40 to 50", F192 &gt; 50, "&gt;50" )</f>
        <v>0 to 5</v>
      </c>
    </row>
    <row r="193" spans="1:15" ht="14.4" x14ac:dyDescent="0.3">
      <c r="A193" t="s">
        <v>15</v>
      </c>
      <c r="B193" s="1">
        <v>46164</v>
      </c>
      <c r="C193" t="s">
        <v>16</v>
      </c>
      <c r="D193">
        <v>187</v>
      </c>
      <c r="E193">
        <v>1</v>
      </c>
      <c r="F193">
        <v>3.9</v>
      </c>
      <c r="G193" t="s">
        <v>21</v>
      </c>
      <c r="I193" t="str">
        <f t="shared" si="2"/>
        <v>187_1</v>
      </c>
      <c r="J193" t="s">
        <v>18</v>
      </c>
      <c r="K193" t="s">
        <v>19</v>
      </c>
      <c r="L193" t="str">
        <f>_xlfn.XLOOKUP(C193, Table2[Species],Table2[Genus], "Code Not Found")</f>
        <v>Acer</v>
      </c>
      <c r="M193" t="str">
        <f>_xlfn.XLOOKUP(C193, Table2[Species],Table2[Sp. Name], "Code Not Found")</f>
        <v>saccharum</v>
      </c>
      <c r="N193" t="str">
        <f>_xlfn.XLOOKUP(C193,Table2[Species],Table2[Family],"Code Not Found")</f>
        <v>Sapindaceae</v>
      </c>
      <c r="O193" t="str" cm="1">
        <f t="array" ref="O193">_xlfn.IFS(F193="","",F193&lt;=5,"0 to 5",F193&lt;=10,"5.1 to 10",F193&lt;=20,"10 to 20", F193&lt;= 40, "20 to 40", F193 &lt;= 50, "40 to 50", F193 &gt; 50, "&gt;50" )</f>
        <v>0 to 5</v>
      </c>
    </row>
    <row r="194" spans="1:15" ht="14.4" x14ac:dyDescent="0.3">
      <c r="A194" t="s">
        <v>15</v>
      </c>
      <c r="B194" s="1">
        <v>46164</v>
      </c>
      <c r="C194" t="s">
        <v>16</v>
      </c>
      <c r="D194">
        <v>188</v>
      </c>
      <c r="E194">
        <v>1</v>
      </c>
      <c r="F194">
        <v>2</v>
      </c>
      <c r="G194" t="s">
        <v>47</v>
      </c>
      <c r="H194" t="s">
        <v>43</v>
      </c>
      <c r="I194" t="str">
        <f t="shared" si="2"/>
        <v>188_1</v>
      </c>
      <c r="J194" t="s">
        <v>18</v>
      </c>
      <c r="K194" t="s">
        <v>19</v>
      </c>
      <c r="L194" t="str">
        <f>_xlfn.XLOOKUP(C194, Table2[Species],Table2[Genus], "Code Not Found")</f>
        <v>Acer</v>
      </c>
      <c r="M194" t="str">
        <f>_xlfn.XLOOKUP(C194, Table2[Species],Table2[Sp. Name], "Code Not Found")</f>
        <v>saccharum</v>
      </c>
      <c r="N194" t="str">
        <f>_xlfn.XLOOKUP(C194,Table2[Species],Table2[Family],"Code Not Found")</f>
        <v>Sapindaceae</v>
      </c>
      <c r="O194" t="str" cm="1">
        <f t="array" ref="O194">_xlfn.IFS(F194="","",F194&lt;=5,"0 to 5",F194&lt;=10,"5.1 to 10",F194&lt;=20,"10 to 20", F194&lt;= 40, "20 to 40", F194 &lt;= 50, "40 to 50", F194 &gt; 50, "&gt;50" )</f>
        <v>0 to 5</v>
      </c>
    </row>
    <row r="195" spans="1:15" ht="14.4" x14ac:dyDescent="0.3">
      <c r="A195" t="s">
        <v>15</v>
      </c>
      <c r="B195" s="1">
        <v>46164</v>
      </c>
      <c r="C195" t="s">
        <v>16</v>
      </c>
      <c r="D195">
        <v>189</v>
      </c>
      <c r="E195">
        <v>1</v>
      </c>
      <c r="F195">
        <v>1.2</v>
      </c>
      <c r="G195" t="s">
        <v>17</v>
      </c>
      <c r="I195" t="str">
        <f t="shared" ref="I195:I258" si="3">D195&amp;"_"&amp;E195</f>
        <v>189_1</v>
      </c>
      <c r="J195" t="s">
        <v>18</v>
      </c>
      <c r="K195" t="s">
        <v>19</v>
      </c>
      <c r="L195" t="str">
        <f>_xlfn.XLOOKUP(C195, Table2[Species],Table2[Genus], "Code Not Found")</f>
        <v>Acer</v>
      </c>
      <c r="M195" t="str">
        <f>_xlfn.XLOOKUP(C195, Table2[Species],Table2[Sp. Name], "Code Not Found")</f>
        <v>saccharum</v>
      </c>
      <c r="N195" t="str">
        <f>_xlfn.XLOOKUP(C195,Table2[Species],Table2[Family],"Code Not Found")</f>
        <v>Sapindaceae</v>
      </c>
      <c r="O195" t="str" cm="1">
        <f t="array" ref="O195">_xlfn.IFS(F195="","",F195&lt;=5,"0 to 5",F195&lt;=10,"5.1 to 10",F195&lt;=20,"10 to 20", F195&lt;= 40, "20 to 40", F195 &lt;= 50, "40 to 50", F195 &gt; 50, "&gt;50" )</f>
        <v>0 to 5</v>
      </c>
    </row>
    <row r="196" spans="1:15" ht="14.4" x14ac:dyDescent="0.3">
      <c r="A196" t="s">
        <v>15</v>
      </c>
      <c r="B196" s="1">
        <v>46164</v>
      </c>
      <c r="C196" t="s">
        <v>16</v>
      </c>
      <c r="D196">
        <v>190</v>
      </c>
      <c r="E196">
        <v>1</v>
      </c>
      <c r="F196">
        <v>2.7</v>
      </c>
      <c r="G196" t="s">
        <v>21</v>
      </c>
      <c r="I196" t="str">
        <f t="shared" si="3"/>
        <v>190_1</v>
      </c>
      <c r="J196" t="s">
        <v>18</v>
      </c>
      <c r="K196" t="s">
        <v>19</v>
      </c>
      <c r="L196" t="str">
        <f>_xlfn.XLOOKUP(C196, Table2[Species],Table2[Genus], "Code Not Found")</f>
        <v>Acer</v>
      </c>
      <c r="M196" t="str">
        <f>_xlfn.XLOOKUP(C196, Table2[Species],Table2[Sp. Name], "Code Not Found")</f>
        <v>saccharum</v>
      </c>
      <c r="N196" t="str">
        <f>_xlfn.XLOOKUP(C196,Table2[Species],Table2[Family],"Code Not Found")</f>
        <v>Sapindaceae</v>
      </c>
      <c r="O196" t="str" cm="1">
        <f t="array" ref="O196">_xlfn.IFS(F196="","",F196&lt;=5,"0 to 5",F196&lt;=10,"5.1 to 10",F196&lt;=20,"10 to 20", F196&lt;= 40, "20 to 40", F196 &lt;= 50, "40 to 50", F196 &gt; 50, "&gt;50" )</f>
        <v>0 to 5</v>
      </c>
    </row>
    <row r="197" spans="1:15" ht="14.4" x14ac:dyDescent="0.3">
      <c r="A197" t="s">
        <v>15</v>
      </c>
      <c r="B197" s="1">
        <v>46164</v>
      </c>
      <c r="C197" t="s">
        <v>16</v>
      </c>
      <c r="D197">
        <v>191</v>
      </c>
      <c r="E197">
        <v>1</v>
      </c>
      <c r="F197">
        <v>3.1</v>
      </c>
      <c r="G197" t="s">
        <v>21</v>
      </c>
      <c r="I197" t="str">
        <f t="shared" si="3"/>
        <v>191_1</v>
      </c>
      <c r="J197" t="s">
        <v>18</v>
      </c>
      <c r="K197" t="s">
        <v>19</v>
      </c>
      <c r="L197" t="str">
        <f>_xlfn.XLOOKUP(C197, Table2[Species],Table2[Genus], "Code Not Found")</f>
        <v>Acer</v>
      </c>
      <c r="M197" t="str">
        <f>_xlfn.XLOOKUP(C197, Table2[Species],Table2[Sp. Name], "Code Not Found")</f>
        <v>saccharum</v>
      </c>
      <c r="N197" t="str">
        <f>_xlfn.XLOOKUP(C197,Table2[Species],Table2[Family],"Code Not Found")</f>
        <v>Sapindaceae</v>
      </c>
      <c r="O197" t="str" cm="1">
        <f t="array" ref="O197">_xlfn.IFS(F197="","",F197&lt;=5,"0 to 5",F197&lt;=10,"5.1 to 10",F197&lt;=20,"10 to 20", F197&lt;= 40, "20 to 40", F197 &lt;= 50, "40 to 50", F197 &gt; 50, "&gt;50" )</f>
        <v>0 to 5</v>
      </c>
    </row>
    <row r="198" spans="1:15" ht="14.4" x14ac:dyDescent="0.3">
      <c r="A198" t="s">
        <v>15</v>
      </c>
      <c r="B198" s="1">
        <v>46164</v>
      </c>
      <c r="C198" t="s">
        <v>16</v>
      </c>
      <c r="D198">
        <v>192</v>
      </c>
      <c r="E198">
        <v>1</v>
      </c>
      <c r="F198">
        <v>4.0999999999999996</v>
      </c>
      <c r="G198" t="s">
        <v>21</v>
      </c>
      <c r="H198" t="s">
        <v>85</v>
      </c>
      <c r="I198" t="str">
        <f t="shared" si="3"/>
        <v>192_1</v>
      </c>
      <c r="J198" t="s">
        <v>18</v>
      </c>
      <c r="K198" t="s">
        <v>19</v>
      </c>
      <c r="L198" t="str">
        <f>_xlfn.XLOOKUP(C198, Table2[Species],Table2[Genus], "Code Not Found")</f>
        <v>Acer</v>
      </c>
      <c r="M198" t="str">
        <f>_xlfn.XLOOKUP(C198, Table2[Species],Table2[Sp. Name], "Code Not Found")</f>
        <v>saccharum</v>
      </c>
      <c r="N198" t="str">
        <f>_xlfn.XLOOKUP(C198,Table2[Species],Table2[Family],"Code Not Found")</f>
        <v>Sapindaceae</v>
      </c>
      <c r="O198" t="str" cm="1">
        <f t="array" ref="O198">_xlfn.IFS(F198="","",F198&lt;=5,"0 to 5",F198&lt;=10,"5.1 to 10",F198&lt;=20,"10 to 20", F198&lt;= 40, "20 to 40", F198 &lt;= 50, "40 to 50", F198 &gt; 50, "&gt;50" )</f>
        <v>0 to 5</v>
      </c>
    </row>
    <row r="199" spans="1:15" ht="14.4" x14ac:dyDescent="0.3">
      <c r="A199" t="s">
        <v>15</v>
      </c>
      <c r="B199" s="1">
        <v>46164</v>
      </c>
      <c r="C199" t="s">
        <v>16</v>
      </c>
      <c r="D199">
        <v>193</v>
      </c>
      <c r="E199">
        <v>1</v>
      </c>
      <c r="F199">
        <v>3.8</v>
      </c>
      <c r="G199" t="s">
        <v>17</v>
      </c>
      <c r="I199" t="str">
        <f t="shared" si="3"/>
        <v>193_1</v>
      </c>
      <c r="J199" t="s">
        <v>18</v>
      </c>
      <c r="K199" t="s">
        <v>19</v>
      </c>
      <c r="L199" t="str">
        <f>_xlfn.XLOOKUP(C199, Table2[Species],Table2[Genus], "Code Not Found")</f>
        <v>Acer</v>
      </c>
      <c r="M199" t="str">
        <f>_xlfn.XLOOKUP(C199, Table2[Species],Table2[Sp. Name], "Code Not Found")</f>
        <v>saccharum</v>
      </c>
      <c r="N199" t="str">
        <f>_xlfn.XLOOKUP(C199,Table2[Species],Table2[Family],"Code Not Found")</f>
        <v>Sapindaceae</v>
      </c>
      <c r="O199" t="str" cm="1">
        <f t="array" ref="O199">_xlfn.IFS(F199="","",F199&lt;=5,"0 to 5",F199&lt;=10,"5.1 to 10",F199&lt;=20,"10 to 20", F199&lt;= 40, "20 to 40", F199 &lt;= 50, "40 to 50", F199 &gt; 50, "&gt;50" )</f>
        <v>0 to 5</v>
      </c>
    </row>
    <row r="200" spans="1:15" ht="14.4" x14ac:dyDescent="0.3">
      <c r="A200" t="s">
        <v>15</v>
      </c>
      <c r="B200" s="1">
        <v>46164</v>
      </c>
      <c r="C200" t="s">
        <v>16</v>
      </c>
      <c r="D200">
        <v>194</v>
      </c>
      <c r="E200">
        <v>1</v>
      </c>
      <c r="F200">
        <v>2.1</v>
      </c>
      <c r="G200" t="s">
        <v>17</v>
      </c>
      <c r="I200" t="str">
        <f t="shared" si="3"/>
        <v>194_1</v>
      </c>
      <c r="J200" t="s">
        <v>18</v>
      </c>
      <c r="K200" t="s">
        <v>19</v>
      </c>
      <c r="L200" t="str">
        <f>_xlfn.XLOOKUP(C200, Table2[Species],Table2[Genus], "Code Not Found")</f>
        <v>Acer</v>
      </c>
      <c r="M200" t="str">
        <f>_xlfn.XLOOKUP(C200, Table2[Species],Table2[Sp. Name], "Code Not Found")</f>
        <v>saccharum</v>
      </c>
      <c r="N200" t="str">
        <f>_xlfn.XLOOKUP(C200,Table2[Species],Table2[Family],"Code Not Found")</f>
        <v>Sapindaceae</v>
      </c>
      <c r="O200" t="str" cm="1">
        <f t="array" ref="O200">_xlfn.IFS(F200="","",F200&lt;=5,"0 to 5",F200&lt;=10,"5.1 to 10",F200&lt;=20,"10 to 20", F200&lt;= 40, "20 to 40", F200 &lt;= 50, "40 to 50", F200 &gt; 50, "&gt;50" )</f>
        <v>0 to 5</v>
      </c>
    </row>
    <row r="201" spans="1:15" ht="14.4" x14ac:dyDescent="0.3">
      <c r="A201" t="s">
        <v>15</v>
      </c>
      <c r="B201" s="1">
        <v>46164</v>
      </c>
      <c r="C201" t="s">
        <v>16</v>
      </c>
      <c r="D201">
        <v>195</v>
      </c>
      <c r="E201">
        <v>1</v>
      </c>
      <c r="F201">
        <v>1.7</v>
      </c>
      <c r="G201" t="s">
        <v>21</v>
      </c>
      <c r="I201" t="str">
        <f t="shared" si="3"/>
        <v>195_1</v>
      </c>
      <c r="J201" t="s">
        <v>18</v>
      </c>
      <c r="K201" t="s">
        <v>19</v>
      </c>
      <c r="L201" t="str">
        <f>_xlfn.XLOOKUP(C201, Table2[Species],Table2[Genus], "Code Not Found")</f>
        <v>Acer</v>
      </c>
      <c r="M201" t="str">
        <f>_xlfn.XLOOKUP(C201, Table2[Species],Table2[Sp. Name], "Code Not Found")</f>
        <v>saccharum</v>
      </c>
      <c r="N201" t="str">
        <f>_xlfn.XLOOKUP(C201,Table2[Species],Table2[Family],"Code Not Found")</f>
        <v>Sapindaceae</v>
      </c>
      <c r="O201" t="str" cm="1">
        <f t="array" ref="O201">_xlfn.IFS(F201="","",F201&lt;=5,"0 to 5",F201&lt;=10,"5.1 to 10",F201&lt;=20,"10 to 20", F201&lt;= 40, "20 to 40", F201 &lt;= 50, "40 to 50", F201 &gt; 50, "&gt;50" )</f>
        <v>0 to 5</v>
      </c>
    </row>
    <row r="202" spans="1:15" ht="14.4" x14ac:dyDescent="0.3">
      <c r="A202" t="s">
        <v>15</v>
      </c>
      <c r="B202" s="1">
        <v>46164</v>
      </c>
      <c r="C202" t="s">
        <v>16</v>
      </c>
      <c r="D202">
        <v>196</v>
      </c>
      <c r="E202">
        <v>1</v>
      </c>
      <c r="F202">
        <v>2.7</v>
      </c>
      <c r="G202" t="s">
        <v>21</v>
      </c>
      <c r="I202" t="str">
        <f t="shared" si="3"/>
        <v>196_1</v>
      </c>
      <c r="J202" t="s">
        <v>18</v>
      </c>
      <c r="K202" t="s">
        <v>19</v>
      </c>
      <c r="L202" t="str">
        <f>_xlfn.XLOOKUP(C202, Table2[Species],Table2[Genus], "Code Not Found")</f>
        <v>Acer</v>
      </c>
      <c r="M202" t="str">
        <f>_xlfn.XLOOKUP(C202, Table2[Species],Table2[Sp. Name], "Code Not Found")</f>
        <v>saccharum</v>
      </c>
      <c r="N202" t="str">
        <f>_xlfn.XLOOKUP(C202,Table2[Species],Table2[Family],"Code Not Found")</f>
        <v>Sapindaceae</v>
      </c>
      <c r="O202" t="str" cm="1">
        <f t="array" ref="O202">_xlfn.IFS(F202="","",F202&lt;=5,"0 to 5",F202&lt;=10,"5.1 to 10",F202&lt;=20,"10 to 20", F202&lt;= 40, "20 to 40", F202 &lt;= 50, "40 to 50", F202 &gt; 50, "&gt;50" )</f>
        <v>0 to 5</v>
      </c>
    </row>
    <row r="203" spans="1:15" ht="14.4" x14ac:dyDescent="0.3">
      <c r="A203" t="s">
        <v>15</v>
      </c>
      <c r="B203" s="1">
        <v>46164</v>
      </c>
      <c r="C203" t="s">
        <v>22</v>
      </c>
      <c r="D203">
        <v>197</v>
      </c>
      <c r="E203">
        <v>1</v>
      </c>
      <c r="F203">
        <v>27.8</v>
      </c>
      <c r="G203" t="s">
        <v>56</v>
      </c>
      <c r="H203" t="s">
        <v>86</v>
      </c>
      <c r="I203" t="str">
        <f t="shared" si="3"/>
        <v>197_1</v>
      </c>
      <c r="J203" t="s">
        <v>18</v>
      </c>
      <c r="K203" t="s">
        <v>19</v>
      </c>
      <c r="L203" t="str">
        <f>_xlfn.XLOOKUP(C203, Table2[Species],Table2[Genus], "Code Not Found")</f>
        <v>Acer</v>
      </c>
      <c r="M203" t="str">
        <f>_xlfn.XLOOKUP(C203, Table2[Species],Table2[Sp. Name], "Code Not Found")</f>
        <v>rubrum</v>
      </c>
      <c r="N203" t="str">
        <f>_xlfn.XLOOKUP(C203,Table2[Species],Table2[Family],"Code Not Found")</f>
        <v>Sapindaceae</v>
      </c>
      <c r="O203" t="str" cm="1">
        <f t="array" ref="O203">_xlfn.IFS(F203="","",F203&lt;=5,"0 to 5",F203&lt;=10,"5.1 to 10",F203&lt;=20,"10 to 20", F203&lt;= 40, "20 to 40", F203 &lt;= 50, "40 to 50", F203 &gt; 50, "&gt;50" )</f>
        <v>20 to 40</v>
      </c>
    </row>
    <row r="204" spans="1:15" ht="14.4" x14ac:dyDescent="0.3">
      <c r="A204" t="s">
        <v>15</v>
      </c>
      <c r="B204" s="1">
        <v>46164</v>
      </c>
      <c r="C204" t="s">
        <v>16</v>
      </c>
      <c r="D204">
        <v>198</v>
      </c>
      <c r="E204">
        <v>1</v>
      </c>
      <c r="F204">
        <v>2.6</v>
      </c>
      <c r="G204" t="s">
        <v>21</v>
      </c>
      <c r="I204" t="str">
        <f t="shared" si="3"/>
        <v>198_1</v>
      </c>
      <c r="J204" t="s">
        <v>18</v>
      </c>
      <c r="K204" t="s">
        <v>19</v>
      </c>
      <c r="L204" t="str">
        <f>_xlfn.XLOOKUP(C204, Table2[Species],Table2[Genus], "Code Not Found")</f>
        <v>Acer</v>
      </c>
      <c r="M204" t="str">
        <f>_xlfn.XLOOKUP(C204, Table2[Species],Table2[Sp. Name], "Code Not Found")</f>
        <v>saccharum</v>
      </c>
      <c r="N204" t="str">
        <f>_xlfn.XLOOKUP(C204,Table2[Species],Table2[Family],"Code Not Found")</f>
        <v>Sapindaceae</v>
      </c>
      <c r="O204" t="str" cm="1">
        <f t="array" ref="O204">_xlfn.IFS(F204="","",F204&lt;=5,"0 to 5",F204&lt;=10,"5.1 to 10",F204&lt;=20,"10 to 20", F204&lt;= 40, "20 to 40", F204 &lt;= 50, "40 to 50", F204 &gt; 50, "&gt;50" )</f>
        <v>0 to 5</v>
      </c>
    </row>
    <row r="205" spans="1:15" ht="14.4" x14ac:dyDescent="0.3">
      <c r="A205" t="s">
        <v>15</v>
      </c>
      <c r="B205" s="1">
        <v>46164</v>
      </c>
      <c r="C205" t="s">
        <v>29</v>
      </c>
      <c r="D205">
        <v>199</v>
      </c>
      <c r="E205">
        <v>1</v>
      </c>
      <c r="F205">
        <v>63.8</v>
      </c>
      <c r="G205" t="s">
        <v>17</v>
      </c>
      <c r="H205" t="s">
        <v>87</v>
      </c>
      <c r="I205" t="str">
        <f t="shared" si="3"/>
        <v>199_1</v>
      </c>
      <c r="J205" t="s">
        <v>18</v>
      </c>
      <c r="K205" t="s">
        <v>19</v>
      </c>
      <c r="L205" t="str">
        <f>_xlfn.XLOOKUP(C205, Table2[Species],Table2[Genus], "Code Not Found")</f>
        <v>Sassafras</v>
      </c>
      <c r="M205" t="str">
        <f>_xlfn.XLOOKUP(C205, Table2[Species],Table2[Sp. Name], "Code Not Found")</f>
        <v>albidum</v>
      </c>
      <c r="N205" t="str">
        <f>_xlfn.XLOOKUP(C205,Table2[Species],Table2[Family],"Code Not Found")</f>
        <v>Lauraceae</v>
      </c>
      <c r="O205" t="str" cm="1">
        <f t="array" ref="O205">_xlfn.IFS(F205="","",F205&lt;=5,"0 to 5",F205&lt;=10,"5.1 to 10",F205&lt;=20,"10 to 20", F205&lt;= 40, "20 to 40", F205 &lt;= 50, "40 to 50", F205 &gt; 50, "&gt;50" )</f>
        <v>&gt;50</v>
      </c>
    </row>
    <row r="206" spans="1:15" ht="14.4" x14ac:dyDescent="0.3">
      <c r="A206" t="s">
        <v>15</v>
      </c>
      <c r="B206" s="1">
        <v>46164</v>
      </c>
      <c r="C206" t="s">
        <v>16</v>
      </c>
      <c r="D206">
        <v>200</v>
      </c>
      <c r="E206">
        <v>1</v>
      </c>
      <c r="F206">
        <v>4.2</v>
      </c>
      <c r="G206" t="s">
        <v>88</v>
      </c>
      <c r="H206" t="s">
        <v>89</v>
      </c>
      <c r="I206" t="str">
        <f t="shared" si="3"/>
        <v>200_1</v>
      </c>
      <c r="J206" t="s">
        <v>18</v>
      </c>
      <c r="K206" t="s">
        <v>19</v>
      </c>
      <c r="L206" t="str">
        <f>_xlfn.XLOOKUP(C206, Table2[Species],Table2[Genus], "Code Not Found")</f>
        <v>Acer</v>
      </c>
      <c r="M206" t="str">
        <f>_xlfn.XLOOKUP(C206, Table2[Species],Table2[Sp. Name], "Code Not Found")</f>
        <v>saccharum</v>
      </c>
      <c r="N206" t="str">
        <f>_xlfn.XLOOKUP(C206,Table2[Species],Table2[Family],"Code Not Found")</f>
        <v>Sapindaceae</v>
      </c>
      <c r="O206" t="str" cm="1">
        <f t="array" ref="O206">_xlfn.IFS(F206="","",F206&lt;=5,"0 to 5",F206&lt;=10,"5.1 to 10",F206&lt;=20,"10 to 20", F206&lt;= 40, "20 to 40", F206 &lt;= 50, "40 to 50", F206 &gt; 50, "&gt;50" )</f>
        <v>0 to 5</v>
      </c>
    </row>
    <row r="207" spans="1:15" ht="14.4" x14ac:dyDescent="0.3">
      <c r="A207" t="s">
        <v>15</v>
      </c>
      <c r="B207" s="1">
        <v>46164</v>
      </c>
      <c r="C207" t="s">
        <v>16</v>
      </c>
      <c r="D207">
        <v>201</v>
      </c>
      <c r="E207">
        <v>1</v>
      </c>
      <c r="F207">
        <v>3.8</v>
      </c>
      <c r="G207" t="s">
        <v>21</v>
      </c>
      <c r="I207" t="str">
        <f t="shared" si="3"/>
        <v>201_1</v>
      </c>
      <c r="J207" t="s">
        <v>18</v>
      </c>
      <c r="K207" t="s">
        <v>19</v>
      </c>
      <c r="L207" t="str">
        <f>_xlfn.XLOOKUP(C207, Table2[Species],Table2[Genus], "Code Not Found")</f>
        <v>Acer</v>
      </c>
      <c r="M207" t="str">
        <f>_xlfn.XLOOKUP(C207, Table2[Species],Table2[Sp. Name], "Code Not Found")</f>
        <v>saccharum</v>
      </c>
      <c r="N207" t="str">
        <f>_xlfn.XLOOKUP(C207,Table2[Species],Table2[Family],"Code Not Found")</f>
        <v>Sapindaceae</v>
      </c>
      <c r="O207" t="str" cm="1">
        <f t="array" ref="O207">_xlfn.IFS(F207="","",F207&lt;=5,"0 to 5",F207&lt;=10,"5.1 to 10",F207&lt;=20,"10 to 20", F207&lt;= 40, "20 to 40", F207 &lt;= 50, "40 to 50", F207 &gt; 50, "&gt;50" )</f>
        <v>0 to 5</v>
      </c>
    </row>
    <row r="208" spans="1:15" ht="14.4" x14ac:dyDescent="0.3">
      <c r="A208" t="s">
        <v>15</v>
      </c>
      <c r="B208" s="1">
        <v>46164</v>
      </c>
      <c r="C208" t="s">
        <v>16</v>
      </c>
      <c r="D208">
        <v>202</v>
      </c>
      <c r="E208">
        <v>1</v>
      </c>
      <c r="F208">
        <v>3.2</v>
      </c>
      <c r="G208" t="s">
        <v>21</v>
      </c>
      <c r="I208" t="str">
        <f t="shared" si="3"/>
        <v>202_1</v>
      </c>
      <c r="J208" t="s">
        <v>18</v>
      </c>
      <c r="K208" t="s">
        <v>19</v>
      </c>
      <c r="L208" t="str">
        <f>_xlfn.XLOOKUP(C208, Table2[Species],Table2[Genus], "Code Not Found")</f>
        <v>Acer</v>
      </c>
      <c r="M208" t="str">
        <f>_xlfn.XLOOKUP(C208, Table2[Species],Table2[Sp. Name], "Code Not Found")</f>
        <v>saccharum</v>
      </c>
      <c r="N208" t="str">
        <f>_xlfn.XLOOKUP(C208,Table2[Species],Table2[Family],"Code Not Found")</f>
        <v>Sapindaceae</v>
      </c>
      <c r="O208" t="str" cm="1">
        <f t="array" ref="O208">_xlfn.IFS(F208="","",F208&lt;=5,"0 to 5",F208&lt;=10,"5.1 to 10",F208&lt;=20,"10 to 20", F208&lt;= 40, "20 to 40", F208 &lt;= 50, "40 to 50", F208 &gt; 50, "&gt;50" )</f>
        <v>0 to 5</v>
      </c>
    </row>
    <row r="209" spans="1:15" ht="14.4" x14ac:dyDescent="0.3">
      <c r="A209" t="s">
        <v>15</v>
      </c>
      <c r="B209" s="1">
        <v>46164</v>
      </c>
      <c r="C209" t="s">
        <v>16</v>
      </c>
      <c r="D209">
        <v>203</v>
      </c>
      <c r="E209">
        <v>1</v>
      </c>
      <c r="F209">
        <v>2.8</v>
      </c>
      <c r="G209" t="s">
        <v>21</v>
      </c>
      <c r="I209" t="str">
        <f t="shared" si="3"/>
        <v>203_1</v>
      </c>
      <c r="J209" t="s">
        <v>18</v>
      </c>
      <c r="K209" t="s">
        <v>19</v>
      </c>
      <c r="L209" t="str">
        <f>_xlfn.XLOOKUP(C209, Table2[Species],Table2[Genus], "Code Not Found")</f>
        <v>Acer</v>
      </c>
      <c r="M209" t="str">
        <f>_xlfn.XLOOKUP(C209, Table2[Species],Table2[Sp. Name], "Code Not Found")</f>
        <v>saccharum</v>
      </c>
      <c r="N209" t="str">
        <f>_xlfn.XLOOKUP(C209,Table2[Species],Table2[Family],"Code Not Found")</f>
        <v>Sapindaceae</v>
      </c>
      <c r="O209" t="str" cm="1">
        <f t="array" ref="O209">_xlfn.IFS(F209="","",F209&lt;=5,"0 to 5",F209&lt;=10,"5.1 to 10",F209&lt;=20,"10 to 20", F209&lt;= 40, "20 to 40", F209 &lt;= 50, "40 to 50", F209 &gt; 50, "&gt;50" )</f>
        <v>0 to 5</v>
      </c>
    </row>
    <row r="210" spans="1:15" ht="14.4" x14ac:dyDescent="0.3">
      <c r="A210" t="s">
        <v>15</v>
      </c>
      <c r="B210" s="1">
        <v>46164</v>
      </c>
      <c r="C210" t="s">
        <v>16</v>
      </c>
      <c r="D210">
        <v>204</v>
      </c>
      <c r="E210">
        <v>1</v>
      </c>
      <c r="F210">
        <v>23.4</v>
      </c>
      <c r="G210" t="s">
        <v>21</v>
      </c>
      <c r="I210" t="str">
        <f t="shared" si="3"/>
        <v>204_1</v>
      </c>
      <c r="J210" t="s">
        <v>18</v>
      </c>
      <c r="K210" t="s">
        <v>19</v>
      </c>
      <c r="L210" t="str">
        <f>_xlfn.XLOOKUP(C210, Table2[Species],Table2[Genus], "Code Not Found")</f>
        <v>Acer</v>
      </c>
      <c r="M210" t="str">
        <f>_xlfn.XLOOKUP(C210, Table2[Species],Table2[Sp. Name], "Code Not Found")</f>
        <v>saccharum</v>
      </c>
      <c r="N210" t="str">
        <f>_xlfn.XLOOKUP(C210,Table2[Species],Table2[Family],"Code Not Found")</f>
        <v>Sapindaceae</v>
      </c>
      <c r="O210" t="str" cm="1">
        <f t="array" ref="O210">_xlfn.IFS(F210="","",F210&lt;=5,"0 to 5",F210&lt;=10,"5.1 to 10",F210&lt;=20,"10 to 20", F210&lt;= 40, "20 to 40", F210 &lt;= 50, "40 to 50", F210 &gt; 50, "&gt;50" )</f>
        <v>20 to 40</v>
      </c>
    </row>
    <row r="211" spans="1:15" ht="14.4" x14ac:dyDescent="0.3">
      <c r="A211" t="s">
        <v>15</v>
      </c>
      <c r="B211" s="1">
        <v>46164</v>
      </c>
      <c r="C211" t="s">
        <v>16</v>
      </c>
      <c r="D211">
        <v>205</v>
      </c>
      <c r="E211">
        <v>1</v>
      </c>
      <c r="F211">
        <v>1.9</v>
      </c>
      <c r="G211" t="s">
        <v>17</v>
      </c>
      <c r="I211" t="str">
        <f t="shared" si="3"/>
        <v>205_1</v>
      </c>
      <c r="J211" t="s">
        <v>18</v>
      </c>
      <c r="K211" t="s">
        <v>19</v>
      </c>
      <c r="L211" t="str">
        <f>_xlfn.XLOOKUP(C211, Table2[Species],Table2[Genus], "Code Not Found")</f>
        <v>Acer</v>
      </c>
      <c r="M211" t="str">
        <f>_xlfn.XLOOKUP(C211, Table2[Species],Table2[Sp. Name], "Code Not Found")</f>
        <v>saccharum</v>
      </c>
      <c r="N211" t="str">
        <f>_xlfn.XLOOKUP(C211,Table2[Species],Table2[Family],"Code Not Found")</f>
        <v>Sapindaceae</v>
      </c>
      <c r="O211" t="str" cm="1">
        <f t="array" ref="O211">_xlfn.IFS(F211="","",F211&lt;=5,"0 to 5",F211&lt;=10,"5.1 to 10",F211&lt;=20,"10 to 20", F211&lt;= 40, "20 to 40", F211 &lt;= 50, "40 to 50", F211 &gt; 50, "&gt;50" )</f>
        <v>0 to 5</v>
      </c>
    </row>
    <row r="212" spans="1:15" ht="14.4" x14ac:dyDescent="0.3">
      <c r="A212" t="s">
        <v>15</v>
      </c>
      <c r="B212" s="1">
        <v>46164</v>
      </c>
      <c r="C212" t="s">
        <v>16</v>
      </c>
      <c r="D212">
        <v>206</v>
      </c>
      <c r="E212">
        <v>1</v>
      </c>
      <c r="F212">
        <v>2.8</v>
      </c>
      <c r="G212" t="s">
        <v>21</v>
      </c>
      <c r="I212" t="str">
        <f t="shared" si="3"/>
        <v>206_1</v>
      </c>
      <c r="J212" t="s">
        <v>18</v>
      </c>
      <c r="K212" t="s">
        <v>19</v>
      </c>
      <c r="L212" t="str">
        <f>_xlfn.XLOOKUP(C212, Table2[Species],Table2[Genus], "Code Not Found")</f>
        <v>Acer</v>
      </c>
      <c r="M212" t="str">
        <f>_xlfn.XLOOKUP(C212, Table2[Species],Table2[Sp. Name], "Code Not Found")</f>
        <v>saccharum</v>
      </c>
      <c r="N212" t="str">
        <f>_xlfn.XLOOKUP(C212,Table2[Species],Table2[Family],"Code Not Found")</f>
        <v>Sapindaceae</v>
      </c>
      <c r="O212" t="str" cm="1">
        <f t="array" ref="O212">_xlfn.IFS(F212="","",F212&lt;=5,"0 to 5",F212&lt;=10,"5.1 to 10",F212&lt;=20,"10 to 20", F212&lt;= 40, "20 to 40", F212 &lt;= 50, "40 to 50", F212 &gt; 50, "&gt;50" )</f>
        <v>0 to 5</v>
      </c>
    </row>
    <row r="213" spans="1:15" ht="14.4" x14ac:dyDescent="0.3">
      <c r="A213" t="s">
        <v>15</v>
      </c>
      <c r="B213" s="1">
        <v>46164</v>
      </c>
      <c r="C213" t="s">
        <v>16</v>
      </c>
      <c r="D213">
        <v>207</v>
      </c>
      <c r="E213">
        <v>1</v>
      </c>
      <c r="F213">
        <v>1.1000000000000001</v>
      </c>
      <c r="G213" t="s">
        <v>90</v>
      </c>
      <c r="H213" t="s">
        <v>48</v>
      </c>
      <c r="I213" t="str">
        <f t="shared" si="3"/>
        <v>207_1</v>
      </c>
      <c r="J213" t="s">
        <v>18</v>
      </c>
      <c r="K213" t="s">
        <v>19</v>
      </c>
      <c r="L213" t="str">
        <f>_xlfn.XLOOKUP(C213, Table2[Species],Table2[Genus], "Code Not Found")</f>
        <v>Acer</v>
      </c>
      <c r="M213" t="str">
        <f>_xlfn.XLOOKUP(C213, Table2[Species],Table2[Sp. Name], "Code Not Found")</f>
        <v>saccharum</v>
      </c>
      <c r="N213" t="str">
        <f>_xlfn.XLOOKUP(C213,Table2[Species],Table2[Family],"Code Not Found")</f>
        <v>Sapindaceae</v>
      </c>
      <c r="O213" t="str" cm="1">
        <f t="array" ref="O213">_xlfn.IFS(F213="","",F213&lt;=5,"0 to 5",F213&lt;=10,"5.1 to 10",F213&lt;=20,"10 to 20", F213&lt;= 40, "20 to 40", F213 &lt;= 50, "40 to 50", F213 &gt; 50, "&gt;50" )</f>
        <v>0 to 5</v>
      </c>
    </row>
    <row r="214" spans="1:15" ht="14.4" x14ac:dyDescent="0.3">
      <c r="A214" t="s">
        <v>15</v>
      </c>
      <c r="B214" s="1">
        <v>46164</v>
      </c>
      <c r="C214" t="s">
        <v>16</v>
      </c>
      <c r="D214">
        <v>207</v>
      </c>
      <c r="E214">
        <v>2</v>
      </c>
      <c r="F214">
        <v>1</v>
      </c>
      <c r="G214" t="s">
        <v>90</v>
      </c>
      <c r="H214" t="s">
        <v>43</v>
      </c>
      <c r="I214" t="str">
        <f t="shared" si="3"/>
        <v>207_2</v>
      </c>
      <c r="J214" t="s">
        <v>18</v>
      </c>
      <c r="K214" t="s">
        <v>19</v>
      </c>
      <c r="L214" t="str">
        <f>_xlfn.XLOOKUP(C214, Table2[Species],Table2[Genus], "Code Not Found")</f>
        <v>Acer</v>
      </c>
      <c r="M214" t="str">
        <f>_xlfn.XLOOKUP(C214, Table2[Species],Table2[Sp. Name], "Code Not Found")</f>
        <v>saccharum</v>
      </c>
      <c r="N214" t="str">
        <f>_xlfn.XLOOKUP(C214,Table2[Species],Table2[Family],"Code Not Found")</f>
        <v>Sapindaceae</v>
      </c>
      <c r="O214" t="str" cm="1">
        <f t="array" ref="O214">_xlfn.IFS(F214="","",F214&lt;=5,"0 to 5",F214&lt;=10,"5.1 to 10",F214&lt;=20,"10 to 20", F214&lt;= 40, "20 to 40", F214 &lt;= 50, "40 to 50", F214 &gt; 50, "&gt;50" )</f>
        <v>0 to 5</v>
      </c>
    </row>
    <row r="215" spans="1:15" ht="14.4" x14ac:dyDescent="0.3">
      <c r="A215" t="s">
        <v>15</v>
      </c>
      <c r="B215" s="1">
        <v>46164</v>
      </c>
      <c r="C215" t="s">
        <v>16</v>
      </c>
      <c r="D215">
        <v>208</v>
      </c>
      <c r="E215">
        <v>1</v>
      </c>
      <c r="F215">
        <v>1.3</v>
      </c>
      <c r="G215" t="s">
        <v>17</v>
      </c>
      <c r="I215" t="str">
        <f t="shared" si="3"/>
        <v>208_1</v>
      </c>
      <c r="J215" t="s">
        <v>18</v>
      </c>
      <c r="K215" t="s">
        <v>19</v>
      </c>
      <c r="L215" t="str">
        <f>_xlfn.XLOOKUP(C215, Table2[Species],Table2[Genus], "Code Not Found")</f>
        <v>Acer</v>
      </c>
      <c r="M215" t="str">
        <f>_xlfn.XLOOKUP(C215, Table2[Species],Table2[Sp. Name], "Code Not Found")</f>
        <v>saccharum</v>
      </c>
      <c r="N215" t="str">
        <f>_xlfn.XLOOKUP(C215,Table2[Species],Table2[Family],"Code Not Found")</f>
        <v>Sapindaceae</v>
      </c>
      <c r="O215" t="str" cm="1">
        <f t="array" ref="O215">_xlfn.IFS(F215="","",F215&lt;=5,"0 to 5",F215&lt;=10,"5.1 to 10",F215&lt;=20,"10 to 20", F215&lt;= 40, "20 to 40", F215 &lt;= 50, "40 to 50", F215 &gt; 50, "&gt;50" )</f>
        <v>0 to 5</v>
      </c>
    </row>
    <row r="216" spans="1:15" ht="14.4" x14ac:dyDescent="0.3">
      <c r="A216" t="s">
        <v>15</v>
      </c>
      <c r="B216" s="1">
        <v>46164</v>
      </c>
      <c r="C216" t="s">
        <v>16</v>
      </c>
      <c r="D216">
        <v>209</v>
      </c>
      <c r="E216">
        <v>1</v>
      </c>
      <c r="F216">
        <v>1.5</v>
      </c>
      <c r="G216" t="s">
        <v>17</v>
      </c>
      <c r="I216" t="str">
        <f t="shared" si="3"/>
        <v>209_1</v>
      </c>
      <c r="J216" t="s">
        <v>18</v>
      </c>
      <c r="K216" t="s">
        <v>19</v>
      </c>
      <c r="L216" t="str">
        <f>_xlfn.XLOOKUP(C216, Table2[Species],Table2[Genus], "Code Not Found")</f>
        <v>Acer</v>
      </c>
      <c r="M216" t="str">
        <f>_xlfn.XLOOKUP(C216, Table2[Species],Table2[Sp. Name], "Code Not Found")</f>
        <v>saccharum</v>
      </c>
      <c r="N216" t="str">
        <f>_xlfn.XLOOKUP(C216,Table2[Species],Table2[Family],"Code Not Found")</f>
        <v>Sapindaceae</v>
      </c>
      <c r="O216" t="str" cm="1">
        <f t="array" ref="O216">_xlfn.IFS(F216="","",F216&lt;=5,"0 to 5",F216&lt;=10,"5.1 to 10",F216&lt;=20,"10 to 20", F216&lt;= 40, "20 to 40", F216 &lt;= 50, "40 to 50", F216 &gt; 50, "&gt;50" )</f>
        <v>0 to 5</v>
      </c>
    </row>
    <row r="217" spans="1:15" ht="14.4" x14ac:dyDescent="0.3">
      <c r="A217" t="s">
        <v>15</v>
      </c>
      <c r="B217" s="1">
        <v>46164</v>
      </c>
      <c r="C217" t="s">
        <v>16</v>
      </c>
      <c r="D217">
        <v>210</v>
      </c>
      <c r="E217">
        <v>1</v>
      </c>
      <c r="F217">
        <v>9.4</v>
      </c>
      <c r="G217" t="s">
        <v>51</v>
      </c>
      <c r="H217" t="s">
        <v>91</v>
      </c>
      <c r="I217" t="str">
        <f t="shared" si="3"/>
        <v>210_1</v>
      </c>
      <c r="J217" t="s">
        <v>18</v>
      </c>
      <c r="K217" t="s">
        <v>19</v>
      </c>
      <c r="L217" t="str">
        <f>_xlfn.XLOOKUP(C217, Table2[Species],Table2[Genus], "Code Not Found")</f>
        <v>Acer</v>
      </c>
      <c r="M217" t="str">
        <f>_xlfn.XLOOKUP(C217, Table2[Species],Table2[Sp. Name], "Code Not Found")</f>
        <v>saccharum</v>
      </c>
      <c r="N217" t="str">
        <f>_xlfn.XLOOKUP(C217,Table2[Species],Table2[Family],"Code Not Found")</f>
        <v>Sapindaceae</v>
      </c>
      <c r="O217" t="str" cm="1">
        <f t="array" ref="O217">_xlfn.IFS(F217="","",F217&lt;=5,"0 to 5",F217&lt;=10,"5.1 to 10",F217&lt;=20,"10 to 20", F217&lt;= 40, "20 to 40", F217 &lt;= 50, "40 to 50", F217 &gt; 50, "&gt;50" )</f>
        <v>5.1 to 10</v>
      </c>
    </row>
    <row r="218" spans="1:15" ht="14.4" x14ac:dyDescent="0.3">
      <c r="A218" t="s">
        <v>15</v>
      </c>
      <c r="B218" s="1">
        <v>46170</v>
      </c>
      <c r="C218" t="s">
        <v>22</v>
      </c>
      <c r="D218">
        <v>211</v>
      </c>
      <c r="E218">
        <v>1</v>
      </c>
      <c r="F218">
        <v>2.5</v>
      </c>
      <c r="G218" t="s">
        <v>57</v>
      </c>
      <c r="H218" t="s">
        <v>48</v>
      </c>
      <c r="I218" t="str">
        <f t="shared" si="3"/>
        <v>211_1</v>
      </c>
      <c r="J218" t="s">
        <v>18</v>
      </c>
      <c r="K218" t="s">
        <v>19</v>
      </c>
      <c r="L218" t="str">
        <f>_xlfn.XLOOKUP(C218, Table2[Species],Table2[Genus], "Code Not Found")</f>
        <v>Acer</v>
      </c>
      <c r="M218" t="str">
        <f>_xlfn.XLOOKUP(C218, Table2[Species],Table2[Sp. Name], "Code Not Found")</f>
        <v>rubrum</v>
      </c>
      <c r="N218" t="str">
        <f>_xlfn.XLOOKUP(C218,Table2[Species],Table2[Family],"Code Not Found")</f>
        <v>Sapindaceae</v>
      </c>
      <c r="O218" t="str" cm="1">
        <f t="array" ref="O218">_xlfn.IFS(F218="","",F218&lt;=5,"0 to 5",F218&lt;=10,"5.1 to 10",F218&lt;=20,"10 to 20", F218&lt;= 40, "20 to 40", F218 &lt;= 50, "40 to 50", F218 &gt; 50, "&gt;50" )</f>
        <v>0 to 5</v>
      </c>
    </row>
    <row r="219" spans="1:15" ht="14.4" x14ac:dyDescent="0.3">
      <c r="A219" t="s">
        <v>15</v>
      </c>
      <c r="B219" s="1">
        <v>46170</v>
      </c>
      <c r="C219" t="s">
        <v>16</v>
      </c>
      <c r="D219">
        <v>212</v>
      </c>
      <c r="E219">
        <v>1</v>
      </c>
      <c r="F219">
        <v>6.9</v>
      </c>
      <c r="G219" t="s">
        <v>32</v>
      </c>
      <c r="H219" t="s">
        <v>92</v>
      </c>
      <c r="I219" t="str">
        <f t="shared" si="3"/>
        <v>212_1</v>
      </c>
      <c r="J219" t="s">
        <v>18</v>
      </c>
      <c r="K219" t="s">
        <v>19</v>
      </c>
      <c r="L219" t="str">
        <f>_xlfn.XLOOKUP(C219, Table2[Species],Table2[Genus], "Code Not Found")</f>
        <v>Acer</v>
      </c>
      <c r="M219" t="str">
        <f>_xlfn.XLOOKUP(C219, Table2[Species],Table2[Sp. Name], "Code Not Found")</f>
        <v>saccharum</v>
      </c>
      <c r="N219" t="str">
        <f>_xlfn.XLOOKUP(C219,Table2[Species],Table2[Family],"Code Not Found")</f>
        <v>Sapindaceae</v>
      </c>
      <c r="O219" t="str" cm="1">
        <f t="array" ref="O219">_xlfn.IFS(F219="","",F219&lt;=5,"0 to 5",F219&lt;=10,"5.1 to 10",F219&lt;=20,"10 to 20", F219&lt;= 40, "20 to 40", F219 &lt;= 50, "40 to 50", F219 &gt; 50, "&gt;50" )</f>
        <v>5.1 to 10</v>
      </c>
    </row>
    <row r="220" spans="1:15" ht="14.4" x14ac:dyDescent="0.3">
      <c r="A220" t="s">
        <v>15</v>
      </c>
      <c r="B220" s="1">
        <v>46170</v>
      </c>
      <c r="C220" t="s">
        <v>16</v>
      </c>
      <c r="D220">
        <v>212</v>
      </c>
      <c r="E220">
        <v>2</v>
      </c>
      <c r="F220">
        <v>4.2</v>
      </c>
      <c r="G220" t="s">
        <v>93</v>
      </c>
      <c r="I220" t="str">
        <f t="shared" si="3"/>
        <v>212_2</v>
      </c>
      <c r="J220" t="s">
        <v>18</v>
      </c>
      <c r="K220" t="s">
        <v>19</v>
      </c>
      <c r="L220" t="str">
        <f>_xlfn.XLOOKUP(C220, Table2[Species],Table2[Genus], "Code Not Found")</f>
        <v>Acer</v>
      </c>
      <c r="M220" t="str">
        <f>_xlfn.XLOOKUP(C220, Table2[Species],Table2[Sp. Name], "Code Not Found")</f>
        <v>saccharum</v>
      </c>
      <c r="N220" t="str">
        <f>_xlfn.XLOOKUP(C220,Table2[Species],Table2[Family],"Code Not Found")</f>
        <v>Sapindaceae</v>
      </c>
      <c r="O220" t="str" cm="1">
        <f t="array" ref="O220">_xlfn.IFS(F220="","",F220&lt;=5,"0 to 5",F220&lt;=10,"5.1 to 10",F220&lt;=20,"10 to 20", F220&lt;= 40, "20 to 40", F220 &lt;= 50, "40 to 50", F220 &gt; 50, "&gt;50" )</f>
        <v>0 to 5</v>
      </c>
    </row>
    <row r="221" spans="1:15" ht="14.4" x14ac:dyDescent="0.3">
      <c r="A221" t="s">
        <v>15</v>
      </c>
      <c r="B221" s="1">
        <v>46170</v>
      </c>
      <c r="C221" t="s">
        <v>16</v>
      </c>
      <c r="D221">
        <v>213</v>
      </c>
      <c r="E221">
        <v>1</v>
      </c>
      <c r="F221">
        <v>6.3</v>
      </c>
      <c r="G221" t="s">
        <v>17</v>
      </c>
      <c r="I221" t="str">
        <f t="shared" si="3"/>
        <v>213_1</v>
      </c>
      <c r="J221" t="s">
        <v>18</v>
      </c>
      <c r="K221" t="s">
        <v>19</v>
      </c>
      <c r="L221" t="str">
        <f>_xlfn.XLOOKUP(C221, Table2[Species],Table2[Genus], "Code Not Found")</f>
        <v>Acer</v>
      </c>
      <c r="M221" t="str">
        <f>_xlfn.XLOOKUP(C221, Table2[Species],Table2[Sp. Name], "Code Not Found")</f>
        <v>saccharum</v>
      </c>
      <c r="N221" t="str">
        <f>_xlfn.XLOOKUP(C221,Table2[Species],Table2[Family],"Code Not Found")</f>
        <v>Sapindaceae</v>
      </c>
      <c r="O221" t="str" cm="1">
        <f t="array" ref="O221">_xlfn.IFS(F221="","",F221&lt;=5,"0 to 5",F221&lt;=10,"5.1 to 10",F221&lt;=20,"10 to 20", F221&lt;= 40, "20 to 40", F221 &lt;= 50, "40 to 50", F221 &gt; 50, "&gt;50" )</f>
        <v>5.1 to 10</v>
      </c>
    </row>
    <row r="222" spans="1:15" ht="14.4" x14ac:dyDescent="0.3">
      <c r="A222" t="s">
        <v>15</v>
      </c>
      <c r="B222" s="1">
        <v>46170</v>
      </c>
      <c r="C222" t="s">
        <v>16</v>
      </c>
      <c r="D222">
        <v>214</v>
      </c>
      <c r="E222">
        <v>1</v>
      </c>
      <c r="F222">
        <v>4</v>
      </c>
      <c r="G222" t="s">
        <v>94</v>
      </c>
      <c r="H222" t="s">
        <v>95</v>
      </c>
      <c r="I222" t="str">
        <f t="shared" si="3"/>
        <v>214_1</v>
      </c>
      <c r="J222" t="s">
        <v>18</v>
      </c>
      <c r="K222" t="s">
        <v>19</v>
      </c>
      <c r="L222" t="str">
        <f>_xlfn.XLOOKUP(C222, Table2[Species],Table2[Genus], "Code Not Found")</f>
        <v>Acer</v>
      </c>
      <c r="M222" t="str">
        <f>_xlfn.XLOOKUP(C222, Table2[Species],Table2[Sp. Name], "Code Not Found")</f>
        <v>saccharum</v>
      </c>
      <c r="N222" t="str">
        <f>_xlfn.XLOOKUP(C222,Table2[Species],Table2[Family],"Code Not Found")</f>
        <v>Sapindaceae</v>
      </c>
      <c r="O222" t="str" cm="1">
        <f t="array" ref="O222">_xlfn.IFS(F222="","",F222&lt;=5,"0 to 5",F222&lt;=10,"5.1 to 10",F222&lt;=20,"10 to 20", F222&lt;= 40, "20 to 40", F222 &lt;= 50, "40 to 50", F222 &gt; 50, "&gt;50" )</f>
        <v>0 to 5</v>
      </c>
    </row>
    <row r="223" spans="1:15" ht="14.4" x14ac:dyDescent="0.3">
      <c r="A223" t="s">
        <v>15</v>
      </c>
      <c r="B223" s="1">
        <v>46170</v>
      </c>
      <c r="C223" t="s">
        <v>16</v>
      </c>
      <c r="D223">
        <v>215</v>
      </c>
      <c r="E223">
        <v>1</v>
      </c>
      <c r="F223">
        <v>3</v>
      </c>
      <c r="G223" t="s">
        <v>30</v>
      </c>
      <c r="H223" t="s">
        <v>96</v>
      </c>
      <c r="I223" t="str">
        <f t="shared" si="3"/>
        <v>215_1</v>
      </c>
      <c r="J223" t="s">
        <v>18</v>
      </c>
      <c r="K223" t="s">
        <v>19</v>
      </c>
      <c r="L223" t="str">
        <f>_xlfn.XLOOKUP(C223, Table2[Species],Table2[Genus], "Code Not Found")</f>
        <v>Acer</v>
      </c>
      <c r="M223" t="str">
        <f>_xlfn.XLOOKUP(C223, Table2[Species],Table2[Sp. Name], "Code Not Found")</f>
        <v>saccharum</v>
      </c>
      <c r="N223" t="str">
        <f>_xlfn.XLOOKUP(C223,Table2[Species],Table2[Family],"Code Not Found")</f>
        <v>Sapindaceae</v>
      </c>
      <c r="O223" t="str" cm="1">
        <f t="array" ref="O223">_xlfn.IFS(F223="","",F223&lt;=5,"0 to 5",F223&lt;=10,"5.1 to 10",F223&lt;=20,"10 to 20", F223&lt;= 40, "20 to 40", F223 &lt;= 50, "40 to 50", F223 &gt; 50, "&gt;50" )</f>
        <v>0 to 5</v>
      </c>
    </row>
    <row r="224" spans="1:15" ht="14.4" x14ac:dyDescent="0.3">
      <c r="A224" t="s">
        <v>15</v>
      </c>
      <c r="B224" s="1">
        <v>46170</v>
      </c>
      <c r="C224" t="s">
        <v>16</v>
      </c>
      <c r="D224">
        <v>216</v>
      </c>
      <c r="E224">
        <v>1</v>
      </c>
      <c r="F224">
        <v>3.7</v>
      </c>
      <c r="G224" t="s">
        <v>47</v>
      </c>
      <c r="I224" t="str">
        <f t="shared" si="3"/>
        <v>216_1</v>
      </c>
      <c r="J224" t="s">
        <v>18</v>
      </c>
      <c r="K224" t="s">
        <v>19</v>
      </c>
      <c r="L224" t="str">
        <f>_xlfn.XLOOKUP(C224, Table2[Species],Table2[Genus], "Code Not Found")</f>
        <v>Acer</v>
      </c>
      <c r="M224" t="str">
        <f>_xlfn.XLOOKUP(C224, Table2[Species],Table2[Sp. Name], "Code Not Found")</f>
        <v>saccharum</v>
      </c>
      <c r="N224" t="str">
        <f>_xlfn.XLOOKUP(C224,Table2[Species],Table2[Family],"Code Not Found")</f>
        <v>Sapindaceae</v>
      </c>
      <c r="O224" t="str" cm="1">
        <f t="array" ref="O224">_xlfn.IFS(F224="","",F224&lt;=5,"0 to 5",F224&lt;=10,"5.1 to 10",F224&lt;=20,"10 to 20", F224&lt;= 40, "20 to 40", F224 &lt;= 50, "40 to 50", F224 &gt; 50, "&gt;50" )</f>
        <v>0 to 5</v>
      </c>
    </row>
    <row r="225" spans="1:15" ht="14.4" x14ac:dyDescent="0.3">
      <c r="A225" t="s">
        <v>15</v>
      </c>
      <c r="B225" s="1">
        <v>46170</v>
      </c>
      <c r="C225" t="s">
        <v>16</v>
      </c>
      <c r="D225">
        <v>217</v>
      </c>
      <c r="E225">
        <v>1</v>
      </c>
      <c r="F225">
        <v>5.0999999999999996</v>
      </c>
      <c r="G225" t="s">
        <v>17</v>
      </c>
      <c r="I225" t="str">
        <f t="shared" si="3"/>
        <v>217_1</v>
      </c>
      <c r="J225" t="s">
        <v>18</v>
      </c>
      <c r="K225" t="s">
        <v>19</v>
      </c>
      <c r="L225" t="str">
        <f>_xlfn.XLOOKUP(C225, Table2[Species],Table2[Genus], "Code Not Found")</f>
        <v>Acer</v>
      </c>
      <c r="M225" t="str">
        <f>_xlfn.XLOOKUP(C225, Table2[Species],Table2[Sp. Name], "Code Not Found")</f>
        <v>saccharum</v>
      </c>
      <c r="N225" t="str">
        <f>_xlfn.XLOOKUP(C225,Table2[Species],Table2[Family],"Code Not Found")</f>
        <v>Sapindaceae</v>
      </c>
      <c r="O225" t="str" cm="1">
        <f t="array" ref="O225">_xlfn.IFS(F225="","",F225&lt;=5,"0 to 5",F225&lt;=10,"5.1 to 10",F225&lt;=20,"10 to 20", F225&lt;= 40, "20 to 40", F225 &lt;= 50, "40 to 50", F225 &gt; 50, "&gt;50" )</f>
        <v>5.1 to 10</v>
      </c>
    </row>
    <row r="226" spans="1:15" ht="14.4" x14ac:dyDescent="0.3">
      <c r="A226" t="s">
        <v>15</v>
      </c>
      <c r="B226" s="1">
        <v>46170</v>
      </c>
      <c r="C226" t="s">
        <v>16</v>
      </c>
      <c r="D226">
        <v>218</v>
      </c>
      <c r="E226">
        <v>1</v>
      </c>
      <c r="F226">
        <v>20.8</v>
      </c>
      <c r="G226" t="s">
        <v>17</v>
      </c>
      <c r="I226" t="str">
        <f t="shared" si="3"/>
        <v>218_1</v>
      </c>
      <c r="J226" t="s">
        <v>18</v>
      </c>
      <c r="K226" t="s">
        <v>19</v>
      </c>
      <c r="L226" t="str">
        <f>_xlfn.XLOOKUP(C226, Table2[Species],Table2[Genus], "Code Not Found")</f>
        <v>Acer</v>
      </c>
      <c r="M226" t="str">
        <f>_xlfn.XLOOKUP(C226, Table2[Species],Table2[Sp. Name], "Code Not Found")</f>
        <v>saccharum</v>
      </c>
      <c r="N226" t="str">
        <f>_xlfn.XLOOKUP(C226,Table2[Species],Table2[Family],"Code Not Found")</f>
        <v>Sapindaceae</v>
      </c>
      <c r="O226" t="str" cm="1">
        <f t="array" ref="O226">_xlfn.IFS(F226="","",F226&lt;=5,"0 to 5",F226&lt;=10,"5.1 to 10",F226&lt;=20,"10 to 20", F226&lt;= 40, "20 to 40", F226 &lt;= 50, "40 to 50", F226 &gt; 50, "&gt;50" )</f>
        <v>20 to 40</v>
      </c>
    </row>
    <row r="227" spans="1:15" ht="14.4" x14ac:dyDescent="0.3">
      <c r="A227" t="s">
        <v>15</v>
      </c>
      <c r="B227" s="1">
        <v>46170</v>
      </c>
      <c r="C227" t="s">
        <v>16</v>
      </c>
      <c r="D227">
        <v>219</v>
      </c>
      <c r="E227">
        <v>1</v>
      </c>
      <c r="F227">
        <v>2.2000000000000002</v>
      </c>
      <c r="G227" t="s">
        <v>30</v>
      </c>
      <c r="H227" t="s">
        <v>97</v>
      </c>
      <c r="I227" t="str">
        <f t="shared" si="3"/>
        <v>219_1</v>
      </c>
      <c r="J227" t="s">
        <v>18</v>
      </c>
      <c r="K227" t="s">
        <v>19</v>
      </c>
      <c r="L227" t="str">
        <f>_xlfn.XLOOKUP(C227, Table2[Species],Table2[Genus], "Code Not Found")</f>
        <v>Acer</v>
      </c>
      <c r="M227" t="str">
        <f>_xlfn.XLOOKUP(C227, Table2[Species],Table2[Sp. Name], "Code Not Found")</f>
        <v>saccharum</v>
      </c>
      <c r="N227" t="str">
        <f>_xlfn.XLOOKUP(C227,Table2[Species],Table2[Family],"Code Not Found")</f>
        <v>Sapindaceae</v>
      </c>
      <c r="O227" t="str" cm="1">
        <f t="array" ref="O227">_xlfn.IFS(F227="","",F227&lt;=5,"0 to 5",F227&lt;=10,"5.1 to 10",F227&lt;=20,"10 to 20", F227&lt;= 40, "20 to 40", F227 &lt;= 50, "40 to 50", F227 &gt; 50, "&gt;50" )</f>
        <v>0 to 5</v>
      </c>
    </row>
    <row r="228" spans="1:15" ht="14.4" x14ac:dyDescent="0.3">
      <c r="A228" t="s">
        <v>15</v>
      </c>
      <c r="B228" s="1">
        <v>46170</v>
      </c>
      <c r="C228" t="s">
        <v>16</v>
      </c>
      <c r="D228">
        <v>220</v>
      </c>
      <c r="E228">
        <v>1</v>
      </c>
      <c r="F228">
        <v>10.5</v>
      </c>
      <c r="G228" t="s">
        <v>17</v>
      </c>
      <c r="H228" t="s">
        <v>98</v>
      </c>
      <c r="I228" t="str">
        <f t="shared" si="3"/>
        <v>220_1</v>
      </c>
      <c r="J228" t="s">
        <v>18</v>
      </c>
      <c r="K228" t="s">
        <v>19</v>
      </c>
      <c r="L228" t="str">
        <f>_xlfn.XLOOKUP(C228, Table2[Species],Table2[Genus], "Code Not Found")</f>
        <v>Acer</v>
      </c>
      <c r="M228" t="str">
        <f>_xlfn.XLOOKUP(C228, Table2[Species],Table2[Sp. Name], "Code Not Found")</f>
        <v>saccharum</v>
      </c>
      <c r="N228" t="str">
        <f>_xlfn.XLOOKUP(C228,Table2[Species],Table2[Family],"Code Not Found")</f>
        <v>Sapindaceae</v>
      </c>
      <c r="O228" t="str" cm="1">
        <f t="array" ref="O228">_xlfn.IFS(F228="","",F228&lt;=5,"0 to 5",F228&lt;=10,"5.1 to 10",F228&lt;=20,"10 to 20", F228&lt;= 40, "20 to 40", F228 &lt;= 50, "40 to 50", F228 &gt; 50, "&gt;50" )</f>
        <v>10 to 20</v>
      </c>
    </row>
    <row r="229" spans="1:15" ht="14.4" x14ac:dyDescent="0.3">
      <c r="A229" t="s">
        <v>15</v>
      </c>
      <c r="B229" s="1">
        <v>46170</v>
      </c>
      <c r="C229" t="s">
        <v>16</v>
      </c>
      <c r="D229">
        <v>286</v>
      </c>
      <c r="E229">
        <v>1</v>
      </c>
      <c r="F229">
        <v>2.7</v>
      </c>
      <c r="G229" t="s">
        <v>21</v>
      </c>
      <c r="I229" t="str">
        <f t="shared" si="3"/>
        <v>286_1</v>
      </c>
      <c r="J229" t="s">
        <v>18</v>
      </c>
      <c r="K229" t="s">
        <v>19</v>
      </c>
      <c r="L229" t="str">
        <f>_xlfn.XLOOKUP(C229, Table2[Species],Table2[Genus], "Code Not Found")</f>
        <v>Acer</v>
      </c>
      <c r="M229" t="str">
        <f>_xlfn.XLOOKUP(C229, Table2[Species],Table2[Sp. Name], "Code Not Found")</f>
        <v>saccharum</v>
      </c>
      <c r="N229" t="str">
        <f>_xlfn.XLOOKUP(C229,Table2[Species],Table2[Family],"Code Not Found")</f>
        <v>Sapindaceae</v>
      </c>
      <c r="O229" t="str" cm="1">
        <f t="array" ref="O229">_xlfn.IFS(F229="","",F229&lt;=5,"0 to 5",F229&lt;=10,"5.1 to 10",F229&lt;=20,"10 to 20", F229&lt;= 40, "20 to 40", F229 &lt;= 50, "40 to 50", F229 &gt; 50, "&gt;50" )</f>
        <v>0 to 5</v>
      </c>
    </row>
    <row r="230" spans="1:15" ht="14.4" x14ac:dyDescent="0.3">
      <c r="A230" t="s">
        <v>15</v>
      </c>
      <c r="B230" s="1">
        <v>46170</v>
      </c>
      <c r="C230" t="s">
        <v>16</v>
      </c>
      <c r="D230">
        <v>221</v>
      </c>
      <c r="E230">
        <v>1</v>
      </c>
      <c r="F230">
        <v>3.8</v>
      </c>
      <c r="G230" t="s">
        <v>17</v>
      </c>
      <c r="I230" t="str">
        <f t="shared" si="3"/>
        <v>221_1</v>
      </c>
      <c r="J230" t="s">
        <v>18</v>
      </c>
      <c r="K230" t="s">
        <v>19</v>
      </c>
      <c r="L230" t="str">
        <f>_xlfn.XLOOKUP(C230, Table2[Species],Table2[Genus], "Code Not Found")</f>
        <v>Acer</v>
      </c>
      <c r="M230" t="str">
        <f>_xlfn.XLOOKUP(C230, Table2[Species],Table2[Sp. Name], "Code Not Found")</f>
        <v>saccharum</v>
      </c>
      <c r="N230" t="str">
        <f>_xlfn.XLOOKUP(C230,Table2[Species],Table2[Family],"Code Not Found")</f>
        <v>Sapindaceae</v>
      </c>
      <c r="O230" t="str" cm="1">
        <f t="array" ref="O230">_xlfn.IFS(F230="","",F230&lt;=5,"0 to 5",F230&lt;=10,"5.1 to 10",F230&lt;=20,"10 to 20", F230&lt;= 40, "20 to 40", F230 &lt;= 50, "40 to 50", F230 &gt; 50, "&gt;50" )</f>
        <v>0 to 5</v>
      </c>
    </row>
    <row r="231" spans="1:15" ht="14.4" x14ac:dyDescent="0.3">
      <c r="A231" t="s">
        <v>15</v>
      </c>
      <c r="B231" s="1">
        <v>46170</v>
      </c>
      <c r="C231" t="s">
        <v>16</v>
      </c>
      <c r="D231">
        <v>222</v>
      </c>
      <c r="E231">
        <v>1</v>
      </c>
      <c r="F231">
        <v>1.6</v>
      </c>
      <c r="G231" t="s">
        <v>54</v>
      </c>
      <c r="I231" t="str">
        <f t="shared" si="3"/>
        <v>222_1</v>
      </c>
      <c r="J231" t="s">
        <v>18</v>
      </c>
      <c r="K231" t="s">
        <v>19</v>
      </c>
      <c r="L231" t="str">
        <f>_xlfn.XLOOKUP(C231, Table2[Species],Table2[Genus], "Code Not Found")</f>
        <v>Acer</v>
      </c>
      <c r="M231" t="str">
        <f>_xlfn.XLOOKUP(C231, Table2[Species],Table2[Sp. Name], "Code Not Found")</f>
        <v>saccharum</v>
      </c>
      <c r="N231" t="str">
        <f>_xlfn.XLOOKUP(C231,Table2[Species],Table2[Family],"Code Not Found")</f>
        <v>Sapindaceae</v>
      </c>
      <c r="O231" t="str" cm="1">
        <f t="array" ref="O231">_xlfn.IFS(F231="","",F231&lt;=5,"0 to 5",F231&lt;=10,"5.1 to 10",F231&lt;=20,"10 to 20", F231&lt;= 40, "20 to 40", F231 &lt;= 50, "40 to 50", F231 &gt; 50, "&gt;50" )</f>
        <v>0 to 5</v>
      </c>
    </row>
    <row r="232" spans="1:15" ht="14.4" x14ac:dyDescent="0.3">
      <c r="A232" t="s">
        <v>15</v>
      </c>
      <c r="B232" s="1">
        <v>46170</v>
      </c>
      <c r="C232" t="s">
        <v>16</v>
      </c>
      <c r="D232">
        <v>223</v>
      </c>
      <c r="E232">
        <v>1</v>
      </c>
      <c r="F232">
        <v>5.3</v>
      </c>
      <c r="G232" t="s">
        <v>47</v>
      </c>
      <c r="I232" t="str">
        <f t="shared" si="3"/>
        <v>223_1</v>
      </c>
      <c r="J232" t="s">
        <v>18</v>
      </c>
      <c r="K232" t="s">
        <v>19</v>
      </c>
      <c r="L232" t="str">
        <f>_xlfn.XLOOKUP(C232, Table2[Species],Table2[Genus], "Code Not Found")</f>
        <v>Acer</v>
      </c>
      <c r="M232" t="str">
        <f>_xlfn.XLOOKUP(C232, Table2[Species],Table2[Sp. Name], "Code Not Found")</f>
        <v>saccharum</v>
      </c>
      <c r="N232" t="str">
        <f>_xlfn.XLOOKUP(C232,Table2[Species],Table2[Family],"Code Not Found")</f>
        <v>Sapindaceae</v>
      </c>
      <c r="O232" t="str" cm="1">
        <f t="array" ref="O232">_xlfn.IFS(F232="","",F232&lt;=5,"0 to 5",F232&lt;=10,"5.1 to 10",F232&lt;=20,"10 to 20", F232&lt;= 40, "20 to 40", F232 &lt;= 50, "40 to 50", F232 &gt; 50, "&gt;50" )</f>
        <v>5.1 to 10</v>
      </c>
    </row>
    <row r="233" spans="1:15" ht="14.4" x14ac:dyDescent="0.3">
      <c r="A233" t="s">
        <v>15</v>
      </c>
      <c r="B233" s="1">
        <v>46170</v>
      </c>
      <c r="C233" t="s">
        <v>16</v>
      </c>
      <c r="D233">
        <v>224</v>
      </c>
      <c r="E233">
        <v>1</v>
      </c>
      <c r="F233">
        <v>3.8</v>
      </c>
      <c r="G233" t="s">
        <v>30</v>
      </c>
      <c r="H233" t="s">
        <v>99</v>
      </c>
      <c r="I233" t="str">
        <f t="shared" si="3"/>
        <v>224_1</v>
      </c>
      <c r="J233" t="s">
        <v>18</v>
      </c>
      <c r="K233" t="s">
        <v>19</v>
      </c>
      <c r="L233" t="str">
        <f>_xlfn.XLOOKUP(C233, Table2[Species],Table2[Genus], "Code Not Found")</f>
        <v>Acer</v>
      </c>
      <c r="M233" t="str">
        <f>_xlfn.XLOOKUP(C233, Table2[Species],Table2[Sp. Name], "Code Not Found")</f>
        <v>saccharum</v>
      </c>
      <c r="N233" t="str">
        <f>_xlfn.XLOOKUP(C233,Table2[Species],Table2[Family],"Code Not Found")</f>
        <v>Sapindaceae</v>
      </c>
      <c r="O233" t="str" cm="1">
        <f t="array" ref="O233">_xlfn.IFS(F233="","",F233&lt;=5,"0 to 5",F233&lt;=10,"5.1 to 10",F233&lt;=20,"10 to 20", F233&lt;= 40, "20 to 40", F233 &lt;= 50, "40 to 50", F233 &gt; 50, "&gt;50" )</f>
        <v>0 to 5</v>
      </c>
    </row>
    <row r="234" spans="1:15" ht="14.4" x14ac:dyDescent="0.3">
      <c r="A234" t="s">
        <v>15</v>
      </c>
      <c r="B234" s="1">
        <v>46170</v>
      </c>
      <c r="C234" t="s">
        <v>16</v>
      </c>
      <c r="D234">
        <v>225</v>
      </c>
      <c r="E234">
        <v>1</v>
      </c>
      <c r="F234">
        <v>1.9</v>
      </c>
      <c r="G234" t="s">
        <v>17</v>
      </c>
      <c r="I234" t="str">
        <f t="shared" si="3"/>
        <v>225_1</v>
      </c>
      <c r="J234" t="s">
        <v>18</v>
      </c>
      <c r="K234" t="s">
        <v>19</v>
      </c>
      <c r="L234" t="str">
        <f>_xlfn.XLOOKUP(C234, Table2[Species],Table2[Genus], "Code Not Found")</f>
        <v>Acer</v>
      </c>
      <c r="M234" t="str">
        <f>_xlfn.XLOOKUP(C234, Table2[Species],Table2[Sp. Name], "Code Not Found")</f>
        <v>saccharum</v>
      </c>
      <c r="N234" t="str">
        <f>_xlfn.XLOOKUP(C234,Table2[Species],Table2[Family],"Code Not Found")</f>
        <v>Sapindaceae</v>
      </c>
      <c r="O234" t="str" cm="1">
        <f t="array" ref="O234">_xlfn.IFS(F234="","",F234&lt;=5,"0 to 5",F234&lt;=10,"5.1 to 10",F234&lt;=20,"10 to 20", F234&lt;= 40, "20 to 40", F234 &lt;= 50, "40 to 50", F234 &gt; 50, "&gt;50" )</f>
        <v>0 to 5</v>
      </c>
    </row>
    <row r="235" spans="1:15" ht="14.4" x14ac:dyDescent="0.3">
      <c r="A235" t="s">
        <v>15</v>
      </c>
      <c r="B235" s="1">
        <v>46170</v>
      </c>
      <c r="C235" t="s">
        <v>16</v>
      </c>
      <c r="D235">
        <v>226</v>
      </c>
      <c r="E235">
        <v>1</v>
      </c>
      <c r="F235">
        <v>2.4</v>
      </c>
      <c r="G235" t="s">
        <v>17</v>
      </c>
      <c r="I235" t="str">
        <f t="shared" si="3"/>
        <v>226_1</v>
      </c>
      <c r="J235" t="s">
        <v>18</v>
      </c>
      <c r="K235" t="s">
        <v>19</v>
      </c>
      <c r="L235" t="str">
        <f>_xlfn.XLOOKUP(C235, Table2[Species],Table2[Genus], "Code Not Found")</f>
        <v>Acer</v>
      </c>
      <c r="M235" t="str">
        <f>_xlfn.XLOOKUP(C235, Table2[Species],Table2[Sp. Name], "Code Not Found")</f>
        <v>saccharum</v>
      </c>
      <c r="N235" t="str">
        <f>_xlfn.XLOOKUP(C235,Table2[Species],Table2[Family],"Code Not Found")</f>
        <v>Sapindaceae</v>
      </c>
      <c r="O235" t="str" cm="1">
        <f t="array" ref="O235">_xlfn.IFS(F235="","",F235&lt;=5,"0 to 5",F235&lt;=10,"5.1 to 10",F235&lt;=20,"10 to 20", F235&lt;= 40, "20 to 40", F235 &lt;= 50, "40 to 50", F235 &gt; 50, "&gt;50" )</f>
        <v>0 to 5</v>
      </c>
    </row>
    <row r="236" spans="1:15" ht="14.4" x14ac:dyDescent="0.3">
      <c r="A236" t="s">
        <v>15</v>
      </c>
      <c r="B236" s="1">
        <v>46170</v>
      </c>
      <c r="C236" t="s">
        <v>16</v>
      </c>
      <c r="D236">
        <v>287</v>
      </c>
      <c r="E236">
        <v>1</v>
      </c>
      <c r="F236">
        <v>2.8</v>
      </c>
      <c r="G236" t="s">
        <v>94</v>
      </c>
      <c r="H236" t="s">
        <v>100</v>
      </c>
      <c r="I236" t="str">
        <f t="shared" si="3"/>
        <v>287_1</v>
      </c>
      <c r="J236" t="s">
        <v>18</v>
      </c>
      <c r="K236" t="s">
        <v>19</v>
      </c>
      <c r="L236" t="str">
        <f>_xlfn.XLOOKUP(C236, Table2[Species],Table2[Genus], "Code Not Found")</f>
        <v>Acer</v>
      </c>
      <c r="M236" t="str">
        <f>_xlfn.XLOOKUP(C236, Table2[Species],Table2[Sp. Name], "Code Not Found")</f>
        <v>saccharum</v>
      </c>
      <c r="N236" t="str">
        <f>_xlfn.XLOOKUP(C236,Table2[Species],Table2[Family],"Code Not Found")</f>
        <v>Sapindaceae</v>
      </c>
      <c r="O236" t="str" cm="1">
        <f t="array" ref="O236">_xlfn.IFS(F236="","",F236&lt;=5,"0 to 5",F236&lt;=10,"5.1 to 10",F236&lt;=20,"10 to 20", F236&lt;= 40, "20 to 40", F236 &lt;= 50, "40 to 50", F236 &gt; 50, "&gt;50" )</f>
        <v>0 to 5</v>
      </c>
    </row>
    <row r="237" spans="1:15" ht="14.4" x14ac:dyDescent="0.3">
      <c r="A237" t="s">
        <v>15</v>
      </c>
      <c r="B237" s="1">
        <v>46170</v>
      </c>
      <c r="C237" t="s">
        <v>16</v>
      </c>
      <c r="D237">
        <v>227</v>
      </c>
      <c r="E237">
        <v>1</v>
      </c>
      <c r="F237">
        <v>3.1</v>
      </c>
      <c r="G237" t="s">
        <v>17</v>
      </c>
      <c r="I237" t="str">
        <f t="shared" si="3"/>
        <v>227_1</v>
      </c>
      <c r="J237" t="s">
        <v>18</v>
      </c>
      <c r="K237" t="s">
        <v>19</v>
      </c>
      <c r="L237" t="str">
        <f>_xlfn.XLOOKUP(C237, Table2[Species],Table2[Genus], "Code Not Found")</f>
        <v>Acer</v>
      </c>
      <c r="M237" t="str">
        <f>_xlfn.XLOOKUP(C237, Table2[Species],Table2[Sp. Name], "Code Not Found")</f>
        <v>saccharum</v>
      </c>
      <c r="N237" t="str">
        <f>_xlfn.XLOOKUP(C237,Table2[Species],Table2[Family],"Code Not Found")</f>
        <v>Sapindaceae</v>
      </c>
      <c r="O237" t="str" cm="1">
        <f t="array" ref="O237">_xlfn.IFS(F237="","",F237&lt;=5,"0 to 5",F237&lt;=10,"5.1 to 10",F237&lt;=20,"10 to 20", F237&lt;= 40, "20 to 40", F237 &lt;= 50, "40 to 50", F237 &gt; 50, "&gt;50" )</f>
        <v>0 to 5</v>
      </c>
    </row>
    <row r="238" spans="1:15" ht="14.4" x14ac:dyDescent="0.3">
      <c r="A238" t="s">
        <v>15</v>
      </c>
      <c r="B238" s="1">
        <v>46170</v>
      </c>
      <c r="C238" t="s">
        <v>24</v>
      </c>
      <c r="D238">
        <v>228</v>
      </c>
      <c r="E238">
        <v>1</v>
      </c>
      <c r="F238">
        <v>61.5</v>
      </c>
      <c r="G238" t="s">
        <v>65</v>
      </c>
      <c r="H238" t="s">
        <v>101</v>
      </c>
      <c r="I238" t="str">
        <f t="shared" si="3"/>
        <v>228_1</v>
      </c>
      <c r="J238" t="s">
        <v>18</v>
      </c>
      <c r="K238" t="s">
        <v>19</v>
      </c>
      <c r="L238" t="str">
        <f>_xlfn.XLOOKUP(C238, Table2[Species],Table2[Genus], "Code Not Found")</f>
        <v>Lirodendron</v>
      </c>
      <c r="M238" t="str">
        <f>_xlfn.XLOOKUP(C238, Table2[Species],Table2[Sp. Name], "Code Not Found")</f>
        <v>tulipfera</v>
      </c>
      <c r="N238" t="str">
        <f>_xlfn.XLOOKUP(C238,Table2[Species],Table2[Family],"Code Not Found")</f>
        <v>Magnoliaceae</v>
      </c>
      <c r="O238" t="str" cm="1">
        <f t="array" ref="O238">_xlfn.IFS(F238="","",F238&lt;=5,"0 to 5",F238&lt;=10,"5.1 to 10",F238&lt;=20,"10 to 20", F238&lt;= 40, "20 to 40", F238 &lt;= 50, "40 to 50", F238 &gt; 50, "&gt;50" )</f>
        <v>&gt;50</v>
      </c>
    </row>
    <row r="239" spans="1:15" ht="14.4" x14ac:dyDescent="0.3">
      <c r="A239" t="s">
        <v>15</v>
      </c>
      <c r="B239" s="1">
        <v>46170</v>
      </c>
      <c r="C239" t="s">
        <v>24</v>
      </c>
      <c r="D239">
        <v>228</v>
      </c>
      <c r="E239">
        <v>2</v>
      </c>
      <c r="F239">
        <v>52.8</v>
      </c>
      <c r="G239" t="s">
        <v>65</v>
      </c>
      <c r="H239" t="s">
        <v>101</v>
      </c>
      <c r="I239" t="str">
        <f t="shared" si="3"/>
        <v>228_2</v>
      </c>
      <c r="J239" t="s">
        <v>18</v>
      </c>
      <c r="K239" t="s">
        <v>19</v>
      </c>
      <c r="L239" t="str">
        <f>_xlfn.XLOOKUP(C239, Table2[Species],Table2[Genus], "Code Not Found")</f>
        <v>Lirodendron</v>
      </c>
      <c r="M239" t="str">
        <f>_xlfn.XLOOKUP(C239, Table2[Species],Table2[Sp. Name], "Code Not Found")</f>
        <v>tulipfera</v>
      </c>
      <c r="N239" t="str">
        <f>_xlfn.XLOOKUP(C239,Table2[Species],Table2[Family],"Code Not Found")</f>
        <v>Magnoliaceae</v>
      </c>
      <c r="O239" t="str" cm="1">
        <f t="array" ref="O239">_xlfn.IFS(F239="","",F239&lt;=5,"0 to 5",F239&lt;=10,"5.1 to 10",F239&lt;=20,"10 to 20", F239&lt;= 40, "20 to 40", F239 &lt;= 50, "40 to 50", F239 &gt; 50, "&gt;50" )</f>
        <v>&gt;50</v>
      </c>
    </row>
    <row r="240" spans="1:15" ht="14.4" x14ac:dyDescent="0.3">
      <c r="A240" t="s">
        <v>15</v>
      </c>
      <c r="B240" s="1">
        <v>46170</v>
      </c>
      <c r="C240" t="s">
        <v>24</v>
      </c>
      <c r="D240">
        <v>228</v>
      </c>
      <c r="E240">
        <v>3</v>
      </c>
      <c r="F240">
        <v>52.5</v>
      </c>
      <c r="G240" t="s">
        <v>32</v>
      </c>
      <c r="H240" t="s">
        <v>102</v>
      </c>
      <c r="I240" t="str">
        <f t="shared" si="3"/>
        <v>228_3</v>
      </c>
      <c r="J240" t="s">
        <v>18</v>
      </c>
      <c r="K240" t="s">
        <v>19</v>
      </c>
      <c r="L240" t="str">
        <f>_xlfn.XLOOKUP(C240, Table2[Species],Table2[Genus], "Code Not Found")</f>
        <v>Lirodendron</v>
      </c>
      <c r="M240" t="str">
        <f>_xlfn.XLOOKUP(C240, Table2[Species],Table2[Sp. Name], "Code Not Found")</f>
        <v>tulipfera</v>
      </c>
      <c r="N240" t="str">
        <f>_xlfn.XLOOKUP(C240,Table2[Species],Table2[Family],"Code Not Found")</f>
        <v>Magnoliaceae</v>
      </c>
      <c r="O240" t="str" cm="1">
        <f t="array" ref="O240">_xlfn.IFS(F240="","",F240&lt;=5,"0 to 5",F240&lt;=10,"5.1 to 10",F240&lt;=20,"10 to 20", F240&lt;= 40, "20 to 40", F240 &lt;= 50, "40 to 50", F240 &gt; 50, "&gt;50" )</f>
        <v>&gt;50</v>
      </c>
    </row>
    <row r="241" spans="1:15" ht="14.4" x14ac:dyDescent="0.3">
      <c r="A241" t="s">
        <v>15</v>
      </c>
      <c r="B241" s="1">
        <v>46170</v>
      </c>
      <c r="C241" t="s">
        <v>16</v>
      </c>
      <c r="D241">
        <v>229</v>
      </c>
      <c r="E241">
        <v>1</v>
      </c>
      <c r="F241">
        <v>3.5</v>
      </c>
      <c r="G241" t="s">
        <v>17</v>
      </c>
      <c r="I241" t="str">
        <f t="shared" si="3"/>
        <v>229_1</v>
      </c>
      <c r="J241" t="s">
        <v>18</v>
      </c>
      <c r="K241" t="s">
        <v>19</v>
      </c>
      <c r="L241" t="str">
        <f>_xlfn.XLOOKUP(C241, Table2[Species],Table2[Genus], "Code Not Found")</f>
        <v>Acer</v>
      </c>
      <c r="M241" t="str">
        <f>_xlfn.XLOOKUP(C241, Table2[Species],Table2[Sp. Name], "Code Not Found")</f>
        <v>saccharum</v>
      </c>
      <c r="N241" t="str">
        <f>_xlfn.XLOOKUP(C241,Table2[Species],Table2[Family],"Code Not Found")</f>
        <v>Sapindaceae</v>
      </c>
      <c r="O241" t="str" cm="1">
        <f t="array" ref="O241">_xlfn.IFS(F241="","",F241&lt;=5,"0 to 5",F241&lt;=10,"5.1 to 10",F241&lt;=20,"10 to 20", F241&lt;= 40, "20 to 40", F241 &lt;= 50, "40 to 50", F241 &gt; 50, "&gt;50" )</f>
        <v>0 to 5</v>
      </c>
    </row>
    <row r="242" spans="1:15" ht="14.4" x14ac:dyDescent="0.3">
      <c r="A242" t="s">
        <v>15</v>
      </c>
      <c r="B242" s="1">
        <v>46170</v>
      </c>
      <c r="C242" t="s">
        <v>22</v>
      </c>
      <c r="D242">
        <v>230</v>
      </c>
      <c r="E242">
        <v>1</v>
      </c>
      <c r="F242">
        <v>13.4</v>
      </c>
      <c r="G242" t="s">
        <v>21</v>
      </c>
      <c r="I242" t="str">
        <f t="shared" si="3"/>
        <v>230_1</v>
      </c>
      <c r="J242" t="s">
        <v>18</v>
      </c>
      <c r="K242" t="s">
        <v>19</v>
      </c>
      <c r="L242" t="str">
        <f>_xlfn.XLOOKUP(C242, Table2[Species],Table2[Genus], "Code Not Found")</f>
        <v>Acer</v>
      </c>
      <c r="M242" t="str">
        <f>_xlfn.XLOOKUP(C242, Table2[Species],Table2[Sp. Name], "Code Not Found")</f>
        <v>rubrum</v>
      </c>
      <c r="N242" t="str">
        <f>_xlfn.XLOOKUP(C242,Table2[Species],Table2[Family],"Code Not Found")</f>
        <v>Sapindaceae</v>
      </c>
      <c r="O242" t="str" cm="1">
        <f t="array" ref="O242">_xlfn.IFS(F242="","",F242&lt;=5,"0 to 5",F242&lt;=10,"5.1 to 10",F242&lt;=20,"10 to 20", F242&lt;= 40, "20 to 40", F242 &lt;= 50, "40 to 50", F242 &gt; 50, "&gt;50" )</f>
        <v>10 to 20</v>
      </c>
    </row>
    <row r="243" spans="1:15" ht="14.4" x14ac:dyDescent="0.3">
      <c r="A243" t="s">
        <v>15</v>
      </c>
      <c r="B243" s="1">
        <v>46170</v>
      </c>
      <c r="C243" t="s">
        <v>16</v>
      </c>
      <c r="D243">
        <v>231</v>
      </c>
      <c r="E243">
        <v>1</v>
      </c>
      <c r="F243">
        <v>4.5999999999999996</v>
      </c>
      <c r="G243" t="s">
        <v>17</v>
      </c>
      <c r="I243" t="str">
        <f t="shared" si="3"/>
        <v>231_1</v>
      </c>
      <c r="J243" t="s">
        <v>18</v>
      </c>
      <c r="K243" t="s">
        <v>19</v>
      </c>
      <c r="L243" t="str">
        <f>_xlfn.XLOOKUP(C243, Table2[Species],Table2[Genus], "Code Not Found")</f>
        <v>Acer</v>
      </c>
      <c r="M243" t="str">
        <f>_xlfn.XLOOKUP(C243, Table2[Species],Table2[Sp. Name], "Code Not Found")</f>
        <v>saccharum</v>
      </c>
      <c r="N243" t="str">
        <f>_xlfn.XLOOKUP(C243,Table2[Species],Table2[Family],"Code Not Found")</f>
        <v>Sapindaceae</v>
      </c>
      <c r="O243" t="str" cm="1">
        <f t="array" ref="O243">_xlfn.IFS(F243="","",F243&lt;=5,"0 to 5",F243&lt;=10,"5.1 to 10",F243&lt;=20,"10 to 20", F243&lt;= 40, "20 to 40", F243 &lt;= 50, "40 to 50", F243 &gt; 50, "&gt;50" )</f>
        <v>0 to 5</v>
      </c>
    </row>
    <row r="244" spans="1:15" ht="14.4" x14ac:dyDescent="0.3">
      <c r="A244" t="s">
        <v>15</v>
      </c>
      <c r="B244" s="1">
        <v>46170</v>
      </c>
      <c r="C244" t="s">
        <v>16</v>
      </c>
      <c r="D244">
        <v>232</v>
      </c>
      <c r="E244">
        <v>1</v>
      </c>
      <c r="F244">
        <v>2.2999999999999998</v>
      </c>
      <c r="G244" t="s">
        <v>17</v>
      </c>
      <c r="I244" t="str">
        <f t="shared" si="3"/>
        <v>232_1</v>
      </c>
      <c r="J244" t="s">
        <v>18</v>
      </c>
      <c r="K244" t="s">
        <v>19</v>
      </c>
      <c r="L244" t="str">
        <f>_xlfn.XLOOKUP(C244, Table2[Species],Table2[Genus], "Code Not Found")</f>
        <v>Acer</v>
      </c>
      <c r="M244" t="str">
        <f>_xlfn.XLOOKUP(C244, Table2[Species],Table2[Sp. Name], "Code Not Found")</f>
        <v>saccharum</v>
      </c>
      <c r="N244" t="str">
        <f>_xlfn.XLOOKUP(C244,Table2[Species],Table2[Family],"Code Not Found")</f>
        <v>Sapindaceae</v>
      </c>
      <c r="O244" t="str" cm="1">
        <f t="array" ref="O244">_xlfn.IFS(F244="","",F244&lt;=5,"0 to 5",F244&lt;=10,"5.1 to 10",F244&lt;=20,"10 to 20", F244&lt;= 40, "20 to 40", F244 &lt;= 50, "40 to 50", F244 &gt; 50, "&gt;50" )</f>
        <v>0 to 5</v>
      </c>
    </row>
    <row r="245" spans="1:15" ht="14.4" x14ac:dyDescent="0.3">
      <c r="A245" t="s">
        <v>15</v>
      </c>
      <c r="B245" s="1">
        <v>46170</v>
      </c>
      <c r="C245" t="s">
        <v>16</v>
      </c>
      <c r="D245">
        <v>233</v>
      </c>
      <c r="E245">
        <v>1</v>
      </c>
      <c r="F245">
        <v>2.5</v>
      </c>
      <c r="G245" t="s">
        <v>94</v>
      </c>
      <c r="H245" t="s">
        <v>100</v>
      </c>
      <c r="I245" t="str">
        <f t="shared" si="3"/>
        <v>233_1</v>
      </c>
      <c r="J245" t="s">
        <v>18</v>
      </c>
      <c r="K245" t="s">
        <v>19</v>
      </c>
      <c r="L245" t="str">
        <f>_xlfn.XLOOKUP(C245, Table2[Species],Table2[Genus], "Code Not Found")</f>
        <v>Acer</v>
      </c>
      <c r="M245" t="str">
        <f>_xlfn.XLOOKUP(C245, Table2[Species],Table2[Sp. Name], "Code Not Found")</f>
        <v>saccharum</v>
      </c>
      <c r="N245" t="str">
        <f>_xlfn.XLOOKUP(C245,Table2[Species],Table2[Family],"Code Not Found")</f>
        <v>Sapindaceae</v>
      </c>
      <c r="O245" t="str" cm="1">
        <f t="array" ref="O245">_xlfn.IFS(F245="","",F245&lt;=5,"0 to 5",F245&lt;=10,"5.1 to 10",F245&lt;=20,"10 to 20", F245&lt;= 40, "20 to 40", F245 &lt;= 50, "40 to 50", F245 &gt; 50, "&gt;50" )</f>
        <v>0 to 5</v>
      </c>
    </row>
    <row r="246" spans="1:15" ht="14.4" x14ac:dyDescent="0.3">
      <c r="A246" t="s">
        <v>15</v>
      </c>
      <c r="B246" s="1">
        <v>46170</v>
      </c>
      <c r="C246" t="s">
        <v>16</v>
      </c>
      <c r="D246">
        <v>234</v>
      </c>
      <c r="E246">
        <v>1</v>
      </c>
      <c r="F246">
        <v>2.2000000000000002</v>
      </c>
      <c r="G246" t="s">
        <v>47</v>
      </c>
      <c r="I246" t="str">
        <f t="shared" si="3"/>
        <v>234_1</v>
      </c>
      <c r="J246" t="s">
        <v>18</v>
      </c>
      <c r="K246" t="s">
        <v>19</v>
      </c>
      <c r="L246" t="str">
        <f>_xlfn.XLOOKUP(C246, Table2[Species],Table2[Genus], "Code Not Found")</f>
        <v>Acer</v>
      </c>
      <c r="M246" t="str">
        <f>_xlfn.XLOOKUP(C246, Table2[Species],Table2[Sp. Name], "Code Not Found")</f>
        <v>saccharum</v>
      </c>
      <c r="N246" t="str">
        <f>_xlfn.XLOOKUP(C246,Table2[Species],Table2[Family],"Code Not Found")</f>
        <v>Sapindaceae</v>
      </c>
      <c r="O246" t="str" cm="1">
        <f t="array" ref="O246">_xlfn.IFS(F246="","",F246&lt;=5,"0 to 5",F246&lt;=10,"5.1 to 10",F246&lt;=20,"10 to 20", F246&lt;= 40, "20 to 40", F246 &lt;= 50, "40 to 50", F246 &gt; 50, "&gt;50" )</f>
        <v>0 to 5</v>
      </c>
    </row>
    <row r="247" spans="1:15" ht="14.4" x14ac:dyDescent="0.3">
      <c r="A247" t="s">
        <v>15</v>
      </c>
      <c r="B247" s="1">
        <v>46170</v>
      </c>
      <c r="C247" t="s">
        <v>16</v>
      </c>
      <c r="D247">
        <v>235</v>
      </c>
      <c r="E247">
        <v>1</v>
      </c>
      <c r="F247">
        <v>2.8</v>
      </c>
      <c r="G247" t="s">
        <v>47</v>
      </c>
      <c r="H247" t="s">
        <v>43</v>
      </c>
      <c r="I247" t="str">
        <f t="shared" si="3"/>
        <v>235_1</v>
      </c>
      <c r="J247" t="s">
        <v>18</v>
      </c>
      <c r="K247" t="s">
        <v>19</v>
      </c>
      <c r="L247" t="str">
        <f>_xlfn.XLOOKUP(C247, Table2[Species],Table2[Genus], "Code Not Found")</f>
        <v>Acer</v>
      </c>
      <c r="M247" t="str">
        <f>_xlfn.XLOOKUP(C247, Table2[Species],Table2[Sp. Name], "Code Not Found")</f>
        <v>saccharum</v>
      </c>
      <c r="N247" t="str">
        <f>_xlfn.XLOOKUP(C247,Table2[Species],Table2[Family],"Code Not Found")</f>
        <v>Sapindaceae</v>
      </c>
      <c r="O247" t="str" cm="1">
        <f t="array" ref="O247">_xlfn.IFS(F247="","",F247&lt;=5,"0 to 5",F247&lt;=10,"5.1 to 10",F247&lt;=20,"10 to 20", F247&lt;= 40, "20 to 40", F247 &lt;= 50, "40 to 50", F247 &gt; 50, "&gt;50" )</f>
        <v>0 to 5</v>
      </c>
    </row>
    <row r="248" spans="1:15" ht="14.4" x14ac:dyDescent="0.3">
      <c r="A248" t="s">
        <v>15</v>
      </c>
      <c r="B248" s="1">
        <v>46170</v>
      </c>
      <c r="C248" t="s">
        <v>24</v>
      </c>
      <c r="D248">
        <v>236</v>
      </c>
      <c r="E248">
        <v>1</v>
      </c>
      <c r="F248">
        <v>63.5</v>
      </c>
      <c r="G248" t="s">
        <v>21</v>
      </c>
      <c r="I248" t="str">
        <f t="shared" si="3"/>
        <v>236_1</v>
      </c>
      <c r="J248" t="s">
        <v>18</v>
      </c>
      <c r="K248" t="s">
        <v>19</v>
      </c>
      <c r="L248" t="str">
        <f>_xlfn.XLOOKUP(C248, Table2[Species],Table2[Genus], "Code Not Found")</f>
        <v>Lirodendron</v>
      </c>
      <c r="M248" t="str">
        <f>_xlfn.XLOOKUP(C248, Table2[Species],Table2[Sp. Name], "Code Not Found")</f>
        <v>tulipfera</v>
      </c>
      <c r="N248" t="str">
        <f>_xlfn.XLOOKUP(C248,Table2[Species],Table2[Family],"Code Not Found")</f>
        <v>Magnoliaceae</v>
      </c>
      <c r="O248" t="str" cm="1">
        <f t="array" ref="O248">_xlfn.IFS(F248="","",F248&lt;=5,"0 to 5",F248&lt;=10,"5.1 to 10",F248&lt;=20,"10 to 20", F248&lt;= 40, "20 to 40", F248 &lt;= 50, "40 to 50", F248 &gt; 50, "&gt;50" )</f>
        <v>&gt;50</v>
      </c>
    </row>
    <row r="249" spans="1:15" ht="14.4" x14ac:dyDescent="0.3">
      <c r="A249" t="s">
        <v>15</v>
      </c>
      <c r="B249" s="1">
        <v>46170</v>
      </c>
      <c r="C249" t="s">
        <v>16</v>
      </c>
      <c r="D249">
        <v>237</v>
      </c>
      <c r="E249">
        <v>1</v>
      </c>
      <c r="F249">
        <v>12.2</v>
      </c>
      <c r="G249" t="s">
        <v>17</v>
      </c>
      <c r="H249" t="s">
        <v>36</v>
      </c>
      <c r="I249" t="str">
        <f t="shared" si="3"/>
        <v>237_1</v>
      </c>
      <c r="J249" t="s">
        <v>18</v>
      </c>
      <c r="K249" t="s">
        <v>19</v>
      </c>
      <c r="L249" t="str">
        <f>_xlfn.XLOOKUP(C249, Table2[Species],Table2[Genus], "Code Not Found")</f>
        <v>Acer</v>
      </c>
      <c r="M249" t="str">
        <f>_xlfn.XLOOKUP(C249, Table2[Species],Table2[Sp. Name], "Code Not Found")</f>
        <v>saccharum</v>
      </c>
      <c r="N249" t="str">
        <f>_xlfn.XLOOKUP(C249,Table2[Species],Table2[Family],"Code Not Found")</f>
        <v>Sapindaceae</v>
      </c>
      <c r="O249" t="str" cm="1">
        <f t="array" ref="O249">_xlfn.IFS(F249="","",F249&lt;=5,"0 to 5",F249&lt;=10,"5.1 to 10",F249&lt;=20,"10 to 20", F249&lt;= 40, "20 to 40", F249 &lt;= 50, "40 to 50", F249 &gt; 50, "&gt;50" )</f>
        <v>10 to 20</v>
      </c>
    </row>
    <row r="250" spans="1:15" ht="14.4" x14ac:dyDescent="0.3">
      <c r="A250" t="s">
        <v>15</v>
      </c>
      <c r="B250" s="1">
        <v>46170</v>
      </c>
      <c r="C250" t="s">
        <v>16</v>
      </c>
      <c r="D250">
        <v>238</v>
      </c>
      <c r="E250">
        <v>1</v>
      </c>
      <c r="F250">
        <v>2.7</v>
      </c>
      <c r="G250" t="s">
        <v>103</v>
      </c>
      <c r="I250" t="str">
        <f t="shared" si="3"/>
        <v>238_1</v>
      </c>
      <c r="J250" t="s">
        <v>18</v>
      </c>
      <c r="K250" t="s">
        <v>19</v>
      </c>
      <c r="L250" t="str">
        <f>_xlfn.XLOOKUP(C250, Table2[Species],Table2[Genus], "Code Not Found")</f>
        <v>Acer</v>
      </c>
      <c r="M250" t="str">
        <f>_xlfn.XLOOKUP(C250, Table2[Species],Table2[Sp. Name], "Code Not Found")</f>
        <v>saccharum</v>
      </c>
      <c r="N250" t="str">
        <f>_xlfn.XLOOKUP(C250,Table2[Species],Table2[Family],"Code Not Found")</f>
        <v>Sapindaceae</v>
      </c>
      <c r="O250" t="str" cm="1">
        <f t="array" ref="O250">_xlfn.IFS(F250="","",F250&lt;=5,"0 to 5",F250&lt;=10,"5.1 to 10",F250&lt;=20,"10 to 20", F250&lt;= 40, "20 to 40", F250 &lt;= 50, "40 to 50", F250 &gt; 50, "&gt;50" )</f>
        <v>0 to 5</v>
      </c>
    </row>
    <row r="251" spans="1:15" ht="14.4" x14ac:dyDescent="0.3">
      <c r="A251" t="s">
        <v>15</v>
      </c>
      <c r="B251" s="1">
        <v>46170</v>
      </c>
      <c r="C251" t="s">
        <v>16</v>
      </c>
      <c r="D251">
        <v>239</v>
      </c>
      <c r="E251">
        <v>1</v>
      </c>
      <c r="F251">
        <v>3.9</v>
      </c>
      <c r="G251" t="s">
        <v>104</v>
      </c>
      <c r="H251" t="s">
        <v>105</v>
      </c>
      <c r="I251" t="str">
        <f t="shared" si="3"/>
        <v>239_1</v>
      </c>
      <c r="J251" t="s">
        <v>18</v>
      </c>
      <c r="K251" t="s">
        <v>19</v>
      </c>
      <c r="L251" t="str">
        <f>_xlfn.XLOOKUP(C251, Table2[Species],Table2[Genus], "Code Not Found")</f>
        <v>Acer</v>
      </c>
      <c r="M251" t="str">
        <f>_xlfn.XLOOKUP(C251, Table2[Species],Table2[Sp. Name], "Code Not Found")</f>
        <v>saccharum</v>
      </c>
      <c r="N251" t="str">
        <f>_xlfn.XLOOKUP(C251,Table2[Species],Table2[Family],"Code Not Found")</f>
        <v>Sapindaceae</v>
      </c>
      <c r="O251" t="str" cm="1">
        <f t="array" ref="O251">_xlfn.IFS(F251="","",F251&lt;=5,"0 to 5",F251&lt;=10,"5.1 to 10",F251&lt;=20,"10 to 20", F251&lt;= 40, "20 to 40", F251 &lt;= 50, "40 to 50", F251 &gt; 50, "&gt;50" )</f>
        <v>0 to 5</v>
      </c>
    </row>
    <row r="252" spans="1:15" ht="14.4" x14ac:dyDescent="0.3">
      <c r="A252" t="s">
        <v>15</v>
      </c>
      <c r="B252" s="1">
        <v>46170</v>
      </c>
      <c r="C252" t="s">
        <v>55</v>
      </c>
      <c r="D252">
        <v>240</v>
      </c>
      <c r="E252">
        <v>1</v>
      </c>
      <c r="F252">
        <v>48.3</v>
      </c>
      <c r="G252" t="s">
        <v>21</v>
      </c>
      <c r="I252" t="str">
        <f t="shared" si="3"/>
        <v>240_1</v>
      </c>
      <c r="J252" t="s">
        <v>18</v>
      </c>
      <c r="K252" t="s">
        <v>19</v>
      </c>
      <c r="L252" t="str">
        <f>_xlfn.XLOOKUP(C252, Table2[Species],Table2[Genus], "Code Not Found")</f>
        <v>Magnolia</v>
      </c>
      <c r="M252" t="str">
        <f>_xlfn.XLOOKUP(C252, Table2[Species],Table2[Sp. Name], "Code Not Found")</f>
        <v>acuminata</v>
      </c>
      <c r="N252" t="str">
        <f>_xlfn.XLOOKUP(C252,Table2[Species],Table2[Family],"Code Not Found")</f>
        <v>Magnoliaceae</v>
      </c>
      <c r="O252" t="str" cm="1">
        <f t="array" ref="O252">_xlfn.IFS(F252="","",F252&lt;=5,"0 to 5",F252&lt;=10,"5.1 to 10",F252&lt;=20,"10 to 20", F252&lt;= 40, "20 to 40", F252 &lt;= 50, "40 to 50", F252 &gt; 50, "&gt;50" )</f>
        <v>40 to 50</v>
      </c>
    </row>
    <row r="253" spans="1:15" ht="14.4" x14ac:dyDescent="0.3">
      <c r="A253" t="s">
        <v>15</v>
      </c>
      <c r="B253" s="1">
        <v>46170</v>
      </c>
      <c r="C253" t="s">
        <v>16</v>
      </c>
      <c r="D253">
        <v>241</v>
      </c>
      <c r="E253">
        <v>1</v>
      </c>
      <c r="F253">
        <v>1.4</v>
      </c>
      <c r="G253" t="s">
        <v>17</v>
      </c>
      <c r="I253" t="str">
        <f t="shared" si="3"/>
        <v>241_1</v>
      </c>
      <c r="J253" t="s">
        <v>18</v>
      </c>
      <c r="K253" t="s">
        <v>19</v>
      </c>
      <c r="L253" t="str">
        <f>_xlfn.XLOOKUP(C253, Table2[Species],Table2[Genus], "Code Not Found")</f>
        <v>Acer</v>
      </c>
      <c r="M253" t="str">
        <f>_xlfn.XLOOKUP(C253, Table2[Species],Table2[Sp. Name], "Code Not Found")</f>
        <v>saccharum</v>
      </c>
      <c r="N253" t="str">
        <f>_xlfn.XLOOKUP(C253,Table2[Species],Table2[Family],"Code Not Found")</f>
        <v>Sapindaceae</v>
      </c>
      <c r="O253" t="str" cm="1">
        <f t="array" ref="O253">_xlfn.IFS(F253="","",F253&lt;=5,"0 to 5",F253&lt;=10,"5.1 to 10",F253&lt;=20,"10 to 20", F253&lt;= 40, "20 to 40", F253 &lt;= 50, "40 to 50", F253 &gt; 50, "&gt;50" )</f>
        <v>0 to 5</v>
      </c>
    </row>
    <row r="254" spans="1:15" ht="14.4" x14ac:dyDescent="0.3">
      <c r="A254" t="s">
        <v>15</v>
      </c>
      <c r="B254" s="1">
        <v>46170</v>
      </c>
      <c r="C254" t="s">
        <v>16</v>
      </c>
      <c r="D254">
        <v>242</v>
      </c>
      <c r="E254">
        <v>1</v>
      </c>
      <c r="F254">
        <v>5.2</v>
      </c>
      <c r="G254" t="s">
        <v>17</v>
      </c>
      <c r="H254" t="s">
        <v>106</v>
      </c>
      <c r="I254" t="str">
        <f t="shared" si="3"/>
        <v>242_1</v>
      </c>
      <c r="J254" t="s">
        <v>18</v>
      </c>
      <c r="K254" t="s">
        <v>19</v>
      </c>
      <c r="L254" t="str">
        <f>_xlfn.XLOOKUP(C254, Table2[Species],Table2[Genus], "Code Not Found")</f>
        <v>Acer</v>
      </c>
      <c r="M254" t="str">
        <f>_xlfn.XLOOKUP(C254, Table2[Species],Table2[Sp. Name], "Code Not Found")</f>
        <v>saccharum</v>
      </c>
      <c r="N254" t="str">
        <f>_xlfn.XLOOKUP(C254,Table2[Species],Table2[Family],"Code Not Found")</f>
        <v>Sapindaceae</v>
      </c>
      <c r="O254" t="str" cm="1">
        <f t="array" ref="O254">_xlfn.IFS(F254="","",F254&lt;=5,"0 to 5",F254&lt;=10,"5.1 to 10",F254&lt;=20,"10 to 20", F254&lt;= 40, "20 to 40", F254 &lt;= 50, "40 to 50", F254 &gt; 50, "&gt;50" )</f>
        <v>5.1 to 10</v>
      </c>
    </row>
    <row r="255" spans="1:15" ht="14.4" x14ac:dyDescent="0.3">
      <c r="A255" t="s">
        <v>15</v>
      </c>
      <c r="B255" s="1">
        <v>46170</v>
      </c>
      <c r="C255" t="s">
        <v>22</v>
      </c>
      <c r="D255">
        <v>243</v>
      </c>
      <c r="E255">
        <v>1</v>
      </c>
      <c r="F255">
        <v>56.8</v>
      </c>
      <c r="G255" t="s">
        <v>56</v>
      </c>
      <c r="H255" t="s">
        <v>107</v>
      </c>
      <c r="I255" t="str">
        <f t="shared" si="3"/>
        <v>243_1</v>
      </c>
      <c r="J255" t="s">
        <v>18</v>
      </c>
      <c r="K255" t="s">
        <v>19</v>
      </c>
      <c r="L255" t="str">
        <f>_xlfn.XLOOKUP(C255, Table2[Species],Table2[Genus], "Code Not Found")</f>
        <v>Acer</v>
      </c>
      <c r="M255" t="str">
        <f>_xlfn.XLOOKUP(C255, Table2[Species],Table2[Sp. Name], "Code Not Found")</f>
        <v>rubrum</v>
      </c>
      <c r="N255" t="str">
        <f>_xlfn.XLOOKUP(C255,Table2[Species],Table2[Family],"Code Not Found")</f>
        <v>Sapindaceae</v>
      </c>
      <c r="O255" t="str" cm="1">
        <f t="array" ref="O255">_xlfn.IFS(F255="","",F255&lt;=5,"0 to 5",F255&lt;=10,"5.1 to 10",F255&lt;=20,"10 to 20", F255&lt;= 40, "20 to 40", F255 &lt;= 50, "40 to 50", F255 &gt; 50, "&gt;50" )</f>
        <v>&gt;50</v>
      </c>
    </row>
    <row r="256" spans="1:15" ht="14.4" x14ac:dyDescent="0.3">
      <c r="A256" t="s">
        <v>15</v>
      </c>
      <c r="B256" s="1">
        <v>46170</v>
      </c>
      <c r="C256" t="s">
        <v>16</v>
      </c>
      <c r="D256">
        <v>244</v>
      </c>
      <c r="E256">
        <v>1</v>
      </c>
      <c r="F256">
        <v>3</v>
      </c>
      <c r="G256" t="s">
        <v>47</v>
      </c>
      <c r="I256" t="str">
        <f t="shared" si="3"/>
        <v>244_1</v>
      </c>
      <c r="J256" t="s">
        <v>18</v>
      </c>
      <c r="K256" t="s">
        <v>19</v>
      </c>
      <c r="L256" t="str">
        <f>_xlfn.XLOOKUP(C256, Table2[Species],Table2[Genus], "Code Not Found")</f>
        <v>Acer</v>
      </c>
      <c r="M256" t="str">
        <f>_xlfn.XLOOKUP(C256, Table2[Species],Table2[Sp. Name], "Code Not Found")</f>
        <v>saccharum</v>
      </c>
      <c r="N256" t="str">
        <f>_xlfn.XLOOKUP(C256,Table2[Species],Table2[Family],"Code Not Found")</f>
        <v>Sapindaceae</v>
      </c>
      <c r="O256" t="str" cm="1">
        <f t="array" ref="O256">_xlfn.IFS(F256="","",F256&lt;=5,"0 to 5",F256&lt;=10,"5.1 to 10",F256&lt;=20,"10 to 20", F256&lt;= 40, "20 to 40", F256 &lt;= 50, "40 to 50", F256 &gt; 50, "&gt;50" )</f>
        <v>0 to 5</v>
      </c>
    </row>
    <row r="257" spans="1:15" ht="14.4" x14ac:dyDescent="0.3">
      <c r="A257" t="s">
        <v>15</v>
      </c>
      <c r="B257" s="1">
        <v>46170</v>
      </c>
      <c r="C257" t="s">
        <v>16</v>
      </c>
      <c r="D257">
        <v>245</v>
      </c>
      <c r="E257">
        <v>1</v>
      </c>
      <c r="F257">
        <v>1.7</v>
      </c>
      <c r="G257" t="s">
        <v>39</v>
      </c>
      <c r="I257" t="str">
        <f t="shared" si="3"/>
        <v>245_1</v>
      </c>
      <c r="J257" t="s">
        <v>18</v>
      </c>
      <c r="K257" t="s">
        <v>19</v>
      </c>
      <c r="L257" t="str">
        <f>_xlfn.XLOOKUP(C257, Table2[Species],Table2[Genus], "Code Not Found")</f>
        <v>Acer</v>
      </c>
      <c r="M257" t="str">
        <f>_xlfn.XLOOKUP(C257, Table2[Species],Table2[Sp. Name], "Code Not Found")</f>
        <v>saccharum</v>
      </c>
      <c r="N257" t="str">
        <f>_xlfn.XLOOKUP(C257,Table2[Species],Table2[Family],"Code Not Found")</f>
        <v>Sapindaceae</v>
      </c>
      <c r="O257" t="str" cm="1">
        <f t="array" ref="O257">_xlfn.IFS(F257="","",F257&lt;=5,"0 to 5",F257&lt;=10,"5.1 to 10",F257&lt;=20,"10 to 20", F257&lt;= 40, "20 to 40", F257 &lt;= 50, "40 to 50", F257 &gt; 50, "&gt;50" )</f>
        <v>0 to 5</v>
      </c>
    </row>
    <row r="258" spans="1:15" ht="14.4" x14ac:dyDescent="0.3">
      <c r="A258" t="s">
        <v>15</v>
      </c>
      <c r="B258" s="1">
        <v>46170</v>
      </c>
      <c r="C258" t="s">
        <v>29</v>
      </c>
      <c r="D258">
        <v>246</v>
      </c>
      <c r="E258">
        <v>1</v>
      </c>
      <c r="F258">
        <v>48.8</v>
      </c>
      <c r="G258" t="s">
        <v>17</v>
      </c>
      <c r="I258" t="str">
        <f t="shared" si="3"/>
        <v>246_1</v>
      </c>
      <c r="J258" t="s">
        <v>18</v>
      </c>
      <c r="K258" t="s">
        <v>19</v>
      </c>
      <c r="L258" t="str">
        <f>_xlfn.XLOOKUP(C258, Table2[Species],Table2[Genus], "Code Not Found")</f>
        <v>Sassafras</v>
      </c>
      <c r="M258" t="str">
        <f>_xlfn.XLOOKUP(C258, Table2[Species],Table2[Sp. Name], "Code Not Found")</f>
        <v>albidum</v>
      </c>
      <c r="N258" t="str">
        <f>_xlfn.XLOOKUP(C258,Table2[Species],Table2[Family],"Code Not Found")</f>
        <v>Lauraceae</v>
      </c>
      <c r="O258" t="str" cm="1">
        <f t="array" ref="O258">_xlfn.IFS(F258="","",F258&lt;=5,"0 to 5",F258&lt;=10,"5.1 to 10",F258&lt;=20,"10 to 20", F258&lt;= 40, "20 to 40", F258 &lt;= 50, "40 to 50", F258 &gt; 50, "&gt;50" )</f>
        <v>40 to 50</v>
      </c>
    </row>
    <row r="259" spans="1:15" ht="14.4" x14ac:dyDescent="0.3">
      <c r="A259" t="s">
        <v>15</v>
      </c>
      <c r="B259" s="1">
        <v>46170</v>
      </c>
      <c r="C259" t="s">
        <v>16</v>
      </c>
      <c r="D259">
        <v>247</v>
      </c>
      <c r="E259">
        <v>1</v>
      </c>
      <c r="F259">
        <v>2.2999999999999998</v>
      </c>
      <c r="G259" t="s">
        <v>17</v>
      </c>
      <c r="I259" t="str">
        <f t="shared" ref="I259:I322" si="4">D259&amp;"_"&amp;E259</f>
        <v>247_1</v>
      </c>
      <c r="J259" t="s">
        <v>18</v>
      </c>
      <c r="K259" t="s">
        <v>19</v>
      </c>
      <c r="L259" t="str">
        <f>_xlfn.XLOOKUP(C259, Table2[Species],Table2[Genus], "Code Not Found")</f>
        <v>Acer</v>
      </c>
      <c r="M259" t="str">
        <f>_xlfn.XLOOKUP(C259, Table2[Species],Table2[Sp. Name], "Code Not Found")</f>
        <v>saccharum</v>
      </c>
      <c r="N259" t="str">
        <f>_xlfn.XLOOKUP(C259,Table2[Species],Table2[Family],"Code Not Found")</f>
        <v>Sapindaceae</v>
      </c>
      <c r="O259" t="str" cm="1">
        <f t="array" ref="O259">_xlfn.IFS(F259="","",F259&lt;=5,"0 to 5",F259&lt;=10,"5.1 to 10",F259&lt;=20,"10 to 20", F259&lt;= 40, "20 to 40", F259 &lt;= 50, "40 to 50", F259 &gt; 50, "&gt;50" )</f>
        <v>0 to 5</v>
      </c>
    </row>
    <row r="260" spans="1:15" ht="14.4" x14ac:dyDescent="0.3">
      <c r="A260" t="s">
        <v>15</v>
      </c>
      <c r="B260" s="1">
        <v>46170</v>
      </c>
      <c r="C260" t="s">
        <v>22</v>
      </c>
      <c r="D260">
        <v>248</v>
      </c>
      <c r="E260">
        <v>1</v>
      </c>
      <c r="F260">
        <v>32.799999999999997</v>
      </c>
      <c r="G260" t="s">
        <v>17</v>
      </c>
      <c r="I260" t="str">
        <f t="shared" si="4"/>
        <v>248_1</v>
      </c>
      <c r="J260" t="s">
        <v>18</v>
      </c>
      <c r="K260" t="s">
        <v>19</v>
      </c>
      <c r="L260" t="str">
        <f>_xlfn.XLOOKUP(C260, Table2[Species],Table2[Genus], "Code Not Found")</f>
        <v>Acer</v>
      </c>
      <c r="M260" t="str">
        <f>_xlfn.XLOOKUP(C260, Table2[Species],Table2[Sp. Name], "Code Not Found")</f>
        <v>rubrum</v>
      </c>
      <c r="N260" t="str">
        <f>_xlfn.XLOOKUP(C260,Table2[Species],Table2[Family],"Code Not Found")</f>
        <v>Sapindaceae</v>
      </c>
      <c r="O260" t="str" cm="1">
        <f t="array" ref="O260">_xlfn.IFS(F260="","",F260&lt;=5,"0 to 5",F260&lt;=10,"5.1 to 10",F260&lt;=20,"10 to 20", F260&lt;= 40, "20 to 40", F260 &lt;= 50, "40 to 50", F260 &gt; 50, "&gt;50" )</f>
        <v>20 to 40</v>
      </c>
    </row>
    <row r="261" spans="1:15" ht="14.4" x14ac:dyDescent="0.3">
      <c r="A261" t="s">
        <v>15</v>
      </c>
      <c r="B261" s="1">
        <v>46170</v>
      </c>
      <c r="C261" t="s">
        <v>16</v>
      </c>
      <c r="D261">
        <v>249</v>
      </c>
      <c r="E261">
        <v>1</v>
      </c>
      <c r="F261">
        <v>26.8</v>
      </c>
      <c r="G261" t="s">
        <v>17</v>
      </c>
      <c r="H261" t="s">
        <v>106</v>
      </c>
      <c r="I261" t="str">
        <f t="shared" si="4"/>
        <v>249_1</v>
      </c>
      <c r="J261" t="s">
        <v>18</v>
      </c>
      <c r="K261" t="s">
        <v>19</v>
      </c>
      <c r="L261" t="str">
        <f>_xlfn.XLOOKUP(C261, Table2[Species],Table2[Genus], "Code Not Found")</f>
        <v>Acer</v>
      </c>
      <c r="M261" t="str">
        <f>_xlfn.XLOOKUP(C261, Table2[Species],Table2[Sp. Name], "Code Not Found")</f>
        <v>saccharum</v>
      </c>
      <c r="N261" t="str">
        <f>_xlfn.XLOOKUP(C261,Table2[Species],Table2[Family],"Code Not Found")</f>
        <v>Sapindaceae</v>
      </c>
      <c r="O261" t="str" cm="1">
        <f t="array" ref="O261">_xlfn.IFS(F261="","",F261&lt;=5,"0 to 5",F261&lt;=10,"5.1 to 10",F261&lt;=20,"10 to 20", F261&lt;= 40, "20 to 40", F261 &lt;= 50, "40 to 50", F261 &gt; 50, "&gt;50" )</f>
        <v>20 to 40</v>
      </c>
    </row>
    <row r="262" spans="1:15" ht="14.4" x14ac:dyDescent="0.3">
      <c r="A262" t="s">
        <v>15</v>
      </c>
      <c r="B262" s="1">
        <v>46170</v>
      </c>
      <c r="C262" t="s">
        <v>24</v>
      </c>
      <c r="D262">
        <v>250</v>
      </c>
      <c r="E262">
        <v>1</v>
      </c>
      <c r="F262">
        <v>33.9</v>
      </c>
      <c r="G262" t="s">
        <v>21</v>
      </c>
      <c r="I262" t="str">
        <f t="shared" si="4"/>
        <v>250_1</v>
      </c>
      <c r="J262" t="s">
        <v>18</v>
      </c>
      <c r="K262" t="s">
        <v>19</v>
      </c>
      <c r="L262" t="str">
        <f>_xlfn.XLOOKUP(C262, Table2[Species],Table2[Genus], "Code Not Found")</f>
        <v>Lirodendron</v>
      </c>
      <c r="M262" t="str">
        <f>_xlfn.XLOOKUP(C262, Table2[Species],Table2[Sp. Name], "Code Not Found")</f>
        <v>tulipfera</v>
      </c>
      <c r="N262" t="str">
        <f>_xlfn.XLOOKUP(C262,Table2[Species],Table2[Family],"Code Not Found")</f>
        <v>Magnoliaceae</v>
      </c>
      <c r="O262" t="str" cm="1">
        <f t="array" ref="O262">_xlfn.IFS(F262="","",F262&lt;=5,"0 to 5",F262&lt;=10,"5.1 to 10",F262&lt;=20,"10 to 20", F262&lt;= 40, "20 to 40", F262 &lt;= 50, "40 to 50", F262 &gt; 50, "&gt;50" )</f>
        <v>20 to 40</v>
      </c>
    </row>
    <row r="263" spans="1:15" ht="14.4" x14ac:dyDescent="0.3">
      <c r="A263" t="s">
        <v>15</v>
      </c>
      <c r="B263" s="1">
        <v>46170</v>
      </c>
      <c r="C263" t="s">
        <v>16</v>
      </c>
      <c r="D263">
        <v>251</v>
      </c>
      <c r="E263">
        <v>1</v>
      </c>
      <c r="F263">
        <v>1.2</v>
      </c>
      <c r="G263" t="s">
        <v>17</v>
      </c>
      <c r="I263" t="str">
        <f t="shared" si="4"/>
        <v>251_1</v>
      </c>
      <c r="J263" t="s">
        <v>18</v>
      </c>
      <c r="K263" t="s">
        <v>19</v>
      </c>
      <c r="L263" t="str">
        <f>_xlfn.XLOOKUP(C263, Table2[Species],Table2[Genus], "Code Not Found")</f>
        <v>Acer</v>
      </c>
      <c r="M263" t="str">
        <f>_xlfn.XLOOKUP(C263, Table2[Species],Table2[Sp. Name], "Code Not Found")</f>
        <v>saccharum</v>
      </c>
      <c r="N263" t="str">
        <f>_xlfn.XLOOKUP(C263,Table2[Species],Table2[Family],"Code Not Found")</f>
        <v>Sapindaceae</v>
      </c>
      <c r="O263" t="str" cm="1">
        <f t="array" ref="O263">_xlfn.IFS(F263="","",F263&lt;=5,"0 to 5",F263&lt;=10,"5.1 to 10",F263&lt;=20,"10 to 20", F263&lt;= 40, "20 to 40", F263 &lt;= 50, "40 to 50", F263 &gt; 50, "&gt;50" )</f>
        <v>0 to 5</v>
      </c>
    </row>
    <row r="264" spans="1:15" ht="14.4" x14ac:dyDescent="0.3">
      <c r="A264" t="s">
        <v>15</v>
      </c>
      <c r="B264" s="1">
        <v>46170</v>
      </c>
      <c r="C264" t="s">
        <v>16</v>
      </c>
      <c r="D264">
        <v>252</v>
      </c>
      <c r="E264">
        <v>1</v>
      </c>
      <c r="F264">
        <v>2.7</v>
      </c>
      <c r="G264" t="s">
        <v>94</v>
      </c>
      <c r="H264" t="s">
        <v>99</v>
      </c>
      <c r="I264" t="str">
        <f t="shared" si="4"/>
        <v>252_1</v>
      </c>
      <c r="J264" t="s">
        <v>18</v>
      </c>
      <c r="K264" t="s">
        <v>19</v>
      </c>
      <c r="L264" t="str">
        <f>_xlfn.XLOOKUP(C264, Table2[Species],Table2[Genus], "Code Not Found")</f>
        <v>Acer</v>
      </c>
      <c r="M264" t="str">
        <f>_xlfn.XLOOKUP(C264, Table2[Species],Table2[Sp. Name], "Code Not Found")</f>
        <v>saccharum</v>
      </c>
      <c r="N264" t="str">
        <f>_xlfn.XLOOKUP(C264,Table2[Species],Table2[Family],"Code Not Found")</f>
        <v>Sapindaceae</v>
      </c>
      <c r="O264" t="str" cm="1">
        <f t="array" ref="O264">_xlfn.IFS(F264="","",F264&lt;=5,"0 to 5",F264&lt;=10,"5.1 to 10",F264&lt;=20,"10 to 20", F264&lt;= 40, "20 to 40", F264 &lt;= 50, "40 to 50", F264 &gt; 50, "&gt;50" )</f>
        <v>0 to 5</v>
      </c>
    </row>
    <row r="265" spans="1:15" ht="14.4" x14ac:dyDescent="0.3">
      <c r="A265" t="s">
        <v>15</v>
      </c>
      <c r="B265" s="1">
        <v>46170</v>
      </c>
      <c r="C265" t="s">
        <v>16</v>
      </c>
      <c r="D265">
        <v>253</v>
      </c>
      <c r="E265">
        <v>1</v>
      </c>
      <c r="F265">
        <v>1.6</v>
      </c>
      <c r="G265" t="s">
        <v>17</v>
      </c>
      <c r="I265" t="str">
        <f t="shared" si="4"/>
        <v>253_1</v>
      </c>
      <c r="J265" t="s">
        <v>18</v>
      </c>
      <c r="K265" t="s">
        <v>19</v>
      </c>
      <c r="L265" t="str">
        <f>_xlfn.XLOOKUP(C265, Table2[Species],Table2[Genus], "Code Not Found")</f>
        <v>Acer</v>
      </c>
      <c r="M265" t="str">
        <f>_xlfn.XLOOKUP(C265, Table2[Species],Table2[Sp. Name], "Code Not Found")</f>
        <v>saccharum</v>
      </c>
      <c r="N265" t="str">
        <f>_xlfn.XLOOKUP(C265,Table2[Species],Table2[Family],"Code Not Found")</f>
        <v>Sapindaceae</v>
      </c>
      <c r="O265" t="str" cm="1">
        <f t="array" ref="O265">_xlfn.IFS(F265="","",F265&lt;=5,"0 to 5",F265&lt;=10,"5.1 to 10",F265&lt;=20,"10 to 20", F265&lt;= 40, "20 to 40", F265 &lt;= 50, "40 to 50", F265 &gt; 50, "&gt;50" )</f>
        <v>0 to 5</v>
      </c>
    </row>
    <row r="266" spans="1:15" ht="14.4" x14ac:dyDescent="0.3">
      <c r="A266" t="s">
        <v>15</v>
      </c>
      <c r="B266" s="1">
        <v>46170</v>
      </c>
      <c r="C266" t="s">
        <v>16</v>
      </c>
      <c r="D266">
        <v>254</v>
      </c>
      <c r="E266">
        <v>1</v>
      </c>
      <c r="F266">
        <v>1.8</v>
      </c>
      <c r="G266" t="s">
        <v>17</v>
      </c>
      <c r="I266" t="str">
        <f t="shared" si="4"/>
        <v>254_1</v>
      </c>
      <c r="J266" t="s">
        <v>18</v>
      </c>
      <c r="K266" t="s">
        <v>19</v>
      </c>
      <c r="L266" t="str">
        <f>_xlfn.XLOOKUP(C266, Table2[Species],Table2[Genus], "Code Not Found")</f>
        <v>Acer</v>
      </c>
      <c r="M266" t="str">
        <f>_xlfn.XLOOKUP(C266, Table2[Species],Table2[Sp. Name], "Code Not Found")</f>
        <v>saccharum</v>
      </c>
      <c r="N266" t="str">
        <f>_xlfn.XLOOKUP(C266,Table2[Species],Table2[Family],"Code Not Found")</f>
        <v>Sapindaceae</v>
      </c>
      <c r="O266" t="str" cm="1">
        <f t="array" ref="O266">_xlfn.IFS(F266="","",F266&lt;=5,"0 to 5",F266&lt;=10,"5.1 to 10",F266&lt;=20,"10 to 20", F266&lt;= 40, "20 to 40", F266 &lt;= 50, "40 to 50", F266 &gt; 50, "&gt;50" )</f>
        <v>0 to 5</v>
      </c>
    </row>
    <row r="267" spans="1:15" ht="14.4" x14ac:dyDescent="0.3">
      <c r="A267" t="s">
        <v>15</v>
      </c>
      <c r="B267" s="1">
        <v>46170</v>
      </c>
      <c r="C267" t="s">
        <v>16</v>
      </c>
      <c r="D267">
        <v>255</v>
      </c>
      <c r="E267">
        <v>1</v>
      </c>
      <c r="F267">
        <v>1.7</v>
      </c>
      <c r="G267" t="s">
        <v>17</v>
      </c>
      <c r="I267" t="str">
        <f t="shared" si="4"/>
        <v>255_1</v>
      </c>
      <c r="J267" t="s">
        <v>18</v>
      </c>
      <c r="K267" t="s">
        <v>19</v>
      </c>
      <c r="L267" t="str">
        <f>_xlfn.XLOOKUP(C267, Table2[Species],Table2[Genus], "Code Not Found")</f>
        <v>Acer</v>
      </c>
      <c r="M267" t="str">
        <f>_xlfn.XLOOKUP(C267, Table2[Species],Table2[Sp. Name], "Code Not Found")</f>
        <v>saccharum</v>
      </c>
      <c r="N267" t="str">
        <f>_xlfn.XLOOKUP(C267,Table2[Species],Table2[Family],"Code Not Found")</f>
        <v>Sapindaceae</v>
      </c>
      <c r="O267" t="str" cm="1">
        <f t="array" ref="O267">_xlfn.IFS(F267="","",F267&lt;=5,"0 to 5",F267&lt;=10,"5.1 to 10",F267&lt;=20,"10 to 20", F267&lt;= 40, "20 to 40", F267 &lt;= 50, "40 to 50", F267 &gt; 50, "&gt;50" )</f>
        <v>0 to 5</v>
      </c>
    </row>
    <row r="268" spans="1:15" ht="14.4" x14ac:dyDescent="0.3">
      <c r="A268" t="s">
        <v>15</v>
      </c>
      <c r="B268" s="1">
        <v>46170</v>
      </c>
      <c r="C268" t="s">
        <v>16</v>
      </c>
      <c r="D268">
        <v>256</v>
      </c>
      <c r="E268">
        <v>1</v>
      </c>
      <c r="F268">
        <v>2.4</v>
      </c>
      <c r="G268" t="s">
        <v>30</v>
      </c>
      <c r="H268" t="s">
        <v>108</v>
      </c>
      <c r="I268" t="str">
        <f t="shared" si="4"/>
        <v>256_1</v>
      </c>
      <c r="J268" t="s">
        <v>18</v>
      </c>
      <c r="K268" t="s">
        <v>19</v>
      </c>
      <c r="L268" t="str">
        <f>_xlfn.XLOOKUP(C268, Table2[Species],Table2[Genus], "Code Not Found")</f>
        <v>Acer</v>
      </c>
      <c r="M268" t="str">
        <f>_xlfn.XLOOKUP(C268, Table2[Species],Table2[Sp. Name], "Code Not Found")</f>
        <v>saccharum</v>
      </c>
      <c r="N268" t="str">
        <f>_xlfn.XLOOKUP(C268,Table2[Species],Table2[Family],"Code Not Found")</f>
        <v>Sapindaceae</v>
      </c>
      <c r="O268" t="str" cm="1">
        <f t="array" ref="O268">_xlfn.IFS(F268="","",F268&lt;=5,"0 to 5",F268&lt;=10,"5.1 to 10",F268&lt;=20,"10 to 20", F268&lt;= 40, "20 to 40", F268 &lt;= 50, "40 to 50", F268 &gt; 50, "&gt;50" )</f>
        <v>0 to 5</v>
      </c>
    </row>
    <row r="269" spans="1:15" ht="14.4" x14ac:dyDescent="0.3">
      <c r="A269" t="s">
        <v>15</v>
      </c>
      <c r="B269" s="1">
        <v>46170</v>
      </c>
      <c r="C269" t="s">
        <v>16</v>
      </c>
      <c r="D269">
        <v>257</v>
      </c>
      <c r="E269">
        <v>1</v>
      </c>
      <c r="F269">
        <v>2.1</v>
      </c>
      <c r="G269" t="s">
        <v>94</v>
      </c>
      <c r="H269" t="s">
        <v>99</v>
      </c>
      <c r="I269" t="str">
        <f t="shared" si="4"/>
        <v>257_1</v>
      </c>
      <c r="J269" t="s">
        <v>18</v>
      </c>
      <c r="K269" t="s">
        <v>19</v>
      </c>
      <c r="L269" t="str">
        <f>_xlfn.XLOOKUP(C269, Table2[Species],Table2[Genus], "Code Not Found")</f>
        <v>Acer</v>
      </c>
      <c r="M269" t="str">
        <f>_xlfn.XLOOKUP(C269, Table2[Species],Table2[Sp. Name], "Code Not Found")</f>
        <v>saccharum</v>
      </c>
      <c r="N269" t="str">
        <f>_xlfn.XLOOKUP(C269,Table2[Species],Table2[Family],"Code Not Found")</f>
        <v>Sapindaceae</v>
      </c>
      <c r="O269" t="str" cm="1">
        <f t="array" ref="O269">_xlfn.IFS(F269="","",F269&lt;=5,"0 to 5",F269&lt;=10,"5.1 to 10",F269&lt;=20,"10 to 20", F269&lt;= 40, "20 to 40", F269 &lt;= 50, "40 to 50", F269 &gt; 50, "&gt;50" )</f>
        <v>0 to 5</v>
      </c>
    </row>
    <row r="270" spans="1:15" ht="14.4" x14ac:dyDescent="0.3">
      <c r="A270" t="s">
        <v>15</v>
      </c>
      <c r="B270" s="1">
        <v>46170</v>
      </c>
      <c r="C270" t="s">
        <v>16</v>
      </c>
      <c r="D270">
        <v>258</v>
      </c>
      <c r="E270">
        <v>1</v>
      </c>
      <c r="F270">
        <v>1.6</v>
      </c>
      <c r="G270" t="s">
        <v>17</v>
      </c>
      <c r="I270" t="str">
        <f t="shared" si="4"/>
        <v>258_1</v>
      </c>
      <c r="J270" t="s">
        <v>18</v>
      </c>
      <c r="K270" t="s">
        <v>19</v>
      </c>
      <c r="L270" t="str">
        <f>_xlfn.XLOOKUP(C270, Table2[Species],Table2[Genus], "Code Not Found")</f>
        <v>Acer</v>
      </c>
      <c r="M270" t="str">
        <f>_xlfn.XLOOKUP(C270, Table2[Species],Table2[Sp. Name], "Code Not Found")</f>
        <v>saccharum</v>
      </c>
      <c r="N270" t="str">
        <f>_xlfn.XLOOKUP(C270,Table2[Species],Table2[Family],"Code Not Found")</f>
        <v>Sapindaceae</v>
      </c>
      <c r="O270" t="str" cm="1">
        <f t="array" ref="O270">_xlfn.IFS(F270="","",F270&lt;=5,"0 to 5",F270&lt;=10,"5.1 to 10",F270&lt;=20,"10 to 20", F270&lt;= 40, "20 to 40", F270 &lt;= 50, "40 to 50", F270 &gt; 50, "&gt;50" )</f>
        <v>0 to 5</v>
      </c>
    </row>
    <row r="271" spans="1:15" ht="14.4" x14ac:dyDescent="0.3">
      <c r="A271" t="s">
        <v>15</v>
      </c>
      <c r="B271" s="1">
        <v>46170</v>
      </c>
      <c r="C271" t="s">
        <v>16</v>
      </c>
      <c r="D271">
        <v>259</v>
      </c>
      <c r="E271">
        <v>1</v>
      </c>
      <c r="F271">
        <v>1.2</v>
      </c>
      <c r="G271" t="s">
        <v>17</v>
      </c>
      <c r="I271" t="str">
        <f t="shared" si="4"/>
        <v>259_1</v>
      </c>
      <c r="J271" t="s">
        <v>18</v>
      </c>
      <c r="K271" t="s">
        <v>19</v>
      </c>
      <c r="L271" t="str">
        <f>_xlfn.XLOOKUP(C271, Table2[Species],Table2[Genus], "Code Not Found")</f>
        <v>Acer</v>
      </c>
      <c r="M271" t="str">
        <f>_xlfn.XLOOKUP(C271, Table2[Species],Table2[Sp. Name], "Code Not Found")</f>
        <v>saccharum</v>
      </c>
      <c r="N271" t="str">
        <f>_xlfn.XLOOKUP(C271,Table2[Species],Table2[Family],"Code Not Found")</f>
        <v>Sapindaceae</v>
      </c>
      <c r="O271" t="str" cm="1">
        <f t="array" ref="O271">_xlfn.IFS(F271="","",F271&lt;=5,"0 to 5",F271&lt;=10,"5.1 to 10",F271&lt;=20,"10 to 20", F271&lt;= 40, "20 to 40", F271 &lt;= 50, "40 to 50", F271 &gt; 50, "&gt;50" )</f>
        <v>0 to 5</v>
      </c>
    </row>
    <row r="272" spans="1:15" ht="14.4" x14ac:dyDescent="0.3">
      <c r="A272" t="s">
        <v>15</v>
      </c>
      <c r="B272" s="1">
        <v>46170</v>
      </c>
      <c r="C272" t="s">
        <v>16</v>
      </c>
      <c r="D272">
        <v>260</v>
      </c>
      <c r="E272">
        <v>1</v>
      </c>
      <c r="F272">
        <v>3.4</v>
      </c>
      <c r="G272" t="s">
        <v>94</v>
      </c>
      <c r="H272" t="s">
        <v>99</v>
      </c>
      <c r="I272" t="str">
        <f t="shared" si="4"/>
        <v>260_1</v>
      </c>
      <c r="J272" t="s">
        <v>18</v>
      </c>
      <c r="K272" t="s">
        <v>19</v>
      </c>
      <c r="L272" t="str">
        <f>_xlfn.XLOOKUP(C272, Table2[Species],Table2[Genus], "Code Not Found")</f>
        <v>Acer</v>
      </c>
      <c r="M272" t="str">
        <f>_xlfn.XLOOKUP(C272, Table2[Species],Table2[Sp. Name], "Code Not Found")</f>
        <v>saccharum</v>
      </c>
      <c r="N272" t="str">
        <f>_xlfn.XLOOKUP(C272,Table2[Species],Table2[Family],"Code Not Found")</f>
        <v>Sapindaceae</v>
      </c>
      <c r="O272" t="str" cm="1">
        <f t="array" ref="O272">_xlfn.IFS(F272="","",F272&lt;=5,"0 to 5",F272&lt;=10,"5.1 to 10",F272&lt;=20,"10 to 20", F272&lt;= 40, "20 to 40", F272 &lt;= 50, "40 to 50", F272 &gt; 50, "&gt;50" )</f>
        <v>0 to 5</v>
      </c>
    </row>
    <row r="273" spans="1:15" ht="14.4" x14ac:dyDescent="0.3">
      <c r="A273" t="s">
        <v>15</v>
      </c>
      <c r="B273" s="1">
        <v>46170</v>
      </c>
      <c r="C273" t="s">
        <v>16</v>
      </c>
      <c r="D273">
        <v>261</v>
      </c>
      <c r="E273">
        <v>1</v>
      </c>
      <c r="F273">
        <v>1.4</v>
      </c>
      <c r="G273" t="s">
        <v>47</v>
      </c>
      <c r="H273" t="s">
        <v>48</v>
      </c>
      <c r="I273" t="str">
        <f t="shared" si="4"/>
        <v>261_1</v>
      </c>
      <c r="J273" t="s">
        <v>18</v>
      </c>
      <c r="K273" t="s">
        <v>19</v>
      </c>
      <c r="L273" t="str">
        <f>_xlfn.XLOOKUP(C273, Table2[Species],Table2[Genus], "Code Not Found")</f>
        <v>Acer</v>
      </c>
      <c r="M273" t="str">
        <f>_xlfn.XLOOKUP(C273, Table2[Species],Table2[Sp. Name], "Code Not Found")</f>
        <v>saccharum</v>
      </c>
      <c r="N273" t="str">
        <f>_xlfn.XLOOKUP(C273,Table2[Species],Table2[Family],"Code Not Found")</f>
        <v>Sapindaceae</v>
      </c>
      <c r="O273" t="str" cm="1">
        <f t="array" ref="O273">_xlfn.IFS(F273="","",F273&lt;=5,"0 to 5",F273&lt;=10,"5.1 to 10",F273&lt;=20,"10 to 20", F273&lt;= 40, "20 to 40", F273 &lt;= 50, "40 to 50", F273 &gt; 50, "&gt;50" )</f>
        <v>0 to 5</v>
      </c>
    </row>
    <row r="274" spans="1:15" ht="14.4" x14ac:dyDescent="0.3">
      <c r="A274" t="s">
        <v>15</v>
      </c>
      <c r="B274" s="1">
        <v>46170</v>
      </c>
      <c r="C274" t="s">
        <v>16</v>
      </c>
      <c r="D274">
        <v>262</v>
      </c>
      <c r="E274">
        <v>1</v>
      </c>
      <c r="F274">
        <v>2</v>
      </c>
      <c r="G274" t="s">
        <v>47</v>
      </c>
      <c r="H274" t="s">
        <v>48</v>
      </c>
      <c r="I274" t="str">
        <f t="shared" si="4"/>
        <v>262_1</v>
      </c>
      <c r="J274" t="s">
        <v>18</v>
      </c>
      <c r="K274" t="s">
        <v>19</v>
      </c>
      <c r="L274" t="str">
        <f>_xlfn.XLOOKUP(C274, Table2[Species],Table2[Genus], "Code Not Found")</f>
        <v>Acer</v>
      </c>
      <c r="M274" t="str">
        <f>_xlfn.XLOOKUP(C274, Table2[Species],Table2[Sp. Name], "Code Not Found")</f>
        <v>saccharum</v>
      </c>
      <c r="N274" t="str">
        <f>_xlfn.XLOOKUP(C274,Table2[Species],Table2[Family],"Code Not Found")</f>
        <v>Sapindaceae</v>
      </c>
      <c r="O274" t="str" cm="1">
        <f t="array" ref="O274">_xlfn.IFS(F274="","",F274&lt;=5,"0 to 5",F274&lt;=10,"5.1 to 10",F274&lt;=20,"10 to 20", F274&lt;= 40, "20 to 40", F274 &lt;= 50, "40 to 50", F274 &gt; 50, "&gt;50" )</f>
        <v>0 to 5</v>
      </c>
    </row>
    <row r="275" spans="1:15" ht="14.4" x14ac:dyDescent="0.3">
      <c r="A275" t="s">
        <v>15</v>
      </c>
      <c r="B275" s="1">
        <v>46170</v>
      </c>
      <c r="C275" t="s">
        <v>16</v>
      </c>
      <c r="D275">
        <v>263</v>
      </c>
      <c r="E275">
        <v>1</v>
      </c>
      <c r="F275">
        <v>2</v>
      </c>
      <c r="G275" t="s">
        <v>47</v>
      </c>
      <c r="H275" t="s">
        <v>48</v>
      </c>
      <c r="I275" t="str">
        <f t="shared" si="4"/>
        <v>263_1</v>
      </c>
      <c r="J275" t="s">
        <v>18</v>
      </c>
      <c r="K275" t="s">
        <v>19</v>
      </c>
      <c r="L275" t="str">
        <f>_xlfn.XLOOKUP(C275, Table2[Species],Table2[Genus], "Code Not Found")</f>
        <v>Acer</v>
      </c>
      <c r="M275" t="str">
        <f>_xlfn.XLOOKUP(C275, Table2[Species],Table2[Sp. Name], "Code Not Found")</f>
        <v>saccharum</v>
      </c>
      <c r="N275" t="str">
        <f>_xlfn.XLOOKUP(C275,Table2[Species],Table2[Family],"Code Not Found")</f>
        <v>Sapindaceae</v>
      </c>
      <c r="O275" t="str" cm="1">
        <f t="array" ref="O275">_xlfn.IFS(F275="","",F275&lt;=5,"0 to 5",F275&lt;=10,"5.1 to 10",F275&lt;=20,"10 to 20", F275&lt;= 40, "20 to 40", F275 &lt;= 50, "40 to 50", F275 &gt; 50, "&gt;50" )</f>
        <v>0 to 5</v>
      </c>
    </row>
    <row r="276" spans="1:15" ht="14.4" x14ac:dyDescent="0.3">
      <c r="A276" t="s">
        <v>15</v>
      </c>
      <c r="B276" s="1">
        <v>46170</v>
      </c>
      <c r="C276" t="s">
        <v>16</v>
      </c>
      <c r="D276">
        <v>264</v>
      </c>
      <c r="E276">
        <v>1</v>
      </c>
      <c r="F276">
        <v>1.2</v>
      </c>
      <c r="G276" t="s">
        <v>17</v>
      </c>
      <c r="I276" t="str">
        <f t="shared" si="4"/>
        <v>264_1</v>
      </c>
      <c r="J276" t="s">
        <v>18</v>
      </c>
      <c r="K276" t="s">
        <v>19</v>
      </c>
      <c r="L276" t="str">
        <f>_xlfn.XLOOKUP(C276, Table2[Species],Table2[Genus], "Code Not Found")</f>
        <v>Acer</v>
      </c>
      <c r="M276" t="str">
        <f>_xlfn.XLOOKUP(C276, Table2[Species],Table2[Sp. Name], "Code Not Found")</f>
        <v>saccharum</v>
      </c>
      <c r="N276" t="str">
        <f>_xlfn.XLOOKUP(C276,Table2[Species],Table2[Family],"Code Not Found")</f>
        <v>Sapindaceae</v>
      </c>
      <c r="O276" t="str" cm="1">
        <f t="array" ref="O276">_xlfn.IFS(F276="","",F276&lt;=5,"0 to 5",F276&lt;=10,"5.1 to 10",F276&lt;=20,"10 to 20", F276&lt;= 40, "20 to 40", F276 &lt;= 50, "40 to 50", F276 &gt; 50, "&gt;50" )</f>
        <v>0 to 5</v>
      </c>
    </row>
    <row r="277" spans="1:15" ht="14.4" x14ac:dyDescent="0.3">
      <c r="A277" t="s">
        <v>15</v>
      </c>
      <c r="B277" s="1">
        <v>46170</v>
      </c>
      <c r="C277" t="s">
        <v>16</v>
      </c>
      <c r="D277">
        <v>265</v>
      </c>
      <c r="E277">
        <v>1</v>
      </c>
      <c r="F277">
        <v>1.5</v>
      </c>
      <c r="G277" t="s">
        <v>17</v>
      </c>
      <c r="I277" t="str">
        <f t="shared" si="4"/>
        <v>265_1</v>
      </c>
      <c r="J277" t="s">
        <v>18</v>
      </c>
      <c r="K277" t="s">
        <v>19</v>
      </c>
      <c r="L277" t="str">
        <f>_xlfn.XLOOKUP(C277, Table2[Species],Table2[Genus], "Code Not Found")</f>
        <v>Acer</v>
      </c>
      <c r="M277" t="str">
        <f>_xlfn.XLOOKUP(C277, Table2[Species],Table2[Sp. Name], "Code Not Found")</f>
        <v>saccharum</v>
      </c>
      <c r="N277" t="str">
        <f>_xlfn.XLOOKUP(C277,Table2[Species],Table2[Family],"Code Not Found")</f>
        <v>Sapindaceae</v>
      </c>
      <c r="O277" t="str" cm="1">
        <f t="array" ref="O277">_xlfn.IFS(F277="","",F277&lt;=5,"0 to 5",F277&lt;=10,"5.1 to 10",F277&lt;=20,"10 to 20", F277&lt;= 40, "20 to 40", F277 &lt;= 50, "40 to 50", F277 &gt; 50, "&gt;50" )</f>
        <v>0 to 5</v>
      </c>
    </row>
    <row r="278" spans="1:15" ht="14.4" x14ac:dyDescent="0.3">
      <c r="A278" t="s">
        <v>15</v>
      </c>
      <c r="B278" s="1">
        <v>46170</v>
      </c>
      <c r="C278" t="s">
        <v>22</v>
      </c>
      <c r="D278">
        <v>266</v>
      </c>
      <c r="E278">
        <v>1</v>
      </c>
      <c r="F278">
        <v>82</v>
      </c>
      <c r="G278" t="s">
        <v>56</v>
      </c>
      <c r="H278" t="s">
        <v>109</v>
      </c>
      <c r="I278" t="str">
        <f t="shared" si="4"/>
        <v>266_1</v>
      </c>
      <c r="J278" t="s">
        <v>18</v>
      </c>
      <c r="K278" t="s">
        <v>19</v>
      </c>
      <c r="L278" t="str">
        <f>_xlfn.XLOOKUP(C278, Table2[Species],Table2[Genus], "Code Not Found")</f>
        <v>Acer</v>
      </c>
      <c r="M278" t="str">
        <f>_xlfn.XLOOKUP(C278, Table2[Species],Table2[Sp. Name], "Code Not Found")</f>
        <v>rubrum</v>
      </c>
      <c r="N278" t="str">
        <f>_xlfn.XLOOKUP(C278,Table2[Species],Table2[Family],"Code Not Found")</f>
        <v>Sapindaceae</v>
      </c>
      <c r="O278" t="str" cm="1">
        <f t="array" ref="O278">_xlfn.IFS(F278="","",F278&lt;=5,"0 to 5",F278&lt;=10,"5.1 to 10",F278&lt;=20,"10 to 20", F278&lt;= 40, "20 to 40", F278 &lt;= 50, "40 to 50", F278 &gt; 50, "&gt;50" )</f>
        <v>&gt;50</v>
      </c>
    </row>
    <row r="279" spans="1:15" ht="14.4" x14ac:dyDescent="0.3">
      <c r="A279" t="s">
        <v>15</v>
      </c>
      <c r="B279" s="1">
        <v>46170</v>
      </c>
      <c r="C279" t="s">
        <v>16</v>
      </c>
      <c r="D279">
        <v>267</v>
      </c>
      <c r="E279">
        <v>1</v>
      </c>
      <c r="F279">
        <v>2.2000000000000002</v>
      </c>
      <c r="G279" t="s">
        <v>94</v>
      </c>
      <c r="H279" t="s">
        <v>110</v>
      </c>
      <c r="I279" t="str">
        <f t="shared" si="4"/>
        <v>267_1</v>
      </c>
      <c r="J279" t="s">
        <v>18</v>
      </c>
      <c r="K279" t="s">
        <v>19</v>
      </c>
      <c r="L279" t="str">
        <f>_xlfn.XLOOKUP(C279, Table2[Species],Table2[Genus], "Code Not Found")</f>
        <v>Acer</v>
      </c>
      <c r="M279" t="str">
        <f>_xlfn.XLOOKUP(C279, Table2[Species],Table2[Sp. Name], "Code Not Found")</f>
        <v>saccharum</v>
      </c>
      <c r="N279" t="str">
        <f>_xlfn.XLOOKUP(C279,Table2[Species],Table2[Family],"Code Not Found")</f>
        <v>Sapindaceae</v>
      </c>
      <c r="O279" t="str" cm="1">
        <f t="array" ref="O279">_xlfn.IFS(F279="","",F279&lt;=5,"0 to 5",F279&lt;=10,"5.1 to 10",F279&lt;=20,"10 to 20", F279&lt;= 40, "20 to 40", F279 &lt;= 50, "40 to 50", F279 &gt; 50, "&gt;50" )</f>
        <v>0 to 5</v>
      </c>
    </row>
    <row r="280" spans="1:15" ht="14.4" x14ac:dyDescent="0.3">
      <c r="A280" t="s">
        <v>15</v>
      </c>
      <c r="B280" s="1">
        <v>46170</v>
      </c>
      <c r="C280" t="s">
        <v>16</v>
      </c>
      <c r="D280">
        <v>268</v>
      </c>
      <c r="E280">
        <v>1</v>
      </c>
      <c r="F280">
        <v>5.4</v>
      </c>
      <c r="G280" t="s">
        <v>30</v>
      </c>
      <c r="H280" t="s">
        <v>31</v>
      </c>
      <c r="I280" t="str">
        <f t="shared" si="4"/>
        <v>268_1</v>
      </c>
      <c r="J280" t="s">
        <v>18</v>
      </c>
      <c r="K280" t="s">
        <v>19</v>
      </c>
      <c r="L280" t="str">
        <f>_xlfn.XLOOKUP(C280, Table2[Species],Table2[Genus], "Code Not Found")</f>
        <v>Acer</v>
      </c>
      <c r="M280" t="str">
        <f>_xlfn.XLOOKUP(C280, Table2[Species],Table2[Sp. Name], "Code Not Found")</f>
        <v>saccharum</v>
      </c>
      <c r="N280" t="str">
        <f>_xlfn.XLOOKUP(C280,Table2[Species],Table2[Family],"Code Not Found")</f>
        <v>Sapindaceae</v>
      </c>
      <c r="O280" t="str" cm="1">
        <f t="array" ref="O280">_xlfn.IFS(F280="","",F280&lt;=5,"0 to 5",F280&lt;=10,"5.1 to 10",F280&lt;=20,"10 to 20", F280&lt;= 40, "20 to 40", F280 &lt;= 50, "40 to 50", F280 &gt; 50, "&gt;50" )</f>
        <v>5.1 to 10</v>
      </c>
    </row>
    <row r="281" spans="1:15" ht="14.4" x14ac:dyDescent="0.3">
      <c r="A281" t="s">
        <v>15</v>
      </c>
      <c r="B281" s="1">
        <v>46170</v>
      </c>
      <c r="C281" t="s">
        <v>16</v>
      </c>
      <c r="D281">
        <v>269</v>
      </c>
      <c r="E281">
        <v>1</v>
      </c>
      <c r="F281">
        <v>4.7</v>
      </c>
      <c r="G281" t="s">
        <v>21</v>
      </c>
      <c r="I281" t="str">
        <f t="shared" si="4"/>
        <v>269_1</v>
      </c>
      <c r="J281" t="s">
        <v>18</v>
      </c>
      <c r="K281" t="s">
        <v>19</v>
      </c>
      <c r="L281" t="str">
        <f>_xlfn.XLOOKUP(C281, Table2[Species],Table2[Genus], "Code Not Found")</f>
        <v>Acer</v>
      </c>
      <c r="M281" t="str">
        <f>_xlfn.XLOOKUP(C281, Table2[Species],Table2[Sp. Name], "Code Not Found")</f>
        <v>saccharum</v>
      </c>
      <c r="N281" t="str">
        <f>_xlfn.XLOOKUP(C281,Table2[Species],Table2[Family],"Code Not Found")</f>
        <v>Sapindaceae</v>
      </c>
      <c r="O281" t="str" cm="1">
        <f t="array" ref="O281">_xlfn.IFS(F281="","",F281&lt;=5,"0 to 5",F281&lt;=10,"5.1 to 10",F281&lt;=20,"10 to 20", F281&lt;= 40, "20 to 40", F281 &lt;= 50, "40 to 50", F281 &gt; 50, "&gt;50" )</f>
        <v>0 to 5</v>
      </c>
    </row>
    <row r="282" spans="1:15" ht="14.4" x14ac:dyDescent="0.3">
      <c r="A282" t="s">
        <v>15</v>
      </c>
      <c r="B282" s="1">
        <v>46170</v>
      </c>
      <c r="C282" t="s">
        <v>16</v>
      </c>
      <c r="D282">
        <v>270</v>
      </c>
      <c r="E282">
        <v>1</v>
      </c>
      <c r="F282">
        <v>2.2999999999999998</v>
      </c>
      <c r="G282" t="s">
        <v>17</v>
      </c>
      <c r="I282" t="str">
        <f t="shared" si="4"/>
        <v>270_1</v>
      </c>
      <c r="J282" t="s">
        <v>18</v>
      </c>
      <c r="K282" t="s">
        <v>19</v>
      </c>
      <c r="L282" t="str">
        <f>_xlfn.XLOOKUP(C282, Table2[Species],Table2[Genus], "Code Not Found")</f>
        <v>Acer</v>
      </c>
      <c r="M282" t="str">
        <f>_xlfn.XLOOKUP(C282, Table2[Species],Table2[Sp. Name], "Code Not Found")</f>
        <v>saccharum</v>
      </c>
      <c r="N282" t="str">
        <f>_xlfn.XLOOKUP(C282,Table2[Species],Table2[Family],"Code Not Found")</f>
        <v>Sapindaceae</v>
      </c>
      <c r="O282" t="str" cm="1">
        <f t="array" ref="O282">_xlfn.IFS(F282="","",F282&lt;=5,"0 to 5",F282&lt;=10,"5.1 to 10",F282&lt;=20,"10 to 20", F282&lt;= 40, "20 to 40", F282 &lt;= 50, "40 to 50", F282 &gt; 50, "&gt;50" )</f>
        <v>0 to 5</v>
      </c>
    </row>
    <row r="283" spans="1:15" ht="14.4" x14ac:dyDescent="0.3">
      <c r="A283" t="s">
        <v>15</v>
      </c>
      <c r="B283" s="1">
        <v>46170</v>
      </c>
      <c r="C283" t="s">
        <v>16</v>
      </c>
      <c r="D283">
        <v>271</v>
      </c>
      <c r="E283">
        <v>1</v>
      </c>
      <c r="F283">
        <v>2.5</v>
      </c>
      <c r="G283" t="s">
        <v>17</v>
      </c>
      <c r="H283" t="s">
        <v>106</v>
      </c>
      <c r="I283" t="str">
        <f t="shared" si="4"/>
        <v>271_1</v>
      </c>
      <c r="J283" t="s">
        <v>18</v>
      </c>
      <c r="K283" t="s">
        <v>19</v>
      </c>
      <c r="L283" t="str">
        <f>_xlfn.XLOOKUP(C283, Table2[Species],Table2[Genus], "Code Not Found")</f>
        <v>Acer</v>
      </c>
      <c r="M283" t="str">
        <f>_xlfn.XLOOKUP(C283, Table2[Species],Table2[Sp. Name], "Code Not Found")</f>
        <v>saccharum</v>
      </c>
      <c r="N283" t="str">
        <f>_xlfn.XLOOKUP(C283,Table2[Species],Table2[Family],"Code Not Found")</f>
        <v>Sapindaceae</v>
      </c>
      <c r="O283" t="str" cm="1">
        <f t="array" ref="O283">_xlfn.IFS(F283="","",F283&lt;=5,"0 to 5",F283&lt;=10,"5.1 to 10",F283&lt;=20,"10 to 20", F283&lt;= 40, "20 to 40", F283 &lt;= 50, "40 to 50", F283 &gt; 50, "&gt;50" )</f>
        <v>0 to 5</v>
      </c>
    </row>
    <row r="284" spans="1:15" ht="14.4" x14ac:dyDescent="0.3">
      <c r="A284" t="s">
        <v>15</v>
      </c>
      <c r="B284" s="1">
        <v>46170</v>
      </c>
      <c r="C284" t="s">
        <v>16</v>
      </c>
      <c r="D284">
        <v>272</v>
      </c>
      <c r="E284">
        <v>1</v>
      </c>
      <c r="F284">
        <v>3.5</v>
      </c>
      <c r="G284" t="s">
        <v>17</v>
      </c>
      <c r="H284" t="s">
        <v>106</v>
      </c>
      <c r="I284" t="str">
        <f t="shared" si="4"/>
        <v>272_1</v>
      </c>
      <c r="J284" t="s">
        <v>18</v>
      </c>
      <c r="K284" t="s">
        <v>19</v>
      </c>
      <c r="L284" t="str">
        <f>_xlfn.XLOOKUP(C284, Table2[Species],Table2[Genus], "Code Not Found")</f>
        <v>Acer</v>
      </c>
      <c r="M284" t="str">
        <f>_xlfn.XLOOKUP(C284, Table2[Species],Table2[Sp. Name], "Code Not Found")</f>
        <v>saccharum</v>
      </c>
      <c r="N284" t="str">
        <f>_xlfn.XLOOKUP(C284,Table2[Species],Table2[Family],"Code Not Found")</f>
        <v>Sapindaceae</v>
      </c>
      <c r="O284" t="str" cm="1">
        <f t="array" ref="O284">_xlfn.IFS(F284="","",F284&lt;=5,"0 to 5",F284&lt;=10,"5.1 to 10",F284&lt;=20,"10 to 20", F284&lt;= 40, "20 to 40", F284 &lt;= 50, "40 to 50", F284 &gt; 50, "&gt;50" )</f>
        <v>0 to 5</v>
      </c>
    </row>
    <row r="285" spans="1:15" ht="14.4" x14ac:dyDescent="0.3">
      <c r="A285" t="s">
        <v>15</v>
      </c>
      <c r="B285" s="1">
        <v>46170</v>
      </c>
      <c r="C285" t="s">
        <v>16</v>
      </c>
      <c r="D285">
        <v>273</v>
      </c>
      <c r="E285">
        <v>1</v>
      </c>
      <c r="F285">
        <v>2.9</v>
      </c>
      <c r="G285" t="s">
        <v>21</v>
      </c>
      <c r="I285" t="str">
        <f t="shared" si="4"/>
        <v>273_1</v>
      </c>
      <c r="J285" t="s">
        <v>18</v>
      </c>
      <c r="K285" t="s">
        <v>19</v>
      </c>
      <c r="L285" t="str">
        <f>_xlfn.XLOOKUP(C285, Table2[Species],Table2[Genus], "Code Not Found")</f>
        <v>Acer</v>
      </c>
      <c r="M285" t="str">
        <f>_xlfn.XLOOKUP(C285, Table2[Species],Table2[Sp. Name], "Code Not Found")</f>
        <v>saccharum</v>
      </c>
      <c r="N285" t="str">
        <f>_xlfn.XLOOKUP(C285,Table2[Species],Table2[Family],"Code Not Found")</f>
        <v>Sapindaceae</v>
      </c>
      <c r="O285" t="str" cm="1">
        <f t="array" ref="O285">_xlfn.IFS(F285="","",F285&lt;=5,"0 to 5",F285&lt;=10,"5.1 to 10",F285&lt;=20,"10 to 20", F285&lt;= 40, "20 to 40", F285 &lt;= 50, "40 to 50", F285 &gt; 50, "&gt;50" )</f>
        <v>0 to 5</v>
      </c>
    </row>
    <row r="286" spans="1:15" ht="14.4" x14ac:dyDescent="0.3">
      <c r="A286" t="s">
        <v>15</v>
      </c>
      <c r="B286" s="1">
        <v>46170</v>
      </c>
      <c r="C286" t="s">
        <v>16</v>
      </c>
      <c r="D286">
        <v>274</v>
      </c>
      <c r="E286">
        <v>1</v>
      </c>
      <c r="F286">
        <v>1.6</v>
      </c>
      <c r="G286" t="s">
        <v>17</v>
      </c>
      <c r="I286" t="str">
        <f t="shared" si="4"/>
        <v>274_1</v>
      </c>
      <c r="J286" t="s">
        <v>18</v>
      </c>
      <c r="K286" t="s">
        <v>19</v>
      </c>
      <c r="L286" t="str">
        <f>_xlfn.XLOOKUP(C286, Table2[Species],Table2[Genus], "Code Not Found")</f>
        <v>Acer</v>
      </c>
      <c r="M286" t="str">
        <f>_xlfn.XLOOKUP(C286, Table2[Species],Table2[Sp. Name], "Code Not Found")</f>
        <v>saccharum</v>
      </c>
      <c r="N286" t="str">
        <f>_xlfn.XLOOKUP(C286,Table2[Species],Table2[Family],"Code Not Found")</f>
        <v>Sapindaceae</v>
      </c>
      <c r="O286" t="str" cm="1">
        <f t="array" ref="O286">_xlfn.IFS(F286="","",F286&lt;=5,"0 to 5",F286&lt;=10,"5.1 to 10",F286&lt;=20,"10 to 20", F286&lt;= 40, "20 to 40", F286 &lt;= 50, "40 to 50", F286 &gt; 50, "&gt;50" )</f>
        <v>0 to 5</v>
      </c>
    </row>
    <row r="287" spans="1:15" ht="14.4" x14ac:dyDescent="0.3">
      <c r="A287" t="s">
        <v>15</v>
      </c>
      <c r="B287" s="1">
        <v>46170</v>
      </c>
      <c r="C287" t="s">
        <v>16</v>
      </c>
      <c r="D287">
        <v>275</v>
      </c>
      <c r="E287">
        <v>1</v>
      </c>
      <c r="F287">
        <v>3.7</v>
      </c>
      <c r="G287" t="s">
        <v>47</v>
      </c>
      <c r="H287" t="s">
        <v>43</v>
      </c>
      <c r="I287" t="str">
        <f t="shared" si="4"/>
        <v>275_1</v>
      </c>
      <c r="J287" t="s">
        <v>18</v>
      </c>
      <c r="K287" t="s">
        <v>19</v>
      </c>
      <c r="L287" t="str">
        <f>_xlfn.XLOOKUP(C287, Table2[Species],Table2[Genus], "Code Not Found")</f>
        <v>Acer</v>
      </c>
      <c r="M287" t="str">
        <f>_xlfn.XLOOKUP(C287, Table2[Species],Table2[Sp. Name], "Code Not Found")</f>
        <v>saccharum</v>
      </c>
      <c r="N287" t="str">
        <f>_xlfn.XLOOKUP(C287,Table2[Species],Table2[Family],"Code Not Found")</f>
        <v>Sapindaceae</v>
      </c>
      <c r="O287" t="str" cm="1">
        <f t="array" ref="O287">_xlfn.IFS(F287="","",F287&lt;=5,"0 to 5",F287&lt;=10,"5.1 to 10",F287&lt;=20,"10 to 20", F287&lt;= 40, "20 to 40", F287 &lt;= 50, "40 to 50", F287 &gt; 50, "&gt;50" )</f>
        <v>0 to 5</v>
      </c>
    </row>
    <row r="288" spans="1:15" ht="14.4" x14ac:dyDescent="0.3">
      <c r="A288" t="s">
        <v>15</v>
      </c>
      <c r="B288" s="1">
        <v>46170</v>
      </c>
      <c r="C288" t="s">
        <v>16</v>
      </c>
      <c r="D288">
        <v>276</v>
      </c>
      <c r="E288">
        <v>1</v>
      </c>
      <c r="F288">
        <v>3.4</v>
      </c>
      <c r="G288" t="s">
        <v>17</v>
      </c>
      <c r="I288" t="str">
        <f t="shared" si="4"/>
        <v>276_1</v>
      </c>
      <c r="J288" t="s">
        <v>18</v>
      </c>
      <c r="K288" t="s">
        <v>19</v>
      </c>
      <c r="L288" t="str">
        <f>_xlfn.XLOOKUP(C288, Table2[Species],Table2[Genus], "Code Not Found")</f>
        <v>Acer</v>
      </c>
      <c r="M288" t="str">
        <f>_xlfn.XLOOKUP(C288, Table2[Species],Table2[Sp. Name], "Code Not Found")</f>
        <v>saccharum</v>
      </c>
      <c r="N288" t="str">
        <f>_xlfn.XLOOKUP(C288,Table2[Species],Table2[Family],"Code Not Found")</f>
        <v>Sapindaceae</v>
      </c>
      <c r="O288" t="str" cm="1">
        <f t="array" ref="O288">_xlfn.IFS(F288="","",F288&lt;=5,"0 to 5",F288&lt;=10,"5.1 to 10",F288&lt;=20,"10 to 20", F288&lt;= 40, "20 to 40", F288 &lt;= 50, "40 to 50", F288 &gt; 50, "&gt;50" )</f>
        <v>0 to 5</v>
      </c>
    </row>
    <row r="289" spans="1:15" ht="14.4" x14ac:dyDescent="0.3">
      <c r="A289" t="s">
        <v>15</v>
      </c>
      <c r="B289" s="1">
        <v>46170</v>
      </c>
      <c r="C289" t="s">
        <v>16</v>
      </c>
      <c r="D289">
        <v>277</v>
      </c>
      <c r="E289">
        <v>1</v>
      </c>
      <c r="F289">
        <v>1.3</v>
      </c>
      <c r="G289" t="s">
        <v>17</v>
      </c>
      <c r="I289" t="str">
        <f t="shared" si="4"/>
        <v>277_1</v>
      </c>
      <c r="J289" t="s">
        <v>18</v>
      </c>
      <c r="K289" t="s">
        <v>19</v>
      </c>
      <c r="L289" t="str">
        <f>_xlfn.XLOOKUP(C289, Table2[Species],Table2[Genus], "Code Not Found")</f>
        <v>Acer</v>
      </c>
      <c r="M289" t="str">
        <f>_xlfn.XLOOKUP(C289, Table2[Species],Table2[Sp. Name], "Code Not Found")</f>
        <v>saccharum</v>
      </c>
      <c r="N289" t="str">
        <f>_xlfn.XLOOKUP(C289,Table2[Species],Table2[Family],"Code Not Found")</f>
        <v>Sapindaceae</v>
      </c>
      <c r="O289" t="str" cm="1">
        <f t="array" ref="O289">_xlfn.IFS(F289="","",F289&lt;=5,"0 to 5",F289&lt;=10,"5.1 to 10",F289&lt;=20,"10 to 20", F289&lt;= 40, "20 to 40", F289 &lt;= 50, "40 to 50", F289 &gt; 50, "&gt;50" )</f>
        <v>0 to 5</v>
      </c>
    </row>
    <row r="290" spans="1:15" ht="14.4" x14ac:dyDescent="0.3">
      <c r="A290" t="s">
        <v>15</v>
      </c>
      <c r="B290" s="1">
        <v>46170</v>
      </c>
      <c r="C290" t="s">
        <v>16</v>
      </c>
      <c r="D290">
        <v>278</v>
      </c>
      <c r="E290">
        <v>1</v>
      </c>
      <c r="F290">
        <v>3.1</v>
      </c>
      <c r="G290" t="s">
        <v>17</v>
      </c>
      <c r="I290" t="str">
        <f t="shared" si="4"/>
        <v>278_1</v>
      </c>
      <c r="J290" t="s">
        <v>18</v>
      </c>
      <c r="K290" t="s">
        <v>19</v>
      </c>
      <c r="L290" t="str">
        <f>_xlfn.XLOOKUP(C290, Table2[Species],Table2[Genus], "Code Not Found")</f>
        <v>Acer</v>
      </c>
      <c r="M290" t="str">
        <f>_xlfn.XLOOKUP(C290, Table2[Species],Table2[Sp. Name], "Code Not Found")</f>
        <v>saccharum</v>
      </c>
      <c r="N290" t="str">
        <f>_xlfn.XLOOKUP(C290,Table2[Species],Table2[Family],"Code Not Found")</f>
        <v>Sapindaceae</v>
      </c>
      <c r="O290" t="str" cm="1">
        <f t="array" ref="O290">_xlfn.IFS(F290="","",F290&lt;=5,"0 to 5",F290&lt;=10,"5.1 to 10",F290&lt;=20,"10 to 20", F290&lt;= 40, "20 to 40", F290 &lt;= 50, "40 to 50", F290 &gt; 50, "&gt;50" )</f>
        <v>0 to 5</v>
      </c>
    </row>
    <row r="291" spans="1:15" ht="14.4" x14ac:dyDescent="0.3">
      <c r="A291" t="s">
        <v>15</v>
      </c>
      <c r="B291" s="1">
        <v>46170</v>
      </c>
      <c r="C291" t="s">
        <v>16</v>
      </c>
      <c r="D291">
        <v>279</v>
      </c>
      <c r="E291">
        <v>1</v>
      </c>
      <c r="F291">
        <v>1.5</v>
      </c>
      <c r="G291" t="s">
        <v>17</v>
      </c>
      <c r="I291" t="str">
        <f t="shared" si="4"/>
        <v>279_1</v>
      </c>
      <c r="J291" t="s">
        <v>18</v>
      </c>
      <c r="K291" t="s">
        <v>19</v>
      </c>
      <c r="L291" t="str">
        <f>_xlfn.XLOOKUP(C291, Table2[Species],Table2[Genus], "Code Not Found")</f>
        <v>Acer</v>
      </c>
      <c r="M291" t="str">
        <f>_xlfn.XLOOKUP(C291, Table2[Species],Table2[Sp. Name], "Code Not Found")</f>
        <v>saccharum</v>
      </c>
      <c r="N291" t="str">
        <f>_xlfn.XLOOKUP(C291,Table2[Species],Table2[Family],"Code Not Found")</f>
        <v>Sapindaceae</v>
      </c>
      <c r="O291" t="str" cm="1">
        <f t="array" ref="O291">_xlfn.IFS(F291="","",F291&lt;=5,"0 to 5",F291&lt;=10,"5.1 to 10",F291&lt;=20,"10 to 20", F291&lt;= 40, "20 to 40", F291 &lt;= 50, "40 to 50", F291 &gt; 50, "&gt;50" )</f>
        <v>0 to 5</v>
      </c>
    </row>
    <row r="292" spans="1:15" ht="14.4" x14ac:dyDescent="0.3">
      <c r="A292" t="s">
        <v>15</v>
      </c>
      <c r="B292" s="1">
        <v>46170</v>
      </c>
      <c r="C292" t="s">
        <v>16</v>
      </c>
      <c r="D292">
        <v>280</v>
      </c>
      <c r="E292">
        <v>1</v>
      </c>
      <c r="F292">
        <v>3</v>
      </c>
      <c r="G292" t="s">
        <v>17</v>
      </c>
      <c r="I292" t="str">
        <f t="shared" si="4"/>
        <v>280_1</v>
      </c>
      <c r="J292" t="s">
        <v>18</v>
      </c>
      <c r="K292" t="s">
        <v>19</v>
      </c>
      <c r="L292" t="str">
        <f>_xlfn.XLOOKUP(C292, Table2[Species],Table2[Genus], "Code Not Found")</f>
        <v>Acer</v>
      </c>
      <c r="M292" t="str">
        <f>_xlfn.XLOOKUP(C292, Table2[Species],Table2[Sp. Name], "Code Not Found")</f>
        <v>saccharum</v>
      </c>
      <c r="N292" t="str">
        <f>_xlfn.XLOOKUP(C292,Table2[Species],Table2[Family],"Code Not Found")</f>
        <v>Sapindaceae</v>
      </c>
      <c r="O292" t="str" cm="1">
        <f t="array" ref="O292">_xlfn.IFS(F292="","",F292&lt;=5,"0 to 5",F292&lt;=10,"5.1 to 10",F292&lt;=20,"10 to 20", F292&lt;= 40, "20 to 40", F292 &lt;= 50, "40 to 50", F292 &gt; 50, "&gt;50" )</f>
        <v>0 to 5</v>
      </c>
    </row>
    <row r="293" spans="1:15" ht="14.4" x14ac:dyDescent="0.3">
      <c r="A293" t="s">
        <v>15</v>
      </c>
      <c r="B293" s="1">
        <v>46170</v>
      </c>
      <c r="C293" t="s">
        <v>16</v>
      </c>
      <c r="D293">
        <v>281</v>
      </c>
      <c r="E293">
        <v>1</v>
      </c>
      <c r="F293">
        <v>2.7</v>
      </c>
      <c r="G293" t="s">
        <v>32</v>
      </c>
      <c r="H293" t="s">
        <v>48</v>
      </c>
      <c r="I293" t="str">
        <f t="shared" si="4"/>
        <v>281_1</v>
      </c>
      <c r="J293" t="s">
        <v>18</v>
      </c>
      <c r="K293" t="s">
        <v>19</v>
      </c>
      <c r="L293" t="str">
        <f>_xlfn.XLOOKUP(C293, Table2[Species],Table2[Genus], "Code Not Found")</f>
        <v>Acer</v>
      </c>
      <c r="M293" t="str">
        <f>_xlfn.XLOOKUP(C293, Table2[Species],Table2[Sp. Name], "Code Not Found")</f>
        <v>saccharum</v>
      </c>
      <c r="N293" t="str">
        <f>_xlfn.XLOOKUP(C293,Table2[Species],Table2[Family],"Code Not Found")</f>
        <v>Sapindaceae</v>
      </c>
      <c r="O293" t="str" cm="1">
        <f t="array" ref="O293">_xlfn.IFS(F293="","",F293&lt;=5,"0 to 5",F293&lt;=10,"5.1 to 10",F293&lt;=20,"10 to 20", F293&lt;= 40, "20 to 40", F293 &lt;= 50, "40 to 50", F293 &gt; 50, "&gt;50" )</f>
        <v>0 to 5</v>
      </c>
    </row>
    <row r="294" spans="1:15" ht="14.4" x14ac:dyDescent="0.3">
      <c r="A294" t="s">
        <v>15</v>
      </c>
      <c r="B294" s="1">
        <v>46170</v>
      </c>
      <c r="C294" t="s">
        <v>16</v>
      </c>
      <c r="D294">
        <v>281</v>
      </c>
      <c r="E294">
        <v>2</v>
      </c>
      <c r="F294">
        <v>1</v>
      </c>
      <c r="G294" t="s">
        <v>32</v>
      </c>
      <c r="H294" t="s">
        <v>43</v>
      </c>
      <c r="I294" t="str">
        <f t="shared" si="4"/>
        <v>281_2</v>
      </c>
      <c r="J294" t="s">
        <v>18</v>
      </c>
      <c r="K294" t="s">
        <v>19</v>
      </c>
      <c r="L294" t="str">
        <f>_xlfn.XLOOKUP(C294, Table2[Species],Table2[Genus], "Code Not Found")</f>
        <v>Acer</v>
      </c>
      <c r="M294" t="str">
        <f>_xlfn.XLOOKUP(C294, Table2[Species],Table2[Sp. Name], "Code Not Found")</f>
        <v>saccharum</v>
      </c>
      <c r="N294" t="str">
        <f>_xlfn.XLOOKUP(C294,Table2[Species],Table2[Family],"Code Not Found")</f>
        <v>Sapindaceae</v>
      </c>
      <c r="O294" t="str" cm="1">
        <f t="array" ref="O294">_xlfn.IFS(F294="","",F294&lt;=5,"0 to 5",F294&lt;=10,"5.1 to 10",F294&lt;=20,"10 to 20", F294&lt;= 40, "20 to 40", F294 &lt;= 50, "40 to 50", F294 &gt; 50, "&gt;50" )</f>
        <v>0 to 5</v>
      </c>
    </row>
    <row r="295" spans="1:15" ht="14.4" x14ac:dyDescent="0.3">
      <c r="A295" t="s">
        <v>15</v>
      </c>
      <c r="B295" s="1">
        <v>46170</v>
      </c>
      <c r="C295" t="s">
        <v>59</v>
      </c>
      <c r="D295">
        <v>282</v>
      </c>
      <c r="E295">
        <v>1</v>
      </c>
      <c r="F295">
        <v>8.9</v>
      </c>
      <c r="G295" t="s">
        <v>21</v>
      </c>
      <c r="I295" t="str">
        <f t="shared" si="4"/>
        <v>282_1</v>
      </c>
      <c r="J295" t="s">
        <v>18</v>
      </c>
      <c r="K295" t="s">
        <v>19</v>
      </c>
      <c r="L295" t="str">
        <f>_xlfn.XLOOKUP(C295, Table2[Species],Table2[Genus], "Code Not Found")</f>
        <v>Nyssa</v>
      </c>
      <c r="M295" t="str">
        <f>_xlfn.XLOOKUP(C295, Table2[Species],Table2[Sp. Name], "Code Not Found")</f>
        <v>sylvatica</v>
      </c>
      <c r="N295" t="str">
        <f>_xlfn.XLOOKUP(C295,Table2[Species],Table2[Family],"Code Not Found")</f>
        <v>Nyssaceae</v>
      </c>
      <c r="O295" t="str" cm="1">
        <f t="array" ref="O295">_xlfn.IFS(F295="","",F295&lt;=5,"0 to 5",F295&lt;=10,"5.1 to 10",F295&lt;=20,"10 to 20", F295&lt;= 40, "20 to 40", F295 &lt;= 50, "40 to 50", F295 &gt; 50, "&gt;50" )</f>
        <v>5.1 to 10</v>
      </c>
    </row>
    <row r="296" spans="1:15" ht="14.4" x14ac:dyDescent="0.3">
      <c r="A296" t="s">
        <v>15</v>
      </c>
      <c r="B296" s="1">
        <v>46170</v>
      </c>
      <c r="C296" t="s">
        <v>22</v>
      </c>
      <c r="D296">
        <v>283</v>
      </c>
      <c r="E296">
        <v>1</v>
      </c>
      <c r="F296">
        <v>27.4</v>
      </c>
      <c r="G296" t="s">
        <v>111</v>
      </c>
      <c r="H296" t="s">
        <v>112</v>
      </c>
      <c r="I296" t="str">
        <f t="shared" si="4"/>
        <v>283_1</v>
      </c>
      <c r="J296" t="s">
        <v>18</v>
      </c>
      <c r="K296" t="s">
        <v>19</v>
      </c>
      <c r="L296" t="str">
        <f>_xlfn.XLOOKUP(C296, Table2[Species],Table2[Genus], "Code Not Found")</f>
        <v>Acer</v>
      </c>
      <c r="M296" t="str">
        <f>_xlfn.XLOOKUP(C296, Table2[Species],Table2[Sp. Name], "Code Not Found")</f>
        <v>rubrum</v>
      </c>
      <c r="N296" t="str">
        <f>_xlfn.XLOOKUP(C296,Table2[Species],Table2[Family],"Code Not Found")</f>
        <v>Sapindaceae</v>
      </c>
      <c r="O296" t="str" cm="1">
        <f t="array" ref="O296">_xlfn.IFS(F296="","",F296&lt;=5,"0 to 5",F296&lt;=10,"5.1 to 10",F296&lt;=20,"10 to 20", F296&lt;= 40, "20 to 40", F296 &lt;= 50, "40 to 50", F296 &gt; 50, "&gt;50" )</f>
        <v>20 to 40</v>
      </c>
    </row>
    <row r="297" spans="1:15" ht="14.4" x14ac:dyDescent="0.3">
      <c r="A297" t="s">
        <v>15</v>
      </c>
      <c r="B297" s="1">
        <v>46170</v>
      </c>
      <c r="C297" t="s">
        <v>16</v>
      </c>
      <c r="D297">
        <v>284</v>
      </c>
      <c r="E297">
        <v>1</v>
      </c>
      <c r="F297">
        <v>8.9</v>
      </c>
      <c r="G297" t="s">
        <v>94</v>
      </c>
      <c r="H297" t="s">
        <v>113</v>
      </c>
      <c r="I297" t="str">
        <f t="shared" si="4"/>
        <v>284_1</v>
      </c>
      <c r="J297" t="s">
        <v>18</v>
      </c>
      <c r="K297" t="s">
        <v>19</v>
      </c>
      <c r="L297" t="str">
        <f>_xlfn.XLOOKUP(C297, Table2[Species],Table2[Genus], "Code Not Found")</f>
        <v>Acer</v>
      </c>
      <c r="M297" t="str">
        <f>_xlfn.XLOOKUP(C297, Table2[Species],Table2[Sp. Name], "Code Not Found")</f>
        <v>saccharum</v>
      </c>
      <c r="N297" t="str">
        <f>_xlfn.XLOOKUP(C297,Table2[Species],Table2[Family],"Code Not Found")</f>
        <v>Sapindaceae</v>
      </c>
      <c r="O297" t="str" cm="1">
        <f t="array" ref="O297">_xlfn.IFS(F297="","",F297&lt;=5,"0 to 5",F297&lt;=10,"5.1 to 10",F297&lt;=20,"10 to 20", F297&lt;= 40, "20 to 40", F297 &lt;= 50, "40 to 50", F297 &gt; 50, "&gt;50" )</f>
        <v>5.1 to 10</v>
      </c>
    </row>
    <row r="298" spans="1:15" ht="14.4" x14ac:dyDescent="0.3">
      <c r="A298" t="s">
        <v>15</v>
      </c>
      <c r="B298" s="1">
        <v>46170</v>
      </c>
      <c r="C298" t="s">
        <v>16</v>
      </c>
      <c r="D298">
        <v>285</v>
      </c>
      <c r="E298">
        <v>1</v>
      </c>
      <c r="F298">
        <v>1.5</v>
      </c>
      <c r="G298" t="s">
        <v>17</v>
      </c>
      <c r="I298" t="str">
        <f t="shared" si="4"/>
        <v>285_1</v>
      </c>
      <c r="J298" t="s">
        <v>18</v>
      </c>
      <c r="K298" t="s">
        <v>19</v>
      </c>
      <c r="L298" t="str">
        <f>_xlfn.XLOOKUP(C298, Table2[Species],Table2[Genus], "Code Not Found")</f>
        <v>Acer</v>
      </c>
      <c r="M298" t="str">
        <f>_xlfn.XLOOKUP(C298, Table2[Species],Table2[Sp. Name], "Code Not Found")</f>
        <v>saccharum</v>
      </c>
      <c r="N298" t="str">
        <f>_xlfn.XLOOKUP(C298,Table2[Species],Table2[Family],"Code Not Found")</f>
        <v>Sapindaceae</v>
      </c>
      <c r="O298" t="str" cm="1">
        <f t="array" ref="O298">_xlfn.IFS(F298="","",F298&lt;=5,"0 to 5",F298&lt;=10,"5.1 to 10",F298&lt;=20,"10 to 20", F298&lt;= 40, "20 to 40", F298 &lt;= 50, "40 to 50", F298 &gt; 50, "&gt;50" )</f>
        <v>0 to 5</v>
      </c>
    </row>
    <row r="299" spans="1:15" ht="14.4" x14ac:dyDescent="0.3">
      <c r="A299" t="s">
        <v>114</v>
      </c>
      <c r="B299" s="1">
        <v>46174</v>
      </c>
      <c r="C299" t="s">
        <v>16</v>
      </c>
      <c r="D299">
        <v>288</v>
      </c>
      <c r="E299">
        <v>1</v>
      </c>
      <c r="F299">
        <v>33.1</v>
      </c>
      <c r="G299" t="s">
        <v>17</v>
      </c>
      <c r="I299" t="str">
        <f t="shared" si="4"/>
        <v>288_1</v>
      </c>
      <c r="J299" t="s">
        <v>18</v>
      </c>
      <c r="K299" t="s">
        <v>115</v>
      </c>
      <c r="L299" t="str">
        <f>_xlfn.XLOOKUP(C299, Table2[Species],Table2[Genus], "Code Not Found")</f>
        <v>Acer</v>
      </c>
      <c r="M299" t="str">
        <f>_xlfn.XLOOKUP(C299, Table2[Species],Table2[Sp. Name], "Code Not Found")</f>
        <v>saccharum</v>
      </c>
      <c r="N299" t="str">
        <f>_xlfn.XLOOKUP(C299,Table2[Species],Table2[Family],"Code Not Found")</f>
        <v>Sapindaceae</v>
      </c>
      <c r="O299" t="str" cm="1">
        <f t="array" ref="O299">_xlfn.IFS(F299="","",F299&lt;=5,"0 to 5",F299&lt;=10,"5.1 to 10",F299&lt;=20,"10 to 20", F299&lt;= 40, "20 to 40", F299 &lt;= 50, "40 to 50", F299 &gt; 50, "&gt;50" )</f>
        <v>20 to 40</v>
      </c>
    </row>
    <row r="300" spans="1:15" ht="14.4" x14ac:dyDescent="0.3">
      <c r="A300" t="s">
        <v>114</v>
      </c>
      <c r="B300" s="1">
        <v>46174</v>
      </c>
      <c r="C300" t="s">
        <v>16</v>
      </c>
      <c r="D300">
        <v>289</v>
      </c>
      <c r="E300">
        <v>1</v>
      </c>
      <c r="F300">
        <v>5</v>
      </c>
      <c r="G300" t="s">
        <v>21</v>
      </c>
      <c r="I300" t="str">
        <f t="shared" si="4"/>
        <v>289_1</v>
      </c>
      <c r="J300" t="s">
        <v>18</v>
      </c>
      <c r="K300" t="s">
        <v>115</v>
      </c>
      <c r="L300" t="str">
        <f>_xlfn.XLOOKUP(C300, Table2[Species],Table2[Genus], "Code Not Found")</f>
        <v>Acer</v>
      </c>
      <c r="M300" t="str">
        <f>_xlfn.XLOOKUP(C300, Table2[Species],Table2[Sp. Name], "Code Not Found")</f>
        <v>saccharum</v>
      </c>
      <c r="N300" t="str">
        <f>_xlfn.XLOOKUP(C300,Table2[Species],Table2[Family],"Code Not Found")</f>
        <v>Sapindaceae</v>
      </c>
      <c r="O300" t="str" cm="1">
        <f t="array" ref="O300">_xlfn.IFS(F300="","",F300&lt;=5,"0 to 5",F300&lt;=10,"5.1 to 10",F300&lt;=20,"10 to 20", F300&lt;= 40, "20 to 40", F300 &lt;= 50, "40 to 50", F300 &gt; 50, "&gt;50" )</f>
        <v>0 to 5</v>
      </c>
    </row>
    <row r="301" spans="1:15" ht="14.4" x14ac:dyDescent="0.3">
      <c r="A301" t="s">
        <v>114</v>
      </c>
      <c r="B301" s="1">
        <v>46174</v>
      </c>
      <c r="C301" t="s">
        <v>16</v>
      </c>
      <c r="D301">
        <v>290</v>
      </c>
      <c r="E301">
        <v>1</v>
      </c>
      <c r="F301">
        <v>3.3</v>
      </c>
      <c r="G301" t="s">
        <v>94</v>
      </c>
      <c r="H301" t="s">
        <v>116</v>
      </c>
      <c r="I301" t="str">
        <f t="shared" si="4"/>
        <v>290_1</v>
      </c>
      <c r="J301" t="s">
        <v>18</v>
      </c>
      <c r="K301" t="s">
        <v>115</v>
      </c>
      <c r="L301" t="str">
        <f>_xlfn.XLOOKUP(C301, Table2[Species],Table2[Genus], "Code Not Found")</f>
        <v>Acer</v>
      </c>
      <c r="M301" t="str">
        <f>_xlfn.XLOOKUP(C301, Table2[Species],Table2[Sp. Name], "Code Not Found")</f>
        <v>saccharum</v>
      </c>
      <c r="N301" t="str">
        <f>_xlfn.XLOOKUP(C301,Table2[Species],Table2[Family],"Code Not Found")</f>
        <v>Sapindaceae</v>
      </c>
      <c r="O301" t="str" cm="1">
        <f t="array" ref="O301">_xlfn.IFS(F301="","",F301&lt;=5,"0 to 5",F301&lt;=10,"5.1 to 10",F301&lt;=20,"10 to 20", F301&lt;= 40, "20 to 40", F301 &lt;= 50, "40 to 50", F301 &gt; 50, "&gt;50" )</f>
        <v>0 to 5</v>
      </c>
    </row>
    <row r="302" spans="1:15" ht="14.4" x14ac:dyDescent="0.3">
      <c r="A302" t="s">
        <v>114</v>
      </c>
      <c r="B302" s="1">
        <v>46174</v>
      </c>
      <c r="C302" t="s">
        <v>117</v>
      </c>
      <c r="D302">
        <v>291</v>
      </c>
      <c r="E302">
        <v>1</v>
      </c>
      <c r="F302">
        <v>3.2</v>
      </c>
      <c r="G302" t="s">
        <v>17</v>
      </c>
      <c r="I302" t="str">
        <f t="shared" si="4"/>
        <v>291_1</v>
      </c>
      <c r="J302" t="s">
        <v>18</v>
      </c>
      <c r="K302" t="s">
        <v>115</v>
      </c>
      <c r="L302" t="str">
        <f>_xlfn.XLOOKUP(C302, Table2[Species],Table2[Genus], "Code Not Found")</f>
        <v>Ostrya</v>
      </c>
      <c r="M302" t="str">
        <f>_xlfn.XLOOKUP(C302, Table2[Species],Table2[Sp. Name], "Code Not Found")</f>
        <v>viginiana</v>
      </c>
      <c r="N302" t="str">
        <f>_xlfn.XLOOKUP(C302,Table2[Species],Table2[Family],"Code Not Found")</f>
        <v>Betulaceae</v>
      </c>
      <c r="O302" t="str" cm="1">
        <f t="array" ref="O302">_xlfn.IFS(F302="","",F302&lt;=5,"0 to 5",F302&lt;=10,"5.1 to 10",F302&lt;=20,"10 to 20", F302&lt;= 40, "20 to 40", F302 &lt;= 50, "40 to 50", F302 &gt; 50, "&gt;50" )</f>
        <v>0 to 5</v>
      </c>
    </row>
    <row r="303" spans="1:15" ht="14.4" x14ac:dyDescent="0.3">
      <c r="A303" t="s">
        <v>114</v>
      </c>
      <c r="B303" s="1">
        <v>46174</v>
      </c>
      <c r="C303" t="s">
        <v>16</v>
      </c>
      <c r="D303">
        <v>292</v>
      </c>
      <c r="E303">
        <v>1</v>
      </c>
      <c r="F303">
        <v>3.8</v>
      </c>
      <c r="G303" t="s">
        <v>21</v>
      </c>
      <c r="I303" t="str">
        <f t="shared" si="4"/>
        <v>292_1</v>
      </c>
      <c r="J303" t="s">
        <v>18</v>
      </c>
      <c r="K303" t="s">
        <v>115</v>
      </c>
      <c r="L303" t="str">
        <f>_xlfn.XLOOKUP(C303, Table2[Species],Table2[Genus], "Code Not Found")</f>
        <v>Acer</v>
      </c>
      <c r="M303" t="str">
        <f>_xlfn.XLOOKUP(C303, Table2[Species],Table2[Sp. Name], "Code Not Found")</f>
        <v>saccharum</v>
      </c>
      <c r="N303" t="str">
        <f>_xlfn.XLOOKUP(C303,Table2[Species],Table2[Family],"Code Not Found")</f>
        <v>Sapindaceae</v>
      </c>
      <c r="O303" t="str" cm="1">
        <f t="array" ref="O303">_xlfn.IFS(F303="","",F303&lt;=5,"0 to 5",F303&lt;=10,"5.1 to 10",F303&lt;=20,"10 to 20", F303&lt;= 40, "20 to 40", F303 &lt;= 50, "40 to 50", F303 &gt; 50, "&gt;50" )</f>
        <v>0 to 5</v>
      </c>
    </row>
    <row r="304" spans="1:15" ht="14.4" x14ac:dyDescent="0.3">
      <c r="A304" t="s">
        <v>114</v>
      </c>
      <c r="B304" s="1">
        <v>46174</v>
      </c>
      <c r="C304" t="s">
        <v>16</v>
      </c>
      <c r="D304">
        <v>293</v>
      </c>
      <c r="E304">
        <v>1</v>
      </c>
      <c r="F304">
        <v>7</v>
      </c>
      <c r="G304" t="s">
        <v>21</v>
      </c>
      <c r="I304" t="str">
        <f t="shared" si="4"/>
        <v>293_1</v>
      </c>
      <c r="J304" t="s">
        <v>18</v>
      </c>
      <c r="K304" t="s">
        <v>115</v>
      </c>
      <c r="L304" t="str">
        <f>_xlfn.XLOOKUP(C304, Table2[Species],Table2[Genus], "Code Not Found")</f>
        <v>Acer</v>
      </c>
      <c r="M304" t="str">
        <f>_xlfn.XLOOKUP(C304, Table2[Species],Table2[Sp. Name], "Code Not Found")</f>
        <v>saccharum</v>
      </c>
      <c r="N304" t="str">
        <f>_xlfn.XLOOKUP(C304,Table2[Species],Table2[Family],"Code Not Found")</f>
        <v>Sapindaceae</v>
      </c>
      <c r="O304" t="str" cm="1">
        <f t="array" ref="O304">_xlfn.IFS(F304="","",F304&lt;=5,"0 to 5",F304&lt;=10,"5.1 to 10",F304&lt;=20,"10 to 20", F304&lt;= 40, "20 to 40", F304 &lt;= 50, "40 to 50", F304 &gt; 50, "&gt;50" )</f>
        <v>5.1 to 10</v>
      </c>
    </row>
    <row r="305" spans="1:15" ht="14.4" x14ac:dyDescent="0.3">
      <c r="A305" t="s">
        <v>114</v>
      </c>
      <c r="B305" s="1">
        <v>46174</v>
      </c>
      <c r="C305" t="s">
        <v>16</v>
      </c>
      <c r="D305">
        <v>294</v>
      </c>
      <c r="E305">
        <v>1</v>
      </c>
      <c r="F305">
        <v>2.1</v>
      </c>
      <c r="G305" t="s">
        <v>21</v>
      </c>
      <c r="I305" t="str">
        <f t="shared" si="4"/>
        <v>294_1</v>
      </c>
      <c r="J305" t="s">
        <v>18</v>
      </c>
      <c r="K305" t="s">
        <v>115</v>
      </c>
      <c r="L305" t="str">
        <f>_xlfn.XLOOKUP(C305, Table2[Species],Table2[Genus], "Code Not Found")</f>
        <v>Acer</v>
      </c>
      <c r="M305" t="str">
        <f>_xlfn.XLOOKUP(C305, Table2[Species],Table2[Sp. Name], "Code Not Found")</f>
        <v>saccharum</v>
      </c>
      <c r="N305" t="str">
        <f>_xlfn.XLOOKUP(C305,Table2[Species],Table2[Family],"Code Not Found")</f>
        <v>Sapindaceae</v>
      </c>
      <c r="O305" t="str" cm="1">
        <f t="array" ref="O305">_xlfn.IFS(F305="","",F305&lt;=5,"0 to 5",F305&lt;=10,"5.1 to 10",F305&lt;=20,"10 to 20", F305&lt;= 40, "20 to 40", F305 &lt;= 50, "40 to 50", F305 &gt; 50, "&gt;50" )</f>
        <v>0 to 5</v>
      </c>
    </row>
    <row r="306" spans="1:15" ht="14.4" x14ac:dyDescent="0.3">
      <c r="A306" t="s">
        <v>114</v>
      </c>
      <c r="B306" s="1">
        <v>46174</v>
      </c>
      <c r="C306" t="s">
        <v>64</v>
      </c>
      <c r="D306">
        <v>295</v>
      </c>
      <c r="E306">
        <v>1</v>
      </c>
      <c r="F306">
        <v>21.9</v>
      </c>
      <c r="G306" t="s">
        <v>17</v>
      </c>
      <c r="I306" t="str">
        <f t="shared" si="4"/>
        <v>295_1</v>
      </c>
      <c r="J306" t="s">
        <v>18</v>
      </c>
      <c r="K306" t="s">
        <v>115</v>
      </c>
      <c r="L306" t="str">
        <f>_xlfn.XLOOKUP(C306, Table2[Species],Table2[Genus], "Code Not Found")</f>
        <v>Fagus</v>
      </c>
      <c r="M306" t="str">
        <f>_xlfn.XLOOKUP(C306, Table2[Species],Table2[Sp. Name], "Code Not Found")</f>
        <v>grandifolia</v>
      </c>
      <c r="N306" t="str">
        <f>_xlfn.XLOOKUP(C306,Table2[Species],Table2[Family],"Code Not Found")</f>
        <v>Fagaceae</v>
      </c>
      <c r="O306" t="str" cm="1">
        <f t="array" ref="O306">_xlfn.IFS(F306="","",F306&lt;=5,"0 to 5",F306&lt;=10,"5.1 to 10",F306&lt;=20,"10 to 20", F306&lt;= 40, "20 to 40", F306 &lt;= 50, "40 to 50", F306 &gt; 50, "&gt;50" )</f>
        <v>20 to 40</v>
      </c>
    </row>
    <row r="307" spans="1:15" ht="14.4" x14ac:dyDescent="0.3">
      <c r="A307" t="s">
        <v>114</v>
      </c>
      <c r="B307" s="1">
        <v>46174</v>
      </c>
      <c r="C307" t="s">
        <v>64</v>
      </c>
      <c r="D307">
        <v>296</v>
      </c>
      <c r="E307">
        <v>1</v>
      </c>
      <c r="F307">
        <v>26</v>
      </c>
      <c r="G307" t="s">
        <v>21</v>
      </c>
      <c r="I307" t="str">
        <f t="shared" si="4"/>
        <v>296_1</v>
      </c>
      <c r="J307" t="s">
        <v>18</v>
      </c>
      <c r="K307" t="s">
        <v>115</v>
      </c>
      <c r="L307" t="str">
        <f>_xlfn.XLOOKUP(C307, Table2[Species],Table2[Genus], "Code Not Found")</f>
        <v>Fagus</v>
      </c>
      <c r="M307" t="str">
        <f>_xlfn.XLOOKUP(C307, Table2[Species],Table2[Sp. Name], "Code Not Found")</f>
        <v>grandifolia</v>
      </c>
      <c r="N307" t="str">
        <f>_xlfn.XLOOKUP(C307,Table2[Species],Table2[Family],"Code Not Found")</f>
        <v>Fagaceae</v>
      </c>
      <c r="O307" t="str" cm="1">
        <f t="array" ref="O307">_xlfn.IFS(F307="","",F307&lt;=5,"0 to 5",F307&lt;=10,"5.1 to 10",F307&lt;=20,"10 to 20", F307&lt;= 40, "20 to 40", F307 &lt;= 50, "40 to 50", F307 &gt; 50, "&gt;50" )</f>
        <v>20 to 40</v>
      </c>
    </row>
    <row r="308" spans="1:15" ht="14.4" x14ac:dyDescent="0.3">
      <c r="A308" t="s">
        <v>114</v>
      </c>
      <c r="B308" s="1">
        <v>46174</v>
      </c>
      <c r="C308" t="s">
        <v>118</v>
      </c>
      <c r="D308">
        <v>297</v>
      </c>
      <c r="E308">
        <v>1</v>
      </c>
      <c r="F308">
        <v>71.2</v>
      </c>
      <c r="G308" t="s">
        <v>17</v>
      </c>
      <c r="I308" t="str">
        <f t="shared" si="4"/>
        <v>297_1</v>
      </c>
      <c r="J308" t="s">
        <v>18</v>
      </c>
      <c r="K308" t="s">
        <v>115</v>
      </c>
      <c r="L308" t="str">
        <f>_xlfn.XLOOKUP(C308, Table2[Species],Table2[Genus], "Code Not Found")</f>
        <v>Quercus</v>
      </c>
      <c r="M308" t="str">
        <f>_xlfn.XLOOKUP(C308, Table2[Species],Table2[Sp. Name], "Code Not Found")</f>
        <v>montana</v>
      </c>
      <c r="N308" t="str">
        <f>_xlfn.XLOOKUP(C308,Table2[Species],Table2[Family],"Code Not Found")</f>
        <v>Fagaceae</v>
      </c>
      <c r="O308" t="str" cm="1">
        <f t="array" ref="O308">_xlfn.IFS(F308="","",F308&lt;=5,"0 to 5",F308&lt;=10,"5.1 to 10",F308&lt;=20,"10 to 20", F308&lt;= 40, "20 to 40", F308 &lt;= 50, "40 to 50", F308 &gt; 50, "&gt;50" )</f>
        <v>&gt;50</v>
      </c>
    </row>
    <row r="309" spans="1:15" ht="14.4" x14ac:dyDescent="0.3">
      <c r="A309" t="s">
        <v>114</v>
      </c>
      <c r="B309" s="1">
        <v>46174</v>
      </c>
      <c r="C309" t="s">
        <v>64</v>
      </c>
      <c r="D309">
        <v>298</v>
      </c>
      <c r="E309">
        <v>1</v>
      </c>
      <c r="F309">
        <v>9.3000000000000007</v>
      </c>
      <c r="G309" t="s">
        <v>47</v>
      </c>
      <c r="H309" t="s">
        <v>119</v>
      </c>
      <c r="I309" t="str">
        <f t="shared" si="4"/>
        <v>298_1</v>
      </c>
      <c r="J309" t="s">
        <v>18</v>
      </c>
      <c r="K309" t="s">
        <v>115</v>
      </c>
      <c r="L309" t="str">
        <f>_xlfn.XLOOKUP(C309, Table2[Species],Table2[Genus], "Code Not Found")</f>
        <v>Fagus</v>
      </c>
      <c r="M309" t="str">
        <f>_xlfn.XLOOKUP(C309, Table2[Species],Table2[Sp. Name], "Code Not Found")</f>
        <v>grandifolia</v>
      </c>
      <c r="N309" t="str">
        <f>_xlfn.XLOOKUP(C309,Table2[Species],Table2[Family],"Code Not Found")</f>
        <v>Fagaceae</v>
      </c>
      <c r="O309" t="str" cm="1">
        <f t="array" ref="O309">_xlfn.IFS(F309="","",F309&lt;=5,"0 to 5",F309&lt;=10,"5.1 to 10",F309&lt;=20,"10 to 20", F309&lt;= 40, "20 to 40", F309 &lt;= 50, "40 to 50", F309 &gt; 50, "&gt;50" )</f>
        <v>5.1 to 10</v>
      </c>
    </row>
    <row r="310" spans="1:15" ht="14.4" x14ac:dyDescent="0.3">
      <c r="A310" t="s">
        <v>114</v>
      </c>
      <c r="B310" s="1">
        <v>46174</v>
      </c>
      <c r="C310" t="s">
        <v>16</v>
      </c>
      <c r="D310">
        <v>299</v>
      </c>
      <c r="E310">
        <v>1</v>
      </c>
      <c r="F310">
        <v>2.9</v>
      </c>
      <c r="G310" t="s">
        <v>17</v>
      </c>
      <c r="I310" t="str">
        <f t="shared" si="4"/>
        <v>299_1</v>
      </c>
      <c r="J310" t="s">
        <v>18</v>
      </c>
      <c r="K310" t="s">
        <v>115</v>
      </c>
      <c r="L310" t="str">
        <f>_xlfn.XLOOKUP(C310, Table2[Species],Table2[Genus], "Code Not Found")</f>
        <v>Acer</v>
      </c>
      <c r="M310" t="str">
        <f>_xlfn.XLOOKUP(C310, Table2[Species],Table2[Sp. Name], "Code Not Found")</f>
        <v>saccharum</v>
      </c>
      <c r="N310" t="str">
        <f>_xlfn.XLOOKUP(C310,Table2[Species],Table2[Family],"Code Not Found")</f>
        <v>Sapindaceae</v>
      </c>
      <c r="O310" t="str" cm="1">
        <f t="array" ref="O310">_xlfn.IFS(F310="","",F310&lt;=5,"0 to 5",F310&lt;=10,"5.1 to 10",F310&lt;=20,"10 to 20", F310&lt;= 40, "20 to 40", F310 &lt;= 50, "40 to 50", F310 &gt; 50, "&gt;50" )</f>
        <v>0 to 5</v>
      </c>
    </row>
    <row r="311" spans="1:15" ht="14.4" x14ac:dyDescent="0.3">
      <c r="A311" t="s">
        <v>114</v>
      </c>
      <c r="B311" s="1">
        <v>46174</v>
      </c>
      <c r="C311" t="s">
        <v>16</v>
      </c>
      <c r="D311">
        <v>300</v>
      </c>
      <c r="E311">
        <v>1</v>
      </c>
      <c r="F311">
        <v>14.6</v>
      </c>
      <c r="G311" t="s">
        <v>21</v>
      </c>
      <c r="I311" t="str">
        <f t="shared" si="4"/>
        <v>300_1</v>
      </c>
      <c r="J311" t="s">
        <v>18</v>
      </c>
      <c r="K311" t="s">
        <v>115</v>
      </c>
      <c r="L311" t="str">
        <f>_xlfn.XLOOKUP(C311, Table2[Species],Table2[Genus], "Code Not Found")</f>
        <v>Acer</v>
      </c>
      <c r="M311" t="str">
        <f>_xlfn.XLOOKUP(C311, Table2[Species],Table2[Sp. Name], "Code Not Found")</f>
        <v>saccharum</v>
      </c>
      <c r="N311" t="str">
        <f>_xlfn.XLOOKUP(C311,Table2[Species],Table2[Family],"Code Not Found")</f>
        <v>Sapindaceae</v>
      </c>
      <c r="O311" t="str" cm="1">
        <f t="array" ref="O311">_xlfn.IFS(F311="","",F311&lt;=5,"0 to 5",F311&lt;=10,"5.1 to 10",F311&lt;=20,"10 to 20", F311&lt;= 40, "20 to 40", F311 &lt;= 50, "40 to 50", F311 &gt; 50, "&gt;50" )</f>
        <v>10 to 20</v>
      </c>
    </row>
    <row r="312" spans="1:15" ht="14.4" x14ac:dyDescent="0.3">
      <c r="A312" t="s">
        <v>114</v>
      </c>
      <c r="B312" s="1">
        <v>46174</v>
      </c>
      <c r="C312" t="s">
        <v>117</v>
      </c>
      <c r="D312">
        <v>301</v>
      </c>
      <c r="E312">
        <v>1</v>
      </c>
      <c r="F312">
        <v>1.7</v>
      </c>
      <c r="G312" t="s">
        <v>69</v>
      </c>
      <c r="I312" t="str">
        <f t="shared" si="4"/>
        <v>301_1</v>
      </c>
      <c r="J312" t="s">
        <v>18</v>
      </c>
      <c r="K312" t="s">
        <v>115</v>
      </c>
      <c r="L312" t="str">
        <f>_xlfn.XLOOKUP(C312, Table2[Species],Table2[Genus], "Code Not Found")</f>
        <v>Ostrya</v>
      </c>
      <c r="M312" t="str">
        <f>_xlfn.XLOOKUP(C312, Table2[Species],Table2[Sp. Name], "Code Not Found")</f>
        <v>viginiana</v>
      </c>
      <c r="N312" t="str">
        <f>_xlfn.XLOOKUP(C312,Table2[Species],Table2[Family],"Code Not Found")</f>
        <v>Betulaceae</v>
      </c>
      <c r="O312" t="str" cm="1">
        <f t="array" ref="O312">_xlfn.IFS(F312="","",F312&lt;=5,"0 to 5",F312&lt;=10,"5.1 to 10",F312&lt;=20,"10 to 20", F312&lt;= 40, "20 to 40", F312 &lt;= 50, "40 to 50", F312 &gt; 50, "&gt;50" )</f>
        <v>0 to 5</v>
      </c>
    </row>
    <row r="313" spans="1:15" ht="14.4" x14ac:dyDescent="0.3">
      <c r="A313" t="s">
        <v>114</v>
      </c>
      <c r="B313" s="1">
        <v>46174</v>
      </c>
      <c r="C313" t="s">
        <v>22</v>
      </c>
      <c r="D313">
        <v>302</v>
      </c>
      <c r="E313">
        <v>1</v>
      </c>
      <c r="F313">
        <v>7</v>
      </c>
      <c r="G313" t="s">
        <v>21</v>
      </c>
      <c r="I313" t="str">
        <f t="shared" si="4"/>
        <v>302_1</v>
      </c>
      <c r="J313" t="s">
        <v>18</v>
      </c>
      <c r="K313" t="s">
        <v>115</v>
      </c>
      <c r="L313" t="str">
        <f>_xlfn.XLOOKUP(C313, Table2[Species],Table2[Genus], "Code Not Found")</f>
        <v>Acer</v>
      </c>
      <c r="M313" t="str">
        <f>_xlfn.XLOOKUP(C313, Table2[Species],Table2[Sp. Name], "Code Not Found")</f>
        <v>rubrum</v>
      </c>
      <c r="N313" t="str">
        <f>_xlfn.XLOOKUP(C313,Table2[Species],Table2[Family],"Code Not Found")</f>
        <v>Sapindaceae</v>
      </c>
      <c r="O313" t="str" cm="1">
        <f t="array" ref="O313">_xlfn.IFS(F313="","",F313&lt;=5,"0 to 5",F313&lt;=10,"5.1 to 10",F313&lt;=20,"10 to 20", F313&lt;= 40, "20 to 40", F313 &lt;= 50, "40 to 50", F313 &gt; 50, "&gt;50" )</f>
        <v>5.1 to 10</v>
      </c>
    </row>
    <row r="314" spans="1:15" ht="14.4" x14ac:dyDescent="0.3">
      <c r="A314" t="s">
        <v>114</v>
      </c>
      <c r="B314" s="1">
        <v>46174</v>
      </c>
      <c r="C314" t="s">
        <v>16</v>
      </c>
      <c r="D314">
        <v>303</v>
      </c>
      <c r="E314">
        <v>1</v>
      </c>
      <c r="F314">
        <v>24.2</v>
      </c>
      <c r="G314" t="s">
        <v>21</v>
      </c>
      <c r="I314" t="str">
        <f t="shared" si="4"/>
        <v>303_1</v>
      </c>
      <c r="J314" t="s">
        <v>18</v>
      </c>
      <c r="K314" t="s">
        <v>115</v>
      </c>
      <c r="L314" t="str">
        <f>_xlfn.XLOOKUP(C314, Table2[Species],Table2[Genus], "Code Not Found")</f>
        <v>Acer</v>
      </c>
      <c r="M314" t="str">
        <f>_xlfn.XLOOKUP(C314, Table2[Species],Table2[Sp. Name], "Code Not Found")</f>
        <v>saccharum</v>
      </c>
      <c r="N314" t="str">
        <f>_xlfn.XLOOKUP(C314,Table2[Species],Table2[Family],"Code Not Found")</f>
        <v>Sapindaceae</v>
      </c>
      <c r="O314" t="str" cm="1">
        <f t="array" ref="O314">_xlfn.IFS(F314="","",F314&lt;=5,"0 to 5",F314&lt;=10,"5.1 to 10",F314&lt;=20,"10 to 20", F314&lt;= 40, "20 to 40", F314 &lt;= 50, "40 to 50", F314 &gt; 50, "&gt;50" )</f>
        <v>20 to 40</v>
      </c>
    </row>
    <row r="315" spans="1:15" ht="14.4" x14ac:dyDescent="0.3">
      <c r="A315" t="s">
        <v>114</v>
      </c>
      <c r="B315" s="1">
        <v>46174</v>
      </c>
      <c r="C315" t="s">
        <v>16</v>
      </c>
      <c r="D315">
        <v>304</v>
      </c>
      <c r="E315">
        <v>1</v>
      </c>
      <c r="F315">
        <v>2</v>
      </c>
      <c r="G315" t="s">
        <v>47</v>
      </c>
      <c r="I315" t="str">
        <f t="shared" si="4"/>
        <v>304_1</v>
      </c>
      <c r="J315" t="s">
        <v>18</v>
      </c>
      <c r="K315" t="s">
        <v>115</v>
      </c>
      <c r="L315" t="str">
        <f>_xlfn.XLOOKUP(C315, Table2[Species],Table2[Genus], "Code Not Found")</f>
        <v>Acer</v>
      </c>
      <c r="M315" t="str">
        <f>_xlfn.XLOOKUP(C315, Table2[Species],Table2[Sp. Name], "Code Not Found")</f>
        <v>saccharum</v>
      </c>
      <c r="N315" t="str">
        <f>_xlfn.XLOOKUP(C315,Table2[Species],Table2[Family],"Code Not Found")</f>
        <v>Sapindaceae</v>
      </c>
      <c r="O315" t="str" cm="1">
        <f t="array" ref="O315">_xlfn.IFS(F315="","",F315&lt;=5,"0 to 5",F315&lt;=10,"5.1 to 10",F315&lt;=20,"10 to 20", F315&lt;= 40, "20 to 40", F315 &lt;= 50, "40 to 50", F315 &gt; 50, "&gt;50" )</f>
        <v>0 to 5</v>
      </c>
    </row>
    <row r="316" spans="1:15" ht="14.4" x14ac:dyDescent="0.3">
      <c r="A316" t="s">
        <v>114</v>
      </c>
      <c r="B316" s="1">
        <v>46174</v>
      </c>
      <c r="C316" t="s">
        <v>16</v>
      </c>
      <c r="D316">
        <v>305</v>
      </c>
      <c r="E316">
        <v>1</v>
      </c>
      <c r="F316">
        <v>3.1</v>
      </c>
      <c r="G316" t="s">
        <v>120</v>
      </c>
      <c r="H316" t="s">
        <v>121</v>
      </c>
      <c r="I316" t="str">
        <f t="shared" si="4"/>
        <v>305_1</v>
      </c>
      <c r="J316" t="s">
        <v>18</v>
      </c>
      <c r="K316" t="s">
        <v>115</v>
      </c>
      <c r="L316" t="str">
        <f>_xlfn.XLOOKUP(C316, Table2[Species],Table2[Genus], "Code Not Found")</f>
        <v>Acer</v>
      </c>
      <c r="M316" t="str">
        <f>_xlfn.XLOOKUP(C316, Table2[Species],Table2[Sp. Name], "Code Not Found")</f>
        <v>saccharum</v>
      </c>
      <c r="N316" t="str">
        <f>_xlfn.XLOOKUP(C316,Table2[Species],Table2[Family],"Code Not Found")</f>
        <v>Sapindaceae</v>
      </c>
      <c r="O316" t="str" cm="1">
        <f t="array" ref="O316">_xlfn.IFS(F316="","",F316&lt;=5,"0 to 5",F316&lt;=10,"5.1 to 10",F316&lt;=20,"10 to 20", F316&lt;= 40, "20 to 40", F316 &lt;= 50, "40 to 50", F316 &gt; 50, "&gt;50" )</f>
        <v>0 to 5</v>
      </c>
    </row>
    <row r="317" spans="1:15" ht="14.4" x14ac:dyDescent="0.3">
      <c r="A317" t="s">
        <v>114</v>
      </c>
      <c r="B317" s="1">
        <v>46174</v>
      </c>
      <c r="C317" t="s">
        <v>22</v>
      </c>
      <c r="D317">
        <v>306</v>
      </c>
      <c r="E317">
        <v>1</v>
      </c>
      <c r="F317">
        <v>3.1</v>
      </c>
      <c r="G317" t="s">
        <v>17</v>
      </c>
      <c r="H317" t="s">
        <v>121</v>
      </c>
      <c r="I317" t="str">
        <f t="shared" si="4"/>
        <v>306_1</v>
      </c>
      <c r="J317" t="s">
        <v>18</v>
      </c>
      <c r="K317" t="s">
        <v>115</v>
      </c>
      <c r="L317" t="str">
        <f>_xlfn.XLOOKUP(C317, Table2[Species],Table2[Genus], "Code Not Found")</f>
        <v>Acer</v>
      </c>
      <c r="M317" t="str">
        <f>_xlfn.XLOOKUP(C317, Table2[Species],Table2[Sp. Name], "Code Not Found")</f>
        <v>rubrum</v>
      </c>
      <c r="N317" t="str">
        <f>_xlfn.XLOOKUP(C317,Table2[Species],Table2[Family],"Code Not Found")</f>
        <v>Sapindaceae</v>
      </c>
      <c r="O317" t="str" cm="1">
        <f t="array" ref="O317">_xlfn.IFS(F317="","",F317&lt;=5,"0 to 5",F317&lt;=10,"5.1 to 10",F317&lt;=20,"10 to 20", F317&lt;= 40, "20 to 40", F317 &lt;= 50, "40 to 50", F317 &gt; 50, "&gt;50" )</f>
        <v>0 to 5</v>
      </c>
    </row>
    <row r="318" spans="1:15" ht="14.4" x14ac:dyDescent="0.3">
      <c r="A318" t="s">
        <v>114</v>
      </c>
      <c r="B318" s="1">
        <v>46174</v>
      </c>
      <c r="C318" t="s">
        <v>16</v>
      </c>
      <c r="D318">
        <v>307</v>
      </c>
      <c r="E318">
        <v>1</v>
      </c>
      <c r="F318">
        <v>6.4</v>
      </c>
      <c r="G318" t="s">
        <v>17</v>
      </c>
      <c r="H318" t="s">
        <v>122</v>
      </c>
      <c r="I318" t="str">
        <f t="shared" si="4"/>
        <v>307_1</v>
      </c>
      <c r="J318" t="s">
        <v>18</v>
      </c>
      <c r="K318" t="s">
        <v>115</v>
      </c>
      <c r="L318" t="str">
        <f>_xlfn.XLOOKUP(C318, Table2[Species],Table2[Genus], "Code Not Found")</f>
        <v>Acer</v>
      </c>
      <c r="M318" t="str">
        <f>_xlfn.XLOOKUP(C318, Table2[Species],Table2[Sp. Name], "Code Not Found")</f>
        <v>saccharum</v>
      </c>
      <c r="N318" t="str">
        <f>_xlfn.XLOOKUP(C318,Table2[Species],Table2[Family],"Code Not Found")</f>
        <v>Sapindaceae</v>
      </c>
      <c r="O318" t="str" cm="1">
        <f t="array" ref="O318">_xlfn.IFS(F318="","",F318&lt;=5,"0 to 5",F318&lt;=10,"5.1 to 10",F318&lt;=20,"10 to 20", F318&lt;= 40, "20 to 40", F318 &lt;= 50, "40 to 50", F318 &gt; 50, "&gt;50" )</f>
        <v>5.1 to 10</v>
      </c>
    </row>
    <row r="319" spans="1:15" ht="14.4" x14ac:dyDescent="0.3">
      <c r="A319" t="s">
        <v>114</v>
      </c>
      <c r="B319" s="1">
        <v>46174</v>
      </c>
      <c r="C319" t="s">
        <v>123</v>
      </c>
      <c r="D319">
        <v>308</v>
      </c>
      <c r="E319">
        <v>1</v>
      </c>
      <c r="F319">
        <v>60.6</v>
      </c>
      <c r="G319" t="s">
        <v>17</v>
      </c>
      <c r="H319" t="s">
        <v>36</v>
      </c>
      <c r="I319" t="str">
        <f>D319&amp;"_"&amp;E320</f>
        <v>308_1</v>
      </c>
      <c r="J319" t="s">
        <v>18</v>
      </c>
      <c r="K319" t="s">
        <v>115</v>
      </c>
      <c r="L319" t="str">
        <f>_xlfn.XLOOKUP(C319, Table2[Species],Table2[Genus], "Code Not Found")</f>
        <v>Quercus</v>
      </c>
      <c r="M319" t="str">
        <f>_xlfn.XLOOKUP(C319, Table2[Species],Table2[Sp. Name], "Code Not Found")</f>
        <v>rubra</v>
      </c>
      <c r="N319" t="str">
        <f>_xlfn.XLOOKUP(C319,Table2[Species],Table2[Family],"Code Not Found")</f>
        <v>Fagaceae</v>
      </c>
      <c r="O319" t="str" cm="1">
        <f t="array" ref="O319">_xlfn.IFS(F319="","",F319&lt;=5,"0 to 5",F319&lt;=10,"5.1 to 10",F319&lt;=20,"10 to 20", F319&lt;= 40, "20 to 40", F319 &lt;= 50, "40 to 50", F319 &gt; 50, "&gt;50" )</f>
        <v>&gt;50</v>
      </c>
    </row>
    <row r="320" spans="1:15" ht="14.4" x14ac:dyDescent="0.3">
      <c r="A320" t="s">
        <v>114</v>
      </c>
      <c r="B320" s="1">
        <v>46174</v>
      </c>
      <c r="C320" t="s">
        <v>16</v>
      </c>
      <c r="D320">
        <v>309</v>
      </c>
      <c r="E320">
        <v>1</v>
      </c>
      <c r="F320">
        <v>2.9</v>
      </c>
      <c r="G320" t="s">
        <v>17</v>
      </c>
      <c r="I320" t="str">
        <f>D320&amp;"_"&amp;E321</f>
        <v>309_1</v>
      </c>
      <c r="J320" t="s">
        <v>18</v>
      </c>
      <c r="K320" t="s">
        <v>115</v>
      </c>
      <c r="L320" t="str">
        <f>_xlfn.XLOOKUP(C320, Table2[Species],Table2[Genus], "Code Not Found")</f>
        <v>Acer</v>
      </c>
      <c r="M320" t="str">
        <f>_xlfn.XLOOKUP(C320, Table2[Species],Table2[Sp. Name], "Code Not Found")</f>
        <v>saccharum</v>
      </c>
      <c r="N320" t="str">
        <f>_xlfn.XLOOKUP(C320,Table2[Species],Table2[Family],"Code Not Found")</f>
        <v>Sapindaceae</v>
      </c>
      <c r="O320" t="str" cm="1">
        <f t="array" ref="O320">_xlfn.IFS(F320="","",F320&lt;=5,"0 to 5",F320&lt;=10,"5.1 to 10",F320&lt;=20,"10 to 20", F320&lt;= 40, "20 to 40", F320 &lt;= 50, "40 to 50", F320 &gt; 50, "&gt;50" )</f>
        <v>0 to 5</v>
      </c>
    </row>
    <row r="321" spans="1:15" ht="14.4" x14ac:dyDescent="0.3">
      <c r="A321" t="s">
        <v>114</v>
      </c>
      <c r="B321" s="1">
        <v>46174</v>
      </c>
      <c r="C321" t="s">
        <v>124</v>
      </c>
      <c r="D321">
        <v>310</v>
      </c>
      <c r="E321">
        <v>1</v>
      </c>
      <c r="F321">
        <v>2.4</v>
      </c>
      <c r="G321" t="s">
        <v>34</v>
      </c>
      <c r="H321" t="s">
        <v>125</v>
      </c>
      <c r="I321" t="str">
        <f t="shared" si="4"/>
        <v>310_1</v>
      </c>
      <c r="J321" t="s">
        <v>18</v>
      </c>
      <c r="K321" t="s">
        <v>115</v>
      </c>
      <c r="L321" t="str">
        <f>_xlfn.XLOOKUP(C321, Table2[Species],Table2[Genus], "Code Not Found")</f>
        <v>Amelanchier</v>
      </c>
      <c r="M321" t="str">
        <f>_xlfn.XLOOKUP(C321, Table2[Species],Table2[Sp. Name], "Code Not Found")</f>
        <v>arborea</v>
      </c>
      <c r="N321" t="str">
        <f>_xlfn.XLOOKUP(C321,Table2[Species],Table2[Family],"Code Not Found")</f>
        <v>Rosaceae</v>
      </c>
      <c r="O321" t="str" cm="1">
        <f t="array" ref="O321">_xlfn.IFS(F321="","",F321&lt;=5,"0 to 5",F321&lt;=10,"5.1 to 10",F321&lt;=20,"10 to 20", F321&lt;= 40, "20 to 40", F321 &lt;= 50, "40 to 50", F321 &gt; 50, "&gt;50" )</f>
        <v>0 to 5</v>
      </c>
    </row>
    <row r="322" spans="1:15" ht="14.4" x14ac:dyDescent="0.3">
      <c r="A322" t="s">
        <v>114</v>
      </c>
      <c r="B322" s="1">
        <v>46174</v>
      </c>
      <c r="C322" t="s">
        <v>124</v>
      </c>
      <c r="D322">
        <v>310</v>
      </c>
      <c r="E322">
        <v>2</v>
      </c>
      <c r="F322">
        <v>1</v>
      </c>
      <c r="G322" t="s">
        <v>34</v>
      </c>
      <c r="H322" t="s">
        <v>125</v>
      </c>
      <c r="I322" t="str">
        <f t="shared" si="4"/>
        <v>310_2</v>
      </c>
      <c r="J322" t="s">
        <v>18</v>
      </c>
      <c r="K322" t="s">
        <v>115</v>
      </c>
      <c r="L322" t="str">
        <f>_xlfn.XLOOKUP(C322, Table2[Species],Table2[Genus], "Code Not Found")</f>
        <v>Amelanchier</v>
      </c>
      <c r="M322" t="str">
        <f>_xlfn.XLOOKUP(C322, Table2[Species],Table2[Sp. Name], "Code Not Found")</f>
        <v>arborea</v>
      </c>
      <c r="N322" t="str">
        <f>_xlfn.XLOOKUP(C322,Table2[Species],Table2[Family],"Code Not Found")</f>
        <v>Rosaceae</v>
      </c>
      <c r="O322" t="str" cm="1">
        <f t="array" ref="O322">_xlfn.IFS(F322="","",F322&lt;=5,"0 to 5",F322&lt;=10,"5.1 to 10",F322&lt;=20,"10 to 20", F322&lt;= 40, "20 to 40", F322 &lt;= 50, "40 to 50", F322 &gt; 50, "&gt;50" )</f>
        <v>0 to 5</v>
      </c>
    </row>
    <row r="323" spans="1:15" ht="14.4" x14ac:dyDescent="0.3">
      <c r="A323" t="s">
        <v>114</v>
      </c>
      <c r="B323" s="1">
        <v>46174</v>
      </c>
      <c r="C323" t="s">
        <v>124</v>
      </c>
      <c r="D323">
        <v>310</v>
      </c>
      <c r="E323">
        <v>3</v>
      </c>
      <c r="F323">
        <v>1.7</v>
      </c>
      <c r="G323" t="s">
        <v>93</v>
      </c>
      <c r="H323" t="s">
        <v>125</v>
      </c>
      <c r="I323" t="str">
        <f t="shared" ref="I323:I386" si="5">D323&amp;"_"&amp;E323</f>
        <v>310_3</v>
      </c>
      <c r="J323" t="s">
        <v>18</v>
      </c>
      <c r="K323" t="s">
        <v>115</v>
      </c>
      <c r="L323" t="str">
        <f>_xlfn.XLOOKUP(C323, Table2[Species],Table2[Genus], "Code Not Found")</f>
        <v>Amelanchier</v>
      </c>
      <c r="M323" t="str">
        <f>_xlfn.XLOOKUP(C323, Table2[Species],Table2[Sp. Name], "Code Not Found")</f>
        <v>arborea</v>
      </c>
      <c r="N323" t="str">
        <f>_xlfn.XLOOKUP(C323,Table2[Species],Table2[Family],"Code Not Found")</f>
        <v>Rosaceae</v>
      </c>
      <c r="O323" t="str" cm="1">
        <f t="array" ref="O323">_xlfn.IFS(F323="","",F323&lt;=5,"0 to 5",F323&lt;=10,"5.1 to 10",F323&lt;=20,"10 to 20", F323&lt;= 40, "20 to 40", F323 &lt;= 50, "40 to 50", F323 &gt; 50, "&gt;50" )</f>
        <v>0 to 5</v>
      </c>
    </row>
    <row r="324" spans="1:15" ht="14.4" x14ac:dyDescent="0.3">
      <c r="A324" t="s">
        <v>114</v>
      </c>
      <c r="B324" s="1">
        <v>46174</v>
      </c>
      <c r="C324" t="s">
        <v>124</v>
      </c>
      <c r="D324">
        <v>310</v>
      </c>
      <c r="E324">
        <v>4</v>
      </c>
      <c r="F324">
        <v>1.5</v>
      </c>
      <c r="G324" t="s">
        <v>93</v>
      </c>
      <c r="H324" t="s">
        <v>125</v>
      </c>
      <c r="I324" t="str">
        <f t="shared" si="5"/>
        <v>310_4</v>
      </c>
      <c r="J324" t="s">
        <v>18</v>
      </c>
      <c r="K324" t="s">
        <v>115</v>
      </c>
      <c r="L324" t="str">
        <f>_xlfn.XLOOKUP(C324, Table2[Species],Table2[Genus], "Code Not Found")</f>
        <v>Amelanchier</v>
      </c>
      <c r="M324" t="str">
        <f>_xlfn.XLOOKUP(C324, Table2[Species],Table2[Sp. Name], "Code Not Found")</f>
        <v>arborea</v>
      </c>
      <c r="N324" t="str">
        <f>_xlfn.XLOOKUP(C324,Table2[Species],Table2[Family],"Code Not Found")</f>
        <v>Rosaceae</v>
      </c>
      <c r="O324" t="str" cm="1">
        <f t="array" ref="O324">_xlfn.IFS(F324="","",F324&lt;=5,"0 to 5",F324&lt;=10,"5.1 to 10",F324&lt;=20,"10 to 20", F324&lt;= 40, "20 to 40", F324 &lt;= 50, "40 to 50", F324 &gt; 50, "&gt;50" )</f>
        <v>0 to 5</v>
      </c>
    </row>
    <row r="325" spans="1:15" ht="14.4" x14ac:dyDescent="0.3">
      <c r="A325" t="s">
        <v>114</v>
      </c>
      <c r="B325" s="1">
        <v>46174</v>
      </c>
      <c r="C325" t="s">
        <v>124</v>
      </c>
      <c r="D325">
        <v>310</v>
      </c>
      <c r="E325">
        <v>5</v>
      </c>
      <c r="F325">
        <v>1.1000000000000001</v>
      </c>
      <c r="G325" t="s">
        <v>93</v>
      </c>
      <c r="H325" t="s">
        <v>126</v>
      </c>
      <c r="I325" t="str">
        <f t="shared" si="5"/>
        <v>310_5</v>
      </c>
      <c r="J325" t="s">
        <v>18</v>
      </c>
      <c r="K325" t="s">
        <v>115</v>
      </c>
      <c r="L325" t="str">
        <f>_xlfn.XLOOKUP(C325, Table2[Species],Table2[Genus], "Code Not Found")</f>
        <v>Amelanchier</v>
      </c>
      <c r="M325" t="str">
        <f>_xlfn.XLOOKUP(C325, Table2[Species],Table2[Sp. Name], "Code Not Found")</f>
        <v>arborea</v>
      </c>
      <c r="N325" t="str">
        <f>_xlfn.XLOOKUP(C325,Table2[Species],Table2[Family],"Code Not Found")</f>
        <v>Rosaceae</v>
      </c>
      <c r="O325" t="str" cm="1">
        <f t="array" ref="O325">_xlfn.IFS(F325="","",F325&lt;=5,"0 to 5",F325&lt;=10,"5.1 to 10",F325&lt;=20,"10 to 20", F325&lt;= 40, "20 to 40", F325 &lt;= 50, "40 to 50", F325 &gt; 50, "&gt;50" )</f>
        <v>0 to 5</v>
      </c>
    </row>
    <row r="326" spans="1:15" ht="14.4" x14ac:dyDescent="0.3">
      <c r="A326" t="s">
        <v>114</v>
      </c>
      <c r="B326" s="1">
        <v>46174</v>
      </c>
      <c r="C326" t="s">
        <v>22</v>
      </c>
      <c r="D326">
        <v>311</v>
      </c>
      <c r="E326">
        <v>1</v>
      </c>
      <c r="F326">
        <v>6</v>
      </c>
      <c r="G326" t="s">
        <v>21</v>
      </c>
      <c r="I326" t="str">
        <f t="shared" si="5"/>
        <v>311_1</v>
      </c>
      <c r="J326" t="s">
        <v>18</v>
      </c>
      <c r="K326" t="s">
        <v>115</v>
      </c>
      <c r="L326" t="str">
        <f>_xlfn.XLOOKUP(C326, Table2[Species],Table2[Genus], "Code Not Found")</f>
        <v>Acer</v>
      </c>
      <c r="M326" t="str">
        <f>_xlfn.XLOOKUP(C326, Table2[Species],Table2[Sp. Name], "Code Not Found")</f>
        <v>rubrum</v>
      </c>
      <c r="N326" t="str">
        <f>_xlfn.XLOOKUP(C326,Table2[Species],Table2[Family],"Code Not Found")</f>
        <v>Sapindaceae</v>
      </c>
      <c r="O326" t="str" cm="1">
        <f t="array" ref="O326">_xlfn.IFS(F326="","",F326&lt;=5,"0 to 5",F326&lt;=10,"5.1 to 10",F326&lt;=20,"10 to 20", F326&lt;= 40, "20 to 40", F326 &lt;= 50, "40 to 50", F326 &gt; 50, "&gt;50" )</f>
        <v>5.1 to 10</v>
      </c>
    </row>
    <row r="327" spans="1:15" ht="14.4" x14ac:dyDescent="0.3">
      <c r="A327" t="s">
        <v>114</v>
      </c>
      <c r="B327" s="1">
        <v>46174</v>
      </c>
      <c r="C327" t="s">
        <v>16</v>
      </c>
      <c r="D327">
        <v>312</v>
      </c>
      <c r="E327">
        <v>1</v>
      </c>
      <c r="F327">
        <v>2.4</v>
      </c>
      <c r="G327" t="s">
        <v>17</v>
      </c>
      <c r="I327" t="str">
        <f t="shared" si="5"/>
        <v>312_1</v>
      </c>
      <c r="J327" t="s">
        <v>18</v>
      </c>
      <c r="K327" t="s">
        <v>115</v>
      </c>
      <c r="L327" t="str">
        <f>_xlfn.XLOOKUP(C327, Table2[Species],Table2[Genus], "Code Not Found")</f>
        <v>Acer</v>
      </c>
      <c r="M327" t="str">
        <f>_xlfn.XLOOKUP(C327, Table2[Species],Table2[Sp. Name], "Code Not Found")</f>
        <v>saccharum</v>
      </c>
      <c r="N327" t="str">
        <f>_xlfn.XLOOKUP(C327,Table2[Species],Table2[Family],"Code Not Found")</f>
        <v>Sapindaceae</v>
      </c>
      <c r="O327" t="str" cm="1">
        <f t="array" ref="O327">_xlfn.IFS(F327="","",F327&lt;=5,"0 to 5",F327&lt;=10,"5.1 to 10",F327&lt;=20,"10 to 20", F327&lt;= 40, "20 to 40", F327 &lt;= 50, "40 to 50", F327 &gt; 50, "&gt;50" )</f>
        <v>0 to 5</v>
      </c>
    </row>
    <row r="328" spans="1:15" ht="14.4" x14ac:dyDescent="0.3">
      <c r="A328" t="s">
        <v>114</v>
      </c>
      <c r="B328" s="1">
        <v>46174</v>
      </c>
      <c r="C328" t="s">
        <v>16</v>
      </c>
      <c r="D328">
        <v>313</v>
      </c>
      <c r="E328">
        <v>1</v>
      </c>
      <c r="F328">
        <v>5</v>
      </c>
      <c r="G328" t="s">
        <v>94</v>
      </c>
      <c r="H328" t="s">
        <v>99</v>
      </c>
      <c r="I328" t="str">
        <f t="shared" si="5"/>
        <v>313_1</v>
      </c>
      <c r="J328" t="s">
        <v>18</v>
      </c>
      <c r="K328" t="s">
        <v>115</v>
      </c>
      <c r="L328" t="str">
        <f>_xlfn.XLOOKUP(C328, Table2[Species],Table2[Genus], "Code Not Found")</f>
        <v>Acer</v>
      </c>
      <c r="M328" t="str">
        <f>_xlfn.XLOOKUP(C328, Table2[Species],Table2[Sp. Name], "Code Not Found")</f>
        <v>saccharum</v>
      </c>
      <c r="N328" t="str">
        <f>_xlfn.XLOOKUP(C328,Table2[Species],Table2[Family],"Code Not Found")</f>
        <v>Sapindaceae</v>
      </c>
      <c r="O328" t="str" cm="1">
        <f t="array" ref="O328">_xlfn.IFS(F328="","",F328&lt;=5,"0 to 5",F328&lt;=10,"5.1 to 10",F328&lt;=20,"10 to 20", F328&lt;= 40, "20 to 40", F328 &lt;= 50, "40 to 50", F328 &gt; 50, "&gt;50" )</f>
        <v>0 to 5</v>
      </c>
    </row>
    <row r="329" spans="1:15" ht="14.4" x14ac:dyDescent="0.3">
      <c r="A329" t="s">
        <v>114</v>
      </c>
      <c r="B329" s="1">
        <v>46174</v>
      </c>
      <c r="C329" t="s">
        <v>117</v>
      </c>
      <c r="D329">
        <v>314</v>
      </c>
      <c r="E329">
        <v>1</v>
      </c>
      <c r="F329">
        <v>15.5</v>
      </c>
      <c r="G329" t="s">
        <v>17</v>
      </c>
      <c r="I329" t="str">
        <f t="shared" si="5"/>
        <v>314_1</v>
      </c>
      <c r="J329" t="s">
        <v>18</v>
      </c>
      <c r="K329" t="s">
        <v>115</v>
      </c>
      <c r="L329" t="str">
        <f>_xlfn.XLOOKUP(C329, Table2[Species],Table2[Genus], "Code Not Found")</f>
        <v>Ostrya</v>
      </c>
      <c r="M329" t="str">
        <f>_xlfn.XLOOKUP(C329, Table2[Species],Table2[Sp. Name], "Code Not Found")</f>
        <v>viginiana</v>
      </c>
      <c r="N329" t="str">
        <f>_xlfn.XLOOKUP(C329,Table2[Species],Table2[Family],"Code Not Found")</f>
        <v>Betulaceae</v>
      </c>
      <c r="O329" t="str" cm="1">
        <f t="array" ref="O329">_xlfn.IFS(F329="","",F329&lt;=5,"0 to 5",F329&lt;=10,"5.1 to 10",F329&lt;=20,"10 to 20", F329&lt;= 40, "20 to 40", F329 &lt;= 50, "40 to 50", F329 &gt; 50, "&gt;50" )</f>
        <v>10 to 20</v>
      </c>
    </row>
    <row r="330" spans="1:15" ht="14.4" x14ac:dyDescent="0.3">
      <c r="A330" t="s">
        <v>114</v>
      </c>
      <c r="B330" s="1">
        <v>46174</v>
      </c>
      <c r="C330" t="s">
        <v>123</v>
      </c>
      <c r="D330">
        <v>315</v>
      </c>
      <c r="E330">
        <v>1</v>
      </c>
      <c r="F330">
        <v>55.6</v>
      </c>
      <c r="G330" t="s">
        <v>17</v>
      </c>
      <c r="I330" t="str">
        <f t="shared" si="5"/>
        <v>315_1</v>
      </c>
      <c r="J330" t="s">
        <v>18</v>
      </c>
      <c r="K330" t="s">
        <v>115</v>
      </c>
      <c r="L330" t="str">
        <f>_xlfn.XLOOKUP(C330, Table2[Species],Table2[Genus], "Code Not Found")</f>
        <v>Quercus</v>
      </c>
      <c r="M330" t="str">
        <f>_xlfn.XLOOKUP(C330, Table2[Species],Table2[Sp. Name], "Code Not Found")</f>
        <v>rubra</v>
      </c>
      <c r="N330" t="str">
        <f>_xlfn.XLOOKUP(C330,Table2[Species],Table2[Family],"Code Not Found")</f>
        <v>Fagaceae</v>
      </c>
      <c r="O330" t="str" cm="1">
        <f t="array" ref="O330">_xlfn.IFS(F330="","",F330&lt;=5,"0 to 5",F330&lt;=10,"5.1 to 10",F330&lt;=20,"10 to 20", F330&lt;= 40, "20 to 40", F330 &lt;= 50, "40 to 50", F330 &gt; 50, "&gt;50" )</f>
        <v>&gt;50</v>
      </c>
    </row>
    <row r="331" spans="1:15" ht="14.4" x14ac:dyDescent="0.3">
      <c r="A331" t="s">
        <v>114</v>
      </c>
      <c r="B331" s="1">
        <v>46174</v>
      </c>
      <c r="C331" t="s">
        <v>22</v>
      </c>
      <c r="D331">
        <v>316</v>
      </c>
      <c r="E331">
        <v>1</v>
      </c>
      <c r="F331">
        <v>9.8000000000000007</v>
      </c>
      <c r="G331" t="s">
        <v>21</v>
      </c>
      <c r="I331" t="str">
        <f t="shared" si="5"/>
        <v>316_1</v>
      </c>
      <c r="J331" t="s">
        <v>18</v>
      </c>
      <c r="K331" t="s">
        <v>115</v>
      </c>
      <c r="L331" t="str">
        <f>_xlfn.XLOOKUP(C331, Table2[Species],Table2[Genus], "Code Not Found")</f>
        <v>Acer</v>
      </c>
      <c r="M331" t="str">
        <f>_xlfn.XLOOKUP(C331, Table2[Species],Table2[Sp. Name], "Code Not Found")</f>
        <v>rubrum</v>
      </c>
      <c r="N331" t="str">
        <f>_xlfn.XLOOKUP(C331,Table2[Species],Table2[Family],"Code Not Found")</f>
        <v>Sapindaceae</v>
      </c>
      <c r="O331" t="str" cm="1">
        <f t="array" ref="O331">_xlfn.IFS(F331="","",F331&lt;=5,"0 to 5",F331&lt;=10,"5.1 to 10",F331&lt;=20,"10 to 20", F331&lt;= 40, "20 to 40", F331 &lt;= 50, "40 to 50", F331 &gt; 50, "&gt;50" )</f>
        <v>5.1 to 10</v>
      </c>
    </row>
    <row r="332" spans="1:15" ht="14.4" x14ac:dyDescent="0.3">
      <c r="A332" t="s">
        <v>114</v>
      </c>
      <c r="B332" s="1">
        <v>46174</v>
      </c>
      <c r="C332" t="s">
        <v>124</v>
      </c>
      <c r="D332">
        <v>317</v>
      </c>
      <c r="E332">
        <v>1</v>
      </c>
      <c r="F332">
        <v>9.1999999999999993</v>
      </c>
      <c r="G332" t="s">
        <v>17</v>
      </c>
      <c r="I332" t="str">
        <f t="shared" si="5"/>
        <v>317_1</v>
      </c>
      <c r="J332" t="s">
        <v>18</v>
      </c>
      <c r="K332" t="s">
        <v>115</v>
      </c>
      <c r="L332" t="str">
        <f>_xlfn.XLOOKUP(C332, Table2[Species],Table2[Genus], "Code Not Found")</f>
        <v>Amelanchier</v>
      </c>
      <c r="M332" t="str">
        <f>_xlfn.XLOOKUP(C332, Table2[Species],Table2[Sp. Name], "Code Not Found")</f>
        <v>arborea</v>
      </c>
      <c r="N332" t="str">
        <f>_xlfn.XLOOKUP(C332,Table2[Species],Table2[Family],"Code Not Found")</f>
        <v>Rosaceae</v>
      </c>
      <c r="O332" t="str" cm="1">
        <f t="array" ref="O332">_xlfn.IFS(F332="","",F332&lt;=5,"0 to 5",F332&lt;=10,"5.1 to 10",F332&lt;=20,"10 to 20", F332&lt;= 40, "20 to 40", F332 &lt;= 50, "40 to 50", F332 &gt; 50, "&gt;50" )</f>
        <v>5.1 to 10</v>
      </c>
    </row>
    <row r="333" spans="1:15" ht="14.4" x14ac:dyDescent="0.3">
      <c r="A333" t="s">
        <v>114</v>
      </c>
      <c r="B333" s="1">
        <v>46174</v>
      </c>
      <c r="C333" t="s">
        <v>22</v>
      </c>
      <c r="D333">
        <v>318</v>
      </c>
      <c r="E333">
        <v>1</v>
      </c>
      <c r="F333">
        <v>8.9</v>
      </c>
      <c r="G333" t="s">
        <v>17</v>
      </c>
      <c r="I333" t="str">
        <f t="shared" si="5"/>
        <v>318_1</v>
      </c>
      <c r="J333" t="s">
        <v>18</v>
      </c>
      <c r="K333" t="s">
        <v>115</v>
      </c>
      <c r="L333" t="str">
        <f>_xlfn.XLOOKUP(C333, Table2[Species],Table2[Genus], "Code Not Found")</f>
        <v>Acer</v>
      </c>
      <c r="M333" t="str">
        <f>_xlfn.XLOOKUP(C333, Table2[Species],Table2[Sp. Name], "Code Not Found")</f>
        <v>rubrum</v>
      </c>
      <c r="N333" t="str">
        <f>_xlfn.XLOOKUP(C333,Table2[Species],Table2[Family],"Code Not Found")</f>
        <v>Sapindaceae</v>
      </c>
      <c r="O333" t="str" cm="1">
        <f t="array" ref="O333">_xlfn.IFS(F333="","",F333&lt;=5,"0 to 5",F333&lt;=10,"5.1 to 10",F333&lt;=20,"10 to 20", F333&lt;= 40, "20 to 40", F333 &lt;= 50, "40 to 50", F333 &gt; 50, "&gt;50" )</f>
        <v>5.1 to 10</v>
      </c>
    </row>
    <row r="334" spans="1:15" ht="14.4" x14ac:dyDescent="0.3">
      <c r="A334" t="s">
        <v>114</v>
      </c>
      <c r="B334" s="1">
        <v>46174</v>
      </c>
      <c r="C334" t="s">
        <v>16</v>
      </c>
      <c r="D334">
        <v>319</v>
      </c>
      <c r="E334">
        <v>1</v>
      </c>
      <c r="F334">
        <v>4.2</v>
      </c>
      <c r="G334" t="s">
        <v>17</v>
      </c>
      <c r="H334" t="s">
        <v>36</v>
      </c>
      <c r="I334" t="str">
        <f t="shared" si="5"/>
        <v>319_1</v>
      </c>
      <c r="J334" t="s">
        <v>18</v>
      </c>
      <c r="K334" t="s">
        <v>115</v>
      </c>
      <c r="L334" t="str">
        <f>_xlfn.XLOOKUP(C334, Table2[Species],Table2[Genus], "Code Not Found")</f>
        <v>Acer</v>
      </c>
      <c r="M334" t="str">
        <f>_xlfn.XLOOKUP(C334, Table2[Species],Table2[Sp. Name], "Code Not Found")</f>
        <v>saccharum</v>
      </c>
      <c r="N334" t="str">
        <f>_xlfn.XLOOKUP(C334,Table2[Species],Table2[Family],"Code Not Found")</f>
        <v>Sapindaceae</v>
      </c>
      <c r="O334" t="str" cm="1">
        <f t="array" ref="O334">_xlfn.IFS(F334="","",F334&lt;=5,"0 to 5",F334&lt;=10,"5.1 to 10",F334&lt;=20,"10 to 20", F334&lt;= 40, "20 to 40", F334 &lt;= 50, "40 to 50", F334 &gt; 50, "&gt;50" )</f>
        <v>0 to 5</v>
      </c>
    </row>
    <row r="335" spans="1:15" ht="14.4" x14ac:dyDescent="0.3">
      <c r="A335" t="s">
        <v>114</v>
      </c>
      <c r="B335" s="1">
        <v>46174</v>
      </c>
      <c r="C335" t="s">
        <v>22</v>
      </c>
      <c r="D335">
        <v>320</v>
      </c>
      <c r="E335">
        <v>1</v>
      </c>
      <c r="F335">
        <v>15.4</v>
      </c>
      <c r="G335" t="s">
        <v>69</v>
      </c>
      <c r="H335" t="s">
        <v>36</v>
      </c>
      <c r="I335" t="str">
        <f t="shared" si="5"/>
        <v>320_1</v>
      </c>
      <c r="J335" t="s">
        <v>18</v>
      </c>
      <c r="K335" t="s">
        <v>115</v>
      </c>
      <c r="L335" t="str">
        <f>_xlfn.XLOOKUP(C335, Table2[Species],Table2[Genus], "Code Not Found")</f>
        <v>Acer</v>
      </c>
      <c r="M335" t="str">
        <f>_xlfn.XLOOKUP(C335, Table2[Species],Table2[Sp. Name], "Code Not Found")</f>
        <v>rubrum</v>
      </c>
      <c r="N335" t="str">
        <f>_xlfn.XLOOKUP(C335,Table2[Species],Table2[Family],"Code Not Found")</f>
        <v>Sapindaceae</v>
      </c>
      <c r="O335" t="str" cm="1">
        <f t="array" ref="O335">_xlfn.IFS(F335="","",F335&lt;=5,"0 to 5",F335&lt;=10,"5.1 to 10",F335&lt;=20,"10 to 20", F335&lt;= 40, "20 to 40", F335 &lt;= 50, "40 to 50", F335 &gt; 50, "&gt;50" )</f>
        <v>10 to 20</v>
      </c>
    </row>
    <row r="336" spans="1:15" ht="14.4" x14ac:dyDescent="0.3">
      <c r="A336" t="s">
        <v>114</v>
      </c>
      <c r="B336" s="1">
        <v>46174</v>
      </c>
      <c r="C336" t="s">
        <v>22</v>
      </c>
      <c r="D336">
        <v>321</v>
      </c>
      <c r="E336">
        <v>1</v>
      </c>
      <c r="F336">
        <v>13.9</v>
      </c>
      <c r="G336" t="s">
        <v>17</v>
      </c>
      <c r="H336" t="s">
        <v>36</v>
      </c>
      <c r="I336" t="str">
        <f t="shared" si="5"/>
        <v>321_1</v>
      </c>
      <c r="J336" t="s">
        <v>18</v>
      </c>
      <c r="K336" t="s">
        <v>115</v>
      </c>
      <c r="L336" t="str">
        <f>_xlfn.XLOOKUP(C336, Table2[Species],Table2[Genus], "Code Not Found")</f>
        <v>Acer</v>
      </c>
      <c r="M336" t="str">
        <f>_xlfn.XLOOKUP(C336, Table2[Species],Table2[Sp. Name], "Code Not Found")</f>
        <v>rubrum</v>
      </c>
      <c r="N336" t="str">
        <f>_xlfn.XLOOKUP(C336,Table2[Species],Table2[Family],"Code Not Found")</f>
        <v>Sapindaceae</v>
      </c>
      <c r="O336" t="str" cm="1">
        <f t="array" ref="O336">_xlfn.IFS(F336="","",F336&lt;=5,"0 to 5",F336&lt;=10,"5.1 to 10",F336&lt;=20,"10 to 20", F336&lt;= 40, "20 to 40", F336 &lt;= 50, "40 to 50", F336 &gt; 50, "&gt;50" )</f>
        <v>10 to 20</v>
      </c>
    </row>
    <row r="337" spans="1:15" ht="14.4" x14ac:dyDescent="0.3">
      <c r="A337" t="s">
        <v>114</v>
      </c>
      <c r="B337" s="1">
        <v>46174</v>
      </c>
      <c r="C337" t="s">
        <v>22</v>
      </c>
      <c r="D337">
        <v>322</v>
      </c>
      <c r="E337">
        <v>1</v>
      </c>
      <c r="F337">
        <v>24.8</v>
      </c>
      <c r="G337" t="s">
        <v>17</v>
      </c>
      <c r="H337" t="s">
        <v>36</v>
      </c>
      <c r="I337" t="str">
        <f t="shared" si="5"/>
        <v>322_1</v>
      </c>
      <c r="J337" t="s">
        <v>18</v>
      </c>
      <c r="K337" t="s">
        <v>115</v>
      </c>
      <c r="L337" t="str">
        <f>_xlfn.XLOOKUP(C337, Table2[Species],Table2[Genus], "Code Not Found")</f>
        <v>Acer</v>
      </c>
      <c r="M337" t="str">
        <f>_xlfn.XLOOKUP(C337, Table2[Species],Table2[Sp. Name], "Code Not Found")</f>
        <v>rubrum</v>
      </c>
      <c r="N337" t="str">
        <f>_xlfn.XLOOKUP(C337,Table2[Species],Table2[Family],"Code Not Found")</f>
        <v>Sapindaceae</v>
      </c>
      <c r="O337" t="str" cm="1">
        <f t="array" ref="O337">_xlfn.IFS(F337="","",F337&lt;=5,"0 to 5",F337&lt;=10,"5.1 to 10",F337&lt;=20,"10 to 20", F337&lt;= 40, "20 to 40", F337 &lt;= 50, "40 to 50", F337 &gt; 50, "&gt;50" )</f>
        <v>20 to 40</v>
      </c>
    </row>
    <row r="338" spans="1:15" ht="14.4" x14ac:dyDescent="0.3">
      <c r="A338" t="s">
        <v>114</v>
      </c>
      <c r="B338" s="1">
        <v>46174</v>
      </c>
      <c r="C338" t="s">
        <v>16</v>
      </c>
      <c r="D338">
        <v>323</v>
      </c>
      <c r="E338">
        <v>1</v>
      </c>
      <c r="F338">
        <v>8.5</v>
      </c>
      <c r="G338" t="s">
        <v>17</v>
      </c>
      <c r="I338" t="str">
        <f t="shared" si="5"/>
        <v>323_1</v>
      </c>
      <c r="J338" t="s">
        <v>18</v>
      </c>
      <c r="K338" t="s">
        <v>115</v>
      </c>
      <c r="L338" t="str">
        <f>_xlfn.XLOOKUP(C338, Table2[Species],Table2[Genus], "Code Not Found")</f>
        <v>Acer</v>
      </c>
      <c r="M338" t="str">
        <f>_xlfn.XLOOKUP(C338, Table2[Species],Table2[Sp. Name], "Code Not Found")</f>
        <v>saccharum</v>
      </c>
      <c r="N338" t="str">
        <f>_xlfn.XLOOKUP(C338,Table2[Species],Table2[Family],"Code Not Found")</f>
        <v>Sapindaceae</v>
      </c>
      <c r="O338" t="str" cm="1">
        <f t="array" ref="O338">_xlfn.IFS(F338="","",F338&lt;=5,"0 to 5",F338&lt;=10,"5.1 to 10",F338&lt;=20,"10 to 20", F338&lt;= 40, "20 to 40", F338 &lt;= 50, "40 to 50", F338 &gt; 50, "&gt;50" )</f>
        <v>5.1 to 10</v>
      </c>
    </row>
    <row r="339" spans="1:15" ht="14.4" x14ac:dyDescent="0.3">
      <c r="A339" t="s">
        <v>114</v>
      </c>
      <c r="B339" s="1">
        <v>46174</v>
      </c>
      <c r="C339" t="s">
        <v>22</v>
      </c>
      <c r="D339">
        <v>324</v>
      </c>
      <c r="E339">
        <v>1</v>
      </c>
      <c r="F339">
        <v>5.7</v>
      </c>
      <c r="G339" t="s">
        <v>17</v>
      </c>
      <c r="I339" t="str">
        <f t="shared" si="5"/>
        <v>324_1</v>
      </c>
      <c r="J339" t="s">
        <v>18</v>
      </c>
      <c r="K339" t="s">
        <v>115</v>
      </c>
      <c r="L339" t="str">
        <f>_xlfn.XLOOKUP(C339, Table2[Species],Table2[Genus], "Code Not Found")</f>
        <v>Acer</v>
      </c>
      <c r="M339" t="str">
        <f>_xlfn.XLOOKUP(C339, Table2[Species],Table2[Sp. Name], "Code Not Found")</f>
        <v>rubrum</v>
      </c>
      <c r="N339" t="str">
        <f>_xlfn.XLOOKUP(C339,Table2[Species],Table2[Family],"Code Not Found")</f>
        <v>Sapindaceae</v>
      </c>
      <c r="O339" t="str" cm="1">
        <f t="array" ref="O339">_xlfn.IFS(F339="","",F339&lt;=5,"0 to 5",F339&lt;=10,"5.1 to 10",F339&lt;=20,"10 to 20", F339&lt;= 40, "20 to 40", F339 &lt;= 50, "40 to 50", F339 &gt; 50, "&gt;50" )</f>
        <v>5.1 to 10</v>
      </c>
    </row>
    <row r="340" spans="1:15" ht="14.4" x14ac:dyDescent="0.3">
      <c r="A340" t="s">
        <v>114</v>
      </c>
      <c r="B340" s="1">
        <v>46174</v>
      </c>
      <c r="C340" t="s">
        <v>127</v>
      </c>
      <c r="D340">
        <v>325</v>
      </c>
      <c r="E340">
        <v>1</v>
      </c>
      <c r="F340">
        <v>8.5</v>
      </c>
      <c r="G340" t="s">
        <v>21</v>
      </c>
      <c r="H340" t="s">
        <v>128</v>
      </c>
      <c r="I340" t="str">
        <f t="shared" si="5"/>
        <v>325_1</v>
      </c>
      <c r="J340" t="s">
        <v>18</v>
      </c>
      <c r="K340" t="s">
        <v>115</v>
      </c>
      <c r="L340" t="str">
        <f>_xlfn.XLOOKUP(C340, Table2[Species],Table2[Genus], "Code Not Found")</f>
        <v>Cornus</v>
      </c>
      <c r="M340" t="str">
        <f>_xlfn.XLOOKUP(C340, Table2[Species],Table2[Sp. Name], "Code Not Found")</f>
        <v>florida</v>
      </c>
      <c r="N340" t="str">
        <f>_xlfn.XLOOKUP(C340,Table2[Species],Table2[Family],"Code Not Found")</f>
        <v>Cornaceae</v>
      </c>
      <c r="O340" t="str" cm="1">
        <f t="array" ref="O340">_xlfn.IFS(F340="","",F340&lt;=5,"0 to 5",F340&lt;=10,"5.1 to 10",F340&lt;=20,"10 to 20", F340&lt;= 40, "20 to 40", F340 &lt;= 50, "40 to 50", F340 &gt; 50, "&gt;50" )</f>
        <v>5.1 to 10</v>
      </c>
    </row>
    <row r="341" spans="1:15" ht="14.4" x14ac:dyDescent="0.3">
      <c r="A341" t="s">
        <v>114</v>
      </c>
      <c r="B341" s="1">
        <v>46174</v>
      </c>
      <c r="C341" t="s">
        <v>129</v>
      </c>
      <c r="D341">
        <v>326</v>
      </c>
      <c r="E341">
        <v>1</v>
      </c>
      <c r="F341">
        <v>21.9</v>
      </c>
      <c r="G341" t="s">
        <v>21</v>
      </c>
      <c r="I341" t="str">
        <f t="shared" si="5"/>
        <v>326_1</v>
      </c>
      <c r="J341" t="s">
        <v>18</v>
      </c>
      <c r="K341" t="s">
        <v>115</v>
      </c>
      <c r="L341" t="str">
        <f>_xlfn.XLOOKUP(C341, Table2[Species],Table2[Genus], "Code Not Found")</f>
        <v>Quercus</v>
      </c>
      <c r="M341" t="str">
        <f>_xlfn.XLOOKUP(C341, Table2[Species],Table2[Sp. Name], "Code Not Found")</f>
        <v>alba</v>
      </c>
      <c r="N341" t="str">
        <f>_xlfn.XLOOKUP(C341,Table2[Species],Table2[Family],"Code Not Found")</f>
        <v>Fagaceae</v>
      </c>
      <c r="O341" t="str" cm="1">
        <f t="array" ref="O341">_xlfn.IFS(F341="","",F341&lt;=5,"0 to 5",F341&lt;=10,"5.1 to 10",F341&lt;=20,"10 to 20", F341&lt;= 40, "20 to 40", F341 &lt;= 50, "40 to 50", F341 &gt; 50, "&gt;50" )</f>
        <v>20 to 40</v>
      </c>
    </row>
    <row r="342" spans="1:15" ht="14.4" x14ac:dyDescent="0.3">
      <c r="A342" t="s">
        <v>114</v>
      </c>
      <c r="B342" s="1">
        <v>46174</v>
      </c>
      <c r="C342" t="s">
        <v>22</v>
      </c>
      <c r="D342">
        <v>327</v>
      </c>
      <c r="E342">
        <v>1</v>
      </c>
      <c r="F342">
        <v>5.0999999999999996</v>
      </c>
      <c r="G342" t="s">
        <v>17</v>
      </c>
      <c r="I342" t="str">
        <f t="shared" si="5"/>
        <v>327_1</v>
      </c>
      <c r="J342" t="s">
        <v>18</v>
      </c>
      <c r="K342" t="s">
        <v>115</v>
      </c>
      <c r="L342" t="str">
        <f>_xlfn.XLOOKUP(C342, Table2[Species],Table2[Genus], "Code Not Found")</f>
        <v>Acer</v>
      </c>
      <c r="M342" t="str">
        <f>_xlfn.XLOOKUP(C342, Table2[Species],Table2[Sp. Name], "Code Not Found")</f>
        <v>rubrum</v>
      </c>
      <c r="N342" t="str">
        <f>_xlfn.XLOOKUP(C342,Table2[Species],Table2[Family],"Code Not Found")</f>
        <v>Sapindaceae</v>
      </c>
      <c r="O342" t="str" cm="1">
        <f t="array" ref="O342">_xlfn.IFS(F342="","",F342&lt;=5,"0 to 5",F342&lt;=10,"5.1 to 10",F342&lt;=20,"10 to 20", F342&lt;= 40, "20 to 40", F342 &lt;= 50, "40 to 50", F342 &gt; 50, "&gt;50" )</f>
        <v>5.1 to 10</v>
      </c>
    </row>
    <row r="343" spans="1:15" ht="14.4" x14ac:dyDescent="0.3">
      <c r="A343" t="s">
        <v>114</v>
      </c>
      <c r="B343" s="1">
        <v>46174</v>
      </c>
      <c r="C343" t="s">
        <v>123</v>
      </c>
      <c r="D343">
        <v>328</v>
      </c>
      <c r="E343">
        <v>1</v>
      </c>
      <c r="F343">
        <v>53.1</v>
      </c>
      <c r="G343" t="s">
        <v>17</v>
      </c>
      <c r="I343" t="str">
        <f t="shared" si="5"/>
        <v>328_1</v>
      </c>
      <c r="J343" t="s">
        <v>18</v>
      </c>
      <c r="K343" t="s">
        <v>115</v>
      </c>
      <c r="L343" t="str">
        <f>_xlfn.XLOOKUP(C343, Table2[Species],Table2[Genus], "Code Not Found")</f>
        <v>Quercus</v>
      </c>
      <c r="M343" t="str">
        <f>_xlfn.XLOOKUP(C343, Table2[Species],Table2[Sp. Name], "Code Not Found")</f>
        <v>rubra</v>
      </c>
      <c r="N343" t="str">
        <f>_xlfn.XLOOKUP(C343,Table2[Species],Table2[Family],"Code Not Found")</f>
        <v>Fagaceae</v>
      </c>
      <c r="O343" t="str" cm="1">
        <f t="array" ref="O343">_xlfn.IFS(F343="","",F343&lt;=5,"0 to 5",F343&lt;=10,"5.1 to 10",F343&lt;=20,"10 to 20", F343&lt;= 40, "20 to 40", F343 &lt;= 50, "40 to 50", F343 &gt; 50, "&gt;50" )</f>
        <v>&gt;50</v>
      </c>
    </row>
    <row r="344" spans="1:15" ht="14.4" x14ac:dyDescent="0.3">
      <c r="A344" t="s">
        <v>114</v>
      </c>
      <c r="B344" s="1">
        <v>46174</v>
      </c>
      <c r="C344" t="s">
        <v>22</v>
      </c>
      <c r="D344">
        <v>329</v>
      </c>
      <c r="E344">
        <v>1</v>
      </c>
      <c r="F344">
        <v>5</v>
      </c>
      <c r="G344" t="s">
        <v>94</v>
      </c>
      <c r="H344" t="s">
        <v>130</v>
      </c>
      <c r="I344" t="str">
        <f t="shared" si="5"/>
        <v>329_1</v>
      </c>
      <c r="J344" t="s">
        <v>18</v>
      </c>
      <c r="K344" t="s">
        <v>115</v>
      </c>
      <c r="L344" t="str">
        <f>_xlfn.XLOOKUP(C344, Table2[Species],Table2[Genus], "Code Not Found")</f>
        <v>Acer</v>
      </c>
      <c r="M344" t="str">
        <f>_xlfn.XLOOKUP(C344, Table2[Species],Table2[Sp. Name], "Code Not Found")</f>
        <v>rubrum</v>
      </c>
      <c r="N344" t="str">
        <f>_xlfn.XLOOKUP(C344,Table2[Species],Table2[Family],"Code Not Found")</f>
        <v>Sapindaceae</v>
      </c>
      <c r="O344" t="str" cm="1">
        <f t="array" ref="O344">_xlfn.IFS(F344="","",F344&lt;=5,"0 to 5",F344&lt;=10,"5.1 to 10",F344&lt;=20,"10 to 20", F344&lt;= 40, "20 to 40", F344 &lt;= 50, "40 to 50", F344 &gt; 50, "&gt;50" )</f>
        <v>0 to 5</v>
      </c>
    </row>
    <row r="345" spans="1:15" ht="14.4" x14ac:dyDescent="0.3">
      <c r="A345" t="s">
        <v>114</v>
      </c>
      <c r="B345" s="1">
        <v>46174</v>
      </c>
      <c r="C345" t="s">
        <v>64</v>
      </c>
      <c r="D345">
        <v>330</v>
      </c>
      <c r="E345">
        <v>1</v>
      </c>
      <c r="F345">
        <v>5.3</v>
      </c>
      <c r="G345" t="s">
        <v>21</v>
      </c>
      <c r="I345" t="str">
        <f t="shared" si="5"/>
        <v>330_1</v>
      </c>
      <c r="J345" t="s">
        <v>18</v>
      </c>
      <c r="K345" t="s">
        <v>115</v>
      </c>
      <c r="L345" t="str">
        <f>_xlfn.XLOOKUP(C345, Table2[Species],Table2[Genus], "Code Not Found")</f>
        <v>Fagus</v>
      </c>
      <c r="M345" t="str">
        <f>_xlfn.XLOOKUP(C345, Table2[Species],Table2[Sp. Name], "Code Not Found")</f>
        <v>grandifolia</v>
      </c>
      <c r="N345" t="str">
        <f>_xlfn.XLOOKUP(C345,Table2[Species],Table2[Family],"Code Not Found")</f>
        <v>Fagaceae</v>
      </c>
      <c r="O345" t="str" cm="1">
        <f t="array" ref="O345">_xlfn.IFS(F345="","",F345&lt;=5,"0 to 5",F345&lt;=10,"5.1 to 10",F345&lt;=20,"10 to 20", F345&lt;= 40, "20 to 40", F345 &lt;= 50, "40 to 50", F345 &gt; 50, "&gt;50" )</f>
        <v>5.1 to 10</v>
      </c>
    </row>
    <row r="346" spans="1:15" ht="14.4" x14ac:dyDescent="0.3">
      <c r="A346" t="s">
        <v>114</v>
      </c>
      <c r="B346" s="1">
        <v>46174</v>
      </c>
      <c r="C346" t="s">
        <v>22</v>
      </c>
      <c r="D346">
        <v>331</v>
      </c>
      <c r="E346">
        <v>1</v>
      </c>
      <c r="F346">
        <v>11</v>
      </c>
      <c r="G346" t="s">
        <v>21</v>
      </c>
      <c r="I346" t="str">
        <f t="shared" si="5"/>
        <v>331_1</v>
      </c>
      <c r="J346" t="s">
        <v>18</v>
      </c>
      <c r="K346" t="s">
        <v>115</v>
      </c>
      <c r="L346" t="str">
        <f>_xlfn.XLOOKUP(C346, Table2[Species],Table2[Genus], "Code Not Found")</f>
        <v>Acer</v>
      </c>
      <c r="M346" t="str">
        <f>_xlfn.XLOOKUP(C346, Table2[Species],Table2[Sp. Name], "Code Not Found")</f>
        <v>rubrum</v>
      </c>
      <c r="N346" t="str">
        <f>_xlfn.XLOOKUP(C346,Table2[Species],Table2[Family],"Code Not Found")</f>
        <v>Sapindaceae</v>
      </c>
      <c r="O346" t="str" cm="1">
        <f t="array" ref="O346">_xlfn.IFS(F346="","",F346&lt;=5,"0 to 5",F346&lt;=10,"5.1 to 10",F346&lt;=20,"10 to 20", F346&lt;= 40, "20 to 40", F346 &lt;= 50, "40 to 50", F346 &gt; 50, "&gt;50" )</f>
        <v>10 to 20</v>
      </c>
    </row>
    <row r="347" spans="1:15" ht="14.4" x14ac:dyDescent="0.3">
      <c r="A347" t="s">
        <v>114</v>
      </c>
      <c r="B347" s="1">
        <v>46174</v>
      </c>
      <c r="C347" t="s">
        <v>22</v>
      </c>
      <c r="D347">
        <v>332</v>
      </c>
      <c r="E347">
        <v>1</v>
      </c>
      <c r="F347">
        <v>5.3</v>
      </c>
      <c r="G347" t="s">
        <v>17</v>
      </c>
      <c r="I347" t="str">
        <f t="shared" si="5"/>
        <v>332_1</v>
      </c>
      <c r="J347" t="s">
        <v>18</v>
      </c>
      <c r="K347" t="s">
        <v>115</v>
      </c>
      <c r="L347" t="str">
        <f>_xlfn.XLOOKUP(C347, Table2[Species],Table2[Genus], "Code Not Found")</f>
        <v>Acer</v>
      </c>
      <c r="M347" t="str">
        <f>_xlfn.XLOOKUP(C347, Table2[Species],Table2[Sp. Name], "Code Not Found")</f>
        <v>rubrum</v>
      </c>
      <c r="N347" t="str">
        <f>_xlfn.XLOOKUP(C347,Table2[Species],Table2[Family],"Code Not Found")</f>
        <v>Sapindaceae</v>
      </c>
      <c r="O347" t="str" cm="1">
        <f t="array" ref="O347">_xlfn.IFS(F347="","",F347&lt;=5,"0 to 5",F347&lt;=10,"5.1 to 10",F347&lt;=20,"10 to 20", F347&lt;= 40, "20 to 40", F347 &lt;= 50, "40 to 50", F347 &gt; 50, "&gt;50" )</f>
        <v>5.1 to 10</v>
      </c>
    </row>
    <row r="348" spans="1:15" ht="14.4" x14ac:dyDescent="0.3">
      <c r="A348" t="s">
        <v>114</v>
      </c>
      <c r="B348" s="1">
        <v>46174</v>
      </c>
      <c r="C348" t="s">
        <v>22</v>
      </c>
      <c r="D348">
        <v>333</v>
      </c>
      <c r="E348">
        <v>1</v>
      </c>
      <c r="F348">
        <v>15</v>
      </c>
      <c r="G348" t="s">
        <v>21</v>
      </c>
      <c r="I348" t="str">
        <f t="shared" si="5"/>
        <v>333_1</v>
      </c>
      <c r="J348" t="s">
        <v>18</v>
      </c>
      <c r="K348" t="s">
        <v>115</v>
      </c>
      <c r="L348" t="str">
        <f>_xlfn.XLOOKUP(C348, Table2[Species],Table2[Genus], "Code Not Found")</f>
        <v>Acer</v>
      </c>
      <c r="M348" t="str">
        <f>_xlfn.XLOOKUP(C348, Table2[Species],Table2[Sp. Name], "Code Not Found")</f>
        <v>rubrum</v>
      </c>
      <c r="N348" t="str">
        <f>_xlfn.XLOOKUP(C348,Table2[Species],Table2[Family],"Code Not Found")</f>
        <v>Sapindaceae</v>
      </c>
      <c r="O348" t="str" cm="1">
        <f t="array" ref="O348">_xlfn.IFS(F348="","",F348&lt;=5,"0 to 5",F348&lt;=10,"5.1 to 10",F348&lt;=20,"10 to 20", F348&lt;= 40, "20 to 40", F348 &lt;= 50, "40 to 50", F348 &gt; 50, "&gt;50" )</f>
        <v>10 to 20</v>
      </c>
    </row>
    <row r="349" spans="1:15" ht="14.4" x14ac:dyDescent="0.3">
      <c r="A349" t="s">
        <v>114</v>
      </c>
      <c r="B349" s="1">
        <v>46174</v>
      </c>
      <c r="C349" t="s">
        <v>118</v>
      </c>
      <c r="D349">
        <v>334</v>
      </c>
      <c r="E349">
        <v>1</v>
      </c>
      <c r="F349">
        <v>71.8</v>
      </c>
      <c r="G349" t="s">
        <v>17</v>
      </c>
      <c r="I349" t="str">
        <f t="shared" si="5"/>
        <v>334_1</v>
      </c>
      <c r="J349" t="s">
        <v>18</v>
      </c>
      <c r="K349" t="s">
        <v>115</v>
      </c>
      <c r="L349" t="str">
        <f>_xlfn.XLOOKUP(C349, Table2[Species],Table2[Genus], "Code Not Found")</f>
        <v>Quercus</v>
      </c>
      <c r="M349" t="str">
        <f>_xlfn.XLOOKUP(C349, Table2[Species],Table2[Sp. Name], "Code Not Found")</f>
        <v>montana</v>
      </c>
      <c r="N349" t="str">
        <f>_xlfn.XLOOKUP(C349,Table2[Species],Table2[Family],"Code Not Found")</f>
        <v>Fagaceae</v>
      </c>
      <c r="O349" t="str" cm="1">
        <f t="array" ref="O349">_xlfn.IFS(F349="","",F349&lt;=5,"0 to 5",F349&lt;=10,"5.1 to 10",F349&lt;=20,"10 to 20", F349&lt;= 40, "20 to 40", F349 &lt;= 50, "40 to 50", F349 &gt; 50, "&gt;50" )</f>
        <v>&gt;50</v>
      </c>
    </row>
    <row r="350" spans="1:15" ht="14.4" x14ac:dyDescent="0.3">
      <c r="A350" t="s">
        <v>114</v>
      </c>
      <c r="B350" s="1">
        <v>46174</v>
      </c>
      <c r="C350" t="s">
        <v>22</v>
      </c>
      <c r="D350">
        <v>335</v>
      </c>
      <c r="E350">
        <v>1</v>
      </c>
      <c r="F350">
        <v>3.5</v>
      </c>
      <c r="G350" t="s">
        <v>47</v>
      </c>
      <c r="H350" t="s">
        <v>43</v>
      </c>
      <c r="I350" t="str">
        <f t="shared" si="5"/>
        <v>335_1</v>
      </c>
      <c r="J350" t="s">
        <v>18</v>
      </c>
      <c r="K350" t="s">
        <v>115</v>
      </c>
      <c r="L350" t="str">
        <f>_xlfn.XLOOKUP(C350, Table2[Species],Table2[Genus], "Code Not Found")</f>
        <v>Acer</v>
      </c>
      <c r="M350" t="str">
        <f>_xlfn.XLOOKUP(C350, Table2[Species],Table2[Sp. Name], "Code Not Found")</f>
        <v>rubrum</v>
      </c>
      <c r="N350" t="str">
        <f>_xlfn.XLOOKUP(C350,Table2[Species],Table2[Family],"Code Not Found")</f>
        <v>Sapindaceae</v>
      </c>
      <c r="O350" t="str" cm="1">
        <f t="array" ref="O350">_xlfn.IFS(F350="","",F350&lt;=5,"0 to 5",F350&lt;=10,"5.1 to 10",F350&lt;=20,"10 to 20", F350&lt;= 40, "20 to 40", F350 &lt;= 50, "40 to 50", F350 &gt; 50, "&gt;50" )</f>
        <v>0 to 5</v>
      </c>
    </row>
    <row r="351" spans="1:15" ht="14.4" x14ac:dyDescent="0.3">
      <c r="A351" t="s">
        <v>114</v>
      </c>
      <c r="B351" s="1">
        <v>46174</v>
      </c>
      <c r="C351" t="s">
        <v>64</v>
      </c>
      <c r="D351">
        <v>336</v>
      </c>
      <c r="E351">
        <v>1</v>
      </c>
      <c r="F351">
        <v>2.8</v>
      </c>
      <c r="G351" t="s">
        <v>47</v>
      </c>
      <c r="H351" t="s">
        <v>43</v>
      </c>
      <c r="I351" t="str">
        <f t="shared" si="5"/>
        <v>336_1</v>
      </c>
      <c r="J351" t="s">
        <v>18</v>
      </c>
      <c r="K351" t="s">
        <v>115</v>
      </c>
      <c r="L351" t="str">
        <f>_xlfn.XLOOKUP(C351, Table2[Species],Table2[Genus], "Code Not Found")</f>
        <v>Fagus</v>
      </c>
      <c r="M351" t="str">
        <f>_xlfn.XLOOKUP(C351, Table2[Species],Table2[Sp. Name], "Code Not Found")</f>
        <v>grandifolia</v>
      </c>
      <c r="N351" t="str">
        <f>_xlfn.XLOOKUP(C351,Table2[Species],Table2[Family],"Code Not Found")</f>
        <v>Fagaceae</v>
      </c>
      <c r="O351" t="str" cm="1">
        <f t="array" ref="O351">_xlfn.IFS(F351="","",F351&lt;=5,"0 to 5",F351&lt;=10,"5.1 to 10",F351&lt;=20,"10 to 20", F351&lt;= 40, "20 to 40", F351 &lt;= 50, "40 to 50", F351 &gt; 50, "&gt;50" )</f>
        <v>0 to 5</v>
      </c>
    </row>
    <row r="352" spans="1:15" ht="14.4" x14ac:dyDescent="0.3">
      <c r="A352" t="s">
        <v>114</v>
      </c>
      <c r="B352" s="1">
        <v>46174</v>
      </c>
      <c r="C352" t="s">
        <v>16</v>
      </c>
      <c r="D352">
        <v>337</v>
      </c>
      <c r="E352">
        <v>1</v>
      </c>
      <c r="F352">
        <v>5.7</v>
      </c>
      <c r="G352" t="s">
        <v>17</v>
      </c>
      <c r="H352" t="s">
        <v>36</v>
      </c>
      <c r="I352" t="str">
        <f t="shared" si="5"/>
        <v>337_1</v>
      </c>
      <c r="J352" t="s">
        <v>18</v>
      </c>
      <c r="K352" t="s">
        <v>115</v>
      </c>
      <c r="L352" t="str">
        <f>_xlfn.XLOOKUP(C352, Table2[Species],Table2[Genus], "Code Not Found")</f>
        <v>Acer</v>
      </c>
      <c r="M352" t="str">
        <f>_xlfn.XLOOKUP(C352, Table2[Species],Table2[Sp. Name], "Code Not Found")</f>
        <v>saccharum</v>
      </c>
      <c r="N352" t="str">
        <f>_xlfn.XLOOKUP(C352,Table2[Species],Table2[Family],"Code Not Found")</f>
        <v>Sapindaceae</v>
      </c>
      <c r="O352" t="str" cm="1">
        <f t="array" ref="O352">_xlfn.IFS(F352="","",F352&lt;=5,"0 to 5",F352&lt;=10,"5.1 to 10",F352&lt;=20,"10 to 20", F352&lt;= 40, "20 to 40", F352 &lt;= 50, "40 to 50", F352 &gt; 50, "&gt;50" )</f>
        <v>5.1 to 10</v>
      </c>
    </row>
    <row r="353" spans="1:15" ht="14.4" x14ac:dyDescent="0.3">
      <c r="A353" t="s">
        <v>114</v>
      </c>
      <c r="B353" s="1">
        <v>46174</v>
      </c>
      <c r="C353" t="s">
        <v>22</v>
      </c>
      <c r="D353">
        <v>338</v>
      </c>
      <c r="E353">
        <v>1</v>
      </c>
      <c r="F353">
        <v>9</v>
      </c>
      <c r="G353" t="s">
        <v>17</v>
      </c>
      <c r="I353" t="str">
        <f t="shared" si="5"/>
        <v>338_1</v>
      </c>
      <c r="J353" t="s">
        <v>18</v>
      </c>
      <c r="K353" t="s">
        <v>115</v>
      </c>
      <c r="L353" t="str">
        <f>_xlfn.XLOOKUP(C353, Table2[Species],Table2[Genus], "Code Not Found")</f>
        <v>Acer</v>
      </c>
      <c r="M353" t="str">
        <f>_xlfn.XLOOKUP(C353, Table2[Species],Table2[Sp. Name], "Code Not Found")</f>
        <v>rubrum</v>
      </c>
      <c r="N353" t="str">
        <f>_xlfn.XLOOKUP(C353,Table2[Species],Table2[Family],"Code Not Found")</f>
        <v>Sapindaceae</v>
      </c>
      <c r="O353" t="str" cm="1">
        <f t="array" ref="O353">_xlfn.IFS(F353="","",F353&lt;=5,"0 to 5",F353&lt;=10,"5.1 to 10",F353&lt;=20,"10 to 20", F353&lt;= 40, "20 to 40", F353 &lt;= 50, "40 to 50", F353 &gt; 50, "&gt;50" )</f>
        <v>5.1 to 10</v>
      </c>
    </row>
    <row r="354" spans="1:15" ht="14.4" x14ac:dyDescent="0.3">
      <c r="A354" t="s">
        <v>114</v>
      </c>
      <c r="B354" s="1">
        <v>46174</v>
      </c>
      <c r="C354" t="s">
        <v>64</v>
      </c>
      <c r="D354">
        <v>339</v>
      </c>
      <c r="E354">
        <v>1</v>
      </c>
      <c r="F354">
        <v>5</v>
      </c>
      <c r="G354" t="s">
        <v>17</v>
      </c>
      <c r="I354" t="str">
        <f t="shared" si="5"/>
        <v>339_1</v>
      </c>
      <c r="J354" t="s">
        <v>18</v>
      </c>
      <c r="K354" t="s">
        <v>115</v>
      </c>
      <c r="L354" t="str">
        <f>_xlfn.XLOOKUP(C354, Table2[Species],Table2[Genus], "Code Not Found")</f>
        <v>Fagus</v>
      </c>
      <c r="M354" t="str">
        <f>_xlfn.XLOOKUP(C354, Table2[Species],Table2[Sp. Name], "Code Not Found")</f>
        <v>grandifolia</v>
      </c>
      <c r="N354" t="str">
        <f>_xlfn.XLOOKUP(C354,Table2[Species],Table2[Family],"Code Not Found")</f>
        <v>Fagaceae</v>
      </c>
      <c r="O354" t="str" cm="1">
        <f t="array" ref="O354">_xlfn.IFS(F354="","",F354&lt;=5,"0 to 5",F354&lt;=10,"5.1 to 10",F354&lt;=20,"10 to 20", F354&lt;= 40, "20 to 40", F354 &lt;= 50, "40 to 50", F354 &gt; 50, "&gt;50" )</f>
        <v>0 to 5</v>
      </c>
    </row>
    <row r="355" spans="1:15" ht="14.4" x14ac:dyDescent="0.3">
      <c r="A355" t="s">
        <v>114</v>
      </c>
      <c r="B355" s="1">
        <v>46174</v>
      </c>
      <c r="C355" t="s">
        <v>22</v>
      </c>
      <c r="D355">
        <v>340</v>
      </c>
      <c r="E355">
        <v>1</v>
      </c>
      <c r="F355">
        <v>14.2</v>
      </c>
      <c r="G355" t="s">
        <v>17</v>
      </c>
      <c r="H355" t="s">
        <v>36</v>
      </c>
      <c r="I355" t="str">
        <f t="shared" si="5"/>
        <v>340_1</v>
      </c>
      <c r="J355" t="s">
        <v>18</v>
      </c>
      <c r="K355" t="s">
        <v>115</v>
      </c>
      <c r="L355" t="str">
        <f>_xlfn.XLOOKUP(C355, Table2[Species],Table2[Genus], "Code Not Found")</f>
        <v>Acer</v>
      </c>
      <c r="M355" t="str">
        <f>_xlfn.XLOOKUP(C355, Table2[Species],Table2[Sp. Name], "Code Not Found")</f>
        <v>rubrum</v>
      </c>
      <c r="N355" t="str">
        <f>_xlfn.XLOOKUP(C355,Table2[Species],Table2[Family],"Code Not Found")</f>
        <v>Sapindaceae</v>
      </c>
      <c r="O355" t="str" cm="1">
        <f t="array" ref="O355">_xlfn.IFS(F355="","",F355&lt;=5,"0 to 5",F355&lt;=10,"5.1 to 10",F355&lt;=20,"10 to 20", F355&lt;= 40, "20 to 40", F355 &lt;= 50, "40 to 50", F355 &gt; 50, "&gt;50" )</f>
        <v>10 to 20</v>
      </c>
    </row>
    <row r="356" spans="1:15" ht="14.4" x14ac:dyDescent="0.3">
      <c r="A356" t="s">
        <v>114</v>
      </c>
      <c r="B356" s="1">
        <v>46174</v>
      </c>
      <c r="C356" t="s">
        <v>123</v>
      </c>
      <c r="D356">
        <v>341</v>
      </c>
      <c r="E356">
        <v>1</v>
      </c>
      <c r="F356">
        <v>29.1</v>
      </c>
      <c r="G356" t="s">
        <v>17</v>
      </c>
      <c r="H356" t="s">
        <v>36</v>
      </c>
      <c r="I356" t="str">
        <f t="shared" si="5"/>
        <v>341_1</v>
      </c>
      <c r="J356" t="s">
        <v>18</v>
      </c>
      <c r="K356" t="s">
        <v>115</v>
      </c>
      <c r="L356" t="str">
        <f>_xlfn.XLOOKUP(C356, Table2[Species],Table2[Genus], "Code Not Found")</f>
        <v>Quercus</v>
      </c>
      <c r="M356" t="str">
        <f>_xlfn.XLOOKUP(C356, Table2[Species],Table2[Sp. Name], "Code Not Found")</f>
        <v>rubra</v>
      </c>
      <c r="N356" t="str">
        <f>_xlfn.XLOOKUP(C356,Table2[Species],Table2[Family],"Code Not Found")</f>
        <v>Fagaceae</v>
      </c>
      <c r="O356" t="str" cm="1">
        <f t="array" ref="O356">_xlfn.IFS(F356="","",F356&lt;=5,"0 to 5",F356&lt;=10,"5.1 to 10",F356&lt;=20,"10 to 20", F356&lt;= 40, "20 to 40", F356 &lt;= 50, "40 to 50", F356 &gt; 50, "&gt;50" )</f>
        <v>20 to 40</v>
      </c>
    </row>
    <row r="357" spans="1:15" ht="14.4" x14ac:dyDescent="0.3">
      <c r="A357" t="s">
        <v>114</v>
      </c>
      <c r="B357" s="1">
        <v>46174</v>
      </c>
      <c r="C357" t="s">
        <v>22</v>
      </c>
      <c r="D357">
        <v>342</v>
      </c>
      <c r="E357">
        <v>1</v>
      </c>
      <c r="F357">
        <v>4.2</v>
      </c>
      <c r="G357" t="s">
        <v>17</v>
      </c>
      <c r="I357" t="str">
        <f t="shared" si="5"/>
        <v>342_1</v>
      </c>
      <c r="J357" t="s">
        <v>18</v>
      </c>
      <c r="K357" t="s">
        <v>115</v>
      </c>
      <c r="L357" t="str">
        <f>_xlfn.XLOOKUP(C357, Table2[Species],Table2[Genus], "Code Not Found")</f>
        <v>Acer</v>
      </c>
      <c r="M357" t="str">
        <f>_xlfn.XLOOKUP(C357, Table2[Species],Table2[Sp. Name], "Code Not Found")</f>
        <v>rubrum</v>
      </c>
      <c r="N357" t="str">
        <f>_xlfn.XLOOKUP(C357,Table2[Species],Table2[Family],"Code Not Found")</f>
        <v>Sapindaceae</v>
      </c>
      <c r="O357" t="str" cm="1">
        <f t="array" ref="O357">_xlfn.IFS(F357="","",F357&lt;=5,"0 to 5",F357&lt;=10,"5.1 to 10",F357&lt;=20,"10 to 20", F357&lt;= 40, "20 to 40", F357 &lt;= 50, "40 to 50", F357 &gt; 50, "&gt;50" )</f>
        <v>0 to 5</v>
      </c>
    </row>
    <row r="358" spans="1:15" ht="14.4" x14ac:dyDescent="0.3">
      <c r="A358" t="s">
        <v>114</v>
      </c>
      <c r="B358" s="1">
        <v>46174</v>
      </c>
      <c r="C358" t="s">
        <v>16</v>
      </c>
      <c r="D358">
        <v>343</v>
      </c>
      <c r="E358">
        <v>1</v>
      </c>
      <c r="F358">
        <v>10.8</v>
      </c>
      <c r="G358" t="s">
        <v>17</v>
      </c>
      <c r="I358" t="str">
        <f t="shared" si="5"/>
        <v>343_1</v>
      </c>
      <c r="J358" t="s">
        <v>18</v>
      </c>
      <c r="K358" t="s">
        <v>115</v>
      </c>
      <c r="L358" t="str">
        <f>_xlfn.XLOOKUP(C358, Table2[Species],Table2[Genus], "Code Not Found")</f>
        <v>Acer</v>
      </c>
      <c r="M358" t="str">
        <f>_xlfn.XLOOKUP(C358, Table2[Species],Table2[Sp. Name], "Code Not Found")</f>
        <v>saccharum</v>
      </c>
      <c r="N358" t="str">
        <f>_xlfn.XLOOKUP(C358,Table2[Species],Table2[Family],"Code Not Found")</f>
        <v>Sapindaceae</v>
      </c>
      <c r="O358" t="str" cm="1">
        <f t="array" ref="O358">_xlfn.IFS(F358="","",F358&lt;=5,"0 to 5",F358&lt;=10,"5.1 to 10",F358&lt;=20,"10 to 20", F358&lt;= 40, "20 to 40", F358 &lt;= 50, "40 to 50", F358 &gt; 50, "&gt;50" )</f>
        <v>10 to 20</v>
      </c>
    </row>
    <row r="359" spans="1:15" ht="14.4" x14ac:dyDescent="0.3">
      <c r="A359" t="s">
        <v>114</v>
      </c>
      <c r="B359" s="1">
        <v>46174</v>
      </c>
      <c r="C359" t="s">
        <v>64</v>
      </c>
      <c r="D359">
        <v>387</v>
      </c>
      <c r="E359">
        <v>1</v>
      </c>
      <c r="F359">
        <v>74.2</v>
      </c>
      <c r="G359" t="s">
        <v>34</v>
      </c>
      <c r="H359" t="s">
        <v>131</v>
      </c>
      <c r="I359" t="str">
        <f t="shared" si="5"/>
        <v>387_1</v>
      </c>
      <c r="J359" t="s">
        <v>18</v>
      </c>
      <c r="K359" t="s">
        <v>115</v>
      </c>
      <c r="L359" t="str">
        <f>_xlfn.XLOOKUP(C359, Table2[Species],Table2[Genus], "Code Not Found")</f>
        <v>Fagus</v>
      </c>
      <c r="M359" t="str">
        <f>_xlfn.XLOOKUP(C359, Table2[Species],Table2[Sp. Name], "Code Not Found")</f>
        <v>grandifolia</v>
      </c>
      <c r="N359" t="str">
        <f>_xlfn.XLOOKUP(C359,Table2[Species],Table2[Family],"Code Not Found")</f>
        <v>Fagaceae</v>
      </c>
      <c r="O359" t="str" cm="1">
        <f t="array" ref="O359">_xlfn.IFS(F359="","",F359&lt;=5,"0 to 5",F359&lt;=10,"5.1 to 10",F359&lt;=20,"10 to 20", F359&lt;= 40, "20 to 40", F359 &lt;= 50, "40 to 50", F359 &gt; 50, "&gt;50" )</f>
        <v>&gt;50</v>
      </c>
    </row>
    <row r="360" spans="1:15" ht="14.4" x14ac:dyDescent="0.3">
      <c r="A360" t="s">
        <v>114</v>
      </c>
      <c r="B360" s="1">
        <v>46174</v>
      </c>
      <c r="C360" t="s">
        <v>64</v>
      </c>
      <c r="D360">
        <v>387</v>
      </c>
      <c r="E360">
        <v>2</v>
      </c>
      <c r="F360">
        <v>3</v>
      </c>
      <c r="G360" t="s">
        <v>132</v>
      </c>
      <c r="H360" t="s">
        <v>99</v>
      </c>
      <c r="I360" t="str">
        <f t="shared" si="5"/>
        <v>387_2</v>
      </c>
      <c r="J360" t="s">
        <v>18</v>
      </c>
      <c r="K360" t="s">
        <v>115</v>
      </c>
      <c r="L360" t="str">
        <f>_xlfn.XLOOKUP(C360, Table2[Species],Table2[Genus], "Code Not Found")</f>
        <v>Fagus</v>
      </c>
      <c r="M360" t="str">
        <f>_xlfn.XLOOKUP(C360, Table2[Species],Table2[Sp. Name], "Code Not Found")</f>
        <v>grandifolia</v>
      </c>
      <c r="N360" t="str">
        <f>_xlfn.XLOOKUP(C360,Table2[Species],Table2[Family],"Code Not Found")</f>
        <v>Fagaceae</v>
      </c>
      <c r="O360" t="str" cm="1">
        <f t="array" ref="O360">_xlfn.IFS(F360="","",F360&lt;=5,"0 to 5",F360&lt;=10,"5.1 to 10",F360&lt;=20,"10 to 20", F360&lt;= 40, "20 to 40", F360 &lt;= 50, "40 to 50", F360 &gt; 50, "&gt;50" )</f>
        <v>0 to 5</v>
      </c>
    </row>
    <row r="361" spans="1:15" ht="14.4" x14ac:dyDescent="0.3">
      <c r="A361" t="s">
        <v>114</v>
      </c>
      <c r="B361" s="1">
        <v>46174</v>
      </c>
      <c r="C361" t="s">
        <v>64</v>
      </c>
      <c r="D361">
        <v>387</v>
      </c>
      <c r="E361">
        <v>3</v>
      </c>
      <c r="F361">
        <v>3.1</v>
      </c>
      <c r="G361" t="s">
        <v>132</v>
      </c>
      <c r="H361" t="s">
        <v>99</v>
      </c>
      <c r="I361" t="str">
        <f t="shared" si="5"/>
        <v>387_3</v>
      </c>
      <c r="J361" t="s">
        <v>18</v>
      </c>
      <c r="K361" t="s">
        <v>115</v>
      </c>
      <c r="L361" t="str">
        <f>_xlfn.XLOOKUP(C361, Table2[Species],Table2[Genus], "Code Not Found")</f>
        <v>Fagus</v>
      </c>
      <c r="M361" t="str">
        <f>_xlfn.XLOOKUP(C361, Table2[Species],Table2[Sp. Name], "Code Not Found")</f>
        <v>grandifolia</v>
      </c>
      <c r="N361" t="str">
        <f>_xlfn.XLOOKUP(C361,Table2[Species],Table2[Family],"Code Not Found")</f>
        <v>Fagaceae</v>
      </c>
      <c r="O361" t="str" cm="1">
        <f t="array" ref="O361">_xlfn.IFS(F361="","",F361&lt;=5,"0 to 5",F361&lt;=10,"5.1 to 10",F361&lt;=20,"10 to 20", F361&lt;= 40, "20 to 40", F361 &lt;= 50, "40 to 50", F361 &gt; 50, "&gt;50" )</f>
        <v>0 to 5</v>
      </c>
    </row>
    <row r="362" spans="1:15" ht="14.4" x14ac:dyDescent="0.3">
      <c r="A362" t="s">
        <v>114</v>
      </c>
      <c r="B362" s="1">
        <v>46174</v>
      </c>
      <c r="C362" t="s">
        <v>64</v>
      </c>
      <c r="D362">
        <v>387</v>
      </c>
      <c r="E362">
        <v>4</v>
      </c>
      <c r="F362">
        <v>2.2999999999999998</v>
      </c>
      <c r="G362" t="s">
        <v>34</v>
      </c>
      <c r="I362" t="str">
        <f t="shared" si="5"/>
        <v>387_4</v>
      </c>
      <c r="J362" t="s">
        <v>18</v>
      </c>
      <c r="K362" t="s">
        <v>115</v>
      </c>
      <c r="L362" t="str">
        <f>_xlfn.XLOOKUP(C362, Table2[Species],Table2[Genus], "Code Not Found")</f>
        <v>Fagus</v>
      </c>
      <c r="M362" t="str">
        <f>_xlfn.XLOOKUP(C362, Table2[Species],Table2[Sp. Name], "Code Not Found")</f>
        <v>grandifolia</v>
      </c>
      <c r="N362" t="str">
        <f>_xlfn.XLOOKUP(C362,Table2[Species],Table2[Family],"Code Not Found")</f>
        <v>Fagaceae</v>
      </c>
      <c r="O362" t="str" cm="1">
        <f t="array" ref="O362">_xlfn.IFS(F362="","",F362&lt;=5,"0 to 5",F362&lt;=10,"5.1 to 10",F362&lt;=20,"10 to 20", F362&lt;= 40, "20 to 40", F362 &lt;= 50, "40 to 50", F362 &gt; 50, "&gt;50" )</f>
        <v>0 to 5</v>
      </c>
    </row>
    <row r="363" spans="1:15" ht="14.4" x14ac:dyDescent="0.3">
      <c r="A363" t="s">
        <v>114</v>
      </c>
      <c r="B363" s="1">
        <v>46174</v>
      </c>
      <c r="C363" t="s">
        <v>64</v>
      </c>
      <c r="D363">
        <v>387</v>
      </c>
      <c r="E363">
        <v>5</v>
      </c>
      <c r="F363">
        <v>2.4</v>
      </c>
      <c r="G363" t="s">
        <v>34</v>
      </c>
      <c r="I363" t="str">
        <f t="shared" si="5"/>
        <v>387_5</v>
      </c>
      <c r="J363" t="s">
        <v>18</v>
      </c>
      <c r="K363" t="s">
        <v>115</v>
      </c>
      <c r="L363" t="str">
        <f>_xlfn.XLOOKUP(C363, Table2[Species],Table2[Genus], "Code Not Found")</f>
        <v>Fagus</v>
      </c>
      <c r="M363" t="str">
        <f>_xlfn.XLOOKUP(C363, Table2[Species],Table2[Sp. Name], "Code Not Found")</f>
        <v>grandifolia</v>
      </c>
      <c r="N363" t="str">
        <f>_xlfn.XLOOKUP(C363,Table2[Species],Table2[Family],"Code Not Found")</f>
        <v>Fagaceae</v>
      </c>
      <c r="O363" t="str" cm="1">
        <f t="array" ref="O363">_xlfn.IFS(F363="","",F363&lt;=5,"0 to 5",F363&lt;=10,"5.1 to 10",F363&lt;=20,"10 to 20", F363&lt;= 40, "20 to 40", F363 &lt;= 50, "40 to 50", F363 &gt; 50, "&gt;50" )</f>
        <v>0 to 5</v>
      </c>
    </row>
    <row r="364" spans="1:15" ht="14.4" x14ac:dyDescent="0.3">
      <c r="A364" t="s">
        <v>114</v>
      </c>
      <c r="B364" s="1">
        <v>46174</v>
      </c>
      <c r="C364" t="s">
        <v>64</v>
      </c>
      <c r="D364">
        <v>387</v>
      </c>
      <c r="E364">
        <v>6</v>
      </c>
      <c r="F364">
        <v>3.1</v>
      </c>
      <c r="G364" t="s">
        <v>132</v>
      </c>
      <c r="H364" t="s">
        <v>121</v>
      </c>
      <c r="I364" t="str">
        <f t="shared" si="5"/>
        <v>387_6</v>
      </c>
      <c r="J364" t="s">
        <v>18</v>
      </c>
      <c r="K364" t="s">
        <v>115</v>
      </c>
      <c r="L364" t="str">
        <f>_xlfn.XLOOKUP(C364, Table2[Species],Table2[Genus], "Code Not Found")</f>
        <v>Fagus</v>
      </c>
      <c r="M364" t="str">
        <f>_xlfn.XLOOKUP(C364, Table2[Species],Table2[Sp. Name], "Code Not Found")</f>
        <v>grandifolia</v>
      </c>
      <c r="N364" t="str">
        <f>_xlfn.XLOOKUP(C364,Table2[Species],Table2[Family],"Code Not Found")</f>
        <v>Fagaceae</v>
      </c>
      <c r="O364" t="str" cm="1">
        <f t="array" ref="O364">_xlfn.IFS(F364="","",F364&lt;=5,"0 to 5",F364&lt;=10,"5.1 to 10",F364&lt;=20,"10 to 20", F364&lt;= 40, "20 to 40", F364 &lt;= 50, "40 to 50", F364 &gt; 50, "&gt;50" )</f>
        <v>0 to 5</v>
      </c>
    </row>
    <row r="365" spans="1:15" ht="14.4" x14ac:dyDescent="0.3">
      <c r="A365" t="s">
        <v>114</v>
      </c>
      <c r="B365" s="1">
        <v>46174</v>
      </c>
      <c r="C365" t="s">
        <v>64</v>
      </c>
      <c r="D365">
        <v>387</v>
      </c>
      <c r="E365">
        <v>7</v>
      </c>
      <c r="F365">
        <v>3.6</v>
      </c>
      <c r="G365" t="s">
        <v>34</v>
      </c>
      <c r="H365" t="s">
        <v>36</v>
      </c>
      <c r="I365" t="str">
        <f t="shared" si="5"/>
        <v>387_7</v>
      </c>
      <c r="J365" t="s">
        <v>18</v>
      </c>
      <c r="K365" t="s">
        <v>115</v>
      </c>
      <c r="L365" t="str">
        <f>_xlfn.XLOOKUP(C365, Table2[Species],Table2[Genus], "Code Not Found")</f>
        <v>Fagus</v>
      </c>
      <c r="M365" t="str">
        <f>_xlfn.XLOOKUP(C365, Table2[Species],Table2[Sp. Name], "Code Not Found")</f>
        <v>grandifolia</v>
      </c>
      <c r="N365" t="str">
        <f>_xlfn.XLOOKUP(C365,Table2[Species],Table2[Family],"Code Not Found")</f>
        <v>Fagaceae</v>
      </c>
      <c r="O365" t="str" cm="1">
        <f t="array" ref="O365">_xlfn.IFS(F365="","",F365&lt;=5,"0 to 5",F365&lt;=10,"5.1 to 10",F365&lt;=20,"10 to 20", F365&lt;= 40, "20 to 40", F365 &lt;= 50, "40 to 50", F365 &gt; 50, "&gt;50" )</f>
        <v>0 to 5</v>
      </c>
    </row>
    <row r="366" spans="1:15" ht="14.4" x14ac:dyDescent="0.3">
      <c r="A366" t="s">
        <v>114</v>
      </c>
      <c r="B366" s="1">
        <v>46174</v>
      </c>
      <c r="C366" t="s">
        <v>64</v>
      </c>
      <c r="D366">
        <v>387</v>
      </c>
      <c r="E366">
        <v>8</v>
      </c>
      <c r="F366">
        <v>3.9</v>
      </c>
      <c r="G366" t="s">
        <v>34</v>
      </c>
      <c r="H366" t="s">
        <v>36</v>
      </c>
      <c r="I366" t="str">
        <f t="shared" si="5"/>
        <v>387_8</v>
      </c>
      <c r="J366" t="s">
        <v>18</v>
      </c>
      <c r="K366" t="s">
        <v>115</v>
      </c>
      <c r="L366" t="str">
        <f>_xlfn.XLOOKUP(C366, Table2[Species],Table2[Genus], "Code Not Found")</f>
        <v>Fagus</v>
      </c>
      <c r="M366" t="str">
        <f>_xlfn.XLOOKUP(C366, Table2[Species],Table2[Sp. Name], "Code Not Found")</f>
        <v>grandifolia</v>
      </c>
      <c r="N366" t="str">
        <f>_xlfn.XLOOKUP(C366,Table2[Species],Table2[Family],"Code Not Found")</f>
        <v>Fagaceae</v>
      </c>
      <c r="O366" t="str" cm="1">
        <f t="array" ref="O366">_xlfn.IFS(F366="","",F366&lt;=5,"0 to 5",F366&lt;=10,"5.1 to 10",F366&lt;=20,"10 to 20", F366&lt;= 40, "20 to 40", F366 &lt;= 50, "40 to 50", F366 &gt; 50, "&gt;50" )</f>
        <v>0 to 5</v>
      </c>
    </row>
    <row r="367" spans="1:15" ht="14.4" x14ac:dyDescent="0.3">
      <c r="A367" t="s">
        <v>114</v>
      </c>
      <c r="B367" s="1">
        <v>46174</v>
      </c>
      <c r="C367" t="s">
        <v>64</v>
      </c>
      <c r="D367">
        <v>387</v>
      </c>
      <c r="E367">
        <v>9</v>
      </c>
      <c r="F367">
        <v>2.2999999999999998</v>
      </c>
      <c r="G367" t="s">
        <v>132</v>
      </c>
      <c r="H367" t="s">
        <v>133</v>
      </c>
      <c r="I367" t="str">
        <f t="shared" si="5"/>
        <v>387_9</v>
      </c>
      <c r="J367" t="s">
        <v>18</v>
      </c>
      <c r="K367" t="s">
        <v>115</v>
      </c>
      <c r="L367" t="str">
        <f>_xlfn.XLOOKUP(C367, Table2[Species],Table2[Genus], "Code Not Found")</f>
        <v>Fagus</v>
      </c>
      <c r="M367" t="str">
        <f>_xlfn.XLOOKUP(C367, Table2[Species],Table2[Sp. Name], "Code Not Found")</f>
        <v>grandifolia</v>
      </c>
      <c r="N367" t="str">
        <f>_xlfn.XLOOKUP(C367,Table2[Species],Table2[Family],"Code Not Found")</f>
        <v>Fagaceae</v>
      </c>
      <c r="O367" t="str" cm="1">
        <f t="array" ref="O367">_xlfn.IFS(F367="","",F367&lt;=5,"0 to 5",F367&lt;=10,"5.1 to 10",F367&lt;=20,"10 to 20", F367&lt;= 40, "20 to 40", F367 &lt;= 50, "40 to 50", F367 &gt; 50, "&gt;50" )</f>
        <v>0 to 5</v>
      </c>
    </row>
    <row r="368" spans="1:15" ht="14.4" x14ac:dyDescent="0.3">
      <c r="A368" t="s">
        <v>114</v>
      </c>
      <c r="B368" s="1">
        <v>46174</v>
      </c>
      <c r="C368" t="s">
        <v>64</v>
      </c>
      <c r="D368">
        <v>387</v>
      </c>
      <c r="E368">
        <v>10</v>
      </c>
      <c r="F368">
        <v>3</v>
      </c>
      <c r="G368" t="s">
        <v>132</v>
      </c>
      <c r="H368" t="s">
        <v>133</v>
      </c>
      <c r="I368" t="str">
        <f t="shared" si="5"/>
        <v>387_10</v>
      </c>
      <c r="J368" t="s">
        <v>18</v>
      </c>
      <c r="K368" t="s">
        <v>115</v>
      </c>
      <c r="L368" t="str">
        <f>_xlfn.XLOOKUP(C368, Table2[Species],Table2[Genus], "Code Not Found")</f>
        <v>Fagus</v>
      </c>
      <c r="M368" t="str">
        <f>_xlfn.XLOOKUP(C368, Table2[Species],Table2[Sp. Name], "Code Not Found")</f>
        <v>grandifolia</v>
      </c>
      <c r="N368" t="str">
        <f>_xlfn.XLOOKUP(C368,Table2[Species],Table2[Family],"Code Not Found")</f>
        <v>Fagaceae</v>
      </c>
      <c r="O368" t="str" cm="1">
        <f t="array" ref="O368">_xlfn.IFS(F368="","",F368&lt;=5,"0 to 5",F368&lt;=10,"5.1 to 10",F368&lt;=20,"10 to 20", F368&lt;= 40, "20 to 40", F368 &lt;= 50, "40 to 50", F368 &gt; 50, "&gt;50" )</f>
        <v>0 to 5</v>
      </c>
    </row>
    <row r="369" spans="1:15" ht="14.4" x14ac:dyDescent="0.3">
      <c r="A369" t="s">
        <v>114</v>
      </c>
      <c r="B369" s="1">
        <v>46174</v>
      </c>
      <c r="C369" t="s">
        <v>64</v>
      </c>
      <c r="D369">
        <v>387</v>
      </c>
      <c r="E369">
        <v>11</v>
      </c>
      <c r="F369">
        <v>3</v>
      </c>
      <c r="G369" t="s">
        <v>61</v>
      </c>
      <c r="I369" t="str">
        <f t="shared" si="5"/>
        <v>387_11</v>
      </c>
      <c r="J369" t="s">
        <v>18</v>
      </c>
      <c r="K369" t="s">
        <v>115</v>
      </c>
      <c r="L369" t="str">
        <f>_xlfn.XLOOKUP(C369, Table2[Species],Table2[Genus], "Code Not Found")</f>
        <v>Fagus</v>
      </c>
      <c r="M369" t="str">
        <f>_xlfn.XLOOKUP(C369, Table2[Species],Table2[Sp. Name], "Code Not Found")</f>
        <v>grandifolia</v>
      </c>
      <c r="N369" t="str">
        <f>_xlfn.XLOOKUP(C369,Table2[Species],Table2[Family],"Code Not Found")</f>
        <v>Fagaceae</v>
      </c>
      <c r="O369" t="str" cm="1">
        <f t="array" ref="O369">_xlfn.IFS(F369="","",F369&lt;=5,"0 to 5",F369&lt;=10,"5.1 to 10",F369&lt;=20,"10 to 20", F369&lt;= 40, "20 to 40", F369 &lt;= 50, "40 to 50", F369 &gt; 50, "&gt;50" )</f>
        <v>0 to 5</v>
      </c>
    </row>
    <row r="370" spans="1:15" ht="14.4" x14ac:dyDescent="0.3">
      <c r="A370" t="s">
        <v>114</v>
      </c>
      <c r="B370" s="1">
        <v>46174</v>
      </c>
      <c r="C370" t="s">
        <v>64</v>
      </c>
      <c r="D370">
        <v>387</v>
      </c>
      <c r="E370">
        <v>12</v>
      </c>
      <c r="F370">
        <v>5.6</v>
      </c>
      <c r="G370" t="s">
        <v>32</v>
      </c>
      <c r="H370" t="s">
        <v>134</v>
      </c>
      <c r="I370" t="str">
        <f t="shared" si="5"/>
        <v>387_12</v>
      </c>
      <c r="J370" t="s">
        <v>18</v>
      </c>
      <c r="K370" t="s">
        <v>115</v>
      </c>
      <c r="L370" t="str">
        <f>_xlfn.XLOOKUP(C370, Table2[Species],Table2[Genus], "Code Not Found")</f>
        <v>Fagus</v>
      </c>
      <c r="M370" t="str">
        <f>_xlfn.XLOOKUP(C370, Table2[Species],Table2[Sp. Name], "Code Not Found")</f>
        <v>grandifolia</v>
      </c>
      <c r="N370" t="str">
        <f>_xlfn.XLOOKUP(C370,Table2[Species],Table2[Family],"Code Not Found")</f>
        <v>Fagaceae</v>
      </c>
      <c r="O370" t="str" cm="1">
        <f t="array" ref="O370">_xlfn.IFS(F370="","",F370&lt;=5,"0 to 5",F370&lt;=10,"5.1 to 10",F370&lt;=20,"10 to 20", F370&lt;= 40, "20 to 40", F370 &lt;= 50, "40 to 50", F370 &gt; 50, "&gt;50" )</f>
        <v>5.1 to 10</v>
      </c>
    </row>
    <row r="371" spans="1:15" ht="14.4" x14ac:dyDescent="0.3">
      <c r="A371" t="s">
        <v>114</v>
      </c>
      <c r="B371" s="1">
        <v>46174</v>
      </c>
      <c r="C371" t="s">
        <v>64</v>
      </c>
      <c r="D371">
        <v>385</v>
      </c>
      <c r="E371">
        <v>1</v>
      </c>
      <c r="F371">
        <v>61.2</v>
      </c>
      <c r="G371" t="s">
        <v>32</v>
      </c>
      <c r="H371" t="s">
        <v>135</v>
      </c>
      <c r="I371" t="str">
        <f t="shared" si="5"/>
        <v>385_1</v>
      </c>
      <c r="J371" t="s">
        <v>18</v>
      </c>
      <c r="K371" t="s">
        <v>115</v>
      </c>
      <c r="L371" t="str">
        <f>_xlfn.XLOOKUP(C371, Table2[Species],Table2[Genus], "Code Not Found")</f>
        <v>Fagus</v>
      </c>
      <c r="M371" t="str">
        <f>_xlfn.XLOOKUP(C371, Table2[Species],Table2[Sp. Name], "Code Not Found")</f>
        <v>grandifolia</v>
      </c>
      <c r="N371" t="str">
        <f>_xlfn.XLOOKUP(C371,Table2[Species],Table2[Family],"Code Not Found")</f>
        <v>Fagaceae</v>
      </c>
      <c r="O371" t="str" cm="1">
        <f t="array" ref="O371">_xlfn.IFS(F371="","",F371&lt;=5,"0 to 5",F371&lt;=10,"5.1 to 10",F371&lt;=20,"10 to 20", F371&lt;= 40, "20 to 40", F371 &lt;= 50, "40 to 50", F371 &gt; 50, "&gt;50" )</f>
        <v>&gt;50</v>
      </c>
    </row>
    <row r="372" spans="1:15" ht="14.4" x14ac:dyDescent="0.3">
      <c r="A372" t="s">
        <v>114</v>
      </c>
      <c r="B372" s="1">
        <v>46174</v>
      </c>
      <c r="C372" t="s">
        <v>64</v>
      </c>
      <c r="D372">
        <v>385</v>
      </c>
      <c r="E372">
        <v>2</v>
      </c>
      <c r="F372">
        <v>2.5</v>
      </c>
      <c r="G372" t="s">
        <v>93</v>
      </c>
      <c r="H372" t="s">
        <v>43</v>
      </c>
      <c r="I372" t="str">
        <f t="shared" si="5"/>
        <v>385_2</v>
      </c>
      <c r="J372" t="s">
        <v>18</v>
      </c>
      <c r="K372" t="s">
        <v>115</v>
      </c>
      <c r="L372" t="str">
        <f>_xlfn.XLOOKUP(C372, Table2[Species],Table2[Genus], "Code Not Found")</f>
        <v>Fagus</v>
      </c>
      <c r="M372" t="str">
        <f>_xlfn.XLOOKUP(C372, Table2[Species],Table2[Sp. Name], "Code Not Found")</f>
        <v>grandifolia</v>
      </c>
      <c r="N372" t="str">
        <f>_xlfn.XLOOKUP(C372,Table2[Species],Table2[Family],"Code Not Found")</f>
        <v>Fagaceae</v>
      </c>
      <c r="O372" t="str" cm="1">
        <f t="array" ref="O372">_xlfn.IFS(F372="","",F372&lt;=5,"0 to 5",F372&lt;=10,"5.1 to 10",F372&lt;=20,"10 to 20", F372&lt;= 40, "20 to 40", F372 &lt;= 50, "40 to 50", F372 &gt; 50, "&gt;50" )</f>
        <v>0 to 5</v>
      </c>
    </row>
    <row r="373" spans="1:15" ht="14.4" x14ac:dyDescent="0.3">
      <c r="A373" t="s">
        <v>114</v>
      </c>
      <c r="B373" s="1">
        <v>46174</v>
      </c>
      <c r="C373" t="s">
        <v>64</v>
      </c>
      <c r="D373">
        <v>385</v>
      </c>
      <c r="E373">
        <v>3</v>
      </c>
      <c r="F373">
        <v>2.1</v>
      </c>
      <c r="G373" t="s">
        <v>34</v>
      </c>
      <c r="H373" t="s">
        <v>43</v>
      </c>
      <c r="I373" t="str">
        <f t="shared" si="5"/>
        <v>385_3</v>
      </c>
      <c r="J373" t="s">
        <v>18</v>
      </c>
      <c r="K373" t="s">
        <v>115</v>
      </c>
      <c r="L373" t="str">
        <f>_xlfn.XLOOKUP(C373, Table2[Species],Table2[Genus], "Code Not Found")</f>
        <v>Fagus</v>
      </c>
      <c r="M373" t="str">
        <f>_xlfn.XLOOKUP(C373, Table2[Species],Table2[Sp. Name], "Code Not Found")</f>
        <v>grandifolia</v>
      </c>
      <c r="N373" t="str">
        <f>_xlfn.XLOOKUP(C373,Table2[Species],Table2[Family],"Code Not Found")</f>
        <v>Fagaceae</v>
      </c>
      <c r="O373" t="str" cm="1">
        <f t="array" ref="O373">_xlfn.IFS(F373="","",F373&lt;=5,"0 to 5",F373&lt;=10,"5.1 to 10",F373&lt;=20,"10 to 20", F373&lt;= 40, "20 to 40", F373 &lt;= 50, "40 to 50", F373 &gt; 50, "&gt;50" )</f>
        <v>0 to 5</v>
      </c>
    </row>
    <row r="374" spans="1:15" ht="14.4" x14ac:dyDescent="0.3">
      <c r="A374" t="s">
        <v>114</v>
      </c>
      <c r="B374" s="1">
        <v>46174</v>
      </c>
      <c r="C374" t="s">
        <v>64</v>
      </c>
      <c r="D374">
        <v>385</v>
      </c>
      <c r="E374">
        <v>4</v>
      </c>
      <c r="F374">
        <v>3.4</v>
      </c>
      <c r="G374" t="s">
        <v>34</v>
      </c>
      <c r="I374" t="str">
        <f t="shared" si="5"/>
        <v>385_4</v>
      </c>
      <c r="J374" t="s">
        <v>18</v>
      </c>
      <c r="K374" t="s">
        <v>115</v>
      </c>
      <c r="L374" t="str">
        <f>_xlfn.XLOOKUP(C374, Table2[Species],Table2[Genus], "Code Not Found")</f>
        <v>Fagus</v>
      </c>
      <c r="M374" t="str">
        <f>_xlfn.XLOOKUP(C374, Table2[Species],Table2[Sp. Name], "Code Not Found")</f>
        <v>grandifolia</v>
      </c>
      <c r="N374" t="str">
        <f>_xlfn.XLOOKUP(C374,Table2[Species],Table2[Family],"Code Not Found")</f>
        <v>Fagaceae</v>
      </c>
      <c r="O374" t="str" cm="1">
        <f t="array" ref="O374">_xlfn.IFS(F374="","",F374&lt;=5,"0 to 5",F374&lt;=10,"5.1 to 10",F374&lt;=20,"10 to 20", F374&lt;= 40, "20 to 40", F374 &lt;= 50, "40 to 50", F374 &gt; 50, "&gt;50" )</f>
        <v>0 to 5</v>
      </c>
    </row>
    <row r="375" spans="1:15" ht="14.4" x14ac:dyDescent="0.3">
      <c r="A375" t="s">
        <v>114</v>
      </c>
      <c r="B375" s="1">
        <v>46174</v>
      </c>
      <c r="C375" t="s">
        <v>64</v>
      </c>
      <c r="D375">
        <v>385</v>
      </c>
      <c r="E375">
        <v>5</v>
      </c>
      <c r="F375">
        <v>2.8</v>
      </c>
      <c r="G375" t="s">
        <v>132</v>
      </c>
      <c r="H375" t="s">
        <v>99</v>
      </c>
      <c r="I375" t="str">
        <f t="shared" si="5"/>
        <v>385_5</v>
      </c>
      <c r="J375" t="s">
        <v>18</v>
      </c>
      <c r="K375" t="s">
        <v>115</v>
      </c>
      <c r="L375" t="str">
        <f>_xlfn.XLOOKUP(C375, Table2[Species],Table2[Genus], "Code Not Found")</f>
        <v>Fagus</v>
      </c>
      <c r="M375" t="str">
        <f>_xlfn.XLOOKUP(C375, Table2[Species],Table2[Sp. Name], "Code Not Found")</f>
        <v>grandifolia</v>
      </c>
      <c r="N375" t="str">
        <f>_xlfn.XLOOKUP(C375,Table2[Species],Table2[Family],"Code Not Found")</f>
        <v>Fagaceae</v>
      </c>
      <c r="O375" t="str" cm="1">
        <f t="array" ref="O375">_xlfn.IFS(F375="","",F375&lt;=5,"0 to 5",F375&lt;=10,"5.1 to 10",F375&lt;=20,"10 to 20", F375&lt;= 40, "20 to 40", F375 &lt;= 50, "40 to 50", F375 &gt; 50, "&gt;50" )</f>
        <v>0 to 5</v>
      </c>
    </row>
    <row r="376" spans="1:15" ht="14.4" x14ac:dyDescent="0.3">
      <c r="A376" t="s">
        <v>114</v>
      </c>
      <c r="B376" s="1">
        <v>46174</v>
      </c>
      <c r="C376" t="s">
        <v>64</v>
      </c>
      <c r="D376">
        <v>385</v>
      </c>
      <c r="E376">
        <v>6</v>
      </c>
      <c r="F376">
        <v>3.5</v>
      </c>
      <c r="G376" t="s">
        <v>61</v>
      </c>
      <c r="H376" t="s">
        <v>136</v>
      </c>
      <c r="I376" t="str">
        <f t="shared" si="5"/>
        <v>385_6</v>
      </c>
      <c r="J376" t="s">
        <v>18</v>
      </c>
      <c r="K376" t="s">
        <v>115</v>
      </c>
      <c r="L376" t="str">
        <f>_xlfn.XLOOKUP(C376, Table2[Species],Table2[Genus], "Code Not Found")</f>
        <v>Fagus</v>
      </c>
      <c r="M376" t="str">
        <f>_xlfn.XLOOKUP(C376, Table2[Species],Table2[Sp. Name], "Code Not Found")</f>
        <v>grandifolia</v>
      </c>
      <c r="N376" t="str">
        <f>_xlfn.XLOOKUP(C376,Table2[Species],Table2[Family],"Code Not Found")</f>
        <v>Fagaceae</v>
      </c>
      <c r="O376" t="str" cm="1">
        <f t="array" ref="O376">_xlfn.IFS(F376="","",F376&lt;=5,"0 to 5",F376&lt;=10,"5.1 to 10",F376&lt;=20,"10 to 20", F376&lt;= 40, "20 to 40", F376 &lt;= 50, "40 to 50", F376 &gt; 50, "&gt;50" )</f>
        <v>0 to 5</v>
      </c>
    </row>
    <row r="377" spans="1:15" ht="14.4" x14ac:dyDescent="0.3">
      <c r="A377" t="s">
        <v>114</v>
      </c>
      <c r="B377" s="1">
        <v>46174</v>
      </c>
      <c r="C377" t="s">
        <v>22</v>
      </c>
      <c r="D377">
        <v>344</v>
      </c>
      <c r="E377">
        <v>1</v>
      </c>
      <c r="F377">
        <v>2.8</v>
      </c>
      <c r="G377" t="s">
        <v>30</v>
      </c>
      <c r="H377" t="s">
        <v>99</v>
      </c>
      <c r="I377" t="str">
        <f t="shared" si="5"/>
        <v>344_1</v>
      </c>
      <c r="J377" t="s">
        <v>18</v>
      </c>
      <c r="K377" t="s">
        <v>115</v>
      </c>
      <c r="L377" t="str">
        <f>_xlfn.XLOOKUP(C377, Table2[Species],Table2[Genus], "Code Not Found")</f>
        <v>Acer</v>
      </c>
      <c r="M377" t="str">
        <f>_xlfn.XLOOKUP(C377, Table2[Species],Table2[Sp. Name], "Code Not Found")</f>
        <v>rubrum</v>
      </c>
      <c r="N377" t="str">
        <f>_xlfn.XLOOKUP(C377,Table2[Species],Table2[Family],"Code Not Found")</f>
        <v>Sapindaceae</v>
      </c>
      <c r="O377" t="str" cm="1">
        <f t="array" ref="O377">_xlfn.IFS(F377="","",F377&lt;=5,"0 to 5",F377&lt;=10,"5.1 to 10",F377&lt;=20,"10 to 20", F377&lt;= 40, "20 to 40", F377 &lt;= 50, "40 to 50", F377 &gt; 50, "&gt;50" )</f>
        <v>0 to 5</v>
      </c>
    </row>
    <row r="378" spans="1:15" ht="14.4" x14ac:dyDescent="0.3">
      <c r="A378" t="s">
        <v>114</v>
      </c>
      <c r="B378" s="1">
        <v>46174</v>
      </c>
      <c r="C378" t="s">
        <v>16</v>
      </c>
      <c r="D378">
        <v>345</v>
      </c>
      <c r="E378">
        <v>1</v>
      </c>
      <c r="F378">
        <v>20.6</v>
      </c>
      <c r="G378" t="s">
        <v>17</v>
      </c>
      <c r="H378" t="s">
        <v>36</v>
      </c>
      <c r="I378" t="str">
        <f t="shared" si="5"/>
        <v>345_1</v>
      </c>
      <c r="J378" t="s">
        <v>18</v>
      </c>
      <c r="K378" t="s">
        <v>115</v>
      </c>
      <c r="L378" t="str">
        <f>_xlfn.XLOOKUP(C378, Table2[Species],Table2[Genus], "Code Not Found")</f>
        <v>Acer</v>
      </c>
      <c r="M378" t="str">
        <f>_xlfn.XLOOKUP(C378, Table2[Species],Table2[Sp. Name], "Code Not Found")</f>
        <v>saccharum</v>
      </c>
      <c r="N378" t="str">
        <f>_xlfn.XLOOKUP(C378,Table2[Species],Table2[Family],"Code Not Found")</f>
        <v>Sapindaceae</v>
      </c>
      <c r="O378" t="str" cm="1">
        <f t="array" ref="O378">_xlfn.IFS(F378="","",F378&lt;=5,"0 to 5",F378&lt;=10,"5.1 to 10",F378&lt;=20,"10 to 20", F378&lt;= 40, "20 to 40", F378 &lt;= 50, "40 to 50", F378 &gt; 50, "&gt;50" )</f>
        <v>20 to 40</v>
      </c>
    </row>
    <row r="379" spans="1:15" ht="14.4" x14ac:dyDescent="0.3">
      <c r="A379" t="s">
        <v>114</v>
      </c>
      <c r="B379" s="1">
        <v>46174</v>
      </c>
      <c r="C379" t="s">
        <v>64</v>
      </c>
      <c r="D379">
        <v>346</v>
      </c>
      <c r="E379">
        <v>1</v>
      </c>
      <c r="F379">
        <v>15.6</v>
      </c>
      <c r="G379" t="s">
        <v>21</v>
      </c>
      <c r="I379" t="str">
        <f t="shared" si="5"/>
        <v>346_1</v>
      </c>
      <c r="J379" t="s">
        <v>18</v>
      </c>
      <c r="K379" t="s">
        <v>115</v>
      </c>
      <c r="L379" t="str">
        <f>_xlfn.XLOOKUP(C379, Table2[Species],Table2[Genus], "Code Not Found")</f>
        <v>Fagus</v>
      </c>
      <c r="M379" t="str">
        <f>_xlfn.XLOOKUP(C379, Table2[Species],Table2[Sp. Name], "Code Not Found")</f>
        <v>grandifolia</v>
      </c>
      <c r="N379" t="str">
        <f>_xlfn.XLOOKUP(C379,Table2[Species],Table2[Family],"Code Not Found")</f>
        <v>Fagaceae</v>
      </c>
      <c r="O379" t="str" cm="1">
        <f t="array" ref="O379">_xlfn.IFS(F379="","",F379&lt;=5,"0 to 5",F379&lt;=10,"5.1 to 10",F379&lt;=20,"10 to 20", F379&lt;= 40, "20 to 40", F379 &lt;= 50, "40 to 50", F379 &gt; 50, "&gt;50" )</f>
        <v>10 to 20</v>
      </c>
    </row>
    <row r="380" spans="1:15" ht="14.4" x14ac:dyDescent="0.3">
      <c r="A380" t="s">
        <v>114</v>
      </c>
      <c r="B380" s="1">
        <v>46174</v>
      </c>
      <c r="C380" t="s">
        <v>16</v>
      </c>
      <c r="D380">
        <v>347</v>
      </c>
      <c r="E380">
        <v>1</v>
      </c>
      <c r="F380">
        <v>2.5</v>
      </c>
      <c r="G380" t="s">
        <v>17</v>
      </c>
      <c r="I380" t="str">
        <f t="shared" si="5"/>
        <v>347_1</v>
      </c>
      <c r="J380" t="s">
        <v>18</v>
      </c>
      <c r="K380" t="s">
        <v>115</v>
      </c>
      <c r="L380" t="str">
        <f>_xlfn.XLOOKUP(C380, Table2[Species],Table2[Genus], "Code Not Found")</f>
        <v>Acer</v>
      </c>
      <c r="M380" t="str">
        <f>_xlfn.XLOOKUP(C380, Table2[Species],Table2[Sp. Name], "Code Not Found")</f>
        <v>saccharum</v>
      </c>
      <c r="N380" t="str">
        <f>_xlfn.XLOOKUP(C380,Table2[Species],Table2[Family],"Code Not Found")</f>
        <v>Sapindaceae</v>
      </c>
      <c r="O380" t="str" cm="1">
        <f t="array" ref="O380">_xlfn.IFS(F380="","",F380&lt;=5,"0 to 5",F380&lt;=10,"5.1 to 10",F380&lt;=20,"10 to 20", F380&lt;= 40, "20 to 40", F380 &lt;= 50, "40 to 50", F380 &gt; 50, "&gt;50" )</f>
        <v>0 to 5</v>
      </c>
    </row>
    <row r="381" spans="1:15" ht="14.4" x14ac:dyDescent="0.3">
      <c r="A381" t="s">
        <v>114</v>
      </c>
      <c r="B381" s="1">
        <v>46174</v>
      </c>
      <c r="C381" t="s">
        <v>22</v>
      </c>
      <c r="D381">
        <v>348</v>
      </c>
      <c r="E381">
        <v>1</v>
      </c>
      <c r="F381">
        <v>29.2</v>
      </c>
      <c r="G381" t="s">
        <v>21</v>
      </c>
      <c r="I381" t="str">
        <f t="shared" si="5"/>
        <v>348_1</v>
      </c>
      <c r="J381" t="s">
        <v>18</v>
      </c>
      <c r="K381" t="s">
        <v>115</v>
      </c>
      <c r="L381" t="str">
        <f>_xlfn.XLOOKUP(C381, Table2[Species],Table2[Genus], "Code Not Found")</f>
        <v>Acer</v>
      </c>
      <c r="M381" t="str">
        <f>_xlfn.XLOOKUP(C381, Table2[Species],Table2[Sp. Name], "Code Not Found")</f>
        <v>rubrum</v>
      </c>
      <c r="N381" t="str">
        <f>_xlfn.XLOOKUP(C381,Table2[Species],Table2[Family],"Code Not Found")</f>
        <v>Sapindaceae</v>
      </c>
      <c r="O381" t="str" cm="1">
        <f t="array" ref="O381">_xlfn.IFS(F381="","",F381&lt;=5,"0 to 5",F381&lt;=10,"5.1 to 10",F381&lt;=20,"10 to 20", F381&lt;= 40, "20 to 40", F381 &lt;= 50, "40 to 50", F381 &gt; 50, "&gt;50" )</f>
        <v>20 to 40</v>
      </c>
    </row>
    <row r="382" spans="1:15" ht="14.4" x14ac:dyDescent="0.3">
      <c r="A382" t="s">
        <v>114</v>
      </c>
      <c r="B382" s="1">
        <v>46174</v>
      </c>
      <c r="C382" t="s">
        <v>16</v>
      </c>
      <c r="D382">
        <v>349</v>
      </c>
      <c r="E382">
        <v>1</v>
      </c>
      <c r="F382">
        <v>1.6</v>
      </c>
      <c r="G382" t="s">
        <v>93</v>
      </c>
      <c r="H382" t="s">
        <v>137</v>
      </c>
      <c r="I382" t="str">
        <f t="shared" si="5"/>
        <v>349_1</v>
      </c>
      <c r="J382" t="s">
        <v>18</v>
      </c>
      <c r="K382" t="s">
        <v>115</v>
      </c>
      <c r="L382" t="str">
        <f>_xlfn.XLOOKUP(C382, Table2[Species],Table2[Genus], "Code Not Found")</f>
        <v>Acer</v>
      </c>
      <c r="M382" t="str">
        <f>_xlfn.XLOOKUP(C382, Table2[Species],Table2[Sp. Name], "Code Not Found")</f>
        <v>saccharum</v>
      </c>
      <c r="N382" t="str">
        <f>_xlfn.XLOOKUP(C382,Table2[Species],Table2[Family],"Code Not Found")</f>
        <v>Sapindaceae</v>
      </c>
      <c r="O382" t="str" cm="1">
        <f t="array" ref="O382">_xlfn.IFS(F382="","",F382&lt;=5,"0 to 5",F382&lt;=10,"5.1 to 10",F382&lt;=20,"10 to 20", F382&lt;= 40, "20 to 40", F382 &lt;= 50, "40 to 50", F382 &gt; 50, "&gt;50" )</f>
        <v>0 to 5</v>
      </c>
    </row>
    <row r="383" spans="1:15" ht="14.4" x14ac:dyDescent="0.3">
      <c r="A383" t="s">
        <v>114</v>
      </c>
      <c r="B383" s="1">
        <v>46174</v>
      </c>
      <c r="C383" t="s">
        <v>16</v>
      </c>
      <c r="D383">
        <v>349</v>
      </c>
      <c r="E383">
        <v>2</v>
      </c>
      <c r="F383">
        <v>1</v>
      </c>
      <c r="G383" t="s">
        <v>93</v>
      </c>
      <c r="H383" t="s">
        <v>137</v>
      </c>
      <c r="I383" t="str">
        <f t="shared" si="5"/>
        <v>349_2</v>
      </c>
      <c r="J383" t="s">
        <v>18</v>
      </c>
      <c r="K383" t="s">
        <v>115</v>
      </c>
      <c r="L383" t="str">
        <f>_xlfn.XLOOKUP(C383, Table2[Species],Table2[Genus], "Code Not Found")</f>
        <v>Acer</v>
      </c>
      <c r="M383" t="str">
        <f>_xlfn.XLOOKUP(C383, Table2[Species],Table2[Sp. Name], "Code Not Found")</f>
        <v>saccharum</v>
      </c>
      <c r="N383" t="str">
        <f>_xlfn.XLOOKUP(C383,Table2[Species],Table2[Family],"Code Not Found")</f>
        <v>Sapindaceae</v>
      </c>
      <c r="O383" t="str" cm="1">
        <f t="array" ref="O383">_xlfn.IFS(F383="","",F383&lt;=5,"0 to 5",F383&lt;=10,"5.1 to 10",F383&lt;=20,"10 to 20", F383&lt;= 40, "20 to 40", F383 &lt;= 50, "40 to 50", F383 &gt; 50, "&gt;50" )</f>
        <v>0 to 5</v>
      </c>
    </row>
    <row r="384" spans="1:15" ht="14.4" x14ac:dyDescent="0.3">
      <c r="A384" t="s">
        <v>114</v>
      </c>
      <c r="B384" s="1">
        <v>46174</v>
      </c>
      <c r="C384" t="s">
        <v>16</v>
      </c>
      <c r="D384">
        <v>350</v>
      </c>
      <c r="E384">
        <v>1</v>
      </c>
      <c r="F384">
        <v>3.8</v>
      </c>
      <c r="G384" t="s">
        <v>30</v>
      </c>
      <c r="H384" t="s">
        <v>99</v>
      </c>
      <c r="I384" t="str">
        <f t="shared" si="5"/>
        <v>350_1</v>
      </c>
      <c r="J384" t="s">
        <v>18</v>
      </c>
      <c r="K384" t="s">
        <v>115</v>
      </c>
      <c r="L384" t="str">
        <f>_xlfn.XLOOKUP(C384, Table2[Species],Table2[Genus], "Code Not Found")</f>
        <v>Acer</v>
      </c>
      <c r="M384" t="str">
        <f>_xlfn.XLOOKUP(C384, Table2[Species],Table2[Sp. Name], "Code Not Found")</f>
        <v>saccharum</v>
      </c>
      <c r="N384" t="str">
        <f>_xlfn.XLOOKUP(C384,Table2[Species],Table2[Family],"Code Not Found")</f>
        <v>Sapindaceae</v>
      </c>
      <c r="O384" t="str" cm="1">
        <f t="array" ref="O384">_xlfn.IFS(F384="","",F384&lt;=5,"0 to 5",F384&lt;=10,"5.1 to 10",F384&lt;=20,"10 to 20", F384&lt;= 40, "20 to 40", F384 &lt;= 50, "40 to 50", F384 &gt; 50, "&gt;50" )</f>
        <v>0 to 5</v>
      </c>
    </row>
    <row r="385" spans="1:15" ht="14.4" x14ac:dyDescent="0.3">
      <c r="A385" t="s">
        <v>114</v>
      </c>
      <c r="B385" s="1">
        <v>46174</v>
      </c>
      <c r="C385" t="s">
        <v>22</v>
      </c>
      <c r="D385">
        <v>351</v>
      </c>
      <c r="E385">
        <v>1</v>
      </c>
      <c r="F385">
        <v>10.9</v>
      </c>
      <c r="G385" t="s">
        <v>17</v>
      </c>
      <c r="H385" t="s">
        <v>36</v>
      </c>
      <c r="I385" t="str">
        <f t="shared" si="5"/>
        <v>351_1</v>
      </c>
      <c r="J385" t="s">
        <v>18</v>
      </c>
      <c r="K385" t="s">
        <v>115</v>
      </c>
      <c r="L385" t="str">
        <f>_xlfn.XLOOKUP(C385, Table2[Species],Table2[Genus], "Code Not Found")</f>
        <v>Acer</v>
      </c>
      <c r="M385" t="str">
        <f>_xlfn.XLOOKUP(C385, Table2[Species],Table2[Sp. Name], "Code Not Found")</f>
        <v>rubrum</v>
      </c>
      <c r="N385" t="str">
        <f>_xlfn.XLOOKUP(C385,Table2[Species],Table2[Family],"Code Not Found")</f>
        <v>Sapindaceae</v>
      </c>
      <c r="O385" t="str" cm="1">
        <f t="array" ref="O385">_xlfn.IFS(F385="","",F385&lt;=5,"0 to 5",F385&lt;=10,"5.1 to 10",F385&lt;=20,"10 to 20", F385&lt;= 40, "20 to 40", F385 &lt;= 50, "40 to 50", F385 &gt; 50, "&gt;50" )</f>
        <v>10 to 20</v>
      </c>
    </row>
    <row r="386" spans="1:15" ht="14.4" x14ac:dyDescent="0.3">
      <c r="A386" t="s">
        <v>114</v>
      </c>
      <c r="B386" s="1">
        <v>46174</v>
      </c>
      <c r="C386" t="s">
        <v>16</v>
      </c>
      <c r="D386">
        <v>352</v>
      </c>
      <c r="E386">
        <v>1</v>
      </c>
      <c r="F386">
        <v>5.8</v>
      </c>
      <c r="G386" t="s">
        <v>17</v>
      </c>
      <c r="H386" t="s">
        <v>36</v>
      </c>
      <c r="I386" t="str">
        <f t="shared" si="5"/>
        <v>352_1</v>
      </c>
      <c r="J386" t="s">
        <v>18</v>
      </c>
      <c r="K386" t="s">
        <v>115</v>
      </c>
      <c r="L386" t="str">
        <f>_xlfn.XLOOKUP(C386, Table2[Species],Table2[Genus], "Code Not Found")</f>
        <v>Acer</v>
      </c>
      <c r="M386" t="str">
        <f>_xlfn.XLOOKUP(C386, Table2[Species],Table2[Sp. Name], "Code Not Found")</f>
        <v>saccharum</v>
      </c>
      <c r="N386" t="str">
        <f>_xlfn.XLOOKUP(C386,Table2[Species],Table2[Family],"Code Not Found")</f>
        <v>Sapindaceae</v>
      </c>
      <c r="O386" t="str" cm="1">
        <f t="array" ref="O386">_xlfn.IFS(F386="","",F386&lt;=5,"0 to 5",F386&lt;=10,"5.1 to 10",F386&lt;=20,"10 to 20", F386&lt;= 40, "20 to 40", F386 &lt;= 50, "40 to 50", F386 &gt; 50, "&gt;50" )</f>
        <v>5.1 to 10</v>
      </c>
    </row>
    <row r="387" spans="1:15" ht="14.4" x14ac:dyDescent="0.3">
      <c r="A387" t="s">
        <v>114</v>
      </c>
      <c r="B387" s="1">
        <v>46174</v>
      </c>
      <c r="C387" t="s">
        <v>22</v>
      </c>
      <c r="D387">
        <v>353</v>
      </c>
      <c r="E387">
        <v>1</v>
      </c>
      <c r="F387">
        <v>6.9</v>
      </c>
      <c r="G387" t="s">
        <v>17</v>
      </c>
      <c r="I387" t="str">
        <f t="shared" ref="I387:I450" si="6">D387&amp;"_"&amp;E387</f>
        <v>353_1</v>
      </c>
      <c r="J387" t="s">
        <v>18</v>
      </c>
      <c r="K387" t="s">
        <v>115</v>
      </c>
      <c r="L387" t="str">
        <f>_xlfn.XLOOKUP(C387, Table2[Species],Table2[Genus], "Code Not Found")</f>
        <v>Acer</v>
      </c>
      <c r="M387" t="str">
        <f>_xlfn.XLOOKUP(C387, Table2[Species],Table2[Sp. Name], "Code Not Found")</f>
        <v>rubrum</v>
      </c>
      <c r="N387" t="str">
        <f>_xlfn.XLOOKUP(C387,Table2[Species],Table2[Family],"Code Not Found")</f>
        <v>Sapindaceae</v>
      </c>
      <c r="O387" t="str" cm="1">
        <f t="array" ref="O387">_xlfn.IFS(F387="","",F387&lt;=5,"0 to 5",F387&lt;=10,"5.1 to 10",F387&lt;=20,"10 to 20", F387&lt;= 40, "20 to 40", F387 &lt;= 50, "40 to 50", F387 &gt; 50, "&gt;50" )</f>
        <v>5.1 to 10</v>
      </c>
    </row>
    <row r="388" spans="1:15" ht="14.4" x14ac:dyDescent="0.3">
      <c r="A388" t="s">
        <v>114</v>
      </c>
      <c r="B388" s="1">
        <v>46174</v>
      </c>
      <c r="C388" t="s">
        <v>117</v>
      </c>
      <c r="D388">
        <v>354</v>
      </c>
      <c r="E388">
        <v>1</v>
      </c>
      <c r="F388">
        <v>4.5</v>
      </c>
      <c r="G388" t="s">
        <v>21</v>
      </c>
      <c r="I388" t="str">
        <f t="shared" si="6"/>
        <v>354_1</v>
      </c>
      <c r="J388" t="s">
        <v>18</v>
      </c>
      <c r="K388" t="s">
        <v>115</v>
      </c>
      <c r="L388" t="str">
        <f>_xlfn.XLOOKUP(C388, Table2[Species],Table2[Genus], "Code Not Found")</f>
        <v>Ostrya</v>
      </c>
      <c r="M388" t="str">
        <f>_xlfn.XLOOKUP(C388, Table2[Species],Table2[Sp. Name], "Code Not Found")</f>
        <v>viginiana</v>
      </c>
      <c r="N388" t="str">
        <f>_xlfn.XLOOKUP(C388,Table2[Species],Table2[Family],"Code Not Found")</f>
        <v>Betulaceae</v>
      </c>
      <c r="O388" t="str" cm="1">
        <f t="array" ref="O388">_xlfn.IFS(F388="","",F388&lt;=5,"0 to 5",F388&lt;=10,"5.1 to 10",F388&lt;=20,"10 to 20", F388&lt;= 40, "20 to 40", F388 &lt;= 50, "40 to 50", F388 &gt; 50, "&gt;50" )</f>
        <v>0 to 5</v>
      </c>
    </row>
    <row r="389" spans="1:15" ht="14.4" x14ac:dyDescent="0.3">
      <c r="A389" t="s">
        <v>114</v>
      </c>
      <c r="B389" s="1">
        <v>46174</v>
      </c>
      <c r="C389" t="s">
        <v>123</v>
      </c>
      <c r="D389">
        <v>355</v>
      </c>
      <c r="E389">
        <v>1</v>
      </c>
      <c r="F389">
        <v>55.1</v>
      </c>
      <c r="G389" t="s">
        <v>21</v>
      </c>
      <c r="I389" t="str">
        <f t="shared" si="6"/>
        <v>355_1</v>
      </c>
      <c r="J389" t="s">
        <v>18</v>
      </c>
      <c r="K389" t="s">
        <v>115</v>
      </c>
      <c r="L389" t="str">
        <f>_xlfn.XLOOKUP(C389, Table2[Species],Table2[Genus], "Code Not Found")</f>
        <v>Quercus</v>
      </c>
      <c r="M389" t="str">
        <f>_xlfn.XLOOKUP(C389, Table2[Species],Table2[Sp. Name], "Code Not Found")</f>
        <v>rubra</v>
      </c>
      <c r="N389" t="str">
        <f>_xlfn.XLOOKUP(C389,Table2[Species],Table2[Family],"Code Not Found")</f>
        <v>Fagaceae</v>
      </c>
      <c r="O389" t="str" cm="1">
        <f t="array" ref="O389">_xlfn.IFS(F389="","",F389&lt;=5,"0 to 5",F389&lt;=10,"5.1 to 10",F389&lt;=20,"10 to 20", F389&lt;= 40, "20 to 40", F389 &lt;= 50, "40 to 50", F389 &gt; 50, "&gt;50" )</f>
        <v>&gt;50</v>
      </c>
    </row>
    <row r="390" spans="1:15" ht="14.4" x14ac:dyDescent="0.3">
      <c r="A390" t="s">
        <v>114</v>
      </c>
      <c r="B390" s="1">
        <v>46174</v>
      </c>
      <c r="C390" t="s">
        <v>20</v>
      </c>
      <c r="D390">
        <v>356</v>
      </c>
      <c r="E390">
        <v>1</v>
      </c>
      <c r="F390">
        <v>7.4</v>
      </c>
      <c r="G390" t="s">
        <v>47</v>
      </c>
      <c r="H390" t="s">
        <v>43</v>
      </c>
      <c r="I390" t="str">
        <f t="shared" si="6"/>
        <v>356_1</v>
      </c>
      <c r="J390" t="s">
        <v>18</v>
      </c>
      <c r="K390" t="s">
        <v>115</v>
      </c>
      <c r="L390" t="str">
        <f>_xlfn.XLOOKUP(C390, Table2[Species],Table2[Genus], "Code Not Found")</f>
        <v>Prunus</v>
      </c>
      <c r="M390" t="str">
        <f>_xlfn.XLOOKUP(C390, Table2[Species],Table2[Sp. Name], "Code Not Found")</f>
        <v>serotina</v>
      </c>
      <c r="N390" t="str">
        <f>_xlfn.XLOOKUP(C390,Table2[Species],Table2[Family],"Code Not Found")</f>
        <v>Rosaceae</v>
      </c>
      <c r="O390" t="str" cm="1">
        <f t="array" ref="O390">_xlfn.IFS(F390="","",F390&lt;=5,"0 to 5",F390&lt;=10,"5.1 to 10",F390&lt;=20,"10 to 20", F390&lt;= 40, "20 to 40", F390 &lt;= 50, "40 to 50", F390 &gt; 50, "&gt;50" )</f>
        <v>5.1 to 10</v>
      </c>
    </row>
    <row r="391" spans="1:15" ht="14.4" x14ac:dyDescent="0.3">
      <c r="A391" t="s">
        <v>114</v>
      </c>
      <c r="B391" s="1">
        <v>46174</v>
      </c>
      <c r="C391" t="s">
        <v>16</v>
      </c>
      <c r="D391">
        <v>357</v>
      </c>
      <c r="E391">
        <v>1</v>
      </c>
      <c r="F391">
        <v>1.1000000000000001</v>
      </c>
      <c r="G391" t="s">
        <v>57</v>
      </c>
      <c r="H391" t="s">
        <v>43</v>
      </c>
      <c r="I391" t="str">
        <f t="shared" si="6"/>
        <v>357_1</v>
      </c>
      <c r="J391" t="s">
        <v>18</v>
      </c>
      <c r="K391" t="s">
        <v>115</v>
      </c>
      <c r="L391" t="str">
        <f>_xlfn.XLOOKUP(C391, Table2[Species],Table2[Genus], "Code Not Found")</f>
        <v>Acer</v>
      </c>
      <c r="M391" t="str">
        <f>_xlfn.XLOOKUP(C391, Table2[Species],Table2[Sp. Name], "Code Not Found")</f>
        <v>saccharum</v>
      </c>
      <c r="N391" t="str">
        <f>_xlfn.XLOOKUP(C391,Table2[Species],Table2[Family],"Code Not Found")</f>
        <v>Sapindaceae</v>
      </c>
      <c r="O391" t="str" cm="1">
        <f t="array" ref="O391">_xlfn.IFS(F391="","",F391&lt;=5,"0 to 5",F391&lt;=10,"5.1 to 10",F391&lt;=20,"10 to 20", F391&lt;= 40, "20 to 40", F391 &lt;= 50, "40 to 50", F391 &gt; 50, "&gt;50" )</f>
        <v>0 to 5</v>
      </c>
    </row>
    <row r="392" spans="1:15" ht="14.4" x14ac:dyDescent="0.3">
      <c r="A392" t="s">
        <v>114</v>
      </c>
      <c r="B392" s="1">
        <v>46174</v>
      </c>
      <c r="C392" t="s">
        <v>16</v>
      </c>
      <c r="D392">
        <v>358</v>
      </c>
      <c r="E392">
        <v>1</v>
      </c>
      <c r="F392">
        <v>7.6</v>
      </c>
      <c r="G392" t="s">
        <v>17</v>
      </c>
      <c r="I392" t="str">
        <f t="shared" si="6"/>
        <v>358_1</v>
      </c>
      <c r="J392" t="s">
        <v>18</v>
      </c>
      <c r="K392" t="s">
        <v>115</v>
      </c>
      <c r="L392" t="str">
        <f>_xlfn.XLOOKUP(C392, Table2[Species],Table2[Genus], "Code Not Found")</f>
        <v>Acer</v>
      </c>
      <c r="M392" t="str">
        <f>_xlfn.XLOOKUP(C392, Table2[Species],Table2[Sp. Name], "Code Not Found")</f>
        <v>saccharum</v>
      </c>
      <c r="N392" t="str">
        <f>_xlfn.XLOOKUP(C392,Table2[Species],Table2[Family],"Code Not Found")</f>
        <v>Sapindaceae</v>
      </c>
      <c r="O392" t="str" cm="1">
        <f t="array" ref="O392">_xlfn.IFS(F392="","",F392&lt;=5,"0 to 5",F392&lt;=10,"5.1 to 10",F392&lt;=20,"10 to 20", F392&lt;= 40, "20 to 40", F392 &lt;= 50, "40 to 50", F392 &gt; 50, "&gt;50" )</f>
        <v>5.1 to 10</v>
      </c>
    </row>
    <row r="393" spans="1:15" ht="14.4" x14ac:dyDescent="0.3">
      <c r="A393" t="s">
        <v>114</v>
      </c>
      <c r="B393" s="1">
        <v>46174</v>
      </c>
      <c r="C393" t="s">
        <v>20</v>
      </c>
      <c r="D393">
        <v>359</v>
      </c>
      <c r="E393">
        <v>1</v>
      </c>
      <c r="F393">
        <v>4.9000000000000004</v>
      </c>
      <c r="G393" t="s">
        <v>138</v>
      </c>
      <c r="I393" t="str">
        <f t="shared" si="6"/>
        <v>359_1</v>
      </c>
      <c r="J393" t="s">
        <v>18</v>
      </c>
      <c r="K393" t="s">
        <v>115</v>
      </c>
      <c r="L393" t="str">
        <f>_xlfn.XLOOKUP(C393, Table2[Species],Table2[Genus], "Code Not Found")</f>
        <v>Prunus</v>
      </c>
      <c r="M393" t="str">
        <f>_xlfn.XLOOKUP(C393, Table2[Species],Table2[Sp. Name], "Code Not Found")</f>
        <v>serotina</v>
      </c>
      <c r="N393" t="str">
        <f>_xlfn.XLOOKUP(C393,Table2[Species],Table2[Family],"Code Not Found")</f>
        <v>Rosaceae</v>
      </c>
      <c r="O393" t="str" cm="1">
        <f t="array" ref="O393">_xlfn.IFS(F393="","",F393&lt;=5,"0 to 5",F393&lt;=10,"5.1 to 10",F393&lt;=20,"10 to 20", F393&lt;= 40, "20 to 40", F393 &lt;= 50, "40 to 50", F393 &gt; 50, "&gt;50" )</f>
        <v>0 to 5</v>
      </c>
    </row>
    <row r="394" spans="1:15" ht="14.4" x14ac:dyDescent="0.3">
      <c r="A394" t="s">
        <v>114</v>
      </c>
      <c r="B394" s="1">
        <v>46174</v>
      </c>
      <c r="C394" t="s">
        <v>22</v>
      </c>
      <c r="D394">
        <v>360</v>
      </c>
      <c r="E394">
        <v>1</v>
      </c>
      <c r="F394">
        <v>8.1999999999999993</v>
      </c>
      <c r="G394" t="s">
        <v>21</v>
      </c>
      <c r="I394" t="str">
        <f t="shared" si="6"/>
        <v>360_1</v>
      </c>
      <c r="J394" t="s">
        <v>18</v>
      </c>
      <c r="K394" t="s">
        <v>115</v>
      </c>
      <c r="L394" t="str">
        <f>_xlfn.XLOOKUP(C394, Table2[Species],Table2[Genus], "Code Not Found")</f>
        <v>Acer</v>
      </c>
      <c r="M394" t="str">
        <f>_xlfn.XLOOKUP(C394, Table2[Species],Table2[Sp. Name], "Code Not Found")</f>
        <v>rubrum</v>
      </c>
      <c r="N394" t="str">
        <f>_xlfn.XLOOKUP(C394,Table2[Species],Table2[Family],"Code Not Found")</f>
        <v>Sapindaceae</v>
      </c>
      <c r="O394" t="str" cm="1">
        <f t="array" ref="O394">_xlfn.IFS(F394="","",F394&lt;=5,"0 to 5",F394&lt;=10,"5.1 to 10",F394&lt;=20,"10 to 20", F394&lt;= 40, "20 to 40", F394 &lt;= 50, "40 to 50", F394 &gt; 50, "&gt;50" )</f>
        <v>5.1 to 10</v>
      </c>
    </row>
    <row r="395" spans="1:15" ht="14.4" x14ac:dyDescent="0.3">
      <c r="A395" t="s">
        <v>114</v>
      </c>
      <c r="B395" s="1">
        <v>46175</v>
      </c>
      <c r="C395" t="s">
        <v>22</v>
      </c>
      <c r="D395">
        <v>361</v>
      </c>
      <c r="E395">
        <v>1</v>
      </c>
      <c r="F395">
        <v>3.1</v>
      </c>
      <c r="G395" t="s">
        <v>47</v>
      </c>
      <c r="H395" t="s">
        <v>43</v>
      </c>
      <c r="I395" t="str">
        <f t="shared" si="6"/>
        <v>361_1</v>
      </c>
      <c r="J395" t="s">
        <v>18</v>
      </c>
      <c r="K395" t="s">
        <v>115</v>
      </c>
      <c r="L395" t="str">
        <f>_xlfn.XLOOKUP(C395, Table2[Species],Table2[Genus], "Code Not Found")</f>
        <v>Acer</v>
      </c>
      <c r="M395" t="str">
        <f>_xlfn.XLOOKUP(C395, Table2[Species],Table2[Sp. Name], "Code Not Found")</f>
        <v>rubrum</v>
      </c>
      <c r="N395" t="str">
        <f>_xlfn.XLOOKUP(C395,Table2[Species],Table2[Family],"Code Not Found")</f>
        <v>Sapindaceae</v>
      </c>
      <c r="O395" t="str" cm="1">
        <f t="array" ref="O395">_xlfn.IFS(F395="","",F395&lt;=5,"0 to 5",F395&lt;=10,"5.1 to 10",F395&lt;=20,"10 to 20", F395&lt;= 40, "20 to 40", F395 &lt;= 50, "40 to 50", F395 &gt; 50, "&gt;50" )</f>
        <v>0 to 5</v>
      </c>
    </row>
    <row r="396" spans="1:15" ht="14.4" x14ac:dyDescent="0.3">
      <c r="A396" t="s">
        <v>114</v>
      </c>
      <c r="B396" s="1">
        <v>46175</v>
      </c>
      <c r="C396" t="s">
        <v>16</v>
      </c>
      <c r="D396">
        <v>362</v>
      </c>
      <c r="E396">
        <v>1</v>
      </c>
      <c r="F396">
        <v>3.8</v>
      </c>
      <c r="G396" t="s">
        <v>139</v>
      </c>
      <c r="H396" t="s">
        <v>140</v>
      </c>
      <c r="I396" t="str">
        <f t="shared" si="6"/>
        <v>362_1</v>
      </c>
      <c r="J396" t="s">
        <v>18</v>
      </c>
      <c r="K396" t="s">
        <v>115</v>
      </c>
      <c r="L396" t="str">
        <f>_xlfn.XLOOKUP(C396, Table2[Species],Table2[Genus], "Code Not Found")</f>
        <v>Acer</v>
      </c>
      <c r="M396" t="str">
        <f>_xlfn.XLOOKUP(C396, Table2[Species],Table2[Sp. Name], "Code Not Found")</f>
        <v>saccharum</v>
      </c>
      <c r="N396" t="str">
        <f>_xlfn.XLOOKUP(C396,Table2[Species],Table2[Family],"Code Not Found")</f>
        <v>Sapindaceae</v>
      </c>
      <c r="O396" t="str" cm="1">
        <f t="array" ref="O396">_xlfn.IFS(F396="","",F396&lt;=5,"0 to 5",F396&lt;=10,"5.1 to 10",F396&lt;=20,"10 to 20", F396&lt;= 40, "20 to 40", F396 &lt;= 50, "40 to 50", F396 &gt; 50, "&gt;50" )</f>
        <v>0 to 5</v>
      </c>
    </row>
    <row r="397" spans="1:15" ht="14.4" x14ac:dyDescent="0.3">
      <c r="A397" t="s">
        <v>114</v>
      </c>
      <c r="B397" s="1">
        <v>46175</v>
      </c>
      <c r="C397" t="s">
        <v>16</v>
      </c>
      <c r="D397">
        <v>363</v>
      </c>
      <c r="E397">
        <v>1</v>
      </c>
      <c r="F397">
        <v>3.2</v>
      </c>
      <c r="G397" t="s">
        <v>141</v>
      </c>
      <c r="I397" t="str">
        <f t="shared" si="6"/>
        <v>363_1</v>
      </c>
      <c r="J397" t="s">
        <v>18</v>
      </c>
      <c r="K397" t="s">
        <v>115</v>
      </c>
      <c r="L397" t="str">
        <f>_xlfn.XLOOKUP(C397, Table2[Species],Table2[Genus], "Code Not Found")</f>
        <v>Acer</v>
      </c>
      <c r="M397" t="str">
        <f>_xlfn.XLOOKUP(C397, Table2[Species],Table2[Sp. Name], "Code Not Found")</f>
        <v>saccharum</v>
      </c>
      <c r="N397" t="str">
        <f>_xlfn.XLOOKUP(C397,Table2[Species],Table2[Family],"Code Not Found")</f>
        <v>Sapindaceae</v>
      </c>
      <c r="O397" t="str" cm="1">
        <f t="array" ref="O397">_xlfn.IFS(F397="","",F397&lt;=5,"0 to 5",F397&lt;=10,"5.1 to 10",F397&lt;=20,"10 to 20", F397&lt;= 40, "20 to 40", F397 &lt;= 50, "40 to 50", F397 &gt; 50, "&gt;50" )</f>
        <v>0 to 5</v>
      </c>
    </row>
    <row r="398" spans="1:15" ht="14.4" x14ac:dyDescent="0.3">
      <c r="A398" t="s">
        <v>114</v>
      </c>
      <c r="B398" s="1">
        <v>46175</v>
      </c>
      <c r="C398" t="s">
        <v>16</v>
      </c>
      <c r="D398">
        <v>363</v>
      </c>
      <c r="E398">
        <v>2</v>
      </c>
      <c r="F398">
        <v>1.7</v>
      </c>
      <c r="G398" t="s">
        <v>141</v>
      </c>
      <c r="H398" t="s">
        <v>43</v>
      </c>
      <c r="I398" t="str">
        <f t="shared" si="6"/>
        <v>363_2</v>
      </c>
      <c r="J398" t="s">
        <v>18</v>
      </c>
      <c r="K398" t="s">
        <v>115</v>
      </c>
      <c r="L398" t="str">
        <f>_xlfn.XLOOKUP(C398, Table2[Species],Table2[Genus], "Code Not Found")</f>
        <v>Acer</v>
      </c>
      <c r="M398" t="str">
        <f>_xlfn.XLOOKUP(C398, Table2[Species],Table2[Sp. Name], "Code Not Found")</f>
        <v>saccharum</v>
      </c>
      <c r="N398" t="str">
        <f>_xlfn.XLOOKUP(C398,Table2[Species],Table2[Family],"Code Not Found")</f>
        <v>Sapindaceae</v>
      </c>
      <c r="O398" t="str" cm="1">
        <f t="array" ref="O398">_xlfn.IFS(F398="","",F398&lt;=5,"0 to 5",F398&lt;=10,"5.1 to 10",F398&lt;=20,"10 to 20", F398&lt;= 40, "20 to 40", F398 &lt;= 50, "40 to 50", F398 &gt; 50, "&gt;50" )</f>
        <v>0 to 5</v>
      </c>
    </row>
    <row r="399" spans="1:15" ht="14.4" x14ac:dyDescent="0.3">
      <c r="A399" t="s">
        <v>114</v>
      </c>
      <c r="B399" s="1">
        <v>46175</v>
      </c>
      <c r="C399" t="s">
        <v>16</v>
      </c>
      <c r="D399">
        <v>364</v>
      </c>
      <c r="E399">
        <v>1</v>
      </c>
      <c r="F399">
        <v>2.7</v>
      </c>
      <c r="G399" t="s">
        <v>142</v>
      </c>
      <c r="H399" t="s">
        <v>143</v>
      </c>
      <c r="I399" t="str">
        <f t="shared" si="6"/>
        <v>364_1</v>
      </c>
      <c r="J399" t="s">
        <v>18</v>
      </c>
      <c r="K399" t="s">
        <v>115</v>
      </c>
      <c r="L399" t="str">
        <f>_xlfn.XLOOKUP(C399, Table2[Species],Table2[Genus], "Code Not Found")</f>
        <v>Acer</v>
      </c>
      <c r="M399" t="str">
        <f>_xlfn.XLOOKUP(C399, Table2[Species],Table2[Sp. Name], "Code Not Found")</f>
        <v>saccharum</v>
      </c>
      <c r="N399" t="str">
        <f>_xlfn.XLOOKUP(C399,Table2[Species],Table2[Family],"Code Not Found")</f>
        <v>Sapindaceae</v>
      </c>
      <c r="O399" t="str" cm="1">
        <f t="array" ref="O399">_xlfn.IFS(F399="","",F399&lt;=5,"0 to 5",F399&lt;=10,"5.1 to 10",F399&lt;=20,"10 to 20", F399&lt;= 40, "20 to 40", F399 &lt;= 50, "40 to 50", F399 &gt; 50, "&gt;50" )</f>
        <v>0 to 5</v>
      </c>
    </row>
    <row r="400" spans="1:15" ht="14.4" x14ac:dyDescent="0.3">
      <c r="A400" t="s">
        <v>114</v>
      </c>
      <c r="B400" s="1">
        <v>46175</v>
      </c>
      <c r="C400" t="s">
        <v>20</v>
      </c>
      <c r="D400">
        <v>365</v>
      </c>
      <c r="E400">
        <v>1</v>
      </c>
      <c r="F400">
        <v>7.6</v>
      </c>
      <c r="G400" t="s">
        <v>21</v>
      </c>
      <c r="I400" t="str">
        <f t="shared" si="6"/>
        <v>365_1</v>
      </c>
      <c r="J400" t="s">
        <v>18</v>
      </c>
      <c r="K400" t="s">
        <v>115</v>
      </c>
      <c r="L400" t="str">
        <f>_xlfn.XLOOKUP(C400, Table2[Species],Table2[Genus], "Code Not Found")</f>
        <v>Prunus</v>
      </c>
      <c r="M400" t="str">
        <f>_xlfn.XLOOKUP(C400, Table2[Species],Table2[Sp. Name], "Code Not Found")</f>
        <v>serotina</v>
      </c>
      <c r="N400" t="str">
        <f>_xlfn.XLOOKUP(C400,Table2[Species],Table2[Family],"Code Not Found")</f>
        <v>Rosaceae</v>
      </c>
      <c r="O400" t="str" cm="1">
        <f t="array" ref="O400">_xlfn.IFS(F400="","",F400&lt;=5,"0 to 5",F400&lt;=10,"5.1 to 10",F400&lt;=20,"10 to 20", F400&lt;= 40, "20 to 40", F400 &lt;= 50, "40 to 50", F400 &gt; 50, "&gt;50" )</f>
        <v>5.1 to 10</v>
      </c>
    </row>
    <row r="401" spans="1:15" ht="14.4" x14ac:dyDescent="0.3">
      <c r="A401" t="s">
        <v>114</v>
      </c>
      <c r="B401" s="1">
        <v>46175</v>
      </c>
      <c r="C401" t="s">
        <v>16</v>
      </c>
      <c r="D401">
        <v>366</v>
      </c>
      <c r="E401">
        <v>1</v>
      </c>
      <c r="F401">
        <v>4.3</v>
      </c>
      <c r="G401" t="s">
        <v>17</v>
      </c>
      <c r="I401" t="str">
        <f t="shared" si="6"/>
        <v>366_1</v>
      </c>
      <c r="J401" t="s">
        <v>18</v>
      </c>
      <c r="K401" t="s">
        <v>115</v>
      </c>
      <c r="L401" t="str">
        <f>_xlfn.XLOOKUP(C401, Table2[Species],Table2[Genus], "Code Not Found")</f>
        <v>Acer</v>
      </c>
      <c r="M401" t="str">
        <f>_xlfn.XLOOKUP(C401, Table2[Species],Table2[Sp. Name], "Code Not Found")</f>
        <v>saccharum</v>
      </c>
      <c r="N401" t="str">
        <f>_xlfn.XLOOKUP(C401,Table2[Species],Table2[Family],"Code Not Found")</f>
        <v>Sapindaceae</v>
      </c>
      <c r="O401" t="str" cm="1">
        <f t="array" ref="O401">_xlfn.IFS(F401="","",F401&lt;=5,"0 to 5",F401&lt;=10,"5.1 to 10",F401&lt;=20,"10 to 20", F401&lt;= 40, "20 to 40", F401 &lt;= 50, "40 to 50", F401 &gt; 50, "&gt;50" )</f>
        <v>0 to 5</v>
      </c>
    </row>
    <row r="402" spans="1:15" ht="14.4" x14ac:dyDescent="0.3">
      <c r="A402" t="s">
        <v>114</v>
      </c>
      <c r="B402" s="1">
        <v>46175</v>
      </c>
      <c r="C402" t="s">
        <v>16</v>
      </c>
      <c r="D402">
        <v>367</v>
      </c>
      <c r="E402">
        <v>1</v>
      </c>
      <c r="F402">
        <v>3.1</v>
      </c>
      <c r="G402" t="s">
        <v>138</v>
      </c>
      <c r="H402" t="s">
        <v>43</v>
      </c>
      <c r="I402" t="str">
        <f t="shared" si="6"/>
        <v>367_1</v>
      </c>
      <c r="J402" t="s">
        <v>18</v>
      </c>
      <c r="K402" t="s">
        <v>115</v>
      </c>
      <c r="L402" t="str">
        <f>_xlfn.XLOOKUP(C402, Table2[Species],Table2[Genus], "Code Not Found")</f>
        <v>Acer</v>
      </c>
      <c r="M402" t="str">
        <f>_xlfn.XLOOKUP(C402, Table2[Species],Table2[Sp. Name], "Code Not Found")</f>
        <v>saccharum</v>
      </c>
      <c r="N402" t="str">
        <f>_xlfn.XLOOKUP(C402,Table2[Species],Table2[Family],"Code Not Found")</f>
        <v>Sapindaceae</v>
      </c>
      <c r="O402" t="str" cm="1">
        <f t="array" ref="O402">_xlfn.IFS(F402="","",F402&lt;=5,"0 to 5",F402&lt;=10,"5.1 to 10",F402&lt;=20,"10 to 20", F402&lt;= 40, "20 to 40", F402 &lt;= 50, "40 to 50", F402 &gt; 50, "&gt;50" )</f>
        <v>0 to 5</v>
      </c>
    </row>
    <row r="403" spans="1:15" ht="14.4" x14ac:dyDescent="0.3">
      <c r="A403" t="s">
        <v>114</v>
      </c>
      <c r="B403" s="1">
        <v>46175</v>
      </c>
      <c r="C403" t="s">
        <v>16</v>
      </c>
      <c r="D403">
        <v>368</v>
      </c>
      <c r="E403">
        <v>1</v>
      </c>
      <c r="F403">
        <v>2.6</v>
      </c>
      <c r="G403" t="s">
        <v>139</v>
      </c>
      <c r="H403" t="s">
        <v>140</v>
      </c>
      <c r="I403" t="str">
        <f t="shared" si="6"/>
        <v>368_1</v>
      </c>
      <c r="J403" t="s">
        <v>18</v>
      </c>
      <c r="K403" t="s">
        <v>115</v>
      </c>
      <c r="L403" t="str">
        <f>_xlfn.XLOOKUP(C403, Table2[Species],Table2[Genus], "Code Not Found")</f>
        <v>Acer</v>
      </c>
      <c r="M403" t="str">
        <f>_xlfn.XLOOKUP(C403, Table2[Species],Table2[Sp. Name], "Code Not Found")</f>
        <v>saccharum</v>
      </c>
      <c r="N403" t="str">
        <f>_xlfn.XLOOKUP(C403,Table2[Species],Table2[Family],"Code Not Found")</f>
        <v>Sapindaceae</v>
      </c>
      <c r="O403" t="str" cm="1">
        <f t="array" ref="O403">_xlfn.IFS(F403="","",F403&lt;=5,"0 to 5",F403&lt;=10,"5.1 to 10",F403&lt;=20,"10 to 20", F403&lt;= 40, "20 to 40", F403 &lt;= 50, "40 to 50", F403 &gt; 50, "&gt;50" )</f>
        <v>0 to 5</v>
      </c>
    </row>
    <row r="404" spans="1:15" ht="14.4" x14ac:dyDescent="0.3">
      <c r="A404" t="s">
        <v>114</v>
      </c>
      <c r="B404" s="1">
        <v>46175</v>
      </c>
      <c r="C404" t="s">
        <v>64</v>
      </c>
      <c r="D404">
        <v>369</v>
      </c>
      <c r="E404">
        <v>1</v>
      </c>
      <c r="F404">
        <v>54.4</v>
      </c>
      <c r="G404" t="s">
        <v>21</v>
      </c>
      <c r="I404" t="str">
        <f t="shared" si="6"/>
        <v>369_1</v>
      </c>
      <c r="J404" t="s">
        <v>18</v>
      </c>
      <c r="K404" t="s">
        <v>115</v>
      </c>
      <c r="L404" t="str">
        <f>_xlfn.XLOOKUP(C404, Table2[Species],Table2[Genus], "Code Not Found")</f>
        <v>Fagus</v>
      </c>
      <c r="M404" t="str">
        <f>_xlfn.XLOOKUP(C404, Table2[Species],Table2[Sp. Name], "Code Not Found")</f>
        <v>grandifolia</v>
      </c>
      <c r="N404" t="str">
        <f>_xlfn.XLOOKUP(C404,Table2[Species],Table2[Family],"Code Not Found")</f>
        <v>Fagaceae</v>
      </c>
      <c r="O404" t="str" cm="1">
        <f t="array" ref="O404">_xlfn.IFS(F404="","",F404&lt;=5,"0 to 5",F404&lt;=10,"5.1 to 10",F404&lt;=20,"10 to 20", F404&lt;= 40, "20 to 40", F404 &lt;= 50, "40 to 50", F404 &gt; 50, "&gt;50" )</f>
        <v>&gt;50</v>
      </c>
    </row>
    <row r="405" spans="1:15" ht="14.4" x14ac:dyDescent="0.3">
      <c r="A405" t="s">
        <v>114</v>
      </c>
      <c r="B405" s="1">
        <v>46175</v>
      </c>
      <c r="C405" t="s">
        <v>64</v>
      </c>
      <c r="D405">
        <v>370</v>
      </c>
      <c r="E405">
        <v>1</v>
      </c>
      <c r="F405">
        <v>3</v>
      </c>
      <c r="G405" t="s">
        <v>32</v>
      </c>
      <c r="I405" t="str">
        <f t="shared" si="6"/>
        <v>370_1</v>
      </c>
      <c r="J405" t="s">
        <v>18</v>
      </c>
      <c r="K405" t="s">
        <v>115</v>
      </c>
      <c r="L405" t="str">
        <f>_xlfn.XLOOKUP(C405, Table2[Species],Table2[Genus], "Code Not Found")</f>
        <v>Fagus</v>
      </c>
      <c r="M405" t="str">
        <f>_xlfn.XLOOKUP(C405, Table2[Species],Table2[Sp. Name], "Code Not Found")</f>
        <v>grandifolia</v>
      </c>
      <c r="N405" t="str">
        <f>_xlfn.XLOOKUP(C405,Table2[Species],Table2[Family],"Code Not Found")</f>
        <v>Fagaceae</v>
      </c>
      <c r="O405" t="str" cm="1">
        <f t="array" ref="O405">_xlfn.IFS(F405="","",F405&lt;=5,"0 to 5",F405&lt;=10,"5.1 to 10",F405&lt;=20,"10 to 20", F405&lt;= 40, "20 to 40", F405 &lt;= 50, "40 to 50", F405 &gt; 50, "&gt;50" )</f>
        <v>0 to 5</v>
      </c>
    </row>
    <row r="406" spans="1:15" ht="14.4" x14ac:dyDescent="0.3">
      <c r="A406" t="s">
        <v>114</v>
      </c>
      <c r="B406" s="1">
        <v>46175</v>
      </c>
      <c r="C406" t="s">
        <v>64</v>
      </c>
      <c r="D406">
        <v>370</v>
      </c>
      <c r="E406">
        <v>2</v>
      </c>
      <c r="F406">
        <v>2.6</v>
      </c>
      <c r="G406" t="s">
        <v>61</v>
      </c>
      <c r="H406" t="s">
        <v>143</v>
      </c>
      <c r="I406" t="str">
        <f t="shared" si="6"/>
        <v>370_2</v>
      </c>
      <c r="J406" t="s">
        <v>18</v>
      </c>
      <c r="K406" t="s">
        <v>115</v>
      </c>
      <c r="L406" t="str">
        <f>_xlfn.XLOOKUP(C406, Table2[Species],Table2[Genus], "Code Not Found")</f>
        <v>Fagus</v>
      </c>
      <c r="M406" t="str">
        <f>_xlfn.XLOOKUP(C406, Table2[Species],Table2[Sp. Name], "Code Not Found")</f>
        <v>grandifolia</v>
      </c>
      <c r="N406" t="str">
        <f>_xlfn.XLOOKUP(C406,Table2[Species],Table2[Family],"Code Not Found")</f>
        <v>Fagaceae</v>
      </c>
      <c r="O406" t="str" cm="1">
        <f t="array" ref="O406">_xlfn.IFS(F406="","",F406&lt;=5,"0 to 5",F406&lt;=10,"5.1 to 10",F406&lt;=20,"10 to 20", F406&lt;= 40, "20 to 40", F406 &lt;= 50, "40 to 50", F406 &gt; 50, "&gt;50" )</f>
        <v>0 to 5</v>
      </c>
    </row>
    <row r="407" spans="1:15" ht="14.4" x14ac:dyDescent="0.3">
      <c r="A407" t="s">
        <v>114</v>
      </c>
      <c r="B407" s="1">
        <v>46175</v>
      </c>
      <c r="C407" t="s">
        <v>64</v>
      </c>
      <c r="D407">
        <v>371</v>
      </c>
      <c r="E407">
        <v>1</v>
      </c>
      <c r="F407">
        <v>1.5</v>
      </c>
      <c r="G407" t="s">
        <v>144</v>
      </c>
      <c r="I407" t="str">
        <f t="shared" si="6"/>
        <v>371_1</v>
      </c>
      <c r="J407" t="s">
        <v>18</v>
      </c>
      <c r="K407" t="s">
        <v>115</v>
      </c>
      <c r="L407" t="str">
        <f>_xlfn.XLOOKUP(C407, Table2[Species],Table2[Genus], "Code Not Found")</f>
        <v>Fagus</v>
      </c>
      <c r="M407" t="str">
        <f>_xlfn.XLOOKUP(C407, Table2[Species],Table2[Sp. Name], "Code Not Found")</f>
        <v>grandifolia</v>
      </c>
      <c r="N407" t="str">
        <f>_xlfn.XLOOKUP(C407,Table2[Species],Table2[Family],"Code Not Found")</f>
        <v>Fagaceae</v>
      </c>
      <c r="O407" t="str" cm="1">
        <f t="array" ref="O407">_xlfn.IFS(F407="","",F407&lt;=5,"0 to 5",F407&lt;=10,"5.1 to 10",F407&lt;=20,"10 to 20", F407&lt;= 40, "20 to 40", F407 &lt;= 50, "40 to 50", F407 &gt; 50, "&gt;50" )</f>
        <v>0 to 5</v>
      </c>
    </row>
    <row r="408" spans="1:15" ht="14.4" x14ac:dyDescent="0.3">
      <c r="A408" t="s">
        <v>114</v>
      </c>
      <c r="B408" s="1">
        <v>46175</v>
      </c>
      <c r="C408" t="s">
        <v>16</v>
      </c>
      <c r="D408">
        <v>372</v>
      </c>
      <c r="E408">
        <v>1</v>
      </c>
      <c r="F408">
        <v>1</v>
      </c>
      <c r="G408" t="s">
        <v>32</v>
      </c>
      <c r="H408" t="s">
        <v>145</v>
      </c>
      <c r="I408" t="str">
        <f t="shared" si="6"/>
        <v>372_1</v>
      </c>
      <c r="J408" t="s">
        <v>18</v>
      </c>
      <c r="K408" t="s">
        <v>115</v>
      </c>
      <c r="L408" t="str">
        <f>_xlfn.XLOOKUP(C408, Table2[Species],Table2[Genus], "Code Not Found")</f>
        <v>Acer</v>
      </c>
      <c r="M408" t="str">
        <f>_xlfn.XLOOKUP(C408, Table2[Species],Table2[Sp. Name], "Code Not Found")</f>
        <v>saccharum</v>
      </c>
      <c r="N408" t="str">
        <f>_xlfn.XLOOKUP(C408,Table2[Species],Table2[Family],"Code Not Found")</f>
        <v>Sapindaceae</v>
      </c>
      <c r="O408" t="str" cm="1">
        <f t="array" ref="O408">_xlfn.IFS(F408="","",F408&lt;=5,"0 to 5",F408&lt;=10,"5.1 to 10",F408&lt;=20,"10 to 20", F408&lt;= 40, "20 to 40", F408 &lt;= 50, "40 to 50", F408 &gt; 50, "&gt;50" )</f>
        <v>0 to 5</v>
      </c>
    </row>
    <row r="409" spans="1:15" ht="14.4" x14ac:dyDescent="0.3">
      <c r="A409" t="s">
        <v>114</v>
      </c>
      <c r="B409" s="1">
        <v>46175</v>
      </c>
      <c r="C409" t="s">
        <v>16</v>
      </c>
      <c r="D409">
        <v>372</v>
      </c>
      <c r="E409">
        <v>2</v>
      </c>
      <c r="F409">
        <v>1</v>
      </c>
      <c r="G409" t="s">
        <v>32</v>
      </c>
      <c r="H409" t="s">
        <v>145</v>
      </c>
      <c r="I409" t="str">
        <f t="shared" si="6"/>
        <v>372_2</v>
      </c>
      <c r="J409" t="s">
        <v>18</v>
      </c>
      <c r="K409" t="s">
        <v>115</v>
      </c>
      <c r="L409" t="str">
        <f>_xlfn.XLOOKUP(C409, Table2[Species],Table2[Genus], "Code Not Found")</f>
        <v>Acer</v>
      </c>
      <c r="M409" t="str">
        <f>_xlfn.XLOOKUP(C409, Table2[Species],Table2[Sp. Name], "Code Not Found")</f>
        <v>saccharum</v>
      </c>
      <c r="N409" t="str">
        <f>_xlfn.XLOOKUP(C409,Table2[Species],Table2[Family],"Code Not Found")</f>
        <v>Sapindaceae</v>
      </c>
      <c r="O409" t="str" cm="1">
        <f t="array" ref="O409">_xlfn.IFS(F409="","",F409&lt;=5,"0 to 5",F409&lt;=10,"5.1 to 10",F409&lt;=20,"10 to 20", F409&lt;= 40, "20 to 40", F409 &lt;= 50, "40 to 50", F409 &gt; 50, "&gt;50" )</f>
        <v>0 to 5</v>
      </c>
    </row>
    <row r="410" spans="1:15" ht="14.4" x14ac:dyDescent="0.3">
      <c r="A410" t="s">
        <v>114</v>
      </c>
      <c r="B410" s="1">
        <v>46175</v>
      </c>
      <c r="C410" t="s">
        <v>64</v>
      </c>
      <c r="D410">
        <v>373</v>
      </c>
      <c r="E410">
        <v>1</v>
      </c>
      <c r="F410">
        <v>18.3</v>
      </c>
      <c r="G410" t="s">
        <v>21</v>
      </c>
      <c r="I410" t="str">
        <f t="shared" si="6"/>
        <v>373_1</v>
      </c>
      <c r="J410" t="s">
        <v>18</v>
      </c>
      <c r="K410" t="s">
        <v>115</v>
      </c>
      <c r="L410" t="str">
        <f>_xlfn.XLOOKUP(C410, Table2[Species],Table2[Genus], "Code Not Found")</f>
        <v>Fagus</v>
      </c>
      <c r="M410" t="str">
        <f>_xlfn.XLOOKUP(C410, Table2[Species],Table2[Sp. Name], "Code Not Found")</f>
        <v>grandifolia</v>
      </c>
      <c r="N410" t="str">
        <f>_xlfn.XLOOKUP(C410,Table2[Species],Table2[Family],"Code Not Found")</f>
        <v>Fagaceae</v>
      </c>
      <c r="O410" t="str" cm="1">
        <f t="array" ref="O410">_xlfn.IFS(F410="","",F410&lt;=5,"0 to 5",F410&lt;=10,"5.1 to 10",F410&lt;=20,"10 to 20", F410&lt;= 40, "20 to 40", F410 &lt;= 50, "40 to 50", F410 &gt; 50, "&gt;50" )</f>
        <v>10 to 20</v>
      </c>
    </row>
    <row r="411" spans="1:15" ht="14.4" x14ac:dyDescent="0.3">
      <c r="A411" t="s">
        <v>114</v>
      </c>
      <c r="B411" s="1">
        <v>46175</v>
      </c>
      <c r="C411" t="s">
        <v>64</v>
      </c>
      <c r="D411">
        <v>374</v>
      </c>
      <c r="E411">
        <v>1</v>
      </c>
      <c r="F411">
        <v>2.7</v>
      </c>
      <c r="G411" t="s">
        <v>146</v>
      </c>
      <c r="H411" t="s">
        <v>43</v>
      </c>
      <c r="I411" t="str">
        <f t="shared" si="6"/>
        <v>374_1</v>
      </c>
      <c r="J411" t="s">
        <v>18</v>
      </c>
      <c r="K411" t="s">
        <v>115</v>
      </c>
      <c r="L411" t="str">
        <f>_xlfn.XLOOKUP(C411, Table2[Species],Table2[Genus], "Code Not Found")</f>
        <v>Fagus</v>
      </c>
      <c r="M411" t="str">
        <f>_xlfn.XLOOKUP(C411, Table2[Species],Table2[Sp. Name], "Code Not Found")</f>
        <v>grandifolia</v>
      </c>
      <c r="N411" t="str">
        <f>_xlfn.XLOOKUP(C411,Table2[Species],Table2[Family],"Code Not Found")</f>
        <v>Fagaceae</v>
      </c>
      <c r="O411" t="str" cm="1">
        <f t="array" ref="O411">_xlfn.IFS(F411="","",F411&lt;=5,"0 to 5",F411&lt;=10,"5.1 to 10",F411&lt;=20,"10 to 20", F411&lt;= 40, "20 to 40", F411 &lt;= 50, "40 to 50", F411 &gt; 50, "&gt;50" )</f>
        <v>0 to 5</v>
      </c>
    </row>
    <row r="412" spans="1:15" ht="14.4" x14ac:dyDescent="0.3">
      <c r="A412" t="s">
        <v>114</v>
      </c>
      <c r="B412" s="1">
        <v>46175</v>
      </c>
      <c r="C412" t="s">
        <v>64</v>
      </c>
      <c r="D412">
        <v>374</v>
      </c>
      <c r="E412">
        <v>2</v>
      </c>
      <c r="F412">
        <v>1</v>
      </c>
      <c r="G412" t="s">
        <v>146</v>
      </c>
      <c r="H412" t="s">
        <v>43</v>
      </c>
      <c r="I412" t="str">
        <f t="shared" si="6"/>
        <v>374_2</v>
      </c>
      <c r="J412" t="s">
        <v>18</v>
      </c>
      <c r="K412" t="s">
        <v>115</v>
      </c>
      <c r="L412" t="str">
        <f>_xlfn.XLOOKUP(C412, Table2[Species],Table2[Genus], "Code Not Found")</f>
        <v>Fagus</v>
      </c>
      <c r="M412" t="str">
        <f>_xlfn.XLOOKUP(C412, Table2[Species],Table2[Sp. Name], "Code Not Found")</f>
        <v>grandifolia</v>
      </c>
      <c r="N412" t="str">
        <f>_xlfn.XLOOKUP(C412,Table2[Species],Table2[Family],"Code Not Found")</f>
        <v>Fagaceae</v>
      </c>
      <c r="O412" t="str" cm="1">
        <f t="array" ref="O412">_xlfn.IFS(F412="","",F412&lt;=5,"0 to 5",F412&lt;=10,"5.1 to 10",F412&lt;=20,"10 to 20", F412&lt;= 40, "20 to 40", F412 &lt;= 50, "40 to 50", F412 &gt; 50, "&gt;50" )</f>
        <v>0 to 5</v>
      </c>
    </row>
    <row r="413" spans="1:15" ht="14.4" x14ac:dyDescent="0.3">
      <c r="A413" t="s">
        <v>114</v>
      </c>
      <c r="B413" s="1">
        <v>46175</v>
      </c>
      <c r="C413" t="s">
        <v>64</v>
      </c>
      <c r="D413">
        <v>375</v>
      </c>
      <c r="E413">
        <v>1</v>
      </c>
      <c r="F413">
        <v>26.9</v>
      </c>
      <c r="G413" t="s">
        <v>17</v>
      </c>
      <c r="H413" t="s">
        <v>36</v>
      </c>
      <c r="I413" t="str">
        <f t="shared" si="6"/>
        <v>375_1</v>
      </c>
      <c r="J413" t="s">
        <v>18</v>
      </c>
      <c r="K413" t="s">
        <v>115</v>
      </c>
      <c r="L413" t="str">
        <f>_xlfn.XLOOKUP(C413, Table2[Species],Table2[Genus], "Code Not Found")</f>
        <v>Fagus</v>
      </c>
      <c r="M413" t="str">
        <f>_xlfn.XLOOKUP(C413, Table2[Species],Table2[Sp. Name], "Code Not Found")</f>
        <v>grandifolia</v>
      </c>
      <c r="N413" t="str">
        <f>_xlfn.XLOOKUP(C413,Table2[Species],Table2[Family],"Code Not Found")</f>
        <v>Fagaceae</v>
      </c>
      <c r="O413" t="str" cm="1">
        <f t="array" ref="O413">_xlfn.IFS(F413="","",F413&lt;=5,"0 to 5",F413&lt;=10,"5.1 to 10",F413&lt;=20,"10 to 20", F413&lt;= 40, "20 to 40", F413 &lt;= 50, "40 to 50", F413 &gt; 50, "&gt;50" )</f>
        <v>20 to 40</v>
      </c>
    </row>
    <row r="414" spans="1:15" ht="14.4" x14ac:dyDescent="0.3">
      <c r="A414" t="s">
        <v>114</v>
      </c>
      <c r="B414" s="1">
        <v>46175</v>
      </c>
      <c r="C414" t="s">
        <v>64</v>
      </c>
      <c r="D414">
        <v>376</v>
      </c>
      <c r="E414">
        <v>1</v>
      </c>
      <c r="F414">
        <v>3.7</v>
      </c>
      <c r="G414" t="s">
        <v>30</v>
      </c>
      <c r="H414" t="s">
        <v>99</v>
      </c>
      <c r="I414" t="str">
        <f t="shared" si="6"/>
        <v>376_1</v>
      </c>
      <c r="J414" t="s">
        <v>18</v>
      </c>
      <c r="K414" t="s">
        <v>115</v>
      </c>
      <c r="L414" t="str">
        <f>_xlfn.XLOOKUP(C414, Table2[Species],Table2[Genus], "Code Not Found")</f>
        <v>Fagus</v>
      </c>
      <c r="M414" t="str">
        <f>_xlfn.XLOOKUP(C414, Table2[Species],Table2[Sp. Name], "Code Not Found")</f>
        <v>grandifolia</v>
      </c>
      <c r="N414" t="str">
        <f>_xlfn.XLOOKUP(C414,Table2[Species],Table2[Family],"Code Not Found")</f>
        <v>Fagaceae</v>
      </c>
      <c r="O414" t="str" cm="1">
        <f t="array" ref="O414">_xlfn.IFS(F414="","",F414&lt;=5,"0 to 5",F414&lt;=10,"5.1 to 10",F414&lt;=20,"10 to 20", F414&lt;= 40, "20 to 40", F414 &lt;= 50, "40 to 50", F414 &gt; 50, "&gt;50" )</f>
        <v>0 to 5</v>
      </c>
    </row>
    <row r="415" spans="1:15" ht="14.4" x14ac:dyDescent="0.3">
      <c r="A415" t="s">
        <v>114</v>
      </c>
      <c r="B415" s="1">
        <v>46175</v>
      </c>
      <c r="C415" t="s">
        <v>64</v>
      </c>
      <c r="D415">
        <v>377</v>
      </c>
      <c r="E415">
        <v>1</v>
      </c>
      <c r="F415">
        <v>1.3</v>
      </c>
      <c r="G415" t="s">
        <v>17</v>
      </c>
      <c r="I415" t="str">
        <f t="shared" si="6"/>
        <v>377_1</v>
      </c>
      <c r="J415" t="s">
        <v>18</v>
      </c>
      <c r="K415" t="s">
        <v>115</v>
      </c>
      <c r="L415" t="str">
        <f>_xlfn.XLOOKUP(C415, Table2[Species],Table2[Genus], "Code Not Found")</f>
        <v>Fagus</v>
      </c>
      <c r="M415" t="str">
        <f>_xlfn.XLOOKUP(C415, Table2[Species],Table2[Sp. Name], "Code Not Found")</f>
        <v>grandifolia</v>
      </c>
      <c r="N415" t="str">
        <f>_xlfn.XLOOKUP(C415,Table2[Species],Table2[Family],"Code Not Found")</f>
        <v>Fagaceae</v>
      </c>
      <c r="O415" t="str" cm="1">
        <f t="array" ref="O415">_xlfn.IFS(F415="","",F415&lt;=5,"0 to 5",F415&lt;=10,"5.1 to 10",F415&lt;=20,"10 to 20", F415&lt;= 40, "20 to 40", F415 &lt;= 50, "40 to 50", F415 &gt; 50, "&gt;50" )</f>
        <v>0 to 5</v>
      </c>
    </row>
    <row r="416" spans="1:15" ht="14.4" x14ac:dyDescent="0.3">
      <c r="A416" t="s">
        <v>114</v>
      </c>
      <c r="B416" s="1">
        <v>46175</v>
      </c>
      <c r="C416" t="s">
        <v>64</v>
      </c>
      <c r="D416">
        <v>378</v>
      </c>
      <c r="E416">
        <v>1</v>
      </c>
      <c r="F416">
        <v>9.6</v>
      </c>
      <c r="G416" t="s">
        <v>103</v>
      </c>
      <c r="I416" t="str">
        <f t="shared" si="6"/>
        <v>378_1</v>
      </c>
      <c r="J416" t="s">
        <v>18</v>
      </c>
      <c r="K416" t="s">
        <v>115</v>
      </c>
      <c r="L416" t="str">
        <f>_xlfn.XLOOKUP(C416, Table2[Species],Table2[Genus], "Code Not Found")</f>
        <v>Fagus</v>
      </c>
      <c r="M416" t="str">
        <f>_xlfn.XLOOKUP(C416, Table2[Species],Table2[Sp. Name], "Code Not Found")</f>
        <v>grandifolia</v>
      </c>
      <c r="N416" t="str">
        <f>_xlfn.XLOOKUP(C416,Table2[Species],Table2[Family],"Code Not Found")</f>
        <v>Fagaceae</v>
      </c>
      <c r="O416" t="str" cm="1">
        <f t="array" ref="O416">_xlfn.IFS(F416="","",F416&lt;=5,"0 to 5",F416&lt;=10,"5.1 to 10",F416&lt;=20,"10 to 20", F416&lt;= 40, "20 to 40", F416 &lt;= 50, "40 to 50", F416 &gt; 50, "&gt;50" )</f>
        <v>5.1 to 10</v>
      </c>
    </row>
    <row r="417" spans="1:15" ht="14.4" x14ac:dyDescent="0.3">
      <c r="A417" t="s">
        <v>114</v>
      </c>
      <c r="B417" s="1">
        <v>46175</v>
      </c>
      <c r="C417" t="s">
        <v>64</v>
      </c>
      <c r="D417">
        <v>379</v>
      </c>
      <c r="E417">
        <v>1</v>
      </c>
      <c r="F417">
        <v>2</v>
      </c>
      <c r="G417" t="s">
        <v>47</v>
      </c>
      <c r="H417" t="s">
        <v>43</v>
      </c>
      <c r="I417" t="str">
        <f t="shared" si="6"/>
        <v>379_1</v>
      </c>
      <c r="J417" t="s">
        <v>18</v>
      </c>
      <c r="K417" t="s">
        <v>115</v>
      </c>
      <c r="L417" t="str">
        <f>_xlfn.XLOOKUP(C417, Table2[Species],Table2[Genus], "Code Not Found")</f>
        <v>Fagus</v>
      </c>
      <c r="M417" t="str">
        <f>_xlfn.XLOOKUP(C417, Table2[Species],Table2[Sp. Name], "Code Not Found")</f>
        <v>grandifolia</v>
      </c>
      <c r="N417" t="str">
        <f>_xlfn.XLOOKUP(C417,Table2[Species],Table2[Family],"Code Not Found")</f>
        <v>Fagaceae</v>
      </c>
      <c r="O417" t="str" cm="1">
        <f t="array" ref="O417">_xlfn.IFS(F417="","",F417&lt;=5,"0 to 5",F417&lt;=10,"5.1 to 10",F417&lt;=20,"10 to 20", F417&lt;= 40, "20 to 40", F417 &lt;= 50, "40 to 50", F417 &gt; 50, "&gt;50" )</f>
        <v>0 to 5</v>
      </c>
    </row>
    <row r="418" spans="1:15" ht="14.4" x14ac:dyDescent="0.3">
      <c r="A418" t="s">
        <v>114</v>
      </c>
      <c r="B418" s="1">
        <v>46175</v>
      </c>
      <c r="C418" t="s">
        <v>64</v>
      </c>
      <c r="D418">
        <v>380</v>
      </c>
      <c r="E418">
        <v>1</v>
      </c>
      <c r="F418">
        <v>2.9</v>
      </c>
      <c r="G418" t="s">
        <v>32</v>
      </c>
      <c r="I418" t="str">
        <f t="shared" si="6"/>
        <v>380_1</v>
      </c>
      <c r="J418" t="s">
        <v>18</v>
      </c>
      <c r="K418" t="s">
        <v>115</v>
      </c>
      <c r="L418" t="str">
        <f>_xlfn.XLOOKUP(C418, Table2[Species],Table2[Genus], "Code Not Found")</f>
        <v>Fagus</v>
      </c>
      <c r="M418" t="str">
        <f>_xlfn.XLOOKUP(C418, Table2[Species],Table2[Sp. Name], "Code Not Found")</f>
        <v>grandifolia</v>
      </c>
      <c r="N418" t="str">
        <f>_xlfn.XLOOKUP(C418,Table2[Species],Table2[Family],"Code Not Found")</f>
        <v>Fagaceae</v>
      </c>
      <c r="O418" t="str" cm="1">
        <f t="array" ref="O418">_xlfn.IFS(F418="","",F418&lt;=5,"0 to 5",F418&lt;=10,"5.1 to 10",F418&lt;=20,"10 to 20", F418&lt;= 40, "20 to 40", F418 &lt;= 50, "40 to 50", F418 &gt; 50, "&gt;50" )</f>
        <v>0 to 5</v>
      </c>
    </row>
    <row r="419" spans="1:15" ht="14.4" x14ac:dyDescent="0.3">
      <c r="A419" t="s">
        <v>114</v>
      </c>
      <c r="B419" s="1">
        <v>46175</v>
      </c>
      <c r="C419" t="s">
        <v>64</v>
      </c>
      <c r="D419">
        <v>380</v>
      </c>
      <c r="E419">
        <v>2</v>
      </c>
      <c r="F419">
        <v>2.4</v>
      </c>
      <c r="G419" t="s">
        <v>32</v>
      </c>
      <c r="I419" t="str">
        <f t="shared" si="6"/>
        <v>380_2</v>
      </c>
      <c r="J419" t="s">
        <v>18</v>
      </c>
      <c r="K419" t="s">
        <v>115</v>
      </c>
      <c r="L419" t="str">
        <f>_xlfn.XLOOKUP(C419, Table2[Species],Table2[Genus], "Code Not Found")</f>
        <v>Fagus</v>
      </c>
      <c r="M419" t="str">
        <f>_xlfn.XLOOKUP(C419, Table2[Species],Table2[Sp. Name], "Code Not Found")</f>
        <v>grandifolia</v>
      </c>
      <c r="N419" t="str">
        <f>_xlfn.XLOOKUP(C419,Table2[Species],Table2[Family],"Code Not Found")</f>
        <v>Fagaceae</v>
      </c>
      <c r="O419" t="str" cm="1">
        <f t="array" ref="O419">_xlfn.IFS(F419="","",F419&lt;=5,"0 to 5",F419&lt;=10,"5.1 to 10",F419&lt;=20,"10 to 20", F419&lt;= 40, "20 to 40", F419 &lt;= 50, "40 to 50", F419 &gt; 50, "&gt;50" )</f>
        <v>0 to 5</v>
      </c>
    </row>
    <row r="420" spans="1:15" ht="14.4" x14ac:dyDescent="0.3">
      <c r="A420" t="s">
        <v>114</v>
      </c>
      <c r="B420" s="1">
        <v>46175</v>
      </c>
      <c r="C420" t="s">
        <v>64</v>
      </c>
      <c r="D420">
        <v>381</v>
      </c>
      <c r="E420">
        <v>1</v>
      </c>
      <c r="F420">
        <v>17.8</v>
      </c>
      <c r="G420" t="s">
        <v>17</v>
      </c>
      <c r="I420" t="str">
        <f t="shared" si="6"/>
        <v>381_1</v>
      </c>
      <c r="J420" t="s">
        <v>18</v>
      </c>
      <c r="K420" t="s">
        <v>115</v>
      </c>
      <c r="L420" t="str">
        <f>_xlfn.XLOOKUP(C420, Table2[Species],Table2[Genus], "Code Not Found")</f>
        <v>Fagus</v>
      </c>
      <c r="M420" t="str">
        <f>_xlfn.XLOOKUP(C420, Table2[Species],Table2[Sp. Name], "Code Not Found")</f>
        <v>grandifolia</v>
      </c>
      <c r="N420" t="str">
        <f>_xlfn.XLOOKUP(C420,Table2[Species],Table2[Family],"Code Not Found")</f>
        <v>Fagaceae</v>
      </c>
      <c r="O420" t="str" cm="1">
        <f t="array" ref="O420">_xlfn.IFS(F420="","",F420&lt;=5,"0 to 5",F420&lt;=10,"5.1 to 10",F420&lt;=20,"10 to 20", F420&lt;= 40, "20 to 40", F420 &lt;= 50, "40 to 50", F420 &gt; 50, "&gt;50" )</f>
        <v>10 to 20</v>
      </c>
    </row>
    <row r="421" spans="1:15" ht="14.4" x14ac:dyDescent="0.3">
      <c r="A421" t="s">
        <v>114</v>
      </c>
      <c r="B421" s="1">
        <v>46175</v>
      </c>
      <c r="C421" t="s">
        <v>64</v>
      </c>
      <c r="D421">
        <v>382</v>
      </c>
      <c r="E421">
        <v>1</v>
      </c>
      <c r="F421">
        <v>4.4000000000000004</v>
      </c>
      <c r="G421" t="s">
        <v>32</v>
      </c>
      <c r="H421" t="s">
        <v>147</v>
      </c>
      <c r="I421" t="str">
        <f t="shared" si="6"/>
        <v>382_1</v>
      </c>
      <c r="J421" t="s">
        <v>18</v>
      </c>
      <c r="K421" t="s">
        <v>115</v>
      </c>
      <c r="L421" t="str">
        <f>_xlfn.XLOOKUP(C421, Table2[Species],Table2[Genus], "Code Not Found")</f>
        <v>Fagus</v>
      </c>
      <c r="M421" t="str">
        <f>_xlfn.XLOOKUP(C421, Table2[Species],Table2[Sp. Name], "Code Not Found")</f>
        <v>grandifolia</v>
      </c>
      <c r="N421" t="str">
        <f>_xlfn.XLOOKUP(C421,Table2[Species],Table2[Family],"Code Not Found")</f>
        <v>Fagaceae</v>
      </c>
      <c r="O421" t="str" cm="1">
        <f t="array" ref="O421">_xlfn.IFS(F421="","",F421&lt;=5,"0 to 5",F421&lt;=10,"5.1 to 10",F421&lt;=20,"10 to 20", F421&lt;= 40, "20 to 40", F421 &lt;= 50, "40 to 50", F421 &gt; 50, "&gt;50" )</f>
        <v>0 to 5</v>
      </c>
    </row>
    <row r="422" spans="1:15" ht="14.4" x14ac:dyDescent="0.3">
      <c r="A422" t="s">
        <v>114</v>
      </c>
      <c r="B422" s="1">
        <v>46175</v>
      </c>
      <c r="C422" t="s">
        <v>64</v>
      </c>
      <c r="D422">
        <v>382</v>
      </c>
      <c r="E422">
        <v>2</v>
      </c>
      <c r="F422">
        <v>1.9</v>
      </c>
      <c r="G422" t="s">
        <v>94</v>
      </c>
      <c r="H422" t="s">
        <v>43</v>
      </c>
      <c r="I422" t="str">
        <f t="shared" si="6"/>
        <v>382_2</v>
      </c>
      <c r="J422" t="s">
        <v>18</v>
      </c>
      <c r="K422" t="s">
        <v>115</v>
      </c>
      <c r="L422" t="str">
        <f>_xlfn.XLOOKUP(C422, Table2[Species],Table2[Genus], "Code Not Found")</f>
        <v>Fagus</v>
      </c>
      <c r="M422" t="str">
        <f>_xlfn.XLOOKUP(C422, Table2[Species],Table2[Sp. Name], "Code Not Found")</f>
        <v>grandifolia</v>
      </c>
      <c r="N422" t="str">
        <f>_xlfn.XLOOKUP(C422,Table2[Species],Table2[Family],"Code Not Found")</f>
        <v>Fagaceae</v>
      </c>
      <c r="O422" t="str" cm="1">
        <f t="array" ref="O422">_xlfn.IFS(F422="","",F422&lt;=5,"0 to 5",F422&lt;=10,"5.1 to 10",F422&lt;=20,"10 to 20", F422&lt;= 40, "20 to 40", F422 &lt;= 50, "40 to 50", F422 &gt; 50, "&gt;50" )</f>
        <v>0 to 5</v>
      </c>
    </row>
    <row r="423" spans="1:15" ht="14.4" x14ac:dyDescent="0.3">
      <c r="A423" t="s">
        <v>114</v>
      </c>
      <c r="B423" s="1">
        <v>46175</v>
      </c>
      <c r="C423" t="s">
        <v>16</v>
      </c>
      <c r="D423">
        <v>383</v>
      </c>
      <c r="E423">
        <v>1</v>
      </c>
      <c r="F423">
        <v>8.8000000000000007</v>
      </c>
      <c r="G423" t="s">
        <v>17</v>
      </c>
      <c r="I423" t="str">
        <f t="shared" si="6"/>
        <v>383_1</v>
      </c>
      <c r="J423" t="s">
        <v>18</v>
      </c>
      <c r="K423" t="s">
        <v>115</v>
      </c>
      <c r="L423" t="str">
        <f>_xlfn.XLOOKUP(C423, Table2[Species],Table2[Genus], "Code Not Found")</f>
        <v>Acer</v>
      </c>
      <c r="M423" t="str">
        <f>_xlfn.XLOOKUP(C423, Table2[Species],Table2[Sp. Name], "Code Not Found")</f>
        <v>saccharum</v>
      </c>
      <c r="N423" t="str">
        <f>_xlfn.XLOOKUP(C423,Table2[Species],Table2[Family],"Code Not Found")</f>
        <v>Sapindaceae</v>
      </c>
      <c r="O423" t="str" cm="1">
        <f t="array" ref="O423">_xlfn.IFS(F423="","",F423&lt;=5,"0 to 5",F423&lt;=10,"5.1 to 10",F423&lt;=20,"10 to 20", F423&lt;= 40, "20 to 40", F423 &lt;= 50, "40 to 50", F423 &gt; 50, "&gt;50" )</f>
        <v>5.1 to 10</v>
      </c>
    </row>
    <row r="424" spans="1:15" ht="14.4" x14ac:dyDescent="0.3">
      <c r="A424" t="s">
        <v>114</v>
      </c>
      <c r="B424" s="1">
        <v>46175</v>
      </c>
      <c r="C424" t="s">
        <v>64</v>
      </c>
      <c r="D424">
        <v>384</v>
      </c>
      <c r="E424">
        <v>1</v>
      </c>
      <c r="F424">
        <v>13.6</v>
      </c>
      <c r="G424" t="s">
        <v>88</v>
      </c>
      <c r="H424" t="s">
        <v>148</v>
      </c>
      <c r="I424" t="str">
        <f t="shared" si="6"/>
        <v>384_1</v>
      </c>
      <c r="J424" t="s">
        <v>18</v>
      </c>
      <c r="K424" t="s">
        <v>115</v>
      </c>
      <c r="L424" t="str">
        <f>_xlfn.XLOOKUP(C424, Table2[Species],Table2[Genus], "Code Not Found")</f>
        <v>Fagus</v>
      </c>
      <c r="M424" t="str">
        <f>_xlfn.XLOOKUP(C424, Table2[Species],Table2[Sp. Name], "Code Not Found")</f>
        <v>grandifolia</v>
      </c>
      <c r="N424" t="str">
        <f>_xlfn.XLOOKUP(C424,Table2[Species],Table2[Family],"Code Not Found")</f>
        <v>Fagaceae</v>
      </c>
      <c r="O424" t="str" cm="1">
        <f t="array" ref="O424">_xlfn.IFS(F424="","",F424&lt;=5,"0 to 5",F424&lt;=10,"5.1 to 10",F424&lt;=20,"10 to 20", F424&lt;= 40, "20 to 40", F424 &lt;= 50, "40 to 50", F424 &gt; 50, "&gt;50" )</f>
        <v>10 to 20</v>
      </c>
    </row>
    <row r="425" spans="1:15" ht="14.4" x14ac:dyDescent="0.3">
      <c r="A425" t="s">
        <v>114</v>
      </c>
      <c r="B425" s="1">
        <v>46175</v>
      </c>
      <c r="C425" t="s">
        <v>123</v>
      </c>
      <c r="D425">
        <v>386</v>
      </c>
      <c r="E425">
        <v>1</v>
      </c>
      <c r="F425">
        <v>77.7</v>
      </c>
      <c r="G425" t="s">
        <v>21</v>
      </c>
      <c r="I425" t="str">
        <f t="shared" si="6"/>
        <v>386_1</v>
      </c>
      <c r="J425" t="s">
        <v>18</v>
      </c>
      <c r="K425" t="s">
        <v>115</v>
      </c>
      <c r="L425" t="str">
        <f>_xlfn.XLOOKUP(C425, Table2[Species],Table2[Genus], "Code Not Found")</f>
        <v>Quercus</v>
      </c>
      <c r="M425" t="str">
        <f>_xlfn.XLOOKUP(C425, Table2[Species],Table2[Sp. Name], "Code Not Found")</f>
        <v>rubra</v>
      </c>
      <c r="N425" t="str">
        <f>_xlfn.XLOOKUP(C425,Table2[Species],Table2[Family],"Code Not Found")</f>
        <v>Fagaceae</v>
      </c>
      <c r="O425" t="str" cm="1">
        <f t="array" ref="O425">_xlfn.IFS(F425="","",F425&lt;=5,"0 to 5",F425&lt;=10,"5.1 to 10",F425&lt;=20,"10 to 20", F425&lt;= 40, "20 to 40", F425 &lt;= 50, "40 to 50", F425 &gt; 50, "&gt;50" )</f>
        <v>&gt;50</v>
      </c>
    </row>
    <row r="426" spans="1:15" ht="14.4" x14ac:dyDescent="0.3">
      <c r="A426" t="s">
        <v>114</v>
      </c>
      <c r="B426" s="1">
        <v>46175</v>
      </c>
      <c r="C426" t="s">
        <v>16</v>
      </c>
      <c r="D426">
        <v>388</v>
      </c>
      <c r="E426">
        <v>1</v>
      </c>
      <c r="F426">
        <v>15</v>
      </c>
      <c r="G426" t="s">
        <v>17</v>
      </c>
      <c r="I426" t="str">
        <f t="shared" si="6"/>
        <v>388_1</v>
      </c>
      <c r="J426" t="s">
        <v>18</v>
      </c>
      <c r="K426" t="s">
        <v>115</v>
      </c>
      <c r="L426" t="str">
        <f>_xlfn.XLOOKUP(C426, Table2[Species],Table2[Genus], "Code Not Found")</f>
        <v>Acer</v>
      </c>
      <c r="M426" t="str">
        <f>_xlfn.XLOOKUP(C426, Table2[Species],Table2[Sp. Name], "Code Not Found")</f>
        <v>saccharum</v>
      </c>
      <c r="N426" t="str">
        <f>_xlfn.XLOOKUP(C426,Table2[Species],Table2[Family],"Code Not Found")</f>
        <v>Sapindaceae</v>
      </c>
      <c r="O426" t="str" cm="1">
        <f t="array" ref="O426">_xlfn.IFS(F426="","",F426&lt;=5,"0 to 5",F426&lt;=10,"5.1 to 10",F426&lt;=20,"10 to 20", F426&lt;= 40, "20 to 40", F426 &lt;= 50, "40 to 50", F426 &gt; 50, "&gt;50" )</f>
        <v>10 to 20</v>
      </c>
    </row>
    <row r="427" spans="1:15" ht="14.4" x14ac:dyDescent="0.3">
      <c r="A427" t="s">
        <v>114</v>
      </c>
      <c r="B427" s="1">
        <v>46175</v>
      </c>
      <c r="C427" t="s">
        <v>20</v>
      </c>
      <c r="D427">
        <v>389</v>
      </c>
      <c r="E427">
        <v>1</v>
      </c>
      <c r="F427">
        <v>5.6</v>
      </c>
      <c r="G427" t="s">
        <v>54</v>
      </c>
      <c r="H427" t="s">
        <v>149</v>
      </c>
      <c r="I427" t="str">
        <f t="shared" si="6"/>
        <v>389_1</v>
      </c>
      <c r="J427" t="s">
        <v>18</v>
      </c>
      <c r="K427" t="s">
        <v>115</v>
      </c>
      <c r="L427" t="str">
        <f>_xlfn.XLOOKUP(C427, Table2[Species],Table2[Genus], "Code Not Found")</f>
        <v>Prunus</v>
      </c>
      <c r="M427" t="str">
        <f>_xlfn.XLOOKUP(C427, Table2[Species],Table2[Sp. Name], "Code Not Found")</f>
        <v>serotina</v>
      </c>
      <c r="N427" t="str">
        <f>_xlfn.XLOOKUP(C427,Table2[Species],Table2[Family],"Code Not Found")</f>
        <v>Rosaceae</v>
      </c>
      <c r="O427" t="str" cm="1">
        <f t="array" ref="O427">_xlfn.IFS(F427="","",F427&lt;=5,"0 to 5",F427&lt;=10,"5.1 to 10",F427&lt;=20,"10 to 20", F427&lt;= 40, "20 to 40", F427 &lt;= 50, "40 to 50", F427 &gt; 50, "&gt;50" )</f>
        <v>5.1 to 10</v>
      </c>
    </row>
    <row r="428" spans="1:15" ht="14.4" x14ac:dyDescent="0.3">
      <c r="A428" t="s">
        <v>114</v>
      </c>
      <c r="B428" s="1">
        <v>46175</v>
      </c>
      <c r="C428" t="s">
        <v>16</v>
      </c>
      <c r="D428">
        <v>390</v>
      </c>
      <c r="E428">
        <v>1</v>
      </c>
      <c r="F428">
        <v>3.4</v>
      </c>
      <c r="G428" t="s">
        <v>17</v>
      </c>
      <c r="H428" t="s">
        <v>36</v>
      </c>
      <c r="I428" t="str">
        <f t="shared" si="6"/>
        <v>390_1</v>
      </c>
      <c r="J428" t="s">
        <v>18</v>
      </c>
      <c r="K428" t="s">
        <v>115</v>
      </c>
      <c r="L428" t="str">
        <f>_xlfn.XLOOKUP(C428, Table2[Species],Table2[Genus], "Code Not Found")</f>
        <v>Acer</v>
      </c>
      <c r="M428" t="str">
        <f>_xlfn.XLOOKUP(C428, Table2[Species],Table2[Sp. Name], "Code Not Found")</f>
        <v>saccharum</v>
      </c>
      <c r="N428" t="str">
        <f>_xlfn.XLOOKUP(C428,Table2[Species],Table2[Family],"Code Not Found")</f>
        <v>Sapindaceae</v>
      </c>
      <c r="O428" t="str" cm="1">
        <f t="array" ref="O428">_xlfn.IFS(F428="","",F428&lt;=5,"0 to 5",F428&lt;=10,"5.1 to 10",F428&lt;=20,"10 to 20", F428&lt;= 40, "20 to 40", F428 &lt;= 50, "40 to 50", F428 &gt; 50, "&gt;50" )</f>
        <v>0 to 5</v>
      </c>
    </row>
    <row r="429" spans="1:15" ht="14.4" x14ac:dyDescent="0.3">
      <c r="A429" t="s">
        <v>114</v>
      </c>
      <c r="B429" s="1">
        <v>46175</v>
      </c>
      <c r="C429" t="s">
        <v>64</v>
      </c>
      <c r="D429">
        <v>391</v>
      </c>
      <c r="E429">
        <v>1</v>
      </c>
      <c r="F429">
        <v>10.9</v>
      </c>
      <c r="G429" t="s">
        <v>54</v>
      </c>
      <c r="I429" t="str">
        <f t="shared" si="6"/>
        <v>391_1</v>
      </c>
      <c r="J429" t="s">
        <v>18</v>
      </c>
      <c r="K429" t="s">
        <v>115</v>
      </c>
      <c r="L429" t="str">
        <f>_xlfn.XLOOKUP(C429, Table2[Species],Table2[Genus], "Code Not Found")</f>
        <v>Fagus</v>
      </c>
      <c r="M429" t="str">
        <f>_xlfn.XLOOKUP(C429, Table2[Species],Table2[Sp. Name], "Code Not Found")</f>
        <v>grandifolia</v>
      </c>
      <c r="N429" t="str">
        <f>_xlfn.XLOOKUP(C429,Table2[Species],Table2[Family],"Code Not Found")</f>
        <v>Fagaceae</v>
      </c>
      <c r="O429" t="str" cm="1">
        <f t="array" ref="O429">_xlfn.IFS(F429="","",F429&lt;=5,"0 to 5",F429&lt;=10,"5.1 to 10",F429&lt;=20,"10 to 20", F429&lt;= 40, "20 to 40", F429 &lt;= 50, "40 to 50", F429 &gt; 50, "&gt;50" )</f>
        <v>10 to 20</v>
      </c>
    </row>
    <row r="430" spans="1:15" ht="14.4" x14ac:dyDescent="0.3">
      <c r="A430" t="s">
        <v>114</v>
      </c>
      <c r="B430" s="1">
        <v>46175</v>
      </c>
      <c r="C430" t="s">
        <v>64</v>
      </c>
      <c r="D430">
        <v>392</v>
      </c>
      <c r="E430">
        <v>1</v>
      </c>
      <c r="F430">
        <v>43.1</v>
      </c>
      <c r="G430" t="s">
        <v>32</v>
      </c>
      <c r="H430" t="s">
        <v>43</v>
      </c>
      <c r="I430" t="str">
        <f t="shared" si="6"/>
        <v>392_1</v>
      </c>
      <c r="J430" t="s">
        <v>18</v>
      </c>
      <c r="K430" t="s">
        <v>115</v>
      </c>
      <c r="L430" t="str">
        <f>_xlfn.XLOOKUP(C430, Table2[Species],Table2[Genus], "Code Not Found")</f>
        <v>Fagus</v>
      </c>
      <c r="M430" t="str">
        <f>_xlfn.XLOOKUP(C430, Table2[Species],Table2[Sp. Name], "Code Not Found")</f>
        <v>grandifolia</v>
      </c>
      <c r="N430" t="str">
        <f>_xlfn.XLOOKUP(C430,Table2[Species],Table2[Family],"Code Not Found")</f>
        <v>Fagaceae</v>
      </c>
      <c r="O430" t="str" cm="1">
        <f t="array" ref="O430">_xlfn.IFS(F430="","",F430&lt;=5,"0 to 5",F430&lt;=10,"5.1 to 10",F430&lt;=20,"10 to 20", F430&lt;= 40, "20 to 40", F430 &lt;= 50, "40 to 50", F430 &gt; 50, "&gt;50" )</f>
        <v>40 to 50</v>
      </c>
    </row>
    <row r="431" spans="1:15" ht="14.4" x14ac:dyDescent="0.3">
      <c r="A431" t="s">
        <v>114</v>
      </c>
      <c r="B431" s="1">
        <v>46175</v>
      </c>
      <c r="C431" t="s">
        <v>64</v>
      </c>
      <c r="D431">
        <v>392</v>
      </c>
      <c r="E431">
        <v>2</v>
      </c>
      <c r="F431">
        <v>1.7</v>
      </c>
      <c r="G431" t="s">
        <v>34</v>
      </c>
      <c r="I431" t="str">
        <f t="shared" si="6"/>
        <v>392_2</v>
      </c>
      <c r="J431" t="s">
        <v>18</v>
      </c>
      <c r="K431" t="s">
        <v>115</v>
      </c>
      <c r="L431" t="str">
        <f>_xlfn.XLOOKUP(C431, Table2[Species],Table2[Genus], "Code Not Found")</f>
        <v>Fagus</v>
      </c>
      <c r="M431" t="str">
        <f>_xlfn.XLOOKUP(C431, Table2[Species],Table2[Sp. Name], "Code Not Found")</f>
        <v>grandifolia</v>
      </c>
      <c r="N431" t="str">
        <f>_xlfn.XLOOKUP(C431,Table2[Species],Table2[Family],"Code Not Found")</f>
        <v>Fagaceae</v>
      </c>
      <c r="O431" t="str" cm="1">
        <f t="array" ref="O431">_xlfn.IFS(F431="","",F431&lt;=5,"0 to 5",F431&lt;=10,"5.1 to 10",F431&lt;=20,"10 to 20", F431&lt;= 40, "20 to 40", F431 &lt;= 50, "40 to 50", F431 &gt; 50, "&gt;50" )</f>
        <v>0 to 5</v>
      </c>
    </row>
    <row r="432" spans="1:15" ht="14.4" x14ac:dyDescent="0.3">
      <c r="A432" t="s">
        <v>114</v>
      </c>
      <c r="B432" s="1">
        <v>46175</v>
      </c>
      <c r="C432" t="s">
        <v>64</v>
      </c>
      <c r="D432">
        <v>392</v>
      </c>
      <c r="E432">
        <v>3</v>
      </c>
      <c r="F432">
        <v>1.7</v>
      </c>
      <c r="G432" t="s">
        <v>34</v>
      </c>
      <c r="I432" t="str">
        <f t="shared" si="6"/>
        <v>392_3</v>
      </c>
      <c r="J432" t="s">
        <v>18</v>
      </c>
      <c r="K432" t="s">
        <v>115</v>
      </c>
      <c r="L432" t="str">
        <f>_xlfn.XLOOKUP(C432, Table2[Species],Table2[Genus], "Code Not Found")</f>
        <v>Fagus</v>
      </c>
      <c r="M432" t="str">
        <f>_xlfn.XLOOKUP(C432, Table2[Species],Table2[Sp. Name], "Code Not Found")</f>
        <v>grandifolia</v>
      </c>
      <c r="N432" t="str">
        <f>_xlfn.XLOOKUP(C432,Table2[Species],Table2[Family],"Code Not Found")</f>
        <v>Fagaceae</v>
      </c>
      <c r="O432" t="str" cm="1">
        <f t="array" ref="O432">_xlfn.IFS(F432="","",F432&lt;=5,"0 to 5",F432&lt;=10,"5.1 to 10",F432&lt;=20,"10 to 20", F432&lt;= 40, "20 to 40", F432 &lt;= 50, "40 to 50", F432 &gt; 50, "&gt;50" )</f>
        <v>0 to 5</v>
      </c>
    </row>
    <row r="433" spans="1:15" ht="14.4" x14ac:dyDescent="0.3">
      <c r="A433" t="s">
        <v>114</v>
      </c>
      <c r="B433" s="1">
        <v>46175</v>
      </c>
      <c r="C433" t="s">
        <v>64</v>
      </c>
      <c r="D433">
        <v>392</v>
      </c>
      <c r="E433">
        <v>4</v>
      </c>
      <c r="F433">
        <v>2.2000000000000002</v>
      </c>
      <c r="G433" t="s">
        <v>132</v>
      </c>
      <c r="H433" t="s">
        <v>150</v>
      </c>
      <c r="I433" t="str">
        <f t="shared" si="6"/>
        <v>392_4</v>
      </c>
      <c r="J433" t="s">
        <v>18</v>
      </c>
      <c r="K433" t="s">
        <v>115</v>
      </c>
      <c r="L433" t="str">
        <f>_xlfn.XLOOKUP(C433, Table2[Species],Table2[Genus], "Code Not Found")</f>
        <v>Fagus</v>
      </c>
      <c r="M433" t="str">
        <f>_xlfn.XLOOKUP(C433, Table2[Species],Table2[Sp. Name], "Code Not Found")</f>
        <v>grandifolia</v>
      </c>
      <c r="N433" t="str">
        <f>_xlfn.XLOOKUP(C433,Table2[Species],Table2[Family],"Code Not Found")</f>
        <v>Fagaceae</v>
      </c>
      <c r="O433" t="str" cm="1">
        <f t="array" ref="O433">_xlfn.IFS(F433="","",F433&lt;=5,"0 to 5",F433&lt;=10,"5.1 to 10",F433&lt;=20,"10 to 20", F433&lt;= 40, "20 to 40", F433 &lt;= 50, "40 to 50", F433 &gt; 50, "&gt;50" )</f>
        <v>0 to 5</v>
      </c>
    </row>
    <row r="434" spans="1:15" ht="14.4" x14ac:dyDescent="0.3">
      <c r="A434" t="s">
        <v>114</v>
      </c>
      <c r="B434" s="1">
        <v>46175</v>
      </c>
      <c r="C434" t="s">
        <v>16</v>
      </c>
      <c r="D434">
        <v>393</v>
      </c>
      <c r="E434">
        <v>1</v>
      </c>
      <c r="F434">
        <v>3.7</v>
      </c>
      <c r="G434" t="s">
        <v>47</v>
      </c>
      <c r="H434" t="s">
        <v>43</v>
      </c>
      <c r="I434" t="str">
        <f t="shared" si="6"/>
        <v>393_1</v>
      </c>
      <c r="J434" t="s">
        <v>18</v>
      </c>
      <c r="K434" t="s">
        <v>115</v>
      </c>
      <c r="L434" t="str">
        <f>_xlfn.XLOOKUP(C434, Table2[Species],Table2[Genus], "Code Not Found")</f>
        <v>Acer</v>
      </c>
      <c r="M434" t="str">
        <f>_xlfn.XLOOKUP(C434, Table2[Species],Table2[Sp. Name], "Code Not Found")</f>
        <v>saccharum</v>
      </c>
      <c r="N434" t="str">
        <f>_xlfn.XLOOKUP(C434,Table2[Species],Table2[Family],"Code Not Found")</f>
        <v>Sapindaceae</v>
      </c>
      <c r="O434" t="str" cm="1">
        <f t="array" ref="O434">_xlfn.IFS(F434="","",F434&lt;=5,"0 to 5",F434&lt;=10,"5.1 to 10",F434&lt;=20,"10 to 20", F434&lt;= 40, "20 to 40", F434 &lt;= 50, "40 to 50", F434 &gt; 50, "&gt;50" )</f>
        <v>0 to 5</v>
      </c>
    </row>
    <row r="435" spans="1:15" ht="14.4" x14ac:dyDescent="0.3">
      <c r="A435" t="s">
        <v>114</v>
      </c>
      <c r="B435" s="1">
        <v>46175</v>
      </c>
      <c r="C435" t="s">
        <v>64</v>
      </c>
      <c r="D435">
        <v>394</v>
      </c>
      <c r="E435">
        <v>1</v>
      </c>
      <c r="F435">
        <v>13</v>
      </c>
      <c r="G435" t="s">
        <v>17</v>
      </c>
      <c r="I435" t="str">
        <f t="shared" si="6"/>
        <v>394_1</v>
      </c>
      <c r="J435" t="s">
        <v>18</v>
      </c>
      <c r="K435" t="s">
        <v>115</v>
      </c>
      <c r="L435" t="str">
        <f>_xlfn.XLOOKUP(C435, Table2[Species],Table2[Genus], "Code Not Found")</f>
        <v>Fagus</v>
      </c>
      <c r="M435" t="str">
        <f>_xlfn.XLOOKUP(C435, Table2[Species],Table2[Sp. Name], "Code Not Found")</f>
        <v>grandifolia</v>
      </c>
      <c r="N435" t="str">
        <f>_xlfn.XLOOKUP(C435,Table2[Species],Table2[Family],"Code Not Found")</f>
        <v>Fagaceae</v>
      </c>
      <c r="O435" t="str" cm="1">
        <f t="array" ref="O435">_xlfn.IFS(F435="","",F435&lt;=5,"0 to 5",F435&lt;=10,"5.1 to 10",F435&lt;=20,"10 to 20", F435&lt;= 40, "20 to 40", F435 &lt;= 50, "40 to 50", F435 &gt; 50, "&gt;50" )</f>
        <v>10 to 20</v>
      </c>
    </row>
    <row r="436" spans="1:15" ht="14.4" x14ac:dyDescent="0.3">
      <c r="A436" t="s">
        <v>114</v>
      </c>
      <c r="B436" s="1">
        <v>46175</v>
      </c>
      <c r="C436" t="s">
        <v>64</v>
      </c>
      <c r="D436">
        <v>395</v>
      </c>
      <c r="E436">
        <v>1</v>
      </c>
      <c r="F436">
        <v>11.6</v>
      </c>
      <c r="G436" t="s">
        <v>71</v>
      </c>
      <c r="I436" t="str">
        <f t="shared" si="6"/>
        <v>395_1</v>
      </c>
      <c r="J436" t="s">
        <v>18</v>
      </c>
      <c r="K436" t="s">
        <v>115</v>
      </c>
      <c r="L436" t="str">
        <f>_xlfn.XLOOKUP(C436, Table2[Species],Table2[Genus], "Code Not Found")</f>
        <v>Fagus</v>
      </c>
      <c r="M436" t="str">
        <f>_xlfn.XLOOKUP(C436, Table2[Species],Table2[Sp. Name], "Code Not Found")</f>
        <v>grandifolia</v>
      </c>
      <c r="N436" t="str">
        <f>_xlfn.XLOOKUP(C436,Table2[Species],Table2[Family],"Code Not Found")</f>
        <v>Fagaceae</v>
      </c>
      <c r="O436" t="str" cm="1">
        <f t="array" ref="O436">_xlfn.IFS(F436="","",F436&lt;=5,"0 to 5",F436&lt;=10,"5.1 to 10",F436&lt;=20,"10 to 20", F436&lt;= 40, "20 to 40", F436 &lt;= 50, "40 to 50", F436 &gt; 50, "&gt;50" )</f>
        <v>10 to 20</v>
      </c>
    </row>
    <row r="437" spans="1:15" ht="14.4" x14ac:dyDescent="0.3">
      <c r="A437" t="s">
        <v>114</v>
      </c>
      <c r="B437" s="1">
        <v>46175</v>
      </c>
      <c r="C437" t="s">
        <v>22</v>
      </c>
      <c r="D437">
        <v>396</v>
      </c>
      <c r="E437">
        <v>1</v>
      </c>
      <c r="F437">
        <v>45.3</v>
      </c>
      <c r="G437" t="s">
        <v>21</v>
      </c>
      <c r="I437" t="str">
        <f t="shared" si="6"/>
        <v>396_1</v>
      </c>
      <c r="J437" t="s">
        <v>18</v>
      </c>
      <c r="K437" t="s">
        <v>115</v>
      </c>
      <c r="L437" t="str">
        <f>_xlfn.XLOOKUP(C437, Table2[Species],Table2[Genus], "Code Not Found")</f>
        <v>Acer</v>
      </c>
      <c r="M437" t="str">
        <f>_xlfn.XLOOKUP(C437, Table2[Species],Table2[Sp. Name], "Code Not Found")</f>
        <v>rubrum</v>
      </c>
      <c r="N437" t="str">
        <f>_xlfn.XLOOKUP(C437,Table2[Species],Table2[Family],"Code Not Found")</f>
        <v>Sapindaceae</v>
      </c>
      <c r="O437" t="str" cm="1">
        <f t="array" ref="O437">_xlfn.IFS(F437="","",F437&lt;=5,"0 to 5",F437&lt;=10,"5.1 to 10",F437&lt;=20,"10 to 20", F437&lt;= 40, "20 to 40", F437 &lt;= 50, "40 to 50", F437 &gt; 50, "&gt;50" )</f>
        <v>40 to 50</v>
      </c>
    </row>
    <row r="438" spans="1:15" ht="14.4" x14ac:dyDescent="0.3">
      <c r="A438" t="s">
        <v>114</v>
      </c>
      <c r="B438" s="1">
        <v>46175</v>
      </c>
      <c r="C438" t="s">
        <v>16</v>
      </c>
      <c r="D438">
        <v>397</v>
      </c>
      <c r="E438">
        <v>1</v>
      </c>
      <c r="F438">
        <v>1.2</v>
      </c>
      <c r="G438" t="s">
        <v>47</v>
      </c>
      <c r="H438" t="s">
        <v>43</v>
      </c>
      <c r="I438" t="str">
        <f t="shared" si="6"/>
        <v>397_1</v>
      </c>
      <c r="J438" t="s">
        <v>18</v>
      </c>
      <c r="K438" t="s">
        <v>115</v>
      </c>
      <c r="L438" t="str">
        <f>_xlfn.XLOOKUP(C438, Table2[Species],Table2[Genus], "Code Not Found")</f>
        <v>Acer</v>
      </c>
      <c r="M438" t="str">
        <f>_xlfn.XLOOKUP(C438, Table2[Species],Table2[Sp. Name], "Code Not Found")</f>
        <v>saccharum</v>
      </c>
      <c r="N438" t="str">
        <f>_xlfn.XLOOKUP(C438,Table2[Species],Table2[Family],"Code Not Found")</f>
        <v>Sapindaceae</v>
      </c>
      <c r="O438" t="str" cm="1">
        <f t="array" ref="O438">_xlfn.IFS(F438="","",F438&lt;=5,"0 to 5",F438&lt;=10,"5.1 to 10",F438&lt;=20,"10 to 20", F438&lt;= 40, "20 to 40", F438 &lt;= 50, "40 to 50", F438 &gt; 50, "&gt;50" )</f>
        <v>0 to 5</v>
      </c>
    </row>
    <row r="439" spans="1:15" ht="14.4" x14ac:dyDescent="0.3">
      <c r="A439" t="s">
        <v>114</v>
      </c>
      <c r="B439" s="1">
        <v>46175</v>
      </c>
      <c r="C439" t="s">
        <v>16</v>
      </c>
      <c r="D439">
        <v>398</v>
      </c>
      <c r="E439">
        <v>1</v>
      </c>
      <c r="F439">
        <v>2.9</v>
      </c>
      <c r="G439" t="s">
        <v>17</v>
      </c>
      <c r="I439" t="str">
        <f t="shared" si="6"/>
        <v>398_1</v>
      </c>
      <c r="J439" t="s">
        <v>18</v>
      </c>
      <c r="K439" t="s">
        <v>115</v>
      </c>
      <c r="L439" t="str">
        <f>_xlfn.XLOOKUP(C439, Table2[Species],Table2[Genus], "Code Not Found")</f>
        <v>Acer</v>
      </c>
      <c r="M439" t="str">
        <f>_xlfn.XLOOKUP(C439, Table2[Species],Table2[Sp. Name], "Code Not Found")</f>
        <v>saccharum</v>
      </c>
      <c r="N439" t="str">
        <f>_xlfn.XLOOKUP(C439,Table2[Species],Table2[Family],"Code Not Found")</f>
        <v>Sapindaceae</v>
      </c>
      <c r="O439" t="str" cm="1">
        <f t="array" ref="O439">_xlfn.IFS(F439="","",F439&lt;=5,"0 to 5",F439&lt;=10,"5.1 to 10",F439&lt;=20,"10 to 20", F439&lt;= 40, "20 to 40", F439 &lt;= 50, "40 to 50", F439 &gt; 50, "&gt;50" )</f>
        <v>0 to 5</v>
      </c>
    </row>
    <row r="440" spans="1:15" ht="14.4" x14ac:dyDescent="0.3">
      <c r="A440" t="s">
        <v>114</v>
      </c>
      <c r="B440" s="1">
        <v>46175</v>
      </c>
      <c r="C440" t="s">
        <v>16</v>
      </c>
      <c r="D440">
        <v>399</v>
      </c>
      <c r="E440">
        <v>1</v>
      </c>
      <c r="F440">
        <v>4.3</v>
      </c>
      <c r="G440" t="s">
        <v>88</v>
      </c>
      <c r="I440" t="str">
        <f t="shared" si="6"/>
        <v>399_1</v>
      </c>
      <c r="J440" t="s">
        <v>18</v>
      </c>
      <c r="K440" t="s">
        <v>115</v>
      </c>
      <c r="L440" t="str">
        <f>_xlfn.XLOOKUP(C440, Table2[Species],Table2[Genus], "Code Not Found")</f>
        <v>Acer</v>
      </c>
      <c r="M440" t="str">
        <f>_xlfn.XLOOKUP(C440, Table2[Species],Table2[Sp. Name], "Code Not Found")</f>
        <v>saccharum</v>
      </c>
      <c r="N440" t="str">
        <f>_xlfn.XLOOKUP(C440,Table2[Species],Table2[Family],"Code Not Found")</f>
        <v>Sapindaceae</v>
      </c>
      <c r="O440" t="str" cm="1">
        <f t="array" ref="O440">_xlfn.IFS(F440="","",F440&lt;=5,"0 to 5",F440&lt;=10,"5.1 to 10",F440&lt;=20,"10 to 20", F440&lt;= 40, "20 to 40", F440 &lt;= 50, "40 to 50", F440 &gt; 50, "&gt;50" )</f>
        <v>0 to 5</v>
      </c>
    </row>
    <row r="441" spans="1:15" ht="14.4" x14ac:dyDescent="0.3">
      <c r="A441" t="s">
        <v>114</v>
      </c>
      <c r="B441" s="1">
        <v>46175</v>
      </c>
      <c r="C441" t="s">
        <v>16</v>
      </c>
      <c r="D441">
        <v>400</v>
      </c>
      <c r="E441">
        <v>1</v>
      </c>
      <c r="F441">
        <v>5.3</v>
      </c>
      <c r="G441" t="s">
        <v>21</v>
      </c>
      <c r="I441" t="str">
        <f t="shared" si="6"/>
        <v>400_1</v>
      </c>
      <c r="J441" t="s">
        <v>18</v>
      </c>
      <c r="K441" t="s">
        <v>115</v>
      </c>
      <c r="L441" t="str">
        <f>_xlfn.XLOOKUP(C441, Table2[Species],Table2[Genus], "Code Not Found")</f>
        <v>Acer</v>
      </c>
      <c r="M441" t="str">
        <f>_xlfn.XLOOKUP(C441, Table2[Species],Table2[Sp. Name], "Code Not Found")</f>
        <v>saccharum</v>
      </c>
      <c r="N441" t="str">
        <f>_xlfn.XLOOKUP(C441,Table2[Species],Table2[Family],"Code Not Found")</f>
        <v>Sapindaceae</v>
      </c>
      <c r="O441" t="str" cm="1">
        <f t="array" ref="O441">_xlfn.IFS(F441="","",F441&lt;=5,"0 to 5",F441&lt;=10,"5.1 to 10",F441&lt;=20,"10 to 20", F441&lt;= 40, "20 to 40", F441 &lt;= 50, "40 to 50", F441 &gt; 50, "&gt;50" )</f>
        <v>5.1 to 10</v>
      </c>
    </row>
    <row r="442" spans="1:15" ht="14.4" x14ac:dyDescent="0.3">
      <c r="A442" t="s">
        <v>114</v>
      </c>
      <c r="B442" s="1">
        <v>46175</v>
      </c>
      <c r="C442" t="s">
        <v>16</v>
      </c>
      <c r="D442">
        <v>401</v>
      </c>
      <c r="E442">
        <v>1</v>
      </c>
      <c r="F442">
        <v>1.9</v>
      </c>
      <c r="G442" t="s">
        <v>88</v>
      </c>
      <c r="H442" t="s">
        <v>99</v>
      </c>
      <c r="I442" t="str">
        <f t="shared" si="6"/>
        <v>401_1</v>
      </c>
      <c r="J442" t="s">
        <v>18</v>
      </c>
      <c r="K442" t="s">
        <v>115</v>
      </c>
      <c r="L442" t="str">
        <f>_xlfn.XLOOKUP(C442, Table2[Species],Table2[Genus], "Code Not Found")</f>
        <v>Acer</v>
      </c>
      <c r="M442" t="str">
        <f>_xlfn.XLOOKUP(C442, Table2[Species],Table2[Sp. Name], "Code Not Found")</f>
        <v>saccharum</v>
      </c>
      <c r="N442" t="str">
        <f>_xlfn.XLOOKUP(C442,Table2[Species],Table2[Family],"Code Not Found")</f>
        <v>Sapindaceae</v>
      </c>
      <c r="O442" t="str" cm="1">
        <f t="array" ref="O442">_xlfn.IFS(F442="","",F442&lt;=5,"0 to 5",F442&lt;=10,"5.1 to 10",F442&lt;=20,"10 to 20", F442&lt;= 40, "20 to 40", F442 &lt;= 50, "40 to 50", F442 &gt; 50, "&gt;50" )</f>
        <v>0 to 5</v>
      </c>
    </row>
    <row r="443" spans="1:15" ht="14.4" x14ac:dyDescent="0.3">
      <c r="A443" t="s">
        <v>114</v>
      </c>
      <c r="B443" s="1">
        <v>46175</v>
      </c>
      <c r="C443" t="s">
        <v>16</v>
      </c>
      <c r="D443">
        <v>402</v>
      </c>
      <c r="E443">
        <v>1</v>
      </c>
      <c r="F443">
        <v>1.9</v>
      </c>
      <c r="G443" t="s">
        <v>17</v>
      </c>
      <c r="I443" t="str">
        <f t="shared" si="6"/>
        <v>402_1</v>
      </c>
      <c r="J443" t="s">
        <v>18</v>
      </c>
      <c r="K443" t="s">
        <v>115</v>
      </c>
      <c r="L443" t="str">
        <f>_xlfn.XLOOKUP(C443, Table2[Species],Table2[Genus], "Code Not Found")</f>
        <v>Acer</v>
      </c>
      <c r="M443" t="str">
        <f>_xlfn.XLOOKUP(C443, Table2[Species],Table2[Sp. Name], "Code Not Found")</f>
        <v>saccharum</v>
      </c>
      <c r="N443" t="str">
        <f>_xlfn.XLOOKUP(C443,Table2[Species],Table2[Family],"Code Not Found")</f>
        <v>Sapindaceae</v>
      </c>
      <c r="O443" t="str" cm="1">
        <f t="array" ref="O443">_xlfn.IFS(F443="","",F443&lt;=5,"0 to 5",F443&lt;=10,"5.1 to 10",F443&lt;=20,"10 to 20", F443&lt;= 40, "20 to 40", F443 &lt;= 50, "40 to 50", F443 &gt; 50, "&gt;50" )</f>
        <v>0 to 5</v>
      </c>
    </row>
    <row r="444" spans="1:15" ht="14.4" x14ac:dyDescent="0.3">
      <c r="A444" t="s">
        <v>114</v>
      </c>
      <c r="B444" s="1">
        <v>46175</v>
      </c>
      <c r="C444" t="s">
        <v>16</v>
      </c>
      <c r="D444">
        <v>403</v>
      </c>
      <c r="E444">
        <v>1</v>
      </c>
      <c r="F444">
        <v>5.8</v>
      </c>
      <c r="G444" t="s">
        <v>17</v>
      </c>
      <c r="H444" t="s">
        <v>36</v>
      </c>
      <c r="I444" t="str">
        <f t="shared" si="6"/>
        <v>403_1</v>
      </c>
      <c r="J444" t="s">
        <v>18</v>
      </c>
      <c r="K444" t="s">
        <v>115</v>
      </c>
      <c r="L444" t="str">
        <f>_xlfn.XLOOKUP(C444, Table2[Species],Table2[Genus], "Code Not Found")</f>
        <v>Acer</v>
      </c>
      <c r="M444" t="str">
        <f>_xlfn.XLOOKUP(C444, Table2[Species],Table2[Sp. Name], "Code Not Found")</f>
        <v>saccharum</v>
      </c>
      <c r="N444" t="str">
        <f>_xlfn.XLOOKUP(C444,Table2[Species],Table2[Family],"Code Not Found")</f>
        <v>Sapindaceae</v>
      </c>
      <c r="O444" t="str" cm="1">
        <f t="array" ref="O444">_xlfn.IFS(F444="","",F444&lt;=5,"0 to 5",F444&lt;=10,"5.1 to 10",F444&lt;=20,"10 to 20", F444&lt;= 40, "20 to 40", F444 &lt;= 50, "40 to 50", F444 &gt; 50, "&gt;50" )</f>
        <v>5.1 to 10</v>
      </c>
    </row>
    <row r="445" spans="1:15" ht="14.4" x14ac:dyDescent="0.3">
      <c r="A445" t="s">
        <v>114</v>
      </c>
      <c r="B445" s="1">
        <v>46175</v>
      </c>
      <c r="C445" t="s">
        <v>16</v>
      </c>
      <c r="D445">
        <v>404</v>
      </c>
      <c r="E445">
        <v>1</v>
      </c>
      <c r="F445">
        <v>2.9</v>
      </c>
      <c r="G445" t="s">
        <v>30</v>
      </c>
      <c r="H445" t="s">
        <v>99</v>
      </c>
      <c r="I445" t="str">
        <f t="shared" si="6"/>
        <v>404_1</v>
      </c>
      <c r="J445" t="s">
        <v>18</v>
      </c>
      <c r="K445" t="s">
        <v>115</v>
      </c>
      <c r="L445" t="str">
        <f>_xlfn.XLOOKUP(C445, Table2[Species],Table2[Genus], "Code Not Found")</f>
        <v>Acer</v>
      </c>
      <c r="M445" t="str">
        <f>_xlfn.XLOOKUP(C445, Table2[Species],Table2[Sp. Name], "Code Not Found")</f>
        <v>saccharum</v>
      </c>
      <c r="N445" t="str">
        <f>_xlfn.XLOOKUP(C445,Table2[Species],Table2[Family],"Code Not Found")</f>
        <v>Sapindaceae</v>
      </c>
      <c r="O445" t="str" cm="1">
        <f t="array" ref="O445">_xlfn.IFS(F445="","",F445&lt;=5,"0 to 5",F445&lt;=10,"5.1 to 10",F445&lt;=20,"10 to 20", F445&lt;= 40, "20 to 40", F445 &lt;= 50, "40 to 50", F445 &gt; 50, "&gt;50" )</f>
        <v>0 to 5</v>
      </c>
    </row>
    <row r="446" spans="1:15" ht="14.4" x14ac:dyDescent="0.3">
      <c r="A446" t="s">
        <v>114</v>
      </c>
      <c r="B446" s="1">
        <v>46175</v>
      </c>
      <c r="C446" t="s">
        <v>64</v>
      </c>
      <c r="D446">
        <v>405</v>
      </c>
      <c r="E446">
        <v>1</v>
      </c>
      <c r="F446">
        <v>16</v>
      </c>
      <c r="G446" t="s">
        <v>21</v>
      </c>
      <c r="I446" t="str">
        <f t="shared" si="6"/>
        <v>405_1</v>
      </c>
      <c r="J446" t="s">
        <v>18</v>
      </c>
      <c r="K446" t="s">
        <v>115</v>
      </c>
      <c r="L446" t="str">
        <f>_xlfn.XLOOKUP(C446, Table2[Species],Table2[Genus], "Code Not Found")</f>
        <v>Fagus</v>
      </c>
      <c r="M446" t="str">
        <f>_xlfn.XLOOKUP(C446, Table2[Species],Table2[Sp. Name], "Code Not Found")</f>
        <v>grandifolia</v>
      </c>
      <c r="N446" t="str">
        <f>_xlfn.XLOOKUP(C446,Table2[Species],Table2[Family],"Code Not Found")</f>
        <v>Fagaceae</v>
      </c>
      <c r="O446" t="str" cm="1">
        <f t="array" ref="O446">_xlfn.IFS(F446="","",F446&lt;=5,"0 to 5",F446&lt;=10,"5.1 to 10",F446&lt;=20,"10 to 20", F446&lt;= 40, "20 to 40", F446 &lt;= 50, "40 to 50", F446 &gt; 50, "&gt;50" )</f>
        <v>10 to 20</v>
      </c>
    </row>
    <row r="447" spans="1:15" ht="14.4" x14ac:dyDescent="0.3">
      <c r="A447" t="s">
        <v>114</v>
      </c>
      <c r="B447" s="1">
        <v>46175</v>
      </c>
      <c r="C447" t="s">
        <v>16</v>
      </c>
      <c r="D447">
        <v>406</v>
      </c>
      <c r="E447">
        <v>1</v>
      </c>
      <c r="F447">
        <v>1.5</v>
      </c>
      <c r="G447" t="s">
        <v>103</v>
      </c>
      <c r="I447" t="str">
        <f t="shared" si="6"/>
        <v>406_1</v>
      </c>
      <c r="J447" t="s">
        <v>18</v>
      </c>
      <c r="K447" t="s">
        <v>115</v>
      </c>
      <c r="L447" t="str">
        <f>_xlfn.XLOOKUP(C447, Table2[Species],Table2[Genus], "Code Not Found")</f>
        <v>Acer</v>
      </c>
      <c r="M447" t="str">
        <f>_xlfn.XLOOKUP(C447, Table2[Species],Table2[Sp. Name], "Code Not Found")</f>
        <v>saccharum</v>
      </c>
      <c r="N447" t="str">
        <f>_xlfn.XLOOKUP(C447,Table2[Species],Table2[Family],"Code Not Found")</f>
        <v>Sapindaceae</v>
      </c>
      <c r="O447" t="str" cm="1">
        <f t="array" ref="O447">_xlfn.IFS(F447="","",F447&lt;=5,"0 to 5",F447&lt;=10,"5.1 to 10",F447&lt;=20,"10 to 20", F447&lt;= 40, "20 to 40", F447 &lt;= 50, "40 to 50", F447 &gt; 50, "&gt;50" )</f>
        <v>0 to 5</v>
      </c>
    </row>
    <row r="448" spans="1:15" ht="14.4" x14ac:dyDescent="0.3">
      <c r="A448" t="s">
        <v>114</v>
      </c>
      <c r="B448" s="1">
        <v>46175</v>
      </c>
      <c r="C448" t="s">
        <v>123</v>
      </c>
      <c r="D448">
        <v>407</v>
      </c>
      <c r="E448">
        <v>1</v>
      </c>
      <c r="F448">
        <v>31.3</v>
      </c>
      <c r="G448" t="s">
        <v>21</v>
      </c>
      <c r="H448" t="s">
        <v>43</v>
      </c>
      <c r="I448" t="str">
        <f t="shared" si="6"/>
        <v>407_1</v>
      </c>
      <c r="J448" t="s">
        <v>18</v>
      </c>
      <c r="K448" t="s">
        <v>115</v>
      </c>
      <c r="L448" t="str">
        <f>_xlfn.XLOOKUP(C448, Table2[Species],Table2[Genus], "Code Not Found")</f>
        <v>Quercus</v>
      </c>
      <c r="M448" t="str">
        <f>_xlfn.XLOOKUP(C448, Table2[Species],Table2[Sp. Name], "Code Not Found")</f>
        <v>rubra</v>
      </c>
      <c r="N448" t="str">
        <f>_xlfn.XLOOKUP(C448,Table2[Species],Table2[Family],"Code Not Found")</f>
        <v>Fagaceae</v>
      </c>
      <c r="O448" t="str" cm="1">
        <f t="array" ref="O448">_xlfn.IFS(F448="","",F448&lt;=5,"0 to 5",F448&lt;=10,"5.1 to 10",F448&lt;=20,"10 to 20", F448&lt;= 40, "20 to 40", F448 &lt;= 50, "40 to 50", F448 &gt; 50, "&gt;50" )</f>
        <v>20 to 40</v>
      </c>
    </row>
    <row r="449" spans="1:15" ht="14.4" x14ac:dyDescent="0.3">
      <c r="A449" t="s">
        <v>114</v>
      </c>
      <c r="B449" s="1">
        <v>46175</v>
      </c>
      <c r="C449" t="s">
        <v>16</v>
      </c>
      <c r="D449">
        <v>408</v>
      </c>
      <c r="E449">
        <v>1</v>
      </c>
      <c r="F449">
        <v>3.4</v>
      </c>
      <c r="G449" t="s">
        <v>17</v>
      </c>
      <c r="I449" t="str">
        <f t="shared" si="6"/>
        <v>408_1</v>
      </c>
      <c r="J449" t="s">
        <v>18</v>
      </c>
      <c r="K449" t="s">
        <v>115</v>
      </c>
      <c r="L449" t="str">
        <f>_xlfn.XLOOKUP(C449, Table2[Species],Table2[Genus], "Code Not Found")</f>
        <v>Acer</v>
      </c>
      <c r="M449" t="str">
        <f>_xlfn.XLOOKUP(C449, Table2[Species],Table2[Sp. Name], "Code Not Found")</f>
        <v>saccharum</v>
      </c>
      <c r="N449" t="str">
        <f>_xlfn.XLOOKUP(C449,Table2[Species],Table2[Family],"Code Not Found")</f>
        <v>Sapindaceae</v>
      </c>
      <c r="O449" t="str" cm="1">
        <f t="array" ref="O449">_xlfn.IFS(F449="","",F449&lt;=5,"0 to 5",F449&lt;=10,"5.1 to 10",F449&lt;=20,"10 to 20", F449&lt;= 40, "20 to 40", F449 &lt;= 50, "40 to 50", F449 &gt; 50, "&gt;50" )</f>
        <v>0 to 5</v>
      </c>
    </row>
    <row r="450" spans="1:15" ht="14.4" x14ac:dyDescent="0.3">
      <c r="A450" t="s">
        <v>114</v>
      </c>
      <c r="B450" s="1">
        <v>46175</v>
      </c>
      <c r="C450" t="s">
        <v>22</v>
      </c>
      <c r="D450">
        <v>409</v>
      </c>
      <c r="E450">
        <v>1</v>
      </c>
      <c r="F450">
        <v>38.5</v>
      </c>
      <c r="G450" t="s">
        <v>21</v>
      </c>
      <c r="I450" t="str">
        <f t="shared" si="6"/>
        <v>409_1</v>
      </c>
      <c r="J450" t="s">
        <v>18</v>
      </c>
      <c r="K450" t="s">
        <v>115</v>
      </c>
      <c r="L450" t="str">
        <f>_xlfn.XLOOKUP(C450, Table2[Species],Table2[Genus], "Code Not Found")</f>
        <v>Acer</v>
      </c>
      <c r="M450" t="str">
        <f>_xlfn.XLOOKUP(C450, Table2[Species],Table2[Sp. Name], "Code Not Found")</f>
        <v>rubrum</v>
      </c>
      <c r="N450" t="str">
        <f>_xlfn.XLOOKUP(C450,Table2[Species],Table2[Family],"Code Not Found")</f>
        <v>Sapindaceae</v>
      </c>
      <c r="O450" t="str" cm="1">
        <f t="array" ref="O450">_xlfn.IFS(F450="","",F450&lt;=5,"0 to 5",F450&lt;=10,"5.1 to 10",F450&lt;=20,"10 to 20", F450&lt;= 40, "20 to 40", F450 &lt;= 50, "40 to 50", F450 &gt; 50, "&gt;50" )</f>
        <v>20 to 40</v>
      </c>
    </row>
    <row r="451" spans="1:15" ht="14.4" x14ac:dyDescent="0.3">
      <c r="A451" t="s">
        <v>114</v>
      </c>
      <c r="B451" s="1">
        <v>46175</v>
      </c>
      <c r="C451" t="s">
        <v>16</v>
      </c>
      <c r="D451">
        <v>410</v>
      </c>
      <c r="E451">
        <v>1</v>
      </c>
      <c r="F451">
        <v>3.1</v>
      </c>
      <c r="G451" t="s">
        <v>17</v>
      </c>
      <c r="I451" t="str">
        <f t="shared" ref="I451:I514" si="7">D451&amp;"_"&amp;E451</f>
        <v>410_1</v>
      </c>
      <c r="J451" t="s">
        <v>18</v>
      </c>
      <c r="K451" t="s">
        <v>115</v>
      </c>
      <c r="L451" t="str">
        <f>_xlfn.XLOOKUP(C451, Table2[Species],Table2[Genus], "Code Not Found")</f>
        <v>Acer</v>
      </c>
      <c r="M451" t="str">
        <f>_xlfn.XLOOKUP(C451, Table2[Species],Table2[Sp. Name], "Code Not Found")</f>
        <v>saccharum</v>
      </c>
      <c r="N451" t="str">
        <f>_xlfn.XLOOKUP(C451,Table2[Species],Table2[Family],"Code Not Found")</f>
        <v>Sapindaceae</v>
      </c>
      <c r="O451" t="str" cm="1">
        <f t="array" ref="O451">_xlfn.IFS(F451="","",F451&lt;=5,"0 to 5",F451&lt;=10,"5.1 to 10",F451&lt;=20,"10 to 20", F451&lt;= 40, "20 to 40", F451 &lt;= 50, "40 to 50", F451 &gt; 50, "&gt;50" )</f>
        <v>0 to 5</v>
      </c>
    </row>
    <row r="452" spans="1:15" ht="14.4" x14ac:dyDescent="0.3">
      <c r="A452" t="s">
        <v>114</v>
      </c>
      <c r="B452" s="1">
        <v>46175</v>
      </c>
      <c r="C452" t="s">
        <v>20</v>
      </c>
      <c r="D452">
        <v>411</v>
      </c>
      <c r="E452">
        <v>1</v>
      </c>
      <c r="F452">
        <v>22.4</v>
      </c>
      <c r="G452" t="s">
        <v>51</v>
      </c>
      <c r="H452" t="s">
        <v>151</v>
      </c>
      <c r="I452" t="str">
        <f t="shared" si="7"/>
        <v>411_1</v>
      </c>
      <c r="J452" t="s">
        <v>18</v>
      </c>
      <c r="K452" t="s">
        <v>115</v>
      </c>
      <c r="L452" t="str">
        <f>_xlfn.XLOOKUP(C452, Table2[Species],Table2[Genus], "Code Not Found")</f>
        <v>Prunus</v>
      </c>
      <c r="M452" t="str">
        <f>_xlfn.XLOOKUP(C452, Table2[Species],Table2[Sp. Name], "Code Not Found")</f>
        <v>serotina</v>
      </c>
      <c r="N452" t="str">
        <f>_xlfn.XLOOKUP(C452,Table2[Species],Table2[Family],"Code Not Found")</f>
        <v>Rosaceae</v>
      </c>
      <c r="O452" t="str" cm="1">
        <f t="array" ref="O452">_xlfn.IFS(F452="","",F452&lt;=5,"0 to 5",F452&lt;=10,"5.1 to 10",F452&lt;=20,"10 to 20", F452&lt;= 40, "20 to 40", F452 &lt;= 50, "40 to 50", F452 &gt; 50, "&gt;50" )</f>
        <v>20 to 40</v>
      </c>
    </row>
    <row r="453" spans="1:15" ht="14.4" x14ac:dyDescent="0.3">
      <c r="A453" t="s">
        <v>114</v>
      </c>
      <c r="B453" s="1">
        <v>46175</v>
      </c>
      <c r="C453" t="s">
        <v>22</v>
      </c>
      <c r="D453">
        <v>412</v>
      </c>
      <c r="E453">
        <v>1</v>
      </c>
      <c r="F453">
        <v>6.9</v>
      </c>
      <c r="G453" t="s">
        <v>21</v>
      </c>
      <c r="I453" t="str">
        <f t="shared" si="7"/>
        <v>412_1</v>
      </c>
      <c r="J453" t="s">
        <v>18</v>
      </c>
      <c r="K453" t="s">
        <v>115</v>
      </c>
      <c r="L453" t="str">
        <f>_xlfn.XLOOKUP(C453, Table2[Species],Table2[Genus], "Code Not Found")</f>
        <v>Acer</v>
      </c>
      <c r="M453" t="str">
        <f>_xlfn.XLOOKUP(C453, Table2[Species],Table2[Sp. Name], "Code Not Found")</f>
        <v>rubrum</v>
      </c>
      <c r="N453" t="str">
        <f>_xlfn.XLOOKUP(C453,Table2[Species],Table2[Family],"Code Not Found")</f>
        <v>Sapindaceae</v>
      </c>
      <c r="O453" t="str" cm="1">
        <f t="array" ref="O453">_xlfn.IFS(F453="","",F453&lt;=5,"0 to 5",F453&lt;=10,"5.1 to 10",F453&lt;=20,"10 to 20", F453&lt;= 40, "20 to 40", F453 &lt;= 50, "40 to 50", F453 &gt; 50, "&gt;50" )</f>
        <v>5.1 to 10</v>
      </c>
    </row>
    <row r="454" spans="1:15" ht="14.4" x14ac:dyDescent="0.3">
      <c r="A454" t="s">
        <v>114</v>
      </c>
      <c r="B454" s="1">
        <v>46175</v>
      </c>
      <c r="C454" t="s">
        <v>16</v>
      </c>
      <c r="D454">
        <v>413</v>
      </c>
      <c r="E454">
        <v>1</v>
      </c>
      <c r="F454">
        <v>3.2</v>
      </c>
      <c r="G454" t="s">
        <v>17</v>
      </c>
      <c r="H454" t="s">
        <v>36</v>
      </c>
      <c r="I454" t="str">
        <f t="shared" si="7"/>
        <v>413_1</v>
      </c>
      <c r="J454" t="s">
        <v>18</v>
      </c>
      <c r="K454" t="s">
        <v>115</v>
      </c>
      <c r="L454" t="str">
        <f>_xlfn.XLOOKUP(C454, Table2[Species],Table2[Genus], "Code Not Found")</f>
        <v>Acer</v>
      </c>
      <c r="M454" t="str">
        <f>_xlfn.XLOOKUP(C454, Table2[Species],Table2[Sp. Name], "Code Not Found")</f>
        <v>saccharum</v>
      </c>
      <c r="N454" t="str">
        <f>_xlfn.XLOOKUP(C454,Table2[Species],Table2[Family],"Code Not Found")</f>
        <v>Sapindaceae</v>
      </c>
      <c r="O454" t="str" cm="1">
        <f t="array" ref="O454">_xlfn.IFS(F454="","",F454&lt;=5,"0 to 5",F454&lt;=10,"5.1 to 10",F454&lt;=20,"10 to 20", F454&lt;= 40, "20 to 40", F454 &lt;= 50, "40 to 50", F454 &gt; 50, "&gt;50" )</f>
        <v>0 to 5</v>
      </c>
    </row>
    <row r="455" spans="1:15" ht="14.4" x14ac:dyDescent="0.3">
      <c r="A455" t="s">
        <v>114</v>
      </c>
      <c r="B455" s="1">
        <v>46175</v>
      </c>
      <c r="C455" t="s">
        <v>20</v>
      </c>
      <c r="D455">
        <v>414</v>
      </c>
      <c r="E455">
        <v>1</v>
      </c>
      <c r="F455">
        <v>13</v>
      </c>
      <c r="G455" t="s">
        <v>17</v>
      </c>
      <c r="I455" t="str">
        <f t="shared" si="7"/>
        <v>414_1</v>
      </c>
      <c r="J455" t="s">
        <v>18</v>
      </c>
      <c r="K455" t="s">
        <v>115</v>
      </c>
      <c r="L455" t="str">
        <f>_xlfn.XLOOKUP(C455, Table2[Species],Table2[Genus], "Code Not Found")</f>
        <v>Prunus</v>
      </c>
      <c r="M455" t="str">
        <f>_xlfn.XLOOKUP(C455, Table2[Species],Table2[Sp. Name], "Code Not Found")</f>
        <v>serotina</v>
      </c>
      <c r="N455" t="str">
        <f>_xlfn.XLOOKUP(C455,Table2[Species],Table2[Family],"Code Not Found")</f>
        <v>Rosaceae</v>
      </c>
      <c r="O455" t="str" cm="1">
        <f t="array" ref="O455">_xlfn.IFS(F455="","",F455&lt;=5,"0 to 5",F455&lt;=10,"5.1 to 10",F455&lt;=20,"10 to 20", F455&lt;= 40, "20 to 40", F455 &lt;= 50, "40 to 50", F455 &gt; 50, "&gt;50" )</f>
        <v>10 to 20</v>
      </c>
    </row>
    <row r="456" spans="1:15" ht="14.4" x14ac:dyDescent="0.3">
      <c r="A456" t="s">
        <v>114</v>
      </c>
      <c r="B456" s="1">
        <v>46175</v>
      </c>
      <c r="C456" t="s">
        <v>16</v>
      </c>
      <c r="D456">
        <v>415</v>
      </c>
      <c r="E456">
        <v>1</v>
      </c>
      <c r="F456">
        <v>3.3</v>
      </c>
      <c r="G456" t="s">
        <v>21</v>
      </c>
      <c r="I456" t="str">
        <f t="shared" si="7"/>
        <v>415_1</v>
      </c>
      <c r="J456" t="s">
        <v>18</v>
      </c>
      <c r="K456" t="s">
        <v>115</v>
      </c>
      <c r="L456" t="str">
        <f>_xlfn.XLOOKUP(C456, Table2[Species],Table2[Genus], "Code Not Found")</f>
        <v>Acer</v>
      </c>
      <c r="M456" t="str">
        <f>_xlfn.XLOOKUP(C456, Table2[Species],Table2[Sp. Name], "Code Not Found")</f>
        <v>saccharum</v>
      </c>
      <c r="N456" t="str">
        <f>_xlfn.XLOOKUP(C456,Table2[Species],Table2[Family],"Code Not Found")</f>
        <v>Sapindaceae</v>
      </c>
      <c r="O456" t="str" cm="1">
        <f t="array" ref="O456">_xlfn.IFS(F456="","",F456&lt;=5,"0 to 5",F456&lt;=10,"5.1 to 10",F456&lt;=20,"10 to 20", F456&lt;= 40, "20 to 40", F456 &lt;= 50, "40 to 50", F456 &gt; 50, "&gt;50" )</f>
        <v>0 to 5</v>
      </c>
    </row>
    <row r="457" spans="1:15" ht="14.4" x14ac:dyDescent="0.3">
      <c r="A457" t="s">
        <v>114</v>
      </c>
      <c r="B457" s="1">
        <v>46175</v>
      </c>
      <c r="C457" t="s">
        <v>118</v>
      </c>
      <c r="D457">
        <v>416</v>
      </c>
      <c r="E457">
        <v>1</v>
      </c>
      <c r="F457">
        <v>85.8</v>
      </c>
      <c r="G457" t="s">
        <v>17</v>
      </c>
      <c r="I457" t="str">
        <f t="shared" si="7"/>
        <v>416_1</v>
      </c>
      <c r="J457" t="s">
        <v>18</v>
      </c>
      <c r="K457" t="s">
        <v>115</v>
      </c>
      <c r="L457" t="str">
        <f>_xlfn.XLOOKUP(C457, Table2[Species],Table2[Genus], "Code Not Found")</f>
        <v>Quercus</v>
      </c>
      <c r="M457" t="str">
        <f>_xlfn.XLOOKUP(C457, Table2[Species],Table2[Sp. Name], "Code Not Found")</f>
        <v>montana</v>
      </c>
      <c r="N457" t="str">
        <f>_xlfn.XLOOKUP(C457,Table2[Species],Table2[Family],"Code Not Found")</f>
        <v>Fagaceae</v>
      </c>
      <c r="O457" t="str" cm="1">
        <f t="array" ref="O457">_xlfn.IFS(F457="","",F457&lt;=5,"0 to 5",F457&lt;=10,"5.1 to 10",F457&lt;=20,"10 to 20", F457&lt;= 40, "20 to 40", F457 &lt;= 50, "40 to 50", F457 &gt; 50, "&gt;50" )</f>
        <v>&gt;50</v>
      </c>
    </row>
    <row r="458" spans="1:15" ht="14.4" x14ac:dyDescent="0.3">
      <c r="A458" t="s">
        <v>114</v>
      </c>
      <c r="B458" s="1">
        <v>46175</v>
      </c>
      <c r="C458" t="s">
        <v>22</v>
      </c>
      <c r="D458">
        <v>417</v>
      </c>
      <c r="E458">
        <v>1</v>
      </c>
      <c r="F458">
        <v>3.1</v>
      </c>
      <c r="G458" t="s">
        <v>21</v>
      </c>
      <c r="I458" t="str">
        <f t="shared" si="7"/>
        <v>417_1</v>
      </c>
      <c r="J458" t="s">
        <v>18</v>
      </c>
      <c r="K458" t="s">
        <v>115</v>
      </c>
      <c r="L458" t="str">
        <f>_xlfn.XLOOKUP(C458, Table2[Species],Table2[Genus], "Code Not Found")</f>
        <v>Acer</v>
      </c>
      <c r="M458" t="str">
        <f>_xlfn.XLOOKUP(C458, Table2[Species],Table2[Sp. Name], "Code Not Found")</f>
        <v>rubrum</v>
      </c>
      <c r="N458" t="str">
        <f>_xlfn.XLOOKUP(C458,Table2[Species],Table2[Family],"Code Not Found")</f>
        <v>Sapindaceae</v>
      </c>
      <c r="O458" t="str" cm="1">
        <f t="array" ref="O458">_xlfn.IFS(F458="","",F458&lt;=5,"0 to 5",F458&lt;=10,"5.1 to 10",F458&lt;=20,"10 to 20", F458&lt;= 40, "20 to 40", F458 &lt;= 50, "40 to 50", F458 &gt; 50, "&gt;50" )</f>
        <v>0 to 5</v>
      </c>
    </row>
    <row r="459" spans="1:15" ht="14.4" x14ac:dyDescent="0.3">
      <c r="A459" t="s">
        <v>114</v>
      </c>
      <c r="B459" s="1">
        <v>46175</v>
      </c>
      <c r="C459" t="s">
        <v>16</v>
      </c>
      <c r="D459">
        <v>418</v>
      </c>
      <c r="E459">
        <v>1</v>
      </c>
      <c r="F459">
        <v>25.9</v>
      </c>
      <c r="G459" t="s">
        <v>17</v>
      </c>
      <c r="I459" t="str">
        <f t="shared" si="7"/>
        <v>418_1</v>
      </c>
      <c r="J459" t="s">
        <v>18</v>
      </c>
      <c r="K459" t="s">
        <v>115</v>
      </c>
      <c r="L459" t="str">
        <f>_xlfn.XLOOKUP(C459, Table2[Species],Table2[Genus], "Code Not Found")</f>
        <v>Acer</v>
      </c>
      <c r="M459" t="str">
        <f>_xlfn.XLOOKUP(C459, Table2[Species],Table2[Sp. Name], "Code Not Found")</f>
        <v>saccharum</v>
      </c>
      <c r="N459" t="str">
        <f>_xlfn.XLOOKUP(C459,Table2[Species],Table2[Family],"Code Not Found")</f>
        <v>Sapindaceae</v>
      </c>
      <c r="O459" t="str" cm="1">
        <f t="array" ref="O459">_xlfn.IFS(F459="","",F459&lt;=5,"0 to 5",F459&lt;=10,"5.1 to 10",F459&lt;=20,"10 to 20", F459&lt;= 40, "20 to 40", F459 &lt;= 50, "40 to 50", F459 &gt; 50, "&gt;50" )</f>
        <v>20 to 40</v>
      </c>
    </row>
    <row r="460" spans="1:15" ht="14.4" x14ac:dyDescent="0.3">
      <c r="A460" t="s">
        <v>114</v>
      </c>
      <c r="B460" s="1">
        <v>46175</v>
      </c>
      <c r="C460" t="s">
        <v>118</v>
      </c>
      <c r="D460">
        <v>419</v>
      </c>
      <c r="E460">
        <v>1</v>
      </c>
      <c r="F460">
        <v>41.9</v>
      </c>
      <c r="G460" t="s">
        <v>17</v>
      </c>
      <c r="I460" t="str">
        <f t="shared" si="7"/>
        <v>419_1</v>
      </c>
      <c r="J460" t="s">
        <v>18</v>
      </c>
      <c r="K460" t="s">
        <v>115</v>
      </c>
      <c r="L460" t="str">
        <f>_xlfn.XLOOKUP(C460, Table2[Species],Table2[Genus], "Code Not Found")</f>
        <v>Quercus</v>
      </c>
      <c r="M460" t="str">
        <f>_xlfn.XLOOKUP(C460, Table2[Species],Table2[Sp. Name], "Code Not Found")</f>
        <v>montana</v>
      </c>
      <c r="N460" t="str">
        <f>_xlfn.XLOOKUP(C460,Table2[Species],Table2[Family],"Code Not Found")</f>
        <v>Fagaceae</v>
      </c>
      <c r="O460" t="str" cm="1">
        <f t="array" ref="O460">_xlfn.IFS(F460="","",F460&lt;=5,"0 to 5",F460&lt;=10,"5.1 to 10",F460&lt;=20,"10 to 20", F460&lt;= 40, "20 to 40", F460 &lt;= 50, "40 to 50", F460 &gt; 50, "&gt;50" )</f>
        <v>40 to 50</v>
      </c>
    </row>
    <row r="461" spans="1:15" ht="14.4" x14ac:dyDescent="0.3">
      <c r="A461" t="s">
        <v>114</v>
      </c>
      <c r="B461" s="1">
        <v>46175</v>
      </c>
      <c r="C461" t="s">
        <v>22</v>
      </c>
      <c r="D461">
        <v>420</v>
      </c>
      <c r="E461">
        <v>1</v>
      </c>
      <c r="F461">
        <v>16.7</v>
      </c>
      <c r="G461" t="s">
        <v>21</v>
      </c>
      <c r="I461" t="str">
        <f t="shared" si="7"/>
        <v>420_1</v>
      </c>
      <c r="J461" t="s">
        <v>18</v>
      </c>
      <c r="K461" t="s">
        <v>115</v>
      </c>
      <c r="L461" t="str">
        <f>_xlfn.XLOOKUP(C461, Table2[Species],Table2[Genus], "Code Not Found")</f>
        <v>Acer</v>
      </c>
      <c r="M461" t="str">
        <f>_xlfn.XLOOKUP(C461, Table2[Species],Table2[Sp. Name], "Code Not Found")</f>
        <v>rubrum</v>
      </c>
      <c r="N461" t="str">
        <f>_xlfn.XLOOKUP(C461,Table2[Species],Table2[Family],"Code Not Found")</f>
        <v>Sapindaceae</v>
      </c>
      <c r="O461" t="str" cm="1">
        <f t="array" ref="O461">_xlfn.IFS(F461="","",F461&lt;=5,"0 to 5",F461&lt;=10,"5.1 to 10",F461&lt;=20,"10 to 20", F461&lt;= 40, "20 to 40", F461 &lt;= 50, "40 to 50", F461 &gt; 50, "&gt;50" )</f>
        <v>10 to 20</v>
      </c>
    </row>
    <row r="462" spans="1:15" ht="14.4" x14ac:dyDescent="0.3">
      <c r="A462" t="s">
        <v>114</v>
      </c>
      <c r="B462" s="1">
        <v>46175</v>
      </c>
      <c r="C462" t="s">
        <v>16</v>
      </c>
      <c r="D462">
        <v>421</v>
      </c>
      <c r="E462">
        <v>1</v>
      </c>
      <c r="F462">
        <v>5.3</v>
      </c>
      <c r="G462" t="s">
        <v>17</v>
      </c>
      <c r="I462" t="str">
        <f t="shared" si="7"/>
        <v>421_1</v>
      </c>
      <c r="J462" t="s">
        <v>18</v>
      </c>
      <c r="K462" t="s">
        <v>115</v>
      </c>
      <c r="L462" t="str">
        <f>_xlfn.XLOOKUP(C462, Table2[Species],Table2[Genus], "Code Not Found")</f>
        <v>Acer</v>
      </c>
      <c r="M462" t="str">
        <f>_xlfn.XLOOKUP(C462, Table2[Species],Table2[Sp. Name], "Code Not Found")</f>
        <v>saccharum</v>
      </c>
      <c r="N462" t="str">
        <f>_xlfn.XLOOKUP(C462,Table2[Species],Table2[Family],"Code Not Found")</f>
        <v>Sapindaceae</v>
      </c>
      <c r="O462" t="str" cm="1">
        <f t="array" ref="O462">_xlfn.IFS(F462="","",F462&lt;=5,"0 to 5",F462&lt;=10,"5.1 to 10",F462&lt;=20,"10 to 20", F462&lt;= 40, "20 to 40", F462 &lt;= 50, "40 to 50", F462 &gt; 50, "&gt;50" )</f>
        <v>5.1 to 10</v>
      </c>
    </row>
    <row r="463" spans="1:15" ht="14.4" x14ac:dyDescent="0.3">
      <c r="A463" t="s">
        <v>114</v>
      </c>
      <c r="B463" s="1">
        <v>46175</v>
      </c>
      <c r="C463" t="s">
        <v>118</v>
      </c>
      <c r="D463">
        <v>422</v>
      </c>
      <c r="E463">
        <v>1</v>
      </c>
      <c r="F463">
        <v>36.6</v>
      </c>
      <c r="G463" t="s">
        <v>17</v>
      </c>
      <c r="I463" t="str">
        <f t="shared" si="7"/>
        <v>422_1</v>
      </c>
      <c r="J463" t="s">
        <v>18</v>
      </c>
      <c r="K463" t="s">
        <v>115</v>
      </c>
      <c r="L463" t="str">
        <f>_xlfn.XLOOKUP(C463, Table2[Species],Table2[Genus], "Code Not Found")</f>
        <v>Quercus</v>
      </c>
      <c r="M463" t="str">
        <f>_xlfn.XLOOKUP(C463, Table2[Species],Table2[Sp. Name], "Code Not Found")</f>
        <v>montana</v>
      </c>
      <c r="N463" t="str">
        <f>_xlfn.XLOOKUP(C463,Table2[Species],Table2[Family],"Code Not Found")</f>
        <v>Fagaceae</v>
      </c>
      <c r="O463" t="str" cm="1">
        <f t="array" ref="O463">_xlfn.IFS(F463="","",F463&lt;=5,"0 to 5",F463&lt;=10,"5.1 to 10",F463&lt;=20,"10 to 20", F463&lt;= 40, "20 to 40", F463 &lt;= 50, "40 to 50", F463 &gt; 50, "&gt;50" )</f>
        <v>20 to 40</v>
      </c>
    </row>
    <row r="464" spans="1:15" ht="14.4" x14ac:dyDescent="0.3">
      <c r="A464" t="s">
        <v>114</v>
      </c>
      <c r="B464" s="1">
        <v>46175</v>
      </c>
      <c r="C464" t="s">
        <v>16</v>
      </c>
      <c r="D464">
        <v>423</v>
      </c>
      <c r="E464">
        <v>1</v>
      </c>
      <c r="F464">
        <v>3</v>
      </c>
      <c r="G464" t="s">
        <v>139</v>
      </c>
      <c r="H464" t="s">
        <v>43</v>
      </c>
      <c r="I464" t="str">
        <f t="shared" si="7"/>
        <v>423_1</v>
      </c>
      <c r="J464" t="s">
        <v>18</v>
      </c>
      <c r="K464" t="s">
        <v>115</v>
      </c>
      <c r="L464" t="str">
        <f>_xlfn.XLOOKUP(C464, Table2[Species],Table2[Genus], "Code Not Found")</f>
        <v>Acer</v>
      </c>
      <c r="M464" t="str">
        <f>_xlfn.XLOOKUP(C464, Table2[Species],Table2[Sp. Name], "Code Not Found")</f>
        <v>saccharum</v>
      </c>
      <c r="N464" t="str">
        <f>_xlfn.XLOOKUP(C464,Table2[Species],Table2[Family],"Code Not Found")</f>
        <v>Sapindaceae</v>
      </c>
      <c r="O464" t="str" cm="1">
        <f t="array" ref="O464">_xlfn.IFS(F464="","",F464&lt;=5,"0 to 5",F464&lt;=10,"5.1 to 10",F464&lt;=20,"10 to 20", F464&lt;= 40, "20 to 40", F464 &lt;= 50, "40 to 50", F464 &gt; 50, "&gt;50" )</f>
        <v>0 to 5</v>
      </c>
    </row>
    <row r="465" spans="1:15" ht="14.4" x14ac:dyDescent="0.3">
      <c r="A465" t="s">
        <v>114</v>
      </c>
      <c r="B465" s="1">
        <v>46175</v>
      </c>
      <c r="C465" t="s">
        <v>123</v>
      </c>
      <c r="D465">
        <v>424</v>
      </c>
      <c r="E465">
        <v>1</v>
      </c>
      <c r="F465">
        <v>48.7</v>
      </c>
      <c r="G465" t="s">
        <v>17</v>
      </c>
      <c r="I465" t="str">
        <f t="shared" si="7"/>
        <v>424_1</v>
      </c>
      <c r="J465" t="s">
        <v>18</v>
      </c>
      <c r="K465" t="s">
        <v>115</v>
      </c>
      <c r="L465" t="str">
        <f>_xlfn.XLOOKUP(C465, Table2[Species],Table2[Genus], "Code Not Found")</f>
        <v>Quercus</v>
      </c>
      <c r="M465" t="str">
        <f>_xlfn.XLOOKUP(C465, Table2[Species],Table2[Sp. Name], "Code Not Found")</f>
        <v>rubra</v>
      </c>
      <c r="N465" t="str">
        <f>_xlfn.XLOOKUP(C465,Table2[Species],Table2[Family],"Code Not Found")</f>
        <v>Fagaceae</v>
      </c>
      <c r="O465" t="str" cm="1">
        <f t="array" ref="O465">_xlfn.IFS(F465="","",F465&lt;=5,"0 to 5",F465&lt;=10,"5.1 to 10",F465&lt;=20,"10 to 20", F465&lt;= 40, "20 to 40", F465 &lt;= 50, "40 to 50", F465 &gt; 50, "&gt;50" )</f>
        <v>40 to 50</v>
      </c>
    </row>
    <row r="466" spans="1:15" ht="14.4" x14ac:dyDescent="0.3">
      <c r="A466" t="s">
        <v>114</v>
      </c>
      <c r="B466" s="1">
        <v>46175</v>
      </c>
      <c r="C466" t="s">
        <v>16</v>
      </c>
      <c r="D466">
        <v>425</v>
      </c>
      <c r="E466">
        <v>1</v>
      </c>
      <c r="F466">
        <v>21.1</v>
      </c>
      <c r="G466" t="s">
        <v>21</v>
      </c>
      <c r="I466" t="str">
        <f t="shared" si="7"/>
        <v>425_1</v>
      </c>
      <c r="J466" t="s">
        <v>18</v>
      </c>
      <c r="K466" t="s">
        <v>115</v>
      </c>
      <c r="L466" t="str">
        <f>_xlfn.XLOOKUP(C466, Table2[Species],Table2[Genus], "Code Not Found")</f>
        <v>Acer</v>
      </c>
      <c r="M466" t="str">
        <f>_xlfn.XLOOKUP(C466, Table2[Species],Table2[Sp. Name], "Code Not Found")</f>
        <v>saccharum</v>
      </c>
      <c r="N466" t="str">
        <f>_xlfn.XLOOKUP(C466,Table2[Species],Table2[Family],"Code Not Found")</f>
        <v>Sapindaceae</v>
      </c>
      <c r="O466" t="str" cm="1">
        <f t="array" ref="O466">_xlfn.IFS(F466="","",F466&lt;=5,"0 to 5",F466&lt;=10,"5.1 to 10",F466&lt;=20,"10 to 20", F466&lt;= 40, "20 to 40", F466 &lt;= 50, "40 to 50", F466 &gt; 50, "&gt;50" )</f>
        <v>20 to 40</v>
      </c>
    </row>
    <row r="467" spans="1:15" ht="14.4" x14ac:dyDescent="0.3">
      <c r="A467" t="s">
        <v>114</v>
      </c>
      <c r="B467" s="1">
        <v>46175</v>
      </c>
      <c r="C467" t="s">
        <v>123</v>
      </c>
      <c r="D467">
        <v>426</v>
      </c>
      <c r="E467">
        <v>1</v>
      </c>
      <c r="F467">
        <v>37.4</v>
      </c>
      <c r="G467" t="s">
        <v>17</v>
      </c>
      <c r="H467" t="s">
        <v>36</v>
      </c>
      <c r="I467" t="str">
        <f t="shared" si="7"/>
        <v>426_1</v>
      </c>
      <c r="J467" t="s">
        <v>18</v>
      </c>
      <c r="K467" t="s">
        <v>115</v>
      </c>
      <c r="L467" t="str">
        <f>_xlfn.XLOOKUP(C467, Table2[Species],Table2[Genus], "Code Not Found")</f>
        <v>Quercus</v>
      </c>
      <c r="M467" t="str">
        <f>_xlfn.XLOOKUP(C467, Table2[Species],Table2[Sp. Name], "Code Not Found")</f>
        <v>rubra</v>
      </c>
      <c r="N467" t="str">
        <f>_xlfn.XLOOKUP(C467,Table2[Species],Table2[Family],"Code Not Found")</f>
        <v>Fagaceae</v>
      </c>
      <c r="O467" t="str" cm="1">
        <f t="array" ref="O467">_xlfn.IFS(F467="","",F467&lt;=5,"0 to 5",F467&lt;=10,"5.1 to 10",F467&lt;=20,"10 to 20", F467&lt;= 40, "20 to 40", F467 &lt;= 50, "40 to 50", F467 &gt; 50, "&gt;50" )</f>
        <v>20 to 40</v>
      </c>
    </row>
    <row r="468" spans="1:15" ht="14.4" x14ac:dyDescent="0.3">
      <c r="A468" t="s">
        <v>114</v>
      </c>
      <c r="B468" s="1">
        <v>46175</v>
      </c>
      <c r="C468" t="s">
        <v>16</v>
      </c>
      <c r="D468">
        <v>427</v>
      </c>
      <c r="E468">
        <v>1</v>
      </c>
      <c r="F468">
        <v>5.2</v>
      </c>
      <c r="G468" t="s">
        <v>17</v>
      </c>
      <c r="I468" t="str">
        <f t="shared" si="7"/>
        <v>427_1</v>
      </c>
      <c r="J468" t="s">
        <v>18</v>
      </c>
      <c r="K468" t="s">
        <v>115</v>
      </c>
      <c r="L468" t="str">
        <f>_xlfn.XLOOKUP(C468, Table2[Species],Table2[Genus], "Code Not Found")</f>
        <v>Acer</v>
      </c>
      <c r="M468" t="str">
        <f>_xlfn.XLOOKUP(C468, Table2[Species],Table2[Sp. Name], "Code Not Found")</f>
        <v>saccharum</v>
      </c>
      <c r="N468" t="str">
        <f>_xlfn.XLOOKUP(C468,Table2[Species],Table2[Family],"Code Not Found")</f>
        <v>Sapindaceae</v>
      </c>
      <c r="O468" t="str" cm="1">
        <f t="array" ref="O468">_xlfn.IFS(F468="","",F468&lt;=5,"0 to 5",F468&lt;=10,"5.1 to 10",F468&lt;=20,"10 to 20", F468&lt;= 40, "20 to 40", F468 &lt;= 50, "40 to 50", F468 &gt; 50, "&gt;50" )</f>
        <v>5.1 to 10</v>
      </c>
    </row>
    <row r="469" spans="1:15" ht="14.4" x14ac:dyDescent="0.3">
      <c r="A469" t="s">
        <v>114</v>
      </c>
      <c r="B469" s="1">
        <v>46175</v>
      </c>
      <c r="C469" t="s">
        <v>117</v>
      </c>
      <c r="D469">
        <v>428</v>
      </c>
      <c r="E469">
        <v>1</v>
      </c>
      <c r="F469">
        <v>5.2</v>
      </c>
      <c r="G469" t="s">
        <v>47</v>
      </c>
      <c r="I469" t="str">
        <f t="shared" si="7"/>
        <v>428_1</v>
      </c>
      <c r="J469" t="s">
        <v>18</v>
      </c>
      <c r="K469" t="s">
        <v>115</v>
      </c>
      <c r="L469" t="str">
        <f>_xlfn.XLOOKUP(C469, Table2[Species],Table2[Genus], "Code Not Found")</f>
        <v>Ostrya</v>
      </c>
      <c r="M469" t="str">
        <f>_xlfn.XLOOKUP(C469, Table2[Species],Table2[Sp. Name], "Code Not Found")</f>
        <v>viginiana</v>
      </c>
      <c r="N469" t="str">
        <f>_xlfn.XLOOKUP(C469,Table2[Species],Table2[Family],"Code Not Found")</f>
        <v>Betulaceae</v>
      </c>
      <c r="O469" t="str" cm="1">
        <f t="array" ref="O469">_xlfn.IFS(F469="","",F469&lt;=5,"0 to 5",F469&lt;=10,"5.1 to 10",F469&lt;=20,"10 to 20", F469&lt;= 40, "20 to 40", F469 &lt;= 50, "40 to 50", F469 &gt; 50, "&gt;50" )</f>
        <v>5.1 to 10</v>
      </c>
    </row>
    <row r="470" spans="1:15" ht="14.4" x14ac:dyDescent="0.3">
      <c r="A470" t="s">
        <v>114</v>
      </c>
      <c r="B470" s="1">
        <v>46175</v>
      </c>
      <c r="C470" t="s">
        <v>16</v>
      </c>
      <c r="D470">
        <v>429</v>
      </c>
      <c r="E470">
        <v>1</v>
      </c>
      <c r="F470">
        <v>2.1</v>
      </c>
      <c r="G470" t="s">
        <v>88</v>
      </c>
      <c r="H470" t="s">
        <v>100</v>
      </c>
      <c r="I470" t="str">
        <f t="shared" si="7"/>
        <v>429_1</v>
      </c>
      <c r="J470" t="s">
        <v>18</v>
      </c>
      <c r="K470" t="s">
        <v>115</v>
      </c>
      <c r="L470" t="str">
        <f>_xlfn.XLOOKUP(C470, Table2[Species],Table2[Genus], "Code Not Found")</f>
        <v>Acer</v>
      </c>
      <c r="M470" t="str">
        <f>_xlfn.XLOOKUP(C470, Table2[Species],Table2[Sp. Name], "Code Not Found")</f>
        <v>saccharum</v>
      </c>
      <c r="N470" t="str">
        <f>_xlfn.XLOOKUP(C470,Table2[Species],Table2[Family],"Code Not Found")</f>
        <v>Sapindaceae</v>
      </c>
      <c r="O470" t="str" cm="1">
        <f t="array" ref="O470">_xlfn.IFS(F470="","",F470&lt;=5,"0 to 5",F470&lt;=10,"5.1 to 10",F470&lt;=20,"10 to 20", F470&lt;= 40, "20 to 40", F470 &lt;= 50, "40 to 50", F470 &gt; 50, "&gt;50" )</f>
        <v>0 to 5</v>
      </c>
    </row>
    <row r="471" spans="1:15" ht="14.4" x14ac:dyDescent="0.3">
      <c r="A471" t="s">
        <v>114</v>
      </c>
      <c r="B471" s="1">
        <v>46175</v>
      </c>
      <c r="C471" t="s">
        <v>117</v>
      </c>
      <c r="D471">
        <v>430</v>
      </c>
      <c r="E471">
        <v>1</v>
      </c>
      <c r="F471">
        <v>4.3</v>
      </c>
      <c r="G471" t="s">
        <v>17</v>
      </c>
      <c r="I471" t="str">
        <f t="shared" si="7"/>
        <v>430_1</v>
      </c>
      <c r="J471" t="s">
        <v>18</v>
      </c>
      <c r="K471" t="s">
        <v>115</v>
      </c>
      <c r="L471" t="str">
        <f>_xlfn.XLOOKUP(C471, Table2[Species],Table2[Genus], "Code Not Found")</f>
        <v>Ostrya</v>
      </c>
      <c r="M471" t="str">
        <f>_xlfn.XLOOKUP(C471, Table2[Species],Table2[Sp. Name], "Code Not Found")</f>
        <v>viginiana</v>
      </c>
      <c r="N471" t="str">
        <f>_xlfn.XLOOKUP(C471,Table2[Species],Table2[Family],"Code Not Found")</f>
        <v>Betulaceae</v>
      </c>
      <c r="O471" t="str" cm="1">
        <f t="array" ref="O471">_xlfn.IFS(F471="","",F471&lt;=5,"0 to 5",F471&lt;=10,"5.1 to 10",F471&lt;=20,"10 to 20", F471&lt;= 40, "20 to 40", F471 &lt;= 50, "40 to 50", F471 &gt; 50, "&gt;50" )</f>
        <v>0 to 5</v>
      </c>
    </row>
    <row r="472" spans="1:15" ht="14.4" x14ac:dyDescent="0.3">
      <c r="A472" t="s">
        <v>114</v>
      </c>
      <c r="B472" s="1">
        <v>46175</v>
      </c>
      <c r="C472" t="s">
        <v>64</v>
      </c>
      <c r="D472">
        <v>431</v>
      </c>
      <c r="E472">
        <v>1</v>
      </c>
      <c r="F472">
        <v>1.5</v>
      </c>
      <c r="G472" t="s">
        <v>88</v>
      </c>
      <c r="H472" t="s">
        <v>99</v>
      </c>
      <c r="I472" t="str">
        <f t="shared" si="7"/>
        <v>431_1</v>
      </c>
      <c r="J472" t="s">
        <v>18</v>
      </c>
      <c r="K472" t="s">
        <v>115</v>
      </c>
      <c r="L472" t="str">
        <f>_xlfn.XLOOKUP(C472, Table2[Species],Table2[Genus], "Code Not Found")</f>
        <v>Fagus</v>
      </c>
      <c r="M472" t="str">
        <f>_xlfn.XLOOKUP(C472, Table2[Species],Table2[Sp. Name], "Code Not Found")</f>
        <v>grandifolia</v>
      </c>
      <c r="N472" t="str">
        <f>_xlfn.XLOOKUP(C472,Table2[Species],Table2[Family],"Code Not Found")</f>
        <v>Fagaceae</v>
      </c>
      <c r="O472" t="str" cm="1">
        <f t="array" ref="O472">_xlfn.IFS(F472="","",F472&lt;=5,"0 to 5",F472&lt;=10,"5.1 to 10",F472&lt;=20,"10 to 20", F472&lt;= 40, "20 to 40", F472 &lt;= 50, "40 to 50", F472 &gt; 50, "&gt;50" )</f>
        <v>0 to 5</v>
      </c>
    </row>
    <row r="473" spans="1:15" ht="14.4" x14ac:dyDescent="0.3">
      <c r="A473" t="s">
        <v>114</v>
      </c>
      <c r="B473" s="1">
        <v>46175</v>
      </c>
      <c r="C473" t="s">
        <v>16</v>
      </c>
      <c r="D473">
        <v>432</v>
      </c>
      <c r="E473">
        <v>1</v>
      </c>
      <c r="F473">
        <v>14.4</v>
      </c>
      <c r="G473" t="s">
        <v>21</v>
      </c>
      <c r="I473" t="str">
        <f t="shared" si="7"/>
        <v>432_1</v>
      </c>
      <c r="J473" t="s">
        <v>18</v>
      </c>
      <c r="K473" t="s">
        <v>115</v>
      </c>
      <c r="L473" t="str">
        <f>_xlfn.XLOOKUP(C473, Table2[Species],Table2[Genus], "Code Not Found")</f>
        <v>Acer</v>
      </c>
      <c r="M473" t="str">
        <f>_xlfn.XLOOKUP(C473, Table2[Species],Table2[Sp. Name], "Code Not Found")</f>
        <v>saccharum</v>
      </c>
      <c r="N473" t="str">
        <f>_xlfn.XLOOKUP(C473,Table2[Species],Table2[Family],"Code Not Found")</f>
        <v>Sapindaceae</v>
      </c>
      <c r="O473" t="str" cm="1">
        <f t="array" ref="O473">_xlfn.IFS(F473="","",F473&lt;=5,"0 to 5",F473&lt;=10,"5.1 to 10",F473&lt;=20,"10 to 20", F473&lt;= 40, "20 to 40", F473 &lt;= 50, "40 to 50", F473 &gt; 50, "&gt;50" )</f>
        <v>10 to 20</v>
      </c>
    </row>
    <row r="474" spans="1:15" ht="14.4" x14ac:dyDescent="0.3">
      <c r="A474" t="s">
        <v>114</v>
      </c>
      <c r="B474" s="1">
        <v>46175</v>
      </c>
      <c r="C474" t="s">
        <v>16</v>
      </c>
      <c r="D474">
        <v>433</v>
      </c>
      <c r="E474">
        <v>1</v>
      </c>
      <c r="F474">
        <v>6</v>
      </c>
      <c r="G474" t="s">
        <v>17</v>
      </c>
      <c r="I474" t="str">
        <f t="shared" si="7"/>
        <v>433_1</v>
      </c>
      <c r="J474" t="s">
        <v>18</v>
      </c>
      <c r="K474" t="s">
        <v>115</v>
      </c>
      <c r="L474" t="str">
        <f>_xlfn.XLOOKUP(C474, Table2[Species],Table2[Genus], "Code Not Found")</f>
        <v>Acer</v>
      </c>
      <c r="M474" t="str">
        <f>_xlfn.XLOOKUP(C474, Table2[Species],Table2[Sp. Name], "Code Not Found")</f>
        <v>saccharum</v>
      </c>
      <c r="N474" t="str">
        <f>_xlfn.XLOOKUP(C474,Table2[Species],Table2[Family],"Code Not Found")</f>
        <v>Sapindaceae</v>
      </c>
      <c r="O474" t="str" cm="1">
        <f t="array" ref="O474">_xlfn.IFS(F474="","",F474&lt;=5,"0 to 5",F474&lt;=10,"5.1 to 10",F474&lt;=20,"10 to 20", F474&lt;= 40, "20 to 40", F474 &lt;= 50, "40 to 50", F474 &gt; 50, "&gt;50" )</f>
        <v>5.1 to 10</v>
      </c>
    </row>
    <row r="475" spans="1:15" ht="14.4" x14ac:dyDescent="0.3">
      <c r="A475" t="s">
        <v>114</v>
      </c>
      <c r="B475" s="1">
        <v>46175</v>
      </c>
      <c r="C475" t="s">
        <v>22</v>
      </c>
      <c r="D475">
        <v>434</v>
      </c>
      <c r="E475">
        <v>1</v>
      </c>
      <c r="F475">
        <v>9.9</v>
      </c>
      <c r="G475" t="s">
        <v>21</v>
      </c>
      <c r="I475" t="str">
        <f t="shared" si="7"/>
        <v>434_1</v>
      </c>
      <c r="J475" t="s">
        <v>18</v>
      </c>
      <c r="K475" t="s">
        <v>115</v>
      </c>
      <c r="L475" t="str">
        <f>_xlfn.XLOOKUP(C475, Table2[Species],Table2[Genus], "Code Not Found")</f>
        <v>Acer</v>
      </c>
      <c r="M475" t="str">
        <f>_xlfn.XLOOKUP(C475, Table2[Species],Table2[Sp. Name], "Code Not Found")</f>
        <v>rubrum</v>
      </c>
      <c r="N475" t="str">
        <f>_xlfn.XLOOKUP(C475,Table2[Species],Table2[Family],"Code Not Found")</f>
        <v>Sapindaceae</v>
      </c>
      <c r="O475" t="str" cm="1">
        <f t="array" ref="O475">_xlfn.IFS(F475="","",F475&lt;=5,"0 to 5",F475&lt;=10,"5.1 to 10",F475&lt;=20,"10 to 20", F475&lt;= 40, "20 to 40", F475 &lt;= 50, "40 to 50", F475 &gt; 50, "&gt;50" )</f>
        <v>5.1 to 10</v>
      </c>
    </row>
    <row r="476" spans="1:15" ht="14.4" x14ac:dyDescent="0.3">
      <c r="A476" t="s">
        <v>114</v>
      </c>
      <c r="B476" s="1">
        <v>46175</v>
      </c>
      <c r="C476" t="s">
        <v>55</v>
      </c>
      <c r="D476">
        <v>435</v>
      </c>
      <c r="E476">
        <v>1</v>
      </c>
      <c r="F476">
        <v>3.1</v>
      </c>
      <c r="G476" t="s">
        <v>17</v>
      </c>
      <c r="H476" t="s">
        <v>152</v>
      </c>
      <c r="I476" t="str">
        <f t="shared" si="7"/>
        <v>435_1</v>
      </c>
      <c r="J476" t="s">
        <v>18</v>
      </c>
      <c r="K476" t="s">
        <v>115</v>
      </c>
      <c r="L476" t="str">
        <f>_xlfn.XLOOKUP(C476, Table2[Species],Table2[Genus], "Code Not Found")</f>
        <v>Magnolia</v>
      </c>
      <c r="M476" t="str">
        <f>_xlfn.XLOOKUP(C476, Table2[Species],Table2[Sp. Name], "Code Not Found")</f>
        <v>acuminata</v>
      </c>
      <c r="N476" t="str">
        <f>_xlfn.XLOOKUP(C476,Table2[Species],Table2[Family],"Code Not Found")</f>
        <v>Magnoliaceae</v>
      </c>
      <c r="O476" t="str" cm="1">
        <f t="array" ref="O476">_xlfn.IFS(F476="","",F476&lt;=5,"0 to 5",F476&lt;=10,"5.1 to 10",F476&lt;=20,"10 to 20", F476&lt;= 40, "20 to 40", F476 &lt;= 50, "40 to 50", F476 &gt; 50, "&gt;50" )</f>
        <v>0 to 5</v>
      </c>
    </row>
    <row r="477" spans="1:15" ht="14.4" x14ac:dyDescent="0.3">
      <c r="A477" t="s">
        <v>114</v>
      </c>
      <c r="B477" s="1">
        <v>46175</v>
      </c>
      <c r="C477" t="s">
        <v>64</v>
      </c>
      <c r="D477">
        <v>436</v>
      </c>
      <c r="E477">
        <v>1</v>
      </c>
      <c r="F477">
        <v>3.9</v>
      </c>
      <c r="G477" t="s">
        <v>21</v>
      </c>
      <c r="I477" t="str">
        <f t="shared" si="7"/>
        <v>436_1</v>
      </c>
      <c r="J477" t="s">
        <v>18</v>
      </c>
      <c r="K477" t="s">
        <v>115</v>
      </c>
      <c r="L477" t="str">
        <f>_xlfn.XLOOKUP(C477, Table2[Species],Table2[Genus], "Code Not Found")</f>
        <v>Fagus</v>
      </c>
      <c r="M477" t="str">
        <f>_xlfn.XLOOKUP(C477, Table2[Species],Table2[Sp. Name], "Code Not Found")</f>
        <v>grandifolia</v>
      </c>
      <c r="N477" t="str">
        <f>_xlfn.XLOOKUP(C477,Table2[Species],Table2[Family],"Code Not Found")</f>
        <v>Fagaceae</v>
      </c>
      <c r="O477" t="str" cm="1">
        <f t="array" ref="O477">_xlfn.IFS(F477="","",F477&lt;=5,"0 to 5",F477&lt;=10,"5.1 to 10",F477&lt;=20,"10 to 20", F477&lt;= 40, "20 to 40", F477 &lt;= 50, "40 to 50", F477 &gt; 50, "&gt;50" )</f>
        <v>0 to 5</v>
      </c>
    </row>
    <row r="478" spans="1:15" ht="14.4" x14ac:dyDescent="0.3">
      <c r="A478" t="s">
        <v>114</v>
      </c>
      <c r="B478" s="1">
        <v>46175</v>
      </c>
      <c r="C478" t="s">
        <v>16</v>
      </c>
      <c r="D478">
        <v>437</v>
      </c>
      <c r="E478">
        <v>1</v>
      </c>
      <c r="F478">
        <v>31.3</v>
      </c>
      <c r="G478" t="s">
        <v>21</v>
      </c>
      <c r="I478" t="str">
        <f t="shared" si="7"/>
        <v>437_1</v>
      </c>
      <c r="J478" t="s">
        <v>18</v>
      </c>
      <c r="K478" t="s">
        <v>115</v>
      </c>
      <c r="L478" t="str">
        <f>_xlfn.XLOOKUP(C478, Table2[Species],Table2[Genus], "Code Not Found")</f>
        <v>Acer</v>
      </c>
      <c r="M478" t="str">
        <f>_xlfn.XLOOKUP(C478, Table2[Species],Table2[Sp. Name], "Code Not Found")</f>
        <v>saccharum</v>
      </c>
      <c r="N478" t="str">
        <f>_xlfn.XLOOKUP(C478,Table2[Species],Table2[Family],"Code Not Found")</f>
        <v>Sapindaceae</v>
      </c>
      <c r="O478" t="str" cm="1">
        <f t="array" ref="O478">_xlfn.IFS(F478="","",F478&lt;=5,"0 to 5",F478&lt;=10,"5.1 to 10",F478&lt;=20,"10 to 20", F478&lt;= 40, "20 to 40", F478 &lt;= 50, "40 to 50", F478 &gt; 50, "&gt;50" )</f>
        <v>20 to 40</v>
      </c>
    </row>
    <row r="479" spans="1:15" ht="14.4" x14ac:dyDescent="0.3">
      <c r="A479" t="s">
        <v>114</v>
      </c>
      <c r="B479" s="1">
        <v>46175</v>
      </c>
      <c r="C479" t="s">
        <v>16</v>
      </c>
      <c r="D479">
        <v>438</v>
      </c>
      <c r="E479">
        <v>1</v>
      </c>
      <c r="F479">
        <v>8.9</v>
      </c>
      <c r="G479" t="s">
        <v>21</v>
      </c>
      <c r="I479" t="str">
        <f t="shared" si="7"/>
        <v>438_1</v>
      </c>
      <c r="J479" t="s">
        <v>18</v>
      </c>
      <c r="K479" t="s">
        <v>115</v>
      </c>
      <c r="L479" t="str">
        <f>_xlfn.XLOOKUP(C479, Table2[Species],Table2[Genus], "Code Not Found")</f>
        <v>Acer</v>
      </c>
      <c r="M479" t="str">
        <f>_xlfn.XLOOKUP(C479, Table2[Species],Table2[Sp. Name], "Code Not Found")</f>
        <v>saccharum</v>
      </c>
      <c r="N479" t="str">
        <f>_xlfn.XLOOKUP(C479,Table2[Species],Table2[Family],"Code Not Found")</f>
        <v>Sapindaceae</v>
      </c>
      <c r="O479" t="str" cm="1">
        <f t="array" ref="O479">_xlfn.IFS(F479="","",F479&lt;=5,"0 to 5",F479&lt;=10,"5.1 to 10",F479&lt;=20,"10 to 20", F479&lt;= 40, "20 to 40", F479 &lt;= 50, "40 to 50", F479 &gt; 50, "&gt;50" )</f>
        <v>5.1 to 10</v>
      </c>
    </row>
    <row r="480" spans="1:15" ht="14.4" x14ac:dyDescent="0.3">
      <c r="A480" t="s">
        <v>114</v>
      </c>
      <c r="B480" s="1">
        <v>46175</v>
      </c>
      <c r="C480" t="s">
        <v>16</v>
      </c>
      <c r="D480">
        <v>439</v>
      </c>
      <c r="E480">
        <v>1</v>
      </c>
      <c r="F480">
        <v>10.8</v>
      </c>
      <c r="G480" t="s">
        <v>21</v>
      </c>
      <c r="I480" t="str">
        <f t="shared" si="7"/>
        <v>439_1</v>
      </c>
      <c r="J480" t="s">
        <v>18</v>
      </c>
      <c r="K480" t="s">
        <v>115</v>
      </c>
      <c r="L480" t="str">
        <f>_xlfn.XLOOKUP(C480, Table2[Species],Table2[Genus], "Code Not Found")</f>
        <v>Acer</v>
      </c>
      <c r="M480" t="str">
        <f>_xlfn.XLOOKUP(C480, Table2[Species],Table2[Sp. Name], "Code Not Found")</f>
        <v>saccharum</v>
      </c>
      <c r="N480" t="str">
        <f>_xlfn.XLOOKUP(C480,Table2[Species],Table2[Family],"Code Not Found")</f>
        <v>Sapindaceae</v>
      </c>
      <c r="O480" t="str" cm="1">
        <f t="array" ref="O480">_xlfn.IFS(F480="","",F480&lt;=5,"0 to 5",F480&lt;=10,"5.1 to 10",F480&lt;=20,"10 to 20", F480&lt;= 40, "20 to 40", F480 &lt;= 50, "40 to 50", F480 &gt; 50, "&gt;50" )</f>
        <v>10 to 20</v>
      </c>
    </row>
    <row r="481" spans="1:15" ht="14.4" x14ac:dyDescent="0.3">
      <c r="A481" t="s">
        <v>114</v>
      </c>
      <c r="B481" s="1">
        <v>46175</v>
      </c>
      <c r="C481" t="s">
        <v>64</v>
      </c>
      <c r="D481">
        <v>440</v>
      </c>
      <c r="E481">
        <v>1</v>
      </c>
      <c r="F481">
        <v>6.7</v>
      </c>
      <c r="G481" t="s">
        <v>21</v>
      </c>
      <c r="I481" t="str">
        <f t="shared" si="7"/>
        <v>440_1</v>
      </c>
      <c r="J481" t="s">
        <v>18</v>
      </c>
      <c r="K481" t="s">
        <v>115</v>
      </c>
      <c r="L481" t="str">
        <f>_xlfn.XLOOKUP(C481, Table2[Species],Table2[Genus], "Code Not Found")</f>
        <v>Fagus</v>
      </c>
      <c r="M481" t="str">
        <f>_xlfn.XLOOKUP(C481, Table2[Species],Table2[Sp. Name], "Code Not Found")</f>
        <v>grandifolia</v>
      </c>
      <c r="N481" t="str">
        <f>_xlfn.XLOOKUP(C481,Table2[Species],Table2[Family],"Code Not Found")</f>
        <v>Fagaceae</v>
      </c>
      <c r="O481" t="str" cm="1">
        <f t="array" ref="O481">_xlfn.IFS(F481="","",F481&lt;=5,"0 to 5",F481&lt;=10,"5.1 to 10",F481&lt;=20,"10 to 20", F481&lt;= 40, "20 to 40", F481 &lt;= 50, "40 to 50", F481 &gt; 50, "&gt;50" )</f>
        <v>5.1 to 10</v>
      </c>
    </row>
    <row r="482" spans="1:15" ht="14.4" x14ac:dyDescent="0.3">
      <c r="A482" t="s">
        <v>114</v>
      </c>
      <c r="B482" s="1">
        <v>46175</v>
      </c>
      <c r="C482" t="s">
        <v>59</v>
      </c>
      <c r="D482">
        <v>441</v>
      </c>
      <c r="E482">
        <v>1</v>
      </c>
      <c r="F482">
        <v>7.2</v>
      </c>
      <c r="G482" t="s">
        <v>21</v>
      </c>
      <c r="I482" t="str">
        <f t="shared" si="7"/>
        <v>441_1</v>
      </c>
      <c r="J482" t="s">
        <v>18</v>
      </c>
      <c r="K482" t="s">
        <v>115</v>
      </c>
      <c r="L482" t="str">
        <f>_xlfn.XLOOKUP(C482, Table2[Species],Table2[Genus], "Code Not Found")</f>
        <v>Nyssa</v>
      </c>
      <c r="M482" t="str">
        <f>_xlfn.XLOOKUP(C482, Table2[Species],Table2[Sp. Name], "Code Not Found")</f>
        <v>sylvatica</v>
      </c>
      <c r="N482" t="str">
        <f>_xlfn.XLOOKUP(C482,Table2[Species],Table2[Family],"Code Not Found")</f>
        <v>Nyssaceae</v>
      </c>
      <c r="O482" t="str" cm="1">
        <f t="array" ref="O482">_xlfn.IFS(F482="","",F482&lt;=5,"0 to 5",F482&lt;=10,"5.1 to 10",F482&lt;=20,"10 to 20", F482&lt;= 40, "20 to 40", F482 &lt;= 50, "40 to 50", F482 &gt; 50, "&gt;50" )</f>
        <v>5.1 to 10</v>
      </c>
    </row>
    <row r="483" spans="1:15" ht="14.4" x14ac:dyDescent="0.3">
      <c r="A483" t="s">
        <v>114</v>
      </c>
      <c r="B483" s="1">
        <v>46175</v>
      </c>
      <c r="C483" t="s">
        <v>20</v>
      </c>
      <c r="D483">
        <v>442</v>
      </c>
      <c r="E483">
        <v>1</v>
      </c>
      <c r="F483">
        <v>4.9000000000000004</v>
      </c>
      <c r="G483" t="s">
        <v>153</v>
      </c>
      <c r="H483" t="s">
        <v>154</v>
      </c>
      <c r="I483" t="str">
        <f t="shared" si="7"/>
        <v>442_1</v>
      </c>
      <c r="J483" t="s">
        <v>18</v>
      </c>
      <c r="K483" t="s">
        <v>115</v>
      </c>
      <c r="L483" t="str">
        <f>_xlfn.XLOOKUP(C483, Table2[Species],Table2[Genus], "Code Not Found")</f>
        <v>Prunus</v>
      </c>
      <c r="M483" t="str">
        <f>_xlfn.XLOOKUP(C483, Table2[Species],Table2[Sp. Name], "Code Not Found")</f>
        <v>serotina</v>
      </c>
      <c r="N483" t="str">
        <f>_xlfn.XLOOKUP(C483,Table2[Species],Table2[Family],"Code Not Found")</f>
        <v>Rosaceae</v>
      </c>
      <c r="O483" t="str" cm="1">
        <f t="array" ref="O483">_xlfn.IFS(F483="","",F483&lt;=5,"0 to 5",F483&lt;=10,"5.1 to 10",F483&lt;=20,"10 to 20", F483&lt;= 40, "20 to 40", F483 &lt;= 50, "40 to 50", F483 &gt; 50, "&gt;50" )</f>
        <v>0 to 5</v>
      </c>
    </row>
    <row r="484" spans="1:15" ht="14.4" x14ac:dyDescent="0.3">
      <c r="A484" t="s">
        <v>114</v>
      </c>
      <c r="B484" s="1">
        <v>46175</v>
      </c>
      <c r="C484" t="s">
        <v>22</v>
      </c>
      <c r="D484">
        <v>443</v>
      </c>
      <c r="E484">
        <v>1</v>
      </c>
      <c r="F484">
        <v>2.2999999999999998</v>
      </c>
      <c r="G484" t="s">
        <v>17</v>
      </c>
      <c r="I484" t="str">
        <f t="shared" si="7"/>
        <v>443_1</v>
      </c>
      <c r="J484" t="s">
        <v>18</v>
      </c>
      <c r="K484" t="s">
        <v>115</v>
      </c>
      <c r="L484" t="str">
        <f>_xlfn.XLOOKUP(C484, Table2[Species],Table2[Genus], "Code Not Found")</f>
        <v>Acer</v>
      </c>
      <c r="M484" t="str">
        <f>_xlfn.XLOOKUP(C484, Table2[Species],Table2[Sp. Name], "Code Not Found")</f>
        <v>rubrum</v>
      </c>
      <c r="N484" t="str">
        <f>_xlfn.XLOOKUP(C484,Table2[Species],Table2[Family],"Code Not Found")</f>
        <v>Sapindaceae</v>
      </c>
      <c r="O484" t="str" cm="1">
        <f t="array" ref="O484">_xlfn.IFS(F484="","",F484&lt;=5,"0 to 5",F484&lt;=10,"5.1 to 10",F484&lt;=20,"10 to 20", F484&lt;= 40, "20 to 40", F484 &lt;= 50, "40 to 50", F484 &gt; 50, "&gt;50" )</f>
        <v>0 to 5</v>
      </c>
    </row>
    <row r="485" spans="1:15" ht="14.4" x14ac:dyDescent="0.3">
      <c r="A485" t="s">
        <v>114</v>
      </c>
      <c r="B485" s="1">
        <v>46175</v>
      </c>
      <c r="C485" t="s">
        <v>16</v>
      </c>
      <c r="D485">
        <v>444</v>
      </c>
      <c r="E485">
        <v>1</v>
      </c>
      <c r="F485">
        <v>3.3</v>
      </c>
      <c r="G485" t="s">
        <v>21</v>
      </c>
      <c r="H485" t="s">
        <v>155</v>
      </c>
      <c r="I485" t="str">
        <f t="shared" si="7"/>
        <v>444_1</v>
      </c>
      <c r="J485" t="s">
        <v>18</v>
      </c>
      <c r="K485" t="s">
        <v>115</v>
      </c>
      <c r="L485" t="str">
        <f>_xlfn.XLOOKUP(C485, Table2[Species],Table2[Genus], "Code Not Found")</f>
        <v>Acer</v>
      </c>
      <c r="M485" t="str">
        <f>_xlfn.XLOOKUP(C485, Table2[Species],Table2[Sp. Name], "Code Not Found")</f>
        <v>saccharum</v>
      </c>
      <c r="N485" t="str">
        <f>_xlfn.XLOOKUP(C485,Table2[Species],Table2[Family],"Code Not Found")</f>
        <v>Sapindaceae</v>
      </c>
      <c r="O485" t="str" cm="1">
        <f t="array" ref="O485">_xlfn.IFS(F485="","",F485&lt;=5,"0 to 5",F485&lt;=10,"5.1 to 10",F485&lt;=20,"10 to 20", F485&lt;= 40, "20 to 40", F485 &lt;= 50, "40 to 50", F485 &gt; 50, "&gt;50" )</f>
        <v>0 to 5</v>
      </c>
    </row>
    <row r="486" spans="1:15" ht="14.4" x14ac:dyDescent="0.3">
      <c r="A486" t="s">
        <v>114</v>
      </c>
      <c r="B486" s="1">
        <v>46175</v>
      </c>
      <c r="C486" t="s">
        <v>16</v>
      </c>
      <c r="D486">
        <v>445</v>
      </c>
      <c r="E486">
        <v>1</v>
      </c>
      <c r="F486">
        <v>3.2</v>
      </c>
      <c r="G486" t="s">
        <v>156</v>
      </c>
      <c r="I486" t="str">
        <f t="shared" si="7"/>
        <v>445_1</v>
      </c>
      <c r="J486" t="s">
        <v>18</v>
      </c>
      <c r="K486" t="s">
        <v>115</v>
      </c>
      <c r="L486" t="str">
        <f>_xlfn.XLOOKUP(C486, Table2[Species],Table2[Genus], "Code Not Found")</f>
        <v>Acer</v>
      </c>
      <c r="M486" t="str">
        <f>_xlfn.XLOOKUP(C486, Table2[Species],Table2[Sp. Name], "Code Not Found")</f>
        <v>saccharum</v>
      </c>
      <c r="N486" t="str">
        <f>_xlfn.XLOOKUP(C486,Table2[Species],Table2[Family],"Code Not Found")</f>
        <v>Sapindaceae</v>
      </c>
      <c r="O486" t="str" cm="1">
        <f t="array" ref="O486">_xlfn.IFS(F486="","",F486&lt;=5,"0 to 5",F486&lt;=10,"5.1 to 10",F486&lt;=20,"10 to 20", F486&lt;= 40, "20 to 40", F486 &lt;= 50, "40 to 50", F486 &gt; 50, "&gt;50" )</f>
        <v>0 to 5</v>
      </c>
    </row>
    <row r="487" spans="1:15" ht="14.4" x14ac:dyDescent="0.3">
      <c r="A487" t="s">
        <v>114</v>
      </c>
      <c r="B487" s="1">
        <v>46175</v>
      </c>
      <c r="C487" t="s">
        <v>22</v>
      </c>
      <c r="D487">
        <v>446</v>
      </c>
      <c r="E487">
        <v>1</v>
      </c>
      <c r="F487">
        <v>5.4</v>
      </c>
      <c r="G487" t="s">
        <v>103</v>
      </c>
      <c r="I487" t="str">
        <f t="shared" si="7"/>
        <v>446_1</v>
      </c>
      <c r="J487" t="s">
        <v>18</v>
      </c>
      <c r="K487" t="s">
        <v>115</v>
      </c>
      <c r="L487" t="str">
        <f>_xlfn.XLOOKUP(C487, Table2[Species],Table2[Genus], "Code Not Found")</f>
        <v>Acer</v>
      </c>
      <c r="M487" t="str">
        <f>_xlfn.XLOOKUP(C487, Table2[Species],Table2[Sp. Name], "Code Not Found")</f>
        <v>rubrum</v>
      </c>
      <c r="N487" t="str">
        <f>_xlfn.XLOOKUP(C487,Table2[Species],Table2[Family],"Code Not Found")</f>
        <v>Sapindaceae</v>
      </c>
      <c r="O487" t="str" cm="1">
        <f t="array" ref="O487">_xlfn.IFS(F487="","",F487&lt;=5,"0 to 5",F487&lt;=10,"5.1 to 10",F487&lt;=20,"10 to 20", F487&lt;= 40, "20 to 40", F487 &lt;= 50, "40 to 50", F487 &gt; 50, "&gt;50" )</f>
        <v>5.1 to 10</v>
      </c>
    </row>
    <row r="488" spans="1:15" ht="14.4" x14ac:dyDescent="0.3">
      <c r="A488" t="s">
        <v>114</v>
      </c>
      <c r="B488" s="1">
        <v>46175</v>
      </c>
      <c r="C488" t="s">
        <v>22</v>
      </c>
      <c r="D488">
        <v>447</v>
      </c>
      <c r="E488">
        <v>1</v>
      </c>
      <c r="F488">
        <v>4.5999999999999996</v>
      </c>
      <c r="G488" t="s">
        <v>17</v>
      </c>
      <c r="H488" t="s">
        <v>157</v>
      </c>
      <c r="I488" t="str">
        <f t="shared" si="7"/>
        <v>447_1</v>
      </c>
      <c r="J488" t="s">
        <v>18</v>
      </c>
      <c r="K488" t="s">
        <v>115</v>
      </c>
      <c r="L488" t="str">
        <f>_xlfn.XLOOKUP(C488, Table2[Species],Table2[Genus], "Code Not Found")</f>
        <v>Acer</v>
      </c>
      <c r="M488" t="str">
        <f>_xlfn.XLOOKUP(C488, Table2[Species],Table2[Sp. Name], "Code Not Found")</f>
        <v>rubrum</v>
      </c>
      <c r="N488" t="str">
        <f>_xlfn.XLOOKUP(C488,Table2[Species],Table2[Family],"Code Not Found")</f>
        <v>Sapindaceae</v>
      </c>
      <c r="O488" t="str" cm="1">
        <f t="array" ref="O488">_xlfn.IFS(F488="","",F488&lt;=5,"0 to 5",F488&lt;=10,"5.1 to 10",F488&lt;=20,"10 to 20", F488&lt;= 40, "20 to 40", F488 &lt;= 50, "40 to 50", F488 &gt; 50, "&gt;50" )</f>
        <v>0 to 5</v>
      </c>
    </row>
    <row r="489" spans="1:15" ht="14.4" x14ac:dyDescent="0.3">
      <c r="A489" t="s">
        <v>114</v>
      </c>
      <c r="B489" s="1">
        <v>46175</v>
      </c>
      <c r="C489" t="s">
        <v>16</v>
      </c>
      <c r="D489">
        <v>448</v>
      </c>
      <c r="E489">
        <v>1</v>
      </c>
      <c r="F489">
        <v>15.7</v>
      </c>
      <c r="G489" t="s">
        <v>21</v>
      </c>
      <c r="I489" t="str">
        <f t="shared" si="7"/>
        <v>448_1</v>
      </c>
      <c r="J489" t="s">
        <v>18</v>
      </c>
      <c r="K489" t="s">
        <v>115</v>
      </c>
      <c r="L489" t="str">
        <f>_xlfn.XLOOKUP(C489, Table2[Species],Table2[Genus], "Code Not Found")</f>
        <v>Acer</v>
      </c>
      <c r="M489" t="str">
        <f>_xlfn.XLOOKUP(C489, Table2[Species],Table2[Sp. Name], "Code Not Found")</f>
        <v>saccharum</v>
      </c>
      <c r="N489" t="str">
        <f>_xlfn.XLOOKUP(C489,Table2[Species],Table2[Family],"Code Not Found")</f>
        <v>Sapindaceae</v>
      </c>
      <c r="O489" t="str" cm="1">
        <f t="array" ref="O489">_xlfn.IFS(F489="","",F489&lt;=5,"0 to 5",F489&lt;=10,"5.1 to 10",F489&lt;=20,"10 to 20", F489&lt;= 40, "20 to 40", F489 &lt;= 50, "40 to 50", F489 &gt; 50, "&gt;50" )</f>
        <v>10 to 20</v>
      </c>
    </row>
    <row r="490" spans="1:15" ht="14.4" x14ac:dyDescent="0.3">
      <c r="A490" t="s">
        <v>114</v>
      </c>
      <c r="B490" s="1">
        <v>46175</v>
      </c>
      <c r="C490" t="s">
        <v>16</v>
      </c>
      <c r="D490">
        <v>449</v>
      </c>
      <c r="E490">
        <v>1</v>
      </c>
      <c r="F490">
        <v>1.8</v>
      </c>
      <c r="G490" t="s">
        <v>21</v>
      </c>
      <c r="I490" t="str">
        <f t="shared" si="7"/>
        <v>449_1</v>
      </c>
      <c r="J490" t="s">
        <v>18</v>
      </c>
      <c r="K490" t="s">
        <v>115</v>
      </c>
      <c r="L490" t="str">
        <f>_xlfn.XLOOKUP(C490, Table2[Species],Table2[Genus], "Code Not Found")</f>
        <v>Acer</v>
      </c>
      <c r="M490" t="str">
        <f>_xlfn.XLOOKUP(C490, Table2[Species],Table2[Sp. Name], "Code Not Found")</f>
        <v>saccharum</v>
      </c>
      <c r="N490" t="str">
        <f>_xlfn.XLOOKUP(C490,Table2[Species],Table2[Family],"Code Not Found")</f>
        <v>Sapindaceae</v>
      </c>
      <c r="O490" t="str" cm="1">
        <f t="array" ref="O490">_xlfn.IFS(F490="","",F490&lt;=5,"0 to 5",F490&lt;=10,"5.1 to 10",F490&lt;=20,"10 to 20", F490&lt;= 40, "20 to 40", F490 &lt;= 50, "40 to 50", F490 &gt; 50, "&gt;50" )</f>
        <v>0 to 5</v>
      </c>
    </row>
    <row r="491" spans="1:15" ht="14.4" x14ac:dyDescent="0.3">
      <c r="A491" t="s">
        <v>114</v>
      </c>
      <c r="B491" s="1">
        <v>46175</v>
      </c>
      <c r="C491" t="s">
        <v>16</v>
      </c>
      <c r="D491">
        <v>450</v>
      </c>
      <c r="E491">
        <v>1</v>
      </c>
      <c r="F491">
        <v>15.4</v>
      </c>
      <c r="G491" t="s">
        <v>17</v>
      </c>
      <c r="H491" t="s">
        <v>157</v>
      </c>
      <c r="I491" t="str">
        <f t="shared" si="7"/>
        <v>450_1</v>
      </c>
      <c r="J491" t="s">
        <v>18</v>
      </c>
      <c r="K491" t="s">
        <v>115</v>
      </c>
      <c r="L491" t="str">
        <f>_xlfn.XLOOKUP(C491, Table2[Species],Table2[Genus], "Code Not Found")</f>
        <v>Acer</v>
      </c>
      <c r="M491" t="str">
        <f>_xlfn.XLOOKUP(C491, Table2[Species],Table2[Sp. Name], "Code Not Found")</f>
        <v>saccharum</v>
      </c>
      <c r="N491" t="str">
        <f>_xlfn.XLOOKUP(C491,Table2[Species],Table2[Family],"Code Not Found")</f>
        <v>Sapindaceae</v>
      </c>
      <c r="O491" t="str" cm="1">
        <f t="array" ref="O491">_xlfn.IFS(F491="","",F491&lt;=5,"0 to 5",F491&lt;=10,"5.1 to 10",F491&lt;=20,"10 to 20", F491&lt;= 40, "20 to 40", F491 &lt;= 50, "40 to 50", F491 &gt; 50, "&gt;50" )</f>
        <v>10 to 20</v>
      </c>
    </row>
    <row r="492" spans="1:15" ht="14.4" x14ac:dyDescent="0.3">
      <c r="A492" t="s">
        <v>114</v>
      </c>
      <c r="B492" s="1">
        <v>46175</v>
      </c>
      <c r="C492" t="s">
        <v>22</v>
      </c>
      <c r="D492">
        <v>451</v>
      </c>
      <c r="E492">
        <v>1</v>
      </c>
      <c r="F492">
        <v>1.6</v>
      </c>
      <c r="G492" t="s">
        <v>47</v>
      </c>
      <c r="I492" t="str">
        <f t="shared" si="7"/>
        <v>451_1</v>
      </c>
      <c r="J492" t="s">
        <v>18</v>
      </c>
      <c r="K492" t="s">
        <v>115</v>
      </c>
      <c r="L492" t="str">
        <f>_xlfn.XLOOKUP(C492, Table2[Species],Table2[Genus], "Code Not Found")</f>
        <v>Acer</v>
      </c>
      <c r="M492" t="str">
        <f>_xlfn.XLOOKUP(C492, Table2[Species],Table2[Sp. Name], "Code Not Found")</f>
        <v>rubrum</v>
      </c>
      <c r="N492" t="str">
        <f>_xlfn.XLOOKUP(C492,Table2[Species],Table2[Family],"Code Not Found")</f>
        <v>Sapindaceae</v>
      </c>
      <c r="O492" t="str" cm="1">
        <f t="array" ref="O492">_xlfn.IFS(F492="","",F492&lt;=5,"0 to 5",F492&lt;=10,"5.1 to 10",F492&lt;=20,"10 to 20", F492&lt;= 40, "20 to 40", F492 &lt;= 50, "40 to 50", F492 &gt; 50, "&gt;50" )</f>
        <v>0 to 5</v>
      </c>
    </row>
    <row r="493" spans="1:15" ht="14.4" x14ac:dyDescent="0.3">
      <c r="A493" t="s">
        <v>114</v>
      </c>
      <c r="B493" s="1">
        <v>46175</v>
      </c>
      <c r="C493" t="s">
        <v>16</v>
      </c>
      <c r="D493">
        <v>452</v>
      </c>
      <c r="E493">
        <v>1</v>
      </c>
      <c r="F493">
        <v>4.5</v>
      </c>
      <c r="G493" t="s">
        <v>94</v>
      </c>
      <c r="H493" t="s">
        <v>158</v>
      </c>
      <c r="I493" t="str">
        <f t="shared" si="7"/>
        <v>452_1</v>
      </c>
      <c r="J493" t="s">
        <v>18</v>
      </c>
      <c r="K493" t="s">
        <v>115</v>
      </c>
      <c r="L493" t="str">
        <f>_xlfn.XLOOKUP(C493, Table2[Species],Table2[Genus], "Code Not Found")</f>
        <v>Acer</v>
      </c>
      <c r="M493" t="str">
        <f>_xlfn.XLOOKUP(C493, Table2[Species],Table2[Sp. Name], "Code Not Found")</f>
        <v>saccharum</v>
      </c>
      <c r="N493" t="str">
        <f>_xlfn.XLOOKUP(C493,Table2[Species],Table2[Family],"Code Not Found")</f>
        <v>Sapindaceae</v>
      </c>
      <c r="O493" t="str" cm="1">
        <f t="array" ref="O493">_xlfn.IFS(F493="","",F493&lt;=5,"0 to 5",F493&lt;=10,"5.1 to 10",F493&lt;=20,"10 to 20", F493&lt;= 40, "20 to 40", F493 &lt;= 50, "40 to 50", F493 &gt; 50, "&gt;50" )</f>
        <v>0 to 5</v>
      </c>
    </row>
    <row r="494" spans="1:15" ht="14.4" x14ac:dyDescent="0.3">
      <c r="A494" t="s">
        <v>114</v>
      </c>
      <c r="B494" s="1">
        <v>46175</v>
      </c>
      <c r="C494" t="s">
        <v>16</v>
      </c>
      <c r="D494">
        <v>453</v>
      </c>
      <c r="E494">
        <v>1</v>
      </c>
      <c r="F494">
        <v>3.5</v>
      </c>
      <c r="G494" t="s">
        <v>21</v>
      </c>
      <c r="I494" t="str">
        <f t="shared" si="7"/>
        <v>453_1</v>
      </c>
      <c r="J494" t="s">
        <v>18</v>
      </c>
      <c r="K494" t="s">
        <v>115</v>
      </c>
      <c r="L494" t="str">
        <f>_xlfn.XLOOKUP(C494, Table2[Species],Table2[Genus], "Code Not Found")</f>
        <v>Acer</v>
      </c>
      <c r="M494" t="str">
        <f>_xlfn.XLOOKUP(C494, Table2[Species],Table2[Sp. Name], "Code Not Found")</f>
        <v>saccharum</v>
      </c>
      <c r="N494" t="str">
        <f>_xlfn.XLOOKUP(C494,Table2[Species],Table2[Family],"Code Not Found")</f>
        <v>Sapindaceae</v>
      </c>
      <c r="O494" t="str" cm="1">
        <f t="array" ref="O494">_xlfn.IFS(F494="","",F494&lt;=5,"0 to 5",F494&lt;=10,"5.1 to 10",F494&lt;=20,"10 to 20", F494&lt;= 40, "20 to 40", F494 &lt;= 50, "40 to 50", F494 &gt; 50, "&gt;50" )</f>
        <v>0 to 5</v>
      </c>
    </row>
    <row r="495" spans="1:15" ht="14.4" x14ac:dyDescent="0.3">
      <c r="A495" t="s">
        <v>114</v>
      </c>
      <c r="B495" s="1">
        <v>46175</v>
      </c>
      <c r="C495" t="s">
        <v>16</v>
      </c>
      <c r="D495">
        <v>454</v>
      </c>
      <c r="E495">
        <v>1</v>
      </c>
      <c r="F495">
        <v>11.2</v>
      </c>
      <c r="G495" t="s">
        <v>30</v>
      </c>
      <c r="H495" t="s">
        <v>99</v>
      </c>
      <c r="I495" t="str">
        <f t="shared" si="7"/>
        <v>454_1</v>
      </c>
      <c r="J495" t="s">
        <v>18</v>
      </c>
      <c r="K495" t="s">
        <v>115</v>
      </c>
      <c r="L495" t="str">
        <f>_xlfn.XLOOKUP(C495, Table2[Species],Table2[Genus], "Code Not Found")</f>
        <v>Acer</v>
      </c>
      <c r="M495" t="str">
        <f>_xlfn.XLOOKUP(C495, Table2[Species],Table2[Sp. Name], "Code Not Found")</f>
        <v>saccharum</v>
      </c>
      <c r="N495" t="str">
        <f>_xlfn.XLOOKUP(C495,Table2[Species],Table2[Family],"Code Not Found")</f>
        <v>Sapindaceae</v>
      </c>
      <c r="O495" t="str" cm="1">
        <f t="array" ref="O495">_xlfn.IFS(F495="","",F495&lt;=5,"0 to 5",F495&lt;=10,"5.1 to 10",F495&lt;=20,"10 to 20", F495&lt;= 40, "20 to 40", F495 &lt;= 50, "40 to 50", F495 &gt; 50, "&gt;50" )</f>
        <v>10 to 20</v>
      </c>
    </row>
    <row r="496" spans="1:15" ht="14.4" x14ac:dyDescent="0.3">
      <c r="A496" t="s">
        <v>114</v>
      </c>
      <c r="B496" s="1">
        <v>46175</v>
      </c>
      <c r="C496" t="s">
        <v>20</v>
      </c>
      <c r="D496">
        <v>455</v>
      </c>
      <c r="E496">
        <v>1</v>
      </c>
      <c r="F496">
        <v>4.4000000000000004</v>
      </c>
      <c r="G496" t="s">
        <v>94</v>
      </c>
      <c r="H496" t="s">
        <v>100</v>
      </c>
      <c r="I496" t="str">
        <f t="shared" si="7"/>
        <v>455_1</v>
      </c>
      <c r="J496" t="s">
        <v>18</v>
      </c>
      <c r="K496" t="s">
        <v>115</v>
      </c>
      <c r="L496" t="str">
        <f>_xlfn.XLOOKUP(C496, Table2[Species],Table2[Genus], "Code Not Found")</f>
        <v>Prunus</v>
      </c>
      <c r="M496" t="str">
        <f>_xlfn.XLOOKUP(C496, Table2[Species],Table2[Sp. Name], "Code Not Found")</f>
        <v>serotina</v>
      </c>
      <c r="N496" t="str">
        <f>_xlfn.XLOOKUP(C496,Table2[Species],Table2[Family],"Code Not Found")</f>
        <v>Rosaceae</v>
      </c>
      <c r="O496" t="str" cm="1">
        <f t="array" ref="O496">_xlfn.IFS(F496="","",F496&lt;=5,"0 to 5",F496&lt;=10,"5.1 to 10",F496&lt;=20,"10 to 20", F496&lt;= 40, "20 to 40", F496 &lt;= 50, "40 to 50", F496 &gt; 50, "&gt;50" )</f>
        <v>0 to 5</v>
      </c>
    </row>
    <row r="497" spans="1:15" ht="14.4" x14ac:dyDescent="0.3">
      <c r="A497" t="s">
        <v>114</v>
      </c>
      <c r="B497" s="1">
        <v>46175</v>
      </c>
      <c r="C497" t="s">
        <v>22</v>
      </c>
      <c r="D497">
        <v>456</v>
      </c>
      <c r="E497">
        <v>1</v>
      </c>
      <c r="F497">
        <v>51.3</v>
      </c>
      <c r="G497" t="s">
        <v>56</v>
      </c>
      <c r="I497" t="str">
        <f t="shared" si="7"/>
        <v>456_1</v>
      </c>
      <c r="J497" t="s">
        <v>18</v>
      </c>
      <c r="K497" t="s">
        <v>115</v>
      </c>
      <c r="L497" t="str">
        <f>_xlfn.XLOOKUP(C497, Table2[Species],Table2[Genus], "Code Not Found")</f>
        <v>Acer</v>
      </c>
      <c r="M497" t="str">
        <f>_xlfn.XLOOKUP(C497, Table2[Species],Table2[Sp. Name], "Code Not Found")</f>
        <v>rubrum</v>
      </c>
      <c r="N497" t="str">
        <f>_xlfn.XLOOKUP(C497,Table2[Species],Table2[Family],"Code Not Found")</f>
        <v>Sapindaceae</v>
      </c>
      <c r="O497" t="str" cm="1">
        <f t="array" ref="O497">_xlfn.IFS(F497="","",F497&lt;=5,"0 to 5",F497&lt;=10,"5.1 to 10",F497&lt;=20,"10 to 20", F497&lt;= 40, "20 to 40", F497 &lt;= 50, "40 to 50", F497 &gt; 50, "&gt;50" )</f>
        <v>&gt;50</v>
      </c>
    </row>
    <row r="498" spans="1:15" ht="14.4" x14ac:dyDescent="0.3">
      <c r="A498" t="s">
        <v>114</v>
      </c>
      <c r="B498" s="1">
        <v>46175</v>
      </c>
      <c r="C498" t="s">
        <v>16</v>
      </c>
      <c r="D498">
        <v>457</v>
      </c>
      <c r="E498">
        <v>1</v>
      </c>
      <c r="F498">
        <v>12.2</v>
      </c>
      <c r="G498" t="s">
        <v>30</v>
      </c>
      <c r="H498" t="s">
        <v>159</v>
      </c>
      <c r="I498" t="str">
        <f t="shared" si="7"/>
        <v>457_1</v>
      </c>
      <c r="J498" t="s">
        <v>18</v>
      </c>
      <c r="K498" t="s">
        <v>115</v>
      </c>
      <c r="L498" t="str">
        <f>_xlfn.XLOOKUP(C498, Table2[Species],Table2[Genus], "Code Not Found")</f>
        <v>Acer</v>
      </c>
      <c r="M498" t="str">
        <f>_xlfn.XLOOKUP(C498, Table2[Species],Table2[Sp. Name], "Code Not Found")</f>
        <v>saccharum</v>
      </c>
      <c r="N498" t="str">
        <f>_xlfn.XLOOKUP(C498,Table2[Species],Table2[Family],"Code Not Found")</f>
        <v>Sapindaceae</v>
      </c>
      <c r="O498" t="str" cm="1">
        <f t="array" ref="O498">_xlfn.IFS(F498="","",F498&lt;=5,"0 to 5",F498&lt;=10,"5.1 to 10",F498&lt;=20,"10 to 20", F498&lt;= 40, "20 to 40", F498 &lt;= 50, "40 to 50", F498 &gt; 50, "&gt;50" )</f>
        <v>10 to 20</v>
      </c>
    </row>
    <row r="499" spans="1:15" ht="14.4" x14ac:dyDescent="0.3">
      <c r="A499" t="s">
        <v>114</v>
      </c>
      <c r="B499" s="1">
        <v>46175</v>
      </c>
      <c r="C499" t="s">
        <v>16</v>
      </c>
      <c r="D499">
        <v>458</v>
      </c>
      <c r="E499">
        <v>1</v>
      </c>
      <c r="F499">
        <v>9.5</v>
      </c>
      <c r="G499" t="s">
        <v>17</v>
      </c>
      <c r="H499" t="s">
        <v>160</v>
      </c>
      <c r="I499" t="str">
        <f t="shared" si="7"/>
        <v>458_1</v>
      </c>
      <c r="J499" t="s">
        <v>18</v>
      </c>
      <c r="K499" t="s">
        <v>115</v>
      </c>
      <c r="L499" t="str">
        <f>_xlfn.XLOOKUP(C499, Table2[Species],Table2[Genus], "Code Not Found")</f>
        <v>Acer</v>
      </c>
      <c r="M499" t="str">
        <f>_xlfn.XLOOKUP(C499, Table2[Species],Table2[Sp. Name], "Code Not Found")</f>
        <v>saccharum</v>
      </c>
      <c r="N499" t="str">
        <f>_xlfn.XLOOKUP(C499,Table2[Species],Table2[Family],"Code Not Found")</f>
        <v>Sapindaceae</v>
      </c>
      <c r="O499" t="str" cm="1">
        <f t="array" ref="O499">_xlfn.IFS(F499="","",F499&lt;=5,"0 to 5",F499&lt;=10,"5.1 to 10",F499&lt;=20,"10 to 20", F499&lt;= 40, "20 to 40", F499 &lt;= 50, "40 to 50", F499 &gt; 50, "&gt;50" )</f>
        <v>5.1 to 10</v>
      </c>
    </row>
    <row r="500" spans="1:15" ht="14.4" x14ac:dyDescent="0.3">
      <c r="A500" t="s">
        <v>114</v>
      </c>
      <c r="B500" s="1">
        <v>46175</v>
      </c>
      <c r="C500" t="s">
        <v>64</v>
      </c>
      <c r="D500">
        <v>459</v>
      </c>
      <c r="E500">
        <v>1</v>
      </c>
      <c r="F500">
        <v>4.2</v>
      </c>
      <c r="G500" t="s">
        <v>17</v>
      </c>
      <c r="I500" t="str">
        <f t="shared" si="7"/>
        <v>459_1</v>
      </c>
      <c r="J500" t="s">
        <v>18</v>
      </c>
      <c r="K500" t="s">
        <v>115</v>
      </c>
      <c r="L500" t="str">
        <f>_xlfn.XLOOKUP(C500, Table2[Species],Table2[Genus], "Code Not Found")</f>
        <v>Fagus</v>
      </c>
      <c r="M500" t="str">
        <f>_xlfn.XLOOKUP(C500, Table2[Species],Table2[Sp. Name], "Code Not Found")</f>
        <v>grandifolia</v>
      </c>
      <c r="N500" t="str">
        <f>_xlfn.XLOOKUP(C500,Table2[Species],Table2[Family],"Code Not Found")</f>
        <v>Fagaceae</v>
      </c>
      <c r="O500" t="str" cm="1">
        <f t="array" ref="O500">_xlfn.IFS(F500="","",F500&lt;=5,"0 to 5",F500&lt;=10,"5.1 to 10",F500&lt;=20,"10 to 20", F500&lt;= 40, "20 to 40", F500 &lt;= 50, "40 to 50", F500 &gt; 50, "&gt;50" )</f>
        <v>0 to 5</v>
      </c>
    </row>
    <row r="501" spans="1:15" ht="14.4" x14ac:dyDescent="0.3">
      <c r="A501" t="s">
        <v>114</v>
      </c>
      <c r="B501" s="1">
        <v>46175</v>
      </c>
      <c r="C501" t="s">
        <v>16</v>
      </c>
      <c r="D501">
        <v>460</v>
      </c>
      <c r="E501">
        <v>1</v>
      </c>
      <c r="F501">
        <v>30</v>
      </c>
      <c r="G501" t="s">
        <v>17</v>
      </c>
      <c r="I501" t="str">
        <f t="shared" si="7"/>
        <v>460_1</v>
      </c>
      <c r="J501" t="s">
        <v>18</v>
      </c>
      <c r="K501" t="s">
        <v>115</v>
      </c>
      <c r="L501" t="str">
        <f>_xlfn.XLOOKUP(C501, Table2[Species],Table2[Genus], "Code Not Found")</f>
        <v>Acer</v>
      </c>
      <c r="M501" t="str">
        <f>_xlfn.XLOOKUP(C501, Table2[Species],Table2[Sp. Name], "Code Not Found")</f>
        <v>saccharum</v>
      </c>
      <c r="N501" t="str">
        <f>_xlfn.XLOOKUP(C501,Table2[Species],Table2[Family],"Code Not Found")</f>
        <v>Sapindaceae</v>
      </c>
      <c r="O501" t="str" cm="1">
        <f t="array" ref="O501">_xlfn.IFS(F501="","",F501&lt;=5,"0 to 5",F501&lt;=10,"5.1 to 10",F501&lt;=20,"10 to 20", F501&lt;= 40, "20 to 40", F501 &lt;= 50, "40 to 50", F501 &gt; 50, "&gt;50" )</f>
        <v>20 to 40</v>
      </c>
    </row>
    <row r="502" spans="1:15" ht="14.4" x14ac:dyDescent="0.3">
      <c r="A502" t="s">
        <v>114</v>
      </c>
      <c r="B502" s="1">
        <v>46175</v>
      </c>
      <c r="C502" t="s">
        <v>64</v>
      </c>
      <c r="D502">
        <v>461</v>
      </c>
      <c r="E502">
        <v>1</v>
      </c>
      <c r="F502">
        <v>2</v>
      </c>
      <c r="G502" t="s">
        <v>17</v>
      </c>
      <c r="I502" t="str">
        <f t="shared" si="7"/>
        <v>461_1</v>
      </c>
      <c r="J502" t="s">
        <v>18</v>
      </c>
      <c r="K502" t="s">
        <v>115</v>
      </c>
      <c r="L502" t="str">
        <f>_xlfn.XLOOKUP(C502, Table2[Species],Table2[Genus], "Code Not Found")</f>
        <v>Fagus</v>
      </c>
      <c r="M502" t="str">
        <f>_xlfn.XLOOKUP(C502, Table2[Species],Table2[Sp. Name], "Code Not Found")</f>
        <v>grandifolia</v>
      </c>
      <c r="N502" t="str">
        <f>_xlfn.XLOOKUP(C502,Table2[Species],Table2[Family],"Code Not Found")</f>
        <v>Fagaceae</v>
      </c>
      <c r="O502" t="str" cm="1">
        <f t="array" ref="O502">_xlfn.IFS(F502="","",F502&lt;=5,"0 to 5",F502&lt;=10,"5.1 to 10",F502&lt;=20,"10 to 20", F502&lt;= 40, "20 to 40", F502 &lt;= 50, "40 to 50", F502 &gt; 50, "&gt;50" )</f>
        <v>0 to 5</v>
      </c>
    </row>
    <row r="503" spans="1:15" ht="14.4" x14ac:dyDescent="0.3">
      <c r="A503" t="s">
        <v>114</v>
      </c>
      <c r="B503" s="1">
        <v>46175</v>
      </c>
      <c r="C503" t="s">
        <v>16</v>
      </c>
      <c r="D503">
        <v>462</v>
      </c>
      <c r="E503">
        <v>1</v>
      </c>
      <c r="F503">
        <v>4.0999999999999996</v>
      </c>
      <c r="G503" t="s">
        <v>47</v>
      </c>
      <c r="H503" t="s">
        <v>161</v>
      </c>
      <c r="I503" t="str">
        <f t="shared" si="7"/>
        <v>462_1</v>
      </c>
      <c r="J503" t="s">
        <v>18</v>
      </c>
      <c r="K503" t="s">
        <v>115</v>
      </c>
      <c r="L503" t="str">
        <f>_xlfn.XLOOKUP(C503, Table2[Species],Table2[Genus], "Code Not Found")</f>
        <v>Acer</v>
      </c>
      <c r="M503" t="str">
        <f>_xlfn.XLOOKUP(C503, Table2[Species],Table2[Sp. Name], "Code Not Found")</f>
        <v>saccharum</v>
      </c>
      <c r="N503" t="str">
        <f>_xlfn.XLOOKUP(C503,Table2[Species],Table2[Family],"Code Not Found")</f>
        <v>Sapindaceae</v>
      </c>
      <c r="O503" t="str" cm="1">
        <f t="array" ref="O503">_xlfn.IFS(F503="","",F503&lt;=5,"0 to 5",F503&lt;=10,"5.1 to 10",F503&lt;=20,"10 to 20", F503&lt;= 40, "20 to 40", F503 &lt;= 50, "40 to 50", F503 &gt; 50, "&gt;50" )</f>
        <v>0 to 5</v>
      </c>
    </row>
    <row r="504" spans="1:15" ht="14.4" x14ac:dyDescent="0.3">
      <c r="A504" t="s">
        <v>114</v>
      </c>
      <c r="B504" s="1">
        <v>46175</v>
      </c>
      <c r="C504" t="s">
        <v>16</v>
      </c>
      <c r="D504">
        <v>463</v>
      </c>
      <c r="E504">
        <v>1</v>
      </c>
      <c r="F504">
        <v>4.0999999999999996</v>
      </c>
      <c r="G504" t="s">
        <v>103</v>
      </c>
      <c r="H504" t="s">
        <v>162</v>
      </c>
      <c r="I504" t="str">
        <f t="shared" si="7"/>
        <v>463_1</v>
      </c>
      <c r="J504" t="s">
        <v>18</v>
      </c>
      <c r="K504" t="s">
        <v>115</v>
      </c>
      <c r="L504" t="str">
        <f>_xlfn.XLOOKUP(C504, Table2[Species],Table2[Genus], "Code Not Found")</f>
        <v>Acer</v>
      </c>
      <c r="M504" t="str">
        <f>_xlfn.XLOOKUP(C504, Table2[Species],Table2[Sp. Name], "Code Not Found")</f>
        <v>saccharum</v>
      </c>
      <c r="N504" t="str">
        <f>_xlfn.XLOOKUP(C504,Table2[Species],Table2[Family],"Code Not Found")</f>
        <v>Sapindaceae</v>
      </c>
      <c r="O504" t="str" cm="1">
        <f t="array" ref="O504">_xlfn.IFS(F504="","",F504&lt;=5,"0 to 5",F504&lt;=10,"5.1 to 10",F504&lt;=20,"10 to 20", F504&lt;= 40, "20 to 40", F504 &lt;= 50, "40 to 50", F504 &gt; 50, "&gt;50" )</f>
        <v>0 to 5</v>
      </c>
    </row>
    <row r="505" spans="1:15" ht="14.4" x14ac:dyDescent="0.3">
      <c r="A505" t="s">
        <v>114</v>
      </c>
      <c r="B505" s="1">
        <v>46175</v>
      </c>
      <c r="C505" t="s">
        <v>16</v>
      </c>
      <c r="D505">
        <v>464</v>
      </c>
      <c r="E505">
        <v>1</v>
      </c>
      <c r="F505">
        <v>19</v>
      </c>
      <c r="G505" t="s">
        <v>21</v>
      </c>
      <c r="I505" t="str">
        <f t="shared" si="7"/>
        <v>464_1</v>
      </c>
      <c r="J505" t="s">
        <v>18</v>
      </c>
      <c r="K505" t="s">
        <v>115</v>
      </c>
      <c r="L505" t="str">
        <f>_xlfn.XLOOKUP(C505, Table2[Species],Table2[Genus], "Code Not Found")</f>
        <v>Acer</v>
      </c>
      <c r="M505" t="str">
        <f>_xlfn.XLOOKUP(C505, Table2[Species],Table2[Sp. Name], "Code Not Found")</f>
        <v>saccharum</v>
      </c>
      <c r="N505" t="str">
        <f>_xlfn.XLOOKUP(C505,Table2[Species],Table2[Family],"Code Not Found")</f>
        <v>Sapindaceae</v>
      </c>
      <c r="O505" t="str" cm="1">
        <f t="array" ref="O505">_xlfn.IFS(F505="","",F505&lt;=5,"0 to 5",F505&lt;=10,"5.1 to 10",F505&lt;=20,"10 to 20", F505&lt;= 40, "20 to 40", F505 &lt;= 50, "40 to 50", F505 &gt; 50, "&gt;50" )</f>
        <v>10 to 20</v>
      </c>
    </row>
    <row r="506" spans="1:15" ht="14.4" x14ac:dyDescent="0.3">
      <c r="A506" t="s">
        <v>114</v>
      </c>
      <c r="B506" s="1">
        <v>46175</v>
      </c>
      <c r="C506" t="s">
        <v>16</v>
      </c>
      <c r="D506">
        <v>465</v>
      </c>
      <c r="E506">
        <v>1</v>
      </c>
      <c r="F506">
        <v>4.9000000000000004</v>
      </c>
      <c r="G506" t="s">
        <v>17</v>
      </c>
      <c r="H506" t="s">
        <v>36</v>
      </c>
      <c r="I506" t="str">
        <f t="shared" si="7"/>
        <v>465_1</v>
      </c>
      <c r="J506" t="s">
        <v>18</v>
      </c>
      <c r="K506" t="s">
        <v>115</v>
      </c>
      <c r="L506" t="str">
        <f>_xlfn.XLOOKUP(C506, Table2[Species],Table2[Genus], "Code Not Found")</f>
        <v>Acer</v>
      </c>
      <c r="M506" t="str">
        <f>_xlfn.XLOOKUP(C506, Table2[Species],Table2[Sp. Name], "Code Not Found")</f>
        <v>saccharum</v>
      </c>
      <c r="N506" t="str">
        <f>_xlfn.XLOOKUP(C506,Table2[Species],Table2[Family],"Code Not Found")</f>
        <v>Sapindaceae</v>
      </c>
      <c r="O506" t="str" cm="1">
        <f t="array" ref="O506">_xlfn.IFS(F506="","",F506&lt;=5,"0 to 5",F506&lt;=10,"5.1 to 10",F506&lt;=20,"10 to 20", F506&lt;= 40, "20 to 40", F506 &lt;= 50, "40 to 50", F506 &gt; 50, "&gt;50" )</f>
        <v>0 to 5</v>
      </c>
    </row>
    <row r="507" spans="1:15" ht="14.4" x14ac:dyDescent="0.3">
      <c r="A507" t="s">
        <v>114</v>
      </c>
      <c r="B507" s="1">
        <v>46175</v>
      </c>
      <c r="C507" t="s">
        <v>16</v>
      </c>
      <c r="D507">
        <v>466</v>
      </c>
      <c r="E507">
        <v>1</v>
      </c>
      <c r="F507">
        <v>6.8</v>
      </c>
      <c r="G507" t="s">
        <v>30</v>
      </c>
      <c r="H507" t="s">
        <v>121</v>
      </c>
      <c r="I507" t="str">
        <f t="shared" si="7"/>
        <v>466_1</v>
      </c>
      <c r="J507" t="s">
        <v>18</v>
      </c>
      <c r="K507" t="s">
        <v>115</v>
      </c>
      <c r="L507" t="str">
        <f>_xlfn.XLOOKUP(C507, Table2[Species],Table2[Genus], "Code Not Found")</f>
        <v>Acer</v>
      </c>
      <c r="M507" t="str">
        <f>_xlfn.XLOOKUP(C507, Table2[Species],Table2[Sp. Name], "Code Not Found")</f>
        <v>saccharum</v>
      </c>
      <c r="N507" t="str">
        <f>_xlfn.XLOOKUP(C507,Table2[Species],Table2[Family],"Code Not Found")</f>
        <v>Sapindaceae</v>
      </c>
      <c r="O507" t="str" cm="1">
        <f t="array" ref="O507">_xlfn.IFS(F507="","",F507&lt;=5,"0 to 5",F507&lt;=10,"5.1 to 10",F507&lt;=20,"10 to 20", F507&lt;= 40, "20 to 40", F507 &lt;= 50, "40 to 50", F507 &gt; 50, "&gt;50" )</f>
        <v>5.1 to 10</v>
      </c>
    </row>
    <row r="508" spans="1:15" ht="14.4" x14ac:dyDescent="0.3">
      <c r="A508" t="s">
        <v>114</v>
      </c>
      <c r="B508" s="1">
        <v>46175</v>
      </c>
      <c r="C508" t="s">
        <v>16</v>
      </c>
      <c r="D508">
        <v>467</v>
      </c>
      <c r="E508">
        <v>1</v>
      </c>
      <c r="F508">
        <v>51.1</v>
      </c>
      <c r="G508" t="s">
        <v>51</v>
      </c>
      <c r="H508" t="s">
        <v>163</v>
      </c>
      <c r="I508" t="str">
        <f t="shared" si="7"/>
        <v>467_1</v>
      </c>
      <c r="J508" t="s">
        <v>18</v>
      </c>
      <c r="K508" t="s">
        <v>115</v>
      </c>
      <c r="L508" t="str">
        <f>_xlfn.XLOOKUP(C508, Table2[Species],Table2[Genus], "Code Not Found")</f>
        <v>Acer</v>
      </c>
      <c r="M508" t="str">
        <f>_xlfn.XLOOKUP(C508, Table2[Species],Table2[Sp. Name], "Code Not Found")</f>
        <v>saccharum</v>
      </c>
      <c r="N508" t="str">
        <f>_xlfn.XLOOKUP(C508,Table2[Species],Table2[Family],"Code Not Found")</f>
        <v>Sapindaceae</v>
      </c>
      <c r="O508" t="str" cm="1">
        <f t="array" ref="O508">_xlfn.IFS(F508="","",F508&lt;=5,"0 to 5",F508&lt;=10,"5.1 to 10",F508&lt;=20,"10 to 20", F508&lt;= 40, "20 to 40", F508 &lt;= 50, "40 to 50", F508 &gt; 50, "&gt;50" )</f>
        <v>&gt;50</v>
      </c>
    </row>
    <row r="509" spans="1:15" ht="14.4" x14ac:dyDescent="0.3">
      <c r="A509" t="s">
        <v>114</v>
      </c>
      <c r="B509" s="1">
        <v>46175</v>
      </c>
      <c r="C509" t="s">
        <v>16</v>
      </c>
      <c r="D509">
        <v>468</v>
      </c>
      <c r="E509">
        <v>1</v>
      </c>
      <c r="F509">
        <v>5.2</v>
      </c>
      <c r="G509" t="s">
        <v>21</v>
      </c>
      <c r="I509" t="str">
        <f t="shared" si="7"/>
        <v>468_1</v>
      </c>
      <c r="J509" t="s">
        <v>18</v>
      </c>
      <c r="K509" t="s">
        <v>115</v>
      </c>
      <c r="L509" t="str">
        <f>_xlfn.XLOOKUP(C509, Table2[Species],Table2[Genus], "Code Not Found")</f>
        <v>Acer</v>
      </c>
      <c r="M509" t="str">
        <f>_xlfn.XLOOKUP(C509, Table2[Species],Table2[Sp. Name], "Code Not Found")</f>
        <v>saccharum</v>
      </c>
      <c r="N509" t="str">
        <f>_xlfn.XLOOKUP(C509,Table2[Species],Table2[Family],"Code Not Found")</f>
        <v>Sapindaceae</v>
      </c>
      <c r="O509" t="str" cm="1">
        <f t="array" ref="O509">_xlfn.IFS(F509="","",F509&lt;=5,"0 to 5",F509&lt;=10,"5.1 to 10",F509&lt;=20,"10 to 20", F509&lt;= 40, "20 to 40", F509 &lt;= 50, "40 to 50", F509 &gt; 50, "&gt;50" )</f>
        <v>5.1 to 10</v>
      </c>
    </row>
    <row r="510" spans="1:15" ht="14.4" x14ac:dyDescent="0.3">
      <c r="A510" t="s">
        <v>114</v>
      </c>
      <c r="B510" s="1">
        <v>46175</v>
      </c>
      <c r="C510" t="s">
        <v>16</v>
      </c>
      <c r="D510">
        <v>469</v>
      </c>
      <c r="E510">
        <v>1</v>
      </c>
      <c r="F510">
        <v>5.9</v>
      </c>
      <c r="G510" t="s">
        <v>88</v>
      </c>
      <c r="H510" t="s">
        <v>164</v>
      </c>
      <c r="I510" t="str">
        <f t="shared" si="7"/>
        <v>469_1</v>
      </c>
      <c r="J510" t="s">
        <v>18</v>
      </c>
      <c r="K510" t="s">
        <v>115</v>
      </c>
      <c r="L510" t="str">
        <f>_xlfn.XLOOKUP(C510, Table2[Species],Table2[Genus], "Code Not Found")</f>
        <v>Acer</v>
      </c>
      <c r="M510" t="str">
        <f>_xlfn.XLOOKUP(C510, Table2[Species],Table2[Sp. Name], "Code Not Found")</f>
        <v>saccharum</v>
      </c>
      <c r="N510" t="str">
        <f>_xlfn.XLOOKUP(C510,Table2[Species],Table2[Family],"Code Not Found")</f>
        <v>Sapindaceae</v>
      </c>
      <c r="O510" t="str" cm="1">
        <f t="array" ref="O510">_xlfn.IFS(F510="","",F510&lt;=5,"0 to 5",F510&lt;=10,"5.1 to 10",F510&lt;=20,"10 to 20", F510&lt;= 40, "20 to 40", F510 &lt;= 50, "40 to 50", F510 &gt; 50, "&gt;50" )</f>
        <v>5.1 to 10</v>
      </c>
    </row>
    <row r="511" spans="1:15" ht="14.4" x14ac:dyDescent="0.3">
      <c r="A511" t="s">
        <v>114</v>
      </c>
      <c r="B511" s="1">
        <v>46175</v>
      </c>
      <c r="C511" t="s">
        <v>16</v>
      </c>
      <c r="D511">
        <v>470</v>
      </c>
      <c r="E511">
        <v>1</v>
      </c>
      <c r="F511">
        <v>1.8</v>
      </c>
      <c r="G511" t="s">
        <v>21</v>
      </c>
      <c r="I511" t="str">
        <f t="shared" si="7"/>
        <v>470_1</v>
      </c>
      <c r="J511" t="s">
        <v>18</v>
      </c>
      <c r="K511" t="s">
        <v>115</v>
      </c>
      <c r="L511" t="str">
        <f>_xlfn.XLOOKUP(C511, Table2[Species],Table2[Genus], "Code Not Found")</f>
        <v>Acer</v>
      </c>
      <c r="M511" t="str">
        <f>_xlfn.XLOOKUP(C511, Table2[Species],Table2[Sp. Name], "Code Not Found")</f>
        <v>saccharum</v>
      </c>
      <c r="N511" t="str">
        <f>_xlfn.XLOOKUP(C511,Table2[Species],Table2[Family],"Code Not Found")</f>
        <v>Sapindaceae</v>
      </c>
      <c r="O511" t="str" cm="1">
        <f t="array" ref="O511">_xlfn.IFS(F511="","",F511&lt;=5,"0 to 5",F511&lt;=10,"5.1 to 10",F511&lt;=20,"10 to 20", F511&lt;= 40, "20 to 40", F511 &lt;= 50, "40 to 50", F511 &gt; 50, "&gt;50" )</f>
        <v>0 to 5</v>
      </c>
    </row>
    <row r="512" spans="1:15" ht="14.4" x14ac:dyDescent="0.3">
      <c r="A512" t="s">
        <v>114</v>
      </c>
      <c r="B512" s="1">
        <v>46176</v>
      </c>
      <c r="C512" t="s">
        <v>16</v>
      </c>
      <c r="D512">
        <v>471</v>
      </c>
      <c r="E512">
        <v>1</v>
      </c>
      <c r="F512">
        <v>2.2000000000000002</v>
      </c>
      <c r="G512" t="s">
        <v>30</v>
      </c>
      <c r="H512" t="s">
        <v>99</v>
      </c>
      <c r="I512" t="str">
        <f t="shared" si="7"/>
        <v>471_1</v>
      </c>
      <c r="J512" t="s">
        <v>18</v>
      </c>
      <c r="K512" t="s">
        <v>115</v>
      </c>
      <c r="L512" t="str">
        <f>_xlfn.XLOOKUP(C512, Table2[Species],Table2[Genus], "Code Not Found")</f>
        <v>Acer</v>
      </c>
      <c r="M512" t="str">
        <f>_xlfn.XLOOKUP(C512, Table2[Species],Table2[Sp. Name], "Code Not Found")</f>
        <v>saccharum</v>
      </c>
      <c r="N512" t="str">
        <f>_xlfn.XLOOKUP(C512,Table2[Species],Table2[Family],"Code Not Found")</f>
        <v>Sapindaceae</v>
      </c>
      <c r="O512" t="str" cm="1">
        <f t="array" ref="O512">_xlfn.IFS(F512="","",F512&lt;=5,"0 to 5",F512&lt;=10,"5.1 to 10",F512&lt;=20,"10 to 20", F512&lt;= 40, "20 to 40", F512 &lt;= 50, "40 to 50", F512 &gt; 50, "&gt;50" )</f>
        <v>0 to 5</v>
      </c>
    </row>
    <row r="513" spans="1:15" ht="14.4" x14ac:dyDescent="0.3">
      <c r="A513" t="s">
        <v>114</v>
      </c>
      <c r="B513" s="1">
        <v>46176</v>
      </c>
      <c r="C513" t="s">
        <v>16</v>
      </c>
      <c r="D513">
        <v>472</v>
      </c>
      <c r="E513">
        <v>1</v>
      </c>
      <c r="F513">
        <v>6.5</v>
      </c>
      <c r="G513" t="s">
        <v>21</v>
      </c>
      <c r="I513" t="str">
        <f t="shared" si="7"/>
        <v>472_1</v>
      </c>
      <c r="J513" t="s">
        <v>18</v>
      </c>
      <c r="K513" t="s">
        <v>115</v>
      </c>
      <c r="L513" t="str">
        <f>_xlfn.XLOOKUP(C513, Table2[Species],Table2[Genus], "Code Not Found")</f>
        <v>Acer</v>
      </c>
      <c r="M513" t="str">
        <f>_xlfn.XLOOKUP(C513, Table2[Species],Table2[Sp. Name], "Code Not Found")</f>
        <v>saccharum</v>
      </c>
      <c r="N513" t="str">
        <f>_xlfn.XLOOKUP(C513,Table2[Species],Table2[Family],"Code Not Found")</f>
        <v>Sapindaceae</v>
      </c>
      <c r="O513" t="str" cm="1">
        <f t="array" ref="O513">_xlfn.IFS(F513="","",F513&lt;=5,"0 to 5",F513&lt;=10,"5.1 to 10",F513&lt;=20,"10 to 20", F513&lt;= 40, "20 to 40", F513 &lt;= 50, "40 to 50", F513 &gt; 50, "&gt;50" )</f>
        <v>5.1 to 10</v>
      </c>
    </row>
    <row r="514" spans="1:15" ht="14.4" x14ac:dyDescent="0.3">
      <c r="A514" t="s">
        <v>114</v>
      </c>
      <c r="B514" s="1">
        <v>46176</v>
      </c>
      <c r="C514" t="s">
        <v>16</v>
      </c>
      <c r="D514">
        <v>473</v>
      </c>
      <c r="E514">
        <v>1</v>
      </c>
      <c r="F514">
        <v>5</v>
      </c>
      <c r="G514" t="s">
        <v>17</v>
      </c>
      <c r="I514" t="str">
        <f t="shared" si="7"/>
        <v>473_1</v>
      </c>
      <c r="J514" t="s">
        <v>18</v>
      </c>
      <c r="K514" t="s">
        <v>115</v>
      </c>
      <c r="L514" t="str">
        <f>_xlfn.XLOOKUP(C514, Table2[Species],Table2[Genus], "Code Not Found")</f>
        <v>Acer</v>
      </c>
      <c r="M514" t="str">
        <f>_xlfn.XLOOKUP(C514, Table2[Species],Table2[Sp. Name], "Code Not Found")</f>
        <v>saccharum</v>
      </c>
      <c r="N514" t="str">
        <f>_xlfn.XLOOKUP(C514,Table2[Species],Table2[Family],"Code Not Found")</f>
        <v>Sapindaceae</v>
      </c>
      <c r="O514" t="str" cm="1">
        <f t="array" ref="O514">_xlfn.IFS(F514="","",F514&lt;=5,"0 to 5",F514&lt;=10,"5.1 to 10",F514&lt;=20,"10 to 20", F514&lt;= 40, "20 to 40", F514 &lt;= 50, "40 to 50", F514 &gt; 50, "&gt;50" )</f>
        <v>0 to 5</v>
      </c>
    </row>
    <row r="515" spans="1:15" ht="14.4" x14ac:dyDescent="0.3">
      <c r="A515" t="s">
        <v>114</v>
      </c>
      <c r="B515" s="1">
        <v>46176</v>
      </c>
      <c r="C515" t="s">
        <v>16</v>
      </c>
      <c r="D515">
        <v>474</v>
      </c>
      <c r="E515">
        <v>1</v>
      </c>
      <c r="F515">
        <v>1.5</v>
      </c>
      <c r="G515" t="s">
        <v>17</v>
      </c>
      <c r="I515" t="str">
        <f t="shared" ref="I515:I578" si="8">D515&amp;"_"&amp;E515</f>
        <v>474_1</v>
      </c>
      <c r="J515" t="s">
        <v>18</v>
      </c>
      <c r="K515" t="s">
        <v>115</v>
      </c>
      <c r="L515" t="str">
        <f>_xlfn.XLOOKUP(C515, Table2[Species],Table2[Genus], "Code Not Found")</f>
        <v>Acer</v>
      </c>
      <c r="M515" t="str">
        <f>_xlfn.XLOOKUP(C515, Table2[Species],Table2[Sp. Name], "Code Not Found")</f>
        <v>saccharum</v>
      </c>
      <c r="N515" t="str">
        <f>_xlfn.XLOOKUP(C515,Table2[Species],Table2[Family],"Code Not Found")</f>
        <v>Sapindaceae</v>
      </c>
      <c r="O515" t="str" cm="1">
        <f t="array" ref="O515">_xlfn.IFS(F515="","",F515&lt;=5,"0 to 5",F515&lt;=10,"5.1 to 10",F515&lt;=20,"10 to 20", F515&lt;= 40, "20 to 40", F515 &lt;= 50, "40 to 50", F515 &gt; 50, "&gt;50" )</f>
        <v>0 to 5</v>
      </c>
    </row>
    <row r="516" spans="1:15" ht="14.4" x14ac:dyDescent="0.3">
      <c r="A516" t="s">
        <v>114</v>
      </c>
      <c r="B516" s="1">
        <v>46176</v>
      </c>
      <c r="C516" t="s">
        <v>16</v>
      </c>
      <c r="D516">
        <v>475</v>
      </c>
      <c r="E516">
        <v>1</v>
      </c>
      <c r="F516">
        <v>1.3</v>
      </c>
      <c r="G516" t="s">
        <v>17</v>
      </c>
      <c r="I516" t="str">
        <f t="shared" si="8"/>
        <v>475_1</v>
      </c>
      <c r="J516" t="s">
        <v>18</v>
      </c>
      <c r="K516" t="s">
        <v>115</v>
      </c>
      <c r="L516" t="str">
        <f>_xlfn.XLOOKUP(C516, Table2[Species],Table2[Genus], "Code Not Found")</f>
        <v>Acer</v>
      </c>
      <c r="M516" t="str">
        <f>_xlfn.XLOOKUP(C516, Table2[Species],Table2[Sp. Name], "Code Not Found")</f>
        <v>saccharum</v>
      </c>
      <c r="N516" t="str">
        <f>_xlfn.XLOOKUP(C516,Table2[Species],Table2[Family],"Code Not Found")</f>
        <v>Sapindaceae</v>
      </c>
      <c r="O516" t="str" cm="1">
        <f t="array" ref="O516">_xlfn.IFS(F516="","",F516&lt;=5,"0 to 5",F516&lt;=10,"5.1 to 10",F516&lt;=20,"10 to 20", F516&lt;= 40, "20 to 40", F516 &lt;= 50, "40 to 50", F516 &gt; 50, "&gt;50" )</f>
        <v>0 to 5</v>
      </c>
    </row>
    <row r="517" spans="1:15" ht="14.4" x14ac:dyDescent="0.3">
      <c r="A517" t="s">
        <v>114</v>
      </c>
      <c r="B517" s="1">
        <v>46176</v>
      </c>
      <c r="C517" t="s">
        <v>16</v>
      </c>
      <c r="D517">
        <v>476</v>
      </c>
      <c r="E517">
        <v>1</v>
      </c>
      <c r="F517">
        <v>4.2</v>
      </c>
      <c r="G517" t="s">
        <v>17</v>
      </c>
      <c r="H517" t="s">
        <v>36</v>
      </c>
      <c r="I517" t="str">
        <f t="shared" si="8"/>
        <v>476_1</v>
      </c>
      <c r="J517" t="s">
        <v>18</v>
      </c>
      <c r="K517" t="s">
        <v>115</v>
      </c>
      <c r="L517" t="str">
        <f>_xlfn.XLOOKUP(C517, Table2[Species],Table2[Genus], "Code Not Found")</f>
        <v>Acer</v>
      </c>
      <c r="M517" t="str">
        <f>_xlfn.XLOOKUP(C517, Table2[Species],Table2[Sp. Name], "Code Not Found")</f>
        <v>saccharum</v>
      </c>
      <c r="N517" t="str">
        <f>_xlfn.XLOOKUP(C517,Table2[Species],Table2[Family],"Code Not Found")</f>
        <v>Sapindaceae</v>
      </c>
      <c r="O517" t="str" cm="1">
        <f t="array" ref="O517">_xlfn.IFS(F517="","",F517&lt;=5,"0 to 5",F517&lt;=10,"5.1 to 10",F517&lt;=20,"10 to 20", F517&lt;= 40, "20 to 40", F517 &lt;= 50, "40 to 50", F517 &gt; 50, "&gt;50" )</f>
        <v>0 to 5</v>
      </c>
    </row>
    <row r="518" spans="1:15" ht="14.4" x14ac:dyDescent="0.3">
      <c r="A518" t="s">
        <v>114</v>
      </c>
      <c r="B518" s="1">
        <v>46176</v>
      </c>
      <c r="C518" t="s">
        <v>16</v>
      </c>
      <c r="D518">
        <v>477</v>
      </c>
      <c r="E518">
        <v>1</v>
      </c>
      <c r="F518">
        <v>3.1</v>
      </c>
      <c r="G518" t="s">
        <v>21</v>
      </c>
      <c r="I518" t="str">
        <f t="shared" si="8"/>
        <v>477_1</v>
      </c>
      <c r="J518" t="s">
        <v>18</v>
      </c>
      <c r="K518" t="s">
        <v>115</v>
      </c>
      <c r="L518" t="str">
        <f>_xlfn.XLOOKUP(C518, Table2[Species],Table2[Genus], "Code Not Found")</f>
        <v>Acer</v>
      </c>
      <c r="M518" t="str">
        <f>_xlfn.XLOOKUP(C518, Table2[Species],Table2[Sp. Name], "Code Not Found")</f>
        <v>saccharum</v>
      </c>
      <c r="N518" t="str">
        <f>_xlfn.XLOOKUP(C518,Table2[Species],Table2[Family],"Code Not Found")</f>
        <v>Sapindaceae</v>
      </c>
      <c r="O518" t="str" cm="1">
        <f t="array" ref="O518">_xlfn.IFS(F518="","",F518&lt;=5,"0 to 5",F518&lt;=10,"5.1 to 10",F518&lt;=20,"10 to 20", F518&lt;= 40, "20 to 40", F518 &lt;= 50, "40 to 50", F518 &gt; 50, "&gt;50" )</f>
        <v>0 to 5</v>
      </c>
    </row>
    <row r="519" spans="1:15" ht="14.4" x14ac:dyDescent="0.3">
      <c r="A519" t="s">
        <v>114</v>
      </c>
      <c r="B519" s="1">
        <v>46176</v>
      </c>
      <c r="C519" t="s">
        <v>16</v>
      </c>
      <c r="D519">
        <v>478</v>
      </c>
      <c r="E519">
        <v>1</v>
      </c>
      <c r="F519">
        <v>1.1000000000000001</v>
      </c>
      <c r="G519" t="s">
        <v>17</v>
      </c>
      <c r="I519" t="str">
        <f t="shared" si="8"/>
        <v>478_1</v>
      </c>
      <c r="J519" t="s">
        <v>18</v>
      </c>
      <c r="K519" t="s">
        <v>115</v>
      </c>
      <c r="L519" t="str">
        <f>_xlfn.XLOOKUP(C519, Table2[Species],Table2[Genus], "Code Not Found")</f>
        <v>Acer</v>
      </c>
      <c r="M519" t="str">
        <f>_xlfn.XLOOKUP(C519, Table2[Species],Table2[Sp. Name], "Code Not Found")</f>
        <v>saccharum</v>
      </c>
      <c r="N519" t="str">
        <f>_xlfn.XLOOKUP(C519,Table2[Species],Table2[Family],"Code Not Found")</f>
        <v>Sapindaceae</v>
      </c>
      <c r="O519" t="str" cm="1">
        <f t="array" ref="O519">_xlfn.IFS(F519="","",F519&lt;=5,"0 to 5",F519&lt;=10,"5.1 to 10",F519&lt;=20,"10 to 20", F519&lt;= 40, "20 to 40", F519 &lt;= 50, "40 to 50", F519 &gt; 50, "&gt;50" )</f>
        <v>0 to 5</v>
      </c>
    </row>
    <row r="520" spans="1:15" ht="14.4" x14ac:dyDescent="0.3">
      <c r="A520" t="s">
        <v>114</v>
      </c>
      <c r="B520" s="1">
        <v>46176</v>
      </c>
      <c r="C520" t="s">
        <v>16</v>
      </c>
      <c r="D520">
        <v>479</v>
      </c>
      <c r="E520">
        <v>1</v>
      </c>
      <c r="F520">
        <v>1.5</v>
      </c>
      <c r="G520" t="s">
        <v>17</v>
      </c>
      <c r="I520" t="str">
        <f t="shared" si="8"/>
        <v>479_1</v>
      </c>
      <c r="J520" t="s">
        <v>18</v>
      </c>
      <c r="K520" t="s">
        <v>115</v>
      </c>
      <c r="L520" t="str">
        <f>_xlfn.XLOOKUP(C520, Table2[Species],Table2[Genus], "Code Not Found")</f>
        <v>Acer</v>
      </c>
      <c r="M520" t="str">
        <f>_xlfn.XLOOKUP(C520, Table2[Species],Table2[Sp. Name], "Code Not Found")</f>
        <v>saccharum</v>
      </c>
      <c r="N520" t="str">
        <f>_xlfn.XLOOKUP(C520,Table2[Species],Table2[Family],"Code Not Found")</f>
        <v>Sapindaceae</v>
      </c>
      <c r="O520" t="str" cm="1">
        <f t="array" ref="O520">_xlfn.IFS(F520="","",F520&lt;=5,"0 to 5",F520&lt;=10,"5.1 to 10",F520&lt;=20,"10 to 20", F520&lt;= 40, "20 to 40", F520 &lt;= 50, "40 to 50", F520 &gt; 50, "&gt;50" )</f>
        <v>0 to 5</v>
      </c>
    </row>
    <row r="521" spans="1:15" ht="14.4" x14ac:dyDescent="0.3">
      <c r="A521" t="s">
        <v>114</v>
      </c>
      <c r="B521" s="1">
        <v>46176</v>
      </c>
      <c r="C521" t="s">
        <v>16</v>
      </c>
      <c r="D521">
        <v>480</v>
      </c>
      <c r="E521">
        <v>1</v>
      </c>
      <c r="F521">
        <v>1.5</v>
      </c>
      <c r="G521" t="s">
        <v>17</v>
      </c>
      <c r="I521" t="str">
        <f t="shared" si="8"/>
        <v>480_1</v>
      </c>
      <c r="J521" t="s">
        <v>18</v>
      </c>
      <c r="K521" t="s">
        <v>115</v>
      </c>
      <c r="L521" t="str">
        <f>_xlfn.XLOOKUP(C521, Table2[Species],Table2[Genus], "Code Not Found")</f>
        <v>Acer</v>
      </c>
      <c r="M521" t="str">
        <f>_xlfn.XLOOKUP(C521, Table2[Species],Table2[Sp. Name], "Code Not Found")</f>
        <v>saccharum</v>
      </c>
      <c r="N521" t="str">
        <f>_xlfn.XLOOKUP(C521,Table2[Species],Table2[Family],"Code Not Found")</f>
        <v>Sapindaceae</v>
      </c>
      <c r="O521" t="str" cm="1">
        <f t="array" ref="O521">_xlfn.IFS(F521="","",F521&lt;=5,"0 to 5",F521&lt;=10,"5.1 to 10",F521&lt;=20,"10 to 20", F521&lt;= 40, "20 to 40", F521 &lt;= 50, "40 to 50", F521 &gt; 50, "&gt;50" )</f>
        <v>0 to 5</v>
      </c>
    </row>
    <row r="522" spans="1:15" ht="14.4" x14ac:dyDescent="0.3">
      <c r="A522" t="s">
        <v>114</v>
      </c>
      <c r="B522" s="1">
        <v>46176</v>
      </c>
      <c r="C522" t="s">
        <v>16</v>
      </c>
      <c r="D522">
        <v>481</v>
      </c>
      <c r="E522">
        <v>1</v>
      </c>
      <c r="F522">
        <v>3.6</v>
      </c>
      <c r="G522" t="s">
        <v>30</v>
      </c>
      <c r="H522" t="s">
        <v>96</v>
      </c>
      <c r="I522" t="str">
        <f t="shared" si="8"/>
        <v>481_1</v>
      </c>
      <c r="J522" t="s">
        <v>18</v>
      </c>
      <c r="K522" t="s">
        <v>115</v>
      </c>
      <c r="L522" t="str">
        <f>_xlfn.XLOOKUP(C522, Table2[Species],Table2[Genus], "Code Not Found")</f>
        <v>Acer</v>
      </c>
      <c r="M522" t="str">
        <f>_xlfn.XLOOKUP(C522, Table2[Species],Table2[Sp. Name], "Code Not Found")</f>
        <v>saccharum</v>
      </c>
      <c r="N522" t="str">
        <f>_xlfn.XLOOKUP(C522,Table2[Species],Table2[Family],"Code Not Found")</f>
        <v>Sapindaceae</v>
      </c>
      <c r="O522" t="str" cm="1">
        <f t="array" ref="O522">_xlfn.IFS(F522="","",F522&lt;=5,"0 to 5",F522&lt;=10,"5.1 to 10",F522&lt;=20,"10 to 20", F522&lt;= 40, "20 to 40", F522 &lt;= 50, "40 to 50", F522 &gt; 50, "&gt;50" )</f>
        <v>0 to 5</v>
      </c>
    </row>
    <row r="523" spans="1:15" ht="14.4" x14ac:dyDescent="0.3">
      <c r="A523" t="s">
        <v>114</v>
      </c>
      <c r="B523" s="1">
        <v>46176</v>
      </c>
      <c r="C523" t="s">
        <v>16</v>
      </c>
      <c r="D523">
        <v>482</v>
      </c>
      <c r="E523">
        <v>1</v>
      </c>
      <c r="F523">
        <v>56.4</v>
      </c>
      <c r="G523" t="s">
        <v>21</v>
      </c>
      <c r="I523" t="str">
        <f t="shared" si="8"/>
        <v>482_1</v>
      </c>
      <c r="J523" t="s">
        <v>18</v>
      </c>
      <c r="K523" t="s">
        <v>115</v>
      </c>
      <c r="L523" t="str">
        <f>_xlfn.XLOOKUP(C523, Table2[Species],Table2[Genus], "Code Not Found")</f>
        <v>Acer</v>
      </c>
      <c r="M523" t="str">
        <f>_xlfn.XLOOKUP(C523, Table2[Species],Table2[Sp. Name], "Code Not Found")</f>
        <v>saccharum</v>
      </c>
      <c r="N523" t="str">
        <f>_xlfn.XLOOKUP(C523,Table2[Species],Table2[Family],"Code Not Found")</f>
        <v>Sapindaceae</v>
      </c>
      <c r="O523" t="str" cm="1">
        <f t="array" ref="O523">_xlfn.IFS(F523="","",F523&lt;=5,"0 to 5",F523&lt;=10,"5.1 to 10",F523&lt;=20,"10 to 20", F523&lt;= 40, "20 to 40", F523 &lt;= 50, "40 to 50", F523 &gt; 50, "&gt;50" )</f>
        <v>&gt;50</v>
      </c>
    </row>
    <row r="524" spans="1:15" ht="14.4" x14ac:dyDescent="0.3">
      <c r="A524" t="s">
        <v>114</v>
      </c>
      <c r="B524" s="1">
        <v>46176</v>
      </c>
      <c r="C524" t="s">
        <v>22</v>
      </c>
      <c r="D524">
        <v>483</v>
      </c>
      <c r="E524">
        <v>1</v>
      </c>
      <c r="F524">
        <v>6.2</v>
      </c>
      <c r="G524" t="s">
        <v>165</v>
      </c>
      <c r="H524" t="s">
        <v>166</v>
      </c>
      <c r="I524" t="str">
        <f t="shared" si="8"/>
        <v>483_1</v>
      </c>
      <c r="J524" t="s">
        <v>18</v>
      </c>
      <c r="K524" t="s">
        <v>115</v>
      </c>
      <c r="L524" t="str">
        <f>_xlfn.XLOOKUP(C524, Table2[Species],Table2[Genus], "Code Not Found")</f>
        <v>Acer</v>
      </c>
      <c r="M524" t="str">
        <f>_xlfn.XLOOKUP(C524, Table2[Species],Table2[Sp. Name], "Code Not Found")</f>
        <v>rubrum</v>
      </c>
      <c r="N524" t="str">
        <f>_xlfn.XLOOKUP(C524,Table2[Species],Table2[Family],"Code Not Found")</f>
        <v>Sapindaceae</v>
      </c>
      <c r="O524" t="str" cm="1">
        <f t="array" ref="O524">_xlfn.IFS(F524="","",F524&lt;=5,"0 to 5",F524&lt;=10,"5.1 to 10",F524&lt;=20,"10 to 20", F524&lt;= 40, "20 to 40", F524 &lt;= 50, "40 to 50", F524 &gt; 50, "&gt;50" )</f>
        <v>5.1 to 10</v>
      </c>
    </row>
    <row r="525" spans="1:15" ht="14.4" x14ac:dyDescent="0.3">
      <c r="A525" t="s">
        <v>114</v>
      </c>
      <c r="B525" s="1">
        <v>46176</v>
      </c>
      <c r="C525" t="s">
        <v>16</v>
      </c>
      <c r="D525">
        <v>484</v>
      </c>
      <c r="E525">
        <v>1</v>
      </c>
      <c r="F525">
        <v>2.8</v>
      </c>
      <c r="G525" t="s">
        <v>17</v>
      </c>
      <c r="I525" t="str">
        <f t="shared" si="8"/>
        <v>484_1</v>
      </c>
      <c r="J525" t="s">
        <v>18</v>
      </c>
      <c r="K525" t="s">
        <v>115</v>
      </c>
      <c r="L525" t="str">
        <f>_xlfn.XLOOKUP(C525, Table2[Species],Table2[Genus], "Code Not Found")</f>
        <v>Acer</v>
      </c>
      <c r="M525" t="str">
        <f>_xlfn.XLOOKUP(C525, Table2[Species],Table2[Sp. Name], "Code Not Found")</f>
        <v>saccharum</v>
      </c>
      <c r="N525" t="str">
        <f>_xlfn.XLOOKUP(C525,Table2[Species],Table2[Family],"Code Not Found")</f>
        <v>Sapindaceae</v>
      </c>
      <c r="O525" t="str" cm="1">
        <f t="array" ref="O525">_xlfn.IFS(F525="","",F525&lt;=5,"0 to 5",F525&lt;=10,"5.1 to 10",F525&lt;=20,"10 to 20", F525&lt;= 40, "20 to 40", F525 &lt;= 50, "40 to 50", F525 &gt; 50, "&gt;50" )</f>
        <v>0 to 5</v>
      </c>
    </row>
    <row r="526" spans="1:15" ht="14.4" x14ac:dyDescent="0.3">
      <c r="A526" t="s">
        <v>114</v>
      </c>
      <c r="B526" s="1">
        <v>46176</v>
      </c>
      <c r="C526" t="s">
        <v>16</v>
      </c>
      <c r="D526">
        <v>485</v>
      </c>
      <c r="E526">
        <v>1</v>
      </c>
      <c r="F526">
        <v>3.8</v>
      </c>
      <c r="G526" t="s">
        <v>88</v>
      </c>
      <c r="H526" t="s">
        <v>167</v>
      </c>
      <c r="I526" t="str">
        <f t="shared" si="8"/>
        <v>485_1</v>
      </c>
      <c r="J526" t="s">
        <v>18</v>
      </c>
      <c r="K526" t="s">
        <v>115</v>
      </c>
      <c r="L526" t="str">
        <f>_xlfn.XLOOKUP(C526, Table2[Species],Table2[Genus], "Code Not Found")</f>
        <v>Acer</v>
      </c>
      <c r="M526" t="str">
        <f>_xlfn.XLOOKUP(C526, Table2[Species],Table2[Sp. Name], "Code Not Found")</f>
        <v>saccharum</v>
      </c>
      <c r="N526" t="str">
        <f>_xlfn.XLOOKUP(C526,Table2[Species],Table2[Family],"Code Not Found")</f>
        <v>Sapindaceae</v>
      </c>
      <c r="O526" t="str" cm="1">
        <f t="array" ref="O526">_xlfn.IFS(F526="","",F526&lt;=5,"0 to 5",F526&lt;=10,"5.1 to 10",F526&lt;=20,"10 to 20", F526&lt;= 40, "20 to 40", F526 &lt;= 50, "40 to 50", F526 &gt; 50, "&gt;50" )</f>
        <v>0 to 5</v>
      </c>
    </row>
    <row r="527" spans="1:15" ht="14.4" x14ac:dyDescent="0.3">
      <c r="A527" t="s">
        <v>114</v>
      </c>
      <c r="B527" s="1">
        <v>46176</v>
      </c>
      <c r="C527" t="s">
        <v>16</v>
      </c>
      <c r="D527">
        <v>486</v>
      </c>
      <c r="E527">
        <v>1</v>
      </c>
      <c r="F527">
        <v>5.3</v>
      </c>
      <c r="G527" t="s">
        <v>17</v>
      </c>
      <c r="I527" t="str">
        <f t="shared" si="8"/>
        <v>486_1</v>
      </c>
      <c r="J527" t="s">
        <v>18</v>
      </c>
      <c r="K527" t="s">
        <v>115</v>
      </c>
      <c r="L527" t="str">
        <f>_xlfn.XLOOKUP(C527, Table2[Species],Table2[Genus], "Code Not Found")</f>
        <v>Acer</v>
      </c>
      <c r="M527" t="str">
        <f>_xlfn.XLOOKUP(C527, Table2[Species],Table2[Sp. Name], "Code Not Found")</f>
        <v>saccharum</v>
      </c>
      <c r="N527" t="str">
        <f>_xlfn.XLOOKUP(C527,Table2[Species],Table2[Family],"Code Not Found")</f>
        <v>Sapindaceae</v>
      </c>
      <c r="O527" t="str" cm="1">
        <f t="array" ref="O527">_xlfn.IFS(F527="","",F527&lt;=5,"0 to 5",F527&lt;=10,"5.1 to 10",F527&lt;=20,"10 to 20", F527&lt;= 40, "20 to 40", F527 &lt;= 50, "40 to 50", F527 &gt; 50, "&gt;50" )</f>
        <v>5.1 to 10</v>
      </c>
    </row>
    <row r="528" spans="1:15" ht="14.4" x14ac:dyDescent="0.3">
      <c r="A528" t="s">
        <v>114</v>
      </c>
      <c r="B528" s="1">
        <v>46176</v>
      </c>
      <c r="C528" t="s">
        <v>16</v>
      </c>
      <c r="D528">
        <v>487</v>
      </c>
      <c r="E528">
        <v>1</v>
      </c>
      <c r="F528">
        <v>3</v>
      </c>
      <c r="G528" t="s">
        <v>88</v>
      </c>
      <c r="H528" t="s">
        <v>168</v>
      </c>
      <c r="I528" t="str">
        <f t="shared" si="8"/>
        <v>487_1</v>
      </c>
      <c r="J528" t="s">
        <v>18</v>
      </c>
      <c r="K528" t="s">
        <v>115</v>
      </c>
      <c r="L528" t="str">
        <f>_xlfn.XLOOKUP(C528, Table2[Species],Table2[Genus], "Code Not Found")</f>
        <v>Acer</v>
      </c>
      <c r="M528" t="str">
        <f>_xlfn.XLOOKUP(C528, Table2[Species],Table2[Sp. Name], "Code Not Found")</f>
        <v>saccharum</v>
      </c>
      <c r="N528" t="str">
        <f>_xlfn.XLOOKUP(C528,Table2[Species],Table2[Family],"Code Not Found")</f>
        <v>Sapindaceae</v>
      </c>
      <c r="O528" t="str" cm="1">
        <f t="array" ref="O528">_xlfn.IFS(F528="","",F528&lt;=5,"0 to 5",F528&lt;=10,"5.1 to 10",F528&lt;=20,"10 to 20", F528&lt;= 40, "20 to 40", F528 &lt;= 50, "40 to 50", F528 &gt; 50, "&gt;50" )</f>
        <v>0 to 5</v>
      </c>
    </row>
    <row r="529" spans="1:15" ht="14.4" x14ac:dyDescent="0.3">
      <c r="A529" t="s">
        <v>114</v>
      </c>
      <c r="B529" s="1">
        <v>46176</v>
      </c>
      <c r="C529" t="s">
        <v>16</v>
      </c>
      <c r="D529">
        <v>488</v>
      </c>
      <c r="E529">
        <v>1</v>
      </c>
      <c r="F529">
        <v>2.7</v>
      </c>
      <c r="G529" t="s">
        <v>30</v>
      </c>
      <c r="H529" t="s">
        <v>99</v>
      </c>
      <c r="I529" t="str">
        <f t="shared" si="8"/>
        <v>488_1</v>
      </c>
      <c r="J529" t="s">
        <v>18</v>
      </c>
      <c r="K529" t="s">
        <v>115</v>
      </c>
      <c r="L529" t="str">
        <f>_xlfn.XLOOKUP(C529, Table2[Species],Table2[Genus], "Code Not Found")</f>
        <v>Acer</v>
      </c>
      <c r="M529" t="str">
        <f>_xlfn.XLOOKUP(C529, Table2[Species],Table2[Sp. Name], "Code Not Found")</f>
        <v>saccharum</v>
      </c>
      <c r="N529" t="str">
        <f>_xlfn.XLOOKUP(C529,Table2[Species],Table2[Family],"Code Not Found")</f>
        <v>Sapindaceae</v>
      </c>
      <c r="O529" t="str" cm="1">
        <f t="array" ref="O529">_xlfn.IFS(F529="","",F529&lt;=5,"0 to 5",F529&lt;=10,"5.1 to 10",F529&lt;=20,"10 to 20", F529&lt;= 40, "20 to 40", F529 &lt;= 50, "40 to 50", F529 &gt; 50, "&gt;50" )</f>
        <v>0 to 5</v>
      </c>
    </row>
    <row r="530" spans="1:15" ht="14.4" x14ac:dyDescent="0.3">
      <c r="A530" t="s">
        <v>114</v>
      </c>
      <c r="B530" s="1">
        <v>46176</v>
      </c>
      <c r="C530" t="s">
        <v>16</v>
      </c>
      <c r="D530">
        <v>489</v>
      </c>
      <c r="E530">
        <v>1</v>
      </c>
      <c r="F530">
        <v>4.9000000000000004</v>
      </c>
      <c r="G530" t="s">
        <v>21</v>
      </c>
      <c r="H530" t="s">
        <v>43</v>
      </c>
      <c r="I530" t="str">
        <f t="shared" si="8"/>
        <v>489_1</v>
      </c>
      <c r="J530" t="s">
        <v>18</v>
      </c>
      <c r="K530" t="s">
        <v>115</v>
      </c>
      <c r="L530" t="str">
        <f>_xlfn.XLOOKUP(C530, Table2[Species],Table2[Genus], "Code Not Found")</f>
        <v>Acer</v>
      </c>
      <c r="M530" t="str">
        <f>_xlfn.XLOOKUP(C530, Table2[Species],Table2[Sp. Name], "Code Not Found")</f>
        <v>saccharum</v>
      </c>
      <c r="N530" t="str">
        <f>_xlfn.XLOOKUP(C530,Table2[Species],Table2[Family],"Code Not Found")</f>
        <v>Sapindaceae</v>
      </c>
      <c r="O530" t="str" cm="1">
        <f t="array" ref="O530">_xlfn.IFS(F530="","",F530&lt;=5,"0 to 5",F530&lt;=10,"5.1 to 10",F530&lt;=20,"10 to 20", F530&lt;= 40, "20 to 40", F530 &lt;= 50, "40 to 50", F530 &gt; 50, "&gt;50" )</f>
        <v>0 to 5</v>
      </c>
    </row>
    <row r="531" spans="1:15" ht="14.4" x14ac:dyDescent="0.3">
      <c r="A531" t="s">
        <v>114</v>
      </c>
      <c r="B531" s="1">
        <v>46176</v>
      </c>
      <c r="C531" t="s">
        <v>16</v>
      </c>
      <c r="D531">
        <v>490</v>
      </c>
      <c r="E531">
        <v>1</v>
      </c>
      <c r="F531">
        <v>11.1</v>
      </c>
      <c r="G531" t="s">
        <v>30</v>
      </c>
      <c r="H531" t="s">
        <v>96</v>
      </c>
      <c r="I531" t="str">
        <f t="shared" si="8"/>
        <v>490_1</v>
      </c>
      <c r="J531" t="s">
        <v>18</v>
      </c>
      <c r="K531" t="s">
        <v>115</v>
      </c>
      <c r="L531" t="str">
        <f>_xlfn.XLOOKUP(C531, Table2[Species],Table2[Genus], "Code Not Found")</f>
        <v>Acer</v>
      </c>
      <c r="M531" t="str">
        <f>_xlfn.XLOOKUP(C531, Table2[Species],Table2[Sp. Name], "Code Not Found")</f>
        <v>saccharum</v>
      </c>
      <c r="N531" t="str">
        <f>_xlfn.XLOOKUP(C531,Table2[Species],Table2[Family],"Code Not Found")</f>
        <v>Sapindaceae</v>
      </c>
      <c r="O531" t="str" cm="1">
        <f t="array" ref="O531">_xlfn.IFS(F531="","",F531&lt;=5,"0 to 5",F531&lt;=10,"5.1 to 10",F531&lt;=20,"10 to 20", F531&lt;= 40, "20 to 40", F531 &lt;= 50, "40 to 50", F531 &gt; 50, "&gt;50" )</f>
        <v>10 to 20</v>
      </c>
    </row>
    <row r="532" spans="1:15" ht="14.4" x14ac:dyDescent="0.3">
      <c r="A532" t="s">
        <v>114</v>
      </c>
      <c r="B532" s="1">
        <v>46176</v>
      </c>
      <c r="C532" t="s">
        <v>16</v>
      </c>
      <c r="D532">
        <v>491</v>
      </c>
      <c r="E532">
        <v>1</v>
      </c>
      <c r="F532">
        <v>3.9</v>
      </c>
      <c r="G532" t="s">
        <v>21</v>
      </c>
      <c r="I532" t="str">
        <f t="shared" si="8"/>
        <v>491_1</v>
      </c>
      <c r="J532" t="s">
        <v>18</v>
      </c>
      <c r="K532" t="s">
        <v>115</v>
      </c>
      <c r="L532" t="str">
        <f>_xlfn.XLOOKUP(C532, Table2[Species],Table2[Genus], "Code Not Found")</f>
        <v>Acer</v>
      </c>
      <c r="M532" t="str">
        <f>_xlfn.XLOOKUP(C532, Table2[Species],Table2[Sp. Name], "Code Not Found")</f>
        <v>saccharum</v>
      </c>
      <c r="N532" t="str">
        <f>_xlfn.XLOOKUP(C532,Table2[Species],Table2[Family],"Code Not Found")</f>
        <v>Sapindaceae</v>
      </c>
      <c r="O532" t="str" cm="1">
        <f t="array" ref="O532">_xlfn.IFS(F532="","",F532&lt;=5,"0 to 5",F532&lt;=10,"5.1 to 10",F532&lt;=20,"10 to 20", F532&lt;= 40, "20 to 40", F532 &lt;= 50, "40 to 50", F532 &gt; 50, "&gt;50" )</f>
        <v>0 to 5</v>
      </c>
    </row>
    <row r="533" spans="1:15" ht="14.4" x14ac:dyDescent="0.3">
      <c r="A533" t="s">
        <v>114</v>
      </c>
      <c r="B533" s="1">
        <v>46176</v>
      </c>
      <c r="C533" t="s">
        <v>16</v>
      </c>
      <c r="D533">
        <v>492</v>
      </c>
      <c r="E533">
        <v>1</v>
      </c>
      <c r="F533">
        <v>2.2999999999999998</v>
      </c>
      <c r="G533" t="s">
        <v>17</v>
      </c>
      <c r="I533" t="str">
        <f t="shared" si="8"/>
        <v>492_1</v>
      </c>
      <c r="J533" t="s">
        <v>18</v>
      </c>
      <c r="K533" t="s">
        <v>115</v>
      </c>
      <c r="L533" t="str">
        <f>_xlfn.XLOOKUP(C533, Table2[Species],Table2[Genus], "Code Not Found")</f>
        <v>Acer</v>
      </c>
      <c r="M533" t="str">
        <f>_xlfn.XLOOKUP(C533, Table2[Species],Table2[Sp. Name], "Code Not Found")</f>
        <v>saccharum</v>
      </c>
      <c r="N533" t="str">
        <f>_xlfn.XLOOKUP(C533,Table2[Species],Table2[Family],"Code Not Found")</f>
        <v>Sapindaceae</v>
      </c>
      <c r="O533" t="str" cm="1">
        <f t="array" ref="O533">_xlfn.IFS(F533="","",F533&lt;=5,"0 to 5",F533&lt;=10,"5.1 to 10",F533&lt;=20,"10 to 20", F533&lt;= 40, "20 to 40", F533 &lt;= 50, "40 to 50", F533 &gt; 50, "&gt;50" )</f>
        <v>0 to 5</v>
      </c>
    </row>
    <row r="534" spans="1:15" ht="14.4" x14ac:dyDescent="0.3">
      <c r="A534" t="s">
        <v>114</v>
      </c>
      <c r="B534" s="1">
        <v>46176</v>
      </c>
      <c r="C534" t="s">
        <v>22</v>
      </c>
      <c r="D534">
        <v>493</v>
      </c>
      <c r="E534">
        <v>1</v>
      </c>
      <c r="F534">
        <v>8.3000000000000007</v>
      </c>
      <c r="G534" t="s">
        <v>103</v>
      </c>
      <c r="I534" t="str">
        <f t="shared" si="8"/>
        <v>493_1</v>
      </c>
      <c r="J534" t="s">
        <v>18</v>
      </c>
      <c r="K534" t="s">
        <v>115</v>
      </c>
      <c r="L534" t="str">
        <f>_xlfn.XLOOKUP(C534, Table2[Species],Table2[Genus], "Code Not Found")</f>
        <v>Acer</v>
      </c>
      <c r="M534" t="str">
        <f>_xlfn.XLOOKUP(C534, Table2[Species],Table2[Sp. Name], "Code Not Found")</f>
        <v>rubrum</v>
      </c>
      <c r="N534" t="str">
        <f>_xlfn.XLOOKUP(C534,Table2[Species],Table2[Family],"Code Not Found")</f>
        <v>Sapindaceae</v>
      </c>
      <c r="O534" t="str" cm="1">
        <f t="array" ref="O534">_xlfn.IFS(F534="","",F534&lt;=5,"0 to 5",F534&lt;=10,"5.1 to 10",F534&lt;=20,"10 to 20", F534&lt;= 40, "20 to 40", F534 &lt;= 50, "40 to 50", F534 &gt; 50, "&gt;50" )</f>
        <v>5.1 to 10</v>
      </c>
    </row>
    <row r="535" spans="1:15" ht="14.4" x14ac:dyDescent="0.3">
      <c r="A535" t="s">
        <v>114</v>
      </c>
      <c r="B535" s="1">
        <v>46176</v>
      </c>
      <c r="C535" t="s">
        <v>64</v>
      </c>
      <c r="D535">
        <v>494</v>
      </c>
      <c r="E535">
        <v>1</v>
      </c>
      <c r="F535">
        <v>1.7</v>
      </c>
      <c r="G535" t="s">
        <v>17</v>
      </c>
      <c r="I535" t="str">
        <f t="shared" si="8"/>
        <v>494_1</v>
      </c>
      <c r="J535" t="s">
        <v>18</v>
      </c>
      <c r="K535" t="s">
        <v>115</v>
      </c>
      <c r="L535" t="str">
        <f>_xlfn.XLOOKUP(C535, Table2[Species],Table2[Genus], "Code Not Found")</f>
        <v>Fagus</v>
      </c>
      <c r="M535" t="str">
        <f>_xlfn.XLOOKUP(C535, Table2[Species],Table2[Sp. Name], "Code Not Found")</f>
        <v>grandifolia</v>
      </c>
      <c r="N535" t="str">
        <f>_xlfn.XLOOKUP(C535,Table2[Species],Table2[Family],"Code Not Found")</f>
        <v>Fagaceae</v>
      </c>
      <c r="O535" t="str" cm="1">
        <f t="array" ref="O535">_xlfn.IFS(F535="","",F535&lt;=5,"0 to 5",F535&lt;=10,"5.1 to 10",F535&lt;=20,"10 to 20", F535&lt;= 40, "20 to 40", F535 &lt;= 50, "40 to 50", F535 &gt; 50, "&gt;50" )</f>
        <v>0 to 5</v>
      </c>
    </row>
    <row r="536" spans="1:15" ht="14.4" x14ac:dyDescent="0.3">
      <c r="A536" t="s">
        <v>114</v>
      </c>
      <c r="B536" s="1">
        <v>46176</v>
      </c>
      <c r="C536" t="s">
        <v>64</v>
      </c>
      <c r="D536">
        <v>495</v>
      </c>
      <c r="E536">
        <v>1</v>
      </c>
      <c r="F536">
        <v>6.6</v>
      </c>
      <c r="G536" t="s">
        <v>17</v>
      </c>
      <c r="I536" t="str">
        <f t="shared" si="8"/>
        <v>495_1</v>
      </c>
      <c r="J536" t="s">
        <v>18</v>
      </c>
      <c r="K536" t="s">
        <v>115</v>
      </c>
      <c r="L536" t="str">
        <f>_xlfn.XLOOKUP(C536, Table2[Species],Table2[Genus], "Code Not Found")</f>
        <v>Fagus</v>
      </c>
      <c r="M536" t="str">
        <f>_xlfn.XLOOKUP(C536, Table2[Species],Table2[Sp. Name], "Code Not Found")</f>
        <v>grandifolia</v>
      </c>
      <c r="N536" t="str">
        <f>_xlfn.XLOOKUP(C536,Table2[Species],Table2[Family],"Code Not Found")</f>
        <v>Fagaceae</v>
      </c>
      <c r="O536" t="str" cm="1">
        <f t="array" ref="O536">_xlfn.IFS(F536="","",F536&lt;=5,"0 to 5",F536&lt;=10,"5.1 to 10",F536&lt;=20,"10 to 20", F536&lt;= 40, "20 to 40", F536 &lt;= 50, "40 to 50", F536 &gt; 50, "&gt;50" )</f>
        <v>5.1 to 10</v>
      </c>
    </row>
    <row r="537" spans="1:15" ht="14.4" x14ac:dyDescent="0.3">
      <c r="A537" t="s">
        <v>114</v>
      </c>
      <c r="B537" s="1">
        <v>46176</v>
      </c>
      <c r="C537" t="s">
        <v>64</v>
      </c>
      <c r="D537">
        <v>496</v>
      </c>
      <c r="E537">
        <v>1</v>
      </c>
      <c r="F537">
        <v>7.8</v>
      </c>
      <c r="G537" t="s">
        <v>17</v>
      </c>
      <c r="H537" t="s">
        <v>169</v>
      </c>
      <c r="I537" t="str">
        <f t="shared" si="8"/>
        <v>496_1</v>
      </c>
      <c r="J537" t="s">
        <v>18</v>
      </c>
      <c r="K537" t="s">
        <v>115</v>
      </c>
      <c r="L537" t="str">
        <f>_xlfn.XLOOKUP(C537, Table2[Species],Table2[Genus], "Code Not Found")</f>
        <v>Fagus</v>
      </c>
      <c r="M537" t="str">
        <f>_xlfn.XLOOKUP(C537, Table2[Species],Table2[Sp. Name], "Code Not Found")</f>
        <v>grandifolia</v>
      </c>
      <c r="N537" t="str">
        <f>_xlfn.XLOOKUP(C537,Table2[Species],Table2[Family],"Code Not Found")</f>
        <v>Fagaceae</v>
      </c>
      <c r="O537" t="str" cm="1">
        <f t="array" ref="O537">_xlfn.IFS(F537="","",F537&lt;=5,"0 to 5",F537&lt;=10,"5.1 to 10",F537&lt;=20,"10 to 20", F537&lt;= 40, "20 to 40", F537 &lt;= 50, "40 to 50", F537 &gt; 50, "&gt;50" )</f>
        <v>5.1 to 10</v>
      </c>
    </row>
    <row r="538" spans="1:15" ht="14.4" x14ac:dyDescent="0.3">
      <c r="A538" t="s">
        <v>114</v>
      </c>
      <c r="B538" s="1">
        <v>46176</v>
      </c>
      <c r="C538" t="s">
        <v>64</v>
      </c>
      <c r="D538">
        <v>497</v>
      </c>
      <c r="E538">
        <v>1</v>
      </c>
      <c r="F538">
        <v>12.5</v>
      </c>
      <c r="G538" t="s">
        <v>170</v>
      </c>
      <c r="H538" t="s">
        <v>171</v>
      </c>
      <c r="I538" t="str">
        <f t="shared" si="8"/>
        <v>497_1</v>
      </c>
      <c r="J538" t="s">
        <v>18</v>
      </c>
      <c r="K538" t="s">
        <v>115</v>
      </c>
      <c r="L538" t="str">
        <f>_xlfn.XLOOKUP(C538, Table2[Species],Table2[Genus], "Code Not Found")</f>
        <v>Fagus</v>
      </c>
      <c r="M538" t="str">
        <f>_xlfn.XLOOKUP(C538, Table2[Species],Table2[Sp. Name], "Code Not Found")</f>
        <v>grandifolia</v>
      </c>
      <c r="N538" t="str">
        <f>_xlfn.XLOOKUP(C538,Table2[Species],Table2[Family],"Code Not Found")</f>
        <v>Fagaceae</v>
      </c>
      <c r="O538" t="str" cm="1">
        <f t="array" ref="O538">_xlfn.IFS(F538="","",F538&lt;=5,"0 to 5",F538&lt;=10,"5.1 to 10",F538&lt;=20,"10 to 20", F538&lt;= 40, "20 to 40", F538 &lt;= 50, "40 to 50", F538 &gt; 50, "&gt;50" )</f>
        <v>10 to 20</v>
      </c>
    </row>
    <row r="539" spans="1:15" ht="14.4" x14ac:dyDescent="0.3">
      <c r="A539" t="s">
        <v>114</v>
      </c>
      <c r="B539" s="1">
        <v>46176</v>
      </c>
      <c r="C539" t="s">
        <v>129</v>
      </c>
      <c r="D539">
        <v>498</v>
      </c>
      <c r="E539">
        <v>1</v>
      </c>
      <c r="F539">
        <v>106.2</v>
      </c>
      <c r="G539" t="s">
        <v>17</v>
      </c>
      <c r="I539" t="str">
        <f t="shared" si="8"/>
        <v>498_1</v>
      </c>
      <c r="J539" t="s">
        <v>18</v>
      </c>
      <c r="K539" t="s">
        <v>115</v>
      </c>
      <c r="L539" t="str">
        <f>_xlfn.XLOOKUP(C539, Table2[Species],Table2[Genus], "Code Not Found")</f>
        <v>Quercus</v>
      </c>
      <c r="M539" t="str">
        <f>_xlfn.XLOOKUP(C539, Table2[Species],Table2[Sp. Name], "Code Not Found")</f>
        <v>alba</v>
      </c>
      <c r="N539" t="str">
        <f>_xlfn.XLOOKUP(C539,Table2[Species],Table2[Family],"Code Not Found")</f>
        <v>Fagaceae</v>
      </c>
      <c r="O539" t="str" cm="1">
        <f t="array" ref="O539">_xlfn.IFS(F539="","",F539&lt;=5,"0 to 5",F539&lt;=10,"5.1 to 10",F539&lt;=20,"10 to 20", F539&lt;= 40, "20 to 40", F539 &lt;= 50, "40 to 50", F539 &gt; 50, "&gt;50" )</f>
        <v>&gt;50</v>
      </c>
    </row>
    <row r="540" spans="1:15" ht="14.4" x14ac:dyDescent="0.3">
      <c r="A540" t="s">
        <v>114</v>
      </c>
      <c r="B540" s="1">
        <v>46176</v>
      </c>
      <c r="C540" t="s">
        <v>16</v>
      </c>
      <c r="D540">
        <v>499</v>
      </c>
      <c r="E540">
        <v>1</v>
      </c>
      <c r="F540">
        <v>25.3</v>
      </c>
      <c r="G540" t="s">
        <v>17</v>
      </c>
      <c r="I540" t="str">
        <f t="shared" si="8"/>
        <v>499_1</v>
      </c>
      <c r="J540" t="s">
        <v>18</v>
      </c>
      <c r="K540" t="s">
        <v>115</v>
      </c>
      <c r="L540" t="str">
        <f>_xlfn.XLOOKUP(C540, Table2[Species],Table2[Genus], "Code Not Found")</f>
        <v>Acer</v>
      </c>
      <c r="M540" t="str">
        <f>_xlfn.XLOOKUP(C540, Table2[Species],Table2[Sp. Name], "Code Not Found")</f>
        <v>saccharum</v>
      </c>
      <c r="N540" t="str">
        <f>_xlfn.XLOOKUP(C540,Table2[Species],Table2[Family],"Code Not Found")</f>
        <v>Sapindaceae</v>
      </c>
      <c r="O540" t="str" cm="1">
        <f t="array" ref="O540">_xlfn.IFS(F540="","",F540&lt;=5,"0 to 5",F540&lt;=10,"5.1 to 10",F540&lt;=20,"10 to 20", F540&lt;= 40, "20 to 40", F540 &lt;= 50, "40 to 50", F540 &gt; 50, "&gt;50" )</f>
        <v>20 to 40</v>
      </c>
    </row>
    <row r="541" spans="1:15" ht="14.4" x14ac:dyDescent="0.3">
      <c r="A541" t="s">
        <v>114</v>
      </c>
      <c r="B541" s="1">
        <v>46176</v>
      </c>
      <c r="C541" t="s">
        <v>64</v>
      </c>
      <c r="D541">
        <v>500</v>
      </c>
      <c r="E541">
        <v>1</v>
      </c>
      <c r="F541">
        <v>7.6</v>
      </c>
      <c r="G541" t="s">
        <v>17</v>
      </c>
      <c r="I541" t="str">
        <f t="shared" si="8"/>
        <v>500_1</v>
      </c>
      <c r="J541" t="s">
        <v>18</v>
      </c>
      <c r="K541" t="s">
        <v>115</v>
      </c>
      <c r="L541" t="str">
        <f>_xlfn.XLOOKUP(C541, Table2[Species],Table2[Genus], "Code Not Found")</f>
        <v>Fagus</v>
      </c>
      <c r="M541" t="str">
        <f>_xlfn.XLOOKUP(C541, Table2[Species],Table2[Sp. Name], "Code Not Found")</f>
        <v>grandifolia</v>
      </c>
      <c r="N541" t="str">
        <f>_xlfn.XLOOKUP(C541,Table2[Species],Table2[Family],"Code Not Found")</f>
        <v>Fagaceae</v>
      </c>
      <c r="O541" t="str" cm="1">
        <f t="array" ref="O541">_xlfn.IFS(F541="","",F541&lt;=5,"0 to 5",F541&lt;=10,"5.1 to 10",F541&lt;=20,"10 to 20", F541&lt;= 40, "20 to 40", F541 &lt;= 50, "40 to 50", F541 &gt; 50, "&gt;50" )</f>
        <v>5.1 to 10</v>
      </c>
    </row>
    <row r="542" spans="1:15" ht="14.4" x14ac:dyDescent="0.3">
      <c r="A542" t="s">
        <v>114</v>
      </c>
      <c r="B542" s="1">
        <v>46176</v>
      </c>
      <c r="C542" t="s">
        <v>64</v>
      </c>
      <c r="D542">
        <v>501</v>
      </c>
      <c r="E542">
        <v>1</v>
      </c>
      <c r="F542">
        <v>9.6</v>
      </c>
      <c r="G542" t="s">
        <v>30</v>
      </c>
      <c r="H542" t="s">
        <v>99</v>
      </c>
      <c r="I542" t="str">
        <f t="shared" si="8"/>
        <v>501_1</v>
      </c>
      <c r="J542" t="s">
        <v>18</v>
      </c>
      <c r="K542" t="s">
        <v>115</v>
      </c>
      <c r="L542" t="str">
        <f>_xlfn.XLOOKUP(C542, Table2[Species],Table2[Genus], "Code Not Found")</f>
        <v>Fagus</v>
      </c>
      <c r="M542" t="str">
        <f>_xlfn.XLOOKUP(C542, Table2[Species],Table2[Sp. Name], "Code Not Found")</f>
        <v>grandifolia</v>
      </c>
      <c r="N542" t="str">
        <f>_xlfn.XLOOKUP(C542,Table2[Species],Table2[Family],"Code Not Found")</f>
        <v>Fagaceae</v>
      </c>
      <c r="O542" t="str" cm="1">
        <f t="array" ref="O542">_xlfn.IFS(F542="","",F542&lt;=5,"0 to 5",F542&lt;=10,"5.1 to 10",F542&lt;=20,"10 to 20", F542&lt;= 40, "20 to 40", F542 &lt;= 50, "40 to 50", F542 &gt; 50, "&gt;50" )</f>
        <v>5.1 to 10</v>
      </c>
    </row>
    <row r="543" spans="1:15" ht="14.4" x14ac:dyDescent="0.3">
      <c r="A543" t="s">
        <v>114</v>
      </c>
      <c r="B543" s="1">
        <v>46176</v>
      </c>
      <c r="C543" t="s">
        <v>64</v>
      </c>
      <c r="D543">
        <v>502</v>
      </c>
      <c r="E543">
        <v>1</v>
      </c>
      <c r="F543">
        <v>2.2000000000000002</v>
      </c>
      <c r="G543" t="s">
        <v>32</v>
      </c>
      <c r="H543" t="s">
        <v>43</v>
      </c>
      <c r="I543" t="str">
        <f t="shared" si="8"/>
        <v>502_1</v>
      </c>
      <c r="J543" t="s">
        <v>18</v>
      </c>
      <c r="K543" t="s">
        <v>115</v>
      </c>
      <c r="L543" t="str">
        <f>_xlfn.XLOOKUP(C543, Table2[Species],Table2[Genus], "Code Not Found")</f>
        <v>Fagus</v>
      </c>
      <c r="M543" t="str">
        <f>_xlfn.XLOOKUP(C543, Table2[Species],Table2[Sp. Name], "Code Not Found")</f>
        <v>grandifolia</v>
      </c>
      <c r="N543" t="str">
        <f>_xlfn.XLOOKUP(C543,Table2[Species],Table2[Family],"Code Not Found")</f>
        <v>Fagaceae</v>
      </c>
      <c r="O543" t="str" cm="1">
        <f t="array" ref="O543">_xlfn.IFS(F543="","",F543&lt;=5,"0 to 5",F543&lt;=10,"5.1 to 10",F543&lt;=20,"10 to 20", F543&lt;= 40, "20 to 40", F543 &lt;= 50, "40 to 50", F543 &gt; 50, "&gt;50" )</f>
        <v>0 to 5</v>
      </c>
    </row>
    <row r="544" spans="1:15" ht="14.4" x14ac:dyDescent="0.3">
      <c r="A544" t="s">
        <v>114</v>
      </c>
      <c r="B544" s="1">
        <v>46176</v>
      </c>
      <c r="C544" t="s">
        <v>64</v>
      </c>
      <c r="D544">
        <v>502</v>
      </c>
      <c r="E544">
        <v>2</v>
      </c>
      <c r="F544">
        <v>1.2</v>
      </c>
      <c r="G544" t="s">
        <v>32</v>
      </c>
      <c r="H544" t="s">
        <v>43</v>
      </c>
      <c r="I544" t="str">
        <f t="shared" si="8"/>
        <v>502_2</v>
      </c>
      <c r="J544" t="s">
        <v>18</v>
      </c>
      <c r="K544" t="s">
        <v>115</v>
      </c>
      <c r="L544" t="str">
        <f>_xlfn.XLOOKUP(C544, Table2[Species],Table2[Genus], "Code Not Found")</f>
        <v>Fagus</v>
      </c>
      <c r="M544" t="str">
        <f>_xlfn.XLOOKUP(C544, Table2[Species],Table2[Sp. Name], "Code Not Found")</f>
        <v>grandifolia</v>
      </c>
      <c r="N544" t="str">
        <f>_xlfn.XLOOKUP(C544,Table2[Species],Table2[Family],"Code Not Found")</f>
        <v>Fagaceae</v>
      </c>
      <c r="O544" t="str" cm="1">
        <f t="array" ref="O544">_xlfn.IFS(F544="","",F544&lt;=5,"0 to 5",F544&lt;=10,"5.1 to 10",F544&lt;=20,"10 to 20", F544&lt;= 40, "20 to 40", F544 &lt;= 50, "40 to 50", F544 &gt; 50, "&gt;50" )</f>
        <v>0 to 5</v>
      </c>
    </row>
    <row r="545" spans="1:15" ht="14.4" x14ac:dyDescent="0.3">
      <c r="A545" t="s">
        <v>114</v>
      </c>
      <c r="B545" s="1">
        <v>46176</v>
      </c>
      <c r="C545" t="s">
        <v>64</v>
      </c>
      <c r="D545">
        <v>503</v>
      </c>
      <c r="E545">
        <v>1</v>
      </c>
      <c r="F545">
        <v>4.4000000000000004</v>
      </c>
      <c r="G545" t="s">
        <v>88</v>
      </c>
      <c r="H545" t="s">
        <v>99</v>
      </c>
      <c r="I545" t="str">
        <f t="shared" si="8"/>
        <v>503_1</v>
      </c>
      <c r="J545" t="s">
        <v>18</v>
      </c>
      <c r="K545" t="s">
        <v>115</v>
      </c>
      <c r="L545" t="str">
        <f>_xlfn.XLOOKUP(C545, Table2[Species],Table2[Genus], "Code Not Found")</f>
        <v>Fagus</v>
      </c>
      <c r="M545" t="str">
        <f>_xlfn.XLOOKUP(C545, Table2[Species],Table2[Sp. Name], "Code Not Found")</f>
        <v>grandifolia</v>
      </c>
      <c r="N545" t="str">
        <f>_xlfn.XLOOKUP(C545,Table2[Species],Table2[Family],"Code Not Found")</f>
        <v>Fagaceae</v>
      </c>
      <c r="O545" t="str" cm="1">
        <f t="array" ref="O545">_xlfn.IFS(F545="","",F545&lt;=5,"0 to 5",F545&lt;=10,"5.1 to 10",F545&lt;=20,"10 to 20", F545&lt;= 40, "20 to 40", F545 &lt;= 50, "40 to 50", F545 &gt; 50, "&gt;50" )</f>
        <v>0 to 5</v>
      </c>
    </row>
    <row r="546" spans="1:15" ht="14.4" x14ac:dyDescent="0.3">
      <c r="A546" t="s">
        <v>114</v>
      </c>
      <c r="B546" s="1">
        <v>46176</v>
      </c>
      <c r="C546" t="s">
        <v>16</v>
      </c>
      <c r="D546">
        <v>504</v>
      </c>
      <c r="E546">
        <v>1</v>
      </c>
      <c r="F546">
        <v>21.5</v>
      </c>
      <c r="G546" t="s">
        <v>17</v>
      </c>
      <c r="I546" t="str">
        <f t="shared" si="8"/>
        <v>504_1</v>
      </c>
      <c r="J546" t="s">
        <v>18</v>
      </c>
      <c r="K546" t="s">
        <v>115</v>
      </c>
      <c r="L546" t="str">
        <f>_xlfn.XLOOKUP(C546, Table2[Species],Table2[Genus], "Code Not Found")</f>
        <v>Acer</v>
      </c>
      <c r="M546" t="str">
        <f>_xlfn.XLOOKUP(C546, Table2[Species],Table2[Sp. Name], "Code Not Found")</f>
        <v>saccharum</v>
      </c>
      <c r="N546" t="str">
        <f>_xlfn.XLOOKUP(C546,Table2[Species],Table2[Family],"Code Not Found")</f>
        <v>Sapindaceae</v>
      </c>
      <c r="O546" t="str" cm="1">
        <f t="array" ref="O546">_xlfn.IFS(F546="","",F546&lt;=5,"0 to 5",F546&lt;=10,"5.1 to 10",F546&lt;=20,"10 to 20", F546&lt;= 40, "20 to 40", F546 &lt;= 50, "40 to 50", F546 &gt; 50, "&gt;50" )</f>
        <v>20 to 40</v>
      </c>
    </row>
    <row r="547" spans="1:15" ht="14.4" x14ac:dyDescent="0.3">
      <c r="A547" t="s">
        <v>114</v>
      </c>
      <c r="B547" s="1">
        <v>46176</v>
      </c>
      <c r="C547" t="s">
        <v>64</v>
      </c>
      <c r="D547">
        <v>505</v>
      </c>
      <c r="E547">
        <v>1</v>
      </c>
      <c r="F547">
        <v>10.1</v>
      </c>
      <c r="G547" t="s">
        <v>32</v>
      </c>
      <c r="H547" t="s">
        <v>172</v>
      </c>
      <c r="I547" t="str">
        <f t="shared" si="8"/>
        <v>505_1</v>
      </c>
      <c r="J547" t="s">
        <v>18</v>
      </c>
      <c r="K547" t="s">
        <v>115</v>
      </c>
      <c r="L547" t="str">
        <f>_xlfn.XLOOKUP(C547, Table2[Species],Table2[Genus], "Code Not Found")</f>
        <v>Fagus</v>
      </c>
      <c r="M547" t="str">
        <f>_xlfn.XLOOKUP(C547, Table2[Species],Table2[Sp. Name], "Code Not Found")</f>
        <v>grandifolia</v>
      </c>
      <c r="N547" t="str">
        <f>_xlfn.XLOOKUP(C547,Table2[Species],Table2[Family],"Code Not Found")</f>
        <v>Fagaceae</v>
      </c>
      <c r="O547" t="str" cm="1">
        <f t="array" ref="O547">_xlfn.IFS(F547="","",F547&lt;=5,"0 to 5",F547&lt;=10,"5.1 to 10",F547&lt;=20,"10 to 20", F547&lt;= 40, "20 to 40", F547 &lt;= 50, "40 to 50", F547 &gt; 50, "&gt;50" )</f>
        <v>10 to 20</v>
      </c>
    </row>
    <row r="548" spans="1:15" ht="14.4" x14ac:dyDescent="0.3">
      <c r="A548" t="s">
        <v>114</v>
      </c>
      <c r="B548" s="1">
        <v>46176</v>
      </c>
      <c r="C548" t="s">
        <v>64</v>
      </c>
      <c r="D548">
        <v>505</v>
      </c>
      <c r="E548">
        <v>2</v>
      </c>
      <c r="F548">
        <v>3.7</v>
      </c>
      <c r="G548" t="s">
        <v>32</v>
      </c>
      <c r="H548" t="s">
        <v>43</v>
      </c>
      <c r="I548" t="str">
        <f>D548&amp;"_"&amp;E548</f>
        <v>505_2</v>
      </c>
      <c r="J548" t="s">
        <v>18</v>
      </c>
      <c r="K548" t="s">
        <v>115</v>
      </c>
      <c r="L548" t="str">
        <f>_xlfn.XLOOKUP(C548, Table2[Species],Table2[Genus], "Code Not Found")</f>
        <v>Fagus</v>
      </c>
      <c r="M548" t="str">
        <f>_xlfn.XLOOKUP(C548, Table2[Species],Table2[Sp. Name], "Code Not Found")</f>
        <v>grandifolia</v>
      </c>
      <c r="N548" t="str">
        <f>_xlfn.XLOOKUP(C548,Table2[Species],Table2[Family],"Code Not Found")</f>
        <v>Fagaceae</v>
      </c>
      <c r="O548" t="str" cm="1">
        <f t="array" ref="O548">_xlfn.IFS(F548="","",F548&lt;=5,"0 to 5",F548&lt;=10,"5.1 to 10",F548&lt;=20,"10 to 20", F548&lt;= 40, "20 to 40", F548 &lt;= 50, "40 to 50", F548 &gt; 50, "&gt;50" )</f>
        <v>0 to 5</v>
      </c>
    </row>
    <row r="549" spans="1:15" ht="14.4" x14ac:dyDescent="0.3">
      <c r="A549" t="s">
        <v>114</v>
      </c>
      <c r="B549" s="1">
        <v>46176</v>
      </c>
      <c r="C549" t="s">
        <v>16</v>
      </c>
      <c r="D549">
        <v>506</v>
      </c>
      <c r="E549">
        <v>1</v>
      </c>
      <c r="F549">
        <v>14.1</v>
      </c>
      <c r="G549" t="s">
        <v>17</v>
      </c>
      <c r="I549" t="str">
        <f t="shared" si="8"/>
        <v>506_1</v>
      </c>
      <c r="J549" t="s">
        <v>18</v>
      </c>
      <c r="K549" t="s">
        <v>115</v>
      </c>
      <c r="L549" t="str">
        <f>_xlfn.XLOOKUP(C549, Table2[Species],Table2[Genus], "Code Not Found")</f>
        <v>Acer</v>
      </c>
      <c r="M549" t="str">
        <f>_xlfn.XLOOKUP(C549, Table2[Species],Table2[Sp. Name], "Code Not Found")</f>
        <v>saccharum</v>
      </c>
      <c r="N549" t="str">
        <f>_xlfn.XLOOKUP(C549,Table2[Species],Table2[Family],"Code Not Found")</f>
        <v>Sapindaceae</v>
      </c>
      <c r="O549" t="str" cm="1">
        <f t="array" ref="O549">_xlfn.IFS(F549="","",F549&lt;=5,"0 to 5",F549&lt;=10,"5.1 to 10",F549&lt;=20,"10 to 20", F549&lt;= 40, "20 to 40", F549 &lt;= 50, "40 to 50", F549 &gt; 50, "&gt;50" )</f>
        <v>10 to 20</v>
      </c>
    </row>
    <row r="550" spans="1:15" ht="14.4" x14ac:dyDescent="0.3">
      <c r="A550" t="s">
        <v>114</v>
      </c>
      <c r="B550" s="1">
        <v>46176</v>
      </c>
      <c r="C550" t="s">
        <v>16</v>
      </c>
      <c r="D550">
        <v>507</v>
      </c>
      <c r="E550">
        <v>1</v>
      </c>
      <c r="F550">
        <v>7.8</v>
      </c>
      <c r="G550" t="s">
        <v>21</v>
      </c>
      <c r="I550" t="str">
        <f t="shared" si="8"/>
        <v>507_1</v>
      </c>
      <c r="J550" t="s">
        <v>18</v>
      </c>
      <c r="K550" t="s">
        <v>115</v>
      </c>
      <c r="L550" t="str">
        <f>_xlfn.XLOOKUP(C550, Table2[Species],Table2[Genus], "Code Not Found")</f>
        <v>Acer</v>
      </c>
      <c r="M550" t="str">
        <f>_xlfn.XLOOKUP(C550, Table2[Species],Table2[Sp. Name], "Code Not Found")</f>
        <v>saccharum</v>
      </c>
      <c r="N550" t="str">
        <f>_xlfn.XLOOKUP(C550,Table2[Species],Table2[Family],"Code Not Found")</f>
        <v>Sapindaceae</v>
      </c>
      <c r="O550" t="str" cm="1">
        <f t="array" ref="O550">_xlfn.IFS(F550="","",F550&lt;=5,"0 to 5",F550&lt;=10,"5.1 to 10",F550&lt;=20,"10 to 20", F550&lt;= 40, "20 to 40", F550 &lt;= 50, "40 to 50", F550 &gt; 50, "&gt;50" )</f>
        <v>5.1 to 10</v>
      </c>
    </row>
    <row r="551" spans="1:15" ht="14.4" x14ac:dyDescent="0.3">
      <c r="A551" t="s">
        <v>114</v>
      </c>
      <c r="B551" s="1">
        <v>46176</v>
      </c>
      <c r="C551" t="s">
        <v>22</v>
      </c>
      <c r="D551">
        <v>508</v>
      </c>
      <c r="E551">
        <v>1</v>
      </c>
      <c r="F551">
        <v>12.8</v>
      </c>
      <c r="G551" t="s">
        <v>17</v>
      </c>
      <c r="I551" t="str">
        <f t="shared" si="8"/>
        <v>508_1</v>
      </c>
      <c r="J551" t="s">
        <v>18</v>
      </c>
      <c r="K551" t="s">
        <v>115</v>
      </c>
      <c r="L551" t="str">
        <f>_xlfn.XLOOKUP(C551, Table2[Species],Table2[Genus], "Code Not Found")</f>
        <v>Acer</v>
      </c>
      <c r="M551" t="str">
        <f>_xlfn.XLOOKUP(C551, Table2[Species],Table2[Sp. Name], "Code Not Found")</f>
        <v>rubrum</v>
      </c>
      <c r="N551" t="str">
        <f>_xlfn.XLOOKUP(C551,Table2[Species],Table2[Family],"Code Not Found")</f>
        <v>Sapindaceae</v>
      </c>
      <c r="O551" t="str" cm="1">
        <f t="array" ref="O551">_xlfn.IFS(F551="","",F551&lt;=5,"0 to 5",F551&lt;=10,"5.1 to 10",F551&lt;=20,"10 to 20", F551&lt;= 40, "20 to 40", F551 &lt;= 50, "40 to 50", F551 &gt; 50, "&gt;50" )</f>
        <v>10 to 20</v>
      </c>
    </row>
    <row r="552" spans="1:15" ht="14.4" x14ac:dyDescent="0.3">
      <c r="A552" t="s">
        <v>114</v>
      </c>
      <c r="B552" s="1">
        <v>46176</v>
      </c>
      <c r="C552" t="s">
        <v>16</v>
      </c>
      <c r="D552">
        <v>509</v>
      </c>
      <c r="E552">
        <v>1</v>
      </c>
      <c r="F552">
        <v>5.5</v>
      </c>
      <c r="G552" t="s">
        <v>21</v>
      </c>
      <c r="I552" t="str">
        <f t="shared" si="8"/>
        <v>509_1</v>
      </c>
      <c r="J552" t="s">
        <v>18</v>
      </c>
      <c r="K552" t="s">
        <v>115</v>
      </c>
      <c r="L552" t="str">
        <f>_xlfn.XLOOKUP(C552, Table2[Species],Table2[Genus], "Code Not Found")</f>
        <v>Acer</v>
      </c>
      <c r="M552" t="str">
        <f>_xlfn.XLOOKUP(C552, Table2[Species],Table2[Sp. Name], "Code Not Found")</f>
        <v>saccharum</v>
      </c>
      <c r="N552" t="str">
        <f>_xlfn.XLOOKUP(C552,Table2[Species],Table2[Family],"Code Not Found")</f>
        <v>Sapindaceae</v>
      </c>
      <c r="O552" t="str" cm="1">
        <f t="array" ref="O552">_xlfn.IFS(F552="","",F552&lt;=5,"0 to 5",F552&lt;=10,"5.1 to 10",F552&lt;=20,"10 to 20", F552&lt;= 40, "20 to 40", F552 &lt;= 50, "40 to 50", F552 &gt; 50, "&gt;50" )</f>
        <v>5.1 to 10</v>
      </c>
    </row>
    <row r="553" spans="1:15" ht="14.4" x14ac:dyDescent="0.3">
      <c r="A553" t="s">
        <v>114</v>
      </c>
      <c r="B553" s="1">
        <v>46176</v>
      </c>
      <c r="C553" t="s">
        <v>16</v>
      </c>
      <c r="D553">
        <v>510</v>
      </c>
      <c r="E553">
        <v>1</v>
      </c>
      <c r="F553">
        <v>11</v>
      </c>
      <c r="G553" t="s">
        <v>17</v>
      </c>
      <c r="I553" t="str">
        <f t="shared" si="8"/>
        <v>510_1</v>
      </c>
      <c r="J553" t="s">
        <v>18</v>
      </c>
      <c r="K553" t="s">
        <v>115</v>
      </c>
      <c r="L553" t="str">
        <f>_xlfn.XLOOKUP(C553, Table2[Species],Table2[Genus], "Code Not Found")</f>
        <v>Acer</v>
      </c>
      <c r="M553" t="str">
        <f>_xlfn.XLOOKUP(C553, Table2[Species],Table2[Sp. Name], "Code Not Found")</f>
        <v>saccharum</v>
      </c>
      <c r="N553" t="str">
        <f>_xlfn.XLOOKUP(C553,Table2[Species],Table2[Family],"Code Not Found")</f>
        <v>Sapindaceae</v>
      </c>
      <c r="O553" t="str" cm="1">
        <f t="array" ref="O553">_xlfn.IFS(F553="","",F553&lt;=5,"0 to 5",F553&lt;=10,"5.1 to 10",F553&lt;=20,"10 to 20", F553&lt;= 40, "20 to 40", F553 &lt;= 50, "40 to 50", F553 &gt; 50, "&gt;50" )</f>
        <v>10 to 20</v>
      </c>
    </row>
    <row r="554" spans="1:15" ht="14.4" x14ac:dyDescent="0.3">
      <c r="A554" t="s">
        <v>114</v>
      </c>
      <c r="B554" s="1">
        <v>46176</v>
      </c>
      <c r="C554" t="s">
        <v>16</v>
      </c>
      <c r="D554">
        <v>511</v>
      </c>
      <c r="E554">
        <v>1</v>
      </c>
      <c r="F554">
        <v>5.9</v>
      </c>
      <c r="G554" t="s">
        <v>17</v>
      </c>
      <c r="I554" t="str">
        <f t="shared" si="8"/>
        <v>511_1</v>
      </c>
      <c r="J554" t="s">
        <v>18</v>
      </c>
      <c r="K554" t="s">
        <v>115</v>
      </c>
      <c r="L554" t="str">
        <f>_xlfn.XLOOKUP(C554, Table2[Species],Table2[Genus], "Code Not Found")</f>
        <v>Acer</v>
      </c>
      <c r="M554" t="str">
        <f>_xlfn.XLOOKUP(C554, Table2[Species],Table2[Sp. Name], "Code Not Found")</f>
        <v>saccharum</v>
      </c>
      <c r="N554" t="str">
        <f>_xlfn.XLOOKUP(C554,Table2[Species],Table2[Family],"Code Not Found")</f>
        <v>Sapindaceae</v>
      </c>
      <c r="O554" t="str" cm="1">
        <f t="array" ref="O554">_xlfn.IFS(F554="","",F554&lt;=5,"0 to 5",F554&lt;=10,"5.1 to 10",F554&lt;=20,"10 to 20", F554&lt;= 40, "20 to 40", F554 &lt;= 50, "40 to 50", F554 &gt; 50, "&gt;50" )</f>
        <v>5.1 to 10</v>
      </c>
    </row>
    <row r="555" spans="1:15" ht="14.4" x14ac:dyDescent="0.3">
      <c r="A555" t="s">
        <v>114</v>
      </c>
      <c r="B555" s="1">
        <v>46176</v>
      </c>
      <c r="C555" t="s">
        <v>16</v>
      </c>
      <c r="D555">
        <v>512</v>
      </c>
      <c r="E555">
        <v>1</v>
      </c>
      <c r="F555">
        <v>7.7</v>
      </c>
      <c r="G555" t="s">
        <v>17</v>
      </c>
      <c r="I555" t="str">
        <f t="shared" si="8"/>
        <v>512_1</v>
      </c>
      <c r="J555" t="s">
        <v>18</v>
      </c>
      <c r="K555" t="s">
        <v>115</v>
      </c>
      <c r="L555" t="str">
        <f>_xlfn.XLOOKUP(C555, Table2[Species],Table2[Genus], "Code Not Found")</f>
        <v>Acer</v>
      </c>
      <c r="M555" t="str">
        <f>_xlfn.XLOOKUP(C555, Table2[Species],Table2[Sp. Name], "Code Not Found")</f>
        <v>saccharum</v>
      </c>
      <c r="N555" t="str">
        <f>_xlfn.XLOOKUP(C555,Table2[Species],Table2[Family],"Code Not Found")</f>
        <v>Sapindaceae</v>
      </c>
      <c r="O555" t="str" cm="1">
        <f t="array" ref="O555">_xlfn.IFS(F555="","",F555&lt;=5,"0 to 5",F555&lt;=10,"5.1 to 10",F555&lt;=20,"10 to 20", F555&lt;= 40, "20 to 40", F555 &lt;= 50, "40 to 50", F555 &gt; 50, "&gt;50" )</f>
        <v>5.1 to 10</v>
      </c>
    </row>
    <row r="556" spans="1:15" ht="14.4" x14ac:dyDescent="0.3">
      <c r="A556" t="s">
        <v>114</v>
      </c>
      <c r="B556" s="1">
        <v>46176</v>
      </c>
      <c r="C556" t="s">
        <v>16</v>
      </c>
      <c r="D556">
        <v>513</v>
      </c>
      <c r="E556">
        <v>1</v>
      </c>
      <c r="F556">
        <v>2.7</v>
      </c>
      <c r="G556" t="s">
        <v>88</v>
      </c>
      <c r="H556" t="s">
        <v>99</v>
      </c>
      <c r="I556" t="str">
        <f t="shared" si="8"/>
        <v>513_1</v>
      </c>
      <c r="J556" t="s">
        <v>18</v>
      </c>
      <c r="K556" t="s">
        <v>115</v>
      </c>
      <c r="L556" t="str">
        <f>_xlfn.XLOOKUP(C556, Table2[Species],Table2[Genus], "Code Not Found")</f>
        <v>Acer</v>
      </c>
      <c r="M556" t="str">
        <f>_xlfn.XLOOKUP(C556, Table2[Species],Table2[Sp. Name], "Code Not Found")</f>
        <v>saccharum</v>
      </c>
      <c r="N556" t="str">
        <f>_xlfn.XLOOKUP(C556,Table2[Species],Table2[Family],"Code Not Found")</f>
        <v>Sapindaceae</v>
      </c>
      <c r="O556" t="str" cm="1">
        <f t="array" ref="O556">_xlfn.IFS(F556="","",F556&lt;=5,"0 to 5",F556&lt;=10,"5.1 to 10",F556&lt;=20,"10 to 20", F556&lt;= 40, "20 to 40", F556 &lt;= 50, "40 to 50", F556 &gt; 50, "&gt;50" )</f>
        <v>0 to 5</v>
      </c>
    </row>
    <row r="557" spans="1:15" ht="14.4" x14ac:dyDescent="0.3">
      <c r="A557" t="s">
        <v>114</v>
      </c>
      <c r="B557" s="1">
        <v>46176</v>
      </c>
      <c r="C557" t="s">
        <v>16</v>
      </c>
      <c r="D557">
        <v>514</v>
      </c>
      <c r="E557">
        <v>1</v>
      </c>
      <c r="F557">
        <v>10.9</v>
      </c>
      <c r="G557" t="s">
        <v>38</v>
      </c>
      <c r="I557" t="str">
        <f t="shared" si="8"/>
        <v>514_1</v>
      </c>
      <c r="J557" t="s">
        <v>18</v>
      </c>
      <c r="K557" t="s">
        <v>115</v>
      </c>
      <c r="L557" t="str">
        <f>_xlfn.XLOOKUP(C557, Table2[Species],Table2[Genus], "Code Not Found")</f>
        <v>Acer</v>
      </c>
      <c r="M557" t="str">
        <f>_xlfn.XLOOKUP(C557, Table2[Species],Table2[Sp. Name], "Code Not Found")</f>
        <v>saccharum</v>
      </c>
      <c r="N557" t="str">
        <f>_xlfn.XLOOKUP(C557,Table2[Species],Table2[Family],"Code Not Found")</f>
        <v>Sapindaceae</v>
      </c>
      <c r="O557" t="str" cm="1">
        <f t="array" ref="O557">_xlfn.IFS(F557="","",F557&lt;=5,"0 to 5",F557&lt;=10,"5.1 to 10",F557&lt;=20,"10 to 20", F557&lt;= 40, "20 to 40", F557 &lt;= 50, "40 to 50", F557 &gt; 50, "&gt;50" )</f>
        <v>10 to 20</v>
      </c>
    </row>
    <row r="558" spans="1:15" ht="14.4" x14ac:dyDescent="0.3">
      <c r="A558" t="s">
        <v>114</v>
      </c>
      <c r="B558" s="1">
        <v>46176</v>
      </c>
      <c r="C558" t="s">
        <v>16</v>
      </c>
      <c r="D558">
        <v>515</v>
      </c>
      <c r="E558">
        <v>1</v>
      </c>
      <c r="F558">
        <v>59.6</v>
      </c>
      <c r="G558" t="s">
        <v>17</v>
      </c>
      <c r="I558" t="str">
        <f t="shared" si="8"/>
        <v>515_1</v>
      </c>
      <c r="J558" t="s">
        <v>18</v>
      </c>
      <c r="K558" t="s">
        <v>115</v>
      </c>
      <c r="L558" t="str">
        <f>_xlfn.XLOOKUP(C558, Table2[Species],Table2[Genus], "Code Not Found")</f>
        <v>Acer</v>
      </c>
      <c r="M558" t="str">
        <f>_xlfn.XLOOKUP(C558, Table2[Species],Table2[Sp. Name], "Code Not Found")</f>
        <v>saccharum</v>
      </c>
      <c r="N558" t="str">
        <f>_xlfn.XLOOKUP(C558,Table2[Species],Table2[Family],"Code Not Found")</f>
        <v>Sapindaceae</v>
      </c>
      <c r="O558" t="str" cm="1">
        <f t="array" ref="O558">_xlfn.IFS(F558="","",F558&lt;=5,"0 to 5",F558&lt;=10,"5.1 to 10",F558&lt;=20,"10 to 20", F558&lt;= 40, "20 to 40", F558 &lt;= 50, "40 to 50", F558 &gt; 50, "&gt;50" )</f>
        <v>&gt;50</v>
      </c>
    </row>
    <row r="559" spans="1:15" ht="14.4" x14ac:dyDescent="0.3">
      <c r="A559" t="s">
        <v>114</v>
      </c>
      <c r="B559" s="1">
        <v>46176</v>
      </c>
      <c r="C559" t="s">
        <v>16</v>
      </c>
      <c r="D559">
        <v>516</v>
      </c>
      <c r="E559">
        <v>1</v>
      </c>
      <c r="F559">
        <v>8.1</v>
      </c>
      <c r="G559" t="s">
        <v>21</v>
      </c>
      <c r="I559" t="str">
        <f t="shared" si="8"/>
        <v>516_1</v>
      </c>
      <c r="J559" t="s">
        <v>18</v>
      </c>
      <c r="K559" t="s">
        <v>115</v>
      </c>
      <c r="L559" t="str">
        <f>_xlfn.XLOOKUP(C559, Table2[Species],Table2[Genus], "Code Not Found")</f>
        <v>Acer</v>
      </c>
      <c r="M559" t="str">
        <f>_xlfn.XLOOKUP(C559, Table2[Species],Table2[Sp. Name], "Code Not Found")</f>
        <v>saccharum</v>
      </c>
      <c r="N559" t="str">
        <f>_xlfn.XLOOKUP(C559,Table2[Species],Table2[Family],"Code Not Found")</f>
        <v>Sapindaceae</v>
      </c>
      <c r="O559" t="str" cm="1">
        <f t="array" ref="O559">_xlfn.IFS(F559="","",F559&lt;=5,"0 to 5",F559&lt;=10,"5.1 to 10",F559&lt;=20,"10 to 20", F559&lt;= 40, "20 to 40", F559 &lt;= 50, "40 to 50", F559 &gt; 50, "&gt;50" )</f>
        <v>5.1 to 10</v>
      </c>
    </row>
    <row r="560" spans="1:15" ht="14.4" x14ac:dyDescent="0.3">
      <c r="A560" t="s">
        <v>114</v>
      </c>
      <c r="B560" s="1">
        <v>46176</v>
      </c>
      <c r="C560" t="s">
        <v>22</v>
      </c>
      <c r="D560">
        <v>517</v>
      </c>
      <c r="E560">
        <v>1</v>
      </c>
      <c r="F560">
        <v>13.1</v>
      </c>
      <c r="G560" t="s">
        <v>17</v>
      </c>
      <c r="I560" t="str">
        <f t="shared" si="8"/>
        <v>517_1</v>
      </c>
      <c r="J560" t="s">
        <v>18</v>
      </c>
      <c r="K560" t="s">
        <v>115</v>
      </c>
      <c r="L560" t="str">
        <f>_xlfn.XLOOKUP(C560, Table2[Species],Table2[Genus], "Code Not Found")</f>
        <v>Acer</v>
      </c>
      <c r="M560" t="str">
        <f>_xlfn.XLOOKUP(C560, Table2[Species],Table2[Sp. Name], "Code Not Found")</f>
        <v>rubrum</v>
      </c>
      <c r="N560" t="str">
        <f>_xlfn.XLOOKUP(C560,Table2[Species],Table2[Family],"Code Not Found")</f>
        <v>Sapindaceae</v>
      </c>
      <c r="O560" t="str" cm="1">
        <f t="array" ref="O560">_xlfn.IFS(F560="","",F560&lt;=5,"0 to 5",F560&lt;=10,"5.1 to 10",F560&lt;=20,"10 to 20", F560&lt;= 40, "20 to 40", F560 &lt;= 50, "40 to 50", F560 &gt; 50, "&gt;50" )</f>
        <v>10 to 20</v>
      </c>
    </row>
    <row r="561" spans="1:15" ht="14.4" x14ac:dyDescent="0.3">
      <c r="A561" t="s">
        <v>114</v>
      </c>
      <c r="B561" s="1">
        <v>46176</v>
      </c>
      <c r="C561" t="s">
        <v>16</v>
      </c>
      <c r="D561">
        <v>518</v>
      </c>
      <c r="E561">
        <v>1</v>
      </c>
      <c r="F561">
        <v>2.2999999999999998</v>
      </c>
      <c r="G561" t="s">
        <v>17</v>
      </c>
      <c r="I561" t="str">
        <f t="shared" si="8"/>
        <v>518_1</v>
      </c>
      <c r="J561" t="s">
        <v>18</v>
      </c>
      <c r="K561" t="s">
        <v>115</v>
      </c>
      <c r="L561" t="str">
        <f>_xlfn.XLOOKUP(C561, Table2[Species],Table2[Genus], "Code Not Found")</f>
        <v>Acer</v>
      </c>
      <c r="M561" t="str">
        <f>_xlfn.XLOOKUP(C561, Table2[Species],Table2[Sp. Name], "Code Not Found")</f>
        <v>saccharum</v>
      </c>
      <c r="N561" t="str">
        <f>_xlfn.XLOOKUP(C561,Table2[Species],Table2[Family],"Code Not Found")</f>
        <v>Sapindaceae</v>
      </c>
      <c r="O561" t="str" cm="1">
        <f t="array" ref="O561">_xlfn.IFS(F561="","",F561&lt;=5,"0 to 5",F561&lt;=10,"5.1 to 10",F561&lt;=20,"10 to 20", F561&lt;= 40, "20 to 40", F561 &lt;= 50, "40 to 50", F561 &gt; 50, "&gt;50" )</f>
        <v>0 to 5</v>
      </c>
    </row>
    <row r="562" spans="1:15" ht="14.4" x14ac:dyDescent="0.3">
      <c r="A562" t="s">
        <v>114</v>
      </c>
      <c r="B562" s="1">
        <v>46176</v>
      </c>
      <c r="C562" t="s">
        <v>20</v>
      </c>
      <c r="D562">
        <v>519</v>
      </c>
      <c r="E562">
        <v>1</v>
      </c>
      <c r="F562">
        <v>8.6</v>
      </c>
      <c r="G562" t="s">
        <v>88</v>
      </c>
      <c r="H562" t="s">
        <v>121</v>
      </c>
      <c r="I562" t="str">
        <f t="shared" si="8"/>
        <v>519_1</v>
      </c>
      <c r="J562" t="s">
        <v>18</v>
      </c>
      <c r="K562" t="s">
        <v>115</v>
      </c>
      <c r="L562" t="str">
        <f>_xlfn.XLOOKUP(C562, Table2[Species],Table2[Genus], "Code Not Found")</f>
        <v>Prunus</v>
      </c>
      <c r="M562" t="str">
        <f>_xlfn.XLOOKUP(C562, Table2[Species],Table2[Sp. Name], "Code Not Found")</f>
        <v>serotina</v>
      </c>
      <c r="N562" t="str">
        <f>_xlfn.XLOOKUP(C562,Table2[Species],Table2[Family],"Code Not Found")</f>
        <v>Rosaceae</v>
      </c>
      <c r="O562" t="str" cm="1">
        <f t="array" ref="O562">_xlfn.IFS(F562="","",F562&lt;=5,"0 to 5",F562&lt;=10,"5.1 to 10",F562&lt;=20,"10 to 20", F562&lt;= 40, "20 to 40", F562 &lt;= 50, "40 to 50", F562 &gt; 50, "&gt;50" )</f>
        <v>5.1 to 10</v>
      </c>
    </row>
    <row r="563" spans="1:15" ht="14.4" x14ac:dyDescent="0.3">
      <c r="A563" t="s">
        <v>114</v>
      </c>
      <c r="B563" s="1">
        <v>46176</v>
      </c>
      <c r="C563" t="s">
        <v>20</v>
      </c>
      <c r="D563">
        <v>520</v>
      </c>
      <c r="E563">
        <v>1</v>
      </c>
      <c r="F563">
        <v>8.5</v>
      </c>
      <c r="G563" t="s">
        <v>88</v>
      </c>
      <c r="H563" t="s">
        <v>173</v>
      </c>
      <c r="I563" t="str">
        <f t="shared" si="8"/>
        <v>520_1</v>
      </c>
      <c r="J563" t="s">
        <v>18</v>
      </c>
      <c r="K563" t="s">
        <v>115</v>
      </c>
      <c r="L563" t="str">
        <f>_xlfn.XLOOKUP(C563, Table2[Species],Table2[Genus], "Code Not Found")</f>
        <v>Prunus</v>
      </c>
      <c r="M563" t="str">
        <f>_xlfn.XLOOKUP(C563, Table2[Species],Table2[Sp. Name], "Code Not Found")</f>
        <v>serotina</v>
      </c>
      <c r="N563" t="str">
        <f>_xlfn.XLOOKUP(C563,Table2[Species],Table2[Family],"Code Not Found")</f>
        <v>Rosaceae</v>
      </c>
      <c r="O563" t="str" cm="1">
        <f t="array" ref="O563">_xlfn.IFS(F563="","",F563&lt;=5,"0 to 5",F563&lt;=10,"5.1 to 10",F563&lt;=20,"10 to 20", F563&lt;= 40, "20 to 40", F563 &lt;= 50, "40 to 50", F563 &gt; 50, "&gt;50" )</f>
        <v>5.1 to 10</v>
      </c>
    </row>
    <row r="564" spans="1:15" ht="14.4" x14ac:dyDescent="0.3">
      <c r="A564" t="s">
        <v>114</v>
      </c>
      <c r="B564" s="1">
        <v>46176</v>
      </c>
      <c r="C564" t="s">
        <v>16</v>
      </c>
      <c r="D564">
        <v>521</v>
      </c>
      <c r="E564">
        <v>1</v>
      </c>
      <c r="F564">
        <v>3.5</v>
      </c>
      <c r="G564" t="s">
        <v>21</v>
      </c>
      <c r="I564" t="str">
        <f t="shared" si="8"/>
        <v>521_1</v>
      </c>
      <c r="J564" t="s">
        <v>18</v>
      </c>
      <c r="K564" t="s">
        <v>115</v>
      </c>
      <c r="L564" t="str">
        <f>_xlfn.XLOOKUP(C564, Table2[Species],Table2[Genus], "Code Not Found")</f>
        <v>Acer</v>
      </c>
      <c r="M564" t="str">
        <f>_xlfn.XLOOKUP(C564, Table2[Species],Table2[Sp. Name], "Code Not Found")</f>
        <v>saccharum</v>
      </c>
      <c r="N564" t="str">
        <f>_xlfn.XLOOKUP(C564,Table2[Species],Table2[Family],"Code Not Found")</f>
        <v>Sapindaceae</v>
      </c>
      <c r="O564" t="str" cm="1">
        <f t="array" ref="O564">_xlfn.IFS(F564="","",F564&lt;=5,"0 to 5",F564&lt;=10,"5.1 to 10",F564&lt;=20,"10 to 20", F564&lt;= 40, "20 to 40", F564 &lt;= 50, "40 to 50", F564 &gt; 50, "&gt;50" )</f>
        <v>0 to 5</v>
      </c>
    </row>
    <row r="565" spans="1:15" ht="14.4" x14ac:dyDescent="0.3">
      <c r="A565" t="s">
        <v>114</v>
      </c>
      <c r="B565" s="1">
        <v>46176</v>
      </c>
      <c r="C565" t="s">
        <v>16</v>
      </c>
      <c r="D565">
        <v>522</v>
      </c>
      <c r="E565">
        <v>1</v>
      </c>
      <c r="F565">
        <v>11.6</v>
      </c>
      <c r="G565" t="s">
        <v>17</v>
      </c>
      <c r="I565" t="str">
        <f t="shared" si="8"/>
        <v>522_1</v>
      </c>
      <c r="J565" t="s">
        <v>18</v>
      </c>
      <c r="K565" t="s">
        <v>115</v>
      </c>
      <c r="L565" t="str">
        <f>_xlfn.XLOOKUP(C565, Table2[Species],Table2[Genus], "Code Not Found")</f>
        <v>Acer</v>
      </c>
      <c r="M565" t="str">
        <f>_xlfn.XLOOKUP(C565, Table2[Species],Table2[Sp. Name], "Code Not Found")</f>
        <v>saccharum</v>
      </c>
      <c r="N565" t="str">
        <f>_xlfn.XLOOKUP(C565,Table2[Species],Table2[Family],"Code Not Found")</f>
        <v>Sapindaceae</v>
      </c>
      <c r="O565" t="str" cm="1">
        <f t="array" ref="O565">_xlfn.IFS(F565="","",F565&lt;=5,"0 to 5",F565&lt;=10,"5.1 to 10",F565&lt;=20,"10 to 20", F565&lt;= 40, "20 to 40", F565 &lt;= 50, "40 to 50", F565 &gt; 50, "&gt;50" )</f>
        <v>10 to 20</v>
      </c>
    </row>
    <row r="566" spans="1:15" ht="14.4" x14ac:dyDescent="0.3">
      <c r="A566" t="s">
        <v>114</v>
      </c>
      <c r="B566" s="1">
        <v>46176</v>
      </c>
      <c r="C566" t="s">
        <v>16</v>
      </c>
      <c r="D566">
        <v>523</v>
      </c>
      <c r="E566">
        <v>1</v>
      </c>
      <c r="F566">
        <v>3.1</v>
      </c>
      <c r="G566" t="s">
        <v>17</v>
      </c>
      <c r="I566" t="str">
        <f t="shared" si="8"/>
        <v>523_1</v>
      </c>
      <c r="J566" t="s">
        <v>18</v>
      </c>
      <c r="K566" t="s">
        <v>115</v>
      </c>
      <c r="L566" t="str">
        <f>_xlfn.XLOOKUP(C566, Table2[Species],Table2[Genus], "Code Not Found")</f>
        <v>Acer</v>
      </c>
      <c r="M566" t="str">
        <f>_xlfn.XLOOKUP(C566, Table2[Species],Table2[Sp. Name], "Code Not Found")</f>
        <v>saccharum</v>
      </c>
      <c r="N566" t="str">
        <f>_xlfn.XLOOKUP(C566,Table2[Species],Table2[Family],"Code Not Found")</f>
        <v>Sapindaceae</v>
      </c>
      <c r="O566" t="str" cm="1">
        <f t="array" ref="O566">_xlfn.IFS(F566="","",F566&lt;=5,"0 to 5",F566&lt;=10,"5.1 to 10",F566&lt;=20,"10 to 20", F566&lt;= 40, "20 to 40", F566 &lt;= 50, "40 to 50", F566 &gt; 50, "&gt;50" )</f>
        <v>0 to 5</v>
      </c>
    </row>
    <row r="567" spans="1:15" ht="14.4" x14ac:dyDescent="0.3">
      <c r="A567" t="s">
        <v>114</v>
      </c>
      <c r="B567" s="1">
        <v>46176</v>
      </c>
      <c r="C567" t="s">
        <v>16</v>
      </c>
      <c r="D567">
        <v>524</v>
      </c>
      <c r="E567">
        <v>1</v>
      </c>
      <c r="F567">
        <v>3.4</v>
      </c>
      <c r="G567" t="s">
        <v>17</v>
      </c>
      <c r="H567" t="s">
        <v>174</v>
      </c>
      <c r="I567" t="str">
        <f t="shared" si="8"/>
        <v>524_1</v>
      </c>
      <c r="J567" t="s">
        <v>18</v>
      </c>
      <c r="K567" t="s">
        <v>115</v>
      </c>
      <c r="L567" t="str">
        <f>_xlfn.XLOOKUP(C567, Table2[Species],Table2[Genus], "Code Not Found")</f>
        <v>Acer</v>
      </c>
      <c r="M567" t="str">
        <f>_xlfn.XLOOKUP(C567, Table2[Species],Table2[Sp. Name], "Code Not Found")</f>
        <v>saccharum</v>
      </c>
      <c r="N567" t="str">
        <f>_xlfn.XLOOKUP(C567,Table2[Species],Table2[Family],"Code Not Found")</f>
        <v>Sapindaceae</v>
      </c>
      <c r="O567" t="str" cm="1">
        <f t="array" ref="O567">_xlfn.IFS(F567="","",F567&lt;=5,"0 to 5",F567&lt;=10,"5.1 to 10",F567&lt;=20,"10 to 20", F567&lt;= 40, "20 to 40", F567 &lt;= 50, "40 to 50", F567 &gt; 50, "&gt;50" )</f>
        <v>0 to 5</v>
      </c>
    </row>
    <row r="568" spans="1:15" ht="14.4" x14ac:dyDescent="0.3">
      <c r="A568" t="s">
        <v>114</v>
      </c>
      <c r="B568" s="1">
        <v>46176</v>
      </c>
      <c r="C568" t="s">
        <v>64</v>
      </c>
      <c r="D568">
        <v>525</v>
      </c>
      <c r="E568">
        <v>1</v>
      </c>
      <c r="F568">
        <v>3.2</v>
      </c>
      <c r="G568" t="s">
        <v>47</v>
      </c>
      <c r="H568" t="s">
        <v>175</v>
      </c>
      <c r="I568" t="str">
        <f t="shared" si="8"/>
        <v>525_1</v>
      </c>
      <c r="J568" t="s">
        <v>18</v>
      </c>
      <c r="K568" t="s">
        <v>115</v>
      </c>
      <c r="L568" t="str">
        <f>_xlfn.XLOOKUP(C568, Table2[Species],Table2[Genus], "Code Not Found")</f>
        <v>Fagus</v>
      </c>
      <c r="M568" t="str">
        <f>_xlfn.XLOOKUP(C568, Table2[Species],Table2[Sp. Name], "Code Not Found")</f>
        <v>grandifolia</v>
      </c>
      <c r="N568" t="str">
        <f>_xlfn.XLOOKUP(C568,Table2[Species],Table2[Family],"Code Not Found")</f>
        <v>Fagaceae</v>
      </c>
      <c r="O568" t="str" cm="1">
        <f t="array" ref="O568">_xlfn.IFS(F568="","",F568&lt;=5,"0 to 5",F568&lt;=10,"5.1 to 10",F568&lt;=20,"10 to 20", F568&lt;= 40, "20 to 40", F568 &lt;= 50, "40 to 50", F568 &gt; 50, "&gt;50" )</f>
        <v>0 to 5</v>
      </c>
    </row>
    <row r="569" spans="1:15" ht="14.4" x14ac:dyDescent="0.3">
      <c r="A569" t="s">
        <v>114</v>
      </c>
      <c r="B569" s="1">
        <v>46176</v>
      </c>
      <c r="C569" t="s">
        <v>16</v>
      </c>
      <c r="D569">
        <v>526</v>
      </c>
      <c r="E569">
        <v>1</v>
      </c>
      <c r="F569">
        <v>2.7</v>
      </c>
      <c r="G569" t="s">
        <v>17</v>
      </c>
      <c r="I569" t="str">
        <f t="shared" si="8"/>
        <v>526_1</v>
      </c>
      <c r="J569" t="s">
        <v>18</v>
      </c>
      <c r="K569" t="s">
        <v>115</v>
      </c>
      <c r="L569" t="str">
        <f>_xlfn.XLOOKUP(C569, Table2[Species],Table2[Genus], "Code Not Found")</f>
        <v>Acer</v>
      </c>
      <c r="M569" t="str">
        <f>_xlfn.XLOOKUP(C569, Table2[Species],Table2[Sp. Name], "Code Not Found")</f>
        <v>saccharum</v>
      </c>
      <c r="N569" t="str">
        <f>_xlfn.XLOOKUP(C569,Table2[Species],Table2[Family],"Code Not Found")</f>
        <v>Sapindaceae</v>
      </c>
      <c r="O569" t="str" cm="1">
        <f t="array" ref="O569">_xlfn.IFS(F569="","",F569&lt;=5,"0 to 5",F569&lt;=10,"5.1 to 10",F569&lt;=20,"10 to 20", F569&lt;= 40, "20 to 40", F569 &lt;= 50, "40 to 50", F569 &gt; 50, "&gt;50" )</f>
        <v>0 to 5</v>
      </c>
    </row>
    <row r="570" spans="1:15" ht="14.4" x14ac:dyDescent="0.3">
      <c r="A570" t="s">
        <v>114</v>
      </c>
      <c r="B570" s="1">
        <v>46176</v>
      </c>
      <c r="C570" t="s">
        <v>16</v>
      </c>
      <c r="D570">
        <v>527</v>
      </c>
      <c r="E570">
        <v>1</v>
      </c>
      <c r="F570">
        <v>24.9</v>
      </c>
      <c r="G570" t="s">
        <v>17</v>
      </c>
      <c r="I570" t="str">
        <f t="shared" si="8"/>
        <v>527_1</v>
      </c>
      <c r="J570" t="s">
        <v>18</v>
      </c>
      <c r="K570" t="s">
        <v>115</v>
      </c>
      <c r="L570" t="str">
        <f>_xlfn.XLOOKUP(C570, Table2[Species],Table2[Genus], "Code Not Found")</f>
        <v>Acer</v>
      </c>
      <c r="M570" t="str">
        <f>_xlfn.XLOOKUP(C570, Table2[Species],Table2[Sp. Name], "Code Not Found")</f>
        <v>saccharum</v>
      </c>
      <c r="N570" t="str">
        <f>_xlfn.XLOOKUP(C570,Table2[Species],Table2[Family],"Code Not Found")</f>
        <v>Sapindaceae</v>
      </c>
      <c r="O570" t="str" cm="1">
        <f t="array" ref="O570">_xlfn.IFS(F570="","",F570&lt;=5,"0 to 5",F570&lt;=10,"5.1 to 10",F570&lt;=20,"10 to 20", F570&lt;= 40, "20 to 40", F570 &lt;= 50, "40 to 50", F570 &gt; 50, "&gt;50" )</f>
        <v>20 to 40</v>
      </c>
    </row>
    <row r="571" spans="1:15" ht="14.4" x14ac:dyDescent="0.3">
      <c r="A571" t="s">
        <v>114</v>
      </c>
      <c r="B571" s="1">
        <v>46176</v>
      </c>
      <c r="C571" t="s">
        <v>64</v>
      </c>
      <c r="D571">
        <v>528</v>
      </c>
      <c r="E571">
        <v>1</v>
      </c>
      <c r="F571">
        <v>18.600000000000001</v>
      </c>
      <c r="G571" t="s">
        <v>17</v>
      </c>
      <c r="I571" t="str">
        <f t="shared" si="8"/>
        <v>528_1</v>
      </c>
      <c r="J571" t="s">
        <v>18</v>
      </c>
      <c r="K571" t="s">
        <v>115</v>
      </c>
      <c r="L571" t="str">
        <f>_xlfn.XLOOKUP(C571, Table2[Species],Table2[Genus], "Code Not Found")</f>
        <v>Fagus</v>
      </c>
      <c r="M571" t="str">
        <f>_xlfn.XLOOKUP(C571, Table2[Species],Table2[Sp. Name], "Code Not Found")</f>
        <v>grandifolia</v>
      </c>
      <c r="N571" t="str">
        <f>_xlfn.XLOOKUP(C571,Table2[Species],Table2[Family],"Code Not Found")</f>
        <v>Fagaceae</v>
      </c>
      <c r="O571" t="str" cm="1">
        <f t="array" ref="O571">_xlfn.IFS(F571="","",F571&lt;=5,"0 to 5",F571&lt;=10,"5.1 to 10",F571&lt;=20,"10 to 20", F571&lt;= 40, "20 to 40", F571 &lt;= 50, "40 to 50", F571 &gt; 50, "&gt;50" )</f>
        <v>10 to 20</v>
      </c>
    </row>
    <row r="572" spans="1:15" ht="14.4" x14ac:dyDescent="0.3">
      <c r="A572" t="s">
        <v>114</v>
      </c>
      <c r="B572" s="1">
        <v>46176</v>
      </c>
      <c r="C572" t="s">
        <v>123</v>
      </c>
      <c r="D572">
        <v>529</v>
      </c>
      <c r="E572">
        <v>1</v>
      </c>
      <c r="F572">
        <v>93.6</v>
      </c>
      <c r="G572" t="s">
        <v>21</v>
      </c>
      <c r="I572" t="str">
        <f t="shared" si="8"/>
        <v>529_1</v>
      </c>
      <c r="J572" t="s">
        <v>18</v>
      </c>
      <c r="K572" t="s">
        <v>115</v>
      </c>
      <c r="L572" t="str">
        <f>_xlfn.XLOOKUP(C572, Table2[Species],Table2[Genus], "Code Not Found")</f>
        <v>Quercus</v>
      </c>
      <c r="M572" t="str">
        <f>_xlfn.XLOOKUP(C572, Table2[Species],Table2[Sp. Name], "Code Not Found")</f>
        <v>rubra</v>
      </c>
      <c r="N572" t="str">
        <f>_xlfn.XLOOKUP(C572,Table2[Species],Table2[Family],"Code Not Found")</f>
        <v>Fagaceae</v>
      </c>
      <c r="O572" t="str" cm="1">
        <f t="array" ref="O572">_xlfn.IFS(F572="","",F572&lt;=5,"0 to 5",F572&lt;=10,"5.1 to 10",F572&lt;=20,"10 to 20", F572&lt;= 40, "20 to 40", F572 &lt;= 50, "40 to 50", F572 &gt; 50, "&gt;50" )</f>
        <v>&gt;50</v>
      </c>
    </row>
    <row r="573" spans="1:15" ht="14.4" x14ac:dyDescent="0.3">
      <c r="A573" t="s">
        <v>114</v>
      </c>
      <c r="B573" s="1">
        <v>46176</v>
      </c>
      <c r="C573" t="s">
        <v>16</v>
      </c>
      <c r="D573">
        <v>530</v>
      </c>
      <c r="E573">
        <v>1</v>
      </c>
      <c r="F573">
        <v>2.2999999999999998</v>
      </c>
      <c r="G573" t="s">
        <v>21</v>
      </c>
      <c r="I573" t="str">
        <f t="shared" si="8"/>
        <v>530_1</v>
      </c>
      <c r="J573" t="s">
        <v>18</v>
      </c>
      <c r="K573" t="s">
        <v>115</v>
      </c>
      <c r="L573" t="str">
        <f>_xlfn.XLOOKUP(C573, Table2[Species],Table2[Genus], "Code Not Found")</f>
        <v>Acer</v>
      </c>
      <c r="M573" t="str">
        <f>_xlfn.XLOOKUP(C573, Table2[Species],Table2[Sp. Name], "Code Not Found")</f>
        <v>saccharum</v>
      </c>
      <c r="N573" t="str">
        <f>_xlfn.XLOOKUP(C573,Table2[Species],Table2[Family],"Code Not Found")</f>
        <v>Sapindaceae</v>
      </c>
      <c r="O573" t="str" cm="1">
        <f t="array" ref="O573">_xlfn.IFS(F573="","",F573&lt;=5,"0 to 5",F573&lt;=10,"5.1 to 10",F573&lt;=20,"10 to 20", F573&lt;= 40, "20 to 40", F573 &lt;= 50, "40 to 50", F573 &gt; 50, "&gt;50" )</f>
        <v>0 to 5</v>
      </c>
    </row>
    <row r="574" spans="1:15" ht="14.4" x14ac:dyDescent="0.3">
      <c r="A574" t="s">
        <v>114</v>
      </c>
      <c r="B574" s="1">
        <v>46176</v>
      </c>
      <c r="C574" t="s">
        <v>16</v>
      </c>
      <c r="D574">
        <v>531</v>
      </c>
      <c r="E574">
        <v>1</v>
      </c>
      <c r="F574">
        <v>7.8</v>
      </c>
      <c r="G574" t="s">
        <v>17</v>
      </c>
      <c r="I574" t="str">
        <f t="shared" si="8"/>
        <v>531_1</v>
      </c>
      <c r="J574" t="s">
        <v>18</v>
      </c>
      <c r="K574" t="s">
        <v>115</v>
      </c>
      <c r="L574" t="str">
        <f>_xlfn.XLOOKUP(C574, Table2[Species],Table2[Genus], "Code Not Found")</f>
        <v>Acer</v>
      </c>
      <c r="M574" t="str">
        <f>_xlfn.XLOOKUP(C574, Table2[Species],Table2[Sp. Name], "Code Not Found")</f>
        <v>saccharum</v>
      </c>
      <c r="N574" t="str">
        <f>_xlfn.XLOOKUP(C574,Table2[Species],Table2[Family],"Code Not Found")</f>
        <v>Sapindaceae</v>
      </c>
      <c r="O574" t="str" cm="1">
        <f t="array" ref="O574">_xlfn.IFS(F574="","",F574&lt;=5,"0 to 5",F574&lt;=10,"5.1 to 10",F574&lt;=20,"10 to 20", F574&lt;= 40, "20 to 40", F574 &lt;= 50, "40 to 50", F574 &gt; 50, "&gt;50" )</f>
        <v>5.1 to 10</v>
      </c>
    </row>
    <row r="575" spans="1:15" ht="14.4" x14ac:dyDescent="0.3">
      <c r="A575" t="s">
        <v>114</v>
      </c>
      <c r="B575" s="1">
        <v>46176</v>
      </c>
      <c r="C575" t="s">
        <v>16</v>
      </c>
      <c r="D575">
        <v>532</v>
      </c>
      <c r="E575">
        <v>1</v>
      </c>
      <c r="F575">
        <v>1.8</v>
      </c>
      <c r="G575" t="s">
        <v>17</v>
      </c>
      <c r="I575" t="str">
        <f t="shared" si="8"/>
        <v>532_1</v>
      </c>
      <c r="J575" t="s">
        <v>18</v>
      </c>
      <c r="K575" t="s">
        <v>115</v>
      </c>
      <c r="L575" t="str">
        <f>_xlfn.XLOOKUP(C575, Table2[Species],Table2[Genus], "Code Not Found")</f>
        <v>Acer</v>
      </c>
      <c r="M575" t="str">
        <f>_xlfn.XLOOKUP(C575, Table2[Species],Table2[Sp. Name], "Code Not Found")</f>
        <v>saccharum</v>
      </c>
      <c r="N575" t="str">
        <f>_xlfn.XLOOKUP(C575,Table2[Species],Table2[Family],"Code Not Found")</f>
        <v>Sapindaceae</v>
      </c>
      <c r="O575" t="str" cm="1">
        <f t="array" ref="O575">_xlfn.IFS(F575="","",F575&lt;=5,"0 to 5",F575&lt;=10,"5.1 to 10",F575&lt;=20,"10 to 20", F575&lt;= 40, "20 to 40", F575 &lt;= 50, "40 to 50", F575 &gt; 50, "&gt;50" )</f>
        <v>0 to 5</v>
      </c>
    </row>
    <row r="576" spans="1:15" ht="14.4" x14ac:dyDescent="0.3">
      <c r="A576" t="s">
        <v>114</v>
      </c>
      <c r="B576" s="1">
        <v>46176</v>
      </c>
      <c r="C576" t="s">
        <v>22</v>
      </c>
      <c r="D576">
        <v>533</v>
      </c>
      <c r="E576">
        <v>1</v>
      </c>
      <c r="F576">
        <v>50.1</v>
      </c>
      <c r="G576" t="s">
        <v>21</v>
      </c>
      <c r="I576" t="str">
        <f t="shared" si="8"/>
        <v>533_1</v>
      </c>
      <c r="J576" t="s">
        <v>18</v>
      </c>
      <c r="K576" t="s">
        <v>115</v>
      </c>
      <c r="L576" t="str">
        <f>_xlfn.XLOOKUP(C576, Table2[Species],Table2[Genus], "Code Not Found")</f>
        <v>Acer</v>
      </c>
      <c r="M576" t="str">
        <f>_xlfn.XLOOKUP(C576, Table2[Species],Table2[Sp. Name], "Code Not Found")</f>
        <v>rubrum</v>
      </c>
      <c r="N576" t="str">
        <f>_xlfn.XLOOKUP(C576,Table2[Species],Table2[Family],"Code Not Found")</f>
        <v>Sapindaceae</v>
      </c>
      <c r="O576" t="str" cm="1">
        <f t="array" ref="O576">_xlfn.IFS(F576="","",F576&lt;=5,"0 to 5",F576&lt;=10,"5.1 to 10",F576&lt;=20,"10 to 20", F576&lt;= 40, "20 to 40", F576 &lt;= 50, "40 to 50", F576 &gt; 50, "&gt;50" )</f>
        <v>&gt;50</v>
      </c>
    </row>
    <row r="577" spans="1:15" ht="14.4" x14ac:dyDescent="0.3">
      <c r="A577" t="s">
        <v>114</v>
      </c>
      <c r="B577" s="1">
        <v>46176</v>
      </c>
      <c r="C577" t="s">
        <v>22</v>
      </c>
      <c r="D577">
        <v>534</v>
      </c>
      <c r="E577">
        <v>1</v>
      </c>
      <c r="F577">
        <v>6.2</v>
      </c>
      <c r="G577" t="s">
        <v>30</v>
      </c>
      <c r="H577" t="s">
        <v>99</v>
      </c>
      <c r="I577" t="str">
        <f t="shared" si="8"/>
        <v>534_1</v>
      </c>
      <c r="J577" t="s">
        <v>18</v>
      </c>
      <c r="K577" t="s">
        <v>115</v>
      </c>
      <c r="L577" t="str">
        <f>_xlfn.XLOOKUP(C577, Table2[Species],Table2[Genus], "Code Not Found")</f>
        <v>Acer</v>
      </c>
      <c r="M577" t="str">
        <f>_xlfn.XLOOKUP(C577, Table2[Species],Table2[Sp. Name], "Code Not Found")</f>
        <v>rubrum</v>
      </c>
      <c r="N577" t="str">
        <f>_xlfn.XLOOKUP(C577,Table2[Species],Table2[Family],"Code Not Found")</f>
        <v>Sapindaceae</v>
      </c>
      <c r="O577" t="str" cm="1">
        <f t="array" ref="O577">_xlfn.IFS(F577="","",F577&lt;=5,"0 to 5",F577&lt;=10,"5.1 to 10",F577&lt;=20,"10 to 20", F577&lt;= 40, "20 to 40", F577 &lt;= 50, "40 to 50", F577 &gt; 50, "&gt;50" )</f>
        <v>5.1 to 10</v>
      </c>
    </row>
    <row r="578" spans="1:15" ht="14.4" x14ac:dyDescent="0.3">
      <c r="A578" t="s">
        <v>114</v>
      </c>
      <c r="B578" s="1">
        <v>46176</v>
      </c>
      <c r="C578" t="s">
        <v>16</v>
      </c>
      <c r="D578">
        <v>535</v>
      </c>
      <c r="E578">
        <v>1</v>
      </c>
      <c r="F578">
        <v>2.7</v>
      </c>
      <c r="G578" t="s">
        <v>17</v>
      </c>
      <c r="I578" t="str">
        <f t="shared" si="8"/>
        <v>535_1</v>
      </c>
      <c r="J578" t="s">
        <v>18</v>
      </c>
      <c r="K578" t="s">
        <v>115</v>
      </c>
      <c r="L578" t="str">
        <f>_xlfn.XLOOKUP(C578, Table2[Species],Table2[Genus], "Code Not Found")</f>
        <v>Acer</v>
      </c>
      <c r="M578" t="str">
        <f>_xlfn.XLOOKUP(C578, Table2[Species],Table2[Sp. Name], "Code Not Found")</f>
        <v>saccharum</v>
      </c>
      <c r="N578" t="str">
        <f>_xlfn.XLOOKUP(C578,Table2[Species],Table2[Family],"Code Not Found")</f>
        <v>Sapindaceae</v>
      </c>
      <c r="O578" t="str" cm="1">
        <f t="array" ref="O578">_xlfn.IFS(F578="","",F578&lt;=5,"0 to 5",F578&lt;=10,"5.1 to 10",F578&lt;=20,"10 to 20", F578&lt;= 40, "20 to 40", F578 &lt;= 50, "40 to 50", F578 &gt; 50, "&gt;50" )</f>
        <v>0 to 5</v>
      </c>
    </row>
    <row r="579" spans="1:15" ht="14.4" x14ac:dyDescent="0.3">
      <c r="A579" t="s">
        <v>114</v>
      </c>
      <c r="B579" s="1">
        <v>46176</v>
      </c>
      <c r="C579" t="s">
        <v>16</v>
      </c>
      <c r="D579">
        <v>536</v>
      </c>
      <c r="E579">
        <v>1</v>
      </c>
      <c r="F579">
        <v>2.5</v>
      </c>
      <c r="G579" t="s">
        <v>17</v>
      </c>
      <c r="I579" t="str">
        <f t="shared" ref="I579:I643" si="9">D579&amp;"_"&amp;E579</f>
        <v>536_1</v>
      </c>
      <c r="J579" t="s">
        <v>18</v>
      </c>
      <c r="K579" t="s">
        <v>115</v>
      </c>
      <c r="L579" t="str">
        <f>_xlfn.XLOOKUP(C579, Table2[Species],Table2[Genus], "Code Not Found")</f>
        <v>Acer</v>
      </c>
      <c r="M579" t="str">
        <f>_xlfn.XLOOKUP(C579, Table2[Species],Table2[Sp. Name], "Code Not Found")</f>
        <v>saccharum</v>
      </c>
      <c r="N579" t="str">
        <f>_xlfn.XLOOKUP(C579,Table2[Species],Table2[Family],"Code Not Found")</f>
        <v>Sapindaceae</v>
      </c>
      <c r="O579" t="str" cm="1">
        <f t="array" ref="O579">_xlfn.IFS(F579="","",F579&lt;=5,"0 to 5",F579&lt;=10,"5.1 to 10",F579&lt;=20,"10 to 20", F579&lt;= 40, "20 to 40", F579 &lt;= 50, "40 to 50", F579 &gt; 50, "&gt;50" )</f>
        <v>0 to 5</v>
      </c>
    </row>
    <row r="580" spans="1:15" ht="14.4" x14ac:dyDescent="0.3">
      <c r="A580" t="s">
        <v>114</v>
      </c>
      <c r="B580" s="1">
        <v>46176</v>
      </c>
      <c r="C580" t="s">
        <v>16</v>
      </c>
      <c r="D580">
        <v>537</v>
      </c>
      <c r="E580">
        <v>1</v>
      </c>
      <c r="F580">
        <v>1.9</v>
      </c>
      <c r="G580" t="s">
        <v>17</v>
      </c>
      <c r="I580" t="str">
        <f t="shared" si="9"/>
        <v>537_1</v>
      </c>
      <c r="J580" t="s">
        <v>18</v>
      </c>
      <c r="K580" t="s">
        <v>115</v>
      </c>
      <c r="L580" t="str">
        <f>_xlfn.XLOOKUP(C580, Table2[Species],Table2[Genus], "Code Not Found")</f>
        <v>Acer</v>
      </c>
      <c r="M580" t="str">
        <f>_xlfn.XLOOKUP(C580, Table2[Species],Table2[Sp. Name], "Code Not Found")</f>
        <v>saccharum</v>
      </c>
      <c r="N580" t="str">
        <f>_xlfn.XLOOKUP(C580,Table2[Species],Table2[Family],"Code Not Found")</f>
        <v>Sapindaceae</v>
      </c>
      <c r="O580" t="str" cm="1">
        <f t="array" ref="O580">_xlfn.IFS(F580="","",F580&lt;=5,"0 to 5",F580&lt;=10,"5.1 to 10",F580&lt;=20,"10 to 20", F580&lt;= 40, "20 to 40", F580 &lt;= 50, "40 to 50", F580 &gt; 50, "&gt;50" )</f>
        <v>0 to 5</v>
      </c>
    </row>
    <row r="581" spans="1:15" ht="14.4" x14ac:dyDescent="0.3">
      <c r="A581" t="s">
        <v>114</v>
      </c>
      <c r="B581" s="1">
        <v>46176</v>
      </c>
      <c r="C581" t="s">
        <v>16</v>
      </c>
      <c r="D581">
        <v>538</v>
      </c>
      <c r="E581">
        <v>1</v>
      </c>
      <c r="F581">
        <v>4.3</v>
      </c>
      <c r="G581" t="s">
        <v>21</v>
      </c>
      <c r="I581" t="str">
        <f t="shared" si="9"/>
        <v>538_1</v>
      </c>
      <c r="J581" t="s">
        <v>18</v>
      </c>
      <c r="K581" t="s">
        <v>115</v>
      </c>
      <c r="L581" t="str">
        <f>_xlfn.XLOOKUP(C581, Table2[Species],Table2[Genus], "Code Not Found")</f>
        <v>Acer</v>
      </c>
      <c r="M581" t="str">
        <f>_xlfn.XLOOKUP(C581, Table2[Species],Table2[Sp. Name], "Code Not Found")</f>
        <v>saccharum</v>
      </c>
      <c r="N581" t="str">
        <f>_xlfn.XLOOKUP(C581,Table2[Species],Table2[Family],"Code Not Found")</f>
        <v>Sapindaceae</v>
      </c>
      <c r="O581" t="str" cm="1">
        <f t="array" ref="O581">_xlfn.IFS(F581="","",F581&lt;=5,"0 to 5",F581&lt;=10,"5.1 to 10",F581&lt;=20,"10 to 20", F581&lt;= 40, "20 to 40", F581 &lt;= 50, "40 to 50", F581 &gt; 50, "&gt;50" )</f>
        <v>0 to 5</v>
      </c>
    </row>
    <row r="582" spans="1:15" ht="14.4" x14ac:dyDescent="0.3">
      <c r="A582" t="s">
        <v>114</v>
      </c>
      <c r="B582" s="1">
        <v>46176</v>
      </c>
      <c r="C582" t="s">
        <v>16</v>
      </c>
      <c r="D582">
        <v>539</v>
      </c>
      <c r="E582">
        <v>1</v>
      </c>
      <c r="F582">
        <v>23.8</v>
      </c>
      <c r="G582" t="s">
        <v>21</v>
      </c>
      <c r="I582" t="str">
        <f t="shared" si="9"/>
        <v>539_1</v>
      </c>
      <c r="J582" t="s">
        <v>18</v>
      </c>
      <c r="K582" t="s">
        <v>115</v>
      </c>
      <c r="L582" t="str">
        <f>_xlfn.XLOOKUP(C582, Table2[Species],Table2[Genus], "Code Not Found")</f>
        <v>Acer</v>
      </c>
      <c r="M582" t="str">
        <f>_xlfn.XLOOKUP(C582, Table2[Species],Table2[Sp. Name], "Code Not Found")</f>
        <v>saccharum</v>
      </c>
      <c r="N582" t="str">
        <f>_xlfn.XLOOKUP(C582,Table2[Species],Table2[Family],"Code Not Found")</f>
        <v>Sapindaceae</v>
      </c>
      <c r="O582" t="str" cm="1">
        <f t="array" ref="O582">_xlfn.IFS(F582="","",F582&lt;=5,"0 to 5",F582&lt;=10,"5.1 to 10",F582&lt;=20,"10 to 20", F582&lt;= 40, "20 to 40", F582 &lt;= 50, "40 to 50", F582 &gt; 50, "&gt;50" )</f>
        <v>20 to 40</v>
      </c>
    </row>
    <row r="583" spans="1:15" ht="14.4" x14ac:dyDescent="0.3">
      <c r="A583" t="s">
        <v>114</v>
      </c>
      <c r="B583" s="1">
        <v>46176</v>
      </c>
      <c r="C583" t="s">
        <v>20</v>
      </c>
      <c r="D583">
        <v>540</v>
      </c>
      <c r="E583">
        <v>1</v>
      </c>
      <c r="F583">
        <v>43.7</v>
      </c>
      <c r="G583" t="s">
        <v>17</v>
      </c>
      <c r="I583" t="str">
        <f t="shared" si="9"/>
        <v>540_1</v>
      </c>
      <c r="J583" t="s">
        <v>18</v>
      </c>
      <c r="K583" t="s">
        <v>115</v>
      </c>
      <c r="L583" t="str">
        <f>_xlfn.XLOOKUP(C583, Table2[Species],Table2[Genus], "Code Not Found")</f>
        <v>Prunus</v>
      </c>
      <c r="M583" t="str">
        <f>_xlfn.XLOOKUP(C583, Table2[Species],Table2[Sp. Name], "Code Not Found")</f>
        <v>serotina</v>
      </c>
      <c r="N583" t="str">
        <f>_xlfn.XLOOKUP(C583,Table2[Species],Table2[Family],"Code Not Found")</f>
        <v>Rosaceae</v>
      </c>
      <c r="O583" t="str" cm="1">
        <f t="array" ref="O583">_xlfn.IFS(F583="","",F583&lt;=5,"0 to 5",F583&lt;=10,"5.1 to 10",F583&lt;=20,"10 to 20", F583&lt;= 40, "20 to 40", F583 &lt;= 50, "40 to 50", F583 &gt; 50, "&gt;50" )</f>
        <v>40 to 50</v>
      </c>
    </row>
    <row r="584" spans="1:15" ht="14.4" x14ac:dyDescent="0.3">
      <c r="A584" t="s">
        <v>114</v>
      </c>
      <c r="B584" s="1">
        <v>46176</v>
      </c>
      <c r="C584" t="s">
        <v>16</v>
      </c>
      <c r="D584">
        <v>541</v>
      </c>
      <c r="E584">
        <v>1</v>
      </c>
      <c r="F584">
        <v>21.2</v>
      </c>
      <c r="G584" t="s">
        <v>34</v>
      </c>
      <c r="I584" t="str">
        <f t="shared" si="9"/>
        <v>541_1</v>
      </c>
      <c r="J584" t="s">
        <v>18</v>
      </c>
      <c r="K584" t="s">
        <v>115</v>
      </c>
      <c r="L584" t="str">
        <f>_xlfn.XLOOKUP(C584, Table2[Species],Table2[Genus], "Code Not Found")</f>
        <v>Acer</v>
      </c>
      <c r="M584" t="str">
        <f>_xlfn.XLOOKUP(C584, Table2[Species],Table2[Sp. Name], "Code Not Found")</f>
        <v>saccharum</v>
      </c>
      <c r="N584" t="str">
        <f>_xlfn.XLOOKUP(C584,Table2[Species],Table2[Family],"Code Not Found")</f>
        <v>Sapindaceae</v>
      </c>
      <c r="O584" t="str" cm="1">
        <f t="array" ref="O584">_xlfn.IFS(F584="","",F584&lt;=5,"0 to 5",F584&lt;=10,"5.1 to 10",F584&lt;=20,"10 to 20", F584&lt;= 40, "20 to 40", F584 &lt;= 50, "40 to 50", F584 &gt; 50, "&gt;50" )</f>
        <v>20 to 40</v>
      </c>
    </row>
    <row r="585" spans="1:15" ht="14.4" x14ac:dyDescent="0.3">
      <c r="A585" t="s">
        <v>114</v>
      </c>
      <c r="B585" s="1">
        <v>46176</v>
      </c>
      <c r="C585" t="s">
        <v>16</v>
      </c>
      <c r="D585">
        <v>541</v>
      </c>
      <c r="E585">
        <v>2</v>
      </c>
      <c r="F585">
        <v>3.1</v>
      </c>
      <c r="G585" t="s">
        <v>132</v>
      </c>
      <c r="H585" t="s">
        <v>166</v>
      </c>
      <c r="I585" t="str">
        <f t="shared" si="9"/>
        <v>541_2</v>
      </c>
      <c r="J585" t="s">
        <v>18</v>
      </c>
      <c r="K585" t="s">
        <v>115</v>
      </c>
      <c r="L585" t="str">
        <f>_xlfn.XLOOKUP(C585, Table2[Species],Table2[Genus], "Code Not Found")</f>
        <v>Acer</v>
      </c>
      <c r="M585" t="str">
        <f>_xlfn.XLOOKUP(C585, Table2[Species],Table2[Sp. Name], "Code Not Found")</f>
        <v>saccharum</v>
      </c>
      <c r="N585" t="str">
        <f>_xlfn.XLOOKUP(C585,Table2[Species],Table2[Family],"Code Not Found")</f>
        <v>Sapindaceae</v>
      </c>
      <c r="O585" t="str" cm="1">
        <f t="array" ref="O585">_xlfn.IFS(F585="","",F585&lt;=5,"0 to 5",F585&lt;=10,"5.1 to 10",F585&lt;=20,"10 to 20", F585&lt;= 40, "20 to 40", F585 &lt;= 50, "40 to 50", F585 &gt; 50, "&gt;50" )</f>
        <v>0 to 5</v>
      </c>
    </row>
    <row r="586" spans="1:15" ht="14.4" x14ac:dyDescent="0.3">
      <c r="A586" t="s">
        <v>114</v>
      </c>
      <c r="B586" s="1">
        <v>46176</v>
      </c>
      <c r="C586" t="s">
        <v>117</v>
      </c>
      <c r="D586">
        <v>542</v>
      </c>
      <c r="E586">
        <v>1</v>
      </c>
      <c r="F586">
        <v>4.9000000000000004</v>
      </c>
      <c r="G586" t="s">
        <v>139</v>
      </c>
      <c r="H586" t="s">
        <v>176</v>
      </c>
      <c r="I586" t="str">
        <f t="shared" si="9"/>
        <v>542_1</v>
      </c>
      <c r="J586" t="s">
        <v>18</v>
      </c>
      <c r="K586" t="s">
        <v>115</v>
      </c>
      <c r="L586" t="str">
        <f>_xlfn.XLOOKUP(C586, Table2[Species],Table2[Genus], "Code Not Found")</f>
        <v>Ostrya</v>
      </c>
      <c r="M586" t="str">
        <f>_xlfn.XLOOKUP(C586, Table2[Species],Table2[Sp. Name], "Code Not Found")</f>
        <v>viginiana</v>
      </c>
      <c r="N586" t="str">
        <f>_xlfn.XLOOKUP(C586,Table2[Species],Table2[Family],"Code Not Found")</f>
        <v>Betulaceae</v>
      </c>
      <c r="O586" t="str" cm="1">
        <f t="array" ref="O586">_xlfn.IFS(F586="","",F586&lt;=5,"0 to 5",F586&lt;=10,"5.1 to 10",F586&lt;=20,"10 to 20", F586&lt;= 40, "20 to 40", F586 &lt;= 50, "40 to 50", F586 &gt; 50, "&gt;50" )</f>
        <v>0 to 5</v>
      </c>
    </row>
    <row r="587" spans="1:15" ht="14.4" x14ac:dyDescent="0.3">
      <c r="A587" t="s">
        <v>114</v>
      </c>
      <c r="B587" s="1">
        <v>46176</v>
      </c>
      <c r="C587" t="s">
        <v>117</v>
      </c>
      <c r="D587">
        <v>543</v>
      </c>
      <c r="E587">
        <v>1</v>
      </c>
      <c r="F587">
        <v>1.3</v>
      </c>
      <c r="G587" t="s">
        <v>17</v>
      </c>
      <c r="I587" t="str">
        <f t="shared" si="9"/>
        <v>543_1</v>
      </c>
      <c r="J587" t="s">
        <v>18</v>
      </c>
      <c r="K587" t="s">
        <v>115</v>
      </c>
      <c r="L587" t="str">
        <f>_xlfn.XLOOKUP(C587, Table2[Species],Table2[Genus], "Code Not Found")</f>
        <v>Ostrya</v>
      </c>
      <c r="M587" t="str">
        <f>_xlfn.XLOOKUP(C587, Table2[Species],Table2[Sp. Name], "Code Not Found")</f>
        <v>viginiana</v>
      </c>
      <c r="N587" t="str">
        <f>_xlfn.XLOOKUP(C587,Table2[Species],Table2[Family],"Code Not Found")</f>
        <v>Betulaceae</v>
      </c>
      <c r="O587" t="str" cm="1">
        <f t="array" ref="O587">_xlfn.IFS(F587="","",F587&lt;=5,"0 to 5",F587&lt;=10,"5.1 to 10",F587&lt;=20,"10 to 20", F587&lt;= 40, "20 to 40", F587 &lt;= 50, "40 to 50", F587 &gt; 50, "&gt;50" )</f>
        <v>0 to 5</v>
      </c>
    </row>
    <row r="588" spans="1:15" ht="14.4" x14ac:dyDescent="0.3">
      <c r="A588" t="s">
        <v>114</v>
      </c>
      <c r="B588" s="1">
        <v>46176</v>
      </c>
      <c r="C588" t="s">
        <v>117</v>
      </c>
      <c r="D588">
        <v>544</v>
      </c>
      <c r="E588">
        <v>1</v>
      </c>
      <c r="F588">
        <v>2.8</v>
      </c>
      <c r="G588" t="s">
        <v>17</v>
      </c>
      <c r="I588" t="str">
        <f t="shared" si="9"/>
        <v>544_1</v>
      </c>
      <c r="J588" t="s">
        <v>18</v>
      </c>
      <c r="K588" t="s">
        <v>115</v>
      </c>
      <c r="L588" t="str">
        <f>_xlfn.XLOOKUP(C588, Table2[Species],Table2[Genus], "Code Not Found")</f>
        <v>Ostrya</v>
      </c>
      <c r="M588" t="str">
        <f>_xlfn.XLOOKUP(C588, Table2[Species],Table2[Sp. Name], "Code Not Found")</f>
        <v>viginiana</v>
      </c>
      <c r="N588" t="str">
        <f>_xlfn.XLOOKUP(C588,Table2[Species],Table2[Family],"Code Not Found")</f>
        <v>Betulaceae</v>
      </c>
      <c r="O588" t="str" cm="1">
        <f t="array" ref="O588">_xlfn.IFS(F588="","",F588&lt;=5,"0 to 5",F588&lt;=10,"5.1 to 10",F588&lt;=20,"10 to 20", F588&lt;= 40, "20 to 40", F588 &lt;= 50, "40 to 50", F588 &gt; 50, "&gt;50" )</f>
        <v>0 to 5</v>
      </c>
    </row>
    <row r="589" spans="1:15" ht="14.4" x14ac:dyDescent="0.3">
      <c r="A589" t="s">
        <v>114</v>
      </c>
      <c r="B589" s="1">
        <v>46176</v>
      </c>
      <c r="C589" t="s">
        <v>22</v>
      </c>
      <c r="D589">
        <v>545</v>
      </c>
      <c r="E589">
        <v>1</v>
      </c>
      <c r="F589">
        <v>11.5</v>
      </c>
      <c r="G589" t="s">
        <v>21</v>
      </c>
      <c r="I589" t="str">
        <f t="shared" si="9"/>
        <v>545_1</v>
      </c>
      <c r="J589" t="s">
        <v>18</v>
      </c>
      <c r="K589" t="s">
        <v>115</v>
      </c>
      <c r="L589" t="str">
        <f>_xlfn.XLOOKUP(C589, Table2[Species],Table2[Genus], "Code Not Found")</f>
        <v>Acer</v>
      </c>
      <c r="M589" t="str">
        <f>_xlfn.XLOOKUP(C589, Table2[Species],Table2[Sp. Name], "Code Not Found")</f>
        <v>rubrum</v>
      </c>
      <c r="N589" t="str">
        <f>_xlfn.XLOOKUP(C589,Table2[Species],Table2[Family],"Code Not Found")</f>
        <v>Sapindaceae</v>
      </c>
      <c r="O589" t="str" cm="1">
        <f t="array" ref="O589">_xlfn.IFS(F589="","",F589&lt;=5,"0 to 5",F589&lt;=10,"5.1 to 10",F589&lt;=20,"10 to 20", F589&lt;= 40, "20 to 40", F589 &lt;= 50, "40 to 50", F589 &gt; 50, "&gt;50" )</f>
        <v>10 to 20</v>
      </c>
    </row>
    <row r="590" spans="1:15" ht="14.4" x14ac:dyDescent="0.3">
      <c r="A590" t="s">
        <v>114</v>
      </c>
      <c r="B590" s="1">
        <v>46176</v>
      </c>
      <c r="C590" t="s">
        <v>123</v>
      </c>
      <c r="D590">
        <v>546</v>
      </c>
      <c r="E590">
        <v>1</v>
      </c>
      <c r="F590">
        <v>31.9</v>
      </c>
      <c r="G590" t="s">
        <v>17</v>
      </c>
      <c r="I590" t="str">
        <f t="shared" si="9"/>
        <v>546_1</v>
      </c>
      <c r="J590" t="s">
        <v>18</v>
      </c>
      <c r="K590" t="s">
        <v>115</v>
      </c>
      <c r="L590" t="str">
        <f>_xlfn.XLOOKUP(C590, Table2[Species],Table2[Genus], "Code Not Found")</f>
        <v>Quercus</v>
      </c>
      <c r="M590" t="str">
        <f>_xlfn.XLOOKUP(C590, Table2[Species],Table2[Sp. Name], "Code Not Found")</f>
        <v>rubra</v>
      </c>
      <c r="N590" t="str">
        <f>_xlfn.XLOOKUP(C590,Table2[Species],Table2[Family],"Code Not Found")</f>
        <v>Fagaceae</v>
      </c>
      <c r="O590" t="str" cm="1">
        <f t="array" ref="O590">_xlfn.IFS(F590="","",F590&lt;=5,"0 to 5",F590&lt;=10,"5.1 to 10",F590&lt;=20,"10 to 20", F590&lt;= 40, "20 to 40", F590 &lt;= 50, "40 to 50", F590 &gt; 50, "&gt;50" )</f>
        <v>20 to 40</v>
      </c>
    </row>
    <row r="591" spans="1:15" ht="14.4" x14ac:dyDescent="0.3">
      <c r="A591" t="s">
        <v>114</v>
      </c>
      <c r="B591" s="1">
        <v>46176</v>
      </c>
      <c r="C591" t="s">
        <v>118</v>
      </c>
      <c r="D591">
        <v>547</v>
      </c>
      <c r="E591">
        <v>1</v>
      </c>
      <c r="F591">
        <v>32</v>
      </c>
      <c r="G591" t="s">
        <v>21</v>
      </c>
      <c r="I591" t="str">
        <f t="shared" si="9"/>
        <v>547_1</v>
      </c>
      <c r="J591" t="s">
        <v>18</v>
      </c>
      <c r="K591" t="s">
        <v>115</v>
      </c>
      <c r="L591" t="str">
        <f>_xlfn.XLOOKUP(C591, Table2[Species],Table2[Genus], "Code Not Found")</f>
        <v>Quercus</v>
      </c>
      <c r="M591" t="str">
        <f>_xlfn.XLOOKUP(C591, Table2[Species],Table2[Sp. Name], "Code Not Found")</f>
        <v>montana</v>
      </c>
      <c r="N591" t="str">
        <f>_xlfn.XLOOKUP(C591,Table2[Species],Table2[Family],"Code Not Found")</f>
        <v>Fagaceae</v>
      </c>
      <c r="O591" t="str" cm="1">
        <f t="array" ref="O591">_xlfn.IFS(F591="","",F591&lt;=5,"0 to 5",F591&lt;=10,"5.1 to 10",F591&lt;=20,"10 to 20", F591&lt;= 40, "20 to 40", F591 &lt;= 50, "40 to 50", F591 &gt; 50, "&gt;50" )</f>
        <v>20 to 40</v>
      </c>
    </row>
    <row r="592" spans="1:15" ht="14.4" x14ac:dyDescent="0.3">
      <c r="A592" t="s">
        <v>177</v>
      </c>
      <c r="B592" s="1">
        <v>46176</v>
      </c>
      <c r="C592" t="s">
        <v>16</v>
      </c>
      <c r="D592">
        <v>548</v>
      </c>
      <c r="E592">
        <v>1</v>
      </c>
      <c r="F592">
        <v>2.8</v>
      </c>
      <c r="G592" t="s">
        <v>103</v>
      </c>
      <c r="I592" t="str">
        <f t="shared" si="9"/>
        <v>548_1</v>
      </c>
      <c r="J592" t="s">
        <v>178</v>
      </c>
      <c r="K592" t="s">
        <v>179</v>
      </c>
      <c r="L592" t="str">
        <f>_xlfn.XLOOKUP(C592, Table2[Species],Table2[Genus], "Code Not Found")</f>
        <v>Acer</v>
      </c>
      <c r="M592" t="str">
        <f>_xlfn.XLOOKUP(C592, Table2[Species],Table2[Sp. Name], "Code Not Found")</f>
        <v>saccharum</v>
      </c>
      <c r="N592" t="str">
        <f>_xlfn.XLOOKUP(C592,Table2[Species],Table2[Family],"Code Not Found")</f>
        <v>Sapindaceae</v>
      </c>
      <c r="O592" t="str" cm="1">
        <f t="array" ref="O592">_xlfn.IFS(F592="","",F592&lt;=5,"0 to 5",F592&lt;=10,"5.1 to 10",F592&lt;=20,"10 to 20", F592&lt;= 40, "20 to 40", F592 &lt;= 50, "40 to 50", F592 &gt; 50, "&gt;50" )</f>
        <v>0 to 5</v>
      </c>
    </row>
    <row r="593" spans="1:15" ht="14.4" x14ac:dyDescent="0.3">
      <c r="A593" t="s">
        <v>177</v>
      </c>
      <c r="B593" s="1">
        <v>46176</v>
      </c>
      <c r="C593" t="s">
        <v>16</v>
      </c>
      <c r="D593">
        <v>549</v>
      </c>
      <c r="E593">
        <v>1</v>
      </c>
      <c r="F593">
        <v>53.8</v>
      </c>
      <c r="G593" t="s">
        <v>30</v>
      </c>
      <c r="H593" t="s">
        <v>99</v>
      </c>
      <c r="I593" t="str">
        <f t="shared" si="9"/>
        <v>549_1</v>
      </c>
      <c r="J593" t="s">
        <v>178</v>
      </c>
      <c r="K593" t="s">
        <v>179</v>
      </c>
      <c r="L593" t="str">
        <f>_xlfn.XLOOKUP(C593, Table2[Species],Table2[Genus], "Code Not Found")</f>
        <v>Acer</v>
      </c>
      <c r="M593" t="str">
        <f>_xlfn.XLOOKUP(C593, Table2[Species],Table2[Sp. Name], "Code Not Found")</f>
        <v>saccharum</v>
      </c>
      <c r="N593" t="str">
        <f>_xlfn.XLOOKUP(C593,Table2[Species],Table2[Family],"Code Not Found")</f>
        <v>Sapindaceae</v>
      </c>
      <c r="O593" t="str" cm="1">
        <f t="array" ref="O593">_xlfn.IFS(F593="","",F593&lt;=5,"0 to 5",F593&lt;=10,"5.1 to 10",F593&lt;=20,"10 to 20", F593&lt;= 40, "20 to 40", F593 &lt;= 50, "40 to 50", F593 &gt; 50, "&gt;50" )</f>
        <v>&gt;50</v>
      </c>
    </row>
    <row r="594" spans="1:15" ht="14.4" x14ac:dyDescent="0.3">
      <c r="A594" t="s">
        <v>177</v>
      </c>
      <c r="B594" s="1">
        <v>46176</v>
      </c>
      <c r="C594" t="s">
        <v>16</v>
      </c>
      <c r="D594">
        <v>550</v>
      </c>
      <c r="E594">
        <v>1</v>
      </c>
      <c r="F594">
        <v>2.2000000000000002</v>
      </c>
      <c r="G594" t="s">
        <v>21</v>
      </c>
      <c r="I594" t="str">
        <f t="shared" si="9"/>
        <v>550_1</v>
      </c>
      <c r="J594" t="s">
        <v>178</v>
      </c>
      <c r="K594" t="s">
        <v>179</v>
      </c>
      <c r="L594" t="str">
        <f>_xlfn.XLOOKUP(C594, Table2[Species],Table2[Genus], "Code Not Found")</f>
        <v>Acer</v>
      </c>
      <c r="M594" t="str">
        <f>_xlfn.XLOOKUP(C594, Table2[Species],Table2[Sp. Name], "Code Not Found")</f>
        <v>saccharum</v>
      </c>
      <c r="N594" t="str">
        <f>_xlfn.XLOOKUP(C594,Table2[Species],Table2[Family],"Code Not Found")</f>
        <v>Sapindaceae</v>
      </c>
      <c r="O594" t="str" cm="1">
        <f t="array" ref="O594">_xlfn.IFS(F594="","",F594&lt;=5,"0 to 5",F594&lt;=10,"5.1 to 10",F594&lt;=20,"10 to 20", F594&lt;= 40, "20 to 40", F594 &lt;= 50, "40 to 50", F594 &gt; 50, "&gt;50" )</f>
        <v>0 to 5</v>
      </c>
    </row>
    <row r="595" spans="1:15" ht="14.4" x14ac:dyDescent="0.3">
      <c r="A595" t="s">
        <v>177</v>
      </c>
      <c r="B595" s="1">
        <v>46176</v>
      </c>
      <c r="C595" t="s">
        <v>180</v>
      </c>
      <c r="D595">
        <v>551</v>
      </c>
      <c r="E595">
        <v>1</v>
      </c>
      <c r="F595">
        <v>43</v>
      </c>
      <c r="G595" t="s">
        <v>21</v>
      </c>
      <c r="I595" t="str">
        <f t="shared" si="9"/>
        <v>551_1</v>
      </c>
      <c r="J595" t="s">
        <v>178</v>
      </c>
      <c r="K595" t="s">
        <v>179</v>
      </c>
      <c r="L595" t="str">
        <f>_xlfn.XLOOKUP(C595, Table2[Species],Table2[Genus], "Code Not Found")</f>
        <v>Tilia</v>
      </c>
      <c r="M595" t="str">
        <f>_xlfn.XLOOKUP(C595, Table2[Species],Table2[Sp. Name], "Code Not Found")</f>
        <v>americana</v>
      </c>
      <c r="N595" t="str">
        <f>_xlfn.XLOOKUP(C595,Table2[Species],Table2[Family],"Code Not Found")</f>
        <v>Malvaceae</v>
      </c>
      <c r="O595" t="str" cm="1">
        <f t="array" ref="O595">_xlfn.IFS(F595="","",F595&lt;=5,"0 to 5",F595&lt;=10,"5.1 to 10",F595&lt;=20,"10 to 20", F595&lt;= 40, "20 to 40", F595 &lt;= 50, "40 to 50", F595 &gt; 50, "&gt;50" )</f>
        <v>40 to 50</v>
      </c>
    </row>
    <row r="596" spans="1:15" ht="14.4" x14ac:dyDescent="0.3">
      <c r="A596" t="s">
        <v>177</v>
      </c>
      <c r="B596" s="1">
        <v>46176</v>
      </c>
      <c r="C596" t="s">
        <v>16</v>
      </c>
      <c r="D596">
        <v>552</v>
      </c>
      <c r="E596">
        <v>1</v>
      </c>
      <c r="F596">
        <v>7.2</v>
      </c>
      <c r="G596" t="s">
        <v>21</v>
      </c>
      <c r="I596" t="str">
        <f t="shared" si="9"/>
        <v>552_1</v>
      </c>
      <c r="J596" t="s">
        <v>178</v>
      </c>
      <c r="K596" t="s">
        <v>179</v>
      </c>
      <c r="L596" t="str">
        <f>_xlfn.XLOOKUP(C596, Table2[Species],Table2[Genus], "Code Not Found")</f>
        <v>Acer</v>
      </c>
      <c r="M596" t="str">
        <f>_xlfn.XLOOKUP(C596, Table2[Species],Table2[Sp. Name], "Code Not Found")</f>
        <v>saccharum</v>
      </c>
      <c r="N596" t="str">
        <f>_xlfn.XLOOKUP(C596,Table2[Species],Table2[Family],"Code Not Found")</f>
        <v>Sapindaceae</v>
      </c>
      <c r="O596" t="str" cm="1">
        <f t="array" ref="O596">_xlfn.IFS(F596="","",F596&lt;=5,"0 to 5",F596&lt;=10,"5.1 to 10",F596&lt;=20,"10 to 20", F596&lt;= 40, "20 to 40", F596 &lt;= 50, "40 to 50", F596 &gt; 50, "&gt;50" )</f>
        <v>5.1 to 10</v>
      </c>
    </row>
    <row r="597" spans="1:15" ht="14.4" x14ac:dyDescent="0.3">
      <c r="A597" t="s">
        <v>177</v>
      </c>
      <c r="B597" s="1">
        <v>46176</v>
      </c>
      <c r="C597" t="s">
        <v>24</v>
      </c>
      <c r="D597">
        <v>553</v>
      </c>
      <c r="E597">
        <v>1</v>
      </c>
      <c r="F597">
        <v>61</v>
      </c>
      <c r="G597" t="s">
        <v>88</v>
      </c>
      <c r="I597" t="str">
        <f t="shared" si="9"/>
        <v>553_1</v>
      </c>
      <c r="J597" t="s">
        <v>178</v>
      </c>
      <c r="K597" t="s">
        <v>179</v>
      </c>
      <c r="L597" t="str">
        <f>_xlfn.XLOOKUP(C597, Table2[Species],Table2[Genus], "Code Not Found")</f>
        <v>Lirodendron</v>
      </c>
      <c r="M597" t="str">
        <f>_xlfn.XLOOKUP(C597, Table2[Species],Table2[Sp. Name], "Code Not Found")</f>
        <v>tulipfera</v>
      </c>
      <c r="N597" t="str">
        <f>_xlfn.XLOOKUP(C597,Table2[Species],Table2[Family],"Code Not Found")</f>
        <v>Magnoliaceae</v>
      </c>
      <c r="O597" t="str" cm="1">
        <f t="array" ref="O597">_xlfn.IFS(F597="","",F597&lt;=5,"0 to 5",F597&lt;=10,"5.1 to 10",F597&lt;=20,"10 to 20", F597&lt;= 40, "20 to 40", F597 &lt;= 50, "40 to 50", F597 &gt; 50, "&gt;50" )</f>
        <v>&gt;50</v>
      </c>
    </row>
    <row r="598" spans="1:15" ht="14.4" x14ac:dyDescent="0.3">
      <c r="A598" t="s">
        <v>177</v>
      </c>
      <c r="B598" s="1">
        <v>46176</v>
      </c>
      <c r="C598" t="s">
        <v>16</v>
      </c>
      <c r="D598">
        <v>554</v>
      </c>
      <c r="E598">
        <v>1</v>
      </c>
      <c r="F598">
        <v>6.5</v>
      </c>
      <c r="G598" t="s">
        <v>17</v>
      </c>
      <c r="I598" t="str">
        <f t="shared" si="9"/>
        <v>554_1</v>
      </c>
      <c r="J598" t="s">
        <v>178</v>
      </c>
      <c r="K598" t="s">
        <v>179</v>
      </c>
      <c r="L598" t="str">
        <f>_xlfn.XLOOKUP(C598, Table2[Species],Table2[Genus], "Code Not Found")</f>
        <v>Acer</v>
      </c>
      <c r="M598" t="str">
        <f>_xlfn.XLOOKUP(C598, Table2[Species],Table2[Sp. Name], "Code Not Found")</f>
        <v>saccharum</v>
      </c>
      <c r="N598" t="str">
        <f>_xlfn.XLOOKUP(C598,Table2[Species],Table2[Family],"Code Not Found")</f>
        <v>Sapindaceae</v>
      </c>
      <c r="O598" t="str" cm="1">
        <f t="array" ref="O598">_xlfn.IFS(F598="","",F598&lt;=5,"0 to 5",F598&lt;=10,"5.1 to 10",F598&lt;=20,"10 to 20", F598&lt;= 40, "20 to 40", F598 &lt;= 50, "40 to 50", F598 &gt; 50, "&gt;50" )</f>
        <v>5.1 to 10</v>
      </c>
    </row>
    <row r="599" spans="1:15" ht="14.4" x14ac:dyDescent="0.3">
      <c r="A599" t="s">
        <v>177</v>
      </c>
      <c r="B599" s="1">
        <v>46176</v>
      </c>
      <c r="C599" t="s">
        <v>16</v>
      </c>
      <c r="D599">
        <v>555</v>
      </c>
      <c r="E599">
        <v>1</v>
      </c>
      <c r="F599">
        <v>5.4</v>
      </c>
      <c r="G599" t="s">
        <v>17</v>
      </c>
      <c r="I599" t="str">
        <f t="shared" si="9"/>
        <v>555_1</v>
      </c>
      <c r="J599" t="s">
        <v>178</v>
      </c>
      <c r="K599" t="s">
        <v>179</v>
      </c>
      <c r="L599" t="str">
        <f>_xlfn.XLOOKUP(C599, Table2[Species],Table2[Genus], "Code Not Found")</f>
        <v>Acer</v>
      </c>
      <c r="M599" t="str">
        <f>_xlfn.XLOOKUP(C599, Table2[Species],Table2[Sp. Name], "Code Not Found")</f>
        <v>saccharum</v>
      </c>
      <c r="N599" t="str">
        <f>_xlfn.XLOOKUP(C599,Table2[Species],Table2[Family],"Code Not Found")</f>
        <v>Sapindaceae</v>
      </c>
      <c r="O599" t="str" cm="1">
        <f t="array" ref="O599">_xlfn.IFS(F599="","",F599&lt;=5,"0 to 5",F599&lt;=10,"5.1 to 10",F599&lt;=20,"10 to 20", F599&lt;= 40, "20 to 40", F599 &lt;= 50, "40 to 50", F599 &gt; 50, "&gt;50" )</f>
        <v>5.1 to 10</v>
      </c>
    </row>
    <row r="600" spans="1:15" ht="14.4" x14ac:dyDescent="0.3">
      <c r="A600" t="s">
        <v>177</v>
      </c>
      <c r="B600" s="1">
        <v>46176</v>
      </c>
      <c r="C600" t="s">
        <v>16</v>
      </c>
      <c r="D600">
        <v>556</v>
      </c>
      <c r="E600">
        <v>1</v>
      </c>
      <c r="F600">
        <v>5.3</v>
      </c>
      <c r="G600" t="s">
        <v>181</v>
      </c>
      <c r="H600" t="s">
        <v>43</v>
      </c>
      <c r="I600" t="str">
        <f t="shared" si="9"/>
        <v>556_1</v>
      </c>
      <c r="J600" t="s">
        <v>178</v>
      </c>
      <c r="K600" t="s">
        <v>179</v>
      </c>
      <c r="L600" t="str">
        <f>_xlfn.XLOOKUP(C600, Table2[Species],Table2[Genus], "Code Not Found")</f>
        <v>Acer</v>
      </c>
      <c r="M600" t="str">
        <f>_xlfn.XLOOKUP(C600, Table2[Species],Table2[Sp. Name], "Code Not Found")</f>
        <v>saccharum</v>
      </c>
      <c r="N600" t="str">
        <f>_xlfn.XLOOKUP(C600,Table2[Species],Table2[Family],"Code Not Found")</f>
        <v>Sapindaceae</v>
      </c>
      <c r="O600" t="str" cm="1">
        <f t="array" ref="O600">_xlfn.IFS(F600="","",F600&lt;=5,"0 to 5",F600&lt;=10,"5.1 to 10",F600&lt;=20,"10 to 20", F600&lt;= 40, "20 to 40", F600 &lt;= 50, "40 to 50", F600 &gt; 50, "&gt;50" )</f>
        <v>5.1 to 10</v>
      </c>
    </row>
    <row r="601" spans="1:15" ht="14.4" x14ac:dyDescent="0.3">
      <c r="A601" t="s">
        <v>177</v>
      </c>
      <c r="B601" s="1">
        <v>46176</v>
      </c>
      <c r="C601" t="s">
        <v>16</v>
      </c>
      <c r="D601">
        <v>556</v>
      </c>
      <c r="E601">
        <v>2</v>
      </c>
      <c r="F601">
        <v>1</v>
      </c>
      <c r="G601" t="s">
        <v>181</v>
      </c>
      <c r="H601" t="s">
        <v>43</v>
      </c>
      <c r="I601" t="str">
        <f t="shared" si="9"/>
        <v>556_2</v>
      </c>
      <c r="J601" t="s">
        <v>178</v>
      </c>
      <c r="K601" t="s">
        <v>179</v>
      </c>
      <c r="L601" t="str">
        <f>_xlfn.XLOOKUP(C601, Table2[Species],Table2[Genus], "Code Not Found")</f>
        <v>Acer</v>
      </c>
      <c r="M601" t="str">
        <f>_xlfn.XLOOKUP(C601, Table2[Species],Table2[Sp. Name], "Code Not Found")</f>
        <v>saccharum</v>
      </c>
      <c r="N601" t="str">
        <f>_xlfn.XLOOKUP(C601,Table2[Species],Table2[Family],"Code Not Found")</f>
        <v>Sapindaceae</v>
      </c>
      <c r="O601" t="str" cm="1">
        <f t="array" ref="O601">_xlfn.IFS(F601="","",F601&lt;=5,"0 to 5",F601&lt;=10,"5.1 to 10",F601&lt;=20,"10 to 20", F601&lt;= 40, "20 to 40", F601 &lt;= 50, "40 to 50", F601 &gt; 50, "&gt;50" )</f>
        <v>0 to 5</v>
      </c>
    </row>
    <row r="602" spans="1:15" ht="14.4" x14ac:dyDescent="0.3">
      <c r="A602" t="s">
        <v>177</v>
      </c>
      <c r="B602" s="1">
        <v>46176</v>
      </c>
      <c r="C602" t="s">
        <v>16</v>
      </c>
      <c r="D602">
        <v>557</v>
      </c>
      <c r="E602">
        <v>1</v>
      </c>
      <c r="F602">
        <v>7.8</v>
      </c>
      <c r="G602" t="s">
        <v>71</v>
      </c>
      <c r="H602" t="s">
        <v>182</v>
      </c>
      <c r="I602" t="str">
        <f t="shared" si="9"/>
        <v>557_1</v>
      </c>
      <c r="J602" t="s">
        <v>178</v>
      </c>
      <c r="K602" t="s">
        <v>179</v>
      </c>
      <c r="L602" t="str">
        <f>_xlfn.XLOOKUP(C602, Table2[Species],Table2[Genus], "Code Not Found")</f>
        <v>Acer</v>
      </c>
      <c r="M602" t="str">
        <f>_xlfn.XLOOKUP(C602, Table2[Species],Table2[Sp. Name], "Code Not Found")</f>
        <v>saccharum</v>
      </c>
      <c r="N602" t="str">
        <f>_xlfn.XLOOKUP(C602,Table2[Species],Table2[Family],"Code Not Found")</f>
        <v>Sapindaceae</v>
      </c>
      <c r="O602" t="str" cm="1">
        <f t="array" ref="O602">_xlfn.IFS(F602="","",F602&lt;=5,"0 to 5",F602&lt;=10,"5.1 to 10",F602&lt;=20,"10 to 20", F602&lt;= 40, "20 to 40", F602 &lt;= 50, "40 to 50", F602 &gt; 50, "&gt;50" )</f>
        <v>5.1 to 10</v>
      </c>
    </row>
    <row r="603" spans="1:15" ht="14.4" x14ac:dyDescent="0.3">
      <c r="A603" t="s">
        <v>177</v>
      </c>
      <c r="B603" s="1">
        <v>46176</v>
      </c>
      <c r="C603" t="s">
        <v>16</v>
      </c>
      <c r="D603">
        <v>558</v>
      </c>
      <c r="E603">
        <v>1</v>
      </c>
      <c r="F603">
        <v>4.2</v>
      </c>
      <c r="G603" t="s">
        <v>21</v>
      </c>
      <c r="I603" t="str">
        <f t="shared" si="9"/>
        <v>558_1</v>
      </c>
      <c r="J603" t="s">
        <v>178</v>
      </c>
      <c r="K603" t="s">
        <v>179</v>
      </c>
      <c r="L603" t="str">
        <f>_xlfn.XLOOKUP(C603, Table2[Species],Table2[Genus], "Code Not Found")</f>
        <v>Acer</v>
      </c>
      <c r="M603" t="str">
        <f>_xlfn.XLOOKUP(C603, Table2[Species],Table2[Sp. Name], "Code Not Found")</f>
        <v>saccharum</v>
      </c>
      <c r="N603" t="str">
        <f>_xlfn.XLOOKUP(C603,Table2[Species],Table2[Family],"Code Not Found")</f>
        <v>Sapindaceae</v>
      </c>
      <c r="O603" t="str" cm="1">
        <f t="array" ref="O603">_xlfn.IFS(F603="","",F603&lt;=5,"0 to 5",F603&lt;=10,"5.1 to 10",F603&lt;=20,"10 to 20", F603&lt;= 40, "20 to 40", F603 &lt;= 50, "40 to 50", F603 &gt; 50, "&gt;50" )</f>
        <v>0 to 5</v>
      </c>
    </row>
    <row r="604" spans="1:15" ht="14.4" x14ac:dyDescent="0.3">
      <c r="A604" t="s">
        <v>177</v>
      </c>
      <c r="B604" s="1">
        <v>46176</v>
      </c>
      <c r="C604" t="s">
        <v>16</v>
      </c>
      <c r="D604">
        <v>559</v>
      </c>
      <c r="E604">
        <v>1</v>
      </c>
      <c r="F604">
        <v>4.5999999999999996</v>
      </c>
      <c r="G604" t="s">
        <v>17</v>
      </c>
      <c r="I604" t="str">
        <f t="shared" si="9"/>
        <v>559_1</v>
      </c>
      <c r="J604" t="s">
        <v>178</v>
      </c>
      <c r="K604" t="s">
        <v>179</v>
      </c>
      <c r="L604" t="str">
        <f>_xlfn.XLOOKUP(C604, Table2[Species],Table2[Genus], "Code Not Found")</f>
        <v>Acer</v>
      </c>
      <c r="M604" t="str">
        <f>_xlfn.XLOOKUP(C604, Table2[Species],Table2[Sp. Name], "Code Not Found")</f>
        <v>saccharum</v>
      </c>
      <c r="N604" t="str">
        <f>_xlfn.XLOOKUP(C604,Table2[Species],Table2[Family],"Code Not Found")</f>
        <v>Sapindaceae</v>
      </c>
      <c r="O604" t="str" cm="1">
        <f t="array" ref="O604">_xlfn.IFS(F604="","",F604&lt;=5,"0 to 5",F604&lt;=10,"5.1 to 10",F604&lt;=20,"10 to 20", F604&lt;= 40, "20 to 40", F604 &lt;= 50, "40 to 50", F604 &gt; 50, "&gt;50" )</f>
        <v>0 to 5</v>
      </c>
    </row>
    <row r="605" spans="1:15" ht="14.4" x14ac:dyDescent="0.3">
      <c r="A605" t="s">
        <v>177</v>
      </c>
      <c r="B605" s="1">
        <v>46176</v>
      </c>
      <c r="C605" t="s">
        <v>16</v>
      </c>
      <c r="D605">
        <v>560</v>
      </c>
      <c r="E605">
        <v>1</v>
      </c>
      <c r="F605">
        <v>52.5</v>
      </c>
      <c r="G605" t="s">
        <v>17</v>
      </c>
      <c r="I605" t="str">
        <f t="shared" si="9"/>
        <v>560_1</v>
      </c>
      <c r="J605" t="s">
        <v>178</v>
      </c>
      <c r="K605" t="s">
        <v>179</v>
      </c>
      <c r="L605" t="str">
        <f>_xlfn.XLOOKUP(C605, Table2[Species],Table2[Genus], "Code Not Found")</f>
        <v>Acer</v>
      </c>
      <c r="M605" t="str">
        <f>_xlfn.XLOOKUP(C605, Table2[Species],Table2[Sp. Name], "Code Not Found")</f>
        <v>saccharum</v>
      </c>
      <c r="N605" t="str">
        <f>_xlfn.XLOOKUP(C605,Table2[Species],Table2[Family],"Code Not Found")</f>
        <v>Sapindaceae</v>
      </c>
      <c r="O605" t="str" cm="1">
        <f t="array" ref="O605">_xlfn.IFS(F605="","",F605&lt;=5,"0 to 5",F605&lt;=10,"5.1 to 10",F605&lt;=20,"10 to 20", F605&lt;= 40, "20 to 40", F605 &lt;= 50, "40 to 50", F605 &gt; 50, "&gt;50" )</f>
        <v>&gt;50</v>
      </c>
    </row>
    <row r="606" spans="1:15" ht="14.4" x14ac:dyDescent="0.3">
      <c r="A606" t="s">
        <v>177</v>
      </c>
      <c r="B606" s="1">
        <v>46176</v>
      </c>
      <c r="C606" t="s">
        <v>16</v>
      </c>
      <c r="D606">
        <v>561</v>
      </c>
      <c r="E606">
        <v>1</v>
      </c>
      <c r="F606">
        <v>46</v>
      </c>
      <c r="G606" t="s">
        <v>21</v>
      </c>
      <c r="I606" t="str">
        <f t="shared" si="9"/>
        <v>561_1</v>
      </c>
      <c r="J606" t="s">
        <v>178</v>
      </c>
      <c r="K606" t="s">
        <v>179</v>
      </c>
      <c r="L606" t="str">
        <f>_xlfn.XLOOKUP(C606, Table2[Species],Table2[Genus], "Code Not Found")</f>
        <v>Acer</v>
      </c>
      <c r="M606" t="str">
        <f>_xlfn.XLOOKUP(C606, Table2[Species],Table2[Sp. Name], "Code Not Found")</f>
        <v>saccharum</v>
      </c>
      <c r="N606" t="str">
        <f>_xlfn.XLOOKUP(C606,Table2[Species],Table2[Family],"Code Not Found")</f>
        <v>Sapindaceae</v>
      </c>
      <c r="O606" t="str" cm="1">
        <f t="array" ref="O606">_xlfn.IFS(F606="","",F606&lt;=5,"0 to 5",F606&lt;=10,"5.1 to 10",F606&lt;=20,"10 to 20", F606&lt;= 40, "20 to 40", F606 &lt;= 50, "40 to 50", F606 &gt; 50, "&gt;50" )</f>
        <v>40 to 50</v>
      </c>
    </row>
    <row r="607" spans="1:15" ht="14.4" x14ac:dyDescent="0.3">
      <c r="A607" t="s">
        <v>177</v>
      </c>
      <c r="B607" s="1">
        <v>46176</v>
      </c>
      <c r="C607" t="s">
        <v>16</v>
      </c>
      <c r="D607">
        <v>562</v>
      </c>
      <c r="E607">
        <v>1</v>
      </c>
      <c r="F607">
        <v>7.1</v>
      </c>
      <c r="G607" t="s">
        <v>21</v>
      </c>
      <c r="I607" t="str">
        <f t="shared" si="9"/>
        <v>562_1</v>
      </c>
      <c r="J607" t="s">
        <v>178</v>
      </c>
      <c r="K607" t="s">
        <v>179</v>
      </c>
      <c r="L607" t="str">
        <f>_xlfn.XLOOKUP(C607, Table2[Species],Table2[Genus], "Code Not Found")</f>
        <v>Acer</v>
      </c>
      <c r="M607" t="str">
        <f>_xlfn.XLOOKUP(C607, Table2[Species],Table2[Sp. Name], "Code Not Found")</f>
        <v>saccharum</v>
      </c>
      <c r="N607" t="str">
        <f>_xlfn.XLOOKUP(C607,Table2[Species],Table2[Family],"Code Not Found")</f>
        <v>Sapindaceae</v>
      </c>
      <c r="O607" t="str" cm="1">
        <f t="array" ref="O607">_xlfn.IFS(F607="","",F607&lt;=5,"0 to 5",F607&lt;=10,"5.1 to 10",F607&lt;=20,"10 to 20", F607&lt;= 40, "20 to 40", F607 &lt;= 50, "40 to 50", F607 &gt; 50, "&gt;50" )</f>
        <v>5.1 to 10</v>
      </c>
    </row>
    <row r="608" spans="1:15" ht="14.4" x14ac:dyDescent="0.3">
      <c r="A608" t="s">
        <v>177</v>
      </c>
      <c r="B608" s="1">
        <v>46176</v>
      </c>
      <c r="C608" t="s">
        <v>16</v>
      </c>
      <c r="D608">
        <v>563</v>
      </c>
      <c r="E608">
        <v>1</v>
      </c>
      <c r="F608">
        <v>3.3</v>
      </c>
      <c r="G608" t="s">
        <v>21</v>
      </c>
      <c r="I608" t="str">
        <f t="shared" si="9"/>
        <v>563_1</v>
      </c>
      <c r="J608" t="s">
        <v>178</v>
      </c>
      <c r="K608" t="s">
        <v>179</v>
      </c>
      <c r="L608" t="str">
        <f>_xlfn.XLOOKUP(C608, Table2[Species],Table2[Genus], "Code Not Found")</f>
        <v>Acer</v>
      </c>
      <c r="M608" t="str">
        <f>_xlfn.XLOOKUP(C608, Table2[Species],Table2[Sp. Name], "Code Not Found")</f>
        <v>saccharum</v>
      </c>
      <c r="N608" t="str">
        <f>_xlfn.XLOOKUP(C608,Table2[Species],Table2[Family],"Code Not Found")</f>
        <v>Sapindaceae</v>
      </c>
      <c r="O608" t="str" cm="1">
        <f t="array" ref="O608">_xlfn.IFS(F608="","",F608&lt;=5,"0 to 5",F608&lt;=10,"5.1 to 10",F608&lt;=20,"10 to 20", F608&lt;= 40, "20 to 40", F608 &lt;= 50, "40 to 50", F608 &gt; 50, "&gt;50" )</f>
        <v>0 to 5</v>
      </c>
    </row>
    <row r="609" spans="1:15" ht="14.4" x14ac:dyDescent="0.3">
      <c r="A609" t="s">
        <v>177</v>
      </c>
      <c r="B609" s="1">
        <v>46176</v>
      </c>
      <c r="C609" t="s">
        <v>16</v>
      </c>
      <c r="D609">
        <v>564</v>
      </c>
      <c r="E609">
        <v>1</v>
      </c>
      <c r="F609">
        <v>10.6</v>
      </c>
      <c r="G609" t="s">
        <v>88</v>
      </c>
      <c r="H609" t="s">
        <v>183</v>
      </c>
      <c r="I609" t="str">
        <f t="shared" si="9"/>
        <v>564_1</v>
      </c>
      <c r="J609" t="s">
        <v>178</v>
      </c>
      <c r="K609" t="s">
        <v>179</v>
      </c>
      <c r="L609" t="str">
        <f>_xlfn.XLOOKUP(C609, Table2[Species],Table2[Genus], "Code Not Found")</f>
        <v>Acer</v>
      </c>
      <c r="M609" t="str">
        <f>_xlfn.XLOOKUP(C609, Table2[Species],Table2[Sp. Name], "Code Not Found")</f>
        <v>saccharum</v>
      </c>
      <c r="N609" t="str">
        <f>_xlfn.XLOOKUP(C609,Table2[Species],Table2[Family],"Code Not Found")</f>
        <v>Sapindaceae</v>
      </c>
      <c r="O609" t="str" cm="1">
        <f t="array" ref="O609">_xlfn.IFS(F609="","",F609&lt;=5,"0 to 5",F609&lt;=10,"5.1 to 10",F609&lt;=20,"10 to 20", F609&lt;= 40, "20 to 40", F609 &lt;= 50, "40 to 50", F609 &gt; 50, "&gt;50" )</f>
        <v>10 to 20</v>
      </c>
    </row>
    <row r="610" spans="1:15" ht="14.4" x14ac:dyDescent="0.3">
      <c r="A610" t="s">
        <v>177</v>
      </c>
      <c r="B610" s="1">
        <v>46176</v>
      </c>
      <c r="C610" t="s">
        <v>16</v>
      </c>
      <c r="D610">
        <v>565</v>
      </c>
      <c r="E610">
        <v>1</v>
      </c>
      <c r="F610">
        <v>6.3</v>
      </c>
      <c r="G610" t="s">
        <v>17</v>
      </c>
      <c r="I610" t="str">
        <f t="shared" si="9"/>
        <v>565_1</v>
      </c>
      <c r="J610" t="s">
        <v>178</v>
      </c>
      <c r="K610" t="s">
        <v>179</v>
      </c>
      <c r="L610" t="str">
        <f>_xlfn.XLOOKUP(C610, Table2[Species],Table2[Genus], "Code Not Found")</f>
        <v>Acer</v>
      </c>
      <c r="M610" t="str">
        <f>_xlfn.XLOOKUP(C610, Table2[Species],Table2[Sp. Name], "Code Not Found")</f>
        <v>saccharum</v>
      </c>
      <c r="N610" t="str">
        <f>_xlfn.XLOOKUP(C610,Table2[Species],Table2[Family],"Code Not Found")</f>
        <v>Sapindaceae</v>
      </c>
      <c r="O610" t="str" cm="1">
        <f t="array" ref="O610">_xlfn.IFS(F610="","",F610&lt;=5,"0 to 5",F610&lt;=10,"5.1 to 10",F610&lt;=20,"10 to 20", F610&lt;= 40, "20 to 40", F610 &lt;= 50, "40 to 50", F610 &gt; 50, "&gt;50" )</f>
        <v>5.1 to 10</v>
      </c>
    </row>
    <row r="611" spans="1:15" ht="14.4" x14ac:dyDescent="0.3">
      <c r="A611" t="s">
        <v>177</v>
      </c>
      <c r="B611" s="1">
        <v>46176</v>
      </c>
      <c r="C611" t="s">
        <v>64</v>
      </c>
      <c r="D611">
        <v>566</v>
      </c>
      <c r="E611">
        <v>1</v>
      </c>
      <c r="F611">
        <v>8.3000000000000007</v>
      </c>
      <c r="G611" t="s">
        <v>30</v>
      </c>
      <c r="H611" t="s">
        <v>99</v>
      </c>
      <c r="I611" t="str">
        <f t="shared" si="9"/>
        <v>566_1</v>
      </c>
      <c r="J611" t="s">
        <v>178</v>
      </c>
      <c r="K611" t="s">
        <v>179</v>
      </c>
      <c r="L611" t="str">
        <f>_xlfn.XLOOKUP(C611, Table2[Species],Table2[Genus], "Code Not Found")</f>
        <v>Fagus</v>
      </c>
      <c r="M611" t="str">
        <f>_xlfn.XLOOKUP(C611, Table2[Species],Table2[Sp. Name], "Code Not Found")</f>
        <v>grandifolia</v>
      </c>
      <c r="N611" t="str">
        <f>_xlfn.XLOOKUP(C611,Table2[Species],Table2[Family],"Code Not Found")</f>
        <v>Fagaceae</v>
      </c>
      <c r="O611" t="str" cm="1">
        <f t="array" ref="O611">_xlfn.IFS(F611="","",F611&lt;=5,"0 to 5",F611&lt;=10,"5.1 to 10",F611&lt;=20,"10 to 20", F611&lt;= 40, "20 to 40", F611 &lt;= 50, "40 to 50", F611 &gt; 50, "&gt;50" )</f>
        <v>5.1 to 10</v>
      </c>
    </row>
    <row r="612" spans="1:15" ht="14.4" x14ac:dyDescent="0.3">
      <c r="A612" t="s">
        <v>177</v>
      </c>
      <c r="B612" s="1">
        <v>46176</v>
      </c>
      <c r="C612" t="s">
        <v>64</v>
      </c>
      <c r="D612">
        <v>567</v>
      </c>
      <c r="E612">
        <v>1</v>
      </c>
      <c r="F612">
        <v>3.8</v>
      </c>
      <c r="G612" t="s">
        <v>21</v>
      </c>
      <c r="I612" t="str">
        <f t="shared" si="9"/>
        <v>567_1</v>
      </c>
      <c r="J612" t="s">
        <v>178</v>
      </c>
      <c r="K612" t="s">
        <v>179</v>
      </c>
      <c r="L612" t="str">
        <f>_xlfn.XLOOKUP(C612, Table2[Species],Table2[Genus], "Code Not Found")</f>
        <v>Fagus</v>
      </c>
      <c r="M612" t="str">
        <f>_xlfn.XLOOKUP(C612, Table2[Species],Table2[Sp. Name], "Code Not Found")</f>
        <v>grandifolia</v>
      </c>
      <c r="N612" t="str">
        <f>_xlfn.XLOOKUP(C612,Table2[Species],Table2[Family],"Code Not Found")</f>
        <v>Fagaceae</v>
      </c>
      <c r="O612" t="str" cm="1">
        <f t="array" ref="O612">_xlfn.IFS(F612="","",F612&lt;=5,"0 to 5",F612&lt;=10,"5.1 to 10",F612&lt;=20,"10 to 20", F612&lt;= 40, "20 to 40", F612 &lt;= 50, "40 to 50", F612 &gt; 50, "&gt;50" )</f>
        <v>0 to 5</v>
      </c>
    </row>
    <row r="613" spans="1:15" ht="14.4" x14ac:dyDescent="0.3">
      <c r="A613" t="s">
        <v>177</v>
      </c>
      <c r="B613" s="1">
        <v>46176</v>
      </c>
      <c r="C613" t="s">
        <v>16</v>
      </c>
      <c r="D613">
        <v>568</v>
      </c>
      <c r="E613">
        <v>1</v>
      </c>
      <c r="F613">
        <v>41.1</v>
      </c>
      <c r="G613" t="s">
        <v>21</v>
      </c>
      <c r="I613" t="str">
        <f t="shared" si="9"/>
        <v>568_1</v>
      </c>
      <c r="J613" t="s">
        <v>178</v>
      </c>
      <c r="K613" t="s">
        <v>179</v>
      </c>
      <c r="L613" t="str">
        <f>_xlfn.XLOOKUP(C613, Table2[Species],Table2[Genus], "Code Not Found")</f>
        <v>Acer</v>
      </c>
      <c r="M613" t="str">
        <f>_xlfn.XLOOKUP(C613, Table2[Species],Table2[Sp. Name], "Code Not Found")</f>
        <v>saccharum</v>
      </c>
      <c r="N613" t="str">
        <f>_xlfn.XLOOKUP(C613,Table2[Species],Table2[Family],"Code Not Found")</f>
        <v>Sapindaceae</v>
      </c>
      <c r="O613" t="str" cm="1">
        <f t="array" ref="O613">_xlfn.IFS(F613="","",F613&lt;=5,"0 to 5",F613&lt;=10,"5.1 to 10",F613&lt;=20,"10 to 20", F613&lt;= 40, "20 to 40", F613 &lt;= 50, "40 to 50", F613 &gt; 50, "&gt;50" )</f>
        <v>40 to 50</v>
      </c>
    </row>
    <row r="614" spans="1:15" ht="14.4" x14ac:dyDescent="0.3">
      <c r="A614" t="s">
        <v>177</v>
      </c>
      <c r="B614" s="1">
        <v>46176</v>
      </c>
      <c r="C614" t="s">
        <v>16</v>
      </c>
      <c r="D614">
        <v>569</v>
      </c>
      <c r="E614">
        <v>1</v>
      </c>
      <c r="F614">
        <v>4.4000000000000004</v>
      </c>
      <c r="G614" t="s">
        <v>88</v>
      </c>
      <c r="H614" t="s">
        <v>121</v>
      </c>
      <c r="I614" t="str">
        <f t="shared" si="9"/>
        <v>569_1</v>
      </c>
      <c r="J614" t="s">
        <v>178</v>
      </c>
      <c r="K614" t="s">
        <v>179</v>
      </c>
      <c r="L614" t="str">
        <f>_xlfn.XLOOKUP(C614, Table2[Species],Table2[Genus], "Code Not Found")</f>
        <v>Acer</v>
      </c>
      <c r="M614" t="str">
        <f>_xlfn.XLOOKUP(C614, Table2[Species],Table2[Sp. Name], "Code Not Found")</f>
        <v>saccharum</v>
      </c>
      <c r="N614" t="str">
        <f>_xlfn.XLOOKUP(C614,Table2[Species],Table2[Family],"Code Not Found")</f>
        <v>Sapindaceae</v>
      </c>
      <c r="O614" t="str" cm="1">
        <f t="array" ref="O614">_xlfn.IFS(F614="","",F614&lt;=5,"0 to 5",F614&lt;=10,"5.1 to 10",F614&lt;=20,"10 to 20", F614&lt;= 40, "20 to 40", F614 &lt;= 50, "40 to 50", F614 &gt; 50, "&gt;50" )</f>
        <v>0 to 5</v>
      </c>
    </row>
    <row r="615" spans="1:15" ht="14.4" x14ac:dyDescent="0.3">
      <c r="A615" t="s">
        <v>177</v>
      </c>
      <c r="B615" s="1">
        <v>46176</v>
      </c>
      <c r="C615" t="s">
        <v>16</v>
      </c>
      <c r="D615">
        <v>570</v>
      </c>
      <c r="E615">
        <v>1</v>
      </c>
      <c r="F615">
        <v>3.4</v>
      </c>
      <c r="G615" t="s">
        <v>17</v>
      </c>
      <c r="I615" t="str">
        <f t="shared" si="9"/>
        <v>570_1</v>
      </c>
      <c r="J615" t="s">
        <v>178</v>
      </c>
      <c r="K615" t="s">
        <v>179</v>
      </c>
      <c r="L615" t="str">
        <f>_xlfn.XLOOKUP(C615, Table2[Species],Table2[Genus], "Code Not Found")</f>
        <v>Acer</v>
      </c>
      <c r="M615" t="str">
        <f>_xlfn.XLOOKUP(C615, Table2[Species],Table2[Sp. Name], "Code Not Found")</f>
        <v>saccharum</v>
      </c>
      <c r="N615" t="str">
        <f>_xlfn.XLOOKUP(C615,Table2[Species],Table2[Family],"Code Not Found")</f>
        <v>Sapindaceae</v>
      </c>
      <c r="O615" t="str" cm="1">
        <f t="array" ref="O615">_xlfn.IFS(F615="","",F615&lt;=5,"0 to 5",F615&lt;=10,"5.1 to 10",F615&lt;=20,"10 to 20", F615&lt;= 40, "20 to 40", F615 &lt;= 50, "40 to 50", F615 &gt; 50, "&gt;50" )</f>
        <v>0 to 5</v>
      </c>
    </row>
    <row r="616" spans="1:15" ht="14.4" x14ac:dyDescent="0.3">
      <c r="A616" t="s">
        <v>177</v>
      </c>
      <c r="B616" s="1">
        <v>46176</v>
      </c>
      <c r="C616" t="s">
        <v>16</v>
      </c>
      <c r="D616">
        <v>571</v>
      </c>
      <c r="E616">
        <v>1</v>
      </c>
      <c r="F616">
        <v>4.2</v>
      </c>
      <c r="G616" t="s">
        <v>47</v>
      </c>
      <c r="H616" t="s">
        <v>43</v>
      </c>
      <c r="I616" t="str">
        <f t="shared" si="9"/>
        <v>571_1</v>
      </c>
      <c r="J616" t="s">
        <v>178</v>
      </c>
      <c r="K616" t="s">
        <v>179</v>
      </c>
      <c r="L616" t="str">
        <f>_xlfn.XLOOKUP(C616, Table2[Species],Table2[Genus], "Code Not Found")</f>
        <v>Acer</v>
      </c>
      <c r="M616" t="str">
        <f>_xlfn.XLOOKUP(C616, Table2[Species],Table2[Sp. Name], "Code Not Found")</f>
        <v>saccharum</v>
      </c>
      <c r="N616" t="str">
        <f>_xlfn.XLOOKUP(C616,Table2[Species],Table2[Family],"Code Not Found")</f>
        <v>Sapindaceae</v>
      </c>
      <c r="O616" t="str" cm="1">
        <f t="array" ref="O616">_xlfn.IFS(F616="","",F616&lt;=5,"0 to 5",F616&lt;=10,"5.1 to 10",F616&lt;=20,"10 to 20", F616&lt;= 40, "20 to 40", F616 &lt;= 50, "40 to 50", F616 &gt; 50, "&gt;50" )</f>
        <v>0 to 5</v>
      </c>
    </row>
    <row r="617" spans="1:15" ht="14.4" x14ac:dyDescent="0.3">
      <c r="A617" t="s">
        <v>177</v>
      </c>
      <c r="B617" s="1">
        <v>46176</v>
      </c>
      <c r="C617" t="s">
        <v>16</v>
      </c>
      <c r="D617">
        <v>572</v>
      </c>
      <c r="E617">
        <v>1</v>
      </c>
      <c r="F617">
        <v>3.2</v>
      </c>
      <c r="G617" t="s">
        <v>32</v>
      </c>
      <c r="I617" t="str">
        <f t="shared" si="9"/>
        <v>572_1</v>
      </c>
      <c r="J617" t="s">
        <v>178</v>
      </c>
      <c r="K617" t="s">
        <v>179</v>
      </c>
      <c r="L617" t="str">
        <f>_xlfn.XLOOKUP(C617, Table2[Species],Table2[Genus], "Code Not Found")</f>
        <v>Acer</v>
      </c>
      <c r="M617" t="str">
        <f>_xlfn.XLOOKUP(C617, Table2[Species],Table2[Sp. Name], "Code Not Found")</f>
        <v>saccharum</v>
      </c>
      <c r="N617" t="str">
        <f>_xlfn.XLOOKUP(C617,Table2[Species],Table2[Family],"Code Not Found")</f>
        <v>Sapindaceae</v>
      </c>
      <c r="O617" t="str" cm="1">
        <f t="array" ref="O617">_xlfn.IFS(F617="","",F617&lt;=5,"0 to 5",F617&lt;=10,"5.1 to 10",F617&lt;=20,"10 to 20", F617&lt;= 40, "20 to 40", F617 &lt;= 50, "40 to 50", F617 &gt; 50, "&gt;50" )</f>
        <v>0 to 5</v>
      </c>
    </row>
    <row r="618" spans="1:15" ht="14.4" x14ac:dyDescent="0.3">
      <c r="A618" t="s">
        <v>177</v>
      </c>
      <c r="B618" s="1">
        <v>46176</v>
      </c>
      <c r="C618" t="s">
        <v>16</v>
      </c>
      <c r="D618">
        <v>572</v>
      </c>
      <c r="E618">
        <v>2</v>
      </c>
      <c r="F618">
        <v>2.9</v>
      </c>
      <c r="G618" t="s">
        <v>32</v>
      </c>
      <c r="I618" t="str">
        <f t="shared" si="9"/>
        <v>572_2</v>
      </c>
      <c r="J618" t="s">
        <v>178</v>
      </c>
      <c r="K618" t="s">
        <v>179</v>
      </c>
      <c r="L618" t="str">
        <f>_xlfn.XLOOKUP(C618, Table2[Species],Table2[Genus], "Code Not Found")</f>
        <v>Acer</v>
      </c>
      <c r="M618" t="str">
        <f>_xlfn.XLOOKUP(C618, Table2[Species],Table2[Sp. Name], "Code Not Found")</f>
        <v>saccharum</v>
      </c>
      <c r="N618" t="str">
        <f>_xlfn.XLOOKUP(C618,Table2[Species],Table2[Family],"Code Not Found")</f>
        <v>Sapindaceae</v>
      </c>
      <c r="O618" t="str" cm="1">
        <f t="array" ref="O618">_xlfn.IFS(F618="","",F618&lt;=5,"0 to 5",F618&lt;=10,"5.1 to 10",F618&lt;=20,"10 to 20", F618&lt;= 40, "20 to 40", F618 &lt;= 50, "40 to 50", F618 &gt; 50, "&gt;50" )</f>
        <v>0 to 5</v>
      </c>
    </row>
    <row r="619" spans="1:15" ht="14.4" x14ac:dyDescent="0.3">
      <c r="A619" t="s">
        <v>177</v>
      </c>
      <c r="B619" s="1">
        <v>46176</v>
      </c>
      <c r="C619" t="s">
        <v>16</v>
      </c>
      <c r="D619">
        <v>573</v>
      </c>
      <c r="E619">
        <v>1</v>
      </c>
      <c r="F619">
        <v>7</v>
      </c>
      <c r="G619" t="s">
        <v>88</v>
      </c>
      <c r="H619" t="s">
        <v>100</v>
      </c>
      <c r="I619" t="str">
        <f t="shared" si="9"/>
        <v>573_1</v>
      </c>
      <c r="J619" t="s">
        <v>178</v>
      </c>
      <c r="K619" t="s">
        <v>179</v>
      </c>
      <c r="L619" t="str">
        <f>_xlfn.XLOOKUP(C619, Table2[Species],Table2[Genus], "Code Not Found")</f>
        <v>Acer</v>
      </c>
      <c r="M619" t="str">
        <f>_xlfn.XLOOKUP(C619, Table2[Species],Table2[Sp. Name], "Code Not Found")</f>
        <v>saccharum</v>
      </c>
      <c r="N619" t="str">
        <f>_xlfn.XLOOKUP(C619,Table2[Species],Table2[Family],"Code Not Found")</f>
        <v>Sapindaceae</v>
      </c>
      <c r="O619" t="str" cm="1">
        <f t="array" ref="O619">_xlfn.IFS(F619="","",F619&lt;=5,"0 to 5",F619&lt;=10,"5.1 to 10",F619&lt;=20,"10 to 20", F619&lt;= 40, "20 to 40", F619 &lt;= 50, "40 to 50", F619 &gt; 50, "&gt;50" )</f>
        <v>5.1 to 10</v>
      </c>
    </row>
    <row r="620" spans="1:15" ht="14.4" x14ac:dyDescent="0.3">
      <c r="A620" t="s">
        <v>177</v>
      </c>
      <c r="B620" s="1">
        <v>46176</v>
      </c>
      <c r="C620" t="s">
        <v>16</v>
      </c>
      <c r="D620">
        <v>574</v>
      </c>
      <c r="E620">
        <v>1</v>
      </c>
      <c r="F620">
        <v>5.4</v>
      </c>
      <c r="G620" t="s">
        <v>21</v>
      </c>
      <c r="I620" t="str">
        <f t="shared" si="9"/>
        <v>574_1</v>
      </c>
      <c r="J620" t="s">
        <v>178</v>
      </c>
      <c r="K620" t="s">
        <v>179</v>
      </c>
      <c r="L620" t="str">
        <f>_xlfn.XLOOKUP(C620, Table2[Species],Table2[Genus], "Code Not Found")</f>
        <v>Acer</v>
      </c>
      <c r="M620" t="str">
        <f>_xlfn.XLOOKUP(C620, Table2[Species],Table2[Sp. Name], "Code Not Found")</f>
        <v>saccharum</v>
      </c>
      <c r="N620" t="str">
        <f>_xlfn.XLOOKUP(C620,Table2[Species],Table2[Family],"Code Not Found")</f>
        <v>Sapindaceae</v>
      </c>
      <c r="O620" t="str" cm="1">
        <f t="array" ref="O620">_xlfn.IFS(F620="","",F620&lt;=5,"0 to 5",F620&lt;=10,"5.1 to 10",F620&lt;=20,"10 to 20", F620&lt;= 40, "20 to 40", F620 &lt;= 50, "40 to 50", F620 &gt; 50, "&gt;50" )</f>
        <v>5.1 to 10</v>
      </c>
    </row>
    <row r="621" spans="1:15" ht="14.4" x14ac:dyDescent="0.3">
      <c r="A621" t="s">
        <v>177</v>
      </c>
      <c r="B621" s="1">
        <v>46176</v>
      </c>
      <c r="C621" t="s">
        <v>16</v>
      </c>
      <c r="D621">
        <v>575</v>
      </c>
      <c r="E621">
        <v>1</v>
      </c>
      <c r="F621">
        <v>10.6</v>
      </c>
      <c r="G621" t="s">
        <v>17</v>
      </c>
      <c r="I621" t="str">
        <f t="shared" si="9"/>
        <v>575_1</v>
      </c>
      <c r="J621" t="s">
        <v>178</v>
      </c>
      <c r="K621" t="s">
        <v>179</v>
      </c>
      <c r="L621" t="str">
        <f>_xlfn.XLOOKUP(C621, Table2[Species],Table2[Genus], "Code Not Found")</f>
        <v>Acer</v>
      </c>
      <c r="M621" t="str">
        <f>_xlfn.XLOOKUP(C621, Table2[Species],Table2[Sp. Name], "Code Not Found")</f>
        <v>saccharum</v>
      </c>
      <c r="N621" t="str">
        <f>_xlfn.XLOOKUP(C621,Table2[Species],Table2[Family],"Code Not Found")</f>
        <v>Sapindaceae</v>
      </c>
      <c r="O621" t="str" cm="1">
        <f t="array" ref="O621">_xlfn.IFS(F621="","",F621&lt;=5,"0 to 5",F621&lt;=10,"5.1 to 10",F621&lt;=20,"10 to 20", F621&lt;= 40, "20 to 40", F621 &lt;= 50, "40 to 50", F621 &gt; 50, "&gt;50" )</f>
        <v>10 to 20</v>
      </c>
    </row>
    <row r="622" spans="1:15" ht="14.4" x14ac:dyDescent="0.3">
      <c r="A622" t="s">
        <v>177</v>
      </c>
      <c r="B622" s="1">
        <v>46176</v>
      </c>
      <c r="C622" t="s">
        <v>64</v>
      </c>
      <c r="D622">
        <v>576</v>
      </c>
      <c r="E622">
        <v>1</v>
      </c>
      <c r="F622">
        <v>47.3</v>
      </c>
      <c r="G622" t="s">
        <v>21</v>
      </c>
      <c r="H622" t="s">
        <v>184</v>
      </c>
      <c r="I622" t="str">
        <f t="shared" si="9"/>
        <v>576_1</v>
      </c>
      <c r="J622" t="s">
        <v>178</v>
      </c>
      <c r="K622" t="s">
        <v>179</v>
      </c>
      <c r="L622" t="str">
        <f>_xlfn.XLOOKUP(C622, Table2[Species],Table2[Genus], "Code Not Found")</f>
        <v>Fagus</v>
      </c>
      <c r="M622" t="str">
        <f>_xlfn.XLOOKUP(C622, Table2[Species],Table2[Sp. Name], "Code Not Found")</f>
        <v>grandifolia</v>
      </c>
      <c r="N622" t="str">
        <f>_xlfn.XLOOKUP(C622,Table2[Species],Table2[Family],"Code Not Found")</f>
        <v>Fagaceae</v>
      </c>
      <c r="O622" t="str" cm="1">
        <f t="array" ref="O622">_xlfn.IFS(F622="","",F622&lt;=5,"0 to 5",F622&lt;=10,"5.1 to 10",F622&lt;=20,"10 to 20", F622&lt;= 40, "20 to 40", F622 &lt;= 50, "40 to 50", F622 &gt; 50, "&gt;50" )</f>
        <v>40 to 50</v>
      </c>
    </row>
    <row r="623" spans="1:15" ht="14.4" x14ac:dyDescent="0.3">
      <c r="A623" t="s">
        <v>177</v>
      </c>
      <c r="B623" s="1">
        <v>46176</v>
      </c>
      <c r="C623" t="s">
        <v>24</v>
      </c>
      <c r="D623">
        <v>577</v>
      </c>
      <c r="E623">
        <v>1</v>
      </c>
      <c r="F623">
        <v>1.4</v>
      </c>
      <c r="G623" t="s">
        <v>21</v>
      </c>
      <c r="I623" t="str">
        <f t="shared" si="9"/>
        <v>577_1</v>
      </c>
      <c r="J623" t="s">
        <v>178</v>
      </c>
      <c r="K623" t="s">
        <v>179</v>
      </c>
      <c r="L623" t="str">
        <f>_xlfn.XLOOKUP(C623, Table2[Species],Table2[Genus], "Code Not Found")</f>
        <v>Lirodendron</v>
      </c>
      <c r="M623" t="str">
        <f>_xlfn.XLOOKUP(C623, Table2[Species],Table2[Sp. Name], "Code Not Found")</f>
        <v>tulipfera</v>
      </c>
      <c r="N623" t="str">
        <f>_xlfn.XLOOKUP(C623,Table2[Species],Table2[Family],"Code Not Found")</f>
        <v>Magnoliaceae</v>
      </c>
      <c r="O623" t="str" cm="1">
        <f t="array" ref="O623">_xlfn.IFS(F623="","",F623&lt;=5,"0 to 5",F623&lt;=10,"5.1 to 10",F623&lt;=20,"10 to 20", F623&lt;= 40, "20 to 40", F623 &lt;= 50, "40 to 50", F623 &gt; 50, "&gt;50" )</f>
        <v>0 to 5</v>
      </c>
    </row>
    <row r="624" spans="1:15" ht="14.4" x14ac:dyDescent="0.3">
      <c r="A624" t="s">
        <v>177</v>
      </c>
      <c r="B624" s="1">
        <v>46176</v>
      </c>
      <c r="C624" t="s">
        <v>16</v>
      </c>
      <c r="D624">
        <v>578</v>
      </c>
      <c r="E624">
        <v>1</v>
      </c>
      <c r="F624">
        <v>10.3</v>
      </c>
      <c r="G624" t="s">
        <v>21</v>
      </c>
      <c r="I624" t="str">
        <f t="shared" si="9"/>
        <v>578_1</v>
      </c>
      <c r="J624" t="s">
        <v>178</v>
      </c>
      <c r="K624" t="s">
        <v>179</v>
      </c>
      <c r="L624" t="str">
        <f>_xlfn.XLOOKUP(C624, Table2[Species],Table2[Genus], "Code Not Found")</f>
        <v>Acer</v>
      </c>
      <c r="M624" t="str">
        <f>_xlfn.XLOOKUP(C624, Table2[Species],Table2[Sp. Name], "Code Not Found")</f>
        <v>saccharum</v>
      </c>
      <c r="N624" t="str">
        <f>_xlfn.XLOOKUP(C624,Table2[Species],Table2[Family],"Code Not Found")</f>
        <v>Sapindaceae</v>
      </c>
      <c r="O624" t="str" cm="1">
        <f t="array" ref="O624">_xlfn.IFS(F624="","",F624&lt;=5,"0 to 5",F624&lt;=10,"5.1 to 10",F624&lt;=20,"10 to 20", F624&lt;= 40, "20 to 40", F624 &lt;= 50, "40 to 50", F624 &gt; 50, "&gt;50" )</f>
        <v>10 to 20</v>
      </c>
    </row>
    <row r="625" spans="1:15" ht="14.4" x14ac:dyDescent="0.3">
      <c r="A625" t="s">
        <v>177</v>
      </c>
      <c r="B625" s="1">
        <v>46176</v>
      </c>
      <c r="C625" t="s">
        <v>16</v>
      </c>
      <c r="D625">
        <v>579</v>
      </c>
      <c r="E625">
        <v>1</v>
      </c>
      <c r="F625">
        <v>24</v>
      </c>
      <c r="G625" t="s">
        <v>21</v>
      </c>
      <c r="I625" t="str">
        <f t="shared" si="9"/>
        <v>579_1</v>
      </c>
      <c r="J625" t="s">
        <v>178</v>
      </c>
      <c r="K625" t="s">
        <v>179</v>
      </c>
      <c r="L625" t="str">
        <f>_xlfn.XLOOKUP(C625, Table2[Species],Table2[Genus], "Code Not Found")</f>
        <v>Acer</v>
      </c>
      <c r="M625" t="str">
        <f>_xlfn.XLOOKUP(C625, Table2[Species],Table2[Sp. Name], "Code Not Found")</f>
        <v>saccharum</v>
      </c>
      <c r="N625" t="str">
        <f>_xlfn.XLOOKUP(C625,Table2[Species],Table2[Family],"Code Not Found")</f>
        <v>Sapindaceae</v>
      </c>
      <c r="O625" t="str" cm="1">
        <f t="array" ref="O625">_xlfn.IFS(F625="","",F625&lt;=5,"0 to 5",F625&lt;=10,"5.1 to 10",F625&lt;=20,"10 to 20", F625&lt;= 40, "20 to 40", F625 &lt;= 50, "40 to 50", F625 &gt; 50, "&gt;50" )</f>
        <v>20 to 40</v>
      </c>
    </row>
    <row r="626" spans="1:15" ht="14.4" x14ac:dyDescent="0.3">
      <c r="A626" t="s">
        <v>177</v>
      </c>
      <c r="B626" s="1">
        <v>46176</v>
      </c>
      <c r="C626" t="s">
        <v>185</v>
      </c>
      <c r="D626">
        <v>580</v>
      </c>
      <c r="E626">
        <v>1</v>
      </c>
      <c r="F626">
        <v>1.5</v>
      </c>
      <c r="G626" t="s">
        <v>21</v>
      </c>
      <c r="I626" t="str">
        <f t="shared" si="9"/>
        <v>580_1</v>
      </c>
      <c r="J626" t="s">
        <v>178</v>
      </c>
      <c r="K626" t="s">
        <v>179</v>
      </c>
      <c r="L626" t="str">
        <f>_xlfn.XLOOKUP(C626, Table2[Species],Table2[Genus], "Code Not Found")</f>
        <v>Fraxinus</v>
      </c>
      <c r="M626" t="str">
        <f>_xlfn.XLOOKUP(C626, Table2[Species],Table2[Sp. Name], "Code Not Found")</f>
        <v>americana</v>
      </c>
      <c r="N626" t="str">
        <f>_xlfn.XLOOKUP(C626,Table2[Species],Table2[Family],"Code Not Found")</f>
        <v>Oleaceae</v>
      </c>
      <c r="O626" t="str" cm="1">
        <f t="array" ref="O626">_xlfn.IFS(F626="","",F626&lt;=5,"0 to 5",F626&lt;=10,"5.1 to 10",F626&lt;=20,"10 to 20", F626&lt;= 40, "20 to 40", F626 &lt;= 50, "40 to 50", F626 &gt; 50, "&gt;50" )</f>
        <v>0 to 5</v>
      </c>
    </row>
    <row r="627" spans="1:15" ht="14.4" x14ac:dyDescent="0.3">
      <c r="A627" t="s">
        <v>177</v>
      </c>
      <c r="B627" s="1">
        <v>46176</v>
      </c>
      <c r="C627" t="s">
        <v>16</v>
      </c>
      <c r="D627">
        <v>581</v>
      </c>
      <c r="E627">
        <v>1</v>
      </c>
      <c r="F627">
        <v>16.5</v>
      </c>
      <c r="G627" t="s">
        <v>21</v>
      </c>
      <c r="I627" t="str">
        <f t="shared" si="9"/>
        <v>581_1</v>
      </c>
      <c r="J627" t="s">
        <v>178</v>
      </c>
      <c r="K627" t="s">
        <v>179</v>
      </c>
      <c r="L627" t="str">
        <f>_xlfn.XLOOKUP(C627, Table2[Species],Table2[Genus], "Code Not Found")</f>
        <v>Acer</v>
      </c>
      <c r="M627" t="str">
        <f>_xlfn.XLOOKUP(C627, Table2[Species],Table2[Sp. Name], "Code Not Found")</f>
        <v>saccharum</v>
      </c>
      <c r="N627" t="str">
        <f>_xlfn.XLOOKUP(C627,Table2[Species],Table2[Family],"Code Not Found")</f>
        <v>Sapindaceae</v>
      </c>
      <c r="O627" t="str" cm="1">
        <f t="array" ref="O627">_xlfn.IFS(F627="","",F627&lt;=5,"0 to 5",F627&lt;=10,"5.1 to 10",F627&lt;=20,"10 to 20", F627&lt;= 40, "20 to 40", F627 &lt;= 50, "40 to 50", F627 &gt; 50, "&gt;50" )</f>
        <v>10 to 20</v>
      </c>
    </row>
    <row r="628" spans="1:15" ht="14.4" x14ac:dyDescent="0.3">
      <c r="A628" t="s">
        <v>177</v>
      </c>
      <c r="B628" s="1">
        <v>46176</v>
      </c>
      <c r="C628" t="s">
        <v>16</v>
      </c>
      <c r="D628">
        <v>582</v>
      </c>
      <c r="E628">
        <v>1</v>
      </c>
      <c r="F628">
        <v>4.7</v>
      </c>
      <c r="G628" t="s">
        <v>21</v>
      </c>
      <c r="I628" t="str">
        <f t="shared" si="9"/>
        <v>582_1</v>
      </c>
      <c r="J628" t="s">
        <v>178</v>
      </c>
      <c r="K628" t="s">
        <v>179</v>
      </c>
      <c r="L628" t="str">
        <f>_xlfn.XLOOKUP(C628, Table2[Species],Table2[Genus], "Code Not Found")</f>
        <v>Acer</v>
      </c>
      <c r="M628" t="str">
        <f>_xlfn.XLOOKUP(C628, Table2[Species],Table2[Sp. Name], "Code Not Found")</f>
        <v>saccharum</v>
      </c>
      <c r="N628" t="str">
        <f>_xlfn.XLOOKUP(C628,Table2[Species],Table2[Family],"Code Not Found")</f>
        <v>Sapindaceae</v>
      </c>
      <c r="O628" t="str" cm="1">
        <f t="array" ref="O628">_xlfn.IFS(F628="","",F628&lt;=5,"0 to 5",F628&lt;=10,"5.1 to 10",F628&lt;=20,"10 to 20", F628&lt;= 40, "20 to 40", F628 &lt;= 50, "40 to 50", F628 &gt; 50, "&gt;50" )</f>
        <v>0 to 5</v>
      </c>
    </row>
    <row r="629" spans="1:15" ht="14.4" x14ac:dyDescent="0.3">
      <c r="A629" t="s">
        <v>177</v>
      </c>
      <c r="B629" s="1">
        <v>46176</v>
      </c>
      <c r="C629" t="s">
        <v>16</v>
      </c>
      <c r="D629">
        <v>583</v>
      </c>
      <c r="E629">
        <v>1</v>
      </c>
      <c r="F629">
        <v>4.8</v>
      </c>
      <c r="G629" t="s">
        <v>47</v>
      </c>
      <c r="H629" t="s">
        <v>43</v>
      </c>
      <c r="I629" t="str">
        <f t="shared" si="9"/>
        <v>583_1</v>
      </c>
      <c r="J629" t="s">
        <v>178</v>
      </c>
      <c r="K629" t="s">
        <v>179</v>
      </c>
      <c r="L629" t="str">
        <f>_xlfn.XLOOKUP(C629, Table2[Species],Table2[Genus], "Code Not Found")</f>
        <v>Acer</v>
      </c>
      <c r="M629" t="str">
        <f>_xlfn.XLOOKUP(C629, Table2[Species],Table2[Sp. Name], "Code Not Found")</f>
        <v>saccharum</v>
      </c>
      <c r="N629" t="str">
        <f>_xlfn.XLOOKUP(C629,Table2[Species],Table2[Family],"Code Not Found")</f>
        <v>Sapindaceae</v>
      </c>
      <c r="O629" t="str" cm="1">
        <f t="array" ref="O629">_xlfn.IFS(F629="","",F629&lt;=5,"0 to 5",F629&lt;=10,"5.1 to 10",F629&lt;=20,"10 to 20", F629&lt;= 40, "20 to 40", F629 &lt;= 50, "40 to 50", F629 &gt; 50, "&gt;50" )</f>
        <v>0 to 5</v>
      </c>
    </row>
    <row r="630" spans="1:15" ht="14.4" x14ac:dyDescent="0.3">
      <c r="A630" t="s">
        <v>177</v>
      </c>
      <c r="B630" s="1">
        <v>46176</v>
      </c>
      <c r="C630" t="s">
        <v>16</v>
      </c>
      <c r="D630">
        <v>584</v>
      </c>
      <c r="E630">
        <v>1</v>
      </c>
      <c r="F630">
        <v>5.3</v>
      </c>
      <c r="G630" t="s">
        <v>17</v>
      </c>
      <c r="I630" t="str">
        <f t="shared" si="9"/>
        <v>584_1</v>
      </c>
      <c r="J630" t="s">
        <v>178</v>
      </c>
      <c r="K630" t="s">
        <v>179</v>
      </c>
      <c r="L630" t="str">
        <f>_xlfn.XLOOKUP(C630, Table2[Species],Table2[Genus], "Code Not Found")</f>
        <v>Acer</v>
      </c>
      <c r="M630" t="str">
        <f>_xlfn.XLOOKUP(C630, Table2[Species],Table2[Sp. Name], "Code Not Found")</f>
        <v>saccharum</v>
      </c>
      <c r="N630" t="str">
        <f>_xlfn.XLOOKUP(C630,Table2[Species],Table2[Family],"Code Not Found")</f>
        <v>Sapindaceae</v>
      </c>
      <c r="O630" t="str" cm="1">
        <f t="array" ref="O630">_xlfn.IFS(F630="","",F630&lt;=5,"0 to 5",F630&lt;=10,"5.1 to 10",F630&lt;=20,"10 to 20", F630&lt;= 40, "20 to 40", F630 &lt;= 50, "40 to 50", F630 &gt; 50, "&gt;50" )</f>
        <v>5.1 to 10</v>
      </c>
    </row>
    <row r="631" spans="1:15" ht="14.4" x14ac:dyDescent="0.3">
      <c r="A631" t="s">
        <v>177</v>
      </c>
      <c r="B631" s="1">
        <v>46176</v>
      </c>
      <c r="C631" t="s">
        <v>16</v>
      </c>
      <c r="D631">
        <v>585</v>
      </c>
      <c r="E631">
        <v>1</v>
      </c>
      <c r="F631">
        <v>4.5999999999999996</v>
      </c>
      <c r="G631" t="s">
        <v>17</v>
      </c>
      <c r="H631" t="s">
        <v>43</v>
      </c>
      <c r="I631" t="str">
        <f t="shared" si="9"/>
        <v>585_1</v>
      </c>
      <c r="J631" t="s">
        <v>178</v>
      </c>
      <c r="K631" t="s">
        <v>179</v>
      </c>
      <c r="L631" t="str">
        <f>_xlfn.XLOOKUP(C631, Table2[Species],Table2[Genus], "Code Not Found")</f>
        <v>Acer</v>
      </c>
      <c r="M631" t="str">
        <f>_xlfn.XLOOKUP(C631, Table2[Species],Table2[Sp. Name], "Code Not Found")</f>
        <v>saccharum</v>
      </c>
      <c r="N631" t="str">
        <f>_xlfn.XLOOKUP(C631,Table2[Species],Table2[Family],"Code Not Found")</f>
        <v>Sapindaceae</v>
      </c>
      <c r="O631" t="str" cm="1">
        <f t="array" ref="O631">_xlfn.IFS(F631="","",F631&lt;=5,"0 to 5",F631&lt;=10,"5.1 to 10",F631&lt;=20,"10 to 20", F631&lt;= 40, "20 to 40", F631 &lt;= 50, "40 to 50", F631 &gt; 50, "&gt;50" )</f>
        <v>0 to 5</v>
      </c>
    </row>
    <row r="632" spans="1:15" ht="14.4" x14ac:dyDescent="0.3">
      <c r="A632" t="s">
        <v>177</v>
      </c>
      <c r="B632" s="1">
        <v>46176</v>
      </c>
      <c r="C632" t="s">
        <v>16</v>
      </c>
      <c r="D632">
        <v>586</v>
      </c>
      <c r="E632">
        <v>1</v>
      </c>
      <c r="F632">
        <v>7.5</v>
      </c>
      <c r="G632" t="s">
        <v>47</v>
      </c>
      <c r="H632" t="s">
        <v>43</v>
      </c>
      <c r="I632" t="str">
        <f t="shared" si="9"/>
        <v>586_1</v>
      </c>
      <c r="J632" t="s">
        <v>178</v>
      </c>
      <c r="K632" t="s">
        <v>179</v>
      </c>
      <c r="L632" t="str">
        <f>_xlfn.XLOOKUP(C632, Table2[Species],Table2[Genus], "Code Not Found")</f>
        <v>Acer</v>
      </c>
      <c r="M632" t="str">
        <f>_xlfn.XLOOKUP(C632, Table2[Species],Table2[Sp. Name], "Code Not Found")</f>
        <v>saccharum</v>
      </c>
      <c r="N632" t="str">
        <f>_xlfn.XLOOKUP(C632,Table2[Species],Table2[Family],"Code Not Found")</f>
        <v>Sapindaceae</v>
      </c>
      <c r="O632" t="str" cm="1">
        <f t="array" ref="O632">_xlfn.IFS(F632="","",F632&lt;=5,"0 to 5",F632&lt;=10,"5.1 to 10",F632&lt;=20,"10 to 20", F632&lt;= 40, "20 to 40", F632 &lt;= 50, "40 to 50", F632 &gt; 50, "&gt;50" )</f>
        <v>5.1 to 10</v>
      </c>
    </row>
    <row r="633" spans="1:15" ht="14.4" x14ac:dyDescent="0.3">
      <c r="A633" t="s">
        <v>177</v>
      </c>
      <c r="B633" s="1">
        <v>46176</v>
      </c>
      <c r="C633" t="s">
        <v>16</v>
      </c>
      <c r="D633">
        <v>587</v>
      </c>
      <c r="E633">
        <v>1</v>
      </c>
      <c r="F633">
        <v>2.2000000000000002</v>
      </c>
      <c r="G633" t="s">
        <v>17</v>
      </c>
      <c r="I633" t="str">
        <f t="shared" si="9"/>
        <v>587_1</v>
      </c>
      <c r="J633" t="s">
        <v>178</v>
      </c>
      <c r="K633" t="s">
        <v>179</v>
      </c>
      <c r="L633" t="str">
        <f>_xlfn.XLOOKUP(C633, Table2[Species],Table2[Genus], "Code Not Found")</f>
        <v>Acer</v>
      </c>
      <c r="M633" t="str">
        <f>_xlfn.XLOOKUP(C633, Table2[Species],Table2[Sp. Name], "Code Not Found")</f>
        <v>saccharum</v>
      </c>
      <c r="N633" t="str">
        <f>_xlfn.XLOOKUP(C633,Table2[Species],Table2[Family],"Code Not Found")</f>
        <v>Sapindaceae</v>
      </c>
      <c r="O633" t="str" cm="1">
        <f t="array" ref="O633">_xlfn.IFS(F633="","",F633&lt;=5,"0 to 5",F633&lt;=10,"5.1 to 10",F633&lt;=20,"10 to 20", F633&lt;= 40, "20 to 40", F633 &lt;= 50, "40 to 50", F633 &gt; 50, "&gt;50" )</f>
        <v>0 to 5</v>
      </c>
    </row>
    <row r="634" spans="1:15" ht="14.4" x14ac:dyDescent="0.3">
      <c r="A634" t="s">
        <v>177</v>
      </c>
      <c r="B634" s="1">
        <v>46176</v>
      </c>
      <c r="C634" t="s">
        <v>16</v>
      </c>
      <c r="D634">
        <v>588</v>
      </c>
      <c r="E634">
        <v>1</v>
      </c>
      <c r="F634">
        <v>2.1</v>
      </c>
      <c r="G634" t="s">
        <v>47</v>
      </c>
      <c r="H634" t="s">
        <v>43</v>
      </c>
      <c r="I634" t="str">
        <f t="shared" si="9"/>
        <v>588_1</v>
      </c>
      <c r="J634" t="s">
        <v>178</v>
      </c>
      <c r="K634" t="s">
        <v>179</v>
      </c>
      <c r="L634" t="str">
        <f>_xlfn.XLOOKUP(C634, Table2[Species],Table2[Genus], "Code Not Found")</f>
        <v>Acer</v>
      </c>
      <c r="M634" t="str">
        <f>_xlfn.XLOOKUP(C634, Table2[Species],Table2[Sp. Name], "Code Not Found")</f>
        <v>saccharum</v>
      </c>
      <c r="N634" t="str">
        <f>_xlfn.XLOOKUP(C634,Table2[Species],Table2[Family],"Code Not Found")</f>
        <v>Sapindaceae</v>
      </c>
      <c r="O634" t="str" cm="1">
        <f t="array" ref="O634">_xlfn.IFS(F634="","",F634&lt;=5,"0 to 5",F634&lt;=10,"5.1 to 10",F634&lt;=20,"10 to 20", F634&lt;= 40, "20 to 40", F634 &lt;= 50, "40 to 50", F634 &gt; 50, "&gt;50" )</f>
        <v>0 to 5</v>
      </c>
    </row>
    <row r="635" spans="1:15" ht="14.4" x14ac:dyDescent="0.3">
      <c r="A635" t="s">
        <v>177</v>
      </c>
      <c r="B635" s="1">
        <v>46176</v>
      </c>
      <c r="C635" t="s">
        <v>64</v>
      </c>
      <c r="D635">
        <v>589</v>
      </c>
      <c r="E635">
        <v>1</v>
      </c>
      <c r="F635">
        <v>2.7</v>
      </c>
      <c r="G635" t="s">
        <v>17</v>
      </c>
      <c r="H635" t="s">
        <v>184</v>
      </c>
      <c r="I635" t="str">
        <f t="shared" si="9"/>
        <v>589_1</v>
      </c>
      <c r="J635" t="s">
        <v>178</v>
      </c>
      <c r="K635" t="s">
        <v>179</v>
      </c>
      <c r="L635" t="str">
        <f>_xlfn.XLOOKUP(C635, Table2[Species],Table2[Genus], "Code Not Found")</f>
        <v>Fagus</v>
      </c>
      <c r="M635" t="str">
        <f>_xlfn.XLOOKUP(C635, Table2[Species],Table2[Sp. Name], "Code Not Found")</f>
        <v>grandifolia</v>
      </c>
      <c r="N635" t="str">
        <f>_xlfn.XLOOKUP(C635,Table2[Species],Table2[Family],"Code Not Found")</f>
        <v>Fagaceae</v>
      </c>
      <c r="O635" t="str" cm="1">
        <f t="array" ref="O635">_xlfn.IFS(F635="","",F635&lt;=5,"0 to 5",F635&lt;=10,"5.1 to 10",F635&lt;=20,"10 to 20", F635&lt;= 40, "20 to 40", F635 &lt;= 50, "40 to 50", F635 &gt; 50, "&gt;50" )</f>
        <v>0 to 5</v>
      </c>
    </row>
    <row r="636" spans="1:15" ht="14.4" x14ac:dyDescent="0.3">
      <c r="A636" t="s">
        <v>177</v>
      </c>
      <c r="B636" s="1">
        <v>46176</v>
      </c>
      <c r="C636" t="s">
        <v>16</v>
      </c>
      <c r="D636">
        <v>590</v>
      </c>
      <c r="E636">
        <v>1</v>
      </c>
      <c r="F636">
        <v>3.7</v>
      </c>
      <c r="G636" t="s">
        <v>47</v>
      </c>
      <c r="H636" t="s">
        <v>43</v>
      </c>
      <c r="I636" t="str">
        <f t="shared" si="9"/>
        <v>590_1</v>
      </c>
      <c r="J636" t="s">
        <v>178</v>
      </c>
      <c r="K636" t="s">
        <v>179</v>
      </c>
      <c r="L636" t="str">
        <f>_xlfn.XLOOKUP(C636, Table2[Species],Table2[Genus], "Code Not Found")</f>
        <v>Acer</v>
      </c>
      <c r="M636" t="str">
        <f>_xlfn.XLOOKUP(C636, Table2[Species],Table2[Sp. Name], "Code Not Found")</f>
        <v>saccharum</v>
      </c>
      <c r="N636" t="str">
        <f>_xlfn.XLOOKUP(C636,Table2[Species],Table2[Family],"Code Not Found")</f>
        <v>Sapindaceae</v>
      </c>
      <c r="O636" t="str" cm="1">
        <f t="array" ref="O636">_xlfn.IFS(F636="","",F636&lt;=5,"0 to 5",F636&lt;=10,"5.1 to 10",F636&lt;=20,"10 to 20", F636&lt;= 40, "20 to 40", F636 &lt;= 50, "40 to 50", F636 &gt; 50, "&gt;50" )</f>
        <v>0 to 5</v>
      </c>
    </row>
    <row r="637" spans="1:15" ht="14.4" x14ac:dyDescent="0.3">
      <c r="A637" t="s">
        <v>177</v>
      </c>
      <c r="B637" s="1">
        <v>46176</v>
      </c>
      <c r="C637" t="s">
        <v>16</v>
      </c>
      <c r="D637">
        <v>591</v>
      </c>
      <c r="E637">
        <v>1</v>
      </c>
      <c r="F637">
        <v>8.5</v>
      </c>
      <c r="G637" t="s">
        <v>17</v>
      </c>
      <c r="I637" t="str">
        <f t="shared" si="9"/>
        <v>591_1</v>
      </c>
      <c r="J637" t="s">
        <v>178</v>
      </c>
      <c r="K637" t="s">
        <v>179</v>
      </c>
      <c r="L637" t="str">
        <f>_xlfn.XLOOKUP(C637, Table2[Species],Table2[Genus], "Code Not Found")</f>
        <v>Acer</v>
      </c>
      <c r="M637" t="str">
        <f>_xlfn.XLOOKUP(C637, Table2[Species],Table2[Sp. Name], "Code Not Found")</f>
        <v>saccharum</v>
      </c>
      <c r="N637" t="str">
        <f>_xlfn.XLOOKUP(C637,Table2[Species],Table2[Family],"Code Not Found")</f>
        <v>Sapindaceae</v>
      </c>
      <c r="O637" t="str" cm="1">
        <f t="array" ref="O637">_xlfn.IFS(F637="","",F637&lt;=5,"0 to 5",F637&lt;=10,"5.1 to 10",F637&lt;=20,"10 to 20", F637&lt;= 40, "20 to 40", F637 &lt;= 50, "40 to 50", F637 &gt; 50, "&gt;50" )</f>
        <v>5.1 to 10</v>
      </c>
    </row>
    <row r="638" spans="1:15" ht="14.4" x14ac:dyDescent="0.3">
      <c r="A638" t="s">
        <v>177</v>
      </c>
      <c r="B638" s="1">
        <v>46176</v>
      </c>
      <c r="C638" t="s">
        <v>16</v>
      </c>
      <c r="D638">
        <v>592</v>
      </c>
      <c r="E638">
        <v>1</v>
      </c>
      <c r="F638">
        <v>1.8</v>
      </c>
      <c r="G638" t="s">
        <v>17</v>
      </c>
      <c r="I638" t="str">
        <f t="shared" si="9"/>
        <v>592_1</v>
      </c>
      <c r="J638" t="s">
        <v>178</v>
      </c>
      <c r="K638" t="s">
        <v>179</v>
      </c>
      <c r="L638" t="str">
        <f>_xlfn.XLOOKUP(C638, Table2[Species],Table2[Genus], "Code Not Found")</f>
        <v>Acer</v>
      </c>
      <c r="M638" t="str">
        <f>_xlfn.XLOOKUP(C638, Table2[Species],Table2[Sp. Name], "Code Not Found")</f>
        <v>saccharum</v>
      </c>
      <c r="N638" t="str">
        <f>_xlfn.XLOOKUP(C638,Table2[Species],Table2[Family],"Code Not Found")</f>
        <v>Sapindaceae</v>
      </c>
      <c r="O638" t="str" cm="1">
        <f t="array" ref="O638">_xlfn.IFS(F638="","",F638&lt;=5,"0 to 5",F638&lt;=10,"5.1 to 10",F638&lt;=20,"10 to 20", F638&lt;= 40, "20 to 40", F638 &lt;= 50, "40 to 50", F638 &gt; 50, "&gt;50" )</f>
        <v>0 to 5</v>
      </c>
    </row>
    <row r="639" spans="1:15" ht="14.4" x14ac:dyDescent="0.3">
      <c r="A639" t="s">
        <v>177</v>
      </c>
      <c r="B639" s="1">
        <v>46176</v>
      </c>
      <c r="C639" t="s">
        <v>16</v>
      </c>
      <c r="D639">
        <v>593</v>
      </c>
      <c r="E639">
        <v>1</v>
      </c>
      <c r="F639">
        <v>2</v>
      </c>
      <c r="G639" t="s">
        <v>21</v>
      </c>
      <c r="I639" t="str">
        <f t="shared" si="9"/>
        <v>593_1</v>
      </c>
      <c r="J639" t="s">
        <v>178</v>
      </c>
      <c r="K639" t="s">
        <v>179</v>
      </c>
      <c r="L639" t="str">
        <f>_xlfn.XLOOKUP(C639, Table2[Species],Table2[Genus], "Code Not Found")</f>
        <v>Acer</v>
      </c>
      <c r="M639" t="str">
        <f>_xlfn.XLOOKUP(C639, Table2[Species],Table2[Sp. Name], "Code Not Found")</f>
        <v>saccharum</v>
      </c>
      <c r="N639" t="str">
        <f>_xlfn.XLOOKUP(C639,Table2[Species],Table2[Family],"Code Not Found")</f>
        <v>Sapindaceae</v>
      </c>
      <c r="O639" t="str" cm="1">
        <f t="array" ref="O639">_xlfn.IFS(F639="","",F639&lt;=5,"0 to 5",F639&lt;=10,"5.1 to 10",F639&lt;=20,"10 to 20", F639&lt;= 40, "20 to 40", F639 &lt;= 50, "40 to 50", F639 &gt; 50, "&gt;50" )</f>
        <v>0 to 5</v>
      </c>
    </row>
    <row r="640" spans="1:15" ht="14.4" x14ac:dyDescent="0.3">
      <c r="A640" t="s">
        <v>177</v>
      </c>
      <c r="B640" s="1">
        <v>46176</v>
      </c>
      <c r="C640" t="s">
        <v>16</v>
      </c>
      <c r="D640">
        <v>594</v>
      </c>
      <c r="E640">
        <v>1</v>
      </c>
      <c r="F640">
        <v>9.6999999999999993</v>
      </c>
      <c r="G640" t="s">
        <v>17</v>
      </c>
      <c r="I640" t="str">
        <f t="shared" si="9"/>
        <v>594_1</v>
      </c>
      <c r="J640" t="s">
        <v>178</v>
      </c>
      <c r="K640" t="s">
        <v>179</v>
      </c>
      <c r="L640" t="str">
        <f>_xlfn.XLOOKUP(C640, Table2[Species],Table2[Genus], "Code Not Found")</f>
        <v>Acer</v>
      </c>
      <c r="M640" t="str">
        <f>_xlfn.XLOOKUP(C640, Table2[Species],Table2[Sp. Name], "Code Not Found")</f>
        <v>saccharum</v>
      </c>
      <c r="N640" t="str">
        <f>_xlfn.XLOOKUP(C640,Table2[Species],Table2[Family],"Code Not Found")</f>
        <v>Sapindaceae</v>
      </c>
      <c r="O640" t="str" cm="1">
        <f t="array" ref="O640">_xlfn.IFS(F640="","",F640&lt;=5,"0 to 5",F640&lt;=10,"5.1 to 10",F640&lt;=20,"10 to 20", F640&lt;= 40, "20 to 40", F640 &lt;= 50, "40 to 50", F640 &gt; 50, "&gt;50" )</f>
        <v>5.1 to 10</v>
      </c>
    </row>
    <row r="641" spans="1:15" ht="14.4" x14ac:dyDescent="0.3">
      <c r="A641" t="s">
        <v>177</v>
      </c>
      <c r="B641" s="1">
        <v>46176</v>
      </c>
      <c r="C641" t="s">
        <v>64</v>
      </c>
      <c r="D641">
        <v>595</v>
      </c>
      <c r="E641">
        <v>1</v>
      </c>
      <c r="F641">
        <v>55.1</v>
      </c>
      <c r="G641" t="s">
        <v>21</v>
      </c>
      <c r="I641" t="str">
        <f t="shared" si="9"/>
        <v>595_1</v>
      </c>
      <c r="J641" t="s">
        <v>178</v>
      </c>
      <c r="K641" t="s">
        <v>179</v>
      </c>
      <c r="L641" t="str">
        <f>_xlfn.XLOOKUP(C641, Table2[Species],Table2[Genus], "Code Not Found")</f>
        <v>Fagus</v>
      </c>
      <c r="M641" t="str">
        <f>_xlfn.XLOOKUP(C641, Table2[Species],Table2[Sp. Name], "Code Not Found")</f>
        <v>grandifolia</v>
      </c>
      <c r="N641" t="str">
        <f>_xlfn.XLOOKUP(C641,Table2[Species],Table2[Family],"Code Not Found")</f>
        <v>Fagaceae</v>
      </c>
      <c r="O641" t="str" cm="1">
        <f t="array" ref="O641">_xlfn.IFS(F641="","",F641&lt;=5,"0 to 5",F641&lt;=10,"5.1 to 10",F641&lt;=20,"10 to 20", F641&lt;= 40, "20 to 40", F641 &lt;= 50, "40 to 50", F641 &gt; 50, "&gt;50" )</f>
        <v>&gt;50</v>
      </c>
    </row>
    <row r="642" spans="1:15" ht="14.4" x14ac:dyDescent="0.3">
      <c r="A642" t="s">
        <v>177</v>
      </c>
      <c r="B642" s="1">
        <v>46176</v>
      </c>
      <c r="C642" t="s">
        <v>64</v>
      </c>
      <c r="D642">
        <v>596</v>
      </c>
      <c r="E642">
        <v>1</v>
      </c>
      <c r="F642">
        <v>6</v>
      </c>
      <c r="G642" t="s">
        <v>88</v>
      </c>
      <c r="H642" t="s">
        <v>100</v>
      </c>
      <c r="I642" t="str">
        <f t="shared" si="9"/>
        <v>596_1</v>
      </c>
      <c r="J642" t="s">
        <v>178</v>
      </c>
      <c r="K642" t="s">
        <v>179</v>
      </c>
      <c r="L642" t="str">
        <f>_xlfn.XLOOKUP(C642, Table2[Species],Table2[Genus], "Code Not Found")</f>
        <v>Fagus</v>
      </c>
      <c r="M642" t="str">
        <f>_xlfn.XLOOKUP(C642, Table2[Species],Table2[Sp. Name], "Code Not Found")</f>
        <v>grandifolia</v>
      </c>
      <c r="N642" t="str">
        <f>_xlfn.XLOOKUP(C642,Table2[Species],Table2[Family],"Code Not Found")</f>
        <v>Fagaceae</v>
      </c>
      <c r="O642" t="str" cm="1">
        <f t="array" ref="O642">_xlfn.IFS(F642="","",F642&lt;=5,"0 to 5",F642&lt;=10,"5.1 to 10",F642&lt;=20,"10 to 20", F642&lt;= 40, "20 to 40", F642 &lt;= 50, "40 to 50", F642 &gt; 50, "&gt;50" )</f>
        <v>5.1 to 10</v>
      </c>
    </row>
    <row r="643" spans="1:15" ht="14.4" x14ac:dyDescent="0.3">
      <c r="A643" t="s">
        <v>177</v>
      </c>
      <c r="B643" s="1">
        <v>46176</v>
      </c>
      <c r="C643" t="s">
        <v>16</v>
      </c>
      <c r="D643">
        <v>597</v>
      </c>
      <c r="E643">
        <v>1</v>
      </c>
      <c r="F643">
        <v>23.2</v>
      </c>
      <c r="G643" t="s">
        <v>17</v>
      </c>
      <c r="I643" t="str">
        <f t="shared" si="9"/>
        <v>597_1</v>
      </c>
      <c r="J643" t="s">
        <v>178</v>
      </c>
      <c r="K643" t="s">
        <v>179</v>
      </c>
      <c r="L643" t="str">
        <f>_xlfn.XLOOKUP(C643, Table2[Species],Table2[Genus], "Code Not Found")</f>
        <v>Acer</v>
      </c>
      <c r="M643" t="str">
        <f>_xlfn.XLOOKUP(C643, Table2[Species],Table2[Sp. Name], "Code Not Found")</f>
        <v>saccharum</v>
      </c>
      <c r="N643" t="str">
        <f>_xlfn.XLOOKUP(C643,Table2[Species],Table2[Family],"Code Not Found")</f>
        <v>Sapindaceae</v>
      </c>
      <c r="O643" t="str" cm="1">
        <f t="array" ref="O643">_xlfn.IFS(F643="","",F643&lt;=5,"0 to 5",F643&lt;=10,"5.1 to 10",F643&lt;=20,"10 to 20", F643&lt;= 40, "20 to 40", F643 &lt;= 50, "40 to 50", F643 &gt; 50, "&gt;50" )</f>
        <v>20 to 40</v>
      </c>
    </row>
    <row r="644" spans="1:15" ht="14.4" x14ac:dyDescent="0.3">
      <c r="A644" t="s">
        <v>177</v>
      </c>
      <c r="B644" s="1">
        <v>46176</v>
      </c>
      <c r="C644" t="s">
        <v>64</v>
      </c>
      <c r="D644">
        <v>598</v>
      </c>
      <c r="E644">
        <v>1</v>
      </c>
      <c r="F644">
        <v>95.6</v>
      </c>
      <c r="G644" t="s">
        <v>186</v>
      </c>
      <c r="I644" t="str">
        <f t="shared" ref="I644:I707" si="10">D644&amp;"_"&amp;E644</f>
        <v>598_1</v>
      </c>
      <c r="J644" t="s">
        <v>178</v>
      </c>
      <c r="K644" t="s">
        <v>179</v>
      </c>
      <c r="L644" t="str">
        <f>_xlfn.XLOOKUP(C644, Table2[Species],Table2[Genus], "Code Not Found")</f>
        <v>Fagus</v>
      </c>
      <c r="M644" t="str">
        <f>_xlfn.XLOOKUP(C644, Table2[Species],Table2[Sp. Name], "Code Not Found")</f>
        <v>grandifolia</v>
      </c>
      <c r="N644" t="str">
        <f>_xlfn.XLOOKUP(C644,Table2[Species],Table2[Family],"Code Not Found")</f>
        <v>Fagaceae</v>
      </c>
      <c r="O644" t="str" cm="1">
        <f t="array" ref="O644">_xlfn.IFS(F644="","",F644&lt;=5,"0 to 5",F644&lt;=10,"5.1 to 10",F644&lt;=20,"10 to 20", F644&lt;= 40, "20 to 40", F644 &lt;= 50, "40 to 50", F644 &gt; 50, "&gt;50" )</f>
        <v>&gt;50</v>
      </c>
    </row>
    <row r="645" spans="1:15" ht="14.4" x14ac:dyDescent="0.3">
      <c r="A645" t="s">
        <v>177</v>
      </c>
      <c r="B645" s="1">
        <v>46176</v>
      </c>
      <c r="C645" t="s">
        <v>64</v>
      </c>
      <c r="D645">
        <v>598</v>
      </c>
      <c r="E645">
        <v>2</v>
      </c>
      <c r="F645">
        <v>3.3</v>
      </c>
      <c r="G645" t="s">
        <v>93</v>
      </c>
      <c r="H645" t="s">
        <v>43</v>
      </c>
      <c r="I645" t="str">
        <f t="shared" si="10"/>
        <v>598_2</v>
      </c>
      <c r="J645" t="s">
        <v>178</v>
      </c>
      <c r="K645" t="s">
        <v>179</v>
      </c>
      <c r="L645" t="str">
        <f>_xlfn.XLOOKUP(C645, Table2[Species],Table2[Genus], "Code Not Found")</f>
        <v>Fagus</v>
      </c>
      <c r="M645" t="str">
        <f>_xlfn.XLOOKUP(C645, Table2[Species],Table2[Sp. Name], "Code Not Found")</f>
        <v>grandifolia</v>
      </c>
      <c r="N645" t="str">
        <f>_xlfn.XLOOKUP(C645,Table2[Species],Table2[Family],"Code Not Found")</f>
        <v>Fagaceae</v>
      </c>
      <c r="O645" t="str" cm="1">
        <f t="array" ref="O645">_xlfn.IFS(F645="","",F645&lt;=5,"0 to 5",F645&lt;=10,"5.1 to 10",F645&lt;=20,"10 to 20", F645&lt;= 40, "20 to 40", F645 &lt;= 50, "40 to 50", F645 &gt; 50, "&gt;50" )</f>
        <v>0 to 5</v>
      </c>
    </row>
    <row r="646" spans="1:15" ht="14.4" x14ac:dyDescent="0.3">
      <c r="A646" t="s">
        <v>177</v>
      </c>
      <c r="B646" s="1">
        <v>46176</v>
      </c>
      <c r="C646" t="s">
        <v>64</v>
      </c>
      <c r="D646">
        <v>598</v>
      </c>
      <c r="E646">
        <v>3</v>
      </c>
      <c r="F646">
        <v>1.7</v>
      </c>
      <c r="G646" t="s">
        <v>32</v>
      </c>
      <c r="I646" t="str">
        <f t="shared" si="10"/>
        <v>598_3</v>
      </c>
      <c r="J646" t="s">
        <v>178</v>
      </c>
      <c r="K646" t="s">
        <v>179</v>
      </c>
      <c r="L646" t="str">
        <f>_xlfn.XLOOKUP(C646, Table2[Species],Table2[Genus], "Code Not Found")</f>
        <v>Fagus</v>
      </c>
      <c r="M646" t="str">
        <f>_xlfn.XLOOKUP(C646, Table2[Species],Table2[Sp. Name], "Code Not Found")</f>
        <v>grandifolia</v>
      </c>
      <c r="N646" t="str">
        <f>_xlfn.XLOOKUP(C646,Table2[Species],Table2[Family],"Code Not Found")</f>
        <v>Fagaceae</v>
      </c>
      <c r="O646" t="str" cm="1">
        <f t="array" ref="O646">_xlfn.IFS(F646="","",F646&lt;=5,"0 to 5",F646&lt;=10,"5.1 to 10",F646&lt;=20,"10 to 20", F646&lt;= 40, "20 to 40", F646 &lt;= 50, "40 to 50", F646 &gt; 50, "&gt;50" )</f>
        <v>0 to 5</v>
      </c>
    </row>
    <row r="647" spans="1:15" ht="14.4" x14ac:dyDescent="0.3">
      <c r="A647" t="s">
        <v>177</v>
      </c>
      <c r="B647" s="1">
        <v>46176</v>
      </c>
      <c r="C647" t="s">
        <v>64</v>
      </c>
      <c r="D647">
        <v>598</v>
      </c>
      <c r="E647">
        <v>4</v>
      </c>
      <c r="F647">
        <v>5.0999999999999996</v>
      </c>
      <c r="G647" t="s">
        <v>32</v>
      </c>
      <c r="I647" t="str">
        <f t="shared" si="10"/>
        <v>598_4</v>
      </c>
      <c r="J647" t="s">
        <v>178</v>
      </c>
      <c r="K647" t="s">
        <v>179</v>
      </c>
      <c r="L647" t="str">
        <f>_xlfn.XLOOKUP(C647, Table2[Species],Table2[Genus], "Code Not Found")</f>
        <v>Fagus</v>
      </c>
      <c r="M647" t="str">
        <f>_xlfn.XLOOKUP(C647, Table2[Species],Table2[Sp. Name], "Code Not Found")</f>
        <v>grandifolia</v>
      </c>
      <c r="N647" t="str">
        <f>_xlfn.XLOOKUP(C647,Table2[Species],Table2[Family],"Code Not Found")</f>
        <v>Fagaceae</v>
      </c>
      <c r="O647" t="str" cm="1">
        <f t="array" ref="O647">_xlfn.IFS(F647="","",F647&lt;=5,"0 to 5",F647&lt;=10,"5.1 to 10",F647&lt;=20,"10 to 20", F647&lt;= 40, "20 to 40", F647 &lt;= 50, "40 to 50", F647 &gt; 50, "&gt;50" )</f>
        <v>5.1 to 10</v>
      </c>
    </row>
    <row r="648" spans="1:15" ht="14.4" x14ac:dyDescent="0.3">
      <c r="A648" t="s">
        <v>177</v>
      </c>
      <c r="B648" s="1">
        <v>46176</v>
      </c>
      <c r="C648" t="s">
        <v>64</v>
      </c>
      <c r="D648">
        <v>598</v>
      </c>
      <c r="E648">
        <v>5</v>
      </c>
      <c r="F648">
        <v>4.7</v>
      </c>
      <c r="G648" t="s">
        <v>32</v>
      </c>
      <c r="I648" t="str">
        <f t="shared" si="10"/>
        <v>598_5</v>
      </c>
      <c r="J648" t="s">
        <v>178</v>
      </c>
      <c r="K648" t="s">
        <v>179</v>
      </c>
      <c r="L648" t="str">
        <f>_xlfn.XLOOKUP(C648, Table2[Species],Table2[Genus], "Code Not Found")</f>
        <v>Fagus</v>
      </c>
      <c r="M648" t="str">
        <f>_xlfn.XLOOKUP(C648, Table2[Species],Table2[Sp. Name], "Code Not Found")</f>
        <v>grandifolia</v>
      </c>
      <c r="N648" t="str">
        <f>_xlfn.XLOOKUP(C648,Table2[Species],Table2[Family],"Code Not Found")</f>
        <v>Fagaceae</v>
      </c>
      <c r="O648" t="str" cm="1">
        <f t="array" ref="O648">_xlfn.IFS(F648="","",F648&lt;=5,"0 to 5",F648&lt;=10,"5.1 to 10",F648&lt;=20,"10 to 20", F648&lt;= 40, "20 to 40", F648 &lt;= 50, "40 to 50", F648 &gt; 50, "&gt;50" )</f>
        <v>0 to 5</v>
      </c>
    </row>
    <row r="649" spans="1:15" ht="14.4" x14ac:dyDescent="0.3">
      <c r="A649" t="s">
        <v>177</v>
      </c>
      <c r="B649" s="1">
        <v>46176</v>
      </c>
      <c r="C649" t="s">
        <v>64</v>
      </c>
      <c r="D649">
        <v>598</v>
      </c>
      <c r="E649">
        <v>6</v>
      </c>
      <c r="F649">
        <v>2.1</v>
      </c>
      <c r="G649" t="s">
        <v>34</v>
      </c>
      <c r="I649" t="str">
        <f t="shared" si="10"/>
        <v>598_6</v>
      </c>
      <c r="J649" t="s">
        <v>178</v>
      </c>
      <c r="K649" t="s">
        <v>179</v>
      </c>
      <c r="L649" t="str">
        <f>_xlfn.XLOOKUP(C649, Table2[Species],Table2[Genus], "Code Not Found")</f>
        <v>Fagus</v>
      </c>
      <c r="M649" t="str">
        <f>_xlfn.XLOOKUP(C649, Table2[Species],Table2[Sp. Name], "Code Not Found")</f>
        <v>grandifolia</v>
      </c>
      <c r="N649" t="str">
        <f>_xlfn.XLOOKUP(C649,Table2[Species],Table2[Family],"Code Not Found")</f>
        <v>Fagaceae</v>
      </c>
      <c r="O649" t="str" cm="1">
        <f t="array" ref="O649">_xlfn.IFS(F649="","",F649&lt;=5,"0 to 5",F649&lt;=10,"5.1 to 10",F649&lt;=20,"10 to 20", F649&lt;= 40, "20 to 40", F649 &lt;= 50, "40 to 50", F649 &gt; 50, "&gt;50" )</f>
        <v>0 to 5</v>
      </c>
    </row>
    <row r="650" spans="1:15" ht="14.4" x14ac:dyDescent="0.3">
      <c r="A650" t="s">
        <v>177</v>
      </c>
      <c r="B650" s="1">
        <v>46176</v>
      </c>
      <c r="C650" t="s">
        <v>64</v>
      </c>
      <c r="D650">
        <v>598</v>
      </c>
      <c r="E650">
        <v>7</v>
      </c>
      <c r="F650">
        <v>1.8</v>
      </c>
      <c r="G650" t="s">
        <v>34</v>
      </c>
      <c r="I650" t="str">
        <f t="shared" si="10"/>
        <v>598_7</v>
      </c>
      <c r="J650" t="s">
        <v>178</v>
      </c>
      <c r="K650" t="s">
        <v>179</v>
      </c>
      <c r="L650" t="str">
        <f>_xlfn.XLOOKUP(C650, Table2[Species],Table2[Genus], "Code Not Found")</f>
        <v>Fagus</v>
      </c>
      <c r="M650" t="str">
        <f>_xlfn.XLOOKUP(C650, Table2[Species],Table2[Sp. Name], "Code Not Found")</f>
        <v>grandifolia</v>
      </c>
      <c r="N650" t="str">
        <f>_xlfn.XLOOKUP(C650,Table2[Species],Table2[Family],"Code Not Found")</f>
        <v>Fagaceae</v>
      </c>
      <c r="O650" t="str" cm="1">
        <f t="array" ref="O650">_xlfn.IFS(F650="","",F650&lt;=5,"0 to 5",F650&lt;=10,"5.1 to 10",F650&lt;=20,"10 to 20", F650&lt;= 40, "20 to 40", F650 &lt;= 50, "40 to 50", F650 &gt; 50, "&gt;50" )</f>
        <v>0 to 5</v>
      </c>
    </row>
    <row r="651" spans="1:15" ht="14.4" x14ac:dyDescent="0.3">
      <c r="A651" t="s">
        <v>177</v>
      </c>
      <c r="B651" s="1">
        <v>46176</v>
      </c>
      <c r="C651" t="s">
        <v>64</v>
      </c>
      <c r="D651">
        <v>601</v>
      </c>
      <c r="E651">
        <v>1</v>
      </c>
      <c r="F651">
        <v>1.9</v>
      </c>
      <c r="G651" t="s">
        <v>32</v>
      </c>
      <c r="I651" t="str">
        <f t="shared" si="10"/>
        <v>601_1</v>
      </c>
      <c r="J651" t="s">
        <v>178</v>
      </c>
      <c r="K651" t="s">
        <v>179</v>
      </c>
      <c r="L651" t="str">
        <f>_xlfn.XLOOKUP(C651, Table2[Species],Table2[Genus], "Code Not Found")</f>
        <v>Fagus</v>
      </c>
      <c r="M651" t="str">
        <f>_xlfn.XLOOKUP(C651, Table2[Species],Table2[Sp. Name], "Code Not Found")</f>
        <v>grandifolia</v>
      </c>
      <c r="N651" t="str">
        <f>_xlfn.XLOOKUP(C651,Table2[Species],Table2[Family],"Code Not Found")</f>
        <v>Fagaceae</v>
      </c>
      <c r="O651" t="str" cm="1">
        <f t="array" ref="O651">_xlfn.IFS(F651="","",F651&lt;=5,"0 to 5",F651&lt;=10,"5.1 to 10",F651&lt;=20,"10 to 20", F651&lt;= 40, "20 to 40", F651 &lt;= 50, "40 to 50", F651 &gt; 50, "&gt;50" )</f>
        <v>0 to 5</v>
      </c>
    </row>
    <row r="652" spans="1:15" ht="14.4" x14ac:dyDescent="0.3">
      <c r="A652" t="s">
        <v>177</v>
      </c>
      <c r="B652" s="1">
        <v>46176</v>
      </c>
      <c r="C652" t="s">
        <v>64</v>
      </c>
      <c r="D652">
        <v>602</v>
      </c>
      <c r="E652">
        <v>1</v>
      </c>
      <c r="F652">
        <v>2.2000000000000002</v>
      </c>
      <c r="G652" t="s">
        <v>34</v>
      </c>
      <c r="I652" t="str">
        <f t="shared" si="10"/>
        <v>602_1</v>
      </c>
      <c r="J652" t="s">
        <v>178</v>
      </c>
      <c r="K652" t="s">
        <v>179</v>
      </c>
      <c r="L652" t="str">
        <f>_xlfn.XLOOKUP(C652, Table2[Species],Table2[Genus], "Code Not Found")</f>
        <v>Fagus</v>
      </c>
      <c r="M652" t="str">
        <f>_xlfn.XLOOKUP(C652, Table2[Species],Table2[Sp. Name], "Code Not Found")</f>
        <v>grandifolia</v>
      </c>
      <c r="N652" t="str">
        <f>_xlfn.XLOOKUP(C652,Table2[Species],Table2[Family],"Code Not Found")</f>
        <v>Fagaceae</v>
      </c>
      <c r="O652" t="str" cm="1">
        <f t="array" ref="O652">_xlfn.IFS(F652="","",F652&lt;=5,"0 to 5",F652&lt;=10,"5.1 to 10",F652&lt;=20,"10 to 20", F652&lt;= 40, "20 to 40", F652 &lt;= 50, "40 to 50", F652 &gt; 50, "&gt;50" )</f>
        <v>0 to 5</v>
      </c>
    </row>
    <row r="653" spans="1:15" ht="14.4" x14ac:dyDescent="0.3">
      <c r="A653" t="s">
        <v>177</v>
      </c>
      <c r="B653" s="1">
        <v>46176</v>
      </c>
      <c r="C653" t="s">
        <v>64</v>
      </c>
      <c r="D653">
        <v>602</v>
      </c>
      <c r="E653">
        <v>2</v>
      </c>
      <c r="F653">
        <v>1.1000000000000001</v>
      </c>
      <c r="G653" t="s">
        <v>34</v>
      </c>
      <c r="H653" t="s">
        <v>43</v>
      </c>
      <c r="I653" t="str">
        <f t="shared" si="10"/>
        <v>602_2</v>
      </c>
      <c r="J653" t="s">
        <v>178</v>
      </c>
      <c r="K653" t="s">
        <v>179</v>
      </c>
      <c r="L653" t="str">
        <f>_xlfn.XLOOKUP(C653, Table2[Species],Table2[Genus], "Code Not Found")</f>
        <v>Fagus</v>
      </c>
      <c r="M653" t="str">
        <f>_xlfn.XLOOKUP(C653, Table2[Species],Table2[Sp. Name], "Code Not Found")</f>
        <v>grandifolia</v>
      </c>
      <c r="N653" t="str">
        <f>_xlfn.XLOOKUP(C653,Table2[Species],Table2[Family],"Code Not Found")</f>
        <v>Fagaceae</v>
      </c>
      <c r="O653" t="str" cm="1">
        <f t="array" ref="O653">_xlfn.IFS(F653="","",F653&lt;=5,"0 to 5",F653&lt;=10,"5.1 to 10",F653&lt;=20,"10 to 20", F653&lt;= 40, "20 to 40", F653 &lt;= 50, "40 to 50", F653 &gt; 50, "&gt;50" )</f>
        <v>0 to 5</v>
      </c>
    </row>
    <row r="654" spans="1:15" ht="14.4" x14ac:dyDescent="0.3">
      <c r="A654" t="s">
        <v>177</v>
      </c>
      <c r="B654" s="1">
        <v>46176</v>
      </c>
      <c r="C654" t="s">
        <v>64</v>
      </c>
      <c r="D654">
        <v>602</v>
      </c>
      <c r="E654">
        <v>3</v>
      </c>
      <c r="F654">
        <v>1.2</v>
      </c>
      <c r="G654" t="s">
        <v>34</v>
      </c>
      <c r="H654" t="s">
        <v>43</v>
      </c>
      <c r="I654" t="str">
        <f t="shared" si="10"/>
        <v>602_3</v>
      </c>
      <c r="J654" t="s">
        <v>178</v>
      </c>
      <c r="K654" t="s">
        <v>179</v>
      </c>
      <c r="L654" t="str">
        <f>_xlfn.XLOOKUP(C654, Table2[Species],Table2[Genus], "Code Not Found")</f>
        <v>Fagus</v>
      </c>
      <c r="M654" t="str">
        <f>_xlfn.XLOOKUP(C654, Table2[Species],Table2[Sp. Name], "Code Not Found")</f>
        <v>grandifolia</v>
      </c>
      <c r="N654" t="str">
        <f>_xlfn.XLOOKUP(C654,Table2[Species],Table2[Family],"Code Not Found")</f>
        <v>Fagaceae</v>
      </c>
      <c r="O654" t="str" cm="1">
        <f t="array" ref="O654">_xlfn.IFS(F654="","",F654&lt;=5,"0 to 5",F654&lt;=10,"5.1 to 10",F654&lt;=20,"10 to 20", F654&lt;= 40, "20 to 40", F654 &lt;= 50, "40 to 50", F654 &gt; 50, "&gt;50" )</f>
        <v>0 to 5</v>
      </c>
    </row>
    <row r="655" spans="1:15" ht="14.4" x14ac:dyDescent="0.3">
      <c r="A655" t="s">
        <v>177</v>
      </c>
      <c r="B655" s="1">
        <v>46176</v>
      </c>
      <c r="C655" t="s">
        <v>64</v>
      </c>
      <c r="D655">
        <v>603</v>
      </c>
      <c r="E655">
        <v>1</v>
      </c>
      <c r="F655">
        <v>8.1</v>
      </c>
      <c r="G655" t="s">
        <v>34</v>
      </c>
      <c r="I655" t="str">
        <f t="shared" si="10"/>
        <v>603_1</v>
      </c>
      <c r="J655" t="s">
        <v>178</v>
      </c>
      <c r="K655" t="s">
        <v>179</v>
      </c>
      <c r="L655" t="str">
        <f>_xlfn.XLOOKUP(C655, Table2[Species],Table2[Genus], "Code Not Found")</f>
        <v>Fagus</v>
      </c>
      <c r="M655" t="str">
        <f>_xlfn.XLOOKUP(C655, Table2[Species],Table2[Sp. Name], "Code Not Found")</f>
        <v>grandifolia</v>
      </c>
      <c r="N655" t="str">
        <f>_xlfn.XLOOKUP(C655,Table2[Species],Table2[Family],"Code Not Found")</f>
        <v>Fagaceae</v>
      </c>
      <c r="O655" t="str" cm="1">
        <f t="array" ref="O655">_xlfn.IFS(F655="","",F655&lt;=5,"0 to 5",F655&lt;=10,"5.1 to 10",F655&lt;=20,"10 to 20", F655&lt;= 40, "20 to 40", F655 &lt;= 50, "40 to 50", F655 &gt; 50, "&gt;50" )</f>
        <v>5.1 to 10</v>
      </c>
    </row>
    <row r="656" spans="1:15" ht="14.4" x14ac:dyDescent="0.3">
      <c r="A656" t="s">
        <v>177</v>
      </c>
      <c r="B656" s="1">
        <v>46176</v>
      </c>
      <c r="C656" t="s">
        <v>64</v>
      </c>
      <c r="D656">
        <v>604</v>
      </c>
      <c r="E656">
        <v>1</v>
      </c>
      <c r="F656">
        <v>6.3</v>
      </c>
      <c r="G656" t="s">
        <v>34</v>
      </c>
      <c r="I656" t="str">
        <f t="shared" si="10"/>
        <v>604_1</v>
      </c>
      <c r="J656" t="s">
        <v>178</v>
      </c>
      <c r="K656" t="s">
        <v>179</v>
      </c>
      <c r="L656" t="str">
        <f>_xlfn.XLOOKUP(C656, Table2[Species],Table2[Genus], "Code Not Found")</f>
        <v>Fagus</v>
      </c>
      <c r="M656" t="str">
        <f>_xlfn.XLOOKUP(C656, Table2[Species],Table2[Sp. Name], "Code Not Found")</f>
        <v>grandifolia</v>
      </c>
      <c r="N656" t="str">
        <f>_xlfn.XLOOKUP(C656,Table2[Species],Table2[Family],"Code Not Found")</f>
        <v>Fagaceae</v>
      </c>
      <c r="O656" t="str" cm="1">
        <f t="array" ref="O656">_xlfn.IFS(F656="","",F656&lt;=5,"0 to 5",F656&lt;=10,"5.1 to 10",F656&lt;=20,"10 to 20", F656&lt;= 40, "20 to 40", F656 &lt;= 50, "40 to 50", F656 &gt; 50, "&gt;50" )</f>
        <v>5.1 to 10</v>
      </c>
    </row>
    <row r="657" spans="1:15" ht="14.4" x14ac:dyDescent="0.3">
      <c r="A657" t="s">
        <v>177</v>
      </c>
      <c r="B657" s="1">
        <v>46176</v>
      </c>
      <c r="C657" t="s">
        <v>16</v>
      </c>
      <c r="D657">
        <v>599</v>
      </c>
      <c r="E657">
        <v>1</v>
      </c>
      <c r="F657">
        <v>3.7</v>
      </c>
      <c r="G657" t="s">
        <v>21</v>
      </c>
      <c r="I657" t="str">
        <f t="shared" si="10"/>
        <v>599_1</v>
      </c>
      <c r="J657" t="s">
        <v>178</v>
      </c>
      <c r="K657" t="s">
        <v>179</v>
      </c>
      <c r="L657" t="str">
        <f>_xlfn.XLOOKUP(C657, Table2[Species],Table2[Genus], "Code Not Found")</f>
        <v>Acer</v>
      </c>
      <c r="M657" t="str">
        <f>_xlfn.XLOOKUP(C657, Table2[Species],Table2[Sp. Name], "Code Not Found")</f>
        <v>saccharum</v>
      </c>
      <c r="N657" t="str">
        <f>_xlfn.XLOOKUP(C657,Table2[Species],Table2[Family],"Code Not Found")</f>
        <v>Sapindaceae</v>
      </c>
      <c r="O657" t="str" cm="1">
        <f t="array" ref="O657">_xlfn.IFS(F657="","",F657&lt;=5,"0 to 5",F657&lt;=10,"5.1 to 10",F657&lt;=20,"10 to 20", F657&lt;= 40, "20 to 40", F657 &lt;= 50, "40 to 50", F657 &gt; 50, "&gt;50" )</f>
        <v>0 to 5</v>
      </c>
    </row>
    <row r="658" spans="1:15" ht="14.4" x14ac:dyDescent="0.3">
      <c r="A658" t="s">
        <v>177</v>
      </c>
      <c r="B658" s="1">
        <v>46176</v>
      </c>
      <c r="C658" t="s">
        <v>16</v>
      </c>
      <c r="D658">
        <v>600</v>
      </c>
      <c r="E658">
        <v>1</v>
      </c>
      <c r="F658">
        <v>4</v>
      </c>
      <c r="G658" t="s">
        <v>38</v>
      </c>
      <c r="I658" t="str">
        <f t="shared" si="10"/>
        <v>600_1</v>
      </c>
      <c r="J658" t="s">
        <v>178</v>
      </c>
      <c r="K658" t="s">
        <v>179</v>
      </c>
      <c r="L658" t="str">
        <f>_xlfn.XLOOKUP(C658, Table2[Species],Table2[Genus], "Code Not Found")</f>
        <v>Acer</v>
      </c>
      <c r="M658" t="str">
        <f>_xlfn.XLOOKUP(C658, Table2[Species],Table2[Sp. Name], "Code Not Found")</f>
        <v>saccharum</v>
      </c>
      <c r="N658" t="str">
        <f>_xlfn.XLOOKUP(C658,Table2[Species],Table2[Family],"Code Not Found")</f>
        <v>Sapindaceae</v>
      </c>
      <c r="O658" t="str" cm="1">
        <f t="array" ref="O658">_xlfn.IFS(F658="","",F658&lt;=5,"0 to 5",F658&lt;=10,"5.1 to 10",F658&lt;=20,"10 to 20", F658&lt;= 40, "20 to 40", F658 &lt;= 50, "40 to 50", F658 &gt; 50, "&gt;50" )</f>
        <v>0 to 5</v>
      </c>
    </row>
    <row r="659" spans="1:15" ht="14.4" x14ac:dyDescent="0.3">
      <c r="A659" t="s">
        <v>177</v>
      </c>
      <c r="B659" s="1">
        <v>46177</v>
      </c>
      <c r="C659" t="s">
        <v>187</v>
      </c>
      <c r="D659">
        <v>605</v>
      </c>
      <c r="E659">
        <v>1</v>
      </c>
      <c r="F659">
        <v>55.1</v>
      </c>
      <c r="G659" t="s">
        <v>21</v>
      </c>
      <c r="I659" t="str">
        <f t="shared" si="10"/>
        <v>605_1</v>
      </c>
      <c r="J659" t="s">
        <v>178</v>
      </c>
      <c r="K659" t="s">
        <v>179</v>
      </c>
      <c r="L659" t="str">
        <f>_xlfn.XLOOKUP(C659, Table2[Species],Table2[Genus], "Code Not Found")</f>
        <v>Carya</v>
      </c>
      <c r="M659" t="str">
        <f>_xlfn.XLOOKUP(C659, Table2[Species],Table2[Sp. Name], "Code Not Found")</f>
        <v>cordiformis</v>
      </c>
      <c r="N659" t="str">
        <f>_xlfn.XLOOKUP(C659,Table2[Species],Table2[Family],"Code Not Found")</f>
        <v>Juglandaceae</v>
      </c>
      <c r="O659" t="str" cm="1">
        <f t="array" ref="O659">_xlfn.IFS(F659="","",F659&lt;=5,"0 to 5",F659&lt;=10,"5.1 to 10",F659&lt;=20,"10 to 20", F659&lt;= 40, "20 to 40", F659 &lt;= 50, "40 to 50", F659 &gt; 50, "&gt;50" )</f>
        <v>&gt;50</v>
      </c>
    </row>
    <row r="660" spans="1:15" ht="14.4" x14ac:dyDescent="0.3">
      <c r="A660" t="s">
        <v>177</v>
      </c>
      <c r="B660" s="1">
        <v>46177</v>
      </c>
      <c r="C660" t="s">
        <v>16</v>
      </c>
      <c r="D660">
        <v>606</v>
      </c>
      <c r="E660">
        <v>1</v>
      </c>
      <c r="F660">
        <v>4.3</v>
      </c>
      <c r="G660" t="s">
        <v>21</v>
      </c>
      <c r="I660" t="str">
        <f t="shared" si="10"/>
        <v>606_1</v>
      </c>
      <c r="J660" t="s">
        <v>178</v>
      </c>
      <c r="K660" t="s">
        <v>179</v>
      </c>
      <c r="L660" t="str">
        <f>_xlfn.XLOOKUP(C660, Table2[Species],Table2[Genus], "Code Not Found")</f>
        <v>Acer</v>
      </c>
      <c r="M660" t="str">
        <f>_xlfn.XLOOKUP(C660, Table2[Species],Table2[Sp. Name], "Code Not Found")</f>
        <v>saccharum</v>
      </c>
      <c r="N660" t="str">
        <f>_xlfn.XLOOKUP(C660,Table2[Species],Table2[Family],"Code Not Found")</f>
        <v>Sapindaceae</v>
      </c>
      <c r="O660" t="str" cm="1">
        <f t="array" ref="O660">_xlfn.IFS(F660="","",F660&lt;=5,"0 to 5",F660&lt;=10,"5.1 to 10",F660&lt;=20,"10 to 20", F660&lt;= 40, "20 to 40", F660 &lt;= 50, "40 to 50", F660 &gt; 50, "&gt;50" )</f>
        <v>0 to 5</v>
      </c>
    </row>
    <row r="661" spans="1:15" ht="14.4" x14ac:dyDescent="0.3">
      <c r="A661" t="s">
        <v>177</v>
      </c>
      <c r="B661" s="1">
        <v>46177</v>
      </c>
      <c r="C661" t="s">
        <v>16</v>
      </c>
      <c r="D661">
        <v>607</v>
      </c>
      <c r="E661">
        <v>1</v>
      </c>
      <c r="F661">
        <v>5.9</v>
      </c>
      <c r="G661" t="s">
        <v>30</v>
      </c>
      <c r="H661" t="s">
        <v>121</v>
      </c>
      <c r="I661" t="str">
        <f t="shared" si="10"/>
        <v>607_1</v>
      </c>
      <c r="J661" t="s">
        <v>178</v>
      </c>
      <c r="K661" t="s">
        <v>179</v>
      </c>
      <c r="L661" t="str">
        <f>_xlfn.XLOOKUP(C661, Table2[Species],Table2[Genus], "Code Not Found")</f>
        <v>Acer</v>
      </c>
      <c r="M661" t="str">
        <f>_xlfn.XLOOKUP(C661, Table2[Species],Table2[Sp. Name], "Code Not Found")</f>
        <v>saccharum</v>
      </c>
      <c r="N661" t="str">
        <f>_xlfn.XLOOKUP(C661,Table2[Species],Table2[Family],"Code Not Found")</f>
        <v>Sapindaceae</v>
      </c>
      <c r="O661" t="str" cm="1">
        <f t="array" ref="O661">_xlfn.IFS(F661="","",F661&lt;=5,"0 to 5",F661&lt;=10,"5.1 to 10",F661&lt;=20,"10 to 20", F661&lt;= 40, "20 to 40", F661 &lt;= 50, "40 to 50", F661 &gt; 50, "&gt;50" )</f>
        <v>5.1 to 10</v>
      </c>
    </row>
    <row r="662" spans="1:15" ht="14.4" x14ac:dyDescent="0.3">
      <c r="A662" t="s">
        <v>177</v>
      </c>
      <c r="B662" s="1">
        <v>46177</v>
      </c>
      <c r="C662" t="s">
        <v>16</v>
      </c>
      <c r="D662">
        <v>608</v>
      </c>
      <c r="E662">
        <v>1</v>
      </c>
      <c r="F662">
        <v>5.0999999999999996</v>
      </c>
      <c r="G662" t="s">
        <v>21</v>
      </c>
      <c r="I662" t="str">
        <f t="shared" si="10"/>
        <v>608_1</v>
      </c>
      <c r="J662" t="s">
        <v>178</v>
      </c>
      <c r="K662" t="s">
        <v>179</v>
      </c>
      <c r="L662" t="str">
        <f>_xlfn.XLOOKUP(C662, Table2[Species],Table2[Genus], "Code Not Found")</f>
        <v>Acer</v>
      </c>
      <c r="M662" t="str">
        <f>_xlfn.XLOOKUP(C662, Table2[Species],Table2[Sp. Name], "Code Not Found")</f>
        <v>saccharum</v>
      </c>
      <c r="N662" t="str">
        <f>_xlfn.XLOOKUP(C662,Table2[Species],Table2[Family],"Code Not Found")</f>
        <v>Sapindaceae</v>
      </c>
      <c r="O662" t="str" cm="1">
        <f t="array" ref="O662">_xlfn.IFS(F662="","",F662&lt;=5,"0 to 5",F662&lt;=10,"5.1 to 10",F662&lt;=20,"10 to 20", F662&lt;= 40, "20 to 40", F662 &lt;= 50, "40 to 50", F662 &gt; 50, "&gt;50" )</f>
        <v>5.1 to 10</v>
      </c>
    </row>
    <row r="663" spans="1:15" ht="14.4" x14ac:dyDescent="0.3">
      <c r="A663" t="s">
        <v>177</v>
      </c>
      <c r="B663" s="1">
        <v>46177</v>
      </c>
      <c r="C663" t="s">
        <v>16</v>
      </c>
      <c r="D663">
        <v>609</v>
      </c>
      <c r="E663">
        <v>1</v>
      </c>
      <c r="F663">
        <v>4</v>
      </c>
      <c r="G663" t="s">
        <v>30</v>
      </c>
      <c r="H663" t="s">
        <v>99</v>
      </c>
      <c r="I663" t="str">
        <f t="shared" si="10"/>
        <v>609_1</v>
      </c>
      <c r="J663" t="s">
        <v>178</v>
      </c>
      <c r="K663" t="s">
        <v>179</v>
      </c>
      <c r="L663" t="str">
        <f>_xlfn.XLOOKUP(C663, Table2[Species],Table2[Genus], "Code Not Found")</f>
        <v>Acer</v>
      </c>
      <c r="M663" t="str">
        <f>_xlfn.XLOOKUP(C663, Table2[Species],Table2[Sp. Name], "Code Not Found")</f>
        <v>saccharum</v>
      </c>
      <c r="N663" t="str">
        <f>_xlfn.XLOOKUP(C663,Table2[Species],Table2[Family],"Code Not Found")</f>
        <v>Sapindaceae</v>
      </c>
      <c r="O663" t="str" cm="1">
        <f t="array" ref="O663">_xlfn.IFS(F663="","",F663&lt;=5,"0 to 5",F663&lt;=10,"5.1 to 10",F663&lt;=20,"10 to 20", F663&lt;= 40, "20 to 40", F663 &lt;= 50, "40 to 50", F663 &gt; 50, "&gt;50" )</f>
        <v>0 to 5</v>
      </c>
    </row>
    <row r="664" spans="1:15" ht="14.4" x14ac:dyDescent="0.3">
      <c r="A664" t="s">
        <v>177</v>
      </c>
      <c r="B664" s="1">
        <v>46177</v>
      </c>
      <c r="C664" t="s">
        <v>16</v>
      </c>
      <c r="D664">
        <v>610</v>
      </c>
      <c r="E664">
        <v>1</v>
      </c>
      <c r="F664">
        <v>5.7</v>
      </c>
      <c r="G664" t="s">
        <v>47</v>
      </c>
      <c r="I664" t="str">
        <f t="shared" si="10"/>
        <v>610_1</v>
      </c>
      <c r="J664" t="s">
        <v>178</v>
      </c>
      <c r="K664" t="s">
        <v>179</v>
      </c>
      <c r="L664" t="str">
        <f>_xlfn.XLOOKUP(C664, Table2[Species],Table2[Genus], "Code Not Found")</f>
        <v>Acer</v>
      </c>
      <c r="M664" t="str">
        <f>_xlfn.XLOOKUP(C664, Table2[Species],Table2[Sp. Name], "Code Not Found")</f>
        <v>saccharum</v>
      </c>
      <c r="N664" t="str">
        <f>_xlfn.XLOOKUP(C664,Table2[Species],Table2[Family],"Code Not Found")</f>
        <v>Sapindaceae</v>
      </c>
      <c r="O664" t="str" cm="1">
        <f t="array" ref="O664">_xlfn.IFS(F664="","",F664&lt;=5,"0 to 5",F664&lt;=10,"5.1 to 10",F664&lt;=20,"10 to 20", F664&lt;= 40, "20 to 40", F664 &lt;= 50, "40 to 50", F664 &gt; 50, "&gt;50" )</f>
        <v>5.1 to 10</v>
      </c>
    </row>
    <row r="665" spans="1:15" ht="14.4" x14ac:dyDescent="0.3">
      <c r="A665" t="s">
        <v>177</v>
      </c>
      <c r="B665" s="1">
        <v>46177</v>
      </c>
      <c r="C665" t="s">
        <v>16</v>
      </c>
      <c r="D665">
        <v>611</v>
      </c>
      <c r="E665">
        <v>1</v>
      </c>
      <c r="F665">
        <v>7.3</v>
      </c>
      <c r="G665" t="s">
        <v>17</v>
      </c>
      <c r="H665" t="s">
        <v>36</v>
      </c>
      <c r="I665" t="str">
        <f t="shared" si="10"/>
        <v>611_1</v>
      </c>
      <c r="J665" t="s">
        <v>178</v>
      </c>
      <c r="K665" t="s">
        <v>179</v>
      </c>
      <c r="L665" t="str">
        <f>_xlfn.XLOOKUP(C665, Table2[Species],Table2[Genus], "Code Not Found")</f>
        <v>Acer</v>
      </c>
      <c r="M665" t="str">
        <f>_xlfn.XLOOKUP(C665, Table2[Species],Table2[Sp. Name], "Code Not Found")</f>
        <v>saccharum</v>
      </c>
      <c r="N665" t="str">
        <f>_xlfn.XLOOKUP(C665,Table2[Species],Table2[Family],"Code Not Found")</f>
        <v>Sapindaceae</v>
      </c>
      <c r="O665" t="str" cm="1">
        <f t="array" ref="O665">_xlfn.IFS(F665="","",F665&lt;=5,"0 to 5",F665&lt;=10,"5.1 to 10",F665&lt;=20,"10 to 20", F665&lt;= 40, "20 to 40", F665 &lt;= 50, "40 to 50", F665 &gt; 50, "&gt;50" )</f>
        <v>5.1 to 10</v>
      </c>
    </row>
    <row r="666" spans="1:15" ht="14.4" x14ac:dyDescent="0.3">
      <c r="A666" t="s">
        <v>177</v>
      </c>
      <c r="B666" s="1">
        <v>46177</v>
      </c>
      <c r="C666" t="s">
        <v>16</v>
      </c>
      <c r="D666">
        <v>612</v>
      </c>
      <c r="E666">
        <v>1</v>
      </c>
      <c r="F666">
        <v>7.6</v>
      </c>
      <c r="G666" t="s">
        <v>21</v>
      </c>
      <c r="I666" t="str">
        <f t="shared" si="10"/>
        <v>612_1</v>
      </c>
      <c r="J666" t="s">
        <v>178</v>
      </c>
      <c r="K666" t="s">
        <v>179</v>
      </c>
      <c r="L666" t="str">
        <f>_xlfn.XLOOKUP(C666, Table2[Species],Table2[Genus], "Code Not Found")</f>
        <v>Acer</v>
      </c>
      <c r="M666" t="str">
        <f>_xlfn.XLOOKUP(C666, Table2[Species],Table2[Sp. Name], "Code Not Found")</f>
        <v>saccharum</v>
      </c>
      <c r="N666" t="str">
        <f>_xlfn.XLOOKUP(C666,Table2[Species],Table2[Family],"Code Not Found")</f>
        <v>Sapindaceae</v>
      </c>
      <c r="O666" t="str" cm="1">
        <f t="array" ref="O666">_xlfn.IFS(F666="","",F666&lt;=5,"0 to 5",F666&lt;=10,"5.1 to 10",F666&lt;=20,"10 to 20", F666&lt;= 40, "20 to 40", F666 &lt;= 50, "40 to 50", F666 &gt; 50, "&gt;50" )</f>
        <v>5.1 to 10</v>
      </c>
    </row>
    <row r="667" spans="1:15" ht="14.4" x14ac:dyDescent="0.3">
      <c r="A667" t="s">
        <v>177</v>
      </c>
      <c r="B667" s="1">
        <v>46177</v>
      </c>
      <c r="C667" t="s">
        <v>16</v>
      </c>
      <c r="D667">
        <v>613</v>
      </c>
      <c r="E667">
        <v>1</v>
      </c>
      <c r="F667">
        <v>32</v>
      </c>
      <c r="G667" t="s">
        <v>17</v>
      </c>
      <c r="I667" t="str">
        <f t="shared" si="10"/>
        <v>613_1</v>
      </c>
      <c r="J667" t="s">
        <v>178</v>
      </c>
      <c r="K667" t="s">
        <v>179</v>
      </c>
      <c r="L667" t="str">
        <f>_xlfn.XLOOKUP(C667, Table2[Species],Table2[Genus], "Code Not Found")</f>
        <v>Acer</v>
      </c>
      <c r="M667" t="str">
        <f>_xlfn.XLOOKUP(C667, Table2[Species],Table2[Sp. Name], "Code Not Found")</f>
        <v>saccharum</v>
      </c>
      <c r="N667" t="str">
        <f>_xlfn.XLOOKUP(C667,Table2[Species],Table2[Family],"Code Not Found")</f>
        <v>Sapindaceae</v>
      </c>
      <c r="O667" t="str" cm="1">
        <f t="array" ref="O667">_xlfn.IFS(F667="","",F667&lt;=5,"0 to 5",F667&lt;=10,"5.1 to 10",F667&lt;=20,"10 to 20", F667&lt;= 40, "20 to 40", F667 &lt;= 50, "40 to 50", F667 &gt; 50, "&gt;50" )</f>
        <v>20 to 40</v>
      </c>
    </row>
    <row r="668" spans="1:15" ht="14.4" x14ac:dyDescent="0.3">
      <c r="A668" t="s">
        <v>177</v>
      </c>
      <c r="B668" s="1">
        <v>46177</v>
      </c>
      <c r="C668" t="s">
        <v>16</v>
      </c>
      <c r="D668">
        <v>614</v>
      </c>
      <c r="E668">
        <v>1</v>
      </c>
      <c r="F668">
        <v>8.1999999999999993</v>
      </c>
      <c r="G668" t="s">
        <v>17</v>
      </c>
      <c r="I668" t="str">
        <f t="shared" si="10"/>
        <v>614_1</v>
      </c>
      <c r="J668" t="s">
        <v>178</v>
      </c>
      <c r="K668" t="s">
        <v>179</v>
      </c>
      <c r="L668" t="str">
        <f>_xlfn.XLOOKUP(C668, Table2[Species],Table2[Genus], "Code Not Found")</f>
        <v>Acer</v>
      </c>
      <c r="M668" t="str">
        <f>_xlfn.XLOOKUP(C668, Table2[Species],Table2[Sp. Name], "Code Not Found")</f>
        <v>saccharum</v>
      </c>
      <c r="N668" t="str">
        <f>_xlfn.XLOOKUP(C668,Table2[Species],Table2[Family],"Code Not Found")</f>
        <v>Sapindaceae</v>
      </c>
      <c r="O668" t="str" cm="1">
        <f t="array" ref="O668">_xlfn.IFS(F668="","",F668&lt;=5,"0 to 5",F668&lt;=10,"5.1 to 10",F668&lt;=20,"10 to 20", F668&lt;= 40, "20 to 40", F668 &lt;= 50, "40 to 50", F668 &gt; 50, "&gt;50" )</f>
        <v>5.1 to 10</v>
      </c>
    </row>
    <row r="669" spans="1:15" ht="14.4" x14ac:dyDescent="0.3">
      <c r="A669" t="s">
        <v>177</v>
      </c>
      <c r="B669" s="1">
        <v>46177</v>
      </c>
      <c r="C669" t="s">
        <v>16</v>
      </c>
      <c r="D669">
        <v>615</v>
      </c>
      <c r="E669">
        <v>1</v>
      </c>
      <c r="F669">
        <v>12.7</v>
      </c>
      <c r="G669" t="s">
        <v>88</v>
      </c>
      <c r="H669" t="s">
        <v>188</v>
      </c>
      <c r="I669" t="str">
        <f t="shared" si="10"/>
        <v>615_1</v>
      </c>
      <c r="J669" t="s">
        <v>178</v>
      </c>
      <c r="K669" t="s">
        <v>179</v>
      </c>
      <c r="L669" t="str">
        <f>_xlfn.XLOOKUP(C669, Table2[Species],Table2[Genus], "Code Not Found")</f>
        <v>Acer</v>
      </c>
      <c r="M669" t="str">
        <f>_xlfn.XLOOKUP(C669, Table2[Species],Table2[Sp. Name], "Code Not Found")</f>
        <v>saccharum</v>
      </c>
      <c r="N669" t="str">
        <f>_xlfn.XLOOKUP(C669,Table2[Species],Table2[Family],"Code Not Found")</f>
        <v>Sapindaceae</v>
      </c>
      <c r="O669" t="str" cm="1">
        <f t="array" ref="O669">_xlfn.IFS(F669="","",F669&lt;=5,"0 to 5",F669&lt;=10,"5.1 to 10",F669&lt;=20,"10 to 20", F669&lt;= 40, "20 to 40", F669 &lt;= 50, "40 to 50", F669 &gt; 50, "&gt;50" )</f>
        <v>10 to 20</v>
      </c>
    </row>
    <row r="670" spans="1:15" ht="14.4" x14ac:dyDescent="0.3">
      <c r="A670" t="s">
        <v>177</v>
      </c>
      <c r="B670" s="1">
        <v>46177</v>
      </c>
      <c r="C670" t="s">
        <v>16</v>
      </c>
      <c r="D670">
        <v>616</v>
      </c>
      <c r="E670">
        <v>1</v>
      </c>
      <c r="F670">
        <v>11</v>
      </c>
      <c r="G670" t="s">
        <v>17</v>
      </c>
      <c r="I670" t="str">
        <f t="shared" si="10"/>
        <v>616_1</v>
      </c>
      <c r="J670" t="s">
        <v>178</v>
      </c>
      <c r="K670" t="s">
        <v>179</v>
      </c>
      <c r="L670" t="str">
        <f>_xlfn.XLOOKUP(C670, Table2[Species],Table2[Genus], "Code Not Found")</f>
        <v>Acer</v>
      </c>
      <c r="M670" t="str">
        <f>_xlfn.XLOOKUP(C670, Table2[Species],Table2[Sp. Name], "Code Not Found")</f>
        <v>saccharum</v>
      </c>
      <c r="N670" t="str">
        <f>_xlfn.XLOOKUP(C670,Table2[Species],Table2[Family],"Code Not Found")</f>
        <v>Sapindaceae</v>
      </c>
      <c r="O670" t="str" cm="1">
        <f t="array" ref="O670">_xlfn.IFS(F670="","",F670&lt;=5,"0 to 5",F670&lt;=10,"5.1 to 10",F670&lt;=20,"10 to 20", F670&lt;= 40, "20 to 40", F670 &lt;= 50, "40 to 50", F670 &gt; 50, "&gt;50" )</f>
        <v>10 to 20</v>
      </c>
    </row>
    <row r="671" spans="1:15" ht="14.4" x14ac:dyDescent="0.3">
      <c r="A671" t="s">
        <v>177</v>
      </c>
      <c r="B671" s="1">
        <v>46177</v>
      </c>
      <c r="C671" t="s">
        <v>16</v>
      </c>
      <c r="D671">
        <v>617</v>
      </c>
      <c r="E671">
        <v>1</v>
      </c>
      <c r="F671">
        <v>2.4</v>
      </c>
      <c r="G671" t="s">
        <v>21</v>
      </c>
      <c r="I671" t="str">
        <f t="shared" si="10"/>
        <v>617_1</v>
      </c>
      <c r="J671" t="s">
        <v>178</v>
      </c>
      <c r="K671" t="s">
        <v>179</v>
      </c>
      <c r="L671" t="str">
        <f>_xlfn.XLOOKUP(C671, Table2[Species],Table2[Genus], "Code Not Found")</f>
        <v>Acer</v>
      </c>
      <c r="M671" t="str">
        <f>_xlfn.XLOOKUP(C671, Table2[Species],Table2[Sp. Name], "Code Not Found")</f>
        <v>saccharum</v>
      </c>
      <c r="N671" t="str">
        <f>_xlfn.XLOOKUP(C671,Table2[Species],Table2[Family],"Code Not Found")</f>
        <v>Sapindaceae</v>
      </c>
      <c r="O671" t="str" cm="1">
        <f t="array" ref="O671">_xlfn.IFS(F671="","",F671&lt;=5,"0 to 5",F671&lt;=10,"5.1 to 10",F671&lt;=20,"10 to 20", F671&lt;= 40, "20 to 40", F671 &lt;= 50, "40 to 50", F671 &gt; 50, "&gt;50" )</f>
        <v>0 to 5</v>
      </c>
    </row>
    <row r="672" spans="1:15" ht="14.4" x14ac:dyDescent="0.3">
      <c r="A672" t="s">
        <v>177</v>
      </c>
      <c r="B672" s="1">
        <v>46177</v>
      </c>
      <c r="C672" t="s">
        <v>16</v>
      </c>
      <c r="D672">
        <v>618</v>
      </c>
      <c r="E672">
        <v>1</v>
      </c>
      <c r="F672">
        <v>2</v>
      </c>
      <c r="G672" t="s">
        <v>17</v>
      </c>
      <c r="I672" t="str">
        <f t="shared" si="10"/>
        <v>618_1</v>
      </c>
      <c r="J672" t="s">
        <v>178</v>
      </c>
      <c r="K672" t="s">
        <v>179</v>
      </c>
      <c r="L672" t="str">
        <f>_xlfn.XLOOKUP(C672, Table2[Species],Table2[Genus], "Code Not Found")</f>
        <v>Acer</v>
      </c>
      <c r="M672" t="str">
        <f>_xlfn.XLOOKUP(C672, Table2[Species],Table2[Sp. Name], "Code Not Found")</f>
        <v>saccharum</v>
      </c>
      <c r="N672" t="str">
        <f>_xlfn.XLOOKUP(C672,Table2[Species],Table2[Family],"Code Not Found")</f>
        <v>Sapindaceae</v>
      </c>
      <c r="O672" t="str" cm="1">
        <f t="array" ref="O672">_xlfn.IFS(F672="","",F672&lt;=5,"0 to 5",F672&lt;=10,"5.1 to 10",F672&lt;=20,"10 to 20", F672&lt;= 40, "20 to 40", F672 &lt;= 50, "40 to 50", F672 &gt; 50, "&gt;50" )</f>
        <v>0 to 5</v>
      </c>
    </row>
    <row r="673" spans="1:15" ht="14.4" x14ac:dyDescent="0.3">
      <c r="A673" t="s">
        <v>177</v>
      </c>
      <c r="B673" s="1">
        <v>46177</v>
      </c>
      <c r="C673" t="s">
        <v>16</v>
      </c>
      <c r="D673">
        <v>619</v>
      </c>
      <c r="E673">
        <v>1</v>
      </c>
      <c r="F673">
        <v>11.2</v>
      </c>
      <c r="G673" t="s">
        <v>17</v>
      </c>
      <c r="H673" t="s">
        <v>36</v>
      </c>
      <c r="I673" t="str">
        <f t="shared" si="10"/>
        <v>619_1</v>
      </c>
      <c r="J673" t="s">
        <v>178</v>
      </c>
      <c r="K673" t="s">
        <v>179</v>
      </c>
      <c r="L673" t="str">
        <f>_xlfn.XLOOKUP(C673, Table2[Species],Table2[Genus], "Code Not Found")</f>
        <v>Acer</v>
      </c>
      <c r="M673" t="str">
        <f>_xlfn.XLOOKUP(C673, Table2[Species],Table2[Sp. Name], "Code Not Found")</f>
        <v>saccharum</v>
      </c>
      <c r="N673" t="str">
        <f>_xlfn.XLOOKUP(C673,Table2[Species],Table2[Family],"Code Not Found")</f>
        <v>Sapindaceae</v>
      </c>
      <c r="O673" t="str" cm="1">
        <f t="array" ref="O673">_xlfn.IFS(F673="","",F673&lt;=5,"0 to 5",F673&lt;=10,"5.1 to 10",F673&lt;=20,"10 to 20", F673&lt;= 40, "20 to 40", F673 &lt;= 50, "40 to 50", F673 &gt; 50, "&gt;50" )</f>
        <v>10 to 20</v>
      </c>
    </row>
    <row r="674" spans="1:15" ht="14.4" x14ac:dyDescent="0.3">
      <c r="A674" t="s">
        <v>177</v>
      </c>
      <c r="B674" s="1">
        <v>46177</v>
      </c>
      <c r="C674" t="s">
        <v>189</v>
      </c>
      <c r="D674">
        <v>620</v>
      </c>
      <c r="E674">
        <v>1</v>
      </c>
      <c r="F674">
        <v>51.7</v>
      </c>
      <c r="G674" t="s">
        <v>21</v>
      </c>
      <c r="I674" t="str">
        <f t="shared" si="10"/>
        <v>620_1</v>
      </c>
      <c r="J674" t="s">
        <v>178</v>
      </c>
      <c r="K674" t="s">
        <v>179</v>
      </c>
      <c r="L674" t="str">
        <f>_xlfn.XLOOKUP(C674, Table2[Species],Table2[Genus], "Code Not Found")</f>
        <v>Juglans</v>
      </c>
      <c r="M674" t="str">
        <f>_xlfn.XLOOKUP(C674, Table2[Species],Table2[Sp. Name], "Code Not Found")</f>
        <v>nigra</v>
      </c>
      <c r="N674" t="str">
        <f>_xlfn.XLOOKUP(C674,Table2[Species],Table2[Family],"Code Not Found")</f>
        <v>Juglandaceae</v>
      </c>
      <c r="O674" t="str" cm="1">
        <f t="array" ref="O674">_xlfn.IFS(F674="","",F674&lt;=5,"0 to 5",F674&lt;=10,"5.1 to 10",F674&lt;=20,"10 to 20", F674&lt;= 40, "20 to 40", F674 &lt;= 50, "40 to 50", F674 &gt; 50, "&gt;50" )</f>
        <v>&gt;50</v>
      </c>
    </row>
    <row r="675" spans="1:15" ht="14.4" x14ac:dyDescent="0.3">
      <c r="A675" t="s">
        <v>177</v>
      </c>
      <c r="B675" s="1">
        <v>46177</v>
      </c>
      <c r="C675" t="s">
        <v>16</v>
      </c>
      <c r="D675">
        <v>621</v>
      </c>
      <c r="E675">
        <v>1</v>
      </c>
      <c r="F675">
        <v>7.7</v>
      </c>
      <c r="G675" t="s">
        <v>30</v>
      </c>
      <c r="H675" t="s">
        <v>99</v>
      </c>
      <c r="I675" t="str">
        <f t="shared" si="10"/>
        <v>621_1</v>
      </c>
      <c r="J675" t="s">
        <v>178</v>
      </c>
      <c r="K675" t="s">
        <v>179</v>
      </c>
      <c r="L675" t="str">
        <f>_xlfn.XLOOKUP(C675, Table2[Species],Table2[Genus], "Code Not Found")</f>
        <v>Acer</v>
      </c>
      <c r="M675" t="str">
        <f>_xlfn.XLOOKUP(C675, Table2[Species],Table2[Sp. Name], "Code Not Found")</f>
        <v>saccharum</v>
      </c>
      <c r="N675" t="str">
        <f>_xlfn.XLOOKUP(C675,Table2[Species],Table2[Family],"Code Not Found")</f>
        <v>Sapindaceae</v>
      </c>
      <c r="O675" t="str" cm="1">
        <f t="array" ref="O675">_xlfn.IFS(F675="","",F675&lt;=5,"0 to 5",F675&lt;=10,"5.1 to 10",F675&lt;=20,"10 to 20", F675&lt;= 40, "20 to 40", F675 &lt;= 50, "40 to 50", F675 &gt; 50, "&gt;50" )</f>
        <v>5.1 to 10</v>
      </c>
    </row>
    <row r="676" spans="1:15" ht="14.4" x14ac:dyDescent="0.3">
      <c r="A676" t="s">
        <v>177</v>
      </c>
      <c r="B676" s="1">
        <v>46177</v>
      </c>
      <c r="C676" t="s">
        <v>189</v>
      </c>
      <c r="D676">
        <v>622</v>
      </c>
      <c r="E676">
        <v>1</v>
      </c>
      <c r="F676">
        <v>71.2</v>
      </c>
      <c r="G676" t="s">
        <v>21</v>
      </c>
      <c r="I676" t="str">
        <f t="shared" si="10"/>
        <v>622_1</v>
      </c>
      <c r="J676" t="s">
        <v>178</v>
      </c>
      <c r="K676" t="s">
        <v>179</v>
      </c>
      <c r="L676" t="str">
        <f>_xlfn.XLOOKUP(C676, Table2[Species],Table2[Genus], "Code Not Found")</f>
        <v>Juglans</v>
      </c>
      <c r="M676" t="str">
        <f>_xlfn.XLOOKUP(C676, Table2[Species],Table2[Sp. Name], "Code Not Found")</f>
        <v>nigra</v>
      </c>
      <c r="N676" t="str">
        <f>_xlfn.XLOOKUP(C676,Table2[Species],Table2[Family],"Code Not Found")</f>
        <v>Juglandaceae</v>
      </c>
      <c r="O676" t="str" cm="1">
        <f t="array" ref="O676">_xlfn.IFS(F676="","",F676&lt;=5,"0 to 5",F676&lt;=10,"5.1 to 10",F676&lt;=20,"10 to 20", F676&lt;= 40, "20 to 40", F676 &lt;= 50, "40 to 50", F676 &gt; 50, "&gt;50" )</f>
        <v>&gt;50</v>
      </c>
    </row>
    <row r="677" spans="1:15" ht="14.4" x14ac:dyDescent="0.3">
      <c r="A677" t="s">
        <v>177</v>
      </c>
      <c r="B677" s="1">
        <v>46177</v>
      </c>
      <c r="C677" t="s">
        <v>16</v>
      </c>
      <c r="D677">
        <v>623</v>
      </c>
      <c r="E677">
        <v>1</v>
      </c>
      <c r="F677">
        <v>3.3</v>
      </c>
      <c r="G677" t="s">
        <v>21</v>
      </c>
      <c r="H677" t="s">
        <v>190</v>
      </c>
      <c r="I677" t="str">
        <f t="shared" si="10"/>
        <v>623_1</v>
      </c>
      <c r="J677" t="s">
        <v>178</v>
      </c>
      <c r="K677" t="s">
        <v>179</v>
      </c>
      <c r="L677" t="str">
        <f>_xlfn.XLOOKUP(C677, Table2[Species],Table2[Genus], "Code Not Found")</f>
        <v>Acer</v>
      </c>
      <c r="M677" t="str">
        <f>_xlfn.XLOOKUP(C677, Table2[Species],Table2[Sp. Name], "Code Not Found")</f>
        <v>saccharum</v>
      </c>
      <c r="N677" t="str">
        <f>_xlfn.XLOOKUP(C677,Table2[Species],Table2[Family],"Code Not Found")</f>
        <v>Sapindaceae</v>
      </c>
      <c r="O677" t="str" cm="1">
        <f t="array" ref="O677">_xlfn.IFS(F677="","",F677&lt;=5,"0 to 5",F677&lt;=10,"5.1 to 10",F677&lt;=20,"10 to 20", F677&lt;= 40, "20 to 40", F677 &lt;= 50, "40 to 50", F677 &gt; 50, "&gt;50" )</f>
        <v>0 to 5</v>
      </c>
    </row>
    <row r="678" spans="1:15" ht="14.4" x14ac:dyDescent="0.3">
      <c r="A678" t="s">
        <v>177</v>
      </c>
      <c r="B678" s="1">
        <v>46177</v>
      </c>
      <c r="C678" t="s">
        <v>16</v>
      </c>
      <c r="D678">
        <v>624</v>
      </c>
      <c r="E678">
        <v>1</v>
      </c>
      <c r="F678">
        <v>7.6</v>
      </c>
      <c r="G678" t="s">
        <v>17</v>
      </c>
      <c r="I678" t="str">
        <f t="shared" si="10"/>
        <v>624_1</v>
      </c>
      <c r="J678" t="s">
        <v>178</v>
      </c>
      <c r="K678" t="s">
        <v>179</v>
      </c>
      <c r="L678" t="str">
        <f>_xlfn.XLOOKUP(C678, Table2[Species],Table2[Genus], "Code Not Found")</f>
        <v>Acer</v>
      </c>
      <c r="M678" t="str">
        <f>_xlfn.XLOOKUP(C678, Table2[Species],Table2[Sp. Name], "Code Not Found")</f>
        <v>saccharum</v>
      </c>
      <c r="N678" t="str">
        <f>_xlfn.XLOOKUP(C678,Table2[Species],Table2[Family],"Code Not Found")</f>
        <v>Sapindaceae</v>
      </c>
      <c r="O678" t="str" cm="1">
        <f t="array" ref="O678">_xlfn.IFS(F678="","",F678&lt;=5,"0 to 5",F678&lt;=10,"5.1 to 10",F678&lt;=20,"10 to 20", F678&lt;= 40, "20 to 40", F678 &lt;= 50, "40 to 50", F678 &gt; 50, "&gt;50" )</f>
        <v>5.1 to 10</v>
      </c>
    </row>
    <row r="679" spans="1:15" ht="14.4" x14ac:dyDescent="0.3">
      <c r="A679" t="s">
        <v>177</v>
      </c>
      <c r="B679" s="1">
        <v>46177</v>
      </c>
      <c r="C679" t="s">
        <v>16</v>
      </c>
      <c r="D679">
        <v>625</v>
      </c>
      <c r="E679">
        <v>1</v>
      </c>
      <c r="F679">
        <v>6.5</v>
      </c>
      <c r="G679" t="s">
        <v>47</v>
      </c>
      <c r="H679" t="s">
        <v>43</v>
      </c>
      <c r="I679" t="str">
        <f t="shared" si="10"/>
        <v>625_1</v>
      </c>
      <c r="J679" t="s">
        <v>178</v>
      </c>
      <c r="K679" t="s">
        <v>179</v>
      </c>
      <c r="L679" t="str">
        <f>_xlfn.XLOOKUP(C679, Table2[Species],Table2[Genus], "Code Not Found")</f>
        <v>Acer</v>
      </c>
      <c r="M679" t="str">
        <f>_xlfn.XLOOKUP(C679, Table2[Species],Table2[Sp. Name], "Code Not Found")</f>
        <v>saccharum</v>
      </c>
      <c r="N679" t="str">
        <f>_xlfn.XLOOKUP(C679,Table2[Species],Table2[Family],"Code Not Found")</f>
        <v>Sapindaceae</v>
      </c>
      <c r="O679" t="str" cm="1">
        <f t="array" ref="O679">_xlfn.IFS(F679="","",F679&lt;=5,"0 to 5",F679&lt;=10,"5.1 to 10",F679&lt;=20,"10 to 20", F679&lt;= 40, "20 to 40", F679 &lt;= 50, "40 to 50", F679 &gt; 50, "&gt;50" )</f>
        <v>5.1 to 10</v>
      </c>
    </row>
    <row r="680" spans="1:15" ht="14.4" x14ac:dyDescent="0.3">
      <c r="A680" t="s">
        <v>177</v>
      </c>
      <c r="B680" s="1">
        <v>46177</v>
      </c>
      <c r="C680" t="s">
        <v>16</v>
      </c>
      <c r="D680">
        <v>625</v>
      </c>
      <c r="E680">
        <v>2</v>
      </c>
      <c r="F680">
        <v>1.8</v>
      </c>
      <c r="G680" t="s">
        <v>47</v>
      </c>
      <c r="H680" t="s">
        <v>191</v>
      </c>
      <c r="I680" t="str">
        <f t="shared" si="10"/>
        <v>625_2</v>
      </c>
      <c r="J680" t="s">
        <v>178</v>
      </c>
      <c r="K680" t="s">
        <v>179</v>
      </c>
      <c r="L680" t="str">
        <f>_xlfn.XLOOKUP(C680, Table2[Species],Table2[Genus], "Code Not Found")</f>
        <v>Acer</v>
      </c>
      <c r="M680" t="str">
        <f>_xlfn.XLOOKUP(C680, Table2[Species],Table2[Sp. Name], "Code Not Found")</f>
        <v>saccharum</v>
      </c>
      <c r="N680" t="str">
        <f>_xlfn.XLOOKUP(C680,Table2[Species],Table2[Family],"Code Not Found")</f>
        <v>Sapindaceae</v>
      </c>
      <c r="O680" t="str" cm="1">
        <f t="array" ref="O680">_xlfn.IFS(F680="","",F680&lt;=5,"0 to 5",F680&lt;=10,"5.1 to 10",F680&lt;=20,"10 to 20", F680&lt;= 40, "20 to 40", F680 &lt;= 50, "40 to 50", F680 &gt; 50, "&gt;50" )</f>
        <v>0 to 5</v>
      </c>
    </row>
    <row r="681" spans="1:15" ht="14.4" x14ac:dyDescent="0.3">
      <c r="A681" t="s">
        <v>177</v>
      </c>
      <c r="B681" s="1">
        <v>46177</v>
      </c>
      <c r="C681" t="s">
        <v>16</v>
      </c>
      <c r="D681">
        <v>626</v>
      </c>
      <c r="E681">
        <v>1</v>
      </c>
      <c r="F681">
        <v>5.0999999999999996</v>
      </c>
      <c r="G681" t="s">
        <v>88</v>
      </c>
      <c r="H681" t="s">
        <v>192</v>
      </c>
      <c r="I681" t="str">
        <f t="shared" si="10"/>
        <v>626_1</v>
      </c>
      <c r="J681" t="s">
        <v>178</v>
      </c>
      <c r="K681" t="s">
        <v>179</v>
      </c>
      <c r="L681" t="str">
        <f>_xlfn.XLOOKUP(C681, Table2[Species],Table2[Genus], "Code Not Found")</f>
        <v>Acer</v>
      </c>
      <c r="M681" t="str">
        <f>_xlfn.XLOOKUP(C681, Table2[Species],Table2[Sp. Name], "Code Not Found")</f>
        <v>saccharum</v>
      </c>
      <c r="N681" t="str">
        <f>_xlfn.XLOOKUP(C681,Table2[Species],Table2[Family],"Code Not Found")</f>
        <v>Sapindaceae</v>
      </c>
      <c r="O681" t="str" cm="1">
        <f t="array" ref="O681">_xlfn.IFS(F681="","",F681&lt;=5,"0 to 5",F681&lt;=10,"5.1 to 10",F681&lt;=20,"10 to 20", F681&lt;= 40, "20 to 40", F681 &lt;= 50, "40 to 50", F681 &gt; 50, "&gt;50" )</f>
        <v>5.1 to 10</v>
      </c>
    </row>
    <row r="682" spans="1:15" ht="14.4" x14ac:dyDescent="0.3">
      <c r="A682" t="s">
        <v>177</v>
      </c>
      <c r="B682" s="1">
        <v>46177</v>
      </c>
      <c r="C682" t="s">
        <v>16</v>
      </c>
      <c r="D682">
        <v>627</v>
      </c>
      <c r="E682">
        <v>1</v>
      </c>
      <c r="F682">
        <v>15.1</v>
      </c>
      <c r="G682" t="s">
        <v>88</v>
      </c>
      <c r="H682" t="s">
        <v>99</v>
      </c>
      <c r="I682" t="str">
        <f t="shared" si="10"/>
        <v>627_1</v>
      </c>
      <c r="J682" t="s">
        <v>178</v>
      </c>
      <c r="K682" t="s">
        <v>179</v>
      </c>
      <c r="L682" t="str">
        <f>_xlfn.XLOOKUP(C682, Table2[Species],Table2[Genus], "Code Not Found")</f>
        <v>Acer</v>
      </c>
      <c r="M682" t="str">
        <f>_xlfn.XLOOKUP(C682, Table2[Species],Table2[Sp. Name], "Code Not Found")</f>
        <v>saccharum</v>
      </c>
      <c r="N682" t="str">
        <f>_xlfn.XLOOKUP(C682,Table2[Species],Table2[Family],"Code Not Found")</f>
        <v>Sapindaceae</v>
      </c>
      <c r="O682" t="str" cm="1">
        <f t="array" ref="O682">_xlfn.IFS(F682="","",F682&lt;=5,"0 to 5",F682&lt;=10,"5.1 to 10",F682&lt;=20,"10 to 20", F682&lt;= 40, "20 to 40", F682 &lt;= 50, "40 to 50", F682 &gt; 50, "&gt;50" )</f>
        <v>10 to 20</v>
      </c>
    </row>
    <row r="683" spans="1:15" ht="14.4" x14ac:dyDescent="0.3">
      <c r="A683" t="s">
        <v>177</v>
      </c>
      <c r="B683" s="1">
        <v>46177</v>
      </c>
      <c r="C683" t="s">
        <v>189</v>
      </c>
      <c r="D683">
        <v>628</v>
      </c>
      <c r="E683">
        <v>1</v>
      </c>
      <c r="F683">
        <v>59.2</v>
      </c>
      <c r="G683" t="s">
        <v>21</v>
      </c>
      <c r="I683" t="str">
        <f t="shared" si="10"/>
        <v>628_1</v>
      </c>
      <c r="J683" t="s">
        <v>178</v>
      </c>
      <c r="K683" t="s">
        <v>179</v>
      </c>
      <c r="L683" t="str">
        <f>_xlfn.XLOOKUP(C683, Table2[Species],Table2[Genus], "Code Not Found")</f>
        <v>Juglans</v>
      </c>
      <c r="M683" t="str">
        <f>_xlfn.XLOOKUP(C683, Table2[Species],Table2[Sp. Name], "Code Not Found")</f>
        <v>nigra</v>
      </c>
      <c r="N683" t="str">
        <f>_xlfn.XLOOKUP(C683,Table2[Species],Table2[Family],"Code Not Found")</f>
        <v>Juglandaceae</v>
      </c>
      <c r="O683" t="str" cm="1">
        <f t="array" ref="O683">_xlfn.IFS(F683="","",F683&lt;=5,"0 to 5",F683&lt;=10,"5.1 to 10",F683&lt;=20,"10 to 20", F683&lt;= 40, "20 to 40", F683 &lt;= 50, "40 to 50", F683 &gt; 50, "&gt;50" )</f>
        <v>&gt;50</v>
      </c>
    </row>
    <row r="684" spans="1:15" ht="14.4" x14ac:dyDescent="0.3">
      <c r="A684" t="s">
        <v>177</v>
      </c>
      <c r="B684" s="1">
        <v>46177</v>
      </c>
      <c r="C684" t="s">
        <v>180</v>
      </c>
      <c r="D684">
        <v>629</v>
      </c>
      <c r="E684">
        <v>1</v>
      </c>
      <c r="F684">
        <v>14.9</v>
      </c>
      <c r="G684" t="s">
        <v>17</v>
      </c>
      <c r="I684" t="str">
        <f t="shared" si="10"/>
        <v>629_1</v>
      </c>
      <c r="J684" t="s">
        <v>178</v>
      </c>
      <c r="K684" t="s">
        <v>179</v>
      </c>
      <c r="L684" t="str">
        <f>_xlfn.XLOOKUP(C684, Table2[Species],Table2[Genus], "Code Not Found")</f>
        <v>Tilia</v>
      </c>
      <c r="M684" t="str">
        <f>_xlfn.XLOOKUP(C684, Table2[Species],Table2[Sp. Name], "Code Not Found")</f>
        <v>americana</v>
      </c>
      <c r="N684" t="str">
        <f>_xlfn.XLOOKUP(C684,Table2[Species],Table2[Family],"Code Not Found")</f>
        <v>Malvaceae</v>
      </c>
      <c r="O684" t="str" cm="1">
        <f t="array" ref="O684">_xlfn.IFS(F684="","",F684&lt;=5,"0 to 5",F684&lt;=10,"5.1 to 10",F684&lt;=20,"10 to 20", F684&lt;= 40, "20 to 40", F684 &lt;= 50, "40 to 50", F684 &gt; 50, "&gt;50" )</f>
        <v>10 to 20</v>
      </c>
    </row>
    <row r="685" spans="1:15" ht="14.4" x14ac:dyDescent="0.3">
      <c r="A685" t="s">
        <v>177</v>
      </c>
      <c r="B685" s="1">
        <v>46177</v>
      </c>
      <c r="C685" t="s">
        <v>16</v>
      </c>
      <c r="D685">
        <v>630</v>
      </c>
      <c r="E685">
        <v>1</v>
      </c>
      <c r="F685">
        <v>3.3</v>
      </c>
      <c r="G685" t="s">
        <v>30</v>
      </c>
      <c r="H685" t="s">
        <v>99</v>
      </c>
      <c r="I685" t="str">
        <f t="shared" si="10"/>
        <v>630_1</v>
      </c>
      <c r="J685" t="s">
        <v>178</v>
      </c>
      <c r="K685" t="s">
        <v>179</v>
      </c>
      <c r="L685" t="str">
        <f>_xlfn.XLOOKUP(C685, Table2[Species],Table2[Genus], "Code Not Found")</f>
        <v>Acer</v>
      </c>
      <c r="M685" t="str">
        <f>_xlfn.XLOOKUP(C685, Table2[Species],Table2[Sp. Name], "Code Not Found")</f>
        <v>saccharum</v>
      </c>
      <c r="N685" t="str">
        <f>_xlfn.XLOOKUP(C685,Table2[Species],Table2[Family],"Code Not Found")</f>
        <v>Sapindaceae</v>
      </c>
      <c r="O685" t="str" cm="1">
        <f t="array" ref="O685">_xlfn.IFS(F685="","",F685&lt;=5,"0 to 5",F685&lt;=10,"5.1 to 10",F685&lt;=20,"10 to 20", F685&lt;= 40, "20 to 40", F685 &lt;= 50, "40 to 50", F685 &gt; 50, "&gt;50" )</f>
        <v>0 to 5</v>
      </c>
    </row>
    <row r="686" spans="1:15" ht="14.4" x14ac:dyDescent="0.3">
      <c r="A686" t="s">
        <v>177</v>
      </c>
      <c r="B686" s="1">
        <v>46177</v>
      </c>
      <c r="C686" t="s">
        <v>189</v>
      </c>
      <c r="D686">
        <v>631</v>
      </c>
      <c r="E686">
        <v>1</v>
      </c>
      <c r="F686">
        <v>54.9</v>
      </c>
      <c r="G686" t="s">
        <v>21</v>
      </c>
      <c r="I686" t="str">
        <f t="shared" si="10"/>
        <v>631_1</v>
      </c>
      <c r="J686" t="s">
        <v>178</v>
      </c>
      <c r="K686" t="s">
        <v>179</v>
      </c>
      <c r="L686" t="str">
        <f>_xlfn.XLOOKUP(C686, Table2[Species],Table2[Genus], "Code Not Found")</f>
        <v>Juglans</v>
      </c>
      <c r="M686" t="str">
        <f>_xlfn.XLOOKUP(C686, Table2[Species],Table2[Sp. Name], "Code Not Found")</f>
        <v>nigra</v>
      </c>
      <c r="N686" t="str">
        <f>_xlfn.XLOOKUP(C686,Table2[Species],Table2[Family],"Code Not Found")</f>
        <v>Juglandaceae</v>
      </c>
      <c r="O686" t="str" cm="1">
        <f t="array" ref="O686">_xlfn.IFS(F686="","",F686&lt;=5,"0 to 5",F686&lt;=10,"5.1 to 10",F686&lt;=20,"10 to 20", F686&lt;= 40, "20 to 40", F686 &lt;= 50, "40 to 50", F686 &gt; 50, "&gt;50" )</f>
        <v>&gt;50</v>
      </c>
    </row>
    <row r="687" spans="1:15" ht="14.4" x14ac:dyDescent="0.3">
      <c r="A687" t="s">
        <v>177</v>
      </c>
      <c r="B687" s="1">
        <v>46177</v>
      </c>
      <c r="C687" t="s">
        <v>180</v>
      </c>
      <c r="D687">
        <v>632</v>
      </c>
      <c r="E687">
        <v>1</v>
      </c>
      <c r="F687">
        <v>18.399999999999999</v>
      </c>
      <c r="G687" t="s">
        <v>17</v>
      </c>
      <c r="H687" t="s">
        <v>36</v>
      </c>
      <c r="I687" t="str">
        <f t="shared" si="10"/>
        <v>632_1</v>
      </c>
      <c r="J687" t="s">
        <v>178</v>
      </c>
      <c r="K687" t="s">
        <v>179</v>
      </c>
      <c r="L687" t="str">
        <f>_xlfn.XLOOKUP(C687, Table2[Species],Table2[Genus], "Code Not Found")</f>
        <v>Tilia</v>
      </c>
      <c r="M687" t="str">
        <f>_xlfn.XLOOKUP(C687, Table2[Species],Table2[Sp. Name], "Code Not Found")</f>
        <v>americana</v>
      </c>
      <c r="N687" t="str">
        <f>_xlfn.XLOOKUP(C687,Table2[Species],Table2[Family],"Code Not Found")</f>
        <v>Malvaceae</v>
      </c>
      <c r="O687" t="str" cm="1">
        <f t="array" ref="O687">_xlfn.IFS(F687="","",F687&lt;=5,"0 to 5",F687&lt;=10,"5.1 to 10",F687&lt;=20,"10 to 20", F687&lt;= 40, "20 to 40", F687 &lt;= 50, "40 to 50", F687 &gt; 50, "&gt;50" )</f>
        <v>10 to 20</v>
      </c>
    </row>
    <row r="688" spans="1:15" ht="14.4" x14ac:dyDescent="0.3">
      <c r="A688" t="s">
        <v>177</v>
      </c>
      <c r="B688" s="1">
        <v>46177</v>
      </c>
      <c r="C688" t="s">
        <v>16</v>
      </c>
      <c r="D688">
        <v>633</v>
      </c>
      <c r="E688">
        <v>1</v>
      </c>
      <c r="F688">
        <v>4.2</v>
      </c>
      <c r="G688" t="s">
        <v>21</v>
      </c>
      <c r="I688" t="str">
        <f t="shared" si="10"/>
        <v>633_1</v>
      </c>
      <c r="J688" t="s">
        <v>178</v>
      </c>
      <c r="K688" t="s">
        <v>179</v>
      </c>
      <c r="L688" t="str">
        <f>_xlfn.XLOOKUP(C688, Table2[Species],Table2[Genus], "Code Not Found")</f>
        <v>Acer</v>
      </c>
      <c r="M688" t="str">
        <f>_xlfn.XLOOKUP(C688, Table2[Species],Table2[Sp. Name], "Code Not Found")</f>
        <v>saccharum</v>
      </c>
      <c r="N688" t="str">
        <f>_xlfn.XLOOKUP(C688,Table2[Species],Table2[Family],"Code Not Found")</f>
        <v>Sapindaceae</v>
      </c>
      <c r="O688" t="str" cm="1">
        <f t="array" ref="O688">_xlfn.IFS(F688="","",F688&lt;=5,"0 to 5",F688&lt;=10,"5.1 to 10",F688&lt;=20,"10 to 20", F688&lt;= 40, "20 to 40", F688 &lt;= 50, "40 to 50", F688 &gt; 50, "&gt;50" )</f>
        <v>0 to 5</v>
      </c>
    </row>
    <row r="689" spans="1:15" ht="14.4" x14ac:dyDescent="0.3">
      <c r="A689" t="s">
        <v>177</v>
      </c>
      <c r="B689" s="1">
        <v>46177</v>
      </c>
      <c r="C689" t="s">
        <v>16</v>
      </c>
      <c r="D689">
        <v>634</v>
      </c>
      <c r="E689">
        <v>1</v>
      </c>
      <c r="F689">
        <v>14.8</v>
      </c>
      <c r="G689" t="s">
        <v>17</v>
      </c>
      <c r="I689" t="str">
        <f t="shared" si="10"/>
        <v>634_1</v>
      </c>
      <c r="J689" t="s">
        <v>178</v>
      </c>
      <c r="K689" t="s">
        <v>179</v>
      </c>
      <c r="L689" t="str">
        <f>_xlfn.XLOOKUP(C689, Table2[Species],Table2[Genus], "Code Not Found")</f>
        <v>Acer</v>
      </c>
      <c r="M689" t="str">
        <f>_xlfn.XLOOKUP(C689, Table2[Species],Table2[Sp. Name], "Code Not Found")</f>
        <v>saccharum</v>
      </c>
      <c r="N689" t="str">
        <f>_xlfn.XLOOKUP(C689,Table2[Species],Table2[Family],"Code Not Found")</f>
        <v>Sapindaceae</v>
      </c>
      <c r="O689" t="str" cm="1">
        <f t="array" ref="O689">_xlfn.IFS(F689="","",F689&lt;=5,"0 to 5",F689&lt;=10,"5.1 to 10",F689&lt;=20,"10 to 20", F689&lt;= 40, "20 to 40", F689 &lt;= 50, "40 to 50", F689 &gt; 50, "&gt;50" )</f>
        <v>10 to 20</v>
      </c>
    </row>
    <row r="690" spans="1:15" ht="14.4" x14ac:dyDescent="0.3">
      <c r="A690" t="s">
        <v>177</v>
      </c>
      <c r="B690" s="1">
        <v>46177</v>
      </c>
      <c r="C690" t="s">
        <v>16</v>
      </c>
      <c r="D690">
        <v>635</v>
      </c>
      <c r="E690">
        <v>1</v>
      </c>
      <c r="F690">
        <v>14.5</v>
      </c>
      <c r="G690" t="s">
        <v>21</v>
      </c>
      <c r="I690" t="str">
        <f t="shared" si="10"/>
        <v>635_1</v>
      </c>
      <c r="J690" t="s">
        <v>178</v>
      </c>
      <c r="K690" t="s">
        <v>179</v>
      </c>
      <c r="L690" t="str">
        <f>_xlfn.XLOOKUP(C690, Table2[Species],Table2[Genus], "Code Not Found")</f>
        <v>Acer</v>
      </c>
      <c r="M690" t="str">
        <f>_xlfn.XLOOKUP(C690, Table2[Species],Table2[Sp. Name], "Code Not Found")</f>
        <v>saccharum</v>
      </c>
      <c r="N690" t="str">
        <f>_xlfn.XLOOKUP(C690,Table2[Species],Table2[Family],"Code Not Found")</f>
        <v>Sapindaceae</v>
      </c>
      <c r="O690" t="str" cm="1">
        <f t="array" ref="O690">_xlfn.IFS(F690="","",F690&lt;=5,"0 to 5",F690&lt;=10,"5.1 to 10",F690&lt;=20,"10 to 20", F690&lt;= 40, "20 to 40", F690 &lt;= 50, "40 to 50", F690 &gt; 50, "&gt;50" )</f>
        <v>10 to 20</v>
      </c>
    </row>
    <row r="691" spans="1:15" ht="14.4" x14ac:dyDescent="0.3">
      <c r="A691" t="s">
        <v>177</v>
      </c>
      <c r="B691" s="1">
        <v>46177</v>
      </c>
      <c r="C691" t="s">
        <v>16</v>
      </c>
      <c r="D691">
        <v>636</v>
      </c>
      <c r="E691">
        <v>1</v>
      </c>
      <c r="F691">
        <v>5.3</v>
      </c>
      <c r="G691" t="s">
        <v>21</v>
      </c>
      <c r="I691" t="str">
        <f t="shared" si="10"/>
        <v>636_1</v>
      </c>
      <c r="J691" t="s">
        <v>178</v>
      </c>
      <c r="K691" t="s">
        <v>179</v>
      </c>
      <c r="L691" t="str">
        <f>_xlfn.XLOOKUP(C691, Table2[Species],Table2[Genus], "Code Not Found")</f>
        <v>Acer</v>
      </c>
      <c r="M691" t="str">
        <f>_xlfn.XLOOKUP(C691, Table2[Species],Table2[Sp. Name], "Code Not Found")</f>
        <v>saccharum</v>
      </c>
      <c r="N691" t="str">
        <f>_xlfn.XLOOKUP(C691,Table2[Species],Table2[Family],"Code Not Found")</f>
        <v>Sapindaceae</v>
      </c>
      <c r="O691" t="str" cm="1">
        <f t="array" ref="O691">_xlfn.IFS(F691="","",F691&lt;=5,"0 to 5",F691&lt;=10,"5.1 to 10",F691&lt;=20,"10 to 20", F691&lt;= 40, "20 to 40", F691 &lt;= 50, "40 to 50", F691 &gt; 50, "&gt;50" )</f>
        <v>5.1 to 10</v>
      </c>
    </row>
    <row r="692" spans="1:15" ht="14.4" x14ac:dyDescent="0.3">
      <c r="A692" t="s">
        <v>177</v>
      </c>
      <c r="B692" s="1">
        <v>46177</v>
      </c>
      <c r="C692" t="s">
        <v>16</v>
      </c>
      <c r="D692">
        <v>637</v>
      </c>
      <c r="E692">
        <v>1</v>
      </c>
      <c r="F692">
        <v>6.1</v>
      </c>
      <c r="G692" t="s">
        <v>21</v>
      </c>
      <c r="I692" t="str">
        <f t="shared" si="10"/>
        <v>637_1</v>
      </c>
      <c r="J692" t="s">
        <v>178</v>
      </c>
      <c r="K692" t="s">
        <v>179</v>
      </c>
      <c r="L692" t="str">
        <f>_xlfn.XLOOKUP(C692, Table2[Species],Table2[Genus], "Code Not Found")</f>
        <v>Acer</v>
      </c>
      <c r="M692" t="str">
        <f>_xlfn.XLOOKUP(C692, Table2[Species],Table2[Sp. Name], "Code Not Found")</f>
        <v>saccharum</v>
      </c>
      <c r="N692" t="str">
        <f>_xlfn.XLOOKUP(C692,Table2[Species],Table2[Family],"Code Not Found")</f>
        <v>Sapindaceae</v>
      </c>
      <c r="O692" t="str" cm="1">
        <f t="array" ref="O692">_xlfn.IFS(F692="","",F692&lt;=5,"0 to 5",F692&lt;=10,"5.1 to 10",F692&lt;=20,"10 to 20", F692&lt;= 40, "20 to 40", F692 &lt;= 50, "40 to 50", F692 &gt; 50, "&gt;50" )</f>
        <v>5.1 to 10</v>
      </c>
    </row>
    <row r="693" spans="1:15" ht="14.4" x14ac:dyDescent="0.3">
      <c r="A693" t="s">
        <v>177</v>
      </c>
      <c r="B693" s="1">
        <v>46177</v>
      </c>
      <c r="C693" t="s">
        <v>16</v>
      </c>
      <c r="D693">
        <v>638</v>
      </c>
      <c r="E693">
        <v>1</v>
      </c>
      <c r="F693">
        <v>4.3</v>
      </c>
      <c r="G693" t="s">
        <v>139</v>
      </c>
      <c r="H693" t="s">
        <v>193</v>
      </c>
      <c r="I693" t="str">
        <f t="shared" si="10"/>
        <v>638_1</v>
      </c>
      <c r="J693" t="s">
        <v>178</v>
      </c>
      <c r="K693" t="s">
        <v>179</v>
      </c>
      <c r="L693" t="str">
        <f>_xlfn.XLOOKUP(C693, Table2[Species],Table2[Genus], "Code Not Found")</f>
        <v>Acer</v>
      </c>
      <c r="M693" t="str">
        <f>_xlfn.XLOOKUP(C693, Table2[Species],Table2[Sp. Name], "Code Not Found")</f>
        <v>saccharum</v>
      </c>
      <c r="N693" t="str">
        <f>_xlfn.XLOOKUP(C693,Table2[Species],Table2[Family],"Code Not Found")</f>
        <v>Sapindaceae</v>
      </c>
      <c r="O693" t="str" cm="1">
        <f t="array" ref="O693">_xlfn.IFS(F693="","",F693&lt;=5,"0 to 5",F693&lt;=10,"5.1 to 10",F693&lt;=20,"10 to 20", F693&lt;= 40, "20 to 40", F693 &lt;= 50, "40 to 50", F693 &gt; 50, "&gt;50" )</f>
        <v>0 to 5</v>
      </c>
    </row>
    <row r="694" spans="1:15" ht="14.4" x14ac:dyDescent="0.3">
      <c r="A694" t="s">
        <v>177</v>
      </c>
      <c r="B694" s="1">
        <v>46177</v>
      </c>
      <c r="C694" t="s">
        <v>16</v>
      </c>
      <c r="D694">
        <v>639</v>
      </c>
      <c r="E694">
        <v>1</v>
      </c>
      <c r="F694">
        <v>8.6999999999999993</v>
      </c>
      <c r="G694" t="s">
        <v>17</v>
      </c>
      <c r="I694" t="str">
        <f t="shared" si="10"/>
        <v>639_1</v>
      </c>
      <c r="J694" t="s">
        <v>178</v>
      </c>
      <c r="K694" t="s">
        <v>179</v>
      </c>
      <c r="L694" t="str">
        <f>_xlfn.XLOOKUP(C694, Table2[Species],Table2[Genus], "Code Not Found")</f>
        <v>Acer</v>
      </c>
      <c r="M694" t="str">
        <f>_xlfn.XLOOKUP(C694, Table2[Species],Table2[Sp. Name], "Code Not Found")</f>
        <v>saccharum</v>
      </c>
      <c r="N694" t="str">
        <f>_xlfn.XLOOKUP(C694,Table2[Species],Table2[Family],"Code Not Found")</f>
        <v>Sapindaceae</v>
      </c>
      <c r="O694" t="str" cm="1">
        <f t="array" ref="O694">_xlfn.IFS(F694="","",F694&lt;=5,"0 to 5",F694&lt;=10,"5.1 to 10",F694&lt;=20,"10 to 20", F694&lt;= 40, "20 to 40", F694 &lt;= 50, "40 to 50", F694 &gt; 50, "&gt;50" )</f>
        <v>5.1 to 10</v>
      </c>
    </row>
    <row r="695" spans="1:15" ht="14.4" x14ac:dyDescent="0.3">
      <c r="A695" t="s">
        <v>177</v>
      </c>
      <c r="B695" s="1">
        <v>46177</v>
      </c>
      <c r="C695" t="s">
        <v>189</v>
      </c>
      <c r="D695">
        <v>640</v>
      </c>
      <c r="E695">
        <v>1</v>
      </c>
      <c r="F695">
        <v>75.3</v>
      </c>
      <c r="G695" t="s">
        <v>30</v>
      </c>
      <c r="H695" t="s">
        <v>194</v>
      </c>
      <c r="I695" t="str">
        <f t="shared" si="10"/>
        <v>640_1</v>
      </c>
      <c r="J695" t="s">
        <v>178</v>
      </c>
      <c r="K695" t="s">
        <v>179</v>
      </c>
      <c r="L695" t="str">
        <f>_xlfn.XLOOKUP(C695, Table2[Species],Table2[Genus], "Code Not Found")</f>
        <v>Juglans</v>
      </c>
      <c r="M695" t="str">
        <f>_xlfn.XLOOKUP(C695, Table2[Species],Table2[Sp. Name], "Code Not Found")</f>
        <v>nigra</v>
      </c>
      <c r="N695" t="str">
        <f>_xlfn.XLOOKUP(C695,Table2[Species],Table2[Family],"Code Not Found")</f>
        <v>Juglandaceae</v>
      </c>
      <c r="O695" t="str" cm="1">
        <f t="array" ref="O695">_xlfn.IFS(F695="","",F695&lt;=5,"0 to 5",F695&lt;=10,"5.1 to 10",F695&lt;=20,"10 to 20", F695&lt;= 40, "20 to 40", F695 &lt;= 50, "40 to 50", F695 &gt; 50, "&gt;50" )</f>
        <v>&gt;50</v>
      </c>
    </row>
    <row r="696" spans="1:15" ht="14.4" x14ac:dyDescent="0.3">
      <c r="A696" t="s">
        <v>177</v>
      </c>
      <c r="B696" s="1">
        <v>46177</v>
      </c>
      <c r="C696" t="s">
        <v>16</v>
      </c>
      <c r="D696">
        <v>641</v>
      </c>
      <c r="E696">
        <v>1</v>
      </c>
      <c r="F696">
        <v>38.1</v>
      </c>
      <c r="G696" t="s">
        <v>21</v>
      </c>
      <c r="H696" t="s">
        <v>195</v>
      </c>
      <c r="I696" t="str">
        <f t="shared" si="10"/>
        <v>641_1</v>
      </c>
      <c r="J696" t="s">
        <v>178</v>
      </c>
      <c r="K696" t="s">
        <v>179</v>
      </c>
      <c r="L696" t="str">
        <f>_xlfn.XLOOKUP(C696, Table2[Species],Table2[Genus], "Code Not Found")</f>
        <v>Acer</v>
      </c>
      <c r="M696" t="str">
        <f>_xlfn.XLOOKUP(C696, Table2[Species],Table2[Sp. Name], "Code Not Found")</f>
        <v>saccharum</v>
      </c>
      <c r="N696" t="str">
        <f>_xlfn.XLOOKUP(C696,Table2[Species],Table2[Family],"Code Not Found")</f>
        <v>Sapindaceae</v>
      </c>
      <c r="O696" t="str" cm="1">
        <f t="array" ref="O696">_xlfn.IFS(F696="","",F696&lt;=5,"0 to 5",F696&lt;=10,"5.1 to 10",F696&lt;=20,"10 to 20", F696&lt;= 40, "20 to 40", F696 &lt;= 50, "40 to 50", F696 &gt; 50, "&gt;50" )</f>
        <v>20 to 40</v>
      </c>
    </row>
    <row r="697" spans="1:15" ht="14.4" x14ac:dyDescent="0.3">
      <c r="A697" t="s">
        <v>177</v>
      </c>
      <c r="B697" s="1">
        <v>46177</v>
      </c>
      <c r="C697" t="s">
        <v>16</v>
      </c>
      <c r="D697">
        <v>642</v>
      </c>
      <c r="E697">
        <v>1</v>
      </c>
      <c r="F697">
        <v>3.7</v>
      </c>
      <c r="G697" t="s">
        <v>47</v>
      </c>
      <c r="I697" t="str">
        <f t="shared" si="10"/>
        <v>642_1</v>
      </c>
      <c r="J697" t="s">
        <v>178</v>
      </c>
      <c r="K697" t="s">
        <v>179</v>
      </c>
      <c r="L697" t="str">
        <f>_xlfn.XLOOKUP(C697, Table2[Species],Table2[Genus], "Code Not Found")</f>
        <v>Acer</v>
      </c>
      <c r="M697" t="str">
        <f>_xlfn.XLOOKUP(C697, Table2[Species],Table2[Sp. Name], "Code Not Found")</f>
        <v>saccharum</v>
      </c>
      <c r="N697" t="str">
        <f>_xlfn.XLOOKUP(C697,Table2[Species],Table2[Family],"Code Not Found")</f>
        <v>Sapindaceae</v>
      </c>
      <c r="O697" t="str" cm="1">
        <f t="array" ref="O697">_xlfn.IFS(F697="","",F697&lt;=5,"0 to 5",F697&lt;=10,"5.1 to 10",F697&lt;=20,"10 to 20", F697&lt;= 40, "20 to 40", F697 &lt;= 50, "40 to 50", F697 &gt; 50, "&gt;50" )</f>
        <v>0 to 5</v>
      </c>
    </row>
    <row r="698" spans="1:15" ht="14.4" x14ac:dyDescent="0.3">
      <c r="A698" t="s">
        <v>177</v>
      </c>
      <c r="B698" s="1">
        <v>46177</v>
      </c>
      <c r="C698" t="s">
        <v>16</v>
      </c>
      <c r="D698">
        <v>643</v>
      </c>
      <c r="E698">
        <v>1</v>
      </c>
      <c r="F698">
        <v>5.9</v>
      </c>
      <c r="G698" t="s">
        <v>21</v>
      </c>
      <c r="I698" t="str">
        <f t="shared" si="10"/>
        <v>643_1</v>
      </c>
      <c r="J698" t="s">
        <v>178</v>
      </c>
      <c r="K698" t="s">
        <v>179</v>
      </c>
      <c r="L698" t="str">
        <f>_xlfn.XLOOKUP(C698, Table2[Species],Table2[Genus], "Code Not Found")</f>
        <v>Acer</v>
      </c>
      <c r="M698" t="str">
        <f>_xlfn.XLOOKUP(C698, Table2[Species],Table2[Sp. Name], "Code Not Found")</f>
        <v>saccharum</v>
      </c>
      <c r="N698" t="str">
        <f>_xlfn.XLOOKUP(C698,Table2[Species],Table2[Family],"Code Not Found")</f>
        <v>Sapindaceae</v>
      </c>
      <c r="O698" t="str" cm="1">
        <f t="array" ref="O698">_xlfn.IFS(F698="","",F698&lt;=5,"0 to 5",F698&lt;=10,"5.1 to 10",F698&lt;=20,"10 to 20", F698&lt;= 40, "20 to 40", F698 &lt;= 50, "40 to 50", F698 &gt; 50, "&gt;50" )</f>
        <v>5.1 to 10</v>
      </c>
    </row>
    <row r="699" spans="1:15" ht="14.4" x14ac:dyDescent="0.3">
      <c r="A699" t="s">
        <v>177</v>
      </c>
      <c r="B699" s="1">
        <v>46177</v>
      </c>
      <c r="C699" t="s">
        <v>16</v>
      </c>
      <c r="D699">
        <v>644</v>
      </c>
      <c r="E699">
        <v>1</v>
      </c>
      <c r="F699">
        <v>5.5</v>
      </c>
      <c r="G699" t="s">
        <v>47</v>
      </c>
      <c r="I699" t="str">
        <f t="shared" si="10"/>
        <v>644_1</v>
      </c>
      <c r="J699" t="s">
        <v>178</v>
      </c>
      <c r="K699" t="s">
        <v>179</v>
      </c>
      <c r="L699" t="str">
        <f>_xlfn.XLOOKUP(C699, Table2[Species],Table2[Genus], "Code Not Found")</f>
        <v>Acer</v>
      </c>
      <c r="M699" t="str">
        <f>_xlfn.XLOOKUP(C699, Table2[Species],Table2[Sp. Name], "Code Not Found")</f>
        <v>saccharum</v>
      </c>
      <c r="N699" t="str">
        <f>_xlfn.XLOOKUP(C699,Table2[Species],Table2[Family],"Code Not Found")</f>
        <v>Sapindaceae</v>
      </c>
      <c r="O699" t="str" cm="1">
        <f t="array" ref="O699">_xlfn.IFS(F699="","",F699&lt;=5,"0 to 5",F699&lt;=10,"5.1 to 10",F699&lt;=20,"10 to 20", F699&lt;= 40, "20 to 40", F699 &lt;= 50, "40 to 50", F699 &gt; 50, "&gt;50" )</f>
        <v>5.1 to 10</v>
      </c>
    </row>
    <row r="700" spans="1:15" ht="14.4" x14ac:dyDescent="0.3">
      <c r="A700" t="s">
        <v>177</v>
      </c>
      <c r="B700" s="1">
        <v>46177</v>
      </c>
      <c r="C700" t="s">
        <v>16</v>
      </c>
      <c r="D700">
        <v>645</v>
      </c>
      <c r="E700">
        <v>1</v>
      </c>
      <c r="F700">
        <v>8.5</v>
      </c>
      <c r="G700" t="s">
        <v>17</v>
      </c>
      <c r="I700" t="str">
        <f t="shared" si="10"/>
        <v>645_1</v>
      </c>
      <c r="J700" t="s">
        <v>178</v>
      </c>
      <c r="K700" t="s">
        <v>179</v>
      </c>
      <c r="L700" t="str">
        <f>_xlfn.XLOOKUP(C700, Table2[Species],Table2[Genus], "Code Not Found")</f>
        <v>Acer</v>
      </c>
      <c r="M700" t="str">
        <f>_xlfn.XLOOKUP(C700, Table2[Species],Table2[Sp. Name], "Code Not Found")</f>
        <v>saccharum</v>
      </c>
      <c r="N700" t="str">
        <f>_xlfn.XLOOKUP(C700,Table2[Species],Table2[Family],"Code Not Found")</f>
        <v>Sapindaceae</v>
      </c>
      <c r="O700" t="str" cm="1">
        <f t="array" ref="O700">_xlfn.IFS(F700="","",F700&lt;=5,"0 to 5",F700&lt;=10,"5.1 to 10",F700&lt;=20,"10 to 20", F700&lt;= 40, "20 to 40", F700 &lt;= 50, "40 to 50", F700 &gt; 50, "&gt;50" )</f>
        <v>5.1 to 10</v>
      </c>
    </row>
    <row r="701" spans="1:15" ht="14.4" x14ac:dyDescent="0.3">
      <c r="A701" t="s">
        <v>177</v>
      </c>
      <c r="B701" s="1">
        <v>46177</v>
      </c>
      <c r="C701" t="s">
        <v>16</v>
      </c>
      <c r="D701">
        <v>646</v>
      </c>
      <c r="E701">
        <v>1</v>
      </c>
      <c r="F701">
        <v>4.5999999999999996</v>
      </c>
      <c r="G701" t="s">
        <v>196</v>
      </c>
      <c r="H701" t="s">
        <v>197</v>
      </c>
      <c r="I701" t="str">
        <f t="shared" si="10"/>
        <v>646_1</v>
      </c>
      <c r="J701" t="s">
        <v>178</v>
      </c>
      <c r="K701" t="s">
        <v>179</v>
      </c>
      <c r="L701" t="str">
        <f>_xlfn.XLOOKUP(C701, Table2[Species],Table2[Genus], "Code Not Found")</f>
        <v>Acer</v>
      </c>
      <c r="M701" t="str">
        <f>_xlfn.XLOOKUP(C701, Table2[Species],Table2[Sp. Name], "Code Not Found")</f>
        <v>saccharum</v>
      </c>
      <c r="N701" t="str">
        <f>_xlfn.XLOOKUP(C701,Table2[Species],Table2[Family],"Code Not Found")</f>
        <v>Sapindaceae</v>
      </c>
      <c r="O701" t="str" cm="1">
        <f t="array" ref="O701">_xlfn.IFS(F701="","",F701&lt;=5,"0 to 5",F701&lt;=10,"5.1 to 10",F701&lt;=20,"10 to 20", F701&lt;= 40, "20 to 40", F701 &lt;= 50, "40 to 50", F701 &gt; 50, "&gt;50" )</f>
        <v>0 to 5</v>
      </c>
    </row>
    <row r="702" spans="1:15" ht="14.4" x14ac:dyDescent="0.3">
      <c r="A702" t="s">
        <v>177</v>
      </c>
      <c r="B702" s="1">
        <v>46177</v>
      </c>
      <c r="C702" t="s">
        <v>64</v>
      </c>
      <c r="D702">
        <v>647</v>
      </c>
      <c r="E702">
        <v>1</v>
      </c>
      <c r="F702">
        <v>9.1999999999999993</v>
      </c>
      <c r="G702" t="s">
        <v>30</v>
      </c>
      <c r="H702" t="s">
        <v>198</v>
      </c>
      <c r="I702" t="str">
        <f t="shared" si="10"/>
        <v>647_1</v>
      </c>
      <c r="J702" t="s">
        <v>178</v>
      </c>
      <c r="K702" t="s">
        <v>179</v>
      </c>
      <c r="L702" t="str">
        <f>_xlfn.XLOOKUP(C702, Table2[Species],Table2[Genus], "Code Not Found")</f>
        <v>Fagus</v>
      </c>
      <c r="M702" t="str">
        <f>_xlfn.XLOOKUP(C702, Table2[Species],Table2[Sp. Name], "Code Not Found")</f>
        <v>grandifolia</v>
      </c>
      <c r="N702" t="str">
        <f>_xlfn.XLOOKUP(C702,Table2[Species],Table2[Family],"Code Not Found")</f>
        <v>Fagaceae</v>
      </c>
      <c r="O702" t="str" cm="1">
        <f t="array" ref="O702">_xlfn.IFS(F702="","",F702&lt;=5,"0 to 5",F702&lt;=10,"5.1 to 10",F702&lt;=20,"10 to 20", F702&lt;= 40, "20 to 40", F702 &lt;= 50, "40 to 50", F702 &gt; 50, "&gt;50" )</f>
        <v>5.1 to 10</v>
      </c>
    </row>
    <row r="703" spans="1:15" ht="14.4" x14ac:dyDescent="0.3">
      <c r="A703" t="s">
        <v>177</v>
      </c>
      <c r="B703" s="1">
        <v>46177</v>
      </c>
      <c r="C703" t="s">
        <v>16</v>
      </c>
      <c r="D703">
        <v>648</v>
      </c>
      <c r="E703">
        <v>1</v>
      </c>
      <c r="F703">
        <v>5.6</v>
      </c>
      <c r="G703" t="s">
        <v>17</v>
      </c>
      <c r="I703" t="str">
        <f t="shared" si="10"/>
        <v>648_1</v>
      </c>
      <c r="J703" t="s">
        <v>178</v>
      </c>
      <c r="K703" t="s">
        <v>179</v>
      </c>
      <c r="L703" t="str">
        <f>_xlfn.XLOOKUP(C703, Table2[Species],Table2[Genus], "Code Not Found")</f>
        <v>Acer</v>
      </c>
      <c r="M703" t="str">
        <f>_xlfn.XLOOKUP(C703, Table2[Species],Table2[Sp. Name], "Code Not Found")</f>
        <v>saccharum</v>
      </c>
      <c r="N703" t="str">
        <f>_xlfn.XLOOKUP(C703,Table2[Species],Table2[Family],"Code Not Found")</f>
        <v>Sapindaceae</v>
      </c>
      <c r="O703" t="str" cm="1">
        <f t="array" ref="O703">_xlfn.IFS(F703="","",F703&lt;=5,"0 to 5",F703&lt;=10,"5.1 to 10",F703&lt;=20,"10 to 20", F703&lt;= 40, "20 to 40", F703 &lt;= 50, "40 to 50", F703 &gt; 50, "&gt;50" )</f>
        <v>5.1 to 10</v>
      </c>
    </row>
    <row r="704" spans="1:15" ht="14.4" x14ac:dyDescent="0.3">
      <c r="A704" t="s">
        <v>177</v>
      </c>
      <c r="B704" s="1">
        <v>46177</v>
      </c>
      <c r="C704" t="s">
        <v>16</v>
      </c>
      <c r="D704">
        <v>649</v>
      </c>
      <c r="E704">
        <v>1</v>
      </c>
      <c r="F704">
        <v>7.5</v>
      </c>
      <c r="G704" t="s">
        <v>38</v>
      </c>
      <c r="H704" t="s">
        <v>43</v>
      </c>
      <c r="I704" t="str">
        <f t="shared" si="10"/>
        <v>649_1</v>
      </c>
      <c r="J704" t="s">
        <v>178</v>
      </c>
      <c r="K704" t="s">
        <v>179</v>
      </c>
      <c r="L704" t="str">
        <f>_xlfn.XLOOKUP(C704, Table2[Species],Table2[Genus], "Code Not Found")</f>
        <v>Acer</v>
      </c>
      <c r="M704" t="str">
        <f>_xlfn.XLOOKUP(C704, Table2[Species],Table2[Sp. Name], "Code Not Found")</f>
        <v>saccharum</v>
      </c>
      <c r="N704" t="str">
        <f>_xlfn.XLOOKUP(C704,Table2[Species],Table2[Family],"Code Not Found")</f>
        <v>Sapindaceae</v>
      </c>
      <c r="O704" t="str" cm="1">
        <f t="array" ref="O704">_xlfn.IFS(F704="","",F704&lt;=5,"0 to 5",F704&lt;=10,"5.1 to 10",F704&lt;=20,"10 to 20", F704&lt;= 40, "20 to 40", F704 &lt;= 50, "40 to 50", F704 &gt; 50, "&gt;50" )</f>
        <v>5.1 to 10</v>
      </c>
    </row>
    <row r="705" spans="1:15" ht="14.4" x14ac:dyDescent="0.3">
      <c r="A705" t="s">
        <v>177</v>
      </c>
      <c r="B705" s="1">
        <v>46177</v>
      </c>
      <c r="C705" t="s">
        <v>16</v>
      </c>
      <c r="D705">
        <v>650</v>
      </c>
      <c r="E705">
        <v>1</v>
      </c>
      <c r="F705">
        <v>2</v>
      </c>
      <c r="G705" t="s">
        <v>21</v>
      </c>
      <c r="H705" t="s">
        <v>43</v>
      </c>
      <c r="I705" t="str">
        <f t="shared" si="10"/>
        <v>650_1</v>
      </c>
      <c r="J705" t="s">
        <v>178</v>
      </c>
      <c r="K705" t="s">
        <v>179</v>
      </c>
      <c r="L705" t="str">
        <f>_xlfn.XLOOKUP(C705, Table2[Species],Table2[Genus], "Code Not Found")</f>
        <v>Acer</v>
      </c>
      <c r="M705" t="str">
        <f>_xlfn.XLOOKUP(C705, Table2[Species],Table2[Sp. Name], "Code Not Found")</f>
        <v>saccharum</v>
      </c>
      <c r="N705" t="str">
        <f>_xlfn.XLOOKUP(C705,Table2[Species],Table2[Family],"Code Not Found")</f>
        <v>Sapindaceae</v>
      </c>
      <c r="O705" t="str" cm="1">
        <f t="array" ref="O705">_xlfn.IFS(F705="","",F705&lt;=5,"0 to 5",F705&lt;=10,"5.1 to 10",F705&lt;=20,"10 to 20", F705&lt;= 40, "20 to 40", F705 &lt;= 50, "40 to 50", F705 &gt; 50, "&gt;50" )</f>
        <v>0 to 5</v>
      </c>
    </row>
    <row r="706" spans="1:15" ht="14.4" x14ac:dyDescent="0.3">
      <c r="A706" t="s">
        <v>177</v>
      </c>
      <c r="B706" s="1">
        <v>46177</v>
      </c>
      <c r="C706" t="s">
        <v>64</v>
      </c>
      <c r="D706">
        <v>651</v>
      </c>
      <c r="E706">
        <v>1</v>
      </c>
      <c r="F706">
        <v>29.5</v>
      </c>
      <c r="G706" t="s">
        <v>21</v>
      </c>
      <c r="I706" t="str">
        <f t="shared" si="10"/>
        <v>651_1</v>
      </c>
      <c r="J706" t="s">
        <v>178</v>
      </c>
      <c r="K706" t="s">
        <v>179</v>
      </c>
      <c r="L706" t="str">
        <f>_xlfn.XLOOKUP(C706, Table2[Species],Table2[Genus], "Code Not Found")</f>
        <v>Fagus</v>
      </c>
      <c r="M706" t="str">
        <f>_xlfn.XLOOKUP(C706, Table2[Species],Table2[Sp. Name], "Code Not Found")</f>
        <v>grandifolia</v>
      </c>
      <c r="N706" t="str">
        <f>_xlfn.XLOOKUP(C706,Table2[Species],Table2[Family],"Code Not Found")</f>
        <v>Fagaceae</v>
      </c>
      <c r="O706" t="str" cm="1">
        <f t="array" ref="O706">_xlfn.IFS(F706="","",F706&lt;=5,"0 to 5",F706&lt;=10,"5.1 to 10",F706&lt;=20,"10 to 20", F706&lt;= 40, "20 to 40", F706 &lt;= 50, "40 to 50", F706 &gt; 50, "&gt;50" )</f>
        <v>20 to 40</v>
      </c>
    </row>
    <row r="707" spans="1:15" ht="14.4" x14ac:dyDescent="0.3">
      <c r="A707" t="s">
        <v>177</v>
      </c>
      <c r="B707" s="1">
        <v>46177</v>
      </c>
      <c r="C707" t="s">
        <v>16</v>
      </c>
      <c r="D707">
        <v>652</v>
      </c>
      <c r="E707">
        <v>1</v>
      </c>
      <c r="F707">
        <v>1.9</v>
      </c>
      <c r="G707" t="s">
        <v>21</v>
      </c>
      <c r="I707" t="str">
        <f t="shared" si="10"/>
        <v>652_1</v>
      </c>
      <c r="J707" t="s">
        <v>178</v>
      </c>
      <c r="K707" t="s">
        <v>179</v>
      </c>
      <c r="L707" t="str">
        <f>_xlfn.XLOOKUP(C707, Table2[Species],Table2[Genus], "Code Not Found")</f>
        <v>Acer</v>
      </c>
      <c r="M707" t="str">
        <f>_xlfn.XLOOKUP(C707, Table2[Species],Table2[Sp. Name], "Code Not Found")</f>
        <v>saccharum</v>
      </c>
      <c r="N707" t="str">
        <f>_xlfn.XLOOKUP(C707,Table2[Species],Table2[Family],"Code Not Found")</f>
        <v>Sapindaceae</v>
      </c>
      <c r="O707" t="str" cm="1">
        <f t="array" ref="O707">_xlfn.IFS(F707="","",F707&lt;=5,"0 to 5",F707&lt;=10,"5.1 to 10",F707&lt;=20,"10 to 20", F707&lt;= 40, "20 to 40", F707 &lt;= 50, "40 to 50", F707 &gt; 50, "&gt;50" )</f>
        <v>0 to 5</v>
      </c>
    </row>
    <row r="708" spans="1:15" ht="14.4" x14ac:dyDescent="0.3">
      <c r="A708" t="s">
        <v>177</v>
      </c>
      <c r="B708" s="1">
        <v>46177</v>
      </c>
      <c r="C708" t="s">
        <v>16</v>
      </c>
      <c r="D708">
        <v>653</v>
      </c>
      <c r="E708">
        <v>1</v>
      </c>
      <c r="F708">
        <v>3.6</v>
      </c>
      <c r="G708" t="s">
        <v>47</v>
      </c>
      <c r="H708" t="s">
        <v>43</v>
      </c>
      <c r="I708" t="str">
        <f t="shared" ref="I708:I770" si="11">D708&amp;"_"&amp;E708</f>
        <v>653_1</v>
      </c>
      <c r="J708" t="s">
        <v>178</v>
      </c>
      <c r="K708" t="s">
        <v>179</v>
      </c>
      <c r="L708" t="str">
        <f>_xlfn.XLOOKUP(C708, Table2[Species],Table2[Genus], "Code Not Found")</f>
        <v>Acer</v>
      </c>
      <c r="M708" t="str">
        <f>_xlfn.XLOOKUP(C708, Table2[Species],Table2[Sp. Name], "Code Not Found")</f>
        <v>saccharum</v>
      </c>
      <c r="N708" t="str">
        <f>_xlfn.XLOOKUP(C708,Table2[Species],Table2[Family],"Code Not Found")</f>
        <v>Sapindaceae</v>
      </c>
      <c r="O708" t="str" cm="1">
        <f t="array" ref="O708">_xlfn.IFS(F708="","",F708&lt;=5,"0 to 5",F708&lt;=10,"5.1 to 10",F708&lt;=20,"10 to 20", F708&lt;= 40, "20 to 40", F708 &lt;= 50, "40 to 50", F708 &gt; 50, "&gt;50" )</f>
        <v>0 to 5</v>
      </c>
    </row>
    <row r="709" spans="1:15" ht="14.4" x14ac:dyDescent="0.3">
      <c r="A709" t="s">
        <v>177</v>
      </c>
      <c r="B709" s="1">
        <v>46177</v>
      </c>
      <c r="C709" t="s">
        <v>16</v>
      </c>
      <c r="D709">
        <v>654</v>
      </c>
      <c r="E709">
        <v>1</v>
      </c>
      <c r="F709">
        <v>1.3</v>
      </c>
      <c r="G709" t="s">
        <v>17</v>
      </c>
      <c r="I709" t="str">
        <f t="shared" si="11"/>
        <v>654_1</v>
      </c>
      <c r="J709" t="s">
        <v>178</v>
      </c>
      <c r="K709" t="s">
        <v>179</v>
      </c>
      <c r="L709" t="str">
        <f>_xlfn.XLOOKUP(C709, Table2[Species],Table2[Genus], "Code Not Found")</f>
        <v>Acer</v>
      </c>
      <c r="M709" t="str">
        <f>_xlfn.XLOOKUP(C709, Table2[Species],Table2[Sp. Name], "Code Not Found")</f>
        <v>saccharum</v>
      </c>
      <c r="N709" t="str">
        <f>_xlfn.XLOOKUP(C709,Table2[Species],Table2[Family],"Code Not Found")</f>
        <v>Sapindaceae</v>
      </c>
      <c r="O709" t="str" cm="1">
        <f t="array" ref="O709">_xlfn.IFS(F709="","",F709&lt;=5,"0 to 5",F709&lt;=10,"5.1 to 10",F709&lt;=20,"10 to 20", F709&lt;= 40, "20 to 40", F709 &lt;= 50, "40 to 50", F709 &gt; 50, "&gt;50" )</f>
        <v>0 to 5</v>
      </c>
    </row>
    <row r="710" spans="1:15" ht="14.4" x14ac:dyDescent="0.3">
      <c r="A710" t="s">
        <v>177</v>
      </c>
      <c r="B710" s="1">
        <v>46177</v>
      </c>
      <c r="C710" t="s">
        <v>64</v>
      </c>
      <c r="D710">
        <v>655</v>
      </c>
      <c r="E710">
        <v>1</v>
      </c>
      <c r="F710">
        <v>8.3000000000000007</v>
      </c>
      <c r="G710" t="s">
        <v>21</v>
      </c>
      <c r="I710" t="str">
        <f t="shared" si="11"/>
        <v>655_1</v>
      </c>
      <c r="J710" t="s">
        <v>178</v>
      </c>
      <c r="K710" t="s">
        <v>179</v>
      </c>
      <c r="L710" t="str">
        <f>_xlfn.XLOOKUP(C710, Table2[Species],Table2[Genus], "Code Not Found")</f>
        <v>Fagus</v>
      </c>
      <c r="M710" t="str">
        <f>_xlfn.XLOOKUP(C710, Table2[Species],Table2[Sp. Name], "Code Not Found")</f>
        <v>grandifolia</v>
      </c>
      <c r="N710" t="str">
        <f>_xlfn.XLOOKUP(C710,Table2[Species],Table2[Family],"Code Not Found")</f>
        <v>Fagaceae</v>
      </c>
      <c r="O710" t="str" cm="1">
        <f t="array" ref="O710">_xlfn.IFS(F710="","",F710&lt;=5,"0 to 5",F710&lt;=10,"5.1 to 10",F710&lt;=20,"10 to 20", F710&lt;= 40, "20 to 40", F710 &lt;= 50, "40 to 50", F710 &gt; 50, "&gt;50" )</f>
        <v>5.1 to 10</v>
      </c>
    </row>
    <row r="711" spans="1:15" ht="14.4" x14ac:dyDescent="0.3">
      <c r="A711" t="s">
        <v>177</v>
      </c>
      <c r="B711" s="1">
        <v>46177</v>
      </c>
      <c r="C711" t="s">
        <v>16</v>
      </c>
      <c r="D711">
        <v>656</v>
      </c>
      <c r="E711">
        <v>1</v>
      </c>
      <c r="F711">
        <v>21.6</v>
      </c>
      <c r="G711" t="s">
        <v>17</v>
      </c>
      <c r="H711" t="s">
        <v>36</v>
      </c>
      <c r="I711" t="str">
        <f t="shared" si="11"/>
        <v>656_1</v>
      </c>
      <c r="J711" t="s">
        <v>178</v>
      </c>
      <c r="K711" t="s">
        <v>179</v>
      </c>
      <c r="L711" t="str">
        <f>_xlfn.XLOOKUP(C711, Table2[Species],Table2[Genus], "Code Not Found")</f>
        <v>Acer</v>
      </c>
      <c r="M711" t="str">
        <f>_xlfn.XLOOKUP(C711, Table2[Species],Table2[Sp. Name], "Code Not Found")</f>
        <v>saccharum</v>
      </c>
      <c r="N711" t="str">
        <f>_xlfn.XLOOKUP(C711,Table2[Species],Table2[Family],"Code Not Found")</f>
        <v>Sapindaceae</v>
      </c>
      <c r="O711" t="str" cm="1">
        <f t="array" ref="O711">_xlfn.IFS(F711="","",F711&lt;=5,"0 to 5",F711&lt;=10,"5.1 to 10",F711&lt;=20,"10 to 20", F711&lt;= 40, "20 to 40", F711 &lt;= 50, "40 to 50", F711 &gt; 50, "&gt;50" )</f>
        <v>20 to 40</v>
      </c>
    </row>
    <row r="712" spans="1:15" ht="14.4" x14ac:dyDescent="0.3">
      <c r="A712" t="s">
        <v>177</v>
      </c>
      <c r="B712" s="1">
        <v>46177</v>
      </c>
      <c r="C712" t="s">
        <v>123</v>
      </c>
      <c r="D712">
        <v>657</v>
      </c>
      <c r="E712">
        <v>1</v>
      </c>
      <c r="F712">
        <v>134.80000000000001</v>
      </c>
      <c r="G712" t="s">
        <v>17</v>
      </c>
      <c r="I712" t="str">
        <f t="shared" si="11"/>
        <v>657_1</v>
      </c>
      <c r="J712" t="s">
        <v>178</v>
      </c>
      <c r="K712" t="s">
        <v>179</v>
      </c>
      <c r="L712" t="str">
        <f>_xlfn.XLOOKUP(C712, Table2[Species],Table2[Genus], "Code Not Found")</f>
        <v>Quercus</v>
      </c>
      <c r="M712" t="str">
        <f>_xlfn.XLOOKUP(C712, Table2[Species],Table2[Sp. Name], "Code Not Found")</f>
        <v>rubra</v>
      </c>
      <c r="N712" t="str">
        <f>_xlfn.XLOOKUP(C712,Table2[Species],Table2[Family],"Code Not Found")</f>
        <v>Fagaceae</v>
      </c>
      <c r="O712" t="str" cm="1">
        <f t="array" ref="O712">_xlfn.IFS(F712="","",F712&lt;=5,"0 to 5",F712&lt;=10,"5.1 to 10",F712&lt;=20,"10 to 20", F712&lt;= 40, "20 to 40", F712 &lt;= 50, "40 to 50", F712 &gt; 50, "&gt;50" )</f>
        <v>&gt;50</v>
      </c>
    </row>
    <row r="713" spans="1:15" ht="14.4" x14ac:dyDescent="0.3">
      <c r="A713" t="s">
        <v>177</v>
      </c>
      <c r="B713" s="1">
        <v>46177</v>
      </c>
      <c r="C713" t="s">
        <v>16</v>
      </c>
      <c r="D713">
        <v>658</v>
      </c>
      <c r="E713">
        <v>1</v>
      </c>
      <c r="F713">
        <v>13.3</v>
      </c>
      <c r="G713" t="s">
        <v>21</v>
      </c>
      <c r="I713" t="str">
        <f t="shared" si="11"/>
        <v>658_1</v>
      </c>
      <c r="J713" t="s">
        <v>178</v>
      </c>
      <c r="K713" t="s">
        <v>179</v>
      </c>
      <c r="L713" t="str">
        <f>_xlfn.XLOOKUP(C713, Table2[Species],Table2[Genus], "Code Not Found")</f>
        <v>Acer</v>
      </c>
      <c r="M713" t="str">
        <f>_xlfn.XLOOKUP(C713, Table2[Species],Table2[Sp. Name], "Code Not Found")</f>
        <v>saccharum</v>
      </c>
      <c r="N713" t="str">
        <f>_xlfn.XLOOKUP(C713,Table2[Species],Table2[Family],"Code Not Found")</f>
        <v>Sapindaceae</v>
      </c>
      <c r="O713" t="str" cm="1">
        <f t="array" ref="O713">_xlfn.IFS(F713="","",F713&lt;=5,"0 to 5",F713&lt;=10,"5.1 to 10",F713&lt;=20,"10 to 20", F713&lt;= 40, "20 to 40", F713 &lt;= 50, "40 to 50", F713 &gt; 50, "&gt;50" )</f>
        <v>10 to 20</v>
      </c>
    </row>
    <row r="714" spans="1:15" ht="14.4" x14ac:dyDescent="0.3">
      <c r="A714" t="s">
        <v>177</v>
      </c>
      <c r="B714" s="1">
        <v>46177</v>
      </c>
      <c r="C714" t="s">
        <v>64</v>
      </c>
      <c r="D714">
        <v>659</v>
      </c>
      <c r="E714">
        <v>1</v>
      </c>
      <c r="F714">
        <v>8.6</v>
      </c>
      <c r="G714" t="s">
        <v>21</v>
      </c>
      <c r="I714" t="str">
        <f t="shared" si="11"/>
        <v>659_1</v>
      </c>
      <c r="J714" t="s">
        <v>178</v>
      </c>
      <c r="K714" t="s">
        <v>179</v>
      </c>
      <c r="L714" t="str">
        <f>_xlfn.XLOOKUP(C714, Table2[Species],Table2[Genus], "Code Not Found")</f>
        <v>Fagus</v>
      </c>
      <c r="M714" t="str">
        <f>_xlfn.XLOOKUP(C714, Table2[Species],Table2[Sp. Name], "Code Not Found")</f>
        <v>grandifolia</v>
      </c>
      <c r="N714" t="str">
        <f>_xlfn.XLOOKUP(C714,Table2[Species],Table2[Family],"Code Not Found")</f>
        <v>Fagaceae</v>
      </c>
      <c r="O714" t="str" cm="1">
        <f t="array" ref="O714">_xlfn.IFS(F714="","",F714&lt;=5,"0 to 5",F714&lt;=10,"5.1 to 10",F714&lt;=20,"10 to 20", F714&lt;= 40, "20 to 40", F714 &lt;= 50, "40 to 50", F714 &gt; 50, "&gt;50" )</f>
        <v>5.1 to 10</v>
      </c>
    </row>
    <row r="715" spans="1:15" ht="14.4" x14ac:dyDescent="0.3">
      <c r="A715" t="s">
        <v>177</v>
      </c>
      <c r="B715" s="1">
        <v>46177</v>
      </c>
      <c r="C715" t="s">
        <v>64</v>
      </c>
      <c r="D715">
        <v>660</v>
      </c>
      <c r="E715">
        <v>1</v>
      </c>
      <c r="F715">
        <v>11.9</v>
      </c>
      <c r="G715" t="s">
        <v>17</v>
      </c>
      <c r="I715" t="str">
        <f t="shared" si="11"/>
        <v>660_1</v>
      </c>
      <c r="J715" t="s">
        <v>178</v>
      </c>
      <c r="K715" t="s">
        <v>179</v>
      </c>
      <c r="L715" t="str">
        <f>_xlfn.XLOOKUP(C715, Table2[Species],Table2[Genus], "Code Not Found")</f>
        <v>Fagus</v>
      </c>
      <c r="M715" t="str">
        <f>_xlfn.XLOOKUP(C715, Table2[Species],Table2[Sp. Name], "Code Not Found")</f>
        <v>grandifolia</v>
      </c>
      <c r="N715" t="str">
        <f>_xlfn.XLOOKUP(C715,Table2[Species],Table2[Family],"Code Not Found")</f>
        <v>Fagaceae</v>
      </c>
      <c r="O715" t="str" cm="1">
        <f t="array" ref="O715">_xlfn.IFS(F715="","",F715&lt;=5,"0 to 5",F715&lt;=10,"5.1 to 10",F715&lt;=20,"10 to 20", F715&lt;= 40, "20 to 40", F715 &lt;= 50, "40 to 50", F715 &gt; 50, "&gt;50" )</f>
        <v>10 to 20</v>
      </c>
    </row>
    <row r="716" spans="1:15" ht="14.4" x14ac:dyDescent="0.3">
      <c r="A716" t="s">
        <v>177</v>
      </c>
      <c r="B716" s="1">
        <v>46177</v>
      </c>
      <c r="C716" t="s">
        <v>16</v>
      </c>
      <c r="D716">
        <v>661</v>
      </c>
      <c r="E716">
        <v>1</v>
      </c>
      <c r="F716">
        <v>73.5</v>
      </c>
      <c r="G716" t="s">
        <v>21</v>
      </c>
      <c r="I716" t="str">
        <f t="shared" si="11"/>
        <v>661_1</v>
      </c>
      <c r="J716" t="s">
        <v>178</v>
      </c>
      <c r="K716" t="s">
        <v>179</v>
      </c>
      <c r="L716" t="str">
        <f>_xlfn.XLOOKUP(C716, Table2[Species],Table2[Genus], "Code Not Found")</f>
        <v>Acer</v>
      </c>
      <c r="M716" t="str">
        <f>_xlfn.XLOOKUP(C716, Table2[Species],Table2[Sp. Name], "Code Not Found")</f>
        <v>saccharum</v>
      </c>
      <c r="N716" t="str">
        <f>_xlfn.XLOOKUP(C716,Table2[Species],Table2[Family],"Code Not Found")</f>
        <v>Sapindaceae</v>
      </c>
      <c r="O716" t="str" cm="1">
        <f t="array" ref="O716">_xlfn.IFS(F716="","",F716&lt;=5,"0 to 5",F716&lt;=10,"5.1 to 10",F716&lt;=20,"10 to 20", F716&lt;= 40, "20 to 40", F716 &lt;= 50, "40 to 50", F716 &gt; 50, "&gt;50" )</f>
        <v>&gt;50</v>
      </c>
    </row>
    <row r="717" spans="1:15" ht="14.4" x14ac:dyDescent="0.3">
      <c r="A717" t="s">
        <v>177</v>
      </c>
      <c r="B717" s="1">
        <v>46177</v>
      </c>
      <c r="C717" t="s">
        <v>16</v>
      </c>
      <c r="D717">
        <v>662</v>
      </c>
      <c r="E717">
        <v>1</v>
      </c>
      <c r="F717">
        <v>15.5</v>
      </c>
      <c r="G717" t="s">
        <v>38</v>
      </c>
      <c r="I717" t="str">
        <f t="shared" si="11"/>
        <v>662_1</v>
      </c>
      <c r="J717" t="s">
        <v>178</v>
      </c>
      <c r="K717" t="s">
        <v>179</v>
      </c>
      <c r="L717" t="str">
        <f>_xlfn.XLOOKUP(C717, Table2[Species],Table2[Genus], "Code Not Found")</f>
        <v>Acer</v>
      </c>
      <c r="M717" t="str">
        <f>_xlfn.XLOOKUP(C717, Table2[Species],Table2[Sp. Name], "Code Not Found")</f>
        <v>saccharum</v>
      </c>
      <c r="N717" t="str">
        <f>_xlfn.XLOOKUP(C717,Table2[Species],Table2[Family],"Code Not Found")</f>
        <v>Sapindaceae</v>
      </c>
      <c r="O717" t="str" cm="1">
        <f t="array" ref="O717">_xlfn.IFS(F717="","",F717&lt;=5,"0 to 5",F717&lt;=10,"5.1 to 10",F717&lt;=20,"10 to 20", F717&lt;= 40, "20 to 40", F717 &lt;= 50, "40 to 50", F717 &gt; 50, "&gt;50" )</f>
        <v>10 to 20</v>
      </c>
    </row>
    <row r="718" spans="1:15" ht="14.4" x14ac:dyDescent="0.3">
      <c r="A718" t="s">
        <v>177</v>
      </c>
      <c r="B718" s="1">
        <v>46177</v>
      </c>
      <c r="C718" t="s">
        <v>16</v>
      </c>
      <c r="D718">
        <v>663</v>
      </c>
      <c r="E718">
        <v>1</v>
      </c>
      <c r="F718">
        <v>9.6999999999999993</v>
      </c>
      <c r="G718" t="s">
        <v>47</v>
      </c>
      <c r="H718" t="s">
        <v>43</v>
      </c>
      <c r="I718" t="str">
        <f t="shared" si="11"/>
        <v>663_1</v>
      </c>
      <c r="J718" t="s">
        <v>178</v>
      </c>
      <c r="K718" t="s">
        <v>179</v>
      </c>
      <c r="L718" t="str">
        <f>_xlfn.XLOOKUP(C718, Table2[Species],Table2[Genus], "Code Not Found")</f>
        <v>Acer</v>
      </c>
      <c r="M718" t="str">
        <f>_xlfn.XLOOKUP(C718, Table2[Species],Table2[Sp. Name], "Code Not Found")</f>
        <v>saccharum</v>
      </c>
      <c r="N718" t="str">
        <f>_xlfn.XLOOKUP(C718,Table2[Species],Table2[Family],"Code Not Found")</f>
        <v>Sapindaceae</v>
      </c>
      <c r="O718" t="str" cm="1">
        <f t="array" ref="O718">_xlfn.IFS(F718="","",F718&lt;=5,"0 to 5",F718&lt;=10,"5.1 to 10",F718&lt;=20,"10 to 20", F718&lt;= 40, "20 to 40", F718 &lt;= 50, "40 to 50", F718 &gt; 50, "&gt;50" )</f>
        <v>5.1 to 10</v>
      </c>
    </row>
    <row r="719" spans="1:15" ht="14.4" x14ac:dyDescent="0.3">
      <c r="A719" t="s">
        <v>177</v>
      </c>
      <c r="B719" s="1">
        <v>46177</v>
      </c>
      <c r="C719" t="s">
        <v>16</v>
      </c>
      <c r="D719">
        <v>664</v>
      </c>
      <c r="E719">
        <v>1</v>
      </c>
      <c r="F719">
        <v>8.1</v>
      </c>
      <c r="G719" t="s">
        <v>47</v>
      </c>
      <c r="H719" t="s">
        <v>43</v>
      </c>
      <c r="I719" t="str">
        <f t="shared" si="11"/>
        <v>664_1</v>
      </c>
      <c r="J719" t="s">
        <v>178</v>
      </c>
      <c r="K719" t="s">
        <v>179</v>
      </c>
      <c r="L719" t="str">
        <f>_xlfn.XLOOKUP(C719, Table2[Species],Table2[Genus], "Code Not Found")</f>
        <v>Acer</v>
      </c>
      <c r="M719" t="str">
        <f>_xlfn.XLOOKUP(C719, Table2[Species],Table2[Sp. Name], "Code Not Found")</f>
        <v>saccharum</v>
      </c>
      <c r="N719" t="str">
        <f>_xlfn.XLOOKUP(C719,Table2[Species],Table2[Family],"Code Not Found")</f>
        <v>Sapindaceae</v>
      </c>
      <c r="O719" t="str" cm="1">
        <f t="array" ref="O719">_xlfn.IFS(F719="","",F719&lt;=5,"0 to 5",F719&lt;=10,"5.1 to 10",F719&lt;=20,"10 to 20", F719&lt;= 40, "20 to 40", F719 &lt;= 50, "40 to 50", F719 &gt; 50, "&gt;50" )</f>
        <v>5.1 to 10</v>
      </c>
    </row>
    <row r="720" spans="1:15" ht="14.4" x14ac:dyDescent="0.3">
      <c r="A720" t="s">
        <v>177</v>
      </c>
      <c r="B720" s="1">
        <v>46177</v>
      </c>
      <c r="C720" t="s">
        <v>16</v>
      </c>
      <c r="D720">
        <v>665</v>
      </c>
      <c r="E720">
        <v>1</v>
      </c>
      <c r="F720">
        <v>4.3</v>
      </c>
      <c r="G720" t="s">
        <v>30</v>
      </c>
      <c r="H720" t="s">
        <v>99</v>
      </c>
      <c r="I720" t="str">
        <f t="shared" si="11"/>
        <v>665_1</v>
      </c>
      <c r="J720" t="s">
        <v>178</v>
      </c>
      <c r="K720" t="s">
        <v>179</v>
      </c>
      <c r="L720" t="str">
        <f>_xlfn.XLOOKUP(C720, Table2[Species],Table2[Genus], "Code Not Found")</f>
        <v>Acer</v>
      </c>
      <c r="M720" t="str">
        <f>_xlfn.XLOOKUP(C720, Table2[Species],Table2[Sp. Name], "Code Not Found")</f>
        <v>saccharum</v>
      </c>
      <c r="N720" t="str">
        <f>_xlfn.XLOOKUP(C720,Table2[Species],Table2[Family],"Code Not Found")</f>
        <v>Sapindaceae</v>
      </c>
      <c r="O720" t="str" cm="1">
        <f t="array" ref="O720">_xlfn.IFS(F720="","",F720&lt;=5,"0 to 5",F720&lt;=10,"5.1 to 10",F720&lt;=20,"10 to 20", F720&lt;= 40, "20 to 40", F720 &lt;= 50, "40 to 50", F720 &gt; 50, "&gt;50" )</f>
        <v>0 to 5</v>
      </c>
    </row>
    <row r="721" spans="1:15" ht="14.4" x14ac:dyDescent="0.3">
      <c r="A721" t="s">
        <v>177</v>
      </c>
      <c r="B721" s="1">
        <v>46177</v>
      </c>
      <c r="C721" t="s">
        <v>20</v>
      </c>
      <c r="D721">
        <v>666</v>
      </c>
      <c r="E721">
        <v>1</v>
      </c>
      <c r="F721">
        <v>65.5</v>
      </c>
      <c r="G721" t="s">
        <v>17</v>
      </c>
      <c r="H721" t="s">
        <v>199</v>
      </c>
      <c r="I721" t="str">
        <f t="shared" si="11"/>
        <v>666_1</v>
      </c>
      <c r="J721" t="s">
        <v>178</v>
      </c>
      <c r="K721" t="s">
        <v>179</v>
      </c>
      <c r="L721" t="str">
        <f>_xlfn.XLOOKUP(C721, Table2[Species],Table2[Genus], "Code Not Found")</f>
        <v>Prunus</v>
      </c>
      <c r="M721" t="str">
        <f>_xlfn.XLOOKUP(C721, Table2[Species],Table2[Sp. Name], "Code Not Found")</f>
        <v>serotina</v>
      </c>
      <c r="N721" t="str">
        <f>_xlfn.XLOOKUP(C721,Table2[Species],Table2[Family],"Code Not Found")</f>
        <v>Rosaceae</v>
      </c>
      <c r="O721" t="str" cm="1">
        <f t="array" ref="O721">_xlfn.IFS(F721="","",F721&lt;=5,"0 to 5",F721&lt;=10,"5.1 to 10",F721&lt;=20,"10 to 20", F721&lt;= 40, "20 to 40", F721 &lt;= 50, "40 to 50", F721 &gt; 50, "&gt;50" )</f>
        <v>&gt;50</v>
      </c>
    </row>
    <row r="722" spans="1:15" ht="14.4" x14ac:dyDescent="0.3">
      <c r="A722" t="s">
        <v>177</v>
      </c>
      <c r="B722" s="1">
        <v>46177</v>
      </c>
      <c r="C722" t="s">
        <v>16</v>
      </c>
      <c r="D722">
        <v>667</v>
      </c>
      <c r="E722">
        <v>1</v>
      </c>
      <c r="F722">
        <v>4.9000000000000004</v>
      </c>
      <c r="G722" t="s">
        <v>21</v>
      </c>
      <c r="I722" t="str">
        <f t="shared" si="11"/>
        <v>667_1</v>
      </c>
      <c r="J722" t="s">
        <v>178</v>
      </c>
      <c r="K722" t="s">
        <v>179</v>
      </c>
      <c r="L722" t="str">
        <f>_xlfn.XLOOKUP(C722, Table2[Species],Table2[Genus], "Code Not Found")</f>
        <v>Acer</v>
      </c>
      <c r="M722" t="str">
        <f>_xlfn.XLOOKUP(C722, Table2[Species],Table2[Sp. Name], "Code Not Found")</f>
        <v>saccharum</v>
      </c>
      <c r="N722" t="str">
        <f>_xlfn.XLOOKUP(C722,Table2[Species],Table2[Family],"Code Not Found")</f>
        <v>Sapindaceae</v>
      </c>
      <c r="O722" t="str" cm="1">
        <f t="array" ref="O722">_xlfn.IFS(F722="","",F722&lt;=5,"0 to 5",F722&lt;=10,"5.1 to 10",F722&lt;=20,"10 to 20", F722&lt;= 40, "20 to 40", F722 &lt;= 50, "40 to 50", F722 &gt; 50, "&gt;50" )</f>
        <v>0 to 5</v>
      </c>
    </row>
    <row r="723" spans="1:15" ht="14.4" x14ac:dyDescent="0.3">
      <c r="A723" t="s">
        <v>177</v>
      </c>
      <c r="B723" s="1">
        <v>46177</v>
      </c>
      <c r="C723" t="s">
        <v>16</v>
      </c>
      <c r="D723">
        <v>668</v>
      </c>
      <c r="E723">
        <v>1</v>
      </c>
      <c r="F723">
        <v>4.7</v>
      </c>
      <c r="G723" t="s">
        <v>21</v>
      </c>
      <c r="I723" t="str">
        <f t="shared" si="11"/>
        <v>668_1</v>
      </c>
      <c r="J723" t="s">
        <v>178</v>
      </c>
      <c r="K723" t="s">
        <v>179</v>
      </c>
      <c r="L723" t="str">
        <f>_xlfn.XLOOKUP(C723, Table2[Species],Table2[Genus], "Code Not Found")</f>
        <v>Acer</v>
      </c>
      <c r="M723" t="str">
        <f>_xlfn.XLOOKUP(C723, Table2[Species],Table2[Sp. Name], "Code Not Found")</f>
        <v>saccharum</v>
      </c>
      <c r="N723" t="str">
        <f>_xlfn.XLOOKUP(C723,Table2[Species],Table2[Family],"Code Not Found")</f>
        <v>Sapindaceae</v>
      </c>
      <c r="O723" t="str" cm="1">
        <f t="array" ref="O723">_xlfn.IFS(F723="","",F723&lt;=5,"0 to 5",F723&lt;=10,"5.1 to 10",F723&lt;=20,"10 to 20", F723&lt;= 40, "20 to 40", F723 &lt;= 50, "40 to 50", F723 &gt; 50, "&gt;50" )</f>
        <v>0 to 5</v>
      </c>
    </row>
    <row r="724" spans="1:15" ht="14.4" x14ac:dyDescent="0.3">
      <c r="A724" t="s">
        <v>177</v>
      </c>
      <c r="B724" s="1">
        <v>46177</v>
      </c>
      <c r="C724" t="s">
        <v>16</v>
      </c>
      <c r="D724">
        <v>669</v>
      </c>
      <c r="E724">
        <v>1</v>
      </c>
      <c r="F724">
        <v>46.8</v>
      </c>
      <c r="G724" t="s">
        <v>21</v>
      </c>
      <c r="I724" t="str">
        <f t="shared" si="11"/>
        <v>669_1</v>
      </c>
      <c r="J724" t="s">
        <v>178</v>
      </c>
      <c r="K724" t="s">
        <v>179</v>
      </c>
      <c r="L724" t="str">
        <f>_xlfn.XLOOKUP(C724, Table2[Species],Table2[Genus], "Code Not Found")</f>
        <v>Acer</v>
      </c>
      <c r="M724" t="str">
        <f>_xlfn.XLOOKUP(C724, Table2[Species],Table2[Sp. Name], "Code Not Found")</f>
        <v>saccharum</v>
      </c>
      <c r="N724" t="str">
        <f>_xlfn.XLOOKUP(C724,Table2[Species],Table2[Family],"Code Not Found")</f>
        <v>Sapindaceae</v>
      </c>
      <c r="O724" t="str" cm="1">
        <f t="array" ref="O724">_xlfn.IFS(F724="","",F724&lt;=5,"0 to 5",F724&lt;=10,"5.1 to 10",F724&lt;=20,"10 to 20", F724&lt;= 40, "20 to 40", F724 &lt;= 50, "40 to 50", F724 &gt; 50, "&gt;50" )</f>
        <v>40 to 50</v>
      </c>
    </row>
    <row r="725" spans="1:15" ht="14.4" x14ac:dyDescent="0.3">
      <c r="A725" t="s">
        <v>177</v>
      </c>
      <c r="B725" s="1">
        <v>46177</v>
      </c>
      <c r="C725" t="s">
        <v>16</v>
      </c>
      <c r="D725">
        <v>670</v>
      </c>
      <c r="E725">
        <v>1</v>
      </c>
      <c r="F725">
        <v>13.2</v>
      </c>
      <c r="G725" t="s">
        <v>30</v>
      </c>
      <c r="H725" t="s">
        <v>200</v>
      </c>
      <c r="I725" t="str">
        <f t="shared" si="11"/>
        <v>670_1</v>
      </c>
      <c r="J725" t="s">
        <v>178</v>
      </c>
      <c r="K725" t="s">
        <v>179</v>
      </c>
      <c r="L725" t="str">
        <f>_xlfn.XLOOKUP(C725, Table2[Species],Table2[Genus], "Code Not Found")</f>
        <v>Acer</v>
      </c>
      <c r="M725" t="str">
        <f>_xlfn.XLOOKUP(C725, Table2[Species],Table2[Sp. Name], "Code Not Found")</f>
        <v>saccharum</v>
      </c>
      <c r="N725" t="str">
        <f>_xlfn.XLOOKUP(C725,Table2[Species],Table2[Family],"Code Not Found")</f>
        <v>Sapindaceae</v>
      </c>
      <c r="O725" t="str" cm="1">
        <f t="array" ref="O725">_xlfn.IFS(F725="","",F725&lt;=5,"0 to 5",F725&lt;=10,"5.1 to 10",F725&lt;=20,"10 to 20", F725&lt;= 40, "20 to 40", F725 &lt;= 50, "40 to 50", F725 &gt; 50, "&gt;50" )</f>
        <v>10 to 20</v>
      </c>
    </row>
    <row r="726" spans="1:15" ht="14.4" x14ac:dyDescent="0.3">
      <c r="A726" t="s">
        <v>177</v>
      </c>
      <c r="B726" s="1">
        <v>46177</v>
      </c>
      <c r="C726" t="s">
        <v>22</v>
      </c>
      <c r="D726">
        <v>671</v>
      </c>
      <c r="E726">
        <v>1</v>
      </c>
      <c r="F726">
        <v>78</v>
      </c>
      <c r="G726" t="s">
        <v>21</v>
      </c>
      <c r="H726" t="s">
        <v>201</v>
      </c>
      <c r="I726" t="str">
        <f t="shared" si="11"/>
        <v>671_1</v>
      </c>
      <c r="J726" t="s">
        <v>178</v>
      </c>
      <c r="K726" t="s">
        <v>179</v>
      </c>
      <c r="L726" t="str">
        <f>_xlfn.XLOOKUP(C726, Table2[Species],Table2[Genus], "Code Not Found")</f>
        <v>Acer</v>
      </c>
      <c r="M726" t="str">
        <f>_xlfn.XLOOKUP(C726, Table2[Species],Table2[Sp. Name], "Code Not Found")</f>
        <v>rubrum</v>
      </c>
      <c r="N726" t="str">
        <f>_xlfn.XLOOKUP(C726,Table2[Species],Table2[Family],"Code Not Found")</f>
        <v>Sapindaceae</v>
      </c>
      <c r="O726" t="str" cm="1">
        <f t="array" ref="O726">_xlfn.IFS(F726="","",F726&lt;=5,"0 to 5",F726&lt;=10,"5.1 to 10",F726&lt;=20,"10 to 20", F726&lt;= 40, "20 to 40", F726 &lt;= 50, "40 to 50", F726 &gt; 50, "&gt;50" )</f>
        <v>&gt;50</v>
      </c>
    </row>
    <row r="727" spans="1:15" ht="14.4" x14ac:dyDescent="0.3">
      <c r="A727" t="s">
        <v>177</v>
      </c>
      <c r="B727" s="1">
        <v>46177</v>
      </c>
      <c r="C727" t="s">
        <v>16</v>
      </c>
      <c r="D727">
        <v>672</v>
      </c>
      <c r="E727">
        <v>1</v>
      </c>
      <c r="F727">
        <v>3.9</v>
      </c>
      <c r="G727" t="s">
        <v>17</v>
      </c>
      <c r="H727" t="s">
        <v>202</v>
      </c>
      <c r="I727" t="str">
        <f t="shared" si="11"/>
        <v>672_1</v>
      </c>
      <c r="J727" t="s">
        <v>178</v>
      </c>
      <c r="K727" t="s">
        <v>179</v>
      </c>
      <c r="L727" t="str">
        <f>_xlfn.XLOOKUP(C727, Table2[Species],Table2[Genus], "Code Not Found")</f>
        <v>Acer</v>
      </c>
      <c r="M727" t="str">
        <f>_xlfn.XLOOKUP(C727, Table2[Species],Table2[Sp. Name], "Code Not Found")</f>
        <v>saccharum</v>
      </c>
      <c r="N727" t="str">
        <f>_xlfn.XLOOKUP(C727,Table2[Species],Table2[Family],"Code Not Found")</f>
        <v>Sapindaceae</v>
      </c>
      <c r="O727" t="str" cm="1">
        <f t="array" ref="O727">_xlfn.IFS(F727="","",F727&lt;=5,"0 to 5",F727&lt;=10,"5.1 to 10",F727&lt;=20,"10 to 20", F727&lt;= 40, "20 to 40", F727 &lt;= 50, "40 to 50", F727 &gt; 50, "&gt;50" )</f>
        <v>0 to 5</v>
      </c>
    </row>
    <row r="728" spans="1:15" ht="14.4" x14ac:dyDescent="0.3">
      <c r="A728" t="s">
        <v>177</v>
      </c>
      <c r="B728" s="1">
        <v>46177</v>
      </c>
      <c r="C728" t="s">
        <v>16</v>
      </c>
      <c r="D728">
        <v>673</v>
      </c>
      <c r="E728">
        <v>1</v>
      </c>
      <c r="F728">
        <v>2.4</v>
      </c>
      <c r="G728" t="s">
        <v>21</v>
      </c>
      <c r="I728" t="str">
        <f t="shared" si="11"/>
        <v>673_1</v>
      </c>
      <c r="J728" t="s">
        <v>178</v>
      </c>
      <c r="K728" t="s">
        <v>179</v>
      </c>
      <c r="L728" t="str">
        <f>_xlfn.XLOOKUP(C728, Table2[Species],Table2[Genus], "Code Not Found")</f>
        <v>Acer</v>
      </c>
      <c r="M728" t="str">
        <f>_xlfn.XLOOKUP(C728, Table2[Species],Table2[Sp. Name], "Code Not Found")</f>
        <v>saccharum</v>
      </c>
      <c r="N728" t="str">
        <f>_xlfn.XLOOKUP(C728,Table2[Species],Table2[Family],"Code Not Found")</f>
        <v>Sapindaceae</v>
      </c>
      <c r="O728" t="str" cm="1">
        <f t="array" ref="O728">_xlfn.IFS(F728="","",F728&lt;=5,"0 to 5",F728&lt;=10,"5.1 to 10",F728&lt;=20,"10 to 20", F728&lt;= 40, "20 to 40", F728 &lt;= 50, "40 to 50", F728 &gt; 50, "&gt;50" )</f>
        <v>0 to 5</v>
      </c>
    </row>
    <row r="729" spans="1:15" ht="14.4" x14ac:dyDescent="0.3">
      <c r="A729" t="s">
        <v>177</v>
      </c>
      <c r="B729" s="1">
        <v>46177</v>
      </c>
      <c r="C729" t="s">
        <v>16</v>
      </c>
      <c r="D729">
        <v>674</v>
      </c>
      <c r="E729">
        <v>1</v>
      </c>
      <c r="F729">
        <v>7.5</v>
      </c>
      <c r="G729" t="s">
        <v>17</v>
      </c>
      <c r="I729" t="str">
        <f t="shared" si="11"/>
        <v>674_1</v>
      </c>
      <c r="J729" t="s">
        <v>178</v>
      </c>
      <c r="K729" t="s">
        <v>179</v>
      </c>
      <c r="L729" t="str">
        <f>_xlfn.XLOOKUP(C729, Table2[Species],Table2[Genus], "Code Not Found")</f>
        <v>Acer</v>
      </c>
      <c r="M729" t="str">
        <f>_xlfn.XLOOKUP(C729, Table2[Species],Table2[Sp. Name], "Code Not Found")</f>
        <v>saccharum</v>
      </c>
      <c r="N729" t="str">
        <f>_xlfn.XLOOKUP(C729,Table2[Species],Table2[Family],"Code Not Found")</f>
        <v>Sapindaceae</v>
      </c>
      <c r="O729" t="str" cm="1">
        <f t="array" ref="O729">_xlfn.IFS(F729="","",F729&lt;=5,"0 to 5",F729&lt;=10,"5.1 to 10",F729&lt;=20,"10 to 20", F729&lt;= 40, "20 to 40", F729 &lt;= 50, "40 to 50", F729 &gt; 50, "&gt;50" )</f>
        <v>5.1 to 10</v>
      </c>
    </row>
    <row r="730" spans="1:15" ht="14.4" x14ac:dyDescent="0.3">
      <c r="A730" t="s">
        <v>177</v>
      </c>
      <c r="B730" s="1">
        <v>46177</v>
      </c>
      <c r="C730" t="s">
        <v>16</v>
      </c>
      <c r="D730">
        <v>675</v>
      </c>
      <c r="E730">
        <v>1</v>
      </c>
      <c r="F730">
        <v>4.7</v>
      </c>
      <c r="G730" t="s">
        <v>17</v>
      </c>
      <c r="I730" t="str">
        <f t="shared" si="11"/>
        <v>675_1</v>
      </c>
      <c r="J730" t="s">
        <v>178</v>
      </c>
      <c r="K730" t="s">
        <v>179</v>
      </c>
      <c r="L730" t="str">
        <f>_xlfn.XLOOKUP(C730, Table2[Species],Table2[Genus], "Code Not Found")</f>
        <v>Acer</v>
      </c>
      <c r="M730" t="str">
        <f>_xlfn.XLOOKUP(C730, Table2[Species],Table2[Sp. Name], "Code Not Found")</f>
        <v>saccharum</v>
      </c>
      <c r="N730" t="str">
        <f>_xlfn.XLOOKUP(C730,Table2[Species],Table2[Family],"Code Not Found")</f>
        <v>Sapindaceae</v>
      </c>
      <c r="O730" t="str" cm="1">
        <f t="array" ref="O730">_xlfn.IFS(F730="","",F730&lt;=5,"0 to 5",F730&lt;=10,"5.1 to 10",F730&lt;=20,"10 to 20", F730&lt;= 40, "20 to 40", F730 &lt;= 50, "40 to 50", F730 &gt; 50, "&gt;50" )</f>
        <v>0 to 5</v>
      </c>
    </row>
    <row r="731" spans="1:15" ht="14.4" x14ac:dyDescent="0.3">
      <c r="A731" t="s">
        <v>177</v>
      </c>
      <c r="B731" s="1">
        <v>46177</v>
      </c>
      <c r="C731" t="s">
        <v>16</v>
      </c>
      <c r="D731">
        <v>676</v>
      </c>
      <c r="E731">
        <v>1</v>
      </c>
      <c r="F731">
        <v>7.8</v>
      </c>
      <c r="G731" t="s">
        <v>17</v>
      </c>
      <c r="I731" t="str">
        <f t="shared" si="11"/>
        <v>676_1</v>
      </c>
      <c r="J731" t="s">
        <v>178</v>
      </c>
      <c r="K731" t="s">
        <v>179</v>
      </c>
      <c r="L731" t="str">
        <f>_xlfn.XLOOKUP(C731, Table2[Species],Table2[Genus], "Code Not Found")</f>
        <v>Acer</v>
      </c>
      <c r="M731" t="str">
        <f>_xlfn.XLOOKUP(C731, Table2[Species],Table2[Sp. Name], "Code Not Found")</f>
        <v>saccharum</v>
      </c>
      <c r="N731" t="str">
        <f>_xlfn.XLOOKUP(C731,Table2[Species],Table2[Family],"Code Not Found")</f>
        <v>Sapindaceae</v>
      </c>
      <c r="O731" t="str" cm="1">
        <f t="array" ref="O731">_xlfn.IFS(F731="","",F731&lt;=5,"0 to 5",F731&lt;=10,"5.1 to 10",F731&lt;=20,"10 to 20", F731&lt;= 40, "20 to 40", F731 &lt;= 50, "40 to 50", F731 &gt; 50, "&gt;50" )</f>
        <v>5.1 to 10</v>
      </c>
    </row>
    <row r="732" spans="1:15" ht="14.4" x14ac:dyDescent="0.3">
      <c r="A732" t="s">
        <v>177</v>
      </c>
      <c r="B732" s="1">
        <v>46177</v>
      </c>
      <c r="C732" t="s">
        <v>189</v>
      </c>
      <c r="D732">
        <v>677</v>
      </c>
      <c r="E732">
        <v>1</v>
      </c>
      <c r="F732">
        <v>58</v>
      </c>
      <c r="G732" t="s">
        <v>21</v>
      </c>
      <c r="H732" t="s">
        <v>203</v>
      </c>
      <c r="I732" t="str">
        <f t="shared" si="11"/>
        <v>677_1</v>
      </c>
      <c r="J732" t="s">
        <v>178</v>
      </c>
      <c r="K732" t="s">
        <v>179</v>
      </c>
      <c r="L732" t="str">
        <f>_xlfn.XLOOKUP(C732, Table2[Species],Table2[Genus], "Code Not Found")</f>
        <v>Juglans</v>
      </c>
      <c r="M732" t="str">
        <f>_xlfn.XLOOKUP(C732, Table2[Species],Table2[Sp. Name], "Code Not Found")</f>
        <v>nigra</v>
      </c>
      <c r="N732" t="str">
        <f>_xlfn.XLOOKUP(C732,Table2[Species],Table2[Family],"Code Not Found")</f>
        <v>Juglandaceae</v>
      </c>
      <c r="O732" t="str" cm="1">
        <f t="array" ref="O732">_xlfn.IFS(F732="","",F732&lt;=5,"0 to 5",F732&lt;=10,"5.1 to 10",F732&lt;=20,"10 to 20", F732&lt;= 40, "20 to 40", F732 &lt;= 50, "40 to 50", F732 &gt; 50, "&gt;50" )</f>
        <v>&gt;50</v>
      </c>
    </row>
    <row r="733" spans="1:15" ht="14.4" x14ac:dyDescent="0.3">
      <c r="A733" t="s">
        <v>177</v>
      </c>
      <c r="B733" s="1">
        <v>46177</v>
      </c>
      <c r="C733" t="s">
        <v>64</v>
      </c>
      <c r="D733">
        <v>678</v>
      </c>
      <c r="E733">
        <v>1</v>
      </c>
      <c r="F733">
        <v>37.4</v>
      </c>
      <c r="G733" t="s">
        <v>32</v>
      </c>
      <c r="H733" t="s">
        <v>204</v>
      </c>
      <c r="I733" t="str">
        <f t="shared" si="11"/>
        <v>678_1</v>
      </c>
      <c r="J733" t="s">
        <v>178</v>
      </c>
      <c r="K733" t="s">
        <v>179</v>
      </c>
      <c r="L733" t="str">
        <f>_xlfn.XLOOKUP(C733, Table2[Species],Table2[Genus], "Code Not Found")</f>
        <v>Fagus</v>
      </c>
      <c r="M733" t="str">
        <f>_xlfn.XLOOKUP(C733, Table2[Species],Table2[Sp. Name], "Code Not Found")</f>
        <v>grandifolia</v>
      </c>
      <c r="N733" t="str">
        <f>_xlfn.XLOOKUP(C733,Table2[Species],Table2[Family],"Code Not Found")</f>
        <v>Fagaceae</v>
      </c>
      <c r="O733" t="str" cm="1">
        <f t="array" ref="O733">_xlfn.IFS(F733="","",F733&lt;=5,"0 to 5",F733&lt;=10,"5.1 to 10",F733&lt;=20,"10 to 20", F733&lt;= 40, "20 to 40", F733 &lt;= 50, "40 to 50", F733 &gt; 50, "&gt;50" )</f>
        <v>20 to 40</v>
      </c>
    </row>
    <row r="734" spans="1:15" ht="14.4" x14ac:dyDescent="0.3">
      <c r="A734" t="s">
        <v>177</v>
      </c>
      <c r="B734" s="1">
        <v>46177</v>
      </c>
      <c r="C734" t="s">
        <v>64</v>
      </c>
      <c r="D734">
        <v>678</v>
      </c>
      <c r="E734">
        <v>2</v>
      </c>
      <c r="F734">
        <v>5.4</v>
      </c>
      <c r="G734" t="s">
        <v>32</v>
      </c>
      <c r="I734" t="str">
        <f t="shared" si="11"/>
        <v>678_2</v>
      </c>
      <c r="J734" t="s">
        <v>178</v>
      </c>
      <c r="K734" t="s">
        <v>179</v>
      </c>
      <c r="L734" t="str">
        <f>_xlfn.XLOOKUP(C734, Table2[Species],Table2[Genus], "Code Not Found")</f>
        <v>Fagus</v>
      </c>
      <c r="M734" t="str">
        <f>_xlfn.XLOOKUP(C734, Table2[Species],Table2[Sp. Name], "Code Not Found")</f>
        <v>grandifolia</v>
      </c>
      <c r="N734" t="str">
        <f>_xlfn.XLOOKUP(C734,Table2[Species],Table2[Family],"Code Not Found")</f>
        <v>Fagaceae</v>
      </c>
      <c r="O734" t="str" cm="1">
        <f t="array" ref="O734">_xlfn.IFS(F734="","",F734&lt;=5,"0 to 5",F734&lt;=10,"5.1 to 10",F734&lt;=20,"10 to 20", F734&lt;= 40, "20 to 40", F734 &lt;= 50, "40 to 50", F734 &gt; 50, "&gt;50" )</f>
        <v>5.1 to 10</v>
      </c>
    </row>
    <row r="735" spans="1:15" ht="14.4" x14ac:dyDescent="0.3">
      <c r="A735" t="s">
        <v>177</v>
      </c>
      <c r="B735" s="1">
        <v>46177</v>
      </c>
      <c r="C735" t="s">
        <v>64</v>
      </c>
      <c r="D735">
        <v>678</v>
      </c>
      <c r="E735">
        <v>3</v>
      </c>
      <c r="F735">
        <v>2.6</v>
      </c>
      <c r="G735" t="s">
        <v>93</v>
      </c>
      <c r="H735" t="s">
        <v>43</v>
      </c>
      <c r="I735" t="str">
        <f t="shared" si="11"/>
        <v>678_3</v>
      </c>
      <c r="J735" t="s">
        <v>178</v>
      </c>
      <c r="K735" t="s">
        <v>179</v>
      </c>
      <c r="L735" t="str">
        <f>_xlfn.XLOOKUP(C735, Table2[Species],Table2[Genus], "Code Not Found")</f>
        <v>Fagus</v>
      </c>
      <c r="M735" t="str">
        <f>_xlfn.XLOOKUP(C735, Table2[Species],Table2[Sp. Name], "Code Not Found")</f>
        <v>grandifolia</v>
      </c>
      <c r="N735" t="str">
        <f>_xlfn.XLOOKUP(C735,Table2[Species],Table2[Family],"Code Not Found")</f>
        <v>Fagaceae</v>
      </c>
      <c r="O735" t="str" cm="1">
        <f t="array" ref="O735">_xlfn.IFS(F735="","",F735&lt;=5,"0 to 5",F735&lt;=10,"5.1 to 10",F735&lt;=20,"10 to 20", F735&lt;= 40, "20 to 40", F735 &lt;= 50, "40 to 50", F735 &gt; 50, "&gt;50" )</f>
        <v>0 to 5</v>
      </c>
    </row>
    <row r="736" spans="1:15" ht="14.4" x14ac:dyDescent="0.3">
      <c r="A736" t="s">
        <v>177</v>
      </c>
      <c r="B736" s="1">
        <v>46177</v>
      </c>
      <c r="C736" t="s">
        <v>64</v>
      </c>
      <c r="D736">
        <v>678</v>
      </c>
      <c r="E736">
        <v>4</v>
      </c>
      <c r="F736">
        <v>1.9</v>
      </c>
      <c r="G736" t="s">
        <v>61</v>
      </c>
      <c r="H736" t="s">
        <v>99</v>
      </c>
      <c r="I736" t="str">
        <f t="shared" si="11"/>
        <v>678_4</v>
      </c>
      <c r="J736" t="s">
        <v>178</v>
      </c>
      <c r="K736" t="s">
        <v>179</v>
      </c>
      <c r="L736" t="str">
        <f>_xlfn.XLOOKUP(C736, Table2[Species],Table2[Genus], "Code Not Found")</f>
        <v>Fagus</v>
      </c>
      <c r="M736" t="str">
        <f>_xlfn.XLOOKUP(C736, Table2[Species],Table2[Sp. Name], "Code Not Found")</f>
        <v>grandifolia</v>
      </c>
      <c r="N736" t="str">
        <f>_xlfn.XLOOKUP(C736,Table2[Species],Table2[Family],"Code Not Found")</f>
        <v>Fagaceae</v>
      </c>
      <c r="O736" t="str" cm="1">
        <f t="array" ref="O736">_xlfn.IFS(F736="","",F736&lt;=5,"0 to 5",F736&lt;=10,"5.1 to 10",F736&lt;=20,"10 to 20", F736&lt;= 40, "20 to 40", F736 &lt;= 50, "40 to 50", F736 &gt; 50, "&gt;50" )</f>
        <v>0 to 5</v>
      </c>
    </row>
    <row r="737" spans="1:15" ht="14.4" x14ac:dyDescent="0.3">
      <c r="A737" t="s">
        <v>177</v>
      </c>
      <c r="B737" s="1">
        <v>46177</v>
      </c>
      <c r="C737" t="s">
        <v>64</v>
      </c>
      <c r="D737">
        <v>678</v>
      </c>
      <c r="E737">
        <v>5</v>
      </c>
      <c r="F737">
        <v>1.2</v>
      </c>
      <c r="I737" t="str">
        <f t="shared" si="11"/>
        <v>678_5</v>
      </c>
      <c r="J737" t="s">
        <v>178</v>
      </c>
      <c r="K737" t="s">
        <v>179</v>
      </c>
      <c r="L737" t="str">
        <f>_xlfn.XLOOKUP(C737, Table2[Species],Table2[Genus], "Code Not Found")</f>
        <v>Fagus</v>
      </c>
      <c r="M737" t="str">
        <f>_xlfn.XLOOKUP(C737, Table2[Species],Table2[Sp. Name], "Code Not Found")</f>
        <v>grandifolia</v>
      </c>
      <c r="N737" t="str">
        <f>_xlfn.XLOOKUP(C737,Table2[Species],Table2[Family],"Code Not Found")</f>
        <v>Fagaceae</v>
      </c>
      <c r="O737" t="str" cm="1">
        <f t="array" ref="O737">_xlfn.IFS(F737="","",F737&lt;=5,"0 to 5",F737&lt;=10,"5.1 to 10",F737&lt;=20,"10 to 20", F737&lt;= 40, "20 to 40", F737 &lt;= 50, "40 to 50", F737 &gt; 50, "&gt;50" )</f>
        <v>0 to 5</v>
      </c>
    </row>
    <row r="738" spans="1:15" ht="14.4" x14ac:dyDescent="0.3">
      <c r="A738" t="s">
        <v>177</v>
      </c>
      <c r="B738" s="1">
        <v>46177</v>
      </c>
      <c r="C738" t="s">
        <v>16</v>
      </c>
      <c r="D738">
        <v>679</v>
      </c>
      <c r="E738">
        <v>1</v>
      </c>
      <c r="F738">
        <v>20.9</v>
      </c>
      <c r="G738" t="s">
        <v>17</v>
      </c>
      <c r="H738" t="s">
        <v>36</v>
      </c>
      <c r="I738" t="str">
        <f t="shared" si="11"/>
        <v>679_1</v>
      </c>
      <c r="J738" t="s">
        <v>178</v>
      </c>
      <c r="K738" t="s">
        <v>179</v>
      </c>
      <c r="L738" t="str">
        <f>_xlfn.XLOOKUP(C738, Table2[Species],Table2[Genus], "Code Not Found")</f>
        <v>Acer</v>
      </c>
      <c r="M738" t="str">
        <f>_xlfn.XLOOKUP(C738, Table2[Species],Table2[Sp. Name], "Code Not Found")</f>
        <v>saccharum</v>
      </c>
      <c r="N738" t="str">
        <f>_xlfn.XLOOKUP(C738,Table2[Species],Table2[Family],"Code Not Found")</f>
        <v>Sapindaceae</v>
      </c>
      <c r="O738" t="str" cm="1">
        <f t="array" ref="O738">_xlfn.IFS(F738="","",F738&lt;=5,"0 to 5",F738&lt;=10,"5.1 to 10",F738&lt;=20,"10 to 20", F738&lt;= 40, "20 to 40", F738 &lt;= 50, "40 to 50", F738 &gt; 50, "&gt;50" )</f>
        <v>20 to 40</v>
      </c>
    </row>
    <row r="739" spans="1:15" ht="14.4" x14ac:dyDescent="0.3">
      <c r="A739" t="s">
        <v>177</v>
      </c>
      <c r="B739" s="1">
        <v>46177</v>
      </c>
      <c r="C739" t="s">
        <v>16</v>
      </c>
      <c r="D739">
        <v>680</v>
      </c>
      <c r="E739">
        <v>1</v>
      </c>
      <c r="F739">
        <v>10.7</v>
      </c>
      <c r="G739" t="s">
        <v>21</v>
      </c>
      <c r="I739" t="str">
        <f t="shared" si="11"/>
        <v>680_1</v>
      </c>
      <c r="J739" t="s">
        <v>178</v>
      </c>
      <c r="K739" t="s">
        <v>179</v>
      </c>
      <c r="L739" t="str">
        <f>_xlfn.XLOOKUP(C739, Table2[Species],Table2[Genus], "Code Not Found")</f>
        <v>Acer</v>
      </c>
      <c r="M739" t="str">
        <f>_xlfn.XLOOKUP(C739, Table2[Species],Table2[Sp. Name], "Code Not Found")</f>
        <v>saccharum</v>
      </c>
      <c r="N739" t="str">
        <f>_xlfn.XLOOKUP(C739,Table2[Species],Table2[Family],"Code Not Found")</f>
        <v>Sapindaceae</v>
      </c>
      <c r="O739" t="str" cm="1">
        <f t="array" ref="O739">_xlfn.IFS(F739="","",F739&lt;=5,"0 to 5",F739&lt;=10,"5.1 to 10",F739&lt;=20,"10 to 20", F739&lt;= 40, "20 to 40", F739 &lt;= 50, "40 to 50", F739 &gt; 50, "&gt;50" )</f>
        <v>10 to 20</v>
      </c>
    </row>
    <row r="740" spans="1:15" ht="14.4" x14ac:dyDescent="0.3">
      <c r="A740" t="s">
        <v>177</v>
      </c>
      <c r="B740" s="1">
        <v>46177</v>
      </c>
      <c r="C740" t="s">
        <v>16</v>
      </c>
      <c r="D740">
        <v>681</v>
      </c>
      <c r="E740">
        <v>1</v>
      </c>
      <c r="F740">
        <v>5.2</v>
      </c>
      <c r="G740" t="s">
        <v>34</v>
      </c>
      <c r="I740" t="str">
        <f t="shared" si="11"/>
        <v>681_1</v>
      </c>
      <c r="J740" t="s">
        <v>178</v>
      </c>
      <c r="K740" t="s">
        <v>179</v>
      </c>
      <c r="L740" t="str">
        <f>_xlfn.XLOOKUP(C740, Table2[Species],Table2[Genus], "Code Not Found")</f>
        <v>Acer</v>
      </c>
      <c r="M740" t="str">
        <f>_xlfn.XLOOKUP(C740, Table2[Species],Table2[Sp. Name], "Code Not Found")</f>
        <v>saccharum</v>
      </c>
      <c r="N740" t="str">
        <f>_xlfn.XLOOKUP(C740,Table2[Species],Table2[Family],"Code Not Found")</f>
        <v>Sapindaceae</v>
      </c>
      <c r="O740" t="str" cm="1">
        <f t="array" ref="O740">_xlfn.IFS(F740="","",F740&lt;=5,"0 to 5",F740&lt;=10,"5.1 to 10",F740&lt;=20,"10 to 20", F740&lt;= 40, "20 to 40", F740 &lt;= 50, "40 to 50", F740 &gt; 50, "&gt;50" )</f>
        <v>5.1 to 10</v>
      </c>
    </row>
    <row r="741" spans="1:15" ht="14.4" x14ac:dyDescent="0.3">
      <c r="A741" t="s">
        <v>177</v>
      </c>
      <c r="B741" s="1">
        <v>46177</v>
      </c>
      <c r="C741" t="s">
        <v>16</v>
      </c>
      <c r="D741">
        <v>681</v>
      </c>
      <c r="E741">
        <v>2</v>
      </c>
      <c r="F741">
        <v>1.5</v>
      </c>
      <c r="G741" t="s">
        <v>205</v>
      </c>
      <c r="H741" t="s">
        <v>206</v>
      </c>
      <c r="I741" t="str">
        <f t="shared" si="11"/>
        <v>681_2</v>
      </c>
      <c r="J741" t="s">
        <v>178</v>
      </c>
      <c r="K741" t="s">
        <v>179</v>
      </c>
      <c r="L741" t="str">
        <f>_xlfn.XLOOKUP(C741, Table2[Species],Table2[Genus], "Code Not Found")</f>
        <v>Acer</v>
      </c>
      <c r="M741" t="str">
        <f>_xlfn.XLOOKUP(C741, Table2[Species],Table2[Sp. Name], "Code Not Found")</f>
        <v>saccharum</v>
      </c>
      <c r="N741" t="str">
        <f>_xlfn.XLOOKUP(C741,Table2[Species],Table2[Family],"Code Not Found")</f>
        <v>Sapindaceae</v>
      </c>
      <c r="O741" t="str" cm="1">
        <f t="array" ref="O741">_xlfn.IFS(F741="","",F741&lt;=5,"0 to 5",F741&lt;=10,"5.1 to 10",F741&lt;=20,"10 to 20", F741&lt;= 40, "20 to 40", F741 &lt;= 50, "40 to 50", F741 &gt; 50, "&gt;50" )</f>
        <v>0 to 5</v>
      </c>
    </row>
    <row r="742" spans="1:15" ht="14.4" x14ac:dyDescent="0.3">
      <c r="A742" t="s">
        <v>177</v>
      </c>
      <c r="B742" s="1">
        <v>46177</v>
      </c>
      <c r="C742" t="s">
        <v>16</v>
      </c>
      <c r="D742">
        <v>682</v>
      </c>
      <c r="E742">
        <v>1</v>
      </c>
      <c r="F742">
        <v>5.5</v>
      </c>
      <c r="G742" t="s">
        <v>21</v>
      </c>
      <c r="I742" t="str">
        <f t="shared" si="11"/>
        <v>682_1</v>
      </c>
      <c r="J742" t="s">
        <v>178</v>
      </c>
      <c r="K742" t="s">
        <v>179</v>
      </c>
      <c r="L742" t="str">
        <f>_xlfn.XLOOKUP(C742, Table2[Species],Table2[Genus], "Code Not Found")</f>
        <v>Acer</v>
      </c>
      <c r="M742" t="str">
        <f>_xlfn.XLOOKUP(C742, Table2[Species],Table2[Sp. Name], "Code Not Found")</f>
        <v>saccharum</v>
      </c>
      <c r="N742" t="str">
        <f>_xlfn.XLOOKUP(C742,Table2[Species],Table2[Family],"Code Not Found")</f>
        <v>Sapindaceae</v>
      </c>
      <c r="O742" t="str" cm="1">
        <f t="array" ref="O742">_xlfn.IFS(F742="","",F742&lt;=5,"0 to 5",F742&lt;=10,"5.1 to 10",F742&lt;=20,"10 to 20", F742&lt;= 40, "20 to 40", F742 &lt;= 50, "40 to 50", F742 &gt; 50, "&gt;50" )</f>
        <v>5.1 to 10</v>
      </c>
    </row>
    <row r="743" spans="1:15" ht="14.4" x14ac:dyDescent="0.3">
      <c r="A743" t="s">
        <v>177</v>
      </c>
      <c r="B743" s="1">
        <v>46177</v>
      </c>
      <c r="C743" t="s">
        <v>16</v>
      </c>
      <c r="D743">
        <v>683</v>
      </c>
      <c r="E743">
        <v>1</v>
      </c>
      <c r="F743">
        <v>25.7</v>
      </c>
      <c r="G743" t="s">
        <v>21</v>
      </c>
      <c r="I743" t="str">
        <f t="shared" si="11"/>
        <v>683_1</v>
      </c>
      <c r="J743" t="s">
        <v>178</v>
      </c>
      <c r="K743" t="s">
        <v>179</v>
      </c>
      <c r="L743" t="str">
        <f>_xlfn.XLOOKUP(C743, Table2[Species],Table2[Genus], "Code Not Found")</f>
        <v>Acer</v>
      </c>
      <c r="M743" t="str">
        <f>_xlfn.XLOOKUP(C743, Table2[Species],Table2[Sp. Name], "Code Not Found")</f>
        <v>saccharum</v>
      </c>
      <c r="N743" t="str">
        <f>_xlfn.XLOOKUP(C743,Table2[Species],Table2[Family],"Code Not Found")</f>
        <v>Sapindaceae</v>
      </c>
      <c r="O743" t="str" cm="1">
        <f t="array" ref="O743">_xlfn.IFS(F743="","",F743&lt;=5,"0 to 5",F743&lt;=10,"5.1 to 10",F743&lt;=20,"10 to 20", F743&lt;= 40, "20 to 40", F743 &lt;= 50, "40 to 50", F743 &gt; 50, "&gt;50" )</f>
        <v>20 to 40</v>
      </c>
    </row>
    <row r="744" spans="1:15" ht="14.4" x14ac:dyDescent="0.3">
      <c r="A744" t="s">
        <v>177</v>
      </c>
      <c r="B744" s="1">
        <v>46177</v>
      </c>
      <c r="C744" t="s">
        <v>16</v>
      </c>
      <c r="D744">
        <v>684</v>
      </c>
      <c r="E744">
        <v>1</v>
      </c>
      <c r="F744">
        <v>55.9</v>
      </c>
      <c r="G744" t="s">
        <v>21</v>
      </c>
      <c r="I744" t="str">
        <f t="shared" si="11"/>
        <v>684_1</v>
      </c>
      <c r="J744" t="s">
        <v>178</v>
      </c>
      <c r="K744" t="s">
        <v>179</v>
      </c>
      <c r="L744" t="str">
        <f>_xlfn.XLOOKUP(C744, Table2[Species],Table2[Genus], "Code Not Found")</f>
        <v>Acer</v>
      </c>
      <c r="M744" t="str">
        <f>_xlfn.XLOOKUP(C744, Table2[Species],Table2[Sp. Name], "Code Not Found")</f>
        <v>saccharum</v>
      </c>
      <c r="N744" t="str">
        <f>_xlfn.XLOOKUP(C744,Table2[Species],Table2[Family],"Code Not Found")</f>
        <v>Sapindaceae</v>
      </c>
      <c r="O744" t="str" cm="1">
        <f t="array" ref="O744">_xlfn.IFS(F744="","",F744&lt;=5,"0 to 5",F744&lt;=10,"5.1 to 10",F744&lt;=20,"10 to 20", F744&lt;= 40, "20 to 40", F744 &lt;= 50, "40 to 50", F744 &gt; 50, "&gt;50" )</f>
        <v>&gt;50</v>
      </c>
    </row>
    <row r="745" spans="1:15" ht="14.4" x14ac:dyDescent="0.3">
      <c r="A745" t="s">
        <v>177</v>
      </c>
      <c r="B745" s="1">
        <v>46177</v>
      </c>
      <c r="C745" t="s">
        <v>16</v>
      </c>
      <c r="D745">
        <v>685</v>
      </c>
      <c r="E745">
        <v>1</v>
      </c>
      <c r="F745">
        <v>2.8</v>
      </c>
      <c r="G745" t="s">
        <v>21</v>
      </c>
      <c r="I745" t="str">
        <f t="shared" si="11"/>
        <v>685_1</v>
      </c>
      <c r="J745" t="s">
        <v>178</v>
      </c>
      <c r="K745" t="s">
        <v>179</v>
      </c>
      <c r="L745" t="str">
        <f>_xlfn.XLOOKUP(C745, Table2[Species],Table2[Genus], "Code Not Found")</f>
        <v>Acer</v>
      </c>
      <c r="M745" t="str">
        <f>_xlfn.XLOOKUP(C745, Table2[Species],Table2[Sp. Name], "Code Not Found")</f>
        <v>saccharum</v>
      </c>
      <c r="N745" t="str">
        <f>_xlfn.XLOOKUP(C745,Table2[Species],Table2[Family],"Code Not Found")</f>
        <v>Sapindaceae</v>
      </c>
      <c r="O745" t="str" cm="1">
        <f t="array" ref="O745">_xlfn.IFS(F745="","",F745&lt;=5,"0 to 5",F745&lt;=10,"5.1 to 10",F745&lt;=20,"10 to 20", F745&lt;= 40, "20 to 40", F745 &lt;= 50, "40 to 50", F745 &gt; 50, "&gt;50" )</f>
        <v>0 to 5</v>
      </c>
    </row>
    <row r="746" spans="1:15" ht="14.4" x14ac:dyDescent="0.3">
      <c r="A746" t="s">
        <v>177</v>
      </c>
      <c r="B746" s="1">
        <v>46177</v>
      </c>
      <c r="C746" t="s">
        <v>16</v>
      </c>
      <c r="D746">
        <v>686</v>
      </c>
      <c r="E746">
        <v>1</v>
      </c>
      <c r="F746">
        <v>16.899999999999999</v>
      </c>
      <c r="G746" t="s">
        <v>17</v>
      </c>
      <c r="I746" t="str">
        <f t="shared" si="11"/>
        <v>686_1</v>
      </c>
      <c r="J746" t="s">
        <v>178</v>
      </c>
      <c r="K746" t="s">
        <v>179</v>
      </c>
      <c r="L746" t="str">
        <f>_xlfn.XLOOKUP(C746, Table2[Species],Table2[Genus], "Code Not Found")</f>
        <v>Acer</v>
      </c>
      <c r="M746" t="str">
        <f>_xlfn.XLOOKUP(C746, Table2[Species],Table2[Sp. Name], "Code Not Found")</f>
        <v>saccharum</v>
      </c>
      <c r="N746" t="str">
        <f>_xlfn.XLOOKUP(C746,Table2[Species],Table2[Family],"Code Not Found")</f>
        <v>Sapindaceae</v>
      </c>
      <c r="O746" t="str" cm="1">
        <f t="array" ref="O746">_xlfn.IFS(F746="","",F746&lt;=5,"0 to 5",F746&lt;=10,"5.1 to 10",F746&lt;=20,"10 to 20", F746&lt;= 40, "20 to 40", F746 &lt;= 50, "40 to 50", F746 &gt; 50, "&gt;50" )</f>
        <v>10 to 20</v>
      </c>
    </row>
    <row r="747" spans="1:15" ht="14.4" x14ac:dyDescent="0.3">
      <c r="A747" t="s">
        <v>177</v>
      </c>
      <c r="B747" s="1">
        <v>46177</v>
      </c>
      <c r="C747" t="s">
        <v>16</v>
      </c>
      <c r="D747">
        <v>687</v>
      </c>
      <c r="E747">
        <v>1</v>
      </c>
      <c r="F747">
        <v>5</v>
      </c>
      <c r="G747" t="s">
        <v>21</v>
      </c>
      <c r="I747" t="str">
        <f t="shared" si="11"/>
        <v>687_1</v>
      </c>
      <c r="J747" t="s">
        <v>178</v>
      </c>
      <c r="K747" t="s">
        <v>179</v>
      </c>
      <c r="L747" t="str">
        <f>_xlfn.XLOOKUP(C747, Table2[Species],Table2[Genus], "Code Not Found")</f>
        <v>Acer</v>
      </c>
      <c r="M747" t="str">
        <f>_xlfn.XLOOKUP(C747, Table2[Species],Table2[Sp. Name], "Code Not Found")</f>
        <v>saccharum</v>
      </c>
      <c r="N747" t="str">
        <f>_xlfn.XLOOKUP(C747,Table2[Species],Table2[Family],"Code Not Found")</f>
        <v>Sapindaceae</v>
      </c>
      <c r="O747" t="str" cm="1">
        <f t="array" ref="O747">_xlfn.IFS(F747="","",F747&lt;=5,"0 to 5",F747&lt;=10,"5.1 to 10",F747&lt;=20,"10 to 20", F747&lt;= 40, "20 to 40", F747 &lt;= 50, "40 to 50", F747 &gt; 50, "&gt;50" )</f>
        <v>0 to 5</v>
      </c>
    </row>
    <row r="748" spans="1:15" ht="14.4" x14ac:dyDescent="0.3">
      <c r="A748" t="s">
        <v>177</v>
      </c>
      <c r="B748" s="1">
        <v>46177</v>
      </c>
      <c r="C748" t="s">
        <v>16</v>
      </c>
      <c r="D748">
        <v>688</v>
      </c>
      <c r="E748">
        <v>1</v>
      </c>
      <c r="F748">
        <v>20.7</v>
      </c>
      <c r="G748" t="s">
        <v>21</v>
      </c>
      <c r="I748" t="str">
        <f t="shared" si="11"/>
        <v>688_1</v>
      </c>
      <c r="J748" t="s">
        <v>178</v>
      </c>
      <c r="K748" t="s">
        <v>179</v>
      </c>
      <c r="L748" t="str">
        <f>_xlfn.XLOOKUP(C748, Table2[Species],Table2[Genus], "Code Not Found")</f>
        <v>Acer</v>
      </c>
      <c r="M748" t="str">
        <f>_xlfn.XLOOKUP(C748, Table2[Species],Table2[Sp. Name], "Code Not Found")</f>
        <v>saccharum</v>
      </c>
      <c r="N748" t="str">
        <f>_xlfn.XLOOKUP(C748,Table2[Species],Table2[Family],"Code Not Found")</f>
        <v>Sapindaceae</v>
      </c>
      <c r="O748" t="str" cm="1">
        <f t="array" ref="O748">_xlfn.IFS(F748="","",F748&lt;=5,"0 to 5",F748&lt;=10,"5.1 to 10",F748&lt;=20,"10 to 20", F748&lt;= 40, "20 to 40", F748 &lt;= 50, "40 to 50", F748 &gt; 50, "&gt;50" )</f>
        <v>20 to 40</v>
      </c>
    </row>
    <row r="749" spans="1:15" ht="14.4" x14ac:dyDescent="0.3">
      <c r="A749" t="s">
        <v>177</v>
      </c>
      <c r="B749" s="1">
        <v>46177</v>
      </c>
      <c r="C749" t="s">
        <v>16</v>
      </c>
      <c r="D749">
        <v>689</v>
      </c>
      <c r="E749">
        <v>1</v>
      </c>
      <c r="F749">
        <v>6</v>
      </c>
      <c r="G749" t="s">
        <v>21</v>
      </c>
      <c r="I749" t="str">
        <f t="shared" si="11"/>
        <v>689_1</v>
      </c>
      <c r="J749" t="s">
        <v>178</v>
      </c>
      <c r="K749" t="s">
        <v>179</v>
      </c>
      <c r="L749" t="str">
        <f>_xlfn.XLOOKUP(C749, Table2[Species],Table2[Genus], "Code Not Found")</f>
        <v>Acer</v>
      </c>
      <c r="M749" t="str">
        <f>_xlfn.XLOOKUP(C749, Table2[Species],Table2[Sp. Name], "Code Not Found")</f>
        <v>saccharum</v>
      </c>
      <c r="N749" t="str">
        <f>_xlfn.XLOOKUP(C749,Table2[Species],Table2[Family],"Code Not Found")</f>
        <v>Sapindaceae</v>
      </c>
      <c r="O749" t="str" cm="1">
        <f t="array" ref="O749">_xlfn.IFS(F749="","",F749&lt;=5,"0 to 5",F749&lt;=10,"5.1 to 10",F749&lt;=20,"10 to 20", F749&lt;= 40, "20 to 40", F749 &lt;= 50, "40 to 50", F749 &gt; 50, "&gt;50" )</f>
        <v>5.1 to 10</v>
      </c>
    </row>
    <row r="750" spans="1:15" ht="14.4" x14ac:dyDescent="0.3">
      <c r="A750" t="s">
        <v>177</v>
      </c>
      <c r="B750" s="1">
        <v>46177</v>
      </c>
      <c r="C750" t="s">
        <v>16</v>
      </c>
      <c r="D750">
        <v>690</v>
      </c>
      <c r="E750">
        <v>1</v>
      </c>
      <c r="F750">
        <v>2.5</v>
      </c>
      <c r="G750" t="s">
        <v>139</v>
      </c>
      <c r="H750" t="s">
        <v>166</v>
      </c>
      <c r="I750" t="str">
        <f t="shared" si="11"/>
        <v>690_1</v>
      </c>
      <c r="J750" t="s">
        <v>178</v>
      </c>
      <c r="K750" t="s">
        <v>179</v>
      </c>
      <c r="L750" t="str">
        <f>_xlfn.XLOOKUP(C750, Table2[Species],Table2[Genus], "Code Not Found")</f>
        <v>Acer</v>
      </c>
      <c r="M750" t="str">
        <f>_xlfn.XLOOKUP(C750, Table2[Species],Table2[Sp. Name], "Code Not Found")</f>
        <v>saccharum</v>
      </c>
      <c r="N750" t="str">
        <f>_xlfn.XLOOKUP(C750,Table2[Species],Table2[Family],"Code Not Found")</f>
        <v>Sapindaceae</v>
      </c>
      <c r="O750" t="str" cm="1">
        <f t="array" ref="O750">_xlfn.IFS(F750="","",F750&lt;=5,"0 to 5",F750&lt;=10,"5.1 to 10",F750&lt;=20,"10 to 20", F750&lt;= 40, "20 to 40", F750 &lt;= 50, "40 to 50", F750 &gt; 50, "&gt;50" )</f>
        <v>0 to 5</v>
      </c>
    </row>
    <row r="751" spans="1:15" ht="14.4" x14ac:dyDescent="0.3">
      <c r="A751" t="s">
        <v>177</v>
      </c>
      <c r="B751" s="1">
        <v>46177</v>
      </c>
      <c r="C751" t="s">
        <v>16</v>
      </c>
      <c r="D751">
        <v>691</v>
      </c>
      <c r="E751">
        <v>1</v>
      </c>
      <c r="F751">
        <v>4.7</v>
      </c>
      <c r="G751" t="s">
        <v>21</v>
      </c>
      <c r="I751" t="str">
        <f t="shared" si="11"/>
        <v>691_1</v>
      </c>
      <c r="J751" t="s">
        <v>178</v>
      </c>
      <c r="K751" t="s">
        <v>179</v>
      </c>
      <c r="L751" t="str">
        <f>_xlfn.XLOOKUP(C751, Table2[Species],Table2[Genus], "Code Not Found")</f>
        <v>Acer</v>
      </c>
      <c r="M751" t="str">
        <f>_xlfn.XLOOKUP(C751, Table2[Species],Table2[Sp. Name], "Code Not Found")</f>
        <v>saccharum</v>
      </c>
      <c r="N751" t="str">
        <f>_xlfn.XLOOKUP(C751,Table2[Species],Table2[Family],"Code Not Found")</f>
        <v>Sapindaceae</v>
      </c>
      <c r="O751" t="str" cm="1">
        <f t="array" ref="O751">_xlfn.IFS(F751="","",F751&lt;=5,"0 to 5",F751&lt;=10,"5.1 to 10",F751&lt;=20,"10 to 20", F751&lt;= 40, "20 to 40", F751 &lt;= 50, "40 to 50", F751 &gt; 50, "&gt;50" )</f>
        <v>0 to 5</v>
      </c>
    </row>
    <row r="752" spans="1:15" ht="14.4" x14ac:dyDescent="0.3">
      <c r="A752" t="s">
        <v>177</v>
      </c>
      <c r="B752" s="1">
        <v>46177</v>
      </c>
      <c r="C752" t="s">
        <v>16</v>
      </c>
      <c r="D752">
        <v>692</v>
      </c>
      <c r="E752">
        <v>1</v>
      </c>
      <c r="F752">
        <v>20.100000000000001</v>
      </c>
      <c r="G752" t="s">
        <v>17</v>
      </c>
      <c r="I752" t="str">
        <f t="shared" si="11"/>
        <v>692_1</v>
      </c>
      <c r="J752" t="s">
        <v>178</v>
      </c>
      <c r="K752" t="s">
        <v>179</v>
      </c>
      <c r="L752" t="str">
        <f>_xlfn.XLOOKUP(C752, Table2[Species],Table2[Genus], "Code Not Found")</f>
        <v>Acer</v>
      </c>
      <c r="M752" t="str">
        <f>_xlfn.XLOOKUP(C752, Table2[Species],Table2[Sp. Name], "Code Not Found")</f>
        <v>saccharum</v>
      </c>
      <c r="N752" t="str">
        <f>_xlfn.XLOOKUP(C752,Table2[Species],Table2[Family],"Code Not Found")</f>
        <v>Sapindaceae</v>
      </c>
      <c r="O752" t="str" cm="1">
        <f t="array" ref="O752">_xlfn.IFS(F752="","",F752&lt;=5,"0 to 5",F752&lt;=10,"5.1 to 10",F752&lt;=20,"10 to 20", F752&lt;= 40, "20 to 40", F752 &lt;= 50, "40 to 50", F752 &gt; 50, "&gt;50" )</f>
        <v>20 to 40</v>
      </c>
    </row>
    <row r="753" spans="1:15" ht="14.4" x14ac:dyDescent="0.3">
      <c r="A753" t="s">
        <v>177</v>
      </c>
      <c r="B753" s="1">
        <v>46178</v>
      </c>
      <c r="C753" t="s">
        <v>16</v>
      </c>
      <c r="D753">
        <v>693</v>
      </c>
      <c r="E753">
        <v>1</v>
      </c>
      <c r="F753">
        <v>6.7</v>
      </c>
      <c r="G753" t="s">
        <v>30</v>
      </c>
      <c r="H753" t="s">
        <v>99</v>
      </c>
      <c r="I753" t="str">
        <f t="shared" si="11"/>
        <v>693_1</v>
      </c>
      <c r="J753" t="s">
        <v>178</v>
      </c>
      <c r="K753" t="s">
        <v>179</v>
      </c>
      <c r="L753" t="str">
        <f>_xlfn.XLOOKUP(C753, Table2[Species],Table2[Genus], "Code Not Found")</f>
        <v>Acer</v>
      </c>
      <c r="M753" t="str">
        <f>_xlfn.XLOOKUP(C753, Table2[Species],Table2[Sp. Name], "Code Not Found")</f>
        <v>saccharum</v>
      </c>
      <c r="N753" t="str">
        <f>_xlfn.XLOOKUP(C753,Table2[Species],Table2[Family],"Code Not Found")</f>
        <v>Sapindaceae</v>
      </c>
      <c r="O753" t="str" cm="1">
        <f t="array" ref="O753">_xlfn.IFS(F753="","",F753&lt;=5,"0 to 5",F753&lt;=10,"5.1 to 10",F753&lt;=20,"10 to 20", F753&lt;= 40, "20 to 40", F753 &lt;= 50, "40 to 50", F753 &gt; 50, "&gt;50" )</f>
        <v>5.1 to 10</v>
      </c>
    </row>
    <row r="754" spans="1:15" ht="14.4" x14ac:dyDescent="0.3">
      <c r="A754" t="s">
        <v>177</v>
      </c>
      <c r="B754" s="1">
        <v>46178</v>
      </c>
      <c r="C754" t="s">
        <v>16</v>
      </c>
      <c r="D754">
        <v>694</v>
      </c>
      <c r="E754">
        <v>1</v>
      </c>
      <c r="F754">
        <v>6.2</v>
      </c>
      <c r="G754" t="s">
        <v>21</v>
      </c>
      <c r="I754" t="str">
        <f t="shared" si="11"/>
        <v>694_1</v>
      </c>
      <c r="J754" t="s">
        <v>178</v>
      </c>
      <c r="K754" t="s">
        <v>179</v>
      </c>
      <c r="L754" t="str">
        <f>_xlfn.XLOOKUP(C754, Table2[Species],Table2[Genus], "Code Not Found")</f>
        <v>Acer</v>
      </c>
      <c r="M754" t="str">
        <f>_xlfn.XLOOKUP(C754, Table2[Species],Table2[Sp. Name], "Code Not Found")</f>
        <v>saccharum</v>
      </c>
      <c r="N754" t="str">
        <f>_xlfn.XLOOKUP(C754,Table2[Species],Table2[Family],"Code Not Found")</f>
        <v>Sapindaceae</v>
      </c>
      <c r="O754" t="str" cm="1">
        <f t="array" ref="O754">_xlfn.IFS(F754="","",F754&lt;=5,"0 to 5",F754&lt;=10,"5.1 to 10",F754&lt;=20,"10 to 20", F754&lt;= 40, "20 to 40", F754 &lt;= 50, "40 to 50", F754 &gt; 50, "&gt;50" )</f>
        <v>5.1 to 10</v>
      </c>
    </row>
    <row r="755" spans="1:15" ht="14.4" x14ac:dyDescent="0.3">
      <c r="A755" t="s">
        <v>177</v>
      </c>
      <c r="B755" s="1">
        <v>46178</v>
      </c>
      <c r="C755" t="s">
        <v>16</v>
      </c>
      <c r="D755">
        <v>695</v>
      </c>
      <c r="E755">
        <v>1</v>
      </c>
      <c r="F755">
        <v>1.1000000000000001</v>
      </c>
      <c r="G755" t="s">
        <v>88</v>
      </c>
      <c r="H755" t="s">
        <v>99</v>
      </c>
      <c r="I755" t="str">
        <f t="shared" si="11"/>
        <v>695_1</v>
      </c>
      <c r="J755" t="s">
        <v>178</v>
      </c>
      <c r="K755" t="s">
        <v>179</v>
      </c>
      <c r="L755" t="str">
        <f>_xlfn.XLOOKUP(C755, Table2[Species],Table2[Genus], "Code Not Found")</f>
        <v>Acer</v>
      </c>
      <c r="M755" t="str">
        <f>_xlfn.XLOOKUP(C755, Table2[Species],Table2[Sp. Name], "Code Not Found")</f>
        <v>saccharum</v>
      </c>
      <c r="N755" t="str">
        <f>_xlfn.XLOOKUP(C755,Table2[Species],Table2[Family],"Code Not Found")</f>
        <v>Sapindaceae</v>
      </c>
      <c r="O755" t="str" cm="1">
        <f t="array" ref="O755">_xlfn.IFS(F755="","",F755&lt;=5,"0 to 5",F755&lt;=10,"5.1 to 10",F755&lt;=20,"10 to 20", F755&lt;= 40, "20 to 40", F755 &lt;= 50, "40 to 50", F755 &gt; 50, "&gt;50" )</f>
        <v>0 to 5</v>
      </c>
    </row>
    <row r="756" spans="1:15" ht="14.4" x14ac:dyDescent="0.3">
      <c r="A756" t="s">
        <v>177</v>
      </c>
      <c r="B756" s="1">
        <v>46178</v>
      </c>
      <c r="C756" t="s">
        <v>16</v>
      </c>
      <c r="D756">
        <v>696</v>
      </c>
      <c r="E756">
        <v>1</v>
      </c>
      <c r="F756">
        <v>9</v>
      </c>
      <c r="G756" t="s">
        <v>17</v>
      </c>
      <c r="H756" t="s">
        <v>36</v>
      </c>
      <c r="I756" t="str">
        <f t="shared" si="11"/>
        <v>696_1</v>
      </c>
      <c r="J756" t="s">
        <v>178</v>
      </c>
      <c r="K756" t="s">
        <v>179</v>
      </c>
      <c r="L756" t="str">
        <f>_xlfn.XLOOKUP(C756, Table2[Species],Table2[Genus], "Code Not Found")</f>
        <v>Acer</v>
      </c>
      <c r="M756" t="str">
        <f>_xlfn.XLOOKUP(C756, Table2[Species],Table2[Sp. Name], "Code Not Found")</f>
        <v>saccharum</v>
      </c>
      <c r="N756" t="str">
        <f>_xlfn.XLOOKUP(C756,Table2[Species],Table2[Family],"Code Not Found")</f>
        <v>Sapindaceae</v>
      </c>
      <c r="O756" t="str" cm="1">
        <f t="array" ref="O756">_xlfn.IFS(F756="","",F756&lt;=5,"0 to 5",F756&lt;=10,"5.1 to 10",F756&lt;=20,"10 to 20", F756&lt;= 40, "20 to 40", F756 &lt;= 50, "40 to 50", F756 &gt; 50, "&gt;50" )</f>
        <v>5.1 to 10</v>
      </c>
    </row>
    <row r="757" spans="1:15" ht="14.4" x14ac:dyDescent="0.3">
      <c r="A757" t="s">
        <v>177</v>
      </c>
      <c r="B757" s="1">
        <v>46178</v>
      </c>
      <c r="C757" t="s">
        <v>16</v>
      </c>
      <c r="D757">
        <v>697</v>
      </c>
      <c r="E757">
        <v>1</v>
      </c>
      <c r="F757">
        <v>2.8</v>
      </c>
      <c r="G757" t="s">
        <v>30</v>
      </c>
      <c r="H757" t="s">
        <v>99</v>
      </c>
      <c r="I757" t="str">
        <f t="shared" si="11"/>
        <v>697_1</v>
      </c>
      <c r="J757" t="s">
        <v>178</v>
      </c>
      <c r="K757" t="s">
        <v>179</v>
      </c>
      <c r="L757" t="str">
        <f>_xlfn.XLOOKUP(C757, Table2[Species],Table2[Genus], "Code Not Found")</f>
        <v>Acer</v>
      </c>
      <c r="M757" t="str">
        <f>_xlfn.XLOOKUP(C757, Table2[Species],Table2[Sp. Name], "Code Not Found")</f>
        <v>saccharum</v>
      </c>
      <c r="N757" t="str">
        <f>_xlfn.XLOOKUP(C757,Table2[Species],Table2[Family],"Code Not Found")</f>
        <v>Sapindaceae</v>
      </c>
      <c r="O757" t="str" cm="1">
        <f t="array" ref="O757">_xlfn.IFS(F757="","",F757&lt;=5,"0 to 5",F757&lt;=10,"5.1 to 10",F757&lt;=20,"10 to 20", F757&lt;= 40, "20 to 40", F757 &lt;= 50, "40 to 50", F757 &gt; 50, "&gt;50" )</f>
        <v>0 to 5</v>
      </c>
    </row>
    <row r="758" spans="1:15" ht="14.4" x14ac:dyDescent="0.3">
      <c r="A758" t="s">
        <v>177</v>
      </c>
      <c r="B758" s="1">
        <v>46178</v>
      </c>
      <c r="C758" t="s">
        <v>16</v>
      </c>
      <c r="D758">
        <v>698</v>
      </c>
      <c r="E758">
        <v>1</v>
      </c>
      <c r="F758">
        <v>6.3</v>
      </c>
      <c r="G758" t="s">
        <v>47</v>
      </c>
      <c r="H758" t="s">
        <v>43</v>
      </c>
      <c r="I758" t="str">
        <f t="shared" si="11"/>
        <v>698_1</v>
      </c>
      <c r="J758" t="s">
        <v>178</v>
      </c>
      <c r="K758" t="s">
        <v>179</v>
      </c>
      <c r="L758" t="str">
        <f>_xlfn.XLOOKUP(C758, Table2[Species],Table2[Genus], "Code Not Found")</f>
        <v>Acer</v>
      </c>
      <c r="M758" t="str">
        <f>_xlfn.XLOOKUP(C758, Table2[Species],Table2[Sp. Name], "Code Not Found")</f>
        <v>saccharum</v>
      </c>
      <c r="N758" t="str">
        <f>_xlfn.XLOOKUP(C758,Table2[Species],Table2[Family],"Code Not Found")</f>
        <v>Sapindaceae</v>
      </c>
      <c r="O758" t="str" cm="1">
        <f t="array" ref="O758">_xlfn.IFS(F758="","",F758&lt;=5,"0 to 5",F758&lt;=10,"5.1 to 10",F758&lt;=20,"10 to 20", F758&lt;= 40, "20 to 40", F758 &lt;= 50, "40 to 50", F758 &gt; 50, "&gt;50" )</f>
        <v>5.1 to 10</v>
      </c>
    </row>
    <row r="759" spans="1:15" ht="14.4" x14ac:dyDescent="0.3">
      <c r="A759" t="s">
        <v>177</v>
      </c>
      <c r="B759" s="1">
        <v>46178</v>
      </c>
      <c r="C759" t="s">
        <v>16</v>
      </c>
      <c r="D759">
        <v>699</v>
      </c>
      <c r="E759">
        <v>1</v>
      </c>
      <c r="F759">
        <v>3.7</v>
      </c>
      <c r="G759" t="s">
        <v>30</v>
      </c>
      <c r="H759" t="s">
        <v>207</v>
      </c>
      <c r="I759" t="str">
        <f t="shared" si="11"/>
        <v>699_1</v>
      </c>
      <c r="J759" t="s">
        <v>178</v>
      </c>
      <c r="K759" t="s">
        <v>179</v>
      </c>
      <c r="L759" t="str">
        <f>_xlfn.XLOOKUP(C759, Table2[Species],Table2[Genus], "Code Not Found")</f>
        <v>Acer</v>
      </c>
      <c r="M759" t="str">
        <f>_xlfn.XLOOKUP(C759, Table2[Species],Table2[Sp. Name], "Code Not Found")</f>
        <v>saccharum</v>
      </c>
      <c r="N759" t="str">
        <f>_xlfn.XLOOKUP(C759,Table2[Species],Table2[Family],"Code Not Found")</f>
        <v>Sapindaceae</v>
      </c>
      <c r="O759" t="str" cm="1">
        <f t="array" ref="O759">_xlfn.IFS(F759="","",F759&lt;=5,"0 to 5",F759&lt;=10,"5.1 to 10",F759&lt;=20,"10 to 20", F759&lt;= 40, "20 to 40", F759 &lt;= 50, "40 to 50", F759 &gt; 50, "&gt;50" )</f>
        <v>0 to 5</v>
      </c>
    </row>
    <row r="760" spans="1:15" ht="14.4" x14ac:dyDescent="0.3">
      <c r="A760" t="s">
        <v>177</v>
      </c>
      <c r="B760" s="1">
        <v>46178</v>
      </c>
      <c r="C760" t="s">
        <v>16</v>
      </c>
      <c r="D760">
        <v>700</v>
      </c>
      <c r="E760">
        <v>1</v>
      </c>
      <c r="F760">
        <v>25.3</v>
      </c>
      <c r="G760" t="s">
        <v>17</v>
      </c>
      <c r="H760" t="s">
        <v>36</v>
      </c>
      <c r="I760" t="str">
        <f t="shared" si="11"/>
        <v>700_1</v>
      </c>
      <c r="J760" t="s">
        <v>178</v>
      </c>
      <c r="K760" t="s">
        <v>179</v>
      </c>
      <c r="L760" t="str">
        <f>_xlfn.XLOOKUP(C760, Table2[Species],Table2[Genus], "Code Not Found")</f>
        <v>Acer</v>
      </c>
      <c r="M760" t="str">
        <f>_xlfn.XLOOKUP(C760, Table2[Species],Table2[Sp. Name], "Code Not Found")</f>
        <v>saccharum</v>
      </c>
      <c r="N760" t="str">
        <f>_xlfn.XLOOKUP(C760,Table2[Species],Table2[Family],"Code Not Found")</f>
        <v>Sapindaceae</v>
      </c>
      <c r="O760" t="str" cm="1">
        <f t="array" ref="O760">_xlfn.IFS(F760="","",F760&lt;=5,"0 to 5",F760&lt;=10,"5.1 to 10",F760&lt;=20,"10 to 20", F760&lt;= 40, "20 to 40", F760 &lt;= 50, "40 to 50", F760 &gt; 50, "&gt;50" )</f>
        <v>20 to 40</v>
      </c>
    </row>
    <row r="761" spans="1:15" ht="14.4" x14ac:dyDescent="0.3">
      <c r="A761" t="s">
        <v>177</v>
      </c>
      <c r="B761" s="1">
        <v>46178</v>
      </c>
      <c r="C761" t="s">
        <v>16</v>
      </c>
      <c r="D761">
        <v>701</v>
      </c>
      <c r="E761">
        <v>1</v>
      </c>
      <c r="F761">
        <v>5.0999999999999996</v>
      </c>
      <c r="G761" t="s">
        <v>30</v>
      </c>
      <c r="H761" t="s">
        <v>208</v>
      </c>
      <c r="I761" t="str">
        <f t="shared" si="11"/>
        <v>701_1</v>
      </c>
      <c r="J761" t="s">
        <v>178</v>
      </c>
      <c r="K761" t="s">
        <v>179</v>
      </c>
      <c r="L761" t="str">
        <f>_xlfn.XLOOKUP(C761, Table2[Species],Table2[Genus], "Code Not Found")</f>
        <v>Acer</v>
      </c>
      <c r="M761" t="str">
        <f>_xlfn.XLOOKUP(C761, Table2[Species],Table2[Sp. Name], "Code Not Found")</f>
        <v>saccharum</v>
      </c>
      <c r="N761" t="str">
        <f>_xlfn.XLOOKUP(C761,Table2[Species],Table2[Family],"Code Not Found")</f>
        <v>Sapindaceae</v>
      </c>
      <c r="O761" t="str" cm="1">
        <f t="array" ref="O761">_xlfn.IFS(F761="","",F761&lt;=5,"0 to 5",F761&lt;=10,"5.1 to 10",F761&lt;=20,"10 to 20", F761&lt;= 40, "20 to 40", F761 &lt;= 50, "40 to 50", F761 &gt; 50, "&gt;50" )</f>
        <v>5.1 to 10</v>
      </c>
    </row>
    <row r="762" spans="1:15" ht="14.4" x14ac:dyDescent="0.3">
      <c r="A762" t="s">
        <v>177</v>
      </c>
      <c r="B762" s="1">
        <v>46178</v>
      </c>
      <c r="C762" t="s">
        <v>16</v>
      </c>
      <c r="D762">
        <v>702</v>
      </c>
      <c r="E762">
        <v>1</v>
      </c>
      <c r="F762">
        <v>3.3</v>
      </c>
      <c r="G762" t="s">
        <v>30</v>
      </c>
      <c r="H762" t="s">
        <v>99</v>
      </c>
      <c r="I762" t="str">
        <f t="shared" si="11"/>
        <v>702_1</v>
      </c>
      <c r="J762" t="s">
        <v>178</v>
      </c>
      <c r="K762" t="s">
        <v>179</v>
      </c>
      <c r="L762" t="str">
        <f>_xlfn.XLOOKUP(C762, Table2[Species],Table2[Genus], "Code Not Found")</f>
        <v>Acer</v>
      </c>
      <c r="M762" t="str">
        <f>_xlfn.XLOOKUP(C762, Table2[Species],Table2[Sp. Name], "Code Not Found")</f>
        <v>saccharum</v>
      </c>
      <c r="N762" t="str">
        <f>_xlfn.XLOOKUP(C762,Table2[Species],Table2[Family],"Code Not Found")</f>
        <v>Sapindaceae</v>
      </c>
      <c r="O762" t="str" cm="1">
        <f t="array" ref="O762">_xlfn.IFS(F762="","",F762&lt;=5,"0 to 5",F762&lt;=10,"5.1 to 10",F762&lt;=20,"10 to 20", F762&lt;= 40, "20 to 40", F762 &lt;= 50, "40 to 50", F762 &gt; 50, "&gt;50" )</f>
        <v>0 to 5</v>
      </c>
    </row>
    <row r="763" spans="1:15" ht="14.4" x14ac:dyDescent="0.3">
      <c r="A763" t="s">
        <v>177</v>
      </c>
      <c r="B763" s="1">
        <v>46178</v>
      </c>
      <c r="C763" t="s">
        <v>16</v>
      </c>
      <c r="D763">
        <v>704</v>
      </c>
      <c r="E763">
        <v>1</v>
      </c>
      <c r="F763">
        <v>5.8</v>
      </c>
      <c r="G763" t="s">
        <v>21</v>
      </c>
      <c r="I763" t="str">
        <f t="shared" si="11"/>
        <v>704_1</v>
      </c>
      <c r="J763" t="s">
        <v>178</v>
      </c>
      <c r="K763" t="s">
        <v>179</v>
      </c>
      <c r="L763" t="str">
        <f>_xlfn.XLOOKUP(C763, Table2[Species],Table2[Genus], "Code Not Found")</f>
        <v>Acer</v>
      </c>
      <c r="M763" t="str">
        <f>_xlfn.XLOOKUP(C763, Table2[Species],Table2[Sp. Name], "Code Not Found")</f>
        <v>saccharum</v>
      </c>
      <c r="N763" t="str">
        <f>_xlfn.XLOOKUP(C763,Table2[Species],Table2[Family],"Code Not Found")</f>
        <v>Sapindaceae</v>
      </c>
      <c r="O763" t="str" cm="1">
        <f t="array" ref="O763">_xlfn.IFS(F763="","",F763&lt;=5,"0 to 5",F763&lt;=10,"5.1 to 10",F763&lt;=20,"10 to 20", F763&lt;= 40, "20 to 40", F763 &lt;= 50, "40 to 50", F763 &gt; 50, "&gt;50" )</f>
        <v>5.1 to 10</v>
      </c>
    </row>
    <row r="764" spans="1:15" ht="14.4" x14ac:dyDescent="0.3">
      <c r="A764" t="s">
        <v>177</v>
      </c>
      <c r="B764" s="1">
        <v>46178</v>
      </c>
      <c r="C764" t="s">
        <v>16</v>
      </c>
      <c r="D764">
        <v>705</v>
      </c>
      <c r="E764">
        <v>1</v>
      </c>
      <c r="F764">
        <v>6.7</v>
      </c>
      <c r="G764" t="s">
        <v>94</v>
      </c>
      <c r="H764" t="s">
        <v>99</v>
      </c>
      <c r="I764" t="str">
        <f t="shared" si="11"/>
        <v>705_1</v>
      </c>
      <c r="J764" t="s">
        <v>178</v>
      </c>
      <c r="K764" t="s">
        <v>179</v>
      </c>
      <c r="L764" t="str">
        <f>_xlfn.XLOOKUP(C764, Table2[Species],Table2[Genus], "Code Not Found")</f>
        <v>Acer</v>
      </c>
      <c r="M764" t="str">
        <f>_xlfn.XLOOKUP(C764, Table2[Species],Table2[Sp. Name], "Code Not Found")</f>
        <v>saccharum</v>
      </c>
      <c r="N764" t="str">
        <f>_xlfn.XLOOKUP(C764,Table2[Species],Table2[Family],"Code Not Found")</f>
        <v>Sapindaceae</v>
      </c>
      <c r="O764" t="str" cm="1">
        <f t="array" ref="O764">_xlfn.IFS(F764="","",F764&lt;=5,"0 to 5",F764&lt;=10,"5.1 to 10",F764&lt;=20,"10 to 20", F764&lt;= 40, "20 to 40", F764 &lt;= 50, "40 to 50", F764 &gt; 50, "&gt;50" )</f>
        <v>5.1 to 10</v>
      </c>
    </row>
    <row r="765" spans="1:15" ht="14.4" x14ac:dyDescent="0.3">
      <c r="A765" t="s">
        <v>177</v>
      </c>
      <c r="B765" s="1">
        <v>46178</v>
      </c>
      <c r="C765" t="s">
        <v>16</v>
      </c>
      <c r="D765">
        <v>706</v>
      </c>
      <c r="E765">
        <v>1</v>
      </c>
      <c r="F765">
        <v>11.8</v>
      </c>
      <c r="G765" t="s">
        <v>21</v>
      </c>
      <c r="I765" t="str">
        <f t="shared" si="11"/>
        <v>706_1</v>
      </c>
      <c r="J765" t="s">
        <v>178</v>
      </c>
      <c r="K765" t="s">
        <v>179</v>
      </c>
      <c r="L765" t="str">
        <f>_xlfn.XLOOKUP(C765, Table2[Species],Table2[Genus], "Code Not Found")</f>
        <v>Acer</v>
      </c>
      <c r="M765" t="str">
        <f>_xlfn.XLOOKUP(C765, Table2[Species],Table2[Sp. Name], "Code Not Found")</f>
        <v>saccharum</v>
      </c>
      <c r="N765" t="str">
        <f>_xlfn.XLOOKUP(C765,Table2[Species],Table2[Family],"Code Not Found")</f>
        <v>Sapindaceae</v>
      </c>
      <c r="O765" t="str" cm="1">
        <f t="array" ref="O765">_xlfn.IFS(F765="","",F765&lt;=5,"0 to 5",F765&lt;=10,"5.1 to 10",F765&lt;=20,"10 to 20", F765&lt;= 40, "20 to 40", F765 &lt;= 50, "40 to 50", F765 &gt; 50, "&gt;50" )</f>
        <v>10 to 20</v>
      </c>
    </row>
    <row r="766" spans="1:15" ht="14.4" x14ac:dyDescent="0.3">
      <c r="A766" t="s">
        <v>177</v>
      </c>
      <c r="B766" s="1">
        <v>46178</v>
      </c>
      <c r="C766" t="s">
        <v>16</v>
      </c>
      <c r="D766">
        <v>707</v>
      </c>
      <c r="E766">
        <v>1</v>
      </c>
      <c r="F766">
        <v>5.3</v>
      </c>
      <c r="G766" t="s">
        <v>17</v>
      </c>
      <c r="I766" t="str">
        <f t="shared" si="11"/>
        <v>707_1</v>
      </c>
      <c r="J766" t="s">
        <v>178</v>
      </c>
      <c r="K766" t="s">
        <v>179</v>
      </c>
      <c r="L766" t="str">
        <f>_xlfn.XLOOKUP(C766, Table2[Species],Table2[Genus], "Code Not Found")</f>
        <v>Acer</v>
      </c>
      <c r="M766" t="str">
        <f>_xlfn.XLOOKUP(C766, Table2[Species],Table2[Sp. Name], "Code Not Found")</f>
        <v>saccharum</v>
      </c>
      <c r="N766" t="str">
        <f>_xlfn.XLOOKUP(C766,Table2[Species],Table2[Family],"Code Not Found")</f>
        <v>Sapindaceae</v>
      </c>
      <c r="O766" t="str" cm="1">
        <f t="array" ref="O766">_xlfn.IFS(F766="","",F766&lt;=5,"0 to 5",F766&lt;=10,"5.1 to 10",F766&lt;=20,"10 to 20", F766&lt;= 40, "20 to 40", F766 &lt;= 50, "40 to 50", F766 &gt; 50, "&gt;50" )</f>
        <v>5.1 to 10</v>
      </c>
    </row>
    <row r="767" spans="1:15" ht="14.4" x14ac:dyDescent="0.3">
      <c r="A767" t="s">
        <v>177</v>
      </c>
      <c r="B767" s="1">
        <v>46178</v>
      </c>
      <c r="C767" t="s">
        <v>16</v>
      </c>
      <c r="D767">
        <v>708</v>
      </c>
      <c r="E767">
        <v>1</v>
      </c>
      <c r="F767">
        <v>4.3</v>
      </c>
      <c r="G767" t="s">
        <v>17</v>
      </c>
      <c r="I767" t="str">
        <f t="shared" si="11"/>
        <v>708_1</v>
      </c>
      <c r="J767" t="s">
        <v>178</v>
      </c>
      <c r="K767" t="s">
        <v>179</v>
      </c>
      <c r="L767" t="str">
        <f>_xlfn.XLOOKUP(C767, Table2[Species],Table2[Genus], "Code Not Found")</f>
        <v>Acer</v>
      </c>
      <c r="M767" t="str">
        <f>_xlfn.XLOOKUP(C767, Table2[Species],Table2[Sp. Name], "Code Not Found")</f>
        <v>saccharum</v>
      </c>
      <c r="N767" t="str">
        <f>_xlfn.XLOOKUP(C767,Table2[Species],Table2[Family],"Code Not Found")</f>
        <v>Sapindaceae</v>
      </c>
      <c r="O767" t="str" cm="1">
        <f t="array" ref="O767">_xlfn.IFS(F767="","",F767&lt;=5,"0 to 5",F767&lt;=10,"5.1 to 10",F767&lt;=20,"10 to 20", F767&lt;= 40, "20 to 40", F767 &lt;= 50, "40 to 50", F767 &gt; 50, "&gt;50" )</f>
        <v>0 to 5</v>
      </c>
    </row>
    <row r="768" spans="1:15" ht="14.4" x14ac:dyDescent="0.3">
      <c r="A768" t="s">
        <v>177</v>
      </c>
      <c r="B768" s="1">
        <v>46178</v>
      </c>
      <c r="C768" t="s">
        <v>16</v>
      </c>
      <c r="D768">
        <v>709</v>
      </c>
      <c r="E768">
        <v>1</v>
      </c>
      <c r="F768">
        <v>5.9</v>
      </c>
      <c r="G768" t="s">
        <v>17</v>
      </c>
      <c r="I768" t="str">
        <f t="shared" si="11"/>
        <v>709_1</v>
      </c>
      <c r="J768" t="s">
        <v>178</v>
      </c>
      <c r="K768" t="s">
        <v>179</v>
      </c>
      <c r="L768" t="str">
        <f>_xlfn.XLOOKUP(C768, Table2[Species],Table2[Genus], "Code Not Found")</f>
        <v>Acer</v>
      </c>
      <c r="M768" t="str">
        <f>_xlfn.XLOOKUP(C768, Table2[Species],Table2[Sp. Name], "Code Not Found")</f>
        <v>saccharum</v>
      </c>
      <c r="N768" t="str">
        <f>_xlfn.XLOOKUP(C768,Table2[Species],Table2[Family],"Code Not Found")</f>
        <v>Sapindaceae</v>
      </c>
      <c r="O768" t="str" cm="1">
        <f t="array" ref="O768">_xlfn.IFS(F768="","",F768&lt;=5,"0 to 5",F768&lt;=10,"5.1 to 10",F768&lt;=20,"10 to 20", F768&lt;= 40, "20 to 40", F768 &lt;= 50, "40 to 50", F768 &gt; 50, "&gt;50" )</f>
        <v>5.1 to 10</v>
      </c>
    </row>
    <row r="769" spans="1:15" ht="14.4" x14ac:dyDescent="0.3">
      <c r="A769" t="s">
        <v>177</v>
      </c>
      <c r="B769" s="1">
        <v>46178</v>
      </c>
      <c r="C769" t="s">
        <v>16</v>
      </c>
      <c r="D769">
        <v>710</v>
      </c>
      <c r="E769">
        <v>1</v>
      </c>
      <c r="F769">
        <v>8.1999999999999993</v>
      </c>
      <c r="G769" t="s">
        <v>71</v>
      </c>
      <c r="H769" t="s">
        <v>43</v>
      </c>
      <c r="I769" t="str">
        <f t="shared" si="11"/>
        <v>710_1</v>
      </c>
      <c r="J769" t="s">
        <v>178</v>
      </c>
      <c r="K769" t="s">
        <v>179</v>
      </c>
      <c r="L769" t="str">
        <f>_xlfn.XLOOKUP(C769, Table2[Species],Table2[Genus], "Code Not Found")</f>
        <v>Acer</v>
      </c>
      <c r="M769" t="str">
        <f>_xlfn.XLOOKUP(C769, Table2[Species],Table2[Sp. Name], "Code Not Found")</f>
        <v>saccharum</v>
      </c>
      <c r="N769" t="str">
        <f>_xlfn.XLOOKUP(C769,Table2[Species],Table2[Family],"Code Not Found")</f>
        <v>Sapindaceae</v>
      </c>
      <c r="O769" t="str" cm="1">
        <f t="array" ref="O769">_xlfn.IFS(F769="","",F769&lt;=5,"0 to 5",F769&lt;=10,"5.1 to 10",F769&lt;=20,"10 to 20", F769&lt;= 40, "20 to 40", F769 &lt;= 50, "40 to 50", F769 &gt; 50, "&gt;50" )</f>
        <v>5.1 to 10</v>
      </c>
    </row>
    <row r="770" spans="1:15" ht="14.4" x14ac:dyDescent="0.3">
      <c r="A770" t="s">
        <v>177</v>
      </c>
      <c r="B770" s="1">
        <v>46178</v>
      </c>
      <c r="C770" t="s">
        <v>16</v>
      </c>
      <c r="D770">
        <v>711</v>
      </c>
      <c r="E770">
        <v>1</v>
      </c>
      <c r="F770">
        <v>3.1</v>
      </c>
      <c r="G770" t="s">
        <v>88</v>
      </c>
      <c r="H770" t="s">
        <v>99</v>
      </c>
      <c r="I770" t="str">
        <f t="shared" si="11"/>
        <v>711_1</v>
      </c>
      <c r="J770" t="s">
        <v>178</v>
      </c>
      <c r="K770" t="s">
        <v>179</v>
      </c>
      <c r="L770" t="str">
        <f>_xlfn.XLOOKUP(C770, Table2[Species],Table2[Genus], "Code Not Found")</f>
        <v>Acer</v>
      </c>
      <c r="M770" t="str">
        <f>_xlfn.XLOOKUP(C770, Table2[Species],Table2[Sp. Name], "Code Not Found")</f>
        <v>saccharum</v>
      </c>
      <c r="N770" t="str">
        <f>_xlfn.XLOOKUP(C770,Table2[Species],Table2[Family],"Code Not Found")</f>
        <v>Sapindaceae</v>
      </c>
      <c r="O770" t="str" cm="1">
        <f t="array" ref="O770">_xlfn.IFS(F770="","",F770&lt;=5,"0 to 5",F770&lt;=10,"5.1 to 10",F770&lt;=20,"10 to 20", F770&lt;= 40, "20 to 40", F770 &lt;= 50, "40 to 50", F770 &gt; 50, "&gt;50" )</f>
        <v>0 to 5</v>
      </c>
    </row>
    <row r="771" spans="1:15" ht="14.4" x14ac:dyDescent="0.3">
      <c r="A771" t="s">
        <v>177</v>
      </c>
      <c r="B771" s="1">
        <v>46178</v>
      </c>
      <c r="C771" t="s">
        <v>16</v>
      </c>
      <c r="D771">
        <v>712</v>
      </c>
      <c r="E771">
        <v>1</v>
      </c>
      <c r="F771">
        <v>3.5</v>
      </c>
      <c r="G771" t="s">
        <v>211</v>
      </c>
      <c r="H771" t="s">
        <v>43</v>
      </c>
      <c r="I771" t="str">
        <f t="shared" ref="I771:I833" si="12">D771&amp;"_"&amp;E771</f>
        <v>712_1</v>
      </c>
      <c r="J771" t="s">
        <v>178</v>
      </c>
      <c r="K771" t="s">
        <v>179</v>
      </c>
      <c r="L771" t="str">
        <f>_xlfn.XLOOKUP(C771, Table2[Species],Table2[Genus], "Code Not Found")</f>
        <v>Acer</v>
      </c>
      <c r="M771" t="str">
        <f>_xlfn.XLOOKUP(C771, Table2[Species],Table2[Sp. Name], "Code Not Found")</f>
        <v>saccharum</v>
      </c>
      <c r="N771" t="str">
        <f>_xlfn.XLOOKUP(C771,Table2[Species],Table2[Family],"Code Not Found")</f>
        <v>Sapindaceae</v>
      </c>
      <c r="O771" t="str" cm="1">
        <f t="array" ref="O771">_xlfn.IFS(F771="","",F771&lt;=5,"0 to 5",F771&lt;=10,"5.1 to 10",F771&lt;=20,"10 to 20", F771&lt;= 40, "20 to 40", F771 &lt;= 50, "40 to 50", F771 &gt; 50, "&gt;50" )</f>
        <v>0 to 5</v>
      </c>
    </row>
    <row r="772" spans="1:15" ht="14.4" x14ac:dyDescent="0.3">
      <c r="A772" t="s">
        <v>177</v>
      </c>
      <c r="B772" s="1">
        <v>46178</v>
      </c>
      <c r="C772" t="s">
        <v>16</v>
      </c>
      <c r="D772">
        <v>713</v>
      </c>
      <c r="E772">
        <v>1</v>
      </c>
      <c r="F772">
        <v>3.2</v>
      </c>
      <c r="G772" t="s">
        <v>139</v>
      </c>
      <c r="H772" t="s">
        <v>143</v>
      </c>
      <c r="I772" t="str">
        <f t="shared" si="12"/>
        <v>713_1</v>
      </c>
      <c r="J772" t="s">
        <v>178</v>
      </c>
      <c r="K772" t="s">
        <v>179</v>
      </c>
      <c r="L772" t="str">
        <f>_xlfn.XLOOKUP(C772, Table2[Species],Table2[Genus], "Code Not Found")</f>
        <v>Acer</v>
      </c>
      <c r="M772" t="str">
        <f>_xlfn.XLOOKUP(C772, Table2[Species],Table2[Sp. Name], "Code Not Found")</f>
        <v>saccharum</v>
      </c>
      <c r="N772" t="str">
        <f>_xlfn.XLOOKUP(C772,Table2[Species],Table2[Family],"Code Not Found")</f>
        <v>Sapindaceae</v>
      </c>
      <c r="O772" t="str" cm="1">
        <f t="array" ref="O772">_xlfn.IFS(F772="","",F772&lt;=5,"0 to 5",F772&lt;=10,"5.1 to 10",F772&lt;=20,"10 to 20", F772&lt;= 40, "20 to 40", F772 &lt;= 50, "40 to 50", F772 &gt; 50, "&gt;50" )</f>
        <v>0 to 5</v>
      </c>
    </row>
    <row r="773" spans="1:15" ht="14.4" x14ac:dyDescent="0.3">
      <c r="A773" t="s">
        <v>177</v>
      </c>
      <c r="B773" s="1">
        <v>46178</v>
      </c>
      <c r="C773" t="s">
        <v>20</v>
      </c>
      <c r="D773">
        <v>714</v>
      </c>
      <c r="E773">
        <v>1</v>
      </c>
      <c r="F773">
        <v>81.3</v>
      </c>
      <c r="G773" t="s">
        <v>17</v>
      </c>
      <c r="I773" t="str">
        <f t="shared" si="12"/>
        <v>714_1</v>
      </c>
      <c r="J773" t="s">
        <v>178</v>
      </c>
      <c r="K773" t="s">
        <v>179</v>
      </c>
      <c r="L773" t="str">
        <f>_xlfn.XLOOKUP(C773, Table2[Species],Table2[Genus], "Code Not Found")</f>
        <v>Prunus</v>
      </c>
      <c r="M773" t="str">
        <f>_xlfn.XLOOKUP(C773, Table2[Species],Table2[Sp. Name], "Code Not Found")</f>
        <v>serotina</v>
      </c>
      <c r="N773" t="str">
        <f>_xlfn.XLOOKUP(C773,Table2[Species],Table2[Family],"Code Not Found")</f>
        <v>Rosaceae</v>
      </c>
      <c r="O773" t="str" cm="1">
        <f t="array" ref="O773">_xlfn.IFS(F773="","",F773&lt;=5,"0 to 5",F773&lt;=10,"5.1 to 10",F773&lt;=20,"10 to 20", F773&lt;= 40, "20 to 40", F773 &lt;= 50, "40 to 50", F773 &gt; 50, "&gt;50" )</f>
        <v>&gt;50</v>
      </c>
    </row>
    <row r="774" spans="1:15" ht="14.4" x14ac:dyDescent="0.3">
      <c r="A774" t="s">
        <v>177</v>
      </c>
      <c r="B774" s="1">
        <v>46178</v>
      </c>
      <c r="C774" t="s">
        <v>16</v>
      </c>
      <c r="D774">
        <v>715</v>
      </c>
      <c r="E774">
        <v>1</v>
      </c>
      <c r="F774">
        <v>4.5999999999999996</v>
      </c>
      <c r="G774" t="s">
        <v>17</v>
      </c>
      <c r="I774" t="str">
        <f t="shared" si="12"/>
        <v>715_1</v>
      </c>
      <c r="J774" t="s">
        <v>178</v>
      </c>
      <c r="K774" t="s">
        <v>179</v>
      </c>
      <c r="L774" t="str">
        <f>_xlfn.XLOOKUP(C774, Table2[Species],Table2[Genus], "Code Not Found")</f>
        <v>Acer</v>
      </c>
      <c r="M774" t="str">
        <f>_xlfn.XLOOKUP(C774, Table2[Species],Table2[Sp. Name], "Code Not Found")</f>
        <v>saccharum</v>
      </c>
      <c r="N774" t="str">
        <f>_xlfn.XLOOKUP(C774,Table2[Species],Table2[Family],"Code Not Found")</f>
        <v>Sapindaceae</v>
      </c>
      <c r="O774" t="str" cm="1">
        <f t="array" ref="O774">_xlfn.IFS(F774="","",F774&lt;=5,"0 to 5",F774&lt;=10,"5.1 to 10",F774&lt;=20,"10 to 20", F774&lt;= 40, "20 to 40", F774 &lt;= 50, "40 to 50", F774 &gt; 50, "&gt;50" )</f>
        <v>0 to 5</v>
      </c>
    </row>
    <row r="775" spans="1:15" ht="14.4" x14ac:dyDescent="0.3">
      <c r="A775" t="s">
        <v>177</v>
      </c>
      <c r="B775" s="1">
        <v>46178</v>
      </c>
      <c r="C775" t="s">
        <v>16</v>
      </c>
      <c r="D775">
        <v>716</v>
      </c>
      <c r="E775">
        <v>1</v>
      </c>
      <c r="F775">
        <v>5</v>
      </c>
      <c r="G775" t="s">
        <v>17</v>
      </c>
      <c r="I775" t="str">
        <f t="shared" si="12"/>
        <v>716_1</v>
      </c>
      <c r="J775" t="s">
        <v>178</v>
      </c>
      <c r="K775" t="s">
        <v>179</v>
      </c>
      <c r="L775" t="str">
        <f>_xlfn.XLOOKUP(C775, Table2[Species],Table2[Genus], "Code Not Found")</f>
        <v>Acer</v>
      </c>
      <c r="M775" t="str">
        <f>_xlfn.XLOOKUP(C775, Table2[Species],Table2[Sp. Name], "Code Not Found")</f>
        <v>saccharum</v>
      </c>
      <c r="N775" t="str">
        <f>_xlfn.XLOOKUP(C775,Table2[Species],Table2[Family],"Code Not Found")</f>
        <v>Sapindaceae</v>
      </c>
      <c r="O775" t="str" cm="1">
        <f t="array" ref="O775">_xlfn.IFS(F775="","",F775&lt;=5,"0 to 5",F775&lt;=10,"5.1 to 10",F775&lt;=20,"10 to 20", F775&lt;= 40, "20 to 40", F775 &lt;= 50, "40 to 50", F775 &gt; 50, "&gt;50" )</f>
        <v>0 to 5</v>
      </c>
    </row>
    <row r="776" spans="1:15" ht="14.4" x14ac:dyDescent="0.3">
      <c r="A776" t="s">
        <v>177</v>
      </c>
      <c r="B776" s="1">
        <v>46178</v>
      </c>
      <c r="C776" t="s">
        <v>16</v>
      </c>
      <c r="D776">
        <v>717</v>
      </c>
      <c r="E776">
        <v>1</v>
      </c>
      <c r="F776">
        <v>6.3</v>
      </c>
      <c r="G776" t="s">
        <v>17</v>
      </c>
      <c r="I776" t="str">
        <f t="shared" si="12"/>
        <v>717_1</v>
      </c>
      <c r="J776" t="s">
        <v>178</v>
      </c>
      <c r="K776" t="s">
        <v>179</v>
      </c>
      <c r="L776" t="str">
        <f>_xlfn.XLOOKUP(C776, Table2[Species],Table2[Genus], "Code Not Found")</f>
        <v>Acer</v>
      </c>
      <c r="M776" t="str">
        <f>_xlfn.XLOOKUP(C776, Table2[Species],Table2[Sp. Name], "Code Not Found")</f>
        <v>saccharum</v>
      </c>
      <c r="N776" t="str">
        <f>_xlfn.XLOOKUP(C776,Table2[Species],Table2[Family],"Code Not Found")</f>
        <v>Sapindaceae</v>
      </c>
      <c r="O776" t="str" cm="1">
        <f t="array" ref="O776">_xlfn.IFS(F776="","",F776&lt;=5,"0 to 5",F776&lt;=10,"5.1 to 10",F776&lt;=20,"10 to 20", F776&lt;= 40, "20 to 40", F776 &lt;= 50, "40 to 50", F776 &gt; 50, "&gt;50" )</f>
        <v>5.1 to 10</v>
      </c>
    </row>
    <row r="777" spans="1:15" ht="14.4" x14ac:dyDescent="0.3">
      <c r="A777" t="s">
        <v>177</v>
      </c>
      <c r="B777" s="1">
        <v>46178</v>
      </c>
      <c r="C777" t="s">
        <v>20</v>
      </c>
      <c r="D777">
        <v>718</v>
      </c>
      <c r="E777">
        <v>1</v>
      </c>
      <c r="F777">
        <v>73.8</v>
      </c>
      <c r="G777" t="s">
        <v>21</v>
      </c>
      <c r="I777" t="str">
        <f t="shared" si="12"/>
        <v>718_1</v>
      </c>
      <c r="J777" t="s">
        <v>178</v>
      </c>
      <c r="K777" t="s">
        <v>179</v>
      </c>
      <c r="L777" t="str">
        <f>_xlfn.XLOOKUP(C777, Table2[Species],Table2[Genus], "Code Not Found")</f>
        <v>Prunus</v>
      </c>
      <c r="M777" t="str">
        <f>_xlfn.XLOOKUP(C777, Table2[Species],Table2[Sp. Name], "Code Not Found")</f>
        <v>serotina</v>
      </c>
      <c r="N777" t="str">
        <f>_xlfn.XLOOKUP(C777,Table2[Species],Table2[Family],"Code Not Found")</f>
        <v>Rosaceae</v>
      </c>
      <c r="O777" t="str" cm="1">
        <f t="array" ref="O777">_xlfn.IFS(F777="","",F777&lt;=5,"0 to 5",F777&lt;=10,"5.1 to 10",F777&lt;=20,"10 to 20", F777&lt;= 40, "20 to 40", F777 &lt;= 50, "40 to 50", F777 &gt; 50, "&gt;50" )</f>
        <v>&gt;50</v>
      </c>
    </row>
    <row r="778" spans="1:15" ht="14.4" x14ac:dyDescent="0.3">
      <c r="A778" t="s">
        <v>177</v>
      </c>
      <c r="B778" s="1">
        <v>46178</v>
      </c>
      <c r="C778" t="s">
        <v>16</v>
      </c>
      <c r="D778">
        <v>719</v>
      </c>
      <c r="E778">
        <v>1</v>
      </c>
      <c r="F778">
        <v>4.2</v>
      </c>
      <c r="G778" t="s">
        <v>17</v>
      </c>
      <c r="I778" t="str">
        <f t="shared" si="12"/>
        <v>719_1</v>
      </c>
      <c r="J778" t="s">
        <v>178</v>
      </c>
      <c r="K778" t="s">
        <v>179</v>
      </c>
      <c r="L778" t="str">
        <f>_xlfn.XLOOKUP(C778, Table2[Species],Table2[Genus], "Code Not Found")</f>
        <v>Acer</v>
      </c>
      <c r="M778" t="str">
        <f>_xlfn.XLOOKUP(C778, Table2[Species],Table2[Sp. Name], "Code Not Found")</f>
        <v>saccharum</v>
      </c>
      <c r="N778" t="str">
        <f>_xlfn.XLOOKUP(C778,Table2[Species],Table2[Family],"Code Not Found")</f>
        <v>Sapindaceae</v>
      </c>
      <c r="O778" t="str" cm="1">
        <f t="array" ref="O778">_xlfn.IFS(F778="","",F778&lt;=5,"0 to 5",F778&lt;=10,"5.1 to 10",F778&lt;=20,"10 to 20", F778&lt;= 40, "20 to 40", F778 &lt;= 50, "40 to 50", F778 &gt; 50, "&gt;50" )</f>
        <v>0 to 5</v>
      </c>
    </row>
    <row r="779" spans="1:15" ht="14.4" x14ac:dyDescent="0.3">
      <c r="A779" t="s">
        <v>177</v>
      </c>
      <c r="B779" s="1">
        <v>46178</v>
      </c>
      <c r="C779" t="s">
        <v>16</v>
      </c>
      <c r="D779">
        <v>720</v>
      </c>
      <c r="E779">
        <v>1</v>
      </c>
      <c r="F779">
        <v>7.4</v>
      </c>
      <c r="G779" t="s">
        <v>30</v>
      </c>
      <c r="H779" t="s">
        <v>100</v>
      </c>
      <c r="I779" t="str">
        <f t="shared" si="12"/>
        <v>720_1</v>
      </c>
      <c r="J779" t="s">
        <v>178</v>
      </c>
      <c r="K779" t="s">
        <v>179</v>
      </c>
      <c r="L779" t="str">
        <f>_xlfn.XLOOKUP(C779, Table2[Species],Table2[Genus], "Code Not Found")</f>
        <v>Acer</v>
      </c>
      <c r="M779" t="str">
        <f>_xlfn.XLOOKUP(C779, Table2[Species],Table2[Sp. Name], "Code Not Found")</f>
        <v>saccharum</v>
      </c>
      <c r="N779" t="str">
        <f>_xlfn.XLOOKUP(C779,Table2[Species],Table2[Family],"Code Not Found")</f>
        <v>Sapindaceae</v>
      </c>
      <c r="O779" t="str" cm="1">
        <f t="array" ref="O779">_xlfn.IFS(F779="","",F779&lt;=5,"0 to 5",F779&lt;=10,"5.1 to 10",F779&lt;=20,"10 to 20", F779&lt;= 40, "20 to 40", F779 &lt;= 50, "40 to 50", F779 &gt; 50, "&gt;50" )</f>
        <v>5.1 to 10</v>
      </c>
    </row>
    <row r="780" spans="1:15" ht="14.4" x14ac:dyDescent="0.3">
      <c r="A780" t="s">
        <v>177</v>
      </c>
      <c r="B780" s="1">
        <v>46178</v>
      </c>
      <c r="C780" t="s">
        <v>16</v>
      </c>
      <c r="D780">
        <v>721</v>
      </c>
      <c r="E780">
        <v>1</v>
      </c>
      <c r="F780">
        <v>6.2</v>
      </c>
      <c r="G780" t="s">
        <v>21</v>
      </c>
      <c r="I780" t="str">
        <f t="shared" si="12"/>
        <v>721_1</v>
      </c>
      <c r="J780" t="s">
        <v>178</v>
      </c>
      <c r="K780" t="s">
        <v>179</v>
      </c>
      <c r="L780" t="str">
        <f>_xlfn.XLOOKUP(C780, Table2[Species],Table2[Genus], "Code Not Found")</f>
        <v>Acer</v>
      </c>
      <c r="M780" t="str">
        <f>_xlfn.XLOOKUP(C780, Table2[Species],Table2[Sp. Name], "Code Not Found")</f>
        <v>saccharum</v>
      </c>
      <c r="N780" t="str">
        <f>_xlfn.XLOOKUP(C780,Table2[Species],Table2[Family],"Code Not Found")</f>
        <v>Sapindaceae</v>
      </c>
      <c r="O780" t="str" cm="1">
        <f t="array" ref="O780">_xlfn.IFS(F780="","",F780&lt;=5,"0 to 5",F780&lt;=10,"5.1 to 10",F780&lt;=20,"10 to 20", F780&lt;= 40, "20 to 40", F780 &lt;= 50, "40 to 50", F780 &gt; 50, "&gt;50" )</f>
        <v>5.1 to 10</v>
      </c>
    </row>
    <row r="781" spans="1:15" ht="14.4" x14ac:dyDescent="0.3">
      <c r="A781" t="s">
        <v>177</v>
      </c>
      <c r="B781" s="1">
        <v>46178</v>
      </c>
      <c r="C781" t="s">
        <v>16</v>
      </c>
      <c r="D781">
        <v>722</v>
      </c>
      <c r="E781">
        <v>1</v>
      </c>
      <c r="F781">
        <v>12.2</v>
      </c>
      <c r="G781" t="s">
        <v>21</v>
      </c>
      <c r="H781" t="s">
        <v>212</v>
      </c>
      <c r="I781" t="str">
        <f t="shared" si="12"/>
        <v>722_1</v>
      </c>
      <c r="J781" t="s">
        <v>178</v>
      </c>
      <c r="K781" t="s">
        <v>179</v>
      </c>
      <c r="L781" t="str">
        <f>_xlfn.XLOOKUP(C781, Table2[Species],Table2[Genus], "Code Not Found")</f>
        <v>Acer</v>
      </c>
      <c r="M781" t="str">
        <f>_xlfn.XLOOKUP(C781, Table2[Species],Table2[Sp. Name], "Code Not Found")</f>
        <v>saccharum</v>
      </c>
      <c r="N781" t="str">
        <f>_xlfn.XLOOKUP(C781,Table2[Species],Table2[Family],"Code Not Found")</f>
        <v>Sapindaceae</v>
      </c>
      <c r="O781" t="str" cm="1">
        <f t="array" ref="O781">_xlfn.IFS(F781="","",F781&lt;=5,"0 to 5",F781&lt;=10,"5.1 to 10",F781&lt;=20,"10 to 20", F781&lt;= 40, "20 to 40", F781 &lt;= 50, "40 to 50", F781 &gt; 50, "&gt;50" )</f>
        <v>10 to 20</v>
      </c>
    </row>
    <row r="782" spans="1:15" ht="14.4" x14ac:dyDescent="0.3">
      <c r="A782" t="s">
        <v>177</v>
      </c>
      <c r="B782" s="1">
        <v>46178</v>
      </c>
      <c r="C782" t="s">
        <v>64</v>
      </c>
      <c r="D782">
        <v>723</v>
      </c>
      <c r="E782">
        <v>1</v>
      </c>
      <c r="F782">
        <v>8.8000000000000007</v>
      </c>
      <c r="G782" t="s">
        <v>47</v>
      </c>
      <c r="H782" t="s">
        <v>43</v>
      </c>
      <c r="I782" t="str">
        <f t="shared" si="12"/>
        <v>723_1</v>
      </c>
      <c r="J782" t="s">
        <v>178</v>
      </c>
      <c r="K782" t="s">
        <v>179</v>
      </c>
      <c r="L782" t="str">
        <f>_xlfn.XLOOKUP(C782, Table2[Species],Table2[Genus], "Code Not Found")</f>
        <v>Fagus</v>
      </c>
      <c r="M782" t="str">
        <f>_xlfn.XLOOKUP(C782, Table2[Species],Table2[Sp. Name], "Code Not Found")</f>
        <v>grandifolia</v>
      </c>
      <c r="N782" t="str">
        <f>_xlfn.XLOOKUP(C782,Table2[Species],Table2[Family],"Code Not Found")</f>
        <v>Fagaceae</v>
      </c>
      <c r="O782" t="str" cm="1">
        <f t="array" ref="O782">_xlfn.IFS(F782="","",F782&lt;=5,"0 to 5",F782&lt;=10,"5.1 to 10",F782&lt;=20,"10 to 20", F782&lt;= 40, "20 to 40", F782 &lt;= 50, "40 to 50", F782 &gt; 50, "&gt;50" )</f>
        <v>5.1 to 10</v>
      </c>
    </row>
    <row r="783" spans="1:15" ht="14.4" x14ac:dyDescent="0.3">
      <c r="A783" t="s">
        <v>177</v>
      </c>
      <c r="B783" s="1">
        <v>46178</v>
      </c>
      <c r="C783" t="s">
        <v>64</v>
      </c>
      <c r="D783">
        <v>724</v>
      </c>
      <c r="E783">
        <v>1</v>
      </c>
      <c r="F783">
        <v>12.2</v>
      </c>
      <c r="G783" t="s">
        <v>17</v>
      </c>
      <c r="I783" t="str">
        <f t="shared" si="12"/>
        <v>724_1</v>
      </c>
      <c r="J783" t="s">
        <v>178</v>
      </c>
      <c r="K783" t="s">
        <v>179</v>
      </c>
      <c r="L783" t="str">
        <f>_xlfn.XLOOKUP(C783, Table2[Species],Table2[Genus], "Code Not Found")</f>
        <v>Fagus</v>
      </c>
      <c r="M783" t="str">
        <f>_xlfn.XLOOKUP(C783, Table2[Species],Table2[Sp. Name], "Code Not Found")</f>
        <v>grandifolia</v>
      </c>
      <c r="N783" t="str">
        <f>_xlfn.XLOOKUP(C783,Table2[Species],Table2[Family],"Code Not Found")</f>
        <v>Fagaceae</v>
      </c>
      <c r="O783" t="str" cm="1">
        <f t="array" ref="O783">_xlfn.IFS(F783="","",F783&lt;=5,"0 to 5",F783&lt;=10,"5.1 to 10",F783&lt;=20,"10 to 20", F783&lt;= 40, "20 to 40", F783 &lt;= 50, "40 to 50", F783 &gt; 50, "&gt;50" )</f>
        <v>10 to 20</v>
      </c>
    </row>
    <row r="784" spans="1:15" ht="14.4" x14ac:dyDescent="0.3">
      <c r="A784" t="s">
        <v>177</v>
      </c>
      <c r="B784" s="1">
        <v>46178</v>
      </c>
      <c r="C784" t="s">
        <v>16</v>
      </c>
      <c r="D784">
        <v>725</v>
      </c>
      <c r="E784">
        <v>1</v>
      </c>
      <c r="F784">
        <v>21.4</v>
      </c>
      <c r="G784" t="s">
        <v>17</v>
      </c>
      <c r="I784" t="str">
        <f t="shared" si="12"/>
        <v>725_1</v>
      </c>
      <c r="J784" t="s">
        <v>178</v>
      </c>
      <c r="K784" t="s">
        <v>179</v>
      </c>
      <c r="L784" t="str">
        <f>_xlfn.XLOOKUP(C784, Table2[Species],Table2[Genus], "Code Not Found")</f>
        <v>Acer</v>
      </c>
      <c r="M784" t="str">
        <f>_xlfn.XLOOKUP(C784, Table2[Species],Table2[Sp. Name], "Code Not Found")</f>
        <v>saccharum</v>
      </c>
      <c r="N784" t="str">
        <f>_xlfn.XLOOKUP(C784,Table2[Species],Table2[Family],"Code Not Found")</f>
        <v>Sapindaceae</v>
      </c>
      <c r="O784" t="str" cm="1">
        <f t="array" ref="O784">_xlfn.IFS(F784="","",F784&lt;=5,"0 to 5",F784&lt;=10,"5.1 to 10",F784&lt;=20,"10 to 20", F784&lt;= 40, "20 to 40", F784 &lt;= 50, "40 to 50", F784 &gt; 50, "&gt;50" )</f>
        <v>20 to 40</v>
      </c>
    </row>
    <row r="785" spans="1:15" ht="14.4" x14ac:dyDescent="0.3">
      <c r="A785" t="s">
        <v>177</v>
      </c>
      <c r="B785" s="1">
        <v>46178</v>
      </c>
      <c r="C785" t="s">
        <v>16</v>
      </c>
      <c r="D785">
        <v>726</v>
      </c>
      <c r="E785">
        <v>1</v>
      </c>
      <c r="F785">
        <v>21.1</v>
      </c>
      <c r="G785" t="s">
        <v>17</v>
      </c>
      <c r="I785" t="str">
        <f t="shared" si="12"/>
        <v>726_1</v>
      </c>
      <c r="J785" t="s">
        <v>178</v>
      </c>
      <c r="K785" t="s">
        <v>179</v>
      </c>
      <c r="L785" t="str">
        <f>_xlfn.XLOOKUP(C785, Table2[Species],Table2[Genus], "Code Not Found")</f>
        <v>Acer</v>
      </c>
      <c r="M785" t="str">
        <f>_xlfn.XLOOKUP(C785, Table2[Species],Table2[Sp. Name], "Code Not Found")</f>
        <v>saccharum</v>
      </c>
      <c r="N785" t="str">
        <f>_xlfn.XLOOKUP(C785,Table2[Species],Table2[Family],"Code Not Found")</f>
        <v>Sapindaceae</v>
      </c>
      <c r="O785" t="str" cm="1">
        <f t="array" ref="O785">_xlfn.IFS(F785="","",F785&lt;=5,"0 to 5",F785&lt;=10,"5.1 to 10",F785&lt;=20,"10 to 20", F785&lt;= 40, "20 to 40", F785 &lt;= 50, "40 to 50", F785 &gt; 50, "&gt;50" )</f>
        <v>20 to 40</v>
      </c>
    </row>
    <row r="786" spans="1:15" ht="14.4" x14ac:dyDescent="0.3">
      <c r="A786" t="s">
        <v>177</v>
      </c>
      <c r="B786" s="1">
        <v>46178</v>
      </c>
      <c r="C786" t="s">
        <v>16</v>
      </c>
      <c r="D786">
        <v>727</v>
      </c>
      <c r="E786">
        <v>1</v>
      </c>
      <c r="F786">
        <v>2</v>
      </c>
      <c r="G786" t="s">
        <v>32</v>
      </c>
      <c r="I786" t="str">
        <f t="shared" si="12"/>
        <v>727_1</v>
      </c>
      <c r="J786" t="s">
        <v>178</v>
      </c>
      <c r="K786" t="s">
        <v>179</v>
      </c>
      <c r="L786" t="str">
        <f>_xlfn.XLOOKUP(C786, Table2[Species],Table2[Genus], "Code Not Found")</f>
        <v>Acer</v>
      </c>
      <c r="M786" t="str">
        <f>_xlfn.XLOOKUP(C786, Table2[Species],Table2[Sp. Name], "Code Not Found")</f>
        <v>saccharum</v>
      </c>
      <c r="N786" t="str">
        <f>_xlfn.XLOOKUP(C786,Table2[Species],Table2[Family],"Code Not Found")</f>
        <v>Sapindaceae</v>
      </c>
      <c r="O786" t="str" cm="1">
        <f t="array" ref="O786">_xlfn.IFS(F786="","",F786&lt;=5,"0 to 5",F786&lt;=10,"5.1 to 10",F786&lt;=20,"10 to 20", F786&lt;= 40, "20 to 40", F786 &lt;= 50, "40 to 50", F786 &gt; 50, "&gt;50" )</f>
        <v>0 to 5</v>
      </c>
    </row>
    <row r="787" spans="1:15" ht="14.4" x14ac:dyDescent="0.3">
      <c r="A787" t="s">
        <v>177</v>
      </c>
      <c r="B787" s="1">
        <v>46178</v>
      </c>
      <c r="C787" t="s">
        <v>16</v>
      </c>
      <c r="D787">
        <v>727</v>
      </c>
      <c r="E787">
        <v>2</v>
      </c>
      <c r="F787">
        <v>1.5</v>
      </c>
      <c r="G787" t="s">
        <v>32</v>
      </c>
      <c r="I787" t="str">
        <f t="shared" si="12"/>
        <v>727_2</v>
      </c>
      <c r="J787" t="s">
        <v>178</v>
      </c>
      <c r="K787" t="s">
        <v>179</v>
      </c>
      <c r="L787" t="str">
        <f>_xlfn.XLOOKUP(C787, Table2[Species],Table2[Genus], "Code Not Found")</f>
        <v>Acer</v>
      </c>
      <c r="M787" t="str">
        <f>_xlfn.XLOOKUP(C787, Table2[Species],Table2[Sp. Name], "Code Not Found")</f>
        <v>saccharum</v>
      </c>
      <c r="N787" t="str">
        <f>_xlfn.XLOOKUP(C787,Table2[Species],Table2[Family],"Code Not Found")</f>
        <v>Sapindaceae</v>
      </c>
      <c r="O787" t="str" cm="1">
        <f t="array" ref="O787">_xlfn.IFS(F787="","",F787&lt;=5,"0 to 5",F787&lt;=10,"5.1 to 10",F787&lt;=20,"10 to 20", F787&lt;= 40, "20 to 40", F787 &lt;= 50, "40 to 50", F787 &gt; 50, "&gt;50" )</f>
        <v>0 to 5</v>
      </c>
    </row>
    <row r="788" spans="1:15" ht="14.4" x14ac:dyDescent="0.3">
      <c r="A788" t="s">
        <v>177</v>
      </c>
      <c r="B788" s="1">
        <v>46178</v>
      </c>
      <c r="C788" t="s">
        <v>16</v>
      </c>
      <c r="D788">
        <v>728</v>
      </c>
      <c r="E788">
        <v>1</v>
      </c>
      <c r="F788">
        <v>21.8</v>
      </c>
      <c r="G788" t="s">
        <v>17</v>
      </c>
      <c r="I788" t="str">
        <f t="shared" si="12"/>
        <v>728_1</v>
      </c>
      <c r="J788" t="s">
        <v>178</v>
      </c>
      <c r="K788" t="s">
        <v>179</v>
      </c>
      <c r="L788" t="str">
        <f>_xlfn.XLOOKUP(C788, Table2[Species],Table2[Genus], "Code Not Found")</f>
        <v>Acer</v>
      </c>
      <c r="M788" t="str">
        <f>_xlfn.XLOOKUP(C788, Table2[Species],Table2[Sp. Name], "Code Not Found")</f>
        <v>saccharum</v>
      </c>
      <c r="N788" t="str">
        <f>_xlfn.XLOOKUP(C788,Table2[Species],Table2[Family],"Code Not Found")</f>
        <v>Sapindaceae</v>
      </c>
      <c r="O788" t="str" cm="1">
        <f t="array" ref="O788">_xlfn.IFS(F788="","",F788&lt;=5,"0 to 5",F788&lt;=10,"5.1 to 10",F788&lt;=20,"10 to 20", F788&lt;= 40, "20 to 40", F788 &lt;= 50, "40 to 50", F788 &gt; 50, "&gt;50" )</f>
        <v>20 to 40</v>
      </c>
    </row>
    <row r="789" spans="1:15" s="4" customFormat="1" ht="14.4" x14ac:dyDescent="0.3">
      <c r="A789" s="4" t="s">
        <v>177</v>
      </c>
      <c r="B789" s="5">
        <v>46178</v>
      </c>
      <c r="C789" s="4" t="s">
        <v>16</v>
      </c>
      <c r="D789" s="4">
        <v>729</v>
      </c>
      <c r="E789" s="4">
        <v>1</v>
      </c>
      <c r="F789" s="4">
        <v>4.2</v>
      </c>
      <c r="G789" s="4" t="s">
        <v>71</v>
      </c>
      <c r="H789" s="4" t="s">
        <v>43</v>
      </c>
      <c r="I789" s="4" t="str">
        <f t="shared" si="12"/>
        <v>729_1</v>
      </c>
      <c r="J789" s="4" t="s">
        <v>178</v>
      </c>
      <c r="K789" t="s">
        <v>179</v>
      </c>
      <c r="L789" t="str">
        <f>_xlfn.XLOOKUP(C789, Table2[Species],Table2[Genus], "Code Not Found")</f>
        <v>Acer</v>
      </c>
      <c r="M789" s="4" t="str">
        <f>_xlfn.XLOOKUP(C789, Table2[Species],Table2[Sp. Name], "Code Not Found")</f>
        <v>saccharum</v>
      </c>
      <c r="N789" t="str">
        <f>_xlfn.XLOOKUP(C789,Table2[Species],Table2[Family],"Code Not Found")</f>
        <v>Sapindaceae</v>
      </c>
      <c r="O789" t="str" cm="1">
        <f t="array" ref="O789">_xlfn.IFS(F789="","",F789&lt;=5,"0 to 5",F789&lt;=10,"5.1 to 10",F789&lt;=20,"10 to 20", F789&lt;= 40, "20 to 40", F789 &lt;= 50, "40 to 50", F789 &gt; 50, "&gt;50" )</f>
        <v>0 to 5</v>
      </c>
    </row>
    <row r="790" spans="1:15" ht="14.4" x14ac:dyDescent="0.3">
      <c r="A790" t="s">
        <v>213</v>
      </c>
      <c r="B790" s="1">
        <v>46178</v>
      </c>
      <c r="C790" t="s">
        <v>123</v>
      </c>
      <c r="D790">
        <v>730</v>
      </c>
      <c r="E790">
        <v>1</v>
      </c>
      <c r="F790">
        <v>33.4</v>
      </c>
      <c r="G790" t="s">
        <v>17</v>
      </c>
      <c r="I790" t="str">
        <f t="shared" si="12"/>
        <v>730_1</v>
      </c>
      <c r="J790" t="s">
        <v>214</v>
      </c>
      <c r="K790" t="s">
        <v>19</v>
      </c>
      <c r="L790" t="str">
        <f>_xlfn.XLOOKUP(C790, Table2[Species],Table2[Genus], "Code Not Found")</f>
        <v>Quercus</v>
      </c>
      <c r="M790" t="str">
        <f>_xlfn.XLOOKUP(C790, Table2[Species],Table2[Sp. Name], "Code Not Found")</f>
        <v>rubra</v>
      </c>
      <c r="N790" t="str">
        <f>_xlfn.XLOOKUP(C790,Table2[Species],Table2[Family],"Code Not Found")</f>
        <v>Fagaceae</v>
      </c>
      <c r="O790" t="str" cm="1">
        <f t="array" ref="O790">_xlfn.IFS(F790="","",F790&lt;=5,"0 to 5",F790&lt;=10,"5.1 to 10",F790&lt;=20,"10 to 20", F790&lt;= 40, "20 to 40", F790 &lt;= 50, "40 to 50", F790 &gt; 50, "&gt;50" )</f>
        <v>20 to 40</v>
      </c>
    </row>
    <row r="791" spans="1:15" ht="14.4" x14ac:dyDescent="0.3">
      <c r="A791" t="s">
        <v>213</v>
      </c>
      <c r="B791" s="1">
        <v>46178</v>
      </c>
      <c r="C791" t="s">
        <v>16</v>
      </c>
      <c r="D791">
        <v>731</v>
      </c>
      <c r="E791">
        <v>1</v>
      </c>
      <c r="F791">
        <v>1.3</v>
      </c>
      <c r="G791" t="s">
        <v>47</v>
      </c>
      <c r="H791" t="s">
        <v>43</v>
      </c>
      <c r="I791" t="str">
        <f t="shared" si="12"/>
        <v>731_1</v>
      </c>
      <c r="J791" t="s">
        <v>214</v>
      </c>
      <c r="K791" t="s">
        <v>19</v>
      </c>
      <c r="L791" t="str">
        <f>_xlfn.XLOOKUP(C791, Table2[Species],Table2[Genus], "Code Not Found")</f>
        <v>Acer</v>
      </c>
      <c r="M791" t="str">
        <f>_xlfn.XLOOKUP(C791, Table2[Species],Table2[Sp. Name], "Code Not Found")</f>
        <v>saccharum</v>
      </c>
      <c r="N791" t="str">
        <f>_xlfn.XLOOKUP(C791,Table2[Species],Table2[Family],"Code Not Found")</f>
        <v>Sapindaceae</v>
      </c>
      <c r="O791" t="str" cm="1">
        <f t="array" ref="O791">_xlfn.IFS(F791="","",F791&lt;=5,"0 to 5",F791&lt;=10,"5.1 to 10",F791&lt;=20,"10 to 20", F791&lt;= 40, "20 to 40", F791 &lt;= 50, "40 to 50", F791 &gt; 50, "&gt;50" )</f>
        <v>0 to 5</v>
      </c>
    </row>
    <row r="792" spans="1:15" ht="14.4" x14ac:dyDescent="0.3">
      <c r="A792" t="s">
        <v>213</v>
      </c>
      <c r="B792" s="1">
        <v>46178</v>
      </c>
      <c r="C792" t="s">
        <v>16</v>
      </c>
      <c r="D792">
        <v>732</v>
      </c>
      <c r="E792">
        <v>1</v>
      </c>
      <c r="F792">
        <v>1.9</v>
      </c>
      <c r="G792" t="s">
        <v>21</v>
      </c>
      <c r="I792" t="str">
        <f t="shared" si="12"/>
        <v>732_1</v>
      </c>
      <c r="J792" t="s">
        <v>214</v>
      </c>
      <c r="K792" t="s">
        <v>19</v>
      </c>
      <c r="L792" t="str">
        <f>_xlfn.XLOOKUP(C792, Table2[Species],Table2[Genus], "Code Not Found")</f>
        <v>Acer</v>
      </c>
      <c r="M792" t="str">
        <f>_xlfn.XLOOKUP(C792, Table2[Species],Table2[Sp. Name], "Code Not Found")</f>
        <v>saccharum</v>
      </c>
      <c r="N792" t="str">
        <f>_xlfn.XLOOKUP(C792,Table2[Species],Table2[Family],"Code Not Found")</f>
        <v>Sapindaceae</v>
      </c>
      <c r="O792" t="str" cm="1">
        <f t="array" ref="O792">_xlfn.IFS(F792="","",F792&lt;=5,"0 to 5",F792&lt;=10,"5.1 to 10",F792&lt;=20,"10 to 20", F792&lt;= 40, "20 to 40", F792 &lt;= 50, "40 to 50", F792 &gt; 50, "&gt;50" )</f>
        <v>0 to 5</v>
      </c>
    </row>
    <row r="793" spans="1:15" ht="14.4" x14ac:dyDescent="0.3">
      <c r="A793" t="s">
        <v>213</v>
      </c>
      <c r="B793" s="1">
        <v>46178</v>
      </c>
      <c r="C793" t="s">
        <v>16</v>
      </c>
      <c r="D793">
        <v>733</v>
      </c>
      <c r="E793">
        <v>1</v>
      </c>
      <c r="F793">
        <v>1.8</v>
      </c>
      <c r="G793" t="s">
        <v>32</v>
      </c>
      <c r="H793" t="s">
        <v>92</v>
      </c>
      <c r="I793" t="str">
        <f t="shared" si="12"/>
        <v>733_1</v>
      </c>
      <c r="J793" t="s">
        <v>214</v>
      </c>
      <c r="K793" t="s">
        <v>19</v>
      </c>
      <c r="L793" t="str">
        <f>_xlfn.XLOOKUP(C793, Table2[Species],Table2[Genus], "Code Not Found")</f>
        <v>Acer</v>
      </c>
      <c r="M793" t="str">
        <f>_xlfn.XLOOKUP(C793, Table2[Species],Table2[Sp. Name], "Code Not Found")</f>
        <v>saccharum</v>
      </c>
      <c r="N793" t="str">
        <f>_xlfn.XLOOKUP(C793,Table2[Species],Table2[Family],"Code Not Found")</f>
        <v>Sapindaceae</v>
      </c>
      <c r="O793" t="str" cm="1">
        <f t="array" ref="O793">_xlfn.IFS(F793="","",F793&lt;=5,"0 to 5",F793&lt;=10,"5.1 to 10",F793&lt;=20,"10 to 20", F793&lt;= 40, "20 to 40", F793 &lt;= 50, "40 to 50", F793 &gt; 50, "&gt;50" )</f>
        <v>0 to 5</v>
      </c>
    </row>
    <row r="794" spans="1:15" ht="14.4" x14ac:dyDescent="0.3">
      <c r="A794" t="s">
        <v>213</v>
      </c>
      <c r="B794" s="1"/>
      <c r="C794" t="s">
        <v>16</v>
      </c>
      <c r="D794">
        <v>733</v>
      </c>
      <c r="E794">
        <v>2</v>
      </c>
      <c r="F794">
        <v>1.8</v>
      </c>
      <c r="G794" t="s">
        <v>93</v>
      </c>
      <c r="H794" t="s">
        <v>43</v>
      </c>
      <c r="I794" t="str">
        <f t="shared" si="12"/>
        <v>733_2</v>
      </c>
      <c r="J794" t="s">
        <v>214</v>
      </c>
      <c r="K794" t="s">
        <v>19</v>
      </c>
      <c r="L794" t="str">
        <f>_xlfn.XLOOKUP(C794, Table2[Species],Table2[Genus], "Code Not Found")</f>
        <v>Acer</v>
      </c>
      <c r="M794" t="str">
        <f>_xlfn.XLOOKUP(C794, Table2[Species],Table2[Sp. Name], "Code Not Found")</f>
        <v>saccharum</v>
      </c>
      <c r="N794" t="str">
        <f>_xlfn.XLOOKUP(C794,Table2[Species],Table2[Family],"Code Not Found")</f>
        <v>Sapindaceae</v>
      </c>
      <c r="O794" t="str" cm="1">
        <f t="array" ref="O794">_xlfn.IFS(F794="","",F794&lt;=5,"0 to 5",F794&lt;=10,"5.1 to 10",F794&lt;=20,"10 to 20", F794&lt;= 40, "20 to 40", F794 &lt;= 50, "40 to 50", F794 &gt; 50, "&gt;50" )</f>
        <v>0 to 5</v>
      </c>
    </row>
    <row r="795" spans="1:15" ht="14.4" x14ac:dyDescent="0.3">
      <c r="A795" t="s">
        <v>213</v>
      </c>
      <c r="B795" s="1">
        <v>46178</v>
      </c>
      <c r="C795" t="s">
        <v>24</v>
      </c>
      <c r="D795">
        <v>734</v>
      </c>
      <c r="E795">
        <v>1</v>
      </c>
      <c r="F795">
        <v>27.7</v>
      </c>
      <c r="G795" t="s">
        <v>21</v>
      </c>
      <c r="I795" t="str">
        <f t="shared" si="12"/>
        <v>734_1</v>
      </c>
      <c r="J795" t="s">
        <v>214</v>
      </c>
      <c r="K795" t="s">
        <v>19</v>
      </c>
      <c r="L795" t="str">
        <f>_xlfn.XLOOKUP(C795, Table2[Species],Table2[Genus], "Code Not Found")</f>
        <v>Lirodendron</v>
      </c>
      <c r="M795" t="str">
        <f>_xlfn.XLOOKUP(C795, Table2[Species],Table2[Sp. Name], "Code Not Found")</f>
        <v>tulipfera</v>
      </c>
      <c r="N795" t="str">
        <f>_xlfn.XLOOKUP(C795,Table2[Species],Table2[Family],"Code Not Found")</f>
        <v>Magnoliaceae</v>
      </c>
      <c r="O795" t="str" cm="1">
        <f t="array" ref="O795">_xlfn.IFS(F795="","",F795&lt;=5,"0 to 5",F795&lt;=10,"5.1 to 10",F795&lt;=20,"10 to 20", F795&lt;= 40, "20 to 40", F795 &lt;= 50, "40 to 50", F795 &gt; 50, "&gt;50" )</f>
        <v>20 to 40</v>
      </c>
    </row>
    <row r="796" spans="1:15" ht="14.4" x14ac:dyDescent="0.3">
      <c r="A796" t="s">
        <v>213</v>
      </c>
      <c r="B796" s="1">
        <v>46178</v>
      </c>
      <c r="C796" t="s">
        <v>16</v>
      </c>
      <c r="D796">
        <v>735</v>
      </c>
      <c r="E796">
        <v>1</v>
      </c>
      <c r="F796">
        <v>1.5</v>
      </c>
      <c r="G796" t="s">
        <v>17</v>
      </c>
      <c r="I796" t="str">
        <f t="shared" si="12"/>
        <v>735_1</v>
      </c>
      <c r="J796" t="s">
        <v>214</v>
      </c>
      <c r="K796" t="s">
        <v>19</v>
      </c>
      <c r="L796" t="str">
        <f>_xlfn.XLOOKUP(C796, Table2[Species],Table2[Genus], "Code Not Found")</f>
        <v>Acer</v>
      </c>
      <c r="M796" t="str">
        <f>_xlfn.XLOOKUP(C796, Table2[Species],Table2[Sp. Name], "Code Not Found")</f>
        <v>saccharum</v>
      </c>
      <c r="N796" t="str">
        <f>_xlfn.XLOOKUP(C796,Table2[Species],Table2[Family],"Code Not Found")</f>
        <v>Sapindaceae</v>
      </c>
      <c r="O796" t="str" cm="1">
        <f t="array" ref="O796">_xlfn.IFS(F796="","",F796&lt;=5,"0 to 5",F796&lt;=10,"5.1 to 10",F796&lt;=20,"10 to 20", F796&lt;= 40, "20 to 40", F796 &lt;= 50, "40 to 50", F796 &gt; 50, "&gt;50" )</f>
        <v>0 to 5</v>
      </c>
    </row>
    <row r="797" spans="1:15" ht="14.4" x14ac:dyDescent="0.3">
      <c r="A797" t="s">
        <v>213</v>
      </c>
      <c r="B797" s="1">
        <v>46178</v>
      </c>
      <c r="C797" t="s">
        <v>16</v>
      </c>
      <c r="D797">
        <v>736</v>
      </c>
      <c r="E797">
        <v>1</v>
      </c>
      <c r="F797">
        <v>4.5</v>
      </c>
      <c r="G797" t="s">
        <v>21</v>
      </c>
      <c r="I797" t="str">
        <f t="shared" si="12"/>
        <v>736_1</v>
      </c>
      <c r="J797" t="s">
        <v>214</v>
      </c>
      <c r="K797" t="s">
        <v>19</v>
      </c>
      <c r="L797" t="str">
        <f>_xlfn.XLOOKUP(C797, Table2[Species],Table2[Genus], "Code Not Found")</f>
        <v>Acer</v>
      </c>
      <c r="M797" t="str">
        <f>_xlfn.XLOOKUP(C797, Table2[Species],Table2[Sp. Name], "Code Not Found")</f>
        <v>saccharum</v>
      </c>
      <c r="N797" t="str">
        <f>_xlfn.XLOOKUP(C797,Table2[Species],Table2[Family],"Code Not Found")</f>
        <v>Sapindaceae</v>
      </c>
      <c r="O797" t="str" cm="1">
        <f t="array" ref="O797">_xlfn.IFS(F797="","",F797&lt;=5,"0 to 5",F797&lt;=10,"5.1 to 10",F797&lt;=20,"10 to 20", F797&lt;= 40, "20 to 40", F797 &lt;= 50, "40 to 50", F797 &gt; 50, "&gt;50" )</f>
        <v>0 to 5</v>
      </c>
    </row>
    <row r="798" spans="1:15" ht="14.4" x14ac:dyDescent="0.3">
      <c r="A798" t="s">
        <v>213</v>
      </c>
      <c r="B798" s="1">
        <v>46178</v>
      </c>
      <c r="C798" t="s">
        <v>24</v>
      </c>
      <c r="D798">
        <v>737</v>
      </c>
      <c r="E798">
        <v>1</v>
      </c>
      <c r="F798">
        <v>44.8</v>
      </c>
      <c r="G798" t="s">
        <v>21</v>
      </c>
      <c r="I798" t="str">
        <f t="shared" si="12"/>
        <v>737_1</v>
      </c>
      <c r="J798" t="s">
        <v>214</v>
      </c>
      <c r="K798" t="s">
        <v>19</v>
      </c>
      <c r="L798" t="str">
        <f>_xlfn.XLOOKUP(C798, Table2[Species],Table2[Genus], "Code Not Found")</f>
        <v>Lirodendron</v>
      </c>
      <c r="M798" t="str">
        <f>_xlfn.XLOOKUP(C798, Table2[Species],Table2[Sp. Name], "Code Not Found")</f>
        <v>tulipfera</v>
      </c>
      <c r="N798" t="str">
        <f>_xlfn.XLOOKUP(C798,Table2[Species],Table2[Family],"Code Not Found")</f>
        <v>Magnoliaceae</v>
      </c>
      <c r="O798" t="str" cm="1">
        <f t="array" ref="O798">_xlfn.IFS(F798="","",F798&lt;=5,"0 to 5",F798&lt;=10,"5.1 to 10",F798&lt;=20,"10 to 20", F798&lt;= 40, "20 to 40", F798 &lt;= 50, "40 to 50", F798 &gt; 50, "&gt;50" )</f>
        <v>40 to 50</v>
      </c>
    </row>
    <row r="799" spans="1:15" ht="14.4" x14ac:dyDescent="0.3">
      <c r="A799" t="s">
        <v>213</v>
      </c>
      <c r="B799" s="1">
        <v>46178</v>
      </c>
      <c r="C799" t="s">
        <v>16</v>
      </c>
      <c r="D799">
        <v>738</v>
      </c>
      <c r="E799">
        <v>1</v>
      </c>
      <c r="F799">
        <v>7.2</v>
      </c>
      <c r="G799" t="s">
        <v>21</v>
      </c>
      <c r="I799" t="str">
        <f t="shared" si="12"/>
        <v>738_1</v>
      </c>
      <c r="J799" t="s">
        <v>214</v>
      </c>
      <c r="K799" t="s">
        <v>19</v>
      </c>
      <c r="L799" t="str">
        <f>_xlfn.XLOOKUP(C799, Table2[Species],Table2[Genus], "Code Not Found")</f>
        <v>Acer</v>
      </c>
      <c r="M799" t="str">
        <f>_xlfn.XLOOKUP(C799, Table2[Species],Table2[Sp. Name], "Code Not Found")</f>
        <v>saccharum</v>
      </c>
      <c r="N799" t="str">
        <f>_xlfn.XLOOKUP(C799,Table2[Species],Table2[Family],"Code Not Found")</f>
        <v>Sapindaceae</v>
      </c>
      <c r="O799" t="str" cm="1">
        <f t="array" ref="O799">_xlfn.IFS(F799="","",F799&lt;=5,"0 to 5",F799&lt;=10,"5.1 to 10",F799&lt;=20,"10 to 20", F799&lt;= 40, "20 to 40", F799 &lt;= 50, "40 to 50", F799 &gt; 50, "&gt;50" )</f>
        <v>5.1 to 10</v>
      </c>
    </row>
    <row r="800" spans="1:15" ht="14.4" x14ac:dyDescent="0.3">
      <c r="A800" t="s">
        <v>213</v>
      </c>
      <c r="B800" s="1">
        <v>46178</v>
      </c>
      <c r="C800" t="s">
        <v>16</v>
      </c>
      <c r="D800">
        <v>739</v>
      </c>
      <c r="E800">
        <v>1</v>
      </c>
      <c r="F800">
        <v>3.4</v>
      </c>
      <c r="G800" t="s">
        <v>17</v>
      </c>
      <c r="I800" t="str">
        <f t="shared" si="12"/>
        <v>739_1</v>
      </c>
      <c r="J800" t="s">
        <v>214</v>
      </c>
      <c r="K800" t="s">
        <v>19</v>
      </c>
      <c r="L800" t="str">
        <f>_xlfn.XLOOKUP(C800, Table2[Species],Table2[Genus], "Code Not Found")</f>
        <v>Acer</v>
      </c>
      <c r="M800" t="str">
        <f>_xlfn.XLOOKUP(C800, Table2[Species],Table2[Sp. Name], "Code Not Found")</f>
        <v>saccharum</v>
      </c>
      <c r="N800" t="str">
        <f>_xlfn.XLOOKUP(C800,Table2[Species],Table2[Family],"Code Not Found")</f>
        <v>Sapindaceae</v>
      </c>
      <c r="O800" t="str" cm="1">
        <f t="array" ref="O800">_xlfn.IFS(F800="","",F800&lt;=5,"0 to 5",F800&lt;=10,"5.1 to 10",F800&lt;=20,"10 to 20", F800&lt;= 40, "20 to 40", F800 &lt;= 50, "40 to 50", F800 &gt; 50, "&gt;50" )</f>
        <v>0 to 5</v>
      </c>
    </row>
    <row r="801" spans="1:15" ht="14.4" x14ac:dyDescent="0.3">
      <c r="A801" t="s">
        <v>213</v>
      </c>
      <c r="B801" s="1">
        <v>46178</v>
      </c>
      <c r="C801" t="s">
        <v>16</v>
      </c>
      <c r="D801">
        <v>740</v>
      </c>
      <c r="E801">
        <v>1</v>
      </c>
      <c r="F801">
        <v>21.8</v>
      </c>
      <c r="G801" t="s">
        <v>21</v>
      </c>
      <c r="I801" t="str">
        <f t="shared" si="12"/>
        <v>740_1</v>
      </c>
      <c r="J801" t="s">
        <v>214</v>
      </c>
      <c r="K801" t="s">
        <v>19</v>
      </c>
      <c r="L801" t="str">
        <f>_xlfn.XLOOKUP(C801, Table2[Species],Table2[Genus], "Code Not Found")</f>
        <v>Acer</v>
      </c>
      <c r="M801" t="str">
        <f>_xlfn.XLOOKUP(C801, Table2[Species],Table2[Sp. Name], "Code Not Found")</f>
        <v>saccharum</v>
      </c>
      <c r="N801" t="str">
        <f>_xlfn.XLOOKUP(C801,Table2[Species],Table2[Family],"Code Not Found")</f>
        <v>Sapindaceae</v>
      </c>
      <c r="O801" t="str" cm="1">
        <f t="array" ref="O801">_xlfn.IFS(F801="","",F801&lt;=5,"0 to 5",F801&lt;=10,"5.1 to 10",F801&lt;=20,"10 to 20", F801&lt;= 40, "20 to 40", F801 &lt;= 50, "40 to 50", F801 &gt; 50, "&gt;50" )</f>
        <v>20 to 40</v>
      </c>
    </row>
    <row r="802" spans="1:15" ht="14.4" x14ac:dyDescent="0.3">
      <c r="A802" t="s">
        <v>213</v>
      </c>
      <c r="B802" s="1">
        <v>46178</v>
      </c>
      <c r="C802" t="s">
        <v>64</v>
      </c>
      <c r="D802">
        <v>741</v>
      </c>
      <c r="E802">
        <v>1</v>
      </c>
      <c r="F802">
        <v>1.8</v>
      </c>
      <c r="G802" t="s">
        <v>21</v>
      </c>
      <c r="I802" t="str">
        <f t="shared" si="12"/>
        <v>741_1</v>
      </c>
      <c r="J802" t="s">
        <v>214</v>
      </c>
      <c r="K802" t="s">
        <v>19</v>
      </c>
      <c r="L802" t="str">
        <f>_xlfn.XLOOKUP(C802, Table2[Species],Table2[Genus], "Code Not Found")</f>
        <v>Fagus</v>
      </c>
      <c r="M802" t="str">
        <f>_xlfn.XLOOKUP(C802, Table2[Species],Table2[Sp. Name], "Code Not Found")</f>
        <v>grandifolia</v>
      </c>
      <c r="N802" t="str">
        <f>_xlfn.XLOOKUP(C802,Table2[Species],Table2[Family],"Code Not Found")</f>
        <v>Fagaceae</v>
      </c>
      <c r="O802" t="str" cm="1">
        <f t="array" ref="O802">_xlfn.IFS(F802="","",F802&lt;=5,"0 to 5",F802&lt;=10,"5.1 to 10",F802&lt;=20,"10 to 20", F802&lt;= 40, "20 to 40", F802 &lt;= 50, "40 to 50", F802 &gt; 50, "&gt;50" )</f>
        <v>0 to 5</v>
      </c>
    </row>
    <row r="803" spans="1:15" ht="14.4" x14ac:dyDescent="0.3">
      <c r="A803" t="s">
        <v>213</v>
      </c>
      <c r="B803" s="1">
        <v>46178</v>
      </c>
      <c r="C803" t="s">
        <v>16</v>
      </c>
      <c r="D803">
        <v>742</v>
      </c>
      <c r="E803">
        <v>1</v>
      </c>
      <c r="F803">
        <v>3.3</v>
      </c>
      <c r="G803" t="s">
        <v>17</v>
      </c>
      <c r="I803" t="str">
        <f t="shared" si="12"/>
        <v>742_1</v>
      </c>
      <c r="J803" t="s">
        <v>214</v>
      </c>
      <c r="K803" t="s">
        <v>19</v>
      </c>
      <c r="L803" t="str">
        <f>_xlfn.XLOOKUP(C803, Table2[Species],Table2[Genus], "Code Not Found")</f>
        <v>Acer</v>
      </c>
      <c r="M803" t="str">
        <f>_xlfn.XLOOKUP(C803, Table2[Species],Table2[Sp. Name], "Code Not Found")</f>
        <v>saccharum</v>
      </c>
      <c r="N803" t="str">
        <f>_xlfn.XLOOKUP(C803,Table2[Species],Table2[Family],"Code Not Found")</f>
        <v>Sapindaceae</v>
      </c>
      <c r="O803" t="str" cm="1">
        <f t="array" ref="O803">_xlfn.IFS(F803="","",F803&lt;=5,"0 to 5",F803&lt;=10,"5.1 to 10",F803&lt;=20,"10 to 20", F803&lt;= 40, "20 to 40", F803 &lt;= 50, "40 to 50", F803 &gt; 50, "&gt;50" )</f>
        <v>0 to 5</v>
      </c>
    </row>
    <row r="804" spans="1:15" ht="14.4" x14ac:dyDescent="0.3">
      <c r="A804" t="s">
        <v>213</v>
      </c>
      <c r="B804" s="1">
        <v>46178</v>
      </c>
      <c r="C804" t="s">
        <v>16</v>
      </c>
      <c r="D804">
        <v>743</v>
      </c>
      <c r="E804">
        <v>1</v>
      </c>
      <c r="F804">
        <v>2.6</v>
      </c>
      <c r="G804" t="s">
        <v>17</v>
      </c>
      <c r="I804" t="str">
        <f t="shared" si="12"/>
        <v>743_1</v>
      </c>
      <c r="J804" t="s">
        <v>214</v>
      </c>
      <c r="K804" t="s">
        <v>19</v>
      </c>
      <c r="L804" t="str">
        <f>_xlfn.XLOOKUP(C804, Table2[Species],Table2[Genus], "Code Not Found")</f>
        <v>Acer</v>
      </c>
      <c r="M804" t="str">
        <f>_xlfn.XLOOKUP(C804, Table2[Species],Table2[Sp. Name], "Code Not Found")</f>
        <v>saccharum</v>
      </c>
      <c r="N804" t="str">
        <f>_xlfn.XLOOKUP(C804,Table2[Species],Table2[Family],"Code Not Found")</f>
        <v>Sapindaceae</v>
      </c>
      <c r="O804" t="str" cm="1">
        <f t="array" ref="O804">_xlfn.IFS(F804="","",F804&lt;=5,"0 to 5",F804&lt;=10,"5.1 to 10",F804&lt;=20,"10 to 20", F804&lt;= 40, "20 to 40", F804 &lt;= 50, "40 to 50", F804 &gt; 50, "&gt;50" )</f>
        <v>0 to 5</v>
      </c>
    </row>
    <row r="805" spans="1:15" ht="14.4" x14ac:dyDescent="0.3">
      <c r="A805" t="s">
        <v>213</v>
      </c>
      <c r="B805" s="1">
        <v>46178</v>
      </c>
      <c r="C805" t="s">
        <v>16</v>
      </c>
      <c r="D805">
        <v>744</v>
      </c>
      <c r="E805">
        <v>1</v>
      </c>
      <c r="F805">
        <v>5.2</v>
      </c>
      <c r="G805" t="s">
        <v>21</v>
      </c>
      <c r="I805" t="str">
        <f t="shared" si="12"/>
        <v>744_1</v>
      </c>
      <c r="J805" t="s">
        <v>214</v>
      </c>
      <c r="K805" t="s">
        <v>19</v>
      </c>
      <c r="L805" t="str">
        <f>_xlfn.XLOOKUP(C805, Table2[Species],Table2[Genus], "Code Not Found")</f>
        <v>Acer</v>
      </c>
      <c r="M805" t="str">
        <f>_xlfn.XLOOKUP(C805, Table2[Species],Table2[Sp. Name], "Code Not Found")</f>
        <v>saccharum</v>
      </c>
      <c r="N805" t="str">
        <f>_xlfn.XLOOKUP(C805,Table2[Species],Table2[Family],"Code Not Found")</f>
        <v>Sapindaceae</v>
      </c>
      <c r="O805" t="str" cm="1">
        <f t="array" ref="O805">_xlfn.IFS(F805="","",F805&lt;=5,"0 to 5",F805&lt;=10,"5.1 to 10",F805&lt;=20,"10 to 20", F805&lt;= 40, "20 to 40", F805 &lt;= 50, "40 to 50", F805 &gt; 50, "&gt;50" )</f>
        <v>5.1 to 10</v>
      </c>
    </row>
    <row r="806" spans="1:15" ht="14.4" x14ac:dyDescent="0.3">
      <c r="A806" t="s">
        <v>213</v>
      </c>
      <c r="B806" s="1">
        <v>46178</v>
      </c>
      <c r="C806" t="s">
        <v>16</v>
      </c>
      <c r="D806">
        <v>745</v>
      </c>
      <c r="E806">
        <v>1</v>
      </c>
      <c r="F806">
        <v>2.5</v>
      </c>
      <c r="G806" t="s">
        <v>17</v>
      </c>
      <c r="I806" t="str">
        <f t="shared" si="12"/>
        <v>745_1</v>
      </c>
      <c r="J806" t="s">
        <v>214</v>
      </c>
      <c r="K806" t="s">
        <v>19</v>
      </c>
      <c r="L806" t="str">
        <f>_xlfn.XLOOKUP(C806, Table2[Species],Table2[Genus], "Code Not Found")</f>
        <v>Acer</v>
      </c>
      <c r="M806" t="str">
        <f>_xlfn.XLOOKUP(C806, Table2[Species],Table2[Sp. Name], "Code Not Found")</f>
        <v>saccharum</v>
      </c>
      <c r="N806" t="str">
        <f>_xlfn.XLOOKUP(C806,Table2[Species],Table2[Family],"Code Not Found")</f>
        <v>Sapindaceae</v>
      </c>
      <c r="O806" t="str" cm="1">
        <f t="array" ref="O806">_xlfn.IFS(F806="","",F806&lt;=5,"0 to 5",F806&lt;=10,"5.1 to 10",F806&lt;=20,"10 to 20", F806&lt;= 40, "20 to 40", F806 &lt;= 50, "40 to 50", F806 &gt; 50, "&gt;50" )</f>
        <v>0 to 5</v>
      </c>
    </row>
    <row r="807" spans="1:15" ht="14.4" x14ac:dyDescent="0.3">
      <c r="A807" t="s">
        <v>213</v>
      </c>
      <c r="B807" s="1">
        <v>46178</v>
      </c>
      <c r="C807" t="s">
        <v>16</v>
      </c>
      <c r="D807">
        <v>746</v>
      </c>
      <c r="E807">
        <v>1</v>
      </c>
      <c r="F807">
        <v>4</v>
      </c>
      <c r="G807" t="s">
        <v>17</v>
      </c>
      <c r="I807" t="str">
        <f t="shared" si="12"/>
        <v>746_1</v>
      </c>
      <c r="J807" t="s">
        <v>214</v>
      </c>
      <c r="K807" t="s">
        <v>19</v>
      </c>
      <c r="L807" t="str">
        <f>_xlfn.XLOOKUP(C807, Table2[Species],Table2[Genus], "Code Not Found")</f>
        <v>Acer</v>
      </c>
      <c r="M807" t="str">
        <f>_xlfn.XLOOKUP(C807, Table2[Species],Table2[Sp. Name], "Code Not Found")</f>
        <v>saccharum</v>
      </c>
      <c r="N807" t="str">
        <f>_xlfn.XLOOKUP(C807,Table2[Species],Table2[Family],"Code Not Found")</f>
        <v>Sapindaceae</v>
      </c>
      <c r="O807" t="str" cm="1">
        <f t="array" ref="O807">_xlfn.IFS(F807="","",F807&lt;=5,"0 to 5",F807&lt;=10,"5.1 to 10",F807&lt;=20,"10 to 20", F807&lt;= 40, "20 to 40", F807 &lt;= 50, "40 to 50", F807 &gt; 50, "&gt;50" )</f>
        <v>0 to 5</v>
      </c>
    </row>
    <row r="808" spans="1:15" ht="14.4" x14ac:dyDescent="0.3">
      <c r="A808" t="s">
        <v>213</v>
      </c>
      <c r="B808" s="1">
        <v>46178</v>
      </c>
      <c r="C808" t="s">
        <v>64</v>
      </c>
      <c r="D808">
        <v>747</v>
      </c>
      <c r="E808">
        <v>1</v>
      </c>
      <c r="F808">
        <v>1.8</v>
      </c>
      <c r="G808" t="s">
        <v>21</v>
      </c>
      <c r="I808" t="str">
        <f t="shared" si="12"/>
        <v>747_1</v>
      </c>
      <c r="J808" t="s">
        <v>214</v>
      </c>
      <c r="K808" t="s">
        <v>19</v>
      </c>
      <c r="L808" t="str">
        <f>_xlfn.XLOOKUP(C808, Table2[Species],Table2[Genus], "Code Not Found")</f>
        <v>Fagus</v>
      </c>
      <c r="M808" t="str">
        <f>_xlfn.XLOOKUP(C808, Table2[Species],Table2[Sp. Name], "Code Not Found")</f>
        <v>grandifolia</v>
      </c>
      <c r="N808" t="str">
        <f>_xlfn.XLOOKUP(C808,Table2[Species],Table2[Family],"Code Not Found")</f>
        <v>Fagaceae</v>
      </c>
      <c r="O808" t="str" cm="1">
        <f t="array" ref="O808">_xlfn.IFS(F808="","",F808&lt;=5,"0 to 5",F808&lt;=10,"5.1 to 10",F808&lt;=20,"10 to 20", F808&lt;= 40, "20 to 40", F808 &lt;= 50, "40 to 50", F808 &gt; 50, "&gt;50" )</f>
        <v>0 to 5</v>
      </c>
    </row>
    <row r="809" spans="1:15" ht="14.4" x14ac:dyDescent="0.3">
      <c r="A809" t="s">
        <v>213</v>
      </c>
      <c r="B809" s="1">
        <v>46178</v>
      </c>
      <c r="C809" t="s">
        <v>16</v>
      </c>
      <c r="D809">
        <v>748</v>
      </c>
      <c r="E809">
        <v>1</v>
      </c>
      <c r="F809">
        <v>2.2000000000000002</v>
      </c>
      <c r="G809" t="s">
        <v>17</v>
      </c>
      <c r="I809" t="str">
        <f t="shared" si="12"/>
        <v>748_1</v>
      </c>
      <c r="J809" t="s">
        <v>214</v>
      </c>
      <c r="K809" t="s">
        <v>19</v>
      </c>
      <c r="L809" t="str">
        <f>_xlfn.XLOOKUP(C809, Table2[Species],Table2[Genus], "Code Not Found")</f>
        <v>Acer</v>
      </c>
      <c r="M809" t="str">
        <f>_xlfn.XLOOKUP(C809, Table2[Species],Table2[Sp. Name], "Code Not Found")</f>
        <v>saccharum</v>
      </c>
      <c r="N809" t="str">
        <f>_xlfn.XLOOKUP(C809,Table2[Species],Table2[Family],"Code Not Found")</f>
        <v>Sapindaceae</v>
      </c>
      <c r="O809" t="str" cm="1">
        <f t="array" ref="O809">_xlfn.IFS(F809="","",F809&lt;=5,"0 to 5",F809&lt;=10,"5.1 to 10",F809&lt;=20,"10 to 20", F809&lt;= 40, "20 to 40", F809 &lt;= 50, "40 to 50", F809 &gt; 50, "&gt;50" )</f>
        <v>0 to 5</v>
      </c>
    </row>
    <row r="810" spans="1:15" ht="14.4" x14ac:dyDescent="0.3">
      <c r="A810" t="s">
        <v>213</v>
      </c>
      <c r="B810" s="1">
        <v>46178</v>
      </c>
      <c r="C810" t="s">
        <v>16</v>
      </c>
      <c r="D810">
        <v>749</v>
      </c>
      <c r="E810">
        <v>1</v>
      </c>
      <c r="F810">
        <v>5.5</v>
      </c>
      <c r="G810" t="s">
        <v>17</v>
      </c>
      <c r="I810" t="str">
        <f t="shared" si="12"/>
        <v>749_1</v>
      </c>
      <c r="J810" t="s">
        <v>214</v>
      </c>
      <c r="K810" t="s">
        <v>19</v>
      </c>
      <c r="L810" t="str">
        <f>_xlfn.XLOOKUP(C810, Table2[Species],Table2[Genus], "Code Not Found")</f>
        <v>Acer</v>
      </c>
      <c r="M810" t="str">
        <f>_xlfn.XLOOKUP(C810, Table2[Species],Table2[Sp. Name], "Code Not Found")</f>
        <v>saccharum</v>
      </c>
      <c r="N810" t="str">
        <f>_xlfn.XLOOKUP(C810,Table2[Species],Table2[Family],"Code Not Found")</f>
        <v>Sapindaceae</v>
      </c>
      <c r="O810" t="str" cm="1">
        <f t="array" ref="O810">_xlfn.IFS(F810="","",F810&lt;=5,"0 to 5",F810&lt;=10,"5.1 to 10",F810&lt;=20,"10 to 20", F810&lt;= 40, "20 to 40", F810 &lt;= 50, "40 to 50", F810 &gt; 50, "&gt;50" )</f>
        <v>5.1 to 10</v>
      </c>
    </row>
    <row r="811" spans="1:15" ht="14.4" x14ac:dyDescent="0.3">
      <c r="A811" t="s">
        <v>213</v>
      </c>
      <c r="B811" s="1">
        <v>46178</v>
      </c>
      <c r="C811" t="s">
        <v>16</v>
      </c>
      <c r="D811">
        <v>750</v>
      </c>
      <c r="E811">
        <v>1</v>
      </c>
      <c r="F811">
        <v>2.6</v>
      </c>
      <c r="G811" t="s">
        <v>17</v>
      </c>
      <c r="I811" t="str">
        <f t="shared" si="12"/>
        <v>750_1</v>
      </c>
      <c r="J811" t="s">
        <v>214</v>
      </c>
      <c r="K811" t="s">
        <v>19</v>
      </c>
      <c r="L811" t="str">
        <f>_xlfn.XLOOKUP(C811, Table2[Species],Table2[Genus], "Code Not Found")</f>
        <v>Acer</v>
      </c>
      <c r="M811" t="str">
        <f>_xlfn.XLOOKUP(C811, Table2[Species],Table2[Sp. Name], "Code Not Found")</f>
        <v>saccharum</v>
      </c>
      <c r="N811" t="str">
        <f>_xlfn.XLOOKUP(C811,Table2[Species],Table2[Family],"Code Not Found")</f>
        <v>Sapindaceae</v>
      </c>
      <c r="O811" t="str" cm="1">
        <f t="array" ref="O811">_xlfn.IFS(F811="","",F811&lt;=5,"0 to 5",F811&lt;=10,"5.1 to 10",F811&lt;=20,"10 to 20", F811&lt;= 40, "20 to 40", F811 &lt;= 50, "40 to 50", F811 &gt; 50, "&gt;50" )</f>
        <v>0 to 5</v>
      </c>
    </row>
    <row r="812" spans="1:15" ht="14.4" x14ac:dyDescent="0.3">
      <c r="A812" t="s">
        <v>213</v>
      </c>
      <c r="B812" s="1">
        <v>46178</v>
      </c>
      <c r="C812" t="s">
        <v>16</v>
      </c>
      <c r="D812">
        <v>751</v>
      </c>
      <c r="E812">
        <v>1</v>
      </c>
      <c r="F812">
        <v>2.7</v>
      </c>
      <c r="G812" t="s">
        <v>17</v>
      </c>
      <c r="I812" t="str">
        <f t="shared" si="12"/>
        <v>751_1</v>
      </c>
      <c r="J812" t="s">
        <v>214</v>
      </c>
      <c r="K812" t="s">
        <v>19</v>
      </c>
      <c r="L812" t="str">
        <f>_xlfn.XLOOKUP(C812, Table2[Species],Table2[Genus], "Code Not Found")</f>
        <v>Acer</v>
      </c>
      <c r="M812" t="str">
        <f>_xlfn.XLOOKUP(C812, Table2[Species],Table2[Sp. Name], "Code Not Found")</f>
        <v>saccharum</v>
      </c>
      <c r="N812" t="str">
        <f>_xlfn.XLOOKUP(C812,Table2[Species],Table2[Family],"Code Not Found")</f>
        <v>Sapindaceae</v>
      </c>
      <c r="O812" t="str" cm="1">
        <f t="array" ref="O812">_xlfn.IFS(F812="","",F812&lt;=5,"0 to 5",F812&lt;=10,"5.1 to 10",F812&lt;=20,"10 to 20", F812&lt;= 40, "20 to 40", F812 &lt;= 50, "40 to 50", F812 &gt; 50, "&gt;50" )</f>
        <v>0 to 5</v>
      </c>
    </row>
    <row r="813" spans="1:15" ht="14.4" x14ac:dyDescent="0.3">
      <c r="A813" t="s">
        <v>213</v>
      </c>
      <c r="B813" s="1">
        <v>46178</v>
      </c>
      <c r="C813" t="s">
        <v>16</v>
      </c>
      <c r="D813">
        <v>752</v>
      </c>
      <c r="E813">
        <v>1</v>
      </c>
      <c r="F813">
        <v>3.4</v>
      </c>
      <c r="G813" t="s">
        <v>30</v>
      </c>
      <c r="H813" t="s">
        <v>99</v>
      </c>
      <c r="I813" t="str">
        <f t="shared" si="12"/>
        <v>752_1</v>
      </c>
      <c r="J813" t="s">
        <v>214</v>
      </c>
      <c r="K813" t="s">
        <v>19</v>
      </c>
      <c r="L813" t="str">
        <f>_xlfn.XLOOKUP(C813, Table2[Species],Table2[Genus], "Code Not Found")</f>
        <v>Acer</v>
      </c>
      <c r="M813" t="str">
        <f>_xlfn.XLOOKUP(C813, Table2[Species],Table2[Sp. Name], "Code Not Found")</f>
        <v>saccharum</v>
      </c>
      <c r="N813" t="str">
        <f>_xlfn.XLOOKUP(C813,Table2[Species],Table2[Family],"Code Not Found")</f>
        <v>Sapindaceae</v>
      </c>
      <c r="O813" t="str" cm="1">
        <f t="array" ref="O813">_xlfn.IFS(F813="","",F813&lt;=5,"0 to 5",F813&lt;=10,"5.1 to 10",F813&lt;=20,"10 to 20", F813&lt;= 40, "20 to 40", F813 &lt;= 50, "40 to 50", F813 &gt; 50, "&gt;50" )</f>
        <v>0 to 5</v>
      </c>
    </row>
    <row r="814" spans="1:15" ht="14.4" x14ac:dyDescent="0.3">
      <c r="A814" t="s">
        <v>213</v>
      </c>
      <c r="B814" s="1">
        <v>46178</v>
      </c>
      <c r="C814" t="s">
        <v>64</v>
      </c>
      <c r="D814">
        <v>753</v>
      </c>
      <c r="E814">
        <v>1</v>
      </c>
      <c r="F814">
        <v>2.2000000000000002</v>
      </c>
      <c r="G814" t="s">
        <v>21</v>
      </c>
      <c r="I814" t="str">
        <f t="shared" si="12"/>
        <v>753_1</v>
      </c>
      <c r="J814" t="s">
        <v>214</v>
      </c>
      <c r="K814" t="s">
        <v>19</v>
      </c>
      <c r="L814" t="str">
        <f>_xlfn.XLOOKUP(C814, Table2[Species],Table2[Genus], "Code Not Found")</f>
        <v>Fagus</v>
      </c>
      <c r="M814" t="str">
        <f>_xlfn.XLOOKUP(C814, Table2[Species],Table2[Sp. Name], "Code Not Found")</f>
        <v>grandifolia</v>
      </c>
      <c r="N814" t="str">
        <f>_xlfn.XLOOKUP(C814,Table2[Species],Table2[Family],"Code Not Found")</f>
        <v>Fagaceae</v>
      </c>
      <c r="O814" t="str" cm="1">
        <f t="array" ref="O814">_xlfn.IFS(F814="","",F814&lt;=5,"0 to 5",F814&lt;=10,"5.1 to 10",F814&lt;=20,"10 to 20", F814&lt;= 40, "20 to 40", F814 &lt;= 50, "40 to 50", F814 &gt; 50, "&gt;50" )</f>
        <v>0 to 5</v>
      </c>
    </row>
    <row r="815" spans="1:15" ht="14.4" x14ac:dyDescent="0.3">
      <c r="A815" t="s">
        <v>213</v>
      </c>
      <c r="B815" s="1">
        <v>46178</v>
      </c>
      <c r="C815" t="s">
        <v>16</v>
      </c>
      <c r="D815">
        <v>754</v>
      </c>
      <c r="E815">
        <v>1</v>
      </c>
      <c r="F815">
        <v>3.1</v>
      </c>
      <c r="G815" t="s">
        <v>17</v>
      </c>
      <c r="I815" t="str">
        <f t="shared" si="12"/>
        <v>754_1</v>
      </c>
      <c r="J815" t="s">
        <v>214</v>
      </c>
      <c r="K815" t="s">
        <v>19</v>
      </c>
      <c r="L815" t="str">
        <f>_xlfn.XLOOKUP(C815, Table2[Species],Table2[Genus], "Code Not Found")</f>
        <v>Acer</v>
      </c>
      <c r="M815" t="str">
        <f>_xlfn.XLOOKUP(C815, Table2[Species],Table2[Sp. Name], "Code Not Found")</f>
        <v>saccharum</v>
      </c>
      <c r="N815" t="str">
        <f>_xlfn.XLOOKUP(C815,Table2[Species],Table2[Family],"Code Not Found")</f>
        <v>Sapindaceae</v>
      </c>
      <c r="O815" t="str" cm="1">
        <f t="array" ref="O815">_xlfn.IFS(F815="","",F815&lt;=5,"0 to 5",F815&lt;=10,"5.1 to 10",F815&lt;=20,"10 to 20", F815&lt;= 40, "20 to 40", F815 &lt;= 50, "40 to 50", F815 &gt; 50, "&gt;50" )</f>
        <v>0 to 5</v>
      </c>
    </row>
    <row r="816" spans="1:15" ht="14.4" x14ac:dyDescent="0.3">
      <c r="A816" t="s">
        <v>213</v>
      </c>
      <c r="B816" s="1">
        <v>46178</v>
      </c>
      <c r="C816" t="s">
        <v>16</v>
      </c>
      <c r="D816">
        <v>755</v>
      </c>
      <c r="E816">
        <v>1</v>
      </c>
      <c r="F816">
        <v>2</v>
      </c>
      <c r="G816" t="s">
        <v>54</v>
      </c>
      <c r="H816" t="s">
        <v>215</v>
      </c>
      <c r="I816" t="str">
        <f t="shared" si="12"/>
        <v>755_1</v>
      </c>
      <c r="J816" t="s">
        <v>214</v>
      </c>
      <c r="K816" t="s">
        <v>19</v>
      </c>
      <c r="L816" t="str">
        <f>_xlfn.XLOOKUP(C816, Table2[Species],Table2[Genus], "Code Not Found")</f>
        <v>Acer</v>
      </c>
      <c r="M816" t="str">
        <f>_xlfn.XLOOKUP(C816, Table2[Species],Table2[Sp. Name], "Code Not Found")</f>
        <v>saccharum</v>
      </c>
      <c r="N816" t="str">
        <f>_xlfn.XLOOKUP(C816,Table2[Species],Table2[Family],"Code Not Found")</f>
        <v>Sapindaceae</v>
      </c>
      <c r="O816" t="str" cm="1">
        <f t="array" ref="O816">_xlfn.IFS(F816="","",F816&lt;=5,"0 to 5",F816&lt;=10,"5.1 to 10",F816&lt;=20,"10 to 20", F816&lt;= 40, "20 to 40", F816 &lt;= 50, "40 to 50", F816 &gt; 50, "&gt;50" )</f>
        <v>0 to 5</v>
      </c>
    </row>
    <row r="817" spans="1:15" ht="14.4" x14ac:dyDescent="0.3">
      <c r="A817" t="s">
        <v>213</v>
      </c>
      <c r="B817" s="1">
        <v>46178</v>
      </c>
      <c r="C817" t="s">
        <v>16</v>
      </c>
      <c r="D817">
        <v>756</v>
      </c>
      <c r="E817">
        <v>1</v>
      </c>
      <c r="F817">
        <v>1.4</v>
      </c>
      <c r="G817" t="s">
        <v>21</v>
      </c>
      <c r="I817" t="str">
        <f t="shared" si="12"/>
        <v>756_1</v>
      </c>
      <c r="J817" t="s">
        <v>214</v>
      </c>
      <c r="K817" t="s">
        <v>19</v>
      </c>
      <c r="L817" t="str">
        <f>_xlfn.XLOOKUP(C817, Table2[Species],Table2[Genus], "Code Not Found")</f>
        <v>Acer</v>
      </c>
      <c r="M817" t="str">
        <f>_xlfn.XLOOKUP(C817, Table2[Species],Table2[Sp. Name], "Code Not Found")</f>
        <v>saccharum</v>
      </c>
      <c r="N817" t="str">
        <f>_xlfn.XLOOKUP(C817,Table2[Species],Table2[Family],"Code Not Found")</f>
        <v>Sapindaceae</v>
      </c>
      <c r="O817" t="str" cm="1">
        <f t="array" ref="O817">_xlfn.IFS(F817="","",F817&lt;=5,"0 to 5",F817&lt;=10,"5.1 to 10",F817&lt;=20,"10 to 20", F817&lt;= 40, "20 to 40", F817 &lt;= 50, "40 to 50", F817 &gt; 50, "&gt;50" )</f>
        <v>0 to 5</v>
      </c>
    </row>
    <row r="818" spans="1:15" ht="14.4" x14ac:dyDescent="0.3">
      <c r="A818" t="s">
        <v>213</v>
      </c>
      <c r="B818" s="1">
        <v>46178</v>
      </c>
      <c r="C818" t="s">
        <v>16</v>
      </c>
      <c r="D818">
        <v>757</v>
      </c>
      <c r="E818">
        <v>1</v>
      </c>
      <c r="F818">
        <v>1.9</v>
      </c>
      <c r="G818" t="s">
        <v>17</v>
      </c>
      <c r="I818" t="str">
        <f t="shared" si="12"/>
        <v>757_1</v>
      </c>
      <c r="J818" t="s">
        <v>214</v>
      </c>
      <c r="K818" t="s">
        <v>19</v>
      </c>
      <c r="L818" t="str">
        <f>_xlfn.XLOOKUP(C818, Table2[Species],Table2[Genus], "Code Not Found")</f>
        <v>Acer</v>
      </c>
      <c r="M818" t="str">
        <f>_xlfn.XLOOKUP(C818, Table2[Species],Table2[Sp. Name], "Code Not Found")</f>
        <v>saccharum</v>
      </c>
      <c r="N818" t="str">
        <f>_xlfn.XLOOKUP(C818,Table2[Species],Table2[Family],"Code Not Found")</f>
        <v>Sapindaceae</v>
      </c>
      <c r="O818" t="str" cm="1">
        <f t="array" ref="O818">_xlfn.IFS(F818="","",F818&lt;=5,"0 to 5",F818&lt;=10,"5.1 to 10",F818&lt;=20,"10 to 20", F818&lt;= 40, "20 to 40", F818 &lt;= 50, "40 to 50", F818 &gt; 50, "&gt;50" )</f>
        <v>0 to 5</v>
      </c>
    </row>
    <row r="819" spans="1:15" ht="14.4" x14ac:dyDescent="0.3">
      <c r="A819" t="s">
        <v>213</v>
      </c>
      <c r="B819" s="1">
        <v>46178</v>
      </c>
      <c r="C819" t="s">
        <v>216</v>
      </c>
      <c r="D819">
        <v>758</v>
      </c>
      <c r="E819">
        <v>1</v>
      </c>
      <c r="F819">
        <v>9.1999999999999993</v>
      </c>
      <c r="G819" t="s">
        <v>21</v>
      </c>
      <c r="I819" t="str">
        <f t="shared" si="12"/>
        <v>758_1</v>
      </c>
      <c r="J819" t="s">
        <v>214</v>
      </c>
      <c r="K819" t="s">
        <v>19</v>
      </c>
      <c r="L819" t="str">
        <f>_xlfn.XLOOKUP(C819, Table2[Species],Table2[Genus], "Code Not Found")</f>
        <v>Crataegus</v>
      </c>
      <c r="M819" t="str">
        <f>_xlfn.XLOOKUP(C819, Table2[Species],Table2[Sp. Name], "Code Not Found")</f>
        <v>species</v>
      </c>
      <c r="N819" t="str">
        <f>_xlfn.XLOOKUP(C819,Table2[Species],Table2[Family],"Code Not Found")</f>
        <v>Rosaceae</v>
      </c>
      <c r="O819" t="str" cm="1">
        <f t="array" ref="O819">_xlfn.IFS(F819="","",F819&lt;=5,"0 to 5",F819&lt;=10,"5.1 to 10",F819&lt;=20,"10 to 20", F819&lt;= 40, "20 to 40", F819 &lt;= 50, "40 to 50", F819 &gt; 50, "&gt;50" )</f>
        <v>5.1 to 10</v>
      </c>
    </row>
    <row r="820" spans="1:15" ht="14.4" x14ac:dyDescent="0.3">
      <c r="A820" t="s">
        <v>213</v>
      </c>
      <c r="B820" s="1">
        <v>46178</v>
      </c>
      <c r="C820" t="s">
        <v>16</v>
      </c>
      <c r="D820">
        <v>759</v>
      </c>
      <c r="E820">
        <v>1</v>
      </c>
      <c r="F820">
        <v>2</v>
      </c>
      <c r="G820" t="s">
        <v>21</v>
      </c>
      <c r="I820" t="str">
        <f t="shared" si="12"/>
        <v>759_1</v>
      </c>
      <c r="J820" t="s">
        <v>214</v>
      </c>
      <c r="K820" t="s">
        <v>19</v>
      </c>
      <c r="L820" t="str">
        <f>_xlfn.XLOOKUP(C820, Table2[Species],Table2[Genus], "Code Not Found")</f>
        <v>Acer</v>
      </c>
      <c r="M820" t="str">
        <f>_xlfn.XLOOKUP(C820, Table2[Species],Table2[Sp. Name], "Code Not Found")</f>
        <v>saccharum</v>
      </c>
      <c r="N820" t="str">
        <f>_xlfn.XLOOKUP(C820,Table2[Species],Table2[Family],"Code Not Found")</f>
        <v>Sapindaceae</v>
      </c>
      <c r="O820" t="str" cm="1">
        <f t="array" ref="O820">_xlfn.IFS(F820="","",F820&lt;=5,"0 to 5",F820&lt;=10,"5.1 to 10",F820&lt;=20,"10 to 20", F820&lt;= 40, "20 to 40", F820 &lt;= 50, "40 to 50", F820 &gt; 50, "&gt;50" )</f>
        <v>0 to 5</v>
      </c>
    </row>
    <row r="821" spans="1:15" ht="14.4" x14ac:dyDescent="0.3">
      <c r="A821" t="s">
        <v>213</v>
      </c>
      <c r="B821" s="1">
        <v>46178</v>
      </c>
      <c r="C821" t="s">
        <v>16</v>
      </c>
      <c r="D821">
        <v>760</v>
      </c>
      <c r="E821">
        <v>1</v>
      </c>
      <c r="F821">
        <v>1.4</v>
      </c>
      <c r="G821" t="s">
        <v>47</v>
      </c>
      <c r="I821" t="str">
        <f t="shared" si="12"/>
        <v>760_1</v>
      </c>
      <c r="J821" t="s">
        <v>214</v>
      </c>
      <c r="K821" t="s">
        <v>19</v>
      </c>
      <c r="L821" t="str">
        <f>_xlfn.XLOOKUP(C821, Table2[Species],Table2[Genus], "Code Not Found")</f>
        <v>Acer</v>
      </c>
      <c r="M821" t="str">
        <f>_xlfn.XLOOKUP(C821, Table2[Species],Table2[Sp. Name], "Code Not Found")</f>
        <v>saccharum</v>
      </c>
      <c r="N821" t="str">
        <f>_xlfn.XLOOKUP(C821,Table2[Species],Table2[Family],"Code Not Found")</f>
        <v>Sapindaceae</v>
      </c>
      <c r="O821" t="str" cm="1">
        <f t="array" ref="O821">_xlfn.IFS(F821="","",F821&lt;=5,"0 to 5",F821&lt;=10,"5.1 to 10",F821&lt;=20,"10 to 20", F821&lt;= 40, "20 to 40", F821 &lt;= 50, "40 to 50", F821 &gt; 50, "&gt;50" )</f>
        <v>0 to 5</v>
      </c>
    </row>
    <row r="822" spans="1:15" ht="14.4" x14ac:dyDescent="0.3">
      <c r="A822" t="s">
        <v>213</v>
      </c>
      <c r="B822" s="1">
        <v>46178</v>
      </c>
      <c r="C822" t="s">
        <v>216</v>
      </c>
      <c r="D822">
        <v>761</v>
      </c>
      <c r="E822">
        <v>1</v>
      </c>
      <c r="F822">
        <v>13.4</v>
      </c>
      <c r="G822" t="s">
        <v>17</v>
      </c>
      <c r="H822" t="s">
        <v>36</v>
      </c>
      <c r="I822" t="str">
        <f t="shared" si="12"/>
        <v>761_1</v>
      </c>
      <c r="J822" t="s">
        <v>214</v>
      </c>
      <c r="K822" t="s">
        <v>19</v>
      </c>
      <c r="L822" t="str">
        <f>_xlfn.XLOOKUP(C822, Table2[Species],Table2[Genus], "Code Not Found")</f>
        <v>Crataegus</v>
      </c>
      <c r="M822" t="str">
        <f>_xlfn.XLOOKUP(C822, Table2[Species],Table2[Sp. Name], "Code Not Found")</f>
        <v>species</v>
      </c>
      <c r="N822" t="str">
        <f>_xlfn.XLOOKUP(C822,Table2[Species],Table2[Family],"Code Not Found")</f>
        <v>Rosaceae</v>
      </c>
      <c r="O822" t="str" cm="1">
        <f t="array" ref="O822">_xlfn.IFS(F822="","",F822&lt;=5,"0 to 5",F822&lt;=10,"5.1 to 10",F822&lt;=20,"10 to 20", F822&lt;= 40, "20 to 40", F822 &lt;= 50, "40 to 50", F822 &gt; 50, "&gt;50" )</f>
        <v>10 to 20</v>
      </c>
    </row>
    <row r="823" spans="1:15" ht="14.4" x14ac:dyDescent="0.3">
      <c r="A823" t="s">
        <v>213</v>
      </c>
      <c r="B823" s="1">
        <v>46178</v>
      </c>
      <c r="C823" t="s">
        <v>16</v>
      </c>
      <c r="D823">
        <v>762</v>
      </c>
      <c r="E823">
        <v>1</v>
      </c>
      <c r="F823">
        <v>1.9</v>
      </c>
      <c r="G823" t="s">
        <v>21</v>
      </c>
      <c r="I823" t="str">
        <f t="shared" si="12"/>
        <v>762_1</v>
      </c>
      <c r="J823" t="s">
        <v>214</v>
      </c>
      <c r="K823" t="s">
        <v>19</v>
      </c>
      <c r="L823" t="str">
        <f>_xlfn.XLOOKUP(C823, Table2[Species],Table2[Genus], "Code Not Found")</f>
        <v>Acer</v>
      </c>
      <c r="M823" t="str">
        <f>_xlfn.XLOOKUP(C823, Table2[Species],Table2[Sp. Name], "Code Not Found")</f>
        <v>saccharum</v>
      </c>
      <c r="N823" t="str">
        <f>_xlfn.XLOOKUP(C823,Table2[Species],Table2[Family],"Code Not Found")</f>
        <v>Sapindaceae</v>
      </c>
      <c r="O823" t="str" cm="1">
        <f t="array" ref="O823">_xlfn.IFS(F823="","",F823&lt;=5,"0 to 5",F823&lt;=10,"5.1 to 10",F823&lt;=20,"10 to 20", F823&lt;= 40, "20 to 40", F823 &lt;= 50, "40 to 50", F823 &gt; 50, "&gt;50" )</f>
        <v>0 to 5</v>
      </c>
    </row>
    <row r="824" spans="1:15" ht="14.4" x14ac:dyDescent="0.3">
      <c r="A824" t="s">
        <v>213</v>
      </c>
      <c r="B824" s="1">
        <v>46178</v>
      </c>
      <c r="C824" t="s">
        <v>16</v>
      </c>
      <c r="D824">
        <v>763</v>
      </c>
      <c r="E824">
        <v>1</v>
      </c>
      <c r="F824">
        <v>3.8</v>
      </c>
      <c r="G824" t="s">
        <v>30</v>
      </c>
      <c r="H824" t="s">
        <v>217</v>
      </c>
      <c r="I824" t="str">
        <f t="shared" si="12"/>
        <v>763_1</v>
      </c>
      <c r="J824" t="s">
        <v>214</v>
      </c>
      <c r="K824" t="s">
        <v>19</v>
      </c>
      <c r="L824" t="str">
        <f>_xlfn.XLOOKUP(C824, Table2[Species],Table2[Genus], "Code Not Found")</f>
        <v>Acer</v>
      </c>
      <c r="M824" t="str">
        <f>_xlfn.XLOOKUP(C824, Table2[Species],Table2[Sp. Name], "Code Not Found")</f>
        <v>saccharum</v>
      </c>
      <c r="N824" t="str">
        <f>_xlfn.XLOOKUP(C824,Table2[Species],Table2[Family],"Code Not Found")</f>
        <v>Sapindaceae</v>
      </c>
      <c r="O824" t="str" cm="1">
        <f t="array" ref="O824">_xlfn.IFS(F824="","",F824&lt;=5,"0 to 5",F824&lt;=10,"5.1 to 10",F824&lt;=20,"10 to 20", F824&lt;= 40, "20 to 40", F824 &lt;= 50, "40 to 50", F824 &gt; 50, "&gt;50" )</f>
        <v>0 to 5</v>
      </c>
    </row>
    <row r="825" spans="1:15" ht="14.4" x14ac:dyDescent="0.3">
      <c r="A825" t="s">
        <v>213</v>
      </c>
      <c r="B825" s="1">
        <v>46178</v>
      </c>
      <c r="C825" t="s">
        <v>16</v>
      </c>
      <c r="D825">
        <v>764</v>
      </c>
      <c r="E825">
        <v>1</v>
      </c>
      <c r="F825">
        <v>1.5</v>
      </c>
      <c r="G825" t="s">
        <v>21</v>
      </c>
      <c r="H825" t="s">
        <v>218</v>
      </c>
      <c r="I825" t="str">
        <f t="shared" si="12"/>
        <v>764_1</v>
      </c>
      <c r="J825" t="s">
        <v>214</v>
      </c>
      <c r="K825" t="s">
        <v>19</v>
      </c>
      <c r="L825" t="str">
        <f>_xlfn.XLOOKUP(C825, Table2[Species],Table2[Genus], "Code Not Found")</f>
        <v>Acer</v>
      </c>
      <c r="M825" t="str">
        <f>_xlfn.XLOOKUP(C825, Table2[Species],Table2[Sp. Name], "Code Not Found")</f>
        <v>saccharum</v>
      </c>
      <c r="N825" t="str">
        <f>_xlfn.XLOOKUP(C825,Table2[Species],Table2[Family],"Code Not Found")</f>
        <v>Sapindaceae</v>
      </c>
      <c r="O825" t="str" cm="1">
        <f t="array" ref="O825">_xlfn.IFS(F825="","",F825&lt;=5,"0 to 5",F825&lt;=10,"5.1 to 10",F825&lt;=20,"10 to 20", F825&lt;= 40, "20 to 40", F825 &lt;= 50, "40 to 50", F825 &gt; 50, "&gt;50" )</f>
        <v>0 to 5</v>
      </c>
    </row>
    <row r="826" spans="1:15" ht="14.4" x14ac:dyDescent="0.3">
      <c r="A826" t="s">
        <v>213</v>
      </c>
      <c r="B826" s="1">
        <v>46178</v>
      </c>
      <c r="C826" t="s">
        <v>16</v>
      </c>
      <c r="D826">
        <v>765</v>
      </c>
      <c r="E826">
        <v>1</v>
      </c>
      <c r="F826">
        <v>3.1</v>
      </c>
      <c r="G826" t="s">
        <v>21</v>
      </c>
      <c r="H826" t="s">
        <v>219</v>
      </c>
      <c r="I826" t="str">
        <f t="shared" si="12"/>
        <v>765_1</v>
      </c>
      <c r="J826" t="s">
        <v>214</v>
      </c>
      <c r="K826" t="s">
        <v>19</v>
      </c>
      <c r="L826" t="str">
        <f>_xlfn.XLOOKUP(C826, Table2[Species],Table2[Genus], "Code Not Found")</f>
        <v>Acer</v>
      </c>
      <c r="M826" t="str">
        <f>_xlfn.XLOOKUP(C826, Table2[Species],Table2[Sp. Name], "Code Not Found")</f>
        <v>saccharum</v>
      </c>
      <c r="N826" t="str">
        <f>_xlfn.XLOOKUP(C826,Table2[Species],Table2[Family],"Code Not Found")</f>
        <v>Sapindaceae</v>
      </c>
      <c r="O826" t="str" cm="1">
        <f t="array" ref="O826">_xlfn.IFS(F826="","",F826&lt;=5,"0 to 5",F826&lt;=10,"5.1 to 10",F826&lt;=20,"10 to 20", F826&lt;= 40, "20 to 40", F826 &lt;= 50, "40 to 50", F826 &gt; 50, "&gt;50" )</f>
        <v>0 to 5</v>
      </c>
    </row>
    <row r="827" spans="1:15" ht="14.4" x14ac:dyDescent="0.3">
      <c r="A827" t="s">
        <v>213</v>
      </c>
      <c r="B827" s="1">
        <v>46178</v>
      </c>
      <c r="C827" t="s">
        <v>16</v>
      </c>
      <c r="D827">
        <v>766</v>
      </c>
      <c r="E827">
        <v>1</v>
      </c>
      <c r="F827">
        <v>3.3</v>
      </c>
      <c r="G827" t="s">
        <v>17</v>
      </c>
      <c r="I827" t="str">
        <f t="shared" si="12"/>
        <v>766_1</v>
      </c>
      <c r="J827" t="s">
        <v>214</v>
      </c>
      <c r="K827" t="s">
        <v>19</v>
      </c>
      <c r="L827" t="str">
        <f>_xlfn.XLOOKUP(C827, Table2[Species],Table2[Genus], "Code Not Found")</f>
        <v>Acer</v>
      </c>
      <c r="M827" t="str">
        <f>_xlfn.XLOOKUP(C827, Table2[Species],Table2[Sp. Name], "Code Not Found")</f>
        <v>saccharum</v>
      </c>
      <c r="N827" t="str">
        <f>_xlfn.XLOOKUP(C827,Table2[Species],Table2[Family],"Code Not Found")</f>
        <v>Sapindaceae</v>
      </c>
      <c r="O827" t="str" cm="1">
        <f t="array" ref="O827">_xlfn.IFS(F827="","",F827&lt;=5,"0 to 5",F827&lt;=10,"5.1 to 10",F827&lt;=20,"10 to 20", F827&lt;= 40, "20 to 40", F827 &lt;= 50, "40 to 50", F827 &gt; 50, "&gt;50" )</f>
        <v>0 to 5</v>
      </c>
    </row>
    <row r="828" spans="1:15" ht="14.4" x14ac:dyDescent="0.3">
      <c r="A828" t="s">
        <v>213</v>
      </c>
      <c r="B828" s="1">
        <v>46178</v>
      </c>
      <c r="C828" t="s">
        <v>16</v>
      </c>
      <c r="D828">
        <v>767</v>
      </c>
      <c r="E828">
        <v>1</v>
      </c>
      <c r="F828">
        <v>1.5</v>
      </c>
      <c r="G828" t="s">
        <v>21</v>
      </c>
      <c r="I828" t="str">
        <f t="shared" si="12"/>
        <v>767_1</v>
      </c>
      <c r="J828" t="s">
        <v>214</v>
      </c>
      <c r="K828" t="s">
        <v>19</v>
      </c>
      <c r="L828" t="str">
        <f>_xlfn.XLOOKUP(C828, Table2[Species],Table2[Genus], "Code Not Found")</f>
        <v>Acer</v>
      </c>
      <c r="M828" t="str">
        <f>_xlfn.XLOOKUP(C828, Table2[Species],Table2[Sp. Name], "Code Not Found")</f>
        <v>saccharum</v>
      </c>
      <c r="N828" t="str">
        <f>_xlfn.XLOOKUP(C828,Table2[Species],Table2[Family],"Code Not Found")</f>
        <v>Sapindaceae</v>
      </c>
      <c r="O828" t="str" cm="1">
        <f t="array" ref="O828">_xlfn.IFS(F828="","",F828&lt;=5,"0 to 5",F828&lt;=10,"5.1 to 10",F828&lt;=20,"10 to 20", F828&lt;= 40, "20 to 40", F828 &lt;= 50, "40 to 50", F828 &gt; 50, "&gt;50" )</f>
        <v>0 to 5</v>
      </c>
    </row>
    <row r="829" spans="1:15" ht="14.4" x14ac:dyDescent="0.3">
      <c r="A829" t="s">
        <v>213</v>
      </c>
      <c r="B829" s="1">
        <v>46178</v>
      </c>
      <c r="C829" t="s">
        <v>16</v>
      </c>
      <c r="D829">
        <v>768</v>
      </c>
      <c r="E829">
        <v>1</v>
      </c>
      <c r="F829">
        <v>5</v>
      </c>
      <c r="G829" t="s">
        <v>17</v>
      </c>
      <c r="I829" t="str">
        <f t="shared" si="12"/>
        <v>768_1</v>
      </c>
      <c r="J829" t="s">
        <v>214</v>
      </c>
      <c r="K829" t="s">
        <v>19</v>
      </c>
      <c r="L829" t="str">
        <f>_xlfn.XLOOKUP(C829, Table2[Species],Table2[Genus], "Code Not Found")</f>
        <v>Acer</v>
      </c>
      <c r="M829" t="str">
        <f>_xlfn.XLOOKUP(C829, Table2[Species],Table2[Sp. Name], "Code Not Found")</f>
        <v>saccharum</v>
      </c>
      <c r="N829" t="str">
        <f>_xlfn.XLOOKUP(C829,Table2[Species],Table2[Family],"Code Not Found")</f>
        <v>Sapindaceae</v>
      </c>
      <c r="O829" t="str" cm="1">
        <f t="array" ref="O829">_xlfn.IFS(F829="","",F829&lt;=5,"0 to 5",F829&lt;=10,"5.1 to 10",F829&lt;=20,"10 to 20", F829&lt;= 40, "20 to 40", F829 &lt;= 50, "40 to 50", F829 &gt; 50, "&gt;50" )</f>
        <v>0 to 5</v>
      </c>
    </row>
    <row r="830" spans="1:15" ht="14.4" x14ac:dyDescent="0.3">
      <c r="A830" t="s">
        <v>213</v>
      </c>
      <c r="B830" s="1">
        <v>46178</v>
      </c>
      <c r="C830" t="s">
        <v>123</v>
      </c>
      <c r="D830">
        <v>769</v>
      </c>
      <c r="E830">
        <v>1</v>
      </c>
      <c r="F830">
        <v>76.599999999999994</v>
      </c>
      <c r="G830" t="s">
        <v>21</v>
      </c>
      <c r="I830" t="str">
        <f t="shared" si="12"/>
        <v>769_1</v>
      </c>
      <c r="J830" t="s">
        <v>214</v>
      </c>
      <c r="K830" t="s">
        <v>19</v>
      </c>
      <c r="L830" t="str">
        <f>_xlfn.XLOOKUP(C830, Table2[Species],Table2[Genus], "Code Not Found")</f>
        <v>Quercus</v>
      </c>
      <c r="M830" t="str">
        <f>_xlfn.XLOOKUP(C830, Table2[Species],Table2[Sp. Name], "Code Not Found")</f>
        <v>rubra</v>
      </c>
      <c r="N830" t="str">
        <f>_xlfn.XLOOKUP(C830,Table2[Species],Table2[Family],"Code Not Found")</f>
        <v>Fagaceae</v>
      </c>
      <c r="O830" t="str" cm="1">
        <f t="array" ref="O830">_xlfn.IFS(F830="","",F830&lt;=5,"0 to 5",F830&lt;=10,"5.1 to 10",F830&lt;=20,"10 to 20", F830&lt;= 40, "20 to 40", F830 &lt;= 50, "40 to 50", F830 &gt; 50, "&gt;50" )</f>
        <v>&gt;50</v>
      </c>
    </row>
    <row r="831" spans="1:15" ht="14.4" x14ac:dyDescent="0.3">
      <c r="A831" t="s">
        <v>213</v>
      </c>
      <c r="B831" s="1">
        <v>46178</v>
      </c>
      <c r="C831" t="s">
        <v>16</v>
      </c>
      <c r="D831">
        <v>770</v>
      </c>
      <c r="E831">
        <v>1</v>
      </c>
      <c r="F831">
        <v>3.2</v>
      </c>
      <c r="G831" t="s">
        <v>21</v>
      </c>
      <c r="I831" t="str">
        <f t="shared" si="12"/>
        <v>770_1</v>
      </c>
      <c r="J831" t="s">
        <v>214</v>
      </c>
      <c r="K831" t="s">
        <v>19</v>
      </c>
      <c r="L831" t="str">
        <f>_xlfn.XLOOKUP(C831, Table2[Species],Table2[Genus], "Code Not Found")</f>
        <v>Acer</v>
      </c>
      <c r="M831" t="str">
        <f>_xlfn.XLOOKUP(C831, Table2[Species],Table2[Sp. Name], "Code Not Found")</f>
        <v>saccharum</v>
      </c>
      <c r="N831" t="str">
        <f>_xlfn.XLOOKUP(C831,Table2[Species],Table2[Family],"Code Not Found")</f>
        <v>Sapindaceae</v>
      </c>
      <c r="O831" t="str" cm="1">
        <f t="array" ref="O831">_xlfn.IFS(F831="","",F831&lt;=5,"0 to 5",F831&lt;=10,"5.1 to 10",F831&lt;=20,"10 to 20", F831&lt;= 40, "20 to 40", F831 &lt;= 50, "40 to 50", F831 &gt; 50, "&gt;50" )</f>
        <v>0 to 5</v>
      </c>
    </row>
    <row r="832" spans="1:15" ht="14.4" x14ac:dyDescent="0.3">
      <c r="A832" t="s">
        <v>213</v>
      </c>
      <c r="B832" s="1">
        <v>46178</v>
      </c>
      <c r="C832" t="s">
        <v>16</v>
      </c>
      <c r="D832">
        <v>771</v>
      </c>
      <c r="E832">
        <v>1</v>
      </c>
      <c r="F832">
        <v>1.5</v>
      </c>
      <c r="G832" t="s">
        <v>17</v>
      </c>
      <c r="I832" t="str">
        <f t="shared" si="12"/>
        <v>771_1</v>
      </c>
      <c r="J832" t="s">
        <v>214</v>
      </c>
      <c r="K832" t="s">
        <v>19</v>
      </c>
      <c r="L832" t="str">
        <f>_xlfn.XLOOKUP(C832, Table2[Species],Table2[Genus], "Code Not Found")</f>
        <v>Acer</v>
      </c>
      <c r="M832" t="str">
        <f>_xlfn.XLOOKUP(C832, Table2[Species],Table2[Sp. Name], "Code Not Found")</f>
        <v>saccharum</v>
      </c>
      <c r="N832" t="str">
        <f>_xlfn.XLOOKUP(C832,Table2[Species],Table2[Family],"Code Not Found")</f>
        <v>Sapindaceae</v>
      </c>
      <c r="O832" t="str" cm="1">
        <f t="array" ref="O832">_xlfn.IFS(F832="","",F832&lt;=5,"0 to 5",F832&lt;=10,"5.1 to 10",F832&lt;=20,"10 to 20", F832&lt;= 40, "20 to 40", F832 &lt;= 50, "40 to 50", F832 &gt; 50, "&gt;50" )</f>
        <v>0 to 5</v>
      </c>
    </row>
    <row r="833" spans="1:15" ht="14.4" x14ac:dyDescent="0.3">
      <c r="A833" t="s">
        <v>213</v>
      </c>
      <c r="B833" s="1">
        <v>46178</v>
      </c>
      <c r="C833" t="s">
        <v>16</v>
      </c>
      <c r="D833">
        <v>772</v>
      </c>
      <c r="E833">
        <v>1</v>
      </c>
      <c r="F833">
        <v>3.9</v>
      </c>
      <c r="G833" t="s">
        <v>21</v>
      </c>
      <c r="I833" t="str">
        <f t="shared" si="12"/>
        <v>772_1</v>
      </c>
      <c r="J833" t="s">
        <v>214</v>
      </c>
      <c r="K833" t="s">
        <v>19</v>
      </c>
      <c r="L833" t="str">
        <f>_xlfn.XLOOKUP(C833, Table2[Species],Table2[Genus], "Code Not Found")</f>
        <v>Acer</v>
      </c>
      <c r="M833" t="str">
        <f>_xlfn.XLOOKUP(C833, Table2[Species],Table2[Sp. Name], "Code Not Found")</f>
        <v>saccharum</v>
      </c>
      <c r="N833" t="str">
        <f>_xlfn.XLOOKUP(C833,Table2[Species],Table2[Family],"Code Not Found")</f>
        <v>Sapindaceae</v>
      </c>
      <c r="O833" t="str" cm="1">
        <f t="array" ref="O833">_xlfn.IFS(F833="","",F833&lt;=5,"0 to 5",F833&lt;=10,"5.1 to 10",F833&lt;=20,"10 to 20", F833&lt;= 40, "20 to 40", F833 &lt;= 50, "40 to 50", F833 &gt; 50, "&gt;50" )</f>
        <v>0 to 5</v>
      </c>
    </row>
    <row r="834" spans="1:15" ht="14.4" x14ac:dyDescent="0.3">
      <c r="A834" t="s">
        <v>213</v>
      </c>
      <c r="B834" s="1">
        <v>46178</v>
      </c>
      <c r="C834" t="s">
        <v>16</v>
      </c>
      <c r="D834">
        <v>773</v>
      </c>
      <c r="E834">
        <v>1</v>
      </c>
      <c r="F834">
        <v>1.3</v>
      </c>
      <c r="G834" t="s">
        <v>21</v>
      </c>
      <c r="I834" t="str">
        <f t="shared" ref="I834:I897" si="13">D834&amp;"_"&amp;E834</f>
        <v>773_1</v>
      </c>
      <c r="J834" t="s">
        <v>214</v>
      </c>
      <c r="K834" t="s">
        <v>19</v>
      </c>
      <c r="L834" t="str">
        <f>_xlfn.XLOOKUP(C834, Table2[Species],Table2[Genus], "Code Not Found")</f>
        <v>Acer</v>
      </c>
      <c r="M834" t="str">
        <f>_xlfn.XLOOKUP(C834, Table2[Species],Table2[Sp. Name], "Code Not Found")</f>
        <v>saccharum</v>
      </c>
      <c r="N834" t="str">
        <f>_xlfn.XLOOKUP(C834,Table2[Species],Table2[Family],"Code Not Found")</f>
        <v>Sapindaceae</v>
      </c>
      <c r="O834" t="str" cm="1">
        <f t="array" ref="O834">_xlfn.IFS(F834="","",F834&lt;=5,"0 to 5",F834&lt;=10,"5.1 to 10",F834&lt;=20,"10 to 20", F834&lt;= 40, "20 to 40", F834 &lt;= 50, "40 to 50", F834 &gt; 50, "&gt;50" )</f>
        <v>0 to 5</v>
      </c>
    </row>
    <row r="835" spans="1:15" ht="14.4" x14ac:dyDescent="0.3">
      <c r="A835" t="s">
        <v>213</v>
      </c>
      <c r="B835" s="1">
        <v>46178</v>
      </c>
      <c r="C835" t="s">
        <v>16</v>
      </c>
      <c r="D835">
        <v>774</v>
      </c>
      <c r="E835">
        <v>1</v>
      </c>
      <c r="F835">
        <v>4.2</v>
      </c>
      <c r="G835" t="s">
        <v>21</v>
      </c>
      <c r="I835" t="str">
        <f t="shared" si="13"/>
        <v>774_1</v>
      </c>
      <c r="J835" t="s">
        <v>214</v>
      </c>
      <c r="K835" t="s">
        <v>19</v>
      </c>
      <c r="L835" t="str">
        <f>_xlfn.XLOOKUP(C835, Table2[Species],Table2[Genus], "Code Not Found")</f>
        <v>Acer</v>
      </c>
      <c r="M835" t="str">
        <f>_xlfn.XLOOKUP(C835, Table2[Species],Table2[Sp. Name], "Code Not Found")</f>
        <v>saccharum</v>
      </c>
      <c r="N835" t="str">
        <f>_xlfn.XLOOKUP(C835,Table2[Species],Table2[Family],"Code Not Found")</f>
        <v>Sapindaceae</v>
      </c>
      <c r="O835" t="str" cm="1">
        <f t="array" ref="O835">_xlfn.IFS(F835="","",F835&lt;=5,"0 to 5",F835&lt;=10,"5.1 to 10",F835&lt;=20,"10 to 20", F835&lt;= 40, "20 to 40", F835 &lt;= 50, "40 to 50", F835 &gt; 50, "&gt;50" )</f>
        <v>0 to 5</v>
      </c>
    </row>
    <row r="836" spans="1:15" ht="14.4" x14ac:dyDescent="0.3">
      <c r="A836" t="s">
        <v>213</v>
      </c>
      <c r="B836" s="1">
        <v>46178</v>
      </c>
      <c r="C836" t="s">
        <v>22</v>
      </c>
      <c r="D836">
        <v>775</v>
      </c>
      <c r="E836">
        <v>1</v>
      </c>
      <c r="F836">
        <v>18.399999999999999</v>
      </c>
      <c r="G836" t="s">
        <v>21</v>
      </c>
      <c r="I836" t="str">
        <f t="shared" si="13"/>
        <v>775_1</v>
      </c>
      <c r="J836" t="s">
        <v>214</v>
      </c>
      <c r="K836" t="s">
        <v>19</v>
      </c>
      <c r="L836" t="str">
        <f>_xlfn.XLOOKUP(C836, Table2[Species],Table2[Genus], "Code Not Found")</f>
        <v>Acer</v>
      </c>
      <c r="M836" t="str">
        <f>_xlfn.XLOOKUP(C836, Table2[Species],Table2[Sp. Name], "Code Not Found")</f>
        <v>rubrum</v>
      </c>
      <c r="N836" t="str">
        <f>_xlfn.XLOOKUP(C836,Table2[Species],Table2[Family],"Code Not Found")</f>
        <v>Sapindaceae</v>
      </c>
      <c r="O836" t="str" cm="1">
        <f t="array" ref="O836">_xlfn.IFS(F836="","",F836&lt;=5,"0 to 5",F836&lt;=10,"5.1 to 10",F836&lt;=20,"10 to 20", F836&lt;= 40, "20 to 40", F836 &lt;= 50, "40 to 50", F836 &gt; 50, "&gt;50" )</f>
        <v>10 to 20</v>
      </c>
    </row>
    <row r="837" spans="1:15" ht="14.4" x14ac:dyDescent="0.3">
      <c r="A837" t="s">
        <v>213</v>
      </c>
      <c r="B837" s="1">
        <v>46178</v>
      </c>
      <c r="C837" t="s">
        <v>22</v>
      </c>
      <c r="D837">
        <v>776</v>
      </c>
      <c r="E837">
        <v>1</v>
      </c>
      <c r="F837">
        <v>16.7</v>
      </c>
      <c r="G837" t="s">
        <v>21</v>
      </c>
      <c r="I837" t="str">
        <f t="shared" si="13"/>
        <v>776_1</v>
      </c>
      <c r="J837" t="s">
        <v>214</v>
      </c>
      <c r="K837" t="s">
        <v>19</v>
      </c>
      <c r="L837" t="str">
        <f>_xlfn.XLOOKUP(C837, Table2[Species],Table2[Genus], "Code Not Found")</f>
        <v>Acer</v>
      </c>
      <c r="M837" t="str">
        <f>_xlfn.XLOOKUP(C837, Table2[Species],Table2[Sp. Name], "Code Not Found")</f>
        <v>rubrum</v>
      </c>
      <c r="N837" t="str">
        <f>_xlfn.XLOOKUP(C837,Table2[Species],Table2[Family],"Code Not Found")</f>
        <v>Sapindaceae</v>
      </c>
      <c r="O837" t="str" cm="1">
        <f t="array" ref="O837">_xlfn.IFS(F837="","",F837&lt;=5,"0 to 5",F837&lt;=10,"5.1 to 10",F837&lt;=20,"10 to 20", F837&lt;= 40, "20 to 40", F837 &lt;= 50, "40 to 50", F837 &gt; 50, "&gt;50" )</f>
        <v>10 to 20</v>
      </c>
    </row>
    <row r="838" spans="1:15" ht="14.4" x14ac:dyDescent="0.3">
      <c r="A838" t="s">
        <v>213</v>
      </c>
      <c r="B838" s="1">
        <v>46178</v>
      </c>
      <c r="C838" t="s">
        <v>22</v>
      </c>
      <c r="D838">
        <v>777</v>
      </c>
      <c r="E838">
        <v>1</v>
      </c>
      <c r="F838">
        <v>25.8</v>
      </c>
      <c r="G838" t="s">
        <v>17</v>
      </c>
      <c r="H838" t="s">
        <v>36</v>
      </c>
      <c r="I838" t="str">
        <f t="shared" si="13"/>
        <v>777_1</v>
      </c>
      <c r="J838" t="s">
        <v>214</v>
      </c>
      <c r="K838" t="s">
        <v>19</v>
      </c>
      <c r="L838" t="str">
        <f>_xlfn.XLOOKUP(C838, Table2[Species],Table2[Genus], "Code Not Found")</f>
        <v>Acer</v>
      </c>
      <c r="M838" t="str">
        <f>_xlfn.XLOOKUP(C838, Table2[Species],Table2[Sp. Name], "Code Not Found")</f>
        <v>rubrum</v>
      </c>
      <c r="N838" t="str">
        <f>_xlfn.XLOOKUP(C838,Table2[Species],Table2[Family],"Code Not Found")</f>
        <v>Sapindaceae</v>
      </c>
      <c r="O838" t="str" cm="1">
        <f t="array" ref="O838">_xlfn.IFS(F838="","",F838&lt;=5,"0 to 5",F838&lt;=10,"5.1 to 10",F838&lt;=20,"10 to 20", F838&lt;= 40, "20 to 40", F838 &lt;= 50, "40 to 50", F838 &gt; 50, "&gt;50" )</f>
        <v>20 to 40</v>
      </c>
    </row>
    <row r="839" spans="1:15" ht="14.4" x14ac:dyDescent="0.3">
      <c r="A839" t="s">
        <v>213</v>
      </c>
      <c r="B839" s="1">
        <v>46178</v>
      </c>
      <c r="C839" t="s">
        <v>16</v>
      </c>
      <c r="D839">
        <v>778</v>
      </c>
      <c r="E839">
        <v>1</v>
      </c>
      <c r="F839">
        <v>1.8</v>
      </c>
      <c r="G839" t="s">
        <v>21</v>
      </c>
      <c r="I839" t="str">
        <f t="shared" si="13"/>
        <v>778_1</v>
      </c>
      <c r="J839" t="s">
        <v>214</v>
      </c>
      <c r="K839" t="s">
        <v>19</v>
      </c>
      <c r="L839" t="str">
        <f>_xlfn.XLOOKUP(C839, Table2[Species],Table2[Genus], "Code Not Found")</f>
        <v>Acer</v>
      </c>
      <c r="M839" t="str">
        <f>_xlfn.XLOOKUP(C839, Table2[Species],Table2[Sp. Name], "Code Not Found")</f>
        <v>saccharum</v>
      </c>
      <c r="N839" t="str">
        <f>_xlfn.XLOOKUP(C839,Table2[Species],Table2[Family],"Code Not Found")</f>
        <v>Sapindaceae</v>
      </c>
      <c r="O839" t="str" cm="1">
        <f t="array" ref="O839">_xlfn.IFS(F839="","",F839&lt;=5,"0 to 5",F839&lt;=10,"5.1 to 10",F839&lt;=20,"10 to 20", F839&lt;= 40, "20 to 40", F839 &lt;= 50, "40 to 50", F839 &gt; 50, "&gt;50" )</f>
        <v>0 to 5</v>
      </c>
    </row>
    <row r="840" spans="1:15" ht="14.4" x14ac:dyDescent="0.3">
      <c r="A840" t="s">
        <v>213</v>
      </c>
      <c r="B840" s="1">
        <v>46178</v>
      </c>
      <c r="C840" t="s">
        <v>16</v>
      </c>
      <c r="D840">
        <v>779</v>
      </c>
      <c r="E840">
        <v>1</v>
      </c>
      <c r="F840">
        <v>1.7</v>
      </c>
      <c r="G840" t="s">
        <v>21</v>
      </c>
      <c r="I840" t="str">
        <f t="shared" si="13"/>
        <v>779_1</v>
      </c>
      <c r="J840" t="s">
        <v>214</v>
      </c>
      <c r="K840" t="s">
        <v>19</v>
      </c>
      <c r="L840" t="str">
        <f>_xlfn.XLOOKUP(C840, Table2[Species],Table2[Genus], "Code Not Found")</f>
        <v>Acer</v>
      </c>
      <c r="M840" t="str">
        <f>_xlfn.XLOOKUP(C840, Table2[Species],Table2[Sp. Name], "Code Not Found")</f>
        <v>saccharum</v>
      </c>
      <c r="N840" t="str">
        <f>_xlfn.XLOOKUP(C840,Table2[Species],Table2[Family],"Code Not Found")</f>
        <v>Sapindaceae</v>
      </c>
      <c r="O840" t="str" cm="1">
        <f t="array" ref="O840">_xlfn.IFS(F840="","",F840&lt;=5,"0 to 5",F840&lt;=10,"5.1 to 10",F840&lt;=20,"10 to 20", F840&lt;= 40, "20 to 40", F840 &lt;= 50, "40 to 50", F840 &gt; 50, "&gt;50" )</f>
        <v>0 to 5</v>
      </c>
    </row>
    <row r="841" spans="1:15" ht="14.4" x14ac:dyDescent="0.3">
      <c r="A841" t="s">
        <v>213</v>
      </c>
      <c r="B841" s="1">
        <v>46178</v>
      </c>
      <c r="C841" t="s">
        <v>22</v>
      </c>
      <c r="D841">
        <v>780</v>
      </c>
      <c r="E841">
        <v>1</v>
      </c>
      <c r="F841">
        <v>18.600000000000001</v>
      </c>
      <c r="G841" t="s">
        <v>21</v>
      </c>
      <c r="I841" t="str">
        <f t="shared" si="13"/>
        <v>780_1</v>
      </c>
      <c r="J841" t="s">
        <v>214</v>
      </c>
      <c r="K841" t="s">
        <v>19</v>
      </c>
      <c r="L841" t="str">
        <f>_xlfn.XLOOKUP(C841, Table2[Species],Table2[Genus], "Code Not Found")</f>
        <v>Acer</v>
      </c>
      <c r="M841" t="str">
        <f>_xlfn.XLOOKUP(C841, Table2[Species],Table2[Sp. Name], "Code Not Found")</f>
        <v>rubrum</v>
      </c>
      <c r="N841" t="str">
        <f>_xlfn.XLOOKUP(C841,Table2[Species],Table2[Family],"Code Not Found")</f>
        <v>Sapindaceae</v>
      </c>
      <c r="O841" t="str" cm="1">
        <f t="array" ref="O841">_xlfn.IFS(F841="","",F841&lt;=5,"0 to 5",F841&lt;=10,"5.1 to 10",F841&lt;=20,"10 to 20", F841&lt;= 40, "20 to 40", F841 &lt;= 50, "40 to 50", F841 &gt; 50, "&gt;50" )</f>
        <v>10 to 20</v>
      </c>
    </row>
    <row r="842" spans="1:15" ht="14.4" x14ac:dyDescent="0.3">
      <c r="A842" t="s">
        <v>213</v>
      </c>
      <c r="B842" s="1">
        <v>46178</v>
      </c>
      <c r="C842" t="s">
        <v>16</v>
      </c>
      <c r="D842">
        <v>781</v>
      </c>
      <c r="E842">
        <v>1</v>
      </c>
      <c r="F842">
        <v>1.8</v>
      </c>
      <c r="G842" t="s">
        <v>21</v>
      </c>
      <c r="I842" t="str">
        <f t="shared" si="13"/>
        <v>781_1</v>
      </c>
      <c r="J842" t="s">
        <v>214</v>
      </c>
      <c r="K842" t="s">
        <v>19</v>
      </c>
      <c r="L842" t="str">
        <f>_xlfn.XLOOKUP(C842, Table2[Species],Table2[Genus], "Code Not Found")</f>
        <v>Acer</v>
      </c>
      <c r="M842" t="str">
        <f>_xlfn.XLOOKUP(C842, Table2[Species],Table2[Sp. Name], "Code Not Found")</f>
        <v>saccharum</v>
      </c>
      <c r="N842" t="str">
        <f>_xlfn.XLOOKUP(C842,Table2[Species],Table2[Family],"Code Not Found")</f>
        <v>Sapindaceae</v>
      </c>
      <c r="O842" t="str" cm="1">
        <f t="array" ref="O842">_xlfn.IFS(F842="","",F842&lt;=5,"0 to 5",F842&lt;=10,"5.1 to 10",F842&lt;=20,"10 to 20", F842&lt;= 40, "20 to 40", F842 &lt;= 50, "40 to 50", F842 &gt; 50, "&gt;50" )</f>
        <v>0 to 5</v>
      </c>
    </row>
    <row r="843" spans="1:15" ht="14.4" x14ac:dyDescent="0.3">
      <c r="A843" t="s">
        <v>213</v>
      </c>
      <c r="B843" s="1">
        <v>46178</v>
      </c>
      <c r="C843" t="s">
        <v>16</v>
      </c>
      <c r="D843">
        <v>782</v>
      </c>
      <c r="E843">
        <v>1</v>
      </c>
      <c r="F843">
        <v>2.2999999999999998</v>
      </c>
      <c r="G843" t="s">
        <v>17</v>
      </c>
      <c r="I843" t="str">
        <f t="shared" si="13"/>
        <v>782_1</v>
      </c>
      <c r="J843" t="s">
        <v>214</v>
      </c>
      <c r="K843" t="s">
        <v>19</v>
      </c>
      <c r="L843" t="str">
        <f>_xlfn.XLOOKUP(C843, Table2[Species],Table2[Genus], "Code Not Found")</f>
        <v>Acer</v>
      </c>
      <c r="M843" t="str">
        <f>_xlfn.XLOOKUP(C843, Table2[Species],Table2[Sp. Name], "Code Not Found")</f>
        <v>saccharum</v>
      </c>
      <c r="N843" t="str">
        <f>_xlfn.XLOOKUP(C843,Table2[Species],Table2[Family],"Code Not Found")</f>
        <v>Sapindaceae</v>
      </c>
      <c r="O843" t="str" cm="1">
        <f t="array" ref="O843">_xlfn.IFS(F843="","",F843&lt;=5,"0 to 5",F843&lt;=10,"5.1 to 10",F843&lt;=20,"10 to 20", F843&lt;= 40, "20 to 40", F843 &lt;= 50, "40 to 50", F843 &gt; 50, "&gt;50" )</f>
        <v>0 to 5</v>
      </c>
    </row>
    <row r="844" spans="1:15" ht="14.4" x14ac:dyDescent="0.3">
      <c r="A844" t="s">
        <v>213</v>
      </c>
      <c r="B844" s="1">
        <v>46178</v>
      </c>
      <c r="C844" t="s">
        <v>123</v>
      </c>
      <c r="D844">
        <v>783</v>
      </c>
      <c r="E844">
        <v>1</v>
      </c>
      <c r="F844">
        <v>42.5</v>
      </c>
      <c r="G844" t="s">
        <v>17</v>
      </c>
      <c r="H844" t="s">
        <v>36</v>
      </c>
      <c r="I844" t="str">
        <f t="shared" si="13"/>
        <v>783_1</v>
      </c>
      <c r="J844" t="s">
        <v>214</v>
      </c>
      <c r="K844" t="s">
        <v>19</v>
      </c>
      <c r="L844" t="str">
        <f>_xlfn.XLOOKUP(C844, Table2[Species],Table2[Genus], "Code Not Found")</f>
        <v>Quercus</v>
      </c>
      <c r="M844" t="str">
        <f>_xlfn.XLOOKUP(C844, Table2[Species],Table2[Sp. Name], "Code Not Found")</f>
        <v>rubra</v>
      </c>
      <c r="N844" t="str">
        <f>_xlfn.XLOOKUP(C844,Table2[Species],Table2[Family],"Code Not Found")</f>
        <v>Fagaceae</v>
      </c>
      <c r="O844" t="str" cm="1">
        <f t="array" ref="O844">_xlfn.IFS(F844="","",F844&lt;=5,"0 to 5",F844&lt;=10,"5.1 to 10",F844&lt;=20,"10 to 20", F844&lt;= 40, "20 to 40", F844 &lt;= 50, "40 to 50", F844 &gt; 50, "&gt;50" )</f>
        <v>40 to 50</v>
      </c>
    </row>
    <row r="845" spans="1:15" ht="14.4" x14ac:dyDescent="0.3">
      <c r="A845" t="s">
        <v>213</v>
      </c>
      <c r="B845" s="1">
        <v>46178</v>
      </c>
      <c r="C845" t="s">
        <v>16</v>
      </c>
      <c r="D845">
        <v>784</v>
      </c>
      <c r="E845">
        <v>1</v>
      </c>
      <c r="F845">
        <v>1.1000000000000001</v>
      </c>
      <c r="G845" t="s">
        <v>17</v>
      </c>
      <c r="I845" t="str">
        <f t="shared" si="13"/>
        <v>784_1</v>
      </c>
      <c r="J845" t="s">
        <v>214</v>
      </c>
      <c r="K845" t="s">
        <v>19</v>
      </c>
      <c r="L845" t="str">
        <f>_xlfn.XLOOKUP(C845, Table2[Species],Table2[Genus], "Code Not Found")</f>
        <v>Acer</v>
      </c>
      <c r="M845" t="str">
        <f>_xlfn.XLOOKUP(C845, Table2[Species],Table2[Sp. Name], "Code Not Found")</f>
        <v>saccharum</v>
      </c>
      <c r="N845" t="str">
        <f>_xlfn.XLOOKUP(C845,Table2[Species],Table2[Family],"Code Not Found")</f>
        <v>Sapindaceae</v>
      </c>
      <c r="O845" t="str" cm="1">
        <f t="array" ref="O845">_xlfn.IFS(F845="","",F845&lt;=5,"0 to 5",F845&lt;=10,"5.1 to 10",F845&lt;=20,"10 to 20", F845&lt;= 40, "20 to 40", F845 &lt;= 50, "40 to 50", F845 &gt; 50, "&gt;50" )</f>
        <v>0 to 5</v>
      </c>
    </row>
    <row r="846" spans="1:15" ht="14.4" x14ac:dyDescent="0.3">
      <c r="A846" t="s">
        <v>213</v>
      </c>
      <c r="B846" s="1">
        <v>46178</v>
      </c>
      <c r="C846" t="s">
        <v>185</v>
      </c>
      <c r="D846">
        <v>785</v>
      </c>
      <c r="E846">
        <v>1</v>
      </c>
      <c r="F846">
        <v>3.3</v>
      </c>
      <c r="G846" t="s">
        <v>17</v>
      </c>
      <c r="I846" t="str">
        <f t="shared" si="13"/>
        <v>785_1</v>
      </c>
      <c r="J846" t="s">
        <v>214</v>
      </c>
      <c r="K846" t="s">
        <v>19</v>
      </c>
      <c r="L846" t="str">
        <f>_xlfn.XLOOKUP(C846, Table2[Species],Table2[Genus], "Code Not Found")</f>
        <v>Fraxinus</v>
      </c>
      <c r="M846" t="str">
        <f>_xlfn.XLOOKUP(C846, Table2[Species],Table2[Sp. Name], "Code Not Found")</f>
        <v>americana</v>
      </c>
      <c r="N846" t="str">
        <f>_xlfn.XLOOKUP(C846,Table2[Species],Table2[Family],"Code Not Found")</f>
        <v>Oleaceae</v>
      </c>
      <c r="O846" t="str" cm="1">
        <f t="array" ref="O846">_xlfn.IFS(F846="","",F846&lt;=5,"0 to 5",F846&lt;=10,"5.1 to 10",F846&lt;=20,"10 to 20", F846&lt;= 40, "20 to 40", F846 &lt;= 50, "40 to 50", F846 &gt; 50, "&gt;50" )</f>
        <v>0 to 5</v>
      </c>
    </row>
    <row r="847" spans="1:15" ht="14.4" x14ac:dyDescent="0.3">
      <c r="A847" t="s">
        <v>213</v>
      </c>
      <c r="B847" s="1">
        <v>46178</v>
      </c>
      <c r="C847" t="s">
        <v>185</v>
      </c>
      <c r="D847">
        <v>786</v>
      </c>
      <c r="E847">
        <v>1</v>
      </c>
      <c r="F847">
        <v>2.7</v>
      </c>
      <c r="G847" t="s">
        <v>47</v>
      </c>
      <c r="I847" t="str">
        <f t="shared" si="13"/>
        <v>786_1</v>
      </c>
      <c r="J847" t="s">
        <v>214</v>
      </c>
      <c r="K847" t="s">
        <v>19</v>
      </c>
      <c r="L847" t="str">
        <f>_xlfn.XLOOKUP(C847, Table2[Species],Table2[Genus], "Code Not Found")</f>
        <v>Fraxinus</v>
      </c>
      <c r="M847" t="str">
        <f>_xlfn.XLOOKUP(C847, Table2[Species],Table2[Sp. Name], "Code Not Found")</f>
        <v>americana</v>
      </c>
      <c r="N847" t="str">
        <f>_xlfn.XLOOKUP(C847,Table2[Species],Table2[Family],"Code Not Found")</f>
        <v>Oleaceae</v>
      </c>
      <c r="O847" t="str" cm="1">
        <f t="array" ref="O847">_xlfn.IFS(F847="","",F847&lt;=5,"0 to 5",F847&lt;=10,"5.1 to 10",F847&lt;=20,"10 to 20", F847&lt;= 40, "20 to 40", F847 &lt;= 50, "40 to 50", F847 &gt; 50, "&gt;50" )</f>
        <v>0 to 5</v>
      </c>
    </row>
    <row r="848" spans="1:15" ht="14.4" x14ac:dyDescent="0.3">
      <c r="A848" t="s">
        <v>213</v>
      </c>
      <c r="B848" s="1">
        <v>46178</v>
      </c>
      <c r="C848" t="s">
        <v>16</v>
      </c>
      <c r="D848">
        <v>787</v>
      </c>
      <c r="E848">
        <v>1</v>
      </c>
      <c r="F848">
        <v>1.5</v>
      </c>
      <c r="G848" t="s">
        <v>47</v>
      </c>
      <c r="H848" t="s">
        <v>43</v>
      </c>
      <c r="I848" t="str">
        <f t="shared" si="13"/>
        <v>787_1</v>
      </c>
      <c r="J848" t="s">
        <v>214</v>
      </c>
      <c r="K848" t="s">
        <v>19</v>
      </c>
      <c r="L848" t="str">
        <f>_xlfn.XLOOKUP(C848, Table2[Species],Table2[Genus], "Code Not Found")</f>
        <v>Acer</v>
      </c>
      <c r="M848" t="str">
        <f>_xlfn.XLOOKUP(C848, Table2[Species],Table2[Sp. Name], "Code Not Found")</f>
        <v>saccharum</v>
      </c>
      <c r="N848" t="str">
        <f>_xlfn.XLOOKUP(C848,Table2[Species],Table2[Family],"Code Not Found")</f>
        <v>Sapindaceae</v>
      </c>
      <c r="O848" t="str" cm="1">
        <f t="array" ref="O848">_xlfn.IFS(F848="","",F848&lt;=5,"0 to 5",F848&lt;=10,"5.1 to 10",F848&lt;=20,"10 to 20", F848&lt;= 40, "20 to 40", F848 &lt;= 50, "40 to 50", F848 &gt; 50, "&gt;50" )</f>
        <v>0 to 5</v>
      </c>
    </row>
    <row r="849" spans="1:15" ht="14.4" x14ac:dyDescent="0.3">
      <c r="A849" t="s">
        <v>213</v>
      </c>
      <c r="B849" s="1">
        <v>46178</v>
      </c>
      <c r="C849" t="s">
        <v>64</v>
      </c>
      <c r="D849">
        <v>788</v>
      </c>
      <c r="E849">
        <v>1</v>
      </c>
      <c r="F849">
        <v>5.4</v>
      </c>
      <c r="G849" t="s">
        <v>21</v>
      </c>
      <c r="I849" t="str">
        <f t="shared" si="13"/>
        <v>788_1</v>
      </c>
      <c r="J849" t="s">
        <v>214</v>
      </c>
      <c r="K849" t="s">
        <v>19</v>
      </c>
      <c r="L849" t="str">
        <f>_xlfn.XLOOKUP(C849, Table2[Species],Table2[Genus], "Code Not Found")</f>
        <v>Fagus</v>
      </c>
      <c r="M849" t="str">
        <f>_xlfn.XLOOKUP(C849, Table2[Species],Table2[Sp. Name], "Code Not Found")</f>
        <v>grandifolia</v>
      </c>
      <c r="N849" t="str">
        <f>_xlfn.XLOOKUP(C849,Table2[Species],Table2[Family],"Code Not Found")</f>
        <v>Fagaceae</v>
      </c>
      <c r="O849" t="str" cm="1">
        <f t="array" ref="O849">_xlfn.IFS(F849="","",F849&lt;=5,"0 to 5",F849&lt;=10,"5.1 to 10",F849&lt;=20,"10 to 20", F849&lt;= 40, "20 to 40", F849 &lt;= 50, "40 to 50", F849 &gt; 50, "&gt;50" )</f>
        <v>5.1 to 10</v>
      </c>
    </row>
    <row r="850" spans="1:15" ht="14.4" x14ac:dyDescent="0.3">
      <c r="A850" t="s">
        <v>213</v>
      </c>
      <c r="B850" s="1">
        <v>46178</v>
      </c>
      <c r="C850" t="s">
        <v>16</v>
      </c>
      <c r="D850">
        <v>789</v>
      </c>
      <c r="E850">
        <v>1</v>
      </c>
      <c r="F850">
        <v>1.2</v>
      </c>
      <c r="G850" t="s">
        <v>17</v>
      </c>
      <c r="I850" t="str">
        <f t="shared" si="13"/>
        <v>789_1</v>
      </c>
      <c r="J850" t="s">
        <v>214</v>
      </c>
      <c r="K850" t="s">
        <v>19</v>
      </c>
      <c r="L850" t="str">
        <f>_xlfn.XLOOKUP(C850, Table2[Species],Table2[Genus], "Code Not Found")</f>
        <v>Acer</v>
      </c>
      <c r="M850" t="str">
        <f>_xlfn.XLOOKUP(C850, Table2[Species],Table2[Sp. Name], "Code Not Found")</f>
        <v>saccharum</v>
      </c>
      <c r="N850" t="str">
        <f>_xlfn.XLOOKUP(C850,Table2[Species],Table2[Family],"Code Not Found")</f>
        <v>Sapindaceae</v>
      </c>
      <c r="O850" t="str" cm="1">
        <f t="array" ref="O850">_xlfn.IFS(F850="","",F850&lt;=5,"0 to 5",F850&lt;=10,"5.1 to 10",F850&lt;=20,"10 to 20", F850&lt;= 40, "20 to 40", F850 &lt;= 50, "40 to 50", F850 &gt; 50, "&gt;50" )</f>
        <v>0 to 5</v>
      </c>
    </row>
    <row r="851" spans="1:15" ht="14.4" x14ac:dyDescent="0.3">
      <c r="A851" t="s">
        <v>213</v>
      </c>
      <c r="B851" s="1">
        <v>46178</v>
      </c>
      <c r="C851" t="s">
        <v>22</v>
      </c>
      <c r="D851">
        <v>790</v>
      </c>
      <c r="E851">
        <v>1</v>
      </c>
      <c r="F851">
        <v>29.5</v>
      </c>
      <c r="G851" t="s">
        <v>21</v>
      </c>
      <c r="I851" t="str">
        <f t="shared" si="13"/>
        <v>790_1</v>
      </c>
      <c r="J851" t="s">
        <v>214</v>
      </c>
      <c r="K851" t="s">
        <v>19</v>
      </c>
      <c r="L851" t="str">
        <f>_xlfn.XLOOKUP(C851, Table2[Species],Table2[Genus], "Code Not Found")</f>
        <v>Acer</v>
      </c>
      <c r="M851" t="str">
        <f>_xlfn.XLOOKUP(C851, Table2[Species],Table2[Sp. Name], "Code Not Found")</f>
        <v>rubrum</v>
      </c>
      <c r="N851" t="str">
        <f>_xlfn.XLOOKUP(C851,Table2[Species],Table2[Family],"Code Not Found")</f>
        <v>Sapindaceae</v>
      </c>
      <c r="O851" t="str" cm="1">
        <f t="array" ref="O851">_xlfn.IFS(F851="","",F851&lt;=5,"0 to 5",F851&lt;=10,"5.1 to 10",F851&lt;=20,"10 to 20", F851&lt;= 40, "20 to 40", F851 &lt;= 50, "40 to 50", F851 &gt; 50, "&gt;50" )</f>
        <v>20 to 40</v>
      </c>
    </row>
    <row r="852" spans="1:15" ht="14.4" x14ac:dyDescent="0.3">
      <c r="A852" t="s">
        <v>213</v>
      </c>
      <c r="B852" s="1">
        <v>46178</v>
      </c>
      <c r="C852" t="s">
        <v>22</v>
      </c>
      <c r="D852">
        <v>791</v>
      </c>
      <c r="E852">
        <v>1</v>
      </c>
      <c r="F852">
        <v>15.8</v>
      </c>
      <c r="G852" t="s">
        <v>21</v>
      </c>
      <c r="I852" t="str">
        <f t="shared" si="13"/>
        <v>791_1</v>
      </c>
      <c r="J852" t="s">
        <v>214</v>
      </c>
      <c r="K852" t="s">
        <v>19</v>
      </c>
      <c r="L852" t="str">
        <f>_xlfn.XLOOKUP(C852, Table2[Species],Table2[Genus], "Code Not Found")</f>
        <v>Acer</v>
      </c>
      <c r="M852" t="str">
        <f>_xlfn.XLOOKUP(C852, Table2[Species],Table2[Sp. Name], "Code Not Found")</f>
        <v>rubrum</v>
      </c>
      <c r="N852" t="str">
        <f>_xlfn.XLOOKUP(C852,Table2[Species],Table2[Family],"Code Not Found")</f>
        <v>Sapindaceae</v>
      </c>
      <c r="O852" t="str" cm="1">
        <f t="array" ref="O852">_xlfn.IFS(F852="","",F852&lt;=5,"0 to 5",F852&lt;=10,"5.1 to 10",F852&lt;=20,"10 to 20", F852&lt;= 40, "20 to 40", F852 &lt;= 50, "40 to 50", F852 &gt; 50, "&gt;50" )</f>
        <v>10 to 20</v>
      </c>
    </row>
    <row r="853" spans="1:15" ht="14.4" x14ac:dyDescent="0.3">
      <c r="A853" t="s">
        <v>213</v>
      </c>
      <c r="B853" s="1">
        <v>46178</v>
      </c>
      <c r="C853" t="s">
        <v>24</v>
      </c>
      <c r="D853">
        <v>792</v>
      </c>
      <c r="E853">
        <v>1</v>
      </c>
      <c r="F853">
        <v>37.5</v>
      </c>
      <c r="G853" t="s">
        <v>21</v>
      </c>
      <c r="I853" t="str">
        <f t="shared" si="13"/>
        <v>792_1</v>
      </c>
      <c r="J853" t="s">
        <v>214</v>
      </c>
      <c r="K853" t="s">
        <v>19</v>
      </c>
      <c r="L853" t="str">
        <f>_xlfn.XLOOKUP(C853, Table2[Species],Table2[Genus], "Code Not Found")</f>
        <v>Lirodendron</v>
      </c>
      <c r="M853" t="str">
        <f>_xlfn.XLOOKUP(C853, Table2[Species],Table2[Sp. Name], "Code Not Found")</f>
        <v>tulipfera</v>
      </c>
      <c r="N853" t="str">
        <f>_xlfn.XLOOKUP(C853,Table2[Species],Table2[Family],"Code Not Found")</f>
        <v>Magnoliaceae</v>
      </c>
      <c r="O853" t="str" cm="1">
        <f t="array" ref="O853">_xlfn.IFS(F853="","",F853&lt;=5,"0 to 5",F853&lt;=10,"5.1 to 10",F853&lt;=20,"10 to 20", F853&lt;= 40, "20 to 40", F853 &lt;= 50, "40 to 50", F853 &gt; 50, "&gt;50" )</f>
        <v>20 to 40</v>
      </c>
    </row>
    <row r="854" spans="1:15" ht="14.4" x14ac:dyDescent="0.3">
      <c r="A854" t="s">
        <v>213</v>
      </c>
      <c r="B854" s="1">
        <v>46178</v>
      </c>
      <c r="C854" t="s">
        <v>16</v>
      </c>
      <c r="D854">
        <v>793</v>
      </c>
      <c r="E854">
        <v>1</v>
      </c>
      <c r="F854">
        <v>3.9</v>
      </c>
      <c r="G854" t="s">
        <v>17</v>
      </c>
      <c r="I854" t="str">
        <f t="shared" si="13"/>
        <v>793_1</v>
      </c>
      <c r="J854" t="s">
        <v>214</v>
      </c>
      <c r="K854" t="s">
        <v>19</v>
      </c>
      <c r="L854" t="str">
        <f>_xlfn.XLOOKUP(C854, Table2[Species],Table2[Genus], "Code Not Found")</f>
        <v>Acer</v>
      </c>
      <c r="M854" t="str">
        <f>_xlfn.XLOOKUP(C854, Table2[Species],Table2[Sp. Name], "Code Not Found")</f>
        <v>saccharum</v>
      </c>
      <c r="N854" t="str">
        <f>_xlfn.XLOOKUP(C854,Table2[Species],Table2[Family],"Code Not Found")</f>
        <v>Sapindaceae</v>
      </c>
      <c r="O854" t="str" cm="1">
        <f t="array" ref="O854">_xlfn.IFS(F854="","",F854&lt;=5,"0 to 5",F854&lt;=10,"5.1 to 10",F854&lt;=20,"10 to 20", F854&lt;= 40, "20 to 40", F854 &lt;= 50, "40 to 50", F854 &gt; 50, "&gt;50" )</f>
        <v>0 to 5</v>
      </c>
    </row>
    <row r="855" spans="1:15" ht="14.4" x14ac:dyDescent="0.3">
      <c r="A855" t="s">
        <v>213</v>
      </c>
      <c r="B855" s="1">
        <v>46178</v>
      </c>
      <c r="C855" t="s">
        <v>123</v>
      </c>
      <c r="D855">
        <v>794</v>
      </c>
      <c r="E855">
        <v>1</v>
      </c>
      <c r="F855">
        <v>72.5</v>
      </c>
      <c r="G855" t="s">
        <v>17</v>
      </c>
      <c r="I855" t="str">
        <f t="shared" si="13"/>
        <v>794_1</v>
      </c>
      <c r="J855" t="s">
        <v>214</v>
      </c>
      <c r="K855" t="s">
        <v>19</v>
      </c>
      <c r="L855" t="str">
        <f>_xlfn.XLOOKUP(C855, Table2[Species],Table2[Genus], "Code Not Found")</f>
        <v>Quercus</v>
      </c>
      <c r="M855" t="str">
        <f>_xlfn.XLOOKUP(C855, Table2[Species],Table2[Sp. Name], "Code Not Found")</f>
        <v>rubra</v>
      </c>
      <c r="N855" t="str">
        <f>_xlfn.XLOOKUP(C855,Table2[Species],Table2[Family],"Code Not Found")</f>
        <v>Fagaceae</v>
      </c>
      <c r="O855" t="str" cm="1">
        <f t="array" ref="O855">_xlfn.IFS(F855="","",F855&lt;=5,"0 to 5",F855&lt;=10,"5.1 to 10",F855&lt;=20,"10 to 20", F855&lt;= 40, "20 to 40", F855 &lt;= 50, "40 to 50", F855 &gt; 50, "&gt;50" )</f>
        <v>&gt;50</v>
      </c>
    </row>
    <row r="856" spans="1:15" ht="14.4" x14ac:dyDescent="0.3">
      <c r="A856" t="s">
        <v>213</v>
      </c>
      <c r="B856" s="1">
        <v>46178</v>
      </c>
      <c r="C856" t="s">
        <v>16</v>
      </c>
      <c r="D856">
        <v>795</v>
      </c>
      <c r="E856">
        <v>1</v>
      </c>
      <c r="F856">
        <v>1.1000000000000001</v>
      </c>
      <c r="G856" t="s">
        <v>21</v>
      </c>
      <c r="I856" t="str">
        <f t="shared" si="13"/>
        <v>795_1</v>
      </c>
      <c r="J856" t="s">
        <v>214</v>
      </c>
      <c r="K856" t="s">
        <v>19</v>
      </c>
      <c r="L856" t="str">
        <f>_xlfn.XLOOKUP(C856, Table2[Species],Table2[Genus], "Code Not Found")</f>
        <v>Acer</v>
      </c>
      <c r="M856" t="str">
        <f>_xlfn.XLOOKUP(C856, Table2[Species],Table2[Sp. Name], "Code Not Found")</f>
        <v>saccharum</v>
      </c>
      <c r="N856" t="str">
        <f>_xlfn.XLOOKUP(C856,Table2[Species],Table2[Family],"Code Not Found")</f>
        <v>Sapindaceae</v>
      </c>
      <c r="O856" t="str" cm="1">
        <f t="array" ref="O856">_xlfn.IFS(F856="","",F856&lt;=5,"0 to 5",F856&lt;=10,"5.1 to 10",F856&lt;=20,"10 to 20", F856&lt;= 40, "20 to 40", F856 &lt;= 50, "40 to 50", F856 &gt; 50, "&gt;50" )</f>
        <v>0 to 5</v>
      </c>
    </row>
    <row r="857" spans="1:15" ht="14.4" x14ac:dyDescent="0.3">
      <c r="A857" t="s">
        <v>213</v>
      </c>
      <c r="B857" s="1">
        <v>46178</v>
      </c>
      <c r="C857" t="s">
        <v>22</v>
      </c>
      <c r="D857">
        <v>796</v>
      </c>
      <c r="E857">
        <v>1</v>
      </c>
      <c r="F857">
        <v>12.5</v>
      </c>
      <c r="G857" t="s">
        <v>21</v>
      </c>
      <c r="I857" t="str">
        <f t="shared" si="13"/>
        <v>796_1</v>
      </c>
      <c r="J857" t="s">
        <v>214</v>
      </c>
      <c r="K857" t="s">
        <v>19</v>
      </c>
      <c r="L857" t="str">
        <f>_xlfn.XLOOKUP(C857, Table2[Species],Table2[Genus], "Code Not Found")</f>
        <v>Acer</v>
      </c>
      <c r="M857" t="str">
        <f>_xlfn.XLOOKUP(C857, Table2[Species],Table2[Sp. Name], "Code Not Found")</f>
        <v>rubrum</v>
      </c>
      <c r="N857" t="str">
        <f>_xlfn.XLOOKUP(C857,Table2[Species],Table2[Family],"Code Not Found")</f>
        <v>Sapindaceae</v>
      </c>
      <c r="O857" t="str" cm="1">
        <f t="array" ref="O857">_xlfn.IFS(F857="","",F857&lt;=5,"0 to 5",F857&lt;=10,"5.1 to 10",F857&lt;=20,"10 to 20", F857&lt;= 40, "20 to 40", F857 &lt;= 50, "40 to 50", F857 &gt; 50, "&gt;50" )</f>
        <v>10 to 20</v>
      </c>
    </row>
    <row r="858" spans="1:15" ht="14.4" x14ac:dyDescent="0.3">
      <c r="A858" t="s">
        <v>213</v>
      </c>
      <c r="B858" s="1">
        <v>46178</v>
      </c>
      <c r="C858" t="s">
        <v>22</v>
      </c>
      <c r="D858">
        <v>797</v>
      </c>
      <c r="E858">
        <v>1</v>
      </c>
      <c r="F858">
        <v>7.2</v>
      </c>
      <c r="G858" t="s">
        <v>21</v>
      </c>
      <c r="I858" t="str">
        <f t="shared" si="13"/>
        <v>797_1</v>
      </c>
      <c r="J858" t="s">
        <v>214</v>
      </c>
      <c r="K858" t="s">
        <v>19</v>
      </c>
      <c r="L858" t="str">
        <f>_xlfn.XLOOKUP(C858, Table2[Species],Table2[Genus], "Code Not Found")</f>
        <v>Acer</v>
      </c>
      <c r="M858" t="str">
        <f>_xlfn.XLOOKUP(C858, Table2[Species],Table2[Sp. Name], "Code Not Found")</f>
        <v>rubrum</v>
      </c>
      <c r="N858" t="str">
        <f>_xlfn.XLOOKUP(C858,Table2[Species],Table2[Family],"Code Not Found")</f>
        <v>Sapindaceae</v>
      </c>
      <c r="O858" t="str" cm="1">
        <f t="array" ref="O858">_xlfn.IFS(F858="","",F858&lt;=5,"0 to 5",F858&lt;=10,"5.1 to 10",F858&lt;=20,"10 to 20", F858&lt;= 40, "20 to 40", F858 &lt;= 50, "40 to 50", F858 &gt; 50, "&gt;50" )</f>
        <v>5.1 to 10</v>
      </c>
    </row>
    <row r="859" spans="1:15" ht="14.4" x14ac:dyDescent="0.3">
      <c r="A859" t="s">
        <v>213</v>
      </c>
      <c r="B859" s="1">
        <v>46178</v>
      </c>
      <c r="C859" t="s">
        <v>24</v>
      </c>
      <c r="D859">
        <v>798</v>
      </c>
      <c r="E859">
        <v>1</v>
      </c>
      <c r="F859">
        <v>33.799999999999997</v>
      </c>
      <c r="G859" t="s">
        <v>21</v>
      </c>
      <c r="I859" t="str">
        <f t="shared" si="13"/>
        <v>798_1</v>
      </c>
      <c r="J859" t="s">
        <v>214</v>
      </c>
      <c r="K859" t="s">
        <v>19</v>
      </c>
      <c r="L859" t="str">
        <f>_xlfn.XLOOKUP(C859, Table2[Species],Table2[Genus], "Code Not Found")</f>
        <v>Lirodendron</v>
      </c>
      <c r="M859" t="str">
        <f>_xlfn.XLOOKUP(C859, Table2[Species],Table2[Sp. Name], "Code Not Found")</f>
        <v>tulipfera</v>
      </c>
      <c r="N859" t="str">
        <f>_xlfn.XLOOKUP(C859,Table2[Species],Table2[Family],"Code Not Found")</f>
        <v>Magnoliaceae</v>
      </c>
      <c r="O859" t="str" cm="1">
        <f t="array" ref="O859">_xlfn.IFS(F859="","",F859&lt;=5,"0 to 5",F859&lt;=10,"5.1 to 10",F859&lt;=20,"10 to 20", F859&lt;= 40, "20 to 40", F859 &lt;= 50, "40 to 50", F859 &gt; 50, "&gt;50" )</f>
        <v>20 to 40</v>
      </c>
    </row>
    <row r="860" spans="1:15" ht="14.4" x14ac:dyDescent="0.3">
      <c r="A860" t="s">
        <v>213</v>
      </c>
      <c r="B860" s="1">
        <v>46178</v>
      </c>
      <c r="C860" t="s">
        <v>24</v>
      </c>
      <c r="D860">
        <v>799</v>
      </c>
      <c r="E860">
        <v>1</v>
      </c>
      <c r="F860">
        <v>28.2</v>
      </c>
      <c r="G860" t="s">
        <v>21</v>
      </c>
      <c r="I860" t="str">
        <f t="shared" si="13"/>
        <v>799_1</v>
      </c>
      <c r="J860" t="s">
        <v>214</v>
      </c>
      <c r="K860" t="s">
        <v>19</v>
      </c>
      <c r="L860" t="str">
        <f>_xlfn.XLOOKUP(C860, Table2[Species],Table2[Genus], "Code Not Found")</f>
        <v>Lirodendron</v>
      </c>
      <c r="M860" t="str">
        <f>_xlfn.XLOOKUP(C860, Table2[Species],Table2[Sp. Name], "Code Not Found")</f>
        <v>tulipfera</v>
      </c>
      <c r="N860" t="str">
        <f>_xlfn.XLOOKUP(C860,Table2[Species],Table2[Family],"Code Not Found")</f>
        <v>Magnoliaceae</v>
      </c>
      <c r="O860" t="str" cm="1">
        <f t="array" ref="O860">_xlfn.IFS(F860="","",F860&lt;=5,"0 to 5",F860&lt;=10,"5.1 to 10",F860&lt;=20,"10 to 20", F860&lt;= 40, "20 to 40", F860 &lt;= 50, "40 to 50", F860 &gt; 50, "&gt;50" )</f>
        <v>20 to 40</v>
      </c>
    </row>
    <row r="861" spans="1:15" ht="14.4" x14ac:dyDescent="0.3">
      <c r="A861" t="s">
        <v>213</v>
      </c>
      <c r="B861" s="1">
        <v>46178</v>
      </c>
      <c r="C861" t="s">
        <v>16</v>
      </c>
      <c r="D861">
        <v>800</v>
      </c>
      <c r="E861">
        <v>1</v>
      </c>
      <c r="F861">
        <v>3.4</v>
      </c>
      <c r="G861" t="s">
        <v>21</v>
      </c>
      <c r="I861" t="str">
        <f t="shared" si="13"/>
        <v>800_1</v>
      </c>
      <c r="J861" t="s">
        <v>214</v>
      </c>
      <c r="K861" t="s">
        <v>19</v>
      </c>
      <c r="L861" t="str">
        <f>_xlfn.XLOOKUP(C861, Table2[Species],Table2[Genus], "Code Not Found")</f>
        <v>Acer</v>
      </c>
      <c r="M861" t="str">
        <f>_xlfn.XLOOKUP(C861, Table2[Species],Table2[Sp. Name], "Code Not Found")</f>
        <v>saccharum</v>
      </c>
      <c r="N861" t="str">
        <f>_xlfn.XLOOKUP(C861,Table2[Species],Table2[Family],"Code Not Found")</f>
        <v>Sapindaceae</v>
      </c>
      <c r="O861" t="str" cm="1">
        <f t="array" ref="O861">_xlfn.IFS(F861="","",F861&lt;=5,"0 to 5",F861&lt;=10,"5.1 to 10",F861&lt;=20,"10 to 20", F861&lt;= 40, "20 to 40", F861 &lt;= 50, "40 to 50", F861 &gt; 50, "&gt;50" )</f>
        <v>0 to 5</v>
      </c>
    </row>
    <row r="862" spans="1:15" ht="14.4" x14ac:dyDescent="0.3">
      <c r="A862" t="s">
        <v>213</v>
      </c>
      <c r="B862" s="1">
        <v>46178</v>
      </c>
      <c r="C862" t="s">
        <v>22</v>
      </c>
      <c r="D862">
        <v>801</v>
      </c>
      <c r="E862">
        <v>1</v>
      </c>
      <c r="F862">
        <v>4</v>
      </c>
      <c r="G862" t="s">
        <v>17</v>
      </c>
      <c r="I862" t="str">
        <f t="shared" si="13"/>
        <v>801_1</v>
      </c>
      <c r="J862" t="s">
        <v>214</v>
      </c>
      <c r="K862" t="s">
        <v>19</v>
      </c>
      <c r="L862" t="str">
        <f>_xlfn.XLOOKUP(C862, Table2[Species],Table2[Genus], "Code Not Found")</f>
        <v>Acer</v>
      </c>
      <c r="M862" t="str">
        <f>_xlfn.XLOOKUP(C862, Table2[Species],Table2[Sp. Name], "Code Not Found")</f>
        <v>rubrum</v>
      </c>
      <c r="N862" t="str">
        <f>_xlfn.XLOOKUP(C862,Table2[Species],Table2[Family],"Code Not Found")</f>
        <v>Sapindaceae</v>
      </c>
      <c r="O862" t="str" cm="1">
        <f t="array" ref="O862">_xlfn.IFS(F862="","",F862&lt;=5,"0 to 5",F862&lt;=10,"5.1 to 10",F862&lt;=20,"10 to 20", F862&lt;= 40, "20 to 40", F862 &lt;= 50, "40 to 50", F862 &gt; 50, "&gt;50" )</f>
        <v>0 to 5</v>
      </c>
    </row>
    <row r="863" spans="1:15" ht="14.4" x14ac:dyDescent="0.3">
      <c r="A863" t="s">
        <v>213</v>
      </c>
      <c r="B863" s="1">
        <v>46178</v>
      </c>
      <c r="C863" t="s">
        <v>16</v>
      </c>
      <c r="D863">
        <v>802</v>
      </c>
      <c r="E863">
        <v>1</v>
      </c>
      <c r="F863">
        <v>2.4</v>
      </c>
      <c r="G863" t="s">
        <v>30</v>
      </c>
      <c r="H863" t="s">
        <v>99</v>
      </c>
      <c r="I863" t="str">
        <f t="shared" si="13"/>
        <v>802_1</v>
      </c>
      <c r="J863" t="s">
        <v>214</v>
      </c>
      <c r="K863" t="s">
        <v>19</v>
      </c>
      <c r="L863" t="str">
        <f>_xlfn.XLOOKUP(C863, Table2[Species],Table2[Genus], "Code Not Found")</f>
        <v>Acer</v>
      </c>
      <c r="M863" t="str">
        <f>_xlfn.XLOOKUP(C863, Table2[Species],Table2[Sp. Name], "Code Not Found")</f>
        <v>saccharum</v>
      </c>
      <c r="N863" t="str">
        <f>_xlfn.XLOOKUP(C863,Table2[Species],Table2[Family],"Code Not Found")</f>
        <v>Sapindaceae</v>
      </c>
      <c r="O863" t="str" cm="1">
        <f t="array" ref="O863">_xlfn.IFS(F863="","",F863&lt;=5,"0 to 5",F863&lt;=10,"5.1 to 10",F863&lt;=20,"10 to 20", F863&lt;= 40, "20 to 40", F863 &lt;= 50, "40 to 50", F863 &gt; 50, "&gt;50" )</f>
        <v>0 to 5</v>
      </c>
    </row>
    <row r="864" spans="1:15" ht="14.4" x14ac:dyDescent="0.3">
      <c r="A864" t="s">
        <v>213</v>
      </c>
      <c r="B864" s="1">
        <v>46178</v>
      </c>
      <c r="C864" t="s">
        <v>16</v>
      </c>
      <c r="D864">
        <v>803</v>
      </c>
      <c r="E864">
        <v>1</v>
      </c>
      <c r="F864">
        <v>13.9</v>
      </c>
      <c r="G864" t="s">
        <v>17</v>
      </c>
      <c r="H864" t="s">
        <v>36</v>
      </c>
      <c r="I864" t="str">
        <f t="shared" si="13"/>
        <v>803_1</v>
      </c>
      <c r="J864" t="s">
        <v>214</v>
      </c>
      <c r="K864" t="s">
        <v>19</v>
      </c>
      <c r="L864" t="str">
        <f>_xlfn.XLOOKUP(C864, Table2[Species],Table2[Genus], "Code Not Found")</f>
        <v>Acer</v>
      </c>
      <c r="M864" t="str">
        <f>_xlfn.XLOOKUP(C864, Table2[Species],Table2[Sp. Name], "Code Not Found")</f>
        <v>saccharum</v>
      </c>
      <c r="N864" t="str">
        <f>_xlfn.XLOOKUP(C864,Table2[Species],Table2[Family],"Code Not Found")</f>
        <v>Sapindaceae</v>
      </c>
      <c r="O864" t="str" cm="1">
        <f t="array" ref="O864">_xlfn.IFS(F864="","",F864&lt;=5,"0 to 5",F864&lt;=10,"5.1 to 10",F864&lt;=20,"10 to 20", F864&lt;= 40, "20 to 40", F864 &lt;= 50, "40 to 50", F864 &gt; 50, "&gt;50" )</f>
        <v>10 to 20</v>
      </c>
    </row>
    <row r="865" spans="1:15" ht="14.4" x14ac:dyDescent="0.3">
      <c r="A865" t="s">
        <v>213</v>
      </c>
      <c r="B865" s="1">
        <v>46178</v>
      </c>
      <c r="C865" t="s">
        <v>22</v>
      </c>
      <c r="D865">
        <v>804</v>
      </c>
      <c r="E865">
        <v>1</v>
      </c>
      <c r="F865">
        <v>7.8</v>
      </c>
      <c r="G865" t="s">
        <v>21</v>
      </c>
      <c r="I865" t="str">
        <f t="shared" si="13"/>
        <v>804_1</v>
      </c>
      <c r="J865" t="s">
        <v>214</v>
      </c>
      <c r="K865" t="s">
        <v>19</v>
      </c>
      <c r="L865" t="str">
        <f>_xlfn.XLOOKUP(C865, Table2[Species],Table2[Genus], "Code Not Found")</f>
        <v>Acer</v>
      </c>
      <c r="M865" t="str">
        <f>_xlfn.XLOOKUP(C865, Table2[Species],Table2[Sp. Name], "Code Not Found")</f>
        <v>rubrum</v>
      </c>
      <c r="N865" t="str">
        <f>_xlfn.XLOOKUP(C865,Table2[Species],Table2[Family],"Code Not Found")</f>
        <v>Sapindaceae</v>
      </c>
      <c r="O865" t="str" cm="1">
        <f t="array" ref="O865">_xlfn.IFS(F865="","",F865&lt;=5,"0 to 5",F865&lt;=10,"5.1 to 10",F865&lt;=20,"10 to 20", F865&lt;= 40, "20 to 40", F865 &lt;= 50, "40 to 50", F865 &gt; 50, "&gt;50" )</f>
        <v>5.1 to 10</v>
      </c>
    </row>
    <row r="866" spans="1:15" ht="14.4" x14ac:dyDescent="0.3">
      <c r="A866" t="s">
        <v>213</v>
      </c>
      <c r="B866" s="1">
        <v>46178</v>
      </c>
      <c r="C866" t="s">
        <v>16</v>
      </c>
      <c r="D866">
        <v>805</v>
      </c>
      <c r="E866">
        <v>1</v>
      </c>
      <c r="F866">
        <v>1.8</v>
      </c>
      <c r="G866" t="s">
        <v>17</v>
      </c>
      <c r="I866" t="str">
        <f t="shared" si="13"/>
        <v>805_1</v>
      </c>
      <c r="J866" t="s">
        <v>214</v>
      </c>
      <c r="K866" t="s">
        <v>19</v>
      </c>
      <c r="L866" t="str">
        <f>_xlfn.XLOOKUP(C866, Table2[Species],Table2[Genus], "Code Not Found")</f>
        <v>Acer</v>
      </c>
      <c r="M866" t="str">
        <f>_xlfn.XLOOKUP(C866, Table2[Species],Table2[Sp. Name], "Code Not Found")</f>
        <v>saccharum</v>
      </c>
      <c r="N866" t="str">
        <f>_xlfn.XLOOKUP(C866,Table2[Species],Table2[Family],"Code Not Found")</f>
        <v>Sapindaceae</v>
      </c>
      <c r="O866" t="str" cm="1">
        <f t="array" ref="O866">_xlfn.IFS(F866="","",F866&lt;=5,"0 to 5",F866&lt;=10,"5.1 to 10",F866&lt;=20,"10 to 20", F866&lt;= 40, "20 to 40", F866 &lt;= 50, "40 to 50", F866 &gt; 50, "&gt;50" )</f>
        <v>0 to 5</v>
      </c>
    </row>
    <row r="867" spans="1:15" ht="14.4" x14ac:dyDescent="0.3">
      <c r="A867" t="s">
        <v>213</v>
      </c>
      <c r="B867" s="1">
        <v>46178</v>
      </c>
      <c r="C867" t="s">
        <v>22</v>
      </c>
      <c r="D867">
        <v>806</v>
      </c>
      <c r="E867">
        <v>1</v>
      </c>
      <c r="F867">
        <v>35.299999999999997</v>
      </c>
      <c r="G867" t="s">
        <v>21</v>
      </c>
      <c r="I867" t="str">
        <f t="shared" si="13"/>
        <v>806_1</v>
      </c>
      <c r="J867" t="s">
        <v>214</v>
      </c>
      <c r="K867" t="s">
        <v>19</v>
      </c>
      <c r="L867" t="str">
        <f>_xlfn.XLOOKUP(C867, Table2[Species],Table2[Genus], "Code Not Found")</f>
        <v>Acer</v>
      </c>
      <c r="M867" t="str">
        <f>_xlfn.XLOOKUP(C867, Table2[Species],Table2[Sp. Name], "Code Not Found")</f>
        <v>rubrum</v>
      </c>
      <c r="N867" t="str">
        <f>_xlfn.XLOOKUP(C867,Table2[Species],Table2[Family],"Code Not Found")</f>
        <v>Sapindaceae</v>
      </c>
      <c r="O867" t="str" cm="1">
        <f t="array" ref="O867">_xlfn.IFS(F867="","",F867&lt;=5,"0 to 5",F867&lt;=10,"5.1 to 10",F867&lt;=20,"10 to 20", F867&lt;= 40, "20 to 40", F867 &lt;= 50, "40 to 50", F867 &gt; 50, "&gt;50" )</f>
        <v>20 to 40</v>
      </c>
    </row>
    <row r="868" spans="1:15" ht="14.4" x14ac:dyDescent="0.3">
      <c r="A868" t="s">
        <v>213</v>
      </c>
      <c r="B868" s="1">
        <v>46178</v>
      </c>
      <c r="C868" t="s">
        <v>16</v>
      </c>
      <c r="D868">
        <v>807</v>
      </c>
      <c r="E868">
        <v>1</v>
      </c>
      <c r="F868">
        <v>2.9</v>
      </c>
      <c r="G868" t="s">
        <v>21</v>
      </c>
      <c r="I868" t="str">
        <f t="shared" si="13"/>
        <v>807_1</v>
      </c>
      <c r="J868" t="s">
        <v>214</v>
      </c>
      <c r="K868" t="s">
        <v>19</v>
      </c>
      <c r="L868" t="str">
        <f>_xlfn.XLOOKUP(C868, Table2[Species],Table2[Genus], "Code Not Found")</f>
        <v>Acer</v>
      </c>
      <c r="M868" t="str">
        <f>_xlfn.XLOOKUP(C868, Table2[Species],Table2[Sp. Name], "Code Not Found")</f>
        <v>saccharum</v>
      </c>
      <c r="N868" t="str">
        <f>_xlfn.XLOOKUP(C868,Table2[Species],Table2[Family],"Code Not Found")</f>
        <v>Sapindaceae</v>
      </c>
      <c r="O868" t="str" cm="1">
        <f t="array" ref="O868">_xlfn.IFS(F868="","",F868&lt;=5,"0 to 5",F868&lt;=10,"5.1 to 10",F868&lt;=20,"10 to 20", F868&lt;= 40, "20 to 40", F868 &lt;= 50, "40 to 50", F868 &gt; 50, "&gt;50" )</f>
        <v>0 to 5</v>
      </c>
    </row>
    <row r="869" spans="1:15" ht="14.4" x14ac:dyDescent="0.3">
      <c r="A869" t="s">
        <v>213</v>
      </c>
      <c r="B869" s="1">
        <v>46178</v>
      </c>
      <c r="C869" t="s">
        <v>16</v>
      </c>
      <c r="D869">
        <v>808</v>
      </c>
      <c r="E869">
        <v>1</v>
      </c>
      <c r="F869">
        <v>18.7</v>
      </c>
      <c r="G869" t="s">
        <v>21</v>
      </c>
      <c r="I869" t="str">
        <f t="shared" si="13"/>
        <v>808_1</v>
      </c>
      <c r="J869" t="s">
        <v>214</v>
      </c>
      <c r="K869" t="s">
        <v>19</v>
      </c>
      <c r="L869" t="str">
        <f>_xlfn.XLOOKUP(C869, Table2[Species],Table2[Genus], "Code Not Found")</f>
        <v>Acer</v>
      </c>
      <c r="M869" t="str">
        <f>_xlfn.XLOOKUP(C869, Table2[Species],Table2[Sp. Name], "Code Not Found")</f>
        <v>saccharum</v>
      </c>
      <c r="N869" t="str">
        <f>_xlfn.XLOOKUP(C869,Table2[Species],Table2[Family],"Code Not Found")</f>
        <v>Sapindaceae</v>
      </c>
      <c r="O869" t="str" cm="1">
        <f t="array" ref="O869">_xlfn.IFS(F869="","",F869&lt;=5,"0 to 5",F869&lt;=10,"5.1 to 10",F869&lt;=20,"10 to 20", F869&lt;= 40, "20 to 40", F869 &lt;= 50, "40 to 50", F869 &gt; 50, "&gt;50" )</f>
        <v>10 to 20</v>
      </c>
    </row>
    <row r="870" spans="1:15" ht="14.4" x14ac:dyDescent="0.3">
      <c r="A870" t="s">
        <v>213</v>
      </c>
      <c r="B870" s="1">
        <v>46178</v>
      </c>
      <c r="C870" t="s">
        <v>22</v>
      </c>
      <c r="D870">
        <v>809</v>
      </c>
      <c r="E870">
        <v>1</v>
      </c>
      <c r="F870">
        <v>59.3</v>
      </c>
      <c r="G870" t="s">
        <v>21</v>
      </c>
      <c r="I870" t="str">
        <f t="shared" si="13"/>
        <v>809_1</v>
      </c>
      <c r="J870" t="s">
        <v>214</v>
      </c>
      <c r="K870" t="s">
        <v>19</v>
      </c>
      <c r="L870" t="str">
        <f>_xlfn.XLOOKUP(C870, Table2[Species],Table2[Genus], "Code Not Found")</f>
        <v>Acer</v>
      </c>
      <c r="M870" t="str">
        <f>_xlfn.XLOOKUP(C870, Table2[Species],Table2[Sp. Name], "Code Not Found")</f>
        <v>rubrum</v>
      </c>
      <c r="N870" t="str">
        <f>_xlfn.XLOOKUP(C870,Table2[Species],Table2[Family],"Code Not Found")</f>
        <v>Sapindaceae</v>
      </c>
      <c r="O870" t="str" cm="1">
        <f t="array" ref="O870">_xlfn.IFS(F870="","",F870&lt;=5,"0 to 5",F870&lt;=10,"5.1 to 10",F870&lt;=20,"10 to 20", F870&lt;= 40, "20 to 40", F870 &lt;= 50, "40 to 50", F870 &gt; 50, "&gt;50" )</f>
        <v>&gt;50</v>
      </c>
    </row>
    <row r="871" spans="1:15" ht="14.4" x14ac:dyDescent="0.3">
      <c r="A871" t="s">
        <v>213</v>
      </c>
      <c r="B871" s="1">
        <v>46178</v>
      </c>
      <c r="C871" t="s">
        <v>24</v>
      </c>
      <c r="D871">
        <v>810</v>
      </c>
      <c r="E871">
        <v>1</v>
      </c>
      <c r="F871">
        <v>46.5</v>
      </c>
      <c r="G871" t="s">
        <v>21</v>
      </c>
      <c r="I871" t="str">
        <f t="shared" si="13"/>
        <v>810_1</v>
      </c>
      <c r="J871" t="s">
        <v>214</v>
      </c>
      <c r="K871" t="s">
        <v>19</v>
      </c>
      <c r="L871" t="str">
        <f>_xlfn.XLOOKUP(C871, Table2[Species],Table2[Genus], "Code Not Found")</f>
        <v>Lirodendron</v>
      </c>
      <c r="M871" t="str">
        <f>_xlfn.XLOOKUP(C871, Table2[Species],Table2[Sp. Name], "Code Not Found")</f>
        <v>tulipfera</v>
      </c>
      <c r="N871" t="str">
        <f>_xlfn.XLOOKUP(C871,Table2[Species],Table2[Family],"Code Not Found")</f>
        <v>Magnoliaceae</v>
      </c>
      <c r="O871" t="str" cm="1">
        <f t="array" ref="O871">_xlfn.IFS(F871="","",F871&lt;=5,"0 to 5",F871&lt;=10,"5.1 to 10",F871&lt;=20,"10 to 20", F871&lt;= 40, "20 to 40", F871 &lt;= 50, "40 to 50", F871 &gt; 50, "&gt;50" )</f>
        <v>40 to 50</v>
      </c>
    </row>
    <row r="872" spans="1:15" ht="14.4" x14ac:dyDescent="0.3">
      <c r="A872" t="s">
        <v>213</v>
      </c>
      <c r="B872" s="1">
        <v>46178</v>
      </c>
      <c r="C872" t="s">
        <v>117</v>
      </c>
      <c r="D872">
        <v>811</v>
      </c>
      <c r="E872">
        <v>1</v>
      </c>
      <c r="F872">
        <v>1.3</v>
      </c>
      <c r="G872" t="s">
        <v>17</v>
      </c>
      <c r="H872" t="s">
        <v>36</v>
      </c>
      <c r="I872" t="str">
        <f t="shared" si="13"/>
        <v>811_1</v>
      </c>
      <c r="J872" t="s">
        <v>214</v>
      </c>
      <c r="K872" t="s">
        <v>19</v>
      </c>
      <c r="L872" t="str">
        <f>_xlfn.XLOOKUP(C872, Table2[Species],Table2[Genus], "Code Not Found")</f>
        <v>Ostrya</v>
      </c>
      <c r="M872" t="str">
        <f>_xlfn.XLOOKUP(C872, Table2[Species],Table2[Sp. Name], "Code Not Found")</f>
        <v>viginiana</v>
      </c>
      <c r="N872" t="str">
        <f>_xlfn.XLOOKUP(C872,Table2[Species],Table2[Family],"Code Not Found")</f>
        <v>Betulaceae</v>
      </c>
      <c r="O872" t="str" cm="1">
        <f t="array" ref="O872">_xlfn.IFS(F872="","",F872&lt;=5,"0 to 5",F872&lt;=10,"5.1 to 10",F872&lt;=20,"10 to 20", F872&lt;= 40, "20 to 40", F872 &lt;= 50, "40 to 50", F872 &gt; 50, "&gt;50" )</f>
        <v>0 to 5</v>
      </c>
    </row>
    <row r="873" spans="1:15" ht="14.4" x14ac:dyDescent="0.3">
      <c r="A873" t="s">
        <v>213</v>
      </c>
      <c r="B873" s="1">
        <v>46178</v>
      </c>
      <c r="C873" t="s">
        <v>22</v>
      </c>
      <c r="D873">
        <v>812</v>
      </c>
      <c r="E873">
        <v>1</v>
      </c>
      <c r="F873">
        <v>37.6</v>
      </c>
      <c r="G873" t="s">
        <v>21</v>
      </c>
      <c r="I873" t="str">
        <f t="shared" si="13"/>
        <v>812_1</v>
      </c>
      <c r="J873" t="s">
        <v>214</v>
      </c>
      <c r="K873" t="s">
        <v>19</v>
      </c>
      <c r="L873" t="str">
        <f>_xlfn.XLOOKUP(C873, Table2[Species],Table2[Genus], "Code Not Found")</f>
        <v>Acer</v>
      </c>
      <c r="M873" t="str">
        <f>_xlfn.XLOOKUP(C873, Table2[Species],Table2[Sp. Name], "Code Not Found")</f>
        <v>rubrum</v>
      </c>
      <c r="N873" t="str">
        <f>_xlfn.XLOOKUP(C873,Table2[Species],Table2[Family],"Code Not Found")</f>
        <v>Sapindaceae</v>
      </c>
      <c r="O873" t="str" cm="1">
        <f t="array" ref="O873">_xlfn.IFS(F873="","",F873&lt;=5,"0 to 5",F873&lt;=10,"5.1 to 10",F873&lt;=20,"10 to 20", F873&lt;= 40, "20 to 40", F873 &lt;= 50, "40 to 50", F873 &gt; 50, "&gt;50" )</f>
        <v>20 to 40</v>
      </c>
    </row>
    <row r="874" spans="1:15" ht="14.4" x14ac:dyDescent="0.3">
      <c r="A874" t="s">
        <v>213</v>
      </c>
      <c r="B874" s="1">
        <v>46178</v>
      </c>
      <c r="C874" t="s">
        <v>22</v>
      </c>
      <c r="D874">
        <v>813</v>
      </c>
      <c r="E874">
        <v>1</v>
      </c>
      <c r="F874">
        <v>14.5</v>
      </c>
      <c r="G874" t="s">
        <v>21</v>
      </c>
      <c r="I874" t="str">
        <f t="shared" si="13"/>
        <v>813_1</v>
      </c>
      <c r="J874" t="s">
        <v>214</v>
      </c>
      <c r="K874" t="s">
        <v>19</v>
      </c>
      <c r="L874" t="str">
        <f>_xlfn.XLOOKUP(C874, Table2[Species],Table2[Genus], "Code Not Found")</f>
        <v>Acer</v>
      </c>
      <c r="M874" t="str">
        <f>_xlfn.XLOOKUP(C874, Table2[Species],Table2[Sp. Name], "Code Not Found")</f>
        <v>rubrum</v>
      </c>
      <c r="N874" t="str">
        <f>_xlfn.XLOOKUP(C874,Table2[Species],Table2[Family],"Code Not Found")</f>
        <v>Sapindaceae</v>
      </c>
      <c r="O874" t="str" cm="1">
        <f t="array" ref="O874">_xlfn.IFS(F874="","",F874&lt;=5,"0 to 5",F874&lt;=10,"5.1 to 10",F874&lt;=20,"10 to 20", F874&lt;= 40, "20 to 40", F874 &lt;= 50, "40 to 50", F874 &gt; 50, "&gt;50" )</f>
        <v>10 to 20</v>
      </c>
    </row>
    <row r="875" spans="1:15" ht="14.4" x14ac:dyDescent="0.3">
      <c r="A875" t="s">
        <v>213</v>
      </c>
      <c r="B875" s="1">
        <v>46178</v>
      </c>
      <c r="C875" t="s">
        <v>22</v>
      </c>
      <c r="D875">
        <v>814</v>
      </c>
      <c r="E875">
        <v>1</v>
      </c>
      <c r="F875">
        <v>10</v>
      </c>
      <c r="G875" t="s">
        <v>21</v>
      </c>
      <c r="I875" t="str">
        <f t="shared" si="13"/>
        <v>814_1</v>
      </c>
      <c r="J875" t="s">
        <v>214</v>
      </c>
      <c r="K875" t="s">
        <v>19</v>
      </c>
      <c r="L875" t="str">
        <f>_xlfn.XLOOKUP(C875, Table2[Species],Table2[Genus], "Code Not Found")</f>
        <v>Acer</v>
      </c>
      <c r="M875" t="str">
        <f>_xlfn.XLOOKUP(C875, Table2[Species],Table2[Sp. Name], "Code Not Found")</f>
        <v>rubrum</v>
      </c>
      <c r="N875" t="str">
        <f>_xlfn.XLOOKUP(C875,Table2[Species],Table2[Family],"Code Not Found")</f>
        <v>Sapindaceae</v>
      </c>
      <c r="O875" t="str" cm="1">
        <f t="array" ref="O875">_xlfn.IFS(F875="","",F875&lt;=5,"0 to 5",F875&lt;=10,"5.1 to 10",F875&lt;=20,"10 to 20", F875&lt;= 40, "20 to 40", F875 &lt;= 50, "40 to 50", F875 &gt; 50, "&gt;50" )</f>
        <v>5.1 to 10</v>
      </c>
    </row>
    <row r="876" spans="1:15" ht="14.4" x14ac:dyDescent="0.3">
      <c r="A876" t="s">
        <v>213</v>
      </c>
      <c r="B876" s="1">
        <v>46178</v>
      </c>
      <c r="C876" t="s">
        <v>22</v>
      </c>
      <c r="D876">
        <v>815</v>
      </c>
      <c r="E876">
        <v>1</v>
      </c>
      <c r="F876">
        <v>42.2</v>
      </c>
      <c r="G876" t="s">
        <v>21</v>
      </c>
      <c r="I876" t="str">
        <f t="shared" si="13"/>
        <v>815_1</v>
      </c>
      <c r="J876" t="s">
        <v>214</v>
      </c>
      <c r="K876" t="s">
        <v>19</v>
      </c>
      <c r="L876" t="str">
        <f>_xlfn.XLOOKUP(C876, Table2[Species],Table2[Genus], "Code Not Found")</f>
        <v>Acer</v>
      </c>
      <c r="M876" t="str">
        <f>_xlfn.XLOOKUP(C876, Table2[Species],Table2[Sp. Name], "Code Not Found")</f>
        <v>rubrum</v>
      </c>
      <c r="N876" t="str">
        <f>_xlfn.XLOOKUP(C876,Table2[Species],Table2[Family],"Code Not Found")</f>
        <v>Sapindaceae</v>
      </c>
      <c r="O876" t="str" cm="1">
        <f t="array" ref="O876">_xlfn.IFS(F876="","",F876&lt;=5,"0 to 5",F876&lt;=10,"5.1 to 10",F876&lt;=20,"10 to 20", F876&lt;= 40, "20 to 40", F876 &lt;= 50, "40 to 50", F876 &gt; 50, "&gt;50" )</f>
        <v>40 to 50</v>
      </c>
    </row>
    <row r="877" spans="1:15" ht="14.4" x14ac:dyDescent="0.3">
      <c r="A877" t="s">
        <v>213</v>
      </c>
      <c r="B877" s="1">
        <v>46178</v>
      </c>
      <c r="C877" t="s">
        <v>64</v>
      </c>
      <c r="D877">
        <v>816</v>
      </c>
      <c r="E877">
        <v>1</v>
      </c>
      <c r="F877">
        <v>2.2999999999999998</v>
      </c>
      <c r="G877" t="s">
        <v>47</v>
      </c>
      <c r="I877" t="str">
        <f t="shared" si="13"/>
        <v>816_1</v>
      </c>
      <c r="J877" t="s">
        <v>214</v>
      </c>
      <c r="K877" t="s">
        <v>19</v>
      </c>
      <c r="L877" t="str">
        <f>_xlfn.XLOOKUP(C877, Table2[Species],Table2[Genus], "Code Not Found")</f>
        <v>Fagus</v>
      </c>
      <c r="M877" t="str">
        <f>_xlfn.XLOOKUP(C877, Table2[Species],Table2[Sp. Name], "Code Not Found")</f>
        <v>grandifolia</v>
      </c>
      <c r="N877" t="str">
        <f>_xlfn.XLOOKUP(C877,Table2[Species],Table2[Family],"Code Not Found")</f>
        <v>Fagaceae</v>
      </c>
      <c r="O877" t="str" cm="1">
        <f t="array" ref="O877">_xlfn.IFS(F877="","",F877&lt;=5,"0 to 5",F877&lt;=10,"5.1 to 10",F877&lt;=20,"10 to 20", F877&lt;= 40, "20 to 40", F877 &lt;= 50, "40 to 50", F877 &gt; 50, "&gt;50" )</f>
        <v>0 to 5</v>
      </c>
    </row>
    <row r="878" spans="1:15" ht="14.4" x14ac:dyDescent="0.3">
      <c r="A878" t="s">
        <v>213</v>
      </c>
      <c r="B878" s="1">
        <v>46178</v>
      </c>
      <c r="C878" t="s">
        <v>22</v>
      </c>
      <c r="D878">
        <v>817</v>
      </c>
      <c r="E878">
        <v>1</v>
      </c>
      <c r="F878">
        <v>27.4</v>
      </c>
      <c r="G878" t="s">
        <v>17</v>
      </c>
      <c r="I878" t="str">
        <f t="shared" si="13"/>
        <v>817_1</v>
      </c>
      <c r="J878" t="s">
        <v>214</v>
      </c>
      <c r="K878" t="s">
        <v>19</v>
      </c>
      <c r="L878" t="str">
        <f>_xlfn.XLOOKUP(C878, Table2[Species],Table2[Genus], "Code Not Found")</f>
        <v>Acer</v>
      </c>
      <c r="M878" t="str">
        <f>_xlfn.XLOOKUP(C878, Table2[Species],Table2[Sp. Name], "Code Not Found")</f>
        <v>rubrum</v>
      </c>
      <c r="N878" t="str">
        <f>_xlfn.XLOOKUP(C878,Table2[Species],Table2[Family],"Code Not Found")</f>
        <v>Sapindaceae</v>
      </c>
      <c r="O878" t="str" cm="1">
        <f t="array" ref="O878">_xlfn.IFS(F878="","",F878&lt;=5,"0 to 5",F878&lt;=10,"5.1 to 10",F878&lt;=20,"10 to 20", F878&lt;= 40, "20 to 40", F878 &lt;= 50, "40 to 50", F878 &gt; 50, "&gt;50" )</f>
        <v>20 to 40</v>
      </c>
    </row>
    <row r="879" spans="1:15" ht="14.4" x14ac:dyDescent="0.3">
      <c r="A879" t="s">
        <v>213</v>
      </c>
      <c r="B879" s="1">
        <v>46178</v>
      </c>
      <c r="C879" t="s">
        <v>64</v>
      </c>
      <c r="D879">
        <v>818</v>
      </c>
      <c r="E879">
        <v>1</v>
      </c>
      <c r="F879">
        <v>3.4</v>
      </c>
      <c r="G879" t="s">
        <v>21</v>
      </c>
      <c r="I879" t="str">
        <f t="shared" si="13"/>
        <v>818_1</v>
      </c>
      <c r="J879" t="s">
        <v>214</v>
      </c>
      <c r="K879" t="s">
        <v>19</v>
      </c>
      <c r="L879" t="str">
        <f>_xlfn.XLOOKUP(C879, Table2[Species],Table2[Genus], "Code Not Found")</f>
        <v>Fagus</v>
      </c>
      <c r="M879" t="str">
        <f>_xlfn.XLOOKUP(C879, Table2[Species],Table2[Sp. Name], "Code Not Found")</f>
        <v>grandifolia</v>
      </c>
      <c r="N879" t="str">
        <f>_xlfn.XLOOKUP(C879,Table2[Species],Table2[Family],"Code Not Found")</f>
        <v>Fagaceae</v>
      </c>
      <c r="O879" t="str" cm="1">
        <f t="array" ref="O879">_xlfn.IFS(F879="","",F879&lt;=5,"0 to 5",F879&lt;=10,"5.1 to 10",F879&lt;=20,"10 to 20", F879&lt;= 40, "20 to 40", F879 &lt;= 50, "40 to 50", F879 &gt; 50, "&gt;50" )</f>
        <v>0 to 5</v>
      </c>
    </row>
    <row r="880" spans="1:15" ht="14.4" x14ac:dyDescent="0.3">
      <c r="A880" t="s">
        <v>213</v>
      </c>
      <c r="B880" s="1">
        <v>46178</v>
      </c>
      <c r="C880" t="s">
        <v>22</v>
      </c>
      <c r="D880">
        <v>819</v>
      </c>
      <c r="E880">
        <v>1</v>
      </c>
      <c r="F880">
        <v>18.7</v>
      </c>
      <c r="G880" t="s">
        <v>17</v>
      </c>
      <c r="H880" t="s">
        <v>36</v>
      </c>
      <c r="I880" t="str">
        <f t="shared" si="13"/>
        <v>819_1</v>
      </c>
      <c r="J880" t="s">
        <v>214</v>
      </c>
      <c r="K880" t="s">
        <v>19</v>
      </c>
      <c r="L880" t="str">
        <f>_xlfn.XLOOKUP(C880, Table2[Species],Table2[Genus], "Code Not Found")</f>
        <v>Acer</v>
      </c>
      <c r="M880" t="str">
        <f>_xlfn.XLOOKUP(C880, Table2[Species],Table2[Sp. Name], "Code Not Found")</f>
        <v>rubrum</v>
      </c>
      <c r="N880" t="str">
        <f>_xlfn.XLOOKUP(C880,Table2[Species],Table2[Family],"Code Not Found")</f>
        <v>Sapindaceae</v>
      </c>
      <c r="O880" t="str" cm="1">
        <f t="array" ref="O880">_xlfn.IFS(F880="","",F880&lt;=5,"0 to 5",F880&lt;=10,"5.1 to 10",F880&lt;=20,"10 to 20", F880&lt;= 40, "20 to 40", F880 &lt;= 50, "40 to 50", F880 &gt; 50, "&gt;50" )</f>
        <v>10 to 20</v>
      </c>
    </row>
    <row r="881" spans="1:15" ht="14.4" x14ac:dyDescent="0.3">
      <c r="A881" t="s">
        <v>213</v>
      </c>
      <c r="B881" s="1">
        <v>46178</v>
      </c>
      <c r="C881" t="s">
        <v>16</v>
      </c>
      <c r="D881">
        <v>820</v>
      </c>
      <c r="E881">
        <v>1</v>
      </c>
      <c r="F881">
        <v>4.8</v>
      </c>
      <c r="G881" t="s">
        <v>47</v>
      </c>
      <c r="I881" t="str">
        <f t="shared" si="13"/>
        <v>820_1</v>
      </c>
      <c r="J881" t="s">
        <v>214</v>
      </c>
      <c r="K881" t="s">
        <v>19</v>
      </c>
      <c r="L881" t="str">
        <f>_xlfn.XLOOKUP(C881, Table2[Species],Table2[Genus], "Code Not Found")</f>
        <v>Acer</v>
      </c>
      <c r="M881" t="str">
        <f>_xlfn.XLOOKUP(C881, Table2[Species],Table2[Sp. Name], "Code Not Found")</f>
        <v>saccharum</v>
      </c>
      <c r="N881" t="str">
        <f>_xlfn.XLOOKUP(C881,Table2[Species],Table2[Family],"Code Not Found")</f>
        <v>Sapindaceae</v>
      </c>
      <c r="O881" t="str" cm="1">
        <f t="array" ref="O881">_xlfn.IFS(F881="","",F881&lt;=5,"0 to 5",F881&lt;=10,"5.1 to 10",F881&lt;=20,"10 to 20", F881&lt;= 40, "20 to 40", F881 &lt;= 50, "40 to 50", F881 &gt; 50, "&gt;50" )</f>
        <v>0 to 5</v>
      </c>
    </row>
    <row r="882" spans="1:15" ht="14.4" x14ac:dyDescent="0.3">
      <c r="A882" t="s">
        <v>213</v>
      </c>
      <c r="B882" s="1">
        <v>46178</v>
      </c>
      <c r="C882" t="s">
        <v>22</v>
      </c>
      <c r="D882">
        <v>821</v>
      </c>
      <c r="E882">
        <v>1</v>
      </c>
      <c r="F882">
        <v>16.8</v>
      </c>
      <c r="G882" t="s">
        <v>21</v>
      </c>
      <c r="I882" t="str">
        <f t="shared" si="13"/>
        <v>821_1</v>
      </c>
      <c r="J882" t="s">
        <v>214</v>
      </c>
      <c r="K882" t="s">
        <v>19</v>
      </c>
      <c r="L882" t="str">
        <f>_xlfn.XLOOKUP(C882, Table2[Species],Table2[Genus], "Code Not Found")</f>
        <v>Acer</v>
      </c>
      <c r="M882" t="str">
        <f>_xlfn.XLOOKUP(C882, Table2[Species],Table2[Sp. Name], "Code Not Found")</f>
        <v>rubrum</v>
      </c>
      <c r="N882" t="str">
        <f>_xlfn.XLOOKUP(C882,Table2[Species],Table2[Family],"Code Not Found")</f>
        <v>Sapindaceae</v>
      </c>
      <c r="O882" t="str" cm="1">
        <f t="array" ref="O882">_xlfn.IFS(F882="","",F882&lt;=5,"0 to 5",F882&lt;=10,"5.1 to 10",F882&lt;=20,"10 to 20", F882&lt;= 40, "20 to 40", F882 &lt;= 50, "40 to 50", F882 &gt; 50, "&gt;50" )</f>
        <v>10 to 20</v>
      </c>
    </row>
    <row r="883" spans="1:15" s="21" customFormat="1" ht="14.4" x14ac:dyDescent="0.3">
      <c r="A883" s="21" t="s">
        <v>213</v>
      </c>
      <c r="B883" s="22">
        <v>46184</v>
      </c>
      <c r="C883" s="21" t="s">
        <v>22</v>
      </c>
      <c r="D883" s="21">
        <v>822</v>
      </c>
      <c r="E883" s="21">
        <v>1</v>
      </c>
      <c r="F883" s="21">
        <v>8.1999999999999993</v>
      </c>
      <c r="G883" s="21" t="s">
        <v>21</v>
      </c>
      <c r="I883" s="21" t="str">
        <f t="shared" si="13"/>
        <v>822_1</v>
      </c>
      <c r="J883" s="21" t="s">
        <v>214</v>
      </c>
      <c r="K883" s="21" t="s">
        <v>19</v>
      </c>
      <c r="L883" s="21" t="str">
        <f>_xlfn.XLOOKUP(C883, Table2[Species],Table2[Genus], "Code Not Found")</f>
        <v>Acer</v>
      </c>
      <c r="M883" s="21" t="str">
        <f>_xlfn.XLOOKUP(C883, Table2[Species],Table2[Sp. Name], "Code Not Found")</f>
        <v>rubrum</v>
      </c>
      <c r="N883" s="21" t="str">
        <f>_xlfn.XLOOKUP(C883,Table2[Species],Table2[Family],"Code Not Found")</f>
        <v>Sapindaceae</v>
      </c>
      <c r="O883" s="21" t="str" cm="1">
        <f t="array" ref="O883">_xlfn.IFS(F883="","",F883&lt;=5,"0 to 5",F883&lt;=10,"5.1 to 10",F883&lt;=20,"10 to 20", F883&lt;= 40, "20 to 40", F883 &lt;= 50, "40 to 50", F883 &gt; 50, "&gt;50" )</f>
        <v>5.1 to 10</v>
      </c>
    </row>
    <row r="884" spans="1:15" ht="14.4" x14ac:dyDescent="0.3">
      <c r="A884" t="s">
        <v>213</v>
      </c>
      <c r="B884" s="1">
        <v>46184</v>
      </c>
      <c r="C884" t="s">
        <v>123</v>
      </c>
      <c r="D884">
        <v>823</v>
      </c>
      <c r="E884">
        <v>1</v>
      </c>
      <c r="F884">
        <v>110.1</v>
      </c>
      <c r="G884" t="s">
        <v>21</v>
      </c>
      <c r="I884" t="str">
        <f t="shared" si="13"/>
        <v>823_1</v>
      </c>
      <c r="J884" t="s">
        <v>214</v>
      </c>
      <c r="K884" t="s">
        <v>19</v>
      </c>
      <c r="L884" t="str">
        <f>_xlfn.XLOOKUP(C884, Table2[Species],Table2[Genus], "Code Not Found")</f>
        <v>Quercus</v>
      </c>
      <c r="M884" t="str">
        <f>_xlfn.XLOOKUP(C884, Table2[Species],Table2[Sp. Name], "Code Not Found")</f>
        <v>rubra</v>
      </c>
      <c r="N884" t="str">
        <f>_xlfn.XLOOKUP(C884,Table2[Species],Table2[Family],"Code Not Found")</f>
        <v>Fagaceae</v>
      </c>
      <c r="O884" t="str" cm="1">
        <f t="array" ref="O884">_xlfn.IFS(F884="","",F884&lt;=5,"0 to 5",F884&lt;=10,"5.1 to 10",F884&lt;=20,"10 to 20", F884&lt;= 40, "20 to 40", F884 &lt;= 50, "40 to 50", F884 &gt; 50, "&gt;50" )</f>
        <v>&gt;50</v>
      </c>
    </row>
    <row r="885" spans="1:15" ht="14.4" x14ac:dyDescent="0.3">
      <c r="A885" t="s">
        <v>213</v>
      </c>
      <c r="B885" s="1">
        <v>46184</v>
      </c>
      <c r="C885" t="s">
        <v>123</v>
      </c>
      <c r="D885">
        <v>824</v>
      </c>
      <c r="E885">
        <v>1</v>
      </c>
      <c r="F885">
        <v>120.8</v>
      </c>
      <c r="G885" t="s">
        <v>21</v>
      </c>
      <c r="I885" t="str">
        <f t="shared" si="13"/>
        <v>824_1</v>
      </c>
      <c r="J885" t="s">
        <v>214</v>
      </c>
      <c r="K885" t="s">
        <v>19</v>
      </c>
      <c r="L885" t="str">
        <f>_xlfn.XLOOKUP(C885, Table2[Species],Table2[Genus], "Code Not Found")</f>
        <v>Quercus</v>
      </c>
      <c r="M885" t="str">
        <f>_xlfn.XLOOKUP(C885, Table2[Species],Table2[Sp. Name], "Code Not Found")</f>
        <v>rubra</v>
      </c>
      <c r="N885" t="str">
        <f>_xlfn.XLOOKUP(C885,Table2[Species],Table2[Family],"Code Not Found")</f>
        <v>Fagaceae</v>
      </c>
      <c r="O885" t="str" cm="1">
        <f t="array" ref="O885">_xlfn.IFS(F885="","",F885&lt;=5,"0 to 5",F885&lt;=10,"5.1 to 10",F885&lt;=20,"10 to 20", F885&lt;= 40, "20 to 40", F885 &lt;= 50, "40 to 50", F885 &gt; 50, "&gt;50" )</f>
        <v>&gt;50</v>
      </c>
    </row>
    <row r="886" spans="1:15" ht="14.4" x14ac:dyDescent="0.3">
      <c r="A886" t="s">
        <v>213</v>
      </c>
      <c r="B886" s="1">
        <v>46184</v>
      </c>
      <c r="C886" t="s">
        <v>16</v>
      </c>
      <c r="D886">
        <v>825</v>
      </c>
      <c r="E886">
        <v>1</v>
      </c>
      <c r="F886">
        <v>4.8</v>
      </c>
      <c r="G886" t="s">
        <v>21</v>
      </c>
      <c r="I886" t="str">
        <f t="shared" si="13"/>
        <v>825_1</v>
      </c>
      <c r="J886" t="s">
        <v>214</v>
      </c>
      <c r="K886" t="s">
        <v>19</v>
      </c>
      <c r="L886" t="str">
        <f>_xlfn.XLOOKUP(C886, Table2[Species],Table2[Genus], "Code Not Found")</f>
        <v>Acer</v>
      </c>
      <c r="M886" t="str">
        <f>_xlfn.XLOOKUP(C886, Table2[Species],Table2[Sp. Name], "Code Not Found")</f>
        <v>saccharum</v>
      </c>
      <c r="N886" t="str">
        <f>_xlfn.XLOOKUP(C886,Table2[Species],Table2[Family],"Code Not Found")</f>
        <v>Sapindaceae</v>
      </c>
      <c r="O886" t="str" cm="1">
        <f t="array" ref="O886">_xlfn.IFS(F886="","",F886&lt;=5,"0 to 5",F886&lt;=10,"5.1 to 10",F886&lt;=20,"10 to 20", F886&lt;= 40, "20 to 40", F886 &lt;= 50, "40 to 50", F886 &gt; 50, "&gt;50" )</f>
        <v>0 to 5</v>
      </c>
    </row>
    <row r="887" spans="1:15" ht="14.4" x14ac:dyDescent="0.3">
      <c r="A887" t="s">
        <v>213</v>
      </c>
      <c r="B887" s="1">
        <v>46184</v>
      </c>
      <c r="C887" t="s">
        <v>16</v>
      </c>
      <c r="D887">
        <v>826</v>
      </c>
      <c r="E887">
        <v>1</v>
      </c>
      <c r="F887">
        <v>2.8</v>
      </c>
      <c r="G887" t="s">
        <v>21</v>
      </c>
      <c r="I887" t="str">
        <f t="shared" si="13"/>
        <v>826_1</v>
      </c>
      <c r="J887" t="s">
        <v>214</v>
      </c>
      <c r="K887" t="s">
        <v>19</v>
      </c>
      <c r="L887" t="str">
        <f>_xlfn.XLOOKUP(C887, Table2[Species],Table2[Genus], "Code Not Found")</f>
        <v>Acer</v>
      </c>
      <c r="M887" t="str">
        <f>_xlfn.XLOOKUP(C887, Table2[Species],Table2[Sp. Name], "Code Not Found")</f>
        <v>saccharum</v>
      </c>
      <c r="N887" t="str">
        <f>_xlfn.XLOOKUP(C887,Table2[Species],Table2[Family],"Code Not Found")</f>
        <v>Sapindaceae</v>
      </c>
      <c r="O887" t="str" cm="1">
        <f t="array" ref="O887">_xlfn.IFS(F887="","",F887&lt;=5,"0 to 5",F887&lt;=10,"5.1 to 10",F887&lt;=20,"10 to 20", F887&lt;= 40, "20 to 40", F887 &lt;= 50, "40 to 50", F887 &gt; 50, "&gt;50" )</f>
        <v>0 to 5</v>
      </c>
    </row>
    <row r="888" spans="1:15" ht="14.4" x14ac:dyDescent="0.3">
      <c r="A888" t="s">
        <v>213</v>
      </c>
      <c r="B888" s="1">
        <v>46184</v>
      </c>
      <c r="C888" t="s">
        <v>22</v>
      </c>
      <c r="D888">
        <v>827</v>
      </c>
      <c r="E888">
        <v>1</v>
      </c>
      <c r="F888">
        <v>10.7</v>
      </c>
      <c r="G888" t="s">
        <v>21</v>
      </c>
      <c r="I888" t="str">
        <f t="shared" si="13"/>
        <v>827_1</v>
      </c>
      <c r="J888" t="s">
        <v>214</v>
      </c>
      <c r="K888" t="s">
        <v>19</v>
      </c>
      <c r="L888" t="str">
        <f>_xlfn.XLOOKUP(C888, Table2[Species],Table2[Genus], "Code Not Found")</f>
        <v>Acer</v>
      </c>
      <c r="M888" t="str">
        <f>_xlfn.XLOOKUP(C888, Table2[Species],Table2[Sp. Name], "Code Not Found")</f>
        <v>rubrum</v>
      </c>
      <c r="N888" t="str">
        <f>_xlfn.XLOOKUP(C888,Table2[Species],Table2[Family],"Code Not Found")</f>
        <v>Sapindaceae</v>
      </c>
      <c r="O888" t="str" cm="1">
        <f t="array" ref="O888">_xlfn.IFS(F888="","",F888&lt;=5,"0 to 5",F888&lt;=10,"5.1 to 10",F888&lt;=20,"10 to 20", F888&lt;= 40, "20 to 40", F888 &lt;= 50, "40 to 50", F888 &gt; 50, "&gt;50" )</f>
        <v>10 to 20</v>
      </c>
    </row>
    <row r="889" spans="1:15" ht="14.4" x14ac:dyDescent="0.3">
      <c r="A889" t="s">
        <v>213</v>
      </c>
      <c r="B889" s="1">
        <v>46184</v>
      </c>
      <c r="C889" t="s">
        <v>16</v>
      </c>
      <c r="D889">
        <v>828</v>
      </c>
      <c r="E889">
        <v>1</v>
      </c>
      <c r="F889">
        <v>2.2999999999999998</v>
      </c>
      <c r="G889" t="s">
        <v>21</v>
      </c>
      <c r="I889" t="str">
        <f t="shared" si="13"/>
        <v>828_1</v>
      </c>
      <c r="J889" t="s">
        <v>214</v>
      </c>
      <c r="K889" t="s">
        <v>19</v>
      </c>
      <c r="L889" t="str">
        <f>_xlfn.XLOOKUP(C889, Table2[Species],Table2[Genus], "Code Not Found")</f>
        <v>Acer</v>
      </c>
      <c r="M889" t="str">
        <f>_xlfn.XLOOKUP(C889, Table2[Species],Table2[Sp. Name], "Code Not Found")</f>
        <v>saccharum</v>
      </c>
      <c r="N889" t="str">
        <f>_xlfn.XLOOKUP(C889,Table2[Species],Table2[Family],"Code Not Found")</f>
        <v>Sapindaceae</v>
      </c>
      <c r="O889" t="str" cm="1">
        <f t="array" ref="O889">_xlfn.IFS(F889="","",F889&lt;=5,"0 to 5",F889&lt;=10,"5.1 to 10",F889&lt;=20,"10 to 20", F889&lt;= 40, "20 to 40", F889 &lt;= 50, "40 to 50", F889 &gt; 50, "&gt;50" )</f>
        <v>0 to 5</v>
      </c>
    </row>
    <row r="890" spans="1:15" ht="14.4" x14ac:dyDescent="0.3">
      <c r="A890" t="s">
        <v>213</v>
      </c>
      <c r="B890" s="1">
        <v>46184</v>
      </c>
      <c r="C890" t="s">
        <v>16</v>
      </c>
      <c r="D890">
        <v>829</v>
      </c>
      <c r="E890">
        <v>1</v>
      </c>
      <c r="F890">
        <v>2.8</v>
      </c>
      <c r="G890" t="s">
        <v>21</v>
      </c>
      <c r="I890" t="str">
        <f t="shared" si="13"/>
        <v>829_1</v>
      </c>
      <c r="J890" t="s">
        <v>214</v>
      </c>
      <c r="K890" t="s">
        <v>19</v>
      </c>
      <c r="L890" t="str">
        <f>_xlfn.XLOOKUP(C890, Table2[Species],Table2[Genus], "Code Not Found")</f>
        <v>Acer</v>
      </c>
      <c r="M890" t="str">
        <f>_xlfn.XLOOKUP(C890, Table2[Species],Table2[Sp. Name], "Code Not Found")</f>
        <v>saccharum</v>
      </c>
      <c r="N890" t="str">
        <f>_xlfn.XLOOKUP(C890,Table2[Species],Table2[Family],"Code Not Found")</f>
        <v>Sapindaceae</v>
      </c>
      <c r="O890" t="str" cm="1">
        <f t="array" ref="O890">_xlfn.IFS(F890="","",F890&lt;=5,"0 to 5",F890&lt;=10,"5.1 to 10",F890&lt;=20,"10 to 20", F890&lt;= 40, "20 to 40", F890 &lt;= 50, "40 to 50", F890 &gt; 50, "&gt;50" )</f>
        <v>0 to 5</v>
      </c>
    </row>
    <row r="891" spans="1:15" ht="14.4" x14ac:dyDescent="0.3">
      <c r="A891" t="s">
        <v>213</v>
      </c>
      <c r="B891" s="1">
        <v>46184</v>
      </c>
      <c r="C891" t="s">
        <v>16</v>
      </c>
      <c r="D891">
        <v>830</v>
      </c>
      <c r="E891">
        <v>1</v>
      </c>
      <c r="F891">
        <v>2.9</v>
      </c>
      <c r="G891" t="s">
        <v>47</v>
      </c>
      <c r="H891" t="s">
        <v>43</v>
      </c>
      <c r="I891" t="str">
        <f t="shared" si="13"/>
        <v>830_1</v>
      </c>
      <c r="J891" t="s">
        <v>214</v>
      </c>
      <c r="K891" t="s">
        <v>19</v>
      </c>
      <c r="L891" t="str">
        <f>_xlfn.XLOOKUP(C891, Table2[Species],Table2[Genus], "Code Not Found")</f>
        <v>Acer</v>
      </c>
      <c r="M891" t="str">
        <f>_xlfn.XLOOKUP(C891, Table2[Species],Table2[Sp. Name], "Code Not Found")</f>
        <v>saccharum</v>
      </c>
      <c r="N891" t="str">
        <f>_xlfn.XLOOKUP(C891,Table2[Species],Table2[Family],"Code Not Found")</f>
        <v>Sapindaceae</v>
      </c>
      <c r="O891" t="str" cm="1">
        <f t="array" ref="O891">_xlfn.IFS(F891="","",F891&lt;=5,"0 to 5",F891&lt;=10,"5.1 to 10",F891&lt;=20,"10 to 20", F891&lt;= 40, "20 to 40", F891 &lt;= 50, "40 to 50", F891 &gt; 50, "&gt;50" )</f>
        <v>0 to 5</v>
      </c>
    </row>
    <row r="892" spans="1:15" ht="14.4" x14ac:dyDescent="0.3">
      <c r="A892" t="s">
        <v>213</v>
      </c>
      <c r="B892" s="1">
        <v>46184</v>
      </c>
      <c r="C892" t="s">
        <v>16</v>
      </c>
      <c r="D892">
        <v>831</v>
      </c>
      <c r="E892">
        <v>1</v>
      </c>
      <c r="F892">
        <v>1.3</v>
      </c>
      <c r="G892" t="s">
        <v>21</v>
      </c>
      <c r="I892" t="str">
        <f t="shared" si="13"/>
        <v>831_1</v>
      </c>
      <c r="J892" t="s">
        <v>214</v>
      </c>
      <c r="K892" t="s">
        <v>19</v>
      </c>
      <c r="L892" t="str">
        <f>_xlfn.XLOOKUP(C892, Table2[Species],Table2[Genus], "Code Not Found")</f>
        <v>Acer</v>
      </c>
      <c r="M892" t="str">
        <f>_xlfn.XLOOKUP(C892, Table2[Species],Table2[Sp. Name], "Code Not Found")</f>
        <v>saccharum</v>
      </c>
      <c r="N892" t="str">
        <f>_xlfn.XLOOKUP(C892,Table2[Species],Table2[Family],"Code Not Found")</f>
        <v>Sapindaceae</v>
      </c>
      <c r="O892" t="str" cm="1">
        <f t="array" ref="O892">_xlfn.IFS(F892="","",F892&lt;=5,"0 to 5",F892&lt;=10,"5.1 to 10",F892&lt;=20,"10 to 20", F892&lt;= 40, "20 to 40", F892 &lt;= 50, "40 to 50", F892 &gt; 50, "&gt;50" )</f>
        <v>0 to 5</v>
      </c>
    </row>
    <row r="893" spans="1:15" ht="14.4" x14ac:dyDescent="0.3">
      <c r="A893" t="s">
        <v>213</v>
      </c>
      <c r="B893" s="1">
        <v>46184</v>
      </c>
      <c r="C893" t="s">
        <v>16</v>
      </c>
      <c r="D893">
        <v>832</v>
      </c>
      <c r="E893">
        <v>1</v>
      </c>
      <c r="F893">
        <v>10.199999999999999</v>
      </c>
      <c r="G893" t="s">
        <v>21</v>
      </c>
      <c r="I893" t="str">
        <f t="shared" si="13"/>
        <v>832_1</v>
      </c>
      <c r="J893" t="s">
        <v>214</v>
      </c>
      <c r="K893" t="s">
        <v>19</v>
      </c>
      <c r="L893" t="str">
        <f>_xlfn.XLOOKUP(C893, Table2[Species],Table2[Genus], "Code Not Found")</f>
        <v>Acer</v>
      </c>
      <c r="M893" t="str">
        <f>_xlfn.XLOOKUP(C893, Table2[Species],Table2[Sp. Name], "Code Not Found")</f>
        <v>saccharum</v>
      </c>
      <c r="N893" t="str">
        <f>_xlfn.XLOOKUP(C893,Table2[Species],Table2[Family],"Code Not Found")</f>
        <v>Sapindaceae</v>
      </c>
      <c r="O893" t="str" cm="1">
        <f t="array" ref="O893">_xlfn.IFS(F893="","",F893&lt;=5,"0 to 5",F893&lt;=10,"5.1 to 10",F893&lt;=20,"10 to 20", F893&lt;= 40, "20 to 40", F893 &lt;= 50, "40 to 50", F893 &gt; 50, "&gt;50" )</f>
        <v>10 to 20</v>
      </c>
    </row>
    <row r="894" spans="1:15" ht="14.4" x14ac:dyDescent="0.3">
      <c r="A894" t="s">
        <v>213</v>
      </c>
      <c r="B894" s="1">
        <v>46184</v>
      </c>
      <c r="C894" t="s">
        <v>16</v>
      </c>
      <c r="D894">
        <v>833</v>
      </c>
      <c r="E894">
        <v>1</v>
      </c>
      <c r="F894">
        <v>1.9</v>
      </c>
      <c r="G894" t="s">
        <v>17</v>
      </c>
      <c r="H894" t="s">
        <v>220</v>
      </c>
      <c r="I894" t="str">
        <f t="shared" si="13"/>
        <v>833_1</v>
      </c>
      <c r="J894" t="s">
        <v>214</v>
      </c>
      <c r="K894" t="s">
        <v>19</v>
      </c>
      <c r="L894" t="str">
        <f>_xlfn.XLOOKUP(C894, Table2[Species],Table2[Genus], "Code Not Found")</f>
        <v>Acer</v>
      </c>
      <c r="M894" t="str">
        <f>_xlfn.XLOOKUP(C894, Table2[Species],Table2[Sp. Name], "Code Not Found")</f>
        <v>saccharum</v>
      </c>
      <c r="N894" t="str">
        <f>_xlfn.XLOOKUP(C894,Table2[Species],Table2[Family],"Code Not Found")</f>
        <v>Sapindaceae</v>
      </c>
      <c r="O894" t="str" cm="1">
        <f t="array" ref="O894">_xlfn.IFS(F894="","",F894&lt;=5,"0 to 5",F894&lt;=10,"5.1 to 10",F894&lt;=20,"10 to 20", F894&lt;= 40, "20 to 40", F894 &lt;= 50, "40 to 50", F894 &gt; 50, "&gt;50" )</f>
        <v>0 to 5</v>
      </c>
    </row>
    <row r="895" spans="1:15" ht="14.4" x14ac:dyDescent="0.3">
      <c r="A895" t="s">
        <v>213</v>
      </c>
      <c r="B895" s="1">
        <v>46184</v>
      </c>
      <c r="C895" t="s">
        <v>16</v>
      </c>
      <c r="D895">
        <v>834</v>
      </c>
      <c r="E895">
        <v>1</v>
      </c>
      <c r="F895">
        <v>5.7</v>
      </c>
      <c r="G895" t="s">
        <v>21</v>
      </c>
      <c r="I895" t="str">
        <f t="shared" si="13"/>
        <v>834_1</v>
      </c>
      <c r="J895" t="s">
        <v>214</v>
      </c>
      <c r="K895" t="s">
        <v>19</v>
      </c>
      <c r="L895" t="str">
        <f>_xlfn.XLOOKUP(C895, Table2[Species],Table2[Genus], "Code Not Found")</f>
        <v>Acer</v>
      </c>
      <c r="M895" t="str">
        <f>_xlfn.XLOOKUP(C895, Table2[Species],Table2[Sp. Name], "Code Not Found")</f>
        <v>saccharum</v>
      </c>
      <c r="N895" t="str">
        <f>_xlfn.XLOOKUP(C895,Table2[Species],Table2[Family],"Code Not Found")</f>
        <v>Sapindaceae</v>
      </c>
      <c r="O895" t="str" cm="1">
        <f t="array" ref="O895">_xlfn.IFS(F895="","",F895&lt;=5,"0 to 5",F895&lt;=10,"5.1 to 10",F895&lt;=20,"10 to 20", F895&lt;= 40, "20 to 40", F895 &lt;= 50, "40 to 50", F895 &gt; 50, "&gt;50" )</f>
        <v>5.1 to 10</v>
      </c>
    </row>
    <row r="896" spans="1:15" ht="14.4" x14ac:dyDescent="0.3">
      <c r="A896" t="s">
        <v>213</v>
      </c>
      <c r="B896" s="1">
        <v>46184</v>
      </c>
      <c r="C896" t="s">
        <v>16</v>
      </c>
      <c r="D896">
        <v>835</v>
      </c>
      <c r="E896">
        <v>1</v>
      </c>
      <c r="F896">
        <v>4.2</v>
      </c>
      <c r="G896" t="s">
        <v>21</v>
      </c>
      <c r="I896" t="str">
        <f t="shared" si="13"/>
        <v>835_1</v>
      </c>
      <c r="J896" t="s">
        <v>214</v>
      </c>
      <c r="K896" t="s">
        <v>19</v>
      </c>
      <c r="L896" t="str">
        <f>_xlfn.XLOOKUP(C896, Table2[Species],Table2[Genus], "Code Not Found")</f>
        <v>Acer</v>
      </c>
      <c r="M896" t="str">
        <f>_xlfn.XLOOKUP(C896, Table2[Species],Table2[Sp. Name], "Code Not Found")</f>
        <v>saccharum</v>
      </c>
      <c r="N896" t="str">
        <f>_xlfn.XLOOKUP(C896,Table2[Species],Table2[Family],"Code Not Found")</f>
        <v>Sapindaceae</v>
      </c>
      <c r="O896" t="str" cm="1">
        <f t="array" ref="O896">_xlfn.IFS(F896="","",F896&lt;=5,"0 to 5",F896&lt;=10,"5.1 to 10",F896&lt;=20,"10 to 20", F896&lt;= 40, "20 to 40", F896 &lt;= 50, "40 to 50", F896 &gt; 50, "&gt;50" )</f>
        <v>0 to 5</v>
      </c>
    </row>
    <row r="897" spans="1:15" ht="14.4" x14ac:dyDescent="0.3">
      <c r="A897" t="s">
        <v>213</v>
      </c>
      <c r="B897" s="1">
        <v>46184</v>
      </c>
      <c r="C897" t="s">
        <v>24</v>
      </c>
      <c r="D897">
        <v>836</v>
      </c>
      <c r="E897">
        <v>1</v>
      </c>
      <c r="F897">
        <v>28.4</v>
      </c>
      <c r="G897" t="s">
        <v>21</v>
      </c>
      <c r="I897" t="str">
        <f t="shared" si="13"/>
        <v>836_1</v>
      </c>
      <c r="J897" t="s">
        <v>214</v>
      </c>
      <c r="K897" t="s">
        <v>19</v>
      </c>
      <c r="L897" t="str">
        <f>_xlfn.XLOOKUP(C897, Table2[Species],Table2[Genus], "Code Not Found")</f>
        <v>Lirodendron</v>
      </c>
      <c r="M897" t="str">
        <f>_xlfn.XLOOKUP(C897, Table2[Species],Table2[Sp. Name], "Code Not Found")</f>
        <v>tulipfera</v>
      </c>
      <c r="N897" t="str">
        <f>_xlfn.XLOOKUP(C897,Table2[Species],Table2[Family],"Code Not Found")</f>
        <v>Magnoliaceae</v>
      </c>
      <c r="O897" t="str" cm="1">
        <f t="array" ref="O897">_xlfn.IFS(F897="","",F897&lt;=5,"0 to 5",F897&lt;=10,"5.1 to 10",F897&lt;=20,"10 to 20", F897&lt;= 40, "20 to 40", F897 &lt;= 50, "40 to 50", F897 &gt; 50, "&gt;50" )</f>
        <v>20 to 40</v>
      </c>
    </row>
    <row r="898" spans="1:15" ht="14.4" x14ac:dyDescent="0.3">
      <c r="A898" t="s">
        <v>213</v>
      </c>
      <c r="B898" s="1">
        <v>46184</v>
      </c>
      <c r="C898" t="s">
        <v>16</v>
      </c>
      <c r="D898">
        <v>837</v>
      </c>
      <c r="E898">
        <v>1</v>
      </c>
      <c r="F898">
        <v>1.9</v>
      </c>
      <c r="G898" t="s">
        <v>21</v>
      </c>
      <c r="I898" t="str">
        <f t="shared" ref="I898:I940" si="14">D898&amp;"_"&amp;E898</f>
        <v>837_1</v>
      </c>
      <c r="J898" t="s">
        <v>214</v>
      </c>
      <c r="K898" t="s">
        <v>19</v>
      </c>
      <c r="L898" t="str">
        <f>_xlfn.XLOOKUP(C898, Table2[Species],Table2[Genus], "Code Not Found")</f>
        <v>Acer</v>
      </c>
      <c r="M898" t="str">
        <f>_xlfn.XLOOKUP(C898, Table2[Species],Table2[Sp. Name], "Code Not Found")</f>
        <v>saccharum</v>
      </c>
      <c r="N898" t="str">
        <f>_xlfn.XLOOKUP(C898,Table2[Species],Table2[Family],"Code Not Found")</f>
        <v>Sapindaceae</v>
      </c>
      <c r="O898" t="str" cm="1">
        <f t="array" ref="O898">_xlfn.IFS(F898="","",F898&lt;=5,"0 to 5",F898&lt;=10,"5.1 to 10",F898&lt;=20,"10 to 20", F898&lt;= 40, "20 to 40", F898 &lt;= 50, "40 to 50", F898 &gt; 50, "&gt;50" )</f>
        <v>0 to 5</v>
      </c>
    </row>
    <row r="899" spans="1:15" ht="14.4" x14ac:dyDescent="0.3">
      <c r="A899" t="s">
        <v>213</v>
      </c>
      <c r="B899" s="1">
        <v>46184</v>
      </c>
      <c r="C899" t="s">
        <v>16</v>
      </c>
      <c r="D899">
        <v>838</v>
      </c>
      <c r="E899">
        <v>1</v>
      </c>
      <c r="F899">
        <v>4.5999999999999996</v>
      </c>
      <c r="G899" t="s">
        <v>21</v>
      </c>
      <c r="I899" t="str">
        <f t="shared" si="14"/>
        <v>838_1</v>
      </c>
      <c r="J899" t="s">
        <v>214</v>
      </c>
      <c r="K899" t="s">
        <v>19</v>
      </c>
      <c r="L899" t="str">
        <f>_xlfn.XLOOKUP(C899, Table2[Species],Table2[Genus], "Code Not Found")</f>
        <v>Acer</v>
      </c>
      <c r="M899" t="str">
        <f>_xlfn.XLOOKUP(C899, Table2[Species],Table2[Sp. Name], "Code Not Found")</f>
        <v>saccharum</v>
      </c>
      <c r="N899" t="str">
        <f>_xlfn.XLOOKUP(C899,Table2[Species],Table2[Family],"Code Not Found")</f>
        <v>Sapindaceae</v>
      </c>
      <c r="O899" t="str" cm="1">
        <f t="array" ref="O899">_xlfn.IFS(F899="","",F899&lt;=5,"0 to 5",F899&lt;=10,"5.1 to 10",F899&lt;=20,"10 to 20", F899&lt;= 40, "20 to 40", F899 &lt;= 50, "40 to 50", F899 &gt; 50, "&gt;50" )</f>
        <v>0 to 5</v>
      </c>
    </row>
    <row r="900" spans="1:15" ht="14.4" x14ac:dyDescent="0.3">
      <c r="A900" t="s">
        <v>213</v>
      </c>
      <c r="B900" s="1">
        <v>46184</v>
      </c>
      <c r="C900" t="s">
        <v>16</v>
      </c>
      <c r="D900">
        <v>839</v>
      </c>
      <c r="E900">
        <v>1</v>
      </c>
      <c r="F900">
        <v>2</v>
      </c>
      <c r="G900" t="s">
        <v>21</v>
      </c>
      <c r="I900" t="str">
        <f t="shared" si="14"/>
        <v>839_1</v>
      </c>
      <c r="J900" t="s">
        <v>214</v>
      </c>
      <c r="K900" t="s">
        <v>19</v>
      </c>
      <c r="L900" t="str">
        <f>_xlfn.XLOOKUP(C900, Table2[Species],Table2[Genus], "Code Not Found")</f>
        <v>Acer</v>
      </c>
      <c r="M900" t="str">
        <f>_xlfn.XLOOKUP(C900, Table2[Species],Table2[Sp. Name], "Code Not Found")</f>
        <v>saccharum</v>
      </c>
      <c r="N900" t="str">
        <f>_xlfn.XLOOKUP(C900,Table2[Species],Table2[Family],"Code Not Found")</f>
        <v>Sapindaceae</v>
      </c>
      <c r="O900" t="str" cm="1">
        <f t="array" ref="O900">_xlfn.IFS(F900="","",F900&lt;=5,"0 to 5",F900&lt;=10,"5.1 to 10",F900&lt;=20,"10 to 20", F900&lt;= 40, "20 to 40", F900 &lt;= 50, "40 to 50", F900 &gt; 50, "&gt;50" )</f>
        <v>0 to 5</v>
      </c>
    </row>
    <row r="901" spans="1:15" ht="14.4" x14ac:dyDescent="0.3">
      <c r="A901" t="s">
        <v>213</v>
      </c>
      <c r="B901" s="1">
        <v>46184</v>
      </c>
      <c r="C901" t="s">
        <v>16</v>
      </c>
      <c r="D901">
        <v>840</v>
      </c>
      <c r="E901">
        <v>1</v>
      </c>
      <c r="F901">
        <v>4.0999999999999996</v>
      </c>
      <c r="G901" t="s">
        <v>17</v>
      </c>
      <c r="H901" t="s">
        <v>36</v>
      </c>
      <c r="I901" t="str">
        <f t="shared" si="14"/>
        <v>840_1</v>
      </c>
      <c r="J901" t="s">
        <v>214</v>
      </c>
      <c r="K901" t="s">
        <v>19</v>
      </c>
      <c r="L901" t="str">
        <f>_xlfn.XLOOKUP(C901, Table2[Species],Table2[Genus], "Code Not Found")</f>
        <v>Acer</v>
      </c>
      <c r="M901" t="str">
        <f>_xlfn.XLOOKUP(C901, Table2[Species],Table2[Sp. Name], "Code Not Found")</f>
        <v>saccharum</v>
      </c>
      <c r="N901" t="str">
        <f>_xlfn.XLOOKUP(C901,Table2[Species],Table2[Family],"Code Not Found")</f>
        <v>Sapindaceae</v>
      </c>
      <c r="O901" t="str" cm="1">
        <f t="array" ref="O901">_xlfn.IFS(F901="","",F901&lt;=5,"0 to 5",F901&lt;=10,"5.1 to 10",F901&lt;=20,"10 to 20", F901&lt;= 40, "20 to 40", F901 &lt;= 50, "40 to 50", F901 &gt; 50, "&gt;50" )</f>
        <v>0 to 5</v>
      </c>
    </row>
    <row r="902" spans="1:15" ht="14.4" x14ac:dyDescent="0.3">
      <c r="A902" t="s">
        <v>213</v>
      </c>
      <c r="B902" s="1">
        <v>46184</v>
      </c>
      <c r="C902" t="s">
        <v>22</v>
      </c>
      <c r="D902">
        <v>841</v>
      </c>
      <c r="E902">
        <v>1</v>
      </c>
      <c r="F902">
        <v>14.1</v>
      </c>
      <c r="G902" t="s">
        <v>21</v>
      </c>
      <c r="I902" t="str">
        <f t="shared" si="14"/>
        <v>841_1</v>
      </c>
      <c r="J902" t="s">
        <v>214</v>
      </c>
      <c r="K902" t="s">
        <v>19</v>
      </c>
      <c r="L902" t="str">
        <f>_xlfn.XLOOKUP(C902, Table2[Species],Table2[Genus], "Code Not Found")</f>
        <v>Acer</v>
      </c>
      <c r="M902" t="str">
        <f>_xlfn.XLOOKUP(C902, Table2[Species],Table2[Sp. Name], "Code Not Found")</f>
        <v>rubrum</v>
      </c>
      <c r="N902" t="str">
        <f>_xlfn.XLOOKUP(C902,Table2[Species],Table2[Family],"Code Not Found")</f>
        <v>Sapindaceae</v>
      </c>
      <c r="O902" t="str" cm="1">
        <f t="array" ref="O902">_xlfn.IFS(F902="","",F902&lt;=5,"0 to 5",F902&lt;=10,"5.1 to 10",F902&lt;=20,"10 to 20", F902&lt;= 40, "20 to 40", F902 &lt;= 50, "40 to 50", F902 &gt; 50, "&gt;50" )</f>
        <v>10 to 20</v>
      </c>
    </row>
    <row r="903" spans="1:15" ht="14.4" x14ac:dyDescent="0.3">
      <c r="A903" t="s">
        <v>213</v>
      </c>
      <c r="B903" s="1">
        <v>46184</v>
      </c>
      <c r="C903" t="s">
        <v>16</v>
      </c>
      <c r="D903">
        <v>842</v>
      </c>
      <c r="E903">
        <v>1</v>
      </c>
      <c r="F903">
        <v>5</v>
      </c>
      <c r="G903" t="s">
        <v>21</v>
      </c>
      <c r="I903" t="str">
        <f t="shared" si="14"/>
        <v>842_1</v>
      </c>
      <c r="J903" t="s">
        <v>214</v>
      </c>
      <c r="K903" t="s">
        <v>19</v>
      </c>
      <c r="L903" t="str">
        <f>_xlfn.XLOOKUP(C903, Table2[Species],Table2[Genus], "Code Not Found")</f>
        <v>Acer</v>
      </c>
      <c r="M903" t="str">
        <f>_xlfn.XLOOKUP(C903, Table2[Species],Table2[Sp. Name], "Code Not Found")</f>
        <v>saccharum</v>
      </c>
      <c r="N903" t="str">
        <f>_xlfn.XLOOKUP(C903,Table2[Species],Table2[Family],"Code Not Found")</f>
        <v>Sapindaceae</v>
      </c>
      <c r="O903" t="str" cm="1">
        <f t="array" ref="O903">_xlfn.IFS(F903="","",F903&lt;=5,"0 to 5",F903&lt;=10,"5.1 to 10",F903&lt;=20,"10 to 20", F903&lt;= 40, "20 to 40", F903 &lt;= 50, "40 to 50", F903 &gt; 50, "&gt;50" )</f>
        <v>0 to 5</v>
      </c>
    </row>
    <row r="904" spans="1:15" ht="14.4" x14ac:dyDescent="0.3">
      <c r="A904" t="s">
        <v>213</v>
      </c>
      <c r="B904" s="1">
        <v>46184</v>
      </c>
      <c r="C904" t="s">
        <v>16</v>
      </c>
      <c r="D904">
        <v>843</v>
      </c>
      <c r="E904">
        <v>1</v>
      </c>
      <c r="F904">
        <v>33.1</v>
      </c>
      <c r="G904" t="s">
        <v>21</v>
      </c>
      <c r="I904" t="str">
        <f t="shared" si="14"/>
        <v>843_1</v>
      </c>
      <c r="J904" t="s">
        <v>214</v>
      </c>
      <c r="K904" t="s">
        <v>19</v>
      </c>
      <c r="L904" t="str">
        <f>_xlfn.XLOOKUP(C904, Table2[Species],Table2[Genus], "Code Not Found")</f>
        <v>Acer</v>
      </c>
      <c r="M904" t="str">
        <f>_xlfn.XLOOKUP(C904, Table2[Species],Table2[Sp. Name], "Code Not Found")</f>
        <v>saccharum</v>
      </c>
      <c r="N904" t="str">
        <f>_xlfn.XLOOKUP(C904,Table2[Species],Table2[Family],"Code Not Found")</f>
        <v>Sapindaceae</v>
      </c>
      <c r="O904" t="str" cm="1">
        <f t="array" ref="O904">_xlfn.IFS(F904="","",F904&lt;=5,"0 to 5",F904&lt;=10,"5.1 to 10",F904&lt;=20,"10 to 20", F904&lt;= 40, "20 to 40", F904 &lt;= 50, "40 to 50", F904 &gt; 50, "&gt;50" )</f>
        <v>20 to 40</v>
      </c>
    </row>
    <row r="905" spans="1:15" ht="14.4" x14ac:dyDescent="0.3">
      <c r="A905" t="s">
        <v>213</v>
      </c>
      <c r="B905" s="1">
        <v>46184</v>
      </c>
      <c r="C905" t="s">
        <v>64</v>
      </c>
      <c r="D905">
        <v>844</v>
      </c>
      <c r="E905">
        <v>1</v>
      </c>
      <c r="F905">
        <v>5.8</v>
      </c>
      <c r="G905" t="s">
        <v>21</v>
      </c>
      <c r="I905" t="str">
        <f t="shared" si="14"/>
        <v>844_1</v>
      </c>
      <c r="J905" t="s">
        <v>214</v>
      </c>
      <c r="K905" t="s">
        <v>19</v>
      </c>
      <c r="L905" t="str">
        <f>_xlfn.XLOOKUP(C905, Table2[Species],Table2[Genus], "Code Not Found")</f>
        <v>Fagus</v>
      </c>
      <c r="M905" t="str">
        <f>_xlfn.XLOOKUP(C905, Table2[Species],Table2[Sp. Name], "Code Not Found")</f>
        <v>grandifolia</v>
      </c>
      <c r="N905" t="str">
        <f>_xlfn.XLOOKUP(C905,Table2[Species],Table2[Family],"Code Not Found")</f>
        <v>Fagaceae</v>
      </c>
      <c r="O905" t="str" cm="1">
        <f t="array" ref="O905">_xlfn.IFS(F905="","",F905&lt;=5,"0 to 5",F905&lt;=10,"5.1 to 10",F905&lt;=20,"10 to 20", F905&lt;= 40, "20 to 40", F905 &lt;= 50, "40 to 50", F905 &gt; 50, "&gt;50" )</f>
        <v>5.1 to 10</v>
      </c>
    </row>
    <row r="906" spans="1:15" ht="14.4" x14ac:dyDescent="0.3">
      <c r="A906" t="s">
        <v>213</v>
      </c>
      <c r="B906" s="1">
        <v>46184</v>
      </c>
      <c r="C906" t="s">
        <v>16</v>
      </c>
      <c r="D906">
        <v>845</v>
      </c>
      <c r="E906">
        <v>1</v>
      </c>
      <c r="F906">
        <v>13.3</v>
      </c>
      <c r="G906" t="s">
        <v>21</v>
      </c>
      <c r="I906" t="str">
        <f t="shared" si="14"/>
        <v>845_1</v>
      </c>
      <c r="J906" t="s">
        <v>214</v>
      </c>
      <c r="K906" t="s">
        <v>19</v>
      </c>
      <c r="L906" t="str">
        <f>_xlfn.XLOOKUP(C906, Table2[Species],Table2[Genus], "Code Not Found")</f>
        <v>Acer</v>
      </c>
      <c r="M906" t="str">
        <f>_xlfn.XLOOKUP(C906, Table2[Species],Table2[Sp. Name], "Code Not Found")</f>
        <v>saccharum</v>
      </c>
      <c r="N906" t="str">
        <f>_xlfn.XLOOKUP(C906,Table2[Species],Table2[Family],"Code Not Found")</f>
        <v>Sapindaceae</v>
      </c>
      <c r="O906" t="str" cm="1">
        <f t="array" ref="O906">_xlfn.IFS(F906="","",F906&lt;=5,"0 to 5",F906&lt;=10,"5.1 to 10",F906&lt;=20,"10 to 20", F906&lt;= 40, "20 to 40", F906 &lt;= 50, "40 to 50", F906 &gt; 50, "&gt;50" )</f>
        <v>10 to 20</v>
      </c>
    </row>
    <row r="907" spans="1:15" ht="14.4" x14ac:dyDescent="0.3">
      <c r="A907" t="s">
        <v>213</v>
      </c>
      <c r="B907" s="1">
        <v>46184</v>
      </c>
      <c r="C907" t="s">
        <v>22</v>
      </c>
      <c r="D907">
        <v>846</v>
      </c>
      <c r="E907">
        <v>1</v>
      </c>
      <c r="F907">
        <v>20.6</v>
      </c>
      <c r="G907" t="s">
        <v>21</v>
      </c>
      <c r="I907" t="str">
        <f t="shared" si="14"/>
        <v>846_1</v>
      </c>
      <c r="J907" t="s">
        <v>214</v>
      </c>
      <c r="K907" t="s">
        <v>19</v>
      </c>
      <c r="L907" t="str">
        <f>_xlfn.XLOOKUP(C907, Table2[Species],Table2[Genus], "Code Not Found")</f>
        <v>Acer</v>
      </c>
      <c r="M907" t="str">
        <f>_xlfn.XLOOKUP(C907, Table2[Species],Table2[Sp. Name], "Code Not Found")</f>
        <v>rubrum</v>
      </c>
      <c r="N907" t="str">
        <f>_xlfn.XLOOKUP(C907,Table2[Species],Table2[Family],"Code Not Found")</f>
        <v>Sapindaceae</v>
      </c>
      <c r="O907" t="str" cm="1">
        <f t="array" ref="O907">_xlfn.IFS(F907="","",F907&lt;=5,"0 to 5",F907&lt;=10,"5.1 to 10",F907&lt;=20,"10 to 20", F907&lt;= 40, "20 to 40", F907 &lt;= 50, "40 to 50", F907 &gt; 50, "&gt;50" )</f>
        <v>20 to 40</v>
      </c>
    </row>
    <row r="908" spans="1:15" ht="14.4" x14ac:dyDescent="0.3">
      <c r="A908" t="s">
        <v>213</v>
      </c>
      <c r="B908" s="1">
        <v>46184</v>
      </c>
      <c r="C908" t="s">
        <v>22</v>
      </c>
      <c r="D908">
        <v>847</v>
      </c>
      <c r="E908">
        <v>1</v>
      </c>
      <c r="F908">
        <v>20.100000000000001</v>
      </c>
      <c r="G908" t="s">
        <v>21</v>
      </c>
      <c r="I908" t="str">
        <f t="shared" si="14"/>
        <v>847_1</v>
      </c>
      <c r="J908" t="s">
        <v>214</v>
      </c>
      <c r="K908" t="s">
        <v>19</v>
      </c>
      <c r="L908" t="str">
        <f>_xlfn.XLOOKUP(C908, Table2[Species],Table2[Genus], "Code Not Found")</f>
        <v>Acer</v>
      </c>
      <c r="M908" t="str">
        <f>_xlfn.XLOOKUP(C908, Table2[Species],Table2[Sp. Name], "Code Not Found")</f>
        <v>rubrum</v>
      </c>
      <c r="N908" t="str">
        <f>_xlfn.XLOOKUP(C908,Table2[Species],Table2[Family],"Code Not Found")</f>
        <v>Sapindaceae</v>
      </c>
      <c r="O908" t="str" cm="1">
        <f t="array" ref="O908">_xlfn.IFS(F908="","",F908&lt;=5,"0 to 5",F908&lt;=10,"5.1 to 10",F908&lt;=20,"10 to 20", F908&lt;= 40, "20 to 40", F908 &lt;= 50, "40 to 50", F908 &gt; 50, "&gt;50" )</f>
        <v>20 to 40</v>
      </c>
    </row>
    <row r="909" spans="1:15" ht="14.4" x14ac:dyDescent="0.3">
      <c r="A909" t="s">
        <v>213</v>
      </c>
      <c r="B909" s="1">
        <v>46184</v>
      </c>
      <c r="C909" t="s">
        <v>16</v>
      </c>
      <c r="D909">
        <v>848</v>
      </c>
      <c r="E909">
        <v>1</v>
      </c>
      <c r="F909">
        <v>2.2000000000000002</v>
      </c>
      <c r="G909" t="s">
        <v>47</v>
      </c>
      <c r="I909" t="str">
        <f t="shared" si="14"/>
        <v>848_1</v>
      </c>
      <c r="J909" t="s">
        <v>214</v>
      </c>
      <c r="K909" t="s">
        <v>19</v>
      </c>
      <c r="L909" t="str">
        <f>_xlfn.XLOOKUP(C909, Table2[Species],Table2[Genus], "Code Not Found")</f>
        <v>Acer</v>
      </c>
      <c r="M909" t="str">
        <f>_xlfn.XLOOKUP(C909, Table2[Species],Table2[Sp. Name], "Code Not Found")</f>
        <v>saccharum</v>
      </c>
      <c r="N909" t="str">
        <f>_xlfn.XLOOKUP(C909,Table2[Species],Table2[Family],"Code Not Found")</f>
        <v>Sapindaceae</v>
      </c>
      <c r="O909" t="str" cm="1">
        <f t="array" ref="O909">_xlfn.IFS(F909="","",F909&lt;=5,"0 to 5",F909&lt;=10,"5.1 to 10",F909&lt;=20,"10 to 20", F909&lt;= 40, "20 to 40", F909 &lt;= 50, "40 to 50", F909 &gt; 50, "&gt;50" )</f>
        <v>0 to 5</v>
      </c>
    </row>
    <row r="910" spans="1:15" ht="14.4" x14ac:dyDescent="0.3">
      <c r="A910" t="s">
        <v>213</v>
      </c>
      <c r="B910" s="1">
        <v>46184</v>
      </c>
      <c r="C910" t="s">
        <v>22</v>
      </c>
      <c r="D910">
        <v>849</v>
      </c>
      <c r="E910">
        <v>1</v>
      </c>
      <c r="F910">
        <v>8.8000000000000007</v>
      </c>
      <c r="G910" t="s">
        <v>21</v>
      </c>
      <c r="I910" t="str">
        <f t="shared" si="14"/>
        <v>849_1</v>
      </c>
      <c r="J910" t="s">
        <v>214</v>
      </c>
      <c r="K910" t="s">
        <v>19</v>
      </c>
      <c r="L910" t="str">
        <f>_xlfn.XLOOKUP(C910, Table2[Species],Table2[Genus], "Code Not Found")</f>
        <v>Acer</v>
      </c>
      <c r="M910" t="str">
        <f>_xlfn.XLOOKUP(C910, Table2[Species],Table2[Sp. Name], "Code Not Found")</f>
        <v>rubrum</v>
      </c>
      <c r="N910" t="str">
        <f>_xlfn.XLOOKUP(C910,Table2[Species],Table2[Family],"Code Not Found")</f>
        <v>Sapindaceae</v>
      </c>
      <c r="O910" t="str" cm="1">
        <f t="array" ref="O910">_xlfn.IFS(F910="","",F910&lt;=5,"0 to 5",F910&lt;=10,"5.1 to 10",F910&lt;=20,"10 to 20", F910&lt;= 40, "20 to 40", F910 &lt;= 50, "40 to 50", F910 &gt; 50, "&gt;50" )</f>
        <v>5.1 to 10</v>
      </c>
    </row>
    <row r="911" spans="1:15" ht="14.4" x14ac:dyDescent="0.3">
      <c r="A911" t="s">
        <v>213</v>
      </c>
      <c r="B911" s="1">
        <v>46184</v>
      </c>
      <c r="C911" t="s">
        <v>16</v>
      </c>
      <c r="D911">
        <v>850</v>
      </c>
      <c r="E911">
        <v>1</v>
      </c>
      <c r="F911">
        <v>1.9</v>
      </c>
      <c r="G911" t="s">
        <v>21</v>
      </c>
      <c r="I911" t="str">
        <f t="shared" si="14"/>
        <v>850_1</v>
      </c>
      <c r="J911" t="s">
        <v>214</v>
      </c>
      <c r="K911" t="s">
        <v>19</v>
      </c>
      <c r="L911" t="str">
        <f>_xlfn.XLOOKUP(C911, Table2[Species],Table2[Genus], "Code Not Found")</f>
        <v>Acer</v>
      </c>
      <c r="M911" t="str">
        <f>_xlfn.XLOOKUP(C911, Table2[Species],Table2[Sp. Name], "Code Not Found")</f>
        <v>saccharum</v>
      </c>
      <c r="N911" t="str">
        <f>_xlfn.XLOOKUP(C911,Table2[Species],Table2[Family],"Code Not Found")</f>
        <v>Sapindaceae</v>
      </c>
      <c r="O911" t="str" cm="1">
        <f t="array" ref="O911">_xlfn.IFS(F911="","",F911&lt;=5,"0 to 5",F911&lt;=10,"5.1 to 10",F911&lt;=20,"10 to 20", F911&lt;= 40, "20 to 40", F911 &lt;= 50, "40 to 50", F911 &gt; 50, "&gt;50" )</f>
        <v>0 to 5</v>
      </c>
    </row>
    <row r="912" spans="1:15" ht="14.4" x14ac:dyDescent="0.3">
      <c r="A912" t="s">
        <v>213</v>
      </c>
      <c r="B912" s="1">
        <v>46184</v>
      </c>
      <c r="C912" t="s">
        <v>22</v>
      </c>
      <c r="D912">
        <v>851</v>
      </c>
      <c r="E912">
        <v>1</v>
      </c>
      <c r="F912">
        <v>16.100000000000001</v>
      </c>
      <c r="G912" t="s">
        <v>21</v>
      </c>
      <c r="I912" t="str">
        <f t="shared" si="14"/>
        <v>851_1</v>
      </c>
      <c r="J912" t="s">
        <v>214</v>
      </c>
      <c r="K912" t="s">
        <v>19</v>
      </c>
      <c r="L912" t="str">
        <f>_xlfn.XLOOKUP(C912, Table2[Species],Table2[Genus], "Code Not Found")</f>
        <v>Acer</v>
      </c>
      <c r="M912" t="str">
        <f>_xlfn.XLOOKUP(C912, Table2[Species],Table2[Sp. Name], "Code Not Found")</f>
        <v>rubrum</v>
      </c>
      <c r="N912" t="str">
        <f>_xlfn.XLOOKUP(C912,Table2[Species],Table2[Family],"Code Not Found")</f>
        <v>Sapindaceae</v>
      </c>
      <c r="O912" t="str" cm="1">
        <f t="array" ref="O912">_xlfn.IFS(F912="","",F912&lt;=5,"0 to 5",F912&lt;=10,"5.1 to 10",F912&lt;=20,"10 to 20", F912&lt;= 40, "20 to 40", F912 &lt;= 50, "40 to 50", F912 &gt; 50, "&gt;50" )</f>
        <v>10 to 20</v>
      </c>
    </row>
    <row r="913" spans="1:15" ht="14.4" x14ac:dyDescent="0.3">
      <c r="A913" t="s">
        <v>213</v>
      </c>
      <c r="B913" s="1">
        <v>46184</v>
      </c>
      <c r="C913" t="s">
        <v>22</v>
      </c>
      <c r="D913">
        <v>852</v>
      </c>
      <c r="E913">
        <v>1</v>
      </c>
      <c r="F913">
        <v>20.3</v>
      </c>
      <c r="G913" t="s">
        <v>21</v>
      </c>
      <c r="I913" t="str">
        <f t="shared" si="14"/>
        <v>852_1</v>
      </c>
      <c r="J913" t="s">
        <v>214</v>
      </c>
      <c r="K913" t="s">
        <v>19</v>
      </c>
      <c r="L913" t="str">
        <f>_xlfn.XLOOKUP(C913, Table2[Species],Table2[Genus], "Code Not Found")</f>
        <v>Acer</v>
      </c>
      <c r="M913" t="str">
        <f>_xlfn.XLOOKUP(C913, Table2[Species],Table2[Sp. Name], "Code Not Found")</f>
        <v>rubrum</v>
      </c>
      <c r="N913" t="str">
        <f>_xlfn.XLOOKUP(C913,Table2[Species],Table2[Family],"Code Not Found")</f>
        <v>Sapindaceae</v>
      </c>
      <c r="O913" t="str" cm="1">
        <f t="array" ref="O913">_xlfn.IFS(F913="","",F913&lt;=5,"0 to 5",F913&lt;=10,"5.1 to 10",F913&lt;=20,"10 to 20", F913&lt;= 40, "20 to 40", F913 &lt;= 50, "40 to 50", F913 &gt; 50, "&gt;50" )</f>
        <v>20 to 40</v>
      </c>
    </row>
    <row r="914" spans="1:15" ht="14.4" x14ac:dyDescent="0.3">
      <c r="A914" t="s">
        <v>213</v>
      </c>
      <c r="B914" s="1">
        <v>46184</v>
      </c>
      <c r="C914" t="s">
        <v>64</v>
      </c>
      <c r="D914">
        <v>853</v>
      </c>
      <c r="E914">
        <v>1</v>
      </c>
      <c r="F914">
        <v>5.8</v>
      </c>
      <c r="G914" t="s">
        <v>21</v>
      </c>
      <c r="H914" t="s">
        <v>221</v>
      </c>
      <c r="I914" t="str">
        <f t="shared" si="14"/>
        <v>853_1</v>
      </c>
      <c r="J914" t="s">
        <v>214</v>
      </c>
      <c r="K914" t="s">
        <v>19</v>
      </c>
      <c r="L914" t="str">
        <f>_xlfn.XLOOKUP(C914, Table2[Species],Table2[Genus], "Code Not Found")</f>
        <v>Fagus</v>
      </c>
      <c r="M914" t="str">
        <f>_xlfn.XLOOKUP(C914, Table2[Species],Table2[Sp. Name], "Code Not Found")</f>
        <v>grandifolia</v>
      </c>
      <c r="N914" t="str">
        <f>_xlfn.XLOOKUP(C914,Table2[Species],Table2[Family],"Code Not Found")</f>
        <v>Fagaceae</v>
      </c>
      <c r="O914" t="str" cm="1">
        <f t="array" ref="O914">_xlfn.IFS(F914="","",F914&lt;=5,"0 to 5",F914&lt;=10,"5.1 to 10",F914&lt;=20,"10 to 20", F914&lt;= 40, "20 to 40", F914 &lt;= 50, "40 to 50", F914 &gt; 50, "&gt;50" )</f>
        <v>5.1 to 10</v>
      </c>
    </row>
    <row r="915" spans="1:15" ht="14.4" x14ac:dyDescent="0.3">
      <c r="A915" t="s">
        <v>213</v>
      </c>
      <c r="B915" s="1">
        <v>46184</v>
      </c>
      <c r="C915" t="s">
        <v>22</v>
      </c>
      <c r="D915">
        <v>854</v>
      </c>
      <c r="E915">
        <v>1</v>
      </c>
      <c r="F915">
        <v>39.299999999999997</v>
      </c>
      <c r="G915" t="s">
        <v>21</v>
      </c>
      <c r="I915" t="str">
        <f t="shared" si="14"/>
        <v>854_1</v>
      </c>
      <c r="J915" t="s">
        <v>214</v>
      </c>
      <c r="K915" t="s">
        <v>19</v>
      </c>
      <c r="L915" t="str">
        <f>_xlfn.XLOOKUP(C915, Table2[Species],Table2[Genus], "Code Not Found")</f>
        <v>Acer</v>
      </c>
      <c r="M915" t="str">
        <f>_xlfn.XLOOKUP(C915, Table2[Species],Table2[Sp. Name], "Code Not Found")</f>
        <v>rubrum</v>
      </c>
      <c r="N915" t="str">
        <f>_xlfn.XLOOKUP(C915,Table2[Species],Table2[Family],"Code Not Found")</f>
        <v>Sapindaceae</v>
      </c>
      <c r="O915" t="str" cm="1">
        <f t="array" ref="O915">_xlfn.IFS(F915="","",F915&lt;=5,"0 to 5",F915&lt;=10,"5.1 to 10",F915&lt;=20,"10 to 20", F915&lt;= 40, "20 to 40", F915 &lt;= 50, "40 to 50", F915 &gt; 50, "&gt;50" )</f>
        <v>20 to 40</v>
      </c>
    </row>
    <row r="916" spans="1:15" ht="14.4" x14ac:dyDescent="0.3">
      <c r="A916" t="s">
        <v>213</v>
      </c>
      <c r="B916" s="1">
        <v>46184</v>
      </c>
      <c r="C916" t="s">
        <v>16</v>
      </c>
      <c r="D916">
        <v>855</v>
      </c>
      <c r="E916">
        <v>1</v>
      </c>
      <c r="F916">
        <v>3.1</v>
      </c>
      <c r="G916" t="s">
        <v>21</v>
      </c>
      <c r="I916" t="str">
        <f t="shared" si="14"/>
        <v>855_1</v>
      </c>
      <c r="J916" t="s">
        <v>214</v>
      </c>
      <c r="K916" t="s">
        <v>19</v>
      </c>
      <c r="L916" t="str">
        <f>_xlfn.XLOOKUP(C916, Table2[Species],Table2[Genus], "Code Not Found")</f>
        <v>Acer</v>
      </c>
      <c r="M916" t="str">
        <f>_xlfn.XLOOKUP(C916, Table2[Species],Table2[Sp. Name], "Code Not Found")</f>
        <v>saccharum</v>
      </c>
      <c r="N916" t="str">
        <f>_xlfn.XLOOKUP(C916,Table2[Species],Table2[Family],"Code Not Found")</f>
        <v>Sapindaceae</v>
      </c>
      <c r="O916" t="str" cm="1">
        <f t="array" ref="O916">_xlfn.IFS(F916="","",F916&lt;=5,"0 to 5",F916&lt;=10,"5.1 to 10",F916&lt;=20,"10 to 20", F916&lt;= 40, "20 to 40", F916 &lt;= 50, "40 to 50", F916 &gt; 50, "&gt;50" )</f>
        <v>0 to 5</v>
      </c>
    </row>
    <row r="917" spans="1:15" ht="14.4" x14ac:dyDescent="0.3">
      <c r="A917" t="s">
        <v>213</v>
      </c>
      <c r="B917" s="1">
        <v>46184</v>
      </c>
      <c r="C917" t="s">
        <v>24</v>
      </c>
      <c r="D917">
        <v>856</v>
      </c>
      <c r="E917">
        <v>1</v>
      </c>
      <c r="F917">
        <v>44.6</v>
      </c>
      <c r="G917" t="s">
        <v>21</v>
      </c>
      <c r="I917" t="str">
        <f t="shared" si="14"/>
        <v>856_1</v>
      </c>
      <c r="J917" t="s">
        <v>214</v>
      </c>
      <c r="K917" t="s">
        <v>19</v>
      </c>
      <c r="L917" t="str">
        <f>_xlfn.XLOOKUP(C917, Table2[Species],Table2[Genus], "Code Not Found")</f>
        <v>Lirodendron</v>
      </c>
      <c r="M917" t="str">
        <f>_xlfn.XLOOKUP(C917, Table2[Species],Table2[Sp. Name], "Code Not Found")</f>
        <v>tulipfera</v>
      </c>
      <c r="N917" t="str">
        <f>_xlfn.XLOOKUP(C917,Table2[Species],Table2[Family],"Code Not Found")</f>
        <v>Magnoliaceae</v>
      </c>
      <c r="O917" t="str" cm="1">
        <f t="array" ref="O917">_xlfn.IFS(F917="","",F917&lt;=5,"0 to 5",F917&lt;=10,"5.1 to 10",F917&lt;=20,"10 to 20", F917&lt;= 40, "20 to 40", F917 &lt;= 50, "40 to 50", F917 &gt; 50, "&gt;50" )</f>
        <v>40 to 50</v>
      </c>
    </row>
    <row r="918" spans="1:15" ht="14.4" x14ac:dyDescent="0.3">
      <c r="A918" t="s">
        <v>213</v>
      </c>
      <c r="B918" s="1">
        <v>46184</v>
      </c>
      <c r="C918" t="s">
        <v>24</v>
      </c>
      <c r="D918">
        <v>857</v>
      </c>
      <c r="E918">
        <v>1</v>
      </c>
      <c r="F918">
        <v>42.4</v>
      </c>
      <c r="G918" t="s">
        <v>21</v>
      </c>
      <c r="I918" t="str">
        <f t="shared" si="14"/>
        <v>857_1</v>
      </c>
      <c r="J918" t="s">
        <v>214</v>
      </c>
      <c r="K918" t="s">
        <v>19</v>
      </c>
      <c r="L918" t="str">
        <f>_xlfn.XLOOKUP(C918, Table2[Species],Table2[Genus], "Code Not Found")</f>
        <v>Lirodendron</v>
      </c>
      <c r="M918" t="str">
        <f>_xlfn.XLOOKUP(C918, Table2[Species],Table2[Sp. Name], "Code Not Found")</f>
        <v>tulipfera</v>
      </c>
      <c r="N918" t="str">
        <f>_xlfn.XLOOKUP(C918,Table2[Species],Table2[Family],"Code Not Found")</f>
        <v>Magnoliaceae</v>
      </c>
      <c r="O918" t="str" cm="1">
        <f t="array" ref="O918">_xlfn.IFS(F918="","",F918&lt;=5,"0 to 5",F918&lt;=10,"5.1 to 10",F918&lt;=20,"10 to 20", F918&lt;= 40, "20 to 40", F918 &lt;= 50, "40 to 50", F918 &gt; 50, "&gt;50" )</f>
        <v>40 to 50</v>
      </c>
    </row>
    <row r="919" spans="1:15" ht="14.4" x14ac:dyDescent="0.3">
      <c r="A919" t="s">
        <v>213</v>
      </c>
      <c r="B919" s="1">
        <v>46184</v>
      </c>
      <c r="C919" t="s">
        <v>16</v>
      </c>
      <c r="D919">
        <v>858</v>
      </c>
      <c r="E919">
        <v>1</v>
      </c>
      <c r="F919">
        <v>25.9</v>
      </c>
      <c r="G919" t="s">
        <v>21</v>
      </c>
      <c r="I919" t="str">
        <f t="shared" si="14"/>
        <v>858_1</v>
      </c>
      <c r="J919" t="s">
        <v>214</v>
      </c>
      <c r="K919" t="s">
        <v>19</v>
      </c>
      <c r="L919" t="str">
        <f>_xlfn.XLOOKUP(C919, Table2[Species],Table2[Genus], "Code Not Found")</f>
        <v>Acer</v>
      </c>
      <c r="M919" t="str">
        <f>_xlfn.XLOOKUP(C919, Table2[Species],Table2[Sp. Name], "Code Not Found")</f>
        <v>saccharum</v>
      </c>
      <c r="N919" t="str">
        <f>_xlfn.XLOOKUP(C919,Table2[Species],Table2[Family],"Code Not Found")</f>
        <v>Sapindaceae</v>
      </c>
      <c r="O919" t="str" cm="1">
        <f t="array" ref="O919">_xlfn.IFS(F919="","",F919&lt;=5,"0 to 5",F919&lt;=10,"5.1 to 10",F919&lt;=20,"10 to 20", F919&lt;= 40, "20 to 40", F919 &lt;= 50, "40 to 50", F919 &gt; 50, "&gt;50" )</f>
        <v>20 to 40</v>
      </c>
    </row>
    <row r="920" spans="1:15" ht="14.4" x14ac:dyDescent="0.3">
      <c r="A920" t="s">
        <v>213</v>
      </c>
      <c r="B920" s="1">
        <v>46184</v>
      </c>
      <c r="C920" t="s">
        <v>16</v>
      </c>
      <c r="D920">
        <v>859</v>
      </c>
      <c r="E920">
        <v>1</v>
      </c>
      <c r="F920">
        <v>4.7</v>
      </c>
      <c r="G920" t="s">
        <v>21</v>
      </c>
      <c r="I920" t="str">
        <f t="shared" si="14"/>
        <v>859_1</v>
      </c>
      <c r="J920" t="s">
        <v>214</v>
      </c>
      <c r="K920" t="s">
        <v>19</v>
      </c>
      <c r="L920" t="str">
        <f>_xlfn.XLOOKUP(C920, Table2[Species],Table2[Genus], "Code Not Found")</f>
        <v>Acer</v>
      </c>
      <c r="M920" t="str">
        <f>_xlfn.XLOOKUP(C920, Table2[Species],Table2[Sp. Name], "Code Not Found")</f>
        <v>saccharum</v>
      </c>
      <c r="N920" t="str">
        <f>_xlfn.XLOOKUP(C920,Table2[Species],Table2[Family],"Code Not Found")</f>
        <v>Sapindaceae</v>
      </c>
      <c r="O920" t="str" cm="1">
        <f t="array" ref="O920">_xlfn.IFS(F920="","",F920&lt;=5,"0 to 5",F920&lt;=10,"5.1 to 10",F920&lt;=20,"10 to 20", F920&lt;= 40, "20 to 40", F920 &lt;= 50, "40 to 50", F920 &gt; 50, "&gt;50" )</f>
        <v>0 to 5</v>
      </c>
    </row>
    <row r="921" spans="1:15" ht="14.4" x14ac:dyDescent="0.3">
      <c r="A921" t="s">
        <v>213</v>
      </c>
      <c r="B921" s="1">
        <v>46184</v>
      </c>
      <c r="C921" t="s">
        <v>24</v>
      </c>
      <c r="D921">
        <v>860</v>
      </c>
      <c r="E921">
        <v>1</v>
      </c>
      <c r="F921">
        <v>30.8</v>
      </c>
      <c r="G921" t="s">
        <v>21</v>
      </c>
      <c r="I921" t="str">
        <f t="shared" si="14"/>
        <v>860_1</v>
      </c>
      <c r="J921" t="s">
        <v>214</v>
      </c>
      <c r="K921" t="s">
        <v>19</v>
      </c>
      <c r="L921" t="str">
        <f>_xlfn.XLOOKUP(C921, Table2[Species],Table2[Genus], "Code Not Found")</f>
        <v>Lirodendron</v>
      </c>
      <c r="M921" t="str">
        <f>_xlfn.XLOOKUP(C921, Table2[Species],Table2[Sp. Name], "Code Not Found")</f>
        <v>tulipfera</v>
      </c>
      <c r="N921" t="str">
        <f>_xlfn.XLOOKUP(C921,Table2[Species],Table2[Family],"Code Not Found")</f>
        <v>Magnoliaceae</v>
      </c>
      <c r="O921" t="str" cm="1">
        <f t="array" ref="O921">_xlfn.IFS(F921="","",F921&lt;=5,"0 to 5",F921&lt;=10,"5.1 to 10",F921&lt;=20,"10 to 20", F921&lt;= 40, "20 to 40", F921 &lt;= 50, "40 to 50", F921 &gt; 50, "&gt;50" )</f>
        <v>20 to 40</v>
      </c>
    </row>
    <row r="922" spans="1:15" ht="14.4" x14ac:dyDescent="0.3">
      <c r="A922" t="s">
        <v>213</v>
      </c>
      <c r="B922" s="1">
        <v>46184</v>
      </c>
      <c r="C922" t="s">
        <v>24</v>
      </c>
      <c r="D922">
        <v>861</v>
      </c>
      <c r="E922">
        <v>1</v>
      </c>
      <c r="F922">
        <v>41</v>
      </c>
      <c r="G922" t="s">
        <v>21</v>
      </c>
      <c r="I922" t="str">
        <f t="shared" si="14"/>
        <v>861_1</v>
      </c>
      <c r="J922" t="s">
        <v>214</v>
      </c>
      <c r="K922" t="s">
        <v>19</v>
      </c>
      <c r="L922" t="str">
        <f>_xlfn.XLOOKUP(C922, Table2[Species],Table2[Genus], "Code Not Found")</f>
        <v>Lirodendron</v>
      </c>
      <c r="M922" t="str">
        <f>_xlfn.XLOOKUP(C922, Table2[Species],Table2[Sp. Name], "Code Not Found")</f>
        <v>tulipfera</v>
      </c>
      <c r="N922" t="str">
        <f>_xlfn.XLOOKUP(C922,Table2[Species],Table2[Family],"Code Not Found")</f>
        <v>Magnoliaceae</v>
      </c>
      <c r="O922" t="str" cm="1">
        <f t="array" ref="O922">_xlfn.IFS(F922="","",F922&lt;=5,"0 to 5",F922&lt;=10,"5.1 to 10",F922&lt;=20,"10 to 20", F922&lt;= 40, "20 to 40", F922 &lt;= 50, "40 to 50", F922 &gt; 50, "&gt;50" )</f>
        <v>40 to 50</v>
      </c>
    </row>
    <row r="923" spans="1:15" ht="14.4" x14ac:dyDescent="0.3">
      <c r="A923" t="s">
        <v>213</v>
      </c>
      <c r="B923" s="1">
        <v>46184</v>
      </c>
      <c r="C923" t="s">
        <v>16</v>
      </c>
      <c r="D923">
        <v>862</v>
      </c>
      <c r="E923">
        <v>1</v>
      </c>
      <c r="F923">
        <v>19.3</v>
      </c>
      <c r="G923" t="s">
        <v>17</v>
      </c>
      <c r="I923" t="str">
        <f t="shared" si="14"/>
        <v>862_1</v>
      </c>
      <c r="J923" t="s">
        <v>214</v>
      </c>
      <c r="K923" t="s">
        <v>19</v>
      </c>
      <c r="L923" t="str">
        <f>_xlfn.XLOOKUP(C923, Table2[Species],Table2[Genus], "Code Not Found")</f>
        <v>Acer</v>
      </c>
      <c r="M923" t="str">
        <f>_xlfn.XLOOKUP(C923, Table2[Species],Table2[Sp. Name], "Code Not Found")</f>
        <v>saccharum</v>
      </c>
      <c r="N923" t="str">
        <f>_xlfn.XLOOKUP(C923,Table2[Species],Table2[Family],"Code Not Found")</f>
        <v>Sapindaceae</v>
      </c>
      <c r="O923" t="str" cm="1">
        <f t="array" ref="O923">_xlfn.IFS(F923="","",F923&lt;=5,"0 to 5",F923&lt;=10,"5.1 to 10",F923&lt;=20,"10 to 20", F923&lt;= 40, "20 to 40", F923 &lt;= 50, "40 to 50", F923 &gt; 50, "&gt;50" )</f>
        <v>10 to 20</v>
      </c>
    </row>
    <row r="924" spans="1:15" ht="14.4" x14ac:dyDescent="0.3">
      <c r="A924" t="s">
        <v>213</v>
      </c>
      <c r="B924" s="1">
        <v>46184</v>
      </c>
      <c r="C924" t="s">
        <v>22</v>
      </c>
      <c r="D924">
        <v>863</v>
      </c>
      <c r="E924">
        <v>1</v>
      </c>
      <c r="F924">
        <v>8.1999999999999993</v>
      </c>
      <c r="G924" t="s">
        <v>21</v>
      </c>
      <c r="I924" t="str">
        <f t="shared" si="14"/>
        <v>863_1</v>
      </c>
      <c r="J924" t="s">
        <v>214</v>
      </c>
      <c r="K924" t="s">
        <v>19</v>
      </c>
      <c r="L924" t="str">
        <f>_xlfn.XLOOKUP(C924, Table2[Species],Table2[Genus], "Code Not Found")</f>
        <v>Acer</v>
      </c>
      <c r="M924" t="str">
        <f>_xlfn.XLOOKUP(C924, Table2[Species],Table2[Sp. Name], "Code Not Found")</f>
        <v>rubrum</v>
      </c>
      <c r="N924" t="str">
        <f>_xlfn.XLOOKUP(C924,Table2[Species],Table2[Family],"Code Not Found")</f>
        <v>Sapindaceae</v>
      </c>
      <c r="O924" t="str" cm="1">
        <f t="array" ref="O924">_xlfn.IFS(F924="","",F924&lt;=5,"0 to 5",F924&lt;=10,"5.1 to 10",F924&lt;=20,"10 to 20", F924&lt;= 40, "20 to 40", F924 &lt;= 50, "40 to 50", F924 &gt; 50, "&gt;50" )</f>
        <v>5.1 to 10</v>
      </c>
    </row>
    <row r="925" spans="1:15" ht="14.4" x14ac:dyDescent="0.3">
      <c r="A925" t="s">
        <v>213</v>
      </c>
      <c r="B925" s="1">
        <v>46184</v>
      </c>
      <c r="C925" t="s">
        <v>24</v>
      </c>
      <c r="D925">
        <v>864</v>
      </c>
      <c r="E925">
        <v>1</v>
      </c>
      <c r="F925">
        <v>41.2</v>
      </c>
      <c r="G925" t="s">
        <v>17</v>
      </c>
      <c r="I925" t="str">
        <f t="shared" si="14"/>
        <v>864_1</v>
      </c>
      <c r="J925" t="s">
        <v>214</v>
      </c>
      <c r="K925" t="s">
        <v>19</v>
      </c>
      <c r="L925" t="str">
        <f>_xlfn.XLOOKUP(C925, Table2[Species],Table2[Genus], "Code Not Found")</f>
        <v>Lirodendron</v>
      </c>
      <c r="M925" t="str">
        <f>_xlfn.XLOOKUP(C925, Table2[Species],Table2[Sp. Name], "Code Not Found")</f>
        <v>tulipfera</v>
      </c>
      <c r="N925" t="str">
        <f>_xlfn.XLOOKUP(C925,Table2[Species],Table2[Family],"Code Not Found")</f>
        <v>Magnoliaceae</v>
      </c>
      <c r="O925" t="str" cm="1">
        <f t="array" ref="O925">_xlfn.IFS(F925="","",F925&lt;=5,"0 to 5",F925&lt;=10,"5.1 to 10",F925&lt;=20,"10 to 20", F925&lt;= 40, "20 to 40", F925 &lt;= 50, "40 to 50", F925 &gt; 50, "&gt;50" )</f>
        <v>40 to 50</v>
      </c>
    </row>
    <row r="926" spans="1:15" ht="14.4" x14ac:dyDescent="0.3">
      <c r="A926" t="s">
        <v>213</v>
      </c>
      <c r="B926" s="1">
        <v>46184</v>
      </c>
      <c r="C926" t="s">
        <v>24</v>
      </c>
      <c r="D926">
        <v>865</v>
      </c>
      <c r="E926">
        <v>1</v>
      </c>
      <c r="F926">
        <v>48.1</v>
      </c>
      <c r="G926" t="s">
        <v>21</v>
      </c>
      <c r="I926" t="str">
        <f t="shared" si="14"/>
        <v>865_1</v>
      </c>
      <c r="J926" t="s">
        <v>214</v>
      </c>
      <c r="K926" t="s">
        <v>19</v>
      </c>
      <c r="L926" t="str">
        <f>_xlfn.XLOOKUP(C926, Table2[Species],Table2[Genus], "Code Not Found")</f>
        <v>Lirodendron</v>
      </c>
      <c r="M926" t="str">
        <f>_xlfn.XLOOKUP(C926, Table2[Species],Table2[Sp. Name], "Code Not Found")</f>
        <v>tulipfera</v>
      </c>
      <c r="N926" t="str">
        <f>_xlfn.XLOOKUP(C926,Table2[Species],Table2[Family],"Code Not Found")</f>
        <v>Magnoliaceae</v>
      </c>
      <c r="O926" t="str" cm="1">
        <f t="array" ref="O926">_xlfn.IFS(F926="","",F926&lt;=5,"0 to 5",F926&lt;=10,"5.1 to 10",F926&lt;=20,"10 to 20", F926&lt;= 40, "20 to 40", F926 &lt;= 50, "40 to 50", F926 &gt; 50, "&gt;50" )</f>
        <v>40 to 50</v>
      </c>
    </row>
    <row r="927" spans="1:15" ht="14.4" x14ac:dyDescent="0.3">
      <c r="A927" t="s">
        <v>213</v>
      </c>
      <c r="B927" s="1">
        <v>46184</v>
      </c>
      <c r="C927" t="s">
        <v>64</v>
      </c>
      <c r="D927">
        <v>866</v>
      </c>
      <c r="E927">
        <v>1</v>
      </c>
      <c r="F927">
        <v>2.1</v>
      </c>
      <c r="G927" t="s">
        <v>21</v>
      </c>
      <c r="H927" t="s">
        <v>222</v>
      </c>
      <c r="I927" t="str">
        <f t="shared" si="14"/>
        <v>866_1</v>
      </c>
      <c r="J927" t="s">
        <v>214</v>
      </c>
      <c r="K927" t="s">
        <v>19</v>
      </c>
      <c r="L927" t="str">
        <f>_xlfn.XLOOKUP(C927, Table2[Species],Table2[Genus], "Code Not Found")</f>
        <v>Fagus</v>
      </c>
      <c r="M927" t="str">
        <f>_xlfn.XLOOKUP(C927, Table2[Species],Table2[Sp. Name], "Code Not Found")</f>
        <v>grandifolia</v>
      </c>
      <c r="N927" t="str">
        <f>_xlfn.XLOOKUP(C927,Table2[Species],Table2[Family],"Code Not Found")</f>
        <v>Fagaceae</v>
      </c>
      <c r="O927" t="str" cm="1">
        <f t="array" ref="O927">_xlfn.IFS(F927="","",F927&lt;=5,"0 to 5",F927&lt;=10,"5.1 to 10",F927&lt;=20,"10 to 20", F927&lt;= 40, "20 to 40", F927 &lt;= 50, "40 to 50", F927 &gt; 50, "&gt;50" )</f>
        <v>0 to 5</v>
      </c>
    </row>
    <row r="928" spans="1:15" ht="14.4" x14ac:dyDescent="0.3">
      <c r="A928" t="s">
        <v>213</v>
      </c>
      <c r="B928" s="1">
        <v>46184</v>
      </c>
      <c r="C928" t="s">
        <v>22</v>
      </c>
      <c r="D928">
        <v>867</v>
      </c>
      <c r="E928">
        <v>1</v>
      </c>
      <c r="F928">
        <v>35.1</v>
      </c>
      <c r="G928" t="s">
        <v>21</v>
      </c>
      <c r="I928" t="str">
        <f t="shared" si="14"/>
        <v>867_1</v>
      </c>
      <c r="J928" t="s">
        <v>214</v>
      </c>
      <c r="K928" t="s">
        <v>19</v>
      </c>
      <c r="L928" t="str">
        <f>_xlfn.XLOOKUP(C928, Table2[Species],Table2[Genus], "Code Not Found")</f>
        <v>Acer</v>
      </c>
      <c r="M928" t="str">
        <f>_xlfn.XLOOKUP(C928, Table2[Species],Table2[Sp. Name], "Code Not Found")</f>
        <v>rubrum</v>
      </c>
      <c r="N928" t="str">
        <f>_xlfn.XLOOKUP(C928,Table2[Species],Table2[Family],"Code Not Found")</f>
        <v>Sapindaceae</v>
      </c>
      <c r="O928" t="str" cm="1">
        <f t="array" ref="O928">_xlfn.IFS(F928="","",F928&lt;=5,"0 to 5",F928&lt;=10,"5.1 to 10",F928&lt;=20,"10 to 20", F928&lt;= 40, "20 to 40", F928 &lt;= 50, "40 to 50", F928 &gt; 50, "&gt;50" )</f>
        <v>20 to 40</v>
      </c>
    </row>
    <row r="929" spans="1:15" ht="14.4" x14ac:dyDescent="0.3">
      <c r="A929" t="s">
        <v>213</v>
      </c>
      <c r="B929" s="1">
        <v>46184</v>
      </c>
      <c r="C929" t="s">
        <v>22</v>
      </c>
      <c r="D929">
        <v>868</v>
      </c>
      <c r="E929">
        <v>1</v>
      </c>
      <c r="F929">
        <v>53.2</v>
      </c>
      <c r="G929" t="s">
        <v>21</v>
      </c>
      <c r="I929" t="str">
        <f t="shared" si="14"/>
        <v>868_1</v>
      </c>
      <c r="J929" t="s">
        <v>214</v>
      </c>
      <c r="K929" t="s">
        <v>19</v>
      </c>
      <c r="L929" t="str">
        <f>_xlfn.XLOOKUP(C929, Table2[Species],Table2[Genus], "Code Not Found")</f>
        <v>Acer</v>
      </c>
      <c r="M929" t="str">
        <f>_xlfn.XLOOKUP(C929, Table2[Species],Table2[Sp. Name], "Code Not Found")</f>
        <v>rubrum</v>
      </c>
      <c r="N929" t="str">
        <f>_xlfn.XLOOKUP(C929,Table2[Species],Table2[Family],"Code Not Found")</f>
        <v>Sapindaceae</v>
      </c>
      <c r="O929" t="str" cm="1">
        <f t="array" ref="O929">_xlfn.IFS(F929="","",F929&lt;=5,"0 to 5",F929&lt;=10,"5.1 to 10",F929&lt;=20,"10 to 20", F929&lt;= 40, "20 to 40", F929 &lt;= 50, "40 to 50", F929 &gt; 50, "&gt;50" )</f>
        <v>&gt;50</v>
      </c>
    </row>
    <row r="930" spans="1:15" ht="14.4" x14ac:dyDescent="0.3">
      <c r="A930" t="s">
        <v>213</v>
      </c>
      <c r="B930" s="1">
        <v>46184</v>
      </c>
      <c r="C930" t="s">
        <v>22</v>
      </c>
      <c r="D930">
        <v>869</v>
      </c>
      <c r="E930">
        <v>1</v>
      </c>
      <c r="F930">
        <v>9.1</v>
      </c>
      <c r="G930" t="s">
        <v>21</v>
      </c>
      <c r="I930" t="str">
        <f t="shared" si="14"/>
        <v>869_1</v>
      </c>
      <c r="J930" t="s">
        <v>214</v>
      </c>
      <c r="K930" t="s">
        <v>19</v>
      </c>
      <c r="L930" t="str">
        <f>_xlfn.XLOOKUP(C930, Table2[Species],Table2[Genus], "Code Not Found")</f>
        <v>Acer</v>
      </c>
      <c r="M930" t="str">
        <f>_xlfn.XLOOKUP(C930, Table2[Species],Table2[Sp. Name], "Code Not Found")</f>
        <v>rubrum</v>
      </c>
      <c r="N930" t="str">
        <f>_xlfn.XLOOKUP(C930,Table2[Species],Table2[Family],"Code Not Found")</f>
        <v>Sapindaceae</v>
      </c>
      <c r="O930" t="str" cm="1">
        <f t="array" ref="O930">_xlfn.IFS(F930="","",F930&lt;=5,"0 to 5",F930&lt;=10,"5.1 to 10",F930&lt;=20,"10 to 20", F930&lt;= 40, "20 to 40", F930 &lt;= 50, "40 to 50", F930 &gt; 50, "&gt;50" )</f>
        <v>5.1 to 10</v>
      </c>
    </row>
    <row r="931" spans="1:15" ht="14.4" x14ac:dyDescent="0.3">
      <c r="A931" t="s">
        <v>213</v>
      </c>
      <c r="B931" s="1">
        <v>46184</v>
      </c>
      <c r="C931" t="s">
        <v>24</v>
      </c>
      <c r="D931">
        <v>870</v>
      </c>
      <c r="E931">
        <v>1</v>
      </c>
      <c r="F931">
        <v>29.8</v>
      </c>
      <c r="G931" t="s">
        <v>21</v>
      </c>
      <c r="I931" t="str">
        <f t="shared" si="14"/>
        <v>870_1</v>
      </c>
      <c r="J931" t="s">
        <v>214</v>
      </c>
      <c r="K931" t="s">
        <v>19</v>
      </c>
      <c r="L931" t="str">
        <f>_xlfn.XLOOKUP(C931, Table2[Species],Table2[Genus], "Code Not Found")</f>
        <v>Lirodendron</v>
      </c>
      <c r="M931" t="str">
        <f>_xlfn.XLOOKUP(C931, Table2[Species],Table2[Sp. Name], "Code Not Found")</f>
        <v>tulipfera</v>
      </c>
      <c r="N931" t="str">
        <f>_xlfn.XLOOKUP(C931,Table2[Species],Table2[Family],"Code Not Found")</f>
        <v>Magnoliaceae</v>
      </c>
      <c r="O931" t="str" cm="1">
        <f t="array" ref="O931">_xlfn.IFS(F931="","",F931&lt;=5,"0 to 5",F931&lt;=10,"5.1 to 10",F931&lt;=20,"10 to 20", F931&lt;= 40, "20 to 40", F931 &lt;= 50, "40 to 50", F931 &gt; 50, "&gt;50" )</f>
        <v>20 to 40</v>
      </c>
    </row>
    <row r="932" spans="1:15" ht="14.4" x14ac:dyDescent="0.3">
      <c r="A932" t="s">
        <v>213</v>
      </c>
      <c r="B932" s="1">
        <v>46184</v>
      </c>
      <c r="C932" t="s">
        <v>22</v>
      </c>
      <c r="D932">
        <v>871</v>
      </c>
      <c r="E932">
        <v>1</v>
      </c>
      <c r="F932">
        <v>35</v>
      </c>
      <c r="G932" t="s">
        <v>21</v>
      </c>
      <c r="I932" t="str">
        <f t="shared" si="14"/>
        <v>871_1</v>
      </c>
      <c r="J932" t="s">
        <v>214</v>
      </c>
      <c r="K932" t="s">
        <v>19</v>
      </c>
      <c r="L932" t="str">
        <f>_xlfn.XLOOKUP(C932, Table2[Species],Table2[Genus], "Code Not Found")</f>
        <v>Acer</v>
      </c>
      <c r="M932" t="str">
        <f>_xlfn.XLOOKUP(C932, Table2[Species],Table2[Sp. Name], "Code Not Found")</f>
        <v>rubrum</v>
      </c>
      <c r="N932" t="str">
        <f>_xlfn.XLOOKUP(C932,Table2[Species],Table2[Family],"Code Not Found")</f>
        <v>Sapindaceae</v>
      </c>
      <c r="O932" t="str" cm="1">
        <f t="array" ref="O932">_xlfn.IFS(F932="","",F932&lt;=5,"0 to 5",F932&lt;=10,"5.1 to 10",F932&lt;=20,"10 to 20", F932&lt;= 40, "20 to 40", F932 &lt;= 50, "40 to 50", F932 &gt; 50, "&gt;50" )</f>
        <v>20 to 40</v>
      </c>
    </row>
    <row r="933" spans="1:15" ht="14.4" x14ac:dyDescent="0.3">
      <c r="A933" t="s">
        <v>213</v>
      </c>
      <c r="B933" s="1">
        <v>46184</v>
      </c>
      <c r="C933" t="s">
        <v>22</v>
      </c>
      <c r="D933">
        <v>872</v>
      </c>
      <c r="E933">
        <v>1</v>
      </c>
      <c r="F933">
        <v>13.1</v>
      </c>
      <c r="G933" t="s">
        <v>21</v>
      </c>
      <c r="I933" t="str">
        <f t="shared" si="14"/>
        <v>872_1</v>
      </c>
      <c r="J933" t="s">
        <v>214</v>
      </c>
      <c r="K933" t="s">
        <v>19</v>
      </c>
      <c r="L933" t="str">
        <f>_xlfn.XLOOKUP(C933, Table2[Species],Table2[Genus], "Code Not Found")</f>
        <v>Acer</v>
      </c>
      <c r="M933" t="str">
        <f>_xlfn.XLOOKUP(C933, Table2[Species],Table2[Sp. Name], "Code Not Found")</f>
        <v>rubrum</v>
      </c>
      <c r="N933" t="str">
        <f>_xlfn.XLOOKUP(C933,Table2[Species],Table2[Family],"Code Not Found")</f>
        <v>Sapindaceae</v>
      </c>
      <c r="O933" t="str" cm="1">
        <f t="array" ref="O933">_xlfn.IFS(F933="","",F933&lt;=5,"0 to 5",F933&lt;=10,"5.1 to 10",F933&lt;=20,"10 to 20", F933&lt;= 40, "20 to 40", F933 &lt;= 50, "40 to 50", F933 &gt; 50, "&gt;50" )</f>
        <v>10 to 20</v>
      </c>
    </row>
    <row r="934" spans="1:15" ht="14.4" x14ac:dyDescent="0.3">
      <c r="A934" t="s">
        <v>213</v>
      </c>
      <c r="B934" s="1">
        <v>46184</v>
      </c>
      <c r="C934" t="s">
        <v>22</v>
      </c>
      <c r="D934">
        <v>873</v>
      </c>
      <c r="E934">
        <v>1</v>
      </c>
      <c r="F934">
        <v>44.7</v>
      </c>
      <c r="G934" t="s">
        <v>21</v>
      </c>
      <c r="I934" t="str">
        <f t="shared" si="14"/>
        <v>873_1</v>
      </c>
      <c r="J934" t="s">
        <v>214</v>
      </c>
      <c r="K934" t="s">
        <v>19</v>
      </c>
      <c r="L934" t="str">
        <f>_xlfn.XLOOKUP(C934, Table2[Species],Table2[Genus], "Code Not Found")</f>
        <v>Acer</v>
      </c>
      <c r="M934" t="str">
        <f>_xlfn.XLOOKUP(C934, Table2[Species],Table2[Sp. Name], "Code Not Found")</f>
        <v>rubrum</v>
      </c>
      <c r="N934" t="str">
        <f>_xlfn.XLOOKUP(C934,Table2[Species],Table2[Family],"Code Not Found")</f>
        <v>Sapindaceae</v>
      </c>
      <c r="O934" t="str" cm="1">
        <f t="array" ref="O934">_xlfn.IFS(F934="","",F934&lt;=5,"0 to 5",F934&lt;=10,"5.1 to 10",F934&lt;=20,"10 to 20", F934&lt;= 40, "20 to 40", F934 &lt;= 50, "40 to 50", F934 &gt; 50, "&gt;50" )</f>
        <v>40 to 50</v>
      </c>
    </row>
    <row r="935" spans="1:15" ht="14.4" x14ac:dyDescent="0.3">
      <c r="A935" t="s">
        <v>213</v>
      </c>
      <c r="B935" s="1">
        <v>46184</v>
      </c>
      <c r="C935" t="s">
        <v>24</v>
      </c>
      <c r="D935">
        <v>874</v>
      </c>
      <c r="E935">
        <v>1</v>
      </c>
      <c r="F935">
        <v>39.6</v>
      </c>
      <c r="G935" t="s">
        <v>21</v>
      </c>
      <c r="I935" t="str">
        <f t="shared" si="14"/>
        <v>874_1</v>
      </c>
      <c r="J935" t="s">
        <v>214</v>
      </c>
      <c r="K935" t="s">
        <v>19</v>
      </c>
      <c r="L935" t="str">
        <f>_xlfn.XLOOKUP(C935, Table2[Species],Table2[Genus], "Code Not Found")</f>
        <v>Lirodendron</v>
      </c>
      <c r="M935" t="str">
        <f>_xlfn.XLOOKUP(C935, Table2[Species],Table2[Sp. Name], "Code Not Found")</f>
        <v>tulipfera</v>
      </c>
      <c r="N935" t="str">
        <f>_xlfn.XLOOKUP(C935,Table2[Species],Table2[Family],"Code Not Found")</f>
        <v>Magnoliaceae</v>
      </c>
      <c r="O935" t="str" cm="1">
        <f t="array" ref="O935">_xlfn.IFS(F935="","",F935&lt;=5,"0 to 5",F935&lt;=10,"5.1 to 10",F935&lt;=20,"10 to 20", F935&lt;= 40, "20 to 40", F935 &lt;= 50, "40 to 50", F935 &gt; 50, "&gt;50" )</f>
        <v>20 to 40</v>
      </c>
    </row>
    <row r="936" spans="1:15" ht="14.4" x14ac:dyDescent="0.3">
      <c r="A936" t="s">
        <v>213</v>
      </c>
      <c r="B936" s="1">
        <v>46184</v>
      </c>
      <c r="C936" t="s">
        <v>16</v>
      </c>
      <c r="D936">
        <v>875</v>
      </c>
      <c r="E936">
        <v>1</v>
      </c>
      <c r="F936">
        <v>3.6</v>
      </c>
      <c r="G936" t="s">
        <v>21</v>
      </c>
      <c r="I936" t="str">
        <f t="shared" si="14"/>
        <v>875_1</v>
      </c>
      <c r="J936" t="s">
        <v>214</v>
      </c>
      <c r="K936" t="s">
        <v>19</v>
      </c>
      <c r="L936" t="str">
        <f>_xlfn.XLOOKUP(C936, Table2[Species],Table2[Genus], "Code Not Found")</f>
        <v>Acer</v>
      </c>
      <c r="M936" t="str">
        <f>_xlfn.XLOOKUP(C936, Table2[Species],Table2[Sp. Name], "Code Not Found")</f>
        <v>saccharum</v>
      </c>
      <c r="N936" t="str">
        <f>_xlfn.XLOOKUP(C936,Table2[Species],Table2[Family],"Code Not Found")</f>
        <v>Sapindaceae</v>
      </c>
      <c r="O936" t="str" cm="1">
        <f t="array" ref="O936">_xlfn.IFS(F936="","",F936&lt;=5,"0 to 5",F936&lt;=10,"5.1 to 10",F936&lt;=20,"10 to 20", F936&lt;= 40, "20 to 40", F936 &lt;= 50, "40 to 50", F936 &gt; 50, "&gt;50" )</f>
        <v>0 to 5</v>
      </c>
    </row>
    <row r="937" spans="1:15" ht="14.4" x14ac:dyDescent="0.3">
      <c r="A937" t="s">
        <v>213</v>
      </c>
      <c r="B937" s="1">
        <v>46184</v>
      </c>
      <c r="C937" t="s">
        <v>123</v>
      </c>
      <c r="D937">
        <v>876</v>
      </c>
      <c r="E937">
        <v>1</v>
      </c>
      <c r="F937">
        <v>49.5</v>
      </c>
      <c r="G937" t="s">
        <v>21</v>
      </c>
      <c r="I937" t="str">
        <f t="shared" si="14"/>
        <v>876_1</v>
      </c>
      <c r="J937" t="s">
        <v>214</v>
      </c>
      <c r="K937" t="s">
        <v>19</v>
      </c>
      <c r="L937" t="str">
        <f>_xlfn.XLOOKUP(C937, Table2[Species],Table2[Genus], "Code Not Found")</f>
        <v>Quercus</v>
      </c>
      <c r="M937" t="str">
        <f>_xlfn.XLOOKUP(C937, Table2[Species],Table2[Sp. Name], "Code Not Found")</f>
        <v>rubra</v>
      </c>
      <c r="N937" t="str">
        <f>_xlfn.XLOOKUP(C937,Table2[Species],Table2[Family],"Code Not Found")</f>
        <v>Fagaceae</v>
      </c>
      <c r="O937" t="str" cm="1">
        <f t="array" ref="O937">_xlfn.IFS(F937="","",F937&lt;=5,"0 to 5",F937&lt;=10,"5.1 to 10",F937&lt;=20,"10 to 20", F937&lt;= 40, "20 to 40", F937 &lt;= 50, "40 to 50", F937 &gt; 50, "&gt;50" )</f>
        <v>40 to 50</v>
      </c>
    </row>
    <row r="938" spans="1:15" ht="14.4" x14ac:dyDescent="0.3">
      <c r="A938" t="s">
        <v>213</v>
      </c>
      <c r="B938" s="1">
        <v>46184</v>
      </c>
      <c r="C938" t="s">
        <v>22</v>
      </c>
      <c r="D938">
        <v>877</v>
      </c>
      <c r="E938">
        <v>1</v>
      </c>
      <c r="F938">
        <v>22.4</v>
      </c>
      <c r="G938" t="s">
        <v>32</v>
      </c>
      <c r="I938" t="str">
        <f t="shared" si="14"/>
        <v>877_1</v>
      </c>
      <c r="J938" t="s">
        <v>214</v>
      </c>
      <c r="K938" t="s">
        <v>19</v>
      </c>
      <c r="L938" t="str">
        <f>_xlfn.XLOOKUP(C938, Table2[Species],Table2[Genus], "Code Not Found")</f>
        <v>Acer</v>
      </c>
      <c r="M938" t="str">
        <f>_xlfn.XLOOKUP(C938, Table2[Species],Table2[Sp. Name], "Code Not Found")</f>
        <v>rubrum</v>
      </c>
      <c r="N938" t="str">
        <f>_xlfn.XLOOKUP(C938,Table2[Species],Table2[Family],"Code Not Found")</f>
        <v>Sapindaceae</v>
      </c>
      <c r="O938" t="str" cm="1">
        <f t="array" ref="O938">_xlfn.IFS(F938="","",F938&lt;=5,"0 to 5",F938&lt;=10,"5.1 to 10",F938&lt;=20,"10 to 20", F938&lt;= 40, "20 to 40", F938 &lt;= 50, "40 to 50", F938 &gt; 50, "&gt;50" )</f>
        <v>20 to 40</v>
      </c>
    </row>
    <row r="939" spans="1:15" ht="14.4" x14ac:dyDescent="0.3">
      <c r="A939" t="s">
        <v>213</v>
      </c>
      <c r="B939" s="1">
        <v>46184</v>
      </c>
      <c r="C939" t="s">
        <v>22</v>
      </c>
      <c r="D939">
        <v>877</v>
      </c>
      <c r="E939">
        <v>2</v>
      </c>
      <c r="F939">
        <v>16.899999999999999</v>
      </c>
      <c r="G939" t="s">
        <v>34</v>
      </c>
      <c r="I939" t="str">
        <f t="shared" si="14"/>
        <v>877_2</v>
      </c>
      <c r="J939" t="s">
        <v>214</v>
      </c>
      <c r="K939" t="s">
        <v>19</v>
      </c>
      <c r="L939" t="str">
        <f>_xlfn.XLOOKUP(C939, Table2[Species],Table2[Genus], "Code Not Found")</f>
        <v>Acer</v>
      </c>
      <c r="M939" t="str">
        <f>_xlfn.XLOOKUP(C939, Table2[Species],Table2[Sp. Name], "Code Not Found")</f>
        <v>rubrum</v>
      </c>
      <c r="N939" t="str">
        <f>_xlfn.XLOOKUP(C939,Table2[Species],Table2[Family],"Code Not Found")</f>
        <v>Sapindaceae</v>
      </c>
      <c r="O939" t="str" cm="1">
        <f t="array" ref="O939">_xlfn.IFS(F939="","",F939&lt;=5,"0 to 5",F939&lt;=10,"5.1 to 10",F939&lt;=20,"10 to 20", F939&lt;= 40, "20 to 40", F939 &lt;= 50, "40 to 50", F939 &gt; 50, "&gt;50" )</f>
        <v>10 to 20</v>
      </c>
    </row>
    <row r="940" spans="1:15" ht="14.4" x14ac:dyDescent="0.3">
      <c r="A940" t="s">
        <v>213</v>
      </c>
      <c r="B940" s="1">
        <v>46184</v>
      </c>
      <c r="C940" t="s">
        <v>16</v>
      </c>
      <c r="D940">
        <v>878</v>
      </c>
      <c r="E940">
        <v>1</v>
      </c>
      <c r="F940">
        <v>7.5</v>
      </c>
      <c r="G940" t="s">
        <v>21</v>
      </c>
      <c r="I940" t="str">
        <f t="shared" si="14"/>
        <v>878_1</v>
      </c>
      <c r="J940" t="s">
        <v>214</v>
      </c>
      <c r="K940" t="s">
        <v>19</v>
      </c>
      <c r="L940" t="str">
        <f>_xlfn.XLOOKUP(C940, Table2[Species],Table2[Genus], "Code Not Found")</f>
        <v>Acer</v>
      </c>
      <c r="M940" t="str">
        <f>_xlfn.XLOOKUP(C940, Table2[Species],Table2[Sp. Name], "Code Not Found")</f>
        <v>saccharum</v>
      </c>
      <c r="N940" t="str">
        <f>_xlfn.XLOOKUP(C940,Table2[Species],Table2[Family],"Code Not Found")</f>
        <v>Sapindaceae</v>
      </c>
      <c r="O940" t="str" cm="1">
        <f t="array" ref="O940">_xlfn.IFS(F940="","",F940&lt;=5,"0 to 5",F940&lt;=10,"5.1 to 10",F940&lt;=20,"10 to 20", F940&lt;= 40, "20 to 40", F940 &lt;= 50, "40 to 50", F940 &gt; 50, "&gt;50" )</f>
        <v>5.1 to 10</v>
      </c>
    </row>
    <row r="941" spans="1:15" ht="14.4" x14ac:dyDescent="0.3">
      <c r="A941" t="s">
        <v>213</v>
      </c>
      <c r="B941" s="1">
        <v>46184</v>
      </c>
      <c r="C941" t="s">
        <v>123</v>
      </c>
      <c r="D941">
        <v>879</v>
      </c>
      <c r="E941">
        <v>1</v>
      </c>
      <c r="F941">
        <v>37.700000000000003</v>
      </c>
      <c r="G941" t="s">
        <v>21</v>
      </c>
      <c r="I941" t="str">
        <f>D941&amp;"_"&amp;E941</f>
        <v>879_1</v>
      </c>
      <c r="J941" t="s">
        <v>214</v>
      </c>
      <c r="K941" t="s">
        <v>19</v>
      </c>
      <c r="L941" t="str">
        <f>_xlfn.XLOOKUP(C941, Table2[Species],Table2[Genus], "Code Not Found")</f>
        <v>Quercus</v>
      </c>
      <c r="M941" t="str">
        <f>_xlfn.XLOOKUP(C941, Table2[Species],Table2[Sp. Name], "Code Not Found")</f>
        <v>rubra</v>
      </c>
      <c r="N941" t="str">
        <f>_xlfn.XLOOKUP(C941,Table2[Species],Table2[Family],"Code Not Found")</f>
        <v>Fagaceae</v>
      </c>
      <c r="O941" t="str" cm="1">
        <f t="array" ref="O941">_xlfn.IFS(F941="","",F941&lt;=5,"0 to 5",F941&lt;=10,"5.1 to 10",F941&lt;=20,"10 to 20", F941&lt;= 40, "20 to 40", F941 &lt;= 50, "40 to 50", F941 &gt; 50, "&gt;50" )</f>
        <v>20 to 40</v>
      </c>
    </row>
    <row r="942" spans="1:15" ht="14.4" x14ac:dyDescent="0.3">
      <c r="A942" t="s">
        <v>213</v>
      </c>
      <c r="B942" s="1">
        <v>46184</v>
      </c>
      <c r="C942" t="s">
        <v>22</v>
      </c>
      <c r="D942">
        <v>880</v>
      </c>
      <c r="E942">
        <v>1</v>
      </c>
      <c r="F942">
        <v>28.1</v>
      </c>
      <c r="G942" t="s">
        <v>21</v>
      </c>
      <c r="H942" t="s">
        <v>223</v>
      </c>
      <c r="I942" t="str">
        <f>D942&amp;"_"&amp;E942</f>
        <v>880_1</v>
      </c>
      <c r="J942" t="s">
        <v>214</v>
      </c>
      <c r="K942" t="s">
        <v>19</v>
      </c>
      <c r="L942" t="str">
        <f>_xlfn.XLOOKUP(C942, Table2[Species],Table2[Genus], "Code Not Found")</f>
        <v>Acer</v>
      </c>
      <c r="M942" t="str">
        <f>_xlfn.XLOOKUP(C942, Table2[Species],Table2[Sp. Name], "Code Not Found")</f>
        <v>rubrum</v>
      </c>
      <c r="N942" t="str">
        <f>_xlfn.XLOOKUP(C942,Table2[Species],Table2[Family],"Code Not Found")</f>
        <v>Sapindaceae</v>
      </c>
      <c r="O942" t="str" cm="1">
        <f t="array" ref="O942">_xlfn.IFS(F942="","",F942&lt;=5,"0 to 5",F942&lt;=10,"5.1 to 10",F942&lt;=20,"10 to 20", F942&lt;= 40, "20 to 40", F942 &lt;= 50, "40 to 50", F942 &gt; 50, "&gt;50" )</f>
        <v>20 to 40</v>
      </c>
    </row>
    <row r="943" spans="1:15" ht="14.4" x14ac:dyDescent="0.3">
      <c r="A943" t="s">
        <v>213</v>
      </c>
      <c r="B943" s="1">
        <v>46184</v>
      </c>
      <c r="C943" t="s">
        <v>16</v>
      </c>
      <c r="D943">
        <v>881</v>
      </c>
      <c r="E943">
        <v>1</v>
      </c>
      <c r="F943">
        <v>2.5</v>
      </c>
      <c r="G943" t="s">
        <v>21</v>
      </c>
      <c r="I943" t="str">
        <f t="shared" ref="I943:I1006" si="15">D943&amp;"_"&amp;E943</f>
        <v>881_1</v>
      </c>
      <c r="J943" t="s">
        <v>214</v>
      </c>
      <c r="K943" t="s">
        <v>19</v>
      </c>
      <c r="L943" t="str">
        <f>_xlfn.XLOOKUP(C943, Table2[Species],Table2[Genus], "Code Not Found")</f>
        <v>Acer</v>
      </c>
      <c r="M943" t="str">
        <f>_xlfn.XLOOKUP(C943, Table2[Species],Table2[Sp. Name], "Code Not Found")</f>
        <v>saccharum</v>
      </c>
      <c r="N943" t="str">
        <f>_xlfn.XLOOKUP(C943,Table2[Species],Table2[Family],"Code Not Found")</f>
        <v>Sapindaceae</v>
      </c>
      <c r="O943" t="str" cm="1">
        <f t="array" ref="O943">_xlfn.IFS(F943="","",F943&lt;=5,"0 to 5",F943&lt;=10,"5.1 to 10",F943&lt;=20,"10 to 20", F943&lt;= 40, "20 to 40", F943 &lt;= 50, "40 to 50", F943 &gt; 50, "&gt;50" )</f>
        <v>0 to 5</v>
      </c>
    </row>
    <row r="944" spans="1:15" ht="14.4" x14ac:dyDescent="0.3">
      <c r="A944" t="s">
        <v>213</v>
      </c>
      <c r="B944" s="1">
        <v>46184</v>
      </c>
      <c r="C944" t="s">
        <v>22</v>
      </c>
      <c r="D944">
        <v>882</v>
      </c>
      <c r="E944">
        <v>1</v>
      </c>
      <c r="F944">
        <v>25.3</v>
      </c>
      <c r="G944" t="s">
        <v>17</v>
      </c>
      <c r="I944" t="str">
        <f t="shared" si="15"/>
        <v>882_1</v>
      </c>
      <c r="J944" t="s">
        <v>214</v>
      </c>
      <c r="K944" t="s">
        <v>19</v>
      </c>
      <c r="L944" t="str">
        <f>_xlfn.XLOOKUP(C944, Table2[Species],Table2[Genus], "Code Not Found")</f>
        <v>Acer</v>
      </c>
      <c r="M944" t="str">
        <f>_xlfn.XLOOKUP(C944, Table2[Species],Table2[Sp. Name], "Code Not Found")</f>
        <v>rubrum</v>
      </c>
      <c r="N944" t="str">
        <f>_xlfn.XLOOKUP(C944,Table2[Species],Table2[Family],"Code Not Found")</f>
        <v>Sapindaceae</v>
      </c>
      <c r="O944" t="str" cm="1">
        <f t="array" ref="O944">_xlfn.IFS(F944="","",F944&lt;=5,"0 to 5",F944&lt;=10,"5.1 to 10",F944&lt;=20,"10 to 20", F944&lt;= 40, "20 to 40", F944 &lt;= 50, "40 to 50", F944 &gt; 50, "&gt;50" )</f>
        <v>20 to 40</v>
      </c>
    </row>
    <row r="945" spans="1:15" ht="14.4" x14ac:dyDescent="0.3">
      <c r="A945" t="s">
        <v>213</v>
      </c>
      <c r="B945" s="1">
        <v>46184</v>
      </c>
      <c r="C945" t="s">
        <v>123</v>
      </c>
      <c r="D945">
        <v>883</v>
      </c>
      <c r="E945">
        <v>1</v>
      </c>
      <c r="F945">
        <v>52.6</v>
      </c>
      <c r="G945" t="s">
        <v>17</v>
      </c>
      <c r="I945" t="str">
        <f t="shared" si="15"/>
        <v>883_1</v>
      </c>
      <c r="J945" t="s">
        <v>214</v>
      </c>
      <c r="K945" t="s">
        <v>19</v>
      </c>
      <c r="L945" t="str">
        <f>_xlfn.XLOOKUP(C945, Table2[Species],Table2[Genus], "Code Not Found")</f>
        <v>Quercus</v>
      </c>
      <c r="M945" t="str">
        <f>_xlfn.XLOOKUP(C945, Table2[Species],Table2[Sp. Name], "Code Not Found")</f>
        <v>rubra</v>
      </c>
      <c r="N945" t="str">
        <f>_xlfn.XLOOKUP(C945,Table2[Species],Table2[Family],"Code Not Found")</f>
        <v>Fagaceae</v>
      </c>
      <c r="O945" t="str" cm="1">
        <f t="array" ref="O945">_xlfn.IFS(F945="","",F945&lt;=5,"0 to 5",F945&lt;=10,"5.1 to 10",F945&lt;=20,"10 to 20", F945&lt;= 40, "20 to 40", F945 &lt;= 50, "40 to 50", F945 &gt; 50, "&gt;50" )</f>
        <v>&gt;50</v>
      </c>
    </row>
    <row r="946" spans="1:15" ht="14.4" x14ac:dyDescent="0.3">
      <c r="A946" t="s">
        <v>213</v>
      </c>
      <c r="B946" s="1">
        <v>46184</v>
      </c>
      <c r="C946" t="s">
        <v>123</v>
      </c>
      <c r="D946">
        <v>884</v>
      </c>
      <c r="E946">
        <v>1</v>
      </c>
      <c r="F946">
        <v>37.799999999999997</v>
      </c>
      <c r="G946" t="s">
        <v>17</v>
      </c>
      <c r="I946" t="str">
        <f t="shared" si="15"/>
        <v>884_1</v>
      </c>
      <c r="J946" t="s">
        <v>214</v>
      </c>
      <c r="K946" t="s">
        <v>19</v>
      </c>
      <c r="L946" t="str">
        <f>_xlfn.XLOOKUP(C946, Table2[Species],Table2[Genus], "Code Not Found")</f>
        <v>Quercus</v>
      </c>
      <c r="M946" t="str">
        <f>_xlfn.XLOOKUP(C946, Table2[Species],Table2[Sp. Name], "Code Not Found")</f>
        <v>rubra</v>
      </c>
      <c r="N946" t="str">
        <f>_xlfn.XLOOKUP(C946,Table2[Species],Table2[Family],"Code Not Found")</f>
        <v>Fagaceae</v>
      </c>
      <c r="O946" t="str" cm="1">
        <f t="array" ref="O946">_xlfn.IFS(F946="","",F946&lt;=5,"0 to 5",F946&lt;=10,"5.1 to 10",F946&lt;=20,"10 to 20", F946&lt;= 40, "20 to 40", F946 &lt;= 50, "40 to 50", F946 &gt; 50, "&gt;50" )</f>
        <v>20 to 40</v>
      </c>
    </row>
    <row r="947" spans="1:15" ht="14.4" x14ac:dyDescent="0.3">
      <c r="A947" t="s">
        <v>213</v>
      </c>
      <c r="B947" s="1">
        <v>46184</v>
      </c>
      <c r="C947" t="s">
        <v>22</v>
      </c>
      <c r="D947">
        <v>885</v>
      </c>
      <c r="E947">
        <v>1</v>
      </c>
      <c r="F947">
        <v>22.8</v>
      </c>
      <c r="G947" t="s">
        <v>17</v>
      </c>
      <c r="H947" t="s">
        <v>174</v>
      </c>
      <c r="I947" t="str">
        <f t="shared" si="15"/>
        <v>885_1</v>
      </c>
      <c r="J947" t="s">
        <v>214</v>
      </c>
      <c r="K947" t="s">
        <v>19</v>
      </c>
      <c r="L947" t="str">
        <f>_xlfn.XLOOKUP(C947, Table2[Species],Table2[Genus], "Code Not Found")</f>
        <v>Acer</v>
      </c>
      <c r="M947" t="str">
        <f>_xlfn.XLOOKUP(C947, Table2[Species],Table2[Sp. Name], "Code Not Found")</f>
        <v>rubrum</v>
      </c>
      <c r="N947" t="str">
        <f>_xlfn.XLOOKUP(C947,Table2[Species],Table2[Family],"Code Not Found")</f>
        <v>Sapindaceae</v>
      </c>
      <c r="O947" t="str" cm="1">
        <f t="array" ref="O947">_xlfn.IFS(F947="","",F947&lt;=5,"0 to 5",F947&lt;=10,"5.1 to 10",F947&lt;=20,"10 to 20", F947&lt;= 40, "20 to 40", F947 &lt;= 50, "40 to 50", F947 &gt; 50, "&gt;50" )</f>
        <v>20 to 40</v>
      </c>
    </row>
    <row r="948" spans="1:15" ht="14.4" x14ac:dyDescent="0.3">
      <c r="A948" t="s">
        <v>213</v>
      </c>
      <c r="B948" s="1">
        <v>46184</v>
      </c>
      <c r="C948" t="s">
        <v>22</v>
      </c>
      <c r="D948">
        <v>886</v>
      </c>
      <c r="E948">
        <v>1</v>
      </c>
      <c r="F948">
        <v>35.1</v>
      </c>
      <c r="G948" t="s">
        <v>56</v>
      </c>
      <c r="I948" t="str">
        <f t="shared" si="15"/>
        <v>886_1</v>
      </c>
      <c r="J948" t="s">
        <v>214</v>
      </c>
      <c r="K948" t="s">
        <v>19</v>
      </c>
      <c r="L948" t="str">
        <f>_xlfn.XLOOKUP(C948, Table2[Species],Table2[Genus], "Code Not Found")</f>
        <v>Acer</v>
      </c>
      <c r="M948" t="str">
        <f>_xlfn.XLOOKUP(C948, Table2[Species],Table2[Sp. Name], "Code Not Found")</f>
        <v>rubrum</v>
      </c>
      <c r="N948" t="str">
        <f>_xlfn.XLOOKUP(C948,Table2[Species],Table2[Family],"Code Not Found")</f>
        <v>Sapindaceae</v>
      </c>
      <c r="O948" t="str" cm="1">
        <f t="array" ref="O948">_xlfn.IFS(F948="","",F948&lt;=5,"0 to 5",F948&lt;=10,"5.1 to 10",F948&lt;=20,"10 to 20", F948&lt;= 40, "20 to 40", F948 &lt;= 50, "40 to 50", F948 &gt; 50, "&gt;50" )</f>
        <v>20 to 40</v>
      </c>
    </row>
    <row r="949" spans="1:15" ht="14.4" x14ac:dyDescent="0.3">
      <c r="A949" t="s">
        <v>213</v>
      </c>
      <c r="B949" s="1">
        <v>46184</v>
      </c>
      <c r="C949" t="s">
        <v>64</v>
      </c>
      <c r="D949">
        <v>887</v>
      </c>
      <c r="E949">
        <v>1</v>
      </c>
      <c r="F949">
        <v>4.5999999999999996</v>
      </c>
      <c r="G949" t="s">
        <v>21</v>
      </c>
      <c r="I949" t="str">
        <f t="shared" si="15"/>
        <v>887_1</v>
      </c>
      <c r="J949" t="s">
        <v>214</v>
      </c>
      <c r="K949" t="s">
        <v>19</v>
      </c>
      <c r="L949" t="str">
        <f>_xlfn.XLOOKUP(C949, Table2[Species],Table2[Genus], "Code Not Found")</f>
        <v>Fagus</v>
      </c>
      <c r="M949" t="str">
        <f>_xlfn.XLOOKUP(C949, Table2[Species],Table2[Sp. Name], "Code Not Found")</f>
        <v>grandifolia</v>
      </c>
      <c r="N949" t="str">
        <f>_xlfn.XLOOKUP(C949,Table2[Species],Table2[Family],"Code Not Found")</f>
        <v>Fagaceae</v>
      </c>
      <c r="O949" t="str" cm="1">
        <f t="array" ref="O949">_xlfn.IFS(F949="","",F949&lt;=5,"0 to 5",F949&lt;=10,"5.1 to 10",F949&lt;=20,"10 to 20", F949&lt;= 40, "20 to 40", F949 &lt;= 50, "40 to 50", F949 &gt; 50, "&gt;50" )</f>
        <v>0 to 5</v>
      </c>
    </row>
    <row r="950" spans="1:15" ht="14.4" x14ac:dyDescent="0.3">
      <c r="A950" t="s">
        <v>213</v>
      </c>
      <c r="B950" s="1">
        <v>46184</v>
      </c>
      <c r="C950" t="s">
        <v>123</v>
      </c>
      <c r="D950">
        <v>888</v>
      </c>
      <c r="E950">
        <v>1</v>
      </c>
      <c r="F950">
        <v>22.5</v>
      </c>
      <c r="G950" t="s">
        <v>21</v>
      </c>
      <c r="I950" t="str">
        <f t="shared" si="15"/>
        <v>888_1</v>
      </c>
      <c r="J950" t="s">
        <v>214</v>
      </c>
      <c r="K950" t="s">
        <v>19</v>
      </c>
      <c r="L950" t="str">
        <f>_xlfn.XLOOKUP(C950, Table2[Species],Table2[Genus], "Code Not Found")</f>
        <v>Quercus</v>
      </c>
      <c r="M950" t="str">
        <f>_xlfn.XLOOKUP(C950, Table2[Species],Table2[Sp. Name], "Code Not Found")</f>
        <v>rubra</v>
      </c>
      <c r="N950" t="str">
        <f>_xlfn.XLOOKUP(C950,Table2[Species],Table2[Family],"Code Not Found")</f>
        <v>Fagaceae</v>
      </c>
      <c r="O950" t="str" cm="1">
        <f t="array" ref="O950">_xlfn.IFS(F950="","",F950&lt;=5,"0 to 5",F950&lt;=10,"5.1 to 10",F950&lt;=20,"10 to 20", F950&lt;= 40, "20 to 40", F950 &lt;= 50, "40 to 50", F950 &gt; 50, "&gt;50" )</f>
        <v>20 to 40</v>
      </c>
    </row>
    <row r="951" spans="1:15" ht="14.4" x14ac:dyDescent="0.3">
      <c r="A951" t="s">
        <v>213</v>
      </c>
      <c r="B951" s="1">
        <v>46184</v>
      </c>
      <c r="C951" t="s">
        <v>64</v>
      </c>
      <c r="D951">
        <v>889</v>
      </c>
      <c r="E951">
        <v>1</v>
      </c>
      <c r="F951">
        <v>1.3</v>
      </c>
      <c r="G951" t="s">
        <v>32</v>
      </c>
      <c r="I951" t="str">
        <f t="shared" si="15"/>
        <v>889_1</v>
      </c>
      <c r="J951" t="s">
        <v>214</v>
      </c>
      <c r="K951" t="s">
        <v>19</v>
      </c>
      <c r="L951" t="str">
        <f>_xlfn.XLOOKUP(C951, Table2[Species],Table2[Genus], "Code Not Found")</f>
        <v>Fagus</v>
      </c>
      <c r="M951" t="str">
        <f>_xlfn.XLOOKUP(C951, Table2[Species],Table2[Sp. Name], "Code Not Found")</f>
        <v>grandifolia</v>
      </c>
      <c r="N951" t="str">
        <f>_xlfn.XLOOKUP(C951,Table2[Species],Table2[Family],"Code Not Found")</f>
        <v>Fagaceae</v>
      </c>
      <c r="O951" t="str" cm="1">
        <f t="array" ref="O951">_xlfn.IFS(F951="","",F951&lt;=5,"0 to 5",F951&lt;=10,"5.1 to 10",F951&lt;=20,"10 to 20", F951&lt;= 40, "20 to 40", F951 &lt;= 50, "40 to 50", F951 &gt; 50, "&gt;50" )</f>
        <v>0 to 5</v>
      </c>
    </row>
    <row r="952" spans="1:15" ht="14.4" x14ac:dyDescent="0.3">
      <c r="A952" t="s">
        <v>213</v>
      </c>
      <c r="B952" s="1">
        <v>46184</v>
      </c>
      <c r="C952" t="s">
        <v>64</v>
      </c>
      <c r="D952">
        <v>889</v>
      </c>
      <c r="E952">
        <v>2</v>
      </c>
      <c r="F952">
        <v>1.2</v>
      </c>
      <c r="G952" t="s">
        <v>32</v>
      </c>
      <c r="I952" t="str">
        <f t="shared" si="15"/>
        <v>889_2</v>
      </c>
      <c r="J952" t="s">
        <v>214</v>
      </c>
      <c r="K952" t="s">
        <v>19</v>
      </c>
      <c r="L952" t="str">
        <f>_xlfn.XLOOKUP(C952, Table2[Species],Table2[Genus], "Code Not Found")</f>
        <v>Fagus</v>
      </c>
      <c r="M952" t="str">
        <f>_xlfn.XLOOKUP(C952, Table2[Species],Table2[Sp. Name], "Code Not Found")</f>
        <v>grandifolia</v>
      </c>
      <c r="N952" t="str">
        <f>_xlfn.XLOOKUP(C952,Table2[Species],Table2[Family],"Code Not Found")</f>
        <v>Fagaceae</v>
      </c>
      <c r="O952" t="str" cm="1">
        <f t="array" ref="O952">_xlfn.IFS(F952="","",F952&lt;=5,"0 to 5",F952&lt;=10,"5.1 to 10",F952&lt;=20,"10 to 20", F952&lt;= 40, "20 to 40", F952 &lt;= 50, "40 to 50", F952 &gt; 50, "&gt;50" )</f>
        <v>0 to 5</v>
      </c>
    </row>
    <row r="953" spans="1:15" ht="14.4" x14ac:dyDescent="0.3">
      <c r="A953" t="s">
        <v>213</v>
      </c>
      <c r="B953" s="1">
        <v>46184</v>
      </c>
      <c r="C953" t="s">
        <v>16</v>
      </c>
      <c r="D953">
        <v>890</v>
      </c>
      <c r="E953">
        <v>1</v>
      </c>
      <c r="F953">
        <v>5.3</v>
      </c>
      <c r="G953" t="s">
        <v>21</v>
      </c>
      <c r="I953" t="str">
        <f t="shared" si="15"/>
        <v>890_1</v>
      </c>
      <c r="J953" t="s">
        <v>214</v>
      </c>
      <c r="K953" t="s">
        <v>19</v>
      </c>
      <c r="L953" t="str">
        <f>_xlfn.XLOOKUP(C953, Table2[Species],Table2[Genus], "Code Not Found")</f>
        <v>Acer</v>
      </c>
      <c r="M953" t="str">
        <f>_xlfn.XLOOKUP(C953, Table2[Species],Table2[Sp. Name], "Code Not Found")</f>
        <v>saccharum</v>
      </c>
      <c r="N953" t="str">
        <f>_xlfn.XLOOKUP(C953,Table2[Species],Table2[Family],"Code Not Found")</f>
        <v>Sapindaceae</v>
      </c>
      <c r="O953" t="str" cm="1">
        <f t="array" ref="O953">_xlfn.IFS(F953="","",F953&lt;=5,"0 to 5",F953&lt;=10,"5.1 to 10",F953&lt;=20,"10 to 20", F953&lt;= 40, "20 to 40", F953 &lt;= 50, "40 to 50", F953 &gt; 50, "&gt;50" )</f>
        <v>5.1 to 10</v>
      </c>
    </row>
    <row r="954" spans="1:15" ht="14.4" x14ac:dyDescent="0.3">
      <c r="A954" t="s">
        <v>213</v>
      </c>
      <c r="B954" s="1">
        <v>46184</v>
      </c>
      <c r="C954" t="s">
        <v>24</v>
      </c>
      <c r="D954">
        <v>891</v>
      </c>
      <c r="E954">
        <v>1</v>
      </c>
      <c r="F954">
        <v>43</v>
      </c>
      <c r="G954" t="s">
        <v>21</v>
      </c>
      <c r="I954" t="str">
        <f t="shared" si="15"/>
        <v>891_1</v>
      </c>
      <c r="J954" t="s">
        <v>214</v>
      </c>
      <c r="K954" t="s">
        <v>19</v>
      </c>
      <c r="L954" t="str">
        <f>_xlfn.XLOOKUP(C954, Table2[Species],Table2[Genus], "Code Not Found")</f>
        <v>Lirodendron</v>
      </c>
      <c r="M954" t="str">
        <f>_xlfn.XLOOKUP(C954, Table2[Species],Table2[Sp. Name], "Code Not Found")</f>
        <v>tulipfera</v>
      </c>
      <c r="N954" t="str">
        <f>_xlfn.XLOOKUP(C954,Table2[Species],Table2[Family],"Code Not Found")</f>
        <v>Magnoliaceae</v>
      </c>
      <c r="O954" t="str" cm="1">
        <f t="array" ref="O954">_xlfn.IFS(F954="","",F954&lt;=5,"0 to 5",F954&lt;=10,"5.1 to 10",F954&lt;=20,"10 to 20", F954&lt;= 40, "20 to 40", F954 &lt;= 50, "40 to 50", F954 &gt; 50, "&gt;50" )</f>
        <v>40 to 50</v>
      </c>
    </row>
    <row r="955" spans="1:15" ht="14.4" x14ac:dyDescent="0.3">
      <c r="A955" t="s">
        <v>213</v>
      </c>
      <c r="B955" s="1">
        <v>46184</v>
      </c>
      <c r="C955" t="s">
        <v>22</v>
      </c>
      <c r="D955">
        <v>892</v>
      </c>
      <c r="E955">
        <v>1</v>
      </c>
      <c r="F955">
        <v>7.6</v>
      </c>
      <c r="G955" t="s">
        <v>21</v>
      </c>
      <c r="I955" t="str">
        <f t="shared" si="15"/>
        <v>892_1</v>
      </c>
      <c r="J955" t="s">
        <v>214</v>
      </c>
      <c r="K955" t="s">
        <v>19</v>
      </c>
      <c r="L955" t="str">
        <f>_xlfn.XLOOKUP(C955, Table2[Species],Table2[Genus], "Code Not Found")</f>
        <v>Acer</v>
      </c>
      <c r="M955" t="str">
        <f>_xlfn.XLOOKUP(C955, Table2[Species],Table2[Sp. Name], "Code Not Found")</f>
        <v>rubrum</v>
      </c>
      <c r="N955" t="str">
        <f>_xlfn.XLOOKUP(C955,Table2[Species],Table2[Family],"Code Not Found")</f>
        <v>Sapindaceae</v>
      </c>
      <c r="O955" t="str" cm="1">
        <f t="array" ref="O955">_xlfn.IFS(F955="","",F955&lt;=5,"0 to 5",F955&lt;=10,"5.1 to 10",F955&lt;=20,"10 to 20", F955&lt;= 40, "20 to 40", F955 &lt;= 50, "40 to 50", F955 &gt; 50, "&gt;50" )</f>
        <v>5.1 to 10</v>
      </c>
    </row>
    <row r="956" spans="1:15" ht="14.4" x14ac:dyDescent="0.3">
      <c r="A956" t="s">
        <v>213</v>
      </c>
      <c r="B956" s="1">
        <v>46184</v>
      </c>
      <c r="C956" t="s">
        <v>22</v>
      </c>
      <c r="D956">
        <v>893</v>
      </c>
      <c r="E956">
        <v>1</v>
      </c>
      <c r="F956">
        <v>17.2</v>
      </c>
      <c r="G956" t="s">
        <v>21</v>
      </c>
      <c r="I956" t="str">
        <f t="shared" si="15"/>
        <v>893_1</v>
      </c>
      <c r="J956" t="s">
        <v>214</v>
      </c>
      <c r="K956" t="s">
        <v>19</v>
      </c>
      <c r="L956" t="str">
        <f>_xlfn.XLOOKUP(C956, Table2[Species],Table2[Genus], "Code Not Found")</f>
        <v>Acer</v>
      </c>
      <c r="M956" t="str">
        <f>_xlfn.XLOOKUP(C956, Table2[Species],Table2[Sp. Name], "Code Not Found")</f>
        <v>rubrum</v>
      </c>
      <c r="N956" t="str">
        <f>_xlfn.XLOOKUP(C956,Table2[Species],Table2[Family],"Code Not Found")</f>
        <v>Sapindaceae</v>
      </c>
      <c r="O956" t="str" cm="1">
        <f t="array" ref="O956">_xlfn.IFS(F956="","",F956&lt;=5,"0 to 5",F956&lt;=10,"5.1 to 10",F956&lt;=20,"10 to 20", F956&lt;= 40, "20 to 40", F956 &lt;= 50, "40 to 50", F956 &gt; 50, "&gt;50" )</f>
        <v>10 to 20</v>
      </c>
    </row>
    <row r="957" spans="1:15" ht="14.4" x14ac:dyDescent="0.3">
      <c r="A957" t="s">
        <v>213</v>
      </c>
      <c r="B957" s="1">
        <v>46184</v>
      </c>
      <c r="C957" t="s">
        <v>22</v>
      </c>
      <c r="D957">
        <v>894</v>
      </c>
      <c r="E957">
        <v>1</v>
      </c>
      <c r="F957">
        <v>25.7</v>
      </c>
      <c r="G957" t="s">
        <v>21</v>
      </c>
      <c r="I957" t="str">
        <f t="shared" si="15"/>
        <v>894_1</v>
      </c>
      <c r="J957" t="s">
        <v>214</v>
      </c>
      <c r="K957" t="s">
        <v>19</v>
      </c>
      <c r="L957" t="str">
        <f>_xlfn.XLOOKUP(C957, Table2[Species],Table2[Genus], "Code Not Found")</f>
        <v>Acer</v>
      </c>
      <c r="M957" t="str">
        <f>_xlfn.XLOOKUP(C957, Table2[Species],Table2[Sp. Name], "Code Not Found")</f>
        <v>rubrum</v>
      </c>
      <c r="N957" t="str">
        <f>_xlfn.XLOOKUP(C957,Table2[Species],Table2[Family],"Code Not Found")</f>
        <v>Sapindaceae</v>
      </c>
      <c r="O957" t="str" cm="1">
        <f t="array" ref="O957">_xlfn.IFS(F957="","",F957&lt;=5,"0 to 5",F957&lt;=10,"5.1 to 10",F957&lt;=20,"10 to 20", F957&lt;= 40, "20 to 40", F957 &lt;= 50, "40 to 50", F957 &gt; 50, "&gt;50" )</f>
        <v>20 to 40</v>
      </c>
    </row>
    <row r="958" spans="1:15" ht="14.4" x14ac:dyDescent="0.3">
      <c r="A958" t="s">
        <v>213</v>
      </c>
      <c r="B958" s="1">
        <v>46184</v>
      </c>
      <c r="C958" t="s">
        <v>24</v>
      </c>
      <c r="D958">
        <v>895</v>
      </c>
      <c r="E958">
        <v>1</v>
      </c>
      <c r="F958">
        <v>28.5</v>
      </c>
      <c r="G958" t="s">
        <v>21</v>
      </c>
      <c r="I958" t="str">
        <f t="shared" si="15"/>
        <v>895_1</v>
      </c>
      <c r="J958" t="s">
        <v>214</v>
      </c>
      <c r="K958" t="s">
        <v>19</v>
      </c>
      <c r="L958" t="str">
        <f>_xlfn.XLOOKUP(C958, Table2[Species],Table2[Genus], "Code Not Found")</f>
        <v>Lirodendron</v>
      </c>
      <c r="M958" t="str">
        <f>_xlfn.XLOOKUP(C958, Table2[Species],Table2[Sp. Name], "Code Not Found")</f>
        <v>tulipfera</v>
      </c>
      <c r="N958" t="str">
        <f>_xlfn.XLOOKUP(C958,Table2[Species],Table2[Family],"Code Not Found")</f>
        <v>Magnoliaceae</v>
      </c>
      <c r="O958" t="str" cm="1">
        <f t="array" ref="O958">_xlfn.IFS(F958="","",F958&lt;=5,"0 to 5",F958&lt;=10,"5.1 to 10",F958&lt;=20,"10 to 20", F958&lt;= 40, "20 to 40", F958 &lt;= 50, "40 to 50", F958 &gt; 50, "&gt;50" )</f>
        <v>20 to 40</v>
      </c>
    </row>
    <row r="959" spans="1:15" ht="14.4" x14ac:dyDescent="0.3">
      <c r="A959" t="s">
        <v>213</v>
      </c>
      <c r="B959" s="1">
        <v>46184</v>
      </c>
      <c r="C959" t="s">
        <v>16</v>
      </c>
      <c r="D959">
        <v>896</v>
      </c>
      <c r="E959">
        <v>1</v>
      </c>
      <c r="F959">
        <v>8.1</v>
      </c>
      <c r="G959" t="s">
        <v>21</v>
      </c>
      <c r="I959" t="str">
        <f t="shared" si="15"/>
        <v>896_1</v>
      </c>
      <c r="J959" t="s">
        <v>214</v>
      </c>
      <c r="K959" t="s">
        <v>19</v>
      </c>
      <c r="L959" t="str">
        <f>_xlfn.XLOOKUP(C959, Table2[Species],Table2[Genus], "Code Not Found")</f>
        <v>Acer</v>
      </c>
      <c r="M959" t="str">
        <f>_xlfn.XLOOKUP(C959, Table2[Species],Table2[Sp. Name], "Code Not Found")</f>
        <v>saccharum</v>
      </c>
      <c r="N959" t="str">
        <f>_xlfn.XLOOKUP(C959,Table2[Species],Table2[Family],"Code Not Found")</f>
        <v>Sapindaceae</v>
      </c>
      <c r="O959" t="str" cm="1">
        <f t="array" ref="O959">_xlfn.IFS(F959="","",F959&lt;=5,"0 to 5",F959&lt;=10,"5.1 to 10",F959&lt;=20,"10 to 20", F959&lt;= 40, "20 to 40", F959 &lt;= 50, "40 to 50", F959 &gt; 50, "&gt;50" )</f>
        <v>5.1 to 10</v>
      </c>
    </row>
    <row r="960" spans="1:15" ht="14.4" x14ac:dyDescent="0.3">
      <c r="A960" t="s">
        <v>213</v>
      </c>
      <c r="B960" s="1">
        <v>46184</v>
      </c>
      <c r="C960" t="s">
        <v>22</v>
      </c>
      <c r="D960">
        <v>897</v>
      </c>
      <c r="E960">
        <v>1</v>
      </c>
      <c r="F960">
        <v>36.799999999999997</v>
      </c>
      <c r="G960" t="s">
        <v>21</v>
      </c>
      <c r="I960" t="str">
        <f t="shared" si="15"/>
        <v>897_1</v>
      </c>
      <c r="J960" t="s">
        <v>214</v>
      </c>
      <c r="K960" t="s">
        <v>19</v>
      </c>
      <c r="L960" t="str">
        <f>_xlfn.XLOOKUP(C960, Table2[Species],Table2[Genus], "Code Not Found")</f>
        <v>Acer</v>
      </c>
      <c r="M960" t="str">
        <f>_xlfn.XLOOKUP(C960, Table2[Species],Table2[Sp. Name], "Code Not Found")</f>
        <v>rubrum</v>
      </c>
      <c r="N960" t="str">
        <f>_xlfn.XLOOKUP(C960,Table2[Species],Table2[Family],"Code Not Found")</f>
        <v>Sapindaceae</v>
      </c>
      <c r="O960" t="str" cm="1">
        <f t="array" ref="O960">_xlfn.IFS(F960="","",F960&lt;=5,"0 to 5",F960&lt;=10,"5.1 to 10",F960&lt;=20,"10 to 20", F960&lt;= 40, "20 to 40", F960 &lt;= 50, "40 to 50", F960 &gt; 50, "&gt;50" )</f>
        <v>20 to 40</v>
      </c>
    </row>
    <row r="961" spans="1:15" ht="14.4" x14ac:dyDescent="0.3">
      <c r="A961" t="s">
        <v>213</v>
      </c>
      <c r="B961" s="1">
        <v>46184</v>
      </c>
      <c r="C961" t="s">
        <v>16</v>
      </c>
      <c r="D961">
        <v>898</v>
      </c>
      <c r="E961">
        <v>1</v>
      </c>
      <c r="F961">
        <v>11.3</v>
      </c>
      <c r="G961" t="s">
        <v>21</v>
      </c>
      <c r="I961" t="str">
        <f t="shared" si="15"/>
        <v>898_1</v>
      </c>
      <c r="J961" t="s">
        <v>214</v>
      </c>
      <c r="K961" t="s">
        <v>19</v>
      </c>
      <c r="L961" t="str">
        <f>_xlfn.XLOOKUP(C961, Table2[Species],Table2[Genus], "Code Not Found")</f>
        <v>Acer</v>
      </c>
      <c r="M961" t="str">
        <f>_xlfn.XLOOKUP(C961, Table2[Species],Table2[Sp. Name], "Code Not Found")</f>
        <v>saccharum</v>
      </c>
      <c r="N961" t="str">
        <f>_xlfn.XLOOKUP(C961,Table2[Species],Table2[Family],"Code Not Found")</f>
        <v>Sapindaceae</v>
      </c>
      <c r="O961" t="str" cm="1">
        <f t="array" ref="O961">_xlfn.IFS(F961="","",F961&lt;=5,"0 to 5",F961&lt;=10,"5.1 to 10",F961&lt;=20,"10 to 20", F961&lt;= 40, "20 to 40", F961 &lt;= 50, "40 to 50", F961 &gt; 50, "&gt;50" )</f>
        <v>10 to 20</v>
      </c>
    </row>
    <row r="962" spans="1:15" ht="14.4" x14ac:dyDescent="0.3">
      <c r="A962" t="s">
        <v>213</v>
      </c>
      <c r="B962" s="1">
        <v>46184</v>
      </c>
      <c r="C962" t="s">
        <v>16</v>
      </c>
      <c r="D962">
        <v>899</v>
      </c>
      <c r="E962">
        <v>1</v>
      </c>
      <c r="F962">
        <v>7.1</v>
      </c>
      <c r="G962" t="s">
        <v>21</v>
      </c>
      <c r="I962" t="str">
        <f t="shared" si="15"/>
        <v>899_1</v>
      </c>
      <c r="J962" t="s">
        <v>214</v>
      </c>
      <c r="K962" t="s">
        <v>19</v>
      </c>
      <c r="L962" t="str">
        <f>_xlfn.XLOOKUP(C962, Table2[Species],Table2[Genus], "Code Not Found")</f>
        <v>Acer</v>
      </c>
      <c r="M962" t="str">
        <f>_xlfn.XLOOKUP(C962, Table2[Species],Table2[Sp. Name], "Code Not Found")</f>
        <v>saccharum</v>
      </c>
      <c r="N962" t="str">
        <f>_xlfn.XLOOKUP(C962,Table2[Species],Table2[Family],"Code Not Found")</f>
        <v>Sapindaceae</v>
      </c>
      <c r="O962" t="str" cm="1">
        <f t="array" ref="O962">_xlfn.IFS(F962="","",F962&lt;=5,"0 to 5",F962&lt;=10,"5.1 to 10",F962&lt;=20,"10 to 20", F962&lt;= 40, "20 to 40", F962 &lt;= 50, "40 to 50", F962 &gt; 50, "&gt;50" )</f>
        <v>5.1 to 10</v>
      </c>
    </row>
    <row r="963" spans="1:15" ht="14.4" x14ac:dyDescent="0.3">
      <c r="A963" t="s">
        <v>213</v>
      </c>
      <c r="B963" s="1">
        <v>46184</v>
      </c>
      <c r="C963" t="s">
        <v>24</v>
      </c>
      <c r="D963">
        <v>900</v>
      </c>
      <c r="E963">
        <v>1</v>
      </c>
      <c r="F963">
        <v>55.4</v>
      </c>
      <c r="G963" t="s">
        <v>21</v>
      </c>
      <c r="I963" t="str">
        <f t="shared" si="15"/>
        <v>900_1</v>
      </c>
      <c r="J963" t="s">
        <v>214</v>
      </c>
      <c r="K963" t="s">
        <v>19</v>
      </c>
      <c r="L963" t="str">
        <f>_xlfn.XLOOKUP(C963, Table2[Species],Table2[Genus], "Code Not Found")</f>
        <v>Lirodendron</v>
      </c>
      <c r="M963" t="str">
        <f>_xlfn.XLOOKUP(C963, Table2[Species],Table2[Sp. Name], "Code Not Found")</f>
        <v>tulipfera</v>
      </c>
      <c r="N963" t="str">
        <f>_xlfn.XLOOKUP(C963,Table2[Species],Table2[Family],"Code Not Found")</f>
        <v>Magnoliaceae</v>
      </c>
      <c r="O963" t="str" cm="1">
        <f t="array" ref="O963">_xlfn.IFS(F963="","",F963&lt;=5,"0 to 5",F963&lt;=10,"5.1 to 10",F963&lt;=20,"10 to 20", F963&lt;= 40, "20 to 40", F963 &lt;= 50, "40 to 50", F963 &gt; 50, "&gt;50" )</f>
        <v>&gt;50</v>
      </c>
    </row>
    <row r="964" spans="1:15" ht="14.4" x14ac:dyDescent="0.3">
      <c r="A964" t="s">
        <v>213</v>
      </c>
      <c r="B964" s="1">
        <v>46184</v>
      </c>
      <c r="C964" t="s">
        <v>16</v>
      </c>
      <c r="D964">
        <v>901</v>
      </c>
      <c r="E964">
        <v>1</v>
      </c>
      <c r="F964">
        <v>3</v>
      </c>
      <c r="G964" t="s">
        <v>34</v>
      </c>
      <c r="H964" t="s">
        <v>224</v>
      </c>
      <c r="I964" t="str">
        <f t="shared" si="15"/>
        <v>901_1</v>
      </c>
      <c r="J964" t="s">
        <v>214</v>
      </c>
      <c r="K964" t="s">
        <v>19</v>
      </c>
      <c r="L964" t="str">
        <f>_xlfn.XLOOKUP(C964, Table2[Species],Table2[Genus], "Code Not Found")</f>
        <v>Acer</v>
      </c>
      <c r="M964" t="str">
        <f>_xlfn.XLOOKUP(C964, Table2[Species],Table2[Sp. Name], "Code Not Found")</f>
        <v>saccharum</v>
      </c>
      <c r="N964" t="str">
        <f>_xlfn.XLOOKUP(C964,Table2[Species],Table2[Family],"Code Not Found")</f>
        <v>Sapindaceae</v>
      </c>
      <c r="O964" t="str" cm="1">
        <f t="array" ref="O964">_xlfn.IFS(F964="","",F964&lt;=5,"0 to 5",F964&lt;=10,"5.1 to 10",F964&lt;=20,"10 to 20", F964&lt;= 40, "20 to 40", F964 &lt;= 50, "40 to 50", F964 &gt; 50, "&gt;50" )</f>
        <v>0 to 5</v>
      </c>
    </row>
    <row r="965" spans="1:15" ht="14.4" x14ac:dyDescent="0.3">
      <c r="A965" t="s">
        <v>213</v>
      </c>
      <c r="B965" s="1">
        <v>46184</v>
      </c>
      <c r="C965" t="s">
        <v>16</v>
      </c>
      <c r="D965">
        <v>901</v>
      </c>
      <c r="E965">
        <v>2</v>
      </c>
      <c r="F965">
        <v>1.7</v>
      </c>
      <c r="G965" t="s">
        <v>34</v>
      </c>
      <c r="I965" t="str">
        <f t="shared" si="15"/>
        <v>901_2</v>
      </c>
      <c r="J965" t="s">
        <v>214</v>
      </c>
      <c r="K965" t="s">
        <v>19</v>
      </c>
      <c r="L965" t="str">
        <f>_xlfn.XLOOKUP(C965, Table2[Species],Table2[Genus], "Code Not Found")</f>
        <v>Acer</v>
      </c>
      <c r="M965" t="str">
        <f>_xlfn.XLOOKUP(C965, Table2[Species],Table2[Sp. Name], "Code Not Found")</f>
        <v>saccharum</v>
      </c>
      <c r="N965" t="str">
        <f>_xlfn.XLOOKUP(C965,Table2[Species],Table2[Family],"Code Not Found")</f>
        <v>Sapindaceae</v>
      </c>
      <c r="O965" t="str" cm="1">
        <f t="array" ref="O965">_xlfn.IFS(F965="","",F965&lt;=5,"0 to 5",F965&lt;=10,"5.1 to 10",F965&lt;=20,"10 to 20", F965&lt;= 40, "20 to 40", F965 &lt;= 50, "40 to 50", F965 &gt; 50, "&gt;50" )</f>
        <v>0 to 5</v>
      </c>
    </row>
    <row r="966" spans="1:15" ht="14.4" x14ac:dyDescent="0.3">
      <c r="A966" t="s">
        <v>213</v>
      </c>
      <c r="B966" s="1">
        <v>46184</v>
      </c>
      <c r="C966" t="s">
        <v>22</v>
      </c>
      <c r="D966">
        <v>902</v>
      </c>
      <c r="E966">
        <v>1</v>
      </c>
      <c r="F966">
        <v>13.7</v>
      </c>
      <c r="G966" t="s">
        <v>21</v>
      </c>
      <c r="I966" t="str">
        <f t="shared" si="15"/>
        <v>902_1</v>
      </c>
      <c r="J966" t="s">
        <v>214</v>
      </c>
      <c r="K966" t="s">
        <v>19</v>
      </c>
      <c r="L966" t="str">
        <f>_xlfn.XLOOKUP(C966, Table2[Species],Table2[Genus], "Code Not Found")</f>
        <v>Acer</v>
      </c>
      <c r="M966" t="str">
        <f>_xlfn.XLOOKUP(C966, Table2[Species],Table2[Sp. Name], "Code Not Found")</f>
        <v>rubrum</v>
      </c>
      <c r="N966" t="str">
        <f>_xlfn.XLOOKUP(C966,Table2[Species],Table2[Family],"Code Not Found")</f>
        <v>Sapindaceae</v>
      </c>
      <c r="O966" t="str" cm="1">
        <f t="array" ref="O966">_xlfn.IFS(F966="","",F966&lt;=5,"0 to 5",F966&lt;=10,"5.1 to 10",F966&lt;=20,"10 to 20", F966&lt;= 40, "20 to 40", F966 &lt;= 50, "40 to 50", F966 &gt; 50, "&gt;50" )</f>
        <v>10 to 20</v>
      </c>
    </row>
    <row r="967" spans="1:15" ht="14.4" x14ac:dyDescent="0.3">
      <c r="A967" t="s">
        <v>213</v>
      </c>
      <c r="B967" s="1">
        <v>46184</v>
      </c>
      <c r="C967" t="s">
        <v>22</v>
      </c>
      <c r="D967">
        <v>903</v>
      </c>
      <c r="E967">
        <v>1</v>
      </c>
      <c r="F967">
        <v>16</v>
      </c>
      <c r="G967" t="s">
        <v>21</v>
      </c>
      <c r="I967" t="str">
        <f t="shared" si="15"/>
        <v>903_1</v>
      </c>
      <c r="J967" t="s">
        <v>214</v>
      </c>
      <c r="K967" t="s">
        <v>19</v>
      </c>
      <c r="L967" t="str">
        <f>_xlfn.XLOOKUP(C967, Table2[Species],Table2[Genus], "Code Not Found")</f>
        <v>Acer</v>
      </c>
      <c r="M967" t="str">
        <f>_xlfn.XLOOKUP(C967, Table2[Species],Table2[Sp. Name], "Code Not Found")</f>
        <v>rubrum</v>
      </c>
      <c r="N967" t="str">
        <f>_xlfn.XLOOKUP(C967,Table2[Species],Table2[Family],"Code Not Found")</f>
        <v>Sapindaceae</v>
      </c>
      <c r="O967" t="str" cm="1">
        <f t="array" ref="O967">_xlfn.IFS(F967="","",F967&lt;=5,"0 to 5",F967&lt;=10,"5.1 to 10",F967&lt;=20,"10 to 20", F967&lt;= 40, "20 to 40", F967 &lt;= 50, "40 to 50", F967 &gt; 50, "&gt;50" )</f>
        <v>10 to 20</v>
      </c>
    </row>
    <row r="968" spans="1:15" ht="14.4" x14ac:dyDescent="0.3">
      <c r="A968" t="s">
        <v>213</v>
      </c>
      <c r="B968" s="1">
        <v>46184</v>
      </c>
      <c r="C968" t="s">
        <v>123</v>
      </c>
      <c r="D968">
        <v>904</v>
      </c>
      <c r="E968">
        <v>1</v>
      </c>
      <c r="F968">
        <v>36.4</v>
      </c>
      <c r="I968" t="str">
        <f t="shared" si="15"/>
        <v>904_1</v>
      </c>
      <c r="J968" t="s">
        <v>214</v>
      </c>
      <c r="K968" t="s">
        <v>19</v>
      </c>
      <c r="L968" t="str">
        <f>_xlfn.XLOOKUP(C968, Table2[Species],Table2[Genus], "Code Not Found")</f>
        <v>Quercus</v>
      </c>
      <c r="M968" t="str">
        <f>_xlfn.XLOOKUP(C968, Table2[Species],Table2[Sp. Name], "Code Not Found")</f>
        <v>rubra</v>
      </c>
      <c r="N968" t="str">
        <f>_xlfn.XLOOKUP(C968,Table2[Species],Table2[Family],"Code Not Found")</f>
        <v>Fagaceae</v>
      </c>
      <c r="O968" t="str" cm="1">
        <f t="array" ref="O968">_xlfn.IFS(F968="","",F968&lt;=5,"0 to 5",F968&lt;=10,"5.1 to 10",F968&lt;=20,"10 to 20", F968&lt;= 40, "20 to 40", F968 &lt;= 50, "40 to 50", F968 &gt; 50, "&gt;50" )</f>
        <v>20 to 40</v>
      </c>
    </row>
    <row r="969" spans="1:15" ht="14.4" x14ac:dyDescent="0.3">
      <c r="A969" t="s">
        <v>213</v>
      </c>
      <c r="B969" s="1">
        <v>46184</v>
      </c>
      <c r="C969" t="s">
        <v>22</v>
      </c>
      <c r="D969">
        <v>905</v>
      </c>
      <c r="E969">
        <v>1</v>
      </c>
      <c r="F969">
        <v>9.1999999999999993</v>
      </c>
      <c r="I969" t="str">
        <f t="shared" si="15"/>
        <v>905_1</v>
      </c>
      <c r="J969" t="s">
        <v>214</v>
      </c>
      <c r="K969" t="s">
        <v>19</v>
      </c>
      <c r="L969" t="str">
        <f>_xlfn.XLOOKUP(C969, Table2[Species],Table2[Genus], "Code Not Found")</f>
        <v>Acer</v>
      </c>
      <c r="M969" t="str">
        <f>_xlfn.XLOOKUP(C969, Table2[Species],Table2[Sp. Name], "Code Not Found")</f>
        <v>rubrum</v>
      </c>
      <c r="N969" t="str">
        <f>_xlfn.XLOOKUP(C969,Table2[Species],Table2[Family],"Code Not Found")</f>
        <v>Sapindaceae</v>
      </c>
      <c r="O969" t="str" cm="1">
        <f t="array" ref="O969">_xlfn.IFS(F969="","",F969&lt;=5,"0 to 5",F969&lt;=10,"5.1 to 10",F969&lt;=20,"10 to 20", F969&lt;= 40, "20 to 40", F969 &lt;= 50, "40 to 50", F969 &gt; 50, "&gt;50" )</f>
        <v>5.1 to 10</v>
      </c>
    </row>
    <row r="970" spans="1:15" ht="14.4" x14ac:dyDescent="0.3">
      <c r="A970" t="s">
        <v>213</v>
      </c>
      <c r="B970" s="1">
        <v>46184</v>
      </c>
      <c r="C970" t="s">
        <v>22</v>
      </c>
      <c r="D970">
        <v>906</v>
      </c>
      <c r="E970">
        <v>1</v>
      </c>
      <c r="F970">
        <v>12.8</v>
      </c>
      <c r="I970" t="str">
        <f t="shared" si="15"/>
        <v>906_1</v>
      </c>
      <c r="J970" t="s">
        <v>214</v>
      </c>
      <c r="K970" t="s">
        <v>19</v>
      </c>
      <c r="L970" t="str">
        <f>_xlfn.XLOOKUP(C970, Table2[Species],Table2[Genus], "Code Not Found")</f>
        <v>Acer</v>
      </c>
      <c r="M970" t="str">
        <f>_xlfn.XLOOKUP(C970, Table2[Species],Table2[Sp. Name], "Code Not Found")</f>
        <v>rubrum</v>
      </c>
      <c r="N970" t="str">
        <f>_xlfn.XLOOKUP(C970,Table2[Species],Table2[Family],"Code Not Found")</f>
        <v>Sapindaceae</v>
      </c>
      <c r="O970" t="str" cm="1">
        <f t="array" ref="O970">_xlfn.IFS(F970="","",F970&lt;=5,"0 to 5",F970&lt;=10,"5.1 to 10",F970&lt;=20,"10 to 20", F970&lt;= 40, "20 to 40", F970 &lt;= 50, "40 to 50", F970 &gt; 50, "&gt;50" )</f>
        <v>10 to 20</v>
      </c>
    </row>
    <row r="971" spans="1:15" ht="14.4" x14ac:dyDescent="0.3">
      <c r="A971" t="s">
        <v>213</v>
      </c>
      <c r="B971" s="1">
        <v>46184</v>
      </c>
      <c r="C971" t="s">
        <v>16</v>
      </c>
      <c r="D971">
        <v>907</v>
      </c>
      <c r="E971">
        <v>1</v>
      </c>
      <c r="F971">
        <v>2.8</v>
      </c>
      <c r="G971" t="s">
        <v>17</v>
      </c>
      <c r="I971" t="str">
        <f t="shared" si="15"/>
        <v>907_1</v>
      </c>
      <c r="J971" t="s">
        <v>214</v>
      </c>
      <c r="K971" t="s">
        <v>19</v>
      </c>
      <c r="L971" t="str">
        <f>_xlfn.XLOOKUP(C971, Table2[Species],Table2[Genus], "Code Not Found")</f>
        <v>Acer</v>
      </c>
      <c r="M971" t="str">
        <f>_xlfn.XLOOKUP(C971, Table2[Species],Table2[Sp. Name], "Code Not Found")</f>
        <v>saccharum</v>
      </c>
      <c r="N971" t="str">
        <f>_xlfn.XLOOKUP(C971,Table2[Species],Table2[Family],"Code Not Found")</f>
        <v>Sapindaceae</v>
      </c>
      <c r="O971" t="str" cm="1">
        <f t="array" ref="O971">_xlfn.IFS(F971="","",F971&lt;=5,"0 to 5",F971&lt;=10,"5.1 to 10",F971&lt;=20,"10 to 20", F971&lt;= 40, "20 to 40", F971 &lt;= 50, "40 to 50", F971 &gt; 50, "&gt;50" )</f>
        <v>0 to 5</v>
      </c>
    </row>
    <row r="972" spans="1:15" ht="14.4" x14ac:dyDescent="0.3">
      <c r="A972" t="s">
        <v>213</v>
      </c>
      <c r="B972" s="1">
        <v>46184</v>
      </c>
      <c r="C972" t="s">
        <v>24</v>
      </c>
      <c r="D972">
        <v>908</v>
      </c>
      <c r="E972">
        <v>1</v>
      </c>
      <c r="F972">
        <v>69.400000000000006</v>
      </c>
      <c r="I972" t="str">
        <f t="shared" si="15"/>
        <v>908_1</v>
      </c>
      <c r="J972" t="s">
        <v>214</v>
      </c>
      <c r="K972" t="s">
        <v>19</v>
      </c>
      <c r="L972" t="str">
        <f>_xlfn.XLOOKUP(C972, Table2[Species],Table2[Genus], "Code Not Found")</f>
        <v>Lirodendron</v>
      </c>
      <c r="M972" t="str">
        <f>_xlfn.XLOOKUP(C972, Table2[Species],Table2[Sp. Name], "Code Not Found")</f>
        <v>tulipfera</v>
      </c>
      <c r="N972" t="str">
        <f>_xlfn.XLOOKUP(C972,Table2[Species],Table2[Family],"Code Not Found")</f>
        <v>Magnoliaceae</v>
      </c>
      <c r="O972" t="str" cm="1">
        <f t="array" ref="O972">_xlfn.IFS(F972="","",F972&lt;=5,"0 to 5",F972&lt;=10,"5.1 to 10",F972&lt;=20,"10 to 20", F972&lt;= 40, "20 to 40", F972 &lt;= 50, "40 to 50", F972 &gt; 50, "&gt;50" )</f>
        <v>&gt;50</v>
      </c>
    </row>
    <row r="973" spans="1:15" ht="14.4" x14ac:dyDescent="0.3">
      <c r="A973" t="s">
        <v>213</v>
      </c>
      <c r="B973" s="1">
        <v>46184</v>
      </c>
      <c r="C973" t="s">
        <v>16</v>
      </c>
      <c r="D973">
        <v>909</v>
      </c>
      <c r="E973">
        <v>1</v>
      </c>
      <c r="F973">
        <v>2.9</v>
      </c>
      <c r="I973" t="str">
        <f t="shared" si="15"/>
        <v>909_1</v>
      </c>
      <c r="J973" t="s">
        <v>214</v>
      </c>
      <c r="K973" t="s">
        <v>19</v>
      </c>
      <c r="L973" t="str">
        <f>_xlfn.XLOOKUP(C973, Table2[Species],Table2[Genus], "Code Not Found")</f>
        <v>Acer</v>
      </c>
      <c r="M973" t="str">
        <f>_xlfn.XLOOKUP(C973, Table2[Species],Table2[Sp. Name], "Code Not Found")</f>
        <v>saccharum</v>
      </c>
      <c r="N973" t="str">
        <f>_xlfn.XLOOKUP(C973,Table2[Species],Table2[Family],"Code Not Found")</f>
        <v>Sapindaceae</v>
      </c>
      <c r="O973" t="str" cm="1">
        <f t="array" ref="O973">_xlfn.IFS(F973="","",F973&lt;=5,"0 to 5",F973&lt;=10,"5.1 to 10",F973&lt;=20,"10 to 20", F973&lt;= 40, "20 to 40", F973 &lt;= 50, "40 to 50", F973 &gt; 50, "&gt;50" )</f>
        <v>0 to 5</v>
      </c>
    </row>
    <row r="974" spans="1:15" ht="14.4" x14ac:dyDescent="0.3">
      <c r="A974" t="s">
        <v>213</v>
      </c>
      <c r="B974" s="1">
        <v>46184</v>
      </c>
      <c r="C974" t="s">
        <v>22</v>
      </c>
      <c r="D974">
        <v>910</v>
      </c>
      <c r="E974">
        <v>1</v>
      </c>
      <c r="F974">
        <v>5.9</v>
      </c>
      <c r="I974" t="str">
        <f t="shared" si="15"/>
        <v>910_1</v>
      </c>
      <c r="J974" t="s">
        <v>214</v>
      </c>
      <c r="K974" t="s">
        <v>19</v>
      </c>
      <c r="L974" t="str">
        <f>_xlfn.XLOOKUP(C974, Table2[Species],Table2[Genus], "Code Not Found")</f>
        <v>Acer</v>
      </c>
      <c r="M974" t="str">
        <f>_xlfn.XLOOKUP(C974, Table2[Species],Table2[Sp. Name], "Code Not Found")</f>
        <v>rubrum</v>
      </c>
      <c r="N974" t="str">
        <f>_xlfn.XLOOKUP(C974,Table2[Species],Table2[Family],"Code Not Found")</f>
        <v>Sapindaceae</v>
      </c>
      <c r="O974" t="str" cm="1">
        <f t="array" ref="O974">_xlfn.IFS(F974="","",F974&lt;=5,"0 to 5",F974&lt;=10,"5.1 to 10",F974&lt;=20,"10 to 20", F974&lt;= 40, "20 to 40", F974 &lt;= 50, "40 to 50", F974 &gt; 50, "&gt;50" )</f>
        <v>5.1 to 10</v>
      </c>
    </row>
    <row r="975" spans="1:15" ht="14.4" x14ac:dyDescent="0.3">
      <c r="A975" t="s">
        <v>213</v>
      </c>
      <c r="B975" s="1">
        <v>46184</v>
      </c>
      <c r="C975" t="s">
        <v>22</v>
      </c>
      <c r="D975">
        <v>911</v>
      </c>
      <c r="E975">
        <v>1</v>
      </c>
      <c r="F975">
        <v>16.2</v>
      </c>
      <c r="I975" t="str">
        <f t="shared" si="15"/>
        <v>911_1</v>
      </c>
      <c r="J975" t="s">
        <v>214</v>
      </c>
      <c r="K975" t="s">
        <v>19</v>
      </c>
      <c r="L975" t="str">
        <f>_xlfn.XLOOKUP(C975, Table2[Species],Table2[Genus], "Code Not Found")</f>
        <v>Acer</v>
      </c>
      <c r="M975" t="str">
        <f>_xlfn.XLOOKUP(C975, Table2[Species],Table2[Sp. Name], "Code Not Found")</f>
        <v>rubrum</v>
      </c>
      <c r="N975" t="str">
        <f>_xlfn.XLOOKUP(C975,Table2[Species],Table2[Family],"Code Not Found")</f>
        <v>Sapindaceae</v>
      </c>
      <c r="O975" t="str" cm="1">
        <f t="array" ref="O975">_xlfn.IFS(F975="","",F975&lt;=5,"0 to 5",F975&lt;=10,"5.1 to 10",F975&lt;=20,"10 to 20", F975&lt;= 40, "20 to 40", F975 &lt;= 50, "40 to 50", F975 &gt; 50, "&gt;50" )</f>
        <v>10 to 20</v>
      </c>
    </row>
    <row r="976" spans="1:15" ht="14.4" x14ac:dyDescent="0.3">
      <c r="A976" t="s">
        <v>213</v>
      </c>
      <c r="B976" s="1">
        <v>46184</v>
      </c>
      <c r="C976" t="s">
        <v>16</v>
      </c>
      <c r="D976">
        <v>912</v>
      </c>
      <c r="E976">
        <v>1</v>
      </c>
      <c r="F976">
        <v>4.0999999999999996</v>
      </c>
      <c r="G976" t="s">
        <v>225</v>
      </c>
      <c r="H976" t="s">
        <v>226</v>
      </c>
      <c r="I976" t="str">
        <f t="shared" si="15"/>
        <v>912_1</v>
      </c>
      <c r="J976" t="s">
        <v>214</v>
      </c>
      <c r="K976" t="s">
        <v>19</v>
      </c>
      <c r="L976" t="str">
        <f>_xlfn.XLOOKUP(C976, Table2[Species],Table2[Genus], "Code Not Found")</f>
        <v>Acer</v>
      </c>
      <c r="M976" t="str">
        <f>_xlfn.XLOOKUP(C976, Table2[Species],Table2[Sp. Name], "Code Not Found")</f>
        <v>saccharum</v>
      </c>
      <c r="N976" t="str">
        <f>_xlfn.XLOOKUP(C976,Table2[Species],Table2[Family],"Code Not Found")</f>
        <v>Sapindaceae</v>
      </c>
      <c r="O976" t="str" cm="1">
        <f t="array" ref="O976">_xlfn.IFS(F976="","",F976&lt;=5,"0 to 5",F976&lt;=10,"5.1 to 10",F976&lt;=20,"10 to 20", F976&lt;= 40, "20 to 40", F976 &lt;= 50, "40 to 50", F976 &gt; 50, "&gt;50" )</f>
        <v>0 to 5</v>
      </c>
    </row>
    <row r="977" spans="1:15" ht="14.4" x14ac:dyDescent="0.3">
      <c r="A977" t="s">
        <v>213</v>
      </c>
      <c r="B977" s="1">
        <v>46184</v>
      </c>
      <c r="C977" t="s">
        <v>16</v>
      </c>
      <c r="D977">
        <v>913</v>
      </c>
      <c r="E977">
        <v>1</v>
      </c>
      <c r="F977">
        <v>2.6</v>
      </c>
      <c r="G977" t="s">
        <v>34</v>
      </c>
      <c r="I977" t="str">
        <f t="shared" si="15"/>
        <v>913_1</v>
      </c>
      <c r="J977" t="s">
        <v>214</v>
      </c>
      <c r="K977" t="s">
        <v>19</v>
      </c>
      <c r="L977" t="str">
        <f>_xlfn.XLOOKUP(C977, Table2[Species],Table2[Genus], "Code Not Found")</f>
        <v>Acer</v>
      </c>
      <c r="M977" t="str">
        <f>_xlfn.XLOOKUP(C977, Table2[Species],Table2[Sp. Name], "Code Not Found")</f>
        <v>saccharum</v>
      </c>
      <c r="N977" t="str">
        <f>_xlfn.XLOOKUP(C977,Table2[Species],Table2[Family],"Code Not Found")</f>
        <v>Sapindaceae</v>
      </c>
      <c r="O977" t="str" cm="1">
        <f t="array" ref="O977">_xlfn.IFS(F977="","",F977&lt;=5,"0 to 5",F977&lt;=10,"5.1 to 10",F977&lt;=20,"10 to 20", F977&lt;= 40, "20 to 40", F977 &lt;= 50, "40 to 50", F977 &gt; 50, "&gt;50" )</f>
        <v>0 to 5</v>
      </c>
    </row>
    <row r="978" spans="1:15" ht="14.4" x14ac:dyDescent="0.3">
      <c r="A978" t="s">
        <v>213</v>
      </c>
      <c r="B978" s="1">
        <v>46184</v>
      </c>
      <c r="C978" t="s">
        <v>16</v>
      </c>
      <c r="D978">
        <v>913</v>
      </c>
      <c r="E978">
        <v>2</v>
      </c>
      <c r="F978">
        <v>2.2000000000000002</v>
      </c>
      <c r="G978" t="s">
        <v>34</v>
      </c>
      <c r="I978" t="str">
        <f t="shared" si="15"/>
        <v>913_2</v>
      </c>
      <c r="J978" t="s">
        <v>214</v>
      </c>
      <c r="K978" t="s">
        <v>19</v>
      </c>
      <c r="L978" t="str">
        <f>_xlfn.XLOOKUP(C978, Table2[Species],Table2[Genus], "Code Not Found")</f>
        <v>Acer</v>
      </c>
      <c r="M978" t="str">
        <f>_xlfn.XLOOKUP(C978, Table2[Species],Table2[Sp. Name], "Code Not Found")</f>
        <v>saccharum</v>
      </c>
      <c r="N978" t="str">
        <f>_xlfn.XLOOKUP(C978,Table2[Species],Table2[Family],"Code Not Found")</f>
        <v>Sapindaceae</v>
      </c>
      <c r="O978" t="str" cm="1">
        <f t="array" ref="O978">_xlfn.IFS(F978="","",F978&lt;=5,"0 to 5",F978&lt;=10,"5.1 to 10",F978&lt;=20,"10 to 20", F978&lt;= 40, "20 to 40", F978 &lt;= 50, "40 to 50", F978 &gt; 50, "&gt;50" )</f>
        <v>0 to 5</v>
      </c>
    </row>
    <row r="979" spans="1:15" ht="14.4" x14ac:dyDescent="0.3">
      <c r="A979" t="s">
        <v>213</v>
      </c>
      <c r="B979" s="1">
        <v>46184</v>
      </c>
      <c r="C979" t="s">
        <v>64</v>
      </c>
      <c r="D979">
        <v>914</v>
      </c>
      <c r="E979">
        <v>1</v>
      </c>
      <c r="F979">
        <v>3</v>
      </c>
      <c r="G979" t="s">
        <v>47</v>
      </c>
      <c r="H979" t="s">
        <v>43</v>
      </c>
      <c r="I979" t="str">
        <f t="shared" si="15"/>
        <v>914_1</v>
      </c>
      <c r="J979" t="s">
        <v>214</v>
      </c>
      <c r="K979" t="s">
        <v>19</v>
      </c>
      <c r="L979" t="str">
        <f>_xlfn.XLOOKUP(C979, Table2[Species],Table2[Genus], "Code Not Found")</f>
        <v>Fagus</v>
      </c>
      <c r="M979" t="str">
        <f>_xlfn.XLOOKUP(C979, Table2[Species],Table2[Sp. Name], "Code Not Found")</f>
        <v>grandifolia</v>
      </c>
      <c r="N979" t="str">
        <f>_xlfn.XLOOKUP(C979,Table2[Species],Table2[Family],"Code Not Found")</f>
        <v>Fagaceae</v>
      </c>
      <c r="O979" t="str" cm="1">
        <f t="array" ref="O979">_xlfn.IFS(F979="","",F979&lt;=5,"0 to 5",F979&lt;=10,"5.1 to 10",F979&lt;=20,"10 to 20", F979&lt;= 40, "20 to 40", F979 &lt;= 50, "40 to 50", F979 &gt; 50, "&gt;50" )</f>
        <v>0 to 5</v>
      </c>
    </row>
    <row r="980" spans="1:15" ht="14.4" x14ac:dyDescent="0.3">
      <c r="A980" t="s">
        <v>213</v>
      </c>
      <c r="B980" s="1">
        <v>46184</v>
      </c>
      <c r="C980" t="s">
        <v>22</v>
      </c>
      <c r="D980">
        <v>915</v>
      </c>
      <c r="E980">
        <v>1</v>
      </c>
      <c r="F980">
        <v>28</v>
      </c>
      <c r="G980" t="s">
        <v>56</v>
      </c>
      <c r="I980" t="str">
        <f t="shared" si="15"/>
        <v>915_1</v>
      </c>
      <c r="J980" t="s">
        <v>214</v>
      </c>
      <c r="K980" t="s">
        <v>19</v>
      </c>
      <c r="L980" t="str">
        <f>_xlfn.XLOOKUP(C980, Table2[Species],Table2[Genus], "Code Not Found")</f>
        <v>Acer</v>
      </c>
      <c r="M980" t="str">
        <f>_xlfn.XLOOKUP(C980, Table2[Species],Table2[Sp. Name], "Code Not Found")</f>
        <v>rubrum</v>
      </c>
      <c r="N980" t="str">
        <f>_xlfn.XLOOKUP(C980,Table2[Species],Table2[Family],"Code Not Found")</f>
        <v>Sapindaceae</v>
      </c>
      <c r="O980" t="str" cm="1">
        <f t="array" ref="O980">_xlfn.IFS(F980="","",F980&lt;=5,"0 to 5",F980&lt;=10,"5.1 to 10",F980&lt;=20,"10 to 20", F980&lt;= 40, "20 to 40", F980 &lt;= 50, "40 to 50", F980 &gt; 50, "&gt;50" )</f>
        <v>20 to 40</v>
      </c>
    </row>
    <row r="981" spans="1:15" ht="14.4" x14ac:dyDescent="0.3">
      <c r="A981" t="s">
        <v>213</v>
      </c>
      <c r="B981" s="1">
        <v>46184</v>
      </c>
      <c r="C981" t="s">
        <v>64</v>
      </c>
      <c r="D981">
        <v>916</v>
      </c>
      <c r="E981">
        <v>1</v>
      </c>
      <c r="F981">
        <v>1.3</v>
      </c>
      <c r="G981" t="s">
        <v>17</v>
      </c>
      <c r="H981" t="s">
        <v>227</v>
      </c>
      <c r="I981" t="str">
        <f t="shared" si="15"/>
        <v>916_1</v>
      </c>
      <c r="J981" t="s">
        <v>214</v>
      </c>
      <c r="K981" t="s">
        <v>19</v>
      </c>
      <c r="L981" t="str">
        <f>_xlfn.XLOOKUP(C981, Table2[Species],Table2[Genus], "Code Not Found")</f>
        <v>Fagus</v>
      </c>
      <c r="M981" t="str">
        <f>_xlfn.XLOOKUP(C981, Table2[Species],Table2[Sp. Name], "Code Not Found")</f>
        <v>grandifolia</v>
      </c>
      <c r="N981" t="str">
        <f>_xlfn.XLOOKUP(C981,Table2[Species],Table2[Family],"Code Not Found")</f>
        <v>Fagaceae</v>
      </c>
      <c r="O981" t="str" cm="1">
        <f t="array" ref="O981">_xlfn.IFS(F981="","",F981&lt;=5,"0 to 5",F981&lt;=10,"5.1 to 10",F981&lt;=20,"10 to 20", F981&lt;= 40, "20 to 40", F981 &lt;= 50, "40 to 50", F981 &gt; 50, "&gt;50" )</f>
        <v>0 to 5</v>
      </c>
    </row>
    <row r="982" spans="1:15" ht="14.4" x14ac:dyDescent="0.3">
      <c r="A982" t="s">
        <v>213</v>
      </c>
      <c r="B982" s="1">
        <v>46184</v>
      </c>
      <c r="C982" t="s">
        <v>64</v>
      </c>
      <c r="D982">
        <v>917</v>
      </c>
      <c r="E982">
        <v>1</v>
      </c>
      <c r="F982">
        <v>2</v>
      </c>
      <c r="G982" t="s">
        <v>32</v>
      </c>
      <c r="I982" t="str">
        <f t="shared" si="15"/>
        <v>917_1</v>
      </c>
      <c r="J982" t="s">
        <v>214</v>
      </c>
      <c r="K982" t="s">
        <v>19</v>
      </c>
      <c r="L982" t="str">
        <f>_xlfn.XLOOKUP(C982, Table2[Species],Table2[Genus], "Code Not Found")</f>
        <v>Fagus</v>
      </c>
      <c r="M982" t="str">
        <f>_xlfn.XLOOKUP(C982, Table2[Species],Table2[Sp. Name], "Code Not Found")</f>
        <v>grandifolia</v>
      </c>
      <c r="N982" t="str">
        <f>_xlfn.XLOOKUP(C982,Table2[Species],Table2[Family],"Code Not Found")</f>
        <v>Fagaceae</v>
      </c>
      <c r="O982" t="str" cm="1">
        <f t="array" ref="O982">_xlfn.IFS(F982="","",F982&lt;=5,"0 to 5",F982&lt;=10,"5.1 to 10",F982&lt;=20,"10 to 20", F982&lt;= 40, "20 to 40", F982 &lt;= 50, "40 to 50", F982 &gt; 50, "&gt;50" )</f>
        <v>0 to 5</v>
      </c>
    </row>
    <row r="983" spans="1:15" ht="14.4" x14ac:dyDescent="0.3">
      <c r="A983" t="s">
        <v>213</v>
      </c>
      <c r="B983" s="1">
        <v>46184</v>
      </c>
      <c r="C983" t="s">
        <v>64</v>
      </c>
      <c r="D983">
        <v>917</v>
      </c>
      <c r="E983">
        <v>2</v>
      </c>
      <c r="F983">
        <v>1</v>
      </c>
      <c r="G983" t="s">
        <v>32</v>
      </c>
      <c r="I983" t="str">
        <f t="shared" si="15"/>
        <v>917_2</v>
      </c>
      <c r="J983" t="s">
        <v>214</v>
      </c>
      <c r="K983" t="s">
        <v>19</v>
      </c>
      <c r="L983" t="str">
        <f>_xlfn.XLOOKUP(C983, Table2[Species],Table2[Genus], "Code Not Found")</f>
        <v>Fagus</v>
      </c>
      <c r="M983" t="str">
        <f>_xlfn.XLOOKUP(C983, Table2[Species],Table2[Sp. Name], "Code Not Found")</f>
        <v>grandifolia</v>
      </c>
      <c r="N983" t="str">
        <f>_xlfn.XLOOKUP(C983,Table2[Species],Table2[Family],"Code Not Found")</f>
        <v>Fagaceae</v>
      </c>
      <c r="O983" t="str" cm="1">
        <f t="array" ref="O983">_xlfn.IFS(F983="","",F983&lt;=5,"0 to 5",F983&lt;=10,"5.1 to 10",F983&lt;=20,"10 to 20", F983&lt;= 40, "20 to 40", F983 &lt;= 50, "40 to 50", F983 &gt; 50, "&gt;50" )</f>
        <v>0 to 5</v>
      </c>
    </row>
    <row r="984" spans="1:15" ht="14.4" x14ac:dyDescent="0.3">
      <c r="A984" t="s">
        <v>213</v>
      </c>
      <c r="B984" s="1">
        <v>46189</v>
      </c>
      <c r="C984" t="s">
        <v>22</v>
      </c>
      <c r="D984">
        <v>918</v>
      </c>
      <c r="E984">
        <v>1</v>
      </c>
      <c r="F984">
        <v>6.9</v>
      </c>
      <c r="G984" t="s">
        <v>94</v>
      </c>
      <c r="H984" t="s">
        <v>133</v>
      </c>
      <c r="I984" t="str">
        <f t="shared" si="15"/>
        <v>918_1</v>
      </c>
      <c r="J984" t="s">
        <v>214</v>
      </c>
      <c r="K984" t="s">
        <v>19</v>
      </c>
      <c r="L984" t="str">
        <f>_xlfn.XLOOKUP(C984, Table2[Species],Table2[Genus], "Code Not Found")</f>
        <v>Acer</v>
      </c>
      <c r="M984" t="str">
        <f>_xlfn.XLOOKUP(C984, Table2[Species],Table2[Sp. Name], "Code Not Found")</f>
        <v>rubrum</v>
      </c>
      <c r="N984" t="str">
        <f>_xlfn.XLOOKUP(C984,Table2[Species],Table2[Family],"Code Not Found")</f>
        <v>Sapindaceae</v>
      </c>
      <c r="O984" t="str" cm="1">
        <f t="array" ref="O984">_xlfn.IFS(F984="","",F984&lt;=5,"0 to 5",F984&lt;=10,"5.1 to 10",F984&lt;=20,"10 to 20", F984&lt;= 40, "20 to 40", F984 &lt;= 50, "40 to 50", F984 &gt; 50, "&gt;50" )</f>
        <v>5.1 to 10</v>
      </c>
    </row>
    <row r="985" spans="1:15" ht="14.4" x14ac:dyDescent="0.3">
      <c r="A985" t="s">
        <v>213</v>
      </c>
      <c r="B985" s="1">
        <v>46189</v>
      </c>
      <c r="C985" t="s">
        <v>16</v>
      </c>
      <c r="D985">
        <v>919</v>
      </c>
      <c r="E985">
        <v>1</v>
      </c>
      <c r="F985">
        <v>3.7</v>
      </c>
      <c r="G985" t="s">
        <v>30</v>
      </c>
      <c r="H985" t="s">
        <v>99</v>
      </c>
      <c r="I985" t="str">
        <f t="shared" si="15"/>
        <v>919_1</v>
      </c>
      <c r="J985" t="s">
        <v>214</v>
      </c>
      <c r="K985" t="s">
        <v>19</v>
      </c>
      <c r="L985" t="str">
        <f>_xlfn.XLOOKUP(C985, Table2[Species],Table2[Genus], "Code Not Found")</f>
        <v>Acer</v>
      </c>
      <c r="M985" t="str">
        <f>_xlfn.XLOOKUP(C985, Table2[Species],Table2[Sp. Name], "Code Not Found")</f>
        <v>saccharum</v>
      </c>
      <c r="N985" t="str">
        <f>_xlfn.XLOOKUP(C985,Table2[Species],Table2[Family],"Code Not Found")</f>
        <v>Sapindaceae</v>
      </c>
      <c r="O985" t="str" cm="1">
        <f t="array" ref="O985">_xlfn.IFS(F985="","",F985&lt;=5,"0 to 5",F985&lt;=10,"5.1 to 10",F985&lt;=20,"10 to 20", F985&lt;= 40, "20 to 40", F985 &lt;= 50, "40 to 50", F985 &gt; 50, "&gt;50" )</f>
        <v>0 to 5</v>
      </c>
    </row>
    <row r="986" spans="1:15" ht="14.4" x14ac:dyDescent="0.3">
      <c r="A986" t="s">
        <v>213</v>
      </c>
      <c r="B986" s="1">
        <v>46189</v>
      </c>
      <c r="C986" t="s">
        <v>22</v>
      </c>
      <c r="D986">
        <v>920</v>
      </c>
      <c r="E986">
        <v>1</v>
      </c>
      <c r="F986">
        <v>27.5</v>
      </c>
      <c r="G986" t="s">
        <v>17</v>
      </c>
      <c r="H986" t="s">
        <v>36</v>
      </c>
      <c r="I986" t="str">
        <f t="shared" si="15"/>
        <v>920_1</v>
      </c>
      <c r="J986" t="s">
        <v>214</v>
      </c>
      <c r="K986" t="s">
        <v>19</v>
      </c>
      <c r="L986" t="str">
        <f>_xlfn.XLOOKUP(C986, Table2[Species],Table2[Genus], "Code Not Found")</f>
        <v>Acer</v>
      </c>
      <c r="M986" t="str">
        <f>_xlfn.XLOOKUP(C986, Table2[Species],Table2[Sp. Name], "Code Not Found")</f>
        <v>rubrum</v>
      </c>
      <c r="N986" t="str">
        <f>_xlfn.XLOOKUP(C986,Table2[Species],Table2[Family],"Code Not Found")</f>
        <v>Sapindaceae</v>
      </c>
      <c r="O986" t="str" cm="1">
        <f t="array" ref="O986">_xlfn.IFS(F986="","",F986&lt;=5,"0 to 5",F986&lt;=10,"5.1 to 10",F986&lt;=20,"10 to 20", F986&lt;= 40, "20 to 40", F986 &lt;= 50, "40 to 50", F986 &gt; 50, "&gt;50" )</f>
        <v>20 to 40</v>
      </c>
    </row>
    <row r="987" spans="1:15" ht="14.4" x14ac:dyDescent="0.3">
      <c r="A987" t="s">
        <v>213</v>
      </c>
      <c r="B987" s="1">
        <v>46189</v>
      </c>
      <c r="C987" t="s">
        <v>24</v>
      </c>
      <c r="D987">
        <v>921</v>
      </c>
      <c r="E987">
        <v>1</v>
      </c>
      <c r="F987">
        <v>44.5</v>
      </c>
      <c r="G987" t="s">
        <v>21</v>
      </c>
      <c r="I987" t="str">
        <f t="shared" si="15"/>
        <v>921_1</v>
      </c>
      <c r="J987" t="s">
        <v>214</v>
      </c>
      <c r="K987" t="s">
        <v>19</v>
      </c>
      <c r="L987" t="str">
        <f>_xlfn.XLOOKUP(C987, Table2[Species],Table2[Genus], "Code Not Found")</f>
        <v>Lirodendron</v>
      </c>
      <c r="M987" t="str">
        <f>_xlfn.XLOOKUP(C987, Table2[Species],Table2[Sp. Name], "Code Not Found")</f>
        <v>tulipfera</v>
      </c>
      <c r="N987" t="str">
        <f>_xlfn.XLOOKUP(C987,Table2[Species],Table2[Family],"Code Not Found")</f>
        <v>Magnoliaceae</v>
      </c>
      <c r="O987" t="str" cm="1">
        <f t="array" ref="O987">_xlfn.IFS(F987="","",F987&lt;=5,"0 to 5",F987&lt;=10,"5.1 to 10",F987&lt;=20,"10 to 20", F987&lt;= 40, "20 to 40", F987 &lt;= 50, "40 to 50", F987 &gt; 50, "&gt;50" )</f>
        <v>40 to 50</v>
      </c>
    </row>
    <row r="988" spans="1:15" ht="14.4" x14ac:dyDescent="0.3">
      <c r="A988" t="s">
        <v>213</v>
      </c>
      <c r="B988" s="1">
        <v>46189</v>
      </c>
      <c r="C988" t="s">
        <v>16</v>
      </c>
      <c r="D988">
        <v>922</v>
      </c>
      <c r="E988">
        <v>1</v>
      </c>
      <c r="F988">
        <v>1.6</v>
      </c>
      <c r="G988" t="s">
        <v>17</v>
      </c>
      <c r="I988" t="str">
        <f t="shared" si="15"/>
        <v>922_1</v>
      </c>
      <c r="J988" t="s">
        <v>214</v>
      </c>
      <c r="K988" t="s">
        <v>19</v>
      </c>
      <c r="L988" t="str">
        <f>_xlfn.XLOOKUP(C988, Table2[Species],Table2[Genus], "Code Not Found")</f>
        <v>Acer</v>
      </c>
      <c r="M988" t="str">
        <f>_xlfn.XLOOKUP(C988, Table2[Species],Table2[Sp. Name], "Code Not Found")</f>
        <v>saccharum</v>
      </c>
      <c r="N988" t="str">
        <f>_xlfn.XLOOKUP(C988,Table2[Species],Table2[Family],"Code Not Found")</f>
        <v>Sapindaceae</v>
      </c>
      <c r="O988" t="str" cm="1">
        <f t="array" ref="O988">_xlfn.IFS(F988="","",F988&lt;=5,"0 to 5",F988&lt;=10,"5.1 to 10",F988&lt;=20,"10 to 20", F988&lt;= 40, "20 to 40", F988 &lt;= 50, "40 to 50", F988 &gt; 50, "&gt;50" )</f>
        <v>0 to 5</v>
      </c>
    </row>
    <row r="989" spans="1:15" ht="14.4" x14ac:dyDescent="0.3">
      <c r="A989" t="s">
        <v>213</v>
      </c>
      <c r="B989" s="1">
        <v>46189</v>
      </c>
      <c r="C989" t="s">
        <v>16</v>
      </c>
      <c r="D989">
        <v>923</v>
      </c>
      <c r="E989">
        <v>1</v>
      </c>
      <c r="F989">
        <v>1.3</v>
      </c>
      <c r="G989" t="s">
        <v>17</v>
      </c>
      <c r="I989" t="str">
        <f t="shared" si="15"/>
        <v>923_1</v>
      </c>
      <c r="J989" t="s">
        <v>214</v>
      </c>
      <c r="K989" t="s">
        <v>19</v>
      </c>
      <c r="L989" t="str">
        <f>_xlfn.XLOOKUP(C989, Table2[Species],Table2[Genus], "Code Not Found")</f>
        <v>Acer</v>
      </c>
      <c r="M989" t="str">
        <f>_xlfn.XLOOKUP(C989, Table2[Species],Table2[Sp. Name], "Code Not Found")</f>
        <v>saccharum</v>
      </c>
      <c r="N989" t="str">
        <f>_xlfn.XLOOKUP(C989,Table2[Species],Table2[Family],"Code Not Found")</f>
        <v>Sapindaceae</v>
      </c>
      <c r="O989" t="str" cm="1">
        <f t="array" ref="O989">_xlfn.IFS(F989="","",F989&lt;=5,"0 to 5",F989&lt;=10,"5.1 to 10",F989&lt;=20,"10 to 20", F989&lt;= 40, "20 to 40", F989 &lt;= 50, "40 to 50", F989 &gt; 50, "&gt;50" )</f>
        <v>0 to 5</v>
      </c>
    </row>
    <row r="990" spans="1:15" ht="14.4" x14ac:dyDescent="0.3">
      <c r="A990" t="s">
        <v>213</v>
      </c>
      <c r="B990" s="1">
        <v>46189</v>
      </c>
      <c r="C990" t="s">
        <v>16</v>
      </c>
      <c r="D990">
        <v>924</v>
      </c>
      <c r="E990">
        <v>1</v>
      </c>
      <c r="F990">
        <v>1.4</v>
      </c>
      <c r="G990" t="s">
        <v>47</v>
      </c>
      <c r="I990" t="str">
        <f t="shared" si="15"/>
        <v>924_1</v>
      </c>
      <c r="J990" t="s">
        <v>214</v>
      </c>
      <c r="K990" t="s">
        <v>19</v>
      </c>
      <c r="L990" t="str">
        <f>_xlfn.XLOOKUP(C990, Table2[Species],Table2[Genus], "Code Not Found")</f>
        <v>Acer</v>
      </c>
      <c r="M990" t="str">
        <f>_xlfn.XLOOKUP(C990, Table2[Species],Table2[Sp. Name], "Code Not Found")</f>
        <v>saccharum</v>
      </c>
      <c r="N990" t="str">
        <f>_xlfn.XLOOKUP(C990,Table2[Species],Table2[Family],"Code Not Found")</f>
        <v>Sapindaceae</v>
      </c>
      <c r="O990" t="str" cm="1">
        <f t="array" ref="O990">_xlfn.IFS(F990="","",F990&lt;=5,"0 to 5",F990&lt;=10,"5.1 to 10",F990&lt;=20,"10 to 20", F990&lt;= 40, "20 to 40", F990 &lt;= 50, "40 to 50", F990 &gt; 50, "&gt;50" )</f>
        <v>0 to 5</v>
      </c>
    </row>
    <row r="991" spans="1:15" ht="14.4" x14ac:dyDescent="0.3">
      <c r="A991" t="s">
        <v>213</v>
      </c>
      <c r="B991" s="1">
        <v>46189</v>
      </c>
      <c r="C991" t="s">
        <v>24</v>
      </c>
      <c r="D991">
        <v>925</v>
      </c>
      <c r="E991">
        <v>1</v>
      </c>
      <c r="F991">
        <v>44.4</v>
      </c>
      <c r="G991" t="s">
        <v>21</v>
      </c>
      <c r="I991" t="str">
        <f t="shared" si="15"/>
        <v>925_1</v>
      </c>
      <c r="J991" t="s">
        <v>214</v>
      </c>
      <c r="K991" t="s">
        <v>19</v>
      </c>
      <c r="L991" t="str">
        <f>_xlfn.XLOOKUP(C991, Table2[Species],Table2[Genus], "Code Not Found")</f>
        <v>Lirodendron</v>
      </c>
      <c r="M991" t="str">
        <f>_xlfn.XLOOKUP(C991, Table2[Species],Table2[Sp. Name], "Code Not Found")</f>
        <v>tulipfera</v>
      </c>
      <c r="N991" t="str">
        <f>_xlfn.XLOOKUP(C991,Table2[Species],Table2[Family],"Code Not Found")</f>
        <v>Magnoliaceae</v>
      </c>
      <c r="O991" t="str" cm="1">
        <f t="array" ref="O991">_xlfn.IFS(F991="","",F991&lt;=5,"0 to 5",F991&lt;=10,"5.1 to 10",F991&lt;=20,"10 to 20", F991&lt;= 40, "20 to 40", F991 &lt;= 50, "40 to 50", F991 &gt; 50, "&gt;50" )</f>
        <v>40 to 50</v>
      </c>
    </row>
    <row r="992" spans="1:15" ht="14.4" x14ac:dyDescent="0.3">
      <c r="A992" t="s">
        <v>213</v>
      </c>
      <c r="B992" s="1">
        <v>46189</v>
      </c>
      <c r="C992" t="s">
        <v>24</v>
      </c>
      <c r="D992">
        <v>926</v>
      </c>
      <c r="E992">
        <v>1</v>
      </c>
      <c r="F992">
        <v>25.2</v>
      </c>
      <c r="G992" t="s">
        <v>47</v>
      </c>
      <c r="H992" t="s">
        <v>43</v>
      </c>
      <c r="I992" t="str">
        <f t="shared" si="15"/>
        <v>926_1</v>
      </c>
      <c r="J992" t="s">
        <v>214</v>
      </c>
      <c r="K992" t="s">
        <v>19</v>
      </c>
      <c r="L992" t="str">
        <f>_xlfn.XLOOKUP(C992, Table2[Species],Table2[Genus], "Code Not Found")</f>
        <v>Lirodendron</v>
      </c>
      <c r="M992" t="str">
        <f>_xlfn.XLOOKUP(C992, Table2[Species],Table2[Sp. Name], "Code Not Found")</f>
        <v>tulipfera</v>
      </c>
      <c r="N992" t="str">
        <f>_xlfn.XLOOKUP(C992,Table2[Species],Table2[Family],"Code Not Found")</f>
        <v>Magnoliaceae</v>
      </c>
      <c r="O992" t="str" cm="1">
        <f t="array" ref="O992">_xlfn.IFS(F992="","",F992&lt;=5,"0 to 5",F992&lt;=10,"5.1 to 10",F992&lt;=20,"10 to 20", F992&lt;= 40, "20 to 40", F992 &lt;= 50, "40 to 50", F992 &gt; 50, "&gt;50" )</f>
        <v>20 to 40</v>
      </c>
    </row>
    <row r="993" spans="1:15" ht="14.4" x14ac:dyDescent="0.3">
      <c r="A993" t="s">
        <v>213</v>
      </c>
      <c r="B993" s="1">
        <v>46189</v>
      </c>
      <c r="C993" t="s">
        <v>22</v>
      </c>
      <c r="D993">
        <v>927</v>
      </c>
      <c r="E993">
        <v>1</v>
      </c>
      <c r="F993">
        <v>6.1</v>
      </c>
      <c r="G993" t="s">
        <v>21</v>
      </c>
      <c r="I993" t="str">
        <f t="shared" si="15"/>
        <v>927_1</v>
      </c>
      <c r="J993" t="s">
        <v>214</v>
      </c>
      <c r="K993" t="s">
        <v>19</v>
      </c>
      <c r="L993" t="str">
        <f>_xlfn.XLOOKUP(C993, Table2[Species],Table2[Genus], "Code Not Found")</f>
        <v>Acer</v>
      </c>
      <c r="M993" t="str">
        <f>_xlfn.XLOOKUP(C993, Table2[Species],Table2[Sp. Name], "Code Not Found")</f>
        <v>rubrum</v>
      </c>
      <c r="N993" t="str">
        <f>_xlfn.XLOOKUP(C993,Table2[Species],Table2[Family],"Code Not Found")</f>
        <v>Sapindaceae</v>
      </c>
      <c r="O993" t="str" cm="1">
        <f t="array" ref="O993">_xlfn.IFS(F993="","",F993&lt;=5,"0 to 5",F993&lt;=10,"5.1 to 10",F993&lt;=20,"10 to 20", F993&lt;= 40, "20 to 40", F993 &lt;= 50, "40 to 50", F993 &gt; 50, "&gt;50" )</f>
        <v>5.1 to 10</v>
      </c>
    </row>
    <row r="994" spans="1:15" ht="14.4" x14ac:dyDescent="0.3">
      <c r="A994" t="s">
        <v>213</v>
      </c>
      <c r="B994" s="1">
        <v>46189</v>
      </c>
      <c r="C994" t="s">
        <v>22</v>
      </c>
      <c r="D994">
        <v>928</v>
      </c>
      <c r="E994">
        <v>1</v>
      </c>
      <c r="F994">
        <v>9</v>
      </c>
      <c r="G994" t="s">
        <v>94</v>
      </c>
      <c r="H994" t="s">
        <v>228</v>
      </c>
      <c r="I994" t="str">
        <f t="shared" si="15"/>
        <v>928_1</v>
      </c>
      <c r="J994" t="s">
        <v>214</v>
      </c>
      <c r="K994" t="s">
        <v>19</v>
      </c>
      <c r="L994" t="str">
        <f>_xlfn.XLOOKUP(C994, Table2[Species],Table2[Genus], "Code Not Found")</f>
        <v>Acer</v>
      </c>
      <c r="M994" t="str">
        <f>_xlfn.XLOOKUP(C994, Table2[Species],Table2[Sp. Name], "Code Not Found")</f>
        <v>rubrum</v>
      </c>
      <c r="N994" t="str">
        <f>_xlfn.XLOOKUP(C994,Table2[Species],Table2[Family],"Code Not Found")</f>
        <v>Sapindaceae</v>
      </c>
      <c r="O994" t="str" cm="1">
        <f t="array" ref="O994">_xlfn.IFS(F994="","",F994&lt;=5,"0 to 5",F994&lt;=10,"5.1 to 10",F994&lt;=20,"10 to 20", F994&lt;= 40, "20 to 40", F994 &lt;= 50, "40 to 50", F994 &gt; 50, "&gt;50" )</f>
        <v>5.1 to 10</v>
      </c>
    </row>
    <row r="995" spans="1:15" ht="14.4" x14ac:dyDescent="0.3">
      <c r="A995" t="s">
        <v>213</v>
      </c>
      <c r="B995" s="1">
        <v>46189</v>
      </c>
      <c r="C995" t="s">
        <v>22</v>
      </c>
      <c r="D995">
        <v>929</v>
      </c>
      <c r="E995">
        <v>1</v>
      </c>
      <c r="F995">
        <v>23.5</v>
      </c>
      <c r="G995" t="s">
        <v>56</v>
      </c>
      <c r="H995" t="s">
        <v>229</v>
      </c>
      <c r="I995" t="str">
        <f t="shared" si="15"/>
        <v>929_1</v>
      </c>
      <c r="J995" t="s">
        <v>214</v>
      </c>
      <c r="K995" t="s">
        <v>19</v>
      </c>
      <c r="L995" t="str">
        <f>_xlfn.XLOOKUP(C995, Table2[Species],Table2[Genus], "Code Not Found")</f>
        <v>Acer</v>
      </c>
      <c r="M995" t="str">
        <f>_xlfn.XLOOKUP(C995, Table2[Species],Table2[Sp. Name], "Code Not Found")</f>
        <v>rubrum</v>
      </c>
      <c r="N995" t="str">
        <f>_xlfn.XLOOKUP(C995,Table2[Species],Table2[Family],"Code Not Found")</f>
        <v>Sapindaceae</v>
      </c>
      <c r="O995" t="str" cm="1">
        <f t="array" ref="O995">_xlfn.IFS(F995="","",F995&lt;=5,"0 to 5",F995&lt;=10,"5.1 to 10",F995&lt;=20,"10 to 20", F995&lt;= 40, "20 to 40", F995 &lt;= 50, "40 to 50", F995 &gt; 50, "&gt;50" )</f>
        <v>20 to 40</v>
      </c>
    </row>
    <row r="996" spans="1:15" ht="14.4" x14ac:dyDescent="0.3">
      <c r="A996" t="s">
        <v>213</v>
      </c>
      <c r="B996" s="1">
        <v>46189</v>
      </c>
      <c r="C996" t="s">
        <v>64</v>
      </c>
      <c r="D996">
        <v>930</v>
      </c>
      <c r="E996">
        <v>1</v>
      </c>
      <c r="F996">
        <v>5.3</v>
      </c>
      <c r="G996" t="s">
        <v>132</v>
      </c>
      <c r="H996" t="s">
        <v>230</v>
      </c>
      <c r="I996" t="str">
        <f t="shared" si="15"/>
        <v>930_1</v>
      </c>
      <c r="J996" t="s">
        <v>214</v>
      </c>
      <c r="K996" t="s">
        <v>19</v>
      </c>
      <c r="L996" t="str">
        <f>_xlfn.XLOOKUP(C996, Table2[Species],Table2[Genus], "Code Not Found")</f>
        <v>Fagus</v>
      </c>
      <c r="M996" t="str">
        <f>_xlfn.XLOOKUP(C996, Table2[Species],Table2[Sp. Name], "Code Not Found")</f>
        <v>grandifolia</v>
      </c>
      <c r="N996" t="str">
        <f>_xlfn.XLOOKUP(C996,Table2[Species],Table2[Family],"Code Not Found")</f>
        <v>Fagaceae</v>
      </c>
      <c r="O996" t="str" cm="1">
        <f t="array" ref="O996">_xlfn.IFS(F996="","",F996&lt;=5,"0 to 5",F996&lt;=10,"5.1 to 10",F996&lt;=20,"10 to 20", F996&lt;= 40, "20 to 40", F996 &lt;= 50, "40 to 50", F996 &gt; 50, "&gt;50" )</f>
        <v>5.1 to 10</v>
      </c>
    </row>
    <row r="997" spans="1:15" ht="14.4" x14ac:dyDescent="0.3">
      <c r="A997" t="s">
        <v>213</v>
      </c>
      <c r="B997" s="1">
        <v>46189</v>
      </c>
      <c r="C997" t="s">
        <v>64</v>
      </c>
      <c r="D997">
        <v>930</v>
      </c>
      <c r="E997">
        <v>2</v>
      </c>
      <c r="F997">
        <v>1.3</v>
      </c>
      <c r="G997" t="s">
        <v>34</v>
      </c>
      <c r="H997" t="s">
        <v>43</v>
      </c>
      <c r="I997" t="str">
        <f t="shared" si="15"/>
        <v>930_2</v>
      </c>
      <c r="J997" t="s">
        <v>214</v>
      </c>
      <c r="K997" t="s">
        <v>19</v>
      </c>
      <c r="L997" t="str">
        <f>_xlfn.XLOOKUP(C997, Table2[Species],Table2[Genus], "Code Not Found")</f>
        <v>Fagus</v>
      </c>
      <c r="M997" t="str">
        <f>_xlfn.XLOOKUP(C997, Table2[Species],Table2[Sp. Name], "Code Not Found")</f>
        <v>grandifolia</v>
      </c>
      <c r="N997" t="str">
        <f>_xlfn.XLOOKUP(C997,Table2[Species],Table2[Family],"Code Not Found")</f>
        <v>Fagaceae</v>
      </c>
      <c r="O997" t="str" cm="1">
        <f t="array" ref="O997">_xlfn.IFS(F997="","",F997&lt;=5,"0 to 5",F997&lt;=10,"5.1 to 10",F997&lt;=20,"10 to 20", F997&lt;= 40, "20 to 40", F997 &lt;= 50, "40 to 50", F997 &gt; 50, "&gt;50" )</f>
        <v>0 to 5</v>
      </c>
    </row>
    <row r="998" spans="1:15" ht="14.4" x14ac:dyDescent="0.3">
      <c r="A998" t="s">
        <v>213</v>
      </c>
      <c r="B998" s="1">
        <v>46189</v>
      </c>
      <c r="C998" t="s">
        <v>16</v>
      </c>
      <c r="D998">
        <v>931</v>
      </c>
      <c r="E998">
        <v>1</v>
      </c>
      <c r="F998">
        <v>3.4</v>
      </c>
      <c r="G998" t="s">
        <v>21</v>
      </c>
      <c r="I998" t="str">
        <f t="shared" si="15"/>
        <v>931_1</v>
      </c>
      <c r="J998" t="s">
        <v>214</v>
      </c>
      <c r="K998" t="s">
        <v>19</v>
      </c>
      <c r="L998" t="str">
        <f>_xlfn.XLOOKUP(C998, Table2[Species],Table2[Genus], "Code Not Found")</f>
        <v>Acer</v>
      </c>
      <c r="M998" t="str">
        <f>_xlfn.XLOOKUP(C998, Table2[Species],Table2[Sp. Name], "Code Not Found")</f>
        <v>saccharum</v>
      </c>
      <c r="N998" t="str">
        <f>_xlfn.XLOOKUP(C998,Table2[Species],Table2[Family],"Code Not Found")</f>
        <v>Sapindaceae</v>
      </c>
      <c r="O998" t="str" cm="1">
        <f t="array" ref="O998">_xlfn.IFS(F998="","",F998&lt;=5,"0 to 5",F998&lt;=10,"5.1 to 10",F998&lt;=20,"10 to 20", F998&lt;= 40, "20 to 40", F998 &lt;= 50, "40 to 50", F998 &gt; 50, "&gt;50" )</f>
        <v>0 to 5</v>
      </c>
    </row>
    <row r="999" spans="1:15" ht="14.4" x14ac:dyDescent="0.3">
      <c r="A999" t="s">
        <v>213</v>
      </c>
      <c r="B999" s="1">
        <v>46189</v>
      </c>
      <c r="C999" t="s">
        <v>16</v>
      </c>
      <c r="D999">
        <v>932</v>
      </c>
      <c r="E999">
        <v>1</v>
      </c>
      <c r="F999">
        <v>2.4</v>
      </c>
      <c r="G999" t="s">
        <v>21</v>
      </c>
      <c r="I999" t="str">
        <f t="shared" si="15"/>
        <v>932_1</v>
      </c>
      <c r="J999" t="s">
        <v>214</v>
      </c>
      <c r="K999" t="s">
        <v>19</v>
      </c>
      <c r="L999" t="str">
        <f>_xlfn.XLOOKUP(C999, Table2[Species],Table2[Genus], "Code Not Found")</f>
        <v>Acer</v>
      </c>
      <c r="M999" t="str">
        <f>_xlfn.XLOOKUP(C999, Table2[Species],Table2[Sp. Name], "Code Not Found")</f>
        <v>saccharum</v>
      </c>
      <c r="N999" t="str">
        <f>_xlfn.XLOOKUP(C999,Table2[Species],Table2[Family],"Code Not Found")</f>
        <v>Sapindaceae</v>
      </c>
      <c r="O999" t="str" cm="1">
        <f t="array" ref="O999">_xlfn.IFS(F999="","",F999&lt;=5,"0 to 5",F999&lt;=10,"5.1 to 10",F999&lt;=20,"10 to 20", F999&lt;= 40, "20 to 40", F999 &lt;= 50, "40 to 50", F999 &gt; 50, "&gt;50" )</f>
        <v>0 to 5</v>
      </c>
    </row>
    <row r="1000" spans="1:15" ht="14.4" x14ac:dyDescent="0.3">
      <c r="A1000" t="s">
        <v>213</v>
      </c>
      <c r="B1000" s="1">
        <v>46189</v>
      </c>
      <c r="C1000" t="s">
        <v>16</v>
      </c>
      <c r="D1000">
        <v>933</v>
      </c>
      <c r="E1000">
        <v>1</v>
      </c>
      <c r="F1000">
        <v>2.6</v>
      </c>
      <c r="G1000" t="s">
        <v>47</v>
      </c>
      <c r="I1000" t="str">
        <f t="shared" si="15"/>
        <v>933_1</v>
      </c>
      <c r="J1000" t="s">
        <v>214</v>
      </c>
      <c r="K1000" t="s">
        <v>19</v>
      </c>
      <c r="L1000" t="str">
        <f>_xlfn.XLOOKUP(C1000, Table2[Species],Table2[Genus], "Code Not Found")</f>
        <v>Acer</v>
      </c>
      <c r="M1000" t="str">
        <f>_xlfn.XLOOKUP(C1000, Table2[Species],Table2[Sp. Name], "Code Not Found")</f>
        <v>saccharum</v>
      </c>
      <c r="N1000" t="str">
        <f>_xlfn.XLOOKUP(C1000,Table2[Species],Table2[Family],"Code Not Found")</f>
        <v>Sapindaceae</v>
      </c>
      <c r="O1000" t="str" cm="1">
        <f t="array" ref="O1000">_xlfn.IFS(F1000="","",F1000&lt;=5,"0 to 5",F1000&lt;=10,"5.1 to 10",F1000&lt;=20,"10 to 20", F1000&lt;= 40, "20 to 40", F1000 &lt;= 50, "40 to 50", F1000 &gt; 50, "&gt;50" )</f>
        <v>0 to 5</v>
      </c>
    </row>
    <row r="1001" spans="1:15" ht="14.4" x14ac:dyDescent="0.3">
      <c r="A1001" t="s">
        <v>213</v>
      </c>
      <c r="B1001" s="1">
        <v>46189</v>
      </c>
      <c r="C1001" t="s">
        <v>16</v>
      </c>
      <c r="D1001">
        <v>934</v>
      </c>
      <c r="E1001">
        <v>1</v>
      </c>
      <c r="F1001">
        <v>1.7</v>
      </c>
      <c r="G1001" t="s">
        <v>17</v>
      </c>
      <c r="H1001" t="s">
        <v>231</v>
      </c>
      <c r="I1001" t="str">
        <f t="shared" si="15"/>
        <v>934_1</v>
      </c>
      <c r="J1001" t="s">
        <v>214</v>
      </c>
      <c r="K1001" t="s">
        <v>19</v>
      </c>
      <c r="L1001" t="str">
        <f>_xlfn.XLOOKUP(C1001, Table2[Species],Table2[Genus], "Code Not Found")</f>
        <v>Acer</v>
      </c>
      <c r="M1001" t="str">
        <f>_xlfn.XLOOKUP(C1001, Table2[Species],Table2[Sp. Name], "Code Not Found")</f>
        <v>saccharum</v>
      </c>
      <c r="N1001" t="str">
        <f>_xlfn.XLOOKUP(C1001,Table2[Species],Table2[Family],"Code Not Found")</f>
        <v>Sapindaceae</v>
      </c>
      <c r="O1001" t="str" cm="1">
        <f t="array" ref="O1001">_xlfn.IFS(F1001="","",F1001&lt;=5,"0 to 5",F1001&lt;=10,"5.1 to 10",F1001&lt;=20,"10 to 20", F1001&lt;= 40, "20 to 40", F1001 &lt;= 50, "40 to 50", F1001 &gt; 50, "&gt;50" )</f>
        <v>0 to 5</v>
      </c>
    </row>
    <row r="1002" spans="1:15" ht="14.4" x14ac:dyDescent="0.3">
      <c r="A1002" t="s">
        <v>213</v>
      </c>
      <c r="B1002" s="1">
        <v>46189</v>
      </c>
      <c r="C1002" t="s">
        <v>22</v>
      </c>
      <c r="D1002">
        <v>935</v>
      </c>
      <c r="E1002">
        <v>1</v>
      </c>
      <c r="F1002">
        <v>30.5</v>
      </c>
      <c r="G1002" t="s">
        <v>21</v>
      </c>
      <c r="I1002" t="str">
        <f t="shared" si="15"/>
        <v>935_1</v>
      </c>
      <c r="J1002" t="s">
        <v>214</v>
      </c>
      <c r="K1002" t="s">
        <v>19</v>
      </c>
      <c r="L1002" t="str">
        <f>_xlfn.XLOOKUP(C1002, Table2[Species],Table2[Genus], "Code Not Found")</f>
        <v>Acer</v>
      </c>
      <c r="M1002" t="str">
        <f>_xlfn.XLOOKUP(C1002, Table2[Species],Table2[Sp. Name], "Code Not Found")</f>
        <v>rubrum</v>
      </c>
      <c r="N1002" t="str">
        <f>_xlfn.XLOOKUP(C1002,Table2[Species],Table2[Family],"Code Not Found")</f>
        <v>Sapindaceae</v>
      </c>
      <c r="O1002" t="str" cm="1">
        <f t="array" ref="O1002">_xlfn.IFS(F1002="","",F1002&lt;=5,"0 to 5",F1002&lt;=10,"5.1 to 10",F1002&lt;=20,"10 to 20", F1002&lt;= 40, "20 to 40", F1002 &lt;= 50, "40 to 50", F1002 &gt; 50, "&gt;50" )</f>
        <v>20 to 40</v>
      </c>
    </row>
    <row r="1003" spans="1:15" ht="14.4" x14ac:dyDescent="0.3">
      <c r="A1003" t="s">
        <v>213</v>
      </c>
      <c r="B1003" s="1">
        <v>46189</v>
      </c>
      <c r="C1003" t="s">
        <v>16</v>
      </c>
      <c r="D1003">
        <v>936</v>
      </c>
      <c r="E1003">
        <v>1</v>
      </c>
      <c r="F1003">
        <v>2.2999999999999998</v>
      </c>
      <c r="G1003" t="s">
        <v>21</v>
      </c>
      <c r="I1003" t="str">
        <f t="shared" si="15"/>
        <v>936_1</v>
      </c>
      <c r="J1003" t="s">
        <v>214</v>
      </c>
      <c r="K1003" t="s">
        <v>19</v>
      </c>
      <c r="L1003" t="str">
        <f>_xlfn.XLOOKUP(C1003, Table2[Species],Table2[Genus], "Code Not Found")</f>
        <v>Acer</v>
      </c>
      <c r="M1003" t="str">
        <f>_xlfn.XLOOKUP(C1003, Table2[Species],Table2[Sp. Name], "Code Not Found")</f>
        <v>saccharum</v>
      </c>
      <c r="N1003" t="str">
        <f>_xlfn.XLOOKUP(C1003,Table2[Species],Table2[Family],"Code Not Found")</f>
        <v>Sapindaceae</v>
      </c>
      <c r="O1003" t="str" cm="1">
        <f t="array" ref="O1003">_xlfn.IFS(F1003="","",F1003&lt;=5,"0 to 5",F1003&lt;=10,"5.1 to 10",F1003&lt;=20,"10 to 20", F1003&lt;= 40, "20 to 40", F1003 &lt;= 50, "40 to 50", F1003 &gt; 50, "&gt;50" )</f>
        <v>0 to 5</v>
      </c>
    </row>
    <row r="1004" spans="1:15" ht="14.4" x14ac:dyDescent="0.3">
      <c r="A1004" t="s">
        <v>213</v>
      </c>
      <c r="B1004" s="1">
        <v>46189</v>
      </c>
      <c r="C1004" t="s">
        <v>16</v>
      </c>
      <c r="D1004">
        <v>937</v>
      </c>
      <c r="E1004">
        <v>1</v>
      </c>
      <c r="F1004">
        <v>2</v>
      </c>
      <c r="G1004" t="s">
        <v>17</v>
      </c>
      <c r="H1004" t="s">
        <v>232</v>
      </c>
      <c r="I1004" t="str">
        <f t="shared" si="15"/>
        <v>937_1</v>
      </c>
      <c r="J1004" t="s">
        <v>214</v>
      </c>
      <c r="K1004" t="s">
        <v>19</v>
      </c>
      <c r="L1004" t="str">
        <f>_xlfn.XLOOKUP(C1004, Table2[Species],Table2[Genus], "Code Not Found")</f>
        <v>Acer</v>
      </c>
      <c r="M1004" t="str">
        <f>_xlfn.XLOOKUP(C1004, Table2[Species],Table2[Sp. Name], "Code Not Found")</f>
        <v>saccharum</v>
      </c>
      <c r="N1004" t="str">
        <f>_xlfn.XLOOKUP(C1004,Table2[Species],Table2[Family],"Code Not Found")</f>
        <v>Sapindaceae</v>
      </c>
      <c r="O1004" t="str" cm="1">
        <f t="array" ref="O1004">_xlfn.IFS(F1004="","",F1004&lt;=5,"0 to 5",F1004&lt;=10,"5.1 to 10",F1004&lt;=20,"10 to 20", F1004&lt;= 40, "20 to 40", F1004 &lt;= 50, "40 to 50", F1004 &gt; 50, "&gt;50" )</f>
        <v>0 to 5</v>
      </c>
    </row>
    <row r="1005" spans="1:15" ht="14.4" x14ac:dyDescent="0.3">
      <c r="A1005" t="s">
        <v>213</v>
      </c>
      <c r="B1005" s="1">
        <v>46189</v>
      </c>
      <c r="C1005" t="s">
        <v>24</v>
      </c>
      <c r="D1005">
        <v>938</v>
      </c>
      <c r="E1005">
        <v>1</v>
      </c>
      <c r="F1005">
        <v>50</v>
      </c>
      <c r="G1005" t="s">
        <v>17</v>
      </c>
      <c r="H1005" t="s">
        <v>233</v>
      </c>
      <c r="I1005" t="str">
        <f t="shared" si="15"/>
        <v>938_1</v>
      </c>
      <c r="J1005" t="s">
        <v>214</v>
      </c>
      <c r="K1005" t="s">
        <v>19</v>
      </c>
      <c r="L1005" t="str">
        <f>_xlfn.XLOOKUP(C1005, Table2[Species],Table2[Genus], "Code Not Found")</f>
        <v>Lirodendron</v>
      </c>
      <c r="M1005" t="str">
        <f>_xlfn.XLOOKUP(C1005, Table2[Species],Table2[Sp. Name], "Code Not Found")</f>
        <v>tulipfera</v>
      </c>
      <c r="N1005" t="str">
        <f>_xlfn.XLOOKUP(C1005,Table2[Species],Table2[Family],"Code Not Found")</f>
        <v>Magnoliaceae</v>
      </c>
      <c r="O1005" t="str" cm="1">
        <f t="array" ref="O1005">_xlfn.IFS(F1005="","",F1005&lt;=5,"0 to 5",F1005&lt;=10,"5.1 to 10",F1005&lt;=20,"10 to 20", F1005&lt;= 40, "20 to 40", F1005 &lt;= 50, "40 to 50", F1005 &gt; 50, "&gt;50" )</f>
        <v>40 to 50</v>
      </c>
    </row>
    <row r="1006" spans="1:15" ht="14.4" x14ac:dyDescent="0.3">
      <c r="A1006" t="s">
        <v>213</v>
      </c>
      <c r="B1006" s="1">
        <v>46189</v>
      </c>
      <c r="C1006" t="s">
        <v>16</v>
      </c>
      <c r="D1006">
        <v>939</v>
      </c>
      <c r="E1006">
        <v>1</v>
      </c>
      <c r="F1006">
        <v>1.1000000000000001</v>
      </c>
      <c r="G1006" t="s">
        <v>17</v>
      </c>
      <c r="I1006" t="str">
        <f t="shared" si="15"/>
        <v>939_1</v>
      </c>
      <c r="J1006" t="s">
        <v>214</v>
      </c>
      <c r="K1006" t="s">
        <v>19</v>
      </c>
      <c r="L1006" t="str">
        <f>_xlfn.XLOOKUP(C1006, Table2[Species],Table2[Genus], "Code Not Found")</f>
        <v>Acer</v>
      </c>
      <c r="M1006" t="str">
        <f>_xlfn.XLOOKUP(C1006, Table2[Species],Table2[Sp. Name], "Code Not Found")</f>
        <v>saccharum</v>
      </c>
      <c r="N1006" t="str">
        <f>_xlfn.XLOOKUP(C1006,Table2[Species],Table2[Family],"Code Not Found")</f>
        <v>Sapindaceae</v>
      </c>
      <c r="O1006" t="str" cm="1">
        <f t="array" ref="O1006">_xlfn.IFS(F1006="","",F1006&lt;=5,"0 to 5",F1006&lt;=10,"5.1 to 10",F1006&lt;=20,"10 to 20", F1006&lt;= 40, "20 to 40", F1006 &lt;= 50, "40 to 50", F1006 &gt; 50, "&gt;50" )</f>
        <v>0 to 5</v>
      </c>
    </row>
    <row r="1007" spans="1:15" ht="14.4" x14ac:dyDescent="0.3">
      <c r="A1007" t="s">
        <v>213</v>
      </c>
      <c r="B1007" s="1">
        <v>46189</v>
      </c>
      <c r="C1007" t="s">
        <v>16</v>
      </c>
      <c r="D1007">
        <v>940</v>
      </c>
      <c r="E1007">
        <v>1</v>
      </c>
      <c r="F1007">
        <v>1.2</v>
      </c>
      <c r="G1007" t="s">
        <v>17</v>
      </c>
      <c r="H1007" t="s">
        <v>36</v>
      </c>
      <c r="I1007" t="str">
        <f t="shared" ref="I1007:I1070" si="16">D1007&amp;"_"&amp;E1007</f>
        <v>940_1</v>
      </c>
      <c r="J1007" t="s">
        <v>214</v>
      </c>
      <c r="K1007" t="s">
        <v>19</v>
      </c>
      <c r="L1007" t="str">
        <f>_xlfn.XLOOKUP(C1007, Table2[Species],Table2[Genus], "Code Not Found")</f>
        <v>Acer</v>
      </c>
      <c r="M1007" t="str">
        <f>_xlfn.XLOOKUP(C1007, Table2[Species],Table2[Sp. Name], "Code Not Found")</f>
        <v>saccharum</v>
      </c>
      <c r="N1007" t="str">
        <f>_xlfn.XLOOKUP(C1007,Table2[Species],Table2[Family],"Code Not Found")</f>
        <v>Sapindaceae</v>
      </c>
      <c r="O1007" t="str" cm="1">
        <f t="array" ref="O1007">_xlfn.IFS(F1007="","",F1007&lt;=5,"0 to 5",F1007&lt;=10,"5.1 to 10",F1007&lt;=20,"10 to 20", F1007&lt;= 40, "20 to 40", F1007 &lt;= 50, "40 to 50", F1007 &gt; 50, "&gt;50" )</f>
        <v>0 to 5</v>
      </c>
    </row>
    <row r="1008" spans="1:15" ht="14.4" x14ac:dyDescent="0.3">
      <c r="A1008" t="s">
        <v>213</v>
      </c>
      <c r="B1008" s="1">
        <v>46189</v>
      </c>
      <c r="C1008" t="s">
        <v>16</v>
      </c>
      <c r="D1008">
        <v>941</v>
      </c>
      <c r="E1008">
        <v>1</v>
      </c>
      <c r="F1008">
        <v>1.3</v>
      </c>
      <c r="G1008" t="s">
        <v>47</v>
      </c>
      <c r="H1008" t="s">
        <v>232</v>
      </c>
      <c r="I1008" t="str">
        <f t="shared" si="16"/>
        <v>941_1</v>
      </c>
      <c r="J1008" t="s">
        <v>214</v>
      </c>
      <c r="K1008" t="s">
        <v>19</v>
      </c>
      <c r="L1008" t="str">
        <f>_xlfn.XLOOKUP(C1008, Table2[Species],Table2[Genus], "Code Not Found")</f>
        <v>Acer</v>
      </c>
      <c r="M1008" t="str">
        <f>_xlfn.XLOOKUP(C1008, Table2[Species],Table2[Sp. Name], "Code Not Found")</f>
        <v>saccharum</v>
      </c>
      <c r="N1008" t="str">
        <f>_xlfn.XLOOKUP(C1008,Table2[Species],Table2[Family],"Code Not Found")</f>
        <v>Sapindaceae</v>
      </c>
      <c r="O1008" t="str" cm="1">
        <f t="array" ref="O1008">_xlfn.IFS(F1008="","",F1008&lt;=5,"0 to 5",F1008&lt;=10,"5.1 to 10",F1008&lt;=20,"10 to 20", F1008&lt;= 40, "20 to 40", F1008 &lt;= 50, "40 to 50", F1008 &gt; 50, "&gt;50" )</f>
        <v>0 to 5</v>
      </c>
    </row>
    <row r="1009" spans="1:15" ht="14.4" x14ac:dyDescent="0.3">
      <c r="A1009" t="s">
        <v>213</v>
      </c>
      <c r="B1009" s="1">
        <v>46189</v>
      </c>
      <c r="C1009" t="s">
        <v>22</v>
      </c>
      <c r="D1009">
        <v>942</v>
      </c>
      <c r="E1009">
        <v>1</v>
      </c>
      <c r="F1009">
        <v>27.9</v>
      </c>
      <c r="G1009" t="s">
        <v>30</v>
      </c>
      <c r="H1009" t="s">
        <v>234</v>
      </c>
      <c r="I1009" t="str">
        <f t="shared" si="16"/>
        <v>942_1</v>
      </c>
      <c r="J1009" t="s">
        <v>214</v>
      </c>
      <c r="K1009" t="s">
        <v>19</v>
      </c>
      <c r="L1009" t="str">
        <f>_xlfn.XLOOKUP(C1009, Table2[Species],Table2[Genus], "Code Not Found")</f>
        <v>Acer</v>
      </c>
      <c r="M1009" t="str">
        <f>_xlfn.XLOOKUP(C1009, Table2[Species],Table2[Sp. Name], "Code Not Found")</f>
        <v>rubrum</v>
      </c>
      <c r="N1009" t="str">
        <f>_xlfn.XLOOKUP(C1009,Table2[Species],Table2[Family],"Code Not Found")</f>
        <v>Sapindaceae</v>
      </c>
      <c r="O1009" t="str" cm="1">
        <f t="array" ref="O1009">_xlfn.IFS(F1009="","",F1009&lt;=5,"0 to 5",F1009&lt;=10,"5.1 to 10",F1009&lt;=20,"10 to 20", F1009&lt;= 40, "20 to 40", F1009 &lt;= 50, "40 to 50", F1009 &gt; 50, "&gt;50" )</f>
        <v>20 to 40</v>
      </c>
    </row>
    <row r="1010" spans="1:15" ht="14.4" x14ac:dyDescent="0.3">
      <c r="A1010" t="s">
        <v>213</v>
      </c>
      <c r="B1010" s="1">
        <v>46189</v>
      </c>
      <c r="C1010" t="s">
        <v>22</v>
      </c>
      <c r="D1010">
        <v>943</v>
      </c>
      <c r="E1010">
        <v>1</v>
      </c>
      <c r="F1010">
        <v>38</v>
      </c>
      <c r="G1010" t="s">
        <v>17</v>
      </c>
      <c r="I1010" t="str">
        <f t="shared" si="16"/>
        <v>943_1</v>
      </c>
      <c r="J1010" t="s">
        <v>214</v>
      </c>
      <c r="K1010" t="s">
        <v>19</v>
      </c>
      <c r="L1010" t="str">
        <f>_xlfn.XLOOKUP(C1010, Table2[Species],Table2[Genus], "Code Not Found")</f>
        <v>Acer</v>
      </c>
      <c r="M1010" t="str">
        <f>_xlfn.XLOOKUP(C1010, Table2[Species],Table2[Sp. Name], "Code Not Found")</f>
        <v>rubrum</v>
      </c>
      <c r="N1010" t="str">
        <f>_xlfn.XLOOKUP(C1010,Table2[Species],Table2[Family],"Code Not Found")</f>
        <v>Sapindaceae</v>
      </c>
      <c r="O1010" t="str" cm="1">
        <f t="array" ref="O1010">_xlfn.IFS(F1010="","",F1010&lt;=5,"0 to 5",F1010&lt;=10,"5.1 to 10",F1010&lt;=20,"10 to 20", F1010&lt;= 40, "20 to 40", F1010 &lt;= 50, "40 to 50", F1010 &gt; 50, "&gt;50" )</f>
        <v>20 to 40</v>
      </c>
    </row>
    <row r="1011" spans="1:15" ht="14.4" x14ac:dyDescent="0.3">
      <c r="A1011" t="s">
        <v>213</v>
      </c>
      <c r="B1011" s="1">
        <v>46189</v>
      </c>
      <c r="C1011" t="s">
        <v>64</v>
      </c>
      <c r="D1011">
        <v>944</v>
      </c>
      <c r="E1011">
        <v>1</v>
      </c>
      <c r="F1011">
        <v>1</v>
      </c>
      <c r="G1011" t="s">
        <v>21</v>
      </c>
      <c r="H1011" t="s">
        <v>231</v>
      </c>
      <c r="I1011" t="str">
        <f t="shared" si="16"/>
        <v>944_1</v>
      </c>
      <c r="J1011" t="s">
        <v>214</v>
      </c>
      <c r="K1011" t="s">
        <v>19</v>
      </c>
      <c r="L1011" t="str">
        <f>_xlfn.XLOOKUP(C1011, Table2[Species],Table2[Genus], "Code Not Found")</f>
        <v>Fagus</v>
      </c>
      <c r="M1011" t="str">
        <f>_xlfn.XLOOKUP(C1011, Table2[Species],Table2[Sp. Name], "Code Not Found")</f>
        <v>grandifolia</v>
      </c>
      <c r="N1011" t="str">
        <f>_xlfn.XLOOKUP(C1011,Table2[Species],Table2[Family],"Code Not Found")</f>
        <v>Fagaceae</v>
      </c>
      <c r="O1011" t="str" cm="1">
        <f t="array" ref="O1011">_xlfn.IFS(F1011="","",F1011&lt;=5,"0 to 5",F1011&lt;=10,"5.1 to 10",F1011&lt;=20,"10 to 20", F1011&lt;= 40, "20 to 40", F1011 &lt;= 50, "40 to 50", F1011 &gt; 50, "&gt;50" )</f>
        <v>0 to 5</v>
      </c>
    </row>
    <row r="1012" spans="1:15" ht="14.4" x14ac:dyDescent="0.3">
      <c r="A1012" t="s">
        <v>213</v>
      </c>
      <c r="B1012" s="1">
        <v>46189</v>
      </c>
      <c r="C1012" t="s">
        <v>235</v>
      </c>
      <c r="D1012">
        <v>945</v>
      </c>
      <c r="E1012">
        <v>1</v>
      </c>
      <c r="F1012">
        <v>1.3</v>
      </c>
      <c r="G1012" t="s">
        <v>17</v>
      </c>
      <c r="I1012" t="str">
        <f t="shared" si="16"/>
        <v>945_1</v>
      </c>
      <c r="J1012" t="s">
        <v>214</v>
      </c>
      <c r="K1012" t="s">
        <v>19</v>
      </c>
      <c r="L1012" t="str">
        <f>_xlfn.XLOOKUP(C1012, Table2[Species],Table2[Genus], "Code Not Found")</f>
        <v>Carpinus</v>
      </c>
      <c r="M1012" t="str">
        <f>_xlfn.XLOOKUP(C1012, Table2[Species],Table2[Sp. Name], "Code Not Found")</f>
        <v>caroliniana</v>
      </c>
      <c r="N1012" t="str">
        <f>_xlfn.XLOOKUP(C1012,Table2[Species],Table2[Family],"Code Not Found")</f>
        <v>Betulaceae</v>
      </c>
      <c r="O1012" t="str" cm="1">
        <f t="array" ref="O1012">_xlfn.IFS(F1012="","",F1012&lt;=5,"0 to 5",F1012&lt;=10,"5.1 to 10",F1012&lt;=20,"10 to 20", F1012&lt;= 40, "20 to 40", F1012 &lt;= 50, "40 to 50", F1012 &gt; 50, "&gt;50" )</f>
        <v>0 to 5</v>
      </c>
    </row>
    <row r="1013" spans="1:15" ht="14.4" x14ac:dyDescent="0.3">
      <c r="A1013" t="s">
        <v>213</v>
      </c>
      <c r="B1013" s="1">
        <v>46189</v>
      </c>
      <c r="C1013" t="s">
        <v>16</v>
      </c>
      <c r="D1013">
        <v>946</v>
      </c>
      <c r="E1013">
        <v>1</v>
      </c>
      <c r="F1013">
        <v>2.1</v>
      </c>
      <c r="G1013" t="s">
        <v>21</v>
      </c>
      <c r="I1013" t="str">
        <f t="shared" si="16"/>
        <v>946_1</v>
      </c>
      <c r="J1013" t="s">
        <v>214</v>
      </c>
      <c r="K1013" t="s">
        <v>19</v>
      </c>
      <c r="L1013" t="str">
        <f>_xlfn.XLOOKUP(C1013, Table2[Species],Table2[Genus], "Code Not Found")</f>
        <v>Acer</v>
      </c>
      <c r="M1013" t="str">
        <f>_xlfn.XLOOKUP(C1013, Table2[Species],Table2[Sp. Name], "Code Not Found")</f>
        <v>saccharum</v>
      </c>
      <c r="N1013" t="str">
        <f>_xlfn.XLOOKUP(C1013,Table2[Species],Table2[Family],"Code Not Found")</f>
        <v>Sapindaceae</v>
      </c>
      <c r="O1013" t="str" cm="1">
        <f t="array" ref="O1013">_xlfn.IFS(F1013="","",F1013&lt;=5,"0 to 5",F1013&lt;=10,"5.1 to 10",F1013&lt;=20,"10 to 20", F1013&lt;= 40, "20 to 40", F1013 &lt;= 50, "40 to 50", F1013 &gt; 50, "&gt;50" )</f>
        <v>0 to 5</v>
      </c>
    </row>
    <row r="1014" spans="1:15" ht="14.4" x14ac:dyDescent="0.3">
      <c r="A1014" t="s">
        <v>213</v>
      </c>
      <c r="B1014" s="1">
        <v>46189</v>
      </c>
      <c r="C1014" t="s">
        <v>123</v>
      </c>
      <c r="D1014">
        <v>947</v>
      </c>
      <c r="E1014">
        <v>1</v>
      </c>
      <c r="F1014">
        <v>50.6</v>
      </c>
      <c r="G1014" t="s">
        <v>17</v>
      </c>
      <c r="H1014" t="s">
        <v>36</v>
      </c>
      <c r="I1014" t="str">
        <f t="shared" si="16"/>
        <v>947_1</v>
      </c>
      <c r="J1014" t="s">
        <v>214</v>
      </c>
      <c r="K1014" t="s">
        <v>19</v>
      </c>
      <c r="L1014" t="str">
        <f>_xlfn.XLOOKUP(C1014, Table2[Species],Table2[Genus], "Code Not Found")</f>
        <v>Quercus</v>
      </c>
      <c r="M1014" t="str">
        <f>_xlfn.XLOOKUP(C1014, Table2[Species],Table2[Sp. Name], "Code Not Found")</f>
        <v>rubra</v>
      </c>
      <c r="N1014" t="str">
        <f>_xlfn.XLOOKUP(C1014,Table2[Species],Table2[Family],"Code Not Found")</f>
        <v>Fagaceae</v>
      </c>
      <c r="O1014" t="str" cm="1">
        <f t="array" ref="O1014">_xlfn.IFS(F1014="","",F1014&lt;=5,"0 to 5",F1014&lt;=10,"5.1 to 10",F1014&lt;=20,"10 to 20", F1014&lt;= 40, "20 to 40", F1014 &lt;= 50, "40 to 50", F1014 &gt; 50, "&gt;50" )</f>
        <v>&gt;50</v>
      </c>
    </row>
    <row r="1015" spans="1:15" ht="14.4" x14ac:dyDescent="0.3">
      <c r="A1015" t="s">
        <v>213</v>
      </c>
      <c r="B1015" s="1">
        <v>46189</v>
      </c>
      <c r="C1015" t="s">
        <v>16</v>
      </c>
      <c r="D1015">
        <v>948</v>
      </c>
      <c r="E1015">
        <v>1</v>
      </c>
      <c r="F1015">
        <v>4</v>
      </c>
      <c r="G1015" t="s">
        <v>94</v>
      </c>
      <c r="H1015" t="s">
        <v>96</v>
      </c>
      <c r="I1015" t="str">
        <f t="shared" si="16"/>
        <v>948_1</v>
      </c>
      <c r="J1015" t="s">
        <v>214</v>
      </c>
      <c r="K1015" t="s">
        <v>19</v>
      </c>
      <c r="L1015" t="str">
        <f>_xlfn.XLOOKUP(C1015, Table2[Species],Table2[Genus], "Code Not Found")</f>
        <v>Acer</v>
      </c>
      <c r="M1015" t="str">
        <f>_xlfn.XLOOKUP(C1015, Table2[Species],Table2[Sp. Name], "Code Not Found")</f>
        <v>saccharum</v>
      </c>
      <c r="N1015" t="str">
        <f>_xlfn.XLOOKUP(C1015,Table2[Species],Table2[Family],"Code Not Found")</f>
        <v>Sapindaceae</v>
      </c>
      <c r="O1015" t="str" cm="1">
        <f t="array" ref="O1015">_xlfn.IFS(F1015="","",F1015&lt;=5,"0 to 5",F1015&lt;=10,"5.1 to 10",F1015&lt;=20,"10 to 20", F1015&lt;= 40, "20 to 40", F1015 &lt;= 50, "40 to 50", F1015 &gt; 50, "&gt;50" )</f>
        <v>0 to 5</v>
      </c>
    </row>
    <row r="1016" spans="1:15" ht="14.4" x14ac:dyDescent="0.3">
      <c r="A1016" t="s">
        <v>213</v>
      </c>
      <c r="B1016" s="1">
        <v>46189</v>
      </c>
      <c r="C1016" t="s">
        <v>123</v>
      </c>
      <c r="D1016">
        <v>949</v>
      </c>
      <c r="E1016">
        <v>1</v>
      </c>
      <c r="F1016">
        <v>51.3</v>
      </c>
      <c r="G1016" t="s">
        <v>17</v>
      </c>
      <c r="H1016" t="s">
        <v>36</v>
      </c>
      <c r="I1016" t="str">
        <f t="shared" si="16"/>
        <v>949_1</v>
      </c>
      <c r="J1016" t="s">
        <v>214</v>
      </c>
      <c r="K1016" t="s">
        <v>19</v>
      </c>
      <c r="L1016" t="str">
        <f>_xlfn.XLOOKUP(C1016, Table2[Species],Table2[Genus], "Code Not Found")</f>
        <v>Quercus</v>
      </c>
      <c r="M1016" t="str">
        <f>_xlfn.XLOOKUP(C1016, Table2[Species],Table2[Sp. Name], "Code Not Found")</f>
        <v>rubra</v>
      </c>
      <c r="N1016" t="str">
        <f>_xlfn.XLOOKUP(C1016,Table2[Species],Table2[Family],"Code Not Found")</f>
        <v>Fagaceae</v>
      </c>
      <c r="O1016" t="str" cm="1">
        <f t="array" ref="O1016">_xlfn.IFS(F1016="","",F1016&lt;=5,"0 to 5",F1016&lt;=10,"5.1 to 10",F1016&lt;=20,"10 to 20", F1016&lt;= 40, "20 to 40", F1016 &lt;= 50, "40 to 50", F1016 &gt; 50, "&gt;50" )</f>
        <v>&gt;50</v>
      </c>
    </row>
    <row r="1017" spans="1:15" ht="14.4" x14ac:dyDescent="0.3">
      <c r="A1017" t="s">
        <v>213</v>
      </c>
      <c r="B1017" s="1">
        <v>46189</v>
      </c>
      <c r="C1017" t="s">
        <v>22</v>
      </c>
      <c r="D1017">
        <v>950</v>
      </c>
      <c r="E1017">
        <v>1</v>
      </c>
      <c r="F1017">
        <v>8.3000000000000007</v>
      </c>
      <c r="G1017" t="s">
        <v>57</v>
      </c>
      <c r="H1017" t="s">
        <v>43</v>
      </c>
      <c r="I1017" t="str">
        <f t="shared" si="16"/>
        <v>950_1</v>
      </c>
      <c r="J1017" t="s">
        <v>214</v>
      </c>
      <c r="K1017" t="s">
        <v>19</v>
      </c>
      <c r="L1017" t="str">
        <f>_xlfn.XLOOKUP(C1017, Table2[Species],Table2[Genus], "Code Not Found")</f>
        <v>Acer</v>
      </c>
      <c r="M1017" t="str">
        <f>_xlfn.XLOOKUP(C1017, Table2[Species],Table2[Sp. Name], "Code Not Found")</f>
        <v>rubrum</v>
      </c>
      <c r="N1017" t="str">
        <f>_xlfn.XLOOKUP(C1017,Table2[Species],Table2[Family],"Code Not Found")</f>
        <v>Sapindaceae</v>
      </c>
      <c r="O1017" t="str" cm="1">
        <f t="array" ref="O1017">_xlfn.IFS(F1017="","",F1017&lt;=5,"0 to 5",F1017&lt;=10,"5.1 to 10",F1017&lt;=20,"10 to 20", F1017&lt;= 40, "20 to 40", F1017 &lt;= 50, "40 to 50", F1017 &gt; 50, "&gt;50" )</f>
        <v>5.1 to 10</v>
      </c>
    </row>
    <row r="1018" spans="1:15" ht="14.4" x14ac:dyDescent="0.3">
      <c r="A1018" t="s">
        <v>213</v>
      </c>
      <c r="B1018" s="1">
        <v>46189</v>
      </c>
      <c r="C1018" t="s">
        <v>22</v>
      </c>
      <c r="D1018">
        <v>951</v>
      </c>
      <c r="E1018">
        <v>1</v>
      </c>
      <c r="F1018">
        <v>12.7</v>
      </c>
      <c r="G1018" t="s">
        <v>57</v>
      </c>
      <c r="I1018" t="str">
        <f t="shared" si="16"/>
        <v>951_1</v>
      </c>
      <c r="J1018" t="s">
        <v>214</v>
      </c>
      <c r="K1018" t="s">
        <v>19</v>
      </c>
      <c r="L1018" t="str">
        <f>_xlfn.XLOOKUP(C1018, Table2[Species],Table2[Genus], "Code Not Found")</f>
        <v>Acer</v>
      </c>
      <c r="M1018" t="str">
        <f>_xlfn.XLOOKUP(C1018, Table2[Species],Table2[Sp. Name], "Code Not Found")</f>
        <v>rubrum</v>
      </c>
      <c r="N1018" t="str">
        <f>_xlfn.XLOOKUP(C1018,Table2[Species],Table2[Family],"Code Not Found")</f>
        <v>Sapindaceae</v>
      </c>
      <c r="O1018" t="str" cm="1">
        <f t="array" ref="O1018">_xlfn.IFS(F1018="","",F1018&lt;=5,"0 to 5",F1018&lt;=10,"5.1 to 10",F1018&lt;=20,"10 to 20", F1018&lt;= 40, "20 to 40", F1018 &lt;= 50, "40 to 50", F1018 &gt; 50, "&gt;50" )</f>
        <v>10 to 20</v>
      </c>
    </row>
    <row r="1019" spans="1:15" ht="14.4" x14ac:dyDescent="0.3">
      <c r="A1019" t="s">
        <v>213</v>
      </c>
      <c r="B1019" s="1">
        <v>46189</v>
      </c>
      <c r="C1019" t="s">
        <v>16</v>
      </c>
      <c r="D1019">
        <v>952</v>
      </c>
      <c r="E1019">
        <v>1</v>
      </c>
      <c r="F1019">
        <v>5.6</v>
      </c>
      <c r="G1019" t="s">
        <v>21</v>
      </c>
      <c r="I1019" t="str">
        <f t="shared" si="16"/>
        <v>952_1</v>
      </c>
      <c r="J1019" t="s">
        <v>214</v>
      </c>
      <c r="K1019" t="s">
        <v>19</v>
      </c>
      <c r="L1019" t="str">
        <f>_xlfn.XLOOKUP(C1019, Table2[Species],Table2[Genus], "Code Not Found")</f>
        <v>Acer</v>
      </c>
      <c r="M1019" t="str">
        <f>_xlfn.XLOOKUP(C1019, Table2[Species],Table2[Sp. Name], "Code Not Found")</f>
        <v>saccharum</v>
      </c>
      <c r="N1019" t="str">
        <f>_xlfn.XLOOKUP(C1019,Table2[Species],Table2[Family],"Code Not Found")</f>
        <v>Sapindaceae</v>
      </c>
      <c r="O1019" t="str" cm="1">
        <f t="array" ref="O1019">_xlfn.IFS(F1019="","",F1019&lt;=5,"0 to 5",F1019&lt;=10,"5.1 to 10",F1019&lt;=20,"10 to 20", F1019&lt;= 40, "20 to 40", F1019 &lt;= 50, "40 to 50", F1019 &gt; 50, "&gt;50" )</f>
        <v>5.1 to 10</v>
      </c>
    </row>
    <row r="1020" spans="1:15" ht="14.4" x14ac:dyDescent="0.3">
      <c r="A1020" t="s">
        <v>213</v>
      </c>
      <c r="B1020" s="1">
        <v>46189</v>
      </c>
      <c r="C1020" t="s">
        <v>22</v>
      </c>
      <c r="D1020">
        <v>953</v>
      </c>
      <c r="E1020">
        <v>1</v>
      </c>
      <c r="F1020">
        <v>16.100000000000001</v>
      </c>
      <c r="G1020" t="s">
        <v>21</v>
      </c>
      <c r="I1020" t="str">
        <f t="shared" si="16"/>
        <v>953_1</v>
      </c>
      <c r="J1020" t="s">
        <v>214</v>
      </c>
      <c r="K1020" t="s">
        <v>19</v>
      </c>
      <c r="L1020" t="str">
        <f>_xlfn.XLOOKUP(C1020, Table2[Species],Table2[Genus], "Code Not Found")</f>
        <v>Acer</v>
      </c>
      <c r="M1020" t="str">
        <f>_xlfn.XLOOKUP(C1020, Table2[Species],Table2[Sp. Name], "Code Not Found")</f>
        <v>rubrum</v>
      </c>
      <c r="N1020" t="str">
        <f>_xlfn.XLOOKUP(C1020,Table2[Species],Table2[Family],"Code Not Found")</f>
        <v>Sapindaceae</v>
      </c>
      <c r="O1020" t="str" cm="1">
        <f t="array" ref="O1020">_xlfn.IFS(F1020="","",F1020&lt;=5,"0 to 5",F1020&lt;=10,"5.1 to 10",F1020&lt;=20,"10 to 20", F1020&lt;= 40, "20 to 40", F1020 &lt;= 50, "40 to 50", F1020 &gt; 50, "&gt;50" )</f>
        <v>10 to 20</v>
      </c>
    </row>
    <row r="1021" spans="1:15" ht="14.4" x14ac:dyDescent="0.3">
      <c r="A1021" t="s">
        <v>213</v>
      </c>
      <c r="B1021" s="1">
        <v>46189</v>
      </c>
      <c r="C1021" t="s">
        <v>235</v>
      </c>
      <c r="D1021">
        <v>954</v>
      </c>
      <c r="E1021">
        <v>1</v>
      </c>
      <c r="F1021">
        <v>2</v>
      </c>
      <c r="G1021" t="s">
        <v>54</v>
      </c>
      <c r="H1021" t="s">
        <v>43</v>
      </c>
      <c r="I1021" t="str">
        <f t="shared" si="16"/>
        <v>954_1</v>
      </c>
      <c r="J1021" t="s">
        <v>214</v>
      </c>
      <c r="K1021" t="s">
        <v>19</v>
      </c>
      <c r="L1021" t="str">
        <f>_xlfn.XLOOKUP(C1021, Table2[Species],Table2[Genus], "Code Not Found")</f>
        <v>Carpinus</v>
      </c>
      <c r="M1021" t="str">
        <f>_xlfn.XLOOKUP(C1021, Table2[Species],Table2[Sp. Name], "Code Not Found")</f>
        <v>caroliniana</v>
      </c>
      <c r="N1021" t="str">
        <f>_xlfn.XLOOKUP(C1021,Table2[Species],Table2[Family],"Code Not Found")</f>
        <v>Betulaceae</v>
      </c>
      <c r="O1021" t="str" cm="1">
        <f t="array" ref="O1021">_xlfn.IFS(F1021="","",F1021&lt;=5,"0 to 5",F1021&lt;=10,"5.1 to 10",F1021&lt;=20,"10 to 20", F1021&lt;= 40, "20 to 40", F1021 &lt;= 50, "40 to 50", F1021 &gt; 50, "&gt;50" )</f>
        <v>0 to 5</v>
      </c>
    </row>
    <row r="1022" spans="1:15" ht="14.4" x14ac:dyDescent="0.3">
      <c r="A1022" t="s">
        <v>213</v>
      </c>
      <c r="B1022" s="1">
        <v>46189</v>
      </c>
      <c r="C1022" t="s">
        <v>16</v>
      </c>
      <c r="D1022">
        <v>955</v>
      </c>
      <c r="E1022">
        <v>1</v>
      </c>
      <c r="F1022">
        <v>1.5</v>
      </c>
      <c r="G1022" t="s">
        <v>88</v>
      </c>
      <c r="H1022" t="s">
        <v>236</v>
      </c>
      <c r="I1022" t="str">
        <f t="shared" si="16"/>
        <v>955_1</v>
      </c>
      <c r="J1022" t="s">
        <v>214</v>
      </c>
      <c r="K1022" t="s">
        <v>19</v>
      </c>
      <c r="L1022" t="str">
        <f>_xlfn.XLOOKUP(C1022, Table2[Species],Table2[Genus], "Code Not Found")</f>
        <v>Acer</v>
      </c>
      <c r="M1022" t="str">
        <f>_xlfn.XLOOKUP(C1022, Table2[Species],Table2[Sp. Name], "Code Not Found")</f>
        <v>saccharum</v>
      </c>
      <c r="N1022" t="str">
        <f>_xlfn.XLOOKUP(C1022,Table2[Species],Table2[Family],"Code Not Found")</f>
        <v>Sapindaceae</v>
      </c>
      <c r="O1022" t="str" cm="1">
        <f t="array" ref="O1022">_xlfn.IFS(F1022="","",F1022&lt;=5,"0 to 5",F1022&lt;=10,"5.1 to 10",F1022&lt;=20,"10 to 20", F1022&lt;= 40, "20 to 40", F1022 &lt;= 50, "40 to 50", F1022 &gt; 50, "&gt;50" )</f>
        <v>0 to 5</v>
      </c>
    </row>
    <row r="1023" spans="1:15" ht="14.4" x14ac:dyDescent="0.3">
      <c r="A1023" t="s">
        <v>213</v>
      </c>
      <c r="B1023" s="1">
        <v>46189</v>
      </c>
      <c r="C1023" t="s">
        <v>22</v>
      </c>
      <c r="D1023">
        <v>956</v>
      </c>
      <c r="E1023">
        <v>1</v>
      </c>
      <c r="F1023">
        <v>7.5</v>
      </c>
      <c r="G1023" t="s">
        <v>21</v>
      </c>
      <c r="I1023" t="str">
        <f t="shared" si="16"/>
        <v>956_1</v>
      </c>
      <c r="J1023" t="s">
        <v>214</v>
      </c>
      <c r="K1023" t="s">
        <v>19</v>
      </c>
      <c r="L1023" t="str">
        <f>_xlfn.XLOOKUP(C1023, Table2[Species],Table2[Genus], "Code Not Found")</f>
        <v>Acer</v>
      </c>
      <c r="M1023" t="str">
        <f>_xlfn.XLOOKUP(C1023, Table2[Species],Table2[Sp. Name], "Code Not Found")</f>
        <v>rubrum</v>
      </c>
      <c r="N1023" t="str">
        <f>_xlfn.XLOOKUP(C1023,Table2[Species],Table2[Family],"Code Not Found")</f>
        <v>Sapindaceae</v>
      </c>
      <c r="O1023" t="str" cm="1">
        <f t="array" ref="O1023">_xlfn.IFS(F1023="","",F1023&lt;=5,"0 to 5",F1023&lt;=10,"5.1 to 10",F1023&lt;=20,"10 to 20", F1023&lt;= 40, "20 to 40", F1023 &lt;= 50, "40 to 50", F1023 &gt; 50, "&gt;50" )</f>
        <v>5.1 to 10</v>
      </c>
    </row>
    <row r="1024" spans="1:15" ht="14.4" x14ac:dyDescent="0.3">
      <c r="A1024" t="s">
        <v>213</v>
      </c>
      <c r="B1024" s="1">
        <v>46189</v>
      </c>
      <c r="C1024" t="s">
        <v>16</v>
      </c>
      <c r="D1024">
        <v>957</v>
      </c>
      <c r="E1024">
        <v>1</v>
      </c>
      <c r="F1024">
        <v>1.4</v>
      </c>
      <c r="G1024" t="s">
        <v>21</v>
      </c>
      <c r="I1024" t="str">
        <f t="shared" si="16"/>
        <v>957_1</v>
      </c>
      <c r="J1024" t="s">
        <v>214</v>
      </c>
      <c r="K1024" t="s">
        <v>19</v>
      </c>
      <c r="L1024" t="str">
        <f>_xlfn.XLOOKUP(C1024, Table2[Species],Table2[Genus], "Code Not Found")</f>
        <v>Acer</v>
      </c>
      <c r="M1024" t="str">
        <f>_xlfn.XLOOKUP(C1024, Table2[Species],Table2[Sp. Name], "Code Not Found")</f>
        <v>saccharum</v>
      </c>
      <c r="N1024" t="str">
        <f>_xlfn.XLOOKUP(C1024,Table2[Species],Table2[Family],"Code Not Found")</f>
        <v>Sapindaceae</v>
      </c>
      <c r="O1024" t="str" cm="1">
        <f t="array" ref="O1024">_xlfn.IFS(F1024="","",F1024&lt;=5,"0 to 5",F1024&lt;=10,"5.1 to 10",F1024&lt;=20,"10 to 20", F1024&lt;= 40, "20 to 40", F1024 &lt;= 50, "40 to 50", F1024 &gt; 50, "&gt;50" )</f>
        <v>0 to 5</v>
      </c>
    </row>
    <row r="1025" spans="1:15" ht="14.4" x14ac:dyDescent="0.3">
      <c r="A1025" t="s">
        <v>213</v>
      </c>
      <c r="B1025" s="1">
        <v>46189</v>
      </c>
      <c r="C1025" t="s">
        <v>16</v>
      </c>
      <c r="D1025">
        <v>958</v>
      </c>
      <c r="E1025">
        <v>1</v>
      </c>
      <c r="F1025">
        <v>2</v>
      </c>
      <c r="G1025" t="s">
        <v>237</v>
      </c>
      <c r="H1025" t="s">
        <v>121</v>
      </c>
      <c r="I1025" t="str">
        <f t="shared" si="16"/>
        <v>958_1</v>
      </c>
      <c r="J1025" t="s">
        <v>214</v>
      </c>
      <c r="K1025" t="s">
        <v>19</v>
      </c>
      <c r="L1025" t="str">
        <f>_xlfn.XLOOKUP(C1025, Table2[Species],Table2[Genus], "Code Not Found")</f>
        <v>Acer</v>
      </c>
      <c r="M1025" t="str">
        <f>_xlfn.XLOOKUP(C1025, Table2[Species],Table2[Sp. Name], "Code Not Found")</f>
        <v>saccharum</v>
      </c>
      <c r="N1025" t="str">
        <f>_xlfn.XLOOKUP(C1025,Table2[Species],Table2[Family],"Code Not Found")</f>
        <v>Sapindaceae</v>
      </c>
      <c r="O1025" t="str" cm="1">
        <f t="array" ref="O1025">_xlfn.IFS(F1025="","",F1025&lt;=5,"0 to 5",F1025&lt;=10,"5.1 to 10",F1025&lt;=20,"10 to 20", F1025&lt;= 40, "20 to 40", F1025 &lt;= 50, "40 to 50", F1025 &gt; 50, "&gt;50" )</f>
        <v>0 to 5</v>
      </c>
    </row>
    <row r="1026" spans="1:15" ht="14.4" x14ac:dyDescent="0.3">
      <c r="A1026" t="s">
        <v>213</v>
      </c>
      <c r="B1026" s="1">
        <v>46189</v>
      </c>
      <c r="C1026" t="s">
        <v>24</v>
      </c>
      <c r="D1026">
        <v>959</v>
      </c>
      <c r="E1026">
        <v>1</v>
      </c>
      <c r="F1026">
        <v>35.5</v>
      </c>
      <c r="G1026" t="s">
        <v>21</v>
      </c>
      <c r="I1026" t="str">
        <f t="shared" si="16"/>
        <v>959_1</v>
      </c>
      <c r="J1026" t="s">
        <v>214</v>
      </c>
      <c r="K1026" t="s">
        <v>19</v>
      </c>
      <c r="L1026" t="str">
        <f>_xlfn.XLOOKUP(C1026, Table2[Species],Table2[Genus], "Code Not Found")</f>
        <v>Lirodendron</v>
      </c>
      <c r="M1026" t="str">
        <f>_xlfn.XLOOKUP(C1026, Table2[Species],Table2[Sp. Name], "Code Not Found")</f>
        <v>tulipfera</v>
      </c>
      <c r="N1026" t="str">
        <f>_xlfn.XLOOKUP(C1026,Table2[Species],Table2[Family],"Code Not Found")</f>
        <v>Magnoliaceae</v>
      </c>
      <c r="O1026" t="str" cm="1">
        <f t="array" ref="O1026">_xlfn.IFS(F1026="","",F1026&lt;=5,"0 to 5",F1026&lt;=10,"5.1 to 10",F1026&lt;=20,"10 to 20", F1026&lt;= 40, "20 to 40", F1026 &lt;= 50, "40 to 50", F1026 &gt; 50, "&gt;50" )</f>
        <v>20 to 40</v>
      </c>
    </row>
    <row r="1027" spans="1:15" ht="14.4" x14ac:dyDescent="0.3">
      <c r="A1027" t="s">
        <v>213</v>
      </c>
      <c r="B1027" s="1">
        <v>46189</v>
      </c>
      <c r="C1027" t="s">
        <v>16</v>
      </c>
      <c r="D1027">
        <v>960</v>
      </c>
      <c r="E1027">
        <v>1</v>
      </c>
      <c r="F1027">
        <v>3.3</v>
      </c>
      <c r="G1027" t="s">
        <v>88</v>
      </c>
      <c r="H1027" t="s">
        <v>99</v>
      </c>
      <c r="I1027" t="str">
        <f t="shared" si="16"/>
        <v>960_1</v>
      </c>
      <c r="J1027" t="s">
        <v>214</v>
      </c>
      <c r="K1027" t="s">
        <v>19</v>
      </c>
      <c r="L1027" t="str">
        <f>_xlfn.XLOOKUP(C1027, Table2[Species],Table2[Genus], "Code Not Found")</f>
        <v>Acer</v>
      </c>
      <c r="M1027" t="str">
        <f>_xlfn.XLOOKUP(C1027, Table2[Species],Table2[Sp. Name], "Code Not Found")</f>
        <v>saccharum</v>
      </c>
      <c r="N1027" t="str">
        <f>_xlfn.XLOOKUP(C1027,Table2[Species],Table2[Family],"Code Not Found")</f>
        <v>Sapindaceae</v>
      </c>
      <c r="O1027" t="str" cm="1">
        <f t="array" ref="O1027">_xlfn.IFS(F1027="","",F1027&lt;=5,"0 to 5",F1027&lt;=10,"5.1 to 10",F1027&lt;=20,"10 to 20", F1027&lt;= 40, "20 to 40", F1027 &lt;= 50, "40 to 50", F1027 &gt; 50, "&gt;50" )</f>
        <v>0 to 5</v>
      </c>
    </row>
    <row r="1028" spans="1:15" ht="14.4" x14ac:dyDescent="0.3">
      <c r="A1028" t="s">
        <v>213</v>
      </c>
      <c r="B1028" s="1">
        <v>46189</v>
      </c>
      <c r="C1028" t="s">
        <v>16</v>
      </c>
      <c r="D1028">
        <v>961</v>
      </c>
      <c r="E1028">
        <v>1</v>
      </c>
      <c r="F1028">
        <v>1.7</v>
      </c>
      <c r="G1028" t="s">
        <v>17</v>
      </c>
      <c r="I1028" t="str">
        <f t="shared" si="16"/>
        <v>961_1</v>
      </c>
      <c r="J1028" t="s">
        <v>214</v>
      </c>
      <c r="K1028" t="s">
        <v>19</v>
      </c>
      <c r="L1028" t="str">
        <f>_xlfn.XLOOKUP(C1028, Table2[Species],Table2[Genus], "Code Not Found")</f>
        <v>Acer</v>
      </c>
      <c r="M1028" t="str">
        <f>_xlfn.XLOOKUP(C1028, Table2[Species],Table2[Sp. Name], "Code Not Found")</f>
        <v>saccharum</v>
      </c>
      <c r="N1028" t="str">
        <f>_xlfn.XLOOKUP(C1028,Table2[Species],Table2[Family],"Code Not Found")</f>
        <v>Sapindaceae</v>
      </c>
      <c r="O1028" t="str" cm="1">
        <f t="array" ref="O1028">_xlfn.IFS(F1028="","",F1028&lt;=5,"0 to 5",F1028&lt;=10,"5.1 to 10",F1028&lt;=20,"10 to 20", F1028&lt;= 40, "20 to 40", F1028 &lt;= 50, "40 to 50", F1028 &gt; 50, "&gt;50" )</f>
        <v>0 to 5</v>
      </c>
    </row>
    <row r="1029" spans="1:15" ht="14.4" x14ac:dyDescent="0.3">
      <c r="A1029" t="s">
        <v>213</v>
      </c>
      <c r="B1029" s="1">
        <v>46189</v>
      </c>
      <c r="C1029" t="s">
        <v>24</v>
      </c>
      <c r="D1029">
        <v>962</v>
      </c>
      <c r="E1029">
        <v>1</v>
      </c>
      <c r="F1029">
        <v>14.3</v>
      </c>
      <c r="G1029" t="s">
        <v>17</v>
      </c>
      <c r="I1029" t="str">
        <f t="shared" si="16"/>
        <v>962_1</v>
      </c>
      <c r="J1029" t="s">
        <v>214</v>
      </c>
      <c r="K1029" t="s">
        <v>19</v>
      </c>
      <c r="L1029" t="str">
        <f>_xlfn.XLOOKUP(C1029, Table2[Species],Table2[Genus], "Code Not Found")</f>
        <v>Lirodendron</v>
      </c>
      <c r="M1029" t="str">
        <f>_xlfn.XLOOKUP(C1029, Table2[Species],Table2[Sp. Name], "Code Not Found")</f>
        <v>tulipfera</v>
      </c>
      <c r="N1029" t="str">
        <f>_xlfn.XLOOKUP(C1029,Table2[Species],Table2[Family],"Code Not Found")</f>
        <v>Magnoliaceae</v>
      </c>
      <c r="O1029" t="str" cm="1">
        <f t="array" ref="O1029">_xlfn.IFS(F1029="","",F1029&lt;=5,"0 to 5",F1029&lt;=10,"5.1 to 10",F1029&lt;=20,"10 to 20", F1029&lt;= 40, "20 to 40", F1029 &lt;= 50, "40 to 50", F1029 &gt; 50, "&gt;50" )</f>
        <v>10 to 20</v>
      </c>
    </row>
    <row r="1030" spans="1:15" ht="14.4" x14ac:dyDescent="0.3">
      <c r="A1030" t="s">
        <v>213</v>
      </c>
      <c r="B1030" s="1">
        <v>46189</v>
      </c>
      <c r="C1030" t="s">
        <v>22</v>
      </c>
      <c r="D1030">
        <v>963</v>
      </c>
      <c r="E1030">
        <v>1</v>
      </c>
      <c r="F1030">
        <v>19</v>
      </c>
      <c r="G1030" t="s">
        <v>47</v>
      </c>
      <c r="H1030" t="s">
        <v>43</v>
      </c>
      <c r="I1030" t="str">
        <f t="shared" si="16"/>
        <v>963_1</v>
      </c>
      <c r="J1030" t="s">
        <v>214</v>
      </c>
      <c r="K1030" t="s">
        <v>19</v>
      </c>
      <c r="L1030" t="str">
        <f>_xlfn.XLOOKUP(C1030, Table2[Species],Table2[Genus], "Code Not Found")</f>
        <v>Acer</v>
      </c>
      <c r="M1030" t="str">
        <f>_xlfn.XLOOKUP(C1030, Table2[Species],Table2[Sp. Name], "Code Not Found")</f>
        <v>rubrum</v>
      </c>
      <c r="N1030" t="str">
        <f>_xlfn.XLOOKUP(C1030,Table2[Species],Table2[Family],"Code Not Found")</f>
        <v>Sapindaceae</v>
      </c>
      <c r="O1030" t="str" cm="1">
        <f t="array" ref="O1030">_xlfn.IFS(F1030="","",F1030&lt;=5,"0 to 5",F1030&lt;=10,"5.1 to 10",F1030&lt;=20,"10 to 20", F1030&lt;= 40, "20 to 40", F1030 &lt;= 50, "40 to 50", F1030 &gt; 50, "&gt;50" )</f>
        <v>10 to 20</v>
      </c>
    </row>
    <row r="1031" spans="1:15" ht="14.4" x14ac:dyDescent="0.3">
      <c r="A1031" t="s">
        <v>213</v>
      </c>
      <c r="B1031" s="1">
        <v>46189</v>
      </c>
      <c r="C1031" t="s">
        <v>64</v>
      </c>
      <c r="D1031">
        <v>964</v>
      </c>
      <c r="E1031">
        <v>1</v>
      </c>
      <c r="F1031">
        <v>5.2</v>
      </c>
      <c r="G1031" t="s">
        <v>61</v>
      </c>
      <c r="H1031" t="s">
        <v>238</v>
      </c>
      <c r="I1031" t="str">
        <f t="shared" si="16"/>
        <v>964_1</v>
      </c>
      <c r="J1031" t="s">
        <v>214</v>
      </c>
      <c r="K1031" t="s">
        <v>19</v>
      </c>
      <c r="L1031" t="str">
        <f>_xlfn.XLOOKUP(C1031, Table2[Species],Table2[Genus], "Code Not Found")</f>
        <v>Fagus</v>
      </c>
      <c r="M1031" t="str">
        <f>_xlfn.XLOOKUP(C1031, Table2[Species],Table2[Sp. Name], "Code Not Found")</f>
        <v>grandifolia</v>
      </c>
      <c r="N1031" t="str">
        <f>_xlfn.XLOOKUP(C1031,Table2[Species],Table2[Family],"Code Not Found")</f>
        <v>Fagaceae</v>
      </c>
      <c r="O1031" t="str" cm="1">
        <f t="array" ref="O1031">_xlfn.IFS(F1031="","",F1031&lt;=5,"0 to 5",F1031&lt;=10,"5.1 to 10",F1031&lt;=20,"10 to 20", F1031&lt;= 40, "20 to 40", F1031 &lt;= 50, "40 to 50", F1031 &gt; 50, "&gt;50" )</f>
        <v>5.1 to 10</v>
      </c>
    </row>
    <row r="1032" spans="1:15" ht="14.4" x14ac:dyDescent="0.3">
      <c r="A1032" t="s">
        <v>213</v>
      </c>
      <c r="B1032" s="1">
        <v>46189</v>
      </c>
      <c r="C1032" t="s">
        <v>64</v>
      </c>
      <c r="D1032">
        <v>964</v>
      </c>
      <c r="E1032">
        <v>2</v>
      </c>
      <c r="F1032">
        <v>1.7</v>
      </c>
      <c r="G1032" t="s">
        <v>32</v>
      </c>
      <c r="H1032" s="6" t="s">
        <v>239</v>
      </c>
      <c r="I1032" t="str">
        <f t="shared" si="16"/>
        <v>964_2</v>
      </c>
      <c r="J1032" t="s">
        <v>214</v>
      </c>
      <c r="K1032" t="s">
        <v>19</v>
      </c>
      <c r="L1032" t="str">
        <f>_xlfn.XLOOKUP(C1032, Table2[Species],Table2[Genus], "Code Not Found")</f>
        <v>Fagus</v>
      </c>
      <c r="M1032" t="str">
        <f>_xlfn.XLOOKUP(C1032, Table2[Species],Table2[Sp. Name], "Code Not Found")</f>
        <v>grandifolia</v>
      </c>
      <c r="N1032" t="str">
        <f>_xlfn.XLOOKUP(C1032,Table2[Species],Table2[Family],"Code Not Found")</f>
        <v>Fagaceae</v>
      </c>
      <c r="O1032" t="str" cm="1">
        <f t="array" ref="O1032">_xlfn.IFS(F1032="","",F1032&lt;=5,"0 to 5",F1032&lt;=10,"5.1 to 10",F1032&lt;=20,"10 to 20", F1032&lt;= 40, "20 to 40", F1032 &lt;= 50, "40 to 50", F1032 &gt; 50, "&gt;50" )</f>
        <v>0 to 5</v>
      </c>
    </row>
    <row r="1033" spans="1:15" ht="14.4" x14ac:dyDescent="0.3">
      <c r="A1033" t="s">
        <v>213</v>
      </c>
      <c r="B1033" s="1">
        <v>46189</v>
      </c>
      <c r="C1033" t="s">
        <v>64</v>
      </c>
      <c r="D1033">
        <v>964</v>
      </c>
      <c r="E1033">
        <v>3</v>
      </c>
      <c r="F1033">
        <v>1</v>
      </c>
      <c r="G1033" t="s">
        <v>32</v>
      </c>
      <c r="H1033" s="6" t="s">
        <v>239</v>
      </c>
      <c r="I1033" t="str">
        <f t="shared" si="16"/>
        <v>964_3</v>
      </c>
      <c r="J1033" t="s">
        <v>214</v>
      </c>
      <c r="K1033" t="s">
        <v>19</v>
      </c>
      <c r="L1033" t="str">
        <f>_xlfn.XLOOKUP(C1033, Table2[Species],Table2[Genus], "Code Not Found")</f>
        <v>Fagus</v>
      </c>
      <c r="M1033" t="str">
        <f>_xlfn.XLOOKUP(C1033, Table2[Species],Table2[Sp. Name], "Code Not Found")</f>
        <v>grandifolia</v>
      </c>
      <c r="N1033" t="str">
        <f>_xlfn.XLOOKUP(C1033,Table2[Species],Table2[Family],"Code Not Found")</f>
        <v>Fagaceae</v>
      </c>
      <c r="O1033" t="str" cm="1">
        <f t="array" ref="O1033">_xlfn.IFS(F1033="","",F1033&lt;=5,"0 to 5",F1033&lt;=10,"5.1 to 10",F1033&lt;=20,"10 to 20", F1033&lt;= 40, "20 to 40", F1033 &lt;= 50, "40 to 50", F1033 &gt; 50, "&gt;50" )</f>
        <v>0 to 5</v>
      </c>
    </row>
    <row r="1034" spans="1:15" ht="14.4" x14ac:dyDescent="0.3">
      <c r="A1034" t="s">
        <v>213</v>
      </c>
      <c r="B1034" s="1">
        <v>46189</v>
      </c>
      <c r="C1034" t="s">
        <v>22</v>
      </c>
      <c r="D1034">
        <v>965</v>
      </c>
      <c r="E1034">
        <v>1</v>
      </c>
      <c r="F1034">
        <v>18.100000000000001</v>
      </c>
      <c r="G1034" t="s">
        <v>21</v>
      </c>
      <c r="I1034" t="str">
        <f t="shared" si="16"/>
        <v>965_1</v>
      </c>
      <c r="J1034" t="s">
        <v>214</v>
      </c>
      <c r="K1034" t="s">
        <v>19</v>
      </c>
      <c r="L1034" t="str">
        <f>_xlfn.XLOOKUP(C1034, Table2[Species],Table2[Genus], "Code Not Found")</f>
        <v>Acer</v>
      </c>
      <c r="M1034" t="str">
        <f>_xlfn.XLOOKUP(C1034, Table2[Species],Table2[Sp. Name], "Code Not Found")</f>
        <v>rubrum</v>
      </c>
      <c r="N1034" t="str">
        <f>_xlfn.XLOOKUP(C1034,Table2[Species],Table2[Family],"Code Not Found")</f>
        <v>Sapindaceae</v>
      </c>
      <c r="O1034" t="str" cm="1">
        <f t="array" ref="O1034">_xlfn.IFS(F1034="","",F1034&lt;=5,"0 to 5",F1034&lt;=10,"5.1 to 10",F1034&lt;=20,"10 to 20", F1034&lt;= 40, "20 to 40", F1034 &lt;= 50, "40 to 50", F1034 &gt; 50, "&gt;50" )</f>
        <v>10 to 20</v>
      </c>
    </row>
    <row r="1035" spans="1:15" ht="14.4" x14ac:dyDescent="0.3">
      <c r="A1035" t="s">
        <v>213</v>
      </c>
      <c r="B1035" s="1">
        <v>46189</v>
      </c>
      <c r="C1035" t="s">
        <v>16</v>
      </c>
      <c r="D1035">
        <v>966</v>
      </c>
      <c r="E1035">
        <v>1</v>
      </c>
      <c r="F1035">
        <v>1.3</v>
      </c>
      <c r="G1035" t="s">
        <v>17</v>
      </c>
      <c r="I1035" t="str">
        <f t="shared" si="16"/>
        <v>966_1</v>
      </c>
      <c r="J1035" t="s">
        <v>214</v>
      </c>
      <c r="K1035" t="s">
        <v>19</v>
      </c>
      <c r="L1035" t="str">
        <f>_xlfn.XLOOKUP(C1035, Table2[Species],Table2[Genus], "Code Not Found")</f>
        <v>Acer</v>
      </c>
      <c r="M1035" t="str">
        <f>_xlfn.XLOOKUP(C1035, Table2[Species],Table2[Sp. Name], "Code Not Found")</f>
        <v>saccharum</v>
      </c>
      <c r="N1035" t="str">
        <f>_xlfn.XLOOKUP(C1035,Table2[Species],Table2[Family],"Code Not Found")</f>
        <v>Sapindaceae</v>
      </c>
      <c r="O1035" t="str" cm="1">
        <f t="array" ref="O1035">_xlfn.IFS(F1035="","",F1035&lt;=5,"0 to 5",F1035&lt;=10,"5.1 to 10",F1035&lt;=20,"10 to 20", F1035&lt;= 40, "20 to 40", F1035 &lt;= 50, "40 to 50", F1035 &gt; 50, "&gt;50" )</f>
        <v>0 to 5</v>
      </c>
    </row>
    <row r="1036" spans="1:15" ht="14.4" x14ac:dyDescent="0.3">
      <c r="A1036" t="s">
        <v>213</v>
      </c>
      <c r="B1036" s="1">
        <v>46189</v>
      </c>
      <c r="C1036" t="s">
        <v>16</v>
      </c>
      <c r="D1036">
        <v>967</v>
      </c>
      <c r="E1036">
        <v>1</v>
      </c>
      <c r="F1036">
        <v>1.7</v>
      </c>
      <c r="G1036" t="s">
        <v>47</v>
      </c>
      <c r="H1036" t="s">
        <v>43</v>
      </c>
      <c r="I1036" t="str">
        <f t="shared" si="16"/>
        <v>967_1</v>
      </c>
      <c r="J1036" t="s">
        <v>214</v>
      </c>
      <c r="K1036" t="s">
        <v>19</v>
      </c>
      <c r="L1036" t="str">
        <f>_xlfn.XLOOKUP(C1036, Table2[Species],Table2[Genus], "Code Not Found")</f>
        <v>Acer</v>
      </c>
      <c r="M1036" t="str">
        <f>_xlfn.XLOOKUP(C1036, Table2[Species],Table2[Sp. Name], "Code Not Found")</f>
        <v>saccharum</v>
      </c>
      <c r="N1036" t="str">
        <f>_xlfn.XLOOKUP(C1036,Table2[Species],Table2[Family],"Code Not Found")</f>
        <v>Sapindaceae</v>
      </c>
      <c r="O1036" t="str" cm="1">
        <f t="array" ref="O1036">_xlfn.IFS(F1036="","",F1036&lt;=5,"0 to 5",F1036&lt;=10,"5.1 to 10",F1036&lt;=20,"10 to 20", F1036&lt;= 40, "20 to 40", F1036 &lt;= 50, "40 to 50", F1036 &gt; 50, "&gt;50" )</f>
        <v>0 to 5</v>
      </c>
    </row>
    <row r="1037" spans="1:15" ht="14.4" x14ac:dyDescent="0.3">
      <c r="A1037" t="s">
        <v>213</v>
      </c>
      <c r="B1037" s="1">
        <v>46189</v>
      </c>
      <c r="C1037" t="s">
        <v>16</v>
      </c>
      <c r="D1037">
        <v>968</v>
      </c>
      <c r="E1037">
        <v>1</v>
      </c>
      <c r="F1037">
        <v>2</v>
      </c>
      <c r="G1037" t="s">
        <v>21</v>
      </c>
      <c r="I1037" t="str">
        <f t="shared" si="16"/>
        <v>968_1</v>
      </c>
      <c r="J1037" t="s">
        <v>214</v>
      </c>
      <c r="K1037" t="s">
        <v>19</v>
      </c>
      <c r="L1037" t="str">
        <f>_xlfn.XLOOKUP(C1037, Table2[Species],Table2[Genus], "Code Not Found")</f>
        <v>Acer</v>
      </c>
      <c r="M1037" t="str">
        <f>_xlfn.XLOOKUP(C1037, Table2[Species],Table2[Sp. Name], "Code Not Found")</f>
        <v>saccharum</v>
      </c>
      <c r="N1037" t="str">
        <f>_xlfn.XLOOKUP(C1037,Table2[Species],Table2[Family],"Code Not Found")</f>
        <v>Sapindaceae</v>
      </c>
      <c r="O1037" t="str" cm="1">
        <f t="array" ref="O1037">_xlfn.IFS(F1037="","",F1037&lt;=5,"0 to 5",F1037&lt;=10,"5.1 to 10",F1037&lt;=20,"10 to 20", F1037&lt;= 40, "20 to 40", F1037 &lt;= 50, "40 to 50", F1037 &gt; 50, "&gt;50" )</f>
        <v>0 to 5</v>
      </c>
    </row>
    <row r="1038" spans="1:15" ht="14.4" x14ac:dyDescent="0.3">
      <c r="A1038" t="s">
        <v>213</v>
      </c>
      <c r="B1038" s="1">
        <v>46189</v>
      </c>
      <c r="C1038" t="s">
        <v>16</v>
      </c>
      <c r="D1038">
        <v>969</v>
      </c>
      <c r="E1038">
        <v>1</v>
      </c>
      <c r="F1038">
        <v>1.3</v>
      </c>
      <c r="G1038" t="s">
        <v>34</v>
      </c>
      <c r="I1038" t="str">
        <f t="shared" si="16"/>
        <v>969_1</v>
      </c>
      <c r="J1038" t="s">
        <v>214</v>
      </c>
      <c r="K1038" t="s">
        <v>19</v>
      </c>
      <c r="L1038" t="str">
        <f>_xlfn.XLOOKUP(C1038, Table2[Species],Table2[Genus], "Code Not Found")</f>
        <v>Acer</v>
      </c>
      <c r="M1038" t="str">
        <f>_xlfn.XLOOKUP(C1038, Table2[Species],Table2[Sp. Name], "Code Not Found")</f>
        <v>saccharum</v>
      </c>
      <c r="N1038" t="str">
        <f>_xlfn.XLOOKUP(C1038,Table2[Species],Table2[Family],"Code Not Found")</f>
        <v>Sapindaceae</v>
      </c>
      <c r="O1038" t="str" cm="1">
        <f t="array" ref="O1038">_xlfn.IFS(F1038="","",F1038&lt;=5,"0 to 5",F1038&lt;=10,"5.1 to 10",F1038&lt;=20,"10 to 20", F1038&lt;= 40, "20 to 40", F1038 &lt;= 50, "40 to 50", F1038 &gt; 50, "&gt;50" )</f>
        <v>0 to 5</v>
      </c>
    </row>
    <row r="1039" spans="1:15" ht="14.4" x14ac:dyDescent="0.3">
      <c r="A1039" t="s">
        <v>213</v>
      </c>
      <c r="B1039" s="1">
        <v>46189</v>
      </c>
      <c r="C1039" t="s">
        <v>16</v>
      </c>
      <c r="D1039">
        <v>969</v>
      </c>
      <c r="E1039">
        <v>2</v>
      </c>
      <c r="F1039">
        <v>1.2</v>
      </c>
      <c r="G1039" t="s">
        <v>34</v>
      </c>
      <c r="I1039" t="str">
        <f t="shared" si="16"/>
        <v>969_2</v>
      </c>
      <c r="J1039" t="s">
        <v>214</v>
      </c>
      <c r="K1039" t="s">
        <v>19</v>
      </c>
      <c r="L1039" t="str">
        <f>_xlfn.XLOOKUP(C1039, Table2[Species],Table2[Genus], "Code Not Found")</f>
        <v>Acer</v>
      </c>
      <c r="M1039" t="str">
        <f>_xlfn.XLOOKUP(C1039, Table2[Species],Table2[Sp. Name], "Code Not Found")</f>
        <v>saccharum</v>
      </c>
      <c r="N1039" t="str">
        <f>_xlfn.XLOOKUP(C1039,Table2[Species],Table2[Family],"Code Not Found")</f>
        <v>Sapindaceae</v>
      </c>
      <c r="O1039" t="str" cm="1">
        <f t="array" ref="O1039">_xlfn.IFS(F1039="","",F1039&lt;=5,"0 to 5",F1039&lt;=10,"5.1 to 10",F1039&lt;=20,"10 to 20", F1039&lt;= 40, "20 to 40", F1039 &lt;= 50, "40 to 50", F1039 &gt; 50, "&gt;50" )</f>
        <v>0 to 5</v>
      </c>
    </row>
    <row r="1040" spans="1:15" ht="14.4" x14ac:dyDescent="0.3">
      <c r="A1040" t="s">
        <v>213</v>
      </c>
      <c r="B1040" s="1">
        <v>46189</v>
      </c>
      <c r="C1040" t="s">
        <v>24</v>
      </c>
      <c r="D1040">
        <v>970</v>
      </c>
      <c r="E1040">
        <v>1</v>
      </c>
      <c r="F1040">
        <v>25</v>
      </c>
      <c r="G1040" t="s">
        <v>17</v>
      </c>
      <c r="I1040" t="str">
        <f t="shared" si="16"/>
        <v>970_1</v>
      </c>
      <c r="J1040" t="s">
        <v>214</v>
      </c>
      <c r="K1040" t="s">
        <v>19</v>
      </c>
      <c r="L1040" t="str">
        <f>_xlfn.XLOOKUP(C1040, Table2[Species],Table2[Genus], "Code Not Found")</f>
        <v>Lirodendron</v>
      </c>
      <c r="M1040" t="str">
        <f>_xlfn.XLOOKUP(C1040, Table2[Species],Table2[Sp. Name], "Code Not Found")</f>
        <v>tulipfera</v>
      </c>
      <c r="N1040" t="str">
        <f>_xlfn.XLOOKUP(C1040,Table2[Species],Table2[Family],"Code Not Found")</f>
        <v>Magnoliaceae</v>
      </c>
      <c r="O1040" t="str" cm="1">
        <f t="array" ref="O1040">_xlfn.IFS(F1040="","",F1040&lt;=5,"0 to 5",F1040&lt;=10,"5.1 to 10",F1040&lt;=20,"10 to 20", F1040&lt;= 40, "20 to 40", F1040 &lt;= 50, "40 to 50", F1040 &gt; 50, "&gt;50" )</f>
        <v>20 to 40</v>
      </c>
    </row>
    <row r="1041" spans="1:15" ht="14.4" x14ac:dyDescent="0.3">
      <c r="A1041" t="s">
        <v>213</v>
      </c>
      <c r="B1041" s="1">
        <v>46189</v>
      </c>
      <c r="C1041" t="s">
        <v>22</v>
      </c>
      <c r="D1041">
        <v>971</v>
      </c>
      <c r="E1041">
        <v>1</v>
      </c>
      <c r="F1041">
        <v>6.8</v>
      </c>
      <c r="G1041" t="s">
        <v>47</v>
      </c>
      <c r="H1041" t="s">
        <v>43</v>
      </c>
      <c r="I1041" t="str">
        <f t="shared" si="16"/>
        <v>971_1</v>
      </c>
      <c r="J1041" t="s">
        <v>214</v>
      </c>
      <c r="K1041" t="s">
        <v>19</v>
      </c>
      <c r="L1041" t="str">
        <f>_xlfn.XLOOKUP(C1041, Table2[Species],Table2[Genus], "Code Not Found")</f>
        <v>Acer</v>
      </c>
      <c r="M1041" t="str">
        <f>_xlfn.XLOOKUP(C1041, Table2[Species],Table2[Sp. Name], "Code Not Found")</f>
        <v>rubrum</v>
      </c>
      <c r="N1041" t="str">
        <f>_xlfn.XLOOKUP(C1041,Table2[Species],Table2[Family],"Code Not Found")</f>
        <v>Sapindaceae</v>
      </c>
      <c r="O1041" t="str" cm="1">
        <f t="array" ref="O1041">_xlfn.IFS(F1041="","",F1041&lt;=5,"0 to 5",F1041&lt;=10,"5.1 to 10",F1041&lt;=20,"10 to 20", F1041&lt;= 40, "20 to 40", F1041 &lt;= 50, "40 to 50", F1041 &gt; 50, "&gt;50" )</f>
        <v>5.1 to 10</v>
      </c>
    </row>
    <row r="1042" spans="1:15" ht="14.4" x14ac:dyDescent="0.3">
      <c r="A1042" t="s">
        <v>213</v>
      </c>
      <c r="B1042" s="1">
        <v>46189</v>
      </c>
      <c r="C1042" t="s">
        <v>24</v>
      </c>
      <c r="D1042">
        <v>972</v>
      </c>
      <c r="E1042">
        <v>1</v>
      </c>
      <c r="F1042">
        <v>25</v>
      </c>
      <c r="G1042" t="s">
        <v>17</v>
      </c>
      <c r="I1042" t="str">
        <f t="shared" si="16"/>
        <v>972_1</v>
      </c>
      <c r="J1042" t="s">
        <v>214</v>
      </c>
      <c r="K1042" t="s">
        <v>19</v>
      </c>
      <c r="L1042" t="str">
        <f>_xlfn.XLOOKUP(C1042, Table2[Species],Table2[Genus], "Code Not Found")</f>
        <v>Lirodendron</v>
      </c>
      <c r="M1042" t="str">
        <f>_xlfn.XLOOKUP(C1042, Table2[Species],Table2[Sp. Name], "Code Not Found")</f>
        <v>tulipfera</v>
      </c>
      <c r="N1042" t="str">
        <f>_xlfn.XLOOKUP(C1042,Table2[Species],Table2[Family],"Code Not Found")</f>
        <v>Magnoliaceae</v>
      </c>
      <c r="O1042" t="str" cm="1">
        <f t="array" ref="O1042">_xlfn.IFS(F1042="","",F1042&lt;=5,"0 to 5",F1042&lt;=10,"5.1 to 10",F1042&lt;=20,"10 to 20", F1042&lt;= 40, "20 to 40", F1042 &lt;= 50, "40 to 50", F1042 &gt; 50, "&gt;50" )</f>
        <v>20 to 40</v>
      </c>
    </row>
    <row r="1043" spans="1:15" ht="14.4" x14ac:dyDescent="0.3">
      <c r="A1043" t="s">
        <v>213</v>
      </c>
      <c r="B1043" s="1">
        <v>46189</v>
      </c>
      <c r="C1043" t="s">
        <v>22</v>
      </c>
      <c r="D1043">
        <v>973</v>
      </c>
      <c r="E1043">
        <v>1</v>
      </c>
      <c r="F1043">
        <v>5.3</v>
      </c>
      <c r="G1043" t="s">
        <v>17</v>
      </c>
      <c r="I1043" t="str">
        <f t="shared" si="16"/>
        <v>973_1</v>
      </c>
      <c r="J1043" t="s">
        <v>214</v>
      </c>
      <c r="K1043" t="s">
        <v>19</v>
      </c>
      <c r="L1043" t="str">
        <f>_xlfn.XLOOKUP(C1043, Table2[Species],Table2[Genus], "Code Not Found")</f>
        <v>Acer</v>
      </c>
      <c r="M1043" t="str">
        <f>_xlfn.XLOOKUP(C1043, Table2[Species],Table2[Sp. Name], "Code Not Found")</f>
        <v>rubrum</v>
      </c>
      <c r="N1043" t="str">
        <f>_xlfn.XLOOKUP(C1043,Table2[Species],Table2[Family],"Code Not Found")</f>
        <v>Sapindaceae</v>
      </c>
      <c r="O1043" t="str" cm="1">
        <f t="array" ref="O1043">_xlfn.IFS(F1043="","",F1043&lt;=5,"0 to 5",F1043&lt;=10,"5.1 to 10",F1043&lt;=20,"10 to 20", F1043&lt;= 40, "20 to 40", F1043 &lt;= 50, "40 to 50", F1043 &gt; 50, "&gt;50" )</f>
        <v>5.1 to 10</v>
      </c>
    </row>
    <row r="1044" spans="1:15" ht="14.4" x14ac:dyDescent="0.3">
      <c r="A1044" t="s">
        <v>213</v>
      </c>
      <c r="B1044" s="1">
        <v>46189</v>
      </c>
      <c r="C1044" t="s">
        <v>16</v>
      </c>
      <c r="D1044">
        <v>974</v>
      </c>
      <c r="E1044">
        <v>1</v>
      </c>
      <c r="F1044">
        <v>1.8</v>
      </c>
      <c r="G1044" t="s">
        <v>17</v>
      </c>
      <c r="I1044" t="str">
        <f t="shared" si="16"/>
        <v>974_1</v>
      </c>
      <c r="J1044" t="s">
        <v>214</v>
      </c>
      <c r="K1044" t="s">
        <v>19</v>
      </c>
      <c r="L1044" t="str">
        <f>_xlfn.XLOOKUP(C1044, Table2[Species],Table2[Genus], "Code Not Found")</f>
        <v>Acer</v>
      </c>
      <c r="M1044" t="str">
        <f>_xlfn.XLOOKUP(C1044, Table2[Species],Table2[Sp. Name], "Code Not Found")</f>
        <v>saccharum</v>
      </c>
      <c r="N1044" t="str">
        <f>_xlfn.XLOOKUP(C1044,Table2[Species],Table2[Family],"Code Not Found")</f>
        <v>Sapindaceae</v>
      </c>
      <c r="O1044" t="str" cm="1">
        <f t="array" ref="O1044">_xlfn.IFS(F1044="","",F1044&lt;=5,"0 to 5",F1044&lt;=10,"5.1 to 10",F1044&lt;=20,"10 to 20", F1044&lt;= 40, "20 to 40", F1044 &lt;= 50, "40 to 50", F1044 &gt; 50, "&gt;50" )</f>
        <v>0 to 5</v>
      </c>
    </row>
    <row r="1045" spans="1:15" ht="14.4" x14ac:dyDescent="0.3">
      <c r="A1045" t="s">
        <v>213</v>
      </c>
      <c r="B1045" s="1">
        <v>46189</v>
      </c>
      <c r="C1045" t="s">
        <v>16</v>
      </c>
      <c r="D1045">
        <v>975</v>
      </c>
      <c r="E1045">
        <v>1</v>
      </c>
      <c r="F1045">
        <v>2.1</v>
      </c>
      <c r="G1045" t="s">
        <v>17</v>
      </c>
      <c r="I1045" t="str">
        <f t="shared" si="16"/>
        <v>975_1</v>
      </c>
      <c r="J1045" t="s">
        <v>214</v>
      </c>
      <c r="K1045" t="s">
        <v>19</v>
      </c>
      <c r="L1045" t="str">
        <f>_xlfn.XLOOKUP(C1045, Table2[Species],Table2[Genus], "Code Not Found")</f>
        <v>Acer</v>
      </c>
      <c r="M1045" t="str">
        <f>_xlfn.XLOOKUP(C1045, Table2[Species],Table2[Sp. Name], "Code Not Found")</f>
        <v>saccharum</v>
      </c>
      <c r="N1045" t="str">
        <f>_xlfn.XLOOKUP(C1045,Table2[Species],Table2[Family],"Code Not Found")</f>
        <v>Sapindaceae</v>
      </c>
      <c r="O1045" t="str" cm="1">
        <f t="array" ref="O1045">_xlfn.IFS(F1045="","",F1045&lt;=5,"0 to 5",F1045&lt;=10,"5.1 to 10",F1045&lt;=20,"10 to 20", F1045&lt;= 40, "20 to 40", F1045 &lt;= 50, "40 to 50", F1045 &gt; 50, "&gt;50" )</f>
        <v>0 to 5</v>
      </c>
    </row>
    <row r="1046" spans="1:15" ht="14.4" x14ac:dyDescent="0.3">
      <c r="A1046" t="s">
        <v>213</v>
      </c>
      <c r="B1046" s="1">
        <v>46189</v>
      </c>
      <c r="C1046" t="s">
        <v>24</v>
      </c>
      <c r="D1046">
        <v>976</v>
      </c>
      <c r="E1046">
        <v>1</v>
      </c>
      <c r="F1046">
        <v>33.4</v>
      </c>
      <c r="G1046" t="s">
        <v>17</v>
      </c>
      <c r="H1046" t="s">
        <v>36</v>
      </c>
      <c r="I1046" t="str">
        <f t="shared" si="16"/>
        <v>976_1</v>
      </c>
      <c r="J1046" t="s">
        <v>214</v>
      </c>
      <c r="K1046" t="s">
        <v>19</v>
      </c>
      <c r="L1046" t="str">
        <f>_xlfn.XLOOKUP(C1046, Table2[Species],Table2[Genus], "Code Not Found")</f>
        <v>Lirodendron</v>
      </c>
      <c r="M1046" t="str">
        <f>_xlfn.XLOOKUP(C1046, Table2[Species],Table2[Sp. Name], "Code Not Found")</f>
        <v>tulipfera</v>
      </c>
      <c r="N1046" t="str">
        <f>_xlfn.XLOOKUP(C1046,Table2[Species],Table2[Family],"Code Not Found")</f>
        <v>Magnoliaceae</v>
      </c>
      <c r="O1046" t="str" cm="1">
        <f t="array" ref="O1046">_xlfn.IFS(F1046="","",F1046&lt;=5,"0 to 5",F1046&lt;=10,"5.1 to 10",F1046&lt;=20,"10 to 20", F1046&lt;= 40, "20 to 40", F1046 &lt;= 50, "40 to 50", F1046 &gt; 50, "&gt;50" )</f>
        <v>20 to 40</v>
      </c>
    </row>
    <row r="1047" spans="1:15" ht="14.4" x14ac:dyDescent="0.3">
      <c r="A1047" t="s">
        <v>213</v>
      </c>
      <c r="B1047" s="1">
        <v>46189</v>
      </c>
      <c r="C1047" t="s">
        <v>16</v>
      </c>
      <c r="D1047">
        <v>977</v>
      </c>
      <c r="E1047">
        <v>1</v>
      </c>
      <c r="F1047">
        <v>1.1000000000000001</v>
      </c>
      <c r="G1047" t="s">
        <v>21</v>
      </c>
      <c r="I1047" t="str">
        <f t="shared" si="16"/>
        <v>977_1</v>
      </c>
      <c r="J1047" t="s">
        <v>214</v>
      </c>
      <c r="K1047" t="s">
        <v>19</v>
      </c>
      <c r="L1047" t="str">
        <f>_xlfn.XLOOKUP(C1047, Table2[Species],Table2[Genus], "Code Not Found")</f>
        <v>Acer</v>
      </c>
      <c r="M1047" t="str">
        <f>_xlfn.XLOOKUP(C1047, Table2[Species],Table2[Sp. Name], "Code Not Found")</f>
        <v>saccharum</v>
      </c>
      <c r="N1047" t="str">
        <f>_xlfn.XLOOKUP(C1047,Table2[Species],Table2[Family],"Code Not Found")</f>
        <v>Sapindaceae</v>
      </c>
      <c r="O1047" t="str" cm="1">
        <f t="array" ref="O1047">_xlfn.IFS(F1047="","",F1047&lt;=5,"0 to 5",F1047&lt;=10,"5.1 to 10",F1047&lt;=20,"10 to 20", F1047&lt;= 40, "20 to 40", F1047 &lt;= 50, "40 to 50", F1047 &gt; 50, "&gt;50" )</f>
        <v>0 to 5</v>
      </c>
    </row>
    <row r="1048" spans="1:15" ht="14.4" x14ac:dyDescent="0.3">
      <c r="A1048" t="s">
        <v>213</v>
      </c>
      <c r="B1048" s="1">
        <v>46189</v>
      </c>
      <c r="C1048" t="s">
        <v>16</v>
      </c>
      <c r="D1048">
        <v>978</v>
      </c>
      <c r="E1048">
        <v>1</v>
      </c>
      <c r="F1048">
        <v>1</v>
      </c>
      <c r="G1048" t="s">
        <v>138</v>
      </c>
      <c r="I1048" t="str">
        <f t="shared" si="16"/>
        <v>978_1</v>
      </c>
      <c r="J1048" t="s">
        <v>214</v>
      </c>
      <c r="K1048" t="s">
        <v>19</v>
      </c>
      <c r="L1048" t="str">
        <f>_xlfn.XLOOKUP(C1048, Table2[Species],Table2[Genus], "Code Not Found")</f>
        <v>Acer</v>
      </c>
      <c r="M1048" t="str">
        <f>_xlfn.XLOOKUP(C1048, Table2[Species],Table2[Sp. Name], "Code Not Found")</f>
        <v>saccharum</v>
      </c>
      <c r="N1048" t="str">
        <f>_xlfn.XLOOKUP(C1048,Table2[Species],Table2[Family],"Code Not Found")</f>
        <v>Sapindaceae</v>
      </c>
      <c r="O1048" t="str" cm="1">
        <f t="array" ref="O1048">_xlfn.IFS(F1048="","",F1048&lt;=5,"0 to 5",F1048&lt;=10,"5.1 to 10",F1048&lt;=20,"10 to 20", F1048&lt;= 40, "20 to 40", F1048 &lt;= 50, "40 to 50", F1048 &gt; 50, "&gt;50" )</f>
        <v>0 to 5</v>
      </c>
    </row>
    <row r="1049" spans="1:15" ht="14.4" x14ac:dyDescent="0.3">
      <c r="A1049" t="s">
        <v>213</v>
      </c>
      <c r="B1049" s="1">
        <v>46189</v>
      </c>
      <c r="C1049" t="s">
        <v>16</v>
      </c>
      <c r="D1049">
        <v>979</v>
      </c>
      <c r="E1049">
        <v>1</v>
      </c>
      <c r="F1049">
        <v>1.2</v>
      </c>
      <c r="G1049" t="s">
        <v>17</v>
      </c>
      <c r="I1049" t="str">
        <f t="shared" si="16"/>
        <v>979_1</v>
      </c>
      <c r="J1049" t="s">
        <v>214</v>
      </c>
      <c r="K1049" t="s">
        <v>19</v>
      </c>
      <c r="L1049" t="str">
        <f>_xlfn.XLOOKUP(C1049, Table2[Species],Table2[Genus], "Code Not Found")</f>
        <v>Acer</v>
      </c>
      <c r="M1049" t="str">
        <f>_xlfn.XLOOKUP(C1049, Table2[Species],Table2[Sp. Name], "Code Not Found")</f>
        <v>saccharum</v>
      </c>
      <c r="N1049" t="str">
        <f>_xlfn.XLOOKUP(C1049,Table2[Species],Table2[Family],"Code Not Found")</f>
        <v>Sapindaceae</v>
      </c>
      <c r="O1049" t="str" cm="1">
        <f t="array" ref="O1049">_xlfn.IFS(F1049="","",F1049&lt;=5,"0 to 5",F1049&lt;=10,"5.1 to 10",F1049&lt;=20,"10 to 20", F1049&lt;= 40, "20 to 40", F1049 &lt;= 50, "40 to 50", F1049 &gt; 50, "&gt;50" )</f>
        <v>0 to 5</v>
      </c>
    </row>
    <row r="1050" spans="1:15" ht="14.4" x14ac:dyDescent="0.3">
      <c r="A1050" t="s">
        <v>213</v>
      </c>
      <c r="B1050" s="1">
        <v>46189</v>
      </c>
      <c r="C1050" t="s">
        <v>16</v>
      </c>
      <c r="D1050">
        <v>980</v>
      </c>
      <c r="E1050">
        <v>1</v>
      </c>
      <c r="F1050">
        <v>1.4</v>
      </c>
      <c r="G1050" t="s">
        <v>17</v>
      </c>
      <c r="I1050" t="str">
        <f t="shared" si="16"/>
        <v>980_1</v>
      </c>
      <c r="J1050" t="s">
        <v>214</v>
      </c>
      <c r="K1050" t="s">
        <v>19</v>
      </c>
      <c r="L1050" t="str">
        <f>_xlfn.XLOOKUP(C1050, Table2[Species],Table2[Genus], "Code Not Found")</f>
        <v>Acer</v>
      </c>
      <c r="M1050" t="str">
        <f>_xlfn.XLOOKUP(C1050, Table2[Species],Table2[Sp. Name], "Code Not Found")</f>
        <v>saccharum</v>
      </c>
      <c r="N1050" t="str">
        <f>_xlfn.XLOOKUP(C1050,Table2[Species],Table2[Family],"Code Not Found")</f>
        <v>Sapindaceae</v>
      </c>
      <c r="O1050" t="str" cm="1">
        <f t="array" ref="O1050">_xlfn.IFS(F1050="","",F1050&lt;=5,"0 to 5",F1050&lt;=10,"5.1 to 10",F1050&lt;=20,"10 to 20", F1050&lt;= 40, "20 to 40", F1050 &lt;= 50, "40 to 50", F1050 &gt; 50, "&gt;50" )</f>
        <v>0 to 5</v>
      </c>
    </row>
    <row r="1051" spans="1:15" ht="14.4" x14ac:dyDescent="0.3">
      <c r="A1051" t="s">
        <v>213</v>
      </c>
      <c r="B1051" s="1">
        <v>46189</v>
      </c>
      <c r="C1051" t="s">
        <v>16</v>
      </c>
      <c r="D1051">
        <v>981</v>
      </c>
      <c r="E1051">
        <v>1</v>
      </c>
      <c r="F1051">
        <v>6.6</v>
      </c>
      <c r="G1051" t="s">
        <v>30</v>
      </c>
      <c r="H1051" t="s">
        <v>121</v>
      </c>
      <c r="I1051" t="str">
        <f t="shared" si="16"/>
        <v>981_1</v>
      </c>
      <c r="J1051" t="s">
        <v>214</v>
      </c>
      <c r="K1051" t="s">
        <v>19</v>
      </c>
      <c r="L1051" t="str">
        <f>_xlfn.XLOOKUP(C1051, Table2[Species],Table2[Genus], "Code Not Found")</f>
        <v>Acer</v>
      </c>
      <c r="M1051" t="str">
        <f>_xlfn.XLOOKUP(C1051, Table2[Species],Table2[Sp. Name], "Code Not Found")</f>
        <v>saccharum</v>
      </c>
      <c r="N1051" t="str">
        <f>_xlfn.XLOOKUP(C1051,Table2[Species],Table2[Family],"Code Not Found")</f>
        <v>Sapindaceae</v>
      </c>
      <c r="O1051" t="str" cm="1">
        <f t="array" ref="O1051">_xlfn.IFS(F1051="","",F1051&lt;=5,"0 to 5",F1051&lt;=10,"5.1 to 10",F1051&lt;=20,"10 to 20", F1051&lt;= 40, "20 to 40", F1051 &lt;= 50, "40 to 50", F1051 &gt; 50, "&gt;50" )</f>
        <v>5.1 to 10</v>
      </c>
    </row>
    <row r="1052" spans="1:15" ht="14.4" x14ac:dyDescent="0.3">
      <c r="A1052" t="s">
        <v>213</v>
      </c>
      <c r="B1052" s="1">
        <v>46189</v>
      </c>
      <c r="C1052" t="s">
        <v>24</v>
      </c>
      <c r="D1052">
        <v>982</v>
      </c>
      <c r="E1052">
        <v>1</v>
      </c>
      <c r="F1052">
        <v>36.799999999999997</v>
      </c>
      <c r="G1052" t="s">
        <v>17</v>
      </c>
      <c r="I1052" t="str">
        <f t="shared" si="16"/>
        <v>982_1</v>
      </c>
      <c r="J1052" t="s">
        <v>214</v>
      </c>
      <c r="K1052" t="s">
        <v>19</v>
      </c>
      <c r="L1052" t="str">
        <f>_xlfn.XLOOKUP(C1052, Table2[Species],Table2[Genus], "Code Not Found")</f>
        <v>Lirodendron</v>
      </c>
      <c r="M1052" t="str">
        <f>_xlfn.XLOOKUP(C1052, Table2[Species],Table2[Sp. Name], "Code Not Found")</f>
        <v>tulipfera</v>
      </c>
      <c r="N1052" t="str">
        <f>_xlfn.XLOOKUP(C1052,Table2[Species],Table2[Family],"Code Not Found")</f>
        <v>Magnoliaceae</v>
      </c>
      <c r="O1052" t="str" cm="1">
        <f t="array" ref="O1052">_xlfn.IFS(F1052="","",F1052&lt;=5,"0 to 5",F1052&lt;=10,"5.1 to 10",F1052&lt;=20,"10 to 20", F1052&lt;= 40, "20 to 40", F1052 &lt;= 50, "40 to 50", F1052 &gt; 50, "&gt;50" )</f>
        <v>20 to 40</v>
      </c>
    </row>
    <row r="1053" spans="1:15" ht="14.4" x14ac:dyDescent="0.3">
      <c r="A1053" t="s">
        <v>213</v>
      </c>
      <c r="B1053" s="1">
        <v>46189</v>
      </c>
      <c r="C1053" t="s">
        <v>16</v>
      </c>
      <c r="D1053">
        <v>983</v>
      </c>
      <c r="E1053">
        <v>1</v>
      </c>
      <c r="F1053">
        <v>1.6</v>
      </c>
      <c r="G1053" t="s">
        <v>47</v>
      </c>
      <c r="H1053" t="s">
        <v>43</v>
      </c>
      <c r="I1053" t="str">
        <f t="shared" si="16"/>
        <v>983_1</v>
      </c>
      <c r="J1053" t="s">
        <v>214</v>
      </c>
      <c r="K1053" t="s">
        <v>19</v>
      </c>
      <c r="L1053" t="str">
        <f>_xlfn.XLOOKUP(C1053, Table2[Species],Table2[Genus], "Code Not Found")</f>
        <v>Acer</v>
      </c>
      <c r="M1053" t="str">
        <f>_xlfn.XLOOKUP(C1053, Table2[Species],Table2[Sp. Name], "Code Not Found")</f>
        <v>saccharum</v>
      </c>
      <c r="N1053" t="str">
        <f>_xlfn.XLOOKUP(C1053,Table2[Species],Table2[Family],"Code Not Found")</f>
        <v>Sapindaceae</v>
      </c>
      <c r="O1053" t="str" cm="1">
        <f t="array" ref="O1053">_xlfn.IFS(F1053="","",F1053&lt;=5,"0 to 5",F1053&lt;=10,"5.1 to 10",F1053&lt;=20,"10 to 20", F1053&lt;= 40, "20 to 40", F1053 &lt;= 50, "40 to 50", F1053 &gt; 50, "&gt;50" )</f>
        <v>0 to 5</v>
      </c>
    </row>
    <row r="1054" spans="1:15" ht="14.4" x14ac:dyDescent="0.3">
      <c r="A1054" t="s">
        <v>213</v>
      </c>
      <c r="B1054" s="1">
        <v>46189</v>
      </c>
      <c r="C1054" t="s">
        <v>16</v>
      </c>
      <c r="D1054">
        <v>984</v>
      </c>
      <c r="E1054">
        <v>1</v>
      </c>
      <c r="F1054">
        <v>5.9</v>
      </c>
      <c r="G1054" t="s">
        <v>47</v>
      </c>
      <c r="H1054" t="s">
        <v>43</v>
      </c>
      <c r="I1054" t="str">
        <f t="shared" si="16"/>
        <v>984_1</v>
      </c>
      <c r="J1054" t="s">
        <v>214</v>
      </c>
      <c r="K1054" t="s">
        <v>19</v>
      </c>
      <c r="L1054" t="str">
        <f>_xlfn.XLOOKUP(C1054, Table2[Species],Table2[Genus], "Code Not Found")</f>
        <v>Acer</v>
      </c>
      <c r="M1054" t="str">
        <f>_xlfn.XLOOKUP(C1054, Table2[Species],Table2[Sp. Name], "Code Not Found")</f>
        <v>saccharum</v>
      </c>
      <c r="N1054" t="str">
        <f>_xlfn.XLOOKUP(C1054,Table2[Species],Table2[Family],"Code Not Found")</f>
        <v>Sapindaceae</v>
      </c>
      <c r="O1054" t="str" cm="1">
        <f t="array" ref="O1054">_xlfn.IFS(F1054="","",F1054&lt;=5,"0 to 5",F1054&lt;=10,"5.1 to 10",F1054&lt;=20,"10 to 20", F1054&lt;= 40, "20 to 40", F1054 &lt;= 50, "40 to 50", F1054 &gt; 50, "&gt;50" )</f>
        <v>5.1 to 10</v>
      </c>
    </row>
    <row r="1055" spans="1:15" ht="14.4" x14ac:dyDescent="0.3">
      <c r="A1055" t="s">
        <v>240</v>
      </c>
      <c r="B1055" s="1">
        <v>46189</v>
      </c>
      <c r="C1055" t="s">
        <v>24</v>
      </c>
      <c r="D1055">
        <v>985</v>
      </c>
      <c r="E1055">
        <v>1</v>
      </c>
      <c r="F1055">
        <v>1.1000000000000001</v>
      </c>
      <c r="G1055" t="s">
        <v>21</v>
      </c>
      <c r="H1055" t="s">
        <v>231</v>
      </c>
      <c r="I1055" t="str">
        <f t="shared" si="16"/>
        <v>985_1</v>
      </c>
      <c r="J1055" t="s">
        <v>241</v>
      </c>
      <c r="K1055" t="s">
        <v>179</v>
      </c>
      <c r="L1055" t="str">
        <f>_xlfn.XLOOKUP(C1055, Table2[Species],Table2[Genus], "Code Not Found")</f>
        <v>Lirodendron</v>
      </c>
      <c r="M1055" t="str">
        <f>_xlfn.XLOOKUP(C1055, Table2[Species],Table2[Sp. Name], "Code Not Found")</f>
        <v>tulipfera</v>
      </c>
      <c r="N1055" t="str">
        <f>_xlfn.XLOOKUP(C1055,Table2[Species],Table2[Family],"Code Not Found")</f>
        <v>Magnoliaceae</v>
      </c>
      <c r="O1055" t="str" cm="1">
        <f t="array" ref="O1055">_xlfn.IFS(F1055="","",F1055&lt;=5,"0 to 5",F1055&lt;=10,"5.1 to 10",F1055&lt;=20,"10 to 20", F1055&lt;= 40, "20 to 40", F1055 &lt;= 50, "40 to 50", F1055 &gt; 50, "&gt;50" )</f>
        <v>0 to 5</v>
      </c>
    </row>
    <row r="1056" spans="1:15" ht="14.4" x14ac:dyDescent="0.3">
      <c r="A1056" t="s">
        <v>240</v>
      </c>
      <c r="B1056" s="1">
        <v>46189</v>
      </c>
      <c r="C1056" t="s">
        <v>24</v>
      </c>
      <c r="D1056">
        <v>986</v>
      </c>
      <c r="E1056">
        <v>1</v>
      </c>
      <c r="F1056">
        <v>1.8</v>
      </c>
      <c r="G1056" t="s">
        <v>21</v>
      </c>
      <c r="H1056" t="s">
        <v>231</v>
      </c>
      <c r="I1056" t="str">
        <f t="shared" si="16"/>
        <v>986_1</v>
      </c>
      <c r="J1056" t="s">
        <v>241</v>
      </c>
      <c r="K1056" t="s">
        <v>179</v>
      </c>
      <c r="L1056" t="str">
        <f>_xlfn.XLOOKUP(C1056, Table2[Species],Table2[Genus], "Code Not Found")</f>
        <v>Lirodendron</v>
      </c>
      <c r="M1056" t="str">
        <f>_xlfn.XLOOKUP(C1056, Table2[Species],Table2[Sp. Name], "Code Not Found")</f>
        <v>tulipfera</v>
      </c>
      <c r="N1056" t="str">
        <f>_xlfn.XLOOKUP(C1056,Table2[Species],Table2[Family],"Code Not Found")</f>
        <v>Magnoliaceae</v>
      </c>
      <c r="O1056" t="str" cm="1">
        <f t="array" ref="O1056">_xlfn.IFS(F1056="","",F1056&lt;=5,"0 to 5",F1056&lt;=10,"5.1 to 10",F1056&lt;=20,"10 to 20", F1056&lt;= 40, "20 to 40", F1056 &lt;= 50, "40 to 50", F1056 &gt; 50, "&gt;50" )</f>
        <v>0 to 5</v>
      </c>
    </row>
    <row r="1057" spans="1:15" ht="14.4" x14ac:dyDescent="0.3">
      <c r="A1057" t="s">
        <v>240</v>
      </c>
      <c r="B1057" s="1">
        <v>46189</v>
      </c>
      <c r="C1057" t="s">
        <v>24</v>
      </c>
      <c r="D1057">
        <v>987</v>
      </c>
      <c r="E1057">
        <v>1</v>
      </c>
      <c r="F1057">
        <v>1.3</v>
      </c>
      <c r="G1057" t="s">
        <v>17</v>
      </c>
      <c r="H1057" t="s">
        <v>36</v>
      </c>
      <c r="I1057" t="str">
        <f t="shared" si="16"/>
        <v>987_1</v>
      </c>
      <c r="J1057" t="s">
        <v>241</v>
      </c>
      <c r="K1057" t="s">
        <v>179</v>
      </c>
      <c r="L1057" t="str">
        <f>_xlfn.XLOOKUP(C1057, Table2[Species],Table2[Genus], "Code Not Found")</f>
        <v>Lirodendron</v>
      </c>
      <c r="M1057" t="str">
        <f>_xlfn.XLOOKUP(C1057, Table2[Species],Table2[Sp. Name], "Code Not Found")</f>
        <v>tulipfera</v>
      </c>
      <c r="N1057" t="str">
        <f>_xlfn.XLOOKUP(C1057,Table2[Species],Table2[Family],"Code Not Found")</f>
        <v>Magnoliaceae</v>
      </c>
      <c r="O1057" t="str" cm="1">
        <f t="array" ref="O1057">_xlfn.IFS(F1057="","",F1057&lt;=5,"0 to 5",F1057&lt;=10,"5.1 to 10",F1057&lt;=20,"10 to 20", F1057&lt;= 40, "20 to 40", F1057 &lt;= 50, "40 to 50", F1057 &gt; 50, "&gt;50" )</f>
        <v>0 to 5</v>
      </c>
    </row>
    <row r="1058" spans="1:15" ht="14.4" x14ac:dyDescent="0.3">
      <c r="A1058" t="s">
        <v>240</v>
      </c>
      <c r="B1058" s="1">
        <v>46189</v>
      </c>
      <c r="C1058" t="s">
        <v>24</v>
      </c>
      <c r="D1058">
        <v>988</v>
      </c>
      <c r="E1058">
        <v>1</v>
      </c>
      <c r="F1058">
        <v>2.1</v>
      </c>
      <c r="G1058" t="s">
        <v>21</v>
      </c>
      <c r="H1058" t="s">
        <v>231</v>
      </c>
      <c r="I1058" t="str">
        <f t="shared" si="16"/>
        <v>988_1</v>
      </c>
      <c r="J1058" t="s">
        <v>241</v>
      </c>
      <c r="K1058" t="s">
        <v>179</v>
      </c>
      <c r="L1058" t="str">
        <f>_xlfn.XLOOKUP(C1058, Table2[Species],Table2[Genus], "Code Not Found")</f>
        <v>Lirodendron</v>
      </c>
      <c r="M1058" t="str">
        <f>_xlfn.XLOOKUP(C1058, Table2[Species],Table2[Sp. Name], "Code Not Found")</f>
        <v>tulipfera</v>
      </c>
      <c r="N1058" t="str">
        <f>_xlfn.XLOOKUP(C1058,Table2[Species],Table2[Family],"Code Not Found")</f>
        <v>Magnoliaceae</v>
      </c>
      <c r="O1058" t="str" cm="1">
        <f t="array" ref="O1058">_xlfn.IFS(F1058="","",F1058&lt;=5,"0 to 5",F1058&lt;=10,"5.1 to 10",F1058&lt;=20,"10 to 20", F1058&lt;= 40, "20 to 40", F1058 &lt;= 50, "40 to 50", F1058 &gt; 50, "&gt;50" )</f>
        <v>0 to 5</v>
      </c>
    </row>
    <row r="1059" spans="1:15" ht="14.4" x14ac:dyDescent="0.3">
      <c r="A1059" t="s">
        <v>240</v>
      </c>
      <c r="B1059" s="1">
        <v>46189</v>
      </c>
      <c r="C1059" t="s">
        <v>16</v>
      </c>
      <c r="D1059">
        <v>989</v>
      </c>
      <c r="E1059">
        <v>1</v>
      </c>
      <c r="F1059">
        <v>10.5</v>
      </c>
      <c r="G1059" t="s">
        <v>17</v>
      </c>
      <c r="I1059" t="str">
        <f t="shared" si="16"/>
        <v>989_1</v>
      </c>
      <c r="J1059" t="s">
        <v>241</v>
      </c>
      <c r="K1059" t="s">
        <v>179</v>
      </c>
      <c r="L1059" t="str">
        <f>_xlfn.XLOOKUP(C1059, Table2[Species],Table2[Genus], "Code Not Found")</f>
        <v>Acer</v>
      </c>
      <c r="M1059" t="str">
        <f>_xlfn.XLOOKUP(C1059, Table2[Species],Table2[Sp. Name], "Code Not Found")</f>
        <v>saccharum</v>
      </c>
      <c r="N1059" t="str">
        <f>_xlfn.XLOOKUP(C1059,Table2[Species],Table2[Family],"Code Not Found")</f>
        <v>Sapindaceae</v>
      </c>
      <c r="O1059" t="str" cm="1">
        <f t="array" ref="O1059">_xlfn.IFS(F1059="","",F1059&lt;=5,"0 to 5",F1059&lt;=10,"5.1 to 10",F1059&lt;=20,"10 to 20", F1059&lt;= 40, "20 to 40", F1059 &lt;= 50, "40 to 50", F1059 &gt; 50, "&gt;50" )</f>
        <v>10 to 20</v>
      </c>
    </row>
    <row r="1060" spans="1:15" ht="14.4" x14ac:dyDescent="0.3">
      <c r="A1060" t="s">
        <v>240</v>
      </c>
      <c r="B1060" s="1">
        <v>46189</v>
      </c>
      <c r="C1060" t="s">
        <v>16</v>
      </c>
      <c r="D1060">
        <v>990</v>
      </c>
      <c r="E1060">
        <v>1</v>
      </c>
      <c r="F1060">
        <v>3</v>
      </c>
      <c r="G1060" t="s">
        <v>242</v>
      </c>
      <c r="H1060" t="s">
        <v>99</v>
      </c>
      <c r="I1060" t="str">
        <f t="shared" si="16"/>
        <v>990_1</v>
      </c>
      <c r="J1060" t="s">
        <v>241</v>
      </c>
      <c r="K1060" t="s">
        <v>179</v>
      </c>
      <c r="L1060" t="str">
        <f>_xlfn.XLOOKUP(C1060, Table2[Species],Table2[Genus], "Code Not Found")</f>
        <v>Acer</v>
      </c>
      <c r="M1060" t="str">
        <f>_xlfn.XLOOKUP(C1060, Table2[Species],Table2[Sp. Name], "Code Not Found")</f>
        <v>saccharum</v>
      </c>
      <c r="N1060" t="str">
        <f>_xlfn.XLOOKUP(C1060,Table2[Species],Table2[Family],"Code Not Found")</f>
        <v>Sapindaceae</v>
      </c>
      <c r="O1060" t="str" cm="1">
        <f t="array" ref="O1060">_xlfn.IFS(F1060="","",F1060&lt;=5,"0 to 5",F1060&lt;=10,"5.1 to 10",F1060&lt;=20,"10 to 20", F1060&lt;= 40, "20 to 40", F1060 &lt;= 50, "40 to 50", F1060 &gt; 50, "&gt;50" )</f>
        <v>0 to 5</v>
      </c>
    </row>
    <row r="1061" spans="1:15" ht="14.4" x14ac:dyDescent="0.3">
      <c r="A1061" t="s">
        <v>240</v>
      </c>
      <c r="B1061" s="1">
        <v>46189</v>
      </c>
      <c r="C1061" t="s">
        <v>24</v>
      </c>
      <c r="D1061">
        <v>991</v>
      </c>
      <c r="E1061">
        <v>1</v>
      </c>
      <c r="F1061">
        <v>1.4</v>
      </c>
      <c r="G1061" t="s">
        <v>21</v>
      </c>
      <c r="H1061" t="s">
        <v>231</v>
      </c>
      <c r="I1061" t="str">
        <f t="shared" si="16"/>
        <v>991_1</v>
      </c>
      <c r="J1061" t="s">
        <v>241</v>
      </c>
      <c r="K1061" t="s">
        <v>179</v>
      </c>
      <c r="L1061" t="str">
        <f>_xlfn.XLOOKUP(C1061, Table2[Species],Table2[Genus], "Code Not Found")</f>
        <v>Lirodendron</v>
      </c>
      <c r="M1061" t="str">
        <f>_xlfn.XLOOKUP(C1061, Table2[Species],Table2[Sp. Name], "Code Not Found")</f>
        <v>tulipfera</v>
      </c>
      <c r="N1061" t="str">
        <f>_xlfn.XLOOKUP(C1061,Table2[Species],Table2[Family],"Code Not Found")</f>
        <v>Magnoliaceae</v>
      </c>
      <c r="O1061" t="str" cm="1">
        <f t="array" ref="O1061">_xlfn.IFS(F1061="","",F1061&lt;=5,"0 to 5",F1061&lt;=10,"5.1 to 10",F1061&lt;=20,"10 to 20", F1061&lt;= 40, "20 to 40", F1061 &lt;= 50, "40 to 50", F1061 &gt; 50, "&gt;50" )</f>
        <v>0 to 5</v>
      </c>
    </row>
    <row r="1062" spans="1:15" ht="14.4" x14ac:dyDescent="0.3">
      <c r="A1062" t="s">
        <v>240</v>
      </c>
      <c r="B1062" s="1">
        <v>46189</v>
      </c>
      <c r="C1062" t="s">
        <v>24</v>
      </c>
      <c r="D1062">
        <v>992</v>
      </c>
      <c r="E1062">
        <v>1</v>
      </c>
      <c r="F1062">
        <v>1.4</v>
      </c>
      <c r="G1062" t="s">
        <v>32</v>
      </c>
      <c r="H1062" t="s">
        <v>92</v>
      </c>
      <c r="I1062" t="str">
        <f t="shared" si="16"/>
        <v>992_1</v>
      </c>
      <c r="J1062" t="s">
        <v>241</v>
      </c>
      <c r="K1062" t="s">
        <v>179</v>
      </c>
      <c r="L1062" t="str">
        <f>_xlfn.XLOOKUP(C1062, Table2[Species],Table2[Genus], "Code Not Found")</f>
        <v>Lirodendron</v>
      </c>
      <c r="M1062" t="str">
        <f>_xlfn.XLOOKUP(C1062, Table2[Species],Table2[Sp. Name], "Code Not Found")</f>
        <v>tulipfera</v>
      </c>
      <c r="N1062" t="str">
        <f>_xlfn.XLOOKUP(C1062,Table2[Species],Table2[Family],"Code Not Found")</f>
        <v>Magnoliaceae</v>
      </c>
      <c r="O1062" t="str" cm="1">
        <f t="array" ref="O1062">_xlfn.IFS(F1062="","",F1062&lt;=5,"0 to 5",F1062&lt;=10,"5.1 to 10",F1062&lt;=20,"10 to 20", F1062&lt;= 40, "20 to 40", F1062 &lt;= 50, "40 to 50", F1062 &gt; 50, "&gt;50" )</f>
        <v>0 to 5</v>
      </c>
    </row>
    <row r="1063" spans="1:15" ht="14.4" x14ac:dyDescent="0.3">
      <c r="A1063" t="s">
        <v>240</v>
      </c>
      <c r="B1063" s="1">
        <v>46189</v>
      </c>
      <c r="C1063" t="s">
        <v>24</v>
      </c>
      <c r="D1063">
        <v>992</v>
      </c>
      <c r="E1063">
        <v>2</v>
      </c>
      <c r="F1063">
        <v>1.4</v>
      </c>
      <c r="G1063" t="s">
        <v>32</v>
      </c>
      <c r="H1063" t="s">
        <v>43</v>
      </c>
      <c r="I1063" t="str">
        <f t="shared" si="16"/>
        <v>992_2</v>
      </c>
      <c r="J1063" t="s">
        <v>241</v>
      </c>
      <c r="K1063" t="s">
        <v>179</v>
      </c>
      <c r="L1063" t="str">
        <f>_xlfn.XLOOKUP(C1063, Table2[Species],Table2[Genus], "Code Not Found")</f>
        <v>Lirodendron</v>
      </c>
      <c r="M1063" t="str">
        <f>_xlfn.XLOOKUP(C1063, Table2[Species],Table2[Sp. Name], "Code Not Found")</f>
        <v>tulipfera</v>
      </c>
      <c r="N1063" t="str">
        <f>_xlfn.XLOOKUP(C1063,Table2[Species],Table2[Family],"Code Not Found")</f>
        <v>Magnoliaceae</v>
      </c>
      <c r="O1063" t="str" cm="1">
        <f t="array" ref="O1063">_xlfn.IFS(F1063="","",F1063&lt;=5,"0 to 5",F1063&lt;=10,"5.1 to 10",F1063&lt;=20,"10 to 20", F1063&lt;= 40, "20 to 40", F1063 &lt;= 50, "40 to 50", F1063 &gt; 50, "&gt;50" )</f>
        <v>0 to 5</v>
      </c>
    </row>
    <row r="1064" spans="1:15" ht="14.4" x14ac:dyDescent="0.3">
      <c r="A1064" t="s">
        <v>240</v>
      </c>
      <c r="B1064" s="1">
        <v>46189</v>
      </c>
      <c r="C1064" t="s">
        <v>24</v>
      </c>
      <c r="D1064">
        <v>992</v>
      </c>
      <c r="E1064">
        <v>3</v>
      </c>
      <c r="F1064">
        <v>1</v>
      </c>
      <c r="G1064" t="s">
        <v>32</v>
      </c>
      <c r="H1064" t="s">
        <v>43</v>
      </c>
      <c r="I1064" t="str">
        <f t="shared" si="16"/>
        <v>992_3</v>
      </c>
      <c r="J1064" t="s">
        <v>241</v>
      </c>
      <c r="K1064" t="s">
        <v>179</v>
      </c>
      <c r="L1064" t="str">
        <f>_xlfn.XLOOKUP(C1064, Table2[Species],Table2[Genus], "Code Not Found")</f>
        <v>Lirodendron</v>
      </c>
      <c r="M1064" t="str">
        <f>_xlfn.XLOOKUP(C1064, Table2[Species],Table2[Sp. Name], "Code Not Found")</f>
        <v>tulipfera</v>
      </c>
      <c r="N1064" t="str">
        <f>_xlfn.XLOOKUP(C1064,Table2[Species],Table2[Family],"Code Not Found")</f>
        <v>Magnoliaceae</v>
      </c>
      <c r="O1064" t="str" cm="1">
        <f t="array" ref="O1064">_xlfn.IFS(F1064="","",F1064&lt;=5,"0 to 5",F1064&lt;=10,"5.1 to 10",F1064&lt;=20,"10 to 20", F1064&lt;= 40, "20 to 40", F1064 &lt;= 50, "40 to 50", F1064 &gt; 50, "&gt;50" )</f>
        <v>0 to 5</v>
      </c>
    </row>
    <row r="1065" spans="1:15" ht="14.4" x14ac:dyDescent="0.3">
      <c r="A1065" t="s">
        <v>240</v>
      </c>
      <c r="B1065" s="1">
        <v>46189</v>
      </c>
      <c r="C1065" t="s">
        <v>24</v>
      </c>
      <c r="D1065">
        <v>992</v>
      </c>
      <c r="E1065">
        <v>4</v>
      </c>
      <c r="F1065">
        <v>1.4</v>
      </c>
      <c r="G1065" t="s">
        <v>34</v>
      </c>
      <c r="H1065" t="s">
        <v>43</v>
      </c>
      <c r="I1065" t="str">
        <f t="shared" si="16"/>
        <v>992_4</v>
      </c>
      <c r="J1065" t="s">
        <v>241</v>
      </c>
      <c r="K1065" t="s">
        <v>179</v>
      </c>
      <c r="L1065" t="str">
        <f>_xlfn.XLOOKUP(C1065, Table2[Species],Table2[Genus], "Code Not Found")</f>
        <v>Lirodendron</v>
      </c>
      <c r="M1065" t="str">
        <f>_xlfn.XLOOKUP(C1065, Table2[Species],Table2[Sp. Name], "Code Not Found")</f>
        <v>tulipfera</v>
      </c>
      <c r="N1065" t="str">
        <f>_xlfn.XLOOKUP(C1065,Table2[Species],Table2[Family],"Code Not Found")</f>
        <v>Magnoliaceae</v>
      </c>
      <c r="O1065" t="str" cm="1">
        <f t="array" ref="O1065">_xlfn.IFS(F1065="","",F1065&lt;=5,"0 to 5",F1065&lt;=10,"5.1 to 10",F1065&lt;=20,"10 to 20", F1065&lt;= 40, "20 to 40", F1065 &lt;= 50, "40 to 50", F1065 &gt; 50, "&gt;50" )</f>
        <v>0 to 5</v>
      </c>
    </row>
    <row r="1066" spans="1:15" ht="14.4" x14ac:dyDescent="0.3">
      <c r="A1066" t="s">
        <v>240</v>
      </c>
      <c r="B1066" s="1">
        <v>46189</v>
      </c>
      <c r="C1066" t="s">
        <v>24</v>
      </c>
      <c r="D1066">
        <v>993</v>
      </c>
      <c r="E1066">
        <v>1</v>
      </c>
      <c r="F1066">
        <v>1.5</v>
      </c>
      <c r="G1066" t="s">
        <v>21</v>
      </c>
      <c r="H1066" t="s">
        <v>231</v>
      </c>
      <c r="I1066" t="str">
        <f t="shared" si="16"/>
        <v>993_1</v>
      </c>
      <c r="J1066" t="s">
        <v>241</v>
      </c>
      <c r="K1066" t="s">
        <v>179</v>
      </c>
      <c r="L1066" t="str">
        <f>_xlfn.XLOOKUP(C1066, Table2[Species],Table2[Genus], "Code Not Found")</f>
        <v>Lirodendron</v>
      </c>
      <c r="M1066" t="str">
        <f>_xlfn.XLOOKUP(C1066, Table2[Species],Table2[Sp. Name], "Code Not Found")</f>
        <v>tulipfera</v>
      </c>
      <c r="N1066" t="str">
        <f>_xlfn.XLOOKUP(C1066,Table2[Species],Table2[Family],"Code Not Found")</f>
        <v>Magnoliaceae</v>
      </c>
      <c r="O1066" t="str" cm="1">
        <f t="array" ref="O1066">_xlfn.IFS(F1066="","",F1066&lt;=5,"0 to 5",F1066&lt;=10,"5.1 to 10",F1066&lt;=20,"10 to 20", F1066&lt;= 40, "20 to 40", F1066 &lt;= 50, "40 to 50", F1066 &gt; 50, "&gt;50" )</f>
        <v>0 to 5</v>
      </c>
    </row>
    <row r="1067" spans="1:15" ht="14.4" x14ac:dyDescent="0.3">
      <c r="A1067" t="s">
        <v>240</v>
      </c>
      <c r="B1067" s="1">
        <v>46189</v>
      </c>
      <c r="C1067" t="s">
        <v>16</v>
      </c>
      <c r="D1067">
        <v>994</v>
      </c>
      <c r="E1067">
        <v>1</v>
      </c>
      <c r="F1067">
        <v>4.4000000000000004</v>
      </c>
      <c r="G1067" t="s">
        <v>34</v>
      </c>
      <c r="H1067" t="s">
        <v>43</v>
      </c>
      <c r="I1067" t="str">
        <f t="shared" si="16"/>
        <v>994_1</v>
      </c>
      <c r="J1067" t="s">
        <v>241</v>
      </c>
      <c r="K1067" t="s">
        <v>179</v>
      </c>
      <c r="L1067" t="str">
        <f>_xlfn.XLOOKUP(C1067, Table2[Species],Table2[Genus], "Code Not Found")</f>
        <v>Acer</v>
      </c>
      <c r="M1067" t="str">
        <f>_xlfn.XLOOKUP(C1067, Table2[Species],Table2[Sp. Name], "Code Not Found")</f>
        <v>saccharum</v>
      </c>
      <c r="N1067" t="str">
        <f>_xlfn.XLOOKUP(C1067,Table2[Species],Table2[Family],"Code Not Found")</f>
        <v>Sapindaceae</v>
      </c>
      <c r="O1067" t="str" cm="1">
        <f t="array" ref="O1067">_xlfn.IFS(F1067="","",F1067&lt;=5,"0 to 5",F1067&lt;=10,"5.1 to 10",F1067&lt;=20,"10 to 20", F1067&lt;= 40, "20 to 40", F1067 &lt;= 50, "40 to 50", F1067 &gt; 50, "&gt;50" )</f>
        <v>0 to 5</v>
      </c>
    </row>
    <row r="1068" spans="1:15" ht="14.4" x14ac:dyDescent="0.3">
      <c r="A1068" t="s">
        <v>240</v>
      </c>
      <c r="B1068" s="1">
        <v>46189</v>
      </c>
      <c r="C1068" t="s">
        <v>16</v>
      </c>
      <c r="D1068">
        <v>994</v>
      </c>
      <c r="E1068">
        <v>2</v>
      </c>
      <c r="F1068">
        <v>1.8</v>
      </c>
      <c r="G1068" t="s">
        <v>34</v>
      </c>
      <c r="H1068" t="s">
        <v>43</v>
      </c>
      <c r="I1068" t="str">
        <f t="shared" si="16"/>
        <v>994_2</v>
      </c>
      <c r="J1068" t="s">
        <v>241</v>
      </c>
      <c r="K1068" t="s">
        <v>179</v>
      </c>
      <c r="L1068" t="str">
        <f>_xlfn.XLOOKUP(C1068, Table2[Species],Table2[Genus], "Code Not Found")</f>
        <v>Acer</v>
      </c>
      <c r="M1068" t="str">
        <f>_xlfn.XLOOKUP(C1068, Table2[Species],Table2[Sp. Name], "Code Not Found")</f>
        <v>saccharum</v>
      </c>
      <c r="N1068" t="str">
        <f>_xlfn.XLOOKUP(C1068,Table2[Species],Table2[Family],"Code Not Found")</f>
        <v>Sapindaceae</v>
      </c>
      <c r="O1068" t="str" cm="1">
        <f t="array" ref="O1068">_xlfn.IFS(F1068="","",F1068&lt;=5,"0 to 5",F1068&lt;=10,"5.1 to 10",F1068&lt;=20,"10 to 20", F1068&lt;= 40, "20 to 40", F1068 &lt;= 50, "40 to 50", F1068 &gt; 50, "&gt;50" )</f>
        <v>0 to 5</v>
      </c>
    </row>
    <row r="1069" spans="1:15" ht="14.4" x14ac:dyDescent="0.3">
      <c r="A1069" t="s">
        <v>240</v>
      </c>
      <c r="B1069" s="1">
        <v>46189</v>
      </c>
      <c r="C1069" t="s">
        <v>16</v>
      </c>
      <c r="D1069">
        <v>995</v>
      </c>
      <c r="E1069">
        <v>1</v>
      </c>
      <c r="F1069">
        <v>6.2</v>
      </c>
      <c r="G1069" t="s">
        <v>83</v>
      </c>
      <c r="H1069" t="s">
        <v>243</v>
      </c>
      <c r="I1069" t="str">
        <f t="shared" si="16"/>
        <v>995_1</v>
      </c>
      <c r="J1069" t="s">
        <v>241</v>
      </c>
      <c r="K1069" t="s">
        <v>179</v>
      </c>
      <c r="L1069" t="str">
        <f>_xlfn.XLOOKUP(C1069, Table2[Species],Table2[Genus], "Code Not Found")</f>
        <v>Acer</v>
      </c>
      <c r="M1069" t="str">
        <f>_xlfn.XLOOKUP(C1069, Table2[Species],Table2[Sp. Name], "Code Not Found")</f>
        <v>saccharum</v>
      </c>
      <c r="N1069" t="str">
        <f>_xlfn.XLOOKUP(C1069,Table2[Species],Table2[Family],"Code Not Found")</f>
        <v>Sapindaceae</v>
      </c>
      <c r="O1069" t="str" cm="1">
        <f t="array" ref="O1069">_xlfn.IFS(F1069="","",F1069&lt;=5,"0 to 5",F1069&lt;=10,"5.1 to 10",F1069&lt;=20,"10 to 20", F1069&lt;= 40, "20 to 40", F1069 &lt;= 50, "40 to 50", F1069 &gt; 50, "&gt;50" )</f>
        <v>5.1 to 10</v>
      </c>
    </row>
    <row r="1070" spans="1:15" ht="14.4" x14ac:dyDescent="0.3">
      <c r="A1070" t="s">
        <v>240</v>
      </c>
      <c r="B1070" s="1">
        <v>46189</v>
      </c>
      <c r="C1070" t="s">
        <v>64</v>
      </c>
      <c r="D1070">
        <v>996</v>
      </c>
      <c r="E1070">
        <v>1</v>
      </c>
      <c r="F1070">
        <v>59.5</v>
      </c>
      <c r="G1070" t="s">
        <v>17</v>
      </c>
      <c r="I1070" t="str">
        <f t="shared" si="16"/>
        <v>996_1</v>
      </c>
      <c r="J1070" t="s">
        <v>241</v>
      </c>
      <c r="K1070" t="s">
        <v>179</v>
      </c>
      <c r="L1070" t="str">
        <f>_xlfn.XLOOKUP(C1070, Table2[Species],Table2[Genus], "Code Not Found")</f>
        <v>Fagus</v>
      </c>
      <c r="M1070" t="str">
        <f>_xlfn.XLOOKUP(C1070, Table2[Species],Table2[Sp. Name], "Code Not Found")</f>
        <v>grandifolia</v>
      </c>
      <c r="N1070" t="str">
        <f>_xlfn.XLOOKUP(C1070,Table2[Species],Table2[Family],"Code Not Found")</f>
        <v>Fagaceae</v>
      </c>
      <c r="O1070" t="str" cm="1">
        <f t="array" ref="O1070">_xlfn.IFS(F1070="","",F1070&lt;=5,"0 to 5",F1070&lt;=10,"5.1 to 10",F1070&lt;=20,"10 to 20", F1070&lt;= 40, "20 to 40", F1070 &lt;= 50, "40 to 50", F1070 &gt; 50, "&gt;50" )</f>
        <v>&gt;50</v>
      </c>
    </row>
    <row r="1071" spans="1:15" ht="14.4" x14ac:dyDescent="0.3">
      <c r="A1071" t="s">
        <v>240</v>
      </c>
      <c r="B1071" s="1">
        <v>46189</v>
      </c>
      <c r="C1071" t="s">
        <v>16</v>
      </c>
      <c r="D1071">
        <v>997</v>
      </c>
      <c r="E1071">
        <v>1</v>
      </c>
      <c r="F1071">
        <v>3.5</v>
      </c>
      <c r="G1071" t="s">
        <v>47</v>
      </c>
      <c r="I1071" t="str">
        <f t="shared" ref="I1071:I1080" si="17">D1071&amp;"_"&amp;E1071</f>
        <v>997_1</v>
      </c>
      <c r="J1071" t="s">
        <v>241</v>
      </c>
      <c r="K1071" t="s">
        <v>179</v>
      </c>
      <c r="L1071" t="str">
        <f>_xlfn.XLOOKUP(C1071, Table2[Species],Table2[Genus], "Code Not Found")</f>
        <v>Acer</v>
      </c>
      <c r="M1071" t="str">
        <f>_xlfn.XLOOKUP(C1071, Table2[Species],Table2[Sp. Name], "Code Not Found")</f>
        <v>saccharum</v>
      </c>
      <c r="N1071" t="str">
        <f>_xlfn.XLOOKUP(C1071,Table2[Species],Table2[Family],"Code Not Found")</f>
        <v>Sapindaceae</v>
      </c>
      <c r="O1071" t="str" cm="1">
        <f t="array" ref="O1071">_xlfn.IFS(F1071="","",F1071&lt;=5,"0 to 5",F1071&lt;=10,"5.1 to 10",F1071&lt;=20,"10 to 20", F1071&lt;= 40, "20 to 40", F1071 &lt;= 50, "40 to 50", F1071 &gt; 50, "&gt;50" )</f>
        <v>0 to 5</v>
      </c>
    </row>
    <row r="1072" spans="1:15" ht="14.4" x14ac:dyDescent="0.3">
      <c r="A1072" t="s">
        <v>240</v>
      </c>
      <c r="B1072" s="1">
        <v>46189</v>
      </c>
      <c r="C1072" t="s">
        <v>16</v>
      </c>
      <c r="D1072">
        <v>998</v>
      </c>
      <c r="E1072">
        <v>1</v>
      </c>
      <c r="F1072">
        <v>18</v>
      </c>
      <c r="G1072" t="s">
        <v>17</v>
      </c>
      <c r="I1072" t="str">
        <f t="shared" si="17"/>
        <v>998_1</v>
      </c>
      <c r="J1072" t="s">
        <v>241</v>
      </c>
      <c r="K1072" t="s">
        <v>179</v>
      </c>
      <c r="L1072" t="str">
        <f>_xlfn.XLOOKUP(C1072, Table2[Species],Table2[Genus], "Code Not Found")</f>
        <v>Acer</v>
      </c>
      <c r="M1072" t="str">
        <f>_xlfn.XLOOKUP(C1072, Table2[Species],Table2[Sp. Name], "Code Not Found")</f>
        <v>saccharum</v>
      </c>
      <c r="N1072" t="str">
        <f>_xlfn.XLOOKUP(C1072,Table2[Species],Table2[Family],"Code Not Found")</f>
        <v>Sapindaceae</v>
      </c>
      <c r="O1072" t="str" cm="1">
        <f t="array" ref="O1072">_xlfn.IFS(F1072="","",F1072&lt;=5,"0 to 5",F1072&lt;=10,"5.1 to 10",F1072&lt;=20,"10 to 20", F1072&lt;= 40, "20 to 40", F1072 &lt;= 50, "40 to 50", F1072 &gt; 50, "&gt;50" )</f>
        <v>10 to 20</v>
      </c>
    </row>
    <row r="1073" spans="1:15" ht="14.4" x14ac:dyDescent="0.3">
      <c r="A1073" t="s">
        <v>240</v>
      </c>
      <c r="B1073" s="1">
        <v>46189</v>
      </c>
      <c r="C1073" t="s">
        <v>16</v>
      </c>
      <c r="D1073">
        <v>999</v>
      </c>
      <c r="E1073">
        <v>1</v>
      </c>
      <c r="F1073">
        <v>5.4</v>
      </c>
      <c r="G1073" t="s">
        <v>17</v>
      </c>
      <c r="I1073" t="str">
        <f t="shared" si="17"/>
        <v>999_1</v>
      </c>
      <c r="J1073" t="s">
        <v>241</v>
      </c>
      <c r="K1073" t="s">
        <v>179</v>
      </c>
      <c r="L1073" t="str">
        <f>_xlfn.XLOOKUP(C1073, Table2[Species],Table2[Genus], "Code Not Found")</f>
        <v>Acer</v>
      </c>
      <c r="M1073" t="str">
        <f>_xlfn.XLOOKUP(C1073, Table2[Species],Table2[Sp. Name], "Code Not Found")</f>
        <v>saccharum</v>
      </c>
      <c r="N1073" t="str">
        <f>_xlfn.XLOOKUP(C1073,Table2[Species],Table2[Family],"Code Not Found")</f>
        <v>Sapindaceae</v>
      </c>
      <c r="O1073" t="str" cm="1">
        <f t="array" ref="O1073">_xlfn.IFS(F1073="","",F1073&lt;=5,"0 to 5",F1073&lt;=10,"5.1 to 10",F1073&lt;=20,"10 to 20", F1073&lt;= 40, "20 to 40", F1073 &lt;= 50, "40 to 50", F1073 &gt; 50, "&gt;50" )</f>
        <v>5.1 to 10</v>
      </c>
    </row>
    <row r="1074" spans="1:15" ht="14.4" x14ac:dyDescent="0.3">
      <c r="A1074" t="s">
        <v>240</v>
      </c>
      <c r="B1074" s="1">
        <v>46189</v>
      </c>
      <c r="C1074" t="s">
        <v>16</v>
      </c>
      <c r="D1074">
        <v>1000</v>
      </c>
      <c r="E1074">
        <v>1</v>
      </c>
      <c r="F1074">
        <v>3.8</v>
      </c>
      <c r="G1074" t="s">
        <v>17</v>
      </c>
      <c r="I1074" t="str">
        <f t="shared" si="17"/>
        <v>1000_1</v>
      </c>
      <c r="J1074" t="s">
        <v>241</v>
      </c>
      <c r="K1074" t="s">
        <v>179</v>
      </c>
      <c r="L1074" t="str">
        <f>_xlfn.XLOOKUP(C1074, Table2[Species],Table2[Genus], "Code Not Found")</f>
        <v>Acer</v>
      </c>
      <c r="M1074" t="str">
        <f>_xlfn.XLOOKUP(C1074, Table2[Species],Table2[Sp. Name], "Code Not Found")</f>
        <v>saccharum</v>
      </c>
      <c r="N1074" t="str">
        <f>_xlfn.XLOOKUP(C1074,Table2[Species],Table2[Family],"Code Not Found")</f>
        <v>Sapindaceae</v>
      </c>
      <c r="O1074" t="str" cm="1">
        <f t="array" ref="O1074">_xlfn.IFS(F1074="","",F1074&lt;=5,"0 to 5",F1074&lt;=10,"5.1 to 10",F1074&lt;=20,"10 to 20", F1074&lt;= 40, "20 to 40", F1074 &lt;= 50, "40 to 50", F1074 &gt; 50, "&gt;50" )</f>
        <v>0 to 5</v>
      </c>
    </row>
    <row r="1075" spans="1:15" ht="14.4" x14ac:dyDescent="0.3">
      <c r="A1075" t="s">
        <v>240</v>
      </c>
      <c r="B1075" s="1">
        <v>46189</v>
      </c>
      <c r="C1075" t="s">
        <v>16</v>
      </c>
      <c r="D1075">
        <v>1001</v>
      </c>
      <c r="E1075">
        <v>1</v>
      </c>
      <c r="F1075">
        <v>2.7</v>
      </c>
      <c r="G1075" t="s">
        <v>17</v>
      </c>
      <c r="I1075" t="str">
        <f t="shared" si="17"/>
        <v>1001_1</v>
      </c>
      <c r="J1075" t="s">
        <v>241</v>
      </c>
      <c r="K1075" t="s">
        <v>179</v>
      </c>
      <c r="L1075" t="str">
        <f>_xlfn.XLOOKUP(C1075, Table2[Species],Table2[Genus], "Code Not Found")</f>
        <v>Acer</v>
      </c>
      <c r="M1075" t="str">
        <f>_xlfn.XLOOKUP(C1075, Table2[Species],Table2[Sp. Name], "Code Not Found")</f>
        <v>saccharum</v>
      </c>
      <c r="N1075" t="str">
        <f>_xlfn.XLOOKUP(C1075,Table2[Species],Table2[Family],"Code Not Found")</f>
        <v>Sapindaceae</v>
      </c>
      <c r="O1075" t="str" cm="1">
        <f t="array" ref="O1075">_xlfn.IFS(F1075="","",F1075&lt;=5,"0 to 5",F1075&lt;=10,"5.1 to 10",F1075&lt;=20,"10 to 20", F1075&lt;= 40, "20 to 40", F1075 &lt;= 50, "40 to 50", F1075 &gt; 50, "&gt;50" )</f>
        <v>0 to 5</v>
      </c>
    </row>
    <row r="1076" spans="1:15" ht="14.4" x14ac:dyDescent="0.3">
      <c r="A1076" t="s">
        <v>240</v>
      </c>
      <c r="B1076" s="1">
        <v>46189</v>
      </c>
      <c r="C1076" t="s">
        <v>16</v>
      </c>
      <c r="D1076">
        <v>1002</v>
      </c>
      <c r="E1076">
        <v>1</v>
      </c>
      <c r="F1076">
        <v>3.2</v>
      </c>
      <c r="G1076" t="s">
        <v>21</v>
      </c>
      <c r="I1076" t="str">
        <f t="shared" si="17"/>
        <v>1002_1</v>
      </c>
      <c r="J1076" t="s">
        <v>241</v>
      </c>
      <c r="K1076" t="s">
        <v>179</v>
      </c>
      <c r="L1076" t="str">
        <f>_xlfn.XLOOKUP(C1076, Table2[Species],Table2[Genus], "Code Not Found")</f>
        <v>Acer</v>
      </c>
      <c r="M1076" t="str">
        <f>_xlfn.XLOOKUP(C1076, Table2[Species],Table2[Sp. Name], "Code Not Found")</f>
        <v>saccharum</v>
      </c>
      <c r="N1076" t="str">
        <f>_xlfn.XLOOKUP(C1076,Table2[Species],Table2[Family],"Code Not Found")</f>
        <v>Sapindaceae</v>
      </c>
      <c r="O1076" t="str" cm="1">
        <f t="array" ref="O1076">_xlfn.IFS(F1076="","",F1076&lt;=5,"0 to 5",F1076&lt;=10,"5.1 to 10",F1076&lt;=20,"10 to 20", F1076&lt;= 40, "20 to 40", F1076 &lt;= 50, "40 to 50", F1076 &gt; 50, "&gt;50" )</f>
        <v>0 to 5</v>
      </c>
    </row>
    <row r="1077" spans="1:15" ht="14.4" x14ac:dyDescent="0.3">
      <c r="A1077" t="s">
        <v>240</v>
      </c>
      <c r="B1077" s="1">
        <v>46189</v>
      </c>
      <c r="C1077" t="s">
        <v>16</v>
      </c>
      <c r="D1077">
        <v>1017</v>
      </c>
      <c r="E1077">
        <v>1</v>
      </c>
      <c r="F1077">
        <v>1.8</v>
      </c>
      <c r="G1077" t="s">
        <v>94</v>
      </c>
      <c r="H1077" t="s">
        <v>99</v>
      </c>
      <c r="I1077" t="str">
        <f t="shared" si="17"/>
        <v>1017_1</v>
      </c>
      <c r="J1077" t="s">
        <v>241</v>
      </c>
      <c r="K1077" t="s">
        <v>179</v>
      </c>
      <c r="L1077" t="str">
        <f>_xlfn.XLOOKUP(C1077, Table2[Species],Table2[Genus], "Code Not Found")</f>
        <v>Acer</v>
      </c>
      <c r="M1077" t="str">
        <f>_xlfn.XLOOKUP(C1077, Table2[Species],Table2[Sp. Name], "Code Not Found")</f>
        <v>saccharum</v>
      </c>
      <c r="N1077" t="str">
        <f>_xlfn.XLOOKUP(C1077,Table2[Species],Table2[Family],"Code Not Found")</f>
        <v>Sapindaceae</v>
      </c>
      <c r="O1077" t="str" cm="1">
        <f t="array" ref="O1077">_xlfn.IFS(F1077="","",F1077&lt;=5,"0 to 5",F1077&lt;=10,"5.1 to 10",F1077&lt;=20,"10 to 20", F1077&lt;= 40, "20 to 40", F1077 &lt;= 50, "40 to 50", F1077 &gt; 50, "&gt;50" )</f>
        <v>0 to 5</v>
      </c>
    </row>
    <row r="1078" spans="1:15" ht="14.4" x14ac:dyDescent="0.3">
      <c r="A1078" t="s">
        <v>240</v>
      </c>
      <c r="B1078" s="1">
        <v>46189</v>
      </c>
      <c r="C1078" t="s">
        <v>16</v>
      </c>
      <c r="D1078">
        <v>1003</v>
      </c>
      <c r="E1078">
        <v>1</v>
      </c>
      <c r="F1078">
        <v>6</v>
      </c>
      <c r="G1078" t="s">
        <v>30</v>
      </c>
      <c r="H1078" t="s">
        <v>244</v>
      </c>
      <c r="I1078" t="str">
        <f t="shared" si="17"/>
        <v>1003_1</v>
      </c>
      <c r="J1078" t="s">
        <v>241</v>
      </c>
      <c r="K1078" t="s">
        <v>179</v>
      </c>
      <c r="L1078" t="str">
        <f>_xlfn.XLOOKUP(C1078, Table2[Species],Table2[Genus], "Code Not Found")</f>
        <v>Acer</v>
      </c>
      <c r="M1078" t="str">
        <f>_xlfn.XLOOKUP(C1078, Table2[Species],Table2[Sp. Name], "Code Not Found")</f>
        <v>saccharum</v>
      </c>
      <c r="N1078" t="str">
        <f>_xlfn.XLOOKUP(C1078,Table2[Species],Table2[Family],"Code Not Found")</f>
        <v>Sapindaceae</v>
      </c>
      <c r="O1078" t="str" cm="1">
        <f t="array" ref="O1078">_xlfn.IFS(F1078="","",F1078&lt;=5,"0 to 5",F1078&lt;=10,"5.1 to 10",F1078&lt;=20,"10 to 20", F1078&lt;= 40, "20 to 40", F1078 &lt;= 50, "40 to 50", F1078 &gt; 50, "&gt;50" )</f>
        <v>5.1 to 10</v>
      </c>
    </row>
    <row r="1079" spans="1:15" ht="14.4" x14ac:dyDescent="0.3">
      <c r="A1079" t="s">
        <v>240</v>
      </c>
      <c r="B1079" s="1">
        <v>46189</v>
      </c>
      <c r="C1079" t="s">
        <v>16</v>
      </c>
      <c r="D1079">
        <v>1004</v>
      </c>
      <c r="E1079">
        <v>1</v>
      </c>
      <c r="F1079">
        <v>12</v>
      </c>
      <c r="G1079" t="s">
        <v>21</v>
      </c>
      <c r="I1079" t="str">
        <f t="shared" si="17"/>
        <v>1004_1</v>
      </c>
      <c r="J1079" t="s">
        <v>241</v>
      </c>
      <c r="K1079" t="s">
        <v>179</v>
      </c>
      <c r="L1079" t="str">
        <f>_xlfn.XLOOKUP(C1079, Table2[Species],Table2[Genus], "Code Not Found")</f>
        <v>Acer</v>
      </c>
      <c r="M1079" t="str">
        <f>_xlfn.XLOOKUP(C1079, Table2[Species],Table2[Sp. Name], "Code Not Found")</f>
        <v>saccharum</v>
      </c>
      <c r="N1079" t="str">
        <f>_xlfn.XLOOKUP(C1079,Table2[Species],Table2[Family],"Code Not Found")</f>
        <v>Sapindaceae</v>
      </c>
      <c r="O1079" t="str" cm="1">
        <f t="array" ref="O1079">_xlfn.IFS(F1079="","",F1079&lt;=5,"0 to 5",F1079&lt;=10,"5.1 to 10",F1079&lt;=20,"10 to 20", F1079&lt;= 40, "20 to 40", F1079 &lt;= 50, "40 to 50", F1079 &gt; 50, "&gt;50" )</f>
        <v>10 to 20</v>
      </c>
    </row>
    <row r="1080" spans="1:15" ht="14.4" x14ac:dyDescent="0.3">
      <c r="A1080" t="s">
        <v>240</v>
      </c>
      <c r="B1080" s="1">
        <v>46189</v>
      </c>
      <c r="C1080" t="s">
        <v>55</v>
      </c>
      <c r="D1080">
        <v>1005</v>
      </c>
      <c r="E1080">
        <v>1</v>
      </c>
      <c r="F1080">
        <v>2.5</v>
      </c>
      <c r="G1080" t="s">
        <v>21</v>
      </c>
      <c r="H1080" t="s">
        <v>231</v>
      </c>
      <c r="I1080" t="str">
        <f t="shared" si="17"/>
        <v>1005_1</v>
      </c>
      <c r="J1080" t="s">
        <v>241</v>
      </c>
      <c r="K1080" t="s">
        <v>179</v>
      </c>
      <c r="L1080" t="str">
        <f>_xlfn.XLOOKUP(C1080, Table2[Species],Table2[Genus], "Code Not Found")</f>
        <v>Magnolia</v>
      </c>
      <c r="M1080" t="str">
        <f>_xlfn.XLOOKUP(C1080, Table2[Species],Table2[Sp. Name], "Code Not Found")</f>
        <v>acuminata</v>
      </c>
      <c r="N1080" t="str">
        <f>_xlfn.XLOOKUP(C1080,Table2[Species],Table2[Family],"Code Not Found")</f>
        <v>Magnoliaceae</v>
      </c>
      <c r="O1080" t="str" cm="1">
        <f t="array" ref="O1080">_xlfn.IFS(F1080="","",F1080&lt;=5,"0 to 5",F1080&lt;=10,"5.1 to 10",F1080&lt;=20,"10 to 20", F1080&lt;= 40, "20 to 40", F1080 &lt;= 50, "40 to 50", F1080 &gt; 50, "&gt;50" )</f>
        <v>0 to 5</v>
      </c>
    </row>
    <row r="1081" spans="1:15" ht="14.4" x14ac:dyDescent="0.3">
      <c r="A1081" t="s">
        <v>240</v>
      </c>
      <c r="B1081" s="1">
        <v>46189</v>
      </c>
      <c r="C1081" t="s">
        <v>24</v>
      </c>
      <c r="D1081">
        <v>1006</v>
      </c>
      <c r="E1081">
        <v>1</v>
      </c>
      <c r="F1081">
        <v>1.3</v>
      </c>
      <c r="G1081" t="s">
        <v>17</v>
      </c>
      <c r="H1081" t="s">
        <v>227</v>
      </c>
      <c r="I1081" t="str">
        <f t="shared" ref="I1081:I1133" si="18">D1081&amp;"_"&amp;E1081</f>
        <v>1006_1</v>
      </c>
      <c r="J1081" t="s">
        <v>241</v>
      </c>
      <c r="K1081" t="s">
        <v>179</v>
      </c>
      <c r="L1081" t="str">
        <f>_xlfn.XLOOKUP(C1081, Table2[Species],Table2[Genus], "Code Not Found")</f>
        <v>Lirodendron</v>
      </c>
      <c r="M1081" t="str">
        <f>_xlfn.XLOOKUP(C1081, Table2[Species],Table2[Sp. Name], "Code Not Found")</f>
        <v>tulipfera</v>
      </c>
      <c r="N1081" t="str">
        <f>_xlfn.XLOOKUP(C1081,Table2[Species],Table2[Family],"Code Not Found")</f>
        <v>Magnoliaceae</v>
      </c>
      <c r="O1081" t="str" cm="1">
        <f t="array" ref="O1081">_xlfn.IFS(F1081="","",F1081&lt;=5,"0 to 5",F1081&lt;=10,"5.1 to 10",F1081&lt;=20,"10 to 20", F1081&lt;= 40, "20 to 40", F1081 &lt;= 50, "40 to 50", F1081 &gt; 50, "&gt;50" )</f>
        <v>0 to 5</v>
      </c>
    </row>
    <row r="1082" spans="1:15" ht="14.4" x14ac:dyDescent="0.3">
      <c r="A1082" t="s">
        <v>240</v>
      </c>
      <c r="B1082" s="1">
        <v>46189</v>
      </c>
      <c r="C1082" t="s">
        <v>16</v>
      </c>
      <c r="D1082">
        <v>1007</v>
      </c>
      <c r="E1082">
        <v>1</v>
      </c>
      <c r="F1082">
        <v>6.2</v>
      </c>
      <c r="G1082" t="s">
        <v>17</v>
      </c>
      <c r="I1082" t="str">
        <f t="shared" si="18"/>
        <v>1007_1</v>
      </c>
      <c r="J1082" t="s">
        <v>241</v>
      </c>
      <c r="K1082" t="s">
        <v>179</v>
      </c>
      <c r="L1082" t="str">
        <f>_xlfn.XLOOKUP(C1082, Table2[Species],Table2[Genus], "Code Not Found")</f>
        <v>Acer</v>
      </c>
      <c r="M1082" t="str">
        <f>_xlfn.XLOOKUP(C1082, Table2[Species],Table2[Sp. Name], "Code Not Found")</f>
        <v>saccharum</v>
      </c>
      <c r="N1082" t="str">
        <f>_xlfn.XLOOKUP(C1082,Table2[Species],Table2[Family],"Code Not Found")</f>
        <v>Sapindaceae</v>
      </c>
      <c r="O1082" t="str" cm="1">
        <f t="array" ref="O1082">_xlfn.IFS(F1082="","",F1082&lt;=5,"0 to 5",F1082&lt;=10,"5.1 to 10",F1082&lt;=20,"10 to 20", F1082&lt;= 40, "20 to 40", F1082 &lt;= 50, "40 to 50", F1082 &gt; 50, "&gt;50" )</f>
        <v>5.1 to 10</v>
      </c>
    </row>
    <row r="1083" spans="1:15" ht="14.4" x14ac:dyDescent="0.3">
      <c r="A1083" t="s">
        <v>240</v>
      </c>
      <c r="B1083" s="1">
        <v>46189</v>
      </c>
      <c r="C1083" t="s">
        <v>16</v>
      </c>
      <c r="D1083">
        <v>1008</v>
      </c>
      <c r="E1083">
        <v>1</v>
      </c>
      <c r="F1083">
        <v>6.1</v>
      </c>
      <c r="G1083" t="s">
        <v>83</v>
      </c>
      <c r="H1083" t="s">
        <v>86</v>
      </c>
      <c r="I1083" t="str">
        <f t="shared" si="18"/>
        <v>1008_1</v>
      </c>
      <c r="J1083" t="s">
        <v>241</v>
      </c>
      <c r="K1083" t="s">
        <v>179</v>
      </c>
      <c r="L1083" t="str">
        <f>_xlfn.XLOOKUP(C1083, Table2[Species],Table2[Genus], "Code Not Found")</f>
        <v>Acer</v>
      </c>
      <c r="M1083" t="str">
        <f>_xlfn.XLOOKUP(C1083, Table2[Species],Table2[Sp. Name], "Code Not Found")</f>
        <v>saccharum</v>
      </c>
      <c r="N1083" t="str">
        <f>_xlfn.XLOOKUP(C1083,Table2[Species],Table2[Family],"Code Not Found")</f>
        <v>Sapindaceae</v>
      </c>
      <c r="O1083" t="str" cm="1">
        <f t="array" ref="O1083">_xlfn.IFS(F1083="","",F1083&lt;=5,"0 to 5",F1083&lt;=10,"5.1 to 10",F1083&lt;=20,"10 to 20", F1083&lt;= 40, "20 to 40", F1083 &lt;= 50, "40 to 50", F1083 &gt; 50, "&gt;50" )</f>
        <v>5.1 to 10</v>
      </c>
    </row>
    <row r="1084" spans="1:15" ht="14.4" x14ac:dyDescent="0.3">
      <c r="A1084" t="s">
        <v>240</v>
      </c>
      <c r="B1084" s="1">
        <v>46189</v>
      </c>
      <c r="C1084" t="s">
        <v>16</v>
      </c>
      <c r="D1084">
        <v>1009</v>
      </c>
      <c r="E1084">
        <v>1</v>
      </c>
      <c r="F1084">
        <v>15.2</v>
      </c>
      <c r="G1084" t="s">
        <v>47</v>
      </c>
      <c r="I1084" t="str">
        <f t="shared" si="18"/>
        <v>1009_1</v>
      </c>
      <c r="J1084" t="s">
        <v>241</v>
      </c>
      <c r="K1084" t="s">
        <v>179</v>
      </c>
      <c r="L1084" t="str">
        <f>_xlfn.XLOOKUP(C1084, Table2[Species],Table2[Genus], "Code Not Found")</f>
        <v>Acer</v>
      </c>
      <c r="M1084" t="str">
        <f>_xlfn.XLOOKUP(C1084, Table2[Species],Table2[Sp. Name], "Code Not Found")</f>
        <v>saccharum</v>
      </c>
      <c r="N1084" t="str">
        <f>_xlfn.XLOOKUP(C1084,Table2[Species],Table2[Family],"Code Not Found")</f>
        <v>Sapindaceae</v>
      </c>
      <c r="O1084" t="str" cm="1">
        <f t="array" ref="O1084">_xlfn.IFS(F1084="","",F1084&lt;=5,"0 to 5",F1084&lt;=10,"5.1 to 10",F1084&lt;=20,"10 to 20", F1084&lt;= 40, "20 to 40", F1084 &lt;= 50, "40 to 50", F1084 &gt; 50, "&gt;50" )</f>
        <v>10 to 20</v>
      </c>
    </row>
    <row r="1085" spans="1:15" ht="14.4" x14ac:dyDescent="0.3">
      <c r="A1085" t="s">
        <v>240</v>
      </c>
      <c r="B1085" s="1">
        <v>46189</v>
      </c>
      <c r="C1085" t="s">
        <v>16</v>
      </c>
      <c r="D1085">
        <v>1010</v>
      </c>
      <c r="E1085">
        <v>1</v>
      </c>
      <c r="F1085">
        <v>4.4000000000000004</v>
      </c>
      <c r="G1085" t="s">
        <v>17</v>
      </c>
      <c r="I1085" t="str">
        <f t="shared" si="18"/>
        <v>1010_1</v>
      </c>
      <c r="J1085" t="s">
        <v>241</v>
      </c>
      <c r="K1085" t="s">
        <v>179</v>
      </c>
      <c r="L1085" t="str">
        <f>_xlfn.XLOOKUP(C1085, Table2[Species],Table2[Genus], "Code Not Found")</f>
        <v>Acer</v>
      </c>
      <c r="M1085" t="str">
        <f>_xlfn.XLOOKUP(C1085, Table2[Species],Table2[Sp. Name], "Code Not Found")</f>
        <v>saccharum</v>
      </c>
      <c r="N1085" t="str">
        <f>_xlfn.XLOOKUP(C1085,Table2[Species],Table2[Family],"Code Not Found")</f>
        <v>Sapindaceae</v>
      </c>
      <c r="O1085" t="str" cm="1">
        <f t="array" ref="O1085">_xlfn.IFS(F1085="","",F1085&lt;=5,"0 to 5",F1085&lt;=10,"5.1 to 10",F1085&lt;=20,"10 to 20", F1085&lt;= 40, "20 to 40", F1085 &lt;= 50, "40 to 50", F1085 &gt; 50, "&gt;50" )</f>
        <v>0 to 5</v>
      </c>
    </row>
    <row r="1086" spans="1:15" ht="14.4" x14ac:dyDescent="0.3">
      <c r="A1086" t="s">
        <v>240</v>
      </c>
      <c r="B1086" s="1">
        <v>46189</v>
      </c>
      <c r="C1086" t="s">
        <v>16</v>
      </c>
      <c r="D1086">
        <v>1011</v>
      </c>
      <c r="E1086">
        <v>1</v>
      </c>
      <c r="F1086">
        <v>12.3</v>
      </c>
      <c r="G1086" t="s">
        <v>94</v>
      </c>
      <c r="H1086" t="s">
        <v>245</v>
      </c>
      <c r="I1086" t="str">
        <f t="shared" si="18"/>
        <v>1011_1</v>
      </c>
      <c r="J1086" t="s">
        <v>241</v>
      </c>
      <c r="K1086" t="s">
        <v>179</v>
      </c>
      <c r="L1086" t="str">
        <f>_xlfn.XLOOKUP(C1086, Table2[Species],Table2[Genus], "Code Not Found")</f>
        <v>Acer</v>
      </c>
      <c r="M1086" t="str">
        <f>_xlfn.XLOOKUP(C1086, Table2[Species],Table2[Sp. Name], "Code Not Found")</f>
        <v>saccharum</v>
      </c>
      <c r="N1086" t="str">
        <f>_xlfn.XLOOKUP(C1086,Table2[Species],Table2[Family],"Code Not Found")</f>
        <v>Sapindaceae</v>
      </c>
      <c r="O1086" t="str" cm="1">
        <f t="array" ref="O1086">_xlfn.IFS(F1086="","",F1086&lt;=5,"0 to 5",F1086&lt;=10,"5.1 to 10",F1086&lt;=20,"10 to 20", F1086&lt;= 40, "20 to 40", F1086 &lt;= 50, "40 to 50", F1086 &gt; 50, "&gt;50" )</f>
        <v>10 to 20</v>
      </c>
    </row>
    <row r="1087" spans="1:15" ht="14.4" x14ac:dyDescent="0.3">
      <c r="A1087" t="s">
        <v>240</v>
      </c>
      <c r="B1087" s="1">
        <v>46189</v>
      </c>
      <c r="C1087" t="s">
        <v>16</v>
      </c>
      <c r="D1087">
        <v>1012</v>
      </c>
      <c r="E1087">
        <v>1</v>
      </c>
      <c r="F1087">
        <v>1.9</v>
      </c>
      <c r="G1087" t="s">
        <v>93</v>
      </c>
      <c r="H1087" t="s">
        <v>43</v>
      </c>
      <c r="I1087" t="str">
        <f t="shared" si="18"/>
        <v>1012_1</v>
      </c>
      <c r="J1087" t="s">
        <v>241</v>
      </c>
      <c r="K1087" t="s">
        <v>179</v>
      </c>
      <c r="L1087" t="str">
        <f>_xlfn.XLOOKUP(C1087, Table2[Species],Table2[Genus], "Code Not Found")</f>
        <v>Acer</v>
      </c>
      <c r="M1087" t="str">
        <f>_xlfn.XLOOKUP(C1087, Table2[Species],Table2[Sp. Name], "Code Not Found")</f>
        <v>saccharum</v>
      </c>
      <c r="N1087" t="str">
        <f>_xlfn.XLOOKUP(C1087,Table2[Species],Table2[Family],"Code Not Found")</f>
        <v>Sapindaceae</v>
      </c>
      <c r="O1087" t="str" cm="1">
        <f t="array" ref="O1087">_xlfn.IFS(F1087="","",F1087&lt;=5,"0 to 5",F1087&lt;=10,"5.1 to 10",F1087&lt;=20,"10 to 20", F1087&lt;= 40, "20 to 40", F1087 &lt;= 50, "40 to 50", F1087 &gt; 50, "&gt;50" )</f>
        <v>0 to 5</v>
      </c>
    </row>
    <row r="1088" spans="1:15" ht="14.4" x14ac:dyDescent="0.3">
      <c r="A1088" t="s">
        <v>240</v>
      </c>
      <c r="B1088" s="1">
        <v>46189</v>
      </c>
      <c r="C1088" t="s">
        <v>16</v>
      </c>
      <c r="D1088">
        <v>1012</v>
      </c>
      <c r="E1088">
        <v>2</v>
      </c>
      <c r="F1088">
        <v>1</v>
      </c>
      <c r="G1088" t="s">
        <v>246</v>
      </c>
      <c r="H1088" t="s">
        <v>247</v>
      </c>
      <c r="I1088" t="str">
        <f t="shared" si="18"/>
        <v>1012_2</v>
      </c>
      <c r="J1088" t="s">
        <v>241</v>
      </c>
      <c r="K1088" t="s">
        <v>179</v>
      </c>
      <c r="L1088" t="str">
        <f>_xlfn.XLOOKUP(C1088, Table2[Species],Table2[Genus], "Code Not Found")</f>
        <v>Acer</v>
      </c>
      <c r="M1088" t="str">
        <f>_xlfn.XLOOKUP(C1088, Table2[Species],Table2[Sp. Name], "Code Not Found")</f>
        <v>saccharum</v>
      </c>
      <c r="N1088" t="str">
        <f>_xlfn.XLOOKUP(C1088,Table2[Species],Table2[Family],"Code Not Found")</f>
        <v>Sapindaceae</v>
      </c>
      <c r="O1088" t="str" cm="1">
        <f t="array" ref="O1088">_xlfn.IFS(F1088="","",F1088&lt;=5,"0 to 5",F1088&lt;=10,"5.1 to 10",F1088&lt;=20,"10 to 20", F1088&lt;= 40, "20 to 40", F1088 &lt;= 50, "40 to 50", F1088 &gt; 50, "&gt;50" )</f>
        <v>0 to 5</v>
      </c>
    </row>
    <row r="1089" spans="1:15" ht="14.4" x14ac:dyDescent="0.3">
      <c r="A1089" t="s">
        <v>240</v>
      </c>
      <c r="B1089" s="1">
        <v>46189</v>
      </c>
      <c r="C1089" t="s">
        <v>16</v>
      </c>
      <c r="D1089">
        <v>1013</v>
      </c>
      <c r="E1089">
        <v>1</v>
      </c>
      <c r="F1089">
        <v>4.3</v>
      </c>
      <c r="G1089" t="s">
        <v>17</v>
      </c>
      <c r="H1089" t="s">
        <v>36</v>
      </c>
      <c r="I1089" t="str">
        <f t="shared" si="18"/>
        <v>1013_1</v>
      </c>
      <c r="J1089" t="s">
        <v>241</v>
      </c>
      <c r="K1089" t="s">
        <v>179</v>
      </c>
      <c r="L1089" t="str">
        <f>_xlfn.XLOOKUP(C1089, Table2[Species],Table2[Genus], "Code Not Found")</f>
        <v>Acer</v>
      </c>
      <c r="M1089" t="str">
        <f>_xlfn.XLOOKUP(C1089, Table2[Species],Table2[Sp. Name], "Code Not Found")</f>
        <v>saccharum</v>
      </c>
      <c r="N1089" t="str">
        <f>_xlfn.XLOOKUP(C1089,Table2[Species],Table2[Family],"Code Not Found")</f>
        <v>Sapindaceae</v>
      </c>
      <c r="O1089" t="str" cm="1">
        <f t="array" ref="O1089">_xlfn.IFS(F1089="","",F1089&lt;=5,"0 to 5",F1089&lt;=10,"5.1 to 10",F1089&lt;=20,"10 to 20", F1089&lt;= 40, "20 to 40", F1089 &lt;= 50, "40 to 50", F1089 &gt; 50, "&gt;50" )</f>
        <v>0 to 5</v>
      </c>
    </row>
    <row r="1090" spans="1:15" ht="14.4" x14ac:dyDescent="0.3">
      <c r="A1090" t="s">
        <v>240</v>
      </c>
      <c r="B1090" s="1">
        <v>46189</v>
      </c>
      <c r="C1090" t="s">
        <v>16</v>
      </c>
      <c r="D1090">
        <v>1014</v>
      </c>
      <c r="E1090">
        <v>1</v>
      </c>
      <c r="F1090">
        <v>25.6</v>
      </c>
      <c r="G1090" t="s">
        <v>17</v>
      </c>
      <c r="H1090" t="s">
        <v>36</v>
      </c>
      <c r="I1090" t="str">
        <f t="shared" si="18"/>
        <v>1014_1</v>
      </c>
      <c r="J1090" t="s">
        <v>241</v>
      </c>
      <c r="K1090" t="s">
        <v>179</v>
      </c>
      <c r="L1090" t="str">
        <f>_xlfn.XLOOKUP(C1090, Table2[Species],Table2[Genus], "Code Not Found")</f>
        <v>Acer</v>
      </c>
      <c r="M1090" t="str">
        <f>_xlfn.XLOOKUP(C1090, Table2[Species],Table2[Sp. Name], "Code Not Found")</f>
        <v>saccharum</v>
      </c>
      <c r="N1090" t="str">
        <f>_xlfn.XLOOKUP(C1090,Table2[Species],Table2[Family],"Code Not Found")</f>
        <v>Sapindaceae</v>
      </c>
      <c r="O1090" t="str" cm="1">
        <f t="array" ref="O1090">_xlfn.IFS(F1090="","",F1090&lt;=5,"0 to 5",F1090&lt;=10,"5.1 to 10",F1090&lt;=20,"10 to 20", F1090&lt;= 40, "20 to 40", F1090 &lt;= 50, "40 to 50", F1090 &gt; 50, "&gt;50" )</f>
        <v>20 to 40</v>
      </c>
    </row>
    <row r="1091" spans="1:15" ht="14.4" x14ac:dyDescent="0.3">
      <c r="A1091" t="s">
        <v>240</v>
      </c>
      <c r="B1091" s="1">
        <v>46189</v>
      </c>
      <c r="C1091" t="s">
        <v>16</v>
      </c>
      <c r="D1091">
        <v>1015</v>
      </c>
      <c r="E1091">
        <v>1</v>
      </c>
      <c r="F1091">
        <v>4.4000000000000004</v>
      </c>
      <c r="G1091" t="s">
        <v>30</v>
      </c>
      <c r="H1091" t="s">
        <v>248</v>
      </c>
      <c r="I1091" t="str">
        <f t="shared" si="18"/>
        <v>1015_1</v>
      </c>
      <c r="J1091" t="s">
        <v>241</v>
      </c>
      <c r="K1091" t="s">
        <v>179</v>
      </c>
      <c r="L1091" t="str">
        <f>_xlfn.XLOOKUP(C1091, Table2[Species],Table2[Genus], "Code Not Found")</f>
        <v>Acer</v>
      </c>
      <c r="M1091" t="str">
        <f>_xlfn.XLOOKUP(C1091, Table2[Species],Table2[Sp. Name], "Code Not Found")</f>
        <v>saccharum</v>
      </c>
      <c r="N1091" t="str">
        <f>_xlfn.XLOOKUP(C1091,Table2[Species],Table2[Family],"Code Not Found")</f>
        <v>Sapindaceae</v>
      </c>
      <c r="O1091" t="str" cm="1">
        <f t="array" ref="O1091">_xlfn.IFS(F1091="","",F1091&lt;=5,"0 to 5",F1091&lt;=10,"5.1 to 10",F1091&lt;=20,"10 to 20", F1091&lt;= 40, "20 to 40", F1091 &lt;= 50, "40 to 50", F1091 &gt; 50, "&gt;50" )</f>
        <v>0 to 5</v>
      </c>
    </row>
    <row r="1092" spans="1:15" ht="14.4" x14ac:dyDescent="0.3">
      <c r="A1092" t="s">
        <v>240</v>
      </c>
      <c r="B1092" s="1">
        <v>46189</v>
      </c>
      <c r="C1092" t="s">
        <v>16</v>
      </c>
      <c r="D1092">
        <v>1016</v>
      </c>
      <c r="E1092">
        <v>1</v>
      </c>
      <c r="F1092">
        <v>7.7</v>
      </c>
      <c r="G1092" t="s">
        <v>94</v>
      </c>
      <c r="H1092" t="s">
        <v>234</v>
      </c>
      <c r="I1092" t="str">
        <f t="shared" si="18"/>
        <v>1016_1</v>
      </c>
      <c r="J1092" t="s">
        <v>241</v>
      </c>
      <c r="K1092" t="s">
        <v>179</v>
      </c>
      <c r="L1092" t="str">
        <f>_xlfn.XLOOKUP(C1092, Table2[Species],Table2[Genus], "Code Not Found")</f>
        <v>Acer</v>
      </c>
      <c r="M1092" t="str">
        <f>_xlfn.XLOOKUP(C1092, Table2[Species],Table2[Sp. Name], "Code Not Found")</f>
        <v>saccharum</v>
      </c>
      <c r="N1092" t="str">
        <f>_xlfn.XLOOKUP(C1092,Table2[Species],Table2[Family],"Code Not Found")</f>
        <v>Sapindaceae</v>
      </c>
      <c r="O1092" t="str" cm="1">
        <f t="array" ref="O1092">_xlfn.IFS(F1092="","",F1092&lt;=5,"0 to 5",F1092&lt;=10,"5.1 to 10",F1092&lt;=20,"10 to 20", F1092&lt;= 40, "20 to 40", F1092 &lt;= 50, "40 to 50", F1092 &gt; 50, "&gt;50" )</f>
        <v>5.1 to 10</v>
      </c>
    </row>
    <row r="1093" spans="1:15" ht="14.4" x14ac:dyDescent="0.3">
      <c r="A1093" t="s">
        <v>240</v>
      </c>
      <c r="B1093" s="1">
        <v>46189</v>
      </c>
      <c r="C1093" t="s">
        <v>16</v>
      </c>
      <c r="D1093">
        <v>1018</v>
      </c>
      <c r="E1093">
        <v>1</v>
      </c>
      <c r="F1093">
        <v>7.3</v>
      </c>
      <c r="G1093" t="s">
        <v>21</v>
      </c>
      <c r="H1093" t="s">
        <v>231</v>
      </c>
      <c r="I1093" t="str">
        <f t="shared" si="18"/>
        <v>1018_1</v>
      </c>
      <c r="J1093" t="s">
        <v>241</v>
      </c>
      <c r="K1093" t="s">
        <v>179</v>
      </c>
      <c r="L1093" t="str">
        <f>_xlfn.XLOOKUP(C1093, Table2[Species],Table2[Genus], "Code Not Found")</f>
        <v>Acer</v>
      </c>
      <c r="M1093" t="str">
        <f>_xlfn.XLOOKUP(C1093, Table2[Species],Table2[Sp. Name], "Code Not Found")</f>
        <v>saccharum</v>
      </c>
      <c r="N1093" t="str">
        <f>_xlfn.XLOOKUP(C1093,Table2[Species],Table2[Family],"Code Not Found")</f>
        <v>Sapindaceae</v>
      </c>
      <c r="O1093" t="str" cm="1">
        <f t="array" ref="O1093">_xlfn.IFS(F1093="","",F1093&lt;=5,"0 to 5",F1093&lt;=10,"5.1 to 10",F1093&lt;=20,"10 to 20", F1093&lt;= 40, "20 to 40", F1093 &lt;= 50, "40 to 50", F1093 &gt; 50, "&gt;50" )</f>
        <v>5.1 to 10</v>
      </c>
    </row>
    <row r="1094" spans="1:15" ht="14.4" x14ac:dyDescent="0.3">
      <c r="A1094" t="s">
        <v>240</v>
      </c>
      <c r="B1094" s="1">
        <v>46189</v>
      </c>
      <c r="C1094" t="s">
        <v>16</v>
      </c>
      <c r="D1094">
        <v>1019</v>
      </c>
      <c r="E1094">
        <v>1</v>
      </c>
      <c r="F1094">
        <v>7.5</v>
      </c>
      <c r="G1094" t="s">
        <v>139</v>
      </c>
      <c r="H1094" t="s">
        <v>249</v>
      </c>
      <c r="I1094" t="str">
        <f t="shared" si="18"/>
        <v>1019_1</v>
      </c>
      <c r="J1094" t="s">
        <v>241</v>
      </c>
      <c r="K1094" t="s">
        <v>179</v>
      </c>
      <c r="L1094" t="str">
        <f>_xlfn.XLOOKUP(C1094, Table2[Species],Table2[Genus], "Code Not Found")</f>
        <v>Acer</v>
      </c>
      <c r="M1094" t="str">
        <f>_xlfn.XLOOKUP(C1094, Table2[Species],Table2[Sp. Name], "Code Not Found")</f>
        <v>saccharum</v>
      </c>
      <c r="N1094" t="str">
        <f>_xlfn.XLOOKUP(C1094,Table2[Species],Table2[Family],"Code Not Found")</f>
        <v>Sapindaceae</v>
      </c>
      <c r="O1094" t="str" cm="1">
        <f t="array" ref="O1094">_xlfn.IFS(F1094="","",F1094&lt;=5,"0 to 5",F1094&lt;=10,"5.1 to 10",F1094&lt;=20,"10 to 20", F1094&lt;= 40, "20 to 40", F1094 &lt;= 50, "40 to 50", F1094 &gt; 50, "&gt;50" )</f>
        <v>5.1 to 10</v>
      </c>
    </row>
    <row r="1095" spans="1:15" ht="14.4" x14ac:dyDescent="0.3">
      <c r="A1095" t="s">
        <v>240</v>
      </c>
      <c r="B1095" s="1">
        <v>46189</v>
      </c>
      <c r="C1095" t="s">
        <v>64</v>
      </c>
      <c r="D1095">
        <v>1020</v>
      </c>
      <c r="E1095">
        <v>1</v>
      </c>
      <c r="F1095">
        <v>3.7</v>
      </c>
      <c r="G1095" t="s">
        <v>17</v>
      </c>
      <c r="I1095" t="str">
        <f t="shared" si="18"/>
        <v>1020_1</v>
      </c>
      <c r="J1095" t="s">
        <v>241</v>
      </c>
      <c r="K1095" t="s">
        <v>179</v>
      </c>
      <c r="L1095" t="str">
        <f>_xlfn.XLOOKUP(C1095, Table2[Species],Table2[Genus], "Code Not Found")</f>
        <v>Fagus</v>
      </c>
      <c r="M1095" t="str">
        <f>_xlfn.XLOOKUP(C1095, Table2[Species],Table2[Sp. Name], "Code Not Found")</f>
        <v>grandifolia</v>
      </c>
      <c r="N1095" t="str">
        <f>_xlfn.XLOOKUP(C1095,Table2[Species],Table2[Family],"Code Not Found")</f>
        <v>Fagaceae</v>
      </c>
      <c r="O1095" t="str" cm="1">
        <f t="array" ref="O1095">_xlfn.IFS(F1095="","",F1095&lt;=5,"0 to 5",F1095&lt;=10,"5.1 to 10",F1095&lt;=20,"10 to 20", F1095&lt;= 40, "20 to 40", F1095 &lt;= 50, "40 to 50", F1095 &gt; 50, "&gt;50" )</f>
        <v>0 to 5</v>
      </c>
    </row>
    <row r="1096" spans="1:15" ht="14.4" x14ac:dyDescent="0.3">
      <c r="A1096" t="s">
        <v>240</v>
      </c>
      <c r="B1096" s="1">
        <v>46189</v>
      </c>
      <c r="C1096" t="s">
        <v>187</v>
      </c>
      <c r="D1096">
        <v>1021</v>
      </c>
      <c r="E1096">
        <v>1</v>
      </c>
      <c r="F1096">
        <v>51.6</v>
      </c>
      <c r="G1096" t="s">
        <v>21</v>
      </c>
      <c r="I1096" t="str">
        <f t="shared" si="18"/>
        <v>1021_1</v>
      </c>
      <c r="J1096" t="s">
        <v>241</v>
      </c>
      <c r="K1096" t="s">
        <v>179</v>
      </c>
      <c r="L1096" t="str">
        <f>_xlfn.XLOOKUP(C1096, Table2[Species],Table2[Genus], "Code Not Found")</f>
        <v>Carya</v>
      </c>
      <c r="M1096" t="str">
        <f>_xlfn.XLOOKUP(C1096, Table2[Species],Table2[Sp. Name], "Code Not Found")</f>
        <v>cordiformis</v>
      </c>
      <c r="N1096" t="str">
        <f>_xlfn.XLOOKUP(C1096,Table2[Species],Table2[Family],"Code Not Found")</f>
        <v>Juglandaceae</v>
      </c>
      <c r="O1096" t="str" cm="1">
        <f t="array" ref="O1096">_xlfn.IFS(F1096="","",F1096&lt;=5,"0 to 5",F1096&lt;=10,"5.1 to 10",F1096&lt;=20,"10 to 20", F1096&lt;= 40, "20 to 40", F1096 &lt;= 50, "40 to 50", F1096 &gt; 50, "&gt;50" )</f>
        <v>&gt;50</v>
      </c>
    </row>
    <row r="1097" spans="1:15" ht="14.4" x14ac:dyDescent="0.3">
      <c r="A1097" t="s">
        <v>240</v>
      </c>
      <c r="B1097" s="1">
        <v>46189</v>
      </c>
      <c r="C1097" t="s">
        <v>16</v>
      </c>
      <c r="D1097">
        <v>1022</v>
      </c>
      <c r="E1097">
        <v>1</v>
      </c>
      <c r="F1097">
        <v>6.4</v>
      </c>
      <c r="G1097" t="s">
        <v>54</v>
      </c>
      <c r="I1097" t="str">
        <f t="shared" si="18"/>
        <v>1022_1</v>
      </c>
      <c r="J1097" t="s">
        <v>241</v>
      </c>
      <c r="K1097" t="s">
        <v>179</v>
      </c>
      <c r="L1097" t="str">
        <f>_xlfn.XLOOKUP(C1097, Table2[Species],Table2[Genus], "Code Not Found")</f>
        <v>Acer</v>
      </c>
      <c r="M1097" t="str">
        <f>_xlfn.XLOOKUP(C1097, Table2[Species],Table2[Sp. Name], "Code Not Found")</f>
        <v>saccharum</v>
      </c>
      <c r="N1097" t="str">
        <f>_xlfn.XLOOKUP(C1097,Table2[Species],Table2[Family],"Code Not Found")</f>
        <v>Sapindaceae</v>
      </c>
      <c r="O1097" t="str" cm="1">
        <f t="array" ref="O1097">_xlfn.IFS(F1097="","",F1097&lt;=5,"0 to 5",F1097&lt;=10,"5.1 to 10",F1097&lt;=20,"10 to 20", F1097&lt;= 40, "20 to 40", F1097 &lt;= 50, "40 to 50", F1097 &gt; 50, "&gt;50" )</f>
        <v>5.1 to 10</v>
      </c>
    </row>
    <row r="1098" spans="1:15" ht="14.4" x14ac:dyDescent="0.3">
      <c r="A1098" t="s">
        <v>240</v>
      </c>
      <c r="B1098" s="1">
        <v>46189</v>
      </c>
      <c r="C1098" t="s">
        <v>16</v>
      </c>
      <c r="D1098">
        <v>1023</v>
      </c>
      <c r="E1098">
        <v>1</v>
      </c>
      <c r="F1098">
        <v>2.5</v>
      </c>
      <c r="G1098" t="s">
        <v>94</v>
      </c>
      <c r="H1098" t="s">
        <v>244</v>
      </c>
      <c r="I1098" t="str">
        <f t="shared" si="18"/>
        <v>1023_1</v>
      </c>
      <c r="J1098" t="s">
        <v>241</v>
      </c>
      <c r="K1098" t="s">
        <v>179</v>
      </c>
      <c r="L1098" t="str">
        <f>_xlfn.XLOOKUP(C1098, Table2[Species],Table2[Genus], "Code Not Found")</f>
        <v>Acer</v>
      </c>
      <c r="M1098" t="str">
        <f>_xlfn.XLOOKUP(C1098, Table2[Species],Table2[Sp. Name], "Code Not Found")</f>
        <v>saccharum</v>
      </c>
      <c r="N1098" t="str">
        <f>_xlfn.XLOOKUP(C1098,Table2[Species],Table2[Family],"Code Not Found")</f>
        <v>Sapindaceae</v>
      </c>
      <c r="O1098" t="str" cm="1">
        <f t="array" ref="O1098">_xlfn.IFS(F1098="","",F1098&lt;=5,"0 to 5",F1098&lt;=10,"5.1 to 10",F1098&lt;=20,"10 to 20", F1098&lt;= 40, "20 to 40", F1098 &lt;= 50, "40 to 50", F1098 &gt; 50, "&gt;50" )</f>
        <v>0 to 5</v>
      </c>
    </row>
    <row r="1099" spans="1:15" ht="14.4" x14ac:dyDescent="0.3">
      <c r="A1099" t="s">
        <v>240</v>
      </c>
      <c r="B1099" s="1">
        <v>46189</v>
      </c>
      <c r="C1099" t="s">
        <v>64</v>
      </c>
      <c r="D1099">
        <v>1024</v>
      </c>
      <c r="E1099">
        <v>1</v>
      </c>
      <c r="F1099">
        <v>4.2</v>
      </c>
      <c r="G1099" t="s">
        <v>47</v>
      </c>
      <c r="I1099" t="str">
        <f t="shared" si="18"/>
        <v>1024_1</v>
      </c>
      <c r="J1099" t="s">
        <v>241</v>
      </c>
      <c r="K1099" t="s">
        <v>179</v>
      </c>
      <c r="L1099" t="str">
        <f>_xlfn.XLOOKUP(C1099, Table2[Species],Table2[Genus], "Code Not Found")</f>
        <v>Fagus</v>
      </c>
      <c r="M1099" t="str">
        <f>_xlfn.XLOOKUP(C1099, Table2[Species],Table2[Sp. Name], "Code Not Found")</f>
        <v>grandifolia</v>
      </c>
      <c r="N1099" t="str">
        <f>_xlfn.XLOOKUP(C1099,Table2[Species],Table2[Family],"Code Not Found")</f>
        <v>Fagaceae</v>
      </c>
      <c r="O1099" t="str" cm="1">
        <f t="array" ref="O1099">_xlfn.IFS(F1099="","",F1099&lt;=5,"0 to 5",F1099&lt;=10,"5.1 to 10",F1099&lt;=20,"10 to 20", F1099&lt;= 40, "20 to 40", F1099 &lt;= 50, "40 to 50", F1099 &gt; 50, "&gt;50" )</f>
        <v>0 to 5</v>
      </c>
    </row>
    <row r="1100" spans="1:15" ht="14.4" x14ac:dyDescent="0.3">
      <c r="A1100" t="s">
        <v>240</v>
      </c>
      <c r="B1100" s="1">
        <v>46189</v>
      </c>
      <c r="C1100" t="s">
        <v>16</v>
      </c>
      <c r="D1100">
        <v>1025</v>
      </c>
      <c r="E1100">
        <v>1</v>
      </c>
      <c r="F1100">
        <v>8.4</v>
      </c>
      <c r="G1100" t="s">
        <v>94</v>
      </c>
      <c r="H1100" t="s">
        <v>236</v>
      </c>
      <c r="I1100" t="str">
        <f t="shared" si="18"/>
        <v>1025_1</v>
      </c>
      <c r="J1100" t="s">
        <v>241</v>
      </c>
      <c r="K1100" t="s">
        <v>179</v>
      </c>
      <c r="L1100" t="str">
        <f>_xlfn.XLOOKUP(C1100, Table2[Species],Table2[Genus], "Code Not Found")</f>
        <v>Acer</v>
      </c>
      <c r="M1100" t="str">
        <f>_xlfn.XLOOKUP(C1100, Table2[Species],Table2[Sp. Name], "Code Not Found")</f>
        <v>saccharum</v>
      </c>
      <c r="N1100" t="str">
        <f>_xlfn.XLOOKUP(C1100,Table2[Species],Table2[Family],"Code Not Found")</f>
        <v>Sapindaceae</v>
      </c>
      <c r="O1100" t="str" cm="1">
        <f t="array" ref="O1100">_xlfn.IFS(F1100="","",F1100&lt;=5,"0 to 5",F1100&lt;=10,"5.1 to 10",F1100&lt;=20,"10 to 20", F1100&lt;= 40, "20 to 40", F1100 &lt;= 50, "40 to 50", F1100 &gt; 50, "&gt;50" )</f>
        <v>5.1 to 10</v>
      </c>
    </row>
    <row r="1101" spans="1:15" ht="14.4" x14ac:dyDescent="0.3">
      <c r="A1101" t="s">
        <v>240</v>
      </c>
      <c r="B1101" s="1">
        <v>46189</v>
      </c>
      <c r="C1101" t="s">
        <v>16</v>
      </c>
      <c r="D1101">
        <v>1026</v>
      </c>
      <c r="E1101">
        <v>1</v>
      </c>
      <c r="F1101">
        <v>3.2</v>
      </c>
      <c r="G1101" t="s">
        <v>17</v>
      </c>
      <c r="I1101" t="str">
        <f t="shared" si="18"/>
        <v>1026_1</v>
      </c>
      <c r="J1101" t="s">
        <v>241</v>
      </c>
      <c r="K1101" t="s">
        <v>179</v>
      </c>
      <c r="L1101" t="str">
        <f>_xlfn.XLOOKUP(C1101, Table2[Species],Table2[Genus], "Code Not Found")</f>
        <v>Acer</v>
      </c>
      <c r="M1101" t="str">
        <f>_xlfn.XLOOKUP(C1101, Table2[Species],Table2[Sp. Name], "Code Not Found")</f>
        <v>saccharum</v>
      </c>
      <c r="N1101" t="str">
        <f>_xlfn.XLOOKUP(C1101,Table2[Species],Table2[Family],"Code Not Found")</f>
        <v>Sapindaceae</v>
      </c>
      <c r="O1101" t="str" cm="1">
        <f t="array" ref="O1101">_xlfn.IFS(F1101="","",F1101&lt;=5,"0 to 5",F1101&lt;=10,"5.1 to 10",F1101&lt;=20,"10 to 20", F1101&lt;= 40, "20 to 40", F1101 &lt;= 50, "40 to 50", F1101 &gt; 50, "&gt;50" )</f>
        <v>0 to 5</v>
      </c>
    </row>
    <row r="1102" spans="1:15" ht="14.4" x14ac:dyDescent="0.3">
      <c r="A1102" t="s">
        <v>240</v>
      </c>
      <c r="B1102" s="1">
        <v>46189</v>
      </c>
      <c r="C1102" t="s">
        <v>16</v>
      </c>
      <c r="D1102">
        <v>1027</v>
      </c>
      <c r="E1102">
        <v>1</v>
      </c>
      <c r="F1102">
        <v>4.0999999999999996</v>
      </c>
      <c r="G1102" t="s">
        <v>88</v>
      </c>
      <c r="H1102" t="s">
        <v>100</v>
      </c>
      <c r="I1102" t="str">
        <f t="shared" si="18"/>
        <v>1027_1</v>
      </c>
      <c r="J1102" t="s">
        <v>241</v>
      </c>
      <c r="K1102" t="s">
        <v>179</v>
      </c>
      <c r="L1102" t="str">
        <f>_xlfn.XLOOKUP(C1102, Table2[Species],Table2[Genus], "Code Not Found")</f>
        <v>Acer</v>
      </c>
      <c r="M1102" t="str">
        <f>_xlfn.XLOOKUP(C1102, Table2[Species],Table2[Sp. Name], "Code Not Found")</f>
        <v>saccharum</v>
      </c>
      <c r="N1102" t="str">
        <f>_xlfn.XLOOKUP(C1102,Table2[Species],Table2[Family],"Code Not Found")</f>
        <v>Sapindaceae</v>
      </c>
      <c r="O1102" t="str" cm="1">
        <f t="array" ref="O1102">_xlfn.IFS(F1102="","",F1102&lt;=5,"0 to 5",F1102&lt;=10,"5.1 to 10",F1102&lt;=20,"10 to 20", F1102&lt;= 40, "20 to 40", F1102 &lt;= 50, "40 to 50", F1102 &gt; 50, "&gt;50" )</f>
        <v>0 to 5</v>
      </c>
    </row>
    <row r="1103" spans="1:15" ht="14.4" x14ac:dyDescent="0.3">
      <c r="A1103" t="s">
        <v>240</v>
      </c>
      <c r="B1103" s="1">
        <v>46189</v>
      </c>
      <c r="C1103" t="s">
        <v>16</v>
      </c>
      <c r="D1103">
        <v>1028</v>
      </c>
      <c r="E1103">
        <v>1</v>
      </c>
      <c r="F1103">
        <v>3.1</v>
      </c>
      <c r="G1103" t="s">
        <v>21</v>
      </c>
      <c r="I1103" t="str">
        <f t="shared" si="18"/>
        <v>1028_1</v>
      </c>
      <c r="J1103" t="s">
        <v>241</v>
      </c>
      <c r="K1103" t="s">
        <v>179</v>
      </c>
      <c r="L1103" t="str">
        <f>_xlfn.XLOOKUP(C1103, Table2[Species],Table2[Genus], "Code Not Found")</f>
        <v>Acer</v>
      </c>
      <c r="M1103" t="str">
        <f>_xlfn.XLOOKUP(C1103, Table2[Species],Table2[Sp. Name], "Code Not Found")</f>
        <v>saccharum</v>
      </c>
      <c r="N1103" t="str">
        <f>_xlfn.XLOOKUP(C1103,Table2[Species],Table2[Family],"Code Not Found")</f>
        <v>Sapindaceae</v>
      </c>
      <c r="O1103" t="str" cm="1">
        <f t="array" ref="O1103">_xlfn.IFS(F1103="","",F1103&lt;=5,"0 to 5",F1103&lt;=10,"5.1 to 10",F1103&lt;=20,"10 to 20", F1103&lt;= 40, "20 to 40", F1103 &lt;= 50, "40 to 50", F1103 &gt; 50, "&gt;50" )</f>
        <v>0 to 5</v>
      </c>
    </row>
    <row r="1104" spans="1:15" ht="14.4" x14ac:dyDescent="0.3">
      <c r="A1104" t="s">
        <v>240</v>
      </c>
      <c r="B1104" s="1">
        <v>46189</v>
      </c>
      <c r="C1104" t="s">
        <v>24</v>
      </c>
      <c r="D1104">
        <v>1029</v>
      </c>
      <c r="E1104">
        <v>1</v>
      </c>
      <c r="F1104">
        <v>2.7</v>
      </c>
      <c r="G1104" t="s">
        <v>21</v>
      </c>
      <c r="I1104" t="str">
        <f t="shared" si="18"/>
        <v>1029_1</v>
      </c>
      <c r="J1104" t="s">
        <v>241</v>
      </c>
      <c r="K1104" t="s">
        <v>179</v>
      </c>
      <c r="L1104" t="str">
        <f>_xlfn.XLOOKUP(C1104, Table2[Species],Table2[Genus], "Code Not Found")</f>
        <v>Lirodendron</v>
      </c>
      <c r="M1104" t="str">
        <f>_xlfn.XLOOKUP(C1104, Table2[Species],Table2[Sp. Name], "Code Not Found")</f>
        <v>tulipfera</v>
      </c>
      <c r="N1104" t="str">
        <f>_xlfn.XLOOKUP(C1104,Table2[Species],Table2[Family],"Code Not Found")</f>
        <v>Magnoliaceae</v>
      </c>
      <c r="O1104" t="str" cm="1">
        <f t="array" ref="O1104">_xlfn.IFS(F1104="","",F1104&lt;=5,"0 to 5",F1104&lt;=10,"5.1 to 10",F1104&lt;=20,"10 to 20", F1104&lt;= 40, "20 to 40", F1104 &lt;= 50, "40 to 50", F1104 &gt; 50, "&gt;50" )</f>
        <v>0 to 5</v>
      </c>
    </row>
    <row r="1105" spans="1:15" ht="14.4" x14ac:dyDescent="0.3">
      <c r="A1105" t="s">
        <v>240</v>
      </c>
      <c r="B1105" s="1">
        <v>46189</v>
      </c>
      <c r="C1105" t="s">
        <v>16</v>
      </c>
      <c r="D1105">
        <v>1030</v>
      </c>
      <c r="E1105">
        <v>1</v>
      </c>
      <c r="F1105">
        <v>5</v>
      </c>
      <c r="G1105" t="s">
        <v>17</v>
      </c>
      <c r="I1105" t="str">
        <f t="shared" si="18"/>
        <v>1030_1</v>
      </c>
      <c r="J1105" t="s">
        <v>241</v>
      </c>
      <c r="K1105" t="s">
        <v>179</v>
      </c>
      <c r="L1105" t="str">
        <f>_xlfn.XLOOKUP(C1105, Table2[Species],Table2[Genus], "Code Not Found")</f>
        <v>Acer</v>
      </c>
      <c r="M1105" t="str">
        <f>_xlfn.XLOOKUP(C1105, Table2[Species],Table2[Sp. Name], "Code Not Found")</f>
        <v>saccharum</v>
      </c>
      <c r="N1105" t="str">
        <f>_xlfn.XLOOKUP(C1105,Table2[Species],Table2[Family],"Code Not Found")</f>
        <v>Sapindaceae</v>
      </c>
      <c r="O1105" t="str" cm="1">
        <f t="array" ref="O1105">_xlfn.IFS(F1105="","",F1105&lt;=5,"0 to 5",F1105&lt;=10,"5.1 to 10",F1105&lt;=20,"10 to 20", F1105&lt;= 40, "20 to 40", F1105 &lt;= 50, "40 to 50", F1105 &gt; 50, "&gt;50" )</f>
        <v>0 to 5</v>
      </c>
    </row>
    <row r="1106" spans="1:15" ht="14.4" x14ac:dyDescent="0.3">
      <c r="A1106" t="s">
        <v>240</v>
      </c>
      <c r="B1106" s="1">
        <v>46189</v>
      </c>
      <c r="C1106" t="s">
        <v>16</v>
      </c>
      <c r="D1106">
        <v>1031</v>
      </c>
      <c r="E1106">
        <v>1</v>
      </c>
      <c r="F1106">
        <v>2.4</v>
      </c>
      <c r="G1106" t="s">
        <v>47</v>
      </c>
      <c r="I1106" t="str">
        <f t="shared" si="18"/>
        <v>1031_1</v>
      </c>
      <c r="J1106" t="s">
        <v>241</v>
      </c>
      <c r="K1106" t="s">
        <v>179</v>
      </c>
      <c r="L1106" t="str">
        <f>_xlfn.XLOOKUP(C1106, Table2[Species],Table2[Genus], "Code Not Found")</f>
        <v>Acer</v>
      </c>
      <c r="M1106" t="str">
        <f>_xlfn.XLOOKUP(C1106, Table2[Species],Table2[Sp. Name], "Code Not Found")</f>
        <v>saccharum</v>
      </c>
      <c r="N1106" t="str">
        <f>_xlfn.XLOOKUP(C1106,Table2[Species],Table2[Family],"Code Not Found")</f>
        <v>Sapindaceae</v>
      </c>
      <c r="O1106" t="str" cm="1">
        <f t="array" ref="O1106">_xlfn.IFS(F1106="","",F1106&lt;=5,"0 to 5",F1106&lt;=10,"5.1 to 10",F1106&lt;=20,"10 to 20", F1106&lt;= 40, "20 to 40", F1106 &lt;= 50, "40 to 50", F1106 &gt; 50, "&gt;50" )</f>
        <v>0 to 5</v>
      </c>
    </row>
    <row r="1107" spans="1:15" ht="14.4" x14ac:dyDescent="0.3">
      <c r="A1107" t="s">
        <v>240</v>
      </c>
      <c r="B1107" s="1">
        <v>46189</v>
      </c>
      <c r="C1107" t="s">
        <v>16</v>
      </c>
      <c r="D1107">
        <v>1032</v>
      </c>
      <c r="E1107">
        <v>1</v>
      </c>
      <c r="F1107">
        <v>3.4</v>
      </c>
      <c r="G1107" t="s">
        <v>250</v>
      </c>
      <c r="I1107" t="str">
        <f t="shared" si="18"/>
        <v>1032_1</v>
      </c>
      <c r="J1107" t="s">
        <v>241</v>
      </c>
      <c r="K1107" t="s">
        <v>179</v>
      </c>
      <c r="L1107" t="str">
        <f>_xlfn.XLOOKUP(C1107, Table2[Species],Table2[Genus], "Code Not Found")</f>
        <v>Acer</v>
      </c>
      <c r="M1107" t="str">
        <f>_xlfn.XLOOKUP(C1107, Table2[Species],Table2[Sp. Name], "Code Not Found")</f>
        <v>saccharum</v>
      </c>
      <c r="N1107" t="str">
        <f>_xlfn.XLOOKUP(C1107,Table2[Species],Table2[Family],"Code Not Found")</f>
        <v>Sapindaceae</v>
      </c>
      <c r="O1107" t="str" cm="1">
        <f t="array" ref="O1107">_xlfn.IFS(F1107="","",F1107&lt;=5,"0 to 5",F1107&lt;=10,"5.1 to 10",F1107&lt;=20,"10 to 20", F1107&lt;= 40, "20 to 40", F1107 &lt;= 50, "40 to 50", F1107 &gt; 50, "&gt;50" )</f>
        <v>0 to 5</v>
      </c>
    </row>
    <row r="1108" spans="1:15" ht="14.4" x14ac:dyDescent="0.3">
      <c r="A1108" t="s">
        <v>240</v>
      </c>
      <c r="B1108" s="1">
        <v>46189</v>
      </c>
      <c r="C1108" t="s">
        <v>16</v>
      </c>
      <c r="D1108">
        <v>1033</v>
      </c>
      <c r="E1108">
        <v>1</v>
      </c>
      <c r="F1108">
        <v>4.4000000000000004</v>
      </c>
      <c r="G1108" t="s">
        <v>251</v>
      </c>
      <c r="H1108" t="s">
        <v>143</v>
      </c>
      <c r="I1108" t="str">
        <f t="shared" si="18"/>
        <v>1033_1</v>
      </c>
      <c r="J1108" t="s">
        <v>241</v>
      </c>
      <c r="K1108" t="s">
        <v>179</v>
      </c>
      <c r="L1108" t="str">
        <f>_xlfn.XLOOKUP(C1108, Table2[Species],Table2[Genus], "Code Not Found")</f>
        <v>Acer</v>
      </c>
      <c r="M1108" t="str">
        <f>_xlfn.XLOOKUP(C1108, Table2[Species],Table2[Sp. Name], "Code Not Found")</f>
        <v>saccharum</v>
      </c>
      <c r="N1108" t="str">
        <f>_xlfn.XLOOKUP(C1108,Table2[Species],Table2[Family],"Code Not Found")</f>
        <v>Sapindaceae</v>
      </c>
      <c r="O1108" t="str" cm="1">
        <f t="array" ref="O1108">_xlfn.IFS(F1108="","",F1108&lt;=5,"0 to 5",F1108&lt;=10,"5.1 to 10",F1108&lt;=20,"10 to 20", F1108&lt;= 40, "20 to 40", F1108 &lt;= 50, "40 to 50", F1108 &gt; 50, "&gt;50" )</f>
        <v>0 to 5</v>
      </c>
    </row>
    <row r="1109" spans="1:15" ht="14.4" x14ac:dyDescent="0.3">
      <c r="A1109" t="s">
        <v>240</v>
      </c>
      <c r="B1109" s="1">
        <v>46189</v>
      </c>
      <c r="C1109" t="s">
        <v>16</v>
      </c>
      <c r="D1109">
        <v>1034</v>
      </c>
      <c r="E1109">
        <v>1</v>
      </c>
      <c r="F1109">
        <v>12.6</v>
      </c>
      <c r="G1109" t="s">
        <v>17</v>
      </c>
      <c r="I1109" t="str">
        <f t="shared" si="18"/>
        <v>1034_1</v>
      </c>
      <c r="J1109" t="s">
        <v>241</v>
      </c>
      <c r="K1109" t="s">
        <v>179</v>
      </c>
      <c r="L1109" t="str">
        <f>_xlfn.XLOOKUP(C1109, Table2[Species],Table2[Genus], "Code Not Found")</f>
        <v>Acer</v>
      </c>
      <c r="M1109" t="str">
        <f>_xlfn.XLOOKUP(C1109, Table2[Species],Table2[Sp. Name], "Code Not Found")</f>
        <v>saccharum</v>
      </c>
      <c r="N1109" t="str">
        <f>_xlfn.XLOOKUP(C1109,Table2[Species],Table2[Family],"Code Not Found")</f>
        <v>Sapindaceae</v>
      </c>
      <c r="O1109" t="str" cm="1">
        <f t="array" ref="O1109">_xlfn.IFS(F1109="","",F1109&lt;=5,"0 to 5",F1109&lt;=10,"5.1 to 10",F1109&lt;=20,"10 to 20", F1109&lt;= 40, "20 to 40", F1109 &lt;= 50, "40 to 50", F1109 &gt; 50, "&gt;50" )</f>
        <v>10 to 20</v>
      </c>
    </row>
    <row r="1110" spans="1:15" ht="14.4" x14ac:dyDescent="0.3">
      <c r="A1110" t="s">
        <v>240</v>
      </c>
      <c r="B1110" s="1">
        <v>46189</v>
      </c>
      <c r="C1110" t="s">
        <v>64</v>
      </c>
      <c r="D1110">
        <v>1035</v>
      </c>
      <c r="E1110">
        <v>1</v>
      </c>
      <c r="F1110">
        <v>4.7</v>
      </c>
      <c r="G1110" t="s">
        <v>17</v>
      </c>
      <c r="I1110" t="str">
        <f t="shared" si="18"/>
        <v>1035_1</v>
      </c>
      <c r="J1110" t="s">
        <v>241</v>
      </c>
      <c r="K1110" t="s">
        <v>179</v>
      </c>
      <c r="L1110" t="str">
        <f>_xlfn.XLOOKUP(C1110, Table2[Species],Table2[Genus], "Code Not Found")</f>
        <v>Fagus</v>
      </c>
      <c r="M1110" t="str">
        <f>_xlfn.XLOOKUP(C1110, Table2[Species],Table2[Sp. Name], "Code Not Found")</f>
        <v>grandifolia</v>
      </c>
      <c r="N1110" t="str">
        <f>_xlfn.XLOOKUP(C1110,Table2[Species],Table2[Family],"Code Not Found")</f>
        <v>Fagaceae</v>
      </c>
      <c r="O1110" t="str" cm="1">
        <f t="array" ref="O1110">_xlfn.IFS(F1110="","",F1110&lt;=5,"0 to 5",F1110&lt;=10,"5.1 to 10",F1110&lt;=20,"10 to 20", F1110&lt;= 40, "20 to 40", F1110 &lt;= 50, "40 to 50", F1110 &gt; 50, "&gt;50" )</f>
        <v>0 to 5</v>
      </c>
    </row>
    <row r="1111" spans="1:15" ht="14.4" x14ac:dyDescent="0.3">
      <c r="A1111" t="s">
        <v>240</v>
      </c>
      <c r="B1111" s="1">
        <v>46189</v>
      </c>
      <c r="C1111" t="s">
        <v>64</v>
      </c>
      <c r="D1111">
        <v>1036</v>
      </c>
      <c r="E1111">
        <v>1</v>
      </c>
      <c r="F1111">
        <v>62.6</v>
      </c>
      <c r="G1111" t="s">
        <v>32</v>
      </c>
      <c r="I1111" t="str">
        <f t="shared" si="18"/>
        <v>1036_1</v>
      </c>
      <c r="J1111" t="s">
        <v>241</v>
      </c>
      <c r="K1111" t="s">
        <v>179</v>
      </c>
      <c r="L1111" t="str">
        <f>_xlfn.XLOOKUP(C1111, Table2[Species],Table2[Genus], "Code Not Found")</f>
        <v>Fagus</v>
      </c>
      <c r="M1111" t="str">
        <f>_xlfn.XLOOKUP(C1111, Table2[Species],Table2[Sp. Name], "Code Not Found")</f>
        <v>grandifolia</v>
      </c>
      <c r="N1111" t="str">
        <f>_xlfn.XLOOKUP(C1111,Table2[Species],Table2[Family],"Code Not Found")</f>
        <v>Fagaceae</v>
      </c>
      <c r="O1111" t="str" cm="1">
        <f t="array" ref="O1111">_xlfn.IFS(F1111="","",F1111&lt;=5,"0 to 5",F1111&lt;=10,"5.1 to 10",F1111&lt;=20,"10 to 20", F1111&lt;= 40, "20 to 40", F1111 &lt;= 50, "40 to 50", F1111 &gt; 50, "&gt;50" )</f>
        <v>&gt;50</v>
      </c>
    </row>
    <row r="1112" spans="1:15" ht="14.4" x14ac:dyDescent="0.3">
      <c r="A1112" t="s">
        <v>240</v>
      </c>
      <c r="B1112" s="1">
        <v>46189</v>
      </c>
      <c r="C1112" t="s">
        <v>64</v>
      </c>
      <c r="D1112">
        <v>1036</v>
      </c>
      <c r="E1112">
        <v>2</v>
      </c>
      <c r="F1112">
        <v>4.0999999999999996</v>
      </c>
      <c r="G1112" t="s">
        <v>32</v>
      </c>
      <c r="I1112" t="str">
        <f t="shared" si="18"/>
        <v>1036_2</v>
      </c>
      <c r="J1112" t="s">
        <v>241</v>
      </c>
      <c r="K1112" t="s">
        <v>179</v>
      </c>
      <c r="L1112" t="str">
        <f>_xlfn.XLOOKUP(C1112, Table2[Species],Table2[Genus], "Code Not Found")</f>
        <v>Fagus</v>
      </c>
      <c r="M1112" t="str">
        <f>_xlfn.XLOOKUP(C1112, Table2[Species],Table2[Sp. Name], "Code Not Found")</f>
        <v>grandifolia</v>
      </c>
      <c r="N1112" t="str">
        <f>_xlfn.XLOOKUP(C1112,Table2[Species],Table2[Family],"Code Not Found")</f>
        <v>Fagaceae</v>
      </c>
      <c r="O1112" t="str" cm="1">
        <f t="array" ref="O1112">_xlfn.IFS(F1112="","",F1112&lt;=5,"0 to 5",F1112&lt;=10,"5.1 to 10",F1112&lt;=20,"10 to 20", F1112&lt;= 40, "20 to 40", F1112 &lt;= 50, "40 to 50", F1112 &gt; 50, "&gt;50" )</f>
        <v>0 to 5</v>
      </c>
    </row>
    <row r="1113" spans="1:15" ht="14.4" x14ac:dyDescent="0.3">
      <c r="A1113" t="s">
        <v>240</v>
      </c>
      <c r="B1113" s="1">
        <v>46189</v>
      </c>
      <c r="C1113" t="s">
        <v>64</v>
      </c>
      <c r="D1113">
        <v>1036</v>
      </c>
      <c r="E1113">
        <v>3</v>
      </c>
      <c r="F1113">
        <v>3.5</v>
      </c>
      <c r="G1113" t="s">
        <v>93</v>
      </c>
      <c r="I1113" t="str">
        <f t="shared" si="18"/>
        <v>1036_3</v>
      </c>
      <c r="J1113" t="s">
        <v>241</v>
      </c>
      <c r="K1113" t="s">
        <v>179</v>
      </c>
      <c r="L1113" t="str">
        <f>_xlfn.XLOOKUP(C1113, Table2[Species],Table2[Genus], "Code Not Found")</f>
        <v>Fagus</v>
      </c>
      <c r="M1113" t="str">
        <f>_xlfn.XLOOKUP(C1113, Table2[Species],Table2[Sp. Name], "Code Not Found")</f>
        <v>grandifolia</v>
      </c>
      <c r="N1113" t="str">
        <f>_xlfn.XLOOKUP(C1113,Table2[Species],Table2[Family],"Code Not Found")</f>
        <v>Fagaceae</v>
      </c>
      <c r="O1113" t="str" cm="1">
        <f t="array" ref="O1113">_xlfn.IFS(F1113="","",F1113&lt;=5,"0 to 5",F1113&lt;=10,"5.1 to 10",F1113&lt;=20,"10 to 20", F1113&lt;= 40, "20 to 40", F1113 &lt;= 50, "40 to 50", F1113 &gt; 50, "&gt;50" )</f>
        <v>0 to 5</v>
      </c>
    </row>
    <row r="1114" spans="1:15" ht="14.4" x14ac:dyDescent="0.3">
      <c r="A1114" t="s">
        <v>240</v>
      </c>
      <c r="B1114" s="1">
        <v>46189</v>
      </c>
      <c r="C1114" t="s">
        <v>64</v>
      </c>
      <c r="D1114">
        <v>1036</v>
      </c>
      <c r="E1114">
        <v>4.0999999999999996</v>
      </c>
      <c r="F1114">
        <v>2.6</v>
      </c>
      <c r="G1114" t="s">
        <v>32</v>
      </c>
      <c r="I1114" t="str">
        <f t="shared" si="18"/>
        <v>1036_4.1</v>
      </c>
      <c r="J1114" t="s">
        <v>241</v>
      </c>
      <c r="K1114" t="s">
        <v>179</v>
      </c>
      <c r="L1114" t="str">
        <f>_xlfn.XLOOKUP(C1114, Table2[Species],Table2[Genus], "Code Not Found")</f>
        <v>Fagus</v>
      </c>
      <c r="M1114" t="str">
        <f>_xlfn.XLOOKUP(C1114, Table2[Species],Table2[Sp. Name], "Code Not Found")</f>
        <v>grandifolia</v>
      </c>
      <c r="N1114" t="str">
        <f>_xlfn.XLOOKUP(C1114,Table2[Species],Table2[Family],"Code Not Found")</f>
        <v>Fagaceae</v>
      </c>
      <c r="O1114" t="str" cm="1">
        <f t="array" ref="O1114">_xlfn.IFS(F1114="","",F1114&lt;=5,"0 to 5",F1114&lt;=10,"5.1 to 10",F1114&lt;=20,"10 to 20", F1114&lt;= 40, "20 to 40", F1114 &lt;= 50, "40 to 50", F1114 &gt; 50, "&gt;50" )</f>
        <v>0 to 5</v>
      </c>
    </row>
    <row r="1115" spans="1:15" ht="14.4" x14ac:dyDescent="0.3">
      <c r="A1115" t="s">
        <v>240</v>
      </c>
      <c r="B1115" s="1">
        <v>46189</v>
      </c>
      <c r="C1115" t="s">
        <v>64</v>
      </c>
      <c r="D1115">
        <v>1036</v>
      </c>
      <c r="E1115">
        <v>4.2</v>
      </c>
      <c r="F1115">
        <v>2.4</v>
      </c>
      <c r="G1115" t="s">
        <v>32</v>
      </c>
      <c r="I1115" t="str">
        <f t="shared" si="18"/>
        <v>1036_4.2</v>
      </c>
      <c r="J1115" t="s">
        <v>241</v>
      </c>
      <c r="K1115" t="s">
        <v>179</v>
      </c>
      <c r="L1115" t="str">
        <f>_xlfn.XLOOKUP(C1115, Table2[Species],Table2[Genus], "Code Not Found")</f>
        <v>Fagus</v>
      </c>
      <c r="M1115" t="str">
        <f>_xlfn.XLOOKUP(C1115, Table2[Species],Table2[Sp. Name], "Code Not Found")</f>
        <v>grandifolia</v>
      </c>
      <c r="N1115" t="str">
        <f>_xlfn.XLOOKUP(C1115,Table2[Species],Table2[Family],"Code Not Found")</f>
        <v>Fagaceae</v>
      </c>
      <c r="O1115" t="str" cm="1">
        <f t="array" ref="O1115">_xlfn.IFS(F1115="","",F1115&lt;=5,"0 to 5",F1115&lt;=10,"5.1 to 10",F1115&lt;=20,"10 to 20", F1115&lt;= 40, "20 to 40", F1115 &lt;= 50, "40 to 50", F1115 &gt; 50, "&gt;50" )</f>
        <v>0 to 5</v>
      </c>
    </row>
    <row r="1116" spans="1:15" ht="14.4" x14ac:dyDescent="0.3">
      <c r="A1116" t="s">
        <v>240</v>
      </c>
      <c r="B1116" s="1">
        <v>46189</v>
      </c>
      <c r="C1116" t="s">
        <v>64</v>
      </c>
      <c r="D1116">
        <v>1036</v>
      </c>
      <c r="E1116">
        <v>5</v>
      </c>
      <c r="F1116">
        <v>3.6</v>
      </c>
      <c r="G1116" t="s">
        <v>61</v>
      </c>
      <c r="H1116" t="s">
        <v>252</v>
      </c>
      <c r="I1116" t="str">
        <f t="shared" si="18"/>
        <v>1036_5</v>
      </c>
      <c r="J1116" t="s">
        <v>241</v>
      </c>
      <c r="K1116" t="s">
        <v>179</v>
      </c>
      <c r="L1116" t="str">
        <f>_xlfn.XLOOKUP(C1116, Table2[Species],Table2[Genus], "Code Not Found")</f>
        <v>Fagus</v>
      </c>
      <c r="M1116" t="str">
        <f>_xlfn.XLOOKUP(C1116, Table2[Species],Table2[Sp. Name], "Code Not Found")</f>
        <v>grandifolia</v>
      </c>
      <c r="N1116" t="str">
        <f>_xlfn.XLOOKUP(C1116,Table2[Species],Table2[Family],"Code Not Found")</f>
        <v>Fagaceae</v>
      </c>
      <c r="O1116" t="str" cm="1">
        <f t="array" ref="O1116">_xlfn.IFS(F1116="","",F1116&lt;=5,"0 to 5",F1116&lt;=10,"5.1 to 10",F1116&lt;=20,"10 to 20", F1116&lt;= 40, "20 to 40", F1116 &lt;= 50, "40 to 50", F1116 &gt; 50, "&gt;50" )</f>
        <v>0 to 5</v>
      </c>
    </row>
    <row r="1117" spans="1:15" ht="14.4" x14ac:dyDescent="0.3">
      <c r="A1117" t="s">
        <v>240</v>
      </c>
      <c r="B1117" s="1">
        <v>46189</v>
      </c>
      <c r="C1117" t="s">
        <v>64</v>
      </c>
      <c r="D1117">
        <v>1036</v>
      </c>
      <c r="E1117">
        <v>6</v>
      </c>
      <c r="F1117">
        <v>8.1999999999999993</v>
      </c>
      <c r="G1117" t="s">
        <v>253</v>
      </c>
      <c r="H1117" t="s">
        <v>99</v>
      </c>
      <c r="I1117" t="str">
        <f t="shared" si="18"/>
        <v>1036_6</v>
      </c>
      <c r="J1117" t="s">
        <v>241</v>
      </c>
      <c r="K1117" t="s">
        <v>179</v>
      </c>
      <c r="L1117" t="str">
        <f>_xlfn.XLOOKUP(C1117, Table2[Species],Table2[Genus], "Code Not Found")</f>
        <v>Fagus</v>
      </c>
      <c r="M1117" t="str">
        <f>_xlfn.XLOOKUP(C1117, Table2[Species],Table2[Sp. Name], "Code Not Found")</f>
        <v>grandifolia</v>
      </c>
      <c r="N1117" t="str">
        <f>_xlfn.XLOOKUP(C1117,Table2[Species],Table2[Family],"Code Not Found")</f>
        <v>Fagaceae</v>
      </c>
      <c r="O1117" t="str" cm="1">
        <f t="array" ref="O1117">_xlfn.IFS(F1117="","",F1117&lt;=5,"0 to 5",F1117&lt;=10,"5.1 to 10",F1117&lt;=20,"10 to 20", F1117&lt;= 40, "20 to 40", F1117 &lt;= 50, "40 to 50", F1117 &gt; 50, "&gt;50" )</f>
        <v>5.1 to 10</v>
      </c>
    </row>
    <row r="1118" spans="1:15" ht="14.4" x14ac:dyDescent="0.3">
      <c r="A1118" t="s">
        <v>240</v>
      </c>
      <c r="B1118" s="1">
        <v>46189</v>
      </c>
      <c r="C1118" t="s">
        <v>16</v>
      </c>
      <c r="D1118">
        <v>1037</v>
      </c>
      <c r="E1118">
        <v>1</v>
      </c>
      <c r="F1118">
        <v>14.3</v>
      </c>
      <c r="G1118" t="s">
        <v>17</v>
      </c>
      <c r="I1118" t="str">
        <f t="shared" si="18"/>
        <v>1037_1</v>
      </c>
      <c r="J1118" t="s">
        <v>241</v>
      </c>
      <c r="K1118" t="s">
        <v>179</v>
      </c>
      <c r="L1118" t="str">
        <f>_xlfn.XLOOKUP(C1118, Table2[Species],Table2[Genus], "Code Not Found")</f>
        <v>Acer</v>
      </c>
      <c r="M1118" t="str">
        <f>_xlfn.XLOOKUP(C1118, Table2[Species],Table2[Sp. Name], "Code Not Found")</f>
        <v>saccharum</v>
      </c>
      <c r="N1118" t="str">
        <f>_xlfn.XLOOKUP(C1118,Table2[Species],Table2[Family],"Code Not Found")</f>
        <v>Sapindaceae</v>
      </c>
      <c r="O1118" t="str" cm="1">
        <f t="array" ref="O1118">_xlfn.IFS(F1118="","",F1118&lt;=5,"0 to 5",F1118&lt;=10,"5.1 to 10",F1118&lt;=20,"10 to 20", F1118&lt;= 40, "20 to 40", F1118 &lt;= 50, "40 to 50", F1118 &gt; 50, "&gt;50" )</f>
        <v>10 to 20</v>
      </c>
    </row>
    <row r="1119" spans="1:15" ht="14.4" x14ac:dyDescent="0.3">
      <c r="A1119" t="s">
        <v>240</v>
      </c>
      <c r="B1119" s="1">
        <v>46189</v>
      </c>
      <c r="C1119" t="s">
        <v>64</v>
      </c>
      <c r="D1119">
        <v>1038</v>
      </c>
      <c r="E1119">
        <v>1</v>
      </c>
      <c r="F1119">
        <v>2.5</v>
      </c>
      <c r="G1119" t="s">
        <v>17</v>
      </c>
      <c r="H1119" t="s">
        <v>231</v>
      </c>
      <c r="I1119" t="str">
        <f t="shared" si="18"/>
        <v>1038_1</v>
      </c>
      <c r="J1119" t="s">
        <v>241</v>
      </c>
      <c r="K1119" t="s">
        <v>179</v>
      </c>
      <c r="L1119" t="str">
        <f>_xlfn.XLOOKUP(C1119, Table2[Species],Table2[Genus], "Code Not Found")</f>
        <v>Fagus</v>
      </c>
      <c r="M1119" t="str">
        <f>_xlfn.XLOOKUP(C1119, Table2[Species],Table2[Sp. Name], "Code Not Found")</f>
        <v>grandifolia</v>
      </c>
      <c r="N1119" t="str">
        <f>_xlfn.XLOOKUP(C1119,Table2[Species],Table2[Family],"Code Not Found")</f>
        <v>Fagaceae</v>
      </c>
      <c r="O1119" t="str" cm="1">
        <f t="array" ref="O1119">_xlfn.IFS(F1119="","",F1119&lt;=5,"0 to 5",F1119&lt;=10,"5.1 to 10",F1119&lt;=20,"10 to 20", F1119&lt;= 40, "20 to 40", F1119 &lt;= 50, "40 to 50", F1119 &gt; 50, "&gt;50" )</f>
        <v>0 to 5</v>
      </c>
    </row>
    <row r="1120" spans="1:15" ht="14.4" x14ac:dyDescent="0.3">
      <c r="A1120" t="s">
        <v>240</v>
      </c>
      <c r="B1120" s="1">
        <v>46189</v>
      </c>
      <c r="C1120" t="s">
        <v>16</v>
      </c>
      <c r="D1120">
        <v>1039</v>
      </c>
      <c r="E1120">
        <v>1</v>
      </c>
      <c r="F1120">
        <v>8.1</v>
      </c>
      <c r="G1120" t="s">
        <v>47</v>
      </c>
      <c r="H1120" t="s">
        <v>43</v>
      </c>
      <c r="I1120" t="str">
        <f t="shared" si="18"/>
        <v>1039_1</v>
      </c>
      <c r="J1120" t="s">
        <v>241</v>
      </c>
      <c r="K1120" t="s">
        <v>179</v>
      </c>
      <c r="L1120" t="str">
        <f>_xlfn.XLOOKUP(C1120, Table2[Species],Table2[Genus], "Code Not Found")</f>
        <v>Acer</v>
      </c>
      <c r="M1120" t="str">
        <f>_xlfn.XLOOKUP(C1120, Table2[Species],Table2[Sp. Name], "Code Not Found")</f>
        <v>saccharum</v>
      </c>
      <c r="N1120" t="str">
        <f>_xlfn.XLOOKUP(C1120,Table2[Species],Table2[Family],"Code Not Found")</f>
        <v>Sapindaceae</v>
      </c>
      <c r="O1120" t="str" cm="1">
        <f t="array" ref="O1120">_xlfn.IFS(F1120="","",F1120&lt;=5,"0 to 5",F1120&lt;=10,"5.1 to 10",F1120&lt;=20,"10 to 20", F1120&lt;= 40, "20 to 40", F1120 &lt;= 50, "40 to 50", F1120 &gt; 50, "&gt;50" )</f>
        <v>5.1 to 10</v>
      </c>
    </row>
    <row r="1121" spans="1:15" ht="14.4" x14ac:dyDescent="0.3">
      <c r="A1121" t="s">
        <v>240</v>
      </c>
      <c r="B1121" s="1">
        <v>46189</v>
      </c>
      <c r="C1121" t="s">
        <v>16</v>
      </c>
      <c r="D1121">
        <v>1040</v>
      </c>
      <c r="E1121">
        <v>1</v>
      </c>
      <c r="F1121">
        <v>7.3</v>
      </c>
      <c r="G1121" t="s">
        <v>17</v>
      </c>
      <c r="I1121" t="str">
        <f t="shared" si="18"/>
        <v>1040_1</v>
      </c>
      <c r="J1121" t="s">
        <v>241</v>
      </c>
      <c r="K1121" t="s">
        <v>179</v>
      </c>
      <c r="L1121" t="str">
        <f>_xlfn.XLOOKUP(C1121, Table2[Species],Table2[Genus], "Code Not Found")</f>
        <v>Acer</v>
      </c>
      <c r="M1121" t="str">
        <f>_xlfn.XLOOKUP(C1121, Table2[Species],Table2[Sp. Name], "Code Not Found")</f>
        <v>saccharum</v>
      </c>
      <c r="N1121" t="str">
        <f>_xlfn.XLOOKUP(C1121,Table2[Species],Table2[Family],"Code Not Found")</f>
        <v>Sapindaceae</v>
      </c>
      <c r="O1121" t="str" cm="1">
        <f t="array" ref="O1121">_xlfn.IFS(F1121="","",F1121&lt;=5,"0 to 5",F1121&lt;=10,"5.1 to 10",F1121&lt;=20,"10 to 20", F1121&lt;= 40, "20 to 40", F1121 &lt;= 50, "40 to 50", F1121 &gt; 50, "&gt;50" )</f>
        <v>5.1 to 10</v>
      </c>
    </row>
    <row r="1122" spans="1:15" ht="14.4" x14ac:dyDescent="0.3">
      <c r="A1122" t="s">
        <v>240</v>
      </c>
      <c r="B1122" s="1">
        <v>46190</v>
      </c>
      <c r="C1122" t="s">
        <v>16</v>
      </c>
      <c r="D1122">
        <v>1041</v>
      </c>
      <c r="E1122">
        <v>1</v>
      </c>
      <c r="F1122">
        <v>35.1</v>
      </c>
      <c r="G1122" t="s">
        <v>21</v>
      </c>
      <c r="I1122" t="str">
        <f t="shared" si="18"/>
        <v>1041_1</v>
      </c>
      <c r="J1122" t="s">
        <v>241</v>
      </c>
      <c r="K1122" t="s">
        <v>179</v>
      </c>
      <c r="L1122" t="str">
        <f>_xlfn.XLOOKUP(C1122, Table2[Species],Table2[Genus], "Code Not Found")</f>
        <v>Acer</v>
      </c>
      <c r="M1122" t="str">
        <f>_xlfn.XLOOKUP(C1122, Table2[Species],Table2[Sp. Name], "Code Not Found")</f>
        <v>saccharum</v>
      </c>
      <c r="N1122" t="str">
        <f>_xlfn.XLOOKUP(C1122,Table2[Species],Table2[Family],"Code Not Found")</f>
        <v>Sapindaceae</v>
      </c>
      <c r="O1122" t="str" cm="1">
        <f t="array" ref="O1122">_xlfn.IFS(F1122="","",F1122&lt;=5,"0 to 5",F1122&lt;=10,"5.1 to 10",F1122&lt;=20,"10 to 20", F1122&lt;= 40, "20 to 40", F1122 &lt;= 50, "40 to 50", F1122 &gt; 50, "&gt;50" )</f>
        <v>20 to 40</v>
      </c>
    </row>
    <row r="1123" spans="1:15" ht="14.4" x14ac:dyDescent="0.3">
      <c r="A1123" t="s">
        <v>240</v>
      </c>
      <c r="B1123" s="1">
        <v>46190</v>
      </c>
      <c r="C1123" t="s">
        <v>16</v>
      </c>
      <c r="D1123">
        <v>1042</v>
      </c>
      <c r="E1123">
        <v>1</v>
      </c>
      <c r="F1123">
        <v>2.7</v>
      </c>
      <c r="G1123" t="s">
        <v>254</v>
      </c>
      <c r="H1123" t="s">
        <v>255</v>
      </c>
      <c r="I1123" t="str">
        <f t="shared" si="18"/>
        <v>1042_1</v>
      </c>
      <c r="J1123" t="s">
        <v>241</v>
      </c>
      <c r="K1123" t="s">
        <v>179</v>
      </c>
      <c r="L1123" t="str">
        <f>_xlfn.XLOOKUP(C1123, Table2[Species],Table2[Genus], "Code Not Found")</f>
        <v>Acer</v>
      </c>
      <c r="M1123" t="str">
        <f>_xlfn.XLOOKUP(C1123, Table2[Species],Table2[Sp. Name], "Code Not Found")</f>
        <v>saccharum</v>
      </c>
      <c r="N1123" t="str">
        <f>_xlfn.XLOOKUP(C1123,Table2[Species],Table2[Family],"Code Not Found")</f>
        <v>Sapindaceae</v>
      </c>
      <c r="O1123" t="str" cm="1">
        <f t="array" ref="O1123">_xlfn.IFS(F1123="","",F1123&lt;=5,"0 to 5",F1123&lt;=10,"5.1 to 10",F1123&lt;=20,"10 to 20", F1123&lt;= 40, "20 to 40", F1123 &lt;= 50, "40 to 50", F1123 &gt; 50, "&gt;50" )</f>
        <v>0 to 5</v>
      </c>
    </row>
    <row r="1124" spans="1:15" ht="14.4" x14ac:dyDescent="0.3">
      <c r="A1124" t="s">
        <v>240</v>
      </c>
      <c r="B1124" s="1">
        <v>46190</v>
      </c>
      <c r="C1124" t="s">
        <v>16</v>
      </c>
      <c r="D1124">
        <v>1043</v>
      </c>
      <c r="E1124">
        <v>1</v>
      </c>
      <c r="F1124">
        <v>5.6</v>
      </c>
      <c r="G1124" t="s">
        <v>94</v>
      </c>
      <c r="H1124" t="s">
        <v>244</v>
      </c>
      <c r="I1124" t="str">
        <f t="shared" si="18"/>
        <v>1043_1</v>
      </c>
      <c r="J1124" t="s">
        <v>241</v>
      </c>
      <c r="K1124" t="s">
        <v>179</v>
      </c>
      <c r="L1124" t="str">
        <f>_xlfn.XLOOKUP(C1124, Table2[Species],Table2[Genus], "Code Not Found")</f>
        <v>Acer</v>
      </c>
      <c r="M1124" t="str">
        <f>_xlfn.XLOOKUP(C1124, Table2[Species],Table2[Sp. Name], "Code Not Found")</f>
        <v>saccharum</v>
      </c>
      <c r="N1124" t="str">
        <f>_xlfn.XLOOKUP(C1124,Table2[Species],Table2[Family],"Code Not Found")</f>
        <v>Sapindaceae</v>
      </c>
      <c r="O1124" t="str" cm="1">
        <f t="array" ref="O1124">_xlfn.IFS(F1124="","",F1124&lt;=5,"0 to 5",F1124&lt;=10,"5.1 to 10",F1124&lt;=20,"10 to 20", F1124&lt;= 40, "20 to 40", F1124 &lt;= 50, "40 to 50", F1124 &gt; 50, "&gt;50" )</f>
        <v>5.1 to 10</v>
      </c>
    </row>
    <row r="1125" spans="1:15" ht="14.4" x14ac:dyDescent="0.3">
      <c r="A1125" t="s">
        <v>240</v>
      </c>
      <c r="B1125" s="1">
        <v>46190</v>
      </c>
      <c r="C1125" t="s">
        <v>16</v>
      </c>
      <c r="D1125">
        <v>1044</v>
      </c>
      <c r="E1125">
        <v>1</v>
      </c>
      <c r="F1125">
        <v>20.399999999999999</v>
      </c>
      <c r="G1125" t="s">
        <v>17</v>
      </c>
      <c r="H1125" t="s">
        <v>36</v>
      </c>
      <c r="I1125" t="str">
        <f t="shared" si="18"/>
        <v>1044_1</v>
      </c>
      <c r="J1125" t="s">
        <v>241</v>
      </c>
      <c r="K1125" t="s">
        <v>179</v>
      </c>
      <c r="L1125" t="str">
        <f>_xlfn.XLOOKUP(C1125, Table2[Species],Table2[Genus], "Code Not Found")</f>
        <v>Acer</v>
      </c>
      <c r="M1125" t="str">
        <f>_xlfn.XLOOKUP(C1125, Table2[Species],Table2[Sp. Name], "Code Not Found")</f>
        <v>saccharum</v>
      </c>
      <c r="N1125" t="str">
        <f>_xlfn.XLOOKUP(C1125,Table2[Species],Table2[Family],"Code Not Found")</f>
        <v>Sapindaceae</v>
      </c>
      <c r="O1125" t="str" cm="1">
        <f t="array" ref="O1125">_xlfn.IFS(F1125="","",F1125&lt;=5,"0 to 5",F1125&lt;=10,"5.1 to 10",F1125&lt;=20,"10 to 20", F1125&lt;= 40, "20 to 40", F1125 &lt;= 50, "40 to 50", F1125 &gt; 50, "&gt;50" )</f>
        <v>20 to 40</v>
      </c>
    </row>
    <row r="1126" spans="1:15" ht="14.4" x14ac:dyDescent="0.3">
      <c r="A1126" t="s">
        <v>240</v>
      </c>
      <c r="B1126" s="1">
        <v>46190</v>
      </c>
      <c r="C1126" t="s">
        <v>16</v>
      </c>
      <c r="D1126">
        <v>1045</v>
      </c>
      <c r="E1126">
        <v>1</v>
      </c>
      <c r="F1126">
        <v>3.3</v>
      </c>
      <c r="G1126" t="s">
        <v>47</v>
      </c>
      <c r="H1126" t="s">
        <v>43</v>
      </c>
      <c r="I1126" t="str">
        <f t="shared" si="18"/>
        <v>1045_1</v>
      </c>
      <c r="J1126" t="s">
        <v>241</v>
      </c>
      <c r="K1126" t="s">
        <v>179</v>
      </c>
      <c r="L1126" t="str">
        <f>_xlfn.XLOOKUP(C1126, Table2[Species],Table2[Genus], "Code Not Found")</f>
        <v>Acer</v>
      </c>
      <c r="M1126" t="str">
        <f>_xlfn.XLOOKUP(C1126, Table2[Species],Table2[Sp. Name], "Code Not Found")</f>
        <v>saccharum</v>
      </c>
      <c r="N1126" t="str">
        <f>_xlfn.XLOOKUP(C1126,Table2[Species],Table2[Family],"Code Not Found")</f>
        <v>Sapindaceae</v>
      </c>
      <c r="O1126" t="str" cm="1">
        <f t="array" ref="O1126">_xlfn.IFS(F1126="","",F1126&lt;=5,"0 to 5",F1126&lt;=10,"5.1 to 10",F1126&lt;=20,"10 to 20", F1126&lt;= 40, "20 to 40", F1126 &lt;= 50, "40 to 50", F1126 &gt; 50, "&gt;50" )</f>
        <v>0 to 5</v>
      </c>
    </row>
    <row r="1127" spans="1:15" ht="14.4" x14ac:dyDescent="0.3">
      <c r="A1127" t="s">
        <v>240</v>
      </c>
      <c r="B1127" s="1">
        <v>46190</v>
      </c>
      <c r="C1127" t="s">
        <v>16</v>
      </c>
      <c r="D1127">
        <v>1046</v>
      </c>
      <c r="E1127">
        <v>1</v>
      </c>
      <c r="F1127">
        <v>16.5</v>
      </c>
      <c r="G1127" t="s">
        <v>94</v>
      </c>
      <c r="H1127" t="s">
        <v>256</v>
      </c>
      <c r="I1127" t="str">
        <f t="shared" si="18"/>
        <v>1046_1</v>
      </c>
      <c r="J1127" t="s">
        <v>241</v>
      </c>
      <c r="K1127" t="s">
        <v>179</v>
      </c>
      <c r="L1127" t="str">
        <f>_xlfn.XLOOKUP(C1127, Table2[Species],Table2[Genus], "Code Not Found")</f>
        <v>Acer</v>
      </c>
      <c r="M1127" t="str">
        <f>_xlfn.XLOOKUP(C1127, Table2[Species],Table2[Sp. Name], "Code Not Found")</f>
        <v>saccharum</v>
      </c>
      <c r="N1127" t="str">
        <f>_xlfn.XLOOKUP(C1127,Table2[Species],Table2[Family],"Code Not Found")</f>
        <v>Sapindaceae</v>
      </c>
      <c r="O1127" t="str" cm="1">
        <f t="array" ref="O1127">_xlfn.IFS(F1127="","",F1127&lt;=5,"0 to 5",F1127&lt;=10,"5.1 to 10",F1127&lt;=20,"10 to 20", F1127&lt;= 40, "20 to 40", F1127 &lt;= 50, "40 to 50", F1127 &gt; 50, "&gt;50" )</f>
        <v>10 to 20</v>
      </c>
    </row>
    <row r="1128" spans="1:15" ht="14.4" x14ac:dyDescent="0.3">
      <c r="A1128" t="s">
        <v>240</v>
      </c>
      <c r="B1128" s="1">
        <v>46190</v>
      </c>
      <c r="C1128" t="s">
        <v>16</v>
      </c>
      <c r="D1128">
        <v>1047</v>
      </c>
      <c r="E1128">
        <v>1</v>
      </c>
      <c r="F1128">
        <v>2.8</v>
      </c>
      <c r="G1128" t="s">
        <v>104</v>
      </c>
      <c r="H1128" t="s">
        <v>257</v>
      </c>
      <c r="I1128" t="str">
        <f t="shared" si="18"/>
        <v>1047_1</v>
      </c>
      <c r="J1128" t="s">
        <v>241</v>
      </c>
      <c r="K1128" t="s">
        <v>179</v>
      </c>
      <c r="L1128" t="str">
        <f>_xlfn.XLOOKUP(C1128, Table2[Species],Table2[Genus], "Code Not Found")</f>
        <v>Acer</v>
      </c>
      <c r="M1128" t="str">
        <f>_xlfn.XLOOKUP(C1128, Table2[Species],Table2[Sp. Name], "Code Not Found")</f>
        <v>saccharum</v>
      </c>
      <c r="N1128" t="str">
        <f>_xlfn.XLOOKUP(C1128,Table2[Species],Table2[Family],"Code Not Found")</f>
        <v>Sapindaceae</v>
      </c>
      <c r="O1128" t="str" cm="1">
        <f t="array" ref="O1128">_xlfn.IFS(F1128="","",F1128&lt;=5,"0 to 5",F1128&lt;=10,"5.1 to 10",F1128&lt;=20,"10 to 20", F1128&lt;= 40, "20 to 40", F1128 &lt;= 50, "40 to 50", F1128 &gt; 50, "&gt;50" )</f>
        <v>0 to 5</v>
      </c>
    </row>
    <row r="1129" spans="1:15" ht="14.4" x14ac:dyDescent="0.3">
      <c r="A1129" t="s">
        <v>240</v>
      </c>
      <c r="B1129" s="1">
        <v>46190</v>
      </c>
      <c r="C1129" t="s">
        <v>16</v>
      </c>
      <c r="D1129">
        <v>1048</v>
      </c>
      <c r="E1129">
        <v>1</v>
      </c>
      <c r="F1129">
        <v>2.2000000000000002</v>
      </c>
      <c r="G1129" t="s">
        <v>57</v>
      </c>
      <c r="H1129" t="s">
        <v>43</v>
      </c>
      <c r="I1129" t="str">
        <f t="shared" si="18"/>
        <v>1048_1</v>
      </c>
      <c r="J1129" t="s">
        <v>241</v>
      </c>
      <c r="K1129" t="s">
        <v>179</v>
      </c>
      <c r="L1129" t="str">
        <f>_xlfn.XLOOKUP(C1129, Table2[Species],Table2[Genus], "Code Not Found")</f>
        <v>Acer</v>
      </c>
      <c r="M1129" t="str">
        <f>_xlfn.XLOOKUP(C1129, Table2[Species],Table2[Sp. Name], "Code Not Found")</f>
        <v>saccharum</v>
      </c>
      <c r="N1129" t="str">
        <f>_xlfn.XLOOKUP(C1129,Table2[Species],Table2[Family],"Code Not Found")</f>
        <v>Sapindaceae</v>
      </c>
      <c r="O1129" t="str" cm="1">
        <f t="array" ref="O1129">_xlfn.IFS(F1129="","",F1129&lt;=5,"0 to 5",F1129&lt;=10,"5.1 to 10",F1129&lt;=20,"10 to 20", F1129&lt;= 40, "20 to 40", F1129 &lt;= 50, "40 to 50", F1129 &gt; 50, "&gt;50" )</f>
        <v>0 to 5</v>
      </c>
    </row>
    <row r="1130" spans="1:15" ht="14.4" x14ac:dyDescent="0.3">
      <c r="A1130" t="s">
        <v>240</v>
      </c>
      <c r="B1130" s="1">
        <v>46190</v>
      </c>
      <c r="C1130" t="s">
        <v>16</v>
      </c>
      <c r="D1130">
        <v>1049</v>
      </c>
      <c r="E1130">
        <v>1</v>
      </c>
      <c r="F1130">
        <v>8.1</v>
      </c>
      <c r="G1130" t="s">
        <v>47</v>
      </c>
      <c r="H1130" t="s">
        <v>43</v>
      </c>
      <c r="I1130" t="str">
        <f t="shared" si="18"/>
        <v>1049_1</v>
      </c>
      <c r="J1130" t="s">
        <v>241</v>
      </c>
      <c r="K1130" t="s">
        <v>179</v>
      </c>
      <c r="L1130" t="str">
        <f>_xlfn.XLOOKUP(C1130, Table2[Species],Table2[Genus], "Code Not Found")</f>
        <v>Acer</v>
      </c>
      <c r="M1130" t="str">
        <f>_xlfn.XLOOKUP(C1130, Table2[Species],Table2[Sp. Name], "Code Not Found")</f>
        <v>saccharum</v>
      </c>
      <c r="N1130" t="str">
        <f>_xlfn.XLOOKUP(C1130,Table2[Species],Table2[Family],"Code Not Found")</f>
        <v>Sapindaceae</v>
      </c>
      <c r="O1130" t="str" cm="1">
        <f t="array" ref="O1130">_xlfn.IFS(F1130="","",F1130&lt;=5,"0 to 5",F1130&lt;=10,"5.1 to 10",F1130&lt;=20,"10 to 20", F1130&lt;= 40, "20 to 40", F1130 &lt;= 50, "40 to 50", F1130 &gt; 50, "&gt;50" )</f>
        <v>5.1 to 10</v>
      </c>
    </row>
    <row r="1131" spans="1:15" ht="14.4" x14ac:dyDescent="0.3">
      <c r="A1131" t="s">
        <v>240</v>
      </c>
      <c r="B1131" s="1">
        <v>46190</v>
      </c>
      <c r="C1131" t="s">
        <v>16</v>
      </c>
      <c r="D1131">
        <v>1050</v>
      </c>
      <c r="E1131">
        <v>1</v>
      </c>
      <c r="F1131">
        <v>11</v>
      </c>
      <c r="G1131" t="s">
        <v>94</v>
      </c>
      <c r="H1131" t="s">
        <v>258</v>
      </c>
      <c r="I1131" t="str">
        <f t="shared" si="18"/>
        <v>1050_1</v>
      </c>
      <c r="J1131" t="s">
        <v>241</v>
      </c>
      <c r="K1131" t="s">
        <v>179</v>
      </c>
      <c r="L1131" t="str">
        <f>_xlfn.XLOOKUP(C1131, Table2[Species],Table2[Genus], "Code Not Found")</f>
        <v>Acer</v>
      </c>
      <c r="M1131" t="str">
        <f>_xlfn.XLOOKUP(C1131, Table2[Species],Table2[Sp. Name], "Code Not Found")</f>
        <v>saccharum</v>
      </c>
      <c r="N1131" t="str">
        <f>_xlfn.XLOOKUP(C1131,Table2[Species],Table2[Family],"Code Not Found")</f>
        <v>Sapindaceae</v>
      </c>
      <c r="O1131" t="str" cm="1">
        <f t="array" ref="O1131">_xlfn.IFS(F1131="","",F1131&lt;=5,"0 to 5",F1131&lt;=10,"5.1 to 10",F1131&lt;=20,"10 to 20", F1131&lt;= 40, "20 to 40", F1131 &lt;= 50, "40 to 50", F1131 &gt; 50, "&gt;50" )</f>
        <v>10 to 20</v>
      </c>
    </row>
    <row r="1132" spans="1:15" ht="14.4" x14ac:dyDescent="0.3">
      <c r="A1132" t="s">
        <v>240</v>
      </c>
      <c r="B1132" s="1">
        <v>46190</v>
      </c>
      <c r="C1132" t="s">
        <v>16</v>
      </c>
      <c r="D1132">
        <v>1051</v>
      </c>
      <c r="E1132">
        <v>1</v>
      </c>
      <c r="F1132">
        <v>15.2</v>
      </c>
      <c r="G1132" t="s">
        <v>17</v>
      </c>
      <c r="I1132" t="str">
        <f t="shared" si="18"/>
        <v>1051_1</v>
      </c>
      <c r="J1132" t="s">
        <v>241</v>
      </c>
      <c r="K1132" t="s">
        <v>179</v>
      </c>
      <c r="L1132" t="str">
        <f>_xlfn.XLOOKUP(C1132, Table2[Species],Table2[Genus], "Code Not Found")</f>
        <v>Acer</v>
      </c>
      <c r="M1132" t="str">
        <f>_xlfn.XLOOKUP(C1132, Table2[Species],Table2[Sp. Name], "Code Not Found")</f>
        <v>saccharum</v>
      </c>
      <c r="N1132" t="str">
        <f>_xlfn.XLOOKUP(C1132,Table2[Species],Table2[Family],"Code Not Found")</f>
        <v>Sapindaceae</v>
      </c>
      <c r="O1132" t="str" cm="1">
        <f t="array" ref="O1132">_xlfn.IFS(F1132="","",F1132&lt;=5,"0 to 5",F1132&lt;=10,"5.1 to 10",F1132&lt;=20,"10 to 20", F1132&lt;= 40, "20 to 40", F1132 &lt;= 50, "40 to 50", F1132 &gt; 50, "&gt;50" )</f>
        <v>10 to 20</v>
      </c>
    </row>
    <row r="1133" spans="1:15" ht="14.4" x14ac:dyDescent="0.3">
      <c r="A1133" t="s">
        <v>240</v>
      </c>
      <c r="B1133" s="1">
        <v>46190</v>
      </c>
      <c r="C1133" t="s">
        <v>16</v>
      </c>
      <c r="D1133">
        <v>1052</v>
      </c>
      <c r="E1133">
        <v>1</v>
      </c>
      <c r="F1133">
        <v>4.7</v>
      </c>
      <c r="G1133" t="s">
        <v>17</v>
      </c>
      <c r="I1133" t="str">
        <f t="shared" si="18"/>
        <v>1052_1</v>
      </c>
      <c r="J1133" t="s">
        <v>241</v>
      </c>
      <c r="K1133" t="s">
        <v>179</v>
      </c>
      <c r="L1133" t="str">
        <f>_xlfn.XLOOKUP(C1133, Table2[Species],Table2[Genus], "Code Not Found")</f>
        <v>Acer</v>
      </c>
      <c r="M1133" t="str">
        <f>_xlfn.XLOOKUP(C1133, Table2[Species],Table2[Sp. Name], "Code Not Found")</f>
        <v>saccharum</v>
      </c>
      <c r="N1133" t="str">
        <f>_xlfn.XLOOKUP(C1133,Table2[Species],Table2[Family],"Code Not Found")</f>
        <v>Sapindaceae</v>
      </c>
      <c r="O1133" t="str" cm="1">
        <f t="array" ref="O1133">_xlfn.IFS(F1133="","",F1133&lt;=5,"0 to 5",F1133&lt;=10,"5.1 to 10",F1133&lt;=20,"10 to 20", F1133&lt;= 40, "20 to 40", F1133 &lt;= 50, "40 to 50", F1133 &gt; 50, "&gt;50" )</f>
        <v>0 to 5</v>
      </c>
    </row>
    <row r="1134" spans="1:15" ht="14.4" x14ac:dyDescent="0.3">
      <c r="A1134" t="s">
        <v>240</v>
      </c>
      <c r="B1134" s="1">
        <v>46190</v>
      </c>
      <c r="C1134" t="s">
        <v>16</v>
      </c>
      <c r="D1134">
        <v>1053</v>
      </c>
      <c r="E1134">
        <v>1</v>
      </c>
      <c r="F1134">
        <v>10.1</v>
      </c>
      <c r="G1134" t="s">
        <v>21</v>
      </c>
      <c r="I1134" t="str">
        <f t="shared" ref="I1134:I1197" si="19">D1134&amp;"_"&amp;E1134</f>
        <v>1053_1</v>
      </c>
      <c r="J1134" t="s">
        <v>241</v>
      </c>
      <c r="K1134" t="s">
        <v>179</v>
      </c>
      <c r="L1134" t="str">
        <f>_xlfn.XLOOKUP(C1134, Table2[Species],Table2[Genus], "Code Not Found")</f>
        <v>Acer</v>
      </c>
      <c r="M1134" t="str">
        <f>_xlfn.XLOOKUP(C1134, Table2[Species],Table2[Sp. Name], "Code Not Found")</f>
        <v>saccharum</v>
      </c>
      <c r="N1134" t="str">
        <f>_xlfn.XLOOKUP(C1134,Table2[Species],Table2[Family],"Code Not Found")</f>
        <v>Sapindaceae</v>
      </c>
      <c r="O1134" t="str" cm="1">
        <f t="array" ref="O1134">_xlfn.IFS(F1134="","",F1134&lt;=5,"0 to 5",F1134&lt;=10,"5.1 to 10",F1134&lt;=20,"10 to 20", F1134&lt;= 40, "20 to 40", F1134 &lt;= 50, "40 to 50", F1134 &gt; 50, "&gt;50" )</f>
        <v>10 to 20</v>
      </c>
    </row>
    <row r="1135" spans="1:15" ht="14.4" x14ac:dyDescent="0.3">
      <c r="A1135" t="s">
        <v>240</v>
      </c>
      <c r="B1135" s="1">
        <v>46190</v>
      </c>
      <c r="C1135" t="s">
        <v>16</v>
      </c>
      <c r="D1135">
        <v>1054</v>
      </c>
      <c r="E1135">
        <v>1</v>
      </c>
      <c r="F1135">
        <v>8.8000000000000007</v>
      </c>
      <c r="G1135" t="s">
        <v>21</v>
      </c>
      <c r="I1135" t="str">
        <f t="shared" si="19"/>
        <v>1054_1</v>
      </c>
      <c r="J1135" t="s">
        <v>241</v>
      </c>
      <c r="K1135" t="s">
        <v>179</v>
      </c>
      <c r="L1135" t="str">
        <f>_xlfn.XLOOKUP(C1135, Table2[Species],Table2[Genus], "Code Not Found")</f>
        <v>Acer</v>
      </c>
      <c r="M1135" t="str">
        <f>_xlfn.XLOOKUP(C1135, Table2[Species],Table2[Sp. Name], "Code Not Found")</f>
        <v>saccharum</v>
      </c>
      <c r="N1135" t="str">
        <f>_xlfn.XLOOKUP(C1135,Table2[Species],Table2[Family],"Code Not Found")</f>
        <v>Sapindaceae</v>
      </c>
      <c r="O1135" t="str" cm="1">
        <f t="array" ref="O1135">_xlfn.IFS(F1135="","",F1135&lt;=5,"0 to 5",F1135&lt;=10,"5.1 to 10",F1135&lt;=20,"10 to 20", F1135&lt;= 40, "20 to 40", F1135 &lt;= 50, "40 to 50", F1135 &gt; 50, "&gt;50" )</f>
        <v>5.1 to 10</v>
      </c>
    </row>
    <row r="1136" spans="1:15" ht="14.4" x14ac:dyDescent="0.3">
      <c r="A1136" t="s">
        <v>240</v>
      </c>
      <c r="B1136" s="1">
        <v>46190</v>
      </c>
      <c r="C1136" t="s">
        <v>16</v>
      </c>
      <c r="D1136">
        <v>1055</v>
      </c>
      <c r="E1136">
        <v>1</v>
      </c>
      <c r="F1136">
        <v>1.8</v>
      </c>
      <c r="G1136" t="s">
        <v>17</v>
      </c>
      <c r="I1136" t="str">
        <f t="shared" si="19"/>
        <v>1055_1</v>
      </c>
      <c r="J1136" t="s">
        <v>241</v>
      </c>
      <c r="K1136" t="s">
        <v>179</v>
      </c>
      <c r="L1136" t="str">
        <f>_xlfn.XLOOKUP(C1136, Table2[Species],Table2[Genus], "Code Not Found")</f>
        <v>Acer</v>
      </c>
      <c r="M1136" t="str">
        <f>_xlfn.XLOOKUP(C1136, Table2[Species],Table2[Sp. Name], "Code Not Found")</f>
        <v>saccharum</v>
      </c>
      <c r="N1136" t="str">
        <f>_xlfn.XLOOKUP(C1136,Table2[Species],Table2[Family],"Code Not Found")</f>
        <v>Sapindaceae</v>
      </c>
      <c r="O1136" t="str" cm="1">
        <f t="array" ref="O1136">_xlfn.IFS(F1136="","",F1136&lt;=5,"0 to 5",F1136&lt;=10,"5.1 to 10",F1136&lt;=20,"10 to 20", F1136&lt;= 40, "20 to 40", F1136 &lt;= 50, "40 to 50", F1136 &gt; 50, "&gt;50" )</f>
        <v>0 to 5</v>
      </c>
    </row>
    <row r="1137" spans="1:15" ht="14.4" x14ac:dyDescent="0.3">
      <c r="A1137" t="s">
        <v>240</v>
      </c>
      <c r="B1137" s="1">
        <v>46190</v>
      </c>
      <c r="C1137" t="s">
        <v>16</v>
      </c>
      <c r="D1137">
        <v>1056</v>
      </c>
      <c r="E1137">
        <v>1</v>
      </c>
      <c r="F1137">
        <v>5.4</v>
      </c>
      <c r="G1137" t="s">
        <v>94</v>
      </c>
      <c r="H1137" t="s">
        <v>99</v>
      </c>
      <c r="I1137" t="str">
        <f t="shared" si="19"/>
        <v>1056_1</v>
      </c>
      <c r="J1137" t="s">
        <v>241</v>
      </c>
      <c r="K1137" t="s">
        <v>179</v>
      </c>
      <c r="L1137" t="str">
        <f>_xlfn.XLOOKUP(C1137, Table2[Species],Table2[Genus], "Code Not Found")</f>
        <v>Acer</v>
      </c>
      <c r="M1137" t="str">
        <f>_xlfn.XLOOKUP(C1137, Table2[Species],Table2[Sp. Name], "Code Not Found")</f>
        <v>saccharum</v>
      </c>
      <c r="N1137" t="str">
        <f>_xlfn.XLOOKUP(C1137,Table2[Species],Table2[Family],"Code Not Found")</f>
        <v>Sapindaceae</v>
      </c>
      <c r="O1137" t="str" cm="1">
        <f t="array" ref="O1137">_xlfn.IFS(F1137="","",F1137&lt;=5,"0 to 5",F1137&lt;=10,"5.1 to 10",F1137&lt;=20,"10 to 20", F1137&lt;= 40, "20 to 40", F1137 &lt;= 50, "40 to 50", F1137 &gt; 50, "&gt;50" )</f>
        <v>5.1 to 10</v>
      </c>
    </row>
    <row r="1138" spans="1:15" ht="14.4" x14ac:dyDescent="0.3">
      <c r="A1138" t="s">
        <v>240</v>
      </c>
      <c r="B1138" s="1">
        <v>46190</v>
      </c>
      <c r="C1138" t="s">
        <v>16</v>
      </c>
      <c r="D1138">
        <v>1057</v>
      </c>
      <c r="E1138">
        <v>1</v>
      </c>
      <c r="F1138">
        <v>16.600000000000001</v>
      </c>
      <c r="G1138" t="s">
        <v>104</v>
      </c>
      <c r="H1138" t="s">
        <v>259</v>
      </c>
      <c r="I1138" t="str">
        <f t="shared" si="19"/>
        <v>1057_1</v>
      </c>
      <c r="J1138" t="s">
        <v>241</v>
      </c>
      <c r="K1138" t="s">
        <v>179</v>
      </c>
      <c r="L1138" t="str">
        <f>_xlfn.XLOOKUP(C1138, Table2[Species],Table2[Genus], "Code Not Found")</f>
        <v>Acer</v>
      </c>
      <c r="M1138" t="str">
        <f>_xlfn.XLOOKUP(C1138, Table2[Species],Table2[Sp. Name], "Code Not Found")</f>
        <v>saccharum</v>
      </c>
      <c r="N1138" t="str">
        <f>_xlfn.XLOOKUP(C1138,Table2[Species],Table2[Family],"Code Not Found")</f>
        <v>Sapindaceae</v>
      </c>
      <c r="O1138" t="str" cm="1">
        <f t="array" ref="O1138">_xlfn.IFS(F1138="","",F1138&lt;=5,"0 to 5",F1138&lt;=10,"5.1 to 10",F1138&lt;=20,"10 to 20", F1138&lt;= 40, "20 to 40", F1138 &lt;= 50, "40 to 50", F1138 &gt; 50, "&gt;50" )</f>
        <v>10 to 20</v>
      </c>
    </row>
    <row r="1139" spans="1:15" ht="14.4" x14ac:dyDescent="0.3">
      <c r="A1139" t="s">
        <v>240</v>
      </c>
      <c r="B1139" s="1">
        <v>46190</v>
      </c>
      <c r="C1139" t="s">
        <v>16</v>
      </c>
      <c r="D1139">
        <v>1058</v>
      </c>
      <c r="E1139">
        <v>1</v>
      </c>
      <c r="F1139">
        <v>3.5</v>
      </c>
      <c r="G1139" t="s">
        <v>57</v>
      </c>
      <c r="H1139" t="s">
        <v>43</v>
      </c>
      <c r="I1139" t="str">
        <f t="shared" si="19"/>
        <v>1058_1</v>
      </c>
      <c r="J1139" t="s">
        <v>241</v>
      </c>
      <c r="K1139" t="s">
        <v>179</v>
      </c>
      <c r="L1139" t="str">
        <f>_xlfn.XLOOKUP(C1139, Table2[Species],Table2[Genus], "Code Not Found")</f>
        <v>Acer</v>
      </c>
      <c r="M1139" t="str">
        <f>_xlfn.XLOOKUP(C1139, Table2[Species],Table2[Sp. Name], "Code Not Found")</f>
        <v>saccharum</v>
      </c>
      <c r="N1139" t="str">
        <f>_xlfn.XLOOKUP(C1139,Table2[Species],Table2[Family],"Code Not Found")</f>
        <v>Sapindaceae</v>
      </c>
      <c r="O1139" t="str" cm="1">
        <f t="array" ref="O1139">_xlfn.IFS(F1139="","",F1139&lt;=5,"0 to 5",F1139&lt;=10,"5.1 to 10",F1139&lt;=20,"10 to 20", F1139&lt;= 40, "20 to 40", F1139 &lt;= 50, "40 to 50", F1139 &gt; 50, "&gt;50" )</f>
        <v>0 to 5</v>
      </c>
    </row>
    <row r="1140" spans="1:15" ht="14.4" x14ac:dyDescent="0.3">
      <c r="A1140" t="s">
        <v>240</v>
      </c>
      <c r="B1140" s="1">
        <v>46190</v>
      </c>
      <c r="C1140" t="s">
        <v>16</v>
      </c>
      <c r="D1140">
        <v>1059</v>
      </c>
      <c r="E1140">
        <v>1</v>
      </c>
      <c r="F1140">
        <v>18.3</v>
      </c>
      <c r="G1140" t="s">
        <v>47</v>
      </c>
      <c r="I1140" t="str">
        <f t="shared" si="19"/>
        <v>1059_1</v>
      </c>
      <c r="J1140" t="s">
        <v>241</v>
      </c>
      <c r="K1140" t="s">
        <v>179</v>
      </c>
      <c r="L1140" t="str">
        <f>_xlfn.XLOOKUP(C1140, Table2[Species],Table2[Genus], "Code Not Found")</f>
        <v>Acer</v>
      </c>
      <c r="M1140" t="str">
        <f>_xlfn.XLOOKUP(C1140, Table2[Species],Table2[Sp. Name], "Code Not Found")</f>
        <v>saccharum</v>
      </c>
      <c r="N1140" t="str">
        <f>_xlfn.XLOOKUP(C1140,Table2[Species],Table2[Family],"Code Not Found")</f>
        <v>Sapindaceae</v>
      </c>
      <c r="O1140" t="str" cm="1">
        <f t="array" ref="O1140">_xlfn.IFS(F1140="","",F1140&lt;=5,"0 to 5",F1140&lt;=10,"5.1 to 10",F1140&lt;=20,"10 to 20", F1140&lt;= 40, "20 to 40", F1140 &lt;= 50, "40 to 50", F1140 &gt; 50, "&gt;50" )</f>
        <v>10 to 20</v>
      </c>
    </row>
    <row r="1141" spans="1:15" ht="14.4" x14ac:dyDescent="0.3">
      <c r="A1141" t="s">
        <v>240</v>
      </c>
      <c r="B1141" s="1">
        <v>46190</v>
      </c>
      <c r="C1141" t="s">
        <v>16</v>
      </c>
      <c r="D1141">
        <v>1060</v>
      </c>
      <c r="E1141">
        <v>1</v>
      </c>
      <c r="F1141">
        <v>3.9</v>
      </c>
      <c r="G1141" t="s">
        <v>94</v>
      </c>
      <c r="H1141" t="s">
        <v>260</v>
      </c>
      <c r="I1141" t="str">
        <f t="shared" si="19"/>
        <v>1060_1</v>
      </c>
      <c r="J1141" t="s">
        <v>241</v>
      </c>
      <c r="K1141" t="s">
        <v>179</v>
      </c>
      <c r="L1141" t="str">
        <f>_xlfn.XLOOKUP(C1141, Table2[Species],Table2[Genus], "Code Not Found")</f>
        <v>Acer</v>
      </c>
      <c r="M1141" t="str">
        <f>_xlfn.XLOOKUP(C1141, Table2[Species],Table2[Sp. Name], "Code Not Found")</f>
        <v>saccharum</v>
      </c>
      <c r="N1141" t="str">
        <f>_xlfn.XLOOKUP(C1141,Table2[Species],Table2[Family],"Code Not Found")</f>
        <v>Sapindaceae</v>
      </c>
      <c r="O1141" t="str" cm="1">
        <f t="array" ref="O1141">_xlfn.IFS(F1141="","",F1141&lt;=5,"0 to 5",F1141&lt;=10,"5.1 to 10",F1141&lt;=20,"10 to 20", F1141&lt;= 40, "20 to 40", F1141 &lt;= 50, "40 to 50", F1141 &gt; 50, "&gt;50" )</f>
        <v>0 to 5</v>
      </c>
    </row>
    <row r="1142" spans="1:15" ht="14.4" x14ac:dyDescent="0.3">
      <c r="A1142" t="s">
        <v>240</v>
      </c>
      <c r="B1142" s="1">
        <v>46190</v>
      </c>
      <c r="C1142" t="s">
        <v>16</v>
      </c>
      <c r="D1142">
        <v>1061</v>
      </c>
      <c r="E1142">
        <v>1</v>
      </c>
      <c r="F1142">
        <v>7.1</v>
      </c>
      <c r="G1142" t="s">
        <v>17</v>
      </c>
      <c r="I1142" t="str">
        <f t="shared" si="19"/>
        <v>1061_1</v>
      </c>
      <c r="J1142" t="s">
        <v>241</v>
      </c>
      <c r="K1142" t="s">
        <v>179</v>
      </c>
      <c r="L1142" t="str">
        <f>_xlfn.XLOOKUP(C1142, Table2[Species],Table2[Genus], "Code Not Found")</f>
        <v>Acer</v>
      </c>
      <c r="M1142" t="str">
        <f>_xlfn.XLOOKUP(C1142, Table2[Species],Table2[Sp. Name], "Code Not Found")</f>
        <v>saccharum</v>
      </c>
      <c r="N1142" t="str">
        <f>_xlfn.XLOOKUP(C1142,Table2[Species],Table2[Family],"Code Not Found")</f>
        <v>Sapindaceae</v>
      </c>
      <c r="O1142" t="str" cm="1">
        <f t="array" ref="O1142">_xlfn.IFS(F1142="","",F1142&lt;=5,"0 to 5",F1142&lt;=10,"5.1 to 10",F1142&lt;=20,"10 to 20", F1142&lt;= 40, "20 to 40", F1142 &lt;= 50, "40 to 50", F1142 &gt; 50, "&gt;50" )</f>
        <v>5.1 to 10</v>
      </c>
    </row>
    <row r="1143" spans="1:15" ht="14.4" x14ac:dyDescent="0.3">
      <c r="A1143" t="s">
        <v>240</v>
      </c>
      <c r="B1143" s="1">
        <v>46190</v>
      </c>
      <c r="C1143" t="s">
        <v>16</v>
      </c>
      <c r="D1143">
        <v>1062</v>
      </c>
      <c r="E1143">
        <v>1</v>
      </c>
      <c r="F1143">
        <v>1.4</v>
      </c>
      <c r="G1143" t="s">
        <v>17</v>
      </c>
      <c r="I1143" t="str">
        <f t="shared" si="19"/>
        <v>1062_1</v>
      </c>
      <c r="J1143" t="s">
        <v>241</v>
      </c>
      <c r="K1143" t="s">
        <v>179</v>
      </c>
      <c r="L1143" t="str">
        <f>_xlfn.XLOOKUP(C1143, Table2[Species],Table2[Genus], "Code Not Found")</f>
        <v>Acer</v>
      </c>
      <c r="M1143" t="str">
        <f>_xlfn.XLOOKUP(C1143, Table2[Species],Table2[Sp. Name], "Code Not Found")</f>
        <v>saccharum</v>
      </c>
      <c r="N1143" t="str">
        <f>_xlfn.XLOOKUP(C1143,Table2[Species],Table2[Family],"Code Not Found")</f>
        <v>Sapindaceae</v>
      </c>
      <c r="O1143" t="str" cm="1">
        <f t="array" ref="O1143">_xlfn.IFS(F1143="","",F1143&lt;=5,"0 to 5",F1143&lt;=10,"5.1 to 10",F1143&lt;=20,"10 to 20", F1143&lt;= 40, "20 to 40", F1143 &lt;= 50, "40 to 50", F1143 &gt; 50, "&gt;50" )</f>
        <v>0 to 5</v>
      </c>
    </row>
    <row r="1144" spans="1:15" ht="14.4" x14ac:dyDescent="0.3">
      <c r="A1144" t="s">
        <v>240</v>
      </c>
      <c r="B1144" s="1">
        <v>46190</v>
      </c>
      <c r="C1144" t="s">
        <v>16</v>
      </c>
      <c r="D1144">
        <v>1063</v>
      </c>
      <c r="E1144">
        <v>1</v>
      </c>
      <c r="F1144">
        <v>2.2999999999999998</v>
      </c>
      <c r="G1144" t="s">
        <v>261</v>
      </c>
      <c r="H1144" t="s">
        <v>143</v>
      </c>
      <c r="I1144" t="str">
        <f t="shared" si="19"/>
        <v>1063_1</v>
      </c>
      <c r="J1144" t="s">
        <v>241</v>
      </c>
      <c r="K1144" t="s">
        <v>179</v>
      </c>
      <c r="L1144" t="str">
        <f>_xlfn.XLOOKUP(C1144, Table2[Species],Table2[Genus], "Code Not Found")</f>
        <v>Acer</v>
      </c>
      <c r="M1144" t="str">
        <f>_xlfn.XLOOKUP(C1144, Table2[Species],Table2[Sp. Name], "Code Not Found")</f>
        <v>saccharum</v>
      </c>
      <c r="N1144" t="str">
        <f>_xlfn.XLOOKUP(C1144,Table2[Species],Table2[Family],"Code Not Found")</f>
        <v>Sapindaceae</v>
      </c>
      <c r="O1144" t="str" cm="1">
        <f t="array" ref="O1144">_xlfn.IFS(F1144="","",F1144&lt;=5,"0 to 5",F1144&lt;=10,"5.1 to 10",F1144&lt;=20,"10 to 20", F1144&lt;= 40, "20 to 40", F1144 &lt;= 50, "40 to 50", F1144 &gt; 50, "&gt;50" )</f>
        <v>0 to 5</v>
      </c>
    </row>
    <row r="1145" spans="1:15" ht="14.4" x14ac:dyDescent="0.3">
      <c r="A1145" t="s">
        <v>240</v>
      </c>
      <c r="B1145" s="1">
        <v>46190</v>
      </c>
      <c r="C1145" t="s">
        <v>16</v>
      </c>
      <c r="D1145">
        <v>1064</v>
      </c>
      <c r="E1145">
        <v>1</v>
      </c>
      <c r="F1145">
        <v>5.5</v>
      </c>
      <c r="G1145" t="s">
        <v>17</v>
      </c>
      <c r="I1145" t="str">
        <f t="shared" si="19"/>
        <v>1064_1</v>
      </c>
      <c r="J1145" t="s">
        <v>241</v>
      </c>
      <c r="K1145" t="s">
        <v>179</v>
      </c>
      <c r="L1145" t="str">
        <f>_xlfn.XLOOKUP(C1145, Table2[Species],Table2[Genus], "Code Not Found")</f>
        <v>Acer</v>
      </c>
      <c r="M1145" t="str">
        <f>_xlfn.XLOOKUP(C1145, Table2[Species],Table2[Sp. Name], "Code Not Found")</f>
        <v>saccharum</v>
      </c>
      <c r="N1145" t="str">
        <f>_xlfn.XLOOKUP(C1145,Table2[Species],Table2[Family],"Code Not Found")</f>
        <v>Sapindaceae</v>
      </c>
      <c r="O1145" t="str" cm="1">
        <f t="array" ref="O1145">_xlfn.IFS(F1145="","",F1145&lt;=5,"0 to 5",F1145&lt;=10,"5.1 to 10",F1145&lt;=20,"10 to 20", F1145&lt;= 40, "20 to 40", F1145 &lt;= 50, "40 to 50", F1145 &gt; 50, "&gt;50" )</f>
        <v>5.1 to 10</v>
      </c>
    </row>
    <row r="1146" spans="1:15" ht="14.4" x14ac:dyDescent="0.3">
      <c r="A1146" t="s">
        <v>240</v>
      </c>
      <c r="B1146" s="1">
        <v>46190</v>
      </c>
      <c r="C1146" t="s">
        <v>16</v>
      </c>
      <c r="D1146">
        <v>1065</v>
      </c>
      <c r="E1146">
        <v>1</v>
      </c>
      <c r="F1146">
        <v>1.6</v>
      </c>
      <c r="G1146" t="s">
        <v>88</v>
      </c>
      <c r="H1146" t="s">
        <v>262</v>
      </c>
      <c r="I1146" t="str">
        <f t="shared" si="19"/>
        <v>1065_1</v>
      </c>
      <c r="J1146" t="s">
        <v>241</v>
      </c>
      <c r="K1146" t="s">
        <v>179</v>
      </c>
      <c r="L1146" t="str">
        <f>_xlfn.XLOOKUP(C1146, Table2[Species],Table2[Genus], "Code Not Found")</f>
        <v>Acer</v>
      </c>
      <c r="M1146" t="str">
        <f>_xlfn.XLOOKUP(C1146, Table2[Species],Table2[Sp. Name], "Code Not Found")</f>
        <v>saccharum</v>
      </c>
      <c r="N1146" t="str">
        <f>_xlfn.XLOOKUP(C1146,Table2[Species],Table2[Family],"Code Not Found")</f>
        <v>Sapindaceae</v>
      </c>
      <c r="O1146" t="str" cm="1">
        <f t="array" ref="O1146">_xlfn.IFS(F1146="","",F1146&lt;=5,"0 to 5",F1146&lt;=10,"5.1 to 10",F1146&lt;=20,"10 to 20", F1146&lt;= 40, "20 to 40", F1146 &lt;= 50, "40 to 50", F1146 &gt; 50, "&gt;50" )</f>
        <v>0 to 5</v>
      </c>
    </row>
    <row r="1147" spans="1:15" ht="14.4" x14ac:dyDescent="0.3">
      <c r="A1147" t="s">
        <v>240</v>
      </c>
      <c r="B1147" s="1">
        <v>46190</v>
      </c>
      <c r="C1147" t="s">
        <v>16</v>
      </c>
      <c r="D1147">
        <v>1066</v>
      </c>
      <c r="E1147">
        <v>1</v>
      </c>
      <c r="F1147">
        <v>1.2</v>
      </c>
      <c r="G1147" t="s">
        <v>47</v>
      </c>
      <c r="H1147" t="s">
        <v>263</v>
      </c>
      <c r="I1147" t="str">
        <f t="shared" si="19"/>
        <v>1066_1</v>
      </c>
      <c r="J1147" t="s">
        <v>241</v>
      </c>
      <c r="K1147" t="s">
        <v>179</v>
      </c>
      <c r="L1147" t="str">
        <f>_xlfn.XLOOKUP(C1147, Table2[Species],Table2[Genus], "Code Not Found")</f>
        <v>Acer</v>
      </c>
      <c r="M1147" t="str">
        <f>_xlfn.XLOOKUP(C1147, Table2[Species],Table2[Sp. Name], "Code Not Found")</f>
        <v>saccharum</v>
      </c>
      <c r="N1147" t="str">
        <f>_xlfn.XLOOKUP(C1147,Table2[Species],Table2[Family],"Code Not Found")</f>
        <v>Sapindaceae</v>
      </c>
      <c r="O1147" t="str" cm="1">
        <f t="array" ref="O1147">_xlfn.IFS(F1147="","",F1147&lt;=5,"0 to 5",F1147&lt;=10,"5.1 to 10",F1147&lt;=20,"10 to 20", F1147&lt;= 40, "20 to 40", F1147 &lt;= 50, "40 to 50", F1147 &gt; 50, "&gt;50" )</f>
        <v>0 to 5</v>
      </c>
    </row>
    <row r="1148" spans="1:15" ht="14.4" x14ac:dyDescent="0.3">
      <c r="A1148" t="s">
        <v>240</v>
      </c>
      <c r="B1148" s="1">
        <v>46190</v>
      </c>
      <c r="C1148" t="s">
        <v>16</v>
      </c>
      <c r="D1148">
        <v>1067</v>
      </c>
      <c r="E1148">
        <v>1</v>
      </c>
      <c r="F1148">
        <v>13</v>
      </c>
      <c r="G1148" t="s">
        <v>39</v>
      </c>
      <c r="H1148" t="s">
        <v>264</v>
      </c>
      <c r="I1148" t="str">
        <f t="shared" si="19"/>
        <v>1067_1</v>
      </c>
      <c r="J1148" t="s">
        <v>241</v>
      </c>
      <c r="K1148" t="s">
        <v>179</v>
      </c>
      <c r="L1148" t="str">
        <f>_xlfn.XLOOKUP(C1148, Table2[Species],Table2[Genus], "Code Not Found")</f>
        <v>Acer</v>
      </c>
      <c r="M1148" t="str">
        <f>_xlfn.XLOOKUP(C1148, Table2[Species],Table2[Sp. Name], "Code Not Found")</f>
        <v>saccharum</v>
      </c>
      <c r="N1148" t="str">
        <f>_xlfn.XLOOKUP(C1148,Table2[Species],Table2[Family],"Code Not Found")</f>
        <v>Sapindaceae</v>
      </c>
      <c r="O1148" t="str" cm="1">
        <f t="array" ref="O1148">_xlfn.IFS(F1148="","",F1148&lt;=5,"0 to 5",F1148&lt;=10,"5.1 to 10",F1148&lt;=20,"10 to 20", F1148&lt;= 40, "20 to 40", F1148 &lt;= 50, "40 to 50", F1148 &gt; 50, "&gt;50" )</f>
        <v>10 to 20</v>
      </c>
    </row>
    <row r="1149" spans="1:15" ht="14.4" x14ac:dyDescent="0.3">
      <c r="A1149" t="s">
        <v>240</v>
      </c>
      <c r="B1149" s="1">
        <v>46190</v>
      </c>
      <c r="C1149" t="s">
        <v>16</v>
      </c>
      <c r="D1149">
        <v>1068</v>
      </c>
      <c r="E1149">
        <v>1</v>
      </c>
      <c r="F1149">
        <v>19.3</v>
      </c>
      <c r="G1149" t="s">
        <v>17</v>
      </c>
      <c r="H1149" t="s">
        <v>36</v>
      </c>
      <c r="I1149" t="str">
        <f t="shared" si="19"/>
        <v>1068_1</v>
      </c>
      <c r="J1149" t="s">
        <v>241</v>
      </c>
      <c r="K1149" t="s">
        <v>179</v>
      </c>
      <c r="L1149" t="str">
        <f>_xlfn.XLOOKUP(C1149, Table2[Species],Table2[Genus], "Code Not Found")</f>
        <v>Acer</v>
      </c>
      <c r="M1149" t="str">
        <f>_xlfn.XLOOKUP(C1149, Table2[Species],Table2[Sp. Name], "Code Not Found")</f>
        <v>saccharum</v>
      </c>
      <c r="N1149" t="str">
        <f>_xlfn.XLOOKUP(C1149,Table2[Species],Table2[Family],"Code Not Found")</f>
        <v>Sapindaceae</v>
      </c>
      <c r="O1149" t="str" cm="1">
        <f t="array" ref="O1149">_xlfn.IFS(F1149="","",F1149&lt;=5,"0 to 5",F1149&lt;=10,"5.1 to 10",F1149&lt;=20,"10 to 20", F1149&lt;= 40, "20 to 40", F1149 &lt;= 50, "40 to 50", F1149 &gt; 50, "&gt;50" )</f>
        <v>10 to 20</v>
      </c>
    </row>
    <row r="1150" spans="1:15" ht="14.4" x14ac:dyDescent="0.3">
      <c r="A1150" t="s">
        <v>240</v>
      </c>
      <c r="B1150" s="1">
        <v>46190</v>
      </c>
      <c r="C1150" t="s">
        <v>16</v>
      </c>
      <c r="D1150">
        <v>1069</v>
      </c>
      <c r="E1150">
        <v>1</v>
      </c>
      <c r="F1150">
        <v>7.7</v>
      </c>
      <c r="G1150" t="s">
        <v>47</v>
      </c>
      <c r="H1150" t="s">
        <v>43</v>
      </c>
      <c r="I1150" t="str">
        <f t="shared" si="19"/>
        <v>1069_1</v>
      </c>
      <c r="J1150" t="s">
        <v>241</v>
      </c>
      <c r="K1150" t="s">
        <v>179</v>
      </c>
      <c r="L1150" t="str">
        <f>_xlfn.XLOOKUP(C1150, Table2[Species],Table2[Genus], "Code Not Found")</f>
        <v>Acer</v>
      </c>
      <c r="M1150" t="str">
        <f>_xlfn.XLOOKUP(C1150, Table2[Species],Table2[Sp. Name], "Code Not Found")</f>
        <v>saccharum</v>
      </c>
      <c r="N1150" t="str">
        <f>_xlfn.XLOOKUP(C1150,Table2[Species],Table2[Family],"Code Not Found")</f>
        <v>Sapindaceae</v>
      </c>
      <c r="O1150" t="str" cm="1">
        <f t="array" ref="O1150">_xlfn.IFS(F1150="","",F1150&lt;=5,"0 to 5",F1150&lt;=10,"5.1 to 10",F1150&lt;=20,"10 to 20", F1150&lt;= 40, "20 to 40", F1150 &lt;= 50, "40 to 50", F1150 &gt; 50, "&gt;50" )</f>
        <v>5.1 to 10</v>
      </c>
    </row>
    <row r="1151" spans="1:15" ht="14.4" x14ac:dyDescent="0.3">
      <c r="A1151" t="s">
        <v>240</v>
      </c>
      <c r="B1151" s="1">
        <v>46190</v>
      </c>
      <c r="C1151" t="s">
        <v>16</v>
      </c>
      <c r="D1151">
        <v>1070</v>
      </c>
      <c r="E1151">
        <v>1</v>
      </c>
      <c r="F1151">
        <v>5.9</v>
      </c>
      <c r="G1151" t="s">
        <v>21</v>
      </c>
      <c r="I1151" t="str">
        <f t="shared" si="19"/>
        <v>1070_1</v>
      </c>
      <c r="J1151" t="s">
        <v>241</v>
      </c>
      <c r="K1151" t="s">
        <v>179</v>
      </c>
      <c r="L1151" t="str">
        <f>_xlfn.XLOOKUP(C1151, Table2[Species],Table2[Genus], "Code Not Found")</f>
        <v>Acer</v>
      </c>
      <c r="M1151" t="str">
        <f>_xlfn.XLOOKUP(C1151, Table2[Species],Table2[Sp. Name], "Code Not Found")</f>
        <v>saccharum</v>
      </c>
      <c r="N1151" t="str">
        <f>_xlfn.XLOOKUP(C1151,Table2[Species],Table2[Family],"Code Not Found")</f>
        <v>Sapindaceae</v>
      </c>
      <c r="O1151" t="str" cm="1">
        <f t="array" ref="O1151">_xlfn.IFS(F1151="","",F1151&lt;=5,"0 to 5",F1151&lt;=10,"5.1 to 10",F1151&lt;=20,"10 to 20", F1151&lt;= 40, "20 to 40", F1151 &lt;= 50, "40 to 50", F1151 &gt; 50, "&gt;50" )</f>
        <v>5.1 to 10</v>
      </c>
    </row>
    <row r="1152" spans="1:15" ht="14.4" x14ac:dyDescent="0.3">
      <c r="A1152" t="s">
        <v>240</v>
      </c>
      <c r="B1152" s="1">
        <v>46190</v>
      </c>
      <c r="C1152" t="s">
        <v>16</v>
      </c>
      <c r="D1152">
        <v>1071</v>
      </c>
      <c r="E1152">
        <v>1</v>
      </c>
      <c r="F1152">
        <v>1.6</v>
      </c>
      <c r="G1152" t="s">
        <v>265</v>
      </c>
      <c r="H1152" t="s">
        <v>266</v>
      </c>
      <c r="I1152" t="str">
        <f t="shared" si="19"/>
        <v>1071_1</v>
      </c>
      <c r="J1152" t="s">
        <v>241</v>
      </c>
      <c r="K1152" t="s">
        <v>179</v>
      </c>
      <c r="L1152" t="str">
        <f>_xlfn.XLOOKUP(C1152, Table2[Species],Table2[Genus], "Code Not Found")</f>
        <v>Acer</v>
      </c>
      <c r="M1152" t="str">
        <f>_xlfn.XLOOKUP(C1152, Table2[Species],Table2[Sp. Name], "Code Not Found")</f>
        <v>saccharum</v>
      </c>
      <c r="N1152" t="str">
        <f>_xlfn.XLOOKUP(C1152,Table2[Species],Table2[Family],"Code Not Found")</f>
        <v>Sapindaceae</v>
      </c>
      <c r="O1152" t="str" cm="1">
        <f t="array" ref="O1152">_xlfn.IFS(F1152="","",F1152&lt;=5,"0 to 5",F1152&lt;=10,"5.1 to 10",F1152&lt;=20,"10 to 20", F1152&lt;= 40, "20 to 40", F1152 &lt;= 50, "40 to 50", F1152 &gt; 50, "&gt;50" )</f>
        <v>0 to 5</v>
      </c>
    </row>
    <row r="1153" spans="1:15" ht="14.4" x14ac:dyDescent="0.3">
      <c r="A1153" t="s">
        <v>240</v>
      </c>
      <c r="B1153" s="1">
        <v>46190</v>
      </c>
      <c r="C1153" t="s">
        <v>16</v>
      </c>
      <c r="D1153">
        <v>1071</v>
      </c>
      <c r="E1153">
        <v>2</v>
      </c>
      <c r="F1153">
        <v>1.3</v>
      </c>
      <c r="G1153" t="s">
        <v>267</v>
      </c>
      <c r="H1153" t="s">
        <v>43</v>
      </c>
      <c r="I1153" t="str">
        <f t="shared" si="19"/>
        <v>1071_2</v>
      </c>
      <c r="J1153" t="s">
        <v>241</v>
      </c>
      <c r="K1153" t="s">
        <v>179</v>
      </c>
      <c r="L1153" t="str">
        <f>_xlfn.XLOOKUP(C1153, Table2[Species],Table2[Genus], "Code Not Found")</f>
        <v>Acer</v>
      </c>
      <c r="M1153" t="str">
        <f>_xlfn.XLOOKUP(C1153, Table2[Species],Table2[Sp. Name], "Code Not Found")</f>
        <v>saccharum</v>
      </c>
      <c r="N1153" t="str">
        <f>_xlfn.XLOOKUP(C1153,Table2[Species],Table2[Family],"Code Not Found")</f>
        <v>Sapindaceae</v>
      </c>
      <c r="O1153" t="str" cm="1">
        <f t="array" ref="O1153">_xlfn.IFS(F1153="","",F1153&lt;=5,"0 to 5",F1153&lt;=10,"5.1 to 10",F1153&lt;=20,"10 to 20", F1153&lt;= 40, "20 to 40", F1153 &lt;= 50, "40 to 50", F1153 &gt; 50, "&gt;50" )</f>
        <v>0 to 5</v>
      </c>
    </row>
    <row r="1154" spans="1:15" ht="14.4" x14ac:dyDescent="0.3">
      <c r="A1154" t="s">
        <v>240</v>
      </c>
      <c r="B1154" s="1">
        <v>46190</v>
      </c>
      <c r="C1154" t="s">
        <v>16</v>
      </c>
      <c r="D1154">
        <v>1072</v>
      </c>
      <c r="E1154">
        <v>1</v>
      </c>
      <c r="F1154">
        <v>15</v>
      </c>
      <c r="G1154" t="s">
        <v>94</v>
      </c>
      <c r="H1154" t="s">
        <v>262</v>
      </c>
      <c r="I1154" t="str">
        <f t="shared" si="19"/>
        <v>1072_1</v>
      </c>
      <c r="J1154" t="s">
        <v>241</v>
      </c>
      <c r="K1154" t="s">
        <v>179</v>
      </c>
      <c r="L1154" t="str">
        <f>_xlfn.XLOOKUP(C1154, Table2[Species],Table2[Genus], "Code Not Found")</f>
        <v>Acer</v>
      </c>
      <c r="M1154" t="str">
        <f>_xlfn.XLOOKUP(C1154, Table2[Species],Table2[Sp. Name], "Code Not Found")</f>
        <v>saccharum</v>
      </c>
      <c r="N1154" t="str">
        <f>_xlfn.XLOOKUP(C1154,Table2[Species],Table2[Family],"Code Not Found")</f>
        <v>Sapindaceae</v>
      </c>
      <c r="O1154" t="str" cm="1">
        <f t="array" ref="O1154">_xlfn.IFS(F1154="","",F1154&lt;=5,"0 to 5",F1154&lt;=10,"5.1 to 10",F1154&lt;=20,"10 to 20", F1154&lt;= 40, "20 to 40", F1154 &lt;= 50, "40 to 50", F1154 &gt; 50, "&gt;50" )</f>
        <v>10 to 20</v>
      </c>
    </row>
    <row r="1155" spans="1:15" ht="14.4" x14ac:dyDescent="0.3">
      <c r="A1155" t="s">
        <v>240</v>
      </c>
      <c r="B1155" s="1">
        <v>46190</v>
      </c>
      <c r="C1155" t="s">
        <v>16</v>
      </c>
      <c r="D1155">
        <v>1073</v>
      </c>
      <c r="E1155">
        <v>1</v>
      </c>
      <c r="F1155">
        <v>4</v>
      </c>
      <c r="G1155" t="s">
        <v>21</v>
      </c>
      <c r="I1155" t="str">
        <f t="shared" si="19"/>
        <v>1073_1</v>
      </c>
      <c r="J1155" t="s">
        <v>241</v>
      </c>
      <c r="K1155" t="s">
        <v>179</v>
      </c>
      <c r="L1155" t="str">
        <f>_xlfn.XLOOKUP(C1155, Table2[Species],Table2[Genus], "Code Not Found")</f>
        <v>Acer</v>
      </c>
      <c r="M1155" t="str">
        <f>_xlfn.XLOOKUP(C1155, Table2[Species],Table2[Sp. Name], "Code Not Found")</f>
        <v>saccharum</v>
      </c>
      <c r="N1155" t="str">
        <f>_xlfn.XLOOKUP(C1155,Table2[Species],Table2[Family],"Code Not Found")</f>
        <v>Sapindaceae</v>
      </c>
      <c r="O1155" t="str" cm="1">
        <f t="array" ref="O1155">_xlfn.IFS(F1155="","",F1155&lt;=5,"0 to 5",F1155&lt;=10,"5.1 to 10",F1155&lt;=20,"10 to 20", F1155&lt;= 40, "20 to 40", F1155 &lt;= 50, "40 to 50", F1155 &gt; 50, "&gt;50" )</f>
        <v>0 to 5</v>
      </c>
    </row>
    <row r="1156" spans="1:15" ht="14.4" x14ac:dyDescent="0.3">
      <c r="A1156" t="s">
        <v>240</v>
      </c>
      <c r="B1156" s="1">
        <v>46190</v>
      </c>
      <c r="C1156" t="s">
        <v>16</v>
      </c>
      <c r="D1156">
        <v>1074</v>
      </c>
      <c r="E1156">
        <v>1</v>
      </c>
      <c r="F1156">
        <v>9.8000000000000007</v>
      </c>
      <c r="G1156" t="s">
        <v>94</v>
      </c>
      <c r="H1156" t="s">
        <v>244</v>
      </c>
      <c r="I1156" t="str">
        <f t="shared" si="19"/>
        <v>1074_1</v>
      </c>
      <c r="J1156" t="s">
        <v>241</v>
      </c>
      <c r="K1156" t="s">
        <v>179</v>
      </c>
      <c r="L1156" t="str">
        <f>_xlfn.XLOOKUP(C1156, Table2[Species],Table2[Genus], "Code Not Found")</f>
        <v>Acer</v>
      </c>
      <c r="M1156" t="str">
        <f>_xlfn.XLOOKUP(C1156, Table2[Species],Table2[Sp. Name], "Code Not Found")</f>
        <v>saccharum</v>
      </c>
      <c r="N1156" t="str">
        <f>_xlfn.XLOOKUP(C1156,Table2[Species],Table2[Family],"Code Not Found")</f>
        <v>Sapindaceae</v>
      </c>
      <c r="O1156" t="str" cm="1">
        <f t="array" ref="O1156">_xlfn.IFS(F1156="","",F1156&lt;=5,"0 to 5",F1156&lt;=10,"5.1 to 10",F1156&lt;=20,"10 to 20", F1156&lt;= 40, "20 to 40", F1156 &lt;= 50, "40 to 50", F1156 &gt; 50, "&gt;50" )</f>
        <v>5.1 to 10</v>
      </c>
    </row>
    <row r="1157" spans="1:15" ht="14.4" x14ac:dyDescent="0.3">
      <c r="A1157" t="s">
        <v>240</v>
      </c>
      <c r="B1157" s="1">
        <v>46190</v>
      </c>
      <c r="C1157" t="s">
        <v>16</v>
      </c>
      <c r="D1157">
        <v>1075</v>
      </c>
      <c r="E1157">
        <v>1</v>
      </c>
      <c r="F1157">
        <v>3.3</v>
      </c>
      <c r="G1157" t="s">
        <v>17</v>
      </c>
      <c r="H1157" t="s">
        <v>36</v>
      </c>
      <c r="I1157" t="str">
        <f t="shared" si="19"/>
        <v>1075_1</v>
      </c>
      <c r="J1157" t="s">
        <v>241</v>
      </c>
      <c r="K1157" t="s">
        <v>179</v>
      </c>
      <c r="L1157" t="str">
        <f>_xlfn.XLOOKUP(C1157, Table2[Species],Table2[Genus], "Code Not Found")</f>
        <v>Acer</v>
      </c>
      <c r="M1157" t="str">
        <f>_xlfn.XLOOKUP(C1157, Table2[Species],Table2[Sp. Name], "Code Not Found")</f>
        <v>saccharum</v>
      </c>
      <c r="N1157" t="str">
        <f>_xlfn.XLOOKUP(C1157,Table2[Species],Table2[Family],"Code Not Found")</f>
        <v>Sapindaceae</v>
      </c>
      <c r="O1157" t="str" cm="1">
        <f t="array" ref="O1157">_xlfn.IFS(F1157="","",F1157&lt;=5,"0 to 5",F1157&lt;=10,"5.1 to 10",F1157&lt;=20,"10 to 20", F1157&lt;= 40, "20 to 40", F1157 &lt;= 50, "40 to 50", F1157 &gt; 50, "&gt;50" )</f>
        <v>0 to 5</v>
      </c>
    </row>
    <row r="1158" spans="1:15" ht="14.4" x14ac:dyDescent="0.3">
      <c r="A1158" t="s">
        <v>240</v>
      </c>
      <c r="B1158" s="1">
        <v>46190</v>
      </c>
      <c r="C1158" t="s">
        <v>16</v>
      </c>
      <c r="D1158">
        <v>1117</v>
      </c>
      <c r="E1158">
        <v>1</v>
      </c>
      <c r="F1158">
        <v>2</v>
      </c>
      <c r="G1158" t="s">
        <v>268</v>
      </c>
      <c r="I1158" t="str">
        <f t="shared" si="19"/>
        <v>1117_1</v>
      </c>
      <c r="J1158" t="s">
        <v>241</v>
      </c>
      <c r="K1158" t="s">
        <v>179</v>
      </c>
      <c r="L1158" t="str">
        <f>_xlfn.XLOOKUP(C1158, Table2[Species],Table2[Genus], "Code Not Found")</f>
        <v>Acer</v>
      </c>
      <c r="M1158" t="str">
        <f>_xlfn.XLOOKUP(C1158, Table2[Species],Table2[Sp. Name], "Code Not Found")</f>
        <v>saccharum</v>
      </c>
      <c r="N1158" t="str">
        <f>_xlfn.XLOOKUP(C1158,Table2[Species],Table2[Family],"Code Not Found")</f>
        <v>Sapindaceae</v>
      </c>
      <c r="O1158" t="str" cm="1">
        <f t="array" ref="O1158">_xlfn.IFS(F1158="","",F1158&lt;=5,"0 to 5",F1158&lt;=10,"5.1 to 10",F1158&lt;=20,"10 to 20", F1158&lt;= 40, "20 to 40", F1158 &lt;= 50, "40 to 50", F1158 &gt; 50, "&gt;50" )</f>
        <v>0 to 5</v>
      </c>
    </row>
    <row r="1159" spans="1:15" ht="14.4" x14ac:dyDescent="0.3">
      <c r="A1159" t="s">
        <v>240</v>
      </c>
      <c r="B1159" s="1">
        <v>46190</v>
      </c>
      <c r="C1159" t="s">
        <v>16</v>
      </c>
      <c r="D1159">
        <v>1117</v>
      </c>
      <c r="E1159">
        <v>2</v>
      </c>
      <c r="F1159">
        <v>1.6</v>
      </c>
      <c r="G1159" t="s">
        <v>268</v>
      </c>
      <c r="I1159" t="str">
        <f t="shared" si="19"/>
        <v>1117_2</v>
      </c>
      <c r="J1159" t="s">
        <v>241</v>
      </c>
      <c r="K1159" t="s">
        <v>179</v>
      </c>
      <c r="L1159" t="str">
        <f>_xlfn.XLOOKUP(C1159, Table2[Species],Table2[Genus], "Code Not Found")</f>
        <v>Acer</v>
      </c>
      <c r="M1159" t="str">
        <f>_xlfn.XLOOKUP(C1159, Table2[Species],Table2[Sp. Name], "Code Not Found")</f>
        <v>saccharum</v>
      </c>
      <c r="N1159" t="str">
        <f>_xlfn.XLOOKUP(C1159,Table2[Species],Table2[Family],"Code Not Found")</f>
        <v>Sapindaceae</v>
      </c>
      <c r="O1159" t="str" cm="1">
        <f t="array" ref="O1159">_xlfn.IFS(F1159="","",F1159&lt;=5,"0 to 5",F1159&lt;=10,"5.1 to 10",F1159&lt;=20,"10 to 20", F1159&lt;= 40, "20 to 40", F1159 &lt;= 50, "40 to 50", F1159 &gt; 50, "&gt;50" )</f>
        <v>0 to 5</v>
      </c>
    </row>
    <row r="1160" spans="1:15" ht="14.4" x14ac:dyDescent="0.3">
      <c r="A1160" t="s">
        <v>240</v>
      </c>
      <c r="B1160" s="1">
        <v>46190</v>
      </c>
      <c r="C1160" t="s">
        <v>16</v>
      </c>
      <c r="D1160">
        <v>1076</v>
      </c>
      <c r="E1160">
        <v>1</v>
      </c>
      <c r="F1160">
        <v>10.6</v>
      </c>
      <c r="G1160" t="s">
        <v>30</v>
      </c>
      <c r="H1160" t="s">
        <v>269</v>
      </c>
      <c r="I1160" t="str">
        <f t="shared" si="19"/>
        <v>1076_1</v>
      </c>
      <c r="J1160" t="s">
        <v>241</v>
      </c>
      <c r="K1160" t="s">
        <v>179</v>
      </c>
      <c r="L1160" t="str">
        <f>_xlfn.XLOOKUP(C1160, Table2[Species],Table2[Genus], "Code Not Found")</f>
        <v>Acer</v>
      </c>
      <c r="M1160" t="str">
        <f>_xlfn.XLOOKUP(C1160, Table2[Species],Table2[Sp. Name], "Code Not Found")</f>
        <v>saccharum</v>
      </c>
      <c r="N1160" t="str">
        <f>_xlfn.XLOOKUP(C1160,Table2[Species],Table2[Family],"Code Not Found")</f>
        <v>Sapindaceae</v>
      </c>
      <c r="O1160" t="str" cm="1">
        <f t="array" ref="O1160">_xlfn.IFS(F1160="","",F1160&lt;=5,"0 to 5",F1160&lt;=10,"5.1 to 10",F1160&lt;=20,"10 to 20", F1160&lt;= 40, "20 to 40", F1160 &lt;= 50, "40 to 50", F1160 &gt; 50, "&gt;50" )</f>
        <v>10 to 20</v>
      </c>
    </row>
    <row r="1161" spans="1:15" ht="14.4" x14ac:dyDescent="0.3">
      <c r="A1161" t="s">
        <v>240</v>
      </c>
      <c r="B1161" s="1">
        <v>46190</v>
      </c>
      <c r="C1161" t="s">
        <v>16</v>
      </c>
      <c r="D1161">
        <v>1077</v>
      </c>
      <c r="E1161">
        <v>1</v>
      </c>
      <c r="F1161">
        <v>9.4</v>
      </c>
      <c r="G1161" t="s">
        <v>21</v>
      </c>
      <c r="I1161" t="str">
        <f t="shared" si="19"/>
        <v>1077_1</v>
      </c>
      <c r="J1161" t="s">
        <v>241</v>
      </c>
      <c r="K1161" t="s">
        <v>179</v>
      </c>
      <c r="L1161" t="str">
        <f>_xlfn.XLOOKUP(C1161, Table2[Species],Table2[Genus], "Code Not Found")</f>
        <v>Acer</v>
      </c>
      <c r="M1161" t="str">
        <f>_xlfn.XLOOKUP(C1161, Table2[Species],Table2[Sp. Name], "Code Not Found")</f>
        <v>saccharum</v>
      </c>
      <c r="N1161" t="str">
        <f>_xlfn.XLOOKUP(C1161,Table2[Species],Table2[Family],"Code Not Found")</f>
        <v>Sapindaceae</v>
      </c>
      <c r="O1161" t="str" cm="1">
        <f t="array" ref="O1161">_xlfn.IFS(F1161="","",F1161&lt;=5,"0 to 5",F1161&lt;=10,"5.1 to 10",F1161&lt;=20,"10 to 20", F1161&lt;= 40, "20 to 40", F1161 &lt;= 50, "40 to 50", F1161 &gt; 50, "&gt;50" )</f>
        <v>5.1 to 10</v>
      </c>
    </row>
    <row r="1162" spans="1:15" ht="14.4" x14ac:dyDescent="0.3">
      <c r="A1162" t="s">
        <v>240</v>
      </c>
      <c r="B1162" s="1">
        <v>46190</v>
      </c>
      <c r="C1162" t="s">
        <v>16</v>
      </c>
      <c r="D1162">
        <v>1078</v>
      </c>
      <c r="E1162">
        <v>1</v>
      </c>
      <c r="F1162">
        <v>13.1</v>
      </c>
      <c r="G1162" t="s">
        <v>17</v>
      </c>
      <c r="H1162" t="s">
        <v>36</v>
      </c>
      <c r="I1162" t="str">
        <f t="shared" si="19"/>
        <v>1078_1</v>
      </c>
      <c r="J1162" t="s">
        <v>241</v>
      </c>
      <c r="K1162" t="s">
        <v>179</v>
      </c>
      <c r="L1162" t="str">
        <f>_xlfn.XLOOKUP(C1162, Table2[Species],Table2[Genus], "Code Not Found")</f>
        <v>Acer</v>
      </c>
      <c r="M1162" t="str">
        <f>_xlfn.XLOOKUP(C1162, Table2[Species],Table2[Sp. Name], "Code Not Found")</f>
        <v>saccharum</v>
      </c>
      <c r="N1162" t="str">
        <f>_xlfn.XLOOKUP(C1162,Table2[Species],Table2[Family],"Code Not Found")</f>
        <v>Sapindaceae</v>
      </c>
      <c r="O1162" t="str" cm="1">
        <f t="array" ref="O1162">_xlfn.IFS(F1162="","",F1162&lt;=5,"0 to 5",F1162&lt;=10,"5.1 to 10",F1162&lt;=20,"10 to 20", F1162&lt;= 40, "20 to 40", F1162 &lt;= 50, "40 to 50", F1162 &gt; 50, "&gt;50" )</f>
        <v>10 to 20</v>
      </c>
    </row>
    <row r="1163" spans="1:15" ht="14.4" x14ac:dyDescent="0.3">
      <c r="A1163" t="s">
        <v>240</v>
      </c>
      <c r="B1163" s="1">
        <v>46190</v>
      </c>
      <c r="C1163" t="s">
        <v>16</v>
      </c>
      <c r="D1163">
        <v>1079</v>
      </c>
      <c r="E1163">
        <v>1</v>
      </c>
      <c r="F1163">
        <v>26.3</v>
      </c>
      <c r="G1163" t="s">
        <v>21</v>
      </c>
      <c r="I1163" t="str">
        <f t="shared" si="19"/>
        <v>1079_1</v>
      </c>
      <c r="J1163" t="s">
        <v>241</v>
      </c>
      <c r="K1163" t="s">
        <v>179</v>
      </c>
      <c r="L1163" t="str">
        <f>_xlfn.XLOOKUP(C1163, Table2[Species],Table2[Genus], "Code Not Found")</f>
        <v>Acer</v>
      </c>
      <c r="M1163" t="str">
        <f>_xlfn.XLOOKUP(C1163, Table2[Species],Table2[Sp. Name], "Code Not Found")</f>
        <v>saccharum</v>
      </c>
      <c r="N1163" t="str">
        <f>_xlfn.XLOOKUP(C1163,Table2[Species],Table2[Family],"Code Not Found")</f>
        <v>Sapindaceae</v>
      </c>
      <c r="O1163" t="str" cm="1">
        <f t="array" ref="O1163">_xlfn.IFS(F1163="","",F1163&lt;=5,"0 to 5",F1163&lt;=10,"5.1 to 10",F1163&lt;=20,"10 to 20", F1163&lt;= 40, "20 to 40", F1163 &lt;= 50, "40 to 50", F1163 &gt; 50, "&gt;50" )</f>
        <v>20 to 40</v>
      </c>
    </row>
    <row r="1164" spans="1:15" ht="14.4" x14ac:dyDescent="0.3">
      <c r="A1164" t="s">
        <v>240</v>
      </c>
      <c r="B1164" s="1">
        <v>46190</v>
      </c>
      <c r="C1164" t="s">
        <v>16</v>
      </c>
      <c r="D1164">
        <v>1080</v>
      </c>
      <c r="E1164">
        <v>1</v>
      </c>
      <c r="F1164">
        <v>3.1</v>
      </c>
      <c r="G1164" t="s">
        <v>17</v>
      </c>
      <c r="I1164" t="str">
        <f t="shared" si="19"/>
        <v>1080_1</v>
      </c>
      <c r="J1164" t="s">
        <v>241</v>
      </c>
      <c r="K1164" t="s">
        <v>179</v>
      </c>
      <c r="L1164" t="str">
        <f>_xlfn.XLOOKUP(C1164, Table2[Species],Table2[Genus], "Code Not Found")</f>
        <v>Acer</v>
      </c>
      <c r="M1164" t="str">
        <f>_xlfn.XLOOKUP(C1164, Table2[Species],Table2[Sp. Name], "Code Not Found")</f>
        <v>saccharum</v>
      </c>
      <c r="N1164" t="str">
        <f>_xlfn.XLOOKUP(C1164,Table2[Species],Table2[Family],"Code Not Found")</f>
        <v>Sapindaceae</v>
      </c>
      <c r="O1164" t="str" cm="1">
        <f t="array" ref="O1164">_xlfn.IFS(F1164="","",F1164&lt;=5,"0 to 5",F1164&lt;=10,"5.1 to 10",F1164&lt;=20,"10 to 20", F1164&lt;= 40, "20 to 40", F1164 &lt;= 50, "40 to 50", F1164 &gt; 50, "&gt;50" )</f>
        <v>0 to 5</v>
      </c>
    </row>
    <row r="1165" spans="1:15" ht="14.4" x14ac:dyDescent="0.3">
      <c r="A1165" t="s">
        <v>240</v>
      </c>
      <c r="B1165" s="1">
        <v>46190</v>
      </c>
      <c r="C1165" t="s">
        <v>180</v>
      </c>
      <c r="D1165">
        <v>1081</v>
      </c>
      <c r="E1165">
        <v>1</v>
      </c>
      <c r="F1165">
        <v>88.7</v>
      </c>
      <c r="G1165" t="s">
        <v>30</v>
      </c>
      <c r="H1165" t="s">
        <v>270</v>
      </c>
      <c r="I1165" t="str">
        <f t="shared" si="19"/>
        <v>1081_1</v>
      </c>
      <c r="J1165" t="s">
        <v>241</v>
      </c>
      <c r="K1165" t="s">
        <v>179</v>
      </c>
      <c r="L1165" t="str">
        <f>_xlfn.XLOOKUP(C1165, Table2[Species],Table2[Genus], "Code Not Found")</f>
        <v>Tilia</v>
      </c>
      <c r="M1165" t="str">
        <f>_xlfn.XLOOKUP(C1165, Table2[Species],Table2[Sp. Name], "Code Not Found")</f>
        <v>americana</v>
      </c>
      <c r="N1165" t="str">
        <f>_xlfn.XLOOKUP(C1165,Table2[Species],Table2[Family],"Code Not Found")</f>
        <v>Malvaceae</v>
      </c>
      <c r="O1165" t="str" cm="1">
        <f t="array" ref="O1165">_xlfn.IFS(F1165="","",F1165&lt;=5,"0 to 5",F1165&lt;=10,"5.1 to 10",F1165&lt;=20,"10 to 20", F1165&lt;= 40, "20 to 40", F1165 &lt;= 50, "40 to 50", F1165 &gt; 50, "&gt;50" )</f>
        <v>&gt;50</v>
      </c>
    </row>
    <row r="1166" spans="1:15" ht="14.4" x14ac:dyDescent="0.3">
      <c r="A1166" t="s">
        <v>240</v>
      </c>
      <c r="B1166" s="1">
        <v>46190</v>
      </c>
      <c r="C1166" t="s">
        <v>16</v>
      </c>
      <c r="D1166">
        <v>1082</v>
      </c>
      <c r="E1166">
        <v>1</v>
      </c>
      <c r="F1166">
        <v>3.8</v>
      </c>
      <c r="G1166" t="s">
        <v>30</v>
      </c>
      <c r="H1166" t="s">
        <v>99</v>
      </c>
      <c r="I1166" t="str">
        <f t="shared" si="19"/>
        <v>1082_1</v>
      </c>
      <c r="J1166" t="s">
        <v>241</v>
      </c>
      <c r="K1166" t="s">
        <v>179</v>
      </c>
      <c r="L1166" t="str">
        <f>_xlfn.XLOOKUP(C1166, Table2[Species],Table2[Genus], "Code Not Found")</f>
        <v>Acer</v>
      </c>
      <c r="M1166" t="str">
        <f>_xlfn.XLOOKUP(C1166, Table2[Species],Table2[Sp. Name], "Code Not Found")</f>
        <v>saccharum</v>
      </c>
      <c r="N1166" t="str">
        <f>_xlfn.XLOOKUP(C1166,Table2[Species],Table2[Family],"Code Not Found")</f>
        <v>Sapindaceae</v>
      </c>
      <c r="O1166" t="str" cm="1">
        <f t="array" ref="O1166">_xlfn.IFS(F1166="","",F1166&lt;=5,"0 to 5",F1166&lt;=10,"5.1 to 10",F1166&lt;=20,"10 to 20", F1166&lt;= 40, "20 to 40", F1166 &lt;= 50, "40 to 50", F1166 &gt; 50, "&gt;50" )</f>
        <v>0 to 5</v>
      </c>
    </row>
    <row r="1167" spans="1:15" ht="14.4" x14ac:dyDescent="0.3">
      <c r="A1167" t="s">
        <v>240</v>
      </c>
      <c r="B1167" s="1">
        <v>46190</v>
      </c>
      <c r="C1167" t="s">
        <v>16</v>
      </c>
      <c r="D1167">
        <v>1083</v>
      </c>
      <c r="E1167">
        <v>1</v>
      </c>
      <c r="F1167">
        <v>23.7</v>
      </c>
      <c r="G1167" t="s">
        <v>32</v>
      </c>
      <c r="I1167" t="str">
        <f t="shared" si="19"/>
        <v>1083_1</v>
      </c>
      <c r="J1167" t="s">
        <v>241</v>
      </c>
      <c r="K1167" t="s">
        <v>179</v>
      </c>
      <c r="L1167" t="str">
        <f>_xlfn.XLOOKUP(C1167, Table2[Species],Table2[Genus], "Code Not Found")</f>
        <v>Acer</v>
      </c>
      <c r="M1167" t="str">
        <f>_xlfn.XLOOKUP(C1167, Table2[Species],Table2[Sp. Name], "Code Not Found")</f>
        <v>saccharum</v>
      </c>
      <c r="N1167" t="str">
        <f>_xlfn.XLOOKUP(C1167,Table2[Species],Table2[Family],"Code Not Found")</f>
        <v>Sapindaceae</v>
      </c>
      <c r="O1167" t="str" cm="1">
        <f t="array" ref="O1167">_xlfn.IFS(F1167="","",F1167&lt;=5,"0 to 5",F1167&lt;=10,"5.1 to 10",F1167&lt;=20,"10 to 20", F1167&lt;= 40, "20 to 40", F1167 &lt;= 50, "40 to 50", F1167 &gt; 50, "&gt;50" )</f>
        <v>20 to 40</v>
      </c>
    </row>
    <row r="1168" spans="1:15" ht="14.4" x14ac:dyDescent="0.3">
      <c r="A1168" t="s">
        <v>240</v>
      </c>
      <c r="B1168" s="1">
        <v>46190</v>
      </c>
      <c r="C1168" t="s">
        <v>16</v>
      </c>
      <c r="D1168">
        <v>1083</v>
      </c>
      <c r="E1168">
        <v>2</v>
      </c>
      <c r="F1168">
        <v>2.6</v>
      </c>
      <c r="G1168" t="s">
        <v>32</v>
      </c>
      <c r="H1168" t="s">
        <v>271</v>
      </c>
      <c r="I1168" t="str">
        <f t="shared" si="19"/>
        <v>1083_2</v>
      </c>
      <c r="J1168" t="s">
        <v>241</v>
      </c>
      <c r="K1168" t="s">
        <v>179</v>
      </c>
      <c r="L1168" t="str">
        <f>_xlfn.XLOOKUP(C1168, Table2[Species],Table2[Genus], "Code Not Found")</f>
        <v>Acer</v>
      </c>
      <c r="M1168" t="str">
        <f>_xlfn.XLOOKUP(C1168, Table2[Species],Table2[Sp. Name], "Code Not Found")</f>
        <v>saccharum</v>
      </c>
      <c r="N1168" t="str">
        <f>_xlfn.XLOOKUP(C1168,Table2[Species],Table2[Family],"Code Not Found")</f>
        <v>Sapindaceae</v>
      </c>
      <c r="O1168" t="str" cm="1">
        <f t="array" ref="O1168">_xlfn.IFS(F1168="","",F1168&lt;=5,"0 to 5",F1168&lt;=10,"5.1 to 10",F1168&lt;=20,"10 to 20", F1168&lt;= 40, "20 to 40", F1168 &lt;= 50, "40 to 50", F1168 &gt; 50, "&gt;50" )</f>
        <v>0 to 5</v>
      </c>
    </row>
    <row r="1169" spans="1:15" ht="14.4" x14ac:dyDescent="0.3">
      <c r="A1169" t="s">
        <v>240</v>
      </c>
      <c r="B1169" s="1">
        <v>46190</v>
      </c>
      <c r="C1169" t="s">
        <v>55</v>
      </c>
      <c r="D1169">
        <v>1084</v>
      </c>
      <c r="E1169">
        <v>1</v>
      </c>
      <c r="F1169">
        <v>2.5</v>
      </c>
      <c r="G1169" t="s">
        <v>21</v>
      </c>
      <c r="H1169" t="s">
        <v>272</v>
      </c>
      <c r="I1169" t="str">
        <f t="shared" si="19"/>
        <v>1084_1</v>
      </c>
      <c r="J1169" t="s">
        <v>241</v>
      </c>
      <c r="K1169" t="s">
        <v>179</v>
      </c>
      <c r="L1169" t="str">
        <f>_xlfn.XLOOKUP(C1169, Table2[Species],Table2[Genus], "Code Not Found")</f>
        <v>Magnolia</v>
      </c>
      <c r="M1169" t="str">
        <f>_xlfn.XLOOKUP(C1169, Table2[Species],Table2[Sp. Name], "Code Not Found")</f>
        <v>acuminata</v>
      </c>
      <c r="N1169" t="str">
        <f>_xlfn.XLOOKUP(C1169,Table2[Species],Table2[Family],"Code Not Found")</f>
        <v>Magnoliaceae</v>
      </c>
      <c r="O1169" t="str" cm="1">
        <f t="array" ref="O1169">_xlfn.IFS(F1169="","",F1169&lt;=5,"0 to 5",F1169&lt;=10,"5.1 to 10",F1169&lt;=20,"10 to 20", F1169&lt;= 40, "20 to 40", F1169 &lt;= 50, "40 to 50", F1169 &gt; 50, "&gt;50" )</f>
        <v>0 to 5</v>
      </c>
    </row>
    <row r="1170" spans="1:15" ht="14.4" x14ac:dyDescent="0.3">
      <c r="A1170" t="s">
        <v>240</v>
      </c>
      <c r="B1170" s="1">
        <v>46190</v>
      </c>
      <c r="C1170" t="s">
        <v>55</v>
      </c>
      <c r="D1170">
        <v>1085</v>
      </c>
      <c r="E1170">
        <v>1</v>
      </c>
      <c r="F1170">
        <v>1.5</v>
      </c>
      <c r="G1170" t="s">
        <v>138</v>
      </c>
      <c r="I1170" t="str">
        <f t="shared" si="19"/>
        <v>1085_1</v>
      </c>
      <c r="J1170" t="s">
        <v>241</v>
      </c>
      <c r="K1170" t="s">
        <v>179</v>
      </c>
      <c r="L1170" t="str">
        <f>_xlfn.XLOOKUP(C1170, Table2[Species],Table2[Genus], "Code Not Found")</f>
        <v>Magnolia</v>
      </c>
      <c r="M1170" t="str">
        <f>_xlfn.XLOOKUP(C1170, Table2[Species],Table2[Sp. Name], "Code Not Found")</f>
        <v>acuminata</v>
      </c>
      <c r="N1170" t="str">
        <f>_xlfn.XLOOKUP(C1170,Table2[Species],Table2[Family],"Code Not Found")</f>
        <v>Magnoliaceae</v>
      </c>
      <c r="O1170" t="str" cm="1">
        <f t="array" ref="O1170">_xlfn.IFS(F1170="","",F1170&lt;=5,"0 to 5",F1170&lt;=10,"5.1 to 10",F1170&lt;=20,"10 to 20", F1170&lt;= 40, "20 to 40", F1170 &lt;= 50, "40 to 50", F1170 &gt; 50, "&gt;50" )</f>
        <v>0 to 5</v>
      </c>
    </row>
    <row r="1171" spans="1:15" ht="14.4" x14ac:dyDescent="0.3">
      <c r="A1171" t="s">
        <v>240</v>
      </c>
      <c r="B1171" s="1">
        <v>46190</v>
      </c>
      <c r="C1171" t="s">
        <v>16</v>
      </c>
      <c r="D1171">
        <v>1086</v>
      </c>
      <c r="E1171">
        <v>1</v>
      </c>
      <c r="F1171">
        <v>2.6</v>
      </c>
      <c r="G1171" t="s">
        <v>21</v>
      </c>
      <c r="I1171" t="str">
        <f t="shared" si="19"/>
        <v>1086_1</v>
      </c>
      <c r="J1171" t="s">
        <v>241</v>
      </c>
      <c r="K1171" t="s">
        <v>179</v>
      </c>
      <c r="L1171" t="str">
        <f>_xlfn.XLOOKUP(C1171, Table2[Species],Table2[Genus], "Code Not Found")</f>
        <v>Acer</v>
      </c>
      <c r="M1171" t="str">
        <f>_xlfn.XLOOKUP(C1171, Table2[Species],Table2[Sp. Name], "Code Not Found")</f>
        <v>saccharum</v>
      </c>
      <c r="N1171" t="str">
        <f>_xlfn.XLOOKUP(C1171,Table2[Species],Table2[Family],"Code Not Found")</f>
        <v>Sapindaceae</v>
      </c>
      <c r="O1171" t="str" cm="1">
        <f t="array" ref="O1171">_xlfn.IFS(F1171="","",F1171&lt;=5,"0 to 5",F1171&lt;=10,"5.1 to 10",F1171&lt;=20,"10 to 20", F1171&lt;= 40, "20 to 40", F1171 &lt;= 50, "40 to 50", F1171 &gt; 50, "&gt;50" )</f>
        <v>0 to 5</v>
      </c>
    </row>
    <row r="1172" spans="1:15" ht="14.4" x14ac:dyDescent="0.3">
      <c r="A1172" t="s">
        <v>240</v>
      </c>
      <c r="B1172" s="1">
        <v>46190</v>
      </c>
      <c r="C1172" t="s">
        <v>64</v>
      </c>
      <c r="D1172">
        <v>1087</v>
      </c>
      <c r="E1172">
        <v>1</v>
      </c>
      <c r="F1172">
        <v>24.5</v>
      </c>
      <c r="G1172" t="s">
        <v>32</v>
      </c>
      <c r="H1172" t="s">
        <v>273</v>
      </c>
      <c r="I1172" t="str">
        <f t="shared" si="19"/>
        <v>1087_1</v>
      </c>
      <c r="J1172" t="s">
        <v>241</v>
      </c>
      <c r="K1172" t="s">
        <v>179</v>
      </c>
      <c r="L1172" t="str">
        <f>_xlfn.XLOOKUP(C1172, Table2[Species],Table2[Genus], "Code Not Found")</f>
        <v>Fagus</v>
      </c>
      <c r="M1172" t="str">
        <f>_xlfn.XLOOKUP(C1172, Table2[Species],Table2[Sp. Name], "Code Not Found")</f>
        <v>grandifolia</v>
      </c>
      <c r="N1172" t="str">
        <f>_xlfn.XLOOKUP(C1172,Table2[Species],Table2[Family],"Code Not Found")</f>
        <v>Fagaceae</v>
      </c>
      <c r="O1172" t="str" cm="1">
        <f t="array" ref="O1172">_xlfn.IFS(F1172="","",F1172&lt;=5,"0 to 5",F1172&lt;=10,"5.1 to 10",F1172&lt;=20,"10 to 20", F1172&lt;= 40, "20 to 40", F1172 &lt;= 50, "40 to 50", F1172 &gt; 50, "&gt;50" )</f>
        <v>20 to 40</v>
      </c>
    </row>
    <row r="1173" spans="1:15" ht="14.4" x14ac:dyDescent="0.3">
      <c r="A1173" t="s">
        <v>240</v>
      </c>
      <c r="B1173" s="1">
        <v>46190</v>
      </c>
      <c r="C1173" t="s">
        <v>64</v>
      </c>
      <c r="D1173">
        <v>1087</v>
      </c>
      <c r="E1173">
        <v>2.1</v>
      </c>
      <c r="F1173">
        <v>1.4</v>
      </c>
      <c r="G1173" t="s">
        <v>32</v>
      </c>
      <c r="I1173" t="str">
        <f t="shared" si="19"/>
        <v>1087_2.1</v>
      </c>
      <c r="J1173" t="s">
        <v>241</v>
      </c>
      <c r="K1173" t="s">
        <v>179</v>
      </c>
      <c r="L1173" t="str">
        <f>_xlfn.XLOOKUP(C1173, Table2[Species],Table2[Genus], "Code Not Found")</f>
        <v>Fagus</v>
      </c>
      <c r="M1173" t="str">
        <f>_xlfn.XLOOKUP(C1173, Table2[Species],Table2[Sp. Name], "Code Not Found")</f>
        <v>grandifolia</v>
      </c>
      <c r="N1173" t="str">
        <f>_xlfn.XLOOKUP(C1173,Table2[Species],Table2[Family],"Code Not Found")</f>
        <v>Fagaceae</v>
      </c>
      <c r="O1173" t="str" cm="1">
        <f t="array" ref="O1173">_xlfn.IFS(F1173="","",F1173&lt;=5,"0 to 5",F1173&lt;=10,"5.1 to 10",F1173&lt;=20,"10 to 20", F1173&lt;= 40, "20 to 40", F1173 &lt;= 50, "40 to 50", F1173 &gt; 50, "&gt;50" )</f>
        <v>0 to 5</v>
      </c>
    </row>
    <row r="1174" spans="1:15" ht="14.4" x14ac:dyDescent="0.3">
      <c r="A1174" t="s">
        <v>240</v>
      </c>
      <c r="B1174" s="1">
        <v>46190</v>
      </c>
      <c r="C1174" t="s">
        <v>64</v>
      </c>
      <c r="D1174">
        <v>1087</v>
      </c>
      <c r="E1174">
        <v>2.2000000000000002</v>
      </c>
      <c r="F1174">
        <v>1.2</v>
      </c>
      <c r="G1174" t="s">
        <v>32</v>
      </c>
      <c r="I1174" t="str">
        <f t="shared" si="19"/>
        <v>1087_2.2</v>
      </c>
      <c r="J1174" t="s">
        <v>241</v>
      </c>
      <c r="K1174" t="s">
        <v>179</v>
      </c>
      <c r="L1174" t="str">
        <f>_xlfn.XLOOKUP(C1174, Table2[Species],Table2[Genus], "Code Not Found")</f>
        <v>Fagus</v>
      </c>
      <c r="M1174" t="str">
        <f>_xlfn.XLOOKUP(C1174, Table2[Species],Table2[Sp. Name], "Code Not Found")</f>
        <v>grandifolia</v>
      </c>
      <c r="N1174" t="str">
        <f>_xlfn.XLOOKUP(C1174,Table2[Species],Table2[Family],"Code Not Found")</f>
        <v>Fagaceae</v>
      </c>
      <c r="O1174" t="str" cm="1">
        <f t="array" ref="O1174">_xlfn.IFS(F1174="","",F1174&lt;=5,"0 to 5",F1174&lt;=10,"5.1 to 10",F1174&lt;=20,"10 to 20", F1174&lt;= 40, "20 to 40", F1174 &lt;= 50, "40 to 50", F1174 &gt; 50, "&gt;50" )</f>
        <v>0 to 5</v>
      </c>
    </row>
    <row r="1175" spans="1:15" ht="14.4" x14ac:dyDescent="0.3">
      <c r="A1175" t="s">
        <v>240</v>
      </c>
      <c r="B1175" s="1">
        <v>46190</v>
      </c>
      <c r="C1175" t="s">
        <v>64</v>
      </c>
      <c r="D1175">
        <v>1087</v>
      </c>
      <c r="E1175">
        <v>3.1</v>
      </c>
      <c r="F1175">
        <v>2</v>
      </c>
      <c r="G1175" t="s">
        <v>32</v>
      </c>
      <c r="I1175" t="str">
        <f t="shared" si="19"/>
        <v>1087_3.1</v>
      </c>
      <c r="J1175" t="s">
        <v>241</v>
      </c>
      <c r="K1175" t="s">
        <v>179</v>
      </c>
      <c r="L1175" t="str">
        <f>_xlfn.XLOOKUP(C1175, Table2[Species],Table2[Genus], "Code Not Found")</f>
        <v>Fagus</v>
      </c>
      <c r="M1175" t="str">
        <f>_xlfn.XLOOKUP(C1175, Table2[Species],Table2[Sp. Name], "Code Not Found")</f>
        <v>grandifolia</v>
      </c>
      <c r="N1175" t="str">
        <f>_xlfn.XLOOKUP(C1175,Table2[Species],Table2[Family],"Code Not Found")</f>
        <v>Fagaceae</v>
      </c>
      <c r="O1175" t="str" cm="1">
        <f t="array" ref="O1175">_xlfn.IFS(F1175="","",F1175&lt;=5,"0 to 5",F1175&lt;=10,"5.1 to 10",F1175&lt;=20,"10 to 20", F1175&lt;= 40, "20 to 40", F1175 &lt;= 50, "40 to 50", F1175 &gt; 50, "&gt;50" )</f>
        <v>0 to 5</v>
      </c>
    </row>
    <row r="1176" spans="1:15" ht="14.4" x14ac:dyDescent="0.3">
      <c r="A1176" t="s">
        <v>240</v>
      </c>
      <c r="B1176" s="1">
        <v>46190</v>
      </c>
      <c r="C1176" t="s">
        <v>64</v>
      </c>
      <c r="D1176">
        <v>1087</v>
      </c>
      <c r="E1176">
        <v>3.2</v>
      </c>
      <c r="F1176">
        <v>2</v>
      </c>
      <c r="G1176" t="s">
        <v>32</v>
      </c>
      <c r="I1176" t="str">
        <f t="shared" si="19"/>
        <v>1087_3.2</v>
      </c>
      <c r="J1176" t="s">
        <v>241</v>
      </c>
      <c r="K1176" t="s">
        <v>179</v>
      </c>
      <c r="L1176" t="str">
        <f>_xlfn.XLOOKUP(C1176, Table2[Species],Table2[Genus], "Code Not Found")</f>
        <v>Fagus</v>
      </c>
      <c r="M1176" t="str">
        <f>_xlfn.XLOOKUP(C1176, Table2[Species],Table2[Sp. Name], "Code Not Found")</f>
        <v>grandifolia</v>
      </c>
      <c r="N1176" t="str">
        <f>_xlfn.XLOOKUP(C1176,Table2[Species],Table2[Family],"Code Not Found")</f>
        <v>Fagaceae</v>
      </c>
      <c r="O1176" t="str" cm="1">
        <f t="array" ref="O1176">_xlfn.IFS(F1176="","",F1176&lt;=5,"0 to 5",F1176&lt;=10,"5.1 to 10",F1176&lt;=20,"10 to 20", F1176&lt;= 40, "20 to 40", F1176 &lt;= 50, "40 to 50", F1176 &gt; 50, "&gt;50" )</f>
        <v>0 to 5</v>
      </c>
    </row>
    <row r="1177" spans="1:15" ht="14.4" x14ac:dyDescent="0.3">
      <c r="A1177" t="s">
        <v>240</v>
      </c>
      <c r="B1177" s="1">
        <v>46190</v>
      </c>
      <c r="C1177" t="s">
        <v>64</v>
      </c>
      <c r="D1177">
        <v>1087</v>
      </c>
      <c r="E1177">
        <v>3.3</v>
      </c>
      <c r="F1177">
        <v>1.4</v>
      </c>
      <c r="G1177" t="s">
        <v>32</v>
      </c>
      <c r="I1177" t="str">
        <f t="shared" si="19"/>
        <v>1087_3.3</v>
      </c>
      <c r="J1177" t="s">
        <v>241</v>
      </c>
      <c r="K1177" t="s">
        <v>179</v>
      </c>
      <c r="L1177" t="str">
        <f>_xlfn.XLOOKUP(C1177, Table2[Species],Table2[Genus], "Code Not Found")</f>
        <v>Fagus</v>
      </c>
      <c r="M1177" t="str">
        <f>_xlfn.XLOOKUP(C1177, Table2[Species],Table2[Sp. Name], "Code Not Found")</f>
        <v>grandifolia</v>
      </c>
      <c r="N1177" t="str">
        <f>_xlfn.XLOOKUP(C1177,Table2[Species],Table2[Family],"Code Not Found")</f>
        <v>Fagaceae</v>
      </c>
      <c r="O1177" t="str" cm="1">
        <f t="array" ref="O1177">_xlfn.IFS(F1177="","",F1177&lt;=5,"0 to 5",F1177&lt;=10,"5.1 to 10",F1177&lt;=20,"10 to 20", F1177&lt;= 40, "20 to 40", F1177 &lt;= 50, "40 to 50", F1177 &gt; 50, "&gt;50" )</f>
        <v>0 to 5</v>
      </c>
    </row>
    <row r="1178" spans="1:15" ht="14.4" x14ac:dyDescent="0.3">
      <c r="A1178" t="s">
        <v>240</v>
      </c>
      <c r="B1178" s="1">
        <v>46190</v>
      </c>
      <c r="C1178" t="s">
        <v>64</v>
      </c>
      <c r="D1178">
        <v>1087</v>
      </c>
      <c r="E1178">
        <v>4</v>
      </c>
      <c r="F1178">
        <v>1.3</v>
      </c>
      <c r="G1178" t="s">
        <v>32</v>
      </c>
      <c r="I1178" t="str">
        <f t="shared" si="19"/>
        <v>1087_4</v>
      </c>
      <c r="J1178" t="s">
        <v>241</v>
      </c>
      <c r="K1178" t="s">
        <v>179</v>
      </c>
      <c r="L1178" t="str">
        <f>_xlfn.XLOOKUP(C1178, Table2[Species],Table2[Genus], "Code Not Found")</f>
        <v>Fagus</v>
      </c>
      <c r="M1178" t="str">
        <f>_xlfn.XLOOKUP(C1178, Table2[Species],Table2[Sp. Name], "Code Not Found")</f>
        <v>grandifolia</v>
      </c>
      <c r="N1178" t="str">
        <f>_xlfn.XLOOKUP(C1178,Table2[Species],Table2[Family],"Code Not Found")</f>
        <v>Fagaceae</v>
      </c>
      <c r="O1178" t="str" cm="1">
        <f t="array" ref="O1178">_xlfn.IFS(F1178="","",F1178&lt;=5,"0 to 5",F1178&lt;=10,"5.1 to 10",F1178&lt;=20,"10 to 20", F1178&lt;= 40, "20 to 40", F1178 &lt;= 50, "40 to 50", F1178 &gt; 50, "&gt;50" )</f>
        <v>0 to 5</v>
      </c>
    </row>
    <row r="1179" spans="1:15" ht="14.4" x14ac:dyDescent="0.3">
      <c r="A1179" t="s">
        <v>240</v>
      </c>
      <c r="B1179" s="1">
        <v>46190</v>
      </c>
      <c r="C1179" t="s">
        <v>64</v>
      </c>
      <c r="D1179">
        <v>1087</v>
      </c>
      <c r="E1179">
        <v>5</v>
      </c>
      <c r="F1179">
        <v>2.1</v>
      </c>
      <c r="G1179" t="s">
        <v>32</v>
      </c>
      <c r="I1179" t="str">
        <f t="shared" si="19"/>
        <v>1087_5</v>
      </c>
      <c r="J1179" t="s">
        <v>241</v>
      </c>
      <c r="K1179" t="s">
        <v>179</v>
      </c>
      <c r="L1179" t="str">
        <f>_xlfn.XLOOKUP(C1179, Table2[Species],Table2[Genus], "Code Not Found")</f>
        <v>Fagus</v>
      </c>
      <c r="M1179" t="str">
        <f>_xlfn.XLOOKUP(C1179, Table2[Species],Table2[Sp. Name], "Code Not Found")</f>
        <v>grandifolia</v>
      </c>
      <c r="N1179" t="str">
        <f>_xlfn.XLOOKUP(C1179,Table2[Species],Table2[Family],"Code Not Found")</f>
        <v>Fagaceae</v>
      </c>
      <c r="O1179" t="str" cm="1">
        <f t="array" ref="O1179">_xlfn.IFS(F1179="","",F1179&lt;=5,"0 to 5",F1179&lt;=10,"5.1 to 10",F1179&lt;=20,"10 to 20", F1179&lt;= 40, "20 to 40", F1179 &lt;= 50, "40 to 50", F1179 &gt; 50, "&gt;50" )</f>
        <v>0 to 5</v>
      </c>
    </row>
    <row r="1180" spans="1:15" ht="14.4" x14ac:dyDescent="0.3">
      <c r="A1180" t="s">
        <v>240</v>
      </c>
      <c r="B1180" s="1">
        <v>46190</v>
      </c>
      <c r="C1180" t="s">
        <v>16</v>
      </c>
      <c r="D1180">
        <v>1088</v>
      </c>
      <c r="E1180">
        <v>1</v>
      </c>
      <c r="F1180">
        <v>14.3</v>
      </c>
      <c r="G1180" t="s">
        <v>103</v>
      </c>
      <c r="I1180" t="str">
        <f t="shared" si="19"/>
        <v>1088_1</v>
      </c>
      <c r="J1180" t="s">
        <v>241</v>
      </c>
      <c r="K1180" t="s">
        <v>179</v>
      </c>
      <c r="L1180" t="str">
        <f>_xlfn.XLOOKUP(C1180, Table2[Species],Table2[Genus], "Code Not Found")</f>
        <v>Acer</v>
      </c>
      <c r="M1180" t="str">
        <f>_xlfn.XLOOKUP(C1180, Table2[Species],Table2[Sp. Name], "Code Not Found")</f>
        <v>saccharum</v>
      </c>
      <c r="N1180" t="str">
        <f>_xlfn.XLOOKUP(C1180,Table2[Species],Table2[Family],"Code Not Found")</f>
        <v>Sapindaceae</v>
      </c>
      <c r="O1180" t="str" cm="1">
        <f t="array" ref="O1180">_xlfn.IFS(F1180="","",F1180&lt;=5,"0 to 5",F1180&lt;=10,"5.1 to 10",F1180&lt;=20,"10 to 20", F1180&lt;= 40, "20 to 40", F1180 &lt;= 50, "40 to 50", F1180 &gt; 50, "&gt;50" )</f>
        <v>10 to 20</v>
      </c>
    </row>
    <row r="1181" spans="1:15" ht="14.4" x14ac:dyDescent="0.3">
      <c r="A1181" t="s">
        <v>240</v>
      </c>
      <c r="B1181" s="1">
        <v>46190</v>
      </c>
      <c r="C1181" t="s">
        <v>64</v>
      </c>
      <c r="D1181">
        <v>1089</v>
      </c>
      <c r="E1181">
        <v>1</v>
      </c>
      <c r="F1181">
        <v>1.5</v>
      </c>
      <c r="G1181" t="s">
        <v>17</v>
      </c>
      <c r="I1181" t="str">
        <f t="shared" si="19"/>
        <v>1089_1</v>
      </c>
      <c r="J1181" t="s">
        <v>241</v>
      </c>
      <c r="K1181" t="s">
        <v>179</v>
      </c>
      <c r="L1181" t="str">
        <f>_xlfn.XLOOKUP(C1181, Table2[Species],Table2[Genus], "Code Not Found")</f>
        <v>Fagus</v>
      </c>
      <c r="M1181" t="str">
        <f>_xlfn.XLOOKUP(C1181, Table2[Species],Table2[Sp. Name], "Code Not Found")</f>
        <v>grandifolia</v>
      </c>
      <c r="N1181" t="str">
        <f>_xlfn.XLOOKUP(C1181,Table2[Species],Table2[Family],"Code Not Found")</f>
        <v>Fagaceae</v>
      </c>
      <c r="O1181" t="str" cm="1">
        <f t="array" ref="O1181">_xlfn.IFS(F1181="","",F1181&lt;=5,"0 to 5",F1181&lt;=10,"5.1 to 10",F1181&lt;=20,"10 to 20", F1181&lt;= 40, "20 to 40", F1181 &lt;= 50, "40 to 50", F1181 &gt; 50, "&gt;50" )</f>
        <v>0 to 5</v>
      </c>
    </row>
    <row r="1182" spans="1:15" ht="14.4" x14ac:dyDescent="0.3">
      <c r="A1182" t="s">
        <v>240</v>
      </c>
      <c r="B1182" s="1">
        <v>46190</v>
      </c>
      <c r="C1182" t="s">
        <v>64</v>
      </c>
      <c r="D1182">
        <v>1090</v>
      </c>
      <c r="E1182">
        <v>1</v>
      </c>
      <c r="F1182">
        <v>6.3</v>
      </c>
      <c r="G1182" t="s">
        <v>88</v>
      </c>
      <c r="H1182" t="s">
        <v>99</v>
      </c>
      <c r="I1182" t="str">
        <f t="shared" si="19"/>
        <v>1090_1</v>
      </c>
      <c r="J1182" t="s">
        <v>241</v>
      </c>
      <c r="K1182" t="s">
        <v>179</v>
      </c>
      <c r="L1182" t="str">
        <f>_xlfn.XLOOKUP(C1182, Table2[Species],Table2[Genus], "Code Not Found")</f>
        <v>Fagus</v>
      </c>
      <c r="M1182" t="str">
        <f>_xlfn.XLOOKUP(C1182, Table2[Species],Table2[Sp. Name], "Code Not Found")</f>
        <v>grandifolia</v>
      </c>
      <c r="N1182" t="str">
        <f>_xlfn.XLOOKUP(C1182,Table2[Species],Table2[Family],"Code Not Found")</f>
        <v>Fagaceae</v>
      </c>
      <c r="O1182" t="str" cm="1">
        <f t="array" ref="O1182">_xlfn.IFS(F1182="","",F1182&lt;=5,"0 to 5",F1182&lt;=10,"5.1 to 10",F1182&lt;=20,"10 to 20", F1182&lt;= 40, "20 to 40", F1182 &lt;= 50, "40 to 50", F1182 &gt; 50, "&gt;50" )</f>
        <v>5.1 to 10</v>
      </c>
    </row>
    <row r="1183" spans="1:15" ht="14.4" x14ac:dyDescent="0.3">
      <c r="A1183" t="s">
        <v>240</v>
      </c>
      <c r="B1183" s="1">
        <v>46190</v>
      </c>
      <c r="C1183" t="s">
        <v>16</v>
      </c>
      <c r="D1183">
        <v>1091</v>
      </c>
      <c r="E1183">
        <v>1</v>
      </c>
      <c r="F1183">
        <v>1.9</v>
      </c>
      <c r="G1183" t="s">
        <v>17</v>
      </c>
      <c r="I1183" t="str">
        <f t="shared" si="19"/>
        <v>1091_1</v>
      </c>
      <c r="J1183" t="s">
        <v>241</v>
      </c>
      <c r="K1183" t="s">
        <v>179</v>
      </c>
      <c r="L1183" t="str">
        <f>_xlfn.XLOOKUP(C1183, Table2[Species],Table2[Genus], "Code Not Found")</f>
        <v>Acer</v>
      </c>
      <c r="M1183" t="str">
        <f>_xlfn.XLOOKUP(C1183, Table2[Species],Table2[Sp. Name], "Code Not Found")</f>
        <v>saccharum</v>
      </c>
      <c r="N1183" t="str">
        <f>_xlfn.XLOOKUP(C1183,Table2[Species],Table2[Family],"Code Not Found")</f>
        <v>Sapindaceae</v>
      </c>
      <c r="O1183" t="str" cm="1">
        <f t="array" ref="O1183">_xlfn.IFS(F1183="","",F1183&lt;=5,"0 to 5",F1183&lt;=10,"5.1 to 10",F1183&lt;=20,"10 to 20", F1183&lt;= 40, "20 to 40", F1183 &lt;= 50, "40 to 50", F1183 &gt; 50, "&gt;50" )</f>
        <v>0 to 5</v>
      </c>
    </row>
    <row r="1184" spans="1:15" ht="14.4" x14ac:dyDescent="0.3">
      <c r="A1184" t="s">
        <v>240</v>
      </c>
      <c r="B1184" s="1">
        <v>46190</v>
      </c>
      <c r="C1184" t="s">
        <v>16</v>
      </c>
      <c r="D1184">
        <v>1092</v>
      </c>
      <c r="E1184">
        <v>1</v>
      </c>
      <c r="F1184">
        <v>3.1</v>
      </c>
      <c r="G1184" t="s">
        <v>17</v>
      </c>
      <c r="I1184" t="str">
        <f t="shared" si="19"/>
        <v>1092_1</v>
      </c>
      <c r="J1184" t="s">
        <v>241</v>
      </c>
      <c r="K1184" t="s">
        <v>179</v>
      </c>
      <c r="L1184" t="str">
        <f>_xlfn.XLOOKUP(C1184, Table2[Species],Table2[Genus], "Code Not Found")</f>
        <v>Acer</v>
      </c>
      <c r="M1184" t="str">
        <f>_xlfn.XLOOKUP(C1184, Table2[Species],Table2[Sp. Name], "Code Not Found")</f>
        <v>saccharum</v>
      </c>
      <c r="N1184" t="str">
        <f>_xlfn.XLOOKUP(C1184,Table2[Species],Table2[Family],"Code Not Found")</f>
        <v>Sapindaceae</v>
      </c>
      <c r="O1184" t="str" cm="1">
        <f t="array" ref="O1184">_xlfn.IFS(F1184="","",F1184&lt;=5,"0 to 5",F1184&lt;=10,"5.1 to 10",F1184&lt;=20,"10 to 20", F1184&lt;= 40, "20 to 40", F1184 &lt;= 50, "40 to 50", F1184 &gt; 50, "&gt;50" )</f>
        <v>0 to 5</v>
      </c>
    </row>
    <row r="1185" spans="1:15" ht="14.4" x14ac:dyDescent="0.3">
      <c r="A1185" t="s">
        <v>240</v>
      </c>
      <c r="B1185" s="1">
        <v>46190</v>
      </c>
      <c r="C1185" t="s">
        <v>16</v>
      </c>
      <c r="D1185">
        <v>1093</v>
      </c>
      <c r="E1185">
        <v>1</v>
      </c>
      <c r="F1185">
        <v>5.9</v>
      </c>
      <c r="G1185" t="s">
        <v>21</v>
      </c>
      <c r="I1185" t="str">
        <f t="shared" si="19"/>
        <v>1093_1</v>
      </c>
      <c r="J1185" t="s">
        <v>241</v>
      </c>
      <c r="K1185" t="s">
        <v>179</v>
      </c>
      <c r="L1185" t="str">
        <f>_xlfn.XLOOKUP(C1185, Table2[Species],Table2[Genus], "Code Not Found")</f>
        <v>Acer</v>
      </c>
      <c r="M1185" t="str">
        <f>_xlfn.XLOOKUP(C1185, Table2[Species],Table2[Sp. Name], "Code Not Found")</f>
        <v>saccharum</v>
      </c>
      <c r="N1185" t="str">
        <f>_xlfn.XLOOKUP(C1185,Table2[Species],Table2[Family],"Code Not Found")</f>
        <v>Sapindaceae</v>
      </c>
      <c r="O1185" t="str" cm="1">
        <f t="array" ref="O1185">_xlfn.IFS(F1185="","",F1185&lt;=5,"0 to 5",F1185&lt;=10,"5.1 to 10",F1185&lt;=20,"10 to 20", F1185&lt;= 40, "20 to 40", F1185 &lt;= 50, "40 to 50", F1185 &gt; 50, "&gt;50" )</f>
        <v>5.1 to 10</v>
      </c>
    </row>
    <row r="1186" spans="1:15" ht="14.4" x14ac:dyDescent="0.3">
      <c r="A1186" t="s">
        <v>240</v>
      </c>
      <c r="B1186" s="1">
        <v>46190</v>
      </c>
      <c r="C1186" t="s">
        <v>16</v>
      </c>
      <c r="D1186">
        <v>1094</v>
      </c>
      <c r="E1186">
        <v>1</v>
      </c>
      <c r="F1186">
        <v>2.8</v>
      </c>
      <c r="G1186" t="s">
        <v>47</v>
      </c>
      <c r="H1186" t="s">
        <v>43</v>
      </c>
      <c r="I1186" t="str">
        <f t="shared" si="19"/>
        <v>1094_1</v>
      </c>
      <c r="J1186" t="s">
        <v>241</v>
      </c>
      <c r="K1186" t="s">
        <v>179</v>
      </c>
      <c r="L1186" t="str">
        <f>_xlfn.XLOOKUP(C1186, Table2[Species],Table2[Genus], "Code Not Found")</f>
        <v>Acer</v>
      </c>
      <c r="M1186" t="str">
        <f>_xlfn.XLOOKUP(C1186, Table2[Species],Table2[Sp. Name], "Code Not Found")</f>
        <v>saccharum</v>
      </c>
      <c r="N1186" t="str">
        <f>_xlfn.XLOOKUP(C1186,Table2[Species],Table2[Family],"Code Not Found")</f>
        <v>Sapindaceae</v>
      </c>
      <c r="O1186" t="str" cm="1">
        <f t="array" ref="O1186">_xlfn.IFS(F1186="","",F1186&lt;=5,"0 to 5",F1186&lt;=10,"5.1 to 10",F1186&lt;=20,"10 to 20", F1186&lt;= 40, "20 to 40", F1186 &lt;= 50, "40 to 50", F1186 &gt; 50, "&gt;50" )</f>
        <v>0 to 5</v>
      </c>
    </row>
    <row r="1187" spans="1:15" ht="14.4" x14ac:dyDescent="0.3">
      <c r="A1187" t="s">
        <v>240</v>
      </c>
      <c r="B1187" s="1">
        <v>46190</v>
      </c>
      <c r="C1187" t="s">
        <v>16</v>
      </c>
      <c r="D1187">
        <v>1095</v>
      </c>
      <c r="E1187">
        <v>1</v>
      </c>
      <c r="F1187">
        <v>3.6</v>
      </c>
      <c r="G1187" t="s">
        <v>17</v>
      </c>
      <c r="H1187" t="s">
        <v>274</v>
      </c>
      <c r="I1187" t="str">
        <f t="shared" si="19"/>
        <v>1095_1</v>
      </c>
      <c r="J1187" t="s">
        <v>241</v>
      </c>
      <c r="K1187" t="s">
        <v>179</v>
      </c>
      <c r="L1187" t="str">
        <f>_xlfn.XLOOKUP(C1187, Table2[Species],Table2[Genus], "Code Not Found")</f>
        <v>Acer</v>
      </c>
      <c r="M1187" t="str">
        <f>_xlfn.XLOOKUP(C1187, Table2[Species],Table2[Sp. Name], "Code Not Found")</f>
        <v>saccharum</v>
      </c>
      <c r="N1187" t="str">
        <f>_xlfn.XLOOKUP(C1187,Table2[Species],Table2[Family],"Code Not Found")</f>
        <v>Sapindaceae</v>
      </c>
      <c r="O1187" t="str" cm="1">
        <f t="array" ref="O1187">_xlfn.IFS(F1187="","",F1187&lt;=5,"0 to 5",F1187&lt;=10,"5.1 to 10",F1187&lt;=20,"10 to 20", F1187&lt;= 40, "20 to 40", F1187 &lt;= 50, "40 to 50", F1187 &gt; 50, "&gt;50" )</f>
        <v>0 to 5</v>
      </c>
    </row>
    <row r="1188" spans="1:15" ht="14.4" x14ac:dyDescent="0.3">
      <c r="A1188" t="s">
        <v>240</v>
      </c>
      <c r="B1188" s="1">
        <v>46190</v>
      </c>
      <c r="C1188" t="s">
        <v>16</v>
      </c>
      <c r="D1188">
        <v>1096</v>
      </c>
      <c r="E1188">
        <v>1</v>
      </c>
      <c r="F1188">
        <v>2.2000000000000002</v>
      </c>
      <c r="G1188" t="s">
        <v>47</v>
      </c>
      <c r="H1188" t="s">
        <v>43</v>
      </c>
      <c r="I1188" t="str">
        <f t="shared" si="19"/>
        <v>1096_1</v>
      </c>
      <c r="J1188" t="s">
        <v>241</v>
      </c>
      <c r="K1188" t="s">
        <v>179</v>
      </c>
      <c r="L1188" t="str">
        <f>_xlfn.XLOOKUP(C1188, Table2[Species],Table2[Genus], "Code Not Found")</f>
        <v>Acer</v>
      </c>
      <c r="M1188" t="str">
        <f>_xlfn.XLOOKUP(C1188, Table2[Species],Table2[Sp. Name], "Code Not Found")</f>
        <v>saccharum</v>
      </c>
      <c r="N1188" t="str">
        <f>_xlfn.XLOOKUP(C1188,Table2[Species],Table2[Family],"Code Not Found")</f>
        <v>Sapindaceae</v>
      </c>
      <c r="O1188" t="str" cm="1">
        <f t="array" ref="O1188">_xlfn.IFS(F1188="","",F1188&lt;=5,"0 to 5",F1188&lt;=10,"5.1 to 10",F1188&lt;=20,"10 to 20", F1188&lt;= 40, "20 to 40", F1188 &lt;= 50, "40 to 50", F1188 &gt; 50, "&gt;50" )</f>
        <v>0 to 5</v>
      </c>
    </row>
    <row r="1189" spans="1:15" ht="14.4" x14ac:dyDescent="0.3">
      <c r="A1189" t="s">
        <v>240</v>
      </c>
      <c r="B1189" s="1">
        <v>46190</v>
      </c>
      <c r="C1189" t="s">
        <v>64</v>
      </c>
      <c r="D1189">
        <v>1097</v>
      </c>
      <c r="E1189">
        <v>1</v>
      </c>
      <c r="F1189">
        <v>4.9000000000000004</v>
      </c>
      <c r="G1189" t="s">
        <v>21</v>
      </c>
      <c r="I1189" t="str">
        <f t="shared" si="19"/>
        <v>1097_1</v>
      </c>
      <c r="J1189" t="s">
        <v>241</v>
      </c>
      <c r="K1189" t="s">
        <v>179</v>
      </c>
      <c r="L1189" t="str">
        <f>_xlfn.XLOOKUP(C1189, Table2[Species],Table2[Genus], "Code Not Found")</f>
        <v>Fagus</v>
      </c>
      <c r="M1189" t="str">
        <f>_xlfn.XLOOKUP(C1189, Table2[Species],Table2[Sp. Name], "Code Not Found")</f>
        <v>grandifolia</v>
      </c>
      <c r="N1189" t="str">
        <f>_xlfn.XLOOKUP(C1189,Table2[Species],Table2[Family],"Code Not Found")</f>
        <v>Fagaceae</v>
      </c>
      <c r="O1189" t="str" cm="1">
        <f t="array" ref="O1189">_xlfn.IFS(F1189="","",F1189&lt;=5,"0 to 5",F1189&lt;=10,"5.1 to 10",F1189&lt;=20,"10 to 20", F1189&lt;= 40, "20 to 40", F1189 &lt;= 50, "40 to 50", F1189 &gt; 50, "&gt;50" )</f>
        <v>0 to 5</v>
      </c>
    </row>
    <row r="1190" spans="1:15" ht="14.4" x14ac:dyDescent="0.3">
      <c r="A1190" t="s">
        <v>240</v>
      </c>
      <c r="B1190" s="1">
        <v>46190</v>
      </c>
      <c r="C1190" t="s">
        <v>16</v>
      </c>
      <c r="D1190">
        <v>1098</v>
      </c>
      <c r="E1190">
        <v>1</v>
      </c>
      <c r="F1190">
        <v>2.6</v>
      </c>
      <c r="G1190" t="s">
        <v>47</v>
      </c>
      <c r="H1190" t="s">
        <v>275</v>
      </c>
      <c r="I1190" t="str">
        <f t="shared" si="19"/>
        <v>1098_1</v>
      </c>
      <c r="J1190" t="s">
        <v>241</v>
      </c>
      <c r="K1190" t="s">
        <v>179</v>
      </c>
      <c r="L1190" t="str">
        <f>_xlfn.XLOOKUP(C1190, Table2[Species],Table2[Genus], "Code Not Found")</f>
        <v>Acer</v>
      </c>
      <c r="M1190" t="str">
        <f>_xlfn.XLOOKUP(C1190, Table2[Species],Table2[Sp. Name], "Code Not Found")</f>
        <v>saccharum</v>
      </c>
      <c r="N1190" t="str">
        <f>_xlfn.XLOOKUP(C1190,Table2[Species],Table2[Family],"Code Not Found")</f>
        <v>Sapindaceae</v>
      </c>
      <c r="O1190" t="str" cm="1">
        <f t="array" ref="O1190">_xlfn.IFS(F1190="","",F1190&lt;=5,"0 to 5",F1190&lt;=10,"5.1 to 10",F1190&lt;=20,"10 to 20", F1190&lt;= 40, "20 to 40", F1190 &lt;= 50, "40 to 50", F1190 &gt; 50, "&gt;50" )</f>
        <v>0 to 5</v>
      </c>
    </row>
    <row r="1191" spans="1:15" ht="14.4" x14ac:dyDescent="0.3">
      <c r="A1191" t="s">
        <v>240</v>
      </c>
      <c r="B1191" s="1">
        <v>46190</v>
      </c>
      <c r="C1191" t="s">
        <v>16</v>
      </c>
      <c r="D1191">
        <v>1099</v>
      </c>
      <c r="E1191">
        <v>1</v>
      </c>
      <c r="F1191">
        <v>2.2000000000000002</v>
      </c>
      <c r="G1191" t="s">
        <v>17</v>
      </c>
      <c r="I1191" t="str">
        <f t="shared" si="19"/>
        <v>1099_1</v>
      </c>
      <c r="J1191" t="s">
        <v>241</v>
      </c>
      <c r="K1191" t="s">
        <v>179</v>
      </c>
      <c r="L1191" t="str">
        <f>_xlfn.XLOOKUP(C1191, Table2[Species],Table2[Genus], "Code Not Found")</f>
        <v>Acer</v>
      </c>
      <c r="M1191" t="str">
        <f>_xlfn.XLOOKUP(C1191, Table2[Species],Table2[Sp. Name], "Code Not Found")</f>
        <v>saccharum</v>
      </c>
      <c r="N1191" t="str">
        <f>_xlfn.XLOOKUP(C1191,Table2[Species],Table2[Family],"Code Not Found")</f>
        <v>Sapindaceae</v>
      </c>
      <c r="O1191" t="str" cm="1">
        <f t="array" ref="O1191">_xlfn.IFS(F1191="","",F1191&lt;=5,"0 to 5",F1191&lt;=10,"5.1 to 10",F1191&lt;=20,"10 to 20", F1191&lt;= 40, "20 to 40", F1191 &lt;= 50, "40 to 50", F1191 &gt; 50, "&gt;50" )</f>
        <v>0 to 5</v>
      </c>
    </row>
    <row r="1192" spans="1:15" ht="14.4" x14ac:dyDescent="0.3">
      <c r="A1192" t="s">
        <v>240</v>
      </c>
      <c r="B1192" s="1">
        <v>46190</v>
      </c>
      <c r="C1192" t="s">
        <v>16</v>
      </c>
      <c r="D1192">
        <v>1100</v>
      </c>
      <c r="E1192">
        <v>1</v>
      </c>
      <c r="F1192">
        <v>14.6</v>
      </c>
      <c r="G1192" t="s">
        <v>17</v>
      </c>
      <c r="I1192" t="str">
        <f t="shared" si="19"/>
        <v>1100_1</v>
      </c>
      <c r="J1192" t="s">
        <v>241</v>
      </c>
      <c r="K1192" t="s">
        <v>179</v>
      </c>
      <c r="L1192" t="str">
        <f>_xlfn.XLOOKUP(C1192, Table2[Species],Table2[Genus], "Code Not Found")</f>
        <v>Acer</v>
      </c>
      <c r="M1192" t="str">
        <f>_xlfn.XLOOKUP(C1192, Table2[Species],Table2[Sp. Name], "Code Not Found")</f>
        <v>saccharum</v>
      </c>
      <c r="N1192" t="str">
        <f>_xlfn.XLOOKUP(C1192,Table2[Species],Table2[Family],"Code Not Found")</f>
        <v>Sapindaceae</v>
      </c>
      <c r="O1192" t="str" cm="1">
        <f t="array" ref="O1192">_xlfn.IFS(F1192="","",F1192&lt;=5,"0 to 5",F1192&lt;=10,"5.1 to 10",F1192&lt;=20,"10 to 20", F1192&lt;= 40, "20 to 40", F1192 &lt;= 50, "40 to 50", F1192 &gt; 50, "&gt;50" )</f>
        <v>10 to 20</v>
      </c>
    </row>
    <row r="1193" spans="1:15" ht="14.4" x14ac:dyDescent="0.3">
      <c r="A1193" t="s">
        <v>240</v>
      </c>
      <c r="B1193" s="1">
        <v>46190</v>
      </c>
      <c r="C1193" t="s">
        <v>16</v>
      </c>
      <c r="D1193">
        <v>1101</v>
      </c>
      <c r="E1193">
        <v>1</v>
      </c>
      <c r="F1193">
        <v>3.3</v>
      </c>
      <c r="G1193" t="s">
        <v>88</v>
      </c>
      <c r="H1193" t="s">
        <v>99</v>
      </c>
      <c r="I1193" t="str">
        <f t="shared" si="19"/>
        <v>1101_1</v>
      </c>
      <c r="J1193" t="s">
        <v>241</v>
      </c>
      <c r="K1193" t="s">
        <v>179</v>
      </c>
      <c r="L1193" t="str">
        <f>_xlfn.XLOOKUP(C1193, Table2[Species],Table2[Genus], "Code Not Found")</f>
        <v>Acer</v>
      </c>
      <c r="M1193" t="str">
        <f>_xlfn.XLOOKUP(C1193, Table2[Species],Table2[Sp. Name], "Code Not Found")</f>
        <v>saccharum</v>
      </c>
      <c r="N1193" t="str">
        <f>_xlfn.XLOOKUP(C1193,Table2[Species],Table2[Family],"Code Not Found")</f>
        <v>Sapindaceae</v>
      </c>
      <c r="O1193" t="str" cm="1">
        <f t="array" ref="O1193">_xlfn.IFS(F1193="","",F1193&lt;=5,"0 to 5",F1193&lt;=10,"5.1 to 10",F1193&lt;=20,"10 to 20", F1193&lt;= 40, "20 to 40", F1193 &lt;= 50, "40 to 50", F1193 &gt; 50, "&gt;50" )</f>
        <v>0 to 5</v>
      </c>
    </row>
    <row r="1194" spans="1:15" ht="14.4" x14ac:dyDescent="0.3">
      <c r="A1194" t="s">
        <v>240</v>
      </c>
      <c r="B1194" s="1">
        <v>46190</v>
      </c>
      <c r="C1194" t="s">
        <v>16</v>
      </c>
      <c r="D1194">
        <v>1102</v>
      </c>
      <c r="E1194">
        <v>1</v>
      </c>
      <c r="F1194">
        <v>3.7</v>
      </c>
      <c r="G1194" t="s">
        <v>17</v>
      </c>
      <c r="I1194" t="str">
        <f t="shared" si="19"/>
        <v>1102_1</v>
      </c>
      <c r="J1194" t="s">
        <v>241</v>
      </c>
      <c r="K1194" t="s">
        <v>179</v>
      </c>
      <c r="L1194" t="str">
        <f>_xlfn.XLOOKUP(C1194, Table2[Species],Table2[Genus], "Code Not Found")</f>
        <v>Acer</v>
      </c>
      <c r="M1194" t="str">
        <f>_xlfn.XLOOKUP(C1194, Table2[Species],Table2[Sp. Name], "Code Not Found")</f>
        <v>saccharum</v>
      </c>
      <c r="N1194" t="str">
        <f>_xlfn.XLOOKUP(C1194,Table2[Species],Table2[Family],"Code Not Found")</f>
        <v>Sapindaceae</v>
      </c>
      <c r="O1194" t="str" cm="1">
        <f t="array" ref="O1194">_xlfn.IFS(F1194="","",F1194&lt;=5,"0 to 5",F1194&lt;=10,"5.1 to 10",F1194&lt;=20,"10 to 20", F1194&lt;= 40, "20 to 40", F1194 &lt;= 50, "40 to 50", F1194 &gt; 50, "&gt;50" )</f>
        <v>0 to 5</v>
      </c>
    </row>
    <row r="1195" spans="1:15" ht="14.4" x14ac:dyDescent="0.3">
      <c r="A1195" t="s">
        <v>240</v>
      </c>
      <c r="B1195" s="1">
        <v>46190</v>
      </c>
      <c r="C1195" t="s">
        <v>16</v>
      </c>
      <c r="D1195">
        <v>1103</v>
      </c>
      <c r="E1195">
        <v>1</v>
      </c>
      <c r="F1195">
        <v>4.3</v>
      </c>
      <c r="G1195" t="s">
        <v>17</v>
      </c>
      <c r="I1195" t="str">
        <f t="shared" si="19"/>
        <v>1103_1</v>
      </c>
      <c r="J1195" t="s">
        <v>241</v>
      </c>
      <c r="K1195" t="s">
        <v>179</v>
      </c>
      <c r="L1195" t="str">
        <f>_xlfn.XLOOKUP(C1195, Table2[Species],Table2[Genus], "Code Not Found")</f>
        <v>Acer</v>
      </c>
      <c r="M1195" t="str">
        <f>_xlfn.XLOOKUP(C1195, Table2[Species],Table2[Sp. Name], "Code Not Found")</f>
        <v>saccharum</v>
      </c>
      <c r="N1195" t="str">
        <f>_xlfn.XLOOKUP(C1195,Table2[Species],Table2[Family],"Code Not Found")</f>
        <v>Sapindaceae</v>
      </c>
      <c r="O1195" t="str" cm="1">
        <f t="array" ref="O1195">_xlfn.IFS(F1195="","",F1195&lt;=5,"0 to 5",F1195&lt;=10,"5.1 to 10",F1195&lt;=20,"10 to 20", F1195&lt;= 40, "20 to 40", F1195 &lt;= 50, "40 to 50", F1195 &gt; 50, "&gt;50" )</f>
        <v>0 to 5</v>
      </c>
    </row>
    <row r="1196" spans="1:15" ht="14.4" x14ac:dyDescent="0.3">
      <c r="A1196" t="s">
        <v>240</v>
      </c>
      <c r="B1196" s="1">
        <v>46190</v>
      </c>
      <c r="C1196" t="s">
        <v>16</v>
      </c>
      <c r="D1196">
        <v>1104</v>
      </c>
      <c r="E1196">
        <v>1</v>
      </c>
      <c r="F1196">
        <v>3.1</v>
      </c>
      <c r="G1196" t="s">
        <v>17</v>
      </c>
      <c r="I1196" t="str">
        <f t="shared" si="19"/>
        <v>1104_1</v>
      </c>
      <c r="J1196" t="s">
        <v>241</v>
      </c>
      <c r="K1196" t="s">
        <v>179</v>
      </c>
      <c r="L1196" t="str">
        <f>_xlfn.XLOOKUP(C1196, Table2[Species],Table2[Genus], "Code Not Found")</f>
        <v>Acer</v>
      </c>
      <c r="M1196" t="str">
        <f>_xlfn.XLOOKUP(C1196, Table2[Species],Table2[Sp. Name], "Code Not Found")</f>
        <v>saccharum</v>
      </c>
      <c r="N1196" t="str">
        <f>_xlfn.XLOOKUP(C1196,Table2[Species],Table2[Family],"Code Not Found")</f>
        <v>Sapindaceae</v>
      </c>
      <c r="O1196" t="str" cm="1">
        <f t="array" ref="O1196">_xlfn.IFS(F1196="","",F1196&lt;=5,"0 to 5",F1196&lt;=10,"5.1 to 10",F1196&lt;=20,"10 to 20", F1196&lt;= 40, "20 to 40", F1196 &lt;= 50, "40 to 50", F1196 &gt; 50, "&gt;50" )</f>
        <v>0 to 5</v>
      </c>
    </row>
    <row r="1197" spans="1:15" ht="14.4" x14ac:dyDescent="0.3">
      <c r="A1197" t="s">
        <v>240</v>
      </c>
      <c r="B1197" s="1">
        <v>46190</v>
      </c>
      <c r="C1197" t="s">
        <v>16</v>
      </c>
      <c r="D1197">
        <v>1105</v>
      </c>
      <c r="E1197">
        <v>1</v>
      </c>
      <c r="F1197">
        <v>15.8</v>
      </c>
      <c r="G1197" t="s">
        <v>21</v>
      </c>
      <c r="I1197" t="str">
        <f t="shared" si="19"/>
        <v>1105_1</v>
      </c>
      <c r="J1197" t="s">
        <v>241</v>
      </c>
      <c r="K1197" t="s">
        <v>179</v>
      </c>
      <c r="L1197" t="str">
        <f>_xlfn.XLOOKUP(C1197, Table2[Species],Table2[Genus], "Code Not Found")</f>
        <v>Acer</v>
      </c>
      <c r="M1197" t="str">
        <f>_xlfn.XLOOKUP(C1197, Table2[Species],Table2[Sp. Name], "Code Not Found")</f>
        <v>saccharum</v>
      </c>
      <c r="N1197" t="str">
        <f>_xlfn.XLOOKUP(C1197,Table2[Species],Table2[Family],"Code Not Found")</f>
        <v>Sapindaceae</v>
      </c>
      <c r="O1197" t="str" cm="1">
        <f t="array" ref="O1197">_xlfn.IFS(F1197="","",F1197&lt;=5,"0 to 5",F1197&lt;=10,"5.1 to 10",F1197&lt;=20,"10 to 20", F1197&lt;= 40, "20 to 40", F1197 &lt;= 50, "40 to 50", F1197 &gt; 50, "&gt;50" )</f>
        <v>10 to 20</v>
      </c>
    </row>
    <row r="1198" spans="1:15" ht="14.4" x14ac:dyDescent="0.3">
      <c r="A1198" t="s">
        <v>240</v>
      </c>
      <c r="B1198" s="1">
        <v>46190</v>
      </c>
      <c r="C1198" t="s">
        <v>16</v>
      </c>
      <c r="D1198">
        <v>1106</v>
      </c>
      <c r="E1198">
        <v>1</v>
      </c>
      <c r="F1198">
        <v>1.4</v>
      </c>
      <c r="G1198" t="s">
        <v>47</v>
      </c>
      <c r="I1198" t="str">
        <f t="shared" ref="I1198:I1262" si="20">D1198&amp;"_"&amp;E1198</f>
        <v>1106_1</v>
      </c>
      <c r="J1198" t="s">
        <v>241</v>
      </c>
      <c r="K1198" t="s">
        <v>179</v>
      </c>
      <c r="L1198" t="str">
        <f>_xlfn.XLOOKUP(C1198, Table2[Species],Table2[Genus], "Code Not Found")</f>
        <v>Acer</v>
      </c>
      <c r="M1198" t="str">
        <f>_xlfn.XLOOKUP(C1198, Table2[Species],Table2[Sp. Name], "Code Not Found")</f>
        <v>saccharum</v>
      </c>
      <c r="N1198" t="str">
        <f>_xlfn.XLOOKUP(C1198,Table2[Species],Table2[Family],"Code Not Found")</f>
        <v>Sapindaceae</v>
      </c>
      <c r="O1198" t="str" cm="1">
        <f t="array" ref="O1198">_xlfn.IFS(F1198="","",F1198&lt;=5,"0 to 5",F1198&lt;=10,"5.1 to 10",F1198&lt;=20,"10 to 20", F1198&lt;= 40, "20 to 40", F1198 &lt;= 50, "40 to 50", F1198 &gt; 50, "&gt;50" )</f>
        <v>0 to 5</v>
      </c>
    </row>
    <row r="1199" spans="1:15" ht="14.4" x14ac:dyDescent="0.3">
      <c r="A1199" t="s">
        <v>240</v>
      </c>
      <c r="B1199" s="1">
        <v>46190</v>
      </c>
      <c r="C1199" t="s">
        <v>24</v>
      </c>
      <c r="D1199">
        <v>1107</v>
      </c>
      <c r="E1199">
        <v>1</v>
      </c>
      <c r="F1199">
        <v>1.3</v>
      </c>
      <c r="G1199" t="s">
        <v>21</v>
      </c>
      <c r="I1199" t="str">
        <f t="shared" si="20"/>
        <v>1107_1</v>
      </c>
      <c r="J1199" t="s">
        <v>241</v>
      </c>
      <c r="K1199" t="s">
        <v>179</v>
      </c>
      <c r="L1199" t="str">
        <f>_xlfn.XLOOKUP(C1199, Table2[Species],Table2[Genus], "Code Not Found")</f>
        <v>Lirodendron</v>
      </c>
      <c r="M1199" t="str">
        <f>_xlfn.XLOOKUP(C1199, Table2[Species],Table2[Sp. Name], "Code Not Found")</f>
        <v>tulipfera</v>
      </c>
      <c r="N1199" t="str">
        <f>_xlfn.XLOOKUP(C1199,Table2[Species],Table2[Family],"Code Not Found")</f>
        <v>Magnoliaceae</v>
      </c>
      <c r="O1199" t="str" cm="1">
        <f t="array" ref="O1199">_xlfn.IFS(F1199="","",F1199&lt;=5,"0 to 5",F1199&lt;=10,"5.1 to 10",F1199&lt;=20,"10 to 20", F1199&lt;= 40, "20 to 40", F1199 &lt;= 50, "40 to 50", F1199 &gt; 50, "&gt;50" )</f>
        <v>0 to 5</v>
      </c>
    </row>
    <row r="1200" spans="1:15" ht="14.4" x14ac:dyDescent="0.3">
      <c r="A1200" t="s">
        <v>240</v>
      </c>
      <c r="B1200" s="1">
        <v>46190</v>
      </c>
      <c r="C1200" t="s">
        <v>16</v>
      </c>
      <c r="D1200">
        <v>1108</v>
      </c>
      <c r="E1200">
        <v>1</v>
      </c>
      <c r="F1200">
        <v>2.4</v>
      </c>
      <c r="G1200" t="s">
        <v>17</v>
      </c>
      <c r="I1200" t="str">
        <f t="shared" si="20"/>
        <v>1108_1</v>
      </c>
      <c r="J1200" t="s">
        <v>241</v>
      </c>
      <c r="K1200" t="s">
        <v>179</v>
      </c>
      <c r="L1200" t="str">
        <f>_xlfn.XLOOKUP(C1200, Table2[Species],Table2[Genus], "Code Not Found")</f>
        <v>Acer</v>
      </c>
      <c r="M1200" t="str">
        <f>_xlfn.XLOOKUP(C1200, Table2[Species],Table2[Sp. Name], "Code Not Found")</f>
        <v>saccharum</v>
      </c>
      <c r="N1200" t="str">
        <f>_xlfn.XLOOKUP(C1200,Table2[Species],Table2[Family],"Code Not Found")</f>
        <v>Sapindaceae</v>
      </c>
      <c r="O1200" t="str" cm="1">
        <f t="array" ref="O1200">_xlfn.IFS(F1200="","",F1200&lt;=5,"0 to 5",F1200&lt;=10,"5.1 to 10",F1200&lt;=20,"10 to 20", F1200&lt;= 40, "20 to 40", F1200 &lt;= 50, "40 to 50", F1200 &gt; 50, "&gt;50" )</f>
        <v>0 to 5</v>
      </c>
    </row>
    <row r="1201" spans="1:15" ht="14.4" x14ac:dyDescent="0.3">
      <c r="A1201" t="s">
        <v>240</v>
      </c>
      <c r="B1201" s="1">
        <v>46190</v>
      </c>
      <c r="C1201" t="s">
        <v>64</v>
      </c>
      <c r="D1201">
        <v>1109</v>
      </c>
      <c r="E1201">
        <v>1</v>
      </c>
      <c r="F1201">
        <v>15.5</v>
      </c>
      <c r="G1201" t="s">
        <v>17</v>
      </c>
      <c r="I1201" t="str">
        <f t="shared" si="20"/>
        <v>1109_1</v>
      </c>
      <c r="J1201" t="s">
        <v>241</v>
      </c>
      <c r="K1201" t="s">
        <v>179</v>
      </c>
      <c r="L1201" t="str">
        <f>_xlfn.XLOOKUP(C1201, Table2[Species],Table2[Genus], "Code Not Found")</f>
        <v>Fagus</v>
      </c>
      <c r="M1201" t="str">
        <f>_xlfn.XLOOKUP(C1201, Table2[Species],Table2[Sp. Name], "Code Not Found")</f>
        <v>grandifolia</v>
      </c>
      <c r="N1201" t="str">
        <f>_xlfn.XLOOKUP(C1201,Table2[Species],Table2[Family],"Code Not Found")</f>
        <v>Fagaceae</v>
      </c>
      <c r="O1201" t="str" cm="1">
        <f t="array" ref="O1201">_xlfn.IFS(F1201="","",F1201&lt;=5,"0 to 5",F1201&lt;=10,"5.1 to 10",F1201&lt;=20,"10 to 20", F1201&lt;= 40, "20 to 40", F1201 &lt;= 50, "40 to 50", F1201 &gt; 50, "&gt;50" )</f>
        <v>10 to 20</v>
      </c>
    </row>
    <row r="1202" spans="1:15" ht="14.4" x14ac:dyDescent="0.3">
      <c r="A1202" t="s">
        <v>240</v>
      </c>
      <c r="B1202" s="1">
        <v>46190</v>
      </c>
      <c r="C1202" t="s">
        <v>16</v>
      </c>
      <c r="D1202">
        <v>1110</v>
      </c>
      <c r="E1202">
        <v>1</v>
      </c>
      <c r="F1202">
        <v>9.1999999999999993</v>
      </c>
      <c r="G1202" t="s">
        <v>54</v>
      </c>
      <c r="I1202" t="str">
        <f t="shared" si="20"/>
        <v>1110_1</v>
      </c>
      <c r="J1202" t="s">
        <v>241</v>
      </c>
      <c r="K1202" t="s">
        <v>179</v>
      </c>
      <c r="L1202" t="str">
        <f>_xlfn.XLOOKUP(C1202, Table2[Species],Table2[Genus], "Code Not Found")</f>
        <v>Acer</v>
      </c>
      <c r="M1202" t="str">
        <f>_xlfn.XLOOKUP(C1202, Table2[Species],Table2[Sp. Name], "Code Not Found")</f>
        <v>saccharum</v>
      </c>
      <c r="N1202" t="str">
        <f>_xlfn.XLOOKUP(C1202,Table2[Species],Table2[Family],"Code Not Found")</f>
        <v>Sapindaceae</v>
      </c>
      <c r="O1202" t="str" cm="1">
        <f t="array" ref="O1202">_xlfn.IFS(F1202="","",F1202&lt;=5,"0 to 5",F1202&lt;=10,"5.1 to 10",F1202&lt;=20,"10 to 20", F1202&lt;= 40, "20 to 40", F1202 &lt;= 50, "40 to 50", F1202 &gt; 50, "&gt;50" )</f>
        <v>5.1 to 10</v>
      </c>
    </row>
    <row r="1203" spans="1:15" ht="14.4" x14ac:dyDescent="0.3">
      <c r="A1203" t="s">
        <v>240</v>
      </c>
      <c r="B1203" s="1">
        <v>46190</v>
      </c>
      <c r="C1203" t="s">
        <v>16</v>
      </c>
      <c r="D1203">
        <v>1111</v>
      </c>
      <c r="E1203">
        <v>1</v>
      </c>
      <c r="F1203">
        <v>5.8</v>
      </c>
      <c r="G1203" t="s">
        <v>17</v>
      </c>
      <c r="I1203" t="str">
        <f t="shared" si="20"/>
        <v>1111_1</v>
      </c>
      <c r="J1203" t="s">
        <v>241</v>
      </c>
      <c r="K1203" t="s">
        <v>179</v>
      </c>
      <c r="L1203" t="str">
        <f>_xlfn.XLOOKUP(C1203, Table2[Species],Table2[Genus], "Code Not Found")</f>
        <v>Acer</v>
      </c>
      <c r="M1203" t="str">
        <f>_xlfn.XLOOKUP(C1203, Table2[Species],Table2[Sp. Name], "Code Not Found")</f>
        <v>saccharum</v>
      </c>
      <c r="N1203" t="str">
        <f>_xlfn.XLOOKUP(C1203,Table2[Species],Table2[Family],"Code Not Found")</f>
        <v>Sapindaceae</v>
      </c>
      <c r="O1203" t="str" cm="1">
        <f t="array" ref="O1203">_xlfn.IFS(F1203="","",F1203&lt;=5,"0 to 5",F1203&lt;=10,"5.1 to 10",F1203&lt;=20,"10 to 20", F1203&lt;= 40, "20 to 40", F1203 &lt;= 50, "40 to 50", F1203 &gt; 50, "&gt;50" )</f>
        <v>5.1 to 10</v>
      </c>
    </row>
    <row r="1204" spans="1:15" ht="14.4" x14ac:dyDescent="0.3">
      <c r="A1204" t="s">
        <v>240</v>
      </c>
      <c r="B1204" s="1">
        <v>46190</v>
      </c>
      <c r="C1204" t="s">
        <v>16</v>
      </c>
      <c r="D1204">
        <v>1112</v>
      </c>
      <c r="E1204">
        <v>1</v>
      </c>
      <c r="F1204">
        <v>4.5</v>
      </c>
      <c r="G1204" t="s">
        <v>17</v>
      </c>
      <c r="I1204" t="str">
        <f t="shared" si="20"/>
        <v>1112_1</v>
      </c>
      <c r="J1204" t="s">
        <v>241</v>
      </c>
      <c r="K1204" t="s">
        <v>179</v>
      </c>
      <c r="L1204" t="str">
        <f>_xlfn.XLOOKUP(C1204, Table2[Species],Table2[Genus], "Code Not Found")</f>
        <v>Acer</v>
      </c>
      <c r="M1204" t="str">
        <f>_xlfn.XLOOKUP(C1204, Table2[Species],Table2[Sp. Name], "Code Not Found")</f>
        <v>saccharum</v>
      </c>
      <c r="N1204" t="str">
        <f>_xlfn.XLOOKUP(C1204,Table2[Species],Table2[Family],"Code Not Found")</f>
        <v>Sapindaceae</v>
      </c>
      <c r="O1204" t="str" cm="1">
        <f t="array" ref="O1204">_xlfn.IFS(F1204="","",F1204&lt;=5,"0 to 5",F1204&lt;=10,"5.1 to 10",F1204&lt;=20,"10 to 20", F1204&lt;= 40, "20 to 40", F1204 &lt;= 50, "40 to 50", F1204 &gt; 50, "&gt;50" )</f>
        <v>0 to 5</v>
      </c>
    </row>
    <row r="1205" spans="1:15" ht="14.4" x14ac:dyDescent="0.3">
      <c r="A1205" t="s">
        <v>240</v>
      </c>
      <c r="B1205" s="1">
        <v>46190</v>
      </c>
      <c r="C1205" t="s">
        <v>16</v>
      </c>
      <c r="D1205">
        <v>1113</v>
      </c>
      <c r="E1205">
        <v>1</v>
      </c>
      <c r="F1205">
        <v>5.3</v>
      </c>
      <c r="G1205" t="s">
        <v>51</v>
      </c>
      <c r="I1205" t="str">
        <f t="shared" si="20"/>
        <v>1113_1</v>
      </c>
      <c r="J1205" t="s">
        <v>241</v>
      </c>
      <c r="K1205" t="s">
        <v>179</v>
      </c>
      <c r="L1205" t="str">
        <f>_xlfn.XLOOKUP(C1205, Table2[Species],Table2[Genus], "Code Not Found")</f>
        <v>Acer</v>
      </c>
      <c r="M1205" t="str">
        <f>_xlfn.XLOOKUP(C1205, Table2[Species],Table2[Sp. Name], "Code Not Found")</f>
        <v>saccharum</v>
      </c>
      <c r="N1205" t="str">
        <f>_xlfn.XLOOKUP(C1205,Table2[Species],Table2[Family],"Code Not Found")</f>
        <v>Sapindaceae</v>
      </c>
      <c r="O1205" t="str" cm="1">
        <f t="array" ref="O1205">_xlfn.IFS(F1205="","",F1205&lt;=5,"0 to 5",F1205&lt;=10,"5.1 to 10",F1205&lt;=20,"10 to 20", F1205&lt;= 40, "20 to 40", F1205 &lt;= 50, "40 to 50", F1205 &gt; 50, "&gt;50" )</f>
        <v>5.1 to 10</v>
      </c>
    </row>
    <row r="1206" spans="1:15" ht="14.4" x14ac:dyDescent="0.3">
      <c r="A1206" t="s">
        <v>240</v>
      </c>
      <c r="B1206" s="1">
        <v>46190</v>
      </c>
      <c r="C1206" t="s">
        <v>16</v>
      </c>
      <c r="D1206">
        <v>1114</v>
      </c>
      <c r="E1206">
        <v>1</v>
      </c>
      <c r="F1206">
        <v>3.6</v>
      </c>
      <c r="G1206" t="s">
        <v>30</v>
      </c>
      <c r="H1206" t="s">
        <v>99</v>
      </c>
      <c r="I1206" t="str">
        <f t="shared" si="20"/>
        <v>1114_1</v>
      </c>
      <c r="J1206" t="s">
        <v>241</v>
      </c>
      <c r="K1206" t="s">
        <v>179</v>
      </c>
      <c r="L1206" t="str">
        <f>_xlfn.XLOOKUP(C1206, Table2[Species],Table2[Genus], "Code Not Found")</f>
        <v>Acer</v>
      </c>
      <c r="M1206" t="str">
        <f>_xlfn.XLOOKUP(C1206, Table2[Species],Table2[Sp. Name], "Code Not Found")</f>
        <v>saccharum</v>
      </c>
      <c r="N1206" t="str">
        <f>_xlfn.XLOOKUP(C1206,Table2[Species],Table2[Family],"Code Not Found")</f>
        <v>Sapindaceae</v>
      </c>
      <c r="O1206" t="str" cm="1">
        <f t="array" ref="O1206">_xlfn.IFS(F1206="","",F1206&lt;=5,"0 to 5",F1206&lt;=10,"5.1 to 10",F1206&lt;=20,"10 to 20", F1206&lt;= 40, "20 to 40", F1206 &lt;= 50, "40 to 50", F1206 &gt; 50, "&gt;50" )</f>
        <v>0 to 5</v>
      </c>
    </row>
    <row r="1207" spans="1:15" ht="14.4" x14ac:dyDescent="0.3">
      <c r="A1207" t="s">
        <v>240</v>
      </c>
      <c r="B1207" s="1">
        <v>46190</v>
      </c>
      <c r="C1207" t="s">
        <v>16</v>
      </c>
      <c r="D1207">
        <v>1115</v>
      </c>
      <c r="E1207">
        <v>1</v>
      </c>
      <c r="F1207">
        <v>11.7</v>
      </c>
      <c r="G1207" t="s">
        <v>38</v>
      </c>
      <c r="I1207" t="str">
        <f t="shared" si="20"/>
        <v>1115_1</v>
      </c>
      <c r="J1207" t="s">
        <v>241</v>
      </c>
      <c r="K1207" t="s">
        <v>179</v>
      </c>
      <c r="L1207" t="str">
        <f>_xlfn.XLOOKUP(C1207, Table2[Species],Table2[Genus], "Code Not Found")</f>
        <v>Acer</v>
      </c>
      <c r="M1207" t="str">
        <f>_xlfn.XLOOKUP(C1207, Table2[Species],Table2[Sp. Name], "Code Not Found")</f>
        <v>saccharum</v>
      </c>
      <c r="N1207" t="str">
        <f>_xlfn.XLOOKUP(C1207,Table2[Species],Table2[Family],"Code Not Found")</f>
        <v>Sapindaceae</v>
      </c>
      <c r="O1207" t="str" cm="1">
        <f t="array" ref="O1207">_xlfn.IFS(F1207="","",F1207&lt;=5,"0 to 5",F1207&lt;=10,"5.1 to 10",F1207&lt;=20,"10 to 20", F1207&lt;= 40, "20 to 40", F1207 &lt;= 50, "40 to 50", F1207 &gt; 50, "&gt;50" )</f>
        <v>10 to 20</v>
      </c>
    </row>
    <row r="1208" spans="1:15" ht="14.4" x14ac:dyDescent="0.3">
      <c r="A1208" t="s">
        <v>240</v>
      </c>
      <c r="B1208" s="1">
        <v>46190</v>
      </c>
      <c r="C1208" t="s">
        <v>16</v>
      </c>
      <c r="D1208">
        <v>1116</v>
      </c>
      <c r="E1208">
        <v>1</v>
      </c>
      <c r="F1208">
        <v>1.3</v>
      </c>
      <c r="G1208" t="s">
        <v>47</v>
      </c>
      <c r="I1208" t="str">
        <f t="shared" si="20"/>
        <v>1116_1</v>
      </c>
      <c r="J1208" t="s">
        <v>241</v>
      </c>
      <c r="K1208" t="s">
        <v>179</v>
      </c>
      <c r="L1208" t="str">
        <f>_xlfn.XLOOKUP(C1208, Table2[Species],Table2[Genus], "Code Not Found")</f>
        <v>Acer</v>
      </c>
      <c r="M1208" t="str">
        <f>_xlfn.XLOOKUP(C1208, Table2[Species],Table2[Sp. Name], "Code Not Found")</f>
        <v>saccharum</v>
      </c>
      <c r="N1208" t="str">
        <f>_xlfn.XLOOKUP(C1208,Table2[Species],Table2[Family],"Code Not Found")</f>
        <v>Sapindaceae</v>
      </c>
      <c r="O1208" t="str" cm="1">
        <f t="array" ref="O1208">_xlfn.IFS(F1208="","",F1208&lt;=5,"0 to 5",F1208&lt;=10,"5.1 to 10",F1208&lt;=20,"10 to 20", F1208&lt;= 40, "20 to 40", F1208 &lt;= 50, "40 to 50", F1208 &gt; 50, "&gt;50" )</f>
        <v>0 to 5</v>
      </c>
    </row>
    <row r="1209" spans="1:15" ht="14.4" x14ac:dyDescent="0.3">
      <c r="A1209" t="s">
        <v>240</v>
      </c>
      <c r="B1209" s="1">
        <v>46191</v>
      </c>
      <c r="C1209" t="s">
        <v>16</v>
      </c>
      <c r="D1209">
        <v>1118</v>
      </c>
      <c r="E1209">
        <v>1</v>
      </c>
      <c r="F1209">
        <v>2.4</v>
      </c>
      <c r="G1209" t="s">
        <v>17</v>
      </c>
      <c r="I1209" t="str">
        <f t="shared" si="20"/>
        <v>1118_1</v>
      </c>
      <c r="J1209" t="s">
        <v>241</v>
      </c>
      <c r="K1209" t="s">
        <v>179</v>
      </c>
      <c r="L1209" t="str">
        <f>_xlfn.XLOOKUP(C1209, Table2[Species],Table2[Genus], "Code Not Found")</f>
        <v>Acer</v>
      </c>
      <c r="M1209" t="str">
        <f>_xlfn.XLOOKUP(C1209, Table2[Species],Table2[Sp. Name], "Code Not Found")</f>
        <v>saccharum</v>
      </c>
      <c r="N1209" t="str">
        <f>_xlfn.XLOOKUP(C1209,Table2[Species],Table2[Family],"Code Not Found")</f>
        <v>Sapindaceae</v>
      </c>
      <c r="O1209" t="str" cm="1">
        <f t="array" ref="O1209">_xlfn.IFS(F1209="","",F1209&lt;=5,"0 to 5",F1209&lt;=10,"5.1 to 10",F1209&lt;=20,"10 to 20", F1209&lt;= 40, "20 to 40", F1209 &lt;= 50, "40 to 50", F1209 &gt; 50, "&gt;50" )</f>
        <v>0 to 5</v>
      </c>
    </row>
    <row r="1210" spans="1:15" ht="14.4" x14ac:dyDescent="0.3">
      <c r="A1210" t="s">
        <v>240</v>
      </c>
      <c r="B1210" s="1">
        <v>46191</v>
      </c>
      <c r="C1210" t="s">
        <v>16</v>
      </c>
      <c r="D1210">
        <v>1119</v>
      </c>
      <c r="E1210">
        <v>1</v>
      </c>
      <c r="F1210">
        <v>2.1</v>
      </c>
      <c r="G1210" t="s">
        <v>170</v>
      </c>
      <c r="H1210" t="s">
        <v>99</v>
      </c>
      <c r="I1210" t="str">
        <f t="shared" si="20"/>
        <v>1119_1</v>
      </c>
      <c r="J1210" t="s">
        <v>241</v>
      </c>
      <c r="K1210" t="s">
        <v>179</v>
      </c>
      <c r="L1210" t="str">
        <f>_xlfn.XLOOKUP(C1210, Table2[Species],Table2[Genus], "Code Not Found")</f>
        <v>Acer</v>
      </c>
      <c r="M1210" t="str">
        <f>_xlfn.XLOOKUP(C1210, Table2[Species],Table2[Sp. Name], "Code Not Found")</f>
        <v>saccharum</v>
      </c>
      <c r="N1210" t="str">
        <f>_xlfn.XLOOKUP(C1210,Table2[Species],Table2[Family],"Code Not Found")</f>
        <v>Sapindaceae</v>
      </c>
      <c r="O1210" t="str" cm="1">
        <f t="array" ref="O1210">_xlfn.IFS(F1210="","",F1210&lt;=5,"0 to 5",F1210&lt;=10,"5.1 to 10",F1210&lt;=20,"10 to 20", F1210&lt;= 40, "20 to 40", F1210 &lt;= 50, "40 to 50", F1210 &gt; 50, "&gt;50" )</f>
        <v>0 to 5</v>
      </c>
    </row>
    <row r="1211" spans="1:15" ht="14.4" x14ac:dyDescent="0.3">
      <c r="A1211" t="s">
        <v>240</v>
      </c>
      <c r="B1211" s="1">
        <v>46191</v>
      </c>
      <c r="C1211" t="s">
        <v>16</v>
      </c>
      <c r="D1211">
        <v>1120</v>
      </c>
      <c r="E1211">
        <v>1</v>
      </c>
      <c r="F1211">
        <v>6</v>
      </c>
      <c r="G1211" t="s">
        <v>21</v>
      </c>
      <c r="I1211" t="str">
        <f t="shared" si="20"/>
        <v>1120_1</v>
      </c>
      <c r="J1211" t="s">
        <v>241</v>
      </c>
      <c r="K1211" t="s">
        <v>179</v>
      </c>
      <c r="L1211" t="str">
        <f>_xlfn.XLOOKUP(C1211, Table2[Species],Table2[Genus], "Code Not Found")</f>
        <v>Acer</v>
      </c>
      <c r="M1211" t="str">
        <f>_xlfn.XLOOKUP(C1211, Table2[Species],Table2[Sp. Name], "Code Not Found")</f>
        <v>saccharum</v>
      </c>
      <c r="N1211" t="str">
        <f>_xlfn.XLOOKUP(C1211,Table2[Species],Table2[Family],"Code Not Found")</f>
        <v>Sapindaceae</v>
      </c>
      <c r="O1211" t="str" cm="1">
        <f t="array" ref="O1211">_xlfn.IFS(F1211="","",F1211&lt;=5,"0 to 5",F1211&lt;=10,"5.1 to 10",F1211&lt;=20,"10 to 20", F1211&lt;= 40, "20 to 40", F1211 &lt;= 50, "40 to 50", F1211 &gt; 50, "&gt;50" )</f>
        <v>5.1 to 10</v>
      </c>
    </row>
    <row r="1212" spans="1:15" ht="14.4" x14ac:dyDescent="0.3">
      <c r="A1212" t="s">
        <v>240</v>
      </c>
      <c r="B1212" s="1">
        <v>46191</v>
      </c>
      <c r="C1212" t="s">
        <v>16</v>
      </c>
      <c r="D1212">
        <v>1121</v>
      </c>
      <c r="E1212">
        <v>1</v>
      </c>
      <c r="F1212">
        <v>6.7</v>
      </c>
      <c r="G1212" t="s">
        <v>47</v>
      </c>
      <c r="H1212" t="s">
        <v>43</v>
      </c>
      <c r="I1212" t="str">
        <f t="shared" si="20"/>
        <v>1121_1</v>
      </c>
      <c r="J1212" t="s">
        <v>241</v>
      </c>
      <c r="K1212" t="s">
        <v>179</v>
      </c>
      <c r="L1212" t="str">
        <f>_xlfn.XLOOKUP(C1212, Table2[Species],Table2[Genus], "Code Not Found")</f>
        <v>Acer</v>
      </c>
      <c r="M1212" t="str">
        <f>_xlfn.XLOOKUP(C1212, Table2[Species],Table2[Sp. Name], "Code Not Found")</f>
        <v>saccharum</v>
      </c>
      <c r="N1212" t="str">
        <f>_xlfn.XLOOKUP(C1212,Table2[Species],Table2[Family],"Code Not Found")</f>
        <v>Sapindaceae</v>
      </c>
      <c r="O1212" t="str" cm="1">
        <f t="array" ref="O1212">_xlfn.IFS(F1212="","",F1212&lt;=5,"0 to 5",F1212&lt;=10,"5.1 to 10",F1212&lt;=20,"10 to 20", F1212&lt;= 40, "20 to 40", F1212 &lt;= 50, "40 to 50", F1212 &gt; 50, "&gt;50" )</f>
        <v>5.1 to 10</v>
      </c>
    </row>
    <row r="1213" spans="1:15" ht="14.4" x14ac:dyDescent="0.3">
      <c r="A1213" t="s">
        <v>240</v>
      </c>
      <c r="B1213" s="1">
        <v>46191</v>
      </c>
      <c r="C1213" t="s">
        <v>16</v>
      </c>
      <c r="D1213">
        <v>1122</v>
      </c>
      <c r="E1213">
        <v>1</v>
      </c>
      <c r="F1213">
        <v>2</v>
      </c>
      <c r="G1213" t="s">
        <v>54</v>
      </c>
      <c r="I1213" t="str">
        <f t="shared" si="20"/>
        <v>1122_1</v>
      </c>
      <c r="J1213" t="s">
        <v>241</v>
      </c>
      <c r="K1213" t="s">
        <v>179</v>
      </c>
      <c r="L1213" t="str">
        <f>_xlfn.XLOOKUP(C1213, Table2[Species],Table2[Genus], "Code Not Found")</f>
        <v>Acer</v>
      </c>
      <c r="M1213" t="str">
        <f>_xlfn.XLOOKUP(C1213, Table2[Species],Table2[Sp. Name], "Code Not Found")</f>
        <v>saccharum</v>
      </c>
      <c r="N1213" t="str">
        <f>_xlfn.XLOOKUP(C1213,Table2[Species],Table2[Family],"Code Not Found")</f>
        <v>Sapindaceae</v>
      </c>
      <c r="O1213" t="str" cm="1">
        <f t="array" ref="O1213">_xlfn.IFS(F1213="","",F1213&lt;=5,"0 to 5",F1213&lt;=10,"5.1 to 10",F1213&lt;=20,"10 to 20", F1213&lt;= 40, "20 to 40", F1213 &lt;= 50, "40 to 50", F1213 &gt; 50, "&gt;50" )</f>
        <v>0 to 5</v>
      </c>
    </row>
    <row r="1214" spans="1:15" ht="14.4" x14ac:dyDescent="0.3">
      <c r="A1214" t="s">
        <v>240</v>
      </c>
      <c r="B1214" s="1">
        <v>46191</v>
      </c>
      <c r="C1214" t="s">
        <v>24</v>
      </c>
      <c r="D1214">
        <v>1123</v>
      </c>
      <c r="E1214">
        <v>1</v>
      </c>
      <c r="F1214">
        <v>90.7</v>
      </c>
      <c r="G1214" t="s">
        <v>21</v>
      </c>
      <c r="I1214" t="str">
        <f t="shared" si="20"/>
        <v>1123_1</v>
      </c>
      <c r="J1214" t="s">
        <v>241</v>
      </c>
      <c r="K1214" t="s">
        <v>179</v>
      </c>
      <c r="L1214" t="str">
        <f>_xlfn.XLOOKUP(C1214, Table2[Species],Table2[Genus], "Code Not Found")</f>
        <v>Lirodendron</v>
      </c>
      <c r="M1214" t="str">
        <f>_xlfn.XLOOKUP(C1214, Table2[Species],Table2[Sp. Name], "Code Not Found")</f>
        <v>tulipfera</v>
      </c>
      <c r="N1214" t="str">
        <f>_xlfn.XLOOKUP(C1214,Table2[Species],Table2[Family],"Code Not Found")</f>
        <v>Magnoliaceae</v>
      </c>
      <c r="O1214" t="str" cm="1">
        <f t="array" ref="O1214">_xlfn.IFS(F1214="","",F1214&lt;=5,"0 to 5",F1214&lt;=10,"5.1 to 10",F1214&lt;=20,"10 to 20", F1214&lt;= 40, "20 to 40", F1214 &lt;= 50, "40 to 50", F1214 &gt; 50, "&gt;50" )</f>
        <v>&gt;50</v>
      </c>
    </row>
    <row r="1215" spans="1:15" ht="14.4" x14ac:dyDescent="0.3">
      <c r="A1215" t="s">
        <v>240</v>
      </c>
      <c r="B1215" s="1">
        <v>46191</v>
      </c>
      <c r="C1215" t="s">
        <v>16</v>
      </c>
      <c r="D1215">
        <v>1124</v>
      </c>
      <c r="E1215">
        <v>1</v>
      </c>
      <c r="F1215">
        <v>12.3</v>
      </c>
      <c r="G1215" t="s">
        <v>17</v>
      </c>
      <c r="I1215" t="str">
        <f t="shared" si="20"/>
        <v>1124_1</v>
      </c>
      <c r="J1215" t="s">
        <v>241</v>
      </c>
      <c r="K1215" t="s">
        <v>179</v>
      </c>
      <c r="L1215" t="str">
        <f>_xlfn.XLOOKUP(C1215, Table2[Species],Table2[Genus], "Code Not Found")</f>
        <v>Acer</v>
      </c>
      <c r="M1215" t="str">
        <f>_xlfn.XLOOKUP(C1215, Table2[Species],Table2[Sp. Name], "Code Not Found")</f>
        <v>saccharum</v>
      </c>
      <c r="N1215" t="str">
        <f>_xlfn.XLOOKUP(C1215,Table2[Species],Table2[Family],"Code Not Found")</f>
        <v>Sapindaceae</v>
      </c>
      <c r="O1215" t="str" cm="1">
        <f t="array" ref="O1215">_xlfn.IFS(F1215="","",F1215&lt;=5,"0 to 5",F1215&lt;=10,"5.1 to 10",F1215&lt;=20,"10 to 20", F1215&lt;= 40, "20 to 40", F1215 &lt;= 50, "40 to 50", F1215 &gt; 50, "&gt;50" )</f>
        <v>10 to 20</v>
      </c>
    </row>
    <row r="1216" spans="1:15" ht="14.4" x14ac:dyDescent="0.3">
      <c r="A1216" t="s">
        <v>240</v>
      </c>
      <c r="B1216" s="1">
        <v>46191</v>
      </c>
      <c r="C1216" t="s">
        <v>16</v>
      </c>
      <c r="D1216">
        <v>1125</v>
      </c>
      <c r="E1216">
        <v>1</v>
      </c>
      <c r="F1216">
        <v>10.199999999999999</v>
      </c>
      <c r="G1216" t="s">
        <v>21</v>
      </c>
      <c r="I1216" t="str">
        <f t="shared" si="20"/>
        <v>1125_1</v>
      </c>
      <c r="J1216" t="s">
        <v>241</v>
      </c>
      <c r="K1216" t="s">
        <v>179</v>
      </c>
      <c r="L1216" t="str">
        <f>_xlfn.XLOOKUP(C1216, Table2[Species],Table2[Genus], "Code Not Found")</f>
        <v>Acer</v>
      </c>
      <c r="M1216" t="str">
        <f>_xlfn.XLOOKUP(C1216, Table2[Species],Table2[Sp. Name], "Code Not Found")</f>
        <v>saccharum</v>
      </c>
      <c r="N1216" t="str">
        <f>_xlfn.XLOOKUP(C1216,Table2[Species],Table2[Family],"Code Not Found")</f>
        <v>Sapindaceae</v>
      </c>
      <c r="O1216" t="str" cm="1">
        <f t="array" ref="O1216">_xlfn.IFS(F1216="","",F1216&lt;=5,"0 to 5",F1216&lt;=10,"5.1 to 10",F1216&lt;=20,"10 to 20", F1216&lt;= 40, "20 to 40", F1216 &lt;= 50, "40 to 50", F1216 &gt; 50, "&gt;50" )</f>
        <v>10 to 20</v>
      </c>
    </row>
    <row r="1217" spans="1:15" ht="14.4" x14ac:dyDescent="0.3">
      <c r="A1217" t="s">
        <v>240</v>
      </c>
      <c r="B1217" s="1">
        <v>46191</v>
      </c>
      <c r="C1217" t="s">
        <v>16</v>
      </c>
      <c r="D1217">
        <v>1126</v>
      </c>
      <c r="E1217">
        <v>1</v>
      </c>
      <c r="F1217">
        <v>4.0999999999999996</v>
      </c>
      <c r="G1217" t="s">
        <v>47</v>
      </c>
      <c r="H1217" t="s">
        <v>43</v>
      </c>
      <c r="I1217" t="str">
        <f t="shared" si="20"/>
        <v>1126_1</v>
      </c>
      <c r="J1217" t="s">
        <v>241</v>
      </c>
      <c r="K1217" t="s">
        <v>179</v>
      </c>
      <c r="L1217" t="str">
        <f>_xlfn.XLOOKUP(C1217, Table2[Species],Table2[Genus], "Code Not Found")</f>
        <v>Acer</v>
      </c>
      <c r="M1217" t="str">
        <f>_xlfn.XLOOKUP(C1217, Table2[Species],Table2[Sp. Name], "Code Not Found")</f>
        <v>saccharum</v>
      </c>
      <c r="N1217" t="str">
        <f>_xlfn.XLOOKUP(C1217,Table2[Species],Table2[Family],"Code Not Found")</f>
        <v>Sapindaceae</v>
      </c>
      <c r="O1217" t="str" cm="1">
        <f t="array" ref="O1217">_xlfn.IFS(F1217="","",F1217&lt;=5,"0 to 5",F1217&lt;=10,"5.1 to 10",F1217&lt;=20,"10 to 20", F1217&lt;= 40, "20 to 40", F1217 &lt;= 50, "40 to 50", F1217 &gt; 50, "&gt;50" )</f>
        <v>0 to 5</v>
      </c>
    </row>
    <row r="1218" spans="1:15" ht="14.4" x14ac:dyDescent="0.3">
      <c r="A1218" t="s">
        <v>240</v>
      </c>
      <c r="B1218" s="1">
        <v>46191</v>
      </c>
      <c r="C1218" t="s">
        <v>16</v>
      </c>
      <c r="D1218">
        <v>1127</v>
      </c>
      <c r="E1218">
        <v>1</v>
      </c>
      <c r="F1218">
        <v>10.6</v>
      </c>
      <c r="G1218" t="s">
        <v>17</v>
      </c>
      <c r="I1218" t="str">
        <f t="shared" si="20"/>
        <v>1127_1</v>
      </c>
      <c r="J1218" t="s">
        <v>241</v>
      </c>
      <c r="K1218" t="s">
        <v>179</v>
      </c>
      <c r="L1218" t="str">
        <f>_xlfn.XLOOKUP(C1218, Table2[Species],Table2[Genus], "Code Not Found")</f>
        <v>Acer</v>
      </c>
      <c r="M1218" t="str">
        <f>_xlfn.XLOOKUP(C1218, Table2[Species],Table2[Sp. Name], "Code Not Found")</f>
        <v>saccharum</v>
      </c>
      <c r="N1218" t="str">
        <f>_xlfn.XLOOKUP(C1218,Table2[Species],Table2[Family],"Code Not Found")</f>
        <v>Sapindaceae</v>
      </c>
      <c r="O1218" t="str" cm="1">
        <f t="array" ref="O1218">_xlfn.IFS(F1218="","",F1218&lt;=5,"0 to 5",F1218&lt;=10,"5.1 to 10",F1218&lt;=20,"10 to 20", F1218&lt;= 40, "20 to 40", F1218 &lt;= 50, "40 to 50", F1218 &gt; 50, "&gt;50" )</f>
        <v>10 to 20</v>
      </c>
    </row>
    <row r="1219" spans="1:15" ht="14.4" x14ac:dyDescent="0.3">
      <c r="A1219" t="s">
        <v>240</v>
      </c>
      <c r="B1219" s="1">
        <v>46191</v>
      </c>
      <c r="C1219" t="s">
        <v>16</v>
      </c>
      <c r="D1219">
        <v>1128</v>
      </c>
      <c r="E1219">
        <v>1</v>
      </c>
      <c r="F1219">
        <v>4.8</v>
      </c>
      <c r="G1219" t="s">
        <v>17</v>
      </c>
      <c r="I1219" t="str">
        <f t="shared" si="20"/>
        <v>1128_1</v>
      </c>
      <c r="J1219" t="s">
        <v>241</v>
      </c>
      <c r="K1219" t="s">
        <v>179</v>
      </c>
      <c r="L1219" t="str">
        <f>_xlfn.XLOOKUP(C1219, Table2[Species],Table2[Genus], "Code Not Found")</f>
        <v>Acer</v>
      </c>
      <c r="M1219" t="str">
        <f>_xlfn.XLOOKUP(C1219, Table2[Species],Table2[Sp. Name], "Code Not Found")</f>
        <v>saccharum</v>
      </c>
      <c r="N1219" t="str">
        <f>_xlfn.XLOOKUP(C1219,Table2[Species],Table2[Family],"Code Not Found")</f>
        <v>Sapindaceae</v>
      </c>
      <c r="O1219" t="str" cm="1">
        <f t="array" ref="O1219">_xlfn.IFS(F1219="","",F1219&lt;=5,"0 to 5",F1219&lt;=10,"5.1 to 10",F1219&lt;=20,"10 to 20", F1219&lt;= 40, "20 to 40", F1219 &lt;= 50, "40 to 50", F1219 &gt; 50, "&gt;50" )</f>
        <v>0 to 5</v>
      </c>
    </row>
    <row r="1220" spans="1:15" ht="14.4" x14ac:dyDescent="0.3">
      <c r="A1220" t="s">
        <v>240</v>
      </c>
      <c r="B1220" s="1">
        <v>46191</v>
      </c>
      <c r="C1220" t="s">
        <v>16</v>
      </c>
      <c r="D1220">
        <v>1129</v>
      </c>
      <c r="E1220">
        <v>1</v>
      </c>
      <c r="F1220">
        <v>3</v>
      </c>
      <c r="G1220" t="s">
        <v>34</v>
      </c>
      <c r="I1220" t="str">
        <f t="shared" si="20"/>
        <v>1129_1</v>
      </c>
      <c r="J1220" t="s">
        <v>241</v>
      </c>
      <c r="K1220" t="s">
        <v>179</v>
      </c>
      <c r="L1220" t="str">
        <f>_xlfn.XLOOKUP(C1220, Table2[Species],Table2[Genus], "Code Not Found")</f>
        <v>Acer</v>
      </c>
      <c r="M1220" t="str">
        <f>_xlfn.XLOOKUP(C1220, Table2[Species],Table2[Sp. Name], "Code Not Found")</f>
        <v>saccharum</v>
      </c>
      <c r="N1220" t="str">
        <f>_xlfn.XLOOKUP(C1220,Table2[Species],Table2[Family],"Code Not Found")</f>
        <v>Sapindaceae</v>
      </c>
      <c r="O1220" t="str" cm="1">
        <f t="array" ref="O1220">_xlfn.IFS(F1220="","",F1220&lt;=5,"0 to 5",F1220&lt;=10,"5.1 to 10",F1220&lt;=20,"10 to 20", F1220&lt;= 40, "20 to 40", F1220 &lt;= 50, "40 to 50", F1220 &gt; 50, "&gt;50" )</f>
        <v>0 to 5</v>
      </c>
    </row>
    <row r="1221" spans="1:15" ht="14.4" x14ac:dyDescent="0.3">
      <c r="A1221" t="s">
        <v>240</v>
      </c>
      <c r="B1221" s="1">
        <v>46191</v>
      </c>
      <c r="C1221" t="s">
        <v>16</v>
      </c>
      <c r="D1221">
        <v>1129</v>
      </c>
      <c r="E1221">
        <v>2</v>
      </c>
      <c r="F1221">
        <v>2.9</v>
      </c>
      <c r="G1221" t="s">
        <v>34</v>
      </c>
      <c r="I1221" t="str">
        <f t="shared" si="20"/>
        <v>1129_2</v>
      </c>
      <c r="J1221" t="s">
        <v>241</v>
      </c>
      <c r="K1221" t="s">
        <v>179</v>
      </c>
      <c r="L1221" t="str">
        <f>_xlfn.XLOOKUP(C1221, Table2[Species],Table2[Genus], "Code Not Found")</f>
        <v>Acer</v>
      </c>
      <c r="M1221" t="str">
        <f>_xlfn.XLOOKUP(C1221, Table2[Species],Table2[Sp. Name], "Code Not Found")</f>
        <v>saccharum</v>
      </c>
      <c r="N1221" t="str">
        <f>_xlfn.XLOOKUP(C1221,Table2[Species],Table2[Family],"Code Not Found")</f>
        <v>Sapindaceae</v>
      </c>
      <c r="O1221" t="str" cm="1">
        <f t="array" ref="O1221">_xlfn.IFS(F1221="","",F1221&lt;=5,"0 to 5",F1221&lt;=10,"5.1 to 10",F1221&lt;=20,"10 to 20", F1221&lt;= 40, "20 to 40", F1221 &lt;= 50, "40 to 50", F1221 &gt; 50, "&gt;50" )</f>
        <v>0 to 5</v>
      </c>
    </row>
    <row r="1222" spans="1:15" ht="14.4" x14ac:dyDescent="0.3">
      <c r="A1222" t="s">
        <v>240</v>
      </c>
      <c r="B1222" s="1">
        <v>46191</v>
      </c>
      <c r="C1222" t="s">
        <v>16</v>
      </c>
      <c r="D1222">
        <v>1130</v>
      </c>
      <c r="E1222">
        <v>1</v>
      </c>
      <c r="F1222">
        <v>5.0999999999999996</v>
      </c>
      <c r="G1222" t="s">
        <v>17</v>
      </c>
      <c r="I1222" t="str">
        <f t="shared" si="20"/>
        <v>1130_1</v>
      </c>
      <c r="J1222" t="s">
        <v>241</v>
      </c>
      <c r="K1222" t="s">
        <v>179</v>
      </c>
      <c r="L1222" t="str">
        <f>_xlfn.XLOOKUP(C1222, Table2[Species],Table2[Genus], "Code Not Found")</f>
        <v>Acer</v>
      </c>
      <c r="M1222" t="str">
        <f>_xlfn.XLOOKUP(C1222, Table2[Species],Table2[Sp. Name], "Code Not Found")</f>
        <v>saccharum</v>
      </c>
      <c r="N1222" t="str">
        <f>_xlfn.XLOOKUP(C1222,Table2[Species],Table2[Family],"Code Not Found")</f>
        <v>Sapindaceae</v>
      </c>
      <c r="O1222" t="str" cm="1">
        <f t="array" ref="O1222">_xlfn.IFS(F1222="","",F1222&lt;=5,"0 to 5",F1222&lt;=10,"5.1 to 10",F1222&lt;=20,"10 to 20", F1222&lt;= 40, "20 to 40", F1222 &lt;= 50, "40 to 50", F1222 &gt; 50, "&gt;50" )</f>
        <v>5.1 to 10</v>
      </c>
    </row>
    <row r="1223" spans="1:15" ht="14.4" x14ac:dyDescent="0.3">
      <c r="A1223" t="s">
        <v>240</v>
      </c>
      <c r="B1223" s="1">
        <v>46191</v>
      </c>
      <c r="C1223" t="s">
        <v>16</v>
      </c>
      <c r="D1223">
        <v>1131</v>
      </c>
      <c r="E1223">
        <v>1</v>
      </c>
      <c r="F1223">
        <v>1.8</v>
      </c>
      <c r="G1223" t="s">
        <v>69</v>
      </c>
      <c r="H1223" t="s">
        <v>43</v>
      </c>
      <c r="I1223" t="str">
        <f t="shared" si="20"/>
        <v>1131_1</v>
      </c>
      <c r="J1223" t="s">
        <v>241</v>
      </c>
      <c r="K1223" t="s">
        <v>179</v>
      </c>
      <c r="L1223" t="str">
        <f>_xlfn.XLOOKUP(C1223, Table2[Species],Table2[Genus], "Code Not Found")</f>
        <v>Acer</v>
      </c>
      <c r="M1223" t="str">
        <f>_xlfn.XLOOKUP(C1223, Table2[Species],Table2[Sp. Name], "Code Not Found")</f>
        <v>saccharum</v>
      </c>
      <c r="N1223" t="str">
        <f>_xlfn.XLOOKUP(C1223,Table2[Species],Table2[Family],"Code Not Found")</f>
        <v>Sapindaceae</v>
      </c>
      <c r="O1223" t="str" cm="1">
        <f t="array" ref="O1223">_xlfn.IFS(F1223="","",F1223&lt;=5,"0 to 5",F1223&lt;=10,"5.1 to 10",F1223&lt;=20,"10 to 20", F1223&lt;= 40, "20 to 40", F1223 &lt;= 50, "40 to 50", F1223 &gt; 50, "&gt;50" )</f>
        <v>0 to 5</v>
      </c>
    </row>
    <row r="1224" spans="1:15" ht="14.4" x14ac:dyDescent="0.3">
      <c r="A1224" t="s">
        <v>240</v>
      </c>
      <c r="B1224" s="1">
        <v>46191</v>
      </c>
      <c r="C1224" t="s">
        <v>16</v>
      </c>
      <c r="D1224">
        <v>1132</v>
      </c>
      <c r="E1224">
        <v>1</v>
      </c>
      <c r="F1224">
        <v>1.6</v>
      </c>
      <c r="G1224" t="s">
        <v>17</v>
      </c>
      <c r="I1224" t="str">
        <f t="shared" si="20"/>
        <v>1132_1</v>
      </c>
      <c r="J1224" t="s">
        <v>241</v>
      </c>
      <c r="K1224" t="s">
        <v>179</v>
      </c>
      <c r="L1224" t="str">
        <f>_xlfn.XLOOKUP(C1224, Table2[Species],Table2[Genus], "Code Not Found")</f>
        <v>Acer</v>
      </c>
      <c r="M1224" t="str">
        <f>_xlfn.XLOOKUP(C1224, Table2[Species],Table2[Sp. Name], "Code Not Found")</f>
        <v>saccharum</v>
      </c>
      <c r="N1224" t="str">
        <f>_xlfn.XLOOKUP(C1224,Table2[Species],Table2[Family],"Code Not Found")</f>
        <v>Sapindaceae</v>
      </c>
      <c r="O1224" t="str" cm="1">
        <f t="array" ref="O1224">_xlfn.IFS(F1224="","",F1224&lt;=5,"0 to 5",F1224&lt;=10,"5.1 to 10",F1224&lt;=20,"10 to 20", F1224&lt;= 40, "20 to 40", F1224 &lt;= 50, "40 to 50", F1224 &gt; 50, "&gt;50" )</f>
        <v>0 to 5</v>
      </c>
    </row>
    <row r="1225" spans="1:15" ht="14.4" x14ac:dyDescent="0.3">
      <c r="A1225" t="s">
        <v>240</v>
      </c>
      <c r="B1225" s="1">
        <v>46191</v>
      </c>
      <c r="C1225" t="s">
        <v>16</v>
      </c>
      <c r="D1225">
        <v>1133</v>
      </c>
      <c r="E1225">
        <v>1</v>
      </c>
      <c r="F1225">
        <v>3.5</v>
      </c>
      <c r="G1225" t="s">
        <v>17</v>
      </c>
      <c r="I1225" t="str">
        <f t="shared" si="20"/>
        <v>1133_1</v>
      </c>
      <c r="J1225" t="s">
        <v>241</v>
      </c>
      <c r="K1225" t="s">
        <v>179</v>
      </c>
      <c r="L1225" t="str">
        <f>_xlfn.XLOOKUP(C1225, Table2[Species],Table2[Genus], "Code Not Found")</f>
        <v>Acer</v>
      </c>
      <c r="M1225" t="str">
        <f>_xlfn.XLOOKUP(C1225, Table2[Species],Table2[Sp. Name], "Code Not Found")</f>
        <v>saccharum</v>
      </c>
      <c r="N1225" t="str">
        <f>_xlfn.XLOOKUP(C1225,Table2[Species],Table2[Family],"Code Not Found")</f>
        <v>Sapindaceae</v>
      </c>
      <c r="O1225" t="str" cm="1">
        <f t="array" ref="O1225">_xlfn.IFS(F1225="","",F1225&lt;=5,"0 to 5",F1225&lt;=10,"5.1 to 10",F1225&lt;=20,"10 to 20", F1225&lt;= 40, "20 to 40", F1225 &lt;= 50, "40 to 50", F1225 &gt; 50, "&gt;50" )</f>
        <v>0 to 5</v>
      </c>
    </row>
    <row r="1226" spans="1:15" ht="14.4" x14ac:dyDescent="0.3">
      <c r="A1226" t="s">
        <v>240</v>
      </c>
      <c r="B1226" s="1">
        <v>46191</v>
      </c>
      <c r="C1226" t="s">
        <v>16</v>
      </c>
      <c r="D1226">
        <v>1134</v>
      </c>
      <c r="E1226">
        <v>1</v>
      </c>
      <c r="F1226">
        <v>1.8</v>
      </c>
      <c r="G1226" t="s">
        <v>69</v>
      </c>
      <c r="H1226" t="s">
        <v>43</v>
      </c>
      <c r="I1226" t="str">
        <f t="shared" si="20"/>
        <v>1134_1</v>
      </c>
      <c r="J1226" t="s">
        <v>241</v>
      </c>
      <c r="K1226" t="s">
        <v>179</v>
      </c>
      <c r="L1226" t="str">
        <f>_xlfn.XLOOKUP(C1226, Table2[Species],Table2[Genus], "Code Not Found")</f>
        <v>Acer</v>
      </c>
      <c r="M1226" t="str">
        <f>_xlfn.XLOOKUP(C1226, Table2[Species],Table2[Sp. Name], "Code Not Found")</f>
        <v>saccharum</v>
      </c>
      <c r="N1226" t="str">
        <f>_xlfn.XLOOKUP(C1226,Table2[Species],Table2[Family],"Code Not Found")</f>
        <v>Sapindaceae</v>
      </c>
      <c r="O1226" t="str" cm="1">
        <f t="array" ref="O1226">_xlfn.IFS(F1226="","",F1226&lt;=5,"0 to 5",F1226&lt;=10,"5.1 to 10",F1226&lt;=20,"10 to 20", F1226&lt;= 40, "20 to 40", F1226 &lt;= 50, "40 to 50", F1226 &gt; 50, "&gt;50" )</f>
        <v>0 to 5</v>
      </c>
    </row>
    <row r="1227" spans="1:15" ht="14.4" x14ac:dyDescent="0.3">
      <c r="A1227" t="s">
        <v>240</v>
      </c>
      <c r="B1227" s="1">
        <v>46191</v>
      </c>
      <c r="C1227" t="s">
        <v>16</v>
      </c>
      <c r="D1227">
        <v>1135</v>
      </c>
      <c r="E1227">
        <v>1</v>
      </c>
      <c r="F1227">
        <v>7.5</v>
      </c>
      <c r="G1227" t="s">
        <v>17</v>
      </c>
      <c r="I1227" t="str">
        <f t="shared" si="20"/>
        <v>1135_1</v>
      </c>
      <c r="J1227" t="s">
        <v>241</v>
      </c>
      <c r="K1227" t="s">
        <v>179</v>
      </c>
      <c r="L1227" t="str">
        <f>_xlfn.XLOOKUP(C1227, Table2[Species],Table2[Genus], "Code Not Found")</f>
        <v>Acer</v>
      </c>
      <c r="M1227" t="str">
        <f>_xlfn.XLOOKUP(C1227, Table2[Species],Table2[Sp. Name], "Code Not Found")</f>
        <v>saccharum</v>
      </c>
      <c r="N1227" t="str">
        <f>_xlfn.XLOOKUP(C1227,Table2[Species],Table2[Family],"Code Not Found")</f>
        <v>Sapindaceae</v>
      </c>
      <c r="O1227" t="str" cm="1">
        <f t="array" ref="O1227">_xlfn.IFS(F1227="","",F1227&lt;=5,"0 to 5",F1227&lt;=10,"5.1 to 10",F1227&lt;=20,"10 to 20", F1227&lt;= 40, "20 to 40", F1227 &lt;= 50, "40 to 50", F1227 &gt; 50, "&gt;50" )</f>
        <v>5.1 to 10</v>
      </c>
    </row>
    <row r="1228" spans="1:15" ht="14.4" x14ac:dyDescent="0.3">
      <c r="A1228" t="s">
        <v>240</v>
      </c>
      <c r="B1228" s="1">
        <v>46191</v>
      </c>
      <c r="C1228" t="s">
        <v>16</v>
      </c>
      <c r="D1228">
        <v>1136</v>
      </c>
      <c r="E1228">
        <v>1</v>
      </c>
      <c r="F1228">
        <v>1.1000000000000001</v>
      </c>
      <c r="G1228" t="s">
        <v>17</v>
      </c>
      <c r="H1228" t="s">
        <v>43</v>
      </c>
      <c r="I1228" t="str">
        <f t="shared" si="20"/>
        <v>1136_1</v>
      </c>
      <c r="J1228" t="s">
        <v>241</v>
      </c>
      <c r="K1228" t="s">
        <v>179</v>
      </c>
      <c r="L1228" t="str">
        <f>_xlfn.XLOOKUP(C1228, Table2[Species],Table2[Genus], "Code Not Found")</f>
        <v>Acer</v>
      </c>
      <c r="M1228" t="str">
        <f>_xlfn.XLOOKUP(C1228, Table2[Species],Table2[Sp. Name], "Code Not Found")</f>
        <v>saccharum</v>
      </c>
      <c r="N1228" t="str">
        <f>_xlfn.XLOOKUP(C1228,Table2[Species],Table2[Family],"Code Not Found")</f>
        <v>Sapindaceae</v>
      </c>
      <c r="O1228" t="str" cm="1">
        <f t="array" ref="O1228">_xlfn.IFS(F1228="","",F1228&lt;=5,"0 to 5",F1228&lt;=10,"5.1 to 10",F1228&lt;=20,"10 to 20", F1228&lt;= 40, "20 to 40", F1228 &lt;= 50, "40 to 50", F1228 &gt; 50, "&gt;50" )</f>
        <v>0 to 5</v>
      </c>
    </row>
    <row r="1229" spans="1:15" ht="14.4" x14ac:dyDescent="0.3">
      <c r="A1229" t="s">
        <v>240</v>
      </c>
      <c r="B1229" s="1">
        <v>46191</v>
      </c>
      <c r="C1229" t="s">
        <v>16</v>
      </c>
      <c r="D1229">
        <v>1137</v>
      </c>
      <c r="E1229">
        <v>1</v>
      </c>
      <c r="F1229">
        <v>1.9</v>
      </c>
      <c r="G1229" t="s">
        <v>17</v>
      </c>
      <c r="I1229" t="str">
        <f t="shared" si="20"/>
        <v>1137_1</v>
      </c>
      <c r="J1229" t="s">
        <v>241</v>
      </c>
      <c r="K1229" t="s">
        <v>179</v>
      </c>
      <c r="L1229" t="str">
        <f>_xlfn.XLOOKUP(C1229, Table2[Species],Table2[Genus], "Code Not Found")</f>
        <v>Acer</v>
      </c>
      <c r="M1229" t="str">
        <f>_xlfn.XLOOKUP(C1229, Table2[Species],Table2[Sp. Name], "Code Not Found")</f>
        <v>saccharum</v>
      </c>
      <c r="N1229" t="str">
        <f>_xlfn.XLOOKUP(C1229,Table2[Species],Table2[Family],"Code Not Found")</f>
        <v>Sapindaceae</v>
      </c>
      <c r="O1229" t="str" cm="1">
        <f t="array" ref="O1229">_xlfn.IFS(F1229="","",F1229&lt;=5,"0 to 5",F1229&lt;=10,"5.1 to 10",F1229&lt;=20,"10 to 20", F1229&lt;= 40, "20 to 40", F1229 &lt;= 50, "40 to 50", F1229 &gt; 50, "&gt;50" )</f>
        <v>0 to 5</v>
      </c>
    </row>
    <row r="1230" spans="1:15" ht="14.4" x14ac:dyDescent="0.3">
      <c r="A1230" t="s">
        <v>240</v>
      </c>
      <c r="B1230" s="1">
        <v>46191</v>
      </c>
      <c r="C1230" t="s">
        <v>16</v>
      </c>
      <c r="D1230">
        <v>1138</v>
      </c>
      <c r="E1230">
        <v>1</v>
      </c>
      <c r="F1230">
        <v>3</v>
      </c>
      <c r="G1230" t="s">
        <v>88</v>
      </c>
      <c r="H1230" t="s">
        <v>99</v>
      </c>
      <c r="I1230" t="str">
        <f t="shared" si="20"/>
        <v>1138_1</v>
      </c>
      <c r="J1230" t="s">
        <v>241</v>
      </c>
      <c r="K1230" t="s">
        <v>179</v>
      </c>
      <c r="L1230" t="str">
        <f>_xlfn.XLOOKUP(C1230, Table2[Species],Table2[Genus], "Code Not Found")</f>
        <v>Acer</v>
      </c>
      <c r="M1230" t="str">
        <f>_xlfn.XLOOKUP(C1230, Table2[Species],Table2[Sp. Name], "Code Not Found")</f>
        <v>saccharum</v>
      </c>
      <c r="N1230" t="str">
        <f>_xlfn.XLOOKUP(C1230,Table2[Species],Table2[Family],"Code Not Found")</f>
        <v>Sapindaceae</v>
      </c>
      <c r="O1230" t="str" cm="1">
        <f t="array" ref="O1230">_xlfn.IFS(F1230="","",F1230&lt;=5,"0 to 5",F1230&lt;=10,"5.1 to 10",F1230&lt;=20,"10 to 20", F1230&lt;= 40, "20 to 40", F1230 &lt;= 50, "40 to 50", F1230 &gt; 50, "&gt;50" )</f>
        <v>0 to 5</v>
      </c>
    </row>
    <row r="1231" spans="1:15" ht="14.4" x14ac:dyDescent="0.3">
      <c r="A1231" t="s">
        <v>240</v>
      </c>
      <c r="B1231" s="1">
        <v>46191</v>
      </c>
      <c r="C1231" t="s">
        <v>16</v>
      </c>
      <c r="D1231">
        <v>1139</v>
      </c>
      <c r="E1231">
        <v>1</v>
      </c>
      <c r="F1231">
        <v>10.1</v>
      </c>
      <c r="G1231" t="s">
        <v>17</v>
      </c>
      <c r="I1231" t="str">
        <f t="shared" si="20"/>
        <v>1139_1</v>
      </c>
      <c r="J1231" t="s">
        <v>241</v>
      </c>
      <c r="K1231" t="s">
        <v>179</v>
      </c>
      <c r="L1231" t="str">
        <f>_xlfn.XLOOKUP(C1231, Table2[Species],Table2[Genus], "Code Not Found")</f>
        <v>Acer</v>
      </c>
      <c r="M1231" t="str">
        <f>_xlfn.XLOOKUP(C1231, Table2[Species],Table2[Sp. Name], "Code Not Found")</f>
        <v>saccharum</v>
      </c>
      <c r="N1231" t="str">
        <f>_xlfn.XLOOKUP(C1231,Table2[Species],Table2[Family],"Code Not Found")</f>
        <v>Sapindaceae</v>
      </c>
      <c r="O1231" t="str" cm="1">
        <f t="array" ref="O1231">_xlfn.IFS(F1231="","",F1231&lt;=5,"0 to 5",F1231&lt;=10,"5.1 to 10",F1231&lt;=20,"10 to 20", F1231&lt;= 40, "20 to 40", F1231 &lt;= 50, "40 to 50", F1231 &gt; 50, "&gt;50" )</f>
        <v>10 to 20</v>
      </c>
    </row>
    <row r="1232" spans="1:15" ht="14.4" x14ac:dyDescent="0.3">
      <c r="A1232" t="s">
        <v>240</v>
      </c>
      <c r="B1232" s="1">
        <v>46191</v>
      </c>
      <c r="C1232" t="s">
        <v>16</v>
      </c>
      <c r="D1232">
        <v>1140</v>
      </c>
      <c r="E1232">
        <v>1</v>
      </c>
      <c r="F1232">
        <v>20.8</v>
      </c>
      <c r="G1232" t="s">
        <v>47</v>
      </c>
      <c r="H1232" t="s">
        <v>43</v>
      </c>
      <c r="I1232" t="str">
        <f t="shared" si="20"/>
        <v>1140_1</v>
      </c>
      <c r="J1232" t="s">
        <v>241</v>
      </c>
      <c r="K1232" t="s">
        <v>179</v>
      </c>
      <c r="L1232" t="str">
        <f>_xlfn.XLOOKUP(C1232, Table2[Species],Table2[Genus], "Code Not Found")</f>
        <v>Acer</v>
      </c>
      <c r="M1232" t="str">
        <f>_xlfn.XLOOKUP(C1232, Table2[Species],Table2[Sp. Name], "Code Not Found")</f>
        <v>saccharum</v>
      </c>
      <c r="N1232" t="str">
        <f>_xlfn.XLOOKUP(C1232,Table2[Species],Table2[Family],"Code Not Found")</f>
        <v>Sapindaceae</v>
      </c>
      <c r="O1232" t="str" cm="1">
        <f t="array" ref="O1232">_xlfn.IFS(F1232="","",F1232&lt;=5,"0 to 5",F1232&lt;=10,"5.1 to 10",F1232&lt;=20,"10 to 20", F1232&lt;= 40, "20 to 40", F1232 &lt;= 50, "40 to 50", F1232 &gt; 50, "&gt;50" )</f>
        <v>20 to 40</v>
      </c>
    </row>
    <row r="1233" spans="1:15" ht="14.4" x14ac:dyDescent="0.3">
      <c r="A1233" t="s">
        <v>240</v>
      </c>
      <c r="B1233" s="1">
        <v>46191</v>
      </c>
      <c r="C1233" t="s">
        <v>64</v>
      </c>
      <c r="D1233">
        <v>1141</v>
      </c>
      <c r="E1233">
        <v>1</v>
      </c>
      <c r="F1233">
        <v>3.9</v>
      </c>
      <c r="G1233" t="s">
        <v>34</v>
      </c>
      <c r="I1233" t="str">
        <f t="shared" si="20"/>
        <v>1141_1</v>
      </c>
      <c r="J1233" t="s">
        <v>241</v>
      </c>
      <c r="K1233" t="s">
        <v>179</v>
      </c>
      <c r="L1233" t="str">
        <f>_xlfn.XLOOKUP(C1233, Table2[Species],Table2[Genus], "Code Not Found")</f>
        <v>Fagus</v>
      </c>
      <c r="M1233" t="str">
        <f>_xlfn.XLOOKUP(C1233, Table2[Species],Table2[Sp. Name], "Code Not Found")</f>
        <v>grandifolia</v>
      </c>
      <c r="N1233" t="str">
        <f>_xlfn.XLOOKUP(C1233,Table2[Species],Table2[Family],"Code Not Found")</f>
        <v>Fagaceae</v>
      </c>
      <c r="O1233" t="str" cm="1">
        <f t="array" ref="O1233">_xlfn.IFS(F1233="","",F1233&lt;=5,"0 to 5",F1233&lt;=10,"5.1 to 10",F1233&lt;=20,"10 to 20", F1233&lt;= 40, "20 to 40", F1233 &lt;= 50, "40 to 50", F1233 &gt; 50, "&gt;50" )</f>
        <v>0 to 5</v>
      </c>
    </row>
    <row r="1234" spans="1:15" ht="14.4" x14ac:dyDescent="0.3">
      <c r="A1234" t="s">
        <v>240</v>
      </c>
      <c r="B1234" s="1">
        <v>46191</v>
      </c>
      <c r="C1234" t="s">
        <v>64</v>
      </c>
      <c r="D1234">
        <v>1141</v>
      </c>
      <c r="E1234">
        <v>2</v>
      </c>
      <c r="F1234">
        <v>1.8</v>
      </c>
      <c r="G1234" t="s">
        <v>34</v>
      </c>
      <c r="I1234" t="str">
        <f t="shared" si="20"/>
        <v>1141_2</v>
      </c>
      <c r="J1234" t="s">
        <v>241</v>
      </c>
      <c r="K1234" t="s">
        <v>179</v>
      </c>
      <c r="L1234" t="str">
        <f>_xlfn.XLOOKUP(C1234, Table2[Species],Table2[Genus], "Code Not Found")</f>
        <v>Fagus</v>
      </c>
      <c r="M1234" t="str">
        <f>_xlfn.XLOOKUP(C1234, Table2[Species],Table2[Sp. Name], "Code Not Found")</f>
        <v>grandifolia</v>
      </c>
      <c r="N1234" t="str">
        <f>_xlfn.XLOOKUP(C1234,Table2[Species],Table2[Family],"Code Not Found")</f>
        <v>Fagaceae</v>
      </c>
      <c r="O1234" t="str" cm="1">
        <f t="array" ref="O1234">_xlfn.IFS(F1234="","",F1234&lt;=5,"0 to 5",F1234&lt;=10,"5.1 to 10",F1234&lt;=20,"10 to 20", F1234&lt;= 40, "20 to 40", F1234 &lt;= 50, "40 to 50", F1234 &gt; 50, "&gt;50" )</f>
        <v>0 to 5</v>
      </c>
    </row>
    <row r="1235" spans="1:15" ht="14.4" x14ac:dyDescent="0.3">
      <c r="A1235" t="s">
        <v>240</v>
      </c>
      <c r="B1235" s="1">
        <v>46191</v>
      </c>
      <c r="C1235" t="s">
        <v>16</v>
      </c>
      <c r="D1235">
        <v>1142</v>
      </c>
      <c r="E1235">
        <v>1</v>
      </c>
      <c r="F1235">
        <v>10.5</v>
      </c>
      <c r="G1235" t="s">
        <v>17</v>
      </c>
      <c r="I1235" t="str">
        <f t="shared" si="20"/>
        <v>1142_1</v>
      </c>
      <c r="J1235" t="s">
        <v>241</v>
      </c>
      <c r="K1235" t="s">
        <v>179</v>
      </c>
      <c r="L1235" t="str">
        <f>_xlfn.XLOOKUP(C1235, Table2[Species],Table2[Genus], "Code Not Found")</f>
        <v>Acer</v>
      </c>
      <c r="M1235" t="str">
        <f>_xlfn.XLOOKUP(C1235, Table2[Species],Table2[Sp. Name], "Code Not Found")</f>
        <v>saccharum</v>
      </c>
      <c r="N1235" t="str">
        <f>_xlfn.XLOOKUP(C1235,Table2[Species],Table2[Family],"Code Not Found")</f>
        <v>Sapindaceae</v>
      </c>
      <c r="O1235" t="str" cm="1">
        <f t="array" ref="O1235">_xlfn.IFS(F1235="","",F1235&lt;=5,"0 to 5",F1235&lt;=10,"5.1 to 10",F1235&lt;=20,"10 to 20", F1235&lt;= 40, "20 to 40", F1235 &lt;= 50, "40 to 50", F1235 &gt; 50, "&gt;50" )</f>
        <v>10 to 20</v>
      </c>
    </row>
    <row r="1236" spans="1:15" ht="14.4" x14ac:dyDescent="0.3">
      <c r="A1236" t="s">
        <v>240</v>
      </c>
      <c r="B1236" s="1">
        <v>46191</v>
      </c>
      <c r="C1236" t="s">
        <v>64</v>
      </c>
      <c r="D1236">
        <v>1143</v>
      </c>
      <c r="E1236">
        <v>1</v>
      </c>
      <c r="F1236">
        <v>1</v>
      </c>
      <c r="G1236" t="s">
        <v>32</v>
      </c>
      <c r="H1236" t="s">
        <v>276</v>
      </c>
      <c r="I1236" t="str">
        <f t="shared" si="20"/>
        <v>1143_1</v>
      </c>
      <c r="J1236" t="s">
        <v>241</v>
      </c>
      <c r="K1236" t="s">
        <v>179</v>
      </c>
      <c r="L1236" t="str">
        <f>_xlfn.XLOOKUP(C1236, Table2[Species],Table2[Genus], "Code Not Found")</f>
        <v>Fagus</v>
      </c>
      <c r="M1236" t="str">
        <f>_xlfn.XLOOKUP(C1236, Table2[Species],Table2[Sp. Name], "Code Not Found")</f>
        <v>grandifolia</v>
      </c>
      <c r="N1236" t="str">
        <f>_xlfn.XLOOKUP(C1236,Table2[Species],Table2[Family],"Code Not Found")</f>
        <v>Fagaceae</v>
      </c>
      <c r="O1236" t="str" cm="1">
        <f t="array" ref="O1236">_xlfn.IFS(F1236="","",F1236&lt;=5,"0 to 5",F1236&lt;=10,"5.1 to 10",F1236&lt;=20,"10 to 20", F1236&lt;= 40, "20 to 40", F1236 &lt;= 50, "40 to 50", F1236 &gt; 50, "&gt;50" )</f>
        <v>0 to 5</v>
      </c>
    </row>
    <row r="1237" spans="1:15" ht="14.4" x14ac:dyDescent="0.3">
      <c r="A1237" t="s">
        <v>240</v>
      </c>
      <c r="B1237" s="1">
        <v>46191</v>
      </c>
      <c r="C1237" t="s">
        <v>64</v>
      </c>
      <c r="D1237">
        <v>1143</v>
      </c>
      <c r="E1237">
        <v>2</v>
      </c>
      <c r="F1237">
        <v>6.1</v>
      </c>
      <c r="G1237" t="s">
        <v>61</v>
      </c>
      <c r="H1237" t="s">
        <v>100</v>
      </c>
      <c r="I1237" t="str">
        <f t="shared" si="20"/>
        <v>1143_2</v>
      </c>
      <c r="J1237" t="s">
        <v>241</v>
      </c>
      <c r="K1237" t="s">
        <v>179</v>
      </c>
      <c r="L1237" t="str">
        <f>_xlfn.XLOOKUP(C1237, Table2[Species],Table2[Genus], "Code Not Found")</f>
        <v>Fagus</v>
      </c>
      <c r="M1237" t="str">
        <f>_xlfn.XLOOKUP(C1237, Table2[Species],Table2[Sp. Name], "Code Not Found")</f>
        <v>grandifolia</v>
      </c>
      <c r="N1237" t="str">
        <f>_xlfn.XLOOKUP(C1237,Table2[Species],Table2[Family],"Code Not Found")</f>
        <v>Fagaceae</v>
      </c>
      <c r="O1237" t="str" cm="1">
        <f t="array" ref="O1237">_xlfn.IFS(F1237="","",F1237&lt;=5,"0 to 5",F1237&lt;=10,"5.1 to 10",F1237&lt;=20,"10 to 20", F1237&lt;= 40, "20 to 40", F1237 &lt;= 50, "40 to 50", F1237 &gt; 50, "&gt;50" )</f>
        <v>5.1 to 10</v>
      </c>
    </row>
    <row r="1238" spans="1:15" ht="14.4" x14ac:dyDescent="0.3">
      <c r="A1238" t="s">
        <v>240</v>
      </c>
      <c r="B1238" s="1">
        <v>46191</v>
      </c>
      <c r="C1238" t="s">
        <v>64</v>
      </c>
      <c r="D1238">
        <v>1143</v>
      </c>
      <c r="E1238">
        <v>3</v>
      </c>
      <c r="F1238">
        <v>2.2999999999999998</v>
      </c>
      <c r="G1238" t="s">
        <v>34</v>
      </c>
      <c r="I1238" t="str">
        <f t="shared" si="20"/>
        <v>1143_3</v>
      </c>
      <c r="J1238" t="s">
        <v>241</v>
      </c>
      <c r="K1238" t="s">
        <v>179</v>
      </c>
      <c r="L1238" t="str">
        <f>_xlfn.XLOOKUP(C1238, Table2[Species],Table2[Genus], "Code Not Found")</f>
        <v>Fagus</v>
      </c>
      <c r="M1238" t="str">
        <f>_xlfn.XLOOKUP(C1238, Table2[Species],Table2[Sp. Name], "Code Not Found")</f>
        <v>grandifolia</v>
      </c>
      <c r="N1238" t="str">
        <f>_xlfn.XLOOKUP(C1238,Table2[Species],Table2[Family],"Code Not Found")</f>
        <v>Fagaceae</v>
      </c>
      <c r="O1238" t="str" cm="1">
        <f t="array" ref="O1238">_xlfn.IFS(F1238="","",F1238&lt;=5,"0 to 5",F1238&lt;=10,"5.1 to 10",F1238&lt;=20,"10 to 20", F1238&lt;= 40, "20 to 40", F1238 &lt;= 50, "40 to 50", F1238 &gt; 50, "&gt;50" )</f>
        <v>0 to 5</v>
      </c>
    </row>
    <row r="1239" spans="1:15" ht="14.4" x14ac:dyDescent="0.3">
      <c r="A1239" t="s">
        <v>240</v>
      </c>
      <c r="B1239" s="1">
        <v>46191</v>
      </c>
      <c r="C1239" t="s">
        <v>64</v>
      </c>
      <c r="D1239">
        <v>1143</v>
      </c>
      <c r="E1239">
        <v>4</v>
      </c>
      <c r="F1239">
        <v>1.3</v>
      </c>
      <c r="G1239" t="s">
        <v>34</v>
      </c>
      <c r="I1239" t="str">
        <f t="shared" si="20"/>
        <v>1143_4</v>
      </c>
      <c r="J1239" t="s">
        <v>241</v>
      </c>
      <c r="K1239" t="s">
        <v>179</v>
      </c>
      <c r="L1239" t="str">
        <f>_xlfn.XLOOKUP(C1239, Table2[Species],Table2[Genus], "Code Not Found")</f>
        <v>Fagus</v>
      </c>
      <c r="M1239" t="str">
        <f>_xlfn.XLOOKUP(C1239, Table2[Species],Table2[Sp. Name], "Code Not Found")</f>
        <v>grandifolia</v>
      </c>
      <c r="N1239" t="str">
        <f>_xlfn.XLOOKUP(C1239,Table2[Species],Table2[Family],"Code Not Found")</f>
        <v>Fagaceae</v>
      </c>
      <c r="O1239" t="str" cm="1">
        <f t="array" ref="O1239">_xlfn.IFS(F1239="","",F1239&lt;=5,"0 to 5",F1239&lt;=10,"5.1 to 10",F1239&lt;=20,"10 to 20", F1239&lt;= 40, "20 to 40", F1239 &lt;= 50, "40 to 50", F1239 &gt; 50, "&gt;50" )</f>
        <v>0 to 5</v>
      </c>
    </row>
    <row r="1240" spans="1:15" ht="14.4" x14ac:dyDescent="0.3">
      <c r="A1240" t="s">
        <v>240</v>
      </c>
      <c r="B1240" s="1">
        <v>46191</v>
      </c>
      <c r="C1240" t="s">
        <v>16</v>
      </c>
      <c r="D1240">
        <v>1144</v>
      </c>
      <c r="E1240">
        <v>1</v>
      </c>
      <c r="F1240">
        <v>3.5</v>
      </c>
      <c r="G1240" t="s">
        <v>17</v>
      </c>
      <c r="I1240" t="str">
        <f t="shared" si="20"/>
        <v>1144_1</v>
      </c>
      <c r="J1240" t="s">
        <v>241</v>
      </c>
      <c r="K1240" t="s">
        <v>179</v>
      </c>
      <c r="L1240" t="str">
        <f>_xlfn.XLOOKUP(C1240, Table2[Species],Table2[Genus], "Code Not Found")</f>
        <v>Acer</v>
      </c>
      <c r="M1240" t="str">
        <f>_xlfn.XLOOKUP(C1240, Table2[Species],Table2[Sp. Name], "Code Not Found")</f>
        <v>saccharum</v>
      </c>
      <c r="N1240" t="str">
        <f>_xlfn.XLOOKUP(C1240,Table2[Species],Table2[Family],"Code Not Found")</f>
        <v>Sapindaceae</v>
      </c>
      <c r="O1240" t="str" cm="1">
        <f t="array" ref="O1240">_xlfn.IFS(F1240="","",F1240&lt;=5,"0 to 5",F1240&lt;=10,"5.1 to 10",F1240&lt;=20,"10 to 20", F1240&lt;= 40, "20 to 40", F1240 &lt;= 50, "40 to 50", F1240 &gt; 50, "&gt;50" )</f>
        <v>0 to 5</v>
      </c>
    </row>
    <row r="1241" spans="1:15" ht="14.4" x14ac:dyDescent="0.3">
      <c r="A1241" t="s">
        <v>240</v>
      </c>
      <c r="B1241" s="1">
        <v>46191</v>
      </c>
      <c r="C1241" t="s">
        <v>55</v>
      </c>
      <c r="D1241">
        <v>1145</v>
      </c>
      <c r="E1241">
        <v>1</v>
      </c>
      <c r="F1241">
        <v>1.6</v>
      </c>
      <c r="G1241" t="s">
        <v>21</v>
      </c>
      <c r="I1241" t="str">
        <f t="shared" si="20"/>
        <v>1145_1</v>
      </c>
      <c r="J1241" t="s">
        <v>241</v>
      </c>
      <c r="K1241" t="s">
        <v>179</v>
      </c>
      <c r="L1241" t="str">
        <f>_xlfn.XLOOKUP(C1241, Table2[Species],Table2[Genus], "Code Not Found")</f>
        <v>Magnolia</v>
      </c>
      <c r="M1241" t="str">
        <f>_xlfn.XLOOKUP(C1241, Table2[Species],Table2[Sp. Name], "Code Not Found")</f>
        <v>acuminata</v>
      </c>
      <c r="N1241" t="str">
        <f>_xlfn.XLOOKUP(C1241,Table2[Species],Table2[Family],"Code Not Found")</f>
        <v>Magnoliaceae</v>
      </c>
      <c r="O1241" t="str" cm="1">
        <f t="array" ref="O1241">_xlfn.IFS(F1241="","",F1241&lt;=5,"0 to 5",F1241&lt;=10,"5.1 to 10",F1241&lt;=20,"10 to 20", F1241&lt;= 40, "20 to 40", F1241 &lt;= 50, "40 to 50", F1241 &gt; 50, "&gt;50" )</f>
        <v>0 to 5</v>
      </c>
    </row>
    <row r="1242" spans="1:15" ht="14.4" x14ac:dyDescent="0.3">
      <c r="A1242" t="s">
        <v>240</v>
      </c>
      <c r="B1242" s="1">
        <v>46191</v>
      </c>
      <c r="C1242" t="s">
        <v>64</v>
      </c>
      <c r="D1242">
        <v>1146</v>
      </c>
      <c r="E1242">
        <v>1</v>
      </c>
      <c r="F1242">
        <v>1.6</v>
      </c>
      <c r="G1242" t="s">
        <v>17</v>
      </c>
      <c r="H1242" t="s">
        <v>215</v>
      </c>
      <c r="I1242" t="str">
        <f t="shared" si="20"/>
        <v>1146_1</v>
      </c>
      <c r="J1242" t="s">
        <v>241</v>
      </c>
      <c r="K1242" t="s">
        <v>179</v>
      </c>
      <c r="L1242" t="str">
        <f>_xlfn.XLOOKUP(C1242, Table2[Species],Table2[Genus], "Code Not Found")</f>
        <v>Fagus</v>
      </c>
      <c r="M1242" t="str">
        <f>_xlfn.XLOOKUP(C1242, Table2[Species],Table2[Sp. Name], "Code Not Found")</f>
        <v>grandifolia</v>
      </c>
      <c r="N1242" t="str">
        <f>_xlfn.XLOOKUP(C1242,Table2[Species],Table2[Family],"Code Not Found")</f>
        <v>Fagaceae</v>
      </c>
      <c r="O1242" t="str" cm="1">
        <f t="array" ref="O1242">_xlfn.IFS(F1242="","",F1242&lt;=5,"0 to 5",F1242&lt;=10,"5.1 to 10",F1242&lt;=20,"10 to 20", F1242&lt;= 40, "20 to 40", F1242 &lt;= 50, "40 to 50", F1242 &gt; 50, "&gt;50" )</f>
        <v>0 to 5</v>
      </c>
    </row>
    <row r="1243" spans="1:15" ht="14.4" x14ac:dyDescent="0.3">
      <c r="A1243" t="s">
        <v>240</v>
      </c>
      <c r="B1243" s="1">
        <v>46191</v>
      </c>
      <c r="C1243" t="s">
        <v>16</v>
      </c>
      <c r="D1243">
        <v>1147</v>
      </c>
      <c r="E1243">
        <v>1</v>
      </c>
      <c r="F1243">
        <v>6.2</v>
      </c>
      <c r="G1243" t="s">
        <v>88</v>
      </c>
      <c r="H1243" t="s">
        <v>99</v>
      </c>
      <c r="I1243" t="str">
        <f t="shared" si="20"/>
        <v>1147_1</v>
      </c>
      <c r="J1243" t="s">
        <v>241</v>
      </c>
      <c r="K1243" t="s">
        <v>179</v>
      </c>
      <c r="L1243" t="str">
        <f>_xlfn.XLOOKUP(C1243, Table2[Species],Table2[Genus], "Code Not Found")</f>
        <v>Acer</v>
      </c>
      <c r="M1243" t="str">
        <f>_xlfn.XLOOKUP(C1243, Table2[Species],Table2[Sp. Name], "Code Not Found")</f>
        <v>saccharum</v>
      </c>
      <c r="N1243" t="str">
        <f>_xlfn.XLOOKUP(C1243,Table2[Species],Table2[Family],"Code Not Found")</f>
        <v>Sapindaceae</v>
      </c>
      <c r="O1243" t="str" cm="1">
        <f t="array" ref="O1243">_xlfn.IFS(F1243="","",F1243&lt;=5,"0 to 5",F1243&lt;=10,"5.1 to 10",F1243&lt;=20,"10 to 20", F1243&lt;= 40, "20 to 40", F1243 &lt;= 50, "40 to 50", F1243 &gt; 50, "&gt;50" )</f>
        <v>5.1 to 10</v>
      </c>
    </row>
    <row r="1244" spans="1:15" ht="14.4" x14ac:dyDescent="0.3">
      <c r="A1244" t="s">
        <v>240</v>
      </c>
      <c r="B1244" s="1">
        <v>46191</v>
      </c>
      <c r="C1244" t="s">
        <v>16</v>
      </c>
      <c r="D1244">
        <v>1148</v>
      </c>
      <c r="E1244">
        <v>1</v>
      </c>
      <c r="F1244">
        <v>16.8</v>
      </c>
      <c r="G1244" t="s">
        <v>17</v>
      </c>
      <c r="I1244" t="str">
        <f t="shared" si="20"/>
        <v>1148_1</v>
      </c>
      <c r="J1244" t="s">
        <v>241</v>
      </c>
      <c r="K1244" t="s">
        <v>179</v>
      </c>
      <c r="L1244" t="str">
        <f>_xlfn.XLOOKUP(C1244, Table2[Species],Table2[Genus], "Code Not Found")</f>
        <v>Acer</v>
      </c>
      <c r="M1244" t="str">
        <f>_xlfn.XLOOKUP(C1244, Table2[Species],Table2[Sp. Name], "Code Not Found")</f>
        <v>saccharum</v>
      </c>
      <c r="N1244" t="str">
        <f>_xlfn.XLOOKUP(C1244,Table2[Species],Table2[Family],"Code Not Found")</f>
        <v>Sapindaceae</v>
      </c>
      <c r="O1244" t="str" cm="1">
        <f t="array" ref="O1244">_xlfn.IFS(F1244="","",F1244&lt;=5,"0 to 5",F1244&lt;=10,"5.1 to 10",F1244&lt;=20,"10 to 20", F1244&lt;= 40, "20 to 40", F1244 &lt;= 50, "40 to 50", F1244 &gt; 50, "&gt;50" )</f>
        <v>10 to 20</v>
      </c>
    </row>
    <row r="1245" spans="1:15" ht="14.4" x14ac:dyDescent="0.3">
      <c r="A1245" t="s">
        <v>240</v>
      </c>
      <c r="B1245" s="1">
        <v>46191</v>
      </c>
      <c r="C1245" t="s">
        <v>16</v>
      </c>
      <c r="D1245">
        <v>1149</v>
      </c>
      <c r="E1245">
        <v>1</v>
      </c>
      <c r="F1245">
        <v>3.1</v>
      </c>
      <c r="G1245" t="s">
        <v>17</v>
      </c>
      <c r="I1245" t="str">
        <f t="shared" si="20"/>
        <v>1149_1</v>
      </c>
      <c r="J1245" t="s">
        <v>241</v>
      </c>
      <c r="K1245" t="s">
        <v>179</v>
      </c>
      <c r="L1245" t="str">
        <f>_xlfn.XLOOKUP(C1245, Table2[Species],Table2[Genus], "Code Not Found")</f>
        <v>Acer</v>
      </c>
      <c r="M1245" t="str">
        <f>_xlfn.XLOOKUP(C1245, Table2[Species],Table2[Sp. Name], "Code Not Found")</f>
        <v>saccharum</v>
      </c>
      <c r="N1245" t="str">
        <f>_xlfn.XLOOKUP(C1245,Table2[Species],Table2[Family],"Code Not Found")</f>
        <v>Sapindaceae</v>
      </c>
      <c r="O1245" t="str" cm="1">
        <f t="array" ref="O1245">_xlfn.IFS(F1245="","",F1245&lt;=5,"0 to 5",F1245&lt;=10,"5.1 to 10",F1245&lt;=20,"10 to 20", F1245&lt;= 40, "20 to 40", F1245 &lt;= 50, "40 to 50", F1245 &gt; 50, "&gt;50" )</f>
        <v>0 to 5</v>
      </c>
    </row>
    <row r="1246" spans="1:15" ht="14.4" x14ac:dyDescent="0.3">
      <c r="A1246" t="s">
        <v>240</v>
      </c>
      <c r="B1246" s="1">
        <v>46191</v>
      </c>
      <c r="C1246" t="s">
        <v>16</v>
      </c>
      <c r="D1246">
        <v>1150</v>
      </c>
      <c r="E1246">
        <v>1</v>
      </c>
      <c r="F1246">
        <v>14.3</v>
      </c>
      <c r="G1246" t="s">
        <v>17</v>
      </c>
      <c r="I1246" t="str">
        <f t="shared" si="20"/>
        <v>1150_1</v>
      </c>
      <c r="J1246" t="s">
        <v>241</v>
      </c>
      <c r="K1246" t="s">
        <v>179</v>
      </c>
      <c r="L1246" t="str">
        <f>_xlfn.XLOOKUP(C1246, Table2[Species],Table2[Genus], "Code Not Found")</f>
        <v>Acer</v>
      </c>
      <c r="M1246" t="str">
        <f>_xlfn.XLOOKUP(C1246, Table2[Species],Table2[Sp. Name], "Code Not Found")</f>
        <v>saccharum</v>
      </c>
      <c r="N1246" t="str">
        <f>_xlfn.XLOOKUP(C1246,Table2[Species],Table2[Family],"Code Not Found")</f>
        <v>Sapindaceae</v>
      </c>
      <c r="O1246" t="str" cm="1">
        <f t="array" ref="O1246">_xlfn.IFS(F1246="","",F1246&lt;=5,"0 to 5",F1246&lt;=10,"5.1 to 10",F1246&lt;=20,"10 to 20", F1246&lt;= 40, "20 to 40", F1246 &lt;= 50, "40 to 50", F1246 &gt; 50, "&gt;50" )</f>
        <v>10 to 20</v>
      </c>
    </row>
    <row r="1247" spans="1:15" ht="14.4" x14ac:dyDescent="0.3">
      <c r="A1247" t="s">
        <v>240</v>
      </c>
      <c r="B1247" s="1">
        <v>46191</v>
      </c>
      <c r="C1247" t="s">
        <v>16</v>
      </c>
      <c r="D1247">
        <v>1151</v>
      </c>
      <c r="E1247">
        <v>1</v>
      </c>
      <c r="F1247">
        <v>1.1000000000000001</v>
      </c>
      <c r="G1247" t="s">
        <v>277</v>
      </c>
      <c r="H1247" t="s">
        <v>278</v>
      </c>
      <c r="I1247" t="str">
        <f t="shared" si="20"/>
        <v>1151_1</v>
      </c>
      <c r="J1247" t="s">
        <v>241</v>
      </c>
      <c r="K1247" t="s">
        <v>179</v>
      </c>
      <c r="L1247" t="str">
        <f>_xlfn.XLOOKUP(C1247, Table2[Species],Table2[Genus], "Code Not Found")</f>
        <v>Acer</v>
      </c>
      <c r="M1247" t="str">
        <f>_xlfn.XLOOKUP(C1247, Table2[Species],Table2[Sp. Name], "Code Not Found")</f>
        <v>saccharum</v>
      </c>
      <c r="N1247" t="str">
        <f>_xlfn.XLOOKUP(C1247,Table2[Species],Table2[Family],"Code Not Found")</f>
        <v>Sapindaceae</v>
      </c>
      <c r="O1247" t="str" cm="1">
        <f t="array" ref="O1247">_xlfn.IFS(F1247="","",F1247&lt;=5,"0 to 5",F1247&lt;=10,"5.1 to 10",F1247&lt;=20,"10 to 20", F1247&lt;= 40, "20 to 40", F1247 &lt;= 50, "40 to 50", F1247 &gt; 50, "&gt;50" )</f>
        <v>0 to 5</v>
      </c>
    </row>
    <row r="1248" spans="1:15" ht="14.4" x14ac:dyDescent="0.3">
      <c r="A1248" t="s">
        <v>240</v>
      </c>
      <c r="B1248" s="1">
        <v>46191</v>
      </c>
      <c r="C1248" t="s">
        <v>16</v>
      </c>
      <c r="D1248">
        <v>1152</v>
      </c>
      <c r="E1248">
        <v>1</v>
      </c>
      <c r="F1248">
        <v>3.6</v>
      </c>
      <c r="G1248" t="s">
        <v>88</v>
      </c>
      <c r="H1248" t="s">
        <v>100</v>
      </c>
      <c r="I1248" t="str">
        <f t="shared" si="20"/>
        <v>1152_1</v>
      </c>
      <c r="J1248" t="s">
        <v>241</v>
      </c>
      <c r="K1248" t="s">
        <v>179</v>
      </c>
      <c r="L1248" t="str">
        <f>_xlfn.XLOOKUP(C1248, Table2[Species],Table2[Genus], "Code Not Found")</f>
        <v>Acer</v>
      </c>
      <c r="M1248" t="str">
        <f>_xlfn.XLOOKUP(C1248, Table2[Species],Table2[Sp. Name], "Code Not Found")</f>
        <v>saccharum</v>
      </c>
      <c r="N1248" t="str">
        <f>_xlfn.XLOOKUP(C1248,Table2[Species],Table2[Family],"Code Not Found")</f>
        <v>Sapindaceae</v>
      </c>
      <c r="O1248" t="str" cm="1">
        <f t="array" ref="O1248">_xlfn.IFS(F1248="","",F1248&lt;=5,"0 to 5",F1248&lt;=10,"5.1 to 10",F1248&lt;=20,"10 to 20", F1248&lt;= 40, "20 to 40", F1248 &lt;= 50, "40 to 50", F1248 &gt; 50, "&gt;50" )</f>
        <v>0 to 5</v>
      </c>
    </row>
    <row r="1249" spans="1:15" ht="14.4" x14ac:dyDescent="0.3">
      <c r="A1249" t="s">
        <v>240</v>
      </c>
      <c r="B1249" s="1">
        <v>46191</v>
      </c>
      <c r="C1249" t="s">
        <v>64</v>
      </c>
      <c r="D1249">
        <v>1153</v>
      </c>
      <c r="E1249">
        <v>1</v>
      </c>
      <c r="F1249">
        <v>13.9</v>
      </c>
      <c r="G1249" t="s">
        <v>32</v>
      </c>
      <c r="I1249" t="str">
        <f t="shared" si="20"/>
        <v>1153_1</v>
      </c>
      <c r="J1249" t="s">
        <v>241</v>
      </c>
      <c r="K1249" t="s">
        <v>179</v>
      </c>
      <c r="L1249" t="str">
        <f>_xlfn.XLOOKUP(C1249, Table2[Species],Table2[Genus], "Code Not Found")</f>
        <v>Fagus</v>
      </c>
      <c r="M1249" t="str">
        <f>_xlfn.XLOOKUP(C1249, Table2[Species],Table2[Sp. Name], "Code Not Found")</f>
        <v>grandifolia</v>
      </c>
      <c r="N1249" t="str">
        <f>_xlfn.XLOOKUP(C1249,Table2[Species],Table2[Family],"Code Not Found")</f>
        <v>Fagaceae</v>
      </c>
      <c r="O1249" t="str" cm="1">
        <f t="array" ref="O1249">_xlfn.IFS(F1249="","",F1249&lt;=5,"0 to 5",F1249&lt;=10,"5.1 to 10",F1249&lt;=20,"10 to 20", F1249&lt;= 40, "20 to 40", F1249 &lt;= 50, "40 to 50", F1249 &gt; 50, "&gt;50" )</f>
        <v>10 to 20</v>
      </c>
    </row>
    <row r="1250" spans="1:15" ht="14.4" x14ac:dyDescent="0.3">
      <c r="A1250" t="s">
        <v>240</v>
      </c>
      <c r="B1250" s="1">
        <v>46191</v>
      </c>
      <c r="C1250" t="s">
        <v>64</v>
      </c>
      <c r="D1250">
        <v>1153</v>
      </c>
      <c r="E1250">
        <v>2</v>
      </c>
      <c r="F1250">
        <v>4.5</v>
      </c>
      <c r="G1250" t="s">
        <v>34</v>
      </c>
      <c r="I1250" t="str">
        <f t="shared" si="20"/>
        <v>1153_2</v>
      </c>
      <c r="J1250" t="s">
        <v>241</v>
      </c>
      <c r="K1250" t="s">
        <v>179</v>
      </c>
      <c r="L1250" t="str">
        <f>_xlfn.XLOOKUP(C1250, Table2[Species],Table2[Genus], "Code Not Found")</f>
        <v>Fagus</v>
      </c>
      <c r="M1250" t="str">
        <f>_xlfn.XLOOKUP(C1250, Table2[Species],Table2[Sp. Name], "Code Not Found")</f>
        <v>grandifolia</v>
      </c>
      <c r="N1250" t="str">
        <f>_xlfn.XLOOKUP(C1250,Table2[Species],Table2[Family],"Code Not Found")</f>
        <v>Fagaceae</v>
      </c>
      <c r="O1250" t="str" cm="1">
        <f t="array" ref="O1250">_xlfn.IFS(F1250="","",F1250&lt;=5,"0 to 5",F1250&lt;=10,"5.1 to 10",F1250&lt;=20,"10 to 20", F1250&lt;= 40, "20 to 40", F1250 &lt;= 50, "40 to 50", F1250 &gt; 50, "&gt;50" )</f>
        <v>0 to 5</v>
      </c>
    </row>
    <row r="1251" spans="1:15" ht="14.4" x14ac:dyDescent="0.3">
      <c r="A1251" t="s">
        <v>240</v>
      </c>
      <c r="B1251" s="1">
        <v>46191</v>
      </c>
      <c r="C1251" t="s">
        <v>24</v>
      </c>
      <c r="D1251">
        <v>1154</v>
      </c>
      <c r="E1251">
        <v>1</v>
      </c>
      <c r="F1251">
        <v>85.9</v>
      </c>
      <c r="G1251" t="s">
        <v>32</v>
      </c>
      <c r="I1251" t="str">
        <f t="shared" si="20"/>
        <v>1154_1</v>
      </c>
      <c r="J1251" t="s">
        <v>241</v>
      </c>
      <c r="K1251" t="s">
        <v>179</v>
      </c>
      <c r="L1251" t="str">
        <f>_xlfn.XLOOKUP(C1251, Table2[Species],Table2[Genus], "Code Not Found")</f>
        <v>Lirodendron</v>
      </c>
      <c r="M1251" t="str">
        <f>_xlfn.XLOOKUP(C1251, Table2[Species],Table2[Sp. Name], "Code Not Found")</f>
        <v>tulipfera</v>
      </c>
      <c r="N1251" t="str">
        <f>_xlfn.XLOOKUP(C1251,Table2[Species],Table2[Family],"Code Not Found")</f>
        <v>Magnoliaceae</v>
      </c>
      <c r="O1251" t="str" cm="1">
        <f t="array" ref="O1251">_xlfn.IFS(F1251="","",F1251&lt;=5,"0 to 5",F1251&lt;=10,"5.1 to 10",F1251&lt;=20,"10 to 20", F1251&lt;= 40, "20 to 40", F1251 &lt;= 50, "40 to 50", F1251 &gt; 50, "&gt;50" )</f>
        <v>&gt;50</v>
      </c>
    </row>
    <row r="1252" spans="1:15" ht="14.4" x14ac:dyDescent="0.3">
      <c r="A1252" t="s">
        <v>240</v>
      </c>
      <c r="B1252" s="1">
        <v>46191</v>
      </c>
      <c r="C1252" t="s">
        <v>24</v>
      </c>
      <c r="D1252">
        <v>1154</v>
      </c>
      <c r="E1252">
        <v>2</v>
      </c>
      <c r="F1252">
        <v>1.6</v>
      </c>
      <c r="G1252" t="s">
        <v>93</v>
      </c>
      <c r="H1252" t="s">
        <v>43</v>
      </c>
      <c r="I1252" t="str">
        <f t="shared" si="20"/>
        <v>1154_2</v>
      </c>
      <c r="J1252" t="s">
        <v>241</v>
      </c>
      <c r="K1252" t="s">
        <v>179</v>
      </c>
      <c r="L1252" t="str">
        <f>_xlfn.XLOOKUP(C1252, Table2[Species],Table2[Genus], "Code Not Found")</f>
        <v>Lirodendron</v>
      </c>
      <c r="M1252" t="str">
        <f>_xlfn.XLOOKUP(C1252, Table2[Species],Table2[Sp. Name], "Code Not Found")</f>
        <v>tulipfera</v>
      </c>
      <c r="N1252" t="str">
        <f>_xlfn.XLOOKUP(C1252,Table2[Species],Table2[Family],"Code Not Found")</f>
        <v>Magnoliaceae</v>
      </c>
      <c r="O1252" t="str" cm="1">
        <f t="array" ref="O1252">_xlfn.IFS(F1252="","",F1252&lt;=5,"0 to 5",F1252&lt;=10,"5.1 to 10",F1252&lt;=20,"10 to 20", F1252&lt;= 40, "20 to 40", F1252 &lt;= 50, "40 to 50", F1252 &gt; 50, "&gt;50" )</f>
        <v>0 to 5</v>
      </c>
    </row>
    <row r="1253" spans="1:15" ht="14.4" x14ac:dyDescent="0.3">
      <c r="A1253" t="s">
        <v>240</v>
      </c>
      <c r="B1253" s="1">
        <v>46191</v>
      </c>
      <c r="C1253" t="s">
        <v>24</v>
      </c>
      <c r="D1253">
        <v>1154</v>
      </c>
      <c r="E1253">
        <v>3.1</v>
      </c>
      <c r="F1253">
        <v>1.6</v>
      </c>
      <c r="G1253" t="s">
        <v>93</v>
      </c>
      <c r="H1253" t="s">
        <v>43</v>
      </c>
      <c r="I1253" t="str">
        <f t="shared" si="20"/>
        <v>1154_3.1</v>
      </c>
      <c r="J1253" t="s">
        <v>241</v>
      </c>
      <c r="K1253" t="s">
        <v>179</v>
      </c>
      <c r="L1253" t="str">
        <f>_xlfn.XLOOKUP(C1253, Table2[Species],Table2[Genus], "Code Not Found")</f>
        <v>Lirodendron</v>
      </c>
      <c r="M1253" t="str">
        <f>_xlfn.XLOOKUP(C1253, Table2[Species],Table2[Sp. Name], "Code Not Found")</f>
        <v>tulipfera</v>
      </c>
      <c r="N1253" t="str">
        <f>_xlfn.XLOOKUP(C1253,Table2[Species],Table2[Family],"Code Not Found")</f>
        <v>Magnoliaceae</v>
      </c>
      <c r="O1253" t="str" cm="1">
        <f t="array" ref="O1253">_xlfn.IFS(F1253="","",F1253&lt;=5,"0 to 5",F1253&lt;=10,"5.1 to 10",F1253&lt;=20,"10 to 20", F1253&lt;= 40, "20 to 40", F1253 &lt;= 50, "40 to 50", F1253 &gt; 50, "&gt;50" )</f>
        <v>0 to 5</v>
      </c>
    </row>
    <row r="1254" spans="1:15" ht="14.4" x14ac:dyDescent="0.3">
      <c r="A1254" t="s">
        <v>240</v>
      </c>
      <c r="B1254" s="1">
        <v>46191</v>
      </c>
      <c r="C1254" t="s">
        <v>24</v>
      </c>
      <c r="D1254">
        <v>1154</v>
      </c>
      <c r="E1254">
        <v>3.2</v>
      </c>
      <c r="F1254">
        <v>2.8</v>
      </c>
      <c r="G1254" t="s">
        <v>93</v>
      </c>
      <c r="H1254" t="s">
        <v>43</v>
      </c>
      <c r="I1254" t="str">
        <f t="shared" si="20"/>
        <v>1154_3.2</v>
      </c>
      <c r="J1254" t="s">
        <v>241</v>
      </c>
      <c r="K1254" t="s">
        <v>179</v>
      </c>
      <c r="L1254" t="str">
        <f>_xlfn.XLOOKUP(C1254, Table2[Species],Table2[Genus], "Code Not Found")</f>
        <v>Lirodendron</v>
      </c>
      <c r="M1254" t="str">
        <f>_xlfn.XLOOKUP(C1254, Table2[Species],Table2[Sp. Name], "Code Not Found")</f>
        <v>tulipfera</v>
      </c>
      <c r="N1254" t="str">
        <f>_xlfn.XLOOKUP(C1254,Table2[Species],Table2[Family],"Code Not Found")</f>
        <v>Magnoliaceae</v>
      </c>
      <c r="O1254" t="str" cm="1">
        <f t="array" ref="O1254">_xlfn.IFS(F1254="","",F1254&lt;=5,"0 to 5",F1254&lt;=10,"5.1 to 10",F1254&lt;=20,"10 to 20", F1254&lt;= 40, "20 to 40", F1254 &lt;= 50, "40 to 50", F1254 &gt; 50, "&gt;50" )</f>
        <v>0 to 5</v>
      </c>
    </row>
    <row r="1255" spans="1:15" ht="14.4" x14ac:dyDescent="0.3">
      <c r="A1255" t="s">
        <v>240</v>
      </c>
      <c r="B1255" s="1">
        <v>46191</v>
      </c>
      <c r="C1255" t="s">
        <v>64</v>
      </c>
      <c r="D1255">
        <v>1155</v>
      </c>
      <c r="E1255">
        <v>1</v>
      </c>
      <c r="F1255">
        <v>4.8</v>
      </c>
      <c r="G1255" t="s">
        <v>88</v>
      </c>
      <c r="H1255" t="s">
        <v>96</v>
      </c>
      <c r="I1255" t="str">
        <f t="shared" si="20"/>
        <v>1155_1</v>
      </c>
      <c r="J1255" t="s">
        <v>241</v>
      </c>
      <c r="K1255" t="s">
        <v>179</v>
      </c>
      <c r="L1255" t="str">
        <f>_xlfn.XLOOKUP(C1255, Table2[Species],Table2[Genus], "Code Not Found")</f>
        <v>Fagus</v>
      </c>
      <c r="M1255" t="str">
        <f>_xlfn.XLOOKUP(C1255, Table2[Species],Table2[Sp. Name], "Code Not Found")</f>
        <v>grandifolia</v>
      </c>
      <c r="N1255" t="str">
        <f>_xlfn.XLOOKUP(C1255,Table2[Species],Table2[Family],"Code Not Found")</f>
        <v>Fagaceae</v>
      </c>
      <c r="O1255" t="str" cm="1">
        <f t="array" ref="O1255">_xlfn.IFS(F1255="","",F1255&lt;=5,"0 to 5",F1255&lt;=10,"5.1 to 10",F1255&lt;=20,"10 to 20", F1255&lt;= 40, "20 to 40", F1255 &lt;= 50, "40 to 50", F1255 &gt; 50, "&gt;50" )</f>
        <v>0 to 5</v>
      </c>
    </row>
    <row r="1256" spans="1:15" ht="14.4" x14ac:dyDescent="0.3">
      <c r="A1256" t="s">
        <v>240</v>
      </c>
      <c r="B1256" s="1">
        <v>46191</v>
      </c>
      <c r="C1256" t="s">
        <v>64</v>
      </c>
      <c r="D1256">
        <v>1156</v>
      </c>
      <c r="E1256">
        <v>1</v>
      </c>
      <c r="F1256">
        <v>6.6</v>
      </c>
      <c r="G1256" t="s">
        <v>17</v>
      </c>
      <c r="I1256" t="str">
        <f t="shared" si="20"/>
        <v>1156_1</v>
      </c>
      <c r="J1256" t="s">
        <v>241</v>
      </c>
      <c r="K1256" t="s">
        <v>179</v>
      </c>
      <c r="L1256" t="str">
        <f>_xlfn.XLOOKUP(C1256, Table2[Species],Table2[Genus], "Code Not Found")</f>
        <v>Fagus</v>
      </c>
      <c r="M1256" t="str">
        <f>_xlfn.XLOOKUP(C1256, Table2[Species],Table2[Sp. Name], "Code Not Found")</f>
        <v>grandifolia</v>
      </c>
      <c r="N1256" t="str">
        <f>_xlfn.XLOOKUP(C1256,Table2[Species],Table2[Family],"Code Not Found")</f>
        <v>Fagaceae</v>
      </c>
      <c r="O1256" t="str" cm="1">
        <f t="array" ref="O1256">_xlfn.IFS(F1256="","",F1256&lt;=5,"0 to 5",F1256&lt;=10,"5.1 to 10",F1256&lt;=20,"10 to 20", F1256&lt;= 40, "20 to 40", F1256 &lt;= 50, "40 to 50", F1256 &gt; 50, "&gt;50" )</f>
        <v>5.1 to 10</v>
      </c>
    </row>
    <row r="1257" spans="1:15" ht="14.4" x14ac:dyDescent="0.3">
      <c r="A1257" t="s">
        <v>240</v>
      </c>
      <c r="B1257" s="1">
        <v>46191</v>
      </c>
      <c r="C1257" t="s">
        <v>16</v>
      </c>
      <c r="D1257">
        <v>1157</v>
      </c>
      <c r="E1257">
        <v>1</v>
      </c>
      <c r="F1257">
        <v>2</v>
      </c>
      <c r="G1257" t="s">
        <v>17</v>
      </c>
      <c r="I1257" t="str">
        <f t="shared" si="20"/>
        <v>1157_1</v>
      </c>
      <c r="J1257" t="s">
        <v>241</v>
      </c>
      <c r="K1257" t="s">
        <v>179</v>
      </c>
      <c r="L1257" t="str">
        <f>_xlfn.XLOOKUP(C1257, Table2[Species],Table2[Genus], "Code Not Found")</f>
        <v>Acer</v>
      </c>
      <c r="M1257" t="str">
        <f>_xlfn.XLOOKUP(C1257, Table2[Species],Table2[Sp. Name], "Code Not Found")</f>
        <v>saccharum</v>
      </c>
      <c r="N1257" t="str">
        <f>_xlfn.XLOOKUP(C1257,Table2[Species],Table2[Family],"Code Not Found")</f>
        <v>Sapindaceae</v>
      </c>
      <c r="O1257" t="str" cm="1">
        <f t="array" ref="O1257">_xlfn.IFS(F1257="","",F1257&lt;=5,"0 to 5",F1257&lt;=10,"5.1 to 10",F1257&lt;=20,"10 to 20", F1257&lt;= 40, "20 to 40", F1257 &lt;= 50, "40 to 50", F1257 &gt; 50, "&gt;50" )</f>
        <v>0 to 5</v>
      </c>
    </row>
    <row r="1258" spans="1:15" ht="14.4" x14ac:dyDescent="0.3">
      <c r="A1258" t="s">
        <v>240</v>
      </c>
      <c r="B1258" s="1">
        <v>46191</v>
      </c>
      <c r="C1258" t="s">
        <v>16</v>
      </c>
      <c r="D1258">
        <v>1158</v>
      </c>
      <c r="E1258">
        <v>1</v>
      </c>
      <c r="F1258">
        <v>25.3</v>
      </c>
      <c r="G1258" t="s">
        <v>17</v>
      </c>
      <c r="I1258" t="str">
        <f t="shared" si="20"/>
        <v>1158_1</v>
      </c>
      <c r="J1258" t="s">
        <v>241</v>
      </c>
      <c r="K1258" t="s">
        <v>179</v>
      </c>
      <c r="L1258" t="str">
        <f>_xlfn.XLOOKUP(C1258, Table2[Species],Table2[Genus], "Code Not Found")</f>
        <v>Acer</v>
      </c>
      <c r="M1258" t="str">
        <f>_xlfn.XLOOKUP(C1258, Table2[Species],Table2[Sp. Name], "Code Not Found")</f>
        <v>saccharum</v>
      </c>
      <c r="N1258" t="str">
        <f>_xlfn.XLOOKUP(C1258,Table2[Species],Table2[Family],"Code Not Found")</f>
        <v>Sapindaceae</v>
      </c>
      <c r="O1258" t="str" cm="1">
        <f t="array" ref="O1258">_xlfn.IFS(F1258="","",F1258&lt;=5,"0 to 5",F1258&lt;=10,"5.1 to 10",F1258&lt;=20,"10 to 20", F1258&lt;= 40, "20 to 40", F1258 &lt;= 50, "40 to 50", F1258 &gt; 50, "&gt;50" )</f>
        <v>20 to 40</v>
      </c>
    </row>
    <row r="1259" spans="1:15" ht="14.4" x14ac:dyDescent="0.3">
      <c r="A1259" t="s">
        <v>240</v>
      </c>
      <c r="B1259" s="1">
        <v>46191</v>
      </c>
      <c r="C1259" t="s">
        <v>16</v>
      </c>
      <c r="D1259">
        <v>1159</v>
      </c>
      <c r="E1259">
        <v>1</v>
      </c>
      <c r="F1259">
        <v>2.4</v>
      </c>
      <c r="G1259" t="s">
        <v>17</v>
      </c>
      <c r="I1259" t="str">
        <f t="shared" si="20"/>
        <v>1159_1</v>
      </c>
      <c r="J1259" t="s">
        <v>241</v>
      </c>
      <c r="K1259" t="s">
        <v>179</v>
      </c>
      <c r="L1259" t="str">
        <f>_xlfn.XLOOKUP(C1259, Table2[Species],Table2[Genus], "Code Not Found")</f>
        <v>Acer</v>
      </c>
      <c r="M1259" t="str">
        <f>_xlfn.XLOOKUP(C1259, Table2[Species],Table2[Sp. Name], "Code Not Found")</f>
        <v>saccharum</v>
      </c>
      <c r="N1259" t="str">
        <f>_xlfn.XLOOKUP(C1259,Table2[Species],Table2[Family],"Code Not Found")</f>
        <v>Sapindaceae</v>
      </c>
      <c r="O1259" t="str" cm="1">
        <f t="array" ref="O1259">_xlfn.IFS(F1259="","",F1259&lt;=5,"0 to 5",F1259&lt;=10,"5.1 to 10",F1259&lt;=20,"10 to 20", F1259&lt;= 40, "20 to 40", F1259 &lt;= 50, "40 to 50", F1259 &gt; 50, "&gt;50" )</f>
        <v>0 to 5</v>
      </c>
    </row>
    <row r="1260" spans="1:15" ht="14.4" x14ac:dyDescent="0.3">
      <c r="A1260" t="s">
        <v>240</v>
      </c>
      <c r="B1260" s="1">
        <v>46191</v>
      </c>
      <c r="C1260" t="s">
        <v>180</v>
      </c>
      <c r="D1260">
        <v>1160</v>
      </c>
      <c r="E1260">
        <v>1</v>
      </c>
      <c r="F1260">
        <v>11.6</v>
      </c>
      <c r="G1260" t="s">
        <v>17</v>
      </c>
      <c r="I1260" t="str">
        <f t="shared" si="20"/>
        <v>1160_1</v>
      </c>
      <c r="J1260" t="s">
        <v>241</v>
      </c>
      <c r="K1260" t="s">
        <v>179</v>
      </c>
      <c r="L1260" t="str">
        <f>_xlfn.XLOOKUP(C1260, Table2[Species],Table2[Genus], "Code Not Found")</f>
        <v>Tilia</v>
      </c>
      <c r="M1260" t="str">
        <f>_xlfn.XLOOKUP(C1260, Table2[Species],Table2[Sp. Name], "Code Not Found")</f>
        <v>americana</v>
      </c>
      <c r="N1260" t="str">
        <f>_xlfn.XLOOKUP(C1260,Table2[Species],Table2[Family],"Code Not Found")</f>
        <v>Malvaceae</v>
      </c>
      <c r="O1260" t="str" cm="1">
        <f t="array" ref="O1260">_xlfn.IFS(F1260="","",F1260&lt;=5,"0 to 5",F1260&lt;=10,"5.1 to 10",F1260&lt;=20,"10 to 20", F1260&lt;= 40, "20 to 40", F1260 &lt;= 50, "40 to 50", F1260 &gt; 50, "&gt;50" )</f>
        <v>10 to 20</v>
      </c>
    </row>
    <row r="1261" spans="1:15" ht="14.4" x14ac:dyDescent="0.3">
      <c r="A1261" t="s">
        <v>240</v>
      </c>
      <c r="B1261" s="1">
        <v>46191</v>
      </c>
      <c r="C1261" t="s">
        <v>16</v>
      </c>
      <c r="D1261">
        <v>1161</v>
      </c>
      <c r="E1261">
        <v>1</v>
      </c>
      <c r="F1261">
        <v>4.8</v>
      </c>
      <c r="G1261" t="s">
        <v>17</v>
      </c>
      <c r="I1261" t="str">
        <f t="shared" si="20"/>
        <v>1161_1</v>
      </c>
      <c r="J1261" t="s">
        <v>241</v>
      </c>
      <c r="K1261" t="s">
        <v>179</v>
      </c>
      <c r="L1261" t="str">
        <f>_xlfn.XLOOKUP(C1261, Table2[Species],Table2[Genus], "Code Not Found")</f>
        <v>Acer</v>
      </c>
      <c r="M1261" t="str">
        <f>_xlfn.XLOOKUP(C1261, Table2[Species],Table2[Sp. Name], "Code Not Found")</f>
        <v>saccharum</v>
      </c>
      <c r="N1261" t="str">
        <f>_xlfn.XLOOKUP(C1261,Table2[Species],Table2[Family],"Code Not Found")</f>
        <v>Sapindaceae</v>
      </c>
      <c r="O1261" t="str" cm="1">
        <f t="array" ref="O1261">_xlfn.IFS(F1261="","",F1261&lt;=5,"0 to 5",F1261&lt;=10,"5.1 to 10",F1261&lt;=20,"10 to 20", F1261&lt;= 40, "20 to 40", F1261 &lt;= 50, "40 to 50", F1261 &gt; 50, "&gt;50" )</f>
        <v>0 to 5</v>
      </c>
    </row>
    <row r="1262" spans="1:15" ht="14.4" x14ac:dyDescent="0.3">
      <c r="A1262" t="s">
        <v>240</v>
      </c>
      <c r="B1262" s="1">
        <v>46197</v>
      </c>
      <c r="C1262" t="s">
        <v>16</v>
      </c>
      <c r="D1262">
        <v>1162</v>
      </c>
      <c r="E1262">
        <v>1</v>
      </c>
      <c r="F1262">
        <v>2.5</v>
      </c>
      <c r="G1262" t="s">
        <v>38</v>
      </c>
      <c r="I1262" t="str">
        <f t="shared" si="20"/>
        <v>1162_1</v>
      </c>
      <c r="J1262" t="s">
        <v>241</v>
      </c>
      <c r="K1262" t="s">
        <v>179</v>
      </c>
      <c r="L1262" t="str">
        <f>_xlfn.XLOOKUP(C1262, Table2[Species],Table2[Genus], "Code Not Found")</f>
        <v>Acer</v>
      </c>
      <c r="M1262" t="str">
        <f>_xlfn.XLOOKUP(C1262, Table2[Species],Table2[Sp. Name], "Code Not Found")</f>
        <v>saccharum</v>
      </c>
      <c r="N1262" t="str">
        <f>_xlfn.XLOOKUP(C1262,Table2[Species],Table2[Family],"Code Not Found")</f>
        <v>Sapindaceae</v>
      </c>
      <c r="O1262" t="str" cm="1">
        <f t="array" ref="O1262">_xlfn.IFS(F1262="","",F1262&lt;=5,"0 to 5",F1262&lt;=10,"5.1 to 10",F1262&lt;=20,"10 to 20", F1262&lt;= 40, "20 to 40", F1262 &lt;= 50, "40 to 50", F1262 &gt; 50, "&gt;50" )</f>
        <v>0 to 5</v>
      </c>
    </row>
    <row r="1263" spans="1:15" ht="14.4" x14ac:dyDescent="0.3">
      <c r="A1263" t="s">
        <v>240</v>
      </c>
      <c r="B1263" s="1">
        <v>46197</v>
      </c>
      <c r="C1263" t="s">
        <v>16</v>
      </c>
      <c r="D1263">
        <v>1163</v>
      </c>
      <c r="E1263">
        <v>1</v>
      </c>
      <c r="F1263">
        <v>3</v>
      </c>
      <c r="G1263" t="s">
        <v>88</v>
      </c>
      <c r="H1263" t="s">
        <v>99</v>
      </c>
      <c r="I1263" t="str">
        <f t="shared" ref="I1263:I1326" si="21">D1263&amp;"_"&amp;E1263</f>
        <v>1163_1</v>
      </c>
      <c r="J1263" t="s">
        <v>241</v>
      </c>
      <c r="K1263" t="s">
        <v>179</v>
      </c>
      <c r="L1263" t="str">
        <f>_xlfn.XLOOKUP(C1263, Table2[Species],Table2[Genus], "Code Not Found")</f>
        <v>Acer</v>
      </c>
      <c r="M1263" t="str">
        <f>_xlfn.XLOOKUP(C1263, Table2[Species],Table2[Sp. Name], "Code Not Found")</f>
        <v>saccharum</v>
      </c>
      <c r="N1263" t="str">
        <f>_xlfn.XLOOKUP(C1263,Table2[Species],Table2[Family],"Code Not Found")</f>
        <v>Sapindaceae</v>
      </c>
      <c r="O1263" t="str" cm="1">
        <f t="array" ref="O1263">_xlfn.IFS(F1263="","",F1263&lt;=5,"0 to 5",F1263&lt;=10,"5.1 to 10",F1263&lt;=20,"10 to 20", F1263&lt;= 40, "20 to 40", F1263 &lt;= 50, "40 to 50", F1263 &gt; 50, "&gt;50" )</f>
        <v>0 to 5</v>
      </c>
    </row>
    <row r="1264" spans="1:15" ht="14.4" x14ac:dyDescent="0.3">
      <c r="A1264" t="s">
        <v>240</v>
      </c>
      <c r="B1264" s="1">
        <v>46197</v>
      </c>
      <c r="C1264" t="s">
        <v>16</v>
      </c>
      <c r="D1264">
        <v>1164</v>
      </c>
      <c r="E1264">
        <v>1</v>
      </c>
      <c r="F1264">
        <v>1.7</v>
      </c>
      <c r="G1264" t="s">
        <v>17</v>
      </c>
      <c r="I1264" t="str">
        <f t="shared" si="21"/>
        <v>1164_1</v>
      </c>
      <c r="J1264" t="s">
        <v>241</v>
      </c>
      <c r="K1264" t="s">
        <v>179</v>
      </c>
      <c r="L1264" t="str">
        <f>_xlfn.XLOOKUP(C1264, Table2[Species],Table2[Genus], "Code Not Found")</f>
        <v>Acer</v>
      </c>
      <c r="M1264" t="str">
        <f>_xlfn.XLOOKUP(C1264, Table2[Species],Table2[Sp. Name], "Code Not Found")</f>
        <v>saccharum</v>
      </c>
      <c r="N1264" t="str">
        <f>_xlfn.XLOOKUP(C1264,Table2[Species],Table2[Family],"Code Not Found")</f>
        <v>Sapindaceae</v>
      </c>
      <c r="O1264" t="str" cm="1">
        <f t="array" ref="O1264">_xlfn.IFS(F1264="","",F1264&lt;=5,"0 to 5",F1264&lt;=10,"5.1 to 10",F1264&lt;=20,"10 to 20", F1264&lt;= 40, "20 to 40", F1264 &lt;= 50, "40 to 50", F1264 &gt; 50, "&gt;50" )</f>
        <v>0 to 5</v>
      </c>
    </row>
    <row r="1265" spans="1:15" ht="14.4" x14ac:dyDescent="0.3">
      <c r="A1265" t="s">
        <v>240</v>
      </c>
      <c r="B1265" s="1">
        <v>46197</v>
      </c>
      <c r="C1265" t="s">
        <v>16</v>
      </c>
      <c r="D1265">
        <v>1165</v>
      </c>
      <c r="E1265">
        <v>1</v>
      </c>
      <c r="F1265">
        <v>13.8</v>
      </c>
      <c r="G1265" t="s">
        <v>17</v>
      </c>
      <c r="I1265" t="str">
        <f t="shared" si="21"/>
        <v>1165_1</v>
      </c>
      <c r="J1265" t="s">
        <v>241</v>
      </c>
      <c r="K1265" t="s">
        <v>179</v>
      </c>
      <c r="L1265" t="str">
        <f>_xlfn.XLOOKUP(C1265, Table2[Species],Table2[Genus], "Code Not Found")</f>
        <v>Acer</v>
      </c>
      <c r="M1265" t="str">
        <f>_xlfn.XLOOKUP(C1265, Table2[Species],Table2[Sp. Name], "Code Not Found")</f>
        <v>saccharum</v>
      </c>
      <c r="N1265" t="str">
        <f>_xlfn.XLOOKUP(C1265,Table2[Species],Table2[Family],"Code Not Found")</f>
        <v>Sapindaceae</v>
      </c>
      <c r="O1265" t="str" cm="1">
        <f t="array" ref="O1265">_xlfn.IFS(F1265="","",F1265&lt;=5,"0 to 5",F1265&lt;=10,"5.1 to 10",F1265&lt;=20,"10 to 20", F1265&lt;= 40, "20 to 40", F1265 &lt;= 50, "40 to 50", F1265 &gt; 50, "&gt;50" )</f>
        <v>10 to 20</v>
      </c>
    </row>
    <row r="1266" spans="1:15" ht="14.4" x14ac:dyDescent="0.3">
      <c r="A1266" t="s">
        <v>240</v>
      </c>
      <c r="B1266" s="1">
        <v>46197</v>
      </c>
      <c r="C1266" t="s">
        <v>16</v>
      </c>
      <c r="D1266">
        <v>1166</v>
      </c>
      <c r="E1266">
        <v>1</v>
      </c>
      <c r="F1266">
        <v>5.7</v>
      </c>
      <c r="G1266" t="s">
        <v>17</v>
      </c>
      <c r="I1266" t="str">
        <f t="shared" si="21"/>
        <v>1166_1</v>
      </c>
      <c r="J1266" t="s">
        <v>241</v>
      </c>
      <c r="K1266" t="s">
        <v>179</v>
      </c>
      <c r="L1266" t="str">
        <f>_xlfn.XLOOKUP(C1266, Table2[Species],Table2[Genus], "Code Not Found")</f>
        <v>Acer</v>
      </c>
      <c r="M1266" t="str">
        <f>_xlfn.XLOOKUP(C1266, Table2[Species],Table2[Sp. Name], "Code Not Found")</f>
        <v>saccharum</v>
      </c>
      <c r="N1266" t="str">
        <f>_xlfn.XLOOKUP(C1266,Table2[Species],Table2[Family],"Code Not Found")</f>
        <v>Sapindaceae</v>
      </c>
      <c r="O1266" t="str" cm="1">
        <f t="array" ref="O1266">_xlfn.IFS(F1266="","",F1266&lt;=5,"0 to 5",F1266&lt;=10,"5.1 to 10",F1266&lt;=20,"10 to 20", F1266&lt;= 40, "20 to 40", F1266 &lt;= 50, "40 to 50", F1266 &gt; 50, "&gt;50" )</f>
        <v>5.1 to 10</v>
      </c>
    </row>
    <row r="1267" spans="1:15" ht="14.4" x14ac:dyDescent="0.3">
      <c r="A1267" t="s">
        <v>240</v>
      </c>
      <c r="B1267" s="1">
        <v>46197</v>
      </c>
      <c r="C1267" t="s">
        <v>180</v>
      </c>
      <c r="D1267">
        <v>1167</v>
      </c>
      <c r="E1267">
        <v>1</v>
      </c>
      <c r="F1267">
        <v>12</v>
      </c>
      <c r="G1267" t="s">
        <v>47</v>
      </c>
      <c r="I1267" t="str">
        <f t="shared" si="21"/>
        <v>1167_1</v>
      </c>
      <c r="J1267" t="s">
        <v>241</v>
      </c>
      <c r="K1267" t="s">
        <v>179</v>
      </c>
      <c r="L1267" t="str">
        <f>_xlfn.XLOOKUP(C1267, Table2[Species],Table2[Genus], "Code Not Found")</f>
        <v>Tilia</v>
      </c>
      <c r="M1267" t="str">
        <f>_xlfn.XLOOKUP(C1267, Table2[Species],Table2[Sp. Name], "Code Not Found")</f>
        <v>americana</v>
      </c>
      <c r="N1267" t="str">
        <f>_xlfn.XLOOKUP(C1267,Table2[Species],Table2[Family],"Code Not Found")</f>
        <v>Malvaceae</v>
      </c>
      <c r="O1267" t="str" cm="1">
        <f t="array" ref="O1267">_xlfn.IFS(F1267="","",F1267&lt;=5,"0 to 5",F1267&lt;=10,"5.1 to 10",F1267&lt;=20,"10 to 20", F1267&lt;= 40, "20 to 40", F1267 &lt;= 50, "40 to 50", F1267 &gt; 50, "&gt;50" )</f>
        <v>10 to 20</v>
      </c>
    </row>
    <row r="1268" spans="1:15" ht="14.4" x14ac:dyDescent="0.3">
      <c r="A1268" t="s">
        <v>240</v>
      </c>
      <c r="B1268" s="1">
        <v>46197</v>
      </c>
      <c r="C1268" t="s">
        <v>64</v>
      </c>
      <c r="D1268">
        <v>1168</v>
      </c>
      <c r="E1268">
        <v>1</v>
      </c>
      <c r="F1268">
        <v>4.5</v>
      </c>
      <c r="G1268" t="s">
        <v>47</v>
      </c>
      <c r="H1268" t="s">
        <v>43</v>
      </c>
      <c r="I1268" t="str">
        <f t="shared" si="21"/>
        <v>1168_1</v>
      </c>
      <c r="J1268" t="s">
        <v>241</v>
      </c>
      <c r="K1268" t="s">
        <v>179</v>
      </c>
      <c r="L1268" t="str">
        <f>_xlfn.XLOOKUP(C1268, Table2[Species],Table2[Genus], "Code Not Found")</f>
        <v>Fagus</v>
      </c>
      <c r="M1268" t="str">
        <f>_xlfn.XLOOKUP(C1268, Table2[Species],Table2[Sp. Name], "Code Not Found")</f>
        <v>grandifolia</v>
      </c>
      <c r="N1268" t="str">
        <f>_xlfn.XLOOKUP(C1268,Table2[Species],Table2[Family],"Code Not Found")</f>
        <v>Fagaceae</v>
      </c>
      <c r="O1268" t="str" cm="1">
        <f t="array" ref="O1268">_xlfn.IFS(F1268="","",F1268&lt;=5,"0 to 5",F1268&lt;=10,"5.1 to 10",F1268&lt;=20,"10 to 20", F1268&lt;= 40, "20 to 40", F1268 &lt;= 50, "40 to 50", F1268 &gt; 50, "&gt;50" )</f>
        <v>0 to 5</v>
      </c>
    </row>
    <row r="1269" spans="1:15" ht="14.4" x14ac:dyDescent="0.3">
      <c r="A1269" t="s">
        <v>240</v>
      </c>
      <c r="B1269" s="1">
        <v>46197</v>
      </c>
      <c r="C1269" t="s">
        <v>16</v>
      </c>
      <c r="D1269">
        <v>1169</v>
      </c>
      <c r="E1269">
        <v>1</v>
      </c>
      <c r="F1269">
        <v>2.6</v>
      </c>
      <c r="G1269" t="s">
        <v>17</v>
      </c>
      <c r="I1269" t="str">
        <f t="shared" si="21"/>
        <v>1169_1</v>
      </c>
      <c r="J1269" t="s">
        <v>241</v>
      </c>
      <c r="K1269" t="s">
        <v>179</v>
      </c>
      <c r="L1269" t="str">
        <f>_xlfn.XLOOKUP(C1269, Table2[Species],Table2[Genus], "Code Not Found")</f>
        <v>Acer</v>
      </c>
      <c r="M1269" t="str">
        <f>_xlfn.XLOOKUP(C1269, Table2[Species],Table2[Sp. Name], "Code Not Found")</f>
        <v>saccharum</v>
      </c>
      <c r="N1269" t="str">
        <f>_xlfn.XLOOKUP(C1269,Table2[Species],Table2[Family],"Code Not Found")</f>
        <v>Sapindaceae</v>
      </c>
      <c r="O1269" t="str" cm="1">
        <f t="array" ref="O1269">_xlfn.IFS(F1269="","",F1269&lt;=5,"0 to 5",F1269&lt;=10,"5.1 to 10",F1269&lt;=20,"10 to 20", F1269&lt;= 40, "20 to 40", F1269 &lt;= 50, "40 to 50", F1269 &gt; 50, "&gt;50" )</f>
        <v>0 to 5</v>
      </c>
    </row>
    <row r="1270" spans="1:15" ht="14.4" x14ac:dyDescent="0.3">
      <c r="A1270" t="s">
        <v>240</v>
      </c>
      <c r="B1270" s="1">
        <v>46197</v>
      </c>
      <c r="C1270" t="s">
        <v>64</v>
      </c>
      <c r="D1270">
        <v>1170</v>
      </c>
      <c r="E1270">
        <v>1</v>
      </c>
      <c r="F1270">
        <v>3.7</v>
      </c>
      <c r="G1270" t="s">
        <v>93</v>
      </c>
      <c r="H1270" t="s">
        <v>279</v>
      </c>
      <c r="I1270" t="str">
        <f t="shared" si="21"/>
        <v>1170_1</v>
      </c>
      <c r="J1270" t="s">
        <v>241</v>
      </c>
      <c r="K1270" t="s">
        <v>179</v>
      </c>
      <c r="L1270" t="str">
        <f>_xlfn.XLOOKUP(C1270, Table2[Species],Table2[Genus], "Code Not Found")</f>
        <v>Fagus</v>
      </c>
      <c r="M1270" t="str">
        <f>_xlfn.XLOOKUP(C1270, Table2[Species],Table2[Sp. Name], "Code Not Found")</f>
        <v>grandifolia</v>
      </c>
      <c r="N1270" t="str">
        <f>_xlfn.XLOOKUP(C1270,Table2[Species],Table2[Family],"Code Not Found")</f>
        <v>Fagaceae</v>
      </c>
      <c r="O1270" t="str" cm="1">
        <f t="array" ref="O1270">_xlfn.IFS(F1270="","",F1270&lt;=5,"0 to 5",F1270&lt;=10,"5.1 to 10",F1270&lt;=20,"10 to 20", F1270&lt;= 40, "20 to 40", F1270 &lt;= 50, "40 to 50", F1270 &gt; 50, "&gt;50" )</f>
        <v>0 to 5</v>
      </c>
    </row>
    <row r="1271" spans="1:15" ht="14.4" x14ac:dyDescent="0.3">
      <c r="A1271" t="s">
        <v>240</v>
      </c>
      <c r="B1271" s="1">
        <v>46197</v>
      </c>
      <c r="C1271" t="s">
        <v>64</v>
      </c>
      <c r="D1271">
        <v>1170</v>
      </c>
      <c r="E1271">
        <v>2</v>
      </c>
      <c r="F1271">
        <v>1.5</v>
      </c>
      <c r="G1271" t="s">
        <v>93</v>
      </c>
      <c r="H1271" t="s">
        <v>279</v>
      </c>
      <c r="I1271" t="str">
        <f t="shared" si="21"/>
        <v>1170_2</v>
      </c>
      <c r="J1271" t="s">
        <v>241</v>
      </c>
      <c r="K1271" t="s">
        <v>179</v>
      </c>
      <c r="L1271" t="str">
        <f>_xlfn.XLOOKUP(C1271, Table2[Species],Table2[Genus], "Code Not Found")</f>
        <v>Fagus</v>
      </c>
      <c r="M1271" t="str">
        <f>_xlfn.XLOOKUP(C1271, Table2[Species],Table2[Sp. Name], "Code Not Found")</f>
        <v>grandifolia</v>
      </c>
      <c r="N1271" t="str">
        <f>_xlfn.XLOOKUP(C1271,Table2[Species],Table2[Family],"Code Not Found")</f>
        <v>Fagaceae</v>
      </c>
      <c r="O1271" t="str" cm="1">
        <f t="array" ref="O1271">_xlfn.IFS(F1271="","",F1271&lt;=5,"0 to 5",F1271&lt;=10,"5.1 to 10",F1271&lt;=20,"10 to 20", F1271&lt;= 40, "20 to 40", F1271 &lt;= 50, "40 to 50", F1271 &gt; 50, "&gt;50" )</f>
        <v>0 to 5</v>
      </c>
    </row>
    <row r="1272" spans="1:15" ht="14.4" x14ac:dyDescent="0.3">
      <c r="A1272" t="s">
        <v>240</v>
      </c>
      <c r="B1272" s="1">
        <v>46197</v>
      </c>
      <c r="C1272" t="s">
        <v>16</v>
      </c>
      <c r="D1272">
        <v>1171</v>
      </c>
      <c r="E1272">
        <v>1</v>
      </c>
      <c r="F1272">
        <v>54.3</v>
      </c>
      <c r="G1272" t="s">
        <v>17</v>
      </c>
      <c r="I1272" t="str">
        <f t="shared" si="21"/>
        <v>1171_1</v>
      </c>
      <c r="J1272" t="s">
        <v>241</v>
      </c>
      <c r="K1272" t="s">
        <v>179</v>
      </c>
      <c r="L1272" t="str">
        <f>_xlfn.XLOOKUP(C1272, Table2[Species],Table2[Genus], "Code Not Found")</f>
        <v>Acer</v>
      </c>
      <c r="M1272" t="str">
        <f>_xlfn.XLOOKUP(C1272, Table2[Species],Table2[Sp. Name], "Code Not Found")</f>
        <v>saccharum</v>
      </c>
      <c r="N1272" t="str">
        <f>_xlfn.XLOOKUP(C1272,Table2[Species],Table2[Family],"Code Not Found")</f>
        <v>Sapindaceae</v>
      </c>
      <c r="O1272" t="str" cm="1">
        <f t="array" ref="O1272">_xlfn.IFS(F1272="","",F1272&lt;=5,"0 to 5",F1272&lt;=10,"5.1 to 10",F1272&lt;=20,"10 to 20", F1272&lt;= 40, "20 to 40", F1272 &lt;= 50, "40 to 50", F1272 &gt; 50, "&gt;50" )</f>
        <v>&gt;50</v>
      </c>
    </row>
    <row r="1273" spans="1:15" ht="14.4" x14ac:dyDescent="0.3">
      <c r="A1273" t="s">
        <v>240</v>
      </c>
      <c r="B1273" s="1">
        <v>46197</v>
      </c>
      <c r="C1273" t="s">
        <v>16</v>
      </c>
      <c r="D1273">
        <v>1172</v>
      </c>
      <c r="E1273">
        <v>1</v>
      </c>
      <c r="F1273">
        <v>39</v>
      </c>
      <c r="G1273" t="s">
        <v>17</v>
      </c>
      <c r="I1273" t="str">
        <f t="shared" si="21"/>
        <v>1172_1</v>
      </c>
      <c r="J1273" t="s">
        <v>241</v>
      </c>
      <c r="K1273" t="s">
        <v>179</v>
      </c>
      <c r="L1273" t="str">
        <f>_xlfn.XLOOKUP(C1273, Table2[Species],Table2[Genus], "Code Not Found")</f>
        <v>Acer</v>
      </c>
      <c r="M1273" t="str">
        <f>_xlfn.XLOOKUP(C1273, Table2[Species],Table2[Sp. Name], "Code Not Found")</f>
        <v>saccharum</v>
      </c>
      <c r="N1273" t="str">
        <f>_xlfn.XLOOKUP(C1273,Table2[Species],Table2[Family],"Code Not Found")</f>
        <v>Sapindaceae</v>
      </c>
      <c r="O1273" t="str" cm="1">
        <f t="array" ref="O1273">_xlfn.IFS(F1273="","",F1273&lt;=5,"0 to 5",F1273&lt;=10,"5.1 to 10",F1273&lt;=20,"10 to 20", F1273&lt;= 40, "20 to 40", F1273 &lt;= 50, "40 to 50", F1273 &gt; 50, "&gt;50" )</f>
        <v>20 to 40</v>
      </c>
    </row>
    <row r="1274" spans="1:15" ht="14.4" x14ac:dyDescent="0.3">
      <c r="A1274" t="s">
        <v>240</v>
      </c>
      <c r="B1274" s="1">
        <v>46197</v>
      </c>
      <c r="C1274" t="s">
        <v>16</v>
      </c>
      <c r="D1274">
        <v>1173</v>
      </c>
      <c r="E1274">
        <v>1</v>
      </c>
      <c r="F1274">
        <v>8.4</v>
      </c>
      <c r="G1274" t="s">
        <v>17</v>
      </c>
      <c r="I1274" t="str">
        <f t="shared" si="21"/>
        <v>1173_1</v>
      </c>
      <c r="J1274" t="s">
        <v>241</v>
      </c>
      <c r="K1274" t="s">
        <v>179</v>
      </c>
      <c r="L1274" t="str">
        <f>_xlfn.XLOOKUP(C1274, Table2[Species],Table2[Genus], "Code Not Found")</f>
        <v>Acer</v>
      </c>
      <c r="M1274" t="str">
        <f>_xlfn.XLOOKUP(C1274, Table2[Species],Table2[Sp. Name], "Code Not Found")</f>
        <v>saccharum</v>
      </c>
      <c r="N1274" t="str">
        <f>_xlfn.XLOOKUP(C1274,Table2[Species],Table2[Family],"Code Not Found")</f>
        <v>Sapindaceae</v>
      </c>
      <c r="O1274" t="str" cm="1">
        <f t="array" ref="O1274">_xlfn.IFS(F1274="","",F1274&lt;=5,"0 to 5",F1274&lt;=10,"5.1 to 10",F1274&lt;=20,"10 to 20", F1274&lt;= 40, "20 to 40", F1274 &lt;= 50, "40 to 50", F1274 &gt; 50, "&gt;50" )</f>
        <v>5.1 to 10</v>
      </c>
    </row>
    <row r="1275" spans="1:15" ht="14.4" x14ac:dyDescent="0.3">
      <c r="A1275" t="s">
        <v>240</v>
      </c>
      <c r="B1275" s="1">
        <v>46197</v>
      </c>
      <c r="C1275" t="s">
        <v>16</v>
      </c>
      <c r="D1275">
        <v>1174</v>
      </c>
      <c r="E1275">
        <v>1</v>
      </c>
      <c r="F1275">
        <v>4.9000000000000004</v>
      </c>
      <c r="G1275" t="s">
        <v>17</v>
      </c>
      <c r="I1275" t="str">
        <f t="shared" si="21"/>
        <v>1174_1</v>
      </c>
      <c r="J1275" t="s">
        <v>241</v>
      </c>
      <c r="K1275" t="s">
        <v>179</v>
      </c>
      <c r="L1275" t="str">
        <f>_xlfn.XLOOKUP(C1275, Table2[Species],Table2[Genus], "Code Not Found")</f>
        <v>Acer</v>
      </c>
      <c r="M1275" t="str">
        <f>_xlfn.XLOOKUP(C1275, Table2[Species],Table2[Sp. Name], "Code Not Found")</f>
        <v>saccharum</v>
      </c>
      <c r="N1275" t="str">
        <f>_xlfn.XLOOKUP(C1275,Table2[Species],Table2[Family],"Code Not Found")</f>
        <v>Sapindaceae</v>
      </c>
      <c r="O1275" t="str" cm="1">
        <f t="array" ref="O1275">_xlfn.IFS(F1275="","",F1275&lt;=5,"0 to 5",F1275&lt;=10,"5.1 to 10",F1275&lt;=20,"10 to 20", F1275&lt;= 40, "20 to 40", F1275 &lt;= 50, "40 to 50", F1275 &gt; 50, "&gt;50" )</f>
        <v>0 to 5</v>
      </c>
    </row>
    <row r="1276" spans="1:15" ht="14.4" x14ac:dyDescent="0.3">
      <c r="A1276" t="s">
        <v>240</v>
      </c>
      <c r="B1276" s="1">
        <v>46197</v>
      </c>
      <c r="C1276" t="s">
        <v>16</v>
      </c>
      <c r="D1276">
        <v>1175</v>
      </c>
      <c r="E1276">
        <v>1</v>
      </c>
      <c r="F1276">
        <v>5</v>
      </c>
      <c r="G1276" t="s">
        <v>17</v>
      </c>
      <c r="I1276" t="str">
        <f t="shared" si="21"/>
        <v>1175_1</v>
      </c>
      <c r="J1276" t="s">
        <v>241</v>
      </c>
      <c r="K1276" t="s">
        <v>179</v>
      </c>
      <c r="L1276" t="str">
        <f>_xlfn.XLOOKUP(C1276, Table2[Species],Table2[Genus], "Code Not Found")</f>
        <v>Acer</v>
      </c>
      <c r="M1276" t="str">
        <f>_xlfn.XLOOKUP(C1276, Table2[Species],Table2[Sp. Name], "Code Not Found")</f>
        <v>saccharum</v>
      </c>
      <c r="N1276" t="str">
        <f>_xlfn.XLOOKUP(C1276,Table2[Species],Table2[Family],"Code Not Found")</f>
        <v>Sapindaceae</v>
      </c>
      <c r="O1276" t="str" cm="1">
        <f t="array" ref="O1276">_xlfn.IFS(F1276="","",F1276&lt;=5,"0 to 5",F1276&lt;=10,"5.1 to 10",F1276&lt;=20,"10 to 20", F1276&lt;= 40, "20 to 40", F1276 &lt;= 50, "40 to 50", F1276 &gt; 50, "&gt;50" )</f>
        <v>0 to 5</v>
      </c>
    </row>
    <row r="1277" spans="1:15" ht="14.4" x14ac:dyDescent="0.3">
      <c r="A1277" t="s">
        <v>240</v>
      </c>
      <c r="B1277" s="1">
        <v>46197</v>
      </c>
      <c r="C1277" t="s">
        <v>16</v>
      </c>
      <c r="D1277">
        <v>1176</v>
      </c>
      <c r="E1277">
        <v>1</v>
      </c>
      <c r="F1277">
        <v>1.3</v>
      </c>
      <c r="G1277" t="s">
        <v>47</v>
      </c>
      <c r="H1277" t="s">
        <v>43</v>
      </c>
      <c r="I1277" t="str">
        <f t="shared" si="21"/>
        <v>1176_1</v>
      </c>
      <c r="J1277" t="s">
        <v>241</v>
      </c>
      <c r="K1277" t="s">
        <v>179</v>
      </c>
      <c r="L1277" t="str">
        <f>_xlfn.XLOOKUP(C1277, Table2[Species],Table2[Genus], "Code Not Found")</f>
        <v>Acer</v>
      </c>
      <c r="M1277" t="str">
        <f>_xlfn.XLOOKUP(C1277, Table2[Species],Table2[Sp. Name], "Code Not Found")</f>
        <v>saccharum</v>
      </c>
      <c r="N1277" t="str">
        <f>_xlfn.XLOOKUP(C1277,Table2[Species],Table2[Family],"Code Not Found")</f>
        <v>Sapindaceae</v>
      </c>
      <c r="O1277" t="str" cm="1">
        <f t="array" ref="O1277">_xlfn.IFS(F1277="","",F1277&lt;=5,"0 to 5",F1277&lt;=10,"5.1 to 10",F1277&lt;=20,"10 to 20", F1277&lt;= 40, "20 to 40", F1277 &lt;= 50, "40 to 50", F1277 &gt; 50, "&gt;50" )</f>
        <v>0 to 5</v>
      </c>
    </row>
    <row r="1278" spans="1:15" ht="14.4" x14ac:dyDescent="0.3">
      <c r="A1278" t="s">
        <v>240</v>
      </c>
      <c r="B1278" s="1">
        <v>46197</v>
      </c>
      <c r="C1278" t="s">
        <v>16</v>
      </c>
      <c r="D1278">
        <v>1177</v>
      </c>
      <c r="E1278">
        <v>1</v>
      </c>
      <c r="F1278">
        <v>3.1</v>
      </c>
      <c r="G1278" t="s">
        <v>38</v>
      </c>
      <c r="I1278" t="str">
        <f t="shared" si="21"/>
        <v>1177_1</v>
      </c>
      <c r="J1278" t="s">
        <v>241</v>
      </c>
      <c r="K1278" t="s">
        <v>179</v>
      </c>
      <c r="L1278" t="str">
        <f>_xlfn.XLOOKUP(C1278, Table2[Species],Table2[Genus], "Code Not Found")</f>
        <v>Acer</v>
      </c>
      <c r="M1278" t="str">
        <f>_xlfn.XLOOKUP(C1278, Table2[Species],Table2[Sp. Name], "Code Not Found")</f>
        <v>saccharum</v>
      </c>
      <c r="N1278" t="str">
        <f>_xlfn.XLOOKUP(C1278,Table2[Species],Table2[Family],"Code Not Found")</f>
        <v>Sapindaceae</v>
      </c>
      <c r="O1278" t="str" cm="1">
        <f t="array" ref="O1278">_xlfn.IFS(F1278="","",F1278&lt;=5,"0 to 5",F1278&lt;=10,"5.1 to 10",F1278&lt;=20,"10 to 20", F1278&lt;= 40, "20 to 40", F1278 &lt;= 50, "40 to 50", F1278 &gt; 50, "&gt;50" )</f>
        <v>0 to 5</v>
      </c>
    </row>
    <row r="1279" spans="1:15" ht="14.4" x14ac:dyDescent="0.3">
      <c r="A1279" t="s">
        <v>240</v>
      </c>
      <c r="B1279" s="1">
        <v>46197</v>
      </c>
      <c r="C1279" t="s">
        <v>16</v>
      </c>
      <c r="D1279">
        <v>1178</v>
      </c>
      <c r="E1279">
        <v>1</v>
      </c>
      <c r="F1279">
        <v>12.5</v>
      </c>
      <c r="G1279" t="s">
        <v>17</v>
      </c>
      <c r="I1279" t="str">
        <f t="shared" si="21"/>
        <v>1178_1</v>
      </c>
      <c r="J1279" t="s">
        <v>241</v>
      </c>
      <c r="K1279" t="s">
        <v>179</v>
      </c>
      <c r="L1279" t="str">
        <f>_xlfn.XLOOKUP(C1279, Table2[Species],Table2[Genus], "Code Not Found")</f>
        <v>Acer</v>
      </c>
      <c r="M1279" t="str">
        <f>_xlfn.XLOOKUP(C1279, Table2[Species],Table2[Sp. Name], "Code Not Found")</f>
        <v>saccharum</v>
      </c>
      <c r="N1279" t="str">
        <f>_xlfn.XLOOKUP(C1279,Table2[Species],Table2[Family],"Code Not Found")</f>
        <v>Sapindaceae</v>
      </c>
      <c r="O1279" t="str" cm="1">
        <f t="array" ref="O1279">_xlfn.IFS(F1279="","",F1279&lt;=5,"0 to 5",F1279&lt;=10,"5.1 to 10",F1279&lt;=20,"10 to 20", F1279&lt;= 40, "20 to 40", F1279 &lt;= 50, "40 to 50", F1279 &gt; 50, "&gt;50" )</f>
        <v>10 to 20</v>
      </c>
    </row>
    <row r="1280" spans="1:15" ht="14.4" x14ac:dyDescent="0.3">
      <c r="A1280" t="s">
        <v>240</v>
      </c>
      <c r="B1280" s="1">
        <v>46197</v>
      </c>
      <c r="C1280" t="s">
        <v>59</v>
      </c>
      <c r="D1280">
        <v>1179</v>
      </c>
      <c r="E1280">
        <v>1</v>
      </c>
      <c r="F1280">
        <v>5.0999999999999996</v>
      </c>
      <c r="G1280" t="s">
        <v>47</v>
      </c>
      <c r="H1280" t="s">
        <v>43</v>
      </c>
      <c r="I1280" t="str">
        <f t="shared" si="21"/>
        <v>1179_1</v>
      </c>
      <c r="J1280" t="s">
        <v>241</v>
      </c>
      <c r="K1280" t="s">
        <v>179</v>
      </c>
      <c r="L1280" t="str">
        <f>_xlfn.XLOOKUP(C1280, Table2[Species],Table2[Genus], "Code Not Found")</f>
        <v>Nyssa</v>
      </c>
      <c r="M1280" t="str">
        <f>_xlfn.XLOOKUP(C1280, Table2[Species],Table2[Sp. Name], "Code Not Found")</f>
        <v>sylvatica</v>
      </c>
      <c r="N1280" t="str">
        <f>_xlfn.XLOOKUP(C1280,Table2[Species],Table2[Family],"Code Not Found")</f>
        <v>Nyssaceae</v>
      </c>
      <c r="O1280" t="str" cm="1">
        <f t="array" ref="O1280">_xlfn.IFS(F1280="","",F1280&lt;=5,"0 to 5",F1280&lt;=10,"5.1 to 10",F1280&lt;=20,"10 to 20", F1280&lt;= 40, "20 to 40", F1280 &lt;= 50, "40 to 50", F1280 &gt; 50, "&gt;50" )</f>
        <v>5.1 to 10</v>
      </c>
    </row>
    <row r="1281" spans="1:15" ht="14.4" x14ac:dyDescent="0.3">
      <c r="A1281" t="s">
        <v>240</v>
      </c>
      <c r="B1281" s="1">
        <v>46197</v>
      </c>
      <c r="C1281" t="s">
        <v>16</v>
      </c>
      <c r="D1281">
        <v>1180</v>
      </c>
      <c r="E1281">
        <v>1</v>
      </c>
      <c r="F1281">
        <v>5.5</v>
      </c>
      <c r="G1281" t="s">
        <v>17</v>
      </c>
      <c r="I1281" t="str">
        <f t="shared" si="21"/>
        <v>1180_1</v>
      </c>
      <c r="J1281" t="s">
        <v>241</v>
      </c>
      <c r="K1281" t="s">
        <v>179</v>
      </c>
      <c r="L1281" t="str">
        <f>_xlfn.XLOOKUP(C1281, Table2[Species],Table2[Genus], "Code Not Found")</f>
        <v>Acer</v>
      </c>
      <c r="M1281" t="str">
        <f>_xlfn.XLOOKUP(C1281, Table2[Species],Table2[Sp. Name], "Code Not Found")</f>
        <v>saccharum</v>
      </c>
      <c r="N1281" t="str">
        <f>_xlfn.XLOOKUP(C1281,Table2[Species],Table2[Family],"Code Not Found")</f>
        <v>Sapindaceae</v>
      </c>
      <c r="O1281" t="str" cm="1">
        <f t="array" ref="O1281">_xlfn.IFS(F1281="","",F1281&lt;=5,"0 to 5",F1281&lt;=10,"5.1 to 10",F1281&lt;=20,"10 to 20", F1281&lt;= 40, "20 to 40", F1281 &lt;= 50, "40 to 50", F1281 &gt; 50, "&gt;50" )</f>
        <v>5.1 to 10</v>
      </c>
    </row>
    <row r="1282" spans="1:15" ht="14.4" x14ac:dyDescent="0.3">
      <c r="A1282" t="s">
        <v>240</v>
      </c>
      <c r="B1282" s="1">
        <v>46197</v>
      </c>
      <c r="C1282" t="s">
        <v>64</v>
      </c>
      <c r="D1282">
        <v>1181</v>
      </c>
      <c r="E1282">
        <v>1</v>
      </c>
      <c r="F1282">
        <v>8.6</v>
      </c>
      <c r="G1282" t="s">
        <v>21</v>
      </c>
      <c r="I1282" t="str">
        <f t="shared" si="21"/>
        <v>1181_1</v>
      </c>
      <c r="J1282" t="s">
        <v>241</v>
      </c>
      <c r="K1282" t="s">
        <v>179</v>
      </c>
      <c r="L1282" t="str">
        <f>_xlfn.XLOOKUP(C1282, Table2[Species],Table2[Genus], "Code Not Found")</f>
        <v>Fagus</v>
      </c>
      <c r="M1282" t="str">
        <f>_xlfn.XLOOKUP(C1282, Table2[Species],Table2[Sp. Name], "Code Not Found")</f>
        <v>grandifolia</v>
      </c>
      <c r="N1282" t="str">
        <f>_xlfn.XLOOKUP(C1282,Table2[Species],Table2[Family],"Code Not Found")</f>
        <v>Fagaceae</v>
      </c>
      <c r="O1282" t="str" cm="1">
        <f t="array" ref="O1282">_xlfn.IFS(F1282="","",F1282&lt;=5,"0 to 5",F1282&lt;=10,"5.1 to 10",F1282&lt;=20,"10 to 20", F1282&lt;= 40, "20 to 40", F1282 &lt;= 50, "40 to 50", F1282 &gt; 50, "&gt;50" )</f>
        <v>5.1 to 10</v>
      </c>
    </row>
    <row r="1283" spans="1:15" ht="14.4" x14ac:dyDescent="0.3">
      <c r="A1283" t="s">
        <v>240</v>
      </c>
      <c r="B1283" s="1">
        <v>46197</v>
      </c>
      <c r="C1283" t="s">
        <v>24</v>
      </c>
      <c r="D1283">
        <v>1182</v>
      </c>
      <c r="E1283">
        <v>1</v>
      </c>
      <c r="F1283">
        <v>1.1000000000000001</v>
      </c>
      <c r="G1283" t="s">
        <v>21</v>
      </c>
      <c r="I1283" t="str">
        <f t="shared" si="21"/>
        <v>1182_1</v>
      </c>
      <c r="J1283" t="s">
        <v>241</v>
      </c>
      <c r="K1283" t="s">
        <v>179</v>
      </c>
      <c r="L1283" t="str">
        <f>_xlfn.XLOOKUP(C1283, Table2[Species],Table2[Genus], "Code Not Found")</f>
        <v>Lirodendron</v>
      </c>
      <c r="M1283" t="str">
        <f>_xlfn.XLOOKUP(C1283, Table2[Species],Table2[Sp. Name], "Code Not Found")</f>
        <v>tulipfera</v>
      </c>
      <c r="N1283" t="str">
        <f>_xlfn.XLOOKUP(C1283,Table2[Species],Table2[Family],"Code Not Found")</f>
        <v>Magnoliaceae</v>
      </c>
      <c r="O1283" t="str" cm="1">
        <f t="array" ref="O1283">_xlfn.IFS(F1283="","",F1283&lt;=5,"0 to 5",F1283&lt;=10,"5.1 to 10",F1283&lt;=20,"10 to 20", F1283&lt;= 40, "20 to 40", F1283 &lt;= 50, "40 to 50", F1283 &gt; 50, "&gt;50" )</f>
        <v>0 to 5</v>
      </c>
    </row>
    <row r="1284" spans="1:15" ht="14.4" x14ac:dyDescent="0.3">
      <c r="A1284" t="s">
        <v>240</v>
      </c>
      <c r="B1284" s="1">
        <v>46197</v>
      </c>
      <c r="C1284" t="s">
        <v>24</v>
      </c>
      <c r="D1284">
        <v>1183</v>
      </c>
      <c r="E1284">
        <v>1</v>
      </c>
      <c r="F1284">
        <v>1.2</v>
      </c>
      <c r="G1284" t="s">
        <v>21</v>
      </c>
      <c r="I1284" t="str">
        <f t="shared" si="21"/>
        <v>1183_1</v>
      </c>
      <c r="J1284" t="s">
        <v>241</v>
      </c>
      <c r="K1284" t="s">
        <v>179</v>
      </c>
      <c r="L1284" t="str">
        <f>_xlfn.XLOOKUP(C1284, Table2[Species],Table2[Genus], "Code Not Found")</f>
        <v>Lirodendron</v>
      </c>
      <c r="M1284" t="str">
        <f>_xlfn.XLOOKUP(C1284, Table2[Species],Table2[Sp. Name], "Code Not Found")</f>
        <v>tulipfera</v>
      </c>
      <c r="N1284" t="str">
        <f>_xlfn.XLOOKUP(C1284,Table2[Species],Table2[Family],"Code Not Found")</f>
        <v>Magnoliaceae</v>
      </c>
      <c r="O1284" t="str" cm="1">
        <f t="array" ref="O1284">_xlfn.IFS(F1284="","",F1284&lt;=5,"0 to 5",F1284&lt;=10,"5.1 to 10",F1284&lt;=20,"10 to 20", F1284&lt;= 40, "20 to 40", F1284 &lt;= 50, "40 to 50", F1284 &gt; 50, "&gt;50" )</f>
        <v>0 to 5</v>
      </c>
    </row>
    <row r="1285" spans="1:15" ht="14.4" x14ac:dyDescent="0.3">
      <c r="A1285" t="s">
        <v>240</v>
      </c>
      <c r="B1285" s="1">
        <v>46197</v>
      </c>
      <c r="C1285" t="s">
        <v>64</v>
      </c>
      <c r="D1285">
        <v>1184</v>
      </c>
      <c r="E1285">
        <v>1</v>
      </c>
      <c r="F1285">
        <v>3.9</v>
      </c>
      <c r="G1285" t="s">
        <v>103</v>
      </c>
      <c r="I1285" t="str">
        <f t="shared" si="21"/>
        <v>1184_1</v>
      </c>
      <c r="J1285" t="s">
        <v>241</v>
      </c>
      <c r="K1285" t="s">
        <v>179</v>
      </c>
      <c r="L1285" t="str">
        <f>_xlfn.XLOOKUP(C1285, Table2[Species],Table2[Genus], "Code Not Found")</f>
        <v>Fagus</v>
      </c>
      <c r="M1285" t="str">
        <f>_xlfn.XLOOKUP(C1285, Table2[Species],Table2[Sp. Name], "Code Not Found")</f>
        <v>grandifolia</v>
      </c>
      <c r="N1285" t="str">
        <f>_xlfn.XLOOKUP(C1285,Table2[Species],Table2[Family],"Code Not Found")</f>
        <v>Fagaceae</v>
      </c>
      <c r="O1285" t="str" cm="1">
        <f t="array" ref="O1285">_xlfn.IFS(F1285="","",F1285&lt;=5,"0 to 5",F1285&lt;=10,"5.1 to 10",F1285&lt;=20,"10 to 20", F1285&lt;= 40, "20 to 40", F1285 &lt;= 50, "40 to 50", F1285 &gt; 50, "&gt;50" )</f>
        <v>0 to 5</v>
      </c>
    </row>
    <row r="1286" spans="1:15" ht="14.4" x14ac:dyDescent="0.3">
      <c r="A1286" t="s">
        <v>240</v>
      </c>
      <c r="B1286" s="1">
        <v>46197</v>
      </c>
      <c r="C1286" t="s">
        <v>64</v>
      </c>
      <c r="D1286">
        <v>1185</v>
      </c>
      <c r="E1286">
        <v>1</v>
      </c>
      <c r="F1286">
        <v>9.6999999999999993</v>
      </c>
      <c r="G1286" t="s">
        <v>17</v>
      </c>
      <c r="I1286" t="str">
        <f t="shared" si="21"/>
        <v>1185_1</v>
      </c>
      <c r="J1286" t="s">
        <v>241</v>
      </c>
      <c r="K1286" t="s">
        <v>179</v>
      </c>
      <c r="L1286" t="str">
        <f>_xlfn.XLOOKUP(C1286, Table2[Species],Table2[Genus], "Code Not Found")</f>
        <v>Fagus</v>
      </c>
      <c r="M1286" t="str">
        <f>_xlfn.XLOOKUP(C1286, Table2[Species],Table2[Sp. Name], "Code Not Found")</f>
        <v>grandifolia</v>
      </c>
      <c r="N1286" t="str">
        <f>_xlfn.XLOOKUP(C1286,Table2[Species],Table2[Family],"Code Not Found")</f>
        <v>Fagaceae</v>
      </c>
      <c r="O1286" t="str" cm="1">
        <f t="array" ref="O1286">_xlfn.IFS(F1286="","",F1286&lt;=5,"0 to 5",F1286&lt;=10,"5.1 to 10",F1286&lt;=20,"10 to 20", F1286&lt;= 40, "20 to 40", F1286 &lt;= 50, "40 to 50", F1286 &gt; 50, "&gt;50" )</f>
        <v>5.1 to 10</v>
      </c>
    </row>
    <row r="1287" spans="1:15" ht="14.4" x14ac:dyDescent="0.3">
      <c r="A1287" t="s">
        <v>240</v>
      </c>
      <c r="B1287" s="1">
        <v>46197</v>
      </c>
      <c r="C1287" t="s">
        <v>16</v>
      </c>
      <c r="D1287">
        <v>1186</v>
      </c>
      <c r="E1287">
        <v>1</v>
      </c>
      <c r="F1287">
        <v>7.3</v>
      </c>
      <c r="G1287" t="s">
        <v>17</v>
      </c>
      <c r="I1287" t="str">
        <f t="shared" si="21"/>
        <v>1186_1</v>
      </c>
      <c r="J1287" t="s">
        <v>241</v>
      </c>
      <c r="K1287" t="s">
        <v>179</v>
      </c>
      <c r="L1287" t="str">
        <f>_xlfn.XLOOKUP(C1287, Table2[Species],Table2[Genus], "Code Not Found")</f>
        <v>Acer</v>
      </c>
      <c r="M1287" t="str">
        <f>_xlfn.XLOOKUP(C1287, Table2[Species],Table2[Sp. Name], "Code Not Found")</f>
        <v>saccharum</v>
      </c>
      <c r="N1287" t="str">
        <f>_xlfn.XLOOKUP(C1287,Table2[Species],Table2[Family],"Code Not Found")</f>
        <v>Sapindaceae</v>
      </c>
      <c r="O1287" t="str" cm="1">
        <f t="array" ref="O1287">_xlfn.IFS(F1287="","",F1287&lt;=5,"0 to 5",F1287&lt;=10,"5.1 to 10",F1287&lt;=20,"10 to 20", F1287&lt;= 40, "20 to 40", F1287 &lt;= 50, "40 to 50", F1287 &gt; 50, "&gt;50" )</f>
        <v>5.1 to 10</v>
      </c>
    </row>
    <row r="1288" spans="1:15" ht="14.4" x14ac:dyDescent="0.3">
      <c r="A1288" t="s">
        <v>240</v>
      </c>
      <c r="B1288" s="1">
        <v>46197</v>
      </c>
      <c r="C1288" t="s">
        <v>55</v>
      </c>
      <c r="D1288">
        <v>1187</v>
      </c>
      <c r="E1288">
        <v>1</v>
      </c>
      <c r="F1288">
        <v>1.2</v>
      </c>
      <c r="G1288" t="s">
        <v>21</v>
      </c>
      <c r="I1288" t="str">
        <f t="shared" si="21"/>
        <v>1187_1</v>
      </c>
      <c r="J1288" t="s">
        <v>241</v>
      </c>
      <c r="K1288" t="s">
        <v>179</v>
      </c>
      <c r="L1288" t="str">
        <f>_xlfn.XLOOKUP(C1288, Table2[Species],Table2[Genus], "Code Not Found")</f>
        <v>Magnolia</v>
      </c>
      <c r="M1288" t="str">
        <f>_xlfn.XLOOKUP(C1288, Table2[Species],Table2[Sp. Name], "Code Not Found")</f>
        <v>acuminata</v>
      </c>
      <c r="N1288" t="str">
        <f>_xlfn.XLOOKUP(C1288,Table2[Species],Table2[Family],"Code Not Found")</f>
        <v>Magnoliaceae</v>
      </c>
      <c r="O1288" t="str" cm="1">
        <f t="array" ref="O1288">_xlfn.IFS(F1288="","",F1288&lt;=5,"0 to 5",F1288&lt;=10,"5.1 to 10",F1288&lt;=20,"10 to 20", F1288&lt;= 40, "20 to 40", F1288 &lt;= 50, "40 to 50", F1288 &gt; 50, "&gt;50" )</f>
        <v>0 to 5</v>
      </c>
    </row>
    <row r="1289" spans="1:15" ht="14.4" x14ac:dyDescent="0.3">
      <c r="A1289" t="s">
        <v>240</v>
      </c>
      <c r="B1289" s="1">
        <v>46197</v>
      </c>
      <c r="C1289" t="s">
        <v>16</v>
      </c>
      <c r="D1289">
        <v>1188</v>
      </c>
      <c r="E1289">
        <v>1</v>
      </c>
      <c r="F1289">
        <v>21.8</v>
      </c>
      <c r="G1289" t="s">
        <v>17</v>
      </c>
      <c r="I1289" t="str">
        <f t="shared" si="21"/>
        <v>1188_1</v>
      </c>
      <c r="J1289" t="s">
        <v>241</v>
      </c>
      <c r="K1289" t="s">
        <v>179</v>
      </c>
      <c r="L1289" t="str">
        <f>_xlfn.XLOOKUP(C1289, Table2[Species],Table2[Genus], "Code Not Found")</f>
        <v>Acer</v>
      </c>
      <c r="M1289" t="str">
        <f>_xlfn.XLOOKUP(C1289, Table2[Species],Table2[Sp. Name], "Code Not Found")</f>
        <v>saccharum</v>
      </c>
      <c r="N1289" t="str">
        <f>_xlfn.XLOOKUP(C1289,Table2[Species],Table2[Family],"Code Not Found")</f>
        <v>Sapindaceae</v>
      </c>
      <c r="O1289" t="str" cm="1">
        <f t="array" ref="O1289">_xlfn.IFS(F1289="","",F1289&lt;=5,"0 to 5",F1289&lt;=10,"5.1 to 10",F1289&lt;=20,"10 to 20", F1289&lt;= 40, "20 to 40", F1289 &lt;= 50, "40 to 50", F1289 &gt; 50, "&gt;50" )</f>
        <v>20 to 40</v>
      </c>
    </row>
    <row r="1290" spans="1:15" ht="14.4" x14ac:dyDescent="0.3">
      <c r="A1290" t="s">
        <v>240</v>
      </c>
      <c r="B1290" s="1">
        <v>46197</v>
      </c>
      <c r="C1290" t="s">
        <v>20</v>
      </c>
      <c r="D1290">
        <v>1189</v>
      </c>
      <c r="E1290">
        <v>1</v>
      </c>
      <c r="F1290">
        <v>12.3</v>
      </c>
      <c r="G1290" t="s">
        <v>17</v>
      </c>
      <c r="I1290" t="str">
        <f t="shared" si="21"/>
        <v>1189_1</v>
      </c>
      <c r="J1290" t="s">
        <v>241</v>
      </c>
      <c r="K1290" t="s">
        <v>179</v>
      </c>
      <c r="L1290" t="str">
        <f>_xlfn.XLOOKUP(C1290, Table2[Species],Table2[Genus], "Code Not Found")</f>
        <v>Prunus</v>
      </c>
      <c r="M1290" t="str">
        <f>_xlfn.XLOOKUP(C1290, Table2[Species],Table2[Sp. Name], "Code Not Found")</f>
        <v>serotina</v>
      </c>
      <c r="N1290" t="str">
        <f>_xlfn.XLOOKUP(C1290,Table2[Species],Table2[Family],"Code Not Found")</f>
        <v>Rosaceae</v>
      </c>
      <c r="O1290" t="str" cm="1">
        <f t="array" ref="O1290">_xlfn.IFS(F1290="","",F1290&lt;=5,"0 to 5",F1290&lt;=10,"5.1 to 10",F1290&lt;=20,"10 to 20", F1290&lt;= 40, "20 to 40", F1290 &lt;= 50, "40 to 50", F1290 &gt; 50, "&gt;50" )</f>
        <v>10 to 20</v>
      </c>
    </row>
    <row r="1291" spans="1:15" ht="14.4" x14ac:dyDescent="0.3">
      <c r="A1291" t="s">
        <v>240</v>
      </c>
      <c r="B1291" s="1">
        <v>46197</v>
      </c>
      <c r="C1291" t="s">
        <v>235</v>
      </c>
      <c r="D1291">
        <v>1190</v>
      </c>
      <c r="E1291">
        <v>1</v>
      </c>
      <c r="F1291">
        <v>8.9</v>
      </c>
      <c r="G1291" t="s">
        <v>17</v>
      </c>
      <c r="I1291" t="str">
        <f t="shared" si="21"/>
        <v>1190_1</v>
      </c>
      <c r="J1291" t="s">
        <v>241</v>
      </c>
      <c r="K1291" t="s">
        <v>179</v>
      </c>
      <c r="L1291" t="str">
        <f>_xlfn.XLOOKUP(C1291, Table2[Species],Table2[Genus], "Code Not Found")</f>
        <v>Carpinus</v>
      </c>
      <c r="M1291" t="str">
        <f>_xlfn.XLOOKUP(C1291, Table2[Species],Table2[Sp. Name], "Code Not Found")</f>
        <v>caroliniana</v>
      </c>
      <c r="N1291" t="str">
        <f>_xlfn.XLOOKUP(C1291,Table2[Species],Table2[Family],"Code Not Found")</f>
        <v>Betulaceae</v>
      </c>
      <c r="O1291" t="str" cm="1">
        <f t="array" ref="O1291">_xlfn.IFS(F1291="","",F1291&lt;=5,"0 to 5",F1291&lt;=10,"5.1 to 10",F1291&lt;=20,"10 to 20", F1291&lt;= 40, "20 to 40", F1291 &lt;= 50, "40 to 50", F1291 &gt; 50, "&gt;50" )</f>
        <v>5.1 to 10</v>
      </c>
    </row>
    <row r="1292" spans="1:15" ht="14.4" x14ac:dyDescent="0.3">
      <c r="A1292" t="s">
        <v>240</v>
      </c>
      <c r="B1292" s="1">
        <v>46197</v>
      </c>
      <c r="C1292" t="s">
        <v>16</v>
      </c>
      <c r="D1292">
        <v>1191</v>
      </c>
      <c r="E1292">
        <v>1</v>
      </c>
      <c r="F1292">
        <v>2.2000000000000002</v>
      </c>
      <c r="G1292" t="s">
        <v>88</v>
      </c>
      <c r="H1292" t="s">
        <v>99</v>
      </c>
      <c r="I1292" t="str">
        <f t="shared" si="21"/>
        <v>1191_1</v>
      </c>
      <c r="J1292" t="s">
        <v>241</v>
      </c>
      <c r="K1292" t="s">
        <v>179</v>
      </c>
      <c r="L1292" t="str">
        <f>_xlfn.XLOOKUP(C1292, Table2[Species],Table2[Genus], "Code Not Found")</f>
        <v>Acer</v>
      </c>
      <c r="M1292" t="str">
        <f>_xlfn.XLOOKUP(C1292, Table2[Species],Table2[Sp. Name], "Code Not Found")</f>
        <v>saccharum</v>
      </c>
      <c r="N1292" t="str">
        <f>_xlfn.XLOOKUP(C1292,Table2[Species],Table2[Family],"Code Not Found")</f>
        <v>Sapindaceae</v>
      </c>
      <c r="O1292" t="str" cm="1">
        <f t="array" ref="O1292">_xlfn.IFS(F1292="","",F1292&lt;=5,"0 to 5",F1292&lt;=10,"5.1 to 10",F1292&lt;=20,"10 to 20", F1292&lt;= 40, "20 to 40", F1292 &lt;= 50, "40 to 50", F1292 &gt; 50, "&gt;50" )</f>
        <v>0 to 5</v>
      </c>
    </row>
    <row r="1293" spans="1:15" ht="14.4" x14ac:dyDescent="0.3">
      <c r="A1293" t="s">
        <v>240</v>
      </c>
      <c r="B1293" s="1">
        <v>46197</v>
      </c>
      <c r="C1293" t="s">
        <v>16</v>
      </c>
      <c r="D1293">
        <v>1192</v>
      </c>
      <c r="E1293">
        <v>1</v>
      </c>
      <c r="F1293">
        <v>18.8</v>
      </c>
      <c r="G1293" t="s">
        <v>17</v>
      </c>
      <c r="I1293" t="str">
        <f t="shared" si="21"/>
        <v>1192_1</v>
      </c>
      <c r="J1293" t="s">
        <v>241</v>
      </c>
      <c r="K1293" t="s">
        <v>179</v>
      </c>
      <c r="L1293" t="str">
        <f>_xlfn.XLOOKUP(C1293, Table2[Species],Table2[Genus], "Code Not Found")</f>
        <v>Acer</v>
      </c>
      <c r="M1293" t="str">
        <f>_xlfn.XLOOKUP(C1293, Table2[Species],Table2[Sp. Name], "Code Not Found")</f>
        <v>saccharum</v>
      </c>
      <c r="N1293" t="str">
        <f>_xlfn.XLOOKUP(C1293,Table2[Species],Table2[Family],"Code Not Found")</f>
        <v>Sapindaceae</v>
      </c>
      <c r="O1293" t="str" cm="1">
        <f t="array" ref="O1293">_xlfn.IFS(F1293="","",F1293&lt;=5,"0 to 5",F1293&lt;=10,"5.1 to 10",F1293&lt;=20,"10 to 20", F1293&lt;= 40, "20 to 40", F1293 &lt;= 50, "40 to 50", F1293 &gt; 50, "&gt;50" )</f>
        <v>10 to 20</v>
      </c>
    </row>
    <row r="1294" spans="1:15" ht="14.4" x14ac:dyDescent="0.3">
      <c r="A1294" t="s">
        <v>240</v>
      </c>
      <c r="B1294" s="1">
        <v>46197</v>
      </c>
      <c r="C1294" t="s">
        <v>16</v>
      </c>
      <c r="D1294">
        <v>1193</v>
      </c>
      <c r="E1294">
        <v>1</v>
      </c>
      <c r="F1294">
        <v>6.6</v>
      </c>
      <c r="G1294" t="s">
        <v>17</v>
      </c>
      <c r="I1294" t="str">
        <f t="shared" si="21"/>
        <v>1193_1</v>
      </c>
      <c r="J1294" t="s">
        <v>241</v>
      </c>
      <c r="K1294" t="s">
        <v>179</v>
      </c>
      <c r="L1294" t="str">
        <f>_xlfn.XLOOKUP(C1294, Table2[Species],Table2[Genus], "Code Not Found")</f>
        <v>Acer</v>
      </c>
      <c r="M1294" t="str">
        <f>_xlfn.XLOOKUP(C1294, Table2[Species],Table2[Sp. Name], "Code Not Found")</f>
        <v>saccharum</v>
      </c>
      <c r="N1294" t="str">
        <f>_xlfn.XLOOKUP(C1294,Table2[Species],Table2[Family],"Code Not Found")</f>
        <v>Sapindaceae</v>
      </c>
      <c r="O1294" t="str" cm="1">
        <f t="array" ref="O1294">_xlfn.IFS(F1294="","",F1294&lt;=5,"0 to 5",F1294&lt;=10,"5.1 to 10",F1294&lt;=20,"10 to 20", F1294&lt;= 40, "20 to 40", F1294 &lt;= 50, "40 to 50", F1294 &gt; 50, "&gt;50" )</f>
        <v>5.1 to 10</v>
      </c>
    </row>
    <row r="1295" spans="1:15" ht="14.4" x14ac:dyDescent="0.3">
      <c r="A1295" t="s">
        <v>240</v>
      </c>
      <c r="B1295" s="1">
        <v>46197</v>
      </c>
      <c r="C1295" t="s">
        <v>64</v>
      </c>
      <c r="D1295">
        <v>1194</v>
      </c>
      <c r="E1295">
        <v>1</v>
      </c>
      <c r="F1295">
        <v>2.5</v>
      </c>
      <c r="G1295" t="s">
        <v>88</v>
      </c>
      <c r="H1295" t="s">
        <v>100</v>
      </c>
      <c r="I1295" t="str">
        <f t="shared" si="21"/>
        <v>1194_1</v>
      </c>
      <c r="J1295" t="s">
        <v>241</v>
      </c>
      <c r="K1295" t="s">
        <v>179</v>
      </c>
      <c r="L1295" t="str">
        <f>_xlfn.XLOOKUP(C1295, Table2[Species],Table2[Genus], "Code Not Found")</f>
        <v>Fagus</v>
      </c>
      <c r="M1295" t="str">
        <f>_xlfn.XLOOKUP(C1295, Table2[Species],Table2[Sp. Name], "Code Not Found")</f>
        <v>grandifolia</v>
      </c>
      <c r="N1295" t="str">
        <f>_xlfn.XLOOKUP(C1295,Table2[Species],Table2[Family],"Code Not Found")</f>
        <v>Fagaceae</v>
      </c>
      <c r="O1295" t="str" cm="1">
        <f t="array" ref="O1295">_xlfn.IFS(F1295="","",F1295&lt;=5,"0 to 5",F1295&lt;=10,"5.1 to 10",F1295&lt;=20,"10 to 20", F1295&lt;= 40, "20 to 40", F1295 &lt;= 50, "40 to 50", F1295 &gt; 50, "&gt;50" )</f>
        <v>0 to 5</v>
      </c>
    </row>
    <row r="1296" spans="1:15" ht="14.4" x14ac:dyDescent="0.3">
      <c r="A1296" t="s">
        <v>240</v>
      </c>
      <c r="B1296" s="1">
        <v>46197</v>
      </c>
      <c r="C1296" t="s">
        <v>64</v>
      </c>
      <c r="D1296">
        <v>1195</v>
      </c>
      <c r="E1296">
        <v>1</v>
      </c>
      <c r="F1296">
        <v>12.2</v>
      </c>
      <c r="G1296" t="s">
        <v>17</v>
      </c>
      <c r="I1296" t="str">
        <f t="shared" si="21"/>
        <v>1195_1</v>
      </c>
      <c r="J1296" t="s">
        <v>241</v>
      </c>
      <c r="K1296" t="s">
        <v>179</v>
      </c>
      <c r="L1296" t="str">
        <f>_xlfn.XLOOKUP(C1296, Table2[Species],Table2[Genus], "Code Not Found")</f>
        <v>Fagus</v>
      </c>
      <c r="M1296" t="str">
        <f>_xlfn.XLOOKUP(C1296, Table2[Species],Table2[Sp. Name], "Code Not Found")</f>
        <v>grandifolia</v>
      </c>
      <c r="N1296" t="str">
        <f>_xlfn.XLOOKUP(C1296,Table2[Species],Table2[Family],"Code Not Found")</f>
        <v>Fagaceae</v>
      </c>
      <c r="O1296" t="str" cm="1">
        <f t="array" ref="O1296">_xlfn.IFS(F1296="","",F1296&lt;=5,"0 to 5",F1296&lt;=10,"5.1 to 10",F1296&lt;=20,"10 to 20", F1296&lt;= 40, "20 to 40", F1296 &lt;= 50, "40 to 50", F1296 &gt; 50, "&gt;50" )</f>
        <v>10 to 20</v>
      </c>
    </row>
    <row r="1297" spans="1:15" ht="14.4" x14ac:dyDescent="0.3">
      <c r="A1297" t="s">
        <v>240</v>
      </c>
      <c r="B1297" s="1">
        <v>46197</v>
      </c>
      <c r="C1297" t="s">
        <v>16</v>
      </c>
      <c r="D1297">
        <v>1196</v>
      </c>
      <c r="E1297">
        <v>1</v>
      </c>
      <c r="F1297">
        <v>28.5</v>
      </c>
      <c r="G1297" t="s">
        <v>17</v>
      </c>
      <c r="I1297" t="str">
        <f t="shared" si="21"/>
        <v>1196_1</v>
      </c>
      <c r="J1297" t="s">
        <v>241</v>
      </c>
      <c r="K1297" t="s">
        <v>179</v>
      </c>
      <c r="L1297" t="str">
        <f>_xlfn.XLOOKUP(C1297, Table2[Species],Table2[Genus], "Code Not Found")</f>
        <v>Acer</v>
      </c>
      <c r="M1297" t="str">
        <f>_xlfn.XLOOKUP(C1297, Table2[Species],Table2[Sp. Name], "Code Not Found")</f>
        <v>saccharum</v>
      </c>
      <c r="N1297" t="str">
        <f>_xlfn.XLOOKUP(C1297,Table2[Species],Table2[Family],"Code Not Found")</f>
        <v>Sapindaceae</v>
      </c>
      <c r="O1297" t="str" cm="1">
        <f t="array" ref="O1297">_xlfn.IFS(F1297="","",F1297&lt;=5,"0 to 5",F1297&lt;=10,"5.1 to 10",F1297&lt;=20,"10 to 20", F1297&lt;= 40, "20 to 40", F1297 &lt;= 50, "40 to 50", F1297 &gt; 50, "&gt;50" )</f>
        <v>20 to 40</v>
      </c>
    </row>
    <row r="1298" spans="1:15" ht="14.4" x14ac:dyDescent="0.3">
      <c r="A1298" t="s">
        <v>240</v>
      </c>
      <c r="B1298" s="1">
        <v>46197</v>
      </c>
      <c r="C1298" t="s">
        <v>16</v>
      </c>
      <c r="D1298">
        <v>1197</v>
      </c>
      <c r="E1298">
        <v>1</v>
      </c>
      <c r="F1298">
        <v>5.3</v>
      </c>
      <c r="G1298" t="s">
        <v>280</v>
      </c>
      <c r="H1298" t="s">
        <v>96</v>
      </c>
      <c r="I1298" t="str">
        <f t="shared" si="21"/>
        <v>1197_1</v>
      </c>
      <c r="J1298" t="s">
        <v>241</v>
      </c>
      <c r="K1298" t="s">
        <v>179</v>
      </c>
      <c r="L1298" t="str">
        <f>_xlfn.XLOOKUP(C1298, Table2[Species],Table2[Genus], "Code Not Found")</f>
        <v>Acer</v>
      </c>
      <c r="M1298" t="str">
        <f>_xlfn.XLOOKUP(C1298, Table2[Species],Table2[Sp. Name], "Code Not Found")</f>
        <v>saccharum</v>
      </c>
      <c r="N1298" t="str">
        <f>_xlfn.XLOOKUP(C1298,Table2[Species],Table2[Family],"Code Not Found")</f>
        <v>Sapindaceae</v>
      </c>
      <c r="O1298" t="str" cm="1">
        <f t="array" ref="O1298">_xlfn.IFS(F1298="","",F1298&lt;=5,"0 to 5",F1298&lt;=10,"5.1 to 10",F1298&lt;=20,"10 to 20", F1298&lt;= 40, "20 to 40", F1298 &lt;= 50, "40 to 50", F1298 &gt; 50, "&gt;50" )</f>
        <v>5.1 to 10</v>
      </c>
    </row>
    <row r="1299" spans="1:15" ht="14.4" x14ac:dyDescent="0.3">
      <c r="A1299" t="s">
        <v>240</v>
      </c>
      <c r="B1299" s="1">
        <v>46197</v>
      </c>
      <c r="C1299" t="s">
        <v>16</v>
      </c>
      <c r="D1299">
        <v>1198</v>
      </c>
      <c r="E1299">
        <v>1</v>
      </c>
      <c r="F1299">
        <v>1.9</v>
      </c>
      <c r="G1299" t="s">
        <v>88</v>
      </c>
      <c r="H1299" t="s">
        <v>99</v>
      </c>
      <c r="I1299" t="str">
        <f t="shared" si="21"/>
        <v>1198_1</v>
      </c>
      <c r="J1299" t="s">
        <v>241</v>
      </c>
      <c r="K1299" t="s">
        <v>179</v>
      </c>
      <c r="L1299" t="str">
        <f>_xlfn.XLOOKUP(C1299, Table2[Species],Table2[Genus], "Code Not Found")</f>
        <v>Acer</v>
      </c>
      <c r="M1299" t="str">
        <f>_xlfn.XLOOKUP(C1299, Table2[Species],Table2[Sp. Name], "Code Not Found")</f>
        <v>saccharum</v>
      </c>
      <c r="N1299" t="str">
        <f>_xlfn.XLOOKUP(C1299,Table2[Species],Table2[Family],"Code Not Found")</f>
        <v>Sapindaceae</v>
      </c>
      <c r="O1299" t="str" cm="1">
        <f t="array" ref="O1299">_xlfn.IFS(F1299="","",F1299&lt;=5,"0 to 5",F1299&lt;=10,"5.1 to 10",F1299&lt;=20,"10 to 20", F1299&lt;= 40, "20 to 40", F1299 &lt;= 50, "40 to 50", F1299 &gt; 50, "&gt;50" )</f>
        <v>0 to 5</v>
      </c>
    </row>
    <row r="1300" spans="1:15" ht="14.4" x14ac:dyDescent="0.3">
      <c r="A1300" t="s">
        <v>240</v>
      </c>
      <c r="B1300" s="1">
        <v>46197</v>
      </c>
      <c r="C1300" t="s">
        <v>16</v>
      </c>
      <c r="D1300">
        <v>1199</v>
      </c>
      <c r="E1300">
        <v>1</v>
      </c>
      <c r="F1300">
        <v>3.5</v>
      </c>
      <c r="G1300" t="s">
        <v>51</v>
      </c>
      <c r="I1300" t="str">
        <f t="shared" si="21"/>
        <v>1199_1</v>
      </c>
      <c r="J1300" t="s">
        <v>241</v>
      </c>
      <c r="K1300" t="s">
        <v>179</v>
      </c>
      <c r="L1300" t="str">
        <f>_xlfn.XLOOKUP(C1300, Table2[Species],Table2[Genus], "Code Not Found")</f>
        <v>Acer</v>
      </c>
      <c r="M1300" t="str">
        <f>_xlfn.XLOOKUP(C1300, Table2[Species],Table2[Sp. Name], "Code Not Found")</f>
        <v>saccharum</v>
      </c>
      <c r="N1300" t="str">
        <f>_xlfn.XLOOKUP(C1300,Table2[Species],Table2[Family],"Code Not Found")</f>
        <v>Sapindaceae</v>
      </c>
      <c r="O1300" t="str" cm="1">
        <f t="array" ref="O1300">_xlfn.IFS(F1300="","",F1300&lt;=5,"0 to 5",F1300&lt;=10,"5.1 to 10",F1300&lt;=20,"10 to 20", F1300&lt;= 40, "20 to 40", F1300 &lt;= 50, "40 to 50", F1300 &gt; 50, "&gt;50" )</f>
        <v>0 to 5</v>
      </c>
    </row>
    <row r="1301" spans="1:15" ht="14.4" x14ac:dyDescent="0.3">
      <c r="A1301" t="s">
        <v>240</v>
      </c>
      <c r="B1301" s="1">
        <v>46197</v>
      </c>
      <c r="C1301" t="s">
        <v>16</v>
      </c>
      <c r="D1301">
        <v>1200</v>
      </c>
      <c r="E1301">
        <v>1</v>
      </c>
      <c r="F1301">
        <v>8.4</v>
      </c>
      <c r="G1301" t="s">
        <v>254</v>
      </c>
      <c r="H1301" t="s">
        <v>43</v>
      </c>
      <c r="I1301" t="str">
        <f t="shared" si="21"/>
        <v>1200_1</v>
      </c>
      <c r="J1301" t="s">
        <v>241</v>
      </c>
      <c r="K1301" t="s">
        <v>179</v>
      </c>
      <c r="L1301" t="str">
        <f>_xlfn.XLOOKUP(C1301, Table2[Species],Table2[Genus], "Code Not Found")</f>
        <v>Acer</v>
      </c>
      <c r="M1301" t="str">
        <f>_xlfn.XLOOKUP(C1301, Table2[Species],Table2[Sp. Name], "Code Not Found")</f>
        <v>saccharum</v>
      </c>
      <c r="N1301" t="str">
        <f>_xlfn.XLOOKUP(C1301,Table2[Species],Table2[Family],"Code Not Found")</f>
        <v>Sapindaceae</v>
      </c>
      <c r="O1301" t="str" cm="1">
        <f t="array" ref="O1301">_xlfn.IFS(F1301="","",F1301&lt;=5,"0 to 5",F1301&lt;=10,"5.1 to 10",F1301&lt;=20,"10 to 20", F1301&lt;= 40, "20 to 40", F1301 &lt;= 50, "40 to 50", F1301 &gt; 50, "&gt;50" )</f>
        <v>5.1 to 10</v>
      </c>
    </row>
    <row r="1302" spans="1:15" ht="14.4" x14ac:dyDescent="0.3">
      <c r="A1302" t="s">
        <v>240</v>
      </c>
      <c r="B1302" s="1">
        <v>46197</v>
      </c>
      <c r="C1302" t="s">
        <v>64</v>
      </c>
      <c r="D1302">
        <v>1201</v>
      </c>
      <c r="E1302">
        <v>1</v>
      </c>
      <c r="F1302">
        <v>4.4000000000000004</v>
      </c>
      <c r="G1302" t="s">
        <v>17</v>
      </c>
      <c r="I1302" t="str">
        <f t="shared" si="21"/>
        <v>1201_1</v>
      </c>
      <c r="J1302" t="s">
        <v>241</v>
      </c>
      <c r="K1302" t="s">
        <v>179</v>
      </c>
      <c r="L1302" t="str">
        <f>_xlfn.XLOOKUP(C1302, Table2[Species],Table2[Genus], "Code Not Found")</f>
        <v>Fagus</v>
      </c>
      <c r="M1302" t="str">
        <f>_xlfn.XLOOKUP(C1302, Table2[Species],Table2[Sp. Name], "Code Not Found")</f>
        <v>grandifolia</v>
      </c>
      <c r="N1302" t="str">
        <f>_xlfn.XLOOKUP(C1302,Table2[Species],Table2[Family],"Code Not Found")</f>
        <v>Fagaceae</v>
      </c>
      <c r="O1302" t="str" cm="1">
        <f t="array" ref="O1302">_xlfn.IFS(F1302="","",F1302&lt;=5,"0 to 5",F1302&lt;=10,"5.1 to 10",F1302&lt;=20,"10 to 20", F1302&lt;= 40, "20 to 40", F1302 &lt;= 50, "40 to 50", F1302 &gt; 50, "&gt;50" )</f>
        <v>0 to 5</v>
      </c>
    </row>
    <row r="1303" spans="1:15" ht="14.4" x14ac:dyDescent="0.3">
      <c r="A1303" t="s">
        <v>240</v>
      </c>
      <c r="B1303" s="1">
        <v>46197</v>
      </c>
      <c r="C1303" t="s">
        <v>16</v>
      </c>
      <c r="D1303">
        <v>1202</v>
      </c>
      <c r="E1303">
        <v>1</v>
      </c>
      <c r="F1303">
        <v>6.4</v>
      </c>
      <c r="G1303" t="s">
        <v>83</v>
      </c>
      <c r="I1303" t="str">
        <f t="shared" si="21"/>
        <v>1202_1</v>
      </c>
      <c r="J1303" t="s">
        <v>241</v>
      </c>
      <c r="K1303" t="s">
        <v>179</v>
      </c>
      <c r="L1303" t="str">
        <f>_xlfn.XLOOKUP(C1303, Table2[Species],Table2[Genus], "Code Not Found")</f>
        <v>Acer</v>
      </c>
      <c r="M1303" t="str">
        <f>_xlfn.XLOOKUP(C1303, Table2[Species],Table2[Sp. Name], "Code Not Found")</f>
        <v>saccharum</v>
      </c>
      <c r="N1303" t="str">
        <f>_xlfn.XLOOKUP(C1303,Table2[Species],Table2[Family],"Code Not Found")</f>
        <v>Sapindaceae</v>
      </c>
      <c r="O1303" t="str" cm="1">
        <f t="array" ref="O1303">_xlfn.IFS(F1303="","",F1303&lt;=5,"0 to 5",F1303&lt;=10,"5.1 to 10",F1303&lt;=20,"10 to 20", F1303&lt;= 40, "20 to 40", F1303 &lt;= 50, "40 to 50", F1303 &gt; 50, "&gt;50" )</f>
        <v>5.1 to 10</v>
      </c>
    </row>
    <row r="1304" spans="1:15" ht="14.4" x14ac:dyDescent="0.3">
      <c r="A1304" t="s">
        <v>240</v>
      </c>
      <c r="B1304" s="1">
        <v>46197</v>
      </c>
      <c r="C1304" t="s">
        <v>64</v>
      </c>
      <c r="D1304">
        <v>1203</v>
      </c>
      <c r="E1304">
        <v>1</v>
      </c>
      <c r="F1304">
        <v>2.6</v>
      </c>
      <c r="G1304" t="s">
        <v>17</v>
      </c>
      <c r="I1304" t="str">
        <f t="shared" si="21"/>
        <v>1203_1</v>
      </c>
      <c r="J1304" t="s">
        <v>241</v>
      </c>
      <c r="K1304" t="s">
        <v>179</v>
      </c>
      <c r="L1304" t="str">
        <f>_xlfn.XLOOKUP(C1304, Table2[Species],Table2[Genus], "Code Not Found")</f>
        <v>Fagus</v>
      </c>
      <c r="M1304" t="str">
        <f>_xlfn.XLOOKUP(C1304, Table2[Species],Table2[Sp. Name], "Code Not Found")</f>
        <v>grandifolia</v>
      </c>
      <c r="N1304" t="str">
        <f>_xlfn.XLOOKUP(C1304,Table2[Species],Table2[Family],"Code Not Found")</f>
        <v>Fagaceae</v>
      </c>
      <c r="O1304" t="str" cm="1">
        <f t="array" ref="O1304">_xlfn.IFS(F1304="","",F1304&lt;=5,"0 to 5",F1304&lt;=10,"5.1 to 10",F1304&lt;=20,"10 to 20", F1304&lt;= 40, "20 to 40", F1304 &lt;= 50, "40 to 50", F1304 &gt; 50, "&gt;50" )</f>
        <v>0 to 5</v>
      </c>
    </row>
    <row r="1305" spans="1:15" ht="14.4" x14ac:dyDescent="0.3">
      <c r="A1305" t="s">
        <v>240</v>
      </c>
      <c r="B1305" s="1">
        <v>46197</v>
      </c>
      <c r="C1305" t="s">
        <v>64</v>
      </c>
      <c r="D1305">
        <v>1204</v>
      </c>
      <c r="E1305">
        <v>1</v>
      </c>
      <c r="F1305">
        <v>5.0999999999999996</v>
      </c>
      <c r="G1305" t="s">
        <v>17</v>
      </c>
      <c r="I1305" t="str">
        <f t="shared" si="21"/>
        <v>1204_1</v>
      </c>
      <c r="J1305" t="s">
        <v>241</v>
      </c>
      <c r="K1305" t="s">
        <v>179</v>
      </c>
      <c r="L1305" t="str">
        <f>_xlfn.XLOOKUP(C1305, Table2[Species],Table2[Genus], "Code Not Found")</f>
        <v>Fagus</v>
      </c>
      <c r="M1305" t="str">
        <f>_xlfn.XLOOKUP(C1305, Table2[Species],Table2[Sp. Name], "Code Not Found")</f>
        <v>grandifolia</v>
      </c>
      <c r="N1305" t="str">
        <f>_xlfn.XLOOKUP(C1305,Table2[Species],Table2[Family],"Code Not Found")</f>
        <v>Fagaceae</v>
      </c>
      <c r="O1305" t="str" cm="1">
        <f t="array" ref="O1305">_xlfn.IFS(F1305="","",F1305&lt;=5,"0 to 5",F1305&lt;=10,"5.1 to 10",F1305&lt;=20,"10 to 20", F1305&lt;= 40, "20 to 40", F1305 &lt;= 50, "40 to 50", F1305 &gt; 50, "&gt;50" )</f>
        <v>5.1 to 10</v>
      </c>
    </row>
    <row r="1306" spans="1:15" ht="14.4" x14ac:dyDescent="0.3">
      <c r="A1306" t="s">
        <v>240</v>
      </c>
      <c r="B1306" s="1">
        <v>46197</v>
      </c>
      <c r="C1306" t="s">
        <v>64</v>
      </c>
      <c r="D1306">
        <v>1205</v>
      </c>
      <c r="E1306">
        <v>1</v>
      </c>
      <c r="F1306">
        <v>7.7</v>
      </c>
      <c r="G1306" t="s">
        <v>17</v>
      </c>
      <c r="I1306" t="str">
        <f t="shared" si="21"/>
        <v>1205_1</v>
      </c>
      <c r="J1306" t="s">
        <v>241</v>
      </c>
      <c r="K1306" t="s">
        <v>179</v>
      </c>
      <c r="L1306" t="str">
        <f>_xlfn.XLOOKUP(C1306, Table2[Species],Table2[Genus], "Code Not Found")</f>
        <v>Fagus</v>
      </c>
      <c r="M1306" t="str">
        <f>_xlfn.XLOOKUP(C1306, Table2[Species],Table2[Sp. Name], "Code Not Found")</f>
        <v>grandifolia</v>
      </c>
      <c r="N1306" t="str">
        <f>_xlfn.XLOOKUP(C1306,Table2[Species],Table2[Family],"Code Not Found")</f>
        <v>Fagaceae</v>
      </c>
      <c r="O1306" t="str" cm="1">
        <f t="array" ref="O1306">_xlfn.IFS(F1306="","",F1306&lt;=5,"0 to 5",F1306&lt;=10,"5.1 to 10",F1306&lt;=20,"10 to 20", F1306&lt;= 40, "20 to 40", F1306 &lt;= 50, "40 to 50", F1306 &gt; 50, "&gt;50" )</f>
        <v>5.1 to 10</v>
      </c>
    </row>
    <row r="1307" spans="1:15" ht="14.4" x14ac:dyDescent="0.3">
      <c r="A1307" t="s">
        <v>240</v>
      </c>
      <c r="B1307" s="1">
        <v>46197</v>
      </c>
      <c r="C1307" t="s">
        <v>16</v>
      </c>
      <c r="D1307">
        <v>1206</v>
      </c>
      <c r="E1307">
        <v>1</v>
      </c>
      <c r="F1307">
        <v>14.8</v>
      </c>
      <c r="G1307" t="s">
        <v>47</v>
      </c>
      <c r="H1307" t="s">
        <v>43</v>
      </c>
      <c r="I1307" t="str">
        <f t="shared" si="21"/>
        <v>1206_1</v>
      </c>
      <c r="J1307" t="s">
        <v>241</v>
      </c>
      <c r="K1307" t="s">
        <v>179</v>
      </c>
      <c r="L1307" t="str">
        <f>_xlfn.XLOOKUP(C1307, Table2[Species],Table2[Genus], "Code Not Found")</f>
        <v>Acer</v>
      </c>
      <c r="M1307" t="str">
        <f>_xlfn.XLOOKUP(C1307, Table2[Species],Table2[Sp. Name], "Code Not Found")</f>
        <v>saccharum</v>
      </c>
      <c r="N1307" t="str">
        <f>_xlfn.XLOOKUP(C1307,Table2[Species],Table2[Family],"Code Not Found")</f>
        <v>Sapindaceae</v>
      </c>
      <c r="O1307" t="str" cm="1">
        <f t="array" ref="O1307">_xlfn.IFS(F1307="","",F1307&lt;=5,"0 to 5",F1307&lt;=10,"5.1 to 10",F1307&lt;=20,"10 to 20", F1307&lt;= 40, "20 to 40", F1307 &lt;= 50, "40 to 50", F1307 &gt; 50, "&gt;50" )</f>
        <v>10 to 20</v>
      </c>
    </row>
    <row r="1308" spans="1:15" ht="14.4" x14ac:dyDescent="0.3">
      <c r="A1308" t="s">
        <v>240</v>
      </c>
      <c r="B1308" s="1">
        <v>46197</v>
      </c>
      <c r="C1308" t="s">
        <v>16</v>
      </c>
      <c r="D1308">
        <v>1207</v>
      </c>
      <c r="E1308">
        <v>1</v>
      </c>
      <c r="F1308">
        <v>7.9</v>
      </c>
      <c r="G1308" t="s">
        <v>47</v>
      </c>
      <c r="H1308" t="s">
        <v>43</v>
      </c>
      <c r="I1308" t="str">
        <f t="shared" si="21"/>
        <v>1207_1</v>
      </c>
      <c r="J1308" t="s">
        <v>241</v>
      </c>
      <c r="K1308" t="s">
        <v>179</v>
      </c>
      <c r="L1308" t="str">
        <f>_xlfn.XLOOKUP(C1308, Table2[Species],Table2[Genus], "Code Not Found")</f>
        <v>Acer</v>
      </c>
      <c r="M1308" t="str">
        <f>_xlfn.XLOOKUP(C1308, Table2[Species],Table2[Sp. Name], "Code Not Found")</f>
        <v>saccharum</v>
      </c>
      <c r="N1308" t="str">
        <f>_xlfn.XLOOKUP(C1308,Table2[Species],Table2[Family],"Code Not Found")</f>
        <v>Sapindaceae</v>
      </c>
      <c r="O1308" t="str" cm="1">
        <f t="array" ref="O1308">_xlfn.IFS(F1308="","",F1308&lt;=5,"0 to 5",F1308&lt;=10,"5.1 to 10",F1308&lt;=20,"10 to 20", F1308&lt;= 40, "20 to 40", F1308 &lt;= 50, "40 to 50", F1308 &gt; 50, "&gt;50" )</f>
        <v>5.1 to 10</v>
      </c>
    </row>
    <row r="1309" spans="1:15" ht="14.4" x14ac:dyDescent="0.3">
      <c r="A1309" t="s">
        <v>240</v>
      </c>
      <c r="B1309" s="1">
        <v>46197</v>
      </c>
      <c r="C1309" t="s">
        <v>16</v>
      </c>
      <c r="D1309">
        <v>1208</v>
      </c>
      <c r="E1309">
        <v>1</v>
      </c>
      <c r="F1309">
        <v>5.0999999999999996</v>
      </c>
      <c r="G1309" t="s">
        <v>17</v>
      </c>
      <c r="I1309" t="str">
        <f t="shared" si="21"/>
        <v>1208_1</v>
      </c>
      <c r="J1309" t="s">
        <v>241</v>
      </c>
      <c r="K1309" t="s">
        <v>179</v>
      </c>
      <c r="L1309" t="str">
        <f>_xlfn.XLOOKUP(C1309, Table2[Species],Table2[Genus], "Code Not Found")</f>
        <v>Acer</v>
      </c>
      <c r="M1309" t="str">
        <f>_xlfn.XLOOKUP(C1309, Table2[Species],Table2[Sp. Name], "Code Not Found")</f>
        <v>saccharum</v>
      </c>
      <c r="N1309" t="str">
        <f>_xlfn.XLOOKUP(C1309,Table2[Species],Table2[Family],"Code Not Found")</f>
        <v>Sapindaceae</v>
      </c>
      <c r="O1309" t="str" cm="1">
        <f t="array" ref="O1309">_xlfn.IFS(F1309="","",F1309&lt;=5,"0 to 5",F1309&lt;=10,"5.1 to 10",F1309&lt;=20,"10 to 20", F1309&lt;= 40, "20 to 40", F1309 &lt;= 50, "40 to 50", F1309 &gt; 50, "&gt;50" )</f>
        <v>5.1 to 10</v>
      </c>
    </row>
    <row r="1310" spans="1:15" ht="14.4" x14ac:dyDescent="0.3">
      <c r="A1310" t="s">
        <v>240</v>
      </c>
      <c r="B1310" s="1">
        <v>46197</v>
      </c>
      <c r="C1310" t="s">
        <v>16</v>
      </c>
      <c r="D1310">
        <v>1209</v>
      </c>
      <c r="E1310">
        <v>1</v>
      </c>
      <c r="F1310">
        <v>12.3</v>
      </c>
      <c r="G1310" t="s">
        <v>17</v>
      </c>
      <c r="I1310" t="str">
        <f t="shared" si="21"/>
        <v>1209_1</v>
      </c>
      <c r="J1310" t="s">
        <v>241</v>
      </c>
      <c r="K1310" t="s">
        <v>179</v>
      </c>
      <c r="L1310" t="str">
        <f>_xlfn.XLOOKUP(C1310, Table2[Species],Table2[Genus], "Code Not Found")</f>
        <v>Acer</v>
      </c>
      <c r="M1310" t="str">
        <f>_xlfn.XLOOKUP(C1310, Table2[Species],Table2[Sp. Name], "Code Not Found")</f>
        <v>saccharum</v>
      </c>
      <c r="N1310" t="str">
        <f>_xlfn.XLOOKUP(C1310,Table2[Species],Table2[Family],"Code Not Found")</f>
        <v>Sapindaceae</v>
      </c>
      <c r="O1310" t="str" cm="1">
        <f t="array" ref="O1310">_xlfn.IFS(F1310="","",F1310&lt;=5,"0 to 5",F1310&lt;=10,"5.1 to 10",F1310&lt;=20,"10 to 20", F1310&lt;= 40, "20 to 40", F1310 &lt;= 50, "40 to 50", F1310 &gt; 50, "&gt;50" )</f>
        <v>10 to 20</v>
      </c>
    </row>
    <row r="1311" spans="1:15" ht="14.4" x14ac:dyDescent="0.3">
      <c r="A1311" t="s">
        <v>240</v>
      </c>
      <c r="B1311" s="1">
        <v>46197</v>
      </c>
      <c r="C1311" t="s">
        <v>64</v>
      </c>
      <c r="D1311">
        <v>1210</v>
      </c>
      <c r="E1311">
        <v>1</v>
      </c>
      <c r="F1311">
        <v>5.8</v>
      </c>
      <c r="G1311" t="s">
        <v>17</v>
      </c>
      <c r="I1311" t="str">
        <f t="shared" si="21"/>
        <v>1210_1</v>
      </c>
      <c r="J1311" t="s">
        <v>241</v>
      </c>
      <c r="K1311" t="s">
        <v>179</v>
      </c>
      <c r="L1311" t="str">
        <f>_xlfn.XLOOKUP(C1311, Table2[Species],Table2[Genus], "Code Not Found")</f>
        <v>Fagus</v>
      </c>
      <c r="M1311" t="str">
        <f>_xlfn.XLOOKUP(C1311, Table2[Species],Table2[Sp. Name], "Code Not Found")</f>
        <v>grandifolia</v>
      </c>
      <c r="N1311" t="str">
        <f>_xlfn.XLOOKUP(C1311,Table2[Species],Table2[Family],"Code Not Found")</f>
        <v>Fagaceae</v>
      </c>
      <c r="O1311" t="str" cm="1">
        <f t="array" ref="O1311">_xlfn.IFS(F1311="","",F1311&lt;=5,"0 to 5",F1311&lt;=10,"5.1 to 10",F1311&lt;=20,"10 to 20", F1311&lt;= 40, "20 to 40", F1311 &lt;= 50, "40 to 50", F1311 &gt; 50, "&gt;50" )</f>
        <v>5.1 to 10</v>
      </c>
    </row>
    <row r="1312" spans="1:15" ht="14.4" x14ac:dyDescent="0.3">
      <c r="A1312" t="s">
        <v>240</v>
      </c>
      <c r="B1312" s="1">
        <v>46197</v>
      </c>
      <c r="C1312" t="s">
        <v>16</v>
      </c>
      <c r="D1312">
        <v>1211</v>
      </c>
      <c r="E1312">
        <v>1</v>
      </c>
      <c r="F1312">
        <v>14.5</v>
      </c>
      <c r="G1312" t="s">
        <v>268</v>
      </c>
      <c r="I1312" t="str">
        <f t="shared" si="21"/>
        <v>1211_1</v>
      </c>
      <c r="J1312" t="s">
        <v>241</v>
      </c>
      <c r="K1312" t="s">
        <v>179</v>
      </c>
      <c r="L1312" t="str">
        <f>_xlfn.XLOOKUP(C1312, Table2[Species],Table2[Genus], "Code Not Found")</f>
        <v>Acer</v>
      </c>
      <c r="M1312" t="str">
        <f>_xlfn.XLOOKUP(C1312, Table2[Species],Table2[Sp. Name], "Code Not Found")</f>
        <v>saccharum</v>
      </c>
      <c r="N1312" t="str">
        <f>_xlfn.XLOOKUP(C1312,Table2[Species],Table2[Family],"Code Not Found")</f>
        <v>Sapindaceae</v>
      </c>
      <c r="O1312" t="str" cm="1">
        <f t="array" ref="O1312">_xlfn.IFS(F1312="","",F1312&lt;=5,"0 to 5",F1312&lt;=10,"5.1 to 10",F1312&lt;=20,"10 to 20", F1312&lt;= 40, "20 to 40", F1312 &lt;= 50, "40 to 50", F1312 &gt; 50, "&gt;50" )</f>
        <v>10 to 20</v>
      </c>
    </row>
    <row r="1313" spans="1:15" ht="14.4" x14ac:dyDescent="0.3">
      <c r="A1313" t="s">
        <v>240</v>
      </c>
      <c r="B1313" s="1">
        <v>46197</v>
      </c>
      <c r="C1313" t="s">
        <v>16</v>
      </c>
      <c r="D1313">
        <v>1211</v>
      </c>
      <c r="E1313">
        <v>2</v>
      </c>
      <c r="F1313">
        <v>3.6</v>
      </c>
      <c r="G1313" t="s">
        <v>268</v>
      </c>
      <c r="K1313" t="s">
        <v>179</v>
      </c>
      <c r="L1313" t="str">
        <f>_xlfn.XLOOKUP(C1313, Table2[Species],Table2[Genus], "Code Not Found")</f>
        <v>Acer</v>
      </c>
      <c r="M1313" t="str">
        <f>_xlfn.XLOOKUP(C1313, Table2[Species],Table2[Sp. Name], "Code Not Found")</f>
        <v>saccharum</v>
      </c>
      <c r="N1313" t="str">
        <f>_xlfn.XLOOKUP(C1313,Table2[Species],Table2[Family],"Code Not Found")</f>
        <v>Sapindaceae</v>
      </c>
      <c r="O1313" t="str" cm="1">
        <f t="array" ref="O1313">_xlfn.IFS(F1313="","",F1313&lt;=5,"0 to 5",F1313&lt;=10,"5.1 to 10",F1313&lt;=20,"10 to 20", F1313&lt;= 40, "20 to 40", F1313 &lt;= 50, "40 to 50", F1313 &gt; 50, "&gt;50" )</f>
        <v>0 to 5</v>
      </c>
    </row>
    <row r="1314" spans="1:15" ht="14.4" x14ac:dyDescent="0.3">
      <c r="A1314" t="s">
        <v>240</v>
      </c>
      <c r="B1314" s="1">
        <v>46197</v>
      </c>
      <c r="C1314" t="s">
        <v>64</v>
      </c>
      <c r="D1314">
        <v>1212</v>
      </c>
      <c r="E1314">
        <v>1</v>
      </c>
      <c r="F1314">
        <v>8</v>
      </c>
      <c r="G1314" t="s">
        <v>17</v>
      </c>
      <c r="I1314" t="str">
        <f t="shared" si="21"/>
        <v>1212_1</v>
      </c>
      <c r="J1314" t="s">
        <v>241</v>
      </c>
      <c r="K1314" t="s">
        <v>179</v>
      </c>
      <c r="L1314" t="str">
        <f>_xlfn.XLOOKUP(C1314, Table2[Species],Table2[Genus], "Code Not Found")</f>
        <v>Fagus</v>
      </c>
      <c r="M1314" t="str">
        <f>_xlfn.XLOOKUP(C1314, Table2[Species],Table2[Sp. Name], "Code Not Found")</f>
        <v>grandifolia</v>
      </c>
      <c r="N1314" t="str">
        <f>_xlfn.XLOOKUP(C1314,Table2[Species],Table2[Family],"Code Not Found")</f>
        <v>Fagaceae</v>
      </c>
      <c r="O1314" t="str" cm="1">
        <f t="array" ref="O1314">_xlfn.IFS(F1314="","",F1314&lt;=5,"0 to 5",F1314&lt;=10,"5.1 to 10",F1314&lt;=20,"10 to 20", F1314&lt;= 40, "20 to 40", F1314 &lt;= 50, "40 to 50", F1314 &gt; 50, "&gt;50" )</f>
        <v>5.1 to 10</v>
      </c>
    </row>
    <row r="1315" spans="1:15" ht="14.4" x14ac:dyDescent="0.3">
      <c r="A1315" t="s">
        <v>240</v>
      </c>
      <c r="B1315" s="1">
        <v>46197</v>
      </c>
      <c r="C1315" t="s">
        <v>16</v>
      </c>
      <c r="D1315">
        <v>1213</v>
      </c>
      <c r="E1315">
        <v>1</v>
      </c>
      <c r="F1315">
        <v>11.8</v>
      </c>
      <c r="G1315" t="s">
        <v>17</v>
      </c>
      <c r="I1315" t="str">
        <f t="shared" si="21"/>
        <v>1213_1</v>
      </c>
      <c r="J1315" t="s">
        <v>241</v>
      </c>
      <c r="K1315" t="s">
        <v>179</v>
      </c>
      <c r="L1315" t="str">
        <f>_xlfn.XLOOKUP(C1315, Table2[Species],Table2[Genus], "Code Not Found")</f>
        <v>Acer</v>
      </c>
      <c r="M1315" t="str">
        <f>_xlfn.XLOOKUP(C1315, Table2[Species],Table2[Sp. Name], "Code Not Found")</f>
        <v>saccharum</v>
      </c>
      <c r="N1315" t="str">
        <f>_xlfn.XLOOKUP(C1315,Table2[Species],Table2[Family],"Code Not Found")</f>
        <v>Sapindaceae</v>
      </c>
      <c r="O1315" t="str" cm="1">
        <f t="array" ref="O1315">_xlfn.IFS(F1315="","",F1315&lt;=5,"0 to 5",F1315&lt;=10,"5.1 to 10",F1315&lt;=20,"10 to 20", F1315&lt;= 40, "20 to 40", F1315 &lt;= 50, "40 to 50", F1315 &gt; 50, "&gt;50" )</f>
        <v>10 to 20</v>
      </c>
    </row>
    <row r="1316" spans="1:15" ht="14.4" x14ac:dyDescent="0.3">
      <c r="A1316" t="s">
        <v>240</v>
      </c>
      <c r="B1316" s="1">
        <v>46197</v>
      </c>
      <c r="C1316" t="s">
        <v>16</v>
      </c>
      <c r="D1316">
        <v>1214</v>
      </c>
      <c r="E1316">
        <v>1</v>
      </c>
      <c r="F1316">
        <v>1.6</v>
      </c>
      <c r="G1316" t="s">
        <v>38</v>
      </c>
      <c r="I1316" t="str">
        <f t="shared" si="21"/>
        <v>1214_1</v>
      </c>
      <c r="J1316" t="s">
        <v>241</v>
      </c>
      <c r="K1316" t="s">
        <v>179</v>
      </c>
      <c r="L1316" t="str">
        <f>_xlfn.XLOOKUP(C1316, Table2[Species],Table2[Genus], "Code Not Found")</f>
        <v>Acer</v>
      </c>
      <c r="M1316" t="str">
        <f>_xlfn.XLOOKUP(C1316, Table2[Species],Table2[Sp. Name], "Code Not Found")</f>
        <v>saccharum</v>
      </c>
      <c r="N1316" t="str">
        <f>_xlfn.XLOOKUP(C1316,Table2[Species],Table2[Family],"Code Not Found")</f>
        <v>Sapindaceae</v>
      </c>
      <c r="O1316" t="str" cm="1">
        <f t="array" ref="O1316">_xlfn.IFS(F1316="","",F1316&lt;=5,"0 to 5",F1316&lt;=10,"5.1 to 10",F1316&lt;=20,"10 to 20", F1316&lt;= 40, "20 to 40", F1316 &lt;= 50, "40 to 50", F1316 &gt; 50, "&gt;50" )</f>
        <v>0 to 5</v>
      </c>
    </row>
    <row r="1317" spans="1:15" ht="14.4" x14ac:dyDescent="0.3">
      <c r="A1317" t="s">
        <v>240</v>
      </c>
      <c r="B1317" s="1">
        <v>46197</v>
      </c>
      <c r="C1317" t="s">
        <v>64</v>
      </c>
      <c r="D1317">
        <v>1215</v>
      </c>
      <c r="E1317">
        <v>1</v>
      </c>
      <c r="F1317">
        <v>4.5</v>
      </c>
      <c r="G1317" t="s">
        <v>17</v>
      </c>
      <c r="I1317" t="str">
        <f t="shared" si="21"/>
        <v>1215_1</v>
      </c>
      <c r="J1317" t="s">
        <v>241</v>
      </c>
      <c r="K1317" t="s">
        <v>179</v>
      </c>
      <c r="L1317" t="str">
        <f>_xlfn.XLOOKUP(C1317, Table2[Species],Table2[Genus], "Code Not Found")</f>
        <v>Fagus</v>
      </c>
      <c r="M1317" t="str">
        <f>_xlfn.XLOOKUP(C1317, Table2[Species],Table2[Sp. Name], "Code Not Found")</f>
        <v>grandifolia</v>
      </c>
      <c r="N1317" t="str">
        <f>_xlfn.XLOOKUP(C1317,Table2[Species],Table2[Family],"Code Not Found")</f>
        <v>Fagaceae</v>
      </c>
      <c r="O1317" t="str" cm="1">
        <f t="array" ref="O1317">_xlfn.IFS(F1317="","",F1317&lt;=5,"0 to 5",F1317&lt;=10,"5.1 to 10",F1317&lt;=20,"10 to 20", F1317&lt;= 40, "20 to 40", F1317 &lt;= 50, "40 to 50", F1317 &gt; 50, "&gt;50" )</f>
        <v>0 to 5</v>
      </c>
    </row>
    <row r="1318" spans="1:15" ht="14.4" x14ac:dyDescent="0.3">
      <c r="A1318" t="s">
        <v>240</v>
      </c>
      <c r="B1318" s="1">
        <v>46197</v>
      </c>
      <c r="C1318" t="s">
        <v>64</v>
      </c>
      <c r="D1318">
        <v>1216</v>
      </c>
      <c r="E1318">
        <v>1</v>
      </c>
      <c r="F1318">
        <v>4.2</v>
      </c>
      <c r="G1318" t="s">
        <v>17</v>
      </c>
      <c r="I1318" t="str">
        <f t="shared" si="21"/>
        <v>1216_1</v>
      </c>
      <c r="J1318" t="s">
        <v>241</v>
      </c>
      <c r="K1318" t="s">
        <v>179</v>
      </c>
      <c r="L1318" t="str">
        <f>_xlfn.XLOOKUP(C1318, Table2[Species],Table2[Genus], "Code Not Found")</f>
        <v>Fagus</v>
      </c>
      <c r="M1318" t="str">
        <f>_xlfn.XLOOKUP(C1318, Table2[Species],Table2[Sp. Name], "Code Not Found")</f>
        <v>grandifolia</v>
      </c>
      <c r="N1318" t="str">
        <f>_xlfn.XLOOKUP(C1318,Table2[Species],Table2[Family],"Code Not Found")</f>
        <v>Fagaceae</v>
      </c>
      <c r="O1318" t="str" cm="1">
        <f t="array" ref="O1318">_xlfn.IFS(F1318="","",F1318&lt;=5,"0 to 5",F1318&lt;=10,"5.1 to 10",F1318&lt;=20,"10 to 20", F1318&lt;= 40, "20 to 40", F1318 &lt;= 50, "40 to 50", F1318 &gt; 50, "&gt;50" )</f>
        <v>0 to 5</v>
      </c>
    </row>
    <row r="1319" spans="1:15" ht="14.4" x14ac:dyDescent="0.3">
      <c r="A1319" t="s">
        <v>240</v>
      </c>
      <c r="B1319" s="1">
        <v>46197</v>
      </c>
      <c r="C1319" t="s">
        <v>64</v>
      </c>
      <c r="D1319">
        <v>1217</v>
      </c>
      <c r="E1319">
        <v>1</v>
      </c>
      <c r="F1319">
        <v>7.5</v>
      </c>
      <c r="G1319" t="s">
        <v>268</v>
      </c>
      <c r="H1319" t="s">
        <v>281</v>
      </c>
      <c r="I1319" t="str">
        <f t="shared" si="21"/>
        <v>1217_1</v>
      </c>
      <c r="J1319" t="s">
        <v>241</v>
      </c>
      <c r="K1319" t="s">
        <v>179</v>
      </c>
      <c r="L1319" t="str">
        <f>_xlfn.XLOOKUP(C1319, Table2[Species],Table2[Genus], "Code Not Found")</f>
        <v>Fagus</v>
      </c>
      <c r="M1319" t="str">
        <f>_xlfn.XLOOKUP(C1319, Table2[Species],Table2[Sp. Name], "Code Not Found")</f>
        <v>grandifolia</v>
      </c>
      <c r="N1319" t="str">
        <f>_xlfn.XLOOKUP(C1319,Table2[Species],Table2[Family],"Code Not Found")</f>
        <v>Fagaceae</v>
      </c>
      <c r="O1319" t="str" cm="1">
        <f t="array" ref="O1319">_xlfn.IFS(F1319="","",F1319&lt;=5,"0 to 5",F1319&lt;=10,"5.1 to 10",F1319&lt;=20,"10 to 20", F1319&lt;= 40, "20 to 40", F1319 &lt;= 50, "40 to 50", F1319 &gt; 50, "&gt;50" )</f>
        <v>5.1 to 10</v>
      </c>
    </row>
    <row r="1320" spans="1:15" ht="14.4" x14ac:dyDescent="0.3">
      <c r="A1320" t="s">
        <v>240</v>
      </c>
      <c r="B1320" s="1">
        <v>46197</v>
      </c>
      <c r="C1320" t="s">
        <v>64</v>
      </c>
      <c r="D1320">
        <v>1217</v>
      </c>
      <c r="E1320">
        <v>2</v>
      </c>
      <c r="F1320">
        <v>1.2</v>
      </c>
      <c r="G1320" t="s">
        <v>268</v>
      </c>
      <c r="H1320" t="s">
        <v>281</v>
      </c>
      <c r="I1320" t="str">
        <f t="shared" si="21"/>
        <v>1217_2</v>
      </c>
      <c r="J1320" t="s">
        <v>241</v>
      </c>
      <c r="K1320" t="s">
        <v>179</v>
      </c>
      <c r="L1320" t="str">
        <f>_xlfn.XLOOKUP(C1320, Table2[Species],Table2[Genus], "Code Not Found")</f>
        <v>Fagus</v>
      </c>
      <c r="M1320" t="str">
        <f>_xlfn.XLOOKUP(C1320, Table2[Species],Table2[Sp. Name], "Code Not Found")</f>
        <v>grandifolia</v>
      </c>
      <c r="N1320" t="str">
        <f>_xlfn.XLOOKUP(C1320,Table2[Species],Table2[Family],"Code Not Found")</f>
        <v>Fagaceae</v>
      </c>
      <c r="O1320" t="str" cm="1">
        <f t="array" ref="O1320">_xlfn.IFS(F1320="","",F1320&lt;=5,"0 to 5",F1320&lt;=10,"5.1 to 10",F1320&lt;=20,"10 to 20", F1320&lt;= 40, "20 to 40", F1320 &lt;= 50, "40 to 50", F1320 &gt; 50, "&gt;50" )</f>
        <v>0 to 5</v>
      </c>
    </row>
    <row r="1321" spans="1:15" ht="14.4" x14ac:dyDescent="0.3">
      <c r="A1321" t="s">
        <v>240</v>
      </c>
      <c r="B1321" s="1">
        <v>46197</v>
      </c>
      <c r="C1321" t="s">
        <v>64</v>
      </c>
      <c r="D1321">
        <v>1218</v>
      </c>
      <c r="E1321">
        <v>1</v>
      </c>
      <c r="F1321">
        <v>86</v>
      </c>
      <c r="G1321" t="s">
        <v>32</v>
      </c>
      <c r="H1321" t="s">
        <v>273</v>
      </c>
      <c r="I1321" t="str">
        <f t="shared" si="21"/>
        <v>1218_1</v>
      </c>
      <c r="J1321" t="s">
        <v>241</v>
      </c>
      <c r="K1321" t="s">
        <v>179</v>
      </c>
      <c r="L1321" t="str">
        <f>_xlfn.XLOOKUP(C1321, Table2[Species],Table2[Genus], "Code Not Found")</f>
        <v>Fagus</v>
      </c>
      <c r="M1321" t="str">
        <f>_xlfn.XLOOKUP(C1321, Table2[Species],Table2[Sp. Name], "Code Not Found")</f>
        <v>grandifolia</v>
      </c>
      <c r="N1321" t="str">
        <f>_xlfn.XLOOKUP(C1321,Table2[Species],Table2[Family],"Code Not Found")</f>
        <v>Fagaceae</v>
      </c>
      <c r="O1321" t="str" cm="1">
        <f t="array" ref="O1321">_xlfn.IFS(F1321="","",F1321&lt;=5,"0 to 5",F1321&lt;=10,"5.1 to 10",F1321&lt;=20,"10 to 20", F1321&lt;= 40, "20 to 40", F1321 &lt;= 50, "40 to 50", F1321 &gt; 50, "&gt;50" )</f>
        <v>&gt;50</v>
      </c>
    </row>
    <row r="1322" spans="1:15" ht="14.4" x14ac:dyDescent="0.3">
      <c r="A1322" t="s">
        <v>240</v>
      </c>
      <c r="B1322" s="1">
        <v>46197</v>
      </c>
      <c r="C1322" t="s">
        <v>64</v>
      </c>
      <c r="D1322">
        <v>1218</v>
      </c>
      <c r="E1322">
        <v>2</v>
      </c>
      <c r="F1322">
        <v>2.8</v>
      </c>
      <c r="G1322" t="s">
        <v>93</v>
      </c>
      <c r="I1322" t="str">
        <f t="shared" si="21"/>
        <v>1218_2</v>
      </c>
      <c r="J1322" t="s">
        <v>241</v>
      </c>
      <c r="K1322" t="s">
        <v>179</v>
      </c>
      <c r="L1322" t="str">
        <f>_xlfn.XLOOKUP(C1322, Table2[Species],Table2[Genus], "Code Not Found")</f>
        <v>Fagus</v>
      </c>
      <c r="M1322" t="str">
        <f>_xlfn.XLOOKUP(C1322, Table2[Species],Table2[Sp. Name], "Code Not Found")</f>
        <v>grandifolia</v>
      </c>
      <c r="N1322" t="str">
        <f>_xlfn.XLOOKUP(C1322,Table2[Species],Table2[Family],"Code Not Found")</f>
        <v>Fagaceae</v>
      </c>
      <c r="O1322" t="str" cm="1">
        <f t="array" ref="O1322">_xlfn.IFS(F1322="","",F1322&lt;=5,"0 to 5",F1322&lt;=10,"5.1 to 10",F1322&lt;=20,"10 to 20", F1322&lt;= 40, "20 to 40", F1322 &lt;= 50, "40 to 50", F1322 &gt; 50, "&gt;50" )</f>
        <v>0 to 5</v>
      </c>
    </row>
    <row r="1323" spans="1:15" ht="14.4" x14ac:dyDescent="0.3">
      <c r="A1323" t="s">
        <v>240</v>
      </c>
      <c r="B1323" s="1">
        <v>46197</v>
      </c>
      <c r="C1323" t="s">
        <v>64</v>
      </c>
      <c r="D1323">
        <v>1218</v>
      </c>
      <c r="E1323">
        <v>3.1</v>
      </c>
      <c r="F1323">
        <v>1.1000000000000001</v>
      </c>
      <c r="G1323" t="s">
        <v>32</v>
      </c>
      <c r="I1323" t="str">
        <f t="shared" si="21"/>
        <v>1218_3.1</v>
      </c>
      <c r="J1323" t="s">
        <v>241</v>
      </c>
      <c r="K1323" t="s">
        <v>179</v>
      </c>
      <c r="L1323" t="str">
        <f>_xlfn.XLOOKUP(C1323, Table2[Species],Table2[Genus], "Code Not Found")</f>
        <v>Fagus</v>
      </c>
      <c r="M1323" t="str">
        <f>_xlfn.XLOOKUP(C1323, Table2[Species],Table2[Sp. Name], "Code Not Found")</f>
        <v>grandifolia</v>
      </c>
      <c r="N1323" t="str">
        <f>_xlfn.XLOOKUP(C1323,Table2[Species],Table2[Family],"Code Not Found")</f>
        <v>Fagaceae</v>
      </c>
      <c r="O1323" t="str" cm="1">
        <f t="array" ref="O1323">_xlfn.IFS(F1323="","",F1323&lt;=5,"0 to 5",F1323&lt;=10,"5.1 to 10",F1323&lt;=20,"10 to 20", F1323&lt;= 40, "20 to 40", F1323 &lt;= 50, "40 to 50", F1323 &gt; 50, "&gt;50" )</f>
        <v>0 to 5</v>
      </c>
    </row>
    <row r="1324" spans="1:15" ht="14.4" x14ac:dyDescent="0.3">
      <c r="A1324" t="s">
        <v>240</v>
      </c>
      <c r="B1324" s="1">
        <v>46197</v>
      </c>
      <c r="C1324" t="s">
        <v>64</v>
      </c>
      <c r="D1324">
        <v>1218</v>
      </c>
      <c r="E1324">
        <v>3.2</v>
      </c>
      <c r="F1324">
        <v>1</v>
      </c>
      <c r="G1324" t="s">
        <v>32</v>
      </c>
      <c r="I1324" t="str">
        <f t="shared" si="21"/>
        <v>1218_3.2</v>
      </c>
      <c r="J1324" t="s">
        <v>241</v>
      </c>
      <c r="K1324" t="s">
        <v>179</v>
      </c>
      <c r="L1324" t="str">
        <f>_xlfn.XLOOKUP(C1324, Table2[Species],Table2[Genus], "Code Not Found")</f>
        <v>Fagus</v>
      </c>
      <c r="M1324" t="str">
        <f>_xlfn.XLOOKUP(C1324, Table2[Species],Table2[Sp. Name], "Code Not Found")</f>
        <v>grandifolia</v>
      </c>
      <c r="N1324" t="str">
        <f>_xlfn.XLOOKUP(C1324,Table2[Species],Table2[Family],"Code Not Found")</f>
        <v>Fagaceae</v>
      </c>
      <c r="O1324" t="str" cm="1">
        <f t="array" ref="O1324">_xlfn.IFS(F1324="","",F1324&lt;=5,"0 to 5",F1324&lt;=10,"5.1 to 10",F1324&lt;=20,"10 to 20", F1324&lt;= 40, "20 to 40", F1324 &lt;= 50, "40 to 50", F1324 &gt; 50, "&gt;50" )</f>
        <v>0 to 5</v>
      </c>
    </row>
    <row r="1325" spans="1:15" ht="14.4" x14ac:dyDescent="0.3">
      <c r="A1325" t="s">
        <v>240</v>
      </c>
      <c r="B1325" s="1">
        <v>46197</v>
      </c>
      <c r="C1325" t="s">
        <v>64</v>
      </c>
      <c r="D1325">
        <v>1218</v>
      </c>
      <c r="E1325">
        <v>4</v>
      </c>
      <c r="F1325">
        <v>2.5</v>
      </c>
      <c r="G1325" t="s">
        <v>32</v>
      </c>
      <c r="I1325" t="str">
        <f t="shared" si="21"/>
        <v>1218_4</v>
      </c>
      <c r="J1325" t="s">
        <v>241</v>
      </c>
      <c r="K1325" t="s">
        <v>179</v>
      </c>
      <c r="L1325" t="str">
        <f>_xlfn.XLOOKUP(C1325, Table2[Species],Table2[Genus], "Code Not Found")</f>
        <v>Fagus</v>
      </c>
      <c r="M1325" t="str">
        <f>_xlfn.XLOOKUP(C1325, Table2[Species],Table2[Sp. Name], "Code Not Found")</f>
        <v>grandifolia</v>
      </c>
      <c r="N1325" t="str">
        <f>_xlfn.XLOOKUP(C1325,Table2[Species],Table2[Family],"Code Not Found")</f>
        <v>Fagaceae</v>
      </c>
      <c r="O1325" t="str" cm="1">
        <f t="array" ref="O1325">_xlfn.IFS(F1325="","",F1325&lt;=5,"0 to 5",F1325&lt;=10,"5.1 to 10",F1325&lt;=20,"10 to 20", F1325&lt;= 40, "20 to 40", F1325 &lt;= 50, "40 to 50", F1325 &gt; 50, "&gt;50" )</f>
        <v>0 to 5</v>
      </c>
    </row>
    <row r="1326" spans="1:15" ht="14.4" x14ac:dyDescent="0.3">
      <c r="A1326" t="s">
        <v>240</v>
      </c>
      <c r="B1326" s="1">
        <v>46197</v>
      </c>
      <c r="C1326" t="s">
        <v>64</v>
      </c>
      <c r="D1326">
        <v>1218</v>
      </c>
      <c r="E1326">
        <v>5.0999999999999996</v>
      </c>
      <c r="F1326">
        <v>5.2</v>
      </c>
      <c r="G1326" t="s">
        <v>32</v>
      </c>
      <c r="I1326" t="str">
        <f t="shared" si="21"/>
        <v>1218_5.1</v>
      </c>
      <c r="J1326" t="s">
        <v>241</v>
      </c>
      <c r="K1326" t="s">
        <v>179</v>
      </c>
      <c r="L1326" t="str">
        <f>_xlfn.XLOOKUP(C1326, Table2[Species],Table2[Genus], "Code Not Found")</f>
        <v>Fagus</v>
      </c>
      <c r="M1326" t="str">
        <f>_xlfn.XLOOKUP(C1326, Table2[Species],Table2[Sp. Name], "Code Not Found")</f>
        <v>grandifolia</v>
      </c>
      <c r="N1326" t="str">
        <f>_xlfn.XLOOKUP(C1326,Table2[Species],Table2[Family],"Code Not Found")</f>
        <v>Fagaceae</v>
      </c>
      <c r="O1326" t="str" cm="1">
        <f t="array" ref="O1326">_xlfn.IFS(F1326="","",F1326&lt;=5,"0 to 5",F1326&lt;=10,"5.1 to 10",F1326&lt;=20,"10 to 20", F1326&lt;= 40, "20 to 40", F1326 &lt;= 50, "40 to 50", F1326 &gt; 50, "&gt;50" )</f>
        <v>5.1 to 10</v>
      </c>
    </row>
    <row r="1327" spans="1:15" ht="14.4" x14ac:dyDescent="0.3">
      <c r="A1327" t="s">
        <v>240</v>
      </c>
      <c r="B1327" s="1">
        <v>46197</v>
      </c>
      <c r="C1327" t="s">
        <v>64</v>
      </c>
      <c r="D1327">
        <v>1218</v>
      </c>
      <c r="E1327">
        <v>5.2</v>
      </c>
      <c r="F1327">
        <v>1.3</v>
      </c>
      <c r="G1327" t="s">
        <v>32</v>
      </c>
      <c r="I1327" t="str">
        <f t="shared" ref="I1327:I1390" si="22">D1327&amp;"_"&amp;E1327</f>
        <v>1218_5.2</v>
      </c>
      <c r="J1327" t="s">
        <v>241</v>
      </c>
      <c r="K1327" t="s">
        <v>179</v>
      </c>
      <c r="L1327" t="str">
        <f>_xlfn.XLOOKUP(C1327, Table2[Species],Table2[Genus], "Code Not Found")</f>
        <v>Fagus</v>
      </c>
      <c r="M1327" t="str">
        <f>_xlfn.XLOOKUP(C1327, Table2[Species],Table2[Sp. Name], "Code Not Found")</f>
        <v>grandifolia</v>
      </c>
      <c r="N1327" t="str">
        <f>_xlfn.XLOOKUP(C1327,Table2[Species],Table2[Family],"Code Not Found")</f>
        <v>Fagaceae</v>
      </c>
      <c r="O1327" t="str" cm="1">
        <f t="array" ref="O1327">_xlfn.IFS(F1327="","",F1327&lt;=5,"0 to 5",F1327&lt;=10,"5.1 to 10",F1327&lt;=20,"10 to 20", F1327&lt;= 40, "20 to 40", F1327 &lt;= 50, "40 to 50", F1327 &gt; 50, "&gt;50" )</f>
        <v>0 to 5</v>
      </c>
    </row>
    <row r="1328" spans="1:15" ht="14.4" x14ac:dyDescent="0.3">
      <c r="A1328" t="s">
        <v>240</v>
      </c>
      <c r="B1328" s="1">
        <v>46197</v>
      </c>
      <c r="C1328" t="s">
        <v>64</v>
      </c>
      <c r="D1328">
        <v>1218</v>
      </c>
      <c r="E1328">
        <v>6</v>
      </c>
      <c r="F1328">
        <v>5.2</v>
      </c>
      <c r="G1328" t="s">
        <v>141</v>
      </c>
      <c r="I1328" t="str">
        <f t="shared" si="22"/>
        <v>1218_6</v>
      </c>
      <c r="J1328" t="s">
        <v>241</v>
      </c>
      <c r="K1328" t="s">
        <v>179</v>
      </c>
      <c r="L1328" t="str">
        <f>_xlfn.XLOOKUP(C1328, Table2[Species],Table2[Genus], "Code Not Found")</f>
        <v>Fagus</v>
      </c>
      <c r="M1328" t="str">
        <f>_xlfn.XLOOKUP(C1328, Table2[Species],Table2[Sp. Name], "Code Not Found")</f>
        <v>grandifolia</v>
      </c>
      <c r="N1328" t="str">
        <f>_xlfn.XLOOKUP(C1328,Table2[Species],Table2[Family],"Code Not Found")</f>
        <v>Fagaceae</v>
      </c>
      <c r="O1328" t="str" cm="1">
        <f t="array" ref="O1328">_xlfn.IFS(F1328="","",F1328&lt;=5,"0 to 5",F1328&lt;=10,"5.1 to 10",F1328&lt;=20,"10 to 20", F1328&lt;= 40, "20 to 40", F1328 &lt;= 50, "40 to 50", F1328 &gt; 50, "&gt;50" )</f>
        <v>5.1 to 10</v>
      </c>
    </row>
    <row r="1329" spans="1:15" ht="14.4" x14ac:dyDescent="0.3">
      <c r="A1329" t="s">
        <v>240</v>
      </c>
      <c r="B1329" s="1">
        <v>46197</v>
      </c>
      <c r="C1329" t="s">
        <v>64</v>
      </c>
      <c r="D1329">
        <v>1218</v>
      </c>
      <c r="E1329">
        <v>7</v>
      </c>
      <c r="F1329">
        <v>1.3</v>
      </c>
      <c r="G1329" t="s">
        <v>32</v>
      </c>
      <c r="I1329" t="str">
        <f t="shared" si="22"/>
        <v>1218_7</v>
      </c>
      <c r="J1329" t="s">
        <v>241</v>
      </c>
      <c r="K1329" t="s">
        <v>179</v>
      </c>
      <c r="L1329" t="str">
        <f>_xlfn.XLOOKUP(C1329, Table2[Species],Table2[Genus], "Code Not Found")</f>
        <v>Fagus</v>
      </c>
      <c r="M1329" t="str">
        <f>_xlfn.XLOOKUP(C1329, Table2[Species],Table2[Sp. Name], "Code Not Found")</f>
        <v>grandifolia</v>
      </c>
      <c r="N1329" t="str">
        <f>_xlfn.XLOOKUP(C1329,Table2[Species],Table2[Family],"Code Not Found")</f>
        <v>Fagaceae</v>
      </c>
      <c r="O1329" t="str" cm="1">
        <f t="array" ref="O1329">_xlfn.IFS(F1329="","",F1329&lt;=5,"0 to 5",F1329&lt;=10,"5.1 to 10",F1329&lt;=20,"10 to 20", F1329&lt;= 40, "20 to 40", F1329 &lt;= 50, "40 to 50", F1329 &gt; 50, "&gt;50" )</f>
        <v>0 to 5</v>
      </c>
    </row>
    <row r="1330" spans="1:15" ht="14.4" x14ac:dyDescent="0.3">
      <c r="A1330" t="s">
        <v>240</v>
      </c>
      <c r="B1330" s="1">
        <v>46197</v>
      </c>
      <c r="C1330" t="s">
        <v>64</v>
      </c>
      <c r="D1330">
        <v>1218</v>
      </c>
      <c r="E1330">
        <v>8</v>
      </c>
      <c r="F1330">
        <v>1.8</v>
      </c>
      <c r="G1330" t="s">
        <v>282</v>
      </c>
      <c r="I1330" t="str">
        <f t="shared" si="22"/>
        <v>1218_8</v>
      </c>
      <c r="J1330" t="s">
        <v>241</v>
      </c>
      <c r="K1330" t="s">
        <v>179</v>
      </c>
      <c r="L1330" t="str">
        <f>_xlfn.XLOOKUP(C1330, Table2[Species],Table2[Genus], "Code Not Found")</f>
        <v>Fagus</v>
      </c>
      <c r="M1330" t="str">
        <f>_xlfn.XLOOKUP(C1330, Table2[Species],Table2[Sp. Name], "Code Not Found")</f>
        <v>grandifolia</v>
      </c>
      <c r="N1330" t="str">
        <f>_xlfn.XLOOKUP(C1330,Table2[Species],Table2[Family],"Code Not Found")</f>
        <v>Fagaceae</v>
      </c>
      <c r="O1330" t="str" cm="1">
        <f t="array" ref="O1330">_xlfn.IFS(F1330="","",F1330&lt;=5,"0 to 5",F1330&lt;=10,"5.1 to 10",F1330&lt;=20,"10 to 20", F1330&lt;= 40, "20 to 40", F1330 &lt;= 50, "40 to 50", F1330 &gt; 50, "&gt;50" )</f>
        <v>0 to 5</v>
      </c>
    </row>
    <row r="1331" spans="1:15" ht="14.4" x14ac:dyDescent="0.3">
      <c r="A1331" t="s">
        <v>240</v>
      </c>
      <c r="B1331" s="1">
        <v>46197</v>
      </c>
      <c r="C1331" t="s">
        <v>64</v>
      </c>
      <c r="D1331">
        <v>1218</v>
      </c>
      <c r="E1331">
        <v>9</v>
      </c>
      <c r="F1331">
        <v>1.8</v>
      </c>
      <c r="G1331" t="s">
        <v>32</v>
      </c>
      <c r="I1331" t="str">
        <f t="shared" si="22"/>
        <v>1218_9</v>
      </c>
      <c r="J1331" t="s">
        <v>241</v>
      </c>
      <c r="K1331" t="s">
        <v>179</v>
      </c>
      <c r="L1331" t="str">
        <f>_xlfn.XLOOKUP(C1331, Table2[Species],Table2[Genus], "Code Not Found")</f>
        <v>Fagus</v>
      </c>
      <c r="M1331" t="str">
        <f>_xlfn.XLOOKUP(C1331, Table2[Species],Table2[Sp. Name], "Code Not Found")</f>
        <v>grandifolia</v>
      </c>
      <c r="N1331" t="str">
        <f>_xlfn.XLOOKUP(C1331,Table2[Species],Table2[Family],"Code Not Found")</f>
        <v>Fagaceae</v>
      </c>
      <c r="O1331" t="str" cm="1">
        <f t="array" ref="O1331">_xlfn.IFS(F1331="","",F1331&lt;=5,"0 to 5",F1331&lt;=10,"5.1 to 10",F1331&lt;=20,"10 to 20", F1331&lt;= 40, "20 to 40", F1331 &lt;= 50, "40 to 50", F1331 &gt; 50, "&gt;50" )</f>
        <v>0 to 5</v>
      </c>
    </row>
    <row r="1332" spans="1:15" ht="14.4" x14ac:dyDescent="0.3">
      <c r="A1332" t="s">
        <v>240</v>
      </c>
      <c r="B1332" s="1">
        <v>46197</v>
      </c>
      <c r="C1332" t="s">
        <v>64</v>
      </c>
      <c r="D1332">
        <v>1218</v>
      </c>
      <c r="E1332">
        <v>10.1</v>
      </c>
      <c r="F1332">
        <v>1.2</v>
      </c>
      <c r="G1332" t="s">
        <v>32</v>
      </c>
      <c r="I1332" t="str">
        <f t="shared" si="22"/>
        <v>1218_10.1</v>
      </c>
      <c r="J1332" t="s">
        <v>241</v>
      </c>
      <c r="K1332" t="s">
        <v>179</v>
      </c>
      <c r="L1332" t="str">
        <f>_xlfn.XLOOKUP(C1332, Table2[Species],Table2[Genus], "Code Not Found")</f>
        <v>Fagus</v>
      </c>
      <c r="M1332" t="str">
        <f>_xlfn.XLOOKUP(C1332, Table2[Species],Table2[Sp. Name], "Code Not Found")</f>
        <v>grandifolia</v>
      </c>
      <c r="N1332" t="str">
        <f>_xlfn.XLOOKUP(C1332,Table2[Species],Table2[Family],"Code Not Found")</f>
        <v>Fagaceae</v>
      </c>
      <c r="O1332" t="str" cm="1">
        <f t="array" ref="O1332">_xlfn.IFS(F1332="","",F1332&lt;=5,"0 to 5",F1332&lt;=10,"5.1 to 10",F1332&lt;=20,"10 to 20", F1332&lt;= 40, "20 to 40", F1332 &lt;= 50, "40 to 50", F1332 &gt; 50, "&gt;50" )</f>
        <v>0 to 5</v>
      </c>
    </row>
    <row r="1333" spans="1:15" ht="14.4" x14ac:dyDescent="0.3">
      <c r="A1333" t="s">
        <v>240</v>
      </c>
      <c r="B1333" s="1">
        <v>46197</v>
      </c>
      <c r="C1333" t="s">
        <v>64</v>
      </c>
      <c r="D1333">
        <v>1218</v>
      </c>
      <c r="E1333">
        <v>10.199999999999999</v>
      </c>
      <c r="F1333">
        <v>1.1000000000000001</v>
      </c>
      <c r="G1333" t="s">
        <v>32</v>
      </c>
      <c r="I1333" t="str">
        <f t="shared" si="22"/>
        <v>1218_10.2</v>
      </c>
      <c r="J1333" t="s">
        <v>241</v>
      </c>
      <c r="K1333" t="s">
        <v>179</v>
      </c>
      <c r="L1333" t="str">
        <f>_xlfn.XLOOKUP(C1333, Table2[Species],Table2[Genus], "Code Not Found")</f>
        <v>Fagus</v>
      </c>
      <c r="M1333" t="str">
        <f>_xlfn.XLOOKUP(C1333, Table2[Species],Table2[Sp. Name], "Code Not Found")</f>
        <v>grandifolia</v>
      </c>
      <c r="N1333" t="str">
        <f>_xlfn.XLOOKUP(C1333,Table2[Species],Table2[Family],"Code Not Found")</f>
        <v>Fagaceae</v>
      </c>
      <c r="O1333" t="str" cm="1">
        <f t="array" ref="O1333">_xlfn.IFS(F1333="","",F1333&lt;=5,"0 to 5",F1333&lt;=10,"5.1 to 10",F1333&lt;=20,"10 to 20", F1333&lt;= 40, "20 to 40", F1333 &lt;= 50, "40 to 50", F1333 &gt; 50, "&gt;50" )</f>
        <v>0 to 5</v>
      </c>
    </row>
    <row r="1334" spans="1:15" ht="14.4" x14ac:dyDescent="0.3">
      <c r="A1334" t="s">
        <v>240</v>
      </c>
      <c r="B1334" s="1">
        <v>46197</v>
      </c>
      <c r="C1334" t="s">
        <v>16</v>
      </c>
      <c r="D1334">
        <v>1219</v>
      </c>
      <c r="E1334">
        <v>1</v>
      </c>
      <c r="F1334">
        <v>8.1</v>
      </c>
      <c r="G1334" t="s">
        <v>17</v>
      </c>
      <c r="I1334" t="str">
        <f t="shared" si="22"/>
        <v>1219_1</v>
      </c>
      <c r="J1334" t="s">
        <v>241</v>
      </c>
      <c r="K1334" t="s">
        <v>179</v>
      </c>
      <c r="L1334" t="str">
        <f>_xlfn.XLOOKUP(C1334, Table2[Species],Table2[Genus], "Code Not Found")</f>
        <v>Acer</v>
      </c>
      <c r="M1334" t="str">
        <f>_xlfn.XLOOKUP(C1334, Table2[Species],Table2[Sp. Name], "Code Not Found")</f>
        <v>saccharum</v>
      </c>
      <c r="N1334" t="str">
        <f>_xlfn.XLOOKUP(C1334,Table2[Species],Table2[Family],"Code Not Found")</f>
        <v>Sapindaceae</v>
      </c>
      <c r="O1334" t="str" cm="1">
        <f t="array" ref="O1334">_xlfn.IFS(F1334="","",F1334&lt;=5,"0 to 5",F1334&lt;=10,"5.1 to 10",F1334&lt;=20,"10 to 20", F1334&lt;= 40, "20 to 40", F1334 &lt;= 50, "40 to 50", F1334 &gt; 50, "&gt;50" )</f>
        <v>5.1 to 10</v>
      </c>
    </row>
    <row r="1335" spans="1:15" ht="14.4" x14ac:dyDescent="0.3">
      <c r="A1335" t="s">
        <v>240</v>
      </c>
      <c r="B1335" s="1">
        <v>46197</v>
      </c>
      <c r="C1335" t="s">
        <v>16</v>
      </c>
      <c r="D1335">
        <v>1220</v>
      </c>
      <c r="E1335">
        <v>1</v>
      </c>
      <c r="F1335">
        <v>15.1</v>
      </c>
      <c r="G1335" t="s">
        <v>17</v>
      </c>
      <c r="I1335" t="str">
        <f t="shared" si="22"/>
        <v>1220_1</v>
      </c>
      <c r="J1335" t="s">
        <v>241</v>
      </c>
      <c r="K1335" t="s">
        <v>179</v>
      </c>
      <c r="L1335" t="str">
        <f>_xlfn.XLOOKUP(C1335, Table2[Species],Table2[Genus], "Code Not Found")</f>
        <v>Acer</v>
      </c>
      <c r="M1335" t="str">
        <f>_xlfn.XLOOKUP(C1335, Table2[Species],Table2[Sp. Name], "Code Not Found")</f>
        <v>saccharum</v>
      </c>
      <c r="N1335" t="str">
        <f>_xlfn.XLOOKUP(C1335,Table2[Species],Table2[Family],"Code Not Found")</f>
        <v>Sapindaceae</v>
      </c>
      <c r="O1335" t="str" cm="1">
        <f t="array" ref="O1335">_xlfn.IFS(F1335="","",F1335&lt;=5,"0 to 5",F1335&lt;=10,"5.1 to 10",F1335&lt;=20,"10 to 20", F1335&lt;= 40, "20 to 40", F1335 &lt;= 50, "40 to 50", F1335 &gt; 50, "&gt;50" )</f>
        <v>10 to 20</v>
      </c>
    </row>
    <row r="1336" spans="1:15" ht="14.4" x14ac:dyDescent="0.3">
      <c r="A1336" t="s">
        <v>240</v>
      </c>
      <c r="B1336" s="1">
        <v>46197</v>
      </c>
      <c r="C1336" t="s">
        <v>64</v>
      </c>
      <c r="D1336">
        <v>1221</v>
      </c>
      <c r="E1336">
        <v>1</v>
      </c>
      <c r="F1336">
        <v>5.2</v>
      </c>
      <c r="G1336" t="s">
        <v>17</v>
      </c>
      <c r="I1336" t="str">
        <f t="shared" si="22"/>
        <v>1221_1</v>
      </c>
      <c r="J1336" t="s">
        <v>241</v>
      </c>
      <c r="K1336" t="s">
        <v>179</v>
      </c>
      <c r="L1336" t="str">
        <f>_xlfn.XLOOKUP(C1336, Table2[Species],Table2[Genus], "Code Not Found")</f>
        <v>Fagus</v>
      </c>
      <c r="M1336" t="str">
        <f>_xlfn.XLOOKUP(C1336, Table2[Species],Table2[Sp. Name], "Code Not Found")</f>
        <v>grandifolia</v>
      </c>
      <c r="N1336" t="str">
        <f>_xlfn.XLOOKUP(C1336,Table2[Species],Table2[Family],"Code Not Found")</f>
        <v>Fagaceae</v>
      </c>
      <c r="O1336" t="str" cm="1">
        <f t="array" ref="O1336">_xlfn.IFS(F1336="","",F1336&lt;=5,"0 to 5",F1336&lt;=10,"5.1 to 10",F1336&lt;=20,"10 to 20", F1336&lt;= 40, "20 to 40", F1336 &lt;= 50, "40 to 50", F1336 &gt; 50, "&gt;50" )</f>
        <v>5.1 to 10</v>
      </c>
    </row>
    <row r="1337" spans="1:15" ht="14.4" x14ac:dyDescent="0.3">
      <c r="A1337" t="s">
        <v>240</v>
      </c>
      <c r="B1337" s="1">
        <v>46197</v>
      </c>
      <c r="C1337" t="s">
        <v>64</v>
      </c>
      <c r="D1337">
        <v>1222</v>
      </c>
      <c r="E1337">
        <v>1</v>
      </c>
      <c r="F1337">
        <v>17.8</v>
      </c>
      <c r="G1337" t="s">
        <v>17</v>
      </c>
      <c r="I1337" t="str">
        <f t="shared" si="22"/>
        <v>1222_1</v>
      </c>
      <c r="J1337" t="s">
        <v>241</v>
      </c>
      <c r="K1337" t="s">
        <v>179</v>
      </c>
      <c r="L1337" t="str">
        <f>_xlfn.XLOOKUP(C1337, Table2[Species],Table2[Genus], "Code Not Found")</f>
        <v>Fagus</v>
      </c>
      <c r="M1337" t="str">
        <f>_xlfn.XLOOKUP(C1337, Table2[Species],Table2[Sp. Name], "Code Not Found")</f>
        <v>grandifolia</v>
      </c>
      <c r="N1337" t="str">
        <f>_xlfn.XLOOKUP(C1337,Table2[Species],Table2[Family],"Code Not Found")</f>
        <v>Fagaceae</v>
      </c>
      <c r="O1337" t="str" cm="1">
        <f t="array" ref="O1337">_xlfn.IFS(F1337="","",F1337&lt;=5,"0 to 5",F1337&lt;=10,"5.1 to 10",F1337&lt;=20,"10 to 20", F1337&lt;= 40, "20 to 40", F1337 &lt;= 50, "40 to 50", F1337 &gt; 50, "&gt;50" )</f>
        <v>10 to 20</v>
      </c>
    </row>
    <row r="1338" spans="1:15" ht="14.4" x14ac:dyDescent="0.3">
      <c r="A1338" t="s">
        <v>240</v>
      </c>
      <c r="B1338" s="1">
        <v>46197</v>
      </c>
      <c r="C1338" t="s">
        <v>64</v>
      </c>
      <c r="D1338">
        <v>1223</v>
      </c>
      <c r="E1338">
        <v>1</v>
      </c>
      <c r="F1338">
        <v>6.8</v>
      </c>
      <c r="G1338" t="s">
        <v>32</v>
      </c>
      <c r="I1338" t="str">
        <f t="shared" si="22"/>
        <v>1223_1</v>
      </c>
      <c r="J1338" t="s">
        <v>241</v>
      </c>
      <c r="K1338" t="s">
        <v>179</v>
      </c>
      <c r="L1338" t="str">
        <f>_xlfn.XLOOKUP(C1338, Table2[Species],Table2[Genus], "Code Not Found")</f>
        <v>Fagus</v>
      </c>
      <c r="M1338" t="str">
        <f>_xlfn.XLOOKUP(C1338, Table2[Species],Table2[Sp. Name], "Code Not Found")</f>
        <v>grandifolia</v>
      </c>
      <c r="N1338" t="str">
        <f>_xlfn.XLOOKUP(C1338,Table2[Species],Table2[Family],"Code Not Found")</f>
        <v>Fagaceae</v>
      </c>
      <c r="O1338" t="str" cm="1">
        <f t="array" ref="O1338">_xlfn.IFS(F1338="","",F1338&lt;=5,"0 to 5",F1338&lt;=10,"5.1 to 10",F1338&lt;=20,"10 to 20", F1338&lt;= 40, "20 to 40", F1338 &lt;= 50, "40 to 50", F1338 &gt; 50, "&gt;50" )</f>
        <v>5.1 to 10</v>
      </c>
    </row>
    <row r="1339" spans="1:15" ht="14.4" x14ac:dyDescent="0.3">
      <c r="A1339" t="s">
        <v>240</v>
      </c>
      <c r="B1339" s="1">
        <v>46197</v>
      </c>
      <c r="C1339" t="s">
        <v>64</v>
      </c>
      <c r="D1339">
        <v>1223</v>
      </c>
      <c r="E1339">
        <v>2</v>
      </c>
      <c r="F1339">
        <v>6.3</v>
      </c>
      <c r="G1339" t="s">
        <v>32</v>
      </c>
      <c r="I1339" t="str">
        <f t="shared" si="22"/>
        <v>1223_2</v>
      </c>
      <c r="J1339" t="s">
        <v>241</v>
      </c>
      <c r="K1339" t="s">
        <v>179</v>
      </c>
      <c r="L1339" t="str">
        <f>_xlfn.XLOOKUP(C1339, Table2[Species],Table2[Genus], "Code Not Found")</f>
        <v>Fagus</v>
      </c>
      <c r="M1339" t="str">
        <f>_xlfn.XLOOKUP(C1339, Table2[Species],Table2[Sp. Name], "Code Not Found")</f>
        <v>grandifolia</v>
      </c>
      <c r="N1339" t="str">
        <f>_xlfn.XLOOKUP(C1339,Table2[Species],Table2[Family],"Code Not Found")</f>
        <v>Fagaceae</v>
      </c>
      <c r="O1339" t="str" cm="1">
        <f t="array" ref="O1339">_xlfn.IFS(F1339="","",F1339&lt;=5,"0 to 5",F1339&lt;=10,"5.1 to 10",F1339&lt;=20,"10 to 20", F1339&lt;= 40, "20 to 40", F1339 &lt;= 50, "40 to 50", F1339 &gt; 50, "&gt;50" )</f>
        <v>5.1 to 10</v>
      </c>
    </row>
    <row r="1340" spans="1:15" ht="14.4" x14ac:dyDescent="0.3">
      <c r="A1340" t="s">
        <v>240</v>
      </c>
      <c r="B1340" s="1">
        <v>46197</v>
      </c>
      <c r="C1340" t="s">
        <v>64</v>
      </c>
      <c r="D1340">
        <v>1224</v>
      </c>
      <c r="E1340">
        <v>1</v>
      </c>
      <c r="F1340">
        <v>3.2</v>
      </c>
      <c r="G1340" t="s">
        <v>17</v>
      </c>
      <c r="I1340" t="str">
        <f t="shared" si="22"/>
        <v>1224_1</v>
      </c>
      <c r="J1340" t="s">
        <v>241</v>
      </c>
      <c r="K1340" t="s">
        <v>179</v>
      </c>
      <c r="L1340" t="str">
        <f>_xlfn.XLOOKUP(C1340, Table2[Species],Table2[Genus], "Code Not Found")</f>
        <v>Fagus</v>
      </c>
      <c r="M1340" t="str">
        <f>_xlfn.XLOOKUP(C1340, Table2[Species],Table2[Sp. Name], "Code Not Found")</f>
        <v>grandifolia</v>
      </c>
      <c r="N1340" t="str">
        <f>_xlfn.XLOOKUP(C1340,Table2[Species],Table2[Family],"Code Not Found")</f>
        <v>Fagaceae</v>
      </c>
      <c r="O1340" t="str" cm="1">
        <f t="array" ref="O1340">_xlfn.IFS(F1340="","",F1340&lt;=5,"0 to 5",F1340&lt;=10,"5.1 to 10",F1340&lt;=20,"10 to 20", F1340&lt;= 40, "20 to 40", F1340 &lt;= 50, "40 to 50", F1340 &gt; 50, "&gt;50" )</f>
        <v>0 to 5</v>
      </c>
    </row>
    <row r="1341" spans="1:15" ht="14.4" x14ac:dyDescent="0.3">
      <c r="A1341" t="s">
        <v>240</v>
      </c>
      <c r="B1341" s="1">
        <v>46197</v>
      </c>
      <c r="C1341" t="s">
        <v>64</v>
      </c>
      <c r="D1341">
        <v>1225</v>
      </c>
      <c r="E1341">
        <v>1</v>
      </c>
      <c r="F1341">
        <v>1.3</v>
      </c>
      <c r="G1341" t="s">
        <v>17</v>
      </c>
      <c r="I1341" t="str">
        <f t="shared" si="22"/>
        <v>1225_1</v>
      </c>
      <c r="J1341" t="s">
        <v>241</v>
      </c>
      <c r="K1341" t="s">
        <v>179</v>
      </c>
      <c r="L1341" t="str">
        <f>_xlfn.XLOOKUP(C1341, Table2[Species],Table2[Genus], "Code Not Found")</f>
        <v>Fagus</v>
      </c>
      <c r="M1341" t="str">
        <f>_xlfn.XLOOKUP(C1341, Table2[Species],Table2[Sp. Name], "Code Not Found")</f>
        <v>grandifolia</v>
      </c>
      <c r="N1341" t="str">
        <f>_xlfn.XLOOKUP(C1341,Table2[Species],Table2[Family],"Code Not Found")</f>
        <v>Fagaceae</v>
      </c>
      <c r="O1341" t="str" cm="1">
        <f t="array" ref="O1341">_xlfn.IFS(F1341="","",F1341&lt;=5,"0 to 5",F1341&lt;=10,"5.1 to 10",F1341&lt;=20,"10 to 20", F1341&lt;= 40, "20 to 40", F1341 &lt;= 50, "40 to 50", F1341 &gt; 50, "&gt;50" )</f>
        <v>0 to 5</v>
      </c>
    </row>
    <row r="1342" spans="1:15" ht="14.4" x14ac:dyDescent="0.3">
      <c r="A1342" t="s">
        <v>240</v>
      </c>
      <c r="B1342" s="1">
        <v>46197</v>
      </c>
      <c r="C1342" t="s">
        <v>64</v>
      </c>
      <c r="D1342">
        <v>1226</v>
      </c>
      <c r="E1342">
        <v>1</v>
      </c>
      <c r="F1342">
        <v>7.3</v>
      </c>
      <c r="G1342" t="s">
        <v>32</v>
      </c>
      <c r="I1342" t="str">
        <f t="shared" si="22"/>
        <v>1226_1</v>
      </c>
      <c r="J1342" t="s">
        <v>241</v>
      </c>
      <c r="K1342" t="s">
        <v>179</v>
      </c>
      <c r="L1342" t="str">
        <f>_xlfn.XLOOKUP(C1342, Table2[Species],Table2[Genus], "Code Not Found")</f>
        <v>Fagus</v>
      </c>
      <c r="M1342" t="str">
        <f>_xlfn.XLOOKUP(C1342, Table2[Species],Table2[Sp. Name], "Code Not Found")</f>
        <v>grandifolia</v>
      </c>
      <c r="N1342" t="str">
        <f>_xlfn.XLOOKUP(C1342,Table2[Species],Table2[Family],"Code Not Found")</f>
        <v>Fagaceae</v>
      </c>
      <c r="O1342" t="str" cm="1">
        <f t="array" ref="O1342">_xlfn.IFS(F1342="","",F1342&lt;=5,"0 to 5",F1342&lt;=10,"5.1 to 10",F1342&lt;=20,"10 to 20", F1342&lt;= 40, "20 to 40", F1342 &lt;= 50, "40 to 50", F1342 &gt; 50, "&gt;50" )</f>
        <v>5.1 to 10</v>
      </c>
    </row>
    <row r="1343" spans="1:15" ht="14.4" x14ac:dyDescent="0.3">
      <c r="A1343" t="s">
        <v>240</v>
      </c>
      <c r="B1343" s="1">
        <v>46197</v>
      </c>
      <c r="C1343" t="s">
        <v>64</v>
      </c>
      <c r="D1343">
        <v>1226</v>
      </c>
      <c r="E1343">
        <v>2</v>
      </c>
      <c r="F1343">
        <v>1.2</v>
      </c>
      <c r="G1343" t="s">
        <v>32</v>
      </c>
      <c r="I1343" t="str">
        <f t="shared" si="22"/>
        <v>1226_2</v>
      </c>
      <c r="J1343" t="s">
        <v>241</v>
      </c>
      <c r="K1343" t="s">
        <v>179</v>
      </c>
      <c r="L1343" t="str">
        <f>_xlfn.XLOOKUP(C1343, Table2[Species],Table2[Genus], "Code Not Found")</f>
        <v>Fagus</v>
      </c>
      <c r="M1343" t="str">
        <f>_xlfn.XLOOKUP(C1343, Table2[Species],Table2[Sp. Name], "Code Not Found")</f>
        <v>grandifolia</v>
      </c>
      <c r="N1343" t="str">
        <f>_xlfn.XLOOKUP(C1343,Table2[Species],Table2[Family],"Code Not Found")</f>
        <v>Fagaceae</v>
      </c>
      <c r="O1343" t="str" cm="1">
        <f t="array" ref="O1343">_xlfn.IFS(F1343="","",F1343&lt;=5,"0 to 5",F1343&lt;=10,"5.1 to 10",F1343&lt;=20,"10 to 20", F1343&lt;= 40, "20 to 40", F1343 &lt;= 50, "40 to 50", F1343 &gt; 50, "&gt;50" )</f>
        <v>0 to 5</v>
      </c>
    </row>
    <row r="1344" spans="1:15" ht="14.4" x14ac:dyDescent="0.3">
      <c r="A1344" t="s">
        <v>240</v>
      </c>
      <c r="B1344" s="1">
        <v>46197</v>
      </c>
      <c r="C1344" t="s">
        <v>64</v>
      </c>
      <c r="D1344">
        <v>1227</v>
      </c>
      <c r="E1344">
        <v>1</v>
      </c>
      <c r="F1344">
        <v>1.3</v>
      </c>
      <c r="G1344" t="s">
        <v>47</v>
      </c>
      <c r="H1344" t="s">
        <v>43</v>
      </c>
      <c r="I1344" t="str">
        <f t="shared" si="22"/>
        <v>1227_1</v>
      </c>
      <c r="J1344" t="s">
        <v>241</v>
      </c>
      <c r="K1344" t="s">
        <v>179</v>
      </c>
      <c r="L1344" t="str">
        <f>_xlfn.XLOOKUP(C1344, Table2[Species],Table2[Genus], "Code Not Found")</f>
        <v>Fagus</v>
      </c>
      <c r="M1344" t="str">
        <f>_xlfn.XLOOKUP(C1344, Table2[Species],Table2[Sp. Name], "Code Not Found")</f>
        <v>grandifolia</v>
      </c>
      <c r="N1344" t="str">
        <f>_xlfn.XLOOKUP(C1344,Table2[Species],Table2[Family],"Code Not Found")</f>
        <v>Fagaceae</v>
      </c>
      <c r="O1344" t="str" cm="1">
        <f t="array" ref="O1344">_xlfn.IFS(F1344="","",F1344&lt;=5,"0 to 5",F1344&lt;=10,"5.1 to 10",F1344&lt;=20,"10 to 20", F1344&lt;= 40, "20 to 40", F1344 &lt;= 50, "40 to 50", F1344 &gt; 50, "&gt;50" )</f>
        <v>0 to 5</v>
      </c>
    </row>
    <row r="1345" spans="1:15" ht="14.4" x14ac:dyDescent="0.3">
      <c r="A1345" t="s">
        <v>240</v>
      </c>
      <c r="B1345" s="1">
        <v>46197</v>
      </c>
      <c r="C1345" t="s">
        <v>64</v>
      </c>
      <c r="D1345">
        <v>1228</v>
      </c>
      <c r="E1345">
        <v>1</v>
      </c>
      <c r="F1345">
        <v>3.4</v>
      </c>
      <c r="G1345" t="s">
        <v>32</v>
      </c>
      <c r="I1345" t="str">
        <f t="shared" si="22"/>
        <v>1228_1</v>
      </c>
      <c r="J1345" t="s">
        <v>241</v>
      </c>
      <c r="K1345" t="s">
        <v>179</v>
      </c>
      <c r="L1345" t="str">
        <f>_xlfn.XLOOKUP(C1345, Table2[Species],Table2[Genus], "Code Not Found")</f>
        <v>Fagus</v>
      </c>
      <c r="M1345" t="str">
        <f>_xlfn.XLOOKUP(C1345, Table2[Species],Table2[Sp. Name], "Code Not Found")</f>
        <v>grandifolia</v>
      </c>
      <c r="N1345" t="str">
        <f>_xlfn.XLOOKUP(C1345,Table2[Species],Table2[Family],"Code Not Found")</f>
        <v>Fagaceae</v>
      </c>
      <c r="O1345" t="str" cm="1">
        <f t="array" ref="O1345">_xlfn.IFS(F1345="","",F1345&lt;=5,"0 to 5",F1345&lt;=10,"5.1 to 10",F1345&lt;=20,"10 to 20", F1345&lt;= 40, "20 to 40", F1345 &lt;= 50, "40 to 50", F1345 &gt; 50, "&gt;50" )</f>
        <v>0 to 5</v>
      </c>
    </row>
    <row r="1346" spans="1:15" ht="14.4" x14ac:dyDescent="0.3">
      <c r="A1346" t="s">
        <v>240</v>
      </c>
      <c r="B1346" s="1">
        <v>46197</v>
      </c>
      <c r="C1346" t="s">
        <v>64</v>
      </c>
      <c r="D1346">
        <v>1228</v>
      </c>
      <c r="E1346">
        <v>2</v>
      </c>
      <c r="F1346">
        <v>1</v>
      </c>
      <c r="G1346" t="s">
        <v>93</v>
      </c>
      <c r="H1346" t="s">
        <v>43</v>
      </c>
      <c r="I1346" t="str">
        <f t="shared" si="22"/>
        <v>1228_2</v>
      </c>
      <c r="J1346" t="s">
        <v>241</v>
      </c>
      <c r="K1346" t="s">
        <v>179</v>
      </c>
      <c r="L1346" t="str">
        <f>_xlfn.XLOOKUP(C1346, Table2[Species],Table2[Genus], "Code Not Found")</f>
        <v>Fagus</v>
      </c>
      <c r="M1346" t="str">
        <f>_xlfn.XLOOKUP(C1346, Table2[Species],Table2[Sp. Name], "Code Not Found")</f>
        <v>grandifolia</v>
      </c>
      <c r="N1346" t="str">
        <f>_xlfn.XLOOKUP(C1346,Table2[Species],Table2[Family],"Code Not Found")</f>
        <v>Fagaceae</v>
      </c>
      <c r="O1346" t="str" cm="1">
        <f t="array" ref="O1346">_xlfn.IFS(F1346="","",F1346&lt;=5,"0 to 5",F1346&lt;=10,"5.1 to 10",F1346&lt;=20,"10 to 20", F1346&lt;= 40, "20 to 40", F1346 &lt;= 50, "40 to 50", F1346 &gt; 50, "&gt;50" )</f>
        <v>0 to 5</v>
      </c>
    </row>
    <row r="1347" spans="1:15" ht="14.4" x14ac:dyDescent="0.3">
      <c r="A1347" t="s">
        <v>240</v>
      </c>
      <c r="B1347" s="1">
        <v>46197</v>
      </c>
      <c r="C1347" t="s">
        <v>64</v>
      </c>
      <c r="D1347">
        <v>1229</v>
      </c>
      <c r="E1347">
        <v>1</v>
      </c>
      <c r="F1347">
        <v>13.7</v>
      </c>
      <c r="G1347" t="s">
        <v>30</v>
      </c>
      <c r="H1347" t="s">
        <v>283</v>
      </c>
      <c r="I1347" t="str">
        <f t="shared" si="22"/>
        <v>1229_1</v>
      </c>
      <c r="J1347" t="s">
        <v>241</v>
      </c>
      <c r="K1347" t="s">
        <v>179</v>
      </c>
      <c r="L1347" t="str">
        <f>_xlfn.XLOOKUP(C1347, Table2[Species],Table2[Genus], "Code Not Found")</f>
        <v>Fagus</v>
      </c>
      <c r="M1347" t="str">
        <f>_xlfn.XLOOKUP(C1347, Table2[Species],Table2[Sp. Name], "Code Not Found")</f>
        <v>grandifolia</v>
      </c>
      <c r="N1347" t="str">
        <f>_xlfn.XLOOKUP(C1347,Table2[Species],Table2[Family],"Code Not Found")</f>
        <v>Fagaceae</v>
      </c>
      <c r="O1347" t="str" cm="1">
        <f t="array" ref="O1347">_xlfn.IFS(F1347="","",F1347&lt;=5,"0 to 5",F1347&lt;=10,"5.1 to 10",F1347&lt;=20,"10 to 20", F1347&lt;= 40, "20 to 40", F1347 &lt;= 50, "40 to 50", F1347 &gt; 50, "&gt;50" )</f>
        <v>10 to 20</v>
      </c>
    </row>
    <row r="1348" spans="1:15" ht="14.4" x14ac:dyDescent="0.3">
      <c r="A1348" t="s">
        <v>240</v>
      </c>
      <c r="B1348" s="1">
        <v>46197</v>
      </c>
      <c r="C1348" t="s">
        <v>64</v>
      </c>
      <c r="D1348">
        <v>1230</v>
      </c>
      <c r="E1348">
        <v>1</v>
      </c>
      <c r="F1348">
        <v>12</v>
      </c>
      <c r="G1348" t="s">
        <v>32</v>
      </c>
      <c r="I1348" t="str">
        <f t="shared" si="22"/>
        <v>1230_1</v>
      </c>
      <c r="J1348" t="s">
        <v>241</v>
      </c>
      <c r="K1348" t="s">
        <v>179</v>
      </c>
      <c r="L1348" t="str">
        <f>_xlfn.XLOOKUP(C1348, Table2[Species],Table2[Genus], "Code Not Found")</f>
        <v>Fagus</v>
      </c>
      <c r="M1348" t="str">
        <f>_xlfn.XLOOKUP(C1348, Table2[Species],Table2[Sp. Name], "Code Not Found")</f>
        <v>grandifolia</v>
      </c>
      <c r="N1348" t="str">
        <f>_xlfn.XLOOKUP(C1348,Table2[Species],Table2[Family],"Code Not Found")</f>
        <v>Fagaceae</v>
      </c>
      <c r="O1348" t="str" cm="1">
        <f t="array" ref="O1348">_xlfn.IFS(F1348="","",F1348&lt;=5,"0 to 5",F1348&lt;=10,"5.1 to 10",F1348&lt;=20,"10 to 20", F1348&lt;= 40, "20 to 40", F1348 &lt;= 50, "40 to 50", F1348 &gt; 50, "&gt;50" )</f>
        <v>10 to 20</v>
      </c>
    </row>
    <row r="1349" spans="1:15" ht="14.4" x14ac:dyDescent="0.3">
      <c r="A1349" t="s">
        <v>240</v>
      </c>
      <c r="B1349" s="1">
        <v>46197</v>
      </c>
      <c r="C1349" t="s">
        <v>64</v>
      </c>
      <c r="D1349">
        <v>1230</v>
      </c>
      <c r="E1349">
        <v>2</v>
      </c>
      <c r="F1349">
        <v>2.4</v>
      </c>
      <c r="G1349" t="s">
        <v>32</v>
      </c>
      <c r="I1349" t="str">
        <f t="shared" si="22"/>
        <v>1230_2</v>
      </c>
      <c r="J1349" t="s">
        <v>241</v>
      </c>
      <c r="K1349" t="s">
        <v>179</v>
      </c>
      <c r="L1349" t="str">
        <f>_xlfn.XLOOKUP(C1349, Table2[Species],Table2[Genus], "Code Not Found")</f>
        <v>Fagus</v>
      </c>
      <c r="M1349" t="str">
        <f>_xlfn.XLOOKUP(C1349, Table2[Species],Table2[Sp. Name], "Code Not Found")</f>
        <v>grandifolia</v>
      </c>
      <c r="N1349" t="str">
        <f>_xlfn.XLOOKUP(C1349,Table2[Species],Table2[Family],"Code Not Found")</f>
        <v>Fagaceae</v>
      </c>
      <c r="O1349" t="str" cm="1">
        <f t="array" ref="O1349">_xlfn.IFS(F1349="","",F1349&lt;=5,"0 to 5",F1349&lt;=10,"5.1 to 10",F1349&lt;=20,"10 to 20", F1349&lt;= 40, "20 to 40", F1349 &lt;= 50, "40 to 50", F1349 &gt; 50, "&gt;50" )</f>
        <v>0 to 5</v>
      </c>
    </row>
    <row r="1350" spans="1:15" ht="14.4" x14ac:dyDescent="0.3">
      <c r="A1350" t="s">
        <v>240</v>
      </c>
      <c r="B1350" s="1">
        <v>46197</v>
      </c>
      <c r="C1350" t="s">
        <v>64</v>
      </c>
      <c r="D1350">
        <v>1231</v>
      </c>
      <c r="E1350">
        <v>1</v>
      </c>
      <c r="F1350">
        <v>5.4</v>
      </c>
      <c r="G1350" t="s">
        <v>17</v>
      </c>
      <c r="I1350" t="str">
        <f t="shared" si="22"/>
        <v>1231_1</v>
      </c>
      <c r="J1350" t="s">
        <v>241</v>
      </c>
      <c r="K1350" t="s">
        <v>179</v>
      </c>
      <c r="L1350" t="str">
        <f>_xlfn.XLOOKUP(C1350, Table2[Species],Table2[Genus], "Code Not Found")</f>
        <v>Fagus</v>
      </c>
      <c r="M1350" t="str">
        <f>_xlfn.XLOOKUP(C1350, Table2[Species],Table2[Sp. Name], "Code Not Found")</f>
        <v>grandifolia</v>
      </c>
      <c r="N1350" t="str">
        <f>_xlfn.XLOOKUP(C1350,Table2[Species],Table2[Family],"Code Not Found")</f>
        <v>Fagaceae</v>
      </c>
      <c r="O1350" t="str" cm="1">
        <f t="array" ref="O1350">_xlfn.IFS(F1350="","",F1350&lt;=5,"0 to 5",F1350&lt;=10,"5.1 to 10",F1350&lt;=20,"10 to 20", F1350&lt;= 40, "20 to 40", F1350 &lt;= 50, "40 to 50", F1350 &gt; 50, "&gt;50" )</f>
        <v>5.1 to 10</v>
      </c>
    </row>
    <row r="1351" spans="1:15" ht="14.4" x14ac:dyDescent="0.3">
      <c r="A1351" t="s">
        <v>240</v>
      </c>
      <c r="B1351" s="1">
        <v>46197</v>
      </c>
      <c r="C1351" t="s">
        <v>64</v>
      </c>
      <c r="D1351">
        <v>1232</v>
      </c>
      <c r="E1351">
        <v>1</v>
      </c>
      <c r="F1351">
        <v>4.3</v>
      </c>
      <c r="G1351" t="s">
        <v>17</v>
      </c>
      <c r="I1351" t="str">
        <f t="shared" si="22"/>
        <v>1232_1</v>
      </c>
      <c r="J1351" t="s">
        <v>241</v>
      </c>
      <c r="K1351" t="s">
        <v>179</v>
      </c>
      <c r="L1351" t="str">
        <f>_xlfn.XLOOKUP(C1351, Table2[Species],Table2[Genus], "Code Not Found")</f>
        <v>Fagus</v>
      </c>
      <c r="M1351" t="str">
        <f>_xlfn.XLOOKUP(C1351, Table2[Species],Table2[Sp. Name], "Code Not Found")</f>
        <v>grandifolia</v>
      </c>
      <c r="N1351" t="str">
        <f>_xlfn.XLOOKUP(C1351,Table2[Species],Table2[Family],"Code Not Found")</f>
        <v>Fagaceae</v>
      </c>
      <c r="O1351" t="str" cm="1">
        <f t="array" ref="O1351">_xlfn.IFS(F1351="","",F1351&lt;=5,"0 to 5",F1351&lt;=10,"5.1 to 10",F1351&lt;=20,"10 to 20", F1351&lt;= 40, "20 to 40", F1351 &lt;= 50, "40 to 50", F1351 &gt; 50, "&gt;50" )</f>
        <v>0 to 5</v>
      </c>
    </row>
    <row r="1352" spans="1:15" ht="14.4" x14ac:dyDescent="0.3">
      <c r="A1352" t="s">
        <v>240</v>
      </c>
      <c r="B1352" s="1">
        <v>46197</v>
      </c>
      <c r="C1352" t="s">
        <v>64</v>
      </c>
      <c r="D1352">
        <v>1233</v>
      </c>
      <c r="E1352">
        <v>1</v>
      </c>
      <c r="F1352">
        <v>2.8</v>
      </c>
      <c r="G1352" t="s">
        <v>17</v>
      </c>
      <c r="I1352" t="str">
        <f t="shared" si="22"/>
        <v>1233_1</v>
      </c>
      <c r="J1352" t="s">
        <v>241</v>
      </c>
      <c r="K1352" t="s">
        <v>179</v>
      </c>
      <c r="L1352" t="str">
        <f>_xlfn.XLOOKUP(C1352, Table2[Species],Table2[Genus], "Code Not Found")</f>
        <v>Fagus</v>
      </c>
      <c r="M1352" t="str">
        <f>_xlfn.XLOOKUP(C1352, Table2[Species],Table2[Sp. Name], "Code Not Found")</f>
        <v>grandifolia</v>
      </c>
      <c r="N1352" t="str">
        <f>_xlfn.XLOOKUP(C1352,Table2[Species],Table2[Family],"Code Not Found")</f>
        <v>Fagaceae</v>
      </c>
      <c r="O1352" t="str" cm="1">
        <f t="array" ref="O1352">_xlfn.IFS(F1352="","",F1352&lt;=5,"0 to 5",F1352&lt;=10,"5.1 to 10",F1352&lt;=20,"10 to 20", F1352&lt;= 40, "20 to 40", F1352 &lt;= 50, "40 to 50", F1352 &gt; 50, "&gt;50" )</f>
        <v>0 to 5</v>
      </c>
    </row>
    <row r="1353" spans="1:15" ht="14.4" x14ac:dyDescent="0.3">
      <c r="A1353" t="s">
        <v>240</v>
      </c>
      <c r="B1353" s="1">
        <v>46197</v>
      </c>
      <c r="C1353" t="s">
        <v>64</v>
      </c>
      <c r="D1353">
        <v>1234</v>
      </c>
      <c r="E1353">
        <v>1</v>
      </c>
      <c r="F1353">
        <v>9.4</v>
      </c>
      <c r="G1353" t="s">
        <v>32</v>
      </c>
      <c r="I1353" t="str">
        <f t="shared" si="22"/>
        <v>1234_1</v>
      </c>
      <c r="J1353" t="s">
        <v>241</v>
      </c>
      <c r="K1353" t="s">
        <v>179</v>
      </c>
      <c r="L1353" t="str">
        <f>_xlfn.XLOOKUP(C1353, Table2[Species],Table2[Genus], "Code Not Found")</f>
        <v>Fagus</v>
      </c>
      <c r="M1353" t="str">
        <f>_xlfn.XLOOKUP(C1353, Table2[Species],Table2[Sp. Name], "Code Not Found")</f>
        <v>grandifolia</v>
      </c>
      <c r="N1353" t="str">
        <f>_xlfn.XLOOKUP(C1353,Table2[Species],Table2[Family],"Code Not Found")</f>
        <v>Fagaceae</v>
      </c>
      <c r="O1353" t="str" cm="1">
        <f t="array" ref="O1353">_xlfn.IFS(F1353="","",F1353&lt;=5,"0 to 5",F1353&lt;=10,"5.1 to 10",F1353&lt;=20,"10 to 20", F1353&lt;= 40, "20 to 40", F1353 &lt;= 50, "40 to 50", F1353 &gt; 50, "&gt;50" )</f>
        <v>5.1 to 10</v>
      </c>
    </row>
    <row r="1354" spans="1:15" ht="14.4" x14ac:dyDescent="0.3">
      <c r="A1354" t="s">
        <v>240</v>
      </c>
      <c r="B1354" s="1">
        <v>46197</v>
      </c>
      <c r="C1354" t="s">
        <v>64</v>
      </c>
      <c r="D1354">
        <v>1234</v>
      </c>
      <c r="E1354">
        <v>2</v>
      </c>
      <c r="F1354">
        <v>1.1000000000000001</v>
      </c>
      <c r="G1354" t="s">
        <v>32</v>
      </c>
      <c r="I1354" t="str">
        <f t="shared" si="22"/>
        <v>1234_2</v>
      </c>
      <c r="J1354" t="s">
        <v>241</v>
      </c>
      <c r="K1354" t="s">
        <v>179</v>
      </c>
      <c r="L1354" t="str">
        <f>_xlfn.XLOOKUP(C1354, Table2[Species],Table2[Genus], "Code Not Found")</f>
        <v>Fagus</v>
      </c>
      <c r="M1354" t="str">
        <f>_xlfn.XLOOKUP(C1354, Table2[Species],Table2[Sp. Name], "Code Not Found")</f>
        <v>grandifolia</v>
      </c>
      <c r="N1354" t="str">
        <f>_xlfn.XLOOKUP(C1354,Table2[Species],Table2[Family],"Code Not Found")</f>
        <v>Fagaceae</v>
      </c>
      <c r="O1354" t="str" cm="1">
        <f t="array" ref="O1354">_xlfn.IFS(F1354="","",F1354&lt;=5,"0 to 5",F1354&lt;=10,"5.1 to 10",F1354&lt;=20,"10 to 20", F1354&lt;= 40, "20 to 40", F1354 &lt;= 50, "40 to 50", F1354 &gt; 50, "&gt;50" )</f>
        <v>0 to 5</v>
      </c>
    </row>
    <row r="1355" spans="1:15" ht="14.4" x14ac:dyDescent="0.3">
      <c r="A1355" t="s">
        <v>240</v>
      </c>
      <c r="B1355" s="1">
        <v>46197</v>
      </c>
      <c r="C1355" t="s">
        <v>64</v>
      </c>
      <c r="D1355">
        <v>1235</v>
      </c>
      <c r="E1355">
        <v>1</v>
      </c>
      <c r="F1355">
        <v>1.3</v>
      </c>
      <c r="G1355" t="s">
        <v>47</v>
      </c>
      <c r="H1355" t="s">
        <v>43</v>
      </c>
      <c r="I1355" t="str">
        <f t="shared" si="22"/>
        <v>1235_1</v>
      </c>
      <c r="J1355" t="s">
        <v>241</v>
      </c>
      <c r="K1355" t="s">
        <v>179</v>
      </c>
      <c r="L1355" t="str">
        <f>_xlfn.XLOOKUP(C1355, Table2[Species],Table2[Genus], "Code Not Found")</f>
        <v>Fagus</v>
      </c>
      <c r="M1355" t="str">
        <f>_xlfn.XLOOKUP(C1355, Table2[Species],Table2[Sp. Name], "Code Not Found")</f>
        <v>grandifolia</v>
      </c>
      <c r="N1355" t="str">
        <f>_xlfn.XLOOKUP(C1355,Table2[Species],Table2[Family],"Code Not Found")</f>
        <v>Fagaceae</v>
      </c>
      <c r="O1355" t="str" cm="1">
        <f t="array" ref="O1355">_xlfn.IFS(F1355="","",F1355&lt;=5,"0 to 5",F1355&lt;=10,"5.1 to 10",F1355&lt;=20,"10 to 20", F1355&lt;= 40, "20 to 40", F1355 &lt;= 50, "40 to 50", F1355 &gt; 50, "&gt;50" )</f>
        <v>0 to 5</v>
      </c>
    </row>
    <row r="1356" spans="1:15" ht="14.4" x14ac:dyDescent="0.3">
      <c r="A1356" t="s">
        <v>240</v>
      </c>
      <c r="B1356" s="1">
        <v>46197</v>
      </c>
      <c r="C1356" t="s">
        <v>64</v>
      </c>
      <c r="D1356">
        <v>1236</v>
      </c>
      <c r="E1356">
        <v>1</v>
      </c>
      <c r="F1356">
        <v>1.2</v>
      </c>
      <c r="G1356" t="s">
        <v>47</v>
      </c>
      <c r="H1356" t="s">
        <v>43</v>
      </c>
      <c r="I1356" t="str">
        <f t="shared" si="22"/>
        <v>1236_1</v>
      </c>
      <c r="J1356" t="s">
        <v>241</v>
      </c>
      <c r="K1356" t="s">
        <v>179</v>
      </c>
      <c r="L1356" t="str">
        <f>_xlfn.XLOOKUP(C1356, Table2[Species],Table2[Genus], "Code Not Found")</f>
        <v>Fagus</v>
      </c>
      <c r="M1356" t="str">
        <f>_xlfn.XLOOKUP(C1356, Table2[Species],Table2[Sp. Name], "Code Not Found")</f>
        <v>grandifolia</v>
      </c>
      <c r="N1356" t="str">
        <f>_xlfn.XLOOKUP(C1356,Table2[Species],Table2[Family],"Code Not Found")</f>
        <v>Fagaceae</v>
      </c>
      <c r="O1356" t="str" cm="1">
        <f t="array" ref="O1356">_xlfn.IFS(F1356="","",F1356&lt;=5,"0 to 5",F1356&lt;=10,"5.1 to 10",F1356&lt;=20,"10 to 20", F1356&lt;= 40, "20 to 40", F1356 &lt;= 50, "40 to 50", F1356 &gt; 50, "&gt;50" )</f>
        <v>0 to 5</v>
      </c>
    </row>
    <row r="1357" spans="1:15" ht="14.4" x14ac:dyDescent="0.3">
      <c r="A1357" t="s">
        <v>240</v>
      </c>
      <c r="B1357" s="1">
        <v>46197</v>
      </c>
      <c r="C1357" t="s">
        <v>16</v>
      </c>
      <c r="D1357">
        <v>1237</v>
      </c>
      <c r="E1357">
        <v>1</v>
      </c>
      <c r="F1357">
        <v>13</v>
      </c>
      <c r="G1357" t="s">
        <v>83</v>
      </c>
      <c r="I1357" t="str">
        <f t="shared" si="22"/>
        <v>1237_1</v>
      </c>
      <c r="J1357" t="s">
        <v>241</v>
      </c>
      <c r="K1357" t="s">
        <v>179</v>
      </c>
      <c r="L1357" t="str">
        <f>_xlfn.XLOOKUP(C1357, Table2[Species],Table2[Genus], "Code Not Found")</f>
        <v>Acer</v>
      </c>
      <c r="M1357" t="str">
        <f>_xlfn.XLOOKUP(C1357, Table2[Species],Table2[Sp. Name], "Code Not Found")</f>
        <v>saccharum</v>
      </c>
      <c r="N1357" t="str">
        <f>_xlfn.XLOOKUP(C1357,Table2[Species],Table2[Family],"Code Not Found")</f>
        <v>Sapindaceae</v>
      </c>
      <c r="O1357" t="str" cm="1">
        <f t="array" ref="O1357">_xlfn.IFS(F1357="","",F1357&lt;=5,"0 to 5",F1357&lt;=10,"5.1 to 10",F1357&lt;=20,"10 to 20", F1357&lt;= 40, "20 to 40", F1357 &lt;= 50, "40 to 50", F1357 &gt; 50, "&gt;50" )</f>
        <v>10 to 20</v>
      </c>
    </row>
    <row r="1358" spans="1:15" ht="14.4" x14ac:dyDescent="0.3">
      <c r="A1358" t="s">
        <v>240</v>
      </c>
      <c r="B1358" s="1">
        <v>46197</v>
      </c>
      <c r="C1358" t="s">
        <v>16</v>
      </c>
      <c r="D1358">
        <v>1238</v>
      </c>
      <c r="E1358">
        <v>1</v>
      </c>
      <c r="F1358">
        <v>3.1</v>
      </c>
      <c r="G1358" t="s">
        <v>83</v>
      </c>
      <c r="I1358" t="str">
        <f t="shared" si="22"/>
        <v>1238_1</v>
      </c>
      <c r="J1358" t="s">
        <v>241</v>
      </c>
      <c r="K1358" t="s">
        <v>179</v>
      </c>
      <c r="L1358" t="str">
        <f>_xlfn.XLOOKUP(C1358, Table2[Species],Table2[Genus], "Code Not Found")</f>
        <v>Acer</v>
      </c>
      <c r="M1358" t="str">
        <f>_xlfn.XLOOKUP(C1358, Table2[Species],Table2[Sp. Name], "Code Not Found")</f>
        <v>saccharum</v>
      </c>
      <c r="N1358" t="str">
        <f>_xlfn.XLOOKUP(C1358,Table2[Species],Table2[Family],"Code Not Found")</f>
        <v>Sapindaceae</v>
      </c>
      <c r="O1358" t="str" cm="1">
        <f t="array" ref="O1358">_xlfn.IFS(F1358="","",F1358&lt;=5,"0 to 5",F1358&lt;=10,"5.1 to 10",F1358&lt;=20,"10 to 20", F1358&lt;= 40, "20 to 40", F1358 &lt;= 50, "40 to 50", F1358 &gt; 50, "&gt;50" )</f>
        <v>0 to 5</v>
      </c>
    </row>
    <row r="1359" spans="1:15" ht="14.4" x14ac:dyDescent="0.3">
      <c r="A1359" t="s">
        <v>240</v>
      </c>
      <c r="B1359" s="1">
        <v>46197</v>
      </c>
      <c r="C1359" t="s">
        <v>16</v>
      </c>
      <c r="D1359">
        <v>1239</v>
      </c>
      <c r="E1359">
        <v>1</v>
      </c>
      <c r="F1359">
        <v>15.5</v>
      </c>
      <c r="G1359" t="s">
        <v>21</v>
      </c>
      <c r="I1359" t="str">
        <f t="shared" si="22"/>
        <v>1239_1</v>
      </c>
      <c r="J1359" t="s">
        <v>241</v>
      </c>
      <c r="K1359" t="s">
        <v>179</v>
      </c>
      <c r="L1359" t="str">
        <f>_xlfn.XLOOKUP(C1359, Table2[Species],Table2[Genus], "Code Not Found")</f>
        <v>Acer</v>
      </c>
      <c r="M1359" t="str">
        <f>_xlfn.XLOOKUP(C1359, Table2[Species],Table2[Sp. Name], "Code Not Found")</f>
        <v>saccharum</v>
      </c>
      <c r="N1359" t="str">
        <f>_xlfn.XLOOKUP(C1359,Table2[Species],Table2[Family],"Code Not Found")</f>
        <v>Sapindaceae</v>
      </c>
      <c r="O1359" t="str" cm="1">
        <f t="array" ref="O1359">_xlfn.IFS(F1359="","",F1359&lt;=5,"0 to 5",F1359&lt;=10,"5.1 to 10",F1359&lt;=20,"10 to 20", F1359&lt;= 40, "20 to 40", F1359 &lt;= 50, "40 to 50", F1359 &gt; 50, "&gt;50" )</f>
        <v>10 to 20</v>
      </c>
    </row>
    <row r="1360" spans="1:15" ht="14.4" x14ac:dyDescent="0.3">
      <c r="A1360" t="s">
        <v>240</v>
      </c>
      <c r="B1360" s="1">
        <v>46197</v>
      </c>
      <c r="C1360" t="s">
        <v>64</v>
      </c>
      <c r="D1360">
        <v>1270</v>
      </c>
      <c r="E1360">
        <v>1</v>
      </c>
      <c r="F1360">
        <v>6.3</v>
      </c>
      <c r="G1360" t="s">
        <v>17</v>
      </c>
      <c r="H1360" t="s">
        <v>284</v>
      </c>
      <c r="I1360" t="str">
        <f t="shared" si="22"/>
        <v>1270_1</v>
      </c>
      <c r="J1360" t="s">
        <v>241</v>
      </c>
      <c r="K1360" t="s">
        <v>179</v>
      </c>
      <c r="L1360" t="str">
        <f>_xlfn.XLOOKUP(C1360, Table2[Species],Table2[Genus], "Code Not Found")</f>
        <v>Fagus</v>
      </c>
      <c r="M1360" t="str">
        <f>_xlfn.XLOOKUP(C1360, Table2[Species],Table2[Sp. Name], "Code Not Found")</f>
        <v>grandifolia</v>
      </c>
      <c r="N1360" t="str">
        <f>_xlfn.XLOOKUP(C1360,Table2[Species],Table2[Family],"Code Not Found")</f>
        <v>Fagaceae</v>
      </c>
      <c r="O1360" t="str" cm="1">
        <f t="array" ref="O1360">_xlfn.IFS(F1360="","",F1360&lt;=5,"0 to 5",F1360&lt;=10,"5.1 to 10",F1360&lt;=20,"10 to 20", F1360&lt;= 40, "20 to 40", F1360 &lt;= 50, "40 to 50", F1360 &gt; 50, "&gt;50" )</f>
        <v>5.1 to 10</v>
      </c>
    </row>
    <row r="1361" spans="1:15" ht="14.4" x14ac:dyDescent="0.3">
      <c r="A1361" t="s">
        <v>240</v>
      </c>
      <c r="B1361" s="1">
        <v>46197</v>
      </c>
      <c r="C1361" t="s">
        <v>16</v>
      </c>
      <c r="D1361">
        <v>1271</v>
      </c>
      <c r="E1361">
        <v>1</v>
      </c>
      <c r="F1361">
        <v>22</v>
      </c>
      <c r="G1361" t="s">
        <v>103</v>
      </c>
      <c r="H1361" t="s">
        <v>285</v>
      </c>
      <c r="I1361" t="str">
        <f t="shared" si="22"/>
        <v>1271_1</v>
      </c>
      <c r="J1361" t="s">
        <v>241</v>
      </c>
      <c r="K1361" t="s">
        <v>179</v>
      </c>
      <c r="L1361" t="str">
        <f>_xlfn.XLOOKUP(C1361, Table2[Species],Table2[Genus], "Code Not Found")</f>
        <v>Acer</v>
      </c>
      <c r="M1361" t="str">
        <f>_xlfn.XLOOKUP(C1361, Table2[Species],Table2[Sp. Name], "Code Not Found")</f>
        <v>saccharum</v>
      </c>
      <c r="N1361" t="str">
        <f>_xlfn.XLOOKUP(C1361,Table2[Species],Table2[Family],"Code Not Found")</f>
        <v>Sapindaceae</v>
      </c>
      <c r="O1361" t="str" cm="1">
        <f t="array" ref="O1361">_xlfn.IFS(F1361="","",F1361&lt;=5,"0 to 5",F1361&lt;=10,"5.1 to 10",F1361&lt;=20,"10 to 20", F1361&lt;= 40, "20 to 40", F1361 &lt;= 50, "40 to 50", F1361 &gt; 50, "&gt;50" )</f>
        <v>20 to 40</v>
      </c>
    </row>
    <row r="1362" spans="1:15" ht="14.4" x14ac:dyDescent="0.3">
      <c r="A1362" t="s">
        <v>240</v>
      </c>
      <c r="B1362" s="1">
        <v>46197</v>
      </c>
      <c r="C1362" t="s">
        <v>16</v>
      </c>
      <c r="D1362">
        <v>1240</v>
      </c>
      <c r="E1362">
        <v>1</v>
      </c>
      <c r="F1362">
        <v>5.2</v>
      </c>
      <c r="G1362" t="s">
        <v>17</v>
      </c>
      <c r="I1362" t="str">
        <f t="shared" si="22"/>
        <v>1240_1</v>
      </c>
      <c r="J1362" t="s">
        <v>241</v>
      </c>
      <c r="K1362" t="s">
        <v>179</v>
      </c>
      <c r="L1362" t="str">
        <f>_xlfn.XLOOKUP(C1362, Table2[Species],Table2[Genus], "Code Not Found")</f>
        <v>Acer</v>
      </c>
      <c r="M1362" t="str">
        <f>_xlfn.XLOOKUP(C1362, Table2[Species],Table2[Sp. Name], "Code Not Found")</f>
        <v>saccharum</v>
      </c>
      <c r="N1362" t="str">
        <f>_xlfn.XLOOKUP(C1362,Table2[Species],Table2[Family],"Code Not Found")</f>
        <v>Sapindaceae</v>
      </c>
      <c r="O1362" t="str" cm="1">
        <f t="array" ref="O1362">_xlfn.IFS(F1362="","",F1362&lt;=5,"0 to 5",F1362&lt;=10,"5.1 to 10",F1362&lt;=20,"10 to 20", F1362&lt;= 40, "20 to 40", F1362 &lt;= 50, "40 to 50", F1362 &gt; 50, "&gt;50" )</f>
        <v>5.1 to 10</v>
      </c>
    </row>
    <row r="1363" spans="1:15" ht="14.4" x14ac:dyDescent="0.3">
      <c r="A1363" t="s">
        <v>240</v>
      </c>
      <c r="B1363" s="1">
        <v>46197</v>
      </c>
      <c r="C1363" t="s">
        <v>16</v>
      </c>
      <c r="D1363">
        <v>1241</v>
      </c>
      <c r="E1363">
        <v>1</v>
      </c>
      <c r="F1363">
        <v>4</v>
      </c>
      <c r="G1363" t="s">
        <v>21</v>
      </c>
      <c r="I1363" t="str">
        <f t="shared" si="22"/>
        <v>1241_1</v>
      </c>
      <c r="J1363" t="s">
        <v>241</v>
      </c>
      <c r="K1363" t="s">
        <v>179</v>
      </c>
      <c r="L1363" t="str">
        <f>_xlfn.XLOOKUP(C1363, Table2[Species],Table2[Genus], "Code Not Found")</f>
        <v>Acer</v>
      </c>
      <c r="M1363" t="str">
        <f>_xlfn.XLOOKUP(C1363, Table2[Species],Table2[Sp. Name], "Code Not Found")</f>
        <v>saccharum</v>
      </c>
      <c r="N1363" t="str">
        <f>_xlfn.XLOOKUP(C1363,Table2[Species],Table2[Family],"Code Not Found")</f>
        <v>Sapindaceae</v>
      </c>
      <c r="O1363" t="str" cm="1">
        <f t="array" ref="O1363">_xlfn.IFS(F1363="","",F1363&lt;=5,"0 to 5",F1363&lt;=10,"5.1 to 10",F1363&lt;=20,"10 to 20", F1363&lt;= 40, "20 to 40", F1363 &lt;= 50, "40 to 50", F1363 &gt; 50, "&gt;50" )</f>
        <v>0 to 5</v>
      </c>
    </row>
    <row r="1364" spans="1:15" ht="14.4" x14ac:dyDescent="0.3">
      <c r="A1364" t="s">
        <v>240</v>
      </c>
      <c r="B1364" s="1">
        <v>46197</v>
      </c>
      <c r="C1364" t="s">
        <v>64</v>
      </c>
      <c r="D1364">
        <v>1242</v>
      </c>
      <c r="E1364">
        <v>1</v>
      </c>
      <c r="F1364">
        <v>6.5</v>
      </c>
      <c r="G1364" t="s">
        <v>47</v>
      </c>
      <c r="I1364" t="str">
        <f t="shared" si="22"/>
        <v>1242_1</v>
      </c>
      <c r="J1364" t="s">
        <v>241</v>
      </c>
      <c r="K1364" t="s">
        <v>179</v>
      </c>
      <c r="L1364" t="str">
        <f>_xlfn.XLOOKUP(C1364, Table2[Species],Table2[Genus], "Code Not Found")</f>
        <v>Fagus</v>
      </c>
      <c r="M1364" t="str">
        <f>_xlfn.XLOOKUP(C1364, Table2[Species],Table2[Sp. Name], "Code Not Found")</f>
        <v>grandifolia</v>
      </c>
      <c r="N1364" t="str">
        <f>_xlfn.XLOOKUP(C1364,Table2[Species],Table2[Family],"Code Not Found")</f>
        <v>Fagaceae</v>
      </c>
      <c r="O1364" t="str" cm="1">
        <f t="array" ref="O1364">_xlfn.IFS(F1364="","",F1364&lt;=5,"0 to 5",F1364&lt;=10,"5.1 to 10",F1364&lt;=20,"10 to 20", F1364&lt;= 40, "20 to 40", F1364 &lt;= 50, "40 to 50", F1364 &gt; 50, "&gt;50" )</f>
        <v>5.1 to 10</v>
      </c>
    </row>
    <row r="1365" spans="1:15" ht="14.4" x14ac:dyDescent="0.3">
      <c r="A1365" t="s">
        <v>240</v>
      </c>
      <c r="B1365" s="1">
        <v>46197</v>
      </c>
      <c r="C1365" t="s">
        <v>64</v>
      </c>
      <c r="D1365">
        <v>1243</v>
      </c>
      <c r="E1365">
        <v>1</v>
      </c>
      <c r="F1365">
        <v>8.5</v>
      </c>
      <c r="G1365" t="s">
        <v>17</v>
      </c>
      <c r="I1365" t="str">
        <f t="shared" si="22"/>
        <v>1243_1</v>
      </c>
      <c r="J1365" t="s">
        <v>241</v>
      </c>
      <c r="K1365" t="s">
        <v>179</v>
      </c>
      <c r="L1365" t="str">
        <f>_xlfn.XLOOKUP(C1365, Table2[Species],Table2[Genus], "Code Not Found")</f>
        <v>Fagus</v>
      </c>
      <c r="M1365" t="str">
        <f>_xlfn.XLOOKUP(C1365, Table2[Species],Table2[Sp. Name], "Code Not Found")</f>
        <v>grandifolia</v>
      </c>
      <c r="N1365" t="str">
        <f>_xlfn.XLOOKUP(C1365,Table2[Species],Table2[Family],"Code Not Found")</f>
        <v>Fagaceae</v>
      </c>
      <c r="O1365" t="str" cm="1">
        <f t="array" ref="O1365">_xlfn.IFS(F1365="","",F1365&lt;=5,"0 to 5",F1365&lt;=10,"5.1 to 10",F1365&lt;=20,"10 to 20", F1365&lt;= 40, "20 to 40", F1365 &lt;= 50, "40 to 50", F1365 &gt; 50, "&gt;50" )</f>
        <v>5.1 to 10</v>
      </c>
    </row>
    <row r="1366" spans="1:15" ht="14.4" x14ac:dyDescent="0.3">
      <c r="A1366" t="s">
        <v>240</v>
      </c>
      <c r="B1366" s="1">
        <v>46197</v>
      </c>
      <c r="C1366" t="s">
        <v>16</v>
      </c>
      <c r="D1366">
        <v>1244</v>
      </c>
      <c r="E1366">
        <v>1</v>
      </c>
      <c r="F1366">
        <v>7.9</v>
      </c>
      <c r="G1366" t="s">
        <v>47</v>
      </c>
      <c r="I1366" t="str">
        <f t="shared" si="22"/>
        <v>1244_1</v>
      </c>
      <c r="J1366" t="s">
        <v>241</v>
      </c>
      <c r="K1366" t="s">
        <v>179</v>
      </c>
      <c r="L1366" t="str">
        <f>_xlfn.XLOOKUP(C1366, Table2[Species],Table2[Genus], "Code Not Found")</f>
        <v>Acer</v>
      </c>
      <c r="M1366" t="str">
        <f>_xlfn.XLOOKUP(C1366, Table2[Species],Table2[Sp. Name], "Code Not Found")</f>
        <v>saccharum</v>
      </c>
      <c r="N1366" t="str">
        <f>_xlfn.XLOOKUP(C1366,Table2[Species],Table2[Family],"Code Not Found")</f>
        <v>Sapindaceae</v>
      </c>
      <c r="O1366" t="str" cm="1">
        <f t="array" ref="O1366">_xlfn.IFS(F1366="","",F1366&lt;=5,"0 to 5",F1366&lt;=10,"5.1 to 10",F1366&lt;=20,"10 to 20", F1366&lt;= 40, "20 to 40", F1366 &lt;= 50, "40 to 50", F1366 &gt; 50, "&gt;50" )</f>
        <v>5.1 to 10</v>
      </c>
    </row>
    <row r="1367" spans="1:15" ht="14.4" x14ac:dyDescent="0.3">
      <c r="A1367" t="s">
        <v>240</v>
      </c>
      <c r="B1367" s="1">
        <v>46197</v>
      </c>
      <c r="C1367" t="s">
        <v>16</v>
      </c>
      <c r="D1367">
        <v>1245</v>
      </c>
      <c r="E1367">
        <v>1</v>
      </c>
      <c r="F1367">
        <v>34.299999999999997</v>
      </c>
      <c r="G1367" t="s">
        <v>56</v>
      </c>
      <c r="I1367" t="str">
        <f t="shared" si="22"/>
        <v>1245_1</v>
      </c>
      <c r="J1367" t="s">
        <v>241</v>
      </c>
      <c r="K1367" t="s">
        <v>179</v>
      </c>
      <c r="L1367" t="str">
        <f>_xlfn.XLOOKUP(C1367, Table2[Species],Table2[Genus], "Code Not Found")</f>
        <v>Acer</v>
      </c>
      <c r="M1367" t="str">
        <f>_xlfn.XLOOKUP(C1367, Table2[Species],Table2[Sp. Name], "Code Not Found")</f>
        <v>saccharum</v>
      </c>
      <c r="N1367" t="str">
        <f>_xlfn.XLOOKUP(C1367,Table2[Species],Table2[Family],"Code Not Found")</f>
        <v>Sapindaceae</v>
      </c>
      <c r="O1367" t="str" cm="1">
        <f t="array" ref="O1367">_xlfn.IFS(F1367="","",F1367&lt;=5,"0 to 5",F1367&lt;=10,"5.1 to 10",F1367&lt;=20,"10 to 20", F1367&lt;= 40, "20 to 40", F1367 &lt;= 50, "40 to 50", F1367 &gt; 50, "&gt;50" )</f>
        <v>20 to 40</v>
      </c>
    </row>
    <row r="1368" spans="1:15" ht="14.4" x14ac:dyDescent="0.3">
      <c r="A1368" t="s">
        <v>240</v>
      </c>
      <c r="B1368" s="1">
        <v>46197</v>
      </c>
      <c r="C1368" t="s">
        <v>16</v>
      </c>
      <c r="D1368">
        <v>1246</v>
      </c>
      <c r="E1368">
        <v>1</v>
      </c>
      <c r="F1368">
        <v>4.4000000000000004</v>
      </c>
      <c r="G1368" t="s">
        <v>21</v>
      </c>
      <c r="I1368" t="str">
        <f t="shared" si="22"/>
        <v>1246_1</v>
      </c>
      <c r="J1368" t="s">
        <v>241</v>
      </c>
      <c r="K1368" t="s">
        <v>179</v>
      </c>
      <c r="L1368" t="str">
        <f>_xlfn.XLOOKUP(C1368, Table2[Species],Table2[Genus], "Code Not Found")</f>
        <v>Acer</v>
      </c>
      <c r="M1368" t="str">
        <f>_xlfn.XLOOKUP(C1368, Table2[Species],Table2[Sp. Name], "Code Not Found")</f>
        <v>saccharum</v>
      </c>
      <c r="N1368" t="str">
        <f>_xlfn.XLOOKUP(C1368,Table2[Species],Table2[Family],"Code Not Found")</f>
        <v>Sapindaceae</v>
      </c>
      <c r="O1368" t="str" cm="1">
        <f t="array" ref="O1368">_xlfn.IFS(F1368="","",F1368&lt;=5,"0 to 5",F1368&lt;=10,"5.1 to 10",F1368&lt;=20,"10 to 20", F1368&lt;= 40, "20 to 40", F1368 &lt;= 50, "40 to 50", F1368 &gt; 50, "&gt;50" )</f>
        <v>0 to 5</v>
      </c>
    </row>
    <row r="1369" spans="1:15" ht="14.4" x14ac:dyDescent="0.3">
      <c r="A1369" t="s">
        <v>240</v>
      </c>
      <c r="B1369" s="1">
        <v>46197</v>
      </c>
      <c r="C1369" t="s">
        <v>16</v>
      </c>
      <c r="D1369">
        <v>1247</v>
      </c>
      <c r="E1369">
        <v>1</v>
      </c>
      <c r="F1369">
        <v>14.3</v>
      </c>
      <c r="G1369" t="s">
        <v>21</v>
      </c>
      <c r="I1369" t="str">
        <f t="shared" si="22"/>
        <v>1247_1</v>
      </c>
      <c r="J1369" t="s">
        <v>241</v>
      </c>
      <c r="K1369" t="s">
        <v>179</v>
      </c>
      <c r="L1369" t="str">
        <f>_xlfn.XLOOKUP(C1369, Table2[Species],Table2[Genus], "Code Not Found")</f>
        <v>Acer</v>
      </c>
      <c r="M1369" t="str">
        <f>_xlfn.XLOOKUP(C1369, Table2[Species],Table2[Sp. Name], "Code Not Found")</f>
        <v>saccharum</v>
      </c>
      <c r="N1369" t="str">
        <f>_xlfn.XLOOKUP(C1369,Table2[Species],Table2[Family],"Code Not Found")</f>
        <v>Sapindaceae</v>
      </c>
      <c r="O1369" t="str" cm="1">
        <f t="array" ref="O1369">_xlfn.IFS(F1369="","",F1369&lt;=5,"0 to 5",F1369&lt;=10,"5.1 to 10",F1369&lt;=20,"10 to 20", F1369&lt;= 40, "20 to 40", F1369 &lt;= 50, "40 to 50", F1369 &gt; 50, "&gt;50" )</f>
        <v>10 to 20</v>
      </c>
    </row>
    <row r="1370" spans="1:15" ht="14.4" x14ac:dyDescent="0.3">
      <c r="A1370" t="s">
        <v>240</v>
      </c>
      <c r="B1370" s="1">
        <v>46197</v>
      </c>
      <c r="C1370" t="s">
        <v>16</v>
      </c>
      <c r="D1370">
        <v>1248</v>
      </c>
      <c r="E1370">
        <v>1</v>
      </c>
      <c r="F1370">
        <v>23</v>
      </c>
      <c r="G1370" t="s">
        <v>17</v>
      </c>
      <c r="I1370" t="str">
        <f t="shared" si="22"/>
        <v>1248_1</v>
      </c>
      <c r="J1370" t="s">
        <v>241</v>
      </c>
      <c r="K1370" t="s">
        <v>179</v>
      </c>
      <c r="L1370" t="str">
        <f>_xlfn.XLOOKUP(C1370, Table2[Species],Table2[Genus], "Code Not Found")</f>
        <v>Acer</v>
      </c>
      <c r="M1370" t="str">
        <f>_xlfn.XLOOKUP(C1370, Table2[Species],Table2[Sp. Name], "Code Not Found")</f>
        <v>saccharum</v>
      </c>
      <c r="N1370" t="str">
        <f>_xlfn.XLOOKUP(C1370,Table2[Species],Table2[Family],"Code Not Found")</f>
        <v>Sapindaceae</v>
      </c>
      <c r="O1370" t="str" cm="1">
        <f t="array" ref="O1370">_xlfn.IFS(F1370="","",F1370&lt;=5,"0 to 5",F1370&lt;=10,"5.1 to 10",F1370&lt;=20,"10 to 20", F1370&lt;= 40, "20 to 40", F1370 &lt;= 50, "40 to 50", F1370 &gt; 50, "&gt;50" )</f>
        <v>20 to 40</v>
      </c>
    </row>
    <row r="1371" spans="1:15" ht="14.4" x14ac:dyDescent="0.3">
      <c r="A1371" t="s">
        <v>240</v>
      </c>
      <c r="B1371" s="1">
        <v>46197</v>
      </c>
      <c r="C1371" t="s">
        <v>64</v>
      </c>
      <c r="D1371">
        <v>1249</v>
      </c>
      <c r="E1371">
        <v>1</v>
      </c>
      <c r="F1371">
        <v>8.8000000000000007</v>
      </c>
      <c r="G1371" t="s">
        <v>17</v>
      </c>
      <c r="I1371" t="str">
        <f t="shared" si="22"/>
        <v>1249_1</v>
      </c>
      <c r="J1371" t="s">
        <v>241</v>
      </c>
      <c r="K1371" t="s">
        <v>179</v>
      </c>
      <c r="L1371" t="str">
        <f>_xlfn.XLOOKUP(C1371, Table2[Species],Table2[Genus], "Code Not Found")</f>
        <v>Fagus</v>
      </c>
      <c r="M1371" t="str">
        <f>_xlfn.XLOOKUP(C1371, Table2[Species],Table2[Sp. Name], "Code Not Found")</f>
        <v>grandifolia</v>
      </c>
      <c r="N1371" t="str">
        <f>_xlfn.XLOOKUP(C1371,Table2[Species],Table2[Family],"Code Not Found")</f>
        <v>Fagaceae</v>
      </c>
      <c r="O1371" t="str" cm="1">
        <f t="array" ref="O1371">_xlfn.IFS(F1371="","",F1371&lt;=5,"0 to 5",F1371&lt;=10,"5.1 to 10",F1371&lt;=20,"10 to 20", F1371&lt;= 40, "20 to 40", F1371 &lt;= 50, "40 to 50", F1371 &gt; 50, "&gt;50" )</f>
        <v>5.1 to 10</v>
      </c>
    </row>
    <row r="1372" spans="1:15" ht="14.4" x14ac:dyDescent="0.3">
      <c r="A1372" t="s">
        <v>240</v>
      </c>
      <c r="B1372" s="1">
        <v>46197</v>
      </c>
      <c r="C1372" t="s">
        <v>64</v>
      </c>
      <c r="D1372">
        <v>1250</v>
      </c>
      <c r="E1372">
        <v>1</v>
      </c>
      <c r="F1372">
        <v>9</v>
      </c>
      <c r="G1372" t="s">
        <v>17</v>
      </c>
      <c r="I1372" t="str">
        <f t="shared" si="22"/>
        <v>1250_1</v>
      </c>
      <c r="J1372" t="s">
        <v>241</v>
      </c>
      <c r="K1372" t="s">
        <v>179</v>
      </c>
      <c r="L1372" t="str">
        <f>_xlfn.XLOOKUP(C1372, Table2[Species],Table2[Genus], "Code Not Found")</f>
        <v>Fagus</v>
      </c>
      <c r="M1372" t="str">
        <f>_xlfn.XLOOKUP(C1372, Table2[Species],Table2[Sp. Name], "Code Not Found")</f>
        <v>grandifolia</v>
      </c>
      <c r="N1372" t="str">
        <f>_xlfn.XLOOKUP(C1372,Table2[Species],Table2[Family],"Code Not Found")</f>
        <v>Fagaceae</v>
      </c>
      <c r="O1372" t="str" cm="1">
        <f t="array" ref="O1372">_xlfn.IFS(F1372="","",F1372&lt;=5,"0 to 5",F1372&lt;=10,"5.1 to 10",F1372&lt;=20,"10 to 20", F1372&lt;= 40, "20 to 40", F1372 &lt;= 50, "40 to 50", F1372 &gt; 50, "&gt;50" )</f>
        <v>5.1 to 10</v>
      </c>
    </row>
    <row r="1373" spans="1:15" ht="14.4" x14ac:dyDescent="0.3">
      <c r="A1373" t="s">
        <v>240</v>
      </c>
      <c r="B1373" s="1">
        <v>46197</v>
      </c>
      <c r="C1373" t="s">
        <v>64</v>
      </c>
      <c r="D1373">
        <v>1251</v>
      </c>
      <c r="E1373">
        <v>1</v>
      </c>
      <c r="F1373">
        <v>5.8</v>
      </c>
      <c r="G1373" t="s">
        <v>17</v>
      </c>
      <c r="I1373" t="str">
        <f t="shared" si="22"/>
        <v>1251_1</v>
      </c>
      <c r="J1373" t="s">
        <v>241</v>
      </c>
      <c r="K1373" t="s">
        <v>179</v>
      </c>
      <c r="L1373" t="str">
        <f>_xlfn.XLOOKUP(C1373, Table2[Species],Table2[Genus], "Code Not Found")</f>
        <v>Fagus</v>
      </c>
      <c r="M1373" t="str">
        <f>_xlfn.XLOOKUP(C1373, Table2[Species],Table2[Sp. Name], "Code Not Found")</f>
        <v>grandifolia</v>
      </c>
      <c r="N1373" t="str">
        <f>_xlfn.XLOOKUP(C1373,Table2[Species],Table2[Family],"Code Not Found")</f>
        <v>Fagaceae</v>
      </c>
      <c r="O1373" t="str" cm="1">
        <f t="array" ref="O1373">_xlfn.IFS(F1373="","",F1373&lt;=5,"0 to 5",F1373&lt;=10,"5.1 to 10",F1373&lt;=20,"10 to 20", F1373&lt;= 40, "20 to 40", F1373 &lt;= 50, "40 to 50", F1373 &gt; 50, "&gt;50" )</f>
        <v>5.1 to 10</v>
      </c>
    </row>
    <row r="1374" spans="1:15" ht="14.4" x14ac:dyDescent="0.3">
      <c r="A1374" t="s">
        <v>240</v>
      </c>
      <c r="B1374" s="1">
        <v>46197</v>
      </c>
      <c r="C1374" t="s">
        <v>16</v>
      </c>
      <c r="D1374">
        <v>1252</v>
      </c>
      <c r="E1374">
        <v>1</v>
      </c>
      <c r="F1374">
        <v>11.3</v>
      </c>
      <c r="G1374" t="s">
        <v>21</v>
      </c>
      <c r="I1374" t="str">
        <f t="shared" si="22"/>
        <v>1252_1</v>
      </c>
      <c r="J1374" t="s">
        <v>241</v>
      </c>
      <c r="K1374" t="s">
        <v>179</v>
      </c>
      <c r="L1374" t="str">
        <f>_xlfn.XLOOKUP(C1374, Table2[Species],Table2[Genus], "Code Not Found")</f>
        <v>Acer</v>
      </c>
      <c r="M1374" t="str">
        <f>_xlfn.XLOOKUP(C1374, Table2[Species],Table2[Sp. Name], "Code Not Found")</f>
        <v>saccharum</v>
      </c>
      <c r="N1374" t="str">
        <f>_xlfn.XLOOKUP(C1374,Table2[Species],Table2[Family],"Code Not Found")</f>
        <v>Sapindaceae</v>
      </c>
      <c r="O1374" t="str" cm="1">
        <f t="array" ref="O1374">_xlfn.IFS(F1374="","",F1374&lt;=5,"0 to 5",F1374&lt;=10,"5.1 to 10",F1374&lt;=20,"10 to 20", F1374&lt;= 40, "20 to 40", F1374 &lt;= 50, "40 to 50", F1374 &gt; 50, "&gt;50" )</f>
        <v>10 to 20</v>
      </c>
    </row>
    <row r="1375" spans="1:15" ht="14.4" x14ac:dyDescent="0.3">
      <c r="A1375" t="s">
        <v>240</v>
      </c>
      <c r="B1375" s="1">
        <v>46197</v>
      </c>
      <c r="C1375" t="s">
        <v>16</v>
      </c>
      <c r="D1375">
        <v>1253</v>
      </c>
      <c r="E1375">
        <v>1</v>
      </c>
      <c r="F1375">
        <v>25.2</v>
      </c>
      <c r="G1375" t="s">
        <v>21</v>
      </c>
      <c r="I1375" t="str">
        <f t="shared" si="22"/>
        <v>1253_1</v>
      </c>
      <c r="J1375" t="s">
        <v>241</v>
      </c>
      <c r="K1375" t="s">
        <v>179</v>
      </c>
      <c r="L1375" t="str">
        <f>_xlfn.XLOOKUP(C1375, Table2[Species],Table2[Genus], "Code Not Found")</f>
        <v>Acer</v>
      </c>
      <c r="M1375" t="str">
        <f>_xlfn.XLOOKUP(C1375, Table2[Species],Table2[Sp. Name], "Code Not Found")</f>
        <v>saccharum</v>
      </c>
      <c r="N1375" t="str">
        <f>_xlfn.XLOOKUP(C1375,Table2[Species],Table2[Family],"Code Not Found")</f>
        <v>Sapindaceae</v>
      </c>
      <c r="O1375" t="str" cm="1">
        <f t="array" ref="O1375">_xlfn.IFS(F1375="","",F1375&lt;=5,"0 to 5",F1375&lt;=10,"5.1 to 10",F1375&lt;=20,"10 to 20", F1375&lt;= 40, "20 to 40", F1375 &lt;= 50, "40 to 50", F1375 &gt; 50, "&gt;50" )</f>
        <v>20 to 40</v>
      </c>
    </row>
    <row r="1376" spans="1:15" ht="14.4" x14ac:dyDescent="0.3">
      <c r="A1376" t="s">
        <v>240</v>
      </c>
      <c r="B1376" s="1">
        <v>46197</v>
      </c>
      <c r="C1376" t="s">
        <v>64</v>
      </c>
      <c r="D1376">
        <v>1254</v>
      </c>
      <c r="E1376">
        <v>1</v>
      </c>
      <c r="F1376">
        <v>5.6</v>
      </c>
      <c r="G1376" t="s">
        <v>17</v>
      </c>
      <c r="I1376" t="str">
        <f t="shared" si="22"/>
        <v>1254_1</v>
      </c>
      <c r="J1376" t="s">
        <v>241</v>
      </c>
      <c r="K1376" t="s">
        <v>179</v>
      </c>
      <c r="L1376" t="str">
        <f>_xlfn.XLOOKUP(C1376, Table2[Species],Table2[Genus], "Code Not Found")</f>
        <v>Fagus</v>
      </c>
      <c r="M1376" t="str">
        <f>_xlfn.XLOOKUP(C1376, Table2[Species],Table2[Sp. Name], "Code Not Found")</f>
        <v>grandifolia</v>
      </c>
      <c r="N1376" t="str">
        <f>_xlfn.XLOOKUP(C1376,Table2[Species],Table2[Family],"Code Not Found")</f>
        <v>Fagaceae</v>
      </c>
      <c r="O1376" t="str" cm="1">
        <f t="array" ref="O1376">_xlfn.IFS(F1376="","",F1376&lt;=5,"0 to 5",F1376&lt;=10,"5.1 to 10",F1376&lt;=20,"10 to 20", F1376&lt;= 40, "20 to 40", F1376 &lt;= 50, "40 to 50", F1376 &gt; 50, "&gt;50" )</f>
        <v>5.1 to 10</v>
      </c>
    </row>
    <row r="1377" spans="1:15" ht="14.4" x14ac:dyDescent="0.3">
      <c r="A1377" t="s">
        <v>240</v>
      </c>
      <c r="B1377" s="1">
        <v>46197</v>
      </c>
      <c r="C1377" t="s">
        <v>22</v>
      </c>
      <c r="D1377">
        <v>1255</v>
      </c>
      <c r="E1377">
        <v>1</v>
      </c>
      <c r="F1377">
        <v>51.3</v>
      </c>
      <c r="G1377" t="s">
        <v>103</v>
      </c>
      <c r="I1377" t="str">
        <f t="shared" si="22"/>
        <v>1255_1</v>
      </c>
      <c r="J1377" t="s">
        <v>241</v>
      </c>
      <c r="K1377" t="s">
        <v>179</v>
      </c>
      <c r="L1377" t="str">
        <f>_xlfn.XLOOKUP(C1377, Table2[Species],Table2[Genus], "Code Not Found")</f>
        <v>Acer</v>
      </c>
      <c r="M1377" t="str">
        <f>_xlfn.XLOOKUP(C1377, Table2[Species],Table2[Sp. Name], "Code Not Found")</f>
        <v>rubrum</v>
      </c>
      <c r="N1377" t="str">
        <f>_xlfn.XLOOKUP(C1377,Table2[Species],Table2[Family],"Code Not Found")</f>
        <v>Sapindaceae</v>
      </c>
      <c r="O1377" t="str" cm="1">
        <f t="array" ref="O1377">_xlfn.IFS(F1377="","",F1377&lt;=5,"0 to 5",F1377&lt;=10,"5.1 to 10",F1377&lt;=20,"10 to 20", F1377&lt;= 40, "20 to 40", F1377 &lt;= 50, "40 to 50", F1377 &gt; 50, "&gt;50" )</f>
        <v>&gt;50</v>
      </c>
    </row>
    <row r="1378" spans="1:15" ht="14.4" x14ac:dyDescent="0.3">
      <c r="A1378" t="s">
        <v>240</v>
      </c>
      <c r="B1378" s="1">
        <v>46197</v>
      </c>
      <c r="C1378" t="s">
        <v>16</v>
      </c>
      <c r="D1378">
        <v>1256</v>
      </c>
      <c r="E1378">
        <v>1</v>
      </c>
      <c r="F1378">
        <v>4.3</v>
      </c>
      <c r="G1378" t="s">
        <v>47</v>
      </c>
      <c r="H1378" t="s">
        <v>43</v>
      </c>
      <c r="I1378" t="str">
        <f t="shared" si="22"/>
        <v>1256_1</v>
      </c>
      <c r="J1378" t="s">
        <v>241</v>
      </c>
      <c r="K1378" t="s">
        <v>179</v>
      </c>
      <c r="L1378" t="str">
        <f>_xlfn.XLOOKUP(C1378, Table2[Species],Table2[Genus], "Code Not Found")</f>
        <v>Acer</v>
      </c>
      <c r="M1378" t="str">
        <f>_xlfn.XLOOKUP(C1378, Table2[Species],Table2[Sp. Name], "Code Not Found")</f>
        <v>saccharum</v>
      </c>
      <c r="N1378" t="str">
        <f>_xlfn.XLOOKUP(C1378,Table2[Species],Table2[Family],"Code Not Found")</f>
        <v>Sapindaceae</v>
      </c>
      <c r="O1378" t="str" cm="1">
        <f t="array" ref="O1378">_xlfn.IFS(F1378="","",F1378&lt;=5,"0 to 5",F1378&lt;=10,"5.1 to 10",F1378&lt;=20,"10 to 20", F1378&lt;= 40, "20 to 40", F1378 &lt;= 50, "40 to 50", F1378 &gt; 50, "&gt;50" )</f>
        <v>0 to 5</v>
      </c>
    </row>
    <row r="1379" spans="1:15" ht="14.4" x14ac:dyDescent="0.3">
      <c r="A1379" t="s">
        <v>240</v>
      </c>
      <c r="B1379" s="1">
        <v>46197</v>
      </c>
      <c r="C1379" t="s">
        <v>16</v>
      </c>
      <c r="D1379">
        <v>1257</v>
      </c>
      <c r="E1379">
        <v>1</v>
      </c>
      <c r="F1379">
        <v>37.799999999999997</v>
      </c>
      <c r="G1379" t="s">
        <v>21</v>
      </c>
      <c r="I1379" t="str">
        <f t="shared" si="22"/>
        <v>1257_1</v>
      </c>
      <c r="J1379" t="s">
        <v>241</v>
      </c>
      <c r="K1379" t="s">
        <v>179</v>
      </c>
      <c r="L1379" t="str">
        <f>_xlfn.XLOOKUP(C1379, Table2[Species],Table2[Genus], "Code Not Found")</f>
        <v>Acer</v>
      </c>
      <c r="M1379" t="str">
        <f>_xlfn.XLOOKUP(C1379, Table2[Species],Table2[Sp. Name], "Code Not Found")</f>
        <v>saccharum</v>
      </c>
      <c r="N1379" t="str">
        <f>_xlfn.XLOOKUP(C1379,Table2[Species],Table2[Family],"Code Not Found")</f>
        <v>Sapindaceae</v>
      </c>
      <c r="O1379" t="str" cm="1">
        <f t="array" ref="O1379">_xlfn.IFS(F1379="","",F1379&lt;=5,"0 to 5",F1379&lt;=10,"5.1 to 10",F1379&lt;=20,"10 to 20", F1379&lt;= 40, "20 to 40", F1379 &lt;= 50, "40 to 50", F1379 &gt; 50, "&gt;50" )</f>
        <v>20 to 40</v>
      </c>
    </row>
    <row r="1380" spans="1:15" ht="14.4" x14ac:dyDescent="0.3">
      <c r="A1380" t="s">
        <v>240</v>
      </c>
      <c r="B1380" s="1">
        <v>46197</v>
      </c>
      <c r="C1380" t="s">
        <v>16</v>
      </c>
      <c r="D1380">
        <v>1258</v>
      </c>
      <c r="E1380">
        <v>1</v>
      </c>
      <c r="F1380">
        <v>8.1999999999999993</v>
      </c>
      <c r="G1380" t="s">
        <v>21</v>
      </c>
      <c r="I1380" t="str">
        <f t="shared" si="22"/>
        <v>1258_1</v>
      </c>
      <c r="J1380" t="s">
        <v>241</v>
      </c>
      <c r="K1380" t="s">
        <v>179</v>
      </c>
      <c r="L1380" t="str">
        <f>_xlfn.XLOOKUP(C1380, Table2[Species],Table2[Genus], "Code Not Found")</f>
        <v>Acer</v>
      </c>
      <c r="M1380" t="str">
        <f>_xlfn.XLOOKUP(C1380, Table2[Species],Table2[Sp. Name], "Code Not Found")</f>
        <v>saccharum</v>
      </c>
      <c r="N1380" t="str">
        <f>_xlfn.XLOOKUP(C1380,Table2[Species],Table2[Family],"Code Not Found")</f>
        <v>Sapindaceae</v>
      </c>
      <c r="O1380" t="str" cm="1">
        <f t="array" ref="O1380">_xlfn.IFS(F1380="","",F1380&lt;=5,"0 to 5",F1380&lt;=10,"5.1 to 10",F1380&lt;=20,"10 to 20", F1380&lt;= 40, "20 to 40", F1380 &lt;= 50, "40 to 50", F1380 &gt; 50, "&gt;50" )</f>
        <v>5.1 to 10</v>
      </c>
    </row>
    <row r="1381" spans="1:15" ht="14.4" x14ac:dyDescent="0.3">
      <c r="A1381" t="s">
        <v>240</v>
      </c>
      <c r="B1381" s="1">
        <v>46198</v>
      </c>
      <c r="C1381" t="s">
        <v>16</v>
      </c>
      <c r="D1381">
        <v>1259</v>
      </c>
      <c r="E1381">
        <v>1</v>
      </c>
      <c r="F1381">
        <v>57.5</v>
      </c>
      <c r="G1381" t="s">
        <v>17</v>
      </c>
      <c r="I1381" t="str">
        <f t="shared" si="22"/>
        <v>1259_1</v>
      </c>
      <c r="J1381" t="s">
        <v>241</v>
      </c>
      <c r="K1381" t="s">
        <v>179</v>
      </c>
      <c r="L1381" t="str">
        <f>_xlfn.XLOOKUP(C1381, Table2[Species],Table2[Genus], "Code Not Found")</f>
        <v>Acer</v>
      </c>
      <c r="M1381" t="str">
        <f>_xlfn.XLOOKUP(C1381, Table2[Species],Table2[Sp. Name], "Code Not Found")</f>
        <v>saccharum</v>
      </c>
      <c r="N1381" t="str">
        <f>_xlfn.XLOOKUP(C1381,Table2[Species],Table2[Family],"Code Not Found")</f>
        <v>Sapindaceae</v>
      </c>
      <c r="O1381" t="str" cm="1">
        <f t="array" ref="O1381">_xlfn.IFS(F1381="","",F1381&lt;=5,"0 to 5",F1381&lt;=10,"5.1 to 10",F1381&lt;=20,"10 to 20", F1381&lt;= 40, "20 to 40", F1381 &lt;= 50, "40 to 50", F1381 &gt; 50, "&gt;50" )</f>
        <v>&gt;50</v>
      </c>
    </row>
    <row r="1382" spans="1:15" ht="14.4" x14ac:dyDescent="0.3">
      <c r="A1382" t="s">
        <v>240</v>
      </c>
      <c r="B1382" s="1">
        <v>46198</v>
      </c>
      <c r="C1382" t="s">
        <v>16</v>
      </c>
      <c r="D1382">
        <v>1260</v>
      </c>
      <c r="E1382">
        <v>1</v>
      </c>
      <c r="F1382">
        <v>5.2</v>
      </c>
      <c r="G1382" t="s">
        <v>47</v>
      </c>
      <c r="H1382" t="s">
        <v>286</v>
      </c>
      <c r="I1382" t="str">
        <f t="shared" si="22"/>
        <v>1260_1</v>
      </c>
      <c r="J1382" t="s">
        <v>241</v>
      </c>
      <c r="K1382" t="s">
        <v>179</v>
      </c>
      <c r="L1382" t="str">
        <f>_xlfn.XLOOKUP(C1382, Table2[Species],Table2[Genus], "Code Not Found")</f>
        <v>Acer</v>
      </c>
      <c r="M1382" t="str">
        <f>_xlfn.XLOOKUP(C1382, Table2[Species],Table2[Sp. Name], "Code Not Found")</f>
        <v>saccharum</v>
      </c>
      <c r="N1382" t="str">
        <f>_xlfn.XLOOKUP(C1382,Table2[Species],Table2[Family],"Code Not Found")</f>
        <v>Sapindaceae</v>
      </c>
      <c r="O1382" t="str" cm="1">
        <f t="array" ref="O1382">_xlfn.IFS(F1382="","",F1382&lt;=5,"0 to 5",F1382&lt;=10,"5.1 to 10",F1382&lt;=20,"10 to 20", F1382&lt;= 40, "20 to 40", F1382 &lt;= 50, "40 to 50", F1382 &gt; 50, "&gt;50" )</f>
        <v>5.1 to 10</v>
      </c>
    </row>
    <row r="1383" spans="1:15" ht="14.4" x14ac:dyDescent="0.3">
      <c r="A1383" t="s">
        <v>240</v>
      </c>
      <c r="B1383" s="1">
        <v>46198</v>
      </c>
      <c r="C1383" t="s">
        <v>16</v>
      </c>
      <c r="D1383">
        <v>1261</v>
      </c>
      <c r="E1383">
        <v>1</v>
      </c>
      <c r="F1383">
        <v>4.3</v>
      </c>
      <c r="G1383" t="s">
        <v>47</v>
      </c>
      <c r="H1383" t="s">
        <v>43</v>
      </c>
      <c r="I1383" t="str">
        <f t="shared" si="22"/>
        <v>1261_1</v>
      </c>
      <c r="J1383" t="s">
        <v>241</v>
      </c>
      <c r="K1383" t="s">
        <v>179</v>
      </c>
      <c r="L1383" t="str">
        <f>_xlfn.XLOOKUP(C1383, Table2[Species],Table2[Genus], "Code Not Found")</f>
        <v>Acer</v>
      </c>
      <c r="M1383" t="str">
        <f>_xlfn.XLOOKUP(C1383, Table2[Species],Table2[Sp. Name], "Code Not Found")</f>
        <v>saccharum</v>
      </c>
      <c r="N1383" t="str">
        <f>_xlfn.XLOOKUP(C1383,Table2[Species],Table2[Family],"Code Not Found")</f>
        <v>Sapindaceae</v>
      </c>
      <c r="O1383" t="str" cm="1">
        <f t="array" ref="O1383">_xlfn.IFS(F1383="","",F1383&lt;=5,"0 to 5",F1383&lt;=10,"5.1 to 10",F1383&lt;=20,"10 to 20", F1383&lt;= 40, "20 to 40", F1383 &lt;= 50, "40 to 50", F1383 &gt; 50, "&gt;50" )</f>
        <v>0 to 5</v>
      </c>
    </row>
    <row r="1384" spans="1:15" ht="14.4" x14ac:dyDescent="0.3">
      <c r="A1384" t="s">
        <v>240</v>
      </c>
      <c r="B1384" s="1">
        <v>46198</v>
      </c>
      <c r="C1384" t="s">
        <v>16</v>
      </c>
      <c r="D1384">
        <v>1262</v>
      </c>
      <c r="E1384">
        <v>1</v>
      </c>
      <c r="F1384">
        <v>9.6</v>
      </c>
      <c r="G1384" t="s">
        <v>30</v>
      </c>
      <c r="H1384" t="s">
        <v>287</v>
      </c>
      <c r="I1384" t="str">
        <f t="shared" si="22"/>
        <v>1262_1</v>
      </c>
      <c r="J1384" t="s">
        <v>241</v>
      </c>
      <c r="K1384" t="s">
        <v>179</v>
      </c>
      <c r="L1384" t="str">
        <f>_xlfn.XLOOKUP(C1384, Table2[Species],Table2[Genus], "Code Not Found")</f>
        <v>Acer</v>
      </c>
      <c r="M1384" t="str">
        <f>_xlfn.XLOOKUP(C1384, Table2[Species],Table2[Sp. Name], "Code Not Found")</f>
        <v>saccharum</v>
      </c>
      <c r="N1384" t="str">
        <f>_xlfn.XLOOKUP(C1384,Table2[Species],Table2[Family],"Code Not Found")</f>
        <v>Sapindaceae</v>
      </c>
      <c r="O1384" t="str" cm="1">
        <f t="array" ref="O1384">_xlfn.IFS(F1384="","",F1384&lt;=5,"0 to 5",F1384&lt;=10,"5.1 to 10",F1384&lt;=20,"10 to 20", F1384&lt;= 40, "20 to 40", F1384 &lt;= 50, "40 to 50", F1384 &gt; 50, "&gt;50" )</f>
        <v>5.1 to 10</v>
      </c>
    </row>
    <row r="1385" spans="1:15" ht="14.4" x14ac:dyDescent="0.3">
      <c r="A1385" t="s">
        <v>240</v>
      </c>
      <c r="B1385" s="1">
        <v>46198</v>
      </c>
      <c r="C1385" t="s">
        <v>16</v>
      </c>
      <c r="D1385">
        <v>1263</v>
      </c>
      <c r="E1385">
        <v>1</v>
      </c>
      <c r="F1385">
        <v>6.8</v>
      </c>
      <c r="G1385" t="s">
        <v>88</v>
      </c>
      <c r="H1385" t="s">
        <v>288</v>
      </c>
      <c r="I1385" t="str">
        <f t="shared" si="22"/>
        <v>1263_1</v>
      </c>
      <c r="J1385" t="s">
        <v>241</v>
      </c>
      <c r="K1385" t="s">
        <v>179</v>
      </c>
      <c r="L1385" t="str">
        <f>_xlfn.XLOOKUP(C1385, Table2[Species],Table2[Genus], "Code Not Found")</f>
        <v>Acer</v>
      </c>
      <c r="M1385" t="str">
        <f>_xlfn.XLOOKUP(C1385, Table2[Species],Table2[Sp. Name], "Code Not Found")</f>
        <v>saccharum</v>
      </c>
      <c r="N1385" t="str">
        <f>_xlfn.XLOOKUP(C1385,Table2[Species],Table2[Family],"Code Not Found")</f>
        <v>Sapindaceae</v>
      </c>
      <c r="O1385" t="str" cm="1">
        <f t="array" ref="O1385">_xlfn.IFS(F1385="","",F1385&lt;=5,"0 to 5",F1385&lt;=10,"5.1 to 10",F1385&lt;=20,"10 to 20", F1385&lt;= 40, "20 to 40", F1385 &lt;= 50, "40 to 50", F1385 &gt; 50, "&gt;50" )</f>
        <v>5.1 to 10</v>
      </c>
    </row>
    <row r="1386" spans="1:15" ht="14.4" x14ac:dyDescent="0.3">
      <c r="A1386" t="s">
        <v>240</v>
      </c>
      <c r="B1386" s="1">
        <v>46198</v>
      </c>
      <c r="C1386" t="s">
        <v>16</v>
      </c>
      <c r="D1386">
        <v>1264</v>
      </c>
      <c r="E1386">
        <v>1</v>
      </c>
      <c r="F1386">
        <v>6</v>
      </c>
      <c r="G1386" t="s">
        <v>88</v>
      </c>
      <c r="H1386" t="s">
        <v>287</v>
      </c>
      <c r="I1386" t="str">
        <f t="shared" si="22"/>
        <v>1264_1</v>
      </c>
      <c r="J1386" t="s">
        <v>241</v>
      </c>
      <c r="K1386" t="s">
        <v>179</v>
      </c>
      <c r="L1386" t="str">
        <f>_xlfn.XLOOKUP(C1386, Table2[Species],Table2[Genus], "Code Not Found")</f>
        <v>Acer</v>
      </c>
      <c r="M1386" t="str">
        <f>_xlfn.XLOOKUP(C1386, Table2[Species],Table2[Sp. Name], "Code Not Found")</f>
        <v>saccharum</v>
      </c>
      <c r="N1386" t="str">
        <f>_xlfn.XLOOKUP(C1386,Table2[Species],Table2[Family],"Code Not Found")</f>
        <v>Sapindaceae</v>
      </c>
      <c r="O1386" t="str" cm="1">
        <f t="array" ref="O1386">_xlfn.IFS(F1386="","",F1386&lt;=5,"0 to 5",F1386&lt;=10,"5.1 to 10",F1386&lt;=20,"10 to 20", F1386&lt;= 40, "20 to 40", F1386 &lt;= 50, "40 to 50", F1386 &gt; 50, "&gt;50" )</f>
        <v>5.1 to 10</v>
      </c>
    </row>
    <row r="1387" spans="1:15" ht="14.4" x14ac:dyDescent="0.3">
      <c r="A1387" t="s">
        <v>240</v>
      </c>
      <c r="B1387" s="1">
        <v>46198</v>
      </c>
      <c r="C1387" t="s">
        <v>16</v>
      </c>
      <c r="D1387">
        <v>1265</v>
      </c>
      <c r="E1387">
        <v>1</v>
      </c>
      <c r="F1387">
        <v>11.1</v>
      </c>
      <c r="G1387" t="s">
        <v>17</v>
      </c>
      <c r="I1387" t="str">
        <f t="shared" si="22"/>
        <v>1265_1</v>
      </c>
      <c r="J1387" t="s">
        <v>241</v>
      </c>
      <c r="K1387" t="s">
        <v>179</v>
      </c>
      <c r="L1387" t="str">
        <f>_xlfn.XLOOKUP(C1387, Table2[Species],Table2[Genus], "Code Not Found")</f>
        <v>Acer</v>
      </c>
      <c r="M1387" t="str">
        <f>_xlfn.XLOOKUP(C1387, Table2[Species],Table2[Sp. Name], "Code Not Found")</f>
        <v>saccharum</v>
      </c>
      <c r="N1387" t="str">
        <f>_xlfn.XLOOKUP(C1387,Table2[Species],Table2[Family],"Code Not Found")</f>
        <v>Sapindaceae</v>
      </c>
      <c r="O1387" t="str" cm="1">
        <f t="array" ref="O1387">_xlfn.IFS(F1387="","",F1387&lt;=5,"0 to 5",F1387&lt;=10,"5.1 to 10",F1387&lt;=20,"10 to 20", F1387&lt;= 40, "20 to 40", F1387 &lt;= 50, "40 to 50", F1387 &gt; 50, "&gt;50" )</f>
        <v>10 to 20</v>
      </c>
    </row>
    <row r="1388" spans="1:15" ht="14.4" x14ac:dyDescent="0.3">
      <c r="A1388" t="s">
        <v>240</v>
      </c>
      <c r="B1388" s="1">
        <v>46198</v>
      </c>
      <c r="C1388" t="s">
        <v>16</v>
      </c>
      <c r="D1388">
        <v>1266</v>
      </c>
      <c r="E1388">
        <v>1</v>
      </c>
      <c r="F1388">
        <v>8.1</v>
      </c>
      <c r="G1388" t="s">
        <v>17</v>
      </c>
      <c r="I1388" t="str">
        <f t="shared" si="22"/>
        <v>1266_1</v>
      </c>
      <c r="J1388" t="s">
        <v>241</v>
      </c>
      <c r="K1388" t="s">
        <v>179</v>
      </c>
      <c r="L1388" t="str">
        <f>_xlfn.XLOOKUP(C1388, Table2[Species],Table2[Genus], "Code Not Found")</f>
        <v>Acer</v>
      </c>
      <c r="M1388" t="str">
        <f>_xlfn.XLOOKUP(C1388, Table2[Species],Table2[Sp. Name], "Code Not Found")</f>
        <v>saccharum</v>
      </c>
      <c r="N1388" t="str">
        <f>_xlfn.XLOOKUP(C1388,Table2[Species],Table2[Family],"Code Not Found")</f>
        <v>Sapindaceae</v>
      </c>
      <c r="O1388" t="str" cm="1">
        <f t="array" ref="O1388">_xlfn.IFS(F1388="","",F1388&lt;=5,"0 to 5",F1388&lt;=10,"5.1 to 10",F1388&lt;=20,"10 to 20", F1388&lt;= 40, "20 to 40", F1388 &lt;= 50, "40 to 50", F1388 &gt; 50, "&gt;50" )</f>
        <v>5.1 to 10</v>
      </c>
    </row>
    <row r="1389" spans="1:15" ht="14.4" x14ac:dyDescent="0.3">
      <c r="A1389" t="s">
        <v>240</v>
      </c>
      <c r="B1389" s="1">
        <v>46198</v>
      </c>
      <c r="C1389" t="s">
        <v>16</v>
      </c>
      <c r="D1389">
        <v>1267</v>
      </c>
      <c r="E1389">
        <v>1</v>
      </c>
      <c r="F1389">
        <v>5</v>
      </c>
      <c r="G1389" t="s">
        <v>289</v>
      </c>
      <c r="I1389" t="str">
        <f t="shared" si="22"/>
        <v>1267_1</v>
      </c>
      <c r="J1389" t="s">
        <v>241</v>
      </c>
      <c r="K1389" t="s">
        <v>179</v>
      </c>
      <c r="L1389" t="str">
        <f>_xlfn.XLOOKUP(C1389, Table2[Species],Table2[Genus], "Code Not Found")</f>
        <v>Acer</v>
      </c>
      <c r="M1389" t="str">
        <f>_xlfn.XLOOKUP(C1389, Table2[Species],Table2[Sp. Name], "Code Not Found")</f>
        <v>saccharum</v>
      </c>
      <c r="N1389" t="str">
        <f>_xlfn.XLOOKUP(C1389,Table2[Species],Table2[Family],"Code Not Found")</f>
        <v>Sapindaceae</v>
      </c>
      <c r="O1389" t="str" cm="1">
        <f t="array" ref="O1389">_xlfn.IFS(F1389="","",F1389&lt;=5,"0 to 5",F1389&lt;=10,"5.1 to 10",F1389&lt;=20,"10 to 20", F1389&lt;= 40, "20 to 40", F1389 &lt;= 50, "40 to 50", F1389 &gt; 50, "&gt;50" )</f>
        <v>0 to 5</v>
      </c>
    </row>
    <row r="1390" spans="1:15" ht="14.4" x14ac:dyDescent="0.3">
      <c r="A1390" t="s">
        <v>240</v>
      </c>
      <c r="B1390" s="1">
        <v>46198</v>
      </c>
      <c r="C1390" t="s">
        <v>16</v>
      </c>
      <c r="D1390">
        <v>1268</v>
      </c>
      <c r="E1390">
        <v>1</v>
      </c>
      <c r="F1390">
        <v>5.0999999999999996</v>
      </c>
      <c r="G1390" t="s">
        <v>17</v>
      </c>
      <c r="H1390" t="s">
        <v>290</v>
      </c>
      <c r="I1390" t="str">
        <f t="shared" si="22"/>
        <v>1268_1</v>
      </c>
      <c r="J1390" t="s">
        <v>241</v>
      </c>
      <c r="K1390" t="s">
        <v>179</v>
      </c>
      <c r="L1390" t="str">
        <f>_xlfn.XLOOKUP(C1390, Table2[Species],Table2[Genus], "Code Not Found")</f>
        <v>Acer</v>
      </c>
      <c r="M1390" t="str">
        <f>_xlfn.XLOOKUP(C1390, Table2[Species],Table2[Sp. Name], "Code Not Found")</f>
        <v>saccharum</v>
      </c>
      <c r="N1390" t="str">
        <f>_xlfn.XLOOKUP(C1390,Table2[Species],Table2[Family],"Code Not Found")</f>
        <v>Sapindaceae</v>
      </c>
      <c r="O1390" t="str" cm="1">
        <f t="array" ref="O1390">_xlfn.IFS(F1390="","",F1390&lt;=5,"0 to 5",F1390&lt;=10,"5.1 to 10",F1390&lt;=20,"10 to 20", F1390&lt;= 40, "20 to 40", F1390 &lt;= 50, "40 to 50", F1390 &gt; 50, "&gt;50" )</f>
        <v>5.1 to 10</v>
      </c>
    </row>
    <row r="1391" spans="1:15" ht="14.4" x14ac:dyDescent="0.3">
      <c r="A1391" t="s">
        <v>240</v>
      </c>
      <c r="B1391" s="1">
        <v>46198</v>
      </c>
      <c r="C1391" t="s">
        <v>20</v>
      </c>
      <c r="D1391">
        <v>1269</v>
      </c>
      <c r="E1391">
        <v>1</v>
      </c>
      <c r="F1391">
        <v>6.9</v>
      </c>
      <c r="G1391" t="s">
        <v>17</v>
      </c>
      <c r="I1391" t="str">
        <f t="shared" ref="I1391:I1426" si="23">D1391&amp;"_"&amp;E1391</f>
        <v>1269_1</v>
      </c>
      <c r="J1391" t="s">
        <v>241</v>
      </c>
      <c r="K1391" t="s">
        <v>179</v>
      </c>
      <c r="L1391" t="str">
        <f>_xlfn.XLOOKUP(C1391, Table2[Species],Table2[Genus], "Code Not Found")</f>
        <v>Prunus</v>
      </c>
      <c r="M1391" t="str">
        <f>_xlfn.XLOOKUP(C1391, Table2[Species],Table2[Sp. Name], "Code Not Found")</f>
        <v>serotina</v>
      </c>
      <c r="N1391" t="str">
        <f>_xlfn.XLOOKUP(C1391,Table2[Species],Table2[Family],"Code Not Found")</f>
        <v>Rosaceae</v>
      </c>
      <c r="O1391" t="str" cm="1">
        <f t="array" ref="O1391">_xlfn.IFS(F1391="","",F1391&lt;=5,"0 to 5",F1391&lt;=10,"5.1 to 10",F1391&lt;=20,"10 to 20", F1391&lt;= 40, "20 to 40", F1391 &lt;= 50, "40 to 50", F1391 &gt; 50, "&gt;50" )</f>
        <v>5.1 to 10</v>
      </c>
    </row>
    <row r="1392" spans="1:15" ht="14.4" x14ac:dyDescent="0.3">
      <c r="A1392" t="s">
        <v>240</v>
      </c>
      <c r="B1392" s="1">
        <v>46198</v>
      </c>
      <c r="C1392" t="s">
        <v>16</v>
      </c>
      <c r="D1392">
        <v>1272</v>
      </c>
      <c r="E1392">
        <v>1</v>
      </c>
      <c r="F1392">
        <v>11</v>
      </c>
      <c r="G1392" t="s">
        <v>21</v>
      </c>
      <c r="H1392" t="s">
        <v>291</v>
      </c>
      <c r="I1392" t="str">
        <f t="shared" si="23"/>
        <v>1272_1</v>
      </c>
      <c r="J1392" t="s">
        <v>241</v>
      </c>
      <c r="K1392" t="s">
        <v>179</v>
      </c>
      <c r="L1392" t="str">
        <f>_xlfn.XLOOKUP(C1392, Table2[Species],Table2[Genus], "Code Not Found")</f>
        <v>Acer</v>
      </c>
      <c r="M1392" t="str">
        <f>_xlfn.XLOOKUP(C1392, Table2[Species],Table2[Sp. Name], "Code Not Found")</f>
        <v>saccharum</v>
      </c>
      <c r="N1392" t="str">
        <f>_xlfn.XLOOKUP(C1392,Table2[Species],Table2[Family],"Code Not Found")</f>
        <v>Sapindaceae</v>
      </c>
      <c r="O1392" t="str" cm="1">
        <f t="array" ref="O1392">_xlfn.IFS(F1392="","",F1392&lt;=5,"0 to 5",F1392&lt;=10,"5.1 to 10",F1392&lt;=20,"10 to 20", F1392&lt;= 40, "20 to 40", F1392 &lt;= 50, "40 to 50", F1392 &gt; 50, "&gt;50" )</f>
        <v>10 to 20</v>
      </c>
    </row>
    <row r="1393" spans="1:15" ht="14.4" x14ac:dyDescent="0.3">
      <c r="A1393" t="s">
        <v>240</v>
      </c>
      <c r="B1393" s="1">
        <v>46198</v>
      </c>
      <c r="C1393" t="s">
        <v>16</v>
      </c>
      <c r="D1393">
        <v>1273</v>
      </c>
      <c r="E1393">
        <v>1</v>
      </c>
      <c r="F1393">
        <v>3.1</v>
      </c>
      <c r="G1393" t="s">
        <v>88</v>
      </c>
      <c r="H1393" t="s">
        <v>110</v>
      </c>
      <c r="I1393" t="str">
        <f t="shared" si="23"/>
        <v>1273_1</v>
      </c>
      <c r="J1393" t="s">
        <v>241</v>
      </c>
      <c r="K1393" t="s">
        <v>179</v>
      </c>
      <c r="L1393" t="str">
        <f>_xlfn.XLOOKUP(C1393, Table2[Species],Table2[Genus], "Code Not Found")</f>
        <v>Acer</v>
      </c>
      <c r="M1393" t="str">
        <f>_xlfn.XLOOKUP(C1393, Table2[Species],Table2[Sp. Name], "Code Not Found")</f>
        <v>saccharum</v>
      </c>
      <c r="N1393" t="str">
        <f>_xlfn.XLOOKUP(C1393,Table2[Species],Table2[Family],"Code Not Found")</f>
        <v>Sapindaceae</v>
      </c>
      <c r="O1393" t="str" cm="1">
        <f t="array" ref="O1393">_xlfn.IFS(F1393="","",F1393&lt;=5,"0 to 5",F1393&lt;=10,"5.1 to 10",F1393&lt;=20,"10 to 20", F1393&lt;= 40, "20 to 40", F1393 &lt;= 50, "40 to 50", F1393 &gt; 50, "&gt;50" )</f>
        <v>0 to 5</v>
      </c>
    </row>
    <row r="1394" spans="1:15" ht="14.4" x14ac:dyDescent="0.3">
      <c r="A1394" t="s">
        <v>240</v>
      </c>
      <c r="B1394" s="1">
        <v>46198</v>
      </c>
      <c r="C1394" t="s">
        <v>16</v>
      </c>
      <c r="D1394">
        <v>1274</v>
      </c>
      <c r="E1394">
        <v>1</v>
      </c>
      <c r="F1394">
        <v>12.5</v>
      </c>
      <c r="G1394" t="s">
        <v>21</v>
      </c>
      <c r="I1394" t="str">
        <f t="shared" si="23"/>
        <v>1274_1</v>
      </c>
      <c r="J1394" t="s">
        <v>241</v>
      </c>
      <c r="K1394" t="s">
        <v>179</v>
      </c>
      <c r="L1394" t="str">
        <f>_xlfn.XLOOKUP(C1394, Table2[Species],Table2[Genus], "Code Not Found")</f>
        <v>Acer</v>
      </c>
      <c r="M1394" t="str">
        <f>_xlfn.XLOOKUP(C1394, Table2[Species],Table2[Sp. Name], "Code Not Found")</f>
        <v>saccharum</v>
      </c>
      <c r="N1394" t="str">
        <f>_xlfn.XLOOKUP(C1394,Table2[Species],Table2[Family],"Code Not Found")</f>
        <v>Sapindaceae</v>
      </c>
      <c r="O1394" t="str" cm="1">
        <f t="array" ref="O1394">_xlfn.IFS(F1394="","",F1394&lt;=5,"0 to 5",F1394&lt;=10,"5.1 to 10",F1394&lt;=20,"10 to 20", F1394&lt;= 40, "20 to 40", F1394 &lt;= 50, "40 to 50", F1394 &gt; 50, "&gt;50" )</f>
        <v>10 to 20</v>
      </c>
    </row>
    <row r="1395" spans="1:15" ht="14.4" x14ac:dyDescent="0.3">
      <c r="A1395" t="s">
        <v>240</v>
      </c>
      <c r="B1395" s="1">
        <v>46198</v>
      </c>
      <c r="C1395" t="s">
        <v>16</v>
      </c>
      <c r="D1395">
        <v>1275</v>
      </c>
      <c r="E1395">
        <v>1</v>
      </c>
      <c r="F1395">
        <v>42.1</v>
      </c>
      <c r="G1395" t="s">
        <v>17</v>
      </c>
      <c r="I1395" t="str">
        <f t="shared" si="23"/>
        <v>1275_1</v>
      </c>
      <c r="J1395" t="s">
        <v>241</v>
      </c>
      <c r="K1395" t="s">
        <v>179</v>
      </c>
      <c r="L1395" t="str">
        <f>_xlfn.XLOOKUP(C1395, Table2[Species],Table2[Genus], "Code Not Found")</f>
        <v>Acer</v>
      </c>
      <c r="M1395" t="str">
        <f>_xlfn.XLOOKUP(C1395, Table2[Species],Table2[Sp. Name], "Code Not Found")</f>
        <v>saccharum</v>
      </c>
      <c r="N1395" t="str">
        <f>_xlfn.XLOOKUP(C1395,Table2[Species],Table2[Family],"Code Not Found")</f>
        <v>Sapindaceae</v>
      </c>
      <c r="O1395" t="str" cm="1">
        <f t="array" ref="O1395">_xlfn.IFS(F1395="","",F1395&lt;=5,"0 to 5",F1395&lt;=10,"5.1 to 10",F1395&lt;=20,"10 to 20", F1395&lt;= 40, "20 to 40", F1395 &lt;= 50, "40 to 50", F1395 &gt; 50, "&gt;50" )</f>
        <v>40 to 50</v>
      </c>
    </row>
    <row r="1396" spans="1:15" ht="14.4" x14ac:dyDescent="0.3">
      <c r="A1396" t="s">
        <v>240</v>
      </c>
      <c r="B1396" s="1">
        <v>46198</v>
      </c>
      <c r="C1396" t="s">
        <v>16</v>
      </c>
      <c r="D1396">
        <v>1276</v>
      </c>
      <c r="E1396">
        <v>1</v>
      </c>
      <c r="F1396">
        <v>9.1</v>
      </c>
      <c r="G1396" t="s">
        <v>17</v>
      </c>
      <c r="I1396" t="str">
        <f t="shared" si="23"/>
        <v>1276_1</v>
      </c>
      <c r="J1396" t="s">
        <v>241</v>
      </c>
      <c r="K1396" t="s">
        <v>179</v>
      </c>
      <c r="L1396" t="str">
        <f>_xlfn.XLOOKUP(C1396, Table2[Species],Table2[Genus], "Code Not Found")</f>
        <v>Acer</v>
      </c>
      <c r="M1396" t="str">
        <f>_xlfn.XLOOKUP(C1396, Table2[Species],Table2[Sp. Name], "Code Not Found")</f>
        <v>saccharum</v>
      </c>
      <c r="N1396" t="str">
        <f>_xlfn.XLOOKUP(C1396,Table2[Species],Table2[Family],"Code Not Found")</f>
        <v>Sapindaceae</v>
      </c>
      <c r="O1396" t="str" cm="1">
        <f t="array" ref="O1396">_xlfn.IFS(F1396="","",F1396&lt;=5,"0 to 5",F1396&lt;=10,"5.1 to 10",F1396&lt;=20,"10 to 20", F1396&lt;= 40, "20 to 40", F1396 &lt;= 50, "40 to 50", F1396 &gt; 50, "&gt;50" )</f>
        <v>5.1 to 10</v>
      </c>
    </row>
    <row r="1397" spans="1:15" ht="14.4" x14ac:dyDescent="0.3">
      <c r="A1397" t="s">
        <v>240</v>
      </c>
      <c r="B1397" s="1">
        <v>46198</v>
      </c>
      <c r="C1397" t="s">
        <v>16</v>
      </c>
      <c r="D1397">
        <v>1277</v>
      </c>
      <c r="E1397">
        <v>1</v>
      </c>
      <c r="F1397">
        <v>14.9</v>
      </c>
      <c r="G1397" t="s">
        <v>30</v>
      </c>
      <c r="H1397" t="s">
        <v>287</v>
      </c>
      <c r="I1397" t="str">
        <f t="shared" si="23"/>
        <v>1277_1</v>
      </c>
      <c r="J1397" t="s">
        <v>241</v>
      </c>
      <c r="K1397" t="s">
        <v>179</v>
      </c>
      <c r="L1397" t="str">
        <f>_xlfn.XLOOKUP(C1397, Table2[Species],Table2[Genus], "Code Not Found")</f>
        <v>Acer</v>
      </c>
      <c r="M1397" t="str">
        <f>_xlfn.XLOOKUP(C1397, Table2[Species],Table2[Sp. Name], "Code Not Found")</f>
        <v>saccharum</v>
      </c>
      <c r="N1397" t="str">
        <f>_xlfn.XLOOKUP(C1397,Table2[Species],Table2[Family],"Code Not Found")</f>
        <v>Sapindaceae</v>
      </c>
      <c r="O1397" t="str" cm="1">
        <f t="array" ref="O1397">_xlfn.IFS(F1397="","",F1397&lt;=5,"0 to 5",F1397&lt;=10,"5.1 to 10",F1397&lt;=20,"10 to 20", F1397&lt;= 40, "20 to 40", F1397 &lt;= 50, "40 to 50", F1397 &gt; 50, "&gt;50" )</f>
        <v>10 to 20</v>
      </c>
    </row>
    <row r="1398" spans="1:15" ht="14.4" x14ac:dyDescent="0.3">
      <c r="A1398" t="s">
        <v>240</v>
      </c>
      <c r="B1398" s="1">
        <v>46198</v>
      </c>
      <c r="C1398" t="s">
        <v>16</v>
      </c>
      <c r="D1398">
        <v>1278</v>
      </c>
      <c r="E1398">
        <v>1</v>
      </c>
      <c r="F1398">
        <v>2.2000000000000002</v>
      </c>
      <c r="G1398" t="s">
        <v>17</v>
      </c>
      <c r="I1398" t="str">
        <f t="shared" si="23"/>
        <v>1278_1</v>
      </c>
      <c r="J1398" t="s">
        <v>241</v>
      </c>
      <c r="K1398" t="s">
        <v>179</v>
      </c>
      <c r="L1398" t="str">
        <f>_xlfn.XLOOKUP(C1398, Table2[Species],Table2[Genus], "Code Not Found")</f>
        <v>Acer</v>
      </c>
      <c r="M1398" t="str">
        <f>_xlfn.XLOOKUP(C1398, Table2[Species],Table2[Sp. Name], "Code Not Found")</f>
        <v>saccharum</v>
      </c>
      <c r="N1398" t="str">
        <f>_xlfn.XLOOKUP(C1398,Table2[Species],Table2[Family],"Code Not Found")</f>
        <v>Sapindaceae</v>
      </c>
      <c r="O1398" t="str" cm="1">
        <f t="array" ref="O1398">_xlfn.IFS(F1398="","",F1398&lt;=5,"0 to 5",F1398&lt;=10,"5.1 to 10",F1398&lt;=20,"10 to 20", F1398&lt;= 40, "20 to 40", F1398 &lt;= 50, "40 to 50", F1398 &gt; 50, "&gt;50" )</f>
        <v>0 to 5</v>
      </c>
    </row>
    <row r="1399" spans="1:15" ht="14.4" x14ac:dyDescent="0.3">
      <c r="A1399" t="s">
        <v>240</v>
      </c>
      <c r="B1399" s="1">
        <v>46198</v>
      </c>
      <c r="C1399" t="s">
        <v>16</v>
      </c>
      <c r="D1399">
        <v>1279</v>
      </c>
      <c r="E1399">
        <v>1</v>
      </c>
      <c r="F1399">
        <v>4.0999999999999996</v>
      </c>
      <c r="G1399" t="s">
        <v>88</v>
      </c>
      <c r="H1399" t="s">
        <v>287</v>
      </c>
      <c r="I1399" t="str">
        <f t="shared" si="23"/>
        <v>1279_1</v>
      </c>
      <c r="J1399" t="s">
        <v>241</v>
      </c>
      <c r="K1399" t="s">
        <v>179</v>
      </c>
      <c r="L1399" t="str">
        <f>_xlfn.XLOOKUP(C1399, Table2[Species],Table2[Genus], "Code Not Found")</f>
        <v>Acer</v>
      </c>
      <c r="M1399" t="str">
        <f>_xlfn.XLOOKUP(C1399, Table2[Species],Table2[Sp. Name], "Code Not Found")</f>
        <v>saccharum</v>
      </c>
      <c r="N1399" t="str">
        <f>_xlfn.XLOOKUP(C1399,Table2[Species],Table2[Family],"Code Not Found")</f>
        <v>Sapindaceae</v>
      </c>
      <c r="O1399" t="str" cm="1">
        <f t="array" ref="O1399">_xlfn.IFS(F1399="","",F1399&lt;=5,"0 to 5",F1399&lt;=10,"5.1 to 10",F1399&lt;=20,"10 to 20", F1399&lt;= 40, "20 to 40", F1399 &lt;= 50, "40 to 50", F1399 &gt; 50, "&gt;50" )</f>
        <v>0 to 5</v>
      </c>
    </row>
    <row r="1400" spans="1:15" ht="14.4" x14ac:dyDescent="0.3">
      <c r="A1400" t="s">
        <v>240</v>
      </c>
      <c r="B1400" s="1">
        <v>46198</v>
      </c>
      <c r="C1400" t="s">
        <v>16</v>
      </c>
      <c r="D1400">
        <v>1280</v>
      </c>
      <c r="E1400">
        <v>1</v>
      </c>
      <c r="F1400">
        <v>3.6</v>
      </c>
      <c r="G1400" t="s">
        <v>17</v>
      </c>
      <c r="I1400" t="str">
        <f t="shared" si="23"/>
        <v>1280_1</v>
      </c>
      <c r="J1400" t="s">
        <v>241</v>
      </c>
      <c r="K1400" t="s">
        <v>179</v>
      </c>
      <c r="L1400" t="str">
        <f>_xlfn.XLOOKUP(C1400, Table2[Species],Table2[Genus], "Code Not Found")</f>
        <v>Acer</v>
      </c>
      <c r="M1400" t="str">
        <f>_xlfn.XLOOKUP(C1400, Table2[Species],Table2[Sp. Name], "Code Not Found")</f>
        <v>saccharum</v>
      </c>
      <c r="N1400" t="str">
        <f>_xlfn.XLOOKUP(C1400,Table2[Species],Table2[Family],"Code Not Found")</f>
        <v>Sapindaceae</v>
      </c>
      <c r="O1400" t="str" cm="1">
        <f t="array" ref="O1400">_xlfn.IFS(F1400="","",F1400&lt;=5,"0 to 5",F1400&lt;=10,"5.1 to 10",F1400&lt;=20,"10 to 20", F1400&lt;= 40, "20 to 40", F1400 &lt;= 50, "40 to 50", F1400 &gt; 50, "&gt;50" )</f>
        <v>0 to 5</v>
      </c>
    </row>
    <row r="1401" spans="1:15" ht="14.4" x14ac:dyDescent="0.3">
      <c r="A1401" t="s">
        <v>240</v>
      </c>
      <c r="B1401" s="1">
        <v>46198</v>
      </c>
      <c r="C1401" t="s">
        <v>16</v>
      </c>
      <c r="D1401">
        <v>1281</v>
      </c>
      <c r="E1401">
        <v>1</v>
      </c>
      <c r="F1401">
        <v>13.6</v>
      </c>
      <c r="G1401" t="s">
        <v>103</v>
      </c>
      <c r="I1401" t="str">
        <f t="shared" si="23"/>
        <v>1281_1</v>
      </c>
      <c r="J1401" t="s">
        <v>241</v>
      </c>
      <c r="K1401" t="s">
        <v>179</v>
      </c>
      <c r="L1401" t="str">
        <f>_xlfn.XLOOKUP(C1401, Table2[Species],Table2[Genus], "Code Not Found")</f>
        <v>Acer</v>
      </c>
      <c r="M1401" t="str">
        <f>_xlfn.XLOOKUP(C1401, Table2[Species],Table2[Sp. Name], "Code Not Found")</f>
        <v>saccharum</v>
      </c>
      <c r="N1401" t="str">
        <f>_xlfn.XLOOKUP(C1401,Table2[Species],Table2[Family],"Code Not Found")</f>
        <v>Sapindaceae</v>
      </c>
      <c r="O1401" t="str" cm="1">
        <f t="array" ref="O1401">_xlfn.IFS(F1401="","",F1401&lt;=5,"0 to 5",F1401&lt;=10,"5.1 to 10",F1401&lt;=20,"10 to 20", F1401&lt;= 40, "20 to 40", F1401 &lt;= 50, "40 to 50", F1401 &gt; 50, "&gt;50" )</f>
        <v>10 to 20</v>
      </c>
    </row>
    <row r="1402" spans="1:15" ht="14.4" x14ac:dyDescent="0.3">
      <c r="A1402" t="s">
        <v>240</v>
      </c>
      <c r="B1402" s="1">
        <v>46198</v>
      </c>
      <c r="C1402" t="s">
        <v>16</v>
      </c>
      <c r="D1402">
        <v>1282</v>
      </c>
      <c r="E1402">
        <v>1</v>
      </c>
      <c r="F1402">
        <v>3.3</v>
      </c>
      <c r="G1402" t="s">
        <v>17</v>
      </c>
      <c r="I1402" t="str">
        <f t="shared" si="23"/>
        <v>1282_1</v>
      </c>
      <c r="J1402" t="s">
        <v>241</v>
      </c>
      <c r="K1402" t="s">
        <v>179</v>
      </c>
      <c r="L1402" t="str">
        <f>_xlfn.XLOOKUP(C1402, Table2[Species],Table2[Genus], "Code Not Found")</f>
        <v>Acer</v>
      </c>
      <c r="M1402" t="str">
        <f>_xlfn.XLOOKUP(C1402, Table2[Species],Table2[Sp. Name], "Code Not Found")</f>
        <v>saccharum</v>
      </c>
      <c r="N1402" t="str">
        <f>_xlfn.XLOOKUP(C1402,Table2[Species],Table2[Family],"Code Not Found")</f>
        <v>Sapindaceae</v>
      </c>
      <c r="O1402" t="str" cm="1">
        <f t="array" ref="O1402">_xlfn.IFS(F1402="","",F1402&lt;=5,"0 to 5",F1402&lt;=10,"5.1 to 10",F1402&lt;=20,"10 to 20", F1402&lt;= 40, "20 to 40", F1402 &lt;= 50, "40 to 50", F1402 &gt; 50, "&gt;50" )</f>
        <v>0 to 5</v>
      </c>
    </row>
    <row r="1403" spans="1:15" ht="14.4" x14ac:dyDescent="0.3">
      <c r="A1403" t="s">
        <v>240</v>
      </c>
      <c r="B1403" s="1">
        <v>46198</v>
      </c>
      <c r="C1403" t="s">
        <v>64</v>
      </c>
      <c r="D1403">
        <v>1283</v>
      </c>
      <c r="E1403">
        <v>1</v>
      </c>
      <c r="F1403">
        <v>5.4</v>
      </c>
      <c r="G1403" t="s">
        <v>21</v>
      </c>
      <c r="I1403" t="str">
        <f t="shared" si="23"/>
        <v>1283_1</v>
      </c>
      <c r="J1403" t="s">
        <v>241</v>
      </c>
      <c r="K1403" t="s">
        <v>179</v>
      </c>
      <c r="L1403" t="str">
        <f>_xlfn.XLOOKUP(C1403, Table2[Species],Table2[Genus], "Code Not Found")</f>
        <v>Fagus</v>
      </c>
      <c r="M1403" t="str">
        <f>_xlfn.XLOOKUP(C1403, Table2[Species],Table2[Sp. Name], "Code Not Found")</f>
        <v>grandifolia</v>
      </c>
      <c r="N1403" t="str">
        <f>_xlfn.XLOOKUP(C1403,Table2[Species],Table2[Family],"Code Not Found")</f>
        <v>Fagaceae</v>
      </c>
      <c r="O1403" t="str" cm="1">
        <f t="array" ref="O1403">_xlfn.IFS(F1403="","",F1403&lt;=5,"0 to 5",F1403&lt;=10,"5.1 to 10",F1403&lt;=20,"10 to 20", F1403&lt;= 40, "20 to 40", F1403 &lt;= 50, "40 to 50", F1403 &gt; 50, "&gt;50" )</f>
        <v>5.1 to 10</v>
      </c>
    </row>
    <row r="1404" spans="1:15" ht="14.4" x14ac:dyDescent="0.3">
      <c r="A1404" t="s">
        <v>240</v>
      </c>
      <c r="B1404" s="1">
        <v>46198</v>
      </c>
      <c r="C1404" t="s">
        <v>16</v>
      </c>
      <c r="D1404">
        <v>1284</v>
      </c>
      <c r="E1404">
        <v>1</v>
      </c>
      <c r="F1404">
        <v>49.4</v>
      </c>
      <c r="G1404" t="s">
        <v>21</v>
      </c>
      <c r="I1404" t="str">
        <f t="shared" si="23"/>
        <v>1284_1</v>
      </c>
      <c r="J1404" t="s">
        <v>241</v>
      </c>
      <c r="K1404" t="s">
        <v>179</v>
      </c>
      <c r="L1404" t="str">
        <f>_xlfn.XLOOKUP(C1404, Table2[Species],Table2[Genus], "Code Not Found")</f>
        <v>Acer</v>
      </c>
      <c r="M1404" t="str">
        <f>_xlfn.XLOOKUP(C1404, Table2[Species],Table2[Sp. Name], "Code Not Found")</f>
        <v>saccharum</v>
      </c>
      <c r="N1404" t="str">
        <f>_xlfn.XLOOKUP(C1404,Table2[Species],Table2[Family],"Code Not Found")</f>
        <v>Sapindaceae</v>
      </c>
      <c r="O1404" t="str" cm="1">
        <f t="array" ref="O1404">_xlfn.IFS(F1404="","",F1404&lt;=5,"0 to 5",F1404&lt;=10,"5.1 to 10",F1404&lt;=20,"10 to 20", F1404&lt;= 40, "20 to 40", F1404 &lt;= 50, "40 to 50", F1404 &gt; 50, "&gt;50" )</f>
        <v>40 to 50</v>
      </c>
    </row>
    <row r="1405" spans="1:15" ht="14.4" x14ac:dyDescent="0.3">
      <c r="A1405" t="s">
        <v>240</v>
      </c>
      <c r="B1405" s="1">
        <v>46198</v>
      </c>
      <c r="C1405" t="s">
        <v>16</v>
      </c>
      <c r="D1405">
        <v>1285</v>
      </c>
      <c r="E1405">
        <v>1</v>
      </c>
      <c r="F1405">
        <v>6.7</v>
      </c>
      <c r="G1405" t="s">
        <v>17</v>
      </c>
      <c r="H1405" t="s">
        <v>292</v>
      </c>
      <c r="I1405" t="str">
        <f t="shared" si="23"/>
        <v>1285_1</v>
      </c>
      <c r="J1405" t="s">
        <v>241</v>
      </c>
      <c r="K1405" t="s">
        <v>179</v>
      </c>
      <c r="L1405" t="str">
        <f>_xlfn.XLOOKUP(C1405, Table2[Species],Table2[Genus], "Code Not Found")</f>
        <v>Acer</v>
      </c>
      <c r="M1405" t="str">
        <f>_xlfn.XLOOKUP(C1405, Table2[Species],Table2[Sp. Name], "Code Not Found")</f>
        <v>saccharum</v>
      </c>
      <c r="N1405" t="str">
        <f>_xlfn.XLOOKUP(C1405,Table2[Species],Table2[Family],"Code Not Found")</f>
        <v>Sapindaceae</v>
      </c>
      <c r="O1405" t="str" cm="1">
        <f t="array" ref="O1405">_xlfn.IFS(F1405="","",F1405&lt;=5,"0 to 5",F1405&lt;=10,"5.1 to 10",F1405&lt;=20,"10 to 20", F1405&lt;= 40, "20 to 40", F1405 &lt;= 50, "40 to 50", F1405 &gt; 50, "&gt;50" )</f>
        <v>5.1 to 10</v>
      </c>
    </row>
    <row r="1406" spans="1:15" ht="14.4" x14ac:dyDescent="0.3">
      <c r="A1406" t="s">
        <v>293</v>
      </c>
      <c r="B1406" s="1">
        <v>46198</v>
      </c>
      <c r="C1406" t="s">
        <v>16</v>
      </c>
      <c r="D1406">
        <v>1286</v>
      </c>
      <c r="E1406">
        <v>1</v>
      </c>
      <c r="F1406">
        <v>1.9</v>
      </c>
      <c r="G1406" t="s">
        <v>32</v>
      </c>
      <c r="I1406" t="str">
        <f t="shared" si="23"/>
        <v>1286_1</v>
      </c>
      <c r="J1406" t="s">
        <v>294</v>
      </c>
      <c r="K1406" t="s">
        <v>19</v>
      </c>
      <c r="L1406" t="str">
        <f>_xlfn.XLOOKUP(C1406, Table2[Species],Table2[Genus], "Code Not Found")</f>
        <v>Acer</v>
      </c>
      <c r="M1406" t="str">
        <f>_xlfn.XLOOKUP(C1406, Table2[Species],Table2[Sp. Name], "Code Not Found")</f>
        <v>saccharum</v>
      </c>
      <c r="N1406" t="str">
        <f>_xlfn.XLOOKUP(C1406,Table2[Species],Table2[Family],"Code Not Found")</f>
        <v>Sapindaceae</v>
      </c>
      <c r="O1406" t="str" cm="1">
        <f t="array" ref="O1406">_xlfn.IFS(F1406="","",F1406&lt;=5,"0 to 5",F1406&lt;=10,"5.1 to 10",F1406&lt;=20,"10 to 20", F1406&lt;= 40, "20 to 40", F1406 &lt;= 50, "40 to 50", F1406 &gt; 50, "&gt;50" )</f>
        <v>0 to 5</v>
      </c>
    </row>
    <row r="1407" spans="1:15" ht="14.4" x14ac:dyDescent="0.3">
      <c r="A1407" t="s">
        <v>293</v>
      </c>
      <c r="B1407" s="1">
        <v>46198</v>
      </c>
      <c r="C1407" t="s">
        <v>16</v>
      </c>
      <c r="D1407">
        <v>1286</v>
      </c>
      <c r="E1407">
        <v>2</v>
      </c>
      <c r="F1407">
        <v>1.1000000000000001</v>
      </c>
      <c r="G1407" t="s">
        <v>32</v>
      </c>
      <c r="I1407" t="str">
        <f t="shared" si="23"/>
        <v>1286_2</v>
      </c>
      <c r="J1407" t="s">
        <v>294</v>
      </c>
      <c r="K1407" t="s">
        <v>19</v>
      </c>
      <c r="L1407" t="str">
        <f>_xlfn.XLOOKUP(C1407, Table2[Species],Table2[Genus], "Code Not Found")</f>
        <v>Acer</v>
      </c>
      <c r="M1407" t="str">
        <f>_xlfn.XLOOKUP(C1407, Table2[Species],Table2[Sp. Name], "Code Not Found")</f>
        <v>saccharum</v>
      </c>
      <c r="N1407" t="str">
        <f>_xlfn.XLOOKUP(C1407,Table2[Species],Table2[Family],"Code Not Found")</f>
        <v>Sapindaceae</v>
      </c>
      <c r="O1407" t="str" cm="1">
        <f t="array" ref="O1407">_xlfn.IFS(F1407="","",F1407&lt;=5,"0 to 5",F1407&lt;=10,"5.1 to 10",F1407&lt;=20,"10 to 20", F1407&lt;= 40, "20 to 40", F1407 &lt;= 50, "40 to 50", F1407 &gt; 50, "&gt;50" )</f>
        <v>0 to 5</v>
      </c>
    </row>
    <row r="1408" spans="1:15" ht="14.4" x14ac:dyDescent="0.3">
      <c r="A1408" t="s">
        <v>293</v>
      </c>
      <c r="B1408" s="1">
        <v>46198</v>
      </c>
      <c r="C1408" t="s">
        <v>64</v>
      </c>
      <c r="D1408">
        <v>1287</v>
      </c>
      <c r="E1408">
        <v>1</v>
      </c>
      <c r="F1408">
        <v>18.899999999999999</v>
      </c>
      <c r="G1408" t="s">
        <v>17</v>
      </c>
      <c r="H1408" t="s">
        <v>36</v>
      </c>
      <c r="I1408" t="str">
        <f t="shared" si="23"/>
        <v>1287_1</v>
      </c>
      <c r="J1408" t="s">
        <v>294</v>
      </c>
      <c r="K1408" t="s">
        <v>19</v>
      </c>
      <c r="L1408" t="str">
        <f>_xlfn.XLOOKUP(C1408, Table2[Species],Table2[Genus], "Code Not Found")</f>
        <v>Fagus</v>
      </c>
      <c r="M1408" t="str">
        <f>_xlfn.XLOOKUP(C1408, Table2[Species],Table2[Sp. Name], "Code Not Found")</f>
        <v>grandifolia</v>
      </c>
      <c r="N1408" t="str">
        <f>_xlfn.XLOOKUP(C1408,Table2[Species],Table2[Family],"Code Not Found")</f>
        <v>Fagaceae</v>
      </c>
      <c r="O1408" t="str" cm="1">
        <f t="array" ref="O1408">_xlfn.IFS(F1408="","",F1408&lt;=5,"0 to 5",F1408&lt;=10,"5.1 to 10",F1408&lt;=20,"10 to 20", F1408&lt;= 40, "20 to 40", F1408 &lt;= 50, "40 to 50", F1408 &gt; 50, "&gt;50" )</f>
        <v>10 to 20</v>
      </c>
    </row>
    <row r="1409" spans="1:15" ht="14.4" x14ac:dyDescent="0.3">
      <c r="A1409" t="s">
        <v>293</v>
      </c>
      <c r="B1409" s="1">
        <v>46198</v>
      </c>
      <c r="C1409" t="s">
        <v>16</v>
      </c>
      <c r="D1409">
        <v>1288</v>
      </c>
      <c r="E1409">
        <v>1</v>
      </c>
      <c r="F1409">
        <v>2.2000000000000002</v>
      </c>
      <c r="G1409" t="s">
        <v>94</v>
      </c>
      <c r="H1409" t="s">
        <v>295</v>
      </c>
      <c r="I1409" t="str">
        <f t="shared" si="23"/>
        <v>1288_1</v>
      </c>
      <c r="J1409" t="s">
        <v>294</v>
      </c>
      <c r="K1409" t="s">
        <v>19</v>
      </c>
      <c r="L1409" t="str">
        <f>_xlfn.XLOOKUP(C1409, Table2[Species],Table2[Genus], "Code Not Found")</f>
        <v>Acer</v>
      </c>
      <c r="M1409" t="str">
        <f>_xlfn.XLOOKUP(C1409, Table2[Species],Table2[Sp. Name], "Code Not Found")</f>
        <v>saccharum</v>
      </c>
      <c r="N1409" t="str">
        <f>_xlfn.XLOOKUP(C1409,Table2[Species],Table2[Family],"Code Not Found")</f>
        <v>Sapindaceae</v>
      </c>
      <c r="O1409" t="str" cm="1">
        <f t="array" ref="O1409">_xlfn.IFS(F1409="","",F1409&lt;=5,"0 to 5",F1409&lt;=10,"5.1 to 10",F1409&lt;=20,"10 to 20", F1409&lt;= 40, "20 to 40", F1409 &lt;= 50, "40 to 50", F1409 &gt; 50, "&gt;50" )</f>
        <v>0 to 5</v>
      </c>
    </row>
    <row r="1410" spans="1:15" ht="14.4" x14ac:dyDescent="0.3">
      <c r="A1410" t="s">
        <v>293</v>
      </c>
      <c r="B1410" s="1">
        <v>46198</v>
      </c>
      <c r="C1410" t="s">
        <v>16</v>
      </c>
      <c r="D1410">
        <v>1289</v>
      </c>
      <c r="E1410">
        <v>1</v>
      </c>
      <c r="F1410">
        <v>2.4</v>
      </c>
      <c r="G1410" t="s">
        <v>21</v>
      </c>
      <c r="I1410" t="str">
        <f t="shared" si="23"/>
        <v>1289_1</v>
      </c>
      <c r="J1410" t="s">
        <v>294</v>
      </c>
      <c r="K1410" t="s">
        <v>19</v>
      </c>
      <c r="L1410" t="str">
        <f>_xlfn.XLOOKUP(C1410, Table2[Species],Table2[Genus], "Code Not Found")</f>
        <v>Acer</v>
      </c>
      <c r="M1410" t="str">
        <f>_xlfn.XLOOKUP(C1410, Table2[Species],Table2[Sp. Name], "Code Not Found")</f>
        <v>saccharum</v>
      </c>
      <c r="N1410" t="str">
        <f>_xlfn.XLOOKUP(C1410,Table2[Species],Table2[Family],"Code Not Found")</f>
        <v>Sapindaceae</v>
      </c>
      <c r="O1410" t="str" cm="1">
        <f t="array" ref="O1410">_xlfn.IFS(F1410="","",F1410&lt;=5,"0 to 5",F1410&lt;=10,"5.1 to 10",F1410&lt;=20,"10 to 20", F1410&lt;= 40, "20 to 40", F1410 &lt;= 50, "40 to 50", F1410 &gt; 50, "&gt;50" )</f>
        <v>0 to 5</v>
      </c>
    </row>
    <row r="1411" spans="1:15" ht="14.4" x14ac:dyDescent="0.3">
      <c r="A1411" t="s">
        <v>293</v>
      </c>
      <c r="B1411" s="1">
        <v>46198</v>
      </c>
      <c r="C1411" t="s">
        <v>16</v>
      </c>
      <c r="D1411">
        <v>1290</v>
      </c>
      <c r="E1411">
        <v>1</v>
      </c>
      <c r="F1411">
        <v>2.2000000000000002</v>
      </c>
      <c r="G1411" t="s">
        <v>34</v>
      </c>
      <c r="I1411" t="str">
        <f t="shared" si="23"/>
        <v>1290_1</v>
      </c>
      <c r="J1411" t="s">
        <v>294</v>
      </c>
      <c r="K1411" t="s">
        <v>19</v>
      </c>
      <c r="L1411" t="str">
        <f>_xlfn.XLOOKUP(C1411, Table2[Species],Table2[Genus], "Code Not Found")</f>
        <v>Acer</v>
      </c>
      <c r="M1411" t="str">
        <f>_xlfn.XLOOKUP(C1411, Table2[Species],Table2[Sp. Name], "Code Not Found")</f>
        <v>saccharum</v>
      </c>
      <c r="N1411" t="str">
        <f>_xlfn.XLOOKUP(C1411,Table2[Species],Table2[Family],"Code Not Found")</f>
        <v>Sapindaceae</v>
      </c>
      <c r="O1411" t="str" cm="1">
        <f t="array" ref="O1411">_xlfn.IFS(F1411="","",F1411&lt;=5,"0 to 5",F1411&lt;=10,"5.1 to 10",F1411&lt;=20,"10 to 20", F1411&lt;= 40, "20 to 40", F1411 &lt;= 50, "40 to 50", F1411 &gt; 50, "&gt;50" )</f>
        <v>0 to 5</v>
      </c>
    </row>
    <row r="1412" spans="1:15" ht="14.4" x14ac:dyDescent="0.3">
      <c r="A1412" t="s">
        <v>293</v>
      </c>
      <c r="B1412" s="1">
        <v>46198</v>
      </c>
      <c r="C1412" t="s">
        <v>16</v>
      </c>
      <c r="D1412">
        <v>1290</v>
      </c>
      <c r="E1412">
        <v>2</v>
      </c>
      <c r="F1412">
        <v>1.2</v>
      </c>
      <c r="G1412" t="s">
        <v>34</v>
      </c>
      <c r="I1412" t="str">
        <f t="shared" si="23"/>
        <v>1290_2</v>
      </c>
      <c r="J1412" t="s">
        <v>294</v>
      </c>
      <c r="K1412" t="s">
        <v>19</v>
      </c>
      <c r="L1412" t="str">
        <f>_xlfn.XLOOKUP(C1412, Table2[Species],Table2[Genus], "Code Not Found")</f>
        <v>Acer</v>
      </c>
      <c r="M1412" t="str">
        <f>_xlfn.XLOOKUP(C1412, Table2[Species],Table2[Sp. Name], "Code Not Found")</f>
        <v>saccharum</v>
      </c>
      <c r="N1412" t="str">
        <f>_xlfn.XLOOKUP(C1412,Table2[Species],Table2[Family],"Code Not Found")</f>
        <v>Sapindaceae</v>
      </c>
      <c r="O1412" t="str" cm="1">
        <f t="array" ref="O1412">_xlfn.IFS(F1412="","",F1412&lt;=5,"0 to 5",F1412&lt;=10,"5.1 to 10",F1412&lt;=20,"10 to 20", F1412&lt;= 40, "20 to 40", F1412 &lt;= 50, "40 to 50", F1412 &gt; 50, "&gt;50" )</f>
        <v>0 to 5</v>
      </c>
    </row>
    <row r="1413" spans="1:15" ht="14.4" x14ac:dyDescent="0.3">
      <c r="A1413" t="s">
        <v>293</v>
      </c>
      <c r="B1413" s="1">
        <v>46198</v>
      </c>
      <c r="C1413" t="s">
        <v>64</v>
      </c>
      <c r="D1413">
        <v>1291</v>
      </c>
      <c r="E1413">
        <v>1</v>
      </c>
      <c r="F1413">
        <v>48.2</v>
      </c>
      <c r="G1413" t="s">
        <v>32</v>
      </c>
      <c r="I1413" t="str">
        <f t="shared" si="23"/>
        <v>1291_1</v>
      </c>
      <c r="J1413" t="s">
        <v>294</v>
      </c>
      <c r="K1413" t="s">
        <v>19</v>
      </c>
      <c r="L1413" t="str">
        <f>_xlfn.XLOOKUP(C1413, Table2[Species],Table2[Genus], "Code Not Found")</f>
        <v>Fagus</v>
      </c>
      <c r="M1413" t="str">
        <f>_xlfn.XLOOKUP(C1413, Table2[Species],Table2[Sp. Name], "Code Not Found")</f>
        <v>grandifolia</v>
      </c>
      <c r="N1413" t="str">
        <f>_xlfn.XLOOKUP(C1413,Table2[Species],Table2[Family],"Code Not Found")</f>
        <v>Fagaceae</v>
      </c>
      <c r="O1413" t="str" cm="1">
        <f t="array" ref="O1413">_xlfn.IFS(F1413="","",F1413&lt;=5,"0 to 5",F1413&lt;=10,"5.1 to 10",F1413&lt;=20,"10 to 20", F1413&lt;= 40, "20 to 40", F1413 &lt;= 50, "40 to 50", F1413 &gt; 50, "&gt;50" )</f>
        <v>40 to 50</v>
      </c>
    </row>
    <row r="1414" spans="1:15" ht="14.4" x14ac:dyDescent="0.3">
      <c r="A1414" t="s">
        <v>293</v>
      </c>
      <c r="B1414" s="1">
        <v>46198</v>
      </c>
      <c r="C1414" t="s">
        <v>64</v>
      </c>
      <c r="D1414">
        <v>1291</v>
      </c>
      <c r="E1414">
        <v>2</v>
      </c>
      <c r="F1414">
        <v>6.4</v>
      </c>
      <c r="G1414" t="s">
        <v>61</v>
      </c>
      <c r="I1414" t="str">
        <f t="shared" si="23"/>
        <v>1291_2</v>
      </c>
      <c r="J1414" t="s">
        <v>294</v>
      </c>
      <c r="K1414" t="s">
        <v>19</v>
      </c>
      <c r="L1414" t="str">
        <f>_xlfn.XLOOKUP(C1414, Table2[Species],Table2[Genus], "Code Not Found")</f>
        <v>Fagus</v>
      </c>
      <c r="M1414" t="str">
        <f>_xlfn.XLOOKUP(C1414, Table2[Species],Table2[Sp. Name], "Code Not Found")</f>
        <v>grandifolia</v>
      </c>
      <c r="N1414" t="str">
        <f>_xlfn.XLOOKUP(C1414,Table2[Species],Table2[Family],"Code Not Found")</f>
        <v>Fagaceae</v>
      </c>
      <c r="O1414" t="str" cm="1">
        <f t="array" ref="O1414">_xlfn.IFS(F1414="","",F1414&lt;=5,"0 to 5",F1414&lt;=10,"5.1 to 10",F1414&lt;=20,"10 to 20", F1414&lt;= 40, "20 to 40", F1414 &lt;= 50, "40 to 50", F1414 &gt; 50, "&gt;50" )</f>
        <v>5.1 to 10</v>
      </c>
    </row>
    <row r="1415" spans="1:15" ht="14.4" x14ac:dyDescent="0.3">
      <c r="A1415" t="s">
        <v>293</v>
      </c>
      <c r="B1415" s="1">
        <v>46198</v>
      </c>
      <c r="C1415" t="s">
        <v>64</v>
      </c>
      <c r="D1415">
        <v>1292</v>
      </c>
      <c r="E1415">
        <v>1</v>
      </c>
      <c r="F1415">
        <v>18</v>
      </c>
      <c r="G1415" t="s">
        <v>21</v>
      </c>
      <c r="I1415" t="str">
        <f t="shared" si="23"/>
        <v>1292_1</v>
      </c>
      <c r="J1415" t="s">
        <v>294</v>
      </c>
      <c r="K1415" t="s">
        <v>19</v>
      </c>
      <c r="L1415" t="str">
        <f>_xlfn.XLOOKUP(C1415, Table2[Species],Table2[Genus], "Code Not Found")</f>
        <v>Fagus</v>
      </c>
      <c r="M1415" t="str">
        <f>_xlfn.XLOOKUP(C1415, Table2[Species],Table2[Sp. Name], "Code Not Found")</f>
        <v>grandifolia</v>
      </c>
      <c r="N1415" t="str">
        <f>_xlfn.XLOOKUP(C1415,Table2[Species],Table2[Family],"Code Not Found")</f>
        <v>Fagaceae</v>
      </c>
      <c r="O1415" t="str" cm="1">
        <f t="array" ref="O1415">_xlfn.IFS(F1415="","",F1415&lt;=5,"0 to 5",F1415&lt;=10,"5.1 to 10",F1415&lt;=20,"10 to 20", F1415&lt;= 40, "20 to 40", F1415 &lt;= 50, "40 to 50", F1415 &gt; 50, "&gt;50" )</f>
        <v>10 to 20</v>
      </c>
    </row>
    <row r="1416" spans="1:15" ht="14.4" x14ac:dyDescent="0.3">
      <c r="A1416" t="s">
        <v>293</v>
      </c>
      <c r="B1416" s="1">
        <v>46198</v>
      </c>
      <c r="C1416" t="s">
        <v>16</v>
      </c>
      <c r="D1416">
        <v>1293</v>
      </c>
      <c r="E1416">
        <v>1</v>
      </c>
      <c r="F1416">
        <v>6.9</v>
      </c>
      <c r="G1416" t="s">
        <v>21</v>
      </c>
      <c r="I1416" t="str">
        <f t="shared" si="23"/>
        <v>1293_1</v>
      </c>
      <c r="J1416" t="s">
        <v>294</v>
      </c>
      <c r="K1416" t="s">
        <v>19</v>
      </c>
      <c r="L1416" t="str">
        <f>_xlfn.XLOOKUP(C1416, Table2[Species],Table2[Genus], "Code Not Found")</f>
        <v>Acer</v>
      </c>
      <c r="M1416" t="str">
        <f>_xlfn.XLOOKUP(C1416, Table2[Species],Table2[Sp. Name], "Code Not Found")</f>
        <v>saccharum</v>
      </c>
      <c r="N1416" t="str">
        <f>_xlfn.XLOOKUP(C1416,Table2[Species],Table2[Family],"Code Not Found")</f>
        <v>Sapindaceae</v>
      </c>
      <c r="O1416" t="str" cm="1">
        <f t="array" ref="O1416">_xlfn.IFS(F1416="","",F1416&lt;=5,"0 to 5",F1416&lt;=10,"5.1 to 10",F1416&lt;=20,"10 to 20", F1416&lt;= 40, "20 to 40", F1416 &lt;= 50, "40 to 50", F1416 &gt; 50, "&gt;50" )</f>
        <v>5.1 to 10</v>
      </c>
    </row>
    <row r="1417" spans="1:15" ht="14.4" x14ac:dyDescent="0.3">
      <c r="A1417" t="s">
        <v>293</v>
      </c>
      <c r="B1417" s="1">
        <v>46198</v>
      </c>
      <c r="C1417" t="s">
        <v>16</v>
      </c>
      <c r="D1417">
        <v>1294</v>
      </c>
      <c r="E1417">
        <v>1</v>
      </c>
      <c r="F1417">
        <v>2.6</v>
      </c>
      <c r="G1417" t="s">
        <v>17</v>
      </c>
      <c r="I1417" t="str">
        <f t="shared" si="23"/>
        <v>1294_1</v>
      </c>
      <c r="J1417" t="s">
        <v>294</v>
      </c>
      <c r="K1417" t="s">
        <v>19</v>
      </c>
      <c r="L1417" t="str">
        <f>_xlfn.XLOOKUP(C1417, Table2[Species],Table2[Genus], "Code Not Found")</f>
        <v>Acer</v>
      </c>
      <c r="M1417" t="str">
        <f>_xlfn.XLOOKUP(C1417, Table2[Species],Table2[Sp. Name], "Code Not Found")</f>
        <v>saccharum</v>
      </c>
      <c r="N1417" t="str">
        <f>_xlfn.XLOOKUP(C1417,Table2[Species],Table2[Family],"Code Not Found")</f>
        <v>Sapindaceae</v>
      </c>
      <c r="O1417" t="str" cm="1">
        <f t="array" ref="O1417">_xlfn.IFS(F1417="","",F1417&lt;=5,"0 to 5",F1417&lt;=10,"5.1 to 10",F1417&lt;=20,"10 to 20", F1417&lt;= 40, "20 to 40", F1417 &lt;= 50, "40 to 50", F1417 &gt; 50, "&gt;50" )</f>
        <v>0 to 5</v>
      </c>
    </row>
    <row r="1418" spans="1:15" ht="14.4" x14ac:dyDescent="0.3">
      <c r="A1418" t="s">
        <v>293</v>
      </c>
      <c r="B1418" s="1">
        <v>46198</v>
      </c>
      <c r="C1418" t="s">
        <v>16</v>
      </c>
      <c r="D1418">
        <v>1295</v>
      </c>
      <c r="E1418">
        <v>1</v>
      </c>
      <c r="F1418">
        <v>4.9000000000000004</v>
      </c>
      <c r="G1418" t="s">
        <v>21</v>
      </c>
      <c r="I1418" t="str">
        <f t="shared" si="23"/>
        <v>1295_1</v>
      </c>
      <c r="J1418" t="s">
        <v>294</v>
      </c>
      <c r="K1418" t="s">
        <v>19</v>
      </c>
      <c r="L1418" t="str">
        <f>_xlfn.XLOOKUP(C1418, Table2[Species],Table2[Genus], "Code Not Found")</f>
        <v>Acer</v>
      </c>
      <c r="M1418" t="str">
        <f>_xlfn.XLOOKUP(C1418, Table2[Species],Table2[Sp. Name], "Code Not Found")</f>
        <v>saccharum</v>
      </c>
      <c r="N1418" t="str">
        <f>_xlfn.XLOOKUP(C1418,Table2[Species],Table2[Family],"Code Not Found")</f>
        <v>Sapindaceae</v>
      </c>
      <c r="O1418" t="str" cm="1">
        <f t="array" ref="O1418">_xlfn.IFS(F1418="","",F1418&lt;=5,"0 to 5",F1418&lt;=10,"5.1 to 10",F1418&lt;=20,"10 to 20", F1418&lt;= 40, "20 to 40", F1418 &lt;= 50, "40 to 50", F1418 &gt; 50, "&gt;50" )</f>
        <v>0 to 5</v>
      </c>
    </row>
    <row r="1419" spans="1:15" ht="14.4" x14ac:dyDescent="0.3">
      <c r="A1419" t="s">
        <v>293</v>
      </c>
      <c r="B1419" s="1">
        <v>46198</v>
      </c>
      <c r="C1419" t="s">
        <v>16</v>
      </c>
      <c r="D1419">
        <v>1296</v>
      </c>
      <c r="E1419">
        <v>1</v>
      </c>
      <c r="F1419">
        <v>3.1</v>
      </c>
      <c r="G1419" t="s">
        <v>17</v>
      </c>
      <c r="H1419" t="s">
        <v>36</v>
      </c>
      <c r="I1419" t="str">
        <f t="shared" si="23"/>
        <v>1296_1</v>
      </c>
      <c r="J1419" t="s">
        <v>294</v>
      </c>
      <c r="K1419" t="s">
        <v>19</v>
      </c>
      <c r="L1419" t="str">
        <f>_xlfn.XLOOKUP(C1419, Table2[Species],Table2[Genus], "Code Not Found")</f>
        <v>Acer</v>
      </c>
      <c r="M1419" t="str">
        <f>_xlfn.XLOOKUP(C1419, Table2[Species],Table2[Sp. Name], "Code Not Found")</f>
        <v>saccharum</v>
      </c>
      <c r="N1419" t="str">
        <f>_xlfn.XLOOKUP(C1419,Table2[Species],Table2[Family],"Code Not Found")</f>
        <v>Sapindaceae</v>
      </c>
      <c r="O1419" t="str" cm="1">
        <f t="array" ref="O1419">_xlfn.IFS(F1419="","",F1419&lt;=5,"0 to 5",F1419&lt;=10,"5.1 to 10",F1419&lt;=20,"10 to 20", F1419&lt;= 40, "20 to 40", F1419 &lt;= 50, "40 to 50", F1419 &gt; 50, "&gt;50" )</f>
        <v>0 to 5</v>
      </c>
    </row>
    <row r="1420" spans="1:15" ht="14.4" x14ac:dyDescent="0.3">
      <c r="A1420" t="s">
        <v>293</v>
      </c>
      <c r="B1420" s="1">
        <v>46198</v>
      </c>
      <c r="C1420" t="s">
        <v>64</v>
      </c>
      <c r="D1420">
        <v>1297</v>
      </c>
      <c r="E1420">
        <v>1</v>
      </c>
      <c r="F1420">
        <v>1.7</v>
      </c>
      <c r="G1420" t="s">
        <v>47</v>
      </c>
      <c r="H1420" t="s">
        <v>296</v>
      </c>
      <c r="I1420" t="str">
        <f t="shared" si="23"/>
        <v>1297_1</v>
      </c>
      <c r="J1420" t="s">
        <v>294</v>
      </c>
      <c r="K1420" t="s">
        <v>19</v>
      </c>
      <c r="L1420" t="str">
        <f>_xlfn.XLOOKUP(C1420, Table2[Species],Table2[Genus], "Code Not Found")</f>
        <v>Fagus</v>
      </c>
      <c r="M1420" t="str">
        <f>_xlfn.XLOOKUP(C1420, Table2[Species],Table2[Sp. Name], "Code Not Found")</f>
        <v>grandifolia</v>
      </c>
      <c r="N1420" t="str">
        <f>_xlfn.XLOOKUP(C1420,Table2[Species],Table2[Family],"Code Not Found")</f>
        <v>Fagaceae</v>
      </c>
      <c r="O1420" t="str" cm="1">
        <f t="array" ref="O1420">_xlfn.IFS(F1420="","",F1420&lt;=5,"0 to 5",F1420&lt;=10,"5.1 to 10",F1420&lt;=20,"10 to 20", F1420&lt;= 40, "20 to 40", F1420 &lt;= 50, "40 to 50", F1420 &gt; 50, "&gt;50" )</f>
        <v>0 to 5</v>
      </c>
    </row>
    <row r="1421" spans="1:15" ht="14.4" x14ac:dyDescent="0.3">
      <c r="A1421" t="s">
        <v>293</v>
      </c>
      <c r="B1421" s="1">
        <v>46198</v>
      </c>
      <c r="C1421" t="s">
        <v>16</v>
      </c>
      <c r="D1421">
        <v>1298</v>
      </c>
      <c r="E1421">
        <v>1</v>
      </c>
      <c r="F1421">
        <v>3.2</v>
      </c>
      <c r="G1421" t="s">
        <v>88</v>
      </c>
      <c r="H1421" t="s">
        <v>262</v>
      </c>
      <c r="I1421" t="str">
        <f t="shared" si="23"/>
        <v>1298_1</v>
      </c>
      <c r="J1421" t="s">
        <v>294</v>
      </c>
      <c r="K1421" t="s">
        <v>19</v>
      </c>
      <c r="L1421" t="str">
        <f>_xlfn.XLOOKUP(C1421, Table2[Species],Table2[Genus], "Code Not Found")</f>
        <v>Acer</v>
      </c>
      <c r="M1421" t="str">
        <f>_xlfn.XLOOKUP(C1421, Table2[Species],Table2[Sp. Name], "Code Not Found")</f>
        <v>saccharum</v>
      </c>
      <c r="N1421" t="str">
        <f>_xlfn.XLOOKUP(C1421,Table2[Species],Table2[Family],"Code Not Found")</f>
        <v>Sapindaceae</v>
      </c>
      <c r="O1421" t="str" cm="1">
        <f t="array" ref="O1421">_xlfn.IFS(F1421="","",F1421&lt;=5,"0 to 5",F1421&lt;=10,"5.1 to 10",F1421&lt;=20,"10 to 20", F1421&lt;= 40, "20 to 40", F1421 &lt;= 50, "40 to 50", F1421 &gt; 50, "&gt;50" )</f>
        <v>0 to 5</v>
      </c>
    </row>
    <row r="1422" spans="1:15" ht="14.4" x14ac:dyDescent="0.3">
      <c r="A1422" t="s">
        <v>293</v>
      </c>
      <c r="B1422" s="1">
        <v>46198</v>
      </c>
      <c r="C1422" t="s">
        <v>16</v>
      </c>
      <c r="D1422">
        <v>1299</v>
      </c>
      <c r="E1422">
        <v>1</v>
      </c>
      <c r="F1422">
        <v>20.100000000000001</v>
      </c>
      <c r="G1422" t="s">
        <v>21</v>
      </c>
      <c r="I1422" t="str">
        <f t="shared" si="23"/>
        <v>1299_1</v>
      </c>
      <c r="J1422" t="s">
        <v>294</v>
      </c>
      <c r="K1422" t="s">
        <v>19</v>
      </c>
      <c r="L1422" t="str">
        <f>_xlfn.XLOOKUP(C1422, Table2[Species],Table2[Genus], "Code Not Found")</f>
        <v>Acer</v>
      </c>
      <c r="M1422" t="str">
        <f>_xlfn.XLOOKUP(C1422, Table2[Species],Table2[Sp. Name], "Code Not Found")</f>
        <v>saccharum</v>
      </c>
      <c r="N1422" t="str">
        <f>_xlfn.XLOOKUP(C1422,Table2[Species],Table2[Family],"Code Not Found")</f>
        <v>Sapindaceae</v>
      </c>
      <c r="O1422" t="str" cm="1">
        <f t="array" ref="O1422">_xlfn.IFS(F1422="","",F1422&lt;=5,"0 to 5",F1422&lt;=10,"5.1 to 10",F1422&lt;=20,"10 to 20", F1422&lt;= 40, "20 to 40", F1422 &lt;= 50, "40 to 50", F1422 &gt; 50, "&gt;50" )</f>
        <v>20 to 40</v>
      </c>
    </row>
    <row r="1423" spans="1:15" ht="14.4" x14ac:dyDescent="0.3">
      <c r="A1423" t="s">
        <v>293</v>
      </c>
      <c r="B1423" s="1">
        <v>46198</v>
      </c>
      <c r="C1423" t="s">
        <v>16</v>
      </c>
      <c r="D1423">
        <v>1300</v>
      </c>
      <c r="E1423">
        <v>1</v>
      </c>
      <c r="F1423">
        <v>1.8</v>
      </c>
      <c r="G1423" t="s">
        <v>54</v>
      </c>
      <c r="H1423" t="s">
        <v>297</v>
      </c>
      <c r="I1423" t="str">
        <f t="shared" si="23"/>
        <v>1300_1</v>
      </c>
      <c r="J1423" t="s">
        <v>294</v>
      </c>
      <c r="K1423" t="s">
        <v>19</v>
      </c>
      <c r="L1423" t="str">
        <f>_xlfn.XLOOKUP(C1423, Table2[Species],Table2[Genus], "Code Not Found")</f>
        <v>Acer</v>
      </c>
      <c r="M1423" t="str">
        <f>_xlfn.XLOOKUP(C1423, Table2[Species],Table2[Sp. Name], "Code Not Found")</f>
        <v>saccharum</v>
      </c>
      <c r="N1423" t="str">
        <f>_xlfn.XLOOKUP(C1423,Table2[Species],Table2[Family],"Code Not Found")</f>
        <v>Sapindaceae</v>
      </c>
      <c r="O1423" t="str" cm="1">
        <f t="array" ref="O1423">_xlfn.IFS(F1423="","",F1423&lt;=5,"0 to 5",F1423&lt;=10,"5.1 to 10",F1423&lt;=20,"10 to 20", F1423&lt;= 40, "20 to 40", F1423 &lt;= 50, "40 to 50", F1423 &gt; 50, "&gt;50" )</f>
        <v>0 to 5</v>
      </c>
    </row>
    <row r="1424" spans="1:15" ht="14.4" x14ac:dyDescent="0.3">
      <c r="A1424" t="s">
        <v>293</v>
      </c>
      <c r="B1424" s="1">
        <v>46198</v>
      </c>
      <c r="C1424" t="s">
        <v>22</v>
      </c>
      <c r="D1424">
        <v>1301</v>
      </c>
      <c r="E1424">
        <v>1</v>
      </c>
      <c r="F1424">
        <v>3.2</v>
      </c>
      <c r="G1424" t="s">
        <v>47</v>
      </c>
      <c r="I1424" t="str">
        <f t="shared" si="23"/>
        <v>1301_1</v>
      </c>
      <c r="J1424" t="s">
        <v>294</v>
      </c>
      <c r="K1424" t="s">
        <v>19</v>
      </c>
      <c r="L1424" t="str">
        <f>_xlfn.XLOOKUP(C1424, Table2[Species],Table2[Genus], "Code Not Found")</f>
        <v>Acer</v>
      </c>
      <c r="M1424" t="str">
        <f>_xlfn.XLOOKUP(C1424, Table2[Species],Table2[Sp. Name], "Code Not Found")</f>
        <v>rubrum</v>
      </c>
      <c r="N1424" t="str">
        <f>_xlfn.XLOOKUP(C1424,Table2[Species],Table2[Family],"Code Not Found")</f>
        <v>Sapindaceae</v>
      </c>
      <c r="O1424" t="str" cm="1">
        <f t="array" ref="O1424">_xlfn.IFS(F1424="","",F1424&lt;=5,"0 to 5",F1424&lt;=10,"5.1 to 10",F1424&lt;=20,"10 to 20", F1424&lt;= 40, "20 to 40", F1424 &lt;= 50, "40 to 50", F1424 &gt; 50, "&gt;50" )</f>
        <v>0 to 5</v>
      </c>
    </row>
    <row r="1425" spans="1:15" ht="14.4" x14ac:dyDescent="0.3">
      <c r="A1425" t="s">
        <v>293</v>
      </c>
      <c r="B1425" s="1">
        <v>46198</v>
      </c>
      <c r="C1425" t="s">
        <v>22</v>
      </c>
      <c r="D1425">
        <v>1302</v>
      </c>
      <c r="E1425">
        <v>1</v>
      </c>
      <c r="F1425">
        <v>23.7</v>
      </c>
      <c r="G1425" t="s">
        <v>88</v>
      </c>
      <c r="H1425" t="s">
        <v>36</v>
      </c>
      <c r="I1425" t="str">
        <f t="shared" si="23"/>
        <v>1302_1</v>
      </c>
      <c r="J1425" t="s">
        <v>294</v>
      </c>
      <c r="K1425" t="s">
        <v>19</v>
      </c>
      <c r="L1425" t="str">
        <f>_xlfn.XLOOKUP(C1425, Table2[Species],Table2[Genus], "Code Not Found")</f>
        <v>Acer</v>
      </c>
      <c r="M1425" t="str">
        <f>_xlfn.XLOOKUP(C1425, Table2[Species],Table2[Sp. Name], "Code Not Found")</f>
        <v>rubrum</v>
      </c>
      <c r="N1425" t="str">
        <f>_xlfn.XLOOKUP(C1425,Table2[Species],Table2[Family],"Code Not Found")</f>
        <v>Sapindaceae</v>
      </c>
      <c r="O1425" t="str" cm="1">
        <f t="array" ref="O1425">_xlfn.IFS(F1425="","",F1425&lt;=5,"0 to 5",F1425&lt;=10,"5.1 to 10",F1425&lt;=20,"10 to 20", F1425&lt;= 40, "20 to 40", F1425 &lt;= 50, "40 to 50", F1425 &gt; 50, "&gt;50" )</f>
        <v>20 to 40</v>
      </c>
    </row>
    <row r="1426" spans="1:15" ht="14.4" x14ac:dyDescent="0.3">
      <c r="A1426" t="s">
        <v>293</v>
      </c>
      <c r="B1426" s="1">
        <v>46198</v>
      </c>
      <c r="C1426" t="s">
        <v>55</v>
      </c>
      <c r="D1426">
        <v>1303</v>
      </c>
      <c r="E1426">
        <v>1</v>
      </c>
      <c r="F1426">
        <v>86.9</v>
      </c>
      <c r="G1426" t="s">
        <v>21</v>
      </c>
      <c r="I1426" t="str">
        <f t="shared" si="23"/>
        <v>1303_1</v>
      </c>
      <c r="J1426" t="s">
        <v>294</v>
      </c>
      <c r="K1426" t="s">
        <v>19</v>
      </c>
      <c r="L1426" t="str">
        <f>_xlfn.XLOOKUP(C1426, Table2[Species],Table2[Genus], "Code Not Found")</f>
        <v>Magnolia</v>
      </c>
      <c r="M1426" t="str">
        <f>_xlfn.XLOOKUP(C1426, Table2[Species],Table2[Sp. Name], "Code Not Found")</f>
        <v>acuminata</v>
      </c>
      <c r="N1426" t="str">
        <f>_xlfn.XLOOKUP(C1426,Table2[Species],Table2[Family],"Code Not Found")</f>
        <v>Magnoliaceae</v>
      </c>
      <c r="O1426" t="str" cm="1">
        <f t="array" ref="O1426">_xlfn.IFS(F1426="","",F1426&lt;=5,"0 to 5",F1426&lt;=10,"5.1 to 10",F1426&lt;=20,"10 to 20", F1426&lt;= 40, "20 to 40", F1426 &lt;= 50, "40 to 50", F1426 &gt; 50, "&gt;50" )</f>
        <v>&gt;50</v>
      </c>
    </row>
    <row r="1427" spans="1:15" ht="14.4" x14ac:dyDescent="0.3">
      <c r="A1427" t="s">
        <v>293</v>
      </c>
      <c r="B1427" s="1">
        <v>46198</v>
      </c>
      <c r="C1427" t="s">
        <v>16</v>
      </c>
      <c r="D1427">
        <v>1304</v>
      </c>
      <c r="E1427">
        <v>1</v>
      </c>
      <c r="F1427">
        <v>7.2</v>
      </c>
      <c r="G1427" t="s">
        <v>17</v>
      </c>
      <c r="I1427" t="str">
        <f t="shared" ref="I1427:I1441" si="24">D1427&amp;"_"&amp;E1427</f>
        <v>1304_1</v>
      </c>
      <c r="J1427" t="s">
        <v>294</v>
      </c>
      <c r="K1427" t="s">
        <v>19</v>
      </c>
      <c r="L1427" t="str">
        <f>_xlfn.XLOOKUP(C1427, Table2[Species],Table2[Genus], "Code Not Found")</f>
        <v>Acer</v>
      </c>
      <c r="M1427" t="str">
        <f>_xlfn.XLOOKUP(C1427, Table2[Species],Table2[Sp. Name], "Code Not Found")</f>
        <v>saccharum</v>
      </c>
      <c r="N1427" t="str">
        <f>_xlfn.XLOOKUP(C1427,Table2[Species],Table2[Family],"Code Not Found")</f>
        <v>Sapindaceae</v>
      </c>
      <c r="O1427" t="str" cm="1">
        <f t="array" ref="O1427">_xlfn.IFS(F1427="","",F1427&lt;=5,"0 to 5",F1427&lt;=10,"5.1 to 10",F1427&lt;=20,"10 to 20", F1427&lt;= 40, "20 to 40", F1427 &lt;= 50, "40 to 50", F1427 &gt; 50, "&gt;50" )</f>
        <v>5.1 to 10</v>
      </c>
    </row>
    <row r="1428" spans="1:15" ht="14.4" x14ac:dyDescent="0.3">
      <c r="A1428" t="s">
        <v>293</v>
      </c>
      <c r="B1428" s="1">
        <v>46198</v>
      </c>
      <c r="C1428" t="s">
        <v>55</v>
      </c>
      <c r="D1428">
        <v>1305</v>
      </c>
      <c r="E1428">
        <v>1</v>
      </c>
      <c r="F1428">
        <v>3.2</v>
      </c>
      <c r="G1428" t="s">
        <v>47</v>
      </c>
      <c r="H1428" t="s">
        <v>296</v>
      </c>
      <c r="I1428" t="str">
        <f t="shared" si="24"/>
        <v>1305_1</v>
      </c>
      <c r="J1428" t="s">
        <v>294</v>
      </c>
      <c r="K1428" t="s">
        <v>19</v>
      </c>
      <c r="L1428" t="str">
        <f>_xlfn.XLOOKUP(C1428, Table2[Species],Table2[Genus], "Code Not Found")</f>
        <v>Magnolia</v>
      </c>
      <c r="M1428" t="str">
        <f>_xlfn.XLOOKUP(C1428, Table2[Species],Table2[Sp. Name], "Code Not Found")</f>
        <v>acuminata</v>
      </c>
      <c r="N1428" t="str">
        <f>_xlfn.XLOOKUP(C1428,Table2[Species],Table2[Family],"Code Not Found")</f>
        <v>Magnoliaceae</v>
      </c>
      <c r="O1428" t="str" cm="1">
        <f t="array" ref="O1428">_xlfn.IFS(F1428="","",F1428&lt;=5,"0 to 5",F1428&lt;=10,"5.1 to 10",F1428&lt;=20,"10 to 20", F1428&lt;= 40, "20 to 40", F1428 &lt;= 50, "40 to 50", F1428 &gt; 50, "&gt;50" )</f>
        <v>0 to 5</v>
      </c>
    </row>
    <row r="1429" spans="1:15" ht="14.4" x14ac:dyDescent="0.3">
      <c r="A1429" t="s">
        <v>293</v>
      </c>
      <c r="B1429" s="1">
        <v>46198</v>
      </c>
      <c r="C1429" t="s">
        <v>16</v>
      </c>
      <c r="D1429">
        <v>1306</v>
      </c>
      <c r="E1429">
        <v>1</v>
      </c>
      <c r="F1429">
        <v>3.5</v>
      </c>
      <c r="G1429" t="s">
        <v>47</v>
      </c>
      <c r="H1429" t="s">
        <v>298</v>
      </c>
      <c r="I1429" t="str">
        <f t="shared" si="24"/>
        <v>1306_1</v>
      </c>
      <c r="J1429" t="s">
        <v>294</v>
      </c>
      <c r="K1429" t="s">
        <v>19</v>
      </c>
      <c r="L1429" t="str">
        <f>_xlfn.XLOOKUP(C1429, Table2[Species],Table2[Genus], "Code Not Found")</f>
        <v>Acer</v>
      </c>
      <c r="M1429" t="str">
        <f>_xlfn.XLOOKUP(C1429, Table2[Species],Table2[Sp. Name], "Code Not Found")</f>
        <v>saccharum</v>
      </c>
      <c r="N1429" t="str">
        <f>_xlfn.XLOOKUP(C1429,Table2[Species],Table2[Family],"Code Not Found")</f>
        <v>Sapindaceae</v>
      </c>
      <c r="O1429" t="str" cm="1">
        <f t="array" ref="O1429">_xlfn.IFS(F1429="","",F1429&lt;=5,"0 to 5",F1429&lt;=10,"5.1 to 10",F1429&lt;=20,"10 to 20", F1429&lt;= 40, "20 to 40", F1429 &lt;= 50, "40 to 50", F1429 &gt; 50, "&gt;50" )</f>
        <v>0 to 5</v>
      </c>
    </row>
    <row r="1430" spans="1:15" ht="14.4" x14ac:dyDescent="0.3">
      <c r="A1430" t="s">
        <v>293</v>
      </c>
      <c r="B1430" s="1">
        <v>46198</v>
      </c>
      <c r="C1430" t="s">
        <v>16</v>
      </c>
      <c r="D1430">
        <v>1307</v>
      </c>
      <c r="E1430">
        <v>1</v>
      </c>
      <c r="F1430">
        <v>10.1</v>
      </c>
      <c r="G1430" t="s">
        <v>254</v>
      </c>
      <c r="H1430" t="s">
        <v>299</v>
      </c>
      <c r="I1430" t="str">
        <f t="shared" si="24"/>
        <v>1307_1</v>
      </c>
      <c r="J1430" t="s">
        <v>294</v>
      </c>
      <c r="K1430" t="s">
        <v>19</v>
      </c>
      <c r="L1430" t="str">
        <f>_xlfn.XLOOKUP(C1430, Table2[Species],Table2[Genus], "Code Not Found")</f>
        <v>Acer</v>
      </c>
      <c r="M1430" t="str">
        <f>_xlfn.XLOOKUP(C1430, Table2[Species],Table2[Sp. Name], "Code Not Found")</f>
        <v>saccharum</v>
      </c>
      <c r="N1430" t="str">
        <f>_xlfn.XLOOKUP(C1430,Table2[Species],Table2[Family],"Code Not Found")</f>
        <v>Sapindaceae</v>
      </c>
      <c r="O1430" t="str" cm="1">
        <f t="array" ref="O1430">_xlfn.IFS(F1430="","",F1430&lt;=5,"0 to 5",F1430&lt;=10,"5.1 to 10",F1430&lt;=20,"10 to 20", F1430&lt;= 40, "20 to 40", F1430 &lt;= 50, "40 to 50", F1430 &gt; 50, "&gt;50" )</f>
        <v>10 to 20</v>
      </c>
    </row>
    <row r="1431" spans="1:15" ht="14.4" x14ac:dyDescent="0.3">
      <c r="A1431" t="s">
        <v>293</v>
      </c>
      <c r="B1431" s="1">
        <v>46198</v>
      </c>
      <c r="C1431" t="s">
        <v>16</v>
      </c>
      <c r="D1431">
        <v>1308</v>
      </c>
      <c r="E1431">
        <v>1</v>
      </c>
      <c r="F1431">
        <v>2.9</v>
      </c>
      <c r="G1431" t="s">
        <v>88</v>
      </c>
      <c r="H1431" t="s">
        <v>300</v>
      </c>
      <c r="I1431" t="str">
        <f t="shared" si="24"/>
        <v>1308_1</v>
      </c>
      <c r="J1431" t="s">
        <v>294</v>
      </c>
      <c r="K1431" t="s">
        <v>19</v>
      </c>
      <c r="L1431" t="str">
        <f>_xlfn.XLOOKUP(C1431, Table2[Species],Table2[Genus], "Code Not Found")</f>
        <v>Acer</v>
      </c>
      <c r="M1431" t="str">
        <f>_xlfn.XLOOKUP(C1431, Table2[Species],Table2[Sp. Name], "Code Not Found")</f>
        <v>saccharum</v>
      </c>
      <c r="N1431" t="str">
        <f>_xlfn.XLOOKUP(C1431,Table2[Species],Table2[Family],"Code Not Found")</f>
        <v>Sapindaceae</v>
      </c>
      <c r="O1431" t="str" cm="1">
        <f t="array" ref="O1431">_xlfn.IFS(F1431="","",F1431&lt;=5,"0 to 5",F1431&lt;=10,"5.1 to 10",F1431&lt;=20,"10 to 20", F1431&lt;= 40, "20 to 40", F1431 &lt;= 50, "40 to 50", F1431 &gt; 50, "&gt;50" )</f>
        <v>0 to 5</v>
      </c>
    </row>
    <row r="1432" spans="1:15" ht="14.4" x14ac:dyDescent="0.3">
      <c r="A1432" t="s">
        <v>293</v>
      </c>
      <c r="B1432" s="1">
        <v>46198</v>
      </c>
      <c r="C1432" t="s">
        <v>16</v>
      </c>
      <c r="D1432">
        <v>1309</v>
      </c>
      <c r="E1432">
        <v>1</v>
      </c>
      <c r="F1432">
        <v>2.6</v>
      </c>
      <c r="G1432" t="s">
        <v>139</v>
      </c>
      <c r="H1432" t="s">
        <v>301</v>
      </c>
      <c r="I1432" t="str">
        <f t="shared" si="24"/>
        <v>1309_1</v>
      </c>
      <c r="J1432" t="s">
        <v>294</v>
      </c>
      <c r="K1432" t="s">
        <v>19</v>
      </c>
      <c r="L1432" t="str">
        <f>_xlfn.XLOOKUP(C1432, Table2[Species],Table2[Genus], "Code Not Found")</f>
        <v>Acer</v>
      </c>
      <c r="M1432" t="str">
        <f>_xlfn.XLOOKUP(C1432, Table2[Species],Table2[Sp. Name], "Code Not Found")</f>
        <v>saccharum</v>
      </c>
      <c r="N1432" t="str">
        <f>_xlfn.XLOOKUP(C1432,Table2[Species],Table2[Family],"Code Not Found")</f>
        <v>Sapindaceae</v>
      </c>
      <c r="O1432" t="str" cm="1">
        <f t="array" ref="O1432">_xlfn.IFS(F1432="","",F1432&lt;=5,"0 to 5",F1432&lt;=10,"5.1 to 10",F1432&lt;=20,"10 to 20", F1432&lt;= 40, "20 to 40", F1432 &lt;= 50, "40 to 50", F1432 &gt; 50, "&gt;50" )</f>
        <v>0 to 5</v>
      </c>
    </row>
    <row r="1433" spans="1:15" ht="14.4" x14ac:dyDescent="0.3">
      <c r="A1433" t="s">
        <v>293</v>
      </c>
      <c r="B1433" s="1">
        <v>46198</v>
      </c>
      <c r="C1433" t="s">
        <v>16</v>
      </c>
      <c r="D1433">
        <v>1310</v>
      </c>
      <c r="E1433">
        <v>1</v>
      </c>
      <c r="F1433">
        <v>4.3</v>
      </c>
      <c r="G1433" t="s">
        <v>139</v>
      </c>
      <c r="H1433" t="s">
        <v>262</v>
      </c>
      <c r="I1433" t="str">
        <f t="shared" si="24"/>
        <v>1310_1</v>
      </c>
      <c r="J1433" t="s">
        <v>294</v>
      </c>
      <c r="K1433" t="s">
        <v>19</v>
      </c>
      <c r="L1433" t="str">
        <f>_xlfn.XLOOKUP(C1433, Table2[Species],Table2[Genus], "Code Not Found")</f>
        <v>Acer</v>
      </c>
      <c r="M1433" t="str">
        <f>_xlfn.XLOOKUP(C1433, Table2[Species],Table2[Sp. Name], "Code Not Found")</f>
        <v>saccharum</v>
      </c>
      <c r="N1433" t="str">
        <f>_xlfn.XLOOKUP(C1433,Table2[Species],Table2[Family],"Code Not Found")</f>
        <v>Sapindaceae</v>
      </c>
      <c r="O1433" t="str" cm="1">
        <f t="array" ref="O1433">_xlfn.IFS(F1433="","",F1433&lt;=5,"0 to 5",F1433&lt;=10,"5.1 to 10",F1433&lt;=20,"10 to 20", F1433&lt;= 40, "20 to 40", F1433 &lt;= 50, "40 to 50", F1433 &gt; 50, "&gt;50" )</f>
        <v>0 to 5</v>
      </c>
    </row>
    <row r="1434" spans="1:15" ht="14.4" x14ac:dyDescent="0.3">
      <c r="A1434" t="s">
        <v>293</v>
      </c>
      <c r="B1434" s="1">
        <v>46198</v>
      </c>
      <c r="C1434" t="s">
        <v>64</v>
      </c>
      <c r="D1434">
        <v>1311</v>
      </c>
      <c r="E1434">
        <v>1</v>
      </c>
      <c r="F1434">
        <v>32.6</v>
      </c>
      <c r="G1434" t="s">
        <v>21</v>
      </c>
      <c r="I1434" t="str">
        <f t="shared" si="24"/>
        <v>1311_1</v>
      </c>
      <c r="J1434" t="s">
        <v>294</v>
      </c>
      <c r="K1434" t="s">
        <v>19</v>
      </c>
      <c r="L1434" t="str">
        <f>_xlfn.XLOOKUP(C1434, Table2[Species],Table2[Genus], "Code Not Found")</f>
        <v>Fagus</v>
      </c>
      <c r="M1434" t="str">
        <f>_xlfn.XLOOKUP(C1434, Table2[Species],Table2[Sp. Name], "Code Not Found")</f>
        <v>grandifolia</v>
      </c>
      <c r="N1434" t="str">
        <f>_xlfn.XLOOKUP(C1434,Table2[Species],Table2[Family],"Code Not Found")</f>
        <v>Fagaceae</v>
      </c>
      <c r="O1434" t="str" cm="1">
        <f t="array" ref="O1434">_xlfn.IFS(F1434="","",F1434&lt;=5,"0 to 5",F1434&lt;=10,"5.1 to 10",F1434&lt;=20,"10 to 20", F1434&lt;= 40, "20 to 40", F1434 &lt;= 50, "40 to 50", F1434 &gt; 50, "&gt;50" )</f>
        <v>20 to 40</v>
      </c>
    </row>
    <row r="1435" spans="1:15" ht="14.4" x14ac:dyDescent="0.3">
      <c r="A1435" t="s">
        <v>293</v>
      </c>
      <c r="B1435" s="1">
        <v>46198</v>
      </c>
      <c r="C1435" t="s">
        <v>16</v>
      </c>
      <c r="D1435">
        <v>1312</v>
      </c>
      <c r="E1435">
        <v>1</v>
      </c>
      <c r="F1435">
        <v>5.6</v>
      </c>
      <c r="G1435" t="s">
        <v>17</v>
      </c>
      <c r="I1435" t="str">
        <f t="shared" si="24"/>
        <v>1312_1</v>
      </c>
      <c r="J1435" t="s">
        <v>294</v>
      </c>
      <c r="K1435" t="s">
        <v>19</v>
      </c>
      <c r="L1435" t="str">
        <f>_xlfn.XLOOKUP(C1435, Table2[Species],Table2[Genus], "Code Not Found")</f>
        <v>Acer</v>
      </c>
      <c r="M1435" t="str">
        <f>_xlfn.XLOOKUP(C1435, Table2[Species],Table2[Sp. Name], "Code Not Found")</f>
        <v>saccharum</v>
      </c>
      <c r="N1435" t="str">
        <f>_xlfn.XLOOKUP(C1435,Table2[Species],Table2[Family],"Code Not Found")</f>
        <v>Sapindaceae</v>
      </c>
      <c r="O1435" t="str" cm="1">
        <f t="array" ref="O1435">_xlfn.IFS(F1435="","",F1435&lt;=5,"0 to 5",F1435&lt;=10,"5.1 to 10",F1435&lt;=20,"10 to 20", F1435&lt;= 40, "20 to 40", F1435 &lt;= 50, "40 to 50", F1435 &gt; 50, "&gt;50" )</f>
        <v>5.1 to 10</v>
      </c>
    </row>
    <row r="1436" spans="1:15" ht="14.4" x14ac:dyDescent="0.3">
      <c r="A1436" t="s">
        <v>293</v>
      </c>
      <c r="B1436" s="1">
        <v>46198</v>
      </c>
      <c r="C1436" t="s">
        <v>16</v>
      </c>
      <c r="D1436">
        <v>1313</v>
      </c>
      <c r="E1436">
        <v>1</v>
      </c>
      <c r="F1436">
        <v>1.9</v>
      </c>
      <c r="G1436" t="s">
        <v>47</v>
      </c>
      <c r="H1436" t="s">
        <v>296</v>
      </c>
      <c r="I1436" t="str">
        <f t="shared" si="24"/>
        <v>1313_1</v>
      </c>
      <c r="J1436" t="s">
        <v>294</v>
      </c>
      <c r="K1436" t="s">
        <v>19</v>
      </c>
      <c r="L1436" t="str">
        <f>_xlfn.XLOOKUP(C1436, Table2[Species],Table2[Genus], "Code Not Found")</f>
        <v>Acer</v>
      </c>
      <c r="M1436" t="str">
        <f>_xlfn.XLOOKUP(C1436, Table2[Species],Table2[Sp. Name], "Code Not Found")</f>
        <v>saccharum</v>
      </c>
      <c r="N1436" t="str">
        <f>_xlfn.XLOOKUP(C1436,Table2[Species],Table2[Family],"Code Not Found")</f>
        <v>Sapindaceae</v>
      </c>
      <c r="O1436" t="str" cm="1">
        <f t="array" ref="O1436">_xlfn.IFS(F1436="","",F1436&lt;=5,"0 to 5",F1436&lt;=10,"5.1 to 10",F1436&lt;=20,"10 to 20", F1436&lt;= 40, "20 to 40", F1436 &lt;= 50, "40 to 50", F1436 &gt; 50, "&gt;50" )</f>
        <v>0 to 5</v>
      </c>
    </row>
    <row r="1437" spans="1:15" ht="14.4" x14ac:dyDescent="0.3">
      <c r="A1437" t="s">
        <v>293</v>
      </c>
      <c r="B1437" s="1">
        <v>46198</v>
      </c>
      <c r="C1437" t="s">
        <v>185</v>
      </c>
      <c r="D1437">
        <v>1314</v>
      </c>
      <c r="E1437">
        <v>1</v>
      </c>
      <c r="F1437">
        <v>20</v>
      </c>
      <c r="G1437" t="s">
        <v>139</v>
      </c>
      <c r="H1437" t="s">
        <v>302</v>
      </c>
      <c r="I1437" t="str">
        <f t="shared" si="24"/>
        <v>1314_1</v>
      </c>
      <c r="J1437" t="s">
        <v>294</v>
      </c>
      <c r="K1437" t="s">
        <v>19</v>
      </c>
      <c r="L1437" t="str">
        <f>_xlfn.XLOOKUP(C1437, Table2[Species],Table2[Genus], "Code Not Found")</f>
        <v>Fraxinus</v>
      </c>
      <c r="M1437" t="str">
        <f>_xlfn.XLOOKUP(C1437, Table2[Species],Table2[Sp. Name], "Code Not Found")</f>
        <v>americana</v>
      </c>
      <c r="N1437" t="str">
        <f>_xlfn.XLOOKUP(C1437,Table2[Species],Table2[Family],"Code Not Found")</f>
        <v>Oleaceae</v>
      </c>
      <c r="O1437" t="str" cm="1">
        <f t="array" ref="O1437">_xlfn.IFS(F1437="","",F1437&lt;=5,"0 to 5",F1437&lt;=10,"5.1 to 10",F1437&lt;=20,"10 to 20", F1437&lt;= 40, "20 to 40", F1437 &lt;= 50, "40 to 50", F1437 &gt; 50, "&gt;50" )</f>
        <v>10 to 20</v>
      </c>
    </row>
    <row r="1438" spans="1:15" ht="14.4" x14ac:dyDescent="0.3">
      <c r="A1438" t="s">
        <v>293</v>
      </c>
      <c r="B1438" s="1">
        <v>46198</v>
      </c>
      <c r="C1438" t="s">
        <v>16</v>
      </c>
      <c r="D1438">
        <v>1315</v>
      </c>
      <c r="E1438">
        <v>1</v>
      </c>
      <c r="F1438">
        <v>4.4000000000000004</v>
      </c>
      <c r="G1438" t="s">
        <v>47</v>
      </c>
      <c r="H1438" t="s">
        <v>296</v>
      </c>
      <c r="I1438" t="str">
        <f t="shared" si="24"/>
        <v>1315_1</v>
      </c>
      <c r="J1438" t="s">
        <v>294</v>
      </c>
      <c r="K1438" t="s">
        <v>19</v>
      </c>
      <c r="L1438" t="str">
        <f>_xlfn.XLOOKUP(C1438, Table2[Species],Table2[Genus], "Code Not Found")</f>
        <v>Acer</v>
      </c>
      <c r="M1438" t="str">
        <f>_xlfn.XLOOKUP(C1438, Table2[Species],Table2[Sp. Name], "Code Not Found")</f>
        <v>saccharum</v>
      </c>
      <c r="N1438" t="str">
        <f>_xlfn.XLOOKUP(C1438,Table2[Species],Table2[Family],"Code Not Found")</f>
        <v>Sapindaceae</v>
      </c>
      <c r="O1438" t="str" cm="1">
        <f t="array" ref="O1438">_xlfn.IFS(F1438="","",F1438&lt;=5,"0 to 5",F1438&lt;=10,"5.1 to 10",F1438&lt;=20,"10 to 20", F1438&lt;= 40, "20 to 40", F1438 &lt;= 50, "40 to 50", F1438 &gt; 50, "&gt;50" )</f>
        <v>0 to 5</v>
      </c>
    </row>
    <row r="1439" spans="1:15" ht="14.4" x14ac:dyDescent="0.3">
      <c r="A1439" t="s">
        <v>293</v>
      </c>
      <c r="B1439" s="1">
        <v>46198</v>
      </c>
      <c r="C1439" t="s">
        <v>16</v>
      </c>
      <c r="D1439">
        <v>1316</v>
      </c>
      <c r="E1439">
        <v>1</v>
      </c>
      <c r="F1439">
        <v>8.5</v>
      </c>
      <c r="G1439" t="s">
        <v>17</v>
      </c>
      <c r="I1439" t="str">
        <f t="shared" si="24"/>
        <v>1316_1</v>
      </c>
      <c r="J1439" t="s">
        <v>294</v>
      </c>
      <c r="K1439" t="s">
        <v>19</v>
      </c>
      <c r="L1439" t="str">
        <f>_xlfn.XLOOKUP(C1439, Table2[Species],Table2[Genus], "Code Not Found")</f>
        <v>Acer</v>
      </c>
      <c r="M1439" t="str">
        <f>_xlfn.XLOOKUP(C1439, Table2[Species],Table2[Sp. Name], "Code Not Found")</f>
        <v>saccharum</v>
      </c>
      <c r="N1439" t="str">
        <f>_xlfn.XLOOKUP(C1439,Table2[Species],Table2[Family],"Code Not Found")</f>
        <v>Sapindaceae</v>
      </c>
      <c r="O1439" t="str" cm="1">
        <f t="array" ref="O1439">_xlfn.IFS(F1439="","",F1439&lt;=5,"0 to 5",F1439&lt;=10,"5.1 to 10",F1439&lt;=20,"10 to 20", F1439&lt;= 40, "20 to 40", F1439 &lt;= 50, "40 to 50", F1439 &gt; 50, "&gt;50" )</f>
        <v>5.1 to 10</v>
      </c>
    </row>
    <row r="1440" spans="1:15" ht="14.4" x14ac:dyDescent="0.3">
      <c r="A1440" t="s">
        <v>293</v>
      </c>
      <c r="B1440" s="1">
        <v>46198</v>
      </c>
      <c r="C1440" t="s">
        <v>16</v>
      </c>
      <c r="D1440">
        <v>1317</v>
      </c>
      <c r="E1440">
        <v>1</v>
      </c>
      <c r="F1440">
        <v>7.1</v>
      </c>
      <c r="G1440" t="s">
        <v>21</v>
      </c>
      <c r="I1440" t="str">
        <f t="shared" si="24"/>
        <v>1317_1</v>
      </c>
      <c r="J1440" t="s">
        <v>294</v>
      </c>
      <c r="K1440" t="s">
        <v>19</v>
      </c>
      <c r="L1440" t="str">
        <f>_xlfn.XLOOKUP(C1440, Table2[Species],Table2[Genus], "Code Not Found")</f>
        <v>Acer</v>
      </c>
      <c r="M1440" t="str">
        <f>_xlfn.XLOOKUP(C1440, Table2[Species],Table2[Sp. Name], "Code Not Found")</f>
        <v>saccharum</v>
      </c>
      <c r="N1440" t="str">
        <f>_xlfn.XLOOKUP(C1440,Table2[Species],Table2[Family],"Code Not Found")</f>
        <v>Sapindaceae</v>
      </c>
      <c r="O1440" t="str" cm="1">
        <f t="array" ref="O1440">_xlfn.IFS(F1440="","",F1440&lt;=5,"0 to 5",F1440&lt;=10,"5.1 to 10",F1440&lt;=20,"10 to 20", F1440&lt;= 40, "20 to 40", F1440 &lt;= 50, "40 to 50", F1440 &gt; 50, "&gt;50" )</f>
        <v>5.1 to 10</v>
      </c>
    </row>
    <row r="1441" spans="1:15" ht="14.4" x14ac:dyDescent="0.3">
      <c r="A1441" t="s">
        <v>293</v>
      </c>
      <c r="B1441" s="1">
        <v>46198</v>
      </c>
      <c r="C1441" t="s">
        <v>16</v>
      </c>
      <c r="D1441">
        <v>1318</v>
      </c>
      <c r="E1441">
        <v>1</v>
      </c>
      <c r="F1441">
        <v>15.4</v>
      </c>
      <c r="G1441" t="s">
        <v>21</v>
      </c>
      <c r="I1441" t="str">
        <f t="shared" si="24"/>
        <v>1318_1</v>
      </c>
      <c r="J1441" t="s">
        <v>294</v>
      </c>
      <c r="K1441" t="s">
        <v>19</v>
      </c>
      <c r="L1441" t="str">
        <f>_xlfn.XLOOKUP(C1441, Table2[Species],Table2[Genus], "Code Not Found")</f>
        <v>Acer</v>
      </c>
      <c r="M1441" t="str">
        <f>_xlfn.XLOOKUP(C1441, Table2[Species],Table2[Sp. Name], "Code Not Found")</f>
        <v>saccharum</v>
      </c>
      <c r="N1441" t="str">
        <f>_xlfn.XLOOKUP(C1441,Table2[Species],Table2[Family],"Code Not Found")</f>
        <v>Sapindaceae</v>
      </c>
      <c r="O1441" t="str" cm="1">
        <f t="array" ref="O1441">_xlfn.IFS(F1441="","",F1441&lt;=5,"0 to 5",F1441&lt;=10,"5.1 to 10",F1441&lt;=20,"10 to 20", F1441&lt;= 40, "20 to 40", F1441 &lt;= 50, "40 to 50", F1441 &gt; 50, "&gt;50" )</f>
        <v>10 to 20</v>
      </c>
    </row>
    <row r="1442" spans="1:15" ht="14.4" x14ac:dyDescent="0.3">
      <c r="A1442" t="s">
        <v>293</v>
      </c>
      <c r="B1442" s="1">
        <v>46198</v>
      </c>
      <c r="C1442" t="s">
        <v>16</v>
      </c>
      <c r="D1442">
        <v>1319</v>
      </c>
      <c r="E1442">
        <v>1</v>
      </c>
      <c r="F1442">
        <v>7.1</v>
      </c>
      <c r="G1442" t="s">
        <v>17</v>
      </c>
      <c r="H1442" t="s">
        <v>303</v>
      </c>
      <c r="I1442" t="str">
        <f t="shared" ref="I1442:I1464" si="25">D1442&amp;"_"&amp;E1442</f>
        <v>1319_1</v>
      </c>
      <c r="J1442" t="s">
        <v>294</v>
      </c>
      <c r="K1442" t="s">
        <v>19</v>
      </c>
      <c r="L1442" t="str">
        <f>_xlfn.XLOOKUP(C1442, Table2[Species],Table2[Genus], "Code Not Found")</f>
        <v>Acer</v>
      </c>
      <c r="M1442" t="str">
        <f>_xlfn.XLOOKUP(C1442, Table2[Species],Table2[Sp. Name], "Code Not Found")</f>
        <v>saccharum</v>
      </c>
      <c r="N1442" t="str">
        <f>_xlfn.XLOOKUP(C1442,Table2[Species],Table2[Family],"Code Not Found")</f>
        <v>Sapindaceae</v>
      </c>
      <c r="O1442" t="str" cm="1">
        <f t="array" ref="O1442">_xlfn.IFS(F1442="","",F1442&lt;=5,"0 to 5",F1442&lt;=10,"5.1 to 10",F1442&lt;=20,"10 to 20", F1442&lt;= 40, "20 to 40", F1442 &lt;= 50, "40 to 50", F1442 &gt; 50, "&gt;50" )</f>
        <v>5.1 to 10</v>
      </c>
    </row>
    <row r="1443" spans="1:15" ht="14.4" x14ac:dyDescent="0.3">
      <c r="A1443" t="s">
        <v>293</v>
      </c>
      <c r="B1443" s="1">
        <v>46198</v>
      </c>
      <c r="C1443" t="s">
        <v>16</v>
      </c>
      <c r="D1443">
        <v>1320</v>
      </c>
      <c r="E1443">
        <v>1</v>
      </c>
      <c r="F1443">
        <v>2.5</v>
      </c>
      <c r="G1443" t="s">
        <v>47</v>
      </c>
      <c r="H1443" t="s">
        <v>296</v>
      </c>
      <c r="I1443" t="str">
        <f t="shared" si="25"/>
        <v>1320_1</v>
      </c>
      <c r="J1443" t="s">
        <v>294</v>
      </c>
      <c r="K1443" t="s">
        <v>19</v>
      </c>
      <c r="L1443" t="str">
        <f>_xlfn.XLOOKUP(C1443, Table2[Species],Table2[Genus], "Code Not Found")</f>
        <v>Acer</v>
      </c>
      <c r="M1443" t="str">
        <f>_xlfn.XLOOKUP(C1443, Table2[Species],Table2[Sp. Name], "Code Not Found")</f>
        <v>saccharum</v>
      </c>
      <c r="N1443" t="str">
        <f>_xlfn.XLOOKUP(C1443,Table2[Species],Table2[Family],"Code Not Found")</f>
        <v>Sapindaceae</v>
      </c>
      <c r="O1443" t="str" cm="1">
        <f t="array" ref="O1443">_xlfn.IFS(F1443="","",F1443&lt;=5,"0 to 5",F1443&lt;=10,"5.1 to 10",F1443&lt;=20,"10 to 20", F1443&lt;= 40, "20 to 40", F1443 &lt;= 50, "40 to 50", F1443 &gt; 50, "&gt;50" )</f>
        <v>0 to 5</v>
      </c>
    </row>
    <row r="1444" spans="1:15" ht="14.4" x14ac:dyDescent="0.3">
      <c r="A1444" t="s">
        <v>293</v>
      </c>
      <c r="B1444" s="1">
        <v>46198</v>
      </c>
      <c r="C1444" t="s">
        <v>22</v>
      </c>
      <c r="D1444">
        <v>1321</v>
      </c>
      <c r="E1444">
        <v>1</v>
      </c>
      <c r="F1444">
        <v>6.8</v>
      </c>
      <c r="G1444" t="s">
        <v>17</v>
      </c>
      <c r="H1444" t="s">
        <v>36</v>
      </c>
      <c r="I1444" t="str">
        <f t="shared" si="25"/>
        <v>1321_1</v>
      </c>
      <c r="J1444" t="s">
        <v>294</v>
      </c>
      <c r="K1444" t="s">
        <v>19</v>
      </c>
      <c r="L1444" t="str">
        <f>_xlfn.XLOOKUP(C1444, Table2[Species],Table2[Genus], "Code Not Found")</f>
        <v>Acer</v>
      </c>
      <c r="M1444" t="str">
        <f>_xlfn.XLOOKUP(C1444, Table2[Species],Table2[Sp. Name], "Code Not Found")</f>
        <v>rubrum</v>
      </c>
      <c r="N1444" t="str">
        <f>_xlfn.XLOOKUP(C1444,Table2[Species],Table2[Family],"Code Not Found")</f>
        <v>Sapindaceae</v>
      </c>
      <c r="O1444" t="str" cm="1">
        <f t="array" ref="O1444">_xlfn.IFS(F1444="","",F1444&lt;=5,"0 to 5",F1444&lt;=10,"5.1 to 10",F1444&lt;=20,"10 to 20", F1444&lt;= 40, "20 to 40", F1444 &lt;= 50, "40 to 50", F1444 &gt; 50, "&gt;50" )</f>
        <v>5.1 to 10</v>
      </c>
    </row>
    <row r="1445" spans="1:15" ht="14.4" x14ac:dyDescent="0.3">
      <c r="A1445" t="s">
        <v>293</v>
      </c>
      <c r="B1445" s="1">
        <v>46198</v>
      </c>
      <c r="C1445" t="s">
        <v>16</v>
      </c>
      <c r="D1445">
        <v>1322</v>
      </c>
      <c r="E1445">
        <v>1</v>
      </c>
      <c r="F1445">
        <v>5.6</v>
      </c>
      <c r="G1445" t="s">
        <v>94</v>
      </c>
      <c r="H1445" t="s">
        <v>262</v>
      </c>
      <c r="I1445" t="str">
        <f t="shared" si="25"/>
        <v>1322_1</v>
      </c>
      <c r="J1445" t="s">
        <v>294</v>
      </c>
      <c r="K1445" t="s">
        <v>19</v>
      </c>
      <c r="L1445" t="str">
        <f>_xlfn.XLOOKUP(C1445, Table2[Species],Table2[Genus], "Code Not Found")</f>
        <v>Acer</v>
      </c>
      <c r="M1445" t="str">
        <f>_xlfn.XLOOKUP(C1445, Table2[Species],Table2[Sp. Name], "Code Not Found")</f>
        <v>saccharum</v>
      </c>
      <c r="N1445" t="str">
        <f>_xlfn.XLOOKUP(C1445,Table2[Species],Table2[Family],"Code Not Found")</f>
        <v>Sapindaceae</v>
      </c>
      <c r="O1445" t="str" cm="1">
        <f t="array" ref="O1445">_xlfn.IFS(F1445="","",F1445&lt;=5,"0 to 5",F1445&lt;=10,"5.1 to 10",F1445&lt;=20,"10 to 20", F1445&lt;= 40, "20 to 40", F1445 &lt;= 50, "40 to 50", F1445 &gt; 50, "&gt;50" )</f>
        <v>5.1 to 10</v>
      </c>
    </row>
    <row r="1446" spans="1:15" ht="14.4" x14ac:dyDescent="0.3">
      <c r="A1446" t="s">
        <v>293</v>
      </c>
      <c r="B1446" s="1">
        <v>46198</v>
      </c>
      <c r="C1446" t="s">
        <v>16</v>
      </c>
      <c r="D1446">
        <v>1323</v>
      </c>
      <c r="E1446">
        <v>1</v>
      </c>
      <c r="F1446">
        <v>7.4</v>
      </c>
      <c r="G1446" t="s">
        <v>17</v>
      </c>
      <c r="I1446" t="str">
        <f t="shared" si="25"/>
        <v>1323_1</v>
      </c>
      <c r="J1446" t="s">
        <v>294</v>
      </c>
      <c r="K1446" t="s">
        <v>19</v>
      </c>
      <c r="L1446" t="str">
        <f>_xlfn.XLOOKUP(C1446, Table2[Species],Table2[Genus], "Code Not Found")</f>
        <v>Acer</v>
      </c>
      <c r="M1446" t="str">
        <f>_xlfn.XLOOKUP(C1446, Table2[Species],Table2[Sp. Name], "Code Not Found")</f>
        <v>saccharum</v>
      </c>
      <c r="N1446" t="str">
        <f>_xlfn.XLOOKUP(C1446,Table2[Species],Table2[Family],"Code Not Found")</f>
        <v>Sapindaceae</v>
      </c>
      <c r="O1446" t="str" cm="1">
        <f t="array" ref="O1446">_xlfn.IFS(F1446="","",F1446&lt;=5,"0 to 5",F1446&lt;=10,"5.1 to 10",F1446&lt;=20,"10 to 20", F1446&lt;= 40, "20 to 40", F1446 &lt;= 50, "40 to 50", F1446 &gt; 50, "&gt;50" )</f>
        <v>5.1 to 10</v>
      </c>
    </row>
    <row r="1447" spans="1:15" ht="14.4" x14ac:dyDescent="0.3">
      <c r="A1447" t="s">
        <v>293</v>
      </c>
      <c r="B1447" s="1">
        <v>46198</v>
      </c>
      <c r="C1447" t="s">
        <v>16</v>
      </c>
      <c r="D1447">
        <v>1324</v>
      </c>
      <c r="E1447">
        <v>1</v>
      </c>
      <c r="F1447">
        <v>3.4</v>
      </c>
      <c r="G1447" t="s">
        <v>156</v>
      </c>
      <c r="I1447" t="str">
        <f t="shared" si="25"/>
        <v>1324_1</v>
      </c>
      <c r="J1447" t="s">
        <v>294</v>
      </c>
      <c r="K1447" t="s">
        <v>19</v>
      </c>
      <c r="L1447" t="str">
        <f>_xlfn.XLOOKUP(C1447, Table2[Species],Table2[Genus], "Code Not Found")</f>
        <v>Acer</v>
      </c>
      <c r="M1447" t="str">
        <f>_xlfn.XLOOKUP(C1447, Table2[Species],Table2[Sp. Name], "Code Not Found")</f>
        <v>saccharum</v>
      </c>
      <c r="N1447" t="str">
        <f>_xlfn.XLOOKUP(C1447,Table2[Species],Table2[Family],"Code Not Found")</f>
        <v>Sapindaceae</v>
      </c>
      <c r="O1447" t="str" cm="1">
        <f t="array" ref="O1447">_xlfn.IFS(F1447="","",F1447&lt;=5,"0 to 5",F1447&lt;=10,"5.1 to 10",F1447&lt;=20,"10 to 20", F1447&lt;= 40, "20 to 40", F1447 &lt;= 50, "40 to 50", F1447 &gt; 50, "&gt;50" )</f>
        <v>0 to 5</v>
      </c>
    </row>
    <row r="1448" spans="1:15" ht="14.4" x14ac:dyDescent="0.3">
      <c r="A1448" t="s">
        <v>293</v>
      </c>
      <c r="B1448" s="1">
        <v>46198</v>
      </c>
      <c r="C1448" t="s">
        <v>22</v>
      </c>
      <c r="D1448">
        <v>1325</v>
      </c>
      <c r="E1448">
        <v>1</v>
      </c>
      <c r="F1448">
        <v>34.9</v>
      </c>
      <c r="G1448" t="s">
        <v>21</v>
      </c>
      <c r="I1448" t="str">
        <f t="shared" si="25"/>
        <v>1325_1</v>
      </c>
      <c r="J1448" t="s">
        <v>294</v>
      </c>
      <c r="K1448" t="s">
        <v>19</v>
      </c>
      <c r="L1448" t="str">
        <f>_xlfn.XLOOKUP(C1448, Table2[Species],Table2[Genus], "Code Not Found")</f>
        <v>Acer</v>
      </c>
      <c r="M1448" t="str">
        <f>_xlfn.XLOOKUP(C1448, Table2[Species],Table2[Sp. Name], "Code Not Found")</f>
        <v>rubrum</v>
      </c>
      <c r="N1448" t="str">
        <f>_xlfn.XLOOKUP(C1448,Table2[Species],Table2[Family],"Code Not Found")</f>
        <v>Sapindaceae</v>
      </c>
      <c r="O1448" t="str" cm="1">
        <f t="array" ref="O1448">_xlfn.IFS(F1448="","",F1448&lt;=5,"0 to 5",F1448&lt;=10,"5.1 to 10",F1448&lt;=20,"10 to 20", F1448&lt;= 40, "20 to 40", F1448 &lt;= 50, "40 to 50", F1448 &gt; 50, "&gt;50" )</f>
        <v>20 to 40</v>
      </c>
    </row>
    <row r="1449" spans="1:15" ht="14.4" x14ac:dyDescent="0.3">
      <c r="A1449" t="s">
        <v>293</v>
      </c>
      <c r="B1449" s="1">
        <v>46198</v>
      </c>
      <c r="C1449" t="s">
        <v>16</v>
      </c>
      <c r="D1449">
        <v>1326</v>
      </c>
      <c r="E1449">
        <v>1</v>
      </c>
      <c r="F1449">
        <v>26.5</v>
      </c>
      <c r="G1449" t="s">
        <v>21</v>
      </c>
      <c r="I1449" t="str">
        <f t="shared" si="25"/>
        <v>1326_1</v>
      </c>
      <c r="J1449" t="s">
        <v>294</v>
      </c>
      <c r="K1449" t="s">
        <v>19</v>
      </c>
      <c r="L1449" t="str">
        <f>_xlfn.XLOOKUP(C1449, Table2[Species],Table2[Genus], "Code Not Found")</f>
        <v>Acer</v>
      </c>
      <c r="M1449" t="str">
        <f>_xlfn.XLOOKUP(C1449, Table2[Species],Table2[Sp. Name], "Code Not Found")</f>
        <v>saccharum</v>
      </c>
      <c r="N1449" t="str">
        <f>_xlfn.XLOOKUP(C1449,Table2[Species],Table2[Family],"Code Not Found")</f>
        <v>Sapindaceae</v>
      </c>
      <c r="O1449" t="str" cm="1">
        <f t="array" ref="O1449">_xlfn.IFS(F1449="","",F1449&lt;=5,"0 to 5",F1449&lt;=10,"5.1 to 10",F1449&lt;=20,"10 to 20", F1449&lt;= 40, "20 to 40", F1449 &lt;= 50, "40 to 50", F1449 &gt; 50, "&gt;50" )</f>
        <v>20 to 40</v>
      </c>
    </row>
    <row r="1450" spans="1:15" ht="14.4" x14ac:dyDescent="0.3">
      <c r="A1450" t="s">
        <v>293</v>
      </c>
      <c r="B1450" s="1">
        <v>46198</v>
      </c>
      <c r="C1450" t="s">
        <v>22</v>
      </c>
      <c r="D1450">
        <v>1327</v>
      </c>
      <c r="E1450">
        <v>1</v>
      </c>
      <c r="F1450">
        <v>6.6</v>
      </c>
      <c r="G1450" t="s">
        <v>34</v>
      </c>
      <c r="H1450" t="s">
        <v>36</v>
      </c>
      <c r="I1450" t="str">
        <f t="shared" si="25"/>
        <v>1327_1</v>
      </c>
      <c r="J1450" t="s">
        <v>294</v>
      </c>
      <c r="K1450" t="s">
        <v>19</v>
      </c>
      <c r="L1450" t="str">
        <f>_xlfn.XLOOKUP(C1450, Table2[Species],Table2[Genus], "Code Not Found")</f>
        <v>Acer</v>
      </c>
      <c r="M1450" t="str">
        <f>_xlfn.XLOOKUP(C1450, Table2[Species],Table2[Sp. Name], "Code Not Found")</f>
        <v>rubrum</v>
      </c>
      <c r="N1450" t="str">
        <f>_xlfn.XLOOKUP(C1450,Table2[Species],Table2[Family],"Code Not Found")</f>
        <v>Sapindaceae</v>
      </c>
      <c r="O1450" t="str" cm="1">
        <f t="array" ref="O1450">_xlfn.IFS(F1450="","",F1450&lt;=5,"0 to 5",F1450&lt;=10,"5.1 to 10",F1450&lt;=20,"10 to 20", F1450&lt;= 40, "20 to 40", F1450 &lt;= 50, "40 to 50", F1450 &gt; 50, "&gt;50" )</f>
        <v>5.1 to 10</v>
      </c>
    </row>
    <row r="1451" spans="1:15" ht="14.4" x14ac:dyDescent="0.3">
      <c r="A1451" t="s">
        <v>293</v>
      </c>
      <c r="B1451" s="1">
        <v>46198</v>
      </c>
      <c r="C1451" t="s">
        <v>22</v>
      </c>
      <c r="D1451">
        <v>1327</v>
      </c>
      <c r="E1451">
        <v>2</v>
      </c>
      <c r="F1451">
        <v>1.9</v>
      </c>
      <c r="G1451" t="s">
        <v>32</v>
      </c>
      <c r="H1451" t="s">
        <v>296</v>
      </c>
      <c r="I1451" t="str">
        <f t="shared" si="25"/>
        <v>1327_2</v>
      </c>
      <c r="J1451" t="s">
        <v>294</v>
      </c>
      <c r="K1451" t="s">
        <v>19</v>
      </c>
      <c r="L1451" t="str">
        <f>_xlfn.XLOOKUP(C1451, Table2[Species],Table2[Genus], "Code Not Found")</f>
        <v>Acer</v>
      </c>
      <c r="M1451" t="str">
        <f>_xlfn.XLOOKUP(C1451, Table2[Species],Table2[Sp. Name], "Code Not Found")</f>
        <v>rubrum</v>
      </c>
      <c r="N1451" t="str">
        <f>_xlfn.XLOOKUP(C1451,Table2[Species],Table2[Family],"Code Not Found")</f>
        <v>Sapindaceae</v>
      </c>
      <c r="O1451" t="str" cm="1">
        <f t="array" ref="O1451">_xlfn.IFS(F1451="","",F1451&lt;=5,"0 to 5",F1451&lt;=10,"5.1 to 10",F1451&lt;=20,"10 to 20", F1451&lt;= 40, "20 to 40", F1451 &lt;= 50, "40 to 50", F1451 &gt; 50, "&gt;50" )</f>
        <v>0 to 5</v>
      </c>
    </row>
    <row r="1452" spans="1:15" ht="14.4" x14ac:dyDescent="0.3">
      <c r="A1452" t="s">
        <v>293</v>
      </c>
      <c r="B1452" s="1">
        <v>46198</v>
      </c>
      <c r="C1452" t="s">
        <v>16</v>
      </c>
      <c r="D1452">
        <v>1328</v>
      </c>
      <c r="E1452">
        <v>1</v>
      </c>
      <c r="F1452">
        <v>5.3</v>
      </c>
      <c r="G1452" t="s">
        <v>21</v>
      </c>
      <c r="I1452" t="str">
        <f t="shared" si="25"/>
        <v>1328_1</v>
      </c>
      <c r="J1452" t="s">
        <v>294</v>
      </c>
      <c r="K1452" t="s">
        <v>19</v>
      </c>
      <c r="L1452" t="str">
        <f>_xlfn.XLOOKUP(C1452, Table2[Species],Table2[Genus], "Code Not Found")</f>
        <v>Acer</v>
      </c>
      <c r="M1452" t="str">
        <f>_xlfn.XLOOKUP(C1452, Table2[Species],Table2[Sp. Name], "Code Not Found")</f>
        <v>saccharum</v>
      </c>
      <c r="N1452" t="str">
        <f>_xlfn.XLOOKUP(C1452,Table2[Species],Table2[Family],"Code Not Found")</f>
        <v>Sapindaceae</v>
      </c>
      <c r="O1452" t="str" cm="1">
        <f t="array" ref="O1452">_xlfn.IFS(F1452="","",F1452&lt;=5,"0 to 5",F1452&lt;=10,"5.1 to 10",F1452&lt;=20,"10 to 20", F1452&lt;= 40, "20 to 40", F1452 &lt;= 50, "40 to 50", F1452 &gt; 50, "&gt;50" )</f>
        <v>5.1 to 10</v>
      </c>
    </row>
    <row r="1453" spans="1:15" ht="14.4" x14ac:dyDescent="0.3">
      <c r="A1453" t="s">
        <v>293</v>
      </c>
      <c r="B1453" s="1">
        <v>46198</v>
      </c>
      <c r="C1453" t="s">
        <v>16</v>
      </c>
      <c r="D1453">
        <v>1329</v>
      </c>
      <c r="E1453">
        <v>1</v>
      </c>
      <c r="F1453">
        <v>5.7</v>
      </c>
      <c r="G1453" t="s">
        <v>30</v>
      </c>
      <c r="H1453" t="s">
        <v>262</v>
      </c>
      <c r="I1453" t="str">
        <f t="shared" si="25"/>
        <v>1329_1</v>
      </c>
      <c r="J1453" t="s">
        <v>294</v>
      </c>
      <c r="K1453" t="s">
        <v>19</v>
      </c>
      <c r="L1453" t="str">
        <f>_xlfn.XLOOKUP(C1453, Table2[Species],Table2[Genus], "Code Not Found")</f>
        <v>Acer</v>
      </c>
      <c r="M1453" t="str">
        <f>_xlfn.XLOOKUP(C1453, Table2[Species],Table2[Sp. Name], "Code Not Found")</f>
        <v>saccharum</v>
      </c>
      <c r="N1453" t="str">
        <f>_xlfn.XLOOKUP(C1453,Table2[Species],Table2[Family],"Code Not Found")</f>
        <v>Sapindaceae</v>
      </c>
      <c r="O1453" t="str" cm="1">
        <f t="array" ref="O1453">_xlfn.IFS(F1453="","",F1453&lt;=5,"0 to 5",F1453&lt;=10,"5.1 to 10",F1453&lt;=20,"10 to 20", F1453&lt;= 40, "20 to 40", F1453 &lt;= 50, "40 to 50", F1453 &gt; 50, "&gt;50" )</f>
        <v>5.1 to 10</v>
      </c>
    </row>
    <row r="1454" spans="1:15" ht="14.4" x14ac:dyDescent="0.3">
      <c r="A1454" t="s">
        <v>293</v>
      </c>
      <c r="B1454" s="1">
        <v>46198</v>
      </c>
      <c r="C1454" t="s">
        <v>16</v>
      </c>
      <c r="D1454">
        <v>1330</v>
      </c>
      <c r="E1454">
        <v>1</v>
      </c>
      <c r="F1454">
        <v>2.2999999999999998</v>
      </c>
      <c r="G1454" t="s">
        <v>139</v>
      </c>
      <c r="H1454" t="s">
        <v>304</v>
      </c>
      <c r="I1454" t="str">
        <f t="shared" si="25"/>
        <v>1330_1</v>
      </c>
      <c r="J1454" t="s">
        <v>294</v>
      </c>
      <c r="K1454" t="s">
        <v>19</v>
      </c>
      <c r="L1454" t="str">
        <f>_xlfn.XLOOKUP(C1454, Table2[Species],Table2[Genus], "Code Not Found")</f>
        <v>Acer</v>
      </c>
      <c r="M1454" t="str">
        <f>_xlfn.XLOOKUP(C1454, Table2[Species],Table2[Sp. Name], "Code Not Found")</f>
        <v>saccharum</v>
      </c>
      <c r="N1454" t="str">
        <f>_xlfn.XLOOKUP(C1454,Table2[Species],Table2[Family],"Code Not Found")</f>
        <v>Sapindaceae</v>
      </c>
      <c r="O1454" t="str" cm="1">
        <f t="array" ref="O1454">_xlfn.IFS(F1454="","",F1454&lt;=5,"0 to 5",F1454&lt;=10,"5.1 to 10",F1454&lt;=20,"10 to 20", F1454&lt;= 40, "20 to 40", F1454 &lt;= 50, "40 to 50", F1454 &gt; 50, "&gt;50" )</f>
        <v>0 to 5</v>
      </c>
    </row>
    <row r="1455" spans="1:15" ht="14.4" x14ac:dyDescent="0.3">
      <c r="A1455" t="s">
        <v>293</v>
      </c>
      <c r="B1455" s="1">
        <v>46198</v>
      </c>
      <c r="C1455" t="s">
        <v>16</v>
      </c>
      <c r="D1455">
        <v>1331</v>
      </c>
      <c r="E1455">
        <v>1</v>
      </c>
      <c r="F1455">
        <v>3.1</v>
      </c>
      <c r="G1455" t="s">
        <v>17</v>
      </c>
      <c r="I1455" t="str">
        <f t="shared" si="25"/>
        <v>1331_1</v>
      </c>
      <c r="J1455" t="s">
        <v>294</v>
      </c>
      <c r="K1455" t="s">
        <v>19</v>
      </c>
      <c r="L1455" t="str">
        <f>_xlfn.XLOOKUP(C1455, Table2[Species],Table2[Genus], "Code Not Found")</f>
        <v>Acer</v>
      </c>
      <c r="M1455" t="str">
        <f>_xlfn.XLOOKUP(C1455, Table2[Species],Table2[Sp. Name], "Code Not Found")</f>
        <v>saccharum</v>
      </c>
      <c r="N1455" t="str">
        <f>_xlfn.XLOOKUP(C1455,Table2[Species],Table2[Family],"Code Not Found")</f>
        <v>Sapindaceae</v>
      </c>
      <c r="O1455" t="str" cm="1">
        <f t="array" ref="O1455">_xlfn.IFS(F1455="","",F1455&lt;=5,"0 to 5",F1455&lt;=10,"5.1 to 10",F1455&lt;=20,"10 to 20", F1455&lt;= 40, "20 to 40", F1455 &lt;= 50, "40 to 50", F1455 &gt; 50, "&gt;50" )</f>
        <v>0 to 5</v>
      </c>
    </row>
    <row r="1456" spans="1:15" ht="14.4" x14ac:dyDescent="0.3">
      <c r="A1456" t="s">
        <v>293</v>
      </c>
      <c r="B1456" s="1">
        <v>46198</v>
      </c>
      <c r="C1456" t="s">
        <v>16</v>
      </c>
      <c r="D1456">
        <v>1332</v>
      </c>
      <c r="E1456">
        <v>1</v>
      </c>
      <c r="F1456">
        <v>4</v>
      </c>
      <c r="G1456" t="s">
        <v>94</v>
      </c>
      <c r="H1456" t="s">
        <v>305</v>
      </c>
      <c r="I1456" t="str">
        <f t="shared" si="25"/>
        <v>1332_1</v>
      </c>
      <c r="J1456" t="s">
        <v>294</v>
      </c>
      <c r="K1456" t="s">
        <v>19</v>
      </c>
      <c r="L1456" t="str">
        <f>_xlfn.XLOOKUP(C1456, Table2[Species],Table2[Genus], "Code Not Found")</f>
        <v>Acer</v>
      </c>
      <c r="M1456" t="str">
        <f>_xlfn.XLOOKUP(C1456, Table2[Species],Table2[Sp. Name], "Code Not Found")</f>
        <v>saccharum</v>
      </c>
      <c r="N1456" t="str">
        <f>_xlfn.XLOOKUP(C1456,Table2[Species],Table2[Family],"Code Not Found")</f>
        <v>Sapindaceae</v>
      </c>
      <c r="O1456" t="str" cm="1">
        <f t="array" ref="O1456">_xlfn.IFS(F1456="","",F1456&lt;=5,"0 to 5",F1456&lt;=10,"5.1 to 10",F1456&lt;=20,"10 to 20", F1456&lt;= 40, "20 to 40", F1456 &lt;= 50, "40 to 50", F1456 &gt; 50, "&gt;50" )</f>
        <v>0 to 5</v>
      </c>
    </row>
    <row r="1457" spans="1:15" ht="14.4" x14ac:dyDescent="0.3">
      <c r="A1457" t="s">
        <v>293</v>
      </c>
      <c r="B1457" s="1">
        <v>46198</v>
      </c>
      <c r="C1457" t="s">
        <v>16</v>
      </c>
      <c r="D1457">
        <v>1333</v>
      </c>
      <c r="E1457">
        <v>1</v>
      </c>
      <c r="F1457">
        <v>6.2</v>
      </c>
      <c r="G1457" t="s">
        <v>47</v>
      </c>
      <c r="H1457" t="s">
        <v>296</v>
      </c>
      <c r="I1457" t="str">
        <f t="shared" si="25"/>
        <v>1333_1</v>
      </c>
      <c r="J1457" t="s">
        <v>294</v>
      </c>
      <c r="K1457" t="s">
        <v>19</v>
      </c>
      <c r="L1457" t="str">
        <f>_xlfn.XLOOKUP(C1457, Table2[Species],Table2[Genus], "Code Not Found")</f>
        <v>Acer</v>
      </c>
      <c r="M1457" t="str">
        <f>_xlfn.XLOOKUP(C1457, Table2[Species],Table2[Sp. Name], "Code Not Found")</f>
        <v>saccharum</v>
      </c>
      <c r="N1457" t="str">
        <f>_xlfn.XLOOKUP(C1457,Table2[Species],Table2[Family],"Code Not Found")</f>
        <v>Sapindaceae</v>
      </c>
      <c r="O1457" t="str" cm="1">
        <f t="array" ref="O1457">_xlfn.IFS(F1457="","",F1457&lt;=5,"0 to 5",F1457&lt;=10,"5.1 to 10",F1457&lt;=20,"10 to 20", F1457&lt;= 40, "20 to 40", F1457 &lt;= 50, "40 to 50", F1457 &gt; 50, "&gt;50" )</f>
        <v>5.1 to 10</v>
      </c>
    </row>
    <row r="1458" spans="1:15" ht="14.4" x14ac:dyDescent="0.3">
      <c r="A1458" t="s">
        <v>293</v>
      </c>
      <c r="B1458" s="1">
        <v>46198</v>
      </c>
      <c r="C1458" t="s">
        <v>20</v>
      </c>
      <c r="D1458">
        <v>1334</v>
      </c>
      <c r="E1458">
        <v>1</v>
      </c>
      <c r="F1458">
        <v>43.9</v>
      </c>
      <c r="G1458" t="s">
        <v>17</v>
      </c>
      <c r="H1458" t="s">
        <v>36</v>
      </c>
      <c r="I1458" t="str">
        <f t="shared" si="25"/>
        <v>1334_1</v>
      </c>
      <c r="J1458" t="s">
        <v>294</v>
      </c>
      <c r="K1458" t="s">
        <v>19</v>
      </c>
      <c r="L1458" t="str">
        <f>_xlfn.XLOOKUP(C1458, Table2[Species],Table2[Genus], "Code Not Found")</f>
        <v>Prunus</v>
      </c>
      <c r="M1458" t="str">
        <f>_xlfn.XLOOKUP(C1458, Table2[Species],Table2[Sp. Name], "Code Not Found")</f>
        <v>serotina</v>
      </c>
      <c r="N1458" t="str">
        <f>_xlfn.XLOOKUP(C1458,Table2[Species],Table2[Family],"Code Not Found")</f>
        <v>Rosaceae</v>
      </c>
      <c r="O1458" t="str" cm="1">
        <f t="array" ref="O1458">_xlfn.IFS(F1458="","",F1458&lt;=5,"0 to 5",F1458&lt;=10,"5.1 to 10",F1458&lt;=20,"10 to 20", F1458&lt;= 40, "20 to 40", F1458 &lt;= 50, "40 to 50", F1458 &gt; 50, "&gt;50" )</f>
        <v>40 to 50</v>
      </c>
    </row>
    <row r="1459" spans="1:15" ht="14.4" x14ac:dyDescent="0.3">
      <c r="A1459" t="s">
        <v>293</v>
      </c>
      <c r="B1459" s="1">
        <v>46198</v>
      </c>
      <c r="C1459" t="s">
        <v>16</v>
      </c>
      <c r="D1459">
        <v>1335</v>
      </c>
      <c r="E1459">
        <v>1</v>
      </c>
      <c r="F1459">
        <v>5.6</v>
      </c>
      <c r="G1459" t="s">
        <v>139</v>
      </c>
      <c r="H1459" t="s">
        <v>262</v>
      </c>
      <c r="I1459" t="str">
        <f t="shared" si="25"/>
        <v>1335_1</v>
      </c>
      <c r="J1459" t="s">
        <v>294</v>
      </c>
      <c r="K1459" t="s">
        <v>19</v>
      </c>
      <c r="L1459" t="str">
        <f>_xlfn.XLOOKUP(C1459, Table2[Species],Table2[Genus], "Code Not Found")</f>
        <v>Acer</v>
      </c>
      <c r="M1459" t="str">
        <f>_xlfn.XLOOKUP(C1459, Table2[Species],Table2[Sp. Name], "Code Not Found")</f>
        <v>saccharum</v>
      </c>
      <c r="N1459" t="str">
        <f>_xlfn.XLOOKUP(C1459,Table2[Species],Table2[Family],"Code Not Found")</f>
        <v>Sapindaceae</v>
      </c>
      <c r="O1459" t="str" cm="1">
        <f t="array" ref="O1459">_xlfn.IFS(F1459="","",F1459&lt;=5,"0 to 5",F1459&lt;=10,"5.1 to 10",F1459&lt;=20,"10 to 20", F1459&lt;= 40, "20 to 40", F1459 &lt;= 50, "40 to 50", F1459 &gt; 50, "&gt;50" )</f>
        <v>5.1 to 10</v>
      </c>
    </row>
    <row r="1460" spans="1:15" ht="14.4" x14ac:dyDescent="0.3">
      <c r="A1460" t="s">
        <v>293</v>
      </c>
      <c r="B1460" s="1">
        <v>46198</v>
      </c>
      <c r="C1460" t="s">
        <v>16</v>
      </c>
      <c r="D1460">
        <v>1336</v>
      </c>
      <c r="E1460">
        <v>1</v>
      </c>
      <c r="F1460">
        <v>5.4</v>
      </c>
      <c r="G1460" t="s">
        <v>30</v>
      </c>
      <c r="H1460" t="s">
        <v>306</v>
      </c>
      <c r="I1460" t="str">
        <f t="shared" si="25"/>
        <v>1336_1</v>
      </c>
      <c r="J1460" t="s">
        <v>294</v>
      </c>
      <c r="K1460" t="s">
        <v>19</v>
      </c>
      <c r="L1460" t="str">
        <f>_xlfn.XLOOKUP(C1460, Table2[Species],Table2[Genus], "Code Not Found")</f>
        <v>Acer</v>
      </c>
      <c r="M1460" t="str">
        <f>_xlfn.XLOOKUP(C1460, Table2[Species],Table2[Sp. Name], "Code Not Found")</f>
        <v>saccharum</v>
      </c>
      <c r="N1460" t="str">
        <f>_xlfn.XLOOKUP(C1460,Table2[Species],Table2[Family],"Code Not Found")</f>
        <v>Sapindaceae</v>
      </c>
      <c r="O1460" t="str" cm="1">
        <f t="array" ref="O1460">_xlfn.IFS(F1460="","",F1460&lt;=5,"0 to 5",F1460&lt;=10,"5.1 to 10",F1460&lt;=20,"10 to 20", F1460&lt;= 40, "20 to 40", F1460 &lt;= 50, "40 to 50", F1460 &gt; 50, "&gt;50" )</f>
        <v>5.1 to 10</v>
      </c>
    </row>
    <row r="1461" spans="1:15" ht="14.4" x14ac:dyDescent="0.3">
      <c r="A1461" t="s">
        <v>293</v>
      </c>
      <c r="B1461" s="1">
        <v>46198</v>
      </c>
      <c r="C1461" t="s">
        <v>16</v>
      </c>
      <c r="D1461">
        <v>1337</v>
      </c>
      <c r="E1461">
        <v>1</v>
      </c>
      <c r="F1461">
        <v>4.0999999999999996</v>
      </c>
      <c r="G1461" t="s">
        <v>17</v>
      </c>
      <c r="H1461" t="s">
        <v>36</v>
      </c>
      <c r="I1461" t="str">
        <f t="shared" si="25"/>
        <v>1337_1</v>
      </c>
      <c r="J1461" t="s">
        <v>294</v>
      </c>
      <c r="K1461" t="s">
        <v>19</v>
      </c>
      <c r="L1461" t="str">
        <f>_xlfn.XLOOKUP(C1461, Table2[Species],Table2[Genus], "Code Not Found")</f>
        <v>Acer</v>
      </c>
      <c r="M1461" t="str">
        <f>_xlfn.XLOOKUP(C1461, Table2[Species],Table2[Sp. Name], "Code Not Found")</f>
        <v>saccharum</v>
      </c>
      <c r="N1461" t="str">
        <f>_xlfn.XLOOKUP(C1461,Table2[Species],Table2[Family],"Code Not Found")</f>
        <v>Sapindaceae</v>
      </c>
      <c r="O1461" t="str" cm="1">
        <f t="array" ref="O1461">_xlfn.IFS(F1461="","",F1461&lt;=5,"0 to 5",F1461&lt;=10,"5.1 to 10",F1461&lt;=20,"10 to 20", F1461&lt;= 40, "20 to 40", F1461 &lt;= 50, "40 to 50", F1461 &gt; 50, "&gt;50" )</f>
        <v>0 to 5</v>
      </c>
    </row>
    <row r="1462" spans="1:15" ht="14.4" x14ac:dyDescent="0.3">
      <c r="A1462" t="s">
        <v>293</v>
      </c>
      <c r="B1462" s="1">
        <v>46198</v>
      </c>
      <c r="C1462" t="s">
        <v>22</v>
      </c>
      <c r="D1462">
        <v>1338</v>
      </c>
      <c r="E1462">
        <v>1</v>
      </c>
      <c r="F1462">
        <v>51.8</v>
      </c>
      <c r="G1462" t="s">
        <v>21</v>
      </c>
      <c r="I1462" t="str">
        <f t="shared" si="25"/>
        <v>1338_1</v>
      </c>
      <c r="J1462" t="s">
        <v>294</v>
      </c>
      <c r="K1462" t="s">
        <v>19</v>
      </c>
      <c r="L1462" t="str">
        <f>_xlfn.XLOOKUP(C1462, Table2[Species],Table2[Genus], "Code Not Found")</f>
        <v>Acer</v>
      </c>
      <c r="M1462" t="str">
        <f>_xlfn.XLOOKUP(C1462, Table2[Species],Table2[Sp. Name], "Code Not Found")</f>
        <v>rubrum</v>
      </c>
      <c r="N1462" t="str">
        <f>_xlfn.XLOOKUP(C1462,Table2[Species],Table2[Family],"Code Not Found")</f>
        <v>Sapindaceae</v>
      </c>
      <c r="O1462" t="str" cm="1">
        <f t="array" ref="O1462">_xlfn.IFS(F1462="","",F1462&lt;=5,"0 to 5",F1462&lt;=10,"5.1 to 10",F1462&lt;=20,"10 to 20", F1462&lt;= 40, "20 to 40", F1462 &lt;= 50, "40 to 50", F1462 &gt; 50, "&gt;50" )</f>
        <v>&gt;50</v>
      </c>
    </row>
    <row r="1463" spans="1:15" ht="14.4" x14ac:dyDescent="0.3">
      <c r="A1463" t="s">
        <v>293</v>
      </c>
      <c r="B1463" s="1">
        <v>46198</v>
      </c>
      <c r="C1463" t="s">
        <v>16</v>
      </c>
      <c r="D1463">
        <v>1339</v>
      </c>
      <c r="E1463">
        <v>1</v>
      </c>
      <c r="F1463">
        <v>3.7</v>
      </c>
      <c r="G1463" t="s">
        <v>21</v>
      </c>
      <c r="I1463" t="str">
        <f t="shared" si="25"/>
        <v>1339_1</v>
      </c>
      <c r="J1463" t="s">
        <v>294</v>
      </c>
      <c r="K1463" t="s">
        <v>19</v>
      </c>
      <c r="L1463" t="str">
        <f>_xlfn.XLOOKUP(C1463, Table2[Species],Table2[Genus], "Code Not Found")</f>
        <v>Acer</v>
      </c>
      <c r="M1463" t="str">
        <f>_xlfn.XLOOKUP(C1463, Table2[Species],Table2[Sp. Name], "Code Not Found")</f>
        <v>saccharum</v>
      </c>
      <c r="N1463" t="str">
        <f>_xlfn.XLOOKUP(C1463,Table2[Species],Table2[Family],"Code Not Found")</f>
        <v>Sapindaceae</v>
      </c>
      <c r="O1463" t="str" cm="1">
        <f t="array" ref="O1463">_xlfn.IFS(F1463="","",F1463&lt;=5,"0 to 5",F1463&lt;=10,"5.1 to 10",F1463&lt;=20,"10 to 20", F1463&lt;= 40, "20 to 40", F1463 &lt;= 50, "40 to 50", F1463 &gt; 50, "&gt;50" )</f>
        <v>0 to 5</v>
      </c>
    </row>
    <row r="1464" spans="1:15" ht="14.4" x14ac:dyDescent="0.3">
      <c r="A1464" t="s">
        <v>293</v>
      </c>
      <c r="B1464" s="1">
        <v>46198</v>
      </c>
      <c r="C1464" t="s">
        <v>16</v>
      </c>
      <c r="D1464">
        <v>1340</v>
      </c>
      <c r="E1464">
        <v>1</v>
      </c>
      <c r="F1464">
        <v>3.2</v>
      </c>
      <c r="G1464" t="s">
        <v>17</v>
      </c>
      <c r="I1464" t="str">
        <f t="shared" si="25"/>
        <v>1340_1</v>
      </c>
      <c r="J1464" t="s">
        <v>294</v>
      </c>
      <c r="K1464" t="s">
        <v>19</v>
      </c>
      <c r="L1464" t="str">
        <f>_xlfn.XLOOKUP(C1464, Table2[Species],Table2[Genus], "Code Not Found")</f>
        <v>Acer</v>
      </c>
      <c r="M1464" t="str">
        <f>_xlfn.XLOOKUP(C1464, Table2[Species],Table2[Sp. Name], "Code Not Found")</f>
        <v>saccharum</v>
      </c>
      <c r="N1464" t="str">
        <f>_xlfn.XLOOKUP(C1464,Table2[Species],Table2[Family],"Code Not Found")</f>
        <v>Sapindaceae</v>
      </c>
      <c r="O1464" t="str" cm="1">
        <f t="array" ref="O1464">_xlfn.IFS(F1464="","",F1464&lt;=5,"0 to 5",F1464&lt;=10,"5.1 to 10",F1464&lt;=20,"10 to 20", F1464&lt;= 40, "20 to 40", F1464 &lt;= 50, "40 to 50", F1464 &gt; 50, "&gt;50" )</f>
        <v>0 to 5</v>
      </c>
    </row>
    <row r="1465" spans="1:15" ht="14.4" x14ac:dyDescent="0.3">
      <c r="A1465" t="s">
        <v>293</v>
      </c>
      <c r="B1465" s="1">
        <v>46198</v>
      </c>
      <c r="C1465" t="s">
        <v>16</v>
      </c>
      <c r="D1465">
        <v>1341</v>
      </c>
      <c r="E1465">
        <v>1</v>
      </c>
      <c r="F1465">
        <v>7.2</v>
      </c>
      <c r="G1465" t="s">
        <v>30</v>
      </c>
      <c r="H1465" t="s">
        <v>307</v>
      </c>
      <c r="I1465" t="str">
        <f t="shared" ref="I1465:I1507" si="26">D1465&amp;"_"&amp;E1465</f>
        <v>1341_1</v>
      </c>
      <c r="J1465" t="s">
        <v>294</v>
      </c>
      <c r="K1465" t="s">
        <v>19</v>
      </c>
      <c r="L1465" t="str">
        <f>_xlfn.XLOOKUP(C1465, Table2[Species],Table2[Genus], "Code Not Found")</f>
        <v>Acer</v>
      </c>
      <c r="M1465" t="str">
        <f>_xlfn.XLOOKUP(C1465, Table2[Species],Table2[Sp. Name], "Code Not Found")</f>
        <v>saccharum</v>
      </c>
      <c r="N1465" t="str">
        <f>_xlfn.XLOOKUP(C1465,Table2[Species],Table2[Family],"Code Not Found")</f>
        <v>Sapindaceae</v>
      </c>
      <c r="O1465" t="str" cm="1">
        <f t="array" ref="O1465">_xlfn.IFS(F1465="","",F1465&lt;=5,"0 to 5",F1465&lt;=10,"5.1 to 10",F1465&lt;=20,"10 to 20", F1465&lt;= 40, "20 to 40", F1465 &lt;= 50, "40 to 50", F1465 &gt; 50, "&gt;50" )</f>
        <v>5.1 to 10</v>
      </c>
    </row>
    <row r="1466" spans="1:15" ht="14.4" x14ac:dyDescent="0.3">
      <c r="A1466" t="s">
        <v>293</v>
      </c>
      <c r="B1466" s="1">
        <v>46198</v>
      </c>
      <c r="C1466" t="s">
        <v>16</v>
      </c>
      <c r="D1466">
        <v>1342</v>
      </c>
      <c r="E1466">
        <v>1</v>
      </c>
      <c r="F1466">
        <v>3.4</v>
      </c>
      <c r="G1466" t="s">
        <v>17</v>
      </c>
      <c r="I1466" t="str">
        <f t="shared" si="26"/>
        <v>1342_1</v>
      </c>
      <c r="J1466" t="s">
        <v>294</v>
      </c>
      <c r="K1466" t="s">
        <v>19</v>
      </c>
      <c r="L1466" t="str">
        <f>_xlfn.XLOOKUP(C1466, Table2[Species],Table2[Genus], "Code Not Found")</f>
        <v>Acer</v>
      </c>
      <c r="M1466" t="str">
        <f>_xlfn.XLOOKUP(C1466, Table2[Species],Table2[Sp. Name], "Code Not Found")</f>
        <v>saccharum</v>
      </c>
      <c r="N1466" t="str">
        <f>_xlfn.XLOOKUP(C1466,Table2[Species],Table2[Family],"Code Not Found")</f>
        <v>Sapindaceae</v>
      </c>
      <c r="O1466" t="str" cm="1">
        <f t="array" ref="O1466">_xlfn.IFS(F1466="","",F1466&lt;=5,"0 to 5",F1466&lt;=10,"5.1 to 10",F1466&lt;=20,"10 to 20", F1466&lt;= 40, "20 to 40", F1466 &lt;= 50, "40 to 50", F1466 &gt; 50, "&gt;50" )</f>
        <v>0 to 5</v>
      </c>
    </row>
    <row r="1467" spans="1:15" ht="14.4" x14ac:dyDescent="0.3">
      <c r="A1467" t="s">
        <v>293</v>
      </c>
      <c r="B1467" s="1">
        <v>46198</v>
      </c>
      <c r="C1467" t="s">
        <v>22</v>
      </c>
      <c r="D1467">
        <v>1343</v>
      </c>
      <c r="E1467">
        <v>1</v>
      </c>
      <c r="F1467">
        <v>75</v>
      </c>
      <c r="G1467" t="s">
        <v>21</v>
      </c>
      <c r="I1467" t="str">
        <f t="shared" si="26"/>
        <v>1343_1</v>
      </c>
      <c r="J1467" t="s">
        <v>294</v>
      </c>
      <c r="K1467" t="s">
        <v>19</v>
      </c>
      <c r="L1467" t="str">
        <f>_xlfn.XLOOKUP(C1467, Table2[Species],Table2[Genus], "Code Not Found")</f>
        <v>Acer</v>
      </c>
      <c r="M1467" t="str">
        <f>_xlfn.XLOOKUP(C1467, Table2[Species],Table2[Sp. Name], "Code Not Found")</f>
        <v>rubrum</v>
      </c>
      <c r="N1467" t="str">
        <f>_xlfn.XLOOKUP(C1467,Table2[Species],Table2[Family],"Code Not Found")</f>
        <v>Sapindaceae</v>
      </c>
      <c r="O1467" t="str" cm="1">
        <f t="array" ref="O1467">_xlfn.IFS(F1467="","",F1467&lt;=5,"0 to 5",F1467&lt;=10,"5.1 to 10",F1467&lt;=20,"10 to 20", F1467&lt;= 40, "20 to 40", F1467 &lt;= 50, "40 to 50", F1467 &gt; 50, "&gt;50" )</f>
        <v>&gt;50</v>
      </c>
    </row>
    <row r="1468" spans="1:15" ht="14.4" x14ac:dyDescent="0.3">
      <c r="A1468" t="s">
        <v>293</v>
      </c>
      <c r="B1468" s="1">
        <v>46198</v>
      </c>
      <c r="C1468" t="s">
        <v>16</v>
      </c>
      <c r="D1468">
        <v>1344</v>
      </c>
      <c r="E1468">
        <v>1</v>
      </c>
      <c r="F1468">
        <v>2.5</v>
      </c>
      <c r="G1468" t="s">
        <v>308</v>
      </c>
      <c r="H1468" t="s">
        <v>296</v>
      </c>
      <c r="I1468" t="str">
        <f t="shared" si="26"/>
        <v>1344_1</v>
      </c>
      <c r="J1468" t="s">
        <v>294</v>
      </c>
      <c r="K1468" t="s">
        <v>19</v>
      </c>
      <c r="L1468" t="str">
        <f>_xlfn.XLOOKUP(C1468, Table2[Species],Table2[Genus], "Code Not Found")</f>
        <v>Acer</v>
      </c>
      <c r="M1468" t="str">
        <f>_xlfn.XLOOKUP(C1468, Table2[Species],Table2[Sp. Name], "Code Not Found")</f>
        <v>saccharum</v>
      </c>
      <c r="N1468" t="str">
        <f>_xlfn.XLOOKUP(C1468,Table2[Species],Table2[Family],"Code Not Found")</f>
        <v>Sapindaceae</v>
      </c>
      <c r="O1468" t="str" cm="1">
        <f t="array" ref="O1468">_xlfn.IFS(F1468="","",F1468&lt;=5,"0 to 5",F1468&lt;=10,"5.1 to 10",F1468&lt;=20,"10 to 20", F1468&lt;= 40, "20 to 40", F1468 &lt;= 50, "40 to 50", F1468 &gt; 50, "&gt;50" )</f>
        <v>0 to 5</v>
      </c>
    </row>
    <row r="1469" spans="1:15" ht="14.4" x14ac:dyDescent="0.3">
      <c r="A1469" t="s">
        <v>293</v>
      </c>
      <c r="B1469" s="1">
        <v>46198</v>
      </c>
      <c r="C1469" t="s">
        <v>16</v>
      </c>
      <c r="D1469">
        <v>1344</v>
      </c>
      <c r="E1469">
        <v>2</v>
      </c>
      <c r="F1469">
        <v>1</v>
      </c>
      <c r="G1469" t="s">
        <v>34</v>
      </c>
      <c r="H1469" t="s">
        <v>296</v>
      </c>
      <c r="I1469" t="str">
        <f t="shared" si="26"/>
        <v>1344_2</v>
      </c>
      <c r="J1469" t="s">
        <v>294</v>
      </c>
      <c r="K1469" t="s">
        <v>19</v>
      </c>
      <c r="L1469" t="str">
        <f>_xlfn.XLOOKUP(C1469, Table2[Species],Table2[Genus], "Code Not Found")</f>
        <v>Acer</v>
      </c>
      <c r="M1469" t="str">
        <f>_xlfn.XLOOKUP(C1469, Table2[Species],Table2[Sp. Name], "Code Not Found")</f>
        <v>saccharum</v>
      </c>
      <c r="N1469" t="str">
        <f>_xlfn.XLOOKUP(C1469,Table2[Species],Table2[Family],"Code Not Found")</f>
        <v>Sapindaceae</v>
      </c>
      <c r="O1469" t="str" cm="1">
        <f t="array" ref="O1469">_xlfn.IFS(F1469="","",F1469&lt;=5,"0 to 5",F1469&lt;=10,"5.1 to 10",F1469&lt;=20,"10 to 20", F1469&lt;= 40, "20 to 40", F1469 &lt;= 50, "40 to 50", F1469 &gt; 50, "&gt;50" )</f>
        <v>0 to 5</v>
      </c>
    </row>
    <row r="1470" spans="1:15" ht="14.4" x14ac:dyDescent="0.3">
      <c r="A1470" t="s">
        <v>293</v>
      </c>
      <c r="B1470" s="1">
        <v>46198</v>
      </c>
      <c r="C1470" t="s">
        <v>16</v>
      </c>
      <c r="D1470">
        <v>1345</v>
      </c>
      <c r="E1470">
        <v>1</v>
      </c>
      <c r="F1470">
        <v>4.4000000000000004</v>
      </c>
      <c r="G1470" t="s">
        <v>30</v>
      </c>
      <c r="H1470" t="s">
        <v>262</v>
      </c>
      <c r="I1470" t="str">
        <f t="shared" si="26"/>
        <v>1345_1</v>
      </c>
      <c r="J1470" t="s">
        <v>294</v>
      </c>
      <c r="K1470" t="s">
        <v>19</v>
      </c>
      <c r="L1470" t="str">
        <f>_xlfn.XLOOKUP(C1470, Table2[Species],Table2[Genus], "Code Not Found")</f>
        <v>Acer</v>
      </c>
      <c r="M1470" t="str">
        <f>_xlfn.XLOOKUP(C1470, Table2[Species],Table2[Sp. Name], "Code Not Found")</f>
        <v>saccharum</v>
      </c>
      <c r="N1470" t="str">
        <f>_xlfn.XLOOKUP(C1470,Table2[Species],Table2[Family],"Code Not Found")</f>
        <v>Sapindaceae</v>
      </c>
      <c r="O1470" t="str" cm="1">
        <f t="array" ref="O1470">_xlfn.IFS(F1470="","",F1470&lt;=5,"0 to 5",F1470&lt;=10,"5.1 to 10",F1470&lt;=20,"10 to 20", F1470&lt;= 40, "20 to 40", F1470 &lt;= 50, "40 to 50", F1470 &gt; 50, "&gt;50" )</f>
        <v>0 to 5</v>
      </c>
    </row>
    <row r="1471" spans="1:15" ht="14.4" x14ac:dyDescent="0.3">
      <c r="A1471" t="s">
        <v>293</v>
      </c>
      <c r="B1471" s="1">
        <v>46198</v>
      </c>
      <c r="C1471" t="s">
        <v>55</v>
      </c>
      <c r="D1471">
        <v>1346</v>
      </c>
      <c r="E1471">
        <v>1</v>
      </c>
      <c r="F1471">
        <v>77.599999999999994</v>
      </c>
      <c r="G1471" t="s">
        <v>83</v>
      </c>
      <c r="H1471" t="s">
        <v>309</v>
      </c>
      <c r="I1471" t="str">
        <f t="shared" si="26"/>
        <v>1346_1</v>
      </c>
      <c r="J1471" t="s">
        <v>294</v>
      </c>
      <c r="K1471" t="s">
        <v>19</v>
      </c>
      <c r="L1471" t="str">
        <f>_xlfn.XLOOKUP(C1471, Table2[Species],Table2[Genus], "Code Not Found")</f>
        <v>Magnolia</v>
      </c>
      <c r="M1471" t="str">
        <f>_xlfn.XLOOKUP(C1471, Table2[Species],Table2[Sp. Name], "Code Not Found")</f>
        <v>acuminata</v>
      </c>
      <c r="N1471" t="str">
        <f>_xlfn.XLOOKUP(C1471,Table2[Species],Table2[Family],"Code Not Found")</f>
        <v>Magnoliaceae</v>
      </c>
      <c r="O1471" t="str" cm="1">
        <f t="array" ref="O1471">_xlfn.IFS(F1471="","",F1471&lt;=5,"0 to 5",F1471&lt;=10,"5.1 to 10",F1471&lt;=20,"10 to 20", F1471&lt;= 40, "20 to 40", F1471 &lt;= 50, "40 to 50", F1471 &gt; 50, "&gt;50" )</f>
        <v>&gt;50</v>
      </c>
    </row>
    <row r="1472" spans="1:15" ht="14.4" x14ac:dyDescent="0.3">
      <c r="A1472" t="s">
        <v>293</v>
      </c>
      <c r="B1472" s="1">
        <v>46199</v>
      </c>
      <c r="C1472" t="s">
        <v>16</v>
      </c>
      <c r="D1472">
        <v>1347</v>
      </c>
      <c r="E1472">
        <v>1</v>
      </c>
      <c r="F1472">
        <v>5.2</v>
      </c>
      <c r="G1472" t="s">
        <v>17</v>
      </c>
      <c r="I1472" t="str">
        <f t="shared" si="26"/>
        <v>1347_1</v>
      </c>
      <c r="J1472" t="s">
        <v>294</v>
      </c>
      <c r="K1472" t="s">
        <v>19</v>
      </c>
      <c r="L1472" t="str">
        <f>_xlfn.XLOOKUP(C1472, Table2[Species],Table2[Genus], "Code Not Found")</f>
        <v>Acer</v>
      </c>
      <c r="M1472" t="str">
        <f>_xlfn.XLOOKUP(C1472, Table2[Species],Table2[Sp. Name], "Code Not Found")</f>
        <v>saccharum</v>
      </c>
      <c r="N1472" t="str">
        <f>_xlfn.XLOOKUP(C1472,Table2[Species],Table2[Family],"Code Not Found")</f>
        <v>Sapindaceae</v>
      </c>
      <c r="O1472" t="str" cm="1">
        <f t="array" ref="O1472">_xlfn.IFS(F1472="","",F1472&lt;=5,"0 to 5",F1472&lt;=10,"5.1 to 10",F1472&lt;=20,"10 to 20", F1472&lt;= 40, "20 to 40", F1472 &lt;= 50, "40 to 50", F1472 &gt; 50, "&gt;50" )</f>
        <v>5.1 to 10</v>
      </c>
    </row>
    <row r="1473" spans="1:15" ht="14.4" x14ac:dyDescent="0.3">
      <c r="A1473" t="s">
        <v>293</v>
      </c>
      <c r="B1473" s="1">
        <v>46199</v>
      </c>
      <c r="C1473" t="s">
        <v>16</v>
      </c>
      <c r="D1473">
        <v>1348</v>
      </c>
      <c r="E1473">
        <v>1</v>
      </c>
      <c r="F1473">
        <v>3.6</v>
      </c>
      <c r="G1473" t="s">
        <v>17</v>
      </c>
      <c r="I1473" t="str">
        <f t="shared" si="26"/>
        <v>1348_1</v>
      </c>
      <c r="J1473" t="s">
        <v>294</v>
      </c>
      <c r="K1473" t="s">
        <v>19</v>
      </c>
      <c r="L1473" t="str">
        <f>_xlfn.XLOOKUP(C1473, Table2[Species],Table2[Genus], "Code Not Found")</f>
        <v>Acer</v>
      </c>
      <c r="M1473" t="str">
        <f>_xlfn.XLOOKUP(C1473, Table2[Species],Table2[Sp. Name], "Code Not Found")</f>
        <v>saccharum</v>
      </c>
      <c r="N1473" t="str">
        <f>_xlfn.XLOOKUP(C1473,Table2[Species],Table2[Family],"Code Not Found")</f>
        <v>Sapindaceae</v>
      </c>
      <c r="O1473" t="str" cm="1">
        <f t="array" ref="O1473">_xlfn.IFS(F1473="","",F1473&lt;=5,"0 to 5",F1473&lt;=10,"5.1 to 10",F1473&lt;=20,"10 to 20", F1473&lt;= 40, "20 to 40", F1473 &lt;= 50, "40 to 50", F1473 &gt; 50, "&gt;50" )</f>
        <v>0 to 5</v>
      </c>
    </row>
    <row r="1474" spans="1:15" ht="14.4" x14ac:dyDescent="0.3">
      <c r="A1474" t="s">
        <v>293</v>
      </c>
      <c r="B1474" s="1">
        <v>46199</v>
      </c>
      <c r="C1474" t="s">
        <v>16</v>
      </c>
      <c r="D1474">
        <v>1349</v>
      </c>
      <c r="E1474">
        <v>1</v>
      </c>
      <c r="F1474">
        <v>2.9</v>
      </c>
      <c r="G1474" t="s">
        <v>30</v>
      </c>
      <c r="H1474" t="s">
        <v>100</v>
      </c>
      <c r="I1474" t="str">
        <f t="shared" si="26"/>
        <v>1349_1</v>
      </c>
      <c r="J1474" t="s">
        <v>294</v>
      </c>
      <c r="K1474" t="s">
        <v>19</v>
      </c>
      <c r="L1474" t="str">
        <f>_xlfn.XLOOKUP(C1474, Table2[Species],Table2[Genus], "Code Not Found")</f>
        <v>Acer</v>
      </c>
      <c r="M1474" t="str">
        <f>_xlfn.XLOOKUP(C1474, Table2[Species],Table2[Sp. Name], "Code Not Found")</f>
        <v>saccharum</v>
      </c>
      <c r="N1474" t="str">
        <f>_xlfn.XLOOKUP(C1474,Table2[Species],Table2[Family],"Code Not Found")</f>
        <v>Sapindaceae</v>
      </c>
      <c r="O1474" t="str" cm="1">
        <f t="array" ref="O1474">_xlfn.IFS(F1474="","",F1474&lt;=5,"0 to 5",F1474&lt;=10,"5.1 to 10",F1474&lt;=20,"10 to 20", F1474&lt;= 40, "20 to 40", F1474 &lt;= 50, "40 to 50", F1474 &gt; 50, "&gt;50" )</f>
        <v>0 to 5</v>
      </c>
    </row>
    <row r="1475" spans="1:15" ht="14.4" x14ac:dyDescent="0.3">
      <c r="A1475" t="s">
        <v>293</v>
      </c>
      <c r="B1475" s="1">
        <v>46199</v>
      </c>
      <c r="C1475" t="s">
        <v>22</v>
      </c>
      <c r="D1475">
        <v>1350</v>
      </c>
      <c r="E1475">
        <v>1</v>
      </c>
      <c r="F1475">
        <v>42.3</v>
      </c>
      <c r="G1475" t="s">
        <v>21</v>
      </c>
      <c r="I1475" t="str">
        <f t="shared" si="26"/>
        <v>1350_1</v>
      </c>
      <c r="J1475" t="s">
        <v>294</v>
      </c>
      <c r="K1475" t="s">
        <v>19</v>
      </c>
      <c r="L1475" t="str">
        <f>_xlfn.XLOOKUP(C1475, Table2[Species],Table2[Genus], "Code Not Found")</f>
        <v>Acer</v>
      </c>
      <c r="M1475" t="str">
        <f>_xlfn.XLOOKUP(C1475, Table2[Species],Table2[Sp. Name], "Code Not Found")</f>
        <v>rubrum</v>
      </c>
      <c r="N1475" t="str">
        <f>_xlfn.XLOOKUP(C1475,Table2[Species],Table2[Family],"Code Not Found")</f>
        <v>Sapindaceae</v>
      </c>
      <c r="O1475" t="str" cm="1">
        <f t="array" ref="O1475">_xlfn.IFS(F1475="","",F1475&lt;=5,"0 to 5",F1475&lt;=10,"5.1 to 10",F1475&lt;=20,"10 to 20", F1475&lt;= 40, "20 to 40", F1475 &lt;= 50, "40 to 50", F1475 &gt; 50, "&gt;50" )</f>
        <v>40 to 50</v>
      </c>
    </row>
    <row r="1476" spans="1:15" ht="14.4" x14ac:dyDescent="0.3">
      <c r="A1476" t="s">
        <v>293</v>
      </c>
      <c r="B1476" s="1">
        <v>46199</v>
      </c>
      <c r="C1476" t="s">
        <v>20</v>
      </c>
      <c r="D1476">
        <v>1351</v>
      </c>
      <c r="E1476">
        <v>1</v>
      </c>
      <c r="F1476">
        <v>5</v>
      </c>
      <c r="G1476" t="s">
        <v>38</v>
      </c>
      <c r="H1476" t="s">
        <v>310</v>
      </c>
      <c r="I1476" t="str">
        <f t="shared" si="26"/>
        <v>1351_1</v>
      </c>
      <c r="J1476" t="s">
        <v>294</v>
      </c>
      <c r="K1476" t="s">
        <v>19</v>
      </c>
      <c r="L1476" t="str">
        <f>_xlfn.XLOOKUP(C1476, Table2[Species],Table2[Genus], "Code Not Found")</f>
        <v>Prunus</v>
      </c>
      <c r="M1476" t="str">
        <f>_xlfn.XLOOKUP(C1476, Table2[Species],Table2[Sp. Name], "Code Not Found")</f>
        <v>serotina</v>
      </c>
      <c r="N1476" t="str">
        <f>_xlfn.XLOOKUP(C1476,Table2[Species],Table2[Family],"Code Not Found")</f>
        <v>Rosaceae</v>
      </c>
      <c r="O1476" t="str" cm="1">
        <f t="array" ref="O1476">_xlfn.IFS(F1476="","",F1476&lt;=5,"0 to 5",F1476&lt;=10,"5.1 to 10",F1476&lt;=20,"10 to 20", F1476&lt;= 40, "20 to 40", F1476 &lt;= 50, "40 to 50", F1476 &gt; 50, "&gt;50" )</f>
        <v>0 to 5</v>
      </c>
    </row>
    <row r="1477" spans="1:15" ht="14.4" x14ac:dyDescent="0.3">
      <c r="A1477" t="s">
        <v>293</v>
      </c>
      <c r="B1477" s="1">
        <v>46199</v>
      </c>
      <c r="C1477" t="s">
        <v>16</v>
      </c>
      <c r="D1477">
        <v>1352</v>
      </c>
      <c r="E1477">
        <v>1</v>
      </c>
      <c r="F1477">
        <v>9.1</v>
      </c>
      <c r="G1477" t="s">
        <v>21</v>
      </c>
      <c r="I1477" t="str">
        <f t="shared" si="26"/>
        <v>1352_1</v>
      </c>
      <c r="J1477" t="s">
        <v>294</v>
      </c>
      <c r="K1477" t="s">
        <v>19</v>
      </c>
      <c r="L1477" t="str">
        <f>_xlfn.XLOOKUP(C1477, Table2[Species],Table2[Genus], "Code Not Found")</f>
        <v>Acer</v>
      </c>
      <c r="M1477" t="str">
        <f>_xlfn.XLOOKUP(C1477, Table2[Species],Table2[Sp. Name], "Code Not Found")</f>
        <v>saccharum</v>
      </c>
      <c r="N1477" t="str">
        <f>_xlfn.XLOOKUP(C1477,Table2[Species],Table2[Family],"Code Not Found")</f>
        <v>Sapindaceae</v>
      </c>
      <c r="O1477" t="str" cm="1">
        <f t="array" ref="O1477">_xlfn.IFS(F1477="","",F1477&lt;=5,"0 to 5",F1477&lt;=10,"5.1 to 10",F1477&lt;=20,"10 to 20", F1477&lt;= 40, "20 to 40", F1477 &lt;= 50, "40 to 50", F1477 &gt; 50, "&gt;50" )</f>
        <v>5.1 to 10</v>
      </c>
    </row>
    <row r="1478" spans="1:15" ht="14.4" x14ac:dyDescent="0.3">
      <c r="A1478" t="s">
        <v>293</v>
      </c>
      <c r="B1478" s="1">
        <v>46199</v>
      </c>
      <c r="C1478" t="s">
        <v>22</v>
      </c>
      <c r="D1478">
        <v>1353</v>
      </c>
      <c r="E1478">
        <v>1</v>
      </c>
      <c r="F1478">
        <v>16.899999999999999</v>
      </c>
      <c r="G1478" t="s">
        <v>21</v>
      </c>
      <c r="I1478" t="str">
        <f t="shared" si="26"/>
        <v>1353_1</v>
      </c>
      <c r="J1478" t="s">
        <v>294</v>
      </c>
      <c r="K1478" t="s">
        <v>19</v>
      </c>
      <c r="L1478" t="str">
        <f>_xlfn.XLOOKUP(C1478, Table2[Species],Table2[Genus], "Code Not Found")</f>
        <v>Acer</v>
      </c>
      <c r="M1478" t="str">
        <f>_xlfn.XLOOKUP(C1478, Table2[Species],Table2[Sp. Name], "Code Not Found")</f>
        <v>rubrum</v>
      </c>
      <c r="N1478" t="str">
        <f>_xlfn.XLOOKUP(C1478,Table2[Species],Table2[Family],"Code Not Found")</f>
        <v>Sapindaceae</v>
      </c>
      <c r="O1478" t="str" cm="1">
        <f t="array" ref="O1478">_xlfn.IFS(F1478="","",F1478&lt;=5,"0 to 5",F1478&lt;=10,"5.1 to 10",F1478&lt;=20,"10 to 20", F1478&lt;= 40, "20 to 40", F1478 &lt;= 50, "40 to 50", F1478 &gt; 50, "&gt;50" )</f>
        <v>10 to 20</v>
      </c>
    </row>
    <row r="1479" spans="1:15" ht="14.4" x14ac:dyDescent="0.3">
      <c r="A1479" t="s">
        <v>293</v>
      </c>
      <c r="B1479" s="1">
        <v>46199</v>
      </c>
      <c r="C1479" t="s">
        <v>16</v>
      </c>
      <c r="D1479">
        <v>1354</v>
      </c>
      <c r="E1479">
        <v>1</v>
      </c>
      <c r="F1479">
        <v>3.9</v>
      </c>
      <c r="G1479" t="s">
        <v>47</v>
      </c>
      <c r="H1479" t="s">
        <v>296</v>
      </c>
      <c r="I1479" t="str">
        <f t="shared" si="26"/>
        <v>1354_1</v>
      </c>
      <c r="J1479" t="s">
        <v>294</v>
      </c>
      <c r="K1479" t="s">
        <v>19</v>
      </c>
      <c r="L1479" t="str">
        <f>_xlfn.XLOOKUP(C1479, Table2[Species],Table2[Genus], "Code Not Found")</f>
        <v>Acer</v>
      </c>
      <c r="M1479" t="str">
        <f>_xlfn.XLOOKUP(C1479, Table2[Species],Table2[Sp. Name], "Code Not Found")</f>
        <v>saccharum</v>
      </c>
      <c r="N1479" t="str">
        <f>_xlfn.XLOOKUP(C1479,Table2[Species],Table2[Family],"Code Not Found")</f>
        <v>Sapindaceae</v>
      </c>
      <c r="O1479" t="str" cm="1">
        <f t="array" ref="O1479">_xlfn.IFS(F1479="","",F1479&lt;=5,"0 to 5",F1479&lt;=10,"5.1 to 10",F1479&lt;=20,"10 to 20", F1479&lt;= 40, "20 to 40", F1479 &lt;= 50, "40 to 50", F1479 &gt; 50, "&gt;50" )</f>
        <v>0 to 5</v>
      </c>
    </row>
    <row r="1480" spans="1:15" ht="14.4" x14ac:dyDescent="0.3">
      <c r="A1480" t="s">
        <v>293</v>
      </c>
      <c r="B1480" s="1">
        <v>46199</v>
      </c>
      <c r="C1480" t="s">
        <v>22</v>
      </c>
      <c r="D1480">
        <v>1355</v>
      </c>
      <c r="E1480">
        <v>1</v>
      </c>
      <c r="F1480">
        <v>72</v>
      </c>
      <c r="G1480" t="s">
        <v>56</v>
      </c>
      <c r="I1480" t="str">
        <f t="shared" si="26"/>
        <v>1355_1</v>
      </c>
      <c r="J1480" t="s">
        <v>294</v>
      </c>
      <c r="K1480" t="s">
        <v>19</v>
      </c>
      <c r="L1480" t="str">
        <f>_xlfn.XLOOKUP(C1480, Table2[Species],Table2[Genus], "Code Not Found")</f>
        <v>Acer</v>
      </c>
      <c r="M1480" t="str">
        <f>_xlfn.XLOOKUP(C1480, Table2[Species],Table2[Sp. Name], "Code Not Found")</f>
        <v>rubrum</v>
      </c>
      <c r="N1480" t="str">
        <f>_xlfn.XLOOKUP(C1480,Table2[Species],Table2[Family],"Code Not Found")</f>
        <v>Sapindaceae</v>
      </c>
      <c r="O1480" t="str" cm="1">
        <f t="array" ref="O1480">_xlfn.IFS(F1480="","",F1480&lt;=5,"0 to 5",F1480&lt;=10,"5.1 to 10",F1480&lt;=20,"10 to 20", F1480&lt;= 40, "20 to 40", F1480 &lt;= 50, "40 to 50", F1480 &gt; 50, "&gt;50" )</f>
        <v>&gt;50</v>
      </c>
    </row>
    <row r="1481" spans="1:15" ht="14.4" x14ac:dyDescent="0.3">
      <c r="A1481" t="s">
        <v>293</v>
      </c>
      <c r="B1481" s="1">
        <v>46199</v>
      </c>
      <c r="C1481" t="s">
        <v>16</v>
      </c>
      <c r="D1481">
        <v>1356</v>
      </c>
      <c r="E1481">
        <v>1</v>
      </c>
      <c r="F1481">
        <v>5.3</v>
      </c>
      <c r="G1481" t="s">
        <v>17</v>
      </c>
      <c r="I1481" t="str">
        <f t="shared" si="26"/>
        <v>1356_1</v>
      </c>
      <c r="J1481" t="s">
        <v>294</v>
      </c>
      <c r="K1481" t="s">
        <v>19</v>
      </c>
      <c r="L1481" t="str">
        <f>_xlfn.XLOOKUP(C1481, Table2[Species],Table2[Genus], "Code Not Found")</f>
        <v>Acer</v>
      </c>
      <c r="M1481" t="str">
        <f>_xlfn.XLOOKUP(C1481, Table2[Species],Table2[Sp. Name], "Code Not Found")</f>
        <v>saccharum</v>
      </c>
      <c r="N1481" t="str">
        <f>_xlfn.XLOOKUP(C1481,Table2[Species],Table2[Family],"Code Not Found")</f>
        <v>Sapindaceae</v>
      </c>
      <c r="O1481" t="str" cm="1">
        <f t="array" ref="O1481">_xlfn.IFS(F1481="","",F1481&lt;=5,"0 to 5",F1481&lt;=10,"5.1 to 10",F1481&lt;=20,"10 to 20", F1481&lt;= 40, "20 to 40", F1481 &lt;= 50, "40 to 50", F1481 &gt; 50, "&gt;50" )</f>
        <v>5.1 to 10</v>
      </c>
    </row>
    <row r="1482" spans="1:15" ht="14.4" x14ac:dyDescent="0.3">
      <c r="A1482" t="s">
        <v>293</v>
      </c>
      <c r="B1482" s="1">
        <v>46199</v>
      </c>
      <c r="C1482" t="s">
        <v>16</v>
      </c>
      <c r="D1482">
        <v>1357</v>
      </c>
      <c r="E1482">
        <v>1</v>
      </c>
      <c r="F1482">
        <v>9</v>
      </c>
      <c r="G1482" t="s">
        <v>17</v>
      </c>
      <c r="I1482" t="str">
        <f t="shared" si="26"/>
        <v>1357_1</v>
      </c>
      <c r="J1482" t="s">
        <v>294</v>
      </c>
      <c r="K1482" t="s">
        <v>19</v>
      </c>
      <c r="L1482" t="str">
        <f>_xlfn.XLOOKUP(C1482, Table2[Species],Table2[Genus], "Code Not Found")</f>
        <v>Acer</v>
      </c>
      <c r="M1482" t="str">
        <f>_xlfn.XLOOKUP(C1482, Table2[Species],Table2[Sp. Name], "Code Not Found")</f>
        <v>saccharum</v>
      </c>
      <c r="N1482" t="str">
        <f>_xlfn.XLOOKUP(C1482,Table2[Species],Table2[Family],"Code Not Found")</f>
        <v>Sapindaceae</v>
      </c>
      <c r="O1482" t="str" cm="1">
        <f t="array" ref="O1482">_xlfn.IFS(F1482="","",F1482&lt;=5,"0 to 5",F1482&lt;=10,"5.1 to 10",F1482&lt;=20,"10 to 20", F1482&lt;= 40, "20 to 40", F1482 &lt;= 50, "40 to 50", F1482 &gt; 50, "&gt;50" )</f>
        <v>5.1 to 10</v>
      </c>
    </row>
    <row r="1483" spans="1:15" ht="14.4" x14ac:dyDescent="0.3">
      <c r="A1483" t="s">
        <v>293</v>
      </c>
      <c r="B1483" s="1">
        <v>46199</v>
      </c>
      <c r="C1483" t="s">
        <v>22</v>
      </c>
      <c r="D1483">
        <v>1358</v>
      </c>
      <c r="E1483">
        <v>1</v>
      </c>
      <c r="F1483">
        <v>15.8</v>
      </c>
      <c r="G1483" t="s">
        <v>30</v>
      </c>
      <c r="H1483" t="s">
        <v>311</v>
      </c>
      <c r="I1483" t="str">
        <f t="shared" si="26"/>
        <v>1358_1</v>
      </c>
      <c r="J1483" t="s">
        <v>294</v>
      </c>
      <c r="K1483" t="s">
        <v>19</v>
      </c>
      <c r="L1483" t="str">
        <f>_xlfn.XLOOKUP(C1483, Table2[Species],Table2[Genus], "Code Not Found")</f>
        <v>Acer</v>
      </c>
      <c r="M1483" t="str">
        <f>_xlfn.XLOOKUP(C1483, Table2[Species],Table2[Sp. Name], "Code Not Found")</f>
        <v>rubrum</v>
      </c>
      <c r="N1483" t="str">
        <f>_xlfn.XLOOKUP(C1483,Table2[Species],Table2[Family],"Code Not Found")</f>
        <v>Sapindaceae</v>
      </c>
      <c r="O1483" t="str" cm="1">
        <f t="array" ref="O1483">_xlfn.IFS(F1483="","",F1483&lt;=5,"0 to 5",F1483&lt;=10,"5.1 to 10",F1483&lt;=20,"10 to 20", F1483&lt;= 40, "20 to 40", F1483 &lt;= 50, "40 to 50", F1483 &gt; 50, "&gt;50" )</f>
        <v>10 to 20</v>
      </c>
    </row>
    <row r="1484" spans="1:15" ht="14.4" x14ac:dyDescent="0.3">
      <c r="A1484" t="s">
        <v>293</v>
      </c>
      <c r="B1484" s="1">
        <v>46199</v>
      </c>
      <c r="C1484" t="s">
        <v>16</v>
      </c>
      <c r="D1484">
        <v>1359</v>
      </c>
      <c r="E1484">
        <v>1</v>
      </c>
      <c r="F1484">
        <v>5.0999999999999996</v>
      </c>
      <c r="G1484" t="s">
        <v>47</v>
      </c>
      <c r="H1484" t="s">
        <v>296</v>
      </c>
      <c r="I1484" t="str">
        <f t="shared" si="26"/>
        <v>1359_1</v>
      </c>
      <c r="J1484" t="s">
        <v>294</v>
      </c>
      <c r="K1484" t="s">
        <v>19</v>
      </c>
      <c r="L1484" t="str">
        <f>_xlfn.XLOOKUP(C1484, Table2[Species],Table2[Genus], "Code Not Found")</f>
        <v>Acer</v>
      </c>
      <c r="M1484" t="str">
        <f>_xlfn.XLOOKUP(C1484, Table2[Species],Table2[Sp. Name], "Code Not Found")</f>
        <v>saccharum</v>
      </c>
      <c r="N1484" t="str">
        <f>_xlfn.XLOOKUP(C1484,Table2[Species],Table2[Family],"Code Not Found")</f>
        <v>Sapindaceae</v>
      </c>
      <c r="O1484" t="str" cm="1">
        <f t="array" ref="O1484">_xlfn.IFS(F1484="","",F1484&lt;=5,"0 to 5",F1484&lt;=10,"5.1 to 10",F1484&lt;=20,"10 to 20", F1484&lt;= 40, "20 to 40", F1484 &lt;= 50, "40 to 50", F1484 &gt; 50, "&gt;50" )</f>
        <v>5.1 to 10</v>
      </c>
    </row>
    <row r="1485" spans="1:15" s="21" customFormat="1" ht="14.4" x14ac:dyDescent="0.3">
      <c r="A1485" s="21" t="s">
        <v>293</v>
      </c>
      <c r="B1485" s="22">
        <v>46199</v>
      </c>
      <c r="C1485" s="21" t="s">
        <v>312</v>
      </c>
      <c r="D1485" s="21">
        <v>1360</v>
      </c>
      <c r="E1485" s="21">
        <v>1</v>
      </c>
      <c r="F1485" s="21">
        <v>9.8000000000000007</v>
      </c>
      <c r="G1485" s="21" t="s">
        <v>47</v>
      </c>
      <c r="H1485" s="21" t="s">
        <v>296</v>
      </c>
      <c r="I1485" s="21" t="str">
        <f t="shared" si="26"/>
        <v>1360_1</v>
      </c>
      <c r="J1485" s="21" t="s">
        <v>294</v>
      </c>
      <c r="K1485" s="21" t="s">
        <v>19</v>
      </c>
      <c r="L1485" s="21" t="str">
        <f>_xlfn.XLOOKUP(C1485, Table2[Species],Table2[Genus], "Code Not Found")</f>
        <v>Fraxinus</v>
      </c>
      <c r="M1485" s="21" t="str">
        <f>_xlfn.XLOOKUP(C1485, Table2[Species],Table2[Sp. Name], "Code Not Found")</f>
        <v>species</v>
      </c>
      <c r="N1485" s="21" t="str">
        <f>_xlfn.XLOOKUP(C1485,Table2[Species],Table2[Family],"Code Not Found")</f>
        <v>Oleaceae</v>
      </c>
      <c r="O1485" s="21" t="str" cm="1">
        <f t="array" ref="O1485">_xlfn.IFS(F1485="","",F1485&lt;=5,"0 to 5",F1485&lt;=10,"5.1 to 10",F1485&lt;=20,"10 to 20", F1485&lt;= 40, "20 to 40", F1485 &lt;= 50, "40 to 50", F1485 &gt; 50, "&gt;50" )</f>
        <v>5.1 to 10</v>
      </c>
    </row>
    <row r="1486" spans="1:15" ht="14.4" x14ac:dyDescent="0.3">
      <c r="A1486" t="s">
        <v>293</v>
      </c>
      <c r="B1486" s="1">
        <v>46199</v>
      </c>
      <c r="C1486" t="s">
        <v>16</v>
      </c>
      <c r="D1486">
        <v>1361</v>
      </c>
      <c r="E1486">
        <v>1</v>
      </c>
      <c r="F1486">
        <v>3.1</v>
      </c>
      <c r="G1486" t="s">
        <v>17</v>
      </c>
      <c r="I1486" t="str">
        <f t="shared" si="26"/>
        <v>1361_1</v>
      </c>
      <c r="J1486" t="s">
        <v>294</v>
      </c>
      <c r="K1486" t="s">
        <v>19</v>
      </c>
      <c r="L1486" t="str">
        <f>_xlfn.XLOOKUP(C1486, Table2[Species],Table2[Genus], "Code Not Found")</f>
        <v>Acer</v>
      </c>
      <c r="M1486" t="str">
        <f>_xlfn.XLOOKUP(C1486, Table2[Species],Table2[Sp. Name], "Code Not Found")</f>
        <v>saccharum</v>
      </c>
      <c r="N1486" t="str">
        <f>_xlfn.XLOOKUP(C1486,Table2[Species],Table2[Family],"Code Not Found")</f>
        <v>Sapindaceae</v>
      </c>
      <c r="O1486" t="str" cm="1">
        <f t="array" ref="O1486">_xlfn.IFS(F1486="","",F1486&lt;=5,"0 to 5",F1486&lt;=10,"5.1 to 10",F1486&lt;=20,"10 to 20", F1486&lt;= 40, "20 to 40", F1486 &lt;= 50, "40 to 50", F1486 &gt; 50, "&gt;50" )</f>
        <v>0 to 5</v>
      </c>
    </row>
    <row r="1487" spans="1:15" ht="14.4" x14ac:dyDescent="0.3">
      <c r="A1487" t="s">
        <v>293</v>
      </c>
      <c r="B1487" s="1">
        <v>46199</v>
      </c>
      <c r="C1487" t="s">
        <v>16</v>
      </c>
      <c r="D1487">
        <v>1362</v>
      </c>
      <c r="E1487">
        <v>1</v>
      </c>
      <c r="F1487">
        <v>4.8</v>
      </c>
      <c r="G1487" t="s">
        <v>17</v>
      </c>
      <c r="I1487" t="str">
        <f t="shared" si="26"/>
        <v>1362_1</v>
      </c>
      <c r="J1487" t="s">
        <v>294</v>
      </c>
      <c r="K1487" t="s">
        <v>19</v>
      </c>
      <c r="L1487" t="str">
        <f>_xlfn.XLOOKUP(C1487, Table2[Species],Table2[Genus], "Code Not Found")</f>
        <v>Acer</v>
      </c>
      <c r="M1487" t="str">
        <f>_xlfn.XLOOKUP(C1487, Table2[Species],Table2[Sp. Name], "Code Not Found")</f>
        <v>saccharum</v>
      </c>
      <c r="N1487" t="str">
        <f>_xlfn.XLOOKUP(C1487,Table2[Species],Table2[Family],"Code Not Found")</f>
        <v>Sapindaceae</v>
      </c>
      <c r="O1487" t="str" cm="1">
        <f t="array" ref="O1487">_xlfn.IFS(F1487="","",F1487&lt;=5,"0 to 5",F1487&lt;=10,"5.1 to 10",F1487&lt;=20,"10 to 20", F1487&lt;= 40, "20 to 40", F1487 &lt;= 50, "40 to 50", F1487 &gt; 50, "&gt;50" )</f>
        <v>0 to 5</v>
      </c>
    </row>
    <row r="1488" spans="1:15" ht="14.4" x14ac:dyDescent="0.3">
      <c r="A1488" t="s">
        <v>293</v>
      </c>
      <c r="B1488" s="1">
        <v>46199</v>
      </c>
      <c r="C1488" t="s">
        <v>16</v>
      </c>
      <c r="D1488">
        <v>1363</v>
      </c>
      <c r="E1488">
        <v>1</v>
      </c>
      <c r="F1488">
        <v>4.3</v>
      </c>
      <c r="G1488" t="s">
        <v>17</v>
      </c>
      <c r="H1488" t="s">
        <v>313</v>
      </c>
      <c r="I1488" t="str">
        <f t="shared" si="26"/>
        <v>1363_1</v>
      </c>
      <c r="J1488" t="s">
        <v>294</v>
      </c>
      <c r="K1488" t="s">
        <v>19</v>
      </c>
      <c r="L1488" t="str">
        <f>_xlfn.XLOOKUP(C1488, Table2[Species],Table2[Genus], "Code Not Found")</f>
        <v>Acer</v>
      </c>
      <c r="M1488" t="str">
        <f>_xlfn.XLOOKUP(C1488, Table2[Species],Table2[Sp. Name], "Code Not Found")</f>
        <v>saccharum</v>
      </c>
      <c r="N1488" t="str">
        <f>_xlfn.XLOOKUP(C1488,Table2[Species],Table2[Family],"Code Not Found")</f>
        <v>Sapindaceae</v>
      </c>
      <c r="O1488" t="str" cm="1">
        <f t="array" ref="O1488">_xlfn.IFS(F1488="","",F1488&lt;=5,"0 to 5",F1488&lt;=10,"5.1 to 10",F1488&lt;=20,"10 to 20", F1488&lt;= 40, "20 to 40", F1488 &lt;= 50, "40 to 50", F1488 &gt; 50, "&gt;50" )</f>
        <v>0 to 5</v>
      </c>
    </row>
    <row r="1489" spans="1:15" ht="14.4" x14ac:dyDescent="0.3">
      <c r="A1489" t="s">
        <v>293</v>
      </c>
      <c r="B1489" s="1">
        <v>46199</v>
      </c>
      <c r="C1489" t="s">
        <v>55</v>
      </c>
      <c r="D1489">
        <v>1364</v>
      </c>
      <c r="E1489">
        <v>1</v>
      </c>
      <c r="F1489">
        <v>47.8</v>
      </c>
      <c r="G1489" t="s">
        <v>17</v>
      </c>
      <c r="I1489" t="str">
        <f t="shared" si="26"/>
        <v>1364_1</v>
      </c>
      <c r="J1489" t="s">
        <v>294</v>
      </c>
      <c r="K1489" t="s">
        <v>19</v>
      </c>
      <c r="L1489" t="str">
        <f>_xlfn.XLOOKUP(C1489, Table2[Species],Table2[Genus], "Code Not Found")</f>
        <v>Magnolia</v>
      </c>
      <c r="M1489" t="str">
        <f>_xlfn.XLOOKUP(C1489, Table2[Species],Table2[Sp. Name], "Code Not Found")</f>
        <v>acuminata</v>
      </c>
      <c r="N1489" t="str">
        <f>_xlfn.XLOOKUP(C1489,Table2[Species],Table2[Family],"Code Not Found")</f>
        <v>Magnoliaceae</v>
      </c>
      <c r="O1489" t="str" cm="1">
        <f t="array" ref="O1489">_xlfn.IFS(F1489="","",F1489&lt;=5,"0 to 5",F1489&lt;=10,"5.1 to 10",F1489&lt;=20,"10 to 20", F1489&lt;= 40, "20 to 40", F1489 &lt;= 50, "40 to 50", F1489 &gt; 50, "&gt;50" )</f>
        <v>40 to 50</v>
      </c>
    </row>
    <row r="1490" spans="1:15" ht="14.4" x14ac:dyDescent="0.3">
      <c r="A1490" t="s">
        <v>293</v>
      </c>
      <c r="B1490" s="1">
        <v>46199</v>
      </c>
      <c r="C1490" t="s">
        <v>16</v>
      </c>
      <c r="D1490">
        <v>1365</v>
      </c>
      <c r="E1490">
        <v>1</v>
      </c>
      <c r="F1490">
        <v>1.6</v>
      </c>
      <c r="G1490" t="s">
        <v>47</v>
      </c>
      <c r="H1490" t="s">
        <v>296</v>
      </c>
      <c r="I1490" t="str">
        <f t="shared" si="26"/>
        <v>1365_1</v>
      </c>
      <c r="J1490" t="s">
        <v>294</v>
      </c>
      <c r="K1490" t="s">
        <v>19</v>
      </c>
      <c r="L1490" t="str">
        <f>_xlfn.XLOOKUP(C1490, Table2[Species],Table2[Genus], "Code Not Found")</f>
        <v>Acer</v>
      </c>
      <c r="M1490" t="str">
        <f>_xlfn.XLOOKUP(C1490, Table2[Species],Table2[Sp. Name], "Code Not Found")</f>
        <v>saccharum</v>
      </c>
      <c r="N1490" t="str">
        <f>_xlfn.XLOOKUP(C1490,Table2[Species],Table2[Family],"Code Not Found")</f>
        <v>Sapindaceae</v>
      </c>
      <c r="O1490" t="str" cm="1">
        <f t="array" ref="O1490">_xlfn.IFS(F1490="","",F1490&lt;=5,"0 to 5",F1490&lt;=10,"5.1 to 10",F1490&lt;=20,"10 to 20", F1490&lt;= 40, "20 to 40", F1490 &lt;= 50, "40 to 50", F1490 &gt; 50, "&gt;50" )</f>
        <v>0 to 5</v>
      </c>
    </row>
    <row r="1491" spans="1:15" ht="14.4" x14ac:dyDescent="0.3">
      <c r="A1491" t="s">
        <v>293</v>
      </c>
      <c r="B1491" s="1">
        <v>46199</v>
      </c>
      <c r="C1491" t="s">
        <v>16</v>
      </c>
      <c r="D1491">
        <v>1366</v>
      </c>
      <c r="E1491">
        <v>1</v>
      </c>
      <c r="F1491">
        <v>14.6</v>
      </c>
      <c r="G1491" t="s">
        <v>17</v>
      </c>
      <c r="I1491" t="str">
        <f t="shared" si="26"/>
        <v>1366_1</v>
      </c>
      <c r="J1491" t="s">
        <v>294</v>
      </c>
      <c r="K1491" t="s">
        <v>19</v>
      </c>
      <c r="L1491" t="str">
        <f>_xlfn.XLOOKUP(C1491, Table2[Species],Table2[Genus], "Code Not Found")</f>
        <v>Acer</v>
      </c>
      <c r="M1491" t="str">
        <f>_xlfn.XLOOKUP(C1491, Table2[Species],Table2[Sp. Name], "Code Not Found")</f>
        <v>saccharum</v>
      </c>
      <c r="N1491" t="str">
        <f>_xlfn.XLOOKUP(C1491,Table2[Species],Table2[Family],"Code Not Found")</f>
        <v>Sapindaceae</v>
      </c>
      <c r="O1491" t="str" cm="1">
        <f t="array" ref="O1491">_xlfn.IFS(F1491="","",F1491&lt;=5,"0 to 5",F1491&lt;=10,"5.1 to 10",F1491&lt;=20,"10 to 20", F1491&lt;= 40, "20 to 40", F1491 &lt;= 50, "40 to 50", F1491 &gt; 50, "&gt;50" )</f>
        <v>10 to 20</v>
      </c>
    </row>
    <row r="1492" spans="1:15" ht="14.4" x14ac:dyDescent="0.3">
      <c r="A1492" t="s">
        <v>293</v>
      </c>
      <c r="B1492" s="1">
        <v>46199</v>
      </c>
      <c r="C1492" t="s">
        <v>16</v>
      </c>
      <c r="D1492">
        <v>1367</v>
      </c>
      <c r="E1492">
        <v>1</v>
      </c>
      <c r="F1492">
        <v>3.7</v>
      </c>
      <c r="G1492" t="s">
        <v>17</v>
      </c>
      <c r="I1492" t="str">
        <f t="shared" si="26"/>
        <v>1367_1</v>
      </c>
      <c r="J1492" t="s">
        <v>294</v>
      </c>
      <c r="K1492" t="s">
        <v>19</v>
      </c>
      <c r="L1492" t="str">
        <f>_xlfn.XLOOKUP(C1492, Table2[Species],Table2[Genus], "Code Not Found")</f>
        <v>Acer</v>
      </c>
      <c r="M1492" t="str">
        <f>_xlfn.XLOOKUP(C1492, Table2[Species],Table2[Sp. Name], "Code Not Found")</f>
        <v>saccharum</v>
      </c>
      <c r="N1492" t="str">
        <f>_xlfn.XLOOKUP(C1492,Table2[Species],Table2[Family],"Code Not Found")</f>
        <v>Sapindaceae</v>
      </c>
      <c r="O1492" t="str" cm="1">
        <f t="array" ref="O1492">_xlfn.IFS(F1492="","",F1492&lt;=5,"0 to 5",F1492&lt;=10,"5.1 to 10",F1492&lt;=20,"10 to 20", F1492&lt;= 40, "20 to 40", F1492 &lt;= 50, "40 to 50", F1492 &gt; 50, "&gt;50" )</f>
        <v>0 to 5</v>
      </c>
    </row>
    <row r="1493" spans="1:15" ht="14.4" x14ac:dyDescent="0.3">
      <c r="A1493" t="s">
        <v>293</v>
      </c>
      <c r="B1493" s="1">
        <v>46199</v>
      </c>
      <c r="C1493" t="s">
        <v>16</v>
      </c>
      <c r="D1493">
        <v>1368</v>
      </c>
      <c r="E1493">
        <v>1</v>
      </c>
      <c r="F1493">
        <v>6.4</v>
      </c>
      <c r="G1493" t="s">
        <v>17</v>
      </c>
      <c r="I1493" t="str">
        <f t="shared" si="26"/>
        <v>1368_1</v>
      </c>
      <c r="J1493" t="s">
        <v>294</v>
      </c>
      <c r="K1493" t="s">
        <v>19</v>
      </c>
      <c r="L1493" t="str">
        <f>_xlfn.XLOOKUP(C1493, Table2[Species],Table2[Genus], "Code Not Found")</f>
        <v>Acer</v>
      </c>
      <c r="M1493" t="str">
        <f>_xlfn.XLOOKUP(C1493, Table2[Species],Table2[Sp. Name], "Code Not Found")</f>
        <v>saccharum</v>
      </c>
      <c r="N1493" t="str">
        <f>_xlfn.XLOOKUP(C1493,Table2[Species],Table2[Family],"Code Not Found")</f>
        <v>Sapindaceae</v>
      </c>
      <c r="O1493" t="str" cm="1">
        <f t="array" ref="O1493">_xlfn.IFS(F1493="","",F1493&lt;=5,"0 to 5",F1493&lt;=10,"5.1 to 10",F1493&lt;=20,"10 to 20", F1493&lt;= 40, "20 to 40", F1493 &lt;= 50, "40 to 50", F1493 &gt; 50, "&gt;50" )</f>
        <v>5.1 to 10</v>
      </c>
    </row>
    <row r="1494" spans="1:15" ht="14.4" x14ac:dyDescent="0.3">
      <c r="A1494" t="s">
        <v>293</v>
      </c>
      <c r="B1494" s="1">
        <v>46199</v>
      </c>
      <c r="C1494" t="s">
        <v>16</v>
      </c>
      <c r="D1494">
        <v>1369</v>
      </c>
      <c r="E1494">
        <v>1</v>
      </c>
      <c r="F1494">
        <v>14.6</v>
      </c>
      <c r="G1494" t="s">
        <v>17</v>
      </c>
      <c r="I1494" t="str">
        <f t="shared" si="26"/>
        <v>1369_1</v>
      </c>
      <c r="J1494" t="s">
        <v>294</v>
      </c>
      <c r="K1494" t="s">
        <v>19</v>
      </c>
      <c r="L1494" t="str">
        <f>_xlfn.XLOOKUP(C1494, Table2[Species],Table2[Genus], "Code Not Found")</f>
        <v>Acer</v>
      </c>
      <c r="M1494" t="str">
        <f>_xlfn.XLOOKUP(C1494, Table2[Species],Table2[Sp. Name], "Code Not Found")</f>
        <v>saccharum</v>
      </c>
      <c r="N1494" t="str">
        <f>_xlfn.XLOOKUP(C1494,Table2[Species],Table2[Family],"Code Not Found")</f>
        <v>Sapindaceae</v>
      </c>
      <c r="O1494" t="str" cm="1">
        <f t="array" ref="O1494">_xlfn.IFS(F1494="","",F1494&lt;=5,"0 to 5",F1494&lt;=10,"5.1 to 10",F1494&lt;=20,"10 to 20", F1494&lt;= 40, "20 to 40", F1494 &lt;= 50, "40 to 50", F1494 &gt; 50, "&gt;50" )</f>
        <v>10 to 20</v>
      </c>
    </row>
    <row r="1495" spans="1:15" ht="14.4" x14ac:dyDescent="0.3">
      <c r="A1495" t="s">
        <v>293</v>
      </c>
      <c r="B1495" s="1">
        <v>46199</v>
      </c>
      <c r="C1495" t="s">
        <v>16</v>
      </c>
      <c r="D1495">
        <v>1370</v>
      </c>
      <c r="E1495">
        <v>1</v>
      </c>
      <c r="F1495">
        <v>1.5</v>
      </c>
      <c r="G1495" t="s">
        <v>47</v>
      </c>
      <c r="H1495" t="s">
        <v>296</v>
      </c>
      <c r="I1495" t="str">
        <f t="shared" si="26"/>
        <v>1370_1</v>
      </c>
      <c r="J1495" t="s">
        <v>294</v>
      </c>
      <c r="K1495" t="s">
        <v>19</v>
      </c>
      <c r="L1495" t="str">
        <f>_xlfn.XLOOKUP(C1495, Table2[Species],Table2[Genus], "Code Not Found")</f>
        <v>Acer</v>
      </c>
      <c r="M1495" t="str">
        <f>_xlfn.XLOOKUP(C1495, Table2[Species],Table2[Sp. Name], "Code Not Found")</f>
        <v>saccharum</v>
      </c>
      <c r="N1495" t="str">
        <f>_xlfn.XLOOKUP(C1495,Table2[Species],Table2[Family],"Code Not Found")</f>
        <v>Sapindaceae</v>
      </c>
      <c r="O1495" t="str" cm="1">
        <f t="array" ref="O1495">_xlfn.IFS(F1495="","",F1495&lt;=5,"0 to 5",F1495&lt;=10,"5.1 to 10",F1495&lt;=20,"10 to 20", F1495&lt;= 40, "20 to 40", F1495 &lt;= 50, "40 to 50", F1495 &gt; 50, "&gt;50" )</f>
        <v>0 to 5</v>
      </c>
    </row>
    <row r="1496" spans="1:15" ht="14.4" x14ac:dyDescent="0.3">
      <c r="A1496" t="s">
        <v>293</v>
      </c>
      <c r="B1496" s="1">
        <v>46199</v>
      </c>
      <c r="C1496" t="s">
        <v>16</v>
      </c>
      <c r="D1496">
        <v>1371</v>
      </c>
      <c r="E1496">
        <v>1</v>
      </c>
      <c r="F1496">
        <v>6.5</v>
      </c>
      <c r="G1496" t="s">
        <v>314</v>
      </c>
      <c r="H1496" t="s">
        <v>315</v>
      </c>
      <c r="I1496" t="str">
        <f t="shared" si="26"/>
        <v>1371_1</v>
      </c>
      <c r="J1496" t="s">
        <v>294</v>
      </c>
      <c r="K1496" t="s">
        <v>19</v>
      </c>
      <c r="L1496" t="str">
        <f>_xlfn.XLOOKUP(C1496, Table2[Species],Table2[Genus], "Code Not Found")</f>
        <v>Acer</v>
      </c>
      <c r="M1496" t="str">
        <f>_xlfn.XLOOKUP(C1496, Table2[Species],Table2[Sp. Name], "Code Not Found")</f>
        <v>saccharum</v>
      </c>
      <c r="N1496" t="str">
        <f>_xlfn.XLOOKUP(C1496,Table2[Species],Table2[Family],"Code Not Found")</f>
        <v>Sapindaceae</v>
      </c>
      <c r="O1496" t="str" cm="1">
        <f t="array" ref="O1496">_xlfn.IFS(F1496="","",F1496&lt;=5,"0 to 5",F1496&lt;=10,"5.1 to 10",F1496&lt;=20,"10 to 20", F1496&lt;= 40, "20 to 40", F1496 &lt;= 50, "40 to 50", F1496 &gt; 50, "&gt;50" )</f>
        <v>5.1 to 10</v>
      </c>
    </row>
    <row r="1497" spans="1:15" ht="14.4" x14ac:dyDescent="0.3">
      <c r="A1497" t="s">
        <v>293</v>
      </c>
      <c r="B1497" s="1">
        <v>46199</v>
      </c>
      <c r="C1497" t="s">
        <v>64</v>
      </c>
      <c r="D1497">
        <v>1372</v>
      </c>
      <c r="E1497">
        <v>1</v>
      </c>
      <c r="F1497">
        <v>2.5</v>
      </c>
      <c r="G1497" t="s">
        <v>34</v>
      </c>
      <c r="H1497" t="s">
        <v>316</v>
      </c>
      <c r="I1497" t="str">
        <f t="shared" si="26"/>
        <v>1372_1</v>
      </c>
      <c r="J1497" t="s">
        <v>294</v>
      </c>
      <c r="K1497" t="s">
        <v>19</v>
      </c>
      <c r="L1497" t="str">
        <f>_xlfn.XLOOKUP(C1497, Table2[Species],Table2[Genus], "Code Not Found")</f>
        <v>Fagus</v>
      </c>
      <c r="M1497" t="str">
        <f>_xlfn.XLOOKUP(C1497, Table2[Species],Table2[Sp. Name], "Code Not Found")</f>
        <v>grandifolia</v>
      </c>
      <c r="N1497" t="str">
        <f>_xlfn.XLOOKUP(C1497,Table2[Species],Table2[Family],"Code Not Found")</f>
        <v>Fagaceae</v>
      </c>
      <c r="O1497" t="str" cm="1">
        <f t="array" ref="O1497">_xlfn.IFS(F1497="","",F1497&lt;=5,"0 to 5",F1497&lt;=10,"5.1 to 10",F1497&lt;=20,"10 to 20", F1497&lt;= 40, "20 to 40", F1497 &lt;= 50, "40 to 50", F1497 &gt; 50, "&gt;50" )</f>
        <v>0 to 5</v>
      </c>
    </row>
    <row r="1498" spans="1:15" ht="14.4" x14ac:dyDescent="0.3">
      <c r="A1498" t="s">
        <v>293</v>
      </c>
      <c r="B1498" s="1">
        <v>46199</v>
      </c>
      <c r="C1498" t="s">
        <v>64</v>
      </c>
      <c r="D1498">
        <v>1372</v>
      </c>
      <c r="E1498">
        <v>2</v>
      </c>
      <c r="F1498">
        <v>1.1000000000000001</v>
      </c>
      <c r="G1498" t="s">
        <v>34</v>
      </c>
      <c r="H1498" t="s">
        <v>316</v>
      </c>
      <c r="I1498" t="str">
        <f t="shared" si="26"/>
        <v>1372_2</v>
      </c>
      <c r="J1498" t="s">
        <v>294</v>
      </c>
      <c r="K1498" t="s">
        <v>19</v>
      </c>
      <c r="L1498" t="str">
        <f>_xlfn.XLOOKUP(C1498, Table2[Species],Table2[Genus], "Code Not Found")</f>
        <v>Fagus</v>
      </c>
      <c r="M1498" t="str">
        <f>_xlfn.XLOOKUP(C1498, Table2[Species],Table2[Sp. Name], "Code Not Found")</f>
        <v>grandifolia</v>
      </c>
      <c r="N1498" t="str">
        <f>_xlfn.XLOOKUP(C1498,Table2[Species],Table2[Family],"Code Not Found")</f>
        <v>Fagaceae</v>
      </c>
      <c r="O1498" t="str" cm="1">
        <f t="array" ref="O1498">_xlfn.IFS(F1498="","",F1498&lt;=5,"0 to 5",F1498&lt;=10,"5.1 to 10",F1498&lt;=20,"10 to 20", F1498&lt;= 40, "20 to 40", F1498 &lt;= 50, "40 to 50", F1498 &gt; 50, "&gt;50" )</f>
        <v>0 to 5</v>
      </c>
    </row>
    <row r="1499" spans="1:15" ht="14.4" x14ac:dyDescent="0.3">
      <c r="A1499" t="s">
        <v>293</v>
      </c>
      <c r="B1499" s="1">
        <v>46199</v>
      </c>
      <c r="C1499" t="s">
        <v>64</v>
      </c>
      <c r="D1499">
        <v>1373</v>
      </c>
      <c r="E1499">
        <v>1</v>
      </c>
      <c r="F1499">
        <v>5.2</v>
      </c>
      <c r="G1499" t="s">
        <v>17</v>
      </c>
      <c r="I1499" t="str">
        <f t="shared" si="26"/>
        <v>1373_1</v>
      </c>
      <c r="J1499" t="s">
        <v>294</v>
      </c>
      <c r="K1499" t="s">
        <v>19</v>
      </c>
      <c r="L1499" t="str">
        <f>_xlfn.XLOOKUP(C1499, Table2[Species],Table2[Genus], "Code Not Found")</f>
        <v>Fagus</v>
      </c>
      <c r="M1499" t="str">
        <f>_xlfn.XLOOKUP(C1499, Table2[Species],Table2[Sp. Name], "Code Not Found")</f>
        <v>grandifolia</v>
      </c>
      <c r="N1499" t="str">
        <f>_xlfn.XLOOKUP(C1499,Table2[Species],Table2[Family],"Code Not Found")</f>
        <v>Fagaceae</v>
      </c>
      <c r="O1499" t="str" cm="1">
        <f t="array" ref="O1499">_xlfn.IFS(F1499="","",F1499&lt;=5,"0 to 5",F1499&lt;=10,"5.1 to 10",F1499&lt;=20,"10 to 20", F1499&lt;= 40, "20 to 40", F1499 &lt;= 50, "40 to 50", F1499 &gt; 50, "&gt;50" )</f>
        <v>5.1 to 10</v>
      </c>
    </row>
    <row r="1500" spans="1:15" ht="14.4" x14ac:dyDescent="0.3">
      <c r="A1500" t="s">
        <v>293</v>
      </c>
      <c r="B1500" s="1">
        <v>46199</v>
      </c>
      <c r="C1500" t="s">
        <v>64</v>
      </c>
      <c r="D1500">
        <v>1374</v>
      </c>
      <c r="E1500">
        <v>1</v>
      </c>
      <c r="F1500">
        <v>11.6</v>
      </c>
      <c r="G1500" t="s">
        <v>17</v>
      </c>
      <c r="I1500" t="str">
        <f t="shared" si="26"/>
        <v>1374_1</v>
      </c>
      <c r="J1500" t="s">
        <v>294</v>
      </c>
      <c r="K1500" t="s">
        <v>19</v>
      </c>
      <c r="L1500" t="str">
        <f>_xlfn.XLOOKUP(C1500, Table2[Species],Table2[Genus], "Code Not Found")</f>
        <v>Fagus</v>
      </c>
      <c r="M1500" t="str">
        <f>_xlfn.XLOOKUP(C1500, Table2[Species],Table2[Sp. Name], "Code Not Found")</f>
        <v>grandifolia</v>
      </c>
      <c r="N1500" t="str">
        <f>_xlfn.XLOOKUP(C1500,Table2[Species],Table2[Family],"Code Not Found")</f>
        <v>Fagaceae</v>
      </c>
      <c r="O1500" t="str" cm="1">
        <f t="array" ref="O1500">_xlfn.IFS(F1500="","",F1500&lt;=5,"0 to 5",F1500&lt;=10,"5.1 to 10",F1500&lt;=20,"10 to 20", F1500&lt;= 40, "20 to 40", F1500 &lt;= 50, "40 to 50", F1500 &gt; 50, "&gt;50" )</f>
        <v>10 to 20</v>
      </c>
    </row>
    <row r="1501" spans="1:15" ht="14.4" x14ac:dyDescent="0.3">
      <c r="A1501" t="s">
        <v>293</v>
      </c>
      <c r="B1501" s="1">
        <v>46199</v>
      </c>
      <c r="C1501" t="s">
        <v>16</v>
      </c>
      <c r="D1501">
        <v>1375</v>
      </c>
      <c r="E1501">
        <v>1</v>
      </c>
      <c r="F1501">
        <v>3</v>
      </c>
      <c r="G1501" t="s">
        <v>17</v>
      </c>
      <c r="I1501" t="str">
        <f t="shared" si="26"/>
        <v>1375_1</v>
      </c>
      <c r="J1501" t="s">
        <v>294</v>
      </c>
      <c r="K1501" t="s">
        <v>19</v>
      </c>
      <c r="L1501" t="str">
        <f>_xlfn.XLOOKUP(C1501, Table2[Species],Table2[Genus], "Code Not Found")</f>
        <v>Acer</v>
      </c>
      <c r="M1501" t="str">
        <f>_xlfn.XLOOKUP(C1501, Table2[Species],Table2[Sp. Name], "Code Not Found")</f>
        <v>saccharum</v>
      </c>
      <c r="N1501" t="str">
        <f>_xlfn.XLOOKUP(C1501,Table2[Species],Table2[Family],"Code Not Found")</f>
        <v>Sapindaceae</v>
      </c>
      <c r="O1501" t="str" cm="1">
        <f t="array" ref="O1501">_xlfn.IFS(F1501="","",F1501&lt;=5,"0 to 5",F1501&lt;=10,"5.1 to 10",F1501&lt;=20,"10 to 20", F1501&lt;= 40, "20 to 40", F1501 &lt;= 50, "40 to 50", F1501 &gt; 50, "&gt;50" )</f>
        <v>0 to 5</v>
      </c>
    </row>
    <row r="1502" spans="1:15" ht="14.4" x14ac:dyDescent="0.3">
      <c r="A1502" t="s">
        <v>293</v>
      </c>
      <c r="B1502" s="1">
        <v>46199</v>
      </c>
      <c r="C1502" t="s">
        <v>16</v>
      </c>
      <c r="D1502">
        <v>1376</v>
      </c>
      <c r="E1502">
        <v>1</v>
      </c>
      <c r="F1502">
        <v>1.5</v>
      </c>
      <c r="G1502" t="s">
        <v>17</v>
      </c>
      <c r="I1502" t="str">
        <f t="shared" si="26"/>
        <v>1376_1</v>
      </c>
      <c r="J1502" t="s">
        <v>294</v>
      </c>
      <c r="K1502" t="s">
        <v>19</v>
      </c>
      <c r="L1502" t="str">
        <f>_xlfn.XLOOKUP(C1502, Table2[Species],Table2[Genus], "Code Not Found")</f>
        <v>Acer</v>
      </c>
      <c r="M1502" t="str">
        <f>_xlfn.XLOOKUP(C1502, Table2[Species],Table2[Sp. Name], "Code Not Found")</f>
        <v>saccharum</v>
      </c>
      <c r="N1502" t="str">
        <f>_xlfn.XLOOKUP(C1502,Table2[Species],Table2[Family],"Code Not Found")</f>
        <v>Sapindaceae</v>
      </c>
      <c r="O1502" t="str" cm="1">
        <f t="array" ref="O1502">_xlfn.IFS(F1502="","",F1502&lt;=5,"0 to 5",F1502&lt;=10,"5.1 to 10",F1502&lt;=20,"10 to 20", F1502&lt;= 40, "20 to 40", F1502 &lt;= 50, "40 to 50", F1502 &gt; 50, "&gt;50" )</f>
        <v>0 to 5</v>
      </c>
    </row>
    <row r="1503" spans="1:15" ht="14.4" x14ac:dyDescent="0.3">
      <c r="A1503" t="s">
        <v>293</v>
      </c>
      <c r="B1503" s="1">
        <v>46199</v>
      </c>
      <c r="C1503" t="s">
        <v>16</v>
      </c>
      <c r="D1503">
        <v>1377</v>
      </c>
      <c r="E1503">
        <v>1</v>
      </c>
      <c r="F1503">
        <v>5.8</v>
      </c>
      <c r="G1503" t="s">
        <v>17</v>
      </c>
      <c r="H1503" t="s">
        <v>317</v>
      </c>
      <c r="I1503" t="str">
        <f t="shared" si="26"/>
        <v>1377_1</v>
      </c>
      <c r="J1503" t="s">
        <v>294</v>
      </c>
      <c r="K1503" t="s">
        <v>19</v>
      </c>
      <c r="L1503" t="str">
        <f>_xlfn.XLOOKUP(C1503, Table2[Species],Table2[Genus], "Code Not Found")</f>
        <v>Acer</v>
      </c>
      <c r="M1503" t="str">
        <f>_xlfn.XLOOKUP(C1503, Table2[Species],Table2[Sp. Name], "Code Not Found")</f>
        <v>saccharum</v>
      </c>
      <c r="N1503" t="str">
        <f>_xlfn.XLOOKUP(C1503,Table2[Species],Table2[Family],"Code Not Found")</f>
        <v>Sapindaceae</v>
      </c>
      <c r="O1503" t="str" cm="1">
        <f t="array" ref="O1503">_xlfn.IFS(F1503="","",F1503&lt;=5,"0 to 5",F1503&lt;=10,"5.1 to 10",F1503&lt;=20,"10 to 20", F1503&lt;= 40, "20 to 40", F1503 &lt;= 50, "40 to 50", F1503 &gt; 50, "&gt;50" )</f>
        <v>5.1 to 10</v>
      </c>
    </row>
    <row r="1504" spans="1:15" ht="14.4" x14ac:dyDescent="0.3">
      <c r="A1504" t="s">
        <v>293</v>
      </c>
      <c r="B1504" s="1">
        <v>46199</v>
      </c>
      <c r="C1504" t="s">
        <v>16</v>
      </c>
      <c r="D1504">
        <v>1378</v>
      </c>
      <c r="E1504">
        <v>1</v>
      </c>
      <c r="F1504">
        <v>1</v>
      </c>
      <c r="G1504" t="s">
        <v>47</v>
      </c>
      <c r="H1504" t="s">
        <v>318</v>
      </c>
      <c r="I1504" t="str">
        <f t="shared" si="26"/>
        <v>1378_1</v>
      </c>
      <c r="J1504" t="s">
        <v>294</v>
      </c>
      <c r="K1504" t="s">
        <v>19</v>
      </c>
      <c r="L1504" t="str">
        <f>_xlfn.XLOOKUP(C1504, Table2[Species],Table2[Genus], "Code Not Found")</f>
        <v>Acer</v>
      </c>
      <c r="M1504" t="str">
        <f>_xlfn.XLOOKUP(C1504, Table2[Species],Table2[Sp. Name], "Code Not Found")</f>
        <v>saccharum</v>
      </c>
      <c r="N1504" t="str">
        <f>_xlfn.XLOOKUP(C1504,Table2[Species],Table2[Family],"Code Not Found")</f>
        <v>Sapindaceae</v>
      </c>
      <c r="O1504" t="str" cm="1">
        <f t="array" ref="O1504">_xlfn.IFS(F1504="","",F1504&lt;=5,"0 to 5",F1504&lt;=10,"5.1 to 10",F1504&lt;=20,"10 to 20", F1504&lt;= 40, "20 to 40", F1504 &lt;= 50, "40 to 50", F1504 &gt; 50, "&gt;50" )</f>
        <v>0 to 5</v>
      </c>
    </row>
    <row r="1505" spans="1:15" ht="14.4" x14ac:dyDescent="0.3">
      <c r="A1505" t="s">
        <v>293</v>
      </c>
      <c r="B1505" s="1">
        <v>46199</v>
      </c>
      <c r="C1505" t="s">
        <v>16</v>
      </c>
      <c r="D1505">
        <v>1379</v>
      </c>
      <c r="E1505">
        <v>1</v>
      </c>
      <c r="F1505">
        <v>1.9</v>
      </c>
      <c r="G1505" t="s">
        <v>93</v>
      </c>
      <c r="I1505" t="str">
        <f t="shared" si="26"/>
        <v>1379_1</v>
      </c>
      <c r="J1505" t="s">
        <v>294</v>
      </c>
      <c r="K1505" t="s">
        <v>19</v>
      </c>
      <c r="L1505" t="str">
        <f>_xlfn.XLOOKUP(C1505, Table2[Species],Table2[Genus], "Code Not Found")</f>
        <v>Acer</v>
      </c>
      <c r="M1505" t="str">
        <f>_xlfn.XLOOKUP(C1505, Table2[Species],Table2[Sp. Name], "Code Not Found")</f>
        <v>saccharum</v>
      </c>
      <c r="N1505" t="str">
        <f>_xlfn.XLOOKUP(C1505,Table2[Species],Table2[Family],"Code Not Found")</f>
        <v>Sapindaceae</v>
      </c>
      <c r="O1505" t="str" cm="1">
        <f t="array" ref="O1505">_xlfn.IFS(F1505="","",F1505&lt;=5,"0 to 5",F1505&lt;=10,"5.1 to 10",F1505&lt;=20,"10 to 20", F1505&lt;= 40, "20 to 40", F1505 &lt;= 50, "40 to 50", F1505 &gt; 50, "&gt;50" )</f>
        <v>0 to 5</v>
      </c>
    </row>
    <row r="1506" spans="1:15" ht="14.4" x14ac:dyDescent="0.3">
      <c r="A1506" t="s">
        <v>293</v>
      </c>
      <c r="B1506" s="1">
        <v>46199</v>
      </c>
      <c r="C1506" t="s">
        <v>16</v>
      </c>
      <c r="D1506">
        <v>1379</v>
      </c>
      <c r="E1506">
        <v>2</v>
      </c>
      <c r="F1506">
        <v>1</v>
      </c>
      <c r="G1506" t="s">
        <v>93</v>
      </c>
      <c r="I1506" t="str">
        <f t="shared" si="26"/>
        <v>1379_2</v>
      </c>
      <c r="J1506" t="s">
        <v>294</v>
      </c>
      <c r="K1506" t="s">
        <v>19</v>
      </c>
      <c r="L1506" t="str">
        <f>_xlfn.XLOOKUP(C1506, Table2[Species],Table2[Genus], "Code Not Found")</f>
        <v>Acer</v>
      </c>
      <c r="M1506" t="str">
        <f>_xlfn.XLOOKUP(C1506, Table2[Species],Table2[Sp. Name], "Code Not Found")</f>
        <v>saccharum</v>
      </c>
      <c r="N1506" t="str">
        <f>_xlfn.XLOOKUP(C1506,Table2[Species],Table2[Family],"Code Not Found")</f>
        <v>Sapindaceae</v>
      </c>
      <c r="O1506" t="str" cm="1">
        <f t="array" ref="O1506">_xlfn.IFS(F1506="","",F1506&lt;=5,"0 to 5",F1506&lt;=10,"5.1 to 10",F1506&lt;=20,"10 to 20", F1506&lt;= 40, "20 to 40", F1506 &lt;= 50, "40 to 50", F1506 &gt; 50, "&gt;50" )</f>
        <v>0 to 5</v>
      </c>
    </row>
    <row r="1507" spans="1:15" ht="14.4" x14ac:dyDescent="0.3">
      <c r="A1507" t="s">
        <v>293</v>
      </c>
      <c r="B1507" s="1">
        <v>46199</v>
      </c>
      <c r="C1507" t="s">
        <v>16</v>
      </c>
      <c r="D1507">
        <v>1380</v>
      </c>
      <c r="E1507">
        <v>1</v>
      </c>
      <c r="F1507">
        <v>6.4</v>
      </c>
      <c r="G1507" t="s">
        <v>17</v>
      </c>
      <c r="I1507" t="str">
        <f t="shared" si="26"/>
        <v>1380_1</v>
      </c>
      <c r="J1507" t="s">
        <v>294</v>
      </c>
      <c r="K1507" t="s">
        <v>19</v>
      </c>
      <c r="L1507" t="str">
        <f>_xlfn.XLOOKUP(C1507, Table2[Species],Table2[Genus], "Code Not Found")</f>
        <v>Acer</v>
      </c>
      <c r="M1507" t="str">
        <f>_xlfn.XLOOKUP(C1507, Table2[Species],Table2[Sp. Name], "Code Not Found")</f>
        <v>saccharum</v>
      </c>
      <c r="N1507" t="str">
        <f>_xlfn.XLOOKUP(C1507,Table2[Species],Table2[Family],"Code Not Found")</f>
        <v>Sapindaceae</v>
      </c>
      <c r="O1507" t="str" cm="1">
        <f t="array" ref="O1507">_xlfn.IFS(F1507="","",F1507&lt;=5,"0 to 5",F1507&lt;=10,"5.1 to 10",F1507&lt;=20,"10 to 20", F1507&lt;= 40, "20 to 40", F1507 &lt;= 50, "40 to 50", F1507 &gt; 50, "&gt;50" )</f>
        <v>5.1 to 10</v>
      </c>
    </row>
    <row r="1508" spans="1:15" ht="14.4" x14ac:dyDescent="0.3">
      <c r="A1508" t="s">
        <v>293</v>
      </c>
      <c r="B1508" s="1">
        <v>46199</v>
      </c>
      <c r="C1508" t="s">
        <v>16</v>
      </c>
      <c r="D1508">
        <v>1381</v>
      </c>
      <c r="E1508">
        <v>1</v>
      </c>
      <c r="F1508">
        <v>6.9</v>
      </c>
      <c r="G1508" t="s">
        <v>17</v>
      </c>
      <c r="I1508" t="str">
        <f t="shared" ref="I1508:I1531" si="27">D1508&amp;"_"&amp;E1508</f>
        <v>1381_1</v>
      </c>
      <c r="J1508" t="s">
        <v>294</v>
      </c>
      <c r="K1508" t="s">
        <v>19</v>
      </c>
      <c r="L1508" t="str">
        <f>_xlfn.XLOOKUP(C1508, Table2[Species],Table2[Genus], "Code Not Found")</f>
        <v>Acer</v>
      </c>
      <c r="M1508" t="str">
        <f>_xlfn.XLOOKUP(C1508, Table2[Species],Table2[Sp. Name], "Code Not Found")</f>
        <v>saccharum</v>
      </c>
      <c r="N1508" t="str">
        <f>_xlfn.XLOOKUP(C1508,Table2[Species],Table2[Family],"Code Not Found")</f>
        <v>Sapindaceae</v>
      </c>
      <c r="O1508" t="str" cm="1">
        <f t="array" ref="O1508">_xlfn.IFS(F1508="","",F1508&lt;=5,"0 to 5",F1508&lt;=10,"5.1 to 10",F1508&lt;=20,"10 to 20", F1508&lt;= 40, "20 to 40", F1508 &lt;= 50, "40 to 50", F1508 &gt; 50, "&gt;50" )</f>
        <v>5.1 to 10</v>
      </c>
    </row>
    <row r="1509" spans="1:15" ht="14.4" x14ac:dyDescent="0.3">
      <c r="A1509" t="s">
        <v>293</v>
      </c>
      <c r="B1509" s="1">
        <v>46199</v>
      </c>
      <c r="C1509" t="s">
        <v>16</v>
      </c>
      <c r="D1509">
        <v>1382</v>
      </c>
      <c r="E1509">
        <v>1</v>
      </c>
      <c r="F1509">
        <v>4.8</v>
      </c>
      <c r="G1509" t="s">
        <v>47</v>
      </c>
      <c r="H1509" t="s">
        <v>296</v>
      </c>
      <c r="I1509" t="str">
        <f t="shared" si="27"/>
        <v>1382_1</v>
      </c>
      <c r="J1509" t="s">
        <v>294</v>
      </c>
      <c r="K1509" t="s">
        <v>19</v>
      </c>
      <c r="L1509" t="str">
        <f>_xlfn.XLOOKUP(C1509, Table2[Species],Table2[Genus], "Code Not Found")</f>
        <v>Acer</v>
      </c>
      <c r="M1509" t="str">
        <f>_xlfn.XLOOKUP(C1509, Table2[Species],Table2[Sp. Name], "Code Not Found")</f>
        <v>saccharum</v>
      </c>
      <c r="N1509" t="str">
        <f>_xlfn.XLOOKUP(C1509,Table2[Species],Table2[Family],"Code Not Found")</f>
        <v>Sapindaceae</v>
      </c>
      <c r="O1509" t="str" cm="1">
        <f t="array" ref="O1509">_xlfn.IFS(F1509="","",F1509&lt;=5,"0 to 5",F1509&lt;=10,"5.1 to 10",F1509&lt;=20,"10 to 20", F1509&lt;= 40, "20 to 40", F1509 &lt;= 50, "40 to 50", F1509 &gt; 50, "&gt;50" )</f>
        <v>0 to 5</v>
      </c>
    </row>
    <row r="1510" spans="1:15" ht="14.4" x14ac:dyDescent="0.3">
      <c r="A1510" t="s">
        <v>293</v>
      </c>
      <c r="B1510" s="1">
        <v>46199</v>
      </c>
      <c r="C1510" t="s">
        <v>16</v>
      </c>
      <c r="D1510">
        <v>1556</v>
      </c>
      <c r="E1510">
        <v>1</v>
      </c>
      <c r="F1510">
        <v>6</v>
      </c>
      <c r="G1510" t="s">
        <v>17</v>
      </c>
      <c r="H1510" t="s">
        <v>319</v>
      </c>
      <c r="I1510" t="str">
        <f t="shared" si="27"/>
        <v>1556_1</v>
      </c>
      <c r="J1510" t="s">
        <v>294</v>
      </c>
      <c r="K1510" t="s">
        <v>19</v>
      </c>
      <c r="L1510" t="str">
        <f>_xlfn.XLOOKUP(C1510, Table2[Species],Table2[Genus], "Code Not Found")</f>
        <v>Acer</v>
      </c>
      <c r="M1510" t="str">
        <f>_xlfn.XLOOKUP(C1510, Table2[Species],Table2[Sp. Name], "Code Not Found")</f>
        <v>saccharum</v>
      </c>
      <c r="N1510" t="str">
        <f>_xlfn.XLOOKUP(C1510,Table2[Species],Table2[Family],"Code Not Found")</f>
        <v>Sapindaceae</v>
      </c>
      <c r="O1510" t="str" cm="1">
        <f t="array" ref="O1510">_xlfn.IFS(F1510="","",F1510&lt;=5,"0 to 5",F1510&lt;=10,"5.1 to 10",F1510&lt;=20,"10 to 20", F1510&lt;= 40, "20 to 40", F1510 &lt;= 50, "40 to 50", F1510 &gt; 50, "&gt;50" )</f>
        <v>5.1 to 10</v>
      </c>
    </row>
    <row r="1511" spans="1:15" ht="14.4" x14ac:dyDescent="0.3">
      <c r="A1511" t="s">
        <v>293</v>
      </c>
      <c r="B1511" s="1">
        <v>46199</v>
      </c>
      <c r="C1511" t="s">
        <v>16</v>
      </c>
      <c r="D1511">
        <v>1557</v>
      </c>
      <c r="E1511">
        <v>1</v>
      </c>
      <c r="F1511">
        <v>2.5</v>
      </c>
      <c r="G1511" t="s">
        <v>17</v>
      </c>
      <c r="H1511" t="s">
        <v>319</v>
      </c>
      <c r="I1511" t="str">
        <f t="shared" si="27"/>
        <v>1557_1</v>
      </c>
      <c r="J1511" t="s">
        <v>294</v>
      </c>
      <c r="K1511" t="s">
        <v>19</v>
      </c>
      <c r="L1511" t="str">
        <f>_xlfn.XLOOKUP(C1511, Table2[Species],Table2[Genus], "Code Not Found")</f>
        <v>Acer</v>
      </c>
      <c r="M1511" t="str">
        <f>_xlfn.XLOOKUP(C1511, Table2[Species],Table2[Sp. Name], "Code Not Found")</f>
        <v>saccharum</v>
      </c>
      <c r="N1511" t="str">
        <f>_xlfn.XLOOKUP(C1511,Table2[Species],Table2[Family],"Code Not Found")</f>
        <v>Sapindaceae</v>
      </c>
      <c r="O1511" t="str" cm="1">
        <f t="array" ref="O1511">_xlfn.IFS(F1511="","",F1511&lt;=5,"0 to 5",F1511&lt;=10,"5.1 to 10",F1511&lt;=20,"10 to 20", F1511&lt;= 40, "20 to 40", F1511 &lt;= 50, "40 to 50", F1511 &gt; 50, "&gt;50" )</f>
        <v>0 to 5</v>
      </c>
    </row>
    <row r="1512" spans="1:15" ht="14.4" x14ac:dyDescent="0.3">
      <c r="A1512" t="s">
        <v>293</v>
      </c>
      <c r="B1512" s="1">
        <v>46199</v>
      </c>
      <c r="C1512" t="s">
        <v>64</v>
      </c>
      <c r="D1512">
        <v>1383</v>
      </c>
      <c r="E1512">
        <v>1</v>
      </c>
      <c r="F1512">
        <v>43.3</v>
      </c>
      <c r="G1512" t="s">
        <v>17</v>
      </c>
      <c r="I1512" t="str">
        <f t="shared" si="27"/>
        <v>1383_1</v>
      </c>
      <c r="J1512" t="s">
        <v>294</v>
      </c>
      <c r="K1512" t="s">
        <v>19</v>
      </c>
      <c r="L1512" t="str">
        <f>_xlfn.XLOOKUP(C1512, Table2[Species],Table2[Genus], "Code Not Found")</f>
        <v>Fagus</v>
      </c>
      <c r="M1512" t="str">
        <f>_xlfn.XLOOKUP(C1512, Table2[Species],Table2[Sp. Name], "Code Not Found")</f>
        <v>grandifolia</v>
      </c>
      <c r="N1512" t="str">
        <f>_xlfn.XLOOKUP(C1512,Table2[Species],Table2[Family],"Code Not Found")</f>
        <v>Fagaceae</v>
      </c>
      <c r="O1512" t="str" cm="1">
        <f t="array" ref="O1512">_xlfn.IFS(F1512="","",F1512&lt;=5,"0 to 5",F1512&lt;=10,"5.1 to 10",F1512&lt;=20,"10 to 20", F1512&lt;= 40, "20 to 40", F1512 &lt;= 50, "40 to 50", F1512 &gt; 50, "&gt;50" )</f>
        <v>40 to 50</v>
      </c>
    </row>
    <row r="1513" spans="1:15" ht="14.4" x14ac:dyDescent="0.3">
      <c r="A1513" t="s">
        <v>293</v>
      </c>
      <c r="B1513" s="1">
        <v>46199</v>
      </c>
      <c r="C1513" t="s">
        <v>16</v>
      </c>
      <c r="D1513">
        <v>1384</v>
      </c>
      <c r="E1513">
        <v>1</v>
      </c>
      <c r="F1513">
        <v>2.8</v>
      </c>
      <c r="G1513" t="s">
        <v>17</v>
      </c>
      <c r="I1513" t="str">
        <f t="shared" si="27"/>
        <v>1384_1</v>
      </c>
      <c r="J1513" t="s">
        <v>294</v>
      </c>
      <c r="K1513" t="s">
        <v>19</v>
      </c>
      <c r="L1513" t="str">
        <f>_xlfn.XLOOKUP(C1513, Table2[Species],Table2[Genus], "Code Not Found")</f>
        <v>Acer</v>
      </c>
      <c r="M1513" t="str">
        <f>_xlfn.XLOOKUP(C1513, Table2[Species],Table2[Sp. Name], "Code Not Found")</f>
        <v>saccharum</v>
      </c>
      <c r="N1513" t="str">
        <f>_xlfn.XLOOKUP(C1513,Table2[Species],Table2[Family],"Code Not Found")</f>
        <v>Sapindaceae</v>
      </c>
      <c r="O1513" t="str" cm="1">
        <f t="array" ref="O1513">_xlfn.IFS(F1513="","",F1513&lt;=5,"0 to 5",F1513&lt;=10,"5.1 to 10",F1513&lt;=20,"10 to 20", F1513&lt;= 40, "20 to 40", F1513 &lt;= 50, "40 to 50", F1513 &gt; 50, "&gt;50" )</f>
        <v>0 to 5</v>
      </c>
    </row>
    <row r="1514" spans="1:15" ht="14.4" x14ac:dyDescent="0.3">
      <c r="A1514" t="s">
        <v>293</v>
      </c>
      <c r="B1514" s="1">
        <v>46199</v>
      </c>
      <c r="C1514" t="s">
        <v>16</v>
      </c>
      <c r="D1514">
        <v>1385</v>
      </c>
      <c r="E1514">
        <v>1</v>
      </c>
      <c r="F1514">
        <v>4</v>
      </c>
      <c r="G1514" t="s">
        <v>17</v>
      </c>
      <c r="I1514" t="str">
        <f t="shared" si="27"/>
        <v>1385_1</v>
      </c>
      <c r="J1514" t="s">
        <v>294</v>
      </c>
      <c r="K1514" t="s">
        <v>19</v>
      </c>
      <c r="L1514" t="str">
        <f>_xlfn.XLOOKUP(C1514, Table2[Species],Table2[Genus], "Code Not Found")</f>
        <v>Acer</v>
      </c>
      <c r="M1514" t="str">
        <f>_xlfn.XLOOKUP(C1514, Table2[Species],Table2[Sp. Name], "Code Not Found")</f>
        <v>saccharum</v>
      </c>
      <c r="N1514" t="str">
        <f>_xlfn.XLOOKUP(C1514,Table2[Species],Table2[Family],"Code Not Found")</f>
        <v>Sapindaceae</v>
      </c>
      <c r="O1514" t="str" cm="1">
        <f t="array" ref="O1514">_xlfn.IFS(F1514="","",F1514&lt;=5,"0 to 5",F1514&lt;=10,"5.1 to 10",F1514&lt;=20,"10 to 20", F1514&lt;= 40, "20 to 40", F1514 &lt;= 50, "40 to 50", F1514 &gt; 50, "&gt;50" )</f>
        <v>0 to 5</v>
      </c>
    </row>
    <row r="1515" spans="1:15" ht="14.4" x14ac:dyDescent="0.3">
      <c r="A1515" t="s">
        <v>293</v>
      </c>
      <c r="B1515" s="1">
        <v>46199</v>
      </c>
      <c r="C1515" t="s">
        <v>16</v>
      </c>
      <c r="D1515">
        <v>1386</v>
      </c>
      <c r="E1515">
        <v>1</v>
      </c>
      <c r="F1515">
        <v>6.3</v>
      </c>
      <c r="G1515" t="s">
        <v>17</v>
      </c>
      <c r="I1515" t="str">
        <f t="shared" si="27"/>
        <v>1386_1</v>
      </c>
      <c r="J1515" t="s">
        <v>294</v>
      </c>
      <c r="K1515" t="s">
        <v>19</v>
      </c>
      <c r="L1515" t="str">
        <f>_xlfn.XLOOKUP(C1515, Table2[Species],Table2[Genus], "Code Not Found")</f>
        <v>Acer</v>
      </c>
      <c r="M1515" t="str">
        <f>_xlfn.XLOOKUP(C1515, Table2[Species],Table2[Sp. Name], "Code Not Found")</f>
        <v>saccharum</v>
      </c>
      <c r="N1515" t="str">
        <f>_xlfn.XLOOKUP(C1515,Table2[Species],Table2[Family],"Code Not Found")</f>
        <v>Sapindaceae</v>
      </c>
      <c r="O1515" t="str" cm="1">
        <f t="array" ref="O1515">_xlfn.IFS(F1515="","",F1515&lt;=5,"0 to 5",F1515&lt;=10,"5.1 to 10",F1515&lt;=20,"10 to 20", F1515&lt;= 40, "20 to 40", F1515 &lt;= 50, "40 to 50", F1515 &gt; 50, "&gt;50" )</f>
        <v>5.1 to 10</v>
      </c>
    </row>
    <row r="1516" spans="1:15" ht="14.4" x14ac:dyDescent="0.3">
      <c r="A1516" t="s">
        <v>293</v>
      </c>
      <c r="B1516" s="1">
        <v>46199</v>
      </c>
      <c r="C1516" t="s">
        <v>16</v>
      </c>
      <c r="D1516">
        <v>1387</v>
      </c>
      <c r="E1516">
        <v>1</v>
      </c>
      <c r="F1516">
        <v>7.6</v>
      </c>
      <c r="G1516" t="s">
        <v>51</v>
      </c>
      <c r="H1516" t="s">
        <v>320</v>
      </c>
      <c r="I1516" t="str">
        <f t="shared" si="27"/>
        <v>1387_1</v>
      </c>
      <c r="J1516" t="s">
        <v>294</v>
      </c>
      <c r="K1516" t="s">
        <v>19</v>
      </c>
      <c r="L1516" t="str">
        <f>_xlfn.XLOOKUP(C1516, Table2[Species],Table2[Genus], "Code Not Found")</f>
        <v>Acer</v>
      </c>
      <c r="M1516" t="str">
        <f>_xlfn.XLOOKUP(C1516, Table2[Species],Table2[Sp. Name], "Code Not Found")</f>
        <v>saccharum</v>
      </c>
      <c r="N1516" t="str">
        <f>_xlfn.XLOOKUP(C1516,Table2[Species],Table2[Family],"Code Not Found")</f>
        <v>Sapindaceae</v>
      </c>
      <c r="O1516" t="str" cm="1">
        <f t="array" ref="O1516">_xlfn.IFS(F1516="","",F1516&lt;=5,"0 to 5",F1516&lt;=10,"5.1 to 10",F1516&lt;=20,"10 to 20", F1516&lt;= 40, "20 to 40", F1516 &lt;= 50, "40 to 50", F1516 &gt; 50, "&gt;50" )</f>
        <v>5.1 to 10</v>
      </c>
    </row>
    <row r="1517" spans="1:15" ht="14.4" x14ac:dyDescent="0.3">
      <c r="A1517" t="s">
        <v>293</v>
      </c>
      <c r="B1517" s="1">
        <v>46199</v>
      </c>
      <c r="C1517" t="s">
        <v>59</v>
      </c>
      <c r="D1517">
        <v>1388</v>
      </c>
      <c r="E1517">
        <v>1</v>
      </c>
      <c r="F1517">
        <v>32.6</v>
      </c>
      <c r="G1517" t="s">
        <v>47</v>
      </c>
      <c r="H1517" t="s">
        <v>296</v>
      </c>
      <c r="I1517" t="str">
        <f t="shared" si="27"/>
        <v>1388_1</v>
      </c>
      <c r="J1517" t="s">
        <v>294</v>
      </c>
      <c r="K1517" t="s">
        <v>19</v>
      </c>
      <c r="L1517" t="str">
        <f>_xlfn.XLOOKUP(C1517, Table2[Species],Table2[Genus], "Code Not Found")</f>
        <v>Nyssa</v>
      </c>
      <c r="M1517" t="str">
        <f>_xlfn.XLOOKUP(C1517, Table2[Species],Table2[Sp. Name], "Code Not Found")</f>
        <v>sylvatica</v>
      </c>
      <c r="N1517" t="str">
        <f>_xlfn.XLOOKUP(C1517,Table2[Species],Table2[Family],"Code Not Found")</f>
        <v>Nyssaceae</v>
      </c>
      <c r="O1517" t="str" cm="1">
        <f t="array" ref="O1517">_xlfn.IFS(F1517="","",F1517&lt;=5,"0 to 5",F1517&lt;=10,"5.1 to 10",F1517&lt;=20,"10 to 20", F1517&lt;= 40, "20 to 40", F1517 &lt;= 50, "40 to 50", F1517 &gt; 50, "&gt;50" )</f>
        <v>20 to 40</v>
      </c>
    </row>
    <row r="1518" spans="1:15" ht="14.4" x14ac:dyDescent="0.3">
      <c r="A1518" t="s">
        <v>293</v>
      </c>
      <c r="B1518" s="1">
        <v>46199</v>
      </c>
      <c r="C1518" t="s">
        <v>16</v>
      </c>
      <c r="D1518">
        <v>1389</v>
      </c>
      <c r="E1518">
        <v>1</v>
      </c>
      <c r="F1518">
        <v>3.6</v>
      </c>
      <c r="G1518" t="s">
        <v>30</v>
      </c>
      <c r="H1518" t="s">
        <v>99</v>
      </c>
      <c r="I1518" t="str">
        <f t="shared" si="27"/>
        <v>1389_1</v>
      </c>
      <c r="J1518" t="s">
        <v>294</v>
      </c>
      <c r="K1518" t="s">
        <v>19</v>
      </c>
      <c r="L1518" t="str">
        <f>_xlfn.XLOOKUP(C1518, Table2[Species],Table2[Genus], "Code Not Found")</f>
        <v>Acer</v>
      </c>
      <c r="M1518" t="str">
        <f>_xlfn.XLOOKUP(C1518, Table2[Species],Table2[Sp. Name], "Code Not Found")</f>
        <v>saccharum</v>
      </c>
      <c r="N1518" t="str">
        <f>_xlfn.XLOOKUP(C1518,Table2[Species],Table2[Family],"Code Not Found")</f>
        <v>Sapindaceae</v>
      </c>
      <c r="O1518" t="str" cm="1">
        <f t="array" ref="O1518">_xlfn.IFS(F1518="","",F1518&lt;=5,"0 to 5",F1518&lt;=10,"5.1 to 10",F1518&lt;=20,"10 to 20", F1518&lt;= 40, "20 to 40", F1518 &lt;= 50, "40 to 50", F1518 &gt; 50, "&gt;50" )</f>
        <v>0 to 5</v>
      </c>
    </row>
    <row r="1519" spans="1:15" ht="14.4" x14ac:dyDescent="0.3">
      <c r="A1519" t="s">
        <v>293</v>
      </c>
      <c r="B1519" s="1">
        <v>46199</v>
      </c>
      <c r="C1519" t="s">
        <v>16</v>
      </c>
      <c r="D1519">
        <v>1390</v>
      </c>
      <c r="E1519">
        <v>1</v>
      </c>
      <c r="F1519">
        <v>4.2</v>
      </c>
      <c r="G1519" t="s">
        <v>21</v>
      </c>
      <c r="I1519" t="str">
        <f t="shared" si="27"/>
        <v>1390_1</v>
      </c>
      <c r="J1519" t="s">
        <v>294</v>
      </c>
      <c r="K1519" t="s">
        <v>19</v>
      </c>
      <c r="L1519" t="str">
        <f>_xlfn.XLOOKUP(C1519, Table2[Species],Table2[Genus], "Code Not Found")</f>
        <v>Acer</v>
      </c>
      <c r="M1519" t="str">
        <f>_xlfn.XLOOKUP(C1519, Table2[Species],Table2[Sp. Name], "Code Not Found")</f>
        <v>saccharum</v>
      </c>
      <c r="N1519" t="str">
        <f>_xlfn.XLOOKUP(C1519,Table2[Species],Table2[Family],"Code Not Found")</f>
        <v>Sapindaceae</v>
      </c>
      <c r="O1519" t="str" cm="1">
        <f t="array" ref="O1519">_xlfn.IFS(F1519="","",F1519&lt;=5,"0 to 5",F1519&lt;=10,"5.1 to 10",F1519&lt;=20,"10 to 20", F1519&lt;= 40, "20 to 40", F1519 &lt;= 50, "40 to 50", F1519 &gt; 50, "&gt;50" )</f>
        <v>0 to 5</v>
      </c>
    </row>
    <row r="1520" spans="1:15" ht="14.4" x14ac:dyDescent="0.3">
      <c r="A1520" t="s">
        <v>293</v>
      </c>
      <c r="B1520" s="1">
        <v>46199</v>
      </c>
      <c r="C1520" t="s">
        <v>16</v>
      </c>
      <c r="D1520">
        <v>1391</v>
      </c>
      <c r="E1520">
        <v>1</v>
      </c>
      <c r="F1520">
        <v>2.7</v>
      </c>
      <c r="G1520" t="s">
        <v>17</v>
      </c>
      <c r="I1520" t="str">
        <f t="shared" si="27"/>
        <v>1391_1</v>
      </c>
      <c r="J1520" t="s">
        <v>294</v>
      </c>
      <c r="K1520" t="s">
        <v>19</v>
      </c>
      <c r="L1520" t="str">
        <f>_xlfn.XLOOKUP(C1520, Table2[Species],Table2[Genus], "Code Not Found")</f>
        <v>Acer</v>
      </c>
      <c r="M1520" t="str">
        <f>_xlfn.XLOOKUP(C1520, Table2[Species],Table2[Sp. Name], "Code Not Found")</f>
        <v>saccharum</v>
      </c>
      <c r="N1520" t="str">
        <f>_xlfn.XLOOKUP(C1520,Table2[Species],Table2[Family],"Code Not Found")</f>
        <v>Sapindaceae</v>
      </c>
      <c r="O1520" t="str" cm="1">
        <f t="array" ref="O1520">_xlfn.IFS(F1520="","",F1520&lt;=5,"0 to 5",F1520&lt;=10,"5.1 to 10",F1520&lt;=20,"10 to 20", F1520&lt;= 40, "20 to 40", F1520 &lt;= 50, "40 to 50", F1520 &gt; 50, "&gt;50" )</f>
        <v>0 to 5</v>
      </c>
    </row>
    <row r="1521" spans="1:15" ht="14.4" x14ac:dyDescent="0.3">
      <c r="A1521" t="s">
        <v>293</v>
      </c>
      <c r="B1521" s="1">
        <v>46199</v>
      </c>
      <c r="C1521" t="s">
        <v>16</v>
      </c>
      <c r="D1521">
        <v>1392</v>
      </c>
      <c r="E1521">
        <v>1</v>
      </c>
      <c r="F1521">
        <v>7.7</v>
      </c>
      <c r="G1521" t="s">
        <v>17</v>
      </c>
      <c r="I1521" t="str">
        <f t="shared" si="27"/>
        <v>1392_1</v>
      </c>
      <c r="J1521" t="s">
        <v>294</v>
      </c>
      <c r="K1521" t="s">
        <v>19</v>
      </c>
      <c r="L1521" t="str">
        <f>_xlfn.XLOOKUP(C1521, Table2[Species],Table2[Genus], "Code Not Found")</f>
        <v>Acer</v>
      </c>
      <c r="M1521" t="str">
        <f>_xlfn.XLOOKUP(C1521, Table2[Species],Table2[Sp. Name], "Code Not Found")</f>
        <v>saccharum</v>
      </c>
      <c r="N1521" t="str">
        <f>_xlfn.XLOOKUP(C1521,Table2[Species],Table2[Family],"Code Not Found")</f>
        <v>Sapindaceae</v>
      </c>
      <c r="O1521" t="str" cm="1">
        <f t="array" ref="O1521">_xlfn.IFS(F1521="","",F1521&lt;=5,"0 to 5",F1521&lt;=10,"5.1 to 10",F1521&lt;=20,"10 to 20", F1521&lt;= 40, "20 to 40", F1521 &lt;= 50, "40 to 50", F1521 &gt; 50, "&gt;50" )</f>
        <v>5.1 to 10</v>
      </c>
    </row>
    <row r="1522" spans="1:15" ht="14.4" x14ac:dyDescent="0.3">
      <c r="A1522" t="s">
        <v>293</v>
      </c>
      <c r="B1522" s="1">
        <v>46199</v>
      </c>
      <c r="C1522" t="s">
        <v>64</v>
      </c>
      <c r="D1522">
        <v>1393</v>
      </c>
      <c r="E1522">
        <v>1</v>
      </c>
      <c r="F1522">
        <v>1.8</v>
      </c>
      <c r="G1522" t="s">
        <v>21</v>
      </c>
      <c r="H1522" t="s">
        <v>321</v>
      </c>
      <c r="I1522" t="str">
        <f t="shared" si="27"/>
        <v>1393_1</v>
      </c>
      <c r="J1522" t="s">
        <v>294</v>
      </c>
      <c r="K1522" t="s">
        <v>19</v>
      </c>
      <c r="L1522" t="str">
        <f>_xlfn.XLOOKUP(C1522, Table2[Species],Table2[Genus], "Code Not Found")</f>
        <v>Fagus</v>
      </c>
      <c r="M1522" t="str">
        <f>_xlfn.XLOOKUP(C1522, Table2[Species],Table2[Sp. Name], "Code Not Found")</f>
        <v>grandifolia</v>
      </c>
      <c r="N1522" t="str">
        <f>_xlfn.XLOOKUP(C1522,Table2[Species],Table2[Family],"Code Not Found")</f>
        <v>Fagaceae</v>
      </c>
      <c r="O1522" t="str" cm="1">
        <f t="array" ref="O1522">_xlfn.IFS(F1522="","",F1522&lt;=5,"0 to 5",F1522&lt;=10,"5.1 to 10",F1522&lt;=20,"10 to 20", F1522&lt;= 40, "20 to 40", F1522 &lt;= 50, "40 to 50", F1522 &gt; 50, "&gt;50" )</f>
        <v>0 to 5</v>
      </c>
    </row>
    <row r="1523" spans="1:15" ht="14.4" x14ac:dyDescent="0.3">
      <c r="A1523" t="s">
        <v>293</v>
      </c>
      <c r="B1523" s="1">
        <v>46199</v>
      </c>
      <c r="C1523" t="s">
        <v>16</v>
      </c>
      <c r="D1523">
        <v>1394</v>
      </c>
      <c r="E1523">
        <v>2</v>
      </c>
      <c r="F1523">
        <v>2.5</v>
      </c>
      <c r="G1523" t="s">
        <v>17</v>
      </c>
      <c r="I1523" t="str">
        <f t="shared" si="27"/>
        <v>1394_2</v>
      </c>
      <c r="J1523" t="s">
        <v>294</v>
      </c>
      <c r="K1523" t="s">
        <v>19</v>
      </c>
      <c r="L1523" t="str">
        <f>_xlfn.XLOOKUP(C1523, Table2[Species],Table2[Genus], "Code Not Found")</f>
        <v>Acer</v>
      </c>
      <c r="M1523" t="str">
        <f>_xlfn.XLOOKUP(C1523, Table2[Species],Table2[Sp. Name], "Code Not Found")</f>
        <v>saccharum</v>
      </c>
      <c r="N1523" t="str">
        <f>_xlfn.XLOOKUP(C1523,Table2[Species],Table2[Family],"Code Not Found")</f>
        <v>Sapindaceae</v>
      </c>
      <c r="O1523" t="str" cm="1">
        <f t="array" ref="O1523">_xlfn.IFS(F1523="","",F1523&lt;=5,"0 to 5",F1523&lt;=10,"5.1 to 10",F1523&lt;=20,"10 to 20", F1523&lt;= 40, "20 to 40", F1523 &lt;= 50, "40 to 50", F1523 &gt; 50, "&gt;50" )</f>
        <v>0 to 5</v>
      </c>
    </row>
    <row r="1524" spans="1:15" ht="14.4" x14ac:dyDescent="0.3">
      <c r="A1524" t="s">
        <v>293</v>
      </c>
      <c r="B1524" s="1">
        <v>46199</v>
      </c>
      <c r="C1524" t="s">
        <v>16</v>
      </c>
      <c r="D1524">
        <v>1395</v>
      </c>
      <c r="E1524">
        <v>1</v>
      </c>
      <c r="F1524">
        <v>9.4</v>
      </c>
      <c r="G1524" t="s">
        <v>32</v>
      </c>
      <c r="H1524" t="s">
        <v>296</v>
      </c>
      <c r="I1524" t="str">
        <f t="shared" si="27"/>
        <v>1395_1</v>
      </c>
      <c r="J1524" t="s">
        <v>294</v>
      </c>
      <c r="K1524" t="s">
        <v>19</v>
      </c>
      <c r="L1524" t="str">
        <f>_xlfn.XLOOKUP(C1524, Table2[Species],Table2[Genus], "Code Not Found")</f>
        <v>Acer</v>
      </c>
      <c r="M1524" t="str">
        <f>_xlfn.XLOOKUP(C1524, Table2[Species],Table2[Sp. Name], "Code Not Found")</f>
        <v>saccharum</v>
      </c>
      <c r="N1524" t="str">
        <f>_xlfn.XLOOKUP(C1524,Table2[Species],Table2[Family],"Code Not Found")</f>
        <v>Sapindaceae</v>
      </c>
      <c r="O1524" t="str" cm="1">
        <f t="array" ref="O1524">_xlfn.IFS(F1524="","",F1524&lt;=5,"0 to 5",F1524&lt;=10,"5.1 to 10",F1524&lt;=20,"10 to 20", F1524&lt;= 40, "20 to 40", F1524 &lt;= 50, "40 to 50", F1524 &gt; 50, "&gt;50" )</f>
        <v>5.1 to 10</v>
      </c>
    </row>
    <row r="1525" spans="1:15" ht="14.4" x14ac:dyDescent="0.3">
      <c r="A1525" t="s">
        <v>293</v>
      </c>
      <c r="B1525" s="1">
        <v>46199</v>
      </c>
      <c r="C1525" t="s">
        <v>16</v>
      </c>
      <c r="D1525">
        <v>1395</v>
      </c>
      <c r="E1525">
        <v>2</v>
      </c>
      <c r="F1525">
        <v>2.1</v>
      </c>
      <c r="G1525" t="s">
        <v>32</v>
      </c>
      <c r="H1525" t="s">
        <v>296</v>
      </c>
      <c r="I1525" t="str">
        <f t="shared" si="27"/>
        <v>1395_2</v>
      </c>
      <c r="J1525" t="s">
        <v>294</v>
      </c>
      <c r="K1525" t="s">
        <v>19</v>
      </c>
      <c r="L1525" t="str">
        <f>_xlfn.XLOOKUP(C1525, Table2[Species],Table2[Genus], "Code Not Found")</f>
        <v>Acer</v>
      </c>
      <c r="M1525" t="str">
        <f>_xlfn.XLOOKUP(C1525, Table2[Species],Table2[Sp. Name], "Code Not Found")</f>
        <v>saccharum</v>
      </c>
      <c r="N1525" t="str">
        <f>_xlfn.XLOOKUP(C1525,Table2[Species],Table2[Family],"Code Not Found")</f>
        <v>Sapindaceae</v>
      </c>
      <c r="O1525" t="str" cm="1">
        <f t="array" ref="O1525">_xlfn.IFS(F1525="","",F1525&lt;=5,"0 to 5",F1525&lt;=10,"5.1 to 10",F1525&lt;=20,"10 to 20", F1525&lt;= 40, "20 to 40", F1525 &lt;= 50, "40 to 50", F1525 &gt; 50, "&gt;50" )</f>
        <v>0 to 5</v>
      </c>
    </row>
    <row r="1526" spans="1:15" ht="14.4" x14ac:dyDescent="0.3">
      <c r="A1526" t="s">
        <v>293</v>
      </c>
      <c r="B1526" s="1">
        <v>46199</v>
      </c>
      <c r="C1526" t="s">
        <v>16</v>
      </c>
      <c r="D1526">
        <v>1395</v>
      </c>
      <c r="E1526">
        <v>3</v>
      </c>
      <c r="F1526">
        <v>1.2</v>
      </c>
      <c r="G1526" t="s">
        <v>32</v>
      </c>
      <c r="H1526" t="s">
        <v>296</v>
      </c>
      <c r="I1526" t="str">
        <f t="shared" si="27"/>
        <v>1395_3</v>
      </c>
      <c r="J1526" t="s">
        <v>294</v>
      </c>
      <c r="K1526" t="s">
        <v>19</v>
      </c>
      <c r="L1526" t="str">
        <f>_xlfn.XLOOKUP(C1526, Table2[Species],Table2[Genus], "Code Not Found")</f>
        <v>Acer</v>
      </c>
      <c r="M1526" t="str">
        <f>_xlfn.XLOOKUP(C1526, Table2[Species],Table2[Sp. Name], "Code Not Found")</f>
        <v>saccharum</v>
      </c>
      <c r="N1526" t="str">
        <f>_xlfn.XLOOKUP(C1526,Table2[Species],Table2[Family],"Code Not Found")</f>
        <v>Sapindaceae</v>
      </c>
      <c r="O1526" t="str" cm="1">
        <f t="array" ref="O1526">_xlfn.IFS(F1526="","",F1526&lt;=5,"0 to 5",F1526&lt;=10,"5.1 to 10",F1526&lt;=20,"10 to 20", F1526&lt;= 40, "20 to 40", F1526 &lt;= 50, "40 to 50", F1526 &gt; 50, "&gt;50" )</f>
        <v>0 to 5</v>
      </c>
    </row>
    <row r="1527" spans="1:15" ht="14.4" x14ac:dyDescent="0.3">
      <c r="A1527" t="s">
        <v>293</v>
      </c>
      <c r="B1527" s="1">
        <v>46199</v>
      </c>
      <c r="C1527" t="s">
        <v>16</v>
      </c>
      <c r="D1527">
        <v>1396</v>
      </c>
      <c r="E1527">
        <v>1</v>
      </c>
      <c r="F1527">
        <v>2.6</v>
      </c>
      <c r="G1527" t="s">
        <v>47</v>
      </c>
      <c r="H1527" t="s">
        <v>322</v>
      </c>
      <c r="I1527" t="str">
        <f t="shared" si="27"/>
        <v>1396_1</v>
      </c>
      <c r="J1527" t="s">
        <v>294</v>
      </c>
      <c r="K1527" t="s">
        <v>19</v>
      </c>
      <c r="L1527" t="str">
        <f>_xlfn.XLOOKUP(C1527, Table2[Species],Table2[Genus], "Code Not Found")</f>
        <v>Acer</v>
      </c>
      <c r="M1527" t="str">
        <f>_xlfn.XLOOKUP(C1527, Table2[Species],Table2[Sp. Name], "Code Not Found")</f>
        <v>saccharum</v>
      </c>
      <c r="N1527" t="str">
        <f>_xlfn.XLOOKUP(C1527,Table2[Species],Table2[Family],"Code Not Found")</f>
        <v>Sapindaceae</v>
      </c>
      <c r="O1527" t="str" cm="1">
        <f t="array" ref="O1527">_xlfn.IFS(F1527="","",F1527&lt;=5,"0 to 5",F1527&lt;=10,"5.1 to 10",F1527&lt;=20,"10 to 20", F1527&lt;= 40, "20 to 40", F1527 &lt;= 50, "40 to 50", F1527 &gt; 50, "&gt;50" )</f>
        <v>0 to 5</v>
      </c>
    </row>
    <row r="1528" spans="1:15" ht="14.4" x14ac:dyDescent="0.3">
      <c r="A1528" t="s">
        <v>293</v>
      </c>
      <c r="B1528" s="1">
        <v>46199</v>
      </c>
      <c r="C1528" t="s">
        <v>24</v>
      </c>
      <c r="D1528">
        <v>1397</v>
      </c>
      <c r="E1528">
        <v>1</v>
      </c>
      <c r="F1528">
        <v>68.8</v>
      </c>
      <c r="G1528" t="s">
        <v>56</v>
      </c>
      <c r="I1528" t="str">
        <f t="shared" si="27"/>
        <v>1397_1</v>
      </c>
      <c r="J1528" t="s">
        <v>294</v>
      </c>
      <c r="K1528" t="s">
        <v>19</v>
      </c>
      <c r="L1528" t="str">
        <f>_xlfn.XLOOKUP(C1528, Table2[Species],Table2[Genus], "Code Not Found")</f>
        <v>Lirodendron</v>
      </c>
      <c r="M1528" t="str">
        <f>_xlfn.XLOOKUP(C1528, Table2[Species],Table2[Sp. Name], "Code Not Found")</f>
        <v>tulipfera</v>
      </c>
      <c r="N1528" t="str">
        <f>_xlfn.XLOOKUP(C1528,Table2[Species],Table2[Family],"Code Not Found")</f>
        <v>Magnoliaceae</v>
      </c>
      <c r="O1528" t="str" cm="1">
        <f t="array" ref="O1528">_xlfn.IFS(F1528="","",F1528&lt;=5,"0 to 5",F1528&lt;=10,"5.1 to 10",F1528&lt;=20,"10 to 20", F1528&lt;= 40, "20 to 40", F1528 &lt;= 50, "40 to 50", F1528 &gt; 50, "&gt;50" )</f>
        <v>&gt;50</v>
      </c>
    </row>
    <row r="1529" spans="1:15" ht="14.4" x14ac:dyDescent="0.3">
      <c r="A1529" t="s">
        <v>293</v>
      </c>
      <c r="B1529" s="1">
        <v>46199</v>
      </c>
      <c r="C1529" t="s">
        <v>16</v>
      </c>
      <c r="D1529">
        <v>1398</v>
      </c>
      <c r="E1529">
        <v>1</v>
      </c>
      <c r="F1529">
        <v>6.2</v>
      </c>
      <c r="G1529" t="s">
        <v>47</v>
      </c>
      <c r="H1529" t="s">
        <v>296</v>
      </c>
      <c r="I1529" t="str">
        <f t="shared" si="27"/>
        <v>1398_1</v>
      </c>
      <c r="J1529" t="s">
        <v>294</v>
      </c>
      <c r="K1529" t="s">
        <v>19</v>
      </c>
      <c r="L1529" t="str">
        <f>_xlfn.XLOOKUP(C1529, Table2[Species],Table2[Genus], "Code Not Found")</f>
        <v>Acer</v>
      </c>
      <c r="M1529" t="str">
        <f>_xlfn.XLOOKUP(C1529, Table2[Species],Table2[Sp. Name], "Code Not Found")</f>
        <v>saccharum</v>
      </c>
      <c r="N1529" t="str">
        <f>_xlfn.XLOOKUP(C1529,Table2[Species],Table2[Family],"Code Not Found")</f>
        <v>Sapindaceae</v>
      </c>
      <c r="O1529" t="str" cm="1">
        <f t="array" ref="O1529">_xlfn.IFS(F1529="","",F1529&lt;=5,"0 to 5",F1529&lt;=10,"5.1 to 10",F1529&lt;=20,"10 to 20", F1529&lt;= 40, "20 to 40", F1529 &lt;= 50, "40 to 50", F1529 &gt; 50, "&gt;50" )</f>
        <v>5.1 to 10</v>
      </c>
    </row>
    <row r="1530" spans="1:15" ht="14.4" x14ac:dyDescent="0.3">
      <c r="A1530" t="s">
        <v>293</v>
      </c>
      <c r="B1530" s="1">
        <v>46199</v>
      </c>
      <c r="C1530" t="s">
        <v>22</v>
      </c>
      <c r="D1530">
        <v>1399</v>
      </c>
      <c r="E1530">
        <v>1</v>
      </c>
      <c r="F1530">
        <v>71.2</v>
      </c>
      <c r="G1530" t="s">
        <v>323</v>
      </c>
      <c r="H1530" t="s">
        <v>324</v>
      </c>
      <c r="I1530" t="str">
        <f t="shared" si="27"/>
        <v>1399_1</v>
      </c>
      <c r="J1530" t="s">
        <v>294</v>
      </c>
      <c r="K1530" t="s">
        <v>19</v>
      </c>
      <c r="L1530" t="str">
        <f>_xlfn.XLOOKUP(C1530, Table2[Species],Table2[Genus], "Code Not Found")</f>
        <v>Acer</v>
      </c>
      <c r="M1530" t="str">
        <f>_xlfn.XLOOKUP(C1530, Table2[Species],Table2[Sp. Name], "Code Not Found")</f>
        <v>rubrum</v>
      </c>
      <c r="N1530" t="str">
        <f>_xlfn.XLOOKUP(C1530,Table2[Species],Table2[Family],"Code Not Found")</f>
        <v>Sapindaceae</v>
      </c>
      <c r="O1530" t="str" cm="1">
        <f t="array" ref="O1530">_xlfn.IFS(F1530="","",F1530&lt;=5,"0 to 5",F1530&lt;=10,"5.1 to 10",F1530&lt;=20,"10 to 20", F1530&lt;= 40, "20 to 40", F1530 &lt;= 50, "40 to 50", F1530 &gt; 50, "&gt;50" )</f>
        <v>&gt;50</v>
      </c>
    </row>
    <row r="1531" spans="1:15" ht="14.4" x14ac:dyDescent="0.3">
      <c r="A1531" t="s">
        <v>293</v>
      </c>
      <c r="B1531" s="1">
        <v>46199</v>
      </c>
      <c r="C1531" t="s">
        <v>22</v>
      </c>
      <c r="D1531">
        <v>1399</v>
      </c>
      <c r="E1531">
        <v>2</v>
      </c>
      <c r="F1531">
        <v>34</v>
      </c>
      <c r="G1531" t="s">
        <v>323</v>
      </c>
      <c r="H1531" t="s">
        <v>325</v>
      </c>
      <c r="I1531" t="str">
        <f t="shared" si="27"/>
        <v>1399_2</v>
      </c>
      <c r="J1531" t="s">
        <v>294</v>
      </c>
      <c r="K1531" t="s">
        <v>19</v>
      </c>
      <c r="L1531" t="str">
        <f>_xlfn.XLOOKUP(C1531, Table2[Species],Table2[Genus], "Code Not Found")</f>
        <v>Acer</v>
      </c>
      <c r="M1531" t="str">
        <f>_xlfn.XLOOKUP(C1531, Table2[Species],Table2[Sp. Name], "Code Not Found")</f>
        <v>rubrum</v>
      </c>
      <c r="N1531" t="str">
        <f>_xlfn.XLOOKUP(C1531,Table2[Species],Table2[Family],"Code Not Found")</f>
        <v>Sapindaceae</v>
      </c>
      <c r="O1531" t="str" cm="1">
        <f t="array" ref="O1531">_xlfn.IFS(F1531="","",F1531&lt;=5,"0 to 5",F1531&lt;=10,"5.1 to 10",F1531&lt;=20,"10 to 20", F1531&lt;= 40, "20 to 40", F1531 &lt;= 50, "40 to 50", F1531 &gt; 50, "&gt;50" )</f>
        <v>20 to 40</v>
      </c>
    </row>
    <row r="1532" spans="1:15" ht="14.4" x14ac:dyDescent="0.3">
      <c r="A1532" t="s">
        <v>293</v>
      </c>
      <c r="B1532" s="1">
        <v>46199</v>
      </c>
      <c r="C1532" t="s">
        <v>16</v>
      </c>
      <c r="D1532">
        <v>1400</v>
      </c>
      <c r="E1532">
        <v>1</v>
      </c>
      <c r="F1532">
        <v>3.2</v>
      </c>
      <c r="G1532" t="s">
        <v>32</v>
      </c>
      <c r="I1532" t="str">
        <f t="shared" ref="I1532:I1568" si="28">D1532&amp;"_"&amp;E1532</f>
        <v>1400_1</v>
      </c>
      <c r="J1532" t="s">
        <v>294</v>
      </c>
      <c r="K1532" t="s">
        <v>19</v>
      </c>
      <c r="L1532" t="str">
        <f>_xlfn.XLOOKUP(C1532, Table2[Species],Table2[Genus], "Code Not Found")</f>
        <v>Acer</v>
      </c>
      <c r="M1532" t="str">
        <f>_xlfn.XLOOKUP(C1532, Table2[Species],Table2[Sp. Name], "Code Not Found")</f>
        <v>saccharum</v>
      </c>
      <c r="N1532" t="str">
        <f>_xlfn.XLOOKUP(C1532,Table2[Species],Table2[Family],"Code Not Found")</f>
        <v>Sapindaceae</v>
      </c>
      <c r="O1532" t="str" cm="1">
        <f t="array" ref="O1532">_xlfn.IFS(F1532="","",F1532&lt;=5,"0 to 5",F1532&lt;=10,"5.1 to 10",F1532&lt;=20,"10 to 20", F1532&lt;= 40, "20 to 40", F1532 &lt;= 50, "40 to 50", F1532 &gt; 50, "&gt;50" )</f>
        <v>0 to 5</v>
      </c>
    </row>
    <row r="1533" spans="1:15" ht="14.4" x14ac:dyDescent="0.3">
      <c r="A1533" t="s">
        <v>293</v>
      </c>
      <c r="B1533" s="1">
        <v>46199</v>
      </c>
      <c r="C1533" t="s">
        <v>16</v>
      </c>
      <c r="D1533">
        <v>1400</v>
      </c>
      <c r="E1533">
        <v>2</v>
      </c>
      <c r="F1533">
        <v>1.3</v>
      </c>
      <c r="G1533" t="s">
        <v>32</v>
      </c>
      <c r="I1533" t="str">
        <f t="shared" si="28"/>
        <v>1400_2</v>
      </c>
      <c r="J1533" t="s">
        <v>294</v>
      </c>
      <c r="K1533" t="s">
        <v>19</v>
      </c>
      <c r="L1533" t="str">
        <f>_xlfn.XLOOKUP(C1533, Table2[Species],Table2[Genus], "Code Not Found")</f>
        <v>Acer</v>
      </c>
      <c r="M1533" t="str">
        <f>_xlfn.XLOOKUP(C1533, Table2[Species],Table2[Sp. Name], "Code Not Found")</f>
        <v>saccharum</v>
      </c>
      <c r="N1533" t="str">
        <f>_xlfn.XLOOKUP(C1533,Table2[Species],Table2[Family],"Code Not Found")</f>
        <v>Sapindaceae</v>
      </c>
      <c r="O1533" t="str" cm="1">
        <f t="array" ref="O1533">_xlfn.IFS(F1533="","",F1533&lt;=5,"0 to 5",F1533&lt;=10,"5.1 to 10",F1533&lt;=20,"10 to 20", F1533&lt;= 40, "20 to 40", F1533 &lt;= 50, "40 to 50", F1533 &gt; 50, "&gt;50" )</f>
        <v>0 to 5</v>
      </c>
    </row>
    <row r="1534" spans="1:15" ht="14.4" x14ac:dyDescent="0.3">
      <c r="A1534" t="s">
        <v>293</v>
      </c>
      <c r="B1534" s="1">
        <v>46199</v>
      </c>
      <c r="C1534" t="s">
        <v>16</v>
      </c>
      <c r="D1534">
        <v>1400</v>
      </c>
      <c r="E1534">
        <v>3</v>
      </c>
      <c r="F1534">
        <v>1.2</v>
      </c>
      <c r="G1534" t="s">
        <v>32</v>
      </c>
      <c r="I1534" t="str">
        <f t="shared" si="28"/>
        <v>1400_3</v>
      </c>
      <c r="J1534" t="s">
        <v>294</v>
      </c>
      <c r="K1534" t="s">
        <v>19</v>
      </c>
      <c r="L1534" t="str">
        <f>_xlfn.XLOOKUP(C1534, Table2[Species],Table2[Genus], "Code Not Found")</f>
        <v>Acer</v>
      </c>
      <c r="M1534" t="str">
        <f>_xlfn.XLOOKUP(C1534, Table2[Species],Table2[Sp. Name], "Code Not Found")</f>
        <v>saccharum</v>
      </c>
      <c r="N1534" t="str">
        <f>_xlfn.XLOOKUP(C1534,Table2[Species],Table2[Family],"Code Not Found")</f>
        <v>Sapindaceae</v>
      </c>
      <c r="O1534" t="str" cm="1">
        <f t="array" ref="O1534">_xlfn.IFS(F1534="","",F1534&lt;=5,"0 to 5",F1534&lt;=10,"5.1 to 10",F1534&lt;=20,"10 to 20", F1534&lt;= 40, "20 to 40", F1534 &lt;= 50, "40 to 50", F1534 &gt; 50, "&gt;50" )</f>
        <v>0 to 5</v>
      </c>
    </row>
    <row r="1535" spans="1:15" ht="14.4" x14ac:dyDescent="0.3">
      <c r="A1535" t="s">
        <v>293</v>
      </c>
      <c r="B1535" s="1">
        <v>46199</v>
      </c>
      <c r="C1535" t="s">
        <v>29</v>
      </c>
      <c r="D1535">
        <v>1401</v>
      </c>
      <c r="E1535">
        <v>1</v>
      </c>
      <c r="F1535">
        <v>1.9</v>
      </c>
      <c r="G1535" t="s">
        <v>47</v>
      </c>
      <c r="H1535" t="s">
        <v>322</v>
      </c>
      <c r="I1535" t="str">
        <f t="shared" si="28"/>
        <v>1401_1</v>
      </c>
      <c r="J1535" t="s">
        <v>294</v>
      </c>
      <c r="K1535" t="s">
        <v>19</v>
      </c>
      <c r="L1535" t="str">
        <f>_xlfn.XLOOKUP(C1535, Table2[Species],Table2[Genus], "Code Not Found")</f>
        <v>Sassafras</v>
      </c>
      <c r="M1535" t="str">
        <f>_xlfn.XLOOKUP(C1535, Table2[Species],Table2[Sp. Name], "Code Not Found")</f>
        <v>albidum</v>
      </c>
      <c r="N1535" t="str">
        <f>_xlfn.XLOOKUP(C1535,Table2[Species],Table2[Family],"Code Not Found")</f>
        <v>Lauraceae</v>
      </c>
      <c r="O1535" t="str" cm="1">
        <f t="array" ref="O1535">_xlfn.IFS(F1535="","",F1535&lt;=5,"0 to 5",F1535&lt;=10,"5.1 to 10",F1535&lt;=20,"10 to 20", F1535&lt;= 40, "20 to 40", F1535 &lt;= 50, "40 to 50", F1535 &gt; 50, "&gt;50" )</f>
        <v>0 to 5</v>
      </c>
    </row>
    <row r="1536" spans="1:15" ht="14.4" x14ac:dyDescent="0.3">
      <c r="A1536" t="s">
        <v>293</v>
      </c>
      <c r="B1536" s="1">
        <v>46199</v>
      </c>
      <c r="C1536" t="s">
        <v>16</v>
      </c>
      <c r="D1536">
        <v>1402</v>
      </c>
      <c r="E1536">
        <v>1</v>
      </c>
      <c r="F1536">
        <v>3.3</v>
      </c>
      <c r="G1536" t="s">
        <v>57</v>
      </c>
      <c r="H1536" t="s">
        <v>296</v>
      </c>
      <c r="I1536" t="str">
        <f t="shared" si="28"/>
        <v>1402_1</v>
      </c>
      <c r="J1536" t="s">
        <v>294</v>
      </c>
      <c r="K1536" t="s">
        <v>19</v>
      </c>
      <c r="L1536" t="str">
        <f>_xlfn.XLOOKUP(C1536, Table2[Species],Table2[Genus], "Code Not Found")</f>
        <v>Acer</v>
      </c>
      <c r="M1536" t="str">
        <f>_xlfn.XLOOKUP(C1536, Table2[Species],Table2[Sp. Name], "Code Not Found")</f>
        <v>saccharum</v>
      </c>
      <c r="N1536" t="str">
        <f>_xlfn.XLOOKUP(C1536,Table2[Species],Table2[Family],"Code Not Found")</f>
        <v>Sapindaceae</v>
      </c>
      <c r="O1536" t="str" cm="1">
        <f t="array" ref="O1536">_xlfn.IFS(F1536="","",F1536&lt;=5,"0 to 5",F1536&lt;=10,"5.1 to 10",F1536&lt;=20,"10 to 20", F1536&lt;= 40, "20 to 40", F1536 &lt;= 50, "40 to 50", F1536 &gt; 50, "&gt;50" )</f>
        <v>0 to 5</v>
      </c>
    </row>
    <row r="1537" spans="1:15" ht="14.4" x14ac:dyDescent="0.3">
      <c r="A1537" t="s">
        <v>293</v>
      </c>
      <c r="B1537" s="1">
        <v>46199</v>
      </c>
      <c r="C1537" t="s">
        <v>29</v>
      </c>
      <c r="D1537">
        <v>1403</v>
      </c>
      <c r="E1537">
        <v>1</v>
      </c>
      <c r="F1537">
        <v>1.6</v>
      </c>
      <c r="G1537" t="s">
        <v>57</v>
      </c>
      <c r="H1537" t="s">
        <v>322</v>
      </c>
      <c r="I1537" t="str">
        <f t="shared" si="28"/>
        <v>1403_1</v>
      </c>
      <c r="J1537" t="s">
        <v>294</v>
      </c>
      <c r="K1537" t="s">
        <v>19</v>
      </c>
      <c r="L1537" t="str">
        <f>_xlfn.XLOOKUP(C1537, Table2[Species],Table2[Genus], "Code Not Found")</f>
        <v>Sassafras</v>
      </c>
      <c r="M1537" t="str">
        <f>_xlfn.XLOOKUP(C1537, Table2[Species],Table2[Sp. Name], "Code Not Found")</f>
        <v>albidum</v>
      </c>
      <c r="N1537" t="str">
        <f>_xlfn.XLOOKUP(C1537,Table2[Species],Table2[Family],"Code Not Found")</f>
        <v>Lauraceae</v>
      </c>
      <c r="O1537" t="str" cm="1">
        <f t="array" ref="O1537">_xlfn.IFS(F1537="","",F1537&lt;=5,"0 to 5",F1537&lt;=10,"5.1 to 10",F1537&lt;=20,"10 to 20", F1537&lt;= 40, "20 to 40", F1537 &lt;= 50, "40 to 50", F1537 &gt; 50, "&gt;50" )</f>
        <v>0 to 5</v>
      </c>
    </row>
    <row r="1538" spans="1:15" ht="14.4" x14ac:dyDescent="0.3">
      <c r="A1538" t="s">
        <v>293</v>
      </c>
      <c r="B1538" s="1">
        <v>46199</v>
      </c>
      <c r="C1538" t="s">
        <v>29</v>
      </c>
      <c r="D1538">
        <v>1404</v>
      </c>
      <c r="E1538">
        <v>1</v>
      </c>
      <c r="F1538">
        <v>2.6</v>
      </c>
      <c r="G1538" t="s">
        <v>17</v>
      </c>
      <c r="I1538" t="str">
        <f t="shared" si="28"/>
        <v>1404_1</v>
      </c>
      <c r="J1538" t="s">
        <v>294</v>
      </c>
      <c r="K1538" t="s">
        <v>19</v>
      </c>
      <c r="L1538" t="str">
        <f>_xlfn.XLOOKUP(C1538, Table2[Species],Table2[Genus], "Code Not Found")</f>
        <v>Sassafras</v>
      </c>
      <c r="M1538" t="str">
        <f>_xlfn.XLOOKUP(C1538, Table2[Species],Table2[Sp. Name], "Code Not Found")</f>
        <v>albidum</v>
      </c>
      <c r="N1538" t="str">
        <f>_xlfn.XLOOKUP(C1538,Table2[Species],Table2[Family],"Code Not Found")</f>
        <v>Lauraceae</v>
      </c>
      <c r="O1538" t="str" cm="1">
        <f t="array" ref="O1538">_xlfn.IFS(F1538="","",F1538&lt;=5,"0 to 5",F1538&lt;=10,"5.1 to 10",F1538&lt;=20,"10 to 20", F1538&lt;= 40, "20 to 40", F1538 &lt;= 50, "40 to 50", F1538 &gt; 50, "&gt;50" )</f>
        <v>0 to 5</v>
      </c>
    </row>
    <row r="1539" spans="1:15" ht="14.4" x14ac:dyDescent="0.3">
      <c r="A1539" t="s">
        <v>293</v>
      </c>
      <c r="B1539" s="1">
        <v>46199</v>
      </c>
      <c r="C1539" t="s">
        <v>29</v>
      </c>
      <c r="D1539">
        <v>1405</v>
      </c>
      <c r="E1539">
        <v>1</v>
      </c>
      <c r="F1539">
        <v>1.2</v>
      </c>
      <c r="G1539" t="s">
        <v>57</v>
      </c>
      <c r="H1539" t="s">
        <v>322</v>
      </c>
      <c r="I1539" t="str">
        <f t="shared" si="28"/>
        <v>1405_1</v>
      </c>
      <c r="J1539" t="s">
        <v>294</v>
      </c>
      <c r="K1539" t="s">
        <v>19</v>
      </c>
      <c r="L1539" t="str">
        <f>_xlfn.XLOOKUP(C1539, Table2[Species],Table2[Genus], "Code Not Found")</f>
        <v>Sassafras</v>
      </c>
      <c r="M1539" t="str">
        <f>_xlfn.XLOOKUP(C1539, Table2[Species],Table2[Sp. Name], "Code Not Found")</f>
        <v>albidum</v>
      </c>
      <c r="N1539" t="str">
        <f>_xlfn.XLOOKUP(C1539,Table2[Species],Table2[Family],"Code Not Found")</f>
        <v>Lauraceae</v>
      </c>
      <c r="O1539" t="str" cm="1">
        <f t="array" ref="O1539">_xlfn.IFS(F1539="","",F1539&lt;=5,"0 to 5",F1539&lt;=10,"5.1 to 10",F1539&lt;=20,"10 to 20", F1539&lt;= 40, "20 to 40", F1539 &lt;= 50, "40 to 50", F1539 &gt; 50, "&gt;50" )</f>
        <v>0 to 5</v>
      </c>
    </row>
    <row r="1540" spans="1:15" ht="14.4" x14ac:dyDescent="0.3">
      <c r="A1540" t="s">
        <v>293</v>
      </c>
      <c r="B1540" s="1">
        <v>46199</v>
      </c>
      <c r="C1540" t="s">
        <v>29</v>
      </c>
      <c r="D1540">
        <v>1406</v>
      </c>
      <c r="E1540">
        <v>1</v>
      </c>
      <c r="F1540">
        <v>2.2000000000000002</v>
      </c>
      <c r="G1540" t="s">
        <v>17</v>
      </c>
      <c r="I1540" t="str">
        <f t="shared" si="28"/>
        <v>1406_1</v>
      </c>
      <c r="J1540" t="s">
        <v>294</v>
      </c>
      <c r="K1540" t="s">
        <v>19</v>
      </c>
      <c r="L1540" t="str">
        <f>_xlfn.XLOOKUP(C1540, Table2[Species],Table2[Genus], "Code Not Found")</f>
        <v>Sassafras</v>
      </c>
      <c r="M1540" t="str">
        <f>_xlfn.XLOOKUP(C1540, Table2[Species],Table2[Sp. Name], "Code Not Found")</f>
        <v>albidum</v>
      </c>
      <c r="N1540" t="str">
        <f>_xlfn.XLOOKUP(C1540,Table2[Species],Table2[Family],"Code Not Found")</f>
        <v>Lauraceae</v>
      </c>
      <c r="O1540" t="str" cm="1">
        <f t="array" ref="O1540">_xlfn.IFS(F1540="","",F1540&lt;=5,"0 to 5",F1540&lt;=10,"5.1 to 10",F1540&lt;=20,"10 to 20", F1540&lt;= 40, "20 to 40", F1540 &lt;= 50, "40 to 50", F1540 &gt; 50, "&gt;50" )</f>
        <v>0 to 5</v>
      </c>
    </row>
    <row r="1541" spans="1:15" ht="14.4" x14ac:dyDescent="0.3">
      <c r="A1541" t="s">
        <v>293</v>
      </c>
      <c r="B1541" s="1">
        <v>46199</v>
      </c>
      <c r="C1541" t="s">
        <v>29</v>
      </c>
      <c r="D1541">
        <v>1407</v>
      </c>
      <c r="E1541">
        <v>1</v>
      </c>
      <c r="F1541">
        <v>1.4</v>
      </c>
      <c r="G1541" t="s">
        <v>17</v>
      </c>
      <c r="I1541" t="str">
        <f t="shared" si="28"/>
        <v>1407_1</v>
      </c>
      <c r="J1541" t="s">
        <v>294</v>
      </c>
      <c r="K1541" t="s">
        <v>19</v>
      </c>
      <c r="L1541" t="str">
        <f>_xlfn.XLOOKUP(C1541, Table2[Species],Table2[Genus], "Code Not Found")</f>
        <v>Sassafras</v>
      </c>
      <c r="M1541" t="str">
        <f>_xlfn.XLOOKUP(C1541, Table2[Species],Table2[Sp. Name], "Code Not Found")</f>
        <v>albidum</v>
      </c>
      <c r="N1541" t="str">
        <f>_xlfn.XLOOKUP(C1541,Table2[Species],Table2[Family],"Code Not Found")</f>
        <v>Lauraceae</v>
      </c>
      <c r="O1541" t="str" cm="1">
        <f t="array" ref="O1541">_xlfn.IFS(F1541="","",F1541&lt;=5,"0 to 5",F1541&lt;=10,"5.1 to 10",F1541&lt;=20,"10 to 20", F1541&lt;= 40, "20 to 40", F1541 &lt;= 50, "40 to 50", F1541 &gt; 50, "&gt;50" )</f>
        <v>0 to 5</v>
      </c>
    </row>
    <row r="1542" spans="1:15" ht="14.4" x14ac:dyDescent="0.3">
      <c r="A1542" t="s">
        <v>293</v>
      </c>
      <c r="B1542" s="1">
        <v>46199</v>
      </c>
      <c r="C1542" t="s">
        <v>29</v>
      </c>
      <c r="D1542">
        <v>1408</v>
      </c>
      <c r="E1542">
        <v>1</v>
      </c>
      <c r="F1542">
        <v>1.1000000000000001</v>
      </c>
      <c r="G1542" t="s">
        <v>17</v>
      </c>
      <c r="I1542" t="str">
        <f t="shared" si="28"/>
        <v>1408_1</v>
      </c>
      <c r="J1542" t="s">
        <v>294</v>
      </c>
      <c r="K1542" t="s">
        <v>19</v>
      </c>
      <c r="L1542" t="str">
        <f>_xlfn.XLOOKUP(C1542, Table2[Species],Table2[Genus], "Code Not Found")</f>
        <v>Sassafras</v>
      </c>
      <c r="M1542" t="str">
        <f>_xlfn.XLOOKUP(C1542, Table2[Species],Table2[Sp. Name], "Code Not Found")</f>
        <v>albidum</v>
      </c>
      <c r="N1542" t="str">
        <f>_xlfn.XLOOKUP(C1542,Table2[Species],Table2[Family],"Code Not Found")</f>
        <v>Lauraceae</v>
      </c>
      <c r="O1542" t="str" cm="1">
        <f t="array" ref="O1542">_xlfn.IFS(F1542="","",F1542&lt;=5,"0 to 5",F1542&lt;=10,"5.1 to 10",F1542&lt;=20,"10 to 20", F1542&lt;= 40, "20 to 40", F1542 &lt;= 50, "40 to 50", F1542 &gt; 50, "&gt;50" )</f>
        <v>0 to 5</v>
      </c>
    </row>
    <row r="1543" spans="1:15" ht="14.4" x14ac:dyDescent="0.3">
      <c r="A1543" t="s">
        <v>293</v>
      </c>
      <c r="B1543" s="1">
        <v>46199</v>
      </c>
      <c r="C1543" t="s">
        <v>24</v>
      </c>
      <c r="D1543">
        <v>1409</v>
      </c>
      <c r="E1543">
        <v>1</v>
      </c>
      <c r="F1543">
        <v>43.6</v>
      </c>
      <c r="G1543" t="s">
        <v>17</v>
      </c>
      <c r="I1543" t="str">
        <f t="shared" si="28"/>
        <v>1409_1</v>
      </c>
      <c r="J1543" t="s">
        <v>294</v>
      </c>
      <c r="K1543" t="s">
        <v>19</v>
      </c>
      <c r="L1543" t="str">
        <f>_xlfn.XLOOKUP(C1543, Table2[Species],Table2[Genus], "Code Not Found")</f>
        <v>Lirodendron</v>
      </c>
      <c r="M1543" t="str">
        <f>_xlfn.XLOOKUP(C1543, Table2[Species],Table2[Sp. Name], "Code Not Found")</f>
        <v>tulipfera</v>
      </c>
      <c r="N1543" t="str">
        <f>_xlfn.XLOOKUP(C1543,Table2[Species],Table2[Family],"Code Not Found")</f>
        <v>Magnoliaceae</v>
      </c>
      <c r="O1543" t="str" cm="1">
        <f t="array" ref="O1543">_xlfn.IFS(F1543="","",F1543&lt;=5,"0 to 5",F1543&lt;=10,"5.1 to 10",F1543&lt;=20,"10 to 20", F1543&lt;= 40, "20 to 40", F1543 &lt;= 50, "40 to 50", F1543 &gt; 50, "&gt;50" )</f>
        <v>40 to 50</v>
      </c>
    </row>
    <row r="1544" spans="1:15" ht="14.4" x14ac:dyDescent="0.3">
      <c r="A1544" t="s">
        <v>293</v>
      </c>
      <c r="B1544" s="1">
        <v>46199</v>
      </c>
      <c r="C1544" t="s">
        <v>16</v>
      </c>
      <c r="D1544">
        <v>1410</v>
      </c>
      <c r="E1544">
        <v>1</v>
      </c>
      <c r="F1544">
        <v>3.9</v>
      </c>
      <c r="G1544" t="s">
        <v>242</v>
      </c>
      <c r="H1544" t="s">
        <v>99</v>
      </c>
      <c r="I1544" t="str">
        <f t="shared" si="28"/>
        <v>1410_1</v>
      </c>
      <c r="J1544" t="s">
        <v>294</v>
      </c>
      <c r="K1544" t="s">
        <v>19</v>
      </c>
      <c r="L1544" t="str">
        <f>_xlfn.XLOOKUP(C1544, Table2[Species],Table2[Genus], "Code Not Found")</f>
        <v>Acer</v>
      </c>
      <c r="M1544" t="str">
        <f>_xlfn.XLOOKUP(C1544, Table2[Species],Table2[Sp. Name], "Code Not Found")</f>
        <v>saccharum</v>
      </c>
      <c r="N1544" t="str">
        <f>_xlfn.XLOOKUP(C1544,Table2[Species],Table2[Family],"Code Not Found")</f>
        <v>Sapindaceae</v>
      </c>
      <c r="O1544" t="str" cm="1">
        <f t="array" ref="O1544">_xlfn.IFS(F1544="","",F1544&lt;=5,"0 to 5",F1544&lt;=10,"5.1 to 10",F1544&lt;=20,"10 to 20", F1544&lt;= 40, "20 to 40", F1544 &lt;= 50, "40 to 50", F1544 &gt; 50, "&gt;50" )</f>
        <v>0 to 5</v>
      </c>
    </row>
    <row r="1545" spans="1:15" ht="14.4" x14ac:dyDescent="0.3">
      <c r="A1545" t="s">
        <v>293</v>
      </c>
      <c r="B1545" s="1">
        <v>46199</v>
      </c>
      <c r="C1545" t="s">
        <v>16</v>
      </c>
      <c r="D1545">
        <v>1411</v>
      </c>
      <c r="E1545">
        <v>1</v>
      </c>
      <c r="F1545">
        <v>6.1</v>
      </c>
      <c r="G1545" t="s">
        <v>17</v>
      </c>
      <c r="H1545" t="s">
        <v>36</v>
      </c>
      <c r="I1545" t="str">
        <f t="shared" si="28"/>
        <v>1411_1</v>
      </c>
      <c r="J1545" t="s">
        <v>294</v>
      </c>
      <c r="K1545" t="s">
        <v>19</v>
      </c>
      <c r="L1545" t="str">
        <f>_xlfn.XLOOKUP(C1545, Table2[Species],Table2[Genus], "Code Not Found")</f>
        <v>Acer</v>
      </c>
      <c r="M1545" t="str">
        <f>_xlfn.XLOOKUP(C1545, Table2[Species],Table2[Sp. Name], "Code Not Found")</f>
        <v>saccharum</v>
      </c>
      <c r="N1545" t="str">
        <f>_xlfn.XLOOKUP(C1545,Table2[Species],Table2[Family],"Code Not Found")</f>
        <v>Sapindaceae</v>
      </c>
      <c r="O1545" t="str" cm="1">
        <f t="array" ref="O1545">_xlfn.IFS(F1545="","",F1545&lt;=5,"0 to 5",F1545&lt;=10,"5.1 to 10",F1545&lt;=20,"10 to 20", F1545&lt;= 40, "20 to 40", F1545 &lt;= 50, "40 to 50", F1545 &gt; 50, "&gt;50" )</f>
        <v>5.1 to 10</v>
      </c>
    </row>
    <row r="1546" spans="1:15" ht="14.4" x14ac:dyDescent="0.3">
      <c r="A1546" t="s">
        <v>293</v>
      </c>
      <c r="B1546" s="1">
        <v>46199</v>
      </c>
      <c r="C1546" t="s">
        <v>16</v>
      </c>
      <c r="D1546">
        <v>1412</v>
      </c>
      <c r="E1546">
        <v>1</v>
      </c>
      <c r="F1546">
        <v>9.5</v>
      </c>
      <c r="G1546" t="s">
        <v>17</v>
      </c>
      <c r="I1546" t="str">
        <f t="shared" si="28"/>
        <v>1412_1</v>
      </c>
      <c r="J1546" t="s">
        <v>294</v>
      </c>
      <c r="K1546" t="s">
        <v>19</v>
      </c>
      <c r="L1546" t="str">
        <f>_xlfn.XLOOKUP(C1546, Table2[Species],Table2[Genus], "Code Not Found")</f>
        <v>Acer</v>
      </c>
      <c r="M1546" t="str">
        <f>_xlfn.XLOOKUP(C1546, Table2[Species],Table2[Sp. Name], "Code Not Found")</f>
        <v>saccharum</v>
      </c>
      <c r="N1546" t="str">
        <f>_xlfn.XLOOKUP(C1546,Table2[Species],Table2[Family],"Code Not Found")</f>
        <v>Sapindaceae</v>
      </c>
      <c r="O1546" t="str" cm="1">
        <f t="array" ref="O1546">_xlfn.IFS(F1546="","",F1546&lt;=5,"0 to 5",F1546&lt;=10,"5.1 to 10",F1546&lt;=20,"10 to 20", F1546&lt;= 40, "20 to 40", F1546 &lt;= 50, "40 to 50", F1546 &gt; 50, "&gt;50" )</f>
        <v>5.1 to 10</v>
      </c>
    </row>
    <row r="1547" spans="1:15" ht="14.4" x14ac:dyDescent="0.3">
      <c r="A1547" t="s">
        <v>293</v>
      </c>
      <c r="B1547" s="1">
        <v>46199</v>
      </c>
      <c r="C1547" t="s">
        <v>29</v>
      </c>
      <c r="D1547">
        <v>1413</v>
      </c>
      <c r="E1547">
        <v>1</v>
      </c>
      <c r="F1547">
        <v>51.7</v>
      </c>
      <c r="G1547" t="s">
        <v>17</v>
      </c>
      <c r="I1547" t="str">
        <f t="shared" si="28"/>
        <v>1413_1</v>
      </c>
      <c r="J1547" t="s">
        <v>294</v>
      </c>
      <c r="K1547" t="s">
        <v>19</v>
      </c>
      <c r="L1547" t="str">
        <f>_xlfn.XLOOKUP(C1547, Table2[Species],Table2[Genus], "Code Not Found")</f>
        <v>Sassafras</v>
      </c>
      <c r="M1547" t="str">
        <f>_xlfn.XLOOKUP(C1547, Table2[Species],Table2[Sp. Name], "Code Not Found")</f>
        <v>albidum</v>
      </c>
      <c r="N1547" t="str">
        <f>_xlfn.XLOOKUP(C1547,Table2[Species],Table2[Family],"Code Not Found")</f>
        <v>Lauraceae</v>
      </c>
      <c r="O1547" t="str" cm="1">
        <f t="array" ref="O1547">_xlfn.IFS(F1547="","",F1547&lt;=5,"0 to 5",F1547&lt;=10,"5.1 to 10",F1547&lt;=20,"10 to 20", F1547&lt;= 40, "20 to 40", F1547 &lt;= 50, "40 to 50", F1547 &gt; 50, "&gt;50" )</f>
        <v>&gt;50</v>
      </c>
    </row>
    <row r="1548" spans="1:15" ht="14.4" x14ac:dyDescent="0.3">
      <c r="A1548" t="s">
        <v>293</v>
      </c>
      <c r="B1548" s="1">
        <v>46199</v>
      </c>
      <c r="C1548" t="s">
        <v>16</v>
      </c>
      <c r="D1548">
        <v>1414</v>
      </c>
      <c r="E1548">
        <v>1</v>
      </c>
      <c r="F1548">
        <v>3.4</v>
      </c>
      <c r="G1548" t="s">
        <v>88</v>
      </c>
      <c r="H1548" t="s">
        <v>100</v>
      </c>
      <c r="I1548" t="str">
        <f t="shared" si="28"/>
        <v>1414_1</v>
      </c>
      <c r="J1548" t="s">
        <v>294</v>
      </c>
      <c r="K1548" t="s">
        <v>19</v>
      </c>
      <c r="L1548" t="str">
        <f>_xlfn.XLOOKUP(C1548, Table2[Species],Table2[Genus], "Code Not Found")</f>
        <v>Acer</v>
      </c>
      <c r="M1548" t="str">
        <f>_xlfn.XLOOKUP(C1548, Table2[Species],Table2[Sp. Name], "Code Not Found")</f>
        <v>saccharum</v>
      </c>
      <c r="N1548" t="str">
        <f>_xlfn.XLOOKUP(C1548,Table2[Species],Table2[Family],"Code Not Found")</f>
        <v>Sapindaceae</v>
      </c>
      <c r="O1548" t="str" cm="1">
        <f t="array" ref="O1548">_xlfn.IFS(F1548="","",F1548&lt;=5,"0 to 5",F1548&lt;=10,"5.1 to 10",F1548&lt;=20,"10 to 20", F1548&lt;= 40, "20 to 40", F1548 &lt;= 50, "40 to 50", F1548 &gt; 50, "&gt;50" )</f>
        <v>0 to 5</v>
      </c>
    </row>
    <row r="1549" spans="1:15" ht="14.4" x14ac:dyDescent="0.3">
      <c r="A1549" t="s">
        <v>293</v>
      </c>
      <c r="B1549" s="1">
        <v>46199</v>
      </c>
      <c r="C1549" t="s">
        <v>16</v>
      </c>
      <c r="D1549">
        <v>1415</v>
      </c>
      <c r="E1549">
        <v>1</v>
      </c>
      <c r="F1549">
        <v>15</v>
      </c>
      <c r="G1549" t="s">
        <v>21</v>
      </c>
      <c r="I1549" t="str">
        <f t="shared" si="28"/>
        <v>1415_1</v>
      </c>
      <c r="J1549" t="s">
        <v>294</v>
      </c>
      <c r="K1549" t="s">
        <v>19</v>
      </c>
      <c r="L1549" t="str">
        <f>_xlfn.XLOOKUP(C1549, Table2[Species],Table2[Genus], "Code Not Found")</f>
        <v>Acer</v>
      </c>
      <c r="M1549" t="str">
        <f>_xlfn.XLOOKUP(C1549, Table2[Species],Table2[Sp. Name], "Code Not Found")</f>
        <v>saccharum</v>
      </c>
      <c r="N1549" t="str">
        <f>_xlfn.XLOOKUP(C1549,Table2[Species],Table2[Family],"Code Not Found")</f>
        <v>Sapindaceae</v>
      </c>
      <c r="O1549" t="str" cm="1">
        <f t="array" ref="O1549">_xlfn.IFS(F1549="","",F1549&lt;=5,"0 to 5",F1549&lt;=10,"5.1 to 10",F1549&lt;=20,"10 to 20", F1549&lt;= 40, "20 to 40", F1549 &lt;= 50, "40 to 50", F1549 &gt; 50, "&gt;50" )</f>
        <v>10 to 20</v>
      </c>
    </row>
    <row r="1550" spans="1:15" ht="14.4" x14ac:dyDescent="0.3">
      <c r="A1550" t="s">
        <v>293</v>
      </c>
      <c r="B1550" s="1">
        <v>46199</v>
      </c>
      <c r="C1550" t="s">
        <v>16</v>
      </c>
      <c r="D1550">
        <v>1416</v>
      </c>
      <c r="E1550">
        <v>1</v>
      </c>
      <c r="F1550">
        <v>5.0999999999999996</v>
      </c>
      <c r="G1550" t="s">
        <v>47</v>
      </c>
      <c r="I1550" t="str">
        <f t="shared" si="28"/>
        <v>1416_1</v>
      </c>
      <c r="J1550" t="s">
        <v>294</v>
      </c>
      <c r="K1550" t="s">
        <v>19</v>
      </c>
      <c r="L1550" t="str">
        <f>_xlfn.XLOOKUP(C1550, Table2[Species],Table2[Genus], "Code Not Found")</f>
        <v>Acer</v>
      </c>
      <c r="M1550" t="str">
        <f>_xlfn.XLOOKUP(C1550, Table2[Species],Table2[Sp. Name], "Code Not Found")</f>
        <v>saccharum</v>
      </c>
      <c r="N1550" t="str">
        <f>_xlfn.XLOOKUP(C1550,Table2[Species],Table2[Family],"Code Not Found")</f>
        <v>Sapindaceae</v>
      </c>
      <c r="O1550" t="str" cm="1">
        <f t="array" ref="O1550">_xlfn.IFS(F1550="","",F1550&lt;=5,"0 to 5",F1550&lt;=10,"5.1 to 10",F1550&lt;=20,"10 to 20", F1550&lt;= 40, "20 to 40", F1550 &lt;= 50, "40 to 50", F1550 &gt; 50, "&gt;50" )</f>
        <v>5.1 to 10</v>
      </c>
    </row>
    <row r="1551" spans="1:15" ht="14.4" x14ac:dyDescent="0.3">
      <c r="A1551" t="s">
        <v>293</v>
      </c>
      <c r="B1551" s="1">
        <v>46199</v>
      </c>
      <c r="C1551" t="s">
        <v>55</v>
      </c>
      <c r="D1551">
        <v>1417</v>
      </c>
      <c r="E1551">
        <v>1</v>
      </c>
      <c r="F1551">
        <v>80.900000000000006</v>
      </c>
      <c r="G1551" t="s">
        <v>17</v>
      </c>
      <c r="H1551" t="s">
        <v>36</v>
      </c>
      <c r="I1551" t="str">
        <f t="shared" si="28"/>
        <v>1417_1</v>
      </c>
      <c r="J1551" t="s">
        <v>294</v>
      </c>
      <c r="K1551" t="s">
        <v>19</v>
      </c>
      <c r="L1551" t="str">
        <f>_xlfn.XLOOKUP(C1551, Table2[Species],Table2[Genus], "Code Not Found")</f>
        <v>Magnolia</v>
      </c>
      <c r="M1551" t="str">
        <f>_xlfn.XLOOKUP(C1551, Table2[Species],Table2[Sp. Name], "Code Not Found")</f>
        <v>acuminata</v>
      </c>
      <c r="N1551" t="str">
        <f>_xlfn.XLOOKUP(C1551,Table2[Species],Table2[Family],"Code Not Found")</f>
        <v>Magnoliaceae</v>
      </c>
      <c r="O1551" t="str" cm="1">
        <f t="array" ref="O1551">_xlfn.IFS(F1551="","",F1551&lt;=5,"0 to 5",F1551&lt;=10,"5.1 to 10",F1551&lt;=20,"10 to 20", F1551&lt;= 40, "20 to 40", F1551 &lt;= 50, "40 to 50", F1551 &gt; 50, "&gt;50" )</f>
        <v>&gt;50</v>
      </c>
    </row>
    <row r="1552" spans="1:15" ht="14.4" x14ac:dyDescent="0.3">
      <c r="A1552" t="s">
        <v>293</v>
      </c>
      <c r="B1552" s="1">
        <v>46199</v>
      </c>
      <c r="C1552" t="s">
        <v>24</v>
      </c>
      <c r="D1552">
        <v>1418</v>
      </c>
      <c r="E1552">
        <v>1</v>
      </c>
      <c r="F1552">
        <v>42.2</v>
      </c>
      <c r="G1552" t="s">
        <v>17</v>
      </c>
      <c r="I1552" t="str">
        <f t="shared" si="28"/>
        <v>1418_1</v>
      </c>
      <c r="J1552" t="s">
        <v>294</v>
      </c>
      <c r="K1552" t="s">
        <v>19</v>
      </c>
      <c r="L1552" t="str">
        <f>_xlfn.XLOOKUP(C1552, Table2[Species],Table2[Genus], "Code Not Found")</f>
        <v>Lirodendron</v>
      </c>
      <c r="M1552" t="str">
        <f>_xlfn.XLOOKUP(C1552, Table2[Species],Table2[Sp. Name], "Code Not Found")</f>
        <v>tulipfera</v>
      </c>
      <c r="N1552" t="str">
        <f>_xlfn.XLOOKUP(C1552,Table2[Species],Table2[Family],"Code Not Found")</f>
        <v>Magnoliaceae</v>
      </c>
      <c r="O1552" t="str" cm="1">
        <f t="array" ref="O1552">_xlfn.IFS(F1552="","",F1552&lt;=5,"0 to 5",F1552&lt;=10,"5.1 to 10",F1552&lt;=20,"10 to 20", F1552&lt;= 40, "20 to 40", F1552 &lt;= 50, "40 to 50", F1552 &gt; 50, "&gt;50" )</f>
        <v>40 to 50</v>
      </c>
    </row>
    <row r="1553" spans="1:15" ht="14.4" x14ac:dyDescent="0.3">
      <c r="A1553" t="s">
        <v>293</v>
      </c>
      <c r="B1553" s="1">
        <v>46199</v>
      </c>
      <c r="C1553" t="s">
        <v>16</v>
      </c>
      <c r="D1553">
        <v>1419</v>
      </c>
      <c r="E1553">
        <v>1</v>
      </c>
      <c r="F1553">
        <v>4.2</v>
      </c>
      <c r="G1553" t="s">
        <v>34</v>
      </c>
      <c r="I1553" t="str">
        <f t="shared" si="28"/>
        <v>1419_1</v>
      </c>
      <c r="J1553" t="s">
        <v>294</v>
      </c>
      <c r="K1553" t="s">
        <v>19</v>
      </c>
      <c r="L1553" t="str">
        <f>_xlfn.XLOOKUP(C1553, Table2[Species],Table2[Genus], "Code Not Found")</f>
        <v>Acer</v>
      </c>
      <c r="M1553" t="str">
        <f>_xlfn.XLOOKUP(C1553, Table2[Species],Table2[Sp. Name], "Code Not Found")</f>
        <v>saccharum</v>
      </c>
      <c r="N1553" t="str">
        <f>_xlfn.XLOOKUP(C1553,Table2[Species],Table2[Family],"Code Not Found")</f>
        <v>Sapindaceae</v>
      </c>
      <c r="O1553" t="str" cm="1">
        <f t="array" ref="O1553">_xlfn.IFS(F1553="","",F1553&lt;=5,"0 to 5",F1553&lt;=10,"5.1 to 10",F1553&lt;=20,"10 to 20", F1553&lt;= 40, "20 to 40", F1553 &lt;= 50, "40 to 50", F1553 &gt; 50, "&gt;50" )</f>
        <v>0 to 5</v>
      </c>
    </row>
    <row r="1554" spans="1:15" ht="14.4" x14ac:dyDescent="0.3">
      <c r="A1554" t="s">
        <v>293</v>
      </c>
      <c r="B1554" s="1">
        <v>46199</v>
      </c>
      <c r="C1554" t="s">
        <v>16</v>
      </c>
      <c r="D1554">
        <v>1419</v>
      </c>
      <c r="E1554">
        <v>2</v>
      </c>
      <c r="F1554">
        <v>4.5999999999999996</v>
      </c>
      <c r="G1554" t="s">
        <v>34</v>
      </c>
      <c r="I1554" t="str">
        <f t="shared" si="28"/>
        <v>1419_2</v>
      </c>
      <c r="J1554" t="s">
        <v>294</v>
      </c>
      <c r="K1554" t="s">
        <v>19</v>
      </c>
      <c r="L1554" t="str">
        <f>_xlfn.XLOOKUP(C1554, Table2[Species],Table2[Genus], "Code Not Found")</f>
        <v>Acer</v>
      </c>
      <c r="M1554" t="str">
        <f>_xlfn.XLOOKUP(C1554, Table2[Species],Table2[Sp. Name], "Code Not Found")</f>
        <v>saccharum</v>
      </c>
      <c r="N1554" t="str">
        <f>_xlfn.XLOOKUP(C1554,Table2[Species],Table2[Family],"Code Not Found")</f>
        <v>Sapindaceae</v>
      </c>
      <c r="O1554" t="str" cm="1">
        <f t="array" ref="O1554">_xlfn.IFS(F1554="","",F1554&lt;=5,"0 to 5",F1554&lt;=10,"5.1 to 10",F1554&lt;=20,"10 to 20", F1554&lt;= 40, "20 to 40", F1554 &lt;= 50, "40 to 50", F1554 &gt; 50, "&gt;50" )</f>
        <v>0 to 5</v>
      </c>
    </row>
    <row r="1555" spans="1:15" ht="14.4" x14ac:dyDescent="0.3">
      <c r="A1555" t="s">
        <v>293</v>
      </c>
      <c r="B1555" s="1">
        <v>46199</v>
      </c>
      <c r="C1555" t="s">
        <v>16</v>
      </c>
      <c r="D1555">
        <v>1420</v>
      </c>
      <c r="E1555">
        <v>1</v>
      </c>
      <c r="F1555">
        <v>5.4</v>
      </c>
      <c r="G1555" t="s">
        <v>139</v>
      </c>
      <c r="H1555" t="s">
        <v>326</v>
      </c>
      <c r="I1555" t="str">
        <f t="shared" si="28"/>
        <v>1420_1</v>
      </c>
      <c r="J1555" t="s">
        <v>294</v>
      </c>
      <c r="K1555" t="s">
        <v>19</v>
      </c>
      <c r="L1555" t="str">
        <f>_xlfn.XLOOKUP(C1555, Table2[Species],Table2[Genus], "Code Not Found")</f>
        <v>Acer</v>
      </c>
      <c r="M1555" t="str">
        <f>_xlfn.XLOOKUP(C1555, Table2[Species],Table2[Sp. Name], "Code Not Found")</f>
        <v>saccharum</v>
      </c>
      <c r="N1555" t="str">
        <f>_xlfn.XLOOKUP(C1555,Table2[Species],Table2[Family],"Code Not Found")</f>
        <v>Sapindaceae</v>
      </c>
      <c r="O1555" t="str" cm="1">
        <f t="array" ref="O1555">_xlfn.IFS(F1555="","",F1555&lt;=5,"0 to 5",F1555&lt;=10,"5.1 to 10",F1555&lt;=20,"10 to 20", F1555&lt;= 40, "20 to 40", F1555 &lt;= 50, "40 to 50", F1555 &gt; 50, "&gt;50" )</f>
        <v>5.1 to 10</v>
      </c>
    </row>
    <row r="1556" spans="1:15" ht="14.4" x14ac:dyDescent="0.3">
      <c r="A1556" t="s">
        <v>293</v>
      </c>
      <c r="B1556" s="1">
        <v>46199</v>
      </c>
      <c r="C1556" t="s">
        <v>16</v>
      </c>
      <c r="D1556">
        <v>1421</v>
      </c>
      <c r="E1556">
        <v>1</v>
      </c>
      <c r="F1556">
        <v>7</v>
      </c>
      <c r="G1556" t="s">
        <v>17</v>
      </c>
      <c r="H1556" t="s">
        <v>36</v>
      </c>
      <c r="I1556" t="str">
        <f t="shared" si="28"/>
        <v>1421_1</v>
      </c>
      <c r="J1556" t="s">
        <v>294</v>
      </c>
      <c r="K1556" t="s">
        <v>19</v>
      </c>
      <c r="L1556" t="str">
        <f>_xlfn.XLOOKUP(C1556, Table2[Species],Table2[Genus], "Code Not Found")</f>
        <v>Acer</v>
      </c>
      <c r="M1556" t="str">
        <f>_xlfn.XLOOKUP(C1556, Table2[Species],Table2[Sp. Name], "Code Not Found")</f>
        <v>saccharum</v>
      </c>
      <c r="N1556" t="str">
        <f>_xlfn.XLOOKUP(C1556,Table2[Species],Table2[Family],"Code Not Found")</f>
        <v>Sapindaceae</v>
      </c>
      <c r="O1556" t="str" cm="1">
        <f t="array" ref="O1556">_xlfn.IFS(F1556="","",F1556&lt;=5,"0 to 5",F1556&lt;=10,"5.1 to 10",F1556&lt;=20,"10 to 20", F1556&lt;= 40, "20 to 40", F1556 &lt;= 50, "40 to 50", F1556 &gt; 50, "&gt;50" )</f>
        <v>5.1 to 10</v>
      </c>
    </row>
    <row r="1557" spans="1:15" ht="14.4" x14ac:dyDescent="0.3">
      <c r="A1557" t="s">
        <v>293</v>
      </c>
      <c r="B1557" s="1">
        <v>46199</v>
      </c>
      <c r="C1557" t="s">
        <v>16</v>
      </c>
      <c r="D1557">
        <v>1422</v>
      </c>
      <c r="E1557">
        <v>1</v>
      </c>
      <c r="F1557">
        <v>5.5</v>
      </c>
      <c r="G1557" t="s">
        <v>88</v>
      </c>
      <c r="H1557" t="s">
        <v>327</v>
      </c>
      <c r="I1557" t="str">
        <f t="shared" si="28"/>
        <v>1422_1</v>
      </c>
      <c r="J1557" t="s">
        <v>294</v>
      </c>
      <c r="K1557" t="s">
        <v>19</v>
      </c>
      <c r="L1557" t="str">
        <f>_xlfn.XLOOKUP(C1557, Table2[Species],Table2[Genus], "Code Not Found")</f>
        <v>Acer</v>
      </c>
      <c r="M1557" t="str">
        <f>_xlfn.XLOOKUP(C1557, Table2[Species],Table2[Sp. Name], "Code Not Found")</f>
        <v>saccharum</v>
      </c>
      <c r="N1557" t="str">
        <f>_xlfn.XLOOKUP(C1557,Table2[Species],Table2[Family],"Code Not Found")</f>
        <v>Sapindaceae</v>
      </c>
      <c r="O1557" t="str" cm="1">
        <f t="array" ref="O1557">_xlfn.IFS(F1557="","",F1557&lt;=5,"0 to 5",F1557&lt;=10,"5.1 to 10",F1557&lt;=20,"10 to 20", F1557&lt;= 40, "20 to 40", F1557 &lt;= 50, "40 to 50", F1557 &gt; 50, "&gt;50" )</f>
        <v>5.1 to 10</v>
      </c>
    </row>
    <row r="1558" spans="1:15" ht="14.4" x14ac:dyDescent="0.3">
      <c r="A1558" t="s">
        <v>293</v>
      </c>
      <c r="B1558" s="1">
        <v>46199</v>
      </c>
      <c r="C1558" t="s">
        <v>16</v>
      </c>
      <c r="D1558">
        <v>1423</v>
      </c>
      <c r="E1558">
        <v>1</v>
      </c>
      <c r="F1558">
        <v>2.1</v>
      </c>
      <c r="G1558" t="s">
        <v>17</v>
      </c>
      <c r="I1558" t="str">
        <f t="shared" si="28"/>
        <v>1423_1</v>
      </c>
      <c r="J1558" t="s">
        <v>294</v>
      </c>
      <c r="K1558" t="s">
        <v>19</v>
      </c>
      <c r="L1558" t="str">
        <f>_xlfn.XLOOKUP(C1558, Table2[Species],Table2[Genus], "Code Not Found")</f>
        <v>Acer</v>
      </c>
      <c r="M1558" t="str">
        <f>_xlfn.XLOOKUP(C1558, Table2[Species],Table2[Sp. Name], "Code Not Found")</f>
        <v>saccharum</v>
      </c>
      <c r="N1558" t="str">
        <f>_xlfn.XLOOKUP(C1558,Table2[Species],Table2[Family],"Code Not Found")</f>
        <v>Sapindaceae</v>
      </c>
      <c r="O1558" t="str" cm="1">
        <f t="array" ref="O1558">_xlfn.IFS(F1558="","",F1558&lt;=5,"0 to 5",F1558&lt;=10,"5.1 to 10",F1558&lt;=20,"10 to 20", F1558&lt;= 40, "20 to 40", F1558 &lt;= 50, "40 to 50", F1558 &gt; 50, "&gt;50" )</f>
        <v>0 to 5</v>
      </c>
    </row>
    <row r="1559" spans="1:15" ht="14.4" x14ac:dyDescent="0.3">
      <c r="A1559" t="s">
        <v>293</v>
      </c>
      <c r="B1559" s="1">
        <v>46199</v>
      </c>
      <c r="C1559" t="s">
        <v>22</v>
      </c>
      <c r="D1559">
        <v>1424</v>
      </c>
      <c r="E1559">
        <v>1</v>
      </c>
      <c r="F1559">
        <v>14.9</v>
      </c>
      <c r="G1559" t="s">
        <v>17</v>
      </c>
      <c r="H1559" t="s">
        <v>36</v>
      </c>
      <c r="I1559" t="str">
        <f t="shared" si="28"/>
        <v>1424_1</v>
      </c>
      <c r="J1559" t="s">
        <v>294</v>
      </c>
      <c r="K1559" t="s">
        <v>19</v>
      </c>
      <c r="L1559" t="str">
        <f>_xlfn.XLOOKUP(C1559, Table2[Species],Table2[Genus], "Code Not Found")</f>
        <v>Acer</v>
      </c>
      <c r="M1559" t="str">
        <f>_xlfn.XLOOKUP(C1559, Table2[Species],Table2[Sp. Name], "Code Not Found")</f>
        <v>rubrum</v>
      </c>
      <c r="N1559" t="str">
        <f>_xlfn.XLOOKUP(C1559,Table2[Species],Table2[Family],"Code Not Found")</f>
        <v>Sapindaceae</v>
      </c>
      <c r="O1559" t="str" cm="1">
        <f t="array" ref="O1559">_xlfn.IFS(F1559="","",F1559&lt;=5,"0 to 5",F1559&lt;=10,"5.1 to 10",F1559&lt;=20,"10 to 20", F1559&lt;= 40, "20 to 40", F1559 &lt;= 50, "40 to 50", F1559 &gt; 50, "&gt;50" )</f>
        <v>10 to 20</v>
      </c>
    </row>
    <row r="1560" spans="1:15" ht="14.4" x14ac:dyDescent="0.3">
      <c r="A1560" t="s">
        <v>293</v>
      </c>
      <c r="B1560" s="1">
        <v>46199</v>
      </c>
      <c r="C1560" t="s">
        <v>16</v>
      </c>
      <c r="D1560">
        <v>1425</v>
      </c>
      <c r="E1560">
        <v>1</v>
      </c>
      <c r="F1560">
        <v>8.3000000000000007</v>
      </c>
      <c r="G1560" t="s">
        <v>21</v>
      </c>
      <c r="I1560" t="str">
        <f t="shared" si="28"/>
        <v>1425_1</v>
      </c>
      <c r="J1560" t="s">
        <v>294</v>
      </c>
      <c r="K1560" t="s">
        <v>19</v>
      </c>
      <c r="L1560" t="str">
        <f>_xlfn.XLOOKUP(C1560, Table2[Species],Table2[Genus], "Code Not Found")</f>
        <v>Acer</v>
      </c>
      <c r="M1560" t="str">
        <f>_xlfn.XLOOKUP(C1560, Table2[Species],Table2[Sp. Name], "Code Not Found")</f>
        <v>saccharum</v>
      </c>
      <c r="N1560" t="str">
        <f>_xlfn.XLOOKUP(C1560,Table2[Species],Table2[Family],"Code Not Found")</f>
        <v>Sapindaceae</v>
      </c>
      <c r="O1560" t="str" cm="1">
        <f t="array" ref="O1560">_xlfn.IFS(F1560="","",F1560&lt;=5,"0 to 5",F1560&lt;=10,"5.1 to 10",F1560&lt;=20,"10 to 20", F1560&lt;= 40, "20 to 40", F1560 &lt;= 50, "40 to 50", F1560 &gt; 50, "&gt;50" )</f>
        <v>5.1 to 10</v>
      </c>
    </row>
    <row r="1561" spans="1:15" ht="14.4" x14ac:dyDescent="0.3">
      <c r="A1561" t="s">
        <v>293</v>
      </c>
      <c r="B1561" s="1">
        <v>46199</v>
      </c>
      <c r="C1561" t="s">
        <v>22</v>
      </c>
      <c r="D1561">
        <v>1426</v>
      </c>
      <c r="E1561">
        <v>1</v>
      </c>
      <c r="F1561">
        <v>8.4</v>
      </c>
      <c r="G1561" t="s">
        <v>17</v>
      </c>
      <c r="H1561" t="s">
        <v>328</v>
      </c>
      <c r="I1561" t="str">
        <f t="shared" si="28"/>
        <v>1426_1</v>
      </c>
      <c r="J1561" t="s">
        <v>294</v>
      </c>
      <c r="K1561" t="s">
        <v>19</v>
      </c>
      <c r="L1561" t="str">
        <f>_xlfn.XLOOKUP(C1561, Table2[Species],Table2[Genus], "Code Not Found")</f>
        <v>Acer</v>
      </c>
      <c r="M1561" t="str">
        <f>_xlfn.XLOOKUP(C1561, Table2[Species],Table2[Sp. Name], "Code Not Found")</f>
        <v>rubrum</v>
      </c>
      <c r="N1561" t="str">
        <f>_xlfn.XLOOKUP(C1561,Table2[Species],Table2[Family],"Code Not Found")</f>
        <v>Sapindaceae</v>
      </c>
      <c r="O1561" t="str" cm="1">
        <f t="array" ref="O1561">_xlfn.IFS(F1561="","",F1561&lt;=5,"0 to 5",F1561&lt;=10,"5.1 to 10",F1561&lt;=20,"10 to 20", F1561&lt;= 40, "20 to 40", F1561 &lt;= 50, "40 to 50", F1561 &gt; 50, "&gt;50" )</f>
        <v>5.1 to 10</v>
      </c>
    </row>
    <row r="1562" spans="1:15" ht="14.4" x14ac:dyDescent="0.3">
      <c r="A1562" t="s">
        <v>293</v>
      </c>
      <c r="B1562" s="1">
        <v>46199</v>
      </c>
      <c r="C1562" t="s">
        <v>16</v>
      </c>
      <c r="D1562">
        <v>1427</v>
      </c>
      <c r="E1562">
        <v>1</v>
      </c>
      <c r="F1562">
        <v>3.9</v>
      </c>
      <c r="G1562" t="s">
        <v>47</v>
      </c>
      <c r="H1562" t="s">
        <v>296</v>
      </c>
      <c r="I1562" t="str">
        <f t="shared" si="28"/>
        <v>1427_1</v>
      </c>
      <c r="J1562" t="s">
        <v>294</v>
      </c>
      <c r="K1562" t="s">
        <v>19</v>
      </c>
      <c r="L1562" t="str">
        <f>_xlfn.XLOOKUP(C1562, Table2[Species],Table2[Genus], "Code Not Found")</f>
        <v>Acer</v>
      </c>
      <c r="M1562" t="str">
        <f>_xlfn.XLOOKUP(C1562, Table2[Species],Table2[Sp. Name], "Code Not Found")</f>
        <v>saccharum</v>
      </c>
      <c r="N1562" t="str">
        <f>_xlfn.XLOOKUP(C1562,Table2[Species],Table2[Family],"Code Not Found")</f>
        <v>Sapindaceae</v>
      </c>
      <c r="O1562" t="str" cm="1">
        <f t="array" ref="O1562">_xlfn.IFS(F1562="","",F1562&lt;=5,"0 to 5",F1562&lt;=10,"5.1 to 10",F1562&lt;=20,"10 to 20", F1562&lt;= 40, "20 to 40", F1562 &lt;= 50, "40 to 50", F1562 &gt; 50, "&gt;50" )</f>
        <v>0 to 5</v>
      </c>
    </row>
    <row r="1563" spans="1:15" ht="14.4" x14ac:dyDescent="0.3">
      <c r="A1563" t="s">
        <v>293</v>
      </c>
      <c r="B1563" s="1">
        <v>46199</v>
      </c>
      <c r="C1563" t="s">
        <v>16</v>
      </c>
      <c r="D1563">
        <v>1428</v>
      </c>
      <c r="E1563">
        <v>1</v>
      </c>
      <c r="F1563">
        <v>8</v>
      </c>
      <c r="G1563" t="s">
        <v>21</v>
      </c>
      <c r="I1563" t="str">
        <f t="shared" si="28"/>
        <v>1428_1</v>
      </c>
      <c r="J1563" t="s">
        <v>294</v>
      </c>
      <c r="K1563" t="s">
        <v>19</v>
      </c>
      <c r="L1563" t="str">
        <f>_xlfn.XLOOKUP(C1563, Table2[Species],Table2[Genus], "Code Not Found")</f>
        <v>Acer</v>
      </c>
      <c r="M1563" t="str">
        <f>_xlfn.XLOOKUP(C1563, Table2[Species],Table2[Sp. Name], "Code Not Found")</f>
        <v>saccharum</v>
      </c>
      <c r="N1563" t="str">
        <f>_xlfn.XLOOKUP(C1563,Table2[Species],Table2[Family],"Code Not Found")</f>
        <v>Sapindaceae</v>
      </c>
      <c r="O1563" t="str" cm="1">
        <f t="array" ref="O1563">_xlfn.IFS(F1563="","",F1563&lt;=5,"0 to 5",F1563&lt;=10,"5.1 to 10",F1563&lt;=20,"10 to 20", F1563&lt;= 40, "20 to 40", F1563 &lt;= 50, "40 to 50", F1563 &gt; 50, "&gt;50" )</f>
        <v>5.1 to 10</v>
      </c>
    </row>
    <row r="1564" spans="1:15" ht="14.4" x14ac:dyDescent="0.3">
      <c r="A1564" t="s">
        <v>293</v>
      </c>
      <c r="B1564" s="1">
        <v>46199</v>
      </c>
      <c r="C1564" t="s">
        <v>64</v>
      </c>
      <c r="D1564">
        <v>1429</v>
      </c>
      <c r="E1564">
        <v>1</v>
      </c>
      <c r="F1564">
        <v>3.6</v>
      </c>
      <c r="G1564" t="s">
        <v>21</v>
      </c>
      <c r="I1564" t="str">
        <f t="shared" si="28"/>
        <v>1429_1</v>
      </c>
      <c r="J1564" t="s">
        <v>294</v>
      </c>
      <c r="K1564" t="s">
        <v>19</v>
      </c>
      <c r="L1564" t="str">
        <f>_xlfn.XLOOKUP(C1564, Table2[Species],Table2[Genus], "Code Not Found")</f>
        <v>Fagus</v>
      </c>
      <c r="M1564" t="str">
        <f>_xlfn.XLOOKUP(C1564, Table2[Species],Table2[Sp. Name], "Code Not Found")</f>
        <v>grandifolia</v>
      </c>
      <c r="N1564" t="str">
        <f>_xlfn.XLOOKUP(C1564,Table2[Species],Table2[Family],"Code Not Found")</f>
        <v>Fagaceae</v>
      </c>
      <c r="O1564" t="str" cm="1">
        <f t="array" ref="O1564">_xlfn.IFS(F1564="","",F1564&lt;=5,"0 to 5",F1564&lt;=10,"5.1 to 10",F1564&lt;=20,"10 to 20", F1564&lt;= 40, "20 to 40", F1564 &lt;= 50, "40 to 50", F1564 &gt; 50, "&gt;50" )</f>
        <v>0 to 5</v>
      </c>
    </row>
    <row r="1565" spans="1:15" ht="14.4" x14ac:dyDescent="0.3">
      <c r="A1565" t="s">
        <v>293</v>
      </c>
      <c r="B1565" s="1">
        <v>46199</v>
      </c>
      <c r="C1565" t="s">
        <v>16</v>
      </c>
      <c r="D1565">
        <v>1430</v>
      </c>
      <c r="E1565">
        <v>1</v>
      </c>
      <c r="F1565">
        <v>6.4</v>
      </c>
      <c r="G1565" t="s">
        <v>139</v>
      </c>
      <c r="H1565" t="s">
        <v>329</v>
      </c>
      <c r="I1565" t="str">
        <f t="shared" si="28"/>
        <v>1430_1</v>
      </c>
      <c r="J1565" t="s">
        <v>294</v>
      </c>
      <c r="K1565" t="s">
        <v>19</v>
      </c>
      <c r="L1565" t="str">
        <f>_xlfn.XLOOKUP(C1565, Table2[Species],Table2[Genus], "Code Not Found")</f>
        <v>Acer</v>
      </c>
      <c r="M1565" t="str">
        <f>_xlfn.XLOOKUP(C1565, Table2[Species],Table2[Sp. Name], "Code Not Found")</f>
        <v>saccharum</v>
      </c>
      <c r="N1565" t="str">
        <f>_xlfn.XLOOKUP(C1565,Table2[Species],Table2[Family],"Code Not Found")</f>
        <v>Sapindaceae</v>
      </c>
      <c r="O1565" t="str" cm="1">
        <f t="array" ref="O1565">_xlfn.IFS(F1565="","",F1565&lt;=5,"0 to 5",F1565&lt;=10,"5.1 to 10",F1565&lt;=20,"10 to 20", F1565&lt;= 40, "20 to 40", F1565 &lt;= 50, "40 to 50", F1565 &gt; 50, "&gt;50" )</f>
        <v>5.1 to 10</v>
      </c>
    </row>
    <row r="1566" spans="1:15" ht="14.4" x14ac:dyDescent="0.3">
      <c r="A1566" t="s">
        <v>293</v>
      </c>
      <c r="B1566" s="1">
        <v>46199</v>
      </c>
      <c r="C1566" t="s">
        <v>22</v>
      </c>
      <c r="D1566">
        <v>1431</v>
      </c>
      <c r="E1566">
        <v>1</v>
      </c>
      <c r="F1566">
        <v>36.9</v>
      </c>
      <c r="G1566" t="s">
        <v>21</v>
      </c>
      <c r="I1566" t="str">
        <f t="shared" si="28"/>
        <v>1431_1</v>
      </c>
      <c r="J1566" t="s">
        <v>294</v>
      </c>
      <c r="K1566" t="s">
        <v>19</v>
      </c>
      <c r="L1566" t="str">
        <f>_xlfn.XLOOKUP(C1566, Table2[Species],Table2[Genus], "Code Not Found")</f>
        <v>Acer</v>
      </c>
      <c r="M1566" t="str">
        <f>_xlfn.XLOOKUP(C1566, Table2[Species],Table2[Sp. Name], "Code Not Found")</f>
        <v>rubrum</v>
      </c>
      <c r="N1566" t="str">
        <f>_xlfn.XLOOKUP(C1566,Table2[Species],Table2[Family],"Code Not Found")</f>
        <v>Sapindaceae</v>
      </c>
      <c r="O1566" t="str" cm="1">
        <f t="array" ref="O1566">_xlfn.IFS(F1566="","",F1566&lt;=5,"0 to 5",F1566&lt;=10,"5.1 to 10",F1566&lt;=20,"10 to 20", F1566&lt;= 40, "20 to 40", F1566 &lt;= 50, "40 to 50", F1566 &gt; 50, "&gt;50" )</f>
        <v>20 to 40</v>
      </c>
    </row>
    <row r="1567" spans="1:15" ht="14.4" x14ac:dyDescent="0.3">
      <c r="A1567" t="s">
        <v>293</v>
      </c>
      <c r="B1567" s="1">
        <v>46199</v>
      </c>
      <c r="C1567" t="s">
        <v>16</v>
      </c>
      <c r="D1567">
        <v>1432</v>
      </c>
      <c r="E1567">
        <v>1</v>
      </c>
      <c r="F1567">
        <v>7</v>
      </c>
      <c r="G1567" t="s">
        <v>17</v>
      </c>
      <c r="H1567" t="s">
        <v>36</v>
      </c>
      <c r="I1567" t="str">
        <f t="shared" si="28"/>
        <v>1432_1</v>
      </c>
      <c r="J1567" t="s">
        <v>294</v>
      </c>
      <c r="K1567" t="s">
        <v>19</v>
      </c>
      <c r="L1567" t="str">
        <f>_xlfn.XLOOKUP(C1567, Table2[Species],Table2[Genus], "Code Not Found")</f>
        <v>Acer</v>
      </c>
      <c r="M1567" t="str">
        <f>_xlfn.XLOOKUP(C1567, Table2[Species],Table2[Sp. Name], "Code Not Found")</f>
        <v>saccharum</v>
      </c>
      <c r="N1567" t="str">
        <f>_xlfn.XLOOKUP(C1567,Table2[Species],Table2[Family],"Code Not Found")</f>
        <v>Sapindaceae</v>
      </c>
      <c r="O1567" t="str" cm="1">
        <f t="array" ref="O1567">_xlfn.IFS(F1567="","",F1567&lt;=5,"0 to 5",F1567&lt;=10,"5.1 to 10",F1567&lt;=20,"10 to 20", F1567&lt;= 40, "20 to 40", F1567 &lt;= 50, "40 to 50", F1567 &gt; 50, "&gt;50" )</f>
        <v>5.1 to 10</v>
      </c>
    </row>
    <row r="1568" spans="1:15" ht="14.4" x14ac:dyDescent="0.3">
      <c r="A1568" t="s">
        <v>293</v>
      </c>
      <c r="B1568" s="1">
        <v>46199</v>
      </c>
      <c r="C1568" t="s">
        <v>22</v>
      </c>
      <c r="D1568">
        <v>1433</v>
      </c>
      <c r="E1568">
        <v>1</v>
      </c>
      <c r="F1568">
        <v>25.7</v>
      </c>
      <c r="G1568" t="s">
        <v>17</v>
      </c>
      <c r="H1568" t="s">
        <v>36</v>
      </c>
      <c r="I1568" t="str">
        <f t="shared" si="28"/>
        <v>1433_1</v>
      </c>
      <c r="J1568" t="s">
        <v>294</v>
      </c>
      <c r="K1568" t="s">
        <v>19</v>
      </c>
      <c r="L1568" t="str">
        <f>_xlfn.XLOOKUP(C1568, Table2[Species],Table2[Genus], "Code Not Found")</f>
        <v>Acer</v>
      </c>
      <c r="M1568" t="str">
        <f>_xlfn.XLOOKUP(C1568, Table2[Species],Table2[Sp. Name], "Code Not Found")</f>
        <v>rubrum</v>
      </c>
      <c r="N1568" t="str">
        <f>_xlfn.XLOOKUP(C1568,Table2[Species],Table2[Family],"Code Not Found")</f>
        <v>Sapindaceae</v>
      </c>
      <c r="O1568" t="str" cm="1">
        <f t="array" ref="O1568">_xlfn.IFS(F1568="","",F1568&lt;=5,"0 to 5",F1568&lt;=10,"5.1 to 10",F1568&lt;=20,"10 to 20", F1568&lt;= 40, "20 to 40", F1568 &lt;= 50, "40 to 50", F1568 &gt; 50, "&gt;50" )</f>
        <v>20 to 40</v>
      </c>
    </row>
    <row r="1569" spans="1:15" ht="14.4" x14ac:dyDescent="0.3">
      <c r="A1569" t="s">
        <v>293</v>
      </c>
      <c r="B1569" s="1">
        <v>46199</v>
      </c>
      <c r="C1569" t="s">
        <v>22</v>
      </c>
      <c r="D1569">
        <v>1434</v>
      </c>
      <c r="E1569">
        <v>1</v>
      </c>
      <c r="F1569">
        <v>12.5</v>
      </c>
      <c r="G1569" t="s">
        <v>88</v>
      </c>
      <c r="H1569" t="s">
        <v>330</v>
      </c>
      <c r="I1569" t="str">
        <f t="shared" ref="I1569:I1590" si="29">D1569&amp;"_"&amp;E1569</f>
        <v>1434_1</v>
      </c>
      <c r="J1569" t="s">
        <v>294</v>
      </c>
      <c r="K1569" t="s">
        <v>19</v>
      </c>
      <c r="L1569" t="str">
        <f>_xlfn.XLOOKUP(C1569, Table2[Species],Table2[Genus], "Code Not Found")</f>
        <v>Acer</v>
      </c>
      <c r="M1569" t="str">
        <f>_xlfn.XLOOKUP(C1569, Table2[Species],Table2[Sp. Name], "Code Not Found")</f>
        <v>rubrum</v>
      </c>
      <c r="N1569" t="str">
        <f>_xlfn.XLOOKUP(C1569,Table2[Species],Table2[Family],"Code Not Found")</f>
        <v>Sapindaceae</v>
      </c>
      <c r="O1569" t="str" cm="1">
        <f t="array" ref="O1569">_xlfn.IFS(F1569="","",F1569&lt;=5,"0 to 5",F1569&lt;=10,"5.1 to 10",F1569&lt;=20,"10 to 20", F1569&lt;= 40, "20 to 40", F1569 &lt;= 50, "40 to 50", F1569 &gt; 50, "&gt;50" )</f>
        <v>10 to 20</v>
      </c>
    </row>
    <row r="1570" spans="1:15" ht="14.4" x14ac:dyDescent="0.3">
      <c r="A1570" t="s">
        <v>293</v>
      </c>
      <c r="B1570" s="1">
        <v>46199</v>
      </c>
      <c r="C1570" t="s">
        <v>16</v>
      </c>
      <c r="D1570">
        <v>1435</v>
      </c>
      <c r="E1570">
        <v>1</v>
      </c>
      <c r="F1570">
        <v>3.1</v>
      </c>
      <c r="G1570" t="s">
        <v>17</v>
      </c>
      <c r="I1570" t="str">
        <f t="shared" si="29"/>
        <v>1435_1</v>
      </c>
      <c r="J1570" t="s">
        <v>294</v>
      </c>
      <c r="K1570" t="s">
        <v>19</v>
      </c>
      <c r="L1570" t="str">
        <f>_xlfn.XLOOKUP(C1570, Table2[Species],Table2[Genus], "Code Not Found")</f>
        <v>Acer</v>
      </c>
      <c r="M1570" t="str">
        <f>_xlfn.XLOOKUP(C1570, Table2[Species],Table2[Sp. Name], "Code Not Found")</f>
        <v>saccharum</v>
      </c>
      <c r="N1570" t="str">
        <f>_xlfn.XLOOKUP(C1570,Table2[Species],Table2[Family],"Code Not Found")</f>
        <v>Sapindaceae</v>
      </c>
      <c r="O1570" t="str" cm="1">
        <f t="array" ref="O1570">_xlfn.IFS(F1570="","",F1570&lt;=5,"0 to 5",F1570&lt;=10,"5.1 to 10",F1570&lt;=20,"10 to 20", F1570&lt;= 40, "20 to 40", F1570 &lt;= 50, "40 to 50", F1570 &gt; 50, "&gt;50" )</f>
        <v>0 to 5</v>
      </c>
    </row>
    <row r="1571" spans="1:15" ht="14.4" x14ac:dyDescent="0.3">
      <c r="A1571" t="s">
        <v>293</v>
      </c>
      <c r="B1571" s="1">
        <v>46199</v>
      </c>
      <c r="C1571" t="s">
        <v>16</v>
      </c>
      <c r="D1571">
        <v>1436</v>
      </c>
      <c r="E1571">
        <v>1</v>
      </c>
      <c r="F1571">
        <v>4.2</v>
      </c>
      <c r="G1571" t="s">
        <v>88</v>
      </c>
      <c r="H1571" t="s">
        <v>99</v>
      </c>
      <c r="I1571" t="str">
        <f t="shared" si="29"/>
        <v>1436_1</v>
      </c>
      <c r="J1571" t="s">
        <v>294</v>
      </c>
      <c r="K1571" t="s">
        <v>19</v>
      </c>
      <c r="L1571" t="str">
        <f>_xlfn.XLOOKUP(C1571, Table2[Species],Table2[Genus], "Code Not Found")</f>
        <v>Acer</v>
      </c>
      <c r="M1571" t="str">
        <f>_xlfn.XLOOKUP(C1571, Table2[Species],Table2[Sp. Name], "Code Not Found")</f>
        <v>saccharum</v>
      </c>
      <c r="N1571" t="str">
        <f>_xlfn.XLOOKUP(C1571,Table2[Species],Table2[Family],"Code Not Found")</f>
        <v>Sapindaceae</v>
      </c>
      <c r="O1571" t="str" cm="1">
        <f t="array" ref="O1571">_xlfn.IFS(F1571="","",F1571&lt;=5,"0 to 5",F1571&lt;=10,"5.1 to 10",F1571&lt;=20,"10 to 20", F1571&lt;= 40, "20 to 40", F1571 &lt;= 50, "40 to 50", F1571 &gt; 50, "&gt;50" )</f>
        <v>0 to 5</v>
      </c>
    </row>
    <row r="1572" spans="1:15" ht="14.4" x14ac:dyDescent="0.3">
      <c r="A1572" t="s">
        <v>293</v>
      </c>
      <c r="B1572" s="1">
        <v>46199</v>
      </c>
      <c r="C1572" t="s">
        <v>16</v>
      </c>
      <c r="D1572">
        <v>1437</v>
      </c>
      <c r="E1572">
        <v>1</v>
      </c>
      <c r="F1572">
        <v>4</v>
      </c>
      <c r="G1572" t="s">
        <v>88</v>
      </c>
      <c r="H1572" t="s">
        <v>331</v>
      </c>
      <c r="I1572" t="str">
        <f t="shared" si="29"/>
        <v>1437_1</v>
      </c>
      <c r="J1572" t="s">
        <v>294</v>
      </c>
      <c r="K1572" t="s">
        <v>19</v>
      </c>
      <c r="L1572" t="str">
        <f>_xlfn.XLOOKUP(C1572, Table2[Species],Table2[Genus], "Code Not Found")</f>
        <v>Acer</v>
      </c>
      <c r="M1572" t="str">
        <f>_xlfn.XLOOKUP(C1572, Table2[Species],Table2[Sp. Name], "Code Not Found")</f>
        <v>saccharum</v>
      </c>
      <c r="N1572" t="str">
        <f>_xlfn.XLOOKUP(C1572,Table2[Species],Table2[Family],"Code Not Found")</f>
        <v>Sapindaceae</v>
      </c>
      <c r="O1572" t="str" cm="1">
        <f t="array" ref="O1572">_xlfn.IFS(F1572="","",F1572&lt;=5,"0 to 5",F1572&lt;=10,"5.1 to 10",F1572&lt;=20,"10 to 20", F1572&lt;= 40, "20 to 40", F1572 &lt;= 50, "40 to 50", F1572 &gt; 50, "&gt;50" )</f>
        <v>0 to 5</v>
      </c>
    </row>
    <row r="1573" spans="1:15" ht="14.4" x14ac:dyDescent="0.3">
      <c r="A1573" t="s">
        <v>293</v>
      </c>
      <c r="B1573" s="1">
        <v>46199</v>
      </c>
      <c r="C1573" t="s">
        <v>16</v>
      </c>
      <c r="D1573">
        <v>1438</v>
      </c>
      <c r="E1573">
        <v>1</v>
      </c>
      <c r="F1573">
        <v>5</v>
      </c>
      <c r="G1573" t="s">
        <v>21</v>
      </c>
      <c r="I1573" t="str">
        <f t="shared" si="29"/>
        <v>1438_1</v>
      </c>
      <c r="J1573" t="s">
        <v>294</v>
      </c>
      <c r="K1573" t="s">
        <v>19</v>
      </c>
      <c r="L1573" t="str">
        <f>_xlfn.XLOOKUP(C1573, Table2[Species],Table2[Genus], "Code Not Found")</f>
        <v>Acer</v>
      </c>
      <c r="M1573" t="str">
        <f>_xlfn.XLOOKUP(C1573, Table2[Species],Table2[Sp. Name], "Code Not Found")</f>
        <v>saccharum</v>
      </c>
      <c r="N1573" t="str">
        <f>_xlfn.XLOOKUP(C1573,Table2[Species],Table2[Family],"Code Not Found")</f>
        <v>Sapindaceae</v>
      </c>
      <c r="O1573" t="str" cm="1">
        <f t="array" ref="O1573">_xlfn.IFS(F1573="","",F1573&lt;=5,"0 to 5",F1573&lt;=10,"5.1 to 10",F1573&lt;=20,"10 to 20", F1573&lt;= 40, "20 to 40", F1573 &lt;= 50, "40 to 50", F1573 &gt; 50, "&gt;50" )</f>
        <v>0 to 5</v>
      </c>
    </row>
    <row r="1574" spans="1:15" ht="14.4" x14ac:dyDescent="0.3">
      <c r="A1574" t="s">
        <v>293</v>
      </c>
      <c r="B1574" s="1">
        <v>46199</v>
      </c>
      <c r="C1574" t="s">
        <v>55</v>
      </c>
      <c r="D1574">
        <v>1439</v>
      </c>
      <c r="E1574">
        <v>1</v>
      </c>
      <c r="F1574">
        <v>56.4</v>
      </c>
      <c r="G1574" t="s">
        <v>17</v>
      </c>
      <c r="H1574" t="s">
        <v>36</v>
      </c>
      <c r="I1574" t="str">
        <f t="shared" si="29"/>
        <v>1439_1</v>
      </c>
      <c r="J1574" t="s">
        <v>294</v>
      </c>
      <c r="K1574" t="s">
        <v>19</v>
      </c>
      <c r="L1574" t="str">
        <f>_xlfn.XLOOKUP(C1574, Table2[Species],Table2[Genus], "Code Not Found")</f>
        <v>Magnolia</v>
      </c>
      <c r="M1574" t="str">
        <f>_xlfn.XLOOKUP(C1574, Table2[Species],Table2[Sp. Name], "Code Not Found")</f>
        <v>acuminata</v>
      </c>
      <c r="N1574" t="str">
        <f>_xlfn.XLOOKUP(C1574,Table2[Species],Table2[Family],"Code Not Found")</f>
        <v>Magnoliaceae</v>
      </c>
      <c r="O1574" t="str" cm="1">
        <f t="array" ref="O1574">_xlfn.IFS(F1574="","",F1574&lt;=5,"0 to 5",F1574&lt;=10,"5.1 to 10",F1574&lt;=20,"10 to 20", F1574&lt;= 40, "20 to 40", F1574 &lt;= 50, "40 to 50", F1574 &gt; 50, "&gt;50" )</f>
        <v>&gt;50</v>
      </c>
    </row>
    <row r="1575" spans="1:15" ht="14.4" x14ac:dyDescent="0.3">
      <c r="A1575" t="s">
        <v>293</v>
      </c>
      <c r="B1575" s="1">
        <v>46199</v>
      </c>
      <c r="C1575" t="s">
        <v>16</v>
      </c>
      <c r="D1575">
        <v>1440</v>
      </c>
      <c r="E1575">
        <v>1</v>
      </c>
      <c r="F1575">
        <v>4.7</v>
      </c>
      <c r="G1575" t="s">
        <v>47</v>
      </c>
      <c r="I1575" t="str">
        <f t="shared" si="29"/>
        <v>1440_1</v>
      </c>
      <c r="J1575" t="s">
        <v>294</v>
      </c>
      <c r="K1575" t="s">
        <v>19</v>
      </c>
      <c r="L1575" t="str">
        <f>_xlfn.XLOOKUP(C1575, Table2[Species],Table2[Genus], "Code Not Found")</f>
        <v>Acer</v>
      </c>
      <c r="M1575" t="str">
        <f>_xlfn.XLOOKUP(C1575, Table2[Species],Table2[Sp. Name], "Code Not Found")</f>
        <v>saccharum</v>
      </c>
      <c r="N1575" t="str">
        <f>_xlfn.XLOOKUP(C1575,Table2[Species],Table2[Family],"Code Not Found")</f>
        <v>Sapindaceae</v>
      </c>
      <c r="O1575" t="str" cm="1">
        <f t="array" ref="O1575">_xlfn.IFS(F1575="","",F1575&lt;=5,"0 to 5",F1575&lt;=10,"5.1 to 10",F1575&lt;=20,"10 to 20", F1575&lt;= 40, "20 to 40", F1575 &lt;= 50, "40 to 50", F1575 &gt; 50, "&gt;50" )</f>
        <v>0 to 5</v>
      </c>
    </row>
    <row r="1576" spans="1:15" ht="14.4" x14ac:dyDescent="0.3">
      <c r="A1576" t="s">
        <v>293</v>
      </c>
      <c r="B1576" s="1">
        <v>46199</v>
      </c>
      <c r="C1576" t="s">
        <v>16</v>
      </c>
      <c r="D1576">
        <v>1441</v>
      </c>
      <c r="E1576">
        <v>1</v>
      </c>
      <c r="F1576">
        <v>1.7</v>
      </c>
      <c r="G1576" t="s">
        <v>30</v>
      </c>
      <c r="H1576" t="s">
        <v>100</v>
      </c>
      <c r="I1576" t="str">
        <f t="shared" si="29"/>
        <v>1441_1</v>
      </c>
      <c r="J1576" t="s">
        <v>294</v>
      </c>
      <c r="K1576" t="s">
        <v>19</v>
      </c>
      <c r="L1576" t="str">
        <f>_xlfn.XLOOKUP(C1576, Table2[Species],Table2[Genus], "Code Not Found")</f>
        <v>Acer</v>
      </c>
      <c r="M1576" t="str">
        <f>_xlfn.XLOOKUP(C1576, Table2[Species],Table2[Sp. Name], "Code Not Found")</f>
        <v>saccharum</v>
      </c>
      <c r="N1576" t="str">
        <f>_xlfn.XLOOKUP(C1576,Table2[Species],Table2[Family],"Code Not Found")</f>
        <v>Sapindaceae</v>
      </c>
      <c r="O1576" t="str" cm="1">
        <f t="array" ref="O1576">_xlfn.IFS(F1576="","",F1576&lt;=5,"0 to 5",F1576&lt;=10,"5.1 to 10",F1576&lt;=20,"10 to 20", F1576&lt;= 40, "20 to 40", F1576 &lt;= 50, "40 to 50", F1576 &gt; 50, "&gt;50" )</f>
        <v>0 to 5</v>
      </c>
    </row>
    <row r="1577" spans="1:15" ht="14.4" x14ac:dyDescent="0.3">
      <c r="A1577" t="s">
        <v>293</v>
      </c>
      <c r="B1577" s="1">
        <v>46199</v>
      </c>
      <c r="C1577" t="s">
        <v>16</v>
      </c>
      <c r="D1577">
        <v>1442</v>
      </c>
      <c r="E1577">
        <v>1</v>
      </c>
      <c r="F1577">
        <v>2.6</v>
      </c>
      <c r="G1577" t="s">
        <v>21</v>
      </c>
      <c r="I1577" t="str">
        <f t="shared" si="29"/>
        <v>1442_1</v>
      </c>
      <c r="J1577" t="s">
        <v>294</v>
      </c>
      <c r="K1577" t="s">
        <v>19</v>
      </c>
      <c r="L1577" t="str">
        <f>_xlfn.XLOOKUP(C1577, Table2[Species],Table2[Genus], "Code Not Found")</f>
        <v>Acer</v>
      </c>
      <c r="M1577" t="str">
        <f>_xlfn.XLOOKUP(C1577, Table2[Species],Table2[Sp. Name], "Code Not Found")</f>
        <v>saccharum</v>
      </c>
      <c r="N1577" t="str">
        <f>_xlfn.XLOOKUP(C1577,Table2[Species],Table2[Family],"Code Not Found")</f>
        <v>Sapindaceae</v>
      </c>
      <c r="O1577" t="str" cm="1">
        <f t="array" ref="O1577">_xlfn.IFS(F1577="","",F1577&lt;=5,"0 to 5",F1577&lt;=10,"5.1 to 10",F1577&lt;=20,"10 to 20", F1577&lt;= 40, "20 to 40", F1577 &lt;= 50, "40 to 50", F1577 &gt; 50, "&gt;50" )</f>
        <v>0 to 5</v>
      </c>
    </row>
    <row r="1578" spans="1:15" ht="14.4" x14ac:dyDescent="0.3">
      <c r="A1578" t="s">
        <v>293</v>
      </c>
      <c r="B1578" s="1">
        <v>46199</v>
      </c>
      <c r="C1578" t="s">
        <v>16</v>
      </c>
      <c r="D1578">
        <v>1443</v>
      </c>
      <c r="E1578">
        <v>1</v>
      </c>
      <c r="F1578">
        <v>5.9</v>
      </c>
      <c r="G1578" t="s">
        <v>17</v>
      </c>
      <c r="I1578" t="str">
        <f t="shared" si="29"/>
        <v>1443_1</v>
      </c>
      <c r="J1578" t="s">
        <v>294</v>
      </c>
      <c r="K1578" t="s">
        <v>19</v>
      </c>
      <c r="L1578" t="str">
        <f>_xlfn.XLOOKUP(C1578, Table2[Species],Table2[Genus], "Code Not Found")</f>
        <v>Acer</v>
      </c>
      <c r="M1578" t="str">
        <f>_xlfn.XLOOKUP(C1578, Table2[Species],Table2[Sp. Name], "Code Not Found")</f>
        <v>saccharum</v>
      </c>
      <c r="N1578" t="str">
        <f>_xlfn.XLOOKUP(C1578,Table2[Species],Table2[Family],"Code Not Found")</f>
        <v>Sapindaceae</v>
      </c>
      <c r="O1578" t="str" cm="1">
        <f t="array" ref="O1578">_xlfn.IFS(F1578="","",F1578&lt;=5,"0 to 5",F1578&lt;=10,"5.1 to 10",F1578&lt;=20,"10 to 20", F1578&lt;= 40, "20 to 40", F1578 &lt;= 50, "40 to 50", F1578 &gt; 50, "&gt;50" )</f>
        <v>5.1 to 10</v>
      </c>
    </row>
    <row r="1579" spans="1:15" ht="14.4" x14ac:dyDescent="0.3">
      <c r="A1579" t="s">
        <v>293</v>
      </c>
      <c r="B1579" s="1">
        <v>46199</v>
      </c>
      <c r="C1579" t="s">
        <v>16</v>
      </c>
      <c r="D1579">
        <v>1444</v>
      </c>
      <c r="E1579">
        <v>1</v>
      </c>
      <c r="F1579">
        <v>1.3</v>
      </c>
      <c r="G1579" t="s">
        <v>17</v>
      </c>
      <c r="H1579" t="s">
        <v>332</v>
      </c>
      <c r="I1579" t="str">
        <f t="shared" si="29"/>
        <v>1444_1</v>
      </c>
      <c r="J1579" t="s">
        <v>294</v>
      </c>
      <c r="K1579" t="s">
        <v>19</v>
      </c>
      <c r="L1579" t="str">
        <f>_xlfn.XLOOKUP(C1579, Table2[Species],Table2[Genus], "Code Not Found")</f>
        <v>Acer</v>
      </c>
      <c r="M1579" t="str">
        <f>_xlfn.XLOOKUP(C1579, Table2[Species],Table2[Sp. Name], "Code Not Found")</f>
        <v>saccharum</v>
      </c>
      <c r="N1579" t="str">
        <f>_xlfn.XLOOKUP(C1579,Table2[Species],Table2[Family],"Code Not Found")</f>
        <v>Sapindaceae</v>
      </c>
      <c r="O1579" t="str" cm="1">
        <f t="array" ref="O1579">_xlfn.IFS(F1579="","",F1579&lt;=5,"0 to 5",F1579&lt;=10,"5.1 to 10",F1579&lt;=20,"10 to 20", F1579&lt;= 40, "20 to 40", F1579 &lt;= 50, "40 to 50", F1579 &gt; 50, "&gt;50" )</f>
        <v>0 to 5</v>
      </c>
    </row>
    <row r="1580" spans="1:15" ht="14.4" x14ac:dyDescent="0.3">
      <c r="A1580" t="s">
        <v>293</v>
      </c>
      <c r="B1580" s="1">
        <v>46199</v>
      </c>
      <c r="C1580" t="s">
        <v>16</v>
      </c>
      <c r="D1580">
        <v>1445</v>
      </c>
      <c r="E1580">
        <v>1</v>
      </c>
      <c r="F1580">
        <v>2.1</v>
      </c>
      <c r="G1580" t="s">
        <v>17</v>
      </c>
      <c r="H1580" t="s">
        <v>36</v>
      </c>
      <c r="I1580" t="str">
        <f t="shared" si="29"/>
        <v>1445_1</v>
      </c>
      <c r="J1580" t="s">
        <v>294</v>
      </c>
      <c r="K1580" t="s">
        <v>19</v>
      </c>
      <c r="L1580" t="str">
        <f>_xlfn.XLOOKUP(C1580, Table2[Species],Table2[Genus], "Code Not Found")</f>
        <v>Acer</v>
      </c>
      <c r="M1580" t="str">
        <f>_xlfn.XLOOKUP(C1580, Table2[Species],Table2[Sp. Name], "Code Not Found")</f>
        <v>saccharum</v>
      </c>
      <c r="N1580" t="str">
        <f>_xlfn.XLOOKUP(C1580,Table2[Species],Table2[Family],"Code Not Found")</f>
        <v>Sapindaceae</v>
      </c>
      <c r="O1580" t="str" cm="1">
        <f t="array" ref="O1580">_xlfn.IFS(F1580="","",F1580&lt;=5,"0 to 5",F1580&lt;=10,"5.1 to 10",F1580&lt;=20,"10 to 20", F1580&lt;= 40, "20 to 40", F1580 &lt;= 50, "40 to 50", F1580 &gt; 50, "&gt;50" )</f>
        <v>0 to 5</v>
      </c>
    </row>
    <row r="1581" spans="1:15" ht="14.4" x14ac:dyDescent="0.3">
      <c r="A1581" t="s">
        <v>293</v>
      </c>
      <c r="B1581" s="1">
        <v>46199</v>
      </c>
      <c r="C1581" t="s">
        <v>22</v>
      </c>
      <c r="D1581">
        <v>1446</v>
      </c>
      <c r="E1581">
        <v>1</v>
      </c>
      <c r="F1581">
        <v>23.5</v>
      </c>
      <c r="G1581" t="s">
        <v>17</v>
      </c>
      <c r="I1581" t="str">
        <f t="shared" si="29"/>
        <v>1446_1</v>
      </c>
      <c r="J1581" t="s">
        <v>294</v>
      </c>
      <c r="K1581" t="s">
        <v>19</v>
      </c>
      <c r="L1581" t="str">
        <f>_xlfn.XLOOKUP(C1581, Table2[Species],Table2[Genus], "Code Not Found")</f>
        <v>Acer</v>
      </c>
      <c r="M1581" t="str">
        <f>_xlfn.XLOOKUP(C1581, Table2[Species],Table2[Sp. Name], "Code Not Found")</f>
        <v>rubrum</v>
      </c>
      <c r="N1581" t="str">
        <f>_xlfn.XLOOKUP(C1581,Table2[Species],Table2[Family],"Code Not Found")</f>
        <v>Sapindaceae</v>
      </c>
      <c r="O1581" t="str" cm="1">
        <f t="array" ref="O1581">_xlfn.IFS(F1581="","",F1581&lt;=5,"0 to 5",F1581&lt;=10,"5.1 to 10",F1581&lt;=20,"10 to 20", F1581&lt;= 40, "20 to 40", F1581 &lt;= 50, "40 to 50", F1581 &gt; 50, "&gt;50" )</f>
        <v>20 to 40</v>
      </c>
    </row>
    <row r="1582" spans="1:15" ht="14.4" x14ac:dyDescent="0.3">
      <c r="A1582" t="s">
        <v>293</v>
      </c>
      <c r="B1582" s="1">
        <v>46199</v>
      </c>
      <c r="C1582" t="s">
        <v>16</v>
      </c>
      <c r="D1582">
        <v>1447</v>
      </c>
      <c r="E1582">
        <v>1</v>
      </c>
      <c r="F1582">
        <v>4</v>
      </c>
      <c r="G1582" t="s">
        <v>88</v>
      </c>
      <c r="H1582" t="s">
        <v>133</v>
      </c>
      <c r="I1582" t="str">
        <f t="shared" si="29"/>
        <v>1447_1</v>
      </c>
      <c r="J1582" t="s">
        <v>294</v>
      </c>
      <c r="K1582" t="s">
        <v>19</v>
      </c>
      <c r="L1582" t="str">
        <f>_xlfn.XLOOKUP(C1582, Table2[Species],Table2[Genus], "Code Not Found")</f>
        <v>Acer</v>
      </c>
      <c r="M1582" t="str">
        <f>_xlfn.XLOOKUP(C1582, Table2[Species],Table2[Sp. Name], "Code Not Found")</f>
        <v>saccharum</v>
      </c>
      <c r="N1582" t="str">
        <f>_xlfn.XLOOKUP(C1582,Table2[Species],Table2[Family],"Code Not Found")</f>
        <v>Sapindaceae</v>
      </c>
      <c r="O1582" t="str" cm="1">
        <f t="array" ref="O1582">_xlfn.IFS(F1582="","",F1582&lt;=5,"0 to 5",F1582&lt;=10,"5.1 to 10",F1582&lt;=20,"10 to 20", F1582&lt;= 40, "20 to 40", F1582 &lt;= 50, "40 to 50", F1582 &gt; 50, "&gt;50" )</f>
        <v>0 to 5</v>
      </c>
    </row>
    <row r="1583" spans="1:15" ht="14.4" x14ac:dyDescent="0.3">
      <c r="A1583" t="s">
        <v>293</v>
      </c>
      <c r="B1583" s="1">
        <v>46199</v>
      </c>
      <c r="C1583" t="s">
        <v>16</v>
      </c>
      <c r="D1583">
        <v>1448</v>
      </c>
      <c r="E1583">
        <v>1</v>
      </c>
      <c r="F1583">
        <v>6.4</v>
      </c>
      <c r="G1583" t="s">
        <v>88</v>
      </c>
      <c r="H1583" t="s">
        <v>333</v>
      </c>
      <c r="I1583" t="str">
        <f t="shared" si="29"/>
        <v>1448_1</v>
      </c>
      <c r="J1583" t="s">
        <v>294</v>
      </c>
      <c r="K1583" t="s">
        <v>19</v>
      </c>
      <c r="L1583" t="str">
        <f>_xlfn.XLOOKUP(C1583, Table2[Species],Table2[Genus], "Code Not Found")</f>
        <v>Acer</v>
      </c>
      <c r="M1583" t="str">
        <f>_xlfn.XLOOKUP(C1583, Table2[Species],Table2[Sp. Name], "Code Not Found")</f>
        <v>saccharum</v>
      </c>
      <c r="N1583" t="str">
        <f>_xlfn.XLOOKUP(C1583,Table2[Species],Table2[Family],"Code Not Found")</f>
        <v>Sapindaceae</v>
      </c>
      <c r="O1583" t="str" cm="1">
        <f t="array" ref="O1583">_xlfn.IFS(F1583="","",F1583&lt;=5,"0 to 5",F1583&lt;=10,"5.1 to 10",F1583&lt;=20,"10 to 20", F1583&lt;= 40, "20 to 40", F1583 &lt;= 50, "40 to 50", F1583 &gt; 50, "&gt;50" )</f>
        <v>5.1 to 10</v>
      </c>
    </row>
    <row r="1584" spans="1:15" ht="14.4" x14ac:dyDescent="0.3">
      <c r="A1584" t="s">
        <v>293</v>
      </c>
      <c r="B1584" s="1">
        <v>46199</v>
      </c>
      <c r="C1584" t="s">
        <v>16</v>
      </c>
      <c r="D1584">
        <v>1449</v>
      </c>
      <c r="E1584">
        <v>1</v>
      </c>
      <c r="F1584">
        <v>1.9</v>
      </c>
      <c r="G1584" t="s">
        <v>334</v>
      </c>
      <c r="H1584" t="s">
        <v>99</v>
      </c>
      <c r="I1584" t="str">
        <f t="shared" si="29"/>
        <v>1449_1</v>
      </c>
      <c r="J1584" t="s">
        <v>294</v>
      </c>
      <c r="K1584" t="s">
        <v>19</v>
      </c>
      <c r="L1584" t="str">
        <f>_xlfn.XLOOKUP(C1584, Table2[Species],Table2[Genus], "Code Not Found")</f>
        <v>Acer</v>
      </c>
      <c r="M1584" t="str">
        <f>_xlfn.XLOOKUP(C1584, Table2[Species],Table2[Sp. Name], "Code Not Found")</f>
        <v>saccharum</v>
      </c>
      <c r="N1584" t="str">
        <f>_xlfn.XLOOKUP(C1584,Table2[Species],Table2[Family],"Code Not Found")</f>
        <v>Sapindaceae</v>
      </c>
      <c r="O1584" t="str" cm="1">
        <f t="array" ref="O1584">_xlfn.IFS(F1584="","",F1584&lt;=5,"0 to 5",F1584&lt;=10,"5.1 to 10",F1584&lt;=20,"10 to 20", F1584&lt;= 40, "20 to 40", F1584 &lt;= 50, "40 to 50", F1584 &gt; 50, "&gt;50" )</f>
        <v>0 to 5</v>
      </c>
    </row>
    <row r="1585" spans="1:15" ht="14.4" x14ac:dyDescent="0.3">
      <c r="A1585" t="s">
        <v>293</v>
      </c>
      <c r="B1585" s="1">
        <v>46199</v>
      </c>
      <c r="C1585" t="s">
        <v>16</v>
      </c>
      <c r="D1585">
        <v>1450</v>
      </c>
      <c r="E1585">
        <v>1</v>
      </c>
      <c r="F1585">
        <v>14.1</v>
      </c>
      <c r="G1585" t="s">
        <v>17</v>
      </c>
      <c r="I1585" t="str">
        <f t="shared" si="29"/>
        <v>1450_1</v>
      </c>
      <c r="J1585" t="s">
        <v>294</v>
      </c>
      <c r="K1585" t="s">
        <v>19</v>
      </c>
      <c r="L1585" t="str">
        <f>_xlfn.XLOOKUP(C1585, Table2[Species],Table2[Genus], "Code Not Found")</f>
        <v>Acer</v>
      </c>
      <c r="M1585" t="str">
        <f>_xlfn.XLOOKUP(C1585, Table2[Species],Table2[Sp. Name], "Code Not Found")</f>
        <v>saccharum</v>
      </c>
      <c r="N1585" t="str">
        <f>_xlfn.XLOOKUP(C1585,Table2[Species],Table2[Family],"Code Not Found")</f>
        <v>Sapindaceae</v>
      </c>
      <c r="O1585" t="str" cm="1">
        <f t="array" ref="O1585">_xlfn.IFS(F1585="","",F1585&lt;=5,"0 to 5",F1585&lt;=10,"5.1 to 10",F1585&lt;=20,"10 to 20", F1585&lt;= 40, "20 to 40", F1585 &lt;= 50, "40 to 50", F1585 &gt; 50, "&gt;50" )</f>
        <v>10 to 20</v>
      </c>
    </row>
    <row r="1586" spans="1:15" ht="14.4" x14ac:dyDescent="0.3">
      <c r="A1586" t="s">
        <v>293</v>
      </c>
      <c r="B1586" s="1">
        <v>46199</v>
      </c>
      <c r="C1586" t="s">
        <v>16</v>
      </c>
      <c r="D1586">
        <v>1451</v>
      </c>
      <c r="E1586">
        <v>1</v>
      </c>
      <c r="F1586">
        <v>4.0999999999999996</v>
      </c>
      <c r="G1586" t="s">
        <v>51</v>
      </c>
      <c r="I1586" t="str">
        <f t="shared" si="29"/>
        <v>1451_1</v>
      </c>
      <c r="J1586" t="s">
        <v>294</v>
      </c>
      <c r="K1586" t="s">
        <v>19</v>
      </c>
      <c r="L1586" t="str">
        <f>_xlfn.XLOOKUP(C1586, Table2[Species],Table2[Genus], "Code Not Found")</f>
        <v>Acer</v>
      </c>
      <c r="M1586" t="str">
        <f>_xlfn.XLOOKUP(C1586, Table2[Species],Table2[Sp. Name], "Code Not Found")</f>
        <v>saccharum</v>
      </c>
      <c r="N1586" t="str">
        <f>_xlfn.XLOOKUP(C1586,Table2[Species],Table2[Family],"Code Not Found")</f>
        <v>Sapindaceae</v>
      </c>
      <c r="O1586" t="str" cm="1">
        <f t="array" ref="O1586">_xlfn.IFS(F1586="","",F1586&lt;=5,"0 to 5",F1586&lt;=10,"5.1 to 10",F1586&lt;=20,"10 to 20", F1586&lt;= 40, "20 to 40", F1586 &lt;= 50, "40 to 50", F1586 &gt; 50, "&gt;50" )</f>
        <v>0 to 5</v>
      </c>
    </row>
    <row r="1587" spans="1:15" ht="14.4" x14ac:dyDescent="0.3">
      <c r="A1587" t="s">
        <v>293</v>
      </c>
      <c r="B1587" s="1">
        <v>46199</v>
      </c>
      <c r="C1587" t="s">
        <v>16</v>
      </c>
      <c r="D1587">
        <v>1452</v>
      </c>
      <c r="E1587">
        <v>1</v>
      </c>
      <c r="F1587">
        <v>3.4</v>
      </c>
      <c r="G1587" t="s">
        <v>30</v>
      </c>
      <c r="H1587" t="s">
        <v>99</v>
      </c>
      <c r="I1587" t="str">
        <f t="shared" si="29"/>
        <v>1452_1</v>
      </c>
      <c r="J1587" t="s">
        <v>294</v>
      </c>
      <c r="K1587" t="s">
        <v>19</v>
      </c>
      <c r="L1587" t="str">
        <f>_xlfn.XLOOKUP(C1587, Table2[Species],Table2[Genus], "Code Not Found")</f>
        <v>Acer</v>
      </c>
      <c r="M1587" t="str">
        <f>_xlfn.XLOOKUP(C1587, Table2[Species],Table2[Sp. Name], "Code Not Found")</f>
        <v>saccharum</v>
      </c>
      <c r="N1587" t="str">
        <f>_xlfn.XLOOKUP(C1587,Table2[Species],Table2[Family],"Code Not Found")</f>
        <v>Sapindaceae</v>
      </c>
      <c r="O1587" t="str" cm="1">
        <f t="array" ref="O1587">_xlfn.IFS(F1587="","",F1587&lt;=5,"0 to 5",F1587&lt;=10,"5.1 to 10",F1587&lt;=20,"10 to 20", F1587&lt;= 40, "20 to 40", F1587 &lt;= 50, "40 to 50", F1587 &gt; 50, "&gt;50" )</f>
        <v>0 to 5</v>
      </c>
    </row>
    <row r="1588" spans="1:15" ht="14.4" x14ac:dyDescent="0.3">
      <c r="A1588" t="s">
        <v>293</v>
      </c>
      <c r="B1588" s="1">
        <v>46199</v>
      </c>
      <c r="C1588" t="s">
        <v>16</v>
      </c>
      <c r="D1588">
        <v>1453</v>
      </c>
      <c r="E1588">
        <v>1</v>
      </c>
      <c r="F1588">
        <v>8.1</v>
      </c>
      <c r="G1588" t="s">
        <v>47</v>
      </c>
      <c r="H1588" t="s">
        <v>296</v>
      </c>
      <c r="I1588" t="str">
        <f t="shared" si="29"/>
        <v>1453_1</v>
      </c>
      <c r="J1588" t="s">
        <v>294</v>
      </c>
      <c r="K1588" t="s">
        <v>19</v>
      </c>
      <c r="L1588" t="str">
        <f>_xlfn.XLOOKUP(C1588, Table2[Species],Table2[Genus], "Code Not Found")</f>
        <v>Acer</v>
      </c>
      <c r="M1588" t="str">
        <f>_xlfn.XLOOKUP(C1588, Table2[Species],Table2[Sp. Name], "Code Not Found")</f>
        <v>saccharum</v>
      </c>
      <c r="N1588" t="str">
        <f>_xlfn.XLOOKUP(C1588,Table2[Species],Table2[Family],"Code Not Found")</f>
        <v>Sapindaceae</v>
      </c>
      <c r="O1588" t="str" cm="1">
        <f t="array" ref="O1588">_xlfn.IFS(F1588="","",F1588&lt;=5,"0 to 5",F1588&lt;=10,"5.1 to 10",F1588&lt;=20,"10 to 20", F1588&lt;= 40, "20 to 40", F1588 &lt;= 50, "40 to 50", F1588 &gt; 50, "&gt;50" )</f>
        <v>5.1 to 10</v>
      </c>
    </row>
    <row r="1589" spans="1:15" ht="14.4" x14ac:dyDescent="0.3">
      <c r="A1589" t="s">
        <v>293</v>
      </c>
      <c r="B1589" s="1">
        <v>46199</v>
      </c>
      <c r="C1589" t="s">
        <v>16</v>
      </c>
      <c r="D1589">
        <v>1454</v>
      </c>
      <c r="E1589">
        <v>1</v>
      </c>
      <c r="F1589">
        <v>1.7</v>
      </c>
      <c r="G1589" t="s">
        <v>32</v>
      </c>
      <c r="I1589" t="str">
        <f t="shared" si="29"/>
        <v>1454_1</v>
      </c>
      <c r="J1589" t="s">
        <v>294</v>
      </c>
      <c r="K1589" t="s">
        <v>19</v>
      </c>
      <c r="L1589" t="str">
        <f>_xlfn.XLOOKUP(C1589, Table2[Species],Table2[Genus], "Code Not Found")</f>
        <v>Acer</v>
      </c>
      <c r="M1589" t="str">
        <f>_xlfn.XLOOKUP(C1589, Table2[Species],Table2[Sp. Name], "Code Not Found")</f>
        <v>saccharum</v>
      </c>
      <c r="N1589" t="str">
        <f>_xlfn.XLOOKUP(C1589,Table2[Species],Table2[Family],"Code Not Found")</f>
        <v>Sapindaceae</v>
      </c>
      <c r="O1589" t="str" cm="1">
        <f t="array" ref="O1589">_xlfn.IFS(F1589="","",F1589&lt;=5,"0 to 5",F1589&lt;=10,"5.1 to 10",F1589&lt;=20,"10 to 20", F1589&lt;= 40, "20 to 40", F1589 &lt;= 50, "40 to 50", F1589 &gt; 50, "&gt;50" )</f>
        <v>0 to 5</v>
      </c>
    </row>
    <row r="1590" spans="1:15" ht="14.4" x14ac:dyDescent="0.3">
      <c r="A1590" t="s">
        <v>293</v>
      </c>
      <c r="B1590" s="1">
        <v>46199</v>
      </c>
      <c r="C1590" t="s">
        <v>16</v>
      </c>
      <c r="D1590">
        <v>1454</v>
      </c>
      <c r="E1590">
        <v>2</v>
      </c>
      <c r="F1590">
        <v>1.1000000000000001</v>
      </c>
      <c r="G1590" t="s">
        <v>32</v>
      </c>
      <c r="I1590" t="str">
        <f t="shared" si="29"/>
        <v>1454_2</v>
      </c>
      <c r="J1590" t="s">
        <v>294</v>
      </c>
      <c r="K1590" t="s">
        <v>19</v>
      </c>
      <c r="L1590" t="str">
        <f>_xlfn.XLOOKUP(C1590, Table2[Species],Table2[Genus], "Code Not Found")</f>
        <v>Acer</v>
      </c>
      <c r="M1590" t="str">
        <f>_xlfn.XLOOKUP(C1590, Table2[Species],Table2[Sp. Name], "Code Not Found")</f>
        <v>saccharum</v>
      </c>
      <c r="N1590" t="str">
        <f>_xlfn.XLOOKUP(C1590,Table2[Species],Table2[Family],"Code Not Found")</f>
        <v>Sapindaceae</v>
      </c>
      <c r="O1590" t="str" cm="1">
        <f t="array" ref="O1590">_xlfn.IFS(F1590="","",F1590&lt;=5,"0 to 5",F1590&lt;=10,"5.1 to 10",F1590&lt;=20,"10 to 20", F1590&lt;= 40, "20 to 40", F1590 &lt;= 50, "40 to 50", F1590 &gt; 50, "&gt;50" )</f>
        <v>0 to 5</v>
      </c>
    </row>
    <row r="1591" spans="1:15" ht="14.4" x14ac:dyDescent="0.3">
      <c r="A1591" t="s">
        <v>293</v>
      </c>
      <c r="B1591" s="1">
        <v>46199</v>
      </c>
      <c r="C1591" t="s">
        <v>24</v>
      </c>
      <c r="D1591">
        <v>1455</v>
      </c>
      <c r="E1591">
        <v>1</v>
      </c>
      <c r="F1591">
        <v>82</v>
      </c>
      <c r="G1591" t="s">
        <v>21</v>
      </c>
      <c r="I1591" t="str">
        <f t="shared" ref="I1591:I1624" si="30">D1591&amp;"_"&amp;E1591</f>
        <v>1455_1</v>
      </c>
      <c r="J1591" t="s">
        <v>294</v>
      </c>
      <c r="K1591" t="s">
        <v>19</v>
      </c>
      <c r="L1591" t="str">
        <f>_xlfn.XLOOKUP(C1591, Table2[Species],Table2[Genus], "Code Not Found")</f>
        <v>Lirodendron</v>
      </c>
      <c r="M1591" t="str">
        <f>_xlfn.XLOOKUP(C1591, Table2[Species],Table2[Sp. Name], "Code Not Found")</f>
        <v>tulipfera</v>
      </c>
      <c r="N1591" t="str">
        <f>_xlfn.XLOOKUP(C1591,Table2[Species],Table2[Family],"Code Not Found")</f>
        <v>Magnoliaceae</v>
      </c>
      <c r="O1591" t="str" cm="1">
        <f t="array" ref="O1591">_xlfn.IFS(F1591="","",F1591&lt;=5,"0 to 5",F1591&lt;=10,"5.1 to 10",F1591&lt;=20,"10 to 20", F1591&lt;= 40, "20 to 40", F1591 &lt;= 50, "40 to 50", F1591 &gt; 50, "&gt;50" )</f>
        <v>&gt;50</v>
      </c>
    </row>
    <row r="1592" spans="1:15" ht="14.4" x14ac:dyDescent="0.3">
      <c r="A1592" t="s">
        <v>293</v>
      </c>
      <c r="B1592" s="1">
        <v>46199</v>
      </c>
      <c r="C1592" t="s">
        <v>16</v>
      </c>
      <c r="D1592">
        <v>1456</v>
      </c>
      <c r="E1592">
        <v>1</v>
      </c>
      <c r="F1592">
        <v>3.1</v>
      </c>
      <c r="G1592" t="s">
        <v>211</v>
      </c>
      <c r="I1592" t="str">
        <f t="shared" si="30"/>
        <v>1456_1</v>
      </c>
      <c r="J1592" t="s">
        <v>294</v>
      </c>
      <c r="K1592" t="s">
        <v>19</v>
      </c>
      <c r="L1592" t="str">
        <f>_xlfn.XLOOKUP(C1592, Table2[Species],Table2[Genus], "Code Not Found")</f>
        <v>Acer</v>
      </c>
      <c r="M1592" t="str">
        <f>_xlfn.XLOOKUP(C1592, Table2[Species],Table2[Sp. Name], "Code Not Found")</f>
        <v>saccharum</v>
      </c>
      <c r="N1592" t="str">
        <f>_xlfn.XLOOKUP(C1592,Table2[Species],Table2[Family],"Code Not Found")</f>
        <v>Sapindaceae</v>
      </c>
      <c r="O1592" t="str" cm="1">
        <f t="array" ref="O1592">_xlfn.IFS(F1592="","",F1592&lt;=5,"0 to 5",F1592&lt;=10,"5.1 to 10",F1592&lt;=20,"10 to 20", F1592&lt;= 40, "20 to 40", F1592 &lt;= 50, "40 to 50", F1592 &gt; 50, "&gt;50" )</f>
        <v>0 to 5</v>
      </c>
    </row>
    <row r="1593" spans="1:15" ht="14.4" x14ac:dyDescent="0.3">
      <c r="A1593" t="s">
        <v>293</v>
      </c>
      <c r="B1593" s="1">
        <v>46199</v>
      </c>
      <c r="C1593" t="s">
        <v>22</v>
      </c>
      <c r="D1593">
        <v>1457</v>
      </c>
      <c r="E1593">
        <v>1</v>
      </c>
      <c r="F1593">
        <v>4.3</v>
      </c>
      <c r="G1593" t="s">
        <v>21</v>
      </c>
      <c r="I1593" t="str">
        <f t="shared" si="30"/>
        <v>1457_1</v>
      </c>
      <c r="J1593" t="s">
        <v>294</v>
      </c>
      <c r="K1593" t="s">
        <v>19</v>
      </c>
      <c r="L1593" t="str">
        <f>_xlfn.XLOOKUP(C1593, Table2[Species],Table2[Genus], "Code Not Found")</f>
        <v>Acer</v>
      </c>
      <c r="M1593" t="str">
        <f>_xlfn.XLOOKUP(C1593, Table2[Species],Table2[Sp. Name], "Code Not Found")</f>
        <v>rubrum</v>
      </c>
      <c r="N1593" t="str">
        <f>_xlfn.XLOOKUP(C1593,Table2[Species],Table2[Family],"Code Not Found")</f>
        <v>Sapindaceae</v>
      </c>
      <c r="O1593" t="str" cm="1">
        <f t="array" ref="O1593">_xlfn.IFS(F1593="","",F1593&lt;=5,"0 to 5",F1593&lt;=10,"5.1 to 10",F1593&lt;=20,"10 to 20", F1593&lt;= 40, "20 to 40", F1593 &lt;= 50, "40 to 50", F1593 &gt; 50, "&gt;50" )</f>
        <v>0 to 5</v>
      </c>
    </row>
    <row r="1594" spans="1:15" ht="14.4" x14ac:dyDescent="0.3">
      <c r="A1594" t="s">
        <v>293</v>
      </c>
      <c r="B1594" s="1">
        <v>46199</v>
      </c>
      <c r="C1594" t="s">
        <v>22</v>
      </c>
      <c r="D1594">
        <v>1458</v>
      </c>
      <c r="E1594">
        <v>1</v>
      </c>
      <c r="F1594">
        <v>2.6</v>
      </c>
      <c r="G1594" t="s">
        <v>17</v>
      </c>
      <c r="I1594" t="str">
        <f t="shared" si="30"/>
        <v>1458_1</v>
      </c>
      <c r="J1594" t="s">
        <v>294</v>
      </c>
      <c r="K1594" t="s">
        <v>19</v>
      </c>
      <c r="L1594" t="str">
        <f>_xlfn.XLOOKUP(C1594, Table2[Species],Table2[Genus], "Code Not Found")</f>
        <v>Acer</v>
      </c>
      <c r="M1594" t="str">
        <f>_xlfn.XLOOKUP(C1594, Table2[Species],Table2[Sp. Name], "Code Not Found")</f>
        <v>rubrum</v>
      </c>
      <c r="N1594" t="str">
        <f>_xlfn.XLOOKUP(C1594,Table2[Species],Table2[Family],"Code Not Found")</f>
        <v>Sapindaceae</v>
      </c>
      <c r="O1594" t="str" cm="1">
        <f t="array" ref="O1594">_xlfn.IFS(F1594="","",F1594&lt;=5,"0 to 5",F1594&lt;=10,"5.1 to 10",F1594&lt;=20,"10 to 20", F1594&lt;= 40, "20 to 40", F1594 &lt;= 50, "40 to 50", F1594 &gt; 50, "&gt;50" )</f>
        <v>0 to 5</v>
      </c>
    </row>
    <row r="1595" spans="1:15" ht="14.4" x14ac:dyDescent="0.3">
      <c r="A1595" t="s">
        <v>293</v>
      </c>
      <c r="B1595" s="1">
        <v>46199</v>
      </c>
      <c r="C1595" t="s">
        <v>64</v>
      </c>
      <c r="D1595">
        <v>1459</v>
      </c>
      <c r="E1595">
        <v>1</v>
      </c>
      <c r="F1595">
        <v>1.3</v>
      </c>
      <c r="G1595" t="s">
        <v>21</v>
      </c>
      <c r="H1595" t="s">
        <v>215</v>
      </c>
      <c r="I1595" t="str">
        <f t="shared" si="30"/>
        <v>1459_1</v>
      </c>
      <c r="J1595" t="s">
        <v>294</v>
      </c>
      <c r="K1595" t="s">
        <v>19</v>
      </c>
      <c r="L1595" t="str">
        <f>_xlfn.XLOOKUP(C1595, Table2[Species],Table2[Genus], "Code Not Found")</f>
        <v>Fagus</v>
      </c>
      <c r="M1595" t="str">
        <f>_xlfn.XLOOKUP(C1595, Table2[Species],Table2[Sp. Name], "Code Not Found")</f>
        <v>grandifolia</v>
      </c>
      <c r="N1595" t="str">
        <f>_xlfn.XLOOKUP(C1595,Table2[Species],Table2[Family],"Code Not Found")</f>
        <v>Fagaceae</v>
      </c>
      <c r="O1595" t="str" cm="1">
        <f t="array" ref="O1595">_xlfn.IFS(F1595="","",F1595&lt;=5,"0 to 5",F1595&lt;=10,"5.1 to 10",F1595&lt;=20,"10 to 20", F1595&lt;= 40, "20 to 40", F1595 &lt;= 50, "40 to 50", F1595 &gt; 50, "&gt;50" )</f>
        <v>0 to 5</v>
      </c>
    </row>
    <row r="1596" spans="1:15" ht="14.4" x14ac:dyDescent="0.3">
      <c r="A1596" t="s">
        <v>293</v>
      </c>
      <c r="B1596" s="1">
        <v>46199</v>
      </c>
      <c r="C1596" t="s">
        <v>16</v>
      </c>
      <c r="D1596">
        <v>1460</v>
      </c>
      <c r="E1596">
        <v>1</v>
      </c>
      <c r="F1596">
        <v>6.9</v>
      </c>
      <c r="G1596" t="s">
        <v>17</v>
      </c>
      <c r="I1596" t="str">
        <f t="shared" si="30"/>
        <v>1460_1</v>
      </c>
      <c r="J1596" t="s">
        <v>294</v>
      </c>
      <c r="K1596" t="s">
        <v>19</v>
      </c>
      <c r="L1596" t="str">
        <f>_xlfn.XLOOKUP(C1596, Table2[Species],Table2[Genus], "Code Not Found")</f>
        <v>Acer</v>
      </c>
      <c r="M1596" t="str">
        <f>_xlfn.XLOOKUP(C1596, Table2[Species],Table2[Sp. Name], "Code Not Found")</f>
        <v>saccharum</v>
      </c>
      <c r="N1596" t="str">
        <f>_xlfn.XLOOKUP(C1596,Table2[Species],Table2[Family],"Code Not Found")</f>
        <v>Sapindaceae</v>
      </c>
      <c r="O1596" t="str" cm="1">
        <f t="array" ref="O1596">_xlfn.IFS(F1596="","",F1596&lt;=5,"0 to 5",F1596&lt;=10,"5.1 to 10",F1596&lt;=20,"10 to 20", F1596&lt;= 40, "20 to 40", F1596 &lt;= 50, "40 to 50", F1596 &gt; 50, "&gt;50" )</f>
        <v>5.1 to 10</v>
      </c>
    </row>
    <row r="1597" spans="1:15" ht="14.4" x14ac:dyDescent="0.3">
      <c r="A1597" t="s">
        <v>293</v>
      </c>
      <c r="B1597" s="1">
        <v>46199</v>
      </c>
      <c r="C1597" t="s">
        <v>16</v>
      </c>
      <c r="D1597">
        <v>1461</v>
      </c>
      <c r="E1597">
        <v>1</v>
      </c>
      <c r="F1597">
        <v>5.7</v>
      </c>
      <c r="G1597" t="s">
        <v>21</v>
      </c>
      <c r="I1597" t="str">
        <f t="shared" si="30"/>
        <v>1461_1</v>
      </c>
      <c r="J1597" t="s">
        <v>294</v>
      </c>
      <c r="K1597" t="s">
        <v>19</v>
      </c>
      <c r="L1597" t="str">
        <f>_xlfn.XLOOKUP(C1597, Table2[Species],Table2[Genus], "Code Not Found")</f>
        <v>Acer</v>
      </c>
      <c r="M1597" t="str">
        <f>_xlfn.XLOOKUP(C1597, Table2[Species],Table2[Sp. Name], "Code Not Found")</f>
        <v>saccharum</v>
      </c>
      <c r="N1597" t="str">
        <f>_xlfn.XLOOKUP(C1597,Table2[Species],Table2[Family],"Code Not Found")</f>
        <v>Sapindaceae</v>
      </c>
      <c r="O1597" t="str" cm="1">
        <f t="array" ref="O1597">_xlfn.IFS(F1597="","",F1597&lt;=5,"0 to 5",F1597&lt;=10,"5.1 to 10",F1597&lt;=20,"10 to 20", F1597&lt;= 40, "20 to 40", F1597 &lt;= 50, "40 to 50", F1597 &gt; 50, "&gt;50" )</f>
        <v>5.1 to 10</v>
      </c>
    </row>
    <row r="1598" spans="1:15" ht="14.4" x14ac:dyDescent="0.3">
      <c r="A1598" t="s">
        <v>293</v>
      </c>
      <c r="B1598" s="1">
        <v>46199</v>
      </c>
      <c r="C1598" t="s">
        <v>22</v>
      </c>
      <c r="D1598">
        <v>1462</v>
      </c>
      <c r="E1598">
        <v>1</v>
      </c>
      <c r="F1598">
        <v>49</v>
      </c>
      <c r="G1598" t="s">
        <v>21</v>
      </c>
      <c r="I1598" t="str">
        <f t="shared" si="30"/>
        <v>1462_1</v>
      </c>
      <c r="J1598" t="s">
        <v>294</v>
      </c>
      <c r="K1598" t="s">
        <v>19</v>
      </c>
      <c r="L1598" t="str">
        <f>_xlfn.XLOOKUP(C1598, Table2[Species],Table2[Genus], "Code Not Found")</f>
        <v>Acer</v>
      </c>
      <c r="M1598" t="str">
        <f>_xlfn.XLOOKUP(C1598, Table2[Species],Table2[Sp. Name], "Code Not Found")</f>
        <v>rubrum</v>
      </c>
      <c r="N1598" t="str">
        <f>_xlfn.XLOOKUP(C1598,Table2[Species],Table2[Family],"Code Not Found")</f>
        <v>Sapindaceae</v>
      </c>
      <c r="O1598" t="str" cm="1">
        <f t="array" ref="O1598">_xlfn.IFS(F1598="","",F1598&lt;=5,"0 to 5",F1598&lt;=10,"5.1 to 10",F1598&lt;=20,"10 to 20", F1598&lt;= 40, "20 to 40", F1598 &lt;= 50, "40 to 50", F1598 &gt; 50, "&gt;50" )</f>
        <v>40 to 50</v>
      </c>
    </row>
    <row r="1599" spans="1:15" ht="14.4" x14ac:dyDescent="0.3">
      <c r="A1599" t="s">
        <v>293</v>
      </c>
      <c r="B1599" s="1">
        <v>46199</v>
      </c>
      <c r="C1599" t="s">
        <v>16</v>
      </c>
      <c r="D1599">
        <v>1463</v>
      </c>
      <c r="E1599">
        <v>1</v>
      </c>
      <c r="F1599">
        <v>1.9</v>
      </c>
      <c r="G1599" t="s">
        <v>47</v>
      </c>
      <c r="H1599" t="s">
        <v>296</v>
      </c>
      <c r="I1599" t="str">
        <f t="shared" si="30"/>
        <v>1463_1</v>
      </c>
      <c r="J1599" t="s">
        <v>294</v>
      </c>
      <c r="K1599" t="s">
        <v>19</v>
      </c>
      <c r="L1599" t="str">
        <f>_xlfn.XLOOKUP(C1599, Table2[Species],Table2[Genus], "Code Not Found")</f>
        <v>Acer</v>
      </c>
      <c r="M1599" t="str">
        <f>_xlfn.XLOOKUP(C1599, Table2[Species],Table2[Sp. Name], "Code Not Found")</f>
        <v>saccharum</v>
      </c>
      <c r="N1599" t="str">
        <f>_xlfn.XLOOKUP(C1599,Table2[Species],Table2[Family],"Code Not Found")</f>
        <v>Sapindaceae</v>
      </c>
      <c r="O1599" t="str" cm="1">
        <f t="array" ref="O1599">_xlfn.IFS(F1599="","",F1599&lt;=5,"0 to 5",F1599&lt;=10,"5.1 to 10",F1599&lt;=20,"10 to 20", F1599&lt;= 40, "20 to 40", F1599 &lt;= 50, "40 to 50", F1599 &gt; 50, "&gt;50" )</f>
        <v>0 to 5</v>
      </c>
    </row>
    <row r="1600" spans="1:15" ht="14.4" x14ac:dyDescent="0.3">
      <c r="A1600" t="s">
        <v>293</v>
      </c>
      <c r="B1600" s="1">
        <v>46199</v>
      </c>
      <c r="C1600" t="s">
        <v>64</v>
      </c>
      <c r="D1600">
        <v>1464</v>
      </c>
      <c r="E1600">
        <v>1</v>
      </c>
      <c r="F1600">
        <v>3.3</v>
      </c>
      <c r="G1600" t="s">
        <v>88</v>
      </c>
      <c r="H1600" t="s">
        <v>335</v>
      </c>
      <c r="I1600" t="str">
        <f t="shared" si="30"/>
        <v>1464_1</v>
      </c>
      <c r="J1600" t="s">
        <v>294</v>
      </c>
      <c r="K1600" t="s">
        <v>19</v>
      </c>
      <c r="L1600" t="str">
        <f>_xlfn.XLOOKUP(C1600, Table2[Species],Table2[Genus], "Code Not Found")</f>
        <v>Fagus</v>
      </c>
      <c r="M1600" t="str">
        <f>_xlfn.XLOOKUP(C1600, Table2[Species],Table2[Sp. Name], "Code Not Found")</f>
        <v>grandifolia</v>
      </c>
      <c r="N1600" t="str">
        <f>_xlfn.XLOOKUP(C1600,Table2[Species],Table2[Family],"Code Not Found")</f>
        <v>Fagaceae</v>
      </c>
      <c r="O1600" t="str" cm="1">
        <f t="array" ref="O1600">_xlfn.IFS(F1600="","",F1600&lt;=5,"0 to 5",F1600&lt;=10,"5.1 to 10",F1600&lt;=20,"10 to 20", F1600&lt;= 40, "20 to 40", F1600 &lt;= 50, "40 to 50", F1600 &gt; 50, "&gt;50" )</f>
        <v>0 to 5</v>
      </c>
    </row>
    <row r="1601" spans="1:15" ht="14.4" x14ac:dyDescent="0.3">
      <c r="A1601" t="s">
        <v>293</v>
      </c>
      <c r="B1601" s="1">
        <v>46199</v>
      </c>
      <c r="C1601" t="s">
        <v>16</v>
      </c>
      <c r="D1601">
        <v>1465</v>
      </c>
      <c r="E1601">
        <v>1</v>
      </c>
      <c r="F1601">
        <v>2.6</v>
      </c>
      <c r="G1601" t="s">
        <v>17</v>
      </c>
      <c r="H1601" t="s">
        <v>36</v>
      </c>
      <c r="I1601" t="str">
        <f t="shared" si="30"/>
        <v>1465_1</v>
      </c>
      <c r="J1601" t="s">
        <v>294</v>
      </c>
      <c r="K1601" t="s">
        <v>19</v>
      </c>
      <c r="L1601" t="str">
        <f>_xlfn.XLOOKUP(C1601, Table2[Species],Table2[Genus], "Code Not Found")</f>
        <v>Acer</v>
      </c>
      <c r="M1601" t="str">
        <f>_xlfn.XLOOKUP(C1601, Table2[Species],Table2[Sp. Name], "Code Not Found")</f>
        <v>saccharum</v>
      </c>
      <c r="N1601" t="str">
        <f>_xlfn.XLOOKUP(C1601,Table2[Species],Table2[Family],"Code Not Found")</f>
        <v>Sapindaceae</v>
      </c>
      <c r="O1601" t="str" cm="1">
        <f t="array" ref="O1601">_xlfn.IFS(F1601="","",F1601&lt;=5,"0 to 5",F1601&lt;=10,"5.1 to 10",F1601&lt;=20,"10 to 20", F1601&lt;= 40, "20 to 40", F1601 &lt;= 50, "40 to 50", F1601 &gt; 50, "&gt;50" )</f>
        <v>0 to 5</v>
      </c>
    </row>
    <row r="1602" spans="1:15" ht="14.4" x14ac:dyDescent="0.3">
      <c r="A1602" t="s">
        <v>293</v>
      </c>
      <c r="B1602" s="1">
        <v>46199</v>
      </c>
      <c r="C1602" t="s">
        <v>22</v>
      </c>
      <c r="D1602">
        <v>1466</v>
      </c>
      <c r="E1602">
        <v>1</v>
      </c>
      <c r="F1602">
        <v>32.5</v>
      </c>
      <c r="G1602" t="s">
        <v>47</v>
      </c>
      <c r="I1602" t="str">
        <f t="shared" si="30"/>
        <v>1466_1</v>
      </c>
      <c r="J1602" t="s">
        <v>294</v>
      </c>
      <c r="K1602" t="s">
        <v>19</v>
      </c>
      <c r="L1602" t="str">
        <f>_xlfn.XLOOKUP(C1602, Table2[Species],Table2[Genus], "Code Not Found")</f>
        <v>Acer</v>
      </c>
      <c r="M1602" t="str">
        <f>_xlfn.XLOOKUP(C1602, Table2[Species],Table2[Sp. Name], "Code Not Found")</f>
        <v>rubrum</v>
      </c>
      <c r="N1602" t="str">
        <f>_xlfn.XLOOKUP(C1602,Table2[Species],Table2[Family],"Code Not Found")</f>
        <v>Sapindaceae</v>
      </c>
      <c r="O1602" t="str" cm="1">
        <f t="array" ref="O1602">_xlfn.IFS(F1602="","",F1602&lt;=5,"0 to 5",F1602&lt;=10,"5.1 to 10",F1602&lt;=20,"10 to 20", F1602&lt;= 40, "20 to 40", F1602 &lt;= 50, "40 to 50", F1602 &gt; 50, "&gt;50" )</f>
        <v>20 to 40</v>
      </c>
    </row>
    <row r="1603" spans="1:15" ht="14.4" x14ac:dyDescent="0.3">
      <c r="A1603" t="s">
        <v>293</v>
      </c>
      <c r="B1603" s="1">
        <v>46199</v>
      </c>
      <c r="C1603" t="s">
        <v>16</v>
      </c>
      <c r="D1603">
        <v>1467</v>
      </c>
      <c r="E1603">
        <v>1</v>
      </c>
      <c r="F1603">
        <v>2</v>
      </c>
      <c r="G1603" t="s">
        <v>17</v>
      </c>
      <c r="I1603" t="str">
        <f t="shared" si="30"/>
        <v>1467_1</v>
      </c>
      <c r="J1603" t="s">
        <v>294</v>
      </c>
      <c r="K1603" t="s">
        <v>19</v>
      </c>
      <c r="L1603" t="str">
        <f>_xlfn.XLOOKUP(C1603, Table2[Species],Table2[Genus], "Code Not Found")</f>
        <v>Acer</v>
      </c>
      <c r="M1603" t="str">
        <f>_xlfn.XLOOKUP(C1603, Table2[Species],Table2[Sp. Name], "Code Not Found")</f>
        <v>saccharum</v>
      </c>
      <c r="N1603" t="str">
        <f>_xlfn.XLOOKUP(C1603,Table2[Species],Table2[Family],"Code Not Found")</f>
        <v>Sapindaceae</v>
      </c>
      <c r="O1603" t="str" cm="1">
        <f t="array" ref="O1603">_xlfn.IFS(F1603="","",F1603&lt;=5,"0 to 5",F1603&lt;=10,"5.1 to 10",F1603&lt;=20,"10 to 20", F1603&lt;= 40, "20 to 40", F1603 &lt;= 50, "40 to 50", F1603 &gt; 50, "&gt;50" )</f>
        <v>0 to 5</v>
      </c>
    </row>
    <row r="1604" spans="1:15" ht="14.4" x14ac:dyDescent="0.3">
      <c r="A1604" t="s">
        <v>293</v>
      </c>
      <c r="B1604" s="1">
        <v>46199</v>
      </c>
      <c r="C1604" t="s">
        <v>16</v>
      </c>
      <c r="D1604">
        <v>1468</v>
      </c>
      <c r="E1604">
        <v>1</v>
      </c>
      <c r="F1604">
        <v>4</v>
      </c>
      <c r="G1604" t="s">
        <v>51</v>
      </c>
      <c r="H1604" t="s">
        <v>336</v>
      </c>
      <c r="I1604" t="str">
        <f t="shared" si="30"/>
        <v>1468_1</v>
      </c>
      <c r="J1604" t="s">
        <v>294</v>
      </c>
      <c r="K1604" t="s">
        <v>19</v>
      </c>
      <c r="L1604" t="str">
        <f>_xlfn.XLOOKUP(C1604, Table2[Species],Table2[Genus], "Code Not Found")</f>
        <v>Acer</v>
      </c>
      <c r="M1604" t="str">
        <f>_xlfn.XLOOKUP(C1604, Table2[Species],Table2[Sp. Name], "Code Not Found")</f>
        <v>saccharum</v>
      </c>
      <c r="N1604" t="str">
        <f>_xlfn.XLOOKUP(C1604,Table2[Species],Table2[Family],"Code Not Found")</f>
        <v>Sapindaceae</v>
      </c>
      <c r="O1604" t="str" cm="1">
        <f t="array" ref="O1604">_xlfn.IFS(F1604="","",F1604&lt;=5,"0 to 5",F1604&lt;=10,"5.1 to 10",F1604&lt;=20,"10 to 20", F1604&lt;= 40, "20 to 40", F1604 &lt;= 50, "40 to 50", F1604 &gt; 50, "&gt;50" )</f>
        <v>0 to 5</v>
      </c>
    </row>
    <row r="1605" spans="1:15" ht="14.4" x14ac:dyDescent="0.3">
      <c r="A1605" t="s">
        <v>293</v>
      </c>
      <c r="B1605" s="1">
        <v>46199</v>
      </c>
      <c r="C1605" t="s">
        <v>20</v>
      </c>
      <c r="D1605">
        <v>1469</v>
      </c>
      <c r="E1605">
        <v>1</v>
      </c>
      <c r="F1605">
        <v>7.3</v>
      </c>
      <c r="G1605" t="s">
        <v>139</v>
      </c>
      <c r="H1605" t="s">
        <v>337</v>
      </c>
      <c r="I1605" t="str">
        <f t="shared" si="30"/>
        <v>1469_1</v>
      </c>
      <c r="J1605" t="s">
        <v>294</v>
      </c>
      <c r="K1605" t="s">
        <v>19</v>
      </c>
      <c r="L1605" t="str">
        <f>_xlfn.XLOOKUP(C1605, Table2[Species],Table2[Genus], "Code Not Found")</f>
        <v>Prunus</v>
      </c>
      <c r="M1605" t="str">
        <f>_xlfn.XLOOKUP(C1605, Table2[Species],Table2[Sp. Name], "Code Not Found")</f>
        <v>serotina</v>
      </c>
      <c r="N1605" t="str">
        <f>_xlfn.XLOOKUP(C1605,Table2[Species],Table2[Family],"Code Not Found")</f>
        <v>Rosaceae</v>
      </c>
      <c r="O1605" t="str" cm="1">
        <f t="array" ref="O1605">_xlfn.IFS(F1605="","",F1605&lt;=5,"0 to 5",F1605&lt;=10,"5.1 to 10",F1605&lt;=20,"10 to 20", F1605&lt;= 40, "20 to 40", F1605 &lt;= 50, "40 to 50", F1605 &gt; 50, "&gt;50" )</f>
        <v>5.1 to 10</v>
      </c>
    </row>
    <row r="1606" spans="1:15" ht="14.4" x14ac:dyDescent="0.3">
      <c r="A1606" t="s">
        <v>293</v>
      </c>
      <c r="B1606" s="1">
        <v>46199</v>
      </c>
      <c r="C1606" t="s">
        <v>16</v>
      </c>
      <c r="D1606">
        <v>1470</v>
      </c>
      <c r="E1606">
        <v>1</v>
      </c>
      <c r="F1606">
        <v>5</v>
      </c>
      <c r="G1606" t="s">
        <v>21</v>
      </c>
      <c r="I1606" t="str">
        <f t="shared" si="30"/>
        <v>1470_1</v>
      </c>
      <c r="J1606" t="s">
        <v>294</v>
      </c>
      <c r="K1606" t="s">
        <v>19</v>
      </c>
      <c r="L1606" t="str">
        <f>_xlfn.XLOOKUP(C1606, Table2[Species],Table2[Genus], "Code Not Found")</f>
        <v>Acer</v>
      </c>
      <c r="M1606" t="str">
        <f>_xlfn.XLOOKUP(C1606, Table2[Species],Table2[Sp. Name], "Code Not Found")</f>
        <v>saccharum</v>
      </c>
      <c r="N1606" t="str">
        <f>_xlfn.XLOOKUP(C1606,Table2[Species],Table2[Family],"Code Not Found")</f>
        <v>Sapindaceae</v>
      </c>
      <c r="O1606" t="str" cm="1">
        <f t="array" ref="O1606">_xlfn.IFS(F1606="","",F1606&lt;=5,"0 to 5",F1606&lt;=10,"5.1 to 10",F1606&lt;=20,"10 to 20", F1606&lt;= 40, "20 to 40", F1606 &lt;= 50, "40 to 50", F1606 &gt; 50, "&gt;50" )</f>
        <v>0 to 5</v>
      </c>
    </row>
    <row r="1607" spans="1:15" ht="14.4" x14ac:dyDescent="0.3">
      <c r="A1607" t="s">
        <v>293</v>
      </c>
      <c r="B1607" s="1">
        <v>46199</v>
      </c>
      <c r="C1607" t="s">
        <v>16</v>
      </c>
      <c r="D1607">
        <v>1471</v>
      </c>
      <c r="E1607">
        <v>1</v>
      </c>
      <c r="F1607">
        <v>2.8</v>
      </c>
      <c r="G1607" t="s">
        <v>30</v>
      </c>
      <c r="H1607" t="s">
        <v>99</v>
      </c>
      <c r="I1607" t="str">
        <f t="shared" si="30"/>
        <v>1471_1</v>
      </c>
      <c r="J1607" t="s">
        <v>294</v>
      </c>
      <c r="K1607" t="s">
        <v>19</v>
      </c>
      <c r="L1607" t="str">
        <f>_xlfn.XLOOKUP(C1607, Table2[Species],Table2[Genus], "Code Not Found")</f>
        <v>Acer</v>
      </c>
      <c r="M1607" t="str">
        <f>_xlfn.XLOOKUP(C1607, Table2[Species],Table2[Sp. Name], "Code Not Found")</f>
        <v>saccharum</v>
      </c>
      <c r="N1607" t="str">
        <f>_xlfn.XLOOKUP(C1607,Table2[Species],Table2[Family],"Code Not Found")</f>
        <v>Sapindaceae</v>
      </c>
      <c r="O1607" t="str" cm="1">
        <f t="array" ref="O1607">_xlfn.IFS(F1607="","",F1607&lt;=5,"0 to 5",F1607&lt;=10,"5.1 to 10",F1607&lt;=20,"10 to 20", F1607&lt;= 40, "20 to 40", F1607 &lt;= 50, "40 to 50", F1607 &gt; 50, "&gt;50" )</f>
        <v>0 to 5</v>
      </c>
    </row>
    <row r="1608" spans="1:15" ht="14.4" x14ac:dyDescent="0.3">
      <c r="A1608" t="s">
        <v>293</v>
      </c>
      <c r="B1608" s="1">
        <v>46199</v>
      </c>
      <c r="C1608" t="s">
        <v>22</v>
      </c>
      <c r="D1608">
        <v>1472</v>
      </c>
      <c r="E1608">
        <v>1</v>
      </c>
      <c r="F1608">
        <v>5</v>
      </c>
      <c r="G1608" t="s">
        <v>17</v>
      </c>
      <c r="I1608" t="str">
        <f t="shared" si="30"/>
        <v>1472_1</v>
      </c>
      <c r="J1608" t="s">
        <v>294</v>
      </c>
      <c r="K1608" t="s">
        <v>19</v>
      </c>
      <c r="L1608" t="str">
        <f>_xlfn.XLOOKUP(C1608, Table2[Species],Table2[Genus], "Code Not Found")</f>
        <v>Acer</v>
      </c>
      <c r="M1608" t="str">
        <f>_xlfn.XLOOKUP(C1608, Table2[Species],Table2[Sp. Name], "Code Not Found")</f>
        <v>rubrum</v>
      </c>
      <c r="N1608" t="str">
        <f>_xlfn.XLOOKUP(C1608,Table2[Species],Table2[Family],"Code Not Found")</f>
        <v>Sapindaceae</v>
      </c>
      <c r="O1608" t="str" cm="1">
        <f t="array" ref="O1608">_xlfn.IFS(F1608="","",F1608&lt;=5,"0 to 5",F1608&lt;=10,"5.1 to 10",F1608&lt;=20,"10 to 20", F1608&lt;= 40, "20 to 40", F1608 &lt;= 50, "40 to 50", F1608 &gt; 50, "&gt;50" )</f>
        <v>0 to 5</v>
      </c>
    </row>
    <row r="1609" spans="1:15" ht="14.4" x14ac:dyDescent="0.3">
      <c r="A1609" t="s">
        <v>293</v>
      </c>
      <c r="B1609" s="1">
        <v>46199</v>
      </c>
      <c r="C1609" t="s">
        <v>16</v>
      </c>
      <c r="D1609">
        <v>1473</v>
      </c>
      <c r="E1609">
        <v>1</v>
      </c>
      <c r="F1609">
        <v>2.8</v>
      </c>
      <c r="G1609" t="s">
        <v>17</v>
      </c>
      <c r="H1609" t="s">
        <v>338</v>
      </c>
      <c r="I1609" t="str">
        <f t="shared" si="30"/>
        <v>1473_1</v>
      </c>
      <c r="J1609" t="s">
        <v>294</v>
      </c>
      <c r="K1609" t="s">
        <v>19</v>
      </c>
      <c r="L1609" t="str">
        <f>_xlfn.XLOOKUP(C1609, Table2[Species],Table2[Genus], "Code Not Found")</f>
        <v>Acer</v>
      </c>
      <c r="M1609" t="str">
        <f>_xlfn.XLOOKUP(C1609, Table2[Species],Table2[Sp. Name], "Code Not Found")</f>
        <v>saccharum</v>
      </c>
      <c r="N1609" t="str">
        <f>_xlfn.XLOOKUP(C1609,Table2[Species],Table2[Family],"Code Not Found")</f>
        <v>Sapindaceae</v>
      </c>
      <c r="O1609" t="str" cm="1">
        <f t="array" ref="O1609">_xlfn.IFS(F1609="","",F1609&lt;=5,"0 to 5",F1609&lt;=10,"5.1 to 10",F1609&lt;=20,"10 to 20", F1609&lt;= 40, "20 to 40", F1609 &lt;= 50, "40 to 50", F1609 &gt; 50, "&gt;50" )</f>
        <v>0 to 5</v>
      </c>
    </row>
    <row r="1610" spans="1:15" ht="14.4" x14ac:dyDescent="0.3">
      <c r="A1610" t="s">
        <v>293</v>
      </c>
      <c r="B1610" s="1">
        <v>46199</v>
      </c>
      <c r="C1610" t="s">
        <v>16</v>
      </c>
      <c r="D1610">
        <v>1474</v>
      </c>
      <c r="E1610">
        <v>1</v>
      </c>
      <c r="F1610">
        <v>52.8</v>
      </c>
      <c r="G1610" t="s">
        <v>139</v>
      </c>
      <c r="H1610" t="s">
        <v>99</v>
      </c>
      <c r="I1610" t="str">
        <f t="shared" si="30"/>
        <v>1474_1</v>
      </c>
      <c r="J1610" t="s">
        <v>294</v>
      </c>
      <c r="K1610" t="s">
        <v>19</v>
      </c>
      <c r="L1610" t="str">
        <f>_xlfn.XLOOKUP(C1610, Table2[Species],Table2[Genus], "Code Not Found")</f>
        <v>Acer</v>
      </c>
      <c r="M1610" t="str">
        <f>_xlfn.XLOOKUP(C1610, Table2[Species],Table2[Sp. Name], "Code Not Found")</f>
        <v>saccharum</v>
      </c>
      <c r="N1610" t="str">
        <f>_xlfn.XLOOKUP(C1610,Table2[Species],Table2[Family],"Code Not Found")</f>
        <v>Sapindaceae</v>
      </c>
      <c r="O1610" t="str" cm="1">
        <f t="array" ref="O1610">_xlfn.IFS(F1610="","",F1610&lt;=5,"0 to 5",F1610&lt;=10,"5.1 to 10",F1610&lt;=20,"10 to 20", F1610&lt;= 40, "20 to 40", F1610 &lt;= 50, "40 to 50", F1610 &gt; 50, "&gt;50" )</f>
        <v>&gt;50</v>
      </c>
    </row>
    <row r="1611" spans="1:15" ht="14.4" x14ac:dyDescent="0.3">
      <c r="A1611" t="s">
        <v>293</v>
      </c>
      <c r="B1611" s="1">
        <v>46199</v>
      </c>
      <c r="C1611" t="s">
        <v>55</v>
      </c>
      <c r="D1611">
        <v>1475</v>
      </c>
      <c r="E1611">
        <v>1</v>
      </c>
      <c r="F1611">
        <v>52.8</v>
      </c>
      <c r="G1611" t="s">
        <v>21</v>
      </c>
      <c r="I1611" t="str">
        <f t="shared" si="30"/>
        <v>1475_1</v>
      </c>
      <c r="J1611" t="s">
        <v>294</v>
      </c>
      <c r="K1611" t="s">
        <v>19</v>
      </c>
      <c r="L1611" t="str">
        <f>_xlfn.XLOOKUP(C1611, Table2[Species],Table2[Genus], "Code Not Found")</f>
        <v>Magnolia</v>
      </c>
      <c r="M1611" t="str">
        <f>_xlfn.XLOOKUP(C1611, Table2[Species],Table2[Sp. Name], "Code Not Found")</f>
        <v>acuminata</v>
      </c>
      <c r="N1611" t="str">
        <f>_xlfn.XLOOKUP(C1611,Table2[Species],Table2[Family],"Code Not Found")</f>
        <v>Magnoliaceae</v>
      </c>
      <c r="O1611" t="str" cm="1">
        <f t="array" ref="O1611">_xlfn.IFS(F1611="","",F1611&lt;=5,"0 to 5",F1611&lt;=10,"5.1 to 10",F1611&lt;=20,"10 to 20", F1611&lt;= 40, "20 to 40", F1611 &lt;= 50, "40 to 50", F1611 &gt; 50, "&gt;50" )</f>
        <v>&gt;50</v>
      </c>
    </row>
    <row r="1612" spans="1:15" s="21" customFormat="1" ht="14.4" x14ac:dyDescent="0.3">
      <c r="A1612" s="21" t="s">
        <v>293</v>
      </c>
      <c r="B1612" s="22">
        <v>46199</v>
      </c>
      <c r="C1612" s="21" t="s">
        <v>312</v>
      </c>
      <c r="D1612" s="21">
        <v>1476</v>
      </c>
      <c r="E1612" s="21">
        <v>1</v>
      </c>
      <c r="F1612" s="21">
        <v>6.1</v>
      </c>
      <c r="G1612" s="21" t="s">
        <v>47</v>
      </c>
      <c r="I1612" s="21" t="str">
        <f t="shared" si="30"/>
        <v>1476_1</v>
      </c>
      <c r="J1612" s="21" t="s">
        <v>294</v>
      </c>
      <c r="K1612" s="21" t="s">
        <v>19</v>
      </c>
      <c r="L1612" s="21" t="str">
        <f>_xlfn.XLOOKUP(C1612, Table2[Species],Table2[Genus], "Code Not Found")</f>
        <v>Fraxinus</v>
      </c>
      <c r="M1612" s="21" t="str">
        <f>_xlfn.XLOOKUP(C1612, Table2[Species],Table2[Sp. Name], "Code Not Found")</f>
        <v>species</v>
      </c>
      <c r="N1612" s="21" t="str">
        <f>_xlfn.XLOOKUP(C1612,Table2[Species],Table2[Family],"Code Not Found")</f>
        <v>Oleaceae</v>
      </c>
      <c r="O1612" s="21" t="str" cm="1">
        <f t="array" ref="O1612">_xlfn.IFS(F1612="","",F1612&lt;=5,"0 to 5",F1612&lt;=10,"5.1 to 10",F1612&lt;=20,"10 to 20", F1612&lt;= 40, "20 to 40", F1612 &lt;= 50, "40 to 50", F1612 &gt; 50, "&gt;50" )</f>
        <v>5.1 to 10</v>
      </c>
    </row>
    <row r="1613" spans="1:15" ht="14.4" x14ac:dyDescent="0.3">
      <c r="A1613" t="s">
        <v>293</v>
      </c>
      <c r="B1613" s="1">
        <v>46199</v>
      </c>
      <c r="C1613" t="s">
        <v>16</v>
      </c>
      <c r="D1613">
        <v>1477</v>
      </c>
      <c r="E1613">
        <v>1</v>
      </c>
      <c r="F1613">
        <v>5.2</v>
      </c>
      <c r="G1613" t="s">
        <v>30</v>
      </c>
      <c r="H1613" t="s">
        <v>99</v>
      </c>
      <c r="I1613" t="str">
        <f t="shared" si="30"/>
        <v>1477_1</v>
      </c>
      <c r="J1613" t="s">
        <v>294</v>
      </c>
      <c r="K1613" t="s">
        <v>19</v>
      </c>
      <c r="L1613" t="str">
        <f>_xlfn.XLOOKUP(C1613, Table2[Species],Table2[Genus], "Code Not Found")</f>
        <v>Acer</v>
      </c>
      <c r="M1613" t="str">
        <f>_xlfn.XLOOKUP(C1613, Table2[Species],Table2[Sp. Name], "Code Not Found")</f>
        <v>saccharum</v>
      </c>
      <c r="N1613" t="str">
        <f>_xlfn.XLOOKUP(C1613,Table2[Species],Table2[Family],"Code Not Found")</f>
        <v>Sapindaceae</v>
      </c>
      <c r="O1613" t="str" cm="1">
        <f t="array" ref="O1613">_xlfn.IFS(F1613="","",F1613&lt;=5,"0 to 5",F1613&lt;=10,"5.1 to 10",F1613&lt;=20,"10 to 20", F1613&lt;= 40, "20 to 40", F1613 &lt;= 50, "40 to 50", F1613 &gt; 50, "&gt;50" )</f>
        <v>5.1 to 10</v>
      </c>
    </row>
    <row r="1614" spans="1:15" ht="14.4" x14ac:dyDescent="0.3">
      <c r="A1614" t="s">
        <v>293</v>
      </c>
      <c r="B1614" s="1">
        <v>46199</v>
      </c>
      <c r="C1614" t="s">
        <v>16</v>
      </c>
      <c r="D1614">
        <v>1478</v>
      </c>
      <c r="E1614">
        <v>1</v>
      </c>
      <c r="F1614">
        <v>6.8</v>
      </c>
      <c r="G1614" t="s">
        <v>30</v>
      </c>
      <c r="H1614" t="s">
        <v>99</v>
      </c>
      <c r="I1614" t="str">
        <f t="shared" si="30"/>
        <v>1478_1</v>
      </c>
      <c r="J1614" t="s">
        <v>294</v>
      </c>
      <c r="K1614" t="s">
        <v>19</v>
      </c>
      <c r="L1614" t="str">
        <f>_xlfn.XLOOKUP(C1614, Table2[Species],Table2[Genus], "Code Not Found")</f>
        <v>Acer</v>
      </c>
      <c r="M1614" t="str">
        <f>_xlfn.XLOOKUP(C1614, Table2[Species],Table2[Sp. Name], "Code Not Found")</f>
        <v>saccharum</v>
      </c>
      <c r="N1614" t="str">
        <f>_xlfn.XLOOKUP(C1614,Table2[Species],Table2[Family],"Code Not Found")</f>
        <v>Sapindaceae</v>
      </c>
      <c r="O1614" t="str" cm="1">
        <f t="array" ref="O1614">_xlfn.IFS(F1614="","",F1614&lt;=5,"0 to 5",F1614&lt;=10,"5.1 to 10",F1614&lt;=20,"10 to 20", F1614&lt;= 40, "20 to 40", F1614 &lt;= 50, "40 to 50", F1614 &gt; 50, "&gt;50" )</f>
        <v>5.1 to 10</v>
      </c>
    </row>
    <row r="1615" spans="1:15" ht="14.4" x14ac:dyDescent="0.3">
      <c r="A1615" t="s">
        <v>293</v>
      </c>
      <c r="B1615" s="1">
        <v>46199</v>
      </c>
      <c r="C1615" t="s">
        <v>16</v>
      </c>
      <c r="D1615">
        <v>1479</v>
      </c>
      <c r="E1615">
        <v>1</v>
      </c>
      <c r="F1615">
        <v>2.7</v>
      </c>
      <c r="G1615" t="s">
        <v>21</v>
      </c>
      <c r="I1615" t="str">
        <f t="shared" si="30"/>
        <v>1479_1</v>
      </c>
      <c r="J1615" t="s">
        <v>294</v>
      </c>
      <c r="K1615" t="s">
        <v>19</v>
      </c>
      <c r="L1615" t="str">
        <f>_xlfn.XLOOKUP(C1615, Table2[Species],Table2[Genus], "Code Not Found")</f>
        <v>Acer</v>
      </c>
      <c r="M1615" t="str">
        <f>_xlfn.XLOOKUP(C1615, Table2[Species],Table2[Sp. Name], "Code Not Found")</f>
        <v>saccharum</v>
      </c>
      <c r="N1615" t="str">
        <f>_xlfn.XLOOKUP(C1615,Table2[Species],Table2[Family],"Code Not Found")</f>
        <v>Sapindaceae</v>
      </c>
      <c r="O1615" t="str" cm="1">
        <f t="array" ref="O1615">_xlfn.IFS(F1615="","",F1615&lt;=5,"0 to 5",F1615&lt;=10,"5.1 to 10",F1615&lt;=20,"10 to 20", F1615&lt;= 40, "20 to 40", F1615 &lt;= 50, "40 to 50", F1615 &gt; 50, "&gt;50" )</f>
        <v>0 to 5</v>
      </c>
    </row>
    <row r="1616" spans="1:15" ht="14.4" x14ac:dyDescent="0.3">
      <c r="A1616" t="s">
        <v>293</v>
      </c>
      <c r="B1616" s="1">
        <v>46199</v>
      </c>
      <c r="C1616" t="s">
        <v>16</v>
      </c>
      <c r="D1616">
        <v>1480</v>
      </c>
      <c r="E1616">
        <v>1</v>
      </c>
      <c r="F1616">
        <v>4.2</v>
      </c>
      <c r="G1616" t="s">
        <v>17</v>
      </c>
      <c r="H1616" t="s">
        <v>36</v>
      </c>
      <c r="I1616" t="str">
        <f t="shared" si="30"/>
        <v>1480_1</v>
      </c>
      <c r="J1616" t="s">
        <v>294</v>
      </c>
      <c r="K1616" t="s">
        <v>19</v>
      </c>
      <c r="L1616" t="str">
        <f>_xlfn.XLOOKUP(C1616, Table2[Species],Table2[Genus], "Code Not Found")</f>
        <v>Acer</v>
      </c>
      <c r="M1616" t="str">
        <f>_xlfn.XLOOKUP(C1616, Table2[Species],Table2[Sp. Name], "Code Not Found")</f>
        <v>saccharum</v>
      </c>
      <c r="N1616" t="str">
        <f>_xlfn.XLOOKUP(C1616,Table2[Species],Table2[Family],"Code Not Found")</f>
        <v>Sapindaceae</v>
      </c>
      <c r="O1616" t="str" cm="1">
        <f t="array" ref="O1616">_xlfn.IFS(F1616="","",F1616&lt;=5,"0 to 5",F1616&lt;=10,"5.1 to 10",F1616&lt;=20,"10 to 20", F1616&lt;= 40, "20 to 40", F1616 &lt;= 50, "40 to 50", F1616 &gt; 50, "&gt;50" )</f>
        <v>0 to 5</v>
      </c>
    </row>
    <row r="1617" spans="1:15" ht="14.4" x14ac:dyDescent="0.3">
      <c r="A1617" t="s">
        <v>293</v>
      </c>
      <c r="B1617" s="1">
        <v>46199</v>
      </c>
      <c r="C1617" t="s">
        <v>16</v>
      </c>
      <c r="D1617">
        <v>1481</v>
      </c>
      <c r="E1617">
        <v>1</v>
      </c>
      <c r="F1617">
        <v>4.9000000000000004</v>
      </c>
      <c r="G1617" t="s">
        <v>88</v>
      </c>
      <c r="H1617" t="s">
        <v>133</v>
      </c>
      <c r="I1617" t="str">
        <f t="shared" si="30"/>
        <v>1481_1</v>
      </c>
      <c r="J1617" t="s">
        <v>294</v>
      </c>
      <c r="K1617" t="s">
        <v>19</v>
      </c>
      <c r="L1617" t="str">
        <f>_xlfn.XLOOKUP(C1617, Table2[Species],Table2[Genus], "Code Not Found")</f>
        <v>Acer</v>
      </c>
      <c r="M1617" t="str">
        <f>_xlfn.XLOOKUP(C1617, Table2[Species],Table2[Sp. Name], "Code Not Found")</f>
        <v>saccharum</v>
      </c>
      <c r="N1617" t="str">
        <f>_xlfn.XLOOKUP(C1617,Table2[Species],Table2[Family],"Code Not Found")</f>
        <v>Sapindaceae</v>
      </c>
      <c r="O1617" t="str" cm="1">
        <f t="array" ref="O1617">_xlfn.IFS(F1617="","",F1617&lt;=5,"0 to 5",F1617&lt;=10,"5.1 to 10",F1617&lt;=20,"10 to 20", F1617&lt;= 40, "20 to 40", F1617 &lt;= 50, "40 to 50", F1617 &gt; 50, "&gt;50" )</f>
        <v>0 to 5</v>
      </c>
    </row>
    <row r="1618" spans="1:15" ht="14.4" x14ac:dyDescent="0.3">
      <c r="A1618" t="s">
        <v>293</v>
      </c>
      <c r="B1618" s="1">
        <v>46199</v>
      </c>
      <c r="C1618" t="s">
        <v>16</v>
      </c>
      <c r="D1618">
        <v>1482</v>
      </c>
      <c r="E1618">
        <v>1</v>
      </c>
      <c r="F1618">
        <v>3.9</v>
      </c>
      <c r="G1618" t="s">
        <v>17</v>
      </c>
      <c r="H1618" t="s">
        <v>36</v>
      </c>
      <c r="I1618" t="str">
        <f t="shared" si="30"/>
        <v>1482_1</v>
      </c>
      <c r="J1618" t="s">
        <v>294</v>
      </c>
      <c r="K1618" t="s">
        <v>19</v>
      </c>
      <c r="L1618" t="str">
        <f>_xlfn.XLOOKUP(C1618, Table2[Species],Table2[Genus], "Code Not Found")</f>
        <v>Acer</v>
      </c>
      <c r="M1618" t="str">
        <f>_xlfn.XLOOKUP(C1618, Table2[Species],Table2[Sp. Name], "Code Not Found")</f>
        <v>saccharum</v>
      </c>
      <c r="N1618" t="str">
        <f>_xlfn.XLOOKUP(C1618,Table2[Species],Table2[Family],"Code Not Found")</f>
        <v>Sapindaceae</v>
      </c>
      <c r="O1618" t="str" cm="1">
        <f t="array" ref="O1618">_xlfn.IFS(F1618="","",F1618&lt;=5,"0 to 5",F1618&lt;=10,"5.1 to 10",F1618&lt;=20,"10 to 20", F1618&lt;= 40, "20 to 40", F1618 &lt;= 50, "40 to 50", F1618 &gt; 50, "&gt;50" )</f>
        <v>0 to 5</v>
      </c>
    </row>
    <row r="1619" spans="1:15" ht="14.4" x14ac:dyDescent="0.3">
      <c r="A1619" t="s">
        <v>293</v>
      </c>
      <c r="B1619" s="1">
        <v>46199</v>
      </c>
      <c r="C1619" t="s">
        <v>16</v>
      </c>
      <c r="D1619">
        <v>1483</v>
      </c>
      <c r="E1619">
        <v>1</v>
      </c>
      <c r="F1619">
        <v>20.7</v>
      </c>
      <c r="G1619" t="s">
        <v>17</v>
      </c>
      <c r="I1619" t="str">
        <f t="shared" si="30"/>
        <v>1483_1</v>
      </c>
      <c r="J1619" t="s">
        <v>294</v>
      </c>
      <c r="K1619" t="s">
        <v>19</v>
      </c>
      <c r="L1619" t="str">
        <f>_xlfn.XLOOKUP(C1619, Table2[Species],Table2[Genus], "Code Not Found")</f>
        <v>Acer</v>
      </c>
      <c r="M1619" t="str">
        <f>_xlfn.XLOOKUP(C1619, Table2[Species],Table2[Sp. Name], "Code Not Found")</f>
        <v>saccharum</v>
      </c>
      <c r="N1619" t="str">
        <f>_xlfn.XLOOKUP(C1619,Table2[Species],Table2[Family],"Code Not Found")</f>
        <v>Sapindaceae</v>
      </c>
      <c r="O1619" t="str" cm="1">
        <f t="array" ref="O1619">_xlfn.IFS(F1619="","",F1619&lt;=5,"0 to 5",F1619&lt;=10,"5.1 to 10",F1619&lt;=20,"10 to 20", F1619&lt;= 40, "20 to 40", F1619 &lt;= 50, "40 to 50", F1619 &gt; 50, "&gt;50" )</f>
        <v>20 to 40</v>
      </c>
    </row>
    <row r="1620" spans="1:15" ht="14.4" x14ac:dyDescent="0.3">
      <c r="A1620" t="s">
        <v>293</v>
      </c>
      <c r="B1620" s="1">
        <v>46199</v>
      </c>
      <c r="C1620" t="s">
        <v>16</v>
      </c>
      <c r="D1620">
        <v>1484</v>
      </c>
      <c r="E1620">
        <v>1</v>
      </c>
      <c r="F1620">
        <v>17.600000000000001</v>
      </c>
      <c r="G1620" t="s">
        <v>17</v>
      </c>
      <c r="I1620" t="str">
        <f t="shared" si="30"/>
        <v>1484_1</v>
      </c>
      <c r="J1620" t="s">
        <v>294</v>
      </c>
      <c r="K1620" t="s">
        <v>19</v>
      </c>
      <c r="L1620" t="str">
        <f>_xlfn.XLOOKUP(C1620, Table2[Species],Table2[Genus], "Code Not Found")</f>
        <v>Acer</v>
      </c>
      <c r="M1620" t="str">
        <f>_xlfn.XLOOKUP(C1620, Table2[Species],Table2[Sp. Name], "Code Not Found")</f>
        <v>saccharum</v>
      </c>
      <c r="N1620" t="str">
        <f>_xlfn.XLOOKUP(C1620,Table2[Species],Table2[Family],"Code Not Found")</f>
        <v>Sapindaceae</v>
      </c>
      <c r="O1620" t="str" cm="1">
        <f t="array" ref="O1620">_xlfn.IFS(F1620="","",F1620&lt;=5,"0 to 5",F1620&lt;=10,"5.1 to 10",F1620&lt;=20,"10 to 20", F1620&lt;= 40, "20 to 40", F1620 &lt;= 50, "40 to 50", F1620 &gt; 50, "&gt;50" )</f>
        <v>10 to 20</v>
      </c>
    </row>
    <row r="1621" spans="1:15" ht="14.4" x14ac:dyDescent="0.3">
      <c r="A1621" t="s">
        <v>293</v>
      </c>
      <c r="B1621" s="1">
        <v>46199</v>
      </c>
      <c r="C1621" t="s">
        <v>16</v>
      </c>
      <c r="D1621">
        <v>1485</v>
      </c>
      <c r="E1621">
        <v>1</v>
      </c>
      <c r="F1621">
        <v>4.2</v>
      </c>
      <c r="G1621" t="s">
        <v>17</v>
      </c>
      <c r="I1621" t="str">
        <f t="shared" si="30"/>
        <v>1485_1</v>
      </c>
      <c r="J1621" t="s">
        <v>294</v>
      </c>
      <c r="K1621" t="s">
        <v>19</v>
      </c>
      <c r="L1621" t="str">
        <f>_xlfn.XLOOKUP(C1621, Table2[Species],Table2[Genus], "Code Not Found")</f>
        <v>Acer</v>
      </c>
      <c r="M1621" t="str">
        <f>_xlfn.XLOOKUP(C1621, Table2[Species],Table2[Sp. Name], "Code Not Found")</f>
        <v>saccharum</v>
      </c>
      <c r="N1621" t="str">
        <f>_xlfn.XLOOKUP(C1621,Table2[Species],Table2[Family],"Code Not Found")</f>
        <v>Sapindaceae</v>
      </c>
      <c r="O1621" t="str" cm="1">
        <f t="array" ref="O1621">_xlfn.IFS(F1621="","",F1621&lt;=5,"0 to 5",F1621&lt;=10,"5.1 to 10",F1621&lt;=20,"10 to 20", F1621&lt;= 40, "20 to 40", F1621 &lt;= 50, "40 to 50", F1621 &gt; 50, "&gt;50" )</f>
        <v>0 to 5</v>
      </c>
    </row>
    <row r="1622" spans="1:15" ht="14.4" x14ac:dyDescent="0.3">
      <c r="A1622" t="s">
        <v>293</v>
      </c>
      <c r="B1622" s="1">
        <v>46199</v>
      </c>
      <c r="C1622" t="s">
        <v>16</v>
      </c>
      <c r="D1622">
        <v>1486</v>
      </c>
      <c r="E1622">
        <v>1</v>
      </c>
      <c r="F1622">
        <v>4.5999999999999996</v>
      </c>
      <c r="G1622" t="s">
        <v>21</v>
      </c>
      <c r="I1622" t="str">
        <f t="shared" si="30"/>
        <v>1486_1</v>
      </c>
      <c r="J1622" t="s">
        <v>294</v>
      </c>
      <c r="K1622" t="s">
        <v>19</v>
      </c>
      <c r="L1622" t="str">
        <f>_xlfn.XLOOKUP(C1622, Table2[Species],Table2[Genus], "Code Not Found")</f>
        <v>Acer</v>
      </c>
      <c r="M1622" t="str">
        <f>_xlfn.XLOOKUP(C1622, Table2[Species],Table2[Sp. Name], "Code Not Found")</f>
        <v>saccharum</v>
      </c>
      <c r="N1622" t="str">
        <f>_xlfn.XLOOKUP(C1622,Table2[Species],Table2[Family],"Code Not Found")</f>
        <v>Sapindaceae</v>
      </c>
      <c r="O1622" t="str" cm="1">
        <f t="array" ref="O1622">_xlfn.IFS(F1622="","",F1622&lt;=5,"0 to 5",F1622&lt;=10,"5.1 to 10",F1622&lt;=20,"10 to 20", F1622&lt;= 40, "20 to 40", F1622 &lt;= 50, "40 to 50", F1622 &gt; 50, "&gt;50" )</f>
        <v>0 to 5</v>
      </c>
    </row>
    <row r="1623" spans="1:15" ht="14.4" x14ac:dyDescent="0.3">
      <c r="A1623" t="s">
        <v>293</v>
      </c>
      <c r="B1623" s="1">
        <v>46199</v>
      </c>
      <c r="C1623" t="s">
        <v>16</v>
      </c>
      <c r="D1623">
        <v>1487</v>
      </c>
      <c r="E1623">
        <v>1</v>
      </c>
      <c r="F1623">
        <v>4.2</v>
      </c>
      <c r="G1623" t="s">
        <v>47</v>
      </c>
      <c r="H1623" t="s">
        <v>296</v>
      </c>
      <c r="I1623" t="str">
        <f t="shared" si="30"/>
        <v>1487_1</v>
      </c>
      <c r="J1623" t="s">
        <v>294</v>
      </c>
      <c r="K1623" t="s">
        <v>19</v>
      </c>
      <c r="L1623" t="str">
        <f>_xlfn.XLOOKUP(C1623, Table2[Species],Table2[Genus], "Code Not Found")</f>
        <v>Acer</v>
      </c>
      <c r="M1623" t="str">
        <f>_xlfn.XLOOKUP(C1623, Table2[Species],Table2[Sp. Name], "Code Not Found")</f>
        <v>saccharum</v>
      </c>
      <c r="N1623" t="str">
        <f>_xlfn.XLOOKUP(C1623,Table2[Species],Table2[Family],"Code Not Found")</f>
        <v>Sapindaceae</v>
      </c>
      <c r="O1623" t="str" cm="1">
        <f t="array" ref="O1623">_xlfn.IFS(F1623="","",F1623&lt;=5,"0 to 5",F1623&lt;=10,"5.1 to 10",F1623&lt;=20,"10 to 20", F1623&lt;= 40, "20 to 40", F1623 &lt;= 50, "40 to 50", F1623 &gt; 50, "&gt;50" )</f>
        <v>0 to 5</v>
      </c>
    </row>
    <row r="1624" spans="1:15" ht="14.4" x14ac:dyDescent="0.3">
      <c r="A1624" t="s">
        <v>293</v>
      </c>
      <c r="B1624" s="1">
        <v>46199</v>
      </c>
      <c r="C1624" t="s">
        <v>16</v>
      </c>
      <c r="D1624">
        <v>1488</v>
      </c>
      <c r="E1624">
        <v>1</v>
      </c>
      <c r="F1624">
        <v>10.6</v>
      </c>
      <c r="G1624" t="s">
        <v>21</v>
      </c>
      <c r="I1624" t="str">
        <f t="shared" si="30"/>
        <v>1488_1</v>
      </c>
      <c r="J1624" t="s">
        <v>294</v>
      </c>
      <c r="K1624" t="s">
        <v>19</v>
      </c>
      <c r="L1624" t="str">
        <f>_xlfn.XLOOKUP(C1624, Table2[Species],Table2[Genus], "Code Not Found")</f>
        <v>Acer</v>
      </c>
      <c r="M1624" t="str">
        <f>_xlfn.XLOOKUP(C1624, Table2[Species],Table2[Sp. Name], "Code Not Found")</f>
        <v>saccharum</v>
      </c>
      <c r="N1624" t="str">
        <f>_xlfn.XLOOKUP(C1624,Table2[Species],Table2[Family],"Code Not Found")</f>
        <v>Sapindaceae</v>
      </c>
      <c r="O1624" t="str" cm="1">
        <f t="array" ref="O1624">_xlfn.IFS(F1624="","",F1624&lt;=5,"0 to 5",F1624&lt;=10,"5.1 to 10",F1624&lt;=20,"10 to 20", F1624&lt;= 40, "20 to 40", F1624 &lt;= 50, "40 to 50", F1624 &gt; 50, "&gt;50" )</f>
        <v>10 to 20</v>
      </c>
    </row>
    <row r="1625" spans="1:15" ht="14.4" x14ac:dyDescent="0.3">
      <c r="A1625" t="s">
        <v>293</v>
      </c>
      <c r="B1625" s="1">
        <v>46199</v>
      </c>
      <c r="C1625" t="s">
        <v>16</v>
      </c>
      <c r="D1625">
        <v>1489</v>
      </c>
      <c r="E1625">
        <v>1</v>
      </c>
      <c r="F1625">
        <v>5.0999999999999996</v>
      </c>
      <c r="G1625" t="s">
        <v>21</v>
      </c>
      <c r="I1625" t="str">
        <f t="shared" ref="I1625:I1636" si="31">D1625&amp;"_"&amp;E1625</f>
        <v>1489_1</v>
      </c>
      <c r="J1625" t="s">
        <v>294</v>
      </c>
      <c r="K1625" t="s">
        <v>19</v>
      </c>
      <c r="L1625" t="str">
        <f>_xlfn.XLOOKUP(C1625, Table2[Species],Table2[Genus], "Code Not Found")</f>
        <v>Acer</v>
      </c>
      <c r="M1625" t="str">
        <f>_xlfn.XLOOKUP(C1625, Table2[Species],Table2[Sp. Name], "Code Not Found")</f>
        <v>saccharum</v>
      </c>
      <c r="N1625" t="str">
        <f>_xlfn.XLOOKUP(C1625,Table2[Species],Table2[Family],"Code Not Found")</f>
        <v>Sapindaceae</v>
      </c>
      <c r="O1625" t="str" cm="1">
        <f t="array" ref="O1625">_xlfn.IFS(F1625="","",F1625&lt;=5,"0 to 5",F1625&lt;=10,"5.1 to 10",F1625&lt;=20,"10 to 20", F1625&lt;= 40, "20 to 40", F1625 &lt;= 50, "40 to 50", F1625 &gt; 50, "&gt;50" )</f>
        <v>5.1 to 10</v>
      </c>
    </row>
    <row r="1626" spans="1:15" ht="14.4" x14ac:dyDescent="0.3">
      <c r="A1626" t="s">
        <v>293</v>
      </c>
      <c r="B1626" s="1">
        <v>46199</v>
      </c>
      <c r="C1626" t="s">
        <v>16</v>
      </c>
      <c r="D1626">
        <v>1490</v>
      </c>
      <c r="E1626">
        <v>1</v>
      </c>
      <c r="F1626">
        <v>2.2999999999999998</v>
      </c>
      <c r="G1626" t="s">
        <v>47</v>
      </c>
      <c r="I1626" t="str">
        <f t="shared" si="31"/>
        <v>1490_1</v>
      </c>
      <c r="J1626" t="s">
        <v>294</v>
      </c>
      <c r="K1626" t="s">
        <v>19</v>
      </c>
      <c r="L1626" t="str">
        <f>_xlfn.XLOOKUP(C1626, Table2[Species],Table2[Genus], "Code Not Found")</f>
        <v>Acer</v>
      </c>
      <c r="M1626" t="str">
        <f>_xlfn.XLOOKUP(C1626, Table2[Species],Table2[Sp. Name], "Code Not Found")</f>
        <v>saccharum</v>
      </c>
      <c r="N1626" t="str">
        <f>_xlfn.XLOOKUP(C1626,Table2[Species],Table2[Family],"Code Not Found")</f>
        <v>Sapindaceae</v>
      </c>
      <c r="O1626" t="str" cm="1">
        <f t="array" ref="O1626">_xlfn.IFS(F1626="","",F1626&lt;=5,"0 to 5",F1626&lt;=10,"5.1 to 10",F1626&lt;=20,"10 to 20", F1626&lt;= 40, "20 to 40", F1626 &lt;= 50, "40 to 50", F1626 &gt; 50, "&gt;50" )</f>
        <v>0 to 5</v>
      </c>
    </row>
    <row r="1627" spans="1:15" ht="14.4" x14ac:dyDescent="0.3">
      <c r="A1627" t="s">
        <v>293</v>
      </c>
      <c r="B1627" s="1">
        <v>46199</v>
      </c>
      <c r="C1627" t="s">
        <v>20</v>
      </c>
      <c r="D1627">
        <v>1491</v>
      </c>
      <c r="E1627">
        <v>1</v>
      </c>
      <c r="F1627">
        <v>69.3</v>
      </c>
      <c r="G1627" t="s">
        <v>17</v>
      </c>
      <c r="I1627" t="str">
        <f t="shared" si="31"/>
        <v>1491_1</v>
      </c>
      <c r="J1627" t="s">
        <v>294</v>
      </c>
      <c r="K1627" t="s">
        <v>19</v>
      </c>
      <c r="L1627" t="str">
        <f>_xlfn.XLOOKUP(C1627, Table2[Species],Table2[Genus], "Code Not Found")</f>
        <v>Prunus</v>
      </c>
      <c r="M1627" t="str">
        <f>_xlfn.XLOOKUP(C1627, Table2[Species],Table2[Sp. Name], "Code Not Found")</f>
        <v>serotina</v>
      </c>
      <c r="N1627" t="str">
        <f>_xlfn.XLOOKUP(C1627,Table2[Species],Table2[Family],"Code Not Found")</f>
        <v>Rosaceae</v>
      </c>
      <c r="O1627" t="str" cm="1">
        <f t="array" ref="O1627">_xlfn.IFS(F1627="","",F1627&lt;=5,"0 to 5",F1627&lt;=10,"5.1 to 10",F1627&lt;=20,"10 to 20", F1627&lt;= 40, "20 to 40", F1627 &lt;= 50, "40 to 50", F1627 &gt; 50, "&gt;50" )</f>
        <v>&gt;50</v>
      </c>
    </row>
    <row r="1628" spans="1:15" ht="14.4" x14ac:dyDescent="0.3">
      <c r="A1628" t="s">
        <v>293</v>
      </c>
      <c r="B1628" s="1">
        <v>46199</v>
      </c>
      <c r="C1628" t="s">
        <v>64</v>
      </c>
      <c r="D1628">
        <v>1492</v>
      </c>
      <c r="E1628">
        <v>1</v>
      </c>
      <c r="F1628">
        <v>35</v>
      </c>
      <c r="G1628" t="s">
        <v>21</v>
      </c>
      <c r="I1628" t="str">
        <f t="shared" si="31"/>
        <v>1492_1</v>
      </c>
      <c r="J1628" t="s">
        <v>294</v>
      </c>
      <c r="K1628" t="s">
        <v>19</v>
      </c>
      <c r="L1628" t="str">
        <f>_xlfn.XLOOKUP(C1628, Table2[Species],Table2[Genus], "Code Not Found")</f>
        <v>Fagus</v>
      </c>
      <c r="M1628" t="str">
        <f>_xlfn.XLOOKUP(C1628, Table2[Species],Table2[Sp. Name], "Code Not Found")</f>
        <v>grandifolia</v>
      </c>
      <c r="N1628" t="str">
        <f>_xlfn.XLOOKUP(C1628,Table2[Species],Table2[Family],"Code Not Found")</f>
        <v>Fagaceae</v>
      </c>
      <c r="O1628" t="str" cm="1">
        <f t="array" ref="O1628">_xlfn.IFS(F1628="","",F1628&lt;=5,"0 to 5",F1628&lt;=10,"5.1 to 10",F1628&lt;=20,"10 to 20", F1628&lt;= 40, "20 to 40", F1628 &lt;= 50, "40 to 50", F1628 &gt; 50, "&gt;50" )</f>
        <v>20 to 40</v>
      </c>
    </row>
    <row r="1629" spans="1:15" ht="14.4" x14ac:dyDescent="0.3">
      <c r="A1629" t="s">
        <v>293</v>
      </c>
      <c r="B1629" s="1">
        <v>46199</v>
      </c>
      <c r="C1629" t="s">
        <v>16</v>
      </c>
      <c r="D1629">
        <v>1493</v>
      </c>
      <c r="E1629">
        <v>1</v>
      </c>
      <c r="F1629">
        <v>6.3</v>
      </c>
      <c r="G1629" t="s">
        <v>30</v>
      </c>
      <c r="H1629" t="s">
        <v>99</v>
      </c>
      <c r="I1629" t="str">
        <f t="shared" si="31"/>
        <v>1493_1</v>
      </c>
      <c r="J1629" t="s">
        <v>294</v>
      </c>
      <c r="K1629" t="s">
        <v>19</v>
      </c>
      <c r="L1629" t="str">
        <f>_xlfn.XLOOKUP(C1629, Table2[Species],Table2[Genus], "Code Not Found")</f>
        <v>Acer</v>
      </c>
      <c r="M1629" t="str">
        <f>_xlfn.XLOOKUP(C1629, Table2[Species],Table2[Sp. Name], "Code Not Found")</f>
        <v>saccharum</v>
      </c>
      <c r="N1629" t="str">
        <f>_xlfn.XLOOKUP(C1629,Table2[Species],Table2[Family],"Code Not Found")</f>
        <v>Sapindaceae</v>
      </c>
      <c r="O1629" t="str" cm="1">
        <f t="array" ref="O1629">_xlfn.IFS(F1629="","",F1629&lt;=5,"0 to 5",F1629&lt;=10,"5.1 to 10",F1629&lt;=20,"10 to 20", F1629&lt;= 40, "20 to 40", F1629 &lt;= 50, "40 to 50", F1629 &gt; 50, "&gt;50" )</f>
        <v>5.1 to 10</v>
      </c>
    </row>
    <row r="1630" spans="1:15" ht="14.4" x14ac:dyDescent="0.3">
      <c r="A1630" t="s">
        <v>293</v>
      </c>
      <c r="B1630" s="1">
        <v>46199</v>
      </c>
      <c r="C1630" t="s">
        <v>16</v>
      </c>
      <c r="D1630">
        <v>1494</v>
      </c>
      <c r="E1630">
        <v>1</v>
      </c>
      <c r="F1630">
        <v>4.3</v>
      </c>
      <c r="G1630" t="s">
        <v>21</v>
      </c>
      <c r="I1630" t="str">
        <f t="shared" si="31"/>
        <v>1494_1</v>
      </c>
      <c r="J1630" t="s">
        <v>294</v>
      </c>
      <c r="K1630" t="s">
        <v>19</v>
      </c>
      <c r="L1630" t="str">
        <f>_xlfn.XLOOKUP(C1630, Table2[Species],Table2[Genus], "Code Not Found")</f>
        <v>Acer</v>
      </c>
      <c r="M1630" t="str">
        <f>_xlfn.XLOOKUP(C1630, Table2[Species],Table2[Sp. Name], "Code Not Found")</f>
        <v>saccharum</v>
      </c>
      <c r="N1630" t="str">
        <f>_xlfn.XLOOKUP(C1630,Table2[Species],Table2[Family],"Code Not Found")</f>
        <v>Sapindaceae</v>
      </c>
      <c r="O1630" t="str" cm="1">
        <f t="array" ref="O1630">_xlfn.IFS(F1630="","",F1630&lt;=5,"0 to 5",F1630&lt;=10,"5.1 to 10",F1630&lt;=20,"10 to 20", F1630&lt;= 40, "20 to 40", F1630 &lt;= 50, "40 to 50", F1630 &gt; 50, "&gt;50" )</f>
        <v>0 to 5</v>
      </c>
    </row>
    <row r="1631" spans="1:15" ht="14.4" x14ac:dyDescent="0.3">
      <c r="A1631" t="s">
        <v>293</v>
      </c>
      <c r="B1631" s="1">
        <v>46199</v>
      </c>
      <c r="C1631" t="s">
        <v>16</v>
      </c>
      <c r="D1631">
        <v>1495</v>
      </c>
      <c r="E1631">
        <v>1</v>
      </c>
      <c r="F1631">
        <v>3.3</v>
      </c>
      <c r="G1631" t="s">
        <v>21</v>
      </c>
      <c r="I1631" t="str">
        <f t="shared" si="31"/>
        <v>1495_1</v>
      </c>
      <c r="J1631" t="s">
        <v>294</v>
      </c>
      <c r="K1631" t="s">
        <v>19</v>
      </c>
      <c r="L1631" t="str">
        <f>_xlfn.XLOOKUP(C1631, Table2[Species],Table2[Genus], "Code Not Found")</f>
        <v>Acer</v>
      </c>
      <c r="M1631" t="str">
        <f>_xlfn.XLOOKUP(C1631, Table2[Species],Table2[Sp. Name], "Code Not Found")</f>
        <v>saccharum</v>
      </c>
      <c r="N1631" t="str">
        <f>_xlfn.XLOOKUP(C1631,Table2[Species],Table2[Family],"Code Not Found")</f>
        <v>Sapindaceae</v>
      </c>
      <c r="O1631" t="str" cm="1">
        <f t="array" ref="O1631">_xlfn.IFS(F1631="","",F1631&lt;=5,"0 to 5",F1631&lt;=10,"5.1 to 10",F1631&lt;=20,"10 to 20", F1631&lt;= 40, "20 to 40", F1631 &lt;= 50, "40 to 50", F1631 &gt; 50, "&gt;50" )</f>
        <v>0 to 5</v>
      </c>
    </row>
    <row r="1632" spans="1:15" ht="14.4" x14ac:dyDescent="0.3">
      <c r="A1632" t="s">
        <v>293</v>
      </c>
      <c r="B1632" s="1">
        <v>46199</v>
      </c>
      <c r="C1632" t="s">
        <v>16</v>
      </c>
      <c r="D1632">
        <v>1496</v>
      </c>
      <c r="E1632">
        <v>1</v>
      </c>
      <c r="F1632">
        <v>12.3</v>
      </c>
      <c r="G1632" t="s">
        <v>17</v>
      </c>
      <c r="H1632" t="s">
        <v>36</v>
      </c>
      <c r="I1632" t="str">
        <f t="shared" si="31"/>
        <v>1496_1</v>
      </c>
      <c r="J1632" t="s">
        <v>294</v>
      </c>
      <c r="K1632" t="s">
        <v>19</v>
      </c>
      <c r="L1632" t="str">
        <f>_xlfn.XLOOKUP(C1632, Table2[Species],Table2[Genus], "Code Not Found")</f>
        <v>Acer</v>
      </c>
      <c r="M1632" t="str">
        <f>_xlfn.XLOOKUP(C1632, Table2[Species],Table2[Sp. Name], "Code Not Found")</f>
        <v>saccharum</v>
      </c>
      <c r="N1632" t="str">
        <f>_xlfn.XLOOKUP(C1632,Table2[Species],Table2[Family],"Code Not Found")</f>
        <v>Sapindaceae</v>
      </c>
      <c r="O1632" t="str" cm="1">
        <f t="array" ref="O1632">_xlfn.IFS(F1632="","",F1632&lt;=5,"0 to 5",F1632&lt;=10,"5.1 to 10",F1632&lt;=20,"10 to 20", F1632&lt;= 40, "20 to 40", F1632 &lt;= 50, "40 to 50", F1632 &gt; 50, "&gt;50" )</f>
        <v>10 to 20</v>
      </c>
    </row>
    <row r="1633" spans="1:15" ht="14.4" x14ac:dyDescent="0.3">
      <c r="A1633" t="s">
        <v>293</v>
      </c>
      <c r="B1633" s="1">
        <v>46199</v>
      </c>
      <c r="C1633" t="s">
        <v>29</v>
      </c>
      <c r="D1633">
        <v>1497</v>
      </c>
      <c r="E1633">
        <v>1</v>
      </c>
      <c r="F1633">
        <v>42.6</v>
      </c>
      <c r="G1633" t="s">
        <v>21</v>
      </c>
      <c r="I1633" t="str">
        <f t="shared" si="31"/>
        <v>1497_1</v>
      </c>
      <c r="J1633" t="s">
        <v>294</v>
      </c>
      <c r="K1633" t="s">
        <v>19</v>
      </c>
      <c r="L1633" t="str">
        <f>_xlfn.XLOOKUP(C1633, Table2[Species],Table2[Genus], "Code Not Found")</f>
        <v>Sassafras</v>
      </c>
      <c r="M1633" t="str">
        <f>_xlfn.XLOOKUP(C1633, Table2[Species],Table2[Sp. Name], "Code Not Found")</f>
        <v>albidum</v>
      </c>
      <c r="N1633" t="str">
        <f>_xlfn.XLOOKUP(C1633,Table2[Species],Table2[Family],"Code Not Found")</f>
        <v>Lauraceae</v>
      </c>
      <c r="O1633" t="str" cm="1">
        <f t="array" ref="O1633">_xlfn.IFS(F1633="","",F1633&lt;=5,"0 to 5",F1633&lt;=10,"5.1 to 10",F1633&lt;=20,"10 to 20", F1633&lt;= 40, "20 to 40", F1633 &lt;= 50, "40 to 50", F1633 &gt; 50, "&gt;50" )</f>
        <v>40 to 50</v>
      </c>
    </row>
    <row r="1634" spans="1:15" ht="14.4" x14ac:dyDescent="0.3">
      <c r="A1634" t="s">
        <v>293</v>
      </c>
      <c r="B1634" s="1">
        <v>46199</v>
      </c>
      <c r="C1634" t="s">
        <v>16</v>
      </c>
      <c r="D1634">
        <v>1498</v>
      </c>
      <c r="E1634">
        <v>1</v>
      </c>
      <c r="F1634">
        <v>14.8</v>
      </c>
      <c r="G1634" t="s">
        <v>32</v>
      </c>
      <c r="H1634" t="s">
        <v>339</v>
      </c>
      <c r="I1634" t="str">
        <f t="shared" si="31"/>
        <v>1498_1</v>
      </c>
      <c r="J1634" t="s">
        <v>294</v>
      </c>
      <c r="K1634" t="s">
        <v>19</v>
      </c>
      <c r="L1634" t="str">
        <f>_xlfn.XLOOKUP(C1634, Table2[Species],Table2[Genus], "Code Not Found")</f>
        <v>Acer</v>
      </c>
      <c r="M1634" t="str">
        <f>_xlfn.XLOOKUP(C1634, Table2[Species],Table2[Sp. Name], "Code Not Found")</f>
        <v>saccharum</v>
      </c>
      <c r="N1634" t="str">
        <f>_xlfn.XLOOKUP(C1634,Table2[Species],Table2[Family],"Code Not Found")</f>
        <v>Sapindaceae</v>
      </c>
      <c r="O1634" t="str" cm="1">
        <f t="array" ref="O1634">_xlfn.IFS(F1634="","",F1634&lt;=5,"0 to 5",F1634&lt;=10,"5.1 to 10",F1634&lt;=20,"10 to 20", F1634&lt;= 40, "20 to 40", F1634 &lt;= 50, "40 to 50", F1634 &gt; 50, "&gt;50" )</f>
        <v>10 to 20</v>
      </c>
    </row>
    <row r="1635" spans="1:15" ht="14.4" x14ac:dyDescent="0.3">
      <c r="A1635" t="s">
        <v>293</v>
      </c>
      <c r="B1635" s="1">
        <v>46199</v>
      </c>
      <c r="C1635" t="s">
        <v>16</v>
      </c>
      <c r="D1635">
        <v>1498</v>
      </c>
      <c r="E1635">
        <v>2</v>
      </c>
      <c r="F1635">
        <v>4.5</v>
      </c>
      <c r="G1635" t="s">
        <v>34</v>
      </c>
      <c r="H1635" t="s">
        <v>339</v>
      </c>
      <c r="I1635" t="str">
        <f t="shared" si="31"/>
        <v>1498_2</v>
      </c>
      <c r="J1635" t="s">
        <v>294</v>
      </c>
      <c r="K1635" t="s">
        <v>19</v>
      </c>
      <c r="L1635" t="str">
        <f>_xlfn.XLOOKUP(C1635, Table2[Species],Table2[Genus], "Code Not Found")</f>
        <v>Acer</v>
      </c>
      <c r="M1635" t="str">
        <f>_xlfn.XLOOKUP(C1635, Table2[Species],Table2[Sp. Name], "Code Not Found")</f>
        <v>saccharum</v>
      </c>
      <c r="N1635" t="str">
        <f>_xlfn.XLOOKUP(C1635,Table2[Species],Table2[Family],"Code Not Found")</f>
        <v>Sapindaceae</v>
      </c>
      <c r="O1635" t="str" cm="1">
        <f t="array" ref="O1635">_xlfn.IFS(F1635="","",F1635&lt;=5,"0 to 5",F1635&lt;=10,"5.1 to 10",F1635&lt;=20,"10 to 20", F1635&lt;= 40, "20 to 40", F1635 &lt;= 50, "40 to 50", F1635 &gt; 50, "&gt;50" )</f>
        <v>0 to 5</v>
      </c>
    </row>
    <row r="1636" spans="1:15" ht="14.4" x14ac:dyDescent="0.3">
      <c r="A1636" t="s">
        <v>293</v>
      </c>
      <c r="B1636" s="1">
        <v>46199</v>
      </c>
      <c r="C1636" t="s">
        <v>16</v>
      </c>
      <c r="D1636">
        <v>1499</v>
      </c>
      <c r="E1636">
        <v>1</v>
      </c>
      <c r="F1636">
        <v>4</v>
      </c>
      <c r="G1636" t="s">
        <v>34</v>
      </c>
      <c r="H1636" t="s">
        <v>340</v>
      </c>
      <c r="I1636" t="str">
        <f t="shared" si="31"/>
        <v>1499_1</v>
      </c>
      <c r="J1636" t="s">
        <v>294</v>
      </c>
      <c r="K1636" t="s">
        <v>19</v>
      </c>
      <c r="L1636" t="str">
        <f>_xlfn.XLOOKUP(C1636, Table2[Species],Table2[Genus], "Code Not Found")</f>
        <v>Acer</v>
      </c>
      <c r="M1636" t="str">
        <f>_xlfn.XLOOKUP(C1636, Table2[Species],Table2[Sp. Name], "Code Not Found")</f>
        <v>saccharum</v>
      </c>
      <c r="N1636" t="str">
        <f>_xlfn.XLOOKUP(C1636,Table2[Species],Table2[Family],"Code Not Found")</f>
        <v>Sapindaceae</v>
      </c>
      <c r="O1636" t="str" cm="1">
        <f t="array" ref="O1636">_xlfn.IFS(F1636="","",F1636&lt;=5,"0 to 5",F1636&lt;=10,"5.1 to 10",F1636&lt;=20,"10 to 20", F1636&lt;= 40, "20 to 40", F1636 &lt;= 50, "40 to 50", F1636 &gt; 50, "&gt;50" )</f>
        <v>0 to 5</v>
      </c>
    </row>
    <row r="1637" spans="1:15" ht="14.4" x14ac:dyDescent="0.3">
      <c r="A1637" t="s">
        <v>293</v>
      </c>
      <c r="B1637" s="1">
        <v>46199</v>
      </c>
      <c r="C1637" t="s">
        <v>16</v>
      </c>
      <c r="D1637">
        <v>1499</v>
      </c>
      <c r="E1637">
        <v>2</v>
      </c>
      <c r="F1637">
        <v>1.2</v>
      </c>
      <c r="G1637" t="s">
        <v>34</v>
      </c>
      <c r="H1637" t="s">
        <v>340</v>
      </c>
      <c r="I1637" t="str">
        <f t="shared" ref="I1637:I1639" si="32">D1637&amp;"_"&amp;E1637</f>
        <v>1499_2</v>
      </c>
      <c r="J1637" t="s">
        <v>294</v>
      </c>
      <c r="K1637" t="s">
        <v>19</v>
      </c>
      <c r="L1637" t="str">
        <f>_xlfn.XLOOKUP(C1637, Table2[Species],Table2[Genus], "Code Not Found")</f>
        <v>Acer</v>
      </c>
      <c r="M1637" t="str">
        <f>_xlfn.XLOOKUP(C1637, Table2[Species],Table2[Sp. Name], "Code Not Found")</f>
        <v>saccharum</v>
      </c>
      <c r="N1637" t="str">
        <f>_xlfn.XLOOKUP(C1637,Table2[Species],Table2[Family],"Code Not Found")</f>
        <v>Sapindaceae</v>
      </c>
      <c r="O1637" t="str" cm="1">
        <f t="array" ref="O1637">_xlfn.IFS(F1637="","",F1637&lt;=5,"0 to 5",F1637&lt;=10,"5.1 to 10",F1637&lt;=20,"10 to 20", F1637&lt;= 40, "20 to 40", F1637 &lt;= 50, "40 to 50", F1637 &gt; 50, "&gt;50" )</f>
        <v>0 to 5</v>
      </c>
    </row>
    <row r="1638" spans="1:15" ht="14.4" x14ac:dyDescent="0.3">
      <c r="A1638" t="s">
        <v>293</v>
      </c>
      <c r="B1638" s="1">
        <v>46199</v>
      </c>
      <c r="C1638" t="s">
        <v>16</v>
      </c>
      <c r="D1638">
        <v>1500</v>
      </c>
      <c r="E1638">
        <v>1</v>
      </c>
      <c r="F1638">
        <v>4.2</v>
      </c>
      <c r="G1638" t="s">
        <v>17</v>
      </c>
      <c r="I1638" t="str">
        <f t="shared" si="32"/>
        <v>1500_1</v>
      </c>
      <c r="J1638" t="s">
        <v>294</v>
      </c>
      <c r="K1638" t="s">
        <v>19</v>
      </c>
      <c r="L1638" t="str">
        <f>_xlfn.XLOOKUP(C1638, Table2[Species],Table2[Genus], "Code Not Found")</f>
        <v>Acer</v>
      </c>
      <c r="M1638" t="str">
        <f>_xlfn.XLOOKUP(C1638, Table2[Species],Table2[Sp. Name], "Code Not Found")</f>
        <v>saccharum</v>
      </c>
      <c r="N1638" t="str">
        <f>_xlfn.XLOOKUP(C1638,Table2[Species],Table2[Family],"Code Not Found")</f>
        <v>Sapindaceae</v>
      </c>
      <c r="O1638" t="str" cm="1">
        <f t="array" ref="O1638">_xlfn.IFS(F1638="","",F1638&lt;=5,"0 to 5",F1638&lt;=10,"5.1 to 10",F1638&lt;=20,"10 to 20", F1638&lt;= 40, "20 to 40", F1638 &lt;= 50, "40 to 50", F1638 &gt; 50, "&gt;50" )</f>
        <v>0 to 5</v>
      </c>
    </row>
    <row r="1639" spans="1:15" ht="14.4" x14ac:dyDescent="0.3">
      <c r="A1639" t="s">
        <v>293</v>
      </c>
      <c r="B1639" s="1">
        <v>46199</v>
      </c>
      <c r="C1639" t="s">
        <v>16</v>
      </c>
      <c r="D1639">
        <v>1501</v>
      </c>
      <c r="E1639">
        <v>1</v>
      </c>
      <c r="F1639">
        <v>7.5</v>
      </c>
      <c r="G1639" t="s">
        <v>88</v>
      </c>
      <c r="H1639" t="s">
        <v>287</v>
      </c>
      <c r="I1639" t="str">
        <f t="shared" si="32"/>
        <v>1501_1</v>
      </c>
      <c r="J1639" t="s">
        <v>294</v>
      </c>
      <c r="K1639" t="s">
        <v>19</v>
      </c>
      <c r="L1639" t="str">
        <f>_xlfn.XLOOKUP(C1639, Table2[Species],Table2[Genus], "Code Not Found")</f>
        <v>Acer</v>
      </c>
      <c r="M1639" t="str">
        <f>_xlfn.XLOOKUP(C1639, Table2[Species],Table2[Sp. Name], "Code Not Found")</f>
        <v>saccharum</v>
      </c>
      <c r="N1639" t="str">
        <f>_xlfn.XLOOKUP(C1639,Table2[Species],Table2[Family],"Code Not Found")</f>
        <v>Sapindaceae</v>
      </c>
      <c r="O1639" t="str" cm="1">
        <f t="array" ref="O1639">_xlfn.IFS(F1639="","",F1639&lt;=5,"0 to 5",F1639&lt;=10,"5.1 to 10",F1639&lt;=20,"10 to 20", F1639&lt;= 40, "20 to 40", F1639 &lt;= 50, "40 to 50", F1639 &gt; 50, "&gt;50" )</f>
        <v>5.1 to 10</v>
      </c>
    </row>
    <row r="1640" spans="1:15" ht="14.4" x14ac:dyDescent="0.3">
      <c r="A1640" t="s">
        <v>293</v>
      </c>
      <c r="B1640" s="1">
        <v>46199</v>
      </c>
      <c r="C1640" t="s">
        <v>16</v>
      </c>
      <c r="D1640">
        <v>1502</v>
      </c>
      <c r="E1640">
        <v>1</v>
      </c>
      <c r="F1640">
        <v>6.8</v>
      </c>
      <c r="G1640" t="s">
        <v>17</v>
      </c>
      <c r="I1640" t="str">
        <f t="shared" ref="I1640:I1641" si="33">D1640&amp;"_"&amp;E1640</f>
        <v>1502_1</v>
      </c>
      <c r="J1640" t="s">
        <v>294</v>
      </c>
      <c r="K1640" t="s">
        <v>19</v>
      </c>
      <c r="L1640" t="str">
        <f>_xlfn.XLOOKUP(C1640, Table2[Species],Table2[Genus], "Code Not Found")</f>
        <v>Acer</v>
      </c>
      <c r="M1640" t="str">
        <f>_xlfn.XLOOKUP(C1640, Table2[Species],Table2[Sp. Name], "Code Not Found")</f>
        <v>saccharum</v>
      </c>
      <c r="N1640" t="str">
        <f>_xlfn.XLOOKUP(C1640,Table2[Species],Table2[Family],"Code Not Found")</f>
        <v>Sapindaceae</v>
      </c>
      <c r="O1640" t="str" cm="1">
        <f t="array" ref="O1640">_xlfn.IFS(F1640="","",F1640&lt;=5,"0 to 5",F1640&lt;=10,"5.1 to 10",F1640&lt;=20,"10 to 20", F1640&lt;= 40, "20 to 40", F1640 &lt;= 50, "40 to 50", F1640 &gt; 50, "&gt;50" )</f>
        <v>5.1 to 10</v>
      </c>
    </row>
    <row r="1641" spans="1:15" ht="14.4" x14ac:dyDescent="0.3">
      <c r="A1641" t="s">
        <v>293</v>
      </c>
      <c r="B1641" s="1">
        <v>46199</v>
      </c>
      <c r="C1641" t="s">
        <v>16</v>
      </c>
      <c r="D1641">
        <v>1503</v>
      </c>
      <c r="E1641">
        <v>1</v>
      </c>
      <c r="F1641">
        <v>2.1</v>
      </c>
      <c r="G1641" t="s">
        <v>341</v>
      </c>
      <c r="H1641" t="s">
        <v>342</v>
      </c>
      <c r="I1641" t="str">
        <f t="shared" si="33"/>
        <v>1503_1</v>
      </c>
      <c r="J1641" t="s">
        <v>294</v>
      </c>
      <c r="K1641" t="s">
        <v>19</v>
      </c>
      <c r="L1641" t="str">
        <f>_xlfn.XLOOKUP(C1641, Table2[Species],Table2[Genus], "Code Not Found")</f>
        <v>Acer</v>
      </c>
      <c r="M1641" t="str">
        <f>_xlfn.XLOOKUP(C1641, Table2[Species],Table2[Sp. Name], "Code Not Found")</f>
        <v>saccharum</v>
      </c>
      <c r="N1641" t="str">
        <f>_xlfn.XLOOKUP(C1641,Table2[Species],Table2[Family],"Code Not Found")</f>
        <v>Sapindaceae</v>
      </c>
      <c r="O1641" t="str" cm="1">
        <f t="array" ref="O1641">_xlfn.IFS(F1641="","",F1641&lt;=5,"0 to 5",F1641&lt;=10,"5.1 to 10",F1641&lt;=20,"10 to 20", F1641&lt;= 40, "20 to 40", F1641 &lt;= 50, "40 to 50", F1641 &gt; 50, "&gt;50" )</f>
        <v>0 to 5</v>
      </c>
    </row>
    <row r="1642" spans="1:15" ht="15" customHeight="1" x14ac:dyDescent="0.3">
      <c r="A1642" t="s">
        <v>293</v>
      </c>
      <c r="B1642" s="1">
        <v>46199</v>
      </c>
      <c r="C1642" t="s">
        <v>16</v>
      </c>
      <c r="D1642">
        <v>1504</v>
      </c>
      <c r="E1642">
        <v>1</v>
      </c>
      <c r="F1642">
        <v>47.2</v>
      </c>
      <c r="G1642" t="s">
        <v>17</v>
      </c>
      <c r="I1642" t="str">
        <f t="shared" ref="I1642:I1661" si="34">D1642&amp;"_"&amp;E1642</f>
        <v>1504_1</v>
      </c>
      <c r="J1642" t="s">
        <v>294</v>
      </c>
      <c r="K1642" t="s">
        <v>19</v>
      </c>
      <c r="L1642" t="str">
        <f>_xlfn.XLOOKUP(C1642, Table2[Species],Table2[Genus], "Code Not Found")</f>
        <v>Acer</v>
      </c>
      <c r="M1642" t="str">
        <f>_xlfn.XLOOKUP(C1642, Table2[Species],Table2[Sp. Name], "Code Not Found")</f>
        <v>saccharum</v>
      </c>
      <c r="N1642" t="str">
        <f>_xlfn.XLOOKUP(C1642,Table2[Species],Table2[Family],"Code Not Found")</f>
        <v>Sapindaceae</v>
      </c>
      <c r="O1642" t="str" cm="1">
        <f t="array" ref="O1642">_xlfn.IFS(F1642="","",F1642&lt;=5,"0 to 5",F1642&lt;=10,"5.1 to 10",F1642&lt;=20,"10 to 20", F1642&lt;= 40, "20 to 40", F1642 &lt;= 50, "40 to 50", F1642 &gt; 50, "&gt;50" )</f>
        <v>40 to 50</v>
      </c>
    </row>
    <row r="1643" spans="1:15" ht="15" customHeight="1" x14ac:dyDescent="0.3">
      <c r="A1643" t="s">
        <v>293</v>
      </c>
      <c r="B1643" s="1">
        <v>46199</v>
      </c>
      <c r="C1643" t="s">
        <v>16</v>
      </c>
      <c r="D1643">
        <v>1505</v>
      </c>
      <c r="E1643">
        <v>1</v>
      </c>
      <c r="F1643">
        <v>4.9000000000000004</v>
      </c>
      <c r="G1643" t="s">
        <v>17</v>
      </c>
      <c r="I1643" t="str">
        <f t="shared" si="34"/>
        <v>1505_1</v>
      </c>
      <c r="J1643" t="s">
        <v>294</v>
      </c>
      <c r="K1643" t="s">
        <v>19</v>
      </c>
      <c r="L1643" t="str">
        <f>_xlfn.XLOOKUP(C1643, Table2[Species],Table2[Genus], "Code Not Found")</f>
        <v>Acer</v>
      </c>
      <c r="M1643" t="str">
        <f>_xlfn.XLOOKUP(C1643, Table2[Species],Table2[Sp. Name], "Code Not Found")</f>
        <v>saccharum</v>
      </c>
      <c r="N1643" t="str">
        <f>_xlfn.XLOOKUP(C1643,Table2[Species],Table2[Family],"Code Not Found")</f>
        <v>Sapindaceae</v>
      </c>
      <c r="O1643" t="str" cm="1">
        <f t="array" ref="O1643">_xlfn.IFS(F1643="","",F1643&lt;=5,"0 to 5",F1643&lt;=10,"5.1 to 10",F1643&lt;=20,"10 to 20", F1643&lt;= 40, "20 to 40", F1643 &lt;= 50, "40 to 50", F1643 &gt; 50, "&gt;50" )</f>
        <v>0 to 5</v>
      </c>
    </row>
    <row r="1644" spans="1:15" ht="15" customHeight="1" x14ac:dyDescent="0.3">
      <c r="A1644" t="s">
        <v>293</v>
      </c>
      <c r="B1644" s="1">
        <v>46199</v>
      </c>
      <c r="C1644" t="s">
        <v>16</v>
      </c>
      <c r="D1644">
        <v>1506</v>
      </c>
      <c r="E1644">
        <v>1</v>
      </c>
      <c r="F1644">
        <v>4.0999999999999996</v>
      </c>
      <c r="G1644" t="s">
        <v>17</v>
      </c>
      <c r="I1644" t="str">
        <f t="shared" si="34"/>
        <v>1506_1</v>
      </c>
      <c r="J1644" t="s">
        <v>294</v>
      </c>
      <c r="K1644" t="s">
        <v>19</v>
      </c>
      <c r="L1644" t="str">
        <f>_xlfn.XLOOKUP(C1644, Table2[Species],Table2[Genus], "Code Not Found")</f>
        <v>Acer</v>
      </c>
      <c r="M1644" t="str">
        <f>_xlfn.XLOOKUP(C1644, Table2[Species],Table2[Sp. Name], "Code Not Found")</f>
        <v>saccharum</v>
      </c>
      <c r="N1644" t="str">
        <f>_xlfn.XLOOKUP(C1644,Table2[Species],Table2[Family],"Code Not Found")</f>
        <v>Sapindaceae</v>
      </c>
      <c r="O1644" t="str" cm="1">
        <f t="array" ref="O1644">_xlfn.IFS(F1644="","",F1644&lt;=5,"0 to 5",F1644&lt;=10,"5.1 to 10",F1644&lt;=20,"10 to 20", F1644&lt;= 40, "20 to 40", F1644 &lt;= 50, "40 to 50", F1644 &gt; 50, "&gt;50" )</f>
        <v>0 to 5</v>
      </c>
    </row>
    <row r="1645" spans="1:15" ht="14.4" x14ac:dyDescent="0.3">
      <c r="A1645" t="s">
        <v>293</v>
      </c>
      <c r="B1645" s="1">
        <v>46199</v>
      </c>
      <c r="C1645" t="s">
        <v>16</v>
      </c>
      <c r="D1645">
        <v>1507</v>
      </c>
      <c r="E1645">
        <v>1</v>
      </c>
      <c r="F1645">
        <v>3.2</v>
      </c>
      <c r="G1645" t="s">
        <v>51</v>
      </c>
      <c r="I1645" t="str">
        <f t="shared" si="34"/>
        <v>1507_1</v>
      </c>
      <c r="J1645" t="s">
        <v>294</v>
      </c>
      <c r="K1645" t="s">
        <v>19</v>
      </c>
      <c r="L1645" t="str">
        <f>_xlfn.XLOOKUP(C1645, Table2[Species],Table2[Genus], "Code Not Found")</f>
        <v>Acer</v>
      </c>
      <c r="M1645" t="str">
        <f>_xlfn.XLOOKUP(C1645, Table2[Species],Table2[Sp. Name], "Code Not Found")</f>
        <v>saccharum</v>
      </c>
      <c r="N1645" t="str">
        <f>_xlfn.XLOOKUP(C1645,Table2[Species],Table2[Family],"Code Not Found")</f>
        <v>Sapindaceae</v>
      </c>
      <c r="O1645" t="str" cm="1">
        <f t="array" ref="O1645">_xlfn.IFS(F1645="","",F1645&lt;=5,"0 to 5",F1645&lt;=10,"5.1 to 10",F1645&lt;=20,"10 to 20", F1645&lt;= 40, "20 to 40", F1645 &lt;= 50, "40 to 50", F1645 &gt; 50, "&gt;50" )</f>
        <v>0 to 5</v>
      </c>
    </row>
    <row r="1646" spans="1:15" ht="15" customHeight="1" x14ac:dyDescent="0.3">
      <c r="A1646" t="s">
        <v>293</v>
      </c>
      <c r="B1646" s="1">
        <v>46199</v>
      </c>
      <c r="C1646" t="s">
        <v>16</v>
      </c>
      <c r="D1646">
        <v>1508</v>
      </c>
      <c r="E1646">
        <v>1</v>
      </c>
      <c r="F1646">
        <v>25.2</v>
      </c>
      <c r="G1646" t="s">
        <v>17</v>
      </c>
      <c r="I1646" t="str">
        <f t="shared" si="34"/>
        <v>1508_1</v>
      </c>
      <c r="J1646" t="s">
        <v>294</v>
      </c>
      <c r="K1646" t="s">
        <v>19</v>
      </c>
      <c r="L1646" t="str">
        <f>_xlfn.XLOOKUP(C1646, Table2[Species],Table2[Genus], "Code Not Found")</f>
        <v>Acer</v>
      </c>
      <c r="M1646" t="str">
        <f>_xlfn.XLOOKUP(C1646, Table2[Species],Table2[Sp. Name], "Code Not Found")</f>
        <v>saccharum</v>
      </c>
      <c r="N1646" t="str">
        <f>_xlfn.XLOOKUP(C1646,Table2[Species],Table2[Family],"Code Not Found")</f>
        <v>Sapindaceae</v>
      </c>
      <c r="O1646" t="str" cm="1">
        <f t="array" ref="O1646">_xlfn.IFS(F1646="","",F1646&lt;=5,"0 to 5",F1646&lt;=10,"5.1 to 10",F1646&lt;=20,"10 to 20", F1646&lt;= 40, "20 to 40", F1646 &lt;= 50, "40 to 50", F1646 &gt; 50, "&gt;50" )</f>
        <v>20 to 40</v>
      </c>
    </row>
    <row r="1647" spans="1:15" ht="15" customHeight="1" x14ac:dyDescent="0.3">
      <c r="A1647" t="s">
        <v>293</v>
      </c>
      <c r="B1647" s="1">
        <v>46199</v>
      </c>
      <c r="C1647" t="s">
        <v>22</v>
      </c>
      <c r="D1647">
        <v>1509</v>
      </c>
      <c r="E1647">
        <v>1</v>
      </c>
      <c r="F1647">
        <v>53.9</v>
      </c>
      <c r="G1647" t="s">
        <v>17</v>
      </c>
      <c r="H1647" t="s">
        <v>343</v>
      </c>
      <c r="I1647" t="str">
        <f t="shared" si="34"/>
        <v>1509_1</v>
      </c>
      <c r="J1647" t="s">
        <v>294</v>
      </c>
      <c r="K1647" t="s">
        <v>19</v>
      </c>
      <c r="L1647" t="str">
        <f>_xlfn.XLOOKUP(C1647, Table2[Species],Table2[Genus], "Code Not Found")</f>
        <v>Acer</v>
      </c>
      <c r="M1647" t="str">
        <f>_xlfn.XLOOKUP(C1647, Table2[Species],Table2[Sp. Name], "Code Not Found")</f>
        <v>rubrum</v>
      </c>
      <c r="N1647" t="str">
        <f>_xlfn.XLOOKUP(C1647,Table2[Species],Table2[Family],"Code Not Found")</f>
        <v>Sapindaceae</v>
      </c>
      <c r="O1647" t="str" cm="1">
        <f t="array" ref="O1647">_xlfn.IFS(F1647="","",F1647&lt;=5,"0 to 5",F1647&lt;=10,"5.1 to 10",F1647&lt;=20,"10 to 20", F1647&lt;= 40, "20 to 40", F1647 &lt;= 50, "40 to 50", F1647 &gt; 50, "&gt;50" )</f>
        <v>&gt;50</v>
      </c>
    </row>
    <row r="1648" spans="1:15" ht="15" customHeight="1" x14ac:dyDescent="0.3">
      <c r="A1648" t="s">
        <v>293</v>
      </c>
      <c r="B1648" s="1">
        <v>46199</v>
      </c>
      <c r="C1648" t="s">
        <v>22</v>
      </c>
      <c r="D1648">
        <v>1510</v>
      </c>
      <c r="E1648">
        <v>1</v>
      </c>
      <c r="F1648">
        <v>53.2</v>
      </c>
      <c r="G1648" t="s">
        <v>21</v>
      </c>
      <c r="I1648" t="str">
        <f t="shared" si="34"/>
        <v>1510_1</v>
      </c>
      <c r="J1648" t="s">
        <v>294</v>
      </c>
      <c r="K1648" t="s">
        <v>19</v>
      </c>
      <c r="L1648" t="str">
        <f>_xlfn.XLOOKUP(C1648, Table2[Species],Table2[Genus], "Code Not Found")</f>
        <v>Acer</v>
      </c>
      <c r="M1648" t="str">
        <f>_xlfn.XLOOKUP(C1648, Table2[Species],Table2[Sp. Name], "Code Not Found")</f>
        <v>rubrum</v>
      </c>
      <c r="N1648" t="str">
        <f>_xlfn.XLOOKUP(C1648,Table2[Species],Table2[Family],"Code Not Found")</f>
        <v>Sapindaceae</v>
      </c>
      <c r="O1648" t="str" cm="1">
        <f t="array" ref="O1648">_xlfn.IFS(F1648="","",F1648&lt;=5,"0 to 5",F1648&lt;=10,"5.1 to 10",F1648&lt;=20,"10 to 20", F1648&lt;= 40, "20 to 40", F1648 &lt;= 50, "40 to 50", F1648 &gt; 50, "&gt;50" )</f>
        <v>&gt;50</v>
      </c>
    </row>
    <row r="1649" spans="1:15" ht="15" customHeight="1" x14ac:dyDescent="0.3">
      <c r="A1649" t="s">
        <v>293</v>
      </c>
      <c r="B1649" s="1">
        <v>46199</v>
      </c>
      <c r="C1649" t="s">
        <v>16</v>
      </c>
      <c r="D1649">
        <v>1511</v>
      </c>
      <c r="E1649">
        <v>1</v>
      </c>
      <c r="F1649">
        <v>5.6</v>
      </c>
      <c r="G1649" t="s">
        <v>139</v>
      </c>
      <c r="H1649" t="s">
        <v>344</v>
      </c>
      <c r="I1649" t="str">
        <f t="shared" si="34"/>
        <v>1511_1</v>
      </c>
      <c r="J1649" t="s">
        <v>294</v>
      </c>
      <c r="K1649" t="s">
        <v>19</v>
      </c>
      <c r="L1649" t="str">
        <f>_xlfn.XLOOKUP(C1649, Table2[Species],Table2[Genus], "Code Not Found")</f>
        <v>Acer</v>
      </c>
      <c r="M1649" t="str">
        <f>_xlfn.XLOOKUP(C1649, Table2[Species],Table2[Sp. Name], "Code Not Found")</f>
        <v>saccharum</v>
      </c>
      <c r="N1649" t="str">
        <f>_xlfn.XLOOKUP(C1649,Table2[Species],Table2[Family],"Code Not Found")</f>
        <v>Sapindaceae</v>
      </c>
      <c r="O1649" t="str" cm="1">
        <f t="array" ref="O1649">_xlfn.IFS(F1649="","",F1649&lt;=5,"0 to 5",F1649&lt;=10,"5.1 to 10",F1649&lt;=20,"10 to 20", F1649&lt;= 40, "20 to 40", F1649 &lt;= 50, "40 to 50", F1649 &gt; 50, "&gt;50" )</f>
        <v>5.1 to 10</v>
      </c>
    </row>
    <row r="1650" spans="1:15" ht="15" customHeight="1" x14ac:dyDescent="0.3">
      <c r="A1650" t="s">
        <v>293</v>
      </c>
      <c r="B1650" s="1">
        <v>46199</v>
      </c>
      <c r="C1650" t="s">
        <v>16</v>
      </c>
      <c r="D1650">
        <v>1512</v>
      </c>
      <c r="E1650">
        <v>1</v>
      </c>
      <c r="F1650">
        <v>6</v>
      </c>
      <c r="G1650" t="s">
        <v>17</v>
      </c>
      <c r="I1650" t="str">
        <f t="shared" si="34"/>
        <v>1512_1</v>
      </c>
      <c r="J1650" t="s">
        <v>294</v>
      </c>
      <c r="K1650" t="s">
        <v>19</v>
      </c>
      <c r="L1650" t="str">
        <f>_xlfn.XLOOKUP(C1650, Table2[Species],Table2[Genus], "Code Not Found")</f>
        <v>Acer</v>
      </c>
      <c r="M1650" t="str">
        <f>_xlfn.XLOOKUP(C1650, Table2[Species],Table2[Sp. Name], "Code Not Found")</f>
        <v>saccharum</v>
      </c>
      <c r="N1650" t="str">
        <f>_xlfn.XLOOKUP(C1650,Table2[Species],Table2[Family],"Code Not Found")</f>
        <v>Sapindaceae</v>
      </c>
      <c r="O1650" t="str" cm="1">
        <f t="array" ref="O1650">_xlfn.IFS(F1650="","",F1650&lt;=5,"0 to 5",F1650&lt;=10,"5.1 to 10",F1650&lt;=20,"10 to 20", F1650&lt;= 40, "20 to 40", F1650 &lt;= 50, "40 to 50", F1650 &gt; 50, "&gt;50" )</f>
        <v>5.1 to 10</v>
      </c>
    </row>
    <row r="1651" spans="1:15" ht="15" customHeight="1" x14ac:dyDescent="0.3">
      <c r="A1651" t="s">
        <v>293</v>
      </c>
      <c r="B1651" s="1">
        <v>46199</v>
      </c>
      <c r="C1651" t="s">
        <v>16</v>
      </c>
      <c r="D1651">
        <v>1513</v>
      </c>
      <c r="E1651">
        <v>1</v>
      </c>
      <c r="F1651">
        <v>7.8</v>
      </c>
      <c r="G1651" t="s">
        <v>17</v>
      </c>
      <c r="I1651" t="str">
        <f t="shared" si="34"/>
        <v>1513_1</v>
      </c>
      <c r="J1651" t="s">
        <v>294</v>
      </c>
      <c r="K1651" t="s">
        <v>19</v>
      </c>
      <c r="L1651" t="str">
        <f>_xlfn.XLOOKUP(C1651, Table2[Species],Table2[Genus], "Code Not Found")</f>
        <v>Acer</v>
      </c>
      <c r="M1651" t="str">
        <f>_xlfn.XLOOKUP(C1651, Table2[Species],Table2[Sp. Name], "Code Not Found")</f>
        <v>saccharum</v>
      </c>
      <c r="N1651" t="str">
        <f>_xlfn.XLOOKUP(C1651,Table2[Species],Table2[Family],"Code Not Found")</f>
        <v>Sapindaceae</v>
      </c>
      <c r="O1651" t="str" cm="1">
        <f t="array" ref="O1651">_xlfn.IFS(F1651="","",F1651&lt;=5,"0 to 5",F1651&lt;=10,"5.1 to 10",F1651&lt;=20,"10 to 20", F1651&lt;= 40, "20 to 40", F1651 &lt;= 50, "40 to 50", F1651 &gt; 50, "&gt;50" )</f>
        <v>5.1 to 10</v>
      </c>
    </row>
    <row r="1652" spans="1:15" ht="15" customHeight="1" x14ac:dyDescent="0.3">
      <c r="A1652" t="s">
        <v>293</v>
      </c>
      <c r="B1652" s="1">
        <v>46199</v>
      </c>
      <c r="C1652" t="s">
        <v>16</v>
      </c>
      <c r="D1652">
        <v>1514</v>
      </c>
      <c r="E1652">
        <v>1</v>
      </c>
      <c r="F1652">
        <v>4.2</v>
      </c>
      <c r="G1652" t="s">
        <v>47</v>
      </c>
      <c r="H1652" t="s">
        <v>43</v>
      </c>
      <c r="I1652" t="str">
        <f t="shared" si="34"/>
        <v>1514_1</v>
      </c>
      <c r="J1652" t="s">
        <v>294</v>
      </c>
      <c r="K1652" t="s">
        <v>19</v>
      </c>
      <c r="L1652" t="str">
        <f>_xlfn.XLOOKUP(C1652, Table2[Species],Table2[Genus], "Code Not Found")</f>
        <v>Acer</v>
      </c>
      <c r="M1652" t="str">
        <f>_xlfn.XLOOKUP(C1652, Table2[Species],Table2[Sp. Name], "Code Not Found")</f>
        <v>saccharum</v>
      </c>
      <c r="N1652" t="str">
        <f>_xlfn.XLOOKUP(C1652,Table2[Species],Table2[Family],"Code Not Found")</f>
        <v>Sapindaceae</v>
      </c>
      <c r="O1652" t="str" cm="1">
        <f t="array" ref="O1652">_xlfn.IFS(F1652="","",F1652&lt;=5,"0 to 5",F1652&lt;=10,"5.1 to 10",F1652&lt;=20,"10 to 20", F1652&lt;= 40, "20 to 40", F1652 &lt;= 50, "40 to 50", F1652 &gt; 50, "&gt;50" )</f>
        <v>0 to 5</v>
      </c>
    </row>
    <row r="1653" spans="1:15" ht="15" customHeight="1" x14ac:dyDescent="0.3">
      <c r="A1653" t="s">
        <v>293</v>
      </c>
      <c r="B1653" s="1">
        <v>46199</v>
      </c>
      <c r="C1653" t="s">
        <v>16</v>
      </c>
      <c r="D1653">
        <v>1515</v>
      </c>
      <c r="E1653">
        <v>1</v>
      </c>
      <c r="F1653">
        <v>4.9000000000000004</v>
      </c>
      <c r="G1653" t="s">
        <v>93</v>
      </c>
      <c r="H1653" t="s">
        <v>43</v>
      </c>
      <c r="I1653" t="str">
        <f t="shared" si="34"/>
        <v>1515_1</v>
      </c>
      <c r="J1653" t="s">
        <v>294</v>
      </c>
      <c r="K1653" t="s">
        <v>19</v>
      </c>
      <c r="L1653" t="str">
        <f>_xlfn.XLOOKUP(C1653, Table2[Species],Table2[Genus], "Code Not Found")</f>
        <v>Acer</v>
      </c>
      <c r="M1653" t="str">
        <f>_xlfn.XLOOKUP(C1653, Table2[Species],Table2[Sp. Name], "Code Not Found")</f>
        <v>saccharum</v>
      </c>
      <c r="N1653" t="str">
        <f>_xlfn.XLOOKUP(C1653,Table2[Species],Table2[Family],"Code Not Found")</f>
        <v>Sapindaceae</v>
      </c>
      <c r="O1653" t="str" cm="1">
        <f t="array" ref="O1653">_xlfn.IFS(F1653="","",F1653&lt;=5,"0 to 5",F1653&lt;=10,"5.1 to 10",F1653&lt;=20,"10 to 20", F1653&lt;= 40, "20 to 40", F1653 &lt;= 50, "40 to 50", F1653 &gt; 50, "&gt;50" )</f>
        <v>0 to 5</v>
      </c>
    </row>
    <row r="1654" spans="1:15" ht="15" customHeight="1" x14ac:dyDescent="0.3">
      <c r="A1654" t="s">
        <v>293</v>
      </c>
      <c r="B1654" s="1">
        <v>46199</v>
      </c>
      <c r="C1654" t="s">
        <v>16</v>
      </c>
      <c r="D1654">
        <v>1515</v>
      </c>
      <c r="E1654">
        <v>2</v>
      </c>
      <c r="F1654">
        <v>3.2</v>
      </c>
      <c r="G1654" t="s">
        <v>93</v>
      </c>
      <c r="H1654" t="s">
        <v>43</v>
      </c>
      <c r="I1654" t="str">
        <f t="shared" si="34"/>
        <v>1515_2</v>
      </c>
      <c r="J1654" t="s">
        <v>294</v>
      </c>
      <c r="K1654" t="s">
        <v>19</v>
      </c>
      <c r="L1654" t="str">
        <f>_xlfn.XLOOKUP(C1654, Table2[Species],Table2[Genus], "Code Not Found")</f>
        <v>Acer</v>
      </c>
      <c r="M1654" t="str">
        <f>_xlfn.XLOOKUP(C1654, Table2[Species],Table2[Sp. Name], "Code Not Found")</f>
        <v>saccharum</v>
      </c>
      <c r="N1654" t="str">
        <f>_xlfn.XLOOKUP(C1654,Table2[Species],Table2[Family],"Code Not Found")</f>
        <v>Sapindaceae</v>
      </c>
      <c r="O1654" t="str" cm="1">
        <f t="array" ref="O1654">_xlfn.IFS(F1654="","",F1654&lt;=5,"0 to 5",F1654&lt;=10,"5.1 to 10",F1654&lt;=20,"10 to 20", F1654&lt;= 40, "20 to 40", F1654 &lt;= 50, "40 to 50", F1654 &gt; 50, "&gt;50" )</f>
        <v>0 to 5</v>
      </c>
    </row>
    <row r="1655" spans="1:15" ht="15" customHeight="1" x14ac:dyDescent="0.3">
      <c r="A1655" t="s">
        <v>293</v>
      </c>
      <c r="B1655" s="1">
        <v>46199</v>
      </c>
      <c r="C1655" t="s">
        <v>16</v>
      </c>
      <c r="D1655">
        <v>1515</v>
      </c>
      <c r="E1655">
        <v>3</v>
      </c>
      <c r="F1655">
        <v>1.8</v>
      </c>
      <c r="G1655" t="s">
        <v>93</v>
      </c>
      <c r="H1655" t="s">
        <v>43</v>
      </c>
      <c r="I1655" t="str">
        <f t="shared" si="34"/>
        <v>1515_3</v>
      </c>
      <c r="J1655" t="s">
        <v>294</v>
      </c>
      <c r="K1655" t="s">
        <v>19</v>
      </c>
      <c r="L1655" t="str">
        <f>_xlfn.XLOOKUP(C1655, Table2[Species],Table2[Genus], "Code Not Found")</f>
        <v>Acer</v>
      </c>
      <c r="M1655" t="str">
        <f>_xlfn.XLOOKUP(C1655, Table2[Species],Table2[Sp. Name], "Code Not Found")</f>
        <v>saccharum</v>
      </c>
      <c r="N1655" t="str">
        <f>_xlfn.XLOOKUP(C1655,Table2[Species],Table2[Family],"Code Not Found")</f>
        <v>Sapindaceae</v>
      </c>
      <c r="O1655" t="str" cm="1">
        <f t="array" ref="O1655">_xlfn.IFS(F1655="","",F1655&lt;=5,"0 to 5",F1655&lt;=10,"5.1 to 10",F1655&lt;=20,"10 to 20", F1655&lt;= 40, "20 to 40", F1655 &lt;= 50, "40 to 50", F1655 &gt; 50, "&gt;50" )</f>
        <v>0 to 5</v>
      </c>
    </row>
    <row r="1656" spans="1:15" ht="15" customHeight="1" x14ac:dyDescent="0.3">
      <c r="A1656" t="s">
        <v>293</v>
      </c>
      <c r="B1656" s="1">
        <v>46199</v>
      </c>
      <c r="C1656" t="s">
        <v>16</v>
      </c>
      <c r="D1656">
        <v>1515</v>
      </c>
      <c r="E1656">
        <v>4</v>
      </c>
      <c r="F1656">
        <v>1.3</v>
      </c>
      <c r="G1656" t="s">
        <v>93</v>
      </c>
      <c r="H1656" t="s">
        <v>43</v>
      </c>
      <c r="I1656" t="str">
        <f t="shared" si="34"/>
        <v>1515_4</v>
      </c>
      <c r="J1656" t="s">
        <v>294</v>
      </c>
      <c r="K1656" t="s">
        <v>19</v>
      </c>
      <c r="L1656" t="str">
        <f>_xlfn.XLOOKUP(C1656, Table2[Species],Table2[Genus], "Code Not Found")</f>
        <v>Acer</v>
      </c>
      <c r="M1656" t="str">
        <f>_xlfn.XLOOKUP(C1656, Table2[Species],Table2[Sp. Name], "Code Not Found")</f>
        <v>saccharum</v>
      </c>
      <c r="N1656" t="str">
        <f>_xlfn.XLOOKUP(C1656,Table2[Species],Table2[Family],"Code Not Found")</f>
        <v>Sapindaceae</v>
      </c>
      <c r="O1656" t="str" cm="1">
        <f t="array" ref="O1656">_xlfn.IFS(F1656="","",F1656&lt;=5,"0 to 5",F1656&lt;=10,"5.1 to 10",F1656&lt;=20,"10 to 20", F1656&lt;= 40, "20 to 40", F1656 &lt;= 50, "40 to 50", F1656 &gt; 50, "&gt;50" )</f>
        <v>0 to 5</v>
      </c>
    </row>
    <row r="1657" spans="1:15" ht="15" customHeight="1" x14ac:dyDescent="0.3">
      <c r="A1657" t="s">
        <v>293</v>
      </c>
      <c r="B1657" s="1">
        <v>46199</v>
      </c>
      <c r="C1657" t="s">
        <v>16</v>
      </c>
      <c r="D1657">
        <v>1516</v>
      </c>
      <c r="E1657">
        <v>1</v>
      </c>
      <c r="F1657">
        <v>8.3000000000000007</v>
      </c>
      <c r="G1657" t="s">
        <v>21</v>
      </c>
      <c r="I1657" t="str">
        <f t="shared" si="34"/>
        <v>1516_1</v>
      </c>
      <c r="J1657" t="s">
        <v>294</v>
      </c>
      <c r="K1657" t="s">
        <v>19</v>
      </c>
      <c r="L1657" t="str">
        <f>_xlfn.XLOOKUP(C1657, Table2[Species],Table2[Genus], "Code Not Found")</f>
        <v>Acer</v>
      </c>
      <c r="M1657" t="str">
        <f>_xlfn.XLOOKUP(C1657, Table2[Species],Table2[Sp. Name], "Code Not Found")</f>
        <v>saccharum</v>
      </c>
      <c r="N1657" t="str">
        <f>_xlfn.XLOOKUP(C1657,Table2[Species],Table2[Family],"Code Not Found")</f>
        <v>Sapindaceae</v>
      </c>
      <c r="O1657" t="str" cm="1">
        <f t="array" ref="O1657">_xlfn.IFS(F1657="","",F1657&lt;=5,"0 to 5",F1657&lt;=10,"5.1 to 10",F1657&lt;=20,"10 to 20", F1657&lt;= 40, "20 to 40", F1657 &lt;= 50, "40 to 50", F1657 &gt; 50, "&gt;50" )</f>
        <v>5.1 to 10</v>
      </c>
    </row>
    <row r="1658" spans="1:15" ht="15" customHeight="1" x14ac:dyDescent="0.3">
      <c r="A1658" t="s">
        <v>293</v>
      </c>
      <c r="B1658" s="1">
        <v>46199</v>
      </c>
      <c r="C1658" t="s">
        <v>22</v>
      </c>
      <c r="D1658">
        <v>1517</v>
      </c>
      <c r="E1658">
        <v>1</v>
      </c>
      <c r="F1658">
        <v>42.5</v>
      </c>
      <c r="G1658" t="s">
        <v>21</v>
      </c>
      <c r="I1658" t="str">
        <f t="shared" si="34"/>
        <v>1517_1</v>
      </c>
      <c r="J1658" t="s">
        <v>294</v>
      </c>
      <c r="K1658" t="s">
        <v>19</v>
      </c>
      <c r="L1658" t="str">
        <f>_xlfn.XLOOKUP(C1658, Table2[Species],Table2[Genus], "Code Not Found")</f>
        <v>Acer</v>
      </c>
      <c r="M1658" t="str">
        <f>_xlfn.XLOOKUP(C1658, Table2[Species],Table2[Sp. Name], "Code Not Found")</f>
        <v>rubrum</v>
      </c>
      <c r="N1658" t="str">
        <f>_xlfn.XLOOKUP(C1658,Table2[Species],Table2[Family],"Code Not Found")</f>
        <v>Sapindaceae</v>
      </c>
      <c r="O1658" t="str" cm="1">
        <f t="array" ref="O1658">_xlfn.IFS(F1658="","",F1658&lt;=5,"0 to 5",F1658&lt;=10,"5.1 to 10",F1658&lt;=20,"10 to 20", F1658&lt;= 40, "20 to 40", F1658 &lt;= 50, "40 to 50", F1658 &gt; 50, "&gt;50" )</f>
        <v>40 to 50</v>
      </c>
    </row>
    <row r="1659" spans="1:15" ht="15" customHeight="1" x14ac:dyDescent="0.3">
      <c r="A1659" t="s">
        <v>293</v>
      </c>
      <c r="B1659" s="1">
        <v>46199</v>
      </c>
      <c r="C1659" t="s">
        <v>16</v>
      </c>
      <c r="D1659">
        <v>1518</v>
      </c>
      <c r="E1659">
        <v>1</v>
      </c>
      <c r="F1659">
        <v>7.2</v>
      </c>
      <c r="G1659" t="s">
        <v>54</v>
      </c>
      <c r="H1659" t="s">
        <v>345</v>
      </c>
      <c r="I1659" t="str">
        <f t="shared" si="34"/>
        <v>1518_1</v>
      </c>
      <c r="J1659" t="s">
        <v>294</v>
      </c>
      <c r="K1659" t="s">
        <v>19</v>
      </c>
      <c r="L1659" t="str">
        <f>_xlfn.XLOOKUP(C1659, Table2[Species],Table2[Genus], "Code Not Found")</f>
        <v>Acer</v>
      </c>
      <c r="M1659" t="str">
        <f>_xlfn.XLOOKUP(C1659, Table2[Species],Table2[Sp. Name], "Code Not Found")</f>
        <v>saccharum</v>
      </c>
      <c r="N1659" t="str">
        <f>_xlfn.XLOOKUP(C1659,Table2[Species],Table2[Family],"Code Not Found")</f>
        <v>Sapindaceae</v>
      </c>
      <c r="O1659" t="str" cm="1">
        <f t="array" ref="O1659">_xlfn.IFS(F1659="","",F1659&lt;=5,"0 to 5",F1659&lt;=10,"5.1 to 10",F1659&lt;=20,"10 to 20", F1659&lt;= 40, "20 to 40", F1659 &lt;= 50, "40 to 50", F1659 &gt; 50, "&gt;50" )</f>
        <v>5.1 to 10</v>
      </c>
    </row>
    <row r="1660" spans="1:15" ht="15" customHeight="1" x14ac:dyDescent="0.3">
      <c r="A1660" t="s">
        <v>293</v>
      </c>
      <c r="B1660" s="1">
        <v>46199</v>
      </c>
      <c r="C1660" t="s">
        <v>22</v>
      </c>
      <c r="D1660">
        <v>1519</v>
      </c>
      <c r="E1660">
        <v>1</v>
      </c>
      <c r="F1660">
        <v>48.2</v>
      </c>
      <c r="G1660" t="s">
        <v>56</v>
      </c>
      <c r="H1660" t="s">
        <v>346</v>
      </c>
      <c r="I1660" t="str">
        <f t="shared" si="34"/>
        <v>1519_1</v>
      </c>
      <c r="J1660" t="s">
        <v>294</v>
      </c>
      <c r="K1660" t="s">
        <v>19</v>
      </c>
      <c r="L1660" t="str">
        <f>_xlfn.XLOOKUP(C1660, Table2[Species],Table2[Genus], "Code Not Found")</f>
        <v>Acer</v>
      </c>
      <c r="M1660" t="str">
        <f>_xlfn.XLOOKUP(C1660, Table2[Species],Table2[Sp. Name], "Code Not Found")</f>
        <v>rubrum</v>
      </c>
      <c r="N1660" t="str">
        <f>_xlfn.XLOOKUP(C1660,Table2[Species],Table2[Family],"Code Not Found")</f>
        <v>Sapindaceae</v>
      </c>
      <c r="O1660" t="str" cm="1">
        <f t="array" ref="O1660">_xlfn.IFS(F1660="","",F1660&lt;=5,"0 to 5",F1660&lt;=10,"5.1 to 10",F1660&lt;=20,"10 to 20", F1660&lt;= 40, "20 to 40", F1660 &lt;= 50, "40 to 50", F1660 &gt; 50, "&gt;50" )</f>
        <v>40 to 50</v>
      </c>
    </row>
    <row r="1661" spans="1:15" ht="15" customHeight="1" x14ac:dyDescent="0.3">
      <c r="A1661" t="s">
        <v>293</v>
      </c>
      <c r="B1661" s="1">
        <v>46199</v>
      </c>
      <c r="C1661" t="s">
        <v>64</v>
      </c>
      <c r="D1661">
        <v>1520</v>
      </c>
      <c r="E1661">
        <v>1</v>
      </c>
      <c r="F1661">
        <v>7.3</v>
      </c>
      <c r="G1661" t="s">
        <v>21</v>
      </c>
      <c r="I1661" t="str">
        <f t="shared" si="34"/>
        <v>1520_1</v>
      </c>
      <c r="J1661" t="s">
        <v>294</v>
      </c>
      <c r="K1661" t="s">
        <v>19</v>
      </c>
      <c r="L1661" t="str">
        <f>_xlfn.XLOOKUP(C1661, Table2[Species],Table2[Genus], "Code Not Found")</f>
        <v>Fagus</v>
      </c>
      <c r="M1661" t="str">
        <f>_xlfn.XLOOKUP(C1661, Table2[Species],Table2[Sp. Name], "Code Not Found")</f>
        <v>grandifolia</v>
      </c>
      <c r="N1661" t="str">
        <f>_xlfn.XLOOKUP(C1661,Table2[Species],Table2[Family],"Code Not Found")</f>
        <v>Fagaceae</v>
      </c>
      <c r="O1661" t="str" cm="1">
        <f t="array" ref="O1661">_xlfn.IFS(F1661="","",F1661&lt;=5,"0 to 5",F1661&lt;=10,"5.1 to 10",F1661&lt;=20,"10 to 20", F1661&lt;= 40, "20 to 40", F1661 &lt;= 50, "40 to 50", F1661 &gt; 50, "&gt;50" )</f>
        <v>5.1 to 10</v>
      </c>
    </row>
    <row r="1662" spans="1:15" ht="15" customHeight="1" x14ac:dyDescent="0.3">
      <c r="A1662" t="s">
        <v>293</v>
      </c>
      <c r="B1662" s="1">
        <v>46199</v>
      </c>
      <c r="C1662" t="s">
        <v>20</v>
      </c>
      <c r="D1662">
        <v>1521</v>
      </c>
      <c r="E1662">
        <v>1</v>
      </c>
      <c r="F1662">
        <v>71.599999999999994</v>
      </c>
      <c r="G1662" t="s">
        <v>21</v>
      </c>
      <c r="I1662" t="str">
        <f t="shared" ref="I1662:I1681" si="35">D1662&amp;"_"&amp;E1662</f>
        <v>1521_1</v>
      </c>
      <c r="J1662" t="s">
        <v>294</v>
      </c>
      <c r="K1662" t="s">
        <v>19</v>
      </c>
      <c r="L1662" t="str">
        <f>_xlfn.XLOOKUP(C1662, Table2[Species],Table2[Genus], "Code Not Found")</f>
        <v>Prunus</v>
      </c>
      <c r="M1662" t="str">
        <f>_xlfn.XLOOKUP(C1662, Table2[Species],Table2[Sp. Name], "Code Not Found")</f>
        <v>serotina</v>
      </c>
      <c r="N1662" t="str">
        <f>_xlfn.XLOOKUP(C1662,Table2[Species],Table2[Family],"Code Not Found")</f>
        <v>Rosaceae</v>
      </c>
      <c r="O1662" t="str" cm="1">
        <f t="array" ref="O1662">_xlfn.IFS(F1662="","",F1662&lt;=5,"0 to 5",F1662&lt;=10,"5.1 to 10",F1662&lt;=20,"10 to 20", F1662&lt;= 40, "20 to 40", F1662 &lt;= 50, "40 to 50", F1662 &gt; 50, "&gt;50" )</f>
        <v>&gt;50</v>
      </c>
    </row>
    <row r="1663" spans="1:15" ht="15" customHeight="1" x14ac:dyDescent="0.3">
      <c r="A1663" t="s">
        <v>293</v>
      </c>
      <c r="B1663" s="1">
        <v>46199</v>
      </c>
      <c r="C1663" t="s">
        <v>16</v>
      </c>
      <c r="D1663">
        <v>1522</v>
      </c>
      <c r="E1663">
        <v>1</v>
      </c>
      <c r="F1663">
        <v>4.2</v>
      </c>
      <c r="G1663" t="s">
        <v>47</v>
      </c>
      <c r="H1663" t="s">
        <v>347</v>
      </c>
      <c r="I1663" t="str">
        <f t="shared" si="35"/>
        <v>1522_1</v>
      </c>
      <c r="J1663" t="s">
        <v>294</v>
      </c>
      <c r="K1663" t="s">
        <v>19</v>
      </c>
      <c r="L1663" t="str">
        <f>_xlfn.XLOOKUP(C1663, Table2[Species],Table2[Genus], "Code Not Found")</f>
        <v>Acer</v>
      </c>
      <c r="M1663" t="str">
        <f>_xlfn.XLOOKUP(C1663, Table2[Species],Table2[Sp. Name], "Code Not Found")</f>
        <v>saccharum</v>
      </c>
      <c r="N1663" t="str">
        <f>_xlfn.XLOOKUP(C1663,Table2[Species],Table2[Family],"Code Not Found")</f>
        <v>Sapindaceae</v>
      </c>
      <c r="O1663" t="str" cm="1">
        <f t="array" ref="O1663">_xlfn.IFS(F1663="","",F1663&lt;=5,"0 to 5",F1663&lt;=10,"5.1 to 10",F1663&lt;=20,"10 to 20", F1663&lt;= 40, "20 to 40", F1663 &lt;= 50, "40 to 50", F1663 &gt; 50, "&gt;50" )</f>
        <v>0 to 5</v>
      </c>
    </row>
    <row r="1664" spans="1:15" ht="15" customHeight="1" x14ac:dyDescent="0.3">
      <c r="A1664" t="s">
        <v>293</v>
      </c>
      <c r="B1664" s="1">
        <v>46199</v>
      </c>
      <c r="C1664" t="s">
        <v>16</v>
      </c>
      <c r="D1664">
        <v>1523</v>
      </c>
      <c r="E1664">
        <v>1</v>
      </c>
      <c r="F1664">
        <v>3.3</v>
      </c>
      <c r="G1664" t="s">
        <v>47</v>
      </c>
      <c r="H1664" t="s">
        <v>43</v>
      </c>
      <c r="I1664" t="str">
        <f t="shared" si="35"/>
        <v>1523_1</v>
      </c>
      <c r="J1664" t="s">
        <v>294</v>
      </c>
      <c r="K1664" t="s">
        <v>19</v>
      </c>
      <c r="L1664" t="str">
        <f>_xlfn.XLOOKUP(C1664, Table2[Species],Table2[Genus], "Code Not Found")</f>
        <v>Acer</v>
      </c>
      <c r="M1664" t="str">
        <f>_xlfn.XLOOKUP(C1664, Table2[Species],Table2[Sp. Name], "Code Not Found")</f>
        <v>saccharum</v>
      </c>
      <c r="N1664" t="str">
        <f>_xlfn.XLOOKUP(C1664,Table2[Species],Table2[Family],"Code Not Found")</f>
        <v>Sapindaceae</v>
      </c>
      <c r="O1664" t="str" cm="1">
        <f t="array" ref="O1664">_xlfn.IFS(F1664="","",F1664&lt;=5,"0 to 5",F1664&lt;=10,"5.1 to 10",F1664&lt;=20,"10 to 20", F1664&lt;= 40, "20 to 40", F1664 &lt;= 50, "40 to 50", F1664 &gt; 50, "&gt;50" )</f>
        <v>0 to 5</v>
      </c>
    </row>
    <row r="1665" spans="1:15" ht="15" customHeight="1" x14ac:dyDescent="0.3">
      <c r="A1665" t="s">
        <v>293</v>
      </c>
      <c r="B1665" s="1">
        <v>46199</v>
      </c>
      <c r="C1665" t="s">
        <v>64</v>
      </c>
      <c r="D1665">
        <v>1524</v>
      </c>
      <c r="E1665">
        <v>1</v>
      </c>
      <c r="F1665">
        <v>21.9</v>
      </c>
      <c r="G1665" t="s">
        <v>56</v>
      </c>
      <c r="I1665" t="str">
        <f t="shared" si="35"/>
        <v>1524_1</v>
      </c>
      <c r="J1665" t="s">
        <v>294</v>
      </c>
      <c r="K1665" t="s">
        <v>19</v>
      </c>
      <c r="L1665" t="str">
        <f>_xlfn.XLOOKUP(C1665, Table2[Species],Table2[Genus], "Code Not Found")</f>
        <v>Fagus</v>
      </c>
      <c r="M1665" t="str">
        <f>_xlfn.XLOOKUP(C1665, Table2[Species],Table2[Sp. Name], "Code Not Found")</f>
        <v>grandifolia</v>
      </c>
      <c r="N1665" t="str">
        <f>_xlfn.XLOOKUP(C1665,Table2[Species],Table2[Family],"Code Not Found")</f>
        <v>Fagaceae</v>
      </c>
      <c r="O1665" t="str" cm="1">
        <f t="array" ref="O1665">_xlfn.IFS(F1665="","",F1665&lt;=5,"0 to 5",F1665&lt;=10,"5.1 to 10",F1665&lt;=20,"10 to 20", F1665&lt;= 40, "20 to 40", F1665 &lt;= 50, "40 to 50", F1665 &gt; 50, "&gt;50" )</f>
        <v>20 to 40</v>
      </c>
    </row>
    <row r="1666" spans="1:15" ht="15" customHeight="1" x14ac:dyDescent="0.3">
      <c r="A1666" t="s">
        <v>293</v>
      </c>
      <c r="B1666" s="1">
        <v>46199</v>
      </c>
      <c r="C1666" t="s">
        <v>16</v>
      </c>
      <c r="D1666">
        <v>1525</v>
      </c>
      <c r="E1666">
        <v>1</v>
      </c>
      <c r="F1666">
        <v>4.0999999999999996</v>
      </c>
      <c r="G1666" t="s">
        <v>30</v>
      </c>
      <c r="H1666" t="s">
        <v>96</v>
      </c>
      <c r="I1666" t="str">
        <f t="shared" si="35"/>
        <v>1525_1</v>
      </c>
      <c r="J1666" t="s">
        <v>294</v>
      </c>
      <c r="K1666" t="s">
        <v>19</v>
      </c>
      <c r="L1666" t="str">
        <f>_xlfn.XLOOKUP(C1666, Table2[Species],Table2[Genus], "Code Not Found")</f>
        <v>Acer</v>
      </c>
      <c r="M1666" t="str">
        <f>_xlfn.XLOOKUP(C1666, Table2[Species],Table2[Sp. Name], "Code Not Found")</f>
        <v>saccharum</v>
      </c>
      <c r="N1666" t="str">
        <f>_xlfn.XLOOKUP(C1666,Table2[Species],Table2[Family],"Code Not Found")</f>
        <v>Sapindaceae</v>
      </c>
      <c r="O1666" t="str" cm="1">
        <f t="array" ref="O1666">_xlfn.IFS(F1666="","",F1666&lt;=5,"0 to 5",F1666&lt;=10,"5.1 to 10",F1666&lt;=20,"10 to 20", F1666&lt;= 40, "20 to 40", F1666 &lt;= 50, "40 to 50", F1666 &gt; 50, "&gt;50" )</f>
        <v>0 to 5</v>
      </c>
    </row>
    <row r="1667" spans="1:15" ht="15" customHeight="1" x14ac:dyDescent="0.3">
      <c r="A1667" t="s">
        <v>293</v>
      </c>
      <c r="B1667" s="1">
        <v>46199</v>
      </c>
      <c r="C1667" t="s">
        <v>16</v>
      </c>
      <c r="D1667">
        <v>1526</v>
      </c>
      <c r="E1667">
        <v>1</v>
      </c>
      <c r="F1667">
        <v>4.3</v>
      </c>
      <c r="G1667" t="s">
        <v>17</v>
      </c>
      <c r="I1667" t="str">
        <f t="shared" si="35"/>
        <v>1526_1</v>
      </c>
      <c r="J1667" t="s">
        <v>294</v>
      </c>
      <c r="K1667" t="s">
        <v>19</v>
      </c>
      <c r="L1667" t="str">
        <f>_xlfn.XLOOKUP(C1667, Table2[Species],Table2[Genus], "Code Not Found")</f>
        <v>Acer</v>
      </c>
      <c r="M1667" t="str">
        <f>_xlfn.XLOOKUP(C1667, Table2[Species],Table2[Sp. Name], "Code Not Found")</f>
        <v>saccharum</v>
      </c>
      <c r="N1667" t="str">
        <f>_xlfn.XLOOKUP(C1667,Table2[Species],Table2[Family],"Code Not Found")</f>
        <v>Sapindaceae</v>
      </c>
      <c r="O1667" t="str" cm="1">
        <f t="array" ref="O1667">_xlfn.IFS(F1667="","",F1667&lt;=5,"0 to 5",F1667&lt;=10,"5.1 to 10",F1667&lt;=20,"10 to 20", F1667&lt;= 40, "20 to 40", F1667 &lt;= 50, "40 to 50", F1667 &gt; 50, "&gt;50" )</f>
        <v>0 to 5</v>
      </c>
    </row>
    <row r="1668" spans="1:15" ht="15" customHeight="1" x14ac:dyDescent="0.3">
      <c r="A1668" t="s">
        <v>293</v>
      </c>
      <c r="B1668" s="1">
        <v>46199</v>
      </c>
      <c r="C1668" t="s">
        <v>16</v>
      </c>
      <c r="D1668">
        <v>1527</v>
      </c>
      <c r="E1668">
        <v>1</v>
      </c>
      <c r="F1668">
        <v>3.6</v>
      </c>
      <c r="G1668" t="s">
        <v>17</v>
      </c>
      <c r="I1668" t="str">
        <f t="shared" si="35"/>
        <v>1527_1</v>
      </c>
      <c r="J1668" t="s">
        <v>294</v>
      </c>
      <c r="K1668" t="s">
        <v>19</v>
      </c>
      <c r="L1668" t="str">
        <f>_xlfn.XLOOKUP(C1668, Table2[Species],Table2[Genus], "Code Not Found")</f>
        <v>Acer</v>
      </c>
      <c r="M1668" t="str">
        <f>_xlfn.XLOOKUP(C1668, Table2[Species],Table2[Sp. Name], "Code Not Found")</f>
        <v>saccharum</v>
      </c>
      <c r="N1668" t="str">
        <f>_xlfn.XLOOKUP(C1668,Table2[Species],Table2[Family],"Code Not Found")</f>
        <v>Sapindaceae</v>
      </c>
      <c r="O1668" t="str" cm="1">
        <f t="array" ref="O1668">_xlfn.IFS(F1668="","",F1668&lt;=5,"0 to 5",F1668&lt;=10,"5.1 to 10",F1668&lt;=20,"10 to 20", F1668&lt;= 40, "20 to 40", F1668 &lt;= 50, "40 to 50", F1668 &gt; 50, "&gt;50" )</f>
        <v>0 to 5</v>
      </c>
    </row>
    <row r="1669" spans="1:15" ht="15" customHeight="1" x14ac:dyDescent="0.3">
      <c r="A1669" t="s">
        <v>293</v>
      </c>
      <c r="B1669" s="1">
        <v>46199</v>
      </c>
      <c r="C1669" t="s">
        <v>22</v>
      </c>
      <c r="D1669">
        <v>1528</v>
      </c>
      <c r="E1669">
        <v>1</v>
      </c>
      <c r="F1669">
        <v>38.799999999999997</v>
      </c>
      <c r="G1669" t="s">
        <v>237</v>
      </c>
      <c r="H1669" t="s">
        <v>348</v>
      </c>
      <c r="I1669" t="str">
        <f t="shared" si="35"/>
        <v>1528_1</v>
      </c>
      <c r="J1669" t="s">
        <v>294</v>
      </c>
      <c r="K1669" t="s">
        <v>19</v>
      </c>
      <c r="L1669" t="str">
        <f>_xlfn.XLOOKUP(C1669, Table2[Species],Table2[Genus], "Code Not Found")</f>
        <v>Acer</v>
      </c>
      <c r="M1669" t="str">
        <f>_xlfn.XLOOKUP(C1669, Table2[Species],Table2[Sp. Name], "Code Not Found")</f>
        <v>rubrum</v>
      </c>
      <c r="N1669" t="str">
        <f>_xlfn.XLOOKUP(C1669,Table2[Species],Table2[Family],"Code Not Found")</f>
        <v>Sapindaceae</v>
      </c>
      <c r="O1669" t="str" cm="1">
        <f t="array" ref="O1669">_xlfn.IFS(F1669="","",F1669&lt;=5,"0 to 5",F1669&lt;=10,"5.1 to 10",F1669&lt;=20,"10 to 20", F1669&lt;= 40, "20 to 40", F1669 &lt;= 50, "40 to 50", F1669 &gt; 50, "&gt;50" )</f>
        <v>20 to 40</v>
      </c>
    </row>
    <row r="1670" spans="1:15" ht="15" customHeight="1" x14ac:dyDescent="0.3">
      <c r="A1670" t="s">
        <v>293</v>
      </c>
      <c r="B1670" s="1">
        <v>46199</v>
      </c>
      <c r="C1670" t="s">
        <v>64</v>
      </c>
      <c r="D1670">
        <v>1529</v>
      </c>
      <c r="E1670">
        <v>1</v>
      </c>
      <c r="F1670">
        <v>11.7</v>
      </c>
      <c r="G1670" t="s">
        <v>21</v>
      </c>
      <c r="I1670" t="str">
        <f t="shared" si="35"/>
        <v>1529_1</v>
      </c>
      <c r="J1670" t="s">
        <v>294</v>
      </c>
      <c r="K1670" t="s">
        <v>19</v>
      </c>
      <c r="L1670" t="str">
        <f>_xlfn.XLOOKUP(C1670, Table2[Species],Table2[Genus], "Code Not Found")</f>
        <v>Fagus</v>
      </c>
      <c r="M1670" t="str">
        <f>_xlfn.XLOOKUP(C1670, Table2[Species],Table2[Sp. Name], "Code Not Found")</f>
        <v>grandifolia</v>
      </c>
      <c r="N1670" t="str">
        <f>_xlfn.XLOOKUP(C1670,Table2[Species],Table2[Family],"Code Not Found")</f>
        <v>Fagaceae</v>
      </c>
      <c r="O1670" t="str" cm="1">
        <f t="array" ref="O1670">_xlfn.IFS(F1670="","",F1670&lt;=5,"0 to 5",F1670&lt;=10,"5.1 to 10",F1670&lt;=20,"10 to 20", F1670&lt;= 40, "20 to 40", F1670 &lt;= 50, "40 to 50", F1670 &gt; 50, "&gt;50" )</f>
        <v>10 to 20</v>
      </c>
    </row>
    <row r="1671" spans="1:15" ht="15" customHeight="1" x14ac:dyDescent="0.3">
      <c r="A1671" t="s">
        <v>293</v>
      </c>
      <c r="B1671" s="1">
        <v>46199</v>
      </c>
      <c r="C1671" t="s">
        <v>16</v>
      </c>
      <c r="D1671">
        <v>1530</v>
      </c>
      <c r="E1671">
        <v>1</v>
      </c>
      <c r="F1671">
        <v>1.8</v>
      </c>
      <c r="G1671" t="s">
        <v>47</v>
      </c>
      <c r="H1671" t="s">
        <v>43</v>
      </c>
      <c r="I1671" t="str">
        <f t="shared" si="35"/>
        <v>1530_1</v>
      </c>
      <c r="J1671" t="s">
        <v>294</v>
      </c>
      <c r="K1671" t="s">
        <v>19</v>
      </c>
      <c r="L1671" t="str">
        <f>_xlfn.XLOOKUP(C1671, Table2[Species],Table2[Genus], "Code Not Found")</f>
        <v>Acer</v>
      </c>
      <c r="M1671" t="str">
        <f>_xlfn.XLOOKUP(C1671, Table2[Species],Table2[Sp. Name], "Code Not Found")</f>
        <v>saccharum</v>
      </c>
      <c r="N1671" t="str">
        <f>_xlfn.XLOOKUP(C1671,Table2[Species],Table2[Family],"Code Not Found")</f>
        <v>Sapindaceae</v>
      </c>
      <c r="O1671" t="str" cm="1">
        <f t="array" ref="O1671">_xlfn.IFS(F1671="","",F1671&lt;=5,"0 to 5",F1671&lt;=10,"5.1 to 10",F1671&lt;=20,"10 to 20", F1671&lt;= 40, "20 to 40", F1671 &lt;= 50, "40 to 50", F1671 &gt; 50, "&gt;50" )</f>
        <v>0 to 5</v>
      </c>
    </row>
    <row r="1672" spans="1:15" ht="15" customHeight="1" x14ac:dyDescent="0.3">
      <c r="A1672" t="s">
        <v>293</v>
      </c>
      <c r="B1672" s="1">
        <v>46199</v>
      </c>
      <c r="C1672" t="s">
        <v>24</v>
      </c>
      <c r="D1672">
        <v>1531</v>
      </c>
      <c r="E1672">
        <v>1</v>
      </c>
      <c r="F1672">
        <v>62.7</v>
      </c>
      <c r="G1672" t="s">
        <v>21</v>
      </c>
      <c r="I1672" t="str">
        <f t="shared" si="35"/>
        <v>1531_1</v>
      </c>
      <c r="J1672" t="s">
        <v>294</v>
      </c>
      <c r="K1672" t="s">
        <v>19</v>
      </c>
      <c r="L1672" t="str">
        <f>_xlfn.XLOOKUP(C1672, Table2[Species],Table2[Genus], "Code Not Found")</f>
        <v>Lirodendron</v>
      </c>
      <c r="M1672" t="str">
        <f>_xlfn.XLOOKUP(C1672, Table2[Species],Table2[Sp. Name], "Code Not Found")</f>
        <v>tulipfera</v>
      </c>
      <c r="N1672" t="str">
        <f>_xlfn.XLOOKUP(C1672,Table2[Species],Table2[Family],"Code Not Found")</f>
        <v>Magnoliaceae</v>
      </c>
      <c r="O1672" t="str" cm="1">
        <f t="array" ref="O1672">_xlfn.IFS(F1672="","",F1672&lt;=5,"0 to 5",F1672&lt;=10,"5.1 to 10",F1672&lt;=20,"10 to 20", F1672&lt;= 40, "20 to 40", F1672 &lt;= 50, "40 to 50", F1672 &gt; 50, "&gt;50" )</f>
        <v>&gt;50</v>
      </c>
    </row>
    <row r="1673" spans="1:15" ht="15" customHeight="1" x14ac:dyDescent="0.3">
      <c r="A1673" t="s">
        <v>293</v>
      </c>
      <c r="B1673" s="1">
        <v>46199</v>
      </c>
      <c r="C1673" t="s">
        <v>16</v>
      </c>
      <c r="D1673">
        <v>1532</v>
      </c>
      <c r="E1673">
        <v>1</v>
      </c>
      <c r="F1673">
        <v>3.3</v>
      </c>
      <c r="G1673" t="s">
        <v>156</v>
      </c>
      <c r="H1673" t="s">
        <v>43</v>
      </c>
      <c r="I1673" t="str">
        <f t="shared" si="35"/>
        <v>1532_1</v>
      </c>
      <c r="J1673" t="s">
        <v>294</v>
      </c>
      <c r="K1673" t="s">
        <v>19</v>
      </c>
      <c r="L1673" t="str">
        <f>_xlfn.XLOOKUP(C1673, Table2[Species],Table2[Genus], "Code Not Found")</f>
        <v>Acer</v>
      </c>
      <c r="M1673" t="str">
        <f>_xlfn.XLOOKUP(C1673, Table2[Species],Table2[Sp. Name], "Code Not Found")</f>
        <v>saccharum</v>
      </c>
      <c r="N1673" t="str">
        <f>_xlfn.XLOOKUP(C1673,Table2[Species],Table2[Family],"Code Not Found")</f>
        <v>Sapindaceae</v>
      </c>
      <c r="O1673" t="str" cm="1">
        <f t="array" ref="O1673">_xlfn.IFS(F1673="","",F1673&lt;=5,"0 to 5",F1673&lt;=10,"5.1 to 10",F1673&lt;=20,"10 to 20", F1673&lt;= 40, "20 to 40", F1673 &lt;= 50, "40 to 50", F1673 &gt; 50, "&gt;50" )</f>
        <v>0 to 5</v>
      </c>
    </row>
    <row r="1674" spans="1:15" ht="15" customHeight="1" x14ac:dyDescent="0.3">
      <c r="A1674" t="s">
        <v>293</v>
      </c>
      <c r="B1674" s="1">
        <v>46199</v>
      </c>
      <c r="C1674" t="s">
        <v>16</v>
      </c>
      <c r="D1674">
        <v>1533</v>
      </c>
      <c r="E1674">
        <v>1</v>
      </c>
      <c r="F1674">
        <v>3.3</v>
      </c>
      <c r="G1674" t="s">
        <v>17</v>
      </c>
      <c r="H1674">
        <v>3</v>
      </c>
      <c r="I1674" t="str">
        <f t="shared" si="35"/>
        <v>1533_1</v>
      </c>
      <c r="J1674" t="s">
        <v>294</v>
      </c>
      <c r="K1674" t="s">
        <v>19</v>
      </c>
      <c r="L1674" t="str">
        <f>_xlfn.XLOOKUP(C1674, Table2[Species],Table2[Genus], "Code Not Found")</f>
        <v>Acer</v>
      </c>
      <c r="M1674" t="str">
        <f>_xlfn.XLOOKUP(C1674, Table2[Species],Table2[Sp. Name], "Code Not Found")</f>
        <v>saccharum</v>
      </c>
      <c r="N1674" t="str">
        <f>_xlfn.XLOOKUP(C1674,Table2[Species],Table2[Family],"Code Not Found")</f>
        <v>Sapindaceae</v>
      </c>
      <c r="O1674" t="str" cm="1">
        <f t="array" ref="O1674">_xlfn.IFS(F1674="","",F1674&lt;=5,"0 to 5",F1674&lt;=10,"5.1 to 10",F1674&lt;=20,"10 to 20", F1674&lt;= 40, "20 to 40", F1674 &lt;= 50, "40 to 50", F1674 &gt; 50, "&gt;50" )</f>
        <v>0 to 5</v>
      </c>
    </row>
    <row r="1675" spans="1:15" ht="15" customHeight="1" x14ac:dyDescent="0.3">
      <c r="A1675" t="s">
        <v>293</v>
      </c>
      <c r="B1675" s="1">
        <v>46199</v>
      </c>
      <c r="C1675" t="s">
        <v>16</v>
      </c>
      <c r="D1675">
        <v>1534</v>
      </c>
      <c r="E1675">
        <v>1</v>
      </c>
      <c r="F1675">
        <v>6.2</v>
      </c>
      <c r="G1675" t="s">
        <v>21</v>
      </c>
      <c r="I1675" t="str">
        <f t="shared" si="35"/>
        <v>1534_1</v>
      </c>
      <c r="J1675" t="s">
        <v>294</v>
      </c>
      <c r="K1675" t="s">
        <v>19</v>
      </c>
      <c r="L1675" t="str">
        <f>_xlfn.XLOOKUP(C1675, Table2[Species],Table2[Genus], "Code Not Found")</f>
        <v>Acer</v>
      </c>
      <c r="M1675" t="str">
        <f>_xlfn.XLOOKUP(C1675, Table2[Species],Table2[Sp. Name], "Code Not Found")</f>
        <v>saccharum</v>
      </c>
      <c r="N1675" t="str">
        <f>_xlfn.XLOOKUP(C1675,Table2[Species],Table2[Family],"Code Not Found")</f>
        <v>Sapindaceae</v>
      </c>
      <c r="O1675" t="str" cm="1">
        <f t="array" ref="O1675">_xlfn.IFS(F1675="","",F1675&lt;=5,"0 to 5",F1675&lt;=10,"5.1 to 10",F1675&lt;=20,"10 to 20", F1675&lt;= 40, "20 to 40", F1675 &lt;= 50, "40 to 50", F1675 &gt; 50, "&gt;50" )</f>
        <v>5.1 to 10</v>
      </c>
    </row>
    <row r="1676" spans="1:15" ht="15" customHeight="1" x14ac:dyDescent="0.3">
      <c r="A1676" t="s">
        <v>293</v>
      </c>
      <c r="B1676" s="1">
        <v>46199</v>
      </c>
      <c r="C1676" t="s">
        <v>16</v>
      </c>
      <c r="D1676">
        <v>1535</v>
      </c>
      <c r="E1676">
        <v>1</v>
      </c>
      <c r="F1676">
        <v>3.5</v>
      </c>
      <c r="G1676" t="s">
        <v>17</v>
      </c>
      <c r="I1676" t="str">
        <f t="shared" si="35"/>
        <v>1535_1</v>
      </c>
      <c r="J1676" t="s">
        <v>294</v>
      </c>
      <c r="K1676" t="s">
        <v>19</v>
      </c>
      <c r="L1676" t="str">
        <f>_xlfn.XLOOKUP(C1676, Table2[Species],Table2[Genus], "Code Not Found")</f>
        <v>Acer</v>
      </c>
      <c r="M1676" t="str">
        <f>_xlfn.XLOOKUP(C1676, Table2[Species],Table2[Sp. Name], "Code Not Found")</f>
        <v>saccharum</v>
      </c>
      <c r="N1676" t="str">
        <f>_xlfn.XLOOKUP(C1676,Table2[Species],Table2[Family],"Code Not Found")</f>
        <v>Sapindaceae</v>
      </c>
      <c r="O1676" t="str" cm="1">
        <f t="array" ref="O1676">_xlfn.IFS(F1676="","",F1676&lt;=5,"0 to 5",F1676&lt;=10,"5.1 to 10",F1676&lt;=20,"10 to 20", F1676&lt;= 40, "20 to 40", F1676 &lt;= 50, "40 to 50", F1676 &gt; 50, "&gt;50" )</f>
        <v>0 to 5</v>
      </c>
    </row>
    <row r="1677" spans="1:15" ht="15" customHeight="1" x14ac:dyDescent="0.3">
      <c r="A1677" t="s">
        <v>293</v>
      </c>
      <c r="B1677" s="1">
        <v>46199</v>
      </c>
      <c r="C1677" t="s">
        <v>22</v>
      </c>
      <c r="D1677">
        <v>1536</v>
      </c>
      <c r="E1677">
        <v>1</v>
      </c>
      <c r="F1677">
        <v>82.8</v>
      </c>
      <c r="G1677" t="s">
        <v>56</v>
      </c>
      <c r="H1677" t="s">
        <v>349</v>
      </c>
      <c r="I1677" t="str">
        <f t="shared" si="35"/>
        <v>1536_1</v>
      </c>
      <c r="J1677" t="s">
        <v>294</v>
      </c>
      <c r="K1677" t="s">
        <v>19</v>
      </c>
      <c r="L1677" t="str">
        <f>_xlfn.XLOOKUP(C1677, Table2[Species],Table2[Genus], "Code Not Found")</f>
        <v>Acer</v>
      </c>
      <c r="M1677" t="str">
        <f>_xlfn.XLOOKUP(C1677, Table2[Species],Table2[Sp. Name], "Code Not Found")</f>
        <v>rubrum</v>
      </c>
      <c r="N1677" t="str">
        <f>_xlfn.XLOOKUP(C1677,Table2[Species],Table2[Family],"Code Not Found")</f>
        <v>Sapindaceae</v>
      </c>
      <c r="O1677" t="str" cm="1">
        <f t="array" ref="O1677">_xlfn.IFS(F1677="","",F1677&lt;=5,"0 to 5",F1677&lt;=10,"5.1 to 10",F1677&lt;=20,"10 to 20", F1677&lt;= 40, "20 to 40", F1677 &lt;= 50, "40 to 50", F1677 &gt; 50, "&gt;50" )</f>
        <v>&gt;50</v>
      </c>
    </row>
    <row r="1678" spans="1:15" ht="15" customHeight="1" x14ac:dyDescent="0.3">
      <c r="A1678" t="s">
        <v>293</v>
      </c>
      <c r="B1678" s="1">
        <v>46199</v>
      </c>
      <c r="C1678" t="s">
        <v>59</v>
      </c>
      <c r="D1678">
        <v>1537</v>
      </c>
      <c r="E1678">
        <v>1</v>
      </c>
      <c r="F1678">
        <v>32.4</v>
      </c>
      <c r="G1678" t="s">
        <v>17</v>
      </c>
      <c r="I1678" t="str">
        <f t="shared" si="35"/>
        <v>1537_1</v>
      </c>
      <c r="J1678" t="s">
        <v>294</v>
      </c>
      <c r="K1678" t="s">
        <v>19</v>
      </c>
      <c r="L1678" t="str">
        <f>_xlfn.XLOOKUP(C1678, Table2[Species],Table2[Genus], "Code Not Found")</f>
        <v>Nyssa</v>
      </c>
      <c r="M1678" t="str">
        <f>_xlfn.XLOOKUP(C1678, Table2[Species],Table2[Sp. Name], "Code Not Found")</f>
        <v>sylvatica</v>
      </c>
      <c r="N1678" t="str">
        <f>_xlfn.XLOOKUP(C1678,Table2[Species],Table2[Family],"Code Not Found")</f>
        <v>Nyssaceae</v>
      </c>
      <c r="O1678" t="str" cm="1">
        <f t="array" ref="O1678">_xlfn.IFS(F1678="","",F1678&lt;=5,"0 to 5",F1678&lt;=10,"5.1 to 10",F1678&lt;=20,"10 to 20", F1678&lt;= 40, "20 to 40", F1678 &lt;= 50, "40 to 50", F1678 &gt; 50, "&gt;50" )</f>
        <v>20 to 40</v>
      </c>
    </row>
    <row r="1679" spans="1:15" ht="15" customHeight="1" x14ac:dyDescent="0.3">
      <c r="A1679" t="s">
        <v>293</v>
      </c>
      <c r="B1679" s="1">
        <v>46199</v>
      </c>
      <c r="C1679" t="s">
        <v>16</v>
      </c>
      <c r="D1679">
        <v>1538</v>
      </c>
      <c r="E1679">
        <v>1</v>
      </c>
      <c r="F1679">
        <v>10.4</v>
      </c>
      <c r="G1679" t="s">
        <v>21</v>
      </c>
      <c r="I1679" t="str">
        <f t="shared" si="35"/>
        <v>1538_1</v>
      </c>
      <c r="J1679" t="s">
        <v>294</v>
      </c>
      <c r="K1679" t="s">
        <v>19</v>
      </c>
      <c r="L1679" t="str">
        <f>_xlfn.XLOOKUP(C1679, Table2[Species],Table2[Genus], "Code Not Found")</f>
        <v>Acer</v>
      </c>
      <c r="M1679" t="str">
        <f>_xlfn.XLOOKUP(C1679, Table2[Species],Table2[Sp. Name], "Code Not Found")</f>
        <v>saccharum</v>
      </c>
      <c r="N1679" t="str">
        <f>_xlfn.XLOOKUP(C1679,Table2[Species],Table2[Family],"Code Not Found")</f>
        <v>Sapindaceae</v>
      </c>
      <c r="O1679" t="str" cm="1">
        <f t="array" ref="O1679">_xlfn.IFS(F1679="","",F1679&lt;=5,"0 to 5",F1679&lt;=10,"5.1 to 10",F1679&lt;=20,"10 to 20", F1679&lt;= 40, "20 to 40", F1679 &lt;= 50, "40 to 50", F1679 &gt; 50, "&gt;50" )</f>
        <v>10 to 20</v>
      </c>
    </row>
    <row r="1680" spans="1:15" ht="15" customHeight="1" x14ac:dyDescent="0.3">
      <c r="A1680" t="s">
        <v>293</v>
      </c>
      <c r="B1680" s="1">
        <v>46199</v>
      </c>
      <c r="C1680" t="s">
        <v>24</v>
      </c>
      <c r="D1680">
        <v>1539</v>
      </c>
      <c r="E1680">
        <v>1</v>
      </c>
      <c r="F1680">
        <v>79.2</v>
      </c>
      <c r="G1680" t="s">
        <v>21</v>
      </c>
      <c r="I1680" t="str">
        <f t="shared" si="35"/>
        <v>1539_1</v>
      </c>
      <c r="J1680" t="s">
        <v>294</v>
      </c>
      <c r="K1680" t="s">
        <v>19</v>
      </c>
      <c r="L1680" t="str">
        <f>_xlfn.XLOOKUP(C1680, Table2[Species],Table2[Genus], "Code Not Found")</f>
        <v>Lirodendron</v>
      </c>
      <c r="M1680" t="str">
        <f>_xlfn.XLOOKUP(C1680, Table2[Species],Table2[Sp. Name], "Code Not Found")</f>
        <v>tulipfera</v>
      </c>
      <c r="N1680" t="str">
        <f>_xlfn.XLOOKUP(C1680,Table2[Species],Table2[Family],"Code Not Found")</f>
        <v>Magnoliaceae</v>
      </c>
      <c r="O1680" t="str" cm="1">
        <f t="array" ref="O1680">_xlfn.IFS(F1680="","",F1680&lt;=5,"0 to 5",F1680&lt;=10,"5.1 to 10",F1680&lt;=20,"10 to 20", F1680&lt;= 40, "20 to 40", F1680 &lt;= 50, "40 to 50", F1680 &gt; 50, "&gt;50" )</f>
        <v>&gt;50</v>
      </c>
    </row>
    <row r="1681" spans="1:15" ht="15" customHeight="1" x14ac:dyDescent="0.3">
      <c r="A1681" t="s">
        <v>293</v>
      </c>
      <c r="B1681" s="1">
        <v>46199</v>
      </c>
      <c r="C1681" t="s">
        <v>16</v>
      </c>
      <c r="D1681">
        <v>1540</v>
      </c>
      <c r="E1681">
        <v>1</v>
      </c>
      <c r="F1681">
        <v>4.8</v>
      </c>
      <c r="G1681" t="s">
        <v>47</v>
      </c>
      <c r="H1681" t="s">
        <v>43</v>
      </c>
      <c r="I1681" t="str">
        <f t="shared" si="35"/>
        <v>1540_1</v>
      </c>
      <c r="J1681" t="s">
        <v>294</v>
      </c>
      <c r="K1681" t="s">
        <v>19</v>
      </c>
      <c r="L1681" t="str">
        <f>_xlfn.XLOOKUP(C1681, Table2[Species],Table2[Genus], "Code Not Found")</f>
        <v>Acer</v>
      </c>
      <c r="M1681" t="str">
        <f>_xlfn.XLOOKUP(C1681, Table2[Species],Table2[Sp. Name], "Code Not Found")</f>
        <v>saccharum</v>
      </c>
      <c r="N1681" t="str">
        <f>_xlfn.XLOOKUP(C1681,Table2[Species],Table2[Family],"Code Not Found")</f>
        <v>Sapindaceae</v>
      </c>
      <c r="O1681" t="str" cm="1">
        <f t="array" ref="O1681">_xlfn.IFS(F1681="","",F1681&lt;=5,"0 to 5",F1681&lt;=10,"5.1 to 10",F1681&lt;=20,"10 to 20", F1681&lt;= 40, "20 to 40", F1681 &lt;= 50, "40 to 50", F1681 &gt; 50, "&gt;50" )</f>
        <v>0 to 5</v>
      </c>
    </row>
    <row r="1682" spans="1:15" ht="15" customHeight="1" x14ac:dyDescent="0.3">
      <c r="A1682" t="s">
        <v>293</v>
      </c>
      <c r="B1682" s="1">
        <v>46199</v>
      </c>
      <c r="C1682" t="s">
        <v>16</v>
      </c>
      <c r="D1682">
        <v>1541</v>
      </c>
      <c r="E1682">
        <v>1</v>
      </c>
      <c r="F1682">
        <v>3.9</v>
      </c>
      <c r="G1682" t="s">
        <v>47</v>
      </c>
      <c r="H1682" t="s">
        <v>43</v>
      </c>
      <c r="I1682" t="str">
        <f t="shared" ref="I1682:I1701" si="36">D1682&amp;"_"&amp;E1682</f>
        <v>1541_1</v>
      </c>
      <c r="J1682" t="s">
        <v>294</v>
      </c>
      <c r="K1682" t="s">
        <v>19</v>
      </c>
      <c r="L1682" t="str">
        <f>_xlfn.XLOOKUP(C1682, Table2[Species],Table2[Genus], "Code Not Found")</f>
        <v>Acer</v>
      </c>
      <c r="M1682" t="str">
        <f>_xlfn.XLOOKUP(C1682, Table2[Species],Table2[Sp. Name], "Code Not Found")</f>
        <v>saccharum</v>
      </c>
      <c r="N1682" t="str">
        <f>_xlfn.XLOOKUP(C1682,Table2[Species],Table2[Family],"Code Not Found")</f>
        <v>Sapindaceae</v>
      </c>
      <c r="O1682" t="str" cm="1">
        <f t="array" ref="O1682">_xlfn.IFS(F1682="","",F1682&lt;=5,"0 to 5",F1682&lt;=10,"5.1 to 10",F1682&lt;=20,"10 to 20", F1682&lt;= 40, "20 to 40", F1682 &lt;= 50, "40 to 50", F1682 &gt; 50, "&gt;50" )</f>
        <v>0 to 5</v>
      </c>
    </row>
    <row r="1683" spans="1:15" ht="15" customHeight="1" x14ac:dyDescent="0.3">
      <c r="A1683" t="s">
        <v>293</v>
      </c>
      <c r="B1683" s="1">
        <v>46199</v>
      </c>
      <c r="C1683" t="s">
        <v>16</v>
      </c>
      <c r="D1683">
        <v>1542</v>
      </c>
      <c r="E1683">
        <v>1</v>
      </c>
      <c r="F1683">
        <v>7.5</v>
      </c>
      <c r="G1683" t="s">
        <v>17</v>
      </c>
      <c r="I1683" t="str">
        <f t="shared" si="36"/>
        <v>1542_1</v>
      </c>
      <c r="J1683" t="s">
        <v>294</v>
      </c>
      <c r="K1683" t="s">
        <v>19</v>
      </c>
      <c r="L1683" t="str">
        <f>_xlfn.XLOOKUP(C1683, Table2[Species],Table2[Genus], "Code Not Found")</f>
        <v>Acer</v>
      </c>
      <c r="M1683" t="str">
        <f>_xlfn.XLOOKUP(C1683, Table2[Species],Table2[Sp. Name], "Code Not Found")</f>
        <v>saccharum</v>
      </c>
      <c r="N1683" t="str">
        <f>_xlfn.XLOOKUP(C1683,Table2[Species],Table2[Family],"Code Not Found")</f>
        <v>Sapindaceae</v>
      </c>
      <c r="O1683" t="str" cm="1">
        <f t="array" ref="O1683">_xlfn.IFS(F1683="","",F1683&lt;=5,"0 to 5",F1683&lt;=10,"5.1 to 10",F1683&lt;=20,"10 to 20", F1683&lt;= 40, "20 to 40", F1683 &lt;= 50, "40 to 50", F1683 &gt; 50, "&gt;50" )</f>
        <v>5.1 to 10</v>
      </c>
    </row>
    <row r="1684" spans="1:15" ht="15" customHeight="1" x14ac:dyDescent="0.3">
      <c r="A1684" t="s">
        <v>293</v>
      </c>
      <c r="B1684" s="1">
        <v>46199</v>
      </c>
      <c r="C1684" t="s">
        <v>64</v>
      </c>
      <c r="D1684">
        <v>1543</v>
      </c>
      <c r="E1684">
        <v>1</v>
      </c>
      <c r="F1684">
        <v>3.7</v>
      </c>
      <c r="G1684" t="s">
        <v>17</v>
      </c>
      <c r="I1684" t="str">
        <f t="shared" si="36"/>
        <v>1543_1</v>
      </c>
      <c r="J1684" t="s">
        <v>294</v>
      </c>
      <c r="K1684" t="s">
        <v>19</v>
      </c>
      <c r="L1684" t="str">
        <f>_xlfn.XLOOKUP(C1684, Table2[Species],Table2[Genus], "Code Not Found")</f>
        <v>Fagus</v>
      </c>
      <c r="M1684" t="str">
        <f>_xlfn.XLOOKUP(C1684, Table2[Species],Table2[Sp. Name], "Code Not Found")</f>
        <v>grandifolia</v>
      </c>
      <c r="N1684" t="str">
        <f>_xlfn.XLOOKUP(C1684,Table2[Species],Table2[Family],"Code Not Found")</f>
        <v>Fagaceae</v>
      </c>
      <c r="O1684" t="str" cm="1">
        <f t="array" ref="O1684">_xlfn.IFS(F1684="","",F1684&lt;=5,"0 to 5",F1684&lt;=10,"5.1 to 10",F1684&lt;=20,"10 to 20", F1684&lt;= 40, "20 to 40", F1684 &lt;= 50, "40 to 50", F1684 &gt; 50, "&gt;50" )</f>
        <v>0 to 5</v>
      </c>
    </row>
    <row r="1685" spans="1:15" ht="15" customHeight="1" x14ac:dyDescent="0.3">
      <c r="A1685" t="s">
        <v>293</v>
      </c>
      <c r="B1685" s="1">
        <v>46199</v>
      </c>
      <c r="C1685" t="s">
        <v>16</v>
      </c>
      <c r="D1685">
        <v>1544</v>
      </c>
      <c r="E1685">
        <v>1</v>
      </c>
      <c r="F1685">
        <v>5.2</v>
      </c>
      <c r="G1685" t="s">
        <v>17</v>
      </c>
      <c r="I1685" t="str">
        <f t="shared" si="36"/>
        <v>1544_1</v>
      </c>
      <c r="J1685" t="s">
        <v>294</v>
      </c>
      <c r="K1685" t="s">
        <v>19</v>
      </c>
      <c r="L1685" t="str">
        <f>_xlfn.XLOOKUP(C1685, Table2[Species],Table2[Genus], "Code Not Found")</f>
        <v>Acer</v>
      </c>
      <c r="M1685" t="str">
        <f>_xlfn.XLOOKUP(C1685, Table2[Species],Table2[Sp. Name], "Code Not Found")</f>
        <v>saccharum</v>
      </c>
      <c r="N1685" t="str">
        <f>_xlfn.XLOOKUP(C1685,Table2[Species],Table2[Family],"Code Not Found")</f>
        <v>Sapindaceae</v>
      </c>
      <c r="O1685" t="str" cm="1">
        <f t="array" ref="O1685">_xlfn.IFS(F1685="","",F1685&lt;=5,"0 to 5",F1685&lt;=10,"5.1 to 10",F1685&lt;=20,"10 to 20", F1685&lt;= 40, "20 to 40", F1685 &lt;= 50, "40 to 50", F1685 &gt; 50, "&gt;50" )</f>
        <v>5.1 to 10</v>
      </c>
    </row>
    <row r="1686" spans="1:15" ht="15" customHeight="1" x14ac:dyDescent="0.3">
      <c r="A1686" t="s">
        <v>293</v>
      </c>
      <c r="B1686" s="1">
        <v>46199</v>
      </c>
      <c r="C1686" t="s">
        <v>16</v>
      </c>
      <c r="D1686">
        <v>1545</v>
      </c>
      <c r="E1686">
        <v>1</v>
      </c>
      <c r="F1686">
        <v>3.1</v>
      </c>
      <c r="G1686" t="s">
        <v>17</v>
      </c>
      <c r="I1686" t="str">
        <f t="shared" si="36"/>
        <v>1545_1</v>
      </c>
      <c r="J1686" t="s">
        <v>294</v>
      </c>
      <c r="K1686" t="s">
        <v>19</v>
      </c>
      <c r="L1686" t="str">
        <f>_xlfn.XLOOKUP(C1686, Table2[Species],Table2[Genus], "Code Not Found")</f>
        <v>Acer</v>
      </c>
      <c r="M1686" t="str">
        <f>_xlfn.XLOOKUP(C1686, Table2[Species],Table2[Sp. Name], "Code Not Found")</f>
        <v>saccharum</v>
      </c>
      <c r="N1686" t="str">
        <f>_xlfn.XLOOKUP(C1686,Table2[Species],Table2[Family],"Code Not Found")</f>
        <v>Sapindaceae</v>
      </c>
      <c r="O1686" t="str" cm="1">
        <f t="array" ref="O1686">_xlfn.IFS(F1686="","",F1686&lt;=5,"0 to 5",F1686&lt;=10,"5.1 to 10",F1686&lt;=20,"10 to 20", F1686&lt;= 40, "20 to 40", F1686 &lt;= 50, "40 to 50", F1686 &gt; 50, "&gt;50" )</f>
        <v>0 to 5</v>
      </c>
    </row>
    <row r="1687" spans="1:15" ht="15" customHeight="1" x14ac:dyDescent="0.3">
      <c r="A1687" t="s">
        <v>293</v>
      </c>
      <c r="B1687" s="1">
        <v>46199</v>
      </c>
      <c r="C1687" t="s">
        <v>64</v>
      </c>
      <c r="D1687">
        <v>1546</v>
      </c>
      <c r="E1687">
        <v>1</v>
      </c>
      <c r="F1687">
        <v>55.6</v>
      </c>
      <c r="G1687" t="s">
        <v>34</v>
      </c>
      <c r="I1687" t="str">
        <f t="shared" si="36"/>
        <v>1546_1</v>
      </c>
      <c r="J1687" t="s">
        <v>294</v>
      </c>
      <c r="K1687" t="s">
        <v>19</v>
      </c>
      <c r="L1687" t="str">
        <f>_xlfn.XLOOKUP(C1687, Table2[Species],Table2[Genus], "Code Not Found")</f>
        <v>Fagus</v>
      </c>
      <c r="M1687" t="str">
        <f>_xlfn.XLOOKUP(C1687, Table2[Species],Table2[Sp. Name], "Code Not Found")</f>
        <v>grandifolia</v>
      </c>
      <c r="N1687" t="str">
        <f>_xlfn.XLOOKUP(C1687,Table2[Species],Table2[Family],"Code Not Found")</f>
        <v>Fagaceae</v>
      </c>
      <c r="O1687" t="str" cm="1">
        <f t="array" ref="O1687">_xlfn.IFS(F1687="","",F1687&lt;=5,"0 to 5",F1687&lt;=10,"5.1 to 10",F1687&lt;=20,"10 to 20", F1687&lt;= 40, "20 to 40", F1687 &lt;= 50, "40 to 50", F1687 &gt; 50, "&gt;50" )</f>
        <v>&gt;50</v>
      </c>
    </row>
    <row r="1688" spans="1:15" ht="15" customHeight="1" x14ac:dyDescent="0.3">
      <c r="A1688" t="s">
        <v>293</v>
      </c>
      <c r="B1688" s="1">
        <v>46199</v>
      </c>
      <c r="C1688" t="s">
        <v>64</v>
      </c>
      <c r="D1688">
        <v>1546</v>
      </c>
      <c r="E1688">
        <v>2</v>
      </c>
      <c r="F1688">
        <v>5.0999999999999996</v>
      </c>
      <c r="G1688" t="s">
        <v>32</v>
      </c>
      <c r="I1688" t="str">
        <f t="shared" si="36"/>
        <v>1546_2</v>
      </c>
      <c r="J1688" t="s">
        <v>294</v>
      </c>
      <c r="K1688" t="s">
        <v>19</v>
      </c>
      <c r="L1688" t="str">
        <f>_xlfn.XLOOKUP(C1688, Table2[Species],Table2[Genus], "Code Not Found")</f>
        <v>Fagus</v>
      </c>
      <c r="M1688" t="str">
        <f>_xlfn.XLOOKUP(C1688, Table2[Species],Table2[Sp. Name], "Code Not Found")</f>
        <v>grandifolia</v>
      </c>
      <c r="N1688" t="str">
        <f>_xlfn.XLOOKUP(C1688,Table2[Species],Table2[Family],"Code Not Found")</f>
        <v>Fagaceae</v>
      </c>
      <c r="O1688" t="str" cm="1">
        <f t="array" ref="O1688">_xlfn.IFS(F1688="","",F1688&lt;=5,"0 to 5",F1688&lt;=10,"5.1 to 10",F1688&lt;=20,"10 to 20", F1688&lt;= 40, "20 to 40", F1688 &lt;= 50, "40 to 50", F1688 &gt; 50, "&gt;50" )</f>
        <v>5.1 to 10</v>
      </c>
    </row>
    <row r="1689" spans="1:15" ht="15" customHeight="1" x14ac:dyDescent="0.3">
      <c r="A1689" t="s">
        <v>293</v>
      </c>
      <c r="B1689" s="1">
        <v>46199</v>
      </c>
      <c r="C1689" t="s">
        <v>64</v>
      </c>
      <c r="D1689">
        <v>1546</v>
      </c>
      <c r="E1689">
        <v>2.2000000000000002</v>
      </c>
      <c r="F1689">
        <v>2.2999999999999998</v>
      </c>
      <c r="G1689" t="s">
        <v>350</v>
      </c>
      <c r="H1689" t="s">
        <v>99</v>
      </c>
      <c r="I1689" t="str">
        <f t="shared" si="36"/>
        <v>1546_2.2</v>
      </c>
      <c r="J1689" t="s">
        <v>294</v>
      </c>
      <c r="K1689" t="s">
        <v>19</v>
      </c>
      <c r="L1689" t="str">
        <f>_xlfn.XLOOKUP(C1689, Table2[Species],Table2[Genus], "Code Not Found")</f>
        <v>Fagus</v>
      </c>
      <c r="M1689" t="str">
        <f>_xlfn.XLOOKUP(C1689, Table2[Species],Table2[Sp. Name], "Code Not Found")</f>
        <v>grandifolia</v>
      </c>
      <c r="N1689" t="str">
        <f>_xlfn.XLOOKUP(C1689,Table2[Species],Table2[Family],"Code Not Found")</f>
        <v>Fagaceae</v>
      </c>
      <c r="O1689" t="str" cm="1">
        <f t="array" ref="O1689">_xlfn.IFS(F1689="","",F1689&lt;=5,"0 to 5",F1689&lt;=10,"5.1 to 10",F1689&lt;=20,"10 to 20", F1689&lt;= 40, "20 to 40", F1689 &lt;= 50, "40 to 50", F1689 &gt; 50, "&gt;50" )</f>
        <v>0 to 5</v>
      </c>
    </row>
    <row r="1690" spans="1:15" ht="15" customHeight="1" x14ac:dyDescent="0.3">
      <c r="A1690" t="s">
        <v>293</v>
      </c>
      <c r="B1690" s="1">
        <v>46199</v>
      </c>
      <c r="C1690" t="s">
        <v>64</v>
      </c>
      <c r="D1690">
        <v>1546</v>
      </c>
      <c r="E1690">
        <v>3</v>
      </c>
      <c r="F1690">
        <v>1.4</v>
      </c>
      <c r="G1690" t="s">
        <v>32</v>
      </c>
      <c r="I1690" t="str">
        <f t="shared" si="36"/>
        <v>1546_3</v>
      </c>
      <c r="J1690" t="s">
        <v>294</v>
      </c>
      <c r="K1690" t="s">
        <v>19</v>
      </c>
      <c r="L1690" t="str">
        <f>_xlfn.XLOOKUP(C1690, Table2[Species],Table2[Genus], "Code Not Found")</f>
        <v>Fagus</v>
      </c>
      <c r="M1690" t="str">
        <f>_xlfn.XLOOKUP(C1690, Table2[Species],Table2[Sp. Name], "Code Not Found")</f>
        <v>grandifolia</v>
      </c>
      <c r="N1690" t="str">
        <f>_xlfn.XLOOKUP(C1690,Table2[Species],Table2[Family],"Code Not Found")</f>
        <v>Fagaceae</v>
      </c>
      <c r="O1690" t="str" cm="1">
        <f t="array" ref="O1690">_xlfn.IFS(F1690="","",F1690&lt;=5,"0 to 5",F1690&lt;=10,"5.1 to 10",F1690&lt;=20,"10 to 20", F1690&lt;= 40, "20 to 40", F1690 &lt;= 50, "40 to 50", F1690 &gt; 50, "&gt;50" )</f>
        <v>0 to 5</v>
      </c>
    </row>
    <row r="1691" spans="1:15" ht="15" customHeight="1" x14ac:dyDescent="0.3">
      <c r="A1691" t="s">
        <v>293</v>
      </c>
      <c r="B1691" s="1">
        <v>46199</v>
      </c>
      <c r="C1691" t="s">
        <v>64</v>
      </c>
      <c r="D1691">
        <v>1546</v>
      </c>
      <c r="E1691">
        <v>4</v>
      </c>
      <c r="F1691">
        <v>6.7</v>
      </c>
      <c r="G1691" t="s">
        <v>32</v>
      </c>
      <c r="I1691" t="str">
        <f t="shared" si="36"/>
        <v>1546_4</v>
      </c>
      <c r="J1691" t="s">
        <v>294</v>
      </c>
      <c r="K1691" t="s">
        <v>19</v>
      </c>
      <c r="L1691" t="str">
        <f>_xlfn.XLOOKUP(C1691, Table2[Species],Table2[Genus], "Code Not Found")</f>
        <v>Fagus</v>
      </c>
      <c r="M1691" t="str">
        <f>_xlfn.XLOOKUP(C1691, Table2[Species],Table2[Sp. Name], "Code Not Found")</f>
        <v>grandifolia</v>
      </c>
      <c r="N1691" t="str">
        <f>_xlfn.XLOOKUP(C1691,Table2[Species],Table2[Family],"Code Not Found")</f>
        <v>Fagaceae</v>
      </c>
      <c r="O1691" t="str" cm="1">
        <f t="array" ref="O1691">_xlfn.IFS(F1691="","",F1691&lt;=5,"0 to 5",F1691&lt;=10,"5.1 to 10",F1691&lt;=20,"10 to 20", F1691&lt;= 40, "20 to 40", F1691 &lt;= 50, "40 to 50", F1691 &gt; 50, "&gt;50" )</f>
        <v>5.1 to 10</v>
      </c>
    </row>
    <row r="1692" spans="1:15" ht="15" customHeight="1" x14ac:dyDescent="0.3">
      <c r="A1692" t="s">
        <v>293</v>
      </c>
      <c r="B1692" s="1">
        <v>46199</v>
      </c>
      <c r="C1692" t="s">
        <v>123</v>
      </c>
      <c r="D1692">
        <v>1547</v>
      </c>
      <c r="E1692">
        <v>1</v>
      </c>
      <c r="F1692">
        <v>66</v>
      </c>
      <c r="G1692" t="s">
        <v>17</v>
      </c>
      <c r="I1692" t="str">
        <f t="shared" si="36"/>
        <v>1547_1</v>
      </c>
      <c r="J1692" t="s">
        <v>294</v>
      </c>
      <c r="K1692" t="s">
        <v>19</v>
      </c>
      <c r="L1692" t="str">
        <f>_xlfn.XLOOKUP(C1692, Table2[Species],Table2[Genus], "Code Not Found")</f>
        <v>Quercus</v>
      </c>
      <c r="M1692" t="str">
        <f>_xlfn.XLOOKUP(C1692, Table2[Species],Table2[Sp. Name], "Code Not Found")</f>
        <v>rubra</v>
      </c>
      <c r="N1692" t="str">
        <f>_xlfn.XLOOKUP(C1692,Table2[Species],Table2[Family],"Code Not Found")</f>
        <v>Fagaceae</v>
      </c>
      <c r="O1692" t="str" cm="1">
        <f t="array" ref="O1692">_xlfn.IFS(F1692="","",F1692&lt;=5,"0 to 5",F1692&lt;=10,"5.1 to 10",F1692&lt;=20,"10 to 20", F1692&lt;= 40, "20 to 40", F1692 &lt;= 50, "40 to 50", F1692 &gt; 50, "&gt;50" )</f>
        <v>&gt;50</v>
      </c>
    </row>
    <row r="1693" spans="1:15" ht="15" customHeight="1" x14ac:dyDescent="0.3">
      <c r="A1693" t="s">
        <v>293</v>
      </c>
      <c r="B1693" s="1">
        <v>46199</v>
      </c>
      <c r="C1693" t="s">
        <v>16</v>
      </c>
      <c r="D1693">
        <v>1548</v>
      </c>
      <c r="E1693">
        <v>1</v>
      </c>
      <c r="F1693">
        <v>3.7</v>
      </c>
      <c r="G1693" t="s">
        <v>17</v>
      </c>
      <c r="I1693" t="str">
        <f t="shared" si="36"/>
        <v>1548_1</v>
      </c>
      <c r="J1693" t="s">
        <v>294</v>
      </c>
      <c r="K1693" t="s">
        <v>19</v>
      </c>
      <c r="L1693" t="str">
        <f>_xlfn.XLOOKUP(C1693, Table2[Species],Table2[Genus], "Code Not Found")</f>
        <v>Acer</v>
      </c>
      <c r="M1693" t="str">
        <f>_xlfn.XLOOKUP(C1693, Table2[Species],Table2[Sp. Name], "Code Not Found")</f>
        <v>saccharum</v>
      </c>
      <c r="N1693" t="str">
        <f>_xlfn.XLOOKUP(C1693,Table2[Species],Table2[Family],"Code Not Found")</f>
        <v>Sapindaceae</v>
      </c>
      <c r="O1693" t="str" cm="1">
        <f t="array" ref="O1693">_xlfn.IFS(F1693="","",F1693&lt;=5,"0 to 5",F1693&lt;=10,"5.1 to 10",F1693&lt;=20,"10 to 20", F1693&lt;= 40, "20 to 40", F1693 &lt;= 50, "40 to 50", F1693 &gt; 50, "&gt;50" )</f>
        <v>0 to 5</v>
      </c>
    </row>
    <row r="1694" spans="1:15" ht="15" customHeight="1" x14ac:dyDescent="0.3">
      <c r="A1694" t="s">
        <v>293</v>
      </c>
      <c r="B1694" s="1">
        <v>46199</v>
      </c>
      <c r="C1694" t="s">
        <v>16</v>
      </c>
      <c r="D1694">
        <v>1549</v>
      </c>
      <c r="E1694">
        <v>1</v>
      </c>
      <c r="F1694">
        <v>3.5</v>
      </c>
      <c r="G1694" t="s">
        <v>17</v>
      </c>
      <c r="I1694" t="str">
        <f t="shared" si="36"/>
        <v>1549_1</v>
      </c>
      <c r="J1694" t="s">
        <v>294</v>
      </c>
      <c r="K1694" t="s">
        <v>19</v>
      </c>
      <c r="L1694" t="str">
        <f>_xlfn.XLOOKUP(C1694, Table2[Species],Table2[Genus], "Code Not Found")</f>
        <v>Acer</v>
      </c>
      <c r="M1694" t="str">
        <f>_xlfn.XLOOKUP(C1694, Table2[Species],Table2[Sp. Name], "Code Not Found")</f>
        <v>saccharum</v>
      </c>
      <c r="N1694" t="str">
        <f>_xlfn.XLOOKUP(C1694,Table2[Species],Table2[Family],"Code Not Found")</f>
        <v>Sapindaceae</v>
      </c>
      <c r="O1694" t="str" cm="1">
        <f t="array" ref="O1694">_xlfn.IFS(F1694="","",F1694&lt;=5,"0 to 5",F1694&lt;=10,"5.1 to 10",F1694&lt;=20,"10 to 20", F1694&lt;= 40, "20 to 40", F1694 &lt;= 50, "40 to 50", F1694 &gt; 50, "&gt;50" )</f>
        <v>0 to 5</v>
      </c>
    </row>
    <row r="1695" spans="1:15" ht="15" customHeight="1" x14ac:dyDescent="0.3">
      <c r="A1695" t="s">
        <v>293</v>
      </c>
      <c r="B1695" s="1">
        <v>46199</v>
      </c>
      <c r="C1695" t="s">
        <v>22</v>
      </c>
      <c r="D1695">
        <v>1550</v>
      </c>
      <c r="E1695">
        <v>1</v>
      </c>
      <c r="F1695">
        <v>41.6</v>
      </c>
      <c r="G1695" t="s">
        <v>17</v>
      </c>
      <c r="I1695" t="str">
        <f t="shared" si="36"/>
        <v>1550_1</v>
      </c>
      <c r="J1695" t="s">
        <v>294</v>
      </c>
      <c r="K1695" t="s">
        <v>19</v>
      </c>
      <c r="L1695" t="str">
        <f>_xlfn.XLOOKUP(C1695, Table2[Species],Table2[Genus], "Code Not Found")</f>
        <v>Acer</v>
      </c>
      <c r="M1695" t="str">
        <f>_xlfn.XLOOKUP(C1695, Table2[Species],Table2[Sp. Name], "Code Not Found")</f>
        <v>rubrum</v>
      </c>
      <c r="N1695" t="str">
        <f>_xlfn.XLOOKUP(C1695,Table2[Species],Table2[Family],"Code Not Found")</f>
        <v>Sapindaceae</v>
      </c>
      <c r="O1695" t="str" cm="1">
        <f t="array" ref="O1695">_xlfn.IFS(F1695="","",F1695&lt;=5,"0 to 5",F1695&lt;=10,"5.1 to 10",F1695&lt;=20,"10 to 20", F1695&lt;= 40, "20 to 40", F1695 &lt;= 50, "40 to 50", F1695 &gt; 50, "&gt;50" )</f>
        <v>40 to 50</v>
      </c>
    </row>
    <row r="1696" spans="1:15" ht="15" customHeight="1" x14ac:dyDescent="0.3">
      <c r="A1696" t="s">
        <v>293</v>
      </c>
      <c r="B1696" s="1">
        <v>46199</v>
      </c>
      <c r="C1696" t="s">
        <v>22</v>
      </c>
      <c r="D1696">
        <v>1551</v>
      </c>
      <c r="E1696">
        <v>1</v>
      </c>
      <c r="F1696">
        <v>27.8</v>
      </c>
      <c r="G1696" t="s">
        <v>17</v>
      </c>
      <c r="I1696" t="str">
        <f t="shared" si="36"/>
        <v>1551_1</v>
      </c>
      <c r="J1696" t="s">
        <v>294</v>
      </c>
      <c r="K1696" t="s">
        <v>19</v>
      </c>
      <c r="L1696" t="str">
        <f>_xlfn.XLOOKUP(C1696, Table2[Species],Table2[Genus], "Code Not Found")</f>
        <v>Acer</v>
      </c>
      <c r="M1696" t="str">
        <f>_xlfn.XLOOKUP(C1696, Table2[Species],Table2[Sp. Name], "Code Not Found")</f>
        <v>rubrum</v>
      </c>
      <c r="N1696" t="str">
        <f>_xlfn.XLOOKUP(C1696,Table2[Species],Table2[Family],"Code Not Found")</f>
        <v>Sapindaceae</v>
      </c>
      <c r="O1696" t="str" cm="1">
        <f t="array" ref="O1696">_xlfn.IFS(F1696="","",F1696&lt;=5,"0 to 5",F1696&lt;=10,"5.1 to 10",F1696&lt;=20,"10 to 20", F1696&lt;= 40, "20 to 40", F1696 &lt;= 50, "40 to 50", F1696 &gt; 50, "&gt;50" )</f>
        <v>20 to 40</v>
      </c>
    </row>
    <row r="1697" spans="1:15" ht="15" customHeight="1" x14ac:dyDescent="0.3">
      <c r="A1697" t="s">
        <v>293</v>
      </c>
      <c r="B1697" s="1">
        <v>46199</v>
      </c>
      <c r="C1697" t="s">
        <v>16</v>
      </c>
      <c r="D1697">
        <v>1552</v>
      </c>
      <c r="E1697">
        <v>1</v>
      </c>
      <c r="F1697">
        <v>4.4000000000000004</v>
      </c>
      <c r="G1697" t="s">
        <v>17</v>
      </c>
      <c r="I1697" t="str">
        <f t="shared" si="36"/>
        <v>1552_1</v>
      </c>
      <c r="J1697" t="s">
        <v>294</v>
      </c>
      <c r="K1697" t="s">
        <v>19</v>
      </c>
      <c r="L1697" t="str">
        <f>_xlfn.XLOOKUP(C1697, Table2[Species],Table2[Genus], "Code Not Found")</f>
        <v>Acer</v>
      </c>
      <c r="M1697" t="str">
        <f>_xlfn.XLOOKUP(C1697, Table2[Species],Table2[Sp. Name], "Code Not Found")</f>
        <v>saccharum</v>
      </c>
      <c r="N1697" t="str">
        <f>_xlfn.XLOOKUP(C1697,Table2[Species],Table2[Family],"Code Not Found")</f>
        <v>Sapindaceae</v>
      </c>
      <c r="O1697" t="str" cm="1">
        <f t="array" ref="O1697">_xlfn.IFS(F1697="","",F1697&lt;=5,"0 to 5",F1697&lt;=10,"5.1 to 10",F1697&lt;=20,"10 to 20", F1697&lt;= 40, "20 to 40", F1697 &lt;= 50, "40 to 50", F1697 &gt; 50, "&gt;50" )</f>
        <v>0 to 5</v>
      </c>
    </row>
    <row r="1698" spans="1:15" ht="15" customHeight="1" x14ac:dyDescent="0.3">
      <c r="A1698" t="s">
        <v>293</v>
      </c>
      <c r="B1698" s="1">
        <v>46199</v>
      </c>
      <c r="C1698" t="s">
        <v>16</v>
      </c>
      <c r="D1698">
        <v>1553</v>
      </c>
      <c r="E1698">
        <v>1</v>
      </c>
      <c r="F1698">
        <v>1.3</v>
      </c>
      <c r="G1698" t="s">
        <v>88</v>
      </c>
      <c r="H1698" t="s">
        <v>99</v>
      </c>
      <c r="I1698" t="str">
        <f t="shared" si="36"/>
        <v>1553_1</v>
      </c>
      <c r="J1698" t="s">
        <v>294</v>
      </c>
      <c r="K1698" t="s">
        <v>19</v>
      </c>
      <c r="L1698" t="str">
        <f>_xlfn.XLOOKUP(C1698, Table2[Species],Table2[Genus], "Code Not Found")</f>
        <v>Acer</v>
      </c>
      <c r="M1698" t="str">
        <f>_xlfn.XLOOKUP(C1698, Table2[Species],Table2[Sp. Name], "Code Not Found")</f>
        <v>saccharum</v>
      </c>
      <c r="N1698" t="str">
        <f>_xlfn.XLOOKUP(C1698,Table2[Species],Table2[Family],"Code Not Found")</f>
        <v>Sapindaceae</v>
      </c>
      <c r="O1698" t="str" cm="1">
        <f t="array" ref="O1698">_xlfn.IFS(F1698="","",F1698&lt;=5,"0 to 5",F1698&lt;=10,"5.1 to 10",F1698&lt;=20,"10 to 20", F1698&lt;= 40, "20 to 40", F1698 &lt;= 50, "40 to 50", F1698 &gt; 50, "&gt;50" )</f>
        <v>0 to 5</v>
      </c>
    </row>
    <row r="1699" spans="1:15" ht="15" customHeight="1" x14ac:dyDescent="0.3">
      <c r="A1699" t="s">
        <v>293</v>
      </c>
      <c r="B1699" s="1">
        <v>46199</v>
      </c>
      <c r="C1699" t="s">
        <v>16</v>
      </c>
      <c r="D1699">
        <v>1554</v>
      </c>
      <c r="E1699">
        <v>1</v>
      </c>
      <c r="F1699">
        <v>2.9</v>
      </c>
      <c r="G1699" t="s">
        <v>32</v>
      </c>
      <c r="I1699" t="str">
        <f t="shared" si="36"/>
        <v>1554_1</v>
      </c>
      <c r="J1699" t="s">
        <v>294</v>
      </c>
      <c r="K1699" t="s">
        <v>19</v>
      </c>
      <c r="L1699" t="str">
        <f>_xlfn.XLOOKUP(C1699, Table2[Species],Table2[Genus], "Code Not Found")</f>
        <v>Acer</v>
      </c>
      <c r="M1699" t="str">
        <f>_xlfn.XLOOKUP(C1699, Table2[Species],Table2[Sp. Name], "Code Not Found")</f>
        <v>saccharum</v>
      </c>
      <c r="N1699" t="str">
        <f>_xlfn.XLOOKUP(C1699,Table2[Species],Table2[Family],"Code Not Found")</f>
        <v>Sapindaceae</v>
      </c>
      <c r="O1699" t="str" cm="1">
        <f t="array" ref="O1699">_xlfn.IFS(F1699="","",F1699&lt;=5,"0 to 5",F1699&lt;=10,"5.1 to 10",F1699&lt;=20,"10 to 20", F1699&lt;= 40, "20 to 40", F1699 &lt;= 50, "40 to 50", F1699 &gt; 50, "&gt;50" )</f>
        <v>0 to 5</v>
      </c>
    </row>
    <row r="1700" spans="1:15" ht="15" customHeight="1" x14ac:dyDescent="0.3">
      <c r="A1700" t="s">
        <v>293</v>
      </c>
      <c r="B1700" s="1">
        <v>46199</v>
      </c>
      <c r="C1700" t="s">
        <v>16</v>
      </c>
      <c r="D1700">
        <v>1554</v>
      </c>
      <c r="E1700">
        <v>2</v>
      </c>
      <c r="F1700">
        <v>1.5</v>
      </c>
      <c r="G1700" t="s">
        <v>32</v>
      </c>
      <c r="I1700" t="str">
        <f t="shared" si="36"/>
        <v>1554_2</v>
      </c>
      <c r="J1700" t="s">
        <v>294</v>
      </c>
      <c r="K1700" t="s">
        <v>19</v>
      </c>
      <c r="L1700" t="str">
        <f>_xlfn.XLOOKUP(C1700, Table2[Species],Table2[Genus], "Code Not Found")</f>
        <v>Acer</v>
      </c>
      <c r="M1700" t="str">
        <f>_xlfn.XLOOKUP(C1700, Table2[Species],Table2[Sp. Name], "Code Not Found")</f>
        <v>saccharum</v>
      </c>
      <c r="N1700" t="str">
        <f>_xlfn.XLOOKUP(C1700,Table2[Species],Table2[Family],"Code Not Found")</f>
        <v>Sapindaceae</v>
      </c>
      <c r="O1700" t="str" cm="1">
        <f t="array" ref="O1700">_xlfn.IFS(F1700="","",F1700&lt;=5,"0 to 5",F1700&lt;=10,"5.1 to 10",F1700&lt;=20,"10 to 20", F1700&lt;= 40, "20 to 40", F1700 &lt;= 50, "40 to 50", F1700 &gt; 50, "&gt;50" )</f>
        <v>0 to 5</v>
      </c>
    </row>
    <row r="1701" spans="1:15" ht="15" customHeight="1" x14ac:dyDescent="0.3">
      <c r="A1701" t="s">
        <v>293</v>
      </c>
      <c r="B1701" s="1">
        <v>46199</v>
      </c>
      <c r="C1701" t="s">
        <v>24</v>
      </c>
      <c r="D1701">
        <v>1555</v>
      </c>
      <c r="E1701">
        <v>1</v>
      </c>
      <c r="F1701">
        <v>47.4</v>
      </c>
      <c r="G1701" t="s">
        <v>47</v>
      </c>
      <c r="H1701" t="s">
        <v>43</v>
      </c>
      <c r="I1701" t="str">
        <f t="shared" si="36"/>
        <v>1555_1</v>
      </c>
      <c r="J1701" t="s">
        <v>294</v>
      </c>
      <c r="K1701" t="s">
        <v>19</v>
      </c>
      <c r="L1701" t="str">
        <f>_xlfn.XLOOKUP(C1701, Table2[Species],Table2[Genus], "Code Not Found")</f>
        <v>Lirodendron</v>
      </c>
      <c r="M1701" t="str">
        <f>_xlfn.XLOOKUP(C1701, Table2[Species],Table2[Sp. Name], "Code Not Found")</f>
        <v>tulipfera</v>
      </c>
      <c r="N1701" t="str">
        <f>_xlfn.XLOOKUP(C1701,Table2[Species],Table2[Family],"Code Not Found")</f>
        <v>Magnoliaceae</v>
      </c>
      <c r="O1701" t="str" cm="1">
        <f t="array" ref="O1701">_xlfn.IFS(F1701="","",F1701&lt;=5,"0 to 5",F1701&lt;=10,"5.1 to 10",F1701&lt;=20,"10 to 20", F1701&lt;= 40, "20 to 40", F1701 &lt;= 50, "40 to 50", F1701 &gt; 50, "&gt;50" )</f>
        <v>40 to 50</v>
      </c>
    </row>
    <row r="1702" spans="1:15" ht="15" customHeight="1" x14ac:dyDescent="0.3">
      <c r="A1702" t="s">
        <v>351</v>
      </c>
      <c r="B1702" s="1">
        <v>46202</v>
      </c>
      <c r="C1702" t="s">
        <v>16</v>
      </c>
      <c r="D1702">
        <v>1558</v>
      </c>
      <c r="E1702">
        <v>1</v>
      </c>
      <c r="F1702">
        <v>4.8</v>
      </c>
      <c r="G1702" t="s">
        <v>30</v>
      </c>
      <c r="H1702" t="s">
        <v>352</v>
      </c>
      <c r="I1702" t="str">
        <f t="shared" ref="I1702:I1709" si="37">D1702&amp;"_"&amp;E1702</f>
        <v>1558_1</v>
      </c>
      <c r="J1702" t="s">
        <v>241</v>
      </c>
      <c r="K1702" t="s">
        <v>179</v>
      </c>
      <c r="L1702" t="str">
        <f>_xlfn.XLOOKUP(C1702, Table2[Species],Table2[Genus], "Code Not Found")</f>
        <v>Acer</v>
      </c>
      <c r="M1702" t="str">
        <f>_xlfn.XLOOKUP(C1702, Table2[Species],Table2[Sp. Name], "Code Not Found")</f>
        <v>saccharum</v>
      </c>
      <c r="N1702" t="str">
        <f>_xlfn.XLOOKUP(C1702,Table2[Species],Table2[Family],"Code Not Found")</f>
        <v>Sapindaceae</v>
      </c>
      <c r="O1702" t="str" cm="1">
        <f t="array" ref="O1702">_xlfn.IFS(F1702="","",F1702&lt;=5,"0 to 5",F1702&lt;=10,"5.1 to 10",F1702&lt;=20,"10 to 20", F1702&lt;= 40, "20 to 40", F1702 &lt;= 50, "40 to 50", F1702 &gt; 50, "&gt;50" )</f>
        <v>0 to 5</v>
      </c>
    </row>
    <row r="1703" spans="1:15" ht="15" customHeight="1" x14ac:dyDescent="0.3">
      <c r="A1703" t="s">
        <v>351</v>
      </c>
      <c r="B1703" s="1">
        <v>46202</v>
      </c>
      <c r="C1703" t="s">
        <v>16</v>
      </c>
      <c r="D1703">
        <v>1559</v>
      </c>
      <c r="E1703">
        <v>1</v>
      </c>
      <c r="F1703">
        <v>7.4</v>
      </c>
      <c r="G1703" t="s">
        <v>30</v>
      </c>
      <c r="H1703" t="s">
        <v>244</v>
      </c>
      <c r="I1703" t="str">
        <f t="shared" si="37"/>
        <v>1559_1</v>
      </c>
      <c r="J1703" t="s">
        <v>241</v>
      </c>
      <c r="K1703" t="s">
        <v>179</v>
      </c>
      <c r="L1703" t="str">
        <f>_xlfn.XLOOKUP(C1703, Table2[Species],Table2[Genus], "Code Not Found")</f>
        <v>Acer</v>
      </c>
      <c r="M1703" t="str">
        <f>_xlfn.XLOOKUP(C1703, Table2[Species],Table2[Sp. Name], "Code Not Found")</f>
        <v>saccharum</v>
      </c>
      <c r="N1703" t="str">
        <f>_xlfn.XLOOKUP(C1703,Table2[Species],Table2[Family],"Code Not Found")</f>
        <v>Sapindaceae</v>
      </c>
      <c r="O1703" t="str" cm="1">
        <f t="array" ref="O1703">_xlfn.IFS(F1703="","",F1703&lt;=5,"0 to 5",F1703&lt;=10,"5.1 to 10",F1703&lt;=20,"10 to 20", F1703&lt;= 40, "20 to 40", F1703 &lt;= 50, "40 to 50", F1703 &gt; 50, "&gt;50" )</f>
        <v>5.1 to 10</v>
      </c>
    </row>
    <row r="1704" spans="1:15" ht="15" customHeight="1" x14ac:dyDescent="0.3">
      <c r="A1704" t="s">
        <v>351</v>
      </c>
      <c r="B1704" s="1">
        <v>46202</v>
      </c>
      <c r="C1704" t="s">
        <v>16</v>
      </c>
      <c r="D1704">
        <v>1560</v>
      </c>
      <c r="E1704">
        <v>1</v>
      </c>
      <c r="F1704">
        <v>18.2</v>
      </c>
      <c r="G1704" t="s">
        <v>30</v>
      </c>
      <c r="H1704" t="s">
        <v>244</v>
      </c>
      <c r="I1704" t="str">
        <f t="shared" si="37"/>
        <v>1560_1</v>
      </c>
      <c r="J1704" t="s">
        <v>241</v>
      </c>
      <c r="K1704" t="s">
        <v>179</v>
      </c>
      <c r="L1704" t="str">
        <f>_xlfn.XLOOKUP(C1704, Table2[Species],Table2[Genus], "Code Not Found")</f>
        <v>Acer</v>
      </c>
      <c r="M1704" t="str">
        <f>_xlfn.XLOOKUP(C1704, Table2[Species],Table2[Sp. Name], "Code Not Found")</f>
        <v>saccharum</v>
      </c>
      <c r="N1704" t="str">
        <f>_xlfn.XLOOKUP(C1704,Table2[Species],Table2[Family],"Code Not Found")</f>
        <v>Sapindaceae</v>
      </c>
      <c r="O1704" t="str" cm="1">
        <f t="array" ref="O1704">_xlfn.IFS(F1704="","",F1704&lt;=5,"0 to 5",F1704&lt;=10,"5.1 to 10",F1704&lt;=20,"10 to 20", F1704&lt;= 40, "20 to 40", F1704 &lt;= 50, "40 to 50", F1704 &gt; 50, "&gt;50" )</f>
        <v>10 to 20</v>
      </c>
    </row>
    <row r="1705" spans="1:15" ht="15" customHeight="1" x14ac:dyDescent="0.3">
      <c r="A1705" t="s">
        <v>351</v>
      </c>
      <c r="B1705" s="1">
        <v>46202</v>
      </c>
      <c r="C1705" t="s">
        <v>16</v>
      </c>
      <c r="D1705">
        <v>1561</v>
      </c>
      <c r="E1705">
        <v>1</v>
      </c>
      <c r="F1705">
        <v>11.3</v>
      </c>
      <c r="G1705" t="s">
        <v>17</v>
      </c>
      <c r="H1705" t="s">
        <v>36</v>
      </c>
      <c r="I1705" t="str">
        <f t="shared" si="37"/>
        <v>1561_1</v>
      </c>
      <c r="J1705" t="s">
        <v>241</v>
      </c>
      <c r="K1705" t="s">
        <v>179</v>
      </c>
      <c r="L1705" t="str">
        <f>_xlfn.XLOOKUP(C1705, Table2[Species],Table2[Genus], "Code Not Found")</f>
        <v>Acer</v>
      </c>
      <c r="M1705" t="str">
        <f>_xlfn.XLOOKUP(C1705, Table2[Species],Table2[Sp. Name], "Code Not Found")</f>
        <v>saccharum</v>
      </c>
      <c r="N1705" t="str">
        <f>_xlfn.XLOOKUP(C1705,Table2[Species],Table2[Family],"Code Not Found")</f>
        <v>Sapindaceae</v>
      </c>
      <c r="O1705" t="str" cm="1">
        <f t="array" ref="O1705">_xlfn.IFS(F1705="","",F1705&lt;=5,"0 to 5",F1705&lt;=10,"5.1 to 10",F1705&lt;=20,"10 to 20", F1705&lt;= 40, "20 to 40", F1705 &lt;= 50, "40 to 50", F1705 &gt; 50, "&gt;50" )</f>
        <v>10 to 20</v>
      </c>
    </row>
    <row r="1706" spans="1:15" ht="15" customHeight="1" x14ac:dyDescent="0.3">
      <c r="A1706" t="s">
        <v>351</v>
      </c>
      <c r="B1706" s="1">
        <v>46202</v>
      </c>
      <c r="C1706" t="s">
        <v>16</v>
      </c>
      <c r="D1706">
        <v>1562</v>
      </c>
      <c r="E1706">
        <v>1</v>
      </c>
      <c r="F1706">
        <v>2</v>
      </c>
      <c r="G1706" t="s">
        <v>21</v>
      </c>
      <c r="I1706" t="str">
        <f t="shared" si="37"/>
        <v>1562_1</v>
      </c>
      <c r="J1706" t="s">
        <v>241</v>
      </c>
      <c r="K1706" t="s">
        <v>179</v>
      </c>
      <c r="L1706" t="str">
        <f>_xlfn.XLOOKUP(C1706, Table2[Species],Table2[Genus], "Code Not Found")</f>
        <v>Acer</v>
      </c>
      <c r="M1706" t="str">
        <f>_xlfn.XLOOKUP(C1706, Table2[Species],Table2[Sp. Name], "Code Not Found")</f>
        <v>saccharum</v>
      </c>
      <c r="N1706" t="str">
        <f>_xlfn.XLOOKUP(C1706,Table2[Species],Table2[Family],"Code Not Found")</f>
        <v>Sapindaceae</v>
      </c>
      <c r="O1706" t="str" cm="1">
        <f t="array" ref="O1706">_xlfn.IFS(F1706="","",F1706&lt;=5,"0 to 5",F1706&lt;=10,"5.1 to 10",F1706&lt;=20,"10 to 20", F1706&lt;= 40, "20 to 40", F1706 &lt;= 50, "40 to 50", F1706 &gt; 50, "&gt;50" )</f>
        <v>0 to 5</v>
      </c>
    </row>
    <row r="1707" spans="1:15" ht="15" customHeight="1" x14ac:dyDescent="0.3">
      <c r="A1707" t="s">
        <v>351</v>
      </c>
      <c r="B1707" s="1">
        <v>46202</v>
      </c>
      <c r="C1707" t="s">
        <v>16</v>
      </c>
      <c r="D1707">
        <v>1563</v>
      </c>
      <c r="E1707">
        <v>1</v>
      </c>
      <c r="F1707">
        <v>8.6</v>
      </c>
      <c r="G1707" t="s">
        <v>17</v>
      </c>
      <c r="H1707" t="s">
        <v>353</v>
      </c>
      <c r="I1707" t="str">
        <f t="shared" si="37"/>
        <v>1563_1</v>
      </c>
      <c r="J1707" t="s">
        <v>241</v>
      </c>
      <c r="K1707" t="s">
        <v>179</v>
      </c>
      <c r="L1707" t="str">
        <f>_xlfn.XLOOKUP(C1707, Table2[Species],Table2[Genus], "Code Not Found")</f>
        <v>Acer</v>
      </c>
      <c r="M1707" t="str">
        <f>_xlfn.XLOOKUP(C1707, Table2[Species],Table2[Sp. Name], "Code Not Found")</f>
        <v>saccharum</v>
      </c>
      <c r="N1707" t="str">
        <f>_xlfn.XLOOKUP(C1707,Table2[Species],Table2[Family],"Code Not Found")</f>
        <v>Sapindaceae</v>
      </c>
      <c r="O1707" t="str" cm="1">
        <f t="array" ref="O1707">_xlfn.IFS(F1707="","",F1707&lt;=5,"0 to 5",F1707&lt;=10,"5.1 to 10",F1707&lt;=20,"10 to 20", F1707&lt;= 40, "20 to 40", F1707 &lt;= 50, "40 to 50", F1707 &gt; 50, "&gt;50" )</f>
        <v>5.1 to 10</v>
      </c>
    </row>
    <row r="1708" spans="1:15" ht="15" customHeight="1" x14ac:dyDescent="0.3">
      <c r="A1708" t="s">
        <v>351</v>
      </c>
      <c r="B1708" s="1">
        <v>46202</v>
      </c>
      <c r="C1708" t="s">
        <v>16</v>
      </c>
      <c r="D1708">
        <v>1564</v>
      </c>
      <c r="E1708">
        <v>1</v>
      </c>
      <c r="F1708">
        <v>10.7</v>
      </c>
      <c r="G1708" t="s">
        <v>17</v>
      </c>
      <c r="I1708" t="str">
        <f t="shared" si="37"/>
        <v>1564_1</v>
      </c>
      <c r="J1708" t="s">
        <v>241</v>
      </c>
      <c r="K1708" t="s">
        <v>179</v>
      </c>
      <c r="L1708" t="str">
        <f>_xlfn.XLOOKUP(C1708, Table2[Species],Table2[Genus], "Code Not Found")</f>
        <v>Acer</v>
      </c>
      <c r="M1708" t="str">
        <f>_xlfn.XLOOKUP(C1708, Table2[Species],Table2[Sp. Name], "Code Not Found")</f>
        <v>saccharum</v>
      </c>
      <c r="N1708" t="str">
        <f>_xlfn.XLOOKUP(C1708,Table2[Species],Table2[Family],"Code Not Found")</f>
        <v>Sapindaceae</v>
      </c>
      <c r="O1708" t="str" cm="1">
        <f t="array" ref="O1708">_xlfn.IFS(F1708="","",F1708&lt;=5,"0 to 5",F1708&lt;=10,"5.1 to 10",F1708&lt;=20,"10 to 20", F1708&lt;= 40, "20 to 40", F1708 &lt;= 50, "40 to 50", F1708 &gt; 50, "&gt;50" )</f>
        <v>10 to 20</v>
      </c>
    </row>
    <row r="1709" spans="1:15" ht="15" customHeight="1" x14ac:dyDescent="0.3">
      <c r="A1709" t="s">
        <v>351</v>
      </c>
      <c r="B1709" s="1">
        <v>46202</v>
      </c>
      <c r="C1709" t="s">
        <v>16</v>
      </c>
      <c r="D1709">
        <v>1565</v>
      </c>
      <c r="E1709">
        <v>1</v>
      </c>
      <c r="F1709">
        <v>9.8000000000000007</v>
      </c>
      <c r="G1709" t="s">
        <v>21</v>
      </c>
      <c r="I1709" t="str">
        <f t="shared" si="37"/>
        <v>1565_1</v>
      </c>
      <c r="J1709" t="s">
        <v>241</v>
      </c>
      <c r="K1709" t="s">
        <v>179</v>
      </c>
      <c r="L1709" t="str">
        <f>_xlfn.XLOOKUP(C1709, Table2[Species],Table2[Genus], "Code Not Found")</f>
        <v>Acer</v>
      </c>
      <c r="M1709" t="str">
        <f>_xlfn.XLOOKUP(C1709, Table2[Species],Table2[Sp. Name], "Code Not Found")</f>
        <v>saccharum</v>
      </c>
      <c r="N1709" t="str">
        <f>_xlfn.XLOOKUP(C1709,Table2[Species],Table2[Family],"Code Not Found")</f>
        <v>Sapindaceae</v>
      </c>
      <c r="O1709" t="str" cm="1">
        <f t="array" ref="O1709">_xlfn.IFS(F1709="","",F1709&lt;=5,"0 to 5",F1709&lt;=10,"5.1 to 10",F1709&lt;=20,"10 to 20", F1709&lt;= 40, "20 to 40", F1709 &lt;= 50, "40 to 50", F1709 &gt; 50, "&gt;50" )</f>
        <v>5.1 to 10</v>
      </c>
    </row>
    <row r="1710" spans="1:15" ht="15" customHeight="1" x14ac:dyDescent="0.3">
      <c r="A1710" t="s">
        <v>351</v>
      </c>
      <c r="B1710" s="1">
        <v>46202</v>
      </c>
      <c r="C1710" t="s">
        <v>64</v>
      </c>
      <c r="D1710">
        <v>1566</v>
      </c>
      <c r="E1710">
        <v>1</v>
      </c>
      <c r="F1710">
        <v>2.2000000000000002</v>
      </c>
      <c r="G1710" t="s">
        <v>17</v>
      </c>
      <c r="H1710" t="s">
        <v>354</v>
      </c>
      <c r="I1710" t="str">
        <f t="shared" ref="I1710:I1773" si="38">D1710&amp;"_"&amp;E1710</f>
        <v>1566_1</v>
      </c>
      <c r="J1710" t="s">
        <v>241</v>
      </c>
      <c r="K1710" t="s">
        <v>179</v>
      </c>
      <c r="L1710" t="str">
        <f>_xlfn.XLOOKUP(C1710, Table2[Species],Table2[Genus], "Code Not Found")</f>
        <v>Fagus</v>
      </c>
      <c r="M1710" t="str">
        <f>_xlfn.XLOOKUP(C1710, Table2[Species],Table2[Sp. Name], "Code Not Found")</f>
        <v>grandifolia</v>
      </c>
      <c r="N1710" t="str">
        <f>_xlfn.XLOOKUP(C1710,Table2[Species],Table2[Family],"Code Not Found")</f>
        <v>Fagaceae</v>
      </c>
      <c r="O1710" t="str" cm="1">
        <f t="array" ref="O1710">_xlfn.IFS(F1710="","",F1710&lt;=5,"0 to 5",F1710&lt;=10,"5.1 to 10",F1710&lt;=20,"10 to 20", F1710&lt;= 40, "20 to 40", F1710 &lt;= 50, "40 to 50", F1710 &gt; 50, "&gt;50" )</f>
        <v>0 to 5</v>
      </c>
    </row>
    <row r="1711" spans="1:15" ht="15" customHeight="1" x14ac:dyDescent="0.3">
      <c r="A1711" t="s">
        <v>351</v>
      </c>
      <c r="B1711" s="1">
        <v>46202</v>
      </c>
      <c r="C1711" t="s">
        <v>16</v>
      </c>
      <c r="D1711">
        <v>1567</v>
      </c>
      <c r="E1711">
        <v>1</v>
      </c>
      <c r="F1711">
        <v>8.3000000000000007</v>
      </c>
      <c r="G1711" t="s">
        <v>94</v>
      </c>
      <c r="H1711" t="s">
        <v>355</v>
      </c>
      <c r="I1711" t="str">
        <f t="shared" si="38"/>
        <v>1567_1</v>
      </c>
      <c r="J1711" t="s">
        <v>241</v>
      </c>
      <c r="K1711" t="s">
        <v>179</v>
      </c>
      <c r="L1711" t="str">
        <f>_xlfn.XLOOKUP(C1711, Table2[Species],Table2[Genus], "Code Not Found")</f>
        <v>Acer</v>
      </c>
      <c r="M1711" t="str">
        <f>_xlfn.XLOOKUP(C1711, Table2[Species],Table2[Sp. Name], "Code Not Found")</f>
        <v>saccharum</v>
      </c>
      <c r="N1711" t="str">
        <f>_xlfn.XLOOKUP(C1711,Table2[Species],Table2[Family],"Code Not Found")</f>
        <v>Sapindaceae</v>
      </c>
      <c r="O1711" t="str" cm="1">
        <f t="array" ref="O1711">_xlfn.IFS(F1711="","",F1711&lt;=5,"0 to 5",F1711&lt;=10,"5.1 to 10",F1711&lt;=20,"10 to 20", F1711&lt;= 40, "20 to 40", F1711 &lt;= 50, "40 to 50", F1711 &gt; 50, "&gt;50" )</f>
        <v>5.1 to 10</v>
      </c>
    </row>
    <row r="1712" spans="1:15" ht="15" customHeight="1" x14ac:dyDescent="0.3">
      <c r="A1712" t="s">
        <v>351</v>
      </c>
      <c r="B1712" s="1">
        <v>46202</v>
      </c>
      <c r="C1712" t="s">
        <v>64</v>
      </c>
      <c r="D1712">
        <v>1568</v>
      </c>
      <c r="E1712">
        <v>1</v>
      </c>
      <c r="F1712">
        <v>1.5</v>
      </c>
      <c r="G1712" t="s">
        <v>17</v>
      </c>
      <c r="I1712" t="str">
        <f t="shared" si="38"/>
        <v>1568_1</v>
      </c>
      <c r="J1712" t="s">
        <v>241</v>
      </c>
      <c r="K1712" t="s">
        <v>179</v>
      </c>
      <c r="L1712" t="str">
        <f>_xlfn.XLOOKUP(C1712, Table2[Species],Table2[Genus], "Code Not Found")</f>
        <v>Fagus</v>
      </c>
      <c r="M1712" t="str">
        <f>_xlfn.XLOOKUP(C1712, Table2[Species],Table2[Sp. Name], "Code Not Found")</f>
        <v>grandifolia</v>
      </c>
      <c r="N1712" t="str">
        <f>_xlfn.XLOOKUP(C1712,Table2[Species],Table2[Family],"Code Not Found")</f>
        <v>Fagaceae</v>
      </c>
      <c r="O1712" t="str" cm="1">
        <f t="array" ref="O1712">_xlfn.IFS(F1712="","",F1712&lt;=5,"0 to 5",F1712&lt;=10,"5.1 to 10",F1712&lt;=20,"10 to 20", F1712&lt;= 40, "20 to 40", F1712 &lt;= 50, "40 to 50", F1712 &gt; 50, "&gt;50" )</f>
        <v>0 to 5</v>
      </c>
    </row>
    <row r="1713" spans="1:15" ht="15" customHeight="1" x14ac:dyDescent="0.3">
      <c r="A1713" t="s">
        <v>351</v>
      </c>
      <c r="B1713" s="1">
        <v>46202</v>
      </c>
      <c r="C1713" t="s">
        <v>16</v>
      </c>
      <c r="D1713">
        <v>1569</v>
      </c>
      <c r="E1713">
        <v>1</v>
      </c>
      <c r="F1713">
        <v>13</v>
      </c>
      <c r="G1713" t="s">
        <v>17</v>
      </c>
      <c r="I1713" t="str">
        <f t="shared" si="38"/>
        <v>1569_1</v>
      </c>
      <c r="J1713" t="s">
        <v>241</v>
      </c>
      <c r="K1713" t="s">
        <v>179</v>
      </c>
      <c r="L1713" t="str">
        <f>_xlfn.XLOOKUP(C1713, Table2[Species],Table2[Genus], "Code Not Found")</f>
        <v>Acer</v>
      </c>
      <c r="M1713" t="str">
        <f>_xlfn.XLOOKUP(C1713, Table2[Species],Table2[Sp. Name], "Code Not Found")</f>
        <v>saccharum</v>
      </c>
      <c r="N1713" t="str">
        <f>_xlfn.XLOOKUP(C1713,Table2[Species],Table2[Family],"Code Not Found")</f>
        <v>Sapindaceae</v>
      </c>
      <c r="O1713" t="str" cm="1">
        <f t="array" ref="O1713">_xlfn.IFS(F1713="","",F1713&lt;=5,"0 to 5",F1713&lt;=10,"5.1 to 10",F1713&lt;=20,"10 to 20", F1713&lt;= 40, "20 to 40", F1713 &lt;= 50, "40 to 50", F1713 &gt; 50, "&gt;50" )</f>
        <v>10 to 20</v>
      </c>
    </row>
    <row r="1714" spans="1:15" ht="15" customHeight="1" x14ac:dyDescent="0.3">
      <c r="A1714" t="s">
        <v>351</v>
      </c>
      <c r="B1714" s="1">
        <v>46202</v>
      </c>
      <c r="C1714" t="s">
        <v>55</v>
      </c>
      <c r="D1714">
        <v>1570</v>
      </c>
      <c r="E1714">
        <v>1</v>
      </c>
      <c r="F1714">
        <v>29</v>
      </c>
      <c r="G1714" t="s">
        <v>21</v>
      </c>
      <c r="I1714" t="str">
        <f t="shared" si="38"/>
        <v>1570_1</v>
      </c>
      <c r="J1714" t="s">
        <v>241</v>
      </c>
      <c r="K1714" t="s">
        <v>179</v>
      </c>
      <c r="L1714" t="str">
        <f>_xlfn.XLOOKUP(C1714, Table2[Species],Table2[Genus], "Code Not Found")</f>
        <v>Magnolia</v>
      </c>
      <c r="M1714" t="str">
        <f>_xlfn.XLOOKUP(C1714, Table2[Species],Table2[Sp. Name], "Code Not Found")</f>
        <v>acuminata</v>
      </c>
      <c r="N1714" t="str">
        <f>_xlfn.XLOOKUP(C1714,Table2[Species],Table2[Family],"Code Not Found")</f>
        <v>Magnoliaceae</v>
      </c>
      <c r="O1714" t="str" cm="1">
        <f t="array" ref="O1714">_xlfn.IFS(F1714="","",F1714&lt;=5,"0 to 5",F1714&lt;=10,"5.1 to 10",F1714&lt;=20,"10 to 20", F1714&lt;= 40, "20 to 40", F1714 &lt;= 50, "40 to 50", F1714 &gt; 50, "&gt;50" )</f>
        <v>20 to 40</v>
      </c>
    </row>
    <row r="1715" spans="1:15" ht="15" customHeight="1" x14ac:dyDescent="0.3">
      <c r="A1715" t="s">
        <v>351</v>
      </c>
      <c r="B1715" s="1">
        <v>46202</v>
      </c>
      <c r="C1715" t="s">
        <v>64</v>
      </c>
      <c r="D1715">
        <v>1571</v>
      </c>
      <c r="E1715">
        <v>1</v>
      </c>
      <c r="F1715">
        <v>2.4</v>
      </c>
      <c r="G1715" t="s">
        <v>94</v>
      </c>
      <c r="H1715" t="s">
        <v>356</v>
      </c>
      <c r="I1715" t="str">
        <f t="shared" si="38"/>
        <v>1571_1</v>
      </c>
      <c r="J1715" t="s">
        <v>241</v>
      </c>
      <c r="K1715" t="s">
        <v>179</v>
      </c>
      <c r="L1715" t="str">
        <f>_xlfn.XLOOKUP(C1715, Table2[Species],Table2[Genus], "Code Not Found")</f>
        <v>Fagus</v>
      </c>
      <c r="M1715" t="str">
        <f>_xlfn.XLOOKUP(C1715, Table2[Species],Table2[Sp. Name], "Code Not Found")</f>
        <v>grandifolia</v>
      </c>
      <c r="N1715" t="str">
        <f>_xlfn.XLOOKUP(C1715,Table2[Species],Table2[Family],"Code Not Found")</f>
        <v>Fagaceae</v>
      </c>
      <c r="O1715" t="str" cm="1">
        <f t="array" ref="O1715">_xlfn.IFS(F1715="","",F1715&lt;=5,"0 to 5",F1715&lt;=10,"5.1 to 10",F1715&lt;=20,"10 to 20", F1715&lt;= 40, "20 to 40", F1715 &lt;= 50, "40 to 50", F1715 &gt; 50, "&gt;50" )</f>
        <v>0 to 5</v>
      </c>
    </row>
    <row r="1716" spans="1:15" ht="15" customHeight="1" x14ac:dyDescent="0.3">
      <c r="A1716" t="s">
        <v>351</v>
      </c>
      <c r="B1716" s="1">
        <v>46202</v>
      </c>
      <c r="C1716" t="s">
        <v>16</v>
      </c>
      <c r="D1716">
        <v>1572</v>
      </c>
      <c r="E1716">
        <v>1</v>
      </c>
      <c r="F1716">
        <v>44.8</v>
      </c>
      <c r="G1716" t="s">
        <v>17</v>
      </c>
      <c r="I1716" t="str">
        <f t="shared" si="38"/>
        <v>1572_1</v>
      </c>
      <c r="J1716" t="s">
        <v>241</v>
      </c>
      <c r="K1716" t="s">
        <v>179</v>
      </c>
      <c r="L1716" t="str">
        <f>_xlfn.XLOOKUP(C1716, Table2[Species],Table2[Genus], "Code Not Found")</f>
        <v>Acer</v>
      </c>
      <c r="M1716" t="str">
        <f>_xlfn.XLOOKUP(C1716, Table2[Species],Table2[Sp. Name], "Code Not Found")</f>
        <v>saccharum</v>
      </c>
      <c r="N1716" t="str">
        <f>_xlfn.XLOOKUP(C1716,Table2[Species],Table2[Family],"Code Not Found")</f>
        <v>Sapindaceae</v>
      </c>
      <c r="O1716" t="str" cm="1">
        <f t="array" ref="O1716">_xlfn.IFS(F1716="","",F1716&lt;=5,"0 to 5",F1716&lt;=10,"5.1 to 10",F1716&lt;=20,"10 to 20", F1716&lt;= 40, "20 to 40", F1716 &lt;= 50, "40 to 50", F1716 &gt; 50, "&gt;50" )</f>
        <v>40 to 50</v>
      </c>
    </row>
    <row r="1717" spans="1:15" ht="15" customHeight="1" x14ac:dyDescent="0.3">
      <c r="A1717" t="s">
        <v>351</v>
      </c>
      <c r="B1717" s="1">
        <v>46202</v>
      </c>
      <c r="C1717" t="s">
        <v>24</v>
      </c>
      <c r="D1717">
        <v>1573</v>
      </c>
      <c r="E1717">
        <v>1</v>
      </c>
      <c r="F1717">
        <v>24.8</v>
      </c>
      <c r="G1717" t="s">
        <v>21</v>
      </c>
      <c r="I1717" t="str">
        <f t="shared" si="38"/>
        <v>1573_1</v>
      </c>
      <c r="J1717" t="s">
        <v>241</v>
      </c>
      <c r="K1717" t="s">
        <v>179</v>
      </c>
      <c r="L1717" t="str">
        <f>_xlfn.XLOOKUP(C1717, Table2[Species],Table2[Genus], "Code Not Found")</f>
        <v>Lirodendron</v>
      </c>
      <c r="M1717" t="str">
        <f>_xlfn.XLOOKUP(C1717, Table2[Species],Table2[Sp. Name], "Code Not Found")</f>
        <v>tulipfera</v>
      </c>
      <c r="N1717" t="str">
        <f>_xlfn.XLOOKUP(C1717,Table2[Species],Table2[Family],"Code Not Found")</f>
        <v>Magnoliaceae</v>
      </c>
      <c r="O1717" t="str" cm="1">
        <f t="array" ref="O1717">_xlfn.IFS(F1717="","",F1717&lt;=5,"0 to 5",F1717&lt;=10,"5.1 to 10",F1717&lt;=20,"10 to 20", F1717&lt;= 40, "20 to 40", F1717 &lt;= 50, "40 to 50", F1717 &gt; 50, "&gt;50" )</f>
        <v>20 to 40</v>
      </c>
    </row>
    <row r="1718" spans="1:15" ht="15" customHeight="1" x14ac:dyDescent="0.3">
      <c r="A1718" t="s">
        <v>351</v>
      </c>
      <c r="B1718" s="1">
        <v>46202</v>
      </c>
      <c r="C1718" t="s">
        <v>55</v>
      </c>
      <c r="D1718">
        <v>1574</v>
      </c>
      <c r="E1718">
        <v>1</v>
      </c>
      <c r="F1718">
        <v>18.5</v>
      </c>
      <c r="G1718" t="s">
        <v>47</v>
      </c>
      <c r="H1718" t="s">
        <v>357</v>
      </c>
      <c r="I1718" t="str">
        <f t="shared" si="38"/>
        <v>1574_1</v>
      </c>
      <c r="J1718" t="s">
        <v>241</v>
      </c>
      <c r="K1718" t="s">
        <v>179</v>
      </c>
      <c r="L1718" t="str">
        <f>_xlfn.XLOOKUP(C1718, Table2[Species],Table2[Genus], "Code Not Found")</f>
        <v>Magnolia</v>
      </c>
      <c r="M1718" t="str">
        <f>_xlfn.XLOOKUP(C1718, Table2[Species],Table2[Sp. Name], "Code Not Found")</f>
        <v>acuminata</v>
      </c>
      <c r="N1718" t="str">
        <f>_xlfn.XLOOKUP(C1718,Table2[Species],Table2[Family],"Code Not Found")</f>
        <v>Magnoliaceae</v>
      </c>
      <c r="O1718" t="str" cm="1">
        <f t="array" ref="O1718">_xlfn.IFS(F1718="","",F1718&lt;=5,"0 to 5",F1718&lt;=10,"5.1 to 10",F1718&lt;=20,"10 to 20", F1718&lt;= 40, "20 to 40", F1718 &lt;= 50, "40 to 50", F1718 &gt; 50, "&gt;50" )</f>
        <v>10 to 20</v>
      </c>
    </row>
    <row r="1719" spans="1:15" ht="15" customHeight="1" x14ac:dyDescent="0.3">
      <c r="A1719" t="s">
        <v>351</v>
      </c>
      <c r="B1719" s="1">
        <v>46202</v>
      </c>
      <c r="C1719" t="s">
        <v>16</v>
      </c>
      <c r="D1719">
        <v>1575</v>
      </c>
      <c r="E1719">
        <v>1</v>
      </c>
      <c r="F1719">
        <v>6.1</v>
      </c>
      <c r="G1719" t="s">
        <v>21</v>
      </c>
      <c r="I1719" t="str">
        <f t="shared" si="38"/>
        <v>1575_1</v>
      </c>
      <c r="J1719" t="s">
        <v>241</v>
      </c>
      <c r="K1719" t="s">
        <v>179</v>
      </c>
      <c r="L1719" t="str">
        <f>_xlfn.XLOOKUP(C1719, Table2[Species],Table2[Genus], "Code Not Found")</f>
        <v>Acer</v>
      </c>
      <c r="M1719" t="str">
        <f>_xlfn.XLOOKUP(C1719, Table2[Species],Table2[Sp. Name], "Code Not Found")</f>
        <v>saccharum</v>
      </c>
      <c r="N1719" t="str">
        <f>_xlfn.XLOOKUP(C1719,Table2[Species],Table2[Family],"Code Not Found")</f>
        <v>Sapindaceae</v>
      </c>
      <c r="O1719" t="str" cm="1">
        <f t="array" ref="O1719">_xlfn.IFS(F1719="","",F1719&lt;=5,"0 to 5",F1719&lt;=10,"5.1 to 10",F1719&lt;=20,"10 to 20", F1719&lt;= 40, "20 to 40", F1719 &lt;= 50, "40 to 50", F1719 &gt; 50, "&gt;50" )</f>
        <v>5.1 to 10</v>
      </c>
    </row>
    <row r="1720" spans="1:15" ht="15" customHeight="1" x14ac:dyDescent="0.3">
      <c r="A1720" t="s">
        <v>351</v>
      </c>
      <c r="B1720" s="1">
        <v>46202</v>
      </c>
      <c r="C1720" t="s">
        <v>24</v>
      </c>
      <c r="D1720">
        <v>1576</v>
      </c>
      <c r="E1720">
        <v>1</v>
      </c>
      <c r="F1720">
        <v>1.1000000000000001</v>
      </c>
      <c r="G1720" t="s">
        <v>139</v>
      </c>
      <c r="H1720" t="s">
        <v>358</v>
      </c>
      <c r="I1720" t="str">
        <f t="shared" si="38"/>
        <v>1576_1</v>
      </c>
      <c r="J1720" t="s">
        <v>241</v>
      </c>
      <c r="K1720" t="s">
        <v>179</v>
      </c>
      <c r="L1720" t="str">
        <f>_xlfn.XLOOKUP(C1720, Table2[Species],Table2[Genus], "Code Not Found")</f>
        <v>Lirodendron</v>
      </c>
      <c r="M1720" t="str">
        <f>_xlfn.XLOOKUP(C1720, Table2[Species],Table2[Sp. Name], "Code Not Found")</f>
        <v>tulipfera</v>
      </c>
      <c r="N1720" t="str">
        <f>_xlfn.XLOOKUP(C1720,Table2[Species],Table2[Family],"Code Not Found")</f>
        <v>Magnoliaceae</v>
      </c>
      <c r="O1720" t="str" cm="1">
        <f t="array" ref="O1720">_xlfn.IFS(F1720="","",F1720&lt;=5,"0 to 5",F1720&lt;=10,"5.1 to 10",F1720&lt;=20,"10 to 20", F1720&lt;= 40, "20 to 40", F1720 &lt;= 50, "40 to 50", F1720 &gt; 50, "&gt;50" )</f>
        <v>0 to 5</v>
      </c>
    </row>
    <row r="1721" spans="1:15" ht="15" customHeight="1" x14ac:dyDescent="0.3">
      <c r="A1721" t="s">
        <v>351</v>
      </c>
      <c r="B1721" s="1">
        <v>46202</v>
      </c>
      <c r="C1721" t="s">
        <v>24</v>
      </c>
      <c r="D1721">
        <v>1577</v>
      </c>
      <c r="E1721">
        <v>1</v>
      </c>
      <c r="F1721">
        <v>1.1000000000000001</v>
      </c>
      <c r="G1721" t="s">
        <v>359</v>
      </c>
      <c r="I1721" t="str">
        <f t="shared" si="38"/>
        <v>1577_1</v>
      </c>
      <c r="J1721" t="s">
        <v>241</v>
      </c>
      <c r="K1721" t="s">
        <v>179</v>
      </c>
      <c r="L1721" t="str">
        <f>_xlfn.XLOOKUP(C1721, Table2[Species],Table2[Genus], "Code Not Found")</f>
        <v>Lirodendron</v>
      </c>
      <c r="M1721" t="str">
        <f>_xlfn.XLOOKUP(C1721, Table2[Species],Table2[Sp. Name], "Code Not Found")</f>
        <v>tulipfera</v>
      </c>
      <c r="N1721" t="str">
        <f>_xlfn.XLOOKUP(C1721,Table2[Species],Table2[Family],"Code Not Found")</f>
        <v>Magnoliaceae</v>
      </c>
      <c r="O1721" t="str" cm="1">
        <f t="array" ref="O1721">_xlfn.IFS(F1721="","",F1721&lt;=5,"0 to 5",F1721&lt;=10,"5.1 to 10",F1721&lt;=20,"10 to 20", F1721&lt;= 40, "20 to 40", F1721 &lt;= 50, "40 to 50", F1721 &gt; 50, "&gt;50" )</f>
        <v>0 to 5</v>
      </c>
    </row>
    <row r="1722" spans="1:15" ht="15" customHeight="1" x14ac:dyDescent="0.3">
      <c r="A1722" t="s">
        <v>351</v>
      </c>
      <c r="B1722" s="1">
        <v>46202</v>
      </c>
      <c r="C1722" t="s">
        <v>24</v>
      </c>
      <c r="D1722">
        <v>1578</v>
      </c>
      <c r="E1722">
        <v>1</v>
      </c>
      <c r="F1722">
        <v>1.1000000000000001</v>
      </c>
      <c r="G1722" t="s">
        <v>139</v>
      </c>
      <c r="H1722" t="s">
        <v>360</v>
      </c>
      <c r="I1722" t="str">
        <f t="shared" si="38"/>
        <v>1578_1</v>
      </c>
      <c r="J1722" t="s">
        <v>241</v>
      </c>
      <c r="K1722" t="s">
        <v>179</v>
      </c>
      <c r="L1722" t="str">
        <f>_xlfn.XLOOKUP(C1722, Table2[Species],Table2[Genus], "Code Not Found")</f>
        <v>Lirodendron</v>
      </c>
      <c r="M1722" t="str">
        <f>_xlfn.XLOOKUP(C1722, Table2[Species],Table2[Sp. Name], "Code Not Found")</f>
        <v>tulipfera</v>
      </c>
      <c r="N1722" t="str">
        <f>_xlfn.XLOOKUP(C1722,Table2[Species],Table2[Family],"Code Not Found")</f>
        <v>Magnoliaceae</v>
      </c>
      <c r="O1722" t="str" cm="1">
        <f t="array" ref="O1722">_xlfn.IFS(F1722="","",F1722&lt;=5,"0 to 5",F1722&lt;=10,"5.1 to 10",F1722&lt;=20,"10 to 20", F1722&lt;= 40, "20 to 40", F1722 &lt;= 50, "40 to 50", F1722 &gt; 50, "&gt;50" )</f>
        <v>0 to 5</v>
      </c>
    </row>
    <row r="1723" spans="1:15" ht="15" customHeight="1" x14ac:dyDescent="0.3">
      <c r="A1723" t="s">
        <v>351</v>
      </c>
      <c r="B1723" s="1">
        <v>46202</v>
      </c>
      <c r="C1723" t="s">
        <v>24</v>
      </c>
      <c r="D1723">
        <v>1579</v>
      </c>
      <c r="E1723">
        <v>1</v>
      </c>
      <c r="F1723">
        <v>1</v>
      </c>
      <c r="G1723" t="s">
        <v>359</v>
      </c>
      <c r="I1723" t="str">
        <f t="shared" si="38"/>
        <v>1579_1</v>
      </c>
      <c r="J1723" t="s">
        <v>241</v>
      </c>
      <c r="K1723" t="s">
        <v>179</v>
      </c>
      <c r="L1723" t="str">
        <f>_xlfn.XLOOKUP(C1723, Table2[Species],Table2[Genus], "Code Not Found")</f>
        <v>Lirodendron</v>
      </c>
      <c r="M1723" t="str">
        <f>_xlfn.XLOOKUP(C1723, Table2[Species],Table2[Sp. Name], "Code Not Found")</f>
        <v>tulipfera</v>
      </c>
      <c r="N1723" t="str">
        <f>_xlfn.XLOOKUP(C1723,Table2[Species],Table2[Family],"Code Not Found")</f>
        <v>Magnoliaceae</v>
      </c>
      <c r="O1723" t="str" cm="1">
        <f t="array" ref="O1723">_xlfn.IFS(F1723="","",F1723&lt;=5,"0 to 5",F1723&lt;=10,"5.1 to 10",F1723&lt;=20,"10 to 20", F1723&lt;= 40, "20 to 40", F1723 &lt;= 50, "40 to 50", F1723 &gt; 50, "&gt;50" )</f>
        <v>0 to 5</v>
      </c>
    </row>
    <row r="1724" spans="1:15" ht="15" customHeight="1" x14ac:dyDescent="0.3">
      <c r="A1724" t="s">
        <v>351</v>
      </c>
      <c r="B1724" s="1">
        <v>46202</v>
      </c>
      <c r="C1724" t="s">
        <v>24</v>
      </c>
      <c r="D1724">
        <v>1580</v>
      </c>
      <c r="E1724">
        <v>1</v>
      </c>
      <c r="F1724">
        <v>1.2</v>
      </c>
      <c r="G1724" t="s">
        <v>359</v>
      </c>
      <c r="I1724" t="str">
        <f t="shared" si="38"/>
        <v>1580_1</v>
      </c>
      <c r="J1724" t="s">
        <v>241</v>
      </c>
      <c r="K1724" t="s">
        <v>179</v>
      </c>
      <c r="L1724" t="str">
        <f>_xlfn.XLOOKUP(C1724, Table2[Species],Table2[Genus], "Code Not Found")</f>
        <v>Lirodendron</v>
      </c>
      <c r="M1724" t="str">
        <f>_xlfn.XLOOKUP(C1724, Table2[Species],Table2[Sp. Name], "Code Not Found")</f>
        <v>tulipfera</v>
      </c>
      <c r="N1724" t="str">
        <f>_xlfn.XLOOKUP(C1724,Table2[Species],Table2[Family],"Code Not Found")</f>
        <v>Magnoliaceae</v>
      </c>
      <c r="O1724" t="str" cm="1">
        <f t="array" ref="O1724">_xlfn.IFS(F1724="","",F1724&lt;=5,"0 to 5",F1724&lt;=10,"5.1 to 10",F1724&lt;=20,"10 to 20", F1724&lt;= 40, "20 to 40", F1724 &lt;= 50, "40 to 50", F1724 &gt; 50, "&gt;50" )</f>
        <v>0 to 5</v>
      </c>
    </row>
    <row r="1725" spans="1:15" ht="15" customHeight="1" x14ac:dyDescent="0.3">
      <c r="A1725" t="s">
        <v>351</v>
      </c>
      <c r="B1725" s="1">
        <v>46202</v>
      </c>
      <c r="C1725" t="s">
        <v>24</v>
      </c>
      <c r="D1725">
        <v>1581</v>
      </c>
      <c r="E1725">
        <v>1</v>
      </c>
      <c r="F1725">
        <v>1.2</v>
      </c>
      <c r="G1725" t="s">
        <v>361</v>
      </c>
      <c r="H1725" t="s">
        <v>362</v>
      </c>
      <c r="I1725" t="str">
        <f t="shared" si="38"/>
        <v>1581_1</v>
      </c>
      <c r="J1725" t="s">
        <v>241</v>
      </c>
      <c r="K1725" t="s">
        <v>179</v>
      </c>
      <c r="L1725" t="str">
        <f>_xlfn.XLOOKUP(C1725, Table2[Species],Table2[Genus], "Code Not Found")</f>
        <v>Lirodendron</v>
      </c>
      <c r="M1725" t="str">
        <f>_xlfn.XLOOKUP(C1725, Table2[Species],Table2[Sp. Name], "Code Not Found")</f>
        <v>tulipfera</v>
      </c>
      <c r="N1725" t="str">
        <f>_xlfn.XLOOKUP(C1725,Table2[Species],Table2[Family],"Code Not Found")</f>
        <v>Magnoliaceae</v>
      </c>
      <c r="O1725" t="str" cm="1">
        <f t="array" ref="O1725">_xlfn.IFS(F1725="","",F1725&lt;=5,"0 to 5",F1725&lt;=10,"5.1 to 10",F1725&lt;=20,"10 to 20", F1725&lt;= 40, "20 to 40", F1725 &lt;= 50, "40 to 50", F1725 &gt; 50, "&gt;50" )</f>
        <v>0 to 5</v>
      </c>
    </row>
    <row r="1726" spans="1:15" ht="15" customHeight="1" x14ac:dyDescent="0.3">
      <c r="A1726" t="s">
        <v>351</v>
      </c>
      <c r="B1726" s="1">
        <v>46202</v>
      </c>
      <c r="C1726" t="s">
        <v>55</v>
      </c>
      <c r="D1726">
        <v>1582</v>
      </c>
      <c r="E1726">
        <v>1</v>
      </c>
      <c r="F1726">
        <v>17.399999999999999</v>
      </c>
      <c r="G1726" t="s">
        <v>47</v>
      </c>
      <c r="I1726" t="str">
        <f t="shared" si="38"/>
        <v>1582_1</v>
      </c>
      <c r="J1726" t="s">
        <v>241</v>
      </c>
      <c r="K1726" t="s">
        <v>179</v>
      </c>
      <c r="L1726" t="str">
        <f>_xlfn.XLOOKUP(C1726, Table2[Species],Table2[Genus], "Code Not Found")</f>
        <v>Magnolia</v>
      </c>
      <c r="M1726" t="str">
        <f>_xlfn.XLOOKUP(C1726, Table2[Species],Table2[Sp. Name], "Code Not Found")</f>
        <v>acuminata</v>
      </c>
      <c r="N1726" t="str">
        <f>_xlfn.XLOOKUP(C1726,Table2[Species],Table2[Family],"Code Not Found")</f>
        <v>Magnoliaceae</v>
      </c>
      <c r="O1726" t="str" cm="1">
        <f t="array" ref="O1726">_xlfn.IFS(F1726="","",F1726&lt;=5,"0 to 5",F1726&lt;=10,"5.1 to 10",F1726&lt;=20,"10 to 20", F1726&lt;= 40, "20 to 40", F1726 &lt;= 50, "40 to 50", F1726 &gt; 50, "&gt;50" )</f>
        <v>10 to 20</v>
      </c>
    </row>
    <row r="1727" spans="1:15" ht="15" customHeight="1" x14ac:dyDescent="0.3">
      <c r="A1727" t="s">
        <v>351</v>
      </c>
      <c r="B1727" s="1">
        <v>46202</v>
      </c>
      <c r="C1727" t="s">
        <v>24</v>
      </c>
      <c r="D1727">
        <v>1583</v>
      </c>
      <c r="E1727">
        <v>1</v>
      </c>
      <c r="F1727">
        <v>1.1000000000000001</v>
      </c>
      <c r="G1727" t="s">
        <v>359</v>
      </c>
      <c r="I1727" t="str">
        <f t="shared" si="38"/>
        <v>1583_1</v>
      </c>
      <c r="J1727" t="s">
        <v>241</v>
      </c>
      <c r="K1727" t="s">
        <v>179</v>
      </c>
      <c r="L1727" t="str">
        <f>_xlfn.XLOOKUP(C1727, Table2[Species],Table2[Genus], "Code Not Found")</f>
        <v>Lirodendron</v>
      </c>
      <c r="M1727" t="str">
        <f>_xlfn.XLOOKUP(C1727, Table2[Species],Table2[Sp. Name], "Code Not Found")</f>
        <v>tulipfera</v>
      </c>
      <c r="N1727" t="str">
        <f>_xlfn.XLOOKUP(C1727,Table2[Species],Table2[Family],"Code Not Found")</f>
        <v>Magnoliaceae</v>
      </c>
      <c r="O1727" t="str" cm="1">
        <f t="array" ref="O1727">_xlfn.IFS(F1727="","",F1727&lt;=5,"0 to 5",F1727&lt;=10,"5.1 to 10",F1727&lt;=20,"10 to 20", F1727&lt;= 40, "20 to 40", F1727 &lt;= 50, "40 to 50", F1727 &gt; 50, "&gt;50" )</f>
        <v>0 to 5</v>
      </c>
    </row>
    <row r="1728" spans="1:15" ht="15" customHeight="1" x14ac:dyDescent="0.3">
      <c r="A1728" t="s">
        <v>351</v>
      </c>
      <c r="B1728" s="1">
        <v>46202</v>
      </c>
      <c r="C1728" t="s">
        <v>64</v>
      </c>
      <c r="D1728">
        <v>1584</v>
      </c>
      <c r="E1728">
        <v>1</v>
      </c>
      <c r="F1728">
        <v>47.6</v>
      </c>
      <c r="G1728" t="s">
        <v>32</v>
      </c>
      <c r="H1728" t="s">
        <v>363</v>
      </c>
      <c r="I1728" t="str">
        <f t="shared" si="38"/>
        <v>1584_1</v>
      </c>
      <c r="J1728" t="s">
        <v>241</v>
      </c>
      <c r="K1728" t="s">
        <v>179</v>
      </c>
      <c r="L1728" t="str">
        <f>_xlfn.XLOOKUP(C1728, Table2[Species],Table2[Genus], "Code Not Found")</f>
        <v>Fagus</v>
      </c>
      <c r="M1728" t="str">
        <f>_xlfn.XLOOKUP(C1728, Table2[Species],Table2[Sp. Name], "Code Not Found")</f>
        <v>grandifolia</v>
      </c>
      <c r="N1728" t="str">
        <f>_xlfn.XLOOKUP(C1728,Table2[Species],Table2[Family],"Code Not Found")</f>
        <v>Fagaceae</v>
      </c>
      <c r="O1728" t="str" cm="1">
        <f t="array" ref="O1728">_xlfn.IFS(F1728="","",F1728&lt;=5,"0 to 5",F1728&lt;=10,"5.1 to 10",F1728&lt;=20,"10 to 20", F1728&lt;= 40, "20 to 40", F1728 &lt;= 50, "40 to 50", F1728 &gt; 50, "&gt;50" )</f>
        <v>40 to 50</v>
      </c>
    </row>
    <row r="1729" spans="1:15" ht="15" customHeight="1" x14ac:dyDescent="0.3">
      <c r="A1729" t="s">
        <v>351</v>
      </c>
      <c r="B1729" s="1">
        <v>46202</v>
      </c>
      <c r="C1729" t="s">
        <v>64</v>
      </c>
      <c r="D1729">
        <v>1584</v>
      </c>
      <c r="E1729">
        <v>2</v>
      </c>
      <c r="F1729">
        <v>3.9</v>
      </c>
      <c r="G1729" t="s">
        <v>34</v>
      </c>
      <c r="I1729" t="str">
        <f t="shared" si="38"/>
        <v>1584_2</v>
      </c>
      <c r="J1729" t="s">
        <v>241</v>
      </c>
      <c r="K1729" t="s">
        <v>179</v>
      </c>
      <c r="L1729" t="str">
        <f>_xlfn.XLOOKUP(C1729, Table2[Species],Table2[Genus], "Code Not Found")</f>
        <v>Fagus</v>
      </c>
      <c r="M1729" t="str">
        <f>_xlfn.XLOOKUP(C1729, Table2[Species],Table2[Sp. Name], "Code Not Found")</f>
        <v>grandifolia</v>
      </c>
      <c r="N1729" t="str">
        <f>_xlfn.XLOOKUP(C1729,Table2[Species],Table2[Family],"Code Not Found")</f>
        <v>Fagaceae</v>
      </c>
      <c r="O1729" t="str" cm="1">
        <f t="array" ref="O1729">_xlfn.IFS(F1729="","",F1729&lt;=5,"0 to 5",F1729&lt;=10,"5.1 to 10",F1729&lt;=20,"10 to 20", F1729&lt;= 40, "20 to 40", F1729 &lt;= 50, "40 to 50", F1729 &gt; 50, "&gt;50" )</f>
        <v>0 to 5</v>
      </c>
    </row>
    <row r="1730" spans="1:15" ht="15" customHeight="1" x14ac:dyDescent="0.3">
      <c r="A1730" t="s">
        <v>351</v>
      </c>
      <c r="B1730" s="1">
        <v>46202</v>
      </c>
      <c r="C1730" t="s">
        <v>64</v>
      </c>
      <c r="D1730">
        <v>1585</v>
      </c>
      <c r="E1730">
        <v>1</v>
      </c>
      <c r="F1730">
        <v>54.7</v>
      </c>
      <c r="G1730" t="s">
        <v>186</v>
      </c>
      <c r="H1730" t="s">
        <v>364</v>
      </c>
      <c r="I1730" t="str">
        <f t="shared" si="38"/>
        <v>1585_1</v>
      </c>
      <c r="J1730" t="s">
        <v>241</v>
      </c>
      <c r="K1730" t="s">
        <v>179</v>
      </c>
      <c r="L1730" t="str">
        <f>_xlfn.XLOOKUP(C1730, Table2[Species],Table2[Genus], "Code Not Found")</f>
        <v>Fagus</v>
      </c>
      <c r="M1730" t="str">
        <f>_xlfn.XLOOKUP(C1730, Table2[Species],Table2[Sp. Name], "Code Not Found")</f>
        <v>grandifolia</v>
      </c>
      <c r="N1730" t="str">
        <f>_xlfn.XLOOKUP(C1730,Table2[Species],Table2[Family],"Code Not Found")</f>
        <v>Fagaceae</v>
      </c>
      <c r="O1730" t="str" cm="1">
        <f t="array" ref="O1730">_xlfn.IFS(F1730="","",F1730&lt;=5,"0 to 5",F1730&lt;=10,"5.1 to 10",F1730&lt;=20,"10 to 20", F1730&lt;= 40, "20 to 40", F1730 &lt;= 50, "40 to 50", F1730 &gt; 50, "&gt;50" )</f>
        <v>&gt;50</v>
      </c>
    </row>
    <row r="1731" spans="1:15" ht="15" customHeight="1" x14ac:dyDescent="0.3">
      <c r="A1731" t="s">
        <v>351</v>
      </c>
      <c r="B1731" s="1">
        <v>46202</v>
      </c>
      <c r="C1731" t="s">
        <v>64</v>
      </c>
      <c r="D1731">
        <v>1585</v>
      </c>
      <c r="E1731">
        <v>2</v>
      </c>
      <c r="F1731">
        <v>11</v>
      </c>
      <c r="G1731" t="s">
        <v>141</v>
      </c>
      <c r="I1731" t="str">
        <f t="shared" si="38"/>
        <v>1585_2</v>
      </c>
      <c r="J1731" t="s">
        <v>241</v>
      </c>
      <c r="K1731" t="s">
        <v>179</v>
      </c>
      <c r="L1731" t="str">
        <f>_xlfn.XLOOKUP(C1731, Table2[Species],Table2[Genus], "Code Not Found")</f>
        <v>Fagus</v>
      </c>
      <c r="M1731" t="str">
        <f>_xlfn.XLOOKUP(C1731, Table2[Species],Table2[Sp. Name], "Code Not Found")</f>
        <v>grandifolia</v>
      </c>
      <c r="N1731" t="str">
        <f>_xlfn.XLOOKUP(C1731,Table2[Species],Table2[Family],"Code Not Found")</f>
        <v>Fagaceae</v>
      </c>
      <c r="O1731" t="str" cm="1">
        <f t="array" ref="O1731">_xlfn.IFS(F1731="","",F1731&lt;=5,"0 to 5",F1731&lt;=10,"5.1 to 10",F1731&lt;=20,"10 to 20", F1731&lt;= 40, "20 to 40", F1731 &lt;= 50, "40 to 50", F1731 &gt; 50, "&gt;50" )</f>
        <v>10 to 20</v>
      </c>
    </row>
    <row r="1732" spans="1:15" ht="15" customHeight="1" x14ac:dyDescent="0.3">
      <c r="A1732" t="s">
        <v>351</v>
      </c>
      <c r="B1732" s="1">
        <v>46202</v>
      </c>
      <c r="C1732" t="s">
        <v>16</v>
      </c>
      <c r="D1732">
        <v>1586</v>
      </c>
      <c r="E1732">
        <v>1</v>
      </c>
      <c r="F1732">
        <v>7.7</v>
      </c>
      <c r="G1732" t="s">
        <v>21</v>
      </c>
      <c r="I1732" t="str">
        <f t="shared" si="38"/>
        <v>1586_1</v>
      </c>
      <c r="J1732" t="s">
        <v>241</v>
      </c>
      <c r="K1732" t="s">
        <v>179</v>
      </c>
      <c r="L1732" t="str">
        <f>_xlfn.XLOOKUP(C1732, Table2[Species],Table2[Genus], "Code Not Found")</f>
        <v>Acer</v>
      </c>
      <c r="M1732" t="str">
        <f>_xlfn.XLOOKUP(C1732, Table2[Species],Table2[Sp. Name], "Code Not Found")</f>
        <v>saccharum</v>
      </c>
      <c r="N1732" t="str">
        <f>_xlfn.XLOOKUP(C1732,Table2[Species],Table2[Family],"Code Not Found")</f>
        <v>Sapindaceae</v>
      </c>
      <c r="O1732" t="str" cm="1">
        <f t="array" ref="O1732">_xlfn.IFS(F1732="","",F1732&lt;=5,"0 to 5",F1732&lt;=10,"5.1 to 10",F1732&lt;=20,"10 to 20", F1732&lt;= 40, "20 to 40", F1732 &lt;= 50, "40 to 50", F1732 &gt; 50, "&gt;50" )</f>
        <v>5.1 to 10</v>
      </c>
    </row>
    <row r="1733" spans="1:15" ht="15" customHeight="1" x14ac:dyDescent="0.3">
      <c r="A1733" t="s">
        <v>351</v>
      </c>
      <c r="B1733" s="1">
        <v>46202</v>
      </c>
      <c r="C1733" t="s">
        <v>24</v>
      </c>
      <c r="D1733">
        <v>1587</v>
      </c>
      <c r="E1733">
        <v>1</v>
      </c>
      <c r="F1733">
        <v>1.2</v>
      </c>
      <c r="G1733" t="s">
        <v>359</v>
      </c>
      <c r="I1733" t="str">
        <f t="shared" si="38"/>
        <v>1587_1</v>
      </c>
      <c r="J1733" t="s">
        <v>241</v>
      </c>
      <c r="K1733" t="s">
        <v>179</v>
      </c>
      <c r="L1733" t="str">
        <f>_xlfn.XLOOKUP(C1733, Table2[Species],Table2[Genus], "Code Not Found")</f>
        <v>Lirodendron</v>
      </c>
      <c r="M1733" t="str">
        <f>_xlfn.XLOOKUP(C1733, Table2[Species],Table2[Sp. Name], "Code Not Found")</f>
        <v>tulipfera</v>
      </c>
      <c r="N1733" t="str">
        <f>_xlfn.XLOOKUP(C1733,Table2[Species],Table2[Family],"Code Not Found")</f>
        <v>Magnoliaceae</v>
      </c>
      <c r="O1733" t="str" cm="1">
        <f t="array" ref="O1733">_xlfn.IFS(F1733="","",F1733&lt;=5,"0 to 5",F1733&lt;=10,"5.1 to 10",F1733&lt;=20,"10 to 20", F1733&lt;= 40, "20 to 40", F1733 &lt;= 50, "40 to 50", F1733 &gt; 50, "&gt;50" )</f>
        <v>0 to 5</v>
      </c>
    </row>
    <row r="1734" spans="1:15" ht="15" customHeight="1" x14ac:dyDescent="0.3">
      <c r="A1734" t="s">
        <v>351</v>
      </c>
      <c r="B1734" s="1">
        <v>46202</v>
      </c>
      <c r="C1734" t="s">
        <v>24</v>
      </c>
      <c r="D1734">
        <v>1588</v>
      </c>
      <c r="E1734">
        <v>1</v>
      </c>
      <c r="F1734">
        <v>1.4</v>
      </c>
      <c r="G1734" t="s">
        <v>359</v>
      </c>
      <c r="I1734" t="str">
        <f t="shared" si="38"/>
        <v>1588_1</v>
      </c>
      <c r="J1734" t="s">
        <v>241</v>
      </c>
      <c r="K1734" t="s">
        <v>179</v>
      </c>
      <c r="L1734" t="str">
        <f>_xlfn.XLOOKUP(C1734, Table2[Species],Table2[Genus], "Code Not Found")</f>
        <v>Lirodendron</v>
      </c>
      <c r="M1734" t="str">
        <f>_xlfn.XLOOKUP(C1734, Table2[Species],Table2[Sp. Name], "Code Not Found")</f>
        <v>tulipfera</v>
      </c>
      <c r="N1734" t="str">
        <f>_xlfn.XLOOKUP(C1734,Table2[Species],Table2[Family],"Code Not Found")</f>
        <v>Magnoliaceae</v>
      </c>
      <c r="O1734" t="str" cm="1">
        <f t="array" ref="O1734">_xlfn.IFS(F1734="","",F1734&lt;=5,"0 to 5",F1734&lt;=10,"5.1 to 10",F1734&lt;=20,"10 to 20", F1734&lt;= 40, "20 to 40", F1734 &lt;= 50, "40 to 50", F1734 &gt; 50, "&gt;50" )</f>
        <v>0 to 5</v>
      </c>
    </row>
    <row r="1735" spans="1:15" ht="15" customHeight="1" x14ac:dyDescent="0.3">
      <c r="A1735" t="s">
        <v>351</v>
      </c>
      <c r="B1735" s="1">
        <v>46202</v>
      </c>
      <c r="C1735" t="s">
        <v>64</v>
      </c>
      <c r="D1735">
        <v>1589</v>
      </c>
      <c r="E1735">
        <v>1</v>
      </c>
      <c r="F1735">
        <v>22.3</v>
      </c>
      <c r="G1735" t="s">
        <v>17</v>
      </c>
      <c r="H1735" t="s">
        <v>36</v>
      </c>
      <c r="I1735" t="str">
        <f t="shared" si="38"/>
        <v>1589_1</v>
      </c>
      <c r="J1735" t="s">
        <v>241</v>
      </c>
      <c r="K1735" t="s">
        <v>179</v>
      </c>
      <c r="L1735" t="str">
        <f>_xlfn.XLOOKUP(C1735, Table2[Species],Table2[Genus], "Code Not Found")</f>
        <v>Fagus</v>
      </c>
      <c r="M1735" t="str">
        <f>_xlfn.XLOOKUP(C1735, Table2[Species],Table2[Sp. Name], "Code Not Found")</f>
        <v>grandifolia</v>
      </c>
      <c r="N1735" t="str">
        <f>_xlfn.XLOOKUP(C1735,Table2[Species],Table2[Family],"Code Not Found")</f>
        <v>Fagaceae</v>
      </c>
      <c r="O1735" t="str" cm="1">
        <f t="array" ref="O1735">_xlfn.IFS(F1735="","",F1735&lt;=5,"0 to 5",F1735&lt;=10,"5.1 to 10",F1735&lt;=20,"10 to 20", F1735&lt;= 40, "20 to 40", F1735 &lt;= 50, "40 to 50", F1735 &gt; 50, "&gt;50" )</f>
        <v>20 to 40</v>
      </c>
    </row>
    <row r="1736" spans="1:15" ht="15" customHeight="1" x14ac:dyDescent="0.3">
      <c r="A1736" t="s">
        <v>351</v>
      </c>
      <c r="B1736" s="1">
        <v>46202</v>
      </c>
      <c r="C1736" t="s">
        <v>24</v>
      </c>
      <c r="D1736">
        <v>1590</v>
      </c>
      <c r="E1736">
        <v>1</v>
      </c>
      <c r="F1736">
        <v>1.1000000000000001</v>
      </c>
      <c r="G1736" t="s">
        <v>365</v>
      </c>
      <c r="H1736" t="s">
        <v>296</v>
      </c>
      <c r="I1736" t="str">
        <f t="shared" si="38"/>
        <v>1590_1</v>
      </c>
      <c r="J1736" t="s">
        <v>241</v>
      </c>
      <c r="K1736" t="s">
        <v>179</v>
      </c>
      <c r="L1736" t="str">
        <f>_xlfn.XLOOKUP(C1736, Table2[Species],Table2[Genus], "Code Not Found")</f>
        <v>Lirodendron</v>
      </c>
      <c r="M1736" t="str">
        <f>_xlfn.XLOOKUP(C1736, Table2[Species],Table2[Sp. Name], "Code Not Found")</f>
        <v>tulipfera</v>
      </c>
      <c r="N1736" t="str">
        <f>_xlfn.XLOOKUP(C1736,Table2[Species],Table2[Family],"Code Not Found")</f>
        <v>Magnoliaceae</v>
      </c>
      <c r="O1736" t="str" cm="1">
        <f t="array" ref="O1736">_xlfn.IFS(F1736="","",F1736&lt;=5,"0 to 5",F1736&lt;=10,"5.1 to 10",F1736&lt;=20,"10 to 20", F1736&lt;= 40, "20 to 40", F1736 &lt;= 50, "40 to 50", F1736 &gt; 50, "&gt;50" )</f>
        <v>0 to 5</v>
      </c>
    </row>
    <row r="1737" spans="1:15" ht="15" customHeight="1" x14ac:dyDescent="0.3">
      <c r="A1737" t="s">
        <v>351</v>
      </c>
      <c r="B1737" s="1">
        <v>46202</v>
      </c>
      <c r="C1737" t="s">
        <v>24</v>
      </c>
      <c r="D1737">
        <v>1591</v>
      </c>
      <c r="E1737">
        <v>1</v>
      </c>
      <c r="F1737">
        <v>1</v>
      </c>
      <c r="G1737" t="s">
        <v>359</v>
      </c>
      <c r="I1737" t="str">
        <f t="shared" si="38"/>
        <v>1591_1</v>
      </c>
      <c r="J1737" t="s">
        <v>241</v>
      </c>
      <c r="K1737" t="s">
        <v>179</v>
      </c>
      <c r="L1737" t="str">
        <f>_xlfn.XLOOKUP(C1737, Table2[Species],Table2[Genus], "Code Not Found")</f>
        <v>Lirodendron</v>
      </c>
      <c r="M1737" t="str">
        <f>_xlfn.XLOOKUP(C1737, Table2[Species],Table2[Sp. Name], "Code Not Found")</f>
        <v>tulipfera</v>
      </c>
      <c r="N1737" t="str">
        <f>_xlfn.XLOOKUP(C1737,Table2[Species],Table2[Family],"Code Not Found")</f>
        <v>Magnoliaceae</v>
      </c>
      <c r="O1737" t="str" cm="1">
        <f t="array" ref="O1737">_xlfn.IFS(F1737="","",F1737&lt;=5,"0 to 5",F1737&lt;=10,"5.1 to 10",F1737&lt;=20,"10 to 20", F1737&lt;= 40, "20 to 40", F1737 &lt;= 50, "40 to 50", F1737 &gt; 50, "&gt;50" )</f>
        <v>0 to 5</v>
      </c>
    </row>
    <row r="1738" spans="1:15" ht="15" customHeight="1" x14ac:dyDescent="0.3">
      <c r="A1738" t="s">
        <v>351</v>
      </c>
      <c r="B1738" s="1">
        <v>46202</v>
      </c>
      <c r="C1738" t="s">
        <v>24</v>
      </c>
      <c r="D1738">
        <v>1592</v>
      </c>
      <c r="E1738">
        <v>1</v>
      </c>
      <c r="F1738">
        <v>1.6</v>
      </c>
      <c r="G1738" t="s">
        <v>359</v>
      </c>
      <c r="I1738" t="str">
        <f t="shared" si="38"/>
        <v>1592_1</v>
      </c>
      <c r="J1738" t="s">
        <v>241</v>
      </c>
      <c r="K1738" t="s">
        <v>179</v>
      </c>
      <c r="L1738" t="str">
        <f>_xlfn.XLOOKUP(C1738, Table2[Species],Table2[Genus], "Code Not Found")</f>
        <v>Lirodendron</v>
      </c>
      <c r="M1738" t="str">
        <f>_xlfn.XLOOKUP(C1738, Table2[Species],Table2[Sp. Name], "Code Not Found")</f>
        <v>tulipfera</v>
      </c>
      <c r="N1738" t="str">
        <f>_xlfn.XLOOKUP(C1738,Table2[Species],Table2[Family],"Code Not Found")</f>
        <v>Magnoliaceae</v>
      </c>
      <c r="O1738" t="str" cm="1">
        <f t="array" ref="O1738">_xlfn.IFS(F1738="","",F1738&lt;=5,"0 to 5",F1738&lt;=10,"5.1 to 10",F1738&lt;=20,"10 to 20", F1738&lt;= 40, "20 to 40", F1738 &lt;= 50, "40 to 50", F1738 &gt; 50, "&gt;50" )</f>
        <v>0 to 5</v>
      </c>
    </row>
    <row r="1739" spans="1:15" ht="15" customHeight="1" x14ac:dyDescent="0.3">
      <c r="A1739" t="s">
        <v>351</v>
      </c>
      <c r="B1739" s="1">
        <v>46202</v>
      </c>
      <c r="C1739" t="s">
        <v>24</v>
      </c>
      <c r="D1739">
        <v>1593</v>
      </c>
      <c r="E1739">
        <v>1</v>
      </c>
      <c r="F1739">
        <v>1.1000000000000001</v>
      </c>
      <c r="G1739" t="s">
        <v>21</v>
      </c>
      <c r="I1739" t="str">
        <f t="shared" si="38"/>
        <v>1593_1</v>
      </c>
      <c r="J1739" t="s">
        <v>241</v>
      </c>
      <c r="K1739" t="s">
        <v>179</v>
      </c>
      <c r="L1739" t="str">
        <f>_xlfn.XLOOKUP(C1739, Table2[Species],Table2[Genus], "Code Not Found")</f>
        <v>Lirodendron</v>
      </c>
      <c r="M1739" t="str">
        <f>_xlfn.XLOOKUP(C1739, Table2[Species],Table2[Sp. Name], "Code Not Found")</f>
        <v>tulipfera</v>
      </c>
      <c r="N1739" t="str">
        <f>_xlfn.XLOOKUP(C1739,Table2[Species],Table2[Family],"Code Not Found")</f>
        <v>Magnoliaceae</v>
      </c>
      <c r="O1739" t="str" cm="1">
        <f t="array" ref="O1739">_xlfn.IFS(F1739="","",F1739&lt;=5,"0 to 5",F1739&lt;=10,"5.1 to 10",F1739&lt;=20,"10 to 20", F1739&lt;= 40, "20 to 40", F1739 &lt;= 50, "40 to 50", F1739 &gt; 50, "&gt;50" )</f>
        <v>0 to 5</v>
      </c>
    </row>
    <row r="1740" spans="1:15" ht="15" customHeight="1" x14ac:dyDescent="0.3">
      <c r="A1740" t="s">
        <v>351</v>
      </c>
      <c r="B1740" s="1">
        <v>46202</v>
      </c>
      <c r="C1740" t="s">
        <v>24</v>
      </c>
      <c r="D1740">
        <v>1594</v>
      </c>
      <c r="E1740">
        <v>1</v>
      </c>
      <c r="F1740">
        <v>1</v>
      </c>
      <c r="G1740" t="s">
        <v>47</v>
      </c>
      <c r="H1740" t="s">
        <v>366</v>
      </c>
      <c r="I1740" t="str">
        <f t="shared" si="38"/>
        <v>1594_1</v>
      </c>
      <c r="J1740" t="s">
        <v>241</v>
      </c>
      <c r="K1740" t="s">
        <v>179</v>
      </c>
      <c r="L1740" t="str">
        <f>_xlfn.XLOOKUP(C1740, Table2[Species],Table2[Genus], "Code Not Found")</f>
        <v>Lirodendron</v>
      </c>
      <c r="M1740" t="str">
        <f>_xlfn.XLOOKUP(C1740, Table2[Species],Table2[Sp. Name], "Code Not Found")</f>
        <v>tulipfera</v>
      </c>
      <c r="N1740" t="str">
        <f>_xlfn.XLOOKUP(C1740,Table2[Species],Table2[Family],"Code Not Found")</f>
        <v>Magnoliaceae</v>
      </c>
      <c r="O1740" t="str" cm="1">
        <f t="array" ref="O1740">_xlfn.IFS(F1740="","",F1740&lt;=5,"0 to 5",F1740&lt;=10,"5.1 to 10",F1740&lt;=20,"10 to 20", F1740&lt;= 40, "20 to 40", F1740 &lt;= 50, "40 to 50", F1740 &gt; 50, "&gt;50" )</f>
        <v>0 to 5</v>
      </c>
    </row>
    <row r="1741" spans="1:15" ht="15" customHeight="1" x14ac:dyDescent="0.3">
      <c r="A1741" t="s">
        <v>351</v>
      </c>
      <c r="B1741" s="1">
        <v>46202</v>
      </c>
      <c r="C1741" t="s">
        <v>24</v>
      </c>
      <c r="D1741">
        <v>1595</v>
      </c>
      <c r="E1741">
        <v>1</v>
      </c>
      <c r="F1741">
        <v>1.1000000000000001</v>
      </c>
      <c r="G1741" t="s">
        <v>17</v>
      </c>
      <c r="H1741" t="s">
        <v>367</v>
      </c>
      <c r="I1741" t="str">
        <f t="shared" si="38"/>
        <v>1595_1</v>
      </c>
      <c r="J1741" t="s">
        <v>241</v>
      </c>
      <c r="K1741" t="s">
        <v>179</v>
      </c>
      <c r="L1741" t="str">
        <f>_xlfn.XLOOKUP(C1741, Table2[Species],Table2[Genus], "Code Not Found")</f>
        <v>Lirodendron</v>
      </c>
      <c r="M1741" t="str">
        <f>_xlfn.XLOOKUP(C1741, Table2[Species],Table2[Sp. Name], "Code Not Found")</f>
        <v>tulipfera</v>
      </c>
      <c r="N1741" t="str">
        <f>_xlfn.XLOOKUP(C1741,Table2[Species],Table2[Family],"Code Not Found")</f>
        <v>Magnoliaceae</v>
      </c>
      <c r="O1741" t="str" cm="1">
        <f t="array" ref="O1741">_xlfn.IFS(F1741="","",F1741&lt;=5,"0 to 5",F1741&lt;=10,"5.1 to 10",F1741&lt;=20,"10 to 20", F1741&lt;= 40, "20 to 40", F1741 &lt;= 50, "40 to 50", F1741 &gt; 50, "&gt;50" )</f>
        <v>0 to 5</v>
      </c>
    </row>
    <row r="1742" spans="1:15" ht="15" customHeight="1" x14ac:dyDescent="0.3">
      <c r="A1742" t="s">
        <v>351</v>
      </c>
      <c r="B1742" s="1">
        <v>46202</v>
      </c>
      <c r="C1742" t="s">
        <v>24</v>
      </c>
      <c r="D1742">
        <v>1596</v>
      </c>
      <c r="E1742">
        <v>1</v>
      </c>
      <c r="F1742">
        <v>1.2</v>
      </c>
      <c r="G1742" t="s">
        <v>21</v>
      </c>
      <c r="H1742" t="s">
        <v>367</v>
      </c>
      <c r="I1742" t="str">
        <f t="shared" si="38"/>
        <v>1596_1</v>
      </c>
      <c r="J1742" t="s">
        <v>241</v>
      </c>
      <c r="K1742" t="s">
        <v>179</v>
      </c>
      <c r="L1742" t="str">
        <f>_xlfn.XLOOKUP(C1742, Table2[Species],Table2[Genus], "Code Not Found")</f>
        <v>Lirodendron</v>
      </c>
      <c r="M1742" t="str">
        <f>_xlfn.XLOOKUP(C1742, Table2[Species],Table2[Sp. Name], "Code Not Found")</f>
        <v>tulipfera</v>
      </c>
      <c r="N1742" t="str">
        <f>_xlfn.XLOOKUP(C1742,Table2[Species],Table2[Family],"Code Not Found")</f>
        <v>Magnoliaceae</v>
      </c>
      <c r="O1742" t="str" cm="1">
        <f t="array" ref="O1742">_xlfn.IFS(F1742="","",F1742&lt;=5,"0 to 5",F1742&lt;=10,"5.1 to 10",F1742&lt;=20,"10 to 20", F1742&lt;= 40, "20 to 40", F1742 &lt;= 50, "40 to 50", F1742 &gt; 50, "&gt;50" )</f>
        <v>0 to 5</v>
      </c>
    </row>
    <row r="1743" spans="1:15" ht="15" customHeight="1" x14ac:dyDescent="0.3">
      <c r="A1743" t="s">
        <v>351</v>
      </c>
      <c r="B1743" s="1">
        <v>46202</v>
      </c>
      <c r="C1743" t="s">
        <v>24</v>
      </c>
      <c r="D1743">
        <v>1597</v>
      </c>
      <c r="E1743">
        <v>1</v>
      </c>
      <c r="F1743">
        <v>1.2</v>
      </c>
      <c r="G1743" t="s">
        <v>21</v>
      </c>
      <c r="H1743" t="s">
        <v>367</v>
      </c>
      <c r="I1743" t="str">
        <f t="shared" si="38"/>
        <v>1597_1</v>
      </c>
      <c r="J1743" t="s">
        <v>241</v>
      </c>
      <c r="K1743" t="s">
        <v>179</v>
      </c>
      <c r="L1743" t="str">
        <f>_xlfn.XLOOKUP(C1743, Table2[Species],Table2[Genus], "Code Not Found")</f>
        <v>Lirodendron</v>
      </c>
      <c r="M1743" t="str">
        <f>_xlfn.XLOOKUP(C1743, Table2[Species],Table2[Sp. Name], "Code Not Found")</f>
        <v>tulipfera</v>
      </c>
      <c r="N1743" t="str">
        <f>_xlfn.XLOOKUP(C1743,Table2[Species],Table2[Family],"Code Not Found")</f>
        <v>Magnoliaceae</v>
      </c>
      <c r="O1743" t="str" cm="1">
        <f t="array" ref="O1743">_xlfn.IFS(F1743="","",F1743&lt;=5,"0 to 5",F1743&lt;=10,"5.1 to 10",F1743&lt;=20,"10 to 20", F1743&lt;= 40, "20 to 40", F1743 &lt;= 50, "40 to 50", F1743 &gt; 50, "&gt;50" )</f>
        <v>0 to 5</v>
      </c>
    </row>
    <row r="1744" spans="1:15" ht="15" customHeight="1" x14ac:dyDescent="0.3">
      <c r="A1744" t="s">
        <v>351</v>
      </c>
      <c r="B1744" s="1">
        <v>46202</v>
      </c>
      <c r="C1744" t="s">
        <v>24</v>
      </c>
      <c r="D1744">
        <v>1598</v>
      </c>
      <c r="E1744">
        <v>1</v>
      </c>
      <c r="F1744">
        <v>2.2000000000000002</v>
      </c>
      <c r="G1744" t="s">
        <v>21</v>
      </c>
      <c r="H1744" t="s">
        <v>367</v>
      </c>
      <c r="I1744" t="str">
        <f t="shared" si="38"/>
        <v>1598_1</v>
      </c>
      <c r="J1744" t="s">
        <v>241</v>
      </c>
      <c r="K1744" t="s">
        <v>179</v>
      </c>
      <c r="L1744" t="str">
        <f>_xlfn.XLOOKUP(C1744, Table2[Species],Table2[Genus], "Code Not Found")</f>
        <v>Lirodendron</v>
      </c>
      <c r="M1744" t="str">
        <f>_xlfn.XLOOKUP(C1744, Table2[Species],Table2[Sp. Name], "Code Not Found")</f>
        <v>tulipfera</v>
      </c>
      <c r="N1744" t="str">
        <f>_xlfn.XLOOKUP(C1744,Table2[Species],Table2[Family],"Code Not Found")</f>
        <v>Magnoliaceae</v>
      </c>
      <c r="O1744" t="str" cm="1">
        <f t="array" ref="O1744">_xlfn.IFS(F1744="","",F1744&lt;=5,"0 to 5",F1744&lt;=10,"5.1 to 10",F1744&lt;=20,"10 to 20", F1744&lt;= 40, "20 to 40", F1744 &lt;= 50, "40 to 50", F1744 &gt; 50, "&gt;50" )</f>
        <v>0 to 5</v>
      </c>
    </row>
    <row r="1745" spans="1:15" ht="15" customHeight="1" x14ac:dyDescent="0.3">
      <c r="A1745" t="s">
        <v>351</v>
      </c>
      <c r="B1745" s="1">
        <v>46202</v>
      </c>
      <c r="C1745" t="s">
        <v>24</v>
      </c>
      <c r="D1745">
        <v>1599</v>
      </c>
      <c r="E1745">
        <v>1</v>
      </c>
      <c r="F1745">
        <v>1.1000000000000001</v>
      </c>
      <c r="G1745" t="s">
        <v>21</v>
      </c>
      <c r="H1745" t="s">
        <v>367</v>
      </c>
      <c r="I1745" t="str">
        <f t="shared" si="38"/>
        <v>1599_1</v>
      </c>
      <c r="J1745" t="s">
        <v>241</v>
      </c>
      <c r="K1745" t="s">
        <v>179</v>
      </c>
      <c r="L1745" t="str">
        <f>_xlfn.XLOOKUP(C1745, Table2[Species],Table2[Genus], "Code Not Found")</f>
        <v>Lirodendron</v>
      </c>
      <c r="M1745" t="str">
        <f>_xlfn.XLOOKUP(C1745, Table2[Species],Table2[Sp. Name], "Code Not Found")</f>
        <v>tulipfera</v>
      </c>
      <c r="N1745" t="str">
        <f>_xlfn.XLOOKUP(C1745,Table2[Species],Table2[Family],"Code Not Found")</f>
        <v>Magnoliaceae</v>
      </c>
      <c r="O1745" t="str" cm="1">
        <f t="array" ref="O1745">_xlfn.IFS(F1745="","",F1745&lt;=5,"0 to 5",F1745&lt;=10,"5.1 to 10",F1745&lt;=20,"10 to 20", F1745&lt;= 40, "20 to 40", F1745 &lt;= 50, "40 to 50", F1745 &gt; 50, "&gt;50" )</f>
        <v>0 to 5</v>
      </c>
    </row>
    <row r="1746" spans="1:15" ht="15" customHeight="1" x14ac:dyDescent="0.3">
      <c r="A1746" t="s">
        <v>351</v>
      </c>
      <c r="B1746" s="1">
        <v>46202</v>
      </c>
      <c r="C1746" t="s">
        <v>24</v>
      </c>
      <c r="D1746">
        <v>1600</v>
      </c>
      <c r="E1746">
        <v>1</v>
      </c>
      <c r="F1746">
        <v>1.2</v>
      </c>
      <c r="G1746" t="s">
        <v>21</v>
      </c>
      <c r="H1746" t="s">
        <v>367</v>
      </c>
      <c r="I1746" t="str">
        <f t="shared" si="38"/>
        <v>1600_1</v>
      </c>
      <c r="J1746" t="s">
        <v>241</v>
      </c>
      <c r="K1746" t="s">
        <v>179</v>
      </c>
      <c r="L1746" t="str">
        <f>_xlfn.XLOOKUP(C1746, Table2[Species],Table2[Genus], "Code Not Found")</f>
        <v>Lirodendron</v>
      </c>
      <c r="M1746" t="str">
        <f>_xlfn.XLOOKUP(C1746, Table2[Species],Table2[Sp. Name], "Code Not Found")</f>
        <v>tulipfera</v>
      </c>
      <c r="N1746" t="str">
        <f>_xlfn.XLOOKUP(C1746,Table2[Species],Table2[Family],"Code Not Found")</f>
        <v>Magnoliaceae</v>
      </c>
      <c r="O1746" t="str" cm="1">
        <f t="array" ref="O1746">_xlfn.IFS(F1746="","",F1746&lt;=5,"0 to 5",F1746&lt;=10,"5.1 to 10",F1746&lt;=20,"10 to 20", F1746&lt;= 40, "20 to 40", F1746 &lt;= 50, "40 to 50", F1746 &gt; 50, "&gt;50" )</f>
        <v>0 to 5</v>
      </c>
    </row>
    <row r="1747" spans="1:15" ht="15" customHeight="1" x14ac:dyDescent="0.3">
      <c r="A1747" t="s">
        <v>351</v>
      </c>
      <c r="B1747" s="1">
        <v>46202</v>
      </c>
      <c r="C1747" t="s">
        <v>24</v>
      </c>
      <c r="D1747">
        <v>1601</v>
      </c>
      <c r="E1747">
        <v>1</v>
      </c>
      <c r="F1747">
        <v>1.3</v>
      </c>
      <c r="G1747" t="s">
        <v>359</v>
      </c>
      <c r="I1747" t="str">
        <f t="shared" si="38"/>
        <v>1601_1</v>
      </c>
      <c r="J1747" t="s">
        <v>241</v>
      </c>
      <c r="K1747" t="s">
        <v>179</v>
      </c>
      <c r="L1747" t="str">
        <f>_xlfn.XLOOKUP(C1747, Table2[Species],Table2[Genus], "Code Not Found")</f>
        <v>Lirodendron</v>
      </c>
      <c r="M1747" t="str">
        <f>_xlfn.XLOOKUP(C1747, Table2[Species],Table2[Sp. Name], "Code Not Found")</f>
        <v>tulipfera</v>
      </c>
      <c r="N1747" t="str">
        <f>_xlfn.XLOOKUP(C1747,Table2[Species],Table2[Family],"Code Not Found")</f>
        <v>Magnoliaceae</v>
      </c>
      <c r="O1747" t="str" cm="1">
        <f t="array" ref="O1747">_xlfn.IFS(F1747="","",F1747&lt;=5,"0 to 5",F1747&lt;=10,"5.1 to 10",F1747&lt;=20,"10 to 20", F1747&lt;= 40, "20 to 40", F1747 &lt;= 50, "40 to 50", F1747 &gt; 50, "&gt;50" )</f>
        <v>0 to 5</v>
      </c>
    </row>
    <row r="1748" spans="1:15" ht="15" customHeight="1" x14ac:dyDescent="0.3">
      <c r="A1748" t="s">
        <v>351</v>
      </c>
      <c r="B1748" s="1">
        <v>46202</v>
      </c>
      <c r="C1748" t="s">
        <v>24</v>
      </c>
      <c r="D1748">
        <v>1602</v>
      </c>
      <c r="E1748">
        <v>1</v>
      </c>
      <c r="F1748">
        <v>1.3</v>
      </c>
      <c r="G1748" t="s">
        <v>359</v>
      </c>
      <c r="I1748" t="str">
        <f t="shared" si="38"/>
        <v>1602_1</v>
      </c>
      <c r="J1748" t="s">
        <v>241</v>
      </c>
      <c r="K1748" t="s">
        <v>179</v>
      </c>
      <c r="L1748" t="str">
        <f>_xlfn.XLOOKUP(C1748, Table2[Species],Table2[Genus], "Code Not Found")</f>
        <v>Lirodendron</v>
      </c>
      <c r="M1748" t="str">
        <f>_xlfn.XLOOKUP(C1748, Table2[Species],Table2[Sp. Name], "Code Not Found")</f>
        <v>tulipfera</v>
      </c>
      <c r="N1748" t="str">
        <f>_xlfn.XLOOKUP(C1748,Table2[Species],Table2[Family],"Code Not Found")</f>
        <v>Magnoliaceae</v>
      </c>
      <c r="O1748" t="str" cm="1">
        <f t="array" ref="O1748">_xlfn.IFS(F1748="","",F1748&lt;=5,"0 to 5",F1748&lt;=10,"5.1 to 10",F1748&lt;=20,"10 to 20", F1748&lt;= 40, "20 to 40", F1748 &lt;= 50, "40 to 50", F1748 &gt; 50, "&gt;50" )</f>
        <v>0 to 5</v>
      </c>
    </row>
    <row r="1749" spans="1:15" ht="15" customHeight="1" x14ac:dyDescent="0.3">
      <c r="A1749" t="s">
        <v>351</v>
      </c>
      <c r="B1749" s="1">
        <v>46202</v>
      </c>
      <c r="C1749" t="s">
        <v>24</v>
      </c>
      <c r="D1749">
        <v>1603</v>
      </c>
      <c r="E1749">
        <v>1</v>
      </c>
      <c r="F1749">
        <v>1.5</v>
      </c>
      <c r="G1749" t="s">
        <v>359</v>
      </c>
      <c r="I1749" t="str">
        <f t="shared" si="38"/>
        <v>1603_1</v>
      </c>
      <c r="J1749" t="s">
        <v>241</v>
      </c>
      <c r="K1749" t="s">
        <v>179</v>
      </c>
      <c r="L1749" t="str">
        <f>_xlfn.XLOOKUP(C1749, Table2[Species],Table2[Genus], "Code Not Found")</f>
        <v>Lirodendron</v>
      </c>
      <c r="M1749" t="str">
        <f>_xlfn.XLOOKUP(C1749, Table2[Species],Table2[Sp. Name], "Code Not Found")</f>
        <v>tulipfera</v>
      </c>
      <c r="N1749" t="str">
        <f>_xlfn.XLOOKUP(C1749,Table2[Species],Table2[Family],"Code Not Found")</f>
        <v>Magnoliaceae</v>
      </c>
      <c r="O1749" t="str" cm="1">
        <f t="array" ref="O1749">_xlfn.IFS(F1749="","",F1749&lt;=5,"0 to 5",F1749&lt;=10,"5.1 to 10",F1749&lt;=20,"10 to 20", F1749&lt;= 40, "20 to 40", F1749 &lt;= 50, "40 to 50", F1749 &gt; 50, "&gt;50" )</f>
        <v>0 to 5</v>
      </c>
    </row>
    <row r="1750" spans="1:15" ht="15" customHeight="1" x14ac:dyDescent="0.3">
      <c r="A1750" t="s">
        <v>351</v>
      </c>
      <c r="B1750" s="1">
        <v>46202</v>
      </c>
      <c r="C1750" t="s">
        <v>24</v>
      </c>
      <c r="D1750">
        <v>1604</v>
      </c>
      <c r="E1750">
        <v>1</v>
      </c>
      <c r="F1750">
        <v>1.3</v>
      </c>
      <c r="G1750" t="s">
        <v>359</v>
      </c>
      <c r="I1750" t="str">
        <f t="shared" si="38"/>
        <v>1604_1</v>
      </c>
      <c r="J1750" t="s">
        <v>241</v>
      </c>
      <c r="K1750" t="s">
        <v>179</v>
      </c>
      <c r="L1750" t="str">
        <f>_xlfn.XLOOKUP(C1750, Table2[Species],Table2[Genus], "Code Not Found")</f>
        <v>Lirodendron</v>
      </c>
      <c r="M1750" t="str">
        <f>_xlfn.XLOOKUP(C1750, Table2[Species],Table2[Sp. Name], "Code Not Found")</f>
        <v>tulipfera</v>
      </c>
      <c r="N1750" t="str">
        <f>_xlfn.XLOOKUP(C1750,Table2[Species],Table2[Family],"Code Not Found")</f>
        <v>Magnoliaceae</v>
      </c>
      <c r="O1750" t="str" cm="1">
        <f t="array" ref="O1750">_xlfn.IFS(F1750="","",F1750&lt;=5,"0 to 5",F1750&lt;=10,"5.1 to 10",F1750&lt;=20,"10 to 20", F1750&lt;= 40, "20 to 40", F1750 &lt;= 50, "40 to 50", F1750 &gt; 50, "&gt;50" )</f>
        <v>0 to 5</v>
      </c>
    </row>
    <row r="1751" spans="1:15" ht="15" customHeight="1" x14ac:dyDescent="0.3">
      <c r="A1751" t="s">
        <v>351</v>
      </c>
      <c r="B1751" s="1">
        <v>46202</v>
      </c>
      <c r="C1751" t="s">
        <v>24</v>
      </c>
      <c r="D1751">
        <v>1605</v>
      </c>
      <c r="E1751">
        <v>1</v>
      </c>
      <c r="F1751">
        <v>1.1000000000000001</v>
      </c>
      <c r="G1751" t="s">
        <v>359</v>
      </c>
      <c r="I1751" t="str">
        <f t="shared" si="38"/>
        <v>1605_1</v>
      </c>
      <c r="J1751" t="s">
        <v>241</v>
      </c>
      <c r="K1751" t="s">
        <v>179</v>
      </c>
      <c r="L1751" t="str">
        <f>_xlfn.XLOOKUP(C1751, Table2[Species],Table2[Genus], "Code Not Found")</f>
        <v>Lirodendron</v>
      </c>
      <c r="M1751" t="str">
        <f>_xlfn.XLOOKUP(C1751, Table2[Species],Table2[Sp. Name], "Code Not Found")</f>
        <v>tulipfera</v>
      </c>
      <c r="N1751" t="str">
        <f>_xlfn.XLOOKUP(C1751,Table2[Species],Table2[Family],"Code Not Found")</f>
        <v>Magnoliaceae</v>
      </c>
      <c r="O1751" t="str" cm="1">
        <f t="array" ref="O1751">_xlfn.IFS(F1751="","",F1751&lt;=5,"0 to 5",F1751&lt;=10,"5.1 to 10",F1751&lt;=20,"10 to 20", F1751&lt;= 40, "20 to 40", F1751 &lt;= 50, "40 to 50", F1751 &gt; 50, "&gt;50" )</f>
        <v>0 to 5</v>
      </c>
    </row>
    <row r="1752" spans="1:15" ht="15" customHeight="1" x14ac:dyDescent="0.3">
      <c r="A1752" t="s">
        <v>351</v>
      </c>
      <c r="B1752" s="1">
        <v>46202</v>
      </c>
      <c r="C1752" t="s">
        <v>24</v>
      </c>
      <c r="D1752">
        <v>1606</v>
      </c>
      <c r="E1752">
        <v>1</v>
      </c>
      <c r="F1752">
        <v>1.4</v>
      </c>
      <c r="G1752" t="s">
        <v>359</v>
      </c>
      <c r="I1752" t="str">
        <f t="shared" si="38"/>
        <v>1606_1</v>
      </c>
      <c r="J1752" t="s">
        <v>241</v>
      </c>
      <c r="K1752" t="s">
        <v>179</v>
      </c>
      <c r="L1752" t="str">
        <f>_xlfn.XLOOKUP(C1752, Table2[Species],Table2[Genus], "Code Not Found")</f>
        <v>Lirodendron</v>
      </c>
      <c r="M1752" t="str">
        <f>_xlfn.XLOOKUP(C1752, Table2[Species],Table2[Sp. Name], "Code Not Found")</f>
        <v>tulipfera</v>
      </c>
      <c r="N1752" t="str">
        <f>_xlfn.XLOOKUP(C1752,Table2[Species],Table2[Family],"Code Not Found")</f>
        <v>Magnoliaceae</v>
      </c>
      <c r="O1752" t="str" cm="1">
        <f t="array" ref="O1752">_xlfn.IFS(F1752="","",F1752&lt;=5,"0 to 5",F1752&lt;=10,"5.1 to 10",F1752&lt;=20,"10 to 20", F1752&lt;= 40, "20 to 40", F1752 &lt;= 50, "40 to 50", F1752 &gt; 50, "&gt;50" )</f>
        <v>0 to 5</v>
      </c>
    </row>
    <row r="1753" spans="1:15" ht="15" customHeight="1" x14ac:dyDescent="0.3">
      <c r="A1753" t="s">
        <v>351</v>
      </c>
      <c r="B1753" s="1">
        <v>46202</v>
      </c>
      <c r="C1753" t="s">
        <v>24</v>
      </c>
      <c r="D1753">
        <v>1607</v>
      </c>
      <c r="E1753">
        <v>1</v>
      </c>
      <c r="F1753">
        <v>1.1000000000000001</v>
      </c>
      <c r="G1753" t="s">
        <v>359</v>
      </c>
      <c r="I1753" t="str">
        <f t="shared" si="38"/>
        <v>1607_1</v>
      </c>
      <c r="J1753" t="s">
        <v>241</v>
      </c>
      <c r="K1753" t="s">
        <v>179</v>
      </c>
      <c r="L1753" t="str">
        <f>_xlfn.XLOOKUP(C1753, Table2[Species],Table2[Genus], "Code Not Found")</f>
        <v>Lirodendron</v>
      </c>
      <c r="M1753" t="str">
        <f>_xlfn.XLOOKUP(C1753, Table2[Species],Table2[Sp. Name], "Code Not Found")</f>
        <v>tulipfera</v>
      </c>
      <c r="N1753" t="str">
        <f>_xlfn.XLOOKUP(C1753,Table2[Species],Table2[Family],"Code Not Found")</f>
        <v>Magnoliaceae</v>
      </c>
      <c r="O1753" t="str" cm="1">
        <f t="array" ref="O1753">_xlfn.IFS(F1753="","",F1753&lt;=5,"0 to 5",F1753&lt;=10,"5.1 to 10",F1753&lt;=20,"10 to 20", F1753&lt;= 40, "20 to 40", F1753 &lt;= 50, "40 to 50", F1753 &gt; 50, "&gt;50" )</f>
        <v>0 to 5</v>
      </c>
    </row>
    <row r="1754" spans="1:15" ht="15" customHeight="1" x14ac:dyDescent="0.3">
      <c r="A1754" t="s">
        <v>351</v>
      </c>
      <c r="B1754" s="1">
        <v>46202</v>
      </c>
      <c r="C1754" t="s">
        <v>24</v>
      </c>
      <c r="D1754">
        <v>1608</v>
      </c>
      <c r="E1754">
        <v>1</v>
      </c>
      <c r="F1754">
        <v>1.1000000000000001</v>
      </c>
      <c r="G1754" t="s">
        <v>359</v>
      </c>
      <c r="I1754" t="str">
        <f t="shared" si="38"/>
        <v>1608_1</v>
      </c>
      <c r="J1754" t="s">
        <v>241</v>
      </c>
      <c r="K1754" t="s">
        <v>179</v>
      </c>
      <c r="L1754" t="str">
        <f>_xlfn.XLOOKUP(C1754, Table2[Species],Table2[Genus], "Code Not Found")</f>
        <v>Lirodendron</v>
      </c>
      <c r="M1754" t="str">
        <f>_xlfn.XLOOKUP(C1754, Table2[Species],Table2[Sp. Name], "Code Not Found")</f>
        <v>tulipfera</v>
      </c>
      <c r="N1754" t="str">
        <f>_xlfn.XLOOKUP(C1754,Table2[Species],Table2[Family],"Code Not Found")</f>
        <v>Magnoliaceae</v>
      </c>
      <c r="O1754" t="str" cm="1">
        <f t="array" ref="O1754">_xlfn.IFS(F1754="","",F1754&lt;=5,"0 to 5",F1754&lt;=10,"5.1 to 10",F1754&lt;=20,"10 to 20", F1754&lt;= 40, "20 to 40", F1754 &lt;= 50, "40 to 50", F1754 &gt; 50, "&gt;50" )</f>
        <v>0 to 5</v>
      </c>
    </row>
    <row r="1755" spans="1:15" ht="15" customHeight="1" x14ac:dyDescent="0.3">
      <c r="A1755" t="s">
        <v>351</v>
      </c>
      <c r="B1755" s="1">
        <v>46202</v>
      </c>
      <c r="C1755" t="s">
        <v>24</v>
      </c>
      <c r="D1755">
        <v>1609</v>
      </c>
      <c r="E1755">
        <v>1</v>
      </c>
      <c r="F1755">
        <v>1.6</v>
      </c>
      <c r="G1755" t="s">
        <v>359</v>
      </c>
      <c r="I1755" t="str">
        <f t="shared" si="38"/>
        <v>1609_1</v>
      </c>
      <c r="J1755" t="s">
        <v>241</v>
      </c>
      <c r="K1755" t="s">
        <v>179</v>
      </c>
      <c r="L1755" t="str">
        <f>_xlfn.XLOOKUP(C1755, Table2[Species],Table2[Genus], "Code Not Found")</f>
        <v>Lirodendron</v>
      </c>
      <c r="M1755" t="str">
        <f>_xlfn.XLOOKUP(C1755, Table2[Species],Table2[Sp. Name], "Code Not Found")</f>
        <v>tulipfera</v>
      </c>
      <c r="N1755" t="str">
        <f>_xlfn.XLOOKUP(C1755,Table2[Species],Table2[Family],"Code Not Found")</f>
        <v>Magnoliaceae</v>
      </c>
      <c r="O1755" t="str" cm="1">
        <f t="array" ref="O1755">_xlfn.IFS(F1755="","",F1755&lt;=5,"0 to 5",F1755&lt;=10,"5.1 to 10",F1755&lt;=20,"10 to 20", F1755&lt;= 40, "20 to 40", F1755 &lt;= 50, "40 to 50", F1755 &gt; 50, "&gt;50" )</f>
        <v>0 to 5</v>
      </c>
    </row>
    <row r="1756" spans="1:15" ht="15" customHeight="1" x14ac:dyDescent="0.3">
      <c r="A1756" t="s">
        <v>351</v>
      </c>
      <c r="B1756" s="1">
        <v>46202</v>
      </c>
      <c r="C1756" t="s">
        <v>24</v>
      </c>
      <c r="D1756">
        <v>1610</v>
      </c>
      <c r="E1756">
        <v>1</v>
      </c>
      <c r="F1756">
        <v>1.1000000000000001</v>
      </c>
      <c r="G1756" t="s">
        <v>368</v>
      </c>
      <c r="I1756" t="str">
        <f t="shared" si="38"/>
        <v>1610_1</v>
      </c>
      <c r="J1756" t="s">
        <v>241</v>
      </c>
      <c r="K1756" t="s">
        <v>179</v>
      </c>
      <c r="L1756" t="str">
        <f>_xlfn.XLOOKUP(C1756, Table2[Species],Table2[Genus], "Code Not Found")</f>
        <v>Lirodendron</v>
      </c>
      <c r="M1756" t="str">
        <f>_xlfn.XLOOKUP(C1756, Table2[Species],Table2[Sp. Name], "Code Not Found")</f>
        <v>tulipfera</v>
      </c>
      <c r="N1756" t="str">
        <f>_xlfn.XLOOKUP(C1756,Table2[Species],Table2[Family],"Code Not Found")</f>
        <v>Magnoliaceae</v>
      </c>
      <c r="O1756" t="str" cm="1">
        <f t="array" ref="O1756">_xlfn.IFS(F1756="","",F1756&lt;=5,"0 to 5",F1756&lt;=10,"5.1 to 10",F1756&lt;=20,"10 to 20", F1756&lt;= 40, "20 to 40", F1756 &lt;= 50, "40 to 50", F1756 &gt; 50, "&gt;50" )</f>
        <v>0 to 5</v>
      </c>
    </row>
    <row r="1757" spans="1:15" ht="15" customHeight="1" x14ac:dyDescent="0.3">
      <c r="A1757" t="s">
        <v>351</v>
      </c>
      <c r="B1757" s="1">
        <v>46202</v>
      </c>
      <c r="C1757" t="s">
        <v>24</v>
      </c>
      <c r="D1757">
        <v>1611</v>
      </c>
      <c r="E1757">
        <v>1</v>
      </c>
      <c r="F1757">
        <v>2</v>
      </c>
      <c r="G1757" t="s">
        <v>30</v>
      </c>
      <c r="H1757" t="s">
        <v>369</v>
      </c>
      <c r="I1757" t="str">
        <f t="shared" si="38"/>
        <v>1611_1</v>
      </c>
      <c r="J1757" t="s">
        <v>241</v>
      </c>
      <c r="K1757" t="s">
        <v>179</v>
      </c>
      <c r="L1757" t="str">
        <f>_xlfn.XLOOKUP(C1757, Table2[Species],Table2[Genus], "Code Not Found")</f>
        <v>Lirodendron</v>
      </c>
      <c r="M1757" t="str">
        <f>_xlfn.XLOOKUP(C1757, Table2[Species],Table2[Sp. Name], "Code Not Found")</f>
        <v>tulipfera</v>
      </c>
      <c r="N1757" t="str">
        <f>_xlfn.XLOOKUP(C1757,Table2[Species],Table2[Family],"Code Not Found")</f>
        <v>Magnoliaceae</v>
      </c>
      <c r="O1757" t="str" cm="1">
        <f t="array" ref="O1757">_xlfn.IFS(F1757="","",F1757&lt;=5,"0 to 5",F1757&lt;=10,"5.1 to 10",F1757&lt;=20,"10 to 20", F1757&lt;= 40, "20 to 40", F1757 &lt;= 50, "40 to 50", F1757 &gt; 50, "&gt;50" )</f>
        <v>0 to 5</v>
      </c>
    </row>
    <row r="1758" spans="1:15" ht="15" customHeight="1" x14ac:dyDescent="0.3">
      <c r="A1758" t="s">
        <v>351</v>
      </c>
      <c r="B1758" s="1">
        <v>46202</v>
      </c>
      <c r="C1758" t="s">
        <v>24</v>
      </c>
      <c r="D1758">
        <v>1612</v>
      </c>
      <c r="E1758">
        <v>1</v>
      </c>
      <c r="F1758">
        <v>1.6</v>
      </c>
      <c r="G1758" t="s">
        <v>370</v>
      </c>
      <c r="I1758" t="str">
        <f t="shared" si="38"/>
        <v>1612_1</v>
      </c>
      <c r="J1758" t="s">
        <v>241</v>
      </c>
      <c r="K1758" t="s">
        <v>179</v>
      </c>
      <c r="L1758" t="str">
        <f>_xlfn.XLOOKUP(C1758, Table2[Species],Table2[Genus], "Code Not Found")</f>
        <v>Lirodendron</v>
      </c>
      <c r="M1758" t="str">
        <f>_xlfn.XLOOKUP(C1758, Table2[Species],Table2[Sp. Name], "Code Not Found")</f>
        <v>tulipfera</v>
      </c>
      <c r="N1758" t="str">
        <f>_xlfn.XLOOKUP(C1758,Table2[Species],Table2[Family],"Code Not Found")</f>
        <v>Magnoliaceae</v>
      </c>
      <c r="O1758" t="str" cm="1">
        <f t="array" ref="O1758">_xlfn.IFS(F1758="","",F1758&lt;=5,"0 to 5",F1758&lt;=10,"5.1 to 10",F1758&lt;=20,"10 to 20", F1758&lt;= 40, "20 to 40", F1758 &lt;= 50, "40 to 50", F1758 &gt; 50, "&gt;50" )</f>
        <v>0 to 5</v>
      </c>
    </row>
    <row r="1759" spans="1:15" ht="15" customHeight="1" x14ac:dyDescent="0.3">
      <c r="A1759" t="s">
        <v>351</v>
      </c>
      <c r="B1759" s="1">
        <v>46202</v>
      </c>
      <c r="C1759" t="s">
        <v>24</v>
      </c>
      <c r="D1759">
        <v>1612</v>
      </c>
      <c r="E1759">
        <v>2</v>
      </c>
      <c r="F1759">
        <v>1.2</v>
      </c>
      <c r="G1759" t="s">
        <v>371</v>
      </c>
      <c r="I1759" t="str">
        <f t="shared" si="38"/>
        <v>1612_2</v>
      </c>
      <c r="J1759" t="s">
        <v>241</v>
      </c>
      <c r="K1759" t="s">
        <v>179</v>
      </c>
      <c r="L1759" t="str">
        <f>_xlfn.XLOOKUP(C1759, Table2[Species],Table2[Genus], "Code Not Found")</f>
        <v>Lirodendron</v>
      </c>
      <c r="M1759" t="str">
        <f>_xlfn.XLOOKUP(C1759, Table2[Species],Table2[Sp. Name], "Code Not Found")</f>
        <v>tulipfera</v>
      </c>
      <c r="N1759" t="str">
        <f>_xlfn.XLOOKUP(C1759,Table2[Species],Table2[Family],"Code Not Found")</f>
        <v>Magnoliaceae</v>
      </c>
      <c r="O1759" t="str" cm="1">
        <f t="array" ref="O1759">_xlfn.IFS(F1759="","",F1759&lt;=5,"0 to 5",F1759&lt;=10,"5.1 to 10",F1759&lt;=20,"10 to 20", F1759&lt;= 40, "20 to 40", F1759 &lt;= 50, "40 to 50", F1759 &gt; 50, "&gt;50" )</f>
        <v>0 to 5</v>
      </c>
    </row>
    <row r="1760" spans="1:15" ht="15" customHeight="1" x14ac:dyDescent="0.3">
      <c r="A1760" t="s">
        <v>351</v>
      </c>
      <c r="B1760" s="1">
        <v>46202</v>
      </c>
      <c r="C1760" t="s">
        <v>24</v>
      </c>
      <c r="D1760">
        <v>1613</v>
      </c>
      <c r="E1760">
        <v>1</v>
      </c>
      <c r="F1760">
        <v>1.3</v>
      </c>
      <c r="G1760" t="s">
        <v>359</v>
      </c>
      <c r="I1760" t="str">
        <f t="shared" si="38"/>
        <v>1613_1</v>
      </c>
      <c r="J1760" t="s">
        <v>241</v>
      </c>
      <c r="K1760" t="s">
        <v>179</v>
      </c>
      <c r="L1760" t="str">
        <f>_xlfn.XLOOKUP(C1760, Table2[Species],Table2[Genus], "Code Not Found")</f>
        <v>Lirodendron</v>
      </c>
      <c r="M1760" t="str">
        <f>_xlfn.XLOOKUP(C1760, Table2[Species],Table2[Sp. Name], "Code Not Found")</f>
        <v>tulipfera</v>
      </c>
      <c r="N1760" t="str">
        <f>_xlfn.XLOOKUP(C1760,Table2[Species],Table2[Family],"Code Not Found")</f>
        <v>Magnoliaceae</v>
      </c>
      <c r="O1760" t="str" cm="1">
        <f t="array" ref="O1760">_xlfn.IFS(F1760="","",F1760&lt;=5,"0 to 5",F1760&lt;=10,"5.1 to 10",F1760&lt;=20,"10 to 20", F1760&lt;= 40, "20 to 40", F1760 &lt;= 50, "40 to 50", F1760 &gt; 50, "&gt;50" )</f>
        <v>0 to 5</v>
      </c>
    </row>
    <row r="1761" spans="1:15" ht="15" customHeight="1" x14ac:dyDescent="0.3">
      <c r="A1761" t="s">
        <v>351</v>
      </c>
      <c r="B1761" s="1">
        <v>46202</v>
      </c>
      <c r="C1761" t="s">
        <v>24</v>
      </c>
      <c r="D1761">
        <v>1614</v>
      </c>
      <c r="E1761">
        <v>1</v>
      </c>
      <c r="F1761">
        <v>2</v>
      </c>
      <c r="G1761" t="s">
        <v>359</v>
      </c>
      <c r="I1761" t="str">
        <f t="shared" si="38"/>
        <v>1614_1</v>
      </c>
      <c r="J1761" t="s">
        <v>241</v>
      </c>
      <c r="K1761" t="s">
        <v>179</v>
      </c>
      <c r="L1761" t="str">
        <f>_xlfn.XLOOKUP(C1761, Table2[Species],Table2[Genus], "Code Not Found")</f>
        <v>Lirodendron</v>
      </c>
      <c r="M1761" t="str">
        <f>_xlfn.XLOOKUP(C1761, Table2[Species],Table2[Sp. Name], "Code Not Found")</f>
        <v>tulipfera</v>
      </c>
      <c r="N1761" t="str">
        <f>_xlfn.XLOOKUP(C1761,Table2[Species],Table2[Family],"Code Not Found")</f>
        <v>Magnoliaceae</v>
      </c>
      <c r="O1761" t="str" cm="1">
        <f t="array" ref="O1761">_xlfn.IFS(F1761="","",F1761&lt;=5,"0 to 5",F1761&lt;=10,"5.1 to 10",F1761&lt;=20,"10 to 20", F1761&lt;= 40, "20 to 40", F1761 &lt;= 50, "40 to 50", F1761 &gt; 50, "&gt;50" )</f>
        <v>0 to 5</v>
      </c>
    </row>
    <row r="1762" spans="1:15" ht="15" customHeight="1" x14ac:dyDescent="0.3">
      <c r="A1762" t="s">
        <v>351</v>
      </c>
      <c r="B1762" s="1">
        <v>46202</v>
      </c>
      <c r="C1762" t="s">
        <v>24</v>
      </c>
      <c r="D1762">
        <v>1615</v>
      </c>
      <c r="E1762">
        <v>1</v>
      </c>
      <c r="F1762">
        <v>1.8</v>
      </c>
      <c r="G1762" t="s">
        <v>21</v>
      </c>
      <c r="I1762" t="str">
        <f t="shared" si="38"/>
        <v>1615_1</v>
      </c>
      <c r="J1762" t="s">
        <v>241</v>
      </c>
      <c r="K1762" t="s">
        <v>179</v>
      </c>
      <c r="L1762" t="str">
        <f>_xlfn.XLOOKUP(C1762, Table2[Species],Table2[Genus], "Code Not Found")</f>
        <v>Lirodendron</v>
      </c>
      <c r="M1762" t="str">
        <f>_xlfn.XLOOKUP(C1762, Table2[Species],Table2[Sp. Name], "Code Not Found")</f>
        <v>tulipfera</v>
      </c>
      <c r="N1762" t="str">
        <f>_xlfn.XLOOKUP(C1762,Table2[Species],Table2[Family],"Code Not Found")</f>
        <v>Magnoliaceae</v>
      </c>
      <c r="O1762" t="str" cm="1">
        <f t="array" ref="O1762">_xlfn.IFS(F1762="","",F1762&lt;=5,"0 to 5",F1762&lt;=10,"5.1 to 10",F1762&lt;=20,"10 to 20", F1762&lt;= 40, "20 to 40", F1762 &lt;= 50, "40 to 50", F1762 &gt; 50, "&gt;50" )</f>
        <v>0 to 5</v>
      </c>
    </row>
    <row r="1763" spans="1:15" ht="15" customHeight="1" x14ac:dyDescent="0.3">
      <c r="A1763" t="s">
        <v>351</v>
      </c>
      <c r="B1763" s="1">
        <v>46202</v>
      </c>
      <c r="C1763" t="s">
        <v>24</v>
      </c>
      <c r="D1763">
        <v>1616</v>
      </c>
      <c r="E1763">
        <v>1</v>
      </c>
      <c r="F1763">
        <v>1.6</v>
      </c>
      <c r="G1763" t="s">
        <v>32</v>
      </c>
      <c r="I1763" t="str">
        <f t="shared" si="38"/>
        <v>1616_1</v>
      </c>
      <c r="J1763" t="s">
        <v>241</v>
      </c>
      <c r="K1763" t="s">
        <v>179</v>
      </c>
      <c r="L1763" t="str">
        <f>_xlfn.XLOOKUP(C1763, Table2[Species],Table2[Genus], "Code Not Found")</f>
        <v>Lirodendron</v>
      </c>
      <c r="M1763" t="str">
        <f>_xlfn.XLOOKUP(C1763, Table2[Species],Table2[Sp. Name], "Code Not Found")</f>
        <v>tulipfera</v>
      </c>
      <c r="N1763" t="str">
        <f>_xlfn.XLOOKUP(C1763,Table2[Species],Table2[Family],"Code Not Found")</f>
        <v>Magnoliaceae</v>
      </c>
      <c r="O1763" t="str" cm="1">
        <f t="array" ref="O1763">_xlfn.IFS(F1763="","",F1763&lt;=5,"0 to 5",F1763&lt;=10,"5.1 to 10",F1763&lt;=20,"10 to 20", F1763&lt;= 40, "20 to 40", F1763 &lt;= 50, "40 to 50", F1763 &gt; 50, "&gt;50" )</f>
        <v>0 to 5</v>
      </c>
    </row>
    <row r="1764" spans="1:15" ht="15" customHeight="1" x14ac:dyDescent="0.3">
      <c r="A1764" t="s">
        <v>351</v>
      </c>
      <c r="B1764" s="1">
        <v>46202</v>
      </c>
      <c r="C1764" t="s">
        <v>24</v>
      </c>
      <c r="D1764">
        <v>1616</v>
      </c>
      <c r="E1764">
        <v>2</v>
      </c>
      <c r="F1764">
        <v>1.2</v>
      </c>
      <c r="G1764" t="s">
        <v>32</v>
      </c>
      <c r="I1764" t="str">
        <f t="shared" si="38"/>
        <v>1616_2</v>
      </c>
      <c r="J1764" t="s">
        <v>241</v>
      </c>
      <c r="K1764" t="s">
        <v>179</v>
      </c>
      <c r="L1764" t="str">
        <f>_xlfn.XLOOKUP(C1764, Table2[Species],Table2[Genus], "Code Not Found")</f>
        <v>Lirodendron</v>
      </c>
      <c r="M1764" t="str">
        <f>_xlfn.XLOOKUP(C1764, Table2[Species],Table2[Sp. Name], "Code Not Found")</f>
        <v>tulipfera</v>
      </c>
      <c r="N1764" t="str">
        <f>_xlfn.XLOOKUP(C1764,Table2[Species],Table2[Family],"Code Not Found")</f>
        <v>Magnoliaceae</v>
      </c>
      <c r="O1764" t="str" cm="1">
        <f t="array" ref="O1764">_xlfn.IFS(F1764="","",F1764&lt;=5,"0 to 5",F1764&lt;=10,"5.1 to 10",F1764&lt;=20,"10 to 20", F1764&lt;= 40, "20 to 40", F1764 &lt;= 50, "40 to 50", F1764 &gt; 50, "&gt;50" )</f>
        <v>0 to 5</v>
      </c>
    </row>
    <row r="1765" spans="1:15" ht="15" customHeight="1" x14ac:dyDescent="0.3">
      <c r="A1765" t="s">
        <v>351</v>
      </c>
      <c r="B1765" s="1">
        <v>46202</v>
      </c>
      <c r="C1765" t="s">
        <v>24</v>
      </c>
      <c r="D1765">
        <v>1617</v>
      </c>
      <c r="E1765">
        <v>1</v>
      </c>
      <c r="F1765">
        <v>1.1000000000000001</v>
      </c>
      <c r="G1765" t="s">
        <v>359</v>
      </c>
      <c r="I1765" t="str">
        <f t="shared" si="38"/>
        <v>1617_1</v>
      </c>
      <c r="J1765" t="s">
        <v>241</v>
      </c>
      <c r="K1765" t="s">
        <v>179</v>
      </c>
      <c r="L1765" t="str">
        <f>_xlfn.XLOOKUP(C1765, Table2[Species],Table2[Genus], "Code Not Found")</f>
        <v>Lirodendron</v>
      </c>
      <c r="M1765" t="str">
        <f>_xlfn.XLOOKUP(C1765, Table2[Species],Table2[Sp. Name], "Code Not Found")</f>
        <v>tulipfera</v>
      </c>
      <c r="N1765" t="str">
        <f>_xlfn.XLOOKUP(C1765,Table2[Species],Table2[Family],"Code Not Found")</f>
        <v>Magnoliaceae</v>
      </c>
      <c r="O1765" t="str" cm="1">
        <f t="array" ref="O1765">_xlfn.IFS(F1765="","",F1765&lt;=5,"0 to 5",F1765&lt;=10,"5.1 to 10",F1765&lt;=20,"10 to 20", F1765&lt;= 40, "20 to 40", F1765 &lt;= 50, "40 to 50", F1765 &gt; 50, "&gt;50" )</f>
        <v>0 to 5</v>
      </c>
    </row>
    <row r="1766" spans="1:15" ht="15" customHeight="1" x14ac:dyDescent="0.3">
      <c r="A1766" t="s">
        <v>351</v>
      </c>
      <c r="B1766" s="1">
        <v>46202</v>
      </c>
      <c r="C1766" t="s">
        <v>24</v>
      </c>
      <c r="D1766">
        <v>1618</v>
      </c>
      <c r="E1766">
        <v>1</v>
      </c>
      <c r="F1766">
        <v>2.2000000000000002</v>
      </c>
      <c r="G1766" t="s">
        <v>359</v>
      </c>
      <c r="I1766" t="str">
        <f t="shared" si="38"/>
        <v>1618_1</v>
      </c>
      <c r="J1766" t="s">
        <v>241</v>
      </c>
      <c r="K1766" t="s">
        <v>179</v>
      </c>
      <c r="L1766" t="str">
        <f>_xlfn.XLOOKUP(C1766, Table2[Species],Table2[Genus], "Code Not Found")</f>
        <v>Lirodendron</v>
      </c>
      <c r="M1766" t="str">
        <f>_xlfn.XLOOKUP(C1766, Table2[Species],Table2[Sp. Name], "Code Not Found")</f>
        <v>tulipfera</v>
      </c>
      <c r="N1766" t="str">
        <f>_xlfn.XLOOKUP(C1766,Table2[Species],Table2[Family],"Code Not Found")</f>
        <v>Magnoliaceae</v>
      </c>
      <c r="O1766" t="str" cm="1">
        <f t="array" ref="O1766">_xlfn.IFS(F1766="","",F1766&lt;=5,"0 to 5",F1766&lt;=10,"5.1 to 10",F1766&lt;=20,"10 to 20", F1766&lt;= 40, "20 to 40", F1766 &lt;= 50, "40 to 50", F1766 &gt; 50, "&gt;50" )</f>
        <v>0 to 5</v>
      </c>
    </row>
    <row r="1767" spans="1:15" ht="15" customHeight="1" x14ac:dyDescent="0.3">
      <c r="A1767" t="s">
        <v>351</v>
      </c>
      <c r="B1767" s="1">
        <v>46202</v>
      </c>
      <c r="C1767" t="s">
        <v>24</v>
      </c>
      <c r="D1767">
        <v>1619</v>
      </c>
      <c r="E1767">
        <v>1</v>
      </c>
      <c r="F1767">
        <v>1.3</v>
      </c>
      <c r="G1767" t="s">
        <v>359</v>
      </c>
      <c r="I1767" t="str">
        <f t="shared" si="38"/>
        <v>1619_1</v>
      </c>
      <c r="J1767" t="s">
        <v>241</v>
      </c>
      <c r="K1767" t="s">
        <v>179</v>
      </c>
      <c r="L1767" t="str">
        <f>_xlfn.XLOOKUP(C1767, Table2[Species],Table2[Genus], "Code Not Found")</f>
        <v>Lirodendron</v>
      </c>
      <c r="M1767" t="str">
        <f>_xlfn.XLOOKUP(C1767, Table2[Species],Table2[Sp. Name], "Code Not Found")</f>
        <v>tulipfera</v>
      </c>
      <c r="N1767" t="str">
        <f>_xlfn.XLOOKUP(C1767,Table2[Species],Table2[Family],"Code Not Found")</f>
        <v>Magnoliaceae</v>
      </c>
      <c r="O1767" t="str" cm="1">
        <f t="array" ref="O1767">_xlfn.IFS(F1767="","",F1767&lt;=5,"0 to 5",F1767&lt;=10,"5.1 to 10",F1767&lt;=20,"10 to 20", F1767&lt;= 40, "20 to 40", F1767 &lt;= 50, "40 to 50", F1767 &gt; 50, "&gt;50" )</f>
        <v>0 to 5</v>
      </c>
    </row>
    <row r="1768" spans="1:15" ht="15" customHeight="1" x14ac:dyDescent="0.3">
      <c r="A1768" t="s">
        <v>351</v>
      </c>
      <c r="B1768" s="1">
        <v>46202</v>
      </c>
      <c r="C1768" t="s">
        <v>24</v>
      </c>
      <c r="D1768">
        <v>1620</v>
      </c>
      <c r="E1768">
        <v>1</v>
      </c>
      <c r="F1768">
        <v>1.3</v>
      </c>
      <c r="G1768" t="s">
        <v>359</v>
      </c>
      <c r="I1768" t="str">
        <f t="shared" si="38"/>
        <v>1620_1</v>
      </c>
      <c r="J1768" t="s">
        <v>241</v>
      </c>
      <c r="K1768" t="s">
        <v>179</v>
      </c>
      <c r="L1768" t="str">
        <f>_xlfn.XLOOKUP(C1768, Table2[Species],Table2[Genus], "Code Not Found")</f>
        <v>Lirodendron</v>
      </c>
      <c r="M1768" t="str">
        <f>_xlfn.XLOOKUP(C1768, Table2[Species],Table2[Sp. Name], "Code Not Found")</f>
        <v>tulipfera</v>
      </c>
      <c r="N1768" t="str">
        <f>_xlfn.XLOOKUP(C1768,Table2[Species],Table2[Family],"Code Not Found")</f>
        <v>Magnoliaceae</v>
      </c>
      <c r="O1768" t="str" cm="1">
        <f t="array" ref="O1768">_xlfn.IFS(F1768="","",F1768&lt;=5,"0 to 5",F1768&lt;=10,"5.1 to 10",F1768&lt;=20,"10 to 20", F1768&lt;= 40, "20 to 40", F1768 &lt;= 50, "40 to 50", F1768 &gt; 50, "&gt;50" )</f>
        <v>0 to 5</v>
      </c>
    </row>
    <row r="1769" spans="1:15" ht="15" customHeight="1" x14ac:dyDescent="0.3">
      <c r="A1769" t="s">
        <v>351</v>
      </c>
      <c r="B1769" s="1">
        <v>46202</v>
      </c>
      <c r="C1769" t="s">
        <v>24</v>
      </c>
      <c r="D1769">
        <v>1621</v>
      </c>
      <c r="E1769">
        <v>1</v>
      </c>
      <c r="F1769">
        <v>1.1000000000000001</v>
      </c>
      <c r="G1769" t="s">
        <v>21</v>
      </c>
      <c r="I1769" t="str">
        <f t="shared" si="38"/>
        <v>1621_1</v>
      </c>
      <c r="J1769" t="s">
        <v>241</v>
      </c>
      <c r="K1769" t="s">
        <v>179</v>
      </c>
      <c r="L1769" t="str">
        <f>_xlfn.XLOOKUP(C1769, Table2[Species],Table2[Genus], "Code Not Found")</f>
        <v>Lirodendron</v>
      </c>
      <c r="M1769" t="str">
        <f>_xlfn.XLOOKUP(C1769, Table2[Species],Table2[Sp. Name], "Code Not Found")</f>
        <v>tulipfera</v>
      </c>
      <c r="N1769" t="str">
        <f>_xlfn.XLOOKUP(C1769,Table2[Species],Table2[Family],"Code Not Found")</f>
        <v>Magnoliaceae</v>
      </c>
      <c r="O1769" t="str" cm="1">
        <f t="array" ref="O1769">_xlfn.IFS(F1769="","",F1769&lt;=5,"0 to 5",F1769&lt;=10,"5.1 to 10",F1769&lt;=20,"10 to 20", F1769&lt;= 40, "20 to 40", F1769 &lt;= 50, "40 to 50", F1769 &gt; 50, "&gt;50" )</f>
        <v>0 to 5</v>
      </c>
    </row>
    <row r="1770" spans="1:15" ht="15" customHeight="1" x14ac:dyDescent="0.3">
      <c r="A1770" t="s">
        <v>351</v>
      </c>
      <c r="B1770" s="1">
        <v>46202</v>
      </c>
      <c r="C1770" t="s">
        <v>24</v>
      </c>
      <c r="D1770">
        <v>1622</v>
      </c>
      <c r="E1770">
        <v>1</v>
      </c>
      <c r="F1770">
        <v>1.7</v>
      </c>
      <c r="G1770" t="s">
        <v>359</v>
      </c>
      <c r="I1770" t="str">
        <f t="shared" si="38"/>
        <v>1622_1</v>
      </c>
      <c r="J1770" t="s">
        <v>241</v>
      </c>
      <c r="K1770" t="s">
        <v>179</v>
      </c>
      <c r="L1770" t="str">
        <f>_xlfn.XLOOKUP(C1770, Table2[Species],Table2[Genus], "Code Not Found")</f>
        <v>Lirodendron</v>
      </c>
      <c r="M1770" t="str">
        <f>_xlfn.XLOOKUP(C1770, Table2[Species],Table2[Sp. Name], "Code Not Found")</f>
        <v>tulipfera</v>
      </c>
      <c r="N1770" t="str">
        <f>_xlfn.XLOOKUP(C1770,Table2[Species],Table2[Family],"Code Not Found")</f>
        <v>Magnoliaceae</v>
      </c>
      <c r="O1770" t="str" cm="1">
        <f t="array" ref="O1770">_xlfn.IFS(F1770="","",F1770&lt;=5,"0 to 5",F1770&lt;=10,"5.1 to 10",F1770&lt;=20,"10 to 20", F1770&lt;= 40, "20 to 40", F1770 &lt;= 50, "40 to 50", F1770 &gt; 50, "&gt;50" )</f>
        <v>0 to 5</v>
      </c>
    </row>
    <row r="1771" spans="1:15" ht="15" customHeight="1" x14ac:dyDescent="0.3">
      <c r="A1771" t="s">
        <v>351</v>
      </c>
      <c r="B1771" s="1">
        <v>46202</v>
      </c>
      <c r="C1771" t="s">
        <v>24</v>
      </c>
      <c r="D1771">
        <v>1623</v>
      </c>
      <c r="E1771">
        <v>1</v>
      </c>
      <c r="F1771">
        <v>1.3</v>
      </c>
      <c r="G1771" t="s">
        <v>359</v>
      </c>
      <c r="I1771" t="str">
        <f t="shared" si="38"/>
        <v>1623_1</v>
      </c>
      <c r="J1771" t="s">
        <v>241</v>
      </c>
      <c r="K1771" t="s">
        <v>179</v>
      </c>
      <c r="L1771" t="str">
        <f>_xlfn.XLOOKUP(C1771, Table2[Species],Table2[Genus], "Code Not Found")</f>
        <v>Lirodendron</v>
      </c>
      <c r="M1771" t="str">
        <f>_xlfn.XLOOKUP(C1771, Table2[Species],Table2[Sp. Name], "Code Not Found")</f>
        <v>tulipfera</v>
      </c>
      <c r="N1771" t="str">
        <f>_xlfn.XLOOKUP(C1771,Table2[Species],Table2[Family],"Code Not Found")</f>
        <v>Magnoliaceae</v>
      </c>
      <c r="O1771" t="str" cm="1">
        <f t="array" ref="O1771">_xlfn.IFS(F1771="","",F1771&lt;=5,"0 to 5",F1771&lt;=10,"5.1 to 10",F1771&lt;=20,"10 to 20", F1771&lt;= 40, "20 to 40", F1771 &lt;= 50, "40 to 50", F1771 &gt; 50, "&gt;50" )</f>
        <v>0 to 5</v>
      </c>
    </row>
    <row r="1772" spans="1:15" ht="15" customHeight="1" x14ac:dyDescent="0.3">
      <c r="A1772" t="s">
        <v>351</v>
      </c>
      <c r="B1772" s="1">
        <v>46202</v>
      </c>
      <c r="C1772" t="s">
        <v>24</v>
      </c>
      <c r="D1772">
        <v>1624</v>
      </c>
      <c r="E1772">
        <v>1</v>
      </c>
      <c r="F1772">
        <v>1.2</v>
      </c>
      <c r="G1772" t="s">
        <v>359</v>
      </c>
      <c r="I1772" t="str">
        <f t="shared" si="38"/>
        <v>1624_1</v>
      </c>
      <c r="J1772" t="s">
        <v>241</v>
      </c>
      <c r="K1772" t="s">
        <v>179</v>
      </c>
      <c r="L1772" t="str">
        <f>_xlfn.XLOOKUP(C1772, Table2[Species],Table2[Genus], "Code Not Found")</f>
        <v>Lirodendron</v>
      </c>
      <c r="M1772" t="str">
        <f>_xlfn.XLOOKUP(C1772, Table2[Species],Table2[Sp. Name], "Code Not Found")</f>
        <v>tulipfera</v>
      </c>
      <c r="N1772" t="str">
        <f>_xlfn.XLOOKUP(C1772,Table2[Species],Table2[Family],"Code Not Found")</f>
        <v>Magnoliaceae</v>
      </c>
      <c r="O1772" t="str" cm="1">
        <f t="array" ref="O1772">_xlfn.IFS(F1772="","",F1772&lt;=5,"0 to 5",F1772&lt;=10,"5.1 to 10",F1772&lt;=20,"10 to 20", F1772&lt;= 40, "20 to 40", F1772 &lt;= 50, "40 to 50", F1772 &gt; 50, "&gt;50" )</f>
        <v>0 to 5</v>
      </c>
    </row>
    <row r="1773" spans="1:15" ht="15" customHeight="1" x14ac:dyDescent="0.3">
      <c r="A1773" t="s">
        <v>351</v>
      </c>
      <c r="B1773" s="1">
        <v>46202</v>
      </c>
      <c r="C1773" t="s">
        <v>24</v>
      </c>
      <c r="D1773">
        <v>1625</v>
      </c>
      <c r="E1773">
        <v>1</v>
      </c>
      <c r="F1773">
        <v>1.2</v>
      </c>
      <c r="G1773" t="s">
        <v>359</v>
      </c>
      <c r="I1773" t="str">
        <f t="shared" si="38"/>
        <v>1625_1</v>
      </c>
      <c r="J1773" t="s">
        <v>241</v>
      </c>
      <c r="K1773" t="s">
        <v>179</v>
      </c>
      <c r="L1773" t="str">
        <f>_xlfn.XLOOKUP(C1773, Table2[Species],Table2[Genus], "Code Not Found")</f>
        <v>Lirodendron</v>
      </c>
      <c r="M1773" t="str">
        <f>_xlfn.XLOOKUP(C1773, Table2[Species],Table2[Sp. Name], "Code Not Found")</f>
        <v>tulipfera</v>
      </c>
      <c r="N1773" t="str">
        <f>_xlfn.XLOOKUP(C1773,Table2[Species],Table2[Family],"Code Not Found")</f>
        <v>Magnoliaceae</v>
      </c>
      <c r="O1773" t="str" cm="1">
        <f t="array" ref="O1773">_xlfn.IFS(F1773="","",F1773&lt;=5,"0 to 5",F1773&lt;=10,"5.1 to 10",F1773&lt;=20,"10 to 20", F1773&lt;= 40, "20 to 40", F1773 &lt;= 50, "40 to 50", F1773 &gt; 50, "&gt;50" )</f>
        <v>0 to 5</v>
      </c>
    </row>
    <row r="1774" spans="1:15" ht="15" customHeight="1" x14ac:dyDescent="0.3">
      <c r="A1774" t="s">
        <v>351</v>
      </c>
      <c r="B1774" s="1">
        <v>46202</v>
      </c>
      <c r="C1774" t="s">
        <v>24</v>
      </c>
      <c r="D1774">
        <v>1626</v>
      </c>
      <c r="E1774">
        <v>1</v>
      </c>
      <c r="F1774">
        <v>1.6</v>
      </c>
      <c r="G1774" t="s">
        <v>30</v>
      </c>
      <c r="H1774" t="s">
        <v>372</v>
      </c>
      <c r="I1774" t="str">
        <f t="shared" ref="I1774:I1837" si="39">D1774&amp;"_"&amp;E1774</f>
        <v>1626_1</v>
      </c>
      <c r="J1774" t="s">
        <v>241</v>
      </c>
      <c r="K1774" t="s">
        <v>179</v>
      </c>
      <c r="L1774" t="str">
        <f>_xlfn.XLOOKUP(C1774, Table2[Species],Table2[Genus], "Code Not Found")</f>
        <v>Lirodendron</v>
      </c>
      <c r="M1774" t="str">
        <f>_xlfn.XLOOKUP(C1774, Table2[Species],Table2[Sp. Name], "Code Not Found")</f>
        <v>tulipfera</v>
      </c>
      <c r="N1774" t="str">
        <f>_xlfn.XLOOKUP(C1774,Table2[Species],Table2[Family],"Code Not Found")</f>
        <v>Magnoliaceae</v>
      </c>
      <c r="O1774" t="str" cm="1">
        <f t="array" ref="O1774">_xlfn.IFS(F1774="","",F1774&lt;=5,"0 to 5",F1774&lt;=10,"5.1 to 10",F1774&lt;=20,"10 to 20", F1774&lt;= 40, "20 to 40", F1774 &lt;= 50, "40 to 50", F1774 &gt; 50, "&gt;50" )</f>
        <v>0 to 5</v>
      </c>
    </row>
    <row r="1775" spans="1:15" ht="15" customHeight="1" x14ac:dyDescent="0.3">
      <c r="A1775" t="s">
        <v>351</v>
      </c>
      <c r="B1775" s="1">
        <v>46202</v>
      </c>
      <c r="C1775" t="s">
        <v>24</v>
      </c>
      <c r="D1775">
        <v>1627</v>
      </c>
      <c r="E1775">
        <v>1</v>
      </c>
      <c r="F1775">
        <v>1.5</v>
      </c>
      <c r="G1775" t="s">
        <v>359</v>
      </c>
      <c r="I1775" t="str">
        <f t="shared" si="39"/>
        <v>1627_1</v>
      </c>
      <c r="J1775" t="s">
        <v>241</v>
      </c>
      <c r="K1775" t="s">
        <v>179</v>
      </c>
      <c r="L1775" t="str">
        <f>_xlfn.XLOOKUP(C1775, Table2[Species],Table2[Genus], "Code Not Found")</f>
        <v>Lirodendron</v>
      </c>
      <c r="M1775" t="str">
        <f>_xlfn.XLOOKUP(C1775, Table2[Species],Table2[Sp. Name], "Code Not Found")</f>
        <v>tulipfera</v>
      </c>
      <c r="N1775" t="str">
        <f>_xlfn.XLOOKUP(C1775,Table2[Species],Table2[Family],"Code Not Found")</f>
        <v>Magnoliaceae</v>
      </c>
      <c r="O1775" t="str" cm="1">
        <f t="array" ref="O1775">_xlfn.IFS(F1775="","",F1775&lt;=5,"0 to 5",F1775&lt;=10,"5.1 to 10",F1775&lt;=20,"10 to 20", F1775&lt;= 40, "20 to 40", F1775 &lt;= 50, "40 to 50", F1775 &gt; 50, "&gt;50" )</f>
        <v>0 to 5</v>
      </c>
    </row>
    <row r="1776" spans="1:15" ht="15" customHeight="1" x14ac:dyDescent="0.3">
      <c r="A1776" t="s">
        <v>351</v>
      </c>
      <c r="B1776" s="1">
        <v>46202</v>
      </c>
      <c r="C1776" t="s">
        <v>24</v>
      </c>
      <c r="D1776">
        <v>1628</v>
      </c>
      <c r="E1776">
        <v>1</v>
      </c>
      <c r="F1776">
        <v>1.6</v>
      </c>
      <c r="G1776" t="s">
        <v>359</v>
      </c>
      <c r="I1776" t="str">
        <f t="shared" si="39"/>
        <v>1628_1</v>
      </c>
      <c r="J1776" t="s">
        <v>241</v>
      </c>
      <c r="K1776" t="s">
        <v>179</v>
      </c>
      <c r="L1776" t="str">
        <f>_xlfn.XLOOKUP(C1776, Table2[Species],Table2[Genus], "Code Not Found")</f>
        <v>Lirodendron</v>
      </c>
      <c r="M1776" t="str">
        <f>_xlfn.XLOOKUP(C1776, Table2[Species],Table2[Sp. Name], "Code Not Found")</f>
        <v>tulipfera</v>
      </c>
      <c r="N1776" t="str">
        <f>_xlfn.XLOOKUP(C1776,Table2[Species],Table2[Family],"Code Not Found")</f>
        <v>Magnoliaceae</v>
      </c>
      <c r="O1776" t="str" cm="1">
        <f t="array" ref="O1776">_xlfn.IFS(F1776="","",F1776&lt;=5,"0 to 5",F1776&lt;=10,"5.1 to 10",F1776&lt;=20,"10 to 20", F1776&lt;= 40, "20 to 40", F1776 &lt;= 50, "40 to 50", F1776 &gt; 50, "&gt;50" )</f>
        <v>0 to 5</v>
      </c>
    </row>
    <row r="1777" spans="1:15" ht="15" customHeight="1" x14ac:dyDescent="0.3">
      <c r="A1777" t="s">
        <v>351</v>
      </c>
      <c r="B1777" s="1">
        <v>46202</v>
      </c>
      <c r="C1777" t="s">
        <v>24</v>
      </c>
      <c r="D1777">
        <v>1629</v>
      </c>
      <c r="E1777">
        <v>1</v>
      </c>
      <c r="F1777">
        <v>1</v>
      </c>
      <c r="G1777" t="s">
        <v>359</v>
      </c>
      <c r="I1777" t="str">
        <f t="shared" si="39"/>
        <v>1629_1</v>
      </c>
      <c r="J1777" t="s">
        <v>241</v>
      </c>
      <c r="K1777" t="s">
        <v>179</v>
      </c>
      <c r="L1777" t="str">
        <f>_xlfn.XLOOKUP(C1777, Table2[Species],Table2[Genus], "Code Not Found")</f>
        <v>Lirodendron</v>
      </c>
      <c r="M1777" t="str">
        <f>_xlfn.XLOOKUP(C1777, Table2[Species],Table2[Sp. Name], "Code Not Found")</f>
        <v>tulipfera</v>
      </c>
      <c r="N1777" t="str">
        <f>_xlfn.XLOOKUP(C1777,Table2[Species],Table2[Family],"Code Not Found")</f>
        <v>Magnoliaceae</v>
      </c>
      <c r="O1777" t="str" cm="1">
        <f t="array" ref="O1777">_xlfn.IFS(F1777="","",F1777&lt;=5,"0 to 5",F1777&lt;=10,"5.1 to 10",F1777&lt;=20,"10 to 20", F1777&lt;= 40, "20 to 40", F1777 &lt;= 50, "40 to 50", F1777 &gt; 50, "&gt;50" )</f>
        <v>0 to 5</v>
      </c>
    </row>
    <row r="1778" spans="1:15" ht="15" customHeight="1" x14ac:dyDescent="0.3">
      <c r="A1778" t="s">
        <v>351</v>
      </c>
      <c r="B1778" s="1">
        <v>46202</v>
      </c>
      <c r="C1778" t="s">
        <v>24</v>
      </c>
      <c r="D1778">
        <v>1630</v>
      </c>
      <c r="E1778">
        <v>1</v>
      </c>
      <c r="F1778">
        <v>1.1000000000000001</v>
      </c>
      <c r="G1778" t="s">
        <v>359</v>
      </c>
      <c r="I1778" t="str">
        <f t="shared" si="39"/>
        <v>1630_1</v>
      </c>
      <c r="J1778" t="s">
        <v>241</v>
      </c>
      <c r="K1778" t="s">
        <v>179</v>
      </c>
      <c r="L1778" t="str">
        <f>_xlfn.XLOOKUP(C1778, Table2[Species],Table2[Genus], "Code Not Found")</f>
        <v>Lirodendron</v>
      </c>
      <c r="M1778" t="str">
        <f>_xlfn.XLOOKUP(C1778, Table2[Species],Table2[Sp. Name], "Code Not Found")</f>
        <v>tulipfera</v>
      </c>
      <c r="N1778" t="str">
        <f>_xlfn.XLOOKUP(C1778,Table2[Species],Table2[Family],"Code Not Found")</f>
        <v>Magnoliaceae</v>
      </c>
      <c r="O1778" t="str" cm="1">
        <f t="array" ref="O1778">_xlfn.IFS(F1778="","",F1778&lt;=5,"0 to 5",F1778&lt;=10,"5.1 to 10",F1778&lt;=20,"10 to 20", F1778&lt;= 40, "20 to 40", F1778 &lt;= 50, "40 to 50", F1778 &gt; 50, "&gt;50" )</f>
        <v>0 to 5</v>
      </c>
    </row>
    <row r="1779" spans="1:15" ht="15" customHeight="1" x14ac:dyDescent="0.3">
      <c r="A1779" t="s">
        <v>351</v>
      </c>
      <c r="B1779" s="1">
        <v>46202</v>
      </c>
      <c r="C1779" t="s">
        <v>24</v>
      </c>
      <c r="D1779">
        <v>1631</v>
      </c>
      <c r="E1779">
        <v>1</v>
      </c>
      <c r="F1779">
        <v>1.7</v>
      </c>
      <c r="G1779" t="s">
        <v>359</v>
      </c>
      <c r="I1779" t="str">
        <f t="shared" si="39"/>
        <v>1631_1</v>
      </c>
      <c r="J1779" t="s">
        <v>241</v>
      </c>
      <c r="K1779" t="s">
        <v>179</v>
      </c>
      <c r="L1779" t="str">
        <f>_xlfn.XLOOKUP(C1779, Table2[Species],Table2[Genus], "Code Not Found")</f>
        <v>Lirodendron</v>
      </c>
      <c r="M1779" t="str">
        <f>_xlfn.XLOOKUP(C1779, Table2[Species],Table2[Sp. Name], "Code Not Found")</f>
        <v>tulipfera</v>
      </c>
      <c r="N1779" t="str">
        <f>_xlfn.XLOOKUP(C1779,Table2[Species],Table2[Family],"Code Not Found")</f>
        <v>Magnoliaceae</v>
      </c>
      <c r="O1779" t="str" cm="1">
        <f t="array" ref="O1779">_xlfn.IFS(F1779="","",F1779&lt;=5,"0 to 5",F1779&lt;=10,"5.1 to 10",F1779&lt;=20,"10 to 20", F1779&lt;= 40, "20 to 40", F1779 &lt;= 50, "40 to 50", F1779 &gt; 50, "&gt;50" )</f>
        <v>0 to 5</v>
      </c>
    </row>
    <row r="1780" spans="1:15" ht="15" customHeight="1" x14ac:dyDescent="0.3">
      <c r="A1780" t="s">
        <v>351</v>
      </c>
      <c r="B1780" s="1">
        <v>46202</v>
      </c>
      <c r="C1780" t="s">
        <v>24</v>
      </c>
      <c r="D1780">
        <v>1632</v>
      </c>
      <c r="E1780">
        <v>1</v>
      </c>
      <c r="F1780">
        <v>1.3</v>
      </c>
      <c r="G1780" t="s">
        <v>359</v>
      </c>
      <c r="I1780" t="str">
        <f t="shared" si="39"/>
        <v>1632_1</v>
      </c>
      <c r="J1780" t="s">
        <v>241</v>
      </c>
      <c r="K1780" t="s">
        <v>179</v>
      </c>
      <c r="L1780" t="str">
        <f>_xlfn.XLOOKUP(C1780, Table2[Species],Table2[Genus], "Code Not Found")</f>
        <v>Lirodendron</v>
      </c>
      <c r="M1780" t="str">
        <f>_xlfn.XLOOKUP(C1780, Table2[Species],Table2[Sp. Name], "Code Not Found")</f>
        <v>tulipfera</v>
      </c>
      <c r="N1780" t="str">
        <f>_xlfn.XLOOKUP(C1780,Table2[Species],Table2[Family],"Code Not Found")</f>
        <v>Magnoliaceae</v>
      </c>
      <c r="O1780" t="str" cm="1">
        <f t="array" ref="O1780">_xlfn.IFS(F1780="","",F1780&lt;=5,"0 to 5",F1780&lt;=10,"5.1 to 10",F1780&lt;=20,"10 to 20", F1780&lt;= 40, "20 to 40", F1780 &lt;= 50, "40 to 50", F1780 &gt; 50, "&gt;50" )</f>
        <v>0 to 5</v>
      </c>
    </row>
    <row r="1781" spans="1:15" ht="15" customHeight="1" x14ac:dyDescent="0.3">
      <c r="A1781" t="s">
        <v>351</v>
      </c>
      <c r="B1781" s="1">
        <v>46202</v>
      </c>
      <c r="C1781" t="s">
        <v>24</v>
      </c>
      <c r="D1781">
        <v>1633</v>
      </c>
      <c r="E1781">
        <v>1</v>
      </c>
      <c r="F1781">
        <v>1.3</v>
      </c>
      <c r="G1781" t="s">
        <v>359</v>
      </c>
      <c r="I1781" t="str">
        <f t="shared" si="39"/>
        <v>1633_1</v>
      </c>
      <c r="J1781" t="s">
        <v>241</v>
      </c>
      <c r="K1781" t="s">
        <v>179</v>
      </c>
      <c r="L1781" t="str">
        <f>_xlfn.XLOOKUP(C1781, Table2[Species],Table2[Genus], "Code Not Found")</f>
        <v>Lirodendron</v>
      </c>
      <c r="M1781" t="str">
        <f>_xlfn.XLOOKUP(C1781, Table2[Species],Table2[Sp. Name], "Code Not Found")</f>
        <v>tulipfera</v>
      </c>
      <c r="N1781" t="str">
        <f>_xlfn.XLOOKUP(C1781,Table2[Species],Table2[Family],"Code Not Found")</f>
        <v>Magnoliaceae</v>
      </c>
      <c r="O1781" t="str" cm="1">
        <f t="array" ref="O1781">_xlfn.IFS(F1781="","",F1781&lt;=5,"0 to 5",F1781&lt;=10,"5.1 to 10",F1781&lt;=20,"10 to 20", F1781&lt;= 40, "20 to 40", F1781 &lt;= 50, "40 to 50", F1781 &gt; 50, "&gt;50" )</f>
        <v>0 to 5</v>
      </c>
    </row>
    <row r="1782" spans="1:15" ht="15" customHeight="1" x14ac:dyDescent="0.3">
      <c r="A1782" t="s">
        <v>351</v>
      </c>
      <c r="B1782" s="1">
        <v>46202</v>
      </c>
      <c r="C1782" t="s">
        <v>24</v>
      </c>
      <c r="D1782">
        <v>1634</v>
      </c>
      <c r="E1782">
        <v>1</v>
      </c>
      <c r="F1782">
        <v>1.4</v>
      </c>
      <c r="G1782" t="s">
        <v>359</v>
      </c>
      <c r="I1782" t="str">
        <f t="shared" si="39"/>
        <v>1634_1</v>
      </c>
      <c r="J1782" t="s">
        <v>241</v>
      </c>
      <c r="K1782" t="s">
        <v>179</v>
      </c>
      <c r="L1782" t="str">
        <f>_xlfn.XLOOKUP(C1782, Table2[Species],Table2[Genus], "Code Not Found")</f>
        <v>Lirodendron</v>
      </c>
      <c r="M1782" t="str">
        <f>_xlfn.XLOOKUP(C1782, Table2[Species],Table2[Sp. Name], "Code Not Found")</f>
        <v>tulipfera</v>
      </c>
      <c r="N1782" t="str">
        <f>_xlfn.XLOOKUP(C1782,Table2[Species],Table2[Family],"Code Not Found")</f>
        <v>Magnoliaceae</v>
      </c>
      <c r="O1782" t="str" cm="1">
        <f t="array" ref="O1782">_xlfn.IFS(F1782="","",F1782&lt;=5,"0 to 5",F1782&lt;=10,"5.1 to 10",F1782&lt;=20,"10 to 20", F1782&lt;= 40, "20 to 40", F1782 &lt;= 50, "40 to 50", F1782 &gt; 50, "&gt;50" )</f>
        <v>0 to 5</v>
      </c>
    </row>
    <row r="1783" spans="1:15" ht="15" customHeight="1" x14ac:dyDescent="0.3">
      <c r="A1783" t="s">
        <v>351</v>
      </c>
      <c r="B1783" s="1">
        <v>46202</v>
      </c>
      <c r="C1783" t="s">
        <v>24</v>
      </c>
      <c r="D1783">
        <v>1635</v>
      </c>
      <c r="E1783">
        <v>1</v>
      </c>
      <c r="F1783">
        <v>1.5</v>
      </c>
      <c r="G1783" t="s">
        <v>359</v>
      </c>
      <c r="I1783" t="str">
        <f t="shared" si="39"/>
        <v>1635_1</v>
      </c>
      <c r="J1783" t="s">
        <v>241</v>
      </c>
      <c r="K1783" t="s">
        <v>179</v>
      </c>
      <c r="L1783" t="str">
        <f>_xlfn.XLOOKUP(C1783, Table2[Species],Table2[Genus], "Code Not Found")</f>
        <v>Lirodendron</v>
      </c>
      <c r="M1783" t="str">
        <f>_xlfn.XLOOKUP(C1783, Table2[Species],Table2[Sp. Name], "Code Not Found")</f>
        <v>tulipfera</v>
      </c>
      <c r="N1783" t="str">
        <f>_xlfn.XLOOKUP(C1783,Table2[Species],Table2[Family],"Code Not Found")</f>
        <v>Magnoliaceae</v>
      </c>
      <c r="O1783" t="str" cm="1">
        <f t="array" ref="O1783">_xlfn.IFS(F1783="","",F1783&lt;=5,"0 to 5",F1783&lt;=10,"5.1 to 10",F1783&lt;=20,"10 to 20", F1783&lt;= 40, "20 to 40", F1783 &lt;= 50, "40 to 50", F1783 &gt; 50, "&gt;50" )</f>
        <v>0 to 5</v>
      </c>
    </row>
    <row r="1784" spans="1:15" ht="15" customHeight="1" x14ac:dyDescent="0.3">
      <c r="A1784" t="s">
        <v>351</v>
      </c>
      <c r="B1784" s="1">
        <v>46202</v>
      </c>
      <c r="C1784" t="s">
        <v>24</v>
      </c>
      <c r="D1784">
        <v>1636</v>
      </c>
      <c r="E1784">
        <v>1</v>
      </c>
      <c r="F1784">
        <v>1.2</v>
      </c>
      <c r="G1784" t="s">
        <v>359</v>
      </c>
      <c r="I1784" t="str">
        <f t="shared" si="39"/>
        <v>1636_1</v>
      </c>
      <c r="J1784" t="s">
        <v>241</v>
      </c>
      <c r="K1784" t="s">
        <v>179</v>
      </c>
      <c r="L1784" t="str">
        <f>_xlfn.XLOOKUP(C1784, Table2[Species],Table2[Genus], "Code Not Found")</f>
        <v>Lirodendron</v>
      </c>
      <c r="M1784" t="str">
        <f>_xlfn.XLOOKUP(C1784, Table2[Species],Table2[Sp. Name], "Code Not Found")</f>
        <v>tulipfera</v>
      </c>
      <c r="N1784" t="str">
        <f>_xlfn.XLOOKUP(C1784,Table2[Species],Table2[Family],"Code Not Found")</f>
        <v>Magnoliaceae</v>
      </c>
      <c r="O1784" t="str" cm="1">
        <f t="array" ref="O1784">_xlfn.IFS(F1784="","",F1784&lt;=5,"0 to 5",F1784&lt;=10,"5.1 to 10",F1784&lt;=20,"10 to 20", F1784&lt;= 40, "20 to 40", F1784 &lt;= 50, "40 to 50", F1784 &gt; 50, "&gt;50" )</f>
        <v>0 to 5</v>
      </c>
    </row>
    <row r="1785" spans="1:15" ht="15" customHeight="1" x14ac:dyDescent="0.3">
      <c r="A1785" t="s">
        <v>351</v>
      </c>
      <c r="B1785" s="1">
        <v>46202</v>
      </c>
      <c r="C1785" t="s">
        <v>24</v>
      </c>
      <c r="D1785">
        <v>1637</v>
      </c>
      <c r="E1785">
        <v>1</v>
      </c>
      <c r="F1785">
        <v>1.3</v>
      </c>
      <c r="G1785" t="s">
        <v>359</v>
      </c>
      <c r="I1785" t="str">
        <f t="shared" si="39"/>
        <v>1637_1</v>
      </c>
      <c r="J1785" t="s">
        <v>241</v>
      </c>
      <c r="K1785" t="s">
        <v>179</v>
      </c>
      <c r="L1785" t="str">
        <f>_xlfn.XLOOKUP(C1785, Table2[Species],Table2[Genus], "Code Not Found")</f>
        <v>Lirodendron</v>
      </c>
      <c r="M1785" t="str">
        <f>_xlfn.XLOOKUP(C1785, Table2[Species],Table2[Sp. Name], "Code Not Found")</f>
        <v>tulipfera</v>
      </c>
      <c r="N1785" t="str">
        <f>_xlfn.XLOOKUP(C1785,Table2[Species],Table2[Family],"Code Not Found")</f>
        <v>Magnoliaceae</v>
      </c>
      <c r="O1785" t="str" cm="1">
        <f t="array" ref="O1785">_xlfn.IFS(F1785="","",F1785&lt;=5,"0 to 5",F1785&lt;=10,"5.1 to 10",F1785&lt;=20,"10 to 20", F1785&lt;= 40, "20 to 40", F1785 &lt;= 50, "40 to 50", F1785 &gt; 50, "&gt;50" )</f>
        <v>0 to 5</v>
      </c>
    </row>
    <row r="1786" spans="1:15" ht="15" customHeight="1" x14ac:dyDescent="0.3">
      <c r="A1786" t="s">
        <v>351</v>
      </c>
      <c r="B1786" s="1">
        <v>46202</v>
      </c>
      <c r="C1786" t="s">
        <v>24</v>
      </c>
      <c r="D1786">
        <v>1638</v>
      </c>
      <c r="E1786">
        <v>1</v>
      </c>
      <c r="F1786">
        <v>1.9</v>
      </c>
      <c r="G1786" t="s">
        <v>359</v>
      </c>
      <c r="I1786" t="str">
        <f t="shared" si="39"/>
        <v>1638_1</v>
      </c>
      <c r="J1786" t="s">
        <v>241</v>
      </c>
      <c r="K1786" t="s">
        <v>179</v>
      </c>
      <c r="L1786" t="str">
        <f>_xlfn.XLOOKUP(C1786, Table2[Species],Table2[Genus], "Code Not Found")</f>
        <v>Lirodendron</v>
      </c>
      <c r="M1786" t="str">
        <f>_xlfn.XLOOKUP(C1786, Table2[Species],Table2[Sp. Name], "Code Not Found")</f>
        <v>tulipfera</v>
      </c>
      <c r="N1786" t="str">
        <f>_xlfn.XLOOKUP(C1786,Table2[Species],Table2[Family],"Code Not Found")</f>
        <v>Magnoliaceae</v>
      </c>
      <c r="O1786" t="str" cm="1">
        <f t="array" ref="O1786">_xlfn.IFS(F1786="","",F1786&lt;=5,"0 to 5",F1786&lt;=10,"5.1 to 10",F1786&lt;=20,"10 to 20", F1786&lt;= 40, "20 to 40", F1786 &lt;= 50, "40 to 50", F1786 &gt; 50, "&gt;50" )</f>
        <v>0 to 5</v>
      </c>
    </row>
    <row r="1787" spans="1:15" ht="15" customHeight="1" x14ac:dyDescent="0.3">
      <c r="A1787" t="s">
        <v>351</v>
      </c>
      <c r="B1787" s="1">
        <v>46202</v>
      </c>
      <c r="C1787" t="s">
        <v>24</v>
      </c>
      <c r="D1787">
        <v>1639</v>
      </c>
      <c r="E1787">
        <v>1</v>
      </c>
      <c r="F1787">
        <v>1.3</v>
      </c>
      <c r="G1787" t="s">
        <v>359</v>
      </c>
      <c r="I1787" t="str">
        <f t="shared" si="39"/>
        <v>1639_1</v>
      </c>
      <c r="J1787" t="s">
        <v>241</v>
      </c>
      <c r="K1787" t="s">
        <v>179</v>
      </c>
      <c r="L1787" t="str">
        <f>_xlfn.XLOOKUP(C1787, Table2[Species],Table2[Genus], "Code Not Found")</f>
        <v>Lirodendron</v>
      </c>
      <c r="M1787" t="str">
        <f>_xlfn.XLOOKUP(C1787, Table2[Species],Table2[Sp. Name], "Code Not Found")</f>
        <v>tulipfera</v>
      </c>
      <c r="N1787" t="str">
        <f>_xlfn.XLOOKUP(C1787,Table2[Species],Table2[Family],"Code Not Found")</f>
        <v>Magnoliaceae</v>
      </c>
      <c r="O1787" t="str" cm="1">
        <f t="array" ref="O1787">_xlfn.IFS(F1787="","",F1787&lt;=5,"0 to 5",F1787&lt;=10,"5.1 to 10",F1787&lt;=20,"10 to 20", F1787&lt;= 40, "20 to 40", F1787 &lt;= 50, "40 to 50", F1787 &gt; 50, "&gt;50" )</f>
        <v>0 to 5</v>
      </c>
    </row>
    <row r="1788" spans="1:15" ht="15" customHeight="1" x14ac:dyDescent="0.3">
      <c r="A1788" t="s">
        <v>351</v>
      </c>
      <c r="B1788" s="1">
        <v>46202</v>
      </c>
      <c r="C1788" t="s">
        <v>24</v>
      </c>
      <c r="D1788">
        <v>1640</v>
      </c>
      <c r="E1788">
        <v>1</v>
      </c>
      <c r="F1788">
        <v>1.6</v>
      </c>
      <c r="G1788" t="s">
        <v>359</v>
      </c>
      <c r="I1788" t="str">
        <f t="shared" si="39"/>
        <v>1640_1</v>
      </c>
      <c r="J1788" t="s">
        <v>241</v>
      </c>
      <c r="K1788" t="s">
        <v>179</v>
      </c>
      <c r="L1788" t="str">
        <f>_xlfn.XLOOKUP(C1788, Table2[Species],Table2[Genus], "Code Not Found")</f>
        <v>Lirodendron</v>
      </c>
      <c r="M1788" t="str">
        <f>_xlfn.XLOOKUP(C1788, Table2[Species],Table2[Sp. Name], "Code Not Found")</f>
        <v>tulipfera</v>
      </c>
      <c r="N1788" t="str">
        <f>_xlfn.XLOOKUP(C1788,Table2[Species],Table2[Family],"Code Not Found")</f>
        <v>Magnoliaceae</v>
      </c>
      <c r="O1788" t="str" cm="1">
        <f t="array" ref="O1788">_xlfn.IFS(F1788="","",F1788&lt;=5,"0 to 5",F1788&lt;=10,"5.1 to 10",F1788&lt;=20,"10 to 20", F1788&lt;= 40, "20 to 40", F1788 &lt;= 50, "40 to 50", F1788 &gt; 50, "&gt;50" )</f>
        <v>0 to 5</v>
      </c>
    </row>
    <row r="1789" spans="1:15" ht="15" customHeight="1" x14ac:dyDescent="0.3">
      <c r="A1789" t="s">
        <v>351</v>
      </c>
      <c r="B1789" s="1">
        <v>46202</v>
      </c>
      <c r="C1789" t="s">
        <v>16</v>
      </c>
      <c r="D1789">
        <v>1641</v>
      </c>
      <c r="E1789">
        <v>1</v>
      </c>
      <c r="F1789">
        <v>50.4</v>
      </c>
      <c r="G1789" t="s">
        <v>21</v>
      </c>
      <c r="I1789" t="str">
        <f t="shared" si="39"/>
        <v>1641_1</v>
      </c>
      <c r="J1789" t="s">
        <v>241</v>
      </c>
      <c r="K1789" t="s">
        <v>179</v>
      </c>
      <c r="L1789" t="str">
        <f>_xlfn.XLOOKUP(C1789, Table2[Species],Table2[Genus], "Code Not Found")</f>
        <v>Acer</v>
      </c>
      <c r="M1789" t="str">
        <f>_xlfn.XLOOKUP(C1789, Table2[Species],Table2[Sp. Name], "Code Not Found")</f>
        <v>saccharum</v>
      </c>
      <c r="N1789" t="str">
        <f>_xlfn.XLOOKUP(C1789,Table2[Species],Table2[Family],"Code Not Found")</f>
        <v>Sapindaceae</v>
      </c>
      <c r="O1789" t="str" cm="1">
        <f t="array" ref="O1789">_xlfn.IFS(F1789="","",F1789&lt;=5,"0 to 5",F1789&lt;=10,"5.1 to 10",F1789&lt;=20,"10 to 20", F1789&lt;= 40, "20 to 40", F1789 &lt;= 50, "40 to 50", F1789 &gt; 50, "&gt;50" )</f>
        <v>&gt;50</v>
      </c>
    </row>
    <row r="1790" spans="1:15" ht="15" customHeight="1" x14ac:dyDescent="0.3">
      <c r="A1790" t="s">
        <v>351</v>
      </c>
      <c r="B1790" s="1">
        <v>46202</v>
      </c>
      <c r="C1790" t="s">
        <v>24</v>
      </c>
      <c r="D1790">
        <v>1642</v>
      </c>
      <c r="E1790">
        <v>1</v>
      </c>
      <c r="F1790">
        <v>1.6</v>
      </c>
      <c r="G1790" t="s">
        <v>359</v>
      </c>
      <c r="I1790" t="str">
        <f t="shared" si="39"/>
        <v>1642_1</v>
      </c>
      <c r="J1790" t="s">
        <v>241</v>
      </c>
      <c r="K1790" t="s">
        <v>179</v>
      </c>
      <c r="L1790" t="str">
        <f>_xlfn.XLOOKUP(C1790, Table2[Species],Table2[Genus], "Code Not Found")</f>
        <v>Lirodendron</v>
      </c>
      <c r="M1790" t="str">
        <f>_xlfn.XLOOKUP(C1790, Table2[Species],Table2[Sp. Name], "Code Not Found")</f>
        <v>tulipfera</v>
      </c>
      <c r="N1790" t="str">
        <f>_xlfn.XLOOKUP(C1790,Table2[Species],Table2[Family],"Code Not Found")</f>
        <v>Magnoliaceae</v>
      </c>
      <c r="O1790" t="str" cm="1">
        <f t="array" ref="O1790">_xlfn.IFS(F1790="","",F1790&lt;=5,"0 to 5",F1790&lt;=10,"5.1 to 10",F1790&lt;=20,"10 to 20", F1790&lt;= 40, "20 to 40", F1790 &lt;= 50, "40 to 50", F1790 &gt; 50, "&gt;50" )</f>
        <v>0 to 5</v>
      </c>
    </row>
    <row r="1791" spans="1:15" ht="15" customHeight="1" x14ac:dyDescent="0.3">
      <c r="A1791" t="s">
        <v>351</v>
      </c>
      <c r="B1791" s="1">
        <v>46202</v>
      </c>
      <c r="C1791" t="s">
        <v>24</v>
      </c>
      <c r="D1791">
        <v>1643</v>
      </c>
      <c r="E1791">
        <v>1</v>
      </c>
      <c r="F1791">
        <v>1.3</v>
      </c>
      <c r="G1791" t="s">
        <v>359</v>
      </c>
      <c r="I1791" t="str">
        <f t="shared" si="39"/>
        <v>1643_1</v>
      </c>
      <c r="J1791" t="s">
        <v>241</v>
      </c>
      <c r="K1791" t="s">
        <v>179</v>
      </c>
      <c r="L1791" t="str">
        <f>_xlfn.XLOOKUP(C1791, Table2[Species],Table2[Genus], "Code Not Found")</f>
        <v>Lirodendron</v>
      </c>
      <c r="M1791" t="str">
        <f>_xlfn.XLOOKUP(C1791, Table2[Species],Table2[Sp. Name], "Code Not Found")</f>
        <v>tulipfera</v>
      </c>
      <c r="N1791" t="str">
        <f>_xlfn.XLOOKUP(C1791,Table2[Species],Table2[Family],"Code Not Found")</f>
        <v>Magnoliaceae</v>
      </c>
      <c r="O1791" t="str" cm="1">
        <f t="array" ref="O1791">_xlfn.IFS(F1791="","",F1791&lt;=5,"0 to 5",F1791&lt;=10,"5.1 to 10",F1791&lt;=20,"10 to 20", F1791&lt;= 40, "20 to 40", F1791 &lt;= 50, "40 to 50", F1791 &gt; 50, "&gt;50" )</f>
        <v>0 to 5</v>
      </c>
    </row>
    <row r="1792" spans="1:15" ht="15" customHeight="1" x14ac:dyDescent="0.3">
      <c r="A1792" t="s">
        <v>351</v>
      </c>
      <c r="B1792" s="1">
        <v>46202</v>
      </c>
      <c r="C1792" t="s">
        <v>24</v>
      </c>
      <c r="D1792">
        <v>1644</v>
      </c>
      <c r="E1792">
        <v>1</v>
      </c>
      <c r="F1792">
        <v>1.2</v>
      </c>
      <c r="G1792" t="s">
        <v>368</v>
      </c>
      <c r="I1792" t="str">
        <f t="shared" si="39"/>
        <v>1644_1</v>
      </c>
      <c r="J1792" t="s">
        <v>241</v>
      </c>
      <c r="K1792" t="s">
        <v>179</v>
      </c>
      <c r="L1792" t="str">
        <f>_xlfn.XLOOKUP(C1792, Table2[Species],Table2[Genus], "Code Not Found")</f>
        <v>Lirodendron</v>
      </c>
      <c r="M1792" t="str">
        <f>_xlfn.XLOOKUP(C1792, Table2[Species],Table2[Sp. Name], "Code Not Found")</f>
        <v>tulipfera</v>
      </c>
      <c r="N1792" t="str">
        <f>_xlfn.XLOOKUP(C1792,Table2[Species],Table2[Family],"Code Not Found")</f>
        <v>Magnoliaceae</v>
      </c>
      <c r="O1792" t="str" cm="1">
        <f t="array" ref="O1792">_xlfn.IFS(F1792="","",F1792&lt;=5,"0 to 5",F1792&lt;=10,"5.1 to 10",F1792&lt;=20,"10 to 20", F1792&lt;= 40, "20 to 40", F1792 &lt;= 50, "40 to 50", F1792 &gt; 50, "&gt;50" )</f>
        <v>0 to 5</v>
      </c>
    </row>
    <row r="1793" spans="1:15" ht="15" customHeight="1" x14ac:dyDescent="0.3">
      <c r="A1793" t="s">
        <v>351</v>
      </c>
      <c r="B1793" s="1">
        <v>46202</v>
      </c>
      <c r="C1793" t="s">
        <v>24</v>
      </c>
      <c r="D1793">
        <v>1645</v>
      </c>
      <c r="E1793">
        <v>1</v>
      </c>
      <c r="F1793">
        <v>1.1000000000000001</v>
      </c>
      <c r="G1793" t="s">
        <v>359</v>
      </c>
      <c r="I1793" t="str">
        <f t="shared" si="39"/>
        <v>1645_1</v>
      </c>
      <c r="J1793" t="s">
        <v>241</v>
      </c>
      <c r="K1793" t="s">
        <v>179</v>
      </c>
      <c r="L1793" t="str">
        <f>_xlfn.XLOOKUP(C1793, Table2[Species],Table2[Genus], "Code Not Found")</f>
        <v>Lirodendron</v>
      </c>
      <c r="M1793" t="str">
        <f>_xlfn.XLOOKUP(C1793, Table2[Species],Table2[Sp. Name], "Code Not Found")</f>
        <v>tulipfera</v>
      </c>
      <c r="N1793" t="str">
        <f>_xlfn.XLOOKUP(C1793,Table2[Species],Table2[Family],"Code Not Found")</f>
        <v>Magnoliaceae</v>
      </c>
      <c r="O1793" t="str" cm="1">
        <f t="array" ref="O1793">_xlfn.IFS(F1793="","",F1793&lt;=5,"0 to 5",F1793&lt;=10,"5.1 to 10",F1793&lt;=20,"10 to 20", F1793&lt;= 40, "20 to 40", F1793 &lt;= 50, "40 to 50", F1793 &gt; 50, "&gt;50" )</f>
        <v>0 to 5</v>
      </c>
    </row>
    <row r="1794" spans="1:15" ht="15" customHeight="1" x14ac:dyDescent="0.3">
      <c r="A1794" t="s">
        <v>351</v>
      </c>
      <c r="B1794" s="1">
        <v>46202</v>
      </c>
      <c r="C1794" t="s">
        <v>24</v>
      </c>
      <c r="D1794">
        <v>1646</v>
      </c>
      <c r="E1794">
        <v>1</v>
      </c>
      <c r="F1794">
        <v>1.1000000000000001</v>
      </c>
      <c r="G1794" t="s">
        <v>21</v>
      </c>
      <c r="I1794" t="str">
        <f t="shared" si="39"/>
        <v>1646_1</v>
      </c>
      <c r="J1794" t="s">
        <v>241</v>
      </c>
      <c r="K1794" t="s">
        <v>179</v>
      </c>
      <c r="L1794" t="str">
        <f>_xlfn.XLOOKUP(C1794, Table2[Species],Table2[Genus], "Code Not Found")</f>
        <v>Lirodendron</v>
      </c>
      <c r="M1794" t="str">
        <f>_xlfn.XLOOKUP(C1794, Table2[Species],Table2[Sp. Name], "Code Not Found")</f>
        <v>tulipfera</v>
      </c>
      <c r="N1794" t="str">
        <f>_xlfn.XLOOKUP(C1794,Table2[Species],Table2[Family],"Code Not Found")</f>
        <v>Magnoliaceae</v>
      </c>
      <c r="O1794" t="str" cm="1">
        <f t="array" ref="O1794">_xlfn.IFS(F1794="","",F1794&lt;=5,"0 to 5",F1794&lt;=10,"5.1 to 10",F1794&lt;=20,"10 to 20", F1794&lt;= 40, "20 to 40", F1794 &lt;= 50, "40 to 50", F1794 &gt; 50, "&gt;50" )</f>
        <v>0 to 5</v>
      </c>
    </row>
    <row r="1795" spans="1:15" ht="15" customHeight="1" x14ac:dyDescent="0.3">
      <c r="A1795" t="s">
        <v>351</v>
      </c>
      <c r="B1795" s="1">
        <v>46202</v>
      </c>
      <c r="C1795" t="s">
        <v>16</v>
      </c>
      <c r="D1795">
        <v>1647</v>
      </c>
      <c r="E1795">
        <v>1</v>
      </c>
      <c r="F1795">
        <v>65.8</v>
      </c>
      <c r="G1795" t="s">
        <v>17</v>
      </c>
      <c r="I1795" t="str">
        <f t="shared" si="39"/>
        <v>1647_1</v>
      </c>
      <c r="J1795" t="s">
        <v>241</v>
      </c>
      <c r="K1795" t="s">
        <v>179</v>
      </c>
      <c r="L1795" t="str">
        <f>_xlfn.XLOOKUP(C1795, Table2[Species],Table2[Genus], "Code Not Found")</f>
        <v>Acer</v>
      </c>
      <c r="M1795" t="str">
        <f>_xlfn.XLOOKUP(C1795, Table2[Species],Table2[Sp. Name], "Code Not Found")</f>
        <v>saccharum</v>
      </c>
      <c r="N1795" t="str">
        <f>_xlfn.XLOOKUP(C1795,Table2[Species],Table2[Family],"Code Not Found")</f>
        <v>Sapindaceae</v>
      </c>
      <c r="O1795" t="str" cm="1">
        <f t="array" ref="O1795">_xlfn.IFS(F1795="","",F1795&lt;=5,"0 to 5",F1795&lt;=10,"5.1 to 10",F1795&lt;=20,"10 to 20", F1795&lt;= 40, "20 to 40", F1795 &lt;= 50, "40 to 50", F1795 &gt; 50, "&gt;50" )</f>
        <v>&gt;50</v>
      </c>
    </row>
    <row r="1796" spans="1:15" ht="15" customHeight="1" x14ac:dyDescent="0.3">
      <c r="A1796" t="s">
        <v>351</v>
      </c>
      <c r="B1796" s="1">
        <v>46202</v>
      </c>
      <c r="C1796" t="s">
        <v>64</v>
      </c>
      <c r="D1796">
        <v>1648</v>
      </c>
      <c r="E1796">
        <v>1</v>
      </c>
      <c r="F1796">
        <v>10.4</v>
      </c>
      <c r="G1796" t="s">
        <v>21</v>
      </c>
      <c r="H1796" t="s">
        <v>373</v>
      </c>
      <c r="I1796" t="str">
        <f t="shared" si="39"/>
        <v>1648_1</v>
      </c>
      <c r="J1796" t="s">
        <v>241</v>
      </c>
      <c r="K1796" t="s">
        <v>179</v>
      </c>
      <c r="L1796" t="str">
        <f>_xlfn.XLOOKUP(C1796, Table2[Species],Table2[Genus], "Code Not Found")</f>
        <v>Fagus</v>
      </c>
      <c r="M1796" t="str">
        <f>_xlfn.XLOOKUP(C1796, Table2[Species],Table2[Sp. Name], "Code Not Found")</f>
        <v>grandifolia</v>
      </c>
      <c r="N1796" t="str">
        <f>_xlfn.XLOOKUP(C1796,Table2[Species],Table2[Family],"Code Not Found")</f>
        <v>Fagaceae</v>
      </c>
      <c r="O1796" t="str" cm="1">
        <f t="array" ref="O1796">_xlfn.IFS(F1796="","",F1796&lt;=5,"0 to 5",F1796&lt;=10,"5.1 to 10",F1796&lt;=20,"10 to 20", F1796&lt;= 40, "20 to 40", F1796 &lt;= 50, "40 to 50", F1796 &gt; 50, "&gt;50" )</f>
        <v>10 to 20</v>
      </c>
    </row>
    <row r="1797" spans="1:15" ht="15" customHeight="1" x14ac:dyDescent="0.3">
      <c r="A1797" t="s">
        <v>351</v>
      </c>
      <c r="B1797" s="1">
        <v>46202</v>
      </c>
      <c r="C1797" t="s">
        <v>24</v>
      </c>
      <c r="D1797">
        <v>1649</v>
      </c>
      <c r="E1797">
        <v>1</v>
      </c>
      <c r="F1797">
        <v>1.1000000000000001</v>
      </c>
      <c r="G1797" t="s">
        <v>359</v>
      </c>
      <c r="I1797" t="str">
        <f t="shared" si="39"/>
        <v>1649_1</v>
      </c>
      <c r="J1797" t="s">
        <v>241</v>
      </c>
      <c r="K1797" t="s">
        <v>179</v>
      </c>
      <c r="L1797" t="str">
        <f>_xlfn.XLOOKUP(C1797, Table2[Species],Table2[Genus], "Code Not Found")</f>
        <v>Lirodendron</v>
      </c>
      <c r="M1797" t="str">
        <f>_xlfn.XLOOKUP(C1797, Table2[Species],Table2[Sp. Name], "Code Not Found")</f>
        <v>tulipfera</v>
      </c>
      <c r="N1797" t="str">
        <f>_xlfn.XLOOKUP(C1797,Table2[Species],Table2[Family],"Code Not Found")</f>
        <v>Magnoliaceae</v>
      </c>
      <c r="O1797" t="str" cm="1">
        <f t="array" ref="O1797">_xlfn.IFS(F1797="","",F1797&lt;=5,"0 to 5",F1797&lt;=10,"5.1 to 10",F1797&lt;=20,"10 to 20", F1797&lt;= 40, "20 to 40", F1797 &lt;= 50, "40 to 50", F1797 &gt; 50, "&gt;50" )</f>
        <v>0 to 5</v>
      </c>
    </row>
    <row r="1798" spans="1:15" ht="15" customHeight="1" x14ac:dyDescent="0.3">
      <c r="A1798" t="s">
        <v>351</v>
      </c>
      <c r="B1798" s="1">
        <v>46202</v>
      </c>
      <c r="C1798" t="s">
        <v>24</v>
      </c>
      <c r="D1798">
        <v>1650</v>
      </c>
      <c r="E1798">
        <v>1</v>
      </c>
      <c r="F1798">
        <v>1.4</v>
      </c>
      <c r="G1798" t="s">
        <v>359</v>
      </c>
      <c r="I1798" t="str">
        <f t="shared" si="39"/>
        <v>1650_1</v>
      </c>
      <c r="J1798" t="s">
        <v>241</v>
      </c>
      <c r="K1798" t="s">
        <v>179</v>
      </c>
      <c r="L1798" t="str">
        <f>_xlfn.XLOOKUP(C1798, Table2[Species],Table2[Genus], "Code Not Found")</f>
        <v>Lirodendron</v>
      </c>
      <c r="M1798" t="str">
        <f>_xlfn.XLOOKUP(C1798, Table2[Species],Table2[Sp. Name], "Code Not Found")</f>
        <v>tulipfera</v>
      </c>
      <c r="N1798" t="str">
        <f>_xlfn.XLOOKUP(C1798,Table2[Species],Table2[Family],"Code Not Found")</f>
        <v>Magnoliaceae</v>
      </c>
      <c r="O1798" t="str" cm="1">
        <f t="array" ref="O1798">_xlfn.IFS(F1798="","",F1798&lt;=5,"0 to 5",F1798&lt;=10,"5.1 to 10",F1798&lt;=20,"10 to 20", F1798&lt;= 40, "20 to 40", F1798 &lt;= 50, "40 to 50", F1798 &gt; 50, "&gt;50" )</f>
        <v>0 to 5</v>
      </c>
    </row>
    <row r="1799" spans="1:15" ht="15" customHeight="1" x14ac:dyDescent="0.3">
      <c r="A1799" t="s">
        <v>351</v>
      </c>
      <c r="B1799" s="1">
        <v>46202</v>
      </c>
      <c r="C1799" t="s">
        <v>24</v>
      </c>
      <c r="D1799">
        <v>1651</v>
      </c>
      <c r="E1799">
        <v>1</v>
      </c>
      <c r="F1799">
        <v>1.4</v>
      </c>
      <c r="G1799" t="s">
        <v>359</v>
      </c>
      <c r="I1799" t="str">
        <f t="shared" si="39"/>
        <v>1651_1</v>
      </c>
      <c r="J1799" t="s">
        <v>241</v>
      </c>
      <c r="K1799" t="s">
        <v>179</v>
      </c>
      <c r="L1799" t="str">
        <f>_xlfn.XLOOKUP(C1799, Table2[Species],Table2[Genus], "Code Not Found")</f>
        <v>Lirodendron</v>
      </c>
      <c r="M1799" t="str">
        <f>_xlfn.XLOOKUP(C1799, Table2[Species],Table2[Sp. Name], "Code Not Found")</f>
        <v>tulipfera</v>
      </c>
      <c r="N1799" t="str">
        <f>_xlfn.XLOOKUP(C1799,Table2[Species],Table2[Family],"Code Not Found")</f>
        <v>Magnoliaceae</v>
      </c>
      <c r="O1799" t="str" cm="1">
        <f t="array" ref="O1799">_xlfn.IFS(F1799="","",F1799&lt;=5,"0 to 5",F1799&lt;=10,"5.1 to 10",F1799&lt;=20,"10 to 20", F1799&lt;= 40, "20 to 40", F1799 &lt;= 50, "40 to 50", F1799 &gt; 50, "&gt;50" )</f>
        <v>0 to 5</v>
      </c>
    </row>
    <row r="1800" spans="1:15" ht="15" customHeight="1" x14ac:dyDescent="0.3">
      <c r="A1800" t="s">
        <v>351</v>
      </c>
      <c r="B1800" s="1">
        <v>46202</v>
      </c>
      <c r="C1800" t="s">
        <v>24</v>
      </c>
      <c r="D1800">
        <v>1652</v>
      </c>
      <c r="E1800">
        <v>1</v>
      </c>
      <c r="F1800">
        <v>1.6</v>
      </c>
      <c r="G1800" t="s">
        <v>32</v>
      </c>
      <c r="I1800" t="str">
        <f t="shared" si="39"/>
        <v>1652_1</v>
      </c>
      <c r="J1800" t="s">
        <v>241</v>
      </c>
      <c r="K1800" t="s">
        <v>179</v>
      </c>
      <c r="L1800" t="str">
        <f>_xlfn.XLOOKUP(C1800, Table2[Species],Table2[Genus], "Code Not Found")</f>
        <v>Lirodendron</v>
      </c>
      <c r="M1800" t="str">
        <f>_xlfn.XLOOKUP(C1800, Table2[Species],Table2[Sp. Name], "Code Not Found")</f>
        <v>tulipfera</v>
      </c>
      <c r="N1800" t="str">
        <f>_xlfn.XLOOKUP(C1800,Table2[Species],Table2[Family],"Code Not Found")</f>
        <v>Magnoliaceae</v>
      </c>
      <c r="O1800" t="str" cm="1">
        <f t="array" ref="O1800">_xlfn.IFS(F1800="","",F1800&lt;=5,"0 to 5",F1800&lt;=10,"5.1 to 10",F1800&lt;=20,"10 to 20", F1800&lt;= 40, "20 to 40", F1800 &lt;= 50, "40 to 50", F1800 &gt; 50, "&gt;50" )</f>
        <v>0 to 5</v>
      </c>
    </row>
    <row r="1801" spans="1:15" ht="15" customHeight="1" x14ac:dyDescent="0.3">
      <c r="A1801" t="s">
        <v>351</v>
      </c>
      <c r="B1801" s="1">
        <v>46202</v>
      </c>
      <c r="C1801" t="s">
        <v>24</v>
      </c>
      <c r="D1801">
        <v>1652</v>
      </c>
      <c r="E1801">
        <v>2</v>
      </c>
      <c r="F1801">
        <v>1.2</v>
      </c>
      <c r="G1801" t="s">
        <v>32</v>
      </c>
      <c r="H1801" t="s">
        <v>296</v>
      </c>
      <c r="I1801" t="str">
        <f t="shared" si="39"/>
        <v>1652_2</v>
      </c>
      <c r="J1801" t="s">
        <v>241</v>
      </c>
      <c r="K1801" t="s">
        <v>179</v>
      </c>
      <c r="L1801" t="str">
        <f>_xlfn.XLOOKUP(C1801, Table2[Species],Table2[Genus], "Code Not Found")</f>
        <v>Lirodendron</v>
      </c>
      <c r="M1801" t="str">
        <f>_xlfn.XLOOKUP(C1801, Table2[Species],Table2[Sp. Name], "Code Not Found")</f>
        <v>tulipfera</v>
      </c>
      <c r="N1801" t="str">
        <f>_xlfn.XLOOKUP(C1801,Table2[Species],Table2[Family],"Code Not Found")</f>
        <v>Magnoliaceae</v>
      </c>
      <c r="O1801" t="str" cm="1">
        <f t="array" ref="O1801">_xlfn.IFS(F1801="","",F1801&lt;=5,"0 to 5",F1801&lt;=10,"5.1 to 10",F1801&lt;=20,"10 to 20", F1801&lt;= 40, "20 to 40", F1801 &lt;= 50, "40 to 50", F1801 &gt; 50, "&gt;50" )</f>
        <v>0 to 5</v>
      </c>
    </row>
    <row r="1802" spans="1:15" ht="15" customHeight="1" x14ac:dyDescent="0.3">
      <c r="A1802" t="s">
        <v>351</v>
      </c>
      <c r="B1802" s="1">
        <v>46202</v>
      </c>
      <c r="C1802" t="s">
        <v>24</v>
      </c>
      <c r="D1802">
        <v>1653</v>
      </c>
      <c r="E1802">
        <v>1</v>
      </c>
      <c r="F1802">
        <v>1.4</v>
      </c>
      <c r="G1802" t="s">
        <v>359</v>
      </c>
      <c r="I1802" t="str">
        <f t="shared" si="39"/>
        <v>1653_1</v>
      </c>
      <c r="J1802" t="s">
        <v>241</v>
      </c>
      <c r="K1802" t="s">
        <v>179</v>
      </c>
      <c r="L1802" t="str">
        <f>_xlfn.XLOOKUP(C1802, Table2[Species],Table2[Genus], "Code Not Found")</f>
        <v>Lirodendron</v>
      </c>
      <c r="M1802" t="str">
        <f>_xlfn.XLOOKUP(C1802, Table2[Species],Table2[Sp. Name], "Code Not Found")</f>
        <v>tulipfera</v>
      </c>
      <c r="N1802" t="str">
        <f>_xlfn.XLOOKUP(C1802,Table2[Species],Table2[Family],"Code Not Found")</f>
        <v>Magnoliaceae</v>
      </c>
      <c r="O1802" t="str" cm="1">
        <f t="array" ref="O1802">_xlfn.IFS(F1802="","",F1802&lt;=5,"0 to 5",F1802&lt;=10,"5.1 to 10",F1802&lt;=20,"10 to 20", F1802&lt;= 40, "20 to 40", F1802 &lt;= 50, "40 to 50", F1802 &gt; 50, "&gt;50" )</f>
        <v>0 to 5</v>
      </c>
    </row>
    <row r="1803" spans="1:15" ht="15" customHeight="1" x14ac:dyDescent="0.3">
      <c r="A1803" t="s">
        <v>351</v>
      </c>
      <c r="B1803" s="1">
        <v>46202</v>
      </c>
      <c r="C1803" t="s">
        <v>24</v>
      </c>
      <c r="D1803">
        <v>1654</v>
      </c>
      <c r="E1803">
        <v>1</v>
      </c>
      <c r="F1803">
        <v>1.6</v>
      </c>
      <c r="G1803" t="s">
        <v>359</v>
      </c>
      <c r="I1803" t="str">
        <f t="shared" si="39"/>
        <v>1654_1</v>
      </c>
      <c r="J1803" t="s">
        <v>241</v>
      </c>
      <c r="K1803" t="s">
        <v>179</v>
      </c>
      <c r="L1803" t="str">
        <f>_xlfn.XLOOKUP(C1803, Table2[Species],Table2[Genus], "Code Not Found")</f>
        <v>Lirodendron</v>
      </c>
      <c r="M1803" t="str">
        <f>_xlfn.XLOOKUP(C1803, Table2[Species],Table2[Sp. Name], "Code Not Found")</f>
        <v>tulipfera</v>
      </c>
      <c r="N1803" t="str">
        <f>_xlfn.XLOOKUP(C1803,Table2[Species],Table2[Family],"Code Not Found")</f>
        <v>Magnoliaceae</v>
      </c>
      <c r="O1803" t="str" cm="1">
        <f t="array" ref="O1803">_xlfn.IFS(F1803="","",F1803&lt;=5,"0 to 5",F1803&lt;=10,"5.1 to 10",F1803&lt;=20,"10 to 20", F1803&lt;= 40, "20 to 40", F1803 &lt;= 50, "40 to 50", F1803 &gt; 50, "&gt;50" )</f>
        <v>0 to 5</v>
      </c>
    </row>
    <row r="1804" spans="1:15" ht="15" customHeight="1" x14ac:dyDescent="0.3">
      <c r="A1804" t="s">
        <v>351</v>
      </c>
      <c r="B1804" s="1">
        <v>46202</v>
      </c>
      <c r="C1804" t="s">
        <v>24</v>
      </c>
      <c r="D1804">
        <v>1655</v>
      </c>
      <c r="E1804">
        <v>1</v>
      </c>
      <c r="F1804">
        <v>1.2</v>
      </c>
      <c r="G1804" t="s">
        <v>359</v>
      </c>
      <c r="I1804" t="str">
        <f t="shared" si="39"/>
        <v>1655_1</v>
      </c>
      <c r="J1804" t="s">
        <v>241</v>
      </c>
      <c r="K1804" t="s">
        <v>179</v>
      </c>
      <c r="L1804" t="str">
        <f>_xlfn.XLOOKUP(C1804, Table2[Species],Table2[Genus], "Code Not Found")</f>
        <v>Lirodendron</v>
      </c>
      <c r="M1804" t="str">
        <f>_xlfn.XLOOKUP(C1804, Table2[Species],Table2[Sp. Name], "Code Not Found")</f>
        <v>tulipfera</v>
      </c>
      <c r="N1804" t="str">
        <f>_xlfn.XLOOKUP(C1804,Table2[Species],Table2[Family],"Code Not Found")</f>
        <v>Magnoliaceae</v>
      </c>
      <c r="O1804" t="str" cm="1">
        <f t="array" ref="O1804">_xlfn.IFS(F1804="","",F1804&lt;=5,"0 to 5",F1804&lt;=10,"5.1 to 10",F1804&lt;=20,"10 to 20", F1804&lt;= 40, "20 to 40", F1804 &lt;= 50, "40 to 50", F1804 &gt; 50, "&gt;50" )</f>
        <v>0 to 5</v>
      </c>
    </row>
    <row r="1805" spans="1:15" ht="15" customHeight="1" x14ac:dyDescent="0.3">
      <c r="A1805" t="s">
        <v>351</v>
      </c>
      <c r="B1805" s="1">
        <v>46202</v>
      </c>
      <c r="C1805" t="s">
        <v>24</v>
      </c>
      <c r="D1805">
        <v>1656</v>
      </c>
      <c r="E1805">
        <v>1</v>
      </c>
      <c r="F1805">
        <v>1.1000000000000001</v>
      </c>
      <c r="G1805" t="s">
        <v>30</v>
      </c>
      <c r="H1805" t="s">
        <v>374</v>
      </c>
      <c r="I1805" t="str">
        <f t="shared" si="39"/>
        <v>1656_1</v>
      </c>
      <c r="J1805" t="s">
        <v>241</v>
      </c>
      <c r="K1805" t="s">
        <v>179</v>
      </c>
      <c r="L1805" t="str">
        <f>_xlfn.XLOOKUP(C1805, Table2[Species],Table2[Genus], "Code Not Found")</f>
        <v>Lirodendron</v>
      </c>
      <c r="M1805" t="str">
        <f>_xlfn.XLOOKUP(C1805, Table2[Species],Table2[Sp. Name], "Code Not Found")</f>
        <v>tulipfera</v>
      </c>
      <c r="N1805" t="str">
        <f>_xlfn.XLOOKUP(C1805,Table2[Species],Table2[Family],"Code Not Found")</f>
        <v>Magnoliaceae</v>
      </c>
      <c r="O1805" t="str" cm="1">
        <f t="array" ref="O1805">_xlfn.IFS(F1805="","",F1805&lt;=5,"0 to 5",F1805&lt;=10,"5.1 to 10",F1805&lt;=20,"10 to 20", F1805&lt;= 40, "20 to 40", F1805 &lt;= 50, "40 to 50", F1805 &gt; 50, "&gt;50" )</f>
        <v>0 to 5</v>
      </c>
    </row>
    <row r="1806" spans="1:15" ht="15" customHeight="1" x14ac:dyDescent="0.3">
      <c r="A1806" t="s">
        <v>351</v>
      </c>
      <c r="B1806" s="1">
        <v>46202</v>
      </c>
      <c r="C1806" t="s">
        <v>24</v>
      </c>
      <c r="D1806">
        <v>1657</v>
      </c>
      <c r="E1806">
        <v>1</v>
      </c>
      <c r="F1806">
        <v>1.6</v>
      </c>
      <c r="G1806" t="s">
        <v>359</v>
      </c>
      <c r="I1806" t="str">
        <f t="shared" si="39"/>
        <v>1657_1</v>
      </c>
      <c r="J1806" t="s">
        <v>241</v>
      </c>
      <c r="K1806" t="s">
        <v>179</v>
      </c>
      <c r="L1806" t="str">
        <f>_xlfn.XLOOKUP(C1806, Table2[Species],Table2[Genus], "Code Not Found")</f>
        <v>Lirodendron</v>
      </c>
      <c r="M1806" t="str">
        <f>_xlfn.XLOOKUP(C1806, Table2[Species],Table2[Sp. Name], "Code Not Found")</f>
        <v>tulipfera</v>
      </c>
      <c r="N1806" t="str">
        <f>_xlfn.XLOOKUP(C1806,Table2[Species],Table2[Family],"Code Not Found")</f>
        <v>Magnoliaceae</v>
      </c>
      <c r="O1806" t="str" cm="1">
        <f t="array" ref="O1806">_xlfn.IFS(F1806="","",F1806&lt;=5,"0 to 5",F1806&lt;=10,"5.1 to 10",F1806&lt;=20,"10 to 20", F1806&lt;= 40, "20 to 40", F1806 &lt;= 50, "40 to 50", F1806 &gt; 50, "&gt;50" )</f>
        <v>0 to 5</v>
      </c>
    </row>
    <row r="1807" spans="1:15" ht="15" customHeight="1" x14ac:dyDescent="0.3">
      <c r="A1807" t="s">
        <v>351</v>
      </c>
      <c r="B1807" s="1">
        <v>46202</v>
      </c>
      <c r="C1807" t="s">
        <v>24</v>
      </c>
      <c r="D1807">
        <v>1658</v>
      </c>
      <c r="E1807">
        <v>1</v>
      </c>
      <c r="F1807">
        <v>1.5</v>
      </c>
      <c r="G1807" t="s">
        <v>359</v>
      </c>
      <c r="I1807" t="str">
        <f t="shared" si="39"/>
        <v>1658_1</v>
      </c>
      <c r="J1807" t="s">
        <v>241</v>
      </c>
      <c r="K1807" t="s">
        <v>179</v>
      </c>
      <c r="L1807" t="str">
        <f>_xlfn.XLOOKUP(C1807, Table2[Species],Table2[Genus], "Code Not Found")</f>
        <v>Lirodendron</v>
      </c>
      <c r="M1807" t="str">
        <f>_xlfn.XLOOKUP(C1807, Table2[Species],Table2[Sp. Name], "Code Not Found")</f>
        <v>tulipfera</v>
      </c>
      <c r="N1807" t="str">
        <f>_xlfn.XLOOKUP(C1807,Table2[Species],Table2[Family],"Code Not Found")</f>
        <v>Magnoliaceae</v>
      </c>
      <c r="O1807" t="str" cm="1">
        <f t="array" ref="O1807">_xlfn.IFS(F1807="","",F1807&lt;=5,"0 to 5",F1807&lt;=10,"5.1 to 10",F1807&lt;=20,"10 to 20", F1807&lt;= 40, "20 to 40", F1807 &lt;= 50, "40 to 50", F1807 &gt; 50, "&gt;50" )</f>
        <v>0 to 5</v>
      </c>
    </row>
    <row r="1808" spans="1:15" ht="15" customHeight="1" x14ac:dyDescent="0.3">
      <c r="A1808" t="s">
        <v>351</v>
      </c>
      <c r="B1808" s="1">
        <v>46202</v>
      </c>
      <c r="C1808" t="s">
        <v>24</v>
      </c>
      <c r="D1808">
        <v>1659</v>
      </c>
      <c r="E1808">
        <v>1</v>
      </c>
      <c r="F1808">
        <v>1.2</v>
      </c>
      <c r="G1808" t="s">
        <v>359</v>
      </c>
      <c r="I1808" t="str">
        <f t="shared" si="39"/>
        <v>1659_1</v>
      </c>
      <c r="J1808" t="s">
        <v>241</v>
      </c>
      <c r="K1808" t="s">
        <v>179</v>
      </c>
      <c r="L1808" t="str">
        <f>_xlfn.XLOOKUP(C1808, Table2[Species],Table2[Genus], "Code Not Found")</f>
        <v>Lirodendron</v>
      </c>
      <c r="M1808" t="str">
        <f>_xlfn.XLOOKUP(C1808, Table2[Species],Table2[Sp. Name], "Code Not Found")</f>
        <v>tulipfera</v>
      </c>
      <c r="N1808" t="str">
        <f>_xlfn.XLOOKUP(C1808,Table2[Species],Table2[Family],"Code Not Found")</f>
        <v>Magnoliaceae</v>
      </c>
      <c r="O1808" t="str" cm="1">
        <f t="array" ref="O1808">_xlfn.IFS(F1808="","",F1808&lt;=5,"0 to 5",F1808&lt;=10,"5.1 to 10",F1808&lt;=20,"10 to 20", F1808&lt;= 40, "20 to 40", F1808 &lt;= 50, "40 to 50", F1808 &gt; 50, "&gt;50" )</f>
        <v>0 to 5</v>
      </c>
    </row>
    <row r="1809" spans="1:15" ht="15" customHeight="1" x14ac:dyDescent="0.3">
      <c r="A1809" t="s">
        <v>351</v>
      </c>
      <c r="B1809" s="1">
        <v>46202</v>
      </c>
      <c r="C1809" t="s">
        <v>64</v>
      </c>
      <c r="D1809">
        <v>1660</v>
      </c>
      <c r="E1809">
        <v>1</v>
      </c>
      <c r="F1809">
        <v>59.6</v>
      </c>
      <c r="G1809" t="s">
        <v>21</v>
      </c>
      <c r="H1809" t="s">
        <v>375</v>
      </c>
      <c r="I1809" t="str">
        <f t="shared" si="39"/>
        <v>1660_1</v>
      </c>
      <c r="J1809" t="s">
        <v>241</v>
      </c>
      <c r="K1809" t="s">
        <v>179</v>
      </c>
      <c r="L1809" t="str">
        <f>_xlfn.XLOOKUP(C1809, Table2[Species],Table2[Genus], "Code Not Found")</f>
        <v>Fagus</v>
      </c>
      <c r="M1809" t="str">
        <f>_xlfn.XLOOKUP(C1809, Table2[Species],Table2[Sp. Name], "Code Not Found")</f>
        <v>grandifolia</v>
      </c>
      <c r="N1809" t="str">
        <f>_xlfn.XLOOKUP(C1809,Table2[Species],Table2[Family],"Code Not Found")</f>
        <v>Fagaceae</v>
      </c>
      <c r="O1809" t="str" cm="1">
        <f t="array" ref="O1809">_xlfn.IFS(F1809="","",F1809&lt;=5,"0 to 5",F1809&lt;=10,"5.1 to 10",F1809&lt;=20,"10 to 20", F1809&lt;= 40, "20 to 40", F1809 &lt;= 50, "40 to 50", F1809 &gt; 50, "&gt;50" )</f>
        <v>&gt;50</v>
      </c>
    </row>
    <row r="1810" spans="1:15" ht="15" customHeight="1" x14ac:dyDescent="0.3">
      <c r="A1810" t="s">
        <v>351</v>
      </c>
      <c r="B1810" s="1">
        <v>46202</v>
      </c>
      <c r="C1810" t="s">
        <v>24</v>
      </c>
      <c r="D1810">
        <v>1661</v>
      </c>
      <c r="E1810">
        <v>1</v>
      </c>
      <c r="F1810">
        <v>1.4</v>
      </c>
      <c r="G1810" t="s">
        <v>365</v>
      </c>
      <c r="I1810" t="str">
        <f t="shared" si="39"/>
        <v>1661_1</v>
      </c>
      <c r="J1810" t="s">
        <v>241</v>
      </c>
      <c r="K1810" t="s">
        <v>179</v>
      </c>
      <c r="L1810" t="str">
        <f>_xlfn.XLOOKUP(C1810, Table2[Species],Table2[Genus], "Code Not Found")</f>
        <v>Lirodendron</v>
      </c>
      <c r="M1810" t="str">
        <f>_xlfn.XLOOKUP(C1810, Table2[Species],Table2[Sp. Name], "Code Not Found")</f>
        <v>tulipfera</v>
      </c>
      <c r="N1810" t="str">
        <f>_xlfn.XLOOKUP(C1810,Table2[Species],Table2[Family],"Code Not Found")</f>
        <v>Magnoliaceae</v>
      </c>
      <c r="O1810" t="str" cm="1">
        <f t="array" ref="O1810">_xlfn.IFS(F1810="","",F1810&lt;=5,"0 to 5",F1810&lt;=10,"5.1 to 10",F1810&lt;=20,"10 to 20", F1810&lt;= 40, "20 to 40", F1810 &lt;= 50, "40 to 50", F1810 &gt; 50, "&gt;50" )</f>
        <v>0 to 5</v>
      </c>
    </row>
    <row r="1811" spans="1:15" ht="15" customHeight="1" x14ac:dyDescent="0.3">
      <c r="A1811" t="s">
        <v>351</v>
      </c>
      <c r="B1811" s="1">
        <v>46202</v>
      </c>
      <c r="C1811" t="s">
        <v>24</v>
      </c>
      <c r="D1811">
        <v>1662</v>
      </c>
      <c r="E1811">
        <v>1</v>
      </c>
      <c r="F1811">
        <v>1.3</v>
      </c>
      <c r="G1811" t="s">
        <v>30</v>
      </c>
      <c r="H1811" t="s">
        <v>374</v>
      </c>
      <c r="I1811" t="str">
        <f t="shared" si="39"/>
        <v>1662_1</v>
      </c>
      <c r="J1811" t="s">
        <v>241</v>
      </c>
      <c r="K1811" t="s">
        <v>179</v>
      </c>
      <c r="L1811" t="str">
        <f>_xlfn.XLOOKUP(C1811, Table2[Species],Table2[Genus], "Code Not Found")</f>
        <v>Lirodendron</v>
      </c>
      <c r="M1811" t="str">
        <f>_xlfn.XLOOKUP(C1811, Table2[Species],Table2[Sp. Name], "Code Not Found")</f>
        <v>tulipfera</v>
      </c>
      <c r="N1811" t="str">
        <f>_xlfn.XLOOKUP(C1811,Table2[Species],Table2[Family],"Code Not Found")</f>
        <v>Magnoliaceae</v>
      </c>
      <c r="O1811" t="str" cm="1">
        <f t="array" ref="O1811">_xlfn.IFS(F1811="","",F1811&lt;=5,"0 to 5",F1811&lt;=10,"5.1 to 10",F1811&lt;=20,"10 to 20", F1811&lt;= 40, "20 to 40", F1811 &lt;= 50, "40 to 50", F1811 &gt; 50, "&gt;50" )</f>
        <v>0 to 5</v>
      </c>
    </row>
    <row r="1812" spans="1:15" ht="15" customHeight="1" x14ac:dyDescent="0.3">
      <c r="A1812" t="s">
        <v>351</v>
      </c>
      <c r="B1812" s="1">
        <v>46202</v>
      </c>
      <c r="C1812" t="s">
        <v>24</v>
      </c>
      <c r="D1812">
        <v>1663</v>
      </c>
      <c r="E1812">
        <v>1</v>
      </c>
      <c r="F1812">
        <v>1.2</v>
      </c>
      <c r="G1812" t="s">
        <v>359</v>
      </c>
      <c r="I1812" t="str">
        <f t="shared" si="39"/>
        <v>1663_1</v>
      </c>
      <c r="J1812" t="s">
        <v>241</v>
      </c>
      <c r="K1812" t="s">
        <v>179</v>
      </c>
      <c r="L1812" t="str">
        <f>_xlfn.XLOOKUP(C1812, Table2[Species],Table2[Genus], "Code Not Found")</f>
        <v>Lirodendron</v>
      </c>
      <c r="M1812" t="str">
        <f>_xlfn.XLOOKUP(C1812, Table2[Species],Table2[Sp. Name], "Code Not Found")</f>
        <v>tulipfera</v>
      </c>
      <c r="N1812" t="str">
        <f>_xlfn.XLOOKUP(C1812,Table2[Species],Table2[Family],"Code Not Found")</f>
        <v>Magnoliaceae</v>
      </c>
      <c r="O1812" t="str" cm="1">
        <f t="array" ref="O1812">_xlfn.IFS(F1812="","",F1812&lt;=5,"0 to 5",F1812&lt;=10,"5.1 to 10",F1812&lt;=20,"10 to 20", F1812&lt;= 40, "20 to 40", F1812 &lt;= 50, "40 to 50", F1812 &gt; 50, "&gt;50" )</f>
        <v>0 to 5</v>
      </c>
    </row>
    <row r="1813" spans="1:15" ht="15" customHeight="1" x14ac:dyDescent="0.3">
      <c r="A1813" t="s">
        <v>351</v>
      </c>
      <c r="B1813" s="1">
        <v>46202</v>
      </c>
      <c r="C1813" t="s">
        <v>24</v>
      </c>
      <c r="D1813">
        <v>1664</v>
      </c>
      <c r="E1813">
        <v>1</v>
      </c>
      <c r="F1813">
        <v>1.1000000000000001</v>
      </c>
      <c r="G1813" t="s">
        <v>365</v>
      </c>
      <c r="H1813" t="s">
        <v>296</v>
      </c>
      <c r="I1813" t="str">
        <f t="shared" si="39"/>
        <v>1664_1</v>
      </c>
      <c r="J1813" t="s">
        <v>241</v>
      </c>
      <c r="K1813" t="s">
        <v>179</v>
      </c>
      <c r="L1813" t="str">
        <f>_xlfn.XLOOKUP(C1813, Table2[Species],Table2[Genus], "Code Not Found")</f>
        <v>Lirodendron</v>
      </c>
      <c r="M1813" t="str">
        <f>_xlfn.XLOOKUP(C1813, Table2[Species],Table2[Sp. Name], "Code Not Found")</f>
        <v>tulipfera</v>
      </c>
      <c r="N1813" t="str">
        <f>_xlfn.XLOOKUP(C1813,Table2[Species],Table2[Family],"Code Not Found")</f>
        <v>Magnoliaceae</v>
      </c>
      <c r="O1813" t="str" cm="1">
        <f t="array" ref="O1813">_xlfn.IFS(F1813="","",F1813&lt;=5,"0 to 5",F1813&lt;=10,"5.1 to 10",F1813&lt;=20,"10 to 20", F1813&lt;= 40, "20 to 40", F1813 &lt;= 50, "40 to 50", F1813 &gt; 50, "&gt;50" )</f>
        <v>0 to 5</v>
      </c>
    </row>
    <row r="1814" spans="1:15" ht="15" customHeight="1" x14ac:dyDescent="0.3">
      <c r="A1814" t="s">
        <v>351</v>
      </c>
      <c r="B1814" s="1">
        <v>46202</v>
      </c>
      <c r="C1814" t="s">
        <v>24</v>
      </c>
      <c r="D1814">
        <v>1665</v>
      </c>
      <c r="E1814">
        <v>1</v>
      </c>
      <c r="F1814">
        <v>2</v>
      </c>
      <c r="G1814" t="s">
        <v>376</v>
      </c>
      <c r="H1814" t="s">
        <v>377</v>
      </c>
      <c r="I1814" t="str">
        <f t="shared" si="39"/>
        <v>1665_1</v>
      </c>
      <c r="J1814" t="s">
        <v>241</v>
      </c>
      <c r="K1814" t="s">
        <v>179</v>
      </c>
      <c r="L1814" t="str">
        <f>_xlfn.XLOOKUP(C1814, Table2[Species],Table2[Genus], "Code Not Found")</f>
        <v>Lirodendron</v>
      </c>
      <c r="M1814" t="str">
        <f>_xlfn.XLOOKUP(C1814, Table2[Species],Table2[Sp. Name], "Code Not Found")</f>
        <v>tulipfera</v>
      </c>
      <c r="N1814" t="str">
        <f>_xlfn.XLOOKUP(C1814,Table2[Species],Table2[Family],"Code Not Found")</f>
        <v>Magnoliaceae</v>
      </c>
      <c r="O1814" t="str" cm="1">
        <f t="array" ref="O1814">_xlfn.IFS(F1814="","",F1814&lt;=5,"0 to 5",F1814&lt;=10,"5.1 to 10",F1814&lt;=20,"10 to 20", F1814&lt;= 40, "20 to 40", F1814 &lt;= 50, "40 to 50", F1814 &gt; 50, "&gt;50" )</f>
        <v>0 to 5</v>
      </c>
    </row>
    <row r="1815" spans="1:15" ht="15" customHeight="1" x14ac:dyDescent="0.3">
      <c r="A1815" t="s">
        <v>351</v>
      </c>
      <c r="B1815" s="1">
        <v>46202</v>
      </c>
      <c r="C1815" t="s">
        <v>64</v>
      </c>
      <c r="D1815">
        <v>1666</v>
      </c>
      <c r="E1815">
        <v>1</v>
      </c>
      <c r="F1815">
        <v>41.3</v>
      </c>
      <c r="G1815" t="s">
        <v>103</v>
      </c>
      <c r="H1815" t="s">
        <v>378</v>
      </c>
      <c r="I1815" t="str">
        <f t="shared" si="39"/>
        <v>1666_1</v>
      </c>
      <c r="J1815" t="s">
        <v>241</v>
      </c>
      <c r="K1815" t="s">
        <v>179</v>
      </c>
      <c r="L1815" t="str">
        <f>_xlfn.XLOOKUP(C1815, Table2[Species],Table2[Genus], "Code Not Found")</f>
        <v>Fagus</v>
      </c>
      <c r="M1815" t="str">
        <f>_xlfn.XLOOKUP(C1815, Table2[Species],Table2[Sp. Name], "Code Not Found")</f>
        <v>grandifolia</v>
      </c>
      <c r="N1815" t="str">
        <f>_xlfn.XLOOKUP(C1815,Table2[Species],Table2[Family],"Code Not Found")</f>
        <v>Fagaceae</v>
      </c>
      <c r="O1815" t="str" cm="1">
        <f t="array" ref="O1815">_xlfn.IFS(F1815="","",F1815&lt;=5,"0 to 5",F1815&lt;=10,"5.1 to 10",F1815&lt;=20,"10 to 20", F1815&lt;= 40, "20 to 40", F1815 &lt;= 50, "40 to 50", F1815 &gt; 50, "&gt;50" )</f>
        <v>40 to 50</v>
      </c>
    </row>
    <row r="1816" spans="1:15" ht="15" customHeight="1" x14ac:dyDescent="0.3">
      <c r="A1816" t="s">
        <v>351</v>
      </c>
      <c r="B1816" s="1">
        <v>46202</v>
      </c>
      <c r="C1816" t="s">
        <v>24</v>
      </c>
      <c r="D1816">
        <v>1667</v>
      </c>
      <c r="E1816">
        <v>1</v>
      </c>
      <c r="F1816">
        <v>1.3</v>
      </c>
      <c r="G1816" t="s">
        <v>376</v>
      </c>
      <c r="H1816" t="s">
        <v>372</v>
      </c>
      <c r="I1816" t="str">
        <f t="shared" si="39"/>
        <v>1667_1</v>
      </c>
      <c r="J1816" t="s">
        <v>241</v>
      </c>
      <c r="K1816" t="s">
        <v>179</v>
      </c>
      <c r="L1816" t="str">
        <f>_xlfn.XLOOKUP(C1816, Table2[Species],Table2[Genus], "Code Not Found")</f>
        <v>Lirodendron</v>
      </c>
      <c r="M1816" t="str">
        <f>_xlfn.XLOOKUP(C1816, Table2[Species],Table2[Sp. Name], "Code Not Found")</f>
        <v>tulipfera</v>
      </c>
      <c r="N1816" t="str">
        <f>_xlfn.XLOOKUP(C1816,Table2[Species],Table2[Family],"Code Not Found")</f>
        <v>Magnoliaceae</v>
      </c>
      <c r="O1816" t="str" cm="1">
        <f t="array" ref="O1816">_xlfn.IFS(F1816="","",F1816&lt;=5,"0 to 5",F1816&lt;=10,"5.1 to 10",F1816&lt;=20,"10 to 20", F1816&lt;= 40, "20 to 40", F1816 &lt;= 50, "40 to 50", F1816 &gt; 50, "&gt;50" )</f>
        <v>0 to 5</v>
      </c>
    </row>
    <row r="1817" spans="1:15" ht="15" customHeight="1" x14ac:dyDescent="0.3">
      <c r="A1817" t="s">
        <v>351</v>
      </c>
      <c r="B1817" s="1">
        <v>46202</v>
      </c>
      <c r="C1817" t="s">
        <v>24</v>
      </c>
      <c r="D1817">
        <v>1668</v>
      </c>
      <c r="E1817">
        <v>1</v>
      </c>
      <c r="F1817">
        <v>1.5</v>
      </c>
      <c r="G1817" t="s">
        <v>359</v>
      </c>
      <c r="I1817" t="str">
        <f t="shared" si="39"/>
        <v>1668_1</v>
      </c>
      <c r="J1817" t="s">
        <v>241</v>
      </c>
      <c r="K1817" t="s">
        <v>179</v>
      </c>
      <c r="L1817" t="str">
        <f>_xlfn.XLOOKUP(C1817, Table2[Species],Table2[Genus], "Code Not Found")</f>
        <v>Lirodendron</v>
      </c>
      <c r="M1817" t="str">
        <f>_xlfn.XLOOKUP(C1817, Table2[Species],Table2[Sp. Name], "Code Not Found")</f>
        <v>tulipfera</v>
      </c>
      <c r="N1817" t="str">
        <f>_xlfn.XLOOKUP(C1817,Table2[Species],Table2[Family],"Code Not Found")</f>
        <v>Magnoliaceae</v>
      </c>
      <c r="O1817" t="str" cm="1">
        <f t="array" ref="O1817">_xlfn.IFS(F1817="","",F1817&lt;=5,"0 to 5",F1817&lt;=10,"5.1 to 10",F1817&lt;=20,"10 to 20", F1817&lt;= 40, "20 to 40", F1817 &lt;= 50, "40 to 50", F1817 &gt; 50, "&gt;50" )</f>
        <v>0 to 5</v>
      </c>
    </row>
    <row r="1818" spans="1:15" ht="15" customHeight="1" x14ac:dyDescent="0.3">
      <c r="A1818" t="s">
        <v>351</v>
      </c>
      <c r="B1818" s="1">
        <v>46202</v>
      </c>
      <c r="C1818" t="s">
        <v>24</v>
      </c>
      <c r="D1818">
        <v>1669</v>
      </c>
      <c r="E1818">
        <v>1</v>
      </c>
      <c r="F1818">
        <v>1.1000000000000001</v>
      </c>
      <c r="G1818" t="s">
        <v>359</v>
      </c>
      <c r="I1818" t="str">
        <f t="shared" si="39"/>
        <v>1669_1</v>
      </c>
      <c r="J1818" t="s">
        <v>241</v>
      </c>
      <c r="K1818" t="s">
        <v>179</v>
      </c>
      <c r="L1818" t="str">
        <f>_xlfn.XLOOKUP(C1818, Table2[Species],Table2[Genus], "Code Not Found")</f>
        <v>Lirodendron</v>
      </c>
      <c r="M1818" t="str">
        <f>_xlfn.XLOOKUP(C1818, Table2[Species],Table2[Sp. Name], "Code Not Found")</f>
        <v>tulipfera</v>
      </c>
      <c r="N1818" t="str">
        <f>_xlfn.XLOOKUP(C1818,Table2[Species],Table2[Family],"Code Not Found")</f>
        <v>Magnoliaceae</v>
      </c>
      <c r="O1818" t="str" cm="1">
        <f t="array" ref="O1818">_xlfn.IFS(F1818="","",F1818&lt;=5,"0 to 5",F1818&lt;=10,"5.1 to 10",F1818&lt;=20,"10 to 20", F1818&lt;= 40, "20 to 40", F1818 &lt;= 50, "40 to 50", F1818 &gt; 50, "&gt;50" )</f>
        <v>0 to 5</v>
      </c>
    </row>
    <row r="1819" spans="1:15" ht="15" customHeight="1" x14ac:dyDescent="0.3">
      <c r="A1819" t="s">
        <v>351</v>
      </c>
      <c r="B1819" s="1">
        <v>46202</v>
      </c>
      <c r="C1819" t="s">
        <v>24</v>
      </c>
      <c r="D1819">
        <v>1670</v>
      </c>
      <c r="E1819">
        <v>1</v>
      </c>
      <c r="F1819">
        <v>1.1000000000000001</v>
      </c>
      <c r="G1819" t="s">
        <v>359</v>
      </c>
      <c r="I1819" t="str">
        <f t="shared" si="39"/>
        <v>1670_1</v>
      </c>
      <c r="J1819" t="s">
        <v>241</v>
      </c>
      <c r="K1819" t="s">
        <v>179</v>
      </c>
      <c r="L1819" t="str">
        <f>_xlfn.XLOOKUP(C1819, Table2[Species],Table2[Genus], "Code Not Found")</f>
        <v>Lirodendron</v>
      </c>
      <c r="M1819" t="str">
        <f>_xlfn.XLOOKUP(C1819, Table2[Species],Table2[Sp. Name], "Code Not Found")</f>
        <v>tulipfera</v>
      </c>
      <c r="N1819" t="str">
        <f>_xlfn.XLOOKUP(C1819,Table2[Species],Table2[Family],"Code Not Found")</f>
        <v>Magnoliaceae</v>
      </c>
      <c r="O1819" t="str" cm="1">
        <f t="array" ref="O1819">_xlfn.IFS(F1819="","",F1819&lt;=5,"0 to 5",F1819&lt;=10,"5.1 to 10",F1819&lt;=20,"10 to 20", F1819&lt;= 40, "20 to 40", F1819 &lt;= 50, "40 to 50", F1819 &gt; 50, "&gt;50" )</f>
        <v>0 to 5</v>
      </c>
    </row>
    <row r="1820" spans="1:15" ht="15" customHeight="1" x14ac:dyDescent="0.3">
      <c r="A1820" t="s">
        <v>351</v>
      </c>
      <c r="B1820" s="1">
        <v>46202</v>
      </c>
      <c r="C1820" t="s">
        <v>64</v>
      </c>
      <c r="D1820">
        <v>1671</v>
      </c>
      <c r="E1820">
        <v>1</v>
      </c>
      <c r="F1820">
        <v>1.2</v>
      </c>
      <c r="G1820" t="s">
        <v>21</v>
      </c>
      <c r="H1820" t="s">
        <v>379</v>
      </c>
      <c r="I1820" t="str">
        <f t="shared" si="39"/>
        <v>1671_1</v>
      </c>
      <c r="J1820" t="s">
        <v>241</v>
      </c>
      <c r="K1820" t="s">
        <v>179</v>
      </c>
      <c r="L1820" t="str">
        <f>_xlfn.XLOOKUP(C1820, Table2[Species],Table2[Genus], "Code Not Found")</f>
        <v>Fagus</v>
      </c>
      <c r="M1820" t="str">
        <f>_xlfn.XLOOKUP(C1820, Table2[Species],Table2[Sp. Name], "Code Not Found")</f>
        <v>grandifolia</v>
      </c>
      <c r="N1820" t="str">
        <f>_xlfn.XLOOKUP(C1820,Table2[Species],Table2[Family],"Code Not Found")</f>
        <v>Fagaceae</v>
      </c>
      <c r="O1820" t="str" cm="1">
        <f t="array" ref="O1820">_xlfn.IFS(F1820="","",F1820&lt;=5,"0 to 5",F1820&lt;=10,"5.1 to 10",F1820&lt;=20,"10 to 20", F1820&lt;= 40, "20 to 40", F1820 &lt;= 50, "40 to 50", F1820 &gt; 50, "&gt;50" )</f>
        <v>0 to 5</v>
      </c>
    </row>
    <row r="1821" spans="1:15" ht="15" customHeight="1" x14ac:dyDescent="0.3">
      <c r="A1821" t="s">
        <v>351</v>
      </c>
      <c r="B1821" s="1">
        <v>46202</v>
      </c>
      <c r="C1821" t="s">
        <v>16</v>
      </c>
      <c r="D1821">
        <v>1672</v>
      </c>
      <c r="E1821">
        <v>1</v>
      </c>
      <c r="F1821">
        <v>14.6</v>
      </c>
      <c r="G1821" t="s">
        <v>30</v>
      </c>
      <c r="H1821" t="s">
        <v>380</v>
      </c>
      <c r="I1821" t="str">
        <f t="shared" si="39"/>
        <v>1672_1</v>
      </c>
      <c r="J1821" t="s">
        <v>241</v>
      </c>
      <c r="K1821" t="s">
        <v>179</v>
      </c>
      <c r="L1821" t="str">
        <f>_xlfn.XLOOKUP(C1821, Table2[Species],Table2[Genus], "Code Not Found")</f>
        <v>Acer</v>
      </c>
      <c r="M1821" t="str">
        <f>_xlfn.XLOOKUP(C1821, Table2[Species],Table2[Sp. Name], "Code Not Found")</f>
        <v>saccharum</v>
      </c>
      <c r="N1821" t="str">
        <f>_xlfn.XLOOKUP(C1821,Table2[Species],Table2[Family],"Code Not Found")</f>
        <v>Sapindaceae</v>
      </c>
      <c r="O1821" t="str" cm="1">
        <f t="array" ref="O1821">_xlfn.IFS(F1821="","",F1821&lt;=5,"0 to 5",F1821&lt;=10,"5.1 to 10",F1821&lt;=20,"10 to 20", F1821&lt;= 40, "20 to 40", F1821 &lt;= 50, "40 to 50", F1821 &gt; 50, "&gt;50" )</f>
        <v>10 to 20</v>
      </c>
    </row>
    <row r="1822" spans="1:15" ht="15" customHeight="1" x14ac:dyDescent="0.3">
      <c r="A1822" t="s">
        <v>351</v>
      </c>
      <c r="B1822" s="1">
        <v>46202</v>
      </c>
      <c r="C1822" t="s">
        <v>16</v>
      </c>
      <c r="D1822">
        <v>1673</v>
      </c>
      <c r="E1822">
        <v>1</v>
      </c>
      <c r="F1822">
        <v>4.5</v>
      </c>
      <c r="G1822" t="s">
        <v>17</v>
      </c>
      <c r="H1822" t="s">
        <v>36</v>
      </c>
      <c r="I1822" t="str">
        <f t="shared" si="39"/>
        <v>1673_1</v>
      </c>
      <c r="J1822" t="s">
        <v>241</v>
      </c>
      <c r="K1822" t="s">
        <v>179</v>
      </c>
      <c r="L1822" t="str">
        <f>_xlfn.XLOOKUP(C1822, Table2[Species],Table2[Genus], "Code Not Found")</f>
        <v>Acer</v>
      </c>
      <c r="M1822" t="str">
        <f>_xlfn.XLOOKUP(C1822, Table2[Species],Table2[Sp. Name], "Code Not Found")</f>
        <v>saccharum</v>
      </c>
      <c r="N1822" t="str">
        <f>_xlfn.XLOOKUP(C1822,Table2[Species],Table2[Family],"Code Not Found")</f>
        <v>Sapindaceae</v>
      </c>
      <c r="O1822" t="str" cm="1">
        <f t="array" ref="O1822">_xlfn.IFS(F1822="","",F1822&lt;=5,"0 to 5",F1822&lt;=10,"5.1 to 10",F1822&lt;=20,"10 to 20", F1822&lt;= 40, "20 to 40", F1822 &lt;= 50, "40 to 50", F1822 &gt; 50, "&gt;50" )</f>
        <v>0 to 5</v>
      </c>
    </row>
    <row r="1823" spans="1:15" ht="15" customHeight="1" x14ac:dyDescent="0.3">
      <c r="A1823" t="s">
        <v>351</v>
      </c>
      <c r="B1823" s="1">
        <v>46202</v>
      </c>
      <c r="C1823" t="s">
        <v>16</v>
      </c>
      <c r="D1823">
        <v>1674</v>
      </c>
      <c r="E1823">
        <v>1</v>
      </c>
      <c r="F1823">
        <v>3.5</v>
      </c>
      <c r="G1823" t="s">
        <v>17</v>
      </c>
      <c r="I1823" t="str">
        <f t="shared" si="39"/>
        <v>1674_1</v>
      </c>
      <c r="J1823" t="s">
        <v>241</v>
      </c>
      <c r="K1823" t="s">
        <v>179</v>
      </c>
      <c r="L1823" t="str">
        <f>_xlfn.XLOOKUP(C1823, Table2[Species],Table2[Genus], "Code Not Found")</f>
        <v>Acer</v>
      </c>
      <c r="M1823" t="str">
        <f>_xlfn.XLOOKUP(C1823, Table2[Species],Table2[Sp. Name], "Code Not Found")</f>
        <v>saccharum</v>
      </c>
      <c r="N1823" t="str">
        <f>_xlfn.XLOOKUP(C1823,Table2[Species],Table2[Family],"Code Not Found")</f>
        <v>Sapindaceae</v>
      </c>
      <c r="O1823" t="str" cm="1">
        <f t="array" ref="O1823">_xlfn.IFS(F1823="","",F1823&lt;=5,"0 to 5",F1823&lt;=10,"5.1 to 10",F1823&lt;=20,"10 to 20", F1823&lt;= 40, "20 to 40", F1823 &lt;= 50, "40 to 50", F1823 &gt; 50, "&gt;50" )</f>
        <v>0 to 5</v>
      </c>
    </row>
    <row r="1824" spans="1:15" ht="15" customHeight="1" x14ac:dyDescent="0.3">
      <c r="A1824" t="s">
        <v>351</v>
      </c>
      <c r="B1824" s="1">
        <v>46202</v>
      </c>
      <c r="C1824" t="s">
        <v>55</v>
      </c>
      <c r="D1824">
        <v>1675</v>
      </c>
      <c r="E1824">
        <v>1</v>
      </c>
      <c r="F1824">
        <v>30.8</v>
      </c>
      <c r="G1824" t="s">
        <v>17</v>
      </c>
      <c r="I1824" t="str">
        <f t="shared" si="39"/>
        <v>1675_1</v>
      </c>
      <c r="J1824" t="s">
        <v>241</v>
      </c>
      <c r="K1824" t="s">
        <v>179</v>
      </c>
      <c r="L1824" t="str">
        <f>_xlfn.XLOOKUP(C1824, Table2[Species],Table2[Genus], "Code Not Found")</f>
        <v>Magnolia</v>
      </c>
      <c r="M1824" t="str">
        <f>_xlfn.XLOOKUP(C1824, Table2[Species],Table2[Sp. Name], "Code Not Found")</f>
        <v>acuminata</v>
      </c>
      <c r="N1824" t="str">
        <f>_xlfn.XLOOKUP(C1824,Table2[Species],Table2[Family],"Code Not Found")</f>
        <v>Magnoliaceae</v>
      </c>
      <c r="O1824" t="str" cm="1">
        <f t="array" ref="O1824">_xlfn.IFS(F1824="","",F1824&lt;=5,"0 to 5",F1824&lt;=10,"5.1 to 10",F1824&lt;=20,"10 to 20", F1824&lt;= 40, "20 to 40", F1824 &lt;= 50, "40 to 50", F1824 &gt; 50, "&gt;50" )</f>
        <v>20 to 40</v>
      </c>
    </row>
    <row r="1825" spans="1:15" ht="15" customHeight="1" x14ac:dyDescent="0.3">
      <c r="A1825" t="s">
        <v>351</v>
      </c>
      <c r="B1825" s="1">
        <v>46202</v>
      </c>
      <c r="C1825" t="s">
        <v>24</v>
      </c>
      <c r="D1825">
        <v>1676</v>
      </c>
      <c r="E1825">
        <v>1</v>
      </c>
      <c r="F1825">
        <v>35.299999999999997</v>
      </c>
      <c r="G1825" t="s">
        <v>17</v>
      </c>
      <c r="I1825" t="str">
        <f t="shared" si="39"/>
        <v>1676_1</v>
      </c>
      <c r="J1825" t="s">
        <v>241</v>
      </c>
      <c r="K1825" t="s">
        <v>179</v>
      </c>
      <c r="L1825" t="str">
        <f>_xlfn.XLOOKUP(C1825, Table2[Species],Table2[Genus], "Code Not Found")</f>
        <v>Lirodendron</v>
      </c>
      <c r="M1825" t="str">
        <f>_xlfn.XLOOKUP(C1825, Table2[Species],Table2[Sp. Name], "Code Not Found")</f>
        <v>tulipfera</v>
      </c>
      <c r="N1825" t="str">
        <f>_xlfn.XLOOKUP(C1825,Table2[Species],Table2[Family],"Code Not Found")</f>
        <v>Magnoliaceae</v>
      </c>
      <c r="O1825" t="str" cm="1">
        <f t="array" ref="O1825">_xlfn.IFS(F1825="","",F1825&lt;=5,"0 to 5",F1825&lt;=10,"5.1 to 10",F1825&lt;=20,"10 to 20", F1825&lt;= 40, "20 to 40", F1825 &lt;= 50, "40 to 50", F1825 &gt; 50, "&gt;50" )</f>
        <v>20 to 40</v>
      </c>
    </row>
    <row r="1826" spans="1:15" ht="15" customHeight="1" x14ac:dyDescent="0.3">
      <c r="A1826" t="s">
        <v>351</v>
      </c>
      <c r="B1826" s="1">
        <v>46202</v>
      </c>
      <c r="C1826" t="s">
        <v>16</v>
      </c>
      <c r="D1826">
        <v>1677</v>
      </c>
      <c r="E1826">
        <v>1</v>
      </c>
      <c r="F1826">
        <v>2.5</v>
      </c>
      <c r="G1826" t="s">
        <v>381</v>
      </c>
      <c r="H1826" t="s">
        <v>382</v>
      </c>
      <c r="I1826" t="str">
        <f t="shared" si="39"/>
        <v>1677_1</v>
      </c>
      <c r="J1826" t="s">
        <v>241</v>
      </c>
      <c r="K1826" t="s">
        <v>179</v>
      </c>
      <c r="L1826" t="str">
        <f>_xlfn.XLOOKUP(C1826, Table2[Species],Table2[Genus], "Code Not Found")</f>
        <v>Acer</v>
      </c>
      <c r="M1826" t="str">
        <f>_xlfn.XLOOKUP(C1826, Table2[Species],Table2[Sp. Name], "Code Not Found")</f>
        <v>saccharum</v>
      </c>
      <c r="N1826" t="str">
        <f>_xlfn.XLOOKUP(C1826,Table2[Species],Table2[Family],"Code Not Found")</f>
        <v>Sapindaceae</v>
      </c>
      <c r="O1826" t="str" cm="1">
        <f t="array" ref="O1826">_xlfn.IFS(F1826="","",F1826&lt;=5,"0 to 5",F1826&lt;=10,"5.1 to 10",F1826&lt;=20,"10 to 20", F1826&lt;= 40, "20 to 40", F1826 &lt;= 50, "40 to 50", F1826 &gt; 50, "&gt;50" )</f>
        <v>0 to 5</v>
      </c>
    </row>
    <row r="1827" spans="1:15" ht="15" customHeight="1" x14ac:dyDescent="0.3">
      <c r="A1827" t="s">
        <v>351</v>
      </c>
      <c r="B1827" s="1">
        <v>46202</v>
      </c>
      <c r="C1827" t="s">
        <v>24</v>
      </c>
      <c r="D1827">
        <v>1678</v>
      </c>
      <c r="E1827">
        <v>1</v>
      </c>
      <c r="F1827">
        <v>22.7</v>
      </c>
      <c r="G1827" t="s">
        <v>21</v>
      </c>
      <c r="I1827" t="str">
        <f t="shared" si="39"/>
        <v>1678_1</v>
      </c>
      <c r="J1827" t="s">
        <v>241</v>
      </c>
      <c r="K1827" t="s">
        <v>179</v>
      </c>
      <c r="L1827" t="str">
        <f>_xlfn.XLOOKUP(C1827, Table2[Species],Table2[Genus], "Code Not Found")</f>
        <v>Lirodendron</v>
      </c>
      <c r="M1827" t="str">
        <f>_xlfn.XLOOKUP(C1827, Table2[Species],Table2[Sp. Name], "Code Not Found")</f>
        <v>tulipfera</v>
      </c>
      <c r="N1827" t="str">
        <f>_xlfn.XLOOKUP(C1827,Table2[Species],Table2[Family],"Code Not Found")</f>
        <v>Magnoliaceae</v>
      </c>
      <c r="O1827" t="str" cm="1">
        <f t="array" ref="O1827">_xlfn.IFS(F1827="","",F1827&lt;=5,"0 to 5",F1827&lt;=10,"5.1 to 10",F1827&lt;=20,"10 to 20", F1827&lt;= 40, "20 to 40", F1827 &lt;= 50, "40 to 50", F1827 &gt; 50, "&gt;50" )</f>
        <v>20 to 40</v>
      </c>
    </row>
    <row r="1828" spans="1:15" ht="15" customHeight="1" x14ac:dyDescent="0.3">
      <c r="A1828" t="s">
        <v>351</v>
      </c>
      <c r="B1828" s="1">
        <v>46202</v>
      </c>
      <c r="C1828" t="s">
        <v>16</v>
      </c>
      <c r="D1828">
        <v>1679</v>
      </c>
      <c r="E1828">
        <v>1</v>
      </c>
      <c r="F1828">
        <v>3.2</v>
      </c>
      <c r="G1828" t="s">
        <v>368</v>
      </c>
      <c r="I1828" t="str">
        <f t="shared" si="39"/>
        <v>1679_1</v>
      </c>
      <c r="J1828" t="s">
        <v>241</v>
      </c>
      <c r="K1828" t="s">
        <v>179</v>
      </c>
      <c r="L1828" t="str">
        <f>_xlfn.XLOOKUP(C1828, Table2[Species],Table2[Genus], "Code Not Found")</f>
        <v>Acer</v>
      </c>
      <c r="M1828" t="str">
        <f>_xlfn.XLOOKUP(C1828, Table2[Species],Table2[Sp. Name], "Code Not Found")</f>
        <v>saccharum</v>
      </c>
      <c r="N1828" t="str">
        <f>_xlfn.XLOOKUP(C1828,Table2[Species],Table2[Family],"Code Not Found")</f>
        <v>Sapindaceae</v>
      </c>
      <c r="O1828" t="str" cm="1">
        <f t="array" ref="O1828">_xlfn.IFS(F1828="","",F1828&lt;=5,"0 to 5",F1828&lt;=10,"5.1 to 10",F1828&lt;=20,"10 to 20", F1828&lt;= 40, "20 to 40", F1828 &lt;= 50, "40 to 50", F1828 &gt; 50, "&gt;50" )</f>
        <v>0 to 5</v>
      </c>
    </row>
    <row r="1829" spans="1:15" ht="15" customHeight="1" x14ac:dyDescent="0.3">
      <c r="A1829" t="s">
        <v>351</v>
      </c>
      <c r="B1829" s="1">
        <v>46202</v>
      </c>
      <c r="C1829" t="s">
        <v>16</v>
      </c>
      <c r="D1829">
        <v>1680</v>
      </c>
      <c r="E1829">
        <v>1</v>
      </c>
      <c r="F1829">
        <v>10.7</v>
      </c>
      <c r="G1829" t="s">
        <v>21</v>
      </c>
      <c r="I1829" t="str">
        <f t="shared" si="39"/>
        <v>1680_1</v>
      </c>
      <c r="J1829" t="s">
        <v>241</v>
      </c>
      <c r="K1829" t="s">
        <v>179</v>
      </c>
      <c r="L1829" t="str">
        <f>_xlfn.XLOOKUP(C1829, Table2[Species],Table2[Genus], "Code Not Found")</f>
        <v>Acer</v>
      </c>
      <c r="M1829" t="str">
        <f>_xlfn.XLOOKUP(C1829, Table2[Species],Table2[Sp. Name], "Code Not Found")</f>
        <v>saccharum</v>
      </c>
      <c r="N1829" t="str">
        <f>_xlfn.XLOOKUP(C1829,Table2[Species],Table2[Family],"Code Not Found")</f>
        <v>Sapindaceae</v>
      </c>
      <c r="O1829" t="str" cm="1">
        <f t="array" ref="O1829">_xlfn.IFS(F1829="","",F1829&lt;=5,"0 to 5",F1829&lt;=10,"5.1 to 10",F1829&lt;=20,"10 to 20", F1829&lt;= 40, "20 to 40", F1829 &lt;= 50, "40 to 50", F1829 &gt; 50, "&gt;50" )</f>
        <v>10 to 20</v>
      </c>
    </row>
    <row r="1830" spans="1:15" ht="15" customHeight="1" x14ac:dyDescent="0.3">
      <c r="A1830" t="s">
        <v>351</v>
      </c>
      <c r="B1830" s="1">
        <v>46202</v>
      </c>
      <c r="C1830" t="s">
        <v>16</v>
      </c>
      <c r="D1830">
        <v>1681</v>
      </c>
      <c r="E1830">
        <v>1</v>
      </c>
      <c r="F1830">
        <v>11.2</v>
      </c>
      <c r="G1830" t="s">
        <v>17</v>
      </c>
      <c r="H1830" t="s">
        <v>36</v>
      </c>
      <c r="I1830" t="str">
        <f t="shared" si="39"/>
        <v>1681_1</v>
      </c>
      <c r="J1830" t="s">
        <v>241</v>
      </c>
      <c r="K1830" t="s">
        <v>179</v>
      </c>
      <c r="L1830" t="str">
        <f>_xlfn.XLOOKUP(C1830, Table2[Species],Table2[Genus], "Code Not Found")</f>
        <v>Acer</v>
      </c>
      <c r="M1830" t="str">
        <f>_xlfn.XLOOKUP(C1830, Table2[Species],Table2[Sp. Name], "Code Not Found")</f>
        <v>saccharum</v>
      </c>
      <c r="N1830" t="str">
        <f>_xlfn.XLOOKUP(C1830,Table2[Species],Table2[Family],"Code Not Found")</f>
        <v>Sapindaceae</v>
      </c>
      <c r="O1830" t="str" cm="1">
        <f t="array" ref="O1830">_xlfn.IFS(F1830="","",F1830&lt;=5,"0 to 5",F1830&lt;=10,"5.1 to 10",F1830&lt;=20,"10 to 20", F1830&lt;= 40, "20 to 40", F1830 &lt;= 50, "40 to 50", F1830 &gt; 50, "&gt;50" )</f>
        <v>10 to 20</v>
      </c>
    </row>
    <row r="1831" spans="1:15" ht="15" customHeight="1" x14ac:dyDescent="0.3">
      <c r="A1831" t="s">
        <v>351</v>
      </c>
      <c r="B1831" s="1">
        <v>46202</v>
      </c>
      <c r="C1831" t="s">
        <v>16</v>
      </c>
      <c r="D1831">
        <v>1682</v>
      </c>
      <c r="E1831">
        <v>1</v>
      </c>
      <c r="F1831">
        <v>6.5</v>
      </c>
      <c r="G1831" t="s">
        <v>17</v>
      </c>
      <c r="H1831" t="s">
        <v>36</v>
      </c>
      <c r="I1831" t="str">
        <f t="shared" si="39"/>
        <v>1682_1</v>
      </c>
      <c r="J1831" t="s">
        <v>241</v>
      </c>
      <c r="K1831" t="s">
        <v>179</v>
      </c>
      <c r="L1831" t="str">
        <f>_xlfn.XLOOKUP(C1831, Table2[Species],Table2[Genus], "Code Not Found")</f>
        <v>Acer</v>
      </c>
      <c r="M1831" t="str">
        <f>_xlfn.XLOOKUP(C1831, Table2[Species],Table2[Sp. Name], "Code Not Found")</f>
        <v>saccharum</v>
      </c>
      <c r="N1831" t="str">
        <f>_xlfn.XLOOKUP(C1831,Table2[Species],Table2[Family],"Code Not Found")</f>
        <v>Sapindaceae</v>
      </c>
      <c r="O1831" t="str" cm="1">
        <f t="array" ref="O1831">_xlfn.IFS(F1831="","",F1831&lt;=5,"0 to 5",F1831&lt;=10,"5.1 to 10",F1831&lt;=20,"10 to 20", F1831&lt;= 40, "20 to 40", F1831 &lt;= 50, "40 to 50", F1831 &gt; 50, "&gt;50" )</f>
        <v>5.1 to 10</v>
      </c>
    </row>
    <row r="1832" spans="1:15" ht="15" customHeight="1" x14ac:dyDescent="0.3">
      <c r="A1832" t="s">
        <v>351</v>
      </c>
      <c r="B1832" s="1">
        <v>46202</v>
      </c>
      <c r="C1832" t="s">
        <v>64</v>
      </c>
      <c r="D1832">
        <v>1683</v>
      </c>
      <c r="E1832">
        <v>1</v>
      </c>
      <c r="F1832">
        <v>71</v>
      </c>
      <c r="G1832" t="s">
        <v>32</v>
      </c>
      <c r="I1832" t="str">
        <f t="shared" si="39"/>
        <v>1683_1</v>
      </c>
      <c r="J1832" t="s">
        <v>241</v>
      </c>
      <c r="K1832" t="s">
        <v>179</v>
      </c>
      <c r="L1832" t="str">
        <f>_xlfn.XLOOKUP(C1832, Table2[Species],Table2[Genus], "Code Not Found")</f>
        <v>Fagus</v>
      </c>
      <c r="M1832" t="str">
        <f>_xlfn.XLOOKUP(C1832, Table2[Species],Table2[Sp. Name], "Code Not Found")</f>
        <v>grandifolia</v>
      </c>
      <c r="N1832" t="str">
        <f>_xlfn.XLOOKUP(C1832,Table2[Species],Table2[Family],"Code Not Found")</f>
        <v>Fagaceae</v>
      </c>
      <c r="O1832" t="str" cm="1">
        <f t="array" ref="O1832">_xlfn.IFS(F1832="","",F1832&lt;=5,"0 to 5",F1832&lt;=10,"5.1 to 10",F1832&lt;=20,"10 to 20", F1832&lt;= 40, "20 to 40", F1832 &lt;= 50, "40 to 50", F1832 &gt; 50, "&gt;50" )</f>
        <v>&gt;50</v>
      </c>
    </row>
    <row r="1833" spans="1:15" ht="15" customHeight="1" x14ac:dyDescent="0.3">
      <c r="A1833" t="s">
        <v>351</v>
      </c>
      <c r="B1833" s="1">
        <v>46202</v>
      </c>
      <c r="C1833" t="s">
        <v>64</v>
      </c>
      <c r="D1833">
        <v>1683</v>
      </c>
      <c r="E1833">
        <v>2</v>
      </c>
      <c r="F1833">
        <v>2.2999999999999998</v>
      </c>
      <c r="G1833" t="s">
        <v>34</v>
      </c>
      <c r="I1833" t="str">
        <f t="shared" si="39"/>
        <v>1683_2</v>
      </c>
      <c r="J1833" t="s">
        <v>241</v>
      </c>
      <c r="K1833" t="s">
        <v>179</v>
      </c>
      <c r="L1833" t="str">
        <f>_xlfn.XLOOKUP(C1833, Table2[Species],Table2[Genus], "Code Not Found")</f>
        <v>Fagus</v>
      </c>
      <c r="M1833" t="str">
        <f>_xlfn.XLOOKUP(C1833, Table2[Species],Table2[Sp. Name], "Code Not Found")</f>
        <v>grandifolia</v>
      </c>
      <c r="N1833" t="str">
        <f>_xlfn.XLOOKUP(C1833,Table2[Species],Table2[Family],"Code Not Found")</f>
        <v>Fagaceae</v>
      </c>
      <c r="O1833" t="str" cm="1">
        <f t="array" ref="O1833">_xlfn.IFS(F1833="","",F1833&lt;=5,"0 to 5",F1833&lt;=10,"5.1 to 10",F1833&lt;=20,"10 to 20", F1833&lt;= 40, "20 to 40", F1833 &lt;= 50, "40 to 50", F1833 &gt; 50, "&gt;50" )</f>
        <v>0 to 5</v>
      </c>
    </row>
    <row r="1834" spans="1:15" ht="15" customHeight="1" x14ac:dyDescent="0.3">
      <c r="A1834" t="s">
        <v>351</v>
      </c>
      <c r="B1834" s="1">
        <v>46202</v>
      </c>
      <c r="C1834" t="s">
        <v>64</v>
      </c>
      <c r="D1834">
        <v>1683</v>
      </c>
      <c r="E1834">
        <v>3.1</v>
      </c>
      <c r="F1834">
        <v>1.1000000000000001</v>
      </c>
      <c r="G1834" t="s">
        <v>34</v>
      </c>
      <c r="I1834" t="str">
        <f t="shared" si="39"/>
        <v>1683_3.1</v>
      </c>
      <c r="J1834" t="s">
        <v>241</v>
      </c>
      <c r="K1834" t="s">
        <v>179</v>
      </c>
      <c r="L1834" t="str">
        <f>_xlfn.XLOOKUP(C1834, Table2[Species],Table2[Genus], "Code Not Found")</f>
        <v>Fagus</v>
      </c>
      <c r="M1834" t="str">
        <f>_xlfn.XLOOKUP(C1834, Table2[Species],Table2[Sp. Name], "Code Not Found")</f>
        <v>grandifolia</v>
      </c>
      <c r="N1834" t="str">
        <f>_xlfn.XLOOKUP(C1834,Table2[Species],Table2[Family],"Code Not Found")</f>
        <v>Fagaceae</v>
      </c>
      <c r="O1834" t="str" cm="1">
        <f t="array" ref="O1834">_xlfn.IFS(F1834="","",F1834&lt;=5,"0 to 5",F1834&lt;=10,"5.1 to 10",F1834&lt;=20,"10 to 20", F1834&lt;= 40, "20 to 40", F1834 &lt;= 50, "40 to 50", F1834 &gt; 50, "&gt;50" )</f>
        <v>0 to 5</v>
      </c>
    </row>
    <row r="1835" spans="1:15" ht="15" customHeight="1" x14ac:dyDescent="0.3">
      <c r="A1835" t="s">
        <v>351</v>
      </c>
      <c r="B1835" s="1">
        <v>46202</v>
      </c>
      <c r="C1835" t="s">
        <v>64</v>
      </c>
      <c r="D1835">
        <v>1683</v>
      </c>
      <c r="E1835">
        <v>3.2</v>
      </c>
      <c r="F1835">
        <v>1</v>
      </c>
      <c r="G1835" t="s">
        <v>34</v>
      </c>
      <c r="H1835" t="s">
        <v>174</v>
      </c>
      <c r="I1835" t="str">
        <f t="shared" si="39"/>
        <v>1683_3.2</v>
      </c>
      <c r="J1835" t="s">
        <v>241</v>
      </c>
      <c r="K1835" t="s">
        <v>179</v>
      </c>
      <c r="L1835" t="str">
        <f>_xlfn.XLOOKUP(C1835, Table2[Species],Table2[Genus], "Code Not Found")</f>
        <v>Fagus</v>
      </c>
      <c r="M1835" t="str">
        <f>_xlfn.XLOOKUP(C1835, Table2[Species],Table2[Sp. Name], "Code Not Found")</f>
        <v>grandifolia</v>
      </c>
      <c r="N1835" t="str">
        <f>_xlfn.XLOOKUP(C1835,Table2[Species],Table2[Family],"Code Not Found")</f>
        <v>Fagaceae</v>
      </c>
      <c r="O1835" t="str" cm="1">
        <f t="array" ref="O1835">_xlfn.IFS(F1835="","",F1835&lt;=5,"0 to 5",F1835&lt;=10,"5.1 to 10",F1835&lt;=20,"10 to 20", F1835&lt;= 40, "20 to 40", F1835 &lt;= 50, "40 to 50", F1835 &gt; 50, "&gt;50" )</f>
        <v>0 to 5</v>
      </c>
    </row>
    <row r="1836" spans="1:15" ht="15" customHeight="1" x14ac:dyDescent="0.3">
      <c r="A1836" t="s">
        <v>351</v>
      </c>
      <c r="B1836" s="1">
        <v>46203</v>
      </c>
      <c r="C1836" t="s">
        <v>64</v>
      </c>
      <c r="D1836">
        <v>1684</v>
      </c>
      <c r="E1836">
        <v>1</v>
      </c>
      <c r="F1836">
        <v>9.6999999999999993</v>
      </c>
      <c r="G1836" t="s">
        <v>103</v>
      </c>
      <c r="H1836" t="s">
        <v>297</v>
      </c>
      <c r="I1836" t="str">
        <f t="shared" si="39"/>
        <v>1684_1</v>
      </c>
      <c r="J1836" t="s">
        <v>241</v>
      </c>
      <c r="K1836" t="s">
        <v>179</v>
      </c>
      <c r="L1836" t="str">
        <f>_xlfn.XLOOKUP(C1836, Table2[Species],Table2[Genus], "Code Not Found")</f>
        <v>Fagus</v>
      </c>
      <c r="M1836" t="str">
        <f>_xlfn.XLOOKUP(C1836, Table2[Species],Table2[Sp. Name], "Code Not Found")</f>
        <v>grandifolia</v>
      </c>
      <c r="N1836" t="str">
        <f>_xlfn.XLOOKUP(C1836,Table2[Species],Table2[Family],"Code Not Found")</f>
        <v>Fagaceae</v>
      </c>
      <c r="O1836" t="str" cm="1">
        <f t="array" ref="O1836">_xlfn.IFS(F1836="","",F1836&lt;=5,"0 to 5",F1836&lt;=10,"5.1 to 10",F1836&lt;=20,"10 to 20", F1836&lt;= 40, "20 to 40", F1836 &lt;= 50, "40 to 50", F1836 &gt; 50, "&gt;50" )</f>
        <v>5.1 to 10</v>
      </c>
    </row>
    <row r="1837" spans="1:15" ht="15" customHeight="1" x14ac:dyDescent="0.3">
      <c r="A1837" t="s">
        <v>351</v>
      </c>
      <c r="B1837" s="1">
        <v>46203</v>
      </c>
      <c r="C1837" t="s">
        <v>64</v>
      </c>
      <c r="D1837">
        <v>1685</v>
      </c>
      <c r="E1837">
        <v>1</v>
      </c>
      <c r="F1837">
        <v>7</v>
      </c>
      <c r="G1837" t="s">
        <v>94</v>
      </c>
      <c r="H1837" t="s">
        <v>383</v>
      </c>
      <c r="I1837" t="str">
        <f t="shared" si="39"/>
        <v>1685_1</v>
      </c>
      <c r="J1837" t="s">
        <v>241</v>
      </c>
      <c r="K1837" t="s">
        <v>179</v>
      </c>
      <c r="L1837" t="str">
        <f>_xlfn.XLOOKUP(C1837, Table2[Species],Table2[Genus], "Code Not Found")</f>
        <v>Fagus</v>
      </c>
      <c r="M1837" t="str">
        <f>_xlfn.XLOOKUP(C1837, Table2[Species],Table2[Sp. Name], "Code Not Found")</f>
        <v>grandifolia</v>
      </c>
      <c r="N1837" t="str">
        <f>_xlfn.XLOOKUP(C1837,Table2[Species],Table2[Family],"Code Not Found")</f>
        <v>Fagaceae</v>
      </c>
      <c r="O1837" t="str" cm="1">
        <f t="array" ref="O1837">_xlfn.IFS(F1837="","",F1837&lt;=5,"0 to 5",F1837&lt;=10,"5.1 to 10",F1837&lt;=20,"10 to 20", F1837&lt;= 40, "20 to 40", F1837 &lt;= 50, "40 to 50", F1837 &gt; 50, "&gt;50" )</f>
        <v>5.1 to 10</v>
      </c>
    </row>
    <row r="1838" spans="1:15" ht="15" customHeight="1" x14ac:dyDescent="0.3">
      <c r="A1838" t="s">
        <v>351</v>
      </c>
      <c r="B1838" s="1">
        <v>46203</v>
      </c>
      <c r="C1838" t="s">
        <v>64</v>
      </c>
      <c r="D1838">
        <v>1686</v>
      </c>
      <c r="E1838">
        <v>1</v>
      </c>
      <c r="F1838">
        <v>7.9</v>
      </c>
      <c r="G1838" t="s">
        <v>368</v>
      </c>
      <c r="H1838" t="s">
        <v>297</v>
      </c>
      <c r="I1838" t="str">
        <f t="shared" ref="I1838:I1901" si="40">D1838&amp;"_"&amp;E1838</f>
        <v>1686_1</v>
      </c>
      <c r="J1838" t="s">
        <v>241</v>
      </c>
      <c r="K1838" t="s">
        <v>179</v>
      </c>
      <c r="L1838" t="str">
        <f>_xlfn.XLOOKUP(C1838, Table2[Species],Table2[Genus], "Code Not Found")</f>
        <v>Fagus</v>
      </c>
      <c r="M1838" t="str">
        <f>_xlfn.XLOOKUP(C1838, Table2[Species],Table2[Sp. Name], "Code Not Found")</f>
        <v>grandifolia</v>
      </c>
      <c r="N1838" t="str">
        <f>_xlfn.XLOOKUP(C1838,Table2[Species],Table2[Family],"Code Not Found")</f>
        <v>Fagaceae</v>
      </c>
      <c r="O1838" t="str" cm="1">
        <f t="array" ref="O1838">_xlfn.IFS(F1838="","",F1838&lt;=5,"0 to 5",F1838&lt;=10,"5.1 to 10",F1838&lt;=20,"10 to 20", F1838&lt;= 40, "20 to 40", F1838 &lt;= 50, "40 to 50", F1838 &gt; 50, "&gt;50" )</f>
        <v>5.1 to 10</v>
      </c>
    </row>
    <row r="1839" spans="1:15" ht="15" customHeight="1" x14ac:dyDescent="0.3">
      <c r="A1839" t="s">
        <v>351</v>
      </c>
      <c r="B1839" s="1">
        <v>46203</v>
      </c>
      <c r="C1839" t="s">
        <v>64</v>
      </c>
      <c r="D1839">
        <v>1687</v>
      </c>
      <c r="E1839">
        <v>1</v>
      </c>
      <c r="F1839">
        <v>13.3</v>
      </c>
      <c r="G1839" t="s">
        <v>384</v>
      </c>
      <c r="H1839" t="s">
        <v>385</v>
      </c>
      <c r="I1839" t="str">
        <f t="shared" si="40"/>
        <v>1687_1</v>
      </c>
      <c r="J1839" t="s">
        <v>241</v>
      </c>
      <c r="K1839" t="s">
        <v>179</v>
      </c>
      <c r="L1839" t="str">
        <f>_xlfn.XLOOKUP(C1839, Table2[Species],Table2[Genus], "Code Not Found")</f>
        <v>Fagus</v>
      </c>
      <c r="M1839" t="str">
        <f>_xlfn.XLOOKUP(C1839, Table2[Species],Table2[Sp. Name], "Code Not Found")</f>
        <v>grandifolia</v>
      </c>
      <c r="N1839" t="str">
        <f>_xlfn.XLOOKUP(C1839,Table2[Species],Table2[Family],"Code Not Found")</f>
        <v>Fagaceae</v>
      </c>
      <c r="O1839" t="str" cm="1">
        <f t="array" ref="O1839">_xlfn.IFS(F1839="","",F1839&lt;=5,"0 to 5",F1839&lt;=10,"5.1 to 10",F1839&lt;=20,"10 to 20", F1839&lt;= 40, "20 to 40", F1839 &lt;= 50, "40 to 50", F1839 &gt; 50, "&gt;50" )</f>
        <v>10 to 20</v>
      </c>
    </row>
    <row r="1840" spans="1:15" ht="15" customHeight="1" x14ac:dyDescent="0.3">
      <c r="A1840" t="s">
        <v>351</v>
      </c>
      <c r="B1840" s="1">
        <v>46203</v>
      </c>
      <c r="C1840" t="s">
        <v>16</v>
      </c>
      <c r="D1840">
        <v>1688</v>
      </c>
      <c r="E1840">
        <v>1</v>
      </c>
      <c r="F1840">
        <v>8.6</v>
      </c>
      <c r="G1840" t="s">
        <v>17</v>
      </c>
      <c r="I1840" t="str">
        <f t="shared" si="40"/>
        <v>1688_1</v>
      </c>
      <c r="J1840" t="s">
        <v>241</v>
      </c>
      <c r="K1840" t="s">
        <v>179</v>
      </c>
      <c r="L1840" t="str">
        <f>_xlfn.XLOOKUP(C1840, Table2[Species],Table2[Genus], "Code Not Found")</f>
        <v>Acer</v>
      </c>
      <c r="M1840" t="str">
        <f>_xlfn.XLOOKUP(C1840, Table2[Species],Table2[Sp. Name], "Code Not Found")</f>
        <v>saccharum</v>
      </c>
      <c r="N1840" t="str">
        <f>_xlfn.XLOOKUP(C1840,Table2[Species],Table2[Family],"Code Not Found")</f>
        <v>Sapindaceae</v>
      </c>
      <c r="O1840" t="str" cm="1">
        <f t="array" ref="O1840">_xlfn.IFS(F1840="","",F1840&lt;=5,"0 to 5",F1840&lt;=10,"5.1 to 10",F1840&lt;=20,"10 to 20", F1840&lt;= 40, "20 to 40", F1840 &lt;= 50, "40 to 50", F1840 &gt; 50, "&gt;50" )</f>
        <v>5.1 to 10</v>
      </c>
    </row>
    <row r="1841" spans="1:15" ht="15" customHeight="1" x14ac:dyDescent="0.3">
      <c r="A1841" t="s">
        <v>351</v>
      </c>
      <c r="B1841" s="1">
        <v>46203</v>
      </c>
      <c r="C1841" t="s">
        <v>16</v>
      </c>
      <c r="D1841">
        <v>1689</v>
      </c>
      <c r="E1841">
        <v>1</v>
      </c>
      <c r="F1841">
        <v>7.2</v>
      </c>
      <c r="G1841" t="s">
        <v>47</v>
      </c>
      <c r="I1841" t="str">
        <f t="shared" si="40"/>
        <v>1689_1</v>
      </c>
      <c r="J1841" t="s">
        <v>241</v>
      </c>
      <c r="K1841" t="s">
        <v>179</v>
      </c>
      <c r="L1841" t="str">
        <f>_xlfn.XLOOKUP(C1841, Table2[Species],Table2[Genus], "Code Not Found")</f>
        <v>Acer</v>
      </c>
      <c r="M1841" t="str">
        <f>_xlfn.XLOOKUP(C1841, Table2[Species],Table2[Sp. Name], "Code Not Found")</f>
        <v>saccharum</v>
      </c>
      <c r="N1841" t="str">
        <f>_xlfn.XLOOKUP(C1841,Table2[Species],Table2[Family],"Code Not Found")</f>
        <v>Sapindaceae</v>
      </c>
      <c r="O1841" t="str" cm="1">
        <f t="array" ref="O1841">_xlfn.IFS(F1841="","",F1841&lt;=5,"0 to 5",F1841&lt;=10,"5.1 to 10",F1841&lt;=20,"10 to 20", F1841&lt;= 40, "20 to 40", F1841 &lt;= 50, "40 to 50", F1841 &gt; 50, "&gt;50" )</f>
        <v>5.1 to 10</v>
      </c>
    </row>
    <row r="1842" spans="1:15" ht="15" customHeight="1" x14ac:dyDescent="0.3">
      <c r="A1842" t="s">
        <v>351</v>
      </c>
      <c r="B1842" s="1">
        <v>46203</v>
      </c>
      <c r="C1842" t="s">
        <v>16</v>
      </c>
      <c r="D1842">
        <v>1690</v>
      </c>
      <c r="E1842">
        <v>1</v>
      </c>
      <c r="F1842">
        <v>4.4000000000000004</v>
      </c>
      <c r="G1842" t="s">
        <v>139</v>
      </c>
      <c r="H1842" t="s">
        <v>386</v>
      </c>
      <c r="I1842" t="str">
        <f t="shared" si="40"/>
        <v>1690_1</v>
      </c>
      <c r="J1842" t="s">
        <v>241</v>
      </c>
      <c r="K1842" t="s">
        <v>179</v>
      </c>
      <c r="L1842" t="str">
        <f>_xlfn.XLOOKUP(C1842, Table2[Species],Table2[Genus], "Code Not Found")</f>
        <v>Acer</v>
      </c>
      <c r="M1842" t="str">
        <f>_xlfn.XLOOKUP(C1842, Table2[Species],Table2[Sp. Name], "Code Not Found")</f>
        <v>saccharum</v>
      </c>
      <c r="N1842" t="str">
        <f>_xlfn.XLOOKUP(C1842,Table2[Species],Table2[Family],"Code Not Found")</f>
        <v>Sapindaceae</v>
      </c>
      <c r="O1842" t="str" cm="1">
        <f t="array" ref="O1842">_xlfn.IFS(F1842="","",F1842&lt;=5,"0 to 5",F1842&lt;=10,"5.1 to 10",F1842&lt;=20,"10 to 20", F1842&lt;= 40, "20 to 40", F1842 &lt;= 50, "40 to 50", F1842 &gt; 50, "&gt;50" )</f>
        <v>0 to 5</v>
      </c>
    </row>
    <row r="1843" spans="1:15" ht="15" customHeight="1" x14ac:dyDescent="0.3">
      <c r="A1843" t="s">
        <v>351</v>
      </c>
      <c r="B1843" s="1">
        <v>46203</v>
      </c>
      <c r="C1843" t="s">
        <v>16</v>
      </c>
      <c r="D1843">
        <v>1691</v>
      </c>
      <c r="E1843">
        <v>1</v>
      </c>
      <c r="F1843">
        <v>17.7</v>
      </c>
      <c r="G1843" t="s">
        <v>21</v>
      </c>
      <c r="I1843" t="str">
        <f t="shared" si="40"/>
        <v>1691_1</v>
      </c>
      <c r="J1843" t="s">
        <v>241</v>
      </c>
      <c r="K1843" t="s">
        <v>179</v>
      </c>
      <c r="L1843" t="str">
        <f>_xlfn.XLOOKUP(C1843, Table2[Species],Table2[Genus], "Code Not Found")</f>
        <v>Acer</v>
      </c>
      <c r="M1843" t="str">
        <f>_xlfn.XLOOKUP(C1843, Table2[Species],Table2[Sp. Name], "Code Not Found")</f>
        <v>saccharum</v>
      </c>
      <c r="N1843" t="str">
        <f>_xlfn.XLOOKUP(C1843,Table2[Species],Table2[Family],"Code Not Found")</f>
        <v>Sapindaceae</v>
      </c>
      <c r="O1843" t="str" cm="1">
        <f t="array" ref="O1843">_xlfn.IFS(F1843="","",F1843&lt;=5,"0 to 5",F1843&lt;=10,"5.1 to 10",F1843&lt;=20,"10 to 20", F1843&lt;= 40, "20 to 40", F1843 &lt;= 50, "40 to 50", F1843 &gt; 50, "&gt;50" )</f>
        <v>10 to 20</v>
      </c>
    </row>
    <row r="1844" spans="1:15" ht="15" customHeight="1" x14ac:dyDescent="0.3">
      <c r="A1844" t="s">
        <v>351</v>
      </c>
      <c r="B1844" s="1">
        <v>46203</v>
      </c>
      <c r="C1844" t="s">
        <v>16</v>
      </c>
      <c r="D1844">
        <v>1692</v>
      </c>
      <c r="E1844">
        <v>1</v>
      </c>
      <c r="F1844">
        <v>22.6</v>
      </c>
      <c r="G1844" t="s">
        <v>17</v>
      </c>
      <c r="H1844" t="s">
        <v>36</v>
      </c>
      <c r="I1844" t="str">
        <f t="shared" si="40"/>
        <v>1692_1</v>
      </c>
      <c r="J1844" t="s">
        <v>241</v>
      </c>
      <c r="K1844" t="s">
        <v>179</v>
      </c>
      <c r="L1844" t="str">
        <f>_xlfn.XLOOKUP(C1844, Table2[Species],Table2[Genus], "Code Not Found")</f>
        <v>Acer</v>
      </c>
      <c r="M1844" t="str">
        <f>_xlfn.XLOOKUP(C1844, Table2[Species],Table2[Sp. Name], "Code Not Found")</f>
        <v>saccharum</v>
      </c>
      <c r="N1844" t="str">
        <f>_xlfn.XLOOKUP(C1844,Table2[Species],Table2[Family],"Code Not Found")</f>
        <v>Sapindaceae</v>
      </c>
      <c r="O1844" t="str" cm="1">
        <f t="array" ref="O1844">_xlfn.IFS(F1844="","",F1844&lt;=5,"0 to 5",F1844&lt;=10,"5.1 to 10",F1844&lt;=20,"10 to 20", F1844&lt;= 40, "20 to 40", F1844 &lt;= 50, "40 to 50", F1844 &gt; 50, "&gt;50" )</f>
        <v>20 to 40</v>
      </c>
    </row>
    <row r="1845" spans="1:15" ht="15" customHeight="1" x14ac:dyDescent="0.3">
      <c r="A1845" t="s">
        <v>351</v>
      </c>
      <c r="B1845" s="1">
        <v>46203</v>
      </c>
      <c r="C1845" t="s">
        <v>16</v>
      </c>
      <c r="D1845">
        <v>1693</v>
      </c>
      <c r="E1845">
        <v>1</v>
      </c>
      <c r="F1845">
        <v>3</v>
      </c>
      <c r="G1845" t="s">
        <v>47</v>
      </c>
      <c r="I1845" t="str">
        <f t="shared" si="40"/>
        <v>1693_1</v>
      </c>
      <c r="J1845" t="s">
        <v>241</v>
      </c>
      <c r="K1845" t="s">
        <v>179</v>
      </c>
      <c r="L1845" t="str">
        <f>_xlfn.XLOOKUP(C1845, Table2[Species],Table2[Genus], "Code Not Found")</f>
        <v>Acer</v>
      </c>
      <c r="M1845" t="str">
        <f>_xlfn.XLOOKUP(C1845, Table2[Species],Table2[Sp. Name], "Code Not Found")</f>
        <v>saccharum</v>
      </c>
      <c r="N1845" t="str">
        <f>_xlfn.XLOOKUP(C1845,Table2[Species],Table2[Family],"Code Not Found")</f>
        <v>Sapindaceae</v>
      </c>
      <c r="O1845" t="str" cm="1">
        <f t="array" ref="O1845">_xlfn.IFS(F1845="","",F1845&lt;=5,"0 to 5",F1845&lt;=10,"5.1 to 10",F1845&lt;=20,"10 to 20", F1845&lt;= 40, "20 to 40", F1845 &lt;= 50, "40 to 50", F1845 &gt; 50, "&gt;50" )</f>
        <v>0 to 5</v>
      </c>
    </row>
    <row r="1846" spans="1:15" ht="15" customHeight="1" x14ac:dyDescent="0.3">
      <c r="A1846" t="s">
        <v>351</v>
      </c>
      <c r="B1846" s="1">
        <v>46203</v>
      </c>
      <c r="C1846" t="s">
        <v>55</v>
      </c>
      <c r="D1846">
        <v>1694</v>
      </c>
      <c r="E1846">
        <v>1</v>
      </c>
      <c r="F1846">
        <v>11.9</v>
      </c>
      <c r="G1846" t="s">
        <v>139</v>
      </c>
      <c r="H1846" t="s">
        <v>326</v>
      </c>
      <c r="I1846" t="str">
        <f t="shared" si="40"/>
        <v>1694_1</v>
      </c>
      <c r="J1846" t="s">
        <v>241</v>
      </c>
      <c r="K1846" t="s">
        <v>179</v>
      </c>
      <c r="L1846" t="str">
        <f>_xlfn.XLOOKUP(C1846, Table2[Species],Table2[Genus], "Code Not Found")</f>
        <v>Magnolia</v>
      </c>
      <c r="M1846" t="str">
        <f>_xlfn.XLOOKUP(C1846, Table2[Species],Table2[Sp. Name], "Code Not Found")</f>
        <v>acuminata</v>
      </c>
      <c r="N1846" t="str">
        <f>_xlfn.XLOOKUP(C1846,Table2[Species],Table2[Family],"Code Not Found")</f>
        <v>Magnoliaceae</v>
      </c>
      <c r="O1846" t="str" cm="1">
        <f t="array" ref="O1846">_xlfn.IFS(F1846="","",F1846&lt;=5,"0 to 5",F1846&lt;=10,"5.1 to 10",F1846&lt;=20,"10 to 20", F1846&lt;= 40, "20 to 40", F1846 &lt;= 50, "40 to 50", F1846 &gt; 50, "&gt;50" )</f>
        <v>10 to 20</v>
      </c>
    </row>
    <row r="1847" spans="1:15" ht="15" customHeight="1" x14ac:dyDescent="0.3">
      <c r="A1847" t="s">
        <v>351</v>
      </c>
      <c r="B1847" s="1">
        <v>46203</v>
      </c>
      <c r="C1847" t="s">
        <v>16</v>
      </c>
      <c r="D1847">
        <v>1695</v>
      </c>
      <c r="E1847">
        <v>1</v>
      </c>
      <c r="F1847">
        <v>7.9</v>
      </c>
      <c r="G1847" t="s">
        <v>17</v>
      </c>
      <c r="I1847" t="str">
        <f t="shared" si="40"/>
        <v>1695_1</v>
      </c>
      <c r="J1847" t="s">
        <v>241</v>
      </c>
      <c r="K1847" t="s">
        <v>179</v>
      </c>
      <c r="L1847" t="str">
        <f>_xlfn.XLOOKUP(C1847, Table2[Species],Table2[Genus], "Code Not Found")</f>
        <v>Acer</v>
      </c>
      <c r="M1847" t="str">
        <f>_xlfn.XLOOKUP(C1847, Table2[Species],Table2[Sp. Name], "Code Not Found")</f>
        <v>saccharum</v>
      </c>
      <c r="N1847" t="str">
        <f>_xlfn.XLOOKUP(C1847,Table2[Species],Table2[Family],"Code Not Found")</f>
        <v>Sapindaceae</v>
      </c>
      <c r="O1847" t="str" cm="1">
        <f t="array" ref="O1847">_xlfn.IFS(F1847="","",F1847&lt;=5,"0 to 5",F1847&lt;=10,"5.1 to 10",F1847&lt;=20,"10 to 20", F1847&lt;= 40, "20 to 40", F1847 &lt;= 50, "40 to 50", F1847 &gt; 50, "&gt;50" )</f>
        <v>5.1 to 10</v>
      </c>
    </row>
    <row r="1848" spans="1:15" ht="15" customHeight="1" x14ac:dyDescent="0.3">
      <c r="A1848" t="s">
        <v>351</v>
      </c>
      <c r="B1848" s="1">
        <v>46203</v>
      </c>
      <c r="C1848" t="s">
        <v>16</v>
      </c>
      <c r="D1848">
        <v>1696</v>
      </c>
      <c r="E1848">
        <v>1</v>
      </c>
      <c r="F1848">
        <v>16.399999999999999</v>
      </c>
      <c r="G1848" t="s">
        <v>56</v>
      </c>
      <c r="H1848" t="s">
        <v>387</v>
      </c>
      <c r="I1848" t="str">
        <f t="shared" si="40"/>
        <v>1696_1</v>
      </c>
      <c r="J1848" t="s">
        <v>241</v>
      </c>
      <c r="K1848" t="s">
        <v>179</v>
      </c>
      <c r="L1848" t="str">
        <f>_xlfn.XLOOKUP(C1848, Table2[Species],Table2[Genus], "Code Not Found")</f>
        <v>Acer</v>
      </c>
      <c r="M1848" t="str">
        <f>_xlfn.XLOOKUP(C1848, Table2[Species],Table2[Sp. Name], "Code Not Found")</f>
        <v>saccharum</v>
      </c>
      <c r="N1848" t="str">
        <f>_xlfn.XLOOKUP(C1848,Table2[Species],Table2[Family],"Code Not Found")</f>
        <v>Sapindaceae</v>
      </c>
      <c r="O1848" t="str" cm="1">
        <f t="array" ref="O1848">_xlfn.IFS(F1848="","",F1848&lt;=5,"0 to 5",F1848&lt;=10,"5.1 to 10",F1848&lt;=20,"10 to 20", F1848&lt;= 40, "20 to 40", F1848 &lt;= 50, "40 to 50", F1848 &gt; 50, "&gt;50" )</f>
        <v>10 to 20</v>
      </c>
    </row>
    <row r="1849" spans="1:15" ht="15" customHeight="1" x14ac:dyDescent="0.3">
      <c r="A1849" t="s">
        <v>351</v>
      </c>
      <c r="B1849" s="1">
        <v>46203</v>
      </c>
      <c r="C1849" t="s">
        <v>16</v>
      </c>
      <c r="D1849">
        <v>1697</v>
      </c>
      <c r="E1849">
        <v>1</v>
      </c>
      <c r="F1849">
        <v>2</v>
      </c>
      <c r="G1849" t="s">
        <v>21</v>
      </c>
      <c r="I1849" t="str">
        <f t="shared" si="40"/>
        <v>1697_1</v>
      </c>
      <c r="J1849" t="s">
        <v>241</v>
      </c>
      <c r="K1849" t="s">
        <v>179</v>
      </c>
      <c r="L1849" t="str">
        <f>_xlfn.XLOOKUP(C1849, Table2[Species],Table2[Genus], "Code Not Found")</f>
        <v>Acer</v>
      </c>
      <c r="M1849" t="str">
        <f>_xlfn.XLOOKUP(C1849, Table2[Species],Table2[Sp. Name], "Code Not Found")</f>
        <v>saccharum</v>
      </c>
      <c r="N1849" t="str">
        <f>_xlfn.XLOOKUP(C1849,Table2[Species],Table2[Family],"Code Not Found")</f>
        <v>Sapindaceae</v>
      </c>
      <c r="O1849" t="str" cm="1">
        <f t="array" ref="O1849">_xlfn.IFS(F1849="","",F1849&lt;=5,"0 to 5",F1849&lt;=10,"5.1 to 10",F1849&lt;=20,"10 to 20", F1849&lt;= 40, "20 to 40", F1849 &lt;= 50, "40 to 50", F1849 &gt; 50, "&gt;50" )</f>
        <v>0 to 5</v>
      </c>
    </row>
    <row r="1850" spans="1:15" ht="15" customHeight="1" x14ac:dyDescent="0.3">
      <c r="A1850" t="s">
        <v>351</v>
      </c>
      <c r="B1850" s="1">
        <v>46203</v>
      </c>
      <c r="C1850" t="s">
        <v>24</v>
      </c>
      <c r="D1850">
        <v>1698</v>
      </c>
      <c r="E1850">
        <v>1</v>
      </c>
      <c r="F1850">
        <v>1</v>
      </c>
      <c r="G1850" t="s">
        <v>359</v>
      </c>
      <c r="I1850" t="str">
        <f t="shared" si="40"/>
        <v>1698_1</v>
      </c>
      <c r="J1850" t="s">
        <v>241</v>
      </c>
      <c r="K1850" t="s">
        <v>179</v>
      </c>
      <c r="L1850" t="str">
        <f>_xlfn.XLOOKUP(C1850, Table2[Species],Table2[Genus], "Code Not Found")</f>
        <v>Lirodendron</v>
      </c>
      <c r="M1850" t="str">
        <f>_xlfn.XLOOKUP(C1850, Table2[Species],Table2[Sp. Name], "Code Not Found")</f>
        <v>tulipfera</v>
      </c>
      <c r="N1850" t="str">
        <f>_xlfn.XLOOKUP(C1850,Table2[Species],Table2[Family],"Code Not Found")</f>
        <v>Magnoliaceae</v>
      </c>
      <c r="O1850" t="str" cm="1">
        <f t="array" ref="O1850">_xlfn.IFS(F1850="","",F1850&lt;=5,"0 to 5",F1850&lt;=10,"5.1 to 10",F1850&lt;=20,"10 to 20", F1850&lt;= 40, "20 to 40", F1850 &lt;= 50, "40 to 50", F1850 &gt; 50, "&gt;50" )</f>
        <v>0 to 5</v>
      </c>
    </row>
    <row r="1851" spans="1:15" ht="15" customHeight="1" x14ac:dyDescent="0.3">
      <c r="A1851" t="s">
        <v>351</v>
      </c>
      <c r="B1851" s="1">
        <v>46203</v>
      </c>
      <c r="C1851" t="s">
        <v>24</v>
      </c>
      <c r="D1851">
        <v>1699</v>
      </c>
      <c r="E1851">
        <v>1</v>
      </c>
      <c r="F1851">
        <v>1.2</v>
      </c>
      <c r="G1851" t="s">
        <v>21</v>
      </c>
      <c r="I1851" t="str">
        <f t="shared" si="40"/>
        <v>1699_1</v>
      </c>
      <c r="J1851" t="s">
        <v>241</v>
      </c>
      <c r="K1851" t="s">
        <v>179</v>
      </c>
      <c r="L1851" t="str">
        <f>_xlfn.XLOOKUP(C1851, Table2[Species],Table2[Genus], "Code Not Found")</f>
        <v>Lirodendron</v>
      </c>
      <c r="M1851" t="str">
        <f>_xlfn.XLOOKUP(C1851, Table2[Species],Table2[Sp. Name], "Code Not Found")</f>
        <v>tulipfera</v>
      </c>
      <c r="N1851" t="str">
        <f>_xlfn.XLOOKUP(C1851,Table2[Species],Table2[Family],"Code Not Found")</f>
        <v>Magnoliaceae</v>
      </c>
      <c r="O1851" t="str" cm="1">
        <f t="array" ref="O1851">_xlfn.IFS(F1851="","",F1851&lt;=5,"0 to 5",F1851&lt;=10,"5.1 to 10",F1851&lt;=20,"10 to 20", F1851&lt;= 40, "20 to 40", F1851 &lt;= 50, "40 to 50", F1851 &gt; 50, "&gt;50" )</f>
        <v>0 to 5</v>
      </c>
    </row>
    <row r="1852" spans="1:15" ht="15" customHeight="1" x14ac:dyDescent="0.3">
      <c r="A1852" t="s">
        <v>351</v>
      </c>
      <c r="B1852" s="1">
        <v>46203</v>
      </c>
      <c r="C1852" t="s">
        <v>24</v>
      </c>
      <c r="D1852">
        <v>1700</v>
      </c>
      <c r="E1852">
        <v>1</v>
      </c>
      <c r="F1852">
        <v>1.2</v>
      </c>
      <c r="G1852" t="s">
        <v>32</v>
      </c>
      <c r="H1852" t="s">
        <v>92</v>
      </c>
      <c r="I1852" t="str">
        <f t="shared" si="40"/>
        <v>1700_1</v>
      </c>
      <c r="J1852" t="s">
        <v>241</v>
      </c>
      <c r="K1852" t="s">
        <v>179</v>
      </c>
      <c r="L1852" t="str">
        <f>_xlfn.XLOOKUP(C1852, Table2[Species],Table2[Genus], "Code Not Found")</f>
        <v>Lirodendron</v>
      </c>
      <c r="M1852" t="str">
        <f>_xlfn.XLOOKUP(C1852, Table2[Species],Table2[Sp. Name], "Code Not Found")</f>
        <v>tulipfera</v>
      </c>
      <c r="N1852" t="str">
        <f>_xlfn.XLOOKUP(C1852,Table2[Species],Table2[Family],"Code Not Found")</f>
        <v>Magnoliaceae</v>
      </c>
      <c r="O1852" t="str" cm="1">
        <f t="array" ref="O1852">_xlfn.IFS(F1852="","",F1852&lt;=5,"0 to 5",F1852&lt;=10,"5.1 to 10",F1852&lt;=20,"10 to 20", F1852&lt;= 40, "20 to 40", F1852 &lt;= 50, "40 to 50", F1852 &gt; 50, "&gt;50" )</f>
        <v>0 to 5</v>
      </c>
    </row>
    <row r="1853" spans="1:15" ht="15" customHeight="1" x14ac:dyDescent="0.3">
      <c r="A1853" t="s">
        <v>351</v>
      </c>
      <c r="B1853" s="1">
        <v>46203</v>
      </c>
      <c r="C1853" t="s">
        <v>24</v>
      </c>
      <c r="D1853">
        <v>1700</v>
      </c>
      <c r="E1853">
        <v>2</v>
      </c>
      <c r="F1853">
        <v>1</v>
      </c>
      <c r="G1853" t="s">
        <v>370</v>
      </c>
      <c r="H1853" t="s">
        <v>296</v>
      </c>
      <c r="I1853" t="str">
        <f t="shared" si="40"/>
        <v>1700_2</v>
      </c>
      <c r="J1853" t="s">
        <v>241</v>
      </c>
      <c r="K1853" t="s">
        <v>179</v>
      </c>
      <c r="L1853" t="str">
        <f>_xlfn.XLOOKUP(C1853, Table2[Species],Table2[Genus], "Code Not Found")</f>
        <v>Lirodendron</v>
      </c>
      <c r="M1853" t="str">
        <f>_xlfn.XLOOKUP(C1853, Table2[Species],Table2[Sp. Name], "Code Not Found")</f>
        <v>tulipfera</v>
      </c>
      <c r="N1853" t="str">
        <f>_xlfn.XLOOKUP(C1853,Table2[Species],Table2[Family],"Code Not Found")</f>
        <v>Magnoliaceae</v>
      </c>
      <c r="O1853" t="str" cm="1">
        <f t="array" ref="O1853">_xlfn.IFS(F1853="","",F1853&lt;=5,"0 to 5",F1853&lt;=10,"5.1 to 10",F1853&lt;=20,"10 to 20", F1853&lt;= 40, "20 to 40", F1853 &lt;= 50, "40 to 50", F1853 &gt; 50, "&gt;50" )</f>
        <v>0 to 5</v>
      </c>
    </row>
    <row r="1854" spans="1:15" ht="15" customHeight="1" x14ac:dyDescent="0.3">
      <c r="A1854" t="s">
        <v>351</v>
      </c>
      <c r="B1854" s="1">
        <v>46203</v>
      </c>
      <c r="C1854" t="s">
        <v>16</v>
      </c>
      <c r="D1854">
        <v>1701</v>
      </c>
      <c r="E1854">
        <v>1</v>
      </c>
      <c r="F1854">
        <v>5.9</v>
      </c>
      <c r="G1854" t="s">
        <v>388</v>
      </c>
      <c r="H1854" t="s">
        <v>244</v>
      </c>
      <c r="I1854" t="str">
        <f t="shared" si="40"/>
        <v>1701_1</v>
      </c>
      <c r="J1854" t="s">
        <v>241</v>
      </c>
      <c r="K1854" t="s">
        <v>179</v>
      </c>
      <c r="L1854" t="str">
        <f>_xlfn.XLOOKUP(C1854, Table2[Species],Table2[Genus], "Code Not Found")</f>
        <v>Acer</v>
      </c>
      <c r="M1854" t="str">
        <f>_xlfn.XLOOKUP(C1854, Table2[Species],Table2[Sp. Name], "Code Not Found")</f>
        <v>saccharum</v>
      </c>
      <c r="N1854" t="str">
        <f>_xlfn.XLOOKUP(C1854,Table2[Species],Table2[Family],"Code Not Found")</f>
        <v>Sapindaceae</v>
      </c>
      <c r="O1854" t="str" cm="1">
        <f t="array" ref="O1854">_xlfn.IFS(F1854="","",F1854&lt;=5,"0 to 5",F1854&lt;=10,"5.1 to 10",F1854&lt;=20,"10 to 20", F1854&lt;= 40, "20 to 40", F1854 &lt;= 50, "40 to 50", F1854 &gt; 50, "&gt;50" )</f>
        <v>5.1 to 10</v>
      </c>
    </row>
    <row r="1855" spans="1:15" ht="15" customHeight="1" x14ac:dyDescent="0.3">
      <c r="A1855" t="s">
        <v>351</v>
      </c>
      <c r="B1855" s="1">
        <v>46203</v>
      </c>
      <c r="C1855" t="s">
        <v>24</v>
      </c>
      <c r="D1855">
        <v>1702</v>
      </c>
      <c r="E1855">
        <v>1</v>
      </c>
      <c r="F1855">
        <v>1.5</v>
      </c>
      <c r="G1855" t="s">
        <v>376</v>
      </c>
      <c r="H1855" t="s">
        <v>389</v>
      </c>
      <c r="I1855" t="str">
        <f t="shared" si="40"/>
        <v>1702_1</v>
      </c>
      <c r="J1855" t="s">
        <v>241</v>
      </c>
      <c r="K1855" t="s">
        <v>179</v>
      </c>
      <c r="L1855" t="str">
        <f>_xlfn.XLOOKUP(C1855, Table2[Species],Table2[Genus], "Code Not Found")</f>
        <v>Lirodendron</v>
      </c>
      <c r="M1855" t="str">
        <f>_xlfn.XLOOKUP(C1855, Table2[Species],Table2[Sp. Name], "Code Not Found")</f>
        <v>tulipfera</v>
      </c>
      <c r="N1855" t="str">
        <f>_xlfn.XLOOKUP(C1855,Table2[Species],Table2[Family],"Code Not Found")</f>
        <v>Magnoliaceae</v>
      </c>
      <c r="O1855" t="str" cm="1">
        <f t="array" ref="O1855">_xlfn.IFS(F1855="","",F1855&lt;=5,"0 to 5",F1855&lt;=10,"5.1 to 10",F1855&lt;=20,"10 to 20", F1855&lt;= 40, "20 to 40", F1855 &lt;= 50, "40 to 50", F1855 &gt; 50, "&gt;50" )</f>
        <v>0 to 5</v>
      </c>
    </row>
    <row r="1856" spans="1:15" ht="15" customHeight="1" x14ac:dyDescent="0.3">
      <c r="A1856" t="s">
        <v>351</v>
      </c>
      <c r="B1856" s="1">
        <v>46203</v>
      </c>
      <c r="C1856" t="s">
        <v>24</v>
      </c>
      <c r="D1856">
        <v>1703</v>
      </c>
      <c r="E1856">
        <v>1</v>
      </c>
      <c r="F1856">
        <v>1</v>
      </c>
      <c r="G1856" t="s">
        <v>368</v>
      </c>
      <c r="I1856" t="str">
        <f t="shared" si="40"/>
        <v>1703_1</v>
      </c>
      <c r="J1856" t="s">
        <v>241</v>
      </c>
      <c r="K1856" t="s">
        <v>179</v>
      </c>
      <c r="L1856" t="str">
        <f>_xlfn.XLOOKUP(C1856, Table2[Species],Table2[Genus], "Code Not Found")</f>
        <v>Lirodendron</v>
      </c>
      <c r="M1856" t="str">
        <f>_xlfn.XLOOKUP(C1856, Table2[Species],Table2[Sp. Name], "Code Not Found")</f>
        <v>tulipfera</v>
      </c>
      <c r="N1856" t="str">
        <f>_xlfn.XLOOKUP(C1856,Table2[Species],Table2[Family],"Code Not Found")</f>
        <v>Magnoliaceae</v>
      </c>
      <c r="O1856" t="str" cm="1">
        <f t="array" ref="O1856">_xlfn.IFS(F1856="","",F1856&lt;=5,"0 to 5",F1856&lt;=10,"5.1 to 10",F1856&lt;=20,"10 to 20", F1856&lt;= 40, "20 to 40", F1856 &lt;= 50, "40 to 50", F1856 &gt; 50, "&gt;50" )</f>
        <v>0 to 5</v>
      </c>
    </row>
    <row r="1857" spans="1:15" ht="15" customHeight="1" x14ac:dyDescent="0.3">
      <c r="A1857" t="s">
        <v>351</v>
      </c>
      <c r="B1857" s="1">
        <v>46203</v>
      </c>
      <c r="C1857" t="s">
        <v>16</v>
      </c>
      <c r="D1857">
        <v>1704</v>
      </c>
      <c r="E1857">
        <v>1</v>
      </c>
      <c r="F1857">
        <v>10.3</v>
      </c>
      <c r="G1857" t="s">
        <v>21</v>
      </c>
      <c r="I1857" t="str">
        <f t="shared" si="40"/>
        <v>1704_1</v>
      </c>
      <c r="J1857" t="s">
        <v>241</v>
      </c>
      <c r="K1857" t="s">
        <v>179</v>
      </c>
      <c r="L1857" t="str">
        <f>_xlfn.XLOOKUP(C1857, Table2[Species],Table2[Genus], "Code Not Found")</f>
        <v>Acer</v>
      </c>
      <c r="M1857" t="str">
        <f>_xlfn.XLOOKUP(C1857, Table2[Species],Table2[Sp. Name], "Code Not Found")</f>
        <v>saccharum</v>
      </c>
      <c r="N1857" t="str">
        <f>_xlfn.XLOOKUP(C1857,Table2[Species],Table2[Family],"Code Not Found")</f>
        <v>Sapindaceae</v>
      </c>
      <c r="O1857" t="str" cm="1">
        <f t="array" ref="O1857">_xlfn.IFS(F1857="","",F1857&lt;=5,"0 to 5",F1857&lt;=10,"5.1 to 10",F1857&lt;=20,"10 to 20", F1857&lt;= 40, "20 to 40", F1857 &lt;= 50, "40 to 50", F1857 &gt; 50, "&gt;50" )</f>
        <v>10 to 20</v>
      </c>
    </row>
    <row r="1858" spans="1:15" ht="15" customHeight="1" x14ac:dyDescent="0.3">
      <c r="A1858" t="s">
        <v>351</v>
      </c>
      <c r="B1858" s="1">
        <v>46203</v>
      </c>
      <c r="C1858" t="s">
        <v>16</v>
      </c>
      <c r="D1858">
        <v>1705</v>
      </c>
      <c r="E1858">
        <v>1</v>
      </c>
      <c r="F1858">
        <v>13.8</v>
      </c>
      <c r="G1858" t="s">
        <v>17</v>
      </c>
      <c r="I1858" t="str">
        <f t="shared" si="40"/>
        <v>1705_1</v>
      </c>
      <c r="J1858" t="s">
        <v>241</v>
      </c>
      <c r="K1858" t="s">
        <v>179</v>
      </c>
      <c r="L1858" t="str">
        <f>_xlfn.XLOOKUP(C1858, Table2[Species],Table2[Genus], "Code Not Found")</f>
        <v>Acer</v>
      </c>
      <c r="M1858" t="str">
        <f>_xlfn.XLOOKUP(C1858, Table2[Species],Table2[Sp. Name], "Code Not Found")</f>
        <v>saccharum</v>
      </c>
      <c r="N1858" t="str">
        <f>_xlfn.XLOOKUP(C1858,Table2[Species],Table2[Family],"Code Not Found")</f>
        <v>Sapindaceae</v>
      </c>
      <c r="O1858" t="str" cm="1">
        <f t="array" ref="O1858">_xlfn.IFS(F1858="","",F1858&lt;=5,"0 to 5",F1858&lt;=10,"5.1 to 10",F1858&lt;=20,"10 to 20", F1858&lt;= 40, "20 to 40", F1858 &lt;= 50, "40 to 50", F1858 &gt; 50, "&gt;50" )</f>
        <v>10 to 20</v>
      </c>
    </row>
    <row r="1859" spans="1:15" ht="15" customHeight="1" x14ac:dyDescent="0.3">
      <c r="A1859" t="s">
        <v>351</v>
      </c>
      <c r="B1859" s="1">
        <v>46203</v>
      </c>
      <c r="C1859" t="s">
        <v>16</v>
      </c>
      <c r="D1859">
        <v>1706</v>
      </c>
      <c r="E1859">
        <v>1</v>
      </c>
      <c r="F1859">
        <v>5.7</v>
      </c>
      <c r="G1859" t="s">
        <v>17</v>
      </c>
      <c r="I1859" t="str">
        <f t="shared" si="40"/>
        <v>1706_1</v>
      </c>
      <c r="J1859" t="s">
        <v>241</v>
      </c>
      <c r="K1859" t="s">
        <v>179</v>
      </c>
      <c r="L1859" t="str">
        <f>_xlfn.XLOOKUP(C1859, Table2[Species],Table2[Genus], "Code Not Found")</f>
        <v>Acer</v>
      </c>
      <c r="M1859" t="str">
        <f>_xlfn.XLOOKUP(C1859, Table2[Species],Table2[Sp. Name], "Code Not Found")</f>
        <v>saccharum</v>
      </c>
      <c r="N1859" t="str">
        <f>_xlfn.XLOOKUP(C1859,Table2[Species],Table2[Family],"Code Not Found")</f>
        <v>Sapindaceae</v>
      </c>
      <c r="O1859" t="str" cm="1">
        <f t="array" ref="O1859">_xlfn.IFS(F1859="","",F1859&lt;=5,"0 to 5",F1859&lt;=10,"5.1 to 10",F1859&lt;=20,"10 to 20", F1859&lt;= 40, "20 to 40", F1859 &lt;= 50, "40 to 50", F1859 &gt; 50, "&gt;50" )</f>
        <v>5.1 to 10</v>
      </c>
    </row>
    <row r="1860" spans="1:15" ht="15" customHeight="1" x14ac:dyDescent="0.3">
      <c r="A1860" t="s">
        <v>351</v>
      </c>
      <c r="B1860" s="1">
        <v>46203</v>
      </c>
      <c r="C1860" t="s">
        <v>16</v>
      </c>
      <c r="D1860">
        <v>1707</v>
      </c>
      <c r="E1860">
        <v>1</v>
      </c>
      <c r="F1860">
        <v>16.5</v>
      </c>
      <c r="G1860" t="s">
        <v>376</v>
      </c>
      <c r="H1860" t="s">
        <v>390</v>
      </c>
      <c r="I1860" t="str">
        <f t="shared" si="40"/>
        <v>1707_1</v>
      </c>
      <c r="J1860" t="s">
        <v>241</v>
      </c>
      <c r="K1860" t="s">
        <v>179</v>
      </c>
      <c r="L1860" t="str">
        <f>_xlfn.XLOOKUP(C1860, Table2[Species],Table2[Genus], "Code Not Found")</f>
        <v>Acer</v>
      </c>
      <c r="M1860" t="str">
        <f>_xlfn.XLOOKUP(C1860, Table2[Species],Table2[Sp. Name], "Code Not Found")</f>
        <v>saccharum</v>
      </c>
      <c r="N1860" t="str">
        <f>_xlfn.XLOOKUP(C1860,Table2[Species],Table2[Family],"Code Not Found")</f>
        <v>Sapindaceae</v>
      </c>
      <c r="O1860" t="str" cm="1">
        <f t="array" ref="O1860">_xlfn.IFS(F1860="","",F1860&lt;=5,"0 to 5",F1860&lt;=10,"5.1 to 10",F1860&lt;=20,"10 to 20", F1860&lt;= 40, "20 to 40", F1860 &lt;= 50, "40 to 50", F1860 &gt; 50, "&gt;50" )</f>
        <v>10 to 20</v>
      </c>
    </row>
    <row r="1861" spans="1:15" ht="15" customHeight="1" x14ac:dyDescent="0.3">
      <c r="A1861" t="s">
        <v>351</v>
      </c>
      <c r="B1861" s="1">
        <v>46203</v>
      </c>
      <c r="C1861" t="s">
        <v>64</v>
      </c>
      <c r="D1861">
        <v>1708</v>
      </c>
      <c r="E1861">
        <v>1</v>
      </c>
      <c r="F1861">
        <v>16.3</v>
      </c>
      <c r="G1861" t="s">
        <v>17</v>
      </c>
      <c r="H1861" t="s">
        <v>391</v>
      </c>
      <c r="I1861" t="str">
        <f t="shared" si="40"/>
        <v>1708_1</v>
      </c>
      <c r="J1861" t="s">
        <v>241</v>
      </c>
      <c r="K1861" t="s">
        <v>179</v>
      </c>
      <c r="L1861" t="str">
        <f>_xlfn.XLOOKUP(C1861, Table2[Species],Table2[Genus], "Code Not Found")</f>
        <v>Fagus</v>
      </c>
      <c r="M1861" t="str">
        <f>_xlfn.XLOOKUP(C1861, Table2[Species],Table2[Sp. Name], "Code Not Found")</f>
        <v>grandifolia</v>
      </c>
      <c r="N1861" t="str">
        <f>_xlfn.XLOOKUP(C1861,Table2[Species],Table2[Family],"Code Not Found")</f>
        <v>Fagaceae</v>
      </c>
      <c r="O1861" t="str" cm="1">
        <f t="array" ref="O1861">_xlfn.IFS(F1861="","",F1861&lt;=5,"0 to 5",F1861&lt;=10,"5.1 to 10",F1861&lt;=20,"10 to 20", F1861&lt;= 40, "20 to 40", F1861 &lt;= 50, "40 to 50", F1861 &gt; 50, "&gt;50" )</f>
        <v>10 to 20</v>
      </c>
    </row>
    <row r="1862" spans="1:15" ht="15" customHeight="1" x14ac:dyDescent="0.3">
      <c r="A1862" t="s">
        <v>351</v>
      </c>
      <c r="B1862" s="1">
        <v>46203</v>
      </c>
      <c r="C1862" t="s">
        <v>16</v>
      </c>
      <c r="D1862">
        <v>1709</v>
      </c>
      <c r="E1862">
        <v>1</v>
      </c>
      <c r="F1862">
        <v>10</v>
      </c>
      <c r="G1862" t="s">
        <v>47</v>
      </c>
      <c r="I1862" t="str">
        <f t="shared" si="40"/>
        <v>1709_1</v>
      </c>
      <c r="J1862" t="s">
        <v>241</v>
      </c>
      <c r="K1862" t="s">
        <v>179</v>
      </c>
      <c r="L1862" t="str">
        <f>_xlfn.XLOOKUP(C1862, Table2[Species],Table2[Genus], "Code Not Found")</f>
        <v>Acer</v>
      </c>
      <c r="M1862" t="str">
        <f>_xlfn.XLOOKUP(C1862, Table2[Species],Table2[Sp. Name], "Code Not Found")</f>
        <v>saccharum</v>
      </c>
      <c r="N1862" t="str">
        <f>_xlfn.XLOOKUP(C1862,Table2[Species],Table2[Family],"Code Not Found")</f>
        <v>Sapindaceae</v>
      </c>
      <c r="O1862" t="str" cm="1">
        <f t="array" ref="O1862">_xlfn.IFS(F1862="","",F1862&lt;=5,"0 to 5",F1862&lt;=10,"5.1 to 10",F1862&lt;=20,"10 to 20", F1862&lt;= 40, "20 to 40", F1862 &lt;= 50, "40 to 50", F1862 &gt; 50, "&gt;50" )</f>
        <v>5.1 to 10</v>
      </c>
    </row>
    <row r="1863" spans="1:15" ht="15" customHeight="1" x14ac:dyDescent="0.3">
      <c r="A1863" t="s">
        <v>351</v>
      </c>
      <c r="B1863" s="1">
        <v>46203</v>
      </c>
      <c r="C1863" t="s">
        <v>16</v>
      </c>
      <c r="D1863">
        <v>1710</v>
      </c>
      <c r="E1863">
        <v>1</v>
      </c>
      <c r="F1863">
        <v>26</v>
      </c>
      <c r="G1863" t="s">
        <v>30</v>
      </c>
      <c r="H1863" t="s">
        <v>392</v>
      </c>
      <c r="I1863" t="str">
        <f t="shared" si="40"/>
        <v>1710_1</v>
      </c>
      <c r="J1863" t="s">
        <v>241</v>
      </c>
      <c r="K1863" t="s">
        <v>179</v>
      </c>
      <c r="L1863" t="str">
        <f>_xlfn.XLOOKUP(C1863, Table2[Species],Table2[Genus], "Code Not Found")</f>
        <v>Acer</v>
      </c>
      <c r="M1863" t="str">
        <f>_xlfn.XLOOKUP(C1863, Table2[Species],Table2[Sp. Name], "Code Not Found")</f>
        <v>saccharum</v>
      </c>
      <c r="N1863" t="str">
        <f>_xlfn.XLOOKUP(C1863,Table2[Species],Table2[Family],"Code Not Found")</f>
        <v>Sapindaceae</v>
      </c>
      <c r="O1863" t="str" cm="1">
        <f t="array" ref="O1863">_xlfn.IFS(F1863="","",F1863&lt;=5,"0 to 5",F1863&lt;=10,"5.1 to 10",F1863&lt;=20,"10 to 20", F1863&lt;= 40, "20 to 40", F1863 &lt;= 50, "40 to 50", F1863 &gt; 50, "&gt;50" )</f>
        <v>20 to 40</v>
      </c>
    </row>
    <row r="1864" spans="1:15" ht="15" customHeight="1" x14ac:dyDescent="0.3">
      <c r="A1864" t="s">
        <v>351</v>
      </c>
      <c r="B1864" s="1">
        <v>46203</v>
      </c>
      <c r="C1864" t="s">
        <v>64</v>
      </c>
      <c r="D1864">
        <v>1711</v>
      </c>
      <c r="E1864">
        <v>1</v>
      </c>
      <c r="F1864">
        <v>11</v>
      </c>
      <c r="G1864" t="s">
        <v>94</v>
      </c>
      <c r="H1864" t="s">
        <v>158</v>
      </c>
      <c r="I1864" t="str">
        <f t="shared" si="40"/>
        <v>1711_1</v>
      </c>
      <c r="J1864" t="s">
        <v>241</v>
      </c>
      <c r="K1864" t="s">
        <v>179</v>
      </c>
      <c r="L1864" t="str">
        <f>_xlfn.XLOOKUP(C1864, Table2[Species],Table2[Genus], "Code Not Found")</f>
        <v>Fagus</v>
      </c>
      <c r="M1864" t="str">
        <f>_xlfn.XLOOKUP(C1864, Table2[Species],Table2[Sp. Name], "Code Not Found")</f>
        <v>grandifolia</v>
      </c>
      <c r="N1864" t="str">
        <f>_xlfn.XLOOKUP(C1864,Table2[Species],Table2[Family],"Code Not Found")</f>
        <v>Fagaceae</v>
      </c>
      <c r="O1864" t="str" cm="1">
        <f t="array" ref="O1864">_xlfn.IFS(F1864="","",F1864&lt;=5,"0 to 5",F1864&lt;=10,"5.1 to 10",F1864&lt;=20,"10 to 20", F1864&lt;= 40, "20 to 40", F1864 &lt;= 50, "40 to 50", F1864 &gt; 50, "&gt;50" )</f>
        <v>10 to 20</v>
      </c>
    </row>
    <row r="1865" spans="1:15" ht="15" customHeight="1" x14ac:dyDescent="0.3">
      <c r="A1865" t="s">
        <v>351</v>
      </c>
      <c r="B1865" s="1">
        <v>46203</v>
      </c>
      <c r="C1865" t="s">
        <v>64</v>
      </c>
      <c r="D1865">
        <v>1712</v>
      </c>
      <c r="E1865">
        <v>1</v>
      </c>
      <c r="F1865">
        <v>20.9</v>
      </c>
      <c r="G1865" t="s">
        <v>21</v>
      </c>
      <c r="I1865" t="str">
        <f t="shared" si="40"/>
        <v>1712_1</v>
      </c>
      <c r="J1865" t="s">
        <v>241</v>
      </c>
      <c r="K1865" t="s">
        <v>179</v>
      </c>
      <c r="L1865" t="str">
        <f>_xlfn.XLOOKUP(C1865, Table2[Species],Table2[Genus], "Code Not Found")</f>
        <v>Fagus</v>
      </c>
      <c r="M1865" t="str">
        <f>_xlfn.XLOOKUP(C1865, Table2[Species],Table2[Sp. Name], "Code Not Found")</f>
        <v>grandifolia</v>
      </c>
      <c r="N1865" t="str">
        <f>_xlfn.XLOOKUP(C1865,Table2[Species],Table2[Family],"Code Not Found")</f>
        <v>Fagaceae</v>
      </c>
      <c r="O1865" t="str" cm="1">
        <f t="array" ref="O1865">_xlfn.IFS(F1865="","",F1865&lt;=5,"0 to 5",F1865&lt;=10,"5.1 to 10",F1865&lt;=20,"10 to 20", F1865&lt;= 40, "20 to 40", F1865 &lt;= 50, "40 to 50", F1865 &gt; 50, "&gt;50" )</f>
        <v>20 to 40</v>
      </c>
    </row>
    <row r="1866" spans="1:15" ht="15" customHeight="1" x14ac:dyDescent="0.3">
      <c r="A1866" t="s">
        <v>351</v>
      </c>
      <c r="B1866" s="1">
        <v>46203</v>
      </c>
      <c r="C1866" t="s">
        <v>16</v>
      </c>
      <c r="D1866">
        <v>1713</v>
      </c>
      <c r="E1866">
        <v>1</v>
      </c>
      <c r="F1866">
        <v>10.5</v>
      </c>
      <c r="G1866" t="s">
        <v>17</v>
      </c>
      <c r="I1866" t="str">
        <f t="shared" si="40"/>
        <v>1713_1</v>
      </c>
      <c r="J1866" t="s">
        <v>241</v>
      </c>
      <c r="K1866" t="s">
        <v>179</v>
      </c>
      <c r="L1866" t="str">
        <f>_xlfn.XLOOKUP(C1866, Table2[Species],Table2[Genus], "Code Not Found")</f>
        <v>Acer</v>
      </c>
      <c r="M1866" t="str">
        <f>_xlfn.XLOOKUP(C1866, Table2[Species],Table2[Sp. Name], "Code Not Found")</f>
        <v>saccharum</v>
      </c>
      <c r="N1866" t="str">
        <f>_xlfn.XLOOKUP(C1866,Table2[Species],Table2[Family],"Code Not Found")</f>
        <v>Sapindaceae</v>
      </c>
      <c r="O1866" t="str" cm="1">
        <f t="array" ref="O1866">_xlfn.IFS(F1866="","",F1866&lt;=5,"0 to 5",F1866&lt;=10,"5.1 to 10",F1866&lt;=20,"10 to 20", F1866&lt;= 40, "20 to 40", F1866 &lt;= 50, "40 to 50", F1866 &gt; 50, "&gt;50" )</f>
        <v>10 to 20</v>
      </c>
    </row>
    <row r="1867" spans="1:15" ht="15" customHeight="1" x14ac:dyDescent="0.3">
      <c r="A1867" t="s">
        <v>351</v>
      </c>
      <c r="B1867" s="1">
        <v>46203</v>
      </c>
      <c r="C1867" t="s">
        <v>16</v>
      </c>
      <c r="D1867">
        <v>1714</v>
      </c>
      <c r="E1867">
        <v>1</v>
      </c>
      <c r="F1867">
        <v>13.5</v>
      </c>
      <c r="G1867" t="s">
        <v>21</v>
      </c>
      <c r="I1867" t="str">
        <f t="shared" si="40"/>
        <v>1714_1</v>
      </c>
      <c r="J1867" t="s">
        <v>241</v>
      </c>
      <c r="K1867" t="s">
        <v>179</v>
      </c>
      <c r="L1867" t="str">
        <f>_xlfn.XLOOKUP(C1867, Table2[Species],Table2[Genus], "Code Not Found")</f>
        <v>Acer</v>
      </c>
      <c r="M1867" t="str">
        <f>_xlfn.XLOOKUP(C1867, Table2[Species],Table2[Sp. Name], "Code Not Found")</f>
        <v>saccharum</v>
      </c>
      <c r="N1867" t="str">
        <f>_xlfn.XLOOKUP(C1867,Table2[Species],Table2[Family],"Code Not Found")</f>
        <v>Sapindaceae</v>
      </c>
      <c r="O1867" t="str" cm="1">
        <f t="array" ref="O1867">_xlfn.IFS(F1867="","",F1867&lt;=5,"0 to 5",F1867&lt;=10,"5.1 to 10",F1867&lt;=20,"10 to 20", F1867&lt;= 40, "20 to 40", F1867 &lt;= 50, "40 to 50", F1867 &gt; 50, "&gt;50" )</f>
        <v>10 to 20</v>
      </c>
    </row>
    <row r="1868" spans="1:15" ht="15" customHeight="1" x14ac:dyDescent="0.3">
      <c r="A1868" t="s">
        <v>351</v>
      </c>
      <c r="B1868" s="1">
        <v>46203</v>
      </c>
      <c r="C1868" t="s">
        <v>16</v>
      </c>
      <c r="D1868">
        <v>1715</v>
      </c>
      <c r="E1868">
        <v>1</v>
      </c>
      <c r="F1868">
        <v>6.5</v>
      </c>
      <c r="G1868" t="s">
        <v>139</v>
      </c>
      <c r="H1868" t="s">
        <v>393</v>
      </c>
      <c r="I1868" t="str">
        <f t="shared" si="40"/>
        <v>1715_1</v>
      </c>
      <c r="J1868" t="s">
        <v>241</v>
      </c>
      <c r="K1868" t="s">
        <v>179</v>
      </c>
      <c r="L1868" t="str">
        <f>_xlfn.XLOOKUP(C1868, Table2[Species],Table2[Genus], "Code Not Found")</f>
        <v>Acer</v>
      </c>
      <c r="M1868" t="str">
        <f>_xlfn.XLOOKUP(C1868, Table2[Species],Table2[Sp. Name], "Code Not Found")</f>
        <v>saccharum</v>
      </c>
      <c r="N1868" t="str">
        <f>_xlfn.XLOOKUP(C1868,Table2[Species],Table2[Family],"Code Not Found")</f>
        <v>Sapindaceae</v>
      </c>
      <c r="O1868" t="str" cm="1">
        <f t="array" ref="O1868">_xlfn.IFS(F1868="","",F1868&lt;=5,"0 to 5",F1868&lt;=10,"5.1 to 10",F1868&lt;=20,"10 to 20", F1868&lt;= 40, "20 to 40", F1868 &lt;= 50, "40 to 50", F1868 &gt; 50, "&gt;50" )</f>
        <v>5.1 to 10</v>
      </c>
    </row>
    <row r="1869" spans="1:15" ht="15" customHeight="1" x14ac:dyDescent="0.3">
      <c r="A1869" t="s">
        <v>351</v>
      </c>
      <c r="B1869" s="1">
        <v>46203</v>
      </c>
      <c r="C1869" t="s">
        <v>16</v>
      </c>
      <c r="D1869">
        <v>1716</v>
      </c>
      <c r="E1869">
        <v>1</v>
      </c>
      <c r="F1869">
        <v>14.4</v>
      </c>
      <c r="G1869" t="s">
        <v>17</v>
      </c>
      <c r="I1869" t="str">
        <f t="shared" si="40"/>
        <v>1716_1</v>
      </c>
      <c r="J1869" t="s">
        <v>241</v>
      </c>
      <c r="K1869" t="s">
        <v>179</v>
      </c>
      <c r="L1869" t="str">
        <f>_xlfn.XLOOKUP(C1869, Table2[Species],Table2[Genus], "Code Not Found")</f>
        <v>Acer</v>
      </c>
      <c r="M1869" t="str">
        <f>_xlfn.XLOOKUP(C1869, Table2[Species],Table2[Sp. Name], "Code Not Found")</f>
        <v>saccharum</v>
      </c>
      <c r="N1869" t="str">
        <f>_xlfn.XLOOKUP(C1869,Table2[Species],Table2[Family],"Code Not Found")</f>
        <v>Sapindaceae</v>
      </c>
      <c r="O1869" t="str" cm="1">
        <f t="array" ref="O1869">_xlfn.IFS(F1869="","",F1869&lt;=5,"0 to 5",F1869&lt;=10,"5.1 to 10",F1869&lt;=20,"10 to 20", F1869&lt;= 40, "20 to 40", F1869 &lt;= 50, "40 to 50", F1869 &gt; 50, "&gt;50" )</f>
        <v>10 to 20</v>
      </c>
    </row>
    <row r="1870" spans="1:15" ht="15" customHeight="1" x14ac:dyDescent="0.3">
      <c r="A1870" t="s">
        <v>351</v>
      </c>
      <c r="B1870" s="1">
        <v>46203</v>
      </c>
      <c r="C1870" t="s">
        <v>16</v>
      </c>
      <c r="D1870">
        <v>1717</v>
      </c>
      <c r="E1870">
        <v>1</v>
      </c>
      <c r="F1870">
        <v>6.4</v>
      </c>
      <c r="G1870" t="s">
        <v>47</v>
      </c>
      <c r="I1870" t="str">
        <f t="shared" si="40"/>
        <v>1717_1</v>
      </c>
      <c r="J1870" t="s">
        <v>241</v>
      </c>
      <c r="K1870" t="s">
        <v>179</v>
      </c>
      <c r="L1870" t="str">
        <f>_xlfn.XLOOKUP(C1870, Table2[Species],Table2[Genus], "Code Not Found")</f>
        <v>Acer</v>
      </c>
      <c r="M1870" t="str">
        <f>_xlfn.XLOOKUP(C1870, Table2[Species],Table2[Sp. Name], "Code Not Found")</f>
        <v>saccharum</v>
      </c>
      <c r="N1870" t="str">
        <f>_xlfn.XLOOKUP(C1870,Table2[Species],Table2[Family],"Code Not Found")</f>
        <v>Sapindaceae</v>
      </c>
      <c r="O1870" t="str" cm="1">
        <f t="array" ref="O1870">_xlfn.IFS(F1870="","",F1870&lt;=5,"0 to 5",F1870&lt;=10,"5.1 to 10",F1870&lt;=20,"10 to 20", F1870&lt;= 40, "20 to 40", F1870 &lt;= 50, "40 to 50", F1870 &gt; 50, "&gt;50" )</f>
        <v>5.1 to 10</v>
      </c>
    </row>
    <row r="1871" spans="1:15" ht="15" customHeight="1" x14ac:dyDescent="0.3">
      <c r="A1871" t="s">
        <v>351</v>
      </c>
      <c r="B1871" s="1">
        <v>46203</v>
      </c>
      <c r="C1871" t="s">
        <v>64</v>
      </c>
      <c r="D1871">
        <v>1718</v>
      </c>
      <c r="E1871">
        <v>1</v>
      </c>
      <c r="F1871">
        <v>7.7</v>
      </c>
      <c r="G1871" t="s">
        <v>21</v>
      </c>
      <c r="H1871" t="s">
        <v>297</v>
      </c>
      <c r="I1871" t="str">
        <f t="shared" si="40"/>
        <v>1718_1</v>
      </c>
      <c r="J1871" t="s">
        <v>241</v>
      </c>
      <c r="K1871" t="s">
        <v>179</v>
      </c>
      <c r="L1871" t="str">
        <f>_xlfn.XLOOKUP(C1871, Table2[Species],Table2[Genus], "Code Not Found")</f>
        <v>Fagus</v>
      </c>
      <c r="M1871" t="str">
        <f>_xlfn.XLOOKUP(C1871, Table2[Species],Table2[Sp. Name], "Code Not Found")</f>
        <v>grandifolia</v>
      </c>
      <c r="N1871" t="str">
        <f>_xlfn.XLOOKUP(C1871,Table2[Species],Table2[Family],"Code Not Found")</f>
        <v>Fagaceae</v>
      </c>
      <c r="O1871" t="str" cm="1">
        <f t="array" ref="O1871">_xlfn.IFS(F1871="","",F1871&lt;=5,"0 to 5",F1871&lt;=10,"5.1 to 10",F1871&lt;=20,"10 to 20", F1871&lt;= 40, "20 to 40", F1871 &lt;= 50, "40 to 50", F1871 &gt; 50, "&gt;50" )</f>
        <v>5.1 to 10</v>
      </c>
    </row>
    <row r="1872" spans="1:15" ht="15" customHeight="1" x14ac:dyDescent="0.3">
      <c r="A1872" t="s">
        <v>351</v>
      </c>
      <c r="B1872" s="1">
        <v>46203</v>
      </c>
      <c r="C1872" t="s">
        <v>64</v>
      </c>
      <c r="D1872">
        <v>1719</v>
      </c>
      <c r="E1872">
        <v>1</v>
      </c>
      <c r="F1872">
        <v>11.9</v>
      </c>
      <c r="G1872" t="s">
        <v>21</v>
      </c>
      <c r="I1872" t="str">
        <f t="shared" si="40"/>
        <v>1719_1</v>
      </c>
      <c r="J1872" t="s">
        <v>241</v>
      </c>
      <c r="K1872" t="s">
        <v>179</v>
      </c>
      <c r="L1872" t="str">
        <f>_xlfn.XLOOKUP(C1872, Table2[Species],Table2[Genus], "Code Not Found")</f>
        <v>Fagus</v>
      </c>
      <c r="M1872" t="str">
        <f>_xlfn.XLOOKUP(C1872, Table2[Species],Table2[Sp. Name], "Code Not Found")</f>
        <v>grandifolia</v>
      </c>
      <c r="N1872" t="str">
        <f>_xlfn.XLOOKUP(C1872,Table2[Species],Table2[Family],"Code Not Found")</f>
        <v>Fagaceae</v>
      </c>
      <c r="O1872" t="str" cm="1">
        <f t="array" ref="O1872">_xlfn.IFS(F1872="","",F1872&lt;=5,"0 to 5",F1872&lt;=10,"5.1 to 10",F1872&lt;=20,"10 to 20", F1872&lt;= 40, "20 to 40", F1872 &lt;= 50, "40 to 50", F1872 &gt; 50, "&gt;50" )</f>
        <v>10 to 20</v>
      </c>
    </row>
    <row r="1873" spans="1:15" ht="15" customHeight="1" x14ac:dyDescent="0.3">
      <c r="A1873" t="s">
        <v>351</v>
      </c>
      <c r="B1873" s="1">
        <v>46203</v>
      </c>
      <c r="C1873" t="s">
        <v>64</v>
      </c>
      <c r="D1873">
        <v>1720</v>
      </c>
      <c r="E1873">
        <v>1</v>
      </c>
      <c r="F1873">
        <v>64.3</v>
      </c>
      <c r="G1873" t="s">
        <v>21</v>
      </c>
      <c r="I1873" t="str">
        <f t="shared" si="40"/>
        <v>1720_1</v>
      </c>
      <c r="J1873" t="s">
        <v>241</v>
      </c>
      <c r="K1873" t="s">
        <v>179</v>
      </c>
      <c r="L1873" t="str">
        <f>_xlfn.XLOOKUP(C1873, Table2[Species],Table2[Genus], "Code Not Found")</f>
        <v>Fagus</v>
      </c>
      <c r="M1873" t="str">
        <f>_xlfn.XLOOKUP(C1873, Table2[Species],Table2[Sp. Name], "Code Not Found")</f>
        <v>grandifolia</v>
      </c>
      <c r="N1873" t="str">
        <f>_xlfn.XLOOKUP(C1873,Table2[Species],Table2[Family],"Code Not Found")</f>
        <v>Fagaceae</v>
      </c>
      <c r="O1873" t="str" cm="1">
        <f t="array" ref="O1873">_xlfn.IFS(F1873="","",F1873&lt;=5,"0 to 5",F1873&lt;=10,"5.1 to 10",F1873&lt;=20,"10 to 20", F1873&lt;= 40, "20 to 40", F1873 &lt;= 50, "40 to 50", F1873 &gt; 50, "&gt;50" )</f>
        <v>&gt;50</v>
      </c>
    </row>
    <row r="1874" spans="1:15" ht="15" customHeight="1" x14ac:dyDescent="0.3">
      <c r="A1874" t="s">
        <v>351</v>
      </c>
      <c r="B1874" s="1">
        <v>46203</v>
      </c>
      <c r="C1874" t="s">
        <v>64</v>
      </c>
      <c r="D1874">
        <v>1721</v>
      </c>
      <c r="E1874">
        <v>1</v>
      </c>
      <c r="F1874">
        <v>6.4</v>
      </c>
      <c r="G1874" t="s">
        <v>30</v>
      </c>
      <c r="H1874" t="s">
        <v>394</v>
      </c>
      <c r="I1874" t="str">
        <f t="shared" si="40"/>
        <v>1721_1</v>
      </c>
      <c r="J1874" t="s">
        <v>241</v>
      </c>
      <c r="K1874" t="s">
        <v>179</v>
      </c>
      <c r="L1874" t="str">
        <f>_xlfn.XLOOKUP(C1874, Table2[Species],Table2[Genus], "Code Not Found")</f>
        <v>Fagus</v>
      </c>
      <c r="M1874" t="str">
        <f>_xlfn.XLOOKUP(C1874, Table2[Species],Table2[Sp. Name], "Code Not Found")</f>
        <v>grandifolia</v>
      </c>
      <c r="N1874" t="str">
        <f>_xlfn.XLOOKUP(C1874,Table2[Species],Table2[Family],"Code Not Found")</f>
        <v>Fagaceae</v>
      </c>
      <c r="O1874" t="str" cm="1">
        <f t="array" ref="O1874">_xlfn.IFS(F1874="","",F1874&lt;=5,"0 to 5",F1874&lt;=10,"5.1 to 10",F1874&lt;=20,"10 to 20", F1874&lt;= 40, "20 to 40", F1874 &lt;= 50, "40 to 50", F1874 &gt; 50, "&gt;50" )</f>
        <v>5.1 to 10</v>
      </c>
    </row>
    <row r="1875" spans="1:15" ht="15" customHeight="1" x14ac:dyDescent="0.3">
      <c r="A1875" t="s">
        <v>351</v>
      </c>
      <c r="B1875" s="1">
        <v>46203</v>
      </c>
      <c r="C1875" t="s">
        <v>16</v>
      </c>
      <c r="D1875">
        <v>1722</v>
      </c>
      <c r="E1875">
        <v>1</v>
      </c>
      <c r="F1875">
        <v>6.4</v>
      </c>
      <c r="G1875" t="s">
        <v>51</v>
      </c>
      <c r="H1875" t="s">
        <v>395</v>
      </c>
      <c r="I1875" t="str">
        <f t="shared" si="40"/>
        <v>1722_1</v>
      </c>
      <c r="J1875" t="s">
        <v>241</v>
      </c>
      <c r="K1875" t="s">
        <v>179</v>
      </c>
      <c r="L1875" t="str">
        <f>_xlfn.XLOOKUP(C1875, Table2[Species],Table2[Genus], "Code Not Found")</f>
        <v>Acer</v>
      </c>
      <c r="M1875" t="str">
        <f>_xlfn.XLOOKUP(C1875, Table2[Species],Table2[Sp. Name], "Code Not Found")</f>
        <v>saccharum</v>
      </c>
      <c r="N1875" t="str">
        <f>_xlfn.XLOOKUP(C1875,Table2[Species],Table2[Family],"Code Not Found")</f>
        <v>Sapindaceae</v>
      </c>
      <c r="O1875" t="str" cm="1">
        <f t="array" ref="O1875">_xlfn.IFS(F1875="","",F1875&lt;=5,"0 to 5",F1875&lt;=10,"5.1 to 10",F1875&lt;=20,"10 to 20", F1875&lt;= 40, "20 to 40", F1875 &lt;= 50, "40 to 50", F1875 &gt; 50, "&gt;50" )</f>
        <v>5.1 to 10</v>
      </c>
    </row>
    <row r="1876" spans="1:15" ht="15" customHeight="1" x14ac:dyDescent="0.3">
      <c r="A1876" t="s">
        <v>351</v>
      </c>
      <c r="B1876" s="1">
        <v>46203</v>
      </c>
      <c r="C1876" t="s">
        <v>16</v>
      </c>
      <c r="D1876">
        <v>1723</v>
      </c>
      <c r="E1876">
        <v>1</v>
      </c>
      <c r="F1876">
        <v>17</v>
      </c>
      <c r="G1876" t="s">
        <v>17</v>
      </c>
      <c r="H1876" t="s">
        <v>36</v>
      </c>
      <c r="I1876" t="str">
        <f t="shared" si="40"/>
        <v>1723_1</v>
      </c>
      <c r="J1876" t="s">
        <v>241</v>
      </c>
      <c r="K1876" t="s">
        <v>179</v>
      </c>
      <c r="L1876" t="str">
        <f>_xlfn.XLOOKUP(C1876, Table2[Species],Table2[Genus], "Code Not Found")</f>
        <v>Acer</v>
      </c>
      <c r="M1876" t="str">
        <f>_xlfn.XLOOKUP(C1876, Table2[Species],Table2[Sp. Name], "Code Not Found")</f>
        <v>saccharum</v>
      </c>
      <c r="N1876" t="str">
        <f>_xlfn.XLOOKUP(C1876,Table2[Species],Table2[Family],"Code Not Found")</f>
        <v>Sapindaceae</v>
      </c>
      <c r="O1876" t="str" cm="1">
        <f t="array" ref="O1876">_xlfn.IFS(F1876="","",F1876&lt;=5,"0 to 5",F1876&lt;=10,"5.1 to 10",F1876&lt;=20,"10 to 20", F1876&lt;= 40, "20 to 40", F1876 &lt;= 50, "40 to 50", F1876 &gt; 50, "&gt;50" )</f>
        <v>10 to 20</v>
      </c>
    </row>
    <row r="1877" spans="1:15" ht="15" customHeight="1" x14ac:dyDescent="0.3">
      <c r="A1877" t="s">
        <v>351</v>
      </c>
      <c r="B1877" s="1">
        <v>46203</v>
      </c>
      <c r="C1877" t="s">
        <v>16</v>
      </c>
      <c r="D1877">
        <v>1724</v>
      </c>
      <c r="E1877">
        <v>1</v>
      </c>
      <c r="F1877">
        <v>7.5</v>
      </c>
      <c r="G1877" t="s">
        <v>88</v>
      </c>
      <c r="H1877" t="s">
        <v>234</v>
      </c>
      <c r="I1877" t="str">
        <f t="shared" si="40"/>
        <v>1724_1</v>
      </c>
      <c r="J1877" t="s">
        <v>241</v>
      </c>
      <c r="K1877" t="s">
        <v>179</v>
      </c>
      <c r="L1877" t="str">
        <f>_xlfn.XLOOKUP(C1877, Table2[Species],Table2[Genus], "Code Not Found")</f>
        <v>Acer</v>
      </c>
      <c r="M1877" t="str">
        <f>_xlfn.XLOOKUP(C1877, Table2[Species],Table2[Sp. Name], "Code Not Found")</f>
        <v>saccharum</v>
      </c>
      <c r="N1877" t="str">
        <f>_xlfn.XLOOKUP(C1877,Table2[Species],Table2[Family],"Code Not Found")</f>
        <v>Sapindaceae</v>
      </c>
      <c r="O1877" t="str" cm="1">
        <f t="array" ref="O1877">_xlfn.IFS(F1877="","",F1877&lt;=5,"0 to 5",F1877&lt;=10,"5.1 to 10",F1877&lt;=20,"10 to 20", F1877&lt;= 40, "20 to 40", F1877 &lt;= 50, "40 to 50", F1877 &gt; 50, "&gt;50" )</f>
        <v>5.1 to 10</v>
      </c>
    </row>
    <row r="1878" spans="1:15" ht="15" customHeight="1" x14ac:dyDescent="0.3">
      <c r="A1878" t="s">
        <v>351</v>
      </c>
      <c r="B1878" s="1">
        <v>46203</v>
      </c>
      <c r="C1878" t="s">
        <v>64</v>
      </c>
      <c r="D1878">
        <v>1725</v>
      </c>
      <c r="E1878">
        <v>1</v>
      </c>
      <c r="F1878">
        <v>77.5</v>
      </c>
      <c r="G1878" t="s">
        <v>17</v>
      </c>
      <c r="I1878" t="str">
        <f t="shared" si="40"/>
        <v>1725_1</v>
      </c>
      <c r="J1878" t="s">
        <v>241</v>
      </c>
      <c r="K1878" t="s">
        <v>179</v>
      </c>
      <c r="L1878" t="str">
        <f>_xlfn.XLOOKUP(C1878, Table2[Species],Table2[Genus], "Code Not Found")</f>
        <v>Fagus</v>
      </c>
      <c r="M1878" t="str">
        <f>_xlfn.XLOOKUP(C1878, Table2[Species],Table2[Sp. Name], "Code Not Found")</f>
        <v>grandifolia</v>
      </c>
      <c r="N1878" t="str">
        <f>_xlfn.XLOOKUP(C1878,Table2[Species],Table2[Family],"Code Not Found")</f>
        <v>Fagaceae</v>
      </c>
      <c r="O1878" t="str" cm="1">
        <f t="array" ref="O1878">_xlfn.IFS(F1878="","",F1878&lt;=5,"0 to 5",F1878&lt;=10,"5.1 to 10",F1878&lt;=20,"10 to 20", F1878&lt;= 40, "20 to 40", F1878 &lt;= 50, "40 to 50", F1878 &gt; 50, "&gt;50" )</f>
        <v>&gt;50</v>
      </c>
    </row>
    <row r="1879" spans="1:15" ht="15" customHeight="1" x14ac:dyDescent="0.3">
      <c r="A1879" t="s">
        <v>351</v>
      </c>
      <c r="B1879" s="1">
        <v>46203</v>
      </c>
      <c r="C1879" t="s">
        <v>64</v>
      </c>
      <c r="D1879">
        <v>1726</v>
      </c>
      <c r="E1879">
        <v>1</v>
      </c>
      <c r="F1879">
        <v>8.3000000000000007</v>
      </c>
      <c r="G1879" t="s">
        <v>30</v>
      </c>
      <c r="H1879" t="s">
        <v>396</v>
      </c>
      <c r="I1879" t="str">
        <f t="shared" si="40"/>
        <v>1726_1</v>
      </c>
      <c r="J1879" t="s">
        <v>241</v>
      </c>
      <c r="K1879" t="s">
        <v>179</v>
      </c>
      <c r="L1879" t="str">
        <f>_xlfn.XLOOKUP(C1879, Table2[Species],Table2[Genus], "Code Not Found")</f>
        <v>Fagus</v>
      </c>
      <c r="M1879" t="str">
        <f>_xlfn.XLOOKUP(C1879, Table2[Species],Table2[Sp. Name], "Code Not Found")</f>
        <v>grandifolia</v>
      </c>
      <c r="N1879" t="str">
        <f>_xlfn.XLOOKUP(C1879,Table2[Species],Table2[Family],"Code Not Found")</f>
        <v>Fagaceae</v>
      </c>
      <c r="O1879" t="str" cm="1">
        <f t="array" ref="O1879">_xlfn.IFS(F1879="","",F1879&lt;=5,"0 to 5",F1879&lt;=10,"5.1 to 10",F1879&lt;=20,"10 to 20", F1879&lt;= 40, "20 to 40", F1879 &lt;= 50, "40 to 50", F1879 &gt; 50, "&gt;50" )</f>
        <v>5.1 to 10</v>
      </c>
    </row>
    <row r="1880" spans="1:15" ht="15" customHeight="1" x14ac:dyDescent="0.3">
      <c r="A1880" t="s">
        <v>351</v>
      </c>
      <c r="B1880" s="1">
        <v>46203</v>
      </c>
      <c r="C1880" t="s">
        <v>16</v>
      </c>
      <c r="D1880">
        <v>1727</v>
      </c>
      <c r="E1880">
        <v>1</v>
      </c>
      <c r="F1880">
        <v>5.2</v>
      </c>
      <c r="G1880" t="s">
        <v>32</v>
      </c>
      <c r="I1880" t="str">
        <f t="shared" si="40"/>
        <v>1727_1</v>
      </c>
      <c r="J1880" t="s">
        <v>241</v>
      </c>
      <c r="K1880" t="s">
        <v>179</v>
      </c>
      <c r="L1880" t="str">
        <f>_xlfn.XLOOKUP(C1880, Table2[Species],Table2[Genus], "Code Not Found")</f>
        <v>Acer</v>
      </c>
      <c r="M1880" t="str">
        <f>_xlfn.XLOOKUP(C1880, Table2[Species],Table2[Sp. Name], "Code Not Found")</f>
        <v>saccharum</v>
      </c>
      <c r="N1880" t="str">
        <f>_xlfn.XLOOKUP(C1880,Table2[Species],Table2[Family],"Code Not Found")</f>
        <v>Sapindaceae</v>
      </c>
      <c r="O1880" t="str" cm="1">
        <f t="array" ref="O1880">_xlfn.IFS(F1880="","",F1880&lt;=5,"0 to 5",F1880&lt;=10,"5.1 to 10",F1880&lt;=20,"10 to 20", F1880&lt;= 40, "20 to 40", F1880 &lt;= 50, "40 to 50", F1880 &gt; 50, "&gt;50" )</f>
        <v>5.1 to 10</v>
      </c>
    </row>
    <row r="1881" spans="1:15" ht="15" customHeight="1" x14ac:dyDescent="0.3">
      <c r="A1881" t="s">
        <v>351</v>
      </c>
      <c r="B1881" s="1">
        <v>46203</v>
      </c>
      <c r="C1881" t="s">
        <v>16</v>
      </c>
      <c r="D1881">
        <v>1727</v>
      </c>
      <c r="E1881">
        <v>2</v>
      </c>
      <c r="F1881">
        <v>1.2</v>
      </c>
      <c r="G1881" t="s">
        <v>32</v>
      </c>
      <c r="I1881" t="str">
        <f t="shared" si="40"/>
        <v>1727_2</v>
      </c>
      <c r="J1881" t="s">
        <v>241</v>
      </c>
      <c r="K1881" t="s">
        <v>179</v>
      </c>
      <c r="L1881" t="str">
        <f>_xlfn.XLOOKUP(C1881, Table2[Species],Table2[Genus], "Code Not Found")</f>
        <v>Acer</v>
      </c>
      <c r="M1881" t="str">
        <f>_xlfn.XLOOKUP(C1881, Table2[Species],Table2[Sp. Name], "Code Not Found")</f>
        <v>saccharum</v>
      </c>
      <c r="N1881" t="str">
        <f>_xlfn.XLOOKUP(C1881,Table2[Species],Table2[Family],"Code Not Found")</f>
        <v>Sapindaceae</v>
      </c>
      <c r="O1881" t="str" cm="1">
        <f t="array" ref="O1881">_xlfn.IFS(F1881="","",F1881&lt;=5,"0 to 5",F1881&lt;=10,"5.1 to 10",F1881&lt;=20,"10 to 20", F1881&lt;= 40, "20 to 40", F1881 &lt;= 50, "40 to 50", F1881 &gt; 50, "&gt;50" )</f>
        <v>0 to 5</v>
      </c>
    </row>
    <row r="1882" spans="1:15" ht="15" customHeight="1" x14ac:dyDescent="0.3">
      <c r="A1882" t="s">
        <v>351</v>
      </c>
      <c r="B1882" s="1">
        <v>46203</v>
      </c>
      <c r="C1882" t="s">
        <v>16</v>
      </c>
      <c r="D1882">
        <v>1728</v>
      </c>
      <c r="E1882">
        <v>1</v>
      </c>
      <c r="F1882">
        <v>9.3000000000000007</v>
      </c>
      <c r="G1882" t="s">
        <v>47</v>
      </c>
      <c r="H1882" t="s">
        <v>296</v>
      </c>
      <c r="I1882" t="str">
        <f t="shared" si="40"/>
        <v>1728_1</v>
      </c>
      <c r="J1882" t="s">
        <v>241</v>
      </c>
      <c r="K1882" t="s">
        <v>179</v>
      </c>
      <c r="L1882" t="str">
        <f>_xlfn.XLOOKUP(C1882, Table2[Species],Table2[Genus], "Code Not Found")</f>
        <v>Acer</v>
      </c>
      <c r="M1882" t="str">
        <f>_xlfn.XLOOKUP(C1882, Table2[Species],Table2[Sp. Name], "Code Not Found")</f>
        <v>saccharum</v>
      </c>
      <c r="N1882" t="str">
        <f>_xlfn.XLOOKUP(C1882,Table2[Species],Table2[Family],"Code Not Found")</f>
        <v>Sapindaceae</v>
      </c>
      <c r="O1882" t="str" cm="1">
        <f t="array" ref="O1882">_xlfn.IFS(F1882="","",F1882&lt;=5,"0 to 5",F1882&lt;=10,"5.1 to 10",F1882&lt;=20,"10 to 20", F1882&lt;= 40, "20 to 40", F1882 &lt;= 50, "40 to 50", F1882 &gt; 50, "&gt;50" )</f>
        <v>5.1 to 10</v>
      </c>
    </row>
    <row r="1883" spans="1:15" ht="15" customHeight="1" x14ac:dyDescent="0.3">
      <c r="A1883" t="s">
        <v>351</v>
      </c>
      <c r="B1883" s="1">
        <v>46203</v>
      </c>
      <c r="C1883" t="s">
        <v>16</v>
      </c>
      <c r="D1883">
        <v>1729</v>
      </c>
      <c r="E1883">
        <v>1</v>
      </c>
      <c r="F1883">
        <v>7.2</v>
      </c>
      <c r="G1883" t="s">
        <v>51</v>
      </c>
      <c r="I1883" t="str">
        <f t="shared" si="40"/>
        <v>1729_1</v>
      </c>
      <c r="J1883" t="s">
        <v>241</v>
      </c>
      <c r="K1883" t="s">
        <v>179</v>
      </c>
      <c r="L1883" t="str">
        <f>_xlfn.XLOOKUP(C1883, Table2[Species],Table2[Genus], "Code Not Found")</f>
        <v>Acer</v>
      </c>
      <c r="M1883" t="str">
        <f>_xlfn.XLOOKUP(C1883, Table2[Species],Table2[Sp. Name], "Code Not Found")</f>
        <v>saccharum</v>
      </c>
      <c r="N1883" t="str">
        <f>_xlfn.XLOOKUP(C1883,Table2[Species],Table2[Family],"Code Not Found")</f>
        <v>Sapindaceae</v>
      </c>
      <c r="O1883" t="str" cm="1">
        <f t="array" ref="O1883">_xlfn.IFS(F1883="","",F1883&lt;=5,"0 to 5",F1883&lt;=10,"5.1 to 10",F1883&lt;=20,"10 to 20", F1883&lt;= 40, "20 to 40", F1883 &lt;= 50, "40 to 50", F1883 &gt; 50, "&gt;50" )</f>
        <v>5.1 to 10</v>
      </c>
    </row>
    <row r="1884" spans="1:15" ht="15" customHeight="1" x14ac:dyDescent="0.3">
      <c r="A1884" t="s">
        <v>351</v>
      </c>
      <c r="B1884" s="1">
        <v>46203</v>
      </c>
      <c r="C1884" t="s">
        <v>64</v>
      </c>
      <c r="D1884">
        <v>1730</v>
      </c>
      <c r="E1884">
        <v>1</v>
      </c>
      <c r="F1884">
        <v>4.8</v>
      </c>
      <c r="G1884" t="s">
        <v>32</v>
      </c>
      <c r="I1884" t="str">
        <f t="shared" si="40"/>
        <v>1730_1</v>
      </c>
      <c r="J1884" t="s">
        <v>241</v>
      </c>
      <c r="K1884" t="s">
        <v>179</v>
      </c>
      <c r="L1884" t="str">
        <f>_xlfn.XLOOKUP(C1884, Table2[Species],Table2[Genus], "Code Not Found")</f>
        <v>Fagus</v>
      </c>
      <c r="M1884" t="str">
        <f>_xlfn.XLOOKUP(C1884, Table2[Species],Table2[Sp. Name], "Code Not Found")</f>
        <v>grandifolia</v>
      </c>
      <c r="N1884" t="str">
        <f>_xlfn.XLOOKUP(C1884,Table2[Species],Table2[Family],"Code Not Found")</f>
        <v>Fagaceae</v>
      </c>
      <c r="O1884" t="str" cm="1">
        <f t="array" ref="O1884">_xlfn.IFS(F1884="","",F1884&lt;=5,"0 to 5",F1884&lt;=10,"5.1 to 10",F1884&lt;=20,"10 to 20", F1884&lt;= 40, "20 to 40", F1884 &lt;= 50, "40 to 50", F1884 &gt; 50, "&gt;50" )</f>
        <v>0 to 5</v>
      </c>
    </row>
    <row r="1885" spans="1:15" ht="15" customHeight="1" x14ac:dyDescent="0.3">
      <c r="A1885" t="s">
        <v>351</v>
      </c>
      <c r="B1885" s="1">
        <v>46203</v>
      </c>
      <c r="C1885" t="s">
        <v>64</v>
      </c>
      <c r="D1885">
        <v>1730</v>
      </c>
      <c r="E1885">
        <v>2</v>
      </c>
      <c r="F1885">
        <v>3.3</v>
      </c>
      <c r="G1885" t="s">
        <v>32</v>
      </c>
      <c r="I1885" t="str">
        <f t="shared" si="40"/>
        <v>1730_2</v>
      </c>
      <c r="J1885" t="s">
        <v>241</v>
      </c>
      <c r="K1885" t="s">
        <v>179</v>
      </c>
      <c r="L1885" t="str">
        <f>_xlfn.XLOOKUP(C1885, Table2[Species],Table2[Genus], "Code Not Found")</f>
        <v>Fagus</v>
      </c>
      <c r="M1885" t="str">
        <f>_xlfn.XLOOKUP(C1885, Table2[Species],Table2[Sp. Name], "Code Not Found")</f>
        <v>grandifolia</v>
      </c>
      <c r="N1885" t="str">
        <f>_xlfn.XLOOKUP(C1885,Table2[Species],Table2[Family],"Code Not Found")</f>
        <v>Fagaceae</v>
      </c>
      <c r="O1885" t="str" cm="1">
        <f t="array" ref="O1885">_xlfn.IFS(F1885="","",F1885&lt;=5,"0 to 5",F1885&lt;=10,"5.1 to 10",F1885&lt;=20,"10 to 20", F1885&lt;= 40, "20 to 40", F1885 &lt;= 50, "40 to 50", F1885 &gt; 50, "&gt;50" )</f>
        <v>0 to 5</v>
      </c>
    </row>
    <row r="1886" spans="1:15" ht="15" customHeight="1" x14ac:dyDescent="0.3">
      <c r="A1886" t="s">
        <v>351</v>
      </c>
      <c r="B1886" s="1">
        <v>46203</v>
      </c>
      <c r="C1886" t="s">
        <v>16</v>
      </c>
      <c r="D1886">
        <v>1731</v>
      </c>
      <c r="E1886">
        <v>1</v>
      </c>
      <c r="F1886">
        <v>2.8</v>
      </c>
      <c r="G1886" t="s">
        <v>17</v>
      </c>
      <c r="I1886" t="str">
        <f t="shared" si="40"/>
        <v>1731_1</v>
      </c>
      <c r="J1886" t="s">
        <v>241</v>
      </c>
      <c r="K1886" t="s">
        <v>179</v>
      </c>
      <c r="L1886" t="str">
        <f>_xlfn.XLOOKUP(C1886, Table2[Species],Table2[Genus], "Code Not Found")</f>
        <v>Acer</v>
      </c>
      <c r="M1886" t="str">
        <f>_xlfn.XLOOKUP(C1886, Table2[Species],Table2[Sp. Name], "Code Not Found")</f>
        <v>saccharum</v>
      </c>
      <c r="N1886" t="str">
        <f>_xlfn.XLOOKUP(C1886,Table2[Species],Table2[Family],"Code Not Found")</f>
        <v>Sapindaceae</v>
      </c>
      <c r="O1886" t="str" cm="1">
        <f t="array" ref="O1886">_xlfn.IFS(F1886="","",F1886&lt;=5,"0 to 5",F1886&lt;=10,"5.1 to 10",F1886&lt;=20,"10 to 20", F1886&lt;= 40, "20 to 40", F1886 &lt;= 50, "40 to 50", F1886 &gt; 50, "&gt;50" )</f>
        <v>0 to 5</v>
      </c>
    </row>
    <row r="1887" spans="1:15" ht="15" customHeight="1" x14ac:dyDescent="0.3">
      <c r="A1887" t="s">
        <v>351</v>
      </c>
      <c r="B1887" s="1">
        <v>46203</v>
      </c>
      <c r="C1887" t="s">
        <v>16</v>
      </c>
      <c r="D1887">
        <v>1732</v>
      </c>
      <c r="E1887">
        <v>1</v>
      </c>
      <c r="F1887">
        <v>6.7</v>
      </c>
      <c r="G1887" t="s">
        <v>17</v>
      </c>
      <c r="I1887" t="str">
        <f t="shared" si="40"/>
        <v>1732_1</v>
      </c>
      <c r="J1887" t="s">
        <v>241</v>
      </c>
      <c r="K1887" t="s">
        <v>179</v>
      </c>
      <c r="L1887" t="str">
        <f>_xlfn.XLOOKUP(C1887, Table2[Species],Table2[Genus], "Code Not Found")</f>
        <v>Acer</v>
      </c>
      <c r="M1887" t="str">
        <f>_xlfn.XLOOKUP(C1887, Table2[Species],Table2[Sp. Name], "Code Not Found")</f>
        <v>saccharum</v>
      </c>
      <c r="N1887" t="str">
        <f>_xlfn.XLOOKUP(C1887,Table2[Species],Table2[Family],"Code Not Found")</f>
        <v>Sapindaceae</v>
      </c>
      <c r="O1887" t="str" cm="1">
        <f t="array" ref="O1887">_xlfn.IFS(F1887="","",F1887&lt;=5,"0 to 5",F1887&lt;=10,"5.1 to 10",F1887&lt;=20,"10 to 20", F1887&lt;= 40, "20 to 40", F1887 &lt;= 50, "40 to 50", F1887 &gt; 50, "&gt;50" )</f>
        <v>5.1 to 10</v>
      </c>
    </row>
    <row r="1888" spans="1:15" ht="15" customHeight="1" x14ac:dyDescent="0.3">
      <c r="A1888" t="s">
        <v>351</v>
      </c>
      <c r="B1888" s="1">
        <v>46203</v>
      </c>
      <c r="C1888" t="s">
        <v>16</v>
      </c>
      <c r="D1888">
        <v>1733</v>
      </c>
      <c r="E1888">
        <v>1</v>
      </c>
      <c r="F1888">
        <v>5.5</v>
      </c>
      <c r="G1888" t="s">
        <v>47</v>
      </c>
      <c r="H1888" t="s">
        <v>296</v>
      </c>
      <c r="I1888" t="str">
        <f t="shared" si="40"/>
        <v>1733_1</v>
      </c>
      <c r="J1888" t="s">
        <v>241</v>
      </c>
      <c r="K1888" t="s">
        <v>179</v>
      </c>
      <c r="L1888" t="str">
        <f>_xlfn.XLOOKUP(C1888, Table2[Species],Table2[Genus], "Code Not Found")</f>
        <v>Acer</v>
      </c>
      <c r="M1888" t="str">
        <f>_xlfn.XLOOKUP(C1888, Table2[Species],Table2[Sp. Name], "Code Not Found")</f>
        <v>saccharum</v>
      </c>
      <c r="N1888" t="str">
        <f>_xlfn.XLOOKUP(C1888,Table2[Species],Table2[Family],"Code Not Found")</f>
        <v>Sapindaceae</v>
      </c>
      <c r="O1888" t="str" cm="1">
        <f t="array" ref="O1888">_xlfn.IFS(F1888="","",F1888&lt;=5,"0 to 5",F1888&lt;=10,"5.1 to 10",F1888&lt;=20,"10 to 20", F1888&lt;= 40, "20 to 40", F1888 &lt;= 50, "40 to 50", F1888 &gt; 50, "&gt;50" )</f>
        <v>5.1 to 10</v>
      </c>
    </row>
    <row r="1889" spans="1:15" ht="15" customHeight="1" x14ac:dyDescent="0.3">
      <c r="A1889" t="s">
        <v>351</v>
      </c>
      <c r="B1889" s="1">
        <v>46203</v>
      </c>
      <c r="C1889" t="s">
        <v>64</v>
      </c>
      <c r="D1889">
        <v>1734</v>
      </c>
      <c r="E1889">
        <v>1</v>
      </c>
      <c r="F1889">
        <v>6.6</v>
      </c>
      <c r="G1889" t="s">
        <v>47</v>
      </c>
      <c r="H1889" t="s">
        <v>296</v>
      </c>
      <c r="I1889" t="str">
        <f t="shared" si="40"/>
        <v>1734_1</v>
      </c>
      <c r="J1889" t="s">
        <v>241</v>
      </c>
      <c r="K1889" t="s">
        <v>179</v>
      </c>
      <c r="L1889" t="str">
        <f>_xlfn.XLOOKUP(C1889, Table2[Species],Table2[Genus], "Code Not Found")</f>
        <v>Fagus</v>
      </c>
      <c r="M1889" t="str">
        <f>_xlfn.XLOOKUP(C1889, Table2[Species],Table2[Sp. Name], "Code Not Found")</f>
        <v>grandifolia</v>
      </c>
      <c r="N1889" t="str">
        <f>_xlfn.XLOOKUP(C1889,Table2[Species],Table2[Family],"Code Not Found")</f>
        <v>Fagaceae</v>
      </c>
      <c r="O1889" t="str" cm="1">
        <f t="array" ref="O1889">_xlfn.IFS(F1889="","",F1889&lt;=5,"0 to 5",F1889&lt;=10,"5.1 to 10",F1889&lt;=20,"10 to 20", F1889&lt;= 40, "20 to 40", F1889 &lt;= 50, "40 to 50", F1889 &gt; 50, "&gt;50" )</f>
        <v>5.1 to 10</v>
      </c>
    </row>
    <row r="1890" spans="1:15" ht="15" customHeight="1" x14ac:dyDescent="0.3">
      <c r="A1890" t="s">
        <v>351</v>
      </c>
      <c r="B1890" s="1">
        <v>46203</v>
      </c>
      <c r="C1890" t="s">
        <v>64</v>
      </c>
      <c r="D1890">
        <v>1735</v>
      </c>
      <c r="E1890">
        <v>1</v>
      </c>
      <c r="F1890">
        <v>8.6999999999999993</v>
      </c>
      <c r="G1890" t="s">
        <v>17</v>
      </c>
      <c r="I1890" t="str">
        <f t="shared" si="40"/>
        <v>1735_1</v>
      </c>
      <c r="J1890" t="s">
        <v>241</v>
      </c>
      <c r="K1890" t="s">
        <v>179</v>
      </c>
      <c r="L1890" t="str">
        <f>_xlfn.XLOOKUP(C1890, Table2[Species],Table2[Genus], "Code Not Found")</f>
        <v>Fagus</v>
      </c>
      <c r="M1890" t="str">
        <f>_xlfn.XLOOKUP(C1890, Table2[Species],Table2[Sp. Name], "Code Not Found")</f>
        <v>grandifolia</v>
      </c>
      <c r="N1890" t="str">
        <f>_xlfn.XLOOKUP(C1890,Table2[Species],Table2[Family],"Code Not Found")</f>
        <v>Fagaceae</v>
      </c>
      <c r="O1890" t="str" cm="1">
        <f t="array" ref="O1890">_xlfn.IFS(F1890="","",F1890&lt;=5,"0 to 5",F1890&lt;=10,"5.1 to 10",F1890&lt;=20,"10 to 20", F1890&lt;= 40, "20 to 40", F1890 &lt;= 50, "40 to 50", F1890 &gt; 50, "&gt;50" )</f>
        <v>5.1 to 10</v>
      </c>
    </row>
    <row r="1891" spans="1:15" ht="15" customHeight="1" x14ac:dyDescent="0.3">
      <c r="A1891" t="s">
        <v>351</v>
      </c>
      <c r="B1891" s="1">
        <v>46203</v>
      </c>
      <c r="C1891" t="s">
        <v>16</v>
      </c>
      <c r="D1891">
        <v>1736</v>
      </c>
      <c r="E1891">
        <v>1</v>
      </c>
      <c r="F1891">
        <v>12.1</v>
      </c>
      <c r="G1891" t="s">
        <v>17</v>
      </c>
      <c r="I1891" t="str">
        <f t="shared" si="40"/>
        <v>1736_1</v>
      </c>
      <c r="J1891" t="s">
        <v>241</v>
      </c>
      <c r="K1891" t="s">
        <v>179</v>
      </c>
      <c r="L1891" t="str">
        <f>_xlfn.XLOOKUP(C1891, Table2[Species],Table2[Genus], "Code Not Found")</f>
        <v>Acer</v>
      </c>
      <c r="M1891" t="str">
        <f>_xlfn.XLOOKUP(C1891, Table2[Species],Table2[Sp. Name], "Code Not Found")</f>
        <v>saccharum</v>
      </c>
      <c r="N1891" t="str">
        <f>_xlfn.XLOOKUP(C1891,Table2[Species],Table2[Family],"Code Not Found")</f>
        <v>Sapindaceae</v>
      </c>
      <c r="O1891" t="str" cm="1">
        <f t="array" ref="O1891">_xlfn.IFS(F1891="","",F1891&lt;=5,"0 to 5",F1891&lt;=10,"5.1 to 10",F1891&lt;=20,"10 to 20", F1891&lt;= 40, "20 to 40", F1891 &lt;= 50, "40 to 50", F1891 &gt; 50, "&gt;50" )</f>
        <v>10 to 20</v>
      </c>
    </row>
    <row r="1892" spans="1:15" ht="15" customHeight="1" x14ac:dyDescent="0.3">
      <c r="A1892" t="s">
        <v>351</v>
      </c>
      <c r="B1892" s="1">
        <v>46203</v>
      </c>
      <c r="C1892" t="s">
        <v>64</v>
      </c>
      <c r="D1892">
        <v>1737</v>
      </c>
      <c r="E1892">
        <v>1</v>
      </c>
      <c r="F1892">
        <v>67.099999999999994</v>
      </c>
      <c r="G1892" t="s">
        <v>32</v>
      </c>
      <c r="H1892" t="s">
        <v>397</v>
      </c>
      <c r="I1892" t="str">
        <f t="shared" si="40"/>
        <v>1737_1</v>
      </c>
      <c r="J1892" t="s">
        <v>241</v>
      </c>
      <c r="K1892" t="s">
        <v>179</v>
      </c>
      <c r="L1892" t="str">
        <f>_xlfn.XLOOKUP(C1892, Table2[Species],Table2[Genus], "Code Not Found")</f>
        <v>Fagus</v>
      </c>
      <c r="M1892" t="str">
        <f>_xlfn.XLOOKUP(C1892, Table2[Species],Table2[Sp. Name], "Code Not Found")</f>
        <v>grandifolia</v>
      </c>
      <c r="N1892" t="str">
        <f>_xlfn.XLOOKUP(C1892,Table2[Species],Table2[Family],"Code Not Found")</f>
        <v>Fagaceae</v>
      </c>
      <c r="O1892" t="str" cm="1">
        <f t="array" ref="O1892">_xlfn.IFS(F1892="","",F1892&lt;=5,"0 to 5",F1892&lt;=10,"5.1 to 10",F1892&lt;=20,"10 to 20", F1892&lt;= 40, "20 to 40", F1892 &lt;= 50, "40 to 50", F1892 &gt; 50, "&gt;50" )</f>
        <v>&gt;50</v>
      </c>
    </row>
    <row r="1893" spans="1:15" ht="15" customHeight="1" x14ac:dyDescent="0.3">
      <c r="A1893" t="s">
        <v>351</v>
      </c>
      <c r="B1893" s="1">
        <v>46203</v>
      </c>
      <c r="C1893" t="s">
        <v>64</v>
      </c>
      <c r="D1893">
        <v>1737</v>
      </c>
      <c r="E1893">
        <v>2</v>
      </c>
      <c r="F1893">
        <v>4.8</v>
      </c>
      <c r="G1893" t="s">
        <v>32</v>
      </c>
      <c r="I1893" t="str">
        <f t="shared" si="40"/>
        <v>1737_2</v>
      </c>
      <c r="J1893" t="s">
        <v>241</v>
      </c>
      <c r="K1893" t="s">
        <v>179</v>
      </c>
      <c r="L1893" t="str">
        <f>_xlfn.XLOOKUP(C1893, Table2[Species],Table2[Genus], "Code Not Found")</f>
        <v>Fagus</v>
      </c>
      <c r="M1893" t="str">
        <f>_xlfn.XLOOKUP(C1893, Table2[Species],Table2[Sp. Name], "Code Not Found")</f>
        <v>grandifolia</v>
      </c>
      <c r="N1893" t="str">
        <f>_xlfn.XLOOKUP(C1893,Table2[Species],Table2[Family],"Code Not Found")</f>
        <v>Fagaceae</v>
      </c>
      <c r="O1893" t="str" cm="1">
        <f t="array" ref="O1893">_xlfn.IFS(F1893="","",F1893&lt;=5,"0 to 5",F1893&lt;=10,"5.1 to 10",F1893&lt;=20,"10 to 20", F1893&lt;= 40, "20 to 40", F1893 &lt;= 50, "40 to 50", F1893 &gt; 50, "&gt;50" )</f>
        <v>0 to 5</v>
      </c>
    </row>
    <row r="1894" spans="1:15" ht="15" customHeight="1" x14ac:dyDescent="0.3">
      <c r="A1894" t="s">
        <v>351</v>
      </c>
      <c r="B1894" s="1">
        <v>46203</v>
      </c>
      <c r="C1894" t="s">
        <v>16</v>
      </c>
      <c r="D1894">
        <v>1738</v>
      </c>
      <c r="E1894">
        <v>1</v>
      </c>
      <c r="F1894">
        <v>38.299999999999997</v>
      </c>
      <c r="G1894" t="s">
        <v>17</v>
      </c>
      <c r="I1894" t="str">
        <f t="shared" si="40"/>
        <v>1738_1</v>
      </c>
      <c r="J1894" t="s">
        <v>241</v>
      </c>
      <c r="K1894" t="s">
        <v>179</v>
      </c>
      <c r="L1894" t="str">
        <f>_xlfn.XLOOKUP(C1894, Table2[Species],Table2[Genus], "Code Not Found")</f>
        <v>Acer</v>
      </c>
      <c r="M1894" t="str">
        <f>_xlfn.XLOOKUP(C1894, Table2[Species],Table2[Sp. Name], "Code Not Found")</f>
        <v>saccharum</v>
      </c>
      <c r="N1894" t="str">
        <f>_xlfn.XLOOKUP(C1894,Table2[Species],Table2[Family],"Code Not Found")</f>
        <v>Sapindaceae</v>
      </c>
      <c r="O1894" t="str" cm="1">
        <f t="array" ref="O1894">_xlfn.IFS(F1894="","",F1894&lt;=5,"0 to 5",F1894&lt;=10,"5.1 to 10",F1894&lt;=20,"10 to 20", F1894&lt;= 40, "20 to 40", F1894 &lt;= 50, "40 to 50", F1894 &gt; 50, "&gt;50" )</f>
        <v>20 to 40</v>
      </c>
    </row>
    <row r="1895" spans="1:15" ht="15" customHeight="1" x14ac:dyDescent="0.3">
      <c r="A1895" t="s">
        <v>351</v>
      </c>
      <c r="B1895" s="1">
        <v>46203</v>
      </c>
      <c r="C1895" t="s">
        <v>24</v>
      </c>
      <c r="D1895">
        <v>1739</v>
      </c>
      <c r="E1895">
        <v>1</v>
      </c>
      <c r="F1895">
        <v>1.1000000000000001</v>
      </c>
      <c r="G1895" t="s">
        <v>359</v>
      </c>
      <c r="I1895" t="str">
        <f t="shared" si="40"/>
        <v>1739_1</v>
      </c>
      <c r="J1895" t="s">
        <v>241</v>
      </c>
      <c r="K1895" t="s">
        <v>179</v>
      </c>
      <c r="L1895" t="str">
        <f>_xlfn.XLOOKUP(C1895, Table2[Species],Table2[Genus], "Code Not Found")</f>
        <v>Lirodendron</v>
      </c>
      <c r="M1895" t="str">
        <f>_xlfn.XLOOKUP(C1895, Table2[Species],Table2[Sp. Name], "Code Not Found")</f>
        <v>tulipfera</v>
      </c>
      <c r="N1895" t="str">
        <f>_xlfn.XLOOKUP(C1895,Table2[Species],Table2[Family],"Code Not Found")</f>
        <v>Magnoliaceae</v>
      </c>
      <c r="O1895" t="str" cm="1">
        <f t="array" ref="O1895">_xlfn.IFS(F1895="","",F1895&lt;=5,"0 to 5",F1895&lt;=10,"5.1 to 10",F1895&lt;=20,"10 to 20", F1895&lt;= 40, "20 to 40", F1895 &lt;= 50, "40 to 50", F1895 &gt; 50, "&gt;50" )</f>
        <v>0 to 5</v>
      </c>
    </row>
    <row r="1896" spans="1:15" ht="15" customHeight="1" x14ac:dyDescent="0.3">
      <c r="A1896" t="s">
        <v>351</v>
      </c>
      <c r="B1896" s="1">
        <v>46203</v>
      </c>
      <c r="C1896" t="s">
        <v>24</v>
      </c>
      <c r="D1896">
        <v>1740</v>
      </c>
      <c r="E1896">
        <v>1</v>
      </c>
      <c r="F1896">
        <v>1.2</v>
      </c>
      <c r="G1896" t="s">
        <v>359</v>
      </c>
      <c r="I1896" t="str">
        <f t="shared" si="40"/>
        <v>1740_1</v>
      </c>
      <c r="J1896" t="s">
        <v>241</v>
      </c>
      <c r="K1896" t="s">
        <v>179</v>
      </c>
      <c r="L1896" t="str">
        <f>_xlfn.XLOOKUP(C1896, Table2[Species],Table2[Genus], "Code Not Found")</f>
        <v>Lirodendron</v>
      </c>
      <c r="M1896" t="str">
        <f>_xlfn.XLOOKUP(C1896, Table2[Species],Table2[Sp. Name], "Code Not Found")</f>
        <v>tulipfera</v>
      </c>
      <c r="N1896" t="str">
        <f>_xlfn.XLOOKUP(C1896,Table2[Species],Table2[Family],"Code Not Found")</f>
        <v>Magnoliaceae</v>
      </c>
      <c r="O1896" t="str" cm="1">
        <f t="array" ref="O1896">_xlfn.IFS(F1896="","",F1896&lt;=5,"0 to 5",F1896&lt;=10,"5.1 to 10",F1896&lt;=20,"10 to 20", F1896&lt;= 40, "20 to 40", F1896 &lt;= 50, "40 to 50", F1896 &gt; 50, "&gt;50" )</f>
        <v>0 to 5</v>
      </c>
    </row>
    <row r="1897" spans="1:15" ht="15" customHeight="1" x14ac:dyDescent="0.3">
      <c r="A1897" t="s">
        <v>351</v>
      </c>
      <c r="B1897" s="1">
        <v>46203</v>
      </c>
      <c r="C1897" t="s">
        <v>24</v>
      </c>
      <c r="D1897">
        <v>1741</v>
      </c>
      <c r="E1897">
        <v>1</v>
      </c>
      <c r="F1897">
        <v>1.1000000000000001</v>
      </c>
      <c r="G1897" t="s">
        <v>359</v>
      </c>
      <c r="I1897" t="str">
        <f t="shared" si="40"/>
        <v>1741_1</v>
      </c>
      <c r="J1897" t="s">
        <v>241</v>
      </c>
      <c r="K1897" t="s">
        <v>179</v>
      </c>
      <c r="L1897" t="str">
        <f>_xlfn.XLOOKUP(C1897, Table2[Species],Table2[Genus], "Code Not Found")</f>
        <v>Lirodendron</v>
      </c>
      <c r="M1897" t="str">
        <f>_xlfn.XLOOKUP(C1897, Table2[Species],Table2[Sp. Name], "Code Not Found")</f>
        <v>tulipfera</v>
      </c>
      <c r="N1897" t="str">
        <f>_xlfn.XLOOKUP(C1897,Table2[Species],Table2[Family],"Code Not Found")</f>
        <v>Magnoliaceae</v>
      </c>
      <c r="O1897" t="str" cm="1">
        <f t="array" ref="O1897">_xlfn.IFS(F1897="","",F1897&lt;=5,"0 to 5",F1897&lt;=10,"5.1 to 10",F1897&lt;=20,"10 to 20", F1897&lt;= 40, "20 to 40", F1897 &lt;= 50, "40 to 50", F1897 &gt; 50, "&gt;50" )</f>
        <v>0 to 5</v>
      </c>
    </row>
    <row r="1898" spans="1:15" ht="15" customHeight="1" x14ac:dyDescent="0.3">
      <c r="A1898" t="s">
        <v>351</v>
      </c>
      <c r="B1898" s="1">
        <v>46203</v>
      </c>
      <c r="C1898" t="s">
        <v>24</v>
      </c>
      <c r="D1898">
        <v>1742</v>
      </c>
      <c r="E1898">
        <v>1</v>
      </c>
      <c r="F1898">
        <v>1.1000000000000001</v>
      </c>
      <c r="G1898" t="s">
        <v>359</v>
      </c>
      <c r="I1898" t="str">
        <f t="shared" si="40"/>
        <v>1742_1</v>
      </c>
      <c r="J1898" t="s">
        <v>241</v>
      </c>
      <c r="K1898" t="s">
        <v>179</v>
      </c>
      <c r="L1898" t="str">
        <f>_xlfn.XLOOKUP(C1898, Table2[Species],Table2[Genus], "Code Not Found")</f>
        <v>Lirodendron</v>
      </c>
      <c r="M1898" t="str">
        <f>_xlfn.XLOOKUP(C1898, Table2[Species],Table2[Sp. Name], "Code Not Found")</f>
        <v>tulipfera</v>
      </c>
      <c r="N1898" t="str">
        <f>_xlfn.XLOOKUP(C1898,Table2[Species],Table2[Family],"Code Not Found")</f>
        <v>Magnoliaceae</v>
      </c>
      <c r="O1898" t="str" cm="1">
        <f t="array" ref="O1898">_xlfn.IFS(F1898="","",F1898&lt;=5,"0 to 5",F1898&lt;=10,"5.1 to 10",F1898&lt;=20,"10 to 20", F1898&lt;= 40, "20 to 40", F1898 &lt;= 50, "40 to 50", F1898 &gt; 50, "&gt;50" )</f>
        <v>0 to 5</v>
      </c>
    </row>
    <row r="1899" spans="1:15" ht="15" customHeight="1" x14ac:dyDescent="0.3">
      <c r="A1899" t="s">
        <v>351</v>
      </c>
      <c r="B1899" s="1">
        <v>46203</v>
      </c>
      <c r="C1899" t="s">
        <v>24</v>
      </c>
      <c r="D1899">
        <v>1743</v>
      </c>
      <c r="E1899">
        <v>1</v>
      </c>
      <c r="F1899">
        <v>1.3</v>
      </c>
      <c r="G1899" t="s">
        <v>398</v>
      </c>
      <c r="I1899" t="str">
        <f t="shared" si="40"/>
        <v>1743_1</v>
      </c>
      <c r="J1899" t="s">
        <v>241</v>
      </c>
      <c r="K1899" t="s">
        <v>179</v>
      </c>
      <c r="L1899" t="str">
        <f>_xlfn.XLOOKUP(C1899, Table2[Species],Table2[Genus], "Code Not Found")</f>
        <v>Lirodendron</v>
      </c>
      <c r="M1899" t="str">
        <f>_xlfn.XLOOKUP(C1899, Table2[Species],Table2[Sp. Name], "Code Not Found")</f>
        <v>tulipfera</v>
      </c>
      <c r="N1899" t="str">
        <f>_xlfn.XLOOKUP(C1899,Table2[Species],Table2[Family],"Code Not Found")</f>
        <v>Magnoliaceae</v>
      </c>
      <c r="O1899" t="str" cm="1">
        <f t="array" ref="O1899">_xlfn.IFS(F1899="","",F1899&lt;=5,"0 to 5",F1899&lt;=10,"5.1 to 10",F1899&lt;=20,"10 to 20", F1899&lt;= 40, "20 to 40", F1899 &lt;= 50, "40 to 50", F1899 &gt; 50, "&gt;50" )</f>
        <v>0 to 5</v>
      </c>
    </row>
    <row r="1900" spans="1:15" ht="15" customHeight="1" x14ac:dyDescent="0.3">
      <c r="A1900" t="s">
        <v>351</v>
      </c>
      <c r="B1900" s="1">
        <v>46203</v>
      </c>
      <c r="C1900" t="s">
        <v>24</v>
      </c>
      <c r="D1900">
        <v>1743</v>
      </c>
      <c r="E1900">
        <v>2</v>
      </c>
      <c r="F1900">
        <v>1.1000000000000001</v>
      </c>
      <c r="G1900" t="s">
        <v>398</v>
      </c>
      <c r="I1900" t="str">
        <f t="shared" si="40"/>
        <v>1743_2</v>
      </c>
      <c r="J1900" t="s">
        <v>241</v>
      </c>
      <c r="K1900" t="s">
        <v>179</v>
      </c>
      <c r="L1900" t="str">
        <f>_xlfn.XLOOKUP(C1900, Table2[Species],Table2[Genus], "Code Not Found")</f>
        <v>Lirodendron</v>
      </c>
      <c r="M1900" t="str">
        <f>_xlfn.XLOOKUP(C1900, Table2[Species],Table2[Sp. Name], "Code Not Found")</f>
        <v>tulipfera</v>
      </c>
      <c r="N1900" t="str">
        <f>_xlfn.XLOOKUP(C1900,Table2[Species],Table2[Family],"Code Not Found")</f>
        <v>Magnoliaceae</v>
      </c>
      <c r="O1900" t="str" cm="1">
        <f t="array" ref="O1900">_xlfn.IFS(F1900="","",F1900&lt;=5,"0 to 5",F1900&lt;=10,"5.1 to 10",F1900&lt;=20,"10 to 20", F1900&lt;= 40, "20 to 40", F1900 &lt;= 50, "40 to 50", F1900 &gt; 50, "&gt;50" )</f>
        <v>0 to 5</v>
      </c>
    </row>
    <row r="1901" spans="1:15" ht="15" customHeight="1" x14ac:dyDescent="0.3">
      <c r="A1901" t="s">
        <v>351</v>
      </c>
      <c r="B1901" s="1">
        <v>46203</v>
      </c>
      <c r="C1901" t="s">
        <v>16</v>
      </c>
      <c r="D1901">
        <v>1744</v>
      </c>
      <c r="E1901">
        <v>1</v>
      </c>
      <c r="F1901">
        <v>4.8</v>
      </c>
      <c r="G1901" t="s">
        <v>47</v>
      </c>
      <c r="H1901" t="s">
        <v>296</v>
      </c>
      <c r="I1901" t="str">
        <f t="shared" si="40"/>
        <v>1744_1</v>
      </c>
      <c r="J1901" t="s">
        <v>241</v>
      </c>
      <c r="K1901" t="s">
        <v>179</v>
      </c>
      <c r="L1901" t="str">
        <f>_xlfn.XLOOKUP(C1901, Table2[Species],Table2[Genus], "Code Not Found")</f>
        <v>Acer</v>
      </c>
      <c r="M1901" t="str">
        <f>_xlfn.XLOOKUP(C1901, Table2[Species],Table2[Sp. Name], "Code Not Found")</f>
        <v>saccharum</v>
      </c>
      <c r="N1901" t="str">
        <f>_xlfn.XLOOKUP(C1901,Table2[Species],Table2[Family],"Code Not Found")</f>
        <v>Sapindaceae</v>
      </c>
      <c r="O1901" t="str" cm="1">
        <f t="array" ref="O1901">_xlfn.IFS(F1901="","",F1901&lt;=5,"0 to 5",F1901&lt;=10,"5.1 to 10",F1901&lt;=20,"10 to 20", F1901&lt;= 40, "20 to 40", F1901 &lt;= 50, "40 to 50", F1901 &gt; 50, "&gt;50" )</f>
        <v>0 to 5</v>
      </c>
    </row>
    <row r="1902" spans="1:15" ht="15" customHeight="1" x14ac:dyDescent="0.3">
      <c r="A1902" t="s">
        <v>351</v>
      </c>
      <c r="B1902" s="1">
        <v>46203</v>
      </c>
      <c r="C1902" t="s">
        <v>64</v>
      </c>
      <c r="D1902">
        <v>1745</v>
      </c>
      <c r="E1902">
        <v>1</v>
      </c>
      <c r="F1902">
        <v>9.6</v>
      </c>
      <c r="G1902" t="s">
        <v>17</v>
      </c>
      <c r="H1902" t="s">
        <v>399</v>
      </c>
      <c r="I1902" t="str">
        <f t="shared" ref="I1902:I1928" si="41">D1902&amp;"_"&amp;E1902</f>
        <v>1745_1</v>
      </c>
      <c r="J1902" t="s">
        <v>241</v>
      </c>
      <c r="K1902" t="s">
        <v>179</v>
      </c>
      <c r="L1902" t="str">
        <f>_xlfn.XLOOKUP(C1902, Table2[Species],Table2[Genus], "Code Not Found")</f>
        <v>Fagus</v>
      </c>
      <c r="M1902" t="str">
        <f>_xlfn.XLOOKUP(C1902, Table2[Species],Table2[Sp. Name], "Code Not Found")</f>
        <v>grandifolia</v>
      </c>
      <c r="N1902" t="str">
        <f>_xlfn.XLOOKUP(C1902,Table2[Species],Table2[Family],"Code Not Found")</f>
        <v>Fagaceae</v>
      </c>
      <c r="O1902" t="str" cm="1">
        <f t="array" ref="O1902">_xlfn.IFS(F1902="","",F1902&lt;=5,"0 to 5",F1902&lt;=10,"5.1 to 10",F1902&lt;=20,"10 to 20", F1902&lt;= 40, "20 to 40", F1902 &lt;= 50, "40 to 50", F1902 &gt; 50, "&gt;50" )</f>
        <v>5.1 to 10</v>
      </c>
    </row>
    <row r="1903" spans="1:15" ht="15" customHeight="1" x14ac:dyDescent="0.3">
      <c r="A1903" t="s">
        <v>351</v>
      </c>
      <c r="B1903" s="1">
        <v>46203</v>
      </c>
      <c r="C1903" t="s">
        <v>64</v>
      </c>
      <c r="D1903">
        <v>1746</v>
      </c>
      <c r="E1903">
        <v>1</v>
      </c>
      <c r="F1903">
        <v>7.7</v>
      </c>
      <c r="G1903" t="s">
        <v>17</v>
      </c>
      <c r="I1903" t="str">
        <f t="shared" si="41"/>
        <v>1746_1</v>
      </c>
      <c r="J1903" t="s">
        <v>241</v>
      </c>
      <c r="K1903" t="s">
        <v>179</v>
      </c>
      <c r="L1903" t="str">
        <f>_xlfn.XLOOKUP(C1903, Table2[Species],Table2[Genus], "Code Not Found")</f>
        <v>Fagus</v>
      </c>
      <c r="M1903" t="str">
        <f>_xlfn.XLOOKUP(C1903, Table2[Species],Table2[Sp. Name], "Code Not Found")</f>
        <v>grandifolia</v>
      </c>
      <c r="N1903" t="str">
        <f>_xlfn.XLOOKUP(C1903,Table2[Species],Table2[Family],"Code Not Found")</f>
        <v>Fagaceae</v>
      </c>
      <c r="O1903" t="str" cm="1">
        <f t="array" ref="O1903">_xlfn.IFS(F1903="","",F1903&lt;=5,"0 to 5",F1903&lt;=10,"5.1 to 10",F1903&lt;=20,"10 to 20", F1903&lt;= 40, "20 to 40", F1903 &lt;= 50, "40 to 50", F1903 &gt; 50, "&gt;50" )</f>
        <v>5.1 to 10</v>
      </c>
    </row>
    <row r="1904" spans="1:15" ht="15" customHeight="1" x14ac:dyDescent="0.3">
      <c r="A1904" t="s">
        <v>351</v>
      </c>
      <c r="B1904" s="1">
        <v>46203</v>
      </c>
      <c r="C1904" t="s">
        <v>55</v>
      </c>
      <c r="D1904">
        <v>1747</v>
      </c>
      <c r="E1904">
        <v>1</v>
      </c>
      <c r="F1904">
        <v>5.6</v>
      </c>
      <c r="G1904" t="s">
        <v>47</v>
      </c>
      <c r="I1904" t="str">
        <f t="shared" si="41"/>
        <v>1747_1</v>
      </c>
      <c r="J1904" t="s">
        <v>241</v>
      </c>
      <c r="K1904" t="s">
        <v>179</v>
      </c>
      <c r="L1904" t="str">
        <f>_xlfn.XLOOKUP(C1904, Table2[Species],Table2[Genus], "Code Not Found")</f>
        <v>Magnolia</v>
      </c>
      <c r="M1904" t="str">
        <f>_xlfn.XLOOKUP(C1904, Table2[Species],Table2[Sp. Name], "Code Not Found")</f>
        <v>acuminata</v>
      </c>
      <c r="N1904" t="str">
        <f>_xlfn.XLOOKUP(C1904,Table2[Species],Table2[Family],"Code Not Found")</f>
        <v>Magnoliaceae</v>
      </c>
      <c r="O1904" t="str" cm="1">
        <f t="array" ref="O1904">_xlfn.IFS(F1904="","",F1904&lt;=5,"0 to 5",F1904&lt;=10,"5.1 to 10",F1904&lt;=20,"10 to 20", F1904&lt;= 40, "20 to 40", F1904 &lt;= 50, "40 to 50", F1904 &gt; 50, "&gt;50" )</f>
        <v>5.1 to 10</v>
      </c>
    </row>
    <row r="1905" spans="1:15" ht="15" customHeight="1" x14ac:dyDescent="0.3">
      <c r="A1905" t="s">
        <v>351</v>
      </c>
      <c r="B1905" s="1">
        <v>46203</v>
      </c>
      <c r="C1905" t="s">
        <v>117</v>
      </c>
      <c r="D1905">
        <v>1748</v>
      </c>
      <c r="E1905">
        <v>1</v>
      </c>
      <c r="F1905">
        <v>4.4000000000000004</v>
      </c>
      <c r="G1905" t="s">
        <v>17</v>
      </c>
      <c r="I1905" t="str">
        <f t="shared" si="41"/>
        <v>1748_1</v>
      </c>
      <c r="J1905" t="s">
        <v>241</v>
      </c>
      <c r="K1905" t="s">
        <v>179</v>
      </c>
      <c r="L1905" t="str">
        <f>_xlfn.XLOOKUP(C1905, Table2[Species],Table2[Genus], "Code Not Found")</f>
        <v>Ostrya</v>
      </c>
      <c r="M1905" t="str">
        <f>_xlfn.XLOOKUP(C1905, Table2[Species],Table2[Sp. Name], "Code Not Found")</f>
        <v>viginiana</v>
      </c>
      <c r="N1905" t="str">
        <f>_xlfn.XLOOKUP(C1905,Table2[Species],Table2[Family],"Code Not Found")</f>
        <v>Betulaceae</v>
      </c>
      <c r="O1905" t="str" cm="1">
        <f t="array" ref="O1905">_xlfn.IFS(F1905="","",F1905&lt;=5,"0 to 5",F1905&lt;=10,"5.1 to 10",F1905&lt;=20,"10 to 20", F1905&lt;= 40, "20 to 40", F1905 &lt;= 50, "40 to 50", F1905 &gt; 50, "&gt;50" )</f>
        <v>0 to 5</v>
      </c>
    </row>
    <row r="1906" spans="1:15" ht="15" customHeight="1" x14ac:dyDescent="0.3">
      <c r="A1906" t="s">
        <v>351</v>
      </c>
      <c r="B1906" s="1">
        <v>46203</v>
      </c>
      <c r="C1906" t="s">
        <v>64</v>
      </c>
      <c r="D1906">
        <v>1749</v>
      </c>
      <c r="E1906">
        <v>1</v>
      </c>
      <c r="F1906">
        <v>1.7</v>
      </c>
      <c r="G1906" t="s">
        <v>359</v>
      </c>
      <c r="H1906" t="s">
        <v>400</v>
      </c>
      <c r="I1906" t="str">
        <f t="shared" si="41"/>
        <v>1749_1</v>
      </c>
      <c r="J1906" t="s">
        <v>241</v>
      </c>
      <c r="K1906" t="s">
        <v>179</v>
      </c>
      <c r="L1906" t="str">
        <f>_xlfn.XLOOKUP(C1906, Table2[Species],Table2[Genus], "Code Not Found")</f>
        <v>Fagus</v>
      </c>
      <c r="M1906" t="str">
        <f>_xlfn.XLOOKUP(C1906, Table2[Species],Table2[Sp. Name], "Code Not Found")</f>
        <v>grandifolia</v>
      </c>
      <c r="N1906" t="str">
        <f>_xlfn.XLOOKUP(C1906,Table2[Species],Table2[Family],"Code Not Found")</f>
        <v>Fagaceae</v>
      </c>
      <c r="O1906" t="str" cm="1">
        <f t="array" ref="O1906">_xlfn.IFS(F1906="","",F1906&lt;=5,"0 to 5",F1906&lt;=10,"5.1 to 10",F1906&lt;=20,"10 to 20", F1906&lt;= 40, "20 to 40", F1906 &lt;= 50, "40 to 50", F1906 &gt; 50, "&gt;50" )</f>
        <v>0 to 5</v>
      </c>
    </row>
    <row r="1907" spans="1:15" ht="15" customHeight="1" x14ac:dyDescent="0.3">
      <c r="A1907" t="s">
        <v>351</v>
      </c>
      <c r="B1907" s="1">
        <v>46203</v>
      </c>
      <c r="C1907" t="s">
        <v>64</v>
      </c>
      <c r="D1907">
        <v>1750</v>
      </c>
      <c r="E1907">
        <v>1</v>
      </c>
      <c r="F1907">
        <v>1.1000000000000001</v>
      </c>
      <c r="G1907" t="s">
        <v>32</v>
      </c>
      <c r="I1907" t="str">
        <f t="shared" si="41"/>
        <v>1750_1</v>
      </c>
      <c r="J1907" t="s">
        <v>241</v>
      </c>
      <c r="K1907" t="s">
        <v>179</v>
      </c>
      <c r="L1907" t="str">
        <f>_xlfn.XLOOKUP(C1907, Table2[Species],Table2[Genus], "Code Not Found")</f>
        <v>Fagus</v>
      </c>
      <c r="M1907" t="str">
        <f>_xlfn.XLOOKUP(C1907, Table2[Species],Table2[Sp. Name], "Code Not Found")</f>
        <v>grandifolia</v>
      </c>
      <c r="N1907" t="str">
        <f>_xlfn.XLOOKUP(C1907,Table2[Species],Table2[Family],"Code Not Found")</f>
        <v>Fagaceae</v>
      </c>
      <c r="O1907" t="str" cm="1">
        <f t="array" ref="O1907">_xlfn.IFS(F1907="","",F1907&lt;=5,"0 to 5",F1907&lt;=10,"5.1 to 10",F1907&lt;=20,"10 to 20", F1907&lt;= 40, "20 to 40", F1907 &lt;= 50, "40 to 50", F1907 &gt; 50, "&gt;50" )</f>
        <v>0 to 5</v>
      </c>
    </row>
    <row r="1908" spans="1:15" ht="15" customHeight="1" x14ac:dyDescent="0.3">
      <c r="A1908" t="s">
        <v>351</v>
      </c>
      <c r="B1908" s="1">
        <v>46203</v>
      </c>
      <c r="C1908" t="s">
        <v>64</v>
      </c>
      <c r="D1908">
        <v>1750</v>
      </c>
      <c r="E1908">
        <v>2</v>
      </c>
      <c r="F1908">
        <v>1</v>
      </c>
      <c r="G1908" t="s">
        <v>32</v>
      </c>
      <c r="I1908" t="str">
        <f t="shared" si="41"/>
        <v>1750_2</v>
      </c>
      <c r="J1908" t="s">
        <v>241</v>
      </c>
      <c r="K1908" t="s">
        <v>179</v>
      </c>
      <c r="L1908" t="str">
        <f>_xlfn.XLOOKUP(C1908, Table2[Species],Table2[Genus], "Code Not Found")</f>
        <v>Fagus</v>
      </c>
      <c r="M1908" t="str">
        <f>_xlfn.XLOOKUP(C1908, Table2[Species],Table2[Sp. Name], "Code Not Found")</f>
        <v>grandifolia</v>
      </c>
      <c r="N1908" t="str">
        <f>_xlfn.XLOOKUP(C1908,Table2[Species],Table2[Family],"Code Not Found")</f>
        <v>Fagaceae</v>
      </c>
      <c r="O1908" t="str" cm="1">
        <f t="array" ref="O1908">_xlfn.IFS(F1908="","",F1908&lt;=5,"0 to 5",F1908&lt;=10,"5.1 to 10",F1908&lt;=20,"10 to 20", F1908&lt;= 40, "20 to 40", F1908 &lt;= 50, "40 to 50", F1908 &gt; 50, "&gt;50" )</f>
        <v>0 to 5</v>
      </c>
    </row>
    <row r="1909" spans="1:15" ht="15" customHeight="1" x14ac:dyDescent="0.3">
      <c r="A1909" t="s">
        <v>351</v>
      </c>
      <c r="B1909" s="1">
        <v>46203</v>
      </c>
      <c r="C1909" t="s">
        <v>64</v>
      </c>
      <c r="D1909">
        <v>1751</v>
      </c>
      <c r="E1909">
        <v>1</v>
      </c>
      <c r="F1909">
        <v>84.8</v>
      </c>
      <c r="G1909" t="s">
        <v>401</v>
      </c>
      <c r="H1909" t="s">
        <v>402</v>
      </c>
      <c r="I1909" t="str">
        <f t="shared" si="41"/>
        <v>1751_1</v>
      </c>
      <c r="J1909" t="s">
        <v>241</v>
      </c>
      <c r="K1909" t="s">
        <v>179</v>
      </c>
      <c r="L1909" t="str">
        <f>_xlfn.XLOOKUP(C1909, Table2[Species],Table2[Genus], "Code Not Found")</f>
        <v>Fagus</v>
      </c>
      <c r="M1909" t="str">
        <f>_xlfn.XLOOKUP(C1909, Table2[Species],Table2[Sp. Name], "Code Not Found")</f>
        <v>grandifolia</v>
      </c>
      <c r="N1909" t="str">
        <f>_xlfn.XLOOKUP(C1909,Table2[Species],Table2[Family],"Code Not Found")</f>
        <v>Fagaceae</v>
      </c>
      <c r="O1909" t="str" cm="1">
        <f t="array" ref="O1909">_xlfn.IFS(F1909="","",F1909&lt;=5,"0 to 5",F1909&lt;=10,"5.1 to 10",F1909&lt;=20,"10 to 20", F1909&lt;= 40, "20 to 40", F1909 &lt;= 50, "40 to 50", F1909 &gt; 50, "&gt;50" )</f>
        <v>&gt;50</v>
      </c>
    </row>
    <row r="1910" spans="1:15" ht="15" customHeight="1" x14ac:dyDescent="0.3">
      <c r="A1910" t="s">
        <v>351</v>
      </c>
      <c r="B1910" s="1">
        <v>46203</v>
      </c>
      <c r="C1910" t="s">
        <v>64</v>
      </c>
      <c r="D1910">
        <v>1751</v>
      </c>
      <c r="E1910">
        <v>2</v>
      </c>
      <c r="F1910">
        <v>1.1000000000000001</v>
      </c>
      <c r="G1910" t="s">
        <v>401</v>
      </c>
      <c r="H1910" t="s">
        <v>403</v>
      </c>
      <c r="I1910" t="str">
        <f t="shared" si="41"/>
        <v>1751_2</v>
      </c>
      <c r="J1910" t="s">
        <v>241</v>
      </c>
      <c r="K1910" t="s">
        <v>179</v>
      </c>
      <c r="L1910" t="str">
        <f>_xlfn.XLOOKUP(C1910, Table2[Species],Table2[Genus], "Code Not Found")</f>
        <v>Fagus</v>
      </c>
      <c r="M1910" t="str">
        <f>_xlfn.XLOOKUP(C1910, Table2[Species],Table2[Sp. Name], "Code Not Found")</f>
        <v>grandifolia</v>
      </c>
      <c r="N1910" t="str">
        <f>_xlfn.XLOOKUP(C1910,Table2[Species],Table2[Family],"Code Not Found")</f>
        <v>Fagaceae</v>
      </c>
      <c r="O1910" t="str" cm="1">
        <f t="array" ref="O1910">_xlfn.IFS(F1910="","",F1910&lt;=5,"0 to 5",F1910&lt;=10,"5.1 to 10",F1910&lt;=20,"10 to 20", F1910&lt;= 40, "20 to 40", F1910 &lt;= 50, "40 to 50", F1910 &gt; 50, "&gt;50" )</f>
        <v>0 to 5</v>
      </c>
    </row>
    <row r="1911" spans="1:15" ht="15" customHeight="1" x14ac:dyDescent="0.3">
      <c r="A1911" t="s">
        <v>351</v>
      </c>
      <c r="B1911" s="1">
        <v>46203</v>
      </c>
      <c r="C1911" t="s">
        <v>16</v>
      </c>
      <c r="D1911">
        <v>1752</v>
      </c>
      <c r="E1911">
        <v>1</v>
      </c>
      <c r="F1911">
        <v>8.1</v>
      </c>
      <c r="G1911" t="s">
        <v>34</v>
      </c>
      <c r="I1911" t="str">
        <f t="shared" si="41"/>
        <v>1752_1</v>
      </c>
      <c r="J1911" t="s">
        <v>241</v>
      </c>
      <c r="K1911" t="s">
        <v>179</v>
      </c>
      <c r="L1911" t="str">
        <f>_xlfn.XLOOKUP(C1911, Table2[Species],Table2[Genus], "Code Not Found")</f>
        <v>Acer</v>
      </c>
      <c r="M1911" t="str">
        <f>_xlfn.XLOOKUP(C1911, Table2[Species],Table2[Sp. Name], "Code Not Found")</f>
        <v>saccharum</v>
      </c>
      <c r="N1911" t="str">
        <f>_xlfn.XLOOKUP(C1911,Table2[Species],Table2[Family],"Code Not Found")</f>
        <v>Sapindaceae</v>
      </c>
      <c r="O1911" t="str" cm="1">
        <f t="array" ref="O1911">_xlfn.IFS(F1911="","",F1911&lt;=5,"0 to 5",F1911&lt;=10,"5.1 to 10",F1911&lt;=20,"10 to 20", F1911&lt;= 40, "20 to 40", F1911 &lt;= 50, "40 to 50", F1911 &gt; 50, "&gt;50" )</f>
        <v>5.1 to 10</v>
      </c>
    </row>
    <row r="1912" spans="1:15" ht="15" customHeight="1" x14ac:dyDescent="0.3">
      <c r="A1912" t="s">
        <v>351</v>
      </c>
      <c r="B1912" s="1">
        <v>46203</v>
      </c>
      <c r="C1912" t="s">
        <v>16</v>
      </c>
      <c r="D1912">
        <v>1752</v>
      </c>
      <c r="E1912">
        <v>2</v>
      </c>
      <c r="F1912">
        <v>2.1</v>
      </c>
      <c r="G1912" t="s">
        <v>34</v>
      </c>
      <c r="I1912" t="str">
        <f t="shared" si="41"/>
        <v>1752_2</v>
      </c>
      <c r="J1912" t="s">
        <v>241</v>
      </c>
      <c r="K1912" t="s">
        <v>179</v>
      </c>
      <c r="L1912" t="str">
        <f>_xlfn.XLOOKUP(C1912, Table2[Species],Table2[Genus], "Code Not Found")</f>
        <v>Acer</v>
      </c>
      <c r="M1912" t="str">
        <f>_xlfn.XLOOKUP(C1912, Table2[Species],Table2[Sp. Name], "Code Not Found")</f>
        <v>saccharum</v>
      </c>
      <c r="N1912" t="str">
        <f>_xlfn.XLOOKUP(C1912,Table2[Species],Table2[Family],"Code Not Found")</f>
        <v>Sapindaceae</v>
      </c>
      <c r="O1912" t="str" cm="1">
        <f t="array" ref="O1912">_xlfn.IFS(F1912="","",F1912&lt;=5,"0 to 5",F1912&lt;=10,"5.1 to 10",F1912&lt;=20,"10 to 20", F1912&lt;= 40, "20 to 40", F1912 &lt;= 50, "40 to 50", F1912 &gt; 50, "&gt;50" )</f>
        <v>0 to 5</v>
      </c>
    </row>
    <row r="1913" spans="1:15" ht="15" customHeight="1" x14ac:dyDescent="0.3">
      <c r="A1913" t="s">
        <v>351</v>
      </c>
      <c r="B1913" s="1">
        <v>46203</v>
      </c>
      <c r="C1913" t="s">
        <v>16</v>
      </c>
      <c r="D1913">
        <v>1753</v>
      </c>
      <c r="E1913">
        <v>1</v>
      </c>
      <c r="F1913">
        <v>12.1</v>
      </c>
      <c r="G1913" t="s">
        <v>17</v>
      </c>
      <c r="I1913" t="str">
        <f t="shared" si="41"/>
        <v>1753_1</v>
      </c>
      <c r="J1913" t="s">
        <v>241</v>
      </c>
      <c r="K1913" t="s">
        <v>179</v>
      </c>
      <c r="L1913" t="str">
        <f>_xlfn.XLOOKUP(C1913, Table2[Species],Table2[Genus], "Code Not Found")</f>
        <v>Acer</v>
      </c>
      <c r="M1913" t="str">
        <f>_xlfn.XLOOKUP(C1913, Table2[Species],Table2[Sp. Name], "Code Not Found")</f>
        <v>saccharum</v>
      </c>
      <c r="N1913" t="str">
        <f>_xlfn.XLOOKUP(C1913,Table2[Species],Table2[Family],"Code Not Found")</f>
        <v>Sapindaceae</v>
      </c>
      <c r="O1913" t="str" cm="1">
        <f t="array" ref="O1913">_xlfn.IFS(F1913="","",F1913&lt;=5,"0 to 5",F1913&lt;=10,"5.1 to 10",F1913&lt;=20,"10 to 20", F1913&lt;= 40, "20 to 40", F1913 &lt;= 50, "40 to 50", F1913 &gt; 50, "&gt;50" )</f>
        <v>10 to 20</v>
      </c>
    </row>
    <row r="1914" spans="1:15" ht="15" customHeight="1" x14ac:dyDescent="0.3">
      <c r="A1914" t="s">
        <v>351</v>
      </c>
      <c r="B1914" s="1">
        <v>46203</v>
      </c>
      <c r="C1914" t="s">
        <v>16</v>
      </c>
      <c r="D1914">
        <v>1754</v>
      </c>
      <c r="E1914">
        <v>1</v>
      </c>
      <c r="F1914">
        <v>7.9</v>
      </c>
      <c r="G1914" t="s">
        <v>17</v>
      </c>
      <c r="I1914" t="str">
        <f t="shared" si="41"/>
        <v>1754_1</v>
      </c>
      <c r="J1914" t="s">
        <v>241</v>
      </c>
      <c r="K1914" t="s">
        <v>179</v>
      </c>
      <c r="L1914" t="str">
        <f>_xlfn.XLOOKUP(C1914, Table2[Species],Table2[Genus], "Code Not Found")</f>
        <v>Acer</v>
      </c>
      <c r="M1914" t="str">
        <f>_xlfn.XLOOKUP(C1914, Table2[Species],Table2[Sp. Name], "Code Not Found")</f>
        <v>saccharum</v>
      </c>
      <c r="N1914" t="str">
        <f>_xlfn.XLOOKUP(C1914,Table2[Species],Table2[Family],"Code Not Found")</f>
        <v>Sapindaceae</v>
      </c>
      <c r="O1914" t="str" cm="1">
        <f t="array" ref="O1914">_xlfn.IFS(F1914="","",F1914&lt;=5,"0 to 5",F1914&lt;=10,"5.1 to 10",F1914&lt;=20,"10 to 20", F1914&lt;= 40, "20 to 40", F1914 &lt;= 50, "40 to 50", F1914 &gt; 50, "&gt;50" )</f>
        <v>5.1 to 10</v>
      </c>
    </row>
    <row r="1915" spans="1:15" ht="15" customHeight="1" x14ac:dyDescent="0.3">
      <c r="A1915" t="s">
        <v>351</v>
      </c>
      <c r="B1915" s="1">
        <v>46203</v>
      </c>
      <c r="C1915" t="s">
        <v>64</v>
      </c>
      <c r="D1915">
        <v>1755</v>
      </c>
      <c r="E1915">
        <v>1</v>
      </c>
      <c r="F1915">
        <v>14.9</v>
      </c>
      <c r="G1915" t="s">
        <v>17</v>
      </c>
      <c r="H1915" t="s">
        <v>404</v>
      </c>
      <c r="I1915" t="str">
        <f t="shared" si="41"/>
        <v>1755_1</v>
      </c>
      <c r="J1915" t="s">
        <v>241</v>
      </c>
      <c r="K1915" t="s">
        <v>179</v>
      </c>
      <c r="L1915" t="str">
        <f>_xlfn.XLOOKUP(C1915, Table2[Species],Table2[Genus], "Code Not Found")</f>
        <v>Fagus</v>
      </c>
      <c r="M1915" t="str">
        <f>_xlfn.XLOOKUP(C1915, Table2[Species],Table2[Sp. Name], "Code Not Found")</f>
        <v>grandifolia</v>
      </c>
      <c r="N1915" t="str">
        <f>_xlfn.XLOOKUP(C1915,Table2[Species],Table2[Family],"Code Not Found")</f>
        <v>Fagaceae</v>
      </c>
      <c r="O1915" t="str" cm="1">
        <f t="array" ref="O1915">_xlfn.IFS(F1915="","",F1915&lt;=5,"0 to 5",F1915&lt;=10,"5.1 to 10",F1915&lt;=20,"10 to 20", F1915&lt;= 40, "20 to 40", F1915 &lt;= 50, "40 to 50", F1915 &gt; 50, "&gt;50" )</f>
        <v>10 to 20</v>
      </c>
    </row>
    <row r="1916" spans="1:15" ht="15" customHeight="1" x14ac:dyDescent="0.3">
      <c r="A1916" t="s">
        <v>351</v>
      </c>
      <c r="B1916" s="1">
        <v>46203</v>
      </c>
      <c r="C1916" t="s">
        <v>64</v>
      </c>
      <c r="D1916">
        <v>1756</v>
      </c>
      <c r="E1916">
        <v>1</v>
      </c>
      <c r="F1916">
        <v>13.9</v>
      </c>
      <c r="G1916" t="s">
        <v>21</v>
      </c>
      <c r="H1916" t="s">
        <v>405</v>
      </c>
      <c r="I1916" t="str">
        <f t="shared" si="41"/>
        <v>1756_1</v>
      </c>
      <c r="J1916" t="s">
        <v>241</v>
      </c>
      <c r="K1916" t="s">
        <v>179</v>
      </c>
      <c r="L1916" t="str">
        <f>_xlfn.XLOOKUP(C1916, Table2[Species],Table2[Genus], "Code Not Found")</f>
        <v>Fagus</v>
      </c>
      <c r="M1916" t="str">
        <f>_xlfn.XLOOKUP(C1916, Table2[Species],Table2[Sp. Name], "Code Not Found")</f>
        <v>grandifolia</v>
      </c>
      <c r="N1916" t="str">
        <f>_xlfn.XLOOKUP(C1916,Table2[Species],Table2[Family],"Code Not Found")</f>
        <v>Fagaceae</v>
      </c>
      <c r="O1916" t="str" cm="1">
        <f t="array" ref="O1916">_xlfn.IFS(F1916="","",F1916&lt;=5,"0 to 5",F1916&lt;=10,"5.1 to 10",F1916&lt;=20,"10 to 20", F1916&lt;= 40, "20 to 40", F1916 &lt;= 50, "40 to 50", F1916 &gt; 50, "&gt;50" )</f>
        <v>10 to 20</v>
      </c>
    </row>
    <row r="1917" spans="1:15" ht="15" customHeight="1" x14ac:dyDescent="0.3">
      <c r="A1917" t="s">
        <v>351</v>
      </c>
      <c r="B1917" s="1">
        <v>46203</v>
      </c>
      <c r="C1917" t="s">
        <v>16</v>
      </c>
      <c r="D1917">
        <v>1757</v>
      </c>
      <c r="E1917">
        <v>1</v>
      </c>
      <c r="F1917">
        <v>13.5</v>
      </c>
      <c r="G1917" t="s">
        <v>21</v>
      </c>
      <c r="I1917" t="str">
        <f t="shared" si="41"/>
        <v>1757_1</v>
      </c>
      <c r="J1917" t="s">
        <v>241</v>
      </c>
      <c r="K1917" t="s">
        <v>179</v>
      </c>
      <c r="L1917" t="str">
        <f>_xlfn.XLOOKUP(C1917, Table2[Species],Table2[Genus], "Code Not Found")</f>
        <v>Acer</v>
      </c>
      <c r="M1917" t="str">
        <f>_xlfn.XLOOKUP(C1917, Table2[Species],Table2[Sp. Name], "Code Not Found")</f>
        <v>saccharum</v>
      </c>
      <c r="N1917" t="str">
        <f>_xlfn.XLOOKUP(C1917,Table2[Species],Table2[Family],"Code Not Found")</f>
        <v>Sapindaceae</v>
      </c>
      <c r="O1917" t="str" cm="1">
        <f t="array" ref="O1917">_xlfn.IFS(F1917="","",F1917&lt;=5,"0 to 5",F1917&lt;=10,"5.1 to 10",F1917&lt;=20,"10 to 20", F1917&lt;= 40, "20 to 40", F1917 &lt;= 50, "40 to 50", F1917 &gt; 50, "&gt;50" )</f>
        <v>10 to 20</v>
      </c>
    </row>
    <row r="1918" spans="1:15" ht="15" customHeight="1" x14ac:dyDescent="0.3">
      <c r="A1918" t="s">
        <v>351</v>
      </c>
      <c r="B1918" s="1">
        <v>46203</v>
      </c>
      <c r="C1918" t="s">
        <v>16</v>
      </c>
      <c r="D1918">
        <v>1758</v>
      </c>
      <c r="E1918">
        <v>1</v>
      </c>
      <c r="F1918">
        <v>9.1999999999999993</v>
      </c>
      <c r="G1918" t="s">
        <v>17</v>
      </c>
      <c r="I1918" t="str">
        <f t="shared" si="41"/>
        <v>1758_1</v>
      </c>
      <c r="J1918" t="s">
        <v>241</v>
      </c>
      <c r="K1918" t="s">
        <v>179</v>
      </c>
      <c r="L1918" t="str">
        <f>_xlfn.XLOOKUP(C1918, Table2[Species],Table2[Genus], "Code Not Found")</f>
        <v>Acer</v>
      </c>
      <c r="M1918" t="str">
        <f>_xlfn.XLOOKUP(C1918, Table2[Species],Table2[Sp. Name], "Code Not Found")</f>
        <v>saccharum</v>
      </c>
      <c r="N1918" t="str">
        <f>_xlfn.XLOOKUP(C1918,Table2[Species],Table2[Family],"Code Not Found")</f>
        <v>Sapindaceae</v>
      </c>
      <c r="O1918" t="str" cm="1">
        <f t="array" ref="O1918">_xlfn.IFS(F1918="","",F1918&lt;=5,"0 to 5",F1918&lt;=10,"5.1 to 10",F1918&lt;=20,"10 to 20", F1918&lt;= 40, "20 to 40", F1918 &lt;= 50, "40 to 50", F1918 &gt; 50, "&gt;50" )</f>
        <v>5.1 to 10</v>
      </c>
    </row>
    <row r="1919" spans="1:15" ht="15" customHeight="1" x14ac:dyDescent="0.3">
      <c r="A1919" t="s">
        <v>351</v>
      </c>
      <c r="B1919" s="1">
        <v>46203</v>
      </c>
      <c r="C1919" t="s">
        <v>64</v>
      </c>
      <c r="D1919">
        <v>1759</v>
      </c>
      <c r="E1919">
        <v>1</v>
      </c>
      <c r="F1919">
        <v>71.599999999999994</v>
      </c>
      <c r="G1919" t="s">
        <v>17</v>
      </c>
      <c r="H1919" t="s">
        <v>406</v>
      </c>
      <c r="I1919" t="str">
        <f t="shared" si="41"/>
        <v>1759_1</v>
      </c>
      <c r="J1919" t="s">
        <v>241</v>
      </c>
      <c r="K1919" t="s">
        <v>179</v>
      </c>
      <c r="L1919" t="str">
        <f>_xlfn.XLOOKUP(C1919, Table2[Species],Table2[Genus], "Code Not Found")</f>
        <v>Fagus</v>
      </c>
      <c r="M1919" t="str">
        <f>_xlfn.XLOOKUP(C1919, Table2[Species],Table2[Sp. Name], "Code Not Found")</f>
        <v>grandifolia</v>
      </c>
      <c r="N1919" t="str">
        <f>_xlfn.XLOOKUP(C1919,Table2[Species],Table2[Family],"Code Not Found")</f>
        <v>Fagaceae</v>
      </c>
      <c r="O1919" t="str" cm="1">
        <f t="array" ref="O1919">_xlfn.IFS(F1919="","",F1919&lt;=5,"0 to 5",F1919&lt;=10,"5.1 to 10",F1919&lt;=20,"10 to 20", F1919&lt;= 40, "20 to 40", F1919 &lt;= 50, "40 to 50", F1919 &gt; 50, "&gt;50" )</f>
        <v>&gt;50</v>
      </c>
    </row>
    <row r="1920" spans="1:15" ht="15" customHeight="1" x14ac:dyDescent="0.3">
      <c r="A1920" t="s">
        <v>351</v>
      </c>
      <c r="B1920" s="1">
        <v>46203</v>
      </c>
      <c r="C1920" t="s">
        <v>16</v>
      </c>
      <c r="D1920">
        <v>1760</v>
      </c>
      <c r="E1920">
        <v>1</v>
      </c>
      <c r="F1920">
        <v>12.1</v>
      </c>
      <c r="G1920" t="s">
        <v>30</v>
      </c>
      <c r="H1920" t="s">
        <v>99</v>
      </c>
      <c r="I1920" t="str">
        <f t="shared" si="41"/>
        <v>1760_1</v>
      </c>
      <c r="J1920" t="s">
        <v>241</v>
      </c>
      <c r="K1920" t="s">
        <v>179</v>
      </c>
      <c r="L1920" t="str">
        <f>_xlfn.XLOOKUP(C1920, Table2[Species],Table2[Genus], "Code Not Found")</f>
        <v>Acer</v>
      </c>
      <c r="M1920" t="str">
        <f>_xlfn.XLOOKUP(C1920, Table2[Species],Table2[Sp. Name], "Code Not Found")</f>
        <v>saccharum</v>
      </c>
      <c r="N1920" t="str">
        <f>_xlfn.XLOOKUP(C1920,Table2[Species],Table2[Family],"Code Not Found")</f>
        <v>Sapindaceae</v>
      </c>
      <c r="O1920" t="str" cm="1">
        <f t="array" ref="O1920">_xlfn.IFS(F1920="","",F1920&lt;=5,"0 to 5",F1920&lt;=10,"5.1 to 10",F1920&lt;=20,"10 to 20", F1920&lt;= 40, "20 to 40", F1920 &lt;= 50, "40 to 50", F1920 &gt; 50, "&gt;50" )</f>
        <v>10 to 20</v>
      </c>
    </row>
    <row r="1921" spans="1:15" s="21" customFormat="1" ht="15" customHeight="1" x14ac:dyDescent="0.3">
      <c r="A1921" s="21" t="s">
        <v>351</v>
      </c>
      <c r="B1921" s="22">
        <v>46203</v>
      </c>
      <c r="C1921" s="21" t="s">
        <v>64</v>
      </c>
      <c r="D1921" s="21">
        <v>0</v>
      </c>
      <c r="E1921" s="21">
        <v>1</v>
      </c>
      <c r="F1921" s="21">
        <v>6.3</v>
      </c>
      <c r="G1921" s="21" t="s">
        <v>47</v>
      </c>
      <c r="H1921" s="21" t="s">
        <v>407</v>
      </c>
      <c r="I1921" s="21" t="str">
        <f t="shared" si="41"/>
        <v>0_1</v>
      </c>
      <c r="J1921" s="21" t="s">
        <v>241</v>
      </c>
      <c r="K1921" s="21" t="s">
        <v>179</v>
      </c>
      <c r="L1921" s="21" t="str">
        <f>_xlfn.XLOOKUP(C1921, Table2[Species],Table2[Genus], "Code Not Found")</f>
        <v>Fagus</v>
      </c>
      <c r="M1921" s="21" t="str">
        <f>_xlfn.XLOOKUP(C1921, Table2[Species],Table2[Sp. Name], "Code Not Found")</f>
        <v>grandifolia</v>
      </c>
      <c r="N1921" s="21" t="str">
        <f>_xlfn.XLOOKUP(C1921,Table2[Species],Table2[Family],"Code Not Found")</f>
        <v>Fagaceae</v>
      </c>
      <c r="O1921" t="str" cm="1">
        <f t="array" ref="O1921">_xlfn.IFS(F1921="","",F1921&lt;=5,"0 to 5",F1921&lt;=10,"5.1 to 10",F1921&lt;=20,"10 to 20", F1921&lt;= 40, "20 to 40", F1921 &lt;= 50, "40 to 50", F1921 &gt; 50, "&gt;50" )</f>
        <v>5.1 to 10</v>
      </c>
    </row>
    <row r="1922" spans="1:15" ht="15" customHeight="1" x14ac:dyDescent="0.3">
      <c r="A1922" t="s">
        <v>351</v>
      </c>
      <c r="B1922" s="1">
        <v>46203</v>
      </c>
      <c r="C1922" t="s">
        <v>64</v>
      </c>
      <c r="D1922">
        <v>1761</v>
      </c>
      <c r="E1922">
        <v>1</v>
      </c>
      <c r="F1922">
        <v>2.8</v>
      </c>
      <c r="G1922" t="s">
        <v>17</v>
      </c>
      <c r="I1922" t="str">
        <f t="shared" si="41"/>
        <v>1761_1</v>
      </c>
      <c r="J1922" t="s">
        <v>241</v>
      </c>
      <c r="K1922" t="s">
        <v>179</v>
      </c>
      <c r="L1922" t="str">
        <f>_xlfn.XLOOKUP(C1922, Table2[Species],Table2[Genus], "Code Not Found")</f>
        <v>Fagus</v>
      </c>
      <c r="M1922" t="str">
        <f>_xlfn.XLOOKUP(C1922, Table2[Species],Table2[Sp. Name], "Code Not Found")</f>
        <v>grandifolia</v>
      </c>
      <c r="N1922" t="str">
        <f>_xlfn.XLOOKUP(C1922,Table2[Species],Table2[Family],"Code Not Found")</f>
        <v>Fagaceae</v>
      </c>
      <c r="O1922" t="str" cm="1">
        <f t="array" ref="O1922">_xlfn.IFS(F1922="","",F1922&lt;=5,"0 to 5",F1922&lt;=10,"5.1 to 10",F1922&lt;=20,"10 to 20", F1922&lt;= 40, "20 to 40", F1922 &lt;= 50, "40 to 50", F1922 &gt; 50, "&gt;50" )</f>
        <v>0 to 5</v>
      </c>
    </row>
    <row r="1923" spans="1:15" ht="15" customHeight="1" x14ac:dyDescent="0.3">
      <c r="A1923" t="s">
        <v>351</v>
      </c>
      <c r="B1923" s="1">
        <v>46203</v>
      </c>
      <c r="C1923" t="s">
        <v>16</v>
      </c>
      <c r="D1923">
        <v>1762</v>
      </c>
      <c r="E1923">
        <v>1</v>
      </c>
      <c r="F1923">
        <v>8</v>
      </c>
      <c r="G1923" t="s">
        <v>17</v>
      </c>
      <c r="I1923" t="str">
        <f t="shared" si="41"/>
        <v>1762_1</v>
      </c>
      <c r="J1923" t="s">
        <v>241</v>
      </c>
      <c r="K1923" t="s">
        <v>179</v>
      </c>
      <c r="L1923" t="str">
        <f>_xlfn.XLOOKUP(C1923, Table2[Species],Table2[Genus], "Code Not Found")</f>
        <v>Acer</v>
      </c>
      <c r="M1923" t="str">
        <f>_xlfn.XLOOKUP(C1923, Table2[Species],Table2[Sp. Name], "Code Not Found")</f>
        <v>saccharum</v>
      </c>
      <c r="N1923" t="str">
        <f>_xlfn.XLOOKUP(C1923,Table2[Species],Table2[Family],"Code Not Found")</f>
        <v>Sapindaceae</v>
      </c>
      <c r="O1923" t="str" cm="1">
        <f t="array" ref="O1923">_xlfn.IFS(F1923="","",F1923&lt;=5,"0 to 5",F1923&lt;=10,"5.1 to 10",F1923&lt;=20,"10 to 20", F1923&lt;= 40, "20 to 40", F1923 &lt;= 50, "40 to 50", F1923 &gt; 50, "&gt;50" )</f>
        <v>5.1 to 10</v>
      </c>
    </row>
    <row r="1924" spans="1:15" ht="15" customHeight="1" x14ac:dyDescent="0.3">
      <c r="A1924" t="s">
        <v>351</v>
      </c>
      <c r="B1924" s="1">
        <v>46203</v>
      </c>
      <c r="C1924" t="s">
        <v>16</v>
      </c>
      <c r="D1924">
        <v>1763</v>
      </c>
      <c r="E1924">
        <v>1</v>
      </c>
      <c r="F1924">
        <v>9.9</v>
      </c>
      <c r="G1924" t="s">
        <v>17</v>
      </c>
      <c r="I1924" t="str">
        <f t="shared" si="41"/>
        <v>1763_1</v>
      </c>
      <c r="J1924" t="s">
        <v>241</v>
      </c>
      <c r="K1924" t="s">
        <v>179</v>
      </c>
      <c r="L1924" t="str">
        <f>_xlfn.XLOOKUP(C1924, Table2[Species],Table2[Genus], "Code Not Found")</f>
        <v>Acer</v>
      </c>
      <c r="M1924" t="str">
        <f>_xlfn.XLOOKUP(C1924, Table2[Species],Table2[Sp. Name], "Code Not Found")</f>
        <v>saccharum</v>
      </c>
      <c r="N1924" t="str">
        <f>_xlfn.XLOOKUP(C1924,Table2[Species],Table2[Family],"Code Not Found")</f>
        <v>Sapindaceae</v>
      </c>
      <c r="O1924" t="str" cm="1">
        <f t="array" ref="O1924">_xlfn.IFS(F1924="","",F1924&lt;=5,"0 to 5",F1924&lt;=10,"5.1 to 10",F1924&lt;=20,"10 to 20", F1924&lt;= 40, "20 to 40", F1924 &lt;= 50, "40 to 50", F1924 &gt; 50, "&gt;50" )</f>
        <v>5.1 to 10</v>
      </c>
    </row>
    <row r="1925" spans="1:15" ht="15" customHeight="1" x14ac:dyDescent="0.3">
      <c r="A1925" t="s">
        <v>351</v>
      </c>
      <c r="B1925" s="1">
        <v>46203</v>
      </c>
      <c r="C1925" t="s">
        <v>16</v>
      </c>
      <c r="D1925">
        <v>1764</v>
      </c>
      <c r="E1925">
        <v>1</v>
      </c>
      <c r="F1925">
        <v>9.8000000000000007</v>
      </c>
      <c r="G1925" t="s">
        <v>54</v>
      </c>
      <c r="I1925" t="str">
        <f t="shared" si="41"/>
        <v>1764_1</v>
      </c>
      <c r="J1925" t="s">
        <v>241</v>
      </c>
      <c r="K1925" t="s">
        <v>179</v>
      </c>
      <c r="L1925" t="str">
        <f>_xlfn.XLOOKUP(C1925, Table2[Species],Table2[Genus], "Code Not Found")</f>
        <v>Acer</v>
      </c>
      <c r="M1925" t="str">
        <f>_xlfn.XLOOKUP(C1925, Table2[Species],Table2[Sp. Name], "Code Not Found")</f>
        <v>saccharum</v>
      </c>
      <c r="N1925" t="str">
        <f>_xlfn.XLOOKUP(C1925,Table2[Species],Table2[Family],"Code Not Found")</f>
        <v>Sapindaceae</v>
      </c>
      <c r="O1925" t="str" cm="1">
        <f t="array" ref="O1925">_xlfn.IFS(F1925="","",F1925&lt;=5,"0 to 5",F1925&lt;=10,"5.1 to 10",F1925&lt;=20,"10 to 20", F1925&lt;= 40, "20 to 40", F1925 &lt;= 50, "40 to 50", F1925 &gt; 50, "&gt;50" )</f>
        <v>5.1 to 10</v>
      </c>
    </row>
    <row r="1926" spans="1:15" ht="15" customHeight="1" x14ac:dyDescent="0.3">
      <c r="A1926" t="s">
        <v>351</v>
      </c>
      <c r="B1926" s="1">
        <v>46203</v>
      </c>
      <c r="C1926" t="s">
        <v>24</v>
      </c>
      <c r="D1926">
        <v>1765</v>
      </c>
      <c r="E1926">
        <v>1</v>
      </c>
      <c r="F1926">
        <v>88.6</v>
      </c>
      <c r="G1926" t="s">
        <v>21</v>
      </c>
      <c r="I1926" t="str">
        <f t="shared" si="41"/>
        <v>1765_1</v>
      </c>
      <c r="J1926" t="s">
        <v>241</v>
      </c>
      <c r="K1926" t="s">
        <v>179</v>
      </c>
      <c r="L1926" t="str">
        <f>_xlfn.XLOOKUP(C1926, Table2[Species],Table2[Genus], "Code Not Found")</f>
        <v>Lirodendron</v>
      </c>
      <c r="M1926" t="str">
        <f>_xlfn.XLOOKUP(C1926, Table2[Species],Table2[Sp. Name], "Code Not Found")</f>
        <v>tulipfera</v>
      </c>
      <c r="N1926" t="str">
        <f>_xlfn.XLOOKUP(C1926,Table2[Species],Table2[Family],"Code Not Found")</f>
        <v>Magnoliaceae</v>
      </c>
      <c r="O1926" t="str" cm="1">
        <f t="array" ref="O1926">_xlfn.IFS(F1926="","",F1926&lt;=5,"0 to 5",F1926&lt;=10,"5.1 to 10",F1926&lt;=20,"10 to 20", F1926&lt;= 40, "20 to 40", F1926 &lt;= 50, "40 to 50", F1926 &gt; 50, "&gt;50" )</f>
        <v>&gt;50</v>
      </c>
    </row>
    <row r="1927" spans="1:15" ht="15" customHeight="1" x14ac:dyDescent="0.3">
      <c r="A1927" t="s">
        <v>351</v>
      </c>
      <c r="B1927" s="1">
        <v>46203</v>
      </c>
      <c r="C1927" t="s">
        <v>16</v>
      </c>
      <c r="D1927">
        <v>1766</v>
      </c>
      <c r="E1927">
        <v>1</v>
      </c>
      <c r="F1927">
        <v>9.3000000000000007</v>
      </c>
      <c r="G1927" t="s">
        <v>38</v>
      </c>
      <c r="I1927" t="str">
        <f t="shared" si="41"/>
        <v>1766_1</v>
      </c>
      <c r="J1927" t="s">
        <v>241</v>
      </c>
      <c r="K1927" t="s">
        <v>179</v>
      </c>
      <c r="L1927" t="str">
        <f>_xlfn.XLOOKUP(C1927, Table2[Species],Table2[Genus], "Code Not Found")</f>
        <v>Acer</v>
      </c>
      <c r="M1927" t="str">
        <f>_xlfn.XLOOKUP(C1927, Table2[Species],Table2[Sp. Name], "Code Not Found")</f>
        <v>saccharum</v>
      </c>
      <c r="N1927" t="str">
        <f>_xlfn.XLOOKUP(C1927,Table2[Species],Table2[Family],"Code Not Found")</f>
        <v>Sapindaceae</v>
      </c>
      <c r="O1927" t="str" cm="1">
        <f t="array" ref="O1927">_xlfn.IFS(F1927="","",F1927&lt;=5,"0 to 5",F1927&lt;=10,"5.1 to 10",F1927&lt;=20,"10 to 20", F1927&lt;= 40, "20 to 40", F1927 &lt;= 50, "40 to 50", F1927 &gt; 50, "&gt;50" )</f>
        <v>5.1 to 10</v>
      </c>
    </row>
    <row r="1928" spans="1:15" ht="15" customHeight="1" x14ac:dyDescent="0.3">
      <c r="A1928" t="s">
        <v>351</v>
      </c>
      <c r="B1928" s="1">
        <v>46203</v>
      </c>
      <c r="C1928" t="s">
        <v>16</v>
      </c>
      <c r="D1928">
        <v>1767</v>
      </c>
      <c r="E1928">
        <v>1</v>
      </c>
      <c r="F1928">
        <v>21.1</v>
      </c>
      <c r="G1928" t="s">
        <v>21</v>
      </c>
      <c r="I1928" t="str">
        <f t="shared" si="41"/>
        <v>1767_1</v>
      </c>
      <c r="J1928" t="s">
        <v>241</v>
      </c>
      <c r="K1928" t="s">
        <v>179</v>
      </c>
      <c r="L1928" t="str">
        <f>_xlfn.XLOOKUP(C1928, Table2[Species],Table2[Genus], "Code Not Found")</f>
        <v>Acer</v>
      </c>
      <c r="M1928" t="str">
        <f>_xlfn.XLOOKUP(C1928, Table2[Species],Table2[Sp. Name], "Code Not Found")</f>
        <v>saccharum</v>
      </c>
      <c r="N1928" t="str">
        <f>_xlfn.XLOOKUP(C1928,Table2[Species],Table2[Family],"Code Not Found")</f>
        <v>Sapindaceae</v>
      </c>
      <c r="O1928" t="str" cm="1">
        <f t="array" ref="O1928">_xlfn.IFS(F1928="","",F1928&lt;=5,"0 to 5",F1928&lt;=10,"5.1 to 10",F1928&lt;=20,"10 to 20", F1928&lt;= 40, "20 to 40", F1928 &lt;= 50, "40 to 50", F1928 &gt; 50, "&gt;50" )</f>
        <v>20 to 40</v>
      </c>
    </row>
    <row r="1929" spans="1:15" ht="15" customHeight="1" x14ac:dyDescent="0.3">
      <c r="A1929" t="s">
        <v>351</v>
      </c>
      <c r="B1929" s="1">
        <v>46203</v>
      </c>
      <c r="C1929" t="s">
        <v>16</v>
      </c>
      <c r="D1929">
        <v>1768</v>
      </c>
      <c r="E1929">
        <v>1</v>
      </c>
      <c r="F1929">
        <v>9</v>
      </c>
      <c r="G1929" t="s">
        <v>17</v>
      </c>
      <c r="I1929" t="str">
        <f t="shared" ref="I1929:I1939" si="42">D1929&amp;"_"&amp;E1929</f>
        <v>1768_1</v>
      </c>
      <c r="J1929" t="s">
        <v>241</v>
      </c>
      <c r="K1929" t="s">
        <v>179</v>
      </c>
      <c r="L1929" t="str">
        <f>_xlfn.XLOOKUP(C1929, Table2[Species],Table2[Genus], "Code Not Found")</f>
        <v>Acer</v>
      </c>
      <c r="M1929" t="str">
        <f>_xlfn.XLOOKUP(C1929, Table2[Species],Table2[Sp. Name], "Code Not Found")</f>
        <v>saccharum</v>
      </c>
      <c r="N1929" t="str">
        <f>_xlfn.XLOOKUP(C1929,Table2[Species],Table2[Family],"Code Not Found")</f>
        <v>Sapindaceae</v>
      </c>
      <c r="O1929" t="str" cm="1">
        <f t="array" ref="O1929">_xlfn.IFS(F1929="","",F1929&lt;=5,"0 to 5",F1929&lt;=10,"5.1 to 10",F1929&lt;=20,"10 to 20", F1929&lt;= 40, "20 to 40", F1929 &lt;= 50, "40 to 50", F1929 &gt; 50, "&gt;50" )</f>
        <v>5.1 to 10</v>
      </c>
    </row>
    <row r="1930" spans="1:15" ht="15" customHeight="1" x14ac:dyDescent="0.3">
      <c r="A1930" t="s">
        <v>351</v>
      </c>
      <c r="B1930" s="1">
        <v>46203</v>
      </c>
      <c r="C1930" t="s">
        <v>64</v>
      </c>
      <c r="D1930">
        <v>1769</v>
      </c>
      <c r="E1930">
        <v>1</v>
      </c>
      <c r="F1930">
        <v>19.600000000000001</v>
      </c>
      <c r="G1930" t="s">
        <v>17</v>
      </c>
      <c r="I1930" t="str">
        <f t="shared" si="42"/>
        <v>1769_1</v>
      </c>
      <c r="J1930" t="s">
        <v>241</v>
      </c>
      <c r="K1930" t="s">
        <v>179</v>
      </c>
      <c r="L1930" t="str">
        <f>_xlfn.XLOOKUP(C1930, Table2[Species],Table2[Genus], "Code Not Found")</f>
        <v>Fagus</v>
      </c>
      <c r="M1930" t="str">
        <f>_xlfn.XLOOKUP(C1930, Table2[Species],Table2[Sp. Name], "Code Not Found")</f>
        <v>grandifolia</v>
      </c>
      <c r="N1930" t="str">
        <f>_xlfn.XLOOKUP(C1930,Table2[Species],Table2[Family],"Code Not Found")</f>
        <v>Fagaceae</v>
      </c>
      <c r="O1930" t="str" cm="1">
        <f t="array" ref="O1930">_xlfn.IFS(F1930="","",F1930&lt;=5,"0 to 5",F1930&lt;=10,"5.1 to 10",F1930&lt;=20,"10 to 20", F1930&lt;= 40, "20 to 40", F1930 &lt;= 50, "40 to 50", F1930 &gt; 50, "&gt;50" )</f>
        <v>10 to 20</v>
      </c>
    </row>
    <row r="1931" spans="1:15" ht="15" customHeight="1" x14ac:dyDescent="0.3">
      <c r="A1931" t="s">
        <v>351</v>
      </c>
      <c r="B1931" s="1">
        <v>46203</v>
      </c>
      <c r="C1931" t="s">
        <v>16</v>
      </c>
      <c r="D1931">
        <v>1770</v>
      </c>
      <c r="E1931">
        <v>1</v>
      </c>
      <c r="F1931">
        <v>17.100000000000001</v>
      </c>
      <c r="G1931" t="s">
        <v>17</v>
      </c>
      <c r="I1931" t="str">
        <f t="shared" si="42"/>
        <v>1770_1</v>
      </c>
      <c r="J1931" t="s">
        <v>241</v>
      </c>
      <c r="K1931" t="s">
        <v>179</v>
      </c>
      <c r="L1931" t="str">
        <f>_xlfn.XLOOKUP(C1931, Table2[Species],Table2[Genus], "Code Not Found")</f>
        <v>Acer</v>
      </c>
      <c r="M1931" t="str">
        <f>_xlfn.XLOOKUP(C1931, Table2[Species],Table2[Sp. Name], "Code Not Found")</f>
        <v>saccharum</v>
      </c>
      <c r="N1931" t="str">
        <f>_xlfn.XLOOKUP(C1931,Table2[Species],Table2[Family],"Code Not Found")</f>
        <v>Sapindaceae</v>
      </c>
      <c r="O1931" t="str" cm="1">
        <f t="array" ref="O1931">_xlfn.IFS(F1931="","",F1931&lt;=5,"0 to 5",F1931&lt;=10,"5.1 to 10",F1931&lt;=20,"10 to 20", F1931&lt;= 40, "20 to 40", F1931 &lt;= 50, "40 to 50", F1931 &gt; 50, "&gt;50" )</f>
        <v>10 to 20</v>
      </c>
    </row>
    <row r="1932" spans="1:15" ht="15" customHeight="1" x14ac:dyDescent="0.3">
      <c r="A1932" t="s">
        <v>351</v>
      </c>
      <c r="B1932" s="1">
        <v>46203</v>
      </c>
      <c r="C1932" t="s">
        <v>16</v>
      </c>
      <c r="D1932">
        <v>1771</v>
      </c>
      <c r="E1932">
        <v>1</v>
      </c>
      <c r="F1932">
        <v>3.2</v>
      </c>
      <c r="G1932" t="s">
        <v>17</v>
      </c>
      <c r="I1932" t="str">
        <f t="shared" si="42"/>
        <v>1771_1</v>
      </c>
      <c r="J1932" t="s">
        <v>241</v>
      </c>
      <c r="K1932" t="s">
        <v>179</v>
      </c>
      <c r="L1932" t="str">
        <f>_xlfn.XLOOKUP(C1932, Table2[Species],Table2[Genus], "Code Not Found")</f>
        <v>Acer</v>
      </c>
      <c r="M1932" t="str">
        <f>_xlfn.XLOOKUP(C1932, Table2[Species],Table2[Sp. Name], "Code Not Found")</f>
        <v>saccharum</v>
      </c>
      <c r="N1932" t="str">
        <f>_xlfn.XLOOKUP(C1932,Table2[Species],Table2[Family],"Code Not Found")</f>
        <v>Sapindaceae</v>
      </c>
      <c r="O1932" t="str" cm="1">
        <f t="array" ref="O1932">_xlfn.IFS(F1932="","",F1932&lt;=5,"0 to 5",F1932&lt;=10,"5.1 to 10",F1932&lt;=20,"10 to 20", F1932&lt;= 40, "20 to 40", F1932 &lt;= 50, "40 to 50", F1932 &gt; 50, "&gt;50" )</f>
        <v>0 to 5</v>
      </c>
    </row>
    <row r="1933" spans="1:15" ht="15" customHeight="1" x14ac:dyDescent="0.3">
      <c r="A1933" t="s">
        <v>351</v>
      </c>
      <c r="B1933" s="1">
        <v>46203</v>
      </c>
      <c r="C1933" t="s">
        <v>24</v>
      </c>
      <c r="D1933">
        <v>1772</v>
      </c>
      <c r="E1933">
        <v>1</v>
      </c>
      <c r="F1933">
        <v>1.1000000000000001</v>
      </c>
      <c r="G1933" t="s">
        <v>359</v>
      </c>
      <c r="I1933" t="str">
        <f t="shared" si="42"/>
        <v>1772_1</v>
      </c>
      <c r="J1933" t="s">
        <v>241</v>
      </c>
      <c r="K1933" t="s">
        <v>179</v>
      </c>
      <c r="L1933" t="str">
        <f>_xlfn.XLOOKUP(C1933, Table2[Species],Table2[Genus], "Code Not Found")</f>
        <v>Lirodendron</v>
      </c>
      <c r="M1933" t="str">
        <f>_xlfn.XLOOKUP(C1933, Table2[Species],Table2[Sp. Name], "Code Not Found")</f>
        <v>tulipfera</v>
      </c>
      <c r="N1933" t="str">
        <f>_xlfn.XLOOKUP(C1933,Table2[Species],Table2[Family],"Code Not Found")</f>
        <v>Magnoliaceae</v>
      </c>
      <c r="O1933" t="str" cm="1">
        <f t="array" ref="O1933">_xlfn.IFS(F1933="","",F1933&lt;=5,"0 to 5",F1933&lt;=10,"5.1 to 10",F1933&lt;=20,"10 to 20", F1933&lt;= 40, "20 to 40", F1933 &lt;= 50, "40 to 50", F1933 &gt; 50, "&gt;50" )</f>
        <v>0 to 5</v>
      </c>
    </row>
    <row r="1934" spans="1:15" ht="15" customHeight="1" x14ac:dyDescent="0.3">
      <c r="A1934" t="s">
        <v>351</v>
      </c>
      <c r="B1934" s="1">
        <v>46203</v>
      </c>
      <c r="C1934" t="s">
        <v>16</v>
      </c>
      <c r="D1934">
        <v>1773</v>
      </c>
      <c r="E1934">
        <v>1</v>
      </c>
      <c r="F1934">
        <v>37</v>
      </c>
      <c r="G1934" t="s">
        <v>21</v>
      </c>
      <c r="I1934" t="str">
        <f t="shared" si="42"/>
        <v>1773_1</v>
      </c>
      <c r="J1934" t="s">
        <v>241</v>
      </c>
      <c r="K1934" t="s">
        <v>179</v>
      </c>
      <c r="L1934" t="str">
        <f>_xlfn.XLOOKUP(C1934, Table2[Species],Table2[Genus], "Code Not Found")</f>
        <v>Acer</v>
      </c>
      <c r="M1934" t="str">
        <f>_xlfn.XLOOKUP(C1934, Table2[Species],Table2[Sp. Name], "Code Not Found")</f>
        <v>saccharum</v>
      </c>
      <c r="N1934" t="str">
        <f>_xlfn.XLOOKUP(C1934,Table2[Species],Table2[Family],"Code Not Found")</f>
        <v>Sapindaceae</v>
      </c>
      <c r="O1934" t="str" cm="1">
        <f t="array" ref="O1934">_xlfn.IFS(F1934="","",F1934&lt;=5,"0 to 5",F1934&lt;=10,"5.1 to 10",F1934&lt;=20,"10 to 20", F1934&lt;= 40, "20 to 40", F1934 &lt;= 50, "40 to 50", F1934 &gt; 50, "&gt;50" )</f>
        <v>20 to 40</v>
      </c>
    </row>
    <row r="1935" spans="1:15" ht="15" customHeight="1" x14ac:dyDescent="0.3">
      <c r="A1935" t="s">
        <v>351</v>
      </c>
      <c r="B1935" s="1">
        <v>46203</v>
      </c>
      <c r="C1935" t="s">
        <v>64</v>
      </c>
      <c r="D1935">
        <v>1774</v>
      </c>
      <c r="E1935">
        <v>1</v>
      </c>
      <c r="F1935">
        <v>2</v>
      </c>
      <c r="G1935" t="s">
        <v>17</v>
      </c>
      <c r="H1935" t="s">
        <v>408</v>
      </c>
      <c r="I1935" t="str">
        <f t="shared" si="42"/>
        <v>1774_1</v>
      </c>
      <c r="J1935" t="s">
        <v>241</v>
      </c>
      <c r="K1935" t="s">
        <v>179</v>
      </c>
      <c r="L1935" t="str">
        <f>_xlfn.XLOOKUP(C1935, Table2[Species],Table2[Genus], "Code Not Found")</f>
        <v>Fagus</v>
      </c>
      <c r="M1935" t="str">
        <f>_xlfn.XLOOKUP(C1935, Table2[Species],Table2[Sp. Name], "Code Not Found")</f>
        <v>grandifolia</v>
      </c>
      <c r="N1935" t="str">
        <f>_xlfn.XLOOKUP(C1935,Table2[Species],Table2[Family],"Code Not Found")</f>
        <v>Fagaceae</v>
      </c>
      <c r="O1935" t="str" cm="1">
        <f t="array" ref="O1935">_xlfn.IFS(F1935="","",F1935&lt;=5,"0 to 5",F1935&lt;=10,"5.1 to 10",F1935&lt;=20,"10 to 20", F1935&lt;= 40, "20 to 40", F1935 &lt;= 50, "40 to 50", F1935 &gt; 50, "&gt;50" )</f>
        <v>0 to 5</v>
      </c>
    </row>
    <row r="1936" spans="1:15" ht="15" customHeight="1" x14ac:dyDescent="0.3">
      <c r="A1936" t="s">
        <v>351</v>
      </c>
      <c r="B1936" s="1">
        <v>46203</v>
      </c>
      <c r="C1936" t="s">
        <v>24</v>
      </c>
      <c r="D1936">
        <v>1775</v>
      </c>
      <c r="E1936">
        <v>1</v>
      </c>
      <c r="F1936">
        <v>1.1000000000000001</v>
      </c>
      <c r="G1936" t="s">
        <v>359</v>
      </c>
      <c r="I1936" t="str">
        <f t="shared" si="42"/>
        <v>1775_1</v>
      </c>
      <c r="J1936" t="s">
        <v>241</v>
      </c>
      <c r="K1936" t="s">
        <v>179</v>
      </c>
      <c r="L1936" t="str">
        <f>_xlfn.XLOOKUP(C1936, Table2[Species],Table2[Genus], "Code Not Found")</f>
        <v>Lirodendron</v>
      </c>
      <c r="M1936" t="str">
        <f>_xlfn.XLOOKUP(C1936, Table2[Species],Table2[Sp. Name], "Code Not Found")</f>
        <v>tulipfera</v>
      </c>
      <c r="N1936" t="str">
        <f>_xlfn.XLOOKUP(C1936,Table2[Species],Table2[Family],"Code Not Found")</f>
        <v>Magnoliaceae</v>
      </c>
      <c r="O1936" t="str" cm="1">
        <f t="array" ref="O1936">_xlfn.IFS(F1936="","",F1936&lt;=5,"0 to 5",F1936&lt;=10,"5.1 to 10",F1936&lt;=20,"10 to 20", F1936&lt;= 40, "20 to 40", F1936 &lt;= 50, "40 to 50", F1936 &gt; 50, "&gt;50" )</f>
        <v>0 to 5</v>
      </c>
    </row>
    <row r="1937" spans="1:15" ht="15" customHeight="1" x14ac:dyDescent="0.3">
      <c r="A1937" t="s">
        <v>351</v>
      </c>
      <c r="B1937" s="1">
        <v>46203</v>
      </c>
      <c r="C1937" t="s">
        <v>24</v>
      </c>
      <c r="D1937">
        <v>1776</v>
      </c>
      <c r="E1937">
        <v>1</v>
      </c>
      <c r="F1937">
        <v>1.1000000000000001</v>
      </c>
      <c r="G1937" t="s">
        <v>359</v>
      </c>
      <c r="I1937" t="str">
        <f t="shared" si="42"/>
        <v>1776_1</v>
      </c>
      <c r="J1937" t="s">
        <v>241</v>
      </c>
      <c r="K1937" t="s">
        <v>179</v>
      </c>
      <c r="L1937" t="str">
        <f>_xlfn.XLOOKUP(C1937, Table2[Species],Table2[Genus], "Code Not Found")</f>
        <v>Lirodendron</v>
      </c>
      <c r="M1937" t="str">
        <f>_xlfn.XLOOKUP(C1937, Table2[Species],Table2[Sp. Name], "Code Not Found")</f>
        <v>tulipfera</v>
      </c>
      <c r="N1937" t="str">
        <f>_xlfn.XLOOKUP(C1937,Table2[Species],Table2[Family],"Code Not Found")</f>
        <v>Magnoliaceae</v>
      </c>
      <c r="O1937" t="str" cm="1">
        <f t="array" ref="O1937">_xlfn.IFS(F1937="","",F1937&lt;=5,"0 to 5",F1937&lt;=10,"5.1 to 10",F1937&lt;=20,"10 to 20", F1937&lt;= 40, "20 to 40", F1937 &lt;= 50, "40 to 50", F1937 &gt; 50, "&gt;50" )</f>
        <v>0 to 5</v>
      </c>
    </row>
    <row r="1938" spans="1:15" ht="15" customHeight="1" x14ac:dyDescent="0.3">
      <c r="A1938" t="s">
        <v>351</v>
      </c>
      <c r="B1938" s="1">
        <v>46203</v>
      </c>
      <c r="C1938" t="s">
        <v>24</v>
      </c>
      <c r="D1938">
        <v>1777</v>
      </c>
      <c r="E1938">
        <v>1</v>
      </c>
      <c r="F1938">
        <v>1.3</v>
      </c>
      <c r="G1938" t="s">
        <v>359</v>
      </c>
      <c r="I1938" t="str">
        <f t="shared" si="42"/>
        <v>1777_1</v>
      </c>
      <c r="J1938" t="s">
        <v>241</v>
      </c>
      <c r="K1938" t="s">
        <v>179</v>
      </c>
      <c r="L1938" t="str">
        <f>_xlfn.XLOOKUP(C1938, Table2[Species],Table2[Genus], "Code Not Found")</f>
        <v>Lirodendron</v>
      </c>
      <c r="M1938" t="str">
        <f>_xlfn.XLOOKUP(C1938, Table2[Species],Table2[Sp. Name], "Code Not Found")</f>
        <v>tulipfera</v>
      </c>
      <c r="N1938" t="str">
        <f>_xlfn.XLOOKUP(C1938,Table2[Species],Table2[Family],"Code Not Found")</f>
        <v>Magnoliaceae</v>
      </c>
      <c r="O1938" t="str" cm="1">
        <f t="array" ref="O1938">_xlfn.IFS(F1938="","",F1938&lt;=5,"0 to 5",F1938&lt;=10,"5.1 to 10",F1938&lt;=20,"10 to 20", F1938&lt;= 40, "20 to 40", F1938 &lt;= 50, "40 to 50", F1938 &gt; 50, "&gt;50" )</f>
        <v>0 to 5</v>
      </c>
    </row>
    <row r="1939" spans="1:15" ht="15" customHeight="1" x14ac:dyDescent="0.3">
      <c r="A1939" t="s">
        <v>351</v>
      </c>
      <c r="B1939" s="1">
        <v>46203</v>
      </c>
      <c r="C1939" t="s">
        <v>16</v>
      </c>
      <c r="D1939">
        <v>1778</v>
      </c>
      <c r="E1939">
        <v>1</v>
      </c>
      <c r="F1939">
        <v>9.3000000000000007</v>
      </c>
      <c r="G1939" t="s">
        <v>21</v>
      </c>
      <c r="I1939" t="str">
        <f t="shared" si="42"/>
        <v>1778_1</v>
      </c>
      <c r="J1939" t="s">
        <v>241</v>
      </c>
      <c r="K1939" t="s">
        <v>179</v>
      </c>
      <c r="L1939" t="str">
        <f>_xlfn.XLOOKUP(C1939, Table2[Species],Table2[Genus], "Code Not Found")</f>
        <v>Acer</v>
      </c>
      <c r="M1939" t="str">
        <f>_xlfn.XLOOKUP(C1939, Table2[Species],Table2[Sp. Name], "Code Not Found")</f>
        <v>saccharum</v>
      </c>
      <c r="N1939" t="str">
        <f>_xlfn.XLOOKUP(C1939,Table2[Species],Table2[Family],"Code Not Found")</f>
        <v>Sapindaceae</v>
      </c>
      <c r="O1939" t="str" cm="1">
        <f t="array" ref="O1939">_xlfn.IFS(F1939="","",F1939&lt;=5,"0 to 5",F1939&lt;=10,"5.1 to 10",F1939&lt;=20,"10 to 20", F1939&lt;= 40, "20 to 40", F1939 &lt;= 50, "40 to 50", F1939 &gt; 50, "&gt;50" )</f>
        <v>5.1 to 10</v>
      </c>
    </row>
    <row r="1940" spans="1:15" ht="15" customHeight="1" x14ac:dyDescent="0.3">
      <c r="A1940" t="s">
        <v>351</v>
      </c>
      <c r="B1940" s="1">
        <v>46203</v>
      </c>
      <c r="C1940" t="s">
        <v>24</v>
      </c>
      <c r="D1940">
        <v>1779</v>
      </c>
      <c r="E1940">
        <v>1</v>
      </c>
      <c r="F1940">
        <v>1.5</v>
      </c>
      <c r="G1940" t="s">
        <v>359</v>
      </c>
      <c r="I1940" t="str">
        <f t="shared" ref="I1940:I1954" si="43">D1940&amp;"_"&amp;E1940</f>
        <v>1779_1</v>
      </c>
      <c r="J1940" t="s">
        <v>241</v>
      </c>
      <c r="K1940" t="s">
        <v>179</v>
      </c>
      <c r="L1940" t="str">
        <f>_xlfn.XLOOKUP(C1940, Table2[Species],Table2[Genus], "Code Not Found")</f>
        <v>Lirodendron</v>
      </c>
      <c r="M1940" t="str">
        <f>_xlfn.XLOOKUP(C1940, Table2[Species],Table2[Sp. Name], "Code Not Found")</f>
        <v>tulipfera</v>
      </c>
      <c r="N1940" t="str">
        <f>_xlfn.XLOOKUP(C1940,Table2[Species],Table2[Family],"Code Not Found")</f>
        <v>Magnoliaceae</v>
      </c>
      <c r="O1940" t="str" cm="1">
        <f t="array" ref="O1940">_xlfn.IFS(F1940="","",F1940&lt;=5,"0 to 5",F1940&lt;=10,"5.1 to 10",F1940&lt;=20,"10 to 20", F1940&lt;= 40, "20 to 40", F1940 &lt;= 50, "40 to 50", F1940 &gt; 50, "&gt;50" )</f>
        <v>0 to 5</v>
      </c>
    </row>
    <row r="1941" spans="1:15" ht="15" customHeight="1" x14ac:dyDescent="0.3">
      <c r="A1941" t="s">
        <v>351</v>
      </c>
      <c r="B1941" s="1">
        <v>46203</v>
      </c>
      <c r="C1941" t="s">
        <v>24</v>
      </c>
      <c r="D1941">
        <v>1780</v>
      </c>
      <c r="E1941">
        <v>1</v>
      </c>
      <c r="F1941">
        <v>1.5</v>
      </c>
      <c r="G1941" t="s">
        <v>359</v>
      </c>
      <c r="I1941" t="str">
        <f t="shared" si="43"/>
        <v>1780_1</v>
      </c>
      <c r="J1941" t="s">
        <v>241</v>
      </c>
      <c r="K1941" t="s">
        <v>179</v>
      </c>
      <c r="L1941" t="str">
        <f>_xlfn.XLOOKUP(C1941, Table2[Species],Table2[Genus], "Code Not Found")</f>
        <v>Lirodendron</v>
      </c>
      <c r="M1941" t="str">
        <f>_xlfn.XLOOKUP(C1941, Table2[Species],Table2[Sp. Name], "Code Not Found")</f>
        <v>tulipfera</v>
      </c>
      <c r="N1941" t="str">
        <f>_xlfn.XLOOKUP(C1941,Table2[Species],Table2[Family],"Code Not Found")</f>
        <v>Magnoliaceae</v>
      </c>
      <c r="O1941" t="str" cm="1">
        <f t="array" ref="O1941">_xlfn.IFS(F1941="","",F1941&lt;=5,"0 to 5",F1941&lt;=10,"5.1 to 10",F1941&lt;=20,"10 to 20", F1941&lt;= 40, "20 to 40", F1941 &lt;= 50, "40 to 50", F1941 &gt; 50, "&gt;50" )</f>
        <v>0 to 5</v>
      </c>
    </row>
    <row r="1942" spans="1:15" ht="15" customHeight="1" x14ac:dyDescent="0.3">
      <c r="A1942" t="s">
        <v>351</v>
      </c>
      <c r="B1942" s="1">
        <v>46203</v>
      </c>
      <c r="C1942" t="s">
        <v>24</v>
      </c>
      <c r="D1942">
        <v>1781</v>
      </c>
      <c r="E1942">
        <v>1</v>
      </c>
      <c r="F1942">
        <v>1.3</v>
      </c>
      <c r="G1942" t="s">
        <v>409</v>
      </c>
      <c r="I1942" t="str">
        <f t="shared" si="43"/>
        <v>1781_1</v>
      </c>
      <c r="J1942" t="s">
        <v>241</v>
      </c>
      <c r="K1942" t="s">
        <v>179</v>
      </c>
      <c r="L1942" t="str">
        <f>_xlfn.XLOOKUP(C1942, Table2[Species],Table2[Genus], "Code Not Found")</f>
        <v>Lirodendron</v>
      </c>
      <c r="M1942" t="str">
        <f>_xlfn.XLOOKUP(C1942, Table2[Species],Table2[Sp. Name], "Code Not Found")</f>
        <v>tulipfera</v>
      </c>
      <c r="N1942" t="str">
        <f>_xlfn.XLOOKUP(C1942,Table2[Species],Table2[Family],"Code Not Found")</f>
        <v>Magnoliaceae</v>
      </c>
      <c r="O1942" t="str" cm="1">
        <f t="array" ref="O1942">_xlfn.IFS(F1942="","",F1942&lt;=5,"0 to 5",F1942&lt;=10,"5.1 to 10",F1942&lt;=20,"10 to 20", F1942&lt;= 40, "20 to 40", F1942 &lt;= 50, "40 to 50", F1942 &gt; 50, "&gt;50" )</f>
        <v>0 to 5</v>
      </c>
    </row>
    <row r="1943" spans="1:15" ht="15" customHeight="1" x14ac:dyDescent="0.3">
      <c r="A1943" t="s">
        <v>351</v>
      </c>
      <c r="B1943" s="1">
        <v>46203</v>
      </c>
      <c r="C1943" t="s">
        <v>24</v>
      </c>
      <c r="D1943">
        <v>1782</v>
      </c>
      <c r="E1943">
        <v>1</v>
      </c>
      <c r="F1943">
        <v>1.4</v>
      </c>
      <c r="G1943" t="s">
        <v>359</v>
      </c>
      <c r="I1943" t="str">
        <f t="shared" si="43"/>
        <v>1782_1</v>
      </c>
      <c r="J1943" t="s">
        <v>241</v>
      </c>
      <c r="K1943" t="s">
        <v>179</v>
      </c>
      <c r="L1943" t="str">
        <f>_xlfn.XLOOKUP(C1943, Table2[Species],Table2[Genus], "Code Not Found")</f>
        <v>Lirodendron</v>
      </c>
      <c r="M1943" t="str">
        <f>_xlfn.XLOOKUP(C1943, Table2[Species],Table2[Sp. Name], "Code Not Found")</f>
        <v>tulipfera</v>
      </c>
      <c r="N1943" t="str">
        <f>_xlfn.XLOOKUP(C1943,Table2[Species],Table2[Family],"Code Not Found")</f>
        <v>Magnoliaceae</v>
      </c>
      <c r="O1943" t="str" cm="1">
        <f t="array" ref="O1943">_xlfn.IFS(F1943="","",F1943&lt;=5,"0 to 5",F1943&lt;=10,"5.1 to 10",F1943&lt;=20,"10 to 20", F1943&lt;= 40, "20 to 40", F1943 &lt;= 50, "40 to 50", F1943 &gt; 50, "&gt;50" )</f>
        <v>0 to 5</v>
      </c>
    </row>
    <row r="1944" spans="1:15" ht="15" customHeight="1" x14ac:dyDescent="0.3">
      <c r="A1944" t="s">
        <v>351</v>
      </c>
      <c r="B1944" s="1">
        <v>46203</v>
      </c>
      <c r="C1944" t="s">
        <v>24</v>
      </c>
      <c r="D1944">
        <v>1783</v>
      </c>
      <c r="E1944">
        <v>1</v>
      </c>
      <c r="F1944">
        <v>1.6</v>
      </c>
      <c r="G1944" t="s">
        <v>359</v>
      </c>
      <c r="I1944" t="str">
        <f t="shared" si="43"/>
        <v>1783_1</v>
      </c>
      <c r="J1944" t="s">
        <v>241</v>
      </c>
      <c r="K1944" t="s">
        <v>179</v>
      </c>
      <c r="L1944" t="str">
        <f>_xlfn.XLOOKUP(C1944, Table2[Species],Table2[Genus], "Code Not Found")</f>
        <v>Lirodendron</v>
      </c>
      <c r="M1944" t="str">
        <f>_xlfn.XLOOKUP(C1944, Table2[Species],Table2[Sp. Name], "Code Not Found")</f>
        <v>tulipfera</v>
      </c>
      <c r="N1944" t="str">
        <f>_xlfn.XLOOKUP(C1944,Table2[Species],Table2[Family],"Code Not Found")</f>
        <v>Magnoliaceae</v>
      </c>
      <c r="O1944" t="str" cm="1">
        <f t="array" ref="O1944">_xlfn.IFS(F1944="","",F1944&lt;=5,"0 to 5",F1944&lt;=10,"5.1 to 10",F1944&lt;=20,"10 to 20", F1944&lt;= 40, "20 to 40", F1944 &lt;= 50, "40 to 50", F1944 &gt; 50, "&gt;50" )</f>
        <v>0 to 5</v>
      </c>
    </row>
    <row r="1945" spans="1:15" ht="15" customHeight="1" x14ac:dyDescent="0.3">
      <c r="A1945" t="s">
        <v>351</v>
      </c>
      <c r="B1945" s="1">
        <v>46203</v>
      </c>
      <c r="C1945" t="s">
        <v>24</v>
      </c>
      <c r="D1945">
        <v>1784</v>
      </c>
      <c r="E1945">
        <v>1</v>
      </c>
      <c r="F1945">
        <v>1.5</v>
      </c>
      <c r="G1945" t="s">
        <v>359</v>
      </c>
      <c r="I1945" t="str">
        <f t="shared" si="43"/>
        <v>1784_1</v>
      </c>
      <c r="J1945" t="s">
        <v>241</v>
      </c>
      <c r="K1945" t="s">
        <v>179</v>
      </c>
      <c r="L1945" t="str">
        <f>_xlfn.XLOOKUP(C1945, Table2[Species],Table2[Genus], "Code Not Found")</f>
        <v>Lirodendron</v>
      </c>
      <c r="M1945" t="str">
        <f>_xlfn.XLOOKUP(C1945, Table2[Species],Table2[Sp. Name], "Code Not Found")</f>
        <v>tulipfera</v>
      </c>
      <c r="N1945" t="str">
        <f>_xlfn.XLOOKUP(C1945,Table2[Species],Table2[Family],"Code Not Found")</f>
        <v>Magnoliaceae</v>
      </c>
      <c r="O1945" t="str" cm="1">
        <f t="array" ref="O1945">_xlfn.IFS(F1945="","",F1945&lt;=5,"0 to 5",F1945&lt;=10,"5.1 to 10",F1945&lt;=20,"10 to 20", F1945&lt;= 40, "20 to 40", F1945 &lt;= 50, "40 to 50", F1945 &gt; 50, "&gt;50" )</f>
        <v>0 to 5</v>
      </c>
    </row>
    <row r="1946" spans="1:15" ht="15" customHeight="1" x14ac:dyDescent="0.3">
      <c r="A1946" t="s">
        <v>351</v>
      </c>
      <c r="B1946" s="1">
        <v>46203</v>
      </c>
      <c r="C1946" t="s">
        <v>24</v>
      </c>
      <c r="D1946">
        <v>1785</v>
      </c>
      <c r="E1946">
        <v>1</v>
      </c>
      <c r="F1946">
        <v>1.1000000000000001</v>
      </c>
      <c r="G1946" t="s">
        <v>359</v>
      </c>
      <c r="I1946" t="str">
        <f t="shared" si="43"/>
        <v>1785_1</v>
      </c>
      <c r="J1946" t="s">
        <v>241</v>
      </c>
      <c r="K1946" t="s">
        <v>179</v>
      </c>
      <c r="L1946" t="str">
        <f>_xlfn.XLOOKUP(C1946, Table2[Species],Table2[Genus], "Code Not Found")</f>
        <v>Lirodendron</v>
      </c>
      <c r="M1946" t="str">
        <f>_xlfn.XLOOKUP(C1946, Table2[Species],Table2[Sp. Name], "Code Not Found")</f>
        <v>tulipfera</v>
      </c>
      <c r="N1946" t="str">
        <f>_xlfn.XLOOKUP(C1946,Table2[Species],Table2[Family],"Code Not Found")</f>
        <v>Magnoliaceae</v>
      </c>
      <c r="O1946" t="str" cm="1">
        <f t="array" ref="O1946">_xlfn.IFS(F1946="","",F1946&lt;=5,"0 to 5",F1946&lt;=10,"5.1 to 10",F1946&lt;=20,"10 to 20", F1946&lt;= 40, "20 to 40", F1946 &lt;= 50, "40 to 50", F1946 &gt; 50, "&gt;50" )</f>
        <v>0 to 5</v>
      </c>
    </row>
    <row r="1947" spans="1:15" ht="15" customHeight="1" x14ac:dyDescent="0.3">
      <c r="A1947" t="s">
        <v>351</v>
      </c>
      <c r="B1947" s="1">
        <v>46203</v>
      </c>
      <c r="C1947" t="s">
        <v>24</v>
      </c>
      <c r="D1947">
        <v>1786</v>
      </c>
      <c r="E1947">
        <v>1</v>
      </c>
      <c r="F1947">
        <v>1.2</v>
      </c>
      <c r="G1947" t="s">
        <v>359</v>
      </c>
      <c r="I1947" t="str">
        <f t="shared" si="43"/>
        <v>1786_1</v>
      </c>
      <c r="J1947" t="s">
        <v>241</v>
      </c>
      <c r="K1947" t="s">
        <v>179</v>
      </c>
      <c r="L1947" t="str">
        <f>_xlfn.XLOOKUP(C1947, Table2[Species],Table2[Genus], "Code Not Found")</f>
        <v>Lirodendron</v>
      </c>
      <c r="M1947" t="str">
        <f>_xlfn.XLOOKUP(C1947, Table2[Species],Table2[Sp. Name], "Code Not Found")</f>
        <v>tulipfera</v>
      </c>
      <c r="N1947" t="str">
        <f>_xlfn.XLOOKUP(C1947,Table2[Species],Table2[Family],"Code Not Found")</f>
        <v>Magnoliaceae</v>
      </c>
      <c r="O1947" t="str" cm="1">
        <f t="array" ref="O1947">_xlfn.IFS(F1947="","",F1947&lt;=5,"0 to 5",F1947&lt;=10,"5.1 to 10",F1947&lt;=20,"10 to 20", F1947&lt;= 40, "20 to 40", F1947 &lt;= 50, "40 to 50", F1947 &gt; 50, "&gt;50" )</f>
        <v>0 to 5</v>
      </c>
    </row>
    <row r="1948" spans="1:15" ht="15" customHeight="1" x14ac:dyDescent="0.3">
      <c r="A1948" t="s">
        <v>351</v>
      </c>
      <c r="B1948" s="1">
        <v>46203</v>
      </c>
      <c r="C1948" t="s">
        <v>24</v>
      </c>
      <c r="D1948">
        <v>1787</v>
      </c>
      <c r="E1948">
        <v>1</v>
      </c>
      <c r="F1948">
        <v>1.5</v>
      </c>
      <c r="G1948" t="s">
        <v>359</v>
      </c>
      <c r="I1948" t="str">
        <f t="shared" si="43"/>
        <v>1787_1</v>
      </c>
      <c r="J1948" t="s">
        <v>241</v>
      </c>
      <c r="K1948" t="s">
        <v>179</v>
      </c>
      <c r="L1948" t="str">
        <f>_xlfn.XLOOKUP(C1948, Table2[Species],Table2[Genus], "Code Not Found")</f>
        <v>Lirodendron</v>
      </c>
      <c r="M1948" t="str">
        <f>_xlfn.XLOOKUP(C1948, Table2[Species],Table2[Sp. Name], "Code Not Found")</f>
        <v>tulipfera</v>
      </c>
      <c r="N1948" t="str">
        <f>_xlfn.XLOOKUP(C1948,Table2[Species],Table2[Family],"Code Not Found")</f>
        <v>Magnoliaceae</v>
      </c>
      <c r="O1948" t="str" cm="1">
        <f t="array" ref="O1948">_xlfn.IFS(F1948="","",F1948&lt;=5,"0 to 5",F1948&lt;=10,"5.1 to 10",F1948&lt;=20,"10 to 20", F1948&lt;= 40, "20 to 40", F1948 &lt;= 50, "40 to 50", F1948 &gt; 50, "&gt;50" )</f>
        <v>0 to 5</v>
      </c>
    </row>
    <row r="1949" spans="1:15" ht="15" customHeight="1" x14ac:dyDescent="0.3">
      <c r="A1949" t="s">
        <v>351</v>
      </c>
      <c r="B1949" s="1">
        <v>46203</v>
      </c>
      <c r="C1949" t="s">
        <v>24</v>
      </c>
      <c r="D1949">
        <v>1788</v>
      </c>
      <c r="E1949">
        <v>1</v>
      </c>
      <c r="F1949">
        <v>1.3</v>
      </c>
      <c r="G1949" t="s">
        <v>359</v>
      </c>
      <c r="I1949" t="str">
        <f t="shared" si="43"/>
        <v>1788_1</v>
      </c>
      <c r="J1949" t="s">
        <v>241</v>
      </c>
      <c r="K1949" t="s">
        <v>179</v>
      </c>
      <c r="L1949" t="str">
        <f>_xlfn.XLOOKUP(C1949, Table2[Species],Table2[Genus], "Code Not Found")</f>
        <v>Lirodendron</v>
      </c>
      <c r="M1949" t="str">
        <f>_xlfn.XLOOKUP(C1949, Table2[Species],Table2[Sp. Name], "Code Not Found")</f>
        <v>tulipfera</v>
      </c>
      <c r="N1949" t="str">
        <f>_xlfn.XLOOKUP(C1949,Table2[Species],Table2[Family],"Code Not Found")</f>
        <v>Magnoliaceae</v>
      </c>
      <c r="O1949" t="str" cm="1">
        <f t="array" ref="O1949">_xlfn.IFS(F1949="","",F1949&lt;=5,"0 to 5",F1949&lt;=10,"5.1 to 10",F1949&lt;=20,"10 to 20", F1949&lt;= 40, "20 to 40", F1949 &lt;= 50, "40 to 50", F1949 &gt; 50, "&gt;50" )</f>
        <v>0 to 5</v>
      </c>
    </row>
    <row r="1950" spans="1:15" ht="15" customHeight="1" x14ac:dyDescent="0.3">
      <c r="A1950" t="s">
        <v>351</v>
      </c>
      <c r="B1950" s="1">
        <v>46203</v>
      </c>
      <c r="C1950" t="s">
        <v>24</v>
      </c>
      <c r="D1950">
        <v>1789</v>
      </c>
      <c r="E1950">
        <v>1</v>
      </c>
      <c r="F1950">
        <v>1.3</v>
      </c>
      <c r="G1950" t="s">
        <v>359</v>
      </c>
      <c r="I1950" t="str">
        <f t="shared" si="43"/>
        <v>1789_1</v>
      </c>
      <c r="J1950" t="s">
        <v>241</v>
      </c>
      <c r="K1950" t="s">
        <v>179</v>
      </c>
      <c r="L1950" t="str">
        <f>_xlfn.XLOOKUP(C1950, Table2[Species],Table2[Genus], "Code Not Found")</f>
        <v>Lirodendron</v>
      </c>
      <c r="M1950" t="str">
        <f>_xlfn.XLOOKUP(C1950, Table2[Species],Table2[Sp. Name], "Code Not Found")</f>
        <v>tulipfera</v>
      </c>
      <c r="N1950" t="str">
        <f>_xlfn.XLOOKUP(C1950,Table2[Species],Table2[Family],"Code Not Found")</f>
        <v>Magnoliaceae</v>
      </c>
      <c r="O1950" t="str" cm="1">
        <f t="array" ref="O1950">_xlfn.IFS(F1950="","",F1950&lt;=5,"0 to 5",F1950&lt;=10,"5.1 to 10",F1950&lt;=20,"10 to 20", F1950&lt;= 40, "20 to 40", F1950 &lt;= 50, "40 to 50", F1950 &gt; 50, "&gt;50" )</f>
        <v>0 to 5</v>
      </c>
    </row>
    <row r="1951" spans="1:15" ht="15" customHeight="1" x14ac:dyDescent="0.3">
      <c r="A1951" t="s">
        <v>351</v>
      </c>
      <c r="B1951" s="1">
        <v>46203</v>
      </c>
      <c r="C1951" t="s">
        <v>24</v>
      </c>
      <c r="D1951">
        <v>1790</v>
      </c>
      <c r="E1951">
        <v>1</v>
      </c>
      <c r="F1951">
        <v>1.3</v>
      </c>
      <c r="G1951" t="s">
        <v>359</v>
      </c>
      <c r="I1951" t="str">
        <f t="shared" si="43"/>
        <v>1790_1</v>
      </c>
      <c r="J1951" t="s">
        <v>241</v>
      </c>
      <c r="K1951" t="s">
        <v>179</v>
      </c>
      <c r="L1951" t="str">
        <f>_xlfn.XLOOKUP(C1951, Table2[Species],Table2[Genus], "Code Not Found")</f>
        <v>Lirodendron</v>
      </c>
      <c r="M1951" t="str">
        <f>_xlfn.XLOOKUP(C1951, Table2[Species],Table2[Sp. Name], "Code Not Found")</f>
        <v>tulipfera</v>
      </c>
      <c r="N1951" t="str">
        <f>_xlfn.XLOOKUP(C1951,Table2[Species],Table2[Family],"Code Not Found")</f>
        <v>Magnoliaceae</v>
      </c>
      <c r="O1951" t="str" cm="1">
        <f t="array" ref="O1951">_xlfn.IFS(F1951="","",F1951&lt;=5,"0 to 5",F1951&lt;=10,"5.1 to 10",F1951&lt;=20,"10 to 20", F1951&lt;= 40, "20 to 40", F1951 &lt;= 50, "40 to 50", F1951 &gt; 50, "&gt;50" )</f>
        <v>0 to 5</v>
      </c>
    </row>
    <row r="1952" spans="1:15" ht="15" customHeight="1" x14ac:dyDescent="0.3">
      <c r="A1952" t="s">
        <v>351</v>
      </c>
      <c r="B1952" s="1">
        <v>46203</v>
      </c>
      <c r="C1952" t="s">
        <v>24</v>
      </c>
      <c r="D1952">
        <v>1791</v>
      </c>
      <c r="E1952">
        <v>1</v>
      </c>
      <c r="F1952">
        <v>1</v>
      </c>
      <c r="G1952" t="s">
        <v>359</v>
      </c>
      <c r="I1952" t="str">
        <f t="shared" si="43"/>
        <v>1791_1</v>
      </c>
      <c r="J1952" t="s">
        <v>241</v>
      </c>
      <c r="K1952" t="s">
        <v>179</v>
      </c>
      <c r="L1952" t="str">
        <f>_xlfn.XLOOKUP(C1952, Table2[Species],Table2[Genus], "Code Not Found")</f>
        <v>Lirodendron</v>
      </c>
      <c r="M1952" t="str">
        <f>_xlfn.XLOOKUP(C1952, Table2[Species],Table2[Sp. Name], "Code Not Found")</f>
        <v>tulipfera</v>
      </c>
      <c r="N1952" t="str">
        <f>_xlfn.XLOOKUP(C1952,Table2[Species],Table2[Family],"Code Not Found")</f>
        <v>Magnoliaceae</v>
      </c>
      <c r="O1952" t="str" cm="1">
        <f t="array" ref="O1952">_xlfn.IFS(F1952="","",F1952&lt;=5,"0 to 5",F1952&lt;=10,"5.1 to 10",F1952&lt;=20,"10 to 20", F1952&lt;= 40, "20 to 40", F1952 &lt;= 50, "40 to 50", F1952 &gt; 50, "&gt;50" )</f>
        <v>0 to 5</v>
      </c>
    </row>
    <row r="1953" spans="1:15" ht="15" customHeight="1" x14ac:dyDescent="0.3">
      <c r="A1953" t="s">
        <v>351</v>
      </c>
      <c r="B1953" s="1">
        <v>46203</v>
      </c>
      <c r="C1953" t="s">
        <v>24</v>
      </c>
      <c r="D1953">
        <v>1792</v>
      </c>
      <c r="E1953">
        <v>1</v>
      </c>
      <c r="F1953">
        <v>1</v>
      </c>
      <c r="G1953" t="s">
        <v>47</v>
      </c>
      <c r="H1953" t="s">
        <v>296</v>
      </c>
      <c r="I1953" t="str">
        <f t="shared" si="43"/>
        <v>1792_1</v>
      </c>
      <c r="J1953" t="s">
        <v>241</v>
      </c>
      <c r="K1953" t="s">
        <v>179</v>
      </c>
      <c r="L1953" t="str">
        <f>_xlfn.XLOOKUP(C1953, Table2[Species],Table2[Genus], "Code Not Found")</f>
        <v>Lirodendron</v>
      </c>
      <c r="M1953" t="str">
        <f>_xlfn.XLOOKUP(C1953, Table2[Species],Table2[Sp. Name], "Code Not Found")</f>
        <v>tulipfera</v>
      </c>
      <c r="N1953" t="str">
        <f>_xlfn.XLOOKUP(C1953,Table2[Species],Table2[Family],"Code Not Found")</f>
        <v>Magnoliaceae</v>
      </c>
      <c r="O1953" t="str" cm="1">
        <f t="array" ref="O1953">_xlfn.IFS(F1953="","",F1953&lt;=5,"0 to 5",F1953&lt;=10,"5.1 to 10",F1953&lt;=20,"10 to 20", F1953&lt;= 40, "20 to 40", F1953 &lt;= 50, "40 to 50", F1953 &gt; 50, "&gt;50" )</f>
        <v>0 to 5</v>
      </c>
    </row>
    <row r="1954" spans="1:15" ht="15" customHeight="1" x14ac:dyDescent="0.3">
      <c r="A1954" t="s">
        <v>351</v>
      </c>
      <c r="B1954" s="1">
        <v>46203</v>
      </c>
      <c r="C1954" t="s">
        <v>64</v>
      </c>
      <c r="D1954">
        <v>1793</v>
      </c>
      <c r="E1954">
        <v>1</v>
      </c>
      <c r="F1954">
        <v>27.4</v>
      </c>
      <c r="G1954" t="s">
        <v>21</v>
      </c>
      <c r="I1954" t="str">
        <f t="shared" si="43"/>
        <v>1793_1</v>
      </c>
      <c r="J1954" t="s">
        <v>241</v>
      </c>
      <c r="K1954" t="s">
        <v>179</v>
      </c>
      <c r="L1954" t="str">
        <f>_xlfn.XLOOKUP(C1954, Table2[Species],Table2[Genus], "Code Not Found")</f>
        <v>Fagus</v>
      </c>
      <c r="M1954" t="str">
        <f>_xlfn.XLOOKUP(C1954, Table2[Species],Table2[Sp. Name], "Code Not Found")</f>
        <v>grandifolia</v>
      </c>
      <c r="N1954" t="str">
        <f>_xlfn.XLOOKUP(C1954,Table2[Species],Table2[Family],"Code Not Found")</f>
        <v>Fagaceae</v>
      </c>
      <c r="O1954" t="str" cm="1">
        <f t="array" ref="O1954">_xlfn.IFS(F1954="","",F1954&lt;=5,"0 to 5",F1954&lt;=10,"5.1 to 10",F1954&lt;=20,"10 to 20", F1954&lt;= 40, "20 to 40", F1954 &lt;= 50, "40 to 50", F1954 &gt; 50, "&gt;50" )</f>
        <v>20 to 40</v>
      </c>
    </row>
    <row r="1955" spans="1:15" ht="15" customHeight="1" x14ac:dyDescent="0.3">
      <c r="A1955" t="s">
        <v>351</v>
      </c>
      <c r="B1955" s="1">
        <v>46203</v>
      </c>
      <c r="C1955" t="s">
        <v>55</v>
      </c>
      <c r="D1955">
        <v>1794</v>
      </c>
      <c r="E1955">
        <v>1</v>
      </c>
      <c r="F1955">
        <v>1.2</v>
      </c>
      <c r="G1955" t="s">
        <v>359</v>
      </c>
      <c r="I1955" t="str">
        <f t="shared" ref="I1955:I1964" si="44">D1955&amp;"_"&amp;E1955</f>
        <v>1794_1</v>
      </c>
      <c r="J1955" t="s">
        <v>241</v>
      </c>
      <c r="K1955" t="s">
        <v>179</v>
      </c>
      <c r="L1955" t="str">
        <f>_xlfn.XLOOKUP(C1955, Table2[Species],Table2[Genus], "Code Not Found")</f>
        <v>Magnolia</v>
      </c>
      <c r="M1955" t="str">
        <f>_xlfn.XLOOKUP(C1955, Table2[Species],Table2[Sp. Name], "Code Not Found")</f>
        <v>acuminata</v>
      </c>
      <c r="N1955" t="str">
        <f>_xlfn.XLOOKUP(C1955,Table2[Species],Table2[Family],"Code Not Found")</f>
        <v>Magnoliaceae</v>
      </c>
      <c r="O1955" t="str" cm="1">
        <f t="array" ref="O1955">_xlfn.IFS(F1955="","",F1955&lt;=5,"0 to 5",F1955&lt;=10,"5.1 to 10",F1955&lt;=20,"10 to 20", F1955&lt;= 40, "20 to 40", F1955 &lt;= 50, "40 to 50", F1955 &gt; 50, "&gt;50" )</f>
        <v>0 to 5</v>
      </c>
    </row>
    <row r="1956" spans="1:15" ht="15" customHeight="1" x14ac:dyDescent="0.3">
      <c r="A1956" t="s">
        <v>351</v>
      </c>
      <c r="B1956" s="1">
        <v>46203</v>
      </c>
      <c r="C1956" t="s">
        <v>24</v>
      </c>
      <c r="D1956">
        <v>1795</v>
      </c>
      <c r="E1956">
        <v>1</v>
      </c>
      <c r="F1956">
        <v>1</v>
      </c>
      <c r="G1956" t="s">
        <v>359</v>
      </c>
      <c r="I1956" t="str">
        <f t="shared" si="44"/>
        <v>1795_1</v>
      </c>
      <c r="J1956" t="s">
        <v>241</v>
      </c>
      <c r="K1956" t="s">
        <v>179</v>
      </c>
      <c r="L1956" t="str">
        <f>_xlfn.XLOOKUP(C1956, Table2[Species],Table2[Genus], "Code Not Found")</f>
        <v>Lirodendron</v>
      </c>
      <c r="M1956" t="str">
        <f>_xlfn.XLOOKUP(C1956, Table2[Species],Table2[Sp. Name], "Code Not Found")</f>
        <v>tulipfera</v>
      </c>
      <c r="N1956" t="str">
        <f>_xlfn.XLOOKUP(C1956,Table2[Species],Table2[Family],"Code Not Found")</f>
        <v>Magnoliaceae</v>
      </c>
      <c r="O1956" t="str" cm="1">
        <f t="array" ref="O1956">_xlfn.IFS(F1956="","",F1956&lt;=5,"0 to 5",F1956&lt;=10,"5.1 to 10",F1956&lt;=20,"10 to 20", F1956&lt;= 40, "20 to 40", F1956 &lt;= 50, "40 to 50", F1956 &gt; 50, "&gt;50" )</f>
        <v>0 to 5</v>
      </c>
    </row>
    <row r="1957" spans="1:15" ht="15" customHeight="1" x14ac:dyDescent="0.3">
      <c r="A1957" t="s">
        <v>351</v>
      </c>
      <c r="B1957" s="1">
        <v>46203</v>
      </c>
      <c r="C1957" t="s">
        <v>24</v>
      </c>
      <c r="D1957">
        <v>1796</v>
      </c>
      <c r="E1957">
        <v>1</v>
      </c>
      <c r="F1957">
        <v>1.1000000000000001</v>
      </c>
      <c r="G1957" t="s">
        <v>409</v>
      </c>
      <c r="I1957" t="str">
        <f t="shared" si="44"/>
        <v>1796_1</v>
      </c>
      <c r="J1957" t="s">
        <v>241</v>
      </c>
      <c r="K1957" t="s">
        <v>179</v>
      </c>
      <c r="L1957" t="str">
        <f>_xlfn.XLOOKUP(C1957, Table2[Species],Table2[Genus], "Code Not Found")</f>
        <v>Lirodendron</v>
      </c>
      <c r="M1957" t="str">
        <f>_xlfn.XLOOKUP(C1957, Table2[Species],Table2[Sp. Name], "Code Not Found")</f>
        <v>tulipfera</v>
      </c>
      <c r="N1957" t="str">
        <f>_xlfn.XLOOKUP(C1957,Table2[Species],Table2[Family],"Code Not Found")</f>
        <v>Magnoliaceae</v>
      </c>
      <c r="O1957" t="str" cm="1">
        <f t="array" ref="O1957">_xlfn.IFS(F1957="","",F1957&lt;=5,"0 to 5",F1957&lt;=10,"5.1 to 10",F1957&lt;=20,"10 to 20", F1957&lt;= 40, "20 to 40", F1957 &lt;= 50, "40 to 50", F1957 &gt; 50, "&gt;50" )</f>
        <v>0 to 5</v>
      </c>
    </row>
    <row r="1958" spans="1:15" ht="15" customHeight="1" x14ac:dyDescent="0.3">
      <c r="A1958" t="s">
        <v>351</v>
      </c>
      <c r="B1958" s="1">
        <v>46203</v>
      </c>
      <c r="C1958" t="s">
        <v>24</v>
      </c>
      <c r="D1958">
        <v>1797</v>
      </c>
      <c r="E1958">
        <v>1</v>
      </c>
      <c r="F1958">
        <v>1.2</v>
      </c>
      <c r="G1958" t="s">
        <v>409</v>
      </c>
      <c r="I1958" t="str">
        <f t="shared" si="44"/>
        <v>1797_1</v>
      </c>
      <c r="J1958" t="s">
        <v>241</v>
      </c>
      <c r="K1958" t="s">
        <v>179</v>
      </c>
      <c r="L1958" t="str">
        <f>_xlfn.XLOOKUP(C1958, Table2[Species],Table2[Genus], "Code Not Found")</f>
        <v>Lirodendron</v>
      </c>
      <c r="M1958" t="str">
        <f>_xlfn.XLOOKUP(C1958, Table2[Species],Table2[Sp. Name], "Code Not Found")</f>
        <v>tulipfera</v>
      </c>
      <c r="N1958" t="str">
        <f>_xlfn.XLOOKUP(C1958,Table2[Species],Table2[Family],"Code Not Found")</f>
        <v>Magnoliaceae</v>
      </c>
      <c r="O1958" t="str" cm="1">
        <f t="array" ref="O1958">_xlfn.IFS(F1958="","",F1958&lt;=5,"0 to 5",F1958&lt;=10,"5.1 to 10",F1958&lt;=20,"10 to 20", F1958&lt;= 40, "20 to 40", F1958 &lt;= 50, "40 to 50", F1958 &gt; 50, "&gt;50" )</f>
        <v>0 to 5</v>
      </c>
    </row>
    <row r="1959" spans="1:15" ht="15" customHeight="1" x14ac:dyDescent="0.3">
      <c r="A1959" t="s">
        <v>351</v>
      </c>
      <c r="B1959" s="1">
        <v>46203</v>
      </c>
      <c r="C1959" t="s">
        <v>64</v>
      </c>
      <c r="D1959">
        <v>1798</v>
      </c>
      <c r="E1959">
        <v>1</v>
      </c>
      <c r="F1959">
        <v>7</v>
      </c>
      <c r="G1959" t="s">
        <v>17</v>
      </c>
      <c r="H1959" t="s">
        <v>408</v>
      </c>
      <c r="I1959" t="str">
        <f t="shared" si="44"/>
        <v>1798_1</v>
      </c>
      <c r="J1959" t="s">
        <v>241</v>
      </c>
      <c r="K1959" t="s">
        <v>179</v>
      </c>
      <c r="L1959" t="str">
        <f>_xlfn.XLOOKUP(C1959, Table2[Species],Table2[Genus], "Code Not Found")</f>
        <v>Fagus</v>
      </c>
      <c r="M1959" t="str">
        <f>_xlfn.XLOOKUP(C1959, Table2[Species],Table2[Sp. Name], "Code Not Found")</f>
        <v>grandifolia</v>
      </c>
      <c r="N1959" t="str">
        <f>_xlfn.XLOOKUP(C1959,Table2[Species],Table2[Family],"Code Not Found")</f>
        <v>Fagaceae</v>
      </c>
      <c r="O1959" t="str" cm="1">
        <f t="array" ref="O1959">_xlfn.IFS(F1959="","",F1959&lt;=5,"0 to 5",F1959&lt;=10,"5.1 to 10",F1959&lt;=20,"10 to 20", F1959&lt;= 40, "20 to 40", F1959 &lt;= 50, "40 to 50", F1959 &gt; 50, "&gt;50" )</f>
        <v>5.1 to 10</v>
      </c>
    </row>
    <row r="1960" spans="1:15" ht="15" customHeight="1" x14ac:dyDescent="0.3">
      <c r="A1960" t="s">
        <v>351</v>
      </c>
      <c r="B1960" s="1">
        <v>46203</v>
      </c>
      <c r="C1960" t="s">
        <v>16</v>
      </c>
      <c r="D1960">
        <v>1799</v>
      </c>
      <c r="E1960">
        <v>1</v>
      </c>
      <c r="F1960">
        <v>1.6</v>
      </c>
      <c r="G1960" t="s">
        <v>359</v>
      </c>
      <c r="H1960" t="s">
        <v>296</v>
      </c>
      <c r="I1960" t="str">
        <f t="shared" si="44"/>
        <v>1799_1</v>
      </c>
      <c r="J1960" t="s">
        <v>241</v>
      </c>
      <c r="K1960" t="s">
        <v>179</v>
      </c>
      <c r="L1960" t="str">
        <f>_xlfn.XLOOKUP(C1960, Table2[Species],Table2[Genus], "Code Not Found")</f>
        <v>Acer</v>
      </c>
      <c r="M1960" t="str">
        <f>_xlfn.XLOOKUP(C1960, Table2[Species],Table2[Sp. Name], "Code Not Found")</f>
        <v>saccharum</v>
      </c>
      <c r="N1960" t="str">
        <f>_xlfn.XLOOKUP(C1960,Table2[Species],Table2[Family],"Code Not Found")</f>
        <v>Sapindaceae</v>
      </c>
      <c r="O1960" t="str" cm="1">
        <f t="array" ref="O1960">_xlfn.IFS(F1960="","",F1960&lt;=5,"0 to 5",F1960&lt;=10,"5.1 to 10",F1960&lt;=20,"10 to 20", F1960&lt;= 40, "20 to 40", F1960 &lt;= 50, "40 to 50", F1960 &gt; 50, "&gt;50" )</f>
        <v>0 to 5</v>
      </c>
    </row>
    <row r="1961" spans="1:15" ht="15" customHeight="1" x14ac:dyDescent="0.3">
      <c r="A1961" t="s">
        <v>351</v>
      </c>
      <c r="B1961" s="1">
        <v>46203</v>
      </c>
      <c r="C1961" t="s">
        <v>24</v>
      </c>
      <c r="D1961">
        <v>1800</v>
      </c>
      <c r="E1961">
        <v>1</v>
      </c>
      <c r="F1961">
        <v>39</v>
      </c>
      <c r="G1961" t="s">
        <v>21</v>
      </c>
      <c r="I1961" t="str">
        <f t="shared" si="44"/>
        <v>1800_1</v>
      </c>
      <c r="J1961" t="s">
        <v>241</v>
      </c>
      <c r="K1961" t="s">
        <v>179</v>
      </c>
      <c r="L1961" t="str">
        <f>_xlfn.XLOOKUP(C1961, Table2[Species],Table2[Genus], "Code Not Found")</f>
        <v>Lirodendron</v>
      </c>
      <c r="M1961" t="str">
        <f>_xlfn.XLOOKUP(C1961, Table2[Species],Table2[Sp. Name], "Code Not Found")</f>
        <v>tulipfera</v>
      </c>
      <c r="N1961" t="str">
        <f>_xlfn.XLOOKUP(C1961,Table2[Species],Table2[Family],"Code Not Found")</f>
        <v>Magnoliaceae</v>
      </c>
      <c r="O1961" t="str" cm="1">
        <f t="array" ref="O1961">_xlfn.IFS(F1961="","",F1961&lt;=5,"0 to 5",F1961&lt;=10,"5.1 to 10",F1961&lt;=20,"10 to 20", F1961&lt;= 40, "20 to 40", F1961 &lt;= 50, "40 to 50", F1961 &gt; 50, "&gt;50" )</f>
        <v>20 to 40</v>
      </c>
    </row>
    <row r="1962" spans="1:15" ht="15" customHeight="1" x14ac:dyDescent="0.3">
      <c r="A1962" t="s">
        <v>351</v>
      </c>
      <c r="B1962" s="1">
        <v>46204</v>
      </c>
      <c r="C1962" t="s">
        <v>16</v>
      </c>
      <c r="D1962">
        <v>1801</v>
      </c>
      <c r="E1962">
        <v>1</v>
      </c>
      <c r="F1962">
        <v>7.2</v>
      </c>
      <c r="G1962" t="s">
        <v>30</v>
      </c>
      <c r="H1962" t="s">
        <v>377</v>
      </c>
      <c r="I1962" t="str">
        <f t="shared" si="44"/>
        <v>1801_1</v>
      </c>
      <c r="J1962" t="s">
        <v>241</v>
      </c>
      <c r="K1962" t="s">
        <v>179</v>
      </c>
      <c r="L1962" t="str">
        <f>_xlfn.XLOOKUP(C1962, Table2[Species],Table2[Genus], "Code Not Found")</f>
        <v>Acer</v>
      </c>
      <c r="M1962" t="str">
        <f>_xlfn.XLOOKUP(C1962, Table2[Species],Table2[Sp. Name], "Code Not Found")</f>
        <v>saccharum</v>
      </c>
      <c r="N1962" t="str">
        <f>_xlfn.XLOOKUP(C1962,Table2[Species],Table2[Family],"Code Not Found")</f>
        <v>Sapindaceae</v>
      </c>
      <c r="O1962" t="str" cm="1">
        <f t="array" ref="O1962">_xlfn.IFS(F1962="","",F1962&lt;=5,"0 to 5",F1962&lt;=10,"5.1 to 10",F1962&lt;=20,"10 to 20", F1962&lt;= 40, "20 to 40", F1962 &lt;= 50, "40 to 50", F1962 &gt; 50, "&gt;50" )</f>
        <v>5.1 to 10</v>
      </c>
    </row>
    <row r="1963" spans="1:15" ht="15" customHeight="1" x14ac:dyDescent="0.3">
      <c r="A1963" t="s">
        <v>351</v>
      </c>
      <c r="B1963" s="1">
        <v>46204</v>
      </c>
      <c r="C1963" t="s">
        <v>24</v>
      </c>
      <c r="D1963">
        <v>1802</v>
      </c>
      <c r="E1963">
        <v>1</v>
      </c>
      <c r="F1963">
        <v>1.2</v>
      </c>
      <c r="G1963" t="s">
        <v>359</v>
      </c>
      <c r="I1963" t="str">
        <f t="shared" si="44"/>
        <v>1802_1</v>
      </c>
      <c r="J1963" t="s">
        <v>241</v>
      </c>
      <c r="K1963" t="s">
        <v>179</v>
      </c>
      <c r="L1963" t="str">
        <f>_xlfn.XLOOKUP(C1963, Table2[Species],Table2[Genus], "Code Not Found")</f>
        <v>Lirodendron</v>
      </c>
      <c r="M1963" t="str">
        <f>_xlfn.XLOOKUP(C1963, Table2[Species],Table2[Sp. Name], "Code Not Found")</f>
        <v>tulipfera</v>
      </c>
      <c r="N1963" t="str">
        <f>_xlfn.XLOOKUP(C1963,Table2[Species],Table2[Family],"Code Not Found")</f>
        <v>Magnoliaceae</v>
      </c>
      <c r="O1963" t="str" cm="1">
        <f t="array" ref="O1963">_xlfn.IFS(F1963="","",F1963&lt;=5,"0 to 5",F1963&lt;=10,"5.1 to 10",F1963&lt;=20,"10 to 20", F1963&lt;= 40, "20 to 40", F1963 &lt;= 50, "40 to 50", F1963 &gt; 50, "&gt;50" )</f>
        <v>0 to 5</v>
      </c>
    </row>
    <row r="1964" spans="1:15" ht="15" customHeight="1" x14ac:dyDescent="0.3">
      <c r="A1964" t="s">
        <v>351</v>
      </c>
      <c r="B1964" s="1">
        <v>46204</v>
      </c>
      <c r="C1964" t="s">
        <v>24</v>
      </c>
      <c r="D1964">
        <v>1803</v>
      </c>
      <c r="E1964">
        <v>1</v>
      </c>
      <c r="F1964">
        <v>1</v>
      </c>
      <c r="G1964" t="s">
        <v>359</v>
      </c>
      <c r="I1964" t="str">
        <f t="shared" si="44"/>
        <v>1803_1</v>
      </c>
      <c r="J1964" t="s">
        <v>241</v>
      </c>
      <c r="K1964" t="s">
        <v>179</v>
      </c>
      <c r="L1964" t="str">
        <f>_xlfn.XLOOKUP(C1964, Table2[Species],Table2[Genus], "Code Not Found")</f>
        <v>Lirodendron</v>
      </c>
      <c r="M1964" t="str">
        <f>_xlfn.XLOOKUP(C1964, Table2[Species],Table2[Sp. Name], "Code Not Found")</f>
        <v>tulipfera</v>
      </c>
      <c r="N1964" t="str">
        <f>_xlfn.XLOOKUP(C1964,Table2[Species],Table2[Family],"Code Not Found")</f>
        <v>Magnoliaceae</v>
      </c>
      <c r="O1964" t="str" cm="1">
        <f t="array" ref="O1964">_xlfn.IFS(F1964="","",F1964&lt;=5,"0 to 5",F1964&lt;=10,"5.1 to 10",F1964&lt;=20,"10 to 20", F1964&lt;= 40, "20 to 40", F1964 &lt;= 50, "40 to 50", F1964 &gt; 50, "&gt;50" )</f>
        <v>0 to 5</v>
      </c>
    </row>
    <row r="1965" spans="1:15" ht="15" customHeight="1" x14ac:dyDescent="0.3">
      <c r="A1965" t="s">
        <v>351</v>
      </c>
      <c r="B1965" s="1">
        <v>46204</v>
      </c>
      <c r="C1965" t="s">
        <v>24</v>
      </c>
      <c r="D1965">
        <v>1804</v>
      </c>
      <c r="E1965">
        <v>1</v>
      </c>
      <c r="F1965">
        <v>1.3</v>
      </c>
      <c r="G1965" t="s">
        <v>359</v>
      </c>
      <c r="I1965" t="str">
        <f t="shared" ref="I1965:I2009" si="45">D1965&amp;"_"&amp;E1965</f>
        <v>1804_1</v>
      </c>
      <c r="J1965" t="s">
        <v>241</v>
      </c>
      <c r="K1965" t="s">
        <v>179</v>
      </c>
      <c r="L1965" t="str">
        <f>_xlfn.XLOOKUP(C1965, Table2[Species],Table2[Genus], "Code Not Found")</f>
        <v>Lirodendron</v>
      </c>
      <c r="M1965" t="str">
        <f>_xlfn.XLOOKUP(C1965, Table2[Species],Table2[Sp. Name], "Code Not Found")</f>
        <v>tulipfera</v>
      </c>
      <c r="N1965" t="str">
        <f>_xlfn.XLOOKUP(C1965,Table2[Species],Table2[Family],"Code Not Found")</f>
        <v>Magnoliaceae</v>
      </c>
      <c r="O1965" t="str" cm="1">
        <f t="array" ref="O1965">_xlfn.IFS(F1965="","",F1965&lt;=5,"0 to 5",F1965&lt;=10,"5.1 to 10",F1965&lt;=20,"10 to 20", F1965&lt;= 40, "20 to 40", F1965 &lt;= 50, "40 to 50", F1965 &gt; 50, "&gt;50" )</f>
        <v>0 to 5</v>
      </c>
    </row>
    <row r="1966" spans="1:15" ht="15" customHeight="1" x14ac:dyDescent="0.3">
      <c r="A1966" t="s">
        <v>351</v>
      </c>
      <c r="B1966" s="1">
        <v>46204</v>
      </c>
      <c r="C1966" t="s">
        <v>24</v>
      </c>
      <c r="D1966">
        <v>1805</v>
      </c>
      <c r="E1966">
        <v>1</v>
      </c>
      <c r="F1966">
        <v>1.2</v>
      </c>
      <c r="G1966" t="s">
        <v>359</v>
      </c>
      <c r="I1966" t="str">
        <f t="shared" si="45"/>
        <v>1805_1</v>
      </c>
      <c r="J1966" t="s">
        <v>241</v>
      </c>
      <c r="K1966" t="s">
        <v>179</v>
      </c>
      <c r="L1966" t="str">
        <f>_xlfn.XLOOKUP(C1966, Table2[Species],Table2[Genus], "Code Not Found")</f>
        <v>Lirodendron</v>
      </c>
      <c r="M1966" t="str">
        <f>_xlfn.XLOOKUP(C1966, Table2[Species],Table2[Sp. Name], "Code Not Found")</f>
        <v>tulipfera</v>
      </c>
      <c r="N1966" t="str">
        <f>_xlfn.XLOOKUP(C1966,Table2[Species],Table2[Family],"Code Not Found")</f>
        <v>Magnoliaceae</v>
      </c>
      <c r="O1966" t="str" cm="1">
        <f t="array" ref="O1966">_xlfn.IFS(F1966="","",F1966&lt;=5,"0 to 5",F1966&lt;=10,"5.1 to 10",F1966&lt;=20,"10 to 20", F1966&lt;= 40, "20 to 40", F1966 &lt;= 50, "40 to 50", F1966 &gt; 50, "&gt;50" )</f>
        <v>0 to 5</v>
      </c>
    </row>
    <row r="1967" spans="1:15" ht="15" customHeight="1" x14ac:dyDescent="0.3">
      <c r="A1967" t="s">
        <v>351</v>
      </c>
      <c r="B1967" s="1">
        <v>46204</v>
      </c>
      <c r="C1967" t="s">
        <v>24</v>
      </c>
      <c r="D1967">
        <v>1806</v>
      </c>
      <c r="E1967">
        <v>1</v>
      </c>
      <c r="F1967">
        <v>1.1000000000000001</v>
      </c>
      <c r="G1967" t="s">
        <v>359</v>
      </c>
      <c r="I1967" t="str">
        <f t="shared" si="45"/>
        <v>1806_1</v>
      </c>
      <c r="J1967" t="s">
        <v>241</v>
      </c>
      <c r="K1967" t="s">
        <v>179</v>
      </c>
      <c r="L1967" t="str">
        <f>_xlfn.XLOOKUP(C1967, Table2[Species],Table2[Genus], "Code Not Found")</f>
        <v>Lirodendron</v>
      </c>
      <c r="M1967" t="str">
        <f>_xlfn.XLOOKUP(C1967, Table2[Species],Table2[Sp. Name], "Code Not Found")</f>
        <v>tulipfera</v>
      </c>
      <c r="N1967" t="str">
        <f>_xlfn.XLOOKUP(C1967,Table2[Species],Table2[Family],"Code Not Found")</f>
        <v>Magnoliaceae</v>
      </c>
      <c r="O1967" t="str" cm="1">
        <f t="array" ref="O1967">_xlfn.IFS(F1967="","",F1967&lt;=5,"0 to 5",F1967&lt;=10,"5.1 to 10",F1967&lt;=20,"10 to 20", F1967&lt;= 40, "20 to 40", F1967 &lt;= 50, "40 to 50", F1967 &gt; 50, "&gt;50" )</f>
        <v>0 to 5</v>
      </c>
    </row>
    <row r="1968" spans="1:15" ht="15" customHeight="1" x14ac:dyDescent="0.3">
      <c r="A1968" t="s">
        <v>351</v>
      </c>
      <c r="B1968" s="1">
        <v>46204</v>
      </c>
      <c r="C1968" t="s">
        <v>64</v>
      </c>
      <c r="D1968">
        <v>1807</v>
      </c>
      <c r="E1968">
        <v>1</v>
      </c>
      <c r="F1968">
        <v>1.5</v>
      </c>
      <c r="G1968" t="s">
        <v>47</v>
      </c>
      <c r="H1968" t="s">
        <v>410</v>
      </c>
      <c r="I1968" t="str">
        <f t="shared" si="45"/>
        <v>1807_1</v>
      </c>
      <c r="J1968" t="s">
        <v>241</v>
      </c>
      <c r="K1968" t="s">
        <v>179</v>
      </c>
      <c r="L1968" t="str">
        <f>_xlfn.XLOOKUP(C1968, Table2[Species],Table2[Genus], "Code Not Found")</f>
        <v>Fagus</v>
      </c>
      <c r="M1968" t="str">
        <f>_xlfn.XLOOKUP(C1968, Table2[Species],Table2[Sp. Name], "Code Not Found")</f>
        <v>grandifolia</v>
      </c>
      <c r="N1968" t="str">
        <f>_xlfn.XLOOKUP(C1968,Table2[Species],Table2[Family],"Code Not Found")</f>
        <v>Fagaceae</v>
      </c>
      <c r="O1968" t="str" cm="1">
        <f t="array" ref="O1968">_xlfn.IFS(F1968="","",F1968&lt;=5,"0 to 5",F1968&lt;=10,"5.1 to 10",F1968&lt;=20,"10 to 20", F1968&lt;= 40, "20 to 40", F1968 &lt;= 50, "40 to 50", F1968 &gt; 50, "&gt;50" )</f>
        <v>0 to 5</v>
      </c>
    </row>
    <row r="1969" spans="1:15" ht="15" customHeight="1" x14ac:dyDescent="0.3">
      <c r="A1969" t="s">
        <v>351</v>
      </c>
      <c r="B1969" s="1">
        <v>46204</v>
      </c>
      <c r="C1969" t="s">
        <v>24</v>
      </c>
      <c r="D1969">
        <v>1808</v>
      </c>
      <c r="E1969">
        <v>1</v>
      </c>
      <c r="F1969">
        <v>1.6</v>
      </c>
      <c r="G1969" t="s">
        <v>359</v>
      </c>
      <c r="I1969" t="str">
        <f t="shared" si="45"/>
        <v>1808_1</v>
      </c>
      <c r="J1969" t="s">
        <v>241</v>
      </c>
      <c r="K1969" t="s">
        <v>179</v>
      </c>
      <c r="L1969" t="str">
        <f>_xlfn.XLOOKUP(C1969, Table2[Species],Table2[Genus], "Code Not Found")</f>
        <v>Lirodendron</v>
      </c>
      <c r="M1969" t="str">
        <f>_xlfn.XLOOKUP(C1969, Table2[Species],Table2[Sp. Name], "Code Not Found")</f>
        <v>tulipfera</v>
      </c>
      <c r="N1969" t="str">
        <f>_xlfn.XLOOKUP(C1969,Table2[Species],Table2[Family],"Code Not Found")</f>
        <v>Magnoliaceae</v>
      </c>
      <c r="O1969" t="str" cm="1">
        <f t="array" ref="O1969">_xlfn.IFS(F1969="","",F1969&lt;=5,"0 to 5",F1969&lt;=10,"5.1 to 10",F1969&lt;=20,"10 to 20", F1969&lt;= 40, "20 to 40", F1969 &lt;= 50, "40 to 50", F1969 &gt; 50, "&gt;50" )</f>
        <v>0 to 5</v>
      </c>
    </row>
    <row r="1970" spans="1:15" ht="15" customHeight="1" x14ac:dyDescent="0.3">
      <c r="A1970" t="s">
        <v>351</v>
      </c>
      <c r="B1970" s="1">
        <v>46204</v>
      </c>
      <c r="C1970" t="s">
        <v>24</v>
      </c>
      <c r="D1970">
        <v>1809</v>
      </c>
      <c r="E1970">
        <v>1</v>
      </c>
      <c r="F1970">
        <v>1.3</v>
      </c>
      <c r="G1970" t="s">
        <v>359</v>
      </c>
      <c r="H1970" t="s">
        <v>411</v>
      </c>
      <c r="I1970" t="str">
        <f t="shared" si="45"/>
        <v>1809_1</v>
      </c>
      <c r="J1970" t="s">
        <v>241</v>
      </c>
      <c r="K1970" t="s">
        <v>179</v>
      </c>
      <c r="L1970" t="str">
        <f>_xlfn.XLOOKUP(C1970, Table2[Species],Table2[Genus], "Code Not Found")</f>
        <v>Lirodendron</v>
      </c>
      <c r="M1970" t="str">
        <f>_xlfn.XLOOKUP(C1970, Table2[Species],Table2[Sp. Name], "Code Not Found")</f>
        <v>tulipfera</v>
      </c>
      <c r="N1970" t="str">
        <f>_xlfn.XLOOKUP(C1970,Table2[Species],Table2[Family],"Code Not Found")</f>
        <v>Magnoliaceae</v>
      </c>
      <c r="O1970" t="str" cm="1">
        <f t="array" ref="O1970">_xlfn.IFS(F1970="","",F1970&lt;=5,"0 to 5",F1970&lt;=10,"5.1 to 10",F1970&lt;=20,"10 to 20", F1970&lt;= 40, "20 to 40", F1970 &lt;= 50, "40 to 50", F1970 &gt; 50, "&gt;50" )</f>
        <v>0 to 5</v>
      </c>
    </row>
    <row r="1971" spans="1:15" ht="15" customHeight="1" x14ac:dyDescent="0.3">
      <c r="A1971" t="s">
        <v>351</v>
      </c>
      <c r="B1971" s="1">
        <v>46204</v>
      </c>
      <c r="C1971" t="s">
        <v>24</v>
      </c>
      <c r="D1971">
        <v>1810</v>
      </c>
      <c r="E1971">
        <v>1</v>
      </c>
      <c r="F1971">
        <v>1</v>
      </c>
      <c r="G1971" t="s">
        <v>359</v>
      </c>
      <c r="I1971" t="str">
        <f t="shared" si="45"/>
        <v>1810_1</v>
      </c>
      <c r="J1971" t="s">
        <v>241</v>
      </c>
      <c r="K1971" t="s">
        <v>179</v>
      </c>
      <c r="L1971" t="str">
        <f>_xlfn.XLOOKUP(C1971, Table2[Species],Table2[Genus], "Code Not Found")</f>
        <v>Lirodendron</v>
      </c>
      <c r="M1971" t="str">
        <f>_xlfn.XLOOKUP(C1971, Table2[Species],Table2[Sp. Name], "Code Not Found")</f>
        <v>tulipfera</v>
      </c>
      <c r="N1971" t="str">
        <f>_xlfn.XLOOKUP(C1971,Table2[Species],Table2[Family],"Code Not Found")</f>
        <v>Magnoliaceae</v>
      </c>
      <c r="O1971" t="str" cm="1">
        <f t="array" ref="O1971">_xlfn.IFS(F1971="","",F1971&lt;=5,"0 to 5",F1971&lt;=10,"5.1 to 10",F1971&lt;=20,"10 to 20", F1971&lt;= 40, "20 to 40", F1971 &lt;= 50, "40 to 50", F1971 &gt; 50, "&gt;50" )</f>
        <v>0 to 5</v>
      </c>
    </row>
    <row r="1972" spans="1:15" ht="15" customHeight="1" x14ac:dyDescent="0.3">
      <c r="A1972" t="s">
        <v>351</v>
      </c>
      <c r="B1972" s="1">
        <v>46204</v>
      </c>
      <c r="C1972" t="s">
        <v>24</v>
      </c>
      <c r="D1972">
        <v>1811</v>
      </c>
      <c r="E1972">
        <v>1</v>
      </c>
      <c r="F1972">
        <v>1.4</v>
      </c>
      <c r="G1972" t="s">
        <v>21</v>
      </c>
      <c r="I1972" t="str">
        <f t="shared" si="45"/>
        <v>1811_1</v>
      </c>
      <c r="J1972" t="s">
        <v>241</v>
      </c>
      <c r="K1972" t="s">
        <v>179</v>
      </c>
      <c r="L1972" t="str">
        <f>_xlfn.XLOOKUP(C1972, Table2[Species],Table2[Genus], "Code Not Found")</f>
        <v>Lirodendron</v>
      </c>
      <c r="M1972" t="str">
        <f>_xlfn.XLOOKUP(C1972, Table2[Species],Table2[Sp. Name], "Code Not Found")</f>
        <v>tulipfera</v>
      </c>
      <c r="N1972" t="str">
        <f>_xlfn.XLOOKUP(C1972,Table2[Species],Table2[Family],"Code Not Found")</f>
        <v>Magnoliaceae</v>
      </c>
      <c r="O1972" t="str" cm="1">
        <f t="array" ref="O1972">_xlfn.IFS(F1972="","",F1972&lt;=5,"0 to 5",F1972&lt;=10,"5.1 to 10",F1972&lt;=20,"10 to 20", F1972&lt;= 40, "20 to 40", F1972 &lt;= 50, "40 to 50", F1972 &gt; 50, "&gt;50" )</f>
        <v>0 to 5</v>
      </c>
    </row>
    <row r="1973" spans="1:15" ht="15" customHeight="1" x14ac:dyDescent="0.3">
      <c r="A1973" t="s">
        <v>351</v>
      </c>
      <c r="B1973" s="1">
        <v>46204</v>
      </c>
      <c r="C1973" t="s">
        <v>24</v>
      </c>
      <c r="D1973">
        <v>1812</v>
      </c>
      <c r="E1973">
        <v>1</v>
      </c>
      <c r="F1973">
        <v>1.2</v>
      </c>
      <c r="G1973" t="s">
        <v>368</v>
      </c>
      <c r="I1973" t="str">
        <f t="shared" si="45"/>
        <v>1812_1</v>
      </c>
      <c r="J1973" t="s">
        <v>241</v>
      </c>
      <c r="K1973" t="s">
        <v>179</v>
      </c>
      <c r="L1973" t="str">
        <f>_xlfn.XLOOKUP(C1973, Table2[Species],Table2[Genus], "Code Not Found")</f>
        <v>Lirodendron</v>
      </c>
      <c r="M1973" t="str">
        <f>_xlfn.XLOOKUP(C1973, Table2[Species],Table2[Sp. Name], "Code Not Found")</f>
        <v>tulipfera</v>
      </c>
      <c r="N1973" t="str">
        <f>_xlfn.XLOOKUP(C1973,Table2[Species],Table2[Family],"Code Not Found")</f>
        <v>Magnoliaceae</v>
      </c>
      <c r="O1973" t="str" cm="1">
        <f t="array" ref="O1973">_xlfn.IFS(F1973="","",F1973&lt;=5,"0 to 5",F1973&lt;=10,"5.1 to 10",F1973&lt;=20,"10 to 20", F1973&lt;= 40, "20 to 40", F1973 &lt;= 50, "40 to 50", F1973 &gt; 50, "&gt;50" )</f>
        <v>0 to 5</v>
      </c>
    </row>
    <row r="1974" spans="1:15" ht="15" customHeight="1" x14ac:dyDescent="0.3">
      <c r="A1974" t="s">
        <v>351</v>
      </c>
      <c r="B1974" s="1">
        <v>46204</v>
      </c>
      <c r="C1974" t="s">
        <v>24</v>
      </c>
      <c r="D1974">
        <v>1813</v>
      </c>
      <c r="E1974">
        <v>1</v>
      </c>
      <c r="F1974">
        <v>1.2</v>
      </c>
      <c r="G1974" t="s">
        <v>21</v>
      </c>
      <c r="I1974" t="str">
        <f t="shared" si="45"/>
        <v>1813_1</v>
      </c>
      <c r="J1974" t="s">
        <v>241</v>
      </c>
      <c r="K1974" t="s">
        <v>179</v>
      </c>
      <c r="L1974" t="str">
        <f>_xlfn.XLOOKUP(C1974, Table2[Species],Table2[Genus], "Code Not Found")</f>
        <v>Lirodendron</v>
      </c>
      <c r="M1974" t="str">
        <f>_xlfn.XLOOKUP(C1974, Table2[Species],Table2[Sp. Name], "Code Not Found")</f>
        <v>tulipfera</v>
      </c>
      <c r="N1974" t="str">
        <f>_xlfn.XLOOKUP(C1974,Table2[Species],Table2[Family],"Code Not Found")</f>
        <v>Magnoliaceae</v>
      </c>
      <c r="O1974" t="str" cm="1">
        <f t="array" ref="O1974">_xlfn.IFS(F1974="","",F1974&lt;=5,"0 to 5",F1974&lt;=10,"5.1 to 10",F1974&lt;=20,"10 to 20", F1974&lt;= 40, "20 to 40", F1974 &lt;= 50, "40 to 50", F1974 &gt; 50, "&gt;50" )</f>
        <v>0 to 5</v>
      </c>
    </row>
    <row r="1975" spans="1:15" ht="15" customHeight="1" x14ac:dyDescent="0.3">
      <c r="A1975" t="s">
        <v>351</v>
      </c>
      <c r="B1975" s="1">
        <v>46204</v>
      </c>
      <c r="C1975" t="s">
        <v>24</v>
      </c>
      <c r="D1975">
        <v>1814</v>
      </c>
      <c r="E1975">
        <v>1</v>
      </c>
      <c r="F1975">
        <v>1.2</v>
      </c>
      <c r="G1975" t="s">
        <v>30</v>
      </c>
      <c r="H1975" t="s">
        <v>377</v>
      </c>
      <c r="I1975" t="str">
        <f t="shared" si="45"/>
        <v>1814_1</v>
      </c>
      <c r="J1975" t="s">
        <v>241</v>
      </c>
      <c r="K1975" t="s">
        <v>179</v>
      </c>
      <c r="L1975" t="str">
        <f>_xlfn.XLOOKUP(C1975, Table2[Species],Table2[Genus], "Code Not Found")</f>
        <v>Lirodendron</v>
      </c>
      <c r="M1975" t="str">
        <f>_xlfn.XLOOKUP(C1975, Table2[Species],Table2[Sp. Name], "Code Not Found")</f>
        <v>tulipfera</v>
      </c>
      <c r="N1975" t="str">
        <f>_xlfn.XLOOKUP(C1975,Table2[Species],Table2[Family],"Code Not Found")</f>
        <v>Magnoliaceae</v>
      </c>
      <c r="O1975" t="str" cm="1">
        <f t="array" ref="O1975">_xlfn.IFS(F1975="","",F1975&lt;=5,"0 to 5",F1975&lt;=10,"5.1 to 10",F1975&lt;=20,"10 to 20", F1975&lt;= 40, "20 to 40", F1975 &lt;= 50, "40 to 50", F1975 &gt; 50, "&gt;50" )</f>
        <v>0 to 5</v>
      </c>
    </row>
    <row r="1976" spans="1:15" ht="15" customHeight="1" x14ac:dyDescent="0.3">
      <c r="A1976" t="s">
        <v>351</v>
      </c>
      <c r="B1976" s="1">
        <v>46204</v>
      </c>
      <c r="C1976" t="s">
        <v>24</v>
      </c>
      <c r="D1976">
        <v>1815</v>
      </c>
      <c r="E1976">
        <v>1</v>
      </c>
      <c r="F1976">
        <v>1.2</v>
      </c>
      <c r="G1976" t="s">
        <v>21</v>
      </c>
      <c r="I1976" t="str">
        <f t="shared" si="45"/>
        <v>1815_1</v>
      </c>
      <c r="J1976" t="s">
        <v>241</v>
      </c>
      <c r="K1976" t="s">
        <v>179</v>
      </c>
      <c r="L1976" t="str">
        <f>_xlfn.XLOOKUP(C1976, Table2[Species],Table2[Genus], "Code Not Found")</f>
        <v>Lirodendron</v>
      </c>
      <c r="M1976" t="str">
        <f>_xlfn.XLOOKUP(C1976, Table2[Species],Table2[Sp. Name], "Code Not Found")</f>
        <v>tulipfera</v>
      </c>
      <c r="N1976" t="str">
        <f>_xlfn.XLOOKUP(C1976,Table2[Species],Table2[Family],"Code Not Found")</f>
        <v>Magnoliaceae</v>
      </c>
      <c r="O1976" t="str" cm="1">
        <f t="array" ref="O1976">_xlfn.IFS(F1976="","",F1976&lt;=5,"0 to 5",F1976&lt;=10,"5.1 to 10",F1976&lt;=20,"10 to 20", F1976&lt;= 40, "20 to 40", F1976 &lt;= 50, "40 to 50", F1976 &gt; 50, "&gt;50" )</f>
        <v>0 to 5</v>
      </c>
    </row>
    <row r="1977" spans="1:15" ht="15" customHeight="1" x14ac:dyDescent="0.3">
      <c r="A1977" t="s">
        <v>351</v>
      </c>
      <c r="B1977" s="1">
        <v>46204</v>
      </c>
      <c r="C1977" t="s">
        <v>24</v>
      </c>
      <c r="D1977">
        <v>1816</v>
      </c>
      <c r="E1977">
        <v>1</v>
      </c>
      <c r="F1977">
        <v>1.3</v>
      </c>
      <c r="G1977" t="s">
        <v>412</v>
      </c>
      <c r="H1977" t="s">
        <v>372</v>
      </c>
      <c r="I1977" t="str">
        <f t="shared" si="45"/>
        <v>1816_1</v>
      </c>
      <c r="J1977" t="s">
        <v>241</v>
      </c>
      <c r="K1977" t="s">
        <v>179</v>
      </c>
      <c r="L1977" t="str">
        <f>_xlfn.XLOOKUP(C1977, Table2[Species],Table2[Genus], "Code Not Found")</f>
        <v>Lirodendron</v>
      </c>
      <c r="M1977" t="str">
        <f>_xlfn.XLOOKUP(C1977, Table2[Species],Table2[Sp. Name], "Code Not Found")</f>
        <v>tulipfera</v>
      </c>
      <c r="N1977" t="str">
        <f>_xlfn.XLOOKUP(C1977,Table2[Species],Table2[Family],"Code Not Found")</f>
        <v>Magnoliaceae</v>
      </c>
      <c r="O1977" t="str" cm="1">
        <f t="array" ref="O1977">_xlfn.IFS(F1977="","",F1977&lt;=5,"0 to 5",F1977&lt;=10,"5.1 to 10",F1977&lt;=20,"10 to 20", F1977&lt;= 40, "20 to 40", F1977 &lt;= 50, "40 to 50", F1977 &gt; 50, "&gt;50" )</f>
        <v>0 to 5</v>
      </c>
    </row>
    <row r="1978" spans="1:15" ht="15" customHeight="1" x14ac:dyDescent="0.3">
      <c r="A1978" t="s">
        <v>351</v>
      </c>
      <c r="B1978" s="1">
        <v>46204</v>
      </c>
      <c r="C1978" t="s">
        <v>64</v>
      </c>
      <c r="D1978">
        <v>1817</v>
      </c>
      <c r="E1978">
        <v>1</v>
      </c>
      <c r="F1978">
        <v>2.4</v>
      </c>
      <c r="G1978" t="s">
        <v>413</v>
      </c>
      <c r="H1978" t="s">
        <v>414</v>
      </c>
      <c r="I1978" t="str">
        <f t="shared" si="45"/>
        <v>1817_1</v>
      </c>
      <c r="J1978" t="s">
        <v>241</v>
      </c>
      <c r="K1978" t="s">
        <v>179</v>
      </c>
      <c r="L1978" t="str">
        <f>_xlfn.XLOOKUP(C1978, Table2[Species],Table2[Genus], "Code Not Found")</f>
        <v>Fagus</v>
      </c>
      <c r="M1978" t="str">
        <f>_xlfn.XLOOKUP(C1978, Table2[Species],Table2[Sp. Name], "Code Not Found")</f>
        <v>grandifolia</v>
      </c>
      <c r="N1978" t="str">
        <f>_xlfn.XLOOKUP(C1978,Table2[Species],Table2[Family],"Code Not Found")</f>
        <v>Fagaceae</v>
      </c>
      <c r="O1978" t="str" cm="1">
        <f t="array" ref="O1978">_xlfn.IFS(F1978="","",F1978&lt;=5,"0 to 5",F1978&lt;=10,"5.1 to 10",F1978&lt;=20,"10 to 20", F1978&lt;= 40, "20 to 40", F1978 &lt;= 50, "40 to 50", F1978 &gt; 50, "&gt;50" )</f>
        <v>0 to 5</v>
      </c>
    </row>
    <row r="1979" spans="1:15" ht="15" customHeight="1" x14ac:dyDescent="0.3">
      <c r="A1979" t="s">
        <v>351</v>
      </c>
      <c r="B1979" s="1">
        <v>46204</v>
      </c>
      <c r="C1979" t="s">
        <v>24</v>
      </c>
      <c r="D1979">
        <v>1818</v>
      </c>
      <c r="E1979">
        <v>1</v>
      </c>
      <c r="F1979">
        <v>1.2</v>
      </c>
      <c r="G1979" t="s">
        <v>413</v>
      </c>
      <c r="I1979" t="str">
        <f t="shared" si="45"/>
        <v>1818_1</v>
      </c>
      <c r="J1979" t="s">
        <v>241</v>
      </c>
      <c r="K1979" t="s">
        <v>179</v>
      </c>
      <c r="L1979" t="str">
        <f>_xlfn.XLOOKUP(C1979, Table2[Species],Table2[Genus], "Code Not Found")</f>
        <v>Lirodendron</v>
      </c>
      <c r="M1979" t="str">
        <f>_xlfn.XLOOKUP(C1979, Table2[Species],Table2[Sp. Name], "Code Not Found")</f>
        <v>tulipfera</v>
      </c>
      <c r="N1979" t="str">
        <f>_xlfn.XLOOKUP(C1979,Table2[Species],Table2[Family],"Code Not Found")</f>
        <v>Magnoliaceae</v>
      </c>
      <c r="O1979" t="str" cm="1">
        <f t="array" ref="O1979">_xlfn.IFS(F1979="","",F1979&lt;=5,"0 to 5",F1979&lt;=10,"5.1 to 10",F1979&lt;=20,"10 to 20", F1979&lt;= 40, "20 to 40", F1979 &lt;= 50, "40 to 50", F1979 &gt; 50, "&gt;50" )</f>
        <v>0 to 5</v>
      </c>
    </row>
    <row r="1980" spans="1:15" ht="15" customHeight="1" x14ac:dyDescent="0.3">
      <c r="A1980" t="s">
        <v>351</v>
      </c>
      <c r="B1980" s="1">
        <v>46204</v>
      </c>
      <c r="C1980" t="s">
        <v>24</v>
      </c>
      <c r="D1980">
        <v>1819</v>
      </c>
      <c r="E1980">
        <v>1</v>
      </c>
      <c r="F1980">
        <v>1.3</v>
      </c>
      <c r="G1980" t="s">
        <v>359</v>
      </c>
      <c r="I1980" t="str">
        <f t="shared" si="45"/>
        <v>1819_1</v>
      </c>
      <c r="J1980" t="s">
        <v>241</v>
      </c>
      <c r="K1980" t="s">
        <v>179</v>
      </c>
      <c r="L1980" t="str">
        <f>_xlfn.XLOOKUP(C1980, Table2[Species],Table2[Genus], "Code Not Found")</f>
        <v>Lirodendron</v>
      </c>
      <c r="M1980" t="str">
        <f>_xlfn.XLOOKUP(C1980, Table2[Species],Table2[Sp. Name], "Code Not Found")</f>
        <v>tulipfera</v>
      </c>
      <c r="N1980" t="str">
        <f>_xlfn.XLOOKUP(C1980,Table2[Species],Table2[Family],"Code Not Found")</f>
        <v>Magnoliaceae</v>
      </c>
      <c r="O1980" t="str" cm="1">
        <f t="array" ref="O1980">_xlfn.IFS(F1980="","",F1980&lt;=5,"0 to 5",F1980&lt;=10,"5.1 to 10",F1980&lt;=20,"10 to 20", F1980&lt;= 40, "20 to 40", F1980 &lt;= 50, "40 to 50", F1980 &gt; 50, "&gt;50" )</f>
        <v>0 to 5</v>
      </c>
    </row>
    <row r="1981" spans="1:15" ht="15" customHeight="1" x14ac:dyDescent="0.3">
      <c r="A1981" t="s">
        <v>351</v>
      </c>
      <c r="B1981" s="1">
        <v>46204</v>
      </c>
      <c r="C1981" t="s">
        <v>415</v>
      </c>
      <c r="D1981">
        <v>1820</v>
      </c>
      <c r="E1981">
        <v>1</v>
      </c>
      <c r="F1981">
        <v>1.1000000000000001</v>
      </c>
      <c r="G1981" t="s">
        <v>416</v>
      </c>
      <c r="H1981" t="s">
        <v>296</v>
      </c>
      <c r="I1981" t="str">
        <f t="shared" si="45"/>
        <v>1820_1</v>
      </c>
      <c r="J1981" t="s">
        <v>241</v>
      </c>
      <c r="K1981" t="s">
        <v>179</v>
      </c>
      <c r="L1981" t="str">
        <f>_xlfn.XLOOKUP(C1981, Table2[Species],Table2[Genus], "Code Not Found")</f>
        <v>Fraxinus</v>
      </c>
      <c r="M1981" t="str">
        <f>_xlfn.XLOOKUP(C1981, Table2[Species],Table2[Sp. Name], "Code Not Found")</f>
        <v>pennsylvanica</v>
      </c>
      <c r="N1981" t="str">
        <f>_xlfn.XLOOKUP(C1981,Table2[Species],Table2[Family],"Code Not Found")</f>
        <v>Oleaceae</v>
      </c>
      <c r="O1981" t="str" cm="1">
        <f t="array" ref="O1981">_xlfn.IFS(F1981="","",F1981&lt;=5,"0 to 5",F1981&lt;=10,"5.1 to 10",F1981&lt;=20,"10 to 20", F1981&lt;= 40, "20 to 40", F1981 &lt;= 50, "40 to 50", F1981 &gt; 50, "&gt;50" )</f>
        <v>0 to 5</v>
      </c>
    </row>
    <row r="1982" spans="1:15" ht="15" customHeight="1" x14ac:dyDescent="0.3">
      <c r="A1982" t="s">
        <v>351</v>
      </c>
      <c r="B1982" s="1">
        <v>46204</v>
      </c>
      <c r="C1982" t="s">
        <v>16</v>
      </c>
      <c r="D1982">
        <v>1821</v>
      </c>
      <c r="E1982">
        <v>1</v>
      </c>
      <c r="F1982">
        <v>6.1</v>
      </c>
      <c r="G1982" t="s">
        <v>417</v>
      </c>
      <c r="H1982" t="s">
        <v>418</v>
      </c>
      <c r="I1982" t="str">
        <f t="shared" si="45"/>
        <v>1821_1</v>
      </c>
      <c r="J1982" t="s">
        <v>241</v>
      </c>
      <c r="K1982" t="s">
        <v>179</v>
      </c>
      <c r="L1982" t="str">
        <f>_xlfn.XLOOKUP(C1982, Table2[Species],Table2[Genus], "Code Not Found")</f>
        <v>Acer</v>
      </c>
      <c r="M1982" t="str">
        <f>_xlfn.XLOOKUP(C1982, Table2[Species],Table2[Sp. Name], "Code Not Found")</f>
        <v>saccharum</v>
      </c>
      <c r="N1982" t="str">
        <f>_xlfn.XLOOKUP(C1982,Table2[Species],Table2[Family],"Code Not Found")</f>
        <v>Sapindaceae</v>
      </c>
      <c r="O1982" t="str" cm="1">
        <f t="array" ref="O1982">_xlfn.IFS(F1982="","",F1982&lt;=5,"0 to 5",F1982&lt;=10,"5.1 to 10",F1982&lt;=20,"10 to 20", F1982&lt;= 40, "20 to 40", F1982 &lt;= 50, "40 to 50", F1982 &gt; 50, "&gt;50" )</f>
        <v>5.1 to 10</v>
      </c>
    </row>
    <row r="1983" spans="1:15" ht="15" customHeight="1" x14ac:dyDescent="0.3">
      <c r="A1983" t="s">
        <v>351</v>
      </c>
      <c r="B1983" s="1">
        <v>46204</v>
      </c>
      <c r="C1983" t="s">
        <v>16</v>
      </c>
      <c r="D1983">
        <v>1822</v>
      </c>
      <c r="E1983">
        <v>1</v>
      </c>
      <c r="F1983">
        <v>10.7</v>
      </c>
      <c r="G1983" t="s">
        <v>17</v>
      </c>
      <c r="I1983" t="str">
        <f t="shared" si="45"/>
        <v>1822_1</v>
      </c>
      <c r="J1983" t="s">
        <v>241</v>
      </c>
      <c r="K1983" t="s">
        <v>179</v>
      </c>
      <c r="L1983" t="str">
        <f>_xlfn.XLOOKUP(C1983, Table2[Species],Table2[Genus], "Code Not Found")</f>
        <v>Acer</v>
      </c>
      <c r="M1983" t="str">
        <f>_xlfn.XLOOKUP(C1983, Table2[Species],Table2[Sp. Name], "Code Not Found")</f>
        <v>saccharum</v>
      </c>
      <c r="N1983" t="str">
        <f>_xlfn.XLOOKUP(C1983,Table2[Species],Table2[Family],"Code Not Found")</f>
        <v>Sapindaceae</v>
      </c>
      <c r="O1983" t="str" cm="1">
        <f t="array" ref="O1983">_xlfn.IFS(F1983="","",F1983&lt;=5,"0 to 5",F1983&lt;=10,"5.1 to 10",F1983&lt;=20,"10 to 20", F1983&lt;= 40, "20 to 40", F1983 &lt;= 50, "40 to 50", F1983 &gt; 50, "&gt;50" )</f>
        <v>10 to 20</v>
      </c>
    </row>
    <row r="1984" spans="1:15" ht="15" customHeight="1" x14ac:dyDescent="0.3">
      <c r="A1984" t="s">
        <v>351</v>
      </c>
      <c r="B1984" s="1">
        <v>46204</v>
      </c>
      <c r="C1984" t="s">
        <v>16</v>
      </c>
      <c r="D1984">
        <v>1823</v>
      </c>
      <c r="E1984">
        <v>1</v>
      </c>
      <c r="F1984">
        <v>9.9</v>
      </c>
      <c r="G1984" t="s">
        <v>47</v>
      </c>
      <c r="H1984" t="s">
        <v>347</v>
      </c>
      <c r="I1984" t="str">
        <f t="shared" si="45"/>
        <v>1823_1</v>
      </c>
      <c r="J1984" t="s">
        <v>241</v>
      </c>
      <c r="K1984" t="s">
        <v>179</v>
      </c>
      <c r="L1984" t="str">
        <f>_xlfn.XLOOKUP(C1984, Table2[Species],Table2[Genus], "Code Not Found")</f>
        <v>Acer</v>
      </c>
      <c r="M1984" t="str">
        <f>_xlfn.XLOOKUP(C1984, Table2[Species],Table2[Sp. Name], "Code Not Found")</f>
        <v>saccharum</v>
      </c>
      <c r="N1984" t="str">
        <f>_xlfn.XLOOKUP(C1984,Table2[Species],Table2[Family],"Code Not Found")</f>
        <v>Sapindaceae</v>
      </c>
      <c r="O1984" t="str" cm="1">
        <f t="array" ref="O1984">_xlfn.IFS(F1984="","",F1984&lt;=5,"0 to 5",F1984&lt;=10,"5.1 to 10",F1984&lt;=20,"10 to 20", F1984&lt;= 40, "20 to 40", F1984 &lt;= 50, "40 to 50", F1984 &gt; 50, "&gt;50" )</f>
        <v>5.1 to 10</v>
      </c>
    </row>
    <row r="1985" spans="1:15" ht="15" customHeight="1" x14ac:dyDescent="0.3">
      <c r="A1985" t="s">
        <v>351</v>
      </c>
      <c r="B1985" s="1">
        <v>46204</v>
      </c>
      <c r="C1985" t="s">
        <v>64</v>
      </c>
      <c r="D1985">
        <v>1824</v>
      </c>
      <c r="E1985">
        <v>1</v>
      </c>
      <c r="F1985">
        <v>6.3</v>
      </c>
      <c r="G1985" t="s">
        <v>17</v>
      </c>
      <c r="I1985" t="str">
        <f t="shared" si="45"/>
        <v>1824_1</v>
      </c>
      <c r="J1985" t="s">
        <v>241</v>
      </c>
      <c r="K1985" t="s">
        <v>179</v>
      </c>
      <c r="L1985" t="str">
        <f>_xlfn.XLOOKUP(C1985, Table2[Species],Table2[Genus], "Code Not Found")</f>
        <v>Fagus</v>
      </c>
      <c r="M1985" t="str">
        <f>_xlfn.XLOOKUP(C1985, Table2[Species],Table2[Sp. Name], "Code Not Found")</f>
        <v>grandifolia</v>
      </c>
      <c r="N1985" t="str">
        <f>_xlfn.XLOOKUP(C1985,Table2[Species],Table2[Family],"Code Not Found")</f>
        <v>Fagaceae</v>
      </c>
      <c r="O1985" t="str" cm="1">
        <f t="array" ref="O1985">_xlfn.IFS(F1985="","",F1985&lt;=5,"0 to 5",F1985&lt;=10,"5.1 to 10",F1985&lt;=20,"10 to 20", F1985&lt;= 40, "20 to 40", F1985 &lt;= 50, "40 to 50", F1985 &gt; 50, "&gt;50" )</f>
        <v>5.1 to 10</v>
      </c>
    </row>
    <row r="1986" spans="1:15" ht="15" customHeight="1" x14ac:dyDescent="0.3">
      <c r="A1986" t="s">
        <v>351</v>
      </c>
      <c r="B1986" s="1">
        <v>46204</v>
      </c>
      <c r="C1986" t="s">
        <v>16</v>
      </c>
      <c r="D1986">
        <v>1825</v>
      </c>
      <c r="E1986">
        <v>1</v>
      </c>
      <c r="F1986">
        <v>10.4</v>
      </c>
      <c r="G1986" t="s">
        <v>21</v>
      </c>
      <c r="I1986" t="str">
        <f t="shared" si="45"/>
        <v>1825_1</v>
      </c>
      <c r="J1986" t="s">
        <v>241</v>
      </c>
      <c r="K1986" t="s">
        <v>179</v>
      </c>
      <c r="L1986" t="str">
        <f>_xlfn.XLOOKUP(C1986, Table2[Species],Table2[Genus], "Code Not Found")</f>
        <v>Acer</v>
      </c>
      <c r="M1986" t="str">
        <f>_xlfn.XLOOKUP(C1986, Table2[Species],Table2[Sp. Name], "Code Not Found")</f>
        <v>saccharum</v>
      </c>
      <c r="N1986" t="str">
        <f>_xlfn.XLOOKUP(C1986,Table2[Species],Table2[Family],"Code Not Found")</f>
        <v>Sapindaceae</v>
      </c>
      <c r="O1986" t="str" cm="1">
        <f t="array" ref="O1986">_xlfn.IFS(F1986="","",F1986&lt;=5,"0 to 5",F1986&lt;=10,"5.1 to 10",F1986&lt;=20,"10 to 20", F1986&lt;= 40, "20 to 40", F1986 &lt;= 50, "40 to 50", F1986 &gt; 50, "&gt;50" )</f>
        <v>10 to 20</v>
      </c>
    </row>
    <row r="1987" spans="1:15" ht="15" customHeight="1" x14ac:dyDescent="0.3">
      <c r="A1987" t="s">
        <v>351</v>
      </c>
      <c r="B1987" s="1">
        <v>46204</v>
      </c>
      <c r="C1987" t="s">
        <v>64</v>
      </c>
      <c r="D1987">
        <v>1826</v>
      </c>
      <c r="E1987">
        <v>1</v>
      </c>
      <c r="F1987">
        <v>7.9</v>
      </c>
      <c r="G1987" t="s">
        <v>17</v>
      </c>
      <c r="I1987" t="str">
        <f t="shared" si="45"/>
        <v>1826_1</v>
      </c>
      <c r="J1987" t="s">
        <v>241</v>
      </c>
      <c r="K1987" t="s">
        <v>179</v>
      </c>
      <c r="L1987" t="str">
        <f>_xlfn.XLOOKUP(C1987, Table2[Species],Table2[Genus], "Code Not Found")</f>
        <v>Fagus</v>
      </c>
      <c r="M1987" t="str">
        <f>_xlfn.XLOOKUP(C1987, Table2[Species],Table2[Sp. Name], "Code Not Found")</f>
        <v>grandifolia</v>
      </c>
      <c r="N1987" t="str">
        <f>_xlfn.XLOOKUP(C1987,Table2[Species],Table2[Family],"Code Not Found")</f>
        <v>Fagaceae</v>
      </c>
      <c r="O1987" t="str" cm="1">
        <f t="array" ref="O1987">_xlfn.IFS(F1987="","",F1987&lt;=5,"0 to 5",F1987&lt;=10,"5.1 to 10",F1987&lt;=20,"10 to 20", F1987&lt;= 40, "20 to 40", F1987 &lt;= 50, "40 to 50", F1987 &gt; 50, "&gt;50" )</f>
        <v>5.1 to 10</v>
      </c>
    </row>
    <row r="1988" spans="1:15" ht="15" customHeight="1" x14ac:dyDescent="0.3">
      <c r="A1988" t="s">
        <v>351</v>
      </c>
      <c r="B1988" s="1">
        <v>46204</v>
      </c>
      <c r="C1988" t="s">
        <v>24</v>
      </c>
      <c r="D1988">
        <v>1827</v>
      </c>
      <c r="E1988">
        <v>1</v>
      </c>
      <c r="F1988">
        <v>1.8</v>
      </c>
      <c r="G1988" t="s">
        <v>416</v>
      </c>
      <c r="H1988" t="s">
        <v>419</v>
      </c>
      <c r="I1988" t="str">
        <f t="shared" si="45"/>
        <v>1827_1</v>
      </c>
      <c r="J1988" t="s">
        <v>241</v>
      </c>
      <c r="K1988" t="s">
        <v>179</v>
      </c>
      <c r="L1988" t="str">
        <f>_xlfn.XLOOKUP(C1988, Table2[Species],Table2[Genus], "Code Not Found")</f>
        <v>Lirodendron</v>
      </c>
      <c r="M1988" t="str">
        <f>_xlfn.XLOOKUP(C1988, Table2[Species],Table2[Sp. Name], "Code Not Found")</f>
        <v>tulipfera</v>
      </c>
      <c r="N1988" t="str">
        <f>_xlfn.XLOOKUP(C1988,Table2[Species],Table2[Family],"Code Not Found")</f>
        <v>Magnoliaceae</v>
      </c>
      <c r="O1988" t="str" cm="1">
        <f t="array" ref="O1988">_xlfn.IFS(F1988="","",F1988&lt;=5,"0 to 5",F1988&lt;=10,"5.1 to 10",F1988&lt;=20,"10 to 20", F1988&lt;= 40, "20 to 40", F1988 &lt;= 50, "40 to 50", F1988 &gt; 50, "&gt;50" )</f>
        <v>0 to 5</v>
      </c>
    </row>
    <row r="1989" spans="1:15" ht="15" customHeight="1" x14ac:dyDescent="0.3">
      <c r="A1989" t="s">
        <v>351</v>
      </c>
      <c r="B1989" s="1">
        <v>46204</v>
      </c>
      <c r="C1989" t="s">
        <v>24</v>
      </c>
      <c r="D1989">
        <v>1828</v>
      </c>
      <c r="E1989">
        <v>1</v>
      </c>
      <c r="F1989">
        <v>1.3</v>
      </c>
      <c r="G1989" t="s">
        <v>359</v>
      </c>
      <c r="I1989" t="str">
        <f t="shared" si="45"/>
        <v>1828_1</v>
      </c>
      <c r="J1989" t="s">
        <v>241</v>
      </c>
      <c r="K1989" t="s">
        <v>179</v>
      </c>
      <c r="L1989" t="str">
        <f>_xlfn.XLOOKUP(C1989, Table2[Species],Table2[Genus], "Code Not Found")</f>
        <v>Lirodendron</v>
      </c>
      <c r="M1989" t="str">
        <f>_xlfn.XLOOKUP(C1989, Table2[Species],Table2[Sp. Name], "Code Not Found")</f>
        <v>tulipfera</v>
      </c>
      <c r="N1989" t="str">
        <f>_xlfn.XLOOKUP(C1989,Table2[Species],Table2[Family],"Code Not Found")</f>
        <v>Magnoliaceae</v>
      </c>
      <c r="O1989" t="str" cm="1">
        <f t="array" ref="O1989">_xlfn.IFS(F1989="","",F1989&lt;=5,"0 to 5",F1989&lt;=10,"5.1 to 10",F1989&lt;=20,"10 to 20", F1989&lt;= 40, "20 to 40", F1989 &lt;= 50, "40 to 50", F1989 &gt; 50, "&gt;50" )</f>
        <v>0 to 5</v>
      </c>
    </row>
    <row r="1990" spans="1:15" ht="15" customHeight="1" x14ac:dyDescent="0.3">
      <c r="A1990" t="s">
        <v>351</v>
      </c>
      <c r="B1990" s="1">
        <v>46204</v>
      </c>
      <c r="C1990" t="s">
        <v>24</v>
      </c>
      <c r="D1990">
        <v>1829</v>
      </c>
      <c r="E1990">
        <v>1</v>
      </c>
      <c r="F1990">
        <v>1.2</v>
      </c>
      <c r="G1990" t="s">
        <v>416</v>
      </c>
      <c r="H1990" t="s">
        <v>296</v>
      </c>
      <c r="I1990" t="str">
        <f t="shared" si="45"/>
        <v>1829_1</v>
      </c>
      <c r="J1990" t="s">
        <v>241</v>
      </c>
      <c r="K1990" t="s">
        <v>179</v>
      </c>
      <c r="L1990" t="str">
        <f>_xlfn.XLOOKUP(C1990, Table2[Species],Table2[Genus], "Code Not Found")</f>
        <v>Lirodendron</v>
      </c>
      <c r="M1990" t="str">
        <f>_xlfn.XLOOKUP(C1990, Table2[Species],Table2[Sp. Name], "Code Not Found")</f>
        <v>tulipfera</v>
      </c>
      <c r="N1990" t="str">
        <f>_xlfn.XLOOKUP(C1990,Table2[Species],Table2[Family],"Code Not Found")</f>
        <v>Magnoliaceae</v>
      </c>
      <c r="O1990" t="str" cm="1">
        <f t="array" ref="O1990">_xlfn.IFS(F1990="","",F1990&lt;=5,"0 to 5",F1990&lt;=10,"5.1 to 10",F1990&lt;=20,"10 to 20", F1990&lt;= 40, "20 to 40", F1990 &lt;= 50, "40 to 50", F1990 &gt; 50, "&gt;50" )</f>
        <v>0 to 5</v>
      </c>
    </row>
    <row r="1991" spans="1:15" ht="15" customHeight="1" x14ac:dyDescent="0.3">
      <c r="A1991" t="s">
        <v>351</v>
      </c>
      <c r="B1991" s="1">
        <v>46204</v>
      </c>
      <c r="C1991" t="s">
        <v>24</v>
      </c>
      <c r="D1991">
        <v>1830</v>
      </c>
      <c r="E1991">
        <v>1</v>
      </c>
      <c r="F1991">
        <v>1.5</v>
      </c>
      <c r="G1991" t="s">
        <v>412</v>
      </c>
      <c r="H1991" t="s">
        <v>377</v>
      </c>
      <c r="I1991" t="str">
        <f t="shared" si="45"/>
        <v>1830_1</v>
      </c>
      <c r="J1991" t="s">
        <v>241</v>
      </c>
      <c r="K1991" t="s">
        <v>179</v>
      </c>
      <c r="L1991" t="str">
        <f>_xlfn.XLOOKUP(C1991, Table2[Species],Table2[Genus], "Code Not Found")</f>
        <v>Lirodendron</v>
      </c>
      <c r="M1991" t="str">
        <f>_xlfn.XLOOKUP(C1991, Table2[Species],Table2[Sp. Name], "Code Not Found")</f>
        <v>tulipfera</v>
      </c>
      <c r="N1991" t="str">
        <f>_xlfn.XLOOKUP(C1991,Table2[Species],Table2[Family],"Code Not Found")</f>
        <v>Magnoliaceae</v>
      </c>
      <c r="O1991" t="str" cm="1">
        <f t="array" ref="O1991">_xlfn.IFS(F1991="","",F1991&lt;=5,"0 to 5",F1991&lt;=10,"5.1 to 10",F1991&lt;=20,"10 to 20", F1991&lt;= 40, "20 to 40", F1991 &lt;= 50, "40 to 50", F1991 &gt; 50, "&gt;50" )</f>
        <v>0 to 5</v>
      </c>
    </row>
    <row r="1992" spans="1:15" ht="15" customHeight="1" x14ac:dyDescent="0.3">
      <c r="A1992" t="s">
        <v>351</v>
      </c>
      <c r="B1992" s="1">
        <v>46204</v>
      </c>
      <c r="C1992" t="s">
        <v>24</v>
      </c>
      <c r="D1992">
        <v>1831</v>
      </c>
      <c r="E1992">
        <v>1</v>
      </c>
      <c r="F1992">
        <v>1.1000000000000001</v>
      </c>
      <c r="G1992" t="s">
        <v>359</v>
      </c>
      <c r="I1992" t="str">
        <f t="shared" si="45"/>
        <v>1831_1</v>
      </c>
      <c r="J1992" t="s">
        <v>241</v>
      </c>
      <c r="K1992" t="s">
        <v>179</v>
      </c>
      <c r="L1992" t="str">
        <f>_xlfn.XLOOKUP(C1992, Table2[Species],Table2[Genus], "Code Not Found")</f>
        <v>Lirodendron</v>
      </c>
      <c r="M1992" t="str">
        <f>_xlfn.XLOOKUP(C1992, Table2[Species],Table2[Sp. Name], "Code Not Found")</f>
        <v>tulipfera</v>
      </c>
      <c r="N1992" t="str">
        <f>_xlfn.XLOOKUP(C1992,Table2[Species],Table2[Family],"Code Not Found")</f>
        <v>Magnoliaceae</v>
      </c>
      <c r="O1992" t="str" cm="1">
        <f t="array" ref="O1992">_xlfn.IFS(F1992="","",F1992&lt;=5,"0 to 5",F1992&lt;=10,"5.1 to 10",F1992&lt;=20,"10 to 20", F1992&lt;= 40, "20 to 40", F1992 &lt;= 50, "40 to 50", F1992 &gt; 50, "&gt;50" )</f>
        <v>0 to 5</v>
      </c>
    </row>
    <row r="1993" spans="1:15" ht="15" customHeight="1" x14ac:dyDescent="0.3">
      <c r="A1993" t="s">
        <v>351</v>
      </c>
      <c r="B1993" s="1">
        <v>46204</v>
      </c>
      <c r="C1993" t="s">
        <v>24</v>
      </c>
      <c r="D1993">
        <v>1832</v>
      </c>
      <c r="E1993">
        <v>1</v>
      </c>
      <c r="F1993">
        <v>1</v>
      </c>
      <c r="G1993" t="s">
        <v>413</v>
      </c>
      <c r="I1993" t="str">
        <f t="shared" si="45"/>
        <v>1832_1</v>
      </c>
      <c r="J1993" t="s">
        <v>241</v>
      </c>
      <c r="K1993" t="s">
        <v>179</v>
      </c>
      <c r="L1993" t="str">
        <f>_xlfn.XLOOKUP(C1993, Table2[Species],Table2[Genus], "Code Not Found")</f>
        <v>Lirodendron</v>
      </c>
      <c r="M1993" t="str">
        <f>_xlfn.XLOOKUP(C1993, Table2[Species],Table2[Sp. Name], "Code Not Found")</f>
        <v>tulipfera</v>
      </c>
      <c r="N1993" t="str">
        <f>_xlfn.XLOOKUP(C1993,Table2[Species],Table2[Family],"Code Not Found")</f>
        <v>Magnoliaceae</v>
      </c>
      <c r="O1993" t="str" cm="1">
        <f t="array" ref="O1993">_xlfn.IFS(F1993="","",F1993&lt;=5,"0 to 5",F1993&lt;=10,"5.1 to 10",F1993&lt;=20,"10 to 20", F1993&lt;= 40, "20 to 40", F1993 &lt;= 50, "40 to 50", F1993 &gt; 50, "&gt;50" )</f>
        <v>0 to 5</v>
      </c>
    </row>
    <row r="1994" spans="1:15" ht="15" customHeight="1" x14ac:dyDescent="0.3">
      <c r="A1994" t="s">
        <v>351</v>
      </c>
      <c r="B1994" s="1">
        <v>46204</v>
      </c>
      <c r="C1994" t="s">
        <v>16</v>
      </c>
      <c r="D1994">
        <v>1833</v>
      </c>
      <c r="E1994">
        <v>1</v>
      </c>
      <c r="F1994">
        <v>5.6</v>
      </c>
      <c r="G1994" t="s">
        <v>420</v>
      </c>
      <c r="H1994" t="s">
        <v>421</v>
      </c>
      <c r="I1994" t="str">
        <f t="shared" si="45"/>
        <v>1833_1</v>
      </c>
      <c r="J1994" t="s">
        <v>241</v>
      </c>
      <c r="K1994" t="s">
        <v>179</v>
      </c>
      <c r="L1994" t="str">
        <f>_xlfn.XLOOKUP(C1994, Table2[Species],Table2[Genus], "Code Not Found")</f>
        <v>Acer</v>
      </c>
      <c r="M1994" t="str">
        <f>_xlfn.XLOOKUP(C1994, Table2[Species],Table2[Sp. Name], "Code Not Found")</f>
        <v>saccharum</v>
      </c>
      <c r="N1994" t="str">
        <f>_xlfn.XLOOKUP(C1994,Table2[Species],Table2[Family],"Code Not Found")</f>
        <v>Sapindaceae</v>
      </c>
      <c r="O1994" t="str" cm="1">
        <f t="array" ref="O1994">_xlfn.IFS(F1994="","",F1994&lt;=5,"0 to 5",F1994&lt;=10,"5.1 to 10",F1994&lt;=20,"10 to 20", F1994&lt;= 40, "20 to 40", F1994 &lt;= 50, "40 to 50", F1994 &gt; 50, "&gt;50" )</f>
        <v>5.1 to 10</v>
      </c>
    </row>
    <row r="1995" spans="1:15" ht="15" customHeight="1" x14ac:dyDescent="0.3">
      <c r="A1995" t="s">
        <v>351</v>
      </c>
      <c r="B1995" s="1">
        <v>46204</v>
      </c>
      <c r="C1995" t="s">
        <v>16</v>
      </c>
      <c r="D1995">
        <v>1834</v>
      </c>
      <c r="E1995">
        <v>1</v>
      </c>
      <c r="F1995">
        <v>5.7</v>
      </c>
      <c r="G1995" t="s">
        <v>17</v>
      </c>
      <c r="I1995" t="str">
        <f t="shared" si="45"/>
        <v>1834_1</v>
      </c>
      <c r="J1995" t="s">
        <v>241</v>
      </c>
      <c r="K1995" t="s">
        <v>179</v>
      </c>
      <c r="L1995" t="str">
        <f>_xlfn.XLOOKUP(C1995, Table2[Species],Table2[Genus], "Code Not Found")</f>
        <v>Acer</v>
      </c>
      <c r="M1995" t="str">
        <f>_xlfn.XLOOKUP(C1995, Table2[Species],Table2[Sp. Name], "Code Not Found")</f>
        <v>saccharum</v>
      </c>
      <c r="N1995" t="str">
        <f>_xlfn.XLOOKUP(C1995,Table2[Species],Table2[Family],"Code Not Found")</f>
        <v>Sapindaceae</v>
      </c>
      <c r="O1995" t="str" cm="1">
        <f t="array" ref="O1995">_xlfn.IFS(F1995="","",F1995&lt;=5,"0 to 5",F1995&lt;=10,"5.1 to 10",F1995&lt;=20,"10 to 20", F1995&lt;= 40, "20 to 40", F1995 &lt;= 50, "40 to 50", F1995 &gt; 50, "&gt;50" )</f>
        <v>5.1 to 10</v>
      </c>
    </row>
    <row r="1996" spans="1:15" ht="15" customHeight="1" x14ac:dyDescent="0.3">
      <c r="A1996" t="s">
        <v>351</v>
      </c>
      <c r="B1996" s="1">
        <v>46204</v>
      </c>
      <c r="C1996" t="s">
        <v>16</v>
      </c>
      <c r="D1996">
        <v>1835</v>
      </c>
      <c r="E1996">
        <v>1</v>
      </c>
      <c r="F1996">
        <v>7.3</v>
      </c>
      <c r="G1996" t="s">
        <v>17</v>
      </c>
      <c r="I1996" t="str">
        <f t="shared" si="45"/>
        <v>1835_1</v>
      </c>
      <c r="J1996" t="s">
        <v>241</v>
      </c>
      <c r="K1996" t="s">
        <v>179</v>
      </c>
      <c r="L1996" t="str">
        <f>_xlfn.XLOOKUP(C1996, Table2[Species],Table2[Genus], "Code Not Found")</f>
        <v>Acer</v>
      </c>
      <c r="M1996" t="str">
        <f>_xlfn.XLOOKUP(C1996, Table2[Species],Table2[Sp. Name], "Code Not Found")</f>
        <v>saccharum</v>
      </c>
      <c r="N1996" t="str">
        <f>_xlfn.XLOOKUP(C1996,Table2[Species],Table2[Family],"Code Not Found")</f>
        <v>Sapindaceae</v>
      </c>
      <c r="O1996" t="str" cm="1">
        <f t="array" ref="O1996">_xlfn.IFS(F1996="","",F1996&lt;=5,"0 to 5",F1996&lt;=10,"5.1 to 10",F1996&lt;=20,"10 to 20", F1996&lt;= 40, "20 to 40", F1996 &lt;= 50, "40 to 50", F1996 &gt; 50, "&gt;50" )</f>
        <v>5.1 to 10</v>
      </c>
    </row>
    <row r="1997" spans="1:15" ht="15" customHeight="1" x14ac:dyDescent="0.3">
      <c r="A1997" t="s">
        <v>351</v>
      </c>
      <c r="B1997" s="1">
        <v>46204</v>
      </c>
      <c r="C1997" t="s">
        <v>64</v>
      </c>
      <c r="D1997">
        <v>1836</v>
      </c>
      <c r="E1997">
        <v>1</v>
      </c>
      <c r="F1997">
        <v>1.9</v>
      </c>
      <c r="G1997" t="s">
        <v>422</v>
      </c>
      <c r="H1997" t="s">
        <v>423</v>
      </c>
      <c r="I1997" t="str">
        <f t="shared" si="45"/>
        <v>1836_1</v>
      </c>
      <c r="J1997" t="s">
        <v>241</v>
      </c>
      <c r="K1997" t="s">
        <v>179</v>
      </c>
      <c r="L1997" t="str">
        <f>_xlfn.XLOOKUP(C1997, Table2[Species],Table2[Genus], "Code Not Found")</f>
        <v>Fagus</v>
      </c>
      <c r="M1997" t="str">
        <f>_xlfn.XLOOKUP(C1997, Table2[Species],Table2[Sp. Name], "Code Not Found")</f>
        <v>grandifolia</v>
      </c>
      <c r="N1997" t="str">
        <f>_xlfn.XLOOKUP(C1997,Table2[Species],Table2[Family],"Code Not Found")</f>
        <v>Fagaceae</v>
      </c>
      <c r="O1997" t="str" cm="1">
        <f t="array" ref="O1997">_xlfn.IFS(F1997="","",F1997&lt;=5,"0 to 5",F1997&lt;=10,"5.1 to 10",F1997&lt;=20,"10 to 20", F1997&lt;= 40, "20 to 40", F1997 &lt;= 50, "40 to 50", F1997 &gt; 50, "&gt;50" )</f>
        <v>0 to 5</v>
      </c>
    </row>
    <row r="1998" spans="1:15" ht="15" customHeight="1" x14ac:dyDescent="0.3">
      <c r="A1998" t="s">
        <v>351</v>
      </c>
      <c r="B1998" s="1">
        <v>46204</v>
      </c>
      <c r="C1998" t="s">
        <v>64</v>
      </c>
      <c r="D1998">
        <v>1836</v>
      </c>
      <c r="E1998">
        <v>2</v>
      </c>
      <c r="F1998">
        <v>1.1000000000000001</v>
      </c>
      <c r="G1998" t="s">
        <v>422</v>
      </c>
      <c r="H1998" t="s">
        <v>423</v>
      </c>
      <c r="I1998" t="str">
        <f t="shared" si="45"/>
        <v>1836_2</v>
      </c>
      <c r="J1998" t="s">
        <v>241</v>
      </c>
      <c r="K1998" t="s">
        <v>179</v>
      </c>
      <c r="L1998" t="str">
        <f>_xlfn.XLOOKUP(C1998, Table2[Species],Table2[Genus], "Code Not Found")</f>
        <v>Fagus</v>
      </c>
      <c r="M1998" t="str">
        <f>_xlfn.XLOOKUP(C1998, Table2[Species],Table2[Sp. Name], "Code Not Found")</f>
        <v>grandifolia</v>
      </c>
      <c r="N1998" t="str">
        <f>_xlfn.XLOOKUP(C1998,Table2[Species],Table2[Family],"Code Not Found")</f>
        <v>Fagaceae</v>
      </c>
      <c r="O1998" t="str" cm="1">
        <f t="array" ref="O1998">_xlfn.IFS(F1998="","",F1998&lt;=5,"0 to 5",F1998&lt;=10,"5.1 to 10",F1998&lt;=20,"10 to 20", F1998&lt;= 40, "20 to 40", F1998 &lt;= 50, "40 to 50", F1998 &gt; 50, "&gt;50" )</f>
        <v>0 to 5</v>
      </c>
    </row>
    <row r="1999" spans="1:15" ht="15" customHeight="1" x14ac:dyDescent="0.3">
      <c r="A1999" t="s">
        <v>351</v>
      </c>
      <c r="B1999" s="1">
        <v>46204</v>
      </c>
      <c r="C1999" t="s">
        <v>64</v>
      </c>
      <c r="D1999">
        <v>1837</v>
      </c>
      <c r="E1999">
        <v>1</v>
      </c>
      <c r="F1999">
        <v>1.1000000000000001</v>
      </c>
      <c r="G1999" t="s">
        <v>17</v>
      </c>
      <c r="H1999" t="s">
        <v>424</v>
      </c>
      <c r="I1999" t="str">
        <f t="shared" si="45"/>
        <v>1837_1</v>
      </c>
      <c r="J1999" t="s">
        <v>241</v>
      </c>
      <c r="K1999" t="s">
        <v>179</v>
      </c>
      <c r="L1999" t="str">
        <f>_xlfn.XLOOKUP(C1999, Table2[Species],Table2[Genus], "Code Not Found")</f>
        <v>Fagus</v>
      </c>
      <c r="M1999" t="str">
        <f>_xlfn.XLOOKUP(C1999, Table2[Species],Table2[Sp. Name], "Code Not Found")</f>
        <v>grandifolia</v>
      </c>
      <c r="N1999" t="str">
        <f>_xlfn.XLOOKUP(C1999,Table2[Species],Table2[Family],"Code Not Found")</f>
        <v>Fagaceae</v>
      </c>
      <c r="O1999" t="str" cm="1">
        <f t="array" ref="O1999">_xlfn.IFS(F1999="","",F1999&lt;=5,"0 to 5",F1999&lt;=10,"5.1 to 10",F1999&lt;=20,"10 to 20", F1999&lt;= 40, "20 to 40", F1999 &lt;= 50, "40 to 50", F1999 &gt; 50, "&gt;50" )</f>
        <v>0 to 5</v>
      </c>
    </row>
    <row r="2000" spans="1:15" ht="15" customHeight="1" x14ac:dyDescent="0.3">
      <c r="A2000" t="s">
        <v>351</v>
      </c>
      <c r="B2000" s="1">
        <v>46204</v>
      </c>
      <c r="C2000" t="s">
        <v>16</v>
      </c>
      <c r="D2000">
        <v>1838</v>
      </c>
      <c r="E2000">
        <v>1</v>
      </c>
      <c r="F2000">
        <v>10.199999999999999</v>
      </c>
      <c r="G2000" t="s">
        <v>17</v>
      </c>
      <c r="I2000" t="str">
        <f t="shared" si="45"/>
        <v>1838_1</v>
      </c>
      <c r="J2000" t="s">
        <v>241</v>
      </c>
      <c r="K2000" t="s">
        <v>179</v>
      </c>
      <c r="L2000" t="str">
        <f>_xlfn.XLOOKUP(C2000, Table2[Species],Table2[Genus], "Code Not Found")</f>
        <v>Acer</v>
      </c>
      <c r="M2000" t="str">
        <f>_xlfn.XLOOKUP(C2000, Table2[Species],Table2[Sp. Name], "Code Not Found")</f>
        <v>saccharum</v>
      </c>
      <c r="N2000" t="str">
        <f>_xlfn.XLOOKUP(C2000,Table2[Species],Table2[Family],"Code Not Found")</f>
        <v>Sapindaceae</v>
      </c>
      <c r="O2000" t="str" cm="1">
        <f t="array" ref="O2000">_xlfn.IFS(F2000="","",F2000&lt;=5,"0 to 5",F2000&lt;=10,"5.1 to 10",F2000&lt;=20,"10 to 20", F2000&lt;= 40, "20 to 40", F2000 &lt;= 50, "40 to 50", F2000 &gt; 50, "&gt;50" )</f>
        <v>10 to 20</v>
      </c>
    </row>
    <row r="2001" spans="1:15" ht="15" customHeight="1" x14ac:dyDescent="0.3">
      <c r="A2001" t="s">
        <v>351</v>
      </c>
      <c r="B2001" s="1">
        <v>46204</v>
      </c>
      <c r="C2001" t="s">
        <v>16</v>
      </c>
      <c r="D2001">
        <v>1839</v>
      </c>
      <c r="E2001">
        <v>1</v>
      </c>
      <c r="F2001">
        <v>2.9</v>
      </c>
      <c r="G2001" t="s">
        <v>17</v>
      </c>
      <c r="I2001" t="str">
        <f t="shared" si="45"/>
        <v>1839_1</v>
      </c>
      <c r="J2001" t="s">
        <v>241</v>
      </c>
      <c r="K2001" t="s">
        <v>179</v>
      </c>
      <c r="L2001" t="str">
        <f>_xlfn.XLOOKUP(C2001, Table2[Species],Table2[Genus], "Code Not Found")</f>
        <v>Acer</v>
      </c>
      <c r="M2001" t="str">
        <f>_xlfn.XLOOKUP(C2001, Table2[Species],Table2[Sp. Name], "Code Not Found")</f>
        <v>saccharum</v>
      </c>
      <c r="N2001" t="str">
        <f>_xlfn.XLOOKUP(C2001,Table2[Species],Table2[Family],"Code Not Found")</f>
        <v>Sapindaceae</v>
      </c>
      <c r="O2001" t="str" cm="1">
        <f t="array" ref="O2001">_xlfn.IFS(F2001="","",F2001&lt;=5,"0 to 5",F2001&lt;=10,"5.1 to 10",F2001&lt;=20,"10 to 20", F2001&lt;= 40, "20 to 40", F2001 &lt;= 50, "40 to 50", F2001 &gt; 50, "&gt;50" )</f>
        <v>0 to 5</v>
      </c>
    </row>
    <row r="2002" spans="1:15" ht="15" customHeight="1" x14ac:dyDescent="0.3">
      <c r="A2002" t="s">
        <v>351</v>
      </c>
      <c r="B2002" s="1">
        <v>46204</v>
      </c>
      <c r="C2002" t="s">
        <v>64</v>
      </c>
      <c r="D2002">
        <v>1840</v>
      </c>
      <c r="E2002">
        <v>1</v>
      </c>
      <c r="F2002">
        <v>10.8</v>
      </c>
      <c r="G2002" t="s">
        <v>21</v>
      </c>
      <c r="I2002" t="str">
        <f t="shared" si="45"/>
        <v>1840_1</v>
      </c>
      <c r="J2002" t="s">
        <v>241</v>
      </c>
      <c r="K2002" t="s">
        <v>179</v>
      </c>
      <c r="L2002" t="str">
        <f>_xlfn.XLOOKUP(C2002, Table2[Species],Table2[Genus], "Code Not Found")</f>
        <v>Fagus</v>
      </c>
      <c r="M2002" t="str">
        <f>_xlfn.XLOOKUP(C2002, Table2[Species],Table2[Sp. Name], "Code Not Found")</f>
        <v>grandifolia</v>
      </c>
      <c r="N2002" t="str">
        <f>_xlfn.XLOOKUP(C2002,Table2[Species],Table2[Family],"Code Not Found")</f>
        <v>Fagaceae</v>
      </c>
      <c r="O2002" t="str" cm="1">
        <f t="array" ref="O2002">_xlfn.IFS(F2002="","",F2002&lt;=5,"0 to 5",F2002&lt;=10,"5.1 to 10",F2002&lt;=20,"10 to 20", F2002&lt;= 40, "20 to 40", F2002 &lt;= 50, "40 to 50", F2002 &gt; 50, "&gt;50" )</f>
        <v>10 to 20</v>
      </c>
    </row>
    <row r="2003" spans="1:15" ht="15" customHeight="1" x14ac:dyDescent="0.3">
      <c r="A2003" t="s">
        <v>351</v>
      </c>
      <c r="B2003" s="1">
        <v>46204</v>
      </c>
      <c r="C2003" t="s">
        <v>24</v>
      </c>
      <c r="D2003">
        <v>1841</v>
      </c>
      <c r="E2003">
        <v>1</v>
      </c>
      <c r="F2003">
        <v>4.9000000000000004</v>
      </c>
      <c r="G2003" t="s">
        <v>268</v>
      </c>
      <c r="H2003" t="s">
        <v>425</v>
      </c>
      <c r="I2003" t="str">
        <f t="shared" si="45"/>
        <v>1841_1</v>
      </c>
      <c r="J2003" t="s">
        <v>241</v>
      </c>
      <c r="K2003" t="s">
        <v>179</v>
      </c>
      <c r="L2003" t="str">
        <f>_xlfn.XLOOKUP(C2003, Table2[Species],Table2[Genus], "Code Not Found")</f>
        <v>Lirodendron</v>
      </c>
      <c r="M2003" t="str">
        <f>_xlfn.XLOOKUP(C2003, Table2[Species],Table2[Sp. Name], "Code Not Found")</f>
        <v>tulipfera</v>
      </c>
      <c r="N2003" t="str">
        <f>_xlfn.XLOOKUP(C2003,Table2[Species],Table2[Family],"Code Not Found")</f>
        <v>Magnoliaceae</v>
      </c>
      <c r="O2003" t="str" cm="1">
        <f t="array" ref="O2003">_xlfn.IFS(F2003="","",F2003&lt;=5,"0 to 5",F2003&lt;=10,"5.1 to 10",F2003&lt;=20,"10 to 20", F2003&lt;= 40, "20 to 40", F2003 &lt;= 50, "40 to 50", F2003 &gt; 50, "&gt;50" )</f>
        <v>0 to 5</v>
      </c>
    </row>
    <row r="2004" spans="1:15" ht="15" customHeight="1" x14ac:dyDescent="0.3">
      <c r="A2004" t="s">
        <v>351</v>
      </c>
      <c r="B2004" s="1">
        <v>46204</v>
      </c>
      <c r="C2004" t="s">
        <v>24</v>
      </c>
      <c r="D2004">
        <v>1841</v>
      </c>
      <c r="E2004">
        <v>2</v>
      </c>
      <c r="F2004">
        <v>2</v>
      </c>
      <c r="G2004" t="s">
        <v>268</v>
      </c>
      <c r="H2004" t="s">
        <v>296</v>
      </c>
      <c r="I2004" t="str">
        <f t="shared" si="45"/>
        <v>1841_2</v>
      </c>
      <c r="J2004" t="s">
        <v>241</v>
      </c>
      <c r="K2004" t="s">
        <v>179</v>
      </c>
      <c r="L2004" t="str">
        <f>_xlfn.XLOOKUP(C2004, Table2[Species],Table2[Genus], "Code Not Found")</f>
        <v>Lirodendron</v>
      </c>
      <c r="M2004" t="str">
        <f>_xlfn.XLOOKUP(C2004, Table2[Species],Table2[Sp. Name], "Code Not Found")</f>
        <v>tulipfera</v>
      </c>
      <c r="N2004" t="str">
        <f>_xlfn.XLOOKUP(C2004,Table2[Species],Table2[Family],"Code Not Found")</f>
        <v>Magnoliaceae</v>
      </c>
      <c r="O2004" t="str" cm="1">
        <f t="array" ref="O2004">_xlfn.IFS(F2004="","",F2004&lt;=5,"0 to 5",F2004&lt;=10,"5.1 to 10",F2004&lt;=20,"10 to 20", F2004&lt;= 40, "20 to 40", F2004 &lt;= 50, "40 to 50", F2004 &gt; 50, "&gt;50" )</f>
        <v>0 to 5</v>
      </c>
    </row>
    <row r="2005" spans="1:15" ht="15" customHeight="1" x14ac:dyDescent="0.3">
      <c r="A2005" t="s">
        <v>351</v>
      </c>
      <c r="B2005" s="1">
        <v>46204</v>
      </c>
      <c r="C2005" t="s">
        <v>24</v>
      </c>
      <c r="D2005">
        <v>1842</v>
      </c>
      <c r="E2005">
        <v>1</v>
      </c>
      <c r="F2005">
        <v>78.8</v>
      </c>
      <c r="G2005" t="s">
        <v>21</v>
      </c>
      <c r="I2005" t="str">
        <f t="shared" si="45"/>
        <v>1842_1</v>
      </c>
      <c r="J2005" t="s">
        <v>241</v>
      </c>
      <c r="K2005" t="s">
        <v>179</v>
      </c>
      <c r="L2005" t="str">
        <f>_xlfn.XLOOKUP(C2005, Table2[Species],Table2[Genus], "Code Not Found")</f>
        <v>Lirodendron</v>
      </c>
      <c r="M2005" t="str">
        <f>_xlfn.XLOOKUP(C2005, Table2[Species],Table2[Sp. Name], "Code Not Found")</f>
        <v>tulipfera</v>
      </c>
      <c r="N2005" t="str">
        <f>_xlfn.XLOOKUP(C2005,Table2[Species],Table2[Family],"Code Not Found")</f>
        <v>Magnoliaceae</v>
      </c>
      <c r="O2005" t="str" cm="1">
        <f t="array" ref="O2005">_xlfn.IFS(F2005="","",F2005&lt;=5,"0 to 5",F2005&lt;=10,"5.1 to 10",F2005&lt;=20,"10 to 20", F2005&lt;= 40, "20 to 40", F2005 &lt;= 50, "40 to 50", F2005 &gt; 50, "&gt;50" )</f>
        <v>&gt;50</v>
      </c>
    </row>
    <row r="2006" spans="1:15" ht="15" customHeight="1" x14ac:dyDescent="0.3">
      <c r="A2006" t="s">
        <v>351</v>
      </c>
      <c r="B2006" s="1">
        <v>46204</v>
      </c>
      <c r="C2006" t="s">
        <v>16</v>
      </c>
      <c r="D2006">
        <v>1843</v>
      </c>
      <c r="E2006">
        <v>1</v>
      </c>
      <c r="F2006">
        <v>6.4</v>
      </c>
      <c r="G2006" t="s">
        <v>17</v>
      </c>
      <c r="I2006" t="str">
        <f t="shared" si="45"/>
        <v>1843_1</v>
      </c>
      <c r="J2006" t="s">
        <v>241</v>
      </c>
      <c r="K2006" t="s">
        <v>179</v>
      </c>
      <c r="L2006" t="str">
        <f>_xlfn.XLOOKUP(C2006, Table2[Species],Table2[Genus], "Code Not Found")</f>
        <v>Acer</v>
      </c>
      <c r="M2006" t="str">
        <f>_xlfn.XLOOKUP(C2006, Table2[Species],Table2[Sp. Name], "Code Not Found")</f>
        <v>saccharum</v>
      </c>
      <c r="N2006" t="str">
        <f>_xlfn.XLOOKUP(C2006,Table2[Species],Table2[Family],"Code Not Found")</f>
        <v>Sapindaceae</v>
      </c>
      <c r="O2006" t="str" cm="1">
        <f t="array" ref="O2006">_xlfn.IFS(F2006="","",F2006&lt;=5,"0 to 5",F2006&lt;=10,"5.1 to 10",F2006&lt;=20,"10 to 20", F2006&lt;= 40, "20 to 40", F2006 &lt;= 50, "40 to 50", F2006 &gt; 50, "&gt;50" )</f>
        <v>5.1 to 10</v>
      </c>
    </row>
    <row r="2007" spans="1:15" ht="15" customHeight="1" x14ac:dyDescent="0.3">
      <c r="A2007" t="s">
        <v>351</v>
      </c>
      <c r="B2007" s="1">
        <v>46204</v>
      </c>
      <c r="C2007" t="s">
        <v>64</v>
      </c>
      <c r="D2007">
        <v>1844</v>
      </c>
      <c r="E2007">
        <v>1</v>
      </c>
      <c r="F2007">
        <v>49.7</v>
      </c>
      <c r="G2007" t="s">
        <v>21</v>
      </c>
      <c r="I2007" t="str">
        <f t="shared" si="45"/>
        <v>1844_1</v>
      </c>
      <c r="J2007" t="s">
        <v>241</v>
      </c>
      <c r="K2007" t="s">
        <v>179</v>
      </c>
      <c r="L2007" t="str">
        <f>_xlfn.XLOOKUP(C2007, Table2[Species],Table2[Genus], "Code Not Found")</f>
        <v>Fagus</v>
      </c>
      <c r="M2007" t="str">
        <f>_xlfn.XLOOKUP(C2007, Table2[Species],Table2[Sp. Name], "Code Not Found")</f>
        <v>grandifolia</v>
      </c>
      <c r="N2007" t="str">
        <f>_xlfn.XLOOKUP(C2007,Table2[Species],Table2[Family],"Code Not Found")</f>
        <v>Fagaceae</v>
      </c>
      <c r="O2007" t="str" cm="1">
        <f t="array" ref="O2007">_xlfn.IFS(F2007="","",F2007&lt;=5,"0 to 5",F2007&lt;=10,"5.1 to 10",F2007&lt;=20,"10 to 20", F2007&lt;= 40, "20 to 40", F2007 &lt;= 50, "40 to 50", F2007 &gt; 50, "&gt;50" )</f>
        <v>40 to 50</v>
      </c>
    </row>
    <row r="2008" spans="1:15" ht="15" customHeight="1" x14ac:dyDescent="0.3">
      <c r="A2008" t="s">
        <v>351</v>
      </c>
      <c r="B2008" s="1">
        <v>46204</v>
      </c>
      <c r="C2008" t="s">
        <v>16</v>
      </c>
      <c r="D2008">
        <v>1845</v>
      </c>
      <c r="E2008">
        <v>1</v>
      </c>
      <c r="F2008">
        <v>5.2</v>
      </c>
      <c r="G2008" t="s">
        <v>17</v>
      </c>
      <c r="I2008" t="str">
        <f t="shared" si="45"/>
        <v>1845_1</v>
      </c>
      <c r="J2008" t="s">
        <v>241</v>
      </c>
      <c r="K2008" t="s">
        <v>179</v>
      </c>
      <c r="L2008" t="str">
        <f>_xlfn.XLOOKUP(C2008, Table2[Species],Table2[Genus], "Code Not Found")</f>
        <v>Acer</v>
      </c>
      <c r="M2008" t="str">
        <f>_xlfn.XLOOKUP(C2008, Table2[Species],Table2[Sp. Name], "Code Not Found")</f>
        <v>saccharum</v>
      </c>
      <c r="N2008" t="str">
        <f>_xlfn.XLOOKUP(C2008,Table2[Species],Table2[Family],"Code Not Found")</f>
        <v>Sapindaceae</v>
      </c>
      <c r="O2008" t="str" cm="1">
        <f t="array" ref="O2008">_xlfn.IFS(F2008="","",F2008&lt;=5,"0 to 5",F2008&lt;=10,"5.1 to 10",F2008&lt;=20,"10 to 20", F2008&lt;= 40, "20 to 40", F2008 &lt;= 50, "40 to 50", F2008 &gt; 50, "&gt;50" )</f>
        <v>5.1 to 10</v>
      </c>
    </row>
    <row r="2009" spans="1:15" ht="15" customHeight="1" x14ac:dyDescent="0.3">
      <c r="A2009" t="s">
        <v>351</v>
      </c>
      <c r="B2009" s="1">
        <v>46204</v>
      </c>
      <c r="C2009" t="s">
        <v>64</v>
      </c>
      <c r="D2009">
        <v>1846</v>
      </c>
      <c r="E2009">
        <v>1</v>
      </c>
      <c r="F2009">
        <v>53.8</v>
      </c>
      <c r="G2009" t="s">
        <v>17</v>
      </c>
      <c r="I2009" t="str">
        <f t="shared" si="45"/>
        <v>1846_1</v>
      </c>
      <c r="J2009" t="s">
        <v>241</v>
      </c>
      <c r="K2009" t="s">
        <v>179</v>
      </c>
      <c r="L2009" t="str">
        <f>_xlfn.XLOOKUP(C2009, Table2[Species],Table2[Genus], "Code Not Found")</f>
        <v>Fagus</v>
      </c>
      <c r="M2009" t="str">
        <f>_xlfn.XLOOKUP(C2009, Table2[Species],Table2[Sp. Name], "Code Not Found")</f>
        <v>grandifolia</v>
      </c>
      <c r="N2009" t="str">
        <f>_xlfn.XLOOKUP(C2009,Table2[Species],Table2[Family],"Code Not Found")</f>
        <v>Fagaceae</v>
      </c>
      <c r="O2009" t="str" cm="1">
        <f t="array" ref="O2009">_xlfn.IFS(F2009="","",F2009&lt;=5,"0 to 5",F2009&lt;=10,"5.1 to 10",F2009&lt;=20,"10 to 20", F2009&lt;= 40, "20 to 40", F2009 &lt;= 50, "40 to 50", F2009 &gt; 50, "&gt;50" )</f>
        <v>&gt;50</v>
      </c>
    </row>
    <row r="2010" spans="1:15" ht="15" customHeight="1" x14ac:dyDescent="0.3">
      <c r="A2010" t="s">
        <v>351</v>
      </c>
      <c r="B2010" s="1">
        <v>46204</v>
      </c>
      <c r="C2010" t="s">
        <v>16</v>
      </c>
      <c r="D2010">
        <v>1847</v>
      </c>
      <c r="E2010">
        <v>1</v>
      </c>
      <c r="F2010">
        <v>2.9</v>
      </c>
      <c r="G2010" t="s">
        <v>17</v>
      </c>
      <c r="I2010" t="str">
        <f t="shared" ref="I2010:I2041" si="46">D2010&amp;"_"&amp;E2010</f>
        <v>1847_1</v>
      </c>
      <c r="J2010" t="s">
        <v>241</v>
      </c>
      <c r="K2010" t="s">
        <v>179</v>
      </c>
      <c r="L2010" t="str">
        <f>_xlfn.XLOOKUP(C2010, Table2[Species],Table2[Genus], "Code Not Found")</f>
        <v>Acer</v>
      </c>
      <c r="M2010" t="str">
        <f>_xlfn.XLOOKUP(C2010, Table2[Species],Table2[Sp. Name], "Code Not Found")</f>
        <v>saccharum</v>
      </c>
      <c r="N2010" t="str">
        <f>_xlfn.XLOOKUP(C2010,Table2[Species],Table2[Family],"Code Not Found")</f>
        <v>Sapindaceae</v>
      </c>
      <c r="O2010" t="str" cm="1">
        <f t="array" ref="O2010">_xlfn.IFS(F2010="","",F2010&lt;=5,"0 to 5",F2010&lt;=10,"5.1 to 10",F2010&lt;=20,"10 to 20", F2010&lt;= 40, "20 to 40", F2010 &lt;= 50, "40 to 50", F2010 &gt; 50, "&gt;50" )</f>
        <v>0 to 5</v>
      </c>
    </row>
    <row r="2011" spans="1:15" ht="15" customHeight="1" x14ac:dyDescent="0.3">
      <c r="A2011" t="s">
        <v>351</v>
      </c>
      <c r="B2011" s="1">
        <v>46204</v>
      </c>
      <c r="C2011" t="s">
        <v>16</v>
      </c>
      <c r="D2011">
        <v>1848</v>
      </c>
      <c r="E2011">
        <v>1</v>
      </c>
      <c r="F2011">
        <v>6.3</v>
      </c>
      <c r="G2011" t="s">
        <v>17</v>
      </c>
      <c r="I2011" t="str">
        <f t="shared" si="46"/>
        <v>1848_1</v>
      </c>
      <c r="J2011" t="s">
        <v>241</v>
      </c>
      <c r="K2011" t="s">
        <v>179</v>
      </c>
      <c r="L2011" t="str">
        <f>_xlfn.XLOOKUP(C2011, Table2[Species],Table2[Genus], "Code Not Found")</f>
        <v>Acer</v>
      </c>
      <c r="M2011" t="str">
        <f>_xlfn.XLOOKUP(C2011, Table2[Species],Table2[Sp. Name], "Code Not Found")</f>
        <v>saccharum</v>
      </c>
      <c r="N2011" t="str">
        <f>_xlfn.XLOOKUP(C2011,Table2[Species],Table2[Family],"Code Not Found")</f>
        <v>Sapindaceae</v>
      </c>
      <c r="O2011" t="str" cm="1">
        <f t="array" ref="O2011">_xlfn.IFS(F2011="","",F2011&lt;=5,"0 to 5",F2011&lt;=10,"5.1 to 10",F2011&lt;=20,"10 to 20", F2011&lt;= 40, "20 to 40", F2011 &lt;= 50, "40 to 50", F2011 &gt; 50, "&gt;50" )</f>
        <v>5.1 to 10</v>
      </c>
    </row>
    <row r="2012" spans="1:15" ht="15" customHeight="1" x14ac:dyDescent="0.3">
      <c r="A2012" t="s">
        <v>351</v>
      </c>
      <c r="B2012" s="1">
        <v>46204</v>
      </c>
      <c r="C2012" t="s">
        <v>16</v>
      </c>
      <c r="D2012">
        <v>1849</v>
      </c>
      <c r="E2012">
        <v>1</v>
      </c>
      <c r="F2012">
        <v>6</v>
      </c>
      <c r="G2012" t="s">
        <v>47</v>
      </c>
      <c r="I2012" t="str">
        <f t="shared" si="46"/>
        <v>1849_1</v>
      </c>
      <c r="J2012" t="s">
        <v>241</v>
      </c>
      <c r="K2012" t="s">
        <v>179</v>
      </c>
      <c r="L2012" t="str">
        <f>_xlfn.XLOOKUP(C2012, Table2[Species],Table2[Genus], "Code Not Found")</f>
        <v>Acer</v>
      </c>
      <c r="M2012" t="str">
        <f>_xlfn.XLOOKUP(C2012, Table2[Species],Table2[Sp. Name], "Code Not Found")</f>
        <v>saccharum</v>
      </c>
      <c r="N2012" t="str">
        <f>_xlfn.XLOOKUP(C2012,Table2[Species],Table2[Family],"Code Not Found")</f>
        <v>Sapindaceae</v>
      </c>
      <c r="O2012" t="str" cm="1">
        <f t="array" ref="O2012">_xlfn.IFS(F2012="","",F2012&lt;=5,"0 to 5",F2012&lt;=10,"5.1 to 10",F2012&lt;=20,"10 to 20", F2012&lt;= 40, "20 to 40", F2012 &lt;= 50, "40 to 50", F2012 &gt; 50, "&gt;50" )</f>
        <v>5.1 to 10</v>
      </c>
    </row>
    <row r="2013" spans="1:15" ht="15" customHeight="1" x14ac:dyDescent="0.3">
      <c r="A2013" t="s">
        <v>351</v>
      </c>
      <c r="B2013" s="1">
        <v>46204</v>
      </c>
      <c r="C2013" t="s">
        <v>16</v>
      </c>
      <c r="D2013">
        <v>1850</v>
      </c>
      <c r="E2013">
        <v>1</v>
      </c>
      <c r="F2013">
        <v>2.4</v>
      </c>
      <c r="G2013" t="s">
        <v>38</v>
      </c>
      <c r="I2013" t="str">
        <f t="shared" si="46"/>
        <v>1850_1</v>
      </c>
      <c r="J2013" t="s">
        <v>241</v>
      </c>
      <c r="K2013" t="s">
        <v>179</v>
      </c>
      <c r="L2013" t="str">
        <f>_xlfn.XLOOKUP(C2013, Table2[Species],Table2[Genus], "Code Not Found")</f>
        <v>Acer</v>
      </c>
      <c r="M2013" t="str">
        <f>_xlfn.XLOOKUP(C2013, Table2[Species],Table2[Sp. Name], "Code Not Found")</f>
        <v>saccharum</v>
      </c>
      <c r="N2013" t="str">
        <f>_xlfn.XLOOKUP(C2013,Table2[Species],Table2[Family],"Code Not Found")</f>
        <v>Sapindaceae</v>
      </c>
      <c r="O2013" t="str" cm="1">
        <f t="array" ref="O2013">_xlfn.IFS(F2013="","",F2013&lt;=5,"0 to 5",F2013&lt;=10,"5.1 to 10",F2013&lt;=20,"10 to 20", F2013&lt;= 40, "20 to 40", F2013 &lt;= 50, "40 to 50", F2013 &gt; 50, "&gt;50" )</f>
        <v>0 to 5</v>
      </c>
    </row>
    <row r="2014" spans="1:15" ht="15" customHeight="1" x14ac:dyDescent="0.3">
      <c r="A2014" t="s">
        <v>351</v>
      </c>
      <c r="B2014" s="1">
        <v>46204</v>
      </c>
      <c r="C2014" t="s">
        <v>16</v>
      </c>
      <c r="D2014">
        <v>1851</v>
      </c>
      <c r="E2014">
        <v>1</v>
      </c>
      <c r="F2014">
        <v>14.2</v>
      </c>
      <c r="G2014" t="s">
        <v>17</v>
      </c>
      <c r="I2014" t="str">
        <f t="shared" si="46"/>
        <v>1851_1</v>
      </c>
      <c r="J2014" t="s">
        <v>241</v>
      </c>
      <c r="K2014" t="s">
        <v>179</v>
      </c>
      <c r="L2014" t="str">
        <f>_xlfn.XLOOKUP(C2014, Table2[Species],Table2[Genus], "Code Not Found")</f>
        <v>Acer</v>
      </c>
      <c r="M2014" t="str">
        <f>_xlfn.XLOOKUP(C2014, Table2[Species],Table2[Sp. Name], "Code Not Found")</f>
        <v>saccharum</v>
      </c>
      <c r="N2014" t="str">
        <f>_xlfn.XLOOKUP(C2014,Table2[Species],Table2[Family],"Code Not Found")</f>
        <v>Sapindaceae</v>
      </c>
      <c r="O2014" t="str" cm="1">
        <f t="array" ref="O2014">_xlfn.IFS(F2014="","",F2014&lt;=5,"0 to 5",F2014&lt;=10,"5.1 to 10",F2014&lt;=20,"10 to 20", F2014&lt;= 40, "20 to 40", F2014 &lt;= 50, "40 to 50", F2014 &gt; 50, "&gt;50" )</f>
        <v>10 to 20</v>
      </c>
    </row>
    <row r="2015" spans="1:15" ht="15" customHeight="1" x14ac:dyDescent="0.3">
      <c r="A2015" t="s">
        <v>351</v>
      </c>
      <c r="B2015" s="1">
        <v>46204</v>
      </c>
      <c r="C2015" t="s">
        <v>16</v>
      </c>
      <c r="D2015">
        <v>1852</v>
      </c>
      <c r="E2015">
        <v>1</v>
      </c>
      <c r="F2015">
        <v>1.8</v>
      </c>
      <c r="G2015" t="s">
        <v>47</v>
      </c>
      <c r="I2015" t="str">
        <f t="shared" si="46"/>
        <v>1852_1</v>
      </c>
      <c r="J2015" t="s">
        <v>241</v>
      </c>
      <c r="K2015" t="s">
        <v>179</v>
      </c>
      <c r="L2015" t="str">
        <f>_xlfn.XLOOKUP(C2015, Table2[Species],Table2[Genus], "Code Not Found")</f>
        <v>Acer</v>
      </c>
      <c r="M2015" t="str">
        <f>_xlfn.XLOOKUP(C2015, Table2[Species],Table2[Sp. Name], "Code Not Found")</f>
        <v>saccharum</v>
      </c>
      <c r="N2015" t="str">
        <f>_xlfn.XLOOKUP(C2015,Table2[Species],Table2[Family],"Code Not Found")</f>
        <v>Sapindaceae</v>
      </c>
      <c r="O2015" t="str" cm="1">
        <f t="array" ref="O2015">_xlfn.IFS(F2015="","",F2015&lt;=5,"0 to 5",F2015&lt;=10,"5.1 to 10",F2015&lt;=20,"10 to 20", F2015&lt;= 40, "20 to 40", F2015 &lt;= 50, "40 to 50", F2015 &gt; 50, "&gt;50" )</f>
        <v>0 to 5</v>
      </c>
    </row>
    <row r="2016" spans="1:15" ht="15" customHeight="1" x14ac:dyDescent="0.3">
      <c r="A2016" t="s">
        <v>351</v>
      </c>
      <c r="B2016" s="1">
        <v>46204</v>
      </c>
      <c r="C2016" t="s">
        <v>16</v>
      </c>
      <c r="D2016">
        <v>1853</v>
      </c>
      <c r="E2016">
        <v>1</v>
      </c>
      <c r="F2016">
        <v>2.4</v>
      </c>
      <c r="G2016" t="s">
        <v>17</v>
      </c>
      <c r="I2016" t="str">
        <f t="shared" si="46"/>
        <v>1853_1</v>
      </c>
      <c r="J2016" t="s">
        <v>241</v>
      </c>
      <c r="K2016" t="s">
        <v>179</v>
      </c>
      <c r="L2016" t="str">
        <f>_xlfn.XLOOKUP(C2016, Table2[Species],Table2[Genus], "Code Not Found")</f>
        <v>Acer</v>
      </c>
      <c r="M2016" t="str">
        <f>_xlfn.XLOOKUP(C2016, Table2[Species],Table2[Sp. Name], "Code Not Found")</f>
        <v>saccharum</v>
      </c>
      <c r="N2016" t="str">
        <f>_xlfn.XLOOKUP(C2016,Table2[Species],Table2[Family],"Code Not Found")</f>
        <v>Sapindaceae</v>
      </c>
      <c r="O2016" t="str" cm="1">
        <f t="array" ref="O2016">_xlfn.IFS(F2016="","",F2016&lt;=5,"0 to 5",F2016&lt;=10,"5.1 to 10",F2016&lt;=20,"10 to 20", F2016&lt;= 40, "20 to 40", F2016 &lt;= 50, "40 to 50", F2016 &gt; 50, "&gt;50" )</f>
        <v>0 to 5</v>
      </c>
    </row>
    <row r="2017" spans="1:15" ht="15" customHeight="1" x14ac:dyDescent="0.3">
      <c r="A2017" t="s">
        <v>351</v>
      </c>
      <c r="B2017" s="1">
        <v>46204</v>
      </c>
      <c r="C2017" t="s">
        <v>16</v>
      </c>
      <c r="D2017">
        <v>1854</v>
      </c>
      <c r="E2017">
        <v>1</v>
      </c>
      <c r="F2017">
        <v>42.1</v>
      </c>
      <c r="G2017" t="s">
        <v>51</v>
      </c>
      <c r="H2017" t="s">
        <v>426</v>
      </c>
      <c r="I2017" t="str">
        <f t="shared" si="46"/>
        <v>1854_1</v>
      </c>
      <c r="J2017" t="s">
        <v>241</v>
      </c>
      <c r="K2017" t="s">
        <v>179</v>
      </c>
      <c r="L2017" t="str">
        <f>_xlfn.XLOOKUP(C2017, Table2[Species],Table2[Genus], "Code Not Found")</f>
        <v>Acer</v>
      </c>
      <c r="M2017" t="str">
        <f>_xlfn.XLOOKUP(C2017, Table2[Species],Table2[Sp. Name], "Code Not Found")</f>
        <v>saccharum</v>
      </c>
      <c r="N2017" t="str">
        <f>_xlfn.XLOOKUP(C2017,Table2[Species],Table2[Family],"Code Not Found")</f>
        <v>Sapindaceae</v>
      </c>
      <c r="O2017" t="str" cm="1">
        <f t="array" ref="O2017">_xlfn.IFS(F2017="","",F2017&lt;=5,"0 to 5",F2017&lt;=10,"5.1 to 10",F2017&lt;=20,"10 to 20", F2017&lt;= 40, "20 to 40", F2017 &lt;= 50, "40 to 50", F2017 &gt; 50, "&gt;50" )</f>
        <v>40 to 50</v>
      </c>
    </row>
    <row r="2018" spans="1:15" ht="15" customHeight="1" x14ac:dyDescent="0.3">
      <c r="A2018" t="s">
        <v>427</v>
      </c>
      <c r="B2018" s="1">
        <v>46210</v>
      </c>
      <c r="C2018" t="s">
        <v>55</v>
      </c>
      <c r="D2018">
        <v>1855</v>
      </c>
      <c r="E2018">
        <v>1</v>
      </c>
      <c r="F2018">
        <v>10.4</v>
      </c>
      <c r="G2018" t="s">
        <v>17</v>
      </c>
      <c r="I2018" t="str">
        <f t="shared" si="46"/>
        <v>1855_1</v>
      </c>
      <c r="J2018" t="s">
        <v>428</v>
      </c>
      <c r="K2018" t="s">
        <v>429</v>
      </c>
      <c r="L2018" t="str">
        <f>_xlfn.XLOOKUP(C2018, Table2[Species],Table2[Genus], "Code Not Found")</f>
        <v>Magnolia</v>
      </c>
      <c r="M2018" t="str">
        <f>_xlfn.XLOOKUP(C2018, Table2[Species],Table2[Sp. Name], "Code Not Found")</f>
        <v>acuminata</v>
      </c>
      <c r="N2018" t="str">
        <f>_xlfn.XLOOKUP(C2018,Table2[Species],Table2[Family],"Code Not Found")</f>
        <v>Magnoliaceae</v>
      </c>
      <c r="O2018" t="str" cm="1">
        <f t="array" ref="O2018">_xlfn.IFS(F2018="","",F2018&lt;=5,"0 to 5",F2018&lt;=10,"5.1 to 10",F2018&lt;=20,"10 to 20", F2018&lt;= 40, "20 to 40", F2018 &lt;= 50, "40 to 50", F2018 &gt; 50, "&gt;50" )</f>
        <v>10 to 20</v>
      </c>
    </row>
    <row r="2019" spans="1:15" ht="15" customHeight="1" x14ac:dyDescent="0.3">
      <c r="A2019" t="s">
        <v>427</v>
      </c>
      <c r="B2019" s="1">
        <v>46210</v>
      </c>
      <c r="C2019" t="s">
        <v>430</v>
      </c>
      <c r="D2019">
        <v>1856</v>
      </c>
      <c r="E2019">
        <v>1</v>
      </c>
      <c r="F2019">
        <v>47.9</v>
      </c>
      <c r="G2019" t="s">
        <v>21</v>
      </c>
      <c r="I2019" t="str">
        <f t="shared" si="46"/>
        <v>1856_1</v>
      </c>
      <c r="J2019" t="s">
        <v>428</v>
      </c>
      <c r="K2019" t="s">
        <v>429</v>
      </c>
      <c r="L2019" t="str">
        <f>_xlfn.XLOOKUP(C2019, Table2[Species],Table2[Genus], "Code Not Found")</f>
        <v>Tsuga</v>
      </c>
      <c r="M2019" t="str">
        <f>_xlfn.XLOOKUP(C2019, Table2[Species],Table2[Sp. Name], "Code Not Found")</f>
        <v>canadensis</v>
      </c>
      <c r="N2019" t="str">
        <f>_xlfn.XLOOKUP(C2019,Table2[Species],Table2[Family],"Code Not Found")</f>
        <v>Pinaceae</v>
      </c>
      <c r="O2019" t="str" cm="1">
        <f t="array" ref="O2019">_xlfn.IFS(F2019="","",F2019&lt;=5,"0 to 5",F2019&lt;=10,"5.1 to 10",F2019&lt;=20,"10 to 20", F2019&lt;= 40, "20 to 40", F2019 &lt;= 50, "40 to 50", F2019 &gt; 50, "&gt;50" )</f>
        <v>40 to 50</v>
      </c>
    </row>
    <row r="2020" spans="1:15" ht="15" customHeight="1" x14ac:dyDescent="0.3">
      <c r="A2020" t="s">
        <v>427</v>
      </c>
      <c r="B2020" s="1">
        <v>46210</v>
      </c>
      <c r="C2020" t="s">
        <v>64</v>
      </c>
      <c r="D2020">
        <v>1857</v>
      </c>
      <c r="E2020">
        <v>1</v>
      </c>
      <c r="F2020">
        <v>7.3</v>
      </c>
      <c r="G2020" t="s">
        <v>21</v>
      </c>
      <c r="I2020" t="str">
        <f t="shared" si="46"/>
        <v>1857_1</v>
      </c>
      <c r="J2020" t="s">
        <v>428</v>
      </c>
      <c r="K2020" t="s">
        <v>429</v>
      </c>
      <c r="L2020" t="str">
        <f>_xlfn.XLOOKUP(C2020, Table2[Species],Table2[Genus], "Code Not Found")</f>
        <v>Fagus</v>
      </c>
      <c r="M2020" t="str">
        <f>_xlfn.XLOOKUP(C2020, Table2[Species],Table2[Sp. Name], "Code Not Found")</f>
        <v>grandifolia</v>
      </c>
      <c r="N2020" t="str">
        <f>_xlfn.XLOOKUP(C2020,Table2[Species],Table2[Family],"Code Not Found")</f>
        <v>Fagaceae</v>
      </c>
      <c r="O2020" t="str" cm="1">
        <f t="array" ref="O2020">_xlfn.IFS(F2020="","",F2020&lt;=5,"0 to 5",F2020&lt;=10,"5.1 to 10",F2020&lt;=20,"10 to 20", F2020&lt;= 40, "20 to 40", F2020 &lt;= 50, "40 to 50", F2020 &gt; 50, "&gt;50" )</f>
        <v>5.1 to 10</v>
      </c>
    </row>
    <row r="2021" spans="1:15" ht="15" customHeight="1" x14ac:dyDescent="0.3">
      <c r="A2021" t="s">
        <v>427</v>
      </c>
      <c r="B2021" s="1">
        <v>46210</v>
      </c>
      <c r="C2021" t="s">
        <v>430</v>
      </c>
      <c r="D2021">
        <v>1858</v>
      </c>
      <c r="E2021">
        <v>1</v>
      </c>
      <c r="F2021">
        <v>51.8</v>
      </c>
      <c r="G2021" t="s">
        <v>56</v>
      </c>
      <c r="H2021" t="s">
        <v>346</v>
      </c>
      <c r="I2021" t="str">
        <f t="shared" si="46"/>
        <v>1858_1</v>
      </c>
      <c r="J2021" t="s">
        <v>428</v>
      </c>
      <c r="K2021" t="s">
        <v>429</v>
      </c>
      <c r="L2021" t="str">
        <f>_xlfn.XLOOKUP(C2021, Table2[Species],Table2[Genus], "Code Not Found")</f>
        <v>Tsuga</v>
      </c>
      <c r="M2021" t="str">
        <f>_xlfn.XLOOKUP(C2021, Table2[Species],Table2[Sp. Name], "Code Not Found")</f>
        <v>canadensis</v>
      </c>
      <c r="N2021" t="str">
        <f>_xlfn.XLOOKUP(C2021,Table2[Species],Table2[Family],"Code Not Found")</f>
        <v>Pinaceae</v>
      </c>
      <c r="O2021" t="str" cm="1">
        <f t="array" ref="O2021">_xlfn.IFS(F2021="","",F2021&lt;=5,"0 to 5",F2021&lt;=10,"5.1 to 10",F2021&lt;=20,"10 to 20", F2021&lt;= 40, "20 to 40", F2021 &lt;= 50, "40 to 50", F2021 &gt; 50, "&gt;50" )</f>
        <v>&gt;50</v>
      </c>
    </row>
    <row r="2022" spans="1:15" ht="15" customHeight="1" x14ac:dyDescent="0.3">
      <c r="A2022" t="s">
        <v>427</v>
      </c>
      <c r="B2022" s="1">
        <v>46210</v>
      </c>
      <c r="C2022" t="s">
        <v>430</v>
      </c>
      <c r="D2022">
        <v>1859</v>
      </c>
      <c r="E2022">
        <v>1</v>
      </c>
      <c r="F2022">
        <v>4.5</v>
      </c>
      <c r="G2022" t="s">
        <v>88</v>
      </c>
      <c r="H2022" t="s">
        <v>431</v>
      </c>
      <c r="I2022" t="str">
        <f t="shared" si="46"/>
        <v>1859_1</v>
      </c>
      <c r="J2022" t="s">
        <v>428</v>
      </c>
      <c r="K2022" t="s">
        <v>429</v>
      </c>
      <c r="L2022" t="str">
        <f>_xlfn.XLOOKUP(C2022, Table2[Species],Table2[Genus], "Code Not Found")</f>
        <v>Tsuga</v>
      </c>
      <c r="M2022" t="str">
        <f>_xlfn.XLOOKUP(C2022, Table2[Species],Table2[Sp. Name], "Code Not Found")</f>
        <v>canadensis</v>
      </c>
      <c r="N2022" t="str">
        <f>_xlfn.XLOOKUP(C2022,Table2[Species],Table2[Family],"Code Not Found")</f>
        <v>Pinaceae</v>
      </c>
      <c r="O2022" t="str" cm="1">
        <f t="array" ref="O2022">_xlfn.IFS(F2022="","",F2022&lt;=5,"0 to 5",F2022&lt;=10,"5.1 to 10",F2022&lt;=20,"10 to 20", F2022&lt;= 40, "20 to 40", F2022 &lt;= 50, "40 to 50", F2022 &gt; 50, "&gt;50" )</f>
        <v>0 to 5</v>
      </c>
    </row>
    <row r="2023" spans="1:15" ht="15" customHeight="1" x14ac:dyDescent="0.3">
      <c r="A2023" t="s">
        <v>427</v>
      </c>
      <c r="B2023" s="1">
        <v>46210</v>
      </c>
      <c r="C2023" t="s">
        <v>430</v>
      </c>
      <c r="D2023">
        <v>1860</v>
      </c>
      <c r="E2023">
        <v>1</v>
      </c>
      <c r="F2023">
        <v>2.5</v>
      </c>
      <c r="G2023" t="s">
        <v>17</v>
      </c>
      <c r="H2023" t="s">
        <v>332</v>
      </c>
      <c r="I2023" t="str">
        <f t="shared" si="46"/>
        <v>1860_1</v>
      </c>
      <c r="J2023" t="s">
        <v>428</v>
      </c>
      <c r="K2023" t="s">
        <v>429</v>
      </c>
      <c r="L2023" t="str">
        <f>_xlfn.XLOOKUP(C2023, Table2[Species],Table2[Genus], "Code Not Found")</f>
        <v>Tsuga</v>
      </c>
      <c r="M2023" t="str">
        <f>_xlfn.XLOOKUP(C2023, Table2[Species],Table2[Sp. Name], "Code Not Found")</f>
        <v>canadensis</v>
      </c>
      <c r="N2023" t="str">
        <f>_xlfn.XLOOKUP(C2023,Table2[Species],Table2[Family],"Code Not Found")</f>
        <v>Pinaceae</v>
      </c>
      <c r="O2023" t="str" cm="1">
        <f t="array" ref="O2023">_xlfn.IFS(F2023="","",F2023&lt;=5,"0 to 5",F2023&lt;=10,"5.1 to 10",F2023&lt;=20,"10 to 20", F2023&lt;= 40, "20 to 40", F2023 &lt;= 50, "40 to 50", F2023 &gt; 50, "&gt;50" )</f>
        <v>0 to 5</v>
      </c>
    </row>
    <row r="2024" spans="1:15" ht="15" customHeight="1" x14ac:dyDescent="0.3">
      <c r="A2024" t="s">
        <v>427</v>
      </c>
      <c r="B2024" s="1">
        <v>46210</v>
      </c>
      <c r="C2024" t="s">
        <v>430</v>
      </c>
      <c r="D2024">
        <v>1861</v>
      </c>
      <c r="E2024">
        <v>1</v>
      </c>
      <c r="F2024">
        <v>5.9</v>
      </c>
      <c r="G2024" t="s">
        <v>88</v>
      </c>
      <c r="H2024" t="s">
        <v>432</v>
      </c>
      <c r="I2024" t="str">
        <f t="shared" si="46"/>
        <v>1861_1</v>
      </c>
      <c r="J2024" t="s">
        <v>428</v>
      </c>
      <c r="K2024" t="s">
        <v>429</v>
      </c>
      <c r="L2024" t="str">
        <f>_xlfn.XLOOKUP(C2024, Table2[Species],Table2[Genus], "Code Not Found")</f>
        <v>Tsuga</v>
      </c>
      <c r="M2024" t="str">
        <f>_xlfn.XLOOKUP(C2024, Table2[Species],Table2[Sp. Name], "Code Not Found")</f>
        <v>canadensis</v>
      </c>
      <c r="N2024" t="str">
        <f>_xlfn.XLOOKUP(C2024,Table2[Species],Table2[Family],"Code Not Found")</f>
        <v>Pinaceae</v>
      </c>
      <c r="O2024" t="str" cm="1">
        <f t="array" ref="O2024">_xlfn.IFS(F2024="","",F2024&lt;=5,"0 to 5",F2024&lt;=10,"5.1 to 10",F2024&lt;=20,"10 to 20", F2024&lt;= 40, "20 to 40", F2024 &lt;= 50, "40 to 50", F2024 &gt; 50, "&gt;50" )</f>
        <v>5.1 to 10</v>
      </c>
    </row>
    <row r="2025" spans="1:15" ht="15" customHeight="1" x14ac:dyDescent="0.3">
      <c r="A2025" t="s">
        <v>427</v>
      </c>
      <c r="B2025" s="1">
        <v>46210</v>
      </c>
      <c r="C2025" t="s">
        <v>430</v>
      </c>
      <c r="D2025">
        <v>1862</v>
      </c>
      <c r="E2025">
        <v>1</v>
      </c>
      <c r="F2025">
        <v>13.5</v>
      </c>
      <c r="G2025" t="s">
        <v>17</v>
      </c>
      <c r="I2025" t="str">
        <f t="shared" si="46"/>
        <v>1862_1</v>
      </c>
      <c r="J2025" t="s">
        <v>428</v>
      </c>
      <c r="K2025" t="s">
        <v>429</v>
      </c>
      <c r="L2025" t="str">
        <f>_xlfn.XLOOKUP(C2025, Table2[Species],Table2[Genus], "Code Not Found")</f>
        <v>Tsuga</v>
      </c>
      <c r="M2025" t="str">
        <f>_xlfn.XLOOKUP(C2025, Table2[Species],Table2[Sp. Name], "Code Not Found")</f>
        <v>canadensis</v>
      </c>
      <c r="N2025" t="str">
        <f>_xlfn.XLOOKUP(C2025,Table2[Species],Table2[Family],"Code Not Found")</f>
        <v>Pinaceae</v>
      </c>
      <c r="O2025" t="str" cm="1">
        <f t="array" ref="O2025">_xlfn.IFS(F2025="","",F2025&lt;=5,"0 to 5",F2025&lt;=10,"5.1 to 10",F2025&lt;=20,"10 to 20", F2025&lt;= 40, "20 to 40", F2025 &lt;= 50, "40 to 50", F2025 &gt; 50, "&gt;50" )</f>
        <v>10 to 20</v>
      </c>
    </row>
    <row r="2026" spans="1:15" ht="15" customHeight="1" x14ac:dyDescent="0.3">
      <c r="A2026" t="s">
        <v>427</v>
      </c>
      <c r="B2026" s="1">
        <v>46210</v>
      </c>
      <c r="C2026" t="s">
        <v>64</v>
      </c>
      <c r="D2026">
        <v>1863</v>
      </c>
      <c r="E2026">
        <v>1</v>
      </c>
      <c r="F2026">
        <v>5.5</v>
      </c>
      <c r="G2026" t="s">
        <v>30</v>
      </c>
      <c r="H2026" t="s">
        <v>433</v>
      </c>
      <c r="I2026" t="str">
        <f t="shared" si="46"/>
        <v>1863_1</v>
      </c>
      <c r="J2026" t="s">
        <v>428</v>
      </c>
      <c r="K2026" t="s">
        <v>429</v>
      </c>
      <c r="L2026" t="str">
        <f>_xlfn.XLOOKUP(C2026, Table2[Species],Table2[Genus], "Code Not Found")</f>
        <v>Fagus</v>
      </c>
      <c r="M2026" t="str">
        <f>_xlfn.XLOOKUP(C2026, Table2[Species],Table2[Sp. Name], "Code Not Found")</f>
        <v>grandifolia</v>
      </c>
      <c r="N2026" t="str">
        <f>_xlfn.XLOOKUP(C2026,Table2[Species],Table2[Family],"Code Not Found")</f>
        <v>Fagaceae</v>
      </c>
      <c r="O2026" t="str" cm="1">
        <f t="array" ref="O2026">_xlfn.IFS(F2026="","",F2026&lt;=5,"0 to 5",F2026&lt;=10,"5.1 to 10",F2026&lt;=20,"10 to 20", F2026&lt;= 40, "20 to 40", F2026 &lt;= 50, "40 to 50", F2026 &gt; 50, "&gt;50" )</f>
        <v>5.1 to 10</v>
      </c>
    </row>
    <row r="2027" spans="1:15" ht="15" customHeight="1" x14ac:dyDescent="0.3">
      <c r="A2027" t="s">
        <v>427</v>
      </c>
      <c r="B2027" s="1">
        <v>46210</v>
      </c>
      <c r="C2027" t="s">
        <v>24</v>
      </c>
      <c r="D2027">
        <v>1864</v>
      </c>
      <c r="E2027">
        <v>1</v>
      </c>
      <c r="F2027">
        <v>94</v>
      </c>
      <c r="G2027" t="s">
        <v>21</v>
      </c>
      <c r="H2027" t="s">
        <v>434</v>
      </c>
      <c r="I2027" t="str">
        <f t="shared" si="46"/>
        <v>1864_1</v>
      </c>
      <c r="J2027" t="s">
        <v>428</v>
      </c>
      <c r="K2027" t="s">
        <v>429</v>
      </c>
      <c r="L2027" t="str">
        <f>_xlfn.XLOOKUP(C2027, Table2[Species],Table2[Genus], "Code Not Found")</f>
        <v>Lirodendron</v>
      </c>
      <c r="M2027" t="str">
        <f>_xlfn.XLOOKUP(C2027, Table2[Species],Table2[Sp. Name], "Code Not Found")</f>
        <v>tulipfera</v>
      </c>
      <c r="N2027" t="str">
        <f>_xlfn.XLOOKUP(C2027,Table2[Species],Table2[Family],"Code Not Found")</f>
        <v>Magnoliaceae</v>
      </c>
      <c r="O2027" t="str" cm="1">
        <f t="array" ref="O2027">_xlfn.IFS(F2027="","",F2027&lt;=5,"0 to 5",F2027&lt;=10,"5.1 to 10",F2027&lt;=20,"10 to 20", F2027&lt;= 40, "20 to 40", F2027 &lt;= 50, "40 to 50", F2027 &gt; 50, "&gt;50" )</f>
        <v>&gt;50</v>
      </c>
    </row>
    <row r="2028" spans="1:15" ht="15" customHeight="1" x14ac:dyDescent="0.3">
      <c r="A2028" t="s">
        <v>427</v>
      </c>
      <c r="B2028" s="1">
        <v>46210</v>
      </c>
      <c r="C2028" t="s">
        <v>59</v>
      </c>
      <c r="D2028">
        <v>1865</v>
      </c>
      <c r="E2028">
        <v>1</v>
      </c>
      <c r="F2028">
        <v>4.3</v>
      </c>
      <c r="G2028" t="s">
        <v>47</v>
      </c>
      <c r="H2028" t="s">
        <v>296</v>
      </c>
      <c r="I2028" t="str">
        <f t="shared" si="46"/>
        <v>1865_1</v>
      </c>
      <c r="J2028" t="s">
        <v>428</v>
      </c>
      <c r="K2028" t="s">
        <v>429</v>
      </c>
      <c r="L2028" t="str">
        <f>_xlfn.XLOOKUP(C2028, Table2[Species],Table2[Genus], "Code Not Found")</f>
        <v>Nyssa</v>
      </c>
      <c r="M2028" t="str">
        <f>_xlfn.XLOOKUP(C2028, Table2[Species],Table2[Sp. Name], "Code Not Found")</f>
        <v>sylvatica</v>
      </c>
      <c r="N2028" t="str">
        <f>_xlfn.XLOOKUP(C2028,Table2[Species],Table2[Family],"Code Not Found")</f>
        <v>Nyssaceae</v>
      </c>
      <c r="O2028" t="str" cm="1">
        <f t="array" ref="O2028">_xlfn.IFS(F2028="","",F2028&lt;=5,"0 to 5",F2028&lt;=10,"5.1 to 10",F2028&lt;=20,"10 to 20", F2028&lt;= 40, "20 to 40", F2028 &lt;= 50, "40 to 50", F2028 &gt; 50, "&gt;50" )</f>
        <v>0 to 5</v>
      </c>
    </row>
    <row r="2029" spans="1:15" ht="15" customHeight="1" x14ac:dyDescent="0.3">
      <c r="A2029" t="s">
        <v>427</v>
      </c>
      <c r="B2029" s="1">
        <v>46210</v>
      </c>
      <c r="C2029" t="s">
        <v>64</v>
      </c>
      <c r="D2029">
        <v>1866</v>
      </c>
      <c r="E2029">
        <v>1</v>
      </c>
      <c r="F2029">
        <v>4.2</v>
      </c>
      <c r="G2029" t="s">
        <v>17</v>
      </c>
      <c r="H2029" t="s">
        <v>36</v>
      </c>
      <c r="I2029" t="str">
        <f t="shared" si="46"/>
        <v>1866_1</v>
      </c>
      <c r="J2029" t="s">
        <v>428</v>
      </c>
      <c r="K2029" t="s">
        <v>429</v>
      </c>
      <c r="L2029" t="str">
        <f>_xlfn.XLOOKUP(C2029, Table2[Species],Table2[Genus], "Code Not Found")</f>
        <v>Fagus</v>
      </c>
      <c r="M2029" t="str">
        <f>_xlfn.XLOOKUP(C2029, Table2[Species],Table2[Sp. Name], "Code Not Found")</f>
        <v>grandifolia</v>
      </c>
      <c r="N2029" t="str">
        <f>_xlfn.XLOOKUP(C2029,Table2[Species],Table2[Family],"Code Not Found")</f>
        <v>Fagaceae</v>
      </c>
      <c r="O2029" t="str" cm="1">
        <f t="array" ref="O2029">_xlfn.IFS(F2029="","",F2029&lt;=5,"0 to 5",F2029&lt;=10,"5.1 to 10",F2029&lt;=20,"10 to 20", F2029&lt;= 40, "20 to 40", F2029 &lt;= 50, "40 to 50", F2029 &gt; 50, "&gt;50" )</f>
        <v>0 to 5</v>
      </c>
    </row>
    <row r="2030" spans="1:15" ht="15" customHeight="1" x14ac:dyDescent="0.3">
      <c r="A2030" t="s">
        <v>427</v>
      </c>
      <c r="B2030" s="1">
        <v>46210</v>
      </c>
      <c r="C2030" t="s">
        <v>430</v>
      </c>
      <c r="D2030">
        <v>1867</v>
      </c>
      <c r="E2030">
        <v>1</v>
      </c>
      <c r="F2030">
        <v>57.4</v>
      </c>
      <c r="G2030" t="s">
        <v>17</v>
      </c>
      <c r="H2030" t="s">
        <v>36</v>
      </c>
      <c r="I2030" t="str">
        <f t="shared" si="46"/>
        <v>1867_1</v>
      </c>
      <c r="J2030" t="s">
        <v>428</v>
      </c>
      <c r="K2030" t="s">
        <v>429</v>
      </c>
      <c r="L2030" t="str">
        <f>_xlfn.XLOOKUP(C2030, Table2[Species],Table2[Genus], "Code Not Found")</f>
        <v>Tsuga</v>
      </c>
      <c r="M2030" t="str">
        <f>_xlfn.XLOOKUP(C2030, Table2[Species],Table2[Sp. Name], "Code Not Found")</f>
        <v>canadensis</v>
      </c>
      <c r="N2030" t="str">
        <f>_xlfn.XLOOKUP(C2030,Table2[Species],Table2[Family],"Code Not Found")</f>
        <v>Pinaceae</v>
      </c>
      <c r="O2030" t="str" cm="1">
        <f t="array" ref="O2030">_xlfn.IFS(F2030="","",F2030&lt;=5,"0 to 5",F2030&lt;=10,"5.1 to 10",F2030&lt;=20,"10 to 20", F2030&lt;= 40, "20 to 40", F2030 &lt;= 50, "40 to 50", F2030 &gt; 50, "&gt;50" )</f>
        <v>&gt;50</v>
      </c>
    </row>
    <row r="2031" spans="1:15" ht="15" customHeight="1" x14ac:dyDescent="0.3">
      <c r="A2031" t="s">
        <v>427</v>
      </c>
      <c r="B2031" s="1">
        <v>46210</v>
      </c>
      <c r="C2031" t="s">
        <v>64</v>
      </c>
      <c r="D2031">
        <v>1868</v>
      </c>
      <c r="E2031">
        <v>1</v>
      </c>
      <c r="F2031">
        <v>6.5</v>
      </c>
      <c r="G2031" t="s">
        <v>30</v>
      </c>
      <c r="H2031" t="s">
        <v>262</v>
      </c>
      <c r="I2031" t="str">
        <f t="shared" si="46"/>
        <v>1868_1</v>
      </c>
      <c r="J2031" t="s">
        <v>428</v>
      </c>
      <c r="K2031" t="s">
        <v>429</v>
      </c>
      <c r="L2031" t="str">
        <f>_xlfn.XLOOKUP(C2031, Table2[Species],Table2[Genus], "Code Not Found")</f>
        <v>Fagus</v>
      </c>
      <c r="M2031" t="str">
        <f>_xlfn.XLOOKUP(C2031, Table2[Species],Table2[Sp. Name], "Code Not Found")</f>
        <v>grandifolia</v>
      </c>
      <c r="N2031" t="str">
        <f>_xlfn.XLOOKUP(C2031,Table2[Species],Table2[Family],"Code Not Found")</f>
        <v>Fagaceae</v>
      </c>
      <c r="O2031" t="str" cm="1">
        <f t="array" ref="O2031">_xlfn.IFS(F2031="","",F2031&lt;=5,"0 to 5",F2031&lt;=10,"5.1 to 10",F2031&lt;=20,"10 to 20", F2031&lt;= 40, "20 to 40", F2031 &lt;= 50, "40 to 50", F2031 &gt; 50, "&gt;50" )</f>
        <v>5.1 to 10</v>
      </c>
    </row>
    <row r="2032" spans="1:15" ht="15" customHeight="1" x14ac:dyDescent="0.3">
      <c r="A2032" t="s">
        <v>427</v>
      </c>
      <c r="B2032" s="1">
        <v>46210</v>
      </c>
      <c r="C2032" t="s">
        <v>64</v>
      </c>
      <c r="D2032">
        <v>1869</v>
      </c>
      <c r="E2032">
        <v>1</v>
      </c>
      <c r="F2032">
        <v>4.0999999999999996</v>
      </c>
      <c r="G2032" t="s">
        <v>21</v>
      </c>
      <c r="I2032" t="str">
        <f t="shared" si="46"/>
        <v>1869_1</v>
      </c>
      <c r="J2032" t="s">
        <v>428</v>
      </c>
      <c r="K2032" t="s">
        <v>429</v>
      </c>
      <c r="L2032" t="str">
        <f>_xlfn.XLOOKUP(C2032, Table2[Species],Table2[Genus], "Code Not Found")</f>
        <v>Fagus</v>
      </c>
      <c r="M2032" t="str">
        <f>_xlfn.XLOOKUP(C2032, Table2[Species],Table2[Sp. Name], "Code Not Found")</f>
        <v>grandifolia</v>
      </c>
      <c r="N2032" t="str">
        <f>_xlfn.XLOOKUP(C2032,Table2[Species],Table2[Family],"Code Not Found")</f>
        <v>Fagaceae</v>
      </c>
      <c r="O2032" t="str" cm="1">
        <f t="array" ref="O2032">_xlfn.IFS(F2032="","",F2032&lt;=5,"0 to 5",F2032&lt;=10,"5.1 to 10",F2032&lt;=20,"10 to 20", F2032&lt;= 40, "20 to 40", F2032 &lt;= 50, "40 to 50", F2032 &gt; 50, "&gt;50" )</f>
        <v>0 to 5</v>
      </c>
    </row>
    <row r="2033" spans="1:15" ht="15" customHeight="1" x14ac:dyDescent="0.3">
      <c r="A2033" t="s">
        <v>427</v>
      </c>
      <c r="B2033" s="1">
        <v>46210</v>
      </c>
      <c r="C2033" t="s">
        <v>64</v>
      </c>
      <c r="D2033">
        <v>1870</v>
      </c>
      <c r="E2033">
        <v>1</v>
      </c>
      <c r="F2033">
        <v>3.6</v>
      </c>
      <c r="G2033" t="s">
        <v>21</v>
      </c>
      <c r="I2033" t="str">
        <f t="shared" si="46"/>
        <v>1870_1</v>
      </c>
      <c r="J2033" t="s">
        <v>428</v>
      </c>
      <c r="K2033" t="s">
        <v>429</v>
      </c>
      <c r="L2033" t="str">
        <f>_xlfn.XLOOKUP(C2033, Table2[Species],Table2[Genus], "Code Not Found")</f>
        <v>Fagus</v>
      </c>
      <c r="M2033" t="str">
        <f>_xlfn.XLOOKUP(C2033, Table2[Species],Table2[Sp. Name], "Code Not Found")</f>
        <v>grandifolia</v>
      </c>
      <c r="N2033" t="str">
        <f>_xlfn.XLOOKUP(C2033,Table2[Species],Table2[Family],"Code Not Found")</f>
        <v>Fagaceae</v>
      </c>
      <c r="O2033" t="str" cm="1">
        <f t="array" ref="O2033">_xlfn.IFS(F2033="","",F2033&lt;=5,"0 to 5",F2033&lt;=10,"5.1 to 10",F2033&lt;=20,"10 to 20", F2033&lt;= 40, "20 to 40", F2033 &lt;= 50, "40 to 50", F2033 &gt; 50, "&gt;50" )</f>
        <v>0 to 5</v>
      </c>
    </row>
    <row r="2034" spans="1:15" ht="15" customHeight="1" x14ac:dyDescent="0.3">
      <c r="A2034" t="s">
        <v>427</v>
      </c>
      <c r="B2034" s="1">
        <v>46210</v>
      </c>
      <c r="C2034" t="s">
        <v>64</v>
      </c>
      <c r="D2034">
        <v>1871</v>
      </c>
      <c r="E2034">
        <v>1</v>
      </c>
      <c r="F2034">
        <v>5.2</v>
      </c>
      <c r="G2034" t="s">
        <v>17</v>
      </c>
      <c r="H2034" t="s">
        <v>36</v>
      </c>
      <c r="I2034" t="str">
        <f t="shared" si="46"/>
        <v>1871_1</v>
      </c>
      <c r="J2034" t="s">
        <v>428</v>
      </c>
      <c r="K2034" t="s">
        <v>429</v>
      </c>
      <c r="L2034" t="str">
        <f>_xlfn.XLOOKUP(C2034, Table2[Species],Table2[Genus], "Code Not Found")</f>
        <v>Fagus</v>
      </c>
      <c r="M2034" t="str">
        <f>_xlfn.XLOOKUP(C2034, Table2[Species],Table2[Sp. Name], "Code Not Found")</f>
        <v>grandifolia</v>
      </c>
      <c r="N2034" t="str">
        <f>_xlfn.XLOOKUP(C2034,Table2[Species],Table2[Family],"Code Not Found")</f>
        <v>Fagaceae</v>
      </c>
      <c r="O2034" t="str" cm="1">
        <f t="array" ref="O2034">_xlfn.IFS(F2034="","",F2034&lt;=5,"0 to 5",F2034&lt;=10,"5.1 to 10",F2034&lt;=20,"10 to 20", F2034&lt;= 40, "20 to 40", F2034 &lt;= 50, "40 to 50", F2034 &gt; 50, "&gt;50" )</f>
        <v>5.1 to 10</v>
      </c>
    </row>
    <row r="2035" spans="1:15" ht="15" customHeight="1" x14ac:dyDescent="0.3">
      <c r="A2035" t="s">
        <v>427</v>
      </c>
      <c r="B2035" s="1">
        <v>46210</v>
      </c>
      <c r="C2035" t="s">
        <v>430</v>
      </c>
      <c r="D2035">
        <v>1872</v>
      </c>
      <c r="E2035">
        <v>1</v>
      </c>
      <c r="F2035">
        <v>11.7</v>
      </c>
      <c r="G2035" t="s">
        <v>17</v>
      </c>
      <c r="H2035" t="s">
        <v>435</v>
      </c>
      <c r="I2035" t="str">
        <f t="shared" si="46"/>
        <v>1872_1</v>
      </c>
      <c r="J2035" t="s">
        <v>428</v>
      </c>
      <c r="K2035" t="s">
        <v>429</v>
      </c>
      <c r="L2035" t="str">
        <f>_xlfn.XLOOKUP(C2035, Table2[Species],Table2[Genus], "Code Not Found")</f>
        <v>Tsuga</v>
      </c>
      <c r="M2035" t="str">
        <f>_xlfn.XLOOKUP(C2035, Table2[Species],Table2[Sp. Name], "Code Not Found")</f>
        <v>canadensis</v>
      </c>
      <c r="N2035" t="str">
        <f>_xlfn.XLOOKUP(C2035,Table2[Species],Table2[Family],"Code Not Found")</f>
        <v>Pinaceae</v>
      </c>
      <c r="O2035" t="str" cm="1">
        <f t="array" ref="O2035">_xlfn.IFS(F2035="","",F2035&lt;=5,"0 to 5",F2035&lt;=10,"5.1 to 10",F2035&lt;=20,"10 to 20", F2035&lt;= 40, "20 to 40", F2035 &lt;= 50, "40 to 50", F2035 &gt; 50, "&gt;50" )</f>
        <v>10 to 20</v>
      </c>
    </row>
    <row r="2036" spans="1:15" ht="15" customHeight="1" x14ac:dyDescent="0.3">
      <c r="A2036" t="s">
        <v>427</v>
      </c>
      <c r="B2036" s="1">
        <v>46210</v>
      </c>
      <c r="C2036" t="s">
        <v>64</v>
      </c>
      <c r="D2036">
        <v>1873</v>
      </c>
      <c r="E2036">
        <v>1</v>
      </c>
      <c r="F2036">
        <v>57.3</v>
      </c>
      <c r="G2036" t="s">
        <v>32</v>
      </c>
      <c r="I2036" t="str">
        <f t="shared" si="46"/>
        <v>1873_1</v>
      </c>
      <c r="J2036" t="s">
        <v>428</v>
      </c>
      <c r="K2036" t="s">
        <v>429</v>
      </c>
      <c r="L2036" t="str">
        <f>_xlfn.XLOOKUP(C2036, Table2[Species],Table2[Genus], "Code Not Found")</f>
        <v>Fagus</v>
      </c>
      <c r="M2036" t="str">
        <f>_xlfn.XLOOKUP(C2036, Table2[Species],Table2[Sp. Name], "Code Not Found")</f>
        <v>grandifolia</v>
      </c>
      <c r="N2036" t="str">
        <f>_xlfn.XLOOKUP(C2036,Table2[Species],Table2[Family],"Code Not Found")</f>
        <v>Fagaceae</v>
      </c>
      <c r="O2036" t="str" cm="1">
        <f t="array" ref="O2036">_xlfn.IFS(F2036="","",F2036&lt;=5,"0 to 5",F2036&lt;=10,"5.1 to 10",F2036&lt;=20,"10 to 20", F2036&lt;= 40, "20 to 40", F2036 &lt;= 50, "40 to 50", F2036 &gt; 50, "&gt;50" )</f>
        <v>&gt;50</v>
      </c>
    </row>
    <row r="2037" spans="1:15" ht="15" customHeight="1" x14ac:dyDescent="0.3">
      <c r="A2037" t="s">
        <v>427</v>
      </c>
      <c r="B2037" s="1">
        <v>46210</v>
      </c>
      <c r="C2037" t="s">
        <v>64</v>
      </c>
      <c r="D2037">
        <v>1873</v>
      </c>
      <c r="E2037">
        <v>2</v>
      </c>
      <c r="F2037">
        <v>4.4000000000000004</v>
      </c>
      <c r="G2037" t="s">
        <v>32</v>
      </c>
      <c r="I2037" t="str">
        <f t="shared" si="46"/>
        <v>1873_2</v>
      </c>
      <c r="J2037" t="s">
        <v>428</v>
      </c>
      <c r="K2037" t="s">
        <v>429</v>
      </c>
      <c r="L2037" t="str">
        <f>_xlfn.XLOOKUP(C2037, Table2[Species],Table2[Genus], "Code Not Found")</f>
        <v>Fagus</v>
      </c>
      <c r="M2037" t="str">
        <f>_xlfn.XLOOKUP(C2037, Table2[Species],Table2[Sp. Name], "Code Not Found")</f>
        <v>grandifolia</v>
      </c>
      <c r="N2037" t="str">
        <f>_xlfn.XLOOKUP(C2037,Table2[Species],Table2[Family],"Code Not Found")</f>
        <v>Fagaceae</v>
      </c>
      <c r="O2037" t="str" cm="1">
        <f t="array" ref="O2037">_xlfn.IFS(F2037="","",F2037&lt;=5,"0 to 5",F2037&lt;=10,"5.1 to 10",F2037&lt;=20,"10 to 20", F2037&lt;= 40, "20 to 40", F2037 &lt;= 50, "40 to 50", F2037 &gt; 50, "&gt;50" )</f>
        <v>0 to 5</v>
      </c>
    </row>
    <row r="2038" spans="1:15" ht="15" customHeight="1" x14ac:dyDescent="0.3">
      <c r="A2038" t="s">
        <v>427</v>
      </c>
      <c r="B2038" s="1">
        <v>46210</v>
      </c>
      <c r="C2038" t="s">
        <v>64</v>
      </c>
      <c r="D2038">
        <v>1873</v>
      </c>
      <c r="E2038">
        <v>3</v>
      </c>
      <c r="F2038">
        <v>3</v>
      </c>
      <c r="G2038" t="s">
        <v>61</v>
      </c>
      <c r="H2038" t="s">
        <v>436</v>
      </c>
      <c r="I2038" t="str">
        <f t="shared" si="46"/>
        <v>1873_3</v>
      </c>
      <c r="J2038" t="s">
        <v>428</v>
      </c>
      <c r="K2038" t="s">
        <v>429</v>
      </c>
      <c r="L2038" t="str">
        <f>_xlfn.XLOOKUP(C2038, Table2[Species],Table2[Genus], "Code Not Found")</f>
        <v>Fagus</v>
      </c>
      <c r="M2038" t="str">
        <f>_xlfn.XLOOKUP(C2038, Table2[Species],Table2[Sp. Name], "Code Not Found")</f>
        <v>grandifolia</v>
      </c>
      <c r="N2038" t="str">
        <f>_xlfn.XLOOKUP(C2038,Table2[Species],Table2[Family],"Code Not Found")</f>
        <v>Fagaceae</v>
      </c>
      <c r="O2038" t="str" cm="1">
        <f t="array" ref="O2038">_xlfn.IFS(F2038="","",F2038&lt;=5,"0 to 5",F2038&lt;=10,"5.1 to 10",F2038&lt;=20,"10 to 20", F2038&lt;= 40, "20 to 40", F2038 &lt;= 50, "40 to 50", F2038 &gt; 50, "&gt;50" )</f>
        <v>0 to 5</v>
      </c>
    </row>
    <row r="2039" spans="1:15" ht="15" customHeight="1" x14ac:dyDescent="0.3">
      <c r="A2039" t="s">
        <v>427</v>
      </c>
      <c r="B2039" s="1">
        <v>46210</v>
      </c>
      <c r="C2039" t="s">
        <v>430</v>
      </c>
      <c r="D2039">
        <v>1874</v>
      </c>
      <c r="E2039">
        <v>1</v>
      </c>
      <c r="F2039">
        <v>39</v>
      </c>
      <c r="G2039" t="s">
        <v>17</v>
      </c>
      <c r="I2039" t="str">
        <f t="shared" si="46"/>
        <v>1874_1</v>
      </c>
      <c r="J2039" t="s">
        <v>428</v>
      </c>
      <c r="K2039" t="s">
        <v>429</v>
      </c>
      <c r="L2039" t="str">
        <f>_xlfn.XLOOKUP(C2039, Table2[Species],Table2[Genus], "Code Not Found")</f>
        <v>Tsuga</v>
      </c>
      <c r="M2039" t="str">
        <f>_xlfn.XLOOKUP(C2039, Table2[Species],Table2[Sp. Name], "Code Not Found")</f>
        <v>canadensis</v>
      </c>
      <c r="N2039" t="str">
        <f>_xlfn.XLOOKUP(C2039,Table2[Species],Table2[Family],"Code Not Found")</f>
        <v>Pinaceae</v>
      </c>
      <c r="O2039" t="str" cm="1">
        <f t="array" ref="O2039">_xlfn.IFS(F2039="","",F2039&lt;=5,"0 to 5",F2039&lt;=10,"5.1 to 10",F2039&lt;=20,"10 to 20", F2039&lt;= 40, "20 to 40", F2039 &lt;= 50, "40 to 50", F2039 &gt; 50, "&gt;50" )</f>
        <v>20 to 40</v>
      </c>
    </row>
    <row r="2040" spans="1:15" ht="15" customHeight="1" x14ac:dyDescent="0.3">
      <c r="A2040" t="s">
        <v>427</v>
      </c>
      <c r="B2040" s="1">
        <v>46210</v>
      </c>
      <c r="C2040" t="s">
        <v>64</v>
      </c>
      <c r="D2040">
        <v>1875</v>
      </c>
      <c r="E2040">
        <v>1</v>
      </c>
      <c r="F2040">
        <v>1.7</v>
      </c>
      <c r="G2040" t="s">
        <v>138</v>
      </c>
      <c r="I2040" t="str">
        <f t="shared" si="46"/>
        <v>1875_1</v>
      </c>
      <c r="J2040" t="s">
        <v>428</v>
      </c>
      <c r="K2040" t="s">
        <v>429</v>
      </c>
      <c r="L2040" t="str">
        <f>_xlfn.XLOOKUP(C2040, Table2[Species],Table2[Genus], "Code Not Found")</f>
        <v>Fagus</v>
      </c>
      <c r="M2040" t="str">
        <f>_xlfn.XLOOKUP(C2040, Table2[Species],Table2[Sp. Name], "Code Not Found")</f>
        <v>grandifolia</v>
      </c>
      <c r="N2040" t="str">
        <f>_xlfn.XLOOKUP(C2040,Table2[Species],Table2[Family],"Code Not Found")</f>
        <v>Fagaceae</v>
      </c>
      <c r="O2040" t="str" cm="1">
        <f t="array" ref="O2040">_xlfn.IFS(F2040="","",F2040&lt;=5,"0 to 5",F2040&lt;=10,"5.1 to 10",F2040&lt;=20,"10 to 20", F2040&lt;= 40, "20 to 40", F2040 &lt;= 50, "40 to 50", F2040 &gt; 50, "&gt;50" )</f>
        <v>0 to 5</v>
      </c>
    </row>
    <row r="2041" spans="1:15" ht="15" customHeight="1" x14ac:dyDescent="0.3">
      <c r="A2041" t="s">
        <v>427</v>
      </c>
      <c r="B2041" s="1">
        <v>46210</v>
      </c>
      <c r="C2041" t="s">
        <v>55</v>
      </c>
      <c r="D2041">
        <v>1876</v>
      </c>
      <c r="E2041">
        <v>1</v>
      </c>
      <c r="F2041">
        <v>27.2</v>
      </c>
      <c r="G2041" t="s">
        <v>88</v>
      </c>
      <c r="H2041" t="s">
        <v>437</v>
      </c>
      <c r="I2041" t="str">
        <f t="shared" si="46"/>
        <v>1876_1</v>
      </c>
      <c r="J2041" t="s">
        <v>428</v>
      </c>
      <c r="K2041" t="s">
        <v>429</v>
      </c>
      <c r="L2041" t="str">
        <f>_xlfn.XLOOKUP(C2041, Table2[Species],Table2[Genus], "Code Not Found")</f>
        <v>Magnolia</v>
      </c>
      <c r="M2041" t="str">
        <f>_xlfn.XLOOKUP(C2041, Table2[Species],Table2[Sp. Name], "Code Not Found")</f>
        <v>acuminata</v>
      </c>
      <c r="N2041" t="str">
        <f>_xlfn.XLOOKUP(C2041,Table2[Species],Table2[Family],"Code Not Found")</f>
        <v>Magnoliaceae</v>
      </c>
      <c r="O2041" t="str" cm="1">
        <f t="array" ref="O2041">_xlfn.IFS(F2041="","",F2041&lt;=5,"0 to 5",F2041&lt;=10,"5.1 to 10",F2041&lt;=20,"10 to 20", F2041&lt;= 40, "20 to 40", F2041 &lt;= 50, "40 to 50", F2041 &gt; 50, "&gt;50" )</f>
        <v>20 to 40</v>
      </c>
    </row>
    <row r="2042" spans="1:15" ht="15" customHeight="1" x14ac:dyDescent="0.3">
      <c r="A2042" t="s">
        <v>427</v>
      </c>
      <c r="B2042" s="1">
        <v>46210</v>
      </c>
      <c r="C2042" t="s">
        <v>430</v>
      </c>
      <c r="D2042">
        <v>1877</v>
      </c>
      <c r="E2042">
        <v>1</v>
      </c>
      <c r="F2042">
        <v>21.4</v>
      </c>
      <c r="G2042" t="s">
        <v>104</v>
      </c>
      <c r="H2042" t="s">
        <v>438</v>
      </c>
      <c r="I2042" t="str">
        <f t="shared" ref="I2042:I2073" si="47">D2042&amp;"_"&amp;E2042</f>
        <v>1877_1</v>
      </c>
      <c r="J2042" t="s">
        <v>428</v>
      </c>
      <c r="K2042" t="s">
        <v>429</v>
      </c>
      <c r="L2042" t="str">
        <f>_xlfn.XLOOKUP(C2042, Table2[Species],Table2[Genus], "Code Not Found")</f>
        <v>Tsuga</v>
      </c>
      <c r="M2042" t="str">
        <f>_xlfn.XLOOKUP(C2042, Table2[Species],Table2[Sp. Name], "Code Not Found")</f>
        <v>canadensis</v>
      </c>
      <c r="N2042" t="str">
        <f>_xlfn.XLOOKUP(C2042,Table2[Species],Table2[Family],"Code Not Found")</f>
        <v>Pinaceae</v>
      </c>
      <c r="O2042" t="str" cm="1">
        <f t="array" ref="O2042">_xlfn.IFS(F2042="","",F2042&lt;=5,"0 to 5",F2042&lt;=10,"5.1 to 10",F2042&lt;=20,"10 to 20", F2042&lt;= 40, "20 to 40", F2042 &lt;= 50, "40 to 50", F2042 &gt; 50, "&gt;50" )</f>
        <v>20 to 40</v>
      </c>
    </row>
    <row r="2043" spans="1:15" ht="15" customHeight="1" x14ac:dyDescent="0.3">
      <c r="A2043" t="s">
        <v>427</v>
      </c>
      <c r="B2043" s="1">
        <v>46210</v>
      </c>
      <c r="C2043" t="s">
        <v>430</v>
      </c>
      <c r="D2043">
        <v>1878</v>
      </c>
      <c r="E2043">
        <v>1</v>
      </c>
      <c r="F2043">
        <v>13.3</v>
      </c>
      <c r="G2043" t="s">
        <v>88</v>
      </c>
      <c r="H2043" t="s">
        <v>439</v>
      </c>
      <c r="I2043" t="str">
        <f t="shared" si="47"/>
        <v>1878_1</v>
      </c>
      <c r="J2043" t="s">
        <v>428</v>
      </c>
      <c r="K2043" t="s">
        <v>429</v>
      </c>
      <c r="L2043" t="str">
        <f>_xlfn.XLOOKUP(C2043, Table2[Species],Table2[Genus], "Code Not Found")</f>
        <v>Tsuga</v>
      </c>
      <c r="M2043" t="str">
        <f>_xlfn.XLOOKUP(C2043, Table2[Species],Table2[Sp. Name], "Code Not Found")</f>
        <v>canadensis</v>
      </c>
      <c r="N2043" t="str">
        <f>_xlfn.XLOOKUP(C2043,Table2[Species],Table2[Family],"Code Not Found")</f>
        <v>Pinaceae</v>
      </c>
      <c r="O2043" t="str" cm="1">
        <f t="array" ref="O2043">_xlfn.IFS(F2043="","",F2043&lt;=5,"0 to 5",F2043&lt;=10,"5.1 to 10",F2043&lt;=20,"10 to 20", F2043&lt;= 40, "20 to 40", F2043 &lt;= 50, "40 to 50", F2043 &gt; 50, "&gt;50" )</f>
        <v>10 to 20</v>
      </c>
    </row>
    <row r="2044" spans="1:15" ht="15" customHeight="1" x14ac:dyDescent="0.3">
      <c r="A2044" t="s">
        <v>427</v>
      </c>
      <c r="B2044" s="1">
        <v>46210</v>
      </c>
      <c r="C2044" t="s">
        <v>430</v>
      </c>
      <c r="D2044">
        <v>1879</v>
      </c>
      <c r="E2044">
        <v>1</v>
      </c>
      <c r="F2044">
        <v>16.3</v>
      </c>
      <c r="G2044" t="s">
        <v>47</v>
      </c>
      <c r="H2044" t="s">
        <v>440</v>
      </c>
      <c r="I2044" t="str">
        <f t="shared" si="47"/>
        <v>1879_1</v>
      </c>
      <c r="J2044" t="s">
        <v>428</v>
      </c>
      <c r="K2044" t="s">
        <v>429</v>
      </c>
      <c r="L2044" t="str">
        <f>_xlfn.XLOOKUP(C2044, Table2[Species],Table2[Genus], "Code Not Found")</f>
        <v>Tsuga</v>
      </c>
      <c r="M2044" t="str">
        <f>_xlfn.XLOOKUP(C2044, Table2[Species],Table2[Sp. Name], "Code Not Found")</f>
        <v>canadensis</v>
      </c>
      <c r="N2044" t="str">
        <f>_xlfn.XLOOKUP(C2044,Table2[Species],Table2[Family],"Code Not Found")</f>
        <v>Pinaceae</v>
      </c>
      <c r="O2044" t="str" cm="1">
        <f t="array" ref="O2044">_xlfn.IFS(F2044="","",F2044&lt;=5,"0 to 5",F2044&lt;=10,"5.1 to 10",F2044&lt;=20,"10 to 20", F2044&lt;= 40, "20 to 40", F2044 &lt;= 50, "40 to 50", F2044 &gt; 50, "&gt;50" )</f>
        <v>10 to 20</v>
      </c>
    </row>
    <row r="2045" spans="1:15" ht="15" customHeight="1" x14ac:dyDescent="0.3">
      <c r="A2045" t="s">
        <v>427</v>
      </c>
      <c r="B2045" s="1">
        <v>46210</v>
      </c>
      <c r="C2045" t="s">
        <v>430</v>
      </c>
      <c r="D2045">
        <v>1880</v>
      </c>
      <c r="E2045">
        <v>1</v>
      </c>
      <c r="F2045">
        <v>22.5</v>
      </c>
      <c r="G2045" t="s">
        <v>21</v>
      </c>
      <c r="I2045" t="str">
        <f t="shared" si="47"/>
        <v>1880_1</v>
      </c>
      <c r="J2045" t="s">
        <v>428</v>
      </c>
      <c r="K2045" t="s">
        <v>429</v>
      </c>
      <c r="L2045" t="str">
        <f>_xlfn.XLOOKUP(C2045, Table2[Species],Table2[Genus], "Code Not Found")</f>
        <v>Tsuga</v>
      </c>
      <c r="M2045" t="str">
        <f>_xlfn.XLOOKUP(C2045, Table2[Species],Table2[Sp. Name], "Code Not Found")</f>
        <v>canadensis</v>
      </c>
      <c r="N2045" t="str">
        <f>_xlfn.XLOOKUP(C2045,Table2[Species],Table2[Family],"Code Not Found")</f>
        <v>Pinaceae</v>
      </c>
      <c r="O2045" t="str" cm="1">
        <f t="array" ref="O2045">_xlfn.IFS(F2045="","",F2045&lt;=5,"0 to 5",F2045&lt;=10,"5.1 to 10",F2045&lt;=20,"10 to 20", F2045&lt;= 40, "20 to 40", F2045 &lt;= 50, "40 to 50", F2045 &gt; 50, "&gt;50" )</f>
        <v>20 to 40</v>
      </c>
    </row>
    <row r="2046" spans="1:15" ht="15" customHeight="1" x14ac:dyDescent="0.3">
      <c r="A2046" t="s">
        <v>427</v>
      </c>
      <c r="B2046" s="1">
        <v>46210</v>
      </c>
      <c r="C2046" t="s">
        <v>24</v>
      </c>
      <c r="D2046">
        <v>1881</v>
      </c>
      <c r="E2046">
        <v>1</v>
      </c>
      <c r="F2046">
        <v>20.399999999999999</v>
      </c>
      <c r="G2046" t="s">
        <v>17</v>
      </c>
      <c r="I2046" t="str">
        <f t="shared" si="47"/>
        <v>1881_1</v>
      </c>
      <c r="J2046" t="s">
        <v>428</v>
      </c>
      <c r="K2046" t="s">
        <v>429</v>
      </c>
      <c r="L2046" t="str">
        <f>_xlfn.XLOOKUP(C2046, Table2[Species],Table2[Genus], "Code Not Found")</f>
        <v>Lirodendron</v>
      </c>
      <c r="M2046" t="str">
        <f>_xlfn.XLOOKUP(C2046, Table2[Species],Table2[Sp. Name], "Code Not Found")</f>
        <v>tulipfera</v>
      </c>
      <c r="N2046" t="str">
        <f>_xlfn.XLOOKUP(C2046,Table2[Species],Table2[Family],"Code Not Found")</f>
        <v>Magnoliaceae</v>
      </c>
      <c r="O2046" t="str" cm="1">
        <f t="array" ref="O2046">_xlfn.IFS(F2046="","",F2046&lt;=5,"0 to 5",F2046&lt;=10,"5.1 to 10",F2046&lt;=20,"10 to 20", F2046&lt;= 40, "20 to 40", F2046 &lt;= 50, "40 to 50", F2046 &gt; 50, "&gt;50" )</f>
        <v>20 to 40</v>
      </c>
    </row>
    <row r="2047" spans="1:15" ht="15" customHeight="1" x14ac:dyDescent="0.3">
      <c r="A2047" t="s">
        <v>427</v>
      </c>
      <c r="B2047" s="1">
        <v>46210</v>
      </c>
      <c r="C2047" t="s">
        <v>22</v>
      </c>
      <c r="D2047">
        <v>1882</v>
      </c>
      <c r="E2047">
        <v>1</v>
      </c>
      <c r="F2047">
        <v>6.7</v>
      </c>
      <c r="G2047" t="s">
        <v>139</v>
      </c>
      <c r="H2047" t="s">
        <v>441</v>
      </c>
      <c r="I2047" t="str">
        <f t="shared" si="47"/>
        <v>1882_1</v>
      </c>
      <c r="J2047" t="s">
        <v>428</v>
      </c>
      <c r="K2047" t="s">
        <v>429</v>
      </c>
      <c r="L2047" t="str">
        <f>_xlfn.XLOOKUP(C2047, Table2[Species],Table2[Genus], "Code Not Found")</f>
        <v>Acer</v>
      </c>
      <c r="M2047" t="str">
        <f>_xlfn.XLOOKUP(C2047, Table2[Species],Table2[Sp. Name], "Code Not Found")</f>
        <v>rubrum</v>
      </c>
      <c r="N2047" t="str">
        <f>_xlfn.XLOOKUP(C2047,Table2[Species],Table2[Family],"Code Not Found")</f>
        <v>Sapindaceae</v>
      </c>
      <c r="O2047" t="str" cm="1">
        <f t="array" ref="O2047">_xlfn.IFS(F2047="","",F2047&lt;=5,"0 to 5",F2047&lt;=10,"5.1 to 10",F2047&lt;=20,"10 to 20", F2047&lt;= 40, "20 to 40", F2047 &lt;= 50, "40 to 50", F2047 &gt; 50, "&gt;50" )</f>
        <v>5.1 to 10</v>
      </c>
    </row>
    <row r="2048" spans="1:15" ht="15" customHeight="1" x14ac:dyDescent="0.3">
      <c r="A2048" t="s">
        <v>427</v>
      </c>
      <c r="B2048" s="1">
        <v>46210</v>
      </c>
      <c r="C2048" t="s">
        <v>22</v>
      </c>
      <c r="D2048">
        <v>1883</v>
      </c>
      <c r="E2048">
        <v>1</v>
      </c>
      <c r="F2048">
        <v>5.6</v>
      </c>
      <c r="G2048" t="s">
        <v>280</v>
      </c>
      <c r="H2048" t="s">
        <v>442</v>
      </c>
      <c r="I2048" t="str">
        <f t="shared" si="47"/>
        <v>1883_1</v>
      </c>
      <c r="J2048" t="s">
        <v>428</v>
      </c>
      <c r="K2048" t="s">
        <v>429</v>
      </c>
      <c r="L2048" t="str">
        <f>_xlfn.XLOOKUP(C2048, Table2[Species],Table2[Genus], "Code Not Found")</f>
        <v>Acer</v>
      </c>
      <c r="M2048" t="str">
        <f>_xlfn.XLOOKUP(C2048, Table2[Species],Table2[Sp. Name], "Code Not Found")</f>
        <v>rubrum</v>
      </c>
      <c r="N2048" t="str">
        <f>_xlfn.XLOOKUP(C2048,Table2[Species],Table2[Family],"Code Not Found")</f>
        <v>Sapindaceae</v>
      </c>
      <c r="O2048" t="str" cm="1">
        <f t="array" ref="O2048">_xlfn.IFS(F2048="","",F2048&lt;=5,"0 to 5",F2048&lt;=10,"5.1 to 10",F2048&lt;=20,"10 to 20", F2048&lt;= 40, "20 to 40", F2048 &lt;= 50, "40 to 50", F2048 &gt; 50, "&gt;50" )</f>
        <v>5.1 to 10</v>
      </c>
    </row>
    <row r="2049" spans="1:15" ht="15" customHeight="1" x14ac:dyDescent="0.3">
      <c r="A2049" t="s">
        <v>427</v>
      </c>
      <c r="B2049" s="1">
        <v>46210</v>
      </c>
      <c r="C2049" t="s">
        <v>16</v>
      </c>
      <c r="D2049">
        <v>1884</v>
      </c>
      <c r="E2049">
        <v>1</v>
      </c>
      <c r="F2049">
        <v>2.6</v>
      </c>
      <c r="G2049" t="s">
        <v>211</v>
      </c>
      <c r="I2049" t="str">
        <f t="shared" si="47"/>
        <v>1884_1</v>
      </c>
      <c r="J2049" t="s">
        <v>428</v>
      </c>
      <c r="K2049" t="s">
        <v>429</v>
      </c>
      <c r="L2049" t="str">
        <f>_xlfn.XLOOKUP(C2049, Table2[Species],Table2[Genus], "Code Not Found")</f>
        <v>Acer</v>
      </c>
      <c r="M2049" t="str">
        <f>_xlfn.XLOOKUP(C2049, Table2[Species],Table2[Sp. Name], "Code Not Found")</f>
        <v>saccharum</v>
      </c>
      <c r="N2049" t="str">
        <f>_xlfn.XLOOKUP(C2049,Table2[Species],Table2[Family],"Code Not Found")</f>
        <v>Sapindaceae</v>
      </c>
      <c r="O2049" t="str" cm="1">
        <f t="array" ref="O2049">_xlfn.IFS(F2049="","",F2049&lt;=5,"0 to 5",F2049&lt;=10,"5.1 to 10",F2049&lt;=20,"10 to 20", F2049&lt;= 40, "20 to 40", F2049 &lt;= 50, "40 to 50", F2049 &gt; 50, "&gt;50" )</f>
        <v>0 to 5</v>
      </c>
    </row>
    <row r="2050" spans="1:15" ht="15" customHeight="1" x14ac:dyDescent="0.3">
      <c r="A2050" t="s">
        <v>427</v>
      </c>
      <c r="B2050" s="1">
        <v>46210</v>
      </c>
      <c r="C2050" t="s">
        <v>22</v>
      </c>
      <c r="D2050">
        <v>1885</v>
      </c>
      <c r="E2050">
        <v>1</v>
      </c>
      <c r="F2050">
        <v>35.1</v>
      </c>
      <c r="G2050" t="s">
        <v>237</v>
      </c>
      <c r="H2050" t="s">
        <v>443</v>
      </c>
      <c r="I2050" t="str">
        <f t="shared" si="47"/>
        <v>1885_1</v>
      </c>
      <c r="J2050" t="s">
        <v>428</v>
      </c>
      <c r="K2050" t="s">
        <v>429</v>
      </c>
      <c r="L2050" t="str">
        <f>_xlfn.XLOOKUP(C2050, Table2[Species],Table2[Genus], "Code Not Found")</f>
        <v>Acer</v>
      </c>
      <c r="M2050" t="str">
        <f>_xlfn.XLOOKUP(C2050, Table2[Species],Table2[Sp. Name], "Code Not Found")</f>
        <v>rubrum</v>
      </c>
      <c r="N2050" t="str">
        <f>_xlfn.XLOOKUP(C2050,Table2[Species],Table2[Family],"Code Not Found")</f>
        <v>Sapindaceae</v>
      </c>
      <c r="O2050" t="str" cm="1">
        <f t="array" ref="O2050">_xlfn.IFS(F2050="","",F2050&lt;=5,"0 to 5",F2050&lt;=10,"5.1 to 10",F2050&lt;=20,"10 to 20", F2050&lt;= 40, "20 to 40", F2050 &lt;= 50, "40 to 50", F2050 &gt; 50, "&gt;50" )</f>
        <v>20 to 40</v>
      </c>
    </row>
    <row r="2051" spans="1:15" ht="15" customHeight="1" x14ac:dyDescent="0.3">
      <c r="A2051" t="s">
        <v>427</v>
      </c>
      <c r="B2051" s="1">
        <v>46210</v>
      </c>
      <c r="C2051" t="s">
        <v>16</v>
      </c>
      <c r="D2051">
        <v>1886</v>
      </c>
      <c r="E2051">
        <v>1</v>
      </c>
      <c r="F2051">
        <v>3.3</v>
      </c>
      <c r="G2051" t="s">
        <v>444</v>
      </c>
      <c r="H2051" t="s">
        <v>445</v>
      </c>
      <c r="I2051" t="str">
        <f t="shared" si="47"/>
        <v>1886_1</v>
      </c>
      <c r="J2051" t="s">
        <v>428</v>
      </c>
      <c r="K2051" t="s">
        <v>429</v>
      </c>
      <c r="L2051" t="str">
        <f>_xlfn.XLOOKUP(C2051, Table2[Species],Table2[Genus], "Code Not Found")</f>
        <v>Acer</v>
      </c>
      <c r="M2051" t="str">
        <f>_xlfn.XLOOKUP(C2051, Table2[Species],Table2[Sp. Name], "Code Not Found")</f>
        <v>saccharum</v>
      </c>
      <c r="N2051" t="str">
        <f>_xlfn.XLOOKUP(C2051,Table2[Species],Table2[Family],"Code Not Found")</f>
        <v>Sapindaceae</v>
      </c>
      <c r="O2051" t="str" cm="1">
        <f t="array" ref="O2051">_xlfn.IFS(F2051="","",F2051&lt;=5,"0 to 5",F2051&lt;=10,"5.1 to 10",F2051&lt;=20,"10 to 20", F2051&lt;= 40, "20 to 40", F2051 &lt;= 50, "40 to 50", F2051 &gt; 50, "&gt;50" )</f>
        <v>0 to 5</v>
      </c>
    </row>
    <row r="2052" spans="1:15" ht="15" customHeight="1" x14ac:dyDescent="0.3">
      <c r="A2052" t="s">
        <v>427</v>
      </c>
      <c r="B2052" s="1">
        <v>46210</v>
      </c>
      <c r="C2052" t="s">
        <v>16</v>
      </c>
      <c r="D2052">
        <v>1887</v>
      </c>
      <c r="E2052">
        <v>1</v>
      </c>
      <c r="F2052">
        <v>3.6</v>
      </c>
      <c r="G2052" t="s">
        <v>139</v>
      </c>
      <c r="H2052" t="s">
        <v>446</v>
      </c>
      <c r="I2052" t="str">
        <f t="shared" si="47"/>
        <v>1887_1</v>
      </c>
      <c r="J2052" t="s">
        <v>428</v>
      </c>
      <c r="K2052" t="s">
        <v>429</v>
      </c>
      <c r="L2052" t="str">
        <f>_xlfn.XLOOKUP(C2052, Table2[Species],Table2[Genus], "Code Not Found")</f>
        <v>Acer</v>
      </c>
      <c r="M2052" t="str">
        <f>_xlfn.XLOOKUP(C2052, Table2[Species],Table2[Sp. Name], "Code Not Found")</f>
        <v>saccharum</v>
      </c>
      <c r="N2052" t="str">
        <f>_xlfn.XLOOKUP(C2052,Table2[Species],Table2[Family],"Code Not Found")</f>
        <v>Sapindaceae</v>
      </c>
      <c r="O2052" t="str" cm="1">
        <f t="array" ref="O2052">_xlfn.IFS(F2052="","",F2052&lt;=5,"0 to 5",F2052&lt;=10,"5.1 to 10",F2052&lt;=20,"10 to 20", F2052&lt;= 40, "20 to 40", F2052 &lt;= 50, "40 to 50", F2052 &gt; 50, "&gt;50" )</f>
        <v>0 to 5</v>
      </c>
    </row>
    <row r="2053" spans="1:15" ht="15" customHeight="1" x14ac:dyDescent="0.3">
      <c r="A2053" t="s">
        <v>427</v>
      </c>
      <c r="B2053" s="1">
        <v>46210</v>
      </c>
      <c r="C2053" t="s">
        <v>16</v>
      </c>
      <c r="D2053">
        <v>1888</v>
      </c>
      <c r="E2053">
        <v>1</v>
      </c>
      <c r="F2053">
        <v>5</v>
      </c>
      <c r="G2053" t="s">
        <v>69</v>
      </c>
      <c r="H2053" t="s">
        <v>296</v>
      </c>
      <c r="I2053" t="str">
        <f t="shared" si="47"/>
        <v>1888_1</v>
      </c>
      <c r="J2053" t="s">
        <v>428</v>
      </c>
      <c r="K2053" t="s">
        <v>429</v>
      </c>
      <c r="L2053" t="str">
        <f>_xlfn.XLOOKUP(C2053, Table2[Species],Table2[Genus], "Code Not Found")</f>
        <v>Acer</v>
      </c>
      <c r="M2053" t="str">
        <f>_xlfn.XLOOKUP(C2053, Table2[Species],Table2[Sp. Name], "Code Not Found")</f>
        <v>saccharum</v>
      </c>
      <c r="N2053" t="str">
        <f>_xlfn.XLOOKUP(C2053,Table2[Species],Table2[Family],"Code Not Found")</f>
        <v>Sapindaceae</v>
      </c>
      <c r="O2053" t="str" cm="1">
        <f t="array" ref="O2053">_xlfn.IFS(F2053="","",F2053&lt;=5,"0 to 5",F2053&lt;=10,"5.1 to 10",F2053&lt;=20,"10 to 20", F2053&lt;= 40, "20 to 40", F2053 &lt;= 50, "40 to 50", F2053 &gt; 50, "&gt;50" )</f>
        <v>0 to 5</v>
      </c>
    </row>
    <row r="2054" spans="1:15" ht="15" customHeight="1" x14ac:dyDescent="0.3">
      <c r="A2054" t="s">
        <v>427</v>
      </c>
      <c r="B2054" s="1">
        <v>46210</v>
      </c>
      <c r="C2054" t="s">
        <v>22</v>
      </c>
      <c r="D2054">
        <v>1889</v>
      </c>
      <c r="E2054">
        <v>1</v>
      </c>
      <c r="F2054">
        <v>11.7</v>
      </c>
      <c r="G2054" t="s">
        <v>17</v>
      </c>
      <c r="I2054" t="str">
        <f t="shared" si="47"/>
        <v>1889_1</v>
      </c>
      <c r="J2054" t="s">
        <v>428</v>
      </c>
      <c r="K2054" t="s">
        <v>429</v>
      </c>
      <c r="L2054" t="str">
        <f>_xlfn.XLOOKUP(C2054, Table2[Species],Table2[Genus], "Code Not Found")</f>
        <v>Acer</v>
      </c>
      <c r="M2054" t="str">
        <f>_xlfn.XLOOKUP(C2054, Table2[Species],Table2[Sp. Name], "Code Not Found")</f>
        <v>rubrum</v>
      </c>
      <c r="N2054" t="str">
        <f>_xlfn.XLOOKUP(C2054,Table2[Species],Table2[Family],"Code Not Found")</f>
        <v>Sapindaceae</v>
      </c>
      <c r="O2054" t="str" cm="1">
        <f t="array" ref="O2054">_xlfn.IFS(F2054="","",F2054&lt;=5,"0 to 5",F2054&lt;=10,"5.1 to 10",F2054&lt;=20,"10 to 20", F2054&lt;= 40, "20 to 40", F2054 &lt;= 50, "40 to 50", F2054 &gt; 50, "&gt;50" )</f>
        <v>10 to 20</v>
      </c>
    </row>
    <row r="2055" spans="1:15" ht="15" customHeight="1" x14ac:dyDescent="0.3">
      <c r="A2055" t="s">
        <v>427</v>
      </c>
      <c r="B2055" s="1">
        <v>46210</v>
      </c>
      <c r="C2055" t="s">
        <v>22</v>
      </c>
      <c r="D2055">
        <v>1890</v>
      </c>
      <c r="E2055">
        <v>1</v>
      </c>
      <c r="F2055">
        <v>6.5</v>
      </c>
      <c r="G2055" t="s">
        <v>93</v>
      </c>
      <c r="H2055" t="s">
        <v>296</v>
      </c>
      <c r="I2055" t="str">
        <f t="shared" si="47"/>
        <v>1890_1</v>
      </c>
      <c r="J2055" t="s">
        <v>428</v>
      </c>
      <c r="K2055" t="s">
        <v>429</v>
      </c>
      <c r="L2055" t="str">
        <f>_xlfn.XLOOKUP(C2055, Table2[Species],Table2[Genus], "Code Not Found")</f>
        <v>Acer</v>
      </c>
      <c r="M2055" t="str">
        <f>_xlfn.XLOOKUP(C2055, Table2[Species],Table2[Sp. Name], "Code Not Found")</f>
        <v>rubrum</v>
      </c>
      <c r="N2055" t="str">
        <f>_xlfn.XLOOKUP(C2055,Table2[Species],Table2[Family],"Code Not Found")</f>
        <v>Sapindaceae</v>
      </c>
      <c r="O2055" t="str" cm="1">
        <f t="array" ref="O2055">_xlfn.IFS(F2055="","",F2055&lt;=5,"0 to 5",F2055&lt;=10,"5.1 to 10",F2055&lt;=20,"10 to 20", F2055&lt;= 40, "20 to 40", F2055 &lt;= 50, "40 to 50", F2055 &gt; 50, "&gt;50" )</f>
        <v>5.1 to 10</v>
      </c>
    </row>
    <row r="2056" spans="1:15" ht="15" customHeight="1" x14ac:dyDescent="0.3">
      <c r="A2056" t="s">
        <v>427</v>
      </c>
      <c r="B2056" s="1">
        <v>46210</v>
      </c>
      <c r="C2056" t="s">
        <v>22</v>
      </c>
      <c r="D2056">
        <v>1890</v>
      </c>
      <c r="E2056">
        <v>2</v>
      </c>
      <c r="F2056">
        <v>4.8</v>
      </c>
      <c r="G2056" t="s">
        <v>93</v>
      </c>
      <c r="H2056" t="s">
        <v>296</v>
      </c>
      <c r="I2056" t="str">
        <f t="shared" si="47"/>
        <v>1890_2</v>
      </c>
      <c r="J2056" t="s">
        <v>428</v>
      </c>
      <c r="K2056" t="s">
        <v>429</v>
      </c>
      <c r="L2056" t="str">
        <f>_xlfn.XLOOKUP(C2056, Table2[Species],Table2[Genus], "Code Not Found")</f>
        <v>Acer</v>
      </c>
      <c r="M2056" t="str">
        <f>_xlfn.XLOOKUP(C2056, Table2[Species],Table2[Sp. Name], "Code Not Found")</f>
        <v>rubrum</v>
      </c>
      <c r="N2056" t="str">
        <f>_xlfn.XLOOKUP(C2056,Table2[Species],Table2[Family],"Code Not Found")</f>
        <v>Sapindaceae</v>
      </c>
      <c r="O2056" t="str" cm="1">
        <f t="array" ref="O2056">_xlfn.IFS(F2056="","",F2056&lt;=5,"0 to 5",F2056&lt;=10,"5.1 to 10",F2056&lt;=20,"10 to 20", F2056&lt;= 40, "20 to 40", F2056 &lt;= 50, "40 to 50", F2056 &gt; 50, "&gt;50" )</f>
        <v>0 to 5</v>
      </c>
    </row>
    <row r="2057" spans="1:15" ht="15" customHeight="1" x14ac:dyDescent="0.3">
      <c r="A2057" t="s">
        <v>427</v>
      </c>
      <c r="B2057" s="1">
        <v>46210</v>
      </c>
      <c r="C2057" t="s">
        <v>16</v>
      </c>
      <c r="D2057">
        <v>1891</v>
      </c>
      <c r="E2057">
        <v>1</v>
      </c>
      <c r="F2057">
        <v>4.8</v>
      </c>
      <c r="G2057" t="s">
        <v>17</v>
      </c>
      <c r="H2057" t="s">
        <v>36</v>
      </c>
      <c r="I2057" t="str">
        <f t="shared" si="47"/>
        <v>1891_1</v>
      </c>
      <c r="J2057" t="s">
        <v>428</v>
      </c>
      <c r="K2057" t="s">
        <v>429</v>
      </c>
      <c r="L2057" t="str">
        <f>_xlfn.XLOOKUP(C2057, Table2[Species],Table2[Genus], "Code Not Found")</f>
        <v>Acer</v>
      </c>
      <c r="M2057" t="str">
        <f>_xlfn.XLOOKUP(C2057, Table2[Species],Table2[Sp. Name], "Code Not Found")</f>
        <v>saccharum</v>
      </c>
      <c r="N2057" t="str">
        <f>_xlfn.XLOOKUP(C2057,Table2[Species],Table2[Family],"Code Not Found")</f>
        <v>Sapindaceae</v>
      </c>
      <c r="O2057" t="str" cm="1">
        <f t="array" ref="O2057">_xlfn.IFS(F2057="","",F2057&lt;=5,"0 to 5",F2057&lt;=10,"5.1 to 10",F2057&lt;=20,"10 to 20", F2057&lt;= 40, "20 to 40", F2057 &lt;= 50, "40 to 50", F2057 &gt; 50, "&gt;50" )</f>
        <v>0 to 5</v>
      </c>
    </row>
    <row r="2058" spans="1:15" ht="15" customHeight="1" x14ac:dyDescent="0.3">
      <c r="A2058" t="s">
        <v>427</v>
      </c>
      <c r="B2058" s="1">
        <v>46210</v>
      </c>
      <c r="C2058" t="s">
        <v>16</v>
      </c>
      <c r="D2058">
        <v>1892</v>
      </c>
      <c r="E2058">
        <v>1</v>
      </c>
      <c r="F2058">
        <v>2.6</v>
      </c>
      <c r="G2058" t="s">
        <v>139</v>
      </c>
      <c r="H2058" t="s">
        <v>244</v>
      </c>
      <c r="I2058" t="str">
        <f t="shared" si="47"/>
        <v>1892_1</v>
      </c>
      <c r="J2058" t="s">
        <v>428</v>
      </c>
      <c r="K2058" t="s">
        <v>429</v>
      </c>
      <c r="L2058" t="str">
        <f>_xlfn.XLOOKUP(C2058, Table2[Species],Table2[Genus], "Code Not Found")</f>
        <v>Acer</v>
      </c>
      <c r="M2058" t="str">
        <f>_xlfn.XLOOKUP(C2058, Table2[Species],Table2[Sp. Name], "Code Not Found")</f>
        <v>saccharum</v>
      </c>
      <c r="N2058" t="str">
        <f>_xlfn.XLOOKUP(C2058,Table2[Species],Table2[Family],"Code Not Found")</f>
        <v>Sapindaceae</v>
      </c>
      <c r="O2058" t="str" cm="1">
        <f t="array" ref="O2058">_xlfn.IFS(F2058="","",F2058&lt;=5,"0 to 5",F2058&lt;=10,"5.1 to 10",F2058&lt;=20,"10 to 20", F2058&lt;= 40, "20 to 40", F2058 &lt;= 50, "40 to 50", F2058 &gt; 50, "&gt;50" )</f>
        <v>0 to 5</v>
      </c>
    </row>
    <row r="2059" spans="1:15" ht="15" customHeight="1" x14ac:dyDescent="0.3">
      <c r="A2059" t="s">
        <v>427</v>
      </c>
      <c r="B2059" s="1">
        <v>46210</v>
      </c>
      <c r="C2059" t="s">
        <v>24</v>
      </c>
      <c r="D2059">
        <v>1893</v>
      </c>
      <c r="E2059">
        <v>1</v>
      </c>
      <c r="F2059">
        <v>13.8</v>
      </c>
      <c r="G2059" t="s">
        <v>17</v>
      </c>
      <c r="H2059" t="s">
        <v>447</v>
      </c>
      <c r="I2059" t="str">
        <f t="shared" si="47"/>
        <v>1893_1</v>
      </c>
      <c r="J2059" t="s">
        <v>428</v>
      </c>
      <c r="K2059" t="s">
        <v>429</v>
      </c>
      <c r="L2059" t="str">
        <f>_xlfn.XLOOKUP(C2059, Table2[Species],Table2[Genus], "Code Not Found")</f>
        <v>Lirodendron</v>
      </c>
      <c r="M2059" t="str">
        <f>_xlfn.XLOOKUP(C2059, Table2[Species],Table2[Sp. Name], "Code Not Found")</f>
        <v>tulipfera</v>
      </c>
      <c r="N2059" t="str">
        <f>_xlfn.XLOOKUP(C2059,Table2[Species],Table2[Family],"Code Not Found")</f>
        <v>Magnoliaceae</v>
      </c>
      <c r="O2059" t="str" cm="1">
        <f t="array" ref="O2059">_xlfn.IFS(F2059="","",F2059&lt;=5,"0 to 5",F2059&lt;=10,"5.1 to 10",F2059&lt;=20,"10 to 20", F2059&lt;= 40, "20 to 40", F2059 &lt;= 50, "40 to 50", F2059 &gt; 50, "&gt;50" )</f>
        <v>10 to 20</v>
      </c>
    </row>
    <row r="2060" spans="1:15" ht="15" customHeight="1" x14ac:dyDescent="0.3">
      <c r="A2060" t="s">
        <v>427</v>
      </c>
      <c r="B2060" s="1">
        <v>46210</v>
      </c>
      <c r="C2060" t="s">
        <v>64</v>
      </c>
      <c r="D2060">
        <v>1894</v>
      </c>
      <c r="E2060">
        <v>1</v>
      </c>
      <c r="F2060">
        <v>1.3</v>
      </c>
      <c r="G2060" t="s">
        <v>47</v>
      </c>
      <c r="H2060" t="s">
        <v>435</v>
      </c>
      <c r="I2060" t="str">
        <f t="shared" si="47"/>
        <v>1894_1</v>
      </c>
      <c r="J2060" t="s">
        <v>428</v>
      </c>
      <c r="K2060" t="s">
        <v>429</v>
      </c>
      <c r="L2060" t="str">
        <f>_xlfn.XLOOKUP(C2060, Table2[Species],Table2[Genus], "Code Not Found")</f>
        <v>Fagus</v>
      </c>
      <c r="M2060" t="str">
        <f>_xlfn.XLOOKUP(C2060, Table2[Species],Table2[Sp. Name], "Code Not Found")</f>
        <v>grandifolia</v>
      </c>
      <c r="N2060" t="str">
        <f>_xlfn.XLOOKUP(C2060,Table2[Species],Table2[Family],"Code Not Found")</f>
        <v>Fagaceae</v>
      </c>
      <c r="O2060" t="str" cm="1">
        <f t="array" ref="O2060">_xlfn.IFS(F2060="","",F2060&lt;=5,"0 to 5",F2060&lt;=10,"5.1 to 10",F2060&lt;=20,"10 to 20", F2060&lt;= 40, "20 to 40", F2060 &lt;= 50, "40 to 50", F2060 &gt; 50, "&gt;50" )</f>
        <v>0 to 5</v>
      </c>
    </row>
    <row r="2061" spans="1:15" ht="15" customHeight="1" x14ac:dyDescent="0.3">
      <c r="A2061" t="s">
        <v>427</v>
      </c>
      <c r="B2061" s="1">
        <v>46210</v>
      </c>
      <c r="C2061" t="s">
        <v>64</v>
      </c>
      <c r="D2061">
        <v>1895</v>
      </c>
      <c r="E2061">
        <v>1</v>
      </c>
      <c r="F2061">
        <v>1</v>
      </c>
      <c r="G2061" t="s">
        <v>21</v>
      </c>
      <c r="H2061" t="s">
        <v>448</v>
      </c>
      <c r="I2061" t="str">
        <f t="shared" si="47"/>
        <v>1895_1</v>
      </c>
      <c r="J2061" t="s">
        <v>428</v>
      </c>
      <c r="K2061" t="s">
        <v>429</v>
      </c>
      <c r="L2061" t="str">
        <f>_xlfn.XLOOKUP(C2061, Table2[Species],Table2[Genus], "Code Not Found")</f>
        <v>Fagus</v>
      </c>
      <c r="M2061" t="str">
        <f>_xlfn.XLOOKUP(C2061, Table2[Species],Table2[Sp. Name], "Code Not Found")</f>
        <v>grandifolia</v>
      </c>
      <c r="N2061" t="str">
        <f>_xlfn.XLOOKUP(C2061,Table2[Species],Table2[Family],"Code Not Found")</f>
        <v>Fagaceae</v>
      </c>
      <c r="O2061" t="str" cm="1">
        <f t="array" ref="O2061">_xlfn.IFS(F2061="","",F2061&lt;=5,"0 to 5",F2061&lt;=10,"5.1 to 10",F2061&lt;=20,"10 to 20", F2061&lt;= 40, "20 to 40", F2061 &lt;= 50, "40 to 50", F2061 &gt; 50, "&gt;50" )</f>
        <v>0 to 5</v>
      </c>
    </row>
    <row r="2062" spans="1:15" ht="15" customHeight="1" x14ac:dyDescent="0.3">
      <c r="A2062" t="s">
        <v>427</v>
      </c>
      <c r="B2062" s="1">
        <v>46210</v>
      </c>
      <c r="C2062" t="s">
        <v>64</v>
      </c>
      <c r="D2062">
        <v>1896</v>
      </c>
      <c r="E2062">
        <v>1</v>
      </c>
      <c r="F2062">
        <v>1.1000000000000001</v>
      </c>
      <c r="G2062" t="s">
        <v>17</v>
      </c>
      <c r="H2062" t="s">
        <v>359</v>
      </c>
      <c r="I2062" t="str">
        <f t="shared" si="47"/>
        <v>1896_1</v>
      </c>
      <c r="J2062" t="s">
        <v>428</v>
      </c>
      <c r="K2062" t="s">
        <v>429</v>
      </c>
      <c r="L2062" t="str">
        <f>_xlfn.XLOOKUP(C2062, Table2[Species],Table2[Genus], "Code Not Found")</f>
        <v>Fagus</v>
      </c>
      <c r="M2062" t="str">
        <f>_xlfn.XLOOKUP(C2062, Table2[Species],Table2[Sp. Name], "Code Not Found")</f>
        <v>grandifolia</v>
      </c>
      <c r="N2062" t="str">
        <f>_xlfn.XLOOKUP(C2062,Table2[Species],Table2[Family],"Code Not Found")</f>
        <v>Fagaceae</v>
      </c>
      <c r="O2062" t="str" cm="1">
        <f t="array" ref="O2062">_xlfn.IFS(F2062="","",F2062&lt;=5,"0 to 5",F2062&lt;=10,"5.1 to 10",F2062&lt;=20,"10 to 20", F2062&lt;= 40, "20 to 40", F2062 &lt;= 50, "40 to 50", F2062 &gt; 50, "&gt;50" )</f>
        <v>0 to 5</v>
      </c>
    </row>
    <row r="2063" spans="1:15" ht="15" customHeight="1" x14ac:dyDescent="0.3">
      <c r="A2063" t="s">
        <v>427</v>
      </c>
      <c r="B2063" s="1">
        <v>46210</v>
      </c>
      <c r="C2063" t="s">
        <v>16</v>
      </c>
      <c r="D2063">
        <v>1897</v>
      </c>
      <c r="E2063">
        <v>1</v>
      </c>
      <c r="F2063">
        <v>12.5</v>
      </c>
      <c r="G2063" t="s">
        <v>17</v>
      </c>
      <c r="I2063" t="str">
        <f t="shared" si="47"/>
        <v>1897_1</v>
      </c>
      <c r="J2063" t="s">
        <v>428</v>
      </c>
      <c r="K2063" t="s">
        <v>429</v>
      </c>
      <c r="L2063" t="str">
        <f>_xlfn.XLOOKUP(C2063, Table2[Species],Table2[Genus], "Code Not Found")</f>
        <v>Acer</v>
      </c>
      <c r="M2063" t="str">
        <f>_xlfn.XLOOKUP(C2063, Table2[Species],Table2[Sp. Name], "Code Not Found")</f>
        <v>saccharum</v>
      </c>
      <c r="N2063" t="str">
        <f>_xlfn.XLOOKUP(C2063,Table2[Species],Table2[Family],"Code Not Found")</f>
        <v>Sapindaceae</v>
      </c>
      <c r="O2063" t="str" cm="1">
        <f t="array" ref="O2063">_xlfn.IFS(F2063="","",F2063&lt;=5,"0 to 5",F2063&lt;=10,"5.1 to 10",F2063&lt;=20,"10 to 20", F2063&lt;= 40, "20 to 40", F2063 &lt;= 50, "40 to 50", F2063 &gt; 50, "&gt;50" )</f>
        <v>10 to 20</v>
      </c>
    </row>
    <row r="2064" spans="1:15" ht="15" customHeight="1" x14ac:dyDescent="0.3">
      <c r="A2064" t="s">
        <v>427</v>
      </c>
      <c r="B2064" s="1">
        <v>46210</v>
      </c>
      <c r="C2064" t="s">
        <v>16</v>
      </c>
      <c r="D2064">
        <v>1898</v>
      </c>
      <c r="E2064">
        <v>1</v>
      </c>
      <c r="F2064">
        <v>9.6999999999999993</v>
      </c>
      <c r="G2064" t="s">
        <v>94</v>
      </c>
      <c r="H2064" t="s">
        <v>449</v>
      </c>
      <c r="I2064" t="str">
        <f t="shared" si="47"/>
        <v>1898_1</v>
      </c>
      <c r="J2064" t="s">
        <v>428</v>
      </c>
      <c r="K2064" t="s">
        <v>429</v>
      </c>
      <c r="L2064" t="str">
        <f>_xlfn.XLOOKUP(C2064, Table2[Species],Table2[Genus], "Code Not Found")</f>
        <v>Acer</v>
      </c>
      <c r="M2064" t="str">
        <f>_xlfn.XLOOKUP(C2064, Table2[Species],Table2[Sp. Name], "Code Not Found")</f>
        <v>saccharum</v>
      </c>
      <c r="N2064" t="str">
        <f>_xlfn.XLOOKUP(C2064,Table2[Species],Table2[Family],"Code Not Found")</f>
        <v>Sapindaceae</v>
      </c>
      <c r="O2064" t="str" cm="1">
        <f t="array" ref="O2064">_xlfn.IFS(F2064="","",F2064&lt;=5,"0 to 5",F2064&lt;=10,"5.1 to 10",F2064&lt;=20,"10 to 20", F2064&lt;= 40, "20 to 40", F2064 &lt;= 50, "40 to 50", F2064 &gt; 50, "&gt;50" )</f>
        <v>5.1 to 10</v>
      </c>
    </row>
    <row r="2065" spans="1:15" ht="15" customHeight="1" x14ac:dyDescent="0.3">
      <c r="A2065" t="s">
        <v>427</v>
      </c>
      <c r="B2065" s="1">
        <v>46210</v>
      </c>
      <c r="C2065" t="s">
        <v>64</v>
      </c>
      <c r="D2065">
        <v>1899</v>
      </c>
      <c r="E2065">
        <v>1</v>
      </c>
      <c r="F2065">
        <v>1.2</v>
      </c>
      <c r="G2065" t="s">
        <v>17</v>
      </c>
      <c r="H2065" t="s">
        <v>359</v>
      </c>
      <c r="I2065" t="str">
        <f t="shared" si="47"/>
        <v>1899_1</v>
      </c>
      <c r="J2065" t="s">
        <v>428</v>
      </c>
      <c r="K2065" t="s">
        <v>429</v>
      </c>
      <c r="L2065" t="str">
        <f>_xlfn.XLOOKUP(C2065, Table2[Species],Table2[Genus], "Code Not Found")</f>
        <v>Fagus</v>
      </c>
      <c r="M2065" t="str">
        <f>_xlfn.XLOOKUP(C2065, Table2[Species],Table2[Sp. Name], "Code Not Found")</f>
        <v>grandifolia</v>
      </c>
      <c r="N2065" t="str">
        <f>_xlfn.XLOOKUP(C2065,Table2[Species],Table2[Family],"Code Not Found")</f>
        <v>Fagaceae</v>
      </c>
      <c r="O2065" t="str" cm="1">
        <f t="array" ref="O2065">_xlfn.IFS(F2065="","",F2065&lt;=5,"0 to 5",F2065&lt;=10,"5.1 to 10",F2065&lt;=20,"10 to 20", F2065&lt;= 40, "20 to 40", F2065 &lt;= 50, "40 to 50", F2065 &gt; 50, "&gt;50" )</f>
        <v>0 to 5</v>
      </c>
    </row>
    <row r="2066" spans="1:15" ht="15" customHeight="1" x14ac:dyDescent="0.3">
      <c r="A2066" t="s">
        <v>427</v>
      </c>
      <c r="B2066" s="1">
        <v>46210</v>
      </c>
      <c r="C2066" t="s">
        <v>16</v>
      </c>
      <c r="D2066">
        <v>1900</v>
      </c>
      <c r="E2066">
        <v>1</v>
      </c>
      <c r="F2066">
        <v>7.9</v>
      </c>
      <c r="G2066" t="s">
        <v>17</v>
      </c>
      <c r="H2066" t="s">
        <v>330</v>
      </c>
      <c r="I2066" t="str">
        <f t="shared" si="47"/>
        <v>1900_1</v>
      </c>
      <c r="J2066" t="s">
        <v>428</v>
      </c>
      <c r="K2066" t="s">
        <v>429</v>
      </c>
      <c r="L2066" t="str">
        <f>_xlfn.XLOOKUP(C2066, Table2[Species],Table2[Genus], "Code Not Found")</f>
        <v>Acer</v>
      </c>
      <c r="M2066" t="str">
        <f>_xlfn.XLOOKUP(C2066, Table2[Species],Table2[Sp. Name], "Code Not Found")</f>
        <v>saccharum</v>
      </c>
      <c r="N2066" t="str">
        <f>_xlfn.XLOOKUP(C2066,Table2[Species],Table2[Family],"Code Not Found")</f>
        <v>Sapindaceae</v>
      </c>
      <c r="O2066" t="str" cm="1">
        <f t="array" ref="O2066">_xlfn.IFS(F2066="","",F2066&lt;=5,"0 to 5",F2066&lt;=10,"5.1 to 10",F2066&lt;=20,"10 to 20", F2066&lt;= 40, "20 to 40", F2066 &lt;= 50, "40 to 50", F2066 &gt; 50, "&gt;50" )</f>
        <v>5.1 to 10</v>
      </c>
    </row>
    <row r="2067" spans="1:15" ht="15" customHeight="1" x14ac:dyDescent="0.3">
      <c r="A2067" t="s">
        <v>427</v>
      </c>
      <c r="B2067" s="1">
        <v>46210</v>
      </c>
      <c r="C2067" t="s">
        <v>22</v>
      </c>
      <c r="D2067">
        <v>1901</v>
      </c>
      <c r="E2067">
        <v>1</v>
      </c>
      <c r="F2067">
        <v>7.5</v>
      </c>
      <c r="G2067" t="s">
        <v>17</v>
      </c>
      <c r="H2067" s="6" t="s">
        <v>450</v>
      </c>
      <c r="I2067" t="str">
        <f t="shared" si="47"/>
        <v>1901_1</v>
      </c>
      <c r="J2067" t="s">
        <v>428</v>
      </c>
      <c r="K2067" t="s">
        <v>429</v>
      </c>
      <c r="L2067" t="str">
        <f>_xlfn.XLOOKUP(C2067, Table2[Species],Table2[Genus], "Code Not Found")</f>
        <v>Acer</v>
      </c>
      <c r="M2067" t="str">
        <f>_xlfn.XLOOKUP(C2067, Table2[Species],Table2[Sp. Name], "Code Not Found")</f>
        <v>rubrum</v>
      </c>
      <c r="N2067" t="str">
        <f>_xlfn.XLOOKUP(C2067,Table2[Species],Table2[Family],"Code Not Found")</f>
        <v>Sapindaceae</v>
      </c>
      <c r="O2067" t="str" cm="1">
        <f t="array" ref="O2067">_xlfn.IFS(F2067="","",F2067&lt;=5,"0 to 5",F2067&lt;=10,"5.1 to 10",F2067&lt;=20,"10 to 20", F2067&lt;= 40, "20 to 40", F2067 &lt;= 50, "40 to 50", F2067 &gt; 50, "&gt;50" )</f>
        <v>5.1 to 10</v>
      </c>
    </row>
    <row r="2068" spans="1:15" ht="15" customHeight="1" x14ac:dyDescent="0.3">
      <c r="A2068" t="s">
        <v>427</v>
      </c>
      <c r="B2068" s="1">
        <v>46210</v>
      </c>
      <c r="C2068" t="s">
        <v>22</v>
      </c>
      <c r="D2068">
        <v>1902</v>
      </c>
      <c r="E2068">
        <v>1</v>
      </c>
      <c r="F2068">
        <v>10.6</v>
      </c>
      <c r="G2068" t="s">
        <v>21</v>
      </c>
      <c r="I2068" t="str">
        <f t="shared" si="47"/>
        <v>1902_1</v>
      </c>
      <c r="J2068" t="s">
        <v>428</v>
      </c>
      <c r="K2068" t="s">
        <v>429</v>
      </c>
      <c r="L2068" t="str">
        <f>_xlfn.XLOOKUP(C2068, Table2[Species],Table2[Genus], "Code Not Found")</f>
        <v>Acer</v>
      </c>
      <c r="M2068" t="str">
        <f>_xlfn.XLOOKUP(C2068, Table2[Species],Table2[Sp. Name], "Code Not Found")</f>
        <v>rubrum</v>
      </c>
      <c r="N2068" t="str">
        <f>_xlfn.XLOOKUP(C2068,Table2[Species],Table2[Family],"Code Not Found")</f>
        <v>Sapindaceae</v>
      </c>
      <c r="O2068" t="str" cm="1">
        <f t="array" ref="O2068">_xlfn.IFS(F2068="","",F2068&lt;=5,"0 to 5",F2068&lt;=10,"5.1 to 10",F2068&lt;=20,"10 to 20", F2068&lt;= 40, "20 to 40", F2068 &lt;= 50, "40 to 50", F2068 &gt; 50, "&gt;50" )</f>
        <v>10 to 20</v>
      </c>
    </row>
    <row r="2069" spans="1:15" ht="15" customHeight="1" x14ac:dyDescent="0.3">
      <c r="A2069" t="s">
        <v>427</v>
      </c>
      <c r="B2069" s="1">
        <v>46210</v>
      </c>
      <c r="C2069" t="s">
        <v>24</v>
      </c>
      <c r="D2069">
        <v>1903</v>
      </c>
      <c r="E2069">
        <v>1</v>
      </c>
      <c r="F2069">
        <v>12.9</v>
      </c>
      <c r="G2069" t="s">
        <v>71</v>
      </c>
      <c r="H2069" t="s">
        <v>451</v>
      </c>
      <c r="I2069" t="str">
        <f t="shared" si="47"/>
        <v>1903_1</v>
      </c>
      <c r="J2069" t="s">
        <v>428</v>
      </c>
      <c r="K2069" t="s">
        <v>429</v>
      </c>
      <c r="L2069" t="str">
        <f>_xlfn.XLOOKUP(C2069, Table2[Species],Table2[Genus], "Code Not Found")</f>
        <v>Lirodendron</v>
      </c>
      <c r="M2069" t="str">
        <f>_xlfn.XLOOKUP(C2069, Table2[Species],Table2[Sp. Name], "Code Not Found")</f>
        <v>tulipfera</v>
      </c>
      <c r="N2069" t="str">
        <f>_xlfn.XLOOKUP(C2069,Table2[Species],Table2[Family],"Code Not Found")</f>
        <v>Magnoliaceae</v>
      </c>
      <c r="O2069" t="str" cm="1">
        <f t="array" ref="O2069">_xlfn.IFS(F2069="","",F2069&lt;=5,"0 to 5",F2069&lt;=10,"5.1 to 10",F2069&lt;=20,"10 to 20", F2069&lt;= 40, "20 to 40", F2069 &lt;= 50, "40 to 50", F2069 &gt; 50, "&gt;50" )</f>
        <v>10 to 20</v>
      </c>
    </row>
    <row r="2070" spans="1:15" ht="15" customHeight="1" x14ac:dyDescent="0.3">
      <c r="A2070" t="s">
        <v>427</v>
      </c>
      <c r="B2070" s="1">
        <v>46210</v>
      </c>
      <c r="C2070" t="s">
        <v>24</v>
      </c>
      <c r="D2070">
        <v>1904</v>
      </c>
      <c r="E2070">
        <v>1</v>
      </c>
      <c r="F2070">
        <v>13.7</v>
      </c>
      <c r="G2070" t="s">
        <v>83</v>
      </c>
      <c r="H2070" t="s">
        <v>452</v>
      </c>
      <c r="I2070" t="str">
        <f t="shared" si="47"/>
        <v>1904_1</v>
      </c>
      <c r="J2070" t="s">
        <v>428</v>
      </c>
      <c r="K2070" t="s">
        <v>429</v>
      </c>
      <c r="L2070" t="str">
        <f>_xlfn.XLOOKUP(C2070, Table2[Species],Table2[Genus], "Code Not Found")</f>
        <v>Lirodendron</v>
      </c>
      <c r="M2070" t="str">
        <f>_xlfn.XLOOKUP(C2070, Table2[Species],Table2[Sp. Name], "Code Not Found")</f>
        <v>tulipfera</v>
      </c>
      <c r="N2070" t="str">
        <f>_xlfn.XLOOKUP(C2070,Table2[Species],Table2[Family],"Code Not Found")</f>
        <v>Magnoliaceae</v>
      </c>
      <c r="O2070" t="str" cm="1">
        <f t="array" ref="O2070">_xlfn.IFS(F2070="","",F2070&lt;=5,"0 to 5",F2070&lt;=10,"5.1 to 10",F2070&lt;=20,"10 to 20", F2070&lt;= 40, "20 to 40", F2070 &lt;= 50, "40 to 50", F2070 &gt; 50, "&gt;50" )</f>
        <v>10 to 20</v>
      </c>
    </row>
    <row r="2071" spans="1:15" ht="15" customHeight="1" x14ac:dyDescent="0.3">
      <c r="A2071" t="s">
        <v>427</v>
      </c>
      <c r="B2071" s="1">
        <v>46210</v>
      </c>
      <c r="C2071" t="s">
        <v>22</v>
      </c>
      <c r="D2071">
        <v>1905</v>
      </c>
      <c r="E2071">
        <v>1</v>
      </c>
      <c r="F2071">
        <v>19.600000000000001</v>
      </c>
      <c r="G2071" t="s">
        <v>47</v>
      </c>
      <c r="H2071" t="s">
        <v>440</v>
      </c>
      <c r="I2071" t="str">
        <f t="shared" si="47"/>
        <v>1905_1</v>
      </c>
      <c r="J2071" t="s">
        <v>428</v>
      </c>
      <c r="K2071" t="s">
        <v>429</v>
      </c>
      <c r="L2071" t="str">
        <f>_xlfn.XLOOKUP(C2071, Table2[Species],Table2[Genus], "Code Not Found")</f>
        <v>Acer</v>
      </c>
      <c r="M2071" t="str">
        <f>_xlfn.XLOOKUP(C2071, Table2[Species],Table2[Sp. Name], "Code Not Found")</f>
        <v>rubrum</v>
      </c>
      <c r="N2071" t="str">
        <f>_xlfn.XLOOKUP(C2071,Table2[Species],Table2[Family],"Code Not Found")</f>
        <v>Sapindaceae</v>
      </c>
      <c r="O2071" t="str" cm="1">
        <f t="array" ref="O2071">_xlfn.IFS(F2071="","",F2071&lt;=5,"0 to 5",F2071&lt;=10,"5.1 to 10",F2071&lt;=20,"10 to 20", F2071&lt;= 40, "20 to 40", F2071 &lt;= 50, "40 to 50", F2071 &gt; 50, "&gt;50" )</f>
        <v>10 to 20</v>
      </c>
    </row>
    <row r="2072" spans="1:15" ht="15" customHeight="1" x14ac:dyDescent="0.3">
      <c r="A2072" t="s">
        <v>427</v>
      </c>
      <c r="B2072" s="1">
        <v>46210</v>
      </c>
      <c r="C2072" t="s">
        <v>22</v>
      </c>
      <c r="D2072">
        <v>1906</v>
      </c>
      <c r="E2072">
        <v>1</v>
      </c>
      <c r="F2072">
        <v>12</v>
      </c>
      <c r="G2072" t="s">
        <v>453</v>
      </c>
      <c r="H2072" t="s">
        <v>454</v>
      </c>
      <c r="I2072" t="str">
        <f t="shared" si="47"/>
        <v>1906_1</v>
      </c>
      <c r="J2072" t="s">
        <v>428</v>
      </c>
      <c r="K2072" t="s">
        <v>429</v>
      </c>
      <c r="L2072" t="str">
        <f>_xlfn.XLOOKUP(C2072, Table2[Species],Table2[Genus], "Code Not Found")</f>
        <v>Acer</v>
      </c>
      <c r="M2072" t="str">
        <f>_xlfn.XLOOKUP(C2072, Table2[Species],Table2[Sp. Name], "Code Not Found")</f>
        <v>rubrum</v>
      </c>
      <c r="N2072" t="str">
        <f>_xlfn.XLOOKUP(C2072,Table2[Species],Table2[Family],"Code Not Found")</f>
        <v>Sapindaceae</v>
      </c>
      <c r="O2072" t="str" cm="1">
        <f t="array" ref="O2072">_xlfn.IFS(F2072="","",F2072&lt;=5,"0 to 5",F2072&lt;=10,"5.1 to 10",F2072&lt;=20,"10 to 20", F2072&lt;= 40, "20 to 40", F2072 &lt;= 50, "40 to 50", F2072 &gt; 50, "&gt;50" )</f>
        <v>10 to 20</v>
      </c>
    </row>
    <row r="2073" spans="1:15" ht="15" customHeight="1" x14ac:dyDescent="0.3">
      <c r="A2073" t="s">
        <v>427</v>
      </c>
      <c r="B2073" s="1">
        <v>46210</v>
      </c>
      <c r="C2073" t="s">
        <v>24</v>
      </c>
      <c r="D2073">
        <v>1907</v>
      </c>
      <c r="E2073">
        <v>1</v>
      </c>
      <c r="F2073">
        <v>2</v>
      </c>
      <c r="G2073" t="s">
        <v>17</v>
      </c>
      <c r="H2073" t="s">
        <v>455</v>
      </c>
      <c r="I2073" t="str">
        <f t="shared" si="47"/>
        <v>1907_1</v>
      </c>
      <c r="J2073" t="s">
        <v>428</v>
      </c>
      <c r="K2073" t="s">
        <v>429</v>
      </c>
      <c r="L2073" t="str">
        <f>_xlfn.XLOOKUP(C2073, Table2[Species],Table2[Genus], "Code Not Found")</f>
        <v>Lirodendron</v>
      </c>
      <c r="M2073" t="str">
        <f>_xlfn.XLOOKUP(C2073, Table2[Species],Table2[Sp. Name], "Code Not Found")</f>
        <v>tulipfera</v>
      </c>
      <c r="N2073" t="str">
        <f>_xlfn.XLOOKUP(C2073,Table2[Species],Table2[Family],"Code Not Found")</f>
        <v>Magnoliaceae</v>
      </c>
      <c r="O2073" t="str" cm="1">
        <f t="array" ref="O2073">_xlfn.IFS(F2073="","",F2073&lt;=5,"0 to 5",F2073&lt;=10,"5.1 to 10",F2073&lt;=20,"10 to 20", F2073&lt;= 40, "20 to 40", F2073 &lt;= 50, "40 to 50", F2073 &gt; 50, "&gt;50" )</f>
        <v>0 to 5</v>
      </c>
    </row>
    <row r="2074" spans="1:15" ht="15" customHeight="1" x14ac:dyDescent="0.3">
      <c r="A2074" t="s">
        <v>427</v>
      </c>
      <c r="B2074" s="1">
        <v>46210</v>
      </c>
      <c r="C2074" t="s">
        <v>16</v>
      </c>
      <c r="D2074">
        <v>1908</v>
      </c>
      <c r="E2074">
        <v>1</v>
      </c>
      <c r="F2074">
        <v>5.3</v>
      </c>
      <c r="G2074" t="s">
        <v>47</v>
      </c>
      <c r="H2074" t="s">
        <v>296</v>
      </c>
      <c r="I2074" t="str">
        <f t="shared" ref="I2074:I2103" si="48">D2074&amp;"_"&amp;E2074</f>
        <v>1908_1</v>
      </c>
      <c r="J2074" t="s">
        <v>428</v>
      </c>
      <c r="K2074" t="s">
        <v>429</v>
      </c>
      <c r="L2074" t="str">
        <f>_xlfn.XLOOKUP(C2074, Table2[Species],Table2[Genus], "Code Not Found")</f>
        <v>Acer</v>
      </c>
      <c r="M2074" t="str">
        <f>_xlfn.XLOOKUP(C2074, Table2[Species],Table2[Sp. Name], "Code Not Found")</f>
        <v>saccharum</v>
      </c>
      <c r="N2074" t="str">
        <f>_xlfn.XLOOKUP(C2074,Table2[Species],Table2[Family],"Code Not Found")</f>
        <v>Sapindaceae</v>
      </c>
      <c r="O2074" t="str" cm="1">
        <f t="array" ref="O2074">_xlfn.IFS(F2074="","",F2074&lt;=5,"0 to 5",F2074&lt;=10,"5.1 to 10",F2074&lt;=20,"10 to 20", F2074&lt;= 40, "20 to 40", F2074 &lt;= 50, "40 to 50", F2074 &gt; 50, "&gt;50" )</f>
        <v>5.1 to 10</v>
      </c>
    </row>
    <row r="2075" spans="1:15" ht="15" customHeight="1" x14ac:dyDescent="0.3">
      <c r="A2075" t="s">
        <v>427</v>
      </c>
      <c r="B2075" s="1">
        <v>46210</v>
      </c>
      <c r="C2075" t="s">
        <v>16</v>
      </c>
      <c r="D2075">
        <v>1909</v>
      </c>
      <c r="E2075">
        <v>1</v>
      </c>
      <c r="F2075">
        <v>3</v>
      </c>
      <c r="G2075" t="s">
        <v>17</v>
      </c>
      <c r="I2075" t="str">
        <f t="shared" si="48"/>
        <v>1909_1</v>
      </c>
      <c r="J2075" t="s">
        <v>428</v>
      </c>
      <c r="K2075" t="s">
        <v>429</v>
      </c>
      <c r="L2075" t="str">
        <f>_xlfn.XLOOKUP(C2075, Table2[Species],Table2[Genus], "Code Not Found")</f>
        <v>Acer</v>
      </c>
      <c r="M2075" t="str">
        <f>_xlfn.XLOOKUP(C2075, Table2[Species],Table2[Sp. Name], "Code Not Found")</f>
        <v>saccharum</v>
      </c>
      <c r="N2075" t="str">
        <f>_xlfn.XLOOKUP(C2075,Table2[Species],Table2[Family],"Code Not Found")</f>
        <v>Sapindaceae</v>
      </c>
      <c r="O2075" t="str" cm="1">
        <f t="array" ref="O2075">_xlfn.IFS(F2075="","",F2075&lt;=5,"0 to 5",F2075&lt;=10,"5.1 to 10",F2075&lt;=20,"10 to 20", F2075&lt;= 40, "20 to 40", F2075 &lt;= 50, "40 to 50", F2075 &gt; 50, "&gt;50" )</f>
        <v>0 to 5</v>
      </c>
    </row>
    <row r="2076" spans="1:15" ht="15" customHeight="1" x14ac:dyDescent="0.3">
      <c r="A2076" t="s">
        <v>427</v>
      </c>
      <c r="B2076" s="1">
        <v>46210</v>
      </c>
      <c r="C2076" t="s">
        <v>64</v>
      </c>
      <c r="D2076">
        <v>1910</v>
      </c>
      <c r="E2076">
        <v>1</v>
      </c>
      <c r="F2076">
        <v>13.9</v>
      </c>
      <c r="G2076" t="s">
        <v>21</v>
      </c>
      <c r="I2076" t="str">
        <f t="shared" si="48"/>
        <v>1910_1</v>
      </c>
      <c r="J2076" t="s">
        <v>428</v>
      </c>
      <c r="K2076" t="s">
        <v>429</v>
      </c>
      <c r="L2076" t="str">
        <f>_xlfn.XLOOKUP(C2076, Table2[Species],Table2[Genus], "Code Not Found")</f>
        <v>Fagus</v>
      </c>
      <c r="M2076" t="str">
        <f>_xlfn.XLOOKUP(C2076, Table2[Species],Table2[Sp. Name], "Code Not Found")</f>
        <v>grandifolia</v>
      </c>
      <c r="N2076" t="str">
        <f>_xlfn.XLOOKUP(C2076,Table2[Species],Table2[Family],"Code Not Found")</f>
        <v>Fagaceae</v>
      </c>
      <c r="O2076" t="str" cm="1">
        <f t="array" ref="O2076">_xlfn.IFS(F2076="","",F2076&lt;=5,"0 to 5",F2076&lt;=10,"5.1 to 10",F2076&lt;=20,"10 to 20", F2076&lt;= 40, "20 to 40", F2076 &lt;= 50, "40 to 50", F2076 &gt; 50, "&gt;50" )</f>
        <v>10 to 20</v>
      </c>
    </row>
    <row r="2077" spans="1:15" ht="15" customHeight="1" x14ac:dyDescent="0.3">
      <c r="A2077" t="s">
        <v>427</v>
      </c>
      <c r="B2077" s="1">
        <v>46210</v>
      </c>
      <c r="C2077" t="s">
        <v>64</v>
      </c>
      <c r="D2077">
        <v>1911</v>
      </c>
      <c r="E2077">
        <v>1</v>
      </c>
      <c r="F2077">
        <v>7.4</v>
      </c>
      <c r="G2077" t="s">
        <v>17</v>
      </c>
      <c r="I2077" t="str">
        <f t="shared" si="48"/>
        <v>1911_1</v>
      </c>
      <c r="J2077" t="s">
        <v>428</v>
      </c>
      <c r="K2077" t="s">
        <v>429</v>
      </c>
      <c r="L2077" t="str">
        <f>_xlfn.XLOOKUP(C2077, Table2[Species],Table2[Genus], "Code Not Found")</f>
        <v>Fagus</v>
      </c>
      <c r="M2077" t="str">
        <f>_xlfn.XLOOKUP(C2077, Table2[Species],Table2[Sp. Name], "Code Not Found")</f>
        <v>grandifolia</v>
      </c>
      <c r="N2077" t="str">
        <f>_xlfn.XLOOKUP(C2077,Table2[Species],Table2[Family],"Code Not Found")</f>
        <v>Fagaceae</v>
      </c>
      <c r="O2077" t="str" cm="1">
        <f t="array" ref="O2077">_xlfn.IFS(F2077="","",F2077&lt;=5,"0 to 5",F2077&lt;=10,"5.1 to 10",F2077&lt;=20,"10 to 20", F2077&lt;= 40, "20 to 40", F2077 &lt;= 50, "40 to 50", F2077 &gt; 50, "&gt;50" )</f>
        <v>5.1 to 10</v>
      </c>
    </row>
    <row r="2078" spans="1:15" ht="15" customHeight="1" x14ac:dyDescent="0.3">
      <c r="A2078" t="s">
        <v>427</v>
      </c>
      <c r="B2078" s="1">
        <v>46210</v>
      </c>
      <c r="C2078" t="s">
        <v>430</v>
      </c>
      <c r="D2078">
        <v>1912</v>
      </c>
      <c r="E2078">
        <v>1</v>
      </c>
      <c r="F2078">
        <v>5</v>
      </c>
      <c r="G2078" t="s">
        <v>17</v>
      </c>
      <c r="H2078" t="s">
        <v>435</v>
      </c>
      <c r="I2078" t="str">
        <f t="shared" si="48"/>
        <v>1912_1</v>
      </c>
      <c r="J2078" t="s">
        <v>428</v>
      </c>
      <c r="K2078" t="s">
        <v>429</v>
      </c>
      <c r="L2078" t="str">
        <f>_xlfn.XLOOKUP(C2078, Table2[Species],Table2[Genus], "Code Not Found")</f>
        <v>Tsuga</v>
      </c>
      <c r="M2078" t="str">
        <f>_xlfn.XLOOKUP(C2078, Table2[Species],Table2[Sp. Name], "Code Not Found")</f>
        <v>canadensis</v>
      </c>
      <c r="N2078" t="str">
        <f>_xlfn.XLOOKUP(C2078,Table2[Species],Table2[Family],"Code Not Found")</f>
        <v>Pinaceae</v>
      </c>
      <c r="O2078" t="str" cm="1">
        <f t="array" ref="O2078">_xlfn.IFS(F2078="","",F2078&lt;=5,"0 to 5",F2078&lt;=10,"5.1 to 10",F2078&lt;=20,"10 to 20", F2078&lt;= 40, "20 to 40", F2078 &lt;= 50, "40 to 50", F2078 &gt; 50, "&gt;50" )</f>
        <v>0 to 5</v>
      </c>
    </row>
    <row r="2079" spans="1:15" ht="15" customHeight="1" x14ac:dyDescent="0.3">
      <c r="A2079" t="s">
        <v>427</v>
      </c>
      <c r="B2079" s="1">
        <v>46210</v>
      </c>
      <c r="C2079" t="s">
        <v>64</v>
      </c>
      <c r="D2079">
        <v>1913</v>
      </c>
      <c r="E2079">
        <v>1</v>
      </c>
      <c r="F2079">
        <v>6</v>
      </c>
      <c r="G2079" t="s">
        <v>47</v>
      </c>
      <c r="H2079" t="s">
        <v>456</v>
      </c>
      <c r="I2079" t="str">
        <f t="shared" si="48"/>
        <v>1913_1</v>
      </c>
      <c r="J2079" t="s">
        <v>428</v>
      </c>
      <c r="K2079" t="s">
        <v>429</v>
      </c>
      <c r="L2079" t="str">
        <f>_xlfn.XLOOKUP(C2079, Table2[Species],Table2[Genus], "Code Not Found")</f>
        <v>Fagus</v>
      </c>
      <c r="M2079" t="str">
        <f>_xlfn.XLOOKUP(C2079, Table2[Species],Table2[Sp. Name], "Code Not Found")</f>
        <v>grandifolia</v>
      </c>
      <c r="N2079" t="str">
        <f>_xlfn.XLOOKUP(C2079,Table2[Species],Table2[Family],"Code Not Found")</f>
        <v>Fagaceae</v>
      </c>
      <c r="O2079" t="str" cm="1">
        <f t="array" ref="O2079">_xlfn.IFS(F2079="","",F2079&lt;=5,"0 to 5",F2079&lt;=10,"5.1 to 10",F2079&lt;=20,"10 to 20", F2079&lt;= 40, "20 to 40", F2079 &lt;= 50, "40 to 50", F2079 &gt; 50, "&gt;50" )</f>
        <v>5.1 to 10</v>
      </c>
    </row>
    <row r="2080" spans="1:15" ht="15" customHeight="1" x14ac:dyDescent="0.3">
      <c r="A2080" t="s">
        <v>427</v>
      </c>
      <c r="B2080" s="1">
        <v>46210</v>
      </c>
      <c r="C2080" t="s">
        <v>64</v>
      </c>
      <c r="D2080">
        <v>1914</v>
      </c>
      <c r="E2080">
        <v>1</v>
      </c>
      <c r="F2080">
        <v>7.3</v>
      </c>
      <c r="G2080" t="s">
        <v>88</v>
      </c>
      <c r="H2080" t="s">
        <v>234</v>
      </c>
      <c r="I2080" t="str">
        <f t="shared" si="48"/>
        <v>1914_1</v>
      </c>
      <c r="J2080" t="s">
        <v>428</v>
      </c>
      <c r="K2080" t="s">
        <v>429</v>
      </c>
      <c r="L2080" t="str">
        <f>_xlfn.XLOOKUP(C2080, Table2[Species],Table2[Genus], "Code Not Found")</f>
        <v>Fagus</v>
      </c>
      <c r="M2080" t="str">
        <f>_xlfn.XLOOKUP(C2080, Table2[Species],Table2[Sp. Name], "Code Not Found")</f>
        <v>grandifolia</v>
      </c>
      <c r="N2080" t="str">
        <f>_xlfn.XLOOKUP(C2080,Table2[Species],Table2[Family],"Code Not Found")</f>
        <v>Fagaceae</v>
      </c>
      <c r="O2080" t="str" cm="1">
        <f t="array" ref="O2080">_xlfn.IFS(F2080="","",F2080&lt;=5,"0 to 5",F2080&lt;=10,"5.1 to 10",F2080&lt;=20,"10 to 20", F2080&lt;= 40, "20 to 40", F2080 &lt;= 50, "40 to 50", F2080 &gt; 50, "&gt;50" )</f>
        <v>5.1 to 10</v>
      </c>
    </row>
    <row r="2081" spans="1:15" ht="15" customHeight="1" x14ac:dyDescent="0.3">
      <c r="A2081" t="s">
        <v>427</v>
      </c>
      <c r="B2081" s="1">
        <v>46210</v>
      </c>
      <c r="C2081" t="s">
        <v>64</v>
      </c>
      <c r="D2081">
        <v>1915</v>
      </c>
      <c r="E2081">
        <v>1</v>
      </c>
      <c r="F2081">
        <v>5.9</v>
      </c>
      <c r="G2081" t="s">
        <v>17</v>
      </c>
      <c r="H2081" t="s">
        <v>36</v>
      </c>
      <c r="I2081" t="str">
        <f t="shared" si="48"/>
        <v>1915_1</v>
      </c>
      <c r="J2081" t="s">
        <v>428</v>
      </c>
      <c r="K2081" t="s">
        <v>429</v>
      </c>
      <c r="L2081" t="str">
        <f>_xlfn.XLOOKUP(C2081, Table2[Species],Table2[Genus], "Code Not Found")</f>
        <v>Fagus</v>
      </c>
      <c r="M2081" t="str">
        <f>_xlfn.XLOOKUP(C2081, Table2[Species],Table2[Sp. Name], "Code Not Found")</f>
        <v>grandifolia</v>
      </c>
      <c r="N2081" t="str">
        <f>_xlfn.XLOOKUP(C2081,Table2[Species],Table2[Family],"Code Not Found")</f>
        <v>Fagaceae</v>
      </c>
      <c r="O2081" t="str" cm="1">
        <f t="array" ref="O2081">_xlfn.IFS(F2081="","",F2081&lt;=5,"0 to 5",F2081&lt;=10,"5.1 to 10",F2081&lt;=20,"10 to 20", F2081&lt;= 40, "20 to 40", F2081 &lt;= 50, "40 to 50", F2081 &gt; 50, "&gt;50" )</f>
        <v>5.1 to 10</v>
      </c>
    </row>
    <row r="2082" spans="1:15" ht="15" customHeight="1" x14ac:dyDescent="0.3">
      <c r="A2082" t="s">
        <v>427</v>
      </c>
      <c r="B2082" s="1">
        <v>46210</v>
      </c>
      <c r="C2082" t="s">
        <v>123</v>
      </c>
      <c r="D2082">
        <v>1916</v>
      </c>
      <c r="E2082">
        <v>1</v>
      </c>
      <c r="F2082">
        <v>25.9</v>
      </c>
      <c r="G2082" t="s">
        <v>17</v>
      </c>
      <c r="I2082" t="str">
        <f t="shared" si="48"/>
        <v>1916_1</v>
      </c>
      <c r="J2082" t="s">
        <v>428</v>
      </c>
      <c r="K2082" t="s">
        <v>429</v>
      </c>
      <c r="L2082" t="str">
        <f>_xlfn.XLOOKUP(C2082, Table2[Species],Table2[Genus], "Code Not Found")</f>
        <v>Quercus</v>
      </c>
      <c r="M2082" t="str">
        <f>_xlfn.XLOOKUP(C2082, Table2[Species],Table2[Sp. Name], "Code Not Found")</f>
        <v>rubra</v>
      </c>
      <c r="N2082" t="str">
        <f>_xlfn.XLOOKUP(C2082,Table2[Species],Table2[Family],"Code Not Found")</f>
        <v>Fagaceae</v>
      </c>
      <c r="O2082" t="str" cm="1">
        <f t="array" ref="O2082">_xlfn.IFS(F2082="","",F2082&lt;=5,"0 to 5",F2082&lt;=10,"5.1 to 10",F2082&lt;=20,"10 to 20", F2082&lt;= 40, "20 to 40", F2082 &lt;= 50, "40 to 50", F2082 &gt; 50, "&gt;50" )</f>
        <v>20 to 40</v>
      </c>
    </row>
    <row r="2083" spans="1:15" ht="15" customHeight="1" x14ac:dyDescent="0.3">
      <c r="A2083" t="s">
        <v>427</v>
      </c>
      <c r="B2083" s="1">
        <v>46210</v>
      </c>
      <c r="C2083" t="s">
        <v>16</v>
      </c>
      <c r="D2083">
        <v>1917</v>
      </c>
      <c r="E2083">
        <v>1</v>
      </c>
      <c r="F2083">
        <v>9.3000000000000007</v>
      </c>
      <c r="G2083" t="s">
        <v>47</v>
      </c>
      <c r="H2083" t="s">
        <v>296</v>
      </c>
      <c r="I2083" t="str">
        <f t="shared" si="48"/>
        <v>1917_1</v>
      </c>
      <c r="J2083" t="s">
        <v>428</v>
      </c>
      <c r="K2083" t="s">
        <v>429</v>
      </c>
      <c r="L2083" t="str">
        <f>_xlfn.XLOOKUP(C2083, Table2[Species],Table2[Genus], "Code Not Found")</f>
        <v>Acer</v>
      </c>
      <c r="M2083" t="str">
        <f>_xlfn.XLOOKUP(C2083, Table2[Species],Table2[Sp. Name], "Code Not Found")</f>
        <v>saccharum</v>
      </c>
      <c r="N2083" t="str">
        <f>_xlfn.XLOOKUP(C2083,Table2[Species],Table2[Family],"Code Not Found")</f>
        <v>Sapindaceae</v>
      </c>
      <c r="O2083" t="str" cm="1">
        <f t="array" ref="O2083">_xlfn.IFS(F2083="","",F2083&lt;=5,"0 to 5",F2083&lt;=10,"5.1 to 10",F2083&lt;=20,"10 to 20", F2083&lt;= 40, "20 to 40", F2083 &lt;= 50, "40 to 50", F2083 &gt; 50, "&gt;50" )</f>
        <v>5.1 to 10</v>
      </c>
    </row>
    <row r="2084" spans="1:15" ht="15" customHeight="1" x14ac:dyDescent="0.3">
      <c r="A2084" t="s">
        <v>427</v>
      </c>
      <c r="B2084" s="1">
        <v>46210</v>
      </c>
      <c r="C2084" t="s">
        <v>64</v>
      </c>
      <c r="D2084">
        <v>1918</v>
      </c>
      <c r="E2084">
        <v>1</v>
      </c>
      <c r="F2084">
        <v>15.7</v>
      </c>
      <c r="G2084" t="s">
        <v>21</v>
      </c>
      <c r="I2084" t="str">
        <f t="shared" si="48"/>
        <v>1918_1</v>
      </c>
      <c r="J2084" t="s">
        <v>428</v>
      </c>
      <c r="K2084" t="s">
        <v>429</v>
      </c>
      <c r="L2084" t="str">
        <f>_xlfn.XLOOKUP(C2084, Table2[Species],Table2[Genus], "Code Not Found")</f>
        <v>Fagus</v>
      </c>
      <c r="M2084" t="str">
        <f>_xlfn.XLOOKUP(C2084, Table2[Species],Table2[Sp. Name], "Code Not Found")</f>
        <v>grandifolia</v>
      </c>
      <c r="N2084" t="str">
        <f>_xlfn.XLOOKUP(C2084,Table2[Species],Table2[Family],"Code Not Found")</f>
        <v>Fagaceae</v>
      </c>
      <c r="O2084" t="str" cm="1">
        <f t="array" ref="O2084">_xlfn.IFS(F2084="","",F2084&lt;=5,"0 to 5",F2084&lt;=10,"5.1 to 10",F2084&lt;=20,"10 to 20", F2084&lt;= 40, "20 to 40", F2084 &lt;= 50, "40 to 50", F2084 &gt; 50, "&gt;50" )</f>
        <v>10 to 20</v>
      </c>
    </row>
    <row r="2085" spans="1:15" ht="15" customHeight="1" x14ac:dyDescent="0.3">
      <c r="A2085" t="s">
        <v>427</v>
      </c>
      <c r="B2085" s="1">
        <v>46210</v>
      </c>
      <c r="C2085" t="s">
        <v>55</v>
      </c>
      <c r="D2085">
        <v>1919</v>
      </c>
      <c r="E2085">
        <v>1</v>
      </c>
      <c r="F2085">
        <v>28.5</v>
      </c>
      <c r="G2085" t="s">
        <v>21</v>
      </c>
      <c r="I2085" t="str">
        <f t="shared" si="48"/>
        <v>1919_1</v>
      </c>
      <c r="J2085" t="s">
        <v>428</v>
      </c>
      <c r="K2085" t="s">
        <v>429</v>
      </c>
      <c r="L2085" t="str">
        <f>_xlfn.XLOOKUP(C2085, Table2[Species],Table2[Genus], "Code Not Found")</f>
        <v>Magnolia</v>
      </c>
      <c r="M2085" t="str">
        <f>_xlfn.XLOOKUP(C2085, Table2[Species],Table2[Sp. Name], "Code Not Found")</f>
        <v>acuminata</v>
      </c>
      <c r="N2085" t="str">
        <f>_xlfn.XLOOKUP(C2085,Table2[Species],Table2[Family],"Code Not Found")</f>
        <v>Magnoliaceae</v>
      </c>
      <c r="O2085" t="str" cm="1">
        <f t="array" ref="O2085">_xlfn.IFS(F2085="","",F2085&lt;=5,"0 to 5",F2085&lt;=10,"5.1 to 10",F2085&lt;=20,"10 to 20", F2085&lt;= 40, "20 to 40", F2085 &lt;= 50, "40 to 50", F2085 &gt; 50, "&gt;50" )</f>
        <v>20 to 40</v>
      </c>
    </row>
    <row r="2086" spans="1:15" ht="15" customHeight="1" x14ac:dyDescent="0.3">
      <c r="A2086" t="s">
        <v>427</v>
      </c>
      <c r="B2086" s="1">
        <v>46210</v>
      </c>
      <c r="C2086" t="s">
        <v>430</v>
      </c>
      <c r="D2086">
        <v>1920</v>
      </c>
      <c r="E2086">
        <v>1</v>
      </c>
      <c r="F2086">
        <v>17.2</v>
      </c>
      <c r="G2086" t="s">
        <v>88</v>
      </c>
      <c r="H2086" t="s">
        <v>305</v>
      </c>
      <c r="I2086" t="str">
        <f t="shared" si="48"/>
        <v>1920_1</v>
      </c>
      <c r="J2086" t="s">
        <v>428</v>
      </c>
      <c r="K2086" t="s">
        <v>429</v>
      </c>
      <c r="L2086" t="str">
        <f>_xlfn.XLOOKUP(C2086, Table2[Species],Table2[Genus], "Code Not Found")</f>
        <v>Tsuga</v>
      </c>
      <c r="M2086" t="str">
        <f>_xlfn.XLOOKUP(C2086, Table2[Species],Table2[Sp. Name], "Code Not Found")</f>
        <v>canadensis</v>
      </c>
      <c r="N2086" t="str">
        <f>_xlfn.XLOOKUP(C2086,Table2[Species],Table2[Family],"Code Not Found")</f>
        <v>Pinaceae</v>
      </c>
      <c r="O2086" t="str" cm="1">
        <f t="array" ref="O2086">_xlfn.IFS(F2086="","",F2086&lt;=5,"0 to 5",F2086&lt;=10,"5.1 to 10",F2086&lt;=20,"10 to 20", F2086&lt;= 40, "20 to 40", F2086 &lt;= 50, "40 to 50", F2086 &gt; 50, "&gt;50" )</f>
        <v>10 to 20</v>
      </c>
    </row>
    <row r="2087" spans="1:15" ht="15" customHeight="1" x14ac:dyDescent="0.3">
      <c r="A2087" t="s">
        <v>427</v>
      </c>
      <c r="B2087" s="1">
        <v>46210</v>
      </c>
      <c r="C2087" t="s">
        <v>430</v>
      </c>
      <c r="D2087">
        <v>1921</v>
      </c>
      <c r="E2087">
        <v>1</v>
      </c>
      <c r="F2087">
        <v>22.6</v>
      </c>
      <c r="G2087" t="s">
        <v>17</v>
      </c>
      <c r="I2087" t="str">
        <f t="shared" si="48"/>
        <v>1921_1</v>
      </c>
      <c r="J2087" t="s">
        <v>428</v>
      </c>
      <c r="K2087" t="s">
        <v>429</v>
      </c>
      <c r="L2087" t="str">
        <f>_xlfn.XLOOKUP(C2087, Table2[Species],Table2[Genus], "Code Not Found")</f>
        <v>Tsuga</v>
      </c>
      <c r="M2087" t="str">
        <f>_xlfn.XLOOKUP(C2087, Table2[Species],Table2[Sp. Name], "Code Not Found")</f>
        <v>canadensis</v>
      </c>
      <c r="N2087" t="str">
        <f>_xlfn.XLOOKUP(C2087,Table2[Species],Table2[Family],"Code Not Found")</f>
        <v>Pinaceae</v>
      </c>
      <c r="O2087" t="str" cm="1">
        <f t="array" ref="O2087">_xlfn.IFS(F2087="","",F2087&lt;=5,"0 to 5",F2087&lt;=10,"5.1 to 10",F2087&lt;=20,"10 to 20", F2087&lt;= 40, "20 to 40", F2087 &lt;= 50, "40 to 50", F2087 &gt; 50, "&gt;50" )</f>
        <v>20 to 40</v>
      </c>
    </row>
    <row r="2088" spans="1:15" ht="15" customHeight="1" x14ac:dyDescent="0.3">
      <c r="A2088" t="s">
        <v>427</v>
      </c>
      <c r="B2088" s="1">
        <v>46210</v>
      </c>
      <c r="C2088" t="s">
        <v>430</v>
      </c>
      <c r="D2088">
        <v>1922</v>
      </c>
      <c r="E2088">
        <v>1</v>
      </c>
      <c r="F2088">
        <v>7.2</v>
      </c>
      <c r="G2088" t="s">
        <v>88</v>
      </c>
      <c r="H2088" t="s">
        <v>457</v>
      </c>
      <c r="I2088" t="str">
        <f t="shared" si="48"/>
        <v>1922_1</v>
      </c>
      <c r="J2088" t="s">
        <v>428</v>
      </c>
      <c r="K2088" t="s">
        <v>429</v>
      </c>
      <c r="L2088" t="str">
        <f>_xlfn.XLOOKUP(C2088, Table2[Species],Table2[Genus], "Code Not Found")</f>
        <v>Tsuga</v>
      </c>
      <c r="M2088" t="str">
        <f>_xlfn.XLOOKUP(C2088, Table2[Species],Table2[Sp. Name], "Code Not Found")</f>
        <v>canadensis</v>
      </c>
      <c r="N2088" t="str">
        <f>_xlfn.XLOOKUP(C2088,Table2[Species],Table2[Family],"Code Not Found")</f>
        <v>Pinaceae</v>
      </c>
      <c r="O2088" t="str" cm="1">
        <f t="array" ref="O2088">_xlfn.IFS(F2088="","",F2088&lt;=5,"0 to 5",F2088&lt;=10,"5.1 to 10",F2088&lt;=20,"10 to 20", F2088&lt;= 40, "20 to 40", F2088 &lt;= 50, "40 to 50", F2088 &gt; 50, "&gt;50" )</f>
        <v>5.1 to 10</v>
      </c>
    </row>
    <row r="2089" spans="1:15" ht="15" customHeight="1" x14ac:dyDescent="0.3">
      <c r="A2089" t="s">
        <v>427</v>
      </c>
      <c r="B2089" s="1">
        <v>46210</v>
      </c>
      <c r="C2089" t="s">
        <v>430</v>
      </c>
      <c r="D2089">
        <v>1923</v>
      </c>
      <c r="E2089">
        <v>1</v>
      </c>
      <c r="F2089">
        <v>25.5</v>
      </c>
      <c r="G2089" t="s">
        <v>47</v>
      </c>
      <c r="I2089" t="str">
        <f t="shared" si="48"/>
        <v>1923_1</v>
      </c>
      <c r="J2089" t="s">
        <v>428</v>
      </c>
      <c r="K2089" t="s">
        <v>429</v>
      </c>
      <c r="L2089" t="str">
        <f>_xlfn.XLOOKUP(C2089, Table2[Species],Table2[Genus], "Code Not Found")</f>
        <v>Tsuga</v>
      </c>
      <c r="M2089" t="str">
        <f>_xlfn.XLOOKUP(C2089, Table2[Species],Table2[Sp. Name], "Code Not Found")</f>
        <v>canadensis</v>
      </c>
      <c r="N2089" t="str">
        <f>_xlfn.XLOOKUP(C2089,Table2[Species],Table2[Family],"Code Not Found")</f>
        <v>Pinaceae</v>
      </c>
      <c r="O2089" t="str" cm="1">
        <f t="array" ref="O2089">_xlfn.IFS(F2089="","",F2089&lt;=5,"0 to 5",F2089&lt;=10,"5.1 to 10",F2089&lt;=20,"10 to 20", F2089&lt;= 40, "20 to 40", F2089 &lt;= 50, "40 to 50", F2089 &gt; 50, "&gt;50" )</f>
        <v>20 to 40</v>
      </c>
    </row>
    <row r="2090" spans="1:15" ht="15" customHeight="1" x14ac:dyDescent="0.3">
      <c r="A2090" t="s">
        <v>427</v>
      </c>
      <c r="B2090" s="1">
        <v>46210</v>
      </c>
      <c r="C2090" t="s">
        <v>430</v>
      </c>
      <c r="D2090">
        <v>1924</v>
      </c>
      <c r="E2090">
        <v>1</v>
      </c>
      <c r="F2090">
        <v>17.899999999999999</v>
      </c>
      <c r="G2090" t="s">
        <v>17</v>
      </c>
      <c r="H2090" t="s">
        <v>36</v>
      </c>
      <c r="I2090" t="str">
        <f t="shared" si="48"/>
        <v>1924_1</v>
      </c>
      <c r="J2090" t="s">
        <v>428</v>
      </c>
      <c r="K2090" t="s">
        <v>429</v>
      </c>
      <c r="L2090" t="str">
        <f>_xlfn.XLOOKUP(C2090, Table2[Species],Table2[Genus], "Code Not Found")</f>
        <v>Tsuga</v>
      </c>
      <c r="M2090" t="str">
        <f>_xlfn.XLOOKUP(C2090, Table2[Species],Table2[Sp. Name], "Code Not Found")</f>
        <v>canadensis</v>
      </c>
      <c r="N2090" t="str">
        <f>_xlfn.XLOOKUP(C2090,Table2[Species],Table2[Family],"Code Not Found")</f>
        <v>Pinaceae</v>
      </c>
      <c r="O2090" t="str" cm="1">
        <f t="array" ref="O2090">_xlfn.IFS(F2090="","",F2090&lt;=5,"0 to 5",F2090&lt;=10,"5.1 to 10",F2090&lt;=20,"10 to 20", F2090&lt;= 40, "20 to 40", F2090 &lt;= 50, "40 to 50", F2090 &gt; 50, "&gt;50" )</f>
        <v>10 to 20</v>
      </c>
    </row>
    <row r="2091" spans="1:15" ht="15" customHeight="1" x14ac:dyDescent="0.3">
      <c r="A2091" t="s">
        <v>427</v>
      </c>
      <c r="B2091" s="1">
        <v>46210</v>
      </c>
      <c r="C2091" t="s">
        <v>55</v>
      </c>
      <c r="D2091">
        <v>1925</v>
      </c>
      <c r="E2091">
        <v>1</v>
      </c>
      <c r="F2091">
        <v>48.8</v>
      </c>
      <c r="G2091" t="s">
        <v>21</v>
      </c>
      <c r="I2091" t="str">
        <f t="shared" si="48"/>
        <v>1925_1</v>
      </c>
      <c r="J2091" t="s">
        <v>428</v>
      </c>
      <c r="K2091" t="s">
        <v>429</v>
      </c>
      <c r="L2091" t="str">
        <f>_xlfn.XLOOKUP(C2091, Table2[Species],Table2[Genus], "Code Not Found")</f>
        <v>Magnolia</v>
      </c>
      <c r="M2091" t="str">
        <f>_xlfn.XLOOKUP(C2091, Table2[Species],Table2[Sp. Name], "Code Not Found")</f>
        <v>acuminata</v>
      </c>
      <c r="N2091" t="str">
        <f>_xlfn.XLOOKUP(C2091,Table2[Species],Table2[Family],"Code Not Found")</f>
        <v>Magnoliaceae</v>
      </c>
      <c r="O2091" t="str" cm="1">
        <f t="array" ref="O2091">_xlfn.IFS(F2091="","",F2091&lt;=5,"0 to 5",F2091&lt;=10,"5.1 to 10",F2091&lt;=20,"10 to 20", F2091&lt;= 40, "20 to 40", F2091 &lt;= 50, "40 to 50", F2091 &gt; 50, "&gt;50" )</f>
        <v>40 to 50</v>
      </c>
    </row>
    <row r="2092" spans="1:15" ht="15" customHeight="1" x14ac:dyDescent="0.3">
      <c r="A2092" t="s">
        <v>427</v>
      </c>
      <c r="B2092" s="1">
        <v>46210</v>
      </c>
      <c r="C2092" t="s">
        <v>118</v>
      </c>
      <c r="D2092">
        <v>1926</v>
      </c>
      <c r="E2092">
        <v>1</v>
      </c>
      <c r="F2092">
        <v>101.3</v>
      </c>
      <c r="G2092" t="s">
        <v>17</v>
      </c>
      <c r="I2092" t="str">
        <f t="shared" si="48"/>
        <v>1926_1</v>
      </c>
      <c r="J2092" t="s">
        <v>428</v>
      </c>
      <c r="K2092" t="s">
        <v>429</v>
      </c>
      <c r="L2092" t="str">
        <f>_xlfn.XLOOKUP(C2092, Table2[Species],Table2[Genus], "Code Not Found")</f>
        <v>Quercus</v>
      </c>
      <c r="M2092" t="str">
        <f>_xlfn.XLOOKUP(C2092, Table2[Species],Table2[Sp. Name], "Code Not Found")</f>
        <v>montana</v>
      </c>
      <c r="N2092" t="str">
        <f>_xlfn.XLOOKUP(C2092,Table2[Species],Table2[Family],"Code Not Found")</f>
        <v>Fagaceae</v>
      </c>
      <c r="O2092" t="str" cm="1">
        <f t="array" ref="O2092">_xlfn.IFS(F2092="","",F2092&lt;=5,"0 to 5",F2092&lt;=10,"5.1 to 10",F2092&lt;=20,"10 to 20", F2092&lt;= 40, "20 to 40", F2092 &lt;= 50, "40 to 50", F2092 &gt; 50, "&gt;50" )</f>
        <v>&gt;50</v>
      </c>
    </row>
    <row r="2093" spans="1:15" ht="15" customHeight="1" x14ac:dyDescent="0.3">
      <c r="A2093" t="s">
        <v>427</v>
      </c>
      <c r="B2093" s="1">
        <v>46210</v>
      </c>
      <c r="C2093" t="s">
        <v>430</v>
      </c>
      <c r="D2093">
        <v>1927</v>
      </c>
      <c r="E2093">
        <v>1</v>
      </c>
      <c r="F2093">
        <v>13.4</v>
      </c>
      <c r="G2093" t="s">
        <v>21</v>
      </c>
      <c r="I2093" t="str">
        <f t="shared" si="48"/>
        <v>1927_1</v>
      </c>
      <c r="J2093" t="s">
        <v>428</v>
      </c>
      <c r="K2093" t="s">
        <v>429</v>
      </c>
      <c r="L2093" t="str">
        <f>_xlfn.XLOOKUP(C2093, Table2[Species],Table2[Genus], "Code Not Found")</f>
        <v>Tsuga</v>
      </c>
      <c r="M2093" t="str">
        <f>_xlfn.XLOOKUP(C2093, Table2[Species],Table2[Sp. Name], "Code Not Found")</f>
        <v>canadensis</v>
      </c>
      <c r="N2093" t="str">
        <f>_xlfn.XLOOKUP(C2093,Table2[Species],Table2[Family],"Code Not Found")</f>
        <v>Pinaceae</v>
      </c>
      <c r="O2093" t="str" cm="1">
        <f t="array" ref="O2093">_xlfn.IFS(F2093="","",F2093&lt;=5,"0 to 5",F2093&lt;=10,"5.1 to 10",F2093&lt;=20,"10 to 20", F2093&lt;= 40, "20 to 40", F2093 &lt;= 50, "40 to 50", F2093 &gt; 50, "&gt;50" )</f>
        <v>10 to 20</v>
      </c>
    </row>
    <row r="2094" spans="1:15" ht="15" customHeight="1" x14ac:dyDescent="0.3">
      <c r="A2094" t="s">
        <v>427</v>
      </c>
      <c r="B2094" s="1">
        <v>46210</v>
      </c>
      <c r="C2094" t="s">
        <v>59</v>
      </c>
      <c r="D2094">
        <v>1928</v>
      </c>
      <c r="E2094">
        <v>1</v>
      </c>
      <c r="F2094">
        <v>80.2</v>
      </c>
      <c r="G2094" t="s">
        <v>21</v>
      </c>
      <c r="I2094" t="str">
        <f t="shared" si="48"/>
        <v>1928_1</v>
      </c>
      <c r="J2094" t="s">
        <v>428</v>
      </c>
      <c r="K2094" t="s">
        <v>429</v>
      </c>
      <c r="L2094" t="str">
        <f>_xlfn.XLOOKUP(C2094, Table2[Species],Table2[Genus], "Code Not Found")</f>
        <v>Nyssa</v>
      </c>
      <c r="M2094" t="str">
        <f>_xlfn.XLOOKUP(C2094, Table2[Species],Table2[Sp. Name], "Code Not Found")</f>
        <v>sylvatica</v>
      </c>
      <c r="N2094" t="str">
        <f>_xlfn.XLOOKUP(C2094,Table2[Species],Table2[Family],"Code Not Found")</f>
        <v>Nyssaceae</v>
      </c>
      <c r="O2094" t="str" cm="1">
        <f t="array" ref="O2094">_xlfn.IFS(F2094="","",F2094&lt;=5,"0 to 5",F2094&lt;=10,"5.1 to 10",F2094&lt;=20,"10 to 20", F2094&lt;= 40, "20 to 40", F2094 &lt;= 50, "40 to 50", F2094 &gt; 50, "&gt;50" )</f>
        <v>&gt;50</v>
      </c>
    </row>
    <row r="2095" spans="1:15" ht="15" customHeight="1" x14ac:dyDescent="0.3">
      <c r="A2095" t="s">
        <v>427</v>
      </c>
      <c r="B2095" s="1">
        <v>46210</v>
      </c>
      <c r="C2095" t="s">
        <v>430</v>
      </c>
      <c r="D2095">
        <v>1929</v>
      </c>
      <c r="E2095">
        <v>1</v>
      </c>
      <c r="F2095">
        <v>49.3</v>
      </c>
      <c r="G2095" t="s">
        <v>17</v>
      </c>
      <c r="I2095" t="str">
        <f t="shared" si="48"/>
        <v>1929_1</v>
      </c>
      <c r="J2095" t="s">
        <v>428</v>
      </c>
      <c r="K2095" t="s">
        <v>429</v>
      </c>
      <c r="L2095" t="str">
        <f>_xlfn.XLOOKUP(C2095, Table2[Species],Table2[Genus], "Code Not Found")</f>
        <v>Tsuga</v>
      </c>
      <c r="M2095" t="str">
        <f>_xlfn.XLOOKUP(C2095, Table2[Species],Table2[Sp. Name], "Code Not Found")</f>
        <v>canadensis</v>
      </c>
      <c r="N2095" t="str">
        <f>_xlfn.XLOOKUP(C2095,Table2[Species],Table2[Family],"Code Not Found")</f>
        <v>Pinaceae</v>
      </c>
      <c r="O2095" t="str" cm="1">
        <f t="array" ref="O2095">_xlfn.IFS(F2095="","",F2095&lt;=5,"0 to 5",F2095&lt;=10,"5.1 to 10",F2095&lt;=20,"10 to 20", F2095&lt;= 40, "20 to 40", F2095 &lt;= 50, "40 to 50", F2095 &gt; 50, "&gt;50" )</f>
        <v>40 to 50</v>
      </c>
    </row>
    <row r="2096" spans="1:15" ht="15" customHeight="1" x14ac:dyDescent="0.3">
      <c r="A2096" t="s">
        <v>427</v>
      </c>
      <c r="B2096" s="1">
        <v>46210</v>
      </c>
      <c r="C2096" t="s">
        <v>430</v>
      </c>
      <c r="D2096">
        <v>1930</v>
      </c>
      <c r="E2096">
        <v>1</v>
      </c>
      <c r="F2096">
        <v>9.5</v>
      </c>
      <c r="G2096" t="s">
        <v>47</v>
      </c>
      <c r="H2096" t="s">
        <v>357</v>
      </c>
      <c r="I2096" t="str">
        <f t="shared" si="48"/>
        <v>1930_1</v>
      </c>
      <c r="J2096" t="s">
        <v>428</v>
      </c>
      <c r="K2096" t="s">
        <v>429</v>
      </c>
      <c r="L2096" t="str">
        <f>_xlfn.XLOOKUP(C2096, Table2[Species],Table2[Genus], "Code Not Found")</f>
        <v>Tsuga</v>
      </c>
      <c r="M2096" t="str">
        <f>_xlfn.XLOOKUP(C2096, Table2[Species],Table2[Sp. Name], "Code Not Found")</f>
        <v>canadensis</v>
      </c>
      <c r="N2096" t="str">
        <f>_xlfn.XLOOKUP(C2096,Table2[Species],Table2[Family],"Code Not Found")</f>
        <v>Pinaceae</v>
      </c>
      <c r="O2096" t="str" cm="1">
        <f t="array" ref="O2096">_xlfn.IFS(F2096="","",F2096&lt;=5,"0 to 5",F2096&lt;=10,"5.1 to 10",F2096&lt;=20,"10 to 20", F2096&lt;= 40, "20 to 40", F2096 &lt;= 50, "40 to 50", F2096 &gt; 50, "&gt;50" )</f>
        <v>5.1 to 10</v>
      </c>
    </row>
    <row r="2097" spans="1:15" ht="15" customHeight="1" x14ac:dyDescent="0.3">
      <c r="A2097" t="s">
        <v>427</v>
      </c>
      <c r="B2097" s="1">
        <v>46210</v>
      </c>
      <c r="C2097" t="s">
        <v>430</v>
      </c>
      <c r="D2097">
        <v>1931</v>
      </c>
      <c r="E2097">
        <v>1</v>
      </c>
      <c r="F2097">
        <v>8.1</v>
      </c>
      <c r="G2097" t="s">
        <v>21</v>
      </c>
      <c r="I2097" t="str">
        <f t="shared" si="48"/>
        <v>1931_1</v>
      </c>
      <c r="J2097" t="s">
        <v>428</v>
      </c>
      <c r="K2097" t="s">
        <v>429</v>
      </c>
      <c r="L2097" t="str">
        <f>_xlfn.XLOOKUP(C2097, Table2[Species],Table2[Genus], "Code Not Found")</f>
        <v>Tsuga</v>
      </c>
      <c r="M2097" t="str">
        <f>_xlfn.XLOOKUP(C2097, Table2[Species],Table2[Sp. Name], "Code Not Found")</f>
        <v>canadensis</v>
      </c>
      <c r="N2097" t="str">
        <f>_xlfn.XLOOKUP(C2097,Table2[Species],Table2[Family],"Code Not Found")</f>
        <v>Pinaceae</v>
      </c>
      <c r="O2097" t="str" cm="1">
        <f t="array" ref="O2097">_xlfn.IFS(F2097="","",F2097&lt;=5,"0 to 5",F2097&lt;=10,"5.1 to 10",F2097&lt;=20,"10 to 20", F2097&lt;= 40, "20 to 40", F2097 &lt;= 50, "40 to 50", F2097 &gt; 50, "&gt;50" )</f>
        <v>5.1 to 10</v>
      </c>
    </row>
    <row r="2098" spans="1:15" ht="15" customHeight="1" x14ac:dyDescent="0.3">
      <c r="A2098" t="s">
        <v>427</v>
      </c>
      <c r="B2098" s="1">
        <v>46210</v>
      </c>
      <c r="C2098" t="s">
        <v>430</v>
      </c>
      <c r="D2098">
        <v>1932</v>
      </c>
      <c r="E2098">
        <v>1</v>
      </c>
      <c r="F2098">
        <v>8.9</v>
      </c>
      <c r="G2098" t="s">
        <v>17</v>
      </c>
      <c r="I2098" t="str">
        <f t="shared" si="48"/>
        <v>1932_1</v>
      </c>
      <c r="J2098" t="s">
        <v>428</v>
      </c>
      <c r="K2098" t="s">
        <v>429</v>
      </c>
      <c r="L2098" t="str">
        <f>_xlfn.XLOOKUP(C2098, Table2[Species],Table2[Genus], "Code Not Found")</f>
        <v>Tsuga</v>
      </c>
      <c r="M2098" t="str">
        <f>_xlfn.XLOOKUP(C2098, Table2[Species],Table2[Sp. Name], "Code Not Found")</f>
        <v>canadensis</v>
      </c>
      <c r="N2098" t="str">
        <f>_xlfn.XLOOKUP(C2098,Table2[Species],Table2[Family],"Code Not Found")</f>
        <v>Pinaceae</v>
      </c>
      <c r="O2098" t="str" cm="1">
        <f t="array" ref="O2098">_xlfn.IFS(F2098="","",F2098&lt;=5,"0 to 5",F2098&lt;=10,"5.1 to 10",F2098&lt;=20,"10 to 20", F2098&lt;= 40, "20 to 40", F2098 &lt;= 50, "40 to 50", F2098 &gt; 50, "&gt;50" )</f>
        <v>5.1 to 10</v>
      </c>
    </row>
    <row r="2099" spans="1:15" ht="15" customHeight="1" x14ac:dyDescent="0.3">
      <c r="A2099" t="s">
        <v>427</v>
      </c>
      <c r="B2099" s="1">
        <v>46210</v>
      </c>
      <c r="C2099" t="s">
        <v>430</v>
      </c>
      <c r="D2099">
        <v>1933</v>
      </c>
      <c r="E2099">
        <v>1</v>
      </c>
      <c r="F2099">
        <v>11.3</v>
      </c>
      <c r="G2099" t="s">
        <v>21</v>
      </c>
      <c r="I2099" t="str">
        <f t="shared" si="48"/>
        <v>1933_1</v>
      </c>
      <c r="J2099" t="s">
        <v>428</v>
      </c>
      <c r="K2099" t="s">
        <v>429</v>
      </c>
      <c r="L2099" t="str">
        <f>_xlfn.XLOOKUP(C2099, Table2[Species],Table2[Genus], "Code Not Found")</f>
        <v>Tsuga</v>
      </c>
      <c r="M2099" t="str">
        <f>_xlfn.XLOOKUP(C2099, Table2[Species],Table2[Sp. Name], "Code Not Found")</f>
        <v>canadensis</v>
      </c>
      <c r="N2099" t="str">
        <f>_xlfn.XLOOKUP(C2099,Table2[Species],Table2[Family],"Code Not Found")</f>
        <v>Pinaceae</v>
      </c>
      <c r="O2099" t="str" cm="1">
        <f t="array" ref="O2099">_xlfn.IFS(F2099="","",F2099&lt;=5,"0 to 5",F2099&lt;=10,"5.1 to 10",F2099&lt;=20,"10 to 20", F2099&lt;= 40, "20 to 40", F2099 &lt;= 50, "40 to 50", F2099 &gt; 50, "&gt;50" )</f>
        <v>10 to 20</v>
      </c>
    </row>
    <row r="2100" spans="1:15" ht="15" customHeight="1" x14ac:dyDescent="0.3">
      <c r="A2100" t="s">
        <v>427</v>
      </c>
      <c r="B2100" s="1">
        <v>46210</v>
      </c>
      <c r="C2100" t="s">
        <v>430</v>
      </c>
      <c r="D2100">
        <v>1934</v>
      </c>
      <c r="E2100">
        <v>1</v>
      </c>
      <c r="F2100">
        <v>7</v>
      </c>
      <c r="G2100" t="s">
        <v>17</v>
      </c>
      <c r="I2100" t="str">
        <f t="shared" si="48"/>
        <v>1934_1</v>
      </c>
      <c r="J2100" t="s">
        <v>428</v>
      </c>
      <c r="K2100" t="s">
        <v>429</v>
      </c>
      <c r="L2100" t="str">
        <f>_xlfn.XLOOKUP(C2100, Table2[Species],Table2[Genus], "Code Not Found")</f>
        <v>Tsuga</v>
      </c>
      <c r="M2100" t="str">
        <f>_xlfn.XLOOKUP(C2100, Table2[Species],Table2[Sp. Name], "Code Not Found")</f>
        <v>canadensis</v>
      </c>
      <c r="N2100" t="str">
        <f>_xlfn.XLOOKUP(C2100,Table2[Species],Table2[Family],"Code Not Found")</f>
        <v>Pinaceae</v>
      </c>
      <c r="O2100" t="str" cm="1">
        <f t="array" ref="O2100">_xlfn.IFS(F2100="","",F2100&lt;=5,"0 to 5",F2100&lt;=10,"5.1 to 10",F2100&lt;=20,"10 to 20", F2100&lt;= 40, "20 to 40", F2100 &lt;= 50, "40 to 50", F2100 &gt; 50, "&gt;50" )</f>
        <v>5.1 to 10</v>
      </c>
    </row>
    <row r="2101" spans="1:15" ht="15" customHeight="1" x14ac:dyDescent="0.3">
      <c r="A2101" t="s">
        <v>427</v>
      </c>
      <c r="B2101" s="1">
        <v>46210</v>
      </c>
      <c r="C2101" t="s">
        <v>430</v>
      </c>
      <c r="D2101">
        <v>1935</v>
      </c>
      <c r="E2101">
        <v>1</v>
      </c>
      <c r="F2101">
        <v>8.6</v>
      </c>
      <c r="G2101" t="s">
        <v>17</v>
      </c>
      <c r="H2101" t="s">
        <v>36</v>
      </c>
      <c r="I2101" t="str">
        <f t="shared" si="48"/>
        <v>1935_1</v>
      </c>
      <c r="J2101" t="s">
        <v>428</v>
      </c>
      <c r="K2101" t="s">
        <v>429</v>
      </c>
      <c r="L2101" t="str">
        <f>_xlfn.XLOOKUP(C2101, Table2[Species],Table2[Genus], "Code Not Found")</f>
        <v>Tsuga</v>
      </c>
      <c r="M2101" t="str">
        <f>_xlfn.XLOOKUP(C2101, Table2[Species],Table2[Sp. Name], "Code Not Found")</f>
        <v>canadensis</v>
      </c>
      <c r="N2101" t="str">
        <f>_xlfn.XLOOKUP(C2101,Table2[Species],Table2[Family],"Code Not Found")</f>
        <v>Pinaceae</v>
      </c>
      <c r="O2101" t="str" cm="1">
        <f t="array" ref="O2101">_xlfn.IFS(F2101="","",F2101&lt;=5,"0 to 5",F2101&lt;=10,"5.1 to 10",F2101&lt;=20,"10 to 20", F2101&lt;= 40, "20 to 40", F2101 &lt;= 50, "40 to 50", F2101 &gt; 50, "&gt;50" )</f>
        <v>5.1 to 10</v>
      </c>
    </row>
    <row r="2102" spans="1:15" ht="15" customHeight="1" x14ac:dyDescent="0.3">
      <c r="A2102" t="s">
        <v>427</v>
      </c>
      <c r="B2102" s="1">
        <v>46210</v>
      </c>
      <c r="C2102" t="s">
        <v>430</v>
      </c>
      <c r="D2102">
        <v>1936</v>
      </c>
      <c r="E2102">
        <v>1</v>
      </c>
      <c r="F2102">
        <v>2.7</v>
      </c>
      <c r="G2102" t="s">
        <v>88</v>
      </c>
      <c r="H2102" t="s">
        <v>305</v>
      </c>
      <c r="I2102" t="str">
        <f t="shared" si="48"/>
        <v>1936_1</v>
      </c>
      <c r="J2102" t="s">
        <v>428</v>
      </c>
      <c r="K2102" t="s">
        <v>429</v>
      </c>
      <c r="L2102" t="str">
        <f>_xlfn.XLOOKUP(C2102, Table2[Species],Table2[Genus], "Code Not Found")</f>
        <v>Tsuga</v>
      </c>
      <c r="M2102" t="str">
        <f>_xlfn.XLOOKUP(C2102, Table2[Species],Table2[Sp. Name], "Code Not Found")</f>
        <v>canadensis</v>
      </c>
      <c r="N2102" t="str">
        <f>_xlfn.XLOOKUP(C2102,Table2[Species],Table2[Family],"Code Not Found")</f>
        <v>Pinaceae</v>
      </c>
      <c r="O2102" t="str" cm="1">
        <f t="array" ref="O2102">_xlfn.IFS(F2102="","",F2102&lt;=5,"0 to 5",F2102&lt;=10,"5.1 to 10",F2102&lt;=20,"10 to 20", F2102&lt;= 40, "20 to 40", F2102 &lt;= 50, "40 to 50", F2102 &gt; 50, "&gt;50" )</f>
        <v>0 to 5</v>
      </c>
    </row>
    <row r="2103" spans="1:15" ht="15" customHeight="1" x14ac:dyDescent="0.3">
      <c r="A2103" t="s">
        <v>427</v>
      </c>
      <c r="B2103" s="1">
        <v>46210</v>
      </c>
      <c r="C2103" t="s">
        <v>430</v>
      </c>
      <c r="D2103">
        <v>1937</v>
      </c>
      <c r="E2103">
        <v>1</v>
      </c>
      <c r="F2103">
        <v>42.9</v>
      </c>
      <c r="G2103" t="s">
        <v>21</v>
      </c>
      <c r="I2103" t="str">
        <f t="shared" si="48"/>
        <v>1937_1</v>
      </c>
      <c r="J2103" t="s">
        <v>428</v>
      </c>
      <c r="K2103" t="s">
        <v>429</v>
      </c>
      <c r="L2103" t="str">
        <f>_xlfn.XLOOKUP(C2103, Table2[Species],Table2[Genus], "Code Not Found")</f>
        <v>Tsuga</v>
      </c>
      <c r="M2103" t="str">
        <f>_xlfn.XLOOKUP(C2103, Table2[Species],Table2[Sp. Name], "Code Not Found")</f>
        <v>canadensis</v>
      </c>
      <c r="N2103" t="str">
        <f>_xlfn.XLOOKUP(C2103,Table2[Species],Table2[Family],"Code Not Found")</f>
        <v>Pinaceae</v>
      </c>
      <c r="O2103" t="str" cm="1">
        <f t="array" ref="O2103">_xlfn.IFS(F2103="","",F2103&lt;=5,"0 to 5",F2103&lt;=10,"5.1 to 10",F2103&lt;=20,"10 to 20", F2103&lt;= 40, "20 to 40", F2103 &lt;= 50, "40 to 50", F2103 &gt; 50, "&gt;50" )</f>
        <v>40 to 50</v>
      </c>
    </row>
    <row r="2104" spans="1:15" ht="15" customHeight="1" x14ac:dyDescent="0.3">
      <c r="A2104" t="s">
        <v>427</v>
      </c>
      <c r="B2104" s="1">
        <v>46210</v>
      </c>
      <c r="C2104" t="s">
        <v>430</v>
      </c>
      <c r="D2104">
        <v>1938</v>
      </c>
      <c r="E2104">
        <v>1</v>
      </c>
      <c r="F2104">
        <v>48.7</v>
      </c>
      <c r="G2104" t="s">
        <v>17</v>
      </c>
      <c r="H2104" t="s">
        <v>36</v>
      </c>
      <c r="I2104" t="str">
        <f t="shared" ref="I2104:I2135" si="49">D2104&amp;"_"&amp;E2104</f>
        <v>1938_1</v>
      </c>
      <c r="J2104" t="s">
        <v>428</v>
      </c>
      <c r="K2104" t="s">
        <v>429</v>
      </c>
      <c r="L2104" t="str">
        <f>_xlfn.XLOOKUP(C2104, Table2[Species],Table2[Genus], "Code Not Found")</f>
        <v>Tsuga</v>
      </c>
      <c r="M2104" t="str">
        <f>_xlfn.XLOOKUP(C2104, Table2[Species],Table2[Sp. Name], "Code Not Found")</f>
        <v>canadensis</v>
      </c>
      <c r="N2104" t="str">
        <f>_xlfn.XLOOKUP(C2104,Table2[Species],Table2[Family],"Code Not Found")</f>
        <v>Pinaceae</v>
      </c>
      <c r="O2104" t="str" cm="1">
        <f t="array" ref="O2104">_xlfn.IFS(F2104="","",F2104&lt;=5,"0 to 5",F2104&lt;=10,"5.1 to 10",F2104&lt;=20,"10 to 20", F2104&lt;= 40, "20 to 40", F2104 &lt;= 50, "40 to 50", F2104 &gt; 50, "&gt;50" )</f>
        <v>40 to 50</v>
      </c>
    </row>
    <row r="2105" spans="1:15" ht="15" customHeight="1" x14ac:dyDescent="0.3">
      <c r="A2105" t="s">
        <v>427</v>
      </c>
      <c r="B2105" s="1">
        <v>46210</v>
      </c>
      <c r="C2105" t="s">
        <v>430</v>
      </c>
      <c r="D2105">
        <v>1939</v>
      </c>
      <c r="E2105">
        <v>1</v>
      </c>
      <c r="F2105">
        <v>54.1</v>
      </c>
      <c r="G2105" t="s">
        <v>21</v>
      </c>
      <c r="I2105" t="str">
        <f t="shared" si="49"/>
        <v>1939_1</v>
      </c>
      <c r="J2105" t="s">
        <v>428</v>
      </c>
      <c r="K2105" t="s">
        <v>429</v>
      </c>
      <c r="L2105" t="str">
        <f>_xlfn.XLOOKUP(C2105, Table2[Species],Table2[Genus], "Code Not Found")</f>
        <v>Tsuga</v>
      </c>
      <c r="M2105" t="str">
        <f>_xlfn.XLOOKUP(C2105, Table2[Species],Table2[Sp. Name], "Code Not Found")</f>
        <v>canadensis</v>
      </c>
      <c r="N2105" t="str">
        <f>_xlfn.XLOOKUP(C2105,Table2[Species],Table2[Family],"Code Not Found")</f>
        <v>Pinaceae</v>
      </c>
      <c r="O2105" t="str" cm="1">
        <f t="array" ref="O2105">_xlfn.IFS(F2105="","",F2105&lt;=5,"0 to 5",F2105&lt;=10,"5.1 to 10",F2105&lt;=20,"10 to 20", F2105&lt;= 40, "20 to 40", F2105 &lt;= 50, "40 to 50", F2105 &gt; 50, "&gt;50" )</f>
        <v>&gt;50</v>
      </c>
    </row>
    <row r="2106" spans="1:15" ht="15" customHeight="1" x14ac:dyDescent="0.3">
      <c r="A2106" t="s">
        <v>427</v>
      </c>
      <c r="B2106" s="1">
        <v>46210</v>
      </c>
      <c r="C2106" t="s">
        <v>430</v>
      </c>
      <c r="D2106">
        <v>1940</v>
      </c>
      <c r="E2106">
        <v>1</v>
      </c>
      <c r="F2106">
        <v>3.7</v>
      </c>
      <c r="G2106" t="s">
        <v>17</v>
      </c>
      <c r="I2106" t="str">
        <f t="shared" si="49"/>
        <v>1940_1</v>
      </c>
      <c r="J2106" t="s">
        <v>428</v>
      </c>
      <c r="K2106" t="s">
        <v>429</v>
      </c>
      <c r="L2106" t="str">
        <f>_xlfn.XLOOKUP(C2106, Table2[Species],Table2[Genus], "Code Not Found")</f>
        <v>Tsuga</v>
      </c>
      <c r="M2106" t="str">
        <f>_xlfn.XLOOKUP(C2106, Table2[Species],Table2[Sp. Name], "Code Not Found")</f>
        <v>canadensis</v>
      </c>
      <c r="N2106" t="str">
        <f>_xlfn.XLOOKUP(C2106,Table2[Species],Table2[Family],"Code Not Found")</f>
        <v>Pinaceae</v>
      </c>
      <c r="O2106" t="str" cm="1">
        <f t="array" ref="O2106">_xlfn.IFS(F2106="","",F2106&lt;=5,"0 to 5",F2106&lt;=10,"5.1 to 10",F2106&lt;=20,"10 to 20", F2106&lt;= 40, "20 to 40", F2106 &lt;= 50, "40 to 50", F2106 &gt; 50, "&gt;50" )</f>
        <v>0 to 5</v>
      </c>
    </row>
    <row r="2107" spans="1:15" ht="15" customHeight="1" x14ac:dyDescent="0.3">
      <c r="A2107" t="s">
        <v>427</v>
      </c>
      <c r="B2107" s="1">
        <v>46210</v>
      </c>
      <c r="C2107" t="s">
        <v>430</v>
      </c>
      <c r="D2107">
        <v>1941</v>
      </c>
      <c r="E2107">
        <v>1</v>
      </c>
      <c r="F2107">
        <v>11.1</v>
      </c>
      <c r="G2107" t="s">
        <v>30</v>
      </c>
      <c r="H2107" t="s">
        <v>458</v>
      </c>
      <c r="I2107" t="str">
        <f t="shared" si="49"/>
        <v>1941_1</v>
      </c>
      <c r="J2107" t="s">
        <v>428</v>
      </c>
      <c r="K2107" t="s">
        <v>429</v>
      </c>
      <c r="L2107" t="str">
        <f>_xlfn.XLOOKUP(C2107, Table2[Species],Table2[Genus], "Code Not Found")</f>
        <v>Tsuga</v>
      </c>
      <c r="M2107" t="str">
        <f>_xlfn.XLOOKUP(C2107, Table2[Species],Table2[Sp. Name], "Code Not Found")</f>
        <v>canadensis</v>
      </c>
      <c r="N2107" t="str">
        <f>_xlfn.XLOOKUP(C2107,Table2[Species],Table2[Family],"Code Not Found")</f>
        <v>Pinaceae</v>
      </c>
      <c r="O2107" t="str" cm="1">
        <f t="array" ref="O2107">_xlfn.IFS(F2107="","",F2107&lt;=5,"0 to 5",F2107&lt;=10,"5.1 to 10",F2107&lt;=20,"10 to 20", F2107&lt;= 40, "20 to 40", F2107 &lt;= 50, "40 to 50", F2107 &gt; 50, "&gt;50" )</f>
        <v>10 to 20</v>
      </c>
    </row>
    <row r="2108" spans="1:15" ht="15" customHeight="1" x14ac:dyDescent="0.3">
      <c r="A2108" t="s">
        <v>427</v>
      </c>
      <c r="B2108" s="1">
        <v>46210</v>
      </c>
      <c r="C2108" t="s">
        <v>22</v>
      </c>
      <c r="D2108">
        <v>1942</v>
      </c>
      <c r="E2108">
        <v>1</v>
      </c>
      <c r="F2108">
        <v>21.5</v>
      </c>
      <c r="G2108" t="s">
        <v>21</v>
      </c>
      <c r="I2108" t="str">
        <f t="shared" si="49"/>
        <v>1942_1</v>
      </c>
      <c r="J2108" t="s">
        <v>428</v>
      </c>
      <c r="K2108" t="s">
        <v>429</v>
      </c>
      <c r="L2108" t="str">
        <f>_xlfn.XLOOKUP(C2108, Table2[Species],Table2[Genus], "Code Not Found")</f>
        <v>Acer</v>
      </c>
      <c r="M2108" t="str">
        <f>_xlfn.XLOOKUP(C2108, Table2[Species],Table2[Sp. Name], "Code Not Found")</f>
        <v>rubrum</v>
      </c>
      <c r="N2108" t="str">
        <f>_xlfn.XLOOKUP(C2108,Table2[Species],Table2[Family],"Code Not Found")</f>
        <v>Sapindaceae</v>
      </c>
      <c r="O2108" t="str" cm="1">
        <f t="array" ref="O2108">_xlfn.IFS(F2108="","",F2108&lt;=5,"0 to 5",F2108&lt;=10,"5.1 to 10",F2108&lt;=20,"10 to 20", F2108&lt;= 40, "20 to 40", F2108 &lt;= 50, "40 to 50", F2108 &gt; 50, "&gt;50" )</f>
        <v>20 to 40</v>
      </c>
    </row>
    <row r="2109" spans="1:15" ht="15" customHeight="1" x14ac:dyDescent="0.3">
      <c r="A2109" t="s">
        <v>427</v>
      </c>
      <c r="B2109" s="1">
        <v>46210</v>
      </c>
      <c r="C2109" t="s">
        <v>430</v>
      </c>
      <c r="D2109">
        <v>1943</v>
      </c>
      <c r="E2109">
        <v>1</v>
      </c>
      <c r="F2109">
        <v>16.3</v>
      </c>
      <c r="G2109" t="s">
        <v>17</v>
      </c>
      <c r="I2109" t="str">
        <f t="shared" si="49"/>
        <v>1943_1</v>
      </c>
      <c r="J2109" t="s">
        <v>428</v>
      </c>
      <c r="K2109" t="s">
        <v>429</v>
      </c>
      <c r="L2109" t="str">
        <f>_xlfn.XLOOKUP(C2109, Table2[Species],Table2[Genus], "Code Not Found")</f>
        <v>Tsuga</v>
      </c>
      <c r="M2109" t="str">
        <f>_xlfn.XLOOKUP(C2109, Table2[Species],Table2[Sp. Name], "Code Not Found")</f>
        <v>canadensis</v>
      </c>
      <c r="N2109" t="str">
        <f>_xlfn.XLOOKUP(C2109,Table2[Species],Table2[Family],"Code Not Found")</f>
        <v>Pinaceae</v>
      </c>
      <c r="O2109" t="str" cm="1">
        <f t="array" ref="O2109">_xlfn.IFS(F2109="","",F2109&lt;=5,"0 to 5",F2109&lt;=10,"5.1 to 10",F2109&lt;=20,"10 to 20", F2109&lt;= 40, "20 to 40", F2109 &lt;= 50, "40 to 50", F2109 &gt; 50, "&gt;50" )</f>
        <v>10 to 20</v>
      </c>
    </row>
    <row r="2110" spans="1:15" ht="15" customHeight="1" x14ac:dyDescent="0.3">
      <c r="A2110" t="s">
        <v>427</v>
      </c>
      <c r="B2110" s="1">
        <v>46210</v>
      </c>
      <c r="C2110" t="s">
        <v>430</v>
      </c>
      <c r="D2110">
        <v>1944</v>
      </c>
      <c r="E2110">
        <v>1</v>
      </c>
      <c r="F2110">
        <v>11.5</v>
      </c>
      <c r="G2110" t="s">
        <v>17</v>
      </c>
      <c r="I2110" t="str">
        <f t="shared" si="49"/>
        <v>1944_1</v>
      </c>
      <c r="J2110" t="s">
        <v>428</v>
      </c>
      <c r="K2110" t="s">
        <v>429</v>
      </c>
      <c r="L2110" t="str">
        <f>_xlfn.XLOOKUP(C2110, Table2[Species],Table2[Genus], "Code Not Found")</f>
        <v>Tsuga</v>
      </c>
      <c r="M2110" t="str">
        <f>_xlfn.XLOOKUP(C2110, Table2[Species],Table2[Sp. Name], "Code Not Found")</f>
        <v>canadensis</v>
      </c>
      <c r="N2110" t="str">
        <f>_xlfn.XLOOKUP(C2110,Table2[Species],Table2[Family],"Code Not Found")</f>
        <v>Pinaceae</v>
      </c>
      <c r="O2110" t="str" cm="1">
        <f t="array" ref="O2110">_xlfn.IFS(F2110="","",F2110&lt;=5,"0 to 5",F2110&lt;=10,"5.1 to 10",F2110&lt;=20,"10 to 20", F2110&lt;= 40, "20 to 40", F2110 &lt;= 50, "40 to 50", F2110 &gt; 50, "&gt;50" )</f>
        <v>10 to 20</v>
      </c>
    </row>
    <row r="2111" spans="1:15" ht="15" customHeight="1" x14ac:dyDescent="0.3">
      <c r="A2111" t="s">
        <v>427</v>
      </c>
      <c r="B2111" s="1">
        <v>46210</v>
      </c>
      <c r="C2111" t="s">
        <v>430</v>
      </c>
      <c r="D2111">
        <v>1945</v>
      </c>
      <c r="E2111">
        <v>1</v>
      </c>
      <c r="F2111">
        <v>59</v>
      </c>
      <c r="G2111" t="s">
        <v>21</v>
      </c>
      <c r="I2111" t="str">
        <f t="shared" si="49"/>
        <v>1945_1</v>
      </c>
      <c r="J2111" t="s">
        <v>428</v>
      </c>
      <c r="K2111" t="s">
        <v>429</v>
      </c>
      <c r="L2111" t="str">
        <f>_xlfn.XLOOKUP(C2111, Table2[Species],Table2[Genus], "Code Not Found")</f>
        <v>Tsuga</v>
      </c>
      <c r="M2111" t="str">
        <f>_xlfn.XLOOKUP(C2111, Table2[Species],Table2[Sp. Name], "Code Not Found")</f>
        <v>canadensis</v>
      </c>
      <c r="N2111" t="str">
        <f>_xlfn.XLOOKUP(C2111,Table2[Species],Table2[Family],"Code Not Found")</f>
        <v>Pinaceae</v>
      </c>
      <c r="O2111" t="str" cm="1">
        <f t="array" ref="O2111">_xlfn.IFS(F2111="","",F2111&lt;=5,"0 to 5",F2111&lt;=10,"5.1 to 10",F2111&lt;=20,"10 to 20", F2111&lt;= 40, "20 to 40", F2111 &lt;= 50, "40 to 50", F2111 &gt; 50, "&gt;50" )</f>
        <v>&gt;50</v>
      </c>
    </row>
    <row r="2112" spans="1:15" ht="15" customHeight="1" x14ac:dyDescent="0.3">
      <c r="A2112" t="s">
        <v>427</v>
      </c>
      <c r="B2112" s="1">
        <v>46210</v>
      </c>
      <c r="C2112" t="s">
        <v>16</v>
      </c>
      <c r="D2112">
        <v>1946</v>
      </c>
      <c r="E2112">
        <v>1</v>
      </c>
      <c r="F2112">
        <v>5.4</v>
      </c>
      <c r="G2112" t="s">
        <v>30</v>
      </c>
      <c r="H2112" t="s">
        <v>459</v>
      </c>
      <c r="I2112" t="str">
        <f t="shared" si="49"/>
        <v>1946_1</v>
      </c>
      <c r="J2112" t="s">
        <v>428</v>
      </c>
      <c r="K2112" t="s">
        <v>429</v>
      </c>
      <c r="L2112" t="str">
        <f>_xlfn.XLOOKUP(C2112, Table2[Species],Table2[Genus], "Code Not Found")</f>
        <v>Acer</v>
      </c>
      <c r="M2112" t="str">
        <f>_xlfn.XLOOKUP(C2112, Table2[Species],Table2[Sp. Name], "Code Not Found")</f>
        <v>saccharum</v>
      </c>
      <c r="N2112" t="str">
        <f>_xlfn.XLOOKUP(C2112,Table2[Species],Table2[Family],"Code Not Found")</f>
        <v>Sapindaceae</v>
      </c>
      <c r="O2112" t="str" cm="1">
        <f t="array" ref="O2112">_xlfn.IFS(F2112="","",F2112&lt;=5,"0 to 5",F2112&lt;=10,"5.1 to 10",F2112&lt;=20,"10 to 20", F2112&lt;= 40, "20 to 40", F2112 &lt;= 50, "40 to 50", F2112 &gt; 50, "&gt;50" )</f>
        <v>5.1 to 10</v>
      </c>
    </row>
    <row r="2113" spans="1:15" ht="15" customHeight="1" x14ac:dyDescent="0.3">
      <c r="A2113" t="s">
        <v>427</v>
      </c>
      <c r="B2113" s="1">
        <v>46210</v>
      </c>
      <c r="C2113" t="s">
        <v>64</v>
      </c>
      <c r="D2113">
        <v>1947</v>
      </c>
      <c r="E2113">
        <v>1</v>
      </c>
      <c r="F2113">
        <v>1.7</v>
      </c>
      <c r="G2113" t="s">
        <v>47</v>
      </c>
      <c r="I2113" t="str">
        <f t="shared" si="49"/>
        <v>1947_1</v>
      </c>
      <c r="J2113" t="s">
        <v>428</v>
      </c>
      <c r="K2113" t="s">
        <v>429</v>
      </c>
      <c r="L2113" t="str">
        <f>_xlfn.XLOOKUP(C2113, Table2[Species],Table2[Genus], "Code Not Found")</f>
        <v>Fagus</v>
      </c>
      <c r="M2113" t="str">
        <f>_xlfn.XLOOKUP(C2113, Table2[Species],Table2[Sp. Name], "Code Not Found")</f>
        <v>grandifolia</v>
      </c>
      <c r="N2113" t="str">
        <f>_xlfn.XLOOKUP(C2113,Table2[Species],Table2[Family],"Code Not Found")</f>
        <v>Fagaceae</v>
      </c>
      <c r="O2113" t="str" cm="1">
        <f t="array" ref="O2113">_xlfn.IFS(F2113="","",F2113&lt;=5,"0 to 5",F2113&lt;=10,"5.1 to 10",F2113&lt;=20,"10 to 20", F2113&lt;= 40, "20 to 40", F2113 &lt;= 50, "40 to 50", F2113 &gt; 50, "&gt;50" )</f>
        <v>0 to 5</v>
      </c>
    </row>
    <row r="2114" spans="1:15" ht="15" customHeight="1" x14ac:dyDescent="0.3">
      <c r="A2114" t="s">
        <v>427</v>
      </c>
      <c r="B2114" s="1">
        <v>46210</v>
      </c>
      <c r="C2114" t="s">
        <v>64</v>
      </c>
      <c r="D2114">
        <v>1948</v>
      </c>
      <c r="E2114">
        <v>1</v>
      </c>
      <c r="F2114">
        <v>4.4000000000000004</v>
      </c>
      <c r="G2114" t="s">
        <v>21</v>
      </c>
      <c r="I2114" t="str">
        <f t="shared" si="49"/>
        <v>1948_1</v>
      </c>
      <c r="J2114" t="s">
        <v>428</v>
      </c>
      <c r="K2114" t="s">
        <v>429</v>
      </c>
      <c r="L2114" t="str">
        <f>_xlfn.XLOOKUP(C2114, Table2[Species],Table2[Genus], "Code Not Found")</f>
        <v>Fagus</v>
      </c>
      <c r="M2114" t="str">
        <f>_xlfn.XLOOKUP(C2114, Table2[Species],Table2[Sp. Name], "Code Not Found")</f>
        <v>grandifolia</v>
      </c>
      <c r="N2114" t="str">
        <f>_xlfn.XLOOKUP(C2114,Table2[Species],Table2[Family],"Code Not Found")</f>
        <v>Fagaceae</v>
      </c>
      <c r="O2114" t="str" cm="1">
        <f t="array" ref="O2114">_xlfn.IFS(F2114="","",F2114&lt;=5,"0 to 5",F2114&lt;=10,"5.1 to 10",F2114&lt;=20,"10 to 20", F2114&lt;= 40, "20 to 40", F2114 &lt;= 50, "40 to 50", F2114 &gt; 50, "&gt;50" )</f>
        <v>0 to 5</v>
      </c>
    </row>
    <row r="2115" spans="1:15" ht="15" customHeight="1" x14ac:dyDescent="0.3">
      <c r="A2115" t="s">
        <v>427</v>
      </c>
      <c r="B2115" s="1">
        <v>46210</v>
      </c>
      <c r="C2115" t="s">
        <v>64</v>
      </c>
      <c r="D2115">
        <v>1949</v>
      </c>
      <c r="E2115">
        <v>1</v>
      </c>
      <c r="F2115">
        <v>3.6</v>
      </c>
      <c r="G2115" t="s">
        <v>21</v>
      </c>
      <c r="I2115" t="str">
        <f t="shared" si="49"/>
        <v>1949_1</v>
      </c>
      <c r="J2115" t="s">
        <v>428</v>
      </c>
      <c r="K2115" t="s">
        <v>429</v>
      </c>
      <c r="L2115" t="str">
        <f>_xlfn.XLOOKUP(C2115, Table2[Species],Table2[Genus], "Code Not Found")</f>
        <v>Fagus</v>
      </c>
      <c r="M2115" t="str">
        <f>_xlfn.XLOOKUP(C2115, Table2[Species],Table2[Sp. Name], "Code Not Found")</f>
        <v>grandifolia</v>
      </c>
      <c r="N2115" t="str">
        <f>_xlfn.XLOOKUP(C2115,Table2[Species],Table2[Family],"Code Not Found")</f>
        <v>Fagaceae</v>
      </c>
      <c r="O2115" t="str" cm="1">
        <f t="array" ref="O2115">_xlfn.IFS(F2115="","",F2115&lt;=5,"0 to 5",F2115&lt;=10,"5.1 to 10",F2115&lt;=20,"10 to 20", F2115&lt;= 40, "20 to 40", F2115 &lt;= 50, "40 to 50", F2115 &gt; 50, "&gt;50" )</f>
        <v>0 to 5</v>
      </c>
    </row>
    <row r="2116" spans="1:15" ht="15" customHeight="1" x14ac:dyDescent="0.3">
      <c r="A2116" t="s">
        <v>427</v>
      </c>
      <c r="B2116" s="1">
        <v>46210</v>
      </c>
      <c r="C2116" t="s">
        <v>16</v>
      </c>
      <c r="D2116">
        <v>1950</v>
      </c>
      <c r="E2116">
        <v>1</v>
      </c>
      <c r="F2116">
        <v>2.1</v>
      </c>
      <c r="G2116" t="s">
        <v>88</v>
      </c>
      <c r="I2116" t="str">
        <f t="shared" si="49"/>
        <v>1950_1</v>
      </c>
      <c r="J2116" t="s">
        <v>428</v>
      </c>
      <c r="K2116" t="s">
        <v>429</v>
      </c>
      <c r="L2116" t="str">
        <f>_xlfn.XLOOKUP(C2116, Table2[Species],Table2[Genus], "Code Not Found")</f>
        <v>Acer</v>
      </c>
      <c r="M2116" t="str">
        <f>_xlfn.XLOOKUP(C2116, Table2[Species],Table2[Sp. Name], "Code Not Found")</f>
        <v>saccharum</v>
      </c>
      <c r="N2116" t="str">
        <f>_xlfn.XLOOKUP(C2116,Table2[Species],Table2[Family],"Code Not Found")</f>
        <v>Sapindaceae</v>
      </c>
      <c r="O2116" t="str" cm="1">
        <f t="array" ref="O2116">_xlfn.IFS(F2116="","",F2116&lt;=5,"0 to 5",F2116&lt;=10,"5.1 to 10",F2116&lt;=20,"10 to 20", F2116&lt;= 40, "20 to 40", F2116 &lt;= 50, "40 to 50", F2116 &gt; 50, "&gt;50" )</f>
        <v>0 to 5</v>
      </c>
    </row>
    <row r="2117" spans="1:15" ht="15" customHeight="1" x14ac:dyDescent="0.3">
      <c r="A2117" t="s">
        <v>427</v>
      </c>
      <c r="B2117" s="1">
        <v>46210</v>
      </c>
      <c r="C2117" t="s">
        <v>430</v>
      </c>
      <c r="D2117">
        <v>1951</v>
      </c>
      <c r="E2117">
        <v>1</v>
      </c>
      <c r="F2117">
        <v>11</v>
      </c>
      <c r="G2117" t="s">
        <v>21</v>
      </c>
      <c r="I2117" t="str">
        <f t="shared" si="49"/>
        <v>1951_1</v>
      </c>
      <c r="J2117" t="s">
        <v>428</v>
      </c>
      <c r="K2117" t="s">
        <v>429</v>
      </c>
      <c r="L2117" t="str">
        <f>_xlfn.XLOOKUP(C2117, Table2[Species],Table2[Genus], "Code Not Found")</f>
        <v>Tsuga</v>
      </c>
      <c r="M2117" t="str">
        <f>_xlfn.XLOOKUP(C2117, Table2[Species],Table2[Sp. Name], "Code Not Found")</f>
        <v>canadensis</v>
      </c>
      <c r="N2117" t="str">
        <f>_xlfn.XLOOKUP(C2117,Table2[Species],Table2[Family],"Code Not Found")</f>
        <v>Pinaceae</v>
      </c>
      <c r="O2117" t="str" cm="1">
        <f t="array" ref="O2117">_xlfn.IFS(F2117="","",F2117&lt;=5,"0 to 5",F2117&lt;=10,"5.1 to 10",F2117&lt;=20,"10 to 20", F2117&lt;= 40, "20 to 40", F2117 &lt;= 50, "40 to 50", F2117 &gt; 50, "&gt;50" )</f>
        <v>10 to 20</v>
      </c>
    </row>
    <row r="2118" spans="1:15" ht="15" customHeight="1" x14ac:dyDescent="0.3">
      <c r="A2118" t="s">
        <v>427</v>
      </c>
      <c r="B2118" s="1">
        <v>46210</v>
      </c>
      <c r="C2118" t="s">
        <v>430</v>
      </c>
      <c r="D2118">
        <v>1952</v>
      </c>
      <c r="E2118">
        <v>1</v>
      </c>
      <c r="F2118">
        <v>11.1</v>
      </c>
      <c r="G2118" t="s">
        <v>17</v>
      </c>
      <c r="I2118" t="str">
        <f t="shared" si="49"/>
        <v>1952_1</v>
      </c>
      <c r="J2118" t="s">
        <v>428</v>
      </c>
      <c r="K2118" t="s">
        <v>429</v>
      </c>
      <c r="L2118" t="str">
        <f>_xlfn.XLOOKUP(C2118, Table2[Species],Table2[Genus], "Code Not Found")</f>
        <v>Tsuga</v>
      </c>
      <c r="M2118" t="str">
        <f>_xlfn.XLOOKUP(C2118, Table2[Species],Table2[Sp. Name], "Code Not Found")</f>
        <v>canadensis</v>
      </c>
      <c r="N2118" t="str">
        <f>_xlfn.XLOOKUP(C2118,Table2[Species],Table2[Family],"Code Not Found")</f>
        <v>Pinaceae</v>
      </c>
      <c r="O2118" t="str" cm="1">
        <f t="array" ref="O2118">_xlfn.IFS(F2118="","",F2118&lt;=5,"0 to 5",F2118&lt;=10,"5.1 to 10",F2118&lt;=20,"10 to 20", F2118&lt;= 40, "20 to 40", F2118 &lt;= 50, "40 to 50", F2118 &gt; 50, "&gt;50" )</f>
        <v>10 to 20</v>
      </c>
    </row>
    <row r="2119" spans="1:15" ht="15" customHeight="1" x14ac:dyDescent="0.3">
      <c r="A2119" t="s">
        <v>427</v>
      </c>
      <c r="B2119" s="1">
        <v>46210</v>
      </c>
      <c r="C2119" t="s">
        <v>430</v>
      </c>
      <c r="D2119">
        <v>1953</v>
      </c>
      <c r="E2119">
        <v>1</v>
      </c>
      <c r="F2119">
        <v>14.1</v>
      </c>
      <c r="G2119" t="s">
        <v>381</v>
      </c>
      <c r="H2119" t="s">
        <v>432</v>
      </c>
      <c r="I2119" t="str">
        <f t="shared" si="49"/>
        <v>1953_1</v>
      </c>
      <c r="J2119" t="s">
        <v>428</v>
      </c>
      <c r="K2119" t="s">
        <v>429</v>
      </c>
      <c r="L2119" t="str">
        <f>_xlfn.XLOOKUP(C2119, Table2[Species],Table2[Genus], "Code Not Found")</f>
        <v>Tsuga</v>
      </c>
      <c r="M2119" t="str">
        <f>_xlfn.XLOOKUP(C2119, Table2[Species],Table2[Sp. Name], "Code Not Found")</f>
        <v>canadensis</v>
      </c>
      <c r="N2119" t="str">
        <f>_xlfn.XLOOKUP(C2119,Table2[Species],Table2[Family],"Code Not Found")</f>
        <v>Pinaceae</v>
      </c>
      <c r="O2119" t="str" cm="1">
        <f t="array" ref="O2119">_xlfn.IFS(F2119="","",F2119&lt;=5,"0 to 5",F2119&lt;=10,"5.1 to 10",F2119&lt;=20,"10 to 20", F2119&lt;= 40, "20 to 40", F2119 &lt;= 50, "40 to 50", F2119 &gt; 50, "&gt;50" )</f>
        <v>10 to 20</v>
      </c>
    </row>
    <row r="2120" spans="1:15" ht="15" customHeight="1" x14ac:dyDescent="0.3">
      <c r="A2120" t="s">
        <v>427</v>
      </c>
      <c r="B2120" s="1">
        <v>46210</v>
      </c>
      <c r="C2120" t="s">
        <v>430</v>
      </c>
      <c r="D2120">
        <v>1954</v>
      </c>
      <c r="E2120">
        <v>1</v>
      </c>
      <c r="F2120">
        <v>11.6</v>
      </c>
      <c r="G2120" t="s">
        <v>21</v>
      </c>
      <c r="I2120" t="str">
        <f t="shared" si="49"/>
        <v>1954_1</v>
      </c>
      <c r="J2120" t="s">
        <v>428</v>
      </c>
      <c r="K2120" t="s">
        <v>429</v>
      </c>
      <c r="L2120" t="str">
        <f>_xlfn.XLOOKUP(C2120, Table2[Species],Table2[Genus], "Code Not Found")</f>
        <v>Tsuga</v>
      </c>
      <c r="M2120" t="str">
        <f>_xlfn.XLOOKUP(C2120, Table2[Species],Table2[Sp. Name], "Code Not Found")</f>
        <v>canadensis</v>
      </c>
      <c r="N2120" t="str">
        <f>_xlfn.XLOOKUP(C2120,Table2[Species],Table2[Family],"Code Not Found")</f>
        <v>Pinaceae</v>
      </c>
      <c r="O2120" t="str" cm="1">
        <f t="array" ref="O2120">_xlfn.IFS(F2120="","",F2120&lt;=5,"0 to 5",F2120&lt;=10,"5.1 to 10",F2120&lt;=20,"10 to 20", F2120&lt;= 40, "20 to 40", F2120 &lt;= 50, "40 to 50", F2120 &gt; 50, "&gt;50" )</f>
        <v>10 to 20</v>
      </c>
    </row>
    <row r="2121" spans="1:15" ht="15" customHeight="1" x14ac:dyDescent="0.3">
      <c r="A2121" t="s">
        <v>427</v>
      </c>
      <c r="B2121" s="1">
        <v>46210</v>
      </c>
      <c r="C2121" t="s">
        <v>430</v>
      </c>
      <c r="D2121">
        <v>1955</v>
      </c>
      <c r="E2121">
        <v>1</v>
      </c>
      <c r="F2121">
        <v>21.2</v>
      </c>
      <c r="G2121" t="s">
        <v>17</v>
      </c>
      <c r="I2121" t="str">
        <f t="shared" si="49"/>
        <v>1955_1</v>
      </c>
      <c r="J2121" t="s">
        <v>428</v>
      </c>
      <c r="K2121" t="s">
        <v>429</v>
      </c>
      <c r="L2121" t="str">
        <f>_xlfn.XLOOKUP(C2121, Table2[Species],Table2[Genus], "Code Not Found")</f>
        <v>Tsuga</v>
      </c>
      <c r="M2121" t="str">
        <f>_xlfn.XLOOKUP(C2121, Table2[Species],Table2[Sp. Name], "Code Not Found")</f>
        <v>canadensis</v>
      </c>
      <c r="N2121" t="str">
        <f>_xlfn.XLOOKUP(C2121,Table2[Species],Table2[Family],"Code Not Found")</f>
        <v>Pinaceae</v>
      </c>
      <c r="O2121" t="str" cm="1">
        <f t="array" ref="O2121">_xlfn.IFS(F2121="","",F2121&lt;=5,"0 to 5",F2121&lt;=10,"5.1 to 10",F2121&lt;=20,"10 to 20", F2121&lt;= 40, "20 to 40", F2121 &lt;= 50, "40 to 50", F2121 &gt; 50, "&gt;50" )</f>
        <v>20 to 40</v>
      </c>
    </row>
    <row r="2122" spans="1:15" ht="15" customHeight="1" x14ac:dyDescent="0.3">
      <c r="A2122" t="s">
        <v>427</v>
      </c>
      <c r="B2122" s="1">
        <v>46210</v>
      </c>
      <c r="C2122" t="s">
        <v>24</v>
      </c>
      <c r="D2122">
        <v>1956</v>
      </c>
      <c r="E2122">
        <v>1</v>
      </c>
      <c r="F2122">
        <v>23.6</v>
      </c>
      <c r="G2122" t="s">
        <v>47</v>
      </c>
      <c r="I2122" t="str">
        <f t="shared" si="49"/>
        <v>1956_1</v>
      </c>
      <c r="J2122" t="s">
        <v>428</v>
      </c>
      <c r="K2122" t="s">
        <v>429</v>
      </c>
      <c r="L2122" t="str">
        <f>_xlfn.XLOOKUP(C2122, Table2[Species],Table2[Genus], "Code Not Found")</f>
        <v>Lirodendron</v>
      </c>
      <c r="M2122" t="str">
        <f>_xlfn.XLOOKUP(C2122, Table2[Species],Table2[Sp. Name], "Code Not Found")</f>
        <v>tulipfera</v>
      </c>
      <c r="N2122" t="str">
        <f>_xlfn.XLOOKUP(C2122,Table2[Species],Table2[Family],"Code Not Found")</f>
        <v>Magnoliaceae</v>
      </c>
      <c r="O2122" t="str" cm="1">
        <f t="array" ref="O2122">_xlfn.IFS(F2122="","",F2122&lt;=5,"0 to 5",F2122&lt;=10,"5.1 to 10",F2122&lt;=20,"10 to 20", F2122&lt;= 40, "20 to 40", F2122 &lt;= 50, "40 to 50", F2122 &gt; 50, "&gt;50" )</f>
        <v>20 to 40</v>
      </c>
    </row>
    <row r="2123" spans="1:15" ht="15" customHeight="1" x14ac:dyDescent="0.3">
      <c r="A2123" t="s">
        <v>427</v>
      </c>
      <c r="B2123" s="1">
        <v>46210</v>
      </c>
      <c r="C2123" t="s">
        <v>430</v>
      </c>
      <c r="D2123">
        <v>1957</v>
      </c>
      <c r="E2123">
        <v>1</v>
      </c>
      <c r="F2123">
        <v>12.6</v>
      </c>
      <c r="G2123" t="s">
        <v>17</v>
      </c>
      <c r="H2123" t="s">
        <v>460</v>
      </c>
      <c r="I2123" t="str">
        <f t="shared" si="49"/>
        <v>1957_1</v>
      </c>
      <c r="J2123" t="s">
        <v>428</v>
      </c>
      <c r="K2123" t="s">
        <v>429</v>
      </c>
      <c r="L2123" t="str">
        <f>_xlfn.XLOOKUP(C2123, Table2[Species],Table2[Genus], "Code Not Found")</f>
        <v>Tsuga</v>
      </c>
      <c r="M2123" t="str">
        <f>_xlfn.XLOOKUP(C2123, Table2[Species],Table2[Sp. Name], "Code Not Found")</f>
        <v>canadensis</v>
      </c>
      <c r="N2123" t="str">
        <f>_xlfn.XLOOKUP(C2123,Table2[Species],Table2[Family],"Code Not Found")</f>
        <v>Pinaceae</v>
      </c>
      <c r="O2123" t="str" cm="1">
        <f t="array" ref="O2123">_xlfn.IFS(F2123="","",F2123&lt;=5,"0 to 5",F2123&lt;=10,"5.1 to 10",F2123&lt;=20,"10 to 20", F2123&lt;= 40, "20 to 40", F2123 &lt;= 50, "40 to 50", F2123 &gt; 50, "&gt;50" )</f>
        <v>10 to 20</v>
      </c>
    </row>
    <row r="2124" spans="1:15" ht="15" customHeight="1" x14ac:dyDescent="0.3">
      <c r="A2124" t="s">
        <v>427</v>
      </c>
      <c r="B2124" s="1">
        <v>46210</v>
      </c>
      <c r="C2124" t="s">
        <v>430</v>
      </c>
      <c r="D2124">
        <v>1958</v>
      </c>
      <c r="E2124">
        <v>1</v>
      </c>
      <c r="F2124">
        <v>9.6</v>
      </c>
      <c r="G2124" t="s">
        <v>461</v>
      </c>
      <c r="H2124" t="s">
        <v>462</v>
      </c>
      <c r="I2124" t="str">
        <f t="shared" si="49"/>
        <v>1958_1</v>
      </c>
      <c r="J2124" t="s">
        <v>428</v>
      </c>
      <c r="K2124" t="s">
        <v>429</v>
      </c>
      <c r="L2124" t="str">
        <f>_xlfn.XLOOKUP(C2124, Table2[Species],Table2[Genus], "Code Not Found")</f>
        <v>Tsuga</v>
      </c>
      <c r="M2124" t="str">
        <f>_xlfn.XLOOKUP(C2124, Table2[Species],Table2[Sp. Name], "Code Not Found")</f>
        <v>canadensis</v>
      </c>
      <c r="N2124" t="str">
        <f>_xlfn.XLOOKUP(C2124,Table2[Species],Table2[Family],"Code Not Found")</f>
        <v>Pinaceae</v>
      </c>
      <c r="O2124" t="str" cm="1">
        <f t="array" ref="O2124">_xlfn.IFS(F2124="","",F2124&lt;=5,"0 to 5",F2124&lt;=10,"5.1 to 10",F2124&lt;=20,"10 to 20", F2124&lt;= 40, "20 to 40", F2124 &lt;= 50, "40 to 50", F2124 &gt; 50, "&gt;50" )</f>
        <v>5.1 to 10</v>
      </c>
    </row>
    <row r="2125" spans="1:15" ht="15" customHeight="1" x14ac:dyDescent="0.3">
      <c r="A2125" t="s">
        <v>427</v>
      </c>
      <c r="B2125" s="1">
        <v>46210</v>
      </c>
      <c r="C2125" t="s">
        <v>430</v>
      </c>
      <c r="D2125">
        <v>1958</v>
      </c>
      <c r="E2125">
        <v>2</v>
      </c>
      <c r="F2125">
        <v>7.9</v>
      </c>
      <c r="G2125" t="s">
        <v>463</v>
      </c>
      <c r="I2125" t="str">
        <f t="shared" si="49"/>
        <v>1958_2</v>
      </c>
      <c r="J2125" t="s">
        <v>428</v>
      </c>
      <c r="K2125" t="s">
        <v>429</v>
      </c>
      <c r="L2125" t="str">
        <f>_xlfn.XLOOKUP(C2125, Table2[Species],Table2[Genus], "Code Not Found")</f>
        <v>Tsuga</v>
      </c>
      <c r="M2125" t="str">
        <f>_xlfn.XLOOKUP(C2125, Table2[Species],Table2[Sp. Name], "Code Not Found")</f>
        <v>canadensis</v>
      </c>
      <c r="N2125" t="str">
        <f>_xlfn.XLOOKUP(C2125,Table2[Species],Table2[Family],"Code Not Found")</f>
        <v>Pinaceae</v>
      </c>
      <c r="O2125" t="str" cm="1">
        <f t="array" ref="O2125">_xlfn.IFS(F2125="","",F2125&lt;=5,"0 to 5",F2125&lt;=10,"5.1 to 10",F2125&lt;=20,"10 to 20", F2125&lt;= 40, "20 to 40", F2125 &lt;= 50, "40 to 50", F2125 &gt; 50, "&gt;50" )</f>
        <v>5.1 to 10</v>
      </c>
    </row>
    <row r="2126" spans="1:15" ht="15" customHeight="1" x14ac:dyDescent="0.3">
      <c r="A2126" t="s">
        <v>427</v>
      </c>
      <c r="B2126" s="1">
        <v>46210</v>
      </c>
      <c r="C2126" t="s">
        <v>22</v>
      </c>
      <c r="D2126">
        <v>1959</v>
      </c>
      <c r="E2126">
        <v>1</v>
      </c>
      <c r="F2126">
        <v>6</v>
      </c>
      <c r="G2126" t="s">
        <v>47</v>
      </c>
      <c r="I2126" t="str">
        <f t="shared" si="49"/>
        <v>1959_1</v>
      </c>
      <c r="J2126" t="s">
        <v>428</v>
      </c>
      <c r="K2126" t="s">
        <v>429</v>
      </c>
      <c r="L2126" t="str">
        <f>_xlfn.XLOOKUP(C2126, Table2[Species],Table2[Genus], "Code Not Found")</f>
        <v>Acer</v>
      </c>
      <c r="M2126" t="str">
        <f>_xlfn.XLOOKUP(C2126, Table2[Species],Table2[Sp. Name], "Code Not Found")</f>
        <v>rubrum</v>
      </c>
      <c r="N2126" t="str">
        <f>_xlfn.XLOOKUP(C2126,Table2[Species],Table2[Family],"Code Not Found")</f>
        <v>Sapindaceae</v>
      </c>
      <c r="O2126" t="str" cm="1">
        <f t="array" ref="O2126">_xlfn.IFS(F2126="","",F2126&lt;=5,"0 to 5",F2126&lt;=10,"5.1 to 10",F2126&lt;=20,"10 to 20", F2126&lt;= 40, "20 to 40", F2126 &lt;= 50, "40 to 50", F2126 &gt; 50, "&gt;50" )</f>
        <v>5.1 to 10</v>
      </c>
    </row>
    <row r="2127" spans="1:15" ht="15" customHeight="1" x14ac:dyDescent="0.3">
      <c r="A2127" t="s">
        <v>427</v>
      </c>
      <c r="B2127" s="1">
        <v>46210</v>
      </c>
      <c r="C2127" t="s">
        <v>64</v>
      </c>
      <c r="D2127">
        <v>1960</v>
      </c>
      <c r="E2127">
        <v>1</v>
      </c>
      <c r="F2127">
        <v>5.4</v>
      </c>
      <c r="G2127" t="s">
        <v>17</v>
      </c>
      <c r="I2127" t="str">
        <f t="shared" si="49"/>
        <v>1960_1</v>
      </c>
      <c r="J2127" t="s">
        <v>428</v>
      </c>
      <c r="K2127" t="s">
        <v>429</v>
      </c>
      <c r="L2127" t="str">
        <f>_xlfn.XLOOKUP(C2127, Table2[Species],Table2[Genus], "Code Not Found")</f>
        <v>Fagus</v>
      </c>
      <c r="M2127" t="str">
        <f>_xlfn.XLOOKUP(C2127, Table2[Species],Table2[Sp. Name], "Code Not Found")</f>
        <v>grandifolia</v>
      </c>
      <c r="N2127" t="str">
        <f>_xlfn.XLOOKUP(C2127,Table2[Species],Table2[Family],"Code Not Found")</f>
        <v>Fagaceae</v>
      </c>
      <c r="O2127" t="str" cm="1">
        <f t="array" ref="O2127">_xlfn.IFS(F2127="","",F2127&lt;=5,"0 to 5",F2127&lt;=10,"5.1 to 10",F2127&lt;=20,"10 to 20", F2127&lt;= 40, "20 to 40", F2127 &lt;= 50, "40 to 50", F2127 &gt; 50, "&gt;50" )</f>
        <v>5.1 to 10</v>
      </c>
    </row>
    <row r="2128" spans="1:15" ht="15" customHeight="1" x14ac:dyDescent="0.3">
      <c r="A2128" t="s">
        <v>427</v>
      </c>
      <c r="B2128" s="1">
        <v>46210</v>
      </c>
      <c r="C2128" t="s">
        <v>22</v>
      </c>
      <c r="D2128">
        <v>1961</v>
      </c>
      <c r="E2128">
        <v>1</v>
      </c>
      <c r="F2128">
        <v>8.4</v>
      </c>
      <c r="G2128" t="s">
        <v>17</v>
      </c>
      <c r="H2128" t="s">
        <v>36</v>
      </c>
      <c r="I2128" t="str">
        <f t="shared" si="49"/>
        <v>1961_1</v>
      </c>
      <c r="J2128" t="s">
        <v>428</v>
      </c>
      <c r="K2128" t="s">
        <v>429</v>
      </c>
      <c r="L2128" t="str">
        <f>_xlfn.XLOOKUP(C2128, Table2[Species],Table2[Genus], "Code Not Found")</f>
        <v>Acer</v>
      </c>
      <c r="M2128" t="str">
        <f>_xlfn.XLOOKUP(C2128, Table2[Species],Table2[Sp. Name], "Code Not Found")</f>
        <v>rubrum</v>
      </c>
      <c r="N2128" t="str">
        <f>_xlfn.XLOOKUP(C2128,Table2[Species],Table2[Family],"Code Not Found")</f>
        <v>Sapindaceae</v>
      </c>
      <c r="O2128" t="str" cm="1">
        <f t="array" ref="O2128">_xlfn.IFS(F2128="","",F2128&lt;=5,"0 to 5",F2128&lt;=10,"5.1 to 10",F2128&lt;=20,"10 to 20", F2128&lt;= 40, "20 to 40", F2128 &lt;= 50, "40 to 50", F2128 &gt; 50, "&gt;50" )</f>
        <v>5.1 to 10</v>
      </c>
    </row>
    <row r="2129" spans="1:15" ht="15" customHeight="1" x14ac:dyDescent="0.3">
      <c r="A2129" t="s">
        <v>427</v>
      </c>
      <c r="B2129" s="1">
        <v>46210</v>
      </c>
      <c r="C2129" t="s">
        <v>22</v>
      </c>
      <c r="D2129">
        <v>1962</v>
      </c>
      <c r="E2129">
        <v>1</v>
      </c>
      <c r="F2129">
        <v>2.4</v>
      </c>
      <c r="G2129" t="s">
        <v>30</v>
      </c>
      <c r="H2129" t="s">
        <v>99</v>
      </c>
      <c r="I2129" t="str">
        <f t="shared" si="49"/>
        <v>1962_1</v>
      </c>
      <c r="J2129" t="s">
        <v>428</v>
      </c>
      <c r="K2129" t="s">
        <v>429</v>
      </c>
      <c r="L2129" t="str">
        <f>_xlfn.XLOOKUP(C2129, Table2[Species],Table2[Genus], "Code Not Found")</f>
        <v>Acer</v>
      </c>
      <c r="M2129" t="str">
        <f>_xlfn.XLOOKUP(C2129, Table2[Species],Table2[Sp. Name], "Code Not Found")</f>
        <v>rubrum</v>
      </c>
      <c r="N2129" t="str">
        <f>_xlfn.XLOOKUP(C2129,Table2[Species],Table2[Family],"Code Not Found")</f>
        <v>Sapindaceae</v>
      </c>
      <c r="O2129" t="str" cm="1">
        <f t="array" ref="O2129">_xlfn.IFS(F2129="","",F2129&lt;=5,"0 to 5",F2129&lt;=10,"5.1 to 10",F2129&lt;=20,"10 to 20", F2129&lt;= 40, "20 to 40", F2129 &lt;= 50, "40 to 50", F2129 &gt; 50, "&gt;50" )</f>
        <v>0 to 5</v>
      </c>
    </row>
    <row r="2130" spans="1:15" ht="15" customHeight="1" x14ac:dyDescent="0.3">
      <c r="A2130" t="s">
        <v>427</v>
      </c>
      <c r="B2130" s="1">
        <v>46210</v>
      </c>
      <c r="C2130" t="s">
        <v>16</v>
      </c>
      <c r="D2130">
        <v>1963</v>
      </c>
      <c r="E2130">
        <v>1</v>
      </c>
      <c r="F2130">
        <v>2.2999999999999998</v>
      </c>
      <c r="G2130" t="s">
        <v>47</v>
      </c>
      <c r="I2130" t="str">
        <f t="shared" si="49"/>
        <v>1963_1</v>
      </c>
      <c r="J2130" t="s">
        <v>428</v>
      </c>
      <c r="K2130" t="s">
        <v>429</v>
      </c>
      <c r="L2130" t="str">
        <f>_xlfn.XLOOKUP(C2130, Table2[Species],Table2[Genus], "Code Not Found")</f>
        <v>Acer</v>
      </c>
      <c r="M2130" t="str">
        <f>_xlfn.XLOOKUP(C2130, Table2[Species],Table2[Sp. Name], "Code Not Found")</f>
        <v>saccharum</v>
      </c>
      <c r="N2130" t="str">
        <f>_xlfn.XLOOKUP(C2130,Table2[Species],Table2[Family],"Code Not Found")</f>
        <v>Sapindaceae</v>
      </c>
      <c r="O2130" t="str" cm="1">
        <f t="array" ref="O2130">_xlfn.IFS(F2130="","",F2130&lt;=5,"0 to 5",F2130&lt;=10,"5.1 to 10",F2130&lt;=20,"10 to 20", F2130&lt;= 40, "20 to 40", F2130 &lt;= 50, "40 to 50", F2130 &gt; 50, "&gt;50" )</f>
        <v>0 to 5</v>
      </c>
    </row>
    <row r="2131" spans="1:15" ht="15" customHeight="1" x14ac:dyDescent="0.3">
      <c r="A2131" t="s">
        <v>427</v>
      </c>
      <c r="B2131" s="1">
        <v>46210</v>
      </c>
      <c r="C2131" t="s">
        <v>16</v>
      </c>
      <c r="D2131">
        <v>1964</v>
      </c>
      <c r="E2131">
        <v>1</v>
      </c>
      <c r="F2131">
        <v>1.9</v>
      </c>
      <c r="G2131" t="s">
        <v>47</v>
      </c>
      <c r="H2131" t="s">
        <v>296</v>
      </c>
      <c r="I2131" t="str">
        <f t="shared" si="49"/>
        <v>1964_1</v>
      </c>
      <c r="J2131" t="s">
        <v>428</v>
      </c>
      <c r="K2131" t="s">
        <v>429</v>
      </c>
      <c r="L2131" t="str">
        <f>_xlfn.XLOOKUP(C2131, Table2[Species],Table2[Genus], "Code Not Found")</f>
        <v>Acer</v>
      </c>
      <c r="M2131" t="str">
        <f>_xlfn.XLOOKUP(C2131, Table2[Species],Table2[Sp. Name], "Code Not Found")</f>
        <v>saccharum</v>
      </c>
      <c r="N2131" t="str">
        <f>_xlfn.XLOOKUP(C2131,Table2[Species],Table2[Family],"Code Not Found")</f>
        <v>Sapindaceae</v>
      </c>
      <c r="O2131" t="str" cm="1">
        <f t="array" ref="O2131">_xlfn.IFS(F2131="","",F2131&lt;=5,"0 to 5",F2131&lt;=10,"5.1 to 10",F2131&lt;=20,"10 to 20", F2131&lt;= 40, "20 to 40", F2131 &lt;= 50, "40 to 50", F2131 &gt; 50, "&gt;50" )</f>
        <v>0 to 5</v>
      </c>
    </row>
    <row r="2132" spans="1:15" ht="15" customHeight="1" x14ac:dyDescent="0.3">
      <c r="A2132" t="s">
        <v>427</v>
      </c>
      <c r="B2132" s="1">
        <v>46210</v>
      </c>
      <c r="C2132" t="s">
        <v>22</v>
      </c>
      <c r="D2132">
        <v>1965</v>
      </c>
      <c r="E2132">
        <v>1</v>
      </c>
      <c r="F2132">
        <v>6</v>
      </c>
      <c r="G2132" t="s">
        <v>47</v>
      </c>
      <c r="H2132" t="s">
        <v>296</v>
      </c>
      <c r="I2132" t="str">
        <f t="shared" si="49"/>
        <v>1965_1</v>
      </c>
      <c r="J2132" t="s">
        <v>428</v>
      </c>
      <c r="K2132" t="s">
        <v>429</v>
      </c>
      <c r="L2132" t="str">
        <f>_xlfn.XLOOKUP(C2132, Table2[Species],Table2[Genus], "Code Not Found")</f>
        <v>Acer</v>
      </c>
      <c r="M2132" t="str">
        <f>_xlfn.XLOOKUP(C2132, Table2[Species],Table2[Sp. Name], "Code Not Found")</f>
        <v>rubrum</v>
      </c>
      <c r="N2132" t="str">
        <f>_xlfn.XLOOKUP(C2132,Table2[Species],Table2[Family],"Code Not Found")</f>
        <v>Sapindaceae</v>
      </c>
      <c r="O2132" t="str" cm="1">
        <f t="array" ref="O2132">_xlfn.IFS(F2132="","",F2132&lt;=5,"0 to 5",F2132&lt;=10,"5.1 to 10",F2132&lt;=20,"10 to 20", F2132&lt;= 40, "20 to 40", F2132 &lt;= 50, "40 to 50", F2132 &gt; 50, "&gt;50" )</f>
        <v>5.1 to 10</v>
      </c>
    </row>
    <row r="2133" spans="1:15" ht="15" customHeight="1" x14ac:dyDescent="0.3">
      <c r="A2133" t="s">
        <v>427</v>
      </c>
      <c r="B2133" s="1">
        <v>46210</v>
      </c>
      <c r="C2133" t="s">
        <v>16</v>
      </c>
      <c r="D2133">
        <v>1966</v>
      </c>
      <c r="E2133">
        <v>1</v>
      </c>
      <c r="F2133">
        <v>5.9</v>
      </c>
      <c r="G2133" t="s">
        <v>88</v>
      </c>
      <c r="H2133" t="s">
        <v>100</v>
      </c>
      <c r="I2133" t="str">
        <f t="shared" si="49"/>
        <v>1966_1</v>
      </c>
      <c r="J2133" t="s">
        <v>428</v>
      </c>
      <c r="K2133" t="s">
        <v>429</v>
      </c>
      <c r="L2133" t="str">
        <f>_xlfn.XLOOKUP(C2133, Table2[Species],Table2[Genus], "Code Not Found")</f>
        <v>Acer</v>
      </c>
      <c r="M2133" t="str">
        <f>_xlfn.XLOOKUP(C2133, Table2[Species],Table2[Sp. Name], "Code Not Found")</f>
        <v>saccharum</v>
      </c>
      <c r="N2133" t="str">
        <f>_xlfn.XLOOKUP(C2133,Table2[Species],Table2[Family],"Code Not Found")</f>
        <v>Sapindaceae</v>
      </c>
      <c r="O2133" t="str" cm="1">
        <f t="array" ref="O2133">_xlfn.IFS(F2133="","",F2133&lt;=5,"0 to 5",F2133&lt;=10,"5.1 to 10",F2133&lt;=20,"10 to 20", F2133&lt;= 40, "20 to 40", F2133 &lt;= 50, "40 to 50", F2133 &gt; 50, "&gt;50" )</f>
        <v>5.1 to 10</v>
      </c>
    </row>
    <row r="2134" spans="1:15" ht="15" customHeight="1" x14ac:dyDescent="0.3">
      <c r="A2134" t="s">
        <v>427</v>
      </c>
      <c r="B2134" s="1">
        <v>46210</v>
      </c>
      <c r="C2134" t="s">
        <v>430</v>
      </c>
      <c r="D2134">
        <v>1967</v>
      </c>
      <c r="E2134">
        <v>1</v>
      </c>
      <c r="F2134">
        <v>14.5</v>
      </c>
      <c r="G2134" t="s">
        <v>47</v>
      </c>
      <c r="I2134" t="str">
        <f t="shared" si="49"/>
        <v>1967_1</v>
      </c>
      <c r="J2134" t="s">
        <v>428</v>
      </c>
      <c r="K2134" t="s">
        <v>429</v>
      </c>
      <c r="L2134" t="str">
        <f>_xlfn.XLOOKUP(C2134, Table2[Species],Table2[Genus], "Code Not Found")</f>
        <v>Tsuga</v>
      </c>
      <c r="M2134" t="str">
        <f>_xlfn.XLOOKUP(C2134, Table2[Species],Table2[Sp. Name], "Code Not Found")</f>
        <v>canadensis</v>
      </c>
      <c r="N2134" t="str">
        <f>_xlfn.XLOOKUP(C2134,Table2[Species],Table2[Family],"Code Not Found")</f>
        <v>Pinaceae</v>
      </c>
      <c r="O2134" t="str" cm="1">
        <f t="array" ref="O2134">_xlfn.IFS(F2134="","",F2134&lt;=5,"0 to 5",F2134&lt;=10,"5.1 to 10",F2134&lt;=20,"10 to 20", F2134&lt;= 40, "20 to 40", F2134 &lt;= 50, "40 to 50", F2134 &gt; 50, "&gt;50" )</f>
        <v>10 to 20</v>
      </c>
    </row>
    <row r="2135" spans="1:15" ht="15" customHeight="1" x14ac:dyDescent="0.3">
      <c r="A2135" t="s">
        <v>427</v>
      </c>
      <c r="B2135" s="1">
        <v>46210</v>
      </c>
      <c r="C2135" t="s">
        <v>16</v>
      </c>
      <c r="D2135">
        <v>1968</v>
      </c>
      <c r="E2135">
        <v>1</v>
      </c>
      <c r="F2135">
        <v>6.5</v>
      </c>
      <c r="G2135" t="s">
        <v>17</v>
      </c>
      <c r="I2135" t="str">
        <f t="shared" si="49"/>
        <v>1968_1</v>
      </c>
      <c r="J2135" t="s">
        <v>428</v>
      </c>
      <c r="K2135" t="s">
        <v>429</v>
      </c>
      <c r="L2135" t="str">
        <f>_xlfn.XLOOKUP(C2135, Table2[Species],Table2[Genus], "Code Not Found")</f>
        <v>Acer</v>
      </c>
      <c r="M2135" t="str">
        <f>_xlfn.XLOOKUP(C2135, Table2[Species],Table2[Sp. Name], "Code Not Found")</f>
        <v>saccharum</v>
      </c>
      <c r="N2135" t="str">
        <f>_xlfn.XLOOKUP(C2135,Table2[Species],Table2[Family],"Code Not Found")</f>
        <v>Sapindaceae</v>
      </c>
      <c r="O2135" t="str" cm="1">
        <f t="array" ref="O2135">_xlfn.IFS(F2135="","",F2135&lt;=5,"0 to 5",F2135&lt;=10,"5.1 to 10",F2135&lt;=20,"10 to 20", F2135&lt;= 40, "20 to 40", F2135 &lt;= 50, "40 to 50", F2135 &gt; 50, "&gt;50" )</f>
        <v>5.1 to 10</v>
      </c>
    </row>
    <row r="2136" spans="1:15" ht="15" customHeight="1" x14ac:dyDescent="0.3">
      <c r="A2136" t="s">
        <v>427</v>
      </c>
      <c r="B2136" s="1">
        <v>46210</v>
      </c>
      <c r="C2136" t="s">
        <v>64</v>
      </c>
      <c r="D2136">
        <v>1969</v>
      </c>
      <c r="E2136">
        <v>1</v>
      </c>
      <c r="F2136">
        <v>2.2999999999999998</v>
      </c>
      <c r="G2136" t="s">
        <v>47</v>
      </c>
      <c r="I2136" t="str">
        <f t="shared" ref="I2136:I2166" si="50">D2136&amp;"_"&amp;E2136</f>
        <v>1969_1</v>
      </c>
      <c r="J2136" t="s">
        <v>428</v>
      </c>
      <c r="K2136" t="s">
        <v>429</v>
      </c>
      <c r="L2136" t="str">
        <f>_xlfn.XLOOKUP(C2136, Table2[Species],Table2[Genus], "Code Not Found")</f>
        <v>Fagus</v>
      </c>
      <c r="M2136" t="str">
        <f>_xlfn.XLOOKUP(C2136, Table2[Species],Table2[Sp. Name], "Code Not Found")</f>
        <v>grandifolia</v>
      </c>
      <c r="N2136" t="str">
        <f>_xlfn.XLOOKUP(C2136,Table2[Species],Table2[Family],"Code Not Found")</f>
        <v>Fagaceae</v>
      </c>
      <c r="O2136" t="str" cm="1">
        <f t="array" ref="O2136">_xlfn.IFS(F2136="","",F2136&lt;=5,"0 to 5",F2136&lt;=10,"5.1 to 10",F2136&lt;=20,"10 to 20", F2136&lt;= 40, "20 to 40", F2136 &lt;= 50, "40 to 50", F2136 &gt; 50, "&gt;50" )</f>
        <v>0 to 5</v>
      </c>
    </row>
    <row r="2137" spans="1:15" ht="15" customHeight="1" x14ac:dyDescent="0.3">
      <c r="A2137" t="s">
        <v>427</v>
      </c>
      <c r="B2137" s="1">
        <v>46210</v>
      </c>
      <c r="C2137" t="s">
        <v>16</v>
      </c>
      <c r="D2137">
        <v>1970</v>
      </c>
      <c r="E2137">
        <v>1</v>
      </c>
      <c r="F2137">
        <v>5.8</v>
      </c>
      <c r="G2137" t="s">
        <v>17</v>
      </c>
      <c r="I2137" t="str">
        <f t="shared" si="50"/>
        <v>1970_1</v>
      </c>
      <c r="J2137" t="s">
        <v>428</v>
      </c>
      <c r="K2137" t="s">
        <v>429</v>
      </c>
      <c r="L2137" t="str">
        <f>_xlfn.XLOOKUP(C2137, Table2[Species],Table2[Genus], "Code Not Found")</f>
        <v>Acer</v>
      </c>
      <c r="M2137" t="str">
        <f>_xlfn.XLOOKUP(C2137, Table2[Species],Table2[Sp. Name], "Code Not Found")</f>
        <v>saccharum</v>
      </c>
      <c r="N2137" t="str">
        <f>_xlfn.XLOOKUP(C2137,Table2[Species],Table2[Family],"Code Not Found")</f>
        <v>Sapindaceae</v>
      </c>
      <c r="O2137" t="str" cm="1">
        <f t="array" ref="O2137">_xlfn.IFS(F2137="","",F2137&lt;=5,"0 to 5",F2137&lt;=10,"5.1 to 10",F2137&lt;=20,"10 to 20", F2137&lt;= 40, "20 to 40", F2137 &lt;= 50, "40 to 50", F2137 &gt; 50, "&gt;50" )</f>
        <v>5.1 to 10</v>
      </c>
    </row>
    <row r="2138" spans="1:15" ht="15" customHeight="1" x14ac:dyDescent="0.3">
      <c r="A2138" t="s">
        <v>427</v>
      </c>
      <c r="B2138" s="1">
        <v>46210</v>
      </c>
      <c r="C2138" t="s">
        <v>16</v>
      </c>
      <c r="D2138">
        <v>1971</v>
      </c>
      <c r="E2138">
        <v>1</v>
      </c>
      <c r="F2138">
        <v>7.2</v>
      </c>
      <c r="G2138" t="s">
        <v>47</v>
      </c>
      <c r="I2138" t="str">
        <f t="shared" si="50"/>
        <v>1971_1</v>
      </c>
      <c r="J2138" t="s">
        <v>428</v>
      </c>
      <c r="K2138" t="s">
        <v>429</v>
      </c>
      <c r="L2138" t="str">
        <f>_xlfn.XLOOKUP(C2138, Table2[Species],Table2[Genus], "Code Not Found")</f>
        <v>Acer</v>
      </c>
      <c r="M2138" t="str">
        <f>_xlfn.XLOOKUP(C2138, Table2[Species],Table2[Sp. Name], "Code Not Found")</f>
        <v>saccharum</v>
      </c>
      <c r="N2138" t="str">
        <f>_xlfn.XLOOKUP(C2138,Table2[Species],Table2[Family],"Code Not Found")</f>
        <v>Sapindaceae</v>
      </c>
      <c r="O2138" t="str" cm="1">
        <f t="array" ref="O2138">_xlfn.IFS(F2138="","",F2138&lt;=5,"0 to 5",F2138&lt;=10,"5.1 to 10",F2138&lt;=20,"10 to 20", F2138&lt;= 40, "20 to 40", F2138 &lt;= 50, "40 to 50", F2138 &gt; 50, "&gt;50" )</f>
        <v>5.1 to 10</v>
      </c>
    </row>
    <row r="2139" spans="1:15" ht="15" customHeight="1" x14ac:dyDescent="0.3">
      <c r="A2139" t="s">
        <v>427</v>
      </c>
      <c r="B2139" s="1">
        <v>46210</v>
      </c>
      <c r="C2139" t="s">
        <v>16</v>
      </c>
      <c r="D2139">
        <v>1972</v>
      </c>
      <c r="E2139">
        <v>1</v>
      </c>
      <c r="F2139">
        <v>2.1</v>
      </c>
      <c r="G2139" t="s">
        <v>17</v>
      </c>
      <c r="I2139" t="str">
        <f t="shared" si="50"/>
        <v>1972_1</v>
      </c>
      <c r="J2139" t="s">
        <v>428</v>
      </c>
      <c r="K2139" t="s">
        <v>429</v>
      </c>
      <c r="L2139" t="str">
        <f>_xlfn.XLOOKUP(C2139, Table2[Species],Table2[Genus], "Code Not Found")</f>
        <v>Acer</v>
      </c>
      <c r="M2139" t="str">
        <f>_xlfn.XLOOKUP(C2139, Table2[Species],Table2[Sp. Name], "Code Not Found")</f>
        <v>saccharum</v>
      </c>
      <c r="N2139" t="str">
        <f>_xlfn.XLOOKUP(C2139,Table2[Species],Table2[Family],"Code Not Found")</f>
        <v>Sapindaceae</v>
      </c>
      <c r="O2139" t="str" cm="1">
        <f t="array" ref="O2139">_xlfn.IFS(F2139="","",F2139&lt;=5,"0 to 5",F2139&lt;=10,"5.1 to 10",F2139&lt;=20,"10 to 20", F2139&lt;= 40, "20 to 40", F2139 &lt;= 50, "40 to 50", F2139 &gt; 50, "&gt;50" )</f>
        <v>0 to 5</v>
      </c>
    </row>
    <row r="2140" spans="1:15" ht="15" customHeight="1" x14ac:dyDescent="0.3">
      <c r="A2140" t="s">
        <v>427</v>
      </c>
      <c r="B2140" s="1">
        <v>46210</v>
      </c>
      <c r="C2140" t="s">
        <v>16</v>
      </c>
      <c r="D2140">
        <v>1973</v>
      </c>
      <c r="E2140">
        <v>1</v>
      </c>
      <c r="F2140">
        <v>6.5</v>
      </c>
      <c r="G2140" t="s">
        <v>47</v>
      </c>
      <c r="H2140" t="s">
        <v>464</v>
      </c>
      <c r="I2140" t="str">
        <f t="shared" si="50"/>
        <v>1973_1</v>
      </c>
      <c r="J2140" t="s">
        <v>428</v>
      </c>
      <c r="K2140" t="s">
        <v>429</v>
      </c>
      <c r="L2140" t="str">
        <f>_xlfn.XLOOKUP(C2140, Table2[Species],Table2[Genus], "Code Not Found")</f>
        <v>Acer</v>
      </c>
      <c r="M2140" t="str">
        <f>_xlfn.XLOOKUP(C2140, Table2[Species],Table2[Sp. Name], "Code Not Found")</f>
        <v>saccharum</v>
      </c>
      <c r="N2140" t="str">
        <f>_xlfn.XLOOKUP(C2140,Table2[Species],Table2[Family],"Code Not Found")</f>
        <v>Sapindaceae</v>
      </c>
      <c r="O2140" t="str" cm="1">
        <f t="array" ref="O2140">_xlfn.IFS(F2140="","",F2140&lt;=5,"0 to 5",F2140&lt;=10,"5.1 to 10",F2140&lt;=20,"10 to 20", F2140&lt;= 40, "20 to 40", F2140 &lt;= 50, "40 to 50", F2140 &gt; 50, "&gt;50" )</f>
        <v>5.1 to 10</v>
      </c>
    </row>
    <row r="2141" spans="1:15" ht="15" customHeight="1" x14ac:dyDescent="0.3">
      <c r="A2141" t="s">
        <v>427</v>
      </c>
      <c r="B2141" s="1">
        <v>46210</v>
      </c>
      <c r="C2141" t="s">
        <v>16</v>
      </c>
      <c r="D2141">
        <v>1974</v>
      </c>
      <c r="E2141">
        <v>1</v>
      </c>
      <c r="F2141">
        <v>4.0999999999999996</v>
      </c>
      <c r="G2141" t="s">
        <v>17</v>
      </c>
      <c r="I2141" t="str">
        <f t="shared" si="50"/>
        <v>1974_1</v>
      </c>
      <c r="J2141" t="s">
        <v>428</v>
      </c>
      <c r="K2141" t="s">
        <v>429</v>
      </c>
      <c r="L2141" t="str">
        <f>_xlfn.XLOOKUP(C2141, Table2[Species],Table2[Genus], "Code Not Found")</f>
        <v>Acer</v>
      </c>
      <c r="M2141" t="str">
        <f>_xlfn.XLOOKUP(C2141, Table2[Species],Table2[Sp. Name], "Code Not Found")</f>
        <v>saccharum</v>
      </c>
      <c r="N2141" t="str">
        <f>_xlfn.XLOOKUP(C2141,Table2[Species],Table2[Family],"Code Not Found")</f>
        <v>Sapindaceae</v>
      </c>
      <c r="O2141" t="str" cm="1">
        <f t="array" ref="O2141">_xlfn.IFS(F2141="","",F2141&lt;=5,"0 to 5",F2141&lt;=10,"5.1 to 10",F2141&lt;=20,"10 to 20", F2141&lt;= 40, "20 to 40", F2141 &lt;= 50, "40 to 50", F2141 &gt; 50, "&gt;50" )</f>
        <v>0 to 5</v>
      </c>
    </row>
    <row r="2142" spans="1:15" ht="15" customHeight="1" x14ac:dyDescent="0.3">
      <c r="A2142" t="s">
        <v>427</v>
      </c>
      <c r="B2142" s="1">
        <v>46210</v>
      </c>
      <c r="C2142" t="s">
        <v>20</v>
      </c>
      <c r="D2142">
        <v>1975</v>
      </c>
      <c r="E2142">
        <v>1</v>
      </c>
      <c r="F2142">
        <v>4.9000000000000004</v>
      </c>
      <c r="G2142" t="s">
        <v>17</v>
      </c>
      <c r="H2142" t="s">
        <v>435</v>
      </c>
      <c r="I2142" t="str">
        <f t="shared" si="50"/>
        <v>1975_1</v>
      </c>
      <c r="J2142" t="s">
        <v>428</v>
      </c>
      <c r="K2142" t="s">
        <v>429</v>
      </c>
      <c r="L2142" t="str">
        <f>_xlfn.XLOOKUP(C2142, Table2[Species],Table2[Genus], "Code Not Found")</f>
        <v>Prunus</v>
      </c>
      <c r="M2142" t="str">
        <f>_xlfn.XLOOKUP(C2142, Table2[Species],Table2[Sp. Name], "Code Not Found")</f>
        <v>serotina</v>
      </c>
      <c r="N2142" t="str">
        <f>_xlfn.XLOOKUP(C2142,Table2[Species],Table2[Family],"Code Not Found")</f>
        <v>Rosaceae</v>
      </c>
      <c r="O2142" t="str" cm="1">
        <f t="array" ref="O2142">_xlfn.IFS(F2142="","",F2142&lt;=5,"0 to 5",F2142&lt;=10,"5.1 to 10",F2142&lt;=20,"10 to 20", F2142&lt;= 40, "20 to 40", F2142 &lt;= 50, "40 to 50", F2142 &gt; 50, "&gt;50" )</f>
        <v>0 to 5</v>
      </c>
    </row>
    <row r="2143" spans="1:15" ht="15" customHeight="1" x14ac:dyDescent="0.3">
      <c r="A2143" t="s">
        <v>427</v>
      </c>
      <c r="B2143" s="1">
        <v>46210</v>
      </c>
      <c r="C2143" t="s">
        <v>22</v>
      </c>
      <c r="D2143">
        <v>1976</v>
      </c>
      <c r="E2143">
        <v>1</v>
      </c>
      <c r="F2143">
        <v>35.299999999999997</v>
      </c>
      <c r="G2143" t="s">
        <v>56</v>
      </c>
      <c r="H2143" t="s">
        <v>465</v>
      </c>
      <c r="I2143" t="str">
        <f t="shared" si="50"/>
        <v>1976_1</v>
      </c>
      <c r="J2143" t="s">
        <v>428</v>
      </c>
      <c r="K2143" t="s">
        <v>429</v>
      </c>
      <c r="L2143" t="str">
        <f>_xlfn.XLOOKUP(C2143, Table2[Species],Table2[Genus], "Code Not Found")</f>
        <v>Acer</v>
      </c>
      <c r="M2143" t="str">
        <f>_xlfn.XLOOKUP(C2143, Table2[Species],Table2[Sp. Name], "Code Not Found")</f>
        <v>rubrum</v>
      </c>
      <c r="N2143" t="str">
        <f>_xlfn.XLOOKUP(C2143,Table2[Species],Table2[Family],"Code Not Found")</f>
        <v>Sapindaceae</v>
      </c>
      <c r="O2143" t="str" cm="1">
        <f t="array" ref="O2143">_xlfn.IFS(F2143="","",F2143&lt;=5,"0 to 5",F2143&lt;=10,"5.1 to 10",F2143&lt;=20,"10 to 20", F2143&lt;= 40, "20 to 40", F2143 &lt;= 50, "40 to 50", F2143 &gt; 50, "&gt;50" )</f>
        <v>20 to 40</v>
      </c>
    </row>
    <row r="2144" spans="1:15" ht="15" customHeight="1" x14ac:dyDescent="0.3">
      <c r="A2144" t="s">
        <v>427</v>
      </c>
      <c r="B2144" s="1">
        <v>46210</v>
      </c>
      <c r="C2144" t="s">
        <v>16</v>
      </c>
      <c r="D2144">
        <v>1977</v>
      </c>
      <c r="E2144">
        <v>1</v>
      </c>
      <c r="F2144">
        <v>5.0999999999999996</v>
      </c>
      <c r="G2144" t="s">
        <v>21</v>
      </c>
      <c r="I2144" t="str">
        <f t="shared" si="50"/>
        <v>1977_1</v>
      </c>
      <c r="J2144" t="s">
        <v>428</v>
      </c>
      <c r="K2144" t="s">
        <v>429</v>
      </c>
      <c r="L2144" t="str">
        <f>_xlfn.XLOOKUP(C2144, Table2[Species],Table2[Genus], "Code Not Found")</f>
        <v>Acer</v>
      </c>
      <c r="M2144" t="str">
        <f>_xlfn.XLOOKUP(C2144, Table2[Species],Table2[Sp. Name], "Code Not Found")</f>
        <v>saccharum</v>
      </c>
      <c r="N2144" t="str">
        <f>_xlfn.XLOOKUP(C2144,Table2[Species],Table2[Family],"Code Not Found")</f>
        <v>Sapindaceae</v>
      </c>
      <c r="O2144" t="str" cm="1">
        <f t="array" ref="O2144">_xlfn.IFS(F2144="","",F2144&lt;=5,"0 to 5",F2144&lt;=10,"5.1 to 10",F2144&lt;=20,"10 to 20", F2144&lt;= 40, "20 to 40", F2144 &lt;= 50, "40 to 50", F2144 &gt; 50, "&gt;50" )</f>
        <v>5.1 to 10</v>
      </c>
    </row>
    <row r="2145" spans="1:15" ht="15" customHeight="1" x14ac:dyDescent="0.3">
      <c r="A2145" t="s">
        <v>427</v>
      </c>
      <c r="B2145" s="1">
        <v>46210</v>
      </c>
      <c r="C2145" t="s">
        <v>16</v>
      </c>
      <c r="D2145">
        <v>1978</v>
      </c>
      <c r="E2145">
        <v>1</v>
      </c>
      <c r="F2145">
        <v>36.4</v>
      </c>
      <c r="G2145" t="s">
        <v>17</v>
      </c>
      <c r="I2145" t="str">
        <f t="shared" si="50"/>
        <v>1978_1</v>
      </c>
      <c r="J2145" t="s">
        <v>428</v>
      </c>
      <c r="K2145" t="s">
        <v>429</v>
      </c>
      <c r="L2145" t="str">
        <f>_xlfn.XLOOKUP(C2145, Table2[Species],Table2[Genus], "Code Not Found")</f>
        <v>Acer</v>
      </c>
      <c r="M2145" t="str">
        <f>_xlfn.XLOOKUP(C2145, Table2[Species],Table2[Sp. Name], "Code Not Found")</f>
        <v>saccharum</v>
      </c>
      <c r="N2145" t="str">
        <f>_xlfn.XLOOKUP(C2145,Table2[Species],Table2[Family],"Code Not Found")</f>
        <v>Sapindaceae</v>
      </c>
      <c r="O2145" t="str" cm="1">
        <f t="array" ref="O2145">_xlfn.IFS(F2145="","",F2145&lt;=5,"0 to 5",F2145&lt;=10,"5.1 to 10",F2145&lt;=20,"10 to 20", F2145&lt;= 40, "20 to 40", F2145 &lt;= 50, "40 to 50", F2145 &gt; 50, "&gt;50" )</f>
        <v>20 to 40</v>
      </c>
    </row>
    <row r="2146" spans="1:15" ht="15" customHeight="1" x14ac:dyDescent="0.3">
      <c r="A2146" t="s">
        <v>427</v>
      </c>
      <c r="B2146" s="1">
        <v>46210</v>
      </c>
      <c r="C2146" t="s">
        <v>64</v>
      </c>
      <c r="D2146">
        <v>1979</v>
      </c>
      <c r="E2146">
        <v>1</v>
      </c>
      <c r="F2146">
        <v>3.6</v>
      </c>
      <c r="G2146" t="s">
        <v>30</v>
      </c>
      <c r="H2146" t="s">
        <v>100</v>
      </c>
      <c r="I2146" t="str">
        <f t="shared" si="50"/>
        <v>1979_1</v>
      </c>
      <c r="J2146" t="s">
        <v>428</v>
      </c>
      <c r="K2146" t="s">
        <v>429</v>
      </c>
      <c r="L2146" t="str">
        <f>_xlfn.XLOOKUP(C2146, Table2[Species],Table2[Genus], "Code Not Found")</f>
        <v>Fagus</v>
      </c>
      <c r="M2146" t="str">
        <f>_xlfn.XLOOKUP(C2146, Table2[Species],Table2[Sp. Name], "Code Not Found")</f>
        <v>grandifolia</v>
      </c>
      <c r="N2146" t="str">
        <f>_xlfn.XLOOKUP(C2146,Table2[Species],Table2[Family],"Code Not Found")</f>
        <v>Fagaceae</v>
      </c>
      <c r="O2146" t="str" cm="1">
        <f t="array" ref="O2146">_xlfn.IFS(F2146="","",F2146&lt;=5,"0 to 5",F2146&lt;=10,"5.1 to 10",F2146&lt;=20,"10 to 20", F2146&lt;= 40, "20 to 40", F2146 &lt;= 50, "40 to 50", F2146 &gt; 50, "&gt;50" )</f>
        <v>0 to 5</v>
      </c>
    </row>
    <row r="2147" spans="1:15" ht="15" customHeight="1" x14ac:dyDescent="0.3">
      <c r="A2147" t="s">
        <v>427</v>
      </c>
      <c r="B2147" s="1">
        <v>46210</v>
      </c>
      <c r="C2147" t="s">
        <v>64</v>
      </c>
      <c r="D2147">
        <v>1980</v>
      </c>
      <c r="E2147">
        <v>1</v>
      </c>
      <c r="F2147">
        <v>3</v>
      </c>
      <c r="G2147" t="s">
        <v>17</v>
      </c>
      <c r="H2147" t="s">
        <v>466</v>
      </c>
      <c r="I2147" t="str">
        <f t="shared" si="50"/>
        <v>1980_1</v>
      </c>
      <c r="J2147" t="s">
        <v>428</v>
      </c>
      <c r="K2147" t="s">
        <v>429</v>
      </c>
      <c r="L2147" t="str">
        <f>_xlfn.XLOOKUP(C2147, Table2[Species],Table2[Genus], "Code Not Found")</f>
        <v>Fagus</v>
      </c>
      <c r="M2147" t="str">
        <f>_xlfn.XLOOKUP(C2147, Table2[Species],Table2[Sp. Name], "Code Not Found")</f>
        <v>grandifolia</v>
      </c>
      <c r="N2147" t="str">
        <f>_xlfn.XLOOKUP(C2147,Table2[Species],Table2[Family],"Code Not Found")</f>
        <v>Fagaceae</v>
      </c>
      <c r="O2147" t="str" cm="1">
        <f t="array" ref="O2147">_xlfn.IFS(F2147="","",F2147&lt;=5,"0 to 5",F2147&lt;=10,"5.1 to 10",F2147&lt;=20,"10 to 20", F2147&lt;= 40, "20 to 40", F2147 &lt;= 50, "40 to 50", F2147 &gt; 50, "&gt;50" )</f>
        <v>0 to 5</v>
      </c>
    </row>
    <row r="2148" spans="1:15" ht="15" customHeight="1" x14ac:dyDescent="0.3">
      <c r="A2148" t="s">
        <v>427</v>
      </c>
      <c r="B2148" s="1">
        <v>46210</v>
      </c>
      <c r="C2148" t="s">
        <v>64</v>
      </c>
      <c r="D2148">
        <v>1981</v>
      </c>
      <c r="E2148">
        <v>1</v>
      </c>
      <c r="F2148">
        <v>7.9</v>
      </c>
      <c r="G2148" t="s">
        <v>17</v>
      </c>
      <c r="I2148" t="str">
        <f t="shared" si="50"/>
        <v>1981_1</v>
      </c>
      <c r="J2148" t="s">
        <v>428</v>
      </c>
      <c r="K2148" t="s">
        <v>429</v>
      </c>
      <c r="L2148" t="str">
        <f>_xlfn.XLOOKUP(C2148, Table2[Species],Table2[Genus], "Code Not Found")</f>
        <v>Fagus</v>
      </c>
      <c r="M2148" t="str">
        <f>_xlfn.XLOOKUP(C2148, Table2[Species],Table2[Sp. Name], "Code Not Found")</f>
        <v>grandifolia</v>
      </c>
      <c r="N2148" t="str">
        <f>_xlfn.XLOOKUP(C2148,Table2[Species],Table2[Family],"Code Not Found")</f>
        <v>Fagaceae</v>
      </c>
      <c r="O2148" t="str" cm="1">
        <f t="array" ref="O2148">_xlfn.IFS(F2148="","",F2148&lt;=5,"0 to 5",F2148&lt;=10,"5.1 to 10",F2148&lt;=20,"10 to 20", F2148&lt;= 40, "20 to 40", F2148 &lt;= 50, "40 to 50", F2148 &gt; 50, "&gt;50" )</f>
        <v>5.1 to 10</v>
      </c>
    </row>
    <row r="2149" spans="1:15" ht="15" customHeight="1" x14ac:dyDescent="0.3">
      <c r="A2149" t="s">
        <v>427</v>
      </c>
      <c r="B2149" s="1">
        <v>46210</v>
      </c>
      <c r="C2149" t="s">
        <v>64</v>
      </c>
      <c r="D2149">
        <v>1982</v>
      </c>
      <c r="E2149">
        <v>1</v>
      </c>
      <c r="F2149">
        <v>2.2000000000000002</v>
      </c>
      <c r="G2149" t="s">
        <v>47</v>
      </c>
      <c r="H2149" t="s">
        <v>467</v>
      </c>
      <c r="I2149" t="str">
        <f t="shared" si="50"/>
        <v>1982_1</v>
      </c>
      <c r="J2149" t="s">
        <v>428</v>
      </c>
      <c r="K2149" t="s">
        <v>429</v>
      </c>
      <c r="L2149" t="str">
        <f>_xlfn.XLOOKUP(C2149, Table2[Species],Table2[Genus], "Code Not Found")</f>
        <v>Fagus</v>
      </c>
      <c r="M2149" t="str">
        <f>_xlfn.XLOOKUP(C2149, Table2[Species],Table2[Sp. Name], "Code Not Found")</f>
        <v>grandifolia</v>
      </c>
      <c r="N2149" t="str">
        <f>_xlfn.XLOOKUP(C2149,Table2[Species],Table2[Family],"Code Not Found")</f>
        <v>Fagaceae</v>
      </c>
      <c r="O2149" t="str" cm="1">
        <f t="array" ref="O2149">_xlfn.IFS(F2149="","",F2149&lt;=5,"0 to 5",F2149&lt;=10,"5.1 to 10",F2149&lt;=20,"10 to 20", F2149&lt;= 40, "20 to 40", F2149 &lt;= 50, "40 to 50", F2149 &gt; 50, "&gt;50" )</f>
        <v>0 to 5</v>
      </c>
    </row>
    <row r="2150" spans="1:15" ht="15" customHeight="1" x14ac:dyDescent="0.3">
      <c r="A2150" t="s">
        <v>427</v>
      </c>
      <c r="B2150" s="1">
        <v>46210</v>
      </c>
      <c r="C2150" t="s">
        <v>430</v>
      </c>
      <c r="D2150">
        <v>1983</v>
      </c>
      <c r="E2150">
        <v>1</v>
      </c>
      <c r="F2150">
        <v>79.2</v>
      </c>
      <c r="G2150" t="s">
        <v>21</v>
      </c>
      <c r="I2150" t="str">
        <f t="shared" si="50"/>
        <v>1983_1</v>
      </c>
      <c r="J2150" t="s">
        <v>428</v>
      </c>
      <c r="K2150" t="s">
        <v>429</v>
      </c>
      <c r="L2150" t="str">
        <f>_xlfn.XLOOKUP(C2150, Table2[Species],Table2[Genus], "Code Not Found")</f>
        <v>Tsuga</v>
      </c>
      <c r="M2150" t="str">
        <f>_xlfn.XLOOKUP(C2150, Table2[Species],Table2[Sp. Name], "Code Not Found")</f>
        <v>canadensis</v>
      </c>
      <c r="N2150" t="str">
        <f>_xlfn.XLOOKUP(C2150,Table2[Species],Table2[Family],"Code Not Found")</f>
        <v>Pinaceae</v>
      </c>
      <c r="O2150" t="str" cm="1">
        <f t="array" ref="O2150">_xlfn.IFS(F2150="","",F2150&lt;=5,"0 to 5",F2150&lt;=10,"5.1 to 10",F2150&lt;=20,"10 to 20", F2150&lt;= 40, "20 to 40", F2150 &lt;= 50, "40 to 50", F2150 &gt; 50, "&gt;50" )</f>
        <v>&gt;50</v>
      </c>
    </row>
    <row r="2151" spans="1:15" ht="15" customHeight="1" x14ac:dyDescent="0.3">
      <c r="A2151" t="s">
        <v>427</v>
      </c>
      <c r="B2151" s="1">
        <v>46210</v>
      </c>
      <c r="C2151" t="s">
        <v>430</v>
      </c>
      <c r="D2151">
        <v>1984</v>
      </c>
      <c r="E2151">
        <v>1</v>
      </c>
      <c r="F2151">
        <v>20</v>
      </c>
      <c r="G2151" t="s">
        <v>17</v>
      </c>
      <c r="H2151" t="s">
        <v>468</v>
      </c>
      <c r="I2151" t="str">
        <f t="shared" si="50"/>
        <v>1984_1</v>
      </c>
      <c r="J2151" t="s">
        <v>428</v>
      </c>
      <c r="K2151" t="s">
        <v>429</v>
      </c>
      <c r="L2151" t="str">
        <f>_xlfn.XLOOKUP(C2151, Table2[Species],Table2[Genus], "Code Not Found")</f>
        <v>Tsuga</v>
      </c>
      <c r="M2151" t="str">
        <f>_xlfn.XLOOKUP(C2151, Table2[Species],Table2[Sp. Name], "Code Not Found")</f>
        <v>canadensis</v>
      </c>
      <c r="N2151" t="str">
        <f>_xlfn.XLOOKUP(C2151,Table2[Species],Table2[Family],"Code Not Found")</f>
        <v>Pinaceae</v>
      </c>
      <c r="O2151" t="str" cm="1">
        <f t="array" ref="O2151">_xlfn.IFS(F2151="","",F2151&lt;=5,"0 to 5",F2151&lt;=10,"5.1 to 10",F2151&lt;=20,"10 to 20", F2151&lt;= 40, "20 to 40", F2151 &lt;= 50, "40 to 50", F2151 &gt; 50, "&gt;50" )</f>
        <v>10 to 20</v>
      </c>
    </row>
    <row r="2152" spans="1:15" ht="15" customHeight="1" x14ac:dyDescent="0.3">
      <c r="A2152" t="s">
        <v>427</v>
      </c>
      <c r="B2152" s="1">
        <v>46210</v>
      </c>
      <c r="C2152" t="s">
        <v>430</v>
      </c>
      <c r="D2152">
        <v>1985</v>
      </c>
      <c r="E2152">
        <v>1</v>
      </c>
      <c r="F2152">
        <v>28.6</v>
      </c>
      <c r="G2152" t="s">
        <v>17</v>
      </c>
      <c r="I2152" t="str">
        <f t="shared" si="50"/>
        <v>1985_1</v>
      </c>
      <c r="J2152" t="s">
        <v>428</v>
      </c>
      <c r="K2152" t="s">
        <v>429</v>
      </c>
      <c r="L2152" t="str">
        <f>_xlfn.XLOOKUP(C2152, Table2[Species],Table2[Genus], "Code Not Found")</f>
        <v>Tsuga</v>
      </c>
      <c r="M2152" t="str">
        <f>_xlfn.XLOOKUP(C2152, Table2[Species],Table2[Sp. Name], "Code Not Found")</f>
        <v>canadensis</v>
      </c>
      <c r="N2152" t="str">
        <f>_xlfn.XLOOKUP(C2152,Table2[Species],Table2[Family],"Code Not Found")</f>
        <v>Pinaceae</v>
      </c>
      <c r="O2152" t="str" cm="1">
        <f t="array" ref="O2152">_xlfn.IFS(F2152="","",F2152&lt;=5,"0 to 5",F2152&lt;=10,"5.1 to 10",F2152&lt;=20,"10 to 20", F2152&lt;= 40, "20 to 40", F2152 &lt;= 50, "40 to 50", F2152 &gt; 50, "&gt;50" )</f>
        <v>20 to 40</v>
      </c>
    </row>
    <row r="2153" spans="1:15" ht="15" customHeight="1" x14ac:dyDescent="0.3">
      <c r="A2153" t="s">
        <v>427</v>
      </c>
      <c r="B2153" s="1">
        <v>46210</v>
      </c>
      <c r="C2153" t="s">
        <v>16</v>
      </c>
      <c r="D2153">
        <v>1986</v>
      </c>
      <c r="E2153">
        <v>1</v>
      </c>
      <c r="F2153">
        <v>2.6</v>
      </c>
      <c r="G2153" t="s">
        <v>47</v>
      </c>
      <c r="H2153" t="s">
        <v>467</v>
      </c>
      <c r="I2153" t="str">
        <f t="shared" si="50"/>
        <v>1986_1</v>
      </c>
      <c r="J2153" t="s">
        <v>428</v>
      </c>
      <c r="K2153" t="s">
        <v>429</v>
      </c>
      <c r="L2153" t="str">
        <f>_xlfn.XLOOKUP(C2153, Table2[Species],Table2[Genus], "Code Not Found")</f>
        <v>Acer</v>
      </c>
      <c r="M2153" t="str">
        <f>_xlfn.XLOOKUP(C2153, Table2[Species],Table2[Sp. Name], "Code Not Found")</f>
        <v>saccharum</v>
      </c>
      <c r="N2153" t="str">
        <f>_xlfn.XLOOKUP(C2153,Table2[Species],Table2[Family],"Code Not Found")</f>
        <v>Sapindaceae</v>
      </c>
      <c r="O2153" t="str" cm="1">
        <f t="array" ref="O2153">_xlfn.IFS(F2153="","",F2153&lt;=5,"0 to 5",F2153&lt;=10,"5.1 to 10",F2153&lt;=20,"10 to 20", F2153&lt;= 40, "20 to 40", F2153 &lt;= 50, "40 to 50", F2153 &gt; 50, "&gt;50" )</f>
        <v>0 to 5</v>
      </c>
    </row>
    <row r="2154" spans="1:15" ht="15" customHeight="1" x14ac:dyDescent="0.3">
      <c r="A2154" t="s">
        <v>427</v>
      </c>
      <c r="B2154" s="1">
        <v>46210</v>
      </c>
      <c r="C2154" t="s">
        <v>64</v>
      </c>
      <c r="D2154">
        <v>1987</v>
      </c>
      <c r="E2154">
        <v>1</v>
      </c>
      <c r="F2154">
        <v>6.7</v>
      </c>
      <c r="G2154" t="s">
        <v>469</v>
      </c>
      <c r="H2154" t="s">
        <v>467</v>
      </c>
      <c r="I2154" t="str">
        <f t="shared" si="50"/>
        <v>1987_1</v>
      </c>
      <c r="J2154" t="s">
        <v>428</v>
      </c>
      <c r="K2154" t="s">
        <v>429</v>
      </c>
      <c r="L2154" t="str">
        <f>_xlfn.XLOOKUP(C2154, Table2[Species],Table2[Genus], "Code Not Found")</f>
        <v>Fagus</v>
      </c>
      <c r="M2154" t="str">
        <f>_xlfn.XLOOKUP(C2154, Table2[Species],Table2[Sp. Name], "Code Not Found")</f>
        <v>grandifolia</v>
      </c>
      <c r="N2154" t="str">
        <f>_xlfn.XLOOKUP(C2154,Table2[Species],Table2[Family],"Code Not Found")</f>
        <v>Fagaceae</v>
      </c>
      <c r="O2154" t="str" cm="1">
        <f t="array" ref="O2154">_xlfn.IFS(F2154="","",F2154&lt;=5,"0 to 5",F2154&lt;=10,"5.1 to 10",F2154&lt;=20,"10 to 20", F2154&lt;= 40, "20 to 40", F2154 &lt;= 50, "40 to 50", F2154 &gt; 50, "&gt;50" )</f>
        <v>5.1 to 10</v>
      </c>
    </row>
    <row r="2155" spans="1:15" ht="15" customHeight="1" x14ac:dyDescent="0.3">
      <c r="A2155" t="s">
        <v>427</v>
      </c>
      <c r="B2155" s="1">
        <v>46210</v>
      </c>
      <c r="C2155" t="s">
        <v>64</v>
      </c>
      <c r="D2155">
        <v>1987</v>
      </c>
      <c r="E2155">
        <v>2</v>
      </c>
      <c r="F2155">
        <v>4.3</v>
      </c>
      <c r="G2155" t="s">
        <v>463</v>
      </c>
      <c r="I2155" t="str">
        <f>D2155&amp;"_"&amp;E2155</f>
        <v>1987_2</v>
      </c>
      <c r="J2155" t="s">
        <v>428</v>
      </c>
      <c r="K2155" t="s">
        <v>429</v>
      </c>
      <c r="L2155" t="str">
        <f>_xlfn.XLOOKUP(C2155, Table2[Species],Table2[Genus], "Code Not Found")</f>
        <v>Fagus</v>
      </c>
      <c r="M2155" t="str">
        <f>_xlfn.XLOOKUP(C2155, Table2[Species],Table2[Sp. Name], "Code Not Found")</f>
        <v>grandifolia</v>
      </c>
      <c r="N2155" t="str">
        <f>_xlfn.XLOOKUP(C2155,Table2[Species],Table2[Family],"Code Not Found")</f>
        <v>Fagaceae</v>
      </c>
      <c r="O2155" t="str" cm="1">
        <f t="array" ref="O2155">_xlfn.IFS(F2155="","",F2155&lt;=5,"0 to 5",F2155&lt;=10,"5.1 to 10",F2155&lt;=20,"10 to 20", F2155&lt;= 40, "20 to 40", F2155 &lt;= 50, "40 to 50", F2155 &gt; 50, "&gt;50" )</f>
        <v>0 to 5</v>
      </c>
    </row>
    <row r="2156" spans="1:15" ht="15" customHeight="1" x14ac:dyDescent="0.3">
      <c r="A2156" t="s">
        <v>427</v>
      </c>
      <c r="B2156" s="1">
        <v>46210</v>
      </c>
      <c r="C2156" t="s">
        <v>64</v>
      </c>
      <c r="D2156">
        <v>1987</v>
      </c>
      <c r="E2156">
        <v>3</v>
      </c>
      <c r="F2156">
        <v>3</v>
      </c>
      <c r="G2156" t="s">
        <v>469</v>
      </c>
      <c r="I2156" t="str">
        <f>D2156&amp;"_"&amp;E2156</f>
        <v>1987_3</v>
      </c>
      <c r="J2156" t="s">
        <v>428</v>
      </c>
      <c r="K2156" t="s">
        <v>429</v>
      </c>
      <c r="L2156" t="str">
        <f>_xlfn.XLOOKUP(C2156, Table2[Species],Table2[Genus], "Code Not Found")</f>
        <v>Fagus</v>
      </c>
      <c r="M2156" t="str">
        <f>_xlfn.XLOOKUP(C2156, Table2[Species],Table2[Sp. Name], "Code Not Found")</f>
        <v>grandifolia</v>
      </c>
      <c r="N2156" t="str">
        <f>_xlfn.XLOOKUP(C2156,Table2[Species],Table2[Family],"Code Not Found")</f>
        <v>Fagaceae</v>
      </c>
      <c r="O2156" t="str" cm="1">
        <f t="array" ref="O2156">_xlfn.IFS(F2156="","",F2156&lt;=5,"0 to 5",F2156&lt;=10,"5.1 to 10",F2156&lt;=20,"10 to 20", F2156&lt;= 40, "20 to 40", F2156 &lt;= 50, "40 to 50", F2156 &gt; 50, "&gt;50" )</f>
        <v>0 to 5</v>
      </c>
    </row>
    <row r="2157" spans="1:15" ht="15" customHeight="1" x14ac:dyDescent="0.3">
      <c r="A2157" t="s">
        <v>427</v>
      </c>
      <c r="B2157" s="1">
        <v>46210</v>
      </c>
      <c r="C2157" t="s">
        <v>16</v>
      </c>
      <c r="D2157">
        <v>1988</v>
      </c>
      <c r="E2157">
        <v>1</v>
      </c>
      <c r="F2157">
        <v>5.6</v>
      </c>
      <c r="G2157" t="s">
        <v>17</v>
      </c>
      <c r="I2157" t="str">
        <f>D2157&amp;"_"&amp;E2157</f>
        <v>1988_1</v>
      </c>
      <c r="J2157" t="s">
        <v>428</v>
      </c>
      <c r="K2157" t="s">
        <v>429</v>
      </c>
      <c r="L2157" t="str">
        <f>_xlfn.XLOOKUP(C2157, Table2[Species],Table2[Genus], "Code Not Found")</f>
        <v>Acer</v>
      </c>
      <c r="M2157" t="str">
        <f>_xlfn.XLOOKUP(C2157, Table2[Species],Table2[Sp. Name], "Code Not Found")</f>
        <v>saccharum</v>
      </c>
      <c r="N2157" t="str">
        <f>_xlfn.XLOOKUP(C2157,Table2[Species],Table2[Family],"Code Not Found")</f>
        <v>Sapindaceae</v>
      </c>
      <c r="O2157" t="str" cm="1">
        <f t="array" ref="O2157">_xlfn.IFS(F2157="","",F2157&lt;=5,"0 to 5",F2157&lt;=10,"5.1 to 10",F2157&lt;=20,"10 to 20", F2157&lt;= 40, "20 to 40", F2157 &lt;= 50, "40 to 50", F2157 &gt; 50, "&gt;50" )</f>
        <v>5.1 to 10</v>
      </c>
    </row>
    <row r="2158" spans="1:15" ht="15" customHeight="1" x14ac:dyDescent="0.3">
      <c r="A2158" t="s">
        <v>427</v>
      </c>
      <c r="B2158" s="1">
        <v>46210</v>
      </c>
      <c r="C2158" t="s">
        <v>64</v>
      </c>
      <c r="D2158">
        <v>1989</v>
      </c>
      <c r="E2158">
        <v>1</v>
      </c>
      <c r="F2158">
        <v>19</v>
      </c>
      <c r="G2158" t="s">
        <v>17</v>
      </c>
      <c r="H2158" t="s">
        <v>470</v>
      </c>
      <c r="I2158" t="str">
        <f>D2158&amp;"_"&amp;E2158</f>
        <v>1989_1</v>
      </c>
      <c r="J2158" t="s">
        <v>428</v>
      </c>
      <c r="K2158" t="s">
        <v>429</v>
      </c>
      <c r="L2158" t="str">
        <f>_xlfn.XLOOKUP(C2158, Table2[Species],Table2[Genus], "Code Not Found")</f>
        <v>Fagus</v>
      </c>
      <c r="M2158" t="str">
        <f>_xlfn.XLOOKUP(C2158, Table2[Species],Table2[Sp. Name], "Code Not Found")</f>
        <v>grandifolia</v>
      </c>
      <c r="N2158" t="str">
        <f>_xlfn.XLOOKUP(C2158,Table2[Species],Table2[Family],"Code Not Found")</f>
        <v>Fagaceae</v>
      </c>
      <c r="O2158" t="str" cm="1">
        <f t="array" ref="O2158">_xlfn.IFS(F2158="","",F2158&lt;=5,"0 to 5",F2158&lt;=10,"5.1 to 10",F2158&lt;=20,"10 to 20", F2158&lt;= 40, "20 to 40", F2158 &lt;= 50, "40 to 50", F2158 &gt; 50, "&gt;50" )</f>
        <v>10 to 20</v>
      </c>
    </row>
    <row r="2159" spans="1:15" ht="15" customHeight="1" x14ac:dyDescent="0.3">
      <c r="A2159" t="s">
        <v>427</v>
      </c>
      <c r="B2159" s="1">
        <v>46210</v>
      </c>
      <c r="C2159" t="s">
        <v>64</v>
      </c>
      <c r="D2159">
        <v>1990</v>
      </c>
      <c r="E2159">
        <v>1</v>
      </c>
      <c r="F2159">
        <v>6.1</v>
      </c>
      <c r="G2159" t="s">
        <v>17</v>
      </c>
      <c r="I2159" t="str">
        <f t="shared" si="50"/>
        <v>1990_1</v>
      </c>
      <c r="J2159" t="s">
        <v>428</v>
      </c>
      <c r="K2159" t="s">
        <v>429</v>
      </c>
      <c r="L2159" t="str">
        <f>_xlfn.XLOOKUP(C2159, Table2[Species],Table2[Genus], "Code Not Found")</f>
        <v>Fagus</v>
      </c>
      <c r="M2159" t="str">
        <f>_xlfn.XLOOKUP(C2159, Table2[Species],Table2[Sp. Name], "Code Not Found")</f>
        <v>grandifolia</v>
      </c>
      <c r="N2159" t="str">
        <f>_xlfn.XLOOKUP(C2159,Table2[Species],Table2[Family],"Code Not Found")</f>
        <v>Fagaceae</v>
      </c>
      <c r="O2159" t="str" cm="1">
        <f t="array" ref="O2159">_xlfn.IFS(F2159="","",F2159&lt;=5,"0 to 5",F2159&lt;=10,"5.1 to 10",F2159&lt;=20,"10 to 20", F2159&lt;= 40, "20 to 40", F2159 &lt;= 50, "40 to 50", F2159 &gt; 50, "&gt;50" )</f>
        <v>5.1 to 10</v>
      </c>
    </row>
    <row r="2160" spans="1:15" ht="15" customHeight="1" x14ac:dyDescent="0.3">
      <c r="A2160" t="s">
        <v>427</v>
      </c>
      <c r="B2160" s="1">
        <v>46210</v>
      </c>
      <c r="C2160" t="s">
        <v>64</v>
      </c>
      <c r="D2160">
        <v>1991</v>
      </c>
      <c r="E2160">
        <v>1</v>
      </c>
      <c r="F2160">
        <v>5.7</v>
      </c>
      <c r="G2160" t="s">
        <v>471</v>
      </c>
      <c r="H2160" t="s">
        <v>435</v>
      </c>
      <c r="I2160" t="str">
        <f t="shared" si="50"/>
        <v>1991_1</v>
      </c>
      <c r="J2160" t="s">
        <v>428</v>
      </c>
      <c r="K2160" t="s">
        <v>429</v>
      </c>
      <c r="L2160" t="str">
        <f>_xlfn.XLOOKUP(C2160, Table2[Species],Table2[Genus], "Code Not Found")</f>
        <v>Fagus</v>
      </c>
      <c r="M2160" t="str">
        <f>_xlfn.XLOOKUP(C2160, Table2[Species],Table2[Sp. Name], "Code Not Found")</f>
        <v>grandifolia</v>
      </c>
      <c r="N2160" t="str">
        <f>_xlfn.XLOOKUP(C2160,Table2[Species],Table2[Family],"Code Not Found")</f>
        <v>Fagaceae</v>
      </c>
      <c r="O2160" t="str" cm="1">
        <f t="array" ref="O2160">_xlfn.IFS(F2160="","",F2160&lt;=5,"0 to 5",F2160&lt;=10,"5.1 to 10",F2160&lt;=20,"10 to 20", F2160&lt;= 40, "20 to 40", F2160 &lt;= 50, "40 to 50", F2160 &gt; 50, "&gt;50" )</f>
        <v>5.1 to 10</v>
      </c>
    </row>
    <row r="2161" spans="1:15" ht="15" customHeight="1" x14ac:dyDescent="0.3">
      <c r="A2161" t="s">
        <v>427</v>
      </c>
      <c r="B2161" s="1">
        <v>46211</v>
      </c>
      <c r="C2161" t="s">
        <v>64</v>
      </c>
      <c r="D2161">
        <v>1992</v>
      </c>
      <c r="E2161">
        <v>1</v>
      </c>
      <c r="F2161">
        <v>3.7</v>
      </c>
      <c r="G2161" t="s">
        <v>17</v>
      </c>
      <c r="H2161" t="s">
        <v>472</v>
      </c>
      <c r="I2161" t="str">
        <f t="shared" si="50"/>
        <v>1992_1</v>
      </c>
      <c r="J2161" t="s">
        <v>428</v>
      </c>
      <c r="K2161" t="s">
        <v>429</v>
      </c>
      <c r="L2161" t="str">
        <f>_xlfn.XLOOKUP(C2161, Table2[Species],Table2[Genus], "Code Not Found")</f>
        <v>Fagus</v>
      </c>
      <c r="M2161" t="str">
        <f>_xlfn.XLOOKUP(C2161, Table2[Species],Table2[Sp. Name], "Code Not Found")</f>
        <v>grandifolia</v>
      </c>
      <c r="N2161" t="str">
        <f>_xlfn.XLOOKUP(C2161,Table2[Species],Table2[Family],"Code Not Found")</f>
        <v>Fagaceae</v>
      </c>
      <c r="O2161" t="str" cm="1">
        <f t="array" ref="O2161">_xlfn.IFS(F2161="","",F2161&lt;=5,"0 to 5",F2161&lt;=10,"5.1 to 10",F2161&lt;=20,"10 to 20", F2161&lt;= 40, "20 to 40", F2161 &lt;= 50, "40 to 50", F2161 &gt; 50, "&gt;50" )</f>
        <v>0 to 5</v>
      </c>
    </row>
    <row r="2162" spans="1:15" ht="15" customHeight="1" x14ac:dyDescent="0.3">
      <c r="A2162" t="s">
        <v>427</v>
      </c>
      <c r="B2162" s="1">
        <v>46211</v>
      </c>
      <c r="C2162" t="s">
        <v>64</v>
      </c>
      <c r="D2162">
        <v>1993</v>
      </c>
      <c r="E2162">
        <v>1</v>
      </c>
      <c r="F2162">
        <v>7.9</v>
      </c>
      <c r="G2162" t="s">
        <v>381</v>
      </c>
      <c r="H2162" t="s">
        <v>473</v>
      </c>
      <c r="I2162" t="str">
        <f t="shared" si="50"/>
        <v>1993_1</v>
      </c>
      <c r="J2162" t="s">
        <v>428</v>
      </c>
      <c r="K2162" t="s">
        <v>429</v>
      </c>
      <c r="L2162" t="str">
        <f>_xlfn.XLOOKUP(C2162, Table2[Species],Table2[Genus], "Code Not Found")</f>
        <v>Fagus</v>
      </c>
      <c r="M2162" t="str">
        <f>_xlfn.XLOOKUP(C2162, Table2[Species],Table2[Sp. Name], "Code Not Found")</f>
        <v>grandifolia</v>
      </c>
      <c r="N2162" t="str">
        <f>_xlfn.XLOOKUP(C2162,Table2[Species],Table2[Family],"Code Not Found")</f>
        <v>Fagaceae</v>
      </c>
      <c r="O2162" t="str" cm="1">
        <f t="array" ref="O2162">_xlfn.IFS(F2162="","",F2162&lt;=5,"0 to 5",F2162&lt;=10,"5.1 to 10",F2162&lt;=20,"10 to 20", F2162&lt;= 40, "20 to 40", F2162 &lt;= 50, "40 to 50", F2162 &gt; 50, "&gt;50" )</f>
        <v>5.1 to 10</v>
      </c>
    </row>
    <row r="2163" spans="1:15" ht="15" customHeight="1" x14ac:dyDescent="0.3">
      <c r="A2163" t="s">
        <v>427</v>
      </c>
      <c r="B2163" s="1">
        <v>46211</v>
      </c>
      <c r="C2163" t="s">
        <v>430</v>
      </c>
      <c r="D2163">
        <v>1994</v>
      </c>
      <c r="E2163">
        <v>1</v>
      </c>
      <c r="F2163">
        <v>24.6</v>
      </c>
      <c r="G2163" t="s">
        <v>21</v>
      </c>
      <c r="I2163" t="str">
        <f t="shared" si="50"/>
        <v>1994_1</v>
      </c>
      <c r="J2163" t="s">
        <v>428</v>
      </c>
      <c r="K2163" t="s">
        <v>429</v>
      </c>
      <c r="L2163" t="str">
        <f>_xlfn.XLOOKUP(C2163, Table2[Species],Table2[Genus], "Code Not Found")</f>
        <v>Tsuga</v>
      </c>
      <c r="M2163" t="str">
        <f>_xlfn.XLOOKUP(C2163, Table2[Species],Table2[Sp. Name], "Code Not Found")</f>
        <v>canadensis</v>
      </c>
      <c r="N2163" t="str">
        <f>_xlfn.XLOOKUP(C2163,Table2[Species],Table2[Family],"Code Not Found")</f>
        <v>Pinaceae</v>
      </c>
      <c r="O2163" t="str" cm="1">
        <f t="array" ref="O2163">_xlfn.IFS(F2163="","",F2163&lt;=5,"0 to 5",F2163&lt;=10,"5.1 to 10",F2163&lt;=20,"10 to 20", F2163&lt;= 40, "20 to 40", F2163 &lt;= 50, "40 to 50", F2163 &gt; 50, "&gt;50" )</f>
        <v>20 to 40</v>
      </c>
    </row>
    <row r="2164" spans="1:15" ht="15" customHeight="1" x14ac:dyDescent="0.3">
      <c r="A2164" t="s">
        <v>427</v>
      </c>
      <c r="B2164" s="1">
        <v>46211</v>
      </c>
      <c r="C2164" t="s">
        <v>16</v>
      </c>
      <c r="D2164">
        <v>1995</v>
      </c>
      <c r="E2164">
        <v>1</v>
      </c>
      <c r="F2164">
        <v>3.5</v>
      </c>
      <c r="G2164" t="s">
        <v>21</v>
      </c>
      <c r="I2164" t="str">
        <f t="shared" si="50"/>
        <v>1995_1</v>
      </c>
      <c r="J2164" t="s">
        <v>428</v>
      </c>
      <c r="K2164" t="s">
        <v>429</v>
      </c>
      <c r="L2164" t="str">
        <f>_xlfn.XLOOKUP(C2164, Table2[Species],Table2[Genus], "Code Not Found")</f>
        <v>Acer</v>
      </c>
      <c r="M2164" t="str">
        <f>_xlfn.XLOOKUP(C2164, Table2[Species],Table2[Sp. Name], "Code Not Found")</f>
        <v>saccharum</v>
      </c>
      <c r="N2164" t="str">
        <f>_xlfn.XLOOKUP(C2164,Table2[Species],Table2[Family],"Code Not Found")</f>
        <v>Sapindaceae</v>
      </c>
      <c r="O2164" t="str" cm="1">
        <f t="array" ref="O2164">_xlfn.IFS(F2164="","",F2164&lt;=5,"0 to 5",F2164&lt;=10,"5.1 to 10",F2164&lt;=20,"10 to 20", F2164&lt;= 40, "20 to 40", F2164 &lt;= 50, "40 to 50", F2164 &gt; 50, "&gt;50" )</f>
        <v>0 to 5</v>
      </c>
    </row>
    <row r="2165" spans="1:15" ht="15" customHeight="1" x14ac:dyDescent="0.3">
      <c r="A2165" t="s">
        <v>427</v>
      </c>
      <c r="B2165" s="1">
        <v>46211</v>
      </c>
      <c r="C2165" t="s">
        <v>64</v>
      </c>
      <c r="D2165">
        <v>1996</v>
      </c>
      <c r="E2165">
        <v>1</v>
      </c>
      <c r="F2165">
        <v>6.9</v>
      </c>
      <c r="G2165" t="s">
        <v>359</v>
      </c>
      <c r="I2165" t="str">
        <f t="shared" si="50"/>
        <v>1996_1</v>
      </c>
      <c r="J2165" t="s">
        <v>428</v>
      </c>
      <c r="K2165" t="s">
        <v>429</v>
      </c>
      <c r="L2165" t="str">
        <f>_xlfn.XLOOKUP(C2165, Table2[Species],Table2[Genus], "Code Not Found")</f>
        <v>Fagus</v>
      </c>
      <c r="M2165" t="str">
        <f>_xlfn.XLOOKUP(C2165, Table2[Species],Table2[Sp. Name], "Code Not Found")</f>
        <v>grandifolia</v>
      </c>
      <c r="N2165" t="str">
        <f>_xlfn.XLOOKUP(C2165,Table2[Species],Table2[Family],"Code Not Found")</f>
        <v>Fagaceae</v>
      </c>
      <c r="O2165" t="str" cm="1">
        <f t="array" ref="O2165">_xlfn.IFS(F2165="","",F2165&lt;=5,"0 to 5",F2165&lt;=10,"5.1 to 10",F2165&lt;=20,"10 to 20", F2165&lt;= 40, "20 to 40", F2165 &lt;= 50, "40 to 50", F2165 &gt; 50, "&gt;50" )</f>
        <v>5.1 to 10</v>
      </c>
    </row>
    <row r="2166" spans="1:15" ht="15" customHeight="1" x14ac:dyDescent="0.3">
      <c r="A2166" t="s">
        <v>427</v>
      </c>
      <c r="B2166" s="1">
        <v>46211</v>
      </c>
      <c r="C2166" t="s">
        <v>430</v>
      </c>
      <c r="D2166">
        <v>1997</v>
      </c>
      <c r="E2166">
        <v>1</v>
      </c>
      <c r="F2166">
        <v>5.5</v>
      </c>
      <c r="G2166" t="s">
        <v>474</v>
      </c>
      <c r="H2166" t="s">
        <v>435</v>
      </c>
      <c r="I2166" t="str">
        <f t="shared" si="50"/>
        <v>1997_1</v>
      </c>
      <c r="J2166" t="s">
        <v>428</v>
      </c>
      <c r="K2166" t="s">
        <v>429</v>
      </c>
      <c r="L2166" t="str">
        <f>_xlfn.XLOOKUP(C2166, Table2[Species],Table2[Genus], "Code Not Found")</f>
        <v>Tsuga</v>
      </c>
      <c r="M2166" t="str">
        <f>_xlfn.XLOOKUP(C2166, Table2[Species],Table2[Sp. Name], "Code Not Found")</f>
        <v>canadensis</v>
      </c>
      <c r="N2166" t="str">
        <f>_xlfn.XLOOKUP(C2166,Table2[Species],Table2[Family],"Code Not Found")</f>
        <v>Pinaceae</v>
      </c>
      <c r="O2166" t="str" cm="1">
        <f t="array" ref="O2166">_xlfn.IFS(F2166="","",F2166&lt;=5,"0 to 5",F2166&lt;=10,"5.1 to 10",F2166&lt;=20,"10 to 20", F2166&lt;= 40, "20 to 40", F2166 &lt;= 50, "40 to 50", F2166 &gt; 50, "&gt;50" )</f>
        <v>5.1 to 10</v>
      </c>
    </row>
    <row r="2167" spans="1:15" ht="15" customHeight="1" x14ac:dyDescent="0.3">
      <c r="A2167" t="s">
        <v>427</v>
      </c>
      <c r="B2167" s="1">
        <v>46211</v>
      </c>
      <c r="C2167" t="s">
        <v>430</v>
      </c>
      <c r="D2167">
        <v>1998</v>
      </c>
      <c r="E2167">
        <v>1</v>
      </c>
      <c r="F2167">
        <v>31.8</v>
      </c>
      <c r="G2167" t="s">
        <v>17</v>
      </c>
      <c r="I2167" t="str">
        <f t="shared" ref="I2167:I2174" si="51">D2167&amp;"_"&amp;E2167</f>
        <v>1998_1</v>
      </c>
      <c r="J2167" t="s">
        <v>428</v>
      </c>
      <c r="K2167" t="s">
        <v>429</v>
      </c>
      <c r="L2167" t="str">
        <f>_xlfn.XLOOKUP(C2167, Table2[Species],Table2[Genus], "Code Not Found")</f>
        <v>Tsuga</v>
      </c>
      <c r="M2167" t="str">
        <f>_xlfn.XLOOKUP(C2167, Table2[Species],Table2[Sp. Name], "Code Not Found")</f>
        <v>canadensis</v>
      </c>
      <c r="N2167" t="str">
        <f>_xlfn.XLOOKUP(C2167,Table2[Species],Table2[Family],"Code Not Found")</f>
        <v>Pinaceae</v>
      </c>
      <c r="O2167" t="str" cm="1">
        <f t="array" ref="O2167">_xlfn.IFS(F2167="","",F2167&lt;=5,"0 to 5",F2167&lt;=10,"5.1 to 10",F2167&lt;=20,"10 to 20", F2167&lt;= 40, "20 to 40", F2167 &lt;= 50, "40 to 50", F2167 &gt; 50, "&gt;50" )</f>
        <v>20 to 40</v>
      </c>
    </row>
    <row r="2168" spans="1:15" ht="15" customHeight="1" x14ac:dyDescent="0.3">
      <c r="A2168" t="s">
        <v>427</v>
      </c>
      <c r="B2168" s="1">
        <v>46211</v>
      </c>
      <c r="C2168" t="s">
        <v>64</v>
      </c>
      <c r="D2168">
        <v>1999</v>
      </c>
      <c r="E2168">
        <v>1</v>
      </c>
      <c r="F2168">
        <v>6.9</v>
      </c>
      <c r="G2168" t="s">
        <v>30</v>
      </c>
      <c r="H2168" t="s">
        <v>262</v>
      </c>
      <c r="I2168" t="str">
        <f t="shared" si="51"/>
        <v>1999_1</v>
      </c>
      <c r="J2168" t="s">
        <v>428</v>
      </c>
      <c r="K2168" t="s">
        <v>429</v>
      </c>
      <c r="L2168" t="str">
        <f>_xlfn.XLOOKUP(C2168, Table2[Species],Table2[Genus], "Code Not Found")</f>
        <v>Fagus</v>
      </c>
      <c r="M2168" t="str">
        <f>_xlfn.XLOOKUP(C2168, Table2[Species],Table2[Sp. Name], "Code Not Found")</f>
        <v>grandifolia</v>
      </c>
      <c r="N2168" t="str">
        <f>_xlfn.XLOOKUP(C2168,Table2[Species],Table2[Family],"Code Not Found")</f>
        <v>Fagaceae</v>
      </c>
      <c r="O2168" t="str" cm="1">
        <f t="array" ref="O2168">_xlfn.IFS(F2168="","",F2168&lt;=5,"0 to 5",F2168&lt;=10,"5.1 to 10",F2168&lt;=20,"10 to 20", F2168&lt;= 40, "20 to 40", F2168 &lt;= 50, "40 to 50", F2168 &gt; 50, "&gt;50" )</f>
        <v>5.1 to 10</v>
      </c>
    </row>
    <row r="2169" spans="1:15" ht="15" customHeight="1" x14ac:dyDescent="0.3">
      <c r="A2169" t="s">
        <v>427</v>
      </c>
      <c r="B2169" s="1">
        <v>46211</v>
      </c>
      <c r="C2169" t="s">
        <v>64</v>
      </c>
      <c r="D2169">
        <v>2000</v>
      </c>
      <c r="E2169">
        <v>1</v>
      </c>
      <c r="F2169">
        <v>4.5</v>
      </c>
      <c r="G2169" t="s">
        <v>17</v>
      </c>
      <c r="I2169" t="str">
        <f t="shared" si="51"/>
        <v>2000_1</v>
      </c>
      <c r="J2169" t="s">
        <v>428</v>
      </c>
      <c r="K2169" t="s">
        <v>429</v>
      </c>
      <c r="L2169" t="str">
        <f>_xlfn.XLOOKUP(C2169, Table2[Species],Table2[Genus], "Code Not Found")</f>
        <v>Fagus</v>
      </c>
      <c r="M2169" t="str">
        <f>_xlfn.XLOOKUP(C2169, Table2[Species],Table2[Sp. Name], "Code Not Found")</f>
        <v>grandifolia</v>
      </c>
      <c r="N2169" t="str">
        <f>_xlfn.XLOOKUP(C2169,Table2[Species],Table2[Family],"Code Not Found")</f>
        <v>Fagaceae</v>
      </c>
      <c r="O2169" t="str" cm="1">
        <f t="array" ref="O2169">_xlfn.IFS(F2169="","",F2169&lt;=5,"0 to 5",F2169&lt;=10,"5.1 to 10",F2169&lt;=20,"10 to 20", F2169&lt;= 40, "20 to 40", F2169 &lt;= 50, "40 to 50", F2169 &gt; 50, "&gt;50" )</f>
        <v>0 to 5</v>
      </c>
    </row>
    <row r="2170" spans="1:15" ht="15" customHeight="1" x14ac:dyDescent="0.3">
      <c r="A2170" t="s">
        <v>427</v>
      </c>
      <c r="B2170" s="1">
        <v>46211</v>
      </c>
      <c r="C2170" t="s">
        <v>430</v>
      </c>
      <c r="D2170">
        <v>2001</v>
      </c>
      <c r="E2170">
        <v>1</v>
      </c>
      <c r="F2170">
        <v>50.9</v>
      </c>
      <c r="G2170" t="s">
        <v>17</v>
      </c>
      <c r="I2170" t="str">
        <f t="shared" si="51"/>
        <v>2001_1</v>
      </c>
      <c r="J2170" t="s">
        <v>428</v>
      </c>
      <c r="K2170" t="s">
        <v>429</v>
      </c>
      <c r="L2170" t="str">
        <f>_xlfn.XLOOKUP(C2170, Table2[Species],Table2[Genus], "Code Not Found")</f>
        <v>Tsuga</v>
      </c>
      <c r="M2170" t="str">
        <f>_xlfn.XLOOKUP(C2170, Table2[Species],Table2[Sp. Name], "Code Not Found")</f>
        <v>canadensis</v>
      </c>
      <c r="N2170" t="str">
        <f>_xlfn.XLOOKUP(C2170,Table2[Species],Table2[Family],"Code Not Found")</f>
        <v>Pinaceae</v>
      </c>
      <c r="O2170" t="str" cm="1">
        <f t="array" ref="O2170">_xlfn.IFS(F2170="","",F2170&lt;=5,"0 to 5",F2170&lt;=10,"5.1 to 10",F2170&lt;=20,"10 to 20", F2170&lt;= 40, "20 to 40", F2170 &lt;= 50, "40 to 50", F2170 &gt; 50, "&gt;50" )</f>
        <v>&gt;50</v>
      </c>
    </row>
    <row r="2171" spans="1:15" ht="15" customHeight="1" x14ac:dyDescent="0.3">
      <c r="A2171" t="s">
        <v>427</v>
      </c>
      <c r="B2171" s="1">
        <v>46211</v>
      </c>
      <c r="C2171" t="s">
        <v>64</v>
      </c>
      <c r="D2171">
        <v>2002</v>
      </c>
      <c r="E2171">
        <v>1</v>
      </c>
      <c r="F2171">
        <v>4.5</v>
      </c>
      <c r="G2171" t="s">
        <v>17</v>
      </c>
      <c r="I2171" t="str">
        <f t="shared" si="51"/>
        <v>2002_1</v>
      </c>
      <c r="J2171" t="s">
        <v>428</v>
      </c>
      <c r="K2171" t="s">
        <v>429</v>
      </c>
      <c r="L2171" t="str">
        <f>_xlfn.XLOOKUP(C2171, Table2[Species],Table2[Genus], "Code Not Found")</f>
        <v>Fagus</v>
      </c>
      <c r="M2171" t="str">
        <f>_xlfn.XLOOKUP(C2171, Table2[Species],Table2[Sp. Name], "Code Not Found")</f>
        <v>grandifolia</v>
      </c>
      <c r="N2171" t="str">
        <f>_xlfn.XLOOKUP(C2171,Table2[Species],Table2[Family],"Code Not Found")</f>
        <v>Fagaceae</v>
      </c>
      <c r="O2171" t="str" cm="1">
        <f t="array" ref="O2171">_xlfn.IFS(F2171="","",F2171&lt;=5,"0 to 5",F2171&lt;=10,"5.1 to 10",F2171&lt;=20,"10 to 20", F2171&lt;= 40, "20 to 40", F2171 &lt;= 50, "40 to 50", F2171 &gt; 50, "&gt;50" )</f>
        <v>0 to 5</v>
      </c>
    </row>
    <row r="2172" spans="1:15" ht="15" customHeight="1" x14ac:dyDescent="0.3">
      <c r="A2172" t="s">
        <v>427</v>
      </c>
      <c r="B2172" s="1">
        <v>46211</v>
      </c>
      <c r="C2172" t="s">
        <v>64</v>
      </c>
      <c r="D2172">
        <v>2003</v>
      </c>
      <c r="E2172">
        <v>1</v>
      </c>
      <c r="F2172">
        <v>3.2</v>
      </c>
      <c r="G2172" t="s">
        <v>47</v>
      </c>
      <c r="H2172" t="s">
        <v>464</v>
      </c>
      <c r="I2172" t="str">
        <f t="shared" si="51"/>
        <v>2003_1</v>
      </c>
      <c r="J2172" t="s">
        <v>428</v>
      </c>
      <c r="K2172" t="s">
        <v>429</v>
      </c>
      <c r="L2172" t="str">
        <f>_xlfn.XLOOKUP(C2172, Table2[Species],Table2[Genus], "Code Not Found")</f>
        <v>Fagus</v>
      </c>
      <c r="M2172" t="str">
        <f>_xlfn.XLOOKUP(C2172, Table2[Species],Table2[Sp. Name], "Code Not Found")</f>
        <v>grandifolia</v>
      </c>
      <c r="N2172" t="str">
        <f>_xlfn.XLOOKUP(C2172,Table2[Species],Table2[Family],"Code Not Found")</f>
        <v>Fagaceae</v>
      </c>
      <c r="O2172" t="str" cm="1">
        <f t="array" ref="O2172">_xlfn.IFS(F2172="","",F2172&lt;=5,"0 to 5",F2172&lt;=10,"5.1 to 10",F2172&lt;=20,"10 to 20", F2172&lt;= 40, "20 to 40", F2172 &lt;= 50, "40 to 50", F2172 &gt; 50, "&gt;50" )</f>
        <v>0 to 5</v>
      </c>
    </row>
    <row r="2173" spans="1:15" ht="15" customHeight="1" x14ac:dyDescent="0.3">
      <c r="A2173" t="s">
        <v>427</v>
      </c>
      <c r="B2173" s="1">
        <v>46211</v>
      </c>
      <c r="C2173" t="s">
        <v>118</v>
      </c>
      <c r="D2173">
        <v>2004</v>
      </c>
      <c r="E2173">
        <v>1</v>
      </c>
      <c r="F2173">
        <v>90</v>
      </c>
      <c r="G2173" t="s">
        <v>17</v>
      </c>
      <c r="I2173" t="str">
        <f t="shared" si="51"/>
        <v>2004_1</v>
      </c>
      <c r="J2173" t="s">
        <v>428</v>
      </c>
      <c r="K2173" t="s">
        <v>429</v>
      </c>
      <c r="L2173" t="str">
        <f>_xlfn.XLOOKUP(C2173, Table2[Species],Table2[Genus], "Code Not Found")</f>
        <v>Quercus</v>
      </c>
      <c r="M2173" t="str">
        <f>_xlfn.XLOOKUP(C2173, Table2[Species],Table2[Sp. Name], "Code Not Found")</f>
        <v>montana</v>
      </c>
      <c r="N2173" t="str">
        <f>_xlfn.XLOOKUP(C2173,Table2[Species],Table2[Family],"Code Not Found")</f>
        <v>Fagaceae</v>
      </c>
      <c r="O2173" t="str" cm="1">
        <f t="array" ref="O2173">_xlfn.IFS(F2173="","",F2173&lt;=5,"0 to 5",F2173&lt;=10,"5.1 to 10",F2173&lt;=20,"10 to 20", F2173&lt;= 40, "20 to 40", F2173 &lt;= 50, "40 to 50", F2173 &gt; 50, "&gt;50" )</f>
        <v>&gt;50</v>
      </c>
    </row>
    <row r="2174" spans="1:15" ht="15" customHeight="1" x14ac:dyDescent="0.3">
      <c r="A2174" t="s">
        <v>427</v>
      </c>
      <c r="B2174" s="1">
        <v>46211</v>
      </c>
      <c r="C2174" t="s">
        <v>430</v>
      </c>
      <c r="D2174">
        <v>2005</v>
      </c>
      <c r="E2174">
        <v>1</v>
      </c>
      <c r="F2174">
        <v>32.5</v>
      </c>
      <c r="G2174" t="s">
        <v>103</v>
      </c>
      <c r="H2174" t="s">
        <v>475</v>
      </c>
      <c r="I2174" t="str">
        <f t="shared" si="51"/>
        <v>2005_1</v>
      </c>
      <c r="J2174" t="s">
        <v>428</v>
      </c>
      <c r="K2174" t="s">
        <v>429</v>
      </c>
      <c r="L2174" t="str">
        <f>_xlfn.XLOOKUP(C2174, Table2[Species],Table2[Genus], "Code Not Found")</f>
        <v>Tsuga</v>
      </c>
      <c r="M2174" t="str">
        <f>_xlfn.XLOOKUP(C2174, Table2[Species],Table2[Sp. Name], "Code Not Found")</f>
        <v>canadensis</v>
      </c>
      <c r="N2174" t="str">
        <f>_xlfn.XLOOKUP(C2174,Table2[Species],Table2[Family],"Code Not Found")</f>
        <v>Pinaceae</v>
      </c>
      <c r="O2174" t="str" cm="1">
        <f t="array" ref="O2174">_xlfn.IFS(F2174="","",F2174&lt;=5,"0 to 5",F2174&lt;=10,"5.1 to 10",F2174&lt;=20,"10 to 20", F2174&lt;= 40, "20 to 40", F2174 &lt;= 50, "40 to 50", F2174 &gt; 50, "&gt;50" )</f>
        <v>20 to 40</v>
      </c>
    </row>
    <row r="2175" spans="1:15" ht="15" customHeight="1" x14ac:dyDescent="0.3">
      <c r="A2175" t="s">
        <v>427</v>
      </c>
      <c r="B2175" s="1">
        <v>46211</v>
      </c>
      <c r="C2175" t="s">
        <v>430</v>
      </c>
      <c r="D2175">
        <v>2006</v>
      </c>
      <c r="E2175">
        <v>1</v>
      </c>
      <c r="F2175">
        <v>62.2</v>
      </c>
      <c r="G2175" t="s">
        <v>17</v>
      </c>
      <c r="I2175" t="str">
        <f t="shared" ref="I2175:I2238" si="52">D2175&amp;"_"&amp;E2175</f>
        <v>2006_1</v>
      </c>
      <c r="J2175" t="s">
        <v>428</v>
      </c>
      <c r="K2175" t="s">
        <v>429</v>
      </c>
      <c r="L2175" t="str">
        <f>_xlfn.XLOOKUP(C2175, Table2[Species],Table2[Genus], "Code Not Found")</f>
        <v>Tsuga</v>
      </c>
      <c r="M2175" t="str">
        <f>_xlfn.XLOOKUP(C2175, Table2[Species],Table2[Sp. Name], "Code Not Found")</f>
        <v>canadensis</v>
      </c>
      <c r="N2175" t="str">
        <f>_xlfn.XLOOKUP(C2175,Table2[Species],Table2[Family],"Code Not Found")</f>
        <v>Pinaceae</v>
      </c>
      <c r="O2175" t="str" cm="1">
        <f t="array" ref="O2175">_xlfn.IFS(F2175="","",F2175&lt;=5,"0 to 5",F2175&lt;=10,"5.1 to 10",F2175&lt;=20,"10 to 20", F2175&lt;= 40, "20 to 40", F2175 &lt;= 50, "40 to 50", F2175 &gt; 50, "&gt;50" )</f>
        <v>&gt;50</v>
      </c>
    </row>
    <row r="2176" spans="1:15" ht="15" customHeight="1" x14ac:dyDescent="0.3">
      <c r="A2176" t="s">
        <v>427</v>
      </c>
      <c r="B2176" s="1">
        <v>46211</v>
      </c>
      <c r="C2176" t="s">
        <v>64</v>
      </c>
      <c r="D2176">
        <v>2007</v>
      </c>
      <c r="E2176">
        <v>1</v>
      </c>
      <c r="F2176">
        <v>4.0999999999999996</v>
      </c>
      <c r="G2176" t="s">
        <v>30</v>
      </c>
      <c r="H2176" t="s">
        <v>99</v>
      </c>
      <c r="I2176" t="str">
        <f t="shared" si="52"/>
        <v>2007_1</v>
      </c>
      <c r="J2176" t="s">
        <v>428</v>
      </c>
      <c r="K2176" t="s">
        <v>429</v>
      </c>
      <c r="L2176" t="str">
        <f>_xlfn.XLOOKUP(C2176, Table2[Species],Table2[Genus], "Code Not Found")</f>
        <v>Fagus</v>
      </c>
      <c r="M2176" t="str">
        <f>_xlfn.XLOOKUP(C2176, Table2[Species],Table2[Sp. Name], "Code Not Found")</f>
        <v>grandifolia</v>
      </c>
      <c r="N2176" t="str">
        <f>_xlfn.XLOOKUP(C2176,Table2[Species],Table2[Family],"Code Not Found")</f>
        <v>Fagaceae</v>
      </c>
      <c r="O2176" t="str" cm="1">
        <f t="array" ref="O2176">_xlfn.IFS(F2176="","",F2176&lt;=5,"0 to 5",F2176&lt;=10,"5.1 to 10",F2176&lt;=20,"10 to 20", F2176&lt;= 40, "20 to 40", F2176 &lt;= 50, "40 to 50", F2176 &gt; 50, "&gt;50" )</f>
        <v>0 to 5</v>
      </c>
    </row>
    <row r="2177" spans="1:15" ht="15" customHeight="1" x14ac:dyDescent="0.3">
      <c r="A2177" t="s">
        <v>427</v>
      </c>
      <c r="B2177" s="1">
        <v>46211</v>
      </c>
      <c r="C2177" t="s">
        <v>64</v>
      </c>
      <c r="D2177">
        <v>2008</v>
      </c>
      <c r="E2177">
        <v>1</v>
      </c>
      <c r="F2177">
        <v>5</v>
      </c>
      <c r="G2177" t="s">
        <v>476</v>
      </c>
      <c r="H2177" t="s">
        <v>130</v>
      </c>
      <c r="I2177" t="str">
        <f t="shared" si="52"/>
        <v>2008_1</v>
      </c>
      <c r="J2177" t="s">
        <v>428</v>
      </c>
      <c r="K2177" t="s">
        <v>429</v>
      </c>
      <c r="L2177" t="str">
        <f>_xlfn.XLOOKUP(C2177, Table2[Species],Table2[Genus], "Code Not Found")</f>
        <v>Fagus</v>
      </c>
      <c r="M2177" t="str">
        <f>_xlfn.XLOOKUP(C2177, Table2[Species],Table2[Sp. Name], "Code Not Found")</f>
        <v>grandifolia</v>
      </c>
      <c r="N2177" t="str">
        <f>_xlfn.XLOOKUP(C2177,Table2[Species],Table2[Family],"Code Not Found")</f>
        <v>Fagaceae</v>
      </c>
      <c r="O2177" t="str" cm="1">
        <f t="array" ref="O2177">_xlfn.IFS(F2177="","",F2177&lt;=5,"0 to 5",F2177&lt;=10,"5.1 to 10",F2177&lt;=20,"10 to 20", F2177&lt;= 40, "20 to 40", F2177 &lt;= 50, "40 to 50", F2177 &gt; 50, "&gt;50" )</f>
        <v>0 to 5</v>
      </c>
    </row>
    <row r="2178" spans="1:15" ht="15" customHeight="1" x14ac:dyDescent="0.3">
      <c r="A2178" t="s">
        <v>427</v>
      </c>
      <c r="B2178" s="1">
        <v>46211</v>
      </c>
      <c r="C2178" t="s">
        <v>64</v>
      </c>
      <c r="D2178">
        <v>2008</v>
      </c>
      <c r="E2178">
        <v>2</v>
      </c>
      <c r="F2178">
        <v>3</v>
      </c>
      <c r="G2178" t="s">
        <v>93</v>
      </c>
      <c r="H2178" t="s">
        <v>467</v>
      </c>
      <c r="I2178" t="str">
        <f t="shared" si="52"/>
        <v>2008_2</v>
      </c>
      <c r="J2178" t="s">
        <v>428</v>
      </c>
      <c r="K2178" t="s">
        <v>429</v>
      </c>
      <c r="L2178" t="str">
        <f>_xlfn.XLOOKUP(C2178, Table2[Species],Table2[Genus], "Code Not Found")</f>
        <v>Fagus</v>
      </c>
      <c r="M2178" t="str">
        <f>_xlfn.XLOOKUP(C2178, Table2[Species],Table2[Sp. Name], "Code Not Found")</f>
        <v>grandifolia</v>
      </c>
      <c r="N2178" t="str">
        <f>_xlfn.XLOOKUP(C2178,Table2[Species],Table2[Family],"Code Not Found")</f>
        <v>Fagaceae</v>
      </c>
      <c r="O2178" t="str" cm="1">
        <f t="array" ref="O2178">_xlfn.IFS(F2178="","",F2178&lt;=5,"0 to 5",F2178&lt;=10,"5.1 to 10",F2178&lt;=20,"10 to 20", F2178&lt;= 40, "20 to 40", F2178 &lt;= 50, "40 to 50", F2178 &gt; 50, "&gt;50" )</f>
        <v>0 to 5</v>
      </c>
    </row>
    <row r="2179" spans="1:15" ht="15" customHeight="1" x14ac:dyDescent="0.3">
      <c r="A2179" t="s">
        <v>427</v>
      </c>
      <c r="B2179" s="1">
        <v>46211</v>
      </c>
      <c r="C2179" t="s">
        <v>64</v>
      </c>
      <c r="D2179">
        <v>2009</v>
      </c>
      <c r="E2179">
        <v>1</v>
      </c>
      <c r="F2179">
        <v>3.4</v>
      </c>
      <c r="G2179" t="s">
        <v>463</v>
      </c>
      <c r="I2179" t="str">
        <f t="shared" si="52"/>
        <v>2009_1</v>
      </c>
      <c r="J2179" t="s">
        <v>428</v>
      </c>
      <c r="K2179" t="s">
        <v>429</v>
      </c>
      <c r="L2179" t="str">
        <f>_xlfn.XLOOKUP(C2179, Table2[Species],Table2[Genus], "Code Not Found")</f>
        <v>Fagus</v>
      </c>
      <c r="M2179" t="str">
        <f>_xlfn.XLOOKUP(C2179, Table2[Species],Table2[Sp. Name], "Code Not Found")</f>
        <v>grandifolia</v>
      </c>
      <c r="N2179" t="str">
        <f>_xlfn.XLOOKUP(C2179,Table2[Species],Table2[Family],"Code Not Found")</f>
        <v>Fagaceae</v>
      </c>
      <c r="O2179" t="str" cm="1">
        <f t="array" ref="O2179">_xlfn.IFS(F2179="","",F2179&lt;=5,"0 to 5",F2179&lt;=10,"5.1 to 10",F2179&lt;=20,"10 to 20", F2179&lt;= 40, "20 to 40", F2179 &lt;= 50, "40 to 50", F2179 &gt; 50, "&gt;50" )</f>
        <v>0 to 5</v>
      </c>
    </row>
    <row r="2180" spans="1:15" ht="15" customHeight="1" x14ac:dyDescent="0.3">
      <c r="A2180" t="s">
        <v>427</v>
      </c>
      <c r="B2180" s="1">
        <v>46211</v>
      </c>
      <c r="C2180" t="s">
        <v>64</v>
      </c>
      <c r="D2180">
        <v>2009</v>
      </c>
      <c r="E2180">
        <v>2</v>
      </c>
      <c r="F2180">
        <v>1.9</v>
      </c>
      <c r="G2180" t="s">
        <v>477</v>
      </c>
      <c r="H2180" t="s">
        <v>467</v>
      </c>
      <c r="I2180" t="str">
        <f t="shared" si="52"/>
        <v>2009_2</v>
      </c>
      <c r="J2180" t="s">
        <v>428</v>
      </c>
      <c r="K2180" t="s">
        <v>429</v>
      </c>
      <c r="L2180" t="str">
        <f>_xlfn.XLOOKUP(C2180, Table2[Species],Table2[Genus], "Code Not Found")</f>
        <v>Fagus</v>
      </c>
      <c r="M2180" t="str">
        <f>_xlfn.XLOOKUP(C2180, Table2[Species],Table2[Sp. Name], "Code Not Found")</f>
        <v>grandifolia</v>
      </c>
      <c r="N2180" t="str">
        <f>_xlfn.XLOOKUP(C2180,Table2[Species],Table2[Family],"Code Not Found")</f>
        <v>Fagaceae</v>
      </c>
      <c r="O2180" t="str" cm="1">
        <f t="array" ref="O2180">_xlfn.IFS(F2180="","",F2180&lt;=5,"0 to 5",F2180&lt;=10,"5.1 to 10",F2180&lt;=20,"10 to 20", F2180&lt;= 40, "20 to 40", F2180 &lt;= 50, "40 to 50", F2180 &gt; 50, "&gt;50" )</f>
        <v>0 to 5</v>
      </c>
    </row>
    <row r="2181" spans="1:15" ht="15" customHeight="1" x14ac:dyDescent="0.3">
      <c r="A2181" t="s">
        <v>427</v>
      </c>
      <c r="B2181" s="1">
        <v>46211</v>
      </c>
      <c r="C2181" t="s">
        <v>16</v>
      </c>
      <c r="D2181">
        <v>2010</v>
      </c>
      <c r="E2181">
        <v>1</v>
      </c>
      <c r="F2181">
        <v>5.3</v>
      </c>
      <c r="G2181" t="s">
        <v>47</v>
      </c>
      <c r="I2181" t="str">
        <f t="shared" si="52"/>
        <v>2010_1</v>
      </c>
      <c r="J2181" t="s">
        <v>428</v>
      </c>
      <c r="K2181" t="s">
        <v>429</v>
      </c>
      <c r="L2181" t="str">
        <f>_xlfn.XLOOKUP(C2181, Table2[Species],Table2[Genus], "Code Not Found")</f>
        <v>Acer</v>
      </c>
      <c r="M2181" t="str">
        <f>_xlfn.XLOOKUP(C2181, Table2[Species],Table2[Sp. Name], "Code Not Found")</f>
        <v>saccharum</v>
      </c>
      <c r="N2181" t="str">
        <f>_xlfn.XLOOKUP(C2181,Table2[Species],Table2[Family],"Code Not Found")</f>
        <v>Sapindaceae</v>
      </c>
      <c r="O2181" t="str" cm="1">
        <f t="array" ref="O2181">_xlfn.IFS(F2181="","",F2181&lt;=5,"0 to 5",F2181&lt;=10,"5.1 to 10",F2181&lt;=20,"10 to 20", F2181&lt;= 40, "20 to 40", F2181 &lt;= 50, "40 to 50", F2181 &gt; 50, "&gt;50" )</f>
        <v>5.1 to 10</v>
      </c>
    </row>
    <row r="2182" spans="1:15" ht="15" customHeight="1" x14ac:dyDescent="0.3">
      <c r="A2182" t="s">
        <v>427</v>
      </c>
      <c r="B2182" s="1">
        <v>46211</v>
      </c>
      <c r="C2182" t="s">
        <v>22</v>
      </c>
      <c r="D2182">
        <v>2011</v>
      </c>
      <c r="E2182">
        <v>1</v>
      </c>
      <c r="F2182">
        <v>59.2</v>
      </c>
      <c r="G2182" t="s">
        <v>420</v>
      </c>
      <c r="H2182" t="s">
        <v>36</v>
      </c>
      <c r="I2182" t="str">
        <f t="shared" si="52"/>
        <v>2011_1</v>
      </c>
      <c r="J2182" t="s">
        <v>428</v>
      </c>
      <c r="K2182" t="s">
        <v>429</v>
      </c>
      <c r="L2182" t="str">
        <f>_xlfn.XLOOKUP(C2182, Table2[Species],Table2[Genus], "Code Not Found")</f>
        <v>Acer</v>
      </c>
      <c r="M2182" t="str">
        <f>_xlfn.XLOOKUP(C2182, Table2[Species],Table2[Sp. Name], "Code Not Found")</f>
        <v>rubrum</v>
      </c>
      <c r="N2182" t="str">
        <f>_xlfn.XLOOKUP(C2182,Table2[Species],Table2[Family],"Code Not Found")</f>
        <v>Sapindaceae</v>
      </c>
      <c r="O2182" t="str" cm="1">
        <f t="array" ref="O2182">_xlfn.IFS(F2182="","",F2182&lt;=5,"0 to 5",F2182&lt;=10,"5.1 to 10",F2182&lt;=20,"10 to 20", F2182&lt;= 40, "20 to 40", F2182 &lt;= 50, "40 to 50", F2182 &gt; 50, "&gt;50" )</f>
        <v>&gt;50</v>
      </c>
    </row>
    <row r="2183" spans="1:15" ht="15" customHeight="1" x14ac:dyDescent="0.3">
      <c r="A2183" t="s">
        <v>427</v>
      </c>
      <c r="B2183" s="1">
        <v>46211</v>
      </c>
      <c r="C2183" t="s">
        <v>55</v>
      </c>
      <c r="D2183">
        <v>2012</v>
      </c>
      <c r="E2183">
        <v>1</v>
      </c>
      <c r="F2183">
        <v>22</v>
      </c>
      <c r="G2183" t="s">
        <v>17</v>
      </c>
      <c r="I2183" t="str">
        <f t="shared" si="52"/>
        <v>2012_1</v>
      </c>
      <c r="J2183" t="s">
        <v>428</v>
      </c>
      <c r="K2183" t="s">
        <v>429</v>
      </c>
      <c r="L2183" t="str">
        <f>_xlfn.XLOOKUP(C2183, Table2[Species],Table2[Genus], "Code Not Found")</f>
        <v>Magnolia</v>
      </c>
      <c r="M2183" t="str">
        <f>_xlfn.XLOOKUP(C2183, Table2[Species],Table2[Sp. Name], "Code Not Found")</f>
        <v>acuminata</v>
      </c>
      <c r="N2183" t="str">
        <f>_xlfn.XLOOKUP(C2183,Table2[Species],Table2[Family],"Code Not Found")</f>
        <v>Magnoliaceae</v>
      </c>
      <c r="O2183" t="str" cm="1">
        <f t="array" ref="O2183">_xlfn.IFS(F2183="","",F2183&lt;=5,"0 to 5",F2183&lt;=10,"5.1 to 10",F2183&lt;=20,"10 to 20", F2183&lt;= 40, "20 to 40", F2183 &lt;= 50, "40 to 50", F2183 &gt; 50, "&gt;50" )</f>
        <v>20 to 40</v>
      </c>
    </row>
    <row r="2184" spans="1:15" ht="15" customHeight="1" x14ac:dyDescent="0.3">
      <c r="A2184" t="s">
        <v>427</v>
      </c>
      <c r="B2184" s="1">
        <v>46211</v>
      </c>
      <c r="C2184" t="s">
        <v>430</v>
      </c>
      <c r="D2184">
        <v>2013</v>
      </c>
      <c r="E2184">
        <v>1</v>
      </c>
      <c r="F2184">
        <v>6.3</v>
      </c>
      <c r="G2184" t="s">
        <v>381</v>
      </c>
      <c r="H2184" t="s">
        <v>478</v>
      </c>
      <c r="I2184" t="str">
        <f t="shared" si="52"/>
        <v>2013_1</v>
      </c>
      <c r="J2184" t="s">
        <v>428</v>
      </c>
      <c r="K2184" t="s">
        <v>429</v>
      </c>
      <c r="L2184" t="str">
        <f>_xlfn.XLOOKUP(C2184, Table2[Species],Table2[Genus], "Code Not Found")</f>
        <v>Tsuga</v>
      </c>
      <c r="M2184" t="str">
        <f>_xlfn.XLOOKUP(C2184, Table2[Species],Table2[Sp. Name], "Code Not Found")</f>
        <v>canadensis</v>
      </c>
      <c r="N2184" t="str">
        <f>_xlfn.XLOOKUP(C2184,Table2[Species],Table2[Family],"Code Not Found")</f>
        <v>Pinaceae</v>
      </c>
      <c r="O2184" t="str" cm="1">
        <f t="array" ref="O2184">_xlfn.IFS(F2184="","",F2184&lt;=5,"0 to 5",F2184&lt;=10,"5.1 to 10",F2184&lt;=20,"10 to 20", F2184&lt;= 40, "20 to 40", F2184 &lt;= 50, "40 to 50", F2184 &gt; 50, "&gt;50" )</f>
        <v>5.1 to 10</v>
      </c>
    </row>
    <row r="2185" spans="1:15" ht="15" customHeight="1" x14ac:dyDescent="0.3">
      <c r="A2185" t="s">
        <v>427</v>
      </c>
      <c r="B2185" s="1">
        <v>46211</v>
      </c>
      <c r="C2185" t="s">
        <v>430</v>
      </c>
      <c r="D2185">
        <v>2014</v>
      </c>
      <c r="E2185">
        <v>1</v>
      </c>
      <c r="F2185">
        <v>17.600000000000001</v>
      </c>
      <c r="G2185" t="s">
        <v>17</v>
      </c>
      <c r="I2185" t="str">
        <f t="shared" si="52"/>
        <v>2014_1</v>
      </c>
      <c r="J2185" t="s">
        <v>428</v>
      </c>
      <c r="K2185" t="s">
        <v>429</v>
      </c>
      <c r="L2185" t="str">
        <f>_xlfn.XLOOKUP(C2185, Table2[Species],Table2[Genus], "Code Not Found")</f>
        <v>Tsuga</v>
      </c>
      <c r="M2185" t="str">
        <f>_xlfn.XLOOKUP(C2185, Table2[Species],Table2[Sp. Name], "Code Not Found")</f>
        <v>canadensis</v>
      </c>
      <c r="N2185" t="str">
        <f>_xlfn.XLOOKUP(C2185,Table2[Species],Table2[Family],"Code Not Found")</f>
        <v>Pinaceae</v>
      </c>
      <c r="O2185" t="str" cm="1">
        <f t="array" ref="O2185">_xlfn.IFS(F2185="","",F2185&lt;=5,"0 to 5",F2185&lt;=10,"5.1 to 10",F2185&lt;=20,"10 to 20", F2185&lt;= 40, "20 to 40", F2185 &lt;= 50, "40 to 50", F2185 &gt; 50, "&gt;50" )</f>
        <v>10 to 20</v>
      </c>
    </row>
    <row r="2186" spans="1:15" ht="15" customHeight="1" x14ac:dyDescent="0.3">
      <c r="A2186" t="s">
        <v>427</v>
      </c>
      <c r="B2186" s="1">
        <v>46211</v>
      </c>
      <c r="C2186" t="s">
        <v>22</v>
      </c>
      <c r="D2186">
        <v>2015</v>
      </c>
      <c r="E2186">
        <v>1</v>
      </c>
      <c r="F2186">
        <v>42.9</v>
      </c>
      <c r="G2186" t="s">
        <v>21</v>
      </c>
      <c r="I2186" t="str">
        <f t="shared" si="52"/>
        <v>2015_1</v>
      </c>
      <c r="J2186" t="s">
        <v>428</v>
      </c>
      <c r="K2186" t="s">
        <v>429</v>
      </c>
      <c r="L2186" t="str">
        <f>_xlfn.XLOOKUP(C2186, Table2[Species],Table2[Genus], "Code Not Found")</f>
        <v>Acer</v>
      </c>
      <c r="M2186" t="str">
        <f>_xlfn.XLOOKUP(C2186, Table2[Species],Table2[Sp. Name], "Code Not Found")</f>
        <v>rubrum</v>
      </c>
      <c r="N2186" t="str">
        <f>_xlfn.XLOOKUP(C2186,Table2[Species],Table2[Family],"Code Not Found")</f>
        <v>Sapindaceae</v>
      </c>
      <c r="O2186" t="str" cm="1">
        <f t="array" ref="O2186">_xlfn.IFS(F2186="","",F2186&lt;=5,"0 to 5",F2186&lt;=10,"5.1 to 10",F2186&lt;=20,"10 to 20", F2186&lt;= 40, "20 to 40", F2186 &lt;= 50, "40 to 50", F2186 &gt; 50, "&gt;50" )</f>
        <v>40 to 50</v>
      </c>
    </row>
    <row r="2187" spans="1:15" ht="15" customHeight="1" x14ac:dyDescent="0.3">
      <c r="A2187" t="s">
        <v>427</v>
      </c>
      <c r="B2187" s="1">
        <v>46211</v>
      </c>
      <c r="C2187" t="s">
        <v>430</v>
      </c>
      <c r="D2187">
        <v>2016</v>
      </c>
      <c r="E2187">
        <v>1</v>
      </c>
      <c r="F2187">
        <v>6.9</v>
      </c>
      <c r="G2187" t="s">
        <v>17</v>
      </c>
      <c r="I2187" t="str">
        <f t="shared" si="52"/>
        <v>2016_1</v>
      </c>
      <c r="J2187" t="s">
        <v>428</v>
      </c>
      <c r="K2187" t="s">
        <v>429</v>
      </c>
      <c r="L2187" t="str">
        <f>_xlfn.XLOOKUP(C2187, Table2[Species],Table2[Genus], "Code Not Found")</f>
        <v>Tsuga</v>
      </c>
      <c r="M2187" t="str">
        <f>_xlfn.XLOOKUP(C2187, Table2[Species],Table2[Sp. Name], "Code Not Found")</f>
        <v>canadensis</v>
      </c>
      <c r="N2187" t="str">
        <f>_xlfn.XLOOKUP(C2187,Table2[Species],Table2[Family],"Code Not Found")</f>
        <v>Pinaceae</v>
      </c>
      <c r="O2187" t="str" cm="1">
        <f t="array" ref="O2187">_xlfn.IFS(F2187="","",F2187&lt;=5,"0 to 5",F2187&lt;=10,"5.1 to 10",F2187&lt;=20,"10 to 20", F2187&lt;= 40, "20 to 40", F2187 &lt;= 50, "40 to 50", F2187 &gt; 50, "&gt;50" )</f>
        <v>5.1 to 10</v>
      </c>
    </row>
    <row r="2188" spans="1:15" ht="15" customHeight="1" x14ac:dyDescent="0.3">
      <c r="A2188" t="s">
        <v>427</v>
      </c>
      <c r="B2188" s="1">
        <v>46211</v>
      </c>
      <c r="C2188" t="s">
        <v>430</v>
      </c>
      <c r="D2188">
        <v>2017</v>
      </c>
      <c r="E2188">
        <v>1</v>
      </c>
      <c r="F2188">
        <v>8.1999999999999993</v>
      </c>
      <c r="G2188" t="s">
        <v>17</v>
      </c>
      <c r="H2188" t="s">
        <v>479</v>
      </c>
      <c r="I2188" t="str">
        <f t="shared" si="52"/>
        <v>2017_1</v>
      </c>
      <c r="J2188" t="s">
        <v>428</v>
      </c>
      <c r="K2188" t="s">
        <v>429</v>
      </c>
      <c r="L2188" t="str">
        <f>_xlfn.XLOOKUP(C2188, Table2[Species],Table2[Genus], "Code Not Found")</f>
        <v>Tsuga</v>
      </c>
      <c r="M2188" t="str">
        <f>_xlfn.XLOOKUP(C2188, Table2[Species],Table2[Sp. Name], "Code Not Found")</f>
        <v>canadensis</v>
      </c>
      <c r="N2188" t="str">
        <f>_xlfn.XLOOKUP(C2188,Table2[Species],Table2[Family],"Code Not Found")</f>
        <v>Pinaceae</v>
      </c>
      <c r="O2188" t="str" cm="1">
        <f t="array" ref="O2188">_xlfn.IFS(F2188="","",F2188&lt;=5,"0 to 5",F2188&lt;=10,"5.1 to 10",F2188&lt;=20,"10 to 20", F2188&lt;= 40, "20 to 40", F2188 &lt;= 50, "40 to 50", F2188 &gt; 50, "&gt;50" )</f>
        <v>5.1 to 10</v>
      </c>
    </row>
    <row r="2189" spans="1:15" ht="15" customHeight="1" x14ac:dyDescent="0.3">
      <c r="A2189" t="s">
        <v>427</v>
      </c>
      <c r="B2189" s="1">
        <v>46211</v>
      </c>
      <c r="C2189" t="s">
        <v>430</v>
      </c>
      <c r="D2189">
        <v>2018</v>
      </c>
      <c r="E2189">
        <v>1</v>
      </c>
      <c r="F2189">
        <v>5.0999999999999996</v>
      </c>
      <c r="G2189" t="s">
        <v>17</v>
      </c>
      <c r="I2189" t="str">
        <f t="shared" si="52"/>
        <v>2018_1</v>
      </c>
      <c r="J2189" t="s">
        <v>428</v>
      </c>
      <c r="K2189" t="s">
        <v>429</v>
      </c>
      <c r="L2189" t="str">
        <f>_xlfn.XLOOKUP(C2189, Table2[Species],Table2[Genus], "Code Not Found")</f>
        <v>Tsuga</v>
      </c>
      <c r="M2189" t="str">
        <f>_xlfn.XLOOKUP(C2189, Table2[Species],Table2[Sp. Name], "Code Not Found")</f>
        <v>canadensis</v>
      </c>
      <c r="N2189" t="str">
        <f>_xlfn.XLOOKUP(C2189,Table2[Species],Table2[Family],"Code Not Found")</f>
        <v>Pinaceae</v>
      </c>
      <c r="O2189" t="str" cm="1">
        <f t="array" ref="O2189">_xlfn.IFS(F2189="","",F2189&lt;=5,"0 to 5",F2189&lt;=10,"5.1 to 10",F2189&lt;=20,"10 to 20", F2189&lt;= 40, "20 to 40", F2189 &lt;= 50, "40 to 50", F2189 &gt; 50, "&gt;50" )</f>
        <v>5.1 to 10</v>
      </c>
    </row>
    <row r="2190" spans="1:15" ht="15" customHeight="1" x14ac:dyDescent="0.3">
      <c r="A2190" t="s">
        <v>427</v>
      </c>
      <c r="B2190" s="1">
        <v>46211</v>
      </c>
      <c r="C2190" t="s">
        <v>430</v>
      </c>
      <c r="D2190">
        <v>2019</v>
      </c>
      <c r="E2190">
        <v>1</v>
      </c>
      <c r="F2190">
        <v>12.9</v>
      </c>
      <c r="G2190" t="s">
        <v>381</v>
      </c>
      <c r="I2190" t="str">
        <f t="shared" si="52"/>
        <v>2019_1</v>
      </c>
      <c r="J2190" t="s">
        <v>428</v>
      </c>
      <c r="K2190" t="s">
        <v>429</v>
      </c>
      <c r="L2190" t="str">
        <f>_xlfn.XLOOKUP(C2190, Table2[Species],Table2[Genus], "Code Not Found")</f>
        <v>Tsuga</v>
      </c>
      <c r="M2190" t="str">
        <f>_xlfn.XLOOKUP(C2190, Table2[Species],Table2[Sp. Name], "Code Not Found")</f>
        <v>canadensis</v>
      </c>
      <c r="N2190" t="str">
        <f>_xlfn.XLOOKUP(C2190,Table2[Species],Table2[Family],"Code Not Found")</f>
        <v>Pinaceae</v>
      </c>
      <c r="O2190" t="str" cm="1">
        <f t="array" ref="O2190">_xlfn.IFS(F2190="","",F2190&lt;=5,"0 to 5",F2190&lt;=10,"5.1 to 10",F2190&lt;=20,"10 to 20", F2190&lt;= 40, "20 to 40", F2190 &lt;= 50, "40 to 50", F2190 &gt; 50, "&gt;50" )</f>
        <v>10 to 20</v>
      </c>
    </row>
    <row r="2191" spans="1:15" ht="15" customHeight="1" x14ac:dyDescent="0.3">
      <c r="A2191" t="s">
        <v>427</v>
      </c>
      <c r="B2191" s="1">
        <v>46211</v>
      </c>
      <c r="C2191" t="s">
        <v>430</v>
      </c>
      <c r="D2191">
        <v>2020</v>
      </c>
      <c r="E2191">
        <v>1</v>
      </c>
      <c r="F2191">
        <v>9.5</v>
      </c>
      <c r="G2191" t="s">
        <v>17</v>
      </c>
      <c r="I2191" t="str">
        <f t="shared" si="52"/>
        <v>2020_1</v>
      </c>
      <c r="J2191" t="s">
        <v>428</v>
      </c>
      <c r="K2191" t="s">
        <v>429</v>
      </c>
      <c r="L2191" t="str">
        <f>_xlfn.XLOOKUP(C2191, Table2[Species],Table2[Genus], "Code Not Found")</f>
        <v>Tsuga</v>
      </c>
      <c r="M2191" t="str">
        <f>_xlfn.XLOOKUP(C2191, Table2[Species],Table2[Sp. Name], "Code Not Found")</f>
        <v>canadensis</v>
      </c>
      <c r="N2191" t="str">
        <f>_xlfn.XLOOKUP(C2191,Table2[Species],Table2[Family],"Code Not Found")</f>
        <v>Pinaceae</v>
      </c>
      <c r="O2191" t="str" cm="1">
        <f t="array" ref="O2191">_xlfn.IFS(F2191="","",F2191&lt;=5,"0 to 5",F2191&lt;=10,"5.1 to 10",F2191&lt;=20,"10 to 20", F2191&lt;= 40, "20 to 40", F2191 &lt;= 50, "40 to 50", F2191 &gt; 50, "&gt;50" )</f>
        <v>5.1 to 10</v>
      </c>
    </row>
    <row r="2192" spans="1:15" ht="15" customHeight="1" x14ac:dyDescent="0.3">
      <c r="A2192" t="s">
        <v>427</v>
      </c>
      <c r="B2192" s="1">
        <v>46211</v>
      </c>
      <c r="C2192" t="s">
        <v>430</v>
      </c>
      <c r="D2192">
        <v>2021</v>
      </c>
      <c r="E2192">
        <v>1</v>
      </c>
      <c r="F2192">
        <v>16.899999999999999</v>
      </c>
      <c r="G2192" t="s">
        <v>17</v>
      </c>
      <c r="I2192" t="str">
        <f t="shared" si="52"/>
        <v>2021_1</v>
      </c>
      <c r="J2192" t="s">
        <v>428</v>
      </c>
      <c r="K2192" t="s">
        <v>429</v>
      </c>
      <c r="L2192" t="str">
        <f>_xlfn.XLOOKUP(C2192, Table2[Species],Table2[Genus], "Code Not Found")</f>
        <v>Tsuga</v>
      </c>
      <c r="M2192" t="str">
        <f>_xlfn.XLOOKUP(C2192, Table2[Species],Table2[Sp. Name], "Code Not Found")</f>
        <v>canadensis</v>
      </c>
      <c r="N2192" t="str">
        <f>_xlfn.XLOOKUP(C2192,Table2[Species],Table2[Family],"Code Not Found")</f>
        <v>Pinaceae</v>
      </c>
      <c r="O2192" t="str" cm="1">
        <f t="array" ref="O2192">_xlfn.IFS(F2192="","",F2192&lt;=5,"0 to 5",F2192&lt;=10,"5.1 to 10",F2192&lt;=20,"10 to 20", F2192&lt;= 40, "20 to 40", F2192 &lt;= 50, "40 to 50", F2192 &gt; 50, "&gt;50" )</f>
        <v>10 to 20</v>
      </c>
    </row>
    <row r="2193" spans="1:15" ht="15" customHeight="1" x14ac:dyDescent="0.3">
      <c r="A2193" t="s">
        <v>427</v>
      </c>
      <c r="B2193" s="1">
        <v>46211</v>
      </c>
      <c r="C2193" t="s">
        <v>430</v>
      </c>
      <c r="D2193">
        <v>2022</v>
      </c>
      <c r="E2193">
        <v>1</v>
      </c>
      <c r="F2193">
        <v>14.8</v>
      </c>
      <c r="G2193" t="s">
        <v>17</v>
      </c>
      <c r="I2193" t="str">
        <f t="shared" si="52"/>
        <v>2022_1</v>
      </c>
      <c r="J2193" t="s">
        <v>428</v>
      </c>
      <c r="K2193" t="s">
        <v>429</v>
      </c>
      <c r="L2193" t="str">
        <f>_xlfn.XLOOKUP(C2193, Table2[Species],Table2[Genus], "Code Not Found")</f>
        <v>Tsuga</v>
      </c>
      <c r="M2193" t="str">
        <f>_xlfn.XLOOKUP(C2193, Table2[Species],Table2[Sp. Name], "Code Not Found")</f>
        <v>canadensis</v>
      </c>
      <c r="N2193" t="str">
        <f>_xlfn.XLOOKUP(C2193,Table2[Species],Table2[Family],"Code Not Found")</f>
        <v>Pinaceae</v>
      </c>
      <c r="O2193" t="str" cm="1">
        <f t="array" ref="O2193">_xlfn.IFS(F2193="","",F2193&lt;=5,"0 to 5",F2193&lt;=10,"5.1 to 10",F2193&lt;=20,"10 to 20", F2193&lt;= 40, "20 to 40", F2193 &lt;= 50, "40 to 50", F2193 &gt; 50, "&gt;50" )</f>
        <v>10 to 20</v>
      </c>
    </row>
    <row r="2194" spans="1:15" ht="15" customHeight="1" x14ac:dyDescent="0.3">
      <c r="A2194" t="s">
        <v>427</v>
      </c>
      <c r="B2194" s="1">
        <v>46211</v>
      </c>
      <c r="C2194" t="s">
        <v>430</v>
      </c>
      <c r="D2194">
        <v>2023</v>
      </c>
      <c r="E2194">
        <v>1</v>
      </c>
      <c r="F2194">
        <v>6.5</v>
      </c>
      <c r="G2194" t="s">
        <v>17</v>
      </c>
      <c r="H2194" t="s">
        <v>479</v>
      </c>
      <c r="I2194" t="str">
        <f t="shared" si="52"/>
        <v>2023_1</v>
      </c>
      <c r="J2194" t="s">
        <v>428</v>
      </c>
      <c r="K2194" t="s">
        <v>429</v>
      </c>
      <c r="L2194" t="str">
        <f>_xlfn.XLOOKUP(C2194, Table2[Species],Table2[Genus], "Code Not Found")</f>
        <v>Tsuga</v>
      </c>
      <c r="M2194" t="str">
        <f>_xlfn.XLOOKUP(C2194, Table2[Species],Table2[Sp. Name], "Code Not Found")</f>
        <v>canadensis</v>
      </c>
      <c r="N2194" t="str">
        <f>_xlfn.XLOOKUP(C2194,Table2[Species],Table2[Family],"Code Not Found")</f>
        <v>Pinaceae</v>
      </c>
      <c r="O2194" t="str" cm="1">
        <f t="array" ref="O2194">_xlfn.IFS(F2194="","",F2194&lt;=5,"0 to 5",F2194&lt;=10,"5.1 to 10",F2194&lt;=20,"10 to 20", F2194&lt;= 40, "20 to 40", F2194 &lt;= 50, "40 to 50", F2194 &gt; 50, "&gt;50" )</f>
        <v>5.1 to 10</v>
      </c>
    </row>
    <row r="2195" spans="1:15" ht="15" customHeight="1" x14ac:dyDescent="0.3">
      <c r="A2195" t="s">
        <v>427</v>
      </c>
      <c r="B2195" s="1">
        <v>46211</v>
      </c>
      <c r="C2195" t="s">
        <v>22</v>
      </c>
      <c r="D2195">
        <v>2024</v>
      </c>
      <c r="E2195">
        <v>1</v>
      </c>
      <c r="F2195">
        <v>19.5</v>
      </c>
      <c r="G2195" t="s">
        <v>21</v>
      </c>
      <c r="I2195" t="str">
        <f t="shared" si="52"/>
        <v>2024_1</v>
      </c>
      <c r="J2195" t="s">
        <v>428</v>
      </c>
      <c r="K2195" t="s">
        <v>429</v>
      </c>
      <c r="L2195" t="str">
        <f>_xlfn.XLOOKUP(C2195, Table2[Species],Table2[Genus], "Code Not Found")</f>
        <v>Acer</v>
      </c>
      <c r="M2195" t="str">
        <f>_xlfn.XLOOKUP(C2195, Table2[Species],Table2[Sp. Name], "Code Not Found")</f>
        <v>rubrum</v>
      </c>
      <c r="N2195" t="str">
        <f>_xlfn.XLOOKUP(C2195,Table2[Species],Table2[Family],"Code Not Found")</f>
        <v>Sapindaceae</v>
      </c>
      <c r="O2195" t="str" cm="1">
        <f t="array" ref="O2195">_xlfn.IFS(F2195="","",F2195&lt;=5,"0 to 5",F2195&lt;=10,"5.1 to 10",F2195&lt;=20,"10 to 20", F2195&lt;= 40, "20 to 40", F2195 &lt;= 50, "40 to 50", F2195 &gt; 50, "&gt;50" )</f>
        <v>10 to 20</v>
      </c>
    </row>
    <row r="2196" spans="1:15" ht="15" customHeight="1" x14ac:dyDescent="0.3">
      <c r="A2196" t="s">
        <v>427</v>
      </c>
      <c r="B2196" s="1">
        <v>46211</v>
      </c>
      <c r="C2196" t="s">
        <v>430</v>
      </c>
      <c r="D2196">
        <v>2025</v>
      </c>
      <c r="E2196">
        <v>1</v>
      </c>
      <c r="F2196">
        <v>6.1</v>
      </c>
      <c r="G2196" t="s">
        <v>17</v>
      </c>
      <c r="H2196" t="s">
        <v>479</v>
      </c>
      <c r="I2196" t="str">
        <f t="shared" si="52"/>
        <v>2025_1</v>
      </c>
      <c r="J2196" t="s">
        <v>428</v>
      </c>
      <c r="K2196" t="s">
        <v>429</v>
      </c>
      <c r="L2196" t="str">
        <f>_xlfn.XLOOKUP(C2196, Table2[Species],Table2[Genus], "Code Not Found")</f>
        <v>Tsuga</v>
      </c>
      <c r="M2196" t="str">
        <f>_xlfn.XLOOKUP(C2196, Table2[Species],Table2[Sp. Name], "Code Not Found")</f>
        <v>canadensis</v>
      </c>
      <c r="N2196" t="str">
        <f>_xlfn.XLOOKUP(C2196,Table2[Species],Table2[Family],"Code Not Found")</f>
        <v>Pinaceae</v>
      </c>
      <c r="O2196" t="str" cm="1">
        <f t="array" ref="O2196">_xlfn.IFS(F2196="","",F2196&lt;=5,"0 to 5",F2196&lt;=10,"5.1 to 10",F2196&lt;=20,"10 to 20", F2196&lt;= 40, "20 to 40", F2196 &lt;= 50, "40 to 50", F2196 &gt; 50, "&gt;50" )</f>
        <v>5.1 to 10</v>
      </c>
    </row>
    <row r="2197" spans="1:15" ht="15" customHeight="1" x14ac:dyDescent="0.3">
      <c r="A2197" t="s">
        <v>427</v>
      </c>
      <c r="B2197" s="1">
        <v>46211</v>
      </c>
      <c r="C2197" t="s">
        <v>430</v>
      </c>
      <c r="D2197">
        <v>2026</v>
      </c>
      <c r="E2197">
        <v>1</v>
      </c>
      <c r="F2197">
        <v>10.9</v>
      </c>
      <c r="G2197" t="s">
        <v>17</v>
      </c>
      <c r="I2197" t="str">
        <f t="shared" si="52"/>
        <v>2026_1</v>
      </c>
      <c r="J2197" t="s">
        <v>428</v>
      </c>
      <c r="K2197" t="s">
        <v>429</v>
      </c>
      <c r="L2197" t="str">
        <f>_xlfn.XLOOKUP(C2197, Table2[Species],Table2[Genus], "Code Not Found")</f>
        <v>Tsuga</v>
      </c>
      <c r="M2197" t="str">
        <f>_xlfn.XLOOKUP(C2197, Table2[Species],Table2[Sp. Name], "Code Not Found")</f>
        <v>canadensis</v>
      </c>
      <c r="N2197" t="str">
        <f>_xlfn.XLOOKUP(C2197,Table2[Species],Table2[Family],"Code Not Found")</f>
        <v>Pinaceae</v>
      </c>
      <c r="O2197" t="str" cm="1">
        <f t="array" ref="O2197">_xlfn.IFS(F2197="","",F2197&lt;=5,"0 to 5",F2197&lt;=10,"5.1 to 10",F2197&lt;=20,"10 to 20", F2197&lt;= 40, "20 to 40", F2197 &lt;= 50, "40 to 50", F2197 &gt; 50, "&gt;50" )</f>
        <v>10 to 20</v>
      </c>
    </row>
    <row r="2198" spans="1:15" ht="15" customHeight="1" x14ac:dyDescent="0.3">
      <c r="A2198" t="s">
        <v>427</v>
      </c>
      <c r="B2198" s="1">
        <v>46211</v>
      </c>
      <c r="C2198" t="s">
        <v>123</v>
      </c>
      <c r="D2198">
        <v>2027</v>
      </c>
      <c r="E2198">
        <v>1</v>
      </c>
      <c r="F2198">
        <v>66.8</v>
      </c>
      <c r="G2198" t="s">
        <v>480</v>
      </c>
      <c r="H2198" t="s">
        <v>481</v>
      </c>
      <c r="I2198" t="str">
        <f t="shared" si="52"/>
        <v>2027_1</v>
      </c>
      <c r="J2198" t="s">
        <v>428</v>
      </c>
      <c r="K2198" t="s">
        <v>429</v>
      </c>
      <c r="L2198" t="str">
        <f>_xlfn.XLOOKUP(C2198, Table2[Species],Table2[Genus], "Code Not Found")</f>
        <v>Quercus</v>
      </c>
      <c r="M2198" t="str">
        <f>_xlfn.XLOOKUP(C2198, Table2[Species],Table2[Sp. Name], "Code Not Found")</f>
        <v>rubra</v>
      </c>
      <c r="N2198" t="str">
        <f>_xlfn.XLOOKUP(C2198,Table2[Species],Table2[Family],"Code Not Found")</f>
        <v>Fagaceae</v>
      </c>
      <c r="O2198" t="str" cm="1">
        <f t="array" ref="O2198">_xlfn.IFS(F2198="","",F2198&lt;=5,"0 to 5",F2198&lt;=10,"5.1 to 10",F2198&lt;=20,"10 to 20", F2198&lt;= 40, "20 to 40", F2198 &lt;= 50, "40 to 50", F2198 &gt; 50, "&gt;50" )</f>
        <v>&gt;50</v>
      </c>
    </row>
    <row r="2199" spans="1:15" ht="15" customHeight="1" x14ac:dyDescent="0.3">
      <c r="A2199" t="s">
        <v>427</v>
      </c>
      <c r="B2199" s="1">
        <v>46211</v>
      </c>
      <c r="C2199" t="s">
        <v>430</v>
      </c>
      <c r="D2199">
        <v>2028</v>
      </c>
      <c r="E2199">
        <v>1</v>
      </c>
      <c r="F2199">
        <v>8.4</v>
      </c>
      <c r="G2199" t="s">
        <v>17</v>
      </c>
      <c r="I2199" t="str">
        <f t="shared" si="52"/>
        <v>2028_1</v>
      </c>
      <c r="J2199" t="s">
        <v>428</v>
      </c>
      <c r="K2199" t="s">
        <v>429</v>
      </c>
      <c r="L2199" t="str">
        <f>_xlfn.XLOOKUP(C2199, Table2[Species],Table2[Genus], "Code Not Found")</f>
        <v>Tsuga</v>
      </c>
      <c r="M2199" t="str">
        <f>_xlfn.XLOOKUP(C2199, Table2[Species],Table2[Sp. Name], "Code Not Found")</f>
        <v>canadensis</v>
      </c>
      <c r="N2199" t="str">
        <f>_xlfn.XLOOKUP(C2199,Table2[Species],Table2[Family],"Code Not Found")</f>
        <v>Pinaceae</v>
      </c>
      <c r="O2199" t="str" cm="1">
        <f t="array" ref="O2199">_xlfn.IFS(F2199="","",F2199&lt;=5,"0 to 5",F2199&lt;=10,"5.1 to 10",F2199&lt;=20,"10 to 20", F2199&lt;= 40, "20 to 40", F2199 &lt;= 50, "40 to 50", F2199 &gt; 50, "&gt;50" )</f>
        <v>5.1 to 10</v>
      </c>
    </row>
    <row r="2200" spans="1:15" ht="15" customHeight="1" x14ac:dyDescent="0.3">
      <c r="A2200" t="s">
        <v>427</v>
      </c>
      <c r="B2200" s="1">
        <v>46211</v>
      </c>
      <c r="C2200" t="s">
        <v>118</v>
      </c>
      <c r="D2200">
        <v>2029</v>
      </c>
      <c r="E2200">
        <v>1</v>
      </c>
      <c r="F2200">
        <v>81.099999999999994</v>
      </c>
      <c r="G2200" t="s">
        <v>17</v>
      </c>
      <c r="H2200" t="s">
        <v>482</v>
      </c>
      <c r="I2200" t="str">
        <f t="shared" si="52"/>
        <v>2029_1</v>
      </c>
      <c r="J2200" t="s">
        <v>428</v>
      </c>
      <c r="K2200" t="s">
        <v>429</v>
      </c>
      <c r="L2200" t="str">
        <f>_xlfn.XLOOKUP(C2200, Table2[Species],Table2[Genus], "Code Not Found")</f>
        <v>Quercus</v>
      </c>
      <c r="M2200" t="str">
        <f>_xlfn.XLOOKUP(C2200, Table2[Species],Table2[Sp. Name], "Code Not Found")</f>
        <v>montana</v>
      </c>
      <c r="N2200" t="str">
        <f>_xlfn.XLOOKUP(C2200,Table2[Species],Table2[Family],"Code Not Found")</f>
        <v>Fagaceae</v>
      </c>
      <c r="O2200" t="str" cm="1">
        <f t="array" ref="O2200">_xlfn.IFS(F2200="","",F2200&lt;=5,"0 to 5",F2200&lt;=10,"5.1 to 10",F2200&lt;=20,"10 to 20", F2200&lt;= 40, "20 to 40", F2200 &lt;= 50, "40 to 50", F2200 &gt; 50, "&gt;50" )</f>
        <v>&gt;50</v>
      </c>
    </row>
    <row r="2201" spans="1:15" ht="15" customHeight="1" x14ac:dyDescent="0.3">
      <c r="A2201" t="s">
        <v>427</v>
      </c>
      <c r="B2201" s="1">
        <v>46211</v>
      </c>
      <c r="C2201" t="s">
        <v>64</v>
      </c>
      <c r="D2201">
        <v>2030</v>
      </c>
      <c r="E2201">
        <v>1</v>
      </c>
      <c r="F2201">
        <v>4.5999999999999996</v>
      </c>
      <c r="G2201" t="s">
        <v>17</v>
      </c>
      <c r="I2201" t="str">
        <f t="shared" si="52"/>
        <v>2030_1</v>
      </c>
      <c r="J2201" t="s">
        <v>428</v>
      </c>
      <c r="K2201" t="s">
        <v>429</v>
      </c>
      <c r="L2201" t="str">
        <f>_xlfn.XLOOKUP(C2201, Table2[Species],Table2[Genus], "Code Not Found")</f>
        <v>Fagus</v>
      </c>
      <c r="M2201" t="str">
        <f>_xlfn.XLOOKUP(C2201, Table2[Species],Table2[Sp. Name], "Code Not Found")</f>
        <v>grandifolia</v>
      </c>
      <c r="N2201" t="str">
        <f>_xlfn.XLOOKUP(C2201,Table2[Species],Table2[Family],"Code Not Found")</f>
        <v>Fagaceae</v>
      </c>
      <c r="O2201" t="str" cm="1">
        <f t="array" ref="O2201">_xlfn.IFS(F2201="","",F2201&lt;=5,"0 to 5",F2201&lt;=10,"5.1 to 10",F2201&lt;=20,"10 to 20", F2201&lt;= 40, "20 to 40", F2201 &lt;= 50, "40 to 50", F2201 &gt; 50, "&gt;50" )</f>
        <v>0 to 5</v>
      </c>
    </row>
    <row r="2202" spans="1:15" ht="15" customHeight="1" x14ac:dyDescent="0.3">
      <c r="A2202" t="s">
        <v>427</v>
      </c>
      <c r="B2202" s="1">
        <v>46211</v>
      </c>
      <c r="C2202" t="s">
        <v>430</v>
      </c>
      <c r="D2202">
        <v>2031</v>
      </c>
      <c r="E2202">
        <v>1</v>
      </c>
      <c r="F2202">
        <v>8.5</v>
      </c>
      <c r="G2202" t="s">
        <v>17</v>
      </c>
      <c r="H2202" t="s">
        <v>479</v>
      </c>
      <c r="I2202" t="str">
        <f t="shared" si="52"/>
        <v>2031_1</v>
      </c>
      <c r="J2202" t="s">
        <v>428</v>
      </c>
      <c r="K2202" t="s">
        <v>429</v>
      </c>
      <c r="L2202" t="str">
        <f>_xlfn.XLOOKUP(C2202, Table2[Species],Table2[Genus], "Code Not Found")</f>
        <v>Tsuga</v>
      </c>
      <c r="M2202" t="str">
        <f>_xlfn.XLOOKUP(C2202, Table2[Species],Table2[Sp. Name], "Code Not Found")</f>
        <v>canadensis</v>
      </c>
      <c r="N2202" t="str">
        <f>_xlfn.XLOOKUP(C2202,Table2[Species],Table2[Family],"Code Not Found")</f>
        <v>Pinaceae</v>
      </c>
      <c r="O2202" t="str" cm="1">
        <f t="array" ref="O2202">_xlfn.IFS(F2202="","",F2202&lt;=5,"0 to 5",F2202&lt;=10,"5.1 to 10",F2202&lt;=20,"10 to 20", F2202&lt;= 40, "20 to 40", F2202 &lt;= 50, "40 to 50", F2202 &gt; 50, "&gt;50" )</f>
        <v>5.1 to 10</v>
      </c>
    </row>
    <row r="2203" spans="1:15" ht="15" customHeight="1" x14ac:dyDescent="0.3">
      <c r="A2203" t="s">
        <v>427</v>
      </c>
      <c r="B2203" s="1">
        <v>46211</v>
      </c>
      <c r="C2203" t="s">
        <v>430</v>
      </c>
      <c r="D2203">
        <v>2032</v>
      </c>
      <c r="E2203">
        <v>1</v>
      </c>
      <c r="F2203">
        <v>7.9</v>
      </c>
      <c r="G2203" t="s">
        <v>17</v>
      </c>
      <c r="I2203" t="str">
        <f t="shared" si="52"/>
        <v>2032_1</v>
      </c>
      <c r="J2203" t="s">
        <v>428</v>
      </c>
      <c r="K2203" t="s">
        <v>429</v>
      </c>
      <c r="L2203" t="str">
        <f>_xlfn.XLOOKUP(C2203, Table2[Species],Table2[Genus], "Code Not Found")</f>
        <v>Tsuga</v>
      </c>
      <c r="M2203" t="str">
        <f>_xlfn.XLOOKUP(C2203, Table2[Species],Table2[Sp. Name], "Code Not Found")</f>
        <v>canadensis</v>
      </c>
      <c r="N2203" t="str">
        <f>_xlfn.XLOOKUP(C2203,Table2[Species],Table2[Family],"Code Not Found")</f>
        <v>Pinaceae</v>
      </c>
      <c r="O2203" t="str" cm="1">
        <f t="array" ref="O2203">_xlfn.IFS(F2203="","",F2203&lt;=5,"0 to 5",F2203&lt;=10,"5.1 to 10",F2203&lt;=20,"10 to 20", F2203&lt;= 40, "20 to 40", F2203 &lt;= 50, "40 to 50", F2203 &gt; 50, "&gt;50" )</f>
        <v>5.1 to 10</v>
      </c>
    </row>
    <row r="2204" spans="1:15" ht="15" customHeight="1" x14ac:dyDescent="0.3">
      <c r="A2204" t="s">
        <v>427</v>
      </c>
      <c r="B2204" s="1">
        <v>46211</v>
      </c>
      <c r="C2204" t="s">
        <v>430</v>
      </c>
      <c r="D2204">
        <v>2033</v>
      </c>
      <c r="E2204">
        <v>1</v>
      </c>
      <c r="F2204">
        <v>7.1</v>
      </c>
      <c r="G2204" t="s">
        <v>17</v>
      </c>
      <c r="I2204" t="str">
        <f t="shared" si="52"/>
        <v>2033_1</v>
      </c>
      <c r="J2204" t="s">
        <v>428</v>
      </c>
      <c r="K2204" t="s">
        <v>429</v>
      </c>
      <c r="L2204" t="str">
        <f>_xlfn.XLOOKUP(C2204, Table2[Species],Table2[Genus], "Code Not Found")</f>
        <v>Tsuga</v>
      </c>
      <c r="M2204" t="str">
        <f>_xlfn.XLOOKUP(C2204, Table2[Species],Table2[Sp. Name], "Code Not Found")</f>
        <v>canadensis</v>
      </c>
      <c r="N2204" t="str">
        <f>_xlfn.XLOOKUP(C2204,Table2[Species],Table2[Family],"Code Not Found")</f>
        <v>Pinaceae</v>
      </c>
      <c r="O2204" t="str" cm="1">
        <f t="array" ref="O2204">_xlfn.IFS(F2204="","",F2204&lt;=5,"0 to 5",F2204&lt;=10,"5.1 to 10",F2204&lt;=20,"10 to 20", F2204&lt;= 40, "20 to 40", F2204 &lt;= 50, "40 to 50", F2204 &gt; 50, "&gt;50" )</f>
        <v>5.1 to 10</v>
      </c>
    </row>
    <row r="2205" spans="1:15" ht="15" customHeight="1" x14ac:dyDescent="0.3">
      <c r="A2205" t="s">
        <v>427</v>
      </c>
      <c r="B2205" s="1">
        <v>46211</v>
      </c>
      <c r="C2205" t="s">
        <v>430</v>
      </c>
      <c r="D2205">
        <v>2034</v>
      </c>
      <c r="E2205">
        <v>1</v>
      </c>
      <c r="F2205">
        <v>4.0999999999999996</v>
      </c>
      <c r="G2205" t="s">
        <v>17</v>
      </c>
      <c r="I2205" t="str">
        <f t="shared" si="52"/>
        <v>2034_1</v>
      </c>
      <c r="J2205" t="s">
        <v>428</v>
      </c>
      <c r="K2205" t="s">
        <v>429</v>
      </c>
      <c r="L2205" t="str">
        <f>_xlfn.XLOOKUP(C2205, Table2[Species],Table2[Genus], "Code Not Found")</f>
        <v>Tsuga</v>
      </c>
      <c r="M2205" t="str">
        <f>_xlfn.XLOOKUP(C2205, Table2[Species],Table2[Sp. Name], "Code Not Found")</f>
        <v>canadensis</v>
      </c>
      <c r="N2205" t="str">
        <f>_xlfn.XLOOKUP(C2205,Table2[Species],Table2[Family],"Code Not Found")</f>
        <v>Pinaceae</v>
      </c>
      <c r="O2205" t="str" cm="1">
        <f t="array" ref="O2205">_xlfn.IFS(F2205="","",F2205&lt;=5,"0 to 5",F2205&lt;=10,"5.1 to 10",F2205&lt;=20,"10 to 20", F2205&lt;= 40, "20 to 40", F2205 &lt;= 50, "40 to 50", F2205 &gt; 50, "&gt;50" )</f>
        <v>0 to 5</v>
      </c>
    </row>
    <row r="2206" spans="1:15" ht="15" customHeight="1" x14ac:dyDescent="0.3">
      <c r="A2206" t="s">
        <v>427</v>
      </c>
      <c r="B2206" s="1">
        <v>46211</v>
      </c>
      <c r="C2206" t="s">
        <v>430</v>
      </c>
      <c r="D2206">
        <v>2035</v>
      </c>
      <c r="E2206">
        <v>1</v>
      </c>
      <c r="F2206">
        <v>9.3000000000000007</v>
      </c>
      <c r="G2206" t="s">
        <v>17</v>
      </c>
      <c r="H2206" t="s">
        <v>483</v>
      </c>
      <c r="I2206" t="str">
        <f t="shared" si="52"/>
        <v>2035_1</v>
      </c>
      <c r="J2206" t="s">
        <v>428</v>
      </c>
      <c r="K2206" t="s">
        <v>429</v>
      </c>
      <c r="L2206" t="str">
        <f>_xlfn.XLOOKUP(C2206, Table2[Species],Table2[Genus], "Code Not Found")</f>
        <v>Tsuga</v>
      </c>
      <c r="M2206" t="str">
        <f>_xlfn.XLOOKUP(C2206, Table2[Species],Table2[Sp. Name], "Code Not Found")</f>
        <v>canadensis</v>
      </c>
      <c r="N2206" t="str">
        <f>_xlfn.XLOOKUP(C2206,Table2[Species],Table2[Family],"Code Not Found")</f>
        <v>Pinaceae</v>
      </c>
      <c r="O2206" t="str" cm="1">
        <f t="array" ref="O2206">_xlfn.IFS(F2206="","",F2206&lt;=5,"0 to 5",F2206&lt;=10,"5.1 to 10",F2206&lt;=20,"10 to 20", F2206&lt;= 40, "20 to 40", F2206 &lt;= 50, "40 to 50", F2206 &gt; 50, "&gt;50" )</f>
        <v>5.1 to 10</v>
      </c>
    </row>
    <row r="2207" spans="1:15" ht="15" customHeight="1" x14ac:dyDescent="0.3">
      <c r="A2207" t="s">
        <v>427</v>
      </c>
      <c r="B2207" s="1">
        <v>46211</v>
      </c>
      <c r="C2207" t="s">
        <v>430</v>
      </c>
      <c r="D2207">
        <v>2036</v>
      </c>
      <c r="E2207">
        <v>1</v>
      </c>
      <c r="F2207">
        <v>12.5</v>
      </c>
      <c r="G2207" t="s">
        <v>17</v>
      </c>
      <c r="I2207" t="str">
        <f t="shared" si="52"/>
        <v>2036_1</v>
      </c>
      <c r="J2207" t="s">
        <v>428</v>
      </c>
      <c r="K2207" t="s">
        <v>429</v>
      </c>
      <c r="L2207" t="str">
        <f>_xlfn.XLOOKUP(C2207, Table2[Species],Table2[Genus], "Code Not Found")</f>
        <v>Tsuga</v>
      </c>
      <c r="M2207" t="str">
        <f>_xlfn.XLOOKUP(C2207, Table2[Species],Table2[Sp. Name], "Code Not Found")</f>
        <v>canadensis</v>
      </c>
      <c r="N2207" t="str">
        <f>_xlfn.XLOOKUP(C2207,Table2[Species],Table2[Family],"Code Not Found")</f>
        <v>Pinaceae</v>
      </c>
      <c r="O2207" t="str" cm="1">
        <f t="array" ref="O2207">_xlfn.IFS(F2207="","",F2207&lt;=5,"0 to 5",F2207&lt;=10,"5.1 to 10",F2207&lt;=20,"10 to 20", F2207&lt;= 40, "20 to 40", F2207 &lt;= 50, "40 to 50", F2207 &gt; 50, "&gt;50" )</f>
        <v>10 to 20</v>
      </c>
    </row>
    <row r="2208" spans="1:15" ht="15" customHeight="1" x14ac:dyDescent="0.3">
      <c r="A2208" t="s">
        <v>427</v>
      </c>
      <c r="B2208" s="1">
        <v>46211</v>
      </c>
      <c r="C2208" t="s">
        <v>430</v>
      </c>
      <c r="D2208">
        <v>2037</v>
      </c>
      <c r="E2208">
        <v>1</v>
      </c>
      <c r="F2208">
        <v>5.7</v>
      </c>
      <c r="G2208" t="s">
        <v>381</v>
      </c>
      <c r="H2208" t="s">
        <v>484</v>
      </c>
      <c r="I2208" t="str">
        <f t="shared" si="52"/>
        <v>2037_1</v>
      </c>
      <c r="J2208" t="s">
        <v>428</v>
      </c>
      <c r="K2208" t="s">
        <v>429</v>
      </c>
      <c r="L2208" t="str">
        <f>_xlfn.XLOOKUP(C2208, Table2[Species],Table2[Genus], "Code Not Found")</f>
        <v>Tsuga</v>
      </c>
      <c r="M2208" t="str">
        <f>_xlfn.XLOOKUP(C2208, Table2[Species],Table2[Sp. Name], "Code Not Found")</f>
        <v>canadensis</v>
      </c>
      <c r="N2208" t="str">
        <f>_xlfn.XLOOKUP(C2208,Table2[Species],Table2[Family],"Code Not Found")</f>
        <v>Pinaceae</v>
      </c>
      <c r="O2208" t="str" cm="1">
        <f t="array" ref="O2208">_xlfn.IFS(F2208="","",F2208&lt;=5,"0 to 5",F2208&lt;=10,"5.1 to 10",F2208&lt;=20,"10 to 20", F2208&lt;= 40, "20 to 40", F2208 &lt;= 50, "40 to 50", F2208 &gt; 50, "&gt;50" )</f>
        <v>5.1 to 10</v>
      </c>
    </row>
    <row r="2209" spans="1:15" ht="15" customHeight="1" x14ac:dyDescent="0.3">
      <c r="A2209" t="s">
        <v>427</v>
      </c>
      <c r="B2209" s="1">
        <v>46211</v>
      </c>
      <c r="C2209" t="s">
        <v>430</v>
      </c>
      <c r="D2209">
        <v>2038</v>
      </c>
      <c r="E2209">
        <v>1</v>
      </c>
      <c r="F2209">
        <v>8</v>
      </c>
      <c r="G2209" t="s">
        <v>104</v>
      </c>
      <c r="H2209" t="s">
        <v>99</v>
      </c>
      <c r="I2209" t="str">
        <f t="shared" si="52"/>
        <v>2038_1</v>
      </c>
      <c r="J2209" t="s">
        <v>428</v>
      </c>
      <c r="K2209" t="s">
        <v>429</v>
      </c>
      <c r="L2209" t="str">
        <f>_xlfn.XLOOKUP(C2209, Table2[Species],Table2[Genus], "Code Not Found")</f>
        <v>Tsuga</v>
      </c>
      <c r="M2209" t="str">
        <f>_xlfn.XLOOKUP(C2209, Table2[Species],Table2[Sp. Name], "Code Not Found")</f>
        <v>canadensis</v>
      </c>
      <c r="N2209" t="str">
        <f>_xlfn.XLOOKUP(C2209,Table2[Species],Table2[Family],"Code Not Found")</f>
        <v>Pinaceae</v>
      </c>
      <c r="O2209" t="str" cm="1">
        <f t="array" ref="O2209">_xlfn.IFS(F2209="","",F2209&lt;=5,"0 to 5",F2209&lt;=10,"5.1 to 10",F2209&lt;=20,"10 to 20", F2209&lt;= 40, "20 to 40", F2209 &lt;= 50, "40 to 50", F2209 &gt; 50, "&gt;50" )</f>
        <v>5.1 to 10</v>
      </c>
    </row>
    <row r="2210" spans="1:15" ht="15" customHeight="1" x14ac:dyDescent="0.3">
      <c r="A2210" t="s">
        <v>427</v>
      </c>
      <c r="B2210" s="1">
        <v>46211</v>
      </c>
      <c r="C2210" t="s">
        <v>118</v>
      </c>
      <c r="D2210">
        <v>2039</v>
      </c>
      <c r="E2210">
        <v>1</v>
      </c>
      <c r="F2210">
        <v>79.2</v>
      </c>
      <c r="G2210" t="s">
        <v>21</v>
      </c>
      <c r="I2210" t="str">
        <f t="shared" si="52"/>
        <v>2039_1</v>
      </c>
      <c r="J2210" t="s">
        <v>428</v>
      </c>
      <c r="K2210" t="s">
        <v>429</v>
      </c>
      <c r="L2210" t="str">
        <f>_xlfn.XLOOKUP(C2210, Table2[Species],Table2[Genus], "Code Not Found")</f>
        <v>Quercus</v>
      </c>
      <c r="M2210" t="str">
        <f>_xlfn.XLOOKUP(C2210, Table2[Species],Table2[Sp. Name], "Code Not Found")</f>
        <v>montana</v>
      </c>
      <c r="N2210" t="str">
        <f>_xlfn.XLOOKUP(C2210,Table2[Species],Table2[Family],"Code Not Found")</f>
        <v>Fagaceae</v>
      </c>
      <c r="O2210" t="str" cm="1">
        <f t="array" ref="O2210">_xlfn.IFS(F2210="","",F2210&lt;=5,"0 to 5",F2210&lt;=10,"5.1 to 10",F2210&lt;=20,"10 to 20", F2210&lt;= 40, "20 to 40", F2210 &lt;= 50, "40 to 50", F2210 &gt; 50, "&gt;50" )</f>
        <v>&gt;50</v>
      </c>
    </row>
    <row r="2211" spans="1:15" ht="15" customHeight="1" x14ac:dyDescent="0.3">
      <c r="A2211" t="s">
        <v>427</v>
      </c>
      <c r="B2211" s="1">
        <v>46211</v>
      </c>
      <c r="C2211" t="s">
        <v>64</v>
      </c>
      <c r="D2211">
        <v>2040</v>
      </c>
      <c r="E2211">
        <v>1</v>
      </c>
      <c r="F2211">
        <v>3.6</v>
      </c>
      <c r="G2211" t="s">
        <v>17</v>
      </c>
      <c r="I2211" t="str">
        <f t="shared" si="52"/>
        <v>2040_1</v>
      </c>
      <c r="J2211" t="s">
        <v>428</v>
      </c>
      <c r="K2211" t="s">
        <v>429</v>
      </c>
      <c r="L2211" t="str">
        <f>_xlfn.XLOOKUP(C2211, Table2[Species],Table2[Genus], "Code Not Found")</f>
        <v>Fagus</v>
      </c>
      <c r="M2211" t="str">
        <f>_xlfn.XLOOKUP(C2211, Table2[Species],Table2[Sp. Name], "Code Not Found")</f>
        <v>grandifolia</v>
      </c>
      <c r="N2211" t="str">
        <f>_xlfn.XLOOKUP(C2211,Table2[Species],Table2[Family],"Code Not Found")</f>
        <v>Fagaceae</v>
      </c>
      <c r="O2211" t="str" cm="1">
        <f t="array" ref="O2211">_xlfn.IFS(F2211="","",F2211&lt;=5,"0 to 5",F2211&lt;=10,"5.1 to 10",F2211&lt;=20,"10 to 20", F2211&lt;= 40, "20 to 40", F2211 &lt;= 50, "40 to 50", F2211 &gt; 50, "&gt;50" )</f>
        <v>0 to 5</v>
      </c>
    </row>
    <row r="2212" spans="1:15" ht="15" customHeight="1" x14ac:dyDescent="0.3">
      <c r="A2212" t="s">
        <v>427</v>
      </c>
      <c r="B2212" s="1">
        <v>46211</v>
      </c>
      <c r="C2212" t="s">
        <v>118</v>
      </c>
      <c r="D2212">
        <v>2041</v>
      </c>
      <c r="E2212">
        <v>1</v>
      </c>
      <c r="F2212">
        <v>92.3</v>
      </c>
      <c r="G2212" t="s">
        <v>17</v>
      </c>
      <c r="H2212" t="s">
        <v>485</v>
      </c>
      <c r="I2212" t="str">
        <f t="shared" si="52"/>
        <v>2041_1</v>
      </c>
      <c r="J2212" t="s">
        <v>428</v>
      </c>
      <c r="K2212" t="s">
        <v>429</v>
      </c>
      <c r="L2212" t="str">
        <f>_xlfn.XLOOKUP(C2212, Table2[Species],Table2[Genus], "Code Not Found")</f>
        <v>Quercus</v>
      </c>
      <c r="M2212" t="str">
        <f>_xlfn.XLOOKUP(C2212, Table2[Species],Table2[Sp. Name], "Code Not Found")</f>
        <v>montana</v>
      </c>
      <c r="N2212" t="str">
        <f>_xlfn.XLOOKUP(C2212,Table2[Species],Table2[Family],"Code Not Found")</f>
        <v>Fagaceae</v>
      </c>
      <c r="O2212" t="str" cm="1">
        <f t="array" ref="O2212">_xlfn.IFS(F2212="","",F2212&lt;=5,"0 to 5",F2212&lt;=10,"5.1 to 10",F2212&lt;=20,"10 to 20", F2212&lt;= 40, "20 to 40", F2212 &lt;= 50, "40 to 50", F2212 &gt; 50, "&gt;50" )</f>
        <v>&gt;50</v>
      </c>
    </row>
    <row r="2213" spans="1:15" ht="15" customHeight="1" x14ac:dyDescent="0.3">
      <c r="A2213" t="s">
        <v>427</v>
      </c>
      <c r="B2213" s="1">
        <v>46211</v>
      </c>
      <c r="C2213" t="s">
        <v>64</v>
      </c>
      <c r="D2213">
        <v>2042</v>
      </c>
      <c r="E2213">
        <v>1</v>
      </c>
      <c r="F2213">
        <v>4.9000000000000004</v>
      </c>
      <c r="G2213" t="s">
        <v>88</v>
      </c>
      <c r="H2213" t="s">
        <v>96</v>
      </c>
      <c r="I2213" t="str">
        <f t="shared" si="52"/>
        <v>2042_1</v>
      </c>
      <c r="J2213" t="s">
        <v>428</v>
      </c>
      <c r="K2213" t="s">
        <v>429</v>
      </c>
      <c r="L2213" t="str">
        <f>_xlfn.XLOOKUP(C2213, Table2[Species],Table2[Genus], "Code Not Found")</f>
        <v>Fagus</v>
      </c>
      <c r="M2213" t="str">
        <f>_xlfn.XLOOKUP(C2213, Table2[Species],Table2[Sp. Name], "Code Not Found")</f>
        <v>grandifolia</v>
      </c>
      <c r="N2213" t="str">
        <f>_xlfn.XLOOKUP(C2213,Table2[Species],Table2[Family],"Code Not Found")</f>
        <v>Fagaceae</v>
      </c>
      <c r="O2213" t="str" cm="1">
        <f t="array" ref="O2213">_xlfn.IFS(F2213="","",F2213&lt;=5,"0 to 5",F2213&lt;=10,"5.1 to 10",F2213&lt;=20,"10 to 20", F2213&lt;= 40, "20 to 40", F2213 &lt;= 50, "40 to 50", F2213 &gt; 50, "&gt;50" )</f>
        <v>0 to 5</v>
      </c>
    </row>
    <row r="2214" spans="1:15" ht="15" customHeight="1" x14ac:dyDescent="0.3">
      <c r="A2214" t="s">
        <v>427</v>
      </c>
      <c r="B2214" s="1">
        <v>46211</v>
      </c>
      <c r="C2214" t="s">
        <v>430</v>
      </c>
      <c r="D2214">
        <v>2043</v>
      </c>
      <c r="E2214">
        <v>1</v>
      </c>
      <c r="F2214">
        <v>17.2</v>
      </c>
      <c r="G2214" t="s">
        <v>47</v>
      </c>
      <c r="I2214" t="str">
        <f t="shared" si="52"/>
        <v>2043_1</v>
      </c>
      <c r="J2214" t="s">
        <v>428</v>
      </c>
      <c r="K2214" t="s">
        <v>429</v>
      </c>
      <c r="L2214" t="str">
        <f>_xlfn.XLOOKUP(C2214, Table2[Species],Table2[Genus], "Code Not Found")</f>
        <v>Tsuga</v>
      </c>
      <c r="M2214" t="str">
        <f>_xlfn.XLOOKUP(C2214, Table2[Species],Table2[Sp. Name], "Code Not Found")</f>
        <v>canadensis</v>
      </c>
      <c r="N2214" t="str">
        <f>_xlfn.XLOOKUP(C2214,Table2[Species],Table2[Family],"Code Not Found")</f>
        <v>Pinaceae</v>
      </c>
      <c r="O2214" t="str" cm="1">
        <f t="array" ref="O2214">_xlfn.IFS(F2214="","",F2214&lt;=5,"0 to 5",F2214&lt;=10,"5.1 to 10",F2214&lt;=20,"10 to 20", F2214&lt;= 40, "20 to 40", F2214 &lt;= 50, "40 to 50", F2214 &gt; 50, "&gt;50" )</f>
        <v>10 to 20</v>
      </c>
    </row>
    <row r="2215" spans="1:15" ht="15" customHeight="1" x14ac:dyDescent="0.3">
      <c r="A2215" t="s">
        <v>427</v>
      </c>
      <c r="B2215" s="1">
        <v>46211</v>
      </c>
      <c r="C2215" t="s">
        <v>430</v>
      </c>
      <c r="D2215">
        <v>2044</v>
      </c>
      <c r="E2215">
        <v>1</v>
      </c>
      <c r="F2215">
        <v>6.1</v>
      </c>
      <c r="G2215" t="s">
        <v>88</v>
      </c>
      <c r="H2215" t="s">
        <v>100</v>
      </c>
      <c r="I2215" t="str">
        <f t="shared" si="52"/>
        <v>2044_1</v>
      </c>
      <c r="J2215" t="s">
        <v>428</v>
      </c>
      <c r="K2215" t="s">
        <v>429</v>
      </c>
      <c r="L2215" t="str">
        <f>_xlfn.XLOOKUP(C2215, Table2[Species],Table2[Genus], "Code Not Found")</f>
        <v>Tsuga</v>
      </c>
      <c r="M2215" t="str">
        <f>_xlfn.XLOOKUP(C2215, Table2[Species],Table2[Sp. Name], "Code Not Found")</f>
        <v>canadensis</v>
      </c>
      <c r="N2215" t="str">
        <f>_xlfn.XLOOKUP(C2215,Table2[Species],Table2[Family],"Code Not Found")</f>
        <v>Pinaceae</v>
      </c>
      <c r="O2215" t="str" cm="1">
        <f t="array" ref="O2215">_xlfn.IFS(F2215="","",F2215&lt;=5,"0 to 5",F2215&lt;=10,"5.1 to 10",F2215&lt;=20,"10 to 20", F2215&lt;= 40, "20 to 40", F2215 &lt;= 50, "40 to 50", F2215 &gt; 50, "&gt;50" )</f>
        <v>5.1 to 10</v>
      </c>
    </row>
    <row r="2216" spans="1:15" ht="15" customHeight="1" x14ac:dyDescent="0.3">
      <c r="A2216" t="s">
        <v>427</v>
      </c>
      <c r="B2216" s="1">
        <v>46211</v>
      </c>
      <c r="C2216" t="s">
        <v>430</v>
      </c>
      <c r="D2216">
        <v>2045</v>
      </c>
      <c r="E2216">
        <v>1</v>
      </c>
      <c r="F2216">
        <v>7.7</v>
      </c>
      <c r="G2216" t="s">
        <v>47</v>
      </c>
      <c r="I2216" t="str">
        <f t="shared" si="52"/>
        <v>2045_1</v>
      </c>
      <c r="J2216" t="s">
        <v>428</v>
      </c>
      <c r="K2216" t="s">
        <v>429</v>
      </c>
      <c r="L2216" t="str">
        <f>_xlfn.XLOOKUP(C2216, Table2[Species],Table2[Genus], "Code Not Found")</f>
        <v>Tsuga</v>
      </c>
      <c r="M2216" t="str">
        <f>_xlfn.XLOOKUP(C2216, Table2[Species],Table2[Sp. Name], "Code Not Found")</f>
        <v>canadensis</v>
      </c>
      <c r="N2216" t="str">
        <f>_xlfn.XLOOKUP(C2216,Table2[Species],Table2[Family],"Code Not Found")</f>
        <v>Pinaceae</v>
      </c>
      <c r="O2216" t="str" cm="1">
        <f t="array" ref="O2216">_xlfn.IFS(F2216="","",F2216&lt;=5,"0 to 5",F2216&lt;=10,"5.1 to 10",F2216&lt;=20,"10 to 20", F2216&lt;= 40, "20 to 40", F2216 &lt;= 50, "40 to 50", F2216 &gt; 50, "&gt;50" )</f>
        <v>5.1 to 10</v>
      </c>
    </row>
    <row r="2217" spans="1:15" ht="15" customHeight="1" x14ac:dyDescent="0.3">
      <c r="A2217" t="s">
        <v>427</v>
      </c>
      <c r="B2217" s="1">
        <v>46211</v>
      </c>
      <c r="C2217" t="s">
        <v>64</v>
      </c>
      <c r="D2217">
        <v>2046</v>
      </c>
      <c r="E2217">
        <v>1</v>
      </c>
      <c r="F2217">
        <v>7.3</v>
      </c>
      <c r="G2217" t="s">
        <v>21</v>
      </c>
      <c r="I2217" t="str">
        <f t="shared" si="52"/>
        <v>2046_1</v>
      </c>
      <c r="J2217" t="s">
        <v>428</v>
      </c>
      <c r="K2217" t="s">
        <v>429</v>
      </c>
      <c r="L2217" t="str">
        <f>_xlfn.XLOOKUP(C2217, Table2[Species],Table2[Genus], "Code Not Found")</f>
        <v>Fagus</v>
      </c>
      <c r="M2217" t="str">
        <f>_xlfn.XLOOKUP(C2217, Table2[Species],Table2[Sp. Name], "Code Not Found")</f>
        <v>grandifolia</v>
      </c>
      <c r="N2217" t="str">
        <f>_xlfn.XLOOKUP(C2217,Table2[Species],Table2[Family],"Code Not Found")</f>
        <v>Fagaceae</v>
      </c>
      <c r="O2217" t="str" cm="1">
        <f t="array" ref="O2217">_xlfn.IFS(F2217="","",F2217&lt;=5,"0 to 5",F2217&lt;=10,"5.1 to 10",F2217&lt;=20,"10 to 20", F2217&lt;= 40, "20 to 40", F2217 &lt;= 50, "40 to 50", F2217 &gt; 50, "&gt;50" )</f>
        <v>5.1 to 10</v>
      </c>
    </row>
    <row r="2218" spans="1:15" ht="15" customHeight="1" x14ac:dyDescent="0.3">
      <c r="A2218" t="s">
        <v>427</v>
      </c>
      <c r="B2218" s="1">
        <v>46211</v>
      </c>
      <c r="C2218" t="s">
        <v>430</v>
      </c>
      <c r="D2218">
        <v>2047</v>
      </c>
      <c r="E2218">
        <v>1</v>
      </c>
      <c r="F2218">
        <v>7.8</v>
      </c>
      <c r="G2218" t="s">
        <v>381</v>
      </c>
      <c r="I2218" t="str">
        <f t="shared" si="52"/>
        <v>2047_1</v>
      </c>
      <c r="J2218" t="s">
        <v>428</v>
      </c>
      <c r="K2218" t="s">
        <v>429</v>
      </c>
      <c r="L2218" t="str">
        <f>_xlfn.XLOOKUP(C2218, Table2[Species],Table2[Genus], "Code Not Found")</f>
        <v>Tsuga</v>
      </c>
      <c r="M2218" t="str">
        <f>_xlfn.XLOOKUP(C2218, Table2[Species],Table2[Sp. Name], "Code Not Found")</f>
        <v>canadensis</v>
      </c>
      <c r="N2218" t="str">
        <f>_xlfn.XLOOKUP(C2218,Table2[Species],Table2[Family],"Code Not Found")</f>
        <v>Pinaceae</v>
      </c>
      <c r="O2218" t="str" cm="1">
        <f t="array" ref="O2218">_xlfn.IFS(F2218="","",F2218&lt;=5,"0 to 5",F2218&lt;=10,"5.1 to 10",F2218&lt;=20,"10 to 20", F2218&lt;= 40, "20 to 40", F2218 &lt;= 50, "40 to 50", F2218 &gt; 50, "&gt;50" )</f>
        <v>5.1 to 10</v>
      </c>
    </row>
    <row r="2219" spans="1:15" ht="15" customHeight="1" x14ac:dyDescent="0.3">
      <c r="A2219" t="s">
        <v>427</v>
      </c>
      <c r="B2219" s="1">
        <v>46211</v>
      </c>
      <c r="C2219" t="s">
        <v>430</v>
      </c>
      <c r="D2219">
        <v>2048</v>
      </c>
      <c r="E2219">
        <v>1</v>
      </c>
      <c r="F2219">
        <v>11</v>
      </c>
      <c r="G2219" t="s">
        <v>47</v>
      </c>
      <c r="H2219" t="s">
        <v>467</v>
      </c>
      <c r="I2219" t="str">
        <f t="shared" si="52"/>
        <v>2048_1</v>
      </c>
      <c r="J2219" t="s">
        <v>428</v>
      </c>
      <c r="K2219" t="s">
        <v>429</v>
      </c>
      <c r="L2219" t="str">
        <f>_xlfn.XLOOKUP(C2219, Table2[Species],Table2[Genus], "Code Not Found")</f>
        <v>Tsuga</v>
      </c>
      <c r="M2219" t="str">
        <f>_xlfn.XLOOKUP(C2219, Table2[Species],Table2[Sp. Name], "Code Not Found")</f>
        <v>canadensis</v>
      </c>
      <c r="N2219" t="str">
        <f>_xlfn.XLOOKUP(C2219,Table2[Species],Table2[Family],"Code Not Found")</f>
        <v>Pinaceae</v>
      </c>
      <c r="O2219" t="str" cm="1">
        <f t="array" ref="O2219">_xlfn.IFS(F2219="","",F2219&lt;=5,"0 to 5",F2219&lt;=10,"5.1 to 10",F2219&lt;=20,"10 to 20", F2219&lt;= 40, "20 to 40", F2219 &lt;= 50, "40 to 50", F2219 &gt; 50, "&gt;50" )</f>
        <v>10 to 20</v>
      </c>
    </row>
    <row r="2220" spans="1:15" ht="15" customHeight="1" x14ac:dyDescent="0.3">
      <c r="A2220" t="s">
        <v>427</v>
      </c>
      <c r="B2220" s="1">
        <v>46211</v>
      </c>
      <c r="C2220" t="s">
        <v>430</v>
      </c>
      <c r="D2220">
        <v>2049</v>
      </c>
      <c r="E2220">
        <v>1</v>
      </c>
      <c r="F2220">
        <v>9.6999999999999993</v>
      </c>
      <c r="G2220" t="s">
        <v>17</v>
      </c>
      <c r="H2220" t="s">
        <v>36</v>
      </c>
      <c r="I2220" t="str">
        <f t="shared" si="52"/>
        <v>2049_1</v>
      </c>
      <c r="J2220" t="s">
        <v>428</v>
      </c>
      <c r="K2220" t="s">
        <v>429</v>
      </c>
      <c r="L2220" t="str">
        <f>_xlfn.XLOOKUP(C2220, Table2[Species],Table2[Genus], "Code Not Found")</f>
        <v>Tsuga</v>
      </c>
      <c r="M2220" t="str">
        <f>_xlfn.XLOOKUP(C2220, Table2[Species],Table2[Sp. Name], "Code Not Found")</f>
        <v>canadensis</v>
      </c>
      <c r="N2220" t="str">
        <f>_xlfn.XLOOKUP(C2220,Table2[Species],Table2[Family],"Code Not Found")</f>
        <v>Pinaceae</v>
      </c>
      <c r="O2220" t="str" cm="1">
        <f t="array" ref="O2220">_xlfn.IFS(F2220="","",F2220&lt;=5,"0 to 5",F2220&lt;=10,"5.1 to 10",F2220&lt;=20,"10 to 20", F2220&lt;= 40, "20 to 40", F2220 &lt;= 50, "40 to 50", F2220 &gt; 50, "&gt;50" )</f>
        <v>5.1 to 10</v>
      </c>
    </row>
    <row r="2221" spans="1:15" ht="15" customHeight="1" x14ac:dyDescent="0.3">
      <c r="A2221" t="s">
        <v>427</v>
      </c>
      <c r="B2221" s="1">
        <v>46211</v>
      </c>
      <c r="C2221" t="s">
        <v>430</v>
      </c>
      <c r="D2221">
        <v>2050</v>
      </c>
      <c r="E2221">
        <v>1</v>
      </c>
      <c r="F2221">
        <v>3.6</v>
      </c>
      <c r="G2221" t="s">
        <v>17</v>
      </c>
      <c r="I2221" t="str">
        <f t="shared" si="52"/>
        <v>2050_1</v>
      </c>
      <c r="J2221" t="s">
        <v>428</v>
      </c>
      <c r="K2221" t="s">
        <v>429</v>
      </c>
      <c r="L2221" t="str">
        <f>_xlfn.XLOOKUP(C2221, Table2[Species],Table2[Genus], "Code Not Found")</f>
        <v>Tsuga</v>
      </c>
      <c r="M2221" t="str">
        <f>_xlfn.XLOOKUP(C2221, Table2[Species],Table2[Sp. Name], "Code Not Found")</f>
        <v>canadensis</v>
      </c>
      <c r="N2221" t="str">
        <f>_xlfn.XLOOKUP(C2221,Table2[Species],Table2[Family],"Code Not Found")</f>
        <v>Pinaceae</v>
      </c>
      <c r="O2221" t="str" cm="1">
        <f t="array" ref="O2221">_xlfn.IFS(F2221="","",F2221&lt;=5,"0 to 5",F2221&lt;=10,"5.1 to 10",F2221&lt;=20,"10 to 20", F2221&lt;= 40, "20 to 40", F2221 &lt;= 50, "40 to 50", F2221 &gt; 50, "&gt;50" )</f>
        <v>0 to 5</v>
      </c>
    </row>
    <row r="2222" spans="1:15" ht="15" customHeight="1" x14ac:dyDescent="0.3">
      <c r="A2222" t="s">
        <v>427</v>
      </c>
      <c r="B2222" s="1">
        <v>46211</v>
      </c>
      <c r="C2222" t="s">
        <v>430</v>
      </c>
      <c r="D2222">
        <v>2051</v>
      </c>
      <c r="E2222">
        <v>1</v>
      </c>
      <c r="F2222">
        <v>17.2</v>
      </c>
      <c r="G2222" t="s">
        <v>21</v>
      </c>
      <c r="I2222" t="str">
        <f t="shared" si="52"/>
        <v>2051_1</v>
      </c>
      <c r="J2222" t="s">
        <v>428</v>
      </c>
      <c r="K2222" t="s">
        <v>429</v>
      </c>
      <c r="L2222" t="str">
        <f>_xlfn.XLOOKUP(C2222, Table2[Species],Table2[Genus], "Code Not Found")</f>
        <v>Tsuga</v>
      </c>
      <c r="M2222" t="str">
        <f>_xlfn.XLOOKUP(C2222, Table2[Species],Table2[Sp. Name], "Code Not Found")</f>
        <v>canadensis</v>
      </c>
      <c r="N2222" t="str">
        <f>_xlfn.XLOOKUP(C2222,Table2[Species],Table2[Family],"Code Not Found")</f>
        <v>Pinaceae</v>
      </c>
      <c r="O2222" t="str" cm="1">
        <f t="array" ref="O2222">_xlfn.IFS(F2222="","",F2222&lt;=5,"0 to 5",F2222&lt;=10,"5.1 to 10",F2222&lt;=20,"10 to 20", F2222&lt;= 40, "20 to 40", F2222 &lt;= 50, "40 to 50", F2222 &gt; 50, "&gt;50" )</f>
        <v>10 to 20</v>
      </c>
    </row>
    <row r="2223" spans="1:15" ht="15" customHeight="1" x14ac:dyDescent="0.3">
      <c r="A2223" t="s">
        <v>427</v>
      </c>
      <c r="B2223" s="1">
        <v>46211</v>
      </c>
      <c r="C2223" t="s">
        <v>22</v>
      </c>
      <c r="D2223">
        <v>2052</v>
      </c>
      <c r="E2223">
        <v>1</v>
      </c>
      <c r="F2223">
        <v>36.700000000000003</v>
      </c>
      <c r="G2223" t="s">
        <v>21</v>
      </c>
      <c r="I2223" t="str">
        <f t="shared" si="52"/>
        <v>2052_1</v>
      </c>
      <c r="J2223" t="s">
        <v>428</v>
      </c>
      <c r="K2223" t="s">
        <v>429</v>
      </c>
      <c r="L2223" t="str">
        <f>_xlfn.XLOOKUP(C2223, Table2[Species],Table2[Genus], "Code Not Found")</f>
        <v>Acer</v>
      </c>
      <c r="M2223" t="str">
        <f>_xlfn.XLOOKUP(C2223, Table2[Species],Table2[Sp. Name], "Code Not Found")</f>
        <v>rubrum</v>
      </c>
      <c r="N2223" t="str">
        <f>_xlfn.XLOOKUP(C2223,Table2[Species],Table2[Family],"Code Not Found")</f>
        <v>Sapindaceae</v>
      </c>
      <c r="O2223" t="str" cm="1">
        <f t="array" ref="O2223">_xlfn.IFS(F2223="","",F2223&lt;=5,"0 to 5",F2223&lt;=10,"5.1 to 10",F2223&lt;=20,"10 to 20", F2223&lt;= 40, "20 to 40", F2223 &lt;= 50, "40 to 50", F2223 &gt; 50, "&gt;50" )</f>
        <v>20 to 40</v>
      </c>
    </row>
    <row r="2224" spans="1:15" ht="15" customHeight="1" x14ac:dyDescent="0.3">
      <c r="A2224" t="s">
        <v>427</v>
      </c>
      <c r="B2224" s="1">
        <v>46211</v>
      </c>
      <c r="C2224" t="s">
        <v>430</v>
      </c>
      <c r="D2224">
        <v>2053</v>
      </c>
      <c r="E2224">
        <v>1</v>
      </c>
      <c r="F2224">
        <v>30</v>
      </c>
      <c r="G2224" t="s">
        <v>17</v>
      </c>
      <c r="I2224" t="str">
        <f t="shared" si="52"/>
        <v>2053_1</v>
      </c>
      <c r="J2224" t="s">
        <v>428</v>
      </c>
      <c r="K2224" t="s">
        <v>429</v>
      </c>
      <c r="L2224" t="str">
        <f>_xlfn.XLOOKUP(C2224, Table2[Species],Table2[Genus], "Code Not Found")</f>
        <v>Tsuga</v>
      </c>
      <c r="M2224" t="str">
        <f>_xlfn.XLOOKUP(C2224, Table2[Species],Table2[Sp. Name], "Code Not Found")</f>
        <v>canadensis</v>
      </c>
      <c r="N2224" t="str">
        <f>_xlfn.XLOOKUP(C2224,Table2[Species],Table2[Family],"Code Not Found")</f>
        <v>Pinaceae</v>
      </c>
      <c r="O2224" t="str" cm="1">
        <f t="array" ref="O2224">_xlfn.IFS(F2224="","",F2224&lt;=5,"0 to 5",F2224&lt;=10,"5.1 to 10",F2224&lt;=20,"10 to 20", F2224&lt;= 40, "20 to 40", F2224 &lt;= 50, "40 to 50", F2224 &gt; 50, "&gt;50" )</f>
        <v>20 to 40</v>
      </c>
    </row>
    <row r="2225" spans="1:15" ht="15" customHeight="1" x14ac:dyDescent="0.3">
      <c r="A2225" t="s">
        <v>427</v>
      </c>
      <c r="B2225" s="1">
        <v>46211</v>
      </c>
      <c r="C2225" t="s">
        <v>22</v>
      </c>
      <c r="D2225">
        <v>2054</v>
      </c>
      <c r="E2225">
        <v>1</v>
      </c>
      <c r="F2225">
        <v>56.6</v>
      </c>
      <c r="G2225" t="s">
        <v>21</v>
      </c>
      <c r="I2225" t="str">
        <f t="shared" si="52"/>
        <v>2054_1</v>
      </c>
      <c r="J2225" t="s">
        <v>428</v>
      </c>
      <c r="K2225" t="s">
        <v>429</v>
      </c>
      <c r="L2225" t="str">
        <f>_xlfn.XLOOKUP(C2225, Table2[Species],Table2[Genus], "Code Not Found")</f>
        <v>Acer</v>
      </c>
      <c r="M2225" t="str">
        <f>_xlfn.XLOOKUP(C2225, Table2[Species],Table2[Sp. Name], "Code Not Found")</f>
        <v>rubrum</v>
      </c>
      <c r="N2225" t="str">
        <f>_xlfn.XLOOKUP(C2225,Table2[Species],Table2[Family],"Code Not Found")</f>
        <v>Sapindaceae</v>
      </c>
      <c r="O2225" t="str" cm="1">
        <f t="array" ref="O2225">_xlfn.IFS(F2225="","",F2225&lt;=5,"0 to 5",F2225&lt;=10,"5.1 to 10",F2225&lt;=20,"10 to 20", F2225&lt;= 40, "20 to 40", F2225 &lt;= 50, "40 to 50", F2225 &gt; 50, "&gt;50" )</f>
        <v>&gt;50</v>
      </c>
    </row>
    <row r="2226" spans="1:15" ht="15" customHeight="1" x14ac:dyDescent="0.3">
      <c r="A2226" t="s">
        <v>427</v>
      </c>
      <c r="B2226" s="1">
        <v>46211</v>
      </c>
      <c r="C2226" t="s">
        <v>430</v>
      </c>
      <c r="D2226">
        <v>2055</v>
      </c>
      <c r="E2226">
        <v>1</v>
      </c>
      <c r="F2226">
        <v>15.8</v>
      </c>
      <c r="G2226" t="s">
        <v>17</v>
      </c>
      <c r="I2226" t="str">
        <f t="shared" si="52"/>
        <v>2055_1</v>
      </c>
      <c r="J2226" t="s">
        <v>428</v>
      </c>
      <c r="K2226" t="s">
        <v>429</v>
      </c>
      <c r="L2226" t="str">
        <f>_xlfn.XLOOKUP(C2226, Table2[Species],Table2[Genus], "Code Not Found")</f>
        <v>Tsuga</v>
      </c>
      <c r="M2226" t="str">
        <f>_xlfn.XLOOKUP(C2226, Table2[Species],Table2[Sp. Name], "Code Not Found")</f>
        <v>canadensis</v>
      </c>
      <c r="N2226" t="str">
        <f>_xlfn.XLOOKUP(C2226,Table2[Species],Table2[Family],"Code Not Found")</f>
        <v>Pinaceae</v>
      </c>
      <c r="O2226" t="str" cm="1">
        <f t="array" ref="O2226">_xlfn.IFS(F2226="","",F2226&lt;=5,"0 to 5",F2226&lt;=10,"5.1 to 10",F2226&lt;=20,"10 to 20", F2226&lt;= 40, "20 to 40", F2226 &lt;= 50, "40 to 50", F2226 &gt; 50, "&gt;50" )</f>
        <v>10 to 20</v>
      </c>
    </row>
    <row r="2227" spans="1:15" ht="15" customHeight="1" x14ac:dyDescent="0.3">
      <c r="A2227" t="s">
        <v>427</v>
      </c>
      <c r="B2227" s="1">
        <v>46211</v>
      </c>
      <c r="C2227" t="s">
        <v>22</v>
      </c>
      <c r="D2227">
        <v>2056</v>
      </c>
      <c r="E2227">
        <v>1</v>
      </c>
      <c r="F2227">
        <v>35.9</v>
      </c>
      <c r="G2227" t="s">
        <v>56</v>
      </c>
      <c r="H2227" t="s">
        <v>486</v>
      </c>
      <c r="I2227" t="str">
        <f t="shared" si="52"/>
        <v>2056_1</v>
      </c>
      <c r="J2227" t="s">
        <v>428</v>
      </c>
      <c r="K2227" t="s">
        <v>429</v>
      </c>
      <c r="L2227" t="str">
        <f>_xlfn.XLOOKUP(C2227, Table2[Species],Table2[Genus], "Code Not Found")</f>
        <v>Acer</v>
      </c>
      <c r="M2227" t="str">
        <f>_xlfn.XLOOKUP(C2227, Table2[Species],Table2[Sp. Name], "Code Not Found")</f>
        <v>rubrum</v>
      </c>
      <c r="N2227" t="str">
        <f>_xlfn.XLOOKUP(C2227,Table2[Species],Table2[Family],"Code Not Found")</f>
        <v>Sapindaceae</v>
      </c>
      <c r="O2227" t="str" cm="1">
        <f t="array" ref="O2227">_xlfn.IFS(F2227="","",F2227&lt;=5,"0 to 5",F2227&lt;=10,"5.1 to 10",F2227&lt;=20,"10 to 20", F2227&lt;= 40, "20 to 40", F2227 &lt;= 50, "40 to 50", F2227 &gt; 50, "&gt;50" )</f>
        <v>20 to 40</v>
      </c>
    </row>
    <row r="2228" spans="1:15" ht="15" customHeight="1" x14ac:dyDescent="0.3">
      <c r="A2228" t="s">
        <v>427</v>
      </c>
      <c r="B2228" s="1">
        <v>46211</v>
      </c>
      <c r="C2228" t="s">
        <v>430</v>
      </c>
      <c r="D2228">
        <v>2057</v>
      </c>
      <c r="E2228">
        <v>1</v>
      </c>
      <c r="F2228">
        <v>18</v>
      </c>
      <c r="G2228" t="s">
        <v>17</v>
      </c>
      <c r="H2228" t="s">
        <v>487</v>
      </c>
      <c r="I2228" t="str">
        <f t="shared" si="52"/>
        <v>2057_1</v>
      </c>
      <c r="J2228" t="s">
        <v>428</v>
      </c>
      <c r="K2228" t="s">
        <v>429</v>
      </c>
      <c r="L2228" t="str">
        <f>_xlfn.XLOOKUP(C2228, Table2[Species],Table2[Genus], "Code Not Found")</f>
        <v>Tsuga</v>
      </c>
      <c r="M2228" t="str">
        <f>_xlfn.XLOOKUP(C2228, Table2[Species],Table2[Sp. Name], "Code Not Found")</f>
        <v>canadensis</v>
      </c>
      <c r="N2228" t="str">
        <f>_xlfn.XLOOKUP(C2228,Table2[Species],Table2[Family],"Code Not Found")</f>
        <v>Pinaceae</v>
      </c>
      <c r="O2228" t="str" cm="1">
        <f t="array" ref="O2228">_xlfn.IFS(F2228="","",F2228&lt;=5,"0 to 5",F2228&lt;=10,"5.1 to 10",F2228&lt;=20,"10 to 20", F2228&lt;= 40, "20 to 40", F2228 &lt;= 50, "40 to 50", F2228 &gt; 50, "&gt;50" )</f>
        <v>10 to 20</v>
      </c>
    </row>
    <row r="2229" spans="1:15" ht="15" customHeight="1" x14ac:dyDescent="0.3">
      <c r="A2229" t="s">
        <v>427</v>
      </c>
      <c r="B2229" s="1">
        <v>46211</v>
      </c>
      <c r="C2229" t="s">
        <v>64</v>
      </c>
      <c r="D2229">
        <v>2058</v>
      </c>
      <c r="E2229">
        <v>1</v>
      </c>
      <c r="F2229">
        <v>4.5999999999999996</v>
      </c>
      <c r="G2229" t="s">
        <v>17</v>
      </c>
      <c r="H2229" t="s">
        <v>488</v>
      </c>
      <c r="I2229" t="str">
        <f t="shared" si="52"/>
        <v>2058_1</v>
      </c>
      <c r="J2229" t="s">
        <v>428</v>
      </c>
      <c r="K2229" t="s">
        <v>429</v>
      </c>
      <c r="L2229" t="str">
        <f>_xlfn.XLOOKUP(C2229, Table2[Species],Table2[Genus], "Code Not Found")</f>
        <v>Fagus</v>
      </c>
      <c r="M2229" t="str">
        <f>_xlfn.XLOOKUP(C2229, Table2[Species],Table2[Sp. Name], "Code Not Found")</f>
        <v>grandifolia</v>
      </c>
      <c r="N2229" t="str">
        <f>_xlfn.XLOOKUP(C2229,Table2[Species],Table2[Family],"Code Not Found")</f>
        <v>Fagaceae</v>
      </c>
      <c r="O2229" t="str" cm="1">
        <f t="array" ref="O2229">_xlfn.IFS(F2229="","",F2229&lt;=5,"0 to 5",F2229&lt;=10,"5.1 to 10",F2229&lt;=20,"10 to 20", F2229&lt;= 40, "20 to 40", F2229 &lt;= 50, "40 to 50", F2229 &gt; 50, "&gt;50" )</f>
        <v>0 to 5</v>
      </c>
    </row>
    <row r="2230" spans="1:15" ht="15" customHeight="1" x14ac:dyDescent="0.3">
      <c r="A2230" t="s">
        <v>427</v>
      </c>
      <c r="B2230" s="1">
        <v>46211</v>
      </c>
      <c r="C2230" t="s">
        <v>64</v>
      </c>
      <c r="D2230">
        <v>2059</v>
      </c>
      <c r="E2230">
        <v>1</v>
      </c>
      <c r="F2230">
        <v>2.4</v>
      </c>
      <c r="G2230" t="s">
        <v>47</v>
      </c>
      <c r="H2230" t="s">
        <v>296</v>
      </c>
      <c r="I2230" t="str">
        <f t="shared" si="52"/>
        <v>2059_1</v>
      </c>
      <c r="J2230" t="s">
        <v>428</v>
      </c>
      <c r="K2230" t="s">
        <v>429</v>
      </c>
      <c r="L2230" t="str">
        <f>_xlfn.XLOOKUP(C2230, Table2[Species],Table2[Genus], "Code Not Found")</f>
        <v>Fagus</v>
      </c>
      <c r="M2230" t="str">
        <f>_xlfn.XLOOKUP(C2230, Table2[Species],Table2[Sp. Name], "Code Not Found")</f>
        <v>grandifolia</v>
      </c>
      <c r="N2230" t="str">
        <f>_xlfn.XLOOKUP(C2230,Table2[Species],Table2[Family],"Code Not Found")</f>
        <v>Fagaceae</v>
      </c>
      <c r="O2230" t="str" cm="1">
        <f t="array" ref="O2230">_xlfn.IFS(F2230="","",F2230&lt;=5,"0 to 5",F2230&lt;=10,"5.1 to 10",F2230&lt;=20,"10 to 20", F2230&lt;= 40, "20 to 40", F2230 &lt;= 50, "40 to 50", F2230 &gt; 50, "&gt;50" )</f>
        <v>0 to 5</v>
      </c>
    </row>
    <row r="2231" spans="1:15" ht="15" customHeight="1" x14ac:dyDescent="0.3">
      <c r="A2231" t="s">
        <v>427</v>
      </c>
      <c r="B2231" s="1">
        <v>46211</v>
      </c>
      <c r="C2231" t="s">
        <v>64</v>
      </c>
      <c r="D2231">
        <v>2060</v>
      </c>
      <c r="E2231">
        <v>1</v>
      </c>
      <c r="F2231">
        <v>1.5</v>
      </c>
      <c r="G2231" t="s">
        <v>38</v>
      </c>
      <c r="H2231" t="s">
        <v>489</v>
      </c>
      <c r="I2231" t="str">
        <f t="shared" si="52"/>
        <v>2060_1</v>
      </c>
      <c r="J2231" t="s">
        <v>428</v>
      </c>
      <c r="K2231" t="s">
        <v>429</v>
      </c>
      <c r="L2231" t="str">
        <f>_xlfn.XLOOKUP(C2231, Table2[Species],Table2[Genus], "Code Not Found")</f>
        <v>Fagus</v>
      </c>
      <c r="M2231" t="str">
        <f>_xlfn.XLOOKUP(C2231, Table2[Species],Table2[Sp. Name], "Code Not Found")</f>
        <v>grandifolia</v>
      </c>
      <c r="N2231" t="str">
        <f>_xlfn.XLOOKUP(C2231,Table2[Species],Table2[Family],"Code Not Found")</f>
        <v>Fagaceae</v>
      </c>
      <c r="O2231" t="str" cm="1">
        <f t="array" ref="O2231">_xlfn.IFS(F2231="","",F2231&lt;=5,"0 to 5",F2231&lt;=10,"5.1 to 10",F2231&lt;=20,"10 to 20", F2231&lt;= 40, "20 to 40", F2231 &lt;= 50, "40 to 50", F2231 &gt; 50, "&gt;50" )</f>
        <v>0 to 5</v>
      </c>
    </row>
    <row r="2232" spans="1:15" ht="15" customHeight="1" x14ac:dyDescent="0.3">
      <c r="A2232" t="s">
        <v>427</v>
      </c>
      <c r="B2232" s="1">
        <v>46211</v>
      </c>
      <c r="C2232" t="s">
        <v>64</v>
      </c>
      <c r="D2232">
        <v>2061</v>
      </c>
      <c r="E2232">
        <v>1</v>
      </c>
      <c r="F2232">
        <v>3.1</v>
      </c>
      <c r="G2232" t="s">
        <v>47</v>
      </c>
      <c r="H2232" t="s">
        <v>467</v>
      </c>
      <c r="I2232" t="str">
        <f t="shared" si="52"/>
        <v>2061_1</v>
      </c>
      <c r="J2232" t="s">
        <v>428</v>
      </c>
      <c r="K2232" t="s">
        <v>429</v>
      </c>
      <c r="L2232" t="str">
        <f>_xlfn.XLOOKUP(C2232, Table2[Species],Table2[Genus], "Code Not Found")</f>
        <v>Fagus</v>
      </c>
      <c r="M2232" t="str">
        <f>_xlfn.XLOOKUP(C2232, Table2[Species],Table2[Sp. Name], "Code Not Found")</f>
        <v>grandifolia</v>
      </c>
      <c r="N2232" t="str">
        <f>_xlfn.XLOOKUP(C2232,Table2[Species],Table2[Family],"Code Not Found")</f>
        <v>Fagaceae</v>
      </c>
      <c r="O2232" t="str" cm="1">
        <f t="array" ref="O2232">_xlfn.IFS(F2232="","",F2232&lt;=5,"0 to 5",F2232&lt;=10,"5.1 to 10",F2232&lt;=20,"10 to 20", F2232&lt;= 40, "20 to 40", F2232 &lt;= 50, "40 to 50", F2232 &gt; 50, "&gt;50" )</f>
        <v>0 to 5</v>
      </c>
    </row>
    <row r="2233" spans="1:15" ht="15" customHeight="1" x14ac:dyDescent="0.3">
      <c r="A2233" t="s">
        <v>427</v>
      </c>
      <c r="B2233" s="1">
        <v>46211</v>
      </c>
      <c r="C2233" t="s">
        <v>64</v>
      </c>
      <c r="D2233">
        <v>2062</v>
      </c>
      <c r="E2233">
        <v>1</v>
      </c>
      <c r="F2233">
        <v>5.5</v>
      </c>
      <c r="G2233" t="s">
        <v>17</v>
      </c>
      <c r="I2233" t="str">
        <f t="shared" si="52"/>
        <v>2062_1</v>
      </c>
      <c r="J2233" t="s">
        <v>428</v>
      </c>
      <c r="K2233" t="s">
        <v>429</v>
      </c>
      <c r="L2233" t="str">
        <f>_xlfn.XLOOKUP(C2233, Table2[Species],Table2[Genus], "Code Not Found")</f>
        <v>Fagus</v>
      </c>
      <c r="M2233" t="str">
        <f>_xlfn.XLOOKUP(C2233, Table2[Species],Table2[Sp. Name], "Code Not Found")</f>
        <v>grandifolia</v>
      </c>
      <c r="N2233" t="str">
        <f>_xlfn.XLOOKUP(C2233,Table2[Species],Table2[Family],"Code Not Found")</f>
        <v>Fagaceae</v>
      </c>
      <c r="O2233" t="str" cm="1">
        <f t="array" ref="O2233">_xlfn.IFS(F2233="","",F2233&lt;=5,"0 to 5",F2233&lt;=10,"5.1 to 10",F2233&lt;=20,"10 to 20", F2233&lt;= 40, "20 to 40", F2233 &lt;= 50, "40 to 50", F2233 &gt; 50, "&gt;50" )</f>
        <v>5.1 to 10</v>
      </c>
    </row>
    <row r="2234" spans="1:15" ht="15" customHeight="1" x14ac:dyDescent="0.3">
      <c r="A2234" t="s">
        <v>427</v>
      </c>
      <c r="B2234" s="1">
        <v>46211</v>
      </c>
      <c r="C2234" t="s">
        <v>64</v>
      </c>
      <c r="D2234">
        <v>2063</v>
      </c>
      <c r="E2234">
        <v>1</v>
      </c>
      <c r="F2234">
        <v>17</v>
      </c>
      <c r="G2234" t="s">
        <v>490</v>
      </c>
      <c r="H2234" t="s">
        <v>491</v>
      </c>
      <c r="I2234" t="str">
        <f t="shared" si="52"/>
        <v>2063_1</v>
      </c>
      <c r="J2234" t="s">
        <v>428</v>
      </c>
      <c r="K2234" t="s">
        <v>429</v>
      </c>
      <c r="L2234" t="str">
        <f>_xlfn.XLOOKUP(C2234, Table2[Species],Table2[Genus], "Code Not Found")</f>
        <v>Fagus</v>
      </c>
      <c r="M2234" t="str">
        <f>_xlfn.XLOOKUP(C2234, Table2[Species],Table2[Sp. Name], "Code Not Found")</f>
        <v>grandifolia</v>
      </c>
      <c r="N2234" t="str">
        <f>_xlfn.XLOOKUP(C2234,Table2[Species],Table2[Family],"Code Not Found")</f>
        <v>Fagaceae</v>
      </c>
      <c r="O2234" t="str" cm="1">
        <f t="array" ref="O2234">_xlfn.IFS(F2234="","",F2234&lt;=5,"0 to 5",F2234&lt;=10,"5.1 to 10",F2234&lt;=20,"10 to 20", F2234&lt;= 40, "20 to 40", F2234 &lt;= 50, "40 to 50", F2234 &gt; 50, "&gt;50" )</f>
        <v>10 to 20</v>
      </c>
    </row>
    <row r="2235" spans="1:15" ht="15" customHeight="1" x14ac:dyDescent="0.3">
      <c r="A2235" t="s">
        <v>427</v>
      </c>
      <c r="B2235" s="1">
        <v>46211</v>
      </c>
      <c r="C2235" t="s">
        <v>64</v>
      </c>
      <c r="D2235">
        <v>2064</v>
      </c>
      <c r="E2235">
        <v>1</v>
      </c>
      <c r="F2235">
        <v>3.2</v>
      </c>
      <c r="G2235" t="s">
        <v>17</v>
      </c>
      <c r="I2235" t="str">
        <f t="shared" si="52"/>
        <v>2064_1</v>
      </c>
      <c r="J2235" t="s">
        <v>428</v>
      </c>
      <c r="K2235" t="s">
        <v>429</v>
      </c>
      <c r="L2235" t="str">
        <f>_xlfn.XLOOKUP(C2235, Table2[Species],Table2[Genus], "Code Not Found")</f>
        <v>Fagus</v>
      </c>
      <c r="M2235" t="str">
        <f>_xlfn.XLOOKUP(C2235, Table2[Species],Table2[Sp. Name], "Code Not Found")</f>
        <v>grandifolia</v>
      </c>
      <c r="N2235" t="str">
        <f>_xlfn.XLOOKUP(C2235,Table2[Species],Table2[Family],"Code Not Found")</f>
        <v>Fagaceae</v>
      </c>
      <c r="O2235" t="str" cm="1">
        <f t="array" ref="O2235">_xlfn.IFS(F2235="","",F2235&lt;=5,"0 to 5",F2235&lt;=10,"5.1 to 10",F2235&lt;=20,"10 to 20", F2235&lt;= 40, "20 to 40", F2235 &lt;= 50, "40 to 50", F2235 &gt; 50, "&gt;50" )</f>
        <v>0 to 5</v>
      </c>
    </row>
    <row r="2236" spans="1:15" ht="15" customHeight="1" x14ac:dyDescent="0.3">
      <c r="A2236" t="s">
        <v>427</v>
      </c>
      <c r="B2236" s="1">
        <v>46211</v>
      </c>
      <c r="C2236" t="s">
        <v>64</v>
      </c>
      <c r="D2236">
        <v>2065</v>
      </c>
      <c r="E2236">
        <v>1</v>
      </c>
      <c r="F2236">
        <v>71.8</v>
      </c>
      <c r="G2236" t="s">
        <v>32</v>
      </c>
      <c r="I2236" t="str">
        <f t="shared" si="52"/>
        <v>2065_1</v>
      </c>
      <c r="J2236" t="s">
        <v>428</v>
      </c>
      <c r="K2236" t="s">
        <v>429</v>
      </c>
      <c r="L2236" t="str">
        <f>_xlfn.XLOOKUP(C2236, Table2[Species],Table2[Genus], "Code Not Found")</f>
        <v>Fagus</v>
      </c>
      <c r="M2236" t="str">
        <f>_xlfn.XLOOKUP(C2236, Table2[Species],Table2[Sp. Name], "Code Not Found")</f>
        <v>grandifolia</v>
      </c>
      <c r="N2236" t="str">
        <f>_xlfn.XLOOKUP(C2236,Table2[Species],Table2[Family],"Code Not Found")</f>
        <v>Fagaceae</v>
      </c>
      <c r="O2236" t="str" cm="1">
        <f t="array" ref="O2236">_xlfn.IFS(F2236="","",F2236&lt;=5,"0 to 5",F2236&lt;=10,"5.1 to 10",F2236&lt;=20,"10 to 20", F2236&lt;= 40, "20 to 40", F2236 &lt;= 50, "40 to 50", F2236 &gt; 50, "&gt;50" )</f>
        <v>&gt;50</v>
      </c>
    </row>
    <row r="2237" spans="1:15" ht="15" customHeight="1" x14ac:dyDescent="0.3">
      <c r="A2237" t="s">
        <v>427</v>
      </c>
      <c r="B2237" s="1">
        <v>46211</v>
      </c>
      <c r="C2237" t="s">
        <v>64</v>
      </c>
      <c r="D2237">
        <v>2065</v>
      </c>
      <c r="E2237">
        <v>2</v>
      </c>
      <c r="F2237">
        <v>6.8</v>
      </c>
      <c r="G2237" t="s">
        <v>476</v>
      </c>
      <c r="H2237" t="s">
        <v>492</v>
      </c>
      <c r="I2237" t="str">
        <f t="shared" si="52"/>
        <v>2065_2</v>
      </c>
      <c r="J2237" t="s">
        <v>428</v>
      </c>
      <c r="K2237" t="s">
        <v>429</v>
      </c>
      <c r="L2237" t="str">
        <f>_xlfn.XLOOKUP(C2237, Table2[Species],Table2[Genus], "Code Not Found")</f>
        <v>Fagus</v>
      </c>
      <c r="M2237" t="str">
        <f>_xlfn.XLOOKUP(C2237, Table2[Species],Table2[Sp. Name], "Code Not Found")</f>
        <v>grandifolia</v>
      </c>
      <c r="N2237" t="str">
        <f>_xlfn.XLOOKUP(C2237,Table2[Species],Table2[Family],"Code Not Found")</f>
        <v>Fagaceae</v>
      </c>
      <c r="O2237" t="str" cm="1">
        <f t="array" ref="O2237">_xlfn.IFS(F2237="","",F2237&lt;=5,"0 to 5",F2237&lt;=10,"5.1 to 10",F2237&lt;=20,"10 to 20", F2237&lt;= 40, "20 to 40", F2237 &lt;= 50, "40 to 50", F2237 &gt; 50, "&gt;50" )</f>
        <v>5.1 to 10</v>
      </c>
    </row>
    <row r="2238" spans="1:15" ht="15" customHeight="1" x14ac:dyDescent="0.3">
      <c r="A2238" t="s">
        <v>427</v>
      </c>
      <c r="B2238" s="1">
        <v>46211</v>
      </c>
      <c r="C2238" t="s">
        <v>64</v>
      </c>
      <c r="D2238">
        <v>2065</v>
      </c>
      <c r="E2238">
        <v>3</v>
      </c>
      <c r="F2238">
        <v>5.4</v>
      </c>
      <c r="G2238" t="s">
        <v>463</v>
      </c>
      <c r="H2238" t="s">
        <v>435</v>
      </c>
      <c r="I2238" t="str">
        <f t="shared" si="52"/>
        <v>2065_3</v>
      </c>
      <c r="J2238" t="s">
        <v>428</v>
      </c>
      <c r="K2238" t="s">
        <v>429</v>
      </c>
      <c r="L2238" t="str">
        <f>_xlfn.XLOOKUP(C2238, Table2[Species],Table2[Genus], "Code Not Found")</f>
        <v>Fagus</v>
      </c>
      <c r="M2238" t="str">
        <f>_xlfn.XLOOKUP(C2238, Table2[Species],Table2[Sp. Name], "Code Not Found")</f>
        <v>grandifolia</v>
      </c>
      <c r="N2238" t="str">
        <f>_xlfn.XLOOKUP(C2238,Table2[Species],Table2[Family],"Code Not Found")</f>
        <v>Fagaceae</v>
      </c>
      <c r="O2238" t="str" cm="1">
        <f t="array" ref="O2238">_xlfn.IFS(F2238="","",F2238&lt;=5,"0 to 5",F2238&lt;=10,"5.1 to 10",F2238&lt;=20,"10 to 20", F2238&lt;= 40, "20 to 40", F2238 &lt;= 50, "40 to 50", F2238 &gt; 50, "&gt;50" )</f>
        <v>5.1 to 10</v>
      </c>
    </row>
    <row r="2239" spans="1:15" ht="15" customHeight="1" x14ac:dyDescent="0.3">
      <c r="A2239" t="s">
        <v>427</v>
      </c>
      <c r="B2239" s="1">
        <v>46211</v>
      </c>
      <c r="C2239" t="s">
        <v>64</v>
      </c>
      <c r="D2239">
        <v>2065</v>
      </c>
      <c r="E2239">
        <v>4</v>
      </c>
      <c r="F2239">
        <v>3.5</v>
      </c>
      <c r="G2239" t="s">
        <v>461</v>
      </c>
      <c r="H2239" t="s">
        <v>493</v>
      </c>
      <c r="I2239" t="str">
        <f t="shared" ref="I2239:I2302" si="53">D2239&amp;"_"&amp;E2239</f>
        <v>2065_4</v>
      </c>
      <c r="J2239" t="s">
        <v>428</v>
      </c>
      <c r="K2239" t="s">
        <v>429</v>
      </c>
      <c r="L2239" t="str">
        <f>_xlfn.XLOOKUP(C2239, Table2[Species],Table2[Genus], "Code Not Found")</f>
        <v>Fagus</v>
      </c>
      <c r="M2239" t="str">
        <f>_xlfn.XLOOKUP(C2239, Table2[Species],Table2[Sp. Name], "Code Not Found")</f>
        <v>grandifolia</v>
      </c>
      <c r="N2239" t="str">
        <f>_xlfn.XLOOKUP(C2239,Table2[Species],Table2[Family],"Code Not Found")</f>
        <v>Fagaceae</v>
      </c>
      <c r="O2239" t="str" cm="1">
        <f t="array" ref="O2239">_xlfn.IFS(F2239="","",F2239&lt;=5,"0 to 5",F2239&lt;=10,"5.1 to 10",F2239&lt;=20,"10 to 20", F2239&lt;= 40, "20 to 40", F2239 &lt;= 50, "40 to 50", F2239 &gt; 50, "&gt;50" )</f>
        <v>0 to 5</v>
      </c>
    </row>
    <row r="2240" spans="1:15" ht="15" customHeight="1" x14ac:dyDescent="0.3">
      <c r="A2240" t="s">
        <v>427</v>
      </c>
      <c r="B2240" s="1">
        <v>46211</v>
      </c>
      <c r="C2240" t="s">
        <v>64</v>
      </c>
      <c r="D2240">
        <v>2065</v>
      </c>
      <c r="E2240">
        <v>5</v>
      </c>
      <c r="F2240">
        <v>2.7</v>
      </c>
      <c r="G2240" t="s">
        <v>494</v>
      </c>
      <c r="H2240" t="s">
        <v>492</v>
      </c>
      <c r="I2240" t="str">
        <f t="shared" si="53"/>
        <v>2065_5</v>
      </c>
      <c r="J2240" t="s">
        <v>428</v>
      </c>
      <c r="K2240" t="s">
        <v>429</v>
      </c>
      <c r="L2240" t="str">
        <f>_xlfn.XLOOKUP(C2240, Table2[Species],Table2[Genus], "Code Not Found")</f>
        <v>Fagus</v>
      </c>
      <c r="M2240" t="str">
        <f>_xlfn.XLOOKUP(C2240, Table2[Species],Table2[Sp. Name], "Code Not Found")</f>
        <v>grandifolia</v>
      </c>
      <c r="N2240" t="str">
        <f>_xlfn.XLOOKUP(C2240,Table2[Species],Table2[Family],"Code Not Found")</f>
        <v>Fagaceae</v>
      </c>
      <c r="O2240" t="str" cm="1">
        <f t="array" ref="O2240">_xlfn.IFS(F2240="","",F2240&lt;=5,"0 to 5",F2240&lt;=10,"5.1 to 10",F2240&lt;=20,"10 to 20", F2240&lt;= 40, "20 to 40", F2240 &lt;= 50, "40 to 50", F2240 &gt; 50, "&gt;50" )</f>
        <v>0 to 5</v>
      </c>
    </row>
    <row r="2241" spans="1:15" ht="15" customHeight="1" x14ac:dyDescent="0.3">
      <c r="A2241" t="s">
        <v>427</v>
      </c>
      <c r="B2241" s="1">
        <v>46211</v>
      </c>
      <c r="C2241" t="s">
        <v>64</v>
      </c>
      <c r="D2241">
        <v>2065</v>
      </c>
      <c r="E2241">
        <v>6</v>
      </c>
      <c r="F2241">
        <v>6.8</v>
      </c>
      <c r="G2241" t="s">
        <v>461</v>
      </c>
      <c r="H2241" t="s">
        <v>36</v>
      </c>
      <c r="I2241" t="str">
        <f t="shared" si="53"/>
        <v>2065_6</v>
      </c>
      <c r="J2241" t="s">
        <v>428</v>
      </c>
      <c r="K2241" t="s">
        <v>429</v>
      </c>
      <c r="L2241" t="str">
        <f>_xlfn.XLOOKUP(C2241, Table2[Species],Table2[Genus], "Code Not Found")</f>
        <v>Fagus</v>
      </c>
      <c r="M2241" t="str">
        <f>_xlfn.XLOOKUP(C2241, Table2[Species],Table2[Sp. Name], "Code Not Found")</f>
        <v>grandifolia</v>
      </c>
      <c r="N2241" t="str">
        <f>_xlfn.XLOOKUP(C2241,Table2[Species],Table2[Family],"Code Not Found")</f>
        <v>Fagaceae</v>
      </c>
      <c r="O2241" t="str" cm="1">
        <f t="array" ref="O2241">_xlfn.IFS(F2241="","",F2241&lt;=5,"0 to 5",F2241&lt;=10,"5.1 to 10",F2241&lt;=20,"10 to 20", F2241&lt;= 40, "20 to 40", F2241 &lt;= 50, "40 to 50", F2241 &gt; 50, "&gt;50" )</f>
        <v>5.1 to 10</v>
      </c>
    </row>
    <row r="2242" spans="1:15" ht="15" customHeight="1" x14ac:dyDescent="0.3">
      <c r="A2242" t="s">
        <v>427</v>
      </c>
      <c r="B2242" s="1">
        <v>46211</v>
      </c>
      <c r="C2242" t="s">
        <v>64</v>
      </c>
      <c r="D2242">
        <v>2066</v>
      </c>
      <c r="E2242">
        <v>1</v>
      </c>
      <c r="F2242">
        <v>3.7</v>
      </c>
      <c r="G2242" t="s">
        <v>21</v>
      </c>
      <c r="H2242" t="s">
        <v>495</v>
      </c>
      <c r="I2242" t="str">
        <f t="shared" si="53"/>
        <v>2066_1</v>
      </c>
      <c r="J2242" t="s">
        <v>428</v>
      </c>
      <c r="K2242" t="s">
        <v>429</v>
      </c>
      <c r="L2242" t="str">
        <f>_xlfn.XLOOKUP(C2242, Table2[Species],Table2[Genus], "Code Not Found")</f>
        <v>Fagus</v>
      </c>
      <c r="M2242" t="str">
        <f>_xlfn.XLOOKUP(C2242, Table2[Species],Table2[Sp. Name], "Code Not Found")</f>
        <v>grandifolia</v>
      </c>
      <c r="N2242" t="str">
        <f>_xlfn.XLOOKUP(C2242,Table2[Species],Table2[Family],"Code Not Found")</f>
        <v>Fagaceae</v>
      </c>
      <c r="O2242" t="str" cm="1">
        <f t="array" ref="O2242">_xlfn.IFS(F2242="","",F2242&lt;=5,"0 to 5",F2242&lt;=10,"5.1 to 10",F2242&lt;=20,"10 to 20", F2242&lt;= 40, "20 to 40", F2242 &lt;= 50, "40 to 50", F2242 &gt; 50, "&gt;50" )</f>
        <v>0 to 5</v>
      </c>
    </row>
    <row r="2243" spans="1:15" ht="15" customHeight="1" x14ac:dyDescent="0.3">
      <c r="A2243" t="s">
        <v>427</v>
      </c>
      <c r="B2243" s="1">
        <v>46211</v>
      </c>
      <c r="C2243" t="s">
        <v>22</v>
      </c>
      <c r="D2243">
        <v>2067</v>
      </c>
      <c r="E2243">
        <v>1</v>
      </c>
      <c r="F2243">
        <v>12.6</v>
      </c>
      <c r="G2243" t="s">
        <v>21</v>
      </c>
      <c r="I2243" t="str">
        <f t="shared" si="53"/>
        <v>2067_1</v>
      </c>
      <c r="J2243" t="s">
        <v>428</v>
      </c>
      <c r="K2243" t="s">
        <v>429</v>
      </c>
      <c r="L2243" t="str">
        <f>_xlfn.XLOOKUP(C2243, Table2[Species],Table2[Genus], "Code Not Found")</f>
        <v>Acer</v>
      </c>
      <c r="M2243" t="str">
        <f>_xlfn.XLOOKUP(C2243, Table2[Species],Table2[Sp. Name], "Code Not Found")</f>
        <v>rubrum</v>
      </c>
      <c r="N2243" t="str">
        <f>_xlfn.XLOOKUP(C2243,Table2[Species],Table2[Family],"Code Not Found")</f>
        <v>Sapindaceae</v>
      </c>
      <c r="O2243" t="str" cm="1">
        <f t="array" ref="O2243">_xlfn.IFS(F2243="","",F2243&lt;=5,"0 to 5",F2243&lt;=10,"5.1 to 10",F2243&lt;=20,"10 to 20", F2243&lt;= 40, "20 to 40", F2243 &lt;= 50, "40 to 50", F2243 &gt; 50, "&gt;50" )</f>
        <v>10 to 20</v>
      </c>
    </row>
    <row r="2244" spans="1:15" ht="15" customHeight="1" x14ac:dyDescent="0.3">
      <c r="A2244" t="s">
        <v>427</v>
      </c>
      <c r="B2244" s="1">
        <v>46211</v>
      </c>
      <c r="C2244" t="s">
        <v>64</v>
      </c>
      <c r="D2244">
        <v>2068</v>
      </c>
      <c r="E2244">
        <v>1</v>
      </c>
      <c r="F2244">
        <v>8.6999999999999993</v>
      </c>
      <c r="G2244" t="s">
        <v>47</v>
      </c>
      <c r="I2244" t="str">
        <f t="shared" si="53"/>
        <v>2068_1</v>
      </c>
      <c r="J2244" t="s">
        <v>428</v>
      </c>
      <c r="K2244" t="s">
        <v>429</v>
      </c>
      <c r="L2244" t="str">
        <f>_xlfn.XLOOKUP(C2244, Table2[Species],Table2[Genus], "Code Not Found")</f>
        <v>Fagus</v>
      </c>
      <c r="M2244" t="str">
        <f>_xlfn.XLOOKUP(C2244, Table2[Species],Table2[Sp. Name], "Code Not Found")</f>
        <v>grandifolia</v>
      </c>
      <c r="N2244" t="str">
        <f>_xlfn.XLOOKUP(C2244,Table2[Species],Table2[Family],"Code Not Found")</f>
        <v>Fagaceae</v>
      </c>
      <c r="O2244" t="str" cm="1">
        <f t="array" ref="O2244">_xlfn.IFS(F2244="","",F2244&lt;=5,"0 to 5",F2244&lt;=10,"5.1 to 10",F2244&lt;=20,"10 to 20", F2244&lt;= 40, "20 to 40", F2244 &lt;= 50, "40 to 50", F2244 &gt; 50, "&gt;50" )</f>
        <v>5.1 to 10</v>
      </c>
    </row>
    <row r="2245" spans="1:15" ht="15" customHeight="1" x14ac:dyDescent="0.3">
      <c r="A2245" t="s">
        <v>427</v>
      </c>
      <c r="B2245" s="1">
        <v>46211</v>
      </c>
      <c r="C2245" t="s">
        <v>64</v>
      </c>
      <c r="D2245">
        <v>2069</v>
      </c>
      <c r="E2245">
        <v>1</v>
      </c>
      <c r="F2245">
        <v>7.7</v>
      </c>
      <c r="G2245" t="s">
        <v>21</v>
      </c>
      <c r="I2245" t="str">
        <f t="shared" si="53"/>
        <v>2069_1</v>
      </c>
      <c r="J2245" t="s">
        <v>428</v>
      </c>
      <c r="K2245" t="s">
        <v>429</v>
      </c>
      <c r="L2245" t="str">
        <f>_xlfn.XLOOKUP(C2245, Table2[Species],Table2[Genus], "Code Not Found")</f>
        <v>Fagus</v>
      </c>
      <c r="M2245" t="str">
        <f>_xlfn.XLOOKUP(C2245, Table2[Species],Table2[Sp. Name], "Code Not Found")</f>
        <v>grandifolia</v>
      </c>
      <c r="N2245" t="str">
        <f>_xlfn.XLOOKUP(C2245,Table2[Species],Table2[Family],"Code Not Found")</f>
        <v>Fagaceae</v>
      </c>
      <c r="O2245" t="str" cm="1">
        <f t="array" ref="O2245">_xlfn.IFS(F2245="","",F2245&lt;=5,"0 to 5",F2245&lt;=10,"5.1 to 10",F2245&lt;=20,"10 to 20", F2245&lt;= 40, "20 to 40", F2245 &lt;= 50, "40 to 50", F2245 &gt; 50, "&gt;50" )</f>
        <v>5.1 to 10</v>
      </c>
    </row>
    <row r="2246" spans="1:15" ht="15" customHeight="1" x14ac:dyDescent="0.3">
      <c r="A2246" t="s">
        <v>427</v>
      </c>
      <c r="B2246" s="1">
        <v>46211</v>
      </c>
      <c r="C2246" t="s">
        <v>430</v>
      </c>
      <c r="D2246">
        <v>2070</v>
      </c>
      <c r="E2246">
        <v>1</v>
      </c>
      <c r="F2246">
        <v>29.8</v>
      </c>
      <c r="G2246" t="s">
        <v>17</v>
      </c>
      <c r="I2246" t="str">
        <f t="shared" si="53"/>
        <v>2070_1</v>
      </c>
      <c r="J2246" t="s">
        <v>428</v>
      </c>
      <c r="K2246" t="s">
        <v>429</v>
      </c>
      <c r="L2246" t="str">
        <f>_xlfn.XLOOKUP(C2246, Table2[Species],Table2[Genus], "Code Not Found")</f>
        <v>Tsuga</v>
      </c>
      <c r="M2246" t="str">
        <f>_xlfn.XLOOKUP(C2246, Table2[Species],Table2[Sp. Name], "Code Not Found")</f>
        <v>canadensis</v>
      </c>
      <c r="N2246" t="str">
        <f>_xlfn.XLOOKUP(C2246,Table2[Species],Table2[Family],"Code Not Found")</f>
        <v>Pinaceae</v>
      </c>
      <c r="O2246" t="str" cm="1">
        <f t="array" ref="O2246">_xlfn.IFS(F2246="","",F2246&lt;=5,"0 to 5",F2246&lt;=10,"5.1 to 10",F2246&lt;=20,"10 to 20", F2246&lt;= 40, "20 to 40", F2246 &lt;= 50, "40 to 50", F2246 &gt; 50, "&gt;50" )</f>
        <v>20 to 40</v>
      </c>
    </row>
    <row r="2247" spans="1:15" ht="15" customHeight="1" x14ac:dyDescent="0.3">
      <c r="A2247" t="s">
        <v>427</v>
      </c>
      <c r="B2247" s="1">
        <v>46211</v>
      </c>
      <c r="C2247" t="s">
        <v>430</v>
      </c>
      <c r="D2247">
        <v>2071</v>
      </c>
      <c r="E2247">
        <v>1</v>
      </c>
      <c r="F2247">
        <v>7.2</v>
      </c>
      <c r="G2247" t="s">
        <v>47</v>
      </c>
      <c r="I2247" t="str">
        <f t="shared" si="53"/>
        <v>2071_1</v>
      </c>
      <c r="J2247" t="s">
        <v>428</v>
      </c>
      <c r="K2247" t="s">
        <v>429</v>
      </c>
      <c r="L2247" t="str">
        <f>_xlfn.XLOOKUP(C2247, Table2[Species],Table2[Genus], "Code Not Found")</f>
        <v>Tsuga</v>
      </c>
      <c r="M2247" t="str">
        <f>_xlfn.XLOOKUP(C2247, Table2[Species],Table2[Sp. Name], "Code Not Found")</f>
        <v>canadensis</v>
      </c>
      <c r="N2247" t="str">
        <f>_xlfn.XLOOKUP(C2247,Table2[Species],Table2[Family],"Code Not Found")</f>
        <v>Pinaceae</v>
      </c>
      <c r="O2247" t="str" cm="1">
        <f t="array" ref="O2247">_xlfn.IFS(F2247="","",F2247&lt;=5,"0 to 5",F2247&lt;=10,"5.1 to 10",F2247&lt;=20,"10 to 20", F2247&lt;= 40, "20 to 40", F2247 &lt;= 50, "40 to 50", F2247 &gt; 50, "&gt;50" )</f>
        <v>5.1 to 10</v>
      </c>
    </row>
    <row r="2248" spans="1:15" ht="15" customHeight="1" x14ac:dyDescent="0.3">
      <c r="A2248" t="s">
        <v>427</v>
      </c>
      <c r="B2248" s="1">
        <v>46211</v>
      </c>
      <c r="C2248" t="s">
        <v>16</v>
      </c>
      <c r="D2248">
        <v>2072</v>
      </c>
      <c r="E2248">
        <v>1</v>
      </c>
      <c r="F2248">
        <v>4.2</v>
      </c>
      <c r="G2248" t="s">
        <v>47</v>
      </c>
      <c r="H2248" t="s">
        <v>488</v>
      </c>
      <c r="I2248" t="str">
        <f t="shared" si="53"/>
        <v>2072_1</v>
      </c>
      <c r="J2248" t="s">
        <v>428</v>
      </c>
      <c r="K2248" t="s">
        <v>429</v>
      </c>
      <c r="L2248" t="str">
        <f>_xlfn.XLOOKUP(C2248, Table2[Species],Table2[Genus], "Code Not Found")</f>
        <v>Acer</v>
      </c>
      <c r="M2248" t="str">
        <f>_xlfn.XLOOKUP(C2248, Table2[Species],Table2[Sp. Name], "Code Not Found")</f>
        <v>saccharum</v>
      </c>
      <c r="N2248" t="str">
        <f>_xlfn.XLOOKUP(C2248,Table2[Species],Table2[Family],"Code Not Found")</f>
        <v>Sapindaceae</v>
      </c>
      <c r="O2248" t="str" cm="1">
        <f t="array" ref="O2248">_xlfn.IFS(F2248="","",F2248&lt;=5,"0 to 5",F2248&lt;=10,"5.1 to 10",F2248&lt;=20,"10 to 20", F2248&lt;= 40, "20 to 40", F2248 &lt;= 50, "40 to 50", F2248 &gt; 50, "&gt;50" )</f>
        <v>0 to 5</v>
      </c>
    </row>
    <row r="2249" spans="1:15" ht="15" customHeight="1" x14ac:dyDescent="0.3">
      <c r="A2249" t="s">
        <v>427</v>
      </c>
      <c r="B2249" s="1">
        <v>46211</v>
      </c>
      <c r="C2249" t="s">
        <v>64</v>
      </c>
      <c r="D2249">
        <v>2073</v>
      </c>
      <c r="E2249">
        <v>1</v>
      </c>
      <c r="F2249">
        <v>4</v>
      </c>
      <c r="G2249" t="s">
        <v>17</v>
      </c>
      <c r="I2249" t="str">
        <f t="shared" si="53"/>
        <v>2073_1</v>
      </c>
      <c r="J2249" t="s">
        <v>428</v>
      </c>
      <c r="K2249" t="s">
        <v>429</v>
      </c>
      <c r="L2249" t="str">
        <f>_xlfn.XLOOKUP(C2249, Table2[Species],Table2[Genus], "Code Not Found")</f>
        <v>Fagus</v>
      </c>
      <c r="M2249" t="str">
        <f>_xlfn.XLOOKUP(C2249, Table2[Species],Table2[Sp. Name], "Code Not Found")</f>
        <v>grandifolia</v>
      </c>
      <c r="N2249" t="str">
        <f>_xlfn.XLOOKUP(C2249,Table2[Species],Table2[Family],"Code Not Found")</f>
        <v>Fagaceae</v>
      </c>
      <c r="O2249" t="str" cm="1">
        <f t="array" ref="O2249">_xlfn.IFS(F2249="","",F2249&lt;=5,"0 to 5",F2249&lt;=10,"5.1 to 10",F2249&lt;=20,"10 to 20", F2249&lt;= 40, "20 to 40", F2249 &lt;= 50, "40 to 50", F2249 &gt; 50, "&gt;50" )</f>
        <v>0 to 5</v>
      </c>
    </row>
    <row r="2250" spans="1:15" ht="15" customHeight="1" x14ac:dyDescent="0.3">
      <c r="A2250" t="s">
        <v>427</v>
      </c>
      <c r="B2250" s="1">
        <v>46211</v>
      </c>
      <c r="C2250" t="s">
        <v>430</v>
      </c>
      <c r="D2250">
        <v>2074</v>
      </c>
      <c r="E2250">
        <v>1</v>
      </c>
      <c r="F2250">
        <v>12.3</v>
      </c>
      <c r="G2250" t="s">
        <v>17</v>
      </c>
      <c r="H2250" t="s">
        <v>496</v>
      </c>
      <c r="I2250" t="str">
        <f t="shared" si="53"/>
        <v>2074_1</v>
      </c>
      <c r="J2250" t="s">
        <v>428</v>
      </c>
      <c r="K2250" t="s">
        <v>429</v>
      </c>
      <c r="L2250" t="str">
        <f>_xlfn.XLOOKUP(C2250, Table2[Species],Table2[Genus], "Code Not Found")</f>
        <v>Tsuga</v>
      </c>
      <c r="M2250" t="str">
        <f>_xlfn.XLOOKUP(C2250, Table2[Species],Table2[Sp. Name], "Code Not Found")</f>
        <v>canadensis</v>
      </c>
      <c r="N2250" t="str">
        <f>_xlfn.XLOOKUP(C2250,Table2[Species],Table2[Family],"Code Not Found")</f>
        <v>Pinaceae</v>
      </c>
      <c r="O2250" t="str" cm="1">
        <f t="array" ref="O2250">_xlfn.IFS(F2250="","",F2250&lt;=5,"0 to 5",F2250&lt;=10,"5.1 to 10",F2250&lt;=20,"10 to 20", F2250&lt;= 40, "20 to 40", F2250 &lt;= 50, "40 to 50", F2250 &gt; 50, "&gt;50" )</f>
        <v>10 to 20</v>
      </c>
    </row>
    <row r="2251" spans="1:15" ht="15" customHeight="1" x14ac:dyDescent="0.3">
      <c r="A2251" t="s">
        <v>427</v>
      </c>
      <c r="B2251" s="1">
        <v>46211</v>
      </c>
      <c r="C2251" t="s">
        <v>64</v>
      </c>
      <c r="D2251">
        <v>2075</v>
      </c>
      <c r="E2251">
        <v>1</v>
      </c>
      <c r="F2251">
        <v>7</v>
      </c>
      <c r="G2251" t="s">
        <v>17</v>
      </c>
      <c r="I2251" t="str">
        <f t="shared" si="53"/>
        <v>2075_1</v>
      </c>
      <c r="J2251" t="s">
        <v>428</v>
      </c>
      <c r="K2251" t="s">
        <v>429</v>
      </c>
      <c r="L2251" t="str">
        <f>_xlfn.XLOOKUP(C2251, Table2[Species],Table2[Genus], "Code Not Found")</f>
        <v>Fagus</v>
      </c>
      <c r="M2251" t="str">
        <f>_xlfn.XLOOKUP(C2251, Table2[Species],Table2[Sp. Name], "Code Not Found")</f>
        <v>grandifolia</v>
      </c>
      <c r="N2251" t="str">
        <f>_xlfn.XLOOKUP(C2251,Table2[Species],Table2[Family],"Code Not Found")</f>
        <v>Fagaceae</v>
      </c>
      <c r="O2251" t="str" cm="1">
        <f t="array" ref="O2251">_xlfn.IFS(F2251="","",F2251&lt;=5,"0 to 5",F2251&lt;=10,"5.1 to 10",F2251&lt;=20,"10 to 20", F2251&lt;= 40, "20 to 40", F2251 &lt;= 50, "40 to 50", F2251 &gt; 50, "&gt;50" )</f>
        <v>5.1 to 10</v>
      </c>
    </row>
    <row r="2252" spans="1:15" ht="15" customHeight="1" x14ac:dyDescent="0.3">
      <c r="A2252" t="s">
        <v>427</v>
      </c>
      <c r="B2252" s="1">
        <v>46211</v>
      </c>
      <c r="C2252" t="s">
        <v>64</v>
      </c>
      <c r="D2252">
        <v>2076</v>
      </c>
      <c r="E2252">
        <v>1</v>
      </c>
      <c r="F2252">
        <v>11.4</v>
      </c>
      <c r="G2252" t="s">
        <v>47</v>
      </c>
      <c r="H2252" t="s">
        <v>497</v>
      </c>
      <c r="I2252" t="str">
        <f t="shared" si="53"/>
        <v>2076_1</v>
      </c>
      <c r="J2252" t="s">
        <v>428</v>
      </c>
      <c r="K2252" t="s">
        <v>429</v>
      </c>
      <c r="L2252" t="str">
        <f>_xlfn.XLOOKUP(C2252, Table2[Species],Table2[Genus], "Code Not Found")</f>
        <v>Fagus</v>
      </c>
      <c r="M2252" t="str">
        <f>_xlfn.XLOOKUP(C2252, Table2[Species],Table2[Sp. Name], "Code Not Found")</f>
        <v>grandifolia</v>
      </c>
      <c r="N2252" t="str">
        <f>_xlfn.XLOOKUP(C2252,Table2[Species],Table2[Family],"Code Not Found")</f>
        <v>Fagaceae</v>
      </c>
      <c r="O2252" t="str" cm="1">
        <f t="array" ref="O2252">_xlfn.IFS(F2252="","",F2252&lt;=5,"0 to 5",F2252&lt;=10,"5.1 to 10",F2252&lt;=20,"10 to 20", F2252&lt;= 40, "20 to 40", F2252 &lt;= 50, "40 to 50", F2252 &gt; 50, "&gt;50" )</f>
        <v>10 to 20</v>
      </c>
    </row>
    <row r="2253" spans="1:15" ht="15" customHeight="1" x14ac:dyDescent="0.3">
      <c r="A2253" t="s">
        <v>427</v>
      </c>
      <c r="B2253" s="1">
        <v>46211</v>
      </c>
      <c r="C2253" t="s">
        <v>430</v>
      </c>
      <c r="D2253">
        <v>2077</v>
      </c>
      <c r="E2253">
        <v>1</v>
      </c>
      <c r="F2253">
        <v>18.5</v>
      </c>
      <c r="G2253" t="s">
        <v>54</v>
      </c>
      <c r="I2253" t="str">
        <f t="shared" si="53"/>
        <v>2077_1</v>
      </c>
      <c r="J2253" t="s">
        <v>428</v>
      </c>
      <c r="K2253" t="s">
        <v>429</v>
      </c>
      <c r="L2253" t="str">
        <f>_xlfn.XLOOKUP(C2253, Table2[Species],Table2[Genus], "Code Not Found")</f>
        <v>Tsuga</v>
      </c>
      <c r="M2253" t="str">
        <f>_xlfn.XLOOKUP(C2253, Table2[Species],Table2[Sp. Name], "Code Not Found")</f>
        <v>canadensis</v>
      </c>
      <c r="N2253" t="str">
        <f>_xlfn.XLOOKUP(C2253,Table2[Species],Table2[Family],"Code Not Found")</f>
        <v>Pinaceae</v>
      </c>
      <c r="O2253" t="str" cm="1">
        <f t="array" ref="O2253">_xlfn.IFS(F2253="","",F2253&lt;=5,"0 to 5",F2253&lt;=10,"5.1 to 10",F2253&lt;=20,"10 to 20", F2253&lt;= 40, "20 to 40", F2253 &lt;= 50, "40 to 50", F2253 &gt; 50, "&gt;50" )</f>
        <v>10 to 20</v>
      </c>
    </row>
    <row r="2254" spans="1:15" ht="15" customHeight="1" x14ac:dyDescent="0.3">
      <c r="A2254" t="s">
        <v>427</v>
      </c>
      <c r="B2254" s="1">
        <v>46211</v>
      </c>
      <c r="C2254" t="s">
        <v>430</v>
      </c>
      <c r="D2254">
        <v>2078</v>
      </c>
      <c r="E2254">
        <v>1</v>
      </c>
      <c r="F2254">
        <v>18</v>
      </c>
      <c r="G2254" t="s">
        <v>54</v>
      </c>
      <c r="I2254" t="str">
        <f t="shared" si="53"/>
        <v>2078_1</v>
      </c>
      <c r="J2254" t="s">
        <v>428</v>
      </c>
      <c r="K2254" t="s">
        <v>429</v>
      </c>
      <c r="L2254" t="str">
        <f>_xlfn.XLOOKUP(C2254, Table2[Species],Table2[Genus], "Code Not Found")</f>
        <v>Tsuga</v>
      </c>
      <c r="M2254" t="str">
        <f>_xlfn.XLOOKUP(C2254, Table2[Species],Table2[Sp. Name], "Code Not Found")</f>
        <v>canadensis</v>
      </c>
      <c r="N2254" t="str">
        <f>_xlfn.XLOOKUP(C2254,Table2[Species],Table2[Family],"Code Not Found")</f>
        <v>Pinaceae</v>
      </c>
      <c r="O2254" t="str" cm="1">
        <f t="array" ref="O2254">_xlfn.IFS(F2254="","",F2254&lt;=5,"0 to 5",F2254&lt;=10,"5.1 to 10",F2254&lt;=20,"10 to 20", F2254&lt;= 40, "20 to 40", F2254 &lt;= 50, "40 to 50", F2254 &gt; 50, "&gt;50" )</f>
        <v>10 to 20</v>
      </c>
    </row>
    <row r="2255" spans="1:15" ht="15" customHeight="1" x14ac:dyDescent="0.3">
      <c r="A2255" t="s">
        <v>498</v>
      </c>
      <c r="B2255" s="1">
        <v>46211</v>
      </c>
      <c r="C2255" t="s">
        <v>430</v>
      </c>
      <c r="D2255">
        <v>2079</v>
      </c>
      <c r="E2255">
        <v>1</v>
      </c>
      <c r="F2255">
        <v>7.9</v>
      </c>
      <c r="G2255" t="s">
        <v>17</v>
      </c>
      <c r="H2255" t="s">
        <v>435</v>
      </c>
      <c r="I2255" t="str">
        <f t="shared" si="53"/>
        <v>2079_1</v>
      </c>
      <c r="J2255" t="s">
        <v>428</v>
      </c>
      <c r="K2255" t="s">
        <v>429</v>
      </c>
      <c r="L2255" t="str">
        <f>_xlfn.XLOOKUP(C2255, Table2[Species],Table2[Genus], "Code Not Found")</f>
        <v>Tsuga</v>
      </c>
      <c r="M2255" t="str">
        <f>_xlfn.XLOOKUP(C2255, Table2[Species],Table2[Sp. Name], "Code Not Found")</f>
        <v>canadensis</v>
      </c>
      <c r="N2255" t="str">
        <f>_xlfn.XLOOKUP(C2255,Table2[Species],Table2[Family],"Code Not Found")</f>
        <v>Pinaceae</v>
      </c>
      <c r="O2255" t="str" cm="1">
        <f t="array" ref="O2255">_xlfn.IFS(F2255="","",F2255&lt;=5,"0 to 5",F2255&lt;=10,"5.1 to 10",F2255&lt;=20,"10 to 20", F2255&lt;= 40, "20 to 40", F2255 &lt;= 50, "40 to 50", F2255 &gt; 50, "&gt;50" )</f>
        <v>5.1 to 10</v>
      </c>
    </row>
    <row r="2256" spans="1:15" ht="15" customHeight="1" x14ac:dyDescent="0.3">
      <c r="A2256" t="s">
        <v>498</v>
      </c>
      <c r="B2256" s="1">
        <v>46211</v>
      </c>
      <c r="C2256" t="s">
        <v>430</v>
      </c>
      <c r="D2256">
        <v>2080</v>
      </c>
      <c r="E2256">
        <v>1</v>
      </c>
      <c r="F2256">
        <v>28</v>
      </c>
      <c r="G2256" t="s">
        <v>21</v>
      </c>
      <c r="I2256" t="str">
        <f t="shared" si="53"/>
        <v>2080_1</v>
      </c>
      <c r="J2256" t="s">
        <v>428</v>
      </c>
      <c r="K2256" t="s">
        <v>429</v>
      </c>
      <c r="L2256" t="str">
        <f>_xlfn.XLOOKUP(C2256, Table2[Species],Table2[Genus], "Code Not Found")</f>
        <v>Tsuga</v>
      </c>
      <c r="M2256" t="str">
        <f>_xlfn.XLOOKUP(C2256, Table2[Species],Table2[Sp. Name], "Code Not Found")</f>
        <v>canadensis</v>
      </c>
      <c r="N2256" t="str">
        <f>_xlfn.XLOOKUP(C2256,Table2[Species],Table2[Family],"Code Not Found")</f>
        <v>Pinaceae</v>
      </c>
      <c r="O2256" t="str" cm="1">
        <f t="array" ref="O2256">_xlfn.IFS(F2256="","",F2256&lt;=5,"0 to 5",F2256&lt;=10,"5.1 to 10",F2256&lt;=20,"10 to 20", F2256&lt;= 40, "20 to 40", F2256 &lt;= 50, "40 to 50", F2256 &gt; 50, "&gt;50" )</f>
        <v>20 to 40</v>
      </c>
    </row>
    <row r="2257" spans="1:15" ht="15" customHeight="1" x14ac:dyDescent="0.3">
      <c r="A2257" t="s">
        <v>498</v>
      </c>
      <c r="B2257" s="1">
        <v>46211</v>
      </c>
      <c r="C2257" t="s">
        <v>430</v>
      </c>
      <c r="D2257">
        <v>2081</v>
      </c>
      <c r="E2257">
        <v>1</v>
      </c>
      <c r="F2257">
        <v>13.9</v>
      </c>
      <c r="G2257" t="s">
        <v>47</v>
      </c>
      <c r="H2257" t="s">
        <v>467</v>
      </c>
      <c r="I2257" t="str">
        <f t="shared" si="53"/>
        <v>2081_1</v>
      </c>
      <c r="J2257" t="s">
        <v>428</v>
      </c>
      <c r="K2257" t="s">
        <v>429</v>
      </c>
      <c r="L2257" t="str">
        <f>_xlfn.XLOOKUP(C2257, Table2[Species],Table2[Genus], "Code Not Found")</f>
        <v>Tsuga</v>
      </c>
      <c r="M2257" t="str">
        <f>_xlfn.XLOOKUP(C2257, Table2[Species],Table2[Sp. Name], "Code Not Found")</f>
        <v>canadensis</v>
      </c>
      <c r="N2257" t="str">
        <f>_xlfn.XLOOKUP(C2257,Table2[Species],Table2[Family],"Code Not Found")</f>
        <v>Pinaceae</v>
      </c>
      <c r="O2257" t="str" cm="1">
        <f t="array" ref="O2257">_xlfn.IFS(F2257="","",F2257&lt;=5,"0 to 5",F2257&lt;=10,"5.1 to 10",F2257&lt;=20,"10 to 20", F2257&lt;= 40, "20 to 40", F2257 &lt;= 50, "40 to 50", F2257 &gt; 50, "&gt;50" )</f>
        <v>10 to 20</v>
      </c>
    </row>
    <row r="2258" spans="1:15" ht="15" customHeight="1" x14ac:dyDescent="0.3">
      <c r="A2258" t="s">
        <v>498</v>
      </c>
      <c r="B2258" s="1">
        <v>46211</v>
      </c>
      <c r="C2258" t="s">
        <v>430</v>
      </c>
      <c r="D2258">
        <v>2082</v>
      </c>
      <c r="E2258">
        <v>1</v>
      </c>
      <c r="F2258">
        <v>9.5</v>
      </c>
      <c r="G2258" t="s">
        <v>17</v>
      </c>
      <c r="H2258" t="s">
        <v>499</v>
      </c>
      <c r="I2258" t="str">
        <f t="shared" si="53"/>
        <v>2082_1</v>
      </c>
      <c r="J2258" t="s">
        <v>428</v>
      </c>
      <c r="K2258" t="s">
        <v>429</v>
      </c>
      <c r="L2258" t="str">
        <f>_xlfn.XLOOKUP(C2258, Table2[Species],Table2[Genus], "Code Not Found")</f>
        <v>Tsuga</v>
      </c>
      <c r="M2258" t="str">
        <f>_xlfn.XLOOKUP(C2258, Table2[Species],Table2[Sp. Name], "Code Not Found")</f>
        <v>canadensis</v>
      </c>
      <c r="N2258" t="str">
        <f>_xlfn.XLOOKUP(C2258,Table2[Species],Table2[Family],"Code Not Found")</f>
        <v>Pinaceae</v>
      </c>
      <c r="O2258" t="str" cm="1">
        <f t="array" ref="O2258">_xlfn.IFS(F2258="","",F2258&lt;=5,"0 to 5",F2258&lt;=10,"5.1 to 10",F2258&lt;=20,"10 to 20", F2258&lt;= 40, "20 to 40", F2258 &lt;= 50, "40 to 50", F2258 &gt; 50, "&gt;50" )</f>
        <v>5.1 to 10</v>
      </c>
    </row>
    <row r="2259" spans="1:15" ht="15" customHeight="1" x14ac:dyDescent="0.3">
      <c r="A2259" t="s">
        <v>498</v>
      </c>
      <c r="B2259" s="1">
        <v>46211</v>
      </c>
      <c r="C2259" t="s">
        <v>430</v>
      </c>
      <c r="D2259">
        <v>2083</v>
      </c>
      <c r="E2259">
        <v>1</v>
      </c>
      <c r="F2259">
        <v>19.2</v>
      </c>
      <c r="G2259" t="s">
        <v>17</v>
      </c>
      <c r="I2259" t="str">
        <f t="shared" si="53"/>
        <v>2083_1</v>
      </c>
      <c r="J2259" t="s">
        <v>428</v>
      </c>
      <c r="K2259" t="s">
        <v>429</v>
      </c>
      <c r="L2259" t="str">
        <f>_xlfn.XLOOKUP(C2259, Table2[Species],Table2[Genus], "Code Not Found")</f>
        <v>Tsuga</v>
      </c>
      <c r="M2259" t="str">
        <f>_xlfn.XLOOKUP(C2259, Table2[Species],Table2[Sp. Name], "Code Not Found")</f>
        <v>canadensis</v>
      </c>
      <c r="N2259" t="str">
        <f>_xlfn.XLOOKUP(C2259,Table2[Species],Table2[Family],"Code Not Found")</f>
        <v>Pinaceae</v>
      </c>
      <c r="O2259" t="str" cm="1">
        <f t="array" ref="O2259">_xlfn.IFS(F2259="","",F2259&lt;=5,"0 to 5",F2259&lt;=10,"5.1 to 10",F2259&lt;=20,"10 to 20", F2259&lt;= 40, "20 to 40", F2259 &lt;= 50, "40 to 50", F2259 &gt; 50, "&gt;50" )</f>
        <v>10 to 20</v>
      </c>
    </row>
    <row r="2260" spans="1:15" ht="15" customHeight="1" x14ac:dyDescent="0.3">
      <c r="A2260" t="s">
        <v>498</v>
      </c>
      <c r="B2260" s="1">
        <v>46211</v>
      </c>
      <c r="C2260" t="s">
        <v>430</v>
      </c>
      <c r="D2260">
        <v>2084</v>
      </c>
      <c r="E2260">
        <v>1</v>
      </c>
      <c r="F2260">
        <v>22.6</v>
      </c>
      <c r="G2260" t="s">
        <v>17</v>
      </c>
      <c r="H2260" t="s">
        <v>36</v>
      </c>
      <c r="I2260" t="str">
        <f t="shared" si="53"/>
        <v>2084_1</v>
      </c>
      <c r="J2260" t="s">
        <v>428</v>
      </c>
      <c r="K2260" t="s">
        <v>429</v>
      </c>
      <c r="L2260" t="str">
        <f>_xlfn.XLOOKUP(C2260, Table2[Species],Table2[Genus], "Code Not Found")</f>
        <v>Tsuga</v>
      </c>
      <c r="M2260" t="str">
        <f>_xlfn.XLOOKUP(C2260, Table2[Species],Table2[Sp. Name], "Code Not Found")</f>
        <v>canadensis</v>
      </c>
      <c r="N2260" t="str">
        <f>_xlfn.XLOOKUP(C2260,Table2[Species],Table2[Family],"Code Not Found")</f>
        <v>Pinaceae</v>
      </c>
      <c r="O2260" t="str" cm="1">
        <f t="array" ref="O2260">_xlfn.IFS(F2260="","",F2260&lt;=5,"0 to 5",F2260&lt;=10,"5.1 to 10",F2260&lt;=20,"10 to 20", F2260&lt;= 40, "20 to 40", F2260 &lt;= 50, "40 to 50", F2260 &gt; 50, "&gt;50" )</f>
        <v>20 to 40</v>
      </c>
    </row>
    <row r="2261" spans="1:15" ht="15" customHeight="1" x14ac:dyDescent="0.3">
      <c r="A2261" t="s">
        <v>498</v>
      </c>
      <c r="B2261" s="1">
        <v>46211</v>
      </c>
      <c r="C2261" t="s">
        <v>430</v>
      </c>
      <c r="D2261">
        <v>2085</v>
      </c>
      <c r="E2261">
        <v>1</v>
      </c>
      <c r="F2261">
        <v>15.7</v>
      </c>
      <c r="G2261" t="s">
        <v>17</v>
      </c>
      <c r="I2261" t="str">
        <f t="shared" si="53"/>
        <v>2085_1</v>
      </c>
      <c r="J2261" t="s">
        <v>428</v>
      </c>
      <c r="K2261" t="s">
        <v>429</v>
      </c>
      <c r="L2261" t="str">
        <f>_xlfn.XLOOKUP(C2261, Table2[Species],Table2[Genus], "Code Not Found")</f>
        <v>Tsuga</v>
      </c>
      <c r="M2261" t="str">
        <f>_xlfn.XLOOKUP(C2261, Table2[Species],Table2[Sp. Name], "Code Not Found")</f>
        <v>canadensis</v>
      </c>
      <c r="N2261" t="str">
        <f>_xlfn.XLOOKUP(C2261,Table2[Species],Table2[Family],"Code Not Found")</f>
        <v>Pinaceae</v>
      </c>
      <c r="O2261" t="str" cm="1">
        <f t="array" ref="O2261">_xlfn.IFS(F2261="","",F2261&lt;=5,"0 to 5",F2261&lt;=10,"5.1 to 10",F2261&lt;=20,"10 to 20", F2261&lt;= 40, "20 to 40", F2261 &lt;= 50, "40 to 50", F2261 &gt; 50, "&gt;50" )</f>
        <v>10 to 20</v>
      </c>
    </row>
    <row r="2262" spans="1:15" ht="15" customHeight="1" x14ac:dyDescent="0.3">
      <c r="A2262" t="s">
        <v>498</v>
      </c>
      <c r="B2262" s="1">
        <v>46211</v>
      </c>
      <c r="C2262" t="s">
        <v>430</v>
      </c>
      <c r="D2262">
        <v>2086</v>
      </c>
      <c r="E2262">
        <v>1</v>
      </c>
      <c r="F2262">
        <v>26.2</v>
      </c>
      <c r="G2262" t="s">
        <v>17</v>
      </c>
      <c r="I2262" t="str">
        <f t="shared" si="53"/>
        <v>2086_1</v>
      </c>
      <c r="J2262" t="s">
        <v>428</v>
      </c>
      <c r="K2262" t="s">
        <v>429</v>
      </c>
      <c r="L2262" t="str">
        <f>_xlfn.XLOOKUP(C2262, Table2[Species],Table2[Genus], "Code Not Found")</f>
        <v>Tsuga</v>
      </c>
      <c r="M2262" t="str">
        <f>_xlfn.XLOOKUP(C2262, Table2[Species],Table2[Sp. Name], "Code Not Found")</f>
        <v>canadensis</v>
      </c>
      <c r="N2262" t="str">
        <f>_xlfn.XLOOKUP(C2262,Table2[Species],Table2[Family],"Code Not Found")</f>
        <v>Pinaceae</v>
      </c>
      <c r="O2262" t="str" cm="1">
        <f t="array" ref="O2262">_xlfn.IFS(F2262="","",F2262&lt;=5,"0 to 5",F2262&lt;=10,"5.1 to 10",F2262&lt;=20,"10 to 20", F2262&lt;= 40, "20 to 40", F2262 &lt;= 50, "40 to 50", F2262 &gt; 50, "&gt;50" )</f>
        <v>20 to 40</v>
      </c>
    </row>
    <row r="2263" spans="1:15" ht="15" customHeight="1" x14ac:dyDescent="0.3">
      <c r="A2263" t="s">
        <v>498</v>
      </c>
      <c r="B2263" s="1">
        <v>46211</v>
      </c>
      <c r="C2263" t="s">
        <v>430</v>
      </c>
      <c r="D2263">
        <v>2087</v>
      </c>
      <c r="E2263">
        <v>1</v>
      </c>
      <c r="F2263">
        <v>20.6</v>
      </c>
      <c r="G2263" t="s">
        <v>17</v>
      </c>
      <c r="I2263" t="str">
        <f t="shared" si="53"/>
        <v>2087_1</v>
      </c>
      <c r="J2263" t="s">
        <v>428</v>
      </c>
      <c r="K2263" t="s">
        <v>429</v>
      </c>
      <c r="L2263" t="str">
        <f>_xlfn.XLOOKUP(C2263, Table2[Species],Table2[Genus], "Code Not Found")</f>
        <v>Tsuga</v>
      </c>
      <c r="M2263" t="str">
        <f>_xlfn.XLOOKUP(C2263, Table2[Species],Table2[Sp. Name], "Code Not Found")</f>
        <v>canadensis</v>
      </c>
      <c r="N2263" t="str">
        <f>_xlfn.XLOOKUP(C2263,Table2[Species],Table2[Family],"Code Not Found")</f>
        <v>Pinaceae</v>
      </c>
      <c r="O2263" t="str" cm="1">
        <f t="array" ref="O2263">_xlfn.IFS(F2263="","",F2263&lt;=5,"0 to 5",F2263&lt;=10,"5.1 to 10",F2263&lt;=20,"10 to 20", F2263&lt;= 40, "20 to 40", F2263 &lt;= 50, "40 to 50", F2263 &gt; 50, "&gt;50" )</f>
        <v>20 to 40</v>
      </c>
    </row>
    <row r="2264" spans="1:15" ht="15" customHeight="1" x14ac:dyDescent="0.3">
      <c r="A2264" t="s">
        <v>498</v>
      </c>
      <c r="B2264" s="1">
        <v>46211</v>
      </c>
      <c r="C2264" t="s">
        <v>64</v>
      </c>
      <c r="D2264">
        <v>2088</v>
      </c>
      <c r="E2264">
        <v>1</v>
      </c>
      <c r="F2264">
        <v>4.4000000000000004</v>
      </c>
      <c r="G2264" t="s">
        <v>21</v>
      </c>
      <c r="I2264" t="str">
        <f t="shared" si="53"/>
        <v>2088_1</v>
      </c>
      <c r="J2264" t="s">
        <v>428</v>
      </c>
      <c r="K2264" t="s">
        <v>429</v>
      </c>
      <c r="L2264" t="str">
        <f>_xlfn.XLOOKUP(C2264, Table2[Species],Table2[Genus], "Code Not Found")</f>
        <v>Fagus</v>
      </c>
      <c r="M2264" t="str">
        <f>_xlfn.XLOOKUP(C2264, Table2[Species],Table2[Sp. Name], "Code Not Found")</f>
        <v>grandifolia</v>
      </c>
      <c r="N2264" t="str">
        <f>_xlfn.XLOOKUP(C2264,Table2[Species],Table2[Family],"Code Not Found")</f>
        <v>Fagaceae</v>
      </c>
      <c r="O2264" t="str" cm="1">
        <f t="array" ref="O2264">_xlfn.IFS(F2264="","",F2264&lt;=5,"0 to 5",F2264&lt;=10,"5.1 to 10",F2264&lt;=20,"10 to 20", F2264&lt;= 40, "20 to 40", F2264 &lt;= 50, "40 to 50", F2264 &gt; 50, "&gt;50" )</f>
        <v>0 to 5</v>
      </c>
    </row>
    <row r="2265" spans="1:15" ht="15" customHeight="1" x14ac:dyDescent="0.3">
      <c r="A2265" t="s">
        <v>498</v>
      </c>
      <c r="B2265" s="1">
        <v>46211</v>
      </c>
      <c r="C2265" t="s">
        <v>430</v>
      </c>
      <c r="D2265">
        <v>2089</v>
      </c>
      <c r="E2265">
        <v>1</v>
      </c>
      <c r="F2265">
        <v>19.600000000000001</v>
      </c>
      <c r="G2265" t="s">
        <v>21</v>
      </c>
      <c r="I2265" t="str">
        <f t="shared" si="53"/>
        <v>2089_1</v>
      </c>
      <c r="J2265" t="s">
        <v>428</v>
      </c>
      <c r="K2265" t="s">
        <v>429</v>
      </c>
      <c r="L2265" t="str">
        <f>_xlfn.XLOOKUP(C2265, Table2[Species],Table2[Genus], "Code Not Found")</f>
        <v>Tsuga</v>
      </c>
      <c r="M2265" t="str">
        <f>_xlfn.XLOOKUP(C2265, Table2[Species],Table2[Sp. Name], "Code Not Found")</f>
        <v>canadensis</v>
      </c>
      <c r="N2265" t="str">
        <f>_xlfn.XLOOKUP(C2265,Table2[Species],Table2[Family],"Code Not Found")</f>
        <v>Pinaceae</v>
      </c>
      <c r="O2265" t="str" cm="1">
        <f t="array" ref="O2265">_xlfn.IFS(F2265="","",F2265&lt;=5,"0 to 5",F2265&lt;=10,"5.1 to 10",F2265&lt;=20,"10 to 20", F2265&lt;= 40, "20 to 40", F2265 &lt;= 50, "40 to 50", F2265 &gt; 50, "&gt;50" )</f>
        <v>10 to 20</v>
      </c>
    </row>
    <row r="2266" spans="1:15" ht="15" customHeight="1" x14ac:dyDescent="0.3">
      <c r="A2266" t="s">
        <v>498</v>
      </c>
      <c r="B2266" s="1">
        <v>46211</v>
      </c>
      <c r="C2266" t="s">
        <v>430</v>
      </c>
      <c r="D2266">
        <v>2090</v>
      </c>
      <c r="E2266">
        <v>1</v>
      </c>
      <c r="F2266">
        <v>5.8</v>
      </c>
      <c r="G2266" t="s">
        <v>17</v>
      </c>
      <c r="I2266" t="str">
        <f t="shared" si="53"/>
        <v>2090_1</v>
      </c>
      <c r="J2266" t="s">
        <v>428</v>
      </c>
      <c r="K2266" t="s">
        <v>429</v>
      </c>
      <c r="L2266" t="str">
        <f>_xlfn.XLOOKUP(C2266, Table2[Species],Table2[Genus], "Code Not Found")</f>
        <v>Tsuga</v>
      </c>
      <c r="M2266" t="str">
        <f>_xlfn.XLOOKUP(C2266, Table2[Species],Table2[Sp. Name], "Code Not Found")</f>
        <v>canadensis</v>
      </c>
      <c r="N2266" t="str">
        <f>_xlfn.XLOOKUP(C2266,Table2[Species],Table2[Family],"Code Not Found")</f>
        <v>Pinaceae</v>
      </c>
      <c r="O2266" t="str" cm="1">
        <f t="array" ref="O2266">_xlfn.IFS(F2266="","",F2266&lt;=5,"0 to 5",F2266&lt;=10,"5.1 to 10",F2266&lt;=20,"10 to 20", F2266&lt;= 40, "20 to 40", F2266 &lt;= 50, "40 to 50", F2266 &gt; 50, "&gt;50" )</f>
        <v>5.1 to 10</v>
      </c>
    </row>
    <row r="2267" spans="1:15" ht="15" customHeight="1" x14ac:dyDescent="0.3">
      <c r="A2267" t="s">
        <v>498</v>
      </c>
      <c r="B2267" s="1">
        <v>46211</v>
      </c>
      <c r="C2267" t="s">
        <v>64</v>
      </c>
      <c r="D2267">
        <v>2091</v>
      </c>
      <c r="E2267">
        <v>1</v>
      </c>
      <c r="F2267">
        <v>1.4</v>
      </c>
      <c r="G2267" t="s">
        <v>94</v>
      </c>
      <c r="H2267" t="s">
        <v>432</v>
      </c>
      <c r="I2267" t="str">
        <f t="shared" si="53"/>
        <v>2091_1</v>
      </c>
      <c r="J2267" t="s">
        <v>428</v>
      </c>
      <c r="K2267" t="s">
        <v>429</v>
      </c>
      <c r="L2267" t="str">
        <f>_xlfn.XLOOKUP(C2267, Table2[Species],Table2[Genus], "Code Not Found")</f>
        <v>Fagus</v>
      </c>
      <c r="M2267" t="str">
        <f>_xlfn.XLOOKUP(C2267, Table2[Species],Table2[Sp. Name], "Code Not Found")</f>
        <v>grandifolia</v>
      </c>
      <c r="N2267" t="str">
        <f>_xlfn.XLOOKUP(C2267,Table2[Species],Table2[Family],"Code Not Found")</f>
        <v>Fagaceae</v>
      </c>
      <c r="O2267" t="str" cm="1">
        <f t="array" ref="O2267">_xlfn.IFS(F2267="","",F2267&lt;=5,"0 to 5",F2267&lt;=10,"5.1 to 10",F2267&lt;=20,"10 to 20", F2267&lt;= 40, "20 to 40", F2267 &lt;= 50, "40 to 50", F2267 &gt; 50, "&gt;50" )</f>
        <v>0 to 5</v>
      </c>
    </row>
    <row r="2268" spans="1:15" ht="15" customHeight="1" x14ac:dyDescent="0.3">
      <c r="A2268" t="s">
        <v>498</v>
      </c>
      <c r="B2268" s="1">
        <v>46211</v>
      </c>
      <c r="C2268" t="s">
        <v>64</v>
      </c>
      <c r="D2268">
        <v>2092</v>
      </c>
      <c r="E2268">
        <v>1</v>
      </c>
      <c r="F2268">
        <v>5.2</v>
      </c>
      <c r="G2268" t="s">
        <v>21</v>
      </c>
      <c r="I2268" t="str">
        <f t="shared" si="53"/>
        <v>2092_1</v>
      </c>
      <c r="J2268" t="s">
        <v>428</v>
      </c>
      <c r="K2268" t="s">
        <v>429</v>
      </c>
      <c r="L2268" t="str">
        <f>_xlfn.XLOOKUP(C2268, Table2[Species],Table2[Genus], "Code Not Found")</f>
        <v>Fagus</v>
      </c>
      <c r="M2268" t="str">
        <f>_xlfn.XLOOKUP(C2268, Table2[Species],Table2[Sp. Name], "Code Not Found")</f>
        <v>grandifolia</v>
      </c>
      <c r="N2268" t="str">
        <f>_xlfn.XLOOKUP(C2268,Table2[Species],Table2[Family],"Code Not Found")</f>
        <v>Fagaceae</v>
      </c>
      <c r="O2268" t="str" cm="1">
        <f t="array" ref="O2268">_xlfn.IFS(F2268="","",F2268&lt;=5,"0 to 5",F2268&lt;=10,"5.1 to 10",F2268&lt;=20,"10 to 20", F2268&lt;= 40, "20 to 40", F2268 &lt;= 50, "40 to 50", F2268 &gt; 50, "&gt;50" )</f>
        <v>5.1 to 10</v>
      </c>
    </row>
    <row r="2269" spans="1:15" ht="15" customHeight="1" x14ac:dyDescent="0.3">
      <c r="A2269" t="s">
        <v>498</v>
      </c>
      <c r="B2269" s="1">
        <v>46211</v>
      </c>
      <c r="C2269" t="s">
        <v>64</v>
      </c>
      <c r="D2269">
        <v>2093</v>
      </c>
      <c r="E2269">
        <v>1</v>
      </c>
      <c r="F2269">
        <v>2</v>
      </c>
      <c r="G2269" t="s">
        <v>21</v>
      </c>
      <c r="I2269" t="str">
        <f t="shared" si="53"/>
        <v>2093_1</v>
      </c>
      <c r="J2269" t="s">
        <v>428</v>
      </c>
      <c r="K2269" t="s">
        <v>429</v>
      </c>
      <c r="L2269" t="str">
        <f>_xlfn.XLOOKUP(C2269, Table2[Species],Table2[Genus], "Code Not Found")</f>
        <v>Fagus</v>
      </c>
      <c r="M2269" t="str">
        <f>_xlfn.XLOOKUP(C2269, Table2[Species],Table2[Sp. Name], "Code Not Found")</f>
        <v>grandifolia</v>
      </c>
      <c r="N2269" t="str">
        <f>_xlfn.XLOOKUP(C2269,Table2[Species],Table2[Family],"Code Not Found")</f>
        <v>Fagaceae</v>
      </c>
      <c r="O2269" t="str" cm="1">
        <f t="array" ref="O2269">_xlfn.IFS(F2269="","",F2269&lt;=5,"0 to 5",F2269&lt;=10,"5.1 to 10",F2269&lt;=20,"10 to 20", F2269&lt;= 40, "20 to 40", F2269 &lt;= 50, "40 to 50", F2269 &gt; 50, "&gt;50" )</f>
        <v>0 to 5</v>
      </c>
    </row>
    <row r="2270" spans="1:15" ht="15" customHeight="1" x14ac:dyDescent="0.3">
      <c r="A2270" t="s">
        <v>498</v>
      </c>
      <c r="B2270" s="1">
        <v>46211</v>
      </c>
      <c r="C2270" t="s">
        <v>64</v>
      </c>
      <c r="D2270">
        <v>2094</v>
      </c>
      <c r="E2270">
        <v>1</v>
      </c>
      <c r="F2270">
        <v>3.2</v>
      </c>
      <c r="G2270" t="s">
        <v>21</v>
      </c>
      <c r="I2270" t="str">
        <f t="shared" si="53"/>
        <v>2094_1</v>
      </c>
      <c r="J2270" t="s">
        <v>428</v>
      </c>
      <c r="K2270" t="s">
        <v>429</v>
      </c>
      <c r="L2270" t="str">
        <f>_xlfn.XLOOKUP(C2270, Table2[Species],Table2[Genus], "Code Not Found")</f>
        <v>Fagus</v>
      </c>
      <c r="M2270" t="str">
        <f>_xlfn.XLOOKUP(C2270, Table2[Species],Table2[Sp. Name], "Code Not Found")</f>
        <v>grandifolia</v>
      </c>
      <c r="N2270" t="str">
        <f>_xlfn.XLOOKUP(C2270,Table2[Species],Table2[Family],"Code Not Found")</f>
        <v>Fagaceae</v>
      </c>
      <c r="O2270" t="str" cm="1">
        <f t="array" ref="O2270">_xlfn.IFS(F2270="","",F2270&lt;=5,"0 to 5",F2270&lt;=10,"5.1 to 10",F2270&lt;=20,"10 to 20", F2270&lt;= 40, "20 to 40", F2270 &lt;= 50, "40 to 50", F2270 &gt; 50, "&gt;50" )</f>
        <v>0 to 5</v>
      </c>
    </row>
    <row r="2271" spans="1:15" ht="15" customHeight="1" x14ac:dyDescent="0.3">
      <c r="A2271" t="s">
        <v>498</v>
      </c>
      <c r="B2271" s="1">
        <v>46211</v>
      </c>
      <c r="C2271" t="s">
        <v>22</v>
      </c>
      <c r="D2271">
        <v>2095</v>
      </c>
      <c r="E2271">
        <v>1</v>
      </c>
      <c r="F2271">
        <v>24.6</v>
      </c>
      <c r="G2271" t="s">
        <v>21</v>
      </c>
      <c r="I2271" t="str">
        <f t="shared" si="53"/>
        <v>2095_1</v>
      </c>
      <c r="J2271" t="s">
        <v>428</v>
      </c>
      <c r="K2271" t="s">
        <v>429</v>
      </c>
      <c r="L2271" t="str">
        <f>_xlfn.XLOOKUP(C2271, Table2[Species],Table2[Genus], "Code Not Found")</f>
        <v>Acer</v>
      </c>
      <c r="M2271" t="str">
        <f>_xlfn.XLOOKUP(C2271, Table2[Species],Table2[Sp. Name], "Code Not Found")</f>
        <v>rubrum</v>
      </c>
      <c r="N2271" t="str">
        <f>_xlfn.XLOOKUP(C2271,Table2[Species],Table2[Family],"Code Not Found")</f>
        <v>Sapindaceae</v>
      </c>
      <c r="O2271" t="str" cm="1">
        <f t="array" ref="O2271">_xlfn.IFS(F2271="","",F2271&lt;=5,"0 to 5",F2271&lt;=10,"5.1 to 10",F2271&lt;=20,"10 to 20", F2271&lt;= 40, "20 to 40", F2271 &lt;= 50, "40 to 50", F2271 &gt; 50, "&gt;50" )</f>
        <v>20 to 40</v>
      </c>
    </row>
    <row r="2272" spans="1:15" ht="15" customHeight="1" x14ac:dyDescent="0.3">
      <c r="A2272" t="s">
        <v>498</v>
      </c>
      <c r="B2272" s="1">
        <v>46211</v>
      </c>
      <c r="C2272" t="s">
        <v>180</v>
      </c>
      <c r="D2272">
        <v>2096</v>
      </c>
      <c r="E2272">
        <v>1</v>
      </c>
      <c r="F2272">
        <v>19.2</v>
      </c>
      <c r="G2272" t="s">
        <v>21</v>
      </c>
      <c r="I2272" t="str">
        <f t="shared" si="53"/>
        <v>2096_1</v>
      </c>
      <c r="J2272" t="s">
        <v>428</v>
      </c>
      <c r="K2272" t="s">
        <v>429</v>
      </c>
      <c r="L2272" t="str">
        <f>_xlfn.XLOOKUP(C2272, Table2[Species],Table2[Genus], "Code Not Found")</f>
        <v>Tilia</v>
      </c>
      <c r="M2272" t="str">
        <f>_xlfn.XLOOKUP(C2272, Table2[Species],Table2[Sp. Name], "Code Not Found")</f>
        <v>americana</v>
      </c>
      <c r="N2272" t="str">
        <f>_xlfn.XLOOKUP(C2272,Table2[Species],Table2[Family],"Code Not Found")</f>
        <v>Malvaceae</v>
      </c>
      <c r="O2272" t="str" cm="1">
        <f t="array" ref="O2272">_xlfn.IFS(F2272="","",F2272&lt;=5,"0 to 5",F2272&lt;=10,"5.1 to 10",F2272&lt;=20,"10 to 20", F2272&lt;= 40, "20 to 40", F2272 &lt;= 50, "40 to 50", F2272 &gt; 50, "&gt;50" )</f>
        <v>10 to 20</v>
      </c>
    </row>
    <row r="2273" spans="1:15" ht="15" customHeight="1" x14ac:dyDescent="0.3">
      <c r="A2273" t="s">
        <v>498</v>
      </c>
      <c r="B2273" s="1">
        <v>46211</v>
      </c>
      <c r="C2273" t="s">
        <v>415</v>
      </c>
      <c r="D2273">
        <v>2097</v>
      </c>
      <c r="E2273">
        <v>1</v>
      </c>
      <c r="F2273">
        <v>1.4</v>
      </c>
      <c r="G2273" t="s">
        <v>47</v>
      </c>
      <c r="H2273" t="s">
        <v>467</v>
      </c>
      <c r="I2273" t="str">
        <f t="shared" si="53"/>
        <v>2097_1</v>
      </c>
      <c r="J2273" t="s">
        <v>428</v>
      </c>
      <c r="K2273" t="s">
        <v>429</v>
      </c>
      <c r="L2273" t="str">
        <f>_xlfn.XLOOKUP(C2273, Table2[Species],Table2[Genus], "Code Not Found")</f>
        <v>Fraxinus</v>
      </c>
      <c r="M2273" t="str">
        <f>_xlfn.XLOOKUP(C2273, Table2[Species],Table2[Sp. Name], "Code Not Found")</f>
        <v>pennsylvanica</v>
      </c>
      <c r="N2273" t="str">
        <f>_xlfn.XLOOKUP(C2273,Table2[Species],Table2[Family],"Code Not Found")</f>
        <v>Oleaceae</v>
      </c>
      <c r="O2273" t="str" cm="1">
        <f t="array" ref="O2273">_xlfn.IFS(F2273="","",F2273&lt;=5,"0 to 5",F2273&lt;=10,"5.1 to 10",F2273&lt;=20,"10 to 20", F2273&lt;= 40, "20 to 40", F2273 &lt;= 50, "40 to 50", F2273 &gt; 50, "&gt;50" )</f>
        <v>0 to 5</v>
      </c>
    </row>
    <row r="2274" spans="1:15" ht="15" customHeight="1" x14ac:dyDescent="0.3">
      <c r="A2274" t="s">
        <v>498</v>
      </c>
      <c r="B2274" s="1">
        <v>46211</v>
      </c>
      <c r="C2274" t="s">
        <v>117</v>
      </c>
      <c r="D2274">
        <v>2098</v>
      </c>
      <c r="E2274">
        <v>1</v>
      </c>
      <c r="F2274">
        <v>8.1</v>
      </c>
      <c r="G2274" t="s">
        <v>469</v>
      </c>
      <c r="I2274" t="str">
        <f t="shared" si="53"/>
        <v>2098_1</v>
      </c>
      <c r="J2274" t="s">
        <v>428</v>
      </c>
      <c r="K2274" t="s">
        <v>429</v>
      </c>
      <c r="L2274" t="str">
        <f>_xlfn.XLOOKUP(C2274, Table2[Species],Table2[Genus], "Code Not Found")</f>
        <v>Ostrya</v>
      </c>
      <c r="M2274" t="str">
        <f>_xlfn.XLOOKUP(C2274, Table2[Species],Table2[Sp. Name], "Code Not Found")</f>
        <v>viginiana</v>
      </c>
      <c r="N2274" t="str">
        <f>_xlfn.XLOOKUP(C2274,Table2[Species],Table2[Family],"Code Not Found")</f>
        <v>Betulaceae</v>
      </c>
      <c r="O2274" t="str" cm="1">
        <f t="array" ref="O2274">_xlfn.IFS(F2274="","",F2274&lt;=5,"0 to 5",F2274&lt;=10,"5.1 to 10",F2274&lt;=20,"10 to 20", F2274&lt;= 40, "20 to 40", F2274 &lt;= 50, "40 to 50", F2274 &gt; 50, "&gt;50" )</f>
        <v>5.1 to 10</v>
      </c>
    </row>
    <row r="2275" spans="1:15" ht="15" customHeight="1" x14ac:dyDescent="0.3">
      <c r="A2275" t="s">
        <v>498</v>
      </c>
      <c r="B2275" s="1">
        <v>46212</v>
      </c>
      <c r="C2275" t="s">
        <v>117</v>
      </c>
      <c r="D2275">
        <v>2098</v>
      </c>
      <c r="E2275">
        <v>2</v>
      </c>
      <c r="F2275">
        <v>2.4</v>
      </c>
      <c r="G2275" t="s">
        <v>32</v>
      </c>
      <c r="I2275" t="str">
        <f t="shared" si="53"/>
        <v>2098_2</v>
      </c>
      <c r="J2275" t="s">
        <v>428</v>
      </c>
      <c r="K2275" t="s">
        <v>429</v>
      </c>
      <c r="L2275" t="str">
        <f>_xlfn.XLOOKUP(C2275, Table2[Species],Table2[Genus], "Code Not Found")</f>
        <v>Ostrya</v>
      </c>
      <c r="M2275" t="str">
        <f>_xlfn.XLOOKUP(C2275, Table2[Species],Table2[Sp. Name], "Code Not Found")</f>
        <v>viginiana</v>
      </c>
      <c r="N2275" t="str">
        <f>_xlfn.XLOOKUP(C2275,Table2[Species],Table2[Family],"Code Not Found")</f>
        <v>Betulaceae</v>
      </c>
      <c r="O2275" t="str" cm="1">
        <f t="array" ref="O2275">_xlfn.IFS(F2275="","",F2275&lt;=5,"0 to 5",F2275&lt;=10,"5.1 to 10",F2275&lt;=20,"10 to 20", F2275&lt;= 40, "20 to 40", F2275 &lt;= 50, "40 to 50", F2275 &gt; 50, "&gt;50" )</f>
        <v>0 to 5</v>
      </c>
    </row>
    <row r="2276" spans="1:15" ht="15" customHeight="1" x14ac:dyDescent="0.3">
      <c r="A2276" t="s">
        <v>498</v>
      </c>
      <c r="B2276" s="1">
        <v>46211</v>
      </c>
      <c r="C2276" t="s">
        <v>430</v>
      </c>
      <c r="D2276">
        <v>2099</v>
      </c>
      <c r="E2276">
        <v>1</v>
      </c>
      <c r="F2276">
        <v>38.700000000000003</v>
      </c>
      <c r="G2276" t="s">
        <v>21</v>
      </c>
      <c r="I2276" t="str">
        <f t="shared" si="53"/>
        <v>2099_1</v>
      </c>
      <c r="J2276" t="s">
        <v>428</v>
      </c>
      <c r="K2276" t="s">
        <v>429</v>
      </c>
      <c r="L2276" t="str">
        <f>_xlfn.XLOOKUP(C2276, Table2[Species],Table2[Genus], "Code Not Found")</f>
        <v>Tsuga</v>
      </c>
      <c r="M2276" t="str">
        <f>_xlfn.XLOOKUP(C2276, Table2[Species],Table2[Sp. Name], "Code Not Found")</f>
        <v>canadensis</v>
      </c>
      <c r="N2276" t="str">
        <f>_xlfn.XLOOKUP(C2276,Table2[Species],Table2[Family],"Code Not Found")</f>
        <v>Pinaceae</v>
      </c>
      <c r="O2276" t="str" cm="1">
        <f t="array" ref="O2276">_xlfn.IFS(F2276="","",F2276&lt;=5,"0 to 5",F2276&lt;=10,"5.1 to 10",F2276&lt;=20,"10 to 20", F2276&lt;= 40, "20 to 40", F2276 &lt;= 50, "40 to 50", F2276 &gt; 50, "&gt;50" )</f>
        <v>20 to 40</v>
      </c>
    </row>
    <row r="2277" spans="1:15" ht="15" customHeight="1" x14ac:dyDescent="0.3">
      <c r="A2277" t="s">
        <v>498</v>
      </c>
      <c r="B2277" s="1">
        <v>46211</v>
      </c>
      <c r="C2277" t="s">
        <v>24</v>
      </c>
      <c r="D2277">
        <v>2100</v>
      </c>
      <c r="E2277">
        <v>1</v>
      </c>
      <c r="F2277">
        <v>68.8</v>
      </c>
      <c r="G2277" t="s">
        <v>21</v>
      </c>
      <c r="H2277" t="s">
        <v>500</v>
      </c>
      <c r="I2277" t="str">
        <f t="shared" si="53"/>
        <v>2100_1</v>
      </c>
      <c r="J2277" t="s">
        <v>428</v>
      </c>
      <c r="K2277" t="s">
        <v>429</v>
      </c>
      <c r="L2277" t="str">
        <f>_xlfn.XLOOKUP(C2277, Table2[Species],Table2[Genus], "Code Not Found")</f>
        <v>Lirodendron</v>
      </c>
      <c r="M2277" t="str">
        <f>_xlfn.XLOOKUP(C2277, Table2[Species],Table2[Sp. Name], "Code Not Found")</f>
        <v>tulipfera</v>
      </c>
      <c r="N2277" t="str">
        <f>_xlfn.XLOOKUP(C2277,Table2[Species],Table2[Family],"Code Not Found")</f>
        <v>Magnoliaceae</v>
      </c>
      <c r="O2277" t="str" cm="1">
        <f t="array" ref="O2277">_xlfn.IFS(F2277="","",F2277&lt;=5,"0 to 5",F2277&lt;=10,"5.1 to 10",F2277&lt;=20,"10 to 20", F2277&lt;= 40, "20 to 40", F2277 &lt;= 50, "40 to 50", F2277 &gt; 50, "&gt;50" )</f>
        <v>&gt;50</v>
      </c>
    </row>
    <row r="2278" spans="1:15" ht="15" customHeight="1" x14ac:dyDescent="0.3">
      <c r="A2278" t="s">
        <v>498</v>
      </c>
      <c r="B2278" s="1">
        <v>46211</v>
      </c>
      <c r="C2278" t="s">
        <v>16</v>
      </c>
      <c r="D2278">
        <v>2101</v>
      </c>
      <c r="E2278">
        <v>1</v>
      </c>
      <c r="F2278">
        <v>15.1</v>
      </c>
      <c r="G2278" t="s">
        <v>21</v>
      </c>
      <c r="I2278" t="str">
        <f t="shared" si="53"/>
        <v>2101_1</v>
      </c>
      <c r="J2278" t="s">
        <v>428</v>
      </c>
      <c r="K2278" t="s">
        <v>429</v>
      </c>
      <c r="L2278" t="str">
        <f>_xlfn.XLOOKUP(C2278, Table2[Species],Table2[Genus], "Code Not Found")</f>
        <v>Acer</v>
      </c>
      <c r="M2278" t="str">
        <f>_xlfn.XLOOKUP(C2278, Table2[Species],Table2[Sp. Name], "Code Not Found")</f>
        <v>saccharum</v>
      </c>
      <c r="N2278" t="str">
        <f>_xlfn.XLOOKUP(C2278,Table2[Species],Table2[Family],"Code Not Found")</f>
        <v>Sapindaceae</v>
      </c>
      <c r="O2278" t="str" cm="1">
        <f t="array" ref="O2278">_xlfn.IFS(F2278="","",F2278&lt;=5,"0 to 5",F2278&lt;=10,"5.1 to 10",F2278&lt;=20,"10 to 20", F2278&lt;= 40, "20 to 40", F2278 &lt;= 50, "40 to 50", F2278 &gt; 50, "&gt;50" )</f>
        <v>10 to 20</v>
      </c>
    </row>
    <row r="2279" spans="1:15" ht="15" customHeight="1" x14ac:dyDescent="0.3">
      <c r="A2279" t="s">
        <v>498</v>
      </c>
      <c r="B2279" s="1">
        <v>46211</v>
      </c>
      <c r="C2279" t="s">
        <v>235</v>
      </c>
      <c r="D2279">
        <v>2102</v>
      </c>
      <c r="E2279">
        <v>1</v>
      </c>
      <c r="F2279">
        <v>6</v>
      </c>
      <c r="G2279" t="s">
        <v>47</v>
      </c>
      <c r="I2279" t="str">
        <f t="shared" si="53"/>
        <v>2102_1</v>
      </c>
      <c r="J2279" t="s">
        <v>428</v>
      </c>
      <c r="K2279" t="s">
        <v>429</v>
      </c>
      <c r="L2279" t="str">
        <f>_xlfn.XLOOKUP(C2279, Table2[Species],Table2[Genus], "Code Not Found")</f>
        <v>Carpinus</v>
      </c>
      <c r="M2279" t="str">
        <f>_xlfn.XLOOKUP(C2279, Table2[Species],Table2[Sp. Name], "Code Not Found")</f>
        <v>caroliniana</v>
      </c>
      <c r="N2279" t="str">
        <f>_xlfn.XLOOKUP(C2279,Table2[Species],Table2[Family],"Code Not Found")</f>
        <v>Betulaceae</v>
      </c>
      <c r="O2279" t="str" cm="1">
        <f t="array" ref="O2279">_xlfn.IFS(F2279="","",F2279&lt;=5,"0 to 5",F2279&lt;=10,"5.1 to 10",F2279&lt;=20,"10 to 20", F2279&lt;= 40, "20 to 40", F2279 &lt;= 50, "40 to 50", F2279 &gt; 50, "&gt;50" )</f>
        <v>5.1 to 10</v>
      </c>
    </row>
    <row r="2280" spans="1:15" ht="15" customHeight="1" x14ac:dyDescent="0.3">
      <c r="A2280" t="s">
        <v>498</v>
      </c>
      <c r="B2280" s="1">
        <v>46211</v>
      </c>
      <c r="C2280" t="s">
        <v>64</v>
      </c>
      <c r="D2280">
        <v>2103</v>
      </c>
      <c r="E2280">
        <v>1</v>
      </c>
      <c r="F2280">
        <v>4.9000000000000004</v>
      </c>
      <c r="G2280" t="s">
        <v>21</v>
      </c>
      <c r="I2280" t="str">
        <f t="shared" si="53"/>
        <v>2103_1</v>
      </c>
      <c r="J2280" t="s">
        <v>428</v>
      </c>
      <c r="K2280" t="s">
        <v>429</v>
      </c>
      <c r="L2280" t="str">
        <f>_xlfn.XLOOKUP(C2280, Table2[Species],Table2[Genus], "Code Not Found")</f>
        <v>Fagus</v>
      </c>
      <c r="M2280" t="str">
        <f>_xlfn.XLOOKUP(C2280, Table2[Species],Table2[Sp. Name], "Code Not Found")</f>
        <v>grandifolia</v>
      </c>
      <c r="N2280" t="str">
        <f>_xlfn.XLOOKUP(C2280,Table2[Species],Table2[Family],"Code Not Found")</f>
        <v>Fagaceae</v>
      </c>
      <c r="O2280" t="str" cm="1">
        <f t="array" ref="O2280">_xlfn.IFS(F2280="","",F2280&lt;=5,"0 to 5",F2280&lt;=10,"5.1 to 10",F2280&lt;=20,"10 to 20", F2280&lt;= 40, "20 to 40", F2280 &lt;= 50, "40 to 50", F2280 &gt; 50, "&gt;50" )</f>
        <v>0 to 5</v>
      </c>
    </row>
    <row r="2281" spans="1:15" ht="15" customHeight="1" x14ac:dyDescent="0.3">
      <c r="A2281" t="s">
        <v>498</v>
      </c>
      <c r="B2281" s="1">
        <v>46211</v>
      </c>
      <c r="C2281" t="s">
        <v>430</v>
      </c>
      <c r="D2281">
        <v>2104</v>
      </c>
      <c r="E2281">
        <v>1</v>
      </c>
      <c r="F2281">
        <v>12.2</v>
      </c>
      <c r="G2281" t="s">
        <v>17</v>
      </c>
      <c r="I2281" t="str">
        <f t="shared" si="53"/>
        <v>2104_1</v>
      </c>
      <c r="J2281" t="s">
        <v>428</v>
      </c>
      <c r="K2281" t="s">
        <v>429</v>
      </c>
      <c r="L2281" t="str">
        <f>_xlfn.XLOOKUP(C2281, Table2[Species],Table2[Genus], "Code Not Found")</f>
        <v>Tsuga</v>
      </c>
      <c r="M2281" t="str">
        <f>_xlfn.XLOOKUP(C2281, Table2[Species],Table2[Sp. Name], "Code Not Found")</f>
        <v>canadensis</v>
      </c>
      <c r="N2281" t="str">
        <f>_xlfn.XLOOKUP(C2281,Table2[Species],Table2[Family],"Code Not Found")</f>
        <v>Pinaceae</v>
      </c>
      <c r="O2281" t="str" cm="1">
        <f t="array" ref="O2281">_xlfn.IFS(F2281="","",F2281&lt;=5,"0 to 5",F2281&lt;=10,"5.1 to 10",F2281&lt;=20,"10 to 20", F2281&lt;= 40, "20 to 40", F2281 &lt;= 50, "40 to 50", F2281 &gt; 50, "&gt;50" )</f>
        <v>10 to 20</v>
      </c>
    </row>
    <row r="2282" spans="1:15" ht="15" customHeight="1" x14ac:dyDescent="0.3">
      <c r="A2282" t="s">
        <v>498</v>
      </c>
      <c r="B2282" s="1">
        <v>46211</v>
      </c>
      <c r="C2282" t="s">
        <v>64</v>
      </c>
      <c r="D2282">
        <v>2105</v>
      </c>
      <c r="E2282">
        <v>1</v>
      </c>
      <c r="F2282">
        <v>2.2999999999999998</v>
      </c>
      <c r="G2282" t="s">
        <v>21</v>
      </c>
      <c r="I2282" t="str">
        <f t="shared" si="53"/>
        <v>2105_1</v>
      </c>
      <c r="J2282" t="s">
        <v>428</v>
      </c>
      <c r="K2282" t="s">
        <v>429</v>
      </c>
      <c r="L2282" t="str">
        <f>_xlfn.XLOOKUP(C2282, Table2[Species],Table2[Genus], "Code Not Found")</f>
        <v>Fagus</v>
      </c>
      <c r="M2282" t="str">
        <f>_xlfn.XLOOKUP(C2282, Table2[Species],Table2[Sp. Name], "Code Not Found")</f>
        <v>grandifolia</v>
      </c>
      <c r="N2282" t="str">
        <f>_xlfn.XLOOKUP(C2282,Table2[Species],Table2[Family],"Code Not Found")</f>
        <v>Fagaceae</v>
      </c>
      <c r="O2282" t="str" cm="1">
        <f t="array" ref="O2282">_xlfn.IFS(F2282="","",F2282&lt;=5,"0 to 5",F2282&lt;=10,"5.1 to 10",F2282&lt;=20,"10 to 20", F2282&lt;= 40, "20 to 40", F2282 &lt;= 50, "40 to 50", F2282 &gt; 50, "&gt;50" )</f>
        <v>0 to 5</v>
      </c>
    </row>
    <row r="2283" spans="1:15" ht="15" customHeight="1" x14ac:dyDescent="0.3">
      <c r="A2283" t="s">
        <v>498</v>
      </c>
      <c r="B2283" s="1">
        <v>46211</v>
      </c>
      <c r="C2283" t="s">
        <v>55</v>
      </c>
      <c r="D2283">
        <v>2106</v>
      </c>
      <c r="E2283">
        <v>1</v>
      </c>
      <c r="F2283">
        <v>1</v>
      </c>
      <c r="G2283" t="s">
        <v>501</v>
      </c>
      <c r="H2283" t="s">
        <v>467</v>
      </c>
      <c r="I2283" t="str">
        <f t="shared" si="53"/>
        <v>2106_1</v>
      </c>
      <c r="J2283" t="s">
        <v>428</v>
      </c>
      <c r="K2283" t="s">
        <v>429</v>
      </c>
      <c r="L2283" t="str">
        <f>_xlfn.XLOOKUP(C2283, Table2[Species],Table2[Genus], "Code Not Found")</f>
        <v>Magnolia</v>
      </c>
      <c r="M2283" t="str">
        <f>_xlfn.XLOOKUP(C2283, Table2[Species],Table2[Sp. Name], "Code Not Found")</f>
        <v>acuminata</v>
      </c>
      <c r="N2283" t="str">
        <f>_xlfn.XLOOKUP(C2283,Table2[Species],Table2[Family],"Code Not Found")</f>
        <v>Magnoliaceae</v>
      </c>
      <c r="O2283" t="str" cm="1">
        <f t="array" ref="O2283">_xlfn.IFS(F2283="","",F2283&lt;=5,"0 to 5",F2283&lt;=10,"5.1 to 10",F2283&lt;=20,"10 to 20", F2283&lt;= 40, "20 to 40", F2283 &lt;= 50, "40 to 50", F2283 &gt; 50, "&gt;50" )</f>
        <v>0 to 5</v>
      </c>
    </row>
    <row r="2284" spans="1:15" ht="15" customHeight="1" x14ac:dyDescent="0.3">
      <c r="A2284" t="s">
        <v>498</v>
      </c>
      <c r="B2284" s="1">
        <v>46211</v>
      </c>
      <c r="C2284" t="s">
        <v>430</v>
      </c>
      <c r="D2284">
        <v>2107</v>
      </c>
      <c r="E2284">
        <v>1</v>
      </c>
      <c r="F2284">
        <v>41</v>
      </c>
      <c r="G2284" t="s">
        <v>21</v>
      </c>
      <c r="I2284" t="str">
        <f t="shared" si="53"/>
        <v>2107_1</v>
      </c>
      <c r="J2284" t="s">
        <v>428</v>
      </c>
      <c r="K2284" t="s">
        <v>429</v>
      </c>
      <c r="L2284" t="str">
        <f>_xlfn.XLOOKUP(C2284, Table2[Species],Table2[Genus], "Code Not Found")</f>
        <v>Tsuga</v>
      </c>
      <c r="M2284" t="str">
        <f>_xlfn.XLOOKUP(C2284, Table2[Species],Table2[Sp. Name], "Code Not Found")</f>
        <v>canadensis</v>
      </c>
      <c r="N2284" t="str">
        <f>_xlfn.XLOOKUP(C2284,Table2[Species],Table2[Family],"Code Not Found")</f>
        <v>Pinaceae</v>
      </c>
      <c r="O2284" t="str" cm="1">
        <f t="array" ref="O2284">_xlfn.IFS(F2284="","",F2284&lt;=5,"0 to 5",F2284&lt;=10,"5.1 to 10",F2284&lt;=20,"10 to 20", F2284&lt;= 40, "20 to 40", F2284 &lt;= 50, "40 to 50", F2284 &gt; 50, "&gt;50" )</f>
        <v>40 to 50</v>
      </c>
    </row>
    <row r="2285" spans="1:15" ht="15" customHeight="1" x14ac:dyDescent="0.3">
      <c r="A2285" t="s">
        <v>498</v>
      </c>
      <c r="B2285" s="1">
        <v>46211</v>
      </c>
      <c r="C2285" t="s">
        <v>187</v>
      </c>
      <c r="D2285">
        <v>2108</v>
      </c>
      <c r="E2285">
        <v>1</v>
      </c>
      <c r="F2285">
        <v>32</v>
      </c>
      <c r="G2285" t="s">
        <v>21</v>
      </c>
      <c r="I2285" t="str">
        <f t="shared" si="53"/>
        <v>2108_1</v>
      </c>
      <c r="J2285" t="s">
        <v>428</v>
      </c>
      <c r="K2285" t="s">
        <v>429</v>
      </c>
      <c r="L2285" t="str">
        <f>_xlfn.XLOOKUP(C2285, Table2[Species],Table2[Genus], "Code Not Found")</f>
        <v>Carya</v>
      </c>
      <c r="M2285" t="str">
        <f>_xlfn.XLOOKUP(C2285, Table2[Species],Table2[Sp. Name], "Code Not Found")</f>
        <v>cordiformis</v>
      </c>
      <c r="N2285" t="str">
        <f>_xlfn.XLOOKUP(C2285,Table2[Species],Table2[Family],"Code Not Found")</f>
        <v>Juglandaceae</v>
      </c>
      <c r="O2285" t="str" cm="1">
        <f t="array" ref="O2285">_xlfn.IFS(F2285="","",F2285&lt;=5,"0 to 5",F2285&lt;=10,"5.1 to 10",F2285&lt;=20,"10 to 20", F2285&lt;= 40, "20 to 40", F2285 &lt;= 50, "40 to 50", F2285 &gt; 50, "&gt;50" )</f>
        <v>20 to 40</v>
      </c>
    </row>
    <row r="2286" spans="1:15" ht="15" customHeight="1" x14ac:dyDescent="0.3">
      <c r="A2286" t="s">
        <v>498</v>
      </c>
      <c r="B2286" s="1">
        <v>46211</v>
      </c>
      <c r="C2286" t="s">
        <v>64</v>
      </c>
      <c r="D2286">
        <v>2109</v>
      </c>
      <c r="E2286">
        <v>1</v>
      </c>
      <c r="F2286">
        <v>3.9</v>
      </c>
      <c r="G2286" t="s">
        <v>17</v>
      </c>
      <c r="H2286" t="s">
        <v>359</v>
      </c>
      <c r="I2286" t="str">
        <f t="shared" si="53"/>
        <v>2109_1</v>
      </c>
      <c r="J2286" t="s">
        <v>428</v>
      </c>
      <c r="K2286" t="s">
        <v>429</v>
      </c>
      <c r="L2286" t="str">
        <f>_xlfn.XLOOKUP(C2286, Table2[Species],Table2[Genus], "Code Not Found")</f>
        <v>Fagus</v>
      </c>
      <c r="M2286" t="str">
        <f>_xlfn.XLOOKUP(C2286, Table2[Species],Table2[Sp. Name], "Code Not Found")</f>
        <v>grandifolia</v>
      </c>
      <c r="N2286" t="str">
        <f>_xlfn.XLOOKUP(C2286,Table2[Species],Table2[Family],"Code Not Found")</f>
        <v>Fagaceae</v>
      </c>
      <c r="O2286" t="str" cm="1">
        <f t="array" ref="O2286">_xlfn.IFS(F2286="","",F2286&lt;=5,"0 to 5",F2286&lt;=10,"5.1 to 10",F2286&lt;=20,"10 to 20", F2286&lt;= 40, "20 to 40", F2286 &lt;= 50, "40 to 50", F2286 &gt; 50, "&gt;50" )</f>
        <v>0 to 5</v>
      </c>
    </row>
    <row r="2287" spans="1:15" ht="15" customHeight="1" x14ac:dyDescent="0.3">
      <c r="A2287" t="s">
        <v>498</v>
      </c>
      <c r="B2287" s="1">
        <v>46211</v>
      </c>
      <c r="C2287" t="s">
        <v>64</v>
      </c>
      <c r="D2287">
        <v>2110</v>
      </c>
      <c r="E2287">
        <v>1</v>
      </c>
      <c r="F2287">
        <v>4.9000000000000004</v>
      </c>
      <c r="G2287" t="s">
        <v>47</v>
      </c>
      <c r="H2287" t="s">
        <v>357</v>
      </c>
      <c r="I2287" t="str">
        <f t="shared" si="53"/>
        <v>2110_1</v>
      </c>
      <c r="J2287" t="s">
        <v>428</v>
      </c>
      <c r="K2287" t="s">
        <v>429</v>
      </c>
      <c r="L2287" t="str">
        <f>_xlfn.XLOOKUP(C2287, Table2[Species],Table2[Genus], "Code Not Found")</f>
        <v>Fagus</v>
      </c>
      <c r="M2287" t="str">
        <f>_xlfn.XLOOKUP(C2287, Table2[Species],Table2[Sp. Name], "Code Not Found")</f>
        <v>grandifolia</v>
      </c>
      <c r="N2287" t="str">
        <f>_xlfn.XLOOKUP(C2287,Table2[Species],Table2[Family],"Code Not Found")</f>
        <v>Fagaceae</v>
      </c>
      <c r="O2287" t="str" cm="1">
        <f t="array" ref="O2287">_xlfn.IFS(F2287="","",F2287&lt;=5,"0 to 5",F2287&lt;=10,"5.1 to 10",F2287&lt;=20,"10 to 20", F2287&lt;= 40, "20 to 40", F2287 &lt;= 50, "40 to 50", F2287 &gt; 50, "&gt;50" )</f>
        <v>0 to 5</v>
      </c>
    </row>
    <row r="2288" spans="1:15" ht="15" customHeight="1" x14ac:dyDescent="0.3">
      <c r="A2288" t="s">
        <v>498</v>
      </c>
      <c r="B2288" s="1">
        <v>46211</v>
      </c>
      <c r="C2288" t="s">
        <v>64</v>
      </c>
      <c r="D2288">
        <v>2111</v>
      </c>
      <c r="E2288">
        <v>1</v>
      </c>
      <c r="F2288">
        <v>4.3</v>
      </c>
      <c r="G2288" t="s">
        <v>88</v>
      </c>
      <c r="H2288" t="s">
        <v>262</v>
      </c>
      <c r="I2288" t="str">
        <f t="shared" si="53"/>
        <v>2111_1</v>
      </c>
      <c r="J2288" t="s">
        <v>428</v>
      </c>
      <c r="K2288" t="s">
        <v>429</v>
      </c>
      <c r="L2288" t="str">
        <f>_xlfn.XLOOKUP(C2288, Table2[Species],Table2[Genus], "Code Not Found")</f>
        <v>Fagus</v>
      </c>
      <c r="M2288" t="str">
        <f>_xlfn.XLOOKUP(C2288, Table2[Species],Table2[Sp. Name], "Code Not Found")</f>
        <v>grandifolia</v>
      </c>
      <c r="N2288" t="str">
        <f>_xlfn.XLOOKUP(C2288,Table2[Species],Table2[Family],"Code Not Found")</f>
        <v>Fagaceae</v>
      </c>
      <c r="O2288" t="str" cm="1">
        <f t="array" ref="O2288">_xlfn.IFS(F2288="","",F2288&lt;=5,"0 to 5",F2288&lt;=10,"5.1 to 10",F2288&lt;=20,"10 to 20", F2288&lt;= 40, "20 to 40", F2288 &lt;= 50, "40 to 50", F2288 &gt; 50, "&gt;50" )</f>
        <v>0 to 5</v>
      </c>
    </row>
    <row r="2289" spans="1:15" ht="15" customHeight="1" x14ac:dyDescent="0.3">
      <c r="A2289" t="s">
        <v>498</v>
      </c>
      <c r="B2289" s="1">
        <v>46211</v>
      </c>
      <c r="C2289" t="s">
        <v>64</v>
      </c>
      <c r="D2289">
        <v>2112</v>
      </c>
      <c r="E2289">
        <v>1</v>
      </c>
      <c r="F2289">
        <v>1.1000000000000001</v>
      </c>
      <c r="G2289" t="s">
        <v>365</v>
      </c>
      <c r="I2289" t="str">
        <f t="shared" si="53"/>
        <v>2112_1</v>
      </c>
      <c r="J2289" t="s">
        <v>428</v>
      </c>
      <c r="K2289" t="s">
        <v>429</v>
      </c>
      <c r="L2289" t="str">
        <f>_xlfn.XLOOKUP(C2289, Table2[Species],Table2[Genus], "Code Not Found")</f>
        <v>Fagus</v>
      </c>
      <c r="M2289" t="str">
        <f>_xlfn.XLOOKUP(C2289, Table2[Species],Table2[Sp. Name], "Code Not Found")</f>
        <v>grandifolia</v>
      </c>
      <c r="N2289" t="str">
        <f>_xlfn.XLOOKUP(C2289,Table2[Species],Table2[Family],"Code Not Found")</f>
        <v>Fagaceae</v>
      </c>
      <c r="O2289" t="str" cm="1">
        <f t="array" ref="O2289">_xlfn.IFS(F2289="","",F2289&lt;=5,"0 to 5",F2289&lt;=10,"5.1 to 10",F2289&lt;=20,"10 to 20", F2289&lt;= 40, "20 to 40", F2289 &lt;= 50, "40 to 50", F2289 &gt; 50, "&gt;50" )</f>
        <v>0 to 5</v>
      </c>
    </row>
    <row r="2290" spans="1:15" ht="15" customHeight="1" x14ac:dyDescent="0.3">
      <c r="A2290" t="s">
        <v>498</v>
      </c>
      <c r="B2290" s="1">
        <v>46211</v>
      </c>
      <c r="C2290" t="s">
        <v>16</v>
      </c>
      <c r="D2290">
        <v>2113</v>
      </c>
      <c r="E2290">
        <v>1</v>
      </c>
      <c r="F2290">
        <v>10.7</v>
      </c>
      <c r="G2290" t="s">
        <v>30</v>
      </c>
      <c r="H2290" t="s">
        <v>262</v>
      </c>
      <c r="I2290" t="str">
        <f t="shared" si="53"/>
        <v>2113_1</v>
      </c>
      <c r="J2290" t="s">
        <v>428</v>
      </c>
      <c r="K2290" t="s">
        <v>429</v>
      </c>
      <c r="L2290" t="str">
        <f>_xlfn.XLOOKUP(C2290, Table2[Species],Table2[Genus], "Code Not Found")</f>
        <v>Acer</v>
      </c>
      <c r="M2290" t="str">
        <f>_xlfn.XLOOKUP(C2290, Table2[Species],Table2[Sp. Name], "Code Not Found")</f>
        <v>saccharum</v>
      </c>
      <c r="N2290" t="str">
        <f>_xlfn.XLOOKUP(C2290,Table2[Species],Table2[Family],"Code Not Found")</f>
        <v>Sapindaceae</v>
      </c>
      <c r="O2290" t="str" cm="1">
        <f t="array" ref="O2290">_xlfn.IFS(F2290="","",F2290&lt;=5,"0 to 5",F2290&lt;=10,"5.1 to 10",F2290&lt;=20,"10 to 20", F2290&lt;= 40, "20 to 40", F2290 &lt;= 50, "40 to 50", F2290 &gt; 50, "&gt;50" )</f>
        <v>10 to 20</v>
      </c>
    </row>
    <row r="2291" spans="1:15" ht="15" customHeight="1" x14ac:dyDescent="0.3">
      <c r="A2291" t="s">
        <v>498</v>
      </c>
      <c r="B2291" s="1">
        <v>46211</v>
      </c>
      <c r="C2291" t="s">
        <v>64</v>
      </c>
      <c r="D2291">
        <v>2114</v>
      </c>
      <c r="E2291">
        <v>1</v>
      </c>
      <c r="F2291">
        <v>6.2</v>
      </c>
      <c r="G2291" t="s">
        <v>21</v>
      </c>
      <c r="I2291" t="str">
        <f t="shared" si="53"/>
        <v>2114_1</v>
      </c>
      <c r="J2291" t="s">
        <v>428</v>
      </c>
      <c r="K2291" t="s">
        <v>429</v>
      </c>
      <c r="L2291" t="str">
        <f>_xlfn.XLOOKUP(C2291, Table2[Species],Table2[Genus], "Code Not Found")</f>
        <v>Fagus</v>
      </c>
      <c r="M2291" t="str">
        <f>_xlfn.XLOOKUP(C2291, Table2[Species],Table2[Sp. Name], "Code Not Found")</f>
        <v>grandifolia</v>
      </c>
      <c r="N2291" t="str">
        <f>_xlfn.XLOOKUP(C2291,Table2[Species],Table2[Family],"Code Not Found")</f>
        <v>Fagaceae</v>
      </c>
      <c r="O2291" t="str" cm="1">
        <f t="array" ref="O2291">_xlfn.IFS(F2291="","",F2291&lt;=5,"0 to 5",F2291&lt;=10,"5.1 to 10",F2291&lt;=20,"10 to 20", F2291&lt;= 40, "20 to 40", F2291 &lt;= 50, "40 to 50", F2291 &gt; 50, "&gt;50" )</f>
        <v>5.1 to 10</v>
      </c>
    </row>
    <row r="2292" spans="1:15" ht="15" customHeight="1" x14ac:dyDescent="0.3">
      <c r="A2292" t="s">
        <v>498</v>
      </c>
      <c r="B2292" s="1">
        <v>46211</v>
      </c>
      <c r="C2292" t="s">
        <v>64</v>
      </c>
      <c r="D2292">
        <v>2115</v>
      </c>
      <c r="E2292">
        <v>1</v>
      </c>
      <c r="F2292">
        <v>5.8</v>
      </c>
      <c r="G2292" t="s">
        <v>21</v>
      </c>
      <c r="I2292" t="str">
        <f t="shared" si="53"/>
        <v>2115_1</v>
      </c>
      <c r="J2292" t="s">
        <v>428</v>
      </c>
      <c r="K2292" t="s">
        <v>429</v>
      </c>
      <c r="L2292" t="str">
        <f>_xlfn.XLOOKUP(C2292, Table2[Species],Table2[Genus], "Code Not Found")</f>
        <v>Fagus</v>
      </c>
      <c r="M2292" t="str">
        <f>_xlfn.XLOOKUP(C2292, Table2[Species],Table2[Sp. Name], "Code Not Found")</f>
        <v>grandifolia</v>
      </c>
      <c r="N2292" t="str">
        <f>_xlfn.XLOOKUP(C2292,Table2[Species],Table2[Family],"Code Not Found")</f>
        <v>Fagaceae</v>
      </c>
      <c r="O2292" t="str" cm="1">
        <f t="array" ref="O2292">_xlfn.IFS(F2292="","",F2292&lt;=5,"0 to 5",F2292&lt;=10,"5.1 to 10",F2292&lt;=20,"10 to 20", F2292&lt;= 40, "20 to 40", F2292 &lt;= 50, "40 to 50", F2292 &gt; 50, "&gt;50" )</f>
        <v>5.1 to 10</v>
      </c>
    </row>
    <row r="2293" spans="1:15" ht="15" customHeight="1" x14ac:dyDescent="0.3">
      <c r="A2293" t="s">
        <v>498</v>
      </c>
      <c r="B2293" s="1">
        <v>46211</v>
      </c>
      <c r="C2293" t="s">
        <v>64</v>
      </c>
      <c r="D2293">
        <v>2116</v>
      </c>
      <c r="E2293">
        <v>1</v>
      </c>
      <c r="F2293">
        <v>4.4000000000000004</v>
      </c>
      <c r="G2293" t="s">
        <v>94</v>
      </c>
      <c r="H2293" t="s">
        <v>377</v>
      </c>
      <c r="I2293" t="str">
        <f t="shared" si="53"/>
        <v>2116_1</v>
      </c>
      <c r="J2293" t="s">
        <v>428</v>
      </c>
      <c r="K2293" t="s">
        <v>429</v>
      </c>
      <c r="L2293" t="str">
        <f>_xlfn.XLOOKUP(C2293, Table2[Species],Table2[Genus], "Code Not Found")</f>
        <v>Fagus</v>
      </c>
      <c r="M2293" t="str">
        <f>_xlfn.XLOOKUP(C2293, Table2[Species],Table2[Sp. Name], "Code Not Found")</f>
        <v>grandifolia</v>
      </c>
      <c r="N2293" t="str">
        <f>_xlfn.XLOOKUP(C2293,Table2[Species],Table2[Family],"Code Not Found")</f>
        <v>Fagaceae</v>
      </c>
      <c r="O2293" t="str" cm="1">
        <f t="array" ref="O2293">_xlfn.IFS(F2293="","",F2293&lt;=5,"0 to 5",F2293&lt;=10,"5.1 to 10",F2293&lt;=20,"10 to 20", F2293&lt;= 40, "20 to 40", F2293 &lt;= 50, "40 to 50", F2293 &gt; 50, "&gt;50" )</f>
        <v>0 to 5</v>
      </c>
    </row>
    <row r="2294" spans="1:15" ht="15" customHeight="1" x14ac:dyDescent="0.3">
      <c r="A2294" t="s">
        <v>498</v>
      </c>
      <c r="B2294" s="1">
        <v>46211</v>
      </c>
      <c r="C2294" t="s">
        <v>16</v>
      </c>
      <c r="D2294">
        <v>2117</v>
      </c>
      <c r="E2294">
        <v>1</v>
      </c>
      <c r="F2294">
        <v>2.9</v>
      </c>
      <c r="G2294" t="s">
        <v>30</v>
      </c>
      <c r="H2294" t="s">
        <v>262</v>
      </c>
      <c r="I2294" t="str">
        <f t="shared" si="53"/>
        <v>2117_1</v>
      </c>
      <c r="J2294" t="s">
        <v>428</v>
      </c>
      <c r="K2294" t="s">
        <v>429</v>
      </c>
      <c r="L2294" t="str">
        <f>_xlfn.XLOOKUP(C2294, Table2[Species],Table2[Genus], "Code Not Found")</f>
        <v>Acer</v>
      </c>
      <c r="M2294" t="str">
        <f>_xlfn.XLOOKUP(C2294, Table2[Species],Table2[Sp. Name], "Code Not Found")</f>
        <v>saccharum</v>
      </c>
      <c r="N2294" t="str">
        <f>_xlfn.XLOOKUP(C2294,Table2[Species],Table2[Family],"Code Not Found")</f>
        <v>Sapindaceae</v>
      </c>
      <c r="O2294" t="str" cm="1">
        <f t="array" ref="O2294">_xlfn.IFS(F2294="","",F2294&lt;=5,"0 to 5",F2294&lt;=10,"5.1 to 10",F2294&lt;=20,"10 to 20", F2294&lt;= 40, "20 to 40", F2294 &lt;= 50, "40 to 50", F2294 &gt; 50, "&gt;50" )</f>
        <v>0 to 5</v>
      </c>
    </row>
    <row r="2295" spans="1:15" ht="15" customHeight="1" x14ac:dyDescent="0.3">
      <c r="A2295" t="s">
        <v>498</v>
      </c>
      <c r="B2295" s="1">
        <v>46211</v>
      </c>
      <c r="C2295" t="s">
        <v>430</v>
      </c>
      <c r="D2295">
        <v>2118</v>
      </c>
      <c r="E2295">
        <v>1</v>
      </c>
      <c r="F2295">
        <v>6.1</v>
      </c>
      <c r="G2295" t="s">
        <v>381</v>
      </c>
      <c r="H2295" t="s">
        <v>99</v>
      </c>
      <c r="I2295" t="str">
        <f t="shared" si="53"/>
        <v>2118_1</v>
      </c>
      <c r="J2295" t="s">
        <v>428</v>
      </c>
      <c r="K2295" t="s">
        <v>429</v>
      </c>
      <c r="L2295" t="str">
        <f>_xlfn.XLOOKUP(C2295, Table2[Species],Table2[Genus], "Code Not Found")</f>
        <v>Tsuga</v>
      </c>
      <c r="M2295" t="str">
        <f>_xlfn.XLOOKUP(C2295, Table2[Species],Table2[Sp. Name], "Code Not Found")</f>
        <v>canadensis</v>
      </c>
      <c r="N2295" t="str">
        <f>_xlfn.XLOOKUP(C2295,Table2[Species],Table2[Family],"Code Not Found")</f>
        <v>Pinaceae</v>
      </c>
      <c r="O2295" t="str" cm="1">
        <f t="array" ref="O2295">_xlfn.IFS(F2295="","",F2295&lt;=5,"0 to 5",F2295&lt;=10,"5.1 to 10",F2295&lt;=20,"10 to 20", F2295&lt;= 40, "20 to 40", F2295 &lt;= 50, "40 to 50", F2295 &gt; 50, "&gt;50" )</f>
        <v>5.1 to 10</v>
      </c>
    </row>
    <row r="2296" spans="1:15" ht="15" customHeight="1" x14ac:dyDescent="0.3">
      <c r="A2296" t="s">
        <v>498</v>
      </c>
      <c r="B2296" s="1">
        <v>46211</v>
      </c>
      <c r="C2296" t="s">
        <v>430</v>
      </c>
      <c r="D2296">
        <v>2119</v>
      </c>
      <c r="E2296">
        <v>1</v>
      </c>
      <c r="F2296">
        <v>10.1</v>
      </c>
      <c r="G2296" t="s">
        <v>17</v>
      </c>
      <c r="I2296" t="str">
        <f t="shared" si="53"/>
        <v>2119_1</v>
      </c>
      <c r="J2296" t="s">
        <v>428</v>
      </c>
      <c r="K2296" t="s">
        <v>429</v>
      </c>
      <c r="L2296" t="str">
        <f>_xlfn.XLOOKUP(C2296, Table2[Species],Table2[Genus], "Code Not Found")</f>
        <v>Tsuga</v>
      </c>
      <c r="M2296" t="str">
        <f>_xlfn.XLOOKUP(C2296, Table2[Species],Table2[Sp. Name], "Code Not Found")</f>
        <v>canadensis</v>
      </c>
      <c r="N2296" t="str">
        <f>_xlfn.XLOOKUP(C2296,Table2[Species],Table2[Family],"Code Not Found")</f>
        <v>Pinaceae</v>
      </c>
      <c r="O2296" t="str" cm="1">
        <f t="array" ref="O2296">_xlfn.IFS(F2296="","",F2296&lt;=5,"0 to 5",F2296&lt;=10,"5.1 to 10",F2296&lt;=20,"10 to 20", F2296&lt;= 40, "20 to 40", F2296 &lt;= 50, "40 to 50", F2296 &gt; 50, "&gt;50" )</f>
        <v>10 to 20</v>
      </c>
    </row>
    <row r="2297" spans="1:15" ht="15" customHeight="1" x14ac:dyDescent="0.3">
      <c r="A2297" t="s">
        <v>498</v>
      </c>
      <c r="B2297" s="1">
        <v>46211</v>
      </c>
      <c r="C2297" t="s">
        <v>430</v>
      </c>
      <c r="D2297">
        <v>2120</v>
      </c>
      <c r="E2297">
        <v>1</v>
      </c>
      <c r="F2297">
        <v>21</v>
      </c>
      <c r="G2297" t="s">
        <v>21</v>
      </c>
      <c r="I2297" t="str">
        <f t="shared" si="53"/>
        <v>2120_1</v>
      </c>
      <c r="J2297" t="s">
        <v>428</v>
      </c>
      <c r="K2297" t="s">
        <v>429</v>
      </c>
      <c r="L2297" t="str">
        <f>_xlfn.XLOOKUP(C2297, Table2[Species],Table2[Genus], "Code Not Found")</f>
        <v>Tsuga</v>
      </c>
      <c r="M2297" t="str">
        <f>_xlfn.XLOOKUP(C2297, Table2[Species],Table2[Sp. Name], "Code Not Found")</f>
        <v>canadensis</v>
      </c>
      <c r="N2297" t="str">
        <f>_xlfn.XLOOKUP(C2297,Table2[Species],Table2[Family],"Code Not Found")</f>
        <v>Pinaceae</v>
      </c>
      <c r="O2297" t="str" cm="1">
        <f t="array" ref="O2297">_xlfn.IFS(F2297="","",F2297&lt;=5,"0 to 5",F2297&lt;=10,"5.1 to 10",F2297&lt;=20,"10 to 20", F2297&lt;= 40, "20 to 40", F2297 &lt;= 50, "40 to 50", F2297 &gt; 50, "&gt;50" )</f>
        <v>20 to 40</v>
      </c>
    </row>
    <row r="2298" spans="1:15" ht="15" customHeight="1" x14ac:dyDescent="0.3">
      <c r="A2298" t="s">
        <v>498</v>
      </c>
      <c r="B2298" s="1">
        <v>46211</v>
      </c>
      <c r="C2298" t="s">
        <v>430</v>
      </c>
      <c r="D2298">
        <v>2121</v>
      </c>
      <c r="E2298">
        <v>1</v>
      </c>
      <c r="F2298">
        <v>3.3</v>
      </c>
      <c r="G2298" t="s">
        <v>88</v>
      </c>
      <c r="H2298" t="s">
        <v>305</v>
      </c>
      <c r="I2298" t="str">
        <f t="shared" si="53"/>
        <v>2121_1</v>
      </c>
      <c r="J2298" t="s">
        <v>428</v>
      </c>
      <c r="K2298" t="s">
        <v>429</v>
      </c>
      <c r="L2298" t="str">
        <f>_xlfn.XLOOKUP(C2298, Table2[Species],Table2[Genus], "Code Not Found")</f>
        <v>Tsuga</v>
      </c>
      <c r="M2298" t="str">
        <f>_xlfn.XLOOKUP(C2298, Table2[Species],Table2[Sp. Name], "Code Not Found")</f>
        <v>canadensis</v>
      </c>
      <c r="N2298" t="str">
        <f>_xlfn.XLOOKUP(C2298,Table2[Species],Table2[Family],"Code Not Found")</f>
        <v>Pinaceae</v>
      </c>
      <c r="O2298" t="str" cm="1">
        <f t="array" ref="O2298">_xlfn.IFS(F2298="","",F2298&lt;=5,"0 to 5",F2298&lt;=10,"5.1 to 10",F2298&lt;=20,"10 to 20", F2298&lt;= 40, "20 to 40", F2298 &lt;= 50, "40 to 50", F2298 &gt; 50, "&gt;50" )</f>
        <v>0 to 5</v>
      </c>
    </row>
    <row r="2299" spans="1:15" ht="15" customHeight="1" x14ac:dyDescent="0.3">
      <c r="A2299" t="s">
        <v>498</v>
      </c>
      <c r="B2299" s="1">
        <v>46211</v>
      </c>
      <c r="C2299" t="s">
        <v>16</v>
      </c>
      <c r="D2299">
        <v>2122</v>
      </c>
      <c r="E2299">
        <v>1</v>
      </c>
      <c r="F2299">
        <v>63.3</v>
      </c>
      <c r="G2299" t="s">
        <v>56</v>
      </c>
      <c r="I2299" t="str">
        <f t="shared" si="53"/>
        <v>2122_1</v>
      </c>
      <c r="J2299" t="s">
        <v>428</v>
      </c>
      <c r="K2299" t="s">
        <v>429</v>
      </c>
      <c r="L2299" t="str">
        <f>_xlfn.XLOOKUP(C2299, Table2[Species],Table2[Genus], "Code Not Found")</f>
        <v>Acer</v>
      </c>
      <c r="M2299" t="str">
        <f>_xlfn.XLOOKUP(C2299, Table2[Species],Table2[Sp. Name], "Code Not Found")</f>
        <v>saccharum</v>
      </c>
      <c r="N2299" t="str">
        <f>_xlfn.XLOOKUP(C2299,Table2[Species],Table2[Family],"Code Not Found")</f>
        <v>Sapindaceae</v>
      </c>
      <c r="O2299" t="str" cm="1">
        <f t="array" ref="O2299">_xlfn.IFS(F2299="","",F2299&lt;=5,"0 to 5",F2299&lt;=10,"5.1 to 10",F2299&lt;=20,"10 to 20", F2299&lt;= 40, "20 to 40", F2299 &lt;= 50, "40 to 50", F2299 &gt; 50, "&gt;50" )</f>
        <v>&gt;50</v>
      </c>
    </row>
    <row r="2300" spans="1:15" ht="15" customHeight="1" x14ac:dyDescent="0.3">
      <c r="A2300" t="s">
        <v>498</v>
      </c>
      <c r="B2300" s="1">
        <v>46211</v>
      </c>
      <c r="C2300" t="s">
        <v>430</v>
      </c>
      <c r="D2300">
        <v>2123</v>
      </c>
      <c r="E2300">
        <v>1</v>
      </c>
      <c r="F2300">
        <v>16.2</v>
      </c>
      <c r="G2300" t="s">
        <v>88</v>
      </c>
      <c r="H2300" t="s">
        <v>262</v>
      </c>
      <c r="I2300" t="str">
        <f t="shared" si="53"/>
        <v>2123_1</v>
      </c>
      <c r="J2300" t="s">
        <v>428</v>
      </c>
      <c r="K2300" t="s">
        <v>429</v>
      </c>
      <c r="L2300" t="str">
        <f>_xlfn.XLOOKUP(C2300, Table2[Species],Table2[Genus], "Code Not Found")</f>
        <v>Tsuga</v>
      </c>
      <c r="M2300" t="str">
        <f>_xlfn.XLOOKUP(C2300, Table2[Species],Table2[Sp. Name], "Code Not Found")</f>
        <v>canadensis</v>
      </c>
      <c r="N2300" t="str">
        <f>_xlfn.XLOOKUP(C2300,Table2[Species],Table2[Family],"Code Not Found")</f>
        <v>Pinaceae</v>
      </c>
      <c r="O2300" t="str" cm="1">
        <f t="array" ref="O2300">_xlfn.IFS(F2300="","",F2300&lt;=5,"0 to 5",F2300&lt;=10,"5.1 to 10",F2300&lt;=20,"10 to 20", F2300&lt;= 40, "20 to 40", F2300 &lt;= 50, "40 to 50", F2300 &gt; 50, "&gt;50" )</f>
        <v>10 to 20</v>
      </c>
    </row>
    <row r="2301" spans="1:15" ht="15" customHeight="1" x14ac:dyDescent="0.3">
      <c r="A2301" t="s">
        <v>498</v>
      </c>
      <c r="B2301" s="1">
        <v>46211</v>
      </c>
      <c r="C2301" t="s">
        <v>430</v>
      </c>
      <c r="D2301">
        <v>2124</v>
      </c>
      <c r="E2301">
        <v>1</v>
      </c>
      <c r="F2301">
        <v>8.8000000000000007</v>
      </c>
      <c r="G2301" t="s">
        <v>381</v>
      </c>
      <c r="H2301" t="s">
        <v>492</v>
      </c>
      <c r="I2301" t="str">
        <f t="shared" si="53"/>
        <v>2124_1</v>
      </c>
      <c r="J2301" t="s">
        <v>428</v>
      </c>
      <c r="K2301" t="s">
        <v>429</v>
      </c>
      <c r="L2301" t="str">
        <f>_xlfn.XLOOKUP(C2301, Table2[Species],Table2[Genus], "Code Not Found")</f>
        <v>Tsuga</v>
      </c>
      <c r="M2301" t="str">
        <f>_xlfn.XLOOKUP(C2301, Table2[Species],Table2[Sp. Name], "Code Not Found")</f>
        <v>canadensis</v>
      </c>
      <c r="N2301" t="str">
        <f>_xlfn.XLOOKUP(C2301,Table2[Species],Table2[Family],"Code Not Found")</f>
        <v>Pinaceae</v>
      </c>
      <c r="O2301" t="str" cm="1">
        <f t="array" ref="O2301">_xlfn.IFS(F2301="","",F2301&lt;=5,"0 to 5",F2301&lt;=10,"5.1 to 10",F2301&lt;=20,"10 to 20", F2301&lt;= 40, "20 to 40", F2301 &lt;= 50, "40 to 50", F2301 &gt; 50, "&gt;50" )</f>
        <v>5.1 to 10</v>
      </c>
    </row>
    <row r="2302" spans="1:15" ht="15" customHeight="1" x14ac:dyDescent="0.3">
      <c r="A2302" t="s">
        <v>498</v>
      </c>
      <c r="B2302" s="1">
        <v>46211</v>
      </c>
      <c r="C2302" t="s">
        <v>430</v>
      </c>
      <c r="D2302">
        <v>2125</v>
      </c>
      <c r="E2302">
        <v>1</v>
      </c>
      <c r="F2302">
        <v>14.3</v>
      </c>
      <c r="G2302" t="s">
        <v>47</v>
      </c>
      <c r="H2302" t="s">
        <v>502</v>
      </c>
      <c r="I2302" t="str">
        <f t="shared" si="53"/>
        <v>2125_1</v>
      </c>
      <c r="J2302" t="s">
        <v>428</v>
      </c>
      <c r="K2302" t="s">
        <v>429</v>
      </c>
      <c r="L2302" t="str">
        <f>_xlfn.XLOOKUP(C2302, Table2[Species],Table2[Genus], "Code Not Found")</f>
        <v>Tsuga</v>
      </c>
      <c r="M2302" t="str">
        <f>_xlfn.XLOOKUP(C2302, Table2[Species],Table2[Sp. Name], "Code Not Found")</f>
        <v>canadensis</v>
      </c>
      <c r="N2302" t="str">
        <f>_xlfn.XLOOKUP(C2302,Table2[Species],Table2[Family],"Code Not Found")</f>
        <v>Pinaceae</v>
      </c>
      <c r="O2302" t="str" cm="1">
        <f t="array" ref="O2302">_xlfn.IFS(F2302="","",F2302&lt;=5,"0 to 5",F2302&lt;=10,"5.1 to 10",F2302&lt;=20,"10 to 20", F2302&lt;= 40, "20 to 40", F2302 &lt;= 50, "40 to 50", F2302 &gt; 50, "&gt;50" )</f>
        <v>10 to 20</v>
      </c>
    </row>
    <row r="2303" spans="1:15" ht="15" customHeight="1" x14ac:dyDescent="0.3">
      <c r="A2303" t="s">
        <v>498</v>
      </c>
      <c r="B2303" s="1">
        <v>46211</v>
      </c>
      <c r="C2303" t="s">
        <v>16</v>
      </c>
      <c r="D2303">
        <v>2126</v>
      </c>
      <c r="E2303">
        <v>1</v>
      </c>
      <c r="F2303">
        <v>35.5</v>
      </c>
      <c r="G2303" t="s">
        <v>21</v>
      </c>
      <c r="I2303" t="str">
        <f t="shared" ref="I2303:I2366" si="54">D2303&amp;"_"&amp;E2303</f>
        <v>2126_1</v>
      </c>
      <c r="J2303" t="s">
        <v>428</v>
      </c>
      <c r="K2303" t="s">
        <v>429</v>
      </c>
      <c r="L2303" t="str">
        <f>_xlfn.XLOOKUP(C2303, Table2[Species],Table2[Genus], "Code Not Found")</f>
        <v>Acer</v>
      </c>
      <c r="M2303" t="str">
        <f>_xlfn.XLOOKUP(C2303, Table2[Species],Table2[Sp. Name], "Code Not Found")</f>
        <v>saccharum</v>
      </c>
      <c r="N2303" t="str">
        <f>_xlfn.XLOOKUP(C2303,Table2[Species],Table2[Family],"Code Not Found")</f>
        <v>Sapindaceae</v>
      </c>
      <c r="O2303" t="str" cm="1">
        <f t="array" ref="O2303">_xlfn.IFS(F2303="","",F2303&lt;=5,"0 to 5",F2303&lt;=10,"5.1 to 10",F2303&lt;=20,"10 to 20", F2303&lt;= 40, "20 to 40", F2303 &lt;= 50, "40 to 50", F2303 &gt; 50, "&gt;50" )</f>
        <v>20 to 40</v>
      </c>
    </row>
    <row r="2304" spans="1:15" ht="15" customHeight="1" x14ac:dyDescent="0.3">
      <c r="A2304" t="s">
        <v>498</v>
      </c>
      <c r="B2304" s="1">
        <v>46211</v>
      </c>
      <c r="C2304" t="s">
        <v>64</v>
      </c>
      <c r="D2304">
        <v>2127</v>
      </c>
      <c r="E2304">
        <v>1</v>
      </c>
      <c r="F2304">
        <v>1.2</v>
      </c>
      <c r="G2304" t="s">
        <v>47</v>
      </c>
      <c r="H2304" t="s">
        <v>467</v>
      </c>
      <c r="I2304" t="str">
        <f t="shared" si="54"/>
        <v>2127_1</v>
      </c>
      <c r="J2304" t="s">
        <v>428</v>
      </c>
      <c r="K2304" t="s">
        <v>429</v>
      </c>
      <c r="L2304" t="str">
        <f>_xlfn.XLOOKUP(C2304, Table2[Species],Table2[Genus], "Code Not Found")</f>
        <v>Fagus</v>
      </c>
      <c r="M2304" t="str">
        <f>_xlfn.XLOOKUP(C2304, Table2[Species],Table2[Sp. Name], "Code Not Found")</f>
        <v>grandifolia</v>
      </c>
      <c r="N2304" t="str">
        <f>_xlfn.XLOOKUP(C2304,Table2[Species],Table2[Family],"Code Not Found")</f>
        <v>Fagaceae</v>
      </c>
      <c r="O2304" t="str" cm="1">
        <f t="array" ref="O2304">_xlfn.IFS(F2304="","",F2304&lt;=5,"0 to 5",F2304&lt;=10,"5.1 to 10",F2304&lt;=20,"10 to 20", F2304&lt;= 40, "20 to 40", F2304 &lt;= 50, "40 to 50", F2304 &gt; 50, "&gt;50" )</f>
        <v>0 to 5</v>
      </c>
    </row>
    <row r="2305" spans="1:15" ht="15" customHeight="1" x14ac:dyDescent="0.3">
      <c r="A2305" t="s">
        <v>498</v>
      </c>
      <c r="B2305" s="1">
        <v>46211</v>
      </c>
      <c r="C2305" t="s">
        <v>430</v>
      </c>
      <c r="D2305">
        <v>2128</v>
      </c>
      <c r="E2305">
        <v>1</v>
      </c>
      <c r="F2305">
        <v>22.8</v>
      </c>
      <c r="G2305" t="s">
        <v>17</v>
      </c>
      <c r="I2305" t="str">
        <f t="shared" si="54"/>
        <v>2128_1</v>
      </c>
      <c r="J2305" t="s">
        <v>428</v>
      </c>
      <c r="K2305" t="s">
        <v>429</v>
      </c>
      <c r="L2305" t="str">
        <f>_xlfn.XLOOKUP(C2305, Table2[Species],Table2[Genus], "Code Not Found")</f>
        <v>Tsuga</v>
      </c>
      <c r="M2305" t="str">
        <f>_xlfn.XLOOKUP(C2305, Table2[Species],Table2[Sp. Name], "Code Not Found")</f>
        <v>canadensis</v>
      </c>
      <c r="N2305" t="str">
        <f>_xlfn.XLOOKUP(C2305,Table2[Species],Table2[Family],"Code Not Found")</f>
        <v>Pinaceae</v>
      </c>
      <c r="O2305" t="str" cm="1">
        <f t="array" ref="O2305">_xlfn.IFS(F2305="","",F2305&lt;=5,"0 to 5",F2305&lt;=10,"5.1 to 10",F2305&lt;=20,"10 to 20", F2305&lt;= 40, "20 to 40", F2305 &lt;= 50, "40 to 50", F2305 &gt; 50, "&gt;50" )</f>
        <v>20 to 40</v>
      </c>
    </row>
    <row r="2306" spans="1:15" ht="15" customHeight="1" x14ac:dyDescent="0.3">
      <c r="A2306" t="s">
        <v>498</v>
      </c>
      <c r="B2306" s="1">
        <v>46211</v>
      </c>
      <c r="C2306" t="s">
        <v>16</v>
      </c>
      <c r="D2306">
        <v>2129</v>
      </c>
      <c r="E2306">
        <v>1</v>
      </c>
      <c r="F2306">
        <v>44.1</v>
      </c>
      <c r="G2306" t="s">
        <v>21</v>
      </c>
      <c r="I2306" t="str">
        <f t="shared" si="54"/>
        <v>2129_1</v>
      </c>
      <c r="J2306" t="s">
        <v>428</v>
      </c>
      <c r="K2306" t="s">
        <v>429</v>
      </c>
      <c r="L2306" t="str">
        <f>_xlfn.XLOOKUP(C2306, Table2[Species],Table2[Genus], "Code Not Found")</f>
        <v>Acer</v>
      </c>
      <c r="M2306" t="str">
        <f>_xlfn.XLOOKUP(C2306, Table2[Species],Table2[Sp. Name], "Code Not Found")</f>
        <v>saccharum</v>
      </c>
      <c r="N2306" t="str">
        <f>_xlfn.XLOOKUP(C2306,Table2[Species],Table2[Family],"Code Not Found")</f>
        <v>Sapindaceae</v>
      </c>
      <c r="O2306" t="str" cm="1">
        <f t="array" ref="O2306">_xlfn.IFS(F2306="","",F2306&lt;=5,"0 to 5",F2306&lt;=10,"5.1 to 10",F2306&lt;=20,"10 to 20", F2306&lt;= 40, "20 to 40", F2306 &lt;= 50, "40 to 50", F2306 &gt; 50, "&gt;50" )</f>
        <v>40 to 50</v>
      </c>
    </row>
    <row r="2307" spans="1:15" ht="15" customHeight="1" x14ac:dyDescent="0.3">
      <c r="A2307" t="s">
        <v>498</v>
      </c>
      <c r="B2307" s="1">
        <v>46211</v>
      </c>
      <c r="C2307" t="s">
        <v>16</v>
      </c>
      <c r="D2307">
        <v>2130</v>
      </c>
      <c r="E2307">
        <v>1</v>
      </c>
      <c r="F2307">
        <v>6.9</v>
      </c>
      <c r="G2307" t="s">
        <v>56</v>
      </c>
      <c r="I2307" t="str">
        <f t="shared" si="54"/>
        <v>2130_1</v>
      </c>
      <c r="J2307" t="s">
        <v>428</v>
      </c>
      <c r="K2307" t="s">
        <v>429</v>
      </c>
      <c r="L2307" t="str">
        <f>_xlfn.XLOOKUP(C2307, Table2[Species],Table2[Genus], "Code Not Found")</f>
        <v>Acer</v>
      </c>
      <c r="M2307" t="str">
        <f>_xlfn.XLOOKUP(C2307, Table2[Species],Table2[Sp. Name], "Code Not Found")</f>
        <v>saccharum</v>
      </c>
      <c r="N2307" t="str">
        <f>_xlfn.XLOOKUP(C2307,Table2[Species],Table2[Family],"Code Not Found")</f>
        <v>Sapindaceae</v>
      </c>
      <c r="O2307" t="str" cm="1">
        <f t="array" ref="O2307">_xlfn.IFS(F2307="","",F2307&lt;=5,"0 to 5",F2307&lt;=10,"5.1 to 10",F2307&lt;=20,"10 to 20", F2307&lt;= 40, "20 to 40", F2307 &lt;= 50, "40 to 50", F2307 &gt; 50, "&gt;50" )</f>
        <v>5.1 to 10</v>
      </c>
    </row>
    <row r="2308" spans="1:15" ht="15" customHeight="1" x14ac:dyDescent="0.3">
      <c r="A2308" t="s">
        <v>498</v>
      </c>
      <c r="B2308" s="1">
        <v>46211</v>
      </c>
      <c r="C2308" t="s">
        <v>64</v>
      </c>
      <c r="D2308">
        <v>2131</v>
      </c>
      <c r="E2308">
        <v>1</v>
      </c>
      <c r="F2308">
        <v>4.4000000000000004</v>
      </c>
      <c r="G2308" t="s">
        <v>21</v>
      </c>
      <c r="I2308" t="str">
        <f t="shared" si="54"/>
        <v>2131_1</v>
      </c>
      <c r="J2308" t="s">
        <v>428</v>
      </c>
      <c r="K2308" t="s">
        <v>429</v>
      </c>
      <c r="L2308" t="str">
        <f>_xlfn.XLOOKUP(C2308, Table2[Species],Table2[Genus], "Code Not Found")</f>
        <v>Fagus</v>
      </c>
      <c r="M2308" t="str">
        <f>_xlfn.XLOOKUP(C2308, Table2[Species],Table2[Sp. Name], "Code Not Found")</f>
        <v>grandifolia</v>
      </c>
      <c r="N2308" t="str">
        <f>_xlfn.XLOOKUP(C2308,Table2[Species],Table2[Family],"Code Not Found")</f>
        <v>Fagaceae</v>
      </c>
      <c r="O2308" t="str" cm="1">
        <f t="array" ref="O2308">_xlfn.IFS(F2308="","",F2308&lt;=5,"0 to 5",F2308&lt;=10,"5.1 to 10",F2308&lt;=20,"10 to 20", F2308&lt;= 40, "20 to 40", F2308 &lt;= 50, "40 to 50", F2308 &gt; 50, "&gt;50" )</f>
        <v>0 to 5</v>
      </c>
    </row>
    <row r="2309" spans="1:15" ht="15" customHeight="1" x14ac:dyDescent="0.3">
      <c r="A2309" t="s">
        <v>498</v>
      </c>
      <c r="B2309" s="1">
        <v>46211</v>
      </c>
      <c r="C2309" t="s">
        <v>64</v>
      </c>
      <c r="D2309">
        <v>2132</v>
      </c>
      <c r="E2309">
        <v>1</v>
      </c>
      <c r="F2309">
        <v>1.8</v>
      </c>
      <c r="G2309" t="s">
        <v>503</v>
      </c>
      <c r="I2309" t="str">
        <f t="shared" si="54"/>
        <v>2132_1</v>
      </c>
      <c r="J2309" t="s">
        <v>428</v>
      </c>
      <c r="K2309" t="s">
        <v>429</v>
      </c>
      <c r="L2309" t="str">
        <f>_xlfn.XLOOKUP(C2309, Table2[Species],Table2[Genus], "Code Not Found")</f>
        <v>Fagus</v>
      </c>
      <c r="M2309" t="str">
        <f>_xlfn.XLOOKUP(C2309, Table2[Species],Table2[Sp. Name], "Code Not Found")</f>
        <v>grandifolia</v>
      </c>
      <c r="N2309" t="str">
        <f>_xlfn.XLOOKUP(C2309,Table2[Species],Table2[Family],"Code Not Found")</f>
        <v>Fagaceae</v>
      </c>
      <c r="O2309" t="str" cm="1">
        <f t="array" ref="O2309">_xlfn.IFS(F2309="","",F2309&lt;=5,"0 to 5",F2309&lt;=10,"5.1 to 10",F2309&lt;=20,"10 to 20", F2309&lt;= 40, "20 to 40", F2309 &lt;= 50, "40 to 50", F2309 &gt; 50, "&gt;50" )</f>
        <v>0 to 5</v>
      </c>
    </row>
    <row r="2310" spans="1:15" ht="15" customHeight="1" x14ac:dyDescent="0.3">
      <c r="A2310" t="s">
        <v>498</v>
      </c>
      <c r="B2310" s="1">
        <v>46211</v>
      </c>
      <c r="C2310" t="s">
        <v>64</v>
      </c>
      <c r="D2310">
        <v>2132</v>
      </c>
      <c r="E2310">
        <v>2</v>
      </c>
      <c r="F2310">
        <v>1.3</v>
      </c>
      <c r="G2310" t="s">
        <v>503</v>
      </c>
      <c r="I2310" t="str">
        <f t="shared" si="54"/>
        <v>2132_2</v>
      </c>
      <c r="J2310" t="s">
        <v>428</v>
      </c>
      <c r="K2310" t="s">
        <v>429</v>
      </c>
      <c r="L2310" t="str">
        <f>_xlfn.XLOOKUP(C2310, Table2[Species],Table2[Genus], "Code Not Found")</f>
        <v>Fagus</v>
      </c>
      <c r="M2310" t="str">
        <f>_xlfn.XLOOKUP(C2310, Table2[Species],Table2[Sp. Name], "Code Not Found")</f>
        <v>grandifolia</v>
      </c>
      <c r="N2310" t="str">
        <f>_xlfn.XLOOKUP(C2310,Table2[Species],Table2[Family],"Code Not Found")</f>
        <v>Fagaceae</v>
      </c>
      <c r="O2310" t="str" cm="1">
        <f t="array" ref="O2310">_xlfn.IFS(F2310="","",F2310&lt;=5,"0 to 5",F2310&lt;=10,"5.1 to 10",F2310&lt;=20,"10 to 20", F2310&lt;= 40, "20 to 40", F2310 &lt;= 50, "40 to 50", F2310 &gt; 50, "&gt;50" )</f>
        <v>0 to 5</v>
      </c>
    </row>
    <row r="2311" spans="1:15" ht="15" customHeight="1" x14ac:dyDescent="0.3">
      <c r="A2311" t="s">
        <v>498</v>
      </c>
      <c r="B2311" s="1">
        <v>46211</v>
      </c>
      <c r="C2311" t="s">
        <v>64</v>
      </c>
      <c r="D2311">
        <v>2133</v>
      </c>
      <c r="E2311">
        <v>1</v>
      </c>
      <c r="F2311">
        <v>5.9</v>
      </c>
      <c r="G2311" t="s">
        <v>21</v>
      </c>
      <c r="I2311" t="str">
        <f t="shared" si="54"/>
        <v>2133_1</v>
      </c>
      <c r="J2311" t="s">
        <v>428</v>
      </c>
      <c r="K2311" t="s">
        <v>429</v>
      </c>
      <c r="L2311" t="str">
        <f>_xlfn.XLOOKUP(C2311, Table2[Species],Table2[Genus], "Code Not Found")</f>
        <v>Fagus</v>
      </c>
      <c r="M2311" t="str">
        <f>_xlfn.XLOOKUP(C2311, Table2[Species],Table2[Sp. Name], "Code Not Found")</f>
        <v>grandifolia</v>
      </c>
      <c r="N2311" t="str">
        <f>_xlfn.XLOOKUP(C2311,Table2[Species],Table2[Family],"Code Not Found")</f>
        <v>Fagaceae</v>
      </c>
      <c r="O2311" t="str" cm="1">
        <f t="array" ref="O2311">_xlfn.IFS(F2311="","",F2311&lt;=5,"0 to 5",F2311&lt;=10,"5.1 to 10",F2311&lt;=20,"10 to 20", F2311&lt;= 40, "20 to 40", F2311 &lt;= 50, "40 to 50", F2311 &gt; 50, "&gt;50" )</f>
        <v>5.1 to 10</v>
      </c>
    </row>
    <row r="2312" spans="1:15" ht="15" customHeight="1" x14ac:dyDescent="0.3">
      <c r="A2312" t="s">
        <v>498</v>
      </c>
      <c r="B2312" s="1">
        <v>46211</v>
      </c>
      <c r="C2312" t="s">
        <v>64</v>
      </c>
      <c r="D2312">
        <v>2134</v>
      </c>
      <c r="E2312">
        <v>1</v>
      </c>
      <c r="F2312">
        <v>1.6</v>
      </c>
      <c r="G2312" t="s">
        <v>21</v>
      </c>
      <c r="I2312" t="str">
        <f t="shared" si="54"/>
        <v>2134_1</v>
      </c>
      <c r="J2312" t="s">
        <v>428</v>
      </c>
      <c r="K2312" t="s">
        <v>429</v>
      </c>
      <c r="L2312" t="str">
        <f>_xlfn.XLOOKUP(C2312, Table2[Species],Table2[Genus], "Code Not Found")</f>
        <v>Fagus</v>
      </c>
      <c r="M2312" t="str">
        <f>_xlfn.XLOOKUP(C2312, Table2[Species],Table2[Sp. Name], "Code Not Found")</f>
        <v>grandifolia</v>
      </c>
      <c r="N2312" t="str">
        <f>_xlfn.XLOOKUP(C2312,Table2[Species],Table2[Family],"Code Not Found")</f>
        <v>Fagaceae</v>
      </c>
      <c r="O2312" t="str" cm="1">
        <f t="array" ref="O2312">_xlfn.IFS(F2312="","",F2312&lt;=5,"0 to 5",F2312&lt;=10,"5.1 to 10",F2312&lt;=20,"10 to 20", F2312&lt;= 40, "20 to 40", F2312 &lt;= 50, "40 to 50", F2312 &gt; 50, "&gt;50" )</f>
        <v>0 to 5</v>
      </c>
    </row>
    <row r="2313" spans="1:15" ht="15" customHeight="1" x14ac:dyDescent="0.3">
      <c r="A2313" t="s">
        <v>498</v>
      </c>
      <c r="B2313" s="1">
        <v>46211</v>
      </c>
      <c r="C2313" t="s">
        <v>64</v>
      </c>
      <c r="D2313">
        <v>2135</v>
      </c>
      <c r="E2313">
        <v>1</v>
      </c>
      <c r="F2313">
        <v>2</v>
      </c>
      <c r="G2313" t="s">
        <v>139</v>
      </c>
      <c r="H2313" t="s">
        <v>504</v>
      </c>
      <c r="I2313" t="str">
        <f t="shared" si="54"/>
        <v>2135_1</v>
      </c>
      <c r="J2313" t="s">
        <v>428</v>
      </c>
      <c r="K2313" t="s">
        <v>429</v>
      </c>
      <c r="L2313" t="str">
        <f>_xlfn.XLOOKUP(C2313, Table2[Species],Table2[Genus], "Code Not Found")</f>
        <v>Fagus</v>
      </c>
      <c r="M2313" t="str">
        <f>_xlfn.XLOOKUP(C2313, Table2[Species],Table2[Sp. Name], "Code Not Found")</f>
        <v>grandifolia</v>
      </c>
      <c r="N2313" t="str">
        <f>_xlfn.XLOOKUP(C2313,Table2[Species],Table2[Family],"Code Not Found")</f>
        <v>Fagaceae</v>
      </c>
      <c r="O2313" t="str" cm="1">
        <f t="array" ref="O2313">_xlfn.IFS(F2313="","",F2313&lt;=5,"0 to 5",F2313&lt;=10,"5.1 to 10",F2313&lt;=20,"10 to 20", F2313&lt;= 40, "20 to 40", F2313 &lt;= 50, "40 to 50", F2313 &gt; 50, "&gt;50" )</f>
        <v>0 to 5</v>
      </c>
    </row>
    <row r="2314" spans="1:15" ht="15" customHeight="1" x14ac:dyDescent="0.3">
      <c r="A2314" t="s">
        <v>498</v>
      </c>
      <c r="B2314" s="1">
        <v>46211</v>
      </c>
      <c r="C2314" t="s">
        <v>16</v>
      </c>
      <c r="D2314">
        <v>2136</v>
      </c>
      <c r="E2314">
        <v>1</v>
      </c>
      <c r="F2314">
        <v>59.2</v>
      </c>
      <c r="G2314" t="s">
        <v>480</v>
      </c>
      <c r="I2314" t="str">
        <f t="shared" si="54"/>
        <v>2136_1</v>
      </c>
      <c r="J2314" t="s">
        <v>428</v>
      </c>
      <c r="K2314" t="s">
        <v>429</v>
      </c>
      <c r="L2314" t="str">
        <f>_xlfn.XLOOKUP(C2314, Table2[Species],Table2[Genus], "Code Not Found")</f>
        <v>Acer</v>
      </c>
      <c r="M2314" t="str">
        <f>_xlfn.XLOOKUP(C2314, Table2[Species],Table2[Sp. Name], "Code Not Found")</f>
        <v>saccharum</v>
      </c>
      <c r="N2314" t="str">
        <f>_xlfn.XLOOKUP(C2314,Table2[Species],Table2[Family],"Code Not Found")</f>
        <v>Sapindaceae</v>
      </c>
      <c r="O2314" t="str" cm="1">
        <f t="array" ref="O2314">_xlfn.IFS(F2314="","",F2314&lt;=5,"0 to 5",F2314&lt;=10,"5.1 to 10",F2314&lt;=20,"10 to 20", F2314&lt;= 40, "20 to 40", F2314 &lt;= 50, "40 to 50", F2314 &gt; 50, "&gt;50" )</f>
        <v>&gt;50</v>
      </c>
    </row>
    <row r="2315" spans="1:15" ht="15" customHeight="1" x14ac:dyDescent="0.3">
      <c r="A2315" t="s">
        <v>498</v>
      </c>
      <c r="B2315" s="1">
        <v>46211</v>
      </c>
      <c r="C2315" t="s">
        <v>64</v>
      </c>
      <c r="D2315">
        <v>2137</v>
      </c>
      <c r="E2315">
        <v>1</v>
      </c>
      <c r="F2315">
        <v>2.5</v>
      </c>
      <c r="G2315" t="s">
        <v>21</v>
      </c>
      <c r="I2315" t="str">
        <f t="shared" si="54"/>
        <v>2137_1</v>
      </c>
      <c r="J2315" t="s">
        <v>428</v>
      </c>
      <c r="K2315" t="s">
        <v>429</v>
      </c>
      <c r="L2315" t="str">
        <f>_xlfn.XLOOKUP(C2315, Table2[Species],Table2[Genus], "Code Not Found")</f>
        <v>Fagus</v>
      </c>
      <c r="M2315" t="str">
        <f>_xlfn.XLOOKUP(C2315, Table2[Species],Table2[Sp. Name], "Code Not Found")</f>
        <v>grandifolia</v>
      </c>
      <c r="N2315" t="str">
        <f>_xlfn.XLOOKUP(C2315,Table2[Species],Table2[Family],"Code Not Found")</f>
        <v>Fagaceae</v>
      </c>
      <c r="O2315" t="str" cm="1">
        <f t="array" ref="O2315">_xlfn.IFS(F2315="","",F2315&lt;=5,"0 to 5",F2315&lt;=10,"5.1 to 10",F2315&lt;=20,"10 to 20", F2315&lt;= 40, "20 to 40", F2315 &lt;= 50, "40 to 50", F2315 &gt; 50, "&gt;50" )</f>
        <v>0 to 5</v>
      </c>
    </row>
    <row r="2316" spans="1:15" ht="15" customHeight="1" x14ac:dyDescent="0.3">
      <c r="A2316" t="s">
        <v>498</v>
      </c>
      <c r="B2316" s="1">
        <v>46211</v>
      </c>
      <c r="C2316" t="s">
        <v>64</v>
      </c>
      <c r="D2316">
        <v>2138</v>
      </c>
      <c r="E2316">
        <v>1</v>
      </c>
      <c r="F2316">
        <v>1.3</v>
      </c>
      <c r="G2316" t="s">
        <v>359</v>
      </c>
      <c r="I2316" t="str">
        <f t="shared" si="54"/>
        <v>2138_1</v>
      </c>
      <c r="J2316" t="s">
        <v>428</v>
      </c>
      <c r="K2316" t="s">
        <v>429</v>
      </c>
      <c r="L2316" t="str">
        <f>_xlfn.XLOOKUP(C2316, Table2[Species],Table2[Genus], "Code Not Found")</f>
        <v>Fagus</v>
      </c>
      <c r="M2316" t="str">
        <f>_xlfn.XLOOKUP(C2316, Table2[Species],Table2[Sp. Name], "Code Not Found")</f>
        <v>grandifolia</v>
      </c>
      <c r="N2316" t="str">
        <f>_xlfn.XLOOKUP(C2316,Table2[Species],Table2[Family],"Code Not Found")</f>
        <v>Fagaceae</v>
      </c>
      <c r="O2316" t="str" cm="1">
        <f t="array" ref="O2316">_xlfn.IFS(F2316="","",F2316&lt;=5,"0 to 5",F2316&lt;=10,"5.1 to 10",F2316&lt;=20,"10 to 20", F2316&lt;= 40, "20 to 40", F2316 &lt;= 50, "40 to 50", F2316 &gt; 50, "&gt;50" )</f>
        <v>0 to 5</v>
      </c>
    </row>
    <row r="2317" spans="1:15" ht="15" customHeight="1" x14ac:dyDescent="0.3">
      <c r="A2317" t="s">
        <v>498</v>
      </c>
      <c r="B2317" s="1">
        <v>46211</v>
      </c>
      <c r="C2317" t="s">
        <v>64</v>
      </c>
      <c r="D2317">
        <v>2139</v>
      </c>
      <c r="E2317">
        <v>1</v>
      </c>
      <c r="F2317">
        <v>1.5</v>
      </c>
      <c r="G2317" t="s">
        <v>88</v>
      </c>
      <c r="H2317" t="s">
        <v>432</v>
      </c>
      <c r="I2317" t="str">
        <f t="shared" si="54"/>
        <v>2139_1</v>
      </c>
      <c r="J2317" t="s">
        <v>428</v>
      </c>
      <c r="K2317" t="s">
        <v>429</v>
      </c>
      <c r="L2317" t="str">
        <f>_xlfn.XLOOKUP(C2317, Table2[Species],Table2[Genus], "Code Not Found")</f>
        <v>Fagus</v>
      </c>
      <c r="M2317" t="str">
        <f>_xlfn.XLOOKUP(C2317, Table2[Species],Table2[Sp. Name], "Code Not Found")</f>
        <v>grandifolia</v>
      </c>
      <c r="N2317" t="str">
        <f>_xlfn.XLOOKUP(C2317,Table2[Species],Table2[Family],"Code Not Found")</f>
        <v>Fagaceae</v>
      </c>
      <c r="O2317" t="str" cm="1">
        <f t="array" ref="O2317">_xlfn.IFS(F2317="","",F2317&lt;=5,"0 to 5",F2317&lt;=10,"5.1 to 10",F2317&lt;=20,"10 to 20", F2317&lt;= 40, "20 to 40", F2317 &lt;= 50, "40 to 50", F2317 &gt; 50, "&gt;50" )</f>
        <v>0 to 5</v>
      </c>
    </row>
    <row r="2318" spans="1:15" ht="15" customHeight="1" x14ac:dyDescent="0.3">
      <c r="A2318" t="s">
        <v>498</v>
      </c>
      <c r="B2318" s="1">
        <v>46211</v>
      </c>
      <c r="C2318" t="s">
        <v>16</v>
      </c>
      <c r="D2318">
        <v>2140</v>
      </c>
      <c r="E2318">
        <v>1</v>
      </c>
      <c r="F2318">
        <v>9</v>
      </c>
      <c r="G2318" t="s">
        <v>17</v>
      </c>
      <c r="I2318" t="str">
        <f t="shared" si="54"/>
        <v>2140_1</v>
      </c>
      <c r="J2318" t="s">
        <v>428</v>
      </c>
      <c r="K2318" t="s">
        <v>429</v>
      </c>
      <c r="L2318" t="str">
        <f>_xlfn.XLOOKUP(C2318, Table2[Species],Table2[Genus], "Code Not Found")</f>
        <v>Acer</v>
      </c>
      <c r="M2318" t="str">
        <f>_xlfn.XLOOKUP(C2318, Table2[Species],Table2[Sp. Name], "Code Not Found")</f>
        <v>saccharum</v>
      </c>
      <c r="N2318" t="str">
        <f>_xlfn.XLOOKUP(C2318,Table2[Species],Table2[Family],"Code Not Found")</f>
        <v>Sapindaceae</v>
      </c>
      <c r="O2318" t="str" cm="1">
        <f t="array" ref="O2318">_xlfn.IFS(F2318="","",F2318&lt;=5,"0 to 5",F2318&lt;=10,"5.1 to 10",F2318&lt;=20,"10 to 20", F2318&lt;= 40, "20 to 40", F2318 &lt;= 50, "40 to 50", F2318 &gt; 50, "&gt;50" )</f>
        <v>5.1 to 10</v>
      </c>
    </row>
    <row r="2319" spans="1:15" ht="15" customHeight="1" x14ac:dyDescent="0.3">
      <c r="A2319" t="s">
        <v>498</v>
      </c>
      <c r="B2319" s="1">
        <v>46211</v>
      </c>
      <c r="C2319" t="s">
        <v>20</v>
      </c>
      <c r="D2319">
        <v>2141</v>
      </c>
      <c r="E2319">
        <v>1</v>
      </c>
      <c r="F2319">
        <v>54.7</v>
      </c>
      <c r="G2319" t="s">
        <v>17</v>
      </c>
      <c r="H2319" t="s">
        <v>36</v>
      </c>
      <c r="I2319" t="str">
        <f t="shared" si="54"/>
        <v>2141_1</v>
      </c>
      <c r="J2319" t="s">
        <v>428</v>
      </c>
      <c r="K2319" t="s">
        <v>429</v>
      </c>
      <c r="L2319" t="str">
        <f>_xlfn.XLOOKUP(C2319, Table2[Species],Table2[Genus], "Code Not Found")</f>
        <v>Prunus</v>
      </c>
      <c r="M2319" t="str">
        <f>_xlfn.XLOOKUP(C2319, Table2[Species],Table2[Sp. Name], "Code Not Found")</f>
        <v>serotina</v>
      </c>
      <c r="N2319" t="str">
        <f>_xlfn.XLOOKUP(C2319,Table2[Species],Table2[Family],"Code Not Found")</f>
        <v>Rosaceae</v>
      </c>
      <c r="O2319" t="str" cm="1">
        <f t="array" ref="O2319">_xlfn.IFS(F2319="","",F2319&lt;=5,"0 to 5",F2319&lt;=10,"5.1 to 10",F2319&lt;=20,"10 to 20", F2319&lt;= 40, "20 to 40", F2319 &lt;= 50, "40 to 50", F2319 &gt; 50, "&gt;50" )</f>
        <v>&gt;50</v>
      </c>
    </row>
    <row r="2320" spans="1:15" ht="15" customHeight="1" x14ac:dyDescent="0.3">
      <c r="A2320" t="s">
        <v>498</v>
      </c>
      <c r="B2320" s="1">
        <v>46211</v>
      </c>
      <c r="C2320" t="s">
        <v>64</v>
      </c>
      <c r="D2320">
        <v>2142</v>
      </c>
      <c r="E2320">
        <v>1</v>
      </c>
      <c r="F2320">
        <v>2.7</v>
      </c>
      <c r="G2320" t="s">
        <v>94</v>
      </c>
      <c r="H2320" t="s">
        <v>99</v>
      </c>
      <c r="I2320" t="str">
        <f t="shared" si="54"/>
        <v>2142_1</v>
      </c>
      <c r="J2320" t="s">
        <v>428</v>
      </c>
      <c r="K2320" t="s">
        <v>429</v>
      </c>
      <c r="L2320" t="str">
        <f>_xlfn.XLOOKUP(C2320, Table2[Species],Table2[Genus], "Code Not Found")</f>
        <v>Fagus</v>
      </c>
      <c r="M2320" t="str">
        <f>_xlfn.XLOOKUP(C2320, Table2[Species],Table2[Sp. Name], "Code Not Found")</f>
        <v>grandifolia</v>
      </c>
      <c r="N2320" t="str">
        <f>_xlfn.XLOOKUP(C2320,Table2[Species],Table2[Family],"Code Not Found")</f>
        <v>Fagaceae</v>
      </c>
      <c r="O2320" t="str" cm="1">
        <f t="array" ref="O2320">_xlfn.IFS(F2320="","",F2320&lt;=5,"0 to 5",F2320&lt;=10,"5.1 to 10",F2320&lt;=20,"10 to 20", F2320&lt;= 40, "20 to 40", F2320 &lt;= 50, "40 to 50", F2320 &gt; 50, "&gt;50" )</f>
        <v>0 to 5</v>
      </c>
    </row>
    <row r="2321" spans="1:15" ht="15" customHeight="1" x14ac:dyDescent="0.3">
      <c r="A2321" t="s">
        <v>498</v>
      </c>
      <c r="B2321" s="1">
        <v>46211</v>
      </c>
      <c r="C2321" t="s">
        <v>16</v>
      </c>
      <c r="D2321">
        <v>2143</v>
      </c>
      <c r="E2321">
        <v>1</v>
      </c>
      <c r="F2321">
        <v>7.1</v>
      </c>
      <c r="G2321" t="s">
        <v>88</v>
      </c>
      <c r="H2321" t="s">
        <v>439</v>
      </c>
      <c r="I2321" t="str">
        <f t="shared" si="54"/>
        <v>2143_1</v>
      </c>
      <c r="J2321" t="s">
        <v>428</v>
      </c>
      <c r="K2321" t="s">
        <v>429</v>
      </c>
      <c r="L2321" t="str">
        <f>_xlfn.XLOOKUP(C2321, Table2[Species],Table2[Genus], "Code Not Found")</f>
        <v>Acer</v>
      </c>
      <c r="M2321" t="str">
        <f>_xlfn.XLOOKUP(C2321, Table2[Species],Table2[Sp. Name], "Code Not Found")</f>
        <v>saccharum</v>
      </c>
      <c r="N2321" t="str">
        <f>_xlfn.XLOOKUP(C2321,Table2[Species],Table2[Family],"Code Not Found")</f>
        <v>Sapindaceae</v>
      </c>
      <c r="O2321" t="str" cm="1">
        <f t="array" ref="O2321">_xlfn.IFS(F2321="","",F2321&lt;=5,"0 to 5",F2321&lt;=10,"5.1 to 10",F2321&lt;=20,"10 to 20", F2321&lt;= 40, "20 to 40", F2321 &lt;= 50, "40 to 50", F2321 &gt; 50, "&gt;50" )</f>
        <v>5.1 to 10</v>
      </c>
    </row>
    <row r="2322" spans="1:15" ht="15" customHeight="1" x14ac:dyDescent="0.3">
      <c r="A2322" t="s">
        <v>498</v>
      </c>
      <c r="B2322" s="1">
        <v>46211</v>
      </c>
      <c r="C2322" t="s">
        <v>64</v>
      </c>
      <c r="D2322">
        <v>2144</v>
      </c>
      <c r="E2322">
        <v>1</v>
      </c>
      <c r="F2322">
        <v>5.0999999999999996</v>
      </c>
      <c r="G2322" t="s">
        <v>359</v>
      </c>
      <c r="I2322" t="str">
        <f t="shared" si="54"/>
        <v>2144_1</v>
      </c>
      <c r="J2322" t="s">
        <v>428</v>
      </c>
      <c r="K2322" t="s">
        <v>429</v>
      </c>
      <c r="L2322" t="str">
        <f>_xlfn.XLOOKUP(C2322, Table2[Species],Table2[Genus], "Code Not Found")</f>
        <v>Fagus</v>
      </c>
      <c r="M2322" t="str">
        <f>_xlfn.XLOOKUP(C2322, Table2[Species],Table2[Sp. Name], "Code Not Found")</f>
        <v>grandifolia</v>
      </c>
      <c r="N2322" t="str">
        <f>_xlfn.XLOOKUP(C2322,Table2[Species],Table2[Family],"Code Not Found")</f>
        <v>Fagaceae</v>
      </c>
      <c r="O2322" t="str" cm="1">
        <f t="array" ref="O2322">_xlfn.IFS(F2322="","",F2322&lt;=5,"0 to 5",F2322&lt;=10,"5.1 to 10",F2322&lt;=20,"10 to 20", F2322&lt;= 40, "20 to 40", F2322 &lt;= 50, "40 to 50", F2322 &gt; 50, "&gt;50" )</f>
        <v>5.1 to 10</v>
      </c>
    </row>
    <row r="2323" spans="1:15" ht="15" customHeight="1" x14ac:dyDescent="0.3">
      <c r="A2323" t="s">
        <v>498</v>
      </c>
      <c r="B2323" s="1">
        <v>46211</v>
      </c>
      <c r="C2323" t="s">
        <v>20</v>
      </c>
      <c r="D2323">
        <v>2145</v>
      </c>
      <c r="E2323">
        <v>1</v>
      </c>
      <c r="F2323">
        <v>66</v>
      </c>
      <c r="G2323" t="s">
        <v>21</v>
      </c>
      <c r="I2323" t="str">
        <f t="shared" si="54"/>
        <v>2145_1</v>
      </c>
      <c r="J2323" t="s">
        <v>428</v>
      </c>
      <c r="K2323" t="s">
        <v>429</v>
      </c>
      <c r="L2323" t="str">
        <f>_xlfn.XLOOKUP(C2323, Table2[Species],Table2[Genus], "Code Not Found")</f>
        <v>Prunus</v>
      </c>
      <c r="M2323" t="str">
        <f>_xlfn.XLOOKUP(C2323, Table2[Species],Table2[Sp. Name], "Code Not Found")</f>
        <v>serotina</v>
      </c>
      <c r="N2323" t="str">
        <f>_xlfn.XLOOKUP(C2323,Table2[Species],Table2[Family],"Code Not Found")</f>
        <v>Rosaceae</v>
      </c>
      <c r="O2323" t="str" cm="1">
        <f t="array" ref="O2323">_xlfn.IFS(F2323="","",F2323&lt;=5,"0 to 5",F2323&lt;=10,"5.1 to 10",F2323&lt;=20,"10 to 20", F2323&lt;= 40, "20 to 40", F2323 &lt;= 50, "40 to 50", F2323 &gt; 50, "&gt;50" )</f>
        <v>&gt;50</v>
      </c>
    </row>
    <row r="2324" spans="1:15" ht="15" customHeight="1" x14ac:dyDescent="0.3">
      <c r="A2324" t="s">
        <v>498</v>
      </c>
      <c r="B2324" s="1">
        <v>46211</v>
      </c>
      <c r="C2324" t="s">
        <v>64</v>
      </c>
      <c r="D2324">
        <v>2146</v>
      </c>
      <c r="E2324">
        <v>1</v>
      </c>
      <c r="F2324">
        <v>4.0999999999999996</v>
      </c>
      <c r="G2324" t="s">
        <v>21</v>
      </c>
      <c r="I2324" t="str">
        <f t="shared" si="54"/>
        <v>2146_1</v>
      </c>
      <c r="J2324" t="s">
        <v>428</v>
      </c>
      <c r="K2324" t="s">
        <v>429</v>
      </c>
      <c r="L2324" t="str">
        <f>_xlfn.XLOOKUP(C2324, Table2[Species],Table2[Genus], "Code Not Found")</f>
        <v>Fagus</v>
      </c>
      <c r="M2324" t="str">
        <f>_xlfn.XLOOKUP(C2324, Table2[Species],Table2[Sp. Name], "Code Not Found")</f>
        <v>grandifolia</v>
      </c>
      <c r="N2324" t="str">
        <f>_xlfn.XLOOKUP(C2324,Table2[Species],Table2[Family],"Code Not Found")</f>
        <v>Fagaceae</v>
      </c>
      <c r="O2324" t="str" cm="1">
        <f t="array" ref="O2324">_xlfn.IFS(F2324="","",F2324&lt;=5,"0 to 5",F2324&lt;=10,"5.1 to 10",F2324&lt;=20,"10 to 20", F2324&lt;= 40, "20 to 40", F2324 &lt;= 50, "40 to 50", F2324 &gt; 50, "&gt;50" )</f>
        <v>0 to 5</v>
      </c>
    </row>
    <row r="2325" spans="1:15" ht="15" customHeight="1" x14ac:dyDescent="0.3">
      <c r="A2325" t="s">
        <v>498</v>
      </c>
      <c r="B2325" s="1">
        <v>46211</v>
      </c>
      <c r="C2325" t="s">
        <v>22</v>
      </c>
      <c r="D2325">
        <v>2147</v>
      </c>
      <c r="E2325">
        <v>1</v>
      </c>
      <c r="F2325">
        <v>37.4</v>
      </c>
      <c r="G2325" t="s">
        <v>17</v>
      </c>
      <c r="H2325" t="s">
        <v>36</v>
      </c>
      <c r="I2325" t="str">
        <f t="shared" si="54"/>
        <v>2147_1</v>
      </c>
      <c r="J2325" t="s">
        <v>428</v>
      </c>
      <c r="K2325" t="s">
        <v>429</v>
      </c>
      <c r="L2325" t="str">
        <f>_xlfn.XLOOKUP(C2325, Table2[Species],Table2[Genus], "Code Not Found")</f>
        <v>Acer</v>
      </c>
      <c r="M2325" t="str">
        <f>_xlfn.XLOOKUP(C2325, Table2[Species],Table2[Sp. Name], "Code Not Found")</f>
        <v>rubrum</v>
      </c>
      <c r="N2325" t="str">
        <f>_xlfn.XLOOKUP(C2325,Table2[Species],Table2[Family],"Code Not Found")</f>
        <v>Sapindaceae</v>
      </c>
      <c r="O2325" t="str" cm="1">
        <f t="array" ref="O2325">_xlfn.IFS(F2325="","",F2325&lt;=5,"0 to 5",F2325&lt;=10,"5.1 to 10",F2325&lt;=20,"10 to 20", F2325&lt;= 40, "20 to 40", F2325 &lt;= 50, "40 to 50", F2325 &gt; 50, "&gt;50" )</f>
        <v>20 to 40</v>
      </c>
    </row>
    <row r="2326" spans="1:15" ht="15" customHeight="1" x14ac:dyDescent="0.3">
      <c r="A2326" t="s">
        <v>498</v>
      </c>
      <c r="B2326" s="1">
        <v>46211</v>
      </c>
      <c r="C2326" t="s">
        <v>430</v>
      </c>
      <c r="D2326">
        <v>2148</v>
      </c>
      <c r="E2326">
        <v>1</v>
      </c>
      <c r="F2326">
        <v>10.8</v>
      </c>
      <c r="G2326" t="s">
        <v>505</v>
      </c>
      <c r="H2326" t="s">
        <v>99</v>
      </c>
      <c r="I2326" t="str">
        <f t="shared" si="54"/>
        <v>2148_1</v>
      </c>
      <c r="J2326" t="s">
        <v>428</v>
      </c>
      <c r="K2326" t="s">
        <v>429</v>
      </c>
      <c r="L2326" t="str">
        <f>_xlfn.XLOOKUP(C2326, Table2[Species],Table2[Genus], "Code Not Found")</f>
        <v>Tsuga</v>
      </c>
      <c r="M2326" t="str">
        <f>_xlfn.XLOOKUP(C2326, Table2[Species],Table2[Sp. Name], "Code Not Found")</f>
        <v>canadensis</v>
      </c>
      <c r="N2326" t="str">
        <f>_xlfn.XLOOKUP(C2326,Table2[Species],Table2[Family],"Code Not Found")</f>
        <v>Pinaceae</v>
      </c>
      <c r="O2326" t="str" cm="1">
        <f t="array" ref="O2326">_xlfn.IFS(F2326="","",F2326&lt;=5,"0 to 5",F2326&lt;=10,"5.1 to 10",F2326&lt;=20,"10 to 20", F2326&lt;= 40, "20 to 40", F2326 &lt;= 50, "40 to 50", F2326 &gt; 50, "&gt;50" )</f>
        <v>10 to 20</v>
      </c>
    </row>
    <row r="2327" spans="1:15" ht="15" customHeight="1" x14ac:dyDescent="0.3">
      <c r="A2327" t="s">
        <v>498</v>
      </c>
      <c r="B2327" s="1">
        <v>46211</v>
      </c>
      <c r="C2327" t="s">
        <v>430</v>
      </c>
      <c r="D2327">
        <v>2149</v>
      </c>
      <c r="E2327">
        <v>1</v>
      </c>
      <c r="F2327">
        <v>6.5</v>
      </c>
      <c r="G2327" t="s">
        <v>17</v>
      </c>
      <c r="I2327" t="str">
        <f t="shared" si="54"/>
        <v>2149_1</v>
      </c>
      <c r="J2327" t="s">
        <v>428</v>
      </c>
      <c r="K2327" t="s">
        <v>429</v>
      </c>
      <c r="L2327" t="str">
        <f>_xlfn.XLOOKUP(C2327, Table2[Species],Table2[Genus], "Code Not Found")</f>
        <v>Tsuga</v>
      </c>
      <c r="M2327" t="str">
        <f>_xlfn.XLOOKUP(C2327, Table2[Species],Table2[Sp. Name], "Code Not Found")</f>
        <v>canadensis</v>
      </c>
      <c r="N2327" t="str">
        <f>_xlfn.XLOOKUP(C2327,Table2[Species],Table2[Family],"Code Not Found")</f>
        <v>Pinaceae</v>
      </c>
      <c r="O2327" t="str" cm="1">
        <f t="array" ref="O2327">_xlfn.IFS(F2327="","",F2327&lt;=5,"0 to 5",F2327&lt;=10,"5.1 to 10",F2327&lt;=20,"10 to 20", F2327&lt;= 40, "20 to 40", F2327 &lt;= 50, "40 to 50", F2327 &gt; 50, "&gt;50" )</f>
        <v>5.1 to 10</v>
      </c>
    </row>
    <row r="2328" spans="1:15" ht="15" customHeight="1" x14ac:dyDescent="0.3">
      <c r="A2328" t="s">
        <v>498</v>
      </c>
      <c r="B2328" s="1">
        <v>46211</v>
      </c>
      <c r="C2328" t="s">
        <v>64</v>
      </c>
      <c r="D2328">
        <v>2150</v>
      </c>
      <c r="E2328">
        <v>1</v>
      </c>
      <c r="F2328">
        <v>6.8</v>
      </c>
      <c r="G2328" t="s">
        <v>359</v>
      </c>
      <c r="I2328" t="str">
        <f t="shared" si="54"/>
        <v>2150_1</v>
      </c>
      <c r="J2328" t="s">
        <v>428</v>
      </c>
      <c r="K2328" t="s">
        <v>429</v>
      </c>
      <c r="L2328" t="str">
        <f>_xlfn.XLOOKUP(C2328, Table2[Species],Table2[Genus], "Code Not Found")</f>
        <v>Fagus</v>
      </c>
      <c r="M2328" t="str">
        <f>_xlfn.XLOOKUP(C2328, Table2[Species],Table2[Sp. Name], "Code Not Found")</f>
        <v>grandifolia</v>
      </c>
      <c r="N2328" t="str">
        <f>_xlfn.XLOOKUP(C2328,Table2[Species],Table2[Family],"Code Not Found")</f>
        <v>Fagaceae</v>
      </c>
      <c r="O2328" t="str" cm="1">
        <f t="array" ref="O2328">_xlfn.IFS(F2328="","",F2328&lt;=5,"0 to 5",F2328&lt;=10,"5.1 to 10",F2328&lt;=20,"10 to 20", F2328&lt;= 40, "20 to 40", F2328 &lt;= 50, "40 to 50", F2328 &gt; 50, "&gt;50" )</f>
        <v>5.1 to 10</v>
      </c>
    </row>
    <row r="2329" spans="1:15" ht="15" customHeight="1" x14ac:dyDescent="0.3">
      <c r="A2329" t="s">
        <v>498</v>
      </c>
      <c r="B2329" s="1">
        <v>46211</v>
      </c>
      <c r="C2329" t="s">
        <v>22</v>
      </c>
      <c r="D2329">
        <v>2151</v>
      </c>
      <c r="E2329">
        <v>1</v>
      </c>
      <c r="F2329">
        <v>14.3</v>
      </c>
      <c r="G2329" t="s">
        <v>30</v>
      </c>
      <c r="H2329" t="s">
        <v>262</v>
      </c>
      <c r="I2329" t="str">
        <f t="shared" si="54"/>
        <v>2151_1</v>
      </c>
      <c r="J2329" t="s">
        <v>428</v>
      </c>
      <c r="K2329" t="s">
        <v>429</v>
      </c>
      <c r="L2329" t="str">
        <f>_xlfn.XLOOKUP(C2329, Table2[Species],Table2[Genus], "Code Not Found")</f>
        <v>Acer</v>
      </c>
      <c r="M2329" t="str">
        <f>_xlfn.XLOOKUP(C2329, Table2[Species],Table2[Sp. Name], "Code Not Found")</f>
        <v>rubrum</v>
      </c>
      <c r="N2329" t="str">
        <f>_xlfn.XLOOKUP(C2329,Table2[Species],Table2[Family],"Code Not Found")</f>
        <v>Sapindaceae</v>
      </c>
      <c r="O2329" t="str" cm="1">
        <f t="array" ref="O2329">_xlfn.IFS(F2329="","",F2329&lt;=5,"0 to 5",F2329&lt;=10,"5.1 to 10",F2329&lt;=20,"10 to 20", F2329&lt;= 40, "20 to 40", F2329 &lt;= 50, "40 to 50", F2329 &gt; 50, "&gt;50" )</f>
        <v>10 to 20</v>
      </c>
    </row>
    <row r="2330" spans="1:15" ht="15" customHeight="1" x14ac:dyDescent="0.3">
      <c r="A2330" t="s">
        <v>498</v>
      </c>
      <c r="B2330" s="1">
        <v>46211</v>
      </c>
      <c r="C2330" t="s">
        <v>430</v>
      </c>
      <c r="D2330">
        <v>2152</v>
      </c>
      <c r="E2330">
        <v>1</v>
      </c>
      <c r="F2330">
        <v>13.7</v>
      </c>
      <c r="G2330" t="s">
        <v>94</v>
      </c>
      <c r="H2330" t="s">
        <v>506</v>
      </c>
      <c r="I2330" t="str">
        <f t="shared" si="54"/>
        <v>2152_1</v>
      </c>
      <c r="J2330" t="s">
        <v>428</v>
      </c>
      <c r="K2330" t="s">
        <v>429</v>
      </c>
      <c r="L2330" t="str">
        <f>_xlfn.XLOOKUP(C2330, Table2[Species],Table2[Genus], "Code Not Found")</f>
        <v>Tsuga</v>
      </c>
      <c r="M2330" t="str">
        <f>_xlfn.XLOOKUP(C2330, Table2[Species],Table2[Sp. Name], "Code Not Found")</f>
        <v>canadensis</v>
      </c>
      <c r="N2330" t="str">
        <f>_xlfn.XLOOKUP(C2330,Table2[Species],Table2[Family],"Code Not Found")</f>
        <v>Pinaceae</v>
      </c>
      <c r="O2330" t="str" cm="1">
        <f t="array" ref="O2330">_xlfn.IFS(F2330="","",F2330&lt;=5,"0 to 5",F2330&lt;=10,"5.1 to 10",F2330&lt;=20,"10 to 20", F2330&lt;= 40, "20 to 40", F2330 &lt;= 50, "40 to 50", F2330 &gt; 50, "&gt;50" )</f>
        <v>10 to 20</v>
      </c>
    </row>
    <row r="2331" spans="1:15" ht="15" customHeight="1" x14ac:dyDescent="0.3">
      <c r="A2331" t="s">
        <v>498</v>
      </c>
      <c r="B2331" s="1">
        <v>46211</v>
      </c>
      <c r="C2331" t="s">
        <v>430</v>
      </c>
      <c r="D2331">
        <v>2153</v>
      </c>
      <c r="E2331">
        <v>1</v>
      </c>
      <c r="F2331">
        <v>10.6</v>
      </c>
      <c r="G2331" t="s">
        <v>17</v>
      </c>
      <c r="H2331" t="s">
        <v>36</v>
      </c>
      <c r="I2331" t="str">
        <f t="shared" si="54"/>
        <v>2153_1</v>
      </c>
      <c r="J2331" t="s">
        <v>428</v>
      </c>
      <c r="K2331" t="s">
        <v>429</v>
      </c>
      <c r="L2331" t="str">
        <f>_xlfn.XLOOKUP(C2331, Table2[Species],Table2[Genus], "Code Not Found")</f>
        <v>Tsuga</v>
      </c>
      <c r="M2331" t="str">
        <f>_xlfn.XLOOKUP(C2331, Table2[Species],Table2[Sp. Name], "Code Not Found")</f>
        <v>canadensis</v>
      </c>
      <c r="N2331" t="str">
        <f>_xlfn.XLOOKUP(C2331,Table2[Species],Table2[Family],"Code Not Found")</f>
        <v>Pinaceae</v>
      </c>
      <c r="O2331" t="str" cm="1">
        <f t="array" ref="O2331">_xlfn.IFS(F2331="","",F2331&lt;=5,"0 to 5",F2331&lt;=10,"5.1 to 10",F2331&lt;=20,"10 to 20", F2331&lt;= 40, "20 to 40", F2331 &lt;= 50, "40 to 50", F2331 &gt; 50, "&gt;50" )</f>
        <v>10 to 20</v>
      </c>
    </row>
    <row r="2332" spans="1:15" ht="15" customHeight="1" x14ac:dyDescent="0.3">
      <c r="A2332" t="s">
        <v>498</v>
      </c>
      <c r="B2332" s="1">
        <v>46211</v>
      </c>
      <c r="C2332" t="s">
        <v>430</v>
      </c>
      <c r="D2332">
        <v>2154</v>
      </c>
      <c r="E2332">
        <v>1</v>
      </c>
      <c r="F2332">
        <v>13.2</v>
      </c>
      <c r="G2332" t="s">
        <v>132</v>
      </c>
      <c r="H2332" t="s">
        <v>99</v>
      </c>
      <c r="I2332" t="str">
        <f t="shared" si="54"/>
        <v>2154_1</v>
      </c>
      <c r="J2332" t="s">
        <v>428</v>
      </c>
      <c r="K2332" t="s">
        <v>429</v>
      </c>
      <c r="L2332" t="str">
        <f>_xlfn.XLOOKUP(C2332, Table2[Species],Table2[Genus], "Code Not Found")</f>
        <v>Tsuga</v>
      </c>
      <c r="M2332" t="str">
        <f>_xlfn.XLOOKUP(C2332, Table2[Species],Table2[Sp. Name], "Code Not Found")</f>
        <v>canadensis</v>
      </c>
      <c r="N2332" t="str">
        <f>_xlfn.XLOOKUP(C2332,Table2[Species],Table2[Family],"Code Not Found")</f>
        <v>Pinaceae</v>
      </c>
      <c r="O2332" t="str" cm="1">
        <f t="array" ref="O2332">_xlfn.IFS(F2332="","",F2332&lt;=5,"0 to 5",F2332&lt;=10,"5.1 to 10",F2332&lt;=20,"10 to 20", F2332&lt;= 40, "20 to 40", F2332 &lt;= 50, "40 to 50", F2332 &gt; 50, "&gt;50" )</f>
        <v>10 to 20</v>
      </c>
    </row>
    <row r="2333" spans="1:15" ht="15" customHeight="1" x14ac:dyDescent="0.3">
      <c r="A2333" t="s">
        <v>498</v>
      </c>
      <c r="B2333" s="1">
        <v>46211</v>
      </c>
      <c r="C2333" t="s">
        <v>430</v>
      </c>
      <c r="D2333">
        <v>2154</v>
      </c>
      <c r="E2333">
        <v>2</v>
      </c>
      <c r="F2333">
        <v>7.4</v>
      </c>
      <c r="G2333" t="s">
        <v>132</v>
      </c>
      <c r="H2333" t="s">
        <v>99</v>
      </c>
      <c r="I2333" t="str">
        <f t="shared" si="54"/>
        <v>2154_2</v>
      </c>
      <c r="J2333" t="s">
        <v>428</v>
      </c>
      <c r="K2333" t="s">
        <v>429</v>
      </c>
      <c r="L2333" t="str">
        <f>_xlfn.XLOOKUP(C2333, Table2[Species],Table2[Genus], "Code Not Found")</f>
        <v>Tsuga</v>
      </c>
      <c r="M2333" t="str">
        <f>_xlfn.XLOOKUP(C2333, Table2[Species],Table2[Sp. Name], "Code Not Found")</f>
        <v>canadensis</v>
      </c>
      <c r="N2333" t="str">
        <f>_xlfn.XLOOKUP(C2333,Table2[Species],Table2[Family],"Code Not Found")</f>
        <v>Pinaceae</v>
      </c>
      <c r="O2333" t="str" cm="1">
        <f t="array" ref="O2333">_xlfn.IFS(F2333="","",F2333&lt;=5,"0 to 5",F2333&lt;=10,"5.1 to 10",F2333&lt;=20,"10 to 20", F2333&lt;= 40, "20 to 40", F2333 &lt;= 50, "40 to 50", F2333 &gt; 50, "&gt;50" )</f>
        <v>5.1 to 10</v>
      </c>
    </row>
    <row r="2334" spans="1:15" ht="15" customHeight="1" x14ac:dyDescent="0.3">
      <c r="A2334" t="s">
        <v>498</v>
      </c>
      <c r="B2334" s="1">
        <v>46211</v>
      </c>
      <c r="C2334" t="s">
        <v>430</v>
      </c>
      <c r="D2334">
        <v>2155</v>
      </c>
      <c r="E2334">
        <v>1</v>
      </c>
      <c r="F2334">
        <v>7</v>
      </c>
      <c r="G2334" t="s">
        <v>17</v>
      </c>
      <c r="I2334" t="str">
        <f t="shared" si="54"/>
        <v>2155_1</v>
      </c>
      <c r="J2334" t="s">
        <v>428</v>
      </c>
      <c r="K2334" t="s">
        <v>429</v>
      </c>
      <c r="L2334" t="str">
        <f>_xlfn.XLOOKUP(C2334, Table2[Species],Table2[Genus], "Code Not Found")</f>
        <v>Tsuga</v>
      </c>
      <c r="M2334" t="str">
        <f>_xlfn.XLOOKUP(C2334, Table2[Species],Table2[Sp. Name], "Code Not Found")</f>
        <v>canadensis</v>
      </c>
      <c r="N2334" t="str">
        <f>_xlfn.XLOOKUP(C2334,Table2[Species],Table2[Family],"Code Not Found")</f>
        <v>Pinaceae</v>
      </c>
      <c r="O2334" t="str" cm="1">
        <f t="array" ref="O2334">_xlfn.IFS(F2334="","",F2334&lt;=5,"0 to 5",F2334&lt;=10,"5.1 to 10",F2334&lt;=20,"10 to 20", F2334&lt;= 40, "20 to 40", F2334 &lt;= 50, "40 to 50", F2334 &gt; 50, "&gt;50" )</f>
        <v>5.1 to 10</v>
      </c>
    </row>
    <row r="2335" spans="1:15" ht="15" customHeight="1" x14ac:dyDescent="0.3">
      <c r="A2335" t="s">
        <v>498</v>
      </c>
      <c r="B2335" s="1">
        <v>46211</v>
      </c>
      <c r="C2335" t="s">
        <v>430</v>
      </c>
      <c r="D2335">
        <v>2156</v>
      </c>
      <c r="E2335">
        <v>1</v>
      </c>
      <c r="F2335">
        <v>23.6</v>
      </c>
      <c r="G2335" t="s">
        <v>17</v>
      </c>
      <c r="H2335" t="s">
        <v>36</v>
      </c>
      <c r="I2335" t="str">
        <f t="shared" si="54"/>
        <v>2156_1</v>
      </c>
      <c r="J2335" t="s">
        <v>428</v>
      </c>
      <c r="K2335" t="s">
        <v>429</v>
      </c>
      <c r="L2335" t="str">
        <f>_xlfn.XLOOKUP(C2335, Table2[Species],Table2[Genus], "Code Not Found")</f>
        <v>Tsuga</v>
      </c>
      <c r="M2335" t="str">
        <f>_xlfn.XLOOKUP(C2335, Table2[Species],Table2[Sp. Name], "Code Not Found")</f>
        <v>canadensis</v>
      </c>
      <c r="N2335" t="str">
        <f>_xlfn.XLOOKUP(C2335,Table2[Species],Table2[Family],"Code Not Found")</f>
        <v>Pinaceae</v>
      </c>
      <c r="O2335" t="str" cm="1">
        <f t="array" ref="O2335">_xlfn.IFS(F2335="","",F2335&lt;=5,"0 to 5",F2335&lt;=10,"5.1 to 10",F2335&lt;=20,"10 to 20", F2335&lt;= 40, "20 to 40", F2335 &lt;= 50, "40 to 50", F2335 &gt; 50, "&gt;50" )</f>
        <v>20 to 40</v>
      </c>
    </row>
    <row r="2336" spans="1:15" ht="15" customHeight="1" x14ac:dyDescent="0.3">
      <c r="A2336" t="s">
        <v>498</v>
      </c>
      <c r="B2336" s="1">
        <v>46211</v>
      </c>
      <c r="C2336" t="s">
        <v>64</v>
      </c>
      <c r="D2336">
        <v>2157</v>
      </c>
      <c r="E2336">
        <v>1</v>
      </c>
      <c r="F2336">
        <v>54.3</v>
      </c>
      <c r="G2336" t="s">
        <v>21</v>
      </c>
      <c r="H2336" t="s">
        <v>297</v>
      </c>
      <c r="I2336" t="str">
        <f t="shared" si="54"/>
        <v>2157_1</v>
      </c>
      <c r="J2336" t="s">
        <v>428</v>
      </c>
      <c r="K2336" t="s">
        <v>429</v>
      </c>
      <c r="L2336" t="str">
        <f>_xlfn.XLOOKUP(C2336, Table2[Species],Table2[Genus], "Code Not Found")</f>
        <v>Fagus</v>
      </c>
      <c r="M2336" t="str">
        <f>_xlfn.XLOOKUP(C2336, Table2[Species],Table2[Sp. Name], "Code Not Found")</f>
        <v>grandifolia</v>
      </c>
      <c r="N2336" t="str">
        <f>_xlfn.XLOOKUP(C2336,Table2[Species],Table2[Family],"Code Not Found")</f>
        <v>Fagaceae</v>
      </c>
      <c r="O2336" t="str" cm="1">
        <f t="array" ref="O2336">_xlfn.IFS(F2336="","",F2336&lt;=5,"0 to 5",F2336&lt;=10,"5.1 to 10",F2336&lt;=20,"10 to 20", F2336&lt;= 40, "20 to 40", F2336 &lt;= 50, "40 to 50", F2336 &gt; 50, "&gt;50" )</f>
        <v>&gt;50</v>
      </c>
    </row>
    <row r="2337" spans="1:15" ht="15" customHeight="1" x14ac:dyDescent="0.3">
      <c r="A2337" t="s">
        <v>498</v>
      </c>
      <c r="B2337" s="1">
        <v>46211</v>
      </c>
      <c r="C2337" t="s">
        <v>16</v>
      </c>
      <c r="D2337">
        <v>2158</v>
      </c>
      <c r="E2337">
        <v>1</v>
      </c>
      <c r="F2337">
        <v>47.5</v>
      </c>
      <c r="G2337" t="s">
        <v>21</v>
      </c>
      <c r="I2337" t="str">
        <f t="shared" si="54"/>
        <v>2158_1</v>
      </c>
      <c r="J2337" t="s">
        <v>428</v>
      </c>
      <c r="K2337" t="s">
        <v>429</v>
      </c>
      <c r="L2337" t="str">
        <f>_xlfn.XLOOKUP(C2337, Table2[Species],Table2[Genus], "Code Not Found")</f>
        <v>Acer</v>
      </c>
      <c r="M2337" t="str">
        <f>_xlfn.XLOOKUP(C2337, Table2[Species],Table2[Sp. Name], "Code Not Found")</f>
        <v>saccharum</v>
      </c>
      <c r="N2337" t="str">
        <f>_xlfn.XLOOKUP(C2337,Table2[Species],Table2[Family],"Code Not Found")</f>
        <v>Sapindaceae</v>
      </c>
      <c r="O2337" t="str" cm="1">
        <f t="array" ref="O2337">_xlfn.IFS(F2337="","",F2337&lt;=5,"0 to 5",F2337&lt;=10,"5.1 to 10",F2337&lt;=20,"10 to 20", F2337&lt;= 40, "20 to 40", F2337 &lt;= 50, "40 to 50", F2337 &gt; 50, "&gt;50" )</f>
        <v>40 to 50</v>
      </c>
    </row>
    <row r="2338" spans="1:15" ht="15" customHeight="1" x14ac:dyDescent="0.3">
      <c r="A2338" t="s">
        <v>498</v>
      </c>
      <c r="B2338" s="1">
        <v>46211</v>
      </c>
      <c r="C2338" t="s">
        <v>430</v>
      </c>
      <c r="D2338">
        <v>2159</v>
      </c>
      <c r="E2338">
        <v>1</v>
      </c>
      <c r="F2338">
        <v>14.4</v>
      </c>
      <c r="G2338" t="s">
        <v>17</v>
      </c>
      <c r="I2338" t="str">
        <f t="shared" si="54"/>
        <v>2159_1</v>
      </c>
      <c r="J2338" t="s">
        <v>428</v>
      </c>
      <c r="K2338" t="s">
        <v>429</v>
      </c>
      <c r="L2338" t="str">
        <f>_xlfn.XLOOKUP(C2338, Table2[Species],Table2[Genus], "Code Not Found")</f>
        <v>Tsuga</v>
      </c>
      <c r="M2338" t="str">
        <f>_xlfn.XLOOKUP(C2338, Table2[Species],Table2[Sp. Name], "Code Not Found")</f>
        <v>canadensis</v>
      </c>
      <c r="N2338" t="str">
        <f>_xlfn.XLOOKUP(C2338,Table2[Species],Table2[Family],"Code Not Found")</f>
        <v>Pinaceae</v>
      </c>
      <c r="O2338" t="str" cm="1">
        <f t="array" ref="O2338">_xlfn.IFS(F2338="","",F2338&lt;=5,"0 to 5",F2338&lt;=10,"5.1 to 10",F2338&lt;=20,"10 to 20", F2338&lt;= 40, "20 to 40", F2338 &lt;= 50, "40 to 50", F2338 &gt; 50, "&gt;50" )</f>
        <v>10 to 20</v>
      </c>
    </row>
    <row r="2339" spans="1:15" ht="15" customHeight="1" x14ac:dyDescent="0.3">
      <c r="A2339" t="s">
        <v>498</v>
      </c>
      <c r="B2339" s="1">
        <v>46211</v>
      </c>
      <c r="C2339" t="s">
        <v>430</v>
      </c>
      <c r="D2339">
        <v>2160</v>
      </c>
      <c r="E2339">
        <v>1</v>
      </c>
      <c r="F2339">
        <v>13.6</v>
      </c>
      <c r="G2339" t="s">
        <v>17</v>
      </c>
      <c r="I2339" t="str">
        <f t="shared" si="54"/>
        <v>2160_1</v>
      </c>
      <c r="J2339" t="s">
        <v>428</v>
      </c>
      <c r="K2339" t="s">
        <v>429</v>
      </c>
      <c r="L2339" t="str">
        <f>_xlfn.XLOOKUP(C2339, Table2[Species],Table2[Genus], "Code Not Found")</f>
        <v>Tsuga</v>
      </c>
      <c r="M2339" t="str">
        <f>_xlfn.XLOOKUP(C2339, Table2[Species],Table2[Sp. Name], "Code Not Found")</f>
        <v>canadensis</v>
      </c>
      <c r="N2339" t="str">
        <f>_xlfn.XLOOKUP(C2339,Table2[Species],Table2[Family],"Code Not Found")</f>
        <v>Pinaceae</v>
      </c>
      <c r="O2339" t="str" cm="1">
        <f t="array" ref="O2339">_xlfn.IFS(F2339="","",F2339&lt;=5,"0 to 5",F2339&lt;=10,"5.1 to 10",F2339&lt;=20,"10 to 20", F2339&lt;= 40, "20 to 40", F2339 &lt;= 50, "40 to 50", F2339 &gt; 50, "&gt;50" )</f>
        <v>10 to 20</v>
      </c>
    </row>
    <row r="2340" spans="1:15" ht="15" customHeight="1" x14ac:dyDescent="0.3">
      <c r="A2340" t="s">
        <v>498</v>
      </c>
      <c r="B2340" s="1">
        <v>46211</v>
      </c>
      <c r="C2340" t="s">
        <v>22</v>
      </c>
      <c r="D2340">
        <v>2161</v>
      </c>
      <c r="E2340">
        <v>1</v>
      </c>
      <c r="F2340">
        <v>58.8</v>
      </c>
      <c r="G2340" t="s">
        <v>17</v>
      </c>
      <c r="I2340" t="str">
        <f t="shared" si="54"/>
        <v>2161_1</v>
      </c>
      <c r="J2340" t="s">
        <v>428</v>
      </c>
      <c r="K2340" t="s">
        <v>429</v>
      </c>
      <c r="L2340" t="str">
        <f>_xlfn.XLOOKUP(C2340, Table2[Species],Table2[Genus], "Code Not Found")</f>
        <v>Acer</v>
      </c>
      <c r="M2340" t="str">
        <f>_xlfn.XLOOKUP(C2340, Table2[Species],Table2[Sp. Name], "Code Not Found")</f>
        <v>rubrum</v>
      </c>
      <c r="N2340" t="str">
        <f>_xlfn.XLOOKUP(C2340,Table2[Species],Table2[Family],"Code Not Found")</f>
        <v>Sapindaceae</v>
      </c>
      <c r="O2340" t="str" cm="1">
        <f t="array" ref="O2340">_xlfn.IFS(F2340="","",F2340&lt;=5,"0 to 5",F2340&lt;=10,"5.1 to 10",F2340&lt;=20,"10 to 20", F2340&lt;= 40, "20 to 40", F2340 &lt;= 50, "40 to 50", F2340 &gt; 50, "&gt;50" )</f>
        <v>&gt;50</v>
      </c>
    </row>
    <row r="2341" spans="1:15" ht="15" customHeight="1" x14ac:dyDescent="0.3">
      <c r="A2341" t="s">
        <v>498</v>
      </c>
      <c r="B2341" s="1">
        <v>46211</v>
      </c>
      <c r="C2341" t="s">
        <v>64</v>
      </c>
      <c r="D2341">
        <v>2162</v>
      </c>
      <c r="E2341">
        <v>1</v>
      </c>
      <c r="F2341">
        <v>6.8</v>
      </c>
      <c r="G2341" t="s">
        <v>21</v>
      </c>
      <c r="I2341" t="str">
        <f t="shared" si="54"/>
        <v>2162_1</v>
      </c>
      <c r="J2341" t="s">
        <v>428</v>
      </c>
      <c r="K2341" t="s">
        <v>429</v>
      </c>
      <c r="L2341" t="str">
        <f>_xlfn.XLOOKUP(C2341, Table2[Species],Table2[Genus], "Code Not Found")</f>
        <v>Fagus</v>
      </c>
      <c r="M2341" t="str">
        <f>_xlfn.XLOOKUP(C2341, Table2[Species],Table2[Sp. Name], "Code Not Found")</f>
        <v>grandifolia</v>
      </c>
      <c r="N2341" t="str">
        <f>_xlfn.XLOOKUP(C2341,Table2[Species],Table2[Family],"Code Not Found")</f>
        <v>Fagaceae</v>
      </c>
      <c r="O2341" t="str" cm="1">
        <f t="array" ref="O2341">_xlfn.IFS(F2341="","",F2341&lt;=5,"0 to 5",F2341&lt;=10,"5.1 to 10",F2341&lt;=20,"10 to 20", F2341&lt;= 40, "20 to 40", F2341 &lt;= 50, "40 to 50", F2341 &gt; 50, "&gt;50" )</f>
        <v>5.1 to 10</v>
      </c>
    </row>
    <row r="2342" spans="1:15" ht="15" customHeight="1" x14ac:dyDescent="0.3">
      <c r="A2342" t="s">
        <v>498</v>
      </c>
      <c r="B2342" s="1">
        <v>46211</v>
      </c>
      <c r="C2342" t="s">
        <v>430</v>
      </c>
      <c r="D2342">
        <v>2163</v>
      </c>
      <c r="E2342">
        <v>1</v>
      </c>
      <c r="F2342">
        <v>16.7</v>
      </c>
      <c r="G2342" t="s">
        <v>17</v>
      </c>
      <c r="I2342" t="str">
        <f t="shared" si="54"/>
        <v>2163_1</v>
      </c>
      <c r="J2342" t="s">
        <v>428</v>
      </c>
      <c r="K2342" t="s">
        <v>429</v>
      </c>
      <c r="L2342" t="str">
        <f>_xlfn.XLOOKUP(C2342, Table2[Species],Table2[Genus], "Code Not Found")</f>
        <v>Tsuga</v>
      </c>
      <c r="M2342" t="str">
        <f>_xlfn.XLOOKUP(C2342, Table2[Species],Table2[Sp. Name], "Code Not Found")</f>
        <v>canadensis</v>
      </c>
      <c r="N2342" t="str">
        <f>_xlfn.XLOOKUP(C2342,Table2[Species],Table2[Family],"Code Not Found")</f>
        <v>Pinaceae</v>
      </c>
      <c r="O2342" t="str" cm="1">
        <f t="array" ref="O2342">_xlfn.IFS(F2342="","",F2342&lt;=5,"0 to 5",F2342&lt;=10,"5.1 to 10",F2342&lt;=20,"10 to 20", F2342&lt;= 40, "20 to 40", F2342 &lt;= 50, "40 to 50", F2342 &gt; 50, "&gt;50" )</f>
        <v>10 to 20</v>
      </c>
    </row>
    <row r="2343" spans="1:15" ht="15" customHeight="1" x14ac:dyDescent="0.3">
      <c r="A2343" t="s">
        <v>498</v>
      </c>
      <c r="B2343" s="1">
        <v>46211</v>
      </c>
      <c r="C2343" t="s">
        <v>430</v>
      </c>
      <c r="D2343">
        <v>2164</v>
      </c>
      <c r="E2343">
        <v>1</v>
      </c>
      <c r="F2343">
        <v>18.600000000000001</v>
      </c>
      <c r="G2343" t="s">
        <v>17</v>
      </c>
      <c r="I2343" t="str">
        <f t="shared" si="54"/>
        <v>2164_1</v>
      </c>
      <c r="J2343" t="s">
        <v>428</v>
      </c>
      <c r="K2343" t="s">
        <v>429</v>
      </c>
      <c r="L2343" t="str">
        <f>_xlfn.XLOOKUP(C2343, Table2[Species],Table2[Genus], "Code Not Found")</f>
        <v>Tsuga</v>
      </c>
      <c r="M2343" t="str">
        <f>_xlfn.XLOOKUP(C2343, Table2[Species],Table2[Sp. Name], "Code Not Found")</f>
        <v>canadensis</v>
      </c>
      <c r="N2343" t="str">
        <f>_xlfn.XLOOKUP(C2343,Table2[Species],Table2[Family],"Code Not Found")</f>
        <v>Pinaceae</v>
      </c>
      <c r="O2343" t="str" cm="1">
        <f t="array" ref="O2343">_xlfn.IFS(F2343="","",F2343&lt;=5,"0 to 5",F2343&lt;=10,"5.1 to 10",F2343&lt;=20,"10 to 20", F2343&lt;= 40, "20 to 40", F2343 &lt;= 50, "40 to 50", F2343 &gt; 50, "&gt;50" )</f>
        <v>10 to 20</v>
      </c>
    </row>
    <row r="2344" spans="1:15" ht="15" customHeight="1" x14ac:dyDescent="0.3">
      <c r="A2344" t="s">
        <v>498</v>
      </c>
      <c r="B2344" s="1">
        <v>46211</v>
      </c>
      <c r="C2344" t="s">
        <v>430</v>
      </c>
      <c r="D2344">
        <v>2165</v>
      </c>
      <c r="E2344">
        <v>1</v>
      </c>
      <c r="F2344">
        <v>7.3</v>
      </c>
      <c r="G2344" t="s">
        <v>17</v>
      </c>
      <c r="H2344" t="s">
        <v>435</v>
      </c>
      <c r="I2344" t="str">
        <f t="shared" si="54"/>
        <v>2165_1</v>
      </c>
      <c r="J2344" t="s">
        <v>428</v>
      </c>
      <c r="K2344" t="s">
        <v>429</v>
      </c>
      <c r="L2344" t="str">
        <f>_xlfn.XLOOKUP(C2344, Table2[Species],Table2[Genus], "Code Not Found")</f>
        <v>Tsuga</v>
      </c>
      <c r="M2344" t="str">
        <f>_xlfn.XLOOKUP(C2344, Table2[Species],Table2[Sp. Name], "Code Not Found")</f>
        <v>canadensis</v>
      </c>
      <c r="N2344" t="str">
        <f>_xlfn.XLOOKUP(C2344,Table2[Species],Table2[Family],"Code Not Found")</f>
        <v>Pinaceae</v>
      </c>
      <c r="O2344" t="str" cm="1">
        <f t="array" ref="O2344">_xlfn.IFS(F2344="","",F2344&lt;=5,"0 to 5",F2344&lt;=10,"5.1 to 10",F2344&lt;=20,"10 to 20", F2344&lt;= 40, "20 to 40", F2344 &lt;= 50, "40 to 50", F2344 &gt; 50, "&gt;50" )</f>
        <v>5.1 to 10</v>
      </c>
    </row>
    <row r="2345" spans="1:15" ht="15" customHeight="1" x14ac:dyDescent="0.3">
      <c r="A2345" t="s">
        <v>498</v>
      </c>
      <c r="B2345" s="1">
        <v>46211</v>
      </c>
      <c r="C2345" t="s">
        <v>430</v>
      </c>
      <c r="D2345">
        <v>2166</v>
      </c>
      <c r="E2345">
        <v>1</v>
      </c>
      <c r="F2345">
        <v>11.4</v>
      </c>
      <c r="G2345" t="s">
        <v>30</v>
      </c>
      <c r="H2345" t="s">
        <v>377</v>
      </c>
      <c r="I2345" t="str">
        <f t="shared" si="54"/>
        <v>2166_1</v>
      </c>
      <c r="J2345" t="s">
        <v>428</v>
      </c>
      <c r="K2345" t="s">
        <v>429</v>
      </c>
      <c r="L2345" t="str">
        <f>_xlfn.XLOOKUP(C2345, Table2[Species],Table2[Genus], "Code Not Found")</f>
        <v>Tsuga</v>
      </c>
      <c r="M2345" t="str">
        <f>_xlfn.XLOOKUP(C2345, Table2[Species],Table2[Sp. Name], "Code Not Found")</f>
        <v>canadensis</v>
      </c>
      <c r="N2345" t="str">
        <f>_xlfn.XLOOKUP(C2345,Table2[Species],Table2[Family],"Code Not Found")</f>
        <v>Pinaceae</v>
      </c>
      <c r="O2345" t="str" cm="1">
        <f t="array" ref="O2345">_xlfn.IFS(F2345="","",F2345&lt;=5,"0 to 5",F2345&lt;=10,"5.1 to 10",F2345&lt;=20,"10 to 20", F2345&lt;= 40, "20 to 40", F2345 &lt;= 50, "40 to 50", F2345 &gt; 50, "&gt;50" )</f>
        <v>10 to 20</v>
      </c>
    </row>
    <row r="2346" spans="1:15" ht="15" customHeight="1" x14ac:dyDescent="0.3">
      <c r="A2346" t="s">
        <v>498</v>
      </c>
      <c r="B2346" s="1">
        <v>46211</v>
      </c>
      <c r="C2346" t="s">
        <v>430</v>
      </c>
      <c r="D2346">
        <v>2167</v>
      </c>
      <c r="E2346">
        <v>1</v>
      </c>
      <c r="F2346">
        <v>8.3000000000000007</v>
      </c>
      <c r="G2346" t="s">
        <v>21</v>
      </c>
      <c r="I2346" t="str">
        <f t="shared" si="54"/>
        <v>2167_1</v>
      </c>
      <c r="J2346" t="s">
        <v>428</v>
      </c>
      <c r="K2346" t="s">
        <v>429</v>
      </c>
      <c r="L2346" t="str">
        <f>_xlfn.XLOOKUP(C2346, Table2[Species],Table2[Genus], "Code Not Found")</f>
        <v>Tsuga</v>
      </c>
      <c r="M2346" t="str">
        <f>_xlfn.XLOOKUP(C2346, Table2[Species],Table2[Sp. Name], "Code Not Found")</f>
        <v>canadensis</v>
      </c>
      <c r="N2346" t="str">
        <f>_xlfn.XLOOKUP(C2346,Table2[Species],Table2[Family],"Code Not Found")</f>
        <v>Pinaceae</v>
      </c>
      <c r="O2346" t="str" cm="1">
        <f t="array" ref="O2346">_xlfn.IFS(F2346="","",F2346&lt;=5,"0 to 5",F2346&lt;=10,"5.1 to 10",F2346&lt;=20,"10 to 20", F2346&lt;= 40, "20 to 40", F2346 &lt;= 50, "40 to 50", F2346 &gt; 50, "&gt;50" )</f>
        <v>5.1 to 10</v>
      </c>
    </row>
    <row r="2347" spans="1:15" ht="15" customHeight="1" x14ac:dyDescent="0.3">
      <c r="A2347" t="s">
        <v>498</v>
      </c>
      <c r="B2347" s="1">
        <v>46211</v>
      </c>
      <c r="C2347" t="s">
        <v>64</v>
      </c>
      <c r="D2347">
        <v>2168</v>
      </c>
      <c r="E2347">
        <v>1</v>
      </c>
      <c r="F2347">
        <v>46.7</v>
      </c>
      <c r="G2347" t="s">
        <v>507</v>
      </c>
      <c r="H2347" t="s">
        <v>500</v>
      </c>
      <c r="I2347" t="str">
        <f t="shared" si="54"/>
        <v>2168_1</v>
      </c>
      <c r="J2347" t="s">
        <v>428</v>
      </c>
      <c r="K2347" t="s">
        <v>429</v>
      </c>
      <c r="L2347" t="str">
        <f>_xlfn.XLOOKUP(C2347, Table2[Species],Table2[Genus], "Code Not Found")</f>
        <v>Fagus</v>
      </c>
      <c r="M2347" t="str">
        <f>_xlfn.XLOOKUP(C2347, Table2[Species],Table2[Sp. Name], "Code Not Found")</f>
        <v>grandifolia</v>
      </c>
      <c r="N2347" t="str">
        <f>_xlfn.XLOOKUP(C2347,Table2[Species],Table2[Family],"Code Not Found")</f>
        <v>Fagaceae</v>
      </c>
      <c r="O2347" t="str" cm="1">
        <f t="array" ref="O2347">_xlfn.IFS(F2347="","",F2347&lt;=5,"0 to 5",F2347&lt;=10,"5.1 to 10",F2347&lt;=20,"10 to 20", F2347&lt;= 40, "20 to 40", F2347 &lt;= 50, "40 to 50", F2347 &gt; 50, "&gt;50" )</f>
        <v>40 to 50</v>
      </c>
    </row>
    <row r="2348" spans="1:15" ht="15" customHeight="1" x14ac:dyDescent="0.3">
      <c r="A2348" t="s">
        <v>498</v>
      </c>
      <c r="B2348" s="1">
        <v>46211</v>
      </c>
      <c r="C2348" t="s">
        <v>64</v>
      </c>
      <c r="D2348">
        <v>2168</v>
      </c>
      <c r="E2348">
        <v>2</v>
      </c>
      <c r="F2348">
        <v>27.6</v>
      </c>
      <c r="G2348" t="s">
        <v>401</v>
      </c>
      <c r="I2348" t="str">
        <f t="shared" si="54"/>
        <v>2168_2</v>
      </c>
      <c r="J2348" t="s">
        <v>428</v>
      </c>
      <c r="K2348" t="s">
        <v>429</v>
      </c>
      <c r="L2348" t="str">
        <f>_xlfn.XLOOKUP(C2348, Table2[Species],Table2[Genus], "Code Not Found")</f>
        <v>Fagus</v>
      </c>
      <c r="M2348" t="str">
        <f>_xlfn.XLOOKUP(C2348, Table2[Species],Table2[Sp. Name], "Code Not Found")</f>
        <v>grandifolia</v>
      </c>
      <c r="N2348" t="str">
        <f>_xlfn.XLOOKUP(C2348,Table2[Species],Table2[Family],"Code Not Found")</f>
        <v>Fagaceae</v>
      </c>
      <c r="O2348" t="str" cm="1">
        <f t="array" ref="O2348">_xlfn.IFS(F2348="","",F2348&lt;=5,"0 to 5",F2348&lt;=10,"5.1 to 10",F2348&lt;=20,"10 to 20", F2348&lt;= 40, "20 to 40", F2348 &lt;= 50, "40 to 50", F2348 &gt; 50, "&gt;50" )</f>
        <v>20 to 40</v>
      </c>
    </row>
    <row r="2349" spans="1:15" ht="15" customHeight="1" x14ac:dyDescent="0.3">
      <c r="A2349" t="s">
        <v>498</v>
      </c>
      <c r="B2349" s="1">
        <v>46211</v>
      </c>
      <c r="C2349" t="s">
        <v>430</v>
      </c>
      <c r="D2349">
        <v>2169</v>
      </c>
      <c r="E2349">
        <v>1</v>
      </c>
      <c r="F2349">
        <v>6.5</v>
      </c>
      <c r="G2349" t="s">
        <v>30</v>
      </c>
      <c r="H2349" t="s">
        <v>305</v>
      </c>
      <c r="I2349" t="str">
        <f t="shared" si="54"/>
        <v>2169_1</v>
      </c>
      <c r="J2349" t="s">
        <v>428</v>
      </c>
      <c r="K2349" t="s">
        <v>429</v>
      </c>
      <c r="L2349" t="str">
        <f>_xlfn.XLOOKUP(C2349, Table2[Species],Table2[Genus], "Code Not Found")</f>
        <v>Tsuga</v>
      </c>
      <c r="M2349" t="str">
        <f>_xlfn.XLOOKUP(C2349, Table2[Species],Table2[Sp. Name], "Code Not Found")</f>
        <v>canadensis</v>
      </c>
      <c r="N2349" t="str">
        <f>_xlfn.XLOOKUP(C2349,Table2[Species],Table2[Family],"Code Not Found")</f>
        <v>Pinaceae</v>
      </c>
      <c r="O2349" t="str" cm="1">
        <f t="array" ref="O2349">_xlfn.IFS(F2349="","",F2349&lt;=5,"0 to 5",F2349&lt;=10,"5.1 to 10",F2349&lt;=20,"10 to 20", F2349&lt;= 40, "20 to 40", F2349 &lt;= 50, "40 to 50", F2349 &gt; 50, "&gt;50" )</f>
        <v>5.1 to 10</v>
      </c>
    </row>
    <row r="2350" spans="1:15" ht="15" customHeight="1" x14ac:dyDescent="0.3">
      <c r="A2350" t="s">
        <v>498</v>
      </c>
      <c r="B2350" s="1">
        <v>46211</v>
      </c>
      <c r="C2350" t="s">
        <v>64</v>
      </c>
      <c r="D2350">
        <v>2170</v>
      </c>
      <c r="E2350">
        <v>1</v>
      </c>
      <c r="F2350">
        <v>4.5999999999999996</v>
      </c>
      <c r="G2350" t="s">
        <v>17</v>
      </c>
      <c r="I2350" t="str">
        <f t="shared" si="54"/>
        <v>2170_1</v>
      </c>
      <c r="J2350" t="s">
        <v>428</v>
      </c>
      <c r="K2350" t="s">
        <v>429</v>
      </c>
      <c r="L2350" t="str">
        <f>_xlfn.XLOOKUP(C2350, Table2[Species],Table2[Genus], "Code Not Found")</f>
        <v>Fagus</v>
      </c>
      <c r="M2350" t="str">
        <f>_xlfn.XLOOKUP(C2350, Table2[Species],Table2[Sp. Name], "Code Not Found")</f>
        <v>grandifolia</v>
      </c>
      <c r="N2350" t="str">
        <f>_xlfn.XLOOKUP(C2350,Table2[Species],Table2[Family],"Code Not Found")</f>
        <v>Fagaceae</v>
      </c>
      <c r="O2350" t="str" cm="1">
        <f t="array" ref="O2350">_xlfn.IFS(F2350="","",F2350&lt;=5,"0 to 5",F2350&lt;=10,"5.1 to 10",F2350&lt;=20,"10 to 20", F2350&lt;= 40, "20 to 40", F2350 &lt;= 50, "40 to 50", F2350 &gt; 50, "&gt;50" )</f>
        <v>0 to 5</v>
      </c>
    </row>
    <row r="2351" spans="1:15" ht="15" customHeight="1" x14ac:dyDescent="0.3">
      <c r="A2351" t="s">
        <v>498</v>
      </c>
      <c r="B2351" s="1">
        <v>46211</v>
      </c>
      <c r="C2351" t="s">
        <v>430</v>
      </c>
      <c r="D2351">
        <v>2171</v>
      </c>
      <c r="E2351">
        <v>1</v>
      </c>
      <c r="F2351">
        <v>9.1</v>
      </c>
      <c r="G2351" t="s">
        <v>17</v>
      </c>
      <c r="H2351" t="s">
        <v>435</v>
      </c>
      <c r="I2351" t="str">
        <f t="shared" si="54"/>
        <v>2171_1</v>
      </c>
      <c r="J2351" t="s">
        <v>428</v>
      </c>
      <c r="K2351" t="s">
        <v>429</v>
      </c>
      <c r="L2351" t="str">
        <f>_xlfn.XLOOKUP(C2351, Table2[Species],Table2[Genus], "Code Not Found")</f>
        <v>Tsuga</v>
      </c>
      <c r="M2351" t="str">
        <f>_xlfn.XLOOKUP(C2351, Table2[Species],Table2[Sp. Name], "Code Not Found")</f>
        <v>canadensis</v>
      </c>
      <c r="N2351" t="str">
        <f>_xlfn.XLOOKUP(C2351,Table2[Species],Table2[Family],"Code Not Found")</f>
        <v>Pinaceae</v>
      </c>
      <c r="O2351" t="str" cm="1">
        <f t="array" ref="O2351">_xlfn.IFS(F2351="","",F2351&lt;=5,"0 to 5",F2351&lt;=10,"5.1 to 10",F2351&lt;=20,"10 to 20", F2351&lt;= 40, "20 to 40", F2351 &lt;= 50, "40 to 50", F2351 &gt; 50, "&gt;50" )</f>
        <v>5.1 to 10</v>
      </c>
    </row>
    <row r="2352" spans="1:15" ht="15" customHeight="1" x14ac:dyDescent="0.3">
      <c r="A2352" t="s">
        <v>498</v>
      </c>
      <c r="B2352" s="1">
        <v>46211</v>
      </c>
      <c r="C2352" t="s">
        <v>430</v>
      </c>
      <c r="D2352">
        <v>2172</v>
      </c>
      <c r="E2352">
        <v>1</v>
      </c>
      <c r="F2352">
        <v>6.6</v>
      </c>
      <c r="G2352" t="s">
        <v>268</v>
      </c>
      <c r="I2352" t="str">
        <f t="shared" si="54"/>
        <v>2172_1</v>
      </c>
      <c r="J2352" t="s">
        <v>428</v>
      </c>
      <c r="K2352" t="s">
        <v>429</v>
      </c>
      <c r="L2352" t="str">
        <f>_xlfn.XLOOKUP(C2352, Table2[Species],Table2[Genus], "Code Not Found")</f>
        <v>Tsuga</v>
      </c>
      <c r="M2352" t="str">
        <f>_xlfn.XLOOKUP(C2352, Table2[Species],Table2[Sp. Name], "Code Not Found")</f>
        <v>canadensis</v>
      </c>
      <c r="N2352" t="str">
        <f>_xlfn.XLOOKUP(C2352,Table2[Species],Table2[Family],"Code Not Found")</f>
        <v>Pinaceae</v>
      </c>
      <c r="O2352" t="str" cm="1">
        <f t="array" ref="O2352">_xlfn.IFS(F2352="","",F2352&lt;=5,"0 to 5",F2352&lt;=10,"5.1 to 10",F2352&lt;=20,"10 to 20", F2352&lt;= 40, "20 to 40", F2352 &lt;= 50, "40 to 50", F2352 &gt; 50, "&gt;50" )</f>
        <v>5.1 to 10</v>
      </c>
    </row>
    <row r="2353" spans="1:15" ht="15" customHeight="1" x14ac:dyDescent="0.3">
      <c r="A2353" t="s">
        <v>498</v>
      </c>
      <c r="B2353" s="1">
        <v>46211</v>
      </c>
      <c r="C2353" t="s">
        <v>430</v>
      </c>
      <c r="D2353">
        <v>2172</v>
      </c>
      <c r="E2353">
        <v>2</v>
      </c>
      <c r="F2353">
        <v>6</v>
      </c>
      <c r="G2353" t="s">
        <v>268</v>
      </c>
      <c r="I2353" t="str">
        <f t="shared" si="54"/>
        <v>2172_2</v>
      </c>
      <c r="J2353" t="s">
        <v>428</v>
      </c>
      <c r="K2353" t="s">
        <v>429</v>
      </c>
      <c r="L2353" t="str">
        <f>_xlfn.XLOOKUP(C2353, Table2[Species],Table2[Genus], "Code Not Found")</f>
        <v>Tsuga</v>
      </c>
      <c r="M2353" t="str">
        <f>_xlfn.XLOOKUP(C2353, Table2[Species],Table2[Sp. Name], "Code Not Found")</f>
        <v>canadensis</v>
      </c>
      <c r="N2353" t="str">
        <f>_xlfn.XLOOKUP(C2353,Table2[Species],Table2[Family],"Code Not Found")</f>
        <v>Pinaceae</v>
      </c>
      <c r="O2353" t="str" cm="1">
        <f t="array" ref="O2353">_xlfn.IFS(F2353="","",F2353&lt;=5,"0 to 5",F2353&lt;=10,"5.1 to 10",F2353&lt;=20,"10 to 20", F2353&lt;= 40, "20 to 40", F2353 &lt;= 50, "40 to 50", F2353 &gt; 50, "&gt;50" )</f>
        <v>5.1 to 10</v>
      </c>
    </row>
    <row r="2354" spans="1:15" ht="15" customHeight="1" x14ac:dyDescent="0.3">
      <c r="A2354" t="s">
        <v>498</v>
      </c>
      <c r="B2354" s="1">
        <v>46211</v>
      </c>
      <c r="C2354" t="s">
        <v>64</v>
      </c>
      <c r="D2354">
        <v>2173</v>
      </c>
      <c r="E2354">
        <v>1</v>
      </c>
      <c r="F2354">
        <v>5.6</v>
      </c>
      <c r="G2354" t="s">
        <v>17</v>
      </c>
      <c r="I2354" t="str">
        <f t="shared" si="54"/>
        <v>2173_1</v>
      </c>
      <c r="J2354" t="s">
        <v>428</v>
      </c>
      <c r="K2354" t="s">
        <v>429</v>
      </c>
      <c r="L2354" t="str">
        <f>_xlfn.XLOOKUP(C2354, Table2[Species],Table2[Genus], "Code Not Found")</f>
        <v>Fagus</v>
      </c>
      <c r="M2354" t="str">
        <f>_xlfn.XLOOKUP(C2354, Table2[Species],Table2[Sp. Name], "Code Not Found")</f>
        <v>grandifolia</v>
      </c>
      <c r="N2354" t="str">
        <f>_xlfn.XLOOKUP(C2354,Table2[Species],Table2[Family],"Code Not Found")</f>
        <v>Fagaceae</v>
      </c>
      <c r="O2354" t="str" cm="1">
        <f t="array" ref="O2354">_xlfn.IFS(F2354="","",F2354&lt;=5,"0 to 5",F2354&lt;=10,"5.1 to 10",F2354&lt;=20,"10 to 20", F2354&lt;= 40, "20 to 40", F2354 &lt;= 50, "40 to 50", F2354 &gt; 50, "&gt;50" )</f>
        <v>5.1 to 10</v>
      </c>
    </row>
    <row r="2355" spans="1:15" ht="15" customHeight="1" x14ac:dyDescent="0.3">
      <c r="A2355" t="s">
        <v>498</v>
      </c>
      <c r="B2355" s="1">
        <v>46211</v>
      </c>
      <c r="C2355" t="s">
        <v>430</v>
      </c>
      <c r="D2355">
        <v>2174</v>
      </c>
      <c r="E2355">
        <v>1</v>
      </c>
      <c r="F2355">
        <v>9.1999999999999993</v>
      </c>
      <c r="G2355" t="s">
        <v>88</v>
      </c>
      <c r="H2355" t="s">
        <v>99</v>
      </c>
      <c r="I2355" t="str">
        <f t="shared" si="54"/>
        <v>2174_1</v>
      </c>
      <c r="J2355" t="s">
        <v>428</v>
      </c>
      <c r="K2355" t="s">
        <v>429</v>
      </c>
      <c r="L2355" t="str">
        <f>_xlfn.XLOOKUP(C2355, Table2[Species],Table2[Genus], "Code Not Found")</f>
        <v>Tsuga</v>
      </c>
      <c r="M2355" t="str">
        <f>_xlfn.XLOOKUP(C2355, Table2[Species],Table2[Sp. Name], "Code Not Found")</f>
        <v>canadensis</v>
      </c>
      <c r="N2355" t="str">
        <f>_xlfn.XLOOKUP(C2355,Table2[Species],Table2[Family],"Code Not Found")</f>
        <v>Pinaceae</v>
      </c>
      <c r="O2355" t="str" cm="1">
        <f t="array" ref="O2355">_xlfn.IFS(F2355="","",F2355&lt;=5,"0 to 5",F2355&lt;=10,"5.1 to 10",F2355&lt;=20,"10 to 20", F2355&lt;= 40, "20 to 40", F2355 &lt;= 50, "40 to 50", F2355 &gt; 50, "&gt;50" )</f>
        <v>5.1 to 10</v>
      </c>
    </row>
    <row r="2356" spans="1:15" ht="15" customHeight="1" x14ac:dyDescent="0.3">
      <c r="A2356" t="s">
        <v>498</v>
      </c>
      <c r="B2356" s="1">
        <v>46211</v>
      </c>
      <c r="C2356" t="s">
        <v>430</v>
      </c>
      <c r="D2356">
        <v>2175</v>
      </c>
      <c r="E2356">
        <v>1</v>
      </c>
      <c r="F2356">
        <v>14.3</v>
      </c>
      <c r="G2356" t="s">
        <v>47</v>
      </c>
      <c r="H2356" t="s">
        <v>296</v>
      </c>
      <c r="I2356" t="str">
        <f t="shared" si="54"/>
        <v>2175_1</v>
      </c>
      <c r="J2356" t="s">
        <v>428</v>
      </c>
      <c r="K2356" t="s">
        <v>429</v>
      </c>
      <c r="L2356" t="str">
        <f>_xlfn.XLOOKUP(C2356, Table2[Species],Table2[Genus], "Code Not Found")</f>
        <v>Tsuga</v>
      </c>
      <c r="M2356" t="str">
        <f>_xlfn.XLOOKUP(C2356, Table2[Species],Table2[Sp. Name], "Code Not Found")</f>
        <v>canadensis</v>
      </c>
      <c r="N2356" t="str">
        <f>_xlfn.XLOOKUP(C2356,Table2[Species],Table2[Family],"Code Not Found")</f>
        <v>Pinaceae</v>
      </c>
      <c r="O2356" t="str" cm="1">
        <f t="array" ref="O2356">_xlfn.IFS(F2356="","",F2356&lt;=5,"0 to 5",F2356&lt;=10,"5.1 to 10",F2356&lt;=20,"10 to 20", F2356&lt;= 40, "20 to 40", F2356 &lt;= 50, "40 to 50", F2356 &gt; 50, "&gt;50" )</f>
        <v>10 to 20</v>
      </c>
    </row>
    <row r="2357" spans="1:15" ht="15" customHeight="1" x14ac:dyDescent="0.3">
      <c r="A2357" t="s">
        <v>498</v>
      </c>
      <c r="B2357" s="1">
        <v>46211</v>
      </c>
      <c r="C2357" t="s">
        <v>430</v>
      </c>
      <c r="D2357">
        <v>2176</v>
      </c>
      <c r="E2357">
        <v>1</v>
      </c>
      <c r="F2357">
        <v>9.6999999999999993</v>
      </c>
      <c r="G2357" t="s">
        <v>17</v>
      </c>
      <c r="H2357" t="s">
        <v>36</v>
      </c>
      <c r="I2357" t="str">
        <f t="shared" si="54"/>
        <v>2176_1</v>
      </c>
      <c r="J2357" t="s">
        <v>428</v>
      </c>
      <c r="K2357" t="s">
        <v>429</v>
      </c>
      <c r="L2357" t="str">
        <f>_xlfn.XLOOKUP(C2357, Table2[Species],Table2[Genus], "Code Not Found")</f>
        <v>Tsuga</v>
      </c>
      <c r="M2357" t="str">
        <f>_xlfn.XLOOKUP(C2357, Table2[Species],Table2[Sp. Name], "Code Not Found")</f>
        <v>canadensis</v>
      </c>
      <c r="N2357" t="str">
        <f>_xlfn.XLOOKUP(C2357,Table2[Species],Table2[Family],"Code Not Found")</f>
        <v>Pinaceae</v>
      </c>
      <c r="O2357" t="str" cm="1">
        <f t="array" ref="O2357">_xlfn.IFS(F2357="","",F2357&lt;=5,"0 to 5",F2357&lt;=10,"5.1 to 10",F2357&lt;=20,"10 to 20", F2357&lt;= 40, "20 to 40", F2357 &lt;= 50, "40 to 50", F2357 &gt; 50, "&gt;50" )</f>
        <v>5.1 to 10</v>
      </c>
    </row>
    <row r="2358" spans="1:15" ht="15" customHeight="1" x14ac:dyDescent="0.3">
      <c r="A2358" t="s">
        <v>498</v>
      </c>
      <c r="B2358" s="1">
        <v>46211</v>
      </c>
      <c r="C2358" t="s">
        <v>430</v>
      </c>
      <c r="D2358">
        <v>2177</v>
      </c>
      <c r="E2358">
        <v>1</v>
      </c>
      <c r="F2358">
        <v>6.6</v>
      </c>
      <c r="G2358" t="s">
        <v>17</v>
      </c>
      <c r="H2358" t="s">
        <v>435</v>
      </c>
      <c r="I2358" t="str">
        <f t="shared" si="54"/>
        <v>2177_1</v>
      </c>
      <c r="J2358" t="s">
        <v>428</v>
      </c>
      <c r="K2358" t="s">
        <v>429</v>
      </c>
      <c r="L2358" t="str">
        <f>_xlfn.XLOOKUP(C2358, Table2[Species],Table2[Genus], "Code Not Found")</f>
        <v>Tsuga</v>
      </c>
      <c r="M2358" t="str">
        <f>_xlfn.XLOOKUP(C2358, Table2[Species],Table2[Sp. Name], "Code Not Found")</f>
        <v>canadensis</v>
      </c>
      <c r="N2358" t="str">
        <f>_xlfn.XLOOKUP(C2358,Table2[Species],Table2[Family],"Code Not Found")</f>
        <v>Pinaceae</v>
      </c>
      <c r="O2358" t="str" cm="1">
        <f t="array" ref="O2358">_xlfn.IFS(F2358="","",F2358&lt;=5,"0 to 5",F2358&lt;=10,"5.1 to 10",F2358&lt;=20,"10 to 20", F2358&lt;= 40, "20 to 40", F2358 &lt;= 50, "40 to 50", F2358 &gt; 50, "&gt;50" )</f>
        <v>5.1 to 10</v>
      </c>
    </row>
    <row r="2359" spans="1:15" ht="15" customHeight="1" x14ac:dyDescent="0.3">
      <c r="A2359" t="s">
        <v>498</v>
      </c>
      <c r="B2359" s="1">
        <v>46211</v>
      </c>
      <c r="C2359" t="s">
        <v>430</v>
      </c>
      <c r="D2359">
        <v>2178</v>
      </c>
      <c r="E2359">
        <v>1</v>
      </c>
      <c r="F2359">
        <v>9.6999999999999993</v>
      </c>
      <c r="G2359" t="s">
        <v>47</v>
      </c>
      <c r="I2359" t="str">
        <f t="shared" si="54"/>
        <v>2178_1</v>
      </c>
      <c r="J2359" t="s">
        <v>428</v>
      </c>
      <c r="K2359" t="s">
        <v>429</v>
      </c>
      <c r="L2359" t="str">
        <f>_xlfn.XLOOKUP(C2359, Table2[Species],Table2[Genus], "Code Not Found")</f>
        <v>Tsuga</v>
      </c>
      <c r="M2359" t="str">
        <f>_xlfn.XLOOKUP(C2359, Table2[Species],Table2[Sp. Name], "Code Not Found")</f>
        <v>canadensis</v>
      </c>
      <c r="N2359" t="str">
        <f>_xlfn.XLOOKUP(C2359,Table2[Species],Table2[Family],"Code Not Found")</f>
        <v>Pinaceae</v>
      </c>
      <c r="O2359" t="str" cm="1">
        <f t="array" ref="O2359">_xlfn.IFS(F2359="","",F2359&lt;=5,"0 to 5",F2359&lt;=10,"5.1 to 10",F2359&lt;=20,"10 to 20", F2359&lt;= 40, "20 to 40", F2359 &lt;= 50, "40 to 50", F2359 &gt; 50, "&gt;50" )</f>
        <v>5.1 to 10</v>
      </c>
    </row>
    <row r="2360" spans="1:15" ht="15" customHeight="1" x14ac:dyDescent="0.3">
      <c r="A2360" t="s">
        <v>498</v>
      </c>
      <c r="B2360" s="1">
        <v>46211</v>
      </c>
      <c r="C2360" t="s">
        <v>24</v>
      </c>
      <c r="D2360">
        <v>2179</v>
      </c>
      <c r="E2360">
        <v>1</v>
      </c>
      <c r="F2360">
        <v>80.3</v>
      </c>
      <c r="G2360" t="s">
        <v>21</v>
      </c>
      <c r="I2360" t="str">
        <f t="shared" si="54"/>
        <v>2179_1</v>
      </c>
      <c r="J2360" t="s">
        <v>428</v>
      </c>
      <c r="K2360" t="s">
        <v>429</v>
      </c>
      <c r="L2360" t="str">
        <f>_xlfn.XLOOKUP(C2360, Table2[Species],Table2[Genus], "Code Not Found")</f>
        <v>Lirodendron</v>
      </c>
      <c r="M2360" t="str">
        <f>_xlfn.XLOOKUP(C2360, Table2[Species],Table2[Sp. Name], "Code Not Found")</f>
        <v>tulipfera</v>
      </c>
      <c r="N2360" t="str">
        <f>_xlfn.XLOOKUP(C2360,Table2[Species],Table2[Family],"Code Not Found")</f>
        <v>Magnoliaceae</v>
      </c>
      <c r="O2360" t="str" cm="1">
        <f t="array" ref="O2360">_xlfn.IFS(F2360="","",F2360&lt;=5,"0 to 5",F2360&lt;=10,"5.1 to 10",F2360&lt;=20,"10 to 20", F2360&lt;= 40, "20 to 40", F2360 &lt;= 50, "40 to 50", F2360 &gt; 50, "&gt;50" )</f>
        <v>&gt;50</v>
      </c>
    </row>
    <row r="2361" spans="1:15" ht="15" customHeight="1" x14ac:dyDescent="0.3">
      <c r="A2361" t="s">
        <v>498</v>
      </c>
      <c r="B2361" s="1">
        <v>46211</v>
      </c>
      <c r="C2361" t="s">
        <v>430</v>
      </c>
      <c r="D2361">
        <v>2180</v>
      </c>
      <c r="E2361">
        <v>1</v>
      </c>
      <c r="F2361">
        <v>14.8</v>
      </c>
      <c r="G2361" t="s">
        <v>17</v>
      </c>
      <c r="I2361" t="str">
        <f t="shared" si="54"/>
        <v>2180_1</v>
      </c>
      <c r="J2361" t="s">
        <v>428</v>
      </c>
      <c r="K2361" t="s">
        <v>429</v>
      </c>
      <c r="L2361" t="str">
        <f>_xlfn.XLOOKUP(C2361, Table2[Species],Table2[Genus], "Code Not Found")</f>
        <v>Tsuga</v>
      </c>
      <c r="M2361" t="str">
        <f>_xlfn.XLOOKUP(C2361, Table2[Species],Table2[Sp. Name], "Code Not Found")</f>
        <v>canadensis</v>
      </c>
      <c r="N2361" t="str">
        <f>_xlfn.XLOOKUP(C2361,Table2[Species],Table2[Family],"Code Not Found")</f>
        <v>Pinaceae</v>
      </c>
      <c r="O2361" t="str" cm="1">
        <f t="array" ref="O2361">_xlfn.IFS(F2361="","",F2361&lt;=5,"0 to 5",F2361&lt;=10,"5.1 to 10",F2361&lt;=20,"10 to 20", F2361&lt;= 40, "20 to 40", F2361 &lt;= 50, "40 to 50", F2361 &gt; 50, "&gt;50" )</f>
        <v>10 to 20</v>
      </c>
    </row>
    <row r="2362" spans="1:15" ht="15" customHeight="1" x14ac:dyDescent="0.3">
      <c r="A2362" t="s">
        <v>498</v>
      </c>
      <c r="B2362" s="1">
        <v>46211</v>
      </c>
      <c r="C2362" t="s">
        <v>430</v>
      </c>
      <c r="D2362">
        <v>2181</v>
      </c>
      <c r="E2362">
        <v>1</v>
      </c>
      <c r="F2362">
        <v>13.9</v>
      </c>
      <c r="G2362" t="s">
        <v>21</v>
      </c>
      <c r="H2362" t="s">
        <v>508</v>
      </c>
      <c r="I2362" t="str">
        <f t="shared" si="54"/>
        <v>2181_1</v>
      </c>
      <c r="J2362" t="s">
        <v>428</v>
      </c>
      <c r="K2362" t="s">
        <v>429</v>
      </c>
      <c r="L2362" t="str">
        <f>_xlfn.XLOOKUP(C2362, Table2[Species],Table2[Genus], "Code Not Found")</f>
        <v>Tsuga</v>
      </c>
      <c r="M2362" t="str">
        <f>_xlfn.XLOOKUP(C2362, Table2[Species],Table2[Sp. Name], "Code Not Found")</f>
        <v>canadensis</v>
      </c>
      <c r="N2362" t="str">
        <f>_xlfn.XLOOKUP(C2362,Table2[Species],Table2[Family],"Code Not Found")</f>
        <v>Pinaceae</v>
      </c>
      <c r="O2362" t="str" cm="1">
        <f t="array" ref="O2362">_xlfn.IFS(F2362="","",F2362&lt;=5,"0 to 5",F2362&lt;=10,"5.1 to 10",F2362&lt;=20,"10 to 20", F2362&lt;= 40, "20 to 40", F2362 &lt;= 50, "40 to 50", F2362 &gt; 50, "&gt;50" )</f>
        <v>10 to 20</v>
      </c>
    </row>
    <row r="2363" spans="1:15" ht="15" customHeight="1" x14ac:dyDescent="0.3">
      <c r="A2363" t="s">
        <v>498</v>
      </c>
      <c r="B2363" s="1">
        <v>46211</v>
      </c>
      <c r="C2363" t="s">
        <v>430</v>
      </c>
      <c r="D2363">
        <v>2182</v>
      </c>
      <c r="E2363">
        <v>1</v>
      </c>
      <c r="F2363">
        <v>6.5</v>
      </c>
      <c r="G2363" t="s">
        <v>17</v>
      </c>
      <c r="H2363" t="s">
        <v>36</v>
      </c>
      <c r="I2363" t="str">
        <f t="shared" si="54"/>
        <v>2182_1</v>
      </c>
      <c r="J2363" t="s">
        <v>428</v>
      </c>
      <c r="K2363" t="s">
        <v>429</v>
      </c>
      <c r="L2363" t="str">
        <f>_xlfn.XLOOKUP(C2363, Table2[Species],Table2[Genus], "Code Not Found")</f>
        <v>Tsuga</v>
      </c>
      <c r="M2363" t="str">
        <f>_xlfn.XLOOKUP(C2363, Table2[Species],Table2[Sp. Name], "Code Not Found")</f>
        <v>canadensis</v>
      </c>
      <c r="N2363" t="str">
        <f>_xlfn.XLOOKUP(C2363,Table2[Species],Table2[Family],"Code Not Found")</f>
        <v>Pinaceae</v>
      </c>
      <c r="O2363" t="str" cm="1">
        <f t="array" ref="O2363">_xlfn.IFS(F2363="","",F2363&lt;=5,"0 to 5",F2363&lt;=10,"5.1 to 10",F2363&lt;=20,"10 to 20", F2363&lt;= 40, "20 to 40", F2363 &lt;= 50, "40 to 50", F2363 &gt; 50, "&gt;50" )</f>
        <v>5.1 to 10</v>
      </c>
    </row>
    <row r="2364" spans="1:15" ht="15" customHeight="1" x14ac:dyDescent="0.3">
      <c r="A2364" t="s">
        <v>498</v>
      </c>
      <c r="B2364" s="1">
        <v>46211</v>
      </c>
      <c r="C2364" t="s">
        <v>430</v>
      </c>
      <c r="D2364">
        <v>2183</v>
      </c>
      <c r="E2364">
        <v>1</v>
      </c>
      <c r="F2364">
        <v>12.4</v>
      </c>
      <c r="G2364" t="s">
        <v>17</v>
      </c>
      <c r="I2364" t="str">
        <f t="shared" si="54"/>
        <v>2183_1</v>
      </c>
      <c r="J2364" t="s">
        <v>428</v>
      </c>
      <c r="K2364" t="s">
        <v>429</v>
      </c>
      <c r="L2364" t="str">
        <f>_xlfn.XLOOKUP(C2364, Table2[Species],Table2[Genus], "Code Not Found")</f>
        <v>Tsuga</v>
      </c>
      <c r="M2364" t="str">
        <f>_xlfn.XLOOKUP(C2364, Table2[Species],Table2[Sp. Name], "Code Not Found")</f>
        <v>canadensis</v>
      </c>
      <c r="N2364" t="str">
        <f>_xlfn.XLOOKUP(C2364,Table2[Species],Table2[Family],"Code Not Found")</f>
        <v>Pinaceae</v>
      </c>
      <c r="O2364" t="str" cm="1">
        <f t="array" ref="O2364">_xlfn.IFS(F2364="","",F2364&lt;=5,"0 to 5",F2364&lt;=10,"5.1 to 10",F2364&lt;=20,"10 to 20", F2364&lt;= 40, "20 to 40", F2364 &lt;= 50, "40 to 50", F2364 &gt; 50, "&gt;50" )</f>
        <v>10 to 20</v>
      </c>
    </row>
    <row r="2365" spans="1:15" ht="15" customHeight="1" x14ac:dyDescent="0.3">
      <c r="A2365" t="s">
        <v>498</v>
      </c>
      <c r="B2365" s="1">
        <v>46211</v>
      </c>
      <c r="C2365" t="s">
        <v>16</v>
      </c>
      <c r="D2365">
        <v>2184</v>
      </c>
      <c r="E2365">
        <v>1</v>
      </c>
      <c r="F2365">
        <v>5</v>
      </c>
      <c r="G2365" t="s">
        <v>17</v>
      </c>
      <c r="I2365" t="str">
        <f t="shared" si="54"/>
        <v>2184_1</v>
      </c>
      <c r="J2365" t="s">
        <v>428</v>
      </c>
      <c r="K2365" t="s">
        <v>429</v>
      </c>
      <c r="L2365" t="str">
        <f>_xlfn.XLOOKUP(C2365, Table2[Species],Table2[Genus], "Code Not Found")</f>
        <v>Acer</v>
      </c>
      <c r="M2365" t="str">
        <f>_xlfn.XLOOKUP(C2365, Table2[Species],Table2[Sp. Name], "Code Not Found")</f>
        <v>saccharum</v>
      </c>
      <c r="N2365" t="str">
        <f>_xlfn.XLOOKUP(C2365,Table2[Species],Table2[Family],"Code Not Found")</f>
        <v>Sapindaceae</v>
      </c>
      <c r="O2365" t="str" cm="1">
        <f t="array" ref="O2365">_xlfn.IFS(F2365="","",F2365&lt;=5,"0 to 5",F2365&lt;=10,"5.1 to 10",F2365&lt;=20,"10 to 20", F2365&lt;= 40, "20 to 40", F2365 &lt;= 50, "40 to 50", F2365 &gt; 50, "&gt;50" )</f>
        <v>0 to 5</v>
      </c>
    </row>
    <row r="2366" spans="1:15" ht="15" customHeight="1" x14ac:dyDescent="0.3">
      <c r="A2366" t="s">
        <v>498</v>
      </c>
      <c r="B2366" s="1">
        <v>46211</v>
      </c>
      <c r="C2366" t="s">
        <v>22</v>
      </c>
      <c r="D2366">
        <v>2185</v>
      </c>
      <c r="E2366">
        <v>1</v>
      </c>
      <c r="F2366">
        <v>22.8</v>
      </c>
      <c r="G2366" t="s">
        <v>509</v>
      </c>
      <c r="H2366" t="s">
        <v>36</v>
      </c>
      <c r="I2366" t="str">
        <f t="shared" si="54"/>
        <v>2185_1</v>
      </c>
      <c r="J2366" t="s">
        <v>428</v>
      </c>
      <c r="K2366" t="s">
        <v>429</v>
      </c>
      <c r="L2366" t="str">
        <f>_xlfn.XLOOKUP(C2366, Table2[Species],Table2[Genus], "Code Not Found")</f>
        <v>Acer</v>
      </c>
      <c r="M2366" t="str">
        <f>_xlfn.XLOOKUP(C2366, Table2[Species],Table2[Sp. Name], "Code Not Found")</f>
        <v>rubrum</v>
      </c>
      <c r="N2366" t="str">
        <f>_xlfn.XLOOKUP(C2366,Table2[Species],Table2[Family],"Code Not Found")</f>
        <v>Sapindaceae</v>
      </c>
      <c r="O2366" t="str" cm="1">
        <f t="array" ref="O2366">_xlfn.IFS(F2366="","",F2366&lt;=5,"0 to 5",F2366&lt;=10,"5.1 to 10",F2366&lt;=20,"10 to 20", F2366&lt;= 40, "20 to 40", F2366 &lt;= 50, "40 to 50", F2366 &gt; 50, "&gt;50" )</f>
        <v>20 to 40</v>
      </c>
    </row>
    <row r="2367" spans="1:15" ht="15" customHeight="1" x14ac:dyDescent="0.3">
      <c r="A2367" t="s">
        <v>498</v>
      </c>
      <c r="B2367" s="1">
        <v>46211</v>
      </c>
      <c r="C2367" t="s">
        <v>430</v>
      </c>
      <c r="D2367">
        <v>2186</v>
      </c>
      <c r="E2367">
        <v>1</v>
      </c>
      <c r="F2367">
        <v>9.1999999999999993</v>
      </c>
      <c r="G2367" t="s">
        <v>139</v>
      </c>
      <c r="H2367" t="s">
        <v>121</v>
      </c>
      <c r="I2367" t="str">
        <f t="shared" ref="I2367:I2424" si="55">D2367&amp;"_"&amp;E2367</f>
        <v>2186_1</v>
      </c>
      <c r="J2367" t="s">
        <v>428</v>
      </c>
      <c r="K2367" t="s">
        <v>429</v>
      </c>
      <c r="L2367" t="str">
        <f>_xlfn.XLOOKUP(C2367, Table2[Species],Table2[Genus], "Code Not Found")</f>
        <v>Tsuga</v>
      </c>
      <c r="M2367" t="str">
        <f>_xlfn.XLOOKUP(C2367, Table2[Species],Table2[Sp. Name], "Code Not Found")</f>
        <v>canadensis</v>
      </c>
      <c r="N2367" t="str">
        <f>_xlfn.XLOOKUP(C2367,Table2[Species],Table2[Family],"Code Not Found")</f>
        <v>Pinaceae</v>
      </c>
      <c r="O2367" t="str" cm="1">
        <f t="array" ref="O2367">_xlfn.IFS(F2367="","",F2367&lt;=5,"0 to 5",F2367&lt;=10,"5.1 to 10",F2367&lt;=20,"10 to 20", F2367&lt;= 40, "20 to 40", F2367 &lt;= 50, "40 to 50", F2367 &gt; 50, "&gt;50" )</f>
        <v>5.1 to 10</v>
      </c>
    </row>
    <row r="2368" spans="1:15" ht="15" customHeight="1" x14ac:dyDescent="0.3">
      <c r="A2368" t="s">
        <v>498</v>
      </c>
      <c r="B2368" s="1">
        <v>46211</v>
      </c>
      <c r="C2368" t="s">
        <v>430</v>
      </c>
      <c r="D2368">
        <v>2187</v>
      </c>
      <c r="E2368">
        <v>1</v>
      </c>
      <c r="F2368">
        <v>5.5</v>
      </c>
      <c r="G2368" t="s">
        <v>17</v>
      </c>
      <c r="I2368" t="str">
        <f t="shared" si="55"/>
        <v>2187_1</v>
      </c>
      <c r="J2368" t="s">
        <v>428</v>
      </c>
      <c r="K2368" t="s">
        <v>429</v>
      </c>
      <c r="L2368" t="str">
        <f>_xlfn.XLOOKUP(C2368, Table2[Species],Table2[Genus], "Code Not Found")</f>
        <v>Tsuga</v>
      </c>
      <c r="M2368" t="str">
        <f>_xlfn.XLOOKUP(C2368, Table2[Species],Table2[Sp. Name], "Code Not Found")</f>
        <v>canadensis</v>
      </c>
      <c r="N2368" t="str">
        <f>_xlfn.XLOOKUP(C2368,Table2[Species],Table2[Family],"Code Not Found")</f>
        <v>Pinaceae</v>
      </c>
      <c r="O2368" t="str" cm="1">
        <f t="array" ref="O2368">_xlfn.IFS(F2368="","",F2368&lt;=5,"0 to 5",F2368&lt;=10,"5.1 to 10",F2368&lt;=20,"10 to 20", F2368&lt;= 40, "20 to 40", F2368 &lt;= 50, "40 to 50", F2368 &gt; 50, "&gt;50" )</f>
        <v>5.1 to 10</v>
      </c>
    </row>
    <row r="2369" spans="1:15" ht="15" customHeight="1" x14ac:dyDescent="0.3">
      <c r="A2369" t="s">
        <v>498</v>
      </c>
      <c r="B2369" s="1">
        <v>46211</v>
      </c>
      <c r="C2369" t="s">
        <v>430</v>
      </c>
      <c r="D2369">
        <v>2188</v>
      </c>
      <c r="E2369">
        <v>1</v>
      </c>
      <c r="F2369">
        <v>16.3</v>
      </c>
      <c r="G2369" t="s">
        <v>17</v>
      </c>
      <c r="I2369" t="str">
        <f t="shared" si="55"/>
        <v>2188_1</v>
      </c>
      <c r="J2369" t="s">
        <v>428</v>
      </c>
      <c r="K2369" t="s">
        <v>429</v>
      </c>
      <c r="L2369" t="str">
        <f>_xlfn.XLOOKUP(C2369, Table2[Species],Table2[Genus], "Code Not Found")</f>
        <v>Tsuga</v>
      </c>
      <c r="M2369" t="str">
        <f>_xlfn.XLOOKUP(C2369, Table2[Species],Table2[Sp. Name], "Code Not Found")</f>
        <v>canadensis</v>
      </c>
      <c r="N2369" t="str">
        <f>_xlfn.XLOOKUP(C2369,Table2[Species],Table2[Family],"Code Not Found")</f>
        <v>Pinaceae</v>
      </c>
      <c r="O2369" t="str" cm="1">
        <f t="array" ref="O2369">_xlfn.IFS(F2369="","",F2369&lt;=5,"0 to 5",F2369&lt;=10,"5.1 to 10",F2369&lt;=20,"10 to 20", F2369&lt;= 40, "20 to 40", F2369 &lt;= 50, "40 to 50", F2369 &gt; 50, "&gt;50" )</f>
        <v>10 to 20</v>
      </c>
    </row>
    <row r="2370" spans="1:15" ht="15" customHeight="1" x14ac:dyDescent="0.3">
      <c r="A2370" t="s">
        <v>498</v>
      </c>
      <c r="B2370" s="1">
        <v>46211</v>
      </c>
      <c r="C2370" t="s">
        <v>430</v>
      </c>
      <c r="D2370">
        <v>2189</v>
      </c>
      <c r="E2370">
        <v>1</v>
      </c>
      <c r="F2370">
        <v>14.3</v>
      </c>
      <c r="G2370" t="s">
        <v>509</v>
      </c>
      <c r="I2370" t="str">
        <f t="shared" si="55"/>
        <v>2189_1</v>
      </c>
      <c r="J2370" t="s">
        <v>428</v>
      </c>
      <c r="K2370" t="s">
        <v>429</v>
      </c>
      <c r="L2370" t="str">
        <f>_xlfn.XLOOKUP(C2370, Table2[Species],Table2[Genus], "Code Not Found")</f>
        <v>Tsuga</v>
      </c>
      <c r="M2370" t="str">
        <f>_xlfn.XLOOKUP(C2370, Table2[Species],Table2[Sp. Name], "Code Not Found")</f>
        <v>canadensis</v>
      </c>
      <c r="N2370" t="str">
        <f>_xlfn.XLOOKUP(C2370,Table2[Species],Table2[Family],"Code Not Found")</f>
        <v>Pinaceae</v>
      </c>
      <c r="O2370" t="str" cm="1">
        <f t="array" ref="O2370">_xlfn.IFS(F2370="","",F2370&lt;=5,"0 to 5",F2370&lt;=10,"5.1 to 10",F2370&lt;=20,"10 to 20", F2370&lt;= 40, "20 to 40", F2370 &lt;= 50, "40 to 50", F2370 &gt; 50, "&gt;50" )</f>
        <v>10 to 20</v>
      </c>
    </row>
    <row r="2371" spans="1:15" ht="15" customHeight="1" x14ac:dyDescent="0.3">
      <c r="A2371" t="s">
        <v>498</v>
      </c>
      <c r="B2371" s="1">
        <v>46211</v>
      </c>
      <c r="C2371" t="s">
        <v>20</v>
      </c>
      <c r="D2371">
        <v>2190</v>
      </c>
      <c r="E2371">
        <v>1</v>
      </c>
      <c r="F2371">
        <v>72.2</v>
      </c>
      <c r="G2371" t="s">
        <v>21</v>
      </c>
      <c r="I2371" t="str">
        <f t="shared" si="55"/>
        <v>2190_1</v>
      </c>
      <c r="J2371" t="s">
        <v>428</v>
      </c>
      <c r="K2371" t="s">
        <v>429</v>
      </c>
      <c r="L2371" t="str">
        <f>_xlfn.XLOOKUP(C2371, Table2[Species],Table2[Genus], "Code Not Found")</f>
        <v>Prunus</v>
      </c>
      <c r="M2371" t="str">
        <f>_xlfn.XLOOKUP(C2371, Table2[Species],Table2[Sp. Name], "Code Not Found")</f>
        <v>serotina</v>
      </c>
      <c r="N2371" t="str">
        <f>_xlfn.XLOOKUP(C2371,Table2[Species],Table2[Family],"Code Not Found")</f>
        <v>Rosaceae</v>
      </c>
      <c r="O2371" t="str" cm="1">
        <f t="array" ref="O2371">_xlfn.IFS(F2371="","",F2371&lt;=5,"0 to 5",F2371&lt;=10,"5.1 to 10",F2371&lt;=20,"10 to 20", F2371&lt;= 40, "20 to 40", F2371 &lt;= 50, "40 to 50", F2371 &gt; 50, "&gt;50" )</f>
        <v>&gt;50</v>
      </c>
    </row>
    <row r="2372" spans="1:15" ht="15" customHeight="1" x14ac:dyDescent="0.3">
      <c r="A2372" t="s">
        <v>498</v>
      </c>
      <c r="B2372" s="1">
        <v>46211</v>
      </c>
      <c r="C2372" t="s">
        <v>430</v>
      </c>
      <c r="D2372">
        <v>2191</v>
      </c>
      <c r="E2372">
        <v>1</v>
      </c>
      <c r="F2372">
        <v>7.3</v>
      </c>
      <c r="G2372" t="s">
        <v>509</v>
      </c>
      <c r="I2372" t="str">
        <f t="shared" si="55"/>
        <v>2191_1</v>
      </c>
      <c r="J2372" t="s">
        <v>428</v>
      </c>
      <c r="K2372" t="s">
        <v>429</v>
      </c>
      <c r="L2372" t="str">
        <f>_xlfn.XLOOKUP(C2372, Table2[Species],Table2[Genus], "Code Not Found")</f>
        <v>Tsuga</v>
      </c>
      <c r="M2372" t="str">
        <f>_xlfn.XLOOKUP(C2372, Table2[Species],Table2[Sp. Name], "Code Not Found")</f>
        <v>canadensis</v>
      </c>
      <c r="N2372" t="str">
        <f>_xlfn.XLOOKUP(C2372,Table2[Species],Table2[Family],"Code Not Found")</f>
        <v>Pinaceae</v>
      </c>
      <c r="O2372" t="str" cm="1">
        <f t="array" ref="O2372">_xlfn.IFS(F2372="","",F2372&lt;=5,"0 to 5",F2372&lt;=10,"5.1 to 10",F2372&lt;=20,"10 to 20", F2372&lt;= 40, "20 to 40", F2372 &lt;= 50, "40 to 50", F2372 &gt; 50, "&gt;50" )</f>
        <v>5.1 to 10</v>
      </c>
    </row>
    <row r="2373" spans="1:15" ht="15" customHeight="1" x14ac:dyDescent="0.3">
      <c r="A2373" t="s">
        <v>498</v>
      </c>
      <c r="B2373" s="1">
        <v>46211</v>
      </c>
      <c r="C2373" t="s">
        <v>430</v>
      </c>
      <c r="D2373">
        <v>2192</v>
      </c>
      <c r="E2373">
        <v>1</v>
      </c>
      <c r="F2373">
        <v>11.6</v>
      </c>
      <c r="G2373" t="s">
        <v>17</v>
      </c>
      <c r="I2373" t="str">
        <f t="shared" si="55"/>
        <v>2192_1</v>
      </c>
      <c r="J2373" t="s">
        <v>428</v>
      </c>
      <c r="K2373" t="s">
        <v>429</v>
      </c>
      <c r="L2373" t="str">
        <f>_xlfn.XLOOKUP(C2373, Table2[Species],Table2[Genus], "Code Not Found")</f>
        <v>Tsuga</v>
      </c>
      <c r="M2373" t="str">
        <f>_xlfn.XLOOKUP(C2373, Table2[Species],Table2[Sp. Name], "Code Not Found")</f>
        <v>canadensis</v>
      </c>
      <c r="N2373" t="str">
        <f>_xlfn.XLOOKUP(C2373,Table2[Species],Table2[Family],"Code Not Found")</f>
        <v>Pinaceae</v>
      </c>
      <c r="O2373" t="str" cm="1">
        <f t="array" ref="O2373">_xlfn.IFS(F2373="","",F2373&lt;=5,"0 to 5",F2373&lt;=10,"5.1 to 10",F2373&lt;=20,"10 to 20", F2373&lt;= 40, "20 to 40", F2373 &lt;= 50, "40 to 50", F2373 &gt; 50, "&gt;50" )</f>
        <v>10 to 20</v>
      </c>
    </row>
    <row r="2374" spans="1:15" ht="15" customHeight="1" x14ac:dyDescent="0.3">
      <c r="A2374" t="s">
        <v>498</v>
      </c>
      <c r="B2374" s="1">
        <v>46211</v>
      </c>
      <c r="C2374" t="s">
        <v>64</v>
      </c>
      <c r="D2374">
        <v>2193</v>
      </c>
      <c r="E2374">
        <v>1</v>
      </c>
      <c r="F2374">
        <v>1.6</v>
      </c>
      <c r="G2374" t="s">
        <v>30</v>
      </c>
      <c r="H2374" t="s">
        <v>234</v>
      </c>
      <c r="I2374" t="str">
        <f t="shared" si="55"/>
        <v>2193_1</v>
      </c>
      <c r="J2374" t="s">
        <v>428</v>
      </c>
      <c r="K2374" t="s">
        <v>429</v>
      </c>
      <c r="L2374" t="str">
        <f>_xlfn.XLOOKUP(C2374, Table2[Species],Table2[Genus], "Code Not Found")</f>
        <v>Fagus</v>
      </c>
      <c r="M2374" t="str">
        <f>_xlfn.XLOOKUP(C2374, Table2[Species],Table2[Sp. Name], "Code Not Found")</f>
        <v>grandifolia</v>
      </c>
      <c r="N2374" t="str">
        <f>_xlfn.XLOOKUP(C2374,Table2[Species],Table2[Family],"Code Not Found")</f>
        <v>Fagaceae</v>
      </c>
      <c r="O2374" t="str" cm="1">
        <f t="array" ref="O2374">_xlfn.IFS(F2374="","",F2374&lt;=5,"0 to 5",F2374&lt;=10,"5.1 to 10",F2374&lt;=20,"10 to 20", F2374&lt;= 40, "20 to 40", F2374 &lt;= 50, "40 to 50", F2374 &gt; 50, "&gt;50" )</f>
        <v>0 to 5</v>
      </c>
    </row>
    <row r="2375" spans="1:15" ht="15" customHeight="1" x14ac:dyDescent="0.3">
      <c r="A2375" t="s">
        <v>498</v>
      </c>
      <c r="B2375" s="1">
        <v>46211</v>
      </c>
      <c r="C2375" t="s">
        <v>64</v>
      </c>
      <c r="D2375">
        <v>2194</v>
      </c>
      <c r="E2375">
        <v>1</v>
      </c>
      <c r="F2375">
        <v>3</v>
      </c>
      <c r="G2375" t="s">
        <v>510</v>
      </c>
      <c r="I2375" t="str">
        <f t="shared" si="55"/>
        <v>2194_1</v>
      </c>
      <c r="J2375" t="s">
        <v>428</v>
      </c>
      <c r="K2375" t="s">
        <v>429</v>
      </c>
      <c r="L2375" t="str">
        <f>_xlfn.XLOOKUP(C2375, Table2[Species],Table2[Genus], "Code Not Found")</f>
        <v>Fagus</v>
      </c>
      <c r="M2375" t="str">
        <f>_xlfn.XLOOKUP(C2375, Table2[Species],Table2[Sp. Name], "Code Not Found")</f>
        <v>grandifolia</v>
      </c>
      <c r="N2375" t="str">
        <f>_xlfn.XLOOKUP(C2375,Table2[Species],Table2[Family],"Code Not Found")</f>
        <v>Fagaceae</v>
      </c>
      <c r="O2375" t="str" cm="1">
        <f t="array" ref="O2375">_xlfn.IFS(F2375="","",F2375&lt;=5,"0 to 5",F2375&lt;=10,"5.1 to 10",F2375&lt;=20,"10 to 20", F2375&lt;= 40, "20 to 40", F2375 &lt;= 50, "40 to 50", F2375 &gt; 50, "&gt;50" )</f>
        <v>0 to 5</v>
      </c>
    </row>
    <row r="2376" spans="1:15" ht="15" customHeight="1" x14ac:dyDescent="0.3">
      <c r="A2376" t="s">
        <v>498</v>
      </c>
      <c r="B2376" s="1">
        <v>46211</v>
      </c>
      <c r="C2376" t="s">
        <v>64</v>
      </c>
      <c r="D2376">
        <v>2195</v>
      </c>
      <c r="E2376">
        <v>1</v>
      </c>
      <c r="F2376">
        <v>1.6</v>
      </c>
      <c r="G2376" t="s">
        <v>368</v>
      </c>
      <c r="I2376" t="str">
        <f t="shared" si="55"/>
        <v>2195_1</v>
      </c>
      <c r="J2376" t="s">
        <v>428</v>
      </c>
      <c r="K2376" t="s">
        <v>429</v>
      </c>
      <c r="L2376" t="str">
        <f>_xlfn.XLOOKUP(C2376, Table2[Species],Table2[Genus], "Code Not Found")</f>
        <v>Fagus</v>
      </c>
      <c r="M2376" t="str">
        <f>_xlfn.XLOOKUP(C2376, Table2[Species],Table2[Sp. Name], "Code Not Found")</f>
        <v>grandifolia</v>
      </c>
      <c r="N2376" t="str">
        <f>_xlfn.XLOOKUP(C2376,Table2[Species],Table2[Family],"Code Not Found")</f>
        <v>Fagaceae</v>
      </c>
      <c r="O2376" t="str" cm="1">
        <f t="array" ref="O2376">_xlfn.IFS(F2376="","",F2376&lt;=5,"0 to 5",F2376&lt;=10,"5.1 to 10",F2376&lt;=20,"10 to 20", F2376&lt;= 40, "20 to 40", F2376 &lt;= 50, "40 to 50", F2376 &gt; 50, "&gt;50" )</f>
        <v>0 to 5</v>
      </c>
    </row>
    <row r="2377" spans="1:15" ht="15" customHeight="1" x14ac:dyDescent="0.3">
      <c r="A2377" t="s">
        <v>498</v>
      </c>
      <c r="B2377" s="1">
        <v>46211</v>
      </c>
      <c r="C2377" t="s">
        <v>430</v>
      </c>
      <c r="D2377">
        <v>2196</v>
      </c>
      <c r="E2377">
        <v>1</v>
      </c>
      <c r="F2377">
        <v>10.199999999999999</v>
      </c>
      <c r="G2377" t="s">
        <v>509</v>
      </c>
      <c r="I2377" t="str">
        <f t="shared" si="55"/>
        <v>2196_1</v>
      </c>
      <c r="J2377" t="s">
        <v>428</v>
      </c>
      <c r="K2377" t="s">
        <v>429</v>
      </c>
      <c r="L2377" t="str">
        <f>_xlfn.XLOOKUP(C2377, Table2[Species],Table2[Genus], "Code Not Found")</f>
        <v>Tsuga</v>
      </c>
      <c r="M2377" t="str">
        <f>_xlfn.XLOOKUP(C2377, Table2[Species],Table2[Sp. Name], "Code Not Found")</f>
        <v>canadensis</v>
      </c>
      <c r="N2377" t="str">
        <f>_xlfn.XLOOKUP(C2377,Table2[Species],Table2[Family],"Code Not Found")</f>
        <v>Pinaceae</v>
      </c>
      <c r="O2377" t="str" cm="1">
        <f t="array" ref="O2377">_xlfn.IFS(F2377="","",F2377&lt;=5,"0 to 5",F2377&lt;=10,"5.1 to 10",F2377&lt;=20,"10 to 20", F2377&lt;= 40, "20 to 40", F2377 &lt;= 50, "40 to 50", F2377 &gt; 50, "&gt;50" )</f>
        <v>10 to 20</v>
      </c>
    </row>
    <row r="2378" spans="1:15" ht="15" customHeight="1" x14ac:dyDescent="0.3">
      <c r="A2378" t="s">
        <v>498</v>
      </c>
      <c r="B2378" s="1">
        <v>46211</v>
      </c>
      <c r="C2378" t="s">
        <v>64</v>
      </c>
      <c r="D2378">
        <v>2197</v>
      </c>
      <c r="E2378">
        <v>1</v>
      </c>
      <c r="F2378">
        <v>3.8</v>
      </c>
      <c r="G2378" t="s">
        <v>21</v>
      </c>
      <c r="I2378" t="str">
        <f t="shared" si="55"/>
        <v>2197_1</v>
      </c>
      <c r="J2378" t="s">
        <v>428</v>
      </c>
      <c r="K2378" t="s">
        <v>429</v>
      </c>
      <c r="L2378" t="str">
        <f>_xlfn.XLOOKUP(C2378, Table2[Species],Table2[Genus], "Code Not Found")</f>
        <v>Fagus</v>
      </c>
      <c r="M2378" t="str">
        <f>_xlfn.XLOOKUP(C2378, Table2[Species],Table2[Sp. Name], "Code Not Found")</f>
        <v>grandifolia</v>
      </c>
      <c r="N2378" t="str">
        <f>_xlfn.XLOOKUP(C2378,Table2[Species],Table2[Family],"Code Not Found")</f>
        <v>Fagaceae</v>
      </c>
      <c r="O2378" t="str" cm="1">
        <f t="array" ref="O2378">_xlfn.IFS(F2378="","",F2378&lt;=5,"0 to 5",F2378&lt;=10,"5.1 to 10",F2378&lt;=20,"10 to 20", F2378&lt;= 40, "20 to 40", F2378 &lt;= 50, "40 to 50", F2378 &gt; 50, "&gt;50" )</f>
        <v>0 to 5</v>
      </c>
    </row>
    <row r="2379" spans="1:15" ht="15" customHeight="1" x14ac:dyDescent="0.3">
      <c r="A2379" t="s">
        <v>498</v>
      </c>
      <c r="B2379" s="1">
        <v>46211</v>
      </c>
      <c r="C2379" t="s">
        <v>22</v>
      </c>
      <c r="D2379">
        <v>2198</v>
      </c>
      <c r="E2379">
        <v>1</v>
      </c>
      <c r="F2379">
        <v>27</v>
      </c>
      <c r="G2379" t="s">
        <v>21</v>
      </c>
      <c r="I2379" t="str">
        <f t="shared" si="55"/>
        <v>2198_1</v>
      </c>
      <c r="J2379" t="s">
        <v>428</v>
      </c>
      <c r="K2379" t="s">
        <v>429</v>
      </c>
      <c r="L2379" t="str">
        <f>_xlfn.XLOOKUP(C2379, Table2[Species],Table2[Genus], "Code Not Found")</f>
        <v>Acer</v>
      </c>
      <c r="M2379" t="str">
        <f>_xlfn.XLOOKUP(C2379, Table2[Species],Table2[Sp. Name], "Code Not Found")</f>
        <v>rubrum</v>
      </c>
      <c r="N2379" t="str">
        <f>_xlfn.XLOOKUP(C2379,Table2[Species],Table2[Family],"Code Not Found")</f>
        <v>Sapindaceae</v>
      </c>
      <c r="O2379" t="str" cm="1">
        <f t="array" ref="O2379">_xlfn.IFS(F2379="","",F2379&lt;=5,"0 to 5",F2379&lt;=10,"5.1 to 10",F2379&lt;=20,"10 to 20", F2379&lt;= 40, "20 to 40", F2379 &lt;= 50, "40 to 50", F2379 &gt; 50, "&gt;50" )</f>
        <v>20 to 40</v>
      </c>
    </row>
    <row r="2380" spans="1:15" ht="15" customHeight="1" x14ac:dyDescent="0.3">
      <c r="A2380" t="s">
        <v>498</v>
      </c>
      <c r="B2380" s="1">
        <v>46211</v>
      </c>
      <c r="C2380" t="s">
        <v>64</v>
      </c>
      <c r="D2380">
        <v>2199</v>
      </c>
      <c r="E2380">
        <v>1</v>
      </c>
      <c r="F2380">
        <v>1.3</v>
      </c>
      <c r="G2380" t="s">
        <v>381</v>
      </c>
      <c r="H2380" t="s">
        <v>305</v>
      </c>
      <c r="I2380" t="str">
        <f t="shared" si="55"/>
        <v>2199_1</v>
      </c>
      <c r="J2380" t="s">
        <v>428</v>
      </c>
      <c r="K2380" t="s">
        <v>429</v>
      </c>
      <c r="L2380" t="str">
        <f>_xlfn.XLOOKUP(C2380, Table2[Species],Table2[Genus], "Code Not Found")</f>
        <v>Fagus</v>
      </c>
      <c r="M2380" t="str">
        <f>_xlfn.XLOOKUP(C2380, Table2[Species],Table2[Sp. Name], "Code Not Found")</f>
        <v>grandifolia</v>
      </c>
      <c r="N2380" t="str">
        <f>_xlfn.XLOOKUP(C2380,Table2[Species],Table2[Family],"Code Not Found")</f>
        <v>Fagaceae</v>
      </c>
      <c r="O2380" t="str" cm="1">
        <f t="array" ref="O2380">_xlfn.IFS(F2380="","",F2380&lt;=5,"0 to 5",F2380&lt;=10,"5.1 to 10",F2380&lt;=20,"10 to 20", F2380&lt;= 40, "20 to 40", F2380 &lt;= 50, "40 to 50", F2380 &gt; 50, "&gt;50" )</f>
        <v>0 to 5</v>
      </c>
    </row>
    <row r="2381" spans="1:15" ht="15" customHeight="1" x14ac:dyDescent="0.3">
      <c r="A2381" t="s">
        <v>498</v>
      </c>
      <c r="B2381" s="1">
        <v>46211</v>
      </c>
      <c r="C2381" t="s">
        <v>64</v>
      </c>
      <c r="D2381">
        <v>2200</v>
      </c>
      <c r="E2381">
        <v>1</v>
      </c>
      <c r="F2381">
        <v>4.4000000000000004</v>
      </c>
      <c r="G2381" t="s">
        <v>21</v>
      </c>
      <c r="H2381" t="s">
        <v>500</v>
      </c>
      <c r="I2381" t="str">
        <f t="shared" si="55"/>
        <v>2200_1</v>
      </c>
      <c r="J2381" t="s">
        <v>428</v>
      </c>
      <c r="K2381" t="s">
        <v>429</v>
      </c>
      <c r="L2381" t="str">
        <f>_xlfn.XLOOKUP(C2381, Table2[Species],Table2[Genus], "Code Not Found")</f>
        <v>Fagus</v>
      </c>
      <c r="M2381" t="str">
        <f>_xlfn.XLOOKUP(C2381, Table2[Species],Table2[Sp. Name], "Code Not Found")</f>
        <v>grandifolia</v>
      </c>
      <c r="N2381" t="str">
        <f>_xlfn.XLOOKUP(C2381,Table2[Species],Table2[Family],"Code Not Found")</f>
        <v>Fagaceae</v>
      </c>
      <c r="O2381" t="str" cm="1">
        <f t="array" ref="O2381">_xlfn.IFS(F2381="","",F2381&lt;=5,"0 to 5",F2381&lt;=10,"5.1 to 10",F2381&lt;=20,"10 to 20", F2381&lt;= 40, "20 to 40", F2381 &lt;= 50, "40 to 50", F2381 &gt; 50, "&gt;50" )</f>
        <v>0 to 5</v>
      </c>
    </row>
    <row r="2382" spans="1:15" ht="15" customHeight="1" x14ac:dyDescent="0.3">
      <c r="A2382" t="s">
        <v>498</v>
      </c>
      <c r="B2382" s="1">
        <v>46211</v>
      </c>
      <c r="C2382" t="s">
        <v>64</v>
      </c>
      <c r="D2382">
        <v>2201</v>
      </c>
      <c r="E2382">
        <v>1</v>
      </c>
      <c r="F2382">
        <v>12.8</v>
      </c>
      <c r="G2382" t="s">
        <v>21</v>
      </c>
      <c r="I2382" t="str">
        <f t="shared" si="55"/>
        <v>2201_1</v>
      </c>
      <c r="J2382" t="s">
        <v>428</v>
      </c>
      <c r="K2382" t="s">
        <v>429</v>
      </c>
      <c r="L2382" t="str">
        <f>_xlfn.XLOOKUP(C2382, Table2[Species],Table2[Genus], "Code Not Found")</f>
        <v>Fagus</v>
      </c>
      <c r="M2382" t="str">
        <f>_xlfn.XLOOKUP(C2382, Table2[Species],Table2[Sp. Name], "Code Not Found")</f>
        <v>grandifolia</v>
      </c>
      <c r="N2382" t="str">
        <f>_xlfn.XLOOKUP(C2382,Table2[Species],Table2[Family],"Code Not Found")</f>
        <v>Fagaceae</v>
      </c>
      <c r="O2382" t="str" cm="1">
        <f t="array" ref="O2382">_xlfn.IFS(F2382="","",F2382&lt;=5,"0 to 5",F2382&lt;=10,"5.1 to 10",F2382&lt;=20,"10 to 20", F2382&lt;= 40, "20 to 40", F2382 &lt;= 50, "40 to 50", F2382 &gt; 50, "&gt;50" )</f>
        <v>10 to 20</v>
      </c>
    </row>
    <row r="2383" spans="1:15" ht="15" customHeight="1" x14ac:dyDescent="0.3">
      <c r="A2383" t="s">
        <v>498</v>
      </c>
      <c r="B2383" s="1">
        <v>46211</v>
      </c>
      <c r="C2383" t="s">
        <v>64</v>
      </c>
      <c r="D2383">
        <v>2202</v>
      </c>
      <c r="E2383">
        <v>1</v>
      </c>
      <c r="F2383">
        <v>5.8</v>
      </c>
      <c r="G2383" t="s">
        <v>21</v>
      </c>
      <c r="I2383" t="str">
        <f t="shared" si="55"/>
        <v>2202_1</v>
      </c>
      <c r="J2383" t="s">
        <v>428</v>
      </c>
      <c r="K2383" t="s">
        <v>429</v>
      </c>
      <c r="L2383" t="str">
        <f>_xlfn.XLOOKUP(C2383, Table2[Species],Table2[Genus], "Code Not Found")</f>
        <v>Fagus</v>
      </c>
      <c r="M2383" t="str">
        <f>_xlfn.XLOOKUP(C2383, Table2[Species],Table2[Sp. Name], "Code Not Found")</f>
        <v>grandifolia</v>
      </c>
      <c r="N2383" t="str">
        <f>_xlfn.XLOOKUP(C2383,Table2[Species],Table2[Family],"Code Not Found")</f>
        <v>Fagaceae</v>
      </c>
      <c r="O2383" t="str" cm="1">
        <f t="array" ref="O2383">_xlfn.IFS(F2383="","",F2383&lt;=5,"0 to 5",F2383&lt;=10,"5.1 to 10",F2383&lt;=20,"10 to 20", F2383&lt;= 40, "20 to 40", F2383 &lt;= 50, "40 to 50", F2383 &gt; 50, "&gt;50" )</f>
        <v>5.1 to 10</v>
      </c>
    </row>
    <row r="2384" spans="1:15" ht="15" customHeight="1" x14ac:dyDescent="0.3">
      <c r="A2384" t="s">
        <v>498</v>
      </c>
      <c r="B2384" s="1">
        <v>46211</v>
      </c>
      <c r="C2384" t="s">
        <v>64</v>
      </c>
      <c r="D2384">
        <v>2203</v>
      </c>
      <c r="E2384">
        <v>1</v>
      </c>
      <c r="F2384">
        <v>7.4</v>
      </c>
      <c r="G2384" t="s">
        <v>17</v>
      </c>
      <c r="H2384" t="s">
        <v>36</v>
      </c>
      <c r="I2384" t="str">
        <f t="shared" si="55"/>
        <v>2203_1</v>
      </c>
      <c r="J2384" t="s">
        <v>428</v>
      </c>
      <c r="K2384" t="s">
        <v>429</v>
      </c>
      <c r="L2384" t="str">
        <f>_xlfn.XLOOKUP(C2384, Table2[Species],Table2[Genus], "Code Not Found")</f>
        <v>Fagus</v>
      </c>
      <c r="M2384" t="str">
        <f>_xlfn.XLOOKUP(C2384, Table2[Species],Table2[Sp. Name], "Code Not Found")</f>
        <v>grandifolia</v>
      </c>
      <c r="N2384" t="str">
        <f>_xlfn.XLOOKUP(C2384,Table2[Species],Table2[Family],"Code Not Found")</f>
        <v>Fagaceae</v>
      </c>
      <c r="O2384" t="str" cm="1">
        <f t="array" ref="O2384">_xlfn.IFS(F2384="","",F2384&lt;=5,"0 to 5",F2384&lt;=10,"5.1 to 10",F2384&lt;=20,"10 to 20", F2384&lt;= 40, "20 to 40", F2384 &lt;= 50, "40 to 50", F2384 &gt; 50, "&gt;50" )</f>
        <v>5.1 to 10</v>
      </c>
    </row>
    <row r="2385" spans="1:15" ht="15" customHeight="1" x14ac:dyDescent="0.3">
      <c r="A2385" t="s">
        <v>498</v>
      </c>
      <c r="B2385" s="1">
        <v>46211</v>
      </c>
      <c r="C2385" t="s">
        <v>16</v>
      </c>
      <c r="D2385">
        <v>2204</v>
      </c>
      <c r="E2385">
        <v>1</v>
      </c>
      <c r="F2385">
        <v>56</v>
      </c>
      <c r="G2385" t="s">
        <v>56</v>
      </c>
      <c r="H2385" t="s">
        <v>511</v>
      </c>
      <c r="I2385" t="str">
        <f t="shared" si="55"/>
        <v>2204_1</v>
      </c>
      <c r="J2385" t="s">
        <v>428</v>
      </c>
      <c r="K2385" t="s">
        <v>429</v>
      </c>
      <c r="L2385" t="str">
        <f>_xlfn.XLOOKUP(C2385, Table2[Species],Table2[Genus], "Code Not Found")</f>
        <v>Acer</v>
      </c>
      <c r="M2385" t="str">
        <f>_xlfn.XLOOKUP(C2385, Table2[Species],Table2[Sp. Name], "Code Not Found")</f>
        <v>saccharum</v>
      </c>
      <c r="N2385" t="str">
        <f>_xlfn.XLOOKUP(C2385,Table2[Species],Table2[Family],"Code Not Found")</f>
        <v>Sapindaceae</v>
      </c>
      <c r="O2385" t="str" cm="1">
        <f t="array" ref="O2385">_xlfn.IFS(F2385="","",F2385&lt;=5,"0 to 5",F2385&lt;=10,"5.1 to 10",F2385&lt;=20,"10 to 20", F2385&lt;= 40, "20 to 40", F2385 &lt;= 50, "40 to 50", F2385 &gt; 50, "&gt;50" )</f>
        <v>&gt;50</v>
      </c>
    </row>
    <row r="2386" spans="1:15" ht="15" customHeight="1" x14ac:dyDescent="0.3">
      <c r="A2386" t="s">
        <v>498</v>
      </c>
      <c r="B2386" s="1">
        <v>46211</v>
      </c>
      <c r="C2386" t="s">
        <v>64</v>
      </c>
      <c r="D2386">
        <v>2205</v>
      </c>
      <c r="E2386">
        <v>1</v>
      </c>
      <c r="F2386">
        <v>5.3</v>
      </c>
      <c r="G2386" t="s">
        <v>21</v>
      </c>
      <c r="I2386" t="str">
        <f t="shared" si="55"/>
        <v>2205_1</v>
      </c>
      <c r="J2386" t="s">
        <v>428</v>
      </c>
      <c r="K2386" t="s">
        <v>429</v>
      </c>
      <c r="L2386" t="str">
        <f>_xlfn.XLOOKUP(C2386, Table2[Species],Table2[Genus], "Code Not Found")</f>
        <v>Fagus</v>
      </c>
      <c r="M2386" t="str">
        <f>_xlfn.XLOOKUP(C2386, Table2[Species],Table2[Sp. Name], "Code Not Found")</f>
        <v>grandifolia</v>
      </c>
      <c r="N2386" t="str">
        <f>_xlfn.XLOOKUP(C2386,Table2[Species],Table2[Family],"Code Not Found")</f>
        <v>Fagaceae</v>
      </c>
      <c r="O2386" t="str" cm="1">
        <f t="array" ref="O2386">_xlfn.IFS(F2386="","",F2386&lt;=5,"0 to 5",F2386&lt;=10,"5.1 to 10",F2386&lt;=20,"10 to 20", F2386&lt;= 40, "20 to 40", F2386 &lt;= 50, "40 to 50", F2386 &gt; 50, "&gt;50" )</f>
        <v>5.1 to 10</v>
      </c>
    </row>
    <row r="2387" spans="1:15" ht="15" customHeight="1" x14ac:dyDescent="0.3">
      <c r="A2387" t="s">
        <v>498</v>
      </c>
      <c r="B2387" s="1">
        <v>46211</v>
      </c>
      <c r="C2387" t="s">
        <v>430</v>
      </c>
      <c r="D2387">
        <v>2206</v>
      </c>
      <c r="E2387">
        <v>1</v>
      </c>
      <c r="F2387">
        <v>11.6</v>
      </c>
      <c r="G2387" t="s">
        <v>21</v>
      </c>
      <c r="H2387" t="s">
        <v>500</v>
      </c>
      <c r="I2387" t="str">
        <f t="shared" si="55"/>
        <v>2206_1</v>
      </c>
      <c r="J2387" t="s">
        <v>428</v>
      </c>
      <c r="K2387" t="s">
        <v>429</v>
      </c>
      <c r="L2387" t="str">
        <f>_xlfn.XLOOKUP(C2387, Table2[Species],Table2[Genus], "Code Not Found")</f>
        <v>Tsuga</v>
      </c>
      <c r="M2387" t="str">
        <f>_xlfn.XLOOKUP(C2387, Table2[Species],Table2[Sp. Name], "Code Not Found")</f>
        <v>canadensis</v>
      </c>
      <c r="N2387" t="str">
        <f>_xlfn.XLOOKUP(C2387,Table2[Species],Table2[Family],"Code Not Found")</f>
        <v>Pinaceae</v>
      </c>
      <c r="O2387" t="str" cm="1">
        <f t="array" ref="O2387">_xlfn.IFS(F2387="","",F2387&lt;=5,"0 to 5",F2387&lt;=10,"5.1 to 10",F2387&lt;=20,"10 to 20", F2387&lt;= 40, "20 to 40", F2387 &lt;= 50, "40 to 50", F2387 &gt; 50, "&gt;50" )</f>
        <v>10 to 20</v>
      </c>
    </row>
    <row r="2388" spans="1:15" ht="15" customHeight="1" x14ac:dyDescent="0.3">
      <c r="A2388" t="s">
        <v>498</v>
      </c>
      <c r="B2388" s="1">
        <v>46211</v>
      </c>
      <c r="C2388" t="s">
        <v>64</v>
      </c>
      <c r="D2388">
        <v>2207</v>
      </c>
      <c r="E2388">
        <v>1</v>
      </c>
      <c r="F2388">
        <v>3.6</v>
      </c>
      <c r="G2388" t="s">
        <v>21</v>
      </c>
      <c r="I2388" t="str">
        <f t="shared" si="55"/>
        <v>2207_1</v>
      </c>
      <c r="J2388" t="s">
        <v>428</v>
      </c>
      <c r="K2388" t="s">
        <v>429</v>
      </c>
      <c r="L2388" t="str">
        <f>_xlfn.XLOOKUP(C2388, Table2[Species],Table2[Genus], "Code Not Found")</f>
        <v>Fagus</v>
      </c>
      <c r="M2388" t="str">
        <f>_xlfn.XLOOKUP(C2388, Table2[Species],Table2[Sp. Name], "Code Not Found")</f>
        <v>grandifolia</v>
      </c>
      <c r="N2388" t="str">
        <f>_xlfn.XLOOKUP(C2388,Table2[Species],Table2[Family],"Code Not Found")</f>
        <v>Fagaceae</v>
      </c>
      <c r="O2388" t="str" cm="1">
        <f t="array" ref="O2388">_xlfn.IFS(F2388="","",F2388&lt;=5,"0 to 5",F2388&lt;=10,"5.1 to 10",F2388&lt;=20,"10 to 20", F2388&lt;= 40, "20 to 40", F2388 &lt;= 50, "40 to 50", F2388 &gt; 50, "&gt;50" )</f>
        <v>0 to 5</v>
      </c>
    </row>
    <row r="2389" spans="1:15" ht="15" customHeight="1" x14ac:dyDescent="0.3">
      <c r="A2389" t="s">
        <v>498</v>
      </c>
      <c r="B2389" s="1">
        <v>46211</v>
      </c>
      <c r="C2389" t="s">
        <v>64</v>
      </c>
      <c r="D2389">
        <v>2208</v>
      </c>
      <c r="E2389">
        <v>1</v>
      </c>
      <c r="F2389">
        <v>5.6</v>
      </c>
      <c r="G2389" t="s">
        <v>359</v>
      </c>
      <c r="I2389" t="str">
        <f t="shared" si="55"/>
        <v>2208_1</v>
      </c>
      <c r="J2389" t="s">
        <v>428</v>
      </c>
      <c r="K2389" t="s">
        <v>429</v>
      </c>
      <c r="L2389" t="str">
        <f>_xlfn.XLOOKUP(C2389, Table2[Species],Table2[Genus], "Code Not Found")</f>
        <v>Fagus</v>
      </c>
      <c r="M2389" t="str">
        <f>_xlfn.XLOOKUP(C2389, Table2[Species],Table2[Sp. Name], "Code Not Found")</f>
        <v>grandifolia</v>
      </c>
      <c r="N2389" t="str">
        <f>_xlfn.XLOOKUP(C2389,Table2[Species],Table2[Family],"Code Not Found")</f>
        <v>Fagaceae</v>
      </c>
      <c r="O2389" t="str" cm="1">
        <f t="array" ref="O2389">_xlfn.IFS(F2389="","",F2389&lt;=5,"0 to 5",F2389&lt;=10,"5.1 to 10",F2389&lt;=20,"10 to 20", F2389&lt;= 40, "20 to 40", F2389 &lt;= 50, "40 to 50", F2389 &gt; 50, "&gt;50" )</f>
        <v>5.1 to 10</v>
      </c>
    </row>
    <row r="2390" spans="1:15" ht="15" customHeight="1" x14ac:dyDescent="0.3">
      <c r="A2390" t="s">
        <v>498</v>
      </c>
      <c r="B2390" s="1">
        <v>46211</v>
      </c>
      <c r="C2390" t="s">
        <v>216</v>
      </c>
      <c r="D2390">
        <v>2209</v>
      </c>
      <c r="E2390">
        <v>1</v>
      </c>
      <c r="F2390">
        <v>1.8</v>
      </c>
      <c r="G2390" t="s">
        <v>469</v>
      </c>
      <c r="H2390" t="s">
        <v>296</v>
      </c>
      <c r="I2390" t="str">
        <f t="shared" si="55"/>
        <v>2209_1</v>
      </c>
      <c r="J2390" t="s">
        <v>428</v>
      </c>
      <c r="K2390" t="s">
        <v>429</v>
      </c>
      <c r="L2390" t="str">
        <f>_xlfn.XLOOKUP(C2390, Table2[Species],Table2[Genus], "Code Not Found")</f>
        <v>Crataegus</v>
      </c>
      <c r="M2390" t="str">
        <f>_xlfn.XLOOKUP(C2390, Table2[Species],Table2[Sp. Name], "Code Not Found")</f>
        <v>species</v>
      </c>
      <c r="N2390" t="str">
        <f>_xlfn.XLOOKUP(C2390,Table2[Species],Table2[Family],"Code Not Found")</f>
        <v>Rosaceae</v>
      </c>
      <c r="O2390" t="str" cm="1">
        <f t="array" ref="O2390">_xlfn.IFS(F2390="","",F2390&lt;=5,"0 to 5",F2390&lt;=10,"5.1 to 10",F2390&lt;=20,"10 to 20", F2390&lt;= 40, "20 to 40", F2390 &lt;= 50, "40 to 50", F2390 &gt; 50, "&gt;50" )</f>
        <v>0 to 5</v>
      </c>
    </row>
    <row r="2391" spans="1:15" ht="15" customHeight="1" x14ac:dyDescent="0.3">
      <c r="A2391" t="s">
        <v>498</v>
      </c>
      <c r="B2391" s="1">
        <v>46211</v>
      </c>
      <c r="C2391" t="s">
        <v>216</v>
      </c>
      <c r="D2391">
        <v>2209</v>
      </c>
      <c r="E2391">
        <v>2</v>
      </c>
      <c r="F2391">
        <v>1.2</v>
      </c>
      <c r="G2391" t="s">
        <v>469</v>
      </c>
      <c r="H2391" t="s">
        <v>296</v>
      </c>
      <c r="I2391" t="str">
        <f t="shared" si="55"/>
        <v>2209_2</v>
      </c>
      <c r="J2391" t="s">
        <v>428</v>
      </c>
      <c r="K2391" t="s">
        <v>429</v>
      </c>
      <c r="L2391" t="str">
        <f>_xlfn.XLOOKUP(C2391, Table2[Species],Table2[Genus], "Code Not Found")</f>
        <v>Crataegus</v>
      </c>
      <c r="M2391" t="str">
        <f>_xlfn.XLOOKUP(C2391, Table2[Species],Table2[Sp. Name], "Code Not Found")</f>
        <v>species</v>
      </c>
      <c r="N2391" t="str">
        <f>_xlfn.XLOOKUP(C2391,Table2[Species],Table2[Family],"Code Not Found")</f>
        <v>Rosaceae</v>
      </c>
      <c r="O2391" t="str" cm="1">
        <f t="array" ref="O2391">_xlfn.IFS(F2391="","",F2391&lt;=5,"0 to 5",F2391&lt;=10,"5.1 to 10",F2391&lt;=20,"10 to 20", F2391&lt;= 40, "20 to 40", F2391 &lt;= 50, "40 to 50", F2391 &gt; 50, "&gt;50" )</f>
        <v>0 to 5</v>
      </c>
    </row>
    <row r="2392" spans="1:15" ht="15" customHeight="1" x14ac:dyDescent="0.3">
      <c r="A2392" t="s">
        <v>498</v>
      </c>
      <c r="B2392" s="1">
        <v>46211</v>
      </c>
      <c r="C2392" t="s">
        <v>64</v>
      </c>
      <c r="D2392">
        <v>2210</v>
      </c>
      <c r="E2392">
        <v>1</v>
      </c>
      <c r="F2392">
        <v>2.6</v>
      </c>
      <c r="G2392" t="s">
        <v>17</v>
      </c>
      <c r="H2392" t="s">
        <v>512</v>
      </c>
      <c r="I2392" t="str">
        <f t="shared" si="55"/>
        <v>2210_1</v>
      </c>
      <c r="J2392" t="s">
        <v>428</v>
      </c>
      <c r="K2392" t="s">
        <v>429</v>
      </c>
      <c r="L2392" t="str">
        <f>_xlfn.XLOOKUP(C2392, Table2[Species],Table2[Genus], "Code Not Found")</f>
        <v>Fagus</v>
      </c>
      <c r="M2392" t="str">
        <f>_xlfn.XLOOKUP(C2392, Table2[Species],Table2[Sp. Name], "Code Not Found")</f>
        <v>grandifolia</v>
      </c>
      <c r="N2392" t="str">
        <f>_xlfn.XLOOKUP(C2392,Table2[Species],Table2[Family],"Code Not Found")</f>
        <v>Fagaceae</v>
      </c>
      <c r="O2392" t="str" cm="1">
        <f t="array" ref="O2392">_xlfn.IFS(F2392="","",F2392&lt;=5,"0 to 5",F2392&lt;=10,"5.1 to 10",F2392&lt;=20,"10 to 20", F2392&lt;= 40, "20 to 40", F2392 &lt;= 50, "40 to 50", F2392 &gt; 50, "&gt;50" )</f>
        <v>0 to 5</v>
      </c>
    </row>
    <row r="2393" spans="1:15" ht="15" customHeight="1" x14ac:dyDescent="0.3">
      <c r="A2393" t="s">
        <v>498</v>
      </c>
      <c r="B2393" s="1">
        <v>46211</v>
      </c>
      <c r="C2393" t="s">
        <v>513</v>
      </c>
      <c r="D2393">
        <v>2211</v>
      </c>
      <c r="E2393">
        <v>1</v>
      </c>
      <c r="F2393">
        <v>35.700000000000003</v>
      </c>
      <c r="G2393" t="s">
        <v>32</v>
      </c>
      <c r="I2393" t="str">
        <f t="shared" si="55"/>
        <v>2211_1</v>
      </c>
      <c r="J2393" t="s">
        <v>428</v>
      </c>
      <c r="K2393" t="s">
        <v>429</v>
      </c>
      <c r="L2393" t="str">
        <f>_xlfn.XLOOKUP(C2393, Table2[Species],Table2[Genus], "Code Not Found")</f>
        <v>Aesculus</v>
      </c>
      <c r="M2393" t="str">
        <f>_xlfn.XLOOKUP(C2393, Table2[Species],Table2[Sp. Name], "Code Not Found")</f>
        <v>glabra</v>
      </c>
      <c r="N2393" t="str">
        <f>_xlfn.XLOOKUP(C2393,Table2[Species],Table2[Family],"Code Not Found")</f>
        <v>Sapindaceae</v>
      </c>
      <c r="O2393" t="str" cm="1">
        <f t="array" ref="O2393">_xlfn.IFS(F2393="","",F2393&lt;=5,"0 to 5",F2393&lt;=10,"5.1 to 10",F2393&lt;=20,"10 to 20", F2393&lt;= 40, "20 to 40", F2393 &lt;= 50, "40 to 50", F2393 &gt; 50, "&gt;50" )</f>
        <v>20 to 40</v>
      </c>
    </row>
    <row r="2394" spans="1:15" ht="15" customHeight="1" x14ac:dyDescent="0.3">
      <c r="A2394" t="s">
        <v>498</v>
      </c>
      <c r="B2394" s="1">
        <v>46211</v>
      </c>
      <c r="C2394" t="s">
        <v>513</v>
      </c>
      <c r="D2394">
        <v>2211</v>
      </c>
      <c r="E2394">
        <v>2</v>
      </c>
      <c r="F2394">
        <v>14.7</v>
      </c>
      <c r="G2394" t="s">
        <v>32</v>
      </c>
      <c r="I2394" t="str">
        <f t="shared" si="55"/>
        <v>2211_2</v>
      </c>
      <c r="J2394" t="s">
        <v>428</v>
      </c>
      <c r="K2394" t="s">
        <v>429</v>
      </c>
      <c r="L2394" t="str">
        <f>_xlfn.XLOOKUP(C2394, Table2[Species],Table2[Genus], "Code Not Found")</f>
        <v>Aesculus</v>
      </c>
      <c r="M2394" t="str">
        <f>_xlfn.XLOOKUP(C2394, Table2[Species],Table2[Sp. Name], "Code Not Found")</f>
        <v>glabra</v>
      </c>
      <c r="N2394" t="str">
        <f>_xlfn.XLOOKUP(C2394,Table2[Species],Table2[Family],"Code Not Found")</f>
        <v>Sapindaceae</v>
      </c>
      <c r="O2394" t="str" cm="1">
        <f t="array" ref="O2394">_xlfn.IFS(F2394="","",F2394&lt;=5,"0 to 5",F2394&lt;=10,"5.1 to 10",F2394&lt;=20,"10 to 20", F2394&lt;= 40, "20 to 40", F2394 &lt;= 50, "40 to 50", F2394 &gt; 50, "&gt;50" )</f>
        <v>10 to 20</v>
      </c>
    </row>
    <row r="2395" spans="1:15" ht="15" customHeight="1" x14ac:dyDescent="0.3">
      <c r="A2395" t="s">
        <v>498</v>
      </c>
      <c r="B2395" s="1">
        <v>46211</v>
      </c>
      <c r="C2395" t="s">
        <v>64</v>
      </c>
      <c r="D2395">
        <v>2212</v>
      </c>
      <c r="E2395">
        <v>1</v>
      </c>
      <c r="F2395">
        <v>3.2</v>
      </c>
      <c r="G2395" t="s">
        <v>359</v>
      </c>
      <c r="H2395" t="s">
        <v>500</v>
      </c>
      <c r="I2395" t="str">
        <f t="shared" si="55"/>
        <v>2212_1</v>
      </c>
      <c r="J2395" t="s">
        <v>428</v>
      </c>
      <c r="K2395" t="s">
        <v>429</v>
      </c>
      <c r="L2395" t="str">
        <f>_xlfn.XLOOKUP(C2395, Table2[Species],Table2[Genus], "Code Not Found")</f>
        <v>Fagus</v>
      </c>
      <c r="M2395" t="str">
        <f>_xlfn.XLOOKUP(C2395, Table2[Species],Table2[Sp. Name], "Code Not Found")</f>
        <v>grandifolia</v>
      </c>
      <c r="N2395" t="str">
        <f>_xlfn.XLOOKUP(C2395,Table2[Species],Table2[Family],"Code Not Found")</f>
        <v>Fagaceae</v>
      </c>
      <c r="O2395" t="str" cm="1">
        <f t="array" ref="O2395">_xlfn.IFS(F2395="","",F2395&lt;=5,"0 to 5",F2395&lt;=10,"5.1 to 10",F2395&lt;=20,"10 to 20", F2395&lt;= 40, "20 to 40", F2395 &lt;= 50, "40 to 50", F2395 &gt; 50, "&gt;50" )</f>
        <v>0 to 5</v>
      </c>
    </row>
    <row r="2396" spans="1:15" ht="15" customHeight="1" x14ac:dyDescent="0.3">
      <c r="A2396" t="s">
        <v>498</v>
      </c>
      <c r="B2396" s="1">
        <v>46211</v>
      </c>
      <c r="C2396" t="s">
        <v>430</v>
      </c>
      <c r="D2396">
        <v>2213</v>
      </c>
      <c r="E2396">
        <v>1</v>
      </c>
      <c r="F2396">
        <v>12.5</v>
      </c>
      <c r="G2396" t="s">
        <v>21</v>
      </c>
      <c r="I2396" t="str">
        <f t="shared" si="55"/>
        <v>2213_1</v>
      </c>
      <c r="J2396" t="s">
        <v>428</v>
      </c>
      <c r="K2396" t="s">
        <v>429</v>
      </c>
      <c r="L2396" t="str">
        <f>_xlfn.XLOOKUP(C2396, Table2[Species],Table2[Genus], "Code Not Found")</f>
        <v>Tsuga</v>
      </c>
      <c r="M2396" t="str">
        <f>_xlfn.XLOOKUP(C2396, Table2[Species],Table2[Sp. Name], "Code Not Found")</f>
        <v>canadensis</v>
      </c>
      <c r="N2396" t="str">
        <f>_xlfn.XLOOKUP(C2396,Table2[Species],Table2[Family],"Code Not Found")</f>
        <v>Pinaceae</v>
      </c>
      <c r="O2396" t="str" cm="1">
        <f t="array" ref="O2396">_xlfn.IFS(F2396="","",F2396&lt;=5,"0 to 5",F2396&lt;=10,"5.1 to 10",F2396&lt;=20,"10 to 20", F2396&lt;= 40, "20 to 40", F2396 &lt;= 50, "40 to 50", F2396 &gt; 50, "&gt;50" )</f>
        <v>10 to 20</v>
      </c>
    </row>
    <row r="2397" spans="1:15" ht="15" customHeight="1" x14ac:dyDescent="0.3">
      <c r="A2397" t="s">
        <v>498</v>
      </c>
      <c r="B2397" s="1">
        <v>46211</v>
      </c>
      <c r="C2397" t="s">
        <v>430</v>
      </c>
      <c r="D2397">
        <v>2214</v>
      </c>
      <c r="E2397">
        <v>1</v>
      </c>
      <c r="F2397">
        <v>6.4</v>
      </c>
      <c r="G2397" t="s">
        <v>30</v>
      </c>
      <c r="H2397" t="s">
        <v>514</v>
      </c>
      <c r="I2397" t="str">
        <f t="shared" si="55"/>
        <v>2214_1</v>
      </c>
      <c r="J2397" t="s">
        <v>428</v>
      </c>
      <c r="K2397" t="s">
        <v>429</v>
      </c>
      <c r="L2397" t="str">
        <f>_xlfn.XLOOKUP(C2397, Table2[Species],Table2[Genus], "Code Not Found")</f>
        <v>Tsuga</v>
      </c>
      <c r="M2397" t="str">
        <f>_xlfn.XLOOKUP(C2397, Table2[Species],Table2[Sp. Name], "Code Not Found")</f>
        <v>canadensis</v>
      </c>
      <c r="N2397" t="str">
        <f>_xlfn.XLOOKUP(C2397,Table2[Species],Table2[Family],"Code Not Found")</f>
        <v>Pinaceae</v>
      </c>
      <c r="O2397" t="str" cm="1">
        <f t="array" ref="O2397">_xlfn.IFS(F2397="","",F2397&lt;=5,"0 to 5",F2397&lt;=10,"5.1 to 10",F2397&lt;=20,"10 to 20", F2397&lt;= 40, "20 to 40", F2397 &lt;= 50, "40 to 50", F2397 &gt; 50, "&gt;50" )</f>
        <v>5.1 to 10</v>
      </c>
    </row>
    <row r="2398" spans="1:15" ht="15" customHeight="1" x14ac:dyDescent="0.3">
      <c r="A2398" t="s">
        <v>498</v>
      </c>
      <c r="B2398" s="1">
        <v>46212</v>
      </c>
      <c r="C2398" t="s">
        <v>430</v>
      </c>
      <c r="D2398">
        <v>2215</v>
      </c>
      <c r="E2398">
        <v>1</v>
      </c>
      <c r="F2398">
        <v>10</v>
      </c>
      <c r="G2398" t="s">
        <v>47</v>
      </c>
      <c r="H2398" t="s">
        <v>296</v>
      </c>
      <c r="I2398" t="str">
        <f t="shared" si="55"/>
        <v>2215_1</v>
      </c>
      <c r="J2398" t="s">
        <v>428</v>
      </c>
      <c r="K2398" t="s">
        <v>429</v>
      </c>
      <c r="L2398" t="str">
        <f>_xlfn.XLOOKUP(C2398, Table2[Species],Table2[Genus], "Code Not Found")</f>
        <v>Tsuga</v>
      </c>
      <c r="M2398" t="str">
        <f>_xlfn.XLOOKUP(C2398, Table2[Species],Table2[Sp. Name], "Code Not Found")</f>
        <v>canadensis</v>
      </c>
      <c r="N2398" t="str">
        <f>_xlfn.XLOOKUP(C2398,Table2[Species],Table2[Family],"Code Not Found")</f>
        <v>Pinaceae</v>
      </c>
      <c r="O2398" t="str" cm="1">
        <f t="array" ref="O2398">_xlfn.IFS(F2398="","",F2398&lt;=5,"0 to 5",F2398&lt;=10,"5.1 to 10",F2398&lt;=20,"10 to 20", F2398&lt;= 40, "20 to 40", F2398 &lt;= 50, "40 to 50", F2398 &gt; 50, "&gt;50" )</f>
        <v>5.1 to 10</v>
      </c>
    </row>
    <row r="2399" spans="1:15" ht="15" customHeight="1" x14ac:dyDescent="0.3">
      <c r="A2399" t="s">
        <v>498</v>
      </c>
      <c r="B2399" s="1">
        <v>46211</v>
      </c>
      <c r="C2399" t="s">
        <v>64</v>
      </c>
      <c r="D2399">
        <v>2216</v>
      </c>
      <c r="E2399">
        <v>1</v>
      </c>
      <c r="F2399">
        <v>2.7</v>
      </c>
      <c r="G2399" t="s">
        <v>359</v>
      </c>
      <c r="H2399" t="s">
        <v>500</v>
      </c>
      <c r="I2399" t="str">
        <f t="shared" si="55"/>
        <v>2216_1</v>
      </c>
      <c r="J2399" t="s">
        <v>428</v>
      </c>
      <c r="K2399" t="s">
        <v>429</v>
      </c>
      <c r="L2399" t="str">
        <f>_xlfn.XLOOKUP(C2399, Table2[Species],Table2[Genus], "Code Not Found")</f>
        <v>Fagus</v>
      </c>
      <c r="M2399" t="str">
        <f>_xlfn.XLOOKUP(C2399, Table2[Species],Table2[Sp. Name], "Code Not Found")</f>
        <v>grandifolia</v>
      </c>
      <c r="N2399" t="str">
        <f>_xlfn.XLOOKUP(C2399,Table2[Species],Table2[Family],"Code Not Found")</f>
        <v>Fagaceae</v>
      </c>
      <c r="O2399" t="str" cm="1">
        <f t="array" ref="O2399">_xlfn.IFS(F2399="","",F2399&lt;=5,"0 to 5",F2399&lt;=10,"5.1 to 10",F2399&lt;=20,"10 to 20", F2399&lt;= 40, "20 to 40", F2399 &lt;= 50, "40 to 50", F2399 &gt; 50, "&gt;50" )</f>
        <v>0 to 5</v>
      </c>
    </row>
    <row r="2400" spans="1:15" ht="15" customHeight="1" x14ac:dyDescent="0.3">
      <c r="A2400" t="s">
        <v>498</v>
      </c>
      <c r="B2400" s="1">
        <v>46212</v>
      </c>
      <c r="C2400" t="s">
        <v>64</v>
      </c>
      <c r="D2400">
        <v>2217</v>
      </c>
      <c r="E2400">
        <v>1</v>
      </c>
      <c r="F2400">
        <v>49.7</v>
      </c>
      <c r="G2400" t="s">
        <v>21</v>
      </c>
      <c r="I2400" t="str">
        <f t="shared" si="55"/>
        <v>2217_1</v>
      </c>
      <c r="J2400" t="s">
        <v>428</v>
      </c>
      <c r="K2400" t="s">
        <v>429</v>
      </c>
      <c r="L2400" t="str">
        <f>_xlfn.XLOOKUP(C2400, Table2[Species],Table2[Genus], "Code Not Found")</f>
        <v>Fagus</v>
      </c>
      <c r="M2400" t="str">
        <f>_xlfn.XLOOKUP(C2400, Table2[Species],Table2[Sp. Name], "Code Not Found")</f>
        <v>grandifolia</v>
      </c>
      <c r="N2400" t="str">
        <f>_xlfn.XLOOKUP(C2400,Table2[Species],Table2[Family],"Code Not Found")</f>
        <v>Fagaceae</v>
      </c>
      <c r="O2400" t="str" cm="1">
        <f t="array" ref="O2400">_xlfn.IFS(F2400="","",F2400&lt;=5,"0 to 5",F2400&lt;=10,"5.1 to 10",F2400&lt;=20,"10 to 20", F2400&lt;= 40, "20 to 40", F2400 &lt;= 50, "40 to 50", F2400 &gt; 50, "&gt;50" )</f>
        <v>40 to 50</v>
      </c>
    </row>
    <row r="2401" spans="1:15" ht="15" customHeight="1" x14ac:dyDescent="0.3">
      <c r="A2401" t="s">
        <v>498</v>
      </c>
      <c r="B2401" s="1">
        <v>46211</v>
      </c>
      <c r="C2401" t="s">
        <v>430</v>
      </c>
      <c r="D2401">
        <v>2218</v>
      </c>
      <c r="E2401">
        <v>1</v>
      </c>
      <c r="F2401">
        <v>10</v>
      </c>
      <c r="G2401" t="s">
        <v>21</v>
      </c>
      <c r="H2401" t="s">
        <v>500</v>
      </c>
      <c r="I2401" t="str">
        <f t="shared" si="55"/>
        <v>2218_1</v>
      </c>
      <c r="J2401" t="s">
        <v>428</v>
      </c>
      <c r="K2401" t="s">
        <v>429</v>
      </c>
      <c r="L2401" t="str">
        <f>_xlfn.XLOOKUP(C2401, Table2[Species],Table2[Genus], "Code Not Found")</f>
        <v>Tsuga</v>
      </c>
      <c r="M2401" t="str">
        <f>_xlfn.XLOOKUP(C2401, Table2[Species],Table2[Sp. Name], "Code Not Found")</f>
        <v>canadensis</v>
      </c>
      <c r="N2401" t="str">
        <f>_xlfn.XLOOKUP(C2401,Table2[Species],Table2[Family],"Code Not Found")</f>
        <v>Pinaceae</v>
      </c>
      <c r="O2401" t="str" cm="1">
        <f t="array" ref="O2401">_xlfn.IFS(F2401="","",F2401&lt;=5,"0 to 5",F2401&lt;=10,"5.1 to 10",F2401&lt;=20,"10 to 20", F2401&lt;= 40, "20 to 40", F2401 &lt;= 50, "40 to 50", F2401 &gt; 50, "&gt;50" )</f>
        <v>5.1 to 10</v>
      </c>
    </row>
    <row r="2402" spans="1:15" ht="15" customHeight="1" x14ac:dyDescent="0.3">
      <c r="A2402" t="s">
        <v>498</v>
      </c>
      <c r="B2402" s="1">
        <v>46212</v>
      </c>
      <c r="C2402" t="s">
        <v>20</v>
      </c>
      <c r="D2402">
        <v>2219</v>
      </c>
      <c r="E2402">
        <v>1</v>
      </c>
      <c r="F2402">
        <v>76.400000000000006</v>
      </c>
      <c r="G2402" t="s">
        <v>515</v>
      </c>
      <c r="H2402" t="s">
        <v>516</v>
      </c>
      <c r="I2402" t="str">
        <f t="shared" si="55"/>
        <v>2219_1</v>
      </c>
      <c r="J2402" t="s">
        <v>428</v>
      </c>
      <c r="K2402" t="s">
        <v>429</v>
      </c>
      <c r="L2402" t="str">
        <f>_xlfn.XLOOKUP(C2402, Table2[Species],Table2[Genus], "Code Not Found")</f>
        <v>Prunus</v>
      </c>
      <c r="M2402" t="str">
        <f>_xlfn.XLOOKUP(C2402, Table2[Species],Table2[Sp. Name], "Code Not Found")</f>
        <v>serotina</v>
      </c>
      <c r="N2402" t="str">
        <f>_xlfn.XLOOKUP(C2402,Table2[Species],Table2[Family],"Code Not Found")</f>
        <v>Rosaceae</v>
      </c>
      <c r="O2402" t="str" cm="1">
        <f t="array" ref="O2402">_xlfn.IFS(F2402="","",F2402&lt;=5,"0 to 5",F2402&lt;=10,"5.1 to 10",F2402&lt;=20,"10 to 20", F2402&lt;= 40, "20 to 40", F2402 &lt;= 50, "40 to 50", F2402 &gt; 50, "&gt;50" )</f>
        <v>&gt;50</v>
      </c>
    </row>
    <row r="2403" spans="1:15" ht="15" customHeight="1" x14ac:dyDescent="0.3">
      <c r="A2403" t="s">
        <v>498</v>
      </c>
      <c r="B2403" s="1">
        <v>46211</v>
      </c>
      <c r="C2403" t="s">
        <v>64</v>
      </c>
      <c r="D2403">
        <v>2220</v>
      </c>
      <c r="E2403">
        <v>1</v>
      </c>
      <c r="F2403">
        <v>9.1</v>
      </c>
      <c r="G2403" t="s">
        <v>359</v>
      </c>
      <c r="H2403" t="s">
        <v>500</v>
      </c>
      <c r="I2403" t="str">
        <f t="shared" si="55"/>
        <v>2220_1</v>
      </c>
      <c r="J2403" t="s">
        <v>428</v>
      </c>
      <c r="K2403" t="s">
        <v>429</v>
      </c>
      <c r="L2403" t="str">
        <f>_xlfn.XLOOKUP(C2403, Table2[Species],Table2[Genus], "Code Not Found")</f>
        <v>Fagus</v>
      </c>
      <c r="M2403" t="str">
        <f>_xlfn.XLOOKUP(C2403, Table2[Species],Table2[Sp. Name], "Code Not Found")</f>
        <v>grandifolia</v>
      </c>
      <c r="N2403" t="str">
        <f>_xlfn.XLOOKUP(C2403,Table2[Species],Table2[Family],"Code Not Found")</f>
        <v>Fagaceae</v>
      </c>
      <c r="O2403" t="str" cm="1">
        <f t="array" ref="O2403">_xlfn.IFS(F2403="","",F2403&lt;=5,"0 to 5",F2403&lt;=10,"5.1 to 10",F2403&lt;=20,"10 to 20", F2403&lt;= 40, "20 to 40", F2403 &lt;= 50, "40 to 50", F2403 &gt; 50, "&gt;50" )</f>
        <v>5.1 to 10</v>
      </c>
    </row>
    <row r="2404" spans="1:15" ht="15" customHeight="1" x14ac:dyDescent="0.3">
      <c r="A2404" t="s">
        <v>498</v>
      </c>
      <c r="B2404" s="1">
        <v>46212</v>
      </c>
      <c r="C2404" t="s">
        <v>64</v>
      </c>
      <c r="D2404">
        <v>2221</v>
      </c>
      <c r="E2404">
        <v>1</v>
      </c>
      <c r="F2404">
        <v>10</v>
      </c>
      <c r="G2404" t="s">
        <v>21</v>
      </c>
      <c r="I2404" t="str">
        <f t="shared" si="55"/>
        <v>2221_1</v>
      </c>
      <c r="J2404" t="s">
        <v>428</v>
      </c>
      <c r="K2404" t="s">
        <v>429</v>
      </c>
      <c r="L2404" t="str">
        <f>_xlfn.XLOOKUP(C2404, Table2[Species],Table2[Genus], "Code Not Found")</f>
        <v>Fagus</v>
      </c>
      <c r="M2404" t="str">
        <f>_xlfn.XLOOKUP(C2404, Table2[Species],Table2[Sp. Name], "Code Not Found")</f>
        <v>grandifolia</v>
      </c>
      <c r="N2404" t="str">
        <f>_xlfn.XLOOKUP(C2404,Table2[Species],Table2[Family],"Code Not Found")</f>
        <v>Fagaceae</v>
      </c>
      <c r="O2404" t="str" cm="1">
        <f t="array" ref="O2404">_xlfn.IFS(F2404="","",F2404&lt;=5,"0 to 5",F2404&lt;=10,"5.1 to 10",F2404&lt;=20,"10 to 20", F2404&lt;= 40, "20 to 40", F2404 &lt;= 50, "40 to 50", F2404 &gt; 50, "&gt;50" )</f>
        <v>5.1 to 10</v>
      </c>
    </row>
    <row r="2405" spans="1:15" ht="15" customHeight="1" x14ac:dyDescent="0.3">
      <c r="A2405" t="s">
        <v>498</v>
      </c>
      <c r="B2405" s="1">
        <v>46211</v>
      </c>
      <c r="C2405" t="s">
        <v>16</v>
      </c>
      <c r="D2405">
        <v>2222</v>
      </c>
      <c r="E2405">
        <v>1</v>
      </c>
      <c r="F2405">
        <v>11.3</v>
      </c>
      <c r="G2405" t="s">
        <v>56</v>
      </c>
      <c r="H2405" t="s">
        <v>500</v>
      </c>
      <c r="I2405" t="str">
        <f t="shared" si="55"/>
        <v>2222_1</v>
      </c>
      <c r="J2405" t="s">
        <v>428</v>
      </c>
      <c r="K2405" t="s">
        <v>429</v>
      </c>
      <c r="L2405" t="str">
        <f>_xlfn.XLOOKUP(C2405, Table2[Species],Table2[Genus], "Code Not Found")</f>
        <v>Acer</v>
      </c>
      <c r="M2405" t="str">
        <f>_xlfn.XLOOKUP(C2405, Table2[Species],Table2[Sp. Name], "Code Not Found")</f>
        <v>saccharum</v>
      </c>
      <c r="N2405" t="str">
        <f>_xlfn.XLOOKUP(C2405,Table2[Species],Table2[Family],"Code Not Found")</f>
        <v>Sapindaceae</v>
      </c>
      <c r="O2405" t="str" cm="1">
        <f t="array" ref="O2405">_xlfn.IFS(F2405="","",F2405&lt;=5,"0 to 5",F2405&lt;=10,"5.1 to 10",F2405&lt;=20,"10 to 20", F2405&lt;= 40, "20 to 40", F2405 &lt;= 50, "40 to 50", F2405 &gt; 50, "&gt;50" )</f>
        <v>10 to 20</v>
      </c>
    </row>
    <row r="2406" spans="1:15" ht="15" customHeight="1" x14ac:dyDescent="0.3">
      <c r="A2406" t="s">
        <v>498</v>
      </c>
      <c r="B2406" s="1">
        <v>46212</v>
      </c>
      <c r="C2406" t="s">
        <v>16</v>
      </c>
      <c r="D2406">
        <v>2223</v>
      </c>
      <c r="E2406">
        <v>1</v>
      </c>
      <c r="F2406">
        <v>24.2</v>
      </c>
      <c r="G2406" t="s">
        <v>21</v>
      </c>
      <c r="I2406" t="str">
        <f t="shared" si="55"/>
        <v>2223_1</v>
      </c>
      <c r="J2406" t="s">
        <v>428</v>
      </c>
      <c r="K2406" t="s">
        <v>429</v>
      </c>
      <c r="L2406" t="str">
        <f>_xlfn.XLOOKUP(C2406, Table2[Species],Table2[Genus], "Code Not Found")</f>
        <v>Acer</v>
      </c>
      <c r="M2406" t="str">
        <f>_xlfn.XLOOKUP(C2406, Table2[Species],Table2[Sp. Name], "Code Not Found")</f>
        <v>saccharum</v>
      </c>
      <c r="N2406" t="str">
        <f>_xlfn.XLOOKUP(C2406,Table2[Species],Table2[Family],"Code Not Found")</f>
        <v>Sapindaceae</v>
      </c>
      <c r="O2406" t="str" cm="1">
        <f t="array" ref="O2406">_xlfn.IFS(F2406="","",F2406&lt;=5,"0 to 5",F2406&lt;=10,"5.1 to 10",F2406&lt;=20,"10 to 20", F2406&lt;= 40, "20 to 40", F2406 &lt;= 50, "40 to 50", F2406 &gt; 50, "&gt;50" )</f>
        <v>20 to 40</v>
      </c>
    </row>
    <row r="2407" spans="1:15" ht="15" customHeight="1" x14ac:dyDescent="0.3">
      <c r="A2407" t="s">
        <v>498</v>
      </c>
      <c r="B2407" s="1">
        <v>46211</v>
      </c>
      <c r="C2407" t="s">
        <v>430</v>
      </c>
      <c r="D2407">
        <v>2224</v>
      </c>
      <c r="E2407">
        <v>1</v>
      </c>
      <c r="F2407">
        <v>11.1</v>
      </c>
      <c r="G2407" t="s">
        <v>17</v>
      </c>
      <c r="H2407" t="s">
        <v>500</v>
      </c>
      <c r="I2407" t="str">
        <f t="shared" si="55"/>
        <v>2224_1</v>
      </c>
      <c r="J2407" t="s">
        <v>428</v>
      </c>
      <c r="K2407" t="s">
        <v>429</v>
      </c>
      <c r="L2407" t="str">
        <f>_xlfn.XLOOKUP(C2407, Table2[Species],Table2[Genus], "Code Not Found")</f>
        <v>Tsuga</v>
      </c>
      <c r="M2407" t="str">
        <f>_xlfn.XLOOKUP(C2407, Table2[Species],Table2[Sp. Name], "Code Not Found")</f>
        <v>canadensis</v>
      </c>
      <c r="N2407" t="str">
        <f>_xlfn.XLOOKUP(C2407,Table2[Species],Table2[Family],"Code Not Found")</f>
        <v>Pinaceae</v>
      </c>
      <c r="O2407" t="str" cm="1">
        <f t="array" ref="O2407">_xlfn.IFS(F2407="","",F2407&lt;=5,"0 to 5",F2407&lt;=10,"5.1 to 10",F2407&lt;=20,"10 to 20", F2407&lt;= 40, "20 to 40", F2407 &lt;= 50, "40 to 50", F2407 &gt; 50, "&gt;50" )</f>
        <v>10 to 20</v>
      </c>
    </row>
    <row r="2408" spans="1:15" ht="15" customHeight="1" x14ac:dyDescent="0.3">
      <c r="A2408" t="s">
        <v>498</v>
      </c>
      <c r="B2408" s="1">
        <v>46212</v>
      </c>
      <c r="C2408" t="s">
        <v>16</v>
      </c>
      <c r="D2408">
        <v>2225</v>
      </c>
      <c r="E2408">
        <v>1</v>
      </c>
      <c r="F2408">
        <v>26.3</v>
      </c>
      <c r="G2408" t="s">
        <v>21</v>
      </c>
      <c r="I2408" t="str">
        <f t="shared" si="55"/>
        <v>2225_1</v>
      </c>
      <c r="J2408" t="s">
        <v>428</v>
      </c>
      <c r="K2408" t="s">
        <v>429</v>
      </c>
      <c r="L2408" t="str">
        <f>_xlfn.XLOOKUP(C2408, Table2[Species],Table2[Genus], "Code Not Found")</f>
        <v>Acer</v>
      </c>
      <c r="M2408" t="str">
        <f>_xlfn.XLOOKUP(C2408, Table2[Species],Table2[Sp. Name], "Code Not Found")</f>
        <v>saccharum</v>
      </c>
      <c r="N2408" t="str">
        <f>_xlfn.XLOOKUP(C2408,Table2[Species],Table2[Family],"Code Not Found")</f>
        <v>Sapindaceae</v>
      </c>
      <c r="O2408" t="str" cm="1">
        <f t="array" ref="O2408">_xlfn.IFS(F2408="","",F2408&lt;=5,"0 to 5",F2408&lt;=10,"5.1 to 10",F2408&lt;=20,"10 to 20", F2408&lt;= 40, "20 to 40", F2408 &lt;= 50, "40 to 50", F2408 &gt; 50, "&gt;50" )</f>
        <v>20 to 40</v>
      </c>
    </row>
    <row r="2409" spans="1:15" ht="15" customHeight="1" x14ac:dyDescent="0.3">
      <c r="A2409" t="s">
        <v>498</v>
      </c>
      <c r="B2409" s="1">
        <v>46211</v>
      </c>
      <c r="C2409" t="s">
        <v>64</v>
      </c>
      <c r="D2409">
        <v>2226</v>
      </c>
      <c r="E2409">
        <v>1</v>
      </c>
      <c r="F2409">
        <v>3.4</v>
      </c>
      <c r="G2409" t="s">
        <v>21</v>
      </c>
      <c r="H2409" t="s">
        <v>500</v>
      </c>
      <c r="I2409" t="str">
        <f t="shared" si="55"/>
        <v>2226_1</v>
      </c>
      <c r="J2409" t="s">
        <v>428</v>
      </c>
      <c r="K2409" t="s">
        <v>429</v>
      </c>
      <c r="L2409" t="str">
        <f>_xlfn.XLOOKUP(C2409, Table2[Species],Table2[Genus], "Code Not Found")</f>
        <v>Fagus</v>
      </c>
      <c r="M2409" t="str">
        <f>_xlfn.XLOOKUP(C2409, Table2[Species],Table2[Sp. Name], "Code Not Found")</f>
        <v>grandifolia</v>
      </c>
      <c r="N2409" t="str">
        <f>_xlfn.XLOOKUP(C2409,Table2[Species],Table2[Family],"Code Not Found")</f>
        <v>Fagaceae</v>
      </c>
      <c r="O2409" t="str" cm="1">
        <f t="array" ref="O2409">_xlfn.IFS(F2409="","",F2409&lt;=5,"0 to 5",F2409&lt;=10,"5.1 to 10",F2409&lt;=20,"10 to 20", F2409&lt;= 40, "20 to 40", F2409 &lt;= 50, "40 to 50", F2409 &gt; 50, "&gt;50" )</f>
        <v>0 to 5</v>
      </c>
    </row>
    <row r="2410" spans="1:15" ht="15" customHeight="1" x14ac:dyDescent="0.3">
      <c r="A2410" t="s">
        <v>498</v>
      </c>
      <c r="B2410" s="1">
        <v>46212</v>
      </c>
      <c r="C2410" t="s">
        <v>16</v>
      </c>
      <c r="D2410">
        <v>2227</v>
      </c>
      <c r="E2410">
        <v>1</v>
      </c>
      <c r="F2410">
        <v>10</v>
      </c>
      <c r="G2410" t="s">
        <v>21</v>
      </c>
      <c r="I2410" t="str">
        <f t="shared" si="55"/>
        <v>2227_1</v>
      </c>
      <c r="J2410" t="s">
        <v>428</v>
      </c>
      <c r="K2410" t="s">
        <v>429</v>
      </c>
      <c r="L2410" t="str">
        <f>_xlfn.XLOOKUP(C2410, Table2[Species],Table2[Genus], "Code Not Found")</f>
        <v>Acer</v>
      </c>
      <c r="M2410" t="str">
        <f>_xlfn.XLOOKUP(C2410, Table2[Species],Table2[Sp. Name], "Code Not Found")</f>
        <v>saccharum</v>
      </c>
      <c r="N2410" t="str">
        <f>_xlfn.XLOOKUP(C2410,Table2[Species],Table2[Family],"Code Not Found")</f>
        <v>Sapindaceae</v>
      </c>
      <c r="O2410" t="str" cm="1">
        <f t="array" ref="O2410">_xlfn.IFS(F2410="","",F2410&lt;=5,"0 to 5",F2410&lt;=10,"5.1 to 10",F2410&lt;=20,"10 to 20", F2410&lt;= 40, "20 to 40", F2410 &lt;= 50, "40 to 50", F2410 &gt; 50, "&gt;50" )</f>
        <v>5.1 to 10</v>
      </c>
    </row>
    <row r="2411" spans="1:15" ht="15" customHeight="1" x14ac:dyDescent="0.3">
      <c r="A2411" t="s">
        <v>498</v>
      </c>
      <c r="B2411" s="1">
        <v>46211</v>
      </c>
      <c r="C2411" t="s">
        <v>187</v>
      </c>
      <c r="D2411">
        <v>2228</v>
      </c>
      <c r="E2411">
        <v>1</v>
      </c>
      <c r="F2411">
        <v>29.1</v>
      </c>
      <c r="G2411" t="s">
        <v>21</v>
      </c>
      <c r="H2411" t="s">
        <v>500</v>
      </c>
      <c r="I2411" t="str">
        <f t="shared" si="55"/>
        <v>2228_1</v>
      </c>
      <c r="J2411" t="s">
        <v>428</v>
      </c>
      <c r="K2411" t="s">
        <v>429</v>
      </c>
      <c r="L2411" t="str">
        <f>_xlfn.XLOOKUP(C2411, Table2[Species],Table2[Genus], "Code Not Found")</f>
        <v>Carya</v>
      </c>
      <c r="M2411" t="str">
        <f>_xlfn.XLOOKUP(C2411, Table2[Species],Table2[Sp. Name], "Code Not Found")</f>
        <v>cordiformis</v>
      </c>
      <c r="N2411" t="str">
        <f>_xlfn.XLOOKUP(C2411,Table2[Species],Table2[Family],"Code Not Found")</f>
        <v>Juglandaceae</v>
      </c>
      <c r="O2411" t="str" cm="1">
        <f t="array" ref="O2411">_xlfn.IFS(F2411="","",F2411&lt;=5,"0 to 5",F2411&lt;=10,"5.1 to 10",F2411&lt;=20,"10 to 20", F2411&lt;= 40, "20 to 40", F2411 &lt;= 50, "40 to 50", F2411 &gt; 50, "&gt;50" )</f>
        <v>20 to 40</v>
      </c>
    </row>
    <row r="2412" spans="1:15" ht="15" customHeight="1" x14ac:dyDescent="0.3">
      <c r="A2412" t="s">
        <v>498</v>
      </c>
      <c r="B2412" s="1">
        <v>46212</v>
      </c>
      <c r="C2412" t="s">
        <v>187</v>
      </c>
      <c r="D2412">
        <v>2229</v>
      </c>
      <c r="E2412">
        <v>1</v>
      </c>
      <c r="F2412">
        <v>39.200000000000003</v>
      </c>
      <c r="G2412" t="s">
        <v>21</v>
      </c>
      <c r="I2412" t="str">
        <f t="shared" si="55"/>
        <v>2229_1</v>
      </c>
      <c r="J2412" t="s">
        <v>428</v>
      </c>
      <c r="K2412" t="s">
        <v>429</v>
      </c>
      <c r="L2412" t="str">
        <f>_xlfn.XLOOKUP(C2412, Table2[Species],Table2[Genus], "Code Not Found")</f>
        <v>Carya</v>
      </c>
      <c r="M2412" t="str">
        <f>_xlfn.XLOOKUP(C2412, Table2[Species],Table2[Sp. Name], "Code Not Found")</f>
        <v>cordiformis</v>
      </c>
      <c r="N2412" t="str">
        <f>_xlfn.XLOOKUP(C2412,Table2[Species],Table2[Family],"Code Not Found")</f>
        <v>Juglandaceae</v>
      </c>
      <c r="O2412" t="str" cm="1">
        <f t="array" ref="O2412">_xlfn.IFS(F2412="","",F2412&lt;=5,"0 to 5",F2412&lt;=10,"5.1 to 10",F2412&lt;=20,"10 to 20", F2412&lt;= 40, "20 to 40", F2412 &lt;= 50, "40 to 50", F2412 &gt; 50, "&gt;50" )</f>
        <v>20 to 40</v>
      </c>
    </row>
    <row r="2413" spans="1:15" ht="15" customHeight="1" x14ac:dyDescent="0.3">
      <c r="A2413" t="s">
        <v>498</v>
      </c>
      <c r="B2413" s="1">
        <v>46211</v>
      </c>
      <c r="C2413" t="s">
        <v>430</v>
      </c>
      <c r="D2413">
        <v>2230</v>
      </c>
      <c r="E2413">
        <v>1</v>
      </c>
      <c r="F2413">
        <v>6.9</v>
      </c>
      <c r="G2413" t="s">
        <v>509</v>
      </c>
      <c r="I2413" t="str">
        <f t="shared" si="55"/>
        <v>2230_1</v>
      </c>
      <c r="J2413" t="s">
        <v>428</v>
      </c>
      <c r="K2413" t="s">
        <v>429</v>
      </c>
      <c r="L2413" t="str">
        <f>_xlfn.XLOOKUP(C2413, Table2[Species],Table2[Genus], "Code Not Found")</f>
        <v>Tsuga</v>
      </c>
      <c r="M2413" t="str">
        <f>_xlfn.XLOOKUP(C2413, Table2[Species],Table2[Sp. Name], "Code Not Found")</f>
        <v>canadensis</v>
      </c>
      <c r="N2413" t="str">
        <f>_xlfn.XLOOKUP(C2413,Table2[Species],Table2[Family],"Code Not Found")</f>
        <v>Pinaceae</v>
      </c>
      <c r="O2413" t="str" cm="1">
        <f t="array" ref="O2413">_xlfn.IFS(F2413="","",F2413&lt;=5,"0 to 5",F2413&lt;=10,"5.1 to 10",F2413&lt;=20,"10 to 20", F2413&lt;= 40, "20 to 40", F2413 &lt;= 50, "40 to 50", F2413 &gt; 50, "&gt;50" )</f>
        <v>5.1 to 10</v>
      </c>
    </row>
    <row r="2414" spans="1:15" ht="15" customHeight="1" x14ac:dyDescent="0.3">
      <c r="A2414" t="s">
        <v>498</v>
      </c>
      <c r="B2414" s="1">
        <v>46212</v>
      </c>
      <c r="C2414" t="s">
        <v>430</v>
      </c>
      <c r="D2414">
        <v>2231</v>
      </c>
      <c r="E2414">
        <v>1</v>
      </c>
      <c r="F2414">
        <v>20.8</v>
      </c>
      <c r="G2414" t="s">
        <v>21</v>
      </c>
      <c r="I2414" t="str">
        <f t="shared" si="55"/>
        <v>2231_1</v>
      </c>
      <c r="J2414" t="s">
        <v>428</v>
      </c>
      <c r="K2414" t="s">
        <v>429</v>
      </c>
      <c r="L2414" t="str">
        <f>_xlfn.XLOOKUP(C2414, Table2[Species],Table2[Genus], "Code Not Found")</f>
        <v>Tsuga</v>
      </c>
      <c r="M2414" t="str">
        <f>_xlfn.XLOOKUP(C2414, Table2[Species],Table2[Sp. Name], "Code Not Found")</f>
        <v>canadensis</v>
      </c>
      <c r="N2414" t="str">
        <f>_xlfn.XLOOKUP(C2414,Table2[Species],Table2[Family],"Code Not Found")</f>
        <v>Pinaceae</v>
      </c>
      <c r="O2414" t="str" cm="1">
        <f t="array" ref="O2414">_xlfn.IFS(F2414="","",F2414&lt;=5,"0 to 5",F2414&lt;=10,"5.1 to 10",F2414&lt;=20,"10 to 20", F2414&lt;= 40, "20 to 40", F2414 &lt;= 50, "40 to 50", F2414 &gt; 50, "&gt;50" )</f>
        <v>20 to 40</v>
      </c>
    </row>
    <row r="2415" spans="1:15" ht="15" customHeight="1" x14ac:dyDescent="0.3">
      <c r="A2415" t="s">
        <v>498</v>
      </c>
      <c r="B2415" s="1">
        <v>46211</v>
      </c>
      <c r="C2415" t="s">
        <v>430</v>
      </c>
      <c r="D2415">
        <v>2232</v>
      </c>
      <c r="E2415">
        <v>1</v>
      </c>
      <c r="F2415">
        <v>3.1</v>
      </c>
      <c r="G2415" t="s">
        <v>17</v>
      </c>
      <c r="I2415" t="str">
        <f t="shared" si="55"/>
        <v>2232_1</v>
      </c>
      <c r="J2415" t="s">
        <v>428</v>
      </c>
      <c r="K2415" t="s">
        <v>429</v>
      </c>
      <c r="L2415" t="str">
        <f>_xlfn.XLOOKUP(C2415, Table2[Species],Table2[Genus], "Code Not Found")</f>
        <v>Tsuga</v>
      </c>
      <c r="M2415" t="str">
        <f>_xlfn.XLOOKUP(C2415, Table2[Species],Table2[Sp. Name], "Code Not Found")</f>
        <v>canadensis</v>
      </c>
      <c r="N2415" t="str">
        <f>_xlfn.XLOOKUP(C2415,Table2[Species],Table2[Family],"Code Not Found")</f>
        <v>Pinaceae</v>
      </c>
      <c r="O2415" t="str" cm="1">
        <f t="array" ref="O2415">_xlfn.IFS(F2415="","",F2415&lt;=5,"0 to 5",F2415&lt;=10,"5.1 to 10",F2415&lt;=20,"10 to 20", F2415&lt;= 40, "20 to 40", F2415 &lt;= 50, "40 to 50", F2415 &gt; 50, "&gt;50" )</f>
        <v>0 to 5</v>
      </c>
    </row>
    <row r="2416" spans="1:15" ht="15" customHeight="1" x14ac:dyDescent="0.3">
      <c r="A2416" t="s">
        <v>498</v>
      </c>
      <c r="B2416" s="1">
        <v>46212</v>
      </c>
      <c r="C2416" t="s">
        <v>430</v>
      </c>
      <c r="D2416">
        <v>2233</v>
      </c>
      <c r="E2416">
        <v>1</v>
      </c>
      <c r="F2416">
        <v>14.7</v>
      </c>
      <c r="G2416" t="s">
        <v>47</v>
      </c>
      <c r="I2416" t="str">
        <f t="shared" si="55"/>
        <v>2233_1</v>
      </c>
      <c r="J2416" t="s">
        <v>428</v>
      </c>
      <c r="K2416" t="s">
        <v>429</v>
      </c>
      <c r="L2416" t="str">
        <f>_xlfn.XLOOKUP(C2416, Table2[Species],Table2[Genus], "Code Not Found")</f>
        <v>Tsuga</v>
      </c>
      <c r="M2416" t="str">
        <f>_xlfn.XLOOKUP(C2416, Table2[Species],Table2[Sp. Name], "Code Not Found")</f>
        <v>canadensis</v>
      </c>
      <c r="N2416" t="str">
        <f>_xlfn.XLOOKUP(C2416,Table2[Species],Table2[Family],"Code Not Found")</f>
        <v>Pinaceae</v>
      </c>
      <c r="O2416" t="str" cm="1">
        <f t="array" ref="O2416">_xlfn.IFS(F2416="","",F2416&lt;=5,"0 to 5",F2416&lt;=10,"5.1 to 10",F2416&lt;=20,"10 to 20", F2416&lt;= 40, "20 to 40", F2416 &lt;= 50, "40 to 50", F2416 &gt; 50, "&gt;50" )</f>
        <v>10 to 20</v>
      </c>
    </row>
    <row r="2417" spans="1:15" ht="15" customHeight="1" x14ac:dyDescent="0.3">
      <c r="A2417" t="s">
        <v>498</v>
      </c>
      <c r="B2417" s="1">
        <v>46211</v>
      </c>
      <c r="C2417" t="s">
        <v>430</v>
      </c>
      <c r="D2417">
        <v>2234</v>
      </c>
      <c r="E2417">
        <v>1</v>
      </c>
      <c r="F2417">
        <v>6.9</v>
      </c>
      <c r="G2417" t="s">
        <v>509</v>
      </c>
      <c r="I2417" t="str">
        <f t="shared" si="55"/>
        <v>2234_1</v>
      </c>
      <c r="J2417" t="s">
        <v>428</v>
      </c>
      <c r="K2417" t="s">
        <v>429</v>
      </c>
      <c r="L2417" t="str">
        <f>_xlfn.XLOOKUP(C2417, Table2[Species],Table2[Genus], "Code Not Found")</f>
        <v>Tsuga</v>
      </c>
      <c r="M2417" t="str">
        <f>_xlfn.XLOOKUP(C2417, Table2[Species],Table2[Sp. Name], "Code Not Found")</f>
        <v>canadensis</v>
      </c>
      <c r="N2417" t="str">
        <f>_xlfn.XLOOKUP(C2417,Table2[Species],Table2[Family],"Code Not Found")</f>
        <v>Pinaceae</v>
      </c>
      <c r="O2417" t="str" cm="1">
        <f t="array" ref="O2417">_xlfn.IFS(F2417="","",F2417&lt;=5,"0 to 5",F2417&lt;=10,"5.1 to 10",F2417&lt;=20,"10 to 20", F2417&lt;= 40, "20 to 40", F2417 &lt;= 50, "40 to 50", F2417 &gt; 50, "&gt;50" )</f>
        <v>5.1 to 10</v>
      </c>
    </row>
    <row r="2418" spans="1:15" ht="15" customHeight="1" x14ac:dyDescent="0.3">
      <c r="A2418" t="s">
        <v>498</v>
      </c>
      <c r="B2418" s="1">
        <v>46212</v>
      </c>
      <c r="C2418" t="s">
        <v>430</v>
      </c>
      <c r="D2418">
        <v>2235</v>
      </c>
      <c r="E2418">
        <v>1</v>
      </c>
      <c r="F2418">
        <v>9.1</v>
      </c>
      <c r="G2418" t="s">
        <v>17</v>
      </c>
      <c r="I2418" t="str">
        <f t="shared" si="55"/>
        <v>2235_1</v>
      </c>
      <c r="J2418" t="s">
        <v>428</v>
      </c>
      <c r="K2418" t="s">
        <v>429</v>
      </c>
      <c r="L2418" t="str">
        <f>_xlfn.XLOOKUP(C2418, Table2[Species],Table2[Genus], "Code Not Found")</f>
        <v>Tsuga</v>
      </c>
      <c r="M2418" t="str">
        <f>_xlfn.XLOOKUP(C2418, Table2[Species],Table2[Sp. Name], "Code Not Found")</f>
        <v>canadensis</v>
      </c>
      <c r="N2418" t="str">
        <f>_xlfn.XLOOKUP(C2418,Table2[Species],Table2[Family],"Code Not Found")</f>
        <v>Pinaceae</v>
      </c>
      <c r="O2418" t="str" cm="1">
        <f t="array" ref="O2418">_xlfn.IFS(F2418="","",F2418&lt;=5,"0 to 5",F2418&lt;=10,"5.1 to 10",F2418&lt;=20,"10 to 20", F2418&lt;= 40, "20 to 40", F2418 &lt;= 50, "40 to 50", F2418 &gt; 50, "&gt;50" )</f>
        <v>5.1 to 10</v>
      </c>
    </row>
    <row r="2419" spans="1:15" ht="15" customHeight="1" x14ac:dyDescent="0.3">
      <c r="A2419" t="s">
        <v>498</v>
      </c>
      <c r="B2419" s="1">
        <v>46211</v>
      </c>
      <c r="C2419" t="s">
        <v>430</v>
      </c>
      <c r="D2419">
        <v>2236</v>
      </c>
      <c r="E2419">
        <v>1</v>
      </c>
      <c r="F2419">
        <v>15.9</v>
      </c>
      <c r="G2419" t="s">
        <v>21</v>
      </c>
      <c r="H2419" t="s">
        <v>500</v>
      </c>
      <c r="I2419" t="str">
        <f t="shared" si="55"/>
        <v>2236_1</v>
      </c>
      <c r="J2419" t="s">
        <v>428</v>
      </c>
      <c r="K2419" t="s">
        <v>429</v>
      </c>
      <c r="L2419" t="str">
        <f>_xlfn.XLOOKUP(C2419, Table2[Species],Table2[Genus], "Code Not Found")</f>
        <v>Tsuga</v>
      </c>
      <c r="M2419" t="str">
        <f>_xlfn.XLOOKUP(C2419, Table2[Species],Table2[Sp. Name], "Code Not Found")</f>
        <v>canadensis</v>
      </c>
      <c r="N2419" t="str">
        <f>_xlfn.XLOOKUP(C2419,Table2[Species],Table2[Family],"Code Not Found")</f>
        <v>Pinaceae</v>
      </c>
      <c r="O2419" t="str" cm="1">
        <f t="array" ref="O2419">_xlfn.IFS(F2419="","",F2419&lt;=5,"0 to 5",F2419&lt;=10,"5.1 to 10",F2419&lt;=20,"10 to 20", F2419&lt;= 40, "20 to 40", F2419 &lt;= 50, "40 to 50", F2419 &gt; 50, "&gt;50" )</f>
        <v>10 to 20</v>
      </c>
    </row>
    <row r="2420" spans="1:15" ht="15" customHeight="1" x14ac:dyDescent="0.3">
      <c r="A2420" t="s">
        <v>498</v>
      </c>
      <c r="B2420" s="1">
        <v>46212</v>
      </c>
      <c r="C2420" t="s">
        <v>430</v>
      </c>
      <c r="D2420">
        <v>2237</v>
      </c>
      <c r="E2420">
        <v>1</v>
      </c>
      <c r="F2420">
        <v>12.9</v>
      </c>
      <c r="G2420" t="s">
        <v>509</v>
      </c>
      <c r="I2420" t="str">
        <f t="shared" si="55"/>
        <v>2237_1</v>
      </c>
      <c r="J2420" t="s">
        <v>428</v>
      </c>
      <c r="K2420" t="s">
        <v>429</v>
      </c>
      <c r="L2420" t="str">
        <f>_xlfn.XLOOKUP(C2420, Table2[Species],Table2[Genus], "Code Not Found")</f>
        <v>Tsuga</v>
      </c>
      <c r="M2420" t="str">
        <f>_xlfn.XLOOKUP(C2420, Table2[Species],Table2[Sp. Name], "Code Not Found")</f>
        <v>canadensis</v>
      </c>
      <c r="N2420" t="str">
        <f>_xlfn.XLOOKUP(C2420,Table2[Species],Table2[Family],"Code Not Found")</f>
        <v>Pinaceae</v>
      </c>
      <c r="O2420" t="str" cm="1">
        <f t="array" ref="O2420">_xlfn.IFS(F2420="","",F2420&lt;=5,"0 to 5",F2420&lt;=10,"5.1 to 10",F2420&lt;=20,"10 to 20", F2420&lt;= 40, "20 to 40", F2420 &lt;= 50, "40 to 50", F2420 &gt; 50, "&gt;50" )</f>
        <v>10 to 20</v>
      </c>
    </row>
    <row r="2421" spans="1:15" ht="15" customHeight="1" x14ac:dyDescent="0.3">
      <c r="A2421" t="s">
        <v>498</v>
      </c>
      <c r="B2421" s="1">
        <v>46211</v>
      </c>
      <c r="C2421" t="s">
        <v>430</v>
      </c>
      <c r="D2421">
        <v>2238</v>
      </c>
      <c r="E2421">
        <v>1</v>
      </c>
      <c r="F2421">
        <v>21.7</v>
      </c>
      <c r="G2421" t="s">
        <v>21</v>
      </c>
      <c r="I2421" t="str">
        <f t="shared" si="55"/>
        <v>2238_1</v>
      </c>
      <c r="J2421" t="s">
        <v>428</v>
      </c>
      <c r="K2421" t="s">
        <v>429</v>
      </c>
      <c r="L2421" t="str">
        <f>_xlfn.XLOOKUP(C2421, Table2[Species],Table2[Genus], "Code Not Found")</f>
        <v>Tsuga</v>
      </c>
      <c r="M2421" t="str">
        <f>_xlfn.XLOOKUP(C2421, Table2[Species],Table2[Sp. Name], "Code Not Found")</f>
        <v>canadensis</v>
      </c>
      <c r="N2421" t="str">
        <f>_xlfn.XLOOKUP(C2421,Table2[Species],Table2[Family],"Code Not Found")</f>
        <v>Pinaceae</v>
      </c>
      <c r="O2421" t="str" cm="1">
        <f t="array" ref="O2421">_xlfn.IFS(F2421="","",F2421&lt;=5,"0 to 5",F2421&lt;=10,"5.1 to 10",F2421&lt;=20,"10 to 20", F2421&lt;= 40, "20 to 40", F2421 &lt;= 50, "40 to 50", F2421 &gt; 50, "&gt;50" )</f>
        <v>20 to 40</v>
      </c>
    </row>
    <row r="2422" spans="1:15" ht="15" customHeight="1" x14ac:dyDescent="0.3">
      <c r="A2422" t="s">
        <v>498</v>
      </c>
      <c r="B2422" s="1">
        <v>46212</v>
      </c>
      <c r="C2422" t="s">
        <v>430</v>
      </c>
      <c r="D2422">
        <v>2239</v>
      </c>
      <c r="E2422">
        <v>1</v>
      </c>
      <c r="F2422">
        <v>11.7</v>
      </c>
      <c r="G2422" t="s">
        <v>17</v>
      </c>
      <c r="I2422" t="str">
        <f t="shared" si="55"/>
        <v>2239_1</v>
      </c>
      <c r="J2422" t="s">
        <v>428</v>
      </c>
      <c r="K2422" t="s">
        <v>429</v>
      </c>
      <c r="L2422" t="str">
        <f>_xlfn.XLOOKUP(C2422, Table2[Species],Table2[Genus], "Code Not Found")</f>
        <v>Tsuga</v>
      </c>
      <c r="M2422" t="str">
        <f>_xlfn.XLOOKUP(C2422, Table2[Species],Table2[Sp. Name], "Code Not Found")</f>
        <v>canadensis</v>
      </c>
      <c r="N2422" t="str">
        <f>_xlfn.XLOOKUP(C2422,Table2[Species],Table2[Family],"Code Not Found")</f>
        <v>Pinaceae</v>
      </c>
      <c r="O2422" t="str" cm="1">
        <f t="array" ref="O2422">_xlfn.IFS(F2422="","",F2422&lt;=5,"0 to 5",F2422&lt;=10,"5.1 to 10",F2422&lt;=20,"10 to 20", F2422&lt;= 40, "20 to 40", F2422 &lt;= 50, "40 to 50", F2422 &gt; 50, "&gt;50" )</f>
        <v>10 to 20</v>
      </c>
    </row>
    <row r="2423" spans="1:15" ht="15" customHeight="1" x14ac:dyDescent="0.3">
      <c r="A2423" t="s">
        <v>498</v>
      </c>
      <c r="B2423" s="1">
        <v>46211</v>
      </c>
      <c r="C2423" t="s">
        <v>430</v>
      </c>
      <c r="D2423">
        <v>2240</v>
      </c>
      <c r="E2423">
        <v>1</v>
      </c>
      <c r="F2423">
        <v>3.5</v>
      </c>
      <c r="G2423" t="s">
        <v>21</v>
      </c>
      <c r="H2423" t="s">
        <v>500</v>
      </c>
      <c r="I2423" t="str">
        <f t="shared" si="55"/>
        <v>2240_1</v>
      </c>
      <c r="J2423" t="s">
        <v>428</v>
      </c>
      <c r="K2423" t="s">
        <v>429</v>
      </c>
      <c r="L2423" t="str">
        <f>_xlfn.XLOOKUP(C2423, Table2[Species],Table2[Genus], "Code Not Found")</f>
        <v>Tsuga</v>
      </c>
      <c r="M2423" t="str">
        <f>_xlfn.XLOOKUP(C2423, Table2[Species],Table2[Sp. Name], "Code Not Found")</f>
        <v>canadensis</v>
      </c>
      <c r="N2423" t="str">
        <f>_xlfn.XLOOKUP(C2423,Table2[Species],Table2[Family],"Code Not Found")</f>
        <v>Pinaceae</v>
      </c>
      <c r="O2423" t="str" cm="1">
        <f t="array" ref="O2423">_xlfn.IFS(F2423="","",F2423&lt;=5,"0 to 5",F2423&lt;=10,"5.1 to 10",F2423&lt;=20,"10 to 20", F2423&lt;= 40, "20 to 40", F2423 &lt;= 50, "40 to 50", F2423 &gt; 50, "&gt;50" )</f>
        <v>0 to 5</v>
      </c>
    </row>
    <row r="2424" spans="1:15" ht="15" customHeight="1" x14ac:dyDescent="0.3">
      <c r="A2424" t="s">
        <v>498</v>
      </c>
      <c r="B2424" s="1">
        <v>46212</v>
      </c>
      <c r="C2424" t="s">
        <v>430</v>
      </c>
      <c r="D2424">
        <v>2241</v>
      </c>
      <c r="E2424">
        <v>1</v>
      </c>
      <c r="F2424">
        <v>4.8</v>
      </c>
      <c r="G2424" t="s">
        <v>17</v>
      </c>
      <c r="I2424" t="str">
        <f t="shared" si="55"/>
        <v>2241_1</v>
      </c>
      <c r="J2424" t="s">
        <v>428</v>
      </c>
      <c r="K2424" t="s">
        <v>429</v>
      </c>
      <c r="L2424" t="str">
        <f>_xlfn.XLOOKUP(C2424, Table2[Species],Table2[Genus], "Code Not Found")</f>
        <v>Tsuga</v>
      </c>
      <c r="M2424" t="str">
        <f>_xlfn.XLOOKUP(C2424, Table2[Species],Table2[Sp. Name], "Code Not Found")</f>
        <v>canadensis</v>
      </c>
      <c r="N2424" t="str">
        <f>_xlfn.XLOOKUP(C2424,Table2[Species],Table2[Family],"Code Not Found")</f>
        <v>Pinaceae</v>
      </c>
      <c r="O2424" t="str" cm="1">
        <f t="array" ref="O2424">_xlfn.IFS(F2424="","",F2424&lt;=5,"0 to 5",F2424&lt;=10,"5.1 to 10",F2424&lt;=20,"10 to 20", F2424&lt;= 40, "20 to 40", F2424 &lt;= 50, "40 to 50", F2424 &gt; 50, "&gt;50" )</f>
        <v>0 to 5</v>
      </c>
    </row>
    <row r="2425" spans="1:15" ht="15" customHeight="1" x14ac:dyDescent="0.3">
      <c r="A2425" t="s">
        <v>498</v>
      </c>
      <c r="B2425" s="1">
        <v>46211</v>
      </c>
      <c r="C2425" t="s">
        <v>430</v>
      </c>
      <c r="D2425">
        <v>2242</v>
      </c>
      <c r="E2425">
        <v>1</v>
      </c>
      <c r="F2425">
        <v>11.1</v>
      </c>
      <c r="G2425" t="s">
        <v>47</v>
      </c>
      <c r="H2425" t="s">
        <v>357</v>
      </c>
      <c r="I2425" t="str">
        <f t="shared" ref="I2425:I2456" si="56">D2425&amp;"_"&amp;E2425</f>
        <v>2242_1</v>
      </c>
      <c r="J2425" t="s">
        <v>428</v>
      </c>
      <c r="K2425" t="s">
        <v>429</v>
      </c>
      <c r="L2425" t="str">
        <f>_xlfn.XLOOKUP(C2425, Table2[Species],Table2[Genus], "Code Not Found")</f>
        <v>Tsuga</v>
      </c>
      <c r="M2425" t="str">
        <f>_xlfn.XLOOKUP(C2425, Table2[Species],Table2[Sp. Name], "Code Not Found")</f>
        <v>canadensis</v>
      </c>
      <c r="N2425" t="str">
        <f>_xlfn.XLOOKUP(C2425,Table2[Species],Table2[Family],"Code Not Found")</f>
        <v>Pinaceae</v>
      </c>
      <c r="O2425" t="str" cm="1">
        <f t="array" ref="O2425">_xlfn.IFS(F2425="","",F2425&lt;=5,"0 to 5",F2425&lt;=10,"5.1 to 10",F2425&lt;=20,"10 to 20", F2425&lt;= 40, "20 to 40", F2425 &lt;= 50, "40 to 50", F2425 &gt; 50, "&gt;50" )</f>
        <v>10 to 20</v>
      </c>
    </row>
    <row r="2426" spans="1:15" ht="15" customHeight="1" x14ac:dyDescent="0.3">
      <c r="A2426" t="s">
        <v>498</v>
      </c>
      <c r="B2426" s="1">
        <v>46212</v>
      </c>
      <c r="C2426" t="s">
        <v>64</v>
      </c>
      <c r="D2426">
        <v>2243</v>
      </c>
      <c r="E2426">
        <v>1</v>
      </c>
      <c r="F2426">
        <v>4.8</v>
      </c>
      <c r="G2426" t="s">
        <v>47</v>
      </c>
      <c r="H2426" t="s">
        <v>357</v>
      </c>
      <c r="I2426" t="str">
        <f t="shared" si="56"/>
        <v>2243_1</v>
      </c>
      <c r="J2426" t="s">
        <v>428</v>
      </c>
      <c r="K2426" t="s">
        <v>429</v>
      </c>
      <c r="L2426" t="str">
        <f>_xlfn.XLOOKUP(C2426, Table2[Species],Table2[Genus], "Code Not Found")</f>
        <v>Fagus</v>
      </c>
      <c r="M2426" t="str">
        <f>_xlfn.XLOOKUP(C2426, Table2[Species],Table2[Sp. Name], "Code Not Found")</f>
        <v>grandifolia</v>
      </c>
      <c r="N2426" t="str">
        <f>_xlfn.XLOOKUP(C2426,Table2[Species],Table2[Family],"Code Not Found")</f>
        <v>Fagaceae</v>
      </c>
      <c r="O2426" t="str" cm="1">
        <f t="array" ref="O2426">_xlfn.IFS(F2426="","",F2426&lt;=5,"0 to 5",F2426&lt;=10,"5.1 to 10",F2426&lt;=20,"10 to 20", F2426&lt;= 40, "20 to 40", F2426 &lt;= 50, "40 to 50", F2426 &gt; 50, "&gt;50" )</f>
        <v>0 to 5</v>
      </c>
    </row>
    <row r="2427" spans="1:15" ht="15" customHeight="1" x14ac:dyDescent="0.3">
      <c r="A2427" t="s">
        <v>498</v>
      </c>
      <c r="B2427" s="1">
        <v>46211</v>
      </c>
      <c r="C2427" t="s">
        <v>16</v>
      </c>
      <c r="D2427">
        <v>2244</v>
      </c>
      <c r="E2427">
        <v>1</v>
      </c>
      <c r="F2427">
        <v>30.8</v>
      </c>
      <c r="G2427" t="s">
        <v>21</v>
      </c>
      <c r="H2427" t="s">
        <v>500</v>
      </c>
      <c r="I2427" t="str">
        <f t="shared" si="56"/>
        <v>2244_1</v>
      </c>
      <c r="J2427" t="s">
        <v>428</v>
      </c>
      <c r="K2427" t="s">
        <v>429</v>
      </c>
      <c r="L2427" t="str">
        <f>_xlfn.XLOOKUP(C2427, Table2[Species],Table2[Genus], "Code Not Found")</f>
        <v>Acer</v>
      </c>
      <c r="M2427" t="str">
        <f>_xlfn.XLOOKUP(C2427, Table2[Species],Table2[Sp. Name], "Code Not Found")</f>
        <v>saccharum</v>
      </c>
      <c r="N2427" t="str">
        <f>_xlfn.XLOOKUP(C2427,Table2[Species],Table2[Family],"Code Not Found")</f>
        <v>Sapindaceae</v>
      </c>
      <c r="O2427" t="str" cm="1">
        <f t="array" ref="O2427">_xlfn.IFS(F2427="","",F2427&lt;=5,"0 to 5",F2427&lt;=10,"5.1 to 10",F2427&lt;=20,"10 to 20", F2427&lt;= 40, "20 to 40", F2427 &lt;= 50, "40 to 50", F2427 &gt; 50, "&gt;50" )</f>
        <v>20 to 40</v>
      </c>
    </row>
    <row r="2428" spans="1:15" ht="15" customHeight="1" x14ac:dyDescent="0.3">
      <c r="A2428" t="s">
        <v>498</v>
      </c>
      <c r="B2428" s="1">
        <v>46212</v>
      </c>
      <c r="C2428" t="s">
        <v>430</v>
      </c>
      <c r="D2428">
        <v>2245</v>
      </c>
      <c r="E2428">
        <v>1</v>
      </c>
      <c r="F2428">
        <v>16.3</v>
      </c>
      <c r="G2428" t="s">
        <v>17</v>
      </c>
      <c r="I2428" t="str">
        <f t="shared" si="56"/>
        <v>2245_1</v>
      </c>
      <c r="J2428" t="s">
        <v>428</v>
      </c>
      <c r="K2428" t="s">
        <v>429</v>
      </c>
      <c r="L2428" t="str">
        <f>_xlfn.XLOOKUP(C2428, Table2[Species],Table2[Genus], "Code Not Found")</f>
        <v>Tsuga</v>
      </c>
      <c r="M2428" t="str">
        <f>_xlfn.XLOOKUP(C2428, Table2[Species],Table2[Sp. Name], "Code Not Found")</f>
        <v>canadensis</v>
      </c>
      <c r="N2428" t="str">
        <f>_xlfn.XLOOKUP(C2428,Table2[Species],Table2[Family],"Code Not Found")</f>
        <v>Pinaceae</v>
      </c>
      <c r="O2428" t="str" cm="1">
        <f t="array" ref="O2428">_xlfn.IFS(F2428="","",F2428&lt;=5,"0 to 5",F2428&lt;=10,"5.1 to 10",F2428&lt;=20,"10 to 20", F2428&lt;= 40, "20 to 40", F2428 &lt;= 50, "40 to 50", F2428 &gt; 50, "&gt;50" )</f>
        <v>10 to 20</v>
      </c>
    </row>
    <row r="2429" spans="1:15" ht="15" customHeight="1" x14ac:dyDescent="0.3">
      <c r="A2429" t="s">
        <v>498</v>
      </c>
      <c r="B2429" s="1">
        <v>46211</v>
      </c>
      <c r="C2429" t="s">
        <v>16</v>
      </c>
      <c r="D2429">
        <v>2246</v>
      </c>
      <c r="E2429">
        <v>1</v>
      </c>
      <c r="F2429">
        <v>23.7</v>
      </c>
      <c r="G2429" t="s">
        <v>463</v>
      </c>
      <c r="H2429" t="s">
        <v>517</v>
      </c>
      <c r="I2429" t="str">
        <f t="shared" si="56"/>
        <v>2246_1</v>
      </c>
      <c r="J2429" t="s">
        <v>428</v>
      </c>
      <c r="K2429" t="s">
        <v>429</v>
      </c>
      <c r="L2429" t="str">
        <f>_xlfn.XLOOKUP(C2429, Table2[Species],Table2[Genus], "Code Not Found")</f>
        <v>Acer</v>
      </c>
      <c r="M2429" t="str">
        <f>_xlfn.XLOOKUP(C2429, Table2[Species],Table2[Sp. Name], "Code Not Found")</f>
        <v>saccharum</v>
      </c>
      <c r="N2429" t="str">
        <f>_xlfn.XLOOKUP(C2429,Table2[Species],Table2[Family],"Code Not Found")</f>
        <v>Sapindaceae</v>
      </c>
      <c r="O2429" t="str" cm="1">
        <f t="array" ref="O2429">_xlfn.IFS(F2429="","",F2429&lt;=5,"0 to 5",F2429&lt;=10,"5.1 to 10",F2429&lt;=20,"10 to 20", F2429&lt;= 40, "20 to 40", F2429 &lt;= 50, "40 to 50", F2429 &gt; 50, "&gt;50" )</f>
        <v>20 to 40</v>
      </c>
    </row>
    <row r="2430" spans="1:15" ht="15" customHeight="1" x14ac:dyDescent="0.3">
      <c r="A2430" t="s">
        <v>498</v>
      </c>
      <c r="B2430" s="1">
        <v>46211</v>
      </c>
      <c r="C2430" t="s">
        <v>16</v>
      </c>
      <c r="D2430">
        <v>2246</v>
      </c>
      <c r="E2430">
        <v>2</v>
      </c>
      <c r="F2430">
        <v>15.3</v>
      </c>
      <c r="G2430" t="s">
        <v>34</v>
      </c>
      <c r="H2430" t="s">
        <v>36</v>
      </c>
      <c r="I2430" t="str">
        <f t="shared" si="56"/>
        <v>2246_2</v>
      </c>
      <c r="J2430" t="s">
        <v>428</v>
      </c>
      <c r="K2430" t="s">
        <v>429</v>
      </c>
      <c r="L2430" t="str">
        <f>_xlfn.XLOOKUP(C2430, Table2[Species],Table2[Genus], "Code Not Found")</f>
        <v>Acer</v>
      </c>
      <c r="M2430" t="str">
        <f>_xlfn.XLOOKUP(C2430, Table2[Species],Table2[Sp. Name], "Code Not Found")</f>
        <v>saccharum</v>
      </c>
      <c r="N2430" t="str">
        <f>_xlfn.XLOOKUP(C2430,Table2[Species],Table2[Family],"Code Not Found")</f>
        <v>Sapindaceae</v>
      </c>
      <c r="O2430" t="str" cm="1">
        <f t="array" ref="O2430">_xlfn.IFS(F2430="","",F2430&lt;=5,"0 to 5",F2430&lt;=10,"5.1 to 10",F2430&lt;=20,"10 to 20", F2430&lt;= 40, "20 to 40", F2430 &lt;= 50, "40 to 50", F2430 &gt; 50, "&gt;50" )</f>
        <v>10 to 20</v>
      </c>
    </row>
    <row r="2431" spans="1:15" ht="15" customHeight="1" x14ac:dyDescent="0.3">
      <c r="A2431" t="s">
        <v>498</v>
      </c>
      <c r="B2431" s="1">
        <v>46212</v>
      </c>
      <c r="C2431" t="s">
        <v>20</v>
      </c>
      <c r="D2431">
        <v>2247</v>
      </c>
      <c r="E2431">
        <v>1</v>
      </c>
      <c r="F2431">
        <v>57.2</v>
      </c>
      <c r="G2431" t="s">
        <v>518</v>
      </c>
      <c r="H2431" t="s">
        <v>519</v>
      </c>
      <c r="I2431" t="str">
        <f t="shared" si="56"/>
        <v>2247_1</v>
      </c>
      <c r="J2431" t="s">
        <v>428</v>
      </c>
      <c r="K2431" t="s">
        <v>429</v>
      </c>
      <c r="L2431" t="str">
        <f>_xlfn.XLOOKUP(C2431, Table2[Species],Table2[Genus], "Code Not Found")</f>
        <v>Prunus</v>
      </c>
      <c r="M2431" t="str">
        <f>_xlfn.XLOOKUP(C2431, Table2[Species],Table2[Sp. Name], "Code Not Found")</f>
        <v>serotina</v>
      </c>
      <c r="N2431" t="str">
        <f>_xlfn.XLOOKUP(C2431,Table2[Species],Table2[Family],"Code Not Found")</f>
        <v>Rosaceae</v>
      </c>
      <c r="O2431" t="str" cm="1">
        <f t="array" ref="O2431">_xlfn.IFS(F2431="","",F2431&lt;=5,"0 to 5",F2431&lt;=10,"5.1 to 10",F2431&lt;=20,"10 to 20", F2431&lt;= 40, "20 to 40", F2431 &lt;= 50, "40 to 50", F2431 &gt; 50, "&gt;50" )</f>
        <v>&gt;50</v>
      </c>
    </row>
    <row r="2432" spans="1:15" ht="15" customHeight="1" x14ac:dyDescent="0.3">
      <c r="A2432" t="s">
        <v>498</v>
      </c>
      <c r="B2432" s="1">
        <v>46211</v>
      </c>
      <c r="C2432" t="s">
        <v>430</v>
      </c>
      <c r="D2432">
        <v>2248</v>
      </c>
      <c r="E2432">
        <v>1</v>
      </c>
      <c r="F2432">
        <v>6</v>
      </c>
      <c r="G2432" t="s">
        <v>509</v>
      </c>
      <c r="H2432" t="s">
        <v>36</v>
      </c>
      <c r="I2432" t="str">
        <f t="shared" si="56"/>
        <v>2248_1</v>
      </c>
      <c r="J2432" t="s">
        <v>428</v>
      </c>
      <c r="K2432" t="s">
        <v>429</v>
      </c>
      <c r="L2432" t="str">
        <f>_xlfn.XLOOKUP(C2432, Table2[Species],Table2[Genus], "Code Not Found")</f>
        <v>Tsuga</v>
      </c>
      <c r="M2432" t="str">
        <f>_xlfn.XLOOKUP(C2432, Table2[Species],Table2[Sp. Name], "Code Not Found")</f>
        <v>canadensis</v>
      </c>
      <c r="N2432" t="str">
        <f>_xlfn.XLOOKUP(C2432,Table2[Species],Table2[Family],"Code Not Found")</f>
        <v>Pinaceae</v>
      </c>
      <c r="O2432" t="str" cm="1">
        <f t="array" ref="O2432">_xlfn.IFS(F2432="","",F2432&lt;=5,"0 to 5",F2432&lt;=10,"5.1 to 10",F2432&lt;=20,"10 to 20", F2432&lt;= 40, "20 to 40", F2432 &lt;= 50, "40 to 50", F2432 &gt; 50, "&gt;50" )</f>
        <v>5.1 to 10</v>
      </c>
    </row>
    <row r="2433" spans="1:15" ht="15" customHeight="1" x14ac:dyDescent="0.3">
      <c r="A2433" t="s">
        <v>498</v>
      </c>
      <c r="B2433" s="1">
        <v>46212</v>
      </c>
      <c r="C2433" t="s">
        <v>430</v>
      </c>
      <c r="D2433">
        <v>2249</v>
      </c>
      <c r="E2433">
        <v>1</v>
      </c>
      <c r="F2433">
        <v>3.6</v>
      </c>
      <c r="G2433" t="s">
        <v>17</v>
      </c>
      <c r="I2433" t="str">
        <f t="shared" si="56"/>
        <v>2249_1</v>
      </c>
      <c r="J2433" t="s">
        <v>428</v>
      </c>
      <c r="K2433" t="s">
        <v>429</v>
      </c>
      <c r="L2433" t="str">
        <f>_xlfn.XLOOKUP(C2433, Table2[Species],Table2[Genus], "Code Not Found")</f>
        <v>Tsuga</v>
      </c>
      <c r="M2433" t="str">
        <f>_xlfn.XLOOKUP(C2433, Table2[Species],Table2[Sp. Name], "Code Not Found")</f>
        <v>canadensis</v>
      </c>
      <c r="N2433" t="str">
        <f>_xlfn.XLOOKUP(C2433,Table2[Species],Table2[Family],"Code Not Found")</f>
        <v>Pinaceae</v>
      </c>
      <c r="O2433" t="str" cm="1">
        <f t="array" ref="O2433">_xlfn.IFS(F2433="","",F2433&lt;=5,"0 to 5",F2433&lt;=10,"5.1 to 10",F2433&lt;=20,"10 to 20", F2433&lt;= 40, "20 to 40", F2433 &lt;= 50, "40 to 50", F2433 &gt; 50, "&gt;50" )</f>
        <v>0 to 5</v>
      </c>
    </row>
    <row r="2434" spans="1:15" ht="15" customHeight="1" x14ac:dyDescent="0.3">
      <c r="A2434" t="s">
        <v>498</v>
      </c>
      <c r="B2434" s="1">
        <v>46211</v>
      </c>
      <c r="C2434" t="s">
        <v>430</v>
      </c>
      <c r="D2434">
        <v>2250</v>
      </c>
      <c r="E2434">
        <v>1</v>
      </c>
      <c r="F2434">
        <v>14.2</v>
      </c>
      <c r="G2434" t="s">
        <v>21</v>
      </c>
      <c r="I2434" t="str">
        <f t="shared" si="56"/>
        <v>2250_1</v>
      </c>
      <c r="J2434" t="s">
        <v>428</v>
      </c>
      <c r="K2434" t="s">
        <v>429</v>
      </c>
      <c r="L2434" t="str">
        <f>_xlfn.XLOOKUP(C2434, Table2[Species],Table2[Genus], "Code Not Found")</f>
        <v>Tsuga</v>
      </c>
      <c r="M2434" t="str">
        <f>_xlfn.XLOOKUP(C2434, Table2[Species],Table2[Sp. Name], "Code Not Found")</f>
        <v>canadensis</v>
      </c>
      <c r="N2434" t="str">
        <f>_xlfn.XLOOKUP(C2434,Table2[Species],Table2[Family],"Code Not Found")</f>
        <v>Pinaceae</v>
      </c>
      <c r="O2434" t="str" cm="1">
        <f t="array" ref="O2434">_xlfn.IFS(F2434="","",F2434&lt;=5,"0 to 5",F2434&lt;=10,"5.1 to 10",F2434&lt;=20,"10 to 20", F2434&lt;= 40, "20 to 40", F2434 &lt;= 50, "40 to 50", F2434 &gt; 50, "&gt;50" )</f>
        <v>10 to 20</v>
      </c>
    </row>
    <row r="2435" spans="1:15" ht="15" customHeight="1" x14ac:dyDescent="0.3">
      <c r="A2435" t="s">
        <v>498</v>
      </c>
      <c r="B2435" s="1">
        <v>46212</v>
      </c>
      <c r="C2435" t="s">
        <v>430</v>
      </c>
      <c r="D2435">
        <v>2251</v>
      </c>
      <c r="E2435">
        <v>1</v>
      </c>
      <c r="F2435">
        <v>13.8</v>
      </c>
      <c r="G2435" t="s">
        <v>509</v>
      </c>
      <c r="I2435" t="str">
        <f t="shared" si="56"/>
        <v>2251_1</v>
      </c>
      <c r="J2435" t="s">
        <v>428</v>
      </c>
      <c r="K2435" t="s">
        <v>429</v>
      </c>
      <c r="L2435" t="str">
        <f>_xlfn.XLOOKUP(C2435, Table2[Species],Table2[Genus], "Code Not Found")</f>
        <v>Tsuga</v>
      </c>
      <c r="M2435" t="str">
        <f>_xlfn.XLOOKUP(C2435, Table2[Species],Table2[Sp. Name], "Code Not Found")</f>
        <v>canadensis</v>
      </c>
      <c r="N2435" t="str">
        <f>_xlfn.XLOOKUP(C2435,Table2[Species],Table2[Family],"Code Not Found")</f>
        <v>Pinaceae</v>
      </c>
      <c r="O2435" t="str" cm="1">
        <f t="array" ref="O2435">_xlfn.IFS(F2435="","",F2435&lt;=5,"0 to 5",F2435&lt;=10,"5.1 to 10",F2435&lt;=20,"10 to 20", F2435&lt;= 40, "20 to 40", F2435 &lt;= 50, "40 to 50", F2435 &gt; 50, "&gt;50" )</f>
        <v>10 to 20</v>
      </c>
    </row>
    <row r="2436" spans="1:15" ht="15" customHeight="1" x14ac:dyDescent="0.3">
      <c r="A2436" t="s">
        <v>498</v>
      </c>
      <c r="B2436" s="1">
        <v>46211</v>
      </c>
      <c r="C2436" t="s">
        <v>430</v>
      </c>
      <c r="D2436">
        <v>2252</v>
      </c>
      <c r="E2436">
        <v>1</v>
      </c>
      <c r="F2436">
        <v>10.6</v>
      </c>
      <c r="G2436" t="s">
        <v>47</v>
      </c>
      <c r="H2436" t="s">
        <v>500</v>
      </c>
      <c r="I2436" t="str">
        <f t="shared" si="56"/>
        <v>2252_1</v>
      </c>
      <c r="J2436" t="s">
        <v>428</v>
      </c>
      <c r="K2436" t="s">
        <v>429</v>
      </c>
      <c r="L2436" t="str">
        <f>_xlfn.XLOOKUP(C2436, Table2[Species],Table2[Genus], "Code Not Found")</f>
        <v>Tsuga</v>
      </c>
      <c r="M2436" t="str">
        <f>_xlfn.XLOOKUP(C2436, Table2[Species],Table2[Sp. Name], "Code Not Found")</f>
        <v>canadensis</v>
      </c>
      <c r="N2436" t="str">
        <f>_xlfn.XLOOKUP(C2436,Table2[Species],Table2[Family],"Code Not Found")</f>
        <v>Pinaceae</v>
      </c>
      <c r="O2436" t="str" cm="1">
        <f t="array" ref="O2436">_xlfn.IFS(F2436="","",F2436&lt;=5,"0 to 5",F2436&lt;=10,"5.1 to 10",F2436&lt;=20,"10 to 20", F2436&lt;= 40, "20 to 40", F2436 &lt;= 50, "40 to 50", F2436 &gt; 50, "&gt;50" )</f>
        <v>10 to 20</v>
      </c>
    </row>
    <row r="2437" spans="1:15" ht="15" customHeight="1" x14ac:dyDescent="0.3">
      <c r="A2437" t="s">
        <v>498</v>
      </c>
      <c r="B2437" s="1">
        <v>46212</v>
      </c>
      <c r="C2437" t="s">
        <v>430</v>
      </c>
      <c r="D2437">
        <v>2253</v>
      </c>
      <c r="E2437">
        <v>1</v>
      </c>
      <c r="F2437">
        <v>17.7</v>
      </c>
      <c r="G2437" t="s">
        <v>47</v>
      </c>
      <c r="I2437" t="str">
        <f t="shared" si="56"/>
        <v>2253_1</v>
      </c>
      <c r="J2437" t="s">
        <v>428</v>
      </c>
      <c r="K2437" t="s">
        <v>429</v>
      </c>
      <c r="L2437" t="str">
        <f>_xlfn.XLOOKUP(C2437, Table2[Species],Table2[Genus], "Code Not Found")</f>
        <v>Tsuga</v>
      </c>
      <c r="M2437" t="str">
        <f>_xlfn.XLOOKUP(C2437, Table2[Species],Table2[Sp. Name], "Code Not Found")</f>
        <v>canadensis</v>
      </c>
      <c r="N2437" t="str">
        <f>_xlfn.XLOOKUP(C2437,Table2[Species],Table2[Family],"Code Not Found")</f>
        <v>Pinaceae</v>
      </c>
      <c r="O2437" t="str" cm="1">
        <f t="array" ref="O2437">_xlfn.IFS(F2437="","",F2437&lt;=5,"0 to 5",F2437&lt;=10,"5.1 to 10",F2437&lt;=20,"10 to 20", F2437&lt;= 40, "20 to 40", F2437 &lt;= 50, "40 to 50", F2437 &gt; 50, "&gt;50" )</f>
        <v>10 to 20</v>
      </c>
    </row>
    <row r="2438" spans="1:15" ht="15" customHeight="1" x14ac:dyDescent="0.3">
      <c r="A2438" t="s">
        <v>498</v>
      </c>
      <c r="B2438" s="1">
        <v>46211</v>
      </c>
      <c r="C2438" t="s">
        <v>430</v>
      </c>
      <c r="D2438">
        <v>2254</v>
      </c>
      <c r="E2438">
        <v>1</v>
      </c>
      <c r="F2438">
        <v>16.399999999999999</v>
      </c>
      <c r="G2438" t="s">
        <v>509</v>
      </c>
      <c r="H2438" t="s">
        <v>36</v>
      </c>
      <c r="I2438" t="str">
        <f t="shared" si="56"/>
        <v>2254_1</v>
      </c>
      <c r="J2438" t="s">
        <v>428</v>
      </c>
      <c r="K2438" t="s">
        <v>429</v>
      </c>
      <c r="L2438" t="str">
        <f>_xlfn.XLOOKUP(C2438, Table2[Species],Table2[Genus], "Code Not Found")</f>
        <v>Tsuga</v>
      </c>
      <c r="M2438" t="str">
        <f>_xlfn.XLOOKUP(C2438, Table2[Species],Table2[Sp. Name], "Code Not Found")</f>
        <v>canadensis</v>
      </c>
      <c r="N2438" t="str">
        <f>_xlfn.XLOOKUP(C2438,Table2[Species],Table2[Family],"Code Not Found")</f>
        <v>Pinaceae</v>
      </c>
      <c r="O2438" t="str" cm="1">
        <f t="array" ref="O2438">_xlfn.IFS(F2438="","",F2438&lt;=5,"0 to 5",F2438&lt;=10,"5.1 to 10",F2438&lt;=20,"10 to 20", F2438&lt;= 40, "20 to 40", F2438 &lt;= 50, "40 to 50", F2438 &gt; 50, "&gt;50" )</f>
        <v>10 to 20</v>
      </c>
    </row>
    <row r="2439" spans="1:15" ht="15" customHeight="1" x14ac:dyDescent="0.3">
      <c r="A2439" t="s">
        <v>498</v>
      </c>
      <c r="B2439" s="1">
        <v>46212</v>
      </c>
      <c r="C2439" t="s">
        <v>430</v>
      </c>
      <c r="D2439">
        <v>2255</v>
      </c>
      <c r="E2439">
        <v>1</v>
      </c>
      <c r="F2439">
        <v>9.1999999999999993</v>
      </c>
      <c r="G2439" t="s">
        <v>47</v>
      </c>
      <c r="I2439" t="str">
        <f t="shared" si="56"/>
        <v>2255_1</v>
      </c>
      <c r="J2439" t="s">
        <v>428</v>
      </c>
      <c r="K2439" t="s">
        <v>429</v>
      </c>
      <c r="L2439" t="str">
        <f>_xlfn.XLOOKUP(C2439, Table2[Species],Table2[Genus], "Code Not Found")</f>
        <v>Tsuga</v>
      </c>
      <c r="M2439" t="str">
        <f>_xlfn.XLOOKUP(C2439, Table2[Species],Table2[Sp. Name], "Code Not Found")</f>
        <v>canadensis</v>
      </c>
      <c r="N2439" t="str">
        <f>_xlfn.XLOOKUP(C2439,Table2[Species],Table2[Family],"Code Not Found")</f>
        <v>Pinaceae</v>
      </c>
      <c r="O2439" t="str" cm="1">
        <f t="array" ref="O2439">_xlfn.IFS(F2439="","",F2439&lt;=5,"0 to 5",F2439&lt;=10,"5.1 to 10",F2439&lt;=20,"10 to 20", F2439&lt;= 40, "20 to 40", F2439 &lt;= 50, "40 to 50", F2439 &gt; 50, "&gt;50" )</f>
        <v>5.1 to 10</v>
      </c>
    </row>
    <row r="2440" spans="1:15" ht="15" customHeight="1" x14ac:dyDescent="0.3">
      <c r="A2440" t="s">
        <v>498</v>
      </c>
      <c r="B2440" s="1">
        <v>46211</v>
      </c>
      <c r="C2440" t="s">
        <v>430</v>
      </c>
      <c r="D2440">
        <v>2256</v>
      </c>
      <c r="E2440">
        <v>1</v>
      </c>
      <c r="F2440">
        <v>9.8000000000000007</v>
      </c>
      <c r="G2440" t="s">
        <v>509</v>
      </c>
      <c r="I2440" t="str">
        <f t="shared" si="56"/>
        <v>2256_1</v>
      </c>
      <c r="J2440" t="s">
        <v>428</v>
      </c>
      <c r="K2440" t="s">
        <v>429</v>
      </c>
      <c r="L2440" t="str">
        <f>_xlfn.XLOOKUP(C2440, Table2[Species],Table2[Genus], "Code Not Found")</f>
        <v>Tsuga</v>
      </c>
      <c r="M2440" t="str">
        <f>_xlfn.XLOOKUP(C2440, Table2[Species],Table2[Sp. Name], "Code Not Found")</f>
        <v>canadensis</v>
      </c>
      <c r="N2440" t="str">
        <f>_xlfn.XLOOKUP(C2440,Table2[Species],Table2[Family],"Code Not Found")</f>
        <v>Pinaceae</v>
      </c>
      <c r="O2440" t="str" cm="1">
        <f t="array" ref="O2440">_xlfn.IFS(F2440="","",F2440&lt;=5,"0 to 5",F2440&lt;=10,"5.1 to 10",F2440&lt;=20,"10 to 20", F2440&lt;= 40, "20 to 40", F2440 &lt;= 50, "40 to 50", F2440 &gt; 50, "&gt;50" )</f>
        <v>5.1 to 10</v>
      </c>
    </row>
    <row r="2441" spans="1:15" ht="15" customHeight="1" x14ac:dyDescent="0.3">
      <c r="A2441" t="s">
        <v>498</v>
      </c>
      <c r="B2441" s="1">
        <v>46212</v>
      </c>
      <c r="C2441" t="s">
        <v>430</v>
      </c>
      <c r="D2441">
        <v>2257</v>
      </c>
      <c r="E2441">
        <v>1</v>
      </c>
      <c r="F2441">
        <v>7</v>
      </c>
      <c r="G2441" t="s">
        <v>509</v>
      </c>
      <c r="I2441" t="str">
        <f t="shared" si="56"/>
        <v>2257_1</v>
      </c>
      <c r="J2441" t="s">
        <v>428</v>
      </c>
      <c r="K2441" t="s">
        <v>429</v>
      </c>
      <c r="L2441" t="str">
        <f>_xlfn.XLOOKUP(C2441, Table2[Species],Table2[Genus], "Code Not Found")</f>
        <v>Tsuga</v>
      </c>
      <c r="M2441" t="str">
        <f>_xlfn.XLOOKUP(C2441, Table2[Species],Table2[Sp. Name], "Code Not Found")</f>
        <v>canadensis</v>
      </c>
      <c r="N2441" t="str">
        <f>_xlfn.XLOOKUP(C2441,Table2[Species],Table2[Family],"Code Not Found")</f>
        <v>Pinaceae</v>
      </c>
      <c r="O2441" t="str" cm="1">
        <f t="array" ref="O2441">_xlfn.IFS(F2441="","",F2441&lt;=5,"0 to 5",F2441&lt;=10,"5.1 to 10",F2441&lt;=20,"10 to 20", F2441&lt;= 40, "20 to 40", F2441 &lt;= 50, "40 to 50", F2441 &gt; 50, "&gt;50" )</f>
        <v>5.1 to 10</v>
      </c>
    </row>
    <row r="2442" spans="1:15" ht="15" customHeight="1" x14ac:dyDescent="0.3">
      <c r="A2442" t="s">
        <v>498</v>
      </c>
      <c r="B2442" s="1">
        <v>46211</v>
      </c>
      <c r="C2442" t="s">
        <v>430</v>
      </c>
      <c r="D2442">
        <v>2258</v>
      </c>
      <c r="E2442">
        <v>1</v>
      </c>
      <c r="F2442">
        <v>13.5</v>
      </c>
      <c r="G2442" t="s">
        <v>509</v>
      </c>
      <c r="I2442" t="str">
        <f t="shared" si="56"/>
        <v>2258_1</v>
      </c>
      <c r="J2442" t="s">
        <v>428</v>
      </c>
      <c r="K2442" t="s">
        <v>429</v>
      </c>
      <c r="L2442" t="str">
        <f>_xlfn.XLOOKUP(C2442, Table2[Species],Table2[Genus], "Code Not Found")</f>
        <v>Tsuga</v>
      </c>
      <c r="M2442" t="str">
        <f>_xlfn.XLOOKUP(C2442, Table2[Species],Table2[Sp. Name], "Code Not Found")</f>
        <v>canadensis</v>
      </c>
      <c r="N2442" t="str">
        <f>_xlfn.XLOOKUP(C2442,Table2[Species],Table2[Family],"Code Not Found")</f>
        <v>Pinaceae</v>
      </c>
      <c r="O2442" t="str" cm="1">
        <f t="array" ref="O2442">_xlfn.IFS(F2442="","",F2442&lt;=5,"0 to 5",F2442&lt;=10,"5.1 to 10",F2442&lt;=20,"10 to 20", F2442&lt;= 40, "20 to 40", F2442 &lt;= 50, "40 to 50", F2442 &gt; 50, "&gt;50" )</f>
        <v>10 to 20</v>
      </c>
    </row>
    <row r="2443" spans="1:15" ht="15" customHeight="1" x14ac:dyDescent="0.3">
      <c r="A2443" t="s">
        <v>498</v>
      </c>
      <c r="B2443" s="1">
        <v>46212</v>
      </c>
      <c r="C2443" t="s">
        <v>123</v>
      </c>
      <c r="D2443">
        <v>2259</v>
      </c>
      <c r="E2443">
        <v>1</v>
      </c>
      <c r="F2443">
        <v>87.7</v>
      </c>
      <c r="G2443" t="s">
        <v>420</v>
      </c>
      <c r="H2443" t="s">
        <v>520</v>
      </c>
      <c r="I2443" t="str">
        <f t="shared" si="56"/>
        <v>2259_1</v>
      </c>
      <c r="J2443" t="s">
        <v>428</v>
      </c>
      <c r="K2443" t="s">
        <v>429</v>
      </c>
      <c r="L2443" t="str">
        <f>_xlfn.XLOOKUP(C2443, Table2[Species],Table2[Genus], "Code Not Found")</f>
        <v>Quercus</v>
      </c>
      <c r="M2443" t="str">
        <f>_xlfn.XLOOKUP(C2443, Table2[Species],Table2[Sp. Name], "Code Not Found")</f>
        <v>rubra</v>
      </c>
      <c r="N2443" t="str">
        <f>_xlfn.XLOOKUP(C2443,Table2[Species],Table2[Family],"Code Not Found")</f>
        <v>Fagaceae</v>
      </c>
      <c r="O2443" t="str" cm="1">
        <f t="array" ref="O2443">_xlfn.IFS(F2443="","",F2443&lt;=5,"0 to 5",F2443&lt;=10,"5.1 to 10",F2443&lt;=20,"10 to 20", F2443&lt;= 40, "20 to 40", F2443 &lt;= 50, "40 to 50", F2443 &gt; 50, "&gt;50" )</f>
        <v>&gt;50</v>
      </c>
    </row>
    <row r="2444" spans="1:15" ht="15" customHeight="1" x14ac:dyDescent="0.3">
      <c r="A2444" t="s">
        <v>498</v>
      </c>
      <c r="B2444" s="1">
        <v>46211</v>
      </c>
      <c r="C2444" t="s">
        <v>430</v>
      </c>
      <c r="D2444">
        <v>2260</v>
      </c>
      <c r="E2444">
        <v>1</v>
      </c>
      <c r="F2444">
        <v>13.6</v>
      </c>
      <c r="G2444" t="s">
        <v>17</v>
      </c>
      <c r="H2444" t="s">
        <v>500</v>
      </c>
      <c r="I2444" t="str">
        <f t="shared" si="56"/>
        <v>2260_1</v>
      </c>
      <c r="J2444" t="s">
        <v>428</v>
      </c>
      <c r="K2444" t="s">
        <v>429</v>
      </c>
      <c r="L2444" t="str">
        <f>_xlfn.XLOOKUP(C2444, Table2[Species],Table2[Genus], "Code Not Found")</f>
        <v>Tsuga</v>
      </c>
      <c r="M2444" t="str">
        <f>_xlfn.XLOOKUP(C2444, Table2[Species],Table2[Sp. Name], "Code Not Found")</f>
        <v>canadensis</v>
      </c>
      <c r="N2444" t="str">
        <f>_xlfn.XLOOKUP(C2444,Table2[Species],Table2[Family],"Code Not Found")</f>
        <v>Pinaceae</v>
      </c>
      <c r="O2444" t="str" cm="1">
        <f t="array" ref="O2444">_xlfn.IFS(F2444="","",F2444&lt;=5,"0 to 5",F2444&lt;=10,"5.1 to 10",F2444&lt;=20,"10 to 20", F2444&lt;= 40, "20 to 40", F2444 &lt;= 50, "40 to 50", F2444 &gt; 50, "&gt;50" )</f>
        <v>10 to 20</v>
      </c>
    </row>
    <row r="2445" spans="1:15" ht="15" customHeight="1" x14ac:dyDescent="0.3">
      <c r="A2445" t="s">
        <v>498</v>
      </c>
      <c r="B2445" s="1">
        <v>46212</v>
      </c>
      <c r="C2445" t="s">
        <v>430</v>
      </c>
      <c r="D2445">
        <v>2261</v>
      </c>
      <c r="E2445">
        <v>1</v>
      </c>
      <c r="F2445">
        <v>21</v>
      </c>
      <c r="G2445" t="s">
        <v>17</v>
      </c>
      <c r="I2445" t="str">
        <f t="shared" si="56"/>
        <v>2261_1</v>
      </c>
      <c r="J2445" t="s">
        <v>428</v>
      </c>
      <c r="K2445" t="s">
        <v>429</v>
      </c>
      <c r="L2445" t="str">
        <f>_xlfn.XLOOKUP(C2445, Table2[Species],Table2[Genus], "Code Not Found")</f>
        <v>Tsuga</v>
      </c>
      <c r="M2445" t="str">
        <f>_xlfn.XLOOKUP(C2445, Table2[Species],Table2[Sp. Name], "Code Not Found")</f>
        <v>canadensis</v>
      </c>
      <c r="N2445" t="str">
        <f>_xlfn.XLOOKUP(C2445,Table2[Species],Table2[Family],"Code Not Found")</f>
        <v>Pinaceae</v>
      </c>
      <c r="O2445" t="str" cm="1">
        <f t="array" ref="O2445">_xlfn.IFS(F2445="","",F2445&lt;=5,"0 to 5",F2445&lt;=10,"5.1 to 10",F2445&lt;=20,"10 to 20", F2445&lt;= 40, "20 to 40", F2445 &lt;= 50, "40 to 50", F2445 &gt; 50, "&gt;50" )</f>
        <v>20 to 40</v>
      </c>
    </row>
    <row r="2446" spans="1:15" ht="15" customHeight="1" x14ac:dyDescent="0.3">
      <c r="A2446" t="s">
        <v>498</v>
      </c>
      <c r="B2446" s="1">
        <v>46211</v>
      </c>
      <c r="C2446" t="s">
        <v>430</v>
      </c>
      <c r="D2446">
        <v>2262</v>
      </c>
      <c r="E2446">
        <v>1</v>
      </c>
      <c r="F2446">
        <v>17.399999999999999</v>
      </c>
      <c r="G2446" t="s">
        <v>17</v>
      </c>
      <c r="H2446" t="s">
        <v>521</v>
      </c>
      <c r="I2446" t="str">
        <f t="shared" si="56"/>
        <v>2262_1</v>
      </c>
      <c r="J2446" t="s">
        <v>428</v>
      </c>
      <c r="K2446" t="s">
        <v>429</v>
      </c>
      <c r="L2446" t="str">
        <f>_xlfn.XLOOKUP(C2446, Table2[Species],Table2[Genus], "Code Not Found")</f>
        <v>Tsuga</v>
      </c>
      <c r="M2446" t="str">
        <f>_xlfn.XLOOKUP(C2446, Table2[Species],Table2[Sp. Name], "Code Not Found")</f>
        <v>canadensis</v>
      </c>
      <c r="N2446" t="str">
        <f>_xlfn.XLOOKUP(C2446,Table2[Species],Table2[Family],"Code Not Found")</f>
        <v>Pinaceae</v>
      </c>
      <c r="O2446" t="str" cm="1">
        <f t="array" ref="O2446">_xlfn.IFS(F2446="","",F2446&lt;=5,"0 to 5",F2446&lt;=10,"5.1 to 10",F2446&lt;=20,"10 to 20", F2446&lt;= 40, "20 to 40", F2446 &lt;= 50, "40 to 50", F2446 &gt; 50, "&gt;50" )</f>
        <v>10 to 20</v>
      </c>
    </row>
    <row r="2447" spans="1:15" ht="15" customHeight="1" x14ac:dyDescent="0.3">
      <c r="A2447" t="s">
        <v>498</v>
      </c>
      <c r="B2447" s="1">
        <v>46212</v>
      </c>
      <c r="C2447" t="s">
        <v>430</v>
      </c>
      <c r="D2447">
        <v>2263</v>
      </c>
      <c r="E2447">
        <v>1</v>
      </c>
      <c r="F2447">
        <v>23.6</v>
      </c>
      <c r="G2447" t="s">
        <v>21</v>
      </c>
      <c r="I2447" t="str">
        <f t="shared" si="56"/>
        <v>2263_1</v>
      </c>
      <c r="J2447" t="s">
        <v>428</v>
      </c>
      <c r="K2447" t="s">
        <v>429</v>
      </c>
      <c r="L2447" t="str">
        <f>_xlfn.XLOOKUP(C2447, Table2[Species],Table2[Genus], "Code Not Found")</f>
        <v>Tsuga</v>
      </c>
      <c r="M2447" t="str">
        <f>_xlfn.XLOOKUP(C2447, Table2[Species],Table2[Sp. Name], "Code Not Found")</f>
        <v>canadensis</v>
      </c>
      <c r="N2447" t="str">
        <f>_xlfn.XLOOKUP(C2447,Table2[Species],Table2[Family],"Code Not Found")</f>
        <v>Pinaceae</v>
      </c>
      <c r="O2447" t="str" cm="1">
        <f t="array" ref="O2447">_xlfn.IFS(F2447="","",F2447&lt;=5,"0 to 5",F2447&lt;=10,"5.1 to 10",F2447&lt;=20,"10 to 20", F2447&lt;= 40, "20 to 40", F2447 &lt;= 50, "40 to 50", F2447 &gt; 50, "&gt;50" )</f>
        <v>20 to 40</v>
      </c>
    </row>
    <row r="2448" spans="1:15" ht="15" customHeight="1" x14ac:dyDescent="0.3">
      <c r="A2448" t="s">
        <v>498</v>
      </c>
      <c r="B2448" s="1">
        <v>46211</v>
      </c>
      <c r="C2448" t="s">
        <v>22</v>
      </c>
      <c r="D2448">
        <v>2264</v>
      </c>
      <c r="E2448">
        <v>1</v>
      </c>
      <c r="F2448">
        <v>127.3</v>
      </c>
      <c r="G2448" t="s">
        <v>56</v>
      </c>
      <c r="H2448" t="s">
        <v>522</v>
      </c>
      <c r="I2448" t="str">
        <f t="shared" si="56"/>
        <v>2264_1</v>
      </c>
      <c r="J2448" t="s">
        <v>428</v>
      </c>
      <c r="K2448" t="s">
        <v>429</v>
      </c>
      <c r="L2448" t="str">
        <f>_xlfn.XLOOKUP(C2448, Table2[Species],Table2[Genus], "Code Not Found")</f>
        <v>Acer</v>
      </c>
      <c r="M2448" t="str">
        <f>_xlfn.XLOOKUP(C2448, Table2[Species],Table2[Sp. Name], "Code Not Found")</f>
        <v>rubrum</v>
      </c>
      <c r="N2448" t="str">
        <f>_xlfn.XLOOKUP(C2448,Table2[Species],Table2[Family],"Code Not Found")</f>
        <v>Sapindaceae</v>
      </c>
      <c r="O2448" t="str" cm="1">
        <f t="array" ref="O2448">_xlfn.IFS(F2448="","",F2448&lt;=5,"0 to 5",F2448&lt;=10,"5.1 to 10",F2448&lt;=20,"10 to 20", F2448&lt;= 40, "20 to 40", F2448 &lt;= 50, "40 to 50", F2448 &gt; 50, "&gt;50" )</f>
        <v>&gt;50</v>
      </c>
    </row>
    <row r="2449" spans="1:15" ht="15" customHeight="1" x14ac:dyDescent="0.3">
      <c r="A2449" t="s">
        <v>498</v>
      </c>
      <c r="B2449" s="1">
        <v>46212</v>
      </c>
      <c r="C2449" t="s">
        <v>430</v>
      </c>
      <c r="D2449">
        <v>2265</v>
      </c>
      <c r="E2449">
        <v>1</v>
      </c>
      <c r="F2449">
        <v>12.5</v>
      </c>
      <c r="G2449" t="s">
        <v>509</v>
      </c>
      <c r="I2449" t="str">
        <f t="shared" si="56"/>
        <v>2265_1</v>
      </c>
      <c r="J2449" t="s">
        <v>428</v>
      </c>
      <c r="K2449" t="s">
        <v>429</v>
      </c>
      <c r="L2449" t="str">
        <f>_xlfn.XLOOKUP(C2449, Table2[Species],Table2[Genus], "Code Not Found")</f>
        <v>Tsuga</v>
      </c>
      <c r="M2449" t="str">
        <f>_xlfn.XLOOKUP(C2449, Table2[Species],Table2[Sp. Name], "Code Not Found")</f>
        <v>canadensis</v>
      </c>
      <c r="N2449" t="str">
        <f>_xlfn.XLOOKUP(C2449,Table2[Species],Table2[Family],"Code Not Found")</f>
        <v>Pinaceae</v>
      </c>
      <c r="O2449" t="str" cm="1">
        <f t="array" ref="O2449">_xlfn.IFS(F2449="","",F2449&lt;=5,"0 to 5",F2449&lt;=10,"5.1 to 10",F2449&lt;=20,"10 to 20", F2449&lt;= 40, "20 to 40", F2449 &lt;= 50, "40 to 50", F2449 &gt; 50, "&gt;50" )</f>
        <v>10 to 20</v>
      </c>
    </row>
    <row r="2450" spans="1:15" ht="15" customHeight="1" x14ac:dyDescent="0.3">
      <c r="A2450" t="s">
        <v>498</v>
      </c>
      <c r="B2450" s="1">
        <v>46212</v>
      </c>
      <c r="C2450" t="s">
        <v>430</v>
      </c>
      <c r="D2450">
        <v>2266</v>
      </c>
      <c r="E2450">
        <v>1</v>
      </c>
      <c r="F2450">
        <v>10.3</v>
      </c>
      <c r="G2450" t="s">
        <v>21</v>
      </c>
      <c r="H2450" t="s">
        <v>500</v>
      </c>
      <c r="I2450" t="str">
        <f t="shared" si="56"/>
        <v>2266_1</v>
      </c>
      <c r="J2450" t="s">
        <v>428</v>
      </c>
      <c r="K2450" t="s">
        <v>429</v>
      </c>
      <c r="L2450" t="str">
        <f>_xlfn.XLOOKUP(C2450, Table2[Species],Table2[Genus], "Code Not Found")</f>
        <v>Tsuga</v>
      </c>
      <c r="M2450" t="str">
        <f>_xlfn.XLOOKUP(C2450, Table2[Species],Table2[Sp. Name], "Code Not Found")</f>
        <v>canadensis</v>
      </c>
      <c r="N2450" t="str">
        <f>_xlfn.XLOOKUP(C2450,Table2[Species],Table2[Family],"Code Not Found")</f>
        <v>Pinaceae</v>
      </c>
      <c r="O2450" t="str" cm="1">
        <f t="array" ref="O2450">_xlfn.IFS(F2450="","",F2450&lt;=5,"0 to 5",F2450&lt;=10,"5.1 to 10",F2450&lt;=20,"10 to 20", F2450&lt;= 40, "20 to 40", F2450 &lt;= 50, "40 to 50", F2450 &gt; 50, "&gt;50" )</f>
        <v>10 to 20</v>
      </c>
    </row>
    <row r="2451" spans="1:15" ht="15" customHeight="1" x14ac:dyDescent="0.3">
      <c r="A2451" t="s">
        <v>498</v>
      </c>
      <c r="B2451" s="1">
        <v>46212</v>
      </c>
      <c r="C2451" t="s">
        <v>430</v>
      </c>
      <c r="D2451">
        <v>2267</v>
      </c>
      <c r="E2451">
        <v>1</v>
      </c>
      <c r="F2451">
        <v>5.4</v>
      </c>
      <c r="G2451" t="s">
        <v>17</v>
      </c>
      <c r="I2451" t="str">
        <f t="shared" si="56"/>
        <v>2267_1</v>
      </c>
      <c r="J2451" t="s">
        <v>428</v>
      </c>
      <c r="K2451" t="s">
        <v>429</v>
      </c>
      <c r="L2451" t="str">
        <f>_xlfn.XLOOKUP(C2451, Table2[Species],Table2[Genus], "Code Not Found")</f>
        <v>Tsuga</v>
      </c>
      <c r="M2451" t="str">
        <f>_xlfn.XLOOKUP(C2451, Table2[Species],Table2[Sp. Name], "Code Not Found")</f>
        <v>canadensis</v>
      </c>
      <c r="N2451" t="str">
        <f>_xlfn.XLOOKUP(C2451,Table2[Species],Table2[Family],"Code Not Found")</f>
        <v>Pinaceae</v>
      </c>
      <c r="O2451" t="str" cm="1">
        <f t="array" ref="O2451">_xlfn.IFS(F2451="","",F2451&lt;=5,"0 to 5",F2451&lt;=10,"5.1 to 10",F2451&lt;=20,"10 to 20", F2451&lt;= 40, "20 to 40", F2451 &lt;= 50, "40 to 50", F2451 &gt; 50, "&gt;50" )</f>
        <v>5.1 to 10</v>
      </c>
    </row>
    <row r="2452" spans="1:15" ht="15" customHeight="1" x14ac:dyDescent="0.3">
      <c r="A2452" t="s">
        <v>498</v>
      </c>
      <c r="B2452" s="1">
        <v>46212</v>
      </c>
      <c r="C2452" t="s">
        <v>430</v>
      </c>
      <c r="D2452">
        <v>2268</v>
      </c>
      <c r="E2452">
        <v>1</v>
      </c>
      <c r="F2452">
        <v>9.4</v>
      </c>
      <c r="G2452" t="s">
        <v>509</v>
      </c>
      <c r="H2452" t="s">
        <v>521</v>
      </c>
      <c r="I2452" t="str">
        <f t="shared" si="56"/>
        <v>2268_1</v>
      </c>
      <c r="J2452" t="s">
        <v>428</v>
      </c>
      <c r="K2452" t="s">
        <v>429</v>
      </c>
      <c r="L2452" t="str">
        <f>_xlfn.XLOOKUP(C2452, Table2[Species],Table2[Genus], "Code Not Found")</f>
        <v>Tsuga</v>
      </c>
      <c r="M2452" t="str">
        <f>_xlfn.XLOOKUP(C2452, Table2[Species],Table2[Sp. Name], "Code Not Found")</f>
        <v>canadensis</v>
      </c>
      <c r="N2452" t="str">
        <f>_xlfn.XLOOKUP(C2452,Table2[Species],Table2[Family],"Code Not Found")</f>
        <v>Pinaceae</v>
      </c>
      <c r="O2452" t="str" cm="1">
        <f t="array" ref="O2452">_xlfn.IFS(F2452="","",F2452&lt;=5,"0 to 5",F2452&lt;=10,"5.1 to 10",F2452&lt;=20,"10 to 20", F2452&lt;= 40, "20 to 40", F2452 &lt;= 50, "40 to 50", F2452 &gt; 50, "&gt;50" )</f>
        <v>5.1 to 10</v>
      </c>
    </row>
    <row r="2453" spans="1:15" ht="15" customHeight="1" x14ac:dyDescent="0.3">
      <c r="A2453" t="s">
        <v>498</v>
      </c>
      <c r="B2453" s="1">
        <v>46212</v>
      </c>
      <c r="C2453" t="s">
        <v>430</v>
      </c>
      <c r="D2453">
        <v>2269</v>
      </c>
      <c r="E2453">
        <v>1</v>
      </c>
      <c r="F2453">
        <v>7.4</v>
      </c>
      <c r="G2453" t="s">
        <v>47</v>
      </c>
      <c r="I2453" t="str">
        <f t="shared" si="56"/>
        <v>2269_1</v>
      </c>
      <c r="J2453" t="s">
        <v>428</v>
      </c>
      <c r="K2453" t="s">
        <v>429</v>
      </c>
      <c r="L2453" t="str">
        <f>_xlfn.XLOOKUP(C2453, Table2[Species],Table2[Genus], "Code Not Found")</f>
        <v>Tsuga</v>
      </c>
      <c r="M2453" t="str">
        <f>_xlfn.XLOOKUP(C2453, Table2[Species],Table2[Sp. Name], "Code Not Found")</f>
        <v>canadensis</v>
      </c>
      <c r="N2453" t="str">
        <f>_xlfn.XLOOKUP(C2453,Table2[Species],Table2[Family],"Code Not Found")</f>
        <v>Pinaceae</v>
      </c>
      <c r="O2453" t="str" cm="1">
        <f t="array" ref="O2453">_xlfn.IFS(F2453="","",F2453&lt;=5,"0 to 5",F2453&lt;=10,"5.1 to 10",F2453&lt;=20,"10 to 20", F2453&lt;= 40, "20 to 40", F2453 &lt;= 50, "40 to 50", F2453 &gt; 50, "&gt;50" )</f>
        <v>5.1 to 10</v>
      </c>
    </row>
    <row r="2454" spans="1:15" ht="15" customHeight="1" x14ac:dyDescent="0.3">
      <c r="A2454" t="s">
        <v>498</v>
      </c>
      <c r="B2454" s="1">
        <v>46212</v>
      </c>
      <c r="C2454" t="s">
        <v>430</v>
      </c>
      <c r="D2454">
        <v>2270</v>
      </c>
      <c r="E2454">
        <v>1</v>
      </c>
      <c r="F2454">
        <v>22.2</v>
      </c>
      <c r="G2454" t="s">
        <v>21</v>
      </c>
      <c r="H2454" t="s">
        <v>500</v>
      </c>
      <c r="I2454" t="str">
        <f t="shared" si="56"/>
        <v>2270_1</v>
      </c>
      <c r="J2454" t="s">
        <v>428</v>
      </c>
      <c r="K2454" t="s">
        <v>429</v>
      </c>
      <c r="L2454" t="str">
        <f>_xlfn.XLOOKUP(C2454, Table2[Species],Table2[Genus], "Code Not Found")</f>
        <v>Tsuga</v>
      </c>
      <c r="M2454" t="str">
        <f>_xlfn.XLOOKUP(C2454, Table2[Species],Table2[Sp. Name], "Code Not Found")</f>
        <v>canadensis</v>
      </c>
      <c r="N2454" t="str">
        <f>_xlfn.XLOOKUP(C2454,Table2[Species],Table2[Family],"Code Not Found")</f>
        <v>Pinaceae</v>
      </c>
      <c r="O2454" t="str" cm="1">
        <f t="array" ref="O2454">_xlfn.IFS(F2454="","",F2454&lt;=5,"0 to 5",F2454&lt;=10,"5.1 to 10",F2454&lt;=20,"10 to 20", F2454&lt;= 40, "20 to 40", F2454 &lt;= 50, "40 to 50", F2454 &gt; 50, "&gt;50" )</f>
        <v>20 to 40</v>
      </c>
    </row>
    <row r="2455" spans="1:15" ht="15" customHeight="1" x14ac:dyDescent="0.3">
      <c r="A2455" t="s">
        <v>498</v>
      </c>
      <c r="B2455" s="1">
        <v>46212</v>
      </c>
      <c r="C2455" t="s">
        <v>64</v>
      </c>
      <c r="D2455">
        <v>2271</v>
      </c>
      <c r="E2455">
        <v>1</v>
      </c>
      <c r="F2455">
        <v>25.7</v>
      </c>
      <c r="G2455" t="s">
        <v>21</v>
      </c>
      <c r="I2455" t="str">
        <f t="shared" si="56"/>
        <v>2271_1</v>
      </c>
      <c r="J2455" t="s">
        <v>428</v>
      </c>
      <c r="K2455" t="s">
        <v>429</v>
      </c>
      <c r="L2455" t="str">
        <f>_xlfn.XLOOKUP(C2455, Table2[Species],Table2[Genus], "Code Not Found")</f>
        <v>Fagus</v>
      </c>
      <c r="M2455" t="str">
        <f>_xlfn.XLOOKUP(C2455, Table2[Species],Table2[Sp. Name], "Code Not Found")</f>
        <v>grandifolia</v>
      </c>
      <c r="N2455" t="str">
        <f>_xlfn.XLOOKUP(C2455,Table2[Species],Table2[Family],"Code Not Found")</f>
        <v>Fagaceae</v>
      </c>
      <c r="O2455" t="str" cm="1">
        <f t="array" ref="O2455">_xlfn.IFS(F2455="","",F2455&lt;=5,"0 to 5",F2455&lt;=10,"5.1 to 10",F2455&lt;=20,"10 to 20", F2455&lt;= 40, "20 to 40", F2455 &lt;= 50, "40 to 50", F2455 &gt; 50, "&gt;50" )</f>
        <v>20 to 40</v>
      </c>
    </row>
    <row r="2456" spans="1:15" ht="15" customHeight="1" x14ac:dyDescent="0.3">
      <c r="A2456" t="s">
        <v>498</v>
      </c>
      <c r="B2456" s="1">
        <v>46212</v>
      </c>
      <c r="C2456" t="s">
        <v>16</v>
      </c>
      <c r="D2456">
        <v>2272</v>
      </c>
      <c r="E2456">
        <v>1</v>
      </c>
      <c r="F2456">
        <v>21.1</v>
      </c>
      <c r="G2456" t="s">
        <v>21</v>
      </c>
      <c r="H2456" t="s">
        <v>523</v>
      </c>
      <c r="I2456" t="str">
        <f t="shared" si="56"/>
        <v>2272_1</v>
      </c>
      <c r="J2456" t="s">
        <v>428</v>
      </c>
      <c r="K2456" t="s">
        <v>429</v>
      </c>
      <c r="L2456" t="str">
        <f>_xlfn.XLOOKUP(C2456, Table2[Species],Table2[Genus], "Code Not Found")</f>
        <v>Acer</v>
      </c>
      <c r="M2456" t="str">
        <f>_xlfn.XLOOKUP(C2456, Table2[Species],Table2[Sp. Name], "Code Not Found")</f>
        <v>saccharum</v>
      </c>
      <c r="N2456" t="str">
        <f>_xlfn.XLOOKUP(C2456,Table2[Species],Table2[Family],"Code Not Found")</f>
        <v>Sapindaceae</v>
      </c>
      <c r="O2456" t="str" cm="1">
        <f t="array" ref="O2456">_xlfn.IFS(F2456="","",F2456&lt;=5,"0 to 5",F2456&lt;=10,"5.1 to 10",F2456&lt;=20,"10 to 20", F2456&lt;= 40, "20 to 40", F2456 &lt;= 50, "40 to 50", F2456 &gt; 50, "&gt;50" )</f>
        <v>20 to 40</v>
      </c>
    </row>
    <row r="2457" spans="1:15" ht="15" customHeight="1" x14ac:dyDescent="0.3">
      <c r="A2457" t="s">
        <v>498</v>
      </c>
      <c r="B2457" s="1">
        <v>46212</v>
      </c>
      <c r="C2457" t="s">
        <v>430</v>
      </c>
      <c r="D2457">
        <v>2273</v>
      </c>
      <c r="E2457">
        <v>1</v>
      </c>
      <c r="F2457">
        <v>6.8</v>
      </c>
      <c r="G2457" t="s">
        <v>509</v>
      </c>
      <c r="I2457" t="str">
        <f t="shared" ref="I2457:I2479" si="57">D2457&amp;"_"&amp;E2457</f>
        <v>2273_1</v>
      </c>
      <c r="J2457" t="s">
        <v>428</v>
      </c>
      <c r="K2457" t="s">
        <v>429</v>
      </c>
      <c r="L2457" t="str">
        <f>_xlfn.XLOOKUP(C2457, Table2[Species],Table2[Genus], "Code Not Found")</f>
        <v>Tsuga</v>
      </c>
      <c r="M2457" t="str">
        <f>_xlfn.XLOOKUP(C2457, Table2[Species],Table2[Sp. Name], "Code Not Found")</f>
        <v>canadensis</v>
      </c>
      <c r="N2457" t="str">
        <f>_xlfn.XLOOKUP(C2457,Table2[Species],Table2[Family],"Code Not Found")</f>
        <v>Pinaceae</v>
      </c>
      <c r="O2457" t="str" cm="1">
        <f t="array" ref="O2457">_xlfn.IFS(F2457="","",F2457&lt;=5,"0 to 5",F2457&lt;=10,"5.1 to 10",F2457&lt;=20,"10 to 20", F2457&lt;= 40, "20 to 40", F2457 &lt;= 50, "40 to 50", F2457 &gt; 50, "&gt;50" )</f>
        <v>5.1 to 10</v>
      </c>
    </row>
    <row r="2458" spans="1:15" ht="15" customHeight="1" x14ac:dyDescent="0.3">
      <c r="A2458" t="s">
        <v>498</v>
      </c>
      <c r="B2458" s="1">
        <v>46212</v>
      </c>
      <c r="C2458" t="s">
        <v>430</v>
      </c>
      <c r="D2458">
        <v>2274</v>
      </c>
      <c r="E2458">
        <v>1</v>
      </c>
      <c r="F2458">
        <v>16.3</v>
      </c>
      <c r="G2458" t="s">
        <v>88</v>
      </c>
      <c r="H2458" t="s">
        <v>99</v>
      </c>
      <c r="I2458" t="str">
        <f t="shared" si="57"/>
        <v>2274_1</v>
      </c>
      <c r="J2458" t="s">
        <v>428</v>
      </c>
      <c r="K2458" t="s">
        <v>429</v>
      </c>
      <c r="L2458" t="str">
        <f>_xlfn.XLOOKUP(C2458, Table2[Species],Table2[Genus], "Code Not Found")</f>
        <v>Tsuga</v>
      </c>
      <c r="M2458" t="str">
        <f>_xlfn.XLOOKUP(C2458, Table2[Species],Table2[Sp. Name], "Code Not Found")</f>
        <v>canadensis</v>
      </c>
      <c r="N2458" t="str">
        <f>_xlfn.XLOOKUP(C2458,Table2[Species],Table2[Family],"Code Not Found")</f>
        <v>Pinaceae</v>
      </c>
      <c r="O2458" t="str" cm="1">
        <f t="array" ref="O2458">_xlfn.IFS(F2458="","",F2458&lt;=5,"0 to 5",F2458&lt;=10,"5.1 to 10",F2458&lt;=20,"10 to 20", F2458&lt;= 40, "20 to 40", F2458 &lt;= 50, "40 to 50", F2458 &gt; 50, "&gt;50" )</f>
        <v>10 to 20</v>
      </c>
    </row>
    <row r="2459" spans="1:15" ht="15" customHeight="1" x14ac:dyDescent="0.3">
      <c r="A2459" t="s">
        <v>498</v>
      </c>
      <c r="B2459" s="1">
        <v>46212</v>
      </c>
      <c r="C2459" t="s">
        <v>430</v>
      </c>
      <c r="D2459">
        <v>2275</v>
      </c>
      <c r="E2459">
        <v>1</v>
      </c>
      <c r="F2459">
        <v>8.1999999999999993</v>
      </c>
      <c r="G2459" t="s">
        <v>21</v>
      </c>
      <c r="I2459" t="str">
        <f t="shared" si="57"/>
        <v>2275_1</v>
      </c>
      <c r="J2459" t="s">
        <v>428</v>
      </c>
      <c r="K2459" t="s">
        <v>429</v>
      </c>
      <c r="L2459" t="str">
        <f>_xlfn.XLOOKUP(C2459, Table2[Species],Table2[Genus], "Code Not Found")</f>
        <v>Tsuga</v>
      </c>
      <c r="M2459" t="str">
        <f>_xlfn.XLOOKUP(C2459, Table2[Species],Table2[Sp. Name], "Code Not Found")</f>
        <v>canadensis</v>
      </c>
      <c r="N2459" t="str">
        <f>_xlfn.XLOOKUP(C2459,Table2[Species],Table2[Family],"Code Not Found")</f>
        <v>Pinaceae</v>
      </c>
      <c r="O2459" t="str" cm="1">
        <f t="array" ref="O2459">_xlfn.IFS(F2459="","",F2459&lt;=5,"0 to 5",F2459&lt;=10,"5.1 to 10",F2459&lt;=20,"10 to 20", F2459&lt;= 40, "20 to 40", F2459 &lt;= 50, "40 to 50", F2459 &gt; 50, "&gt;50" )</f>
        <v>5.1 to 10</v>
      </c>
    </row>
    <row r="2460" spans="1:15" ht="15" customHeight="1" x14ac:dyDescent="0.3">
      <c r="A2460" t="s">
        <v>498</v>
      </c>
      <c r="B2460" s="1">
        <v>46212</v>
      </c>
      <c r="C2460" t="s">
        <v>430</v>
      </c>
      <c r="D2460">
        <v>2276</v>
      </c>
      <c r="E2460">
        <v>1</v>
      </c>
      <c r="F2460">
        <v>8.1999999999999993</v>
      </c>
      <c r="G2460" t="s">
        <v>509</v>
      </c>
      <c r="I2460" t="str">
        <f t="shared" si="57"/>
        <v>2276_1</v>
      </c>
      <c r="J2460" t="s">
        <v>428</v>
      </c>
      <c r="K2460" t="s">
        <v>429</v>
      </c>
      <c r="L2460" t="str">
        <f>_xlfn.XLOOKUP(C2460, Table2[Species],Table2[Genus], "Code Not Found")</f>
        <v>Tsuga</v>
      </c>
      <c r="M2460" t="str">
        <f>_xlfn.XLOOKUP(C2460, Table2[Species],Table2[Sp. Name], "Code Not Found")</f>
        <v>canadensis</v>
      </c>
      <c r="N2460" t="str">
        <f>_xlfn.XLOOKUP(C2460,Table2[Species],Table2[Family],"Code Not Found")</f>
        <v>Pinaceae</v>
      </c>
      <c r="O2460" t="str" cm="1">
        <f t="array" ref="O2460">_xlfn.IFS(F2460="","",F2460&lt;=5,"0 to 5",F2460&lt;=10,"5.1 to 10",F2460&lt;=20,"10 to 20", F2460&lt;= 40, "20 to 40", F2460 &lt;= 50, "40 to 50", F2460 &gt; 50, "&gt;50" )</f>
        <v>5.1 to 10</v>
      </c>
    </row>
    <row r="2461" spans="1:15" ht="15" customHeight="1" x14ac:dyDescent="0.3">
      <c r="A2461" t="s">
        <v>498</v>
      </c>
      <c r="B2461" s="1">
        <v>46212</v>
      </c>
      <c r="C2461" t="s">
        <v>430</v>
      </c>
      <c r="D2461">
        <v>2277</v>
      </c>
      <c r="E2461">
        <v>1</v>
      </c>
      <c r="F2461">
        <v>9.3000000000000007</v>
      </c>
      <c r="G2461" t="s">
        <v>17</v>
      </c>
      <c r="I2461" t="str">
        <f t="shared" si="57"/>
        <v>2277_1</v>
      </c>
      <c r="J2461" t="s">
        <v>428</v>
      </c>
      <c r="K2461" t="s">
        <v>429</v>
      </c>
      <c r="L2461" t="str">
        <f>_xlfn.XLOOKUP(C2461, Table2[Species],Table2[Genus], "Code Not Found")</f>
        <v>Tsuga</v>
      </c>
      <c r="M2461" t="str">
        <f>_xlfn.XLOOKUP(C2461, Table2[Species],Table2[Sp. Name], "Code Not Found")</f>
        <v>canadensis</v>
      </c>
      <c r="N2461" t="str">
        <f>_xlfn.XLOOKUP(C2461,Table2[Species],Table2[Family],"Code Not Found")</f>
        <v>Pinaceae</v>
      </c>
      <c r="O2461" t="str" cm="1">
        <f t="array" ref="O2461">_xlfn.IFS(F2461="","",F2461&lt;=5,"0 to 5",F2461&lt;=10,"5.1 to 10",F2461&lt;=20,"10 to 20", F2461&lt;= 40, "20 to 40", F2461 &lt;= 50, "40 to 50", F2461 &gt; 50, "&gt;50" )</f>
        <v>5.1 to 10</v>
      </c>
    </row>
    <row r="2462" spans="1:15" ht="15" customHeight="1" x14ac:dyDescent="0.3">
      <c r="A2462" t="s">
        <v>498</v>
      </c>
      <c r="B2462" s="1">
        <v>46212</v>
      </c>
      <c r="C2462" t="s">
        <v>430</v>
      </c>
      <c r="D2462">
        <v>2278</v>
      </c>
      <c r="E2462">
        <v>1</v>
      </c>
      <c r="F2462">
        <v>14.6</v>
      </c>
      <c r="G2462" t="s">
        <v>509</v>
      </c>
      <c r="I2462" t="str">
        <f t="shared" si="57"/>
        <v>2278_1</v>
      </c>
      <c r="J2462" t="s">
        <v>428</v>
      </c>
      <c r="K2462" t="s">
        <v>429</v>
      </c>
      <c r="L2462" t="str">
        <f>_xlfn.XLOOKUP(C2462, Table2[Species],Table2[Genus], "Code Not Found")</f>
        <v>Tsuga</v>
      </c>
      <c r="M2462" t="str">
        <f>_xlfn.XLOOKUP(C2462, Table2[Species],Table2[Sp. Name], "Code Not Found")</f>
        <v>canadensis</v>
      </c>
      <c r="N2462" t="str">
        <f>_xlfn.XLOOKUP(C2462,Table2[Species],Table2[Family],"Code Not Found")</f>
        <v>Pinaceae</v>
      </c>
      <c r="O2462" t="str" cm="1">
        <f t="array" ref="O2462">_xlfn.IFS(F2462="","",F2462&lt;=5,"0 to 5",F2462&lt;=10,"5.1 to 10",F2462&lt;=20,"10 to 20", F2462&lt;= 40, "20 to 40", F2462 &lt;= 50, "40 to 50", F2462 &gt; 50, "&gt;50" )</f>
        <v>10 to 20</v>
      </c>
    </row>
    <row r="2463" spans="1:15" ht="15" customHeight="1" x14ac:dyDescent="0.3">
      <c r="A2463" t="s">
        <v>498</v>
      </c>
      <c r="B2463" s="1">
        <v>46212</v>
      </c>
      <c r="C2463" t="s">
        <v>430</v>
      </c>
      <c r="D2463">
        <v>2279</v>
      </c>
      <c r="E2463">
        <v>1</v>
      </c>
      <c r="F2463">
        <v>8</v>
      </c>
      <c r="G2463" t="s">
        <v>17</v>
      </c>
      <c r="I2463" t="str">
        <f t="shared" si="57"/>
        <v>2279_1</v>
      </c>
      <c r="J2463" t="s">
        <v>428</v>
      </c>
      <c r="K2463" t="s">
        <v>429</v>
      </c>
      <c r="L2463" t="str">
        <f>_xlfn.XLOOKUP(C2463, Table2[Species],Table2[Genus], "Code Not Found")</f>
        <v>Tsuga</v>
      </c>
      <c r="M2463" t="str">
        <f>_xlfn.XLOOKUP(C2463, Table2[Species],Table2[Sp. Name], "Code Not Found")</f>
        <v>canadensis</v>
      </c>
      <c r="N2463" t="str">
        <f>_xlfn.XLOOKUP(C2463,Table2[Species],Table2[Family],"Code Not Found")</f>
        <v>Pinaceae</v>
      </c>
      <c r="O2463" t="str" cm="1">
        <f t="array" ref="O2463">_xlfn.IFS(F2463="","",F2463&lt;=5,"0 to 5",F2463&lt;=10,"5.1 to 10",F2463&lt;=20,"10 to 20", F2463&lt;= 40, "20 to 40", F2463 &lt;= 50, "40 to 50", F2463 &gt; 50, "&gt;50" )</f>
        <v>5.1 to 10</v>
      </c>
    </row>
    <row r="2464" spans="1:15" ht="15" customHeight="1" x14ac:dyDescent="0.3">
      <c r="A2464" t="s">
        <v>498</v>
      </c>
      <c r="B2464" s="1">
        <v>46212</v>
      </c>
      <c r="C2464" t="s">
        <v>430</v>
      </c>
      <c r="D2464">
        <v>2280</v>
      </c>
      <c r="E2464">
        <v>1</v>
      </c>
      <c r="F2464">
        <v>5</v>
      </c>
      <c r="G2464" t="s">
        <v>88</v>
      </c>
      <c r="H2464" t="s">
        <v>524</v>
      </c>
      <c r="I2464" t="str">
        <f t="shared" si="57"/>
        <v>2280_1</v>
      </c>
      <c r="J2464" t="s">
        <v>428</v>
      </c>
      <c r="K2464" t="s">
        <v>429</v>
      </c>
      <c r="L2464" t="str">
        <f>_xlfn.XLOOKUP(C2464, Table2[Species],Table2[Genus], "Code Not Found")</f>
        <v>Tsuga</v>
      </c>
      <c r="M2464" t="str">
        <f>_xlfn.XLOOKUP(C2464, Table2[Species],Table2[Sp. Name], "Code Not Found")</f>
        <v>canadensis</v>
      </c>
      <c r="N2464" t="str">
        <f>_xlfn.XLOOKUP(C2464,Table2[Species],Table2[Family],"Code Not Found")</f>
        <v>Pinaceae</v>
      </c>
      <c r="O2464" t="str" cm="1">
        <f t="array" ref="O2464">_xlfn.IFS(F2464="","",F2464&lt;=5,"0 to 5",F2464&lt;=10,"5.1 to 10",F2464&lt;=20,"10 to 20", F2464&lt;= 40, "20 to 40", F2464 &lt;= 50, "40 to 50", F2464 &gt; 50, "&gt;50" )</f>
        <v>0 to 5</v>
      </c>
    </row>
    <row r="2465" spans="1:15" ht="15" customHeight="1" x14ac:dyDescent="0.3">
      <c r="A2465" t="s">
        <v>498</v>
      </c>
      <c r="B2465" s="1">
        <v>46212</v>
      </c>
      <c r="C2465" t="s">
        <v>430</v>
      </c>
      <c r="D2465">
        <v>2281</v>
      </c>
      <c r="E2465">
        <v>1</v>
      </c>
      <c r="F2465">
        <v>9.1</v>
      </c>
      <c r="G2465" t="s">
        <v>47</v>
      </c>
      <c r="H2465" t="s">
        <v>296</v>
      </c>
      <c r="I2465" t="str">
        <f t="shared" si="57"/>
        <v>2281_1</v>
      </c>
      <c r="J2465" t="s">
        <v>428</v>
      </c>
      <c r="K2465" t="s">
        <v>429</v>
      </c>
      <c r="L2465" t="str">
        <f>_xlfn.XLOOKUP(C2465, Table2[Species],Table2[Genus], "Code Not Found")</f>
        <v>Tsuga</v>
      </c>
      <c r="M2465" t="str">
        <f>_xlfn.XLOOKUP(C2465, Table2[Species],Table2[Sp. Name], "Code Not Found")</f>
        <v>canadensis</v>
      </c>
      <c r="N2465" t="str">
        <f>_xlfn.XLOOKUP(C2465,Table2[Species],Table2[Family],"Code Not Found")</f>
        <v>Pinaceae</v>
      </c>
      <c r="O2465" t="str" cm="1">
        <f t="array" ref="O2465">_xlfn.IFS(F2465="","",F2465&lt;=5,"0 to 5",F2465&lt;=10,"5.1 to 10",F2465&lt;=20,"10 to 20", F2465&lt;= 40, "20 to 40", F2465 &lt;= 50, "40 to 50", F2465 &gt; 50, "&gt;50" )</f>
        <v>5.1 to 10</v>
      </c>
    </row>
    <row r="2466" spans="1:15" ht="15" customHeight="1" x14ac:dyDescent="0.3">
      <c r="A2466" t="s">
        <v>498</v>
      </c>
      <c r="B2466" s="1">
        <v>46212</v>
      </c>
      <c r="C2466" t="s">
        <v>123</v>
      </c>
      <c r="D2466">
        <v>2282</v>
      </c>
      <c r="E2466">
        <v>1</v>
      </c>
      <c r="F2466">
        <v>74.8</v>
      </c>
      <c r="G2466" t="s">
        <v>56</v>
      </c>
      <c r="I2466" t="str">
        <f t="shared" si="57"/>
        <v>2282_1</v>
      </c>
      <c r="J2466" t="s">
        <v>428</v>
      </c>
      <c r="K2466" t="s">
        <v>429</v>
      </c>
      <c r="L2466" t="str">
        <f>_xlfn.XLOOKUP(C2466, Table2[Species],Table2[Genus], "Code Not Found")</f>
        <v>Quercus</v>
      </c>
      <c r="M2466" t="str">
        <f>_xlfn.XLOOKUP(C2466, Table2[Species],Table2[Sp. Name], "Code Not Found")</f>
        <v>rubra</v>
      </c>
      <c r="N2466" t="str">
        <f>_xlfn.XLOOKUP(C2466,Table2[Species],Table2[Family],"Code Not Found")</f>
        <v>Fagaceae</v>
      </c>
      <c r="O2466" t="str" cm="1">
        <f t="array" ref="O2466">_xlfn.IFS(F2466="","",F2466&lt;=5,"0 to 5",F2466&lt;=10,"5.1 to 10",F2466&lt;=20,"10 to 20", F2466&lt;= 40, "20 to 40", F2466 &lt;= 50, "40 to 50", F2466 &gt; 50, "&gt;50" )</f>
        <v>&gt;50</v>
      </c>
    </row>
    <row r="2467" spans="1:15" ht="15" customHeight="1" x14ac:dyDescent="0.3">
      <c r="A2467" t="s">
        <v>498</v>
      </c>
      <c r="B2467" s="1">
        <v>46212</v>
      </c>
      <c r="C2467" t="s">
        <v>430</v>
      </c>
      <c r="D2467">
        <v>2283</v>
      </c>
      <c r="E2467">
        <v>1</v>
      </c>
      <c r="F2467">
        <v>6</v>
      </c>
      <c r="G2467" t="s">
        <v>17</v>
      </c>
      <c r="I2467" t="str">
        <f t="shared" si="57"/>
        <v>2283_1</v>
      </c>
      <c r="J2467" t="s">
        <v>428</v>
      </c>
      <c r="K2467" t="s">
        <v>429</v>
      </c>
      <c r="L2467" t="str">
        <f>_xlfn.XLOOKUP(C2467, Table2[Species],Table2[Genus], "Code Not Found")</f>
        <v>Tsuga</v>
      </c>
      <c r="M2467" t="str">
        <f>_xlfn.XLOOKUP(C2467, Table2[Species],Table2[Sp. Name], "Code Not Found")</f>
        <v>canadensis</v>
      </c>
      <c r="N2467" t="str">
        <f>_xlfn.XLOOKUP(C2467,Table2[Species],Table2[Family],"Code Not Found")</f>
        <v>Pinaceae</v>
      </c>
      <c r="O2467" t="str" cm="1">
        <f t="array" ref="O2467">_xlfn.IFS(F2467="","",F2467&lt;=5,"0 to 5",F2467&lt;=10,"5.1 to 10",F2467&lt;=20,"10 to 20", F2467&lt;= 40, "20 to 40", F2467 &lt;= 50, "40 to 50", F2467 &gt; 50, "&gt;50" )</f>
        <v>5.1 to 10</v>
      </c>
    </row>
    <row r="2468" spans="1:15" ht="15" customHeight="1" x14ac:dyDescent="0.3">
      <c r="A2468" t="s">
        <v>498</v>
      </c>
      <c r="B2468" s="1">
        <v>46212</v>
      </c>
      <c r="C2468" t="s">
        <v>430</v>
      </c>
      <c r="D2468">
        <v>2284</v>
      </c>
      <c r="E2468">
        <v>1</v>
      </c>
      <c r="F2468">
        <v>14</v>
      </c>
      <c r="G2468" t="s">
        <v>88</v>
      </c>
      <c r="H2468" t="s">
        <v>524</v>
      </c>
      <c r="I2468" t="str">
        <f t="shared" si="57"/>
        <v>2284_1</v>
      </c>
      <c r="J2468" t="s">
        <v>428</v>
      </c>
      <c r="K2468" t="s">
        <v>429</v>
      </c>
      <c r="L2468" t="str">
        <f>_xlfn.XLOOKUP(C2468, Table2[Species],Table2[Genus], "Code Not Found")</f>
        <v>Tsuga</v>
      </c>
      <c r="M2468" t="str">
        <f>_xlfn.XLOOKUP(C2468, Table2[Species],Table2[Sp. Name], "Code Not Found")</f>
        <v>canadensis</v>
      </c>
      <c r="N2468" t="str">
        <f>_xlfn.XLOOKUP(C2468,Table2[Species],Table2[Family],"Code Not Found")</f>
        <v>Pinaceae</v>
      </c>
      <c r="O2468" t="str" cm="1">
        <f t="array" ref="O2468">_xlfn.IFS(F2468="","",F2468&lt;=5,"0 to 5",F2468&lt;=10,"5.1 to 10",F2468&lt;=20,"10 to 20", F2468&lt;= 40, "20 to 40", F2468 &lt;= 50, "40 to 50", F2468 &gt; 50, "&gt;50" )</f>
        <v>10 to 20</v>
      </c>
    </row>
    <row r="2469" spans="1:15" ht="15" customHeight="1" x14ac:dyDescent="0.3">
      <c r="A2469" t="s">
        <v>498</v>
      </c>
      <c r="B2469" s="1">
        <v>46212</v>
      </c>
      <c r="C2469" t="s">
        <v>430</v>
      </c>
      <c r="D2469">
        <v>2285</v>
      </c>
      <c r="E2469">
        <v>1</v>
      </c>
      <c r="F2469">
        <v>8</v>
      </c>
      <c r="G2469" t="s">
        <v>17</v>
      </c>
      <c r="I2469" t="str">
        <f t="shared" si="57"/>
        <v>2285_1</v>
      </c>
      <c r="J2469" t="s">
        <v>428</v>
      </c>
      <c r="K2469" t="s">
        <v>429</v>
      </c>
      <c r="L2469" t="str">
        <f>_xlfn.XLOOKUP(C2469, Table2[Species],Table2[Genus], "Code Not Found")</f>
        <v>Tsuga</v>
      </c>
      <c r="M2469" t="str">
        <f>_xlfn.XLOOKUP(C2469, Table2[Species],Table2[Sp. Name], "Code Not Found")</f>
        <v>canadensis</v>
      </c>
      <c r="N2469" t="str">
        <f>_xlfn.XLOOKUP(C2469,Table2[Species],Table2[Family],"Code Not Found")</f>
        <v>Pinaceae</v>
      </c>
      <c r="O2469" t="str" cm="1">
        <f t="array" ref="O2469">_xlfn.IFS(F2469="","",F2469&lt;=5,"0 to 5",F2469&lt;=10,"5.1 to 10",F2469&lt;=20,"10 to 20", F2469&lt;= 40, "20 to 40", F2469 &lt;= 50, "40 to 50", F2469 &gt; 50, "&gt;50" )</f>
        <v>5.1 to 10</v>
      </c>
    </row>
    <row r="2470" spans="1:15" ht="15" customHeight="1" x14ac:dyDescent="0.3">
      <c r="A2470" t="s">
        <v>498</v>
      </c>
      <c r="B2470" s="1">
        <v>46212</v>
      </c>
      <c r="C2470" t="s">
        <v>64</v>
      </c>
      <c r="D2470">
        <v>2286</v>
      </c>
      <c r="E2470">
        <v>1</v>
      </c>
      <c r="F2470">
        <v>16.8</v>
      </c>
      <c r="G2470" t="s">
        <v>21</v>
      </c>
      <c r="I2470" t="str">
        <f t="shared" si="57"/>
        <v>2286_1</v>
      </c>
      <c r="J2470" t="s">
        <v>428</v>
      </c>
      <c r="K2470" t="s">
        <v>429</v>
      </c>
      <c r="L2470" t="str">
        <f>_xlfn.XLOOKUP(C2470, Table2[Species],Table2[Genus], "Code Not Found")</f>
        <v>Fagus</v>
      </c>
      <c r="M2470" t="str">
        <f>_xlfn.XLOOKUP(C2470, Table2[Species],Table2[Sp. Name], "Code Not Found")</f>
        <v>grandifolia</v>
      </c>
      <c r="N2470" t="str">
        <f>_xlfn.XLOOKUP(C2470,Table2[Species],Table2[Family],"Code Not Found")</f>
        <v>Fagaceae</v>
      </c>
      <c r="O2470" t="str" cm="1">
        <f t="array" ref="O2470">_xlfn.IFS(F2470="","",F2470&lt;=5,"0 to 5",F2470&lt;=10,"5.1 to 10",F2470&lt;=20,"10 to 20", F2470&lt;= 40, "20 to 40", F2470 &lt;= 50, "40 to 50", F2470 &gt; 50, "&gt;50" )</f>
        <v>10 to 20</v>
      </c>
    </row>
    <row r="2471" spans="1:15" ht="15" customHeight="1" x14ac:dyDescent="0.3">
      <c r="A2471" t="s">
        <v>498</v>
      </c>
      <c r="B2471" s="1">
        <v>46212</v>
      </c>
      <c r="C2471" t="s">
        <v>430</v>
      </c>
      <c r="D2471">
        <v>2287</v>
      </c>
      <c r="E2471">
        <v>1</v>
      </c>
      <c r="F2471">
        <v>6.2</v>
      </c>
      <c r="G2471" t="s">
        <v>17</v>
      </c>
      <c r="I2471" t="str">
        <f t="shared" si="57"/>
        <v>2287_1</v>
      </c>
      <c r="J2471" t="s">
        <v>428</v>
      </c>
      <c r="K2471" t="s">
        <v>429</v>
      </c>
      <c r="L2471" t="str">
        <f>_xlfn.XLOOKUP(C2471, Table2[Species],Table2[Genus], "Code Not Found")</f>
        <v>Tsuga</v>
      </c>
      <c r="M2471" t="str">
        <f>_xlfn.XLOOKUP(C2471, Table2[Species],Table2[Sp. Name], "Code Not Found")</f>
        <v>canadensis</v>
      </c>
      <c r="N2471" t="str">
        <f>_xlfn.XLOOKUP(C2471,Table2[Species],Table2[Family],"Code Not Found")</f>
        <v>Pinaceae</v>
      </c>
      <c r="O2471" t="str" cm="1">
        <f t="array" ref="O2471">_xlfn.IFS(F2471="","",F2471&lt;=5,"0 to 5",F2471&lt;=10,"5.1 to 10",F2471&lt;=20,"10 to 20", F2471&lt;= 40, "20 to 40", F2471 &lt;= 50, "40 to 50", F2471 &gt; 50, "&gt;50" )</f>
        <v>5.1 to 10</v>
      </c>
    </row>
    <row r="2472" spans="1:15" ht="15" customHeight="1" x14ac:dyDescent="0.3">
      <c r="A2472" t="s">
        <v>498</v>
      </c>
      <c r="B2472" s="1">
        <v>46212</v>
      </c>
      <c r="C2472" t="s">
        <v>430</v>
      </c>
      <c r="D2472">
        <v>2288</v>
      </c>
      <c r="E2472">
        <v>1</v>
      </c>
      <c r="F2472">
        <v>6.4</v>
      </c>
      <c r="G2472" t="s">
        <v>21</v>
      </c>
      <c r="H2472" t="s">
        <v>500</v>
      </c>
      <c r="I2472" t="str">
        <f t="shared" si="57"/>
        <v>2288_1</v>
      </c>
      <c r="J2472" t="s">
        <v>428</v>
      </c>
      <c r="K2472" t="s">
        <v>429</v>
      </c>
      <c r="L2472" t="str">
        <f>_xlfn.XLOOKUP(C2472, Table2[Species],Table2[Genus], "Code Not Found")</f>
        <v>Tsuga</v>
      </c>
      <c r="M2472" t="str">
        <f>_xlfn.XLOOKUP(C2472, Table2[Species],Table2[Sp. Name], "Code Not Found")</f>
        <v>canadensis</v>
      </c>
      <c r="N2472" t="str">
        <f>_xlfn.XLOOKUP(C2472,Table2[Species],Table2[Family],"Code Not Found")</f>
        <v>Pinaceae</v>
      </c>
      <c r="O2472" t="str" cm="1">
        <f t="array" ref="O2472">_xlfn.IFS(F2472="","",F2472&lt;=5,"0 to 5",F2472&lt;=10,"5.1 to 10",F2472&lt;=20,"10 to 20", F2472&lt;= 40, "20 to 40", F2472 &lt;= 50, "40 to 50", F2472 &gt; 50, "&gt;50" )</f>
        <v>5.1 to 10</v>
      </c>
    </row>
    <row r="2473" spans="1:15" ht="15" customHeight="1" x14ac:dyDescent="0.3">
      <c r="A2473" t="s">
        <v>498</v>
      </c>
      <c r="B2473" s="1">
        <v>46212</v>
      </c>
      <c r="C2473" t="s">
        <v>430</v>
      </c>
      <c r="D2473">
        <v>2289</v>
      </c>
      <c r="E2473">
        <v>1</v>
      </c>
      <c r="F2473">
        <v>12.2</v>
      </c>
      <c r="G2473" t="s">
        <v>17</v>
      </c>
      <c r="I2473" t="str">
        <f t="shared" si="57"/>
        <v>2289_1</v>
      </c>
      <c r="J2473" t="s">
        <v>428</v>
      </c>
      <c r="K2473" t="s">
        <v>429</v>
      </c>
      <c r="L2473" t="str">
        <f>_xlfn.XLOOKUP(C2473, Table2[Species],Table2[Genus], "Code Not Found")</f>
        <v>Tsuga</v>
      </c>
      <c r="M2473" t="str">
        <f>_xlfn.XLOOKUP(C2473, Table2[Species],Table2[Sp. Name], "Code Not Found")</f>
        <v>canadensis</v>
      </c>
      <c r="N2473" t="str">
        <f>_xlfn.XLOOKUP(C2473,Table2[Species],Table2[Family],"Code Not Found")</f>
        <v>Pinaceae</v>
      </c>
      <c r="O2473" t="str" cm="1">
        <f t="array" ref="O2473">_xlfn.IFS(F2473="","",F2473&lt;=5,"0 to 5",F2473&lt;=10,"5.1 to 10",F2473&lt;=20,"10 to 20", F2473&lt;= 40, "20 to 40", F2473 &lt;= 50, "40 to 50", F2473 &gt; 50, "&gt;50" )</f>
        <v>10 to 20</v>
      </c>
    </row>
    <row r="2474" spans="1:15" ht="15" customHeight="1" x14ac:dyDescent="0.3">
      <c r="A2474" t="s">
        <v>498</v>
      </c>
      <c r="B2474" s="1">
        <v>46212</v>
      </c>
      <c r="C2474" t="s">
        <v>123</v>
      </c>
      <c r="D2474">
        <v>2290</v>
      </c>
      <c r="E2474">
        <v>1</v>
      </c>
      <c r="F2474">
        <v>86.9</v>
      </c>
      <c r="G2474" t="s">
        <v>17</v>
      </c>
      <c r="I2474" t="str">
        <f t="shared" si="57"/>
        <v>2290_1</v>
      </c>
      <c r="J2474" t="s">
        <v>428</v>
      </c>
      <c r="K2474" t="s">
        <v>429</v>
      </c>
      <c r="L2474" t="str">
        <f>_xlfn.XLOOKUP(C2474, Table2[Species],Table2[Genus], "Code Not Found")</f>
        <v>Quercus</v>
      </c>
      <c r="M2474" t="str">
        <f>_xlfn.XLOOKUP(C2474, Table2[Species],Table2[Sp. Name], "Code Not Found")</f>
        <v>rubra</v>
      </c>
      <c r="N2474" t="str">
        <f>_xlfn.XLOOKUP(C2474,Table2[Species],Table2[Family],"Code Not Found")</f>
        <v>Fagaceae</v>
      </c>
      <c r="O2474" t="str" cm="1">
        <f t="array" ref="O2474">_xlfn.IFS(F2474="","",F2474&lt;=5,"0 to 5",F2474&lt;=10,"5.1 to 10",F2474&lt;=20,"10 to 20", F2474&lt;= 40, "20 to 40", F2474 &lt;= 50, "40 to 50", F2474 &gt; 50, "&gt;50" )</f>
        <v>&gt;50</v>
      </c>
    </row>
    <row r="2475" spans="1:15" ht="15" customHeight="1" x14ac:dyDescent="0.3">
      <c r="A2475" t="s">
        <v>498</v>
      </c>
      <c r="B2475" s="1">
        <v>46212</v>
      </c>
      <c r="C2475" t="s">
        <v>430</v>
      </c>
      <c r="D2475">
        <v>2291</v>
      </c>
      <c r="E2475">
        <v>1</v>
      </c>
      <c r="F2475">
        <v>8.6999999999999993</v>
      </c>
      <c r="G2475" t="s">
        <v>509</v>
      </c>
      <c r="I2475" t="str">
        <f t="shared" si="57"/>
        <v>2291_1</v>
      </c>
      <c r="J2475" t="s">
        <v>428</v>
      </c>
      <c r="K2475" t="s">
        <v>429</v>
      </c>
      <c r="L2475" t="str">
        <f>_xlfn.XLOOKUP(C2475, Table2[Species],Table2[Genus], "Code Not Found")</f>
        <v>Tsuga</v>
      </c>
      <c r="M2475" t="str">
        <f>_xlfn.XLOOKUP(C2475, Table2[Species],Table2[Sp. Name], "Code Not Found")</f>
        <v>canadensis</v>
      </c>
      <c r="N2475" t="str">
        <f>_xlfn.XLOOKUP(C2475,Table2[Species],Table2[Family],"Code Not Found")</f>
        <v>Pinaceae</v>
      </c>
      <c r="O2475" t="str" cm="1">
        <f t="array" ref="O2475">_xlfn.IFS(F2475="","",F2475&lt;=5,"0 to 5",F2475&lt;=10,"5.1 to 10",F2475&lt;=20,"10 to 20", F2475&lt;= 40, "20 to 40", F2475 &lt;= 50, "40 to 50", F2475 &gt; 50, "&gt;50" )</f>
        <v>5.1 to 10</v>
      </c>
    </row>
    <row r="2476" spans="1:15" ht="15" customHeight="1" x14ac:dyDescent="0.3">
      <c r="A2476" t="s">
        <v>498</v>
      </c>
      <c r="B2476" s="1">
        <v>46212</v>
      </c>
      <c r="C2476" t="s">
        <v>16</v>
      </c>
      <c r="D2476">
        <v>2292</v>
      </c>
      <c r="E2476">
        <v>1</v>
      </c>
      <c r="F2476">
        <v>4.7</v>
      </c>
      <c r="G2476" t="s">
        <v>21</v>
      </c>
      <c r="I2476" t="str">
        <f t="shared" si="57"/>
        <v>2292_1</v>
      </c>
      <c r="J2476" t="s">
        <v>428</v>
      </c>
      <c r="K2476" t="s">
        <v>429</v>
      </c>
      <c r="L2476" t="str">
        <f>_xlfn.XLOOKUP(C2476, Table2[Species],Table2[Genus], "Code Not Found")</f>
        <v>Acer</v>
      </c>
      <c r="M2476" t="str">
        <f>_xlfn.XLOOKUP(C2476, Table2[Species],Table2[Sp. Name], "Code Not Found")</f>
        <v>saccharum</v>
      </c>
      <c r="N2476" t="str">
        <f>_xlfn.XLOOKUP(C2476,Table2[Species],Table2[Family],"Code Not Found")</f>
        <v>Sapindaceae</v>
      </c>
      <c r="O2476" t="str" cm="1">
        <f t="array" ref="O2476">_xlfn.IFS(F2476="","",F2476&lt;=5,"0 to 5",F2476&lt;=10,"5.1 to 10",F2476&lt;=20,"10 to 20", F2476&lt;= 40, "20 to 40", F2476 &lt;= 50, "40 to 50", F2476 &gt; 50, "&gt;50" )</f>
        <v>0 to 5</v>
      </c>
    </row>
    <row r="2477" spans="1:15" ht="15" customHeight="1" x14ac:dyDescent="0.3">
      <c r="A2477" t="s">
        <v>498</v>
      </c>
      <c r="B2477" s="1">
        <v>46212</v>
      </c>
      <c r="C2477" t="s">
        <v>16</v>
      </c>
      <c r="D2477">
        <v>2293</v>
      </c>
      <c r="E2477">
        <v>1</v>
      </c>
      <c r="F2477">
        <v>24.2</v>
      </c>
      <c r="G2477" t="s">
        <v>17</v>
      </c>
      <c r="I2477" t="str">
        <f t="shared" si="57"/>
        <v>2293_1</v>
      </c>
      <c r="J2477" t="s">
        <v>428</v>
      </c>
      <c r="K2477" t="s">
        <v>429</v>
      </c>
      <c r="L2477" t="str">
        <f>_xlfn.XLOOKUP(C2477, Table2[Species],Table2[Genus], "Code Not Found")</f>
        <v>Acer</v>
      </c>
      <c r="M2477" t="str">
        <f>_xlfn.XLOOKUP(C2477, Table2[Species],Table2[Sp. Name], "Code Not Found")</f>
        <v>saccharum</v>
      </c>
      <c r="N2477" t="str">
        <f>_xlfn.XLOOKUP(C2477,Table2[Species],Table2[Family],"Code Not Found")</f>
        <v>Sapindaceae</v>
      </c>
      <c r="O2477" t="str" cm="1">
        <f t="array" ref="O2477">_xlfn.IFS(F2477="","",F2477&lt;=5,"0 to 5",F2477&lt;=10,"5.1 to 10",F2477&lt;=20,"10 to 20", F2477&lt;= 40, "20 to 40", F2477 &lt;= 50, "40 to 50", F2477 &gt; 50, "&gt;50" )</f>
        <v>20 to 40</v>
      </c>
    </row>
    <row r="2478" spans="1:15" ht="15" customHeight="1" x14ac:dyDescent="0.3">
      <c r="A2478" t="s">
        <v>498</v>
      </c>
      <c r="B2478" s="1">
        <v>46212</v>
      </c>
      <c r="C2478" t="s">
        <v>64</v>
      </c>
      <c r="D2478">
        <v>2294</v>
      </c>
      <c r="E2478">
        <v>1</v>
      </c>
      <c r="F2478">
        <v>5.7</v>
      </c>
      <c r="G2478" t="s">
        <v>409</v>
      </c>
      <c r="I2478" t="str">
        <f t="shared" si="57"/>
        <v>2294_1</v>
      </c>
      <c r="J2478" t="s">
        <v>428</v>
      </c>
      <c r="K2478" t="s">
        <v>429</v>
      </c>
      <c r="L2478" t="str">
        <f>_xlfn.XLOOKUP(C2478, Table2[Species],Table2[Genus], "Code Not Found")</f>
        <v>Fagus</v>
      </c>
      <c r="M2478" t="str">
        <f>_xlfn.XLOOKUP(C2478, Table2[Species],Table2[Sp. Name], "Code Not Found")</f>
        <v>grandifolia</v>
      </c>
      <c r="N2478" t="str">
        <f>_xlfn.XLOOKUP(C2478,Table2[Species],Table2[Family],"Code Not Found")</f>
        <v>Fagaceae</v>
      </c>
      <c r="O2478" t="str" cm="1">
        <f t="array" ref="O2478">_xlfn.IFS(F2478="","",F2478&lt;=5,"0 to 5",F2478&lt;=10,"5.1 to 10",F2478&lt;=20,"10 to 20", F2478&lt;= 40, "20 to 40", F2478 &lt;= 50, "40 to 50", F2478 &gt; 50, "&gt;50" )</f>
        <v>5.1 to 10</v>
      </c>
    </row>
    <row r="2479" spans="1:15" ht="15" customHeight="1" x14ac:dyDescent="0.3">
      <c r="A2479" t="s">
        <v>498</v>
      </c>
      <c r="B2479" s="1">
        <v>46212</v>
      </c>
      <c r="C2479" t="s">
        <v>16</v>
      </c>
      <c r="D2479">
        <v>2295</v>
      </c>
      <c r="E2479">
        <v>1</v>
      </c>
      <c r="F2479">
        <v>23.6</v>
      </c>
      <c r="G2479" t="s">
        <v>21</v>
      </c>
      <c r="I2479" t="str">
        <f t="shared" si="57"/>
        <v>2295_1</v>
      </c>
      <c r="J2479" t="s">
        <v>428</v>
      </c>
      <c r="K2479" t="s">
        <v>429</v>
      </c>
      <c r="L2479" t="str">
        <f>_xlfn.XLOOKUP(C2479, Table2[Species],Table2[Genus], "Code Not Found")</f>
        <v>Acer</v>
      </c>
      <c r="M2479" t="str">
        <f>_xlfn.XLOOKUP(C2479, Table2[Species],Table2[Sp. Name], "Code Not Found")</f>
        <v>saccharum</v>
      </c>
      <c r="N2479" t="str">
        <f>_xlfn.XLOOKUP(C2479,Table2[Species],Table2[Family],"Code Not Found")</f>
        <v>Sapindaceae</v>
      </c>
      <c r="O2479" t="str" cm="1">
        <f t="array" ref="O2479">_xlfn.IFS(F2479="","",F2479&lt;=5,"0 to 5",F2479&lt;=10,"5.1 to 10",F2479&lt;=20,"10 to 20", F2479&lt;= 40, "20 to 40", F2479 &lt;= 50, "40 to 50", F2479 &gt; 50, "&gt;50" )</f>
        <v>20 to 40</v>
      </c>
    </row>
    <row r="2480" spans="1:15" ht="15" customHeight="1" x14ac:dyDescent="0.3">
      <c r="A2480" t="s">
        <v>498</v>
      </c>
      <c r="B2480" s="1">
        <v>46212</v>
      </c>
      <c r="C2480" t="s">
        <v>430</v>
      </c>
      <c r="D2480">
        <v>2296</v>
      </c>
      <c r="E2480">
        <v>1</v>
      </c>
      <c r="F2480">
        <v>10.3</v>
      </c>
      <c r="G2480" t="s">
        <v>525</v>
      </c>
      <c r="H2480" t="s">
        <v>99</v>
      </c>
      <c r="I2480" t="str">
        <f t="shared" ref="I2480:I2503" si="58">D2480&amp;"_"&amp;E2480</f>
        <v>2296_1</v>
      </c>
      <c r="J2480" t="s">
        <v>428</v>
      </c>
      <c r="K2480" t="s">
        <v>429</v>
      </c>
      <c r="L2480" t="str">
        <f>_xlfn.XLOOKUP(C2480, Table2[Species],Table2[Genus], "Code Not Found")</f>
        <v>Tsuga</v>
      </c>
      <c r="M2480" t="str">
        <f>_xlfn.XLOOKUP(C2480, Table2[Species],Table2[Sp. Name], "Code Not Found")</f>
        <v>canadensis</v>
      </c>
      <c r="N2480" t="str">
        <f>_xlfn.XLOOKUP(C2480,Table2[Species],Table2[Family],"Code Not Found")</f>
        <v>Pinaceae</v>
      </c>
      <c r="O2480" t="str" cm="1">
        <f t="array" ref="O2480">_xlfn.IFS(F2480="","",F2480&lt;=5,"0 to 5",F2480&lt;=10,"5.1 to 10",F2480&lt;=20,"10 to 20", F2480&lt;= 40, "20 to 40", F2480 &lt;= 50, "40 to 50", F2480 &gt; 50, "&gt;50" )</f>
        <v>10 to 20</v>
      </c>
    </row>
    <row r="2481" spans="1:15" ht="15" customHeight="1" x14ac:dyDescent="0.3">
      <c r="A2481" t="s">
        <v>498</v>
      </c>
      <c r="B2481" s="1">
        <v>46212</v>
      </c>
      <c r="C2481" t="s">
        <v>16</v>
      </c>
      <c r="D2481">
        <v>2297</v>
      </c>
      <c r="E2481">
        <v>1</v>
      </c>
      <c r="F2481">
        <v>22.8</v>
      </c>
      <c r="G2481" t="s">
        <v>21</v>
      </c>
      <c r="I2481" t="str">
        <f t="shared" si="58"/>
        <v>2297_1</v>
      </c>
      <c r="J2481" t="s">
        <v>428</v>
      </c>
      <c r="K2481" t="s">
        <v>429</v>
      </c>
      <c r="L2481" t="str">
        <f>_xlfn.XLOOKUP(C2481, Table2[Species],Table2[Genus], "Code Not Found")</f>
        <v>Acer</v>
      </c>
      <c r="M2481" t="str">
        <f>_xlfn.XLOOKUP(C2481, Table2[Species],Table2[Sp. Name], "Code Not Found")</f>
        <v>saccharum</v>
      </c>
      <c r="N2481" t="str">
        <f>_xlfn.XLOOKUP(C2481,Table2[Species],Table2[Family],"Code Not Found")</f>
        <v>Sapindaceae</v>
      </c>
      <c r="O2481" t="str" cm="1">
        <f t="array" ref="O2481">_xlfn.IFS(F2481="","",F2481&lt;=5,"0 to 5",F2481&lt;=10,"5.1 to 10",F2481&lt;=20,"10 to 20", F2481&lt;= 40, "20 to 40", F2481 &lt;= 50, "40 to 50", F2481 &gt; 50, "&gt;50" )</f>
        <v>20 to 40</v>
      </c>
    </row>
    <row r="2482" spans="1:15" ht="15" customHeight="1" x14ac:dyDescent="0.3">
      <c r="A2482" t="s">
        <v>498</v>
      </c>
      <c r="B2482" s="1">
        <v>46212</v>
      </c>
      <c r="C2482" t="s">
        <v>187</v>
      </c>
      <c r="D2482">
        <v>2298</v>
      </c>
      <c r="E2482">
        <v>1</v>
      </c>
      <c r="F2482">
        <v>46.1</v>
      </c>
      <c r="G2482" t="s">
        <v>21</v>
      </c>
      <c r="H2482" t="s">
        <v>500</v>
      </c>
      <c r="I2482" t="str">
        <f t="shared" si="58"/>
        <v>2298_1</v>
      </c>
      <c r="J2482" t="s">
        <v>428</v>
      </c>
      <c r="K2482" t="s">
        <v>429</v>
      </c>
      <c r="L2482" t="str">
        <f>_xlfn.XLOOKUP(C2482, Table2[Species],Table2[Genus], "Code Not Found")</f>
        <v>Carya</v>
      </c>
      <c r="M2482" t="str">
        <f>_xlfn.XLOOKUP(C2482, Table2[Species],Table2[Sp. Name], "Code Not Found")</f>
        <v>cordiformis</v>
      </c>
      <c r="N2482" t="str">
        <f>_xlfn.XLOOKUP(C2482,Table2[Species],Table2[Family],"Code Not Found")</f>
        <v>Juglandaceae</v>
      </c>
      <c r="O2482" t="str" cm="1">
        <f t="array" ref="O2482">_xlfn.IFS(F2482="","",F2482&lt;=5,"0 to 5",F2482&lt;=10,"5.1 to 10",F2482&lt;=20,"10 to 20", F2482&lt;= 40, "20 to 40", F2482 &lt;= 50, "40 to 50", F2482 &gt; 50, "&gt;50" )</f>
        <v>40 to 50</v>
      </c>
    </row>
    <row r="2483" spans="1:15" ht="15" customHeight="1" x14ac:dyDescent="0.3">
      <c r="A2483" t="s">
        <v>498</v>
      </c>
      <c r="B2483" s="1">
        <v>46212</v>
      </c>
      <c r="C2483" t="s">
        <v>235</v>
      </c>
      <c r="D2483">
        <v>2299</v>
      </c>
      <c r="E2483">
        <v>1</v>
      </c>
      <c r="F2483">
        <v>1.2</v>
      </c>
      <c r="G2483" t="s">
        <v>526</v>
      </c>
      <c r="H2483" t="s">
        <v>527</v>
      </c>
      <c r="I2483" t="str">
        <f t="shared" si="58"/>
        <v>2299_1</v>
      </c>
      <c r="J2483" t="s">
        <v>428</v>
      </c>
      <c r="K2483" t="s">
        <v>429</v>
      </c>
      <c r="L2483" t="str">
        <f>_xlfn.XLOOKUP(C2483, Table2[Species],Table2[Genus], "Code Not Found")</f>
        <v>Carpinus</v>
      </c>
      <c r="M2483" t="str">
        <f>_xlfn.XLOOKUP(C2483, Table2[Species],Table2[Sp. Name], "Code Not Found")</f>
        <v>caroliniana</v>
      </c>
      <c r="N2483" t="str">
        <f>_xlfn.XLOOKUP(C2483,Table2[Species],Table2[Family],"Code Not Found")</f>
        <v>Betulaceae</v>
      </c>
      <c r="O2483" t="str" cm="1">
        <f t="array" ref="O2483">_xlfn.IFS(F2483="","",F2483&lt;=5,"0 to 5",F2483&lt;=10,"5.1 to 10",F2483&lt;=20,"10 to 20", F2483&lt;= 40, "20 to 40", F2483 &lt;= 50, "40 to 50", F2483 &gt; 50, "&gt;50" )</f>
        <v>0 to 5</v>
      </c>
    </row>
    <row r="2484" spans="1:15" ht="15" customHeight="1" x14ac:dyDescent="0.3">
      <c r="A2484" t="s">
        <v>498</v>
      </c>
      <c r="B2484" s="1">
        <v>46212</v>
      </c>
      <c r="C2484" t="s">
        <v>64</v>
      </c>
      <c r="D2484">
        <v>2300</v>
      </c>
      <c r="E2484">
        <v>1</v>
      </c>
      <c r="F2484">
        <v>2.9</v>
      </c>
      <c r="G2484" t="s">
        <v>359</v>
      </c>
      <c r="H2484" t="s">
        <v>500</v>
      </c>
      <c r="I2484" t="str">
        <f t="shared" si="58"/>
        <v>2300_1</v>
      </c>
      <c r="J2484" t="s">
        <v>428</v>
      </c>
      <c r="K2484" t="s">
        <v>429</v>
      </c>
      <c r="L2484" t="str">
        <f>_xlfn.XLOOKUP(C2484, Table2[Species],Table2[Genus], "Code Not Found")</f>
        <v>Fagus</v>
      </c>
      <c r="M2484" t="str">
        <f>_xlfn.XLOOKUP(C2484, Table2[Species],Table2[Sp. Name], "Code Not Found")</f>
        <v>grandifolia</v>
      </c>
      <c r="N2484" t="str">
        <f>_xlfn.XLOOKUP(C2484,Table2[Species],Table2[Family],"Code Not Found")</f>
        <v>Fagaceae</v>
      </c>
      <c r="O2484" t="str" cm="1">
        <f t="array" ref="O2484">_xlfn.IFS(F2484="","",F2484&lt;=5,"0 to 5",F2484&lt;=10,"5.1 to 10",F2484&lt;=20,"10 to 20", F2484&lt;= 40, "20 to 40", F2484 &lt;= 50, "40 to 50", F2484 &gt; 50, "&gt;50" )</f>
        <v>0 to 5</v>
      </c>
    </row>
    <row r="2485" spans="1:15" ht="15" customHeight="1" x14ac:dyDescent="0.3">
      <c r="A2485" t="s">
        <v>498</v>
      </c>
      <c r="B2485" s="1">
        <v>46212</v>
      </c>
      <c r="C2485" t="s">
        <v>430</v>
      </c>
      <c r="D2485">
        <v>2301</v>
      </c>
      <c r="E2485">
        <v>1</v>
      </c>
      <c r="F2485">
        <v>10.6</v>
      </c>
      <c r="G2485" t="s">
        <v>17</v>
      </c>
      <c r="I2485" t="str">
        <f t="shared" si="58"/>
        <v>2301_1</v>
      </c>
      <c r="J2485" t="s">
        <v>428</v>
      </c>
      <c r="K2485" t="s">
        <v>429</v>
      </c>
      <c r="L2485" t="str">
        <f>_xlfn.XLOOKUP(C2485, Table2[Species],Table2[Genus], "Code Not Found")</f>
        <v>Tsuga</v>
      </c>
      <c r="M2485" t="str">
        <f>_xlfn.XLOOKUP(C2485, Table2[Species],Table2[Sp. Name], "Code Not Found")</f>
        <v>canadensis</v>
      </c>
      <c r="N2485" t="str">
        <f>_xlfn.XLOOKUP(C2485,Table2[Species],Table2[Family],"Code Not Found")</f>
        <v>Pinaceae</v>
      </c>
      <c r="O2485" t="str" cm="1">
        <f t="array" ref="O2485">_xlfn.IFS(F2485="","",F2485&lt;=5,"0 to 5",F2485&lt;=10,"5.1 to 10",F2485&lt;=20,"10 to 20", F2485&lt;= 40, "20 to 40", F2485 &lt;= 50, "40 to 50", F2485 &gt; 50, "&gt;50" )</f>
        <v>10 to 20</v>
      </c>
    </row>
    <row r="2486" spans="1:15" ht="15" customHeight="1" x14ac:dyDescent="0.3">
      <c r="A2486" t="s">
        <v>498</v>
      </c>
      <c r="B2486" s="1">
        <v>46212</v>
      </c>
      <c r="C2486" t="s">
        <v>16</v>
      </c>
      <c r="D2486">
        <v>2302</v>
      </c>
      <c r="E2486">
        <v>1</v>
      </c>
      <c r="F2486">
        <v>17.2</v>
      </c>
      <c r="G2486" t="s">
        <v>21</v>
      </c>
      <c r="H2486" t="s">
        <v>500</v>
      </c>
      <c r="I2486" t="str">
        <f t="shared" si="58"/>
        <v>2302_1</v>
      </c>
      <c r="J2486" t="s">
        <v>428</v>
      </c>
      <c r="K2486" t="s">
        <v>429</v>
      </c>
      <c r="L2486" t="str">
        <f>_xlfn.XLOOKUP(C2486, Table2[Species],Table2[Genus], "Code Not Found")</f>
        <v>Acer</v>
      </c>
      <c r="M2486" t="str">
        <f>_xlfn.XLOOKUP(C2486, Table2[Species],Table2[Sp. Name], "Code Not Found")</f>
        <v>saccharum</v>
      </c>
      <c r="N2486" t="str">
        <f>_xlfn.XLOOKUP(C2486,Table2[Species],Table2[Family],"Code Not Found")</f>
        <v>Sapindaceae</v>
      </c>
      <c r="O2486" t="str" cm="1">
        <f t="array" ref="O2486">_xlfn.IFS(F2486="","",F2486&lt;=5,"0 to 5",F2486&lt;=10,"5.1 to 10",F2486&lt;=20,"10 to 20", F2486&lt;= 40, "20 to 40", F2486 &lt;= 50, "40 to 50", F2486 &gt; 50, "&gt;50" )</f>
        <v>10 to 20</v>
      </c>
    </row>
    <row r="2487" spans="1:15" ht="15" customHeight="1" x14ac:dyDescent="0.3">
      <c r="A2487" t="s">
        <v>498</v>
      </c>
      <c r="B2487" s="1">
        <v>46212</v>
      </c>
      <c r="C2487" t="s">
        <v>123</v>
      </c>
      <c r="D2487">
        <v>2303</v>
      </c>
      <c r="E2487">
        <v>1</v>
      </c>
      <c r="F2487">
        <v>52.1</v>
      </c>
      <c r="G2487" t="s">
        <v>21</v>
      </c>
      <c r="H2487" t="s">
        <v>500</v>
      </c>
      <c r="I2487" t="str">
        <f t="shared" si="58"/>
        <v>2303_1</v>
      </c>
      <c r="J2487" t="s">
        <v>428</v>
      </c>
      <c r="K2487" t="s">
        <v>429</v>
      </c>
      <c r="L2487" t="str">
        <f>_xlfn.XLOOKUP(C2487, Table2[Species],Table2[Genus], "Code Not Found")</f>
        <v>Quercus</v>
      </c>
      <c r="M2487" t="str">
        <f>_xlfn.XLOOKUP(C2487, Table2[Species],Table2[Sp. Name], "Code Not Found")</f>
        <v>rubra</v>
      </c>
      <c r="N2487" t="str">
        <f>_xlfn.XLOOKUP(C2487,Table2[Species],Table2[Family],"Code Not Found")</f>
        <v>Fagaceae</v>
      </c>
      <c r="O2487" t="str" cm="1">
        <f t="array" ref="O2487">_xlfn.IFS(F2487="","",F2487&lt;=5,"0 to 5",F2487&lt;=10,"5.1 to 10",F2487&lt;=20,"10 to 20", F2487&lt;= 40, "20 to 40", F2487 &lt;= 50, "40 to 50", F2487 &gt; 50, "&gt;50" )</f>
        <v>&gt;50</v>
      </c>
    </row>
    <row r="2488" spans="1:15" ht="15" customHeight="1" x14ac:dyDescent="0.3">
      <c r="A2488" t="s">
        <v>498</v>
      </c>
      <c r="B2488" s="1">
        <v>46212</v>
      </c>
      <c r="C2488" t="s">
        <v>16</v>
      </c>
      <c r="D2488">
        <v>2304</v>
      </c>
      <c r="E2488">
        <v>1</v>
      </c>
      <c r="F2488">
        <v>1.3</v>
      </c>
      <c r="G2488" t="s">
        <v>17</v>
      </c>
      <c r="H2488" t="s">
        <v>528</v>
      </c>
      <c r="I2488" t="str">
        <f t="shared" si="58"/>
        <v>2304_1</v>
      </c>
      <c r="J2488" t="s">
        <v>428</v>
      </c>
      <c r="K2488" t="s">
        <v>429</v>
      </c>
      <c r="L2488" t="str">
        <f>_xlfn.XLOOKUP(C2488, Table2[Species],Table2[Genus], "Code Not Found")</f>
        <v>Acer</v>
      </c>
      <c r="M2488" t="str">
        <f>_xlfn.XLOOKUP(C2488, Table2[Species],Table2[Sp. Name], "Code Not Found")</f>
        <v>saccharum</v>
      </c>
      <c r="N2488" t="str">
        <f>_xlfn.XLOOKUP(C2488,Table2[Species],Table2[Family],"Code Not Found")</f>
        <v>Sapindaceae</v>
      </c>
      <c r="O2488" t="str" cm="1">
        <f t="array" ref="O2488">_xlfn.IFS(F2488="","",F2488&lt;=5,"0 to 5",F2488&lt;=10,"5.1 to 10",F2488&lt;=20,"10 to 20", F2488&lt;= 40, "20 to 40", F2488 &lt;= 50, "40 to 50", F2488 &gt; 50, "&gt;50" )</f>
        <v>0 to 5</v>
      </c>
    </row>
    <row r="2489" spans="1:15" ht="15" customHeight="1" x14ac:dyDescent="0.3">
      <c r="A2489" t="s">
        <v>498</v>
      </c>
      <c r="B2489" s="1">
        <v>46212</v>
      </c>
      <c r="C2489" t="s">
        <v>16</v>
      </c>
      <c r="D2489">
        <v>2305</v>
      </c>
      <c r="E2489">
        <v>1</v>
      </c>
      <c r="F2489">
        <v>1.5</v>
      </c>
      <c r="G2489" t="s">
        <v>21</v>
      </c>
      <c r="I2489" t="str">
        <f t="shared" si="58"/>
        <v>2305_1</v>
      </c>
      <c r="J2489" t="s">
        <v>428</v>
      </c>
      <c r="K2489" t="s">
        <v>429</v>
      </c>
      <c r="L2489" t="str">
        <f>_xlfn.XLOOKUP(C2489, Table2[Species],Table2[Genus], "Code Not Found")</f>
        <v>Acer</v>
      </c>
      <c r="M2489" t="str">
        <f>_xlfn.XLOOKUP(C2489, Table2[Species],Table2[Sp. Name], "Code Not Found")</f>
        <v>saccharum</v>
      </c>
      <c r="N2489" t="str">
        <f>_xlfn.XLOOKUP(C2489,Table2[Species],Table2[Family],"Code Not Found")</f>
        <v>Sapindaceae</v>
      </c>
      <c r="O2489" t="str" cm="1">
        <f t="array" ref="O2489">_xlfn.IFS(F2489="","",F2489&lt;=5,"0 to 5",F2489&lt;=10,"5.1 to 10",F2489&lt;=20,"10 to 20", F2489&lt;= 40, "20 to 40", F2489 &lt;= 50, "40 to 50", F2489 &gt; 50, "&gt;50" )</f>
        <v>0 to 5</v>
      </c>
    </row>
    <row r="2490" spans="1:15" ht="15" customHeight="1" x14ac:dyDescent="0.3">
      <c r="A2490" t="s">
        <v>498</v>
      </c>
      <c r="B2490" s="1">
        <v>46212</v>
      </c>
      <c r="C2490" t="s">
        <v>117</v>
      </c>
      <c r="D2490">
        <v>2306</v>
      </c>
      <c r="E2490">
        <v>1</v>
      </c>
      <c r="F2490">
        <v>1.5</v>
      </c>
      <c r="G2490" t="s">
        <v>359</v>
      </c>
      <c r="H2490" t="s">
        <v>500</v>
      </c>
      <c r="I2490" t="str">
        <f t="shared" si="58"/>
        <v>2306_1</v>
      </c>
      <c r="J2490" t="s">
        <v>428</v>
      </c>
      <c r="K2490" t="s">
        <v>429</v>
      </c>
      <c r="L2490" t="str">
        <f>_xlfn.XLOOKUP(C2490, Table2[Species],Table2[Genus], "Code Not Found")</f>
        <v>Ostrya</v>
      </c>
      <c r="M2490" t="str">
        <f>_xlfn.XLOOKUP(C2490, Table2[Species],Table2[Sp. Name], "Code Not Found")</f>
        <v>viginiana</v>
      </c>
      <c r="N2490" t="str">
        <f>_xlfn.XLOOKUP(C2490,Table2[Species],Table2[Family],"Code Not Found")</f>
        <v>Betulaceae</v>
      </c>
      <c r="O2490" t="str" cm="1">
        <f t="array" ref="O2490">_xlfn.IFS(F2490="","",F2490&lt;=5,"0 to 5",F2490&lt;=10,"5.1 to 10",F2490&lt;=20,"10 to 20", F2490&lt;= 40, "20 to 40", F2490 &lt;= 50, "40 to 50", F2490 &gt; 50, "&gt;50" )</f>
        <v>0 to 5</v>
      </c>
    </row>
    <row r="2491" spans="1:15" ht="15" customHeight="1" x14ac:dyDescent="0.3">
      <c r="A2491" t="s">
        <v>498</v>
      </c>
      <c r="B2491" s="1">
        <v>46212</v>
      </c>
      <c r="C2491" t="s">
        <v>64</v>
      </c>
      <c r="D2491">
        <v>2307</v>
      </c>
      <c r="E2491">
        <v>1</v>
      </c>
      <c r="F2491">
        <v>3.2</v>
      </c>
      <c r="G2491" t="s">
        <v>268</v>
      </c>
      <c r="H2491" t="s">
        <v>500</v>
      </c>
      <c r="I2491" t="str">
        <f t="shared" si="58"/>
        <v>2307_1</v>
      </c>
      <c r="J2491" t="s">
        <v>428</v>
      </c>
      <c r="K2491" t="s">
        <v>429</v>
      </c>
      <c r="L2491" t="str">
        <f>_xlfn.XLOOKUP(C2491, Table2[Species],Table2[Genus], "Code Not Found")</f>
        <v>Fagus</v>
      </c>
      <c r="M2491" t="str">
        <f>_xlfn.XLOOKUP(C2491, Table2[Species],Table2[Sp. Name], "Code Not Found")</f>
        <v>grandifolia</v>
      </c>
      <c r="N2491" t="str">
        <f>_xlfn.XLOOKUP(C2491,Table2[Species],Table2[Family],"Code Not Found")</f>
        <v>Fagaceae</v>
      </c>
      <c r="O2491" t="str" cm="1">
        <f t="array" ref="O2491">_xlfn.IFS(F2491="","",F2491&lt;=5,"0 to 5",F2491&lt;=10,"5.1 to 10",F2491&lt;=20,"10 to 20", F2491&lt;= 40, "20 to 40", F2491 &lt;= 50, "40 to 50", F2491 &gt; 50, "&gt;50" )</f>
        <v>0 to 5</v>
      </c>
    </row>
    <row r="2492" spans="1:15" ht="15" customHeight="1" x14ac:dyDescent="0.3">
      <c r="A2492" t="s">
        <v>498</v>
      </c>
      <c r="B2492" s="1">
        <v>46212</v>
      </c>
      <c r="C2492" t="s">
        <v>64</v>
      </c>
      <c r="D2492">
        <v>2307</v>
      </c>
      <c r="E2492">
        <v>2</v>
      </c>
      <c r="F2492">
        <v>1.5</v>
      </c>
      <c r="G2492" t="s">
        <v>529</v>
      </c>
      <c r="H2492" t="s">
        <v>99</v>
      </c>
      <c r="I2492" t="str">
        <f t="shared" si="58"/>
        <v>2307_2</v>
      </c>
      <c r="J2492" t="s">
        <v>428</v>
      </c>
      <c r="K2492" t="s">
        <v>429</v>
      </c>
      <c r="L2492" t="str">
        <f>_xlfn.XLOOKUP(C2492, Table2[Species],Table2[Genus], "Code Not Found")</f>
        <v>Fagus</v>
      </c>
      <c r="M2492" t="str">
        <f>_xlfn.XLOOKUP(C2492, Table2[Species],Table2[Sp. Name], "Code Not Found")</f>
        <v>grandifolia</v>
      </c>
      <c r="N2492" t="str">
        <f>_xlfn.XLOOKUP(C2492,Table2[Species],Table2[Family],"Code Not Found")</f>
        <v>Fagaceae</v>
      </c>
      <c r="O2492" t="str" cm="1">
        <f t="array" ref="O2492">_xlfn.IFS(F2492="","",F2492&lt;=5,"0 to 5",F2492&lt;=10,"5.1 to 10",F2492&lt;=20,"10 to 20", F2492&lt;= 40, "20 to 40", F2492 &lt;= 50, "40 to 50", F2492 &gt; 50, "&gt;50" )</f>
        <v>0 to 5</v>
      </c>
    </row>
    <row r="2493" spans="1:15" ht="15" customHeight="1" x14ac:dyDescent="0.3">
      <c r="A2493" t="s">
        <v>498</v>
      </c>
      <c r="B2493" s="1">
        <v>46212</v>
      </c>
      <c r="C2493" t="s">
        <v>64</v>
      </c>
      <c r="D2493">
        <v>2308</v>
      </c>
      <c r="E2493">
        <v>1</v>
      </c>
      <c r="F2493">
        <v>6</v>
      </c>
      <c r="G2493" t="s">
        <v>17</v>
      </c>
      <c r="H2493" t="s">
        <v>500</v>
      </c>
      <c r="I2493" t="str">
        <f t="shared" si="58"/>
        <v>2308_1</v>
      </c>
      <c r="J2493" t="s">
        <v>428</v>
      </c>
      <c r="K2493" t="s">
        <v>429</v>
      </c>
      <c r="L2493" t="str">
        <f>_xlfn.XLOOKUP(C2493, Table2[Species],Table2[Genus], "Code Not Found")</f>
        <v>Fagus</v>
      </c>
      <c r="M2493" t="str">
        <f>_xlfn.XLOOKUP(C2493, Table2[Species],Table2[Sp. Name], "Code Not Found")</f>
        <v>grandifolia</v>
      </c>
      <c r="N2493" t="str">
        <f>_xlfn.XLOOKUP(C2493,Table2[Species],Table2[Family],"Code Not Found")</f>
        <v>Fagaceae</v>
      </c>
      <c r="O2493" t="str" cm="1">
        <f t="array" ref="O2493">_xlfn.IFS(F2493="","",F2493&lt;=5,"0 to 5",F2493&lt;=10,"5.1 to 10",F2493&lt;=20,"10 to 20", F2493&lt;= 40, "20 to 40", F2493 &lt;= 50, "40 to 50", F2493 &gt; 50, "&gt;50" )</f>
        <v>5.1 to 10</v>
      </c>
    </row>
    <row r="2494" spans="1:15" ht="15" customHeight="1" x14ac:dyDescent="0.3">
      <c r="A2494" t="s">
        <v>498</v>
      </c>
      <c r="B2494" s="1">
        <v>46212</v>
      </c>
      <c r="C2494" t="s">
        <v>64</v>
      </c>
      <c r="D2494">
        <v>2309</v>
      </c>
      <c r="E2494">
        <v>1</v>
      </c>
      <c r="F2494">
        <v>10.8</v>
      </c>
      <c r="G2494" t="s">
        <v>21</v>
      </c>
      <c r="H2494" t="s">
        <v>500</v>
      </c>
      <c r="I2494" t="str">
        <f t="shared" si="58"/>
        <v>2309_1</v>
      </c>
      <c r="J2494" t="s">
        <v>428</v>
      </c>
      <c r="K2494" t="s">
        <v>429</v>
      </c>
      <c r="L2494" t="str">
        <f>_xlfn.XLOOKUP(C2494, Table2[Species],Table2[Genus], "Code Not Found")</f>
        <v>Fagus</v>
      </c>
      <c r="M2494" t="str">
        <f>_xlfn.XLOOKUP(C2494, Table2[Species],Table2[Sp. Name], "Code Not Found")</f>
        <v>grandifolia</v>
      </c>
      <c r="N2494" t="str">
        <f>_xlfn.XLOOKUP(C2494,Table2[Species],Table2[Family],"Code Not Found")</f>
        <v>Fagaceae</v>
      </c>
      <c r="O2494" t="str" cm="1">
        <f t="array" ref="O2494">_xlfn.IFS(F2494="","",F2494&lt;=5,"0 to 5",F2494&lt;=10,"5.1 to 10",F2494&lt;=20,"10 to 20", F2494&lt;= 40, "20 to 40", F2494 &lt;= 50, "40 to 50", F2494 &gt; 50, "&gt;50" )</f>
        <v>10 to 20</v>
      </c>
    </row>
    <row r="2495" spans="1:15" ht="15" customHeight="1" x14ac:dyDescent="0.3">
      <c r="A2495" t="s">
        <v>498</v>
      </c>
      <c r="B2495" s="1">
        <v>46212</v>
      </c>
      <c r="C2495" t="s">
        <v>64</v>
      </c>
      <c r="D2495">
        <v>2310</v>
      </c>
      <c r="E2495">
        <v>1</v>
      </c>
      <c r="F2495">
        <v>1.8</v>
      </c>
      <c r="G2495" t="s">
        <v>530</v>
      </c>
      <c r="H2495" t="s">
        <v>99</v>
      </c>
      <c r="I2495" t="str">
        <f t="shared" si="58"/>
        <v>2310_1</v>
      </c>
      <c r="J2495" t="s">
        <v>428</v>
      </c>
      <c r="K2495" t="s">
        <v>429</v>
      </c>
      <c r="L2495" t="str">
        <f>_xlfn.XLOOKUP(C2495, Table2[Species],Table2[Genus], "Code Not Found")</f>
        <v>Fagus</v>
      </c>
      <c r="M2495" t="str">
        <f>_xlfn.XLOOKUP(C2495, Table2[Species],Table2[Sp. Name], "Code Not Found")</f>
        <v>grandifolia</v>
      </c>
      <c r="N2495" t="str">
        <f>_xlfn.XLOOKUP(C2495,Table2[Species],Table2[Family],"Code Not Found")</f>
        <v>Fagaceae</v>
      </c>
      <c r="O2495" t="str" cm="1">
        <f t="array" ref="O2495">_xlfn.IFS(F2495="","",F2495&lt;=5,"0 to 5",F2495&lt;=10,"5.1 to 10",F2495&lt;=20,"10 to 20", F2495&lt;= 40, "20 to 40", F2495 &lt;= 50, "40 to 50", F2495 &gt; 50, "&gt;50" )</f>
        <v>0 to 5</v>
      </c>
    </row>
    <row r="2496" spans="1:15" ht="15" customHeight="1" x14ac:dyDescent="0.3">
      <c r="A2496" t="s">
        <v>498</v>
      </c>
      <c r="B2496" s="1">
        <v>46212</v>
      </c>
      <c r="C2496" t="s">
        <v>123</v>
      </c>
      <c r="D2496">
        <v>2311</v>
      </c>
      <c r="E2496">
        <v>1</v>
      </c>
      <c r="F2496">
        <v>47.8</v>
      </c>
      <c r="G2496" t="s">
        <v>17</v>
      </c>
      <c r="H2496" t="s">
        <v>500</v>
      </c>
      <c r="I2496" t="str">
        <f t="shared" si="58"/>
        <v>2311_1</v>
      </c>
      <c r="J2496" t="s">
        <v>428</v>
      </c>
      <c r="K2496" t="s">
        <v>429</v>
      </c>
      <c r="L2496" t="str">
        <f>_xlfn.XLOOKUP(C2496, Table2[Species],Table2[Genus], "Code Not Found")</f>
        <v>Quercus</v>
      </c>
      <c r="M2496" t="str">
        <f>_xlfn.XLOOKUP(C2496, Table2[Species],Table2[Sp. Name], "Code Not Found")</f>
        <v>rubra</v>
      </c>
      <c r="N2496" t="str">
        <f>_xlfn.XLOOKUP(C2496,Table2[Species],Table2[Family],"Code Not Found")</f>
        <v>Fagaceae</v>
      </c>
      <c r="O2496" t="str" cm="1">
        <f t="array" ref="O2496">_xlfn.IFS(F2496="","",F2496&lt;=5,"0 to 5",F2496&lt;=10,"5.1 to 10",F2496&lt;=20,"10 to 20", F2496&lt;= 40, "20 to 40", F2496 &lt;= 50, "40 to 50", F2496 &gt; 50, "&gt;50" )</f>
        <v>40 to 50</v>
      </c>
    </row>
    <row r="2497" spans="1:15" ht="15" customHeight="1" x14ac:dyDescent="0.3">
      <c r="A2497" t="s">
        <v>498</v>
      </c>
      <c r="B2497" s="1">
        <v>46212</v>
      </c>
      <c r="C2497" t="s">
        <v>55</v>
      </c>
      <c r="D2497">
        <v>2312</v>
      </c>
      <c r="E2497">
        <v>1</v>
      </c>
      <c r="F2497">
        <v>29.2</v>
      </c>
      <c r="G2497" t="s">
        <v>21</v>
      </c>
      <c r="H2497" t="s">
        <v>500</v>
      </c>
      <c r="I2497" t="str">
        <f t="shared" si="58"/>
        <v>2312_1</v>
      </c>
      <c r="J2497" t="s">
        <v>428</v>
      </c>
      <c r="K2497" t="s">
        <v>429</v>
      </c>
      <c r="L2497" t="str">
        <f>_xlfn.XLOOKUP(C2497, Table2[Species],Table2[Genus], "Code Not Found")</f>
        <v>Magnolia</v>
      </c>
      <c r="M2497" t="str">
        <f>_xlfn.XLOOKUP(C2497, Table2[Species],Table2[Sp. Name], "Code Not Found")</f>
        <v>acuminata</v>
      </c>
      <c r="N2497" t="str">
        <f>_xlfn.XLOOKUP(C2497,Table2[Species],Table2[Family],"Code Not Found")</f>
        <v>Magnoliaceae</v>
      </c>
      <c r="O2497" t="str" cm="1">
        <f t="array" ref="O2497">_xlfn.IFS(F2497="","",F2497&lt;=5,"0 to 5",F2497&lt;=10,"5.1 to 10",F2497&lt;=20,"10 to 20", F2497&lt;= 40, "20 to 40", F2497 &lt;= 50, "40 to 50", F2497 &gt; 50, "&gt;50" )</f>
        <v>20 to 40</v>
      </c>
    </row>
    <row r="2498" spans="1:15" ht="15" customHeight="1" x14ac:dyDescent="0.3">
      <c r="A2498" t="s">
        <v>498</v>
      </c>
      <c r="B2498" s="1">
        <v>46212</v>
      </c>
      <c r="C2498" t="s">
        <v>430</v>
      </c>
      <c r="D2498">
        <v>2313</v>
      </c>
      <c r="E2498">
        <v>1</v>
      </c>
      <c r="F2498">
        <v>11.6</v>
      </c>
      <c r="G2498" t="s">
        <v>88</v>
      </c>
      <c r="H2498" t="s">
        <v>524</v>
      </c>
      <c r="I2498" t="str">
        <f t="shared" si="58"/>
        <v>2313_1</v>
      </c>
      <c r="J2498" t="s">
        <v>428</v>
      </c>
      <c r="K2498" t="s">
        <v>429</v>
      </c>
      <c r="L2498" t="str">
        <f>_xlfn.XLOOKUP(C2498, Table2[Species],Table2[Genus], "Code Not Found")</f>
        <v>Tsuga</v>
      </c>
      <c r="M2498" t="str">
        <f>_xlfn.XLOOKUP(C2498, Table2[Species],Table2[Sp. Name], "Code Not Found")</f>
        <v>canadensis</v>
      </c>
      <c r="N2498" t="str">
        <f>_xlfn.XLOOKUP(C2498,Table2[Species],Table2[Family],"Code Not Found")</f>
        <v>Pinaceae</v>
      </c>
      <c r="O2498" t="str" cm="1">
        <f t="array" ref="O2498">_xlfn.IFS(F2498="","",F2498&lt;=5,"0 to 5",F2498&lt;=10,"5.1 to 10",F2498&lt;=20,"10 to 20", F2498&lt;= 40, "20 to 40", F2498 &lt;= 50, "40 to 50", F2498 &gt; 50, "&gt;50" )</f>
        <v>10 to 20</v>
      </c>
    </row>
    <row r="2499" spans="1:15" ht="15" customHeight="1" x14ac:dyDescent="0.3">
      <c r="A2499" t="s">
        <v>498</v>
      </c>
      <c r="B2499" s="1">
        <v>46212</v>
      </c>
      <c r="C2499" t="s">
        <v>430</v>
      </c>
      <c r="D2499">
        <v>2314</v>
      </c>
      <c r="E2499">
        <v>1</v>
      </c>
      <c r="F2499">
        <v>18.5</v>
      </c>
      <c r="G2499" t="s">
        <v>17</v>
      </c>
      <c r="I2499" t="str">
        <f t="shared" si="58"/>
        <v>2314_1</v>
      </c>
      <c r="J2499" t="s">
        <v>428</v>
      </c>
      <c r="K2499" t="s">
        <v>429</v>
      </c>
      <c r="L2499" t="str">
        <f>_xlfn.XLOOKUP(C2499, Table2[Species],Table2[Genus], "Code Not Found")</f>
        <v>Tsuga</v>
      </c>
      <c r="M2499" t="str">
        <f>_xlfn.XLOOKUP(C2499, Table2[Species],Table2[Sp. Name], "Code Not Found")</f>
        <v>canadensis</v>
      </c>
      <c r="N2499" t="str">
        <f>_xlfn.XLOOKUP(C2499,Table2[Species],Table2[Family],"Code Not Found")</f>
        <v>Pinaceae</v>
      </c>
      <c r="O2499" t="str" cm="1">
        <f t="array" ref="O2499">_xlfn.IFS(F2499="","",F2499&lt;=5,"0 to 5",F2499&lt;=10,"5.1 to 10",F2499&lt;=20,"10 to 20", F2499&lt;= 40, "20 to 40", F2499 &lt;= 50, "40 to 50", F2499 &gt; 50, "&gt;50" )</f>
        <v>10 to 20</v>
      </c>
    </row>
    <row r="2500" spans="1:15" ht="15" customHeight="1" x14ac:dyDescent="0.3">
      <c r="A2500" t="s">
        <v>498</v>
      </c>
      <c r="B2500" s="1">
        <v>46212</v>
      </c>
      <c r="C2500" t="s">
        <v>64</v>
      </c>
      <c r="D2500">
        <v>2315</v>
      </c>
      <c r="E2500">
        <v>1</v>
      </c>
      <c r="F2500">
        <v>10.199999999999999</v>
      </c>
      <c r="G2500" t="s">
        <v>30</v>
      </c>
      <c r="H2500" t="s">
        <v>99</v>
      </c>
      <c r="I2500" t="str">
        <f t="shared" si="58"/>
        <v>2315_1</v>
      </c>
      <c r="J2500" t="s">
        <v>428</v>
      </c>
      <c r="K2500" t="s">
        <v>429</v>
      </c>
      <c r="L2500" t="str">
        <f>_xlfn.XLOOKUP(C2500, Table2[Species],Table2[Genus], "Code Not Found")</f>
        <v>Fagus</v>
      </c>
      <c r="M2500" t="str">
        <f>_xlfn.XLOOKUP(C2500, Table2[Species],Table2[Sp. Name], "Code Not Found")</f>
        <v>grandifolia</v>
      </c>
      <c r="N2500" t="str">
        <f>_xlfn.XLOOKUP(C2500,Table2[Species],Table2[Family],"Code Not Found")</f>
        <v>Fagaceae</v>
      </c>
      <c r="O2500" t="str" cm="1">
        <f t="array" ref="O2500">_xlfn.IFS(F2500="","",F2500&lt;=5,"0 to 5",F2500&lt;=10,"5.1 to 10",F2500&lt;=20,"10 to 20", F2500&lt;= 40, "20 to 40", F2500 &lt;= 50, "40 to 50", F2500 &gt; 50, "&gt;50" )</f>
        <v>10 to 20</v>
      </c>
    </row>
    <row r="2501" spans="1:15" ht="15" customHeight="1" x14ac:dyDescent="0.3">
      <c r="A2501" t="s">
        <v>498</v>
      </c>
      <c r="B2501" s="1">
        <v>46212</v>
      </c>
      <c r="C2501" t="s">
        <v>59</v>
      </c>
      <c r="D2501">
        <v>2316</v>
      </c>
      <c r="E2501">
        <v>1</v>
      </c>
      <c r="F2501">
        <v>27.2</v>
      </c>
      <c r="G2501" t="s">
        <v>21</v>
      </c>
      <c r="I2501" t="str">
        <f t="shared" si="58"/>
        <v>2316_1</v>
      </c>
      <c r="J2501" t="s">
        <v>428</v>
      </c>
      <c r="K2501" t="s">
        <v>429</v>
      </c>
      <c r="L2501" t="str">
        <f>_xlfn.XLOOKUP(C2501, Table2[Species],Table2[Genus], "Code Not Found")</f>
        <v>Nyssa</v>
      </c>
      <c r="M2501" t="str">
        <f>_xlfn.XLOOKUP(C2501, Table2[Species],Table2[Sp. Name], "Code Not Found")</f>
        <v>sylvatica</v>
      </c>
      <c r="N2501" t="str">
        <f>_xlfn.XLOOKUP(C2501,Table2[Species],Table2[Family],"Code Not Found")</f>
        <v>Nyssaceae</v>
      </c>
      <c r="O2501" t="str" cm="1">
        <f t="array" ref="O2501">_xlfn.IFS(F2501="","",F2501&lt;=5,"0 to 5",F2501&lt;=10,"5.1 to 10",F2501&lt;=20,"10 to 20", F2501&lt;= 40, "20 to 40", F2501 &lt;= 50, "40 to 50", F2501 &gt; 50, "&gt;50" )</f>
        <v>20 to 40</v>
      </c>
    </row>
    <row r="2502" spans="1:15" ht="15" customHeight="1" x14ac:dyDescent="0.3">
      <c r="A2502" t="s">
        <v>498</v>
      </c>
      <c r="B2502" s="1">
        <v>46212</v>
      </c>
      <c r="C2502" t="s">
        <v>235</v>
      </c>
      <c r="D2502">
        <v>2317</v>
      </c>
      <c r="E2502">
        <v>1</v>
      </c>
      <c r="F2502">
        <v>3</v>
      </c>
      <c r="G2502" t="s">
        <v>57</v>
      </c>
      <c r="H2502" t="s">
        <v>467</v>
      </c>
      <c r="I2502" t="str">
        <f t="shared" si="58"/>
        <v>2317_1</v>
      </c>
      <c r="J2502" t="s">
        <v>428</v>
      </c>
      <c r="K2502" t="s">
        <v>429</v>
      </c>
      <c r="L2502" t="str">
        <f>_xlfn.XLOOKUP(C2502, Table2[Species],Table2[Genus], "Code Not Found")</f>
        <v>Carpinus</v>
      </c>
      <c r="M2502" t="str">
        <f>_xlfn.XLOOKUP(C2502, Table2[Species],Table2[Sp. Name], "Code Not Found")</f>
        <v>caroliniana</v>
      </c>
      <c r="N2502" t="str">
        <f>_xlfn.XLOOKUP(C2502,Table2[Species],Table2[Family],"Code Not Found")</f>
        <v>Betulaceae</v>
      </c>
      <c r="O2502" t="str" cm="1">
        <f t="array" ref="O2502">_xlfn.IFS(F2502="","",F2502&lt;=5,"0 to 5",F2502&lt;=10,"5.1 to 10",F2502&lt;=20,"10 to 20", F2502&lt;= 40, "20 to 40", F2502 &lt;= 50, "40 to 50", F2502 &gt; 50, "&gt;50" )</f>
        <v>0 to 5</v>
      </c>
    </row>
    <row r="2503" spans="1:15" ht="15" customHeight="1" x14ac:dyDescent="0.3">
      <c r="A2503" t="s">
        <v>498</v>
      </c>
      <c r="B2503" s="1">
        <v>46212</v>
      </c>
      <c r="C2503" t="s">
        <v>64</v>
      </c>
      <c r="D2503">
        <v>2318</v>
      </c>
      <c r="E2503">
        <v>1</v>
      </c>
      <c r="F2503">
        <v>4.7</v>
      </c>
      <c r="G2503" t="s">
        <v>531</v>
      </c>
      <c r="H2503" t="s">
        <v>99</v>
      </c>
      <c r="I2503" t="str">
        <f t="shared" si="58"/>
        <v>2318_1</v>
      </c>
      <c r="J2503" t="s">
        <v>428</v>
      </c>
      <c r="K2503" t="s">
        <v>429</v>
      </c>
      <c r="L2503" t="str">
        <f>_xlfn.XLOOKUP(C2503, Table2[Species],Table2[Genus], "Code Not Found")</f>
        <v>Fagus</v>
      </c>
      <c r="M2503" t="str">
        <f>_xlfn.XLOOKUP(C2503, Table2[Species],Table2[Sp. Name], "Code Not Found")</f>
        <v>grandifolia</v>
      </c>
      <c r="N2503" t="str">
        <f>_xlfn.XLOOKUP(C2503,Table2[Species],Table2[Family],"Code Not Found")</f>
        <v>Fagaceae</v>
      </c>
      <c r="O2503" t="str" cm="1">
        <f t="array" ref="O2503">_xlfn.IFS(F2503="","",F2503&lt;=5,"0 to 5",F2503&lt;=10,"5.1 to 10",F2503&lt;=20,"10 to 20", F2503&lt;= 40, "20 to 40", F2503 &lt;= 50, "40 to 50", F2503 &gt; 50, "&gt;50" )</f>
        <v>0 to 5</v>
      </c>
    </row>
    <row r="2504" spans="1:15" ht="15" customHeight="1" x14ac:dyDescent="0.3">
      <c r="A2504" t="s">
        <v>532</v>
      </c>
      <c r="B2504" s="1">
        <v>46213</v>
      </c>
      <c r="C2504" t="s">
        <v>64</v>
      </c>
      <c r="D2504">
        <v>2319</v>
      </c>
      <c r="E2504">
        <v>1</v>
      </c>
      <c r="F2504">
        <v>18.5</v>
      </c>
      <c r="G2504" t="s">
        <v>21</v>
      </c>
      <c r="I2504" t="str">
        <f t="shared" ref="I2504:I2546" si="59">D2504&amp;"_"&amp;E2504</f>
        <v>2319_1</v>
      </c>
      <c r="J2504" t="s">
        <v>533</v>
      </c>
      <c r="K2504" t="s">
        <v>429</v>
      </c>
      <c r="L2504" t="str">
        <f>_xlfn.XLOOKUP(C2504, Table2[Species],Table2[Genus], "Code Not Found")</f>
        <v>Fagus</v>
      </c>
      <c r="M2504" t="str">
        <f>_xlfn.XLOOKUP(C2504, Table2[Species],Table2[Sp. Name], "Code Not Found")</f>
        <v>grandifolia</v>
      </c>
      <c r="N2504" t="str">
        <f>_xlfn.XLOOKUP(C2504,Table2[Species],Table2[Family],"Code Not Found")</f>
        <v>Fagaceae</v>
      </c>
      <c r="O2504" t="str" cm="1">
        <f t="array" ref="O2504">_xlfn.IFS(F2504="","",F2504&lt;=5,"0 to 5",F2504&lt;=10,"5.1 to 10",F2504&lt;=20,"10 to 20", F2504&lt;= 40, "20 to 40", F2504 &lt;= 50, "40 to 50", F2504 &gt; 50, "&gt;50" )</f>
        <v>10 to 20</v>
      </c>
    </row>
    <row r="2505" spans="1:15" ht="15" customHeight="1" x14ac:dyDescent="0.3">
      <c r="A2505" t="s">
        <v>532</v>
      </c>
      <c r="B2505" s="1">
        <v>46213</v>
      </c>
      <c r="C2505" t="s">
        <v>430</v>
      </c>
      <c r="D2505">
        <v>2320</v>
      </c>
      <c r="E2505">
        <v>1</v>
      </c>
      <c r="F2505">
        <v>8.5</v>
      </c>
      <c r="G2505" t="s">
        <v>47</v>
      </c>
      <c r="I2505" t="str">
        <f t="shared" si="59"/>
        <v>2320_1</v>
      </c>
      <c r="J2505" t="s">
        <v>533</v>
      </c>
      <c r="K2505" t="s">
        <v>429</v>
      </c>
      <c r="L2505" t="str">
        <f>_xlfn.XLOOKUP(C2505, Table2[Species],Table2[Genus], "Code Not Found")</f>
        <v>Tsuga</v>
      </c>
      <c r="M2505" t="str">
        <f>_xlfn.XLOOKUP(C2505, Table2[Species],Table2[Sp. Name], "Code Not Found")</f>
        <v>canadensis</v>
      </c>
      <c r="N2505" t="str">
        <f>_xlfn.XLOOKUP(C2505,Table2[Species],Table2[Family],"Code Not Found")</f>
        <v>Pinaceae</v>
      </c>
      <c r="O2505" t="str" cm="1">
        <f t="array" ref="O2505">_xlfn.IFS(F2505="","",F2505&lt;=5,"0 to 5",F2505&lt;=10,"5.1 to 10",F2505&lt;=20,"10 to 20", F2505&lt;= 40, "20 to 40", F2505 &lt;= 50, "40 to 50", F2505 &gt; 50, "&gt;50" )</f>
        <v>5.1 to 10</v>
      </c>
    </row>
    <row r="2506" spans="1:15" ht="15" customHeight="1" x14ac:dyDescent="0.3">
      <c r="A2506" t="s">
        <v>532</v>
      </c>
      <c r="B2506" s="1">
        <v>46213</v>
      </c>
      <c r="C2506" t="s">
        <v>430</v>
      </c>
      <c r="D2506">
        <v>2321</v>
      </c>
      <c r="E2506">
        <v>1</v>
      </c>
      <c r="F2506">
        <v>21.8</v>
      </c>
      <c r="G2506" t="s">
        <v>21</v>
      </c>
      <c r="I2506" t="str">
        <f t="shared" si="59"/>
        <v>2321_1</v>
      </c>
      <c r="J2506" t="s">
        <v>533</v>
      </c>
      <c r="K2506" t="s">
        <v>429</v>
      </c>
      <c r="L2506" t="str">
        <f>_xlfn.XLOOKUP(C2506, Table2[Species],Table2[Genus], "Code Not Found")</f>
        <v>Tsuga</v>
      </c>
      <c r="M2506" t="str">
        <f>_xlfn.XLOOKUP(C2506, Table2[Species],Table2[Sp. Name], "Code Not Found")</f>
        <v>canadensis</v>
      </c>
      <c r="N2506" t="str">
        <f>_xlfn.XLOOKUP(C2506,Table2[Species],Table2[Family],"Code Not Found")</f>
        <v>Pinaceae</v>
      </c>
      <c r="O2506" t="str" cm="1">
        <f t="array" ref="O2506">_xlfn.IFS(F2506="","",F2506&lt;=5,"0 to 5",F2506&lt;=10,"5.1 to 10",F2506&lt;=20,"10 to 20", F2506&lt;= 40, "20 to 40", F2506 &lt;= 50, "40 to 50", F2506 &gt; 50, "&gt;50" )</f>
        <v>20 to 40</v>
      </c>
    </row>
    <row r="2507" spans="1:15" ht="15" customHeight="1" x14ac:dyDescent="0.3">
      <c r="A2507" t="s">
        <v>532</v>
      </c>
      <c r="B2507" s="1">
        <v>46213</v>
      </c>
      <c r="C2507" t="s">
        <v>64</v>
      </c>
      <c r="D2507">
        <v>2322</v>
      </c>
      <c r="E2507">
        <v>1</v>
      </c>
      <c r="F2507">
        <v>4</v>
      </c>
      <c r="G2507" t="s">
        <v>21</v>
      </c>
      <c r="I2507" t="str">
        <f t="shared" si="59"/>
        <v>2322_1</v>
      </c>
      <c r="J2507" t="s">
        <v>533</v>
      </c>
      <c r="K2507" t="s">
        <v>429</v>
      </c>
      <c r="L2507" t="str">
        <f>_xlfn.XLOOKUP(C2507, Table2[Species],Table2[Genus], "Code Not Found")</f>
        <v>Fagus</v>
      </c>
      <c r="M2507" t="str">
        <f>_xlfn.XLOOKUP(C2507, Table2[Species],Table2[Sp. Name], "Code Not Found")</f>
        <v>grandifolia</v>
      </c>
      <c r="N2507" t="str">
        <f>_xlfn.XLOOKUP(C2507,Table2[Species],Table2[Family],"Code Not Found")</f>
        <v>Fagaceae</v>
      </c>
      <c r="O2507" t="str" cm="1">
        <f t="array" ref="O2507">_xlfn.IFS(F2507="","",F2507&lt;=5,"0 to 5",F2507&lt;=10,"5.1 to 10",F2507&lt;=20,"10 to 20", F2507&lt;= 40, "20 to 40", F2507 &lt;= 50, "40 to 50", F2507 &gt; 50, "&gt;50" )</f>
        <v>0 to 5</v>
      </c>
    </row>
    <row r="2508" spans="1:15" ht="15" customHeight="1" x14ac:dyDescent="0.3">
      <c r="A2508" t="s">
        <v>532</v>
      </c>
      <c r="B2508" s="1">
        <v>46213</v>
      </c>
      <c r="C2508" t="s">
        <v>64</v>
      </c>
      <c r="D2508">
        <v>2323</v>
      </c>
      <c r="E2508">
        <v>1</v>
      </c>
      <c r="F2508">
        <v>2.2999999999999998</v>
      </c>
      <c r="G2508" t="s">
        <v>17</v>
      </c>
      <c r="I2508" t="str">
        <f t="shared" si="59"/>
        <v>2323_1</v>
      </c>
      <c r="J2508" t="s">
        <v>533</v>
      </c>
      <c r="K2508" t="s">
        <v>429</v>
      </c>
      <c r="L2508" t="str">
        <f>_xlfn.XLOOKUP(C2508, Table2[Species],Table2[Genus], "Code Not Found")</f>
        <v>Fagus</v>
      </c>
      <c r="M2508" t="str">
        <f>_xlfn.XLOOKUP(C2508, Table2[Species],Table2[Sp. Name], "Code Not Found")</f>
        <v>grandifolia</v>
      </c>
      <c r="N2508" t="str">
        <f>_xlfn.XLOOKUP(C2508,Table2[Species],Table2[Family],"Code Not Found")</f>
        <v>Fagaceae</v>
      </c>
      <c r="O2508" t="str" cm="1">
        <f t="array" ref="O2508">_xlfn.IFS(F2508="","",F2508&lt;=5,"0 to 5",F2508&lt;=10,"5.1 to 10",F2508&lt;=20,"10 to 20", F2508&lt;= 40, "20 to 40", F2508 &lt;= 50, "40 to 50", F2508 &gt; 50, "&gt;50" )</f>
        <v>0 to 5</v>
      </c>
    </row>
    <row r="2509" spans="1:15" ht="15" customHeight="1" x14ac:dyDescent="0.3">
      <c r="A2509" t="s">
        <v>532</v>
      </c>
      <c r="B2509" s="1">
        <v>46213</v>
      </c>
      <c r="C2509" t="s">
        <v>430</v>
      </c>
      <c r="D2509">
        <v>2324</v>
      </c>
      <c r="E2509">
        <v>1</v>
      </c>
      <c r="F2509">
        <v>8.3000000000000007</v>
      </c>
      <c r="G2509" t="s">
        <v>17</v>
      </c>
      <c r="I2509" t="str">
        <f t="shared" si="59"/>
        <v>2324_1</v>
      </c>
      <c r="J2509" t="s">
        <v>533</v>
      </c>
      <c r="K2509" t="s">
        <v>429</v>
      </c>
      <c r="L2509" t="str">
        <f>_xlfn.XLOOKUP(C2509, Table2[Species],Table2[Genus], "Code Not Found")</f>
        <v>Tsuga</v>
      </c>
      <c r="M2509" t="str">
        <f>_xlfn.XLOOKUP(C2509, Table2[Species],Table2[Sp. Name], "Code Not Found")</f>
        <v>canadensis</v>
      </c>
      <c r="N2509" t="str">
        <f>_xlfn.XLOOKUP(C2509,Table2[Species],Table2[Family],"Code Not Found")</f>
        <v>Pinaceae</v>
      </c>
      <c r="O2509" t="str" cm="1">
        <f t="array" ref="O2509">_xlfn.IFS(F2509="","",F2509&lt;=5,"0 to 5",F2509&lt;=10,"5.1 to 10",F2509&lt;=20,"10 to 20", F2509&lt;= 40, "20 to 40", F2509 &lt;= 50, "40 to 50", F2509 &gt; 50, "&gt;50" )</f>
        <v>5.1 to 10</v>
      </c>
    </row>
    <row r="2510" spans="1:15" ht="15" customHeight="1" x14ac:dyDescent="0.3">
      <c r="A2510" t="s">
        <v>532</v>
      </c>
      <c r="B2510" s="1">
        <v>46213</v>
      </c>
      <c r="C2510" t="s">
        <v>64</v>
      </c>
      <c r="D2510">
        <v>2325</v>
      </c>
      <c r="E2510">
        <v>1</v>
      </c>
      <c r="F2510">
        <v>56.1</v>
      </c>
      <c r="G2510" t="s">
        <v>32</v>
      </c>
      <c r="I2510" t="str">
        <f t="shared" si="59"/>
        <v>2325_1</v>
      </c>
      <c r="J2510" t="s">
        <v>533</v>
      </c>
      <c r="K2510" t="s">
        <v>429</v>
      </c>
      <c r="L2510" t="str">
        <f>_xlfn.XLOOKUP(C2510, Table2[Species],Table2[Genus], "Code Not Found")</f>
        <v>Fagus</v>
      </c>
      <c r="M2510" t="str">
        <f>_xlfn.XLOOKUP(C2510, Table2[Species],Table2[Sp. Name], "Code Not Found")</f>
        <v>grandifolia</v>
      </c>
      <c r="N2510" t="str">
        <f>_xlfn.XLOOKUP(C2510,Table2[Species],Table2[Family],"Code Not Found")</f>
        <v>Fagaceae</v>
      </c>
      <c r="O2510" t="str" cm="1">
        <f t="array" ref="O2510">_xlfn.IFS(F2510="","",F2510&lt;=5,"0 to 5",F2510&lt;=10,"5.1 to 10",F2510&lt;=20,"10 to 20", F2510&lt;= 40, "20 to 40", F2510 &lt;= 50, "40 to 50", F2510 &gt; 50, "&gt;50" )</f>
        <v>&gt;50</v>
      </c>
    </row>
    <row r="2511" spans="1:15" ht="15" customHeight="1" x14ac:dyDescent="0.3">
      <c r="A2511" t="s">
        <v>532</v>
      </c>
      <c r="B2511" s="1">
        <v>46213</v>
      </c>
      <c r="C2511" t="s">
        <v>64</v>
      </c>
      <c r="D2511">
        <v>2325</v>
      </c>
      <c r="E2511">
        <v>2</v>
      </c>
      <c r="F2511">
        <v>4.2</v>
      </c>
      <c r="G2511" t="s">
        <v>32</v>
      </c>
      <c r="H2511" t="s">
        <v>464</v>
      </c>
      <c r="I2511" t="str">
        <f t="shared" si="59"/>
        <v>2325_2</v>
      </c>
      <c r="J2511" t="s">
        <v>533</v>
      </c>
      <c r="K2511" t="s">
        <v>429</v>
      </c>
      <c r="L2511" t="str">
        <f>_xlfn.XLOOKUP(C2511, Table2[Species],Table2[Genus], "Code Not Found")</f>
        <v>Fagus</v>
      </c>
      <c r="M2511" t="str">
        <f>_xlfn.XLOOKUP(C2511, Table2[Species],Table2[Sp. Name], "Code Not Found")</f>
        <v>grandifolia</v>
      </c>
      <c r="N2511" t="str">
        <f>_xlfn.XLOOKUP(C2511,Table2[Species],Table2[Family],"Code Not Found")</f>
        <v>Fagaceae</v>
      </c>
      <c r="O2511" t="str" cm="1">
        <f t="array" ref="O2511">_xlfn.IFS(F2511="","",F2511&lt;=5,"0 to 5",F2511&lt;=10,"5.1 to 10",F2511&lt;=20,"10 to 20", F2511&lt;= 40, "20 to 40", F2511 &lt;= 50, "40 to 50", F2511 &gt; 50, "&gt;50" )</f>
        <v>0 to 5</v>
      </c>
    </row>
    <row r="2512" spans="1:15" ht="15" customHeight="1" x14ac:dyDescent="0.3">
      <c r="A2512" t="s">
        <v>532</v>
      </c>
      <c r="B2512" s="1">
        <v>46213</v>
      </c>
      <c r="C2512" t="s">
        <v>64</v>
      </c>
      <c r="D2512">
        <v>2325</v>
      </c>
      <c r="E2512">
        <v>3</v>
      </c>
      <c r="F2512">
        <v>3.9</v>
      </c>
      <c r="G2512" t="s">
        <v>32</v>
      </c>
      <c r="H2512" t="s">
        <v>464</v>
      </c>
      <c r="I2512" t="str">
        <f t="shared" si="59"/>
        <v>2325_3</v>
      </c>
      <c r="J2512" t="s">
        <v>533</v>
      </c>
      <c r="K2512" t="s">
        <v>429</v>
      </c>
      <c r="L2512" t="str">
        <f>_xlfn.XLOOKUP(C2512, Table2[Species],Table2[Genus], "Code Not Found")</f>
        <v>Fagus</v>
      </c>
      <c r="M2512" t="str">
        <f>_xlfn.XLOOKUP(C2512, Table2[Species],Table2[Sp. Name], "Code Not Found")</f>
        <v>grandifolia</v>
      </c>
      <c r="N2512" t="str">
        <f>_xlfn.XLOOKUP(C2512,Table2[Species],Table2[Family],"Code Not Found")</f>
        <v>Fagaceae</v>
      </c>
      <c r="O2512" t="str" cm="1">
        <f t="array" ref="O2512">_xlfn.IFS(F2512="","",F2512&lt;=5,"0 to 5",F2512&lt;=10,"5.1 to 10",F2512&lt;=20,"10 to 20", F2512&lt;= 40, "20 to 40", F2512 &lt;= 50, "40 to 50", F2512 &gt; 50, "&gt;50" )</f>
        <v>0 to 5</v>
      </c>
    </row>
    <row r="2513" spans="1:15" ht="15" customHeight="1" x14ac:dyDescent="0.3">
      <c r="A2513" t="s">
        <v>532</v>
      </c>
      <c r="B2513" s="1">
        <v>46213</v>
      </c>
      <c r="C2513" t="s">
        <v>64</v>
      </c>
      <c r="D2513">
        <v>2325</v>
      </c>
      <c r="E2513">
        <v>4</v>
      </c>
      <c r="F2513">
        <v>3.5</v>
      </c>
      <c r="G2513" t="s">
        <v>463</v>
      </c>
      <c r="H2513" t="s">
        <v>464</v>
      </c>
      <c r="I2513" t="str">
        <f t="shared" si="59"/>
        <v>2325_4</v>
      </c>
      <c r="J2513" t="s">
        <v>533</v>
      </c>
      <c r="K2513" t="s">
        <v>429</v>
      </c>
      <c r="L2513" t="str">
        <f>_xlfn.XLOOKUP(C2513, Table2[Species],Table2[Genus], "Code Not Found")</f>
        <v>Fagus</v>
      </c>
      <c r="M2513" t="str">
        <f>_xlfn.XLOOKUP(C2513, Table2[Species],Table2[Sp. Name], "Code Not Found")</f>
        <v>grandifolia</v>
      </c>
      <c r="N2513" t="str">
        <f>_xlfn.XLOOKUP(C2513,Table2[Species],Table2[Family],"Code Not Found")</f>
        <v>Fagaceae</v>
      </c>
      <c r="O2513" t="str" cm="1">
        <f t="array" ref="O2513">_xlfn.IFS(F2513="","",F2513&lt;=5,"0 to 5",F2513&lt;=10,"5.1 to 10",F2513&lt;=20,"10 to 20", F2513&lt;= 40, "20 to 40", F2513 &lt;= 50, "40 to 50", F2513 &gt; 50, "&gt;50" )</f>
        <v>0 to 5</v>
      </c>
    </row>
    <row r="2514" spans="1:15" ht="15" customHeight="1" x14ac:dyDescent="0.3">
      <c r="A2514" t="s">
        <v>532</v>
      </c>
      <c r="B2514" s="1">
        <v>46213</v>
      </c>
      <c r="C2514" t="s">
        <v>64</v>
      </c>
      <c r="D2514">
        <v>2325</v>
      </c>
      <c r="E2514">
        <v>5</v>
      </c>
      <c r="F2514">
        <v>2</v>
      </c>
      <c r="G2514" t="s">
        <v>32</v>
      </c>
      <c r="H2514" t="s">
        <v>464</v>
      </c>
      <c r="I2514" t="str">
        <f t="shared" si="59"/>
        <v>2325_5</v>
      </c>
      <c r="J2514" t="s">
        <v>533</v>
      </c>
      <c r="K2514" t="s">
        <v>429</v>
      </c>
      <c r="L2514" t="str">
        <f>_xlfn.XLOOKUP(C2514, Table2[Species],Table2[Genus], "Code Not Found")</f>
        <v>Fagus</v>
      </c>
      <c r="M2514" t="str">
        <f>_xlfn.XLOOKUP(C2514, Table2[Species],Table2[Sp. Name], "Code Not Found")</f>
        <v>grandifolia</v>
      </c>
      <c r="N2514" t="str">
        <f>_xlfn.XLOOKUP(C2514,Table2[Species],Table2[Family],"Code Not Found")</f>
        <v>Fagaceae</v>
      </c>
      <c r="O2514" t="str" cm="1">
        <f t="array" ref="O2514">_xlfn.IFS(F2514="","",F2514&lt;=5,"0 to 5",F2514&lt;=10,"5.1 to 10",F2514&lt;=20,"10 to 20", F2514&lt;= 40, "20 to 40", F2514 &lt;= 50, "40 to 50", F2514 &gt; 50, "&gt;50" )</f>
        <v>0 to 5</v>
      </c>
    </row>
    <row r="2515" spans="1:15" ht="15" customHeight="1" x14ac:dyDescent="0.3">
      <c r="A2515" t="s">
        <v>532</v>
      </c>
      <c r="B2515" s="1">
        <v>46213</v>
      </c>
      <c r="C2515" t="s">
        <v>64</v>
      </c>
      <c r="D2515">
        <v>2325</v>
      </c>
      <c r="E2515">
        <v>6</v>
      </c>
      <c r="F2515">
        <v>1.6</v>
      </c>
      <c r="G2515" t="s">
        <v>32</v>
      </c>
      <c r="H2515" t="s">
        <v>464</v>
      </c>
      <c r="I2515" t="str">
        <f t="shared" si="59"/>
        <v>2325_6</v>
      </c>
      <c r="J2515" t="s">
        <v>533</v>
      </c>
      <c r="K2515" t="s">
        <v>429</v>
      </c>
      <c r="L2515" t="str">
        <f>_xlfn.XLOOKUP(C2515, Table2[Species],Table2[Genus], "Code Not Found")</f>
        <v>Fagus</v>
      </c>
      <c r="M2515" t="str">
        <f>_xlfn.XLOOKUP(C2515, Table2[Species],Table2[Sp. Name], "Code Not Found")</f>
        <v>grandifolia</v>
      </c>
      <c r="N2515" t="str">
        <f>_xlfn.XLOOKUP(C2515,Table2[Species],Table2[Family],"Code Not Found")</f>
        <v>Fagaceae</v>
      </c>
      <c r="O2515" t="str" cm="1">
        <f t="array" ref="O2515">_xlfn.IFS(F2515="","",F2515&lt;=5,"0 to 5",F2515&lt;=10,"5.1 to 10",F2515&lt;=20,"10 to 20", F2515&lt;= 40, "20 to 40", F2515 &lt;= 50, "40 to 50", F2515 &gt; 50, "&gt;50" )</f>
        <v>0 to 5</v>
      </c>
    </row>
    <row r="2516" spans="1:15" ht="15" customHeight="1" x14ac:dyDescent="0.3">
      <c r="A2516" t="s">
        <v>532</v>
      </c>
      <c r="B2516" s="1">
        <v>46213</v>
      </c>
      <c r="C2516" t="s">
        <v>64</v>
      </c>
      <c r="D2516">
        <v>2326</v>
      </c>
      <c r="E2516">
        <v>1</v>
      </c>
      <c r="F2516">
        <v>2.6</v>
      </c>
      <c r="G2516" t="s">
        <v>21</v>
      </c>
      <c r="I2516" t="str">
        <f t="shared" si="59"/>
        <v>2326_1</v>
      </c>
      <c r="J2516" t="s">
        <v>533</v>
      </c>
      <c r="K2516" t="s">
        <v>429</v>
      </c>
      <c r="L2516" t="str">
        <f>_xlfn.XLOOKUP(C2516, Table2[Species],Table2[Genus], "Code Not Found")</f>
        <v>Fagus</v>
      </c>
      <c r="M2516" t="str">
        <f>_xlfn.XLOOKUP(C2516, Table2[Species],Table2[Sp. Name], "Code Not Found")</f>
        <v>grandifolia</v>
      </c>
      <c r="N2516" t="str">
        <f>_xlfn.XLOOKUP(C2516,Table2[Species],Table2[Family],"Code Not Found")</f>
        <v>Fagaceae</v>
      </c>
      <c r="O2516" t="str" cm="1">
        <f t="array" ref="O2516">_xlfn.IFS(F2516="","",F2516&lt;=5,"0 to 5",F2516&lt;=10,"5.1 to 10",F2516&lt;=20,"10 to 20", F2516&lt;= 40, "20 to 40", F2516 &lt;= 50, "40 to 50", F2516 &gt; 50, "&gt;50" )</f>
        <v>0 to 5</v>
      </c>
    </row>
    <row r="2517" spans="1:15" ht="15" customHeight="1" x14ac:dyDescent="0.3">
      <c r="A2517" t="s">
        <v>532</v>
      </c>
      <c r="B2517" s="1">
        <v>46213</v>
      </c>
      <c r="C2517" t="s">
        <v>430</v>
      </c>
      <c r="D2517">
        <v>2327</v>
      </c>
      <c r="E2517">
        <v>1</v>
      </c>
      <c r="F2517">
        <v>18.600000000000001</v>
      </c>
      <c r="G2517" t="s">
        <v>21</v>
      </c>
      <c r="I2517" t="str">
        <f t="shared" si="59"/>
        <v>2327_1</v>
      </c>
      <c r="J2517" t="s">
        <v>533</v>
      </c>
      <c r="K2517" t="s">
        <v>429</v>
      </c>
      <c r="L2517" t="str">
        <f>_xlfn.XLOOKUP(C2517, Table2[Species],Table2[Genus], "Code Not Found")</f>
        <v>Tsuga</v>
      </c>
      <c r="M2517" t="str">
        <f>_xlfn.XLOOKUP(C2517, Table2[Species],Table2[Sp. Name], "Code Not Found")</f>
        <v>canadensis</v>
      </c>
      <c r="N2517" t="str">
        <f>_xlfn.XLOOKUP(C2517,Table2[Species],Table2[Family],"Code Not Found")</f>
        <v>Pinaceae</v>
      </c>
      <c r="O2517" t="str" cm="1">
        <f t="array" ref="O2517">_xlfn.IFS(F2517="","",F2517&lt;=5,"0 to 5",F2517&lt;=10,"5.1 to 10",F2517&lt;=20,"10 to 20", F2517&lt;= 40, "20 to 40", F2517 &lt;= 50, "40 to 50", F2517 &gt; 50, "&gt;50" )</f>
        <v>10 to 20</v>
      </c>
    </row>
    <row r="2518" spans="1:15" ht="15" customHeight="1" x14ac:dyDescent="0.3">
      <c r="A2518" t="s">
        <v>532</v>
      </c>
      <c r="B2518" s="1">
        <v>46213</v>
      </c>
      <c r="C2518" t="s">
        <v>64</v>
      </c>
      <c r="D2518">
        <v>2328</v>
      </c>
      <c r="E2518">
        <v>1</v>
      </c>
      <c r="F2518">
        <v>19.899999999999999</v>
      </c>
      <c r="G2518" t="s">
        <v>21</v>
      </c>
      <c r="I2518" t="str">
        <f t="shared" si="59"/>
        <v>2328_1</v>
      </c>
      <c r="J2518" t="s">
        <v>533</v>
      </c>
      <c r="K2518" t="s">
        <v>429</v>
      </c>
      <c r="L2518" t="str">
        <f>_xlfn.XLOOKUP(C2518, Table2[Species],Table2[Genus], "Code Not Found")</f>
        <v>Fagus</v>
      </c>
      <c r="M2518" t="str">
        <f>_xlfn.XLOOKUP(C2518, Table2[Species],Table2[Sp. Name], "Code Not Found")</f>
        <v>grandifolia</v>
      </c>
      <c r="N2518" t="str">
        <f>_xlfn.XLOOKUP(C2518,Table2[Species],Table2[Family],"Code Not Found")</f>
        <v>Fagaceae</v>
      </c>
      <c r="O2518" t="str" cm="1">
        <f t="array" ref="O2518">_xlfn.IFS(F2518="","",F2518&lt;=5,"0 to 5",F2518&lt;=10,"5.1 to 10",F2518&lt;=20,"10 to 20", F2518&lt;= 40, "20 to 40", F2518 &lt;= 50, "40 to 50", F2518 &gt; 50, "&gt;50" )</f>
        <v>10 to 20</v>
      </c>
    </row>
    <row r="2519" spans="1:15" ht="15" customHeight="1" x14ac:dyDescent="0.3">
      <c r="A2519" t="s">
        <v>532</v>
      </c>
      <c r="B2519" s="1">
        <v>46213</v>
      </c>
      <c r="C2519" t="s">
        <v>64</v>
      </c>
      <c r="D2519">
        <v>2329</v>
      </c>
      <c r="E2519">
        <v>1</v>
      </c>
      <c r="F2519">
        <v>1.3</v>
      </c>
      <c r="G2519" t="s">
        <v>17</v>
      </c>
      <c r="H2519" t="s">
        <v>534</v>
      </c>
      <c r="I2519" t="str">
        <f t="shared" si="59"/>
        <v>2329_1</v>
      </c>
      <c r="J2519" t="s">
        <v>533</v>
      </c>
      <c r="K2519" t="s">
        <v>429</v>
      </c>
      <c r="L2519" t="str">
        <f>_xlfn.XLOOKUP(C2519, Table2[Species],Table2[Genus], "Code Not Found")</f>
        <v>Fagus</v>
      </c>
      <c r="M2519" t="str">
        <f>_xlfn.XLOOKUP(C2519, Table2[Species],Table2[Sp. Name], "Code Not Found")</f>
        <v>grandifolia</v>
      </c>
      <c r="N2519" t="str">
        <f>_xlfn.XLOOKUP(C2519,Table2[Species],Table2[Family],"Code Not Found")</f>
        <v>Fagaceae</v>
      </c>
      <c r="O2519" t="str" cm="1">
        <f t="array" ref="O2519">_xlfn.IFS(F2519="","",F2519&lt;=5,"0 to 5",F2519&lt;=10,"5.1 to 10",F2519&lt;=20,"10 to 20", F2519&lt;= 40, "20 to 40", F2519 &lt;= 50, "40 to 50", F2519 &gt; 50, "&gt;50" )</f>
        <v>0 to 5</v>
      </c>
    </row>
    <row r="2520" spans="1:15" ht="15" customHeight="1" x14ac:dyDescent="0.3">
      <c r="A2520" t="s">
        <v>532</v>
      </c>
      <c r="B2520" s="1">
        <v>46213</v>
      </c>
      <c r="C2520" t="s">
        <v>430</v>
      </c>
      <c r="D2520">
        <v>2330</v>
      </c>
      <c r="E2520">
        <v>1</v>
      </c>
      <c r="F2520">
        <v>14.4</v>
      </c>
      <c r="G2520" t="s">
        <v>17</v>
      </c>
      <c r="I2520" t="str">
        <f t="shared" si="59"/>
        <v>2330_1</v>
      </c>
      <c r="J2520" t="s">
        <v>533</v>
      </c>
      <c r="K2520" t="s">
        <v>429</v>
      </c>
      <c r="L2520" t="str">
        <f>_xlfn.XLOOKUP(C2520, Table2[Species],Table2[Genus], "Code Not Found")</f>
        <v>Tsuga</v>
      </c>
      <c r="M2520" t="str">
        <f>_xlfn.XLOOKUP(C2520, Table2[Species],Table2[Sp. Name], "Code Not Found")</f>
        <v>canadensis</v>
      </c>
      <c r="N2520" t="str">
        <f>_xlfn.XLOOKUP(C2520,Table2[Species],Table2[Family],"Code Not Found")</f>
        <v>Pinaceae</v>
      </c>
      <c r="O2520" t="str" cm="1">
        <f t="array" ref="O2520">_xlfn.IFS(F2520="","",F2520&lt;=5,"0 to 5",F2520&lt;=10,"5.1 to 10",F2520&lt;=20,"10 to 20", F2520&lt;= 40, "20 to 40", F2520 &lt;= 50, "40 to 50", F2520 &gt; 50, "&gt;50" )</f>
        <v>10 to 20</v>
      </c>
    </row>
    <row r="2521" spans="1:15" ht="15" customHeight="1" x14ac:dyDescent="0.3">
      <c r="A2521" t="s">
        <v>532</v>
      </c>
      <c r="B2521" s="1">
        <v>46213</v>
      </c>
      <c r="C2521" t="s">
        <v>430</v>
      </c>
      <c r="D2521">
        <v>2331</v>
      </c>
      <c r="E2521">
        <v>1</v>
      </c>
      <c r="F2521">
        <v>10.199999999999999</v>
      </c>
      <c r="G2521" t="s">
        <v>47</v>
      </c>
      <c r="H2521" t="s">
        <v>347</v>
      </c>
      <c r="I2521" t="str">
        <f t="shared" si="59"/>
        <v>2331_1</v>
      </c>
      <c r="J2521" t="s">
        <v>533</v>
      </c>
      <c r="K2521" t="s">
        <v>429</v>
      </c>
      <c r="L2521" t="str">
        <f>_xlfn.XLOOKUP(C2521, Table2[Species],Table2[Genus], "Code Not Found")</f>
        <v>Tsuga</v>
      </c>
      <c r="M2521" t="str">
        <f>_xlfn.XLOOKUP(C2521, Table2[Species],Table2[Sp. Name], "Code Not Found")</f>
        <v>canadensis</v>
      </c>
      <c r="N2521" t="str">
        <f>_xlfn.XLOOKUP(C2521,Table2[Species],Table2[Family],"Code Not Found")</f>
        <v>Pinaceae</v>
      </c>
      <c r="O2521" t="str" cm="1">
        <f t="array" ref="O2521">_xlfn.IFS(F2521="","",F2521&lt;=5,"0 to 5",F2521&lt;=10,"5.1 to 10",F2521&lt;=20,"10 to 20", F2521&lt;= 40, "20 to 40", F2521 &lt;= 50, "40 to 50", F2521 &gt; 50, "&gt;50" )</f>
        <v>10 to 20</v>
      </c>
    </row>
    <row r="2522" spans="1:15" ht="15" customHeight="1" x14ac:dyDescent="0.3">
      <c r="A2522" t="s">
        <v>532</v>
      </c>
      <c r="B2522" s="1">
        <v>46213</v>
      </c>
      <c r="C2522" t="s">
        <v>430</v>
      </c>
      <c r="D2522">
        <v>2332</v>
      </c>
      <c r="E2522">
        <v>1</v>
      </c>
      <c r="F2522">
        <v>14.2</v>
      </c>
      <c r="G2522" t="s">
        <v>47</v>
      </c>
      <c r="H2522" t="s">
        <v>347</v>
      </c>
      <c r="I2522" t="str">
        <f t="shared" si="59"/>
        <v>2332_1</v>
      </c>
      <c r="J2522" t="s">
        <v>533</v>
      </c>
      <c r="K2522" t="s">
        <v>429</v>
      </c>
      <c r="L2522" t="str">
        <f>_xlfn.XLOOKUP(C2522, Table2[Species],Table2[Genus], "Code Not Found")</f>
        <v>Tsuga</v>
      </c>
      <c r="M2522" t="str">
        <f>_xlfn.XLOOKUP(C2522, Table2[Species],Table2[Sp. Name], "Code Not Found")</f>
        <v>canadensis</v>
      </c>
      <c r="N2522" t="str">
        <f>_xlfn.XLOOKUP(C2522,Table2[Species],Table2[Family],"Code Not Found")</f>
        <v>Pinaceae</v>
      </c>
      <c r="O2522" t="str" cm="1">
        <f t="array" ref="O2522">_xlfn.IFS(F2522="","",F2522&lt;=5,"0 to 5",F2522&lt;=10,"5.1 to 10",F2522&lt;=20,"10 to 20", F2522&lt;= 40, "20 to 40", F2522 &lt;= 50, "40 to 50", F2522 &gt; 50, "&gt;50" )</f>
        <v>10 to 20</v>
      </c>
    </row>
    <row r="2523" spans="1:15" ht="15" customHeight="1" x14ac:dyDescent="0.3">
      <c r="A2523" t="s">
        <v>532</v>
      </c>
      <c r="B2523" s="1">
        <v>46213</v>
      </c>
      <c r="C2523" t="s">
        <v>430</v>
      </c>
      <c r="D2523">
        <v>2333</v>
      </c>
      <c r="E2523">
        <v>1</v>
      </c>
      <c r="F2523">
        <v>10.1</v>
      </c>
      <c r="G2523" t="s">
        <v>17</v>
      </c>
      <c r="I2523" t="str">
        <f t="shared" si="59"/>
        <v>2333_1</v>
      </c>
      <c r="J2523" t="s">
        <v>533</v>
      </c>
      <c r="K2523" t="s">
        <v>429</v>
      </c>
      <c r="L2523" t="str">
        <f>_xlfn.XLOOKUP(C2523, Table2[Species],Table2[Genus], "Code Not Found")</f>
        <v>Tsuga</v>
      </c>
      <c r="M2523" t="str">
        <f>_xlfn.XLOOKUP(C2523, Table2[Species],Table2[Sp. Name], "Code Not Found")</f>
        <v>canadensis</v>
      </c>
      <c r="N2523" t="str">
        <f>_xlfn.XLOOKUP(C2523,Table2[Species],Table2[Family],"Code Not Found")</f>
        <v>Pinaceae</v>
      </c>
      <c r="O2523" t="str" cm="1">
        <f t="array" ref="O2523">_xlfn.IFS(F2523="","",F2523&lt;=5,"0 to 5",F2523&lt;=10,"5.1 to 10",F2523&lt;=20,"10 to 20", F2523&lt;= 40, "20 to 40", F2523 &lt;= 50, "40 to 50", F2523 &gt; 50, "&gt;50" )</f>
        <v>10 to 20</v>
      </c>
    </row>
    <row r="2524" spans="1:15" ht="15" customHeight="1" x14ac:dyDescent="0.3">
      <c r="A2524" t="s">
        <v>532</v>
      </c>
      <c r="B2524" s="1">
        <v>46213</v>
      </c>
      <c r="C2524" t="s">
        <v>430</v>
      </c>
      <c r="D2524">
        <v>2334</v>
      </c>
      <c r="E2524">
        <v>1</v>
      </c>
      <c r="F2524">
        <v>4.5</v>
      </c>
      <c r="G2524" t="s">
        <v>47</v>
      </c>
      <c r="H2524" t="s">
        <v>347</v>
      </c>
      <c r="I2524" t="str">
        <f t="shared" si="59"/>
        <v>2334_1</v>
      </c>
      <c r="J2524" t="s">
        <v>533</v>
      </c>
      <c r="K2524" t="s">
        <v>429</v>
      </c>
      <c r="L2524" t="str">
        <f>_xlfn.XLOOKUP(C2524, Table2[Species],Table2[Genus], "Code Not Found")</f>
        <v>Tsuga</v>
      </c>
      <c r="M2524" t="str">
        <f>_xlfn.XLOOKUP(C2524, Table2[Species],Table2[Sp. Name], "Code Not Found")</f>
        <v>canadensis</v>
      </c>
      <c r="N2524" t="str">
        <f>_xlfn.XLOOKUP(C2524,Table2[Species],Table2[Family],"Code Not Found")</f>
        <v>Pinaceae</v>
      </c>
      <c r="O2524" t="str" cm="1">
        <f t="array" ref="O2524">_xlfn.IFS(F2524="","",F2524&lt;=5,"0 to 5",F2524&lt;=10,"5.1 to 10",F2524&lt;=20,"10 to 20", F2524&lt;= 40, "20 to 40", F2524 &lt;= 50, "40 to 50", F2524 &gt; 50, "&gt;50" )</f>
        <v>0 to 5</v>
      </c>
    </row>
    <row r="2525" spans="1:15" ht="15" customHeight="1" x14ac:dyDescent="0.3">
      <c r="A2525" t="s">
        <v>532</v>
      </c>
      <c r="B2525" s="1">
        <v>46213</v>
      </c>
      <c r="C2525" t="s">
        <v>430</v>
      </c>
      <c r="D2525">
        <v>2335</v>
      </c>
      <c r="E2525">
        <v>1</v>
      </c>
      <c r="F2525">
        <v>2.4</v>
      </c>
      <c r="G2525" t="s">
        <v>17</v>
      </c>
      <c r="H2525" t="s">
        <v>535</v>
      </c>
      <c r="I2525" t="str">
        <f t="shared" si="59"/>
        <v>2335_1</v>
      </c>
      <c r="J2525" t="s">
        <v>533</v>
      </c>
      <c r="K2525" t="s">
        <v>429</v>
      </c>
      <c r="L2525" t="str">
        <f>_xlfn.XLOOKUP(C2525, Table2[Species],Table2[Genus], "Code Not Found")</f>
        <v>Tsuga</v>
      </c>
      <c r="M2525" t="str">
        <f>_xlfn.XLOOKUP(C2525, Table2[Species],Table2[Sp. Name], "Code Not Found")</f>
        <v>canadensis</v>
      </c>
      <c r="N2525" t="str">
        <f>_xlfn.XLOOKUP(C2525,Table2[Species],Table2[Family],"Code Not Found")</f>
        <v>Pinaceae</v>
      </c>
      <c r="O2525" t="str" cm="1">
        <f t="array" ref="O2525">_xlfn.IFS(F2525="","",F2525&lt;=5,"0 to 5",F2525&lt;=10,"5.1 to 10",F2525&lt;=20,"10 to 20", F2525&lt;= 40, "20 to 40", F2525 &lt;= 50, "40 to 50", F2525 &gt; 50, "&gt;50" )</f>
        <v>0 to 5</v>
      </c>
    </row>
    <row r="2526" spans="1:15" ht="15" customHeight="1" x14ac:dyDescent="0.3">
      <c r="A2526" s="24" t="s">
        <v>532</v>
      </c>
      <c r="B2526" s="25">
        <v>46213</v>
      </c>
      <c r="C2526" s="24" t="s">
        <v>430</v>
      </c>
      <c r="D2526" s="24">
        <v>2336</v>
      </c>
      <c r="E2526" s="24">
        <v>1</v>
      </c>
      <c r="F2526" s="24">
        <v>4.2</v>
      </c>
      <c r="G2526" s="24" t="s">
        <v>47</v>
      </c>
      <c r="H2526" s="24"/>
      <c r="I2526" t="str">
        <f t="shared" si="59"/>
        <v>2336_1</v>
      </c>
      <c r="J2526" t="s">
        <v>533</v>
      </c>
      <c r="K2526" t="s">
        <v>429</v>
      </c>
      <c r="L2526" t="str">
        <f>_xlfn.XLOOKUP(C2526, Table2[Species],Table2[Genus], "Code Not Found")</f>
        <v>Tsuga</v>
      </c>
      <c r="M2526" t="str">
        <f>_xlfn.XLOOKUP(C2526, Table2[Species],Table2[Sp. Name], "Code Not Found")</f>
        <v>canadensis</v>
      </c>
      <c r="N2526" t="str">
        <f>_xlfn.XLOOKUP(C2526,Table2[Species],Table2[Family],"Code Not Found")</f>
        <v>Pinaceae</v>
      </c>
      <c r="O2526" t="str" cm="1">
        <f t="array" ref="O2526">_xlfn.IFS(F2526="","",F2526&lt;=5,"0 to 5",F2526&lt;=10,"5.1 to 10",F2526&lt;=20,"10 to 20", F2526&lt;= 40, "20 to 40", F2526 &lt;= 50, "40 to 50", F2526 &gt; 50, "&gt;50" )</f>
        <v>0 to 5</v>
      </c>
    </row>
    <row r="2527" spans="1:15" ht="15" customHeight="1" x14ac:dyDescent="0.3">
      <c r="A2527" t="s">
        <v>532</v>
      </c>
      <c r="B2527" s="1">
        <v>46213</v>
      </c>
      <c r="C2527" t="s">
        <v>430</v>
      </c>
      <c r="D2527">
        <v>2337</v>
      </c>
      <c r="E2527">
        <v>1</v>
      </c>
      <c r="F2527">
        <v>15.6</v>
      </c>
      <c r="G2527" t="s">
        <v>21</v>
      </c>
      <c r="I2527" t="str">
        <f t="shared" si="59"/>
        <v>2337_1</v>
      </c>
      <c r="J2527" t="s">
        <v>533</v>
      </c>
      <c r="K2527" t="s">
        <v>429</v>
      </c>
      <c r="L2527" t="str">
        <f>_xlfn.XLOOKUP(C2527, Table2[Species],Table2[Genus], "Code Not Found")</f>
        <v>Tsuga</v>
      </c>
      <c r="M2527" t="str">
        <f>_xlfn.XLOOKUP(C2527, Table2[Species],Table2[Sp. Name], "Code Not Found")</f>
        <v>canadensis</v>
      </c>
      <c r="N2527" t="str">
        <f>_xlfn.XLOOKUP(C2527,Table2[Species],Table2[Family],"Code Not Found")</f>
        <v>Pinaceae</v>
      </c>
      <c r="O2527" t="str" cm="1">
        <f t="array" ref="O2527">_xlfn.IFS(F2527="","",F2527&lt;=5,"0 to 5",F2527&lt;=10,"5.1 to 10",F2527&lt;=20,"10 to 20", F2527&lt;= 40, "20 to 40", F2527 &lt;= 50, "40 to 50", F2527 &gt; 50, "&gt;50" )</f>
        <v>10 to 20</v>
      </c>
    </row>
    <row r="2528" spans="1:15" ht="15" customHeight="1" x14ac:dyDescent="0.3">
      <c r="A2528" t="s">
        <v>532</v>
      </c>
      <c r="B2528" s="1">
        <v>46213</v>
      </c>
      <c r="C2528" t="s">
        <v>430</v>
      </c>
      <c r="D2528">
        <v>2338</v>
      </c>
      <c r="E2528">
        <v>1</v>
      </c>
      <c r="F2528">
        <v>27.3</v>
      </c>
      <c r="G2528" t="s">
        <v>17</v>
      </c>
      <c r="I2528" t="str">
        <f t="shared" si="59"/>
        <v>2338_1</v>
      </c>
      <c r="J2528" t="s">
        <v>533</v>
      </c>
      <c r="K2528" t="s">
        <v>429</v>
      </c>
      <c r="L2528" t="str">
        <f>_xlfn.XLOOKUP(C2528, Table2[Species],Table2[Genus], "Code Not Found")</f>
        <v>Tsuga</v>
      </c>
      <c r="M2528" t="str">
        <f>_xlfn.XLOOKUP(C2528, Table2[Species],Table2[Sp. Name], "Code Not Found")</f>
        <v>canadensis</v>
      </c>
      <c r="N2528" t="str">
        <f>_xlfn.XLOOKUP(C2528,Table2[Species],Table2[Family],"Code Not Found")</f>
        <v>Pinaceae</v>
      </c>
      <c r="O2528" t="str" cm="1">
        <f t="array" ref="O2528">_xlfn.IFS(F2528="","",F2528&lt;=5,"0 to 5",F2528&lt;=10,"5.1 to 10",F2528&lt;=20,"10 to 20", F2528&lt;= 40, "20 to 40", F2528 &lt;= 50, "40 to 50", F2528 &gt; 50, "&gt;50" )</f>
        <v>20 to 40</v>
      </c>
    </row>
    <row r="2529" spans="1:15" ht="15" customHeight="1" x14ac:dyDescent="0.3">
      <c r="A2529" t="s">
        <v>532</v>
      </c>
      <c r="B2529" s="1">
        <v>46213</v>
      </c>
      <c r="C2529" t="s">
        <v>430</v>
      </c>
      <c r="D2529">
        <v>2339</v>
      </c>
      <c r="E2529">
        <v>1</v>
      </c>
      <c r="F2529">
        <v>7.1</v>
      </c>
      <c r="G2529" t="s">
        <v>474</v>
      </c>
      <c r="H2529" t="s">
        <v>536</v>
      </c>
      <c r="I2529" t="str">
        <f t="shared" si="59"/>
        <v>2339_1</v>
      </c>
      <c r="J2529" t="s">
        <v>533</v>
      </c>
      <c r="K2529" t="s">
        <v>429</v>
      </c>
      <c r="L2529" t="str">
        <f>_xlfn.XLOOKUP(C2529, Table2[Species],Table2[Genus], "Code Not Found")</f>
        <v>Tsuga</v>
      </c>
      <c r="M2529" t="str">
        <f>_xlfn.XLOOKUP(C2529, Table2[Species],Table2[Sp. Name], "Code Not Found")</f>
        <v>canadensis</v>
      </c>
      <c r="N2529" t="str">
        <f>_xlfn.XLOOKUP(C2529,Table2[Species],Table2[Family],"Code Not Found")</f>
        <v>Pinaceae</v>
      </c>
      <c r="O2529" t="str" cm="1">
        <f t="array" ref="O2529">_xlfn.IFS(F2529="","",F2529&lt;=5,"0 to 5",F2529&lt;=10,"5.1 to 10",F2529&lt;=20,"10 to 20", F2529&lt;= 40, "20 to 40", F2529 &lt;= 50, "40 to 50", F2529 &gt; 50, "&gt;50" )</f>
        <v>5.1 to 10</v>
      </c>
    </row>
    <row r="2530" spans="1:15" ht="15" customHeight="1" x14ac:dyDescent="0.3">
      <c r="A2530" t="s">
        <v>532</v>
      </c>
      <c r="B2530" s="1">
        <v>46213</v>
      </c>
      <c r="C2530" t="s">
        <v>64</v>
      </c>
      <c r="D2530">
        <v>2340</v>
      </c>
      <c r="E2530">
        <v>1</v>
      </c>
      <c r="F2530">
        <v>57</v>
      </c>
      <c r="G2530" t="s">
        <v>21</v>
      </c>
      <c r="I2530" t="str">
        <f t="shared" si="59"/>
        <v>2340_1</v>
      </c>
      <c r="J2530" t="s">
        <v>533</v>
      </c>
      <c r="K2530" t="s">
        <v>429</v>
      </c>
      <c r="L2530" t="str">
        <f>_xlfn.XLOOKUP(C2530, Table2[Species],Table2[Genus], "Code Not Found")</f>
        <v>Fagus</v>
      </c>
      <c r="M2530" t="str">
        <f>_xlfn.XLOOKUP(C2530, Table2[Species],Table2[Sp. Name], "Code Not Found")</f>
        <v>grandifolia</v>
      </c>
      <c r="N2530" t="str">
        <f>_xlfn.XLOOKUP(C2530,Table2[Species],Table2[Family],"Code Not Found")</f>
        <v>Fagaceae</v>
      </c>
      <c r="O2530" t="str" cm="1">
        <f t="array" ref="O2530">_xlfn.IFS(F2530="","",F2530&lt;=5,"0 to 5",F2530&lt;=10,"5.1 to 10",F2530&lt;=20,"10 to 20", F2530&lt;= 40, "20 to 40", F2530 &lt;= 50, "40 to 50", F2530 &gt; 50, "&gt;50" )</f>
        <v>&gt;50</v>
      </c>
    </row>
    <row r="2531" spans="1:15" ht="15" customHeight="1" x14ac:dyDescent="0.3">
      <c r="A2531" t="s">
        <v>532</v>
      </c>
      <c r="B2531" s="1">
        <v>46213</v>
      </c>
      <c r="C2531" t="s">
        <v>430</v>
      </c>
      <c r="D2531">
        <v>2341</v>
      </c>
      <c r="E2531">
        <v>1</v>
      </c>
      <c r="F2531">
        <v>13.2</v>
      </c>
      <c r="G2531" t="s">
        <v>537</v>
      </c>
      <c r="H2531" t="s">
        <v>347</v>
      </c>
      <c r="I2531" t="str">
        <f t="shared" si="59"/>
        <v>2341_1</v>
      </c>
      <c r="J2531" t="s">
        <v>533</v>
      </c>
      <c r="K2531" t="s">
        <v>429</v>
      </c>
      <c r="L2531" t="str">
        <f>_xlfn.XLOOKUP(C2531, Table2[Species],Table2[Genus], "Code Not Found")</f>
        <v>Tsuga</v>
      </c>
      <c r="M2531" t="str">
        <f>_xlfn.XLOOKUP(C2531, Table2[Species],Table2[Sp. Name], "Code Not Found")</f>
        <v>canadensis</v>
      </c>
      <c r="N2531" t="str">
        <f>_xlfn.XLOOKUP(C2531,Table2[Species],Table2[Family],"Code Not Found")</f>
        <v>Pinaceae</v>
      </c>
      <c r="O2531" t="str" cm="1">
        <f t="array" ref="O2531">_xlfn.IFS(F2531="","",F2531&lt;=5,"0 to 5",F2531&lt;=10,"5.1 to 10",F2531&lt;=20,"10 to 20", F2531&lt;= 40, "20 to 40", F2531 &lt;= 50, "40 to 50", F2531 &gt; 50, "&gt;50" )</f>
        <v>10 to 20</v>
      </c>
    </row>
    <row r="2532" spans="1:15" ht="15" customHeight="1" x14ac:dyDescent="0.3">
      <c r="A2532" t="s">
        <v>532</v>
      </c>
      <c r="B2532" s="1">
        <v>46213</v>
      </c>
      <c r="C2532" t="s">
        <v>430</v>
      </c>
      <c r="D2532">
        <v>2342</v>
      </c>
      <c r="E2532">
        <v>1</v>
      </c>
      <c r="F2532">
        <v>19.899999999999999</v>
      </c>
      <c r="G2532" t="s">
        <v>537</v>
      </c>
      <c r="H2532" t="s">
        <v>347</v>
      </c>
      <c r="I2532" t="str">
        <f t="shared" si="59"/>
        <v>2342_1</v>
      </c>
      <c r="J2532" t="s">
        <v>533</v>
      </c>
      <c r="K2532" t="s">
        <v>429</v>
      </c>
      <c r="L2532" t="str">
        <f>_xlfn.XLOOKUP(C2532, Table2[Species],Table2[Genus], "Code Not Found")</f>
        <v>Tsuga</v>
      </c>
      <c r="M2532" t="str">
        <f>_xlfn.XLOOKUP(C2532, Table2[Species],Table2[Sp. Name], "Code Not Found")</f>
        <v>canadensis</v>
      </c>
      <c r="N2532" t="str">
        <f>_xlfn.XLOOKUP(C2532,Table2[Species],Table2[Family],"Code Not Found")</f>
        <v>Pinaceae</v>
      </c>
      <c r="O2532" t="str" cm="1">
        <f t="array" ref="O2532">_xlfn.IFS(F2532="","",F2532&lt;=5,"0 to 5",F2532&lt;=10,"5.1 to 10",F2532&lt;=20,"10 to 20", F2532&lt;= 40, "20 to 40", F2532 &lt;= 50, "40 to 50", F2532 &gt; 50, "&gt;50" )</f>
        <v>10 to 20</v>
      </c>
    </row>
    <row r="2533" spans="1:15" ht="15" customHeight="1" x14ac:dyDescent="0.3">
      <c r="A2533" t="s">
        <v>532</v>
      </c>
      <c r="B2533" s="1">
        <v>46213</v>
      </c>
      <c r="C2533" t="s">
        <v>64</v>
      </c>
      <c r="D2533">
        <v>2343</v>
      </c>
      <c r="E2533">
        <v>1</v>
      </c>
      <c r="F2533">
        <v>67.400000000000006</v>
      </c>
      <c r="G2533" t="s">
        <v>17</v>
      </c>
      <c r="H2533" t="s">
        <v>538</v>
      </c>
      <c r="I2533" t="str">
        <f t="shared" si="59"/>
        <v>2343_1</v>
      </c>
      <c r="J2533" t="s">
        <v>533</v>
      </c>
      <c r="K2533" t="s">
        <v>429</v>
      </c>
      <c r="L2533" t="str">
        <f>_xlfn.XLOOKUP(C2533, Table2[Species],Table2[Genus], "Code Not Found")</f>
        <v>Fagus</v>
      </c>
      <c r="M2533" t="str">
        <f>_xlfn.XLOOKUP(C2533, Table2[Species],Table2[Sp. Name], "Code Not Found")</f>
        <v>grandifolia</v>
      </c>
      <c r="N2533" t="str">
        <f>_xlfn.XLOOKUP(C2533,Table2[Species],Table2[Family],"Code Not Found")</f>
        <v>Fagaceae</v>
      </c>
      <c r="O2533" t="str" cm="1">
        <f t="array" ref="O2533">_xlfn.IFS(F2533="","",F2533&lt;=5,"0 to 5",F2533&lt;=10,"5.1 to 10",F2533&lt;=20,"10 to 20", F2533&lt;= 40, "20 to 40", F2533 &lt;= 50, "40 to 50", F2533 &gt; 50, "&gt;50" )</f>
        <v>&gt;50</v>
      </c>
    </row>
    <row r="2534" spans="1:15" ht="15" customHeight="1" x14ac:dyDescent="0.3">
      <c r="A2534" t="s">
        <v>532</v>
      </c>
      <c r="B2534" s="1">
        <v>46213</v>
      </c>
      <c r="C2534" t="s">
        <v>430</v>
      </c>
      <c r="D2534">
        <v>2344</v>
      </c>
      <c r="E2534">
        <v>1</v>
      </c>
      <c r="F2534">
        <v>13</v>
      </c>
      <c r="G2534" t="s">
        <v>537</v>
      </c>
      <c r="H2534" t="s">
        <v>347</v>
      </c>
      <c r="I2534" t="str">
        <f t="shared" si="59"/>
        <v>2344_1</v>
      </c>
      <c r="J2534" t="s">
        <v>533</v>
      </c>
      <c r="K2534" t="s">
        <v>429</v>
      </c>
      <c r="L2534" t="str">
        <f>_xlfn.XLOOKUP(C2534, Table2[Species],Table2[Genus], "Code Not Found")</f>
        <v>Tsuga</v>
      </c>
      <c r="M2534" t="str">
        <f>_xlfn.XLOOKUP(C2534, Table2[Species],Table2[Sp. Name], "Code Not Found")</f>
        <v>canadensis</v>
      </c>
      <c r="N2534" t="str">
        <f>_xlfn.XLOOKUP(C2534,Table2[Species],Table2[Family],"Code Not Found")</f>
        <v>Pinaceae</v>
      </c>
      <c r="O2534" t="str" cm="1">
        <f t="array" ref="O2534">_xlfn.IFS(F2534="","",F2534&lt;=5,"0 to 5",F2534&lt;=10,"5.1 to 10",F2534&lt;=20,"10 to 20", F2534&lt;= 40, "20 to 40", F2534 &lt;= 50, "40 to 50", F2534 &gt; 50, "&gt;50" )</f>
        <v>10 to 20</v>
      </c>
    </row>
    <row r="2535" spans="1:15" ht="15" customHeight="1" x14ac:dyDescent="0.3">
      <c r="A2535" t="s">
        <v>532</v>
      </c>
      <c r="B2535" s="1">
        <v>46213</v>
      </c>
      <c r="C2535" t="s">
        <v>430</v>
      </c>
      <c r="D2535">
        <v>2345</v>
      </c>
      <c r="E2535">
        <v>1</v>
      </c>
      <c r="F2535">
        <v>12.4</v>
      </c>
      <c r="G2535" t="s">
        <v>537</v>
      </c>
      <c r="H2535" t="s">
        <v>347</v>
      </c>
      <c r="I2535" t="str">
        <f t="shared" si="59"/>
        <v>2345_1</v>
      </c>
      <c r="J2535" t="s">
        <v>533</v>
      </c>
      <c r="K2535" t="s">
        <v>429</v>
      </c>
      <c r="L2535" t="str">
        <f>_xlfn.XLOOKUP(C2535, Table2[Species],Table2[Genus], "Code Not Found")</f>
        <v>Tsuga</v>
      </c>
      <c r="M2535" t="str">
        <f>_xlfn.XLOOKUP(C2535, Table2[Species],Table2[Sp. Name], "Code Not Found")</f>
        <v>canadensis</v>
      </c>
      <c r="N2535" t="str">
        <f>_xlfn.XLOOKUP(C2535,Table2[Species],Table2[Family],"Code Not Found")</f>
        <v>Pinaceae</v>
      </c>
      <c r="O2535" t="str" cm="1">
        <f t="array" ref="O2535">_xlfn.IFS(F2535="","",F2535&lt;=5,"0 to 5",F2535&lt;=10,"5.1 to 10",F2535&lt;=20,"10 to 20", F2535&lt;= 40, "20 to 40", F2535 &lt;= 50, "40 to 50", F2535 &gt; 50, "&gt;50" )</f>
        <v>10 to 20</v>
      </c>
    </row>
    <row r="2536" spans="1:15" ht="15" customHeight="1" x14ac:dyDescent="0.3">
      <c r="A2536" t="s">
        <v>532</v>
      </c>
      <c r="B2536" s="1">
        <v>46213</v>
      </c>
      <c r="C2536" t="s">
        <v>430</v>
      </c>
      <c r="D2536">
        <v>2346</v>
      </c>
      <c r="E2536">
        <v>1</v>
      </c>
      <c r="F2536">
        <v>15.2</v>
      </c>
      <c r="G2536" t="s">
        <v>381</v>
      </c>
      <c r="H2536" t="s">
        <v>377</v>
      </c>
      <c r="I2536" t="str">
        <f t="shared" si="59"/>
        <v>2346_1</v>
      </c>
      <c r="J2536" t="s">
        <v>533</v>
      </c>
      <c r="K2536" t="s">
        <v>429</v>
      </c>
      <c r="L2536" t="str">
        <f>_xlfn.XLOOKUP(C2536, Table2[Species],Table2[Genus], "Code Not Found")</f>
        <v>Tsuga</v>
      </c>
      <c r="M2536" t="str">
        <f>_xlfn.XLOOKUP(C2536, Table2[Species],Table2[Sp. Name], "Code Not Found")</f>
        <v>canadensis</v>
      </c>
      <c r="N2536" t="str">
        <f>_xlfn.XLOOKUP(C2536,Table2[Species],Table2[Family],"Code Not Found")</f>
        <v>Pinaceae</v>
      </c>
      <c r="O2536" t="str" cm="1">
        <f t="array" ref="O2536">_xlfn.IFS(F2536="","",F2536&lt;=5,"0 to 5",F2536&lt;=10,"5.1 to 10",F2536&lt;=20,"10 to 20", F2536&lt;= 40, "20 to 40", F2536 &lt;= 50, "40 to 50", F2536 &gt; 50, "&gt;50" )</f>
        <v>10 to 20</v>
      </c>
    </row>
    <row r="2537" spans="1:15" ht="15" customHeight="1" x14ac:dyDescent="0.3">
      <c r="A2537" t="s">
        <v>532</v>
      </c>
      <c r="B2537" s="1">
        <v>46213</v>
      </c>
      <c r="C2537" t="s">
        <v>430</v>
      </c>
      <c r="D2537">
        <v>2347</v>
      </c>
      <c r="E2537">
        <v>1</v>
      </c>
      <c r="F2537">
        <v>8.6999999999999993</v>
      </c>
      <c r="G2537" t="s">
        <v>17</v>
      </c>
      <c r="I2537" t="str">
        <f t="shared" si="59"/>
        <v>2347_1</v>
      </c>
      <c r="J2537" t="s">
        <v>533</v>
      </c>
      <c r="K2537" t="s">
        <v>429</v>
      </c>
      <c r="L2537" t="str">
        <f>_xlfn.XLOOKUP(C2537, Table2[Species],Table2[Genus], "Code Not Found")</f>
        <v>Tsuga</v>
      </c>
      <c r="M2537" t="str">
        <f>_xlfn.XLOOKUP(C2537, Table2[Species],Table2[Sp. Name], "Code Not Found")</f>
        <v>canadensis</v>
      </c>
      <c r="N2537" t="str">
        <f>_xlfn.XLOOKUP(C2537,Table2[Species],Table2[Family],"Code Not Found")</f>
        <v>Pinaceae</v>
      </c>
      <c r="O2537" t="str" cm="1">
        <f t="array" ref="O2537">_xlfn.IFS(F2537="","",F2537&lt;=5,"0 to 5",F2537&lt;=10,"5.1 to 10",F2537&lt;=20,"10 to 20", F2537&lt;= 40, "20 to 40", F2537 &lt;= 50, "40 to 50", F2537 &gt; 50, "&gt;50" )</f>
        <v>5.1 to 10</v>
      </c>
    </row>
    <row r="2538" spans="1:15" ht="15" customHeight="1" x14ac:dyDescent="0.3">
      <c r="A2538" t="s">
        <v>532</v>
      </c>
      <c r="B2538" s="1">
        <v>46213</v>
      </c>
      <c r="C2538" t="s">
        <v>430</v>
      </c>
      <c r="D2538">
        <v>2348</v>
      </c>
      <c r="E2538">
        <v>1</v>
      </c>
      <c r="F2538">
        <v>8.4</v>
      </c>
      <c r="G2538" t="s">
        <v>537</v>
      </c>
      <c r="H2538" t="s">
        <v>347</v>
      </c>
      <c r="I2538" t="str">
        <f t="shared" si="59"/>
        <v>2348_1</v>
      </c>
      <c r="J2538" t="s">
        <v>533</v>
      </c>
      <c r="K2538" t="s">
        <v>429</v>
      </c>
      <c r="L2538" t="str">
        <f>_xlfn.XLOOKUP(C2538, Table2[Species],Table2[Genus], "Code Not Found")</f>
        <v>Tsuga</v>
      </c>
      <c r="M2538" t="str">
        <f>_xlfn.XLOOKUP(C2538, Table2[Species],Table2[Sp. Name], "Code Not Found")</f>
        <v>canadensis</v>
      </c>
      <c r="N2538" t="str">
        <f>_xlfn.XLOOKUP(C2538,Table2[Species],Table2[Family],"Code Not Found")</f>
        <v>Pinaceae</v>
      </c>
      <c r="O2538" t="str" cm="1">
        <f t="array" ref="O2538">_xlfn.IFS(F2538="","",F2538&lt;=5,"0 to 5",F2538&lt;=10,"5.1 to 10",F2538&lt;=20,"10 to 20", F2538&lt;= 40, "20 to 40", F2538 &lt;= 50, "40 to 50", F2538 &gt; 50, "&gt;50" )</f>
        <v>5.1 to 10</v>
      </c>
    </row>
    <row r="2539" spans="1:15" ht="15" customHeight="1" x14ac:dyDescent="0.3">
      <c r="A2539" t="s">
        <v>532</v>
      </c>
      <c r="B2539" s="1">
        <v>46213</v>
      </c>
      <c r="C2539" t="s">
        <v>430</v>
      </c>
      <c r="D2539">
        <v>2349</v>
      </c>
      <c r="E2539">
        <v>1</v>
      </c>
      <c r="F2539">
        <v>26.5</v>
      </c>
      <c r="G2539" t="s">
        <v>21</v>
      </c>
      <c r="I2539" t="str">
        <f t="shared" si="59"/>
        <v>2349_1</v>
      </c>
      <c r="J2539" t="s">
        <v>533</v>
      </c>
      <c r="K2539" t="s">
        <v>429</v>
      </c>
      <c r="L2539" t="str">
        <f>_xlfn.XLOOKUP(C2539, Table2[Species],Table2[Genus], "Code Not Found")</f>
        <v>Tsuga</v>
      </c>
      <c r="M2539" t="str">
        <f>_xlfn.XLOOKUP(C2539, Table2[Species],Table2[Sp. Name], "Code Not Found")</f>
        <v>canadensis</v>
      </c>
      <c r="N2539" t="str">
        <f>_xlfn.XLOOKUP(C2539,Table2[Species],Table2[Family],"Code Not Found")</f>
        <v>Pinaceae</v>
      </c>
      <c r="O2539" t="str" cm="1">
        <f t="array" ref="O2539">_xlfn.IFS(F2539="","",F2539&lt;=5,"0 to 5",F2539&lt;=10,"5.1 to 10",F2539&lt;=20,"10 to 20", F2539&lt;= 40, "20 to 40", F2539 &lt;= 50, "40 to 50", F2539 &gt; 50, "&gt;50" )</f>
        <v>20 to 40</v>
      </c>
    </row>
    <row r="2540" spans="1:15" ht="15" customHeight="1" x14ac:dyDescent="0.3">
      <c r="A2540" t="s">
        <v>532</v>
      </c>
      <c r="B2540" s="1">
        <v>46213</v>
      </c>
      <c r="C2540" t="s">
        <v>430</v>
      </c>
      <c r="D2540">
        <v>2350</v>
      </c>
      <c r="E2540">
        <v>1</v>
      </c>
      <c r="F2540">
        <v>14.1</v>
      </c>
      <c r="G2540" t="s">
        <v>17</v>
      </c>
      <c r="I2540" t="str">
        <f t="shared" si="59"/>
        <v>2350_1</v>
      </c>
      <c r="J2540" t="s">
        <v>533</v>
      </c>
      <c r="K2540" t="s">
        <v>429</v>
      </c>
      <c r="L2540" t="str">
        <f>_xlfn.XLOOKUP(C2540, Table2[Species],Table2[Genus], "Code Not Found")</f>
        <v>Tsuga</v>
      </c>
      <c r="M2540" t="str">
        <f>_xlfn.XLOOKUP(C2540, Table2[Species],Table2[Sp. Name], "Code Not Found")</f>
        <v>canadensis</v>
      </c>
      <c r="N2540" t="str">
        <f>_xlfn.XLOOKUP(C2540,Table2[Species],Table2[Family],"Code Not Found")</f>
        <v>Pinaceae</v>
      </c>
      <c r="O2540" t="str" cm="1">
        <f t="array" ref="O2540">_xlfn.IFS(F2540="","",F2540&lt;=5,"0 to 5",F2540&lt;=10,"5.1 to 10",F2540&lt;=20,"10 to 20", F2540&lt;= 40, "20 to 40", F2540 &lt;= 50, "40 to 50", F2540 &gt; 50, "&gt;50" )</f>
        <v>10 to 20</v>
      </c>
    </row>
    <row r="2541" spans="1:15" ht="15" customHeight="1" x14ac:dyDescent="0.3">
      <c r="A2541" t="s">
        <v>532</v>
      </c>
      <c r="B2541" s="1">
        <v>46213</v>
      </c>
      <c r="C2541" t="s">
        <v>430</v>
      </c>
      <c r="D2541">
        <v>2351</v>
      </c>
      <c r="E2541">
        <v>1</v>
      </c>
      <c r="F2541">
        <v>14.6</v>
      </c>
      <c r="G2541" t="s">
        <v>21</v>
      </c>
      <c r="I2541" t="str">
        <f t="shared" si="59"/>
        <v>2351_1</v>
      </c>
      <c r="J2541" t="s">
        <v>533</v>
      </c>
      <c r="K2541" t="s">
        <v>429</v>
      </c>
      <c r="L2541" t="str">
        <f>_xlfn.XLOOKUP(C2541, Table2[Species],Table2[Genus], "Code Not Found")</f>
        <v>Tsuga</v>
      </c>
      <c r="M2541" t="str">
        <f>_xlfn.XLOOKUP(C2541, Table2[Species],Table2[Sp. Name], "Code Not Found")</f>
        <v>canadensis</v>
      </c>
      <c r="N2541" t="str">
        <f>_xlfn.XLOOKUP(C2541,Table2[Species],Table2[Family],"Code Not Found")</f>
        <v>Pinaceae</v>
      </c>
      <c r="O2541" t="str" cm="1">
        <f t="array" ref="O2541">_xlfn.IFS(F2541="","",F2541&lt;=5,"0 to 5",F2541&lt;=10,"5.1 to 10",F2541&lt;=20,"10 to 20", F2541&lt;= 40, "20 to 40", F2541 &lt;= 50, "40 to 50", F2541 &gt; 50, "&gt;50" )</f>
        <v>10 to 20</v>
      </c>
    </row>
    <row r="2542" spans="1:15" ht="15" customHeight="1" x14ac:dyDescent="0.3">
      <c r="A2542" t="s">
        <v>532</v>
      </c>
      <c r="B2542" s="1">
        <v>46213</v>
      </c>
      <c r="C2542" t="s">
        <v>430</v>
      </c>
      <c r="D2542">
        <v>2352</v>
      </c>
      <c r="E2542">
        <v>1</v>
      </c>
      <c r="F2542">
        <v>31</v>
      </c>
      <c r="G2542" t="s">
        <v>21</v>
      </c>
      <c r="I2542" t="str">
        <f t="shared" si="59"/>
        <v>2352_1</v>
      </c>
      <c r="J2542" t="s">
        <v>533</v>
      </c>
      <c r="K2542" t="s">
        <v>429</v>
      </c>
      <c r="L2542" t="str">
        <f>_xlfn.XLOOKUP(C2542, Table2[Species],Table2[Genus], "Code Not Found")</f>
        <v>Tsuga</v>
      </c>
      <c r="M2542" t="str">
        <f>_xlfn.XLOOKUP(C2542, Table2[Species],Table2[Sp. Name], "Code Not Found")</f>
        <v>canadensis</v>
      </c>
      <c r="N2542" t="str">
        <f>_xlfn.XLOOKUP(C2542,Table2[Species],Table2[Family],"Code Not Found")</f>
        <v>Pinaceae</v>
      </c>
      <c r="O2542" t="str" cm="1">
        <f t="array" ref="O2542">_xlfn.IFS(F2542="","",F2542&lt;=5,"0 to 5",F2542&lt;=10,"5.1 to 10",F2542&lt;=20,"10 to 20", F2542&lt;= 40, "20 to 40", F2542 &lt;= 50, "40 to 50", F2542 &gt; 50, "&gt;50" )</f>
        <v>20 to 40</v>
      </c>
    </row>
    <row r="2543" spans="1:15" ht="15" customHeight="1" x14ac:dyDescent="0.3">
      <c r="A2543" t="s">
        <v>532</v>
      </c>
      <c r="B2543" s="1">
        <v>46213</v>
      </c>
      <c r="C2543" t="s">
        <v>430</v>
      </c>
      <c r="D2543">
        <v>2353</v>
      </c>
      <c r="E2543">
        <v>1</v>
      </c>
      <c r="F2543">
        <v>11.2</v>
      </c>
      <c r="G2543" t="s">
        <v>17</v>
      </c>
      <c r="H2543" t="s">
        <v>539</v>
      </c>
      <c r="I2543" t="str">
        <f t="shared" si="59"/>
        <v>2353_1</v>
      </c>
      <c r="J2543" t="s">
        <v>533</v>
      </c>
      <c r="K2543" t="s">
        <v>429</v>
      </c>
      <c r="L2543" t="str">
        <f>_xlfn.XLOOKUP(C2543, Table2[Species],Table2[Genus], "Code Not Found")</f>
        <v>Tsuga</v>
      </c>
      <c r="M2543" t="str">
        <f>_xlfn.XLOOKUP(C2543, Table2[Species],Table2[Sp. Name], "Code Not Found")</f>
        <v>canadensis</v>
      </c>
      <c r="N2543" t="str">
        <f>_xlfn.XLOOKUP(C2543,Table2[Species],Table2[Family],"Code Not Found")</f>
        <v>Pinaceae</v>
      </c>
      <c r="O2543" t="str" cm="1">
        <f t="array" ref="O2543">_xlfn.IFS(F2543="","",F2543&lt;=5,"0 to 5",F2543&lt;=10,"5.1 to 10",F2543&lt;=20,"10 to 20", F2543&lt;= 40, "20 to 40", F2543 &lt;= 50, "40 to 50", F2543 &gt; 50, "&gt;50" )</f>
        <v>10 to 20</v>
      </c>
    </row>
    <row r="2544" spans="1:15" ht="15" customHeight="1" x14ac:dyDescent="0.3">
      <c r="A2544" t="s">
        <v>532</v>
      </c>
      <c r="B2544" s="1">
        <v>46213</v>
      </c>
      <c r="C2544" t="s">
        <v>430</v>
      </c>
      <c r="D2544">
        <v>2354</v>
      </c>
      <c r="E2544">
        <v>1</v>
      </c>
      <c r="F2544">
        <v>31.8</v>
      </c>
      <c r="G2544" t="s">
        <v>21</v>
      </c>
      <c r="I2544" t="str">
        <f t="shared" si="59"/>
        <v>2354_1</v>
      </c>
      <c r="J2544" t="s">
        <v>533</v>
      </c>
      <c r="K2544" t="s">
        <v>429</v>
      </c>
      <c r="L2544" t="str">
        <f>_xlfn.XLOOKUP(C2544, Table2[Species],Table2[Genus], "Code Not Found")</f>
        <v>Tsuga</v>
      </c>
      <c r="M2544" t="str">
        <f>_xlfn.XLOOKUP(C2544, Table2[Species],Table2[Sp. Name], "Code Not Found")</f>
        <v>canadensis</v>
      </c>
      <c r="N2544" t="str">
        <f>_xlfn.XLOOKUP(C2544,Table2[Species],Table2[Family],"Code Not Found")</f>
        <v>Pinaceae</v>
      </c>
      <c r="O2544" t="str" cm="1">
        <f t="array" ref="O2544">_xlfn.IFS(F2544="","",F2544&lt;=5,"0 to 5",F2544&lt;=10,"5.1 to 10",F2544&lt;=20,"10 to 20", F2544&lt;= 40, "20 to 40", F2544 &lt;= 50, "40 to 50", F2544 &gt; 50, "&gt;50" )</f>
        <v>20 to 40</v>
      </c>
    </row>
    <row r="2545" spans="1:15" ht="15" customHeight="1" x14ac:dyDescent="0.3">
      <c r="A2545" t="s">
        <v>532</v>
      </c>
      <c r="B2545" s="1">
        <v>46213</v>
      </c>
      <c r="C2545" t="s">
        <v>430</v>
      </c>
      <c r="D2545">
        <v>2355</v>
      </c>
      <c r="E2545">
        <v>1</v>
      </c>
      <c r="F2545">
        <v>21</v>
      </c>
      <c r="G2545" t="s">
        <v>21</v>
      </c>
      <c r="I2545" t="str">
        <f t="shared" si="59"/>
        <v>2355_1</v>
      </c>
      <c r="J2545" t="s">
        <v>533</v>
      </c>
      <c r="K2545" t="s">
        <v>429</v>
      </c>
      <c r="L2545" t="str">
        <f>_xlfn.XLOOKUP(C2545, Table2[Species],Table2[Genus], "Code Not Found")</f>
        <v>Tsuga</v>
      </c>
      <c r="M2545" t="str">
        <f>_xlfn.XLOOKUP(C2545, Table2[Species],Table2[Sp. Name], "Code Not Found")</f>
        <v>canadensis</v>
      </c>
      <c r="N2545" t="str">
        <f>_xlfn.XLOOKUP(C2545,Table2[Species],Table2[Family],"Code Not Found")</f>
        <v>Pinaceae</v>
      </c>
      <c r="O2545" t="str" cm="1">
        <f t="array" ref="O2545">_xlfn.IFS(F2545="","",F2545&lt;=5,"0 to 5",F2545&lt;=10,"5.1 to 10",F2545&lt;=20,"10 to 20", F2545&lt;= 40, "20 to 40", F2545 &lt;= 50, "40 to 50", F2545 &gt; 50, "&gt;50" )</f>
        <v>20 to 40</v>
      </c>
    </row>
    <row r="2546" spans="1:15" ht="15" customHeight="1" x14ac:dyDescent="0.3">
      <c r="A2546" t="s">
        <v>532</v>
      </c>
      <c r="B2546" s="1">
        <v>46213</v>
      </c>
      <c r="C2546" t="s">
        <v>64</v>
      </c>
      <c r="D2546">
        <v>2356</v>
      </c>
      <c r="E2546">
        <v>1</v>
      </c>
      <c r="F2546">
        <v>27.6</v>
      </c>
      <c r="G2546" t="s">
        <v>17</v>
      </c>
      <c r="I2546" t="str">
        <f t="shared" si="59"/>
        <v>2356_1</v>
      </c>
      <c r="J2546" t="s">
        <v>533</v>
      </c>
      <c r="K2546" t="s">
        <v>429</v>
      </c>
      <c r="L2546" t="str">
        <f>_xlfn.XLOOKUP(C2546, Table2[Species],Table2[Genus], "Code Not Found")</f>
        <v>Fagus</v>
      </c>
      <c r="M2546" t="str">
        <f>_xlfn.XLOOKUP(C2546, Table2[Species],Table2[Sp. Name], "Code Not Found")</f>
        <v>grandifolia</v>
      </c>
      <c r="N2546" t="str">
        <f>_xlfn.XLOOKUP(C2546,Table2[Species],Table2[Family],"Code Not Found")</f>
        <v>Fagaceae</v>
      </c>
      <c r="O2546" t="str" cm="1">
        <f t="array" ref="O2546">_xlfn.IFS(F2546="","",F2546&lt;=5,"0 to 5",F2546&lt;=10,"5.1 to 10",F2546&lt;=20,"10 to 20", F2546&lt;= 40, "20 to 40", F2546 &lt;= 50, "40 to 50", F2546 &gt; 50, "&gt;50" )</f>
        <v>20 to 40</v>
      </c>
    </row>
    <row r="2547" spans="1:15" ht="15" customHeight="1" x14ac:dyDescent="0.3">
      <c r="A2547" t="s">
        <v>532</v>
      </c>
      <c r="B2547" s="1">
        <v>46213</v>
      </c>
      <c r="C2547" t="s">
        <v>430</v>
      </c>
      <c r="D2547">
        <v>2357</v>
      </c>
      <c r="E2547">
        <v>1</v>
      </c>
      <c r="F2547">
        <v>35</v>
      </c>
      <c r="G2547" t="s">
        <v>17</v>
      </c>
      <c r="I2547" t="str">
        <f t="shared" ref="I2547:I2593" si="60">D2547&amp;"_"&amp;E2547</f>
        <v>2357_1</v>
      </c>
      <c r="J2547" t="s">
        <v>533</v>
      </c>
      <c r="K2547" t="s">
        <v>429</v>
      </c>
      <c r="L2547" t="str">
        <f>_xlfn.XLOOKUP(C2547, Table2[Species],Table2[Genus], "Code Not Found")</f>
        <v>Tsuga</v>
      </c>
      <c r="M2547" t="str">
        <f>_xlfn.XLOOKUP(C2547, Table2[Species],Table2[Sp. Name], "Code Not Found")</f>
        <v>canadensis</v>
      </c>
      <c r="N2547" t="str">
        <f>_xlfn.XLOOKUP(C2547,Table2[Species],Table2[Family],"Code Not Found")</f>
        <v>Pinaceae</v>
      </c>
      <c r="O2547" t="str" cm="1">
        <f t="array" ref="O2547">_xlfn.IFS(F2547="","",F2547&lt;=5,"0 to 5",F2547&lt;=10,"5.1 to 10",F2547&lt;=20,"10 to 20", F2547&lt;= 40, "20 to 40", F2547 &lt;= 50, "40 to 50", F2547 &gt; 50, "&gt;50" )</f>
        <v>20 to 40</v>
      </c>
    </row>
    <row r="2548" spans="1:15" ht="15" customHeight="1" x14ac:dyDescent="0.3">
      <c r="A2548" t="s">
        <v>532</v>
      </c>
      <c r="B2548" s="1">
        <v>46213</v>
      </c>
      <c r="C2548" t="s">
        <v>430</v>
      </c>
      <c r="D2548">
        <v>2358</v>
      </c>
      <c r="E2548">
        <v>1</v>
      </c>
      <c r="F2548">
        <v>8.1999999999999993</v>
      </c>
      <c r="G2548" t="s">
        <v>47</v>
      </c>
      <c r="H2548" t="s">
        <v>296</v>
      </c>
      <c r="I2548" t="str">
        <f t="shared" si="60"/>
        <v>2358_1</v>
      </c>
      <c r="J2548" t="s">
        <v>533</v>
      </c>
      <c r="K2548" t="s">
        <v>429</v>
      </c>
      <c r="L2548" t="str">
        <f>_xlfn.XLOOKUP(C2548, Table2[Species],Table2[Genus], "Code Not Found")</f>
        <v>Tsuga</v>
      </c>
      <c r="M2548" t="str">
        <f>_xlfn.XLOOKUP(C2548, Table2[Species],Table2[Sp. Name], "Code Not Found")</f>
        <v>canadensis</v>
      </c>
      <c r="N2548" t="str">
        <f>_xlfn.XLOOKUP(C2548,Table2[Species],Table2[Family],"Code Not Found")</f>
        <v>Pinaceae</v>
      </c>
      <c r="O2548" t="str" cm="1">
        <f t="array" ref="O2548">_xlfn.IFS(F2548="","",F2548&lt;=5,"0 to 5",F2548&lt;=10,"5.1 to 10",F2548&lt;=20,"10 to 20", F2548&lt;= 40, "20 to 40", F2548 &lt;= 50, "40 to 50", F2548 &gt; 50, "&gt;50" )</f>
        <v>5.1 to 10</v>
      </c>
    </row>
    <row r="2549" spans="1:15" ht="15" customHeight="1" x14ac:dyDescent="0.3">
      <c r="A2549" t="s">
        <v>532</v>
      </c>
      <c r="B2549" s="1">
        <v>46213</v>
      </c>
      <c r="C2549" t="s">
        <v>22</v>
      </c>
      <c r="D2549">
        <v>2359</v>
      </c>
      <c r="E2549">
        <v>1</v>
      </c>
      <c r="F2549">
        <v>29.4</v>
      </c>
      <c r="G2549" t="s">
        <v>17</v>
      </c>
      <c r="I2549" t="str">
        <f t="shared" si="60"/>
        <v>2359_1</v>
      </c>
      <c r="J2549" t="s">
        <v>533</v>
      </c>
      <c r="K2549" t="s">
        <v>429</v>
      </c>
      <c r="L2549" t="str">
        <f>_xlfn.XLOOKUP(C2549, Table2[Species],Table2[Genus], "Code Not Found")</f>
        <v>Acer</v>
      </c>
      <c r="M2549" t="str">
        <f>_xlfn.XLOOKUP(C2549, Table2[Species],Table2[Sp. Name], "Code Not Found")</f>
        <v>rubrum</v>
      </c>
      <c r="N2549" t="str">
        <f>_xlfn.XLOOKUP(C2549,Table2[Species],Table2[Family],"Code Not Found")</f>
        <v>Sapindaceae</v>
      </c>
      <c r="O2549" t="str" cm="1">
        <f t="array" ref="O2549">_xlfn.IFS(F2549="","",F2549&lt;=5,"0 to 5",F2549&lt;=10,"5.1 to 10",F2549&lt;=20,"10 to 20", F2549&lt;= 40, "20 to 40", F2549 &lt;= 50, "40 to 50", F2549 &gt; 50, "&gt;50" )</f>
        <v>20 to 40</v>
      </c>
    </row>
    <row r="2550" spans="1:15" ht="15" customHeight="1" x14ac:dyDescent="0.3">
      <c r="A2550" t="s">
        <v>532</v>
      </c>
      <c r="B2550" s="1">
        <v>46213</v>
      </c>
      <c r="C2550" t="s">
        <v>16</v>
      </c>
      <c r="D2550">
        <v>2360</v>
      </c>
      <c r="E2550">
        <v>1</v>
      </c>
      <c r="F2550">
        <v>2.5</v>
      </c>
      <c r="G2550" t="s">
        <v>540</v>
      </c>
      <c r="H2550" t="s">
        <v>296</v>
      </c>
      <c r="I2550" t="str">
        <f t="shared" si="60"/>
        <v>2360_1</v>
      </c>
      <c r="J2550" t="s">
        <v>533</v>
      </c>
      <c r="K2550" t="s">
        <v>429</v>
      </c>
      <c r="L2550" t="str">
        <f>_xlfn.XLOOKUP(C2550, Table2[Species],Table2[Genus], "Code Not Found")</f>
        <v>Acer</v>
      </c>
      <c r="M2550" t="str">
        <f>_xlfn.XLOOKUP(C2550, Table2[Species],Table2[Sp. Name], "Code Not Found")</f>
        <v>saccharum</v>
      </c>
      <c r="N2550" t="str">
        <f>_xlfn.XLOOKUP(C2550,Table2[Species],Table2[Family],"Code Not Found")</f>
        <v>Sapindaceae</v>
      </c>
      <c r="O2550" t="str" cm="1">
        <f t="array" ref="O2550">_xlfn.IFS(F2550="","",F2550&lt;=5,"0 to 5",F2550&lt;=10,"5.1 to 10",F2550&lt;=20,"10 to 20", F2550&lt;= 40, "20 to 40", F2550 &lt;= 50, "40 to 50", F2550 &gt; 50, "&gt;50" )</f>
        <v>0 to 5</v>
      </c>
    </row>
    <row r="2551" spans="1:15" ht="15" customHeight="1" x14ac:dyDescent="0.3">
      <c r="A2551" t="s">
        <v>532</v>
      </c>
      <c r="B2551" s="1">
        <v>46213</v>
      </c>
      <c r="C2551" t="s">
        <v>16</v>
      </c>
      <c r="D2551">
        <v>2360</v>
      </c>
      <c r="E2551">
        <v>2</v>
      </c>
      <c r="F2551">
        <v>1.7</v>
      </c>
      <c r="G2551" t="s">
        <v>541</v>
      </c>
      <c r="H2551" t="s">
        <v>296</v>
      </c>
      <c r="I2551" t="str">
        <f t="shared" si="60"/>
        <v>2360_2</v>
      </c>
      <c r="J2551" t="s">
        <v>533</v>
      </c>
      <c r="K2551" t="s">
        <v>429</v>
      </c>
      <c r="L2551" t="str">
        <f>_xlfn.XLOOKUP(C2551, Table2[Species],Table2[Genus], "Code Not Found")</f>
        <v>Acer</v>
      </c>
      <c r="M2551" t="str">
        <f>_xlfn.XLOOKUP(C2551, Table2[Species],Table2[Sp. Name], "Code Not Found")</f>
        <v>saccharum</v>
      </c>
      <c r="N2551" t="str">
        <f>_xlfn.XLOOKUP(C2551,Table2[Species],Table2[Family],"Code Not Found")</f>
        <v>Sapindaceae</v>
      </c>
      <c r="O2551" t="str" cm="1">
        <f t="array" ref="O2551">_xlfn.IFS(F2551="","",F2551&lt;=5,"0 to 5",F2551&lt;=10,"5.1 to 10",F2551&lt;=20,"10 to 20", F2551&lt;= 40, "20 to 40", F2551 &lt;= 50, "40 to 50", F2551 &gt; 50, "&gt;50" )</f>
        <v>0 to 5</v>
      </c>
    </row>
    <row r="2552" spans="1:15" ht="15" customHeight="1" x14ac:dyDescent="0.3">
      <c r="A2552" t="s">
        <v>532</v>
      </c>
      <c r="B2552" s="1">
        <v>46213</v>
      </c>
      <c r="C2552" t="s">
        <v>123</v>
      </c>
      <c r="D2552">
        <v>2361</v>
      </c>
      <c r="E2552">
        <v>1</v>
      </c>
      <c r="F2552">
        <v>82.3</v>
      </c>
      <c r="G2552" t="s">
        <v>21</v>
      </c>
      <c r="I2552" t="str">
        <f t="shared" si="60"/>
        <v>2361_1</v>
      </c>
      <c r="J2552" t="s">
        <v>533</v>
      </c>
      <c r="K2552" t="s">
        <v>429</v>
      </c>
      <c r="L2552" t="str">
        <f>_xlfn.XLOOKUP(C2552, Table2[Species],Table2[Genus], "Code Not Found")</f>
        <v>Quercus</v>
      </c>
      <c r="M2552" t="str">
        <f>_xlfn.XLOOKUP(C2552, Table2[Species],Table2[Sp. Name], "Code Not Found")</f>
        <v>rubra</v>
      </c>
      <c r="N2552" t="str">
        <f>_xlfn.XLOOKUP(C2552,Table2[Species],Table2[Family],"Code Not Found")</f>
        <v>Fagaceae</v>
      </c>
      <c r="O2552" t="str" cm="1">
        <f t="array" ref="O2552">_xlfn.IFS(F2552="","",F2552&lt;=5,"0 to 5",F2552&lt;=10,"5.1 to 10",F2552&lt;=20,"10 to 20", F2552&lt;= 40, "20 to 40", F2552 &lt;= 50, "40 to 50", F2552 &gt; 50, "&gt;50" )</f>
        <v>&gt;50</v>
      </c>
    </row>
    <row r="2553" spans="1:15" ht="15" customHeight="1" x14ac:dyDescent="0.3">
      <c r="A2553" t="s">
        <v>532</v>
      </c>
      <c r="B2553" s="1">
        <v>46213</v>
      </c>
      <c r="C2553" t="s">
        <v>430</v>
      </c>
      <c r="D2553">
        <v>2362</v>
      </c>
      <c r="E2553">
        <v>1</v>
      </c>
      <c r="F2553">
        <v>34</v>
      </c>
      <c r="G2553" t="s">
        <v>21</v>
      </c>
      <c r="I2553" t="str">
        <f t="shared" si="60"/>
        <v>2362_1</v>
      </c>
      <c r="J2553" t="s">
        <v>533</v>
      </c>
      <c r="K2553" t="s">
        <v>429</v>
      </c>
      <c r="L2553" t="str">
        <f>_xlfn.XLOOKUP(C2553, Table2[Species],Table2[Genus], "Code Not Found")</f>
        <v>Tsuga</v>
      </c>
      <c r="M2553" t="str">
        <f>_xlfn.XLOOKUP(C2553, Table2[Species],Table2[Sp. Name], "Code Not Found")</f>
        <v>canadensis</v>
      </c>
      <c r="N2553" t="str">
        <f>_xlfn.XLOOKUP(C2553,Table2[Species],Table2[Family],"Code Not Found")</f>
        <v>Pinaceae</v>
      </c>
      <c r="O2553" t="str" cm="1">
        <f t="array" ref="O2553">_xlfn.IFS(F2553="","",F2553&lt;=5,"0 to 5",F2553&lt;=10,"5.1 to 10",F2553&lt;=20,"10 to 20", F2553&lt;= 40, "20 to 40", F2553 &lt;= 50, "40 to 50", F2553 &gt; 50, "&gt;50" )</f>
        <v>20 to 40</v>
      </c>
    </row>
    <row r="2554" spans="1:15" ht="15" customHeight="1" x14ac:dyDescent="0.3">
      <c r="A2554" t="s">
        <v>532</v>
      </c>
      <c r="B2554" s="1">
        <v>46213</v>
      </c>
      <c r="C2554" t="s">
        <v>16</v>
      </c>
      <c r="D2554">
        <v>2363</v>
      </c>
      <c r="E2554">
        <v>1</v>
      </c>
      <c r="F2554">
        <v>11.6</v>
      </c>
      <c r="G2554" t="s">
        <v>47</v>
      </c>
      <c r="H2554" t="s">
        <v>296</v>
      </c>
      <c r="I2554" t="str">
        <f t="shared" si="60"/>
        <v>2363_1</v>
      </c>
      <c r="J2554" t="s">
        <v>533</v>
      </c>
      <c r="K2554" t="s">
        <v>429</v>
      </c>
      <c r="L2554" t="str">
        <f>_xlfn.XLOOKUP(C2554, Table2[Species],Table2[Genus], "Code Not Found")</f>
        <v>Acer</v>
      </c>
      <c r="M2554" t="str">
        <f>_xlfn.XLOOKUP(C2554, Table2[Species],Table2[Sp. Name], "Code Not Found")</f>
        <v>saccharum</v>
      </c>
      <c r="N2554" t="str">
        <f>_xlfn.XLOOKUP(C2554,Table2[Species],Table2[Family],"Code Not Found")</f>
        <v>Sapindaceae</v>
      </c>
      <c r="O2554" t="str" cm="1">
        <f t="array" ref="O2554">_xlfn.IFS(F2554="","",F2554&lt;=5,"0 to 5",F2554&lt;=10,"5.1 to 10",F2554&lt;=20,"10 to 20", F2554&lt;= 40, "20 to 40", F2554 &lt;= 50, "40 to 50", F2554 &gt; 50, "&gt;50" )</f>
        <v>10 to 20</v>
      </c>
    </row>
    <row r="2555" spans="1:15" ht="15" customHeight="1" x14ac:dyDescent="0.3">
      <c r="A2555" t="s">
        <v>532</v>
      </c>
      <c r="B2555" s="1">
        <v>46213</v>
      </c>
      <c r="C2555" t="s">
        <v>430</v>
      </c>
      <c r="D2555">
        <v>2364</v>
      </c>
      <c r="E2555">
        <v>1</v>
      </c>
      <c r="F2555">
        <v>11.7</v>
      </c>
      <c r="G2555" t="s">
        <v>21</v>
      </c>
      <c r="I2555" t="str">
        <f t="shared" si="60"/>
        <v>2364_1</v>
      </c>
      <c r="J2555" t="s">
        <v>533</v>
      </c>
      <c r="K2555" t="s">
        <v>429</v>
      </c>
      <c r="L2555" t="str">
        <f>_xlfn.XLOOKUP(C2555, Table2[Species],Table2[Genus], "Code Not Found")</f>
        <v>Tsuga</v>
      </c>
      <c r="M2555" t="str">
        <f>_xlfn.XLOOKUP(C2555, Table2[Species],Table2[Sp. Name], "Code Not Found")</f>
        <v>canadensis</v>
      </c>
      <c r="N2555" t="str">
        <f>_xlfn.XLOOKUP(C2555,Table2[Species],Table2[Family],"Code Not Found")</f>
        <v>Pinaceae</v>
      </c>
      <c r="O2555" t="str" cm="1">
        <f t="array" ref="O2555">_xlfn.IFS(F2555="","",F2555&lt;=5,"0 to 5",F2555&lt;=10,"5.1 to 10",F2555&lt;=20,"10 to 20", F2555&lt;= 40, "20 to 40", F2555 &lt;= 50, "40 to 50", F2555 &gt; 50, "&gt;50" )</f>
        <v>10 to 20</v>
      </c>
    </row>
    <row r="2556" spans="1:15" ht="15" customHeight="1" x14ac:dyDescent="0.3">
      <c r="A2556" t="s">
        <v>532</v>
      </c>
      <c r="B2556" s="1">
        <v>46213</v>
      </c>
      <c r="C2556" t="s">
        <v>430</v>
      </c>
      <c r="D2556">
        <v>2365</v>
      </c>
      <c r="E2556">
        <v>1</v>
      </c>
      <c r="F2556">
        <v>13.4</v>
      </c>
      <c r="G2556" t="s">
        <v>103</v>
      </c>
      <c r="I2556" t="str">
        <f t="shared" si="60"/>
        <v>2365_1</v>
      </c>
      <c r="J2556" t="s">
        <v>533</v>
      </c>
      <c r="K2556" t="s">
        <v>429</v>
      </c>
      <c r="L2556" t="str">
        <f>_xlfn.XLOOKUP(C2556, Table2[Species],Table2[Genus], "Code Not Found")</f>
        <v>Tsuga</v>
      </c>
      <c r="M2556" t="str">
        <f>_xlfn.XLOOKUP(C2556, Table2[Species],Table2[Sp. Name], "Code Not Found")</f>
        <v>canadensis</v>
      </c>
      <c r="N2556" t="str">
        <f>_xlfn.XLOOKUP(C2556,Table2[Species],Table2[Family],"Code Not Found")</f>
        <v>Pinaceae</v>
      </c>
      <c r="O2556" t="str" cm="1">
        <f t="array" ref="O2556">_xlfn.IFS(F2556="","",F2556&lt;=5,"0 to 5",F2556&lt;=10,"5.1 to 10",F2556&lt;=20,"10 to 20", F2556&lt;= 40, "20 to 40", F2556 &lt;= 50, "40 to 50", F2556 &gt; 50, "&gt;50" )</f>
        <v>10 to 20</v>
      </c>
    </row>
    <row r="2557" spans="1:15" ht="15" customHeight="1" x14ac:dyDescent="0.3">
      <c r="A2557" t="s">
        <v>532</v>
      </c>
      <c r="B2557" s="1">
        <v>46213</v>
      </c>
      <c r="C2557" t="s">
        <v>22</v>
      </c>
      <c r="D2557">
        <v>2366</v>
      </c>
      <c r="E2557">
        <v>1</v>
      </c>
      <c r="F2557">
        <v>7.2</v>
      </c>
      <c r="G2557" t="s">
        <v>17</v>
      </c>
      <c r="I2557" t="str">
        <f t="shared" si="60"/>
        <v>2366_1</v>
      </c>
      <c r="J2557" t="s">
        <v>533</v>
      </c>
      <c r="K2557" t="s">
        <v>429</v>
      </c>
      <c r="L2557" t="str">
        <f>_xlfn.XLOOKUP(C2557, Table2[Species],Table2[Genus], "Code Not Found")</f>
        <v>Acer</v>
      </c>
      <c r="M2557" t="str">
        <f>_xlfn.XLOOKUP(C2557, Table2[Species],Table2[Sp. Name], "Code Not Found")</f>
        <v>rubrum</v>
      </c>
      <c r="N2557" t="str">
        <f>_xlfn.XLOOKUP(C2557,Table2[Species],Table2[Family],"Code Not Found")</f>
        <v>Sapindaceae</v>
      </c>
      <c r="O2557" t="str" cm="1">
        <f t="array" ref="O2557">_xlfn.IFS(F2557="","",F2557&lt;=5,"0 to 5",F2557&lt;=10,"5.1 to 10",F2557&lt;=20,"10 to 20", F2557&lt;= 40, "20 to 40", F2557 &lt;= 50, "40 to 50", F2557 &gt; 50, "&gt;50" )</f>
        <v>5.1 to 10</v>
      </c>
    </row>
    <row r="2558" spans="1:15" ht="15" customHeight="1" x14ac:dyDescent="0.3">
      <c r="A2558" t="s">
        <v>532</v>
      </c>
      <c r="B2558" s="1">
        <v>46213</v>
      </c>
      <c r="C2558" t="s">
        <v>16</v>
      </c>
      <c r="D2558">
        <v>2367</v>
      </c>
      <c r="E2558">
        <v>1</v>
      </c>
      <c r="F2558">
        <v>7</v>
      </c>
      <c r="G2558" t="s">
        <v>21</v>
      </c>
      <c r="I2558" t="str">
        <f t="shared" si="60"/>
        <v>2367_1</v>
      </c>
      <c r="J2558" t="s">
        <v>533</v>
      </c>
      <c r="K2558" t="s">
        <v>429</v>
      </c>
      <c r="L2558" t="str">
        <f>_xlfn.XLOOKUP(C2558, Table2[Species],Table2[Genus], "Code Not Found")</f>
        <v>Acer</v>
      </c>
      <c r="M2558" t="str">
        <f>_xlfn.XLOOKUP(C2558, Table2[Species],Table2[Sp. Name], "Code Not Found")</f>
        <v>saccharum</v>
      </c>
      <c r="N2558" t="str">
        <f>_xlfn.XLOOKUP(C2558,Table2[Species],Table2[Family],"Code Not Found")</f>
        <v>Sapindaceae</v>
      </c>
      <c r="O2558" t="str" cm="1">
        <f t="array" ref="O2558">_xlfn.IFS(F2558="","",F2558&lt;=5,"0 to 5",F2558&lt;=10,"5.1 to 10",F2558&lt;=20,"10 to 20", F2558&lt;= 40, "20 to 40", F2558 &lt;= 50, "40 to 50", F2558 &gt; 50, "&gt;50" )</f>
        <v>5.1 to 10</v>
      </c>
    </row>
    <row r="2559" spans="1:15" ht="15" customHeight="1" x14ac:dyDescent="0.3">
      <c r="A2559" t="s">
        <v>532</v>
      </c>
      <c r="B2559" s="1">
        <v>46213</v>
      </c>
      <c r="C2559" t="s">
        <v>430</v>
      </c>
      <c r="D2559">
        <v>2368</v>
      </c>
      <c r="E2559">
        <v>1</v>
      </c>
      <c r="F2559">
        <v>11.8</v>
      </c>
      <c r="G2559" t="s">
        <v>21</v>
      </c>
      <c r="I2559" t="str">
        <f t="shared" si="60"/>
        <v>2368_1</v>
      </c>
      <c r="J2559" t="s">
        <v>533</v>
      </c>
      <c r="K2559" t="s">
        <v>429</v>
      </c>
      <c r="L2559" t="str">
        <f>_xlfn.XLOOKUP(C2559, Table2[Species],Table2[Genus], "Code Not Found")</f>
        <v>Tsuga</v>
      </c>
      <c r="M2559" t="str">
        <f>_xlfn.XLOOKUP(C2559, Table2[Species],Table2[Sp. Name], "Code Not Found")</f>
        <v>canadensis</v>
      </c>
      <c r="N2559" t="str">
        <f>_xlfn.XLOOKUP(C2559,Table2[Species],Table2[Family],"Code Not Found")</f>
        <v>Pinaceae</v>
      </c>
      <c r="O2559" t="str" cm="1">
        <f t="array" ref="O2559">_xlfn.IFS(F2559="","",F2559&lt;=5,"0 to 5",F2559&lt;=10,"5.1 to 10",F2559&lt;=20,"10 to 20", F2559&lt;= 40, "20 to 40", F2559 &lt;= 50, "40 to 50", F2559 &gt; 50, "&gt;50" )</f>
        <v>10 to 20</v>
      </c>
    </row>
    <row r="2560" spans="1:15" ht="15" customHeight="1" x14ac:dyDescent="0.3">
      <c r="A2560" t="s">
        <v>532</v>
      </c>
      <c r="B2560" s="1">
        <v>46213</v>
      </c>
      <c r="C2560" t="s">
        <v>64</v>
      </c>
      <c r="D2560">
        <v>2369</v>
      </c>
      <c r="E2560">
        <v>1</v>
      </c>
      <c r="F2560">
        <v>9.6999999999999993</v>
      </c>
      <c r="G2560" t="s">
        <v>69</v>
      </c>
      <c r="I2560" t="str">
        <f t="shared" si="60"/>
        <v>2369_1</v>
      </c>
      <c r="J2560" t="s">
        <v>533</v>
      </c>
      <c r="K2560" t="s">
        <v>429</v>
      </c>
      <c r="L2560" t="str">
        <f>_xlfn.XLOOKUP(C2560, Table2[Species],Table2[Genus], "Code Not Found")</f>
        <v>Fagus</v>
      </c>
      <c r="M2560" t="str">
        <f>_xlfn.XLOOKUP(C2560, Table2[Species],Table2[Sp. Name], "Code Not Found")</f>
        <v>grandifolia</v>
      </c>
      <c r="N2560" t="str">
        <f>_xlfn.XLOOKUP(C2560,Table2[Species],Table2[Family],"Code Not Found")</f>
        <v>Fagaceae</v>
      </c>
      <c r="O2560" t="str" cm="1">
        <f t="array" ref="O2560">_xlfn.IFS(F2560="","",F2560&lt;=5,"0 to 5",F2560&lt;=10,"5.1 to 10",F2560&lt;=20,"10 to 20", F2560&lt;= 40, "20 to 40", F2560 &lt;= 50, "40 to 50", F2560 &gt; 50, "&gt;50" )</f>
        <v>5.1 to 10</v>
      </c>
    </row>
    <row r="2561" spans="1:15" ht="15" customHeight="1" x14ac:dyDescent="0.3">
      <c r="A2561" t="s">
        <v>532</v>
      </c>
      <c r="B2561" s="1">
        <v>46213</v>
      </c>
      <c r="C2561" t="s">
        <v>430</v>
      </c>
      <c r="D2561">
        <v>2370</v>
      </c>
      <c r="E2561">
        <v>1</v>
      </c>
      <c r="F2561">
        <v>14.2</v>
      </c>
      <c r="G2561" t="s">
        <v>17</v>
      </c>
      <c r="I2561" t="str">
        <f t="shared" si="60"/>
        <v>2370_1</v>
      </c>
      <c r="J2561" t="s">
        <v>533</v>
      </c>
      <c r="K2561" t="s">
        <v>429</v>
      </c>
      <c r="L2561" t="str">
        <f>_xlfn.XLOOKUP(C2561, Table2[Species],Table2[Genus], "Code Not Found")</f>
        <v>Tsuga</v>
      </c>
      <c r="M2561" t="str">
        <f>_xlfn.XLOOKUP(C2561, Table2[Species],Table2[Sp. Name], "Code Not Found")</f>
        <v>canadensis</v>
      </c>
      <c r="N2561" t="str">
        <f>_xlfn.XLOOKUP(C2561,Table2[Species],Table2[Family],"Code Not Found")</f>
        <v>Pinaceae</v>
      </c>
      <c r="O2561" t="str" cm="1">
        <f t="array" ref="O2561">_xlfn.IFS(F2561="","",F2561&lt;=5,"0 to 5",F2561&lt;=10,"5.1 to 10",F2561&lt;=20,"10 to 20", F2561&lt;= 40, "20 to 40", F2561 &lt;= 50, "40 to 50", F2561 &gt; 50, "&gt;50" )</f>
        <v>10 to 20</v>
      </c>
    </row>
    <row r="2562" spans="1:15" ht="15" customHeight="1" x14ac:dyDescent="0.3">
      <c r="A2562" t="s">
        <v>532</v>
      </c>
      <c r="B2562" s="1">
        <v>46213</v>
      </c>
      <c r="C2562" t="s">
        <v>430</v>
      </c>
      <c r="D2562">
        <v>2371</v>
      </c>
      <c r="E2562">
        <v>1</v>
      </c>
      <c r="F2562">
        <v>19.2</v>
      </c>
      <c r="G2562" t="s">
        <v>17</v>
      </c>
      <c r="I2562" t="str">
        <f t="shared" si="60"/>
        <v>2371_1</v>
      </c>
      <c r="J2562" t="s">
        <v>533</v>
      </c>
      <c r="K2562" t="s">
        <v>429</v>
      </c>
      <c r="L2562" t="str">
        <f>_xlfn.XLOOKUP(C2562, Table2[Species],Table2[Genus], "Code Not Found")</f>
        <v>Tsuga</v>
      </c>
      <c r="M2562" t="str">
        <f>_xlfn.XLOOKUP(C2562, Table2[Species],Table2[Sp. Name], "Code Not Found")</f>
        <v>canadensis</v>
      </c>
      <c r="N2562" t="str">
        <f>_xlfn.XLOOKUP(C2562,Table2[Species],Table2[Family],"Code Not Found")</f>
        <v>Pinaceae</v>
      </c>
      <c r="O2562" t="str" cm="1">
        <f t="array" ref="O2562">_xlfn.IFS(F2562="","",F2562&lt;=5,"0 to 5",F2562&lt;=10,"5.1 to 10",F2562&lt;=20,"10 to 20", F2562&lt;= 40, "20 to 40", F2562 &lt;= 50, "40 to 50", F2562 &gt; 50, "&gt;50" )</f>
        <v>10 to 20</v>
      </c>
    </row>
    <row r="2563" spans="1:15" ht="15" customHeight="1" x14ac:dyDescent="0.3">
      <c r="A2563" t="s">
        <v>532</v>
      </c>
      <c r="B2563" s="1">
        <v>46213</v>
      </c>
      <c r="C2563" t="s">
        <v>117</v>
      </c>
      <c r="D2563">
        <v>2372</v>
      </c>
      <c r="E2563">
        <v>1</v>
      </c>
      <c r="F2563">
        <v>2.1</v>
      </c>
      <c r="G2563" t="s">
        <v>17</v>
      </c>
      <c r="I2563" t="str">
        <f t="shared" si="60"/>
        <v>2372_1</v>
      </c>
      <c r="J2563" t="s">
        <v>533</v>
      </c>
      <c r="K2563" t="s">
        <v>429</v>
      </c>
      <c r="L2563" t="str">
        <f>_xlfn.XLOOKUP(C2563, Table2[Species],Table2[Genus], "Code Not Found")</f>
        <v>Ostrya</v>
      </c>
      <c r="M2563" t="str">
        <f>_xlfn.XLOOKUP(C2563, Table2[Species],Table2[Sp. Name], "Code Not Found")</f>
        <v>viginiana</v>
      </c>
      <c r="N2563" t="str">
        <f>_xlfn.XLOOKUP(C2563,Table2[Species],Table2[Family],"Code Not Found")</f>
        <v>Betulaceae</v>
      </c>
      <c r="O2563" t="str" cm="1">
        <f t="array" ref="O2563">_xlfn.IFS(F2563="","",F2563&lt;=5,"0 to 5",F2563&lt;=10,"5.1 to 10",F2563&lt;=20,"10 to 20", F2563&lt;= 40, "20 to 40", F2563 &lt;= 50, "40 to 50", F2563 &gt; 50, "&gt;50" )</f>
        <v>0 to 5</v>
      </c>
    </row>
    <row r="2564" spans="1:15" ht="15" customHeight="1" x14ac:dyDescent="0.3">
      <c r="A2564" t="s">
        <v>532</v>
      </c>
      <c r="B2564" s="1">
        <v>46213</v>
      </c>
      <c r="C2564" t="s">
        <v>16</v>
      </c>
      <c r="D2564">
        <v>2373</v>
      </c>
      <c r="E2564">
        <v>1</v>
      </c>
      <c r="F2564">
        <v>2.7</v>
      </c>
      <c r="G2564" t="s">
        <v>17</v>
      </c>
      <c r="I2564" t="str">
        <f t="shared" si="60"/>
        <v>2373_1</v>
      </c>
      <c r="J2564" t="s">
        <v>533</v>
      </c>
      <c r="K2564" t="s">
        <v>429</v>
      </c>
      <c r="L2564" t="str">
        <f>_xlfn.XLOOKUP(C2564, Table2[Species],Table2[Genus], "Code Not Found")</f>
        <v>Acer</v>
      </c>
      <c r="M2564" t="str">
        <f>_xlfn.XLOOKUP(C2564, Table2[Species],Table2[Sp. Name], "Code Not Found")</f>
        <v>saccharum</v>
      </c>
      <c r="N2564" t="str">
        <f>_xlfn.XLOOKUP(C2564,Table2[Species],Table2[Family],"Code Not Found")</f>
        <v>Sapindaceae</v>
      </c>
      <c r="O2564" t="str" cm="1">
        <f t="array" ref="O2564">_xlfn.IFS(F2564="","",F2564&lt;=5,"0 to 5",F2564&lt;=10,"5.1 to 10",F2564&lt;=20,"10 to 20", F2564&lt;= 40, "20 to 40", F2564 &lt;= 50, "40 to 50", F2564 &gt; 50, "&gt;50" )</f>
        <v>0 to 5</v>
      </c>
    </row>
    <row r="2565" spans="1:15" ht="15" customHeight="1" x14ac:dyDescent="0.3">
      <c r="A2565" t="s">
        <v>532</v>
      </c>
      <c r="B2565" s="1">
        <v>46213</v>
      </c>
      <c r="C2565" t="s">
        <v>117</v>
      </c>
      <c r="D2565">
        <v>2374</v>
      </c>
      <c r="E2565">
        <v>1</v>
      </c>
      <c r="F2565">
        <v>7.9</v>
      </c>
      <c r="G2565" t="s">
        <v>69</v>
      </c>
      <c r="I2565" t="str">
        <f t="shared" si="60"/>
        <v>2374_1</v>
      </c>
      <c r="J2565" t="s">
        <v>533</v>
      </c>
      <c r="K2565" t="s">
        <v>429</v>
      </c>
      <c r="L2565" t="str">
        <f>_xlfn.XLOOKUP(C2565, Table2[Species],Table2[Genus], "Code Not Found")</f>
        <v>Ostrya</v>
      </c>
      <c r="M2565" t="str">
        <f>_xlfn.XLOOKUP(C2565, Table2[Species],Table2[Sp. Name], "Code Not Found")</f>
        <v>viginiana</v>
      </c>
      <c r="N2565" t="str">
        <f>_xlfn.XLOOKUP(C2565,Table2[Species],Table2[Family],"Code Not Found")</f>
        <v>Betulaceae</v>
      </c>
      <c r="O2565" t="str" cm="1">
        <f t="array" ref="O2565">_xlfn.IFS(F2565="","",F2565&lt;=5,"0 to 5",F2565&lt;=10,"5.1 to 10",F2565&lt;=20,"10 to 20", F2565&lt;= 40, "20 to 40", F2565 &lt;= 50, "40 to 50", F2565 &gt; 50, "&gt;50" )</f>
        <v>5.1 to 10</v>
      </c>
    </row>
    <row r="2566" spans="1:15" ht="15" customHeight="1" x14ac:dyDescent="0.3">
      <c r="A2566" t="s">
        <v>532</v>
      </c>
      <c r="B2566" s="1">
        <v>46213</v>
      </c>
      <c r="C2566" t="s">
        <v>16</v>
      </c>
      <c r="D2566">
        <v>2375</v>
      </c>
      <c r="E2566">
        <v>1</v>
      </c>
      <c r="F2566">
        <v>5.2</v>
      </c>
      <c r="G2566" t="s">
        <v>17</v>
      </c>
      <c r="I2566" t="str">
        <f t="shared" si="60"/>
        <v>2375_1</v>
      </c>
      <c r="J2566" t="s">
        <v>533</v>
      </c>
      <c r="K2566" t="s">
        <v>429</v>
      </c>
      <c r="L2566" t="str">
        <f>_xlfn.XLOOKUP(C2566, Table2[Species],Table2[Genus], "Code Not Found")</f>
        <v>Acer</v>
      </c>
      <c r="M2566" t="str">
        <f>_xlfn.XLOOKUP(C2566, Table2[Species],Table2[Sp. Name], "Code Not Found")</f>
        <v>saccharum</v>
      </c>
      <c r="N2566" t="str">
        <f>_xlfn.XLOOKUP(C2566,Table2[Species],Table2[Family],"Code Not Found")</f>
        <v>Sapindaceae</v>
      </c>
      <c r="O2566" t="str" cm="1">
        <f t="array" ref="O2566">_xlfn.IFS(F2566="","",F2566&lt;=5,"0 to 5",F2566&lt;=10,"5.1 to 10",F2566&lt;=20,"10 to 20", F2566&lt;= 40, "20 to 40", F2566 &lt;= 50, "40 to 50", F2566 &gt; 50, "&gt;50" )</f>
        <v>5.1 to 10</v>
      </c>
    </row>
    <row r="2567" spans="1:15" ht="15" customHeight="1" x14ac:dyDescent="0.3">
      <c r="A2567" t="s">
        <v>532</v>
      </c>
      <c r="B2567" s="1">
        <v>46213</v>
      </c>
      <c r="C2567" t="s">
        <v>430</v>
      </c>
      <c r="D2567">
        <v>2376</v>
      </c>
      <c r="E2567">
        <v>1</v>
      </c>
      <c r="F2567">
        <v>12.9</v>
      </c>
      <c r="G2567" t="s">
        <v>69</v>
      </c>
      <c r="I2567" t="str">
        <f t="shared" si="60"/>
        <v>2376_1</v>
      </c>
      <c r="J2567" t="s">
        <v>533</v>
      </c>
      <c r="K2567" t="s">
        <v>429</v>
      </c>
      <c r="L2567" t="str">
        <f>_xlfn.XLOOKUP(C2567, Table2[Species],Table2[Genus], "Code Not Found")</f>
        <v>Tsuga</v>
      </c>
      <c r="M2567" t="str">
        <f>_xlfn.XLOOKUP(C2567, Table2[Species],Table2[Sp. Name], "Code Not Found")</f>
        <v>canadensis</v>
      </c>
      <c r="N2567" t="str">
        <f>_xlfn.XLOOKUP(C2567,Table2[Species],Table2[Family],"Code Not Found")</f>
        <v>Pinaceae</v>
      </c>
      <c r="O2567" t="str" cm="1">
        <f t="array" ref="O2567">_xlfn.IFS(F2567="","",F2567&lt;=5,"0 to 5",F2567&lt;=10,"5.1 to 10",F2567&lt;=20,"10 to 20", F2567&lt;= 40, "20 to 40", F2567 &lt;= 50, "40 to 50", F2567 &gt; 50, "&gt;50" )</f>
        <v>10 to 20</v>
      </c>
    </row>
    <row r="2568" spans="1:15" ht="15" customHeight="1" x14ac:dyDescent="0.3">
      <c r="A2568" t="s">
        <v>532</v>
      </c>
      <c r="B2568" s="1">
        <v>46213</v>
      </c>
      <c r="C2568" t="s">
        <v>430</v>
      </c>
      <c r="D2568">
        <v>2377</v>
      </c>
      <c r="E2568">
        <v>1</v>
      </c>
      <c r="F2568">
        <v>20.6</v>
      </c>
      <c r="G2568" t="s">
        <v>69</v>
      </c>
      <c r="I2568" t="str">
        <f t="shared" si="60"/>
        <v>2377_1</v>
      </c>
      <c r="J2568" t="s">
        <v>533</v>
      </c>
      <c r="K2568" t="s">
        <v>429</v>
      </c>
      <c r="L2568" t="str">
        <f>_xlfn.XLOOKUP(C2568, Table2[Species],Table2[Genus], "Code Not Found")</f>
        <v>Tsuga</v>
      </c>
      <c r="M2568" t="str">
        <f>_xlfn.XLOOKUP(C2568, Table2[Species],Table2[Sp. Name], "Code Not Found")</f>
        <v>canadensis</v>
      </c>
      <c r="N2568" t="str">
        <f>_xlfn.XLOOKUP(C2568,Table2[Species],Table2[Family],"Code Not Found")</f>
        <v>Pinaceae</v>
      </c>
      <c r="O2568" t="str" cm="1">
        <f t="array" ref="O2568">_xlfn.IFS(F2568="","",F2568&lt;=5,"0 to 5",F2568&lt;=10,"5.1 to 10",F2568&lt;=20,"10 to 20", F2568&lt;= 40, "20 to 40", F2568 &lt;= 50, "40 to 50", F2568 &gt; 50, "&gt;50" )</f>
        <v>20 to 40</v>
      </c>
    </row>
    <row r="2569" spans="1:15" ht="15" customHeight="1" x14ac:dyDescent="0.3">
      <c r="A2569" t="s">
        <v>532</v>
      </c>
      <c r="B2569" s="1">
        <v>46213</v>
      </c>
      <c r="C2569" t="s">
        <v>430</v>
      </c>
      <c r="D2569">
        <v>2378</v>
      </c>
      <c r="E2569">
        <v>1</v>
      </c>
      <c r="F2569">
        <v>8.8000000000000007</v>
      </c>
      <c r="G2569" t="s">
        <v>17</v>
      </c>
      <c r="I2569" t="str">
        <f t="shared" si="60"/>
        <v>2378_1</v>
      </c>
      <c r="J2569" t="s">
        <v>533</v>
      </c>
      <c r="K2569" t="s">
        <v>429</v>
      </c>
      <c r="L2569" t="str">
        <f>_xlfn.XLOOKUP(C2569, Table2[Species],Table2[Genus], "Code Not Found")</f>
        <v>Tsuga</v>
      </c>
      <c r="M2569" t="str">
        <f>_xlfn.XLOOKUP(C2569, Table2[Species],Table2[Sp. Name], "Code Not Found")</f>
        <v>canadensis</v>
      </c>
      <c r="N2569" t="str">
        <f>_xlfn.XLOOKUP(C2569,Table2[Species],Table2[Family],"Code Not Found")</f>
        <v>Pinaceae</v>
      </c>
      <c r="O2569" t="str" cm="1">
        <f t="array" ref="O2569">_xlfn.IFS(F2569="","",F2569&lt;=5,"0 to 5",F2569&lt;=10,"5.1 to 10",F2569&lt;=20,"10 to 20", F2569&lt;= 40, "20 to 40", F2569 &lt;= 50, "40 to 50", F2569 &gt; 50, "&gt;50" )</f>
        <v>5.1 to 10</v>
      </c>
    </row>
    <row r="2570" spans="1:15" ht="15" customHeight="1" x14ac:dyDescent="0.3">
      <c r="A2570" t="s">
        <v>532</v>
      </c>
      <c r="B2570" s="1">
        <v>46213</v>
      </c>
      <c r="C2570" t="s">
        <v>430</v>
      </c>
      <c r="D2570">
        <v>2379</v>
      </c>
      <c r="E2570">
        <v>1</v>
      </c>
      <c r="F2570">
        <v>21.2</v>
      </c>
      <c r="G2570" t="s">
        <v>21</v>
      </c>
      <c r="I2570" t="str">
        <f t="shared" si="60"/>
        <v>2379_1</v>
      </c>
      <c r="J2570" t="s">
        <v>533</v>
      </c>
      <c r="K2570" t="s">
        <v>429</v>
      </c>
      <c r="L2570" t="str">
        <f>_xlfn.XLOOKUP(C2570, Table2[Species],Table2[Genus], "Code Not Found")</f>
        <v>Tsuga</v>
      </c>
      <c r="M2570" t="str">
        <f>_xlfn.XLOOKUP(C2570, Table2[Species],Table2[Sp. Name], "Code Not Found")</f>
        <v>canadensis</v>
      </c>
      <c r="N2570" t="str">
        <f>_xlfn.XLOOKUP(C2570,Table2[Species],Table2[Family],"Code Not Found")</f>
        <v>Pinaceae</v>
      </c>
      <c r="O2570" t="str" cm="1">
        <f t="array" ref="O2570">_xlfn.IFS(F2570="","",F2570&lt;=5,"0 to 5",F2570&lt;=10,"5.1 to 10",F2570&lt;=20,"10 to 20", F2570&lt;= 40, "20 to 40", F2570 &lt;= 50, "40 to 50", F2570 &gt; 50, "&gt;50" )</f>
        <v>20 to 40</v>
      </c>
    </row>
    <row r="2571" spans="1:15" ht="15" customHeight="1" x14ac:dyDescent="0.3">
      <c r="A2571" t="s">
        <v>532</v>
      </c>
      <c r="B2571" s="1">
        <v>46213</v>
      </c>
      <c r="C2571" t="s">
        <v>16</v>
      </c>
      <c r="D2571">
        <v>2380</v>
      </c>
      <c r="E2571">
        <v>1</v>
      </c>
      <c r="F2571">
        <v>20.6</v>
      </c>
      <c r="G2571" t="s">
        <v>21</v>
      </c>
      <c r="I2571" t="str">
        <f t="shared" si="60"/>
        <v>2380_1</v>
      </c>
      <c r="J2571" t="s">
        <v>533</v>
      </c>
      <c r="K2571" t="s">
        <v>429</v>
      </c>
      <c r="L2571" t="str">
        <f>_xlfn.XLOOKUP(C2571, Table2[Species],Table2[Genus], "Code Not Found")</f>
        <v>Acer</v>
      </c>
      <c r="M2571" t="str">
        <f>_xlfn.XLOOKUP(C2571, Table2[Species],Table2[Sp. Name], "Code Not Found")</f>
        <v>saccharum</v>
      </c>
      <c r="N2571" t="str">
        <f>_xlfn.XLOOKUP(C2571,Table2[Species],Table2[Family],"Code Not Found")</f>
        <v>Sapindaceae</v>
      </c>
      <c r="O2571" t="str" cm="1">
        <f t="array" ref="O2571">_xlfn.IFS(F2571="","",F2571&lt;=5,"0 to 5",F2571&lt;=10,"5.1 to 10",F2571&lt;=20,"10 to 20", F2571&lt;= 40, "20 to 40", F2571 &lt;= 50, "40 to 50", F2571 &gt; 50, "&gt;50" )</f>
        <v>20 to 40</v>
      </c>
    </row>
    <row r="2572" spans="1:15" ht="15" customHeight="1" x14ac:dyDescent="0.3">
      <c r="A2572" t="s">
        <v>532</v>
      </c>
      <c r="B2572" s="1">
        <v>46213</v>
      </c>
      <c r="C2572" t="s">
        <v>64</v>
      </c>
      <c r="D2572">
        <v>2381</v>
      </c>
      <c r="E2572">
        <v>1</v>
      </c>
      <c r="F2572">
        <v>18.399999999999999</v>
      </c>
      <c r="G2572" t="s">
        <v>21</v>
      </c>
      <c r="H2572" t="s">
        <v>538</v>
      </c>
      <c r="I2572" t="str">
        <f t="shared" si="60"/>
        <v>2381_1</v>
      </c>
      <c r="J2572" t="s">
        <v>533</v>
      </c>
      <c r="K2572" t="s">
        <v>429</v>
      </c>
      <c r="L2572" t="str">
        <f>_xlfn.XLOOKUP(C2572, Table2[Species],Table2[Genus], "Code Not Found")</f>
        <v>Fagus</v>
      </c>
      <c r="M2572" t="str">
        <f>_xlfn.XLOOKUP(C2572, Table2[Species],Table2[Sp. Name], "Code Not Found")</f>
        <v>grandifolia</v>
      </c>
      <c r="N2572" t="str">
        <f>_xlfn.XLOOKUP(C2572,Table2[Species],Table2[Family],"Code Not Found")</f>
        <v>Fagaceae</v>
      </c>
      <c r="O2572" t="str" cm="1">
        <f t="array" ref="O2572">_xlfn.IFS(F2572="","",F2572&lt;=5,"0 to 5",F2572&lt;=10,"5.1 to 10",F2572&lt;=20,"10 to 20", F2572&lt;= 40, "20 to 40", F2572 &lt;= 50, "40 to 50", F2572 &gt; 50, "&gt;50" )</f>
        <v>10 to 20</v>
      </c>
    </row>
    <row r="2573" spans="1:15" ht="15" customHeight="1" x14ac:dyDescent="0.3">
      <c r="A2573" t="s">
        <v>532</v>
      </c>
      <c r="B2573" s="1">
        <v>46213</v>
      </c>
      <c r="C2573" t="s">
        <v>430</v>
      </c>
      <c r="D2573">
        <v>2382</v>
      </c>
      <c r="E2573">
        <v>1</v>
      </c>
      <c r="F2573">
        <v>23.7</v>
      </c>
      <c r="G2573" t="s">
        <v>30</v>
      </c>
      <c r="H2573" t="s">
        <v>99</v>
      </c>
      <c r="I2573" t="str">
        <f t="shared" si="60"/>
        <v>2382_1</v>
      </c>
      <c r="J2573" t="s">
        <v>533</v>
      </c>
      <c r="K2573" t="s">
        <v>429</v>
      </c>
      <c r="L2573" t="str">
        <f>_xlfn.XLOOKUP(C2573, Table2[Species],Table2[Genus], "Code Not Found")</f>
        <v>Tsuga</v>
      </c>
      <c r="M2573" t="str">
        <f>_xlfn.XLOOKUP(C2573, Table2[Species],Table2[Sp. Name], "Code Not Found")</f>
        <v>canadensis</v>
      </c>
      <c r="N2573" t="str">
        <f>_xlfn.XLOOKUP(C2573,Table2[Species],Table2[Family],"Code Not Found")</f>
        <v>Pinaceae</v>
      </c>
      <c r="O2573" t="str" cm="1">
        <f t="array" ref="O2573">_xlfn.IFS(F2573="","",F2573&lt;=5,"0 to 5",F2573&lt;=10,"5.1 to 10",F2573&lt;=20,"10 to 20", F2573&lt;= 40, "20 to 40", F2573 &lt;= 50, "40 to 50", F2573 &gt; 50, "&gt;50" )</f>
        <v>20 to 40</v>
      </c>
    </row>
    <row r="2574" spans="1:15" ht="15" customHeight="1" x14ac:dyDescent="0.3">
      <c r="A2574" t="s">
        <v>532</v>
      </c>
      <c r="B2574" s="1">
        <v>46213</v>
      </c>
      <c r="C2574" t="s">
        <v>64</v>
      </c>
      <c r="D2574">
        <v>2383</v>
      </c>
      <c r="E2574">
        <v>1</v>
      </c>
      <c r="F2574">
        <v>10.9</v>
      </c>
      <c r="G2574" t="s">
        <v>17</v>
      </c>
      <c r="H2574" t="s">
        <v>542</v>
      </c>
      <c r="I2574" t="str">
        <f t="shared" si="60"/>
        <v>2383_1</v>
      </c>
      <c r="J2574" t="s">
        <v>533</v>
      </c>
      <c r="K2574" t="s">
        <v>429</v>
      </c>
      <c r="L2574" t="str">
        <f>_xlfn.XLOOKUP(C2574, Table2[Species],Table2[Genus], "Code Not Found")</f>
        <v>Fagus</v>
      </c>
      <c r="M2574" t="str">
        <f>_xlfn.XLOOKUP(C2574, Table2[Species],Table2[Sp. Name], "Code Not Found")</f>
        <v>grandifolia</v>
      </c>
      <c r="N2574" t="str">
        <f>_xlfn.XLOOKUP(C2574,Table2[Species],Table2[Family],"Code Not Found")</f>
        <v>Fagaceae</v>
      </c>
      <c r="O2574" t="str" cm="1">
        <f t="array" ref="O2574">_xlfn.IFS(F2574="","",F2574&lt;=5,"0 to 5",F2574&lt;=10,"5.1 to 10",F2574&lt;=20,"10 to 20", F2574&lt;= 40, "20 to 40", F2574 &lt;= 50, "40 to 50", F2574 &gt; 50, "&gt;50" )</f>
        <v>10 to 20</v>
      </c>
    </row>
    <row r="2575" spans="1:15" ht="15" customHeight="1" x14ac:dyDescent="0.3">
      <c r="A2575" t="s">
        <v>532</v>
      </c>
      <c r="B2575" s="1">
        <v>46216</v>
      </c>
      <c r="C2575" t="s">
        <v>22</v>
      </c>
      <c r="D2575">
        <v>2384</v>
      </c>
      <c r="E2575">
        <v>1</v>
      </c>
      <c r="F2575">
        <v>29.6</v>
      </c>
      <c r="G2575" t="s">
        <v>17</v>
      </c>
      <c r="I2575" t="str">
        <f t="shared" si="60"/>
        <v>2384_1</v>
      </c>
      <c r="J2575" t="s">
        <v>533</v>
      </c>
      <c r="K2575" t="s">
        <v>429</v>
      </c>
      <c r="L2575" t="str">
        <f>_xlfn.XLOOKUP(C2575, Table2[Species],Table2[Genus], "Code Not Found")</f>
        <v>Acer</v>
      </c>
      <c r="M2575" t="str">
        <f>_xlfn.XLOOKUP(C2575, Table2[Species],Table2[Sp. Name], "Code Not Found")</f>
        <v>rubrum</v>
      </c>
      <c r="N2575" t="str">
        <f>_xlfn.XLOOKUP(C2575,Table2[Species],Table2[Family],"Code Not Found")</f>
        <v>Sapindaceae</v>
      </c>
      <c r="O2575" t="str" cm="1">
        <f t="array" ref="O2575">_xlfn.IFS(F2575="","",F2575&lt;=5,"0 to 5",F2575&lt;=10,"5.1 to 10",F2575&lt;=20,"10 to 20", F2575&lt;= 40, "20 to 40", F2575 &lt;= 50, "40 to 50", F2575 &gt; 50, "&gt;50" )</f>
        <v>20 to 40</v>
      </c>
    </row>
    <row r="2576" spans="1:15" ht="15" customHeight="1" x14ac:dyDescent="0.3">
      <c r="A2576" t="s">
        <v>532</v>
      </c>
      <c r="B2576" s="1">
        <v>46216</v>
      </c>
      <c r="C2576" t="s">
        <v>20</v>
      </c>
      <c r="D2576">
        <v>2385</v>
      </c>
      <c r="E2576">
        <v>1</v>
      </c>
      <c r="F2576">
        <v>61.2</v>
      </c>
      <c r="G2576" t="s">
        <v>17</v>
      </c>
      <c r="I2576" t="str">
        <f t="shared" si="60"/>
        <v>2385_1</v>
      </c>
      <c r="J2576" t="s">
        <v>533</v>
      </c>
      <c r="K2576" t="s">
        <v>429</v>
      </c>
      <c r="L2576" t="str">
        <f>_xlfn.XLOOKUP(C2576, Table2[Species],Table2[Genus], "Code Not Found")</f>
        <v>Prunus</v>
      </c>
      <c r="M2576" t="str">
        <f>_xlfn.XLOOKUP(C2576, Table2[Species],Table2[Sp. Name], "Code Not Found")</f>
        <v>serotina</v>
      </c>
      <c r="N2576" t="str">
        <f>_xlfn.XLOOKUP(C2576,Table2[Species],Table2[Family],"Code Not Found")</f>
        <v>Rosaceae</v>
      </c>
      <c r="O2576" t="str" cm="1">
        <f t="array" ref="O2576">_xlfn.IFS(F2576="","",F2576&lt;=5,"0 to 5",F2576&lt;=10,"5.1 to 10",F2576&lt;=20,"10 to 20", F2576&lt;= 40, "20 to 40", F2576 &lt;= 50, "40 to 50", F2576 &gt; 50, "&gt;50" )</f>
        <v>&gt;50</v>
      </c>
    </row>
    <row r="2577" spans="1:15" ht="15" customHeight="1" x14ac:dyDescent="0.3">
      <c r="A2577" t="s">
        <v>532</v>
      </c>
      <c r="B2577" s="1">
        <v>46216</v>
      </c>
      <c r="C2577" t="s">
        <v>543</v>
      </c>
      <c r="D2577">
        <v>2386</v>
      </c>
      <c r="E2577">
        <v>1</v>
      </c>
      <c r="F2577">
        <v>27.3</v>
      </c>
      <c r="G2577" t="s">
        <v>17</v>
      </c>
      <c r="I2577" t="str">
        <f t="shared" si="60"/>
        <v>2386_1</v>
      </c>
      <c r="J2577" t="s">
        <v>533</v>
      </c>
      <c r="K2577" t="s">
        <v>429</v>
      </c>
      <c r="L2577" t="str">
        <f>_xlfn.XLOOKUP(C2577, Table2[Species],Table2[Genus], "Code Not Found")</f>
        <v>Betula</v>
      </c>
      <c r="M2577" t="str">
        <f>_xlfn.XLOOKUP(C2577, Table2[Species],Table2[Sp. Name], "Code Not Found")</f>
        <v>alleghaniensis</v>
      </c>
      <c r="N2577" t="str">
        <f>_xlfn.XLOOKUP(C2577,Table2[Species],Table2[Family],"Code Not Found")</f>
        <v>Betulaceae</v>
      </c>
      <c r="O2577" t="str" cm="1">
        <f t="array" ref="O2577">_xlfn.IFS(F2577="","",F2577&lt;=5,"0 to 5",F2577&lt;=10,"5.1 to 10",F2577&lt;=20,"10 to 20", F2577&lt;= 40, "20 to 40", F2577 &lt;= 50, "40 to 50", F2577 &gt; 50, "&gt;50" )</f>
        <v>20 to 40</v>
      </c>
    </row>
    <row r="2578" spans="1:15" ht="15" customHeight="1" x14ac:dyDescent="0.3">
      <c r="A2578" t="s">
        <v>532</v>
      </c>
      <c r="B2578" s="1">
        <v>46216</v>
      </c>
      <c r="C2578" t="s">
        <v>430</v>
      </c>
      <c r="D2578">
        <v>2387</v>
      </c>
      <c r="E2578">
        <v>1</v>
      </c>
      <c r="F2578">
        <v>13.9</v>
      </c>
      <c r="G2578" t="s">
        <v>17</v>
      </c>
      <c r="I2578" t="str">
        <f t="shared" si="60"/>
        <v>2387_1</v>
      </c>
      <c r="J2578" t="s">
        <v>533</v>
      </c>
      <c r="K2578" t="s">
        <v>429</v>
      </c>
      <c r="L2578" t="str">
        <f>_xlfn.XLOOKUP(C2578, Table2[Species],Table2[Genus], "Code Not Found")</f>
        <v>Tsuga</v>
      </c>
      <c r="M2578" t="str">
        <f>_xlfn.XLOOKUP(C2578, Table2[Species],Table2[Sp. Name], "Code Not Found")</f>
        <v>canadensis</v>
      </c>
      <c r="N2578" t="str">
        <f>_xlfn.XLOOKUP(C2578,Table2[Species],Table2[Family],"Code Not Found")</f>
        <v>Pinaceae</v>
      </c>
      <c r="O2578" t="str" cm="1">
        <f t="array" ref="O2578">_xlfn.IFS(F2578="","",F2578&lt;=5,"0 to 5",F2578&lt;=10,"5.1 to 10",F2578&lt;=20,"10 to 20", F2578&lt;= 40, "20 to 40", F2578 &lt;= 50, "40 to 50", F2578 &gt; 50, "&gt;50" )</f>
        <v>10 to 20</v>
      </c>
    </row>
    <row r="2579" spans="1:15" ht="15" customHeight="1" x14ac:dyDescent="0.3">
      <c r="A2579" t="s">
        <v>532</v>
      </c>
      <c r="B2579" s="1">
        <v>46216</v>
      </c>
      <c r="C2579" t="s">
        <v>430</v>
      </c>
      <c r="D2579">
        <v>2388</v>
      </c>
      <c r="E2579">
        <v>1</v>
      </c>
      <c r="F2579">
        <v>6.6</v>
      </c>
      <c r="G2579" t="s">
        <v>17</v>
      </c>
      <c r="I2579" t="str">
        <f t="shared" si="60"/>
        <v>2388_1</v>
      </c>
      <c r="J2579" t="s">
        <v>533</v>
      </c>
      <c r="K2579" t="s">
        <v>429</v>
      </c>
      <c r="L2579" t="str">
        <f>_xlfn.XLOOKUP(C2579, Table2[Species],Table2[Genus], "Code Not Found")</f>
        <v>Tsuga</v>
      </c>
      <c r="M2579" t="str">
        <f>_xlfn.XLOOKUP(C2579, Table2[Species],Table2[Sp. Name], "Code Not Found")</f>
        <v>canadensis</v>
      </c>
      <c r="N2579" t="str">
        <f>_xlfn.XLOOKUP(C2579,Table2[Species],Table2[Family],"Code Not Found")</f>
        <v>Pinaceae</v>
      </c>
      <c r="O2579" t="str" cm="1">
        <f t="array" ref="O2579">_xlfn.IFS(F2579="","",F2579&lt;=5,"0 to 5",F2579&lt;=10,"5.1 to 10",F2579&lt;=20,"10 to 20", F2579&lt;= 40, "20 to 40", F2579 &lt;= 50, "40 to 50", F2579 &gt; 50, "&gt;50" )</f>
        <v>5.1 to 10</v>
      </c>
    </row>
    <row r="2580" spans="1:15" ht="15" customHeight="1" x14ac:dyDescent="0.3">
      <c r="A2580" t="s">
        <v>532</v>
      </c>
      <c r="B2580" s="1">
        <v>46216</v>
      </c>
      <c r="C2580" t="s">
        <v>430</v>
      </c>
      <c r="D2580">
        <v>2389</v>
      </c>
      <c r="E2580">
        <v>1</v>
      </c>
      <c r="F2580">
        <v>28.6</v>
      </c>
      <c r="G2580" t="s">
        <v>17</v>
      </c>
      <c r="I2580" t="str">
        <f t="shared" si="60"/>
        <v>2389_1</v>
      </c>
      <c r="J2580" t="s">
        <v>533</v>
      </c>
      <c r="K2580" t="s">
        <v>429</v>
      </c>
      <c r="L2580" t="str">
        <f>_xlfn.XLOOKUP(C2580, Table2[Species],Table2[Genus], "Code Not Found")</f>
        <v>Tsuga</v>
      </c>
      <c r="M2580" t="str">
        <f>_xlfn.XLOOKUP(C2580, Table2[Species],Table2[Sp. Name], "Code Not Found")</f>
        <v>canadensis</v>
      </c>
      <c r="N2580" t="str">
        <f>_xlfn.XLOOKUP(C2580,Table2[Species],Table2[Family],"Code Not Found")</f>
        <v>Pinaceae</v>
      </c>
      <c r="O2580" t="str" cm="1">
        <f t="array" ref="O2580">_xlfn.IFS(F2580="","",F2580&lt;=5,"0 to 5",F2580&lt;=10,"5.1 to 10",F2580&lt;=20,"10 to 20", F2580&lt;= 40, "20 to 40", F2580 &lt;= 50, "40 to 50", F2580 &gt; 50, "&gt;50" )</f>
        <v>20 to 40</v>
      </c>
    </row>
    <row r="2581" spans="1:15" ht="15" customHeight="1" x14ac:dyDescent="0.3">
      <c r="A2581" t="s">
        <v>532</v>
      </c>
      <c r="B2581" s="1">
        <v>46216</v>
      </c>
      <c r="C2581" t="s">
        <v>123</v>
      </c>
      <c r="D2581">
        <v>2390</v>
      </c>
      <c r="E2581">
        <v>1</v>
      </c>
      <c r="F2581">
        <v>55.4</v>
      </c>
      <c r="G2581" t="s">
        <v>17</v>
      </c>
      <c r="I2581" t="str">
        <f t="shared" si="60"/>
        <v>2390_1</v>
      </c>
      <c r="J2581" t="s">
        <v>533</v>
      </c>
      <c r="K2581" t="s">
        <v>429</v>
      </c>
      <c r="L2581" t="str">
        <f>_xlfn.XLOOKUP(C2581, Table2[Species],Table2[Genus], "Code Not Found")</f>
        <v>Quercus</v>
      </c>
      <c r="M2581" t="str">
        <f>_xlfn.XLOOKUP(C2581, Table2[Species],Table2[Sp. Name], "Code Not Found")</f>
        <v>rubra</v>
      </c>
      <c r="N2581" t="str">
        <f>_xlfn.XLOOKUP(C2581,Table2[Species],Table2[Family],"Code Not Found")</f>
        <v>Fagaceae</v>
      </c>
      <c r="O2581" t="str" cm="1">
        <f t="array" ref="O2581">_xlfn.IFS(F2581="","",F2581&lt;=5,"0 to 5",F2581&lt;=10,"5.1 to 10",F2581&lt;=20,"10 to 20", F2581&lt;= 40, "20 to 40", F2581 &lt;= 50, "40 to 50", F2581 &gt; 50, "&gt;50" )</f>
        <v>&gt;50</v>
      </c>
    </row>
    <row r="2582" spans="1:15" ht="15" customHeight="1" x14ac:dyDescent="0.3">
      <c r="A2582" t="s">
        <v>532</v>
      </c>
      <c r="B2582" s="1">
        <v>46216</v>
      </c>
      <c r="C2582" t="s">
        <v>430</v>
      </c>
      <c r="D2582">
        <v>2391</v>
      </c>
      <c r="E2582">
        <v>1</v>
      </c>
      <c r="F2582">
        <v>10.6</v>
      </c>
      <c r="G2582" t="s">
        <v>17</v>
      </c>
      <c r="I2582" t="str">
        <f t="shared" si="60"/>
        <v>2391_1</v>
      </c>
      <c r="J2582" t="s">
        <v>533</v>
      </c>
      <c r="K2582" t="s">
        <v>429</v>
      </c>
      <c r="L2582" t="str">
        <f>_xlfn.XLOOKUP(C2582, Table2[Species],Table2[Genus], "Code Not Found")</f>
        <v>Tsuga</v>
      </c>
      <c r="M2582" t="str">
        <f>_xlfn.XLOOKUP(C2582, Table2[Species],Table2[Sp. Name], "Code Not Found")</f>
        <v>canadensis</v>
      </c>
      <c r="N2582" t="str">
        <f>_xlfn.XLOOKUP(C2582,Table2[Species],Table2[Family],"Code Not Found")</f>
        <v>Pinaceae</v>
      </c>
      <c r="O2582" t="str" cm="1">
        <f t="array" ref="O2582">_xlfn.IFS(F2582="","",F2582&lt;=5,"0 to 5",F2582&lt;=10,"5.1 to 10",F2582&lt;=20,"10 to 20", F2582&lt;= 40, "20 to 40", F2582 &lt;= 50, "40 to 50", F2582 &gt; 50, "&gt;50" )</f>
        <v>10 to 20</v>
      </c>
    </row>
    <row r="2583" spans="1:15" ht="15" customHeight="1" x14ac:dyDescent="0.3">
      <c r="A2583" t="s">
        <v>532</v>
      </c>
      <c r="B2583" s="1">
        <v>46216</v>
      </c>
      <c r="C2583" t="s">
        <v>430</v>
      </c>
      <c r="D2583">
        <v>2392</v>
      </c>
      <c r="E2583">
        <v>1</v>
      </c>
      <c r="F2583">
        <v>7.6</v>
      </c>
      <c r="G2583" t="s">
        <v>69</v>
      </c>
      <c r="I2583" t="str">
        <f t="shared" si="60"/>
        <v>2392_1</v>
      </c>
      <c r="J2583" t="s">
        <v>533</v>
      </c>
      <c r="K2583" t="s">
        <v>429</v>
      </c>
      <c r="L2583" t="str">
        <f>_xlfn.XLOOKUP(C2583, Table2[Species],Table2[Genus], "Code Not Found")</f>
        <v>Tsuga</v>
      </c>
      <c r="M2583" t="str">
        <f>_xlfn.XLOOKUP(C2583, Table2[Species],Table2[Sp. Name], "Code Not Found")</f>
        <v>canadensis</v>
      </c>
      <c r="N2583" t="str">
        <f>_xlfn.XLOOKUP(C2583,Table2[Species],Table2[Family],"Code Not Found")</f>
        <v>Pinaceae</v>
      </c>
      <c r="O2583" t="str" cm="1">
        <f t="array" ref="O2583">_xlfn.IFS(F2583="","",F2583&lt;=5,"0 to 5",F2583&lt;=10,"5.1 to 10",F2583&lt;=20,"10 to 20", F2583&lt;= 40, "20 to 40", F2583 &lt;= 50, "40 to 50", F2583 &gt; 50, "&gt;50" )</f>
        <v>5.1 to 10</v>
      </c>
    </row>
    <row r="2584" spans="1:15" ht="15" customHeight="1" x14ac:dyDescent="0.3">
      <c r="A2584" t="s">
        <v>532</v>
      </c>
      <c r="B2584" s="1">
        <v>46216</v>
      </c>
      <c r="C2584" t="s">
        <v>123</v>
      </c>
      <c r="D2584">
        <v>2393</v>
      </c>
      <c r="E2584">
        <v>1</v>
      </c>
      <c r="F2584">
        <v>65.400000000000006</v>
      </c>
      <c r="G2584" t="s">
        <v>17</v>
      </c>
      <c r="I2584" t="str">
        <f t="shared" si="60"/>
        <v>2393_1</v>
      </c>
      <c r="J2584" t="s">
        <v>533</v>
      </c>
      <c r="K2584" t="s">
        <v>429</v>
      </c>
      <c r="L2584" t="str">
        <f>_xlfn.XLOOKUP(C2584, Table2[Species],Table2[Genus], "Code Not Found")</f>
        <v>Quercus</v>
      </c>
      <c r="M2584" t="str">
        <f>_xlfn.XLOOKUP(C2584, Table2[Species],Table2[Sp. Name], "Code Not Found")</f>
        <v>rubra</v>
      </c>
      <c r="N2584" t="str">
        <f>_xlfn.XLOOKUP(C2584,Table2[Species],Table2[Family],"Code Not Found")</f>
        <v>Fagaceae</v>
      </c>
      <c r="O2584" t="str" cm="1">
        <f t="array" ref="O2584">_xlfn.IFS(F2584="","",F2584&lt;=5,"0 to 5",F2584&lt;=10,"5.1 to 10",F2584&lt;=20,"10 to 20", F2584&lt;= 40, "20 to 40", F2584 &lt;= 50, "40 to 50", F2584 &gt; 50, "&gt;50" )</f>
        <v>&gt;50</v>
      </c>
    </row>
    <row r="2585" spans="1:15" ht="15" customHeight="1" x14ac:dyDescent="0.3">
      <c r="A2585" t="s">
        <v>532</v>
      </c>
      <c r="B2585" s="1">
        <v>46216</v>
      </c>
      <c r="C2585" t="s">
        <v>16</v>
      </c>
      <c r="D2585">
        <v>2394</v>
      </c>
      <c r="E2585">
        <v>1</v>
      </c>
      <c r="F2585">
        <v>15.1</v>
      </c>
      <c r="G2585" t="s">
        <v>17</v>
      </c>
      <c r="I2585" t="str">
        <f t="shared" si="60"/>
        <v>2394_1</v>
      </c>
      <c r="J2585" t="s">
        <v>533</v>
      </c>
      <c r="K2585" t="s">
        <v>429</v>
      </c>
      <c r="L2585" t="str">
        <f>_xlfn.XLOOKUP(C2585, Table2[Species],Table2[Genus], "Code Not Found")</f>
        <v>Acer</v>
      </c>
      <c r="M2585" t="str">
        <f>_xlfn.XLOOKUP(C2585, Table2[Species],Table2[Sp. Name], "Code Not Found")</f>
        <v>saccharum</v>
      </c>
      <c r="N2585" t="str">
        <f>_xlfn.XLOOKUP(C2585,Table2[Species],Table2[Family],"Code Not Found")</f>
        <v>Sapindaceae</v>
      </c>
      <c r="O2585" t="str" cm="1">
        <f t="array" ref="O2585">_xlfn.IFS(F2585="","",F2585&lt;=5,"0 to 5",F2585&lt;=10,"5.1 to 10",F2585&lt;=20,"10 to 20", F2585&lt;= 40, "20 to 40", F2585 &lt;= 50, "40 to 50", F2585 &gt; 50, "&gt;50" )</f>
        <v>10 to 20</v>
      </c>
    </row>
    <row r="2586" spans="1:15" ht="15" customHeight="1" x14ac:dyDescent="0.3">
      <c r="A2586" t="s">
        <v>532</v>
      </c>
      <c r="B2586" s="1">
        <v>46216</v>
      </c>
      <c r="C2586" t="s">
        <v>16</v>
      </c>
      <c r="D2586">
        <v>2395</v>
      </c>
      <c r="E2586">
        <v>1</v>
      </c>
      <c r="F2586">
        <v>9.6999999999999993</v>
      </c>
      <c r="G2586" t="s">
        <v>17</v>
      </c>
      <c r="I2586" t="str">
        <f t="shared" si="60"/>
        <v>2395_1</v>
      </c>
      <c r="J2586" t="s">
        <v>533</v>
      </c>
      <c r="K2586" t="s">
        <v>429</v>
      </c>
      <c r="L2586" t="str">
        <f>_xlfn.XLOOKUP(C2586, Table2[Species],Table2[Genus], "Code Not Found")</f>
        <v>Acer</v>
      </c>
      <c r="M2586" t="str">
        <f>_xlfn.XLOOKUP(C2586, Table2[Species],Table2[Sp. Name], "Code Not Found")</f>
        <v>saccharum</v>
      </c>
      <c r="N2586" t="str">
        <f>_xlfn.XLOOKUP(C2586,Table2[Species],Table2[Family],"Code Not Found")</f>
        <v>Sapindaceae</v>
      </c>
      <c r="O2586" t="str" cm="1">
        <f t="array" ref="O2586">_xlfn.IFS(F2586="","",F2586&lt;=5,"0 to 5",F2586&lt;=10,"5.1 to 10",F2586&lt;=20,"10 to 20", F2586&lt;= 40, "20 to 40", F2586 &lt;= 50, "40 to 50", F2586 &gt; 50, "&gt;50" )</f>
        <v>5.1 to 10</v>
      </c>
    </row>
    <row r="2587" spans="1:15" ht="15" customHeight="1" x14ac:dyDescent="0.3">
      <c r="A2587" t="s">
        <v>532</v>
      </c>
      <c r="B2587" s="1">
        <v>46216</v>
      </c>
      <c r="C2587" t="s">
        <v>117</v>
      </c>
      <c r="D2587">
        <v>2396</v>
      </c>
      <c r="E2587">
        <v>1</v>
      </c>
      <c r="F2587">
        <v>8.9</v>
      </c>
      <c r="G2587" t="s">
        <v>57</v>
      </c>
      <c r="I2587" t="str">
        <f t="shared" si="60"/>
        <v>2396_1</v>
      </c>
      <c r="J2587" t="s">
        <v>533</v>
      </c>
      <c r="K2587" t="s">
        <v>429</v>
      </c>
      <c r="L2587" t="str">
        <f>_xlfn.XLOOKUP(C2587, Table2[Species],Table2[Genus], "Code Not Found")</f>
        <v>Ostrya</v>
      </c>
      <c r="M2587" t="str">
        <f>_xlfn.XLOOKUP(C2587, Table2[Species],Table2[Sp. Name], "Code Not Found")</f>
        <v>viginiana</v>
      </c>
      <c r="N2587" t="str">
        <f>_xlfn.XLOOKUP(C2587,Table2[Species],Table2[Family],"Code Not Found")</f>
        <v>Betulaceae</v>
      </c>
      <c r="O2587" t="str" cm="1">
        <f t="array" ref="O2587">_xlfn.IFS(F2587="","",F2587&lt;=5,"0 to 5",F2587&lt;=10,"5.1 to 10",F2587&lt;=20,"10 to 20", F2587&lt;= 40, "20 to 40", F2587 &lt;= 50, "40 to 50", F2587 &gt; 50, "&gt;50" )</f>
        <v>5.1 to 10</v>
      </c>
    </row>
    <row r="2588" spans="1:15" ht="15" customHeight="1" x14ac:dyDescent="0.3">
      <c r="A2588" t="s">
        <v>532</v>
      </c>
      <c r="B2588" s="1">
        <v>46216</v>
      </c>
      <c r="C2588" t="s">
        <v>16</v>
      </c>
      <c r="D2588">
        <v>2397</v>
      </c>
      <c r="E2588">
        <v>1</v>
      </c>
      <c r="F2588">
        <v>6.9</v>
      </c>
      <c r="G2588" t="s">
        <v>21</v>
      </c>
      <c r="I2588" t="str">
        <f t="shared" si="60"/>
        <v>2397_1</v>
      </c>
      <c r="J2588" t="s">
        <v>533</v>
      </c>
      <c r="K2588" t="s">
        <v>429</v>
      </c>
      <c r="L2588" t="str">
        <f>_xlfn.XLOOKUP(C2588, Table2[Species],Table2[Genus], "Code Not Found")</f>
        <v>Acer</v>
      </c>
      <c r="M2588" t="str">
        <f>_xlfn.XLOOKUP(C2588, Table2[Species],Table2[Sp. Name], "Code Not Found")</f>
        <v>saccharum</v>
      </c>
      <c r="N2588" t="str">
        <f>_xlfn.XLOOKUP(C2588,Table2[Species],Table2[Family],"Code Not Found")</f>
        <v>Sapindaceae</v>
      </c>
      <c r="O2588" t="str" cm="1">
        <f t="array" ref="O2588">_xlfn.IFS(F2588="","",F2588&lt;=5,"0 to 5",F2588&lt;=10,"5.1 to 10",F2588&lt;=20,"10 to 20", F2588&lt;= 40, "20 to 40", F2588 &lt;= 50, "40 to 50", F2588 &gt; 50, "&gt;50" )</f>
        <v>5.1 to 10</v>
      </c>
    </row>
    <row r="2589" spans="1:15" ht="15" customHeight="1" x14ac:dyDescent="0.3">
      <c r="A2589" t="s">
        <v>532</v>
      </c>
      <c r="B2589" s="1">
        <v>46216</v>
      </c>
      <c r="C2589" t="s">
        <v>123</v>
      </c>
      <c r="D2589">
        <v>2398</v>
      </c>
      <c r="E2589">
        <v>1</v>
      </c>
      <c r="F2589">
        <v>77.2</v>
      </c>
      <c r="G2589" t="s">
        <v>17</v>
      </c>
      <c r="I2589" t="str">
        <f t="shared" si="60"/>
        <v>2398_1</v>
      </c>
      <c r="J2589" t="s">
        <v>533</v>
      </c>
      <c r="K2589" t="s">
        <v>429</v>
      </c>
      <c r="L2589" t="str">
        <f>_xlfn.XLOOKUP(C2589, Table2[Species],Table2[Genus], "Code Not Found")</f>
        <v>Quercus</v>
      </c>
      <c r="M2589" t="str">
        <f>_xlfn.XLOOKUP(C2589, Table2[Species],Table2[Sp. Name], "Code Not Found")</f>
        <v>rubra</v>
      </c>
      <c r="N2589" t="str">
        <f>_xlfn.XLOOKUP(C2589,Table2[Species],Table2[Family],"Code Not Found")</f>
        <v>Fagaceae</v>
      </c>
      <c r="O2589" t="str" cm="1">
        <f t="array" ref="O2589">_xlfn.IFS(F2589="","",F2589&lt;=5,"0 to 5",F2589&lt;=10,"5.1 to 10",F2589&lt;=20,"10 to 20", F2589&lt;= 40, "20 to 40", F2589 &lt;= 50, "40 to 50", F2589 &gt; 50, "&gt;50" )</f>
        <v>&gt;50</v>
      </c>
    </row>
    <row r="2590" spans="1:15" ht="15" customHeight="1" x14ac:dyDescent="0.3">
      <c r="A2590" t="s">
        <v>532</v>
      </c>
      <c r="B2590" s="1">
        <v>46216</v>
      </c>
      <c r="C2590" t="s">
        <v>123</v>
      </c>
      <c r="D2590">
        <v>2399</v>
      </c>
      <c r="E2590">
        <v>1</v>
      </c>
      <c r="F2590">
        <v>58.6</v>
      </c>
      <c r="G2590" t="s">
        <v>17</v>
      </c>
      <c r="I2590" t="str">
        <f t="shared" si="60"/>
        <v>2399_1</v>
      </c>
      <c r="J2590" t="s">
        <v>533</v>
      </c>
      <c r="K2590" t="s">
        <v>429</v>
      </c>
      <c r="L2590" t="str">
        <f>_xlfn.XLOOKUP(C2590, Table2[Species],Table2[Genus], "Code Not Found")</f>
        <v>Quercus</v>
      </c>
      <c r="M2590" t="str">
        <f>_xlfn.XLOOKUP(C2590, Table2[Species],Table2[Sp. Name], "Code Not Found")</f>
        <v>rubra</v>
      </c>
      <c r="N2590" t="str">
        <f>_xlfn.XLOOKUP(C2590,Table2[Species],Table2[Family],"Code Not Found")</f>
        <v>Fagaceae</v>
      </c>
      <c r="O2590" t="str" cm="1">
        <f t="array" ref="O2590">_xlfn.IFS(F2590="","",F2590&lt;=5,"0 to 5",F2590&lt;=10,"5.1 to 10",F2590&lt;=20,"10 to 20", F2590&lt;= 40, "20 to 40", F2590 &lt;= 50, "40 to 50", F2590 &gt; 50, "&gt;50" )</f>
        <v>&gt;50</v>
      </c>
    </row>
    <row r="2591" spans="1:15" ht="15" customHeight="1" x14ac:dyDescent="0.3">
      <c r="A2591" t="s">
        <v>532</v>
      </c>
      <c r="B2591" s="1">
        <v>46216</v>
      </c>
      <c r="C2591" t="s">
        <v>123</v>
      </c>
      <c r="D2591">
        <v>2400</v>
      </c>
      <c r="E2591">
        <v>1</v>
      </c>
      <c r="F2591">
        <v>52.5</v>
      </c>
      <c r="G2591" t="s">
        <v>51</v>
      </c>
      <c r="H2591" t="s">
        <v>544</v>
      </c>
      <c r="I2591" t="str">
        <f t="shared" si="60"/>
        <v>2400_1</v>
      </c>
      <c r="J2591" t="s">
        <v>533</v>
      </c>
      <c r="K2591" t="s">
        <v>429</v>
      </c>
      <c r="L2591" t="str">
        <f>_xlfn.XLOOKUP(C2591, Table2[Species],Table2[Genus], "Code Not Found")</f>
        <v>Quercus</v>
      </c>
      <c r="M2591" t="str">
        <f>_xlfn.XLOOKUP(C2591, Table2[Species],Table2[Sp. Name], "Code Not Found")</f>
        <v>rubra</v>
      </c>
      <c r="N2591" t="str">
        <f>_xlfn.XLOOKUP(C2591,Table2[Species],Table2[Family],"Code Not Found")</f>
        <v>Fagaceae</v>
      </c>
      <c r="O2591" t="str" cm="1">
        <f t="array" ref="O2591">_xlfn.IFS(F2591="","",F2591&lt;=5,"0 to 5",F2591&lt;=10,"5.1 to 10",F2591&lt;=20,"10 to 20", F2591&lt;= 40, "20 to 40", F2591 &lt;= 50, "40 to 50", F2591 &gt; 50, "&gt;50" )</f>
        <v>&gt;50</v>
      </c>
    </row>
    <row r="2592" spans="1:15" ht="15" customHeight="1" x14ac:dyDescent="0.3">
      <c r="A2592" t="s">
        <v>532</v>
      </c>
      <c r="B2592" s="1">
        <v>46216</v>
      </c>
      <c r="C2592" t="s">
        <v>180</v>
      </c>
      <c r="D2592">
        <v>2401</v>
      </c>
      <c r="E2592">
        <v>1</v>
      </c>
      <c r="F2592">
        <v>6.9</v>
      </c>
      <c r="G2592" t="s">
        <v>57</v>
      </c>
      <c r="H2592" t="s">
        <v>296</v>
      </c>
      <c r="I2592" t="str">
        <f t="shared" si="60"/>
        <v>2401_1</v>
      </c>
      <c r="J2592" t="s">
        <v>533</v>
      </c>
      <c r="K2592" t="s">
        <v>429</v>
      </c>
      <c r="L2592" t="str">
        <f>_xlfn.XLOOKUP(C2592, Table2[Species],Table2[Genus], "Code Not Found")</f>
        <v>Tilia</v>
      </c>
      <c r="M2592" t="str">
        <f>_xlfn.XLOOKUP(C2592, Table2[Species],Table2[Sp. Name], "Code Not Found")</f>
        <v>americana</v>
      </c>
      <c r="N2592" t="str">
        <f>_xlfn.XLOOKUP(C2592,Table2[Species],Table2[Family],"Code Not Found")</f>
        <v>Malvaceae</v>
      </c>
      <c r="O2592" t="str" cm="1">
        <f t="array" ref="O2592">_xlfn.IFS(F2592="","",F2592&lt;=5,"0 to 5",F2592&lt;=10,"5.1 to 10",F2592&lt;=20,"10 to 20", F2592&lt;= 40, "20 to 40", F2592 &lt;= 50, "40 to 50", F2592 &gt; 50, "&gt;50" )</f>
        <v>5.1 to 10</v>
      </c>
    </row>
    <row r="2593" spans="1:15" ht="15" customHeight="1" x14ac:dyDescent="0.3">
      <c r="A2593" t="s">
        <v>532</v>
      </c>
      <c r="B2593" s="1">
        <v>46216</v>
      </c>
      <c r="C2593" t="s">
        <v>545</v>
      </c>
      <c r="D2593">
        <v>2402</v>
      </c>
      <c r="E2593">
        <v>1</v>
      </c>
      <c r="F2593">
        <v>4.3</v>
      </c>
      <c r="G2593" t="s">
        <v>38</v>
      </c>
      <c r="H2593" t="s">
        <v>546</v>
      </c>
      <c r="I2593" t="str">
        <f t="shared" si="60"/>
        <v>2402_1</v>
      </c>
      <c r="J2593" t="s">
        <v>533</v>
      </c>
      <c r="K2593" t="s">
        <v>429</v>
      </c>
      <c r="L2593" t="str">
        <f>_xlfn.XLOOKUP(C2593, Table2[Species],Table2[Genus], "Code Not Found")</f>
        <v>Ulmus</v>
      </c>
      <c r="M2593" t="str">
        <f>_xlfn.XLOOKUP(C2593, Table2[Species],Table2[Sp. Name], "Code Not Found")</f>
        <v>americana</v>
      </c>
      <c r="N2593" t="str">
        <f>_xlfn.XLOOKUP(C2593,Table2[Species],Table2[Family],"Code Not Found")</f>
        <v>Ulmaceae</v>
      </c>
      <c r="O2593" t="str" cm="1">
        <f t="array" ref="O2593">_xlfn.IFS(F2593="","",F2593&lt;=5,"0 to 5",F2593&lt;=10,"5.1 to 10",F2593&lt;=20,"10 to 20", F2593&lt;= 40, "20 to 40", F2593 &lt;= 50, "40 to 50", F2593 &gt; 50, "&gt;50" )</f>
        <v>0 to 5</v>
      </c>
    </row>
    <row r="2594" spans="1:15" ht="15" customHeight="1" x14ac:dyDescent="0.3">
      <c r="A2594" t="s">
        <v>532</v>
      </c>
      <c r="B2594" s="1">
        <v>46216</v>
      </c>
      <c r="C2594" t="s">
        <v>16</v>
      </c>
      <c r="D2594">
        <v>2403</v>
      </c>
      <c r="E2594">
        <v>1</v>
      </c>
      <c r="F2594">
        <v>4.7</v>
      </c>
      <c r="G2594" t="s">
        <v>17</v>
      </c>
      <c r="I2594" t="str">
        <f t="shared" ref="I2594:I2601" si="61">D2594&amp;"_"&amp;E2594</f>
        <v>2403_1</v>
      </c>
      <c r="J2594" t="s">
        <v>533</v>
      </c>
      <c r="K2594" t="s">
        <v>429</v>
      </c>
      <c r="L2594" t="str">
        <f>_xlfn.XLOOKUP(C2594, Table2[Species],Table2[Genus], "Code Not Found")</f>
        <v>Acer</v>
      </c>
      <c r="M2594" t="str">
        <f>_xlfn.XLOOKUP(C2594, Table2[Species],Table2[Sp. Name], "Code Not Found")</f>
        <v>saccharum</v>
      </c>
      <c r="N2594" t="str">
        <f>_xlfn.XLOOKUP(C2594,Table2[Species],Table2[Family],"Code Not Found")</f>
        <v>Sapindaceae</v>
      </c>
      <c r="O2594" t="str" cm="1">
        <f t="array" ref="O2594">_xlfn.IFS(F2594="","",F2594&lt;=5,"0 to 5",F2594&lt;=10,"5.1 to 10",F2594&lt;=20,"10 to 20", F2594&lt;= 40, "20 to 40", F2594 &lt;= 50, "40 to 50", F2594 &gt; 50, "&gt;50" )</f>
        <v>0 to 5</v>
      </c>
    </row>
    <row r="2595" spans="1:15" ht="15" customHeight="1" x14ac:dyDescent="0.3">
      <c r="A2595" t="s">
        <v>532</v>
      </c>
      <c r="B2595" s="1">
        <v>46216</v>
      </c>
      <c r="C2595" t="s">
        <v>64</v>
      </c>
      <c r="D2595">
        <v>2404</v>
      </c>
      <c r="E2595">
        <v>1</v>
      </c>
      <c r="F2595">
        <v>3.6</v>
      </c>
      <c r="G2595" t="s">
        <v>17</v>
      </c>
      <c r="I2595" t="str">
        <f t="shared" si="61"/>
        <v>2404_1</v>
      </c>
      <c r="J2595" t="s">
        <v>533</v>
      </c>
      <c r="K2595" t="s">
        <v>429</v>
      </c>
      <c r="L2595" t="str">
        <f>_xlfn.XLOOKUP(C2595, Table2[Species],Table2[Genus], "Code Not Found")</f>
        <v>Fagus</v>
      </c>
      <c r="M2595" t="str">
        <f>_xlfn.XLOOKUP(C2595, Table2[Species],Table2[Sp. Name], "Code Not Found")</f>
        <v>grandifolia</v>
      </c>
      <c r="N2595" t="str">
        <f>_xlfn.XLOOKUP(C2595,Table2[Species],Table2[Family],"Code Not Found")</f>
        <v>Fagaceae</v>
      </c>
      <c r="O2595" t="str" cm="1">
        <f t="array" ref="O2595">_xlfn.IFS(F2595="","",F2595&lt;=5,"0 to 5",F2595&lt;=10,"5.1 to 10",F2595&lt;=20,"10 to 20", F2595&lt;= 40, "20 to 40", F2595 &lt;= 50, "40 to 50", F2595 &gt; 50, "&gt;50" )</f>
        <v>0 to 5</v>
      </c>
    </row>
    <row r="2596" spans="1:15" ht="15" customHeight="1" x14ac:dyDescent="0.3">
      <c r="A2596" t="s">
        <v>532</v>
      </c>
      <c r="B2596" s="1">
        <v>46216</v>
      </c>
      <c r="C2596" t="s">
        <v>235</v>
      </c>
      <c r="D2596">
        <v>2405</v>
      </c>
      <c r="E2596">
        <v>1</v>
      </c>
      <c r="F2596">
        <v>4.2</v>
      </c>
      <c r="G2596" t="s">
        <v>17</v>
      </c>
      <c r="I2596" t="str">
        <f t="shared" si="61"/>
        <v>2405_1</v>
      </c>
      <c r="J2596" t="s">
        <v>533</v>
      </c>
      <c r="K2596" t="s">
        <v>429</v>
      </c>
      <c r="L2596" t="str">
        <f>_xlfn.XLOOKUP(C2596, Table2[Species],Table2[Genus], "Code Not Found")</f>
        <v>Carpinus</v>
      </c>
      <c r="M2596" t="str">
        <f>_xlfn.XLOOKUP(C2596, Table2[Species],Table2[Sp. Name], "Code Not Found")</f>
        <v>caroliniana</v>
      </c>
      <c r="N2596" t="str">
        <f>_xlfn.XLOOKUP(C2596,Table2[Species],Table2[Family],"Code Not Found")</f>
        <v>Betulaceae</v>
      </c>
      <c r="O2596" t="str" cm="1">
        <f t="array" ref="O2596">_xlfn.IFS(F2596="","",F2596&lt;=5,"0 to 5",F2596&lt;=10,"5.1 to 10",F2596&lt;=20,"10 to 20", F2596&lt;= 40, "20 to 40", F2596 &lt;= 50, "40 to 50", F2596 &gt; 50, "&gt;50" )</f>
        <v>0 to 5</v>
      </c>
    </row>
    <row r="2597" spans="1:15" ht="15" customHeight="1" x14ac:dyDescent="0.3">
      <c r="A2597" t="s">
        <v>532</v>
      </c>
      <c r="B2597" s="1">
        <v>46216</v>
      </c>
      <c r="C2597" t="s">
        <v>22</v>
      </c>
      <c r="D2597">
        <v>2406</v>
      </c>
      <c r="E2597">
        <v>1</v>
      </c>
      <c r="F2597">
        <v>6.4</v>
      </c>
      <c r="G2597" t="s">
        <v>17</v>
      </c>
      <c r="I2597" t="str">
        <f t="shared" si="61"/>
        <v>2406_1</v>
      </c>
      <c r="J2597" t="s">
        <v>533</v>
      </c>
      <c r="K2597" t="s">
        <v>429</v>
      </c>
      <c r="L2597" t="str">
        <f>_xlfn.XLOOKUP(C2597, Table2[Species],Table2[Genus], "Code Not Found")</f>
        <v>Acer</v>
      </c>
      <c r="M2597" t="str">
        <f>_xlfn.XLOOKUP(C2597, Table2[Species],Table2[Sp. Name], "Code Not Found")</f>
        <v>rubrum</v>
      </c>
      <c r="N2597" t="str">
        <f>_xlfn.XLOOKUP(C2597,Table2[Species],Table2[Family],"Code Not Found")</f>
        <v>Sapindaceae</v>
      </c>
      <c r="O2597" t="str" cm="1">
        <f t="array" ref="O2597">_xlfn.IFS(F2597="","",F2597&lt;=5,"0 to 5",F2597&lt;=10,"5.1 to 10",F2597&lt;=20,"10 to 20", F2597&lt;= 40, "20 to 40", F2597 &lt;= 50, "40 to 50", F2597 &gt; 50, "&gt;50" )</f>
        <v>5.1 to 10</v>
      </c>
    </row>
    <row r="2598" spans="1:15" ht="15" customHeight="1" x14ac:dyDescent="0.3">
      <c r="A2598" t="s">
        <v>532</v>
      </c>
      <c r="B2598" s="1">
        <v>46216</v>
      </c>
      <c r="C2598" t="s">
        <v>187</v>
      </c>
      <c r="D2598">
        <v>2407</v>
      </c>
      <c r="E2598">
        <v>1</v>
      </c>
      <c r="F2598">
        <v>53.9</v>
      </c>
      <c r="G2598" t="s">
        <v>17</v>
      </c>
      <c r="I2598" t="str">
        <f t="shared" si="61"/>
        <v>2407_1</v>
      </c>
      <c r="J2598" t="s">
        <v>533</v>
      </c>
      <c r="K2598" t="s">
        <v>429</v>
      </c>
      <c r="L2598" t="str">
        <f>_xlfn.XLOOKUP(C2598, Table2[Species],Table2[Genus], "Code Not Found")</f>
        <v>Carya</v>
      </c>
      <c r="M2598" t="str">
        <f>_xlfn.XLOOKUP(C2598, Table2[Species],Table2[Sp. Name], "Code Not Found")</f>
        <v>cordiformis</v>
      </c>
      <c r="N2598" t="str">
        <f>_xlfn.XLOOKUP(C2598,Table2[Species],Table2[Family],"Code Not Found")</f>
        <v>Juglandaceae</v>
      </c>
      <c r="O2598" t="str" cm="1">
        <f t="array" ref="O2598">_xlfn.IFS(F2598="","",F2598&lt;=5,"0 to 5",F2598&lt;=10,"5.1 to 10",F2598&lt;=20,"10 to 20", F2598&lt;= 40, "20 to 40", F2598 &lt;= 50, "40 to 50", F2598 &gt; 50, "&gt;50" )</f>
        <v>&gt;50</v>
      </c>
    </row>
    <row r="2599" spans="1:15" ht="15" customHeight="1" x14ac:dyDescent="0.3">
      <c r="A2599" t="s">
        <v>532</v>
      </c>
      <c r="B2599" s="1">
        <v>46216</v>
      </c>
      <c r="C2599" t="s">
        <v>64</v>
      </c>
      <c r="D2599">
        <v>2408</v>
      </c>
      <c r="E2599">
        <v>1</v>
      </c>
      <c r="F2599">
        <v>6.4</v>
      </c>
      <c r="G2599" t="s">
        <v>17</v>
      </c>
      <c r="H2599" t="s">
        <v>547</v>
      </c>
      <c r="I2599" t="str">
        <f t="shared" si="61"/>
        <v>2408_1</v>
      </c>
      <c r="J2599" t="s">
        <v>533</v>
      </c>
      <c r="K2599" t="s">
        <v>429</v>
      </c>
      <c r="L2599" t="str">
        <f>_xlfn.XLOOKUP(C2599, Table2[Species],Table2[Genus], "Code Not Found")</f>
        <v>Fagus</v>
      </c>
      <c r="M2599" t="str">
        <f>_xlfn.XLOOKUP(C2599, Table2[Species],Table2[Sp. Name], "Code Not Found")</f>
        <v>grandifolia</v>
      </c>
      <c r="N2599" t="str">
        <f>_xlfn.XLOOKUP(C2599,Table2[Species],Table2[Family],"Code Not Found")</f>
        <v>Fagaceae</v>
      </c>
      <c r="O2599" t="str" cm="1">
        <f t="array" ref="O2599">_xlfn.IFS(F2599="","",F2599&lt;=5,"0 to 5",F2599&lt;=10,"5.1 to 10",F2599&lt;=20,"10 to 20", F2599&lt;= 40, "20 to 40", F2599 &lt;= 50, "40 to 50", F2599 &gt; 50, "&gt;50" )</f>
        <v>5.1 to 10</v>
      </c>
    </row>
    <row r="2600" spans="1:15" ht="15" customHeight="1" x14ac:dyDescent="0.3">
      <c r="A2600" t="s">
        <v>532</v>
      </c>
      <c r="B2600" s="1">
        <v>46216</v>
      </c>
      <c r="C2600" t="s">
        <v>117</v>
      </c>
      <c r="D2600">
        <v>2409</v>
      </c>
      <c r="E2600">
        <v>1</v>
      </c>
      <c r="F2600">
        <v>5.9</v>
      </c>
      <c r="G2600" t="s">
        <v>57</v>
      </c>
      <c r="I2600" t="str">
        <f t="shared" si="61"/>
        <v>2409_1</v>
      </c>
      <c r="J2600" t="s">
        <v>533</v>
      </c>
      <c r="K2600" t="s">
        <v>429</v>
      </c>
      <c r="L2600" t="str">
        <f>_xlfn.XLOOKUP(C2600, Table2[Species],Table2[Genus], "Code Not Found")</f>
        <v>Ostrya</v>
      </c>
      <c r="M2600" t="str">
        <f>_xlfn.XLOOKUP(C2600, Table2[Species],Table2[Sp. Name], "Code Not Found")</f>
        <v>viginiana</v>
      </c>
      <c r="N2600" t="str">
        <f>_xlfn.XLOOKUP(C2600,Table2[Species],Table2[Family],"Code Not Found")</f>
        <v>Betulaceae</v>
      </c>
      <c r="O2600" t="str" cm="1">
        <f t="array" ref="O2600">_xlfn.IFS(F2600="","",F2600&lt;=5,"0 to 5",F2600&lt;=10,"5.1 to 10",F2600&lt;=20,"10 to 20", F2600&lt;= 40, "20 to 40", F2600 &lt;= 50, "40 to 50", F2600 &gt; 50, "&gt;50" )</f>
        <v>5.1 to 10</v>
      </c>
    </row>
    <row r="2601" spans="1:15" ht="15" customHeight="1" x14ac:dyDescent="0.3">
      <c r="A2601" t="s">
        <v>532</v>
      </c>
      <c r="B2601" s="1">
        <v>46216</v>
      </c>
      <c r="C2601" t="s">
        <v>187</v>
      </c>
      <c r="D2601">
        <v>2410</v>
      </c>
      <c r="E2601">
        <v>1</v>
      </c>
      <c r="F2601">
        <v>33.4</v>
      </c>
      <c r="G2601" t="s">
        <v>17</v>
      </c>
      <c r="I2601" t="str">
        <f t="shared" si="61"/>
        <v>2410_1</v>
      </c>
      <c r="J2601" t="s">
        <v>533</v>
      </c>
      <c r="K2601" t="s">
        <v>429</v>
      </c>
      <c r="L2601" t="str">
        <f>_xlfn.XLOOKUP(C2601, Table2[Species],Table2[Genus], "Code Not Found")</f>
        <v>Carya</v>
      </c>
      <c r="M2601" t="str">
        <f>_xlfn.XLOOKUP(C2601, Table2[Species],Table2[Sp. Name], "Code Not Found")</f>
        <v>cordiformis</v>
      </c>
      <c r="N2601" t="str">
        <f>_xlfn.XLOOKUP(C2601,Table2[Species],Table2[Family],"Code Not Found")</f>
        <v>Juglandaceae</v>
      </c>
      <c r="O2601" t="str" cm="1">
        <f t="array" ref="O2601">_xlfn.IFS(F2601="","",F2601&lt;=5,"0 to 5",F2601&lt;=10,"5.1 to 10",F2601&lt;=20,"10 to 20", F2601&lt;= 40, "20 to 40", F2601 &lt;= 50, "40 to 50", F2601 &gt; 50, "&gt;50" )</f>
        <v>20 to 40</v>
      </c>
    </row>
    <row r="2602" spans="1:15" ht="15" customHeight="1" x14ac:dyDescent="0.3">
      <c r="A2602" t="s">
        <v>532</v>
      </c>
      <c r="B2602" s="1">
        <v>46217</v>
      </c>
      <c r="C2602" t="s">
        <v>235</v>
      </c>
      <c r="D2602">
        <v>2411</v>
      </c>
      <c r="E2602">
        <v>1</v>
      </c>
      <c r="F2602">
        <v>7.4</v>
      </c>
      <c r="G2602" t="s">
        <v>17</v>
      </c>
      <c r="H2602" t="s">
        <v>548</v>
      </c>
      <c r="I2602" t="str">
        <f t="shared" ref="I2602:I2633" si="62">D2602&amp;"_"&amp;E2602</f>
        <v>2411_1</v>
      </c>
      <c r="J2602" t="s">
        <v>533</v>
      </c>
      <c r="K2602" t="s">
        <v>429</v>
      </c>
      <c r="L2602" t="str">
        <f>_xlfn.XLOOKUP(C2602, Table2[Species],Table2[Genus], "Code Not Found")</f>
        <v>Carpinus</v>
      </c>
      <c r="M2602" t="str">
        <f>_xlfn.XLOOKUP(C2602, Table2[Species],Table2[Sp. Name], "Code Not Found")</f>
        <v>caroliniana</v>
      </c>
      <c r="N2602" t="str">
        <f>_xlfn.XLOOKUP(C2602,Table2[Species],Table2[Family],"Code Not Found")</f>
        <v>Betulaceae</v>
      </c>
      <c r="O2602" t="str" cm="1">
        <f t="array" ref="O2602">_xlfn.IFS(F2602="","",F2602&lt;=5,"0 to 5",F2602&lt;=10,"5.1 to 10",F2602&lt;=20,"10 to 20", F2602&lt;= 40, "20 to 40", F2602 &lt;= 50, "40 to 50", F2602 &gt; 50, "&gt;50" )</f>
        <v>5.1 to 10</v>
      </c>
    </row>
    <row r="2603" spans="1:15" ht="15" customHeight="1" x14ac:dyDescent="0.3">
      <c r="A2603" t="s">
        <v>532</v>
      </c>
      <c r="B2603" s="1">
        <v>46217</v>
      </c>
      <c r="C2603" t="s">
        <v>64</v>
      </c>
      <c r="D2603">
        <v>2412</v>
      </c>
      <c r="E2603">
        <v>1</v>
      </c>
      <c r="F2603">
        <v>1.4</v>
      </c>
      <c r="G2603" t="s">
        <v>47</v>
      </c>
      <c r="H2603" t="s">
        <v>448</v>
      </c>
      <c r="I2603" t="str">
        <f t="shared" si="62"/>
        <v>2412_1</v>
      </c>
      <c r="J2603" t="s">
        <v>533</v>
      </c>
      <c r="K2603" t="s">
        <v>429</v>
      </c>
      <c r="L2603" t="str">
        <f>_xlfn.XLOOKUP(C2603, Table2[Species],Table2[Genus], "Code Not Found")</f>
        <v>Fagus</v>
      </c>
      <c r="M2603" t="str">
        <f>_xlfn.XLOOKUP(C2603, Table2[Species],Table2[Sp. Name], "Code Not Found")</f>
        <v>grandifolia</v>
      </c>
      <c r="N2603" t="str">
        <f>_xlfn.XLOOKUP(C2603,Table2[Species],Table2[Family],"Code Not Found")</f>
        <v>Fagaceae</v>
      </c>
      <c r="O2603" t="str" cm="1">
        <f t="array" ref="O2603">_xlfn.IFS(F2603="","",F2603&lt;=5,"0 to 5",F2603&lt;=10,"5.1 to 10",F2603&lt;=20,"10 to 20", F2603&lt;= 40, "20 to 40", F2603 &lt;= 50, "40 to 50", F2603 &gt; 50, "&gt;50" )</f>
        <v>0 to 5</v>
      </c>
    </row>
    <row r="2604" spans="1:15" ht="15" customHeight="1" x14ac:dyDescent="0.3">
      <c r="A2604" t="s">
        <v>532</v>
      </c>
      <c r="B2604" s="1">
        <v>46217</v>
      </c>
      <c r="C2604" t="s">
        <v>64</v>
      </c>
      <c r="D2604">
        <v>2413</v>
      </c>
      <c r="E2604">
        <v>1</v>
      </c>
      <c r="F2604">
        <v>1.5</v>
      </c>
      <c r="G2604" t="s">
        <v>47</v>
      </c>
      <c r="H2604" t="s">
        <v>548</v>
      </c>
      <c r="I2604" t="str">
        <f t="shared" si="62"/>
        <v>2413_1</v>
      </c>
      <c r="J2604" t="s">
        <v>533</v>
      </c>
      <c r="K2604" t="s">
        <v>429</v>
      </c>
      <c r="L2604" t="str">
        <f>_xlfn.XLOOKUP(C2604, Table2[Species],Table2[Genus], "Code Not Found")</f>
        <v>Fagus</v>
      </c>
      <c r="M2604" t="str">
        <f>_xlfn.XLOOKUP(C2604, Table2[Species],Table2[Sp. Name], "Code Not Found")</f>
        <v>grandifolia</v>
      </c>
      <c r="N2604" t="str">
        <f>_xlfn.XLOOKUP(C2604,Table2[Species],Table2[Family],"Code Not Found")</f>
        <v>Fagaceae</v>
      </c>
      <c r="O2604" t="str" cm="1">
        <f t="array" ref="O2604">_xlfn.IFS(F2604="","",F2604&lt;=5,"0 to 5",F2604&lt;=10,"5.1 to 10",F2604&lt;=20,"10 to 20", F2604&lt;= 40, "20 to 40", F2604 &lt;= 50, "40 to 50", F2604 &gt; 50, "&gt;50" )</f>
        <v>0 to 5</v>
      </c>
    </row>
    <row r="2605" spans="1:15" ht="15" customHeight="1" x14ac:dyDescent="0.3">
      <c r="A2605" t="s">
        <v>532</v>
      </c>
      <c r="B2605" s="1">
        <v>46217</v>
      </c>
      <c r="C2605" t="s">
        <v>22</v>
      </c>
      <c r="D2605">
        <v>2414</v>
      </c>
      <c r="E2605">
        <v>1</v>
      </c>
      <c r="F2605">
        <v>9.9</v>
      </c>
      <c r="G2605" t="s">
        <v>47</v>
      </c>
      <c r="I2605" t="str">
        <f t="shared" si="62"/>
        <v>2414_1</v>
      </c>
      <c r="J2605" t="s">
        <v>533</v>
      </c>
      <c r="K2605" t="s">
        <v>429</v>
      </c>
      <c r="L2605" t="str">
        <f>_xlfn.XLOOKUP(C2605, Table2[Species],Table2[Genus], "Code Not Found")</f>
        <v>Acer</v>
      </c>
      <c r="M2605" t="str">
        <f>_xlfn.XLOOKUP(C2605, Table2[Species],Table2[Sp. Name], "Code Not Found")</f>
        <v>rubrum</v>
      </c>
      <c r="N2605" t="str">
        <f>_xlfn.XLOOKUP(C2605,Table2[Species],Table2[Family],"Code Not Found")</f>
        <v>Sapindaceae</v>
      </c>
      <c r="O2605" t="str" cm="1">
        <f t="array" ref="O2605">_xlfn.IFS(F2605="","",F2605&lt;=5,"0 to 5",F2605&lt;=10,"5.1 to 10",F2605&lt;=20,"10 to 20", F2605&lt;= 40, "20 to 40", F2605 &lt;= 50, "40 to 50", F2605 &gt; 50, "&gt;50" )</f>
        <v>5.1 to 10</v>
      </c>
    </row>
    <row r="2606" spans="1:15" ht="15" customHeight="1" x14ac:dyDescent="0.3">
      <c r="A2606" t="s">
        <v>532</v>
      </c>
      <c r="B2606" s="1">
        <v>46217</v>
      </c>
      <c r="C2606" t="s">
        <v>16</v>
      </c>
      <c r="D2606">
        <v>2415</v>
      </c>
      <c r="E2606">
        <v>1</v>
      </c>
      <c r="F2606">
        <v>3.6</v>
      </c>
      <c r="G2606" t="s">
        <v>17</v>
      </c>
      <c r="H2606" t="s">
        <v>548</v>
      </c>
      <c r="I2606" t="str">
        <f t="shared" si="62"/>
        <v>2415_1</v>
      </c>
      <c r="J2606" t="s">
        <v>533</v>
      </c>
      <c r="K2606" t="s">
        <v>429</v>
      </c>
      <c r="L2606" t="str">
        <f>_xlfn.XLOOKUP(C2606, Table2[Species],Table2[Genus], "Code Not Found")</f>
        <v>Acer</v>
      </c>
      <c r="M2606" t="str">
        <f>_xlfn.XLOOKUP(C2606, Table2[Species],Table2[Sp. Name], "Code Not Found")</f>
        <v>saccharum</v>
      </c>
      <c r="N2606" t="str">
        <f>_xlfn.XLOOKUP(C2606,Table2[Species],Table2[Family],"Code Not Found")</f>
        <v>Sapindaceae</v>
      </c>
      <c r="O2606" t="str" cm="1">
        <f t="array" ref="O2606">_xlfn.IFS(F2606="","",F2606&lt;=5,"0 to 5",F2606&lt;=10,"5.1 to 10",F2606&lt;=20,"10 to 20", F2606&lt;= 40, "20 to 40", F2606 &lt;= 50, "40 to 50", F2606 &gt; 50, "&gt;50" )</f>
        <v>0 to 5</v>
      </c>
    </row>
    <row r="2607" spans="1:15" ht="15" customHeight="1" x14ac:dyDescent="0.3">
      <c r="A2607" t="s">
        <v>532</v>
      </c>
      <c r="B2607" s="1">
        <v>46217</v>
      </c>
      <c r="C2607" t="s">
        <v>16</v>
      </c>
      <c r="D2607">
        <v>2416</v>
      </c>
      <c r="E2607">
        <v>1</v>
      </c>
      <c r="F2607">
        <v>10.3</v>
      </c>
      <c r="G2607" t="s">
        <v>21</v>
      </c>
      <c r="I2607" t="str">
        <f t="shared" si="62"/>
        <v>2416_1</v>
      </c>
      <c r="J2607" t="s">
        <v>533</v>
      </c>
      <c r="K2607" t="s">
        <v>429</v>
      </c>
      <c r="L2607" t="str">
        <f>_xlfn.XLOOKUP(C2607, Table2[Species],Table2[Genus], "Code Not Found")</f>
        <v>Acer</v>
      </c>
      <c r="M2607" t="str">
        <f>_xlfn.XLOOKUP(C2607, Table2[Species],Table2[Sp. Name], "Code Not Found")</f>
        <v>saccharum</v>
      </c>
      <c r="N2607" t="str">
        <f>_xlfn.XLOOKUP(C2607,Table2[Species],Table2[Family],"Code Not Found")</f>
        <v>Sapindaceae</v>
      </c>
      <c r="O2607" t="str" cm="1">
        <f t="array" ref="O2607">_xlfn.IFS(F2607="","",F2607&lt;=5,"0 to 5",F2607&lt;=10,"5.1 to 10",F2607&lt;=20,"10 to 20", F2607&lt;= 40, "20 to 40", F2607 &lt;= 50, "40 to 50", F2607 &gt; 50, "&gt;50" )</f>
        <v>10 to 20</v>
      </c>
    </row>
    <row r="2608" spans="1:15" ht="15" customHeight="1" x14ac:dyDescent="0.3">
      <c r="A2608" s="24" t="s">
        <v>532</v>
      </c>
      <c r="B2608" s="25">
        <v>46217</v>
      </c>
      <c r="C2608" s="24" t="s">
        <v>430</v>
      </c>
      <c r="D2608" s="24">
        <v>2417</v>
      </c>
      <c r="E2608" s="24">
        <v>1</v>
      </c>
      <c r="F2608" s="24">
        <v>23.2</v>
      </c>
      <c r="G2608" s="24" t="s">
        <v>17</v>
      </c>
      <c r="H2608" s="24" t="s">
        <v>36</v>
      </c>
      <c r="I2608" s="24" t="str">
        <f t="shared" si="62"/>
        <v>2417_1</v>
      </c>
      <c r="J2608" s="24" t="s">
        <v>533</v>
      </c>
      <c r="K2608" s="24" t="s">
        <v>429</v>
      </c>
      <c r="L2608" s="24" t="str">
        <f>_xlfn.XLOOKUP(C2608, Table2[Species],Table2[Genus], "Code Not Found")</f>
        <v>Tsuga</v>
      </c>
      <c r="M2608" s="24" t="str">
        <f>_xlfn.XLOOKUP(C2608, Table2[Species],Table2[Sp. Name], "Code Not Found")</f>
        <v>canadensis</v>
      </c>
      <c r="N2608" s="24" t="str">
        <f>_xlfn.XLOOKUP(C2608,Table2[Species],Table2[Family],"Code Not Found")</f>
        <v>Pinaceae</v>
      </c>
      <c r="O2608" s="24" t="str" cm="1">
        <f t="array" ref="O2608">_xlfn.IFS(F2608="","",F2608&lt;=5,"0 to 5",F2608&lt;=10,"5.1 to 10",F2608&lt;=20,"10 to 20", F2608&lt;= 40, "20 to 40", F2608 &lt;= 50, "40 to 50", F2608 &gt; 50, "&gt;50" )</f>
        <v>20 to 40</v>
      </c>
    </row>
    <row r="2609" spans="1:15" ht="15" customHeight="1" x14ac:dyDescent="0.3">
      <c r="A2609" t="s">
        <v>532</v>
      </c>
      <c r="B2609" s="1">
        <v>46217</v>
      </c>
      <c r="C2609" t="s">
        <v>235</v>
      </c>
      <c r="D2609">
        <v>2418</v>
      </c>
      <c r="E2609">
        <v>1</v>
      </c>
      <c r="F2609">
        <v>6.6</v>
      </c>
      <c r="G2609" t="s">
        <v>104</v>
      </c>
      <c r="H2609" t="s">
        <v>244</v>
      </c>
      <c r="I2609" t="str">
        <f t="shared" si="62"/>
        <v>2418_1</v>
      </c>
      <c r="J2609" t="s">
        <v>533</v>
      </c>
      <c r="K2609" t="s">
        <v>429</v>
      </c>
      <c r="L2609" t="str">
        <f>_xlfn.XLOOKUP(C2609, Table2[Species],Table2[Genus], "Code Not Found")</f>
        <v>Carpinus</v>
      </c>
      <c r="M2609" t="str">
        <f>_xlfn.XLOOKUP(C2609, Table2[Species],Table2[Sp. Name], "Code Not Found")</f>
        <v>caroliniana</v>
      </c>
      <c r="N2609" t="str">
        <f>_xlfn.XLOOKUP(C2609,Table2[Species],Table2[Family],"Code Not Found")</f>
        <v>Betulaceae</v>
      </c>
      <c r="O2609" t="str" cm="1">
        <f t="array" ref="O2609">_xlfn.IFS(F2609="","",F2609&lt;=5,"0 to 5",F2609&lt;=10,"5.1 to 10",F2609&lt;=20,"10 to 20", F2609&lt;= 40, "20 to 40", F2609 &lt;= 50, "40 to 50", F2609 &gt; 50, "&gt;50" )</f>
        <v>5.1 to 10</v>
      </c>
    </row>
    <row r="2610" spans="1:15" ht="15" customHeight="1" x14ac:dyDescent="0.3">
      <c r="A2610" t="s">
        <v>532</v>
      </c>
      <c r="B2610" s="1">
        <v>46217</v>
      </c>
      <c r="C2610" t="s">
        <v>235</v>
      </c>
      <c r="D2610">
        <v>2419</v>
      </c>
      <c r="E2610">
        <v>1</v>
      </c>
      <c r="F2610">
        <v>8.1999999999999993</v>
      </c>
      <c r="G2610" t="s">
        <v>476</v>
      </c>
      <c r="H2610" t="s">
        <v>549</v>
      </c>
      <c r="I2610" t="str">
        <f t="shared" si="62"/>
        <v>2419_1</v>
      </c>
      <c r="J2610" t="s">
        <v>533</v>
      </c>
      <c r="K2610" t="s">
        <v>429</v>
      </c>
      <c r="L2610" t="str">
        <f>_xlfn.XLOOKUP(C2610, Table2[Species],Table2[Genus], "Code Not Found")</f>
        <v>Carpinus</v>
      </c>
      <c r="M2610" t="str">
        <f>_xlfn.XLOOKUP(C2610, Table2[Species],Table2[Sp. Name], "Code Not Found")</f>
        <v>caroliniana</v>
      </c>
      <c r="N2610" t="str">
        <f>_xlfn.XLOOKUP(C2610,Table2[Species],Table2[Family],"Code Not Found")</f>
        <v>Betulaceae</v>
      </c>
      <c r="O2610" t="str" cm="1">
        <f t="array" ref="O2610">_xlfn.IFS(F2610="","",F2610&lt;=5,"0 to 5",F2610&lt;=10,"5.1 to 10",F2610&lt;=20,"10 to 20", F2610&lt;= 40, "20 to 40", F2610 &lt;= 50, "40 to 50", F2610 &gt; 50, "&gt;50" )</f>
        <v>5.1 to 10</v>
      </c>
    </row>
    <row r="2611" spans="1:15" ht="15" customHeight="1" x14ac:dyDescent="0.3">
      <c r="A2611" t="s">
        <v>532</v>
      </c>
      <c r="B2611" s="1">
        <v>46217</v>
      </c>
      <c r="C2611" t="s">
        <v>235</v>
      </c>
      <c r="D2611">
        <v>2419</v>
      </c>
      <c r="E2611">
        <v>2</v>
      </c>
      <c r="F2611">
        <v>3.9</v>
      </c>
      <c r="G2611" t="s">
        <v>32</v>
      </c>
      <c r="I2611" t="str">
        <f t="shared" si="62"/>
        <v>2419_2</v>
      </c>
      <c r="J2611" t="s">
        <v>533</v>
      </c>
      <c r="K2611" t="s">
        <v>429</v>
      </c>
      <c r="L2611" t="str">
        <f>_xlfn.XLOOKUP(C2611, Table2[Species],Table2[Genus], "Code Not Found")</f>
        <v>Carpinus</v>
      </c>
      <c r="M2611" t="str">
        <f>_xlfn.XLOOKUP(C2611, Table2[Species],Table2[Sp. Name], "Code Not Found")</f>
        <v>caroliniana</v>
      </c>
      <c r="N2611" t="str">
        <f>_xlfn.XLOOKUP(C2611,Table2[Species],Table2[Family],"Code Not Found")</f>
        <v>Betulaceae</v>
      </c>
      <c r="O2611" t="str" cm="1">
        <f t="array" ref="O2611">_xlfn.IFS(F2611="","",F2611&lt;=5,"0 to 5",F2611&lt;=10,"5.1 to 10",F2611&lt;=20,"10 to 20", F2611&lt;= 40, "20 to 40", F2611 &lt;= 50, "40 to 50", F2611 &gt; 50, "&gt;50" )</f>
        <v>0 to 5</v>
      </c>
    </row>
    <row r="2612" spans="1:15" ht="15" customHeight="1" x14ac:dyDescent="0.3">
      <c r="A2612" t="s">
        <v>532</v>
      </c>
      <c r="B2612" s="1">
        <v>46217</v>
      </c>
      <c r="C2612" t="s">
        <v>235</v>
      </c>
      <c r="D2612">
        <v>2419</v>
      </c>
      <c r="E2612">
        <v>3</v>
      </c>
      <c r="F2612">
        <v>1.6</v>
      </c>
      <c r="G2612" t="s">
        <v>32</v>
      </c>
      <c r="I2612" t="str">
        <f t="shared" si="62"/>
        <v>2419_3</v>
      </c>
      <c r="J2612" t="s">
        <v>533</v>
      </c>
      <c r="K2612" t="s">
        <v>429</v>
      </c>
      <c r="L2612" t="str">
        <f>_xlfn.XLOOKUP(C2612, Table2[Species],Table2[Genus], "Code Not Found")</f>
        <v>Carpinus</v>
      </c>
      <c r="M2612" t="str">
        <f>_xlfn.XLOOKUP(C2612, Table2[Species],Table2[Sp. Name], "Code Not Found")</f>
        <v>caroliniana</v>
      </c>
      <c r="N2612" t="str">
        <f>_xlfn.XLOOKUP(C2612,Table2[Species],Table2[Family],"Code Not Found")</f>
        <v>Betulaceae</v>
      </c>
      <c r="O2612" t="str" cm="1">
        <f t="array" ref="O2612">_xlfn.IFS(F2612="","",F2612&lt;=5,"0 to 5",F2612&lt;=10,"5.1 to 10",F2612&lt;=20,"10 to 20", F2612&lt;= 40, "20 to 40", F2612 &lt;= 50, "40 to 50", F2612 &gt; 50, "&gt;50" )</f>
        <v>0 to 5</v>
      </c>
    </row>
    <row r="2613" spans="1:15" ht="15" customHeight="1" x14ac:dyDescent="0.3">
      <c r="A2613" t="s">
        <v>532</v>
      </c>
      <c r="B2613" s="1">
        <v>46217</v>
      </c>
      <c r="C2613" t="s">
        <v>117</v>
      </c>
      <c r="D2613">
        <v>2420</v>
      </c>
      <c r="E2613">
        <v>1</v>
      </c>
      <c r="F2613">
        <v>8</v>
      </c>
      <c r="G2613" t="s">
        <v>17</v>
      </c>
      <c r="I2613" t="str">
        <f t="shared" si="62"/>
        <v>2420_1</v>
      </c>
      <c r="J2613" t="s">
        <v>533</v>
      </c>
      <c r="K2613" t="s">
        <v>429</v>
      </c>
      <c r="L2613" t="str">
        <f>_xlfn.XLOOKUP(C2613, Table2[Species],Table2[Genus], "Code Not Found")</f>
        <v>Ostrya</v>
      </c>
      <c r="M2613" t="str">
        <f>_xlfn.XLOOKUP(C2613, Table2[Species],Table2[Sp. Name], "Code Not Found")</f>
        <v>viginiana</v>
      </c>
      <c r="N2613" t="str">
        <f>_xlfn.XLOOKUP(C2613,Table2[Species],Table2[Family],"Code Not Found")</f>
        <v>Betulaceae</v>
      </c>
      <c r="O2613" t="str" cm="1">
        <f t="array" ref="O2613">_xlfn.IFS(F2613="","",F2613&lt;=5,"0 to 5",F2613&lt;=10,"5.1 to 10",F2613&lt;=20,"10 to 20", F2613&lt;= 40, "20 to 40", F2613 &lt;= 50, "40 to 50", F2613 &gt; 50, "&gt;50" )</f>
        <v>5.1 to 10</v>
      </c>
    </row>
    <row r="2614" spans="1:15" ht="15" customHeight="1" x14ac:dyDescent="0.3">
      <c r="A2614" t="s">
        <v>532</v>
      </c>
      <c r="B2614" s="1">
        <v>46217</v>
      </c>
      <c r="C2614" t="s">
        <v>235</v>
      </c>
      <c r="D2614">
        <v>2421</v>
      </c>
      <c r="E2614">
        <v>1</v>
      </c>
      <c r="F2614">
        <v>6.3</v>
      </c>
      <c r="G2614" t="s">
        <v>47</v>
      </c>
      <c r="H2614" t="s">
        <v>296</v>
      </c>
      <c r="I2614" t="str">
        <f t="shared" si="62"/>
        <v>2421_1</v>
      </c>
      <c r="J2614" t="s">
        <v>533</v>
      </c>
      <c r="K2614" t="s">
        <v>429</v>
      </c>
      <c r="L2614" t="str">
        <f>_xlfn.XLOOKUP(C2614, Table2[Species],Table2[Genus], "Code Not Found")</f>
        <v>Carpinus</v>
      </c>
      <c r="M2614" t="str">
        <f>_xlfn.XLOOKUP(C2614, Table2[Species],Table2[Sp. Name], "Code Not Found")</f>
        <v>caroliniana</v>
      </c>
      <c r="N2614" t="str">
        <f>_xlfn.XLOOKUP(C2614,Table2[Species],Table2[Family],"Code Not Found")</f>
        <v>Betulaceae</v>
      </c>
      <c r="O2614" t="str" cm="1">
        <f t="array" ref="O2614">_xlfn.IFS(F2614="","",F2614&lt;=5,"0 to 5",F2614&lt;=10,"5.1 to 10",F2614&lt;=20,"10 to 20", F2614&lt;= 40, "20 to 40", F2614 &lt;= 50, "40 to 50", F2614 &gt; 50, "&gt;50" )</f>
        <v>5.1 to 10</v>
      </c>
    </row>
    <row r="2615" spans="1:15" ht="15" customHeight="1" x14ac:dyDescent="0.3">
      <c r="A2615" t="s">
        <v>532</v>
      </c>
      <c r="B2615" s="1">
        <v>46217</v>
      </c>
      <c r="C2615" t="s">
        <v>64</v>
      </c>
      <c r="D2615">
        <v>2422</v>
      </c>
      <c r="E2615">
        <v>1</v>
      </c>
      <c r="F2615">
        <v>5</v>
      </c>
      <c r="G2615" t="s">
        <v>56</v>
      </c>
      <c r="H2615" t="s">
        <v>87</v>
      </c>
      <c r="I2615" t="str">
        <f t="shared" si="62"/>
        <v>2422_1</v>
      </c>
      <c r="J2615" t="s">
        <v>533</v>
      </c>
      <c r="K2615" t="s">
        <v>429</v>
      </c>
      <c r="L2615" t="str">
        <f>_xlfn.XLOOKUP(C2615, Table2[Species],Table2[Genus], "Code Not Found")</f>
        <v>Fagus</v>
      </c>
      <c r="M2615" t="str">
        <f>_xlfn.XLOOKUP(C2615, Table2[Species],Table2[Sp. Name], "Code Not Found")</f>
        <v>grandifolia</v>
      </c>
      <c r="N2615" t="str">
        <f>_xlfn.XLOOKUP(C2615,Table2[Species],Table2[Family],"Code Not Found")</f>
        <v>Fagaceae</v>
      </c>
      <c r="O2615" t="str" cm="1">
        <f t="array" ref="O2615">_xlfn.IFS(F2615="","",F2615&lt;=5,"0 to 5",F2615&lt;=10,"5.1 to 10",F2615&lt;=20,"10 to 20", F2615&lt;= 40, "20 to 40", F2615 &lt;= 50, "40 to 50", F2615 &gt; 50, "&gt;50" )</f>
        <v>0 to 5</v>
      </c>
    </row>
    <row r="2616" spans="1:15" ht="15" customHeight="1" x14ac:dyDescent="0.3">
      <c r="A2616" t="s">
        <v>532</v>
      </c>
      <c r="B2616" s="1">
        <v>46217</v>
      </c>
      <c r="C2616" t="s">
        <v>24</v>
      </c>
      <c r="D2616">
        <v>2423</v>
      </c>
      <c r="E2616">
        <v>1</v>
      </c>
      <c r="F2616">
        <v>1.3</v>
      </c>
      <c r="G2616" t="s">
        <v>365</v>
      </c>
      <c r="H2616" t="s">
        <v>296</v>
      </c>
      <c r="I2616" t="str">
        <f t="shared" si="62"/>
        <v>2423_1</v>
      </c>
      <c r="J2616" t="s">
        <v>533</v>
      </c>
      <c r="K2616" t="s">
        <v>429</v>
      </c>
      <c r="L2616" t="str">
        <f>_xlfn.XLOOKUP(C2616, Table2[Species],Table2[Genus], "Code Not Found")</f>
        <v>Lirodendron</v>
      </c>
      <c r="M2616" t="str">
        <f>_xlfn.XLOOKUP(C2616, Table2[Species],Table2[Sp. Name], "Code Not Found")</f>
        <v>tulipfera</v>
      </c>
      <c r="N2616" t="str">
        <f>_xlfn.XLOOKUP(C2616,Table2[Species],Table2[Family],"Code Not Found")</f>
        <v>Magnoliaceae</v>
      </c>
      <c r="O2616" t="str" cm="1">
        <f t="array" ref="O2616">_xlfn.IFS(F2616="","",F2616&lt;=5,"0 to 5",F2616&lt;=10,"5.1 to 10",F2616&lt;=20,"10 to 20", F2616&lt;= 40, "20 to 40", F2616 &lt;= 50, "40 to 50", F2616 &gt; 50, "&gt;50" )</f>
        <v>0 to 5</v>
      </c>
    </row>
    <row r="2617" spans="1:15" ht="15" customHeight="1" x14ac:dyDescent="0.3">
      <c r="A2617" t="s">
        <v>532</v>
      </c>
      <c r="B2617" s="1">
        <v>46217</v>
      </c>
      <c r="C2617" t="s">
        <v>415</v>
      </c>
      <c r="D2617">
        <v>2424</v>
      </c>
      <c r="E2617">
        <v>1</v>
      </c>
      <c r="F2617">
        <v>1.1000000000000001</v>
      </c>
      <c r="G2617" t="s">
        <v>47</v>
      </c>
      <c r="I2617" t="str">
        <f t="shared" si="62"/>
        <v>2424_1</v>
      </c>
      <c r="J2617" t="s">
        <v>533</v>
      </c>
      <c r="K2617" t="s">
        <v>429</v>
      </c>
      <c r="L2617" t="str">
        <f>_xlfn.XLOOKUP(C2617, Table2[Species],Table2[Genus], "Code Not Found")</f>
        <v>Fraxinus</v>
      </c>
      <c r="M2617" t="str">
        <f>_xlfn.XLOOKUP(C2617, Table2[Species],Table2[Sp. Name], "Code Not Found")</f>
        <v>pennsylvanica</v>
      </c>
      <c r="N2617" t="str">
        <f>_xlfn.XLOOKUP(C2617,Table2[Species],Table2[Family],"Code Not Found")</f>
        <v>Oleaceae</v>
      </c>
      <c r="O2617" t="str" cm="1">
        <f t="array" ref="O2617">_xlfn.IFS(F2617="","",F2617&lt;=5,"0 to 5",F2617&lt;=10,"5.1 to 10",F2617&lt;=20,"10 to 20", F2617&lt;= 40, "20 to 40", F2617 &lt;= 50, "40 to 50", F2617 &gt; 50, "&gt;50" )</f>
        <v>0 to 5</v>
      </c>
    </row>
    <row r="2618" spans="1:15" ht="15" customHeight="1" x14ac:dyDescent="0.3">
      <c r="A2618" t="s">
        <v>532</v>
      </c>
      <c r="B2618" s="1">
        <v>46217</v>
      </c>
      <c r="C2618" t="s">
        <v>123</v>
      </c>
      <c r="D2618">
        <v>2425</v>
      </c>
      <c r="E2618">
        <v>1</v>
      </c>
      <c r="F2618">
        <v>80.7</v>
      </c>
      <c r="G2618" t="s">
        <v>17</v>
      </c>
      <c r="I2618" t="str">
        <f t="shared" si="62"/>
        <v>2425_1</v>
      </c>
      <c r="J2618" t="s">
        <v>533</v>
      </c>
      <c r="K2618" t="s">
        <v>429</v>
      </c>
      <c r="L2618" t="str">
        <f>_xlfn.XLOOKUP(C2618, Table2[Species],Table2[Genus], "Code Not Found")</f>
        <v>Quercus</v>
      </c>
      <c r="M2618" t="str">
        <f>_xlfn.XLOOKUP(C2618, Table2[Species],Table2[Sp. Name], "Code Not Found")</f>
        <v>rubra</v>
      </c>
      <c r="N2618" t="str">
        <f>_xlfn.XLOOKUP(C2618,Table2[Species],Table2[Family],"Code Not Found")</f>
        <v>Fagaceae</v>
      </c>
      <c r="O2618" t="str" cm="1">
        <f t="array" ref="O2618">_xlfn.IFS(F2618="","",F2618&lt;=5,"0 to 5",F2618&lt;=10,"5.1 to 10",F2618&lt;=20,"10 to 20", F2618&lt;= 40, "20 to 40", F2618 &lt;= 50, "40 to 50", F2618 &gt; 50, "&gt;50" )</f>
        <v>&gt;50</v>
      </c>
    </row>
    <row r="2619" spans="1:15" s="24" customFormat="1" ht="15" customHeight="1" x14ac:dyDescent="0.3">
      <c r="A2619" s="26" t="s">
        <v>532</v>
      </c>
      <c r="B2619" s="27">
        <v>46217</v>
      </c>
      <c r="C2619" s="26" t="s">
        <v>64</v>
      </c>
      <c r="D2619" s="26">
        <v>2985</v>
      </c>
      <c r="E2619" s="26">
        <v>1</v>
      </c>
      <c r="F2619" s="26">
        <v>6.7</v>
      </c>
      <c r="G2619" s="26" t="s">
        <v>550</v>
      </c>
      <c r="H2619" s="26" t="s">
        <v>551</v>
      </c>
      <c r="I2619" s="26" t="str">
        <f t="shared" si="62"/>
        <v>2985_1</v>
      </c>
      <c r="J2619" s="26" t="s">
        <v>533</v>
      </c>
      <c r="K2619" s="26" t="s">
        <v>429</v>
      </c>
      <c r="L2619" s="26" t="str">
        <f>_xlfn.XLOOKUP(C2619, Table2[Species],Table2[Genus], "Code Not Found")</f>
        <v>Fagus</v>
      </c>
      <c r="M2619" s="26" t="str">
        <f>_xlfn.XLOOKUP(C2619, Table2[Species],Table2[Sp. Name], "Code Not Found")</f>
        <v>grandifolia</v>
      </c>
      <c r="N2619" s="26" t="str">
        <f>_xlfn.XLOOKUP(C2619,Table2[Species],Table2[Family],"Code Not Found")</f>
        <v>Fagaceae</v>
      </c>
      <c r="O2619" s="26" t="str" cm="1">
        <f t="array" ref="O2619">_xlfn.IFS(F2619="","",F2619&lt;=5,"0 to 5",F2619&lt;=10,"5.1 to 10",F2619&lt;=20,"10 to 20", F2619&lt;= 40, "20 to 40", F2619 &lt;= 50, "40 to 50", F2619 &gt; 50, "&gt;50" )</f>
        <v>5.1 to 10</v>
      </c>
    </row>
    <row r="2620" spans="1:15" ht="15" customHeight="1" x14ac:dyDescent="0.3">
      <c r="A2620" t="s">
        <v>532</v>
      </c>
      <c r="B2620" s="1">
        <v>46217</v>
      </c>
      <c r="C2620" t="s">
        <v>235</v>
      </c>
      <c r="D2620">
        <v>2427</v>
      </c>
      <c r="E2620">
        <v>1</v>
      </c>
      <c r="F2620">
        <v>5.9</v>
      </c>
      <c r="G2620" t="s">
        <v>47</v>
      </c>
      <c r="H2620" t="s">
        <v>296</v>
      </c>
      <c r="I2620" t="str">
        <f t="shared" si="62"/>
        <v>2427_1</v>
      </c>
      <c r="J2620" t="s">
        <v>533</v>
      </c>
      <c r="K2620" t="s">
        <v>429</v>
      </c>
      <c r="L2620" t="str">
        <f>_xlfn.XLOOKUP(C2620, Table2[Species],Table2[Genus], "Code Not Found")</f>
        <v>Carpinus</v>
      </c>
      <c r="M2620" t="str">
        <f>_xlfn.XLOOKUP(C2620, Table2[Species],Table2[Sp. Name], "Code Not Found")</f>
        <v>caroliniana</v>
      </c>
      <c r="N2620" t="str">
        <f>_xlfn.XLOOKUP(C2620,Table2[Species],Table2[Family],"Code Not Found")</f>
        <v>Betulaceae</v>
      </c>
      <c r="O2620" t="str" cm="1">
        <f t="array" ref="O2620">_xlfn.IFS(F2620="","",F2620&lt;=5,"0 to 5",F2620&lt;=10,"5.1 to 10",F2620&lt;=20,"10 to 20", F2620&lt;= 40, "20 to 40", F2620 &lt;= 50, "40 to 50", F2620 &gt; 50, "&gt;50" )</f>
        <v>5.1 to 10</v>
      </c>
    </row>
    <row r="2621" spans="1:15" ht="15" customHeight="1" x14ac:dyDescent="0.3">
      <c r="A2621" t="s">
        <v>532</v>
      </c>
      <c r="B2621" s="1">
        <v>46217</v>
      </c>
      <c r="C2621" t="s">
        <v>235</v>
      </c>
      <c r="D2621">
        <v>2428</v>
      </c>
      <c r="E2621">
        <v>1</v>
      </c>
      <c r="F2621">
        <v>5.9</v>
      </c>
      <c r="G2621" t="s">
        <v>17</v>
      </c>
      <c r="I2621" t="str">
        <f t="shared" si="62"/>
        <v>2428_1</v>
      </c>
      <c r="J2621" t="s">
        <v>533</v>
      </c>
      <c r="K2621" t="s">
        <v>429</v>
      </c>
      <c r="L2621" t="str">
        <f>_xlfn.XLOOKUP(C2621, Table2[Species],Table2[Genus], "Code Not Found")</f>
        <v>Carpinus</v>
      </c>
      <c r="M2621" t="str">
        <f>_xlfn.XLOOKUP(C2621, Table2[Species],Table2[Sp. Name], "Code Not Found")</f>
        <v>caroliniana</v>
      </c>
      <c r="N2621" t="str">
        <f>_xlfn.XLOOKUP(C2621,Table2[Species],Table2[Family],"Code Not Found")</f>
        <v>Betulaceae</v>
      </c>
      <c r="O2621" t="str" cm="1">
        <f t="array" ref="O2621">_xlfn.IFS(F2621="","",F2621&lt;=5,"0 to 5",F2621&lt;=10,"5.1 to 10",F2621&lt;=20,"10 to 20", F2621&lt;= 40, "20 to 40", F2621 &lt;= 50, "40 to 50", F2621 &gt; 50, "&gt;50" )</f>
        <v>5.1 to 10</v>
      </c>
    </row>
    <row r="2622" spans="1:15" ht="15" customHeight="1" x14ac:dyDescent="0.3">
      <c r="A2622" t="s">
        <v>532</v>
      </c>
      <c r="B2622" s="1">
        <v>46217</v>
      </c>
      <c r="C2622" t="s">
        <v>24</v>
      </c>
      <c r="D2622">
        <v>2429</v>
      </c>
      <c r="E2622">
        <v>1</v>
      </c>
      <c r="F2622">
        <v>19.399999999999999</v>
      </c>
      <c r="G2622" t="s">
        <v>47</v>
      </c>
      <c r="H2622" t="s">
        <v>347</v>
      </c>
      <c r="I2622" t="str">
        <f t="shared" si="62"/>
        <v>2429_1</v>
      </c>
      <c r="J2622" t="s">
        <v>533</v>
      </c>
      <c r="K2622" t="s">
        <v>429</v>
      </c>
      <c r="L2622" t="str">
        <f>_xlfn.XLOOKUP(C2622, Table2[Species],Table2[Genus], "Code Not Found")</f>
        <v>Lirodendron</v>
      </c>
      <c r="M2622" t="str">
        <f>_xlfn.XLOOKUP(C2622, Table2[Species],Table2[Sp. Name], "Code Not Found")</f>
        <v>tulipfera</v>
      </c>
      <c r="N2622" t="str">
        <f>_xlfn.XLOOKUP(C2622,Table2[Species],Table2[Family],"Code Not Found")</f>
        <v>Magnoliaceae</v>
      </c>
      <c r="O2622" t="str" cm="1">
        <f t="array" ref="O2622">_xlfn.IFS(F2622="","",F2622&lt;=5,"0 to 5",F2622&lt;=10,"5.1 to 10",F2622&lt;=20,"10 to 20", F2622&lt;= 40, "20 to 40", F2622 &lt;= 50, "40 to 50", F2622 &gt; 50, "&gt;50" )</f>
        <v>10 to 20</v>
      </c>
    </row>
    <row r="2623" spans="1:15" ht="15" customHeight="1" x14ac:dyDescent="0.3">
      <c r="A2623" t="s">
        <v>532</v>
      </c>
      <c r="B2623" s="1">
        <v>46217</v>
      </c>
      <c r="C2623" t="s">
        <v>64</v>
      </c>
      <c r="D2623">
        <v>2430</v>
      </c>
      <c r="E2623">
        <v>1</v>
      </c>
      <c r="F2623">
        <v>12.1</v>
      </c>
      <c r="G2623" t="s">
        <v>21</v>
      </c>
      <c r="H2623" t="s">
        <v>552</v>
      </c>
      <c r="I2623" t="str">
        <f t="shared" si="62"/>
        <v>2430_1</v>
      </c>
      <c r="J2623" t="s">
        <v>533</v>
      </c>
      <c r="K2623" t="s">
        <v>429</v>
      </c>
      <c r="L2623" t="str">
        <f>_xlfn.XLOOKUP(C2623, Table2[Species],Table2[Genus], "Code Not Found")</f>
        <v>Fagus</v>
      </c>
      <c r="M2623" t="str">
        <f>_xlfn.XLOOKUP(C2623, Table2[Species],Table2[Sp. Name], "Code Not Found")</f>
        <v>grandifolia</v>
      </c>
      <c r="N2623" t="str">
        <f>_xlfn.XLOOKUP(C2623,Table2[Species],Table2[Family],"Code Not Found")</f>
        <v>Fagaceae</v>
      </c>
      <c r="O2623" t="str" cm="1">
        <f t="array" ref="O2623">_xlfn.IFS(F2623="","",F2623&lt;=5,"0 to 5",F2623&lt;=10,"5.1 to 10",F2623&lt;=20,"10 to 20", F2623&lt;= 40, "20 to 40", F2623 &lt;= 50, "40 to 50", F2623 &gt; 50, "&gt;50" )</f>
        <v>10 to 20</v>
      </c>
    </row>
    <row r="2624" spans="1:15" ht="15" customHeight="1" x14ac:dyDescent="0.3">
      <c r="A2624" t="s">
        <v>532</v>
      </c>
      <c r="B2624" s="1">
        <v>46217</v>
      </c>
      <c r="C2624" t="s">
        <v>64</v>
      </c>
      <c r="D2624">
        <v>2431</v>
      </c>
      <c r="E2624">
        <v>1</v>
      </c>
      <c r="F2624">
        <v>3.8</v>
      </c>
      <c r="G2624" t="s">
        <v>476</v>
      </c>
      <c r="H2624" t="s">
        <v>553</v>
      </c>
      <c r="I2624" t="str">
        <f t="shared" si="62"/>
        <v>2431_1</v>
      </c>
      <c r="J2624" t="s">
        <v>533</v>
      </c>
      <c r="K2624" t="s">
        <v>429</v>
      </c>
      <c r="L2624" t="str">
        <f>_xlfn.XLOOKUP(C2624, Table2[Species],Table2[Genus], "Code Not Found")</f>
        <v>Fagus</v>
      </c>
      <c r="M2624" t="str">
        <f>_xlfn.XLOOKUP(C2624, Table2[Species],Table2[Sp. Name], "Code Not Found")</f>
        <v>grandifolia</v>
      </c>
      <c r="N2624" t="str">
        <f>_xlfn.XLOOKUP(C2624,Table2[Species],Table2[Family],"Code Not Found")</f>
        <v>Fagaceae</v>
      </c>
      <c r="O2624" t="str" cm="1">
        <f t="array" ref="O2624">_xlfn.IFS(F2624="","",F2624&lt;=5,"0 to 5",F2624&lt;=10,"5.1 to 10",F2624&lt;=20,"10 to 20", F2624&lt;= 40, "20 to 40", F2624 &lt;= 50, "40 to 50", F2624 &gt; 50, "&gt;50" )</f>
        <v>0 to 5</v>
      </c>
    </row>
    <row r="2625" spans="1:15" ht="15" customHeight="1" x14ac:dyDescent="0.3">
      <c r="A2625" t="s">
        <v>532</v>
      </c>
      <c r="B2625" s="1">
        <v>46217</v>
      </c>
      <c r="C2625" t="s">
        <v>64</v>
      </c>
      <c r="D2625">
        <v>2431</v>
      </c>
      <c r="E2625">
        <v>2</v>
      </c>
      <c r="F2625">
        <v>1.6</v>
      </c>
      <c r="G2625" t="s">
        <v>476</v>
      </c>
      <c r="H2625" t="s">
        <v>554</v>
      </c>
      <c r="I2625" t="str">
        <f t="shared" si="62"/>
        <v>2431_2</v>
      </c>
      <c r="J2625" t="s">
        <v>533</v>
      </c>
      <c r="K2625" t="s">
        <v>429</v>
      </c>
      <c r="L2625" t="str">
        <f>_xlfn.XLOOKUP(C2625, Table2[Species],Table2[Genus], "Code Not Found")</f>
        <v>Fagus</v>
      </c>
      <c r="M2625" t="str">
        <f>_xlfn.XLOOKUP(C2625, Table2[Species],Table2[Sp. Name], "Code Not Found")</f>
        <v>grandifolia</v>
      </c>
      <c r="N2625" t="str">
        <f>_xlfn.XLOOKUP(C2625,Table2[Species],Table2[Family],"Code Not Found")</f>
        <v>Fagaceae</v>
      </c>
      <c r="O2625" t="str" cm="1">
        <f t="array" ref="O2625">_xlfn.IFS(F2625="","",F2625&lt;=5,"0 to 5",F2625&lt;=10,"5.1 to 10",F2625&lt;=20,"10 to 20", F2625&lt;= 40, "20 to 40", F2625 &lt;= 50, "40 to 50", F2625 &gt; 50, "&gt;50" )</f>
        <v>0 to 5</v>
      </c>
    </row>
    <row r="2626" spans="1:15" ht="15" customHeight="1" x14ac:dyDescent="0.3">
      <c r="A2626" t="s">
        <v>532</v>
      </c>
      <c r="B2626" s="1">
        <v>46217</v>
      </c>
      <c r="C2626" t="s">
        <v>235</v>
      </c>
      <c r="D2626">
        <v>2432</v>
      </c>
      <c r="E2626">
        <v>1</v>
      </c>
      <c r="F2626">
        <v>6.2</v>
      </c>
      <c r="G2626" t="s">
        <v>21</v>
      </c>
      <c r="I2626" t="str">
        <f t="shared" si="62"/>
        <v>2432_1</v>
      </c>
      <c r="J2626" t="s">
        <v>533</v>
      </c>
      <c r="K2626" t="s">
        <v>429</v>
      </c>
      <c r="L2626" t="str">
        <f>_xlfn.XLOOKUP(C2626, Table2[Species],Table2[Genus], "Code Not Found")</f>
        <v>Carpinus</v>
      </c>
      <c r="M2626" t="str">
        <f>_xlfn.XLOOKUP(C2626, Table2[Species],Table2[Sp. Name], "Code Not Found")</f>
        <v>caroliniana</v>
      </c>
      <c r="N2626" t="str">
        <f>_xlfn.XLOOKUP(C2626,Table2[Species],Table2[Family],"Code Not Found")</f>
        <v>Betulaceae</v>
      </c>
      <c r="O2626" t="str" cm="1">
        <f t="array" ref="O2626">_xlfn.IFS(F2626="","",F2626&lt;=5,"0 to 5",F2626&lt;=10,"5.1 to 10",F2626&lt;=20,"10 to 20", F2626&lt;= 40, "20 to 40", F2626 &lt;= 50, "40 to 50", F2626 &gt; 50, "&gt;50" )</f>
        <v>5.1 to 10</v>
      </c>
    </row>
    <row r="2627" spans="1:15" ht="15" customHeight="1" x14ac:dyDescent="0.3">
      <c r="A2627" t="s">
        <v>532</v>
      </c>
      <c r="B2627" s="1">
        <v>46217</v>
      </c>
      <c r="C2627" t="s">
        <v>22</v>
      </c>
      <c r="D2627">
        <v>2433</v>
      </c>
      <c r="E2627">
        <v>1</v>
      </c>
      <c r="F2627">
        <v>19</v>
      </c>
      <c r="G2627" t="s">
        <v>21</v>
      </c>
      <c r="I2627" t="str">
        <f t="shared" si="62"/>
        <v>2433_1</v>
      </c>
      <c r="J2627" t="s">
        <v>533</v>
      </c>
      <c r="K2627" t="s">
        <v>429</v>
      </c>
      <c r="L2627" t="str">
        <f>_xlfn.XLOOKUP(C2627, Table2[Species],Table2[Genus], "Code Not Found")</f>
        <v>Acer</v>
      </c>
      <c r="M2627" t="str">
        <f>_xlfn.XLOOKUP(C2627, Table2[Species],Table2[Sp. Name], "Code Not Found")</f>
        <v>rubrum</v>
      </c>
      <c r="N2627" t="str">
        <f>_xlfn.XLOOKUP(C2627,Table2[Species],Table2[Family],"Code Not Found")</f>
        <v>Sapindaceae</v>
      </c>
      <c r="O2627" t="str" cm="1">
        <f t="array" ref="O2627">_xlfn.IFS(F2627="","",F2627&lt;=5,"0 to 5",F2627&lt;=10,"5.1 to 10",F2627&lt;=20,"10 to 20", F2627&lt;= 40, "20 to 40", F2627 &lt;= 50, "40 to 50", F2627 &gt; 50, "&gt;50" )</f>
        <v>10 to 20</v>
      </c>
    </row>
    <row r="2628" spans="1:15" ht="15" customHeight="1" x14ac:dyDescent="0.3">
      <c r="A2628" t="s">
        <v>532</v>
      </c>
      <c r="B2628" s="1">
        <v>46217</v>
      </c>
      <c r="C2628" t="s">
        <v>235</v>
      </c>
      <c r="D2628">
        <v>2434</v>
      </c>
      <c r="E2628">
        <v>1</v>
      </c>
      <c r="F2628">
        <v>8.1</v>
      </c>
      <c r="G2628" t="s">
        <v>88</v>
      </c>
      <c r="H2628" t="s">
        <v>244</v>
      </c>
      <c r="I2628" t="str">
        <f t="shared" si="62"/>
        <v>2434_1</v>
      </c>
      <c r="J2628" t="s">
        <v>533</v>
      </c>
      <c r="K2628" t="s">
        <v>429</v>
      </c>
      <c r="L2628" t="str">
        <f>_xlfn.XLOOKUP(C2628, Table2[Species],Table2[Genus], "Code Not Found")</f>
        <v>Carpinus</v>
      </c>
      <c r="M2628" t="str">
        <f>_xlfn.XLOOKUP(C2628, Table2[Species],Table2[Sp. Name], "Code Not Found")</f>
        <v>caroliniana</v>
      </c>
      <c r="N2628" t="str">
        <f>_xlfn.XLOOKUP(C2628,Table2[Species],Table2[Family],"Code Not Found")</f>
        <v>Betulaceae</v>
      </c>
      <c r="O2628" t="str" cm="1">
        <f t="array" ref="O2628">_xlfn.IFS(F2628="","",F2628&lt;=5,"0 to 5",F2628&lt;=10,"5.1 to 10",F2628&lt;=20,"10 to 20", F2628&lt;= 40, "20 to 40", F2628 &lt;= 50, "40 to 50", F2628 &gt; 50, "&gt;50" )</f>
        <v>5.1 to 10</v>
      </c>
    </row>
    <row r="2629" spans="1:15" ht="15" customHeight="1" x14ac:dyDescent="0.3">
      <c r="A2629" t="s">
        <v>532</v>
      </c>
      <c r="B2629" s="1">
        <v>46217</v>
      </c>
      <c r="C2629" t="s">
        <v>22</v>
      </c>
      <c r="D2629">
        <v>2435</v>
      </c>
      <c r="E2629">
        <v>1</v>
      </c>
      <c r="F2629">
        <v>34.6</v>
      </c>
      <c r="G2629" t="s">
        <v>56</v>
      </c>
      <c r="H2629" t="s">
        <v>555</v>
      </c>
      <c r="I2629" t="str">
        <f t="shared" si="62"/>
        <v>2435_1</v>
      </c>
      <c r="J2629" t="s">
        <v>533</v>
      </c>
      <c r="K2629" t="s">
        <v>429</v>
      </c>
      <c r="L2629" t="str">
        <f>_xlfn.XLOOKUP(C2629, Table2[Species],Table2[Genus], "Code Not Found")</f>
        <v>Acer</v>
      </c>
      <c r="M2629" t="str">
        <f>_xlfn.XLOOKUP(C2629, Table2[Species],Table2[Sp. Name], "Code Not Found")</f>
        <v>rubrum</v>
      </c>
      <c r="N2629" t="str">
        <f>_xlfn.XLOOKUP(C2629,Table2[Species],Table2[Family],"Code Not Found")</f>
        <v>Sapindaceae</v>
      </c>
      <c r="O2629" t="str" cm="1">
        <f t="array" ref="O2629">_xlfn.IFS(F2629="","",F2629&lt;=5,"0 to 5",F2629&lt;=10,"5.1 to 10",F2629&lt;=20,"10 to 20", F2629&lt;= 40, "20 to 40", F2629 &lt;= 50, "40 to 50", F2629 &gt; 50, "&gt;50" )</f>
        <v>20 to 40</v>
      </c>
    </row>
    <row r="2630" spans="1:15" ht="15" customHeight="1" x14ac:dyDescent="0.3">
      <c r="A2630" t="s">
        <v>532</v>
      </c>
      <c r="B2630" s="1">
        <v>46217</v>
      </c>
      <c r="C2630" t="s">
        <v>22</v>
      </c>
      <c r="D2630">
        <v>2436</v>
      </c>
      <c r="E2630">
        <v>1</v>
      </c>
      <c r="F2630">
        <v>26.9</v>
      </c>
      <c r="G2630" t="s">
        <v>17</v>
      </c>
      <c r="H2630" t="s">
        <v>36</v>
      </c>
      <c r="I2630" t="str">
        <f t="shared" si="62"/>
        <v>2436_1</v>
      </c>
      <c r="J2630" t="s">
        <v>533</v>
      </c>
      <c r="K2630" t="s">
        <v>429</v>
      </c>
      <c r="L2630" t="str">
        <f>_xlfn.XLOOKUP(C2630, Table2[Species],Table2[Genus], "Code Not Found")</f>
        <v>Acer</v>
      </c>
      <c r="M2630" t="str">
        <f>_xlfn.XLOOKUP(C2630, Table2[Species],Table2[Sp. Name], "Code Not Found")</f>
        <v>rubrum</v>
      </c>
      <c r="N2630" t="str">
        <f>_xlfn.XLOOKUP(C2630,Table2[Species],Table2[Family],"Code Not Found")</f>
        <v>Sapindaceae</v>
      </c>
      <c r="O2630" t="str" cm="1">
        <f t="array" ref="O2630">_xlfn.IFS(F2630="","",F2630&lt;=5,"0 to 5",F2630&lt;=10,"5.1 to 10",F2630&lt;=20,"10 to 20", F2630&lt;= 40, "20 to 40", F2630 &lt;= 50, "40 to 50", F2630 &gt; 50, "&gt;50" )</f>
        <v>20 to 40</v>
      </c>
    </row>
    <row r="2631" spans="1:15" ht="15" customHeight="1" x14ac:dyDescent="0.3">
      <c r="A2631" t="s">
        <v>532</v>
      </c>
      <c r="B2631" s="1">
        <v>46217</v>
      </c>
      <c r="C2631" t="s">
        <v>64</v>
      </c>
      <c r="D2631">
        <v>2437</v>
      </c>
      <c r="E2631">
        <v>1</v>
      </c>
      <c r="F2631">
        <v>2.2999999999999998</v>
      </c>
      <c r="G2631" t="s">
        <v>47</v>
      </c>
      <c r="H2631" t="s">
        <v>296</v>
      </c>
      <c r="I2631" t="str">
        <f t="shared" si="62"/>
        <v>2437_1</v>
      </c>
      <c r="J2631" t="s">
        <v>533</v>
      </c>
      <c r="K2631" t="s">
        <v>429</v>
      </c>
      <c r="L2631" t="str">
        <f>_xlfn.XLOOKUP(C2631, Table2[Species],Table2[Genus], "Code Not Found")</f>
        <v>Fagus</v>
      </c>
      <c r="M2631" t="str">
        <f>_xlfn.XLOOKUP(C2631, Table2[Species],Table2[Sp. Name], "Code Not Found")</f>
        <v>grandifolia</v>
      </c>
      <c r="N2631" t="str">
        <f>_xlfn.XLOOKUP(C2631,Table2[Species],Table2[Family],"Code Not Found")</f>
        <v>Fagaceae</v>
      </c>
      <c r="O2631" t="str" cm="1">
        <f t="array" ref="O2631">_xlfn.IFS(F2631="","",F2631&lt;=5,"0 to 5",F2631&lt;=10,"5.1 to 10",F2631&lt;=20,"10 to 20", F2631&lt;= 40, "20 to 40", F2631 &lt;= 50, "40 to 50", F2631 &gt; 50, "&gt;50" )</f>
        <v>0 to 5</v>
      </c>
    </row>
    <row r="2632" spans="1:15" ht="15" customHeight="1" x14ac:dyDescent="0.3">
      <c r="A2632" t="s">
        <v>532</v>
      </c>
      <c r="B2632" s="1">
        <v>46217</v>
      </c>
      <c r="C2632" t="s">
        <v>235</v>
      </c>
      <c r="D2632">
        <v>2438</v>
      </c>
      <c r="E2632">
        <v>1</v>
      </c>
      <c r="F2632">
        <v>4.9000000000000004</v>
      </c>
      <c r="G2632" t="s">
        <v>17</v>
      </c>
      <c r="I2632" t="str">
        <f>D2632&amp;"_"&amp;F2632</f>
        <v>2438_4.9</v>
      </c>
      <c r="J2632" t="s">
        <v>533</v>
      </c>
      <c r="K2632" t="s">
        <v>429</v>
      </c>
      <c r="L2632" t="str">
        <f>_xlfn.XLOOKUP(C2632, Table2[Species],Table2[Genus], "Code Not Found")</f>
        <v>Carpinus</v>
      </c>
      <c r="M2632" t="str">
        <f>_xlfn.XLOOKUP(C2632, Table2[Species],Table2[Sp. Name], "Code Not Found")</f>
        <v>caroliniana</v>
      </c>
      <c r="N2632" t="str">
        <f>_xlfn.XLOOKUP(C2632,Table2[Species],Table2[Family],"Code Not Found")</f>
        <v>Betulaceae</v>
      </c>
      <c r="O2632" t="str" cm="1">
        <f t="array" ref="O2632">_xlfn.IFS(G2632="","",G2632&lt;=5,"0 to 5",G2632&lt;=10,"5.1 to 10",G2632&lt;=20,"10 to 20", G2632&lt;= 40, "20 to 40", G2632 &lt;= 50, "40 to 50", G2632 &gt; 50, "&gt;50" )</f>
        <v>&gt;50</v>
      </c>
    </row>
    <row r="2633" spans="1:15" ht="15" customHeight="1" x14ac:dyDescent="0.3">
      <c r="A2633" t="s">
        <v>532</v>
      </c>
      <c r="B2633" s="1">
        <v>46217</v>
      </c>
      <c r="C2633" t="s">
        <v>64</v>
      </c>
      <c r="D2633">
        <v>2439</v>
      </c>
      <c r="E2633">
        <v>1</v>
      </c>
      <c r="F2633">
        <v>2.9</v>
      </c>
      <c r="G2633" t="s">
        <v>47</v>
      </c>
      <c r="H2633" t="s">
        <v>296</v>
      </c>
      <c r="I2633" t="str">
        <f t="shared" si="62"/>
        <v>2439_1</v>
      </c>
      <c r="J2633" t="s">
        <v>533</v>
      </c>
      <c r="K2633" t="s">
        <v>429</v>
      </c>
      <c r="L2633" t="str">
        <f>_xlfn.XLOOKUP(C2633, Table2[Species],Table2[Genus], "Code Not Found")</f>
        <v>Fagus</v>
      </c>
      <c r="M2633" t="str">
        <f>_xlfn.XLOOKUP(C2633, Table2[Species],Table2[Sp. Name], "Code Not Found")</f>
        <v>grandifolia</v>
      </c>
      <c r="N2633" t="str">
        <f>_xlfn.XLOOKUP(C2633,Table2[Species],Table2[Family],"Code Not Found")</f>
        <v>Fagaceae</v>
      </c>
      <c r="O2633" t="str" cm="1">
        <f t="array" ref="O2633">_xlfn.IFS(F2633="","",F2633&lt;=5,"0 to 5",F2633&lt;=10,"5.1 to 10",F2633&lt;=20,"10 to 20", F2633&lt;= 40, "20 to 40", F2633 &lt;= 50, "40 to 50", F2633 &gt; 50, "&gt;50" )</f>
        <v>0 to 5</v>
      </c>
    </row>
    <row r="2634" spans="1:15" ht="15" customHeight="1" x14ac:dyDescent="0.3">
      <c r="A2634" t="s">
        <v>532</v>
      </c>
      <c r="B2634" s="1">
        <v>46217</v>
      </c>
      <c r="C2634" t="s">
        <v>22</v>
      </c>
      <c r="D2634">
        <v>2440</v>
      </c>
      <c r="E2634">
        <v>1</v>
      </c>
      <c r="F2634">
        <v>41.8</v>
      </c>
      <c r="G2634" t="s">
        <v>21</v>
      </c>
      <c r="I2634" t="str">
        <f t="shared" ref="I2634:I2665" si="63">D2634&amp;"_"&amp;E2634</f>
        <v>2440_1</v>
      </c>
      <c r="J2634" t="s">
        <v>533</v>
      </c>
      <c r="K2634" t="s">
        <v>429</v>
      </c>
      <c r="L2634" t="str">
        <f>_xlfn.XLOOKUP(C2634, Table2[Species],Table2[Genus], "Code Not Found")</f>
        <v>Acer</v>
      </c>
      <c r="M2634" t="str">
        <f>_xlfn.XLOOKUP(C2634, Table2[Species],Table2[Sp. Name], "Code Not Found")</f>
        <v>rubrum</v>
      </c>
      <c r="N2634" t="str">
        <f>_xlfn.XLOOKUP(C2634,Table2[Species],Table2[Family],"Code Not Found")</f>
        <v>Sapindaceae</v>
      </c>
      <c r="O2634" t="str" cm="1">
        <f t="array" ref="O2634">_xlfn.IFS(F2634="","",F2634&lt;=5,"0 to 5",F2634&lt;=10,"5.1 to 10",F2634&lt;=20,"10 to 20", F2634&lt;= 40, "20 to 40", F2634 &lt;= 50, "40 to 50", F2634 &gt; 50, "&gt;50" )</f>
        <v>40 to 50</v>
      </c>
    </row>
    <row r="2635" spans="1:15" ht="15" customHeight="1" x14ac:dyDescent="0.3">
      <c r="A2635" t="s">
        <v>532</v>
      </c>
      <c r="B2635" s="1">
        <v>46217</v>
      </c>
      <c r="C2635" t="s">
        <v>22</v>
      </c>
      <c r="D2635">
        <v>2441</v>
      </c>
      <c r="E2635">
        <v>1</v>
      </c>
      <c r="F2635">
        <v>32.299999999999997</v>
      </c>
      <c r="G2635" t="s">
        <v>21</v>
      </c>
      <c r="I2635" t="str">
        <f t="shared" si="63"/>
        <v>2441_1</v>
      </c>
      <c r="J2635" t="s">
        <v>533</v>
      </c>
      <c r="K2635" t="s">
        <v>429</v>
      </c>
      <c r="L2635" t="str">
        <f>_xlfn.XLOOKUP(C2635, Table2[Species],Table2[Genus], "Code Not Found")</f>
        <v>Acer</v>
      </c>
      <c r="M2635" t="str">
        <f>_xlfn.XLOOKUP(C2635, Table2[Species],Table2[Sp. Name], "Code Not Found")</f>
        <v>rubrum</v>
      </c>
      <c r="N2635" t="str">
        <f>_xlfn.XLOOKUP(C2635,Table2[Species],Table2[Family],"Code Not Found")</f>
        <v>Sapindaceae</v>
      </c>
      <c r="O2635" t="str" cm="1">
        <f t="array" ref="O2635">_xlfn.IFS(F2635="","",F2635&lt;=5,"0 to 5",F2635&lt;=10,"5.1 to 10",F2635&lt;=20,"10 to 20", F2635&lt;= 40, "20 to 40", F2635 &lt;= 50, "40 to 50", F2635 &gt; 50, "&gt;50" )</f>
        <v>20 to 40</v>
      </c>
    </row>
    <row r="2636" spans="1:15" ht="15" customHeight="1" x14ac:dyDescent="0.3">
      <c r="A2636" t="s">
        <v>532</v>
      </c>
      <c r="B2636" s="1">
        <v>46217</v>
      </c>
      <c r="C2636" t="s">
        <v>64</v>
      </c>
      <c r="D2636">
        <v>2442</v>
      </c>
      <c r="E2636">
        <v>1</v>
      </c>
      <c r="F2636">
        <v>6.9</v>
      </c>
      <c r="G2636" t="s">
        <v>21</v>
      </c>
      <c r="I2636" t="str">
        <f t="shared" si="63"/>
        <v>2442_1</v>
      </c>
      <c r="J2636" t="s">
        <v>533</v>
      </c>
      <c r="K2636" t="s">
        <v>429</v>
      </c>
      <c r="L2636" t="str">
        <f>_xlfn.XLOOKUP(C2636, Table2[Species],Table2[Genus], "Code Not Found")</f>
        <v>Fagus</v>
      </c>
      <c r="M2636" t="str">
        <f>_xlfn.XLOOKUP(C2636, Table2[Species],Table2[Sp. Name], "Code Not Found")</f>
        <v>grandifolia</v>
      </c>
      <c r="N2636" t="str">
        <f>_xlfn.XLOOKUP(C2636,Table2[Species],Table2[Family],"Code Not Found")</f>
        <v>Fagaceae</v>
      </c>
      <c r="O2636" t="str" cm="1">
        <f t="array" ref="O2636">_xlfn.IFS(F2636="","",F2636&lt;=5,"0 to 5",F2636&lt;=10,"5.1 to 10",F2636&lt;=20,"10 to 20", F2636&lt;= 40, "20 to 40", F2636 &lt;= 50, "40 to 50", F2636 &gt; 50, "&gt;50" )</f>
        <v>5.1 to 10</v>
      </c>
    </row>
    <row r="2637" spans="1:15" ht="15" customHeight="1" x14ac:dyDescent="0.3">
      <c r="A2637" t="s">
        <v>532</v>
      </c>
      <c r="B2637" s="1">
        <v>46217</v>
      </c>
      <c r="C2637" t="s">
        <v>64</v>
      </c>
      <c r="D2637">
        <v>2443</v>
      </c>
      <c r="E2637">
        <v>1</v>
      </c>
      <c r="F2637">
        <v>2.2999999999999998</v>
      </c>
      <c r="G2637" t="s">
        <v>47</v>
      </c>
      <c r="H2637" t="s">
        <v>347</v>
      </c>
      <c r="I2637" t="str">
        <f t="shared" si="63"/>
        <v>2443_1</v>
      </c>
      <c r="J2637" t="s">
        <v>533</v>
      </c>
      <c r="K2637" t="s">
        <v>429</v>
      </c>
      <c r="L2637" t="str">
        <f>_xlfn.XLOOKUP(C2637, Table2[Species],Table2[Genus], "Code Not Found")</f>
        <v>Fagus</v>
      </c>
      <c r="M2637" t="str">
        <f>_xlfn.XLOOKUP(C2637, Table2[Species],Table2[Sp. Name], "Code Not Found")</f>
        <v>grandifolia</v>
      </c>
      <c r="N2637" t="str">
        <f>_xlfn.XLOOKUP(C2637,Table2[Species],Table2[Family],"Code Not Found")</f>
        <v>Fagaceae</v>
      </c>
      <c r="O2637" t="str" cm="1">
        <f t="array" ref="O2637">_xlfn.IFS(F2637="","",F2637&lt;=5,"0 to 5",F2637&lt;=10,"5.1 to 10",F2637&lt;=20,"10 to 20", F2637&lt;= 40, "20 to 40", F2637 &lt;= 50, "40 to 50", F2637 &gt; 50, "&gt;50" )</f>
        <v>0 to 5</v>
      </c>
    </row>
    <row r="2638" spans="1:15" ht="15" customHeight="1" x14ac:dyDescent="0.3">
      <c r="A2638" t="s">
        <v>532</v>
      </c>
      <c r="B2638" s="1">
        <v>46217</v>
      </c>
      <c r="C2638" t="s">
        <v>545</v>
      </c>
      <c r="D2638">
        <v>2444</v>
      </c>
      <c r="E2638">
        <v>1</v>
      </c>
      <c r="F2638">
        <v>11.1</v>
      </c>
      <c r="G2638" t="s">
        <v>17</v>
      </c>
      <c r="H2638" t="s">
        <v>556</v>
      </c>
      <c r="I2638" t="str">
        <f t="shared" si="63"/>
        <v>2444_1</v>
      </c>
      <c r="J2638" t="s">
        <v>533</v>
      </c>
      <c r="K2638" t="s">
        <v>429</v>
      </c>
      <c r="L2638" t="str">
        <f>_xlfn.XLOOKUP(C2638, Table2[Species],Table2[Genus], "Code Not Found")</f>
        <v>Ulmus</v>
      </c>
      <c r="M2638" t="str">
        <f>_xlfn.XLOOKUP(C2638, Table2[Species],Table2[Sp. Name], "Code Not Found")</f>
        <v>americana</v>
      </c>
      <c r="N2638" t="str">
        <f>_xlfn.XLOOKUP(C2638,Table2[Species],Table2[Family],"Code Not Found")</f>
        <v>Ulmaceae</v>
      </c>
      <c r="O2638" t="str" cm="1">
        <f t="array" ref="O2638">_xlfn.IFS(F2638="","",F2638&lt;=5,"0 to 5",F2638&lt;=10,"5.1 to 10",F2638&lt;=20,"10 to 20", F2638&lt;= 40, "20 to 40", F2638 &lt;= 50, "40 to 50", F2638 &gt; 50, "&gt;50" )</f>
        <v>10 to 20</v>
      </c>
    </row>
    <row r="2639" spans="1:15" ht="15" customHeight="1" x14ac:dyDescent="0.3">
      <c r="A2639" t="s">
        <v>532</v>
      </c>
      <c r="B2639" s="1">
        <v>46217</v>
      </c>
      <c r="C2639" t="s">
        <v>235</v>
      </c>
      <c r="D2639">
        <v>2445</v>
      </c>
      <c r="E2639">
        <v>1</v>
      </c>
      <c r="F2639">
        <v>4.5</v>
      </c>
      <c r="G2639" t="s">
        <v>557</v>
      </c>
      <c r="H2639" t="s">
        <v>296</v>
      </c>
      <c r="I2639" t="str">
        <f t="shared" si="63"/>
        <v>2445_1</v>
      </c>
      <c r="J2639" t="s">
        <v>533</v>
      </c>
      <c r="K2639" t="s">
        <v>429</v>
      </c>
      <c r="L2639" t="str">
        <f>_xlfn.XLOOKUP(C2639, Table2[Species],Table2[Genus], "Code Not Found")</f>
        <v>Carpinus</v>
      </c>
      <c r="M2639" t="str">
        <f>_xlfn.XLOOKUP(C2639, Table2[Species],Table2[Sp. Name], "Code Not Found")</f>
        <v>caroliniana</v>
      </c>
      <c r="N2639" t="str">
        <f>_xlfn.XLOOKUP(C2639,Table2[Species],Table2[Family],"Code Not Found")</f>
        <v>Betulaceae</v>
      </c>
      <c r="O2639" t="str" cm="1">
        <f t="array" ref="O2639">_xlfn.IFS(F2639="","",F2639&lt;=5,"0 to 5",F2639&lt;=10,"5.1 to 10",F2639&lt;=20,"10 to 20", F2639&lt;= 40, "20 to 40", F2639 &lt;= 50, "40 to 50", F2639 &gt; 50, "&gt;50" )</f>
        <v>0 to 5</v>
      </c>
    </row>
    <row r="2640" spans="1:15" ht="15" customHeight="1" x14ac:dyDescent="0.3">
      <c r="A2640" t="s">
        <v>532</v>
      </c>
      <c r="B2640" s="1">
        <v>46217</v>
      </c>
      <c r="C2640" t="s">
        <v>64</v>
      </c>
      <c r="D2640">
        <v>2446</v>
      </c>
      <c r="E2640">
        <v>1</v>
      </c>
      <c r="F2640">
        <v>2.6</v>
      </c>
      <c r="G2640" t="s">
        <v>47</v>
      </c>
      <c r="H2640" t="s">
        <v>464</v>
      </c>
      <c r="I2640" t="str">
        <f t="shared" si="63"/>
        <v>2446_1</v>
      </c>
      <c r="J2640" t="s">
        <v>533</v>
      </c>
      <c r="K2640" t="s">
        <v>429</v>
      </c>
      <c r="L2640" t="str">
        <f>_xlfn.XLOOKUP(C2640, Table2[Species],Table2[Genus], "Code Not Found")</f>
        <v>Fagus</v>
      </c>
      <c r="M2640" t="str">
        <f>_xlfn.XLOOKUP(C2640, Table2[Species],Table2[Sp. Name], "Code Not Found")</f>
        <v>grandifolia</v>
      </c>
      <c r="N2640" t="str">
        <f>_xlfn.XLOOKUP(C2640,Table2[Species],Table2[Family],"Code Not Found")</f>
        <v>Fagaceae</v>
      </c>
      <c r="O2640" t="str" cm="1">
        <f t="array" ref="O2640">_xlfn.IFS(F2640="","",F2640&lt;=5,"0 to 5",F2640&lt;=10,"5.1 to 10",F2640&lt;=20,"10 to 20", F2640&lt;= 40, "20 to 40", F2640 &lt;= 50, "40 to 50", F2640 &gt; 50, "&gt;50" )</f>
        <v>0 to 5</v>
      </c>
    </row>
    <row r="2641" spans="1:15" ht="15" customHeight="1" x14ac:dyDescent="0.3">
      <c r="A2641" t="s">
        <v>532</v>
      </c>
      <c r="B2641" s="1">
        <v>46217</v>
      </c>
      <c r="C2641" t="s">
        <v>22</v>
      </c>
      <c r="D2641">
        <v>2447</v>
      </c>
      <c r="E2641">
        <v>1</v>
      </c>
      <c r="F2641">
        <v>24.4</v>
      </c>
      <c r="G2641" t="s">
        <v>21</v>
      </c>
      <c r="I2641" t="str">
        <f t="shared" si="63"/>
        <v>2447_1</v>
      </c>
      <c r="J2641" t="s">
        <v>533</v>
      </c>
      <c r="K2641" t="s">
        <v>429</v>
      </c>
      <c r="L2641" t="str">
        <f>_xlfn.XLOOKUP(C2641, Table2[Species],Table2[Genus], "Code Not Found")</f>
        <v>Acer</v>
      </c>
      <c r="M2641" t="str">
        <f>_xlfn.XLOOKUP(C2641, Table2[Species],Table2[Sp. Name], "Code Not Found")</f>
        <v>rubrum</v>
      </c>
      <c r="N2641" t="str">
        <f>_xlfn.XLOOKUP(C2641,Table2[Species],Table2[Family],"Code Not Found")</f>
        <v>Sapindaceae</v>
      </c>
      <c r="O2641" t="str" cm="1">
        <f t="array" ref="O2641">_xlfn.IFS(F2641="","",F2641&lt;=5,"0 to 5",F2641&lt;=10,"5.1 to 10",F2641&lt;=20,"10 to 20", F2641&lt;= 40, "20 to 40", F2641 &lt;= 50, "40 to 50", F2641 &gt; 50, "&gt;50" )</f>
        <v>20 to 40</v>
      </c>
    </row>
    <row r="2642" spans="1:15" ht="15" customHeight="1" x14ac:dyDescent="0.3">
      <c r="A2642" t="s">
        <v>532</v>
      </c>
      <c r="B2642" s="1">
        <v>46217</v>
      </c>
      <c r="C2642" t="s">
        <v>22</v>
      </c>
      <c r="D2642">
        <v>2448</v>
      </c>
      <c r="E2642">
        <v>1</v>
      </c>
      <c r="F2642">
        <v>24.5</v>
      </c>
      <c r="G2642" t="s">
        <v>21</v>
      </c>
      <c r="I2642" t="str">
        <f t="shared" si="63"/>
        <v>2448_1</v>
      </c>
      <c r="J2642" t="s">
        <v>533</v>
      </c>
      <c r="K2642" t="s">
        <v>429</v>
      </c>
      <c r="L2642" t="str">
        <f>_xlfn.XLOOKUP(C2642, Table2[Species],Table2[Genus], "Code Not Found")</f>
        <v>Acer</v>
      </c>
      <c r="M2642" t="str">
        <f>_xlfn.XLOOKUP(C2642, Table2[Species],Table2[Sp. Name], "Code Not Found")</f>
        <v>rubrum</v>
      </c>
      <c r="N2642" t="str">
        <f>_xlfn.XLOOKUP(C2642,Table2[Species],Table2[Family],"Code Not Found")</f>
        <v>Sapindaceae</v>
      </c>
      <c r="O2642" t="str" cm="1">
        <f t="array" ref="O2642">_xlfn.IFS(F2642="","",F2642&lt;=5,"0 to 5",F2642&lt;=10,"5.1 to 10",F2642&lt;=20,"10 to 20", F2642&lt;= 40, "20 to 40", F2642 &lt;= 50, "40 to 50", F2642 &gt; 50, "&gt;50" )</f>
        <v>20 to 40</v>
      </c>
    </row>
    <row r="2643" spans="1:15" ht="15" customHeight="1" x14ac:dyDescent="0.3">
      <c r="A2643" t="s">
        <v>532</v>
      </c>
      <c r="B2643" s="1">
        <v>46217</v>
      </c>
      <c r="C2643" t="s">
        <v>117</v>
      </c>
      <c r="D2643">
        <v>2449</v>
      </c>
      <c r="E2643">
        <v>1</v>
      </c>
      <c r="F2643">
        <v>4.5</v>
      </c>
      <c r="G2643" t="s">
        <v>47</v>
      </c>
      <c r="H2643" t="s">
        <v>296</v>
      </c>
      <c r="I2643" t="str">
        <f t="shared" si="63"/>
        <v>2449_1</v>
      </c>
      <c r="J2643" t="s">
        <v>533</v>
      </c>
      <c r="K2643" t="s">
        <v>429</v>
      </c>
      <c r="L2643" t="str">
        <f>_xlfn.XLOOKUP(C2643, Table2[Species],Table2[Genus], "Code Not Found")</f>
        <v>Ostrya</v>
      </c>
      <c r="M2643" t="str">
        <f>_xlfn.XLOOKUP(C2643, Table2[Species],Table2[Sp. Name], "Code Not Found")</f>
        <v>viginiana</v>
      </c>
      <c r="N2643" t="str">
        <f>_xlfn.XLOOKUP(C2643,Table2[Species],Table2[Family],"Code Not Found")</f>
        <v>Betulaceae</v>
      </c>
      <c r="O2643" t="str" cm="1">
        <f t="array" ref="O2643">_xlfn.IFS(F2643="","",F2643&lt;=5,"0 to 5",F2643&lt;=10,"5.1 to 10",F2643&lt;=20,"10 to 20", F2643&lt;= 40, "20 to 40", F2643 &lt;= 50, "40 to 50", F2643 &gt; 50, "&gt;50" )</f>
        <v>0 to 5</v>
      </c>
    </row>
    <row r="2644" spans="1:15" ht="15" customHeight="1" x14ac:dyDescent="0.3">
      <c r="A2644" t="s">
        <v>532</v>
      </c>
      <c r="B2644" s="1">
        <v>46217</v>
      </c>
      <c r="C2644" t="s">
        <v>22</v>
      </c>
      <c r="D2644">
        <v>2450</v>
      </c>
      <c r="E2644">
        <v>1</v>
      </c>
      <c r="F2644">
        <v>13.9</v>
      </c>
      <c r="G2644" t="s">
        <v>30</v>
      </c>
      <c r="H2644" t="s">
        <v>558</v>
      </c>
      <c r="I2644" t="str">
        <f t="shared" si="63"/>
        <v>2450_1</v>
      </c>
      <c r="J2644" t="s">
        <v>533</v>
      </c>
      <c r="K2644" t="s">
        <v>429</v>
      </c>
      <c r="L2644" t="str">
        <f>_xlfn.XLOOKUP(C2644, Table2[Species],Table2[Genus], "Code Not Found")</f>
        <v>Acer</v>
      </c>
      <c r="M2644" t="str">
        <f>_xlfn.XLOOKUP(C2644, Table2[Species],Table2[Sp. Name], "Code Not Found")</f>
        <v>rubrum</v>
      </c>
      <c r="N2644" t="str">
        <f>_xlfn.XLOOKUP(C2644,Table2[Species],Table2[Family],"Code Not Found")</f>
        <v>Sapindaceae</v>
      </c>
      <c r="O2644" t="str" cm="1">
        <f t="array" ref="O2644">_xlfn.IFS(F2644="","",F2644&lt;=5,"0 to 5",F2644&lt;=10,"5.1 to 10",F2644&lt;=20,"10 to 20", F2644&lt;= 40, "20 to 40", F2644 &lt;= 50, "40 to 50", F2644 &gt; 50, "&gt;50" )</f>
        <v>10 to 20</v>
      </c>
    </row>
    <row r="2645" spans="1:15" ht="15" customHeight="1" x14ac:dyDescent="0.3">
      <c r="A2645" t="s">
        <v>532</v>
      </c>
      <c r="B2645" s="1">
        <v>46217</v>
      </c>
      <c r="C2645" t="s">
        <v>22</v>
      </c>
      <c r="D2645">
        <v>2451</v>
      </c>
      <c r="E2645">
        <v>1</v>
      </c>
      <c r="F2645">
        <v>37.4</v>
      </c>
      <c r="G2645" t="s">
        <v>56</v>
      </c>
      <c r="H2645" t="s">
        <v>559</v>
      </c>
      <c r="I2645" t="str">
        <f t="shared" si="63"/>
        <v>2451_1</v>
      </c>
      <c r="J2645" t="s">
        <v>533</v>
      </c>
      <c r="K2645" t="s">
        <v>429</v>
      </c>
      <c r="L2645" t="str">
        <f>_xlfn.XLOOKUP(C2645, Table2[Species],Table2[Genus], "Code Not Found")</f>
        <v>Acer</v>
      </c>
      <c r="M2645" t="str">
        <f>_xlfn.XLOOKUP(C2645, Table2[Species],Table2[Sp. Name], "Code Not Found")</f>
        <v>rubrum</v>
      </c>
      <c r="N2645" t="str">
        <f>_xlfn.XLOOKUP(C2645,Table2[Species],Table2[Family],"Code Not Found")</f>
        <v>Sapindaceae</v>
      </c>
      <c r="O2645" t="str" cm="1">
        <f t="array" ref="O2645">_xlfn.IFS(F2645="","",F2645&lt;=5,"0 to 5",F2645&lt;=10,"5.1 to 10",F2645&lt;=20,"10 to 20", F2645&lt;= 40, "20 to 40", F2645 &lt;= 50, "40 to 50", F2645 &gt; 50, "&gt;50" )</f>
        <v>20 to 40</v>
      </c>
    </row>
    <row r="2646" spans="1:15" ht="15" customHeight="1" x14ac:dyDescent="0.3">
      <c r="A2646" t="s">
        <v>532</v>
      </c>
      <c r="B2646" s="1">
        <v>46217</v>
      </c>
      <c r="C2646" t="s">
        <v>22</v>
      </c>
      <c r="D2646">
        <v>2452</v>
      </c>
      <c r="E2646">
        <v>1</v>
      </c>
      <c r="F2646">
        <v>23.9</v>
      </c>
      <c r="G2646" t="s">
        <v>21</v>
      </c>
      <c r="I2646" t="str">
        <f t="shared" si="63"/>
        <v>2452_1</v>
      </c>
      <c r="J2646" t="s">
        <v>533</v>
      </c>
      <c r="K2646" t="s">
        <v>429</v>
      </c>
      <c r="L2646" t="str">
        <f>_xlfn.XLOOKUP(C2646, Table2[Species],Table2[Genus], "Code Not Found")</f>
        <v>Acer</v>
      </c>
      <c r="M2646" t="str">
        <f>_xlfn.XLOOKUP(C2646, Table2[Species],Table2[Sp. Name], "Code Not Found")</f>
        <v>rubrum</v>
      </c>
      <c r="N2646" t="str">
        <f>_xlfn.XLOOKUP(C2646,Table2[Species],Table2[Family],"Code Not Found")</f>
        <v>Sapindaceae</v>
      </c>
      <c r="O2646" t="str" cm="1">
        <f t="array" ref="O2646">_xlfn.IFS(F2646="","",F2646&lt;=5,"0 to 5",F2646&lt;=10,"5.1 to 10",F2646&lt;=20,"10 to 20", F2646&lt;= 40, "20 to 40", F2646 &lt;= 50, "40 to 50", F2646 &gt; 50, "&gt;50" )</f>
        <v>20 to 40</v>
      </c>
    </row>
    <row r="2647" spans="1:15" ht="15" customHeight="1" x14ac:dyDescent="0.3">
      <c r="A2647" t="s">
        <v>532</v>
      </c>
      <c r="B2647" s="1">
        <v>46217</v>
      </c>
      <c r="C2647" t="s">
        <v>64</v>
      </c>
      <c r="D2647">
        <v>2453</v>
      </c>
      <c r="E2647">
        <v>1</v>
      </c>
      <c r="F2647">
        <v>5.0999999999999996</v>
      </c>
      <c r="G2647" t="s">
        <v>471</v>
      </c>
      <c r="I2647" t="str">
        <f t="shared" si="63"/>
        <v>2453_1</v>
      </c>
      <c r="J2647" t="s">
        <v>533</v>
      </c>
      <c r="K2647" t="s">
        <v>429</v>
      </c>
      <c r="L2647" t="str">
        <f>_xlfn.XLOOKUP(C2647, Table2[Species],Table2[Genus], "Code Not Found")</f>
        <v>Fagus</v>
      </c>
      <c r="M2647" t="str">
        <f>_xlfn.XLOOKUP(C2647, Table2[Species],Table2[Sp. Name], "Code Not Found")</f>
        <v>grandifolia</v>
      </c>
      <c r="N2647" t="str">
        <f>_xlfn.XLOOKUP(C2647,Table2[Species],Table2[Family],"Code Not Found")</f>
        <v>Fagaceae</v>
      </c>
      <c r="O2647" t="str" cm="1">
        <f t="array" ref="O2647">_xlfn.IFS(F2647="","",F2647&lt;=5,"0 to 5",F2647&lt;=10,"5.1 to 10",F2647&lt;=20,"10 to 20", F2647&lt;= 40, "20 to 40", F2647 &lt;= 50, "40 to 50", F2647 &gt; 50, "&gt;50" )</f>
        <v>5.1 to 10</v>
      </c>
    </row>
    <row r="2648" spans="1:15" ht="15" customHeight="1" x14ac:dyDescent="0.3">
      <c r="A2648" t="s">
        <v>532</v>
      </c>
      <c r="B2648" s="1">
        <v>46217</v>
      </c>
      <c r="C2648" t="s">
        <v>22</v>
      </c>
      <c r="D2648">
        <v>2454</v>
      </c>
      <c r="E2648">
        <v>1</v>
      </c>
      <c r="F2648">
        <v>21.2</v>
      </c>
      <c r="G2648" t="s">
        <v>21</v>
      </c>
      <c r="I2648" t="str">
        <f t="shared" si="63"/>
        <v>2454_1</v>
      </c>
      <c r="J2648" t="s">
        <v>533</v>
      </c>
      <c r="K2648" t="s">
        <v>429</v>
      </c>
      <c r="L2648" t="str">
        <f>_xlfn.XLOOKUP(C2648, Table2[Species],Table2[Genus], "Code Not Found")</f>
        <v>Acer</v>
      </c>
      <c r="M2648" t="str">
        <f>_xlfn.XLOOKUP(C2648, Table2[Species],Table2[Sp. Name], "Code Not Found")</f>
        <v>rubrum</v>
      </c>
      <c r="N2648" t="str">
        <f>_xlfn.XLOOKUP(C2648,Table2[Species],Table2[Family],"Code Not Found")</f>
        <v>Sapindaceae</v>
      </c>
      <c r="O2648" t="str" cm="1">
        <f t="array" ref="O2648">_xlfn.IFS(F2648="","",F2648&lt;=5,"0 to 5",F2648&lt;=10,"5.1 to 10",F2648&lt;=20,"10 to 20", F2648&lt;= 40, "20 to 40", F2648 &lt;= 50, "40 to 50", F2648 &gt; 50, "&gt;50" )</f>
        <v>20 to 40</v>
      </c>
    </row>
    <row r="2649" spans="1:15" ht="15" customHeight="1" x14ac:dyDescent="0.3">
      <c r="A2649" t="s">
        <v>532</v>
      </c>
      <c r="B2649" s="1">
        <v>46217</v>
      </c>
      <c r="C2649" t="s">
        <v>64</v>
      </c>
      <c r="D2649">
        <v>2455</v>
      </c>
      <c r="E2649">
        <v>1</v>
      </c>
      <c r="F2649">
        <v>3.3</v>
      </c>
      <c r="G2649" t="s">
        <v>47</v>
      </c>
      <c r="H2649" t="s">
        <v>560</v>
      </c>
      <c r="I2649" t="str">
        <f t="shared" si="63"/>
        <v>2455_1</v>
      </c>
      <c r="J2649" t="s">
        <v>533</v>
      </c>
      <c r="K2649" t="s">
        <v>429</v>
      </c>
      <c r="L2649" t="str">
        <f>_xlfn.XLOOKUP(C2649, Table2[Species],Table2[Genus], "Code Not Found")</f>
        <v>Fagus</v>
      </c>
      <c r="M2649" t="str">
        <f>_xlfn.XLOOKUP(C2649, Table2[Species],Table2[Sp. Name], "Code Not Found")</f>
        <v>grandifolia</v>
      </c>
      <c r="N2649" t="str">
        <f>_xlfn.XLOOKUP(C2649,Table2[Species],Table2[Family],"Code Not Found")</f>
        <v>Fagaceae</v>
      </c>
      <c r="O2649" t="str" cm="1">
        <f t="array" ref="O2649">_xlfn.IFS(F2649="","",F2649&lt;=5,"0 to 5",F2649&lt;=10,"5.1 to 10",F2649&lt;=20,"10 to 20", F2649&lt;= 40, "20 to 40", F2649 &lt;= 50, "40 to 50", F2649 &gt; 50, "&gt;50" )</f>
        <v>0 to 5</v>
      </c>
    </row>
    <row r="2650" spans="1:15" ht="15" customHeight="1" x14ac:dyDescent="0.3">
      <c r="A2650" t="s">
        <v>532</v>
      </c>
      <c r="B2650" s="1">
        <v>46217</v>
      </c>
      <c r="C2650" t="s">
        <v>545</v>
      </c>
      <c r="D2650">
        <v>2456</v>
      </c>
      <c r="E2650">
        <v>1</v>
      </c>
      <c r="F2650">
        <v>11.9</v>
      </c>
      <c r="G2650" t="s">
        <v>21</v>
      </c>
      <c r="I2650" t="str">
        <f t="shared" si="63"/>
        <v>2456_1</v>
      </c>
      <c r="J2650" t="s">
        <v>533</v>
      </c>
      <c r="K2650" t="s">
        <v>429</v>
      </c>
      <c r="L2650" t="str">
        <f>_xlfn.XLOOKUP(C2650, Table2[Species],Table2[Genus], "Code Not Found")</f>
        <v>Ulmus</v>
      </c>
      <c r="M2650" t="str">
        <f>_xlfn.XLOOKUP(C2650, Table2[Species],Table2[Sp. Name], "Code Not Found")</f>
        <v>americana</v>
      </c>
      <c r="N2650" t="str">
        <f>_xlfn.XLOOKUP(C2650,Table2[Species],Table2[Family],"Code Not Found")</f>
        <v>Ulmaceae</v>
      </c>
      <c r="O2650" t="str" cm="1">
        <f t="array" ref="O2650">_xlfn.IFS(F2650="","",F2650&lt;=5,"0 to 5",F2650&lt;=10,"5.1 to 10",F2650&lt;=20,"10 to 20", F2650&lt;= 40, "20 to 40", F2650 &lt;= 50, "40 to 50", F2650 &gt; 50, "&gt;50" )</f>
        <v>10 to 20</v>
      </c>
    </row>
    <row r="2651" spans="1:15" ht="15" customHeight="1" x14ac:dyDescent="0.3">
      <c r="A2651" t="s">
        <v>532</v>
      </c>
      <c r="B2651" s="1">
        <v>46217</v>
      </c>
      <c r="C2651" t="s">
        <v>16</v>
      </c>
      <c r="D2651">
        <v>2457</v>
      </c>
      <c r="E2651">
        <v>1</v>
      </c>
      <c r="F2651">
        <v>8</v>
      </c>
      <c r="G2651" t="s">
        <v>17</v>
      </c>
      <c r="I2651" t="str">
        <f t="shared" si="63"/>
        <v>2457_1</v>
      </c>
      <c r="J2651" t="s">
        <v>533</v>
      </c>
      <c r="K2651" t="s">
        <v>429</v>
      </c>
      <c r="L2651" t="str">
        <f>_xlfn.XLOOKUP(C2651, Table2[Species],Table2[Genus], "Code Not Found")</f>
        <v>Acer</v>
      </c>
      <c r="M2651" t="str">
        <f>_xlfn.XLOOKUP(C2651, Table2[Species],Table2[Sp. Name], "Code Not Found")</f>
        <v>saccharum</v>
      </c>
      <c r="N2651" t="str">
        <f>_xlfn.XLOOKUP(C2651,Table2[Species],Table2[Family],"Code Not Found")</f>
        <v>Sapindaceae</v>
      </c>
      <c r="O2651" t="str" cm="1">
        <f t="array" ref="O2651">_xlfn.IFS(F2651="","",F2651&lt;=5,"0 to 5",F2651&lt;=10,"5.1 to 10",F2651&lt;=20,"10 to 20", F2651&lt;= 40, "20 to 40", F2651 &lt;= 50, "40 to 50", F2651 &gt; 50, "&gt;50" )</f>
        <v>5.1 to 10</v>
      </c>
    </row>
    <row r="2652" spans="1:15" ht="15" customHeight="1" x14ac:dyDescent="0.3">
      <c r="A2652" t="s">
        <v>532</v>
      </c>
      <c r="B2652" s="1">
        <v>46217</v>
      </c>
      <c r="C2652" t="s">
        <v>22</v>
      </c>
      <c r="D2652">
        <v>2458</v>
      </c>
      <c r="E2652">
        <v>1</v>
      </c>
      <c r="F2652">
        <v>14.7</v>
      </c>
      <c r="G2652" t="s">
        <v>21</v>
      </c>
      <c r="H2652" t="s">
        <v>297</v>
      </c>
      <c r="I2652" t="str">
        <f t="shared" si="63"/>
        <v>2458_1</v>
      </c>
      <c r="J2652" t="s">
        <v>533</v>
      </c>
      <c r="K2652" t="s">
        <v>429</v>
      </c>
      <c r="L2652" t="str">
        <f>_xlfn.XLOOKUP(C2652, Table2[Species],Table2[Genus], "Code Not Found")</f>
        <v>Acer</v>
      </c>
      <c r="M2652" t="str">
        <f>_xlfn.XLOOKUP(C2652, Table2[Species],Table2[Sp. Name], "Code Not Found")</f>
        <v>rubrum</v>
      </c>
      <c r="N2652" t="str">
        <f>_xlfn.XLOOKUP(C2652,Table2[Species],Table2[Family],"Code Not Found")</f>
        <v>Sapindaceae</v>
      </c>
      <c r="O2652" t="str" cm="1">
        <f t="array" ref="O2652">_xlfn.IFS(F2652="","",F2652&lt;=5,"0 to 5",F2652&lt;=10,"5.1 to 10",F2652&lt;=20,"10 to 20", F2652&lt;= 40, "20 to 40", F2652 &lt;= 50, "40 to 50", F2652 &gt; 50, "&gt;50" )</f>
        <v>10 to 20</v>
      </c>
    </row>
    <row r="2653" spans="1:15" ht="15" customHeight="1" x14ac:dyDescent="0.3">
      <c r="A2653" t="s">
        <v>532</v>
      </c>
      <c r="B2653" s="1">
        <v>46217</v>
      </c>
      <c r="C2653" t="s">
        <v>16</v>
      </c>
      <c r="D2653">
        <v>2459</v>
      </c>
      <c r="E2653">
        <v>1</v>
      </c>
      <c r="F2653">
        <v>2.2999999999999998</v>
      </c>
      <c r="G2653" t="s">
        <v>17</v>
      </c>
      <c r="I2653" t="str">
        <f t="shared" si="63"/>
        <v>2459_1</v>
      </c>
      <c r="J2653" t="s">
        <v>533</v>
      </c>
      <c r="K2653" t="s">
        <v>429</v>
      </c>
      <c r="L2653" t="str">
        <f>_xlfn.XLOOKUP(C2653, Table2[Species],Table2[Genus], "Code Not Found")</f>
        <v>Acer</v>
      </c>
      <c r="M2653" t="str">
        <f>_xlfn.XLOOKUP(C2653, Table2[Species],Table2[Sp. Name], "Code Not Found")</f>
        <v>saccharum</v>
      </c>
      <c r="N2653" t="str">
        <f>_xlfn.XLOOKUP(C2653,Table2[Species],Table2[Family],"Code Not Found")</f>
        <v>Sapindaceae</v>
      </c>
      <c r="O2653" t="str" cm="1">
        <f t="array" ref="O2653">_xlfn.IFS(F2653="","",F2653&lt;=5,"0 to 5",F2653&lt;=10,"5.1 to 10",F2653&lt;=20,"10 to 20", F2653&lt;= 40, "20 to 40", F2653 &lt;= 50, "40 to 50", F2653 &gt; 50, "&gt;50" )</f>
        <v>0 to 5</v>
      </c>
    </row>
    <row r="2654" spans="1:15" ht="15" customHeight="1" x14ac:dyDescent="0.3">
      <c r="A2654" t="s">
        <v>532</v>
      </c>
      <c r="B2654" s="1">
        <v>46217</v>
      </c>
      <c r="C2654" t="s">
        <v>16</v>
      </c>
      <c r="D2654">
        <v>2460</v>
      </c>
      <c r="E2654">
        <v>1</v>
      </c>
      <c r="F2654">
        <v>22.3</v>
      </c>
      <c r="G2654" t="s">
        <v>21</v>
      </c>
      <c r="I2654" t="str">
        <f t="shared" si="63"/>
        <v>2460_1</v>
      </c>
      <c r="J2654" t="s">
        <v>533</v>
      </c>
      <c r="K2654" t="s">
        <v>429</v>
      </c>
      <c r="L2654" t="str">
        <f>_xlfn.XLOOKUP(C2654, Table2[Species],Table2[Genus], "Code Not Found")</f>
        <v>Acer</v>
      </c>
      <c r="M2654" t="str">
        <f>_xlfn.XLOOKUP(C2654, Table2[Species],Table2[Sp. Name], "Code Not Found")</f>
        <v>saccharum</v>
      </c>
      <c r="N2654" t="str">
        <f>_xlfn.XLOOKUP(C2654,Table2[Species],Table2[Family],"Code Not Found")</f>
        <v>Sapindaceae</v>
      </c>
      <c r="O2654" t="str" cm="1">
        <f t="array" ref="O2654">_xlfn.IFS(F2654="","",F2654&lt;=5,"0 to 5",F2654&lt;=10,"5.1 to 10",F2654&lt;=20,"10 to 20", F2654&lt;= 40, "20 to 40", F2654 &lt;= 50, "40 to 50", F2654 &gt; 50, "&gt;50" )</f>
        <v>20 to 40</v>
      </c>
    </row>
    <row r="2655" spans="1:15" ht="15" customHeight="1" x14ac:dyDescent="0.3">
      <c r="A2655" t="s">
        <v>532</v>
      </c>
      <c r="B2655" s="1">
        <v>46217</v>
      </c>
      <c r="C2655" t="s">
        <v>64</v>
      </c>
      <c r="D2655">
        <v>2461</v>
      </c>
      <c r="E2655">
        <v>1</v>
      </c>
      <c r="F2655">
        <v>5.3</v>
      </c>
      <c r="G2655" t="s">
        <v>104</v>
      </c>
      <c r="H2655" t="s">
        <v>561</v>
      </c>
      <c r="I2655" t="str">
        <f t="shared" si="63"/>
        <v>2461_1</v>
      </c>
      <c r="J2655" t="s">
        <v>533</v>
      </c>
      <c r="K2655" t="s">
        <v>429</v>
      </c>
      <c r="L2655" t="str">
        <f>_xlfn.XLOOKUP(C2655, Table2[Species],Table2[Genus], "Code Not Found")</f>
        <v>Fagus</v>
      </c>
      <c r="M2655" t="str">
        <f>_xlfn.XLOOKUP(C2655, Table2[Species],Table2[Sp. Name], "Code Not Found")</f>
        <v>grandifolia</v>
      </c>
      <c r="N2655" t="str">
        <f>_xlfn.XLOOKUP(C2655,Table2[Species],Table2[Family],"Code Not Found")</f>
        <v>Fagaceae</v>
      </c>
      <c r="O2655" t="str" cm="1">
        <f t="array" ref="O2655">_xlfn.IFS(F2655="","",F2655&lt;=5,"0 to 5",F2655&lt;=10,"5.1 to 10",F2655&lt;=20,"10 to 20", F2655&lt;= 40, "20 to 40", F2655 &lt;= 50, "40 to 50", F2655 &gt; 50, "&gt;50" )</f>
        <v>5.1 to 10</v>
      </c>
    </row>
    <row r="2656" spans="1:15" ht="15" customHeight="1" x14ac:dyDescent="0.3">
      <c r="A2656" t="s">
        <v>532</v>
      </c>
      <c r="B2656" s="1">
        <v>46217</v>
      </c>
      <c r="C2656" t="s">
        <v>64</v>
      </c>
      <c r="D2656">
        <v>2462</v>
      </c>
      <c r="E2656">
        <v>1</v>
      </c>
      <c r="F2656">
        <v>2.2000000000000002</v>
      </c>
      <c r="G2656" t="s">
        <v>17</v>
      </c>
      <c r="I2656" t="str">
        <f t="shared" si="63"/>
        <v>2462_1</v>
      </c>
      <c r="J2656" t="s">
        <v>533</v>
      </c>
      <c r="K2656" t="s">
        <v>429</v>
      </c>
      <c r="L2656" t="str">
        <f>_xlfn.XLOOKUP(C2656, Table2[Species],Table2[Genus], "Code Not Found")</f>
        <v>Fagus</v>
      </c>
      <c r="M2656" t="str">
        <f>_xlfn.XLOOKUP(C2656, Table2[Species],Table2[Sp. Name], "Code Not Found")</f>
        <v>grandifolia</v>
      </c>
      <c r="N2656" t="str">
        <f>_xlfn.XLOOKUP(C2656,Table2[Species],Table2[Family],"Code Not Found")</f>
        <v>Fagaceae</v>
      </c>
      <c r="O2656" t="str" cm="1">
        <f t="array" ref="O2656">_xlfn.IFS(F2656="","",F2656&lt;=5,"0 to 5",F2656&lt;=10,"5.1 to 10",F2656&lt;=20,"10 to 20", F2656&lt;= 40, "20 to 40", F2656 &lt;= 50, "40 to 50", F2656 &gt; 50, "&gt;50" )</f>
        <v>0 to 5</v>
      </c>
    </row>
    <row r="2657" spans="1:15" ht="15" customHeight="1" x14ac:dyDescent="0.3">
      <c r="A2657" t="s">
        <v>532</v>
      </c>
      <c r="B2657" s="1">
        <v>46217</v>
      </c>
      <c r="C2657" t="s">
        <v>16</v>
      </c>
      <c r="D2657">
        <v>2463</v>
      </c>
      <c r="E2657">
        <v>1</v>
      </c>
      <c r="F2657">
        <v>14.1</v>
      </c>
      <c r="G2657" t="s">
        <v>17</v>
      </c>
      <c r="I2657" t="str">
        <f t="shared" si="63"/>
        <v>2463_1</v>
      </c>
      <c r="J2657" t="s">
        <v>533</v>
      </c>
      <c r="K2657" t="s">
        <v>429</v>
      </c>
      <c r="L2657" t="str">
        <f>_xlfn.XLOOKUP(C2657, Table2[Species],Table2[Genus], "Code Not Found")</f>
        <v>Acer</v>
      </c>
      <c r="M2657" t="str">
        <f>_xlfn.XLOOKUP(C2657, Table2[Species],Table2[Sp. Name], "Code Not Found")</f>
        <v>saccharum</v>
      </c>
      <c r="N2657" t="str">
        <f>_xlfn.XLOOKUP(C2657,Table2[Species],Table2[Family],"Code Not Found")</f>
        <v>Sapindaceae</v>
      </c>
      <c r="O2657" t="str" cm="1">
        <f t="array" ref="O2657">_xlfn.IFS(F2657="","",F2657&lt;=5,"0 to 5",F2657&lt;=10,"5.1 to 10",F2657&lt;=20,"10 to 20", F2657&lt;= 40, "20 to 40", F2657 &lt;= 50, "40 to 50", F2657 &gt; 50, "&gt;50" )</f>
        <v>10 to 20</v>
      </c>
    </row>
    <row r="2658" spans="1:15" ht="15" customHeight="1" x14ac:dyDescent="0.3">
      <c r="A2658" t="s">
        <v>532</v>
      </c>
      <c r="B2658" s="1">
        <v>46217</v>
      </c>
      <c r="C2658" t="s">
        <v>430</v>
      </c>
      <c r="D2658">
        <v>2464</v>
      </c>
      <c r="E2658">
        <v>1</v>
      </c>
      <c r="F2658">
        <v>26.1</v>
      </c>
      <c r="G2658" t="s">
        <v>17</v>
      </c>
      <c r="H2658" t="s">
        <v>36</v>
      </c>
      <c r="I2658" t="str">
        <f t="shared" si="63"/>
        <v>2464_1</v>
      </c>
      <c r="J2658" t="s">
        <v>533</v>
      </c>
      <c r="K2658" t="s">
        <v>429</v>
      </c>
      <c r="L2658" t="str">
        <f>_xlfn.XLOOKUP(C2658, Table2[Species],Table2[Genus], "Code Not Found")</f>
        <v>Tsuga</v>
      </c>
      <c r="M2658" t="str">
        <f>_xlfn.XLOOKUP(C2658, Table2[Species],Table2[Sp. Name], "Code Not Found")</f>
        <v>canadensis</v>
      </c>
      <c r="N2658" t="str">
        <f>_xlfn.XLOOKUP(C2658,Table2[Species],Table2[Family],"Code Not Found")</f>
        <v>Pinaceae</v>
      </c>
      <c r="O2658" t="str" cm="1">
        <f t="array" ref="O2658">_xlfn.IFS(F2658="","",F2658&lt;=5,"0 to 5",F2658&lt;=10,"5.1 to 10",F2658&lt;=20,"10 to 20", F2658&lt;= 40, "20 to 40", F2658 &lt;= 50, "40 to 50", F2658 &gt; 50, "&gt;50" )</f>
        <v>20 to 40</v>
      </c>
    </row>
    <row r="2659" spans="1:15" ht="15" customHeight="1" x14ac:dyDescent="0.3">
      <c r="A2659" t="s">
        <v>532</v>
      </c>
      <c r="B2659" s="1">
        <v>46217</v>
      </c>
      <c r="C2659" t="s">
        <v>430</v>
      </c>
      <c r="D2659">
        <v>2465</v>
      </c>
      <c r="E2659">
        <v>1</v>
      </c>
      <c r="F2659">
        <v>18.600000000000001</v>
      </c>
      <c r="G2659" t="s">
        <v>17</v>
      </c>
      <c r="I2659" t="str">
        <f t="shared" si="63"/>
        <v>2465_1</v>
      </c>
      <c r="J2659" t="s">
        <v>533</v>
      </c>
      <c r="K2659" t="s">
        <v>429</v>
      </c>
      <c r="L2659" t="str">
        <f>_xlfn.XLOOKUP(C2659, Table2[Species],Table2[Genus], "Code Not Found")</f>
        <v>Tsuga</v>
      </c>
      <c r="M2659" t="str">
        <f>_xlfn.XLOOKUP(C2659, Table2[Species],Table2[Sp. Name], "Code Not Found")</f>
        <v>canadensis</v>
      </c>
      <c r="N2659" t="str">
        <f>_xlfn.XLOOKUP(C2659,Table2[Species],Table2[Family],"Code Not Found")</f>
        <v>Pinaceae</v>
      </c>
      <c r="O2659" t="str" cm="1">
        <f t="array" ref="O2659">_xlfn.IFS(F2659="","",F2659&lt;=5,"0 to 5",F2659&lt;=10,"5.1 to 10",F2659&lt;=20,"10 to 20", F2659&lt;= 40, "20 to 40", F2659 &lt;= 50, "40 to 50", F2659 &gt; 50, "&gt;50" )</f>
        <v>10 to 20</v>
      </c>
    </row>
    <row r="2660" spans="1:15" ht="15" customHeight="1" x14ac:dyDescent="0.3">
      <c r="A2660" t="s">
        <v>532</v>
      </c>
      <c r="B2660" s="1">
        <v>46217</v>
      </c>
      <c r="C2660" t="s">
        <v>430</v>
      </c>
      <c r="D2660">
        <v>2466</v>
      </c>
      <c r="E2660">
        <v>1</v>
      </c>
      <c r="F2660">
        <v>14.1</v>
      </c>
      <c r="G2660" t="s">
        <v>17</v>
      </c>
      <c r="I2660" t="str">
        <f t="shared" si="63"/>
        <v>2466_1</v>
      </c>
      <c r="J2660" t="s">
        <v>533</v>
      </c>
      <c r="K2660" t="s">
        <v>429</v>
      </c>
      <c r="L2660" t="str">
        <f>_xlfn.XLOOKUP(C2660, Table2[Species],Table2[Genus], "Code Not Found")</f>
        <v>Tsuga</v>
      </c>
      <c r="M2660" t="str">
        <f>_xlfn.XLOOKUP(C2660, Table2[Species],Table2[Sp. Name], "Code Not Found")</f>
        <v>canadensis</v>
      </c>
      <c r="N2660" t="str">
        <f>_xlfn.XLOOKUP(C2660,Table2[Species],Table2[Family],"Code Not Found")</f>
        <v>Pinaceae</v>
      </c>
      <c r="O2660" t="str" cm="1">
        <f t="array" ref="O2660">_xlfn.IFS(F2660="","",F2660&lt;=5,"0 to 5",F2660&lt;=10,"5.1 to 10",F2660&lt;=20,"10 to 20", F2660&lt;= 40, "20 to 40", F2660 &lt;= 50, "40 to 50", F2660 &gt; 50, "&gt;50" )</f>
        <v>10 to 20</v>
      </c>
    </row>
    <row r="2661" spans="1:15" ht="15" customHeight="1" x14ac:dyDescent="0.3">
      <c r="A2661" t="s">
        <v>532</v>
      </c>
      <c r="B2661" s="1">
        <v>46217</v>
      </c>
      <c r="C2661" t="s">
        <v>430</v>
      </c>
      <c r="D2661">
        <v>2467</v>
      </c>
      <c r="E2661">
        <v>1</v>
      </c>
      <c r="F2661">
        <v>7.8</v>
      </c>
      <c r="G2661" t="s">
        <v>69</v>
      </c>
      <c r="H2661" t="s">
        <v>296</v>
      </c>
      <c r="I2661" t="str">
        <f t="shared" si="63"/>
        <v>2467_1</v>
      </c>
      <c r="J2661" t="s">
        <v>533</v>
      </c>
      <c r="K2661" t="s">
        <v>429</v>
      </c>
      <c r="L2661" t="str">
        <f>_xlfn.XLOOKUP(C2661, Table2[Species],Table2[Genus], "Code Not Found")</f>
        <v>Tsuga</v>
      </c>
      <c r="M2661" t="str">
        <f>_xlfn.XLOOKUP(C2661, Table2[Species],Table2[Sp. Name], "Code Not Found")</f>
        <v>canadensis</v>
      </c>
      <c r="N2661" t="str">
        <f>_xlfn.XLOOKUP(C2661,Table2[Species],Table2[Family],"Code Not Found")</f>
        <v>Pinaceae</v>
      </c>
      <c r="O2661" t="str" cm="1">
        <f t="array" ref="O2661">_xlfn.IFS(F2661="","",F2661&lt;=5,"0 to 5",F2661&lt;=10,"5.1 to 10",F2661&lt;=20,"10 to 20", F2661&lt;= 40, "20 to 40", F2661 &lt;= 50, "40 to 50", F2661 &gt; 50, "&gt;50" )</f>
        <v>5.1 to 10</v>
      </c>
    </row>
    <row r="2662" spans="1:15" ht="15" customHeight="1" x14ac:dyDescent="0.3">
      <c r="A2662" t="s">
        <v>532</v>
      </c>
      <c r="B2662" s="1">
        <v>46217</v>
      </c>
      <c r="C2662" t="s">
        <v>430</v>
      </c>
      <c r="D2662">
        <v>2468</v>
      </c>
      <c r="E2662">
        <v>1</v>
      </c>
      <c r="F2662">
        <v>22.3</v>
      </c>
      <c r="G2662" t="s">
        <v>17</v>
      </c>
      <c r="I2662" t="str">
        <f t="shared" si="63"/>
        <v>2468_1</v>
      </c>
      <c r="J2662" t="s">
        <v>533</v>
      </c>
      <c r="K2662" t="s">
        <v>429</v>
      </c>
      <c r="L2662" t="str">
        <f>_xlfn.XLOOKUP(C2662, Table2[Species],Table2[Genus], "Code Not Found")</f>
        <v>Tsuga</v>
      </c>
      <c r="M2662" t="str">
        <f>_xlfn.XLOOKUP(C2662, Table2[Species],Table2[Sp. Name], "Code Not Found")</f>
        <v>canadensis</v>
      </c>
      <c r="N2662" t="str">
        <f>_xlfn.XLOOKUP(C2662,Table2[Species],Table2[Family],"Code Not Found")</f>
        <v>Pinaceae</v>
      </c>
      <c r="O2662" t="str" cm="1">
        <f t="array" ref="O2662">_xlfn.IFS(F2662="","",F2662&lt;=5,"0 to 5",F2662&lt;=10,"5.1 to 10",F2662&lt;=20,"10 to 20", F2662&lt;= 40, "20 to 40", F2662 &lt;= 50, "40 to 50", F2662 &gt; 50, "&gt;50" )</f>
        <v>20 to 40</v>
      </c>
    </row>
    <row r="2663" spans="1:15" ht="15" customHeight="1" x14ac:dyDescent="0.3">
      <c r="A2663" t="s">
        <v>532</v>
      </c>
      <c r="B2663" s="1">
        <v>46217</v>
      </c>
      <c r="C2663" t="s">
        <v>430</v>
      </c>
      <c r="D2663">
        <v>2469</v>
      </c>
      <c r="E2663">
        <v>1</v>
      </c>
      <c r="F2663">
        <v>19.899999999999999</v>
      </c>
      <c r="G2663" t="s">
        <v>17</v>
      </c>
      <c r="H2663" t="s">
        <v>562</v>
      </c>
      <c r="I2663" t="str">
        <f t="shared" si="63"/>
        <v>2469_1</v>
      </c>
      <c r="J2663" t="s">
        <v>533</v>
      </c>
      <c r="K2663" t="s">
        <v>429</v>
      </c>
      <c r="L2663" t="str">
        <f>_xlfn.XLOOKUP(C2663, Table2[Species],Table2[Genus], "Code Not Found")</f>
        <v>Tsuga</v>
      </c>
      <c r="M2663" t="str">
        <f>_xlfn.XLOOKUP(C2663, Table2[Species],Table2[Sp. Name], "Code Not Found")</f>
        <v>canadensis</v>
      </c>
      <c r="N2663" t="str">
        <f>_xlfn.XLOOKUP(C2663,Table2[Species],Table2[Family],"Code Not Found")</f>
        <v>Pinaceae</v>
      </c>
      <c r="O2663" t="str" cm="1">
        <f t="array" ref="O2663">_xlfn.IFS(F2663="","",F2663&lt;=5,"0 to 5",F2663&lt;=10,"5.1 to 10",F2663&lt;=20,"10 to 20", F2663&lt;= 40, "20 to 40", F2663 &lt;= 50, "40 to 50", F2663 &gt; 50, "&gt;50" )</f>
        <v>10 to 20</v>
      </c>
    </row>
    <row r="2664" spans="1:15" ht="15" customHeight="1" x14ac:dyDescent="0.3">
      <c r="A2664" t="s">
        <v>532</v>
      </c>
      <c r="B2664" s="1">
        <v>46217</v>
      </c>
      <c r="C2664" t="s">
        <v>430</v>
      </c>
      <c r="D2664">
        <v>2470</v>
      </c>
      <c r="E2664">
        <v>1</v>
      </c>
      <c r="F2664">
        <v>29.5</v>
      </c>
      <c r="G2664" t="s">
        <v>17</v>
      </c>
      <c r="I2664" t="str">
        <f t="shared" si="63"/>
        <v>2470_1</v>
      </c>
      <c r="J2664" t="s">
        <v>533</v>
      </c>
      <c r="K2664" t="s">
        <v>429</v>
      </c>
      <c r="L2664" t="str">
        <f>_xlfn.XLOOKUP(C2664, Table2[Species],Table2[Genus], "Code Not Found")</f>
        <v>Tsuga</v>
      </c>
      <c r="M2664" t="str">
        <f>_xlfn.XLOOKUP(C2664, Table2[Species],Table2[Sp. Name], "Code Not Found")</f>
        <v>canadensis</v>
      </c>
      <c r="N2664" t="str">
        <f>_xlfn.XLOOKUP(C2664,Table2[Species],Table2[Family],"Code Not Found")</f>
        <v>Pinaceae</v>
      </c>
      <c r="O2664" t="str" cm="1">
        <f t="array" ref="O2664">_xlfn.IFS(F2664="","",F2664&lt;=5,"0 to 5",F2664&lt;=10,"5.1 to 10",F2664&lt;=20,"10 to 20", F2664&lt;= 40, "20 to 40", F2664 &lt;= 50, "40 to 50", F2664 &gt; 50, "&gt;50" )</f>
        <v>20 to 40</v>
      </c>
    </row>
    <row r="2665" spans="1:15" ht="15" customHeight="1" x14ac:dyDescent="0.3">
      <c r="A2665" t="s">
        <v>532</v>
      </c>
      <c r="B2665" s="1">
        <v>46217</v>
      </c>
      <c r="C2665" t="s">
        <v>430</v>
      </c>
      <c r="D2665">
        <v>2471</v>
      </c>
      <c r="E2665">
        <v>1</v>
      </c>
      <c r="F2665">
        <v>13.9</v>
      </c>
      <c r="G2665" t="s">
        <v>17</v>
      </c>
      <c r="I2665" t="str">
        <f t="shared" si="63"/>
        <v>2471_1</v>
      </c>
      <c r="J2665" t="s">
        <v>533</v>
      </c>
      <c r="K2665" t="s">
        <v>429</v>
      </c>
      <c r="L2665" t="str">
        <f>_xlfn.XLOOKUP(C2665, Table2[Species],Table2[Genus], "Code Not Found")</f>
        <v>Tsuga</v>
      </c>
      <c r="M2665" t="str">
        <f>_xlfn.XLOOKUP(C2665, Table2[Species],Table2[Sp. Name], "Code Not Found")</f>
        <v>canadensis</v>
      </c>
      <c r="N2665" t="str">
        <f>_xlfn.XLOOKUP(C2665,Table2[Species],Table2[Family],"Code Not Found")</f>
        <v>Pinaceae</v>
      </c>
      <c r="O2665" t="str" cm="1">
        <f t="array" ref="O2665">_xlfn.IFS(F2665="","",F2665&lt;=5,"0 to 5",F2665&lt;=10,"5.1 to 10",F2665&lt;=20,"10 to 20", F2665&lt;= 40, "20 to 40", F2665 &lt;= 50, "40 to 50", F2665 &gt; 50, "&gt;50" )</f>
        <v>10 to 20</v>
      </c>
    </row>
    <row r="2666" spans="1:15" ht="15" customHeight="1" x14ac:dyDescent="0.3">
      <c r="A2666" t="s">
        <v>532</v>
      </c>
      <c r="B2666" s="1">
        <v>46217</v>
      </c>
      <c r="C2666" t="s">
        <v>430</v>
      </c>
      <c r="D2666">
        <v>2472</v>
      </c>
      <c r="E2666">
        <v>1</v>
      </c>
      <c r="F2666">
        <v>44.8</v>
      </c>
      <c r="G2666" t="s">
        <v>17</v>
      </c>
      <c r="H2666" t="s">
        <v>36</v>
      </c>
      <c r="I2666" t="str">
        <f t="shared" ref="I2666:I2699" si="64">D2666&amp;"_"&amp;E2666</f>
        <v>2472_1</v>
      </c>
      <c r="J2666" t="s">
        <v>533</v>
      </c>
      <c r="K2666" t="s">
        <v>429</v>
      </c>
      <c r="L2666" t="str">
        <f>_xlfn.XLOOKUP(C2666, Table2[Species],Table2[Genus], "Code Not Found")</f>
        <v>Tsuga</v>
      </c>
      <c r="M2666" t="str">
        <f>_xlfn.XLOOKUP(C2666, Table2[Species],Table2[Sp. Name], "Code Not Found")</f>
        <v>canadensis</v>
      </c>
      <c r="N2666" t="str">
        <f>_xlfn.XLOOKUP(C2666,Table2[Species],Table2[Family],"Code Not Found")</f>
        <v>Pinaceae</v>
      </c>
      <c r="O2666" t="str" cm="1">
        <f t="array" ref="O2666">_xlfn.IFS(F2666="","",F2666&lt;=5,"0 to 5",F2666&lt;=10,"5.1 to 10",F2666&lt;=20,"10 to 20", F2666&lt;= 40, "20 to 40", F2666 &lt;= 50, "40 to 50", F2666 &gt; 50, "&gt;50" )</f>
        <v>40 to 50</v>
      </c>
    </row>
    <row r="2667" spans="1:15" ht="15" customHeight="1" x14ac:dyDescent="0.3">
      <c r="A2667" t="s">
        <v>532</v>
      </c>
      <c r="B2667" s="1">
        <v>46217</v>
      </c>
      <c r="C2667" t="s">
        <v>430</v>
      </c>
      <c r="D2667">
        <v>2473</v>
      </c>
      <c r="E2667">
        <v>1</v>
      </c>
      <c r="F2667">
        <v>28.4</v>
      </c>
      <c r="I2667" t="str">
        <f t="shared" si="64"/>
        <v>2473_1</v>
      </c>
      <c r="J2667" t="s">
        <v>533</v>
      </c>
      <c r="K2667" t="s">
        <v>429</v>
      </c>
      <c r="L2667" t="str">
        <f>_xlfn.XLOOKUP(C2667, Table2[Species],Table2[Genus], "Code Not Found")</f>
        <v>Tsuga</v>
      </c>
      <c r="M2667" t="str">
        <f>_xlfn.XLOOKUP(C2667, Table2[Species],Table2[Sp. Name], "Code Not Found")</f>
        <v>canadensis</v>
      </c>
      <c r="N2667" t="str">
        <f>_xlfn.XLOOKUP(C2667,Table2[Species],Table2[Family],"Code Not Found")</f>
        <v>Pinaceae</v>
      </c>
      <c r="O2667" t="str" cm="1">
        <f t="array" ref="O2667">_xlfn.IFS(F2667="","",F2667&lt;=5,"0 to 5",F2667&lt;=10,"5.1 to 10",F2667&lt;=20,"10 to 20", F2667&lt;= 40, "20 to 40", F2667 &lt;= 50, "40 to 50", F2667 &gt; 50, "&gt;50" )</f>
        <v>20 to 40</v>
      </c>
    </row>
    <row r="2668" spans="1:15" ht="15" customHeight="1" x14ac:dyDescent="0.3">
      <c r="A2668" t="s">
        <v>532</v>
      </c>
      <c r="B2668" s="1">
        <v>46217</v>
      </c>
      <c r="C2668" t="s">
        <v>430</v>
      </c>
      <c r="D2668">
        <v>2474</v>
      </c>
      <c r="E2668">
        <v>1</v>
      </c>
      <c r="F2668">
        <v>24.4</v>
      </c>
      <c r="G2668" t="s">
        <v>17</v>
      </c>
      <c r="H2668" t="s">
        <v>36</v>
      </c>
      <c r="I2668" t="str">
        <f t="shared" si="64"/>
        <v>2474_1</v>
      </c>
      <c r="J2668" t="s">
        <v>533</v>
      </c>
      <c r="K2668" t="s">
        <v>429</v>
      </c>
      <c r="L2668" t="str">
        <f>_xlfn.XLOOKUP(C2668, Table2[Species],Table2[Genus], "Code Not Found")</f>
        <v>Tsuga</v>
      </c>
      <c r="M2668" t="str">
        <f>_xlfn.XLOOKUP(C2668, Table2[Species],Table2[Sp. Name], "Code Not Found")</f>
        <v>canadensis</v>
      </c>
      <c r="N2668" t="str">
        <f>_xlfn.XLOOKUP(C2668,Table2[Species],Table2[Family],"Code Not Found")</f>
        <v>Pinaceae</v>
      </c>
      <c r="O2668" t="str" cm="1">
        <f t="array" ref="O2668">_xlfn.IFS(F2668="","",F2668&lt;=5,"0 to 5",F2668&lt;=10,"5.1 to 10",F2668&lt;=20,"10 to 20", F2668&lt;= 40, "20 to 40", F2668 &lt;= 50, "40 to 50", F2668 &gt; 50, "&gt;50" )</f>
        <v>20 to 40</v>
      </c>
    </row>
    <row r="2669" spans="1:15" ht="15" customHeight="1" x14ac:dyDescent="0.3">
      <c r="A2669" t="s">
        <v>532</v>
      </c>
      <c r="B2669" s="1">
        <v>46217</v>
      </c>
      <c r="C2669" t="s">
        <v>430</v>
      </c>
      <c r="D2669">
        <v>2475</v>
      </c>
      <c r="E2669">
        <v>1</v>
      </c>
      <c r="F2669">
        <v>23.9</v>
      </c>
      <c r="G2669" t="s">
        <v>17</v>
      </c>
      <c r="I2669" t="str">
        <f t="shared" si="64"/>
        <v>2475_1</v>
      </c>
      <c r="J2669" t="s">
        <v>533</v>
      </c>
      <c r="K2669" t="s">
        <v>429</v>
      </c>
      <c r="L2669" t="str">
        <f>_xlfn.XLOOKUP(C2669, Table2[Species],Table2[Genus], "Code Not Found")</f>
        <v>Tsuga</v>
      </c>
      <c r="M2669" t="str">
        <f>_xlfn.XLOOKUP(C2669, Table2[Species],Table2[Sp. Name], "Code Not Found")</f>
        <v>canadensis</v>
      </c>
      <c r="N2669" t="str">
        <f>_xlfn.XLOOKUP(C2669,Table2[Species],Table2[Family],"Code Not Found")</f>
        <v>Pinaceae</v>
      </c>
      <c r="O2669" t="str" cm="1">
        <f t="array" ref="O2669">_xlfn.IFS(F2669="","",F2669&lt;=5,"0 to 5",F2669&lt;=10,"5.1 to 10",F2669&lt;=20,"10 to 20", F2669&lt;= 40, "20 to 40", F2669 &lt;= 50, "40 to 50", F2669 &gt; 50, "&gt;50" )</f>
        <v>20 to 40</v>
      </c>
    </row>
    <row r="2670" spans="1:15" ht="15" customHeight="1" x14ac:dyDescent="0.3">
      <c r="A2670" t="s">
        <v>532</v>
      </c>
      <c r="B2670" s="1">
        <v>46217</v>
      </c>
      <c r="C2670" t="s">
        <v>430</v>
      </c>
      <c r="D2670">
        <v>2476</v>
      </c>
      <c r="E2670">
        <v>1</v>
      </c>
      <c r="F2670">
        <v>17</v>
      </c>
      <c r="G2670" t="s">
        <v>21</v>
      </c>
      <c r="I2670" t="str">
        <f t="shared" si="64"/>
        <v>2476_1</v>
      </c>
      <c r="J2670" t="s">
        <v>533</v>
      </c>
      <c r="K2670" t="s">
        <v>429</v>
      </c>
      <c r="L2670" t="str">
        <f>_xlfn.XLOOKUP(C2670, Table2[Species],Table2[Genus], "Code Not Found")</f>
        <v>Tsuga</v>
      </c>
      <c r="M2670" t="str">
        <f>_xlfn.XLOOKUP(C2670, Table2[Species],Table2[Sp. Name], "Code Not Found")</f>
        <v>canadensis</v>
      </c>
      <c r="N2670" t="str">
        <f>_xlfn.XLOOKUP(C2670,Table2[Species],Table2[Family],"Code Not Found")</f>
        <v>Pinaceae</v>
      </c>
      <c r="O2670" t="str" cm="1">
        <f t="array" ref="O2670">_xlfn.IFS(F2670="","",F2670&lt;=5,"0 to 5",F2670&lt;=10,"5.1 to 10",F2670&lt;=20,"10 to 20", F2670&lt;= 40, "20 to 40", F2670 &lt;= 50, "40 to 50", F2670 &gt; 50, "&gt;50" )</f>
        <v>10 to 20</v>
      </c>
    </row>
    <row r="2671" spans="1:15" ht="15" customHeight="1" x14ac:dyDescent="0.3">
      <c r="A2671" t="s">
        <v>532</v>
      </c>
      <c r="B2671" s="1">
        <v>46217</v>
      </c>
      <c r="C2671" t="s">
        <v>430</v>
      </c>
      <c r="D2671">
        <v>2477</v>
      </c>
      <c r="E2671">
        <v>1</v>
      </c>
      <c r="F2671">
        <v>26</v>
      </c>
      <c r="G2671" t="s">
        <v>17</v>
      </c>
      <c r="I2671" t="str">
        <f t="shared" si="64"/>
        <v>2477_1</v>
      </c>
      <c r="J2671" t="s">
        <v>533</v>
      </c>
      <c r="K2671" t="s">
        <v>429</v>
      </c>
      <c r="L2671" t="str">
        <f>_xlfn.XLOOKUP(C2671, Table2[Species],Table2[Genus], "Code Not Found")</f>
        <v>Tsuga</v>
      </c>
      <c r="M2671" t="str">
        <f>_xlfn.XLOOKUP(C2671, Table2[Species],Table2[Sp. Name], "Code Not Found")</f>
        <v>canadensis</v>
      </c>
      <c r="N2671" t="str">
        <f>_xlfn.XLOOKUP(C2671,Table2[Species],Table2[Family],"Code Not Found")</f>
        <v>Pinaceae</v>
      </c>
      <c r="O2671" t="str" cm="1">
        <f t="array" ref="O2671">_xlfn.IFS(F2671="","",F2671&lt;=5,"0 to 5",F2671&lt;=10,"5.1 to 10",F2671&lt;=20,"10 to 20", F2671&lt;= 40, "20 to 40", F2671 &lt;= 50, "40 to 50", F2671 &gt; 50, "&gt;50" )</f>
        <v>20 to 40</v>
      </c>
    </row>
    <row r="2672" spans="1:15" ht="15" customHeight="1" x14ac:dyDescent="0.3">
      <c r="A2672" t="s">
        <v>532</v>
      </c>
      <c r="B2672" s="1">
        <v>46217</v>
      </c>
      <c r="C2672" t="s">
        <v>430</v>
      </c>
      <c r="D2672">
        <v>2478</v>
      </c>
      <c r="E2672">
        <v>1</v>
      </c>
      <c r="F2672">
        <v>22.7</v>
      </c>
      <c r="G2672" t="s">
        <v>34</v>
      </c>
      <c r="I2672" t="str">
        <f t="shared" si="64"/>
        <v>2478_1</v>
      </c>
      <c r="J2672" t="s">
        <v>533</v>
      </c>
      <c r="K2672" t="s">
        <v>429</v>
      </c>
      <c r="L2672" t="str">
        <f>_xlfn.XLOOKUP(C2672, Table2[Species],Table2[Genus], "Code Not Found")</f>
        <v>Tsuga</v>
      </c>
      <c r="M2672" t="str">
        <f>_xlfn.XLOOKUP(C2672, Table2[Species],Table2[Sp. Name], "Code Not Found")</f>
        <v>canadensis</v>
      </c>
      <c r="N2672" t="str">
        <f>_xlfn.XLOOKUP(C2672,Table2[Species],Table2[Family],"Code Not Found")</f>
        <v>Pinaceae</v>
      </c>
      <c r="O2672" t="str" cm="1">
        <f t="array" ref="O2672">_xlfn.IFS(F2672="","",F2672&lt;=5,"0 to 5",F2672&lt;=10,"5.1 to 10",F2672&lt;=20,"10 to 20", F2672&lt;= 40, "20 to 40", F2672 &lt;= 50, "40 to 50", F2672 &gt; 50, "&gt;50" )</f>
        <v>20 to 40</v>
      </c>
    </row>
    <row r="2673" spans="1:15" ht="15" customHeight="1" x14ac:dyDescent="0.3">
      <c r="A2673" t="s">
        <v>532</v>
      </c>
      <c r="B2673" s="1">
        <v>46217</v>
      </c>
      <c r="C2673" t="s">
        <v>430</v>
      </c>
      <c r="D2673">
        <v>2478</v>
      </c>
      <c r="E2673">
        <v>2</v>
      </c>
      <c r="F2673">
        <v>9.1</v>
      </c>
      <c r="G2673" t="s">
        <v>34</v>
      </c>
      <c r="I2673" t="str">
        <f t="shared" si="64"/>
        <v>2478_2</v>
      </c>
      <c r="J2673" t="s">
        <v>533</v>
      </c>
      <c r="K2673" t="s">
        <v>429</v>
      </c>
      <c r="L2673" t="str">
        <f>_xlfn.XLOOKUP(C2673, Table2[Species],Table2[Genus], "Code Not Found")</f>
        <v>Tsuga</v>
      </c>
      <c r="M2673" t="str">
        <f>_xlfn.XLOOKUP(C2673, Table2[Species],Table2[Sp. Name], "Code Not Found")</f>
        <v>canadensis</v>
      </c>
      <c r="N2673" t="str">
        <f>_xlfn.XLOOKUP(C2673,Table2[Species],Table2[Family],"Code Not Found")</f>
        <v>Pinaceae</v>
      </c>
      <c r="O2673" t="str" cm="1">
        <f t="array" ref="O2673">_xlfn.IFS(F2673="","",F2673&lt;=5,"0 to 5",F2673&lt;=10,"5.1 to 10",F2673&lt;=20,"10 to 20", F2673&lt;= 40, "20 to 40", F2673 &lt;= 50, "40 to 50", F2673 &gt; 50, "&gt;50" )</f>
        <v>5.1 to 10</v>
      </c>
    </row>
    <row r="2674" spans="1:15" ht="15" customHeight="1" x14ac:dyDescent="0.3">
      <c r="A2674" t="s">
        <v>532</v>
      </c>
      <c r="B2674" s="1">
        <v>46217</v>
      </c>
      <c r="C2674" t="s">
        <v>430</v>
      </c>
      <c r="D2674">
        <v>2479</v>
      </c>
      <c r="E2674">
        <v>1</v>
      </c>
      <c r="F2674">
        <v>23.4</v>
      </c>
      <c r="G2674" t="s">
        <v>17</v>
      </c>
      <c r="I2674" t="str">
        <f t="shared" si="64"/>
        <v>2479_1</v>
      </c>
      <c r="J2674" t="s">
        <v>533</v>
      </c>
      <c r="K2674" t="s">
        <v>429</v>
      </c>
      <c r="L2674" t="str">
        <f>_xlfn.XLOOKUP(C2674, Table2[Species],Table2[Genus], "Code Not Found")</f>
        <v>Tsuga</v>
      </c>
      <c r="M2674" t="str">
        <f>_xlfn.XLOOKUP(C2674, Table2[Species],Table2[Sp. Name], "Code Not Found")</f>
        <v>canadensis</v>
      </c>
      <c r="N2674" t="str">
        <f>_xlfn.XLOOKUP(C2674,Table2[Species],Table2[Family],"Code Not Found")</f>
        <v>Pinaceae</v>
      </c>
      <c r="O2674" t="str" cm="1">
        <f t="array" ref="O2674">_xlfn.IFS(F2674="","",F2674&lt;=5,"0 to 5",F2674&lt;=10,"5.1 to 10",F2674&lt;=20,"10 to 20", F2674&lt;= 40, "20 to 40", F2674 &lt;= 50, "40 to 50", F2674 &gt; 50, "&gt;50" )</f>
        <v>20 to 40</v>
      </c>
    </row>
    <row r="2675" spans="1:15" ht="15" customHeight="1" x14ac:dyDescent="0.3">
      <c r="A2675" t="s">
        <v>532</v>
      </c>
      <c r="B2675" s="1">
        <v>46217</v>
      </c>
      <c r="C2675" t="s">
        <v>430</v>
      </c>
      <c r="D2675">
        <v>2480</v>
      </c>
      <c r="E2675">
        <v>1</v>
      </c>
      <c r="F2675">
        <v>27.9</v>
      </c>
      <c r="G2675" t="s">
        <v>17</v>
      </c>
      <c r="H2675" t="s">
        <v>36</v>
      </c>
      <c r="I2675" t="str">
        <f t="shared" si="64"/>
        <v>2480_1</v>
      </c>
      <c r="J2675" t="s">
        <v>533</v>
      </c>
      <c r="K2675" t="s">
        <v>429</v>
      </c>
      <c r="L2675" t="str">
        <f>_xlfn.XLOOKUP(C2675, Table2[Species],Table2[Genus], "Code Not Found")</f>
        <v>Tsuga</v>
      </c>
      <c r="M2675" t="str">
        <f>_xlfn.XLOOKUP(C2675, Table2[Species],Table2[Sp. Name], "Code Not Found")</f>
        <v>canadensis</v>
      </c>
      <c r="N2675" t="str">
        <f>_xlfn.XLOOKUP(C2675,Table2[Species],Table2[Family],"Code Not Found")</f>
        <v>Pinaceae</v>
      </c>
      <c r="O2675" t="str" cm="1">
        <f t="array" ref="O2675">_xlfn.IFS(F2675="","",F2675&lt;=5,"0 to 5",F2675&lt;=10,"5.1 to 10",F2675&lt;=20,"10 to 20", F2675&lt;= 40, "20 to 40", F2675 &lt;= 50, "40 to 50", F2675 &gt; 50, "&gt;50" )</f>
        <v>20 to 40</v>
      </c>
    </row>
    <row r="2676" spans="1:15" ht="15" customHeight="1" x14ac:dyDescent="0.3">
      <c r="A2676" t="s">
        <v>532</v>
      </c>
      <c r="B2676" s="1">
        <v>46217</v>
      </c>
      <c r="C2676" t="s">
        <v>430</v>
      </c>
      <c r="D2676">
        <v>2481</v>
      </c>
      <c r="E2676">
        <v>1</v>
      </c>
      <c r="F2676">
        <v>14.1</v>
      </c>
      <c r="G2676" t="s">
        <v>381</v>
      </c>
      <c r="H2676" t="s">
        <v>377</v>
      </c>
      <c r="I2676" t="str">
        <f t="shared" si="64"/>
        <v>2481_1</v>
      </c>
      <c r="J2676" t="s">
        <v>533</v>
      </c>
      <c r="K2676" t="s">
        <v>429</v>
      </c>
      <c r="L2676" t="str">
        <f>_xlfn.XLOOKUP(C2676, Table2[Species],Table2[Genus], "Code Not Found")</f>
        <v>Tsuga</v>
      </c>
      <c r="M2676" t="str">
        <f>_xlfn.XLOOKUP(C2676, Table2[Species],Table2[Sp. Name], "Code Not Found")</f>
        <v>canadensis</v>
      </c>
      <c r="N2676" t="str">
        <f>_xlfn.XLOOKUP(C2676,Table2[Species],Table2[Family],"Code Not Found")</f>
        <v>Pinaceae</v>
      </c>
      <c r="O2676" t="str" cm="1">
        <f t="array" ref="O2676">_xlfn.IFS(F2676="","",F2676&lt;=5,"0 to 5",F2676&lt;=10,"5.1 to 10",F2676&lt;=20,"10 to 20", F2676&lt;= 40, "20 to 40", F2676 &lt;= 50, "40 to 50", F2676 &gt; 50, "&gt;50" )</f>
        <v>10 to 20</v>
      </c>
    </row>
    <row r="2677" spans="1:15" ht="15" customHeight="1" x14ac:dyDescent="0.3">
      <c r="A2677" t="s">
        <v>532</v>
      </c>
      <c r="B2677" s="1">
        <v>46217</v>
      </c>
      <c r="C2677" t="s">
        <v>430</v>
      </c>
      <c r="D2677">
        <v>2482</v>
      </c>
      <c r="E2677">
        <v>1</v>
      </c>
      <c r="F2677">
        <v>14.8</v>
      </c>
      <c r="G2677" t="s">
        <v>537</v>
      </c>
      <c r="H2677" t="s">
        <v>36</v>
      </c>
      <c r="I2677" t="str">
        <f t="shared" si="64"/>
        <v>2482_1</v>
      </c>
      <c r="J2677" t="s">
        <v>533</v>
      </c>
      <c r="K2677" t="s">
        <v>429</v>
      </c>
      <c r="L2677" t="str">
        <f>_xlfn.XLOOKUP(C2677, Table2[Species],Table2[Genus], "Code Not Found")</f>
        <v>Tsuga</v>
      </c>
      <c r="M2677" t="str">
        <f>_xlfn.XLOOKUP(C2677, Table2[Species],Table2[Sp. Name], "Code Not Found")</f>
        <v>canadensis</v>
      </c>
      <c r="N2677" t="str">
        <f>_xlfn.XLOOKUP(C2677,Table2[Species],Table2[Family],"Code Not Found")</f>
        <v>Pinaceae</v>
      </c>
      <c r="O2677" t="str" cm="1">
        <f t="array" ref="O2677">_xlfn.IFS(F2677="","",F2677&lt;=5,"0 to 5",F2677&lt;=10,"5.1 to 10",F2677&lt;=20,"10 to 20", F2677&lt;= 40, "20 to 40", F2677 &lt;= 50, "40 to 50", F2677 &gt; 50, "&gt;50" )</f>
        <v>10 to 20</v>
      </c>
    </row>
    <row r="2678" spans="1:15" ht="15" customHeight="1" x14ac:dyDescent="0.3">
      <c r="A2678" t="s">
        <v>532</v>
      </c>
      <c r="B2678" s="1">
        <v>46217</v>
      </c>
      <c r="C2678" t="s">
        <v>430</v>
      </c>
      <c r="D2678">
        <v>2483</v>
      </c>
      <c r="E2678">
        <v>1</v>
      </c>
      <c r="F2678">
        <v>10.8</v>
      </c>
      <c r="G2678" t="s">
        <v>17</v>
      </c>
      <c r="I2678" t="str">
        <f t="shared" si="64"/>
        <v>2483_1</v>
      </c>
      <c r="J2678" t="s">
        <v>533</v>
      </c>
      <c r="K2678" t="s">
        <v>429</v>
      </c>
      <c r="L2678" t="str">
        <f>_xlfn.XLOOKUP(C2678, Table2[Species],Table2[Genus], "Code Not Found")</f>
        <v>Tsuga</v>
      </c>
      <c r="M2678" t="str">
        <f>_xlfn.XLOOKUP(C2678, Table2[Species],Table2[Sp. Name], "Code Not Found")</f>
        <v>canadensis</v>
      </c>
      <c r="N2678" t="str">
        <f>_xlfn.XLOOKUP(C2678,Table2[Species],Table2[Family],"Code Not Found")</f>
        <v>Pinaceae</v>
      </c>
      <c r="O2678" t="str" cm="1">
        <f t="array" ref="O2678">_xlfn.IFS(F2678="","",F2678&lt;=5,"0 to 5",F2678&lt;=10,"5.1 to 10",F2678&lt;=20,"10 to 20", F2678&lt;= 40, "20 to 40", F2678 &lt;= 50, "40 to 50", F2678 &gt; 50, "&gt;50" )</f>
        <v>10 to 20</v>
      </c>
    </row>
    <row r="2679" spans="1:15" ht="15" customHeight="1" x14ac:dyDescent="0.3">
      <c r="A2679" t="s">
        <v>532</v>
      </c>
      <c r="B2679" s="1">
        <v>46217</v>
      </c>
      <c r="C2679" t="s">
        <v>430</v>
      </c>
      <c r="D2679">
        <v>2484</v>
      </c>
      <c r="E2679">
        <v>1</v>
      </c>
      <c r="F2679">
        <v>13.4</v>
      </c>
      <c r="G2679" t="s">
        <v>21</v>
      </c>
      <c r="I2679" t="str">
        <f t="shared" si="64"/>
        <v>2484_1</v>
      </c>
      <c r="J2679" t="s">
        <v>533</v>
      </c>
      <c r="K2679" t="s">
        <v>429</v>
      </c>
      <c r="L2679" t="str">
        <f>_xlfn.XLOOKUP(C2679, Table2[Species],Table2[Genus], "Code Not Found")</f>
        <v>Tsuga</v>
      </c>
      <c r="M2679" t="str">
        <f>_xlfn.XLOOKUP(C2679, Table2[Species],Table2[Sp. Name], "Code Not Found")</f>
        <v>canadensis</v>
      </c>
      <c r="N2679" t="str">
        <f>_xlfn.XLOOKUP(C2679,Table2[Species],Table2[Family],"Code Not Found")</f>
        <v>Pinaceae</v>
      </c>
      <c r="O2679" t="str" cm="1">
        <f t="array" ref="O2679">_xlfn.IFS(F2679="","",F2679&lt;=5,"0 to 5",F2679&lt;=10,"5.1 to 10",F2679&lt;=20,"10 to 20", F2679&lt;= 40, "20 to 40", F2679 &lt;= 50, "40 to 50", F2679 &gt; 50, "&gt;50" )</f>
        <v>10 to 20</v>
      </c>
    </row>
    <row r="2680" spans="1:15" ht="15" customHeight="1" x14ac:dyDescent="0.3">
      <c r="A2680" t="s">
        <v>532</v>
      </c>
      <c r="B2680" s="1">
        <v>46217</v>
      </c>
      <c r="C2680" t="s">
        <v>430</v>
      </c>
      <c r="D2680">
        <v>2485</v>
      </c>
      <c r="E2680">
        <v>1</v>
      </c>
      <c r="F2680">
        <v>16</v>
      </c>
      <c r="G2680" t="s">
        <v>17</v>
      </c>
      <c r="I2680" t="str">
        <f t="shared" si="64"/>
        <v>2485_1</v>
      </c>
      <c r="J2680" t="s">
        <v>533</v>
      </c>
      <c r="K2680" t="s">
        <v>429</v>
      </c>
      <c r="L2680" t="str">
        <f>_xlfn.XLOOKUP(C2680, Table2[Species],Table2[Genus], "Code Not Found")</f>
        <v>Tsuga</v>
      </c>
      <c r="M2680" t="str">
        <f>_xlfn.XLOOKUP(C2680, Table2[Species],Table2[Sp. Name], "Code Not Found")</f>
        <v>canadensis</v>
      </c>
      <c r="N2680" t="str">
        <f>_xlfn.XLOOKUP(C2680,Table2[Species],Table2[Family],"Code Not Found")</f>
        <v>Pinaceae</v>
      </c>
      <c r="O2680" t="str" cm="1">
        <f t="array" ref="O2680">_xlfn.IFS(F2680="","",F2680&lt;=5,"0 to 5",F2680&lt;=10,"5.1 to 10",F2680&lt;=20,"10 to 20", F2680&lt;= 40, "20 to 40", F2680 &lt;= 50, "40 to 50", F2680 &gt; 50, "&gt;50" )</f>
        <v>10 to 20</v>
      </c>
    </row>
    <row r="2681" spans="1:15" ht="15" customHeight="1" x14ac:dyDescent="0.3">
      <c r="A2681" t="s">
        <v>532</v>
      </c>
      <c r="B2681" s="1">
        <v>46217</v>
      </c>
      <c r="C2681" t="s">
        <v>430</v>
      </c>
      <c r="D2681">
        <v>2486</v>
      </c>
      <c r="E2681">
        <v>1</v>
      </c>
      <c r="F2681">
        <v>23.5</v>
      </c>
      <c r="G2681" t="s">
        <v>32</v>
      </c>
      <c r="I2681" t="str">
        <f t="shared" si="64"/>
        <v>2486_1</v>
      </c>
      <c r="J2681" t="s">
        <v>533</v>
      </c>
      <c r="K2681" t="s">
        <v>429</v>
      </c>
      <c r="L2681" t="str">
        <f>_xlfn.XLOOKUP(C2681, Table2[Species],Table2[Genus], "Code Not Found")</f>
        <v>Tsuga</v>
      </c>
      <c r="M2681" t="str">
        <f>_xlfn.XLOOKUP(C2681, Table2[Species],Table2[Sp. Name], "Code Not Found")</f>
        <v>canadensis</v>
      </c>
      <c r="N2681" t="str">
        <f>_xlfn.XLOOKUP(C2681,Table2[Species],Table2[Family],"Code Not Found")</f>
        <v>Pinaceae</v>
      </c>
      <c r="O2681" t="str" cm="1">
        <f t="array" ref="O2681">_xlfn.IFS(F2681="","",F2681&lt;=5,"0 to 5",F2681&lt;=10,"5.1 to 10",F2681&lt;=20,"10 to 20", F2681&lt;= 40, "20 to 40", F2681 &lt;= 50, "40 to 50", F2681 &gt; 50, "&gt;50" )</f>
        <v>20 to 40</v>
      </c>
    </row>
    <row r="2682" spans="1:15" ht="15" customHeight="1" x14ac:dyDescent="0.3">
      <c r="A2682" t="s">
        <v>532</v>
      </c>
      <c r="B2682" s="1">
        <v>46217</v>
      </c>
      <c r="C2682" t="s">
        <v>430</v>
      </c>
      <c r="D2682">
        <v>2486</v>
      </c>
      <c r="E2682">
        <v>2</v>
      </c>
      <c r="F2682">
        <v>14.3</v>
      </c>
      <c r="G2682" t="s">
        <v>34</v>
      </c>
      <c r="I2682" t="str">
        <f t="shared" si="64"/>
        <v>2486_2</v>
      </c>
      <c r="J2682" t="s">
        <v>533</v>
      </c>
      <c r="K2682" t="s">
        <v>429</v>
      </c>
      <c r="L2682" t="str">
        <f>_xlfn.XLOOKUP(C2682, Table2[Species],Table2[Genus], "Code Not Found")</f>
        <v>Tsuga</v>
      </c>
      <c r="M2682" t="str">
        <f>_xlfn.XLOOKUP(C2682, Table2[Species],Table2[Sp. Name], "Code Not Found")</f>
        <v>canadensis</v>
      </c>
      <c r="N2682" t="str">
        <f>_xlfn.XLOOKUP(C2682,Table2[Species],Table2[Family],"Code Not Found")</f>
        <v>Pinaceae</v>
      </c>
      <c r="O2682" t="str" cm="1">
        <f t="array" ref="O2682">_xlfn.IFS(F2682="","",F2682&lt;=5,"0 to 5",F2682&lt;=10,"5.1 to 10",F2682&lt;=20,"10 to 20", F2682&lt;= 40, "20 to 40", F2682 &lt;= 50, "40 to 50", F2682 &gt; 50, "&gt;50" )</f>
        <v>10 to 20</v>
      </c>
    </row>
    <row r="2683" spans="1:15" ht="15" customHeight="1" x14ac:dyDescent="0.3">
      <c r="A2683" t="s">
        <v>532</v>
      </c>
      <c r="B2683" s="1">
        <v>46217</v>
      </c>
      <c r="C2683" t="s">
        <v>430</v>
      </c>
      <c r="D2683">
        <v>2486</v>
      </c>
      <c r="E2683">
        <v>3</v>
      </c>
      <c r="F2683">
        <v>12.9</v>
      </c>
      <c r="G2683" t="s">
        <v>34</v>
      </c>
      <c r="I2683" t="str">
        <f t="shared" si="64"/>
        <v>2486_3</v>
      </c>
      <c r="J2683" t="s">
        <v>533</v>
      </c>
      <c r="K2683" t="s">
        <v>429</v>
      </c>
      <c r="L2683" t="str">
        <f>_xlfn.XLOOKUP(C2683, Table2[Species],Table2[Genus], "Code Not Found")</f>
        <v>Tsuga</v>
      </c>
      <c r="M2683" t="str">
        <f>_xlfn.XLOOKUP(C2683, Table2[Species],Table2[Sp. Name], "Code Not Found")</f>
        <v>canadensis</v>
      </c>
      <c r="N2683" t="str">
        <f>_xlfn.XLOOKUP(C2683,Table2[Species],Table2[Family],"Code Not Found")</f>
        <v>Pinaceae</v>
      </c>
      <c r="O2683" t="str" cm="1">
        <f t="array" ref="O2683">_xlfn.IFS(F2683="","",F2683&lt;=5,"0 to 5",F2683&lt;=10,"5.1 to 10",F2683&lt;=20,"10 to 20", F2683&lt;= 40, "20 to 40", F2683 &lt;= 50, "40 to 50", F2683 &gt; 50, "&gt;50" )</f>
        <v>10 to 20</v>
      </c>
    </row>
    <row r="2684" spans="1:15" ht="15" customHeight="1" x14ac:dyDescent="0.3">
      <c r="A2684" t="s">
        <v>532</v>
      </c>
      <c r="B2684" s="1">
        <v>46217</v>
      </c>
      <c r="C2684" t="s">
        <v>430</v>
      </c>
      <c r="D2684">
        <v>2487</v>
      </c>
      <c r="E2684">
        <v>1</v>
      </c>
      <c r="F2684">
        <v>15.4</v>
      </c>
      <c r="G2684" t="s">
        <v>17</v>
      </c>
      <c r="I2684" t="str">
        <f t="shared" si="64"/>
        <v>2487_1</v>
      </c>
      <c r="J2684" t="s">
        <v>533</v>
      </c>
      <c r="K2684" t="s">
        <v>429</v>
      </c>
      <c r="L2684" t="str">
        <f>_xlfn.XLOOKUP(C2684, Table2[Species],Table2[Genus], "Code Not Found")</f>
        <v>Tsuga</v>
      </c>
      <c r="M2684" t="str">
        <f>_xlfn.XLOOKUP(C2684, Table2[Species],Table2[Sp. Name], "Code Not Found")</f>
        <v>canadensis</v>
      </c>
      <c r="N2684" t="str">
        <f>_xlfn.XLOOKUP(C2684,Table2[Species],Table2[Family],"Code Not Found")</f>
        <v>Pinaceae</v>
      </c>
      <c r="O2684" t="str" cm="1">
        <f t="array" ref="O2684">_xlfn.IFS(F2684="","",F2684&lt;=5,"0 to 5",F2684&lt;=10,"5.1 to 10",F2684&lt;=20,"10 to 20", F2684&lt;= 40, "20 to 40", F2684 &lt;= 50, "40 to 50", F2684 &gt; 50, "&gt;50" )</f>
        <v>10 to 20</v>
      </c>
    </row>
    <row r="2685" spans="1:15" ht="15" customHeight="1" x14ac:dyDescent="0.3">
      <c r="A2685" t="s">
        <v>532</v>
      </c>
      <c r="B2685" s="1">
        <v>46217</v>
      </c>
      <c r="C2685" t="s">
        <v>430</v>
      </c>
      <c r="D2685">
        <v>2488</v>
      </c>
      <c r="E2685">
        <v>1</v>
      </c>
      <c r="F2685">
        <v>29.4</v>
      </c>
      <c r="G2685" t="s">
        <v>17</v>
      </c>
      <c r="I2685" t="str">
        <f t="shared" si="64"/>
        <v>2488_1</v>
      </c>
      <c r="J2685" t="s">
        <v>533</v>
      </c>
      <c r="K2685" t="s">
        <v>429</v>
      </c>
      <c r="L2685" t="str">
        <f>_xlfn.XLOOKUP(C2685, Table2[Species],Table2[Genus], "Code Not Found")</f>
        <v>Tsuga</v>
      </c>
      <c r="M2685" t="str">
        <f>_xlfn.XLOOKUP(C2685, Table2[Species],Table2[Sp. Name], "Code Not Found")</f>
        <v>canadensis</v>
      </c>
      <c r="N2685" t="str">
        <f>_xlfn.XLOOKUP(C2685,Table2[Species],Table2[Family],"Code Not Found")</f>
        <v>Pinaceae</v>
      </c>
      <c r="O2685" t="str" cm="1">
        <f t="array" ref="O2685">_xlfn.IFS(F2685="","",F2685&lt;=5,"0 to 5",F2685&lt;=10,"5.1 to 10",F2685&lt;=20,"10 to 20", F2685&lt;= 40, "20 to 40", F2685 &lt;= 50, "40 to 50", F2685 &gt; 50, "&gt;50" )</f>
        <v>20 to 40</v>
      </c>
    </row>
    <row r="2686" spans="1:15" ht="15" customHeight="1" x14ac:dyDescent="0.3">
      <c r="A2686" t="s">
        <v>532</v>
      </c>
      <c r="B2686" s="1">
        <v>46217</v>
      </c>
      <c r="C2686" t="s">
        <v>22</v>
      </c>
      <c r="D2686">
        <v>2489</v>
      </c>
      <c r="E2686">
        <v>1</v>
      </c>
      <c r="F2686">
        <v>5.7</v>
      </c>
      <c r="G2686" t="s">
        <v>17</v>
      </c>
      <c r="I2686" t="str">
        <f t="shared" si="64"/>
        <v>2489_1</v>
      </c>
      <c r="J2686" t="s">
        <v>533</v>
      </c>
      <c r="K2686" t="s">
        <v>429</v>
      </c>
      <c r="L2686" t="str">
        <f>_xlfn.XLOOKUP(C2686, Table2[Species],Table2[Genus], "Code Not Found")</f>
        <v>Acer</v>
      </c>
      <c r="M2686" t="str">
        <f>_xlfn.XLOOKUP(C2686, Table2[Species],Table2[Sp. Name], "Code Not Found")</f>
        <v>rubrum</v>
      </c>
      <c r="N2686" t="str">
        <f>_xlfn.XLOOKUP(C2686,Table2[Species],Table2[Family],"Code Not Found")</f>
        <v>Sapindaceae</v>
      </c>
      <c r="O2686" t="str" cm="1">
        <f t="array" ref="O2686">_xlfn.IFS(F2686="","",F2686&lt;=5,"0 to 5",F2686&lt;=10,"5.1 to 10",F2686&lt;=20,"10 to 20", F2686&lt;= 40, "20 to 40", F2686 &lt;= 50, "40 to 50", F2686 &gt; 50, "&gt;50" )</f>
        <v>5.1 to 10</v>
      </c>
    </row>
    <row r="2687" spans="1:15" ht="15" customHeight="1" x14ac:dyDescent="0.3">
      <c r="A2687" t="s">
        <v>532</v>
      </c>
      <c r="B2687" s="1">
        <v>46217</v>
      </c>
      <c r="C2687" t="s">
        <v>123</v>
      </c>
      <c r="D2687">
        <v>2490</v>
      </c>
      <c r="E2687">
        <v>1</v>
      </c>
      <c r="F2687">
        <v>66.8</v>
      </c>
      <c r="G2687" t="s">
        <v>17</v>
      </c>
      <c r="H2687" t="s">
        <v>36</v>
      </c>
      <c r="I2687" t="str">
        <f t="shared" si="64"/>
        <v>2490_1</v>
      </c>
      <c r="J2687" t="s">
        <v>533</v>
      </c>
      <c r="K2687" t="s">
        <v>429</v>
      </c>
      <c r="L2687" t="str">
        <f>_xlfn.XLOOKUP(C2687, Table2[Species],Table2[Genus], "Code Not Found")</f>
        <v>Quercus</v>
      </c>
      <c r="M2687" t="str">
        <f>_xlfn.XLOOKUP(C2687, Table2[Species],Table2[Sp. Name], "Code Not Found")</f>
        <v>rubra</v>
      </c>
      <c r="N2687" t="str">
        <f>_xlfn.XLOOKUP(C2687,Table2[Species],Table2[Family],"Code Not Found")</f>
        <v>Fagaceae</v>
      </c>
      <c r="O2687" t="str" cm="1">
        <f t="array" ref="O2687">_xlfn.IFS(F2687="","",F2687&lt;=5,"0 to 5",F2687&lt;=10,"5.1 to 10",F2687&lt;=20,"10 to 20", F2687&lt;= 40, "20 to 40", F2687 &lt;= 50, "40 to 50", F2687 &gt; 50, "&gt;50" )</f>
        <v>&gt;50</v>
      </c>
    </row>
    <row r="2688" spans="1:15" ht="15" customHeight="1" x14ac:dyDescent="0.3">
      <c r="A2688" t="s">
        <v>532</v>
      </c>
      <c r="B2688" s="1">
        <v>46217</v>
      </c>
      <c r="C2688" t="s">
        <v>22</v>
      </c>
      <c r="D2688">
        <v>2491</v>
      </c>
      <c r="E2688">
        <v>1</v>
      </c>
      <c r="F2688">
        <v>42.6</v>
      </c>
      <c r="G2688" t="s">
        <v>21</v>
      </c>
      <c r="I2688" t="str">
        <f t="shared" si="64"/>
        <v>2491_1</v>
      </c>
      <c r="J2688" t="s">
        <v>533</v>
      </c>
      <c r="K2688" t="s">
        <v>429</v>
      </c>
      <c r="L2688" t="str">
        <f>_xlfn.XLOOKUP(C2688, Table2[Species],Table2[Genus], "Code Not Found")</f>
        <v>Acer</v>
      </c>
      <c r="M2688" t="str">
        <f>_xlfn.XLOOKUP(C2688, Table2[Species],Table2[Sp. Name], "Code Not Found")</f>
        <v>rubrum</v>
      </c>
      <c r="N2688" t="str">
        <f>_xlfn.XLOOKUP(C2688,Table2[Species],Table2[Family],"Code Not Found")</f>
        <v>Sapindaceae</v>
      </c>
      <c r="O2688" t="str" cm="1">
        <f t="array" ref="O2688">_xlfn.IFS(F2688="","",F2688&lt;=5,"0 to 5",F2688&lt;=10,"5.1 to 10",F2688&lt;=20,"10 to 20", F2688&lt;= 40, "20 to 40", F2688 &lt;= 50, "40 to 50", F2688 &gt; 50, "&gt;50" )</f>
        <v>40 to 50</v>
      </c>
    </row>
    <row r="2689" spans="1:15" ht="15" customHeight="1" x14ac:dyDescent="0.3">
      <c r="A2689" t="s">
        <v>532</v>
      </c>
      <c r="B2689" s="1">
        <v>46217</v>
      </c>
      <c r="C2689" t="s">
        <v>22</v>
      </c>
      <c r="D2689">
        <v>2492</v>
      </c>
      <c r="E2689">
        <v>1</v>
      </c>
      <c r="F2689">
        <v>20.8</v>
      </c>
      <c r="G2689" t="s">
        <v>21</v>
      </c>
      <c r="I2689" t="str">
        <f t="shared" si="64"/>
        <v>2492_1</v>
      </c>
      <c r="J2689" t="s">
        <v>533</v>
      </c>
      <c r="K2689" t="s">
        <v>429</v>
      </c>
      <c r="L2689" t="str">
        <f>_xlfn.XLOOKUP(C2689, Table2[Species],Table2[Genus], "Code Not Found")</f>
        <v>Acer</v>
      </c>
      <c r="M2689" t="str">
        <f>_xlfn.XLOOKUP(C2689, Table2[Species],Table2[Sp. Name], "Code Not Found")</f>
        <v>rubrum</v>
      </c>
      <c r="N2689" t="str">
        <f>_xlfn.XLOOKUP(C2689,Table2[Species],Table2[Family],"Code Not Found")</f>
        <v>Sapindaceae</v>
      </c>
      <c r="O2689" t="str" cm="1">
        <f t="array" ref="O2689">_xlfn.IFS(F2689="","",F2689&lt;=5,"0 to 5",F2689&lt;=10,"5.1 to 10",F2689&lt;=20,"10 to 20", F2689&lt;= 40, "20 to 40", F2689 &lt;= 50, "40 to 50", F2689 &gt; 50, "&gt;50" )</f>
        <v>20 to 40</v>
      </c>
    </row>
    <row r="2690" spans="1:15" ht="15" customHeight="1" x14ac:dyDescent="0.3">
      <c r="A2690" t="s">
        <v>532</v>
      </c>
      <c r="B2690" s="1">
        <v>46217</v>
      </c>
      <c r="C2690" t="s">
        <v>22</v>
      </c>
      <c r="D2690">
        <v>2493</v>
      </c>
      <c r="E2690">
        <v>1</v>
      </c>
      <c r="F2690">
        <v>17.2</v>
      </c>
      <c r="G2690" t="s">
        <v>17</v>
      </c>
      <c r="I2690" t="str">
        <f t="shared" si="64"/>
        <v>2493_1</v>
      </c>
      <c r="J2690" t="s">
        <v>533</v>
      </c>
      <c r="K2690" t="s">
        <v>429</v>
      </c>
      <c r="L2690" t="str">
        <f>_xlfn.XLOOKUP(C2690, Table2[Species],Table2[Genus], "Code Not Found")</f>
        <v>Acer</v>
      </c>
      <c r="M2690" t="str">
        <f>_xlfn.XLOOKUP(C2690, Table2[Species],Table2[Sp. Name], "Code Not Found")</f>
        <v>rubrum</v>
      </c>
      <c r="N2690" t="str">
        <f>_xlfn.XLOOKUP(C2690,Table2[Species],Table2[Family],"Code Not Found")</f>
        <v>Sapindaceae</v>
      </c>
      <c r="O2690" t="str" cm="1">
        <f t="array" ref="O2690">_xlfn.IFS(F2690="","",F2690&lt;=5,"0 to 5",F2690&lt;=10,"5.1 to 10",F2690&lt;=20,"10 to 20", F2690&lt;= 40, "20 to 40", F2690 &lt;= 50, "40 to 50", F2690 &gt; 50, "&gt;50" )</f>
        <v>10 to 20</v>
      </c>
    </row>
    <row r="2691" spans="1:15" ht="15" customHeight="1" x14ac:dyDescent="0.3">
      <c r="A2691" t="s">
        <v>532</v>
      </c>
      <c r="B2691" s="1">
        <v>46217</v>
      </c>
      <c r="C2691" t="s">
        <v>22</v>
      </c>
      <c r="D2691">
        <v>2494</v>
      </c>
      <c r="E2691">
        <v>1</v>
      </c>
      <c r="F2691">
        <v>35.1</v>
      </c>
      <c r="G2691" t="s">
        <v>56</v>
      </c>
      <c r="I2691" t="str">
        <f t="shared" si="64"/>
        <v>2494_1</v>
      </c>
      <c r="J2691" t="s">
        <v>533</v>
      </c>
      <c r="K2691" t="s">
        <v>429</v>
      </c>
      <c r="L2691" t="str">
        <f>_xlfn.XLOOKUP(C2691, Table2[Species],Table2[Genus], "Code Not Found")</f>
        <v>Acer</v>
      </c>
      <c r="M2691" t="str">
        <f>_xlfn.XLOOKUP(C2691, Table2[Species],Table2[Sp. Name], "Code Not Found")</f>
        <v>rubrum</v>
      </c>
      <c r="N2691" t="str">
        <f>_xlfn.XLOOKUP(C2691,Table2[Species],Table2[Family],"Code Not Found")</f>
        <v>Sapindaceae</v>
      </c>
      <c r="O2691" t="str" cm="1">
        <f t="array" ref="O2691">_xlfn.IFS(F2691="","",F2691&lt;=5,"0 to 5",F2691&lt;=10,"5.1 to 10",F2691&lt;=20,"10 to 20", F2691&lt;= 40, "20 to 40", F2691 &lt;= 50, "40 to 50", F2691 &gt; 50, "&gt;50" )</f>
        <v>20 to 40</v>
      </c>
    </row>
    <row r="2692" spans="1:15" ht="15" customHeight="1" x14ac:dyDescent="0.3">
      <c r="A2692" t="s">
        <v>532</v>
      </c>
      <c r="B2692" s="1">
        <v>46217</v>
      </c>
      <c r="C2692" t="s">
        <v>22</v>
      </c>
      <c r="D2692">
        <v>2495</v>
      </c>
      <c r="E2692">
        <v>1</v>
      </c>
      <c r="F2692">
        <v>27.1</v>
      </c>
      <c r="G2692" t="s">
        <v>21</v>
      </c>
      <c r="I2692" t="str">
        <f t="shared" si="64"/>
        <v>2495_1</v>
      </c>
      <c r="J2692" t="s">
        <v>533</v>
      </c>
      <c r="K2692" t="s">
        <v>429</v>
      </c>
      <c r="L2692" t="str">
        <f>_xlfn.XLOOKUP(C2692, Table2[Species],Table2[Genus], "Code Not Found")</f>
        <v>Acer</v>
      </c>
      <c r="M2692" t="str">
        <f>_xlfn.XLOOKUP(C2692, Table2[Species],Table2[Sp. Name], "Code Not Found")</f>
        <v>rubrum</v>
      </c>
      <c r="N2692" t="str">
        <f>_xlfn.XLOOKUP(C2692,Table2[Species],Table2[Family],"Code Not Found")</f>
        <v>Sapindaceae</v>
      </c>
      <c r="O2692" t="str" cm="1">
        <f t="array" ref="O2692">_xlfn.IFS(F2692="","",F2692&lt;=5,"0 to 5",F2692&lt;=10,"5.1 to 10",F2692&lt;=20,"10 to 20", F2692&lt;= 40, "20 to 40", F2692 &lt;= 50, "40 to 50", F2692 &gt; 50, "&gt;50" )</f>
        <v>20 to 40</v>
      </c>
    </row>
    <row r="2693" spans="1:15" ht="15" customHeight="1" x14ac:dyDescent="0.3">
      <c r="A2693" t="s">
        <v>532</v>
      </c>
      <c r="B2693" s="1">
        <v>46217</v>
      </c>
      <c r="C2693" t="s">
        <v>430</v>
      </c>
      <c r="D2693">
        <v>2496</v>
      </c>
      <c r="E2693">
        <v>1</v>
      </c>
      <c r="F2693">
        <v>12.5</v>
      </c>
      <c r="G2693" t="s">
        <v>17</v>
      </c>
      <c r="I2693" t="str">
        <f t="shared" si="64"/>
        <v>2496_1</v>
      </c>
      <c r="J2693" t="s">
        <v>533</v>
      </c>
      <c r="K2693" t="s">
        <v>429</v>
      </c>
      <c r="L2693" t="str">
        <f>_xlfn.XLOOKUP(C2693, Table2[Species],Table2[Genus], "Code Not Found")</f>
        <v>Tsuga</v>
      </c>
      <c r="M2693" t="str">
        <f>_xlfn.XLOOKUP(C2693, Table2[Species],Table2[Sp. Name], "Code Not Found")</f>
        <v>canadensis</v>
      </c>
      <c r="N2693" t="str">
        <f>_xlfn.XLOOKUP(C2693,Table2[Species],Table2[Family],"Code Not Found")</f>
        <v>Pinaceae</v>
      </c>
      <c r="O2693" t="str" cm="1">
        <f t="array" ref="O2693">_xlfn.IFS(F2693="","",F2693&lt;=5,"0 to 5",F2693&lt;=10,"5.1 to 10",F2693&lt;=20,"10 to 20", F2693&lt;= 40, "20 to 40", F2693 &lt;= 50, "40 to 50", F2693 &gt; 50, "&gt;50" )</f>
        <v>10 to 20</v>
      </c>
    </row>
    <row r="2694" spans="1:15" ht="15" customHeight="1" x14ac:dyDescent="0.3">
      <c r="A2694" t="s">
        <v>532</v>
      </c>
      <c r="B2694" s="1">
        <v>46217</v>
      </c>
      <c r="C2694" t="s">
        <v>430</v>
      </c>
      <c r="D2694">
        <v>2497</v>
      </c>
      <c r="E2694">
        <v>1</v>
      </c>
      <c r="F2694">
        <v>16.8</v>
      </c>
      <c r="G2694" t="s">
        <v>17</v>
      </c>
      <c r="I2694" t="str">
        <f t="shared" si="64"/>
        <v>2497_1</v>
      </c>
      <c r="J2694" t="s">
        <v>533</v>
      </c>
      <c r="K2694" t="s">
        <v>429</v>
      </c>
      <c r="L2694" t="str">
        <f>_xlfn.XLOOKUP(C2694, Table2[Species],Table2[Genus], "Code Not Found")</f>
        <v>Tsuga</v>
      </c>
      <c r="M2694" t="str">
        <f>_xlfn.XLOOKUP(C2694, Table2[Species],Table2[Sp. Name], "Code Not Found")</f>
        <v>canadensis</v>
      </c>
      <c r="N2694" t="str">
        <f>_xlfn.XLOOKUP(C2694,Table2[Species],Table2[Family],"Code Not Found")</f>
        <v>Pinaceae</v>
      </c>
      <c r="O2694" t="str" cm="1">
        <f t="array" ref="O2694">_xlfn.IFS(F2694="","",F2694&lt;=5,"0 to 5",F2694&lt;=10,"5.1 to 10",F2694&lt;=20,"10 to 20", F2694&lt;= 40, "20 to 40", F2694 &lt;= 50, "40 to 50", F2694 &gt; 50, "&gt;50" )</f>
        <v>10 to 20</v>
      </c>
    </row>
    <row r="2695" spans="1:15" ht="15" customHeight="1" x14ac:dyDescent="0.3">
      <c r="A2695" t="s">
        <v>532</v>
      </c>
      <c r="B2695" s="1">
        <v>46217</v>
      </c>
      <c r="C2695" t="s">
        <v>22</v>
      </c>
      <c r="D2695">
        <v>2498</v>
      </c>
      <c r="E2695">
        <v>1</v>
      </c>
      <c r="F2695">
        <v>15</v>
      </c>
      <c r="G2695" t="s">
        <v>21</v>
      </c>
      <c r="I2695" t="str">
        <f t="shared" si="64"/>
        <v>2498_1</v>
      </c>
      <c r="J2695" t="s">
        <v>533</v>
      </c>
      <c r="K2695" t="s">
        <v>429</v>
      </c>
      <c r="L2695" t="str">
        <f>_xlfn.XLOOKUP(C2695, Table2[Species],Table2[Genus], "Code Not Found")</f>
        <v>Acer</v>
      </c>
      <c r="M2695" t="str">
        <f>_xlfn.XLOOKUP(C2695, Table2[Species],Table2[Sp. Name], "Code Not Found")</f>
        <v>rubrum</v>
      </c>
      <c r="N2695" t="str">
        <f>_xlfn.XLOOKUP(C2695,Table2[Species],Table2[Family],"Code Not Found")</f>
        <v>Sapindaceae</v>
      </c>
      <c r="O2695" t="str" cm="1">
        <f t="array" ref="O2695">_xlfn.IFS(F2695="","",F2695&lt;=5,"0 to 5",F2695&lt;=10,"5.1 to 10",F2695&lt;=20,"10 to 20", F2695&lt;= 40, "20 to 40", F2695 &lt;= 50, "40 to 50", F2695 &gt; 50, "&gt;50" )</f>
        <v>10 to 20</v>
      </c>
    </row>
    <row r="2696" spans="1:15" ht="15" customHeight="1" x14ac:dyDescent="0.3">
      <c r="A2696" t="s">
        <v>532</v>
      </c>
      <c r="B2696" s="1">
        <v>46217</v>
      </c>
      <c r="C2696" t="s">
        <v>430</v>
      </c>
      <c r="D2696">
        <v>2499</v>
      </c>
      <c r="E2696">
        <v>1</v>
      </c>
      <c r="F2696">
        <v>15.4</v>
      </c>
      <c r="G2696" t="s">
        <v>537</v>
      </c>
      <c r="H2696" t="s">
        <v>296</v>
      </c>
      <c r="I2696" t="str">
        <f t="shared" si="64"/>
        <v>2499_1</v>
      </c>
      <c r="J2696" t="s">
        <v>533</v>
      </c>
      <c r="K2696" t="s">
        <v>429</v>
      </c>
      <c r="L2696" t="str">
        <f>_xlfn.XLOOKUP(C2696, Table2[Species],Table2[Genus], "Code Not Found")</f>
        <v>Tsuga</v>
      </c>
      <c r="M2696" t="str">
        <f>_xlfn.XLOOKUP(C2696, Table2[Species],Table2[Sp. Name], "Code Not Found")</f>
        <v>canadensis</v>
      </c>
      <c r="N2696" t="str">
        <f>_xlfn.XLOOKUP(C2696,Table2[Species],Table2[Family],"Code Not Found")</f>
        <v>Pinaceae</v>
      </c>
      <c r="O2696" t="str" cm="1">
        <f t="array" ref="O2696">_xlfn.IFS(F2696="","",F2696&lt;=5,"0 to 5",F2696&lt;=10,"5.1 to 10",F2696&lt;=20,"10 to 20", F2696&lt;= 40, "20 to 40", F2696 &lt;= 50, "40 to 50", F2696 &gt; 50, "&gt;50" )</f>
        <v>10 to 20</v>
      </c>
    </row>
    <row r="2697" spans="1:15" ht="15" customHeight="1" x14ac:dyDescent="0.3">
      <c r="A2697" t="s">
        <v>532</v>
      </c>
      <c r="B2697" s="1">
        <v>46217</v>
      </c>
      <c r="C2697" t="s">
        <v>430</v>
      </c>
      <c r="D2697">
        <v>2500</v>
      </c>
      <c r="E2697">
        <v>1</v>
      </c>
      <c r="F2697">
        <v>15.6</v>
      </c>
      <c r="G2697" t="s">
        <v>17</v>
      </c>
      <c r="I2697" t="str">
        <f t="shared" si="64"/>
        <v>2500_1</v>
      </c>
      <c r="J2697" t="s">
        <v>533</v>
      </c>
      <c r="K2697" t="s">
        <v>429</v>
      </c>
      <c r="L2697" t="str">
        <f>_xlfn.XLOOKUP(C2697, Table2[Species],Table2[Genus], "Code Not Found")</f>
        <v>Tsuga</v>
      </c>
      <c r="M2697" t="str">
        <f>_xlfn.XLOOKUP(C2697, Table2[Species],Table2[Sp. Name], "Code Not Found")</f>
        <v>canadensis</v>
      </c>
      <c r="N2697" t="str">
        <f>_xlfn.XLOOKUP(C2697,Table2[Species],Table2[Family],"Code Not Found")</f>
        <v>Pinaceae</v>
      </c>
      <c r="O2697" t="str" cm="1">
        <f t="array" ref="O2697">_xlfn.IFS(F2697="","",F2697&lt;=5,"0 to 5",F2697&lt;=10,"5.1 to 10",F2697&lt;=20,"10 to 20", F2697&lt;= 40, "20 to 40", F2697 &lt;= 50, "40 to 50", F2697 &gt; 50, "&gt;50" )</f>
        <v>10 to 20</v>
      </c>
    </row>
    <row r="2698" spans="1:15" ht="15" customHeight="1" x14ac:dyDescent="0.3">
      <c r="A2698" t="s">
        <v>532</v>
      </c>
      <c r="B2698" s="1">
        <v>46217</v>
      </c>
      <c r="C2698" t="s">
        <v>16</v>
      </c>
      <c r="D2698">
        <v>2501</v>
      </c>
      <c r="E2698">
        <v>1</v>
      </c>
      <c r="F2698">
        <v>7.4</v>
      </c>
      <c r="G2698" t="s">
        <v>17</v>
      </c>
      <c r="I2698" t="str">
        <f t="shared" si="64"/>
        <v>2501_1</v>
      </c>
      <c r="J2698" t="s">
        <v>533</v>
      </c>
      <c r="K2698" t="s">
        <v>429</v>
      </c>
      <c r="L2698" t="str">
        <f>_xlfn.XLOOKUP(C2698, Table2[Species],Table2[Genus], "Code Not Found")</f>
        <v>Acer</v>
      </c>
      <c r="M2698" t="str">
        <f>_xlfn.XLOOKUP(C2698, Table2[Species],Table2[Sp. Name], "Code Not Found")</f>
        <v>saccharum</v>
      </c>
      <c r="N2698" t="str">
        <f>_xlfn.XLOOKUP(C2698,Table2[Species],Table2[Family],"Code Not Found")</f>
        <v>Sapindaceae</v>
      </c>
      <c r="O2698" t="str" cm="1">
        <f t="array" ref="O2698">_xlfn.IFS(F2698="","",F2698&lt;=5,"0 to 5",F2698&lt;=10,"5.1 to 10",F2698&lt;=20,"10 to 20", F2698&lt;= 40, "20 to 40", F2698 &lt;= 50, "40 to 50", F2698 &gt; 50, "&gt;50" )</f>
        <v>5.1 to 10</v>
      </c>
    </row>
    <row r="2699" spans="1:15" ht="15" customHeight="1" x14ac:dyDescent="0.3">
      <c r="A2699" t="s">
        <v>532</v>
      </c>
      <c r="B2699" s="1">
        <v>46217</v>
      </c>
      <c r="C2699" t="s">
        <v>430</v>
      </c>
      <c r="D2699">
        <v>2502</v>
      </c>
      <c r="E2699">
        <v>1</v>
      </c>
      <c r="F2699">
        <v>13.1</v>
      </c>
      <c r="G2699" t="s">
        <v>17</v>
      </c>
      <c r="H2699" t="s">
        <v>563</v>
      </c>
      <c r="I2699" t="str">
        <f t="shared" si="64"/>
        <v>2502_1</v>
      </c>
      <c r="J2699" t="s">
        <v>533</v>
      </c>
      <c r="K2699" t="s">
        <v>429</v>
      </c>
      <c r="L2699" t="str">
        <f>_xlfn.XLOOKUP(C2699, Table2[Species],Table2[Genus], "Code Not Found")</f>
        <v>Tsuga</v>
      </c>
      <c r="M2699" t="str">
        <f>_xlfn.XLOOKUP(C2699, Table2[Species],Table2[Sp. Name], "Code Not Found")</f>
        <v>canadensis</v>
      </c>
      <c r="N2699" t="str">
        <f>_xlfn.XLOOKUP(C2699,Table2[Species],Table2[Family],"Code Not Found")</f>
        <v>Pinaceae</v>
      </c>
      <c r="O2699" t="str" cm="1">
        <f t="array" ref="O2699">_xlfn.IFS(F2699="","",F2699&lt;=5,"0 to 5",F2699&lt;=10,"5.1 to 10",F2699&lt;=20,"10 to 20", F2699&lt;= 40, "20 to 40", F2699 &lt;= 50, "40 to 50", F2699 &gt; 50, "&gt;50" )</f>
        <v>10 to 20</v>
      </c>
    </row>
    <row r="2700" spans="1:15" ht="15" customHeight="1" x14ac:dyDescent="0.3">
      <c r="A2700" t="s">
        <v>532</v>
      </c>
      <c r="B2700" s="1">
        <v>46217</v>
      </c>
      <c r="C2700" t="s">
        <v>22</v>
      </c>
      <c r="D2700">
        <v>2503</v>
      </c>
      <c r="E2700">
        <v>1</v>
      </c>
      <c r="F2700">
        <v>41.8</v>
      </c>
      <c r="G2700" t="s">
        <v>21</v>
      </c>
      <c r="I2700" t="str">
        <f t="shared" ref="I2700:I2703" si="65">D2700&amp;"_"&amp;E2700</f>
        <v>2503_1</v>
      </c>
      <c r="J2700" t="s">
        <v>533</v>
      </c>
      <c r="K2700" t="s">
        <v>429</v>
      </c>
      <c r="L2700" t="str">
        <f>_xlfn.XLOOKUP(C2700, Table2[Species],Table2[Genus], "Code Not Found")</f>
        <v>Acer</v>
      </c>
      <c r="M2700" t="str">
        <f>_xlfn.XLOOKUP(C2700, Table2[Species],Table2[Sp. Name], "Code Not Found")</f>
        <v>rubrum</v>
      </c>
      <c r="N2700" t="str">
        <f>_xlfn.XLOOKUP(C2700,Table2[Species],Table2[Family],"Code Not Found")</f>
        <v>Sapindaceae</v>
      </c>
      <c r="O2700" t="str" cm="1">
        <f t="array" ref="O2700">_xlfn.IFS(F2700="","",F2700&lt;=5,"0 to 5",F2700&lt;=10,"5.1 to 10",F2700&lt;=20,"10 to 20", F2700&lt;= 40, "20 to 40", F2700 &lt;= 50, "40 to 50", F2700 &gt; 50, "&gt;50" )</f>
        <v>40 to 50</v>
      </c>
    </row>
    <row r="2701" spans="1:15" ht="15" customHeight="1" x14ac:dyDescent="0.3">
      <c r="A2701" t="s">
        <v>532</v>
      </c>
      <c r="B2701" s="1">
        <v>46217</v>
      </c>
      <c r="C2701" t="s">
        <v>22</v>
      </c>
      <c r="D2701">
        <v>2504</v>
      </c>
      <c r="E2701">
        <v>1</v>
      </c>
      <c r="F2701">
        <v>17.3</v>
      </c>
      <c r="G2701" t="s">
        <v>21</v>
      </c>
      <c r="I2701" t="str">
        <f t="shared" si="65"/>
        <v>2504_1</v>
      </c>
      <c r="J2701" t="s">
        <v>533</v>
      </c>
      <c r="K2701" t="s">
        <v>429</v>
      </c>
      <c r="L2701" t="str">
        <f>_xlfn.XLOOKUP(C2701, Table2[Species],Table2[Genus], "Code Not Found")</f>
        <v>Acer</v>
      </c>
      <c r="M2701" t="str">
        <f>_xlfn.XLOOKUP(C2701, Table2[Species],Table2[Sp. Name], "Code Not Found")</f>
        <v>rubrum</v>
      </c>
      <c r="N2701" t="str">
        <f>_xlfn.XLOOKUP(C2701,Table2[Species],Table2[Family],"Code Not Found")</f>
        <v>Sapindaceae</v>
      </c>
      <c r="O2701" t="str" cm="1">
        <f t="array" ref="O2701">_xlfn.IFS(F2701="","",F2701&lt;=5,"0 to 5",F2701&lt;=10,"5.1 to 10",F2701&lt;=20,"10 to 20", F2701&lt;= 40, "20 to 40", F2701 &lt;= 50, "40 to 50", F2701 &gt; 50, "&gt;50" )</f>
        <v>10 to 20</v>
      </c>
    </row>
    <row r="2702" spans="1:15" ht="15" customHeight="1" x14ac:dyDescent="0.3">
      <c r="A2702" t="s">
        <v>532</v>
      </c>
      <c r="B2702" s="1">
        <v>46217</v>
      </c>
      <c r="C2702" t="s">
        <v>430</v>
      </c>
      <c r="D2702">
        <v>2505</v>
      </c>
      <c r="E2702">
        <v>1</v>
      </c>
      <c r="F2702">
        <v>16.100000000000001</v>
      </c>
      <c r="G2702" t="s">
        <v>47</v>
      </c>
      <c r="H2702" t="s">
        <v>347</v>
      </c>
      <c r="I2702" t="str">
        <f t="shared" si="65"/>
        <v>2505_1</v>
      </c>
      <c r="J2702" t="s">
        <v>533</v>
      </c>
      <c r="K2702" t="s">
        <v>429</v>
      </c>
      <c r="L2702" t="str">
        <f>_xlfn.XLOOKUP(C2702, Table2[Species],Table2[Genus], "Code Not Found")</f>
        <v>Tsuga</v>
      </c>
      <c r="M2702" t="str">
        <f>_xlfn.XLOOKUP(C2702, Table2[Species],Table2[Sp. Name], "Code Not Found")</f>
        <v>canadensis</v>
      </c>
      <c r="N2702" t="str">
        <f>_xlfn.XLOOKUP(C2702,Table2[Species],Table2[Family],"Code Not Found")</f>
        <v>Pinaceae</v>
      </c>
      <c r="O2702" t="str" cm="1">
        <f t="array" ref="O2702">_xlfn.IFS(F2702="","",F2702&lt;=5,"0 to 5",F2702&lt;=10,"5.1 to 10",F2702&lt;=20,"10 to 20", F2702&lt;= 40, "20 to 40", F2702 &lt;= 50, "40 to 50", F2702 &gt; 50, "&gt;50" )</f>
        <v>10 to 20</v>
      </c>
    </row>
    <row r="2703" spans="1:15" ht="15" customHeight="1" x14ac:dyDescent="0.3">
      <c r="A2703" t="s">
        <v>532</v>
      </c>
      <c r="B2703" s="1">
        <v>46217</v>
      </c>
      <c r="C2703" t="s">
        <v>22</v>
      </c>
      <c r="D2703">
        <v>2506</v>
      </c>
      <c r="E2703">
        <v>1</v>
      </c>
      <c r="F2703">
        <v>14.8</v>
      </c>
      <c r="G2703" t="s">
        <v>21</v>
      </c>
      <c r="I2703" t="str">
        <f t="shared" si="65"/>
        <v>2506_1</v>
      </c>
      <c r="J2703" t="s">
        <v>533</v>
      </c>
      <c r="K2703" t="s">
        <v>429</v>
      </c>
      <c r="L2703" t="str">
        <f>_xlfn.XLOOKUP(C2703, Table2[Species],Table2[Genus], "Code Not Found")</f>
        <v>Acer</v>
      </c>
      <c r="M2703" t="str">
        <f>_xlfn.XLOOKUP(C2703, Table2[Species],Table2[Sp. Name], "Code Not Found")</f>
        <v>rubrum</v>
      </c>
      <c r="N2703" t="str">
        <f>_xlfn.XLOOKUP(C2703,Table2[Species],Table2[Family],"Code Not Found")</f>
        <v>Sapindaceae</v>
      </c>
      <c r="O2703" t="str" cm="1">
        <f t="array" ref="O2703">_xlfn.IFS(F2703="","",F2703&lt;=5,"0 to 5",F2703&lt;=10,"5.1 to 10",F2703&lt;=20,"10 to 20", F2703&lt;= 40, "20 to 40", F2703 &lt;= 50, "40 to 50", F2703 &gt; 50, "&gt;50" )</f>
        <v>10 to 20</v>
      </c>
    </row>
    <row r="2704" spans="1:15" ht="15" customHeight="1" x14ac:dyDescent="0.3">
      <c r="A2704" t="s">
        <v>532</v>
      </c>
      <c r="B2704" s="1">
        <v>46217</v>
      </c>
      <c r="C2704" t="s">
        <v>22</v>
      </c>
      <c r="D2704">
        <v>2507</v>
      </c>
      <c r="E2704">
        <v>1</v>
      </c>
      <c r="F2704">
        <v>15.9</v>
      </c>
      <c r="G2704" t="s">
        <v>17</v>
      </c>
      <c r="I2704" t="str">
        <f t="shared" ref="I2704:I2717" si="66">D2704&amp;"_"&amp;E2704</f>
        <v>2507_1</v>
      </c>
      <c r="J2704" t="s">
        <v>533</v>
      </c>
      <c r="K2704" t="s">
        <v>429</v>
      </c>
      <c r="L2704" t="str">
        <f>_xlfn.XLOOKUP(C2704, Table2[Species],Table2[Genus], "Code Not Found")</f>
        <v>Acer</v>
      </c>
      <c r="M2704" t="str">
        <f>_xlfn.XLOOKUP(C2704, Table2[Species],Table2[Sp. Name], "Code Not Found")</f>
        <v>rubrum</v>
      </c>
      <c r="N2704" t="str">
        <f>_xlfn.XLOOKUP(C2704,Table2[Species],Table2[Family],"Code Not Found")</f>
        <v>Sapindaceae</v>
      </c>
      <c r="O2704" t="str" cm="1">
        <f t="array" ref="O2704">_xlfn.IFS(F2704="","",F2704&lt;=5,"0 to 5",F2704&lt;=10,"5.1 to 10",F2704&lt;=20,"10 to 20", F2704&lt;= 40, "20 to 40", F2704 &lt;= 50, "40 to 50", F2704 &gt; 50, "&gt;50" )</f>
        <v>10 to 20</v>
      </c>
    </row>
    <row r="2705" spans="1:15" ht="15" customHeight="1" x14ac:dyDescent="0.3">
      <c r="A2705" t="s">
        <v>532</v>
      </c>
      <c r="B2705" s="1">
        <v>46217</v>
      </c>
      <c r="C2705" t="s">
        <v>415</v>
      </c>
      <c r="D2705">
        <v>2508</v>
      </c>
      <c r="E2705">
        <v>1</v>
      </c>
      <c r="F2705">
        <v>1.6</v>
      </c>
      <c r="G2705" t="s">
        <v>138</v>
      </c>
      <c r="I2705" t="str">
        <f t="shared" si="66"/>
        <v>2508_1</v>
      </c>
      <c r="J2705" t="s">
        <v>533</v>
      </c>
      <c r="K2705" t="s">
        <v>429</v>
      </c>
      <c r="L2705" t="str">
        <f>_xlfn.XLOOKUP(C2705, Table2[Species],Table2[Genus], "Code Not Found")</f>
        <v>Fraxinus</v>
      </c>
      <c r="M2705" t="str">
        <f>_xlfn.XLOOKUP(C2705, Table2[Species],Table2[Sp. Name], "Code Not Found")</f>
        <v>pennsylvanica</v>
      </c>
      <c r="N2705" t="str">
        <f>_xlfn.XLOOKUP(C2705,Table2[Species],Table2[Family],"Code Not Found")</f>
        <v>Oleaceae</v>
      </c>
      <c r="O2705" t="str" cm="1">
        <f t="array" ref="O2705">_xlfn.IFS(F2705="","",F2705&lt;=5,"0 to 5",F2705&lt;=10,"5.1 to 10",F2705&lt;=20,"10 to 20", F2705&lt;= 40, "20 to 40", F2705 &lt;= 50, "40 to 50", F2705 &gt; 50, "&gt;50" )</f>
        <v>0 to 5</v>
      </c>
    </row>
    <row r="2706" spans="1:15" ht="15" customHeight="1" x14ac:dyDescent="0.3">
      <c r="A2706" t="s">
        <v>532</v>
      </c>
      <c r="B2706" s="1">
        <v>46217</v>
      </c>
      <c r="C2706" t="s">
        <v>415</v>
      </c>
      <c r="D2706">
        <v>2509</v>
      </c>
      <c r="E2706">
        <v>1</v>
      </c>
      <c r="F2706">
        <v>1.2</v>
      </c>
      <c r="G2706" t="s">
        <v>365</v>
      </c>
      <c r="H2706" t="s">
        <v>296</v>
      </c>
      <c r="I2706" t="str">
        <f t="shared" si="66"/>
        <v>2509_1</v>
      </c>
      <c r="J2706" t="s">
        <v>533</v>
      </c>
      <c r="K2706" t="s">
        <v>429</v>
      </c>
      <c r="L2706" t="str">
        <f>_xlfn.XLOOKUP(C2706, Table2[Species],Table2[Genus], "Code Not Found")</f>
        <v>Fraxinus</v>
      </c>
      <c r="M2706" t="str">
        <f>_xlfn.XLOOKUP(C2706, Table2[Species],Table2[Sp. Name], "Code Not Found")</f>
        <v>pennsylvanica</v>
      </c>
      <c r="N2706" t="str">
        <f>_xlfn.XLOOKUP(C2706,Table2[Species],Table2[Family],"Code Not Found")</f>
        <v>Oleaceae</v>
      </c>
      <c r="O2706" t="str" cm="1">
        <f t="array" ref="O2706">_xlfn.IFS(F2706="","",F2706&lt;=5,"0 to 5",F2706&lt;=10,"5.1 to 10",F2706&lt;=20,"10 to 20", F2706&lt;= 40, "20 to 40", F2706 &lt;= 50, "40 to 50", F2706 &gt; 50, "&gt;50" )</f>
        <v>0 to 5</v>
      </c>
    </row>
    <row r="2707" spans="1:15" ht="15" customHeight="1" x14ac:dyDescent="0.3">
      <c r="A2707" t="s">
        <v>532</v>
      </c>
      <c r="B2707" s="1">
        <v>46217</v>
      </c>
      <c r="C2707" t="s">
        <v>235</v>
      </c>
      <c r="D2707">
        <v>2510</v>
      </c>
      <c r="E2707">
        <v>1</v>
      </c>
      <c r="F2707">
        <v>7.7</v>
      </c>
      <c r="G2707" t="s">
        <v>54</v>
      </c>
      <c r="I2707" t="str">
        <f t="shared" si="66"/>
        <v>2510_1</v>
      </c>
      <c r="J2707" t="s">
        <v>533</v>
      </c>
      <c r="K2707" t="s">
        <v>429</v>
      </c>
      <c r="L2707" t="str">
        <f>_xlfn.XLOOKUP(C2707, Table2[Species],Table2[Genus], "Code Not Found")</f>
        <v>Carpinus</v>
      </c>
      <c r="M2707" t="str">
        <f>_xlfn.XLOOKUP(C2707, Table2[Species],Table2[Sp. Name], "Code Not Found")</f>
        <v>caroliniana</v>
      </c>
      <c r="N2707" t="str">
        <f>_xlfn.XLOOKUP(C2707,Table2[Species],Table2[Family],"Code Not Found")</f>
        <v>Betulaceae</v>
      </c>
      <c r="O2707" t="str" cm="1">
        <f t="array" ref="O2707">_xlfn.IFS(F2707="","",F2707&lt;=5,"0 to 5",F2707&lt;=10,"5.1 to 10",F2707&lt;=20,"10 to 20", F2707&lt;= 40, "20 to 40", F2707 &lt;= 50, "40 to 50", F2707 &gt; 50, "&gt;50" )</f>
        <v>5.1 to 10</v>
      </c>
    </row>
    <row r="2708" spans="1:15" ht="15" customHeight="1" x14ac:dyDescent="0.3">
      <c r="A2708" t="s">
        <v>532</v>
      </c>
      <c r="B2708" s="1">
        <v>46217</v>
      </c>
      <c r="C2708" t="s">
        <v>415</v>
      </c>
      <c r="D2708">
        <v>2511</v>
      </c>
      <c r="E2708">
        <v>1</v>
      </c>
      <c r="F2708">
        <v>2.6</v>
      </c>
      <c r="G2708" t="s">
        <v>365</v>
      </c>
      <c r="H2708" t="s">
        <v>296</v>
      </c>
      <c r="I2708" t="str">
        <f t="shared" si="66"/>
        <v>2511_1</v>
      </c>
      <c r="J2708" t="s">
        <v>533</v>
      </c>
      <c r="K2708" t="s">
        <v>429</v>
      </c>
      <c r="L2708" t="str">
        <f>_xlfn.XLOOKUP(C2708, Table2[Species],Table2[Genus], "Code Not Found")</f>
        <v>Fraxinus</v>
      </c>
      <c r="M2708" t="str">
        <f>_xlfn.XLOOKUP(C2708, Table2[Species],Table2[Sp. Name], "Code Not Found")</f>
        <v>pennsylvanica</v>
      </c>
      <c r="N2708" t="str">
        <f>_xlfn.XLOOKUP(C2708,Table2[Species],Table2[Family],"Code Not Found")</f>
        <v>Oleaceae</v>
      </c>
      <c r="O2708" t="str" cm="1">
        <f t="array" ref="O2708">_xlfn.IFS(F2708="","",F2708&lt;=5,"0 to 5",F2708&lt;=10,"5.1 to 10",F2708&lt;=20,"10 to 20", F2708&lt;= 40, "20 to 40", F2708 &lt;= 50, "40 to 50", F2708 &gt; 50, "&gt;50" )</f>
        <v>0 to 5</v>
      </c>
    </row>
    <row r="2709" spans="1:15" ht="15" customHeight="1" x14ac:dyDescent="0.3">
      <c r="A2709" t="s">
        <v>532</v>
      </c>
      <c r="B2709" s="1">
        <v>46217</v>
      </c>
      <c r="C2709" t="s">
        <v>235</v>
      </c>
      <c r="D2709">
        <v>2512</v>
      </c>
      <c r="E2709">
        <v>1</v>
      </c>
      <c r="F2709">
        <v>8.1</v>
      </c>
      <c r="G2709" t="s">
        <v>94</v>
      </c>
      <c r="H2709" t="s">
        <v>234</v>
      </c>
      <c r="I2709" t="str">
        <f t="shared" si="66"/>
        <v>2512_1</v>
      </c>
      <c r="J2709" t="s">
        <v>533</v>
      </c>
      <c r="K2709" t="s">
        <v>429</v>
      </c>
      <c r="L2709" t="str">
        <f>_xlfn.XLOOKUP(C2709, Table2[Species],Table2[Genus], "Code Not Found")</f>
        <v>Carpinus</v>
      </c>
      <c r="M2709" t="str">
        <f>_xlfn.XLOOKUP(C2709, Table2[Species],Table2[Sp. Name], "Code Not Found")</f>
        <v>caroliniana</v>
      </c>
      <c r="N2709" t="str">
        <f>_xlfn.XLOOKUP(C2709,Table2[Species],Table2[Family],"Code Not Found")</f>
        <v>Betulaceae</v>
      </c>
      <c r="O2709" t="str" cm="1">
        <f t="array" ref="O2709">_xlfn.IFS(F2709="","",F2709&lt;=5,"0 to 5",F2709&lt;=10,"5.1 to 10",F2709&lt;=20,"10 to 20", F2709&lt;= 40, "20 to 40", F2709 &lt;= 50, "40 to 50", F2709 &gt; 50, "&gt;50" )</f>
        <v>5.1 to 10</v>
      </c>
    </row>
    <row r="2710" spans="1:15" ht="15" customHeight="1" x14ac:dyDescent="0.3">
      <c r="A2710" t="s">
        <v>532</v>
      </c>
      <c r="B2710" s="1">
        <v>46217</v>
      </c>
      <c r="C2710" t="s">
        <v>415</v>
      </c>
      <c r="D2710">
        <v>2513</v>
      </c>
      <c r="E2710">
        <v>1</v>
      </c>
      <c r="F2710">
        <v>2.2000000000000002</v>
      </c>
      <c r="G2710" t="s">
        <v>365</v>
      </c>
      <c r="H2710" t="s">
        <v>296</v>
      </c>
      <c r="I2710" t="str">
        <f t="shared" si="66"/>
        <v>2513_1</v>
      </c>
      <c r="J2710" t="s">
        <v>533</v>
      </c>
      <c r="K2710" t="s">
        <v>429</v>
      </c>
      <c r="L2710" t="str">
        <f>_xlfn.XLOOKUP(C2710, Table2[Species],Table2[Genus], "Code Not Found")</f>
        <v>Fraxinus</v>
      </c>
      <c r="M2710" t="str">
        <f>_xlfn.XLOOKUP(C2710, Table2[Species],Table2[Sp. Name], "Code Not Found")</f>
        <v>pennsylvanica</v>
      </c>
      <c r="N2710" t="str">
        <f>_xlfn.XLOOKUP(C2710,Table2[Species],Table2[Family],"Code Not Found")</f>
        <v>Oleaceae</v>
      </c>
      <c r="O2710" t="str" cm="1">
        <f t="array" ref="O2710">_xlfn.IFS(F2710="","",F2710&lt;=5,"0 to 5",F2710&lt;=10,"5.1 to 10",F2710&lt;=20,"10 to 20", F2710&lt;= 40, "20 to 40", F2710 &lt;= 50, "40 to 50", F2710 &gt; 50, "&gt;50" )</f>
        <v>0 to 5</v>
      </c>
    </row>
    <row r="2711" spans="1:15" ht="15" customHeight="1" x14ac:dyDescent="0.3">
      <c r="A2711" t="s">
        <v>532</v>
      </c>
      <c r="B2711" s="1">
        <v>46217</v>
      </c>
      <c r="C2711" t="s">
        <v>187</v>
      </c>
      <c r="D2711">
        <v>2514</v>
      </c>
      <c r="E2711">
        <v>1</v>
      </c>
      <c r="F2711">
        <v>4.0999999999999996</v>
      </c>
      <c r="G2711" t="s">
        <v>47</v>
      </c>
      <c r="I2711" t="str">
        <f t="shared" si="66"/>
        <v>2514_1</v>
      </c>
      <c r="J2711" t="s">
        <v>533</v>
      </c>
      <c r="K2711" t="s">
        <v>429</v>
      </c>
      <c r="L2711" t="str">
        <f>_xlfn.XLOOKUP(C2711, Table2[Species],Table2[Genus], "Code Not Found")</f>
        <v>Carya</v>
      </c>
      <c r="M2711" t="str">
        <f>_xlfn.XLOOKUP(C2711, Table2[Species],Table2[Sp. Name], "Code Not Found")</f>
        <v>cordiformis</v>
      </c>
      <c r="N2711" t="str">
        <f>_xlfn.XLOOKUP(C2711,Table2[Species],Table2[Family],"Code Not Found")</f>
        <v>Juglandaceae</v>
      </c>
      <c r="O2711" t="str" cm="1">
        <f t="array" ref="O2711">_xlfn.IFS(F2711="","",F2711&lt;=5,"0 to 5",F2711&lt;=10,"5.1 to 10",F2711&lt;=20,"10 to 20", F2711&lt;= 40, "20 to 40", F2711 &lt;= 50, "40 to 50", F2711 &gt; 50, "&gt;50" )</f>
        <v>0 to 5</v>
      </c>
    </row>
    <row r="2712" spans="1:15" ht="15" customHeight="1" x14ac:dyDescent="0.3">
      <c r="A2712" t="s">
        <v>532</v>
      </c>
      <c r="B2712" s="1">
        <v>46217</v>
      </c>
      <c r="C2712" t="s">
        <v>415</v>
      </c>
      <c r="D2712">
        <v>2515</v>
      </c>
      <c r="E2712">
        <v>1</v>
      </c>
      <c r="F2712">
        <v>1.7</v>
      </c>
      <c r="G2712" t="s">
        <v>564</v>
      </c>
      <c r="H2712" t="s">
        <v>296</v>
      </c>
      <c r="I2712" t="str">
        <f t="shared" si="66"/>
        <v>2515_1</v>
      </c>
      <c r="J2712" t="s">
        <v>533</v>
      </c>
      <c r="K2712" t="s">
        <v>429</v>
      </c>
      <c r="L2712" t="str">
        <f>_xlfn.XLOOKUP(C2712, Table2[Species],Table2[Genus], "Code Not Found")</f>
        <v>Fraxinus</v>
      </c>
      <c r="M2712" t="str">
        <f>_xlfn.XLOOKUP(C2712, Table2[Species],Table2[Sp. Name], "Code Not Found")</f>
        <v>pennsylvanica</v>
      </c>
      <c r="N2712" t="str">
        <f>_xlfn.XLOOKUP(C2712,Table2[Species],Table2[Family],"Code Not Found")</f>
        <v>Oleaceae</v>
      </c>
      <c r="O2712" t="str" cm="1">
        <f t="array" ref="O2712">_xlfn.IFS(F2712="","",F2712&lt;=5,"0 to 5",F2712&lt;=10,"5.1 to 10",F2712&lt;=20,"10 to 20", F2712&lt;= 40, "20 to 40", F2712 &lt;= 50, "40 to 50", F2712 &gt; 50, "&gt;50" )</f>
        <v>0 to 5</v>
      </c>
    </row>
    <row r="2713" spans="1:15" ht="15" customHeight="1" x14ac:dyDescent="0.3">
      <c r="A2713" t="s">
        <v>532</v>
      </c>
      <c r="B2713" s="1">
        <v>46217</v>
      </c>
      <c r="C2713" t="s">
        <v>545</v>
      </c>
      <c r="D2713">
        <v>2516</v>
      </c>
      <c r="E2713">
        <v>1</v>
      </c>
      <c r="F2713">
        <v>11.3</v>
      </c>
      <c r="G2713" t="s">
        <v>47</v>
      </c>
      <c r="H2713" t="s">
        <v>296</v>
      </c>
      <c r="I2713" t="str">
        <f t="shared" si="66"/>
        <v>2516_1</v>
      </c>
      <c r="J2713" t="s">
        <v>533</v>
      </c>
      <c r="K2713" t="s">
        <v>429</v>
      </c>
      <c r="L2713" t="str">
        <f>_xlfn.XLOOKUP(C2713, Table2[Species],Table2[Genus], "Code Not Found")</f>
        <v>Ulmus</v>
      </c>
      <c r="M2713" t="str">
        <f>_xlfn.XLOOKUP(C2713, Table2[Species],Table2[Sp. Name], "Code Not Found")</f>
        <v>americana</v>
      </c>
      <c r="N2713" t="str">
        <f>_xlfn.XLOOKUP(C2713,Table2[Species],Table2[Family],"Code Not Found")</f>
        <v>Ulmaceae</v>
      </c>
      <c r="O2713" t="str" cm="1">
        <f t="array" ref="O2713">_xlfn.IFS(F2713="","",F2713&lt;=5,"0 to 5",F2713&lt;=10,"5.1 to 10",F2713&lt;=20,"10 to 20", F2713&lt;= 40, "20 to 40", F2713 &lt;= 50, "40 to 50", F2713 &gt; 50, "&gt;50" )</f>
        <v>10 to 20</v>
      </c>
    </row>
    <row r="2714" spans="1:15" ht="15" customHeight="1" x14ac:dyDescent="0.3">
      <c r="A2714" t="s">
        <v>532</v>
      </c>
      <c r="B2714" s="1">
        <v>46217</v>
      </c>
      <c r="C2714" t="s">
        <v>22</v>
      </c>
      <c r="D2714">
        <v>2517</v>
      </c>
      <c r="E2714">
        <v>1</v>
      </c>
      <c r="F2714">
        <v>36.4</v>
      </c>
      <c r="G2714" t="s">
        <v>30</v>
      </c>
      <c r="H2714" t="s">
        <v>565</v>
      </c>
      <c r="I2714" t="str">
        <f t="shared" si="66"/>
        <v>2517_1</v>
      </c>
      <c r="J2714" t="s">
        <v>533</v>
      </c>
      <c r="K2714" t="s">
        <v>429</v>
      </c>
      <c r="L2714" t="str">
        <f>_xlfn.XLOOKUP(C2714, Table2[Species],Table2[Genus], "Code Not Found")</f>
        <v>Acer</v>
      </c>
      <c r="M2714" t="str">
        <f>_xlfn.XLOOKUP(C2714, Table2[Species],Table2[Sp. Name], "Code Not Found")</f>
        <v>rubrum</v>
      </c>
      <c r="N2714" t="str">
        <f>_xlfn.XLOOKUP(C2714,Table2[Species],Table2[Family],"Code Not Found")</f>
        <v>Sapindaceae</v>
      </c>
      <c r="O2714" t="str" cm="1">
        <f t="array" ref="O2714">_xlfn.IFS(F2714="","",F2714&lt;=5,"0 to 5",F2714&lt;=10,"5.1 to 10",F2714&lt;=20,"10 to 20", F2714&lt;= 40, "20 to 40", F2714 &lt;= 50, "40 to 50", F2714 &gt; 50, "&gt;50" )</f>
        <v>20 to 40</v>
      </c>
    </row>
    <row r="2715" spans="1:15" ht="15" customHeight="1" x14ac:dyDescent="0.3">
      <c r="A2715" t="s">
        <v>532</v>
      </c>
      <c r="B2715" s="1">
        <v>46217</v>
      </c>
      <c r="C2715" t="s">
        <v>545</v>
      </c>
      <c r="D2715">
        <v>2518</v>
      </c>
      <c r="E2715">
        <v>1</v>
      </c>
      <c r="F2715">
        <v>7.6</v>
      </c>
      <c r="G2715" t="s">
        <v>17</v>
      </c>
      <c r="H2715" t="s">
        <v>36</v>
      </c>
      <c r="I2715" t="str">
        <f t="shared" si="66"/>
        <v>2518_1</v>
      </c>
      <c r="J2715" t="s">
        <v>533</v>
      </c>
      <c r="K2715" t="s">
        <v>429</v>
      </c>
      <c r="L2715" t="str">
        <f>_xlfn.XLOOKUP(C2715, Table2[Species],Table2[Genus], "Code Not Found")</f>
        <v>Ulmus</v>
      </c>
      <c r="M2715" t="str">
        <f>_xlfn.XLOOKUP(C2715, Table2[Species],Table2[Sp. Name], "Code Not Found")</f>
        <v>americana</v>
      </c>
      <c r="N2715" t="str">
        <f>_xlfn.XLOOKUP(C2715,Table2[Species],Table2[Family],"Code Not Found")</f>
        <v>Ulmaceae</v>
      </c>
      <c r="O2715" t="str" cm="1">
        <f t="array" ref="O2715">_xlfn.IFS(F2715="","",F2715&lt;=5,"0 to 5",F2715&lt;=10,"5.1 to 10",F2715&lt;=20,"10 to 20", F2715&lt;= 40, "20 to 40", F2715 &lt;= 50, "40 to 50", F2715 &gt; 50, "&gt;50" )</f>
        <v>5.1 to 10</v>
      </c>
    </row>
    <row r="2716" spans="1:15" ht="15" customHeight="1" x14ac:dyDescent="0.3">
      <c r="A2716" t="s">
        <v>532</v>
      </c>
      <c r="B2716" s="1">
        <v>46217</v>
      </c>
      <c r="C2716" t="s">
        <v>545</v>
      </c>
      <c r="D2716">
        <v>2519</v>
      </c>
      <c r="E2716">
        <v>1</v>
      </c>
      <c r="F2716">
        <v>9.8000000000000007</v>
      </c>
      <c r="G2716" t="s">
        <v>17</v>
      </c>
      <c r="I2716" t="str">
        <f t="shared" si="66"/>
        <v>2519_1</v>
      </c>
      <c r="J2716" t="s">
        <v>533</v>
      </c>
      <c r="K2716" t="s">
        <v>429</v>
      </c>
      <c r="L2716" t="str">
        <f>_xlfn.XLOOKUP(C2716, Table2[Species],Table2[Genus], "Code Not Found")</f>
        <v>Ulmus</v>
      </c>
      <c r="M2716" t="str">
        <f>_xlfn.XLOOKUP(C2716, Table2[Species],Table2[Sp. Name], "Code Not Found")</f>
        <v>americana</v>
      </c>
      <c r="N2716" t="str">
        <f>_xlfn.XLOOKUP(C2716,Table2[Species],Table2[Family],"Code Not Found")</f>
        <v>Ulmaceae</v>
      </c>
      <c r="O2716" t="str" cm="1">
        <f t="array" ref="O2716">_xlfn.IFS(F2716="","",F2716&lt;=5,"0 to 5",F2716&lt;=10,"5.1 to 10",F2716&lt;=20,"10 to 20", F2716&lt;= 40, "20 to 40", F2716 &lt;= 50, "40 to 50", F2716 &gt; 50, "&gt;50" )</f>
        <v>5.1 to 10</v>
      </c>
    </row>
    <row r="2717" spans="1:15" ht="15" customHeight="1" x14ac:dyDescent="0.3">
      <c r="A2717" t="s">
        <v>532</v>
      </c>
      <c r="B2717" s="1">
        <v>46217</v>
      </c>
      <c r="C2717" t="s">
        <v>22</v>
      </c>
      <c r="D2717">
        <v>2520</v>
      </c>
      <c r="E2717">
        <v>1</v>
      </c>
      <c r="F2717">
        <v>18.100000000000001</v>
      </c>
      <c r="G2717" t="s">
        <v>21</v>
      </c>
      <c r="I2717" t="str">
        <f t="shared" si="66"/>
        <v>2520_1</v>
      </c>
      <c r="J2717" t="s">
        <v>533</v>
      </c>
      <c r="K2717" t="s">
        <v>429</v>
      </c>
      <c r="L2717" t="str">
        <f>_xlfn.XLOOKUP(C2717, Table2[Species],Table2[Genus], "Code Not Found")</f>
        <v>Acer</v>
      </c>
      <c r="M2717" t="str">
        <f>_xlfn.XLOOKUP(C2717, Table2[Species],Table2[Sp. Name], "Code Not Found")</f>
        <v>rubrum</v>
      </c>
      <c r="N2717" t="str">
        <f>_xlfn.XLOOKUP(C2717,Table2[Species],Table2[Family],"Code Not Found")</f>
        <v>Sapindaceae</v>
      </c>
      <c r="O2717" t="str" cm="1">
        <f t="array" ref="O2717">_xlfn.IFS(F2717="","",F2717&lt;=5,"0 to 5",F2717&lt;=10,"5.1 to 10",F2717&lt;=20,"10 to 20", F2717&lt;= 40, "20 to 40", F2717 &lt;= 50, "40 to 50", F2717 &gt; 50, "&gt;50" )</f>
        <v>10 to 20</v>
      </c>
    </row>
    <row r="2718" spans="1:15" ht="15" customHeight="1" x14ac:dyDescent="0.3">
      <c r="A2718" t="s">
        <v>532</v>
      </c>
      <c r="B2718" s="1">
        <v>46217</v>
      </c>
      <c r="C2718" t="s">
        <v>16</v>
      </c>
      <c r="D2718">
        <v>2521</v>
      </c>
      <c r="E2718">
        <v>1</v>
      </c>
      <c r="F2718">
        <v>8.1999999999999993</v>
      </c>
      <c r="G2718" t="s">
        <v>17</v>
      </c>
      <c r="I2718" t="str">
        <f>D2718&amp;"_"&amp;E2718</f>
        <v>2521_1</v>
      </c>
      <c r="J2718" t="s">
        <v>533</v>
      </c>
      <c r="K2718" t="s">
        <v>429</v>
      </c>
      <c r="L2718" t="str">
        <f>_xlfn.XLOOKUP(C2718, Table2[Species],Table2[Genus], "Code Not Found")</f>
        <v>Acer</v>
      </c>
      <c r="M2718" t="str">
        <f>_xlfn.XLOOKUP(C2718, Table2[Species],Table2[Sp. Name], "Code Not Found")</f>
        <v>saccharum</v>
      </c>
      <c r="N2718" t="str">
        <f>_xlfn.XLOOKUP(C2718,Table2[Species],Table2[Family],"Code Not Found")</f>
        <v>Sapindaceae</v>
      </c>
      <c r="O2718" t="str" cm="1">
        <f t="array" ref="O2718">_xlfn.IFS(F2718="","",F2718&lt;=5,"0 to 5",F2718&lt;=10,"5.1 to 10",F2718&lt;=20,"10 to 20", F2718&lt;= 40, "20 to 40", F2718 &lt;= 50, "40 to 50", F2718 &gt; 50, "&gt;50" )</f>
        <v>5.1 to 10</v>
      </c>
    </row>
    <row r="2719" spans="1:15" ht="15" customHeight="1" x14ac:dyDescent="0.3">
      <c r="A2719" t="s">
        <v>566</v>
      </c>
      <c r="B2719" s="1">
        <v>46217</v>
      </c>
      <c r="C2719" t="s">
        <v>16</v>
      </c>
      <c r="D2719">
        <v>2522</v>
      </c>
      <c r="E2719">
        <v>1</v>
      </c>
      <c r="F2719">
        <v>4.5</v>
      </c>
      <c r="G2719" t="s">
        <v>47</v>
      </c>
      <c r="I2719" t="str">
        <f>D2719&amp;"_"&amp;E2719</f>
        <v>2522_1</v>
      </c>
      <c r="J2719" t="s">
        <v>533</v>
      </c>
      <c r="K2719" t="s">
        <v>115</v>
      </c>
      <c r="L2719" t="str">
        <f>_xlfn.XLOOKUP(C2719, Table2[Species],Table2[Genus], "Code Not Found")</f>
        <v>Acer</v>
      </c>
      <c r="M2719" t="str">
        <f>_xlfn.XLOOKUP(C2719, Table2[Species],Table2[Sp. Name], "Code Not Found")</f>
        <v>saccharum</v>
      </c>
      <c r="N2719" t="str">
        <f>_xlfn.XLOOKUP(C2719,Table2[Species],Table2[Family],"Code Not Found")</f>
        <v>Sapindaceae</v>
      </c>
      <c r="O2719" t="str" cm="1">
        <f t="array" ref="O2719">_xlfn.IFS(F2719="","",F2719&lt;=5,"0 to 5",F2719&lt;=10,"5.1 to 10",F2719&lt;=20,"10 to 20", F2719&lt;= 40, "20 to 40", F2719 &lt;= 50, "40 to 50", F2719 &gt; 50, "&gt;50" )</f>
        <v>0 to 5</v>
      </c>
    </row>
    <row r="2720" spans="1:15" ht="15" customHeight="1" x14ac:dyDescent="0.3">
      <c r="A2720" t="s">
        <v>566</v>
      </c>
      <c r="B2720" s="1">
        <v>46217</v>
      </c>
      <c r="C2720" t="s">
        <v>16</v>
      </c>
      <c r="D2720">
        <v>2523</v>
      </c>
      <c r="E2720">
        <v>1</v>
      </c>
      <c r="F2720">
        <v>5.3</v>
      </c>
      <c r="G2720" t="s">
        <v>17</v>
      </c>
      <c r="I2720" t="str">
        <f t="shared" ref="I2720:I2751" si="67">D2720&amp;"_"&amp;E2720</f>
        <v>2523_1</v>
      </c>
      <c r="J2720" t="s">
        <v>533</v>
      </c>
      <c r="K2720" t="s">
        <v>115</v>
      </c>
      <c r="L2720" t="str">
        <f>_xlfn.XLOOKUP(C2720, Table2[Species],Table2[Genus], "Code Not Found")</f>
        <v>Acer</v>
      </c>
      <c r="M2720" t="str">
        <f>_xlfn.XLOOKUP(C2720, Table2[Species],Table2[Sp. Name], "Code Not Found")</f>
        <v>saccharum</v>
      </c>
      <c r="N2720" t="str">
        <f>_xlfn.XLOOKUP(C2720,Table2[Species],Table2[Family],"Code Not Found")</f>
        <v>Sapindaceae</v>
      </c>
      <c r="O2720" t="str" cm="1">
        <f t="array" ref="O2720">_xlfn.IFS(F2720="","",F2720&lt;=5,"0 to 5",F2720&lt;=10,"5.1 to 10",F2720&lt;=20,"10 to 20", F2720&lt;= 40, "20 to 40", F2720 &lt;= 50, "40 to 50", F2720 &gt; 50, "&gt;50" )</f>
        <v>5.1 to 10</v>
      </c>
    </row>
    <row r="2721" spans="1:15" ht="15" customHeight="1" x14ac:dyDescent="0.3">
      <c r="A2721" t="s">
        <v>566</v>
      </c>
      <c r="B2721" s="1">
        <v>46217</v>
      </c>
      <c r="C2721" t="s">
        <v>16</v>
      </c>
      <c r="D2721">
        <v>2524</v>
      </c>
      <c r="E2721">
        <v>1</v>
      </c>
      <c r="F2721">
        <v>7.1</v>
      </c>
      <c r="G2721" t="s">
        <v>17</v>
      </c>
      <c r="I2721" t="str">
        <f t="shared" si="67"/>
        <v>2524_1</v>
      </c>
      <c r="J2721" t="s">
        <v>533</v>
      </c>
      <c r="K2721" t="s">
        <v>115</v>
      </c>
      <c r="L2721" t="str">
        <f>_xlfn.XLOOKUP(C2721, Table2[Species],Table2[Genus], "Code Not Found")</f>
        <v>Acer</v>
      </c>
      <c r="M2721" t="str">
        <f>_xlfn.XLOOKUP(C2721, Table2[Species],Table2[Sp. Name], "Code Not Found")</f>
        <v>saccharum</v>
      </c>
      <c r="N2721" t="str">
        <f>_xlfn.XLOOKUP(C2721,Table2[Species],Table2[Family],"Code Not Found")</f>
        <v>Sapindaceae</v>
      </c>
      <c r="O2721" t="str" cm="1">
        <f t="array" ref="O2721">_xlfn.IFS(F2721="","",F2721&lt;=5,"0 to 5",F2721&lt;=10,"5.1 to 10",F2721&lt;=20,"10 to 20", F2721&lt;= 40, "20 to 40", F2721 &lt;= 50, "40 to 50", F2721 &gt; 50, "&gt;50" )</f>
        <v>5.1 to 10</v>
      </c>
    </row>
    <row r="2722" spans="1:15" ht="15" customHeight="1" x14ac:dyDescent="0.3">
      <c r="A2722" t="s">
        <v>566</v>
      </c>
      <c r="B2722" s="1">
        <v>46217</v>
      </c>
      <c r="C2722" t="s">
        <v>16</v>
      </c>
      <c r="D2722">
        <v>2525</v>
      </c>
      <c r="E2722">
        <v>1</v>
      </c>
      <c r="F2722">
        <v>13.3</v>
      </c>
      <c r="G2722" t="s">
        <v>21</v>
      </c>
      <c r="I2722" t="str">
        <f t="shared" si="67"/>
        <v>2525_1</v>
      </c>
      <c r="J2722" t="s">
        <v>533</v>
      </c>
      <c r="K2722" t="s">
        <v>115</v>
      </c>
      <c r="L2722" t="str">
        <f>_xlfn.XLOOKUP(C2722, Table2[Species],Table2[Genus], "Code Not Found")</f>
        <v>Acer</v>
      </c>
      <c r="M2722" t="str">
        <f>_xlfn.XLOOKUP(C2722, Table2[Species],Table2[Sp. Name], "Code Not Found")</f>
        <v>saccharum</v>
      </c>
      <c r="N2722" t="str">
        <f>_xlfn.XLOOKUP(C2722,Table2[Species],Table2[Family],"Code Not Found")</f>
        <v>Sapindaceae</v>
      </c>
      <c r="O2722" t="str" cm="1">
        <f t="array" ref="O2722">_xlfn.IFS(F2722="","",F2722&lt;=5,"0 to 5",F2722&lt;=10,"5.1 to 10",F2722&lt;=20,"10 to 20", F2722&lt;= 40, "20 to 40", F2722 &lt;= 50, "40 to 50", F2722 &gt; 50, "&gt;50" )</f>
        <v>10 to 20</v>
      </c>
    </row>
    <row r="2723" spans="1:15" ht="15" customHeight="1" x14ac:dyDescent="0.3">
      <c r="A2723" t="s">
        <v>566</v>
      </c>
      <c r="B2723" s="1">
        <v>46217</v>
      </c>
      <c r="C2723" t="s">
        <v>16</v>
      </c>
      <c r="D2723">
        <v>2526</v>
      </c>
      <c r="E2723">
        <v>1</v>
      </c>
      <c r="F2723">
        <v>5.0999999999999996</v>
      </c>
      <c r="G2723" t="s">
        <v>88</v>
      </c>
      <c r="H2723" t="s">
        <v>99</v>
      </c>
      <c r="I2723" t="str">
        <f t="shared" si="67"/>
        <v>2526_1</v>
      </c>
      <c r="J2723" t="s">
        <v>533</v>
      </c>
      <c r="K2723" t="s">
        <v>115</v>
      </c>
      <c r="L2723" t="str">
        <f>_xlfn.XLOOKUP(C2723, Table2[Species],Table2[Genus], "Code Not Found")</f>
        <v>Acer</v>
      </c>
      <c r="M2723" t="str">
        <f>_xlfn.XLOOKUP(C2723, Table2[Species],Table2[Sp. Name], "Code Not Found")</f>
        <v>saccharum</v>
      </c>
      <c r="N2723" t="str">
        <f>_xlfn.XLOOKUP(C2723,Table2[Species],Table2[Family],"Code Not Found")</f>
        <v>Sapindaceae</v>
      </c>
      <c r="O2723" t="str" cm="1">
        <f t="array" ref="O2723">_xlfn.IFS(F2723="","",F2723&lt;=5,"0 to 5",F2723&lt;=10,"5.1 to 10",F2723&lt;=20,"10 to 20", F2723&lt;= 40, "20 to 40", F2723 &lt;= 50, "40 to 50", F2723 &gt; 50, "&gt;50" )</f>
        <v>5.1 to 10</v>
      </c>
    </row>
    <row r="2724" spans="1:15" ht="15" customHeight="1" x14ac:dyDescent="0.3">
      <c r="A2724" t="s">
        <v>566</v>
      </c>
      <c r="B2724" s="1">
        <v>46217</v>
      </c>
      <c r="C2724" t="s">
        <v>16</v>
      </c>
      <c r="D2724">
        <v>2527</v>
      </c>
      <c r="E2724">
        <v>1</v>
      </c>
      <c r="F2724">
        <v>13</v>
      </c>
      <c r="G2724" t="s">
        <v>47</v>
      </c>
      <c r="H2724" t="s">
        <v>347</v>
      </c>
      <c r="I2724" t="str">
        <f t="shared" si="67"/>
        <v>2527_1</v>
      </c>
      <c r="J2724" t="s">
        <v>533</v>
      </c>
      <c r="K2724" t="s">
        <v>115</v>
      </c>
      <c r="L2724" t="str">
        <f>_xlfn.XLOOKUP(C2724, Table2[Species],Table2[Genus], "Code Not Found")</f>
        <v>Acer</v>
      </c>
      <c r="M2724" t="str">
        <f>_xlfn.XLOOKUP(C2724, Table2[Species],Table2[Sp. Name], "Code Not Found")</f>
        <v>saccharum</v>
      </c>
      <c r="N2724" t="str">
        <f>_xlfn.XLOOKUP(C2724,Table2[Species],Table2[Family],"Code Not Found")</f>
        <v>Sapindaceae</v>
      </c>
      <c r="O2724" t="str" cm="1">
        <f t="array" ref="O2724">_xlfn.IFS(F2724="","",F2724&lt;=5,"0 to 5",F2724&lt;=10,"5.1 to 10",F2724&lt;=20,"10 to 20", F2724&lt;= 40, "20 to 40", F2724 &lt;= 50, "40 to 50", F2724 &gt; 50, "&gt;50" )</f>
        <v>10 to 20</v>
      </c>
    </row>
    <row r="2725" spans="1:15" ht="15" customHeight="1" x14ac:dyDescent="0.3">
      <c r="A2725" t="s">
        <v>566</v>
      </c>
      <c r="B2725" s="1">
        <v>46217</v>
      </c>
      <c r="C2725" t="s">
        <v>16</v>
      </c>
      <c r="D2725">
        <v>2528</v>
      </c>
      <c r="E2725">
        <v>1</v>
      </c>
      <c r="F2725">
        <v>26</v>
      </c>
      <c r="G2725" t="s">
        <v>21</v>
      </c>
      <c r="I2725" t="str">
        <f t="shared" si="67"/>
        <v>2528_1</v>
      </c>
      <c r="J2725" t="s">
        <v>533</v>
      </c>
      <c r="K2725" t="s">
        <v>115</v>
      </c>
      <c r="L2725" t="str">
        <f>_xlfn.XLOOKUP(C2725, Table2[Species],Table2[Genus], "Code Not Found")</f>
        <v>Acer</v>
      </c>
      <c r="M2725" t="str">
        <f>_xlfn.XLOOKUP(C2725, Table2[Species],Table2[Sp. Name], "Code Not Found")</f>
        <v>saccharum</v>
      </c>
      <c r="N2725" t="str">
        <f>_xlfn.XLOOKUP(C2725,Table2[Species],Table2[Family],"Code Not Found")</f>
        <v>Sapindaceae</v>
      </c>
      <c r="O2725" t="str" cm="1">
        <f t="array" ref="O2725">_xlfn.IFS(F2725="","",F2725&lt;=5,"0 to 5",F2725&lt;=10,"5.1 to 10",F2725&lt;=20,"10 to 20", F2725&lt;= 40, "20 to 40", F2725 &lt;= 50, "40 to 50", F2725 &gt; 50, "&gt;50" )</f>
        <v>20 to 40</v>
      </c>
    </row>
    <row r="2726" spans="1:15" ht="15" customHeight="1" x14ac:dyDescent="0.3">
      <c r="A2726" t="s">
        <v>566</v>
      </c>
      <c r="B2726" s="1">
        <v>46217</v>
      </c>
      <c r="C2726" t="s">
        <v>16</v>
      </c>
      <c r="D2726">
        <v>2529</v>
      </c>
      <c r="E2726">
        <v>1</v>
      </c>
      <c r="F2726">
        <v>6.2</v>
      </c>
      <c r="G2726" t="s">
        <v>21</v>
      </c>
      <c r="I2726" t="str">
        <f t="shared" si="67"/>
        <v>2529_1</v>
      </c>
      <c r="J2726" t="s">
        <v>533</v>
      </c>
      <c r="K2726" t="s">
        <v>115</v>
      </c>
      <c r="L2726" t="str">
        <f>_xlfn.XLOOKUP(C2726, Table2[Species],Table2[Genus], "Code Not Found")</f>
        <v>Acer</v>
      </c>
      <c r="M2726" t="str">
        <f>_xlfn.XLOOKUP(C2726, Table2[Species],Table2[Sp. Name], "Code Not Found")</f>
        <v>saccharum</v>
      </c>
      <c r="N2726" t="str">
        <f>_xlfn.XLOOKUP(C2726,Table2[Species],Table2[Family],"Code Not Found")</f>
        <v>Sapindaceae</v>
      </c>
      <c r="O2726" t="str" cm="1">
        <f t="array" ref="O2726">_xlfn.IFS(F2726="","",F2726&lt;=5,"0 to 5",F2726&lt;=10,"5.1 to 10",F2726&lt;=20,"10 to 20", F2726&lt;= 40, "20 to 40", F2726 &lt;= 50, "40 to 50", F2726 &gt; 50, "&gt;50" )</f>
        <v>5.1 to 10</v>
      </c>
    </row>
    <row r="2727" spans="1:15" ht="15" customHeight="1" x14ac:dyDescent="0.3">
      <c r="A2727" t="s">
        <v>566</v>
      </c>
      <c r="B2727" s="1">
        <v>46217</v>
      </c>
      <c r="C2727" t="s">
        <v>16</v>
      </c>
      <c r="D2727">
        <v>2530</v>
      </c>
      <c r="E2727">
        <v>1</v>
      </c>
      <c r="F2727">
        <v>6.9</v>
      </c>
      <c r="G2727" t="s">
        <v>139</v>
      </c>
      <c r="H2727" t="s">
        <v>561</v>
      </c>
      <c r="I2727" t="str">
        <f t="shared" si="67"/>
        <v>2530_1</v>
      </c>
      <c r="J2727" t="s">
        <v>533</v>
      </c>
      <c r="K2727" t="s">
        <v>115</v>
      </c>
      <c r="L2727" t="str">
        <f>_xlfn.XLOOKUP(C2727, Table2[Species],Table2[Genus], "Code Not Found")</f>
        <v>Acer</v>
      </c>
      <c r="M2727" t="str">
        <f>_xlfn.XLOOKUP(C2727, Table2[Species],Table2[Sp. Name], "Code Not Found")</f>
        <v>saccharum</v>
      </c>
      <c r="N2727" t="str">
        <f>_xlfn.XLOOKUP(C2727,Table2[Species],Table2[Family],"Code Not Found")</f>
        <v>Sapindaceae</v>
      </c>
      <c r="O2727" t="str" cm="1">
        <f t="array" ref="O2727">_xlfn.IFS(F2727="","",F2727&lt;=5,"0 to 5",F2727&lt;=10,"5.1 to 10",F2727&lt;=20,"10 to 20", F2727&lt;= 40, "20 to 40", F2727 &lt;= 50, "40 to 50", F2727 &gt; 50, "&gt;50" )</f>
        <v>5.1 to 10</v>
      </c>
    </row>
    <row r="2728" spans="1:15" ht="15" customHeight="1" x14ac:dyDescent="0.3">
      <c r="A2728" t="s">
        <v>566</v>
      </c>
      <c r="B2728" s="1">
        <v>46217</v>
      </c>
      <c r="C2728" t="s">
        <v>22</v>
      </c>
      <c r="D2728">
        <v>2531</v>
      </c>
      <c r="E2728">
        <v>1</v>
      </c>
      <c r="F2728">
        <v>36.1</v>
      </c>
      <c r="G2728" t="s">
        <v>21</v>
      </c>
      <c r="I2728" t="str">
        <f t="shared" si="67"/>
        <v>2531_1</v>
      </c>
      <c r="J2728" t="s">
        <v>533</v>
      </c>
      <c r="K2728" t="s">
        <v>115</v>
      </c>
      <c r="L2728" t="str">
        <f>_xlfn.XLOOKUP(C2728, Table2[Species],Table2[Genus], "Code Not Found")</f>
        <v>Acer</v>
      </c>
      <c r="M2728" t="str">
        <f>_xlfn.XLOOKUP(C2728, Table2[Species],Table2[Sp. Name], "Code Not Found")</f>
        <v>rubrum</v>
      </c>
      <c r="N2728" t="str">
        <f>_xlfn.XLOOKUP(C2728,Table2[Species],Table2[Family],"Code Not Found")</f>
        <v>Sapindaceae</v>
      </c>
      <c r="O2728" t="str" cm="1">
        <f t="array" ref="O2728">_xlfn.IFS(F2728="","",F2728&lt;=5,"0 to 5",F2728&lt;=10,"5.1 to 10",F2728&lt;=20,"10 to 20", F2728&lt;= 40, "20 to 40", F2728 &lt;= 50, "40 to 50", F2728 &gt; 50, "&gt;50" )</f>
        <v>20 to 40</v>
      </c>
    </row>
    <row r="2729" spans="1:15" ht="15" customHeight="1" x14ac:dyDescent="0.3">
      <c r="A2729" t="s">
        <v>566</v>
      </c>
      <c r="B2729" s="1">
        <v>46217</v>
      </c>
      <c r="C2729" t="s">
        <v>16</v>
      </c>
      <c r="D2729">
        <v>2532</v>
      </c>
      <c r="E2729">
        <v>1</v>
      </c>
      <c r="F2729">
        <v>10.9</v>
      </c>
      <c r="G2729" t="s">
        <v>17</v>
      </c>
      <c r="I2729" t="str">
        <f t="shared" si="67"/>
        <v>2532_1</v>
      </c>
      <c r="J2729" t="s">
        <v>533</v>
      </c>
      <c r="K2729" t="s">
        <v>115</v>
      </c>
      <c r="L2729" t="str">
        <f>_xlfn.XLOOKUP(C2729, Table2[Species],Table2[Genus], "Code Not Found")</f>
        <v>Acer</v>
      </c>
      <c r="M2729" t="str">
        <f>_xlfn.XLOOKUP(C2729, Table2[Species],Table2[Sp. Name], "Code Not Found")</f>
        <v>saccharum</v>
      </c>
      <c r="N2729" t="str">
        <f>_xlfn.XLOOKUP(C2729,Table2[Species],Table2[Family],"Code Not Found")</f>
        <v>Sapindaceae</v>
      </c>
      <c r="O2729" t="str" cm="1">
        <f t="array" ref="O2729">_xlfn.IFS(F2729="","",F2729&lt;=5,"0 to 5",F2729&lt;=10,"5.1 to 10",F2729&lt;=20,"10 to 20", F2729&lt;= 40, "20 to 40", F2729 &lt;= 50, "40 to 50", F2729 &gt; 50, "&gt;50" )</f>
        <v>10 to 20</v>
      </c>
    </row>
    <row r="2730" spans="1:15" ht="15" customHeight="1" x14ac:dyDescent="0.3">
      <c r="A2730" t="s">
        <v>566</v>
      </c>
      <c r="B2730" s="1">
        <v>46217</v>
      </c>
      <c r="C2730" t="s">
        <v>16</v>
      </c>
      <c r="D2730">
        <v>2533</v>
      </c>
      <c r="E2730">
        <v>1</v>
      </c>
      <c r="F2730">
        <v>4.2</v>
      </c>
      <c r="G2730" t="s">
        <v>47</v>
      </c>
      <c r="H2730" t="s">
        <v>347</v>
      </c>
      <c r="I2730" t="str">
        <f t="shared" si="67"/>
        <v>2533_1</v>
      </c>
      <c r="J2730" t="s">
        <v>533</v>
      </c>
      <c r="K2730" t="s">
        <v>115</v>
      </c>
      <c r="L2730" t="str">
        <f>_xlfn.XLOOKUP(C2730, Table2[Species],Table2[Genus], "Code Not Found")</f>
        <v>Acer</v>
      </c>
      <c r="M2730" t="str">
        <f>_xlfn.XLOOKUP(C2730, Table2[Species],Table2[Sp. Name], "Code Not Found")</f>
        <v>saccharum</v>
      </c>
      <c r="N2730" t="str">
        <f>_xlfn.XLOOKUP(C2730,Table2[Species],Table2[Family],"Code Not Found")</f>
        <v>Sapindaceae</v>
      </c>
      <c r="O2730" t="str" cm="1">
        <f t="array" ref="O2730">_xlfn.IFS(F2730="","",F2730&lt;=5,"0 to 5",F2730&lt;=10,"5.1 to 10",F2730&lt;=20,"10 to 20", F2730&lt;= 40, "20 to 40", F2730 &lt;= 50, "40 to 50", F2730 &gt; 50, "&gt;50" )</f>
        <v>0 to 5</v>
      </c>
    </row>
    <row r="2731" spans="1:15" ht="15" customHeight="1" x14ac:dyDescent="0.3">
      <c r="A2731" t="s">
        <v>566</v>
      </c>
      <c r="B2731" s="1">
        <v>46217</v>
      </c>
      <c r="C2731" t="s">
        <v>16</v>
      </c>
      <c r="D2731">
        <v>2534</v>
      </c>
      <c r="E2731">
        <v>1</v>
      </c>
      <c r="F2731">
        <v>29.1</v>
      </c>
      <c r="G2731" t="s">
        <v>17</v>
      </c>
      <c r="I2731" t="str">
        <f t="shared" si="67"/>
        <v>2534_1</v>
      </c>
      <c r="J2731" t="s">
        <v>533</v>
      </c>
      <c r="K2731" t="s">
        <v>115</v>
      </c>
      <c r="L2731" t="str">
        <f>_xlfn.XLOOKUP(C2731, Table2[Species],Table2[Genus], "Code Not Found")</f>
        <v>Acer</v>
      </c>
      <c r="M2731" t="str">
        <f>_xlfn.XLOOKUP(C2731, Table2[Species],Table2[Sp. Name], "Code Not Found")</f>
        <v>saccharum</v>
      </c>
      <c r="N2731" t="str">
        <f>_xlfn.XLOOKUP(C2731,Table2[Species],Table2[Family],"Code Not Found")</f>
        <v>Sapindaceae</v>
      </c>
      <c r="O2731" t="str" cm="1">
        <f t="array" ref="O2731">_xlfn.IFS(F2731="","",F2731&lt;=5,"0 to 5",F2731&lt;=10,"5.1 to 10",F2731&lt;=20,"10 to 20", F2731&lt;= 40, "20 to 40", F2731 &lt;= 50, "40 to 50", F2731 &gt; 50, "&gt;50" )</f>
        <v>20 to 40</v>
      </c>
    </row>
    <row r="2732" spans="1:15" ht="15" customHeight="1" x14ac:dyDescent="0.3">
      <c r="A2732" t="s">
        <v>566</v>
      </c>
      <c r="B2732" s="1">
        <v>46217</v>
      </c>
      <c r="C2732" t="s">
        <v>16</v>
      </c>
      <c r="D2732">
        <v>2535</v>
      </c>
      <c r="E2732">
        <v>1</v>
      </c>
      <c r="F2732">
        <v>13.2</v>
      </c>
      <c r="G2732" t="s">
        <v>17</v>
      </c>
      <c r="I2732" t="str">
        <f t="shared" si="67"/>
        <v>2535_1</v>
      </c>
      <c r="J2732" t="s">
        <v>533</v>
      </c>
      <c r="K2732" t="s">
        <v>115</v>
      </c>
      <c r="L2732" t="str">
        <f>_xlfn.XLOOKUP(C2732, Table2[Species],Table2[Genus], "Code Not Found")</f>
        <v>Acer</v>
      </c>
      <c r="M2732" t="str">
        <f>_xlfn.XLOOKUP(C2732, Table2[Species],Table2[Sp. Name], "Code Not Found")</f>
        <v>saccharum</v>
      </c>
      <c r="N2732" t="str">
        <f>_xlfn.XLOOKUP(C2732,Table2[Species],Table2[Family],"Code Not Found")</f>
        <v>Sapindaceae</v>
      </c>
      <c r="O2732" t="str" cm="1">
        <f t="array" ref="O2732">_xlfn.IFS(F2732="","",F2732&lt;=5,"0 to 5",F2732&lt;=10,"5.1 to 10",F2732&lt;=20,"10 to 20", F2732&lt;= 40, "20 to 40", F2732 &lt;= 50, "40 to 50", F2732 &gt; 50, "&gt;50" )</f>
        <v>10 to 20</v>
      </c>
    </row>
    <row r="2733" spans="1:15" ht="15" customHeight="1" x14ac:dyDescent="0.3">
      <c r="A2733" t="s">
        <v>566</v>
      </c>
      <c r="B2733" s="1">
        <v>46217</v>
      </c>
      <c r="C2733" t="s">
        <v>16</v>
      </c>
      <c r="D2733">
        <v>2536</v>
      </c>
      <c r="E2733">
        <v>1</v>
      </c>
      <c r="F2733">
        <v>4.3</v>
      </c>
      <c r="G2733" t="s">
        <v>17</v>
      </c>
      <c r="H2733" t="s">
        <v>36</v>
      </c>
      <c r="I2733" t="str">
        <f t="shared" si="67"/>
        <v>2536_1</v>
      </c>
      <c r="J2733" t="s">
        <v>533</v>
      </c>
      <c r="K2733" t="s">
        <v>115</v>
      </c>
      <c r="L2733" t="str">
        <f>_xlfn.XLOOKUP(C2733, Table2[Species],Table2[Genus], "Code Not Found")</f>
        <v>Acer</v>
      </c>
      <c r="M2733" t="str">
        <f>_xlfn.XLOOKUP(C2733, Table2[Species],Table2[Sp. Name], "Code Not Found")</f>
        <v>saccharum</v>
      </c>
      <c r="N2733" t="str">
        <f>_xlfn.XLOOKUP(C2733,Table2[Species],Table2[Family],"Code Not Found")</f>
        <v>Sapindaceae</v>
      </c>
      <c r="O2733" t="str" cm="1">
        <f t="array" ref="O2733">_xlfn.IFS(F2733="","",F2733&lt;=5,"0 to 5",F2733&lt;=10,"5.1 to 10",F2733&lt;=20,"10 to 20", F2733&lt;= 40, "20 to 40", F2733 &lt;= 50, "40 to 50", F2733 &gt; 50, "&gt;50" )</f>
        <v>0 to 5</v>
      </c>
    </row>
    <row r="2734" spans="1:15" ht="15" customHeight="1" x14ac:dyDescent="0.3">
      <c r="A2734" t="s">
        <v>566</v>
      </c>
      <c r="B2734" s="1">
        <v>46217</v>
      </c>
      <c r="C2734" t="s">
        <v>16</v>
      </c>
      <c r="D2734">
        <v>2537</v>
      </c>
      <c r="E2734">
        <v>1</v>
      </c>
      <c r="F2734">
        <v>26.9</v>
      </c>
      <c r="G2734" t="s">
        <v>420</v>
      </c>
      <c r="H2734" t="s">
        <v>544</v>
      </c>
      <c r="I2734" t="str">
        <f t="shared" si="67"/>
        <v>2537_1</v>
      </c>
      <c r="J2734" t="s">
        <v>533</v>
      </c>
      <c r="K2734" t="s">
        <v>115</v>
      </c>
      <c r="L2734" t="str">
        <f>_xlfn.XLOOKUP(C2734, Table2[Species],Table2[Genus], "Code Not Found")</f>
        <v>Acer</v>
      </c>
      <c r="M2734" t="str">
        <f>_xlfn.XLOOKUP(C2734, Table2[Species],Table2[Sp. Name], "Code Not Found")</f>
        <v>saccharum</v>
      </c>
      <c r="N2734" t="str">
        <f>_xlfn.XLOOKUP(C2734,Table2[Species],Table2[Family],"Code Not Found")</f>
        <v>Sapindaceae</v>
      </c>
      <c r="O2734" t="str" cm="1">
        <f t="array" ref="O2734">_xlfn.IFS(F2734="","",F2734&lt;=5,"0 to 5",F2734&lt;=10,"5.1 to 10",F2734&lt;=20,"10 to 20", F2734&lt;= 40, "20 to 40", F2734 &lt;= 50, "40 to 50", F2734 &gt; 50, "&gt;50" )</f>
        <v>20 to 40</v>
      </c>
    </row>
    <row r="2735" spans="1:15" ht="15" customHeight="1" x14ac:dyDescent="0.3">
      <c r="A2735" t="s">
        <v>566</v>
      </c>
      <c r="B2735" s="1">
        <v>46217</v>
      </c>
      <c r="C2735" t="s">
        <v>22</v>
      </c>
      <c r="D2735">
        <v>2538</v>
      </c>
      <c r="E2735">
        <v>1</v>
      </c>
      <c r="F2735">
        <v>25.1</v>
      </c>
      <c r="G2735" t="s">
        <v>21</v>
      </c>
      <c r="I2735" t="str">
        <f t="shared" si="67"/>
        <v>2538_1</v>
      </c>
      <c r="J2735" t="s">
        <v>533</v>
      </c>
      <c r="K2735" t="s">
        <v>115</v>
      </c>
      <c r="L2735" t="str">
        <f>_xlfn.XLOOKUP(C2735, Table2[Species],Table2[Genus], "Code Not Found")</f>
        <v>Acer</v>
      </c>
      <c r="M2735" t="str">
        <f>_xlfn.XLOOKUP(C2735, Table2[Species],Table2[Sp. Name], "Code Not Found")</f>
        <v>rubrum</v>
      </c>
      <c r="N2735" t="str">
        <f>_xlfn.XLOOKUP(C2735,Table2[Species],Table2[Family],"Code Not Found")</f>
        <v>Sapindaceae</v>
      </c>
      <c r="O2735" t="str" cm="1">
        <f t="array" ref="O2735">_xlfn.IFS(F2735="","",F2735&lt;=5,"0 to 5",F2735&lt;=10,"5.1 to 10",F2735&lt;=20,"10 to 20", F2735&lt;= 40, "20 to 40", F2735 &lt;= 50, "40 to 50", F2735 &gt; 50, "&gt;50" )</f>
        <v>20 to 40</v>
      </c>
    </row>
    <row r="2736" spans="1:15" ht="15" customHeight="1" x14ac:dyDescent="0.3">
      <c r="A2736" t="s">
        <v>566</v>
      </c>
      <c r="B2736" s="1">
        <v>46217</v>
      </c>
      <c r="C2736" t="s">
        <v>16</v>
      </c>
      <c r="D2736">
        <v>2539</v>
      </c>
      <c r="E2736">
        <v>1</v>
      </c>
      <c r="F2736">
        <v>8.8000000000000007</v>
      </c>
      <c r="G2736" t="s">
        <v>505</v>
      </c>
      <c r="H2736" t="s">
        <v>567</v>
      </c>
      <c r="I2736" t="str">
        <f t="shared" si="67"/>
        <v>2539_1</v>
      </c>
      <c r="J2736" t="s">
        <v>533</v>
      </c>
      <c r="K2736" t="s">
        <v>115</v>
      </c>
      <c r="L2736" t="str">
        <f>_xlfn.XLOOKUP(C2736, Table2[Species],Table2[Genus], "Code Not Found")</f>
        <v>Acer</v>
      </c>
      <c r="M2736" t="str">
        <f>_xlfn.XLOOKUP(C2736, Table2[Species],Table2[Sp. Name], "Code Not Found")</f>
        <v>saccharum</v>
      </c>
      <c r="N2736" t="str">
        <f>_xlfn.XLOOKUP(C2736,Table2[Species],Table2[Family],"Code Not Found")</f>
        <v>Sapindaceae</v>
      </c>
      <c r="O2736" t="str" cm="1">
        <f t="array" ref="O2736">_xlfn.IFS(F2736="","",F2736&lt;=5,"0 to 5",F2736&lt;=10,"5.1 to 10",F2736&lt;=20,"10 to 20", F2736&lt;= 40, "20 to 40", F2736 &lt;= 50, "40 to 50", F2736 &gt; 50, "&gt;50" )</f>
        <v>5.1 to 10</v>
      </c>
    </row>
    <row r="2737" spans="1:15" ht="15" customHeight="1" x14ac:dyDescent="0.3">
      <c r="A2737" t="s">
        <v>566</v>
      </c>
      <c r="B2737" s="1">
        <v>46217</v>
      </c>
      <c r="C2737" t="s">
        <v>16</v>
      </c>
      <c r="D2737">
        <v>2540</v>
      </c>
      <c r="E2737">
        <v>1</v>
      </c>
      <c r="F2737">
        <v>3.5</v>
      </c>
      <c r="G2737" t="s">
        <v>47</v>
      </c>
      <c r="H2737" t="s">
        <v>357</v>
      </c>
      <c r="I2737" t="str">
        <f t="shared" si="67"/>
        <v>2540_1</v>
      </c>
      <c r="J2737" t="s">
        <v>533</v>
      </c>
      <c r="K2737" t="s">
        <v>115</v>
      </c>
      <c r="L2737" t="str">
        <f>_xlfn.XLOOKUP(C2737, Table2[Species],Table2[Genus], "Code Not Found")</f>
        <v>Acer</v>
      </c>
      <c r="M2737" t="str">
        <f>_xlfn.XLOOKUP(C2737, Table2[Species],Table2[Sp. Name], "Code Not Found")</f>
        <v>saccharum</v>
      </c>
      <c r="N2737" t="str">
        <f>_xlfn.XLOOKUP(C2737,Table2[Species],Table2[Family],"Code Not Found")</f>
        <v>Sapindaceae</v>
      </c>
      <c r="O2737" t="str" cm="1">
        <f t="array" ref="O2737">_xlfn.IFS(F2737="","",F2737&lt;=5,"0 to 5",F2737&lt;=10,"5.1 to 10",F2737&lt;=20,"10 to 20", F2737&lt;= 40, "20 to 40", F2737 &lt;= 50, "40 to 50", F2737 &gt; 50, "&gt;50" )</f>
        <v>0 to 5</v>
      </c>
    </row>
    <row r="2738" spans="1:15" ht="15" customHeight="1" x14ac:dyDescent="0.3">
      <c r="A2738" t="s">
        <v>566</v>
      </c>
      <c r="B2738" s="1">
        <v>46217</v>
      </c>
      <c r="C2738" t="s">
        <v>16</v>
      </c>
      <c r="D2738">
        <v>2541</v>
      </c>
      <c r="E2738">
        <v>1</v>
      </c>
      <c r="F2738">
        <v>5.2</v>
      </c>
      <c r="G2738" t="s">
        <v>47</v>
      </c>
      <c r="H2738" t="s">
        <v>347</v>
      </c>
      <c r="I2738" t="str">
        <f t="shared" si="67"/>
        <v>2541_1</v>
      </c>
      <c r="J2738" t="s">
        <v>533</v>
      </c>
      <c r="K2738" t="s">
        <v>115</v>
      </c>
      <c r="L2738" t="str">
        <f>_xlfn.XLOOKUP(C2738, Table2[Species],Table2[Genus], "Code Not Found")</f>
        <v>Acer</v>
      </c>
      <c r="M2738" t="str">
        <f>_xlfn.XLOOKUP(C2738, Table2[Species],Table2[Sp. Name], "Code Not Found")</f>
        <v>saccharum</v>
      </c>
      <c r="N2738" t="str">
        <f>_xlfn.XLOOKUP(C2738,Table2[Species],Table2[Family],"Code Not Found")</f>
        <v>Sapindaceae</v>
      </c>
      <c r="O2738" t="str" cm="1">
        <f t="array" ref="O2738">_xlfn.IFS(F2738="","",F2738&lt;=5,"0 to 5",F2738&lt;=10,"5.1 to 10",F2738&lt;=20,"10 to 20", F2738&lt;= 40, "20 to 40", F2738 &lt;= 50, "40 to 50", F2738 &gt; 50, "&gt;50" )</f>
        <v>5.1 to 10</v>
      </c>
    </row>
    <row r="2739" spans="1:15" ht="15" customHeight="1" x14ac:dyDescent="0.3">
      <c r="A2739" t="s">
        <v>566</v>
      </c>
      <c r="B2739" s="1">
        <v>46217</v>
      </c>
      <c r="C2739" t="s">
        <v>16</v>
      </c>
      <c r="D2739">
        <v>2542</v>
      </c>
      <c r="E2739">
        <v>1</v>
      </c>
      <c r="F2739">
        <v>7.5</v>
      </c>
      <c r="G2739" t="s">
        <v>47</v>
      </c>
      <c r="H2739" t="s">
        <v>568</v>
      </c>
      <c r="I2739" t="str">
        <f t="shared" si="67"/>
        <v>2542_1</v>
      </c>
      <c r="J2739" t="s">
        <v>533</v>
      </c>
      <c r="K2739" t="s">
        <v>115</v>
      </c>
      <c r="L2739" t="str">
        <f>_xlfn.XLOOKUP(C2739, Table2[Species],Table2[Genus], "Code Not Found")</f>
        <v>Acer</v>
      </c>
      <c r="M2739" t="str">
        <f>_xlfn.XLOOKUP(C2739, Table2[Species],Table2[Sp. Name], "Code Not Found")</f>
        <v>saccharum</v>
      </c>
      <c r="N2739" t="str">
        <f>_xlfn.XLOOKUP(C2739,Table2[Species],Table2[Family],"Code Not Found")</f>
        <v>Sapindaceae</v>
      </c>
      <c r="O2739" t="str" cm="1">
        <f t="array" ref="O2739">_xlfn.IFS(F2739="","",F2739&lt;=5,"0 to 5",F2739&lt;=10,"5.1 to 10",F2739&lt;=20,"10 to 20", F2739&lt;= 40, "20 to 40", F2739 &lt;= 50, "40 to 50", F2739 &gt; 50, "&gt;50" )</f>
        <v>5.1 to 10</v>
      </c>
    </row>
    <row r="2740" spans="1:15" ht="15" customHeight="1" x14ac:dyDescent="0.3">
      <c r="A2740" t="s">
        <v>566</v>
      </c>
      <c r="B2740" s="1">
        <v>46217</v>
      </c>
      <c r="C2740" t="s">
        <v>16</v>
      </c>
      <c r="D2740">
        <v>2543</v>
      </c>
      <c r="E2740">
        <v>1</v>
      </c>
      <c r="F2740">
        <v>3</v>
      </c>
      <c r="G2740" t="s">
        <v>47</v>
      </c>
      <c r="H2740" t="s">
        <v>347</v>
      </c>
      <c r="I2740" t="str">
        <f t="shared" si="67"/>
        <v>2543_1</v>
      </c>
      <c r="J2740" t="s">
        <v>533</v>
      </c>
      <c r="K2740" t="s">
        <v>115</v>
      </c>
      <c r="L2740" t="str">
        <f>_xlfn.XLOOKUP(C2740, Table2[Species],Table2[Genus], "Code Not Found")</f>
        <v>Acer</v>
      </c>
      <c r="M2740" t="str">
        <f>_xlfn.XLOOKUP(C2740, Table2[Species],Table2[Sp. Name], "Code Not Found")</f>
        <v>saccharum</v>
      </c>
      <c r="N2740" t="str">
        <f>_xlfn.XLOOKUP(C2740,Table2[Species],Table2[Family],"Code Not Found")</f>
        <v>Sapindaceae</v>
      </c>
      <c r="O2740" t="str" cm="1">
        <f t="array" ref="O2740">_xlfn.IFS(F2740="","",F2740&lt;=5,"0 to 5",F2740&lt;=10,"5.1 to 10",F2740&lt;=20,"10 to 20", F2740&lt;= 40, "20 to 40", F2740 &lt;= 50, "40 to 50", F2740 &gt; 50, "&gt;50" )</f>
        <v>0 to 5</v>
      </c>
    </row>
    <row r="2741" spans="1:15" ht="15" customHeight="1" x14ac:dyDescent="0.3">
      <c r="A2741" t="s">
        <v>566</v>
      </c>
      <c r="B2741" s="1">
        <v>46217</v>
      </c>
      <c r="C2741" t="s">
        <v>22</v>
      </c>
      <c r="D2741">
        <v>2544</v>
      </c>
      <c r="E2741">
        <v>1</v>
      </c>
      <c r="F2741">
        <v>33.799999999999997</v>
      </c>
      <c r="G2741" t="s">
        <v>21</v>
      </c>
      <c r="I2741" t="str">
        <f t="shared" si="67"/>
        <v>2544_1</v>
      </c>
      <c r="J2741" t="s">
        <v>533</v>
      </c>
      <c r="K2741" t="s">
        <v>115</v>
      </c>
      <c r="L2741" t="str">
        <f>_xlfn.XLOOKUP(C2741, Table2[Species],Table2[Genus], "Code Not Found")</f>
        <v>Acer</v>
      </c>
      <c r="M2741" t="str">
        <f>_xlfn.XLOOKUP(C2741, Table2[Species],Table2[Sp. Name], "Code Not Found")</f>
        <v>rubrum</v>
      </c>
      <c r="N2741" t="str">
        <f>_xlfn.XLOOKUP(C2741,Table2[Species],Table2[Family],"Code Not Found")</f>
        <v>Sapindaceae</v>
      </c>
      <c r="O2741" t="str" cm="1">
        <f t="array" ref="O2741">_xlfn.IFS(F2741="","",F2741&lt;=5,"0 to 5",F2741&lt;=10,"5.1 to 10",F2741&lt;=20,"10 to 20", F2741&lt;= 40, "20 to 40", F2741 &lt;= 50, "40 to 50", F2741 &gt; 50, "&gt;50" )</f>
        <v>20 to 40</v>
      </c>
    </row>
    <row r="2742" spans="1:15" ht="15" customHeight="1" x14ac:dyDescent="0.3">
      <c r="A2742" t="s">
        <v>566</v>
      </c>
      <c r="B2742" s="1">
        <v>46217</v>
      </c>
      <c r="C2742" t="s">
        <v>16</v>
      </c>
      <c r="D2742">
        <v>2545</v>
      </c>
      <c r="E2742">
        <v>1</v>
      </c>
      <c r="F2742">
        <v>13.2</v>
      </c>
      <c r="G2742" t="s">
        <v>17</v>
      </c>
      <c r="I2742" t="str">
        <f t="shared" si="67"/>
        <v>2545_1</v>
      </c>
      <c r="J2742" t="s">
        <v>533</v>
      </c>
      <c r="K2742" t="s">
        <v>115</v>
      </c>
      <c r="L2742" t="str">
        <f>_xlfn.XLOOKUP(C2742, Table2[Species],Table2[Genus], "Code Not Found")</f>
        <v>Acer</v>
      </c>
      <c r="M2742" t="str">
        <f>_xlfn.XLOOKUP(C2742, Table2[Species],Table2[Sp. Name], "Code Not Found")</f>
        <v>saccharum</v>
      </c>
      <c r="N2742" t="str">
        <f>_xlfn.XLOOKUP(C2742,Table2[Species],Table2[Family],"Code Not Found")</f>
        <v>Sapindaceae</v>
      </c>
      <c r="O2742" t="str" cm="1">
        <f t="array" ref="O2742">_xlfn.IFS(F2742="","",F2742&lt;=5,"0 to 5",F2742&lt;=10,"5.1 to 10",F2742&lt;=20,"10 to 20", F2742&lt;= 40, "20 to 40", F2742 &lt;= 50, "40 to 50", F2742 &gt; 50, "&gt;50" )</f>
        <v>10 to 20</v>
      </c>
    </row>
    <row r="2743" spans="1:15" ht="15" customHeight="1" x14ac:dyDescent="0.3">
      <c r="A2743" t="s">
        <v>566</v>
      </c>
      <c r="B2743" s="1">
        <v>46217</v>
      </c>
      <c r="C2743" t="s">
        <v>16</v>
      </c>
      <c r="D2743">
        <v>2546</v>
      </c>
      <c r="E2743">
        <v>1</v>
      </c>
      <c r="F2743">
        <v>9.1999999999999993</v>
      </c>
      <c r="G2743" t="s">
        <v>88</v>
      </c>
      <c r="H2743" t="s">
        <v>569</v>
      </c>
      <c r="I2743" t="str">
        <f t="shared" si="67"/>
        <v>2546_1</v>
      </c>
      <c r="J2743" t="s">
        <v>533</v>
      </c>
      <c r="K2743" t="s">
        <v>115</v>
      </c>
      <c r="L2743" t="str">
        <f>_xlfn.XLOOKUP(C2743, Table2[Species],Table2[Genus], "Code Not Found")</f>
        <v>Acer</v>
      </c>
      <c r="M2743" t="str">
        <f>_xlfn.XLOOKUP(C2743, Table2[Species],Table2[Sp. Name], "Code Not Found")</f>
        <v>saccharum</v>
      </c>
      <c r="N2743" t="str">
        <f>_xlfn.XLOOKUP(C2743,Table2[Species],Table2[Family],"Code Not Found")</f>
        <v>Sapindaceae</v>
      </c>
      <c r="O2743" t="str" cm="1">
        <f t="array" ref="O2743">_xlfn.IFS(F2743="","",F2743&lt;=5,"0 to 5",F2743&lt;=10,"5.1 to 10",F2743&lt;=20,"10 to 20", F2743&lt;= 40, "20 to 40", F2743 &lt;= 50, "40 to 50", F2743 &gt; 50, "&gt;50" )</f>
        <v>5.1 to 10</v>
      </c>
    </row>
    <row r="2744" spans="1:15" ht="15" customHeight="1" x14ac:dyDescent="0.3">
      <c r="A2744" t="s">
        <v>566</v>
      </c>
      <c r="B2744" s="1">
        <v>46217</v>
      </c>
      <c r="C2744" t="s">
        <v>16</v>
      </c>
      <c r="D2744">
        <v>2547</v>
      </c>
      <c r="E2744">
        <v>1</v>
      </c>
      <c r="F2744">
        <v>7.1</v>
      </c>
      <c r="G2744" t="s">
        <v>17</v>
      </c>
      <c r="H2744" t="s">
        <v>36</v>
      </c>
      <c r="I2744" t="str">
        <f t="shared" si="67"/>
        <v>2547_1</v>
      </c>
      <c r="J2744" t="s">
        <v>533</v>
      </c>
      <c r="K2744" t="s">
        <v>115</v>
      </c>
      <c r="L2744" t="str">
        <f>_xlfn.XLOOKUP(C2744, Table2[Species],Table2[Genus], "Code Not Found")</f>
        <v>Acer</v>
      </c>
      <c r="M2744" t="str">
        <f>_xlfn.XLOOKUP(C2744, Table2[Species],Table2[Sp. Name], "Code Not Found")</f>
        <v>saccharum</v>
      </c>
      <c r="N2744" t="str">
        <f>_xlfn.XLOOKUP(C2744,Table2[Species],Table2[Family],"Code Not Found")</f>
        <v>Sapindaceae</v>
      </c>
      <c r="O2744" t="str" cm="1">
        <f t="array" ref="O2744">_xlfn.IFS(F2744="","",F2744&lt;=5,"0 to 5",F2744&lt;=10,"5.1 to 10",F2744&lt;=20,"10 to 20", F2744&lt;= 40, "20 to 40", F2744 &lt;= 50, "40 to 50", F2744 &gt; 50, "&gt;50" )</f>
        <v>5.1 to 10</v>
      </c>
    </row>
    <row r="2745" spans="1:15" ht="15" customHeight="1" x14ac:dyDescent="0.3">
      <c r="A2745" t="s">
        <v>566</v>
      </c>
      <c r="B2745" s="1">
        <v>46217</v>
      </c>
      <c r="C2745" t="s">
        <v>22</v>
      </c>
      <c r="D2745">
        <v>2548</v>
      </c>
      <c r="E2745">
        <v>1</v>
      </c>
      <c r="F2745">
        <v>45.6</v>
      </c>
      <c r="G2745" t="s">
        <v>21</v>
      </c>
      <c r="I2745" t="str">
        <f t="shared" si="67"/>
        <v>2548_1</v>
      </c>
      <c r="J2745" t="s">
        <v>533</v>
      </c>
      <c r="K2745" t="s">
        <v>115</v>
      </c>
      <c r="L2745" t="str">
        <f>_xlfn.XLOOKUP(C2745, Table2[Species],Table2[Genus], "Code Not Found")</f>
        <v>Acer</v>
      </c>
      <c r="M2745" t="str">
        <f>_xlfn.XLOOKUP(C2745, Table2[Species],Table2[Sp. Name], "Code Not Found")</f>
        <v>rubrum</v>
      </c>
      <c r="N2745" t="str">
        <f>_xlfn.XLOOKUP(C2745,Table2[Species],Table2[Family],"Code Not Found")</f>
        <v>Sapindaceae</v>
      </c>
      <c r="O2745" t="str" cm="1">
        <f t="array" ref="O2745">_xlfn.IFS(F2745="","",F2745&lt;=5,"0 to 5",F2745&lt;=10,"5.1 to 10",F2745&lt;=20,"10 to 20", F2745&lt;= 40, "20 to 40", F2745 &lt;= 50, "40 to 50", F2745 &gt; 50, "&gt;50" )</f>
        <v>40 to 50</v>
      </c>
    </row>
    <row r="2746" spans="1:15" ht="15" customHeight="1" x14ac:dyDescent="0.3">
      <c r="A2746" t="s">
        <v>566</v>
      </c>
      <c r="B2746" s="1">
        <v>46217</v>
      </c>
      <c r="C2746" t="s">
        <v>16</v>
      </c>
      <c r="D2746">
        <v>2549</v>
      </c>
      <c r="E2746">
        <v>1</v>
      </c>
      <c r="F2746">
        <v>8.5</v>
      </c>
      <c r="G2746" t="s">
        <v>537</v>
      </c>
      <c r="H2746" t="s">
        <v>347</v>
      </c>
      <c r="I2746" t="str">
        <f t="shared" si="67"/>
        <v>2549_1</v>
      </c>
      <c r="J2746" t="s">
        <v>533</v>
      </c>
      <c r="K2746" t="s">
        <v>115</v>
      </c>
      <c r="L2746" t="str">
        <f>_xlfn.XLOOKUP(C2746, Table2[Species],Table2[Genus], "Code Not Found")</f>
        <v>Acer</v>
      </c>
      <c r="M2746" t="str">
        <f>_xlfn.XLOOKUP(C2746, Table2[Species],Table2[Sp. Name], "Code Not Found")</f>
        <v>saccharum</v>
      </c>
      <c r="N2746" t="str">
        <f>_xlfn.XLOOKUP(C2746,Table2[Species],Table2[Family],"Code Not Found")</f>
        <v>Sapindaceae</v>
      </c>
      <c r="O2746" t="str" cm="1">
        <f t="array" ref="O2746">_xlfn.IFS(F2746="","",F2746&lt;=5,"0 to 5",F2746&lt;=10,"5.1 to 10",F2746&lt;=20,"10 to 20", F2746&lt;= 40, "20 to 40", F2746 &lt;= 50, "40 to 50", F2746 &gt; 50, "&gt;50" )</f>
        <v>5.1 to 10</v>
      </c>
    </row>
    <row r="2747" spans="1:15" ht="15" customHeight="1" x14ac:dyDescent="0.3">
      <c r="A2747" t="s">
        <v>566</v>
      </c>
      <c r="B2747" s="1">
        <v>46217</v>
      </c>
      <c r="C2747" t="s">
        <v>16</v>
      </c>
      <c r="D2747">
        <v>2550</v>
      </c>
      <c r="E2747">
        <v>1</v>
      </c>
      <c r="F2747">
        <v>13.6</v>
      </c>
      <c r="G2747" t="s">
        <v>47</v>
      </c>
      <c r="H2747" t="s">
        <v>568</v>
      </c>
      <c r="I2747" t="str">
        <f t="shared" si="67"/>
        <v>2550_1</v>
      </c>
      <c r="J2747" t="s">
        <v>533</v>
      </c>
      <c r="K2747" t="s">
        <v>115</v>
      </c>
      <c r="L2747" t="str">
        <f>_xlfn.XLOOKUP(C2747, Table2[Species],Table2[Genus], "Code Not Found")</f>
        <v>Acer</v>
      </c>
      <c r="M2747" t="str">
        <f>_xlfn.XLOOKUP(C2747, Table2[Species],Table2[Sp. Name], "Code Not Found")</f>
        <v>saccharum</v>
      </c>
      <c r="N2747" t="str">
        <f>_xlfn.XLOOKUP(C2747,Table2[Species],Table2[Family],"Code Not Found")</f>
        <v>Sapindaceae</v>
      </c>
      <c r="O2747" t="str" cm="1">
        <f t="array" ref="O2747">_xlfn.IFS(F2747="","",F2747&lt;=5,"0 to 5",F2747&lt;=10,"5.1 to 10",F2747&lt;=20,"10 to 20", F2747&lt;= 40, "20 to 40", F2747 &lt;= 50, "40 to 50", F2747 &gt; 50, "&gt;50" )</f>
        <v>10 to 20</v>
      </c>
    </row>
    <row r="2748" spans="1:15" ht="15" customHeight="1" x14ac:dyDescent="0.3">
      <c r="A2748" t="s">
        <v>566</v>
      </c>
      <c r="B2748" s="1">
        <v>46217</v>
      </c>
      <c r="C2748" t="s">
        <v>123</v>
      </c>
      <c r="D2748">
        <v>2551</v>
      </c>
      <c r="E2748">
        <v>1</v>
      </c>
      <c r="F2748">
        <v>57</v>
      </c>
      <c r="G2748" t="s">
        <v>21</v>
      </c>
      <c r="I2748" t="str">
        <f t="shared" si="67"/>
        <v>2551_1</v>
      </c>
      <c r="J2748" t="s">
        <v>533</v>
      </c>
      <c r="K2748" t="s">
        <v>115</v>
      </c>
      <c r="L2748" t="str">
        <f>_xlfn.XLOOKUP(C2748, Table2[Species],Table2[Genus], "Code Not Found")</f>
        <v>Quercus</v>
      </c>
      <c r="M2748" t="str">
        <f>_xlfn.XLOOKUP(C2748, Table2[Species],Table2[Sp. Name], "Code Not Found")</f>
        <v>rubra</v>
      </c>
      <c r="N2748" t="str">
        <f>_xlfn.XLOOKUP(C2748,Table2[Species],Table2[Family],"Code Not Found")</f>
        <v>Fagaceae</v>
      </c>
      <c r="O2748" t="str" cm="1">
        <f t="array" ref="O2748">_xlfn.IFS(F2748="","",F2748&lt;=5,"0 to 5",F2748&lt;=10,"5.1 to 10",F2748&lt;=20,"10 to 20", F2748&lt;= 40, "20 to 40", F2748 &lt;= 50, "40 to 50", F2748 &gt; 50, "&gt;50" )</f>
        <v>&gt;50</v>
      </c>
    </row>
    <row r="2749" spans="1:15" ht="15" customHeight="1" x14ac:dyDescent="0.3">
      <c r="A2749" t="s">
        <v>566</v>
      </c>
      <c r="B2749" s="1">
        <v>46217</v>
      </c>
      <c r="C2749" t="s">
        <v>16</v>
      </c>
      <c r="D2749">
        <v>2552</v>
      </c>
      <c r="E2749">
        <v>1</v>
      </c>
      <c r="F2749">
        <v>3.6</v>
      </c>
      <c r="G2749" t="s">
        <v>211</v>
      </c>
      <c r="H2749" t="s">
        <v>568</v>
      </c>
      <c r="I2749" t="str">
        <f t="shared" si="67"/>
        <v>2552_1</v>
      </c>
      <c r="J2749" t="s">
        <v>533</v>
      </c>
      <c r="K2749" t="s">
        <v>115</v>
      </c>
      <c r="L2749" t="str">
        <f>_xlfn.XLOOKUP(C2749, Table2[Species],Table2[Genus], "Code Not Found")</f>
        <v>Acer</v>
      </c>
      <c r="M2749" t="str">
        <f>_xlfn.XLOOKUP(C2749, Table2[Species],Table2[Sp. Name], "Code Not Found")</f>
        <v>saccharum</v>
      </c>
      <c r="N2749" t="str">
        <f>_xlfn.XLOOKUP(C2749,Table2[Species],Table2[Family],"Code Not Found")</f>
        <v>Sapindaceae</v>
      </c>
      <c r="O2749" t="str" cm="1">
        <f t="array" ref="O2749">_xlfn.IFS(F2749="","",F2749&lt;=5,"0 to 5",F2749&lt;=10,"5.1 to 10",F2749&lt;=20,"10 to 20", F2749&lt;= 40, "20 to 40", F2749 &lt;= 50, "40 to 50", F2749 &gt; 50, "&gt;50" )</f>
        <v>0 to 5</v>
      </c>
    </row>
    <row r="2750" spans="1:15" ht="15" customHeight="1" x14ac:dyDescent="0.3">
      <c r="A2750" t="s">
        <v>566</v>
      </c>
      <c r="B2750" s="1">
        <v>46217</v>
      </c>
      <c r="C2750" t="s">
        <v>16</v>
      </c>
      <c r="D2750">
        <v>2553</v>
      </c>
      <c r="E2750">
        <v>1</v>
      </c>
      <c r="F2750">
        <v>17.100000000000001</v>
      </c>
      <c r="G2750" t="s">
        <v>56</v>
      </c>
      <c r="H2750" t="s">
        <v>570</v>
      </c>
      <c r="I2750" t="str">
        <f t="shared" si="67"/>
        <v>2553_1</v>
      </c>
      <c r="J2750" t="s">
        <v>533</v>
      </c>
      <c r="K2750" t="s">
        <v>115</v>
      </c>
      <c r="L2750" t="str">
        <f>_xlfn.XLOOKUP(C2750, Table2[Species],Table2[Genus], "Code Not Found")</f>
        <v>Acer</v>
      </c>
      <c r="M2750" t="str">
        <f>_xlfn.XLOOKUP(C2750, Table2[Species],Table2[Sp. Name], "Code Not Found")</f>
        <v>saccharum</v>
      </c>
      <c r="N2750" t="str">
        <f>_xlfn.XLOOKUP(C2750,Table2[Species],Table2[Family],"Code Not Found")</f>
        <v>Sapindaceae</v>
      </c>
      <c r="O2750" t="str" cm="1">
        <f t="array" ref="O2750">_xlfn.IFS(F2750="","",F2750&lt;=5,"0 to 5",F2750&lt;=10,"5.1 to 10",F2750&lt;=20,"10 to 20", F2750&lt;= 40, "20 to 40", F2750 &lt;= 50, "40 to 50", F2750 &gt; 50, "&gt;50" )</f>
        <v>10 to 20</v>
      </c>
    </row>
    <row r="2751" spans="1:15" ht="15" customHeight="1" x14ac:dyDescent="0.3">
      <c r="A2751" t="s">
        <v>566</v>
      </c>
      <c r="B2751" s="1">
        <v>46217</v>
      </c>
      <c r="C2751" t="s">
        <v>22</v>
      </c>
      <c r="D2751">
        <v>2554</v>
      </c>
      <c r="E2751">
        <v>1</v>
      </c>
      <c r="F2751">
        <v>48.7</v>
      </c>
      <c r="G2751" t="s">
        <v>21</v>
      </c>
      <c r="I2751" t="str">
        <f t="shared" si="67"/>
        <v>2554_1</v>
      </c>
      <c r="J2751" t="s">
        <v>533</v>
      </c>
      <c r="K2751" t="s">
        <v>115</v>
      </c>
      <c r="L2751" t="str">
        <f>_xlfn.XLOOKUP(C2751, Table2[Species],Table2[Genus], "Code Not Found")</f>
        <v>Acer</v>
      </c>
      <c r="M2751" t="str">
        <f>_xlfn.XLOOKUP(C2751, Table2[Species],Table2[Sp. Name], "Code Not Found")</f>
        <v>rubrum</v>
      </c>
      <c r="N2751" t="str">
        <f>_xlfn.XLOOKUP(C2751,Table2[Species],Table2[Family],"Code Not Found")</f>
        <v>Sapindaceae</v>
      </c>
      <c r="O2751" t="str" cm="1">
        <f t="array" ref="O2751">_xlfn.IFS(F2751="","",F2751&lt;=5,"0 to 5",F2751&lt;=10,"5.1 to 10",F2751&lt;=20,"10 to 20", F2751&lt;= 40, "20 to 40", F2751 &lt;= 50, "40 to 50", F2751 &gt; 50, "&gt;50" )</f>
        <v>40 to 50</v>
      </c>
    </row>
    <row r="2752" spans="1:15" ht="15" customHeight="1" x14ac:dyDescent="0.3">
      <c r="A2752" t="s">
        <v>566</v>
      </c>
      <c r="B2752" s="1">
        <v>46217</v>
      </c>
      <c r="C2752" t="s">
        <v>16</v>
      </c>
      <c r="D2752">
        <v>2555</v>
      </c>
      <c r="E2752">
        <v>1</v>
      </c>
      <c r="F2752">
        <v>2.8</v>
      </c>
      <c r="G2752" t="s">
        <v>17</v>
      </c>
      <c r="H2752" t="s">
        <v>571</v>
      </c>
      <c r="I2752" t="str">
        <f t="shared" ref="I2752:I2783" si="68">D2752&amp;"_"&amp;E2752</f>
        <v>2555_1</v>
      </c>
      <c r="J2752" t="s">
        <v>533</v>
      </c>
      <c r="K2752" t="s">
        <v>115</v>
      </c>
      <c r="L2752" t="str">
        <f>_xlfn.XLOOKUP(C2752, Table2[Species],Table2[Genus], "Code Not Found")</f>
        <v>Acer</v>
      </c>
      <c r="M2752" t="str">
        <f>_xlfn.XLOOKUP(C2752, Table2[Species],Table2[Sp. Name], "Code Not Found")</f>
        <v>saccharum</v>
      </c>
      <c r="N2752" t="str">
        <f>_xlfn.XLOOKUP(C2752,Table2[Species],Table2[Family],"Code Not Found")</f>
        <v>Sapindaceae</v>
      </c>
      <c r="O2752" t="str" cm="1">
        <f t="array" ref="O2752">_xlfn.IFS(F2752="","",F2752&lt;=5,"0 to 5",F2752&lt;=10,"5.1 to 10",F2752&lt;=20,"10 to 20", F2752&lt;= 40, "20 to 40", F2752 &lt;= 50, "40 to 50", F2752 &gt; 50, "&gt;50" )</f>
        <v>0 to 5</v>
      </c>
    </row>
    <row r="2753" spans="1:15" ht="15" customHeight="1" x14ac:dyDescent="0.3">
      <c r="A2753" t="s">
        <v>566</v>
      </c>
      <c r="B2753" s="1">
        <v>46217</v>
      </c>
      <c r="C2753" t="s">
        <v>16</v>
      </c>
      <c r="D2753">
        <v>2556</v>
      </c>
      <c r="E2753">
        <v>1</v>
      </c>
      <c r="F2753">
        <v>5.4</v>
      </c>
      <c r="G2753" t="s">
        <v>17</v>
      </c>
      <c r="I2753" t="str">
        <f t="shared" si="68"/>
        <v>2556_1</v>
      </c>
      <c r="J2753" t="s">
        <v>533</v>
      </c>
      <c r="K2753" t="s">
        <v>115</v>
      </c>
      <c r="L2753" t="str">
        <f>_xlfn.XLOOKUP(C2753, Table2[Species],Table2[Genus], "Code Not Found")</f>
        <v>Acer</v>
      </c>
      <c r="M2753" t="str">
        <f>_xlfn.XLOOKUP(C2753, Table2[Species],Table2[Sp. Name], "Code Not Found")</f>
        <v>saccharum</v>
      </c>
      <c r="N2753" t="str">
        <f>_xlfn.XLOOKUP(C2753,Table2[Species],Table2[Family],"Code Not Found")</f>
        <v>Sapindaceae</v>
      </c>
      <c r="O2753" t="str" cm="1">
        <f t="array" ref="O2753">_xlfn.IFS(F2753="","",F2753&lt;=5,"0 to 5",F2753&lt;=10,"5.1 to 10",F2753&lt;=20,"10 to 20", F2753&lt;= 40, "20 to 40", F2753 &lt;= 50, "40 to 50", F2753 &gt; 50, "&gt;50" )</f>
        <v>5.1 to 10</v>
      </c>
    </row>
    <row r="2754" spans="1:15" ht="15" customHeight="1" x14ac:dyDescent="0.3">
      <c r="A2754" t="s">
        <v>566</v>
      </c>
      <c r="B2754" s="1">
        <v>46217</v>
      </c>
      <c r="C2754" t="s">
        <v>16</v>
      </c>
      <c r="D2754">
        <v>2557</v>
      </c>
      <c r="E2754">
        <v>1</v>
      </c>
      <c r="F2754">
        <v>5.4</v>
      </c>
      <c r="G2754" t="s">
        <v>17</v>
      </c>
      <c r="I2754" t="str">
        <f t="shared" si="68"/>
        <v>2557_1</v>
      </c>
      <c r="J2754" t="s">
        <v>533</v>
      </c>
      <c r="K2754" t="s">
        <v>115</v>
      </c>
      <c r="L2754" t="str">
        <f>_xlfn.XLOOKUP(C2754, Table2[Species],Table2[Genus], "Code Not Found")</f>
        <v>Acer</v>
      </c>
      <c r="M2754" t="str">
        <f>_xlfn.XLOOKUP(C2754, Table2[Species],Table2[Sp. Name], "Code Not Found")</f>
        <v>saccharum</v>
      </c>
      <c r="N2754" t="str">
        <f>_xlfn.XLOOKUP(C2754,Table2[Species],Table2[Family],"Code Not Found")</f>
        <v>Sapindaceae</v>
      </c>
      <c r="O2754" t="str" cm="1">
        <f t="array" ref="O2754">_xlfn.IFS(F2754="","",F2754&lt;=5,"0 to 5",F2754&lt;=10,"5.1 to 10",F2754&lt;=20,"10 to 20", F2754&lt;= 40, "20 to 40", F2754 &lt;= 50, "40 to 50", F2754 &gt; 50, "&gt;50" )</f>
        <v>5.1 to 10</v>
      </c>
    </row>
    <row r="2755" spans="1:15" ht="15" customHeight="1" x14ac:dyDescent="0.3">
      <c r="A2755" t="s">
        <v>566</v>
      </c>
      <c r="B2755" s="1">
        <v>46217</v>
      </c>
      <c r="C2755" t="s">
        <v>16</v>
      </c>
      <c r="D2755">
        <v>2558</v>
      </c>
      <c r="E2755">
        <v>1</v>
      </c>
      <c r="F2755">
        <v>27.8</v>
      </c>
      <c r="G2755" t="s">
        <v>21</v>
      </c>
      <c r="I2755" t="str">
        <f t="shared" si="68"/>
        <v>2558_1</v>
      </c>
      <c r="J2755" t="s">
        <v>533</v>
      </c>
      <c r="K2755" t="s">
        <v>115</v>
      </c>
      <c r="L2755" t="str">
        <f>_xlfn.XLOOKUP(C2755, Table2[Species],Table2[Genus], "Code Not Found")</f>
        <v>Acer</v>
      </c>
      <c r="M2755" t="str">
        <f>_xlfn.XLOOKUP(C2755, Table2[Species],Table2[Sp. Name], "Code Not Found")</f>
        <v>saccharum</v>
      </c>
      <c r="N2755" t="str">
        <f>_xlfn.XLOOKUP(C2755,Table2[Species],Table2[Family],"Code Not Found")</f>
        <v>Sapindaceae</v>
      </c>
      <c r="O2755" t="str" cm="1">
        <f t="array" ref="O2755">_xlfn.IFS(F2755="","",F2755&lt;=5,"0 to 5",F2755&lt;=10,"5.1 to 10",F2755&lt;=20,"10 to 20", F2755&lt;= 40, "20 to 40", F2755 &lt;= 50, "40 to 50", F2755 &gt; 50, "&gt;50" )</f>
        <v>20 to 40</v>
      </c>
    </row>
    <row r="2756" spans="1:15" ht="15" customHeight="1" x14ac:dyDescent="0.3">
      <c r="A2756" t="s">
        <v>566</v>
      </c>
      <c r="B2756" s="1">
        <v>46217</v>
      </c>
      <c r="C2756" t="s">
        <v>16</v>
      </c>
      <c r="D2756">
        <v>2559</v>
      </c>
      <c r="E2756">
        <v>1</v>
      </c>
      <c r="F2756">
        <v>34.9</v>
      </c>
      <c r="G2756" t="s">
        <v>56</v>
      </c>
      <c r="H2756" t="s">
        <v>544</v>
      </c>
      <c r="I2756" t="str">
        <f t="shared" si="68"/>
        <v>2559_1</v>
      </c>
      <c r="J2756" t="s">
        <v>533</v>
      </c>
      <c r="K2756" t="s">
        <v>115</v>
      </c>
      <c r="L2756" t="str">
        <f>_xlfn.XLOOKUP(C2756, Table2[Species],Table2[Genus], "Code Not Found")</f>
        <v>Acer</v>
      </c>
      <c r="M2756" t="str">
        <f>_xlfn.XLOOKUP(C2756, Table2[Species],Table2[Sp. Name], "Code Not Found")</f>
        <v>saccharum</v>
      </c>
      <c r="N2756" t="str">
        <f>_xlfn.XLOOKUP(C2756,Table2[Species],Table2[Family],"Code Not Found")</f>
        <v>Sapindaceae</v>
      </c>
      <c r="O2756" t="str" cm="1">
        <f t="array" ref="O2756">_xlfn.IFS(F2756="","",F2756&lt;=5,"0 to 5",F2756&lt;=10,"5.1 to 10",F2756&lt;=20,"10 to 20", F2756&lt;= 40, "20 to 40", F2756 &lt;= 50, "40 to 50", F2756 &gt; 50, "&gt;50" )</f>
        <v>20 to 40</v>
      </c>
    </row>
    <row r="2757" spans="1:15" ht="15" customHeight="1" x14ac:dyDescent="0.3">
      <c r="A2757" t="s">
        <v>566</v>
      </c>
      <c r="B2757" s="1">
        <v>46217</v>
      </c>
      <c r="C2757" t="s">
        <v>16</v>
      </c>
      <c r="D2757">
        <v>2560</v>
      </c>
      <c r="E2757">
        <v>1</v>
      </c>
      <c r="F2757">
        <v>35.700000000000003</v>
      </c>
      <c r="G2757" t="s">
        <v>17</v>
      </c>
      <c r="I2757" t="str">
        <f t="shared" si="68"/>
        <v>2560_1</v>
      </c>
      <c r="J2757" t="s">
        <v>533</v>
      </c>
      <c r="K2757" t="s">
        <v>115</v>
      </c>
      <c r="L2757" t="str">
        <f>_xlfn.XLOOKUP(C2757, Table2[Species],Table2[Genus], "Code Not Found")</f>
        <v>Acer</v>
      </c>
      <c r="M2757" t="str">
        <f>_xlfn.XLOOKUP(C2757, Table2[Species],Table2[Sp. Name], "Code Not Found")</f>
        <v>saccharum</v>
      </c>
      <c r="N2757" t="str">
        <f>_xlfn.XLOOKUP(C2757,Table2[Species],Table2[Family],"Code Not Found")</f>
        <v>Sapindaceae</v>
      </c>
      <c r="O2757" t="str" cm="1">
        <f t="array" ref="O2757">_xlfn.IFS(F2757="","",F2757&lt;=5,"0 to 5",F2757&lt;=10,"5.1 to 10",F2757&lt;=20,"10 to 20", F2757&lt;= 40, "20 to 40", F2757 &lt;= 50, "40 to 50", F2757 &gt; 50, "&gt;50" )</f>
        <v>20 to 40</v>
      </c>
    </row>
    <row r="2758" spans="1:15" ht="15" customHeight="1" x14ac:dyDescent="0.3">
      <c r="A2758" t="s">
        <v>566</v>
      </c>
      <c r="B2758" s="1">
        <v>46217</v>
      </c>
      <c r="C2758" t="s">
        <v>16</v>
      </c>
      <c r="D2758">
        <v>2561</v>
      </c>
      <c r="E2758">
        <v>1</v>
      </c>
      <c r="F2758">
        <v>12.9</v>
      </c>
      <c r="G2758" t="s">
        <v>17</v>
      </c>
      <c r="I2758" t="str">
        <f t="shared" si="68"/>
        <v>2561_1</v>
      </c>
      <c r="J2758" t="s">
        <v>533</v>
      </c>
      <c r="K2758" t="s">
        <v>115</v>
      </c>
      <c r="L2758" t="str">
        <f>_xlfn.XLOOKUP(C2758, Table2[Species],Table2[Genus], "Code Not Found")</f>
        <v>Acer</v>
      </c>
      <c r="M2758" t="str">
        <f>_xlfn.XLOOKUP(C2758, Table2[Species],Table2[Sp. Name], "Code Not Found")</f>
        <v>saccharum</v>
      </c>
      <c r="N2758" t="str">
        <f>_xlfn.XLOOKUP(C2758,Table2[Species],Table2[Family],"Code Not Found")</f>
        <v>Sapindaceae</v>
      </c>
      <c r="O2758" t="str" cm="1">
        <f t="array" ref="O2758">_xlfn.IFS(F2758="","",F2758&lt;=5,"0 to 5",F2758&lt;=10,"5.1 to 10",F2758&lt;=20,"10 to 20", F2758&lt;= 40, "20 to 40", F2758 &lt;= 50, "40 to 50", F2758 &gt; 50, "&gt;50" )</f>
        <v>10 to 20</v>
      </c>
    </row>
    <row r="2759" spans="1:15" ht="15" customHeight="1" x14ac:dyDescent="0.3">
      <c r="A2759" t="s">
        <v>566</v>
      </c>
      <c r="B2759" s="1">
        <v>46217</v>
      </c>
      <c r="C2759" t="s">
        <v>16</v>
      </c>
      <c r="D2759">
        <v>2562</v>
      </c>
      <c r="E2759">
        <v>1</v>
      </c>
      <c r="F2759">
        <v>9.6999999999999993</v>
      </c>
      <c r="G2759" t="s">
        <v>21</v>
      </c>
      <c r="I2759" t="str">
        <f t="shared" si="68"/>
        <v>2562_1</v>
      </c>
      <c r="J2759" t="s">
        <v>533</v>
      </c>
      <c r="K2759" t="s">
        <v>115</v>
      </c>
      <c r="L2759" t="str">
        <f>_xlfn.XLOOKUP(C2759, Table2[Species],Table2[Genus], "Code Not Found")</f>
        <v>Acer</v>
      </c>
      <c r="M2759" t="str">
        <f>_xlfn.XLOOKUP(C2759, Table2[Species],Table2[Sp. Name], "Code Not Found")</f>
        <v>saccharum</v>
      </c>
      <c r="N2759" t="str">
        <f>_xlfn.XLOOKUP(C2759,Table2[Species],Table2[Family],"Code Not Found")</f>
        <v>Sapindaceae</v>
      </c>
      <c r="O2759" t="str" cm="1">
        <f t="array" ref="O2759">_xlfn.IFS(F2759="","",F2759&lt;=5,"0 to 5",F2759&lt;=10,"5.1 to 10",F2759&lt;=20,"10 to 20", F2759&lt;= 40, "20 to 40", F2759 &lt;= 50, "40 to 50", F2759 &gt; 50, "&gt;50" )</f>
        <v>5.1 to 10</v>
      </c>
    </row>
    <row r="2760" spans="1:15" ht="15" customHeight="1" x14ac:dyDescent="0.3">
      <c r="A2760" t="s">
        <v>566</v>
      </c>
      <c r="B2760" s="1">
        <v>46217</v>
      </c>
      <c r="C2760" t="s">
        <v>16</v>
      </c>
      <c r="D2760">
        <v>2563</v>
      </c>
      <c r="E2760">
        <v>1</v>
      </c>
      <c r="F2760">
        <v>16</v>
      </c>
      <c r="G2760" t="s">
        <v>17</v>
      </c>
      <c r="I2760" t="str">
        <f t="shared" si="68"/>
        <v>2563_1</v>
      </c>
      <c r="J2760" t="s">
        <v>533</v>
      </c>
      <c r="K2760" t="s">
        <v>115</v>
      </c>
      <c r="L2760" t="str">
        <f>_xlfn.XLOOKUP(C2760, Table2[Species],Table2[Genus], "Code Not Found")</f>
        <v>Acer</v>
      </c>
      <c r="M2760" t="str">
        <f>_xlfn.XLOOKUP(C2760, Table2[Species],Table2[Sp. Name], "Code Not Found")</f>
        <v>saccharum</v>
      </c>
      <c r="N2760" t="str">
        <f>_xlfn.XLOOKUP(C2760,Table2[Species],Table2[Family],"Code Not Found")</f>
        <v>Sapindaceae</v>
      </c>
      <c r="O2760" t="str" cm="1">
        <f t="array" ref="O2760">_xlfn.IFS(F2760="","",F2760&lt;=5,"0 to 5",F2760&lt;=10,"5.1 to 10",F2760&lt;=20,"10 to 20", F2760&lt;= 40, "20 to 40", F2760 &lt;= 50, "40 to 50", F2760 &gt; 50, "&gt;50" )</f>
        <v>10 to 20</v>
      </c>
    </row>
    <row r="2761" spans="1:15" ht="15" customHeight="1" x14ac:dyDescent="0.3">
      <c r="A2761" t="s">
        <v>566</v>
      </c>
      <c r="B2761" s="1">
        <v>46217</v>
      </c>
      <c r="C2761" t="s">
        <v>16</v>
      </c>
      <c r="D2761">
        <v>2564</v>
      </c>
      <c r="E2761">
        <v>1</v>
      </c>
      <c r="F2761">
        <v>7.2</v>
      </c>
      <c r="G2761" t="s">
        <v>17</v>
      </c>
      <c r="I2761" t="str">
        <f t="shared" si="68"/>
        <v>2564_1</v>
      </c>
      <c r="J2761" t="s">
        <v>533</v>
      </c>
      <c r="K2761" t="s">
        <v>115</v>
      </c>
      <c r="L2761" t="str">
        <f>_xlfn.XLOOKUP(C2761, Table2[Species],Table2[Genus], "Code Not Found")</f>
        <v>Acer</v>
      </c>
      <c r="M2761" t="str">
        <f>_xlfn.XLOOKUP(C2761, Table2[Species],Table2[Sp. Name], "Code Not Found")</f>
        <v>saccharum</v>
      </c>
      <c r="N2761" t="str">
        <f>_xlfn.XLOOKUP(C2761,Table2[Species],Table2[Family],"Code Not Found")</f>
        <v>Sapindaceae</v>
      </c>
      <c r="O2761" t="str" cm="1">
        <f t="array" ref="O2761">_xlfn.IFS(F2761="","",F2761&lt;=5,"0 to 5",F2761&lt;=10,"5.1 to 10",F2761&lt;=20,"10 to 20", F2761&lt;= 40, "20 to 40", F2761 &lt;= 50, "40 to 50", F2761 &gt; 50, "&gt;50" )</f>
        <v>5.1 to 10</v>
      </c>
    </row>
    <row r="2762" spans="1:15" ht="15" customHeight="1" x14ac:dyDescent="0.3">
      <c r="A2762" t="s">
        <v>566</v>
      </c>
      <c r="B2762" s="1">
        <v>46217</v>
      </c>
      <c r="C2762" t="s">
        <v>16</v>
      </c>
      <c r="D2762">
        <v>2565</v>
      </c>
      <c r="E2762">
        <v>1</v>
      </c>
      <c r="F2762">
        <v>17</v>
      </c>
      <c r="G2762" t="s">
        <v>17</v>
      </c>
      <c r="I2762" t="str">
        <f t="shared" si="68"/>
        <v>2565_1</v>
      </c>
      <c r="J2762" t="s">
        <v>533</v>
      </c>
      <c r="K2762" t="s">
        <v>115</v>
      </c>
      <c r="L2762" t="str">
        <f>_xlfn.XLOOKUP(C2762, Table2[Species],Table2[Genus], "Code Not Found")</f>
        <v>Acer</v>
      </c>
      <c r="M2762" t="str">
        <f>_xlfn.XLOOKUP(C2762, Table2[Species],Table2[Sp. Name], "Code Not Found")</f>
        <v>saccharum</v>
      </c>
      <c r="N2762" t="str">
        <f>_xlfn.XLOOKUP(C2762,Table2[Species],Table2[Family],"Code Not Found")</f>
        <v>Sapindaceae</v>
      </c>
      <c r="O2762" t="str" cm="1">
        <f t="array" ref="O2762">_xlfn.IFS(F2762="","",F2762&lt;=5,"0 to 5",F2762&lt;=10,"5.1 to 10",F2762&lt;=20,"10 to 20", F2762&lt;= 40, "20 to 40", F2762 &lt;= 50, "40 to 50", F2762 &gt; 50, "&gt;50" )</f>
        <v>10 to 20</v>
      </c>
    </row>
    <row r="2763" spans="1:15" ht="15" customHeight="1" x14ac:dyDescent="0.3">
      <c r="A2763" t="s">
        <v>566</v>
      </c>
      <c r="B2763" s="1">
        <v>46217</v>
      </c>
      <c r="C2763" t="s">
        <v>16</v>
      </c>
      <c r="D2763">
        <v>2566</v>
      </c>
      <c r="E2763">
        <v>1</v>
      </c>
      <c r="F2763">
        <v>25</v>
      </c>
      <c r="G2763" t="s">
        <v>21</v>
      </c>
      <c r="I2763" t="str">
        <f t="shared" si="68"/>
        <v>2566_1</v>
      </c>
      <c r="J2763" t="s">
        <v>533</v>
      </c>
      <c r="K2763" t="s">
        <v>115</v>
      </c>
      <c r="L2763" t="str">
        <f>_xlfn.XLOOKUP(C2763, Table2[Species],Table2[Genus], "Code Not Found")</f>
        <v>Acer</v>
      </c>
      <c r="M2763" t="str">
        <f>_xlfn.XLOOKUP(C2763, Table2[Species],Table2[Sp. Name], "Code Not Found")</f>
        <v>saccharum</v>
      </c>
      <c r="N2763" t="str">
        <f>_xlfn.XLOOKUP(C2763,Table2[Species],Table2[Family],"Code Not Found")</f>
        <v>Sapindaceae</v>
      </c>
      <c r="O2763" t="str" cm="1">
        <f t="array" ref="O2763">_xlfn.IFS(F2763="","",F2763&lt;=5,"0 to 5",F2763&lt;=10,"5.1 to 10",F2763&lt;=20,"10 to 20", F2763&lt;= 40, "20 to 40", F2763 &lt;= 50, "40 to 50", F2763 &gt; 50, "&gt;50" )</f>
        <v>20 to 40</v>
      </c>
    </row>
    <row r="2764" spans="1:15" ht="15" customHeight="1" x14ac:dyDescent="0.3">
      <c r="A2764" t="s">
        <v>566</v>
      </c>
      <c r="B2764" s="1">
        <v>46217</v>
      </c>
      <c r="C2764" t="s">
        <v>16</v>
      </c>
      <c r="D2764">
        <v>2567</v>
      </c>
      <c r="E2764">
        <v>1</v>
      </c>
      <c r="F2764">
        <v>27.4</v>
      </c>
      <c r="G2764" t="s">
        <v>17</v>
      </c>
      <c r="I2764" t="str">
        <f t="shared" si="68"/>
        <v>2567_1</v>
      </c>
      <c r="J2764" t="s">
        <v>533</v>
      </c>
      <c r="K2764" t="s">
        <v>115</v>
      </c>
      <c r="L2764" t="str">
        <f>_xlfn.XLOOKUP(C2764, Table2[Species],Table2[Genus], "Code Not Found")</f>
        <v>Acer</v>
      </c>
      <c r="M2764" t="str">
        <f>_xlfn.XLOOKUP(C2764, Table2[Species],Table2[Sp. Name], "Code Not Found")</f>
        <v>saccharum</v>
      </c>
      <c r="N2764" t="str">
        <f>_xlfn.XLOOKUP(C2764,Table2[Species],Table2[Family],"Code Not Found")</f>
        <v>Sapindaceae</v>
      </c>
      <c r="O2764" t="str" cm="1">
        <f t="array" ref="O2764">_xlfn.IFS(F2764="","",F2764&lt;=5,"0 to 5",F2764&lt;=10,"5.1 to 10",F2764&lt;=20,"10 to 20", F2764&lt;= 40, "20 to 40", F2764 &lt;= 50, "40 to 50", F2764 &gt; 50, "&gt;50" )</f>
        <v>20 to 40</v>
      </c>
    </row>
    <row r="2765" spans="1:15" ht="15" customHeight="1" x14ac:dyDescent="0.3">
      <c r="A2765" t="s">
        <v>566</v>
      </c>
      <c r="B2765" s="1">
        <v>46217</v>
      </c>
      <c r="C2765" t="s">
        <v>16</v>
      </c>
      <c r="D2765">
        <v>2568</v>
      </c>
      <c r="E2765">
        <v>1</v>
      </c>
      <c r="F2765">
        <v>12.1</v>
      </c>
      <c r="G2765" t="s">
        <v>21</v>
      </c>
      <c r="I2765" t="str">
        <f t="shared" si="68"/>
        <v>2568_1</v>
      </c>
      <c r="J2765" t="s">
        <v>533</v>
      </c>
      <c r="K2765" t="s">
        <v>115</v>
      </c>
      <c r="L2765" t="str">
        <f>_xlfn.XLOOKUP(C2765, Table2[Species],Table2[Genus], "Code Not Found")</f>
        <v>Acer</v>
      </c>
      <c r="M2765" t="str">
        <f>_xlfn.XLOOKUP(C2765, Table2[Species],Table2[Sp. Name], "Code Not Found")</f>
        <v>saccharum</v>
      </c>
      <c r="N2765" t="str">
        <f>_xlfn.XLOOKUP(C2765,Table2[Species],Table2[Family],"Code Not Found")</f>
        <v>Sapindaceae</v>
      </c>
      <c r="O2765" t="str" cm="1">
        <f t="array" ref="O2765">_xlfn.IFS(F2765="","",F2765&lt;=5,"0 to 5",F2765&lt;=10,"5.1 to 10",F2765&lt;=20,"10 to 20", F2765&lt;= 40, "20 to 40", F2765 &lt;= 50, "40 to 50", F2765 &gt; 50, "&gt;50" )</f>
        <v>10 to 20</v>
      </c>
    </row>
    <row r="2766" spans="1:15" ht="15" customHeight="1" x14ac:dyDescent="0.3">
      <c r="A2766" t="s">
        <v>566</v>
      </c>
      <c r="B2766" s="1">
        <v>46217</v>
      </c>
      <c r="C2766" t="s">
        <v>22</v>
      </c>
      <c r="D2766">
        <v>2569</v>
      </c>
      <c r="E2766">
        <v>1</v>
      </c>
      <c r="F2766">
        <v>43.3</v>
      </c>
      <c r="G2766" t="s">
        <v>17</v>
      </c>
      <c r="I2766" t="str">
        <f t="shared" si="68"/>
        <v>2569_1</v>
      </c>
      <c r="J2766" t="s">
        <v>533</v>
      </c>
      <c r="K2766" t="s">
        <v>115</v>
      </c>
      <c r="L2766" t="str">
        <f>_xlfn.XLOOKUP(C2766, Table2[Species],Table2[Genus], "Code Not Found")</f>
        <v>Acer</v>
      </c>
      <c r="M2766" t="str">
        <f>_xlfn.XLOOKUP(C2766, Table2[Species],Table2[Sp. Name], "Code Not Found")</f>
        <v>rubrum</v>
      </c>
      <c r="N2766" t="str">
        <f>_xlfn.XLOOKUP(C2766,Table2[Species],Table2[Family],"Code Not Found")</f>
        <v>Sapindaceae</v>
      </c>
      <c r="O2766" t="str" cm="1">
        <f t="array" ref="O2766">_xlfn.IFS(F2766="","",F2766&lt;=5,"0 to 5",F2766&lt;=10,"5.1 to 10",F2766&lt;=20,"10 to 20", F2766&lt;= 40, "20 to 40", F2766 &lt;= 50, "40 to 50", F2766 &gt; 50, "&gt;50" )</f>
        <v>40 to 50</v>
      </c>
    </row>
    <row r="2767" spans="1:15" ht="15" customHeight="1" x14ac:dyDescent="0.3">
      <c r="A2767" t="s">
        <v>566</v>
      </c>
      <c r="B2767" s="1">
        <v>46217</v>
      </c>
      <c r="C2767" t="s">
        <v>572</v>
      </c>
      <c r="D2767">
        <v>2570</v>
      </c>
      <c r="E2767">
        <v>1</v>
      </c>
      <c r="F2767">
        <v>24.3</v>
      </c>
      <c r="G2767" t="s">
        <v>21</v>
      </c>
      <c r="I2767" t="str">
        <f t="shared" si="68"/>
        <v>2570_1</v>
      </c>
      <c r="J2767" t="s">
        <v>533</v>
      </c>
      <c r="K2767" t="s">
        <v>115</v>
      </c>
      <c r="L2767" t="str">
        <f>_xlfn.XLOOKUP(C2767, Table2[Species],Table2[Genus], "Code Not Found")</f>
        <v>Carya</v>
      </c>
      <c r="M2767" t="str">
        <f>_xlfn.XLOOKUP(C2767, Table2[Species],Table2[Sp. Name], "Code Not Found")</f>
        <v>ovata</v>
      </c>
      <c r="N2767" t="str">
        <f>_xlfn.XLOOKUP(C2767,Table2[Species],Table2[Family],"Code Not Found")</f>
        <v>Juglandaceae</v>
      </c>
      <c r="O2767" t="str" cm="1">
        <f t="array" ref="O2767">_xlfn.IFS(F2767="","",F2767&lt;=5,"0 to 5",F2767&lt;=10,"5.1 to 10",F2767&lt;=20,"10 to 20", F2767&lt;= 40, "20 to 40", F2767 &lt;= 50, "40 to 50", F2767 &gt; 50, "&gt;50" )</f>
        <v>20 to 40</v>
      </c>
    </row>
    <row r="2768" spans="1:15" ht="15" customHeight="1" x14ac:dyDescent="0.3">
      <c r="A2768" t="s">
        <v>566</v>
      </c>
      <c r="B2768" s="1">
        <v>46217</v>
      </c>
      <c r="C2768" t="s">
        <v>22</v>
      </c>
      <c r="D2768">
        <v>2571</v>
      </c>
      <c r="E2768">
        <v>1</v>
      </c>
      <c r="F2768">
        <v>40</v>
      </c>
      <c r="G2768" t="s">
        <v>21</v>
      </c>
      <c r="I2768" t="str">
        <f t="shared" si="68"/>
        <v>2571_1</v>
      </c>
      <c r="J2768" t="s">
        <v>533</v>
      </c>
      <c r="K2768" t="s">
        <v>115</v>
      </c>
      <c r="L2768" t="str">
        <f>_xlfn.XLOOKUP(C2768, Table2[Species],Table2[Genus], "Code Not Found")</f>
        <v>Acer</v>
      </c>
      <c r="M2768" t="str">
        <f>_xlfn.XLOOKUP(C2768, Table2[Species],Table2[Sp. Name], "Code Not Found")</f>
        <v>rubrum</v>
      </c>
      <c r="N2768" t="str">
        <f>_xlfn.XLOOKUP(C2768,Table2[Species],Table2[Family],"Code Not Found")</f>
        <v>Sapindaceae</v>
      </c>
      <c r="O2768" t="str" cm="1">
        <f t="array" ref="O2768">_xlfn.IFS(F2768="","",F2768&lt;=5,"0 to 5",F2768&lt;=10,"5.1 to 10",F2768&lt;=20,"10 to 20", F2768&lt;= 40, "20 to 40", F2768 &lt;= 50, "40 to 50", F2768 &gt; 50, "&gt;50" )</f>
        <v>20 to 40</v>
      </c>
    </row>
    <row r="2769" spans="1:15" ht="15" customHeight="1" x14ac:dyDescent="0.3">
      <c r="A2769" t="s">
        <v>566</v>
      </c>
      <c r="B2769" s="1">
        <v>46217</v>
      </c>
      <c r="C2769" t="s">
        <v>16</v>
      </c>
      <c r="D2769">
        <v>2572</v>
      </c>
      <c r="E2769">
        <v>1</v>
      </c>
      <c r="F2769">
        <v>6.7</v>
      </c>
      <c r="G2769" t="s">
        <v>17</v>
      </c>
      <c r="H2769" t="s">
        <v>36</v>
      </c>
      <c r="I2769" t="str">
        <f t="shared" si="68"/>
        <v>2572_1</v>
      </c>
      <c r="J2769" t="s">
        <v>533</v>
      </c>
      <c r="K2769" t="s">
        <v>115</v>
      </c>
      <c r="L2769" t="str">
        <f>_xlfn.XLOOKUP(C2769, Table2[Species],Table2[Genus], "Code Not Found")</f>
        <v>Acer</v>
      </c>
      <c r="M2769" t="str">
        <f>_xlfn.XLOOKUP(C2769, Table2[Species],Table2[Sp. Name], "Code Not Found")</f>
        <v>saccharum</v>
      </c>
      <c r="N2769" t="str">
        <f>_xlfn.XLOOKUP(C2769,Table2[Species],Table2[Family],"Code Not Found")</f>
        <v>Sapindaceae</v>
      </c>
      <c r="O2769" t="str" cm="1">
        <f t="array" ref="O2769">_xlfn.IFS(F2769="","",F2769&lt;=5,"0 to 5",F2769&lt;=10,"5.1 to 10",F2769&lt;=20,"10 to 20", F2769&lt;= 40, "20 to 40", F2769 &lt;= 50, "40 to 50", F2769 &gt; 50, "&gt;50" )</f>
        <v>5.1 to 10</v>
      </c>
    </row>
    <row r="2770" spans="1:15" ht="15" customHeight="1" x14ac:dyDescent="0.3">
      <c r="A2770" t="s">
        <v>566</v>
      </c>
      <c r="B2770" s="1">
        <v>46217</v>
      </c>
      <c r="C2770" t="s">
        <v>16</v>
      </c>
      <c r="D2770">
        <v>2573</v>
      </c>
      <c r="E2770">
        <v>1</v>
      </c>
      <c r="F2770">
        <v>24.9</v>
      </c>
      <c r="G2770" t="s">
        <v>573</v>
      </c>
      <c r="H2770" t="s">
        <v>347</v>
      </c>
      <c r="I2770" t="str">
        <f t="shared" si="68"/>
        <v>2573_1</v>
      </c>
      <c r="J2770" t="s">
        <v>533</v>
      </c>
      <c r="K2770" t="s">
        <v>115</v>
      </c>
      <c r="L2770" t="str">
        <f>_xlfn.XLOOKUP(C2770, Table2[Species],Table2[Genus], "Code Not Found")</f>
        <v>Acer</v>
      </c>
      <c r="M2770" t="str">
        <f>_xlfn.XLOOKUP(C2770, Table2[Species],Table2[Sp. Name], "Code Not Found")</f>
        <v>saccharum</v>
      </c>
      <c r="N2770" t="str">
        <f>_xlfn.XLOOKUP(C2770,Table2[Species],Table2[Family],"Code Not Found")</f>
        <v>Sapindaceae</v>
      </c>
      <c r="O2770" t="str" cm="1">
        <f t="array" ref="O2770">_xlfn.IFS(F2770="","",F2770&lt;=5,"0 to 5",F2770&lt;=10,"5.1 to 10",F2770&lt;=20,"10 to 20", F2770&lt;= 40, "20 to 40", F2770 &lt;= 50, "40 to 50", F2770 &gt; 50, "&gt;50" )</f>
        <v>20 to 40</v>
      </c>
    </row>
    <row r="2771" spans="1:15" ht="15" customHeight="1" x14ac:dyDescent="0.3">
      <c r="A2771" t="s">
        <v>566</v>
      </c>
      <c r="B2771" s="1">
        <v>46217</v>
      </c>
      <c r="C2771" t="s">
        <v>16</v>
      </c>
      <c r="D2771">
        <v>2574</v>
      </c>
      <c r="E2771">
        <v>1</v>
      </c>
      <c r="F2771">
        <v>10.7</v>
      </c>
      <c r="G2771" t="s">
        <v>21</v>
      </c>
      <c r="I2771" t="str">
        <f t="shared" si="68"/>
        <v>2574_1</v>
      </c>
      <c r="J2771" t="s">
        <v>533</v>
      </c>
      <c r="K2771" t="s">
        <v>115</v>
      </c>
      <c r="L2771" t="str">
        <f>_xlfn.XLOOKUP(C2771, Table2[Species],Table2[Genus], "Code Not Found")</f>
        <v>Acer</v>
      </c>
      <c r="M2771" t="str">
        <f>_xlfn.XLOOKUP(C2771, Table2[Species],Table2[Sp. Name], "Code Not Found")</f>
        <v>saccharum</v>
      </c>
      <c r="N2771" t="str">
        <f>_xlfn.XLOOKUP(C2771,Table2[Species],Table2[Family],"Code Not Found")</f>
        <v>Sapindaceae</v>
      </c>
      <c r="O2771" t="str" cm="1">
        <f t="array" ref="O2771">_xlfn.IFS(F2771="","",F2771&lt;=5,"0 to 5",F2771&lt;=10,"5.1 to 10",F2771&lt;=20,"10 to 20", F2771&lt;= 40, "20 to 40", F2771 &lt;= 50, "40 to 50", F2771 &gt; 50, "&gt;50" )</f>
        <v>10 to 20</v>
      </c>
    </row>
    <row r="2772" spans="1:15" ht="15" customHeight="1" x14ac:dyDescent="0.3">
      <c r="A2772" t="s">
        <v>566</v>
      </c>
      <c r="B2772" s="1">
        <v>46217</v>
      </c>
      <c r="C2772" t="s">
        <v>16</v>
      </c>
      <c r="D2772">
        <v>2575</v>
      </c>
      <c r="E2772">
        <v>1</v>
      </c>
      <c r="F2772">
        <v>7.4</v>
      </c>
      <c r="G2772" t="s">
        <v>17</v>
      </c>
      <c r="I2772" t="str">
        <f t="shared" si="68"/>
        <v>2575_1</v>
      </c>
      <c r="J2772" t="s">
        <v>533</v>
      </c>
      <c r="K2772" t="s">
        <v>115</v>
      </c>
      <c r="L2772" t="str">
        <f>_xlfn.XLOOKUP(C2772, Table2[Species],Table2[Genus], "Code Not Found")</f>
        <v>Acer</v>
      </c>
      <c r="M2772" t="str">
        <f>_xlfn.XLOOKUP(C2772, Table2[Species],Table2[Sp. Name], "Code Not Found")</f>
        <v>saccharum</v>
      </c>
      <c r="N2772" t="str">
        <f>_xlfn.XLOOKUP(C2772,Table2[Species],Table2[Family],"Code Not Found")</f>
        <v>Sapindaceae</v>
      </c>
      <c r="O2772" t="str" cm="1">
        <f t="array" ref="O2772">_xlfn.IFS(F2772="","",F2772&lt;=5,"0 to 5",F2772&lt;=10,"5.1 to 10",F2772&lt;=20,"10 to 20", F2772&lt;= 40, "20 to 40", F2772 &lt;= 50, "40 to 50", F2772 &gt; 50, "&gt;50" )</f>
        <v>5.1 to 10</v>
      </c>
    </row>
    <row r="2773" spans="1:15" ht="15" customHeight="1" x14ac:dyDescent="0.3">
      <c r="A2773" t="s">
        <v>566</v>
      </c>
      <c r="B2773" s="1">
        <v>46217</v>
      </c>
      <c r="C2773" t="s">
        <v>16</v>
      </c>
      <c r="D2773">
        <v>2576</v>
      </c>
      <c r="E2773">
        <v>1</v>
      </c>
      <c r="F2773">
        <v>6.6</v>
      </c>
      <c r="G2773" t="s">
        <v>56</v>
      </c>
      <c r="I2773" t="str">
        <f t="shared" si="68"/>
        <v>2576_1</v>
      </c>
      <c r="J2773" t="s">
        <v>533</v>
      </c>
      <c r="K2773" t="s">
        <v>115</v>
      </c>
      <c r="L2773" t="str">
        <f>_xlfn.XLOOKUP(C2773, Table2[Species],Table2[Genus], "Code Not Found")</f>
        <v>Acer</v>
      </c>
      <c r="M2773" t="str">
        <f>_xlfn.XLOOKUP(C2773, Table2[Species],Table2[Sp. Name], "Code Not Found")</f>
        <v>saccharum</v>
      </c>
      <c r="N2773" t="str">
        <f>_xlfn.XLOOKUP(C2773,Table2[Species],Table2[Family],"Code Not Found")</f>
        <v>Sapindaceae</v>
      </c>
      <c r="O2773" t="str" cm="1">
        <f t="array" ref="O2773">_xlfn.IFS(F2773="","",F2773&lt;=5,"0 to 5",F2773&lt;=10,"5.1 to 10",F2773&lt;=20,"10 to 20", F2773&lt;= 40, "20 to 40", F2773 &lt;= 50, "40 to 50", F2773 &gt; 50, "&gt;50" )</f>
        <v>5.1 to 10</v>
      </c>
    </row>
    <row r="2774" spans="1:15" ht="15" customHeight="1" x14ac:dyDescent="0.3">
      <c r="A2774" t="s">
        <v>566</v>
      </c>
      <c r="B2774" s="1">
        <v>46217</v>
      </c>
      <c r="C2774" t="s">
        <v>16</v>
      </c>
      <c r="D2774">
        <v>2577</v>
      </c>
      <c r="E2774">
        <v>1</v>
      </c>
      <c r="F2774">
        <v>3.3</v>
      </c>
      <c r="G2774" t="s">
        <v>574</v>
      </c>
      <c r="H2774" t="s">
        <v>575</v>
      </c>
      <c r="I2774" t="str">
        <f t="shared" si="68"/>
        <v>2577_1</v>
      </c>
      <c r="J2774" t="s">
        <v>533</v>
      </c>
      <c r="K2774" t="s">
        <v>115</v>
      </c>
      <c r="L2774" t="str">
        <f>_xlfn.XLOOKUP(C2774, Table2[Species],Table2[Genus], "Code Not Found")</f>
        <v>Acer</v>
      </c>
      <c r="M2774" t="str">
        <f>_xlfn.XLOOKUP(C2774, Table2[Species],Table2[Sp. Name], "Code Not Found")</f>
        <v>saccharum</v>
      </c>
      <c r="N2774" t="str">
        <f>_xlfn.XLOOKUP(C2774,Table2[Species],Table2[Family],"Code Not Found")</f>
        <v>Sapindaceae</v>
      </c>
      <c r="O2774" t="str" cm="1">
        <f t="array" ref="O2774">_xlfn.IFS(F2774="","",F2774&lt;=5,"0 to 5",F2774&lt;=10,"5.1 to 10",F2774&lt;=20,"10 to 20", F2774&lt;= 40, "20 to 40", F2774 &lt;= 50, "40 to 50", F2774 &gt; 50, "&gt;50" )</f>
        <v>0 to 5</v>
      </c>
    </row>
    <row r="2775" spans="1:15" ht="15" customHeight="1" x14ac:dyDescent="0.3">
      <c r="A2775" t="s">
        <v>566</v>
      </c>
      <c r="B2775" s="1">
        <v>46217</v>
      </c>
      <c r="C2775" t="s">
        <v>123</v>
      </c>
      <c r="D2775">
        <v>2578</v>
      </c>
      <c r="E2775">
        <v>1</v>
      </c>
      <c r="F2775">
        <v>71.3</v>
      </c>
      <c r="G2775" t="s">
        <v>21</v>
      </c>
      <c r="I2775" t="str">
        <f t="shared" si="68"/>
        <v>2578_1</v>
      </c>
      <c r="J2775" t="s">
        <v>533</v>
      </c>
      <c r="K2775" t="s">
        <v>115</v>
      </c>
      <c r="L2775" t="str">
        <f>_xlfn.XLOOKUP(C2775, Table2[Species],Table2[Genus], "Code Not Found")</f>
        <v>Quercus</v>
      </c>
      <c r="M2775" t="str">
        <f>_xlfn.XLOOKUP(C2775, Table2[Species],Table2[Sp. Name], "Code Not Found")</f>
        <v>rubra</v>
      </c>
      <c r="N2775" t="str">
        <f>_xlfn.XLOOKUP(C2775,Table2[Species],Table2[Family],"Code Not Found")</f>
        <v>Fagaceae</v>
      </c>
      <c r="O2775" t="str" cm="1">
        <f t="array" ref="O2775">_xlfn.IFS(F2775="","",F2775&lt;=5,"0 to 5",F2775&lt;=10,"5.1 to 10",F2775&lt;=20,"10 to 20", F2775&lt;= 40, "20 to 40", F2775 &lt;= 50, "40 to 50", F2775 &gt; 50, "&gt;50" )</f>
        <v>&gt;50</v>
      </c>
    </row>
    <row r="2776" spans="1:15" ht="15" customHeight="1" x14ac:dyDescent="0.3">
      <c r="A2776" t="s">
        <v>566</v>
      </c>
      <c r="B2776" s="1">
        <v>46217</v>
      </c>
      <c r="C2776" t="s">
        <v>16</v>
      </c>
      <c r="D2776">
        <v>2579</v>
      </c>
      <c r="E2776">
        <v>1</v>
      </c>
      <c r="F2776">
        <v>3.9</v>
      </c>
      <c r="G2776" t="s">
        <v>17</v>
      </c>
      <c r="I2776" t="str">
        <f t="shared" si="68"/>
        <v>2579_1</v>
      </c>
      <c r="J2776" t="s">
        <v>533</v>
      </c>
      <c r="K2776" t="s">
        <v>115</v>
      </c>
      <c r="L2776" t="str">
        <f>_xlfn.XLOOKUP(C2776, Table2[Species],Table2[Genus], "Code Not Found")</f>
        <v>Acer</v>
      </c>
      <c r="M2776" t="str">
        <f>_xlfn.XLOOKUP(C2776, Table2[Species],Table2[Sp. Name], "Code Not Found")</f>
        <v>saccharum</v>
      </c>
      <c r="N2776" t="str">
        <f>_xlfn.XLOOKUP(C2776,Table2[Species],Table2[Family],"Code Not Found")</f>
        <v>Sapindaceae</v>
      </c>
      <c r="O2776" t="str" cm="1">
        <f t="array" ref="O2776">_xlfn.IFS(F2776="","",F2776&lt;=5,"0 to 5",F2776&lt;=10,"5.1 to 10",F2776&lt;=20,"10 to 20", F2776&lt;= 40, "20 to 40", F2776 &lt;= 50, "40 to 50", F2776 &gt; 50, "&gt;50" )</f>
        <v>0 to 5</v>
      </c>
    </row>
    <row r="2777" spans="1:15" ht="15" customHeight="1" x14ac:dyDescent="0.3">
      <c r="A2777" t="s">
        <v>566</v>
      </c>
      <c r="B2777" s="1">
        <v>46217</v>
      </c>
      <c r="C2777" t="s">
        <v>16</v>
      </c>
      <c r="D2777">
        <v>2580</v>
      </c>
      <c r="E2777">
        <v>1</v>
      </c>
      <c r="F2777">
        <v>10.6</v>
      </c>
      <c r="G2777" t="s">
        <v>21</v>
      </c>
      <c r="I2777" t="str">
        <f t="shared" si="68"/>
        <v>2580_1</v>
      </c>
      <c r="J2777" t="s">
        <v>533</v>
      </c>
      <c r="K2777" t="s">
        <v>115</v>
      </c>
      <c r="L2777" t="str">
        <f>_xlfn.XLOOKUP(C2777, Table2[Species],Table2[Genus], "Code Not Found")</f>
        <v>Acer</v>
      </c>
      <c r="M2777" t="str">
        <f>_xlfn.XLOOKUP(C2777, Table2[Species],Table2[Sp. Name], "Code Not Found")</f>
        <v>saccharum</v>
      </c>
      <c r="N2777" t="str">
        <f>_xlfn.XLOOKUP(C2777,Table2[Species],Table2[Family],"Code Not Found")</f>
        <v>Sapindaceae</v>
      </c>
      <c r="O2777" t="str" cm="1">
        <f t="array" ref="O2777">_xlfn.IFS(F2777="","",F2777&lt;=5,"0 to 5",F2777&lt;=10,"5.1 to 10",F2777&lt;=20,"10 to 20", F2777&lt;= 40, "20 to 40", F2777 &lt;= 50, "40 to 50", F2777 &gt; 50, "&gt;50" )</f>
        <v>10 to 20</v>
      </c>
    </row>
    <row r="2778" spans="1:15" ht="15" customHeight="1" x14ac:dyDescent="0.3">
      <c r="A2778" t="s">
        <v>566</v>
      </c>
      <c r="B2778" s="1">
        <v>46217</v>
      </c>
      <c r="C2778" t="s">
        <v>16</v>
      </c>
      <c r="D2778">
        <v>2581</v>
      </c>
      <c r="E2778">
        <v>1</v>
      </c>
      <c r="F2778">
        <v>25.4</v>
      </c>
      <c r="G2778" t="s">
        <v>17</v>
      </c>
      <c r="I2778" t="str">
        <f t="shared" si="68"/>
        <v>2581_1</v>
      </c>
      <c r="J2778" t="s">
        <v>533</v>
      </c>
      <c r="K2778" t="s">
        <v>115</v>
      </c>
      <c r="L2778" t="str">
        <f>_xlfn.XLOOKUP(C2778, Table2[Species],Table2[Genus], "Code Not Found")</f>
        <v>Acer</v>
      </c>
      <c r="M2778" t="str">
        <f>_xlfn.XLOOKUP(C2778, Table2[Species],Table2[Sp. Name], "Code Not Found")</f>
        <v>saccharum</v>
      </c>
      <c r="N2778" t="str">
        <f>_xlfn.XLOOKUP(C2778,Table2[Species],Table2[Family],"Code Not Found")</f>
        <v>Sapindaceae</v>
      </c>
      <c r="O2778" t="str" cm="1">
        <f t="array" ref="O2778">_xlfn.IFS(F2778="","",F2778&lt;=5,"0 to 5",F2778&lt;=10,"5.1 to 10",F2778&lt;=20,"10 to 20", F2778&lt;= 40, "20 to 40", F2778 &lt;= 50, "40 to 50", F2778 &gt; 50, "&gt;50" )</f>
        <v>20 to 40</v>
      </c>
    </row>
    <row r="2779" spans="1:15" ht="15" customHeight="1" x14ac:dyDescent="0.3">
      <c r="A2779" t="s">
        <v>566</v>
      </c>
      <c r="B2779" s="1">
        <v>46217</v>
      </c>
      <c r="C2779" t="s">
        <v>16</v>
      </c>
      <c r="D2779">
        <v>2582</v>
      </c>
      <c r="E2779">
        <v>1</v>
      </c>
      <c r="F2779">
        <v>9.9</v>
      </c>
      <c r="G2779" t="s">
        <v>30</v>
      </c>
      <c r="H2779" t="s">
        <v>99</v>
      </c>
      <c r="I2779" t="str">
        <f t="shared" si="68"/>
        <v>2582_1</v>
      </c>
      <c r="J2779" t="s">
        <v>533</v>
      </c>
      <c r="K2779" t="s">
        <v>115</v>
      </c>
      <c r="L2779" t="str">
        <f>_xlfn.XLOOKUP(C2779, Table2[Species],Table2[Genus], "Code Not Found")</f>
        <v>Acer</v>
      </c>
      <c r="M2779" t="str">
        <f>_xlfn.XLOOKUP(C2779, Table2[Species],Table2[Sp. Name], "Code Not Found")</f>
        <v>saccharum</v>
      </c>
      <c r="N2779" t="str">
        <f>_xlfn.XLOOKUP(C2779,Table2[Species],Table2[Family],"Code Not Found")</f>
        <v>Sapindaceae</v>
      </c>
      <c r="O2779" t="str" cm="1">
        <f t="array" ref="O2779">_xlfn.IFS(F2779="","",F2779&lt;=5,"0 to 5",F2779&lt;=10,"5.1 to 10",F2779&lt;=20,"10 to 20", F2779&lt;= 40, "20 to 40", F2779 &lt;= 50, "40 to 50", F2779 &gt; 50, "&gt;50" )</f>
        <v>5.1 to 10</v>
      </c>
    </row>
    <row r="2780" spans="1:15" ht="15" customHeight="1" x14ac:dyDescent="0.3">
      <c r="A2780" t="s">
        <v>566</v>
      </c>
      <c r="B2780" s="1">
        <v>46217</v>
      </c>
      <c r="C2780" t="s">
        <v>16</v>
      </c>
      <c r="D2780">
        <v>2583</v>
      </c>
      <c r="E2780">
        <v>1</v>
      </c>
      <c r="F2780">
        <v>38</v>
      </c>
      <c r="G2780" t="s">
        <v>17</v>
      </c>
      <c r="I2780" t="str">
        <f t="shared" si="68"/>
        <v>2583_1</v>
      </c>
      <c r="J2780" t="s">
        <v>533</v>
      </c>
      <c r="K2780" t="s">
        <v>115</v>
      </c>
      <c r="L2780" t="str">
        <f>_xlfn.XLOOKUP(C2780, Table2[Species],Table2[Genus], "Code Not Found")</f>
        <v>Acer</v>
      </c>
      <c r="M2780" t="str">
        <f>_xlfn.XLOOKUP(C2780, Table2[Species],Table2[Sp. Name], "Code Not Found")</f>
        <v>saccharum</v>
      </c>
      <c r="N2780" t="str">
        <f>_xlfn.XLOOKUP(C2780,Table2[Species],Table2[Family],"Code Not Found")</f>
        <v>Sapindaceae</v>
      </c>
      <c r="O2780" t="str" cm="1">
        <f t="array" ref="O2780">_xlfn.IFS(F2780="","",F2780&lt;=5,"0 to 5",F2780&lt;=10,"5.1 to 10",F2780&lt;=20,"10 to 20", F2780&lt;= 40, "20 to 40", F2780 &lt;= 50, "40 to 50", F2780 &gt; 50, "&gt;50" )</f>
        <v>20 to 40</v>
      </c>
    </row>
    <row r="2781" spans="1:15" ht="15" customHeight="1" x14ac:dyDescent="0.3">
      <c r="A2781" t="s">
        <v>566</v>
      </c>
      <c r="B2781" s="1">
        <v>46217</v>
      </c>
      <c r="C2781" t="s">
        <v>117</v>
      </c>
      <c r="D2781">
        <v>2584</v>
      </c>
      <c r="E2781">
        <v>1</v>
      </c>
      <c r="F2781">
        <v>3.4</v>
      </c>
      <c r="G2781" t="s">
        <v>21</v>
      </c>
      <c r="I2781" t="str">
        <f t="shared" si="68"/>
        <v>2584_1</v>
      </c>
      <c r="J2781" t="s">
        <v>533</v>
      </c>
      <c r="K2781" t="s">
        <v>115</v>
      </c>
      <c r="L2781" t="str">
        <f>_xlfn.XLOOKUP(C2781, Table2[Species],Table2[Genus], "Code Not Found")</f>
        <v>Ostrya</v>
      </c>
      <c r="M2781" t="str">
        <f>_xlfn.XLOOKUP(C2781, Table2[Species],Table2[Sp. Name], "Code Not Found")</f>
        <v>viginiana</v>
      </c>
      <c r="N2781" t="str">
        <f>_xlfn.XLOOKUP(C2781,Table2[Species],Table2[Family],"Code Not Found")</f>
        <v>Betulaceae</v>
      </c>
      <c r="O2781" t="str" cm="1">
        <f t="array" ref="O2781">_xlfn.IFS(F2781="","",F2781&lt;=5,"0 to 5",F2781&lt;=10,"5.1 to 10",F2781&lt;=20,"10 to 20", F2781&lt;= 40, "20 to 40", F2781 &lt;= 50, "40 to 50", F2781 &gt; 50, "&gt;50" )</f>
        <v>0 to 5</v>
      </c>
    </row>
    <row r="2782" spans="1:15" ht="15" customHeight="1" x14ac:dyDescent="0.3">
      <c r="A2782" t="s">
        <v>566</v>
      </c>
      <c r="B2782" s="1">
        <v>46217</v>
      </c>
      <c r="C2782" t="s">
        <v>16</v>
      </c>
      <c r="D2782">
        <v>2585</v>
      </c>
      <c r="E2782">
        <v>1</v>
      </c>
      <c r="F2782">
        <v>4.5999999999999996</v>
      </c>
      <c r="G2782" t="s">
        <v>47</v>
      </c>
      <c r="H2782" t="s">
        <v>296</v>
      </c>
      <c r="I2782" t="str">
        <f t="shared" si="68"/>
        <v>2585_1</v>
      </c>
      <c r="J2782" t="s">
        <v>533</v>
      </c>
      <c r="K2782" t="s">
        <v>115</v>
      </c>
      <c r="L2782" t="str">
        <f>_xlfn.XLOOKUP(C2782, Table2[Species],Table2[Genus], "Code Not Found")</f>
        <v>Acer</v>
      </c>
      <c r="M2782" t="str">
        <f>_xlfn.XLOOKUP(C2782, Table2[Species],Table2[Sp. Name], "Code Not Found")</f>
        <v>saccharum</v>
      </c>
      <c r="N2782" t="str">
        <f>_xlfn.XLOOKUP(C2782,Table2[Species],Table2[Family],"Code Not Found")</f>
        <v>Sapindaceae</v>
      </c>
      <c r="O2782" t="str" cm="1">
        <f t="array" ref="O2782">_xlfn.IFS(F2782="","",F2782&lt;=5,"0 to 5",F2782&lt;=10,"5.1 to 10",F2782&lt;=20,"10 to 20", F2782&lt;= 40, "20 to 40", F2782 &lt;= 50, "40 to 50", F2782 &gt; 50, "&gt;50" )</f>
        <v>0 to 5</v>
      </c>
    </row>
    <row r="2783" spans="1:15" ht="15" customHeight="1" x14ac:dyDescent="0.3">
      <c r="A2783" t="s">
        <v>566</v>
      </c>
      <c r="B2783" s="1">
        <v>46217</v>
      </c>
      <c r="C2783" t="s">
        <v>16</v>
      </c>
      <c r="D2783">
        <v>2586</v>
      </c>
      <c r="E2783">
        <v>1</v>
      </c>
      <c r="F2783">
        <v>9.5</v>
      </c>
      <c r="G2783" t="s">
        <v>17</v>
      </c>
      <c r="H2783" t="s">
        <v>36</v>
      </c>
      <c r="I2783" t="str">
        <f t="shared" si="68"/>
        <v>2586_1</v>
      </c>
      <c r="J2783" t="s">
        <v>533</v>
      </c>
      <c r="K2783" t="s">
        <v>115</v>
      </c>
      <c r="L2783" t="str">
        <f>_xlfn.XLOOKUP(C2783, Table2[Species],Table2[Genus], "Code Not Found")</f>
        <v>Acer</v>
      </c>
      <c r="M2783" t="str">
        <f>_xlfn.XLOOKUP(C2783, Table2[Species],Table2[Sp. Name], "Code Not Found")</f>
        <v>saccharum</v>
      </c>
      <c r="N2783" t="str">
        <f>_xlfn.XLOOKUP(C2783,Table2[Species],Table2[Family],"Code Not Found")</f>
        <v>Sapindaceae</v>
      </c>
      <c r="O2783" t="str" cm="1">
        <f t="array" ref="O2783">_xlfn.IFS(F2783="","",F2783&lt;=5,"0 to 5",F2783&lt;=10,"5.1 to 10",F2783&lt;=20,"10 to 20", F2783&lt;= 40, "20 to 40", F2783 &lt;= 50, "40 to 50", F2783 &gt; 50, "&gt;50" )</f>
        <v>5.1 to 10</v>
      </c>
    </row>
    <row r="2784" spans="1:15" ht="15" customHeight="1" x14ac:dyDescent="0.3">
      <c r="A2784" t="s">
        <v>566</v>
      </c>
      <c r="B2784" s="1">
        <v>46217</v>
      </c>
      <c r="C2784" t="s">
        <v>572</v>
      </c>
      <c r="D2784">
        <v>2587</v>
      </c>
      <c r="E2784">
        <v>1</v>
      </c>
      <c r="F2784">
        <v>18.7</v>
      </c>
      <c r="G2784" t="s">
        <v>17</v>
      </c>
      <c r="I2784" t="str">
        <f t="shared" ref="I2784:I2811" si="69">D2784&amp;"_"&amp;E2784</f>
        <v>2587_1</v>
      </c>
      <c r="J2784" t="s">
        <v>533</v>
      </c>
      <c r="K2784" t="s">
        <v>115</v>
      </c>
      <c r="L2784" t="str">
        <f>_xlfn.XLOOKUP(C2784, Table2[Species],Table2[Genus], "Code Not Found")</f>
        <v>Carya</v>
      </c>
      <c r="M2784" t="str">
        <f>_xlfn.XLOOKUP(C2784, Table2[Species],Table2[Sp. Name], "Code Not Found")</f>
        <v>ovata</v>
      </c>
      <c r="N2784" t="str">
        <f>_xlfn.XLOOKUP(C2784,Table2[Species],Table2[Family],"Code Not Found")</f>
        <v>Juglandaceae</v>
      </c>
      <c r="O2784" t="str" cm="1">
        <f t="array" ref="O2784">_xlfn.IFS(F2784="","",F2784&lt;=5,"0 to 5",F2784&lt;=10,"5.1 to 10",F2784&lt;=20,"10 to 20", F2784&lt;= 40, "20 to 40", F2784 &lt;= 50, "40 to 50", F2784 &gt; 50, "&gt;50" )</f>
        <v>10 to 20</v>
      </c>
    </row>
    <row r="2785" spans="1:15" ht="15" customHeight="1" x14ac:dyDescent="0.3">
      <c r="A2785" t="s">
        <v>566</v>
      </c>
      <c r="B2785" s="1">
        <v>46217</v>
      </c>
      <c r="C2785" t="s">
        <v>16</v>
      </c>
      <c r="D2785">
        <v>2588</v>
      </c>
      <c r="E2785">
        <v>1</v>
      </c>
      <c r="F2785">
        <v>8.8000000000000007</v>
      </c>
      <c r="G2785" t="s">
        <v>21</v>
      </c>
      <c r="I2785" t="str">
        <f t="shared" si="69"/>
        <v>2588_1</v>
      </c>
      <c r="J2785" t="s">
        <v>533</v>
      </c>
      <c r="K2785" t="s">
        <v>115</v>
      </c>
      <c r="L2785" t="str">
        <f>_xlfn.XLOOKUP(C2785, Table2[Species],Table2[Genus], "Code Not Found")</f>
        <v>Acer</v>
      </c>
      <c r="M2785" t="str">
        <f>_xlfn.XLOOKUP(C2785, Table2[Species],Table2[Sp. Name], "Code Not Found")</f>
        <v>saccharum</v>
      </c>
      <c r="N2785" t="str">
        <f>_xlfn.XLOOKUP(C2785,Table2[Species],Table2[Family],"Code Not Found")</f>
        <v>Sapindaceae</v>
      </c>
      <c r="O2785" t="str" cm="1">
        <f t="array" ref="O2785">_xlfn.IFS(F2785="","",F2785&lt;=5,"0 to 5",F2785&lt;=10,"5.1 to 10",F2785&lt;=20,"10 to 20", F2785&lt;= 40, "20 to 40", F2785 &lt;= 50, "40 to 50", F2785 &gt; 50, "&gt;50" )</f>
        <v>5.1 to 10</v>
      </c>
    </row>
    <row r="2786" spans="1:15" ht="15" customHeight="1" x14ac:dyDescent="0.3">
      <c r="A2786" t="s">
        <v>566</v>
      </c>
      <c r="B2786" s="1">
        <v>46217</v>
      </c>
      <c r="C2786" t="s">
        <v>16</v>
      </c>
      <c r="D2786">
        <v>2589</v>
      </c>
      <c r="E2786">
        <v>1</v>
      </c>
      <c r="F2786">
        <v>3</v>
      </c>
      <c r="G2786" t="s">
        <v>47</v>
      </c>
      <c r="H2786" t="s">
        <v>296</v>
      </c>
      <c r="I2786" t="str">
        <f t="shared" si="69"/>
        <v>2589_1</v>
      </c>
      <c r="J2786" t="s">
        <v>533</v>
      </c>
      <c r="K2786" t="s">
        <v>115</v>
      </c>
      <c r="L2786" t="str">
        <f>_xlfn.XLOOKUP(C2786, Table2[Species],Table2[Genus], "Code Not Found")</f>
        <v>Acer</v>
      </c>
      <c r="M2786" t="str">
        <f>_xlfn.XLOOKUP(C2786, Table2[Species],Table2[Sp. Name], "Code Not Found")</f>
        <v>saccharum</v>
      </c>
      <c r="N2786" t="str">
        <f>_xlfn.XLOOKUP(C2786,Table2[Species],Table2[Family],"Code Not Found")</f>
        <v>Sapindaceae</v>
      </c>
      <c r="O2786" t="str" cm="1">
        <f t="array" ref="O2786">_xlfn.IFS(F2786="","",F2786&lt;=5,"0 to 5",F2786&lt;=10,"5.1 to 10",F2786&lt;=20,"10 to 20", F2786&lt;= 40, "20 to 40", F2786 &lt;= 50, "40 to 50", F2786 &gt; 50, "&gt;50" )</f>
        <v>0 to 5</v>
      </c>
    </row>
    <row r="2787" spans="1:15" ht="15" customHeight="1" x14ac:dyDescent="0.3">
      <c r="A2787" t="s">
        <v>566</v>
      </c>
      <c r="B2787" s="1">
        <v>46217</v>
      </c>
      <c r="C2787" t="s">
        <v>16</v>
      </c>
      <c r="D2787">
        <v>2590</v>
      </c>
      <c r="E2787">
        <v>1</v>
      </c>
      <c r="F2787">
        <v>4.5</v>
      </c>
      <c r="G2787" t="s">
        <v>21</v>
      </c>
      <c r="I2787" t="str">
        <f t="shared" si="69"/>
        <v>2590_1</v>
      </c>
      <c r="J2787" t="s">
        <v>533</v>
      </c>
      <c r="K2787" t="s">
        <v>115</v>
      </c>
      <c r="L2787" t="str">
        <f>_xlfn.XLOOKUP(C2787, Table2[Species],Table2[Genus], "Code Not Found")</f>
        <v>Acer</v>
      </c>
      <c r="M2787" t="str">
        <f>_xlfn.XLOOKUP(C2787, Table2[Species],Table2[Sp. Name], "Code Not Found")</f>
        <v>saccharum</v>
      </c>
      <c r="N2787" t="str">
        <f>_xlfn.XLOOKUP(C2787,Table2[Species],Table2[Family],"Code Not Found")</f>
        <v>Sapindaceae</v>
      </c>
      <c r="O2787" t="str" cm="1">
        <f t="array" ref="O2787">_xlfn.IFS(F2787="","",F2787&lt;=5,"0 to 5",F2787&lt;=10,"5.1 to 10",F2787&lt;=20,"10 to 20", F2787&lt;= 40, "20 to 40", F2787 &lt;= 50, "40 to 50", F2787 &gt; 50, "&gt;50" )</f>
        <v>0 to 5</v>
      </c>
    </row>
    <row r="2788" spans="1:15" ht="15" customHeight="1" x14ac:dyDescent="0.3">
      <c r="A2788" t="s">
        <v>566</v>
      </c>
      <c r="B2788" s="1">
        <v>46217</v>
      </c>
      <c r="C2788" t="s">
        <v>572</v>
      </c>
      <c r="D2788">
        <v>2591</v>
      </c>
      <c r="E2788">
        <v>1</v>
      </c>
      <c r="F2788">
        <v>21.3</v>
      </c>
      <c r="G2788" t="s">
        <v>17</v>
      </c>
      <c r="I2788" t="str">
        <f t="shared" si="69"/>
        <v>2591_1</v>
      </c>
      <c r="J2788" t="s">
        <v>533</v>
      </c>
      <c r="K2788" t="s">
        <v>115</v>
      </c>
      <c r="L2788" t="str">
        <f>_xlfn.XLOOKUP(C2788, Table2[Species],Table2[Genus], "Code Not Found")</f>
        <v>Carya</v>
      </c>
      <c r="M2788" t="str">
        <f>_xlfn.XLOOKUP(C2788, Table2[Species],Table2[Sp. Name], "Code Not Found")</f>
        <v>ovata</v>
      </c>
      <c r="N2788" t="str">
        <f>_xlfn.XLOOKUP(C2788,Table2[Species],Table2[Family],"Code Not Found")</f>
        <v>Juglandaceae</v>
      </c>
      <c r="O2788" t="str" cm="1">
        <f t="array" ref="O2788">_xlfn.IFS(F2788="","",F2788&lt;=5,"0 to 5",F2788&lt;=10,"5.1 to 10",F2788&lt;=20,"10 to 20", F2788&lt;= 40, "20 to 40", F2788 &lt;= 50, "40 to 50", F2788 &gt; 50, "&gt;50" )</f>
        <v>20 to 40</v>
      </c>
    </row>
    <row r="2789" spans="1:15" ht="15" customHeight="1" x14ac:dyDescent="0.3">
      <c r="A2789" t="s">
        <v>566</v>
      </c>
      <c r="B2789" s="1">
        <v>46217</v>
      </c>
      <c r="C2789" t="s">
        <v>16</v>
      </c>
      <c r="D2789">
        <v>2592</v>
      </c>
      <c r="E2789">
        <v>1</v>
      </c>
      <c r="F2789">
        <v>5.6</v>
      </c>
      <c r="G2789" t="s">
        <v>30</v>
      </c>
      <c r="H2789" t="s">
        <v>99</v>
      </c>
      <c r="I2789" t="str">
        <f t="shared" si="69"/>
        <v>2592_1</v>
      </c>
      <c r="J2789" t="s">
        <v>533</v>
      </c>
      <c r="K2789" t="s">
        <v>115</v>
      </c>
      <c r="L2789" t="str">
        <f>_xlfn.XLOOKUP(C2789, Table2[Species],Table2[Genus], "Code Not Found")</f>
        <v>Acer</v>
      </c>
      <c r="M2789" t="str">
        <f>_xlfn.XLOOKUP(C2789, Table2[Species],Table2[Sp. Name], "Code Not Found")</f>
        <v>saccharum</v>
      </c>
      <c r="N2789" t="str">
        <f>_xlfn.XLOOKUP(C2789,Table2[Species],Table2[Family],"Code Not Found")</f>
        <v>Sapindaceae</v>
      </c>
      <c r="O2789" t="str" cm="1">
        <f t="array" ref="O2789">_xlfn.IFS(F2789="","",F2789&lt;=5,"0 to 5",F2789&lt;=10,"5.1 to 10",F2789&lt;=20,"10 to 20", F2789&lt;= 40, "20 to 40", F2789 &lt;= 50, "40 to 50", F2789 &gt; 50, "&gt;50" )</f>
        <v>5.1 to 10</v>
      </c>
    </row>
    <row r="2790" spans="1:15" ht="15" customHeight="1" x14ac:dyDescent="0.3">
      <c r="A2790" t="s">
        <v>566</v>
      </c>
      <c r="B2790" s="1">
        <v>46217</v>
      </c>
      <c r="C2790" t="s">
        <v>572</v>
      </c>
      <c r="D2790">
        <v>2593</v>
      </c>
      <c r="E2790">
        <v>1</v>
      </c>
      <c r="F2790">
        <v>27.8</v>
      </c>
      <c r="G2790" t="s">
        <v>21</v>
      </c>
      <c r="I2790" t="str">
        <f t="shared" si="69"/>
        <v>2593_1</v>
      </c>
      <c r="J2790" t="s">
        <v>533</v>
      </c>
      <c r="K2790" t="s">
        <v>115</v>
      </c>
      <c r="L2790" t="str">
        <f>_xlfn.XLOOKUP(C2790, Table2[Species],Table2[Genus], "Code Not Found")</f>
        <v>Carya</v>
      </c>
      <c r="M2790" t="str">
        <f>_xlfn.XLOOKUP(C2790, Table2[Species],Table2[Sp. Name], "Code Not Found")</f>
        <v>ovata</v>
      </c>
      <c r="N2790" t="str">
        <f>_xlfn.XLOOKUP(C2790,Table2[Species],Table2[Family],"Code Not Found")</f>
        <v>Juglandaceae</v>
      </c>
      <c r="O2790" t="str" cm="1">
        <f t="array" ref="O2790">_xlfn.IFS(F2790="","",F2790&lt;=5,"0 to 5",F2790&lt;=10,"5.1 to 10",F2790&lt;=20,"10 to 20", F2790&lt;= 40, "20 to 40", F2790 &lt;= 50, "40 to 50", F2790 &gt; 50, "&gt;50" )</f>
        <v>20 to 40</v>
      </c>
    </row>
    <row r="2791" spans="1:15" ht="15" customHeight="1" x14ac:dyDescent="0.3">
      <c r="A2791" t="s">
        <v>566</v>
      </c>
      <c r="B2791" s="1">
        <v>46217</v>
      </c>
      <c r="C2791" t="s">
        <v>16</v>
      </c>
      <c r="D2791">
        <v>2594</v>
      </c>
      <c r="E2791">
        <v>1</v>
      </c>
      <c r="F2791">
        <v>13.6</v>
      </c>
      <c r="G2791" t="s">
        <v>17</v>
      </c>
      <c r="H2791" t="s">
        <v>36</v>
      </c>
      <c r="I2791" t="str">
        <f t="shared" si="69"/>
        <v>2594_1</v>
      </c>
      <c r="J2791" t="s">
        <v>533</v>
      </c>
      <c r="K2791" t="s">
        <v>115</v>
      </c>
      <c r="L2791" t="str">
        <f>_xlfn.XLOOKUP(C2791, Table2[Species],Table2[Genus], "Code Not Found")</f>
        <v>Acer</v>
      </c>
      <c r="M2791" t="str">
        <f>_xlfn.XLOOKUP(C2791, Table2[Species],Table2[Sp. Name], "Code Not Found")</f>
        <v>saccharum</v>
      </c>
      <c r="N2791" t="str">
        <f>_xlfn.XLOOKUP(C2791,Table2[Species],Table2[Family],"Code Not Found")</f>
        <v>Sapindaceae</v>
      </c>
      <c r="O2791" t="str" cm="1">
        <f t="array" ref="O2791">_xlfn.IFS(F2791="","",F2791&lt;=5,"0 to 5",F2791&lt;=10,"5.1 to 10",F2791&lt;=20,"10 to 20", F2791&lt;= 40, "20 to 40", F2791 &lt;= 50, "40 to 50", F2791 &gt; 50, "&gt;50" )</f>
        <v>10 to 20</v>
      </c>
    </row>
    <row r="2792" spans="1:15" ht="15" customHeight="1" x14ac:dyDescent="0.3">
      <c r="A2792" t="s">
        <v>566</v>
      </c>
      <c r="B2792" s="1">
        <v>46217</v>
      </c>
      <c r="C2792" t="s">
        <v>16</v>
      </c>
      <c r="D2792">
        <v>2595</v>
      </c>
      <c r="E2792">
        <v>1</v>
      </c>
      <c r="F2792">
        <v>12.7</v>
      </c>
      <c r="G2792" t="s">
        <v>21</v>
      </c>
      <c r="I2792" t="str">
        <f t="shared" si="69"/>
        <v>2595_1</v>
      </c>
      <c r="J2792" t="s">
        <v>533</v>
      </c>
      <c r="K2792" t="s">
        <v>115</v>
      </c>
      <c r="L2792" t="str">
        <f>_xlfn.XLOOKUP(C2792, Table2[Species],Table2[Genus], "Code Not Found")</f>
        <v>Acer</v>
      </c>
      <c r="M2792" t="str">
        <f>_xlfn.XLOOKUP(C2792, Table2[Species],Table2[Sp. Name], "Code Not Found")</f>
        <v>saccharum</v>
      </c>
      <c r="N2792" t="str">
        <f>_xlfn.XLOOKUP(C2792,Table2[Species],Table2[Family],"Code Not Found")</f>
        <v>Sapindaceae</v>
      </c>
      <c r="O2792" t="str" cm="1">
        <f t="array" ref="O2792">_xlfn.IFS(F2792="","",F2792&lt;=5,"0 to 5",F2792&lt;=10,"5.1 to 10",F2792&lt;=20,"10 to 20", F2792&lt;= 40, "20 to 40", F2792 &lt;= 50, "40 to 50", F2792 &gt; 50, "&gt;50" )</f>
        <v>10 to 20</v>
      </c>
    </row>
    <row r="2793" spans="1:15" ht="15" customHeight="1" x14ac:dyDescent="0.3">
      <c r="A2793" t="s">
        <v>566</v>
      </c>
      <c r="B2793" s="1">
        <v>46217</v>
      </c>
      <c r="C2793" t="s">
        <v>129</v>
      </c>
      <c r="D2793">
        <v>2596</v>
      </c>
      <c r="E2793">
        <v>1</v>
      </c>
      <c r="F2793">
        <v>35.700000000000003</v>
      </c>
      <c r="G2793" t="s">
        <v>21</v>
      </c>
      <c r="I2793" t="str">
        <f t="shared" si="69"/>
        <v>2596_1</v>
      </c>
      <c r="J2793" t="s">
        <v>533</v>
      </c>
      <c r="K2793" t="s">
        <v>115</v>
      </c>
      <c r="L2793" t="str">
        <f>_xlfn.XLOOKUP(C2793, Table2[Species],Table2[Genus], "Code Not Found")</f>
        <v>Quercus</v>
      </c>
      <c r="M2793" t="str">
        <f>_xlfn.XLOOKUP(C2793, Table2[Species],Table2[Sp. Name], "Code Not Found")</f>
        <v>alba</v>
      </c>
      <c r="N2793" t="str">
        <f>_xlfn.XLOOKUP(C2793,Table2[Species],Table2[Family],"Code Not Found")</f>
        <v>Fagaceae</v>
      </c>
      <c r="O2793" t="str" cm="1">
        <f t="array" ref="O2793">_xlfn.IFS(F2793="","",F2793&lt;=5,"0 to 5",F2793&lt;=10,"5.1 to 10",F2793&lt;=20,"10 to 20", F2793&lt;= 40, "20 to 40", F2793 &lt;= 50, "40 to 50", F2793 &gt; 50, "&gt;50" )</f>
        <v>20 to 40</v>
      </c>
    </row>
    <row r="2794" spans="1:15" ht="15" customHeight="1" x14ac:dyDescent="0.3">
      <c r="A2794" t="s">
        <v>566</v>
      </c>
      <c r="B2794" s="1">
        <v>46217</v>
      </c>
      <c r="C2794" t="s">
        <v>16</v>
      </c>
      <c r="D2794">
        <v>2597</v>
      </c>
      <c r="E2794">
        <v>1</v>
      </c>
      <c r="F2794">
        <v>31.9</v>
      </c>
      <c r="G2794" t="s">
        <v>17</v>
      </c>
      <c r="I2794" t="str">
        <f t="shared" si="69"/>
        <v>2597_1</v>
      </c>
      <c r="J2794" t="s">
        <v>533</v>
      </c>
      <c r="K2794" t="s">
        <v>115</v>
      </c>
      <c r="L2794" t="str">
        <f>_xlfn.XLOOKUP(C2794, Table2[Species],Table2[Genus], "Code Not Found")</f>
        <v>Acer</v>
      </c>
      <c r="M2794" t="str">
        <f>_xlfn.XLOOKUP(C2794, Table2[Species],Table2[Sp. Name], "Code Not Found")</f>
        <v>saccharum</v>
      </c>
      <c r="N2794" t="str">
        <f>_xlfn.XLOOKUP(C2794,Table2[Species],Table2[Family],"Code Not Found")</f>
        <v>Sapindaceae</v>
      </c>
      <c r="O2794" t="str" cm="1">
        <f t="array" ref="O2794">_xlfn.IFS(F2794="","",F2794&lt;=5,"0 to 5",F2794&lt;=10,"5.1 to 10",F2794&lt;=20,"10 to 20", F2794&lt;= 40, "20 to 40", F2794 &lt;= 50, "40 to 50", F2794 &gt; 50, "&gt;50" )</f>
        <v>20 to 40</v>
      </c>
    </row>
    <row r="2795" spans="1:15" ht="15" customHeight="1" x14ac:dyDescent="0.3">
      <c r="A2795" t="s">
        <v>566</v>
      </c>
      <c r="B2795" s="1">
        <v>46217</v>
      </c>
      <c r="C2795" t="s">
        <v>16</v>
      </c>
      <c r="D2795">
        <v>2598</v>
      </c>
      <c r="E2795">
        <v>1</v>
      </c>
      <c r="F2795">
        <v>5</v>
      </c>
      <c r="G2795" t="s">
        <v>21</v>
      </c>
      <c r="I2795" t="str">
        <f t="shared" si="69"/>
        <v>2598_1</v>
      </c>
      <c r="J2795" t="s">
        <v>533</v>
      </c>
      <c r="K2795" t="s">
        <v>115</v>
      </c>
      <c r="L2795" t="str">
        <f>_xlfn.XLOOKUP(C2795, Table2[Species],Table2[Genus], "Code Not Found")</f>
        <v>Acer</v>
      </c>
      <c r="M2795" t="str">
        <f>_xlfn.XLOOKUP(C2795, Table2[Species],Table2[Sp. Name], "Code Not Found")</f>
        <v>saccharum</v>
      </c>
      <c r="N2795" t="str">
        <f>_xlfn.XLOOKUP(C2795,Table2[Species],Table2[Family],"Code Not Found")</f>
        <v>Sapindaceae</v>
      </c>
      <c r="O2795" t="str" cm="1">
        <f t="array" ref="O2795">_xlfn.IFS(F2795="","",F2795&lt;=5,"0 to 5",F2795&lt;=10,"5.1 to 10",F2795&lt;=20,"10 to 20", F2795&lt;= 40, "20 to 40", F2795 &lt;= 50, "40 to 50", F2795 &gt; 50, "&gt;50" )</f>
        <v>0 to 5</v>
      </c>
    </row>
    <row r="2796" spans="1:15" ht="15" customHeight="1" x14ac:dyDescent="0.3">
      <c r="A2796" t="s">
        <v>566</v>
      </c>
      <c r="B2796" s="1">
        <v>46217</v>
      </c>
      <c r="C2796" t="s">
        <v>16</v>
      </c>
      <c r="D2796">
        <v>2599</v>
      </c>
      <c r="E2796">
        <v>1</v>
      </c>
      <c r="F2796">
        <v>6.9</v>
      </c>
      <c r="G2796" t="s">
        <v>21</v>
      </c>
      <c r="I2796" t="str">
        <f t="shared" si="69"/>
        <v>2599_1</v>
      </c>
      <c r="J2796" t="s">
        <v>533</v>
      </c>
      <c r="K2796" t="s">
        <v>115</v>
      </c>
      <c r="L2796" t="str">
        <f>_xlfn.XLOOKUP(C2796, Table2[Species],Table2[Genus], "Code Not Found")</f>
        <v>Acer</v>
      </c>
      <c r="M2796" t="str">
        <f>_xlfn.XLOOKUP(C2796, Table2[Species],Table2[Sp. Name], "Code Not Found")</f>
        <v>saccharum</v>
      </c>
      <c r="N2796" t="str">
        <f>_xlfn.XLOOKUP(C2796,Table2[Species],Table2[Family],"Code Not Found")</f>
        <v>Sapindaceae</v>
      </c>
      <c r="O2796" t="str" cm="1">
        <f t="array" ref="O2796">_xlfn.IFS(F2796="","",F2796&lt;=5,"0 to 5",F2796&lt;=10,"5.1 to 10",F2796&lt;=20,"10 to 20", F2796&lt;= 40, "20 to 40", F2796 &lt;= 50, "40 to 50", F2796 &gt; 50, "&gt;50" )</f>
        <v>5.1 to 10</v>
      </c>
    </row>
    <row r="2797" spans="1:15" ht="15" customHeight="1" x14ac:dyDescent="0.3">
      <c r="A2797" t="s">
        <v>566</v>
      </c>
      <c r="B2797" s="1">
        <v>46217</v>
      </c>
      <c r="C2797" t="s">
        <v>572</v>
      </c>
      <c r="D2797">
        <v>2600</v>
      </c>
      <c r="E2797">
        <v>1</v>
      </c>
      <c r="F2797">
        <v>22.1</v>
      </c>
      <c r="G2797" t="s">
        <v>21</v>
      </c>
      <c r="I2797" t="str">
        <f t="shared" si="69"/>
        <v>2600_1</v>
      </c>
      <c r="J2797" t="s">
        <v>533</v>
      </c>
      <c r="K2797" t="s">
        <v>115</v>
      </c>
      <c r="L2797" t="str">
        <f>_xlfn.XLOOKUP(C2797, Table2[Species],Table2[Genus], "Code Not Found")</f>
        <v>Carya</v>
      </c>
      <c r="M2797" t="str">
        <f>_xlfn.XLOOKUP(C2797, Table2[Species],Table2[Sp. Name], "Code Not Found")</f>
        <v>ovata</v>
      </c>
      <c r="N2797" t="str">
        <f>_xlfn.XLOOKUP(C2797,Table2[Species],Table2[Family],"Code Not Found")</f>
        <v>Juglandaceae</v>
      </c>
      <c r="O2797" t="str" cm="1">
        <f t="array" ref="O2797">_xlfn.IFS(F2797="","",F2797&lt;=5,"0 to 5",F2797&lt;=10,"5.1 to 10",F2797&lt;=20,"10 to 20", F2797&lt;= 40, "20 to 40", F2797 &lt;= 50, "40 to 50", F2797 &gt; 50, "&gt;50" )</f>
        <v>20 to 40</v>
      </c>
    </row>
    <row r="2798" spans="1:15" ht="15" customHeight="1" x14ac:dyDescent="0.3">
      <c r="A2798" t="s">
        <v>566</v>
      </c>
      <c r="B2798" s="1">
        <v>46218</v>
      </c>
      <c r="C2798" t="s">
        <v>16</v>
      </c>
      <c r="D2798">
        <v>2601</v>
      </c>
      <c r="E2798">
        <v>1</v>
      </c>
      <c r="F2798">
        <v>14.9</v>
      </c>
      <c r="G2798" t="s">
        <v>17</v>
      </c>
      <c r="I2798" t="str">
        <f t="shared" si="69"/>
        <v>2601_1</v>
      </c>
      <c r="J2798" t="s">
        <v>533</v>
      </c>
      <c r="K2798" t="s">
        <v>115</v>
      </c>
      <c r="L2798" t="str">
        <f>_xlfn.XLOOKUP(C2798, Table2[Species],Table2[Genus], "Code Not Found")</f>
        <v>Acer</v>
      </c>
      <c r="M2798" t="str">
        <f>_xlfn.XLOOKUP(C2798, Table2[Species],Table2[Sp. Name], "Code Not Found")</f>
        <v>saccharum</v>
      </c>
      <c r="N2798" t="str">
        <f>_xlfn.XLOOKUP(C2798,Table2[Species],Table2[Family],"Code Not Found")</f>
        <v>Sapindaceae</v>
      </c>
      <c r="O2798" t="str" cm="1">
        <f t="array" ref="O2798">_xlfn.IFS(F2798="","",F2798&lt;=5,"0 to 5",F2798&lt;=10,"5.1 to 10",F2798&lt;=20,"10 to 20", F2798&lt;= 40, "20 to 40", F2798 &lt;= 50, "40 to 50", F2798 &gt; 50, "&gt;50" )</f>
        <v>10 to 20</v>
      </c>
    </row>
    <row r="2799" spans="1:15" ht="15" customHeight="1" x14ac:dyDescent="0.3">
      <c r="A2799" t="s">
        <v>566</v>
      </c>
      <c r="B2799" s="1">
        <v>46218</v>
      </c>
      <c r="C2799" t="s">
        <v>572</v>
      </c>
      <c r="D2799">
        <v>2602</v>
      </c>
      <c r="E2799">
        <v>1</v>
      </c>
      <c r="F2799">
        <v>24.8</v>
      </c>
      <c r="G2799" t="s">
        <v>21</v>
      </c>
      <c r="I2799" t="str">
        <f t="shared" si="69"/>
        <v>2602_1</v>
      </c>
      <c r="J2799" t="s">
        <v>533</v>
      </c>
      <c r="K2799" t="s">
        <v>115</v>
      </c>
      <c r="L2799" t="str">
        <f>_xlfn.XLOOKUP(C2799, Table2[Species],Table2[Genus], "Code Not Found")</f>
        <v>Carya</v>
      </c>
      <c r="M2799" t="str">
        <f>_xlfn.XLOOKUP(C2799, Table2[Species],Table2[Sp. Name], "Code Not Found")</f>
        <v>ovata</v>
      </c>
      <c r="N2799" t="str">
        <f>_xlfn.XLOOKUP(C2799,Table2[Species],Table2[Family],"Code Not Found")</f>
        <v>Juglandaceae</v>
      </c>
      <c r="O2799" t="str" cm="1">
        <f t="array" ref="O2799">_xlfn.IFS(F2799="","",F2799&lt;=5,"0 to 5",F2799&lt;=10,"5.1 to 10",F2799&lt;=20,"10 to 20", F2799&lt;= 40, "20 to 40", F2799 &lt;= 50, "40 to 50", F2799 &gt; 50, "&gt;50" )</f>
        <v>20 to 40</v>
      </c>
    </row>
    <row r="2800" spans="1:15" ht="15" customHeight="1" x14ac:dyDescent="0.3">
      <c r="A2800" t="s">
        <v>566</v>
      </c>
      <c r="B2800" s="1">
        <v>46218</v>
      </c>
      <c r="C2800" t="s">
        <v>16</v>
      </c>
      <c r="D2800">
        <v>2603</v>
      </c>
      <c r="E2800">
        <v>1</v>
      </c>
      <c r="F2800">
        <v>2.2000000000000002</v>
      </c>
      <c r="G2800" t="s">
        <v>47</v>
      </c>
      <c r="H2800" t="s">
        <v>296</v>
      </c>
      <c r="I2800" t="str">
        <f t="shared" si="69"/>
        <v>2603_1</v>
      </c>
      <c r="J2800" t="s">
        <v>533</v>
      </c>
      <c r="K2800" t="s">
        <v>115</v>
      </c>
      <c r="L2800" t="str">
        <f>_xlfn.XLOOKUP(C2800, Table2[Species],Table2[Genus], "Code Not Found")</f>
        <v>Acer</v>
      </c>
      <c r="M2800" t="str">
        <f>_xlfn.XLOOKUP(C2800, Table2[Species],Table2[Sp. Name], "Code Not Found")</f>
        <v>saccharum</v>
      </c>
      <c r="N2800" t="str">
        <f>_xlfn.XLOOKUP(C2800,Table2[Species],Table2[Family],"Code Not Found")</f>
        <v>Sapindaceae</v>
      </c>
      <c r="O2800" t="str" cm="1">
        <f t="array" ref="O2800">_xlfn.IFS(F2800="","",F2800&lt;=5,"0 to 5",F2800&lt;=10,"5.1 to 10",F2800&lt;=20,"10 to 20", F2800&lt;= 40, "20 to 40", F2800 &lt;= 50, "40 to 50", F2800 &gt; 50, "&gt;50" )</f>
        <v>0 to 5</v>
      </c>
    </row>
    <row r="2801" spans="1:15" ht="15" customHeight="1" x14ac:dyDescent="0.3">
      <c r="A2801" t="s">
        <v>566</v>
      </c>
      <c r="B2801" s="1">
        <v>46218</v>
      </c>
      <c r="C2801" t="s">
        <v>16</v>
      </c>
      <c r="D2801">
        <v>2604</v>
      </c>
      <c r="E2801">
        <v>1</v>
      </c>
      <c r="F2801">
        <v>14.1</v>
      </c>
      <c r="G2801" t="s">
        <v>47</v>
      </c>
      <c r="I2801" t="str">
        <f t="shared" si="69"/>
        <v>2604_1</v>
      </c>
      <c r="J2801" t="s">
        <v>533</v>
      </c>
      <c r="K2801" t="s">
        <v>115</v>
      </c>
      <c r="L2801" t="str">
        <f>_xlfn.XLOOKUP(C2801, Table2[Species],Table2[Genus], "Code Not Found")</f>
        <v>Acer</v>
      </c>
      <c r="M2801" t="str">
        <f>_xlfn.XLOOKUP(C2801, Table2[Species],Table2[Sp. Name], "Code Not Found")</f>
        <v>saccharum</v>
      </c>
      <c r="N2801" t="str">
        <f>_xlfn.XLOOKUP(C2801,Table2[Species],Table2[Family],"Code Not Found")</f>
        <v>Sapindaceae</v>
      </c>
      <c r="O2801" t="str" cm="1">
        <f t="array" ref="O2801">_xlfn.IFS(F2801="","",F2801&lt;=5,"0 to 5",F2801&lt;=10,"5.1 to 10",F2801&lt;=20,"10 to 20", F2801&lt;= 40, "20 to 40", F2801 &lt;= 50, "40 to 50", F2801 &gt; 50, "&gt;50" )</f>
        <v>10 to 20</v>
      </c>
    </row>
    <row r="2802" spans="1:15" ht="15" customHeight="1" x14ac:dyDescent="0.3">
      <c r="A2802" t="s">
        <v>566</v>
      </c>
      <c r="B2802" s="1">
        <v>46218</v>
      </c>
      <c r="C2802" t="s">
        <v>187</v>
      </c>
      <c r="D2802">
        <v>2605</v>
      </c>
      <c r="E2802">
        <v>1</v>
      </c>
      <c r="F2802">
        <v>20.399999999999999</v>
      </c>
      <c r="G2802" t="s">
        <v>21</v>
      </c>
      <c r="I2802" t="str">
        <f t="shared" si="69"/>
        <v>2605_1</v>
      </c>
      <c r="J2802" t="s">
        <v>533</v>
      </c>
      <c r="K2802" t="s">
        <v>115</v>
      </c>
      <c r="L2802" t="str">
        <f>_xlfn.XLOOKUP(C2802, Table2[Species],Table2[Genus], "Code Not Found")</f>
        <v>Carya</v>
      </c>
      <c r="M2802" t="str">
        <f>_xlfn.XLOOKUP(C2802, Table2[Species],Table2[Sp. Name], "Code Not Found")</f>
        <v>cordiformis</v>
      </c>
      <c r="N2802" t="str">
        <f>_xlfn.XLOOKUP(C2802,Table2[Species],Table2[Family],"Code Not Found")</f>
        <v>Juglandaceae</v>
      </c>
      <c r="O2802" t="str" cm="1">
        <f t="array" ref="O2802">_xlfn.IFS(F2802="","",F2802&lt;=5,"0 to 5",F2802&lt;=10,"5.1 to 10",F2802&lt;=20,"10 to 20", F2802&lt;= 40, "20 to 40", F2802 &lt;= 50, "40 to 50", F2802 &gt; 50, "&gt;50" )</f>
        <v>20 to 40</v>
      </c>
    </row>
    <row r="2803" spans="1:15" ht="15" customHeight="1" x14ac:dyDescent="0.3">
      <c r="A2803" t="s">
        <v>566</v>
      </c>
      <c r="B2803" s="1">
        <v>46218</v>
      </c>
      <c r="C2803" t="s">
        <v>16</v>
      </c>
      <c r="D2803">
        <v>2606</v>
      </c>
      <c r="E2803">
        <v>1</v>
      </c>
      <c r="F2803">
        <v>3.3</v>
      </c>
      <c r="G2803" t="s">
        <v>47</v>
      </c>
      <c r="I2803" t="str">
        <f t="shared" si="69"/>
        <v>2606_1</v>
      </c>
      <c r="J2803" t="s">
        <v>533</v>
      </c>
      <c r="K2803" t="s">
        <v>115</v>
      </c>
      <c r="L2803" t="str">
        <f>_xlfn.XLOOKUP(C2803, Table2[Species],Table2[Genus], "Code Not Found")</f>
        <v>Acer</v>
      </c>
      <c r="M2803" t="str">
        <f>_xlfn.XLOOKUP(C2803, Table2[Species],Table2[Sp. Name], "Code Not Found")</f>
        <v>saccharum</v>
      </c>
      <c r="N2803" t="str">
        <f>_xlfn.XLOOKUP(C2803,Table2[Species],Table2[Family],"Code Not Found")</f>
        <v>Sapindaceae</v>
      </c>
      <c r="O2803" t="str" cm="1">
        <f t="array" ref="O2803">_xlfn.IFS(F2803="","",F2803&lt;=5,"0 to 5",F2803&lt;=10,"5.1 to 10",F2803&lt;=20,"10 to 20", F2803&lt;= 40, "20 to 40", F2803 &lt;= 50, "40 to 50", F2803 &gt; 50, "&gt;50" )</f>
        <v>0 to 5</v>
      </c>
    </row>
    <row r="2804" spans="1:15" ht="15" customHeight="1" x14ac:dyDescent="0.3">
      <c r="A2804" t="s">
        <v>566</v>
      </c>
      <c r="B2804" s="1">
        <v>46218</v>
      </c>
      <c r="C2804" t="s">
        <v>123</v>
      </c>
      <c r="D2804">
        <v>2607</v>
      </c>
      <c r="E2804">
        <v>1</v>
      </c>
      <c r="F2804">
        <v>50.5</v>
      </c>
      <c r="G2804" t="s">
        <v>21</v>
      </c>
      <c r="I2804" t="str">
        <f t="shared" si="69"/>
        <v>2607_1</v>
      </c>
      <c r="J2804" t="s">
        <v>533</v>
      </c>
      <c r="K2804" t="s">
        <v>115</v>
      </c>
      <c r="L2804" t="str">
        <f>_xlfn.XLOOKUP(C2804, Table2[Species],Table2[Genus], "Code Not Found")</f>
        <v>Quercus</v>
      </c>
      <c r="M2804" t="str">
        <f>_xlfn.XLOOKUP(C2804, Table2[Species],Table2[Sp. Name], "Code Not Found")</f>
        <v>rubra</v>
      </c>
      <c r="N2804" t="str">
        <f>_xlfn.XLOOKUP(C2804,Table2[Species],Table2[Family],"Code Not Found")</f>
        <v>Fagaceae</v>
      </c>
      <c r="O2804" t="str" cm="1">
        <f t="array" ref="O2804">_xlfn.IFS(F2804="","",F2804&lt;=5,"0 to 5",F2804&lt;=10,"5.1 to 10",F2804&lt;=20,"10 to 20", F2804&lt;= 40, "20 to 40", F2804 &lt;= 50, "40 to 50", F2804 &gt; 50, "&gt;50" )</f>
        <v>&gt;50</v>
      </c>
    </row>
    <row r="2805" spans="1:15" ht="15" customHeight="1" x14ac:dyDescent="0.3">
      <c r="A2805" t="s">
        <v>566</v>
      </c>
      <c r="B2805" s="1">
        <v>46218</v>
      </c>
      <c r="C2805" t="s">
        <v>16</v>
      </c>
      <c r="D2805">
        <v>2608</v>
      </c>
      <c r="E2805">
        <v>1</v>
      </c>
      <c r="F2805">
        <v>3.9</v>
      </c>
      <c r="G2805" t="s">
        <v>17</v>
      </c>
      <c r="I2805" t="str">
        <f t="shared" si="69"/>
        <v>2608_1</v>
      </c>
      <c r="J2805" t="s">
        <v>533</v>
      </c>
      <c r="K2805" t="s">
        <v>115</v>
      </c>
      <c r="L2805" t="str">
        <f>_xlfn.XLOOKUP(C2805, Table2[Species],Table2[Genus], "Code Not Found")</f>
        <v>Acer</v>
      </c>
      <c r="M2805" t="str">
        <f>_xlfn.XLOOKUP(C2805, Table2[Species],Table2[Sp. Name], "Code Not Found")</f>
        <v>saccharum</v>
      </c>
      <c r="N2805" t="str">
        <f>_xlfn.XLOOKUP(C2805,Table2[Species],Table2[Family],"Code Not Found")</f>
        <v>Sapindaceae</v>
      </c>
      <c r="O2805" t="str" cm="1">
        <f t="array" ref="O2805">_xlfn.IFS(F2805="","",F2805&lt;=5,"0 to 5",F2805&lt;=10,"5.1 to 10",F2805&lt;=20,"10 to 20", F2805&lt;= 40, "20 to 40", F2805 &lt;= 50, "40 to 50", F2805 &gt; 50, "&gt;50" )</f>
        <v>0 to 5</v>
      </c>
    </row>
    <row r="2806" spans="1:15" ht="15" customHeight="1" x14ac:dyDescent="0.3">
      <c r="A2806" t="s">
        <v>566</v>
      </c>
      <c r="B2806" s="1">
        <v>46218</v>
      </c>
      <c r="C2806" t="s">
        <v>16</v>
      </c>
      <c r="D2806">
        <v>2609</v>
      </c>
      <c r="E2806">
        <v>1</v>
      </c>
      <c r="F2806">
        <v>7.9</v>
      </c>
      <c r="G2806" t="s">
        <v>17</v>
      </c>
      <c r="H2806" t="s">
        <v>36</v>
      </c>
      <c r="I2806" t="str">
        <f t="shared" si="69"/>
        <v>2609_1</v>
      </c>
      <c r="J2806" t="s">
        <v>533</v>
      </c>
      <c r="K2806" t="s">
        <v>115</v>
      </c>
      <c r="L2806" t="str">
        <f>_xlfn.XLOOKUP(C2806, Table2[Species],Table2[Genus], "Code Not Found")</f>
        <v>Acer</v>
      </c>
      <c r="M2806" t="str">
        <f>_xlfn.XLOOKUP(C2806, Table2[Species],Table2[Sp. Name], "Code Not Found")</f>
        <v>saccharum</v>
      </c>
      <c r="N2806" t="str">
        <f>_xlfn.XLOOKUP(C2806,Table2[Species],Table2[Family],"Code Not Found")</f>
        <v>Sapindaceae</v>
      </c>
      <c r="O2806" t="str" cm="1">
        <f t="array" ref="O2806">_xlfn.IFS(F2806="","",F2806&lt;=5,"0 to 5",F2806&lt;=10,"5.1 to 10",F2806&lt;=20,"10 to 20", F2806&lt;= 40, "20 to 40", F2806 &lt;= 50, "40 to 50", F2806 &gt; 50, "&gt;50" )</f>
        <v>5.1 to 10</v>
      </c>
    </row>
    <row r="2807" spans="1:15" ht="15" customHeight="1" x14ac:dyDescent="0.3">
      <c r="A2807" t="s">
        <v>566</v>
      </c>
      <c r="B2807" s="1">
        <v>46218</v>
      </c>
      <c r="C2807" t="s">
        <v>16</v>
      </c>
      <c r="D2807">
        <v>2610</v>
      </c>
      <c r="E2807">
        <v>1</v>
      </c>
      <c r="F2807">
        <v>6</v>
      </c>
      <c r="G2807" t="s">
        <v>47</v>
      </c>
      <c r="I2807" t="str">
        <f t="shared" si="69"/>
        <v>2610_1</v>
      </c>
      <c r="J2807" t="s">
        <v>533</v>
      </c>
      <c r="K2807" t="s">
        <v>115</v>
      </c>
      <c r="L2807" t="str">
        <f>_xlfn.XLOOKUP(C2807, Table2[Species],Table2[Genus], "Code Not Found")</f>
        <v>Acer</v>
      </c>
      <c r="M2807" t="str">
        <f>_xlfn.XLOOKUP(C2807, Table2[Species],Table2[Sp. Name], "Code Not Found")</f>
        <v>saccharum</v>
      </c>
      <c r="N2807" t="str">
        <f>_xlfn.XLOOKUP(C2807,Table2[Species],Table2[Family],"Code Not Found")</f>
        <v>Sapindaceae</v>
      </c>
      <c r="O2807" t="str" cm="1">
        <f t="array" ref="O2807">_xlfn.IFS(F2807="","",F2807&lt;=5,"0 to 5",F2807&lt;=10,"5.1 to 10",F2807&lt;=20,"10 to 20", F2807&lt;= 40, "20 to 40", F2807 &lt;= 50, "40 to 50", F2807 &gt; 50, "&gt;50" )</f>
        <v>5.1 to 10</v>
      </c>
    </row>
    <row r="2808" spans="1:15" ht="15" customHeight="1" x14ac:dyDescent="0.3">
      <c r="A2808" t="s">
        <v>566</v>
      </c>
      <c r="B2808" s="1">
        <v>46218</v>
      </c>
      <c r="C2808" t="s">
        <v>216</v>
      </c>
      <c r="D2808">
        <v>2611</v>
      </c>
      <c r="E2808">
        <v>1</v>
      </c>
      <c r="F2808">
        <v>2.2000000000000002</v>
      </c>
      <c r="G2808" t="s">
        <v>505</v>
      </c>
      <c r="H2808" t="s">
        <v>576</v>
      </c>
      <c r="I2808" t="str">
        <f t="shared" si="69"/>
        <v>2611_1</v>
      </c>
      <c r="J2808" t="s">
        <v>533</v>
      </c>
      <c r="K2808" t="s">
        <v>115</v>
      </c>
      <c r="L2808" t="str">
        <f>_xlfn.XLOOKUP(C2808, Table2[Species],Table2[Genus], "Code Not Found")</f>
        <v>Crataegus</v>
      </c>
      <c r="M2808" t="str">
        <f>_xlfn.XLOOKUP(C2808, Table2[Species],Table2[Sp. Name], "Code Not Found")</f>
        <v>species</v>
      </c>
      <c r="N2808" t="str">
        <f>_xlfn.XLOOKUP(C2808,Table2[Species],Table2[Family],"Code Not Found")</f>
        <v>Rosaceae</v>
      </c>
      <c r="O2808" t="str" cm="1">
        <f t="array" ref="O2808">_xlfn.IFS(F2808="","",F2808&lt;=5,"0 to 5",F2808&lt;=10,"5.1 to 10",F2808&lt;=20,"10 to 20", F2808&lt;= 40, "20 to 40", F2808 &lt;= 50, "40 to 50", F2808 &gt; 50, "&gt;50" )</f>
        <v>0 to 5</v>
      </c>
    </row>
    <row r="2809" spans="1:15" ht="15" customHeight="1" x14ac:dyDescent="0.3">
      <c r="A2809" t="s">
        <v>566</v>
      </c>
      <c r="B2809" s="1">
        <v>46218</v>
      </c>
      <c r="C2809" t="s">
        <v>572</v>
      </c>
      <c r="D2809">
        <v>2612</v>
      </c>
      <c r="E2809">
        <v>1</v>
      </c>
      <c r="F2809">
        <v>15.9</v>
      </c>
      <c r="G2809" t="s">
        <v>21</v>
      </c>
      <c r="I2809" t="str">
        <f t="shared" si="69"/>
        <v>2612_1</v>
      </c>
      <c r="J2809" t="s">
        <v>533</v>
      </c>
      <c r="K2809" t="s">
        <v>115</v>
      </c>
      <c r="L2809" t="str">
        <f>_xlfn.XLOOKUP(C2809, Table2[Species],Table2[Genus], "Code Not Found")</f>
        <v>Carya</v>
      </c>
      <c r="M2809" t="str">
        <f>_xlfn.XLOOKUP(C2809, Table2[Species],Table2[Sp. Name], "Code Not Found")</f>
        <v>ovata</v>
      </c>
      <c r="N2809" t="str">
        <f>_xlfn.XLOOKUP(C2809,Table2[Species],Table2[Family],"Code Not Found")</f>
        <v>Juglandaceae</v>
      </c>
      <c r="O2809" t="str" cm="1">
        <f t="array" ref="O2809">_xlfn.IFS(F2809="","",F2809&lt;=5,"0 to 5",F2809&lt;=10,"5.1 to 10",F2809&lt;=20,"10 to 20", F2809&lt;= 40, "20 to 40", F2809 &lt;= 50, "40 to 50", F2809 &gt; 50, "&gt;50" )</f>
        <v>10 to 20</v>
      </c>
    </row>
    <row r="2810" spans="1:15" ht="15" customHeight="1" x14ac:dyDescent="0.3">
      <c r="A2810" t="s">
        <v>566</v>
      </c>
      <c r="B2810" s="1">
        <v>46218</v>
      </c>
      <c r="C2810" t="s">
        <v>16</v>
      </c>
      <c r="D2810">
        <v>2613</v>
      </c>
      <c r="E2810">
        <v>1</v>
      </c>
      <c r="F2810">
        <v>5.5</v>
      </c>
      <c r="G2810" t="s">
        <v>17</v>
      </c>
      <c r="I2810" t="str">
        <f t="shared" si="69"/>
        <v>2613_1</v>
      </c>
      <c r="J2810" t="s">
        <v>533</v>
      </c>
      <c r="K2810" t="s">
        <v>115</v>
      </c>
      <c r="L2810" t="str">
        <f>_xlfn.XLOOKUP(C2810, Table2[Species],Table2[Genus], "Code Not Found")</f>
        <v>Acer</v>
      </c>
      <c r="M2810" t="str">
        <f>_xlfn.XLOOKUP(C2810, Table2[Species],Table2[Sp. Name], "Code Not Found")</f>
        <v>saccharum</v>
      </c>
      <c r="N2810" t="str">
        <f>_xlfn.XLOOKUP(C2810,Table2[Species],Table2[Family],"Code Not Found")</f>
        <v>Sapindaceae</v>
      </c>
      <c r="O2810" t="str" cm="1">
        <f t="array" ref="O2810">_xlfn.IFS(F2810="","",F2810&lt;=5,"0 to 5",F2810&lt;=10,"5.1 to 10",F2810&lt;=20,"10 to 20", F2810&lt;= 40, "20 to 40", F2810 &lt;= 50, "40 to 50", F2810 &gt; 50, "&gt;50" )</f>
        <v>5.1 to 10</v>
      </c>
    </row>
    <row r="2811" spans="1:15" ht="15" customHeight="1" x14ac:dyDescent="0.3">
      <c r="A2811" t="s">
        <v>566</v>
      </c>
      <c r="B2811" s="1">
        <v>46218</v>
      </c>
      <c r="C2811" t="s">
        <v>16</v>
      </c>
      <c r="D2811">
        <v>2614</v>
      </c>
      <c r="E2811">
        <v>1</v>
      </c>
      <c r="F2811">
        <v>5.2</v>
      </c>
      <c r="G2811" t="s">
        <v>30</v>
      </c>
      <c r="H2811" t="s">
        <v>99</v>
      </c>
      <c r="I2811" t="str">
        <f t="shared" si="69"/>
        <v>2614_1</v>
      </c>
      <c r="J2811" t="s">
        <v>533</v>
      </c>
      <c r="K2811" t="s">
        <v>115</v>
      </c>
      <c r="L2811" t="str">
        <f>_xlfn.XLOOKUP(C2811, Table2[Species],Table2[Genus], "Code Not Found")</f>
        <v>Acer</v>
      </c>
      <c r="M2811" t="str">
        <f>_xlfn.XLOOKUP(C2811, Table2[Species],Table2[Sp. Name], "Code Not Found")</f>
        <v>saccharum</v>
      </c>
      <c r="N2811" t="str">
        <f>_xlfn.XLOOKUP(C2811,Table2[Species],Table2[Family],"Code Not Found")</f>
        <v>Sapindaceae</v>
      </c>
      <c r="O2811" t="str" cm="1">
        <f t="array" ref="O2811">_xlfn.IFS(F2811="","",F2811&lt;=5,"0 to 5",F2811&lt;=10,"5.1 to 10",F2811&lt;=20,"10 to 20", F2811&lt;= 40, "20 to 40", F2811 &lt;= 50, "40 to 50", F2811 &gt; 50, "&gt;50" )</f>
        <v>5.1 to 10</v>
      </c>
    </row>
    <row r="2812" spans="1:15" ht="15" customHeight="1" x14ac:dyDescent="0.3">
      <c r="A2812" t="s">
        <v>566</v>
      </c>
      <c r="B2812" s="1">
        <v>46218</v>
      </c>
      <c r="C2812" t="s">
        <v>16</v>
      </c>
      <c r="D2812">
        <v>2615</v>
      </c>
      <c r="E2812">
        <v>1</v>
      </c>
      <c r="F2812">
        <v>4.4000000000000004</v>
      </c>
      <c r="G2812" t="s">
        <v>577</v>
      </c>
      <c r="H2812" t="s">
        <v>296</v>
      </c>
      <c r="I2812" t="str">
        <f t="shared" ref="I2812:I2857" si="70">D2812&amp;"_"&amp;E2812</f>
        <v>2615_1</v>
      </c>
      <c r="J2812" t="s">
        <v>533</v>
      </c>
      <c r="K2812" t="s">
        <v>115</v>
      </c>
      <c r="L2812" t="str">
        <f>_xlfn.XLOOKUP(C2812, Table2[Species],Table2[Genus], "Code Not Found")</f>
        <v>Acer</v>
      </c>
      <c r="M2812" t="str">
        <f>_xlfn.XLOOKUP(C2812, Table2[Species],Table2[Sp. Name], "Code Not Found")</f>
        <v>saccharum</v>
      </c>
      <c r="N2812" t="str">
        <f>_xlfn.XLOOKUP(C2812,Table2[Species],Table2[Family],"Code Not Found")</f>
        <v>Sapindaceae</v>
      </c>
      <c r="O2812" t="str" cm="1">
        <f t="array" ref="O2812">_xlfn.IFS(F2812="","",F2812&lt;=5,"0 to 5",F2812&lt;=10,"5.1 to 10",F2812&lt;=20,"10 to 20", F2812&lt;= 40, "20 to 40", F2812 &lt;= 50, "40 to 50", F2812 &gt; 50, "&gt;50" )</f>
        <v>0 to 5</v>
      </c>
    </row>
    <row r="2813" spans="1:15" ht="15" customHeight="1" x14ac:dyDescent="0.3">
      <c r="A2813" t="s">
        <v>566</v>
      </c>
      <c r="B2813" s="1">
        <v>46218</v>
      </c>
      <c r="C2813" t="s">
        <v>16</v>
      </c>
      <c r="D2813">
        <v>2616</v>
      </c>
      <c r="E2813">
        <v>1</v>
      </c>
      <c r="F2813">
        <v>25.5</v>
      </c>
      <c r="G2813" t="s">
        <v>17</v>
      </c>
      <c r="H2813" t="s">
        <v>36</v>
      </c>
      <c r="I2813" t="str">
        <f t="shared" si="70"/>
        <v>2616_1</v>
      </c>
      <c r="J2813" t="s">
        <v>533</v>
      </c>
      <c r="K2813" t="s">
        <v>115</v>
      </c>
      <c r="L2813" t="str">
        <f>_xlfn.XLOOKUP(C2813, Table2[Species],Table2[Genus], "Code Not Found")</f>
        <v>Acer</v>
      </c>
      <c r="M2813" t="str">
        <f>_xlfn.XLOOKUP(C2813, Table2[Species],Table2[Sp. Name], "Code Not Found")</f>
        <v>saccharum</v>
      </c>
      <c r="N2813" t="str">
        <f>_xlfn.XLOOKUP(C2813,Table2[Species],Table2[Family],"Code Not Found")</f>
        <v>Sapindaceae</v>
      </c>
      <c r="O2813" t="str" cm="1">
        <f t="array" ref="O2813">_xlfn.IFS(F2813="","",F2813&lt;=5,"0 to 5",F2813&lt;=10,"5.1 to 10",F2813&lt;=20,"10 to 20", F2813&lt;= 40, "20 to 40", F2813 &lt;= 50, "40 to 50", F2813 &gt; 50, "&gt;50" )</f>
        <v>20 to 40</v>
      </c>
    </row>
    <row r="2814" spans="1:15" ht="15" customHeight="1" x14ac:dyDescent="0.3">
      <c r="A2814" t="s">
        <v>566</v>
      </c>
      <c r="B2814" s="1">
        <v>46218</v>
      </c>
      <c r="C2814" t="s">
        <v>16</v>
      </c>
      <c r="D2814">
        <v>2617</v>
      </c>
      <c r="E2814">
        <v>1</v>
      </c>
      <c r="F2814">
        <v>6.7</v>
      </c>
      <c r="G2814" t="s">
        <v>381</v>
      </c>
      <c r="H2814" t="s">
        <v>578</v>
      </c>
      <c r="I2814" t="str">
        <f t="shared" si="70"/>
        <v>2617_1</v>
      </c>
      <c r="J2814" t="s">
        <v>533</v>
      </c>
      <c r="K2814" t="s">
        <v>115</v>
      </c>
      <c r="L2814" t="str">
        <f>_xlfn.XLOOKUP(C2814, Table2[Species],Table2[Genus], "Code Not Found")</f>
        <v>Acer</v>
      </c>
      <c r="M2814" t="str">
        <f>_xlfn.XLOOKUP(C2814, Table2[Species],Table2[Sp. Name], "Code Not Found")</f>
        <v>saccharum</v>
      </c>
      <c r="N2814" t="str">
        <f>_xlfn.XLOOKUP(C2814,Table2[Species],Table2[Family],"Code Not Found")</f>
        <v>Sapindaceae</v>
      </c>
      <c r="O2814" t="str" cm="1">
        <f t="array" ref="O2814">_xlfn.IFS(F2814="","",F2814&lt;=5,"0 to 5",F2814&lt;=10,"5.1 to 10",F2814&lt;=20,"10 to 20", F2814&lt;= 40, "20 to 40", F2814 &lt;= 50, "40 to 50", F2814 &gt; 50, "&gt;50" )</f>
        <v>5.1 to 10</v>
      </c>
    </row>
    <row r="2815" spans="1:15" ht="15" customHeight="1" x14ac:dyDescent="0.3">
      <c r="A2815" t="s">
        <v>566</v>
      </c>
      <c r="B2815" s="1">
        <v>46218</v>
      </c>
      <c r="C2815" t="s">
        <v>16</v>
      </c>
      <c r="D2815">
        <v>2618</v>
      </c>
      <c r="E2815">
        <v>1</v>
      </c>
      <c r="F2815">
        <v>7.2</v>
      </c>
      <c r="G2815" t="s">
        <v>17</v>
      </c>
      <c r="H2815" t="s">
        <v>36</v>
      </c>
      <c r="I2815" t="str">
        <f t="shared" si="70"/>
        <v>2618_1</v>
      </c>
      <c r="J2815" t="s">
        <v>533</v>
      </c>
      <c r="K2815" t="s">
        <v>115</v>
      </c>
      <c r="L2815" t="str">
        <f>_xlfn.XLOOKUP(C2815, Table2[Species],Table2[Genus], "Code Not Found")</f>
        <v>Acer</v>
      </c>
      <c r="M2815" t="str">
        <f>_xlfn.XLOOKUP(C2815, Table2[Species],Table2[Sp. Name], "Code Not Found")</f>
        <v>saccharum</v>
      </c>
      <c r="N2815" t="str">
        <f>_xlfn.XLOOKUP(C2815,Table2[Species],Table2[Family],"Code Not Found")</f>
        <v>Sapindaceae</v>
      </c>
      <c r="O2815" t="str" cm="1">
        <f t="array" ref="O2815">_xlfn.IFS(F2815="","",F2815&lt;=5,"0 to 5",F2815&lt;=10,"5.1 to 10",F2815&lt;=20,"10 to 20", F2815&lt;= 40, "20 to 40", F2815 &lt;= 50, "40 to 50", F2815 &gt; 50, "&gt;50" )</f>
        <v>5.1 to 10</v>
      </c>
    </row>
    <row r="2816" spans="1:15" ht="15" customHeight="1" x14ac:dyDescent="0.3">
      <c r="A2816" t="s">
        <v>566</v>
      </c>
      <c r="B2816" s="1">
        <v>46218</v>
      </c>
      <c r="C2816" t="s">
        <v>572</v>
      </c>
      <c r="D2816">
        <v>2619</v>
      </c>
      <c r="E2816">
        <v>1</v>
      </c>
      <c r="F2816">
        <v>6.7</v>
      </c>
      <c r="G2816" t="s">
        <v>537</v>
      </c>
      <c r="H2816" t="s">
        <v>347</v>
      </c>
      <c r="I2816" t="str">
        <f t="shared" si="70"/>
        <v>2619_1</v>
      </c>
      <c r="J2816" t="s">
        <v>533</v>
      </c>
      <c r="K2816" t="s">
        <v>115</v>
      </c>
      <c r="L2816" t="str">
        <f>_xlfn.XLOOKUP(C2816, Table2[Species],Table2[Genus], "Code Not Found")</f>
        <v>Carya</v>
      </c>
      <c r="M2816" t="str">
        <f>_xlfn.XLOOKUP(C2816, Table2[Species],Table2[Sp. Name], "Code Not Found")</f>
        <v>ovata</v>
      </c>
      <c r="N2816" t="str">
        <f>_xlfn.XLOOKUP(C2816,Table2[Species],Table2[Family],"Code Not Found")</f>
        <v>Juglandaceae</v>
      </c>
      <c r="O2816" t="str" cm="1">
        <f t="array" ref="O2816">_xlfn.IFS(F2816="","",F2816&lt;=5,"0 to 5",F2816&lt;=10,"5.1 to 10",F2816&lt;=20,"10 to 20", F2816&lt;= 40, "20 to 40", F2816 &lt;= 50, "40 to 50", F2816 &gt; 50, "&gt;50" )</f>
        <v>5.1 to 10</v>
      </c>
    </row>
    <row r="2817" spans="1:15" ht="15" customHeight="1" x14ac:dyDescent="0.3">
      <c r="A2817" t="s">
        <v>566</v>
      </c>
      <c r="B2817" s="1">
        <v>46218</v>
      </c>
      <c r="C2817" t="s">
        <v>16</v>
      </c>
      <c r="D2817">
        <v>2620</v>
      </c>
      <c r="E2817">
        <v>1</v>
      </c>
      <c r="F2817">
        <v>2.2000000000000002</v>
      </c>
      <c r="G2817" t="s">
        <v>47</v>
      </c>
      <c r="I2817" t="str">
        <f t="shared" si="70"/>
        <v>2620_1</v>
      </c>
      <c r="J2817" t="s">
        <v>533</v>
      </c>
      <c r="K2817" t="s">
        <v>115</v>
      </c>
      <c r="L2817" t="str">
        <f>_xlfn.XLOOKUP(C2817, Table2[Species],Table2[Genus], "Code Not Found")</f>
        <v>Acer</v>
      </c>
      <c r="M2817" t="str">
        <f>_xlfn.XLOOKUP(C2817, Table2[Species],Table2[Sp. Name], "Code Not Found")</f>
        <v>saccharum</v>
      </c>
      <c r="N2817" t="str">
        <f>_xlfn.XLOOKUP(C2817,Table2[Species],Table2[Family],"Code Not Found")</f>
        <v>Sapindaceae</v>
      </c>
      <c r="O2817" t="str" cm="1">
        <f t="array" ref="O2817">_xlfn.IFS(F2817="","",F2817&lt;=5,"0 to 5",F2817&lt;=10,"5.1 to 10",F2817&lt;=20,"10 to 20", F2817&lt;= 40, "20 to 40", F2817 &lt;= 50, "40 to 50", F2817 &gt; 50, "&gt;50" )</f>
        <v>0 to 5</v>
      </c>
    </row>
    <row r="2818" spans="1:15" ht="15" customHeight="1" x14ac:dyDescent="0.3">
      <c r="A2818" t="s">
        <v>566</v>
      </c>
      <c r="B2818" s="1">
        <v>46218</v>
      </c>
      <c r="C2818" t="s">
        <v>16</v>
      </c>
      <c r="D2818">
        <v>2621</v>
      </c>
      <c r="E2818">
        <v>1</v>
      </c>
      <c r="F2818">
        <v>4.4000000000000004</v>
      </c>
      <c r="G2818" t="s">
        <v>577</v>
      </c>
      <c r="H2818" t="s">
        <v>579</v>
      </c>
      <c r="I2818" t="str">
        <f t="shared" si="70"/>
        <v>2621_1</v>
      </c>
      <c r="J2818" t="s">
        <v>533</v>
      </c>
      <c r="K2818" t="s">
        <v>115</v>
      </c>
      <c r="L2818" t="str">
        <f>_xlfn.XLOOKUP(C2818, Table2[Species],Table2[Genus], "Code Not Found")</f>
        <v>Acer</v>
      </c>
      <c r="M2818" t="str">
        <f>_xlfn.XLOOKUP(C2818, Table2[Species],Table2[Sp. Name], "Code Not Found")</f>
        <v>saccharum</v>
      </c>
      <c r="N2818" t="str">
        <f>_xlfn.XLOOKUP(C2818,Table2[Species],Table2[Family],"Code Not Found")</f>
        <v>Sapindaceae</v>
      </c>
      <c r="O2818" t="str" cm="1">
        <f t="array" ref="O2818">_xlfn.IFS(F2818="","",F2818&lt;=5,"0 to 5",F2818&lt;=10,"5.1 to 10",F2818&lt;=20,"10 to 20", F2818&lt;= 40, "20 to 40", F2818 &lt;= 50, "40 to 50", F2818 &gt; 50, "&gt;50" )</f>
        <v>0 to 5</v>
      </c>
    </row>
    <row r="2819" spans="1:15" ht="15" customHeight="1" x14ac:dyDescent="0.3">
      <c r="A2819" t="s">
        <v>566</v>
      </c>
      <c r="B2819" s="1">
        <v>46218</v>
      </c>
      <c r="C2819" t="s">
        <v>117</v>
      </c>
      <c r="D2819">
        <v>2622</v>
      </c>
      <c r="E2819">
        <v>1</v>
      </c>
      <c r="F2819">
        <v>7.9</v>
      </c>
      <c r="G2819" t="s">
        <v>21</v>
      </c>
      <c r="I2819" t="str">
        <f t="shared" si="70"/>
        <v>2622_1</v>
      </c>
      <c r="J2819" t="s">
        <v>533</v>
      </c>
      <c r="K2819" t="s">
        <v>115</v>
      </c>
      <c r="L2819" t="str">
        <f>_xlfn.XLOOKUP(C2819, Table2[Species],Table2[Genus], "Code Not Found")</f>
        <v>Ostrya</v>
      </c>
      <c r="M2819" t="str">
        <f>_xlfn.XLOOKUP(C2819, Table2[Species],Table2[Sp. Name], "Code Not Found")</f>
        <v>viginiana</v>
      </c>
      <c r="N2819" t="str">
        <f>_xlfn.XLOOKUP(C2819,Table2[Species],Table2[Family],"Code Not Found")</f>
        <v>Betulaceae</v>
      </c>
      <c r="O2819" t="str" cm="1">
        <f t="array" ref="O2819">_xlfn.IFS(F2819="","",F2819&lt;=5,"0 to 5",F2819&lt;=10,"5.1 to 10",F2819&lt;=20,"10 to 20", F2819&lt;= 40, "20 to 40", F2819 &lt;= 50, "40 to 50", F2819 &gt; 50, "&gt;50" )</f>
        <v>5.1 to 10</v>
      </c>
    </row>
    <row r="2820" spans="1:15" ht="15" customHeight="1" x14ac:dyDescent="0.3">
      <c r="A2820" t="s">
        <v>566</v>
      </c>
      <c r="B2820" s="1">
        <v>46218</v>
      </c>
      <c r="C2820" t="s">
        <v>16</v>
      </c>
      <c r="D2820">
        <v>2623</v>
      </c>
      <c r="E2820">
        <v>1</v>
      </c>
      <c r="F2820">
        <v>3.4</v>
      </c>
      <c r="G2820" t="s">
        <v>505</v>
      </c>
      <c r="H2820" t="s">
        <v>576</v>
      </c>
      <c r="I2820" t="str">
        <f t="shared" si="70"/>
        <v>2623_1</v>
      </c>
      <c r="J2820" t="s">
        <v>533</v>
      </c>
      <c r="K2820" t="s">
        <v>115</v>
      </c>
      <c r="L2820" t="str">
        <f>_xlfn.XLOOKUP(C2820, Table2[Species],Table2[Genus], "Code Not Found")</f>
        <v>Acer</v>
      </c>
      <c r="M2820" t="str">
        <f>_xlfn.XLOOKUP(C2820, Table2[Species],Table2[Sp. Name], "Code Not Found")</f>
        <v>saccharum</v>
      </c>
      <c r="N2820" t="str">
        <f>_xlfn.XLOOKUP(C2820,Table2[Species],Table2[Family],"Code Not Found")</f>
        <v>Sapindaceae</v>
      </c>
      <c r="O2820" t="str" cm="1">
        <f t="array" ref="O2820">_xlfn.IFS(F2820="","",F2820&lt;=5,"0 to 5",F2820&lt;=10,"5.1 to 10",F2820&lt;=20,"10 to 20", F2820&lt;= 40, "20 to 40", F2820 &lt;= 50, "40 to 50", F2820 &gt; 50, "&gt;50" )</f>
        <v>0 to 5</v>
      </c>
    </row>
    <row r="2821" spans="1:15" ht="15" customHeight="1" x14ac:dyDescent="0.3">
      <c r="A2821" t="s">
        <v>566</v>
      </c>
      <c r="B2821" s="1">
        <v>46218</v>
      </c>
      <c r="C2821" t="s">
        <v>16</v>
      </c>
      <c r="D2821">
        <v>2624</v>
      </c>
      <c r="E2821">
        <v>1</v>
      </c>
      <c r="F2821">
        <v>4</v>
      </c>
      <c r="G2821" t="s">
        <v>17</v>
      </c>
      <c r="I2821" t="str">
        <f t="shared" si="70"/>
        <v>2624_1</v>
      </c>
      <c r="J2821" t="s">
        <v>533</v>
      </c>
      <c r="K2821" t="s">
        <v>115</v>
      </c>
      <c r="L2821" t="str">
        <f>_xlfn.XLOOKUP(C2821, Table2[Species],Table2[Genus], "Code Not Found")</f>
        <v>Acer</v>
      </c>
      <c r="M2821" t="str">
        <f>_xlfn.XLOOKUP(C2821, Table2[Species],Table2[Sp. Name], "Code Not Found")</f>
        <v>saccharum</v>
      </c>
      <c r="N2821" t="str">
        <f>_xlfn.XLOOKUP(C2821,Table2[Species],Table2[Family],"Code Not Found")</f>
        <v>Sapindaceae</v>
      </c>
      <c r="O2821" t="str" cm="1">
        <f t="array" ref="O2821">_xlfn.IFS(F2821="","",F2821&lt;=5,"0 to 5",F2821&lt;=10,"5.1 to 10",F2821&lt;=20,"10 to 20", F2821&lt;= 40, "20 to 40", F2821 &lt;= 50, "40 to 50", F2821 &gt; 50, "&gt;50" )</f>
        <v>0 to 5</v>
      </c>
    </row>
    <row r="2822" spans="1:15" ht="15" customHeight="1" x14ac:dyDescent="0.3">
      <c r="A2822" t="s">
        <v>566</v>
      </c>
      <c r="B2822" s="1">
        <v>46218</v>
      </c>
      <c r="C2822" t="s">
        <v>572</v>
      </c>
      <c r="D2822">
        <v>2625</v>
      </c>
      <c r="E2822">
        <v>1</v>
      </c>
      <c r="F2822">
        <v>15.1</v>
      </c>
      <c r="G2822" t="s">
        <v>17</v>
      </c>
      <c r="I2822" t="str">
        <f t="shared" si="70"/>
        <v>2625_1</v>
      </c>
      <c r="J2822" t="s">
        <v>533</v>
      </c>
      <c r="K2822" t="s">
        <v>115</v>
      </c>
      <c r="L2822" t="str">
        <f>_xlfn.XLOOKUP(C2822, Table2[Species],Table2[Genus], "Code Not Found")</f>
        <v>Carya</v>
      </c>
      <c r="M2822" t="str">
        <f>_xlfn.XLOOKUP(C2822, Table2[Species],Table2[Sp. Name], "Code Not Found")</f>
        <v>ovata</v>
      </c>
      <c r="N2822" t="str">
        <f>_xlfn.XLOOKUP(C2822,Table2[Species],Table2[Family],"Code Not Found")</f>
        <v>Juglandaceae</v>
      </c>
      <c r="O2822" t="str" cm="1">
        <f t="array" ref="O2822">_xlfn.IFS(F2822="","",F2822&lt;=5,"0 to 5",F2822&lt;=10,"5.1 to 10",F2822&lt;=20,"10 to 20", F2822&lt;= 40, "20 to 40", F2822 &lt;= 50, "40 to 50", F2822 &gt; 50, "&gt;50" )</f>
        <v>10 to 20</v>
      </c>
    </row>
    <row r="2823" spans="1:15" ht="15" customHeight="1" x14ac:dyDescent="0.3">
      <c r="A2823" t="s">
        <v>566</v>
      </c>
      <c r="B2823" s="1">
        <v>46218</v>
      </c>
      <c r="C2823" t="s">
        <v>16</v>
      </c>
      <c r="D2823">
        <v>2626</v>
      </c>
      <c r="E2823">
        <v>1</v>
      </c>
      <c r="F2823">
        <v>4.0999999999999996</v>
      </c>
      <c r="G2823" t="s">
        <v>30</v>
      </c>
      <c r="H2823" t="s">
        <v>99</v>
      </c>
      <c r="I2823" t="str">
        <f t="shared" si="70"/>
        <v>2626_1</v>
      </c>
      <c r="J2823" t="s">
        <v>533</v>
      </c>
      <c r="K2823" t="s">
        <v>115</v>
      </c>
      <c r="L2823" t="str">
        <f>_xlfn.XLOOKUP(C2823, Table2[Species],Table2[Genus], "Code Not Found")</f>
        <v>Acer</v>
      </c>
      <c r="M2823" t="str">
        <f>_xlfn.XLOOKUP(C2823, Table2[Species],Table2[Sp. Name], "Code Not Found")</f>
        <v>saccharum</v>
      </c>
      <c r="N2823" t="str">
        <f>_xlfn.XLOOKUP(C2823,Table2[Species],Table2[Family],"Code Not Found")</f>
        <v>Sapindaceae</v>
      </c>
      <c r="O2823" t="str" cm="1">
        <f t="array" ref="O2823">_xlfn.IFS(F2823="","",F2823&lt;=5,"0 to 5",F2823&lt;=10,"5.1 to 10",F2823&lt;=20,"10 to 20", F2823&lt;= 40, "20 to 40", F2823 &lt;= 50, "40 to 50", F2823 &gt; 50, "&gt;50" )</f>
        <v>0 to 5</v>
      </c>
    </row>
    <row r="2824" spans="1:15" ht="15" customHeight="1" x14ac:dyDescent="0.3">
      <c r="A2824" t="s">
        <v>566</v>
      </c>
      <c r="B2824" s="1">
        <v>46218</v>
      </c>
      <c r="C2824" t="s">
        <v>64</v>
      </c>
      <c r="D2824">
        <v>2627</v>
      </c>
      <c r="E2824">
        <v>1</v>
      </c>
      <c r="F2824">
        <v>6.2</v>
      </c>
      <c r="G2824" t="s">
        <v>17</v>
      </c>
      <c r="H2824" t="s">
        <v>580</v>
      </c>
      <c r="I2824" t="str">
        <f t="shared" si="70"/>
        <v>2627_1</v>
      </c>
      <c r="J2824" t="s">
        <v>533</v>
      </c>
      <c r="K2824" t="s">
        <v>115</v>
      </c>
      <c r="L2824" t="str">
        <f>_xlfn.XLOOKUP(C2824, Table2[Species],Table2[Genus], "Code Not Found")</f>
        <v>Fagus</v>
      </c>
      <c r="M2824" t="str">
        <f>_xlfn.XLOOKUP(C2824, Table2[Species],Table2[Sp. Name], "Code Not Found")</f>
        <v>grandifolia</v>
      </c>
      <c r="N2824" t="str">
        <f>_xlfn.XLOOKUP(C2824,Table2[Species],Table2[Family],"Code Not Found")</f>
        <v>Fagaceae</v>
      </c>
      <c r="O2824" t="str" cm="1">
        <f t="array" ref="O2824">_xlfn.IFS(F2824="","",F2824&lt;=5,"0 to 5",F2824&lt;=10,"5.1 to 10",F2824&lt;=20,"10 to 20", F2824&lt;= 40, "20 to 40", F2824 &lt;= 50, "40 to 50", F2824 &gt; 50, "&gt;50" )</f>
        <v>5.1 to 10</v>
      </c>
    </row>
    <row r="2825" spans="1:15" ht="15" customHeight="1" x14ac:dyDescent="0.3">
      <c r="A2825" t="s">
        <v>566</v>
      </c>
      <c r="B2825" s="1">
        <v>46218</v>
      </c>
      <c r="C2825" t="s">
        <v>16</v>
      </c>
      <c r="D2825">
        <v>2628</v>
      </c>
      <c r="E2825">
        <v>1</v>
      </c>
      <c r="F2825">
        <v>2.8</v>
      </c>
      <c r="G2825" t="s">
        <v>47</v>
      </c>
      <c r="H2825" t="s">
        <v>500</v>
      </c>
      <c r="I2825" t="str">
        <f t="shared" si="70"/>
        <v>2628_1</v>
      </c>
      <c r="J2825" t="s">
        <v>533</v>
      </c>
      <c r="K2825" t="s">
        <v>115</v>
      </c>
      <c r="L2825" t="str">
        <f>_xlfn.XLOOKUP(C2825, Table2[Species],Table2[Genus], "Code Not Found")</f>
        <v>Acer</v>
      </c>
      <c r="M2825" t="str">
        <f>_xlfn.XLOOKUP(C2825, Table2[Species],Table2[Sp. Name], "Code Not Found")</f>
        <v>saccharum</v>
      </c>
      <c r="N2825" t="str">
        <f>_xlfn.XLOOKUP(C2825,Table2[Species],Table2[Family],"Code Not Found")</f>
        <v>Sapindaceae</v>
      </c>
      <c r="O2825" t="str" cm="1">
        <f t="array" ref="O2825">_xlfn.IFS(F2825="","",F2825&lt;=5,"0 to 5",F2825&lt;=10,"5.1 to 10",F2825&lt;=20,"10 to 20", F2825&lt;= 40, "20 to 40", F2825 &lt;= 50, "40 to 50", F2825 &gt; 50, "&gt;50" )</f>
        <v>0 to 5</v>
      </c>
    </row>
    <row r="2826" spans="1:15" ht="15" customHeight="1" x14ac:dyDescent="0.3">
      <c r="A2826" t="s">
        <v>566</v>
      </c>
      <c r="B2826" s="1">
        <v>46218</v>
      </c>
      <c r="C2826" t="s">
        <v>22</v>
      </c>
      <c r="D2826">
        <v>2629</v>
      </c>
      <c r="E2826">
        <v>1</v>
      </c>
      <c r="F2826">
        <v>12.5</v>
      </c>
      <c r="G2826" t="s">
        <v>17</v>
      </c>
      <c r="I2826" t="str">
        <f t="shared" si="70"/>
        <v>2629_1</v>
      </c>
      <c r="J2826" t="s">
        <v>533</v>
      </c>
      <c r="K2826" t="s">
        <v>115</v>
      </c>
      <c r="L2826" t="str">
        <f>_xlfn.XLOOKUP(C2826, Table2[Species],Table2[Genus], "Code Not Found")</f>
        <v>Acer</v>
      </c>
      <c r="M2826" t="str">
        <f>_xlfn.XLOOKUP(C2826, Table2[Species],Table2[Sp. Name], "Code Not Found")</f>
        <v>rubrum</v>
      </c>
      <c r="N2826" t="str">
        <f>_xlfn.XLOOKUP(C2826,Table2[Species],Table2[Family],"Code Not Found")</f>
        <v>Sapindaceae</v>
      </c>
      <c r="O2826" t="str" cm="1">
        <f t="array" ref="O2826">_xlfn.IFS(F2826="","",F2826&lt;=5,"0 to 5",F2826&lt;=10,"5.1 to 10",F2826&lt;=20,"10 to 20", F2826&lt;= 40, "20 to 40", F2826 &lt;= 50, "40 to 50", F2826 &gt; 50, "&gt;50" )</f>
        <v>10 to 20</v>
      </c>
    </row>
    <row r="2827" spans="1:15" ht="15" customHeight="1" x14ac:dyDescent="0.3">
      <c r="A2827" t="s">
        <v>566</v>
      </c>
      <c r="B2827" s="1">
        <v>46218</v>
      </c>
      <c r="C2827" t="s">
        <v>16</v>
      </c>
      <c r="D2827">
        <v>2630</v>
      </c>
      <c r="E2827">
        <v>1</v>
      </c>
      <c r="F2827">
        <v>4</v>
      </c>
      <c r="G2827" t="s">
        <v>21</v>
      </c>
      <c r="H2827" t="s">
        <v>500</v>
      </c>
      <c r="I2827" t="str">
        <f t="shared" si="70"/>
        <v>2630_1</v>
      </c>
      <c r="J2827" t="s">
        <v>533</v>
      </c>
      <c r="K2827" t="s">
        <v>115</v>
      </c>
      <c r="L2827" t="str">
        <f>_xlfn.XLOOKUP(C2827, Table2[Species],Table2[Genus], "Code Not Found")</f>
        <v>Acer</v>
      </c>
      <c r="M2827" t="str">
        <f>_xlfn.XLOOKUP(C2827, Table2[Species],Table2[Sp. Name], "Code Not Found")</f>
        <v>saccharum</v>
      </c>
      <c r="N2827" t="str">
        <f>_xlfn.XLOOKUP(C2827,Table2[Species],Table2[Family],"Code Not Found")</f>
        <v>Sapindaceae</v>
      </c>
      <c r="O2827" t="str" cm="1">
        <f t="array" ref="O2827">_xlfn.IFS(F2827="","",F2827&lt;=5,"0 to 5",F2827&lt;=10,"5.1 to 10",F2827&lt;=20,"10 to 20", F2827&lt;= 40, "20 to 40", F2827 &lt;= 50, "40 to 50", F2827 &gt; 50, "&gt;50" )</f>
        <v>0 to 5</v>
      </c>
    </row>
    <row r="2828" spans="1:15" ht="15" customHeight="1" x14ac:dyDescent="0.3">
      <c r="A2828" t="s">
        <v>566</v>
      </c>
      <c r="B2828" s="1">
        <v>46218</v>
      </c>
      <c r="C2828" t="s">
        <v>16</v>
      </c>
      <c r="D2828">
        <v>2631</v>
      </c>
      <c r="E2828">
        <v>1</v>
      </c>
      <c r="F2828">
        <v>28.7</v>
      </c>
      <c r="G2828" t="s">
        <v>21</v>
      </c>
      <c r="I2828" t="str">
        <f t="shared" si="70"/>
        <v>2631_1</v>
      </c>
      <c r="J2828" t="s">
        <v>533</v>
      </c>
      <c r="K2828" t="s">
        <v>115</v>
      </c>
      <c r="L2828" t="str">
        <f>_xlfn.XLOOKUP(C2828, Table2[Species],Table2[Genus], "Code Not Found")</f>
        <v>Acer</v>
      </c>
      <c r="M2828" t="str">
        <f>_xlfn.XLOOKUP(C2828, Table2[Species],Table2[Sp. Name], "Code Not Found")</f>
        <v>saccharum</v>
      </c>
      <c r="N2828" t="str">
        <f>_xlfn.XLOOKUP(C2828,Table2[Species],Table2[Family],"Code Not Found")</f>
        <v>Sapindaceae</v>
      </c>
      <c r="O2828" t="str" cm="1">
        <f t="array" ref="O2828">_xlfn.IFS(F2828="","",F2828&lt;=5,"0 to 5",F2828&lt;=10,"5.1 to 10",F2828&lt;=20,"10 to 20", F2828&lt;= 40, "20 to 40", F2828 &lt;= 50, "40 to 50", F2828 &gt; 50, "&gt;50" )</f>
        <v>20 to 40</v>
      </c>
    </row>
    <row r="2829" spans="1:15" ht="15" customHeight="1" x14ac:dyDescent="0.3">
      <c r="A2829" t="s">
        <v>566</v>
      </c>
      <c r="B2829" s="1">
        <v>46218</v>
      </c>
      <c r="C2829" t="s">
        <v>16</v>
      </c>
      <c r="D2829">
        <v>2632</v>
      </c>
      <c r="E2829">
        <v>1</v>
      </c>
      <c r="F2829">
        <v>12.1</v>
      </c>
      <c r="G2829" t="s">
        <v>47</v>
      </c>
      <c r="H2829" t="s">
        <v>500</v>
      </c>
      <c r="I2829" t="str">
        <f t="shared" si="70"/>
        <v>2632_1</v>
      </c>
      <c r="J2829" t="s">
        <v>533</v>
      </c>
      <c r="K2829" t="s">
        <v>115</v>
      </c>
      <c r="L2829" t="str">
        <f>_xlfn.XLOOKUP(C2829, Table2[Species],Table2[Genus], "Code Not Found")</f>
        <v>Acer</v>
      </c>
      <c r="M2829" t="str">
        <f>_xlfn.XLOOKUP(C2829, Table2[Species],Table2[Sp. Name], "Code Not Found")</f>
        <v>saccharum</v>
      </c>
      <c r="N2829" t="str">
        <f>_xlfn.XLOOKUP(C2829,Table2[Species],Table2[Family],"Code Not Found")</f>
        <v>Sapindaceae</v>
      </c>
      <c r="O2829" t="str" cm="1">
        <f t="array" ref="O2829">_xlfn.IFS(F2829="","",F2829&lt;=5,"0 to 5",F2829&lt;=10,"5.1 to 10",F2829&lt;=20,"10 to 20", F2829&lt;= 40, "20 to 40", F2829 &lt;= 50, "40 to 50", F2829 &gt; 50, "&gt;50" )</f>
        <v>10 to 20</v>
      </c>
    </row>
    <row r="2830" spans="1:15" ht="15" customHeight="1" x14ac:dyDescent="0.3">
      <c r="A2830" t="s">
        <v>566</v>
      </c>
      <c r="B2830" s="1">
        <v>46218</v>
      </c>
      <c r="C2830" t="s">
        <v>16</v>
      </c>
      <c r="D2830">
        <v>2633</v>
      </c>
      <c r="E2830">
        <v>1</v>
      </c>
      <c r="F2830">
        <v>16.2</v>
      </c>
      <c r="G2830" t="s">
        <v>21</v>
      </c>
      <c r="I2830" t="str">
        <f t="shared" si="70"/>
        <v>2633_1</v>
      </c>
      <c r="J2830" t="s">
        <v>533</v>
      </c>
      <c r="K2830" t="s">
        <v>115</v>
      </c>
      <c r="L2830" t="str">
        <f>_xlfn.XLOOKUP(C2830, Table2[Species],Table2[Genus], "Code Not Found")</f>
        <v>Acer</v>
      </c>
      <c r="M2830" t="str">
        <f>_xlfn.XLOOKUP(C2830, Table2[Species],Table2[Sp. Name], "Code Not Found")</f>
        <v>saccharum</v>
      </c>
      <c r="N2830" t="str">
        <f>_xlfn.XLOOKUP(C2830,Table2[Species],Table2[Family],"Code Not Found")</f>
        <v>Sapindaceae</v>
      </c>
      <c r="O2830" t="str" cm="1">
        <f t="array" ref="O2830">_xlfn.IFS(F2830="","",F2830&lt;=5,"0 to 5",F2830&lt;=10,"5.1 to 10",F2830&lt;=20,"10 to 20", F2830&lt;= 40, "20 to 40", F2830 &lt;= 50, "40 to 50", F2830 &gt; 50, "&gt;50" )</f>
        <v>10 to 20</v>
      </c>
    </row>
    <row r="2831" spans="1:15" ht="15" customHeight="1" x14ac:dyDescent="0.3">
      <c r="A2831" t="s">
        <v>566</v>
      </c>
      <c r="B2831" s="1">
        <v>46218</v>
      </c>
      <c r="C2831" t="s">
        <v>123</v>
      </c>
      <c r="D2831">
        <v>2634</v>
      </c>
      <c r="E2831">
        <v>1</v>
      </c>
      <c r="F2831">
        <v>74.099999999999994</v>
      </c>
      <c r="G2831" t="s">
        <v>17</v>
      </c>
      <c r="I2831" t="str">
        <f t="shared" si="70"/>
        <v>2634_1</v>
      </c>
      <c r="J2831" t="s">
        <v>533</v>
      </c>
      <c r="K2831" t="s">
        <v>115</v>
      </c>
      <c r="L2831" t="str">
        <f>_xlfn.XLOOKUP(C2831, Table2[Species],Table2[Genus], "Code Not Found")</f>
        <v>Quercus</v>
      </c>
      <c r="M2831" t="str">
        <f>_xlfn.XLOOKUP(C2831, Table2[Species],Table2[Sp. Name], "Code Not Found")</f>
        <v>rubra</v>
      </c>
      <c r="N2831" t="str">
        <f>_xlfn.XLOOKUP(C2831,Table2[Species],Table2[Family],"Code Not Found")</f>
        <v>Fagaceae</v>
      </c>
      <c r="O2831" t="str" cm="1">
        <f t="array" ref="O2831">_xlfn.IFS(F2831="","",F2831&lt;=5,"0 to 5",F2831&lt;=10,"5.1 to 10",F2831&lt;=20,"10 to 20", F2831&lt;= 40, "20 to 40", F2831 &lt;= 50, "40 to 50", F2831 &gt; 50, "&gt;50" )</f>
        <v>&gt;50</v>
      </c>
    </row>
    <row r="2832" spans="1:15" ht="15" customHeight="1" x14ac:dyDescent="0.3">
      <c r="A2832" t="s">
        <v>566</v>
      </c>
      <c r="B2832" s="1">
        <v>46218</v>
      </c>
      <c r="C2832" t="s">
        <v>123</v>
      </c>
      <c r="D2832">
        <v>2635</v>
      </c>
      <c r="E2832">
        <v>1</v>
      </c>
      <c r="F2832">
        <v>46.3</v>
      </c>
      <c r="G2832" t="s">
        <v>17</v>
      </c>
      <c r="I2832" t="str">
        <f t="shared" si="70"/>
        <v>2635_1</v>
      </c>
      <c r="J2832" t="s">
        <v>533</v>
      </c>
      <c r="K2832" t="s">
        <v>115</v>
      </c>
      <c r="L2832" t="str">
        <f>_xlfn.XLOOKUP(C2832, Table2[Species],Table2[Genus], "Code Not Found")</f>
        <v>Quercus</v>
      </c>
      <c r="M2832" t="str">
        <f>_xlfn.XLOOKUP(C2832, Table2[Species],Table2[Sp. Name], "Code Not Found")</f>
        <v>rubra</v>
      </c>
      <c r="N2832" t="str">
        <f>_xlfn.XLOOKUP(C2832,Table2[Species],Table2[Family],"Code Not Found")</f>
        <v>Fagaceae</v>
      </c>
      <c r="O2832" t="str" cm="1">
        <f t="array" ref="O2832">_xlfn.IFS(F2832="","",F2832&lt;=5,"0 to 5",F2832&lt;=10,"5.1 to 10",F2832&lt;=20,"10 to 20", F2832&lt;= 40, "20 to 40", F2832 &lt;= 50, "40 to 50", F2832 &gt; 50, "&gt;50" )</f>
        <v>40 to 50</v>
      </c>
    </row>
    <row r="2833" spans="1:15" ht="15" customHeight="1" x14ac:dyDescent="0.3">
      <c r="A2833" t="s">
        <v>566</v>
      </c>
      <c r="B2833" s="1">
        <v>46218</v>
      </c>
      <c r="C2833" t="s">
        <v>16</v>
      </c>
      <c r="D2833">
        <v>2636</v>
      </c>
      <c r="E2833">
        <v>1</v>
      </c>
      <c r="F2833">
        <v>4.5999999999999996</v>
      </c>
      <c r="G2833" t="s">
        <v>88</v>
      </c>
      <c r="H2833" t="s">
        <v>524</v>
      </c>
      <c r="I2833" t="str">
        <f t="shared" si="70"/>
        <v>2636_1</v>
      </c>
      <c r="J2833" t="s">
        <v>533</v>
      </c>
      <c r="K2833" t="s">
        <v>115</v>
      </c>
      <c r="L2833" t="str">
        <f>_xlfn.XLOOKUP(C2833, Table2[Species],Table2[Genus], "Code Not Found")</f>
        <v>Acer</v>
      </c>
      <c r="M2833" t="str">
        <f>_xlfn.XLOOKUP(C2833, Table2[Species],Table2[Sp. Name], "Code Not Found")</f>
        <v>saccharum</v>
      </c>
      <c r="N2833" t="str">
        <f>_xlfn.XLOOKUP(C2833,Table2[Species],Table2[Family],"Code Not Found")</f>
        <v>Sapindaceae</v>
      </c>
      <c r="O2833" t="str" cm="1">
        <f t="array" ref="O2833">_xlfn.IFS(F2833="","",F2833&lt;=5,"0 to 5",F2833&lt;=10,"5.1 to 10",F2833&lt;=20,"10 to 20", F2833&lt;= 40, "20 to 40", F2833 &lt;= 50, "40 to 50", F2833 &gt; 50, "&gt;50" )</f>
        <v>0 to 5</v>
      </c>
    </row>
    <row r="2834" spans="1:15" ht="15" customHeight="1" x14ac:dyDescent="0.3">
      <c r="A2834" t="s">
        <v>566</v>
      </c>
      <c r="B2834" s="1">
        <v>46218</v>
      </c>
      <c r="C2834" t="s">
        <v>16</v>
      </c>
      <c r="D2834">
        <v>2637</v>
      </c>
      <c r="E2834">
        <v>1</v>
      </c>
      <c r="F2834">
        <v>5.4</v>
      </c>
      <c r="G2834" t="s">
        <v>17</v>
      </c>
      <c r="I2834" t="str">
        <f t="shared" si="70"/>
        <v>2637_1</v>
      </c>
      <c r="J2834" t="s">
        <v>533</v>
      </c>
      <c r="K2834" t="s">
        <v>115</v>
      </c>
      <c r="L2834" t="str">
        <f>_xlfn.XLOOKUP(C2834, Table2[Species],Table2[Genus], "Code Not Found")</f>
        <v>Acer</v>
      </c>
      <c r="M2834" t="str">
        <f>_xlfn.XLOOKUP(C2834, Table2[Species],Table2[Sp. Name], "Code Not Found")</f>
        <v>saccharum</v>
      </c>
      <c r="N2834" t="str">
        <f>_xlfn.XLOOKUP(C2834,Table2[Species],Table2[Family],"Code Not Found")</f>
        <v>Sapindaceae</v>
      </c>
      <c r="O2834" t="str" cm="1">
        <f t="array" ref="O2834">_xlfn.IFS(F2834="","",F2834&lt;=5,"0 to 5",F2834&lt;=10,"5.1 to 10",F2834&lt;=20,"10 to 20", F2834&lt;= 40, "20 to 40", F2834 &lt;= 50, "40 to 50", F2834 &gt; 50, "&gt;50" )</f>
        <v>5.1 to 10</v>
      </c>
    </row>
    <row r="2835" spans="1:15" ht="15" customHeight="1" x14ac:dyDescent="0.3">
      <c r="A2835" t="s">
        <v>566</v>
      </c>
      <c r="B2835" s="1">
        <v>46218</v>
      </c>
      <c r="C2835" t="s">
        <v>22</v>
      </c>
      <c r="D2835">
        <v>2638</v>
      </c>
      <c r="E2835">
        <v>1</v>
      </c>
      <c r="F2835">
        <v>47.8</v>
      </c>
      <c r="G2835" t="s">
        <v>21</v>
      </c>
      <c r="I2835" t="str">
        <f t="shared" si="70"/>
        <v>2638_1</v>
      </c>
      <c r="J2835" t="s">
        <v>533</v>
      </c>
      <c r="K2835" t="s">
        <v>115</v>
      </c>
      <c r="L2835" t="str">
        <f>_xlfn.XLOOKUP(C2835, Table2[Species],Table2[Genus], "Code Not Found")</f>
        <v>Acer</v>
      </c>
      <c r="M2835" t="str">
        <f>_xlfn.XLOOKUP(C2835, Table2[Species],Table2[Sp. Name], "Code Not Found")</f>
        <v>rubrum</v>
      </c>
      <c r="N2835" t="str">
        <f>_xlfn.XLOOKUP(C2835,Table2[Species],Table2[Family],"Code Not Found")</f>
        <v>Sapindaceae</v>
      </c>
      <c r="O2835" t="str" cm="1">
        <f t="array" ref="O2835">_xlfn.IFS(F2835="","",F2835&lt;=5,"0 to 5",F2835&lt;=10,"5.1 to 10",F2835&lt;=20,"10 to 20", F2835&lt;= 40, "20 to 40", F2835 &lt;= 50, "40 to 50", F2835 &gt; 50, "&gt;50" )</f>
        <v>40 to 50</v>
      </c>
    </row>
    <row r="2836" spans="1:15" ht="15" customHeight="1" x14ac:dyDescent="0.3">
      <c r="A2836" t="s">
        <v>566</v>
      </c>
      <c r="B2836" s="1">
        <v>46218</v>
      </c>
      <c r="C2836" t="s">
        <v>123</v>
      </c>
      <c r="D2836">
        <v>2639</v>
      </c>
      <c r="E2836">
        <v>1</v>
      </c>
      <c r="F2836">
        <v>39</v>
      </c>
      <c r="G2836" t="s">
        <v>17</v>
      </c>
      <c r="I2836" t="str">
        <f t="shared" si="70"/>
        <v>2639_1</v>
      </c>
      <c r="J2836" t="s">
        <v>533</v>
      </c>
      <c r="K2836" t="s">
        <v>115</v>
      </c>
      <c r="L2836" t="str">
        <f>_xlfn.XLOOKUP(C2836, Table2[Species],Table2[Genus], "Code Not Found")</f>
        <v>Quercus</v>
      </c>
      <c r="M2836" t="str">
        <f>_xlfn.XLOOKUP(C2836, Table2[Species],Table2[Sp. Name], "Code Not Found")</f>
        <v>rubra</v>
      </c>
      <c r="N2836" t="str">
        <f>_xlfn.XLOOKUP(C2836,Table2[Species],Table2[Family],"Code Not Found")</f>
        <v>Fagaceae</v>
      </c>
      <c r="O2836" t="str" cm="1">
        <f t="array" ref="O2836">_xlfn.IFS(F2836="","",F2836&lt;=5,"0 to 5",F2836&lt;=10,"5.1 to 10",F2836&lt;=20,"10 to 20", F2836&lt;= 40, "20 to 40", F2836 &lt;= 50, "40 to 50", F2836 &gt; 50, "&gt;50" )</f>
        <v>20 to 40</v>
      </c>
    </row>
    <row r="2837" spans="1:15" ht="15" customHeight="1" x14ac:dyDescent="0.3">
      <c r="A2837" t="s">
        <v>566</v>
      </c>
      <c r="B2837" s="1">
        <v>46218</v>
      </c>
      <c r="C2837" t="s">
        <v>22</v>
      </c>
      <c r="D2837">
        <v>2640</v>
      </c>
      <c r="E2837">
        <v>1</v>
      </c>
      <c r="F2837">
        <v>43.9</v>
      </c>
      <c r="G2837" t="s">
        <v>21</v>
      </c>
      <c r="I2837" t="str">
        <f t="shared" si="70"/>
        <v>2640_1</v>
      </c>
      <c r="J2837" t="s">
        <v>533</v>
      </c>
      <c r="K2837" t="s">
        <v>115</v>
      </c>
      <c r="L2837" t="str">
        <f>_xlfn.XLOOKUP(C2837, Table2[Species],Table2[Genus], "Code Not Found")</f>
        <v>Acer</v>
      </c>
      <c r="M2837" t="str">
        <f>_xlfn.XLOOKUP(C2837, Table2[Species],Table2[Sp. Name], "Code Not Found")</f>
        <v>rubrum</v>
      </c>
      <c r="N2837" t="str">
        <f>_xlfn.XLOOKUP(C2837,Table2[Species],Table2[Family],"Code Not Found")</f>
        <v>Sapindaceae</v>
      </c>
      <c r="O2837" t="str" cm="1">
        <f t="array" ref="O2837">_xlfn.IFS(F2837="","",F2837&lt;=5,"0 to 5",F2837&lt;=10,"5.1 to 10",F2837&lt;=20,"10 to 20", F2837&lt;= 40, "20 to 40", F2837 &lt;= 50, "40 to 50", F2837 &gt; 50, "&gt;50" )</f>
        <v>40 to 50</v>
      </c>
    </row>
    <row r="2838" spans="1:15" ht="15" customHeight="1" x14ac:dyDescent="0.3">
      <c r="A2838" t="s">
        <v>566</v>
      </c>
      <c r="B2838" s="1">
        <v>46218</v>
      </c>
      <c r="C2838" t="s">
        <v>16</v>
      </c>
      <c r="D2838">
        <v>2641</v>
      </c>
      <c r="E2838">
        <v>1</v>
      </c>
      <c r="F2838">
        <v>14.4</v>
      </c>
      <c r="G2838" t="s">
        <v>17</v>
      </c>
      <c r="I2838" t="str">
        <f t="shared" si="70"/>
        <v>2641_1</v>
      </c>
      <c r="J2838" t="s">
        <v>533</v>
      </c>
      <c r="K2838" t="s">
        <v>115</v>
      </c>
      <c r="L2838" t="str">
        <f>_xlfn.XLOOKUP(C2838, Table2[Species],Table2[Genus], "Code Not Found")</f>
        <v>Acer</v>
      </c>
      <c r="M2838" t="str">
        <f>_xlfn.XLOOKUP(C2838, Table2[Species],Table2[Sp. Name], "Code Not Found")</f>
        <v>saccharum</v>
      </c>
      <c r="N2838" t="str">
        <f>_xlfn.XLOOKUP(C2838,Table2[Species],Table2[Family],"Code Not Found")</f>
        <v>Sapindaceae</v>
      </c>
      <c r="O2838" t="str" cm="1">
        <f t="array" ref="O2838">_xlfn.IFS(F2838="","",F2838&lt;=5,"0 to 5",F2838&lt;=10,"5.1 to 10",F2838&lt;=20,"10 to 20", F2838&lt;= 40, "20 to 40", F2838 &lt;= 50, "40 to 50", F2838 &gt; 50, "&gt;50" )</f>
        <v>10 to 20</v>
      </c>
    </row>
    <row r="2839" spans="1:15" ht="15" customHeight="1" x14ac:dyDescent="0.3">
      <c r="A2839" t="s">
        <v>566</v>
      </c>
      <c r="B2839" s="1">
        <v>46218</v>
      </c>
      <c r="C2839" t="s">
        <v>16</v>
      </c>
      <c r="D2839">
        <v>2642</v>
      </c>
      <c r="E2839">
        <v>1</v>
      </c>
      <c r="F2839">
        <v>10.199999999999999</v>
      </c>
      <c r="G2839" t="s">
        <v>21</v>
      </c>
      <c r="I2839" t="str">
        <f t="shared" si="70"/>
        <v>2642_1</v>
      </c>
      <c r="J2839" t="s">
        <v>533</v>
      </c>
      <c r="K2839" t="s">
        <v>115</v>
      </c>
      <c r="L2839" t="str">
        <f>_xlfn.XLOOKUP(C2839, Table2[Species],Table2[Genus], "Code Not Found")</f>
        <v>Acer</v>
      </c>
      <c r="M2839" t="str">
        <f>_xlfn.XLOOKUP(C2839, Table2[Species],Table2[Sp. Name], "Code Not Found")</f>
        <v>saccharum</v>
      </c>
      <c r="N2839" t="str">
        <f>_xlfn.XLOOKUP(C2839,Table2[Species],Table2[Family],"Code Not Found")</f>
        <v>Sapindaceae</v>
      </c>
      <c r="O2839" t="str" cm="1">
        <f t="array" ref="O2839">_xlfn.IFS(F2839="","",F2839&lt;=5,"0 to 5",F2839&lt;=10,"5.1 to 10",F2839&lt;=20,"10 to 20", F2839&lt;= 40, "20 to 40", F2839 &lt;= 50, "40 to 50", F2839 &gt; 50, "&gt;50" )</f>
        <v>10 to 20</v>
      </c>
    </row>
    <row r="2840" spans="1:15" ht="15" customHeight="1" x14ac:dyDescent="0.3">
      <c r="A2840" t="s">
        <v>566</v>
      </c>
      <c r="B2840" s="1">
        <v>46218</v>
      </c>
      <c r="C2840" t="s">
        <v>16</v>
      </c>
      <c r="D2840">
        <v>2643</v>
      </c>
      <c r="E2840">
        <v>1</v>
      </c>
      <c r="F2840">
        <v>4.9000000000000004</v>
      </c>
      <c r="G2840" t="s">
        <v>537</v>
      </c>
      <c r="H2840" t="s">
        <v>296</v>
      </c>
      <c r="I2840" t="str">
        <f t="shared" si="70"/>
        <v>2643_1</v>
      </c>
      <c r="J2840" t="s">
        <v>533</v>
      </c>
      <c r="K2840" t="s">
        <v>115</v>
      </c>
      <c r="L2840" t="str">
        <f>_xlfn.XLOOKUP(C2840, Table2[Species],Table2[Genus], "Code Not Found")</f>
        <v>Acer</v>
      </c>
      <c r="M2840" t="str">
        <f>_xlfn.XLOOKUP(C2840, Table2[Species],Table2[Sp. Name], "Code Not Found")</f>
        <v>saccharum</v>
      </c>
      <c r="N2840" t="str">
        <f>_xlfn.XLOOKUP(C2840,Table2[Species],Table2[Family],"Code Not Found")</f>
        <v>Sapindaceae</v>
      </c>
      <c r="O2840" t="str" cm="1">
        <f t="array" ref="O2840">_xlfn.IFS(F2840="","",F2840&lt;=5,"0 to 5",F2840&lt;=10,"5.1 to 10",F2840&lt;=20,"10 to 20", F2840&lt;= 40, "20 to 40", F2840 &lt;= 50, "40 to 50", F2840 &gt; 50, "&gt;50" )</f>
        <v>0 to 5</v>
      </c>
    </row>
    <row r="2841" spans="1:15" ht="15" customHeight="1" x14ac:dyDescent="0.3">
      <c r="A2841" t="s">
        <v>566</v>
      </c>
      <c r="B2841" s="1">
        <v>46218</v>
      </c>
      <c r="C2841" t="s">
        <v>16</v>
      </c>
      <c r="D2841">
        <v>2644</v>
      </c>
      <c r="E2841">
        <v>1</v>
      </c>
      <c r="F2841">
        <v>43.8</v>
      </c>
      <c r="G2841" t="s">
        <v>21</v>
      </c>
      <c r="I2841" t="str">
        <f t="shared" si="70"/>
        <v>2644_1</v>
      </c>
      <c r="J2841" t="s">
        <v>533</v>
      </c>
      <c r="K2841" t="s">
        <v>115</v>
      </c>
      <c r="L2841" t="str">
        <f>_xlfn.XLOOKUP(C2841, Table2[Species],Table2[Genus], "Code Not Found")</f>
        <v>Acer</v>
      </c>
      <c r="M2841" t="str">
        <f>_xlfn.XLOOKUP(C2841, Table2[Species],Table2[Sp. Name], "Code Not Found")</f>
        <v>saccharum</v>
      </c>
      <c r="N2841" t="str">
        <f>_xlfn.XLOOKUP(C2841,Table2[Species],Table2[Family],"Code Not Found")</f>
        <v>Sapindaceae</v>
      </c>
      <c r="O2841" t="str" cm="1">
        <f t="array" ref="O2841">_xlfn.IFS(F2841="","",F2841&lt;=5,"0 to 5",F2841&lt;=10,"5.1 to 10",F2841&lt;=20,"10 to 20", F2841&lt;= 40, "20 to 40", F2841 &lt;= 50, "40 to 50", F2841 &gt; 50, "&gt;50" )</f>
        <v>40 to 50</v>
      </c>
    </row>
    <row r="2842" spans="1:15" ht="15" customHeight="1" x14ac:dyDescent="0.3">
      <c r="A2842" t="s">
        <v>566</v>
      </c>
      <c r="B2842" s="1">
        <v>46218</v>
      </c>
      <c r="C2842" t="s">
        <v>16</v>
      </c>
      <c r="D2842">
        <v>2645</v>
      </c>
      <c r="E2842">
        <v>1</v>
      </c>
      <c r="F2842">
        <v>11.1</v>
      </c>
      <c r="G2842" t="s">
        <v>381</v>
      </c>
      <c r="H2842" t="s">
        <v>581</v>
      </c>
      <c r="I2842" t="str">
        <f t="shared" si="70"/>
        <v>2645_1</v>
      </c>
      <c r="J2842" t="s">
        <v>533</v>
      </c>
      <c r="K2842" t="s">
        <v>115</v>
      </c>
      <c r="L2842" t="str">
        <f>_xlfn.XLOOKUP(C2842, Table2[Species],Table2[Genus], "Code Not Found")</f>
        <v>Acer</v>
      </c>
      <c r="M2842" t="str">
        <f>_xlfn.XLOOKUP(C2842, Table2[Species],Table2[Sp. Name], "Code Not Found")</f>
        <v>saccharum</v>
      </c>
      <c r="N2842" t="str">
        <f>_xlfn.XLOOKUP(C2842,Table2[Species],Table2[Family],"Code Not Found")</f>
        <v>Sapindaceae</v>
      </c>
      <c r="O2842" t="str" cm="1">
        <f t="array" ref="O2842">_xlfn.IFS(F2842="","",F2842&lt;=5,"0 to 5",F2842&lt;=10,"5.1 to 10",F2842&lt;=20,"10 to 20", F2842&lt;= 40, "20 to 40", F2842 &lt;= 50, "40 to 50", F2842 &gt; 50, "&gt;50" )</f>
        <v>10 to 20</v>
      </c>
    </row>
    <row r="2843" spans="1:15" ht="15" customHeight="1" x14ac:dyDescent="0.3">
      <c r="A2843" t="s">
        <v>566</v>
      </c>
      <c r="B2843" s="1">
        <v>46218</v>
      </c>
      <c r="C2843" t="s">
        <v>129</v>
      </c>
      <c r="D2843">
        <v>2646</v>
      </c>
      <c r="E2843">
        <v>1</v>
      </c>
      <c r="F2843">
        <v>74.400000000000006</v>
      </c>
      <c r="G2843" t="s">
        <v>56</v>
      </c>
      <c r="H2843" t="s">
        <v>582</v>
      </c>
      <c r="I2843" t="str">
        <f t="shared" si="70"/>
        <v>2646_1</v>
      </c>
      <c r="J2843" t="s">
        <v>533</v>
      </c>
      <c r="K2843" t="s">
        <v>115</v>
      </c>
      <c r="L2843" t="str">
        <f>_xlfn.XLOOKUP(C2843, Table2[Species],Table2[Genus], "Code Not Found")</f>
        <v>Quercus</v>
      </c>
      <c r="M2843" t="str">
        <f>_xlfn.XLOOKUP(C2843, Table2[Species],Table2[Sp. Name], "Code Not Found")</f>
        <v>alba</v>
      </c>
      <c r="N2843" t="str">
        <f>_xlfn.XLOOKUP(C2843,Table2[Species],Table2[Family],"Code Not Found")</f>
        <v>Fagaceae</v>
      </c>
      <c r="O2843" t="str" cm="1">
        <f t="array" ref="O2843">_xlfn.IFS(F2843="","",F2843&lt;=5,"0 to 5",F2843&lt;=10,"5.1 to 10",F2843&lt;=20,"10 to 20", F2843&lt;= 40, "20 to 40", F2843 &lt;= 50, "40 to 50", F2843 &gt; 50, "&gt;50" )</f>
        <v>&gt;50</v>
      </c>
    </row>
    <row r="2844" spans="1:15" ht="15" customHeight="1" x14ac:dyDescent="0.3">
      <c r="A2844" t="s">
        <v>566</v>
      </c>
      <c r="B2844" s="1">
        <v>46218</v>
      </c>
      <c r="C2844" t="s">
        <v>16</v>
      </c>
      <c r="D2844">
        <v>2647</v>
      </c>
      <c r="E2844">
        <v>1</v>
      </c>
      <c r="F2844">
        <v>8.6</v>
      </c>
      <c r="G2844" t="s">
        <v>47</v>
      </c>
      <c r="H2844" t="s">
        <v>347</v>
      </c>
      <c r="I2844" t="str">
        <f t="shared" si="70"/>
        <v>2647_1</v>
      </c>
      <c r="J2844" t="s">
        <v>533</v>
      </c>
      <c r="K2844" t="s">
        <v>115</v>
      </c>
      <c r="L2844" t="str">
        <f>_xlfn.XLOOKUP(C2844, Table2[Species],Table2[Genus], "Code Not Found")</f>
        <v>Acer</v>
      </c>
      <c r="M2844" t="str">
        <f>_xlfn.XLOOKUP(C2844, Table2[Species],Table2[Sp. Name], "Code Not Found")</f>
        <v>saccharum</v>
      </c>
      <c r="N2844" t="str">
        <f>_xlfn.XLOOKUP(C2844,Table2[Species],Table2[Family],"Code Not Found")</f>
        <v>Sapindaceae</v>
      </c>
      <c r="O2844" t="str" cm="1">
        <f t="array" ref="O2844">_xlfn.IFS(F2844="","",F2844&lt;=5,"0 to 5",F2844&lt;=10,"5.1 to 10",F2844&lt;=20,"10 to 20", F2844&lt;= 40, "20 to 40", F2844 &lt;= 50, "40 to 50", F2844 &gt; 50, "&gt;50" )</f>
        <v>5.1 to 10</v>
      </c>
    </row>
    <row r="2845" spans="1:15" ht="15" customHeight="1" x14ac:dyDescent="0.3">
      <c r="A2845" t="s">
        <v>566</v>
      </c>
      <c r="B2845" s="1">
        <v>46218</v>
      </c>
      <c r="C2845" t="s">
        <v>16</v>
      </c>
      <c r="D2845">
        <v>2648</v>
      </c>
      <c r="E2845">
        <v>1</v>
      </c>
      <c r="F2845">
        <v>3.3</v>
      </c>
      <c r="G2845" t="s">
        <v>47</v>
      </c>
      <c r="I2845" t="str">
        <f t="shared" si="70"/>
        <v>2648_1</v>
      </c>
      <c r="J2845" t="s">
        <v>533</v>
      </c>
      <c r="K2845" t="s">
        <v>115</v>
      </c>
      <c r="L2845" t="str">
        <f>_xlfn.XLOOKUP(C2845, Table2[Species],Table2[Genus], "Code Not Found")</f>
        <v>Acer</v>
      </c>
      <c r="M2845" t="str">
        <f>_xlfn.XLOOKUP(C2845, Table2[Species],Table2[Sp. Name], "Code Not Found")</f>
        <v>saccharum</v>
      </c>
      <c r="N2845" t="str">
        <f>_xlfn.XLOOKUP(C2845,Table2[Species],Table2[Family],"Code Not Found")</f>
        <v>Sapindaceae</v>
      </c>
      <c r="O2845" t="str" cm="1">
        <f t="array" ref="O2845">_xlfn.IFS(F2845="","",F2845&lt;=5,"0 to 5",F2845&lt;=10,"5.1 to 10",F2845&lt;=20,"10 to 20", F2845&lt;= 40, "20 to 40", F2845 &lt;= 50, "40 to 50", F2845 &gt; 50, "&gt;50" )</f>
        <v>0 to 5</v>
      </c>
    </row>
    <row r="2846" spans="1:15" ht="15" customHeight="1" x14ac:dyDescent="0.3">
      <c r="A2846" t="s">
        <v>566</v>
      </c>
      <c r="B2846" s="1">
        <v>46218</v>
      </c>
      <c r="C2846" t="s">
        <v>572</v>
      </c>
      <c r="D2846">
        <v>2649</v>
      </c>
      <c r="E2846">
        <v>1</v>
      </c>
      <c r="F2846">
        <v>14.6</v>
      </c>
      <c r="G2846" t="s">
        <v>17</v>
      </c>
      <c r="I2846" t="str">
        <f t="shared" si="70"/>
        <v>2649_1</v>
      </c>
      <c r="J2846" t="s">
        <v>533</v>
      </c>
      <c r="K2846" t="s">
        <v>115</v>
      </c>
      <c r="L2846" t="str">
        <f>_xlfn.XLOOKUP(C2846, Table2[Species],Table2[Genus], "Code Not Found")</f>
        <v>Carya</v>
      </c>
      <c r="M2846" t="str">
        <f>_xlfn.XLOOKUP(C2846, Table2[Species],Table2[Sp. Name], "Code Not Found")</f>
        <v>ovata</v>
      </c>
      <c r="N2846" t="str">
        <f>_xlfn.XLOOKUP(C2846,Table2[Species],Table2[Family],"Code Not Found")</f>
        <v>Juglandaceae</v>
      </c>
      <c r="O2846" t="str" cm="1">
        <f t="array" ref="O2846">_xlfn.IFS(F2846="","",F2846&lt;=5,"0 to 5",F2846&lt;=10,"5.1 to 10",F2846&lt;=20,"10 to 20", F2846&lt;= 40, "20 to 40", F2846 &lt;= 50, "40 to 50", F2846 &gt; 50, "&gt;50" )</f>
        <v>10 to 20</v>
      </c>
    </row>
    <row r="2847" spans="1:15" ht="15" customHeight="1" x14ac:dyDescent="0.3">
      <c r="A2847" t="s">
        <v>566</v>
      </c>
      <c r="B2847" s="1">
        <v>46218</v>
      </c>
      <c r="C2847" t="s">
        <v>16</v>
      </c>
      <c r="D2847">
        <v>2650</v>
      </c>
      <c r="E2847">
        <v>1</v>
      </c>
      <c r="F2847">
        <v>4</v>
      </c>
      <c r="G2847" t="s">
        <v>30</v>
      </c>
      <c r="H2847" t="s">
        <v>99</v>
      </c>
      <c r="I2847" t="str">
        <f t="shared" si="70"/>
        <v>2650_1</v>
      </c>
      <c r="J2847" t="s">
        <v>533</v>
      </c>
      <c r="K2847" t="s">
        <v>115</v>
      </c>
      <c r="L2847" t="str">
        <f>_xlfn.XLOOKUP(C2847, Table2[Species],Table2[Genus], "Code Not Found")</f>
        <v>Acer</v>
      </c>
      <c r="M2847" t="str">
        <f>_xlfn.XLOOKUP(C2847, Table2[Species],Table2[Sp. Name], "Code Not Found")</f>
        <v>saccharum</v>
      </c>
      <c r="N2847" t="str">
        <f>_xlfn.XLOOKUP(C2847,Table2[Species],Table2[Family],"Code Not Found")</f>
        <v>Sapindaceae</v>
      </c>
      <c r="O2847" t="str" cm="1">
        <f t="array" ref="O2847">_xlfn.IFS(F2847="","",F2847&lt;=5,"0 to 5",F2847&lt;=10,"5.1 to 10",F2847&lt;=20,"10 to 20", F2847&lt;= 40, "20 to 40", F2847 &lt;= 50, "40 to 50", F2847 &gt; 50, "&gt;50" )</f>
        <v>0 to 5</v>
      </c>
    </row>
    <row r="2848" spans="1:15" ht="15" customHeight="1" x14ac:dyDescent="0.3">
      <c r="A2848" t="s">
        <v>566</v>
      </c>
      <c r="B2848" s="1">
        <v>46218</v>
      </c>
      <c r="C2848" t="s">
        <v>16</v>
      </c>
      <c r="D2848">
        <v>2651</v>
      </c>
      <c r="E2848">
        <v>1</v>
      </c>
      <c r="F2848">
        <v>4.4000000000000004</v>
      </c>
      <c r="G2848" t="s">
        <v>17</v>
      </c>
      <c r="I2848" t="str">
        <f t="shared" si="70"/>
        <v>2651_1</v>
      </c>
      <c r="J2848" t="s">
        <v>533</v>
      </c>
      <c r="K2848" t="s">
        <v>115</v>
      </c>
      <c r="L2848" t="str">
        <f>_xlfn.XLOOKUP(C2848, Table2[Species],Table2[Genus], "Code Not Found")</f>
        <v>Acer</v>
      </c>
      <c r="M2848" t="str">
        <f>_xlfn.XLOOKUP(C2848, Table2[Species],Table2[Sp. Name], "Code Not Found")</f>
        <v>saccharum</v>
      </c>
      <c r="N2848" t="str">
        <f>_xlfn.XLOOKUP(C2848,Table2[Species],Table2[Family],"Code Not Found")</f>
        <v>Sapindaceae</v>
      </c>
      <c r="O2848" t="str" cm="1">
        <f t="array" ref="O2848">_xlfn.IFS(F2848="","",F2848&lt;=5,"0 to 5",F2848&lt;=10,"5.1 to 10",F2848&lt;=20,"10 to 20", F2848&lt;= 40, "20 to 40", F2848 &lt;= 50, "40 to 50", F2848 &gt; 50, "&gt;50" )</f>
        <v>0 to 5</v>
      </c>
    </row>
    <row r="2849" spans="1:15" ht="15" customHeight="1" x14ac:dyDescent="0.3">
      <c r="A2849" t="s">
        <v>566</v>
      </c>
      <c r="B2849" s="1">
        <v>46218</v>
      </c>
      <c r="C2849" t="s">
        <v>20</v>
      </c>
      <c r="D2849">
        <v>2652</v>
      </c>
      <c r="E2849">
        <v>1</v>
      </c>
      <c r="F2849">
        <v>15.1</v>
      </c>
      <c r="G2849" t="s">
        <v>17</v>
      </c>
      <c r="H2849" t="s">
        <v>36</v>
      </c>
      <c r="I2849" t="str">
        <f t="shared" si="70"/>
        <v>2652_1</v>
      </c>
      <c r="J2849" t="s">
        <v>533</v>
      </c>
      <c r="K2849" t="s">
        <v>115</v>
      </c>
      <c r="L2849" t="str">
        <f>_xlfn.XLOOKUP(C2849, Table2[Species],Table2[Genus], "Code Not Found")</f>
        <v>Prunus</v>
      </c>
      <c r="M2849" t="str">
        <f>_xlfn.XLOOKUP(C2849, Table2[Species],Table2[Sp. Name], "Code Not Found")</f>
        <v>serotina</v>
      </c>
      <c r="N2849" t="str">
        <f>_xlfn.XLOOKUP(C2849,Table2[Species],Table2[Family],"Code Not Found")</f>
        <v>Rosaceae</v>
      </c>
      <c r="O2849" t="str" cm="1">
        <f t="array" ref="O2849">_xlfn.IFS(F2849="","",F2849&lt;=5,"0 to 5",F2849&lt;=10,"5.1 to 10",F2849&lt;=20,"10 to 20", F2849&lt;= 40, "20 to 40", F2849 &lt;= 50, "40 to 50", F2849 &gt; 50, "&gt;50" )</f>
        <v>10 to 20</v>
      </c>
    </row>
    <row r="2850" spans="1:15" ht="15" customHeight="1" x14ac:dyDescent="0.3">
      <c r="A2850" t="s">
        <v>566</v>
      </c>
      <c r="B2850" s="1">
        <v>46218</v>
      </c>
      <c r="C2850" t="s">
        <v>16</v>
      </c>
      <c r="D2850">
        <v>2653</v>
      </c>
      <c r="E2850">
        <v>1</v>
      </c>
      <c r="F2850">
        <v>10.199999999999999</v>
      </c>
      <c r="G2850" t="s">
        <v>17</v>
      </c>
      <c r="I2850" t="str">
        <f t="shared" si="70"/>
        <v>2653_1</v>
      </c>
      <c r="J2850" t="s">
        <v>533</v>
      </c>
      <c r="K2850" t="s">
        <v>115</v>
      </c>
      <c r="L2850" t="str">
        <f>_xlfn.XLOOKUP(C2850, Table2[Species],Table2[Genus], "Code Not Found")</f>
        <v>Acer</v>
      </c>
      <c r="M2850" t="str">
        <f>_xlfn.XLOOKUP(C2850, Table2[Species],Table2[Sp. Name], "Code Not Found")</f>
        <v>saccharum</v>
      </c>
      <c r="N2850" t="str">
        <f>_xlfn.XLOOKUP(C2850,Table2[Species],Table2[Family],"Code Not Found")</f>
        <v>Sapindaceae</v>
      </c>
      <c r="O2850" t="str" cm="1">
        <f t="array" ref="O2850">_xlfn.IFS(F2850="","",F2850&lt;=5,"0 to 5",F2850&lt;=10,"5.1 to 10",F2850&lt;=20,"10 to 20", F2850&lt;= 40, "20 to 40", F2850 &lt;= 50, "40 to 50", F2850 &gt; 50, "&gt;50" )</f>
        <v>10 to 20</v>
      </c>
    </row>
    <row r="2851" spans="1:15" ht="15" customHeight="1" x14ac:dyDescent="0.3">
      <c r="A2851" t="s">
        <v>566</v>
      </c>
      <c r="B2851" s="1">
        <v>46218</v>
      </c>
      <c r="C2851" t="s">
        <v>16</v>
      </c>
      <c r="D2851">
        <v>2654</v>
      </c>
      <c r="E2851">
        <v>1</v>
      </c>
      <c r="F2851">
        <v>8.1</v>
      </c>
      <c r="G2851" t="s">
        <v>21</v>
      </c>
      <c r="I2851" t="str">
        <f t="shared" si="70"/>
        <v>2654_1</v>
      </c>
      <c r="J2851" t="s">
        <v>533</v>
      </c>
      <c r="K2851" t="s">
        <v>115</v>
      </c>
      <c r="L2851" t="str">
        <f>_xlfn.XLOOKUP(C2851, Table2[Species],Table2[Genus], "Code Not Found")</f>
        <v>Acer</v>
      </c>
      <c r="M2851" t="str">
        <f>_xlfn.XLOOKUP(C2851, Table2[Species],Table2[Sp. Name], "Code Not Found")</f>
        <v>saccharum</v>
      </c>
      <c r="N2851" t="str">
        <f>_xlfn.XLOOKUP(C2851,Table2[Species],Table2[Family],"Code Not Found")</f>
        <v>Sapindaceae</v>
      </c>
      <c r="O2851" t="str" cm="1">
        <f t="array" ref="O2851">_xlfn.IFS(F2851="","",F2851&lt;=5,"0 to 5",F2851&lt;=10,"5.1 to 10",F2851&lt;=20,"10 to 20", F2851&lt;= 40, "20 to 40", F2851 &lt;= 50, "40 to 50", F2851 &gt; 50, "&gt;50" )</f>
        <v>5.1 to 10</v>
      </c>
    </row>
    <row r="2852" spans="1:15" ht="15" customHeight="1" x14ac:dyDescent="0.3">
      <c r="A2852" t="s">
        <v>566</v>
      </c>
      <c r="B2852" s="1">
        <v>46218</v>
      </c>
      <c r="C2852" t="s">
        <v>16</v>
      </c>
      <c r="D2852">
        <v>2655</v>
      </c>
      <c r="E2852">
        <v>1</v>
      </c>
      <c r="F2852">
        <v>7.1</v>
      </c>
      <c r="G2852" t="s">
        <v>17</v>
      </c>
      <c r="I2852" t="str">
        <f t="shared" si="70"/>
        <v>2655_1</v>
      </c>
      <c r="J2852" t="s">
        <v>533</v>
      </c>
      <c r="K2852" t="s">
        <v>115</v>
      </c>
      <c r="L2852" t="str">
        <f>_xlfn.XLOOKUP(C2852, Table2[Species],Table2[Genus], "Code Not Found")</f>
        <v>Acer</v>
      </c>
      <c r="M2852" t="str">
        <f>_xlfn.XLOOKUP(C2852, Table2[Species],Table2[Sp. Name], "Code Not Found")</f>
        <v>saccharum</v>
      </c>
      <c r="N2852" t="str">
        <f>_xlfn.XLOOKUP(C2852,Table2[Species],Table2[Family],"Code Not Found")</f>
        <v>Sapindaceae</v>
      </c>
      <c r="O2852" t="str" cm="1">
        <f t="array" ref="O2852">_xlfn.IFS(F2852="","",F2852&lt;=5,"0 to 5",F2852&lt;=10,"5.1 to 10",F2852&lt;=20,"10 to 20", F2852&lt;= 40, "20 to 40", F2852 &lt;= 50, "40 to 50", F2852 &gt; 50, "&gt;50" )</f>
        <v>5.1 to 10</v>
      </c>
    </row>
    <row r="2853" spans="1:15" ht="15" customHeight="1" x14ac:dyDescent="0.3">
      <c r="A2853" t="s">
        <v>566</v>
      </c>
      <c r="B2853" s="1">
        <v>46218</v>
      </c>
      <c r="C2853" t="s">
        <v>129</v>
      </c>
      <c r="D2853">
        <v>2656</v>
      </c>
      <c r="E2853">
        <v>1</v>
      </c>
      <c r="F2853">
        <v>33.299999999999997</v>
      </c>
      <c r="G2853" t="s">
        <v>21</v>
      </c>
      <c r="I2853" t="str">
        <f t="shared" si="70"/>
        <v>2656_1</v>
      </c>
      <c r="J2853" t="s">
        <v>533</v>
      </c>
      <c r="K2853" t="s">
        <v>115</v>
      </c>
      <c r="L2853" t="str">
        <f>_xlfn.XLOOKUP(C2853, Table2[Species],Table2[Genus], "Code Not Found")</f>
        <v>Quercus</v>
      </c>
      <c r="M2853" t="str">
        <f>_xlfn.XLOOKUP(C2853, Table2[Species],Table2[Sp. Name], "Code Not Found")</f>
        <v>alba</v>
      </c>
      <c r="N2853" t="str">
        <f>_xlfn.XLOOKUP(C2853,Table2[Species],Table2[Family],"Code Not Found")</f>
        <v>Fagaceae</v>
      </c>
      <c r="O2853" t="str" cm="1">
        <f t="array" ref="O2853">_xlfn.IFS(F2853="","",F2853&lt;=5,"0 to 5",F2853&lt;=10,"5.1 to 10",F2853&lt;=20,"10 to 20", F2853&lt;= 40, "20 to 40", F2853 &lt;= 50, "40 to 50", F2853 &gt; 50, "&gt;50" )</f>
        <v>20 to 40</v>
      </c>
    </row>
    <row r="2854" spans="1:15" ht="15" customHeight="1" x14ac:dyDescent="0.3">
      <c r="A2854" t="s">
        <v>566</v>
      </c>
      <c r="B2854" s="1">
        <v>46218</v>
      </c>
      <c r="C2854" t="s">
        <v>16</v>
      </c>
      <c r="D2854">
        <v>2657</v>
      </c>
      <c r="E2854">
        <v>1</v>
      </c>
      <c r="F2854">
        <v>9.3000000000000007</v>
      </c>
      <c r="G2854" t="s">
        <v>17</v>
      </c>
      <c r="I2854" t="str">
        <f t="shared" si="70"/>
        <v>2657_1</v>
      </c>
      <c r="J2854" t="s">
        <v>533</v>
      </c>
      <c r="K2854" t="s">
        <v>115</v>
      </c>
      <c r="L2854" t="str">
        <f>_xlfn.XLOOKUP(C2854, Table2[Species],Table2[Genus], "Code Not Found")</f>
        <v>Acer</v>
      </c>
      <c r="M2854" t="str">
        <f>_xlfn.XLOOKUP(C2854, Table2[Species],Table2[Sp. Name], "Code Not Found")</f>
        <v>saccharum</v>
      </c>
      <c r="N2854" t="str">
        <f>_xlfn.XLOOKUP(C2854,Table2[Species],Table2[Family],"Code Not Found")</f>
        <v>Sapindaceae</v>
      </c>
      <c r="O2854" t="str" cm="1">
        <f t="array" ref="O2854">_xlfn.IFS(F2854="","",F2854&lt;=5,"0 to 5",F2854&lt;=10,"5.1 to 10",F2854&lt;=20,"10 to 20", F2854&lt;= 40, "20 to 40", F2854 &lt;= 50, "40 to 50", F2854 &gt; 50, "&gt;50" )</f>
        <v>5.1 to 10</v>
      </c>
    </row>
    <row r="2855" spans="1:15" ht="15" customHeight="1" x14ac:dyDescent="0.3">
      <c r="A2855" t="s">
        <v>566</v>
      </c>
      <c r="B2855" s="1">
        <v>46218</v>
      </c>
      <c r="C2855" t="s">
        <v>123</v>
      </c>
      <c r="D2855">
        <v>2658</v>
      </c>
      <c r="E2855">
        <v>1</v>
      </c>
      <c r="F2855">
        <v>55.5</v>
      </c>
      <c r="G2855" t="s">
        <v>21</v>
      </c>
      <c r="H2855" t="s">
        <v>500</v>
      </c>
      <c r="I2855" t="str">
        <f t="shared" si="70"/>
        <v>2658_1</v>
      </c>
      <c r="J2855" t="s">
        <v>533</v>
      </c>
      <c r="K2855" t="s">
        <v>115</v>
      </c>
      <c r="L2855" t="str">
        <f>_xlfn.XLOOKUP(C2855, Table2[Species],Table2[Genus], "Code Not Found")</f>
        <v>Quercus</v>
      </c>
      <c r="M2855" t="str">
        <f>_xlfn.XLOOKUP(C2855, Table2[Species],Table2[Sp. Name], "Code Not Found")</f>
        <v>rubra</v>
      </c>
      <c r="N2855" t="str">
        <f>_xlfn.XLOOKUP(C2855,Table2[Species],Table2[Family],"Code Not Found")</f>
        <v>Fagaceae</v>
      </c>
      <c r="O2855" t="str" cm="1">
        <f t="array" ref="O2855">_xlfn.IFS(F2855="","",F2855&lt;=5,"0 to 5",F2855&lt;=10,"5.1 to 10",F2855&lt;=20,"10 to 20", F2855&lt;= 40, "20 to 40", F2855 &lt;= 50, "40 to 50", F2855 &gt; 50, "&gt;50" )</f>
        <v>&gt;50</v>
      </c>
    </row>
    <row r="2856" spans="1:15" ht="15" customHeight="1" x14ac:dyDescent="0.3">
      <c r="A2856" t="s">
        <v>566</v>
      </c>
      <c r="B2856" s="1">
        <v>46218</v>
      </c>
      <c r="C2856" t="s">
        <v>16</v>
      </c>
      <c r="D2856">
        <v>2659</v>
      </c>
      <c r="E2856">
        <v>1</v>
      </c>
      <c r="F2856">
        <v>8.3000000000000007</v>
      </c>
      <c r="G2856" t="s">
        <v>17</v>
      </c>
      <c r="I2856" t="str">
        <f t="shared" si="70"/>
        <v>2659_1</v>
      </c>
      <c r="J2856" t="s">
        <v>533</v>
      </c>
      <c r="K2856" t="s">
        <v>115</v>
      </c>
      <c r="L2856" t="str">
        <f>_xlfn.XLOOKUP(C2856, Table2[Species],Table2[Genus], "Code Not Found")</f>
        <v>Acer</v>
      </c>
      <c r="M2856" t="str">
        <f>_xlfn.XLOOKUP(C2856, Table2[Species],Table2[Sp. Name], "Code Not Found")</f>
        <v>saccharum</v>
      </c>
      <c r="N2856" t="str">
        <f>_xlfn.XLOOKUP(C2856,Table2[Species],Table2[Family],"Code Not Found")</f>
        <v>Sapindaceae</v>
      </c>
      <c r="O2856" t="str" cm="1">
        <f t="array" ref="O2856">_xlfn.IFS(F2856="","",F2856&lt;=5,"0 to 5",F2856&lt;=10,"5.1 to 10",F2856&lt;=20,"10 to 20", F2856&lt;= 40, "20 to 40", F2856 &lt;= 50, "40 to 50", F2856 &gt; 50, "&gt;50" )</f>
        <v>5.1 to 10</v>
      </c>
    </row>
    <row r="2857" spans="1:15" ht="15" customHeight="1" x14ac:dyDescent="0.3">
      <c r="A2857" t="s">
        <v>566</v>
      </c>
      <c r="B2857" s="1">
        <v>46218</v>
      </c>
      <c r="C2857" t="s">
        <v>16</v>
      </c>
      <c r="D2857">
        <v>2660</v>
      </c>
      <c r="E2857">
        <v>1</v>
      </c>
      <c r="F2857">
        <v>5</v>
      </c>
      <c r="G2857" t="s">
        <v>21</v>
      </c>
      <c r="I2857" t="str">
        <f t="shared" si="70"/>
        <v>2660_1</v>
      </c>
      <c r="J2857" t="s">
        <v>533</v>
      </c>
      <c r="K2857" t="s">
        <v>115</v>
      </c>
      <c r="L2857" t="str">
        <f>_xlfn.XLOOKUP(C2857, Table2[Species],Table2[Genus], "Code Not Found")</f>
        <v>Acer</v>
      </c>
      <c r="M2857" t="str">
        <f>_xlfn.XLOOKUP(C2857, Table2[Species],Table2[Sp. Name], "Code Not Found")</f>
        <v>saccharum</v>
      </c>
      <c r="N2857" t="str">
        <f>_xlfn.XLOOKUP(C2857,Table2[Species],Table2[Family],"Code Not Found")</f>
        <v>Sapindaceae</v>
      </c>
      <c r="O2857" t="str" cm="1">
        <f t="array" ref="O2857">_xlfn.IFS(F2857="","",F2857&lt;=5,"0 to 5",F2857&lt;=10,"5.1 to 10",F2857&lt;=20,"10 to 20", F2857&lt;= 40, "20 to 40", F2857 &lt;= 50, "40 to 50", F2857 &gt; 50, "&gt;50" )</f>
        <v>0 to 5</v>
      </c>
    </row>
    <row r="2858" spans="1:15" ht="15" customHeight="1" x14ac:dyDescent="0.3">
      <c r="A2858" t="s">
        <v>566</v>
      </c>
      <c r="B2858" s="1">
        <v>46218</v>
      </c>
      <c r="C2858" t="s">
        <v>123</v>
      </c>
      <c r="D2858">
        <v>2661</v>
      </c>
      <c r="E2858">
        <v>1</v>
      </c>
      <c r="F2858">
        <v>61.5</v>
      </c>
      <c r="G2858" t="s">
        <v>17</v>
      </c>
      <c r="I2858" t="str">
        <f t="shared" ref="I2858:I2900" si="71">D2858&amp;"_"&amp;E2858</f>
        <v>2661_1</v>
      </c>
      <c r="J2858" t="s">
        <v>533</v>
      </c>
      <c r="K2858" t="s">
        <v>115</v>
      </c>
      <c r="L2858" t="str">
        <f>_xlfn.XLOOKUP(C2858, Table2[Species],Table2[Genus], "Code Not Found")</f>
        <v>Quercus</v>
      </c>
      <c r="M2858" t="str">
        <f>_xlfn.XLOOKUP(C2858, Table2[Species],Table2[Sp. Name], "Code Not Found")</f>
        <v>rubra</v>
      </c>
      <c r="N2858" t="str">
        <f>_xlfn.XLOOKUP(C2858,Table2[Species],Table2[Family],"Code Not Found")</f>
        <v>Fagaceae</v>
      </c>
      <c r="O2858" t="str" cm="1">
        <f t="array" ref="O2858">_xlfn.IFS(F2858="","",F2858&lt;=5,"0 to 5",F2858&lt;=10,"5.1 to 10",F2858&lt;=20,"10 to 20", F2858&lt;= 40, "20 to 40", F2858 &lt;= 50, "40 to 50", F2858 &gt; 50, "&gt;50" )</f>
        <v>&gt;50</v>
      </c>
    </row>
    <row r="2859" spans="1:15" ht="15" customHeight="1" x14ac:dyDescent="0.3">
      <c r="A2859" t="s">
        <v>566</v>
      </c>
      <c r="B2859" s="1">
        <v>46218</v>
      </c>
      <c r="C2859" t="s">
        <v>16</v>
      </c>
      <c r="D2859">
        <v>2662</v>
      </c>
      <c r="E2859">
        <v>1</v>
      </c>
      <c r="F2859">
        <v>5.5</v>
      </c>
      <c r="G2859" t="s">
        <v>30</v>
      </c>
      <c r="H2859" t="s">
        <v>583</v>
      </c>
      <c r="I2859" t="str">
        <f t="shared" si="71"/>
        <v>2662_1</v>
      </c>
      <c r="J2859" t="s">
        <v>533</v>
      </c>
      <c r="K2859" t="s">
        <v>115</v>
      </c>
      <c r="L2859" t="str">
        <f>_xlfn.XLOOKUP(C2859, Table2[Species],Table2[Genus], "Code Not Found")</f>
        <v>Acer</v>
      </c>
      <c r="M2859" t="str">
        <f>_xlfn.XLOOKUP(C2859, Table2[Species],Table2[Sp. Name], "Code Not Found")</f>
        <v>saccharum</v>
      </c>
      <c r="N2859" t="str">
        <f>_xlfn.XLOOKUP(C2859,Table2[Species],Table2[Family],"Code Not Found")</f>
        <v>Sapindaceae</v>
      </c>
      <c r="O2859" t="str" cm="1">
        <f t="array" ref="O2859">_xlfn.IFS(F2859="","",F2859&lt;=5,"0 to 5",F2859&lt;=10,"5.1 to 10",F2859&lt;=20,"10 to 20", F2859&lt;= 40, "20 to 40", F2859 &lt;= 50, "40 to 50", F2859 &gt; 50, "&gt;50" )</f>
        <v>5.1 to 10</v>
      </c>
    </row>
    <row r="2860" spans="1:15" ht="15" customHeight="1" x14ac:dyDescent="0.3">
      <c r="A2860" t="s">
        <v>566</v>
      </c>
      <c r="B2860" s="1">
        <v>46218</v>
      </c>
      <c r="C2860" t="s">
        <v>123</v>
      </c>
      <c r="D2860">
        <v>2663</v>
      </c>
      <c r="E2860">
        <v>1</v>
      </c>
      <c r="F2860">
        <v>16.8</v>
      </c>
      <c r="G2860" t="s">
        <v>573</v>
      </c>
      <c r="I2860" t="str">
        <f t="shared" si="71"/>
        <v>2663_1</v>
      </c>
      <c r="J2860" t="s">
        <v>533</v>
      </c>
      <c r="K2860" t="s">
        <v>115</v>
      </c>
      <c r="L2860" t="str">
        <f>_xlfn.XLOOKUP(C2860, Table2[Species],Table2[Genus], "Code Not Found")</f>
        <v>Quercus</v>
      </c>
      <c r="M2860" t="str">
        <f>_xlfn.XLOOKUP(C2860, Table2[Species],Table2[Sp. Name], "Code Not Found")</f>
        <v>rubra</v>
      </c>
      <c r="N2860" t="str">
        <f>_xlfn.XLOOKUP(C2860,Table2[Species],Table2[Family],"Code Not Found")</f>
        <v>Fagaceae</v>
      </c>
      <c r="O2860" t="str" cm="1">
        <f t="array" ref="O2860">_xlfn.IFS(F2860="","",F2860&lt;=5,"0 to 5",F2860&lt;=10,"5.1 to 10",F2860&lt;=20,"10 to 20", F2860&lt;= 40, "20 to 40", F2860 &lt;= 50, "40 to 50", F2860 &gt; 50, "&gt;50" )</f>
        <v>10 to 20</v>
      </c>
    </row>
    <row r="2861" spans="1:15" ht="15" customHeight="1" x14ac:dyDescent="0.3">
      <c r="A2861" t="s">
        <v>566</v>
      </c>
      <c r="B2861" s="1">
        <v>46218</v>
      </c>
      <c r="C2861" t="s">
        <v>180</v>
      </c>
      <c r="D2861">
        <v>2664</v>
      </c>
      <c r="E2861">
        <v>1</v>
      </c>
      <c r="F2861">
        <v>7.9</v>
      </c>
      <c r="G2861" t="s">
        <v>21</v>
      </c>
      <c r="H2861" t="s">
        <v>584</v>
      </c>
      <c r="I2861" t="str">
        <f t="shared" si="71"/>
        <v>2664_1</v>
      </c>
      <c r="J2861" t="s">
        <v>533</v>
      </c>
      <c r="K2861" t="s">
        <v>115</v>
      </c>
      <c r="L2861" t="str">
        <f>_xlfn.XLOOKUP(C2861, Table2[Species],Table2[Genus], "Code Not Found")</f>
        <v>Tilia</v>
      </c>
      <c r="M2861" t="str">
        <f>_xlfn.XLOOKUP(C2861, Table2[Species],Table2[Sp. Name], "Code Not Found")</f>
        <v>americana</v>
      </c>
      <c r="N2861" t="str">
        <f>_xlfn.XLOOKUP(C2861,Table2[Species],Table2[Family],"Code Not Found")</f>
        <v>Malvaceae</v>
      </c>
      <c r="O2861" t="str" cm="1">
        <f t="array" ref="O2861">_xlfn.IFS(F2861="","",F2861&lt;=5,"0 to 5",F2861&lt;=10,"5.1 to 10",F2861&lt;=20,"10 to 20", F2861&lt;= 40, "20 to 40", F2861 &lt;= 50, "40 to 50", F2861 &gt; 50, "&gt;50" )</f>
        <v>5.1 to 10</v>
      </c>
    </row>
    <row r="2862" spans="1:15" ht="15" customHeight="1" x14ac:dyDescent="0.3">
      <c r="A2862" t="s">
        <v>566</v>
      </c>
      <c r="B2862" s="1">
        <v>46218</v>
      </c>
      <c r="C2862" t="s">
        <v>16</v>
      </c>
      <c r="D2862">
        <v>2665</v>
      </c>
      <c r="E2862">
        <v>1</v>
      </c>
      <c r="F2862">
        <v>5</v>
      </c>
      <c r="G2862" t="s">
        <v>17</v>
      </c>
      <c r="I2862" t="str">
        <f t="shared" si="71"/>
        <v>2665_1</v>
      </c>
      <c r="J2862" t="s">
        <v>533</v>
      </c>
      <c r="K2862" t="s">
        <v>115</v>
      </c>
      <c r="L2862" t="str">
        <f>_xlfn.XLOOKUP(C2862, Table2[Species],Table2[Genus], "Code Not Found")</f>
        <v>Acer</v>
      </c>
      <c r="M2862" t="str">
        <f>_xlfn.XLOOKUP(C2862, Table2[Species],Table2[Sp. Name], "Code Not Found")</f>
        <v>saccharum</v>
      </c>
      <c r="N2862" t="str">
        <f>_xlfn.XLOOKUP(C2862,Table2[Species],Table2[Family],"Code Not Found")</f>
        <v>Sapindaceae</v>
      </c>
      <c r="O2862" t="str" cm="1">
        <f t="array" ref="O2862">_xlfn.IFS(F2862="","",F2862&lt;=5,"0 to 5",F2862&lt;=10,"5.1 to 10",F2862&lt;=20,"10 to 20", F2862&lt;= 40, "20 to 40", F2862 &lt;= 50, "40 to 50", F2862 &gt; 50, "&gt;50" )</f>
        <v>0 to 5</v>
      </c>
    </row>
    <row r="2863" spans="1:15" ht="15" customHeight="1" x14ac:dyDescent="0.3">
      <c r="A2863" t="s">
        <v>566</v>
      </c>
      <c r="B2863" s="1">
        <v>46218</v>
      </c>
      <c r="C2863" t="s">
        <v>16</v>
      </c>
      <c r="D2863">
        <v>2666</v>
      </c>
      <c r="E2863">
        <v>1</v>
      </c>
      <c r="F2863">
        <v>4.4000000000000004</v>
      </c>
      <c r="G2863" t="s">
        <v>17</v>
      </c>
      <c r="I2863" t="str">
        <f t="shared" si="71"/>
        <v>2666_1</v>
      </c>
      <c r="J2863" t="s">
        <v>533</v>
      </c>
      <c r="K2863" t="s">
        <v>115</v>
      </c>
      <c r="L2863" t="str">
        <f>_xlfn.XLOOKUP(C2863, Table2[Species],Table2[Genus], "Code Not Found")</f>
        <v>Acer</v>
      </c>
      <c r="M2863" t="str">
        <f>_xlfn.XLOOKUP(C2863, Table2[Species],Table2[Sp. Name], "Code Not Found")</f>
        <v>saccharum</v>
      </c>
      <c r="N2863" t="str">
        <f>_xlfn.XLOOKUP(C2863,Table2[Species],Table2[Family],"Code Not Found")</f>
        <v>Sapindaceae</v>
      </c>
      <c r="O2863" t="str" cm="1">
        <f t="array" ref="O2863">_xlfn.IFS(F2863="","",F2863&lt;=5,"0 to 5",F2863&lt;=10,"5.1 to 10",F2863&lt;=20,"10 to 20", F2863&lt;= 40, "20 to 40", F2863 &lt;= 50, "40 to 50", F2863 &gt; 50, "&gt;50" )</f>
        <v>0 to 5</v>
      </c>
    </row>
    <row r="2864" spans="1:15" ht="15" customHeight="1" x14ac:dyDescent="0.3">
      <c r="A2864" t="s">
        <v>566</v>
      </c>
      <c r="B2864" s="1">
        <v>46218</v>
      </c>
      <c r="C2864" t="s">
        <v>16</v>
      </c>
      <c r="D2864">
        <v>2667</v>
      </c>
      <c r="E2864">
        <v>1</v>
      </c>
      <c r="F2864">
        <v>5.6</v>
      </c>
      <c r="G2864" t="s">
        <v>17</v>
      </c>
      <c r="I2864" t="str">
        <f t="shared" si="71"/>
        <v>2667_1</v>
      </c>
      <c r="J2864" t="s">
        <v>533</v>
      </c>
      <c r="K2864" t="s">
        <v>115</v>
      </c>
      <c r="L2864" t="str">
        <f>_xlfn.XLOOKUP(C2864, Table2[Species],Table2[Genus], "Code Not Found")</f>
        <v>Acer</v>
      </c>
      <c r="M2864" t="str">
        <f>_xlfn.XLOOKUP(C2864, Table2[Species],Table2[Sp. Name], "Code Not Found")</f>
        <v>saccharum</v>
      </c>
      <c r="N2864" t="str">
        <f>_xlfn.XLOOKUP(C2864,Table2[Species],Table2[Family],"Code Not Found")</f>
        <v>Sapindaceae</v>
      </c>
      <c r="O2864" t="str" cm="1">
        <f t="array" ref="O2864">_xlfn.IFS(F2864="","",F2864&lt;=5,"0 to 5",F2864&lt;=10,"5.1 to 10",F2864&lt;=20,"10 to 20", F2864&lt;= 40, "20 to 40", F2864 &lt;= 50, "40 to 50", F2864 &gt; 50, "&gt;50" )</f>
        <v>5.1 to 10</v>
      </c>
    </row>
    <row r="2865" spans="1:15" ht="15" customHeight="1" x14ac:dyDescent="0.3">
      <c r="A2865" t="s">
        <v>566</v>
      </c>
      <c r="B2865" s="1">
        <v>46218</v>
      </c>
      <c r="C2865" t="s">
        <v>572</v>
      </c>
      <c r="D2865">
        <v>2668</v>
      </c>
      <c r="E2865">
        <v>1</v>
      </c>
      <c r="F2865">
        <v>65.2</v>
      </c>
      <c r="G2865" t="s">
        <v>103</v>
      </c>
      <c r="H2865" t="s">
        <v>585</v>
      </c>
      <c r="I2865" t="str">
        <f t="shared" si="71"/>
        <v>2668_1</v>
      </c>
      <c r="J2865" t="s">
        <v>533</v>
      </c>
      <c r="K2865" t="s">
        <v>115</v>
      </c>
      <c r="L2865" t="str">
        <f>_xlfn.XLOOKUP(C2865, Table2[Species],Table2[Genus], "Code Not Found")</f>
        <v>Carya</v>
      </c>
      <c r="M2865" t="str">
        <f>_xlfn.XLOOKUP(C2865, Table2[Species],Table2[Sp. Name], "Code Not Found")</f>
        <v>ovata</v>
      </c>
      <c r="N2865" t="str">
        <f>_xlfn.XLOOKUP(C2865,Table2[Species],Table2[Family],"Code Not Found")</f>
        <v>Juglandaceae</v>
      </c>
      <c r="O2865" t="str" cm="1">
        <f t="array" ref="O2865">_xlfn.IFS(F2865="","",F2865&lt;=5,"0 to 5",F2865&lt;=10,"5.1 to 10",F2865&lt;=20,"10 to 20", F2865&lt;= 40, "20 to 40", F2865 &lt;= 50, "40 to 50", F2865 &gt; 50, "&gt;50" )</f>
        <v>&gt;50</v>
      </c>
    </row>
    <row r="2866" spans="1:15" ht="15" customHeight="1" x14ac:dyDescent="0.3">
      <c r="A2866" t="s">
        <v>566</v>
      </c>
      <c r="B2866" s="1">
        <v>46218</v>
      </c>
      <c r="C2866" t="s">
        <v>16</v>
      </c>
      <c r="D2866">
        <v>2669</v>
      </c>
      <c r="E2866">
        <v>1</v>
      </c>
      <c r="F2866">
        <v>14.6</v>
      </c>
      <c r="G2866" t="s">
        <v>21</v>
      </c>
      <c r="I2866" t="str">
        <f t="shared" si="71"/>
        <v>2669_1</v>
      </c>
      <c r="J2866" t="s">
        <v>533</v>
      </c>
      <c r="K2866" t="s">
        <v>115</v>
      </c>
      <c r="L2866" t="str">
        <f>_xlfn.XLOOKUP(C2866, Table2[Species],Table2[Genus], "Code Not Found")</f>
        <v>Acer</v>
      </c>
      <c r="M2866" t="str">
        <f>_xlfn.XLOOKUP(C2866, Table2[Species],Table2[Sp. Name], "Code Not Found")</f>
        <v>saccharum</v>
      </c>
      <c r="N2866" t="str">
        <f>_xlfn.XLOOKUP(C2866,Table2[Species],Table2[Family],"Code Not Found")</f>
        <v>Sapindaceae</v>
      </c>
      <c r="O2866" t="str" cm="1">
        <f t="array" ref="O2866">_xlfn.IFS(F2866="","",F2866&lt;=5,"0 to 5",F2866&lt;=10,"5.1 to 10",F2866&lt;=20,"10 to 20", F2866&lt;= 40, "20 to 40", F2866 &lt;= 50, "40 to 50", F2866 &gt; 50, "&gt;50" )</f>
        <v>10 to 20</v>
      </c>
    </row>
    <row r="2867" spans="1:15" ht="15" customHeight="1" x14ac:dyDescent="0.3">
      <c r="A2867" t="s">
        <v>566</v>
      </c>
      <c r="B2867" s="1">
        <v>46218</v>
      </c>
      <c r="C2867" t="s">
        <v>235</v>
      </c>
      <c r="D2867">
        <v>2670</v>
      </c>
      <c r="E2867">
        <v>1</v>
      </c>
      <c r="F2867">
        <v>3.8</v>
      </c>
      <c r="G2867" t="s">
        <v>139</v>
      </c>
      <c r="H2867" t="s">
        <v>99</v>
      </c>
      <c r="I2867" t="str">
        <f t="shared" si="71"/>
        <v>2670_1</v>
      </c>
      <c r="J2867" t="s">
        <v>533</v>
      </c>
      <c r="K2867" t="s">
        <v>115</v>
      </c>
      <c r="L2867" t="str">
        <f>_xlfn.XLOOKUP(C2867, Table2[Species],Table2[Genus], "Code Not Found")</f>
        <v>Carpinus</v>
      </c>
      <c r="M2867" t="str">
        <f>_xlfn.XLOOKUP(C2867, Table2[Species],Table2[Sp. Name], "Code Not Found")</f>
        <v>caroliniana</v>
      </c>
      <c r="N2867" t="str">
        <f>_xlfn.XLOOKUP(C2867,Table2[Species],Table2[Family],"Code Not Found")</f>
        <v>Betulaceae</v>
      </c>
      <c r="O2867" t="str" cm="1">
        <f t="array" ref="O2867">_xlfn.IFS(F2867="","",F2867&lt;=5,"0 to 5",F2867&lt;=10,"5.1 to 10",F2867&lt;=20,"10 to 20", F2867&lt;= 40, "20 to 40", F2867 &lt;= 50, "40 to 50", F2867 &gt; 50, "&gt;50" )</f>
        <v>0 to 5</v>
      </c>
    </row>
    <row r="2868" spans="1:15" ht="15" customHeight="1" x14ac:dyDescent="0.3">
      <c r="A2868" t="s">
        <v>566</v>
      </c>
      <c r="B2868" s="1">
        <v>46218</v>
      </c>
      <c r="C2868" t="s">
        <v>64</v>
      </c>
      <c r="D2868">
        <v>2671</v>
      </c>
      <c r="E2868">
        <v>1</v>
      </c>
      <c r="F2868">
        <v>5.3</v>
      </c>
      <c r="G2868" t="s">
        <v>474</v>
      </c>
      <c r="I2868" t="str">
        <f t="shared" si="71"/>
        <v>2671_1</v>
      </c>
      <c r="J2868" t="s">
        <v>533</v>
      </c>
      <c r="K2868" t="s">
        <v>115</v>
      </c>
      <c r="L2868" t="str">
        <f>_xlfn.XLOOKUP(C2868, Table2[Species],Table2[Genus], "Code Not Found")</f>
        <v>Fagus</v>
      </c>
      <c r="M2868" t="str">
        <f>_xlfn.XLOOKUP(C2868, Table2[Species],Table2[Sp. Name], "Code Not Found")</f>
        <v>grandifolia</v>
      </c>
      <c r="N2868" t="str">
        <f>_xlfn.XLOOKUP(C2868,Table2[Species],Table2[Family],"Code Not Found")</f>
        <v>Fagaceae</v>
      </c>
      <c r="O2868" t="str" cm="1">
        <f t="array" ref="O2868">_xlfn.IFS(F2868="","",F2868&lt;=5,"0 to 5",F2868&lt;=10,"5.1 to 10",F2868&lt;=20,"10 to 20", F2868&lt;= 40, "20 to 40", F2868 &lt;= 50, "40 to 50", F2868 &gt; 50, "&gt;50" )</f>
        <v>5.1 to 10</v>
      </c>
    </row>
    <row r="2869" spans="1:15" ht="15" customHeight="1" x14ac:dyDescent="0.3">
      <c r="A2869" t="s">
        <v>566</v>
      </c>
      <c r="B2869" s="1">
        <v>46218</v>
      </c>
      <c r="C2869" t="s">
        <v>16</v>
      </c>
      <c r="D2869">
        <v>2672</v>
      </c>
      <c r="E2869">
        <v>1</v>
      </c>
      <c r="F2869">
        <v>5.9</v>
      </c>
      <c r="G2869" t="s">
        <v>21</v>
      </c>
      <c r="I2869" t="str">
        <f t="shared" si="71"/>
        <v>2672_1</v>
      </c>
      <c r="J2869" t="s">
        <v>533</v>
      </c>
      <c r="K2869" t="s">
        <v>115</v>
      </c>
      <c r="L2869" t="str">
        <f>_xlfn.XLOOKUP(C2869, Table2[Species],Table2[Genus], "Code Not Found")</f>
        <v>Acer</v>
      </c>
      <c r="M2869" t="str">
        <f>_xlfn.XLOOKUP(C2869, Table2[Species],Table2[Sp. Name], "Code Not Found")</f>
        <v>saccharum</v>
      </c>
      <c r="N2869" t="str">
        <f>_xlfn.XLOOKUP(C2869,Table2[Species],Table2[Family],"Code Not Found")</f>
        <v>Sapindaceae</v>
      </c>
      <c r="O2869" t="str" cm="1">
        <f t="array" ref="O2869">_xlfn.IFS(F2869="","",F2869&lt;=5,"0 to 5",F2869&lt;=10,"5.1 to 10",F2869&lt;=20,"10 to 20", F2869&lt;= 40, "20 to 40", F2869 &lt;= 50, "40 to 50", F2869 &gt; 50, "&gt;50" )</f>
        <v>5.1 to 10</v>
      </c>
    </row>
    <row r="2870" spans="1:15" ht="15" customHeight="1" x14ac:dyDescent="0.3">
      <c r="A2870" t="s">
        <v>566</v>
      </c>
      <c r="B2870" s="1">
        <v>46218</v>
      </c>
      <c r="C2870" t="s">
        <v>16</v>
      </c>
      <c r="D2870">
        <v>2673</v>
      </c>
      <c r="E2870">
        <v>1</v>
      </c>
      <c r="F2870">
        <v>3.5</v>
      </c>
      <c r="G2870" t="s">
        <v>17</v>
      </c>
      <c r="I2870" t="str">
        <f t="shared" si="71"/>
        <v>2673_1</v>
      </c>
      <c r="J2870" t="s">
        <v>533</v>
      </c>
      <c r="K2870" t="s">
        <v>115</v>
      </c>
      <c r="L2870" t="str">
        <f>_xlfn.XLOOKUP(C2870, Table2[Species],Table2[Genus], "Code Not Found")</f>
        <v>Acer</v>
      </c>
      <c r="M2870" t="str">
        <f>_xlfn.XLOOKUP(C2870, Table2[Species],Table2[Sp. Name], "Code Not Found")</f>
        <v>saccharum</v>
      </c>
      <c r="N2870" t="str">
        <f>_xlfn.XLOOKUP(C2870,Table2[Species],Table2[Family],"Code Not Found")</f>
        <v>Sapindaceae</v>
      </c>
      <c r="O2870" t="str" cm="1">
        <f t="array" ref="O2870">_xlfn.IFS(F2870="","",F2870&lt;=5,"0 to 5",F2870&lt;=10,"5.1 to 10",F2870&lt;=20,"10 to 20", F2870&lt;= 40, "20 to 40", F2870 &lt;= 50, "40 to 50", F2870 &gt; 50, "&gt;50" )</f>
        <v>0 to 5</v>
      </c>
    </row>
    <row r="2871" spans="1:15" ht="15" customHeight="1" x14ac:dyDescent="0.3">
      <c r="A2871" t="s">
        <v>566</v>
      </c>
      <c r="B2871" s="1">
        <v>46218</v>
      </c>
      <c r="C2871" t="s">
        <v>16</v>
      </c>
      <c r="D2871">
        <v>2674</v>
      </c>
      <c r="E2871">
        <v>1</v>
      </c>
      <c r="F2871">
        <v>10.4</v>
      </c>
      <c r="G2871" t="s">
        <v>56</v>
      </c>
      <c r="I2871" t="str">
        <f t="shared" si="71"/>
        <v>2674_1</v>
      </c>
      <c r="J2871" t="s">
        <v>533</v>
      </c>
      <c r="K2871" t="s">
        <v>115</v>
      </c>
      <c r="L2871" t="str">
        <f>_xlfn.XLOOKUP(C2871, Table2[Species],Table2[Genus], "Code Not Found")</f>
        <v>Acer</v>
      </c>
      <c r="M2871" t="str">
        <f>_xlfn.XLOOKUP(C2871, Table2[Species],Table2[Sp. Name], "Code Not Found")</f>
        <v>saccharum</v>
      </c>
      <c r="N2871" t="str">
        <f>_xlfn.XLOOKUP(C2871,Table2[Species],Table2[Family],"Code Not Found")</f>
        <v>Sapindaceae</v>
      </c>
      <c r="O2871" t="str" cm="1">
        <f t="array" ref="O2871">_xlfn.IFS(F2871="","",F2871&lt;=5,"0 to 5",F2871&lt;=10,"5.1 to 10",F2871&lt;=20,"10 to 20", F2871&lt;= 40, "20 to 40", F2871 &lt;= 50, "40 to 50", F2871 &gt; 50, "&gt;50" )</f>
        <v>10 to 20</v>
      </c>
    </row>
    <row r="2872" spans="1:15" ht="15" customHeight="1" x14ac:dyDescent="0.3">
      <c r="A2872" t="s">
        <v>566</v>
      </c>
      <c r="B2872" s="1">
        <v>46218</v>
      </c>
      <c r="C2872" t="s">
        <v>117</v>
      </c>
      <c r="D2872">
        <v>2675</v>
      </c>
      <c r="E2872">
        <v>1</v>
      </c>
      <c r="F2872">
        <v>6.9</v>
      </c>
      <c r="G2872" t="s">
        <v>21</v>
      </c>
      <c r="I2872" t="str">
        <f t="shared" si="71"/>
        <v>2675_1</v>
      </c>
      <c r="J2872" t="s">
        <v>533</v>
      </c>
      <c r="K2872" t="s">
        <v>115</v>
      </c>
      <c r="L2872" t="str">
        <f>_xlfn.XLOOKUP(C2872, Table2[Species],Table2[Genus], "Code Not Found")</f>
        <v>Ostrya</v>
      </c>
      <c r="M2872" t="str">
        <f>_xlfn.XLOOKUP(C2872, Table2[Species],Table2[Sp. Name], "Code Not Found")</f>
        <v>viginiana</v>
      </c>
      <c r="N2872" t="str">
        <f>_xlfn.XLOOKUP(C2872,Table2[Species],Table2[Family],"Code Not Found")</f>
        <v>Betulaceae</v>
      </c>
      <c r="O2872" t="str" cm="1">
        <f t="array" ref="O2872">_xlfn.IFS(F2872="","",F2872&lt;=5,"0 to 5",F2872&lt;=10,"5.1 to 10",F2872&lt;=20,"10 to 20", F2872&lt;= 40, "20 to 40", F2872 &lt;= 50, "40 to 50", F2872 &gt; 50, "&gt;50" )</f>
        <v>5.1 to 10</v>
      </c>
    </row>
    <row r="2873" spans="1:15" ht="15" customHeight="1" x14ac:dyDescent="0.3">
      <c r="A2873" t="s">
        <v>566</v>
      </c>
      <c r="B2873" s="1">
        <v>46218</v>
      </c>
      <c r="C2873" t="s">
        <v>16</v>
      </c>
      <c r="D2873">
        <v>2676</v>
      </c>
      <c r="E2873">
        <v>1</v>
      </c>
      <c r="F2873">
        <v>5.8</v>
      </c>
      <c r="G2873" t="s">
        <v>30</v>
      </c>
      <c r="H2873" t="s">
        <v>96</v>
      </c>
      <c r="I2873" t="str">
        <f t="shared" si="71"/>
        <v>2676_1</v>
      </c>
      <c r="J2873" t="s">
        <v>533</v>
      </c>
      <c r="K2873" t="s">
        <v>115</v>
      </c>
      <c r="L2873" t="str">
        <f>_xlfn.XLOOKUP(C2873, Table2[Species],Table2[Genus], "Code Not Found")</f>
        <v>Acer</v>
      </c>
      <c r="M2873" t="str">
        <f>_xlfn.XLOOKUP(C2873, Table2[Species],Table2[Sp. Name], "Code Not Found")</f>
        <v>saccharum</v>
      </c>
      <c r="N2873" t="str">
        <f>_xlfn.XLOOKUP(C2873,Table2[Species],Table2[Family],"Code Not Found")</f>
        <v>Sapindaceae</v>
      </c>
      <c r="O2873" t="str" cm="1">
        <f t="array" ref="O2873">_xlfn.IFS(F2873="","",F2873&lt;=5,"0 to 5",F2873&lt;=10,"5.1 to 10",F2873&lt;=20,"10 to 20", F2873&lt;= 40, "20 to 40", F2873 &lt;= 50, "40 to 50", F2873 &gt; 50, "&gt;50" )</f>
        <v>5.1 to 10</v>
      </c>
    </row>
    <row r="2874" spans="1:15" ht="15" customHeight="1" x14ac:dyDescent="0.3">
      <c r="A2874" t="s">
        <v>566</v>
      </c>
      <c r="B2874" s="1">
        <v>46218</v>
      </c>
      <c r="C2874" t="s">
        <v>16</v>
      </c>
      <c r="D2874">
        <v>2677</v>
      </c>
      <c r="E2874">
        <v>1</v>
      </c>
      <c r="F2874">
        <v>21.9</v>
      </c>
      <c r="G2874" t="s">
        <v>56</v>
      </c>
      <c r="H2874" t="s">
        <v>586</v>
      </c>
      <c r="I2874" t="str">
        <f t="shared" si="71"/>
        <v>2677_1</v>
      </c>
      <c r="J2874" t="s">
        <v>533</v>
      </c>
      <c r="K2874" t="s">
        <v>115</v>
      </c>
      <c r="L2874" t="str">
        <f>_xlfn.XLOOKUP(C2874, Table2[Species],Table2[Genus], "Code Not Found")</f>
        <v>Acer</v>
      </c>
      <c r="M2874" t="str">
        <f>_xlfn.XLOOKUP(C2874, Table2[Species],Table2[Sp. Name], "Code Not Found")</f>
        <v>saccharum</v>
      </c>
      <c r="N2874" t="str">
        <f>_xlfn.XLOOKUP(C2874,Table2[Species],Table2[Family],"Code Not Found")</f>
        <v>Sapindaceae</v>
      </c>
      <c r="O2874" t="str" cm="1">
        <f t="array" ref="O2874">_xlfn.IFS(F2874="","",F2874&lt;=5,"0 to 5",F2874&lt;=10,"5.1 to 10",F2874&lt;=20,"10 to 20", F2874&lt;= 40, "20 to 40", F2874 &lt;= 50, "40 to 50", F2874 &gt; 50, "&gt;50" )</f>
        <v>20 to 40</v>
      </c>
    </row>
    <row r="2875" spans="1:15" ht="15" customHeight="1" x14ac:dyDescent="0.3">
      <c r="A2875" t="s">
        <v>566</v>
      </c>
      <c r="B2875" s="1">
        <v>46218</v>
      </c>
      <c r="C2875" t="s">
        <v>16</v>
      </c>
      <c r="D2875">
        <v>2678</v>
      </c>
      <c r="E2875">
        <v>1</v>
      </c>
      <c r="F2875">
        <v>7.1</v>
      </c>
      <c r="G2875" t="s">
        <v>139</v>
      </c>
      <c r="H2875" t="s">
        <v>96</v>
      </c>
      <c r="I2875" t="str">
        <f t="shared" si="71"/>
        <v>2678_1</v>
      </c>
      <c r="J2875" t="s">
        <v>533</v>
      </c>
      <c r="K2875" t="s">
        <v>115</v>
      </c>
      <c r="L2875" t="str">
        <f>_xlfn.XLOOKUP(C2875, Table2[Species],Table2[Genus], "Code Not Found")</f>
        <v>Acer</v>
      </c>
      <c r="M2875" t="str">
        <f>_xlfn.XLOOKUP(C2875, Table2[Species],Table2[Sp. Name], "Code Not Found")</f>
        <v>saccharum</v>
      </c>
      <c r="N2875" t="str">
        <f>_xlfn.XLOOKUP(C2875,Table2[Species],Table2[Family],"Code Not Found")</f>
        <v>Sapindaceae</v>
      </c>
      <c r="O2875" t="str" cm="1">
        <f t="array" ref="O2875">_xlfn.IFS(F2875="","",F2875&lt;=5,"0 to 5",F2875&lt;=10,"5.1 to 10",F2875&lt;=20,"10 to 20", F2875&lt;= 40, "20 to 40", F2875 &lt;= 50, "40 to 50", F2875 &gt; 50, "&gt;50" )</f>
        <v>5.1 to 10</v>
      </c>
    </row>
    <row r="2876" spans="1:15" ht="15" customHeight="1" x14ac:dyDescent="0.3">
      <c r="A2876" t="s">
        <v>566</v>
      </c>
      <c r="B2876" s="1">
        <v>46218</v>
      </c>
      <c r="C2876" t="s">
        <v>572</v>
      </c>
      <c r="D2876">
        <v>2679</v>
      </c>
      <c r="E2876">
        <v>1</v>
      </c>
      <c r="F2876">
        <v>30.8</v>
      </c>
      <c r="G2876" t="s">
        <v>17</v>
      </c>
      <c r="I2876" t="str">
        <f t="shared" si="71"/>
        <v>2679_1</v>
      </c>
      <c r="J2876" t="s">
        <v>533</v>
      </c>
      <c r="K2876" t="s">
        <v>115</v>
      </c>
      <c r="L2876" t="str">
        <f>_xlfn.XLOOKUP(C2876, Table2[Species],Table2[Genus], "Code Not Found")</f>
        <v>Carya</v>
      </c>
      <c r="M2876" t="str">
        <f>_xlfn.XLOOKUP(C2876, Table2[Species],Table2[Sp. Name], "Code Not Found")</f>
        <v>ovata</v>
      </c>
      <c r="N2876" t="str">
        <f>_xlfn.XLOOKUP(C2876,Table2[Species],Table2[Family],"Code Not Found")</f>
        <v>Juglandaceae</v>
      </c>
      <c r="O2876" t="str" cm="1">
        <f t="array" ref="O2876">_xlfn.IFS(F2876="","",F2876&lt;=5,"0 to 5",F2876&lt;=10,"5.1 to 10",F2876&lt;=20,"10 to 20", F2876&lt;= 40, "20 to 40", F2876 &lt;= 50, "40 to 50", F2876 &gt; 50, "&gt;50" )</f>
        <v>20 to 40</v>
      </c>
    </row>
    <row r="2877" spans="1:15" ht="15" customHeight="1" x14ac:dyDescent="0.3">
      <c r="A2877" t="s">
        <v>566</v>
      </c>
      <c r="B2877" s="1">
        <v>46218</v>
      </c>
      <c r="C2877" t="s">
        <v>16</v>
      </c>
      <c r="D2877">
        <v>2680</v>
      </c>
      <c r="E2877">
        <v>1</v>
      </c>
      <c r="F2877">
        <v>8.6</v>
      </c>
      <c r="G2877" t="s">
        <v>21</v>
      </c>
      <c r="I2877" t="str">
        <f t="shared" si="71"/>
        <v>2680_1</v>
      </c>
      <c r="J2877" t="s">
        <v>533</v>
      </c>
      <c r="K2877" t="s">
        <v>115</v>
      </c>
      <c r="L2877" t="str">
        <f>_xlfn.XLOOKUP(C2877, Table2[Species],Table2[Genus], "Code Not Found")</f>
        <v>Acer</v>
      </c>
      <c r="M2877" t="str">
        <f>_xlfn.XLOOKUP(C2877, Table2[Species],Table2[Sp. Name], "Code Not Found")</f>
        <v>saccharum</v>
      </c>
      <c r="N2877" t="str">
        <f>_xlfn.XLOOKUP(C2877,Table2[Species],Table2[Family],"Code Not Found")</f>
        <v>Sapindaceae</v>
      </c>
      <c r="O2877" t="str" cm="1">
        <f t="array" ref="O2877">_xlfn.IFS(F2877="","",F2877&lt;=5,"0 to 5",F2877&lt;=10,"5.1 to 10",F2877&lt;=20,"10 to 20", F2877&lt;= 40, "20 to 40", F2877 &lt;= 50, "40 to 50", F2877 &gt; 50, "&gt;50" )</f>
        <v>5.1 to 10</v>
      </c>
    </row>
    <row r="2878" spans="1:15" ht="15" customHeight="1" x14ac:dyDescent="0.3">
      <c r="A2878" t="s">
        <v>566</v>
      </c>
      <c r="B2878" s="1">
        <v>46218</v>
      </c>
      <c r="C2878" t="s">
        <v>16</v>
      </c>
      <c r="D2878">
        <v>2681</v>
      </c>
      <c r="E2878">
        <v>1</v>
      </c>
      <c r="F2878">
        <v>10</v>
      </c>
      <c r="G2878" t="s">
        <v>47</v>
      </c>
      <c r="H2878" t="s">
        <v>587</v>
      </c>
      <c r="I2878" t="str">
        <f t="shared" si="71"/>
        <v>2681_1</v>
      </c>
      <c r="J2878" t="s">
        <v>533</v>
      </c>
      <c r="K2878" t="s">
        <v>115</v>
      </c>
      <c r="L2878" t="str">
        <f>_xlfn.XLOOKUP(C2878, Table2[Species],Table2[Genus], "Code Not Found")</f>
        <v>Acer</v>
      </c>
      <c r="M2878" t="str">
        <f>_xlfn.XLOOKUP(C2878, Table2[Species],Table2[Sp. Name], "Code Not Found")</f>
        <v>saccharum</v>
      </c>
      <c r="N2878" t="str">
        <f>_xlfn.XLOOKUP(C2878,Table2[Species],Table2[Family],"Code Not Found")</f>
        <v>Sapindaceae</v>
      </c>
      <c r="O2878" t="str" cm="1">
        <f t="array" ref="O2878">_xlfn.IFS(F2878="","",F2878&lt;=5,"0 to 5",F2878&lt;=10,"5.1 to 10",F2878&lt;=20,"10 to 20", F2878&lt;= 40, "20 to 40", F2878 &lt;= 50, "40 to 50", F2878 &gt; 50, "&gt;50" )</f>
        <v>5.1 to 10</v>
      </c>
    </row>
    <row r="2879" spans="1:15" ht="15" customHeight="1" x14ac:dyDescent="0.3">
      <c r="A2879" t="s">
        <v>566</v>
      </c>
      <c r="B2879" s="1">
        <v>46218</v>
      </c>
      <c r="C2879" t="s">
        <v>16</v>
      </c>
      <c r="D2879">
        <v>2682</v>
      </c>
      <c r="E2879">
        <v>1</v>
      </c>
      <c r="F2879">
        <v>3</v>
      </c>
      <c r="G2879" t="s">
        <v>47</v>
      </c>
      <c r="I2879" t="str">
        <f t="shared" si="71"/>
        <v>2682_1</v>
      </c>
      <c r="J2879" t="s">
        <v>533</v>
      </c>
      <c r="K2879" t="s">
        <v>115</v>
      </c>
      <c r="L2879" t="str">
        <f>_xlfn.XLOOKUP(C2879, Table2[Species],Table2[Genus], "Code Not Found")</f>
        <v>Acer</v>
      </c>
      <c r="M2879" t="str">
        <f>_xlfn.XLOOKUP(C2879, Table2[Species],Table2[Sp. Name], "Code Not Found")</f>
        <v>saccharum</v>
      </c>
      <c r="N2879" t="str">
        <f>_xlfn.XLOOKUP(C2879,Table2[Species],Table2[Family],"Code Not Found")</f>
        <v>Sapindaceae</v>
      </c>
      <c r="O2879" t="str" cm="1">
        <f t="array" ref="O2879">_xlfn.IFS(F2879="","",F2879&lt;=5,"0 to 5",F2879&lt;=10,"5.1 to 10",F2879&lt;=20,"10 to 20", F2879&lt;= 40, "20 to 40", F2879 &lt;= 50, "40 to 50", F2879 &gt; 50, "&gt;50" )</f>
        <v>0 to 5</v>
      </c>
    </row>
    <row r="2880" spans="1:15" ht="15" customHeight="1" x14ac:dyDescent="0.3">
      <c r="A2880" t="s">
        <v>566</v>
      </c>
      <c r="B2880" s="1">
        <v>46218</v>
      </c>
      <c r="C2880" t="s">
        <v>572</v>
      </c>
      <c r="D2880">
        <v>2683</v>
      </c>
      <c r="E2880">
        <v>1</v>
      </c>
      <c r="F2880">
        <v>10.5</v>
      </c>
      <c r="G2880" t="s">
        <v>21</v>
      </c>
      <c r="I2880" t="str">
        <f t="shared" si="71"/>
        <v>2683_1</v>
      </c>
      <c r="J2880" t="s">
        <v>533</v>
      </c>
      <c r="K2880" t="s">
        <v>115</v>
      </c>
      <c r="L2880" t="str">
        <f>_xlfn.XLOOKUP(C2880, Table2[Species],Table2[Genus], "Code Not Found")</f>
        <v>Carya</v>
      </c>
      <c r="M2880" t="str">
        <f>_xlfn.XLOOKUP(C2880, Table2[Species],Table2[Sp. Name], "Code Not Found")</f>
        <v>ovata</v>
      </c>
      <c r="N2880" t="str">
        <f>_xlfn.XLOOKUP(C2880,Table2[Species],Table2[Family],"Code Not Found")</f>
        <v>Juglandaceae</v>
      </c>
      <c r="O2880" t="str" cm="1">
        <f t="array" ref="O2880">_xlfn.IFS(F2880="","",F2880&lt;=5,"0 to 5",F2880&lt;=10,"5.1 to 10",F2880&lt;=20,"10 to 20", F2880&lt;= 40, "20 to 40", F2880 &lt;= 50, "40 to 50", F2880 &gt; 50, "&gt;50" )</f>
        <v>10 to 20</v>
      </c>
    </row>
    <row r="2881" spans="1:15" ht="15" customHeight="1" x14ac:dyDescent="0.3">
      <c r="A2881" t="s">
        <v>566</v>
      </c>
      <c r="B2881" s="1">
        <v>46218</v>
      </c>
      <c r="C2881" t="s">
        <v>16</v>
      </c>
      <c r="D2881">
        <v>2684</v>
      </c>
      <c r="E2881">
        <v>1</v>
      </c>
      <c r="F2881">
        <v>7.7</v>
      </c>
      <c r="G2881" t="s">
        <v>138</v>
      </c>
      <c r="I2881" t="str">
        <f t="shared" si="71"/>
        <v>2684_1</v>
      </c>
      <c r="J2881" t="s">
        <v>533</v>
      </c>
      <c r="K2881" t="s">
        <v>115</v>
      </c>
      <c r="L2881" t="str">
        <f>_xlfn.XLOOKUP(C2881, Table2[Species],Table2[Genus], "Code Not Found")</f>
        <v>Acer</v>
      </c>
      <c r="M2881" t="str">
        <f>_xlfn.XLOOKUP(C2881, Table2[Species],Table2[Sp. Name], "Code Not Found")</f>
        <v>saccharum</v>
      </c>
      <c r="N2881" t="str">
        <f>_xlfn.XLOOKUP(C2881,Table2[Species],Table2[Family],"Code Not Found")</f>
        <v>Sapindaceae</v>
      </c>
      <c r="O2881" t="str" cm="1">
        <f t="array" ref="O2881">_xlfn.IFS(F2881="","",F2881&lt;=5,"0 to 5",F2881&lt;=10,"5.1 to 10",F2881&lt;=20,"10 to 20", F2881&lt;= 40, "20 to 40", F2881 &lt;= 50, "40 to 50", F2881 &gt; 50, "&gt;50" )</f>
        <v>5.1 to 10</v>
      </c>
    </row>
    <row r="2882" spans="1:15" ht="15" customHeight="1" x14ac:dyDescent="0.3">
      <c r="A2882" t="s">
        <v>566</v>
      </c>
      <c r="B2882" s="1">
        <v>46218</v>
      </c>
      <c r="C2882" t="s">
        <v>124</v>
      </c>
      <c r="D2882">
        <v>2685</v>
      </c>
      <c r="E2882">
        <v>1</v>
      </c>
      <c r="F2882">
        <v>6.1</v>
      </c>
      <c r="G2882" t="s">
        <v>469</v>
      </c>
      <c r="H2882" t="s">
        <v>296</v>
      </c>
      <c r="I2882" t="str">
        <f t="shared" si="71"/>
        <v>2685_1</v>
      </c>
      <c r="J2882" t="s">
        <v>533</v>
      </c>
      <c r="K2882" t="s">
        <v>115</v>
      </c>
      <c r="L2882" t="str">
        <f>_xlfn.XLOOKUP(C2882, Table2[Species],Table2[Genus], "Code Not Found")</f>
        <v>Amelanchier</v>
      </c>
      <c r="M2882" t="str">
        <f>_xlfn.XLOOKUP(C2882, Table2[Species],Table2[Sp. Name], "Code Not Found")</f>
        <v>arborea</v>
      </c>
      <c r="N2882" t="str">
        <f>_xlfn.XLOOKUP(C2882,Table2[Species],Table2[Family],"Code Not Found")</f>
        <v>Rosaceae</v>
      </c>
      <c r="O2882" t="str" cm="1">
        <f t="array" ref="O2882">_xlfn.IFS(F2882="","",F2882&lt;=5,"0 to 5",F2882&lt;=10,"5.1 to 10",F2882&lt;=20,"10 to 20", F2882&lt;= 40, "20 to 40", F2882 &lt;= 50, "40 to 50", F2882 &gt; 50, "&gt;50" )</f>
        <v>5.1 to 10</v>
      </c>
    </row>
    <row r="2883" spans="1:15" ht="15" customHeight="1" x14ac:dyDescent="0.3">
      <c r="A2883" t="s">
        <v>566</v>
      </c>
      <c r="B2883" s="1">
        <v>46219</v>
      </c>
      <c r="C2883" t="s">
        <v>124</v>
      </c>
      <c r="D2883">
        <v>2685</v>
      </c>
      <c r="E2883">
        <v>2</v>
      </c>
      <c r="F2883">
        <v>2.8</v>
      </c>
      <c r="G2883" t="s">
        <v>469</v>
      </c>
      <c r="H2883" t="s">
        <v>296</v>
      </c>
      <c r="I2883" t="str">
        <f>D2883&amp;"_"&amp;E2883</f>
        <v>2685_2</v>
      </c>
      <c r="J2883" t="s">
        <v>533</v>
      </c>
      <c r="K2883" t="s">
        <v>115</v>
      </c>
      <c r="L2883" t="str">
        <f>_xlfn.XLOOKUP(C2883, Table2[Species],Table2[Genus], "Code Not Found")</f>
        <v>Amelanchier</v>
      </c>
      <c r="M2883" t="str">
        <f>_xlfn.XLOOKUP(C2883, Table2[Species],Table2[Sp. Name], "Code Not Found")</f>
        <v>arborea</v>
      </c>
      <c r="N2883" t="str">
        <f>_xlfn.XLOOKUP(C2883,Table2[Species],Table2[Family],"Code Not Found")</f>
        <v>Rosaceae</v>
      </c>
      <c r="O2883" t="str" cm="1">
        <f t="array" ref="O2883">_xlfn.IFS(F2883="","",F2883&lt;=5,"0 to 5",F2883&lt;=10,"5.1 to 10",F2883&lt;=20,"10 to 20", F2883&lt;= 40, "20 to 40", F2883 &lt;= 50, "40 to 50", F2883 &gt; 50, "&gt;50" )</f>
        <v>0 to 5</v>
      </c>
    </row>
    <row r="2884" spans="1:15" ht="15" customHeight="1" x14ac:dyDescent="0.3">
      <c r="A2884" t="s">
        <v>566</v>
      </c>
      <c r="B2884" s="1">
        <v>46218</v>
      </c>
      <c r="C2884" t="s">
        <v>16</v>
      </c>
      <c r="D2884">
        <v>2686</v>
      </c>
      <c r="E2884">
        <v>1</v>
      </c>
      <c r="F2884">
        <v>15.2</v>
      </c>
      <c r="G2884" t="s">
        <v>21</v>
      </c>
      <c r="I2884" t="str">
        <f t="shared" si="71"/>
        <v>2686_1</v>
      </c>
      <c r="J2884" t="s">
        <v>533</v>
      </c>
      <c r="K2884" t="s">
        <v>115</v>
      </c>
      <c r="L2884" t="str">
        <f>_xlfn.XLOOKUP(C2884, Table2[Species],Table2[Genus], "Code Not Found")</f>
        <v>Acer</v>
      </c>
      <c r="M2884" t="str">
        <f>_xlfn.XLOOKUP(C2884, Table2[Species],Table2[Sp. Name], "Code Not Found")</f>
        <v>saccharum</v>
      </c>
      <c r="N2884" t="str">
        <f>_xlfn.XLOOKUP(C2884,Table2[Species],Table2[Family],"Code Not Found")</f>
        <v>Sapindaceae</v>
      </c>
      <c r="O2884" t="str" cm="1">
        <f t="array" ref="O2884">_xlfn.IFS(F2884="","",F2884&lt;=5,"0 to 5",F2884&lt;=10,"5.1 to 10",F2884&lt;=20,"10 to 20", F2884&lt;= 40, "20 to 40", F2884 &lt;= 50, "40 to 50", F2884 &gt; 50, "&gt;50" )</f>
        <v>10 to 20</v>
      </c>
    </row>
    <row r="2885" spans="1:15" ht="15" customHeight="1" x14ac:dyDescent="0.3">
      <c r="A2885" t="s">
        <v>566</v>
      </c>
      <c r="B2885" s="1">
        <v>46218</v>
      </c>
      <c r="C2885" t="s">
        <v>124</v>
      </c>
      <c r="D2885">
        <v>2687</v>
      </c>
      <c r="E2885">
        <v>1</v>
      </c>
      <c r="F2885">
        <v>3.4</v>
      </c>
      <c r="G2885" t="s">
        <v>47</v>
      </c>
      <c r="H2885" t="s">
        <v>588</v>
      </c>
      <c r="I2885" t="str">
        <f t="shared" si="71"/>
        <v>2687_1</v>
      </c>
      <c r="J2885" t="s">
        <v>533</v>
      </c>
      <c r="K2885" t="s">
        <v>115</v>
      </c>
      <c r="L2885" t="str">
        <f>_xlfn.XLOOKUP(C2885, Table2[Species],Table2[Genus], "Code Not Found")</f>
        <v>Amelanchier</v>
      </c>
      <c r="M2885" t="str">
        <f>_xlfn.XLOOKUP(C2885, Table2[Species],Table2[Sp. Name], "Code Not Found")</f>
        <v>arborea</v>
      </c>
      <c r="N2885" t="str">
        <f>_xlfn.XLOOKUP(C2885,Table2[Species],Table2[Family],"Code Not Found")</f>
        <v>Rosaceae</v>
      </c>
      <c r="O2885" t="str" cm="1">
        <f t="array" ref="O2885">_xlfn.IFS(F2885="","",F2885&lt;=5,"0 to 5",F2885&lt;=10,"5.1 to 10",F2885&lt;=20,"10 to 20", F2885&lt;= 40, "20 to 40", F2885 &lt;= 50, "40 to 50", F2885 &gt; 50, "&gt;50" )</f>
        <v>0 to 5</v>
      </c>
    </row>
    <row r="2886" spans="1:15" ht="15" customHeight="1" x14ac:dyDescent="0.3">
      <c r="A2886" t="s">
        <v>566</v>
      </c>
      <c r="B2886" s="1">
        <v>46218</v>
      </c>
      <c r="C2886" t="s">
        <v>16</v>
      </c>
      <c r="D2886">
        <v>2688</v>
      </c>
      <c r="E2886">
        <v>1</v>
      </c>
      <c r="F2886">
        <v>4.7</v>
      </c>
      <c r="G2886" t="s">
        <v>21</v>
      </c>
      <c r="I2886" t="str">
        <f t="shared" si="71"/>
        <v>2688_1</v>
      </c>
      <c r="J2886" t="s">
        <v>533</v>
      </c>
      <c r="K2886" t="s">
        <v>115</v>
      </c>
      <c r="L2886" t="str">
        <f>_xlfn.XLOOKUP(C2886, Table2[Species],Table2[Genus], "Code Not Found")</f>
        <v>Acer</v>
      </c>
      <c r="M2886" t="str">
        <f>_xlfn.XLOOKUP(C2886, Table2[Species],Table2[Sp. Name], "Code Not Found")</f>
        <v>saccharum</v>
      </c>
      <c r="N2886" t="str">
        <f>_xlfn.XLOOKUP(C2886,Table2[Species],Table2[Family],"Code Not Found")</f>
        <v>Sapindaceae</v>
      </c>
      <c r="O2886" t="str" cm="1">
        <f t="array" ref="O2886">_xlfn.IFS(F2886="","",F2886&lt;=5,"0 to 5",F2886&lt;=10,"5.1 to 10",F2886&lt;=20,"10 to 20", F2886&lt;= 40, "20 to 40", F2886 &lt;= 50, "40 to 50", F2886 &gt; 50, "&gt;50" )</f>
        <v>0 to 5</v>
      </c>
    </row>
    <row r="2887" spans="1:15" ht="15" customHeight="1" x14ac:dyDescent="0.3">
      <c r="A2887" t="s">
        <v>566</v>
      </c>
      <c r="B2887" s="1">
        <v>46218</v>
      </c>
      <c r="C2887" t="s">
        <v>16</v>
      </c>
      <c r="D2887">
        <v>2689</v>
      </c>
      <c r="E2887">
        <v>1</v>
      </c>
      <c r="F2887">
        <v>5.7</v>
      </c>
      <c r="G2887" t="s">
        <v>47</v>
      </c>
      <c r="H2887" t="s">
        <v>296</v>
      </c>
      <c r="I2887" t="str">
        <f t="shared" si="71"/>
        <v>2689_1</v>
      </c>
      <c r="J2887" t="s">
        <v>533</v>
      </c>
      <c r="K2887" t="s">
        <v>115</v>
      </c>
      <c r="L2887" t="str">
        <f>_xlfn.XLOOKUP(C2887, Table2[Species],Table2[Genus], "Code Not Found")</f>
        <v>Acer</v>
      </c>
      <c r="M2887" t="str">
        <f>_xlfn.XLOOKUP(C2887, Table2[Species],Table2[Sp. Name], "Code Not Found")</f>
        <v>saccharum</v>
      </c>
      <c r="N2887" t="str">
        <f>_xlfn.XLOOKUP(C2887,Table2[Species],Table2[Family],"Code Not Found")</f>
        <v>Sapindaceae</v>
      </c>
      <c r="O2887" t="str" cm="1">
        <f t="array" ref="O2887">_xlfn.IFS(F2887="","",F2887&lt;=5,"0 to 5",F2887&lt;=10,"5.1 to 10",F2887&lt;=20,"10 to 20", F2887&lt;= 40, "20 to 40", F2887 &lt;= 50, "40 to 50", F2887 &gt; 50, "&gt;50" )</f>
        <v>5.1 to 10</v>
      </c>
    </row>
    <row r="2888" spans="1:15" ht="15" customHeight="1" x14ac:dyDescent="0.3">
      <c r="A2888" t="s">
        <v>566</v>
      </c>
      <c r="B2888" s="1">
        <v>46218</v>
      </c>
      <c r="C2888" t="s">
        <v>16</v>
      </c>
      <c r="D2888">
        <v>2690</v>
      </c>
      <c r="E2888">
        <v>1</v>
      </c>
      <c r="F2888">
        <v>2.1</v>
      </c>
      <c r="G2888" t="s">
        <v>17</v>
      </c>
      <c r="I2888" t="str">
        <f t="shared" si="71"/>
        <v>2690_1</v>
      </c>
      <c r="J2888" t="s">
        <v>533</v>
      </c>
      <c r="K2888" t="s">
        <v>115</v>
      </c>
      <c r="L2888" t="str">
        <f>_xlfn.XLOOKUP(C2888, Table2[Species],Table2[Genus], "Code Not Found")</f>
        <v>Acer</v>
      </c>
      <c r="M2888" t="str">
        <f>_xlfn.XLOOKUP(C2888, Table2[Species],Table2[Sp. Name], "Code Not Found")</f>
        <v>saccharum</v>
      </c>
      <c r="N2888" t="str">
        <f>_xlfn.XLOOKUP(C2888,Table2[Species],Table2[Family],"Code Not Found")</f>
        <v>Sapindaceae</v>
      </c>
      <c r="O2888" t="str" cm="1">
        <f t="array" ref="O2888">_xlfn.IFS(F2888="","",F2888&lt;=5,"0 to 5",F2888&lt;=10,"5.1 to 10",F2888&lt;=20,"10 to 20", F2888&lt;= 40, "20 to 40", F2888 &lt;= 50, "40 to 50", F2888 &gt; 50, "&gt;50" )</f>
        <v>0 to 5</v>
      </c>
    </row>
    <row r="2889" spans="1:15" ht="15" customHeight="1" x14ac:dyDescent="0.3">
      <c r="A2889" t="s">
        <v>566</v>
      </c>
      <c r="B2889" s="1">
        <v>46218</v>
      </c>
      <c r="C2889" t="s">
        <v>572</v>
      </c>
      <c r="D2889">
        <v>2691</v>
      </c>
      <c r="E2889">
        <v>1</v>
      </c>
      <c r="F2889">
        <v>20</v>
      </c>
      <c r="G2889" t="s">
        <v>381</v>
      </c>
      <c r="H2889" t="s">
        <v>99</v>
      </c>
      <c r="I2889" t="str">
        <f t="shared" si="71"/>
        <v>2691_1</v>
      </c>
      <c r="J2889" t="s">
        <v>533</v>
      </c>
      <c r="K2889" t="s">
        <v>115</v>
      </c>
      <c r="L2889" t="str">
        <f>_xlfn.XLOOKUP(C2889, Table2[Species],Table2[Genus], "Code Not Found")</f>
        <v>Carya</v>
      </c>
      <c r="M2889" t="str">
        <f>_xlfn.XLOOKUP(C2889, Table2[Species],Table2[Sp. Name], "Code Not Found")</f>
        <v>ovata</v>
      </c>
      <c r="N2889" t="str">
        <f>_xlfn.XLOOKUP(C2889,Table2[Species],Table2[Family],"Code Not Found")</f>
        <v>Juglandaceae</v>
      </c>
      <c r="O2889" t="str" cm="1">
        <f t="array" ref="O2889">_xlfn.IFS(F2889="","",F2889&lt;=5,"0 to 5",F2889&lt;=10,"5.1 to 10",F2889&lt;=20,"10 to 20", F2889&lt;= 40, "20 to 40", F2889 &lt;= 50, "40 to 50", F2889 &gt; 50, "&gt;50" )</f>
        <v>10 to 20</v>
      </c>
    </row>
    <row r="2890" spans="1:15" ht="15" customHeight="1" x14ac:dyDescent="0.3">
      <c r="A2890" t="s">
        <v>566</v>
      </c>
      <c r="B2890" s="1">
        <v>46218</v>
      </c>
      <c r="C2890" t="s">
        <v>572</v>
      </c>
      <c r="D2890">
        <v>2692</v>
      </c>
      <c r="E2890">
        <v>1</v>
      </c>
      <c r="F2890">
        <v>48.9</v>
      </c>
      <c r="G2890" t="s">
        <v>30</v>
      </c>
      <c r="H2890" t="s">
        <v>99</v>
      </c>
      <c r="I2890" t="str">
        <f t="shared" si="71"/>
        <v>2692_1</v>
      </c>
      <c r="J2890" t="s">
        <v>533</v>
      </c>
      <c r="K2890" t="s">
        <v>115</v>
      </c>
      <c r="L2890" t="str">
        <f>_xlfn.XLOOKUP(C2890, Table2[Species],Table2[Genus], "Code Not Found")</f>
        <v>Carya</v>
      </c>
      <c r="M2890" t="str">
        <f>_xlfn.XLOOKUP(C2890, Table2[Species],Table2[Sp. Name], "Code Not Found")</f>
        <v>ovata</v>
      </c>
      <c r="N2890" t="str">
        <f>_xlfn.XLOOKUP(C2890,Table2[Species],Table2[Family],"Code Not Found")</f>
        <v>Juglandaceae</v>
      </c>
      <c r="O2890" t="str" cm="1">
        <f t="array" ref="O2890">_xlfn.IFS(F2890="","",F2890&lt;=5,"0 to 5",F2890&lt;=10,"5.1 to 10",F2890&lt;=20,"10 to 20", F2890&lt;= 40, "20 to 40", F2890 &lt;= 50, "40 to 50", F2890 &gt; 50, "&gt;50" )</f>
        <v>40 to 50</v>
      </c>
    </row>
    <row r="2891" spans="1:15" ht="15" customHeight="1" x14ac:dyDescent="0.3">
      <c r="A2891" t="s">
        <v>566</v>
      </c>
      <c r="B2891" s="1">
        <v>46218</v>
      </c>
      <c r="C2891" t="s">
        <v>16</v>
      </c>
      <c r="D2891">
        <v>2693</v>
      </c>
      <c r="E2891">
        <v>1</v>
      </c>
      <c r="F2891">
        <v>3.1</v>
      </c>
      <c r="G2891" t="s">
        <v>17</v>
      </c>
      <c r="I2891" t="str">
        <f t="shared" si="71"/>
        <v>2693_1</v>
      </c>
      <c r="J2891" t="s">
        <v>533</v>
      </c>
      <c r="K2891" t="s">
        <v>115</v>
      </c>
      <c r="L2891" t="str">
        <f>_xlfn.XLOOKUP(C2891, Table2[Species],Table2[Genus], "Code Not Found")</f>
        <v>Acer</v>
      </c>
      <c r="M2891" t="str">
        <f>_xlfn.XLOOKUP(C2891, Table2[Species],Table2[Sp. Name], "Code Not Found")</f>
        <v>saccharum</v>
      </c>
      <c r="N2891" t="str">
        <f>_xlfn.XLOOKUP(C2891,Table2[Species],Table2[Family],"Code Not Found")</f>
        <v>Sapindaceae</v>
      </c>
      <c r="O2891" t="str" cm="1">
        <f t="array" ref="O2891">_xlfn.IFS(F2891="","",F2891&lt;=5,"0 to 5",F2891&lt;=10,"5.1 to 10",F2891&lt;=20,"10 to 20", F2891&lt;= 40, "20 to 40", F2891 &lt;= 50, "40 to 50", F2891 &gt; 50, "&gt;50" )</f>
        <v>0 to 5</v>
      </c>
    </row>
    <row r="2892" spans="1:15" ht="15" customHeight="1" x14ac:dyDescent="0.3">
      <c r="A2892" t="s">
        <v>566</v>
      </c>
      <c r="B2892" s="1">
        <v>46218</v>
      </c>
      <c r="C2892" t="s">
        <v>16</v>
      </c>
      <c r="D2892">
        <v>2694</v>
      </c>
      <c r="E2892">
        <v>1</v>
      </c>
      <c r="F2892">
        <v>6.1</v>
      </c>
      <c r="G2892" t="s">
        <v>51</v>
      </c>
      <c r="H2892" t="s">
        <v>36</v>
      </c>
      <c r="I2892" t="str">
        <f t="shared" si="71"/>
        <v>2694_1</v>
      </c>
      <c r="J2892" t="s">
        <v>533</v>
      </c>
      <c r="K2892" t="s">
        <v>115</v>
      </c>
      <c r="L2892" t="str">
        <f>_xlfn.XLOOKUP(C2892, Table2[Species],Table2[Genus], "Code Not Found")</f>
        <v>Acer</v>
      </c>
      <c r="M2892" t="str">
        <f>_xlfn.XLOOKUP(C2892, Table2[Species],Table2[Sp. Name], "Code Not Found")</f>
        <v>saccharum</v>
      </c>
      <c r="N2892" t="str">
        <f>_xlfn.XLOOKUP(C2892,Table2[Species],Table2[Family],"Code Not Found")</f>
        <v>Sapindaceae</v>
      </c>
      <c r="O2892" t="str" cm="1">
        <f t="array" ref="O2892">_xlfn.IFS(F2892="","",F2892&lt;=5,"0 to 5",F2892&lt;=10,"5.1 to 10",F2892&lt;=20,"10 to 20", F2892&lt;= 40, "20 to 40", F2892 &lt;= 50, "40 to 50", F2892 &gt; 50, "&gt;50" )</f>
        <v>5.1 to 10</v>
      </c>
    </row>
    <row r="2893" spans="1:15" ht="15" customHeight="1" x14ac:dyDescent="0.3">
      <c r="A2893" t="s">
        <v>566</v>
      </c>
      <c r="B2893" s="1">
        <v>46218</v>
      </c>
      <c r="C2893" t="s">
        <v>16</v>
      </c>
      <c r="D2893">
        <v>2695</v>
      </c>
      <c r="E2893">
        <v>1</v>
      </c>
      <c r="F2893">
        <v>4.2</v>
      </c>
      <c r="G2893" t="s">
        <v>17</v>
      </c>
      <c r="I2893" t="str">
        <f t="shared" si="71"/>
        <v>2695_1</v>
      </c>
      <c r="J2893" t="s">
        <v>533</v>
      </c>
      <c r="K2893" t="s">
        <v>115</v>
      </c>
      <c r="L2893" t="str">
        <f>_xlfn.XLOOKUP(C2893, Table2[Species],Table2[Genus], "Code Not Found")</f>
        <v>Acer</v>
      </c>
      <c r="M2893" t="str">
        <f>_xlfn.XLOOKUP(C2893, Table2[Species],Table2[Sp. Name], "Code Not Found")</f>
        <v>saccharum</v>
      </c>
      <c r="N2893" t="str">
        <f>_xlfn.XLOOKUP(C2893,Table2[Species],Table2[Family],"Code Not Found")</f>
        <v>Sapindaceae</v>
      </c>
      <c r="O2893" t="str" cm="1">
        <f t="array" ref="O2893">_xlfn.IFS(F2893="","",F2893&lt;=5,"0 to 5",F2893&lt;=10,"5.1 to 10",F2893&lt;=20,"10 to 20", F2893&lt;= 40, "20 to 40", F2893 &lt;= 50, "40 to 50", F2893 &gt; 50, "&gt;50" )</f>
        <v>0 to 5</v>
      </c>
    </row>
    <row r="2894" spans="1:15" ht="15" customHeight="1" x14ac:dyDescent="0.3">
      <c r="A2894" t="s">
        <v>566</v>
      </c>
      <c r="B2894" s="1">
        <v>46218</v>
      </c>
      <c r="C2894" t="s">
        <v>117</v>
      </c>
      <c r="D2894">
        <v>2696</v>
      </c>
      <c r="E2894">
        <v>1</v>
      </c>
      <c r="F2894">
        <v>7</v>
      </c>
      <c r="G2894" t="s">
        <v>17</v>
      </c>
      <c r="I2894" t="str">
        <f t="shared" si="71"/>
        <v>2696_1</v>
      </c>
      <c r="J2894" t="s">
        <v>533</v>
      </c>
      <c r="K2894" t="s">
        <v>115</v>
      </c>
      <c r="L2894" t="str">
        <f>_xlfn.XLOOKUP(C2894, Table2[Species],Table2[Genus], "Code Not Found")</f>
        <v>Ostrya</v>
      </c>
      <c r="M2894" t="str">
        <f>_xlfn.XLOOKUP(C2894, Table2[Species],Table2[Sp. Name], "Code Not Found")</f>
        <v>viginiana</v>
      </c>
      <c r="N2894" t="str">
        <f>_xlfn.XLOOKUP(C2894,Table2[Species],Table2[Family],"Code Not Found")</f>
        <v>Betulaceae</v>
      </c>
      <c r="O2894" t="str" cm="1">
        <f t="array" ref="O2894">_xlfn.IFS(F2894="","",F2894&lt;=5,"0 to 5",F2894&lt;=10,"5.1 to 10",F2894&lt;=20,"10 to 20", F2894&lt;= 40, "20 to 40", F2894 &lt;= 50, "40 to 50", F2894 &gt; 50, "&gt;50" )</f>
        <v>5.1 to 10</v>
      </c>
    </row>
    <row r="2895" spans="1:15" ht="15" customHeight="1" x14ac:dyDescent="0.3">
      <c r="A2895" t="s">
        <v>566</v>
      </c>
      <c r="B2895" s="1">
        <v>46218</v>
      </c>
      <c r="C2895" t="s">
        <v>16</v>
      </c>
      <c r="D2895">
        <v>2697</v>
      </c>
      <c r="E2895">
        <v>1</v>
      </c>
      <c r="F2895">
        <v>4.3</v>
      </c>
      <c r="G2895" t="s">
        <v>17</v>
      </c>
      <c r="I2895" t="str">
        <f t="shared" si="71"/>
        <v>2697_1</v>
      </c>
      <c r="J2895" t="s">
        <v>533</v>
      </c>
      <c r="K2895" t="s">
        <v>115</v>
      </c>
      <c r="L2895" t="str">
        <f>_xlfn.XLOOKUP(C2895, Table2[Species],Table2[Genus], "Code Not Found")</f>
        <v>Acer</v>
      </c>
      <c r="M2895" t="str">
        <f>_xlfn.XLOOKUP(C2895, Table2[Species],Table2[Sp. Name], "Code Not Found")</f>
        <v>saccharum</v>
      </c>
      <c r="N2895" t="str">
        <f>_xlfn.XLOOKUP(C2895,Table2[Species],Table2[Family],"Code Not Found")</f>
        <v>Sapindaceae</v>
      </c>
      <c r="O2895" t="str" cm="1">
        <f t="array" ref="O2895">_xlfn.IFS(F2895="","",F2895&lt;=5,"0 to 5",F2895&lt;=10,"5.1 to 10",F2895&lt;=20,"10 to 20", F2895&lt;= 40, "20 to 40", F2895 &lt;= 50, "40 to 50", F2895 &gt; 50, "&gt;50" )</f>
        <v>0 to 5</v>
      </c>
    </row>
    <row r="2896" spans="1:15" ht="15" customHeight="1" x14ac:dyDescent="0.3">
      <c r="A2896" t="s">
        <v>566</v>
      </c>
      <c r="B2896" s="1">
        <v>46218</v>
      </c>
      <c r="C2896" t="s">
        <v>572</v>
      </c>
      <c r="D2896">
        <v>2698</v>
      </c>
      <c r="E2896">
        <v>1</v>
      </c>
      <c r="F2896">
        <v>61.4</v>
      </c>
      <c r="G2896" t="s">
        <v>21</v>
      </c>
      <c r="I2896" t="str">
        <f t="shared" si="71"/>
        <v>2698_1</v>
      </c>
      <c r="J2896" t="s">
        <v>533</v>
      </c>
      <c r="K2896" t="s">
        <v>115</v>
      </c>
      <c r="L2896" t="str">
        <f>_xlfn.XLOOKUP(C2896, Table2[Species],Table2[Genus], "Code Not Found")</f>
        <v>Carya</v>
      </c>
      <c r="M2896" t="str">
        <f>_xlfn.XLOOKUP(C2896, Table2[Species],Table2[Sp. Name], "Code Not Found")</f>
        <v>ovata</v>
      </c>
      <c r="N2896" t="str">
        <f>_xlfn.XLOOKUP(C2896,Table2[Species],Table2[Family],"Code Not Found")</f>
        <v>Juglandaceae</v>
      </c>
      <c r="O2896" t="str" cm="1">
        <f t="array" ref="O2896">_xlfn.IFS(F2896="","",F2896&lt;=5,"0 to 5",F2896&lt;=10,"5.1 to 10",F2896&lt;=20,"10 to 20", F2896&lt;= 40, "20 to 40", F2896 &lt;= 50, "40 to 50", F2896 &gt; 50, "&gt;50" )</f>
        <v>&gt;50</v>
      </c>
    </row>
    <row r="2897" spans="1:15" ht="15" customHeight="1" x14ac:dyDescent="0.3">
      <c r="A2897" t="s">
        <v>566</v>
      </c>
      <c r="B2897" s="1">
        <v>46218</v>
      </c>
      <c r="C2897" t="s">
        <v>16</v>
      </c>
      <c r="D2897">
        <v>2699</v>
      </c>
      <c r="E2897">
        <v>1</v>
      </c>
      <c r="F2897">
        <v>2.2000000000000002</v>
      </c>
      <c r="G2897" t="s">
        <v>589</v>
      </c>
      <c r="H2897" t="s">
        <v>590</v>
      </c>
      <c r="I2897" t="str">
        <f t="shared" si="71"/>
        <v>2699_1</v>
      </c>
      <c r="J2897" t="s">
        <v>533</v>
      </c>
      <c r="K2897" t="s">
        <v>115</v>
      </c>
      <c r="L2897" t="str">
        <f>_xlfn.XLOOKUP(C2897, Table2[Species],Table2[Genus], "Code Not Found")</f>
        <v>Acer</v>
      </c>
      <c r="M2897" t="str">
        <f>_xlfn.XLOOKUP(C2897, Table2[Species],Table2[Sp. Name], "Code Not Found")</f>
        <v>saccharum</v>
      </c>
      <c r="N2897" t="str">
        <f>_xlfn.XLOOKUP(C2897,Table2[Species],Table2[Family],"Code Not Found")</f>
        <v>Sapindaceae</v>
      </c>
      <c r="O2897" t="str" cm="1">
        <f t="array" ref="O2897">_xlfn.IFS(F2897="","",F2897&lt;=5,"0 to 5",F2897&lt;=10,"5.1 to 10",F2897&lt;=20,"10 to 20", F2897&lt;= 40, "20 to 40", F2897 &lt;= 50, "40 to 50", F2897 &gt; 50, "&gt;50" )</f>
        <v>0 to 5</v>
      </c>
    </row>
    <row r="2898" spans="1:15" ht="15" customHeight="1" x14ac:dyDescent="0.3">
      <c r="A2898" t="s">
        <v>566</v>
      </c>
      <c r="B2898" s="1">
        <v>46218</v>
      </c>
      <c r="C2898" t="s">
        <v>16</v>
      </c>
      <c r="D2898">
        <v>2700</v>
      </c>
      <c r="E2898">
        <v>1</v>
      </c>
      <c r="F2898">
        <v>7.7</v>
      </c>
      <c r="G2898" t="s">
        <v>56</v>
      </c>
      <c r="I2898" t="str">
        <f t="shared" si="71"/>
        <v>2700_1</v>
      </c>
      <c r="J2898" t="s">
        <v>533</v>
      </c>
      <c r="K2898" t="s">
        <v>115</v>
      </c>
      <c r="L2898" t="str">
        <f>_xlfn.XLOOKUP(C2898, Table2[Species],Table2[Genus], "Code Not Found")</f>
        <v>Acer</v>
      </c>
      <c r="M2898" t="str">
        <f>_xlfn.XLOOKUP(C2898, Table2[Species],Table2[Sp. Name], "Code Not Found")</f>
        <v>saccharum</v>
      </c>
      <c r="N2898" t="str">
        <f>_xlfn.XLOOKUP(C2898,Table2[Species],Table2[Family],"Code Not Found")</f>
        <v>Sapindaceae</v>
      </c>
      <c r="O2898" t="str" cm="1">
        <f t="array" ref="O2898">_xlfn.IFS(F2898="","",F2898&lt;=5,"0 to 5",F2898&lt;=10,"5.1 to 10",F2898&lt;=20,"10 to 20", F2898&lt;= 40, "20 to 40", F2898 &lt;= 50, "40 to 50", F2898 &gt; 50, "&gt;50" )</f>
        <v>5.1 to 10</v>
      </c>
    </row>
    <row r="2899" spans="1:15" ht="15" customHeight="1" x14ac:dyDescent="0.3">
      <c r="A2899" t="s">
        <v>566</v>
      </c>
      <c r="B2899" s="1">
        <v>46218</v>
      </c>
      <c r="C2899" t="s">
        <v>16</v>
      </c>
      <c r="D2899">
        <v>2701</v>
      </c>
      <c r="E2899">
        <v>1</v>
      </c>
      <c r="F2899">
        <v>2.2000000000000002</v>
      </c>
      <c r="G2899" t="s">
        <v>591</v>
      </c>
      <c r="H2899" t="s">
        <v>592</v>
      </c>
      <c r="I2899" t="str">
        <f t="shared" si="71"/>
        <v>2701_1</v>
      </c>
      <c r="J2899" t="s">
        <v>533</v>
      </c>
      <c r="K2899" t="s">
        <v>115</v>
      </c>
      <c r="L2899" t="str">
        <f>_xlfn.XLOOKUP(C2899, Table2[Species],Table2[Genus], "Code Not Found")</f>
        <v>Acer</v>
      </c>
      <c r="M2899" t="str">
        <f>_xlfn.XLOOKUP(C2899, Table2[Species],Table2[Sp. Name], "Code Not Found")</f>
        <v>saccharum</v>
      </c>
      <c r="N2899" t="str">
        <f>_xlfn.XLOOKUP(C2899,Table2[Species],Table2[Family],"Code Not Found")</f>
        <v>Sapindaceae</v>
      </c>
      <c r="O2899" t="str" cm="1">
        <f t="array" ref="O2899">_xlfn.IFS(F2899="","",F2899&lt;=5,"0 to 5",F2899&lt;=10,"5.1 to 10",F2899&lt;=20,"10 to 20", F2899&lt;= 40, "20 to 40", F2899 &lt;= 50, "40 to 50", F2899 &gt; 50, "&gt;50" )</f>
        <v>0 to 5</v>
      </c>
    </row>
    <row r="2900" spans="1:15" ht="15" customHeight="1" x14ac:dyDescent="0.3">
      <c r="A2900" t="s">
        <v>566</v>
      </c>
      <c r="B2900" s="1">
        <v>46218</v>
      </c>
      <c r="C2900" t="s">
        <v>16</v>
      </c>
      <c r="D2900">
        <v>2702</v>
      </c>
      <c r="E2900">
        <v>1</v>
      </c>
      <c r="F2900">
        <v>5.9</v>
      </c>
      <c r="G2900" t="s">
        <v>21</v>
      </c>
      <c r="I2900" t="str">
        <f t="shared" si="71"/>
        <v>2702_1</v>
      </c>
      <c r="J2900" t="s">
        <v>533</v>
      </c>
      <c r="K2900" t="s">
        <v>115</v>
      </c>
      <c r="L2900" t="str">
        <f>_xlfn.XLOOKUP(C2900, Table2[Species],Table2[Genus], "Code Not Found")</f>
        <v>Acer</v>
      </c>
      <c r="M2900" t="str">
        <f>_xlfn.XLOOKUP(C2900, Table2[Species],Table2[Sp. Name], "Code Not Found")</f>
        <v>saccharum</v>
      </c>
      <c r="N2900" t="str">
        <f>_xlfn.XLOOKUP(C2900,Table2[Species],Table2[Family],"Code Not Found")</f>
        <v>Sapindaceae</v>
      </c>
      <c r="O2900" t="str" cm="1">
        <f t="array" ref="O2900">_xlfn.IFS(F2900="","",F2900&lt;=5,"0 to 5",F2900&lt;=10,"5.1 to 10",F2900&lt;=20,"10 to 20", F2900&lt;= 40, "20 to 40", F2900 &lt;= 50, "40 to 50", F2900 &gt; 50, "&gt;50" )</f>
        <v>5.1 to 10</v>
      </c>
    </row>
    <row r="2901" spans="1:15" ht="15" customHeight="1" x14ac:dyDescent="0.3">
      <c r="A2901" t="s">
        <v>566</v>
      </c>
      <c r="B2901" s="1">
        <v>46218</v>
      </c>
      <c r="C2901" t="s">
        <v>16</v>
      </c>
      <c r="D2901">
        <v>2703</v>
      </c>
      <c r="E2901">
        <v>1</v>
      </c>
      <c r="F2901">
        <v>2.5</v>
      </c>
      <c r="G2901" t="s">
        <v>47</v>
      </c>
      <c r="H2901" t="s">
        <v>296</v>
      </c>
      <c r="I2901" t="str">
        <f>D2901&amp;"_"&amp;E2901</f>
        <v>2703_1</v>
      </c>
      <c r="J2901" t="s">
        <v>533</v>
      </c>
      <c r="K2901" t="s">
        <v>115</v>
      </c>
      <c r="L2901" t="str">
        <f>_xlfn.XLOOKUP(C2901, Table2[Species],Table2[Genus], "Code Not Found")</f>
        <v>Acer</v>
      </c>
      <c r="M2901" t="str">
        <f>_xlfn.XLOOKUP(C2901, Table2[Species],Table2[Sp. Name], "Code Not Found")</f>
        <v>saccharum</v>
      </c>
      <c r="N2901" t="str">
        <f>_xlfn.XLOOKUP(C2901,Table2[Species],Table2[Family],"Code Not Found")</f>
        <v>Sapindaceae</v>
      </c>
      <c r="O2901" t="str" cm="1">
        <f t="array" ref="O2901">_xlfn.IFS(F2901="","",F2901&lt;=5,"0 to 5",F2901&lt;=10,"5.1 to 10",F2901&lt;=20,"10 to 20", F2901&lt;= 40, "20 to 40", F2901 &lt;= 50, "40 to 50", F2901 &gt; 50, "&gt;50" )</f>
        <v>0 to 5</v>
      </c>
    </row>
    <row r="2902" spans="1:15" ht="15" customHeight="1" x14ac:dyDescent="0.3">
      <c r="A2902" t="s">
        <v>566</v>
      </c>
      <c r="B2902" s="1">
        <v>46218</v>
      </c>
      <c r="C2902" t="s">
        <v>16</v>
      </c>
      <c r="D2902">
        <v>2704</v>
      </c>
      <c r="E2902">
        <v>1</v>
      </c>
      <c r="F2902">
        <v>5.2</v>
      </c>
      <c r="G2902" t="s">
        <v>21</v>
      </c>
      <c r="I2902" t="str">
        <f>D2902&amp;"_"&amp;E2902</f>
        <v>2704_1</v>
      </c>
      <c r="J2902" t="s">
        <v>533</v>
      </c>
      <c r="K2902" t="s">
        <v>115</v>
      </c>
      <c r="L2902" t="str">
        <f>_xlfn.XLOOKUP(C2902, Table2[Species],Table2[Genus], "Code Not Found")</f>
        <v>Acer</v>
      </c>
      <c r="M2902" t="str">
        <f>_xlfn.XLOOKUP(C2902, Table2[Species],Table2[Sp. Name], "Code Not Found")</f>
        <v>saccharum</v>
      </c>
      <c r="N2902" t="str">
        <f>_xlfn.XLOOKUP(C2902,Table2[Species],Table2[Family],"Code Not Found")</f>
        <v>Sapindaceae</v>
      </c>
      <c r="O2902" t="str" cm="1">
        <f t="array" ref="O2902">_xlfn.IFS(F2902="","",F2902&lt;=5,"0 to 5",F2902&lt;=10,"5.1 to 10",F2902&lt;=20,"10 to 20", F2902&lt;= 40, "20 to 40", F2902 &lt;= 50, "40 to 50", F2902 &gt; 50, "&gt;50" )</f>
        <v>5.1 to 10</v>
      </c>
    </row>
    <row r="2903" spans="1:15" ht="15" customHeight="1" x14ac:dyDescent="0.3">
      <c r="A2903" t="s">
        <v>566</v>
      </c>
      <c r="B2903" s="1">
        <v>46218</v>
      </c>
      <c r="C2903" t="s">
        <v>129</v>
      </c>
      <c r="D2903">
        <v>2705</v>
      </c>
      <c r="E2903">
        <v>1</v>
      </c>
      <c r="F2903">
        <v>21.8</v>
      </c>
      <c r="G2903" t="s">
        <v>17</v>
      </c>
      <c r="I2903" t="str">
        <f t="shared" ref="I2903:I2922" si="72">D2903&amp;"_"&amp;E2903</f>
        <v>2705_1</v>
      </c>
      <c r="J2903" t="s">
        <v>533</v>
      </c>
      <c r="K2903" t="s">
        <v>115</v>
      </c>
      <c r="L2903" t="str">
        <f>_xlfn.XLOOKUP(C2903, Table2[Species],Table2[Genus], "Code Not Found")</f>
        <v>Quercus</v>
      </c>
      <c r="M2903" t="str">
        <f>_xlfn.XLOOKUP(C2903, Table2[Species],Table2[Sp. Name], "Code Not Found")</f>
        <v>alba</v>
      </c>
      <c r="N2903" t="str">
        <f>_xlfn.XLOOKUP(C2903,Table2[Species],Table2[Family],"Code Not Found")</f>
        <v>Fagaceae</v>
      </c>
      <c r="O2903" t="str" cm="1">
        <f t="array" ref="O2903">_xlfn.IFS(F2903="","",F2903&lt;=5,"0 to 5",F2903&lt;=10,"5.1 to 10",F2903&lt;=20,"10 to 20", F2903&lt;= 40, "20 to 40", F2903 &lt;= 50, "40 to 50", F2903 &gt; 50, "&gt;50" )</f>
        <v>20 to 40</v>
      </c>
    </row>
    <row r="2904" spans="1:15" ht="15" customHeight="1" x14ac:dyDescent="0.3">
      <c r="A2904" t="s">
        <v>566</v>
      </c>
      <c r="B2904" s="1">
        <v>46218</v>
      </c>
      <c r="C2904" t="s">
        <v>16</v>
      </c>
      <c r="D2904">
        <v>2706</v>
      </c>
      <c r="E2904">
        <v>1</v>
      </c>
      <c r="F2904">
        <v>6.2</v>
      </c>
      <c r="G2904" t="s">
        <v>17</v>
      </c>
      <c r="I2904" t="str">
        <f t="shared" si="72"/>
        <v>2706_1</v>
      </c>
      <c r="J2904" t="s">
        <v>533</v>
      </c>
      <c r="K2904" t="s">
        <v>115</v>
      </c>
      <c r="L2904" t="str">
        <f>_xlfn.XLOOKUP(C2904, Table2[Species],Table2[Genus], "Code Not Found")</f>
        <v>Acer</v>
      </c>
      <c r="M2904" t="str">
        <f>_xlfn.XLOOKUP(C2904, Table2[Species],Table2[Sp. Name], "Code Not Found")</f>
        <v>saccharum</v>
      </c>
      <c r="N2904" t="str">
        <f>_xlfn.XLOOKUP(C2904,Table2[Species],Table2[Family],"Code Not Found")</f>
        <v>Sapindaceae</v>
      </c>
      <c r="O2904" t="str" cm="1">
        <f t="array" ref="O2904">_xlfn.IFS(F2904="","",F2904&lt;=5,"0 to 5",F2904&lt;=10,"5.1 to 10",F2904&lt;=20,"10 to 20", F2904&lt;= 40, "20 to 40", F2904 &lt;= 50, "40 to 50", F2904 &gt; 50, "&gt;50" )</f>
        <v>5.1 to 10</v>
      </c>
    </row>
    <row r="2905" spans="1:15" ht="15" customHeight="1" x14ac:dyDescent="0.3">
      <c r="A2905" t="s">
        <v>566</v>
      </c>
      <c r="B2905" s="1">
        <v>46218</v>
      </c>
      <c r="C2905" t="s">
        <v>16</v>
      </c>
      <c r="D2905">
        <v>2707</v>
      </c>
      <c r="E2905">
        <v>1</v>
      </c>
      <c r="F2905">
        <v>4</v>
      </c>
      <c r="G2905" t="s">
        <v>17</v>
      </c>
      <c r="I2905" t="str">
        <f t="shared" si="72"/>
        <v>2707_1</v>
      </c>
      <c r="J2905" t="s">
        <v>533</v>
      </c>
      <c r="K2905" t="s">
        <v>115</v>
      </c>
      <c r="L2905" t="str">
        <f>_xlfn.XLOOKUP(C2905, Table2[Species],Table2[Genus], "Code Not Found")</f>
        <v>Acer</v>
      </c>
      <c r="M2905" t="str">
        <f>_xlfn.XLOOKUP(C2905, Table2[Species],Table2[Sp. Name], "Code Not Found")</f>
        <v>saccharum</v>
      </c>
      <c r="N2905" t="str">
        <f>_xlfn.XLOOKUP(C2905,Table2[Species],Table2[Family],"Code Not Found")</f>
        <v>Sapindaceae</v>
      </c>
      <c r="O2905" t="str" cm="1">
        <f t="array" ref="O2905">_xlfn.IFS(F2905="","",F2905&lt;=5,"0 to 5",F2905&lt;=10,"5.1 to 10",F2905&lt;=20,"10 to 20", F2905&lt;= 40, "20 to 40", F2905 &lt;= 50, "40 to 50", F2905 &gt; 50, "&gt;50" )</f>
        <v>0 to 5</v>
      </c>
    </row>
    <row r="2906" spans="1:15" ht="15" customHeight="1" x14ac:dyDescent="0.3">
      <c r="A2906" t="s">
        <v>566</v>
      </c>
      <c r="B2906" s="1">
        <v>46218</v>
      </c>
      <c r="C2906" t="s">
        <v>16</v>
      </c>
      <c r="D2906">
        <v>2708</v>
      </c>
      <c r="E2906">
        <v>1</v>
      </c>
      <c r="F2906">
        <v>4.3</v>
      </c>
      <c r="G2906" t="s">
        <v>30</v>
      </c>
      <c r="H2906" t="s">
        <v>99</v>
      </c>
      <c r="I2906" t="str">
        <f t="shared" si="72"/>
        <v>2708_1</v>
      </c>
      <c r="J2906" t="s">
        <v>533</v>
      </c>
      <c r="K2906" t="s">
        <v>115</v>
      </c>
      <c r="L2906" t="str">
        <f>_xlfn.XLOOKUP(C2906, Table2[Species],Table2[Genus], "Code Not Found")</f>
        <v>Acer</v>
      </c>
      <c r="M2906" t="str">
        <f>_xlfn.XLOOKUP(C2906, Table2[Species],Table2[Sp. Name], "Code Not Found")</f>
        <v>saccharum</v>
      </c>
      <c r="N2906" t="str">
        <f>_xlfn.XLOOKUP(C2906,Table2[Species],Table2[Family],"Code Not Found")</f>
        <v>Sapindaceae</v>
      </c>
      <c r="O2906" t="str" cm="1">
        <f t="array" ref="O2906">_xlfn.IFS(F2906="","",F2906&lt;=5,"0 to 5",F2906&lt;=10,"5.1 to 10",F2906&lt;=20,"10 to 20", F2906&lt;= 40, "20 to 40", F2906 &lt;= 50, "40 to 50", F2906 &gt; 50, "&gt;50" )</f>
        <v>0 to 5</v>
      </c>
    </row>
    <row r="2907" spans="1:15" ht="15" customHeight="1" x14ac:dyDescent="0.3">
      <c r="A2907" t="s">
        <v>566</v>
      </c>
      <c r="B2907" s="1">
        <v>46218</v>
      </c>
      <c r="C2907" t="s">
        <v>16</v>
      </c>
      <c r="D2907">
        <v>2709</v>
      </c>
      <c r="E2907">
        <v>1</v>
      </c>
      <c r="F2907">
        <v>6.4</v>
      </c>
      <c r="G2907" t="s">
        <v>47</v>
      </c>
      <c r="H2907" t="s">
        <v>296</v>
      </c>
      <c r="I2907" t="str">
        <f t="shared" si="72"/>
        <v>2709_1</v>
      </c>
      <c r="J2907" t="s">
        <v>533</v>
      </c>
      <c r="K2907" t="s">
        <v>115</v>
      </c>
      <c r="L2907" t="str">
        <f>_xlfn.XLOOKUP(C2907, Table2[Species],Table2[Genus], "Code Not Found")</f>
        <v>Acer</v>
      </c>
      <c r="M2907" t="str">
        <f>_xlfn.XLOOKUP(C2907, Table2[Species],Table2[Sp. Name], "Code Not Found")</f>
        <v>saccharum</v>
      </c>
      <c r="N2907" t="str">
        <f>_xlfn.XLOOKUP(C2907,Table2[Species],Table2[Family],"Code Not Found")</f>
        <v>Sapindaceae</v>
      </c>
      <c r="O2907" t="str" cm="1">
        <f t="array" ref="O2907">_xlfn.IFS(F2907="","",F2907&lt;=5,"0 to 5",F2907&lt;=10,"5.1 to 10",F2907&lt;=20,"10 to 20", F2907&lt;= 40, "20 to 40", F2907 &lt;= 50, "40 to 50", F2907 &gt; 50, "&gt;50" )</f>
        <v>5.1 to 10</v>
      </c>
    </row>
    <row r="2908" spans="1:15" ht="15" customHeight="1" x14ac:dyDescent="0.3">
      <c r="A2908" t="s">
        <v>566</v>
      </c>
      <c r="B2908" s="1">
        <v>46218</v>
      </c>
      <c r="C2908" t="s">
        <v>123</v>
      </c>
      <c r="D2908">
        <v>2710</v>
      </c>
      <c r="E2908">
        <v>1</v>
      </c>
      <c r="F2908">
        <v>29.4</v>
      </c>
      <c r="G2908" t="s">
        <v>17</v>
      </c>
      <c r="I2908" t="str">
        <f t="shared" si="72"/>
        <v>2710_1</v>
      </c>
      <c r="J2908" t="s">
        <v>533</v>
      </c>
      <c r="K2908" t="s">
        <v>115</v>
      </c>
      <c r="L2908" t="str">
        <f>_xlfn.XLOOKUP(C2908, Table2[Species],Table2[Genus], "Code Not Found")</f>
        <v>Quercus</v>
      </c>
      <c r="M2908" t="str">
        <f>_xlfn.XLOOKUP(C2908, Table2[Species],Table2[Sp. Name], "Code Not Found")</f>
        <v>rubra</v>
      </c>
      <c r="N2908" t="str">
        <f>_xlfn.XLOOKUP(C2908,Table2[Species],Table2[Family],"Code Not Found")</f>
        <v>Fagaceae</v>
      </c>
      <c r="O2908" t="str" cm="1">
        <f t="array" ref="O2908">_xlfn.IFS(F2908="","",F2908&lt;=5,"0 to 5",F2908&lt;=10,"5.1 to 10",F2908&lt;=20,"10 to 20", F2908&lt;= 40, "20 to 40", F2908 &lt;= 50, "40 to 50", F2908 &gt; 50, "&gt;50" )</f>
        <v>20 to 40</v>
      </c>
    </row>
    <row r="2909" spans="1:15" ht="15" customHeight="1" x14ac:dyDescent="0.3">
      <c r="A2909" t="s">
        <v>566</v>
      </c>
      <c r="B2909" s="1">
        <v>46218</v>
      </c>
      <c r="C2909" t="s">
        <v>16</v>
      </c>
      <c r="D2909">
        <v>2711</v>
      </c>
      <c r="E2909">
        <v>1</v>
      </c>
      <c r="F2909">
        <v>3.8</v>
      </c>
      <c r="G2909" t="s">
        <v>21</v>
      </c>
      <c r="I2909" t="str">
        <f t="shared" si="72"/>
        <v>2711_1</v>
      </c>
      <c r="J2909" t="s">
        <v>533</v>
      </c>
      <c r="K2909" t="s">
        <v>115</v>
      </c>
      <c r="L2909" t="str">
        <f>_xlfn.XLOOKUP(C2909, Table2[Species],Table2[Genus], "Code Not Found")</f>
        <v>Acer</v>
      </c>
      <c r="M2909" t="str">
        <f>_xlfn.XLOOKUP(C2909, Table2[Species],Table2[Sp. Name], "Code Not Found")</f>
        <v>saccharum</v>
      </c>
      <c r="N2909" t="str">
        <f>_xlfn.XLOOKUP(C2909,Table2[Species],Table2[Family],"Code Not Found")</f>
        <v>Sapindaceae</v>
      </c>
      <c r="O2909" t="str" cm="1">
        <f t="array" ref="O2909">_xlfn.IFS(F2909="","",F2909&lt;=5,"0 to 5",F2909&lt;=10,"5.1 to 10",F2909&lt;=20,"10 to 20", F2909&lt;= 40, "20 to 40", F2909 &lt;= 50, "40 to 50", F2909 &gt; 50, "&gt;50" )</f>
        <v>0 to 5</v>
      </c>
    </row>
    <row r="2910" spans="1:15" ht="15" customHeight="1" x14ac:dyDescent="0.3">
      <c r="A2910" t="s">
        <v>566</v>
      </c>
      <c r="B2910" s="1">
        <v>46218</v>
      </c>
      <c r="C2910" t="s">
        <v>117</v>
      </c>
      <c r="D2910">
        <v>2712</v>
      </c>
      <c r="E2910">
        <v>1</v>
      </c>
      <c r="F2910">
        <v>11.7</v>
      </c>
      <c r="G2910" t="s">
        <v>21</v>
      </c>
      <c r="I2910" t="str">
        <f t="shared" si="72"/>
        <v>2712_1</v>
      </c>
      <c r="J2910" t="s">
        <v>533</v>
      </c>
      <c r="K2910" t="s">
        <v>115</v>
      </c>
      <c r="L2910" t="str">
        <f>_xlfn.XLOOKUP(C2910, Table2[Species],Table2[Genus], "Code Not Found")</f>
        <v>Ostrya</v>
      </c>
      <c r="M2910" t="str">
        <f>_xlfn.XLOOKUP(C2910, Table2[Species],Table2[Sp. Name], "Code Not Found")</f>
        <v>viginiana</v>
      </c>
      <c r="N2910" t="str">
        <f>_xlfn.XLOOKUP(C2910,Table2[Species],Table2[Family],"Code Not Found")</f>
        <v>Betulaceae</v>
      </c>
      <c r="O2910" t="str" cm="1">
        <f t="array" ref="O2910">_xlfn.IFS(F2910="","",F2910&lt;=5,"0 to 5",F2910&lt;=10,"5.1 to 10",F2910&lt;=20,"10 to 20", F2910&lt;= 40, "20 to 40", F2910 &lt;= 50, "40 to 50", F2910 &gt; 50, "&gt;50" )</f>
        <v>10 to 20</v>
      </c>
    </row>
    <row r="2911" spans="1:15" ht="15" customHeight="1" x14ac:dyDescent="0.3">
      <c r="A2911" t="s">
        <v>566</v>
      </c>
      <c r="B2911" s="1">
        <v>46218</v>
      </c>
      <c r="C2911" t="s">
        <v>123</v>
      </c>
      <c r="D2911">
        <v>2713</v>
      </c>
      <c r="E2911">
        <v>1</v>
      </c>
      <c r="F2911">
        <v>65.900000000000006</v>
      </c>
      <c r="G2911" t="s">
        <v>17</v>
      </c>
      <c r="I2911" t="str">
        <f t="shared" si="72"/>
        <v>2713_1</v>
      </c>
      <c r="J2911" t="s">
        <v>533</v>
      </c>
      <c r="K2911" t="s">
        <v>115</v>
      </c>
      <c r="L2911" t="str">
        <f>_xlfn.XLOOKUP(C2911, Table2[Species],Table2[Genus], "Code Not Found")</f>
        <v>Quercus</v>
      </c>
      <c r="M2911" t="str">
        <f>_xlfn.XLOOKUP(C2911, Table2[Species],Table2[Sp. Name], "Code Not Found")</f>
        <v>rubra</v>
      </c>
      <c r="N2911" t="str">
        <f>_xlfn.XLOOKUP(C2911,Table2[Species],Table2[Family],"Code Not Found")</f>
        <v>Fagaceae</v>
      </c>
      <c r="O2911" t="str" cm="1">
        <f t="array" ref="O2911">_xlfn.IFS(F2911="","",F2911&lt;=5,"0 to 5",F2911&lt;=10,"5.1 to 10",F2911&lt;=20,"10 to 20", F2911&lt;= 40, "20 to 40", F2911 &lt;= 50, "40 to 50", F2911 &gt; 50, "&gt;50" )</f>
        <v>&gt;50</v>
      </c>
    </row>
    <row r="2912" spans="1:15" ht="15" customHeight="1" x14ac:dyDescent="0.3">
      <c r="A2912" t="s">
        <v>566</v>
      </c>
      <c r="B2912" s="1">
        <v>46218</v>
      </c>
      <c r="C2912" t="s">
        <v>16</v>
      </c>
      <c r="D2912">
        <v>2714</v>
      </c>
      <c r="E2912">
        <v>1</v>
      </c>
      <c r="F2912">
        <v>4.5999999999999996</v>
      </c>
      <c r="G2912" t="s">
        <v>47</v>
      </c>
      <c r="I2912" t="str">
        <f t="shared" si="72"/>
        <v>2714_1</v>
      </c>
      <c r="J2912" t="s">
        <v>533</v>
      </c>
      <c r="K2912" t="s">
        <v>115</v>
      </c>
      <c r="L2912" t="str">
        <f>_xlfn.XLOOKUP(C2912, Table2[Species],Table2[Genus], "Code Not Found")</f>
        <v>Acer</v>
      </c>
      <c r="M2912" t="str">
        <f>_xlfn.XLOOKUP(C2912, Table2[Species],Table2[Sp. Name], "Code Not Found")</f>
        <v>saccharum</v>
      </c>
      <c r="N2912" t="str">
        <f>_xlfn.XLOOKUP(C2912,Table2[Species],Table2[Family],"Code Not Found")</f>
        <v>Sapindaceae</v>
      </c>
      <c r="O2912" t="str" cm="1">
        <f t="array" ref="O2912">_xlfn.IFS(F2912="","",F2912&lt;=5,"0 to 5",F2912&lt;=10,"5.1 to 10",F2912&lt;=20,"10 to 20", F2912&lt;= 40, "20 to 40", F2912 &lt;= 50, "40 to 50", F2912 &gt; 50, "&gt;50" )</f>
        <v>0 to 5</v>
      </c>
    </row>
    <row r="2913" spans="1:15" ht="15" customHeight="1" x14ac:dyDescent="0.3">
      <c r="A2913" t="s">
        <v>566</v>
      </c>
      <c r="B2913" s="1">
        <v>46218</v>
      </c>
      <c r="C2913" t="s">
        <v>129</v>
      </c>
      <c r="D2913">
        <v>2715</v>
      </c>
      <c r="E2913">
        <v>1</v>
      </c>
      <c r="F2913">
        <v>21.6</v>
      </c>
      <c r="G2913" t="s">
        <v>17</v>
      </c>
      <c r="I2913" t="str">
        <f t="shared" si="72"/>
        <v>2715_1</v>
      </c>
      <c r="J2913" t="s">
        <v>533</v>
      </c>
      <c r="K2913" t="s">
        <v>115</v>
      </c>
      <c r="L2913" t="str">
        <f>_xlfn.XLOOKUP(C2913, Table2[Species],Table2[Genus], "Code Not Found")</f>
        <v>Quercus</v>
      </c>
      <c r="M2913" t="str">
        <f>_xlfn.XLOOKUP(C2913, Table2[Species],Table2[Sp. Name], "Code Not Found")</f>
        <v>alba</v>
      </c>
      <c r="N2913" t="str">
        <f>_xlfn.XLOOKUP(C2913,Table2[Species],Table2[Family],"Code Not Found")</f>
        <v>Fagaceae</v>
      </c>
      <c r="O2913" t="str" cm="1">
        <f t="array" ref="O2913">_xlfn.IFS(F2913="","",F2913&lt;=5,"0 to 5",F2913&lt;=10,"5.1 to 10",F2913&lt;=20,"10 to 20", F2913&lt;= 40, "20 to 40", F2913 &lt;= 50, "40 to 50", F2913 &gt; 50, "&gt;50" )</f>
        <v>20 to 40</v>
      </c>
    </row>
    <row r="2914" spans="1:15" ht="15" customHeight="1" x14ac:dyDescent="0.3">
      <c r="A2914" t="s">
        <v>566</v>
      </c>
      <c r="B2914" s="1">
        <v>46218</v>
      </c>
      <c r="C2914" t="s">
        <v>16</v>
      </c>
      <c r="D2914">
        <v>2716</v>
      </c>
      <c r="E2914">
        <v>1</v>
      </c>
      <c r="F2914">
        <v>8.4</v>
      </c>
      <c r="G2914" t="s">
        <v>17</v>
      </c>
      <c r="H2914" t="s">
        <v>36</v>
      </c>
      <c r="I2914" t="str">
        <f t="shared" si="72"/>
        <v>2716_1</v>
      </c>
      <c r="J2914" t="s">
        <v>533</v>
      </c>
      <c r="K2914" t="s">
        <v>115</v>
      </c>
      <c r="L2914" t="str">
        <f>_xlfn.XLOOKUP(C2914, Table2[Species],Table2[Genus], "Code Not Found")</f>
        <v>Acer</v>
      </c>
      <c r="M2914" t="str">
        <f>_xlfn.XLOOKUP(C2914, Table2[Species],Table2[Sp. Name], "Code Not Found")</f>
        <v>saccharum</v>
      </c>
      <c r="N2914" t="str">
        <f>_xlfn.XLOOKUP(C2914,Table2[Species],Table2[Family],"Code Not Found")</f>
        <v>Sapindaceae</v>
      </c>
      <c r="O2914" t="str" cm="1">
        <f t="array" ref="O2914">_xlfn.IFS(F2914="","",F2914&lt;=5,"0 to 5",F2914&lt;=10,"5.1 to 10",F2914&lt;=20,"10 to 20", F2914&lt;= 40, "20 to 40", F2914 &lt;= 50, "40 to 50", F2914 &gt; 50, "&gt;50" )</f>
        <v>5.1 to 10</v>
      </c>
    </row>
    <row r="2915" spans="1:15" ht="15" customHeight="1" x14ac:dyDescent="0.3">
      <c r="A2915" t="s">
        <v>566</v>
      </c>
      <c r="B2915" s="1">
        <v>46218</v>
      </c>
      <c r="C2915" t="s">
        <v>22</v>
      </c>
      <c r="D2915">
        <v>2717</v>
      </c>
      <c r="E2915">
        <v>1</v>
      </c>
      <c r="F2915">
        <v>29.8</v>
      </c>
      <c r="G2915" t="s">
        <v>17</v>
      </c>
      <c r="I2915" t="str">
        <f t="shared" si="72"/>
        <v>2717_1</v>
      </c>
      <c r="J2915" t="s">
        <v>533</v>
      </c>
      <c r="K2915" t="s">
        <v>115</v>
      </c>
      <c r="L2915" t="str">
        <f>_xlfn.XLOOKUP(C2915, Table2[Species],Table2[Genus], "Code Not Found")</f>
        <v>Acer</v>
      </c>
      <c r="M2915" t="str">
        <f>_xlfn.XLOOKUP(C2915, Table2[Species],Table2[Sp. Name], "Code Not Found")</f>
        <v>rubrum</v>
      </c>
      <c r="N2915" t="str">
        <f>_xlfn.XLOOKUP(C2915,Table2[Species],Table2[Family],"Code Not Found")</f>
        <v>Sapindaceae</v>
      </c>
      <c r="O2915" t="str" cm="1">
        <f t="array" ref="O2915">_xlfn.IFS(F2915="","",F2915&lt;=5,"0 to 5",F2915&lt;=10,"5.1 to 10",F2915&lt;=20,"10 to 20", F2915&lt;= 40, "20 to 40", F2915 &lt;= 50, "40 to 50", F2915 &gt; 50, "&gt;50" )</f>
        <v>20 to 40</v>
      </c>
    </row>
    <row r="2916" spans="1:15" ht="15" customHeight="1" x14ac:dyDescent="0.3">
      <c r="A2916" t="s">
        <v>566</v>
      </c>
      <c r="B2916" s="1">
        <v>46218</v>
      </c>
      <c r="C2916" t="s">
        <v>16</v>
      </c>
      <c r="D2916">
        <v>2718</v>
      </c>
      <c r="E2916">
        <v>1</v>
      </c>
      <c r="F2916">
        <v>20.8</v>
      </c>
      <c r="G2916" t="s">
        <v>30</v>
      </c>
      <c r="H2916" t="s">
        <v>99</v>
      </c>
      <c r="I2916" t="str">
        <f t="shared" si="72"/>
        <v>2718_1</v>
      </c>
      <c r="J2916" t="s">
        <v>533</v>
      </c>
      <c r="K2916" t="s">
        <v>115</v>
      </c>
      <c r="L2916" t="str">
        <f>_xlfn.XLOOKUP(C2916, Table2[Species],Table2[Genus], "Code Not Found")</f>
        <v>Acer</v>
      </c>
      <c r="M2916" t="str">
        <f>_xlfn.XLOOKUP(C2916, Table2[Species],Table2[Sp. Name], "Code Not Found")</f>
        <v>saccharum</v>
      </c>
      <c r="N2916" t="str">
        <f>_xlfn.XLOOKUP(C2916,Table2[Species],Table2[Family],"Code Not Found")</f>
        <v>Sapindaceae</v>
      </c>
      <c r="O2916" t="str" cm="1">
        <f t="array" ref="O2916">_xlfn.IFS(F2916="","",F2916&lt;=5,"0 to 5",F2916&lt;=10,"5.1 to 10",F2916&lt;=20,"10 to 20", F2916&lt;= 40, "20 to 40", F2916 &lt;= 50, "40 to 50", F2916 &gt; 50, "&gt;50" )</f>
        <v>20 to 40</v>
      </c>
    </row>
    <row r="2917" spans="1:15" ht="15" customHeight="1" x14ac:dyDescent="0.3">
      <c r="A2917" t="s">
        <v>566</v>
      </c>
      <c r="B2917" s="1">
        <v>46218</v>
      </c>
      <c r="C2917" t="s">
        <v>16</v>
      </c>
      <c r="D2917">
        <v>2719</v>
      </c>
      <c r="E2917">
        <v>1</v>
      </c>
      <c r="F2917">
        <v>18.100000000000001</v>
      </c>
      <c r="G2917" t="s">
        <v>21</v>
      </c>
      <c r="I2917" t="str">
        <f t="shared" si="72"/>
        <v>2719_1</v>
      </c>
      <c r="J2917" t="s">
        <v>533</v>
      </c>
      <c r="K2917" t="s">
        <v>115</v>
      </c>
      <c r="L2917" t="str">
        <f>_xlfn.XLOOKUP(C2917, Table2[Species],Table2[Genus], "Code Not Found")</f>
        <v>Acer</v>
      </c>
      <c r="M2917" t="str">
        <f>_xlfn.XLOOKUP(C2917, Table2[Species],Table2[Sp. Name], "Code Not Found")</f>
        <v>saccharum</v>
      </c>
      <c r="N2917" t="str">
        <f>_xlfn.XLOOKUP(C2917,Table2[Species],Table2[Family],"Code Not Found")</f>
        <v>Sapindaceae</v>
      </c>
      <c r="O2917" t="str" cm="1">
        <f t="array" ref="O2917">_xlfn.IFS(F2917="","",F2917&lt;=5,"0 to 5",F2917&lt;=10,"5.1 to 10",F2917&lt;=20,"10 to 20", F2917&lt;= 40, "20 to 40", F2917 &lt;= 50, "40 to 50", F2917 &gt; 50, "&gt;50" )</f>
        <v>10 to 20</v>
      </c>
    </row>
    <row r="2918" spans="1:15" ht="15" customHeight="1" x14ac:dyDescent="0.3">
      <c r="A2918" t="s">
        <v>566</v>
      </c>
      <c r="B2918" s="1">
        <v>46218</v>
      </c>
      <c r="C2918" t="s">
        <v>16</v>
      </c>
      <c r="D2918">
        <v>2720</v>
      </c>
      <c r="E2918">
        <v>1</v>
      </c>
      <c r="F2918">
        <v>23.8</v>
      </c>
      <c r="G2918" t="s">
        <v>30</v>
      </c>
      <c r="H2918" t="s">
        <v>121</v>
      </c>
      <c r="I2918" t="str">
        <f t="shared" si="72"/>
        <v>2720_1</v>
      </c>
      <c r="J2918" t="s">
        <v>533</v>
      </c>
      <c r="K2918" t="s">
        <v>115</v>
      </c>
      <c r="L2918" t="str">
        <f>_xlfn.XLOOKUP(C2918, Table2[Species],Table2[Genus], "Code Not Found")</f>
        <v>Acer</v>
      </c>
      <c r="M2918" t="str">
        <f>_xlfn.XLOOKUP(C2918, Table2[Species],Table2[Sp. Name], "Code Not Found")</f>
        <v>saccharum</v>
      </c>
      <c r="N2918" t="str">
        <f>_xlfn.XLOOKUP(C2918,Table2[Species],Table2[Family],"Code Not Found")</f>
        <v>Sapindaceae</v>
      </c>
      <c r="O2918" t="str" cm="1">
        <f t="array" ref="O2918">_xlfn.IFS(F2918="","",F2918&lt;=5,"0 to 5",F2918&lt;=10,"5.1 to 10",F2918&lt;=20,"10 to 20", F2918&lt;= 40, "20 to 40", F2918 &lt;= 50, "40 to 50", F2918 &gt; 50, "&gt;50" )</f>
        <v>20 to 40</v>
      </c>
    </row>
    <row r="2919" spans="1:15" ht="15" customHeight="1" x14ac:dyDescent="0.3">
      <c r="A2919" t="s">
        <v>566</v>
      </c>
      <c r="B2919" s="1">
        <v>46218</v>
      </c>
      <c r="C2919" t="s">
        <v>16</v>
      </c>
      <c r="D2919">
        <v>2721</v>
      </c>
      <c r="E2919">
        <v>1</v>
      </c>
      <c r="F2919">
        <v>9.1</v>
      </c>
      <c r="G2919" t="s">
        <v>17</v>
      </c>
      <c r="I2919" t="str">
        <f t="shared" si="72"/>
        <v>2721_1</v>
      </c>
      <c r="J2919" t="s">
        <v>533</v>
      </c>
      <c r="K2919" t="s">
        <v>115</v>
      </c>
      <c r="L2919" t="str">
        <f>_xlfn.XLOOKUP(C2919, Table2[Species],Table2[Genus], "Code Not Found")</f>
        <v>Acer</v>
      </c>
      <c r="M2919" t="str">
        <f>_xlfn.XLOOKUP(C2919, Table2[Species],Table2[Sp. Name], "Code Not Found")</f>
        <v>saccharum</v>
      </c>
      <c r="N2919" t="str">
        <f>_xlfn.XLOOKUP(C2919,Table2[Species],Table2[Family],"Code Not Found")</f>
        <v>Sapindaceae</v>
      </c>
      <c r="O2919" t="str" cm="1">
        <f t="array" ref="O2919">_xlfn.IFS(F2919="","",F2919&lt;=5,"0 to 5",F2919&lt;=10,"5.1 to 10",F2919&lt;=20,"10 to 20", F2919&lt;= 40, "20 to 40", F2919 &lt;= 50, "40 to 50", F2919 &gt; 50, "&gt;50" )</f>
        <v>5.1 to 10</v>
      </c>
    </row>
    <row r="2920" spans="1:15" ht="15" customHeight="1" x14ac:dyDescent="0.3">
      <c r="A2920" t="s">
        <v>566</v>
      </c>
      <c r="B2920" s="1">
        <v>46218</v>
      </c>
      <c r="C2920" t="s">
        <v>29</v>
      </c>
      <c r="D2920">
        <v>2722</v>
      </c>
      <c r="E2920">
        <v>1</v>
      </c>
      <c r="F2920">
        <v>33.4</v>
      </c>
      <c r="G2920" t="s">
        <v>17</v>
      </c>
      <c r="I2920" t="str">
        <f t="shared" si="72"/>
        <v>2722_1</v>
      </c>
      <c r="J2920" t="s">
        <v>533</v>
      </c>
      <c r="K2920" t="s">
        <v>115</v>
      </c>
      <c r="L2920" t="str">
        <f>_xlfn.XLOOKUP(C2920, Table2[Species],Table2[Genus], "Code Not Found")</f>
        <v>Sassafras</v>
      </c>
      <c r="M2920" t="str">
        <f>_xlfn.XLOOKUP(C2920, Table2[Species],Table2[Sp. Name], "Code Not Found")</f>
        <v>albidum</v>
      </c>
      <c r="N2920" t="str">
        <f>_xlfn.XLOOKUP(C2920,Table2[Species],Table2[Family],"Code Not Found")</f>
        <v>Lauraceae</v>
      </c>
      <c r="O2920" t="str" cm="1">
        <f t="array" ref="O2920">_xlfn.IFS(F2920="","",F2920&lt;=5,"0 to 5",F2920&lt;=10,"5.1 to 10",F2920&lt;=20,"10 to 20", F2920&lt;= 40, "20 to 40", F2920 &lt;= 50, "40 to 50", F2920 &gt; 50, "&gt;50" )</f>
        <v>20 to 40</v>
      </c>
    </row>
    <row r="2921" spans="1:15" ht="15" customHeight="1" x14ac:dyDescent="0.3">
      <c r="A2921" t="s">
        <v>566</v>
      </c>
      <c r="B2921" s="1">
        <v>46218</v>
      </c>
      <c r="C2921" t="s">
        <v>29</v>
      </c>
      <c r="D2921">
        <v>2723</v>
      </c>
      <c r="E2921">
        <v>1</v>
      </c>
      <c r="F2921">
        <v>36</v>
      </c>
      <c r="G2921" t="s">
        <v>17</v>
      </c>
      <c r="I2921" t="str">
        <f t="shared" si="72"/>
        <v>2723_1</v>
      </c>
      <c r="J2921" t="s">
        <v>533</v>
      </c>
      <c r="K2921" t="s">
        <v>115</v>
      </c>
      <c r="L2921" t="str">
        <f>_xlfn.XLOOKUP(C2921, Table2[Species],Table2[Genus], "Code Not Found")</f>
        <v>Sassafras</v>
      </c>
      <c r="M2921" t="str">
        <f>_xlfn.XLOOKUP(C2921, Table2[Species],Table2[Sp. Name], "Code Not Found")</f>
        <v>albidum</v>
      </c>
      <c r="N2921" t="str">
        <f>_xlfn.XLOOKUP(C2921,Table2[Species],Table2[Family],"Code Not Found")</f>
        <v>Lauraceae</v>
      </c>
      <c r="O2921" t="str" cm="1">
        <f t="array" ref="O2921">_xlfn.IFS(F2921="","",F2921&lt;=5,"0 to 5",F2921&lt;=10,"5.1 to 10",F2921&lt;=20,"10 to 20", F2921&lt;= 40, "20 to 40", F2921 &lt;= 50, "40 to 50", F2921 &gt; 50, "&gt;50" )</f>
        <v>20 to 40</v>
      </c>
    </row>
    <row r="2922" spans="1:15" ht="15" customHeight="1" x14ac:dyDescent="0.3">
      <c r="A2922" t="s">
        <v>566</v>
      </c>
      <c r="B2922" s="1">
        <v>46218</v>
      </c>
      <c r="C2922" t="s">
        <v>16</v>
      </c>
      <c r="D2922">
        <v>2724</v>
      </c>
      <c r="E2922">
        <v>1</v>
      </c>
      <c r="F2922">
        <v>6.8</v>
      </c>
      <c r="G2922" t="s">
        <v>71</v>
      </c>
      <c r="I2922" t="str">
        <f t="shared" si="72"/>
        <v>2724_1</v>
      </c>
      <c r="J2922" t="s">
        <v>533</v>
      </c>
      <c r="K2922" t="s">
        <v>115</v>
      </c>
      <c r="L2922" t="str">
        <f>_xlfn.XLOOKUP(C2922, Table2[Species],Table2[Genus], "Code Not Found")</f>
        <v>Acer</v>
      </c>
      <c r="M2922" t="str">
        <f>_xlfn.XLOOKUP(C2922, Table2[Species],Table2[Sp. Name], "Code Not Found")</f>
        <v>saccharum</v>
      </c>
      <c r="N2922" t="str">
        <f>_xlfn.XLOOKUP(C2922,Table2[Species],Table2[Family],"Code Not Found")</f>
        <v>Sapindaceae</v>
      </c>
      <c r="O2922" t="str" cm="1">
        <f t="array" ref="O2922">_xlfn.IFS(F2922="","",F2922&lt;=5,"0 to 5",F2922&lt;=10,"5.1 to 10",F2922&lt;=20,"10 to 20", F2922&lt;= 40, "20 to 40", F2922 &lt;= 50, "40 to 50", F2922 &gt; 50, "&gt;50" )</f>
        <v>5.1 to 10</v>
      </c>
    </row>
    <row r="2923" spans="1:15" ht="15" customHeight="1" x14ac:dyDescent="0.3">
      <c r="A2923" t="s">
        <v>593</v>
      </c>
      <c r="B2923" s="1">
        <v>46218</v>
      </c>
      <c r="C2923" t="s">
        <v>16</v>
      </c>
      <c r="D2923">
        <v>2725</v>
      </c>
      <c r="E2923">
        <v>1</v>
      </c>
      <c r="F2923">
        <v>3.8</v>
      </c>
      <c r="G2923" t="s">
        <v>21</v>
      </c>
      <c r="I2923" t="str">
        <f t="shared" ref="I2923:I2954" si="73">D2923&amp;"_"&amp;E2923</f>
        <v>2725_1</v>
      </c>
      <c r="J2923" t="s">
        <v>533</v>
      </c>
      <c r="K2923" t="s">
        <v>115</v>
      </c>
      <c r="L2923" t="str">
        <f>_xlfn.XLOOKUP(C2923, Table2[Species],Table2[Genus], "Code Not Found")</f>
        <v>Acer</v>
      </c>
      <c r="M2923" t="str">
        <f>_xlfn.XLOOKUP(C2923, Table2[Species],Table2[Sp. Name], "Code Not Found")</f>
        <v>saccharum</v>
      </c>
      <c r="N2923" t="str">
        <f>_xlfn.XLOOKUP(C2923,Table2[Species],Table2[Family],"Code Not Found")</f>
        <v>Sapindaceae</v>
      </c>
      <c r="O2923" t="str" cm="1">
        <f t="array" ref="O2923">_xlfn.IFS(F2923="","",F2923&lt;=5,"0 to 5",F2923&lt;=10,"5.1 to 10",F2923&lt;=20,"10 to 20", F2923&lt;= 40, "20 to 40", F2923 &lt;= 50, "40 to 50", F2923 &gt; 50, "&gt;50" )</f>
        <v>0 to 5</v>
      </c>
    </row>
    <row r="2924" spans="1:15" ht="15" customHeight="1" x14ac:dyDescent="0.3">
      <c r="A2924" t="s">
        <v>593</v>
      </c>
      <c r="B2924" s="1">
        <v>46218</v>
      </c>
      <c r="C2924" t="s">
        <v>16</v>
      </c>
      <c r="D2924">
        <v>2726</v>
      </c>
      <c r="E2924">
        <v>1</v>
      </c>
      <c r="F2924">
        <v>5.5</v>
      </c>
      <c r="G2924" t="s">
        <v>56</v>
      </c>
      <c r="I2924" t="str">
        <f t="shared" si="73"/>
        <v>2726_1</v>
      </c>
      <c r="J2924" t="s">
        <v>533</v>
      </c>
      <c r="K2924" t="s">
        <v>115</v>
      </c>
      <c r="L2924" t="str">
        <f>_xlfn.XLOOKUP(C2924, Table2[Species],Table2[Genus], "Code Not Found")</f>
        <v>Acer</v>
      </c>
      <c r="M2924" t="str">
        <f>_xlfn.XLOOKUP(C2924, Table2[Species],Table2[Sp. Name], "Code Not Found")</f>
        <v>saccharum</v>
      </c>
      <c r="N2924" t="str">
        <f>_xlfn.XLOOKUP(C2924,Table2[Species],Table2[Family],"Code Not Found")</f>
        <v>Sapindaceae</v>
      </c>
      <c r="O2924" t="str" cm="1">
        <f t="array" ref="O2924">_xlfn.IFS(F2924="","",F2924&lt;=5,"0 to 5",F2924&lt;=10,"5.1 to 10",F2924&lt;=20,"10 to 20", F2924&lt;= 40, "20 to 40", F2924 &lt;= 50, "40 to 50", F2924 &gt; 50, "&gt;50" )</f>
        <v>5.1 to 10</v>
      </c>
    </row>
    <row r="2925" spans="1:15" ht="15" customHeight="1" x14ac:dyDescent="0.3">
      <c r="A2925" t="s">
        <v>593</v>
      </c>
      <c r="B2925" s="1">
        <v>46218</v>
      </c>
      <c r="C2925" t="s">
        <v>16</v>
      </c>
      <c r="D2925">
        <v>2727</v>
      </c>
      <c r="E2925">
        <v>1</v>
      </c>
      <c r="F2925">
        <v>7.6</v>
      </c>
      <c r="G2925" t="s">
        <v>21</v>
      </c>
      <c r="I2925" t="str">
        <f t="shared" si="73"/>
        <v>2727_1</v>
      </c>
      <c r="J2925" t="s">
        <v>533</v>
      </c>
      <c r="K2925" t="s">
        <v>115</v>
      </c>
      <c r="L2925" t="str">
        <f>_xlfn.XLOOKUP(C2925, Table2[Species],Table2[Genus], "Code Not Found")</f>
        <v>Acer</v>
      </c>
      <c r="M2925" t="str">
        <f>_xlfn.XLOOKUP(C2925, Table2[Species],Table2[Sp. Name], "Code Not Found")</f>
        <v>saccharum</v>
      </c>
      <c r="N2925" t="str">
        <f>_xlfn.XLOOKUP(C2925,Table2[Species],Table2[Family],"Code Not Found")</f>
        <v>Sapindaceae</v>
      </c>
      <c r="O2925" t="str" cm="1">
        <f t="array" ref="O2925">_xlfn.IFS(F2925="","",F2925&lt;=5,"0 to 5",F2925&lt;=10,"5.1 to 10",F2925&lt;=20,"10 to 20", F2925&lt;= 40, "20 to 40", F2925 &lt;= 50, "40 to 50", F2925 &gt; 50, "&gt;50" )</f>
        <v>5.1 to 10</v>
      </c>
    </row>
    <row r="2926" spans="1:15" ht="15" customHeight="1" x14ac:dyDescent="0.3">
      <c r="A2926" t="s">
        <v>593</v>
      </c>
      <c r="B2926" s="1">
        <v>46218</v>
      </c>
      <c r="C2926" t="s">
        <v>16</v>
      </c>
      <c r="D2926">
        <v>2728</v>
      </c>
      <c r="E2926">
        <v>1</v>
      </c>
      <c r="F2926">
        <v>4.7</v>
      </c>
      <c r="G2926" t="s">
        <v>47</v>
      </c>
      <c r="H2926" t="s">
        <v>296</v>
      </c>
      <c r="I2926" t="str">
        <f t="shared" si="73"/>
        <v>2728_1</v>
      </c>
      <c r="J2926" t="s">
        <v>533</v>
      </c>
      <c r="K2926" t="s">
        <v>115</v>
      </c>
      <c r="L2926" t="str">
        <f>_xlfn.XLOOKUP(C2926, Table2[Species],Table2[Genus], "Code Not Found")</f>
        <v>Acer</v>
      </c>
      <c r="M2926" t="str">
        <f>_xlfn.XLOOKUP(C2926, Table2[Species],Table2[Sp. Name], "Code Not Found")</f>
        <v>saccharum</v>
      </c>
      <c r="N2926" t="str">
        <f>_xlfn.XLOOKUP(C2926,Table2[Species],Table2[Family],"Code Not Found")</f>
        <v>Sapindaceae</v>
      </c>
      <c r="O2926" t="str" cm="1">
        <f t="array" ref="O2926">_xlfn.IFS(F2926="","",F2926&lt;=5,"0 to 5",F2926&lt;=10,"5.1 to 10",F2926&lt;=20,"10 to 20", F2926&lt;= 40, "20 to 40", F2926 &lt;= 50, "40 to 50", F2926 &gt; 50, "&gt;50" )</f>
        <v>0 to 5</v>
      </c>
    </row>
    <row r="2927" spans="1:15" ht="15" customHeight="1" x14ac:dyDescent="0.3">
      <c r="A2927" t="s">
        <v>593</v>
      </c>
      <c r="B2927" s="1">
        <v>46218</v>
      </c>
      <c r="C2927" t="s">
        <v>16</v>
      </c>
      <c r="D2927">
        <v>2729</v>
      </c>
      <c r="E2927">
        <v>1</v>
      </c>
      <c r="F2927">
        <v>1.6</v>
      </c>
      <c r="G2927" t="s">
        <v>17</v>
      </c>
      <c r="I2927" t="str">
        <f t="shared" si="73"/>
        <v>2729_1</v>
      </c>
      <c r="J2927" t="s">
        <v>533</v>
      </c>
      <c r="K2927" t="s">
        <v>115</v>
      </c>
      <c r="L2927" t="str">
        <f>_xlfn.XLOOKUP(C2927, Table2[Species],Table2[Genus], "Code Not Found")</f>
        <v>Acer</v>
      </c>
      <c r="M2927" t="str">
        <f>_xlfn.XLOOKUP(C2927, Table2[Species],Table2[Sp. Name], "Code Not Found")</f>
        <v>saccharum</v>
      </c>
      <c r="N2927" t="str">
        <f>_xlfn.XLOOKUP(C2927,Table2[Species],Table2[Family],"Code Not Found")</f>
        <v>Sapindaceae</v>
      </c>
      <c r="O2927" t="str" cm="1">
        <f t="array" ref="O2927">_xlfn.IFS(F2927="","",F2927&lt;=5,"0 to 5",F2927&lt;=10,"5.1 to 10",F2927&lt;=20,"10 to 20", F2927&lt;= 40, "20 to 40", F2927 &lt;= 50, "40 to 50", F2927 &gt; 50, "&gt;50" )</f>
        <v>0 to 5</v>
      </c>
    </row>
    <row r="2928" spans="1:15" ht="15" customHeight="1" x14ac:dyDescent="0.3">
      <c r="A2928" t="s">
        <v>593</v>
      </c>
      <c r="B2928" s="1">
        <v>46218</v>
      </c>
      <c r="C2928" t="s">
        <v>16</v>
      </c>
      <c r="D2928">
        <v>2730</v>
      </c>
      <c r="E2928">
        <v>1</v>
      </c>
      <c r="F2928">
        <v>2.2999999999999998</v>
      </c>
      <c r="G2928" t="s">
        <v>47</v>
      </c>
      <c r="H2928" t="s">
        <v>296</v>
      </c>
      <c r="I2928" t="str">
        <f t="shared" si="73"/>
        <v>2730_1</v>
      </c>
      <c r="J2928" t="s">
        <v>533</v>
      </c>
      <c r="K2928" t="s">
        <v>115</v>
      </c>
      <c r="L2928" t="str">
        <f>_xlfn.XLOOKUP(C2928, Table2[Species],Table2[Genus], "Code Not Found")</f>
        <v>Acer</v>
      </c>
      <c r="M2928" t="str">
        <f>_xlfn.XLOOKUP(C2928, Table2[Species],Table2[Sp. Name], "Code Not Found")</f>
        <v>saccharum</v>
      </c>
      <c r="N2928" t="str">
        <f>_xlfn.XLOOKUP(C2928,Table2[Species],Table2[Family],"Code Not Found")</f>
        <v>Sapindaceae</v>
      </c>
      <c r="O2928" t="str" cm="1">
        <f t="array" ref="O2928">_xlfn.IFS(F2928="","",F2928&lt;=5,"0 to 5",F2928&lt;=10,"5.1 to 10",F2928&lt;=20,"10 to 20", F2928&lt;= 40, "20 to 40", F2928 &lt;= 50, "40 to 50", F2928 &gt; 50, "&gt;50" )</f>
        <v>0 to 5</v>
      </c>
    </row>
    <row r="2929" spans="1:15" ht="15" customHeight="1" x14ac:dyDescent="0.3">
      <c r="A2929" t="s">
        <v>593</v>
      </c>
      <c r="B2929" s="1">
        <v>46218</v>
      </c>
      <c r="C2929" t="s">
        <v>16</v>
      </c>
      <c r="D2929">
        <v>2731</v>
      </c>
      <c r="E2929">
        <v>1</v>
      </c>
      <c r="F2929">
        <v>23.5</v>
      </c>
      <c r="G2929" t="s">
        <v>21</v>
      </c>
      <c r="I2929" t="str">
        <f t="shared" si="73"/>
        <v>2731_1</v>
      </c>
      <c r="J2929" t="s">
        <v>533</v>
      </c>
      <c r="K2929" t="s">
        <v>115</v>
      </c>
      <c r="L2929" t="str">
        <f>_xlfn.XLOOKUP(C2929, Table2[Species],Table2[Genus], "Code Not Found")</f>
        <v>Acer</v>
      </c>
      <c r="M2929" t="str">
        <f>_xlfn.XLOOKUP(C2929, Table2[Species],Table2[Sp. Name], "Code Not Found")</f>
        <v>saccharum</v>
      </c>
      <c r="N2929" t="str">
        <f>_xlfn.XLOOKUP(C2929,Table2[Species],Table2[Family],"Code Not Found")</f>
        <v>Sapindaceae</v>
      </c>
      <c r="O2929" t="str" cm="1">
        <f t="array" ref="O2929">_xlfn.IFS(F2929="","",F2929&lt;=5,"0 to 5",F2929&lt;=10,"5.1 to 10",F2929&lt;=20,"10 to 20", F2929&lt;= 40, "20 to 40", F2929 &lt;= 50, "40 to 50", F2929 &gt; 50, "&gt;50" )</f>
        <v>20 to 40</v>
      </c>
    </row>
    <row r="2930" spans="1:15" ht="15" customHeight="1" x14ac:dyDescent="0.3">
      <c r="A2930" t="s">
        <v>593</v>
      </c>
      <c r="B2930" s="1">
        <v>46218</v>
      </c>
      <c r="C2930" t="s">
        <v>16</v>
      </c>
      <c r="D2930">
        <v>2732</v>
      </c>
      <c r="E2930">
        <v>1</v>
      </c>
      <c r="F2930">
        <v>4.5999999999999996</v>
      </c>
      <c r="G2930" t="s">
        <v>21</v>
      </c>
      <c r="I2930" t="str">
        <f t="shared" si="73"/>
        <v>2732_1</v>
      </c>
      <c r="J2930" t="s">
        <v>533</v>
      </c>
      <c r="K2930" t="s">
        <v>115</v>
      </c>
      <c r="L2930" t="str">
        <f>_xlfn.XLOOKUP(C2930, Table2[Species],Table2[Genus], "Code Not Found")</f>
        <v>Acer</v>
      </c>
      <c r="M2930" t="str">
        <f>_xlfn.XLOOKUP(C2930, Table2[Species],Table2[Sp. Name], "Code Not Found")</f>
        <v>saccharum</v>
      </c>
      <c r="N2930" t="str">
        <f>_xlfn.XLOOKUP(C2930,Table2[Species],Table2[Family],"Code Not Found")</f>
        <v>Sapindaceae</v>
      </c>
      <c r="O2930" t="str" cm="1">
        <f t="array" ref="O2930">_xlfn.IFS(F2930="","",F2930&lt;=5,"0 to 5",F2930&lt;=10,"5.1 to 10",F2930&lt;=20,"10 to 20", F2930&lt;= 40, "20 to 40", F2930 &lt;= 50, "40 to 50", F2930 &gt; 50, "&gt;50" )</f>
        <v>0 to 5</v>
      </c>
    </row>
    <row r="2931" spans="1:15" ht="15" customHeight="1" x14ac:dyDescent="0.3">
      <c r="A2931" t="s">
        <v>593</v>
      </c>
      <c r="B2931" s="1">
        <v>46218</v>
      </c>
      <c r="C2931" t="s">
        <v>16</v>
      </c>
      <c r="D2931">
        <v>2733</v>
      </c>
      <c r="E2931">
        <v>1</v>
      </c>
      <c r="F2931">
        <v>3.4</v>
      </c>
      <c r="G2931" t="s">
        <v>17</v>
      </c>
      <c r="I2931" t="str">
        <f t="shared" si="73"/>
        <v>2733_1</v>
      </c>
      <c r="J2931" t="s">
        <v>533</v>
      </c>
      <c r="K2931" t="s">
        <v>115</v>
      </c>
      <c r="L2931" t="str">
        <f>_xlfn.XLOOKUP(C2931, Table2[Species],Table2[Genus], "Code Not Found")</f>
        <v>Acer</v>
      </c>
      <c r="M2931" t="str">
        <f>_xlfn.XLOOKUP(C2931, Table2[Species],Table2[Sp. Name], "Code Not Found")</f>
        <v>saccharum</v>
      </c>
      <c r="N2931" t="str">
        <f>_xlfn.XLOOKUP(C2931,Table2[Species],Table2[Family],"Code Not Found")</f>
        <v>Sapindaceae</v>
      </c>
      <c r="O2931" t="str" cm="1">
        <f t="array" ref="O2931">_xlfn.IFS(F2931="","",F2931&lt;=5,"0 to 5",F2931&lt;=10,"5.1 to 10",F2931&lt;=20,"10 to 20", F2931&lt;= 40, "20 to 40", F2931 &lt;= 50, "40 to 50", F2931 &gt; 50, "&gt;50" )</f>
        <v>0 to 5</v>
      </c>
    </row>
    <row r="2932" spans="1:15" ht="15" customHeight="1" x14ac:dyDescent="0.3">
      <c r="A2932" t="s">
        <v>593</v>
      </c>
      <c r="B2932" s="1">
        <v>46218</v>
      </c>
      <c r="C2932" t="s">
        <v>16</v>
      </c>
      <c r="D2932">
        <v>2734</v>
      </c>
      <c r="E2932">
        <v>1</v>
      </c>
      <c r="F2932">
        <v>64.099999999999994</v>
      </c>
      <c r="G2932" t="s">
        <v>56</v>
      </c>
      <c r="I2932" t="str">
        <f t="shared" si="73"/>
        <v>2734_1</v>
      </c>
      <c r="J2932" t="s">
        <v>533</v>
      </c>
      <c r="K2932" t="s">
        <v>115</v>
      </c>
      <c r="L2932" t="str">
        <f>_xlfn.XLOOKUP(C2932, Table2[Species],Table2[Genus], "Code Not Found")</f>
        <v>Acer</v>
      </c>
      <c r="M2932" t="str">
        <f>_xlfn.XLOOKUP(C2932, Table2[Species],Table2[Sp. Name], "Code Not Found")</f>
        <v>saccharum</v>
      </c>
      <c r="N2932" t="str">
        <f>_xlfn.XLOOKUP(C2932,Table2[Species],Table2[Family],"Code Not Found")</f>
        <v>Sapindaceae</v>
      </c>
      <c r="O2932" t="str" cm="1">
        <f t="array" ref="O2932">_xlfn.IFS(F2932="","",F2932&lt;=5,"0 to 5",F2932&lt;=10,"5.1 to 10",F2932&lt;=20,"10 to 20", F2932&lt;= 40, "20 to 40", F2932 &lt;= 50, "40 to 50", F2932 &gt; 50, "&gt;50" )</f>
        <v>&gt;50</v>
      </c>
    </row>
    <row r="2933" spans="1:15" ht="15" customHeight="1" x14ac:dyDescent="0.3">
      <c r="A2933" t="s">
        <v>593</v>
      </c>
      <c r="B2933" s="1">
        <v>46218</v>
      </c>
      <c r="C2933" t="s">
        <v>16</v>
      </c>
      <c r="D2933">
        <v>2735</v>
      </c>
      <c r="E2933">
        <v>1</v>
      </c>
      <c r="F2933">
        <v>10.9</v>
      </c>
      <c r="G2933" t="s">
        <v>17</v>
      </c>
      <c r="I2933" t="str">
        <f t="shared" si="73"/>
        <v>2735_1</v>
      </c>
      <c r="J2933" t="s">
        <v>533</v>
      </c>
      <c r="K2933" t="s">
        <v>115</v>
      </c>
      <c r="L2933" t="str">
        <f>_xlfn.XLOOKUP(C2933, Table2[Species],Table2[Genus], "Code Not Found")</f>
        <v>Acer</v>
      </c>
      <c r="M2933" t="str">
        <f>_xlfn.XLOOKUP(C2933, Table2[Species],Table2[Sp. Name], "Code Not Found")</f>
        <v>saccharum</v>
      </c>
      <c r="N2933" t="str">
        <f>_xlfn.XLOOKUP(C2933,Table2[Species],Table2[Family],"Code Not Found")</f>
        <v>Sapindaceae</v>
      </c>
      <c r="O2933" t="str" cm="1">
        <f t="array" ref="O2933">_xlfn.IFS(F2933="","",F2933&lt;=5,"0 to 5",F2933&lt;=10,"5.1 to 10",F2933&lt;=20,"10 to 20", F2933&lt;= 40, "20 to 40", F2933 &lt;= 50, "40 to 50", F2933 &gt; 50, "&gt;50" )</f>
        <v>10 to 20</v>
      </c>
    </row>
    <row r="2934" spans="1:15" ht="15" customHeight="1" x14ac:dyDescent="0.3">
      <c r="A2934" t="s">
        <v>593</v>
      </c>
      <c r="B2934" s="1">
        <v>46218</v>
      </c>
      <c r="C2934" t="s">
        <v>16</v>
      </c>
      <c r="D2934">
        <v>2736</v>
      </c>
      <c r="E2934">
        <v>1</v>
      </c>
      <c r="F2934">
        <v>15.3</v>
      </c>
      <c r="G2934" t="s">
        <v>21</v>
      </c>
      <c r="I2934" t="str">
        <f t="shared" si="73"/>
        <v>2736_1</v>
      </c>
      <c r="J2934" t="s">
        <v>533</v>
      </c>
      <c r="K2934" t="s">
        <v>115</v>
      </c>
      <c r="L2934" t="str">
        <f>_xlfn.XLOOKUP(C2934, Table2[Species],Table2[Genus], "Code Not Found")</f>
        <v>Acer</v>
      </c>
      <c r="M2934" t="str">
        <f>_xlfn.XLOOKUP(C2934, Table2[Species],Table2[Sp. Name], "Code Not Found")</f>
        <v>saccharum</v>
      </c>
      <c r="N2934" t="str">
        <f>_xlfn.XLOOKUP(C2934,Table2[Species],Table2[Family],"Code Not Found")</f>
        <v>Sapindaceae</v>
      </c>
      <c r="O2934" t="str" cm="1">
        <f t="array" ref="O2934">_xlfn.IFS(F2934="","",F2934&lt;=5,"0 to 5",F2934&lt;=10,"5.1 to 10",F2934&lt;=20,"10 to 20", F2934&lt;= 40, "20 to 40", F2934 &lt;= 50, "40 to 50", F2934 &gt; 50, "&gt;50" )</f>
        <v>10 to 20</v>
      </c>
    </row>
    <row r="2935" spans="1:15" ht="15" customHeight="1" x14ac:dyDescent="0.3">
      <c r="A2935" t="s">
        <v>593</v>
      </c>
      <c r="B2935" s="1">
        <v>46218</v>
      </c>
      <c r="C2935" t="s">
        <v>16</v>
      </c>
      <c r="D2935">
        <v>2737</v>
      </c>
      <c r="E2935">
        <v>1</v>
      </c>
      <c r="F2935">
        <v>5.9</v>
      </c>
      <c r="G2935" t="s">
        <v>139</v>
      </c>
      <c r="H2935" t="s">
        <v>594</v>
      </c>
      <c r="I2935" t="str">
        <f t="shared" si="73"/>
        <v>2737_1</v>
      </c>
      <c r="J2935" t="s">
        <v>533</v>
      </c>
      <c r="K2935" t="s">
        <v>115</v>
      </c>
      <c r="L2935" t="str">
        <f>_xlfn.XLOOKUP(C2935, Table2[Species],Table2[Genus], "Code Not Found")</f>
        <v>Acer</v>
      </c>
      <c r="M2935" t="str">
        <f>_xlfn.XLOOKUP(C2935, Table2[Species],Table2[Sp. Name], "Code Not Found")</f>
        <v>saccharum</v>
      </c>
      <c r="N2935" t="str">
        <f>_xlfn.XLOOKUP(C2935,Table2[Species],Table2[Family],"Code Not Found")</f>
        <v>Sapindaceae</v>
      </c>
      <c r="O2935" t="str" cm="1">
        <f t="array" ref="O2935">_xlfn.IFS(F2935="","",F2935&lt;=5,"0 to 5",F2935&lt;=10,"5.1 to 10",F2935&lt;=20,"10 to 20", F2935&lt;= 40, "20 to 40", F2935 &lt;= 50, "40 to 50", F2935 &gt; 50, "&gt;50" )</f>
        <v>5.1 to 10</v>
      </c>
    </row>
    <row r="2936" spans="1:15" ht="15" customHeight="1" x14ac:dyDescent="0.3">
      <c r="A2936" t="s">
        <v>593</v>
      </c>
      <c r="B2936" s="1">
        <v>46218</v>
      </c>
      <c r="C2936" t="s">
        <v>16</v>
      </c>
      <c r="D2936">
        <v>2738</v>
      </c>
      <c r="E2936">
        <v>1</v>
      </c>
      <c r="F2936">
        <v>11.8</v>
      </c>
      <c r="G2936" t="s">
        <v>17</v>
      </c>
      <c r="H2936" t="s">
        <v>36</v>
      </c>
      <c r="I2936" t="str">
        <f t="shared" si="73"/>
        <v>2738_1</v>
      </c>
      <c r="J2936" t="s">
        <v>533</v>
      </c>
      <c r="K2936" t="s">
        <v>115</v>
      </c>
      <c r="L2936" t="str">
        <f>_xlfn.XLOOKUP(C2936, Table2[Species],Table2[Genus], "Code Not Found")</f>
        <v>Acer</v>
      </c>
      <c r="M2936" t="str">
        <f>_xlfn.XLOOKUP(C2936, Table2[Species],Table2[Sp. Name], "Code Not Found")</f>
        <v>saccharum</v>
      </c>
      <c r="N2936" t="str">
        <f>_xlfn.XLOOKUP(C2936,Table2[Species],Table2[Family],"Code Not Found")</f>
        <v>Sapindaceae</v>
      </c>
      <c r="O2936" t="str" cm="1">
        <f t="array" ref="O2936">_xlfn.IFS(F2936="","",F2936&lt;=5,"0 to 5",F2936&lt;=10,"5.1 to 10",F2936&lt;=20,"10 to 20", F2936&lt;= 40, "20 to 40", F2936 &lt;= 50, "40 to 50", F2936 &gt; 50, "&gt;50" )</f>
        <v>10 to 20</v>
      </c>
    </row>
    <row r="2937" spans="1:15" ht="15" customHeight="1" x14ac:dyDescent="0.3">
      <c r="A2937" t="s">
        <v>593</v>
      </c>
      <c r="B2937" s="1">
        <v>46218</v>
      </c>
      <c r="C2937" t="s">
        <v>55</v>
      </c>
      <c r="D2937">
        <v>2739</v>
      </c>
      <c r="E2937">
        <v>1</v>
      </c>
      <c r="F2937">
        <v>26.6</v>
      </c>
      <c r="G2937" t="s">
        <v>21</v>
      </c>
      <c r="I2937" t="str">
        <f t="shared" si="73"/>
        <v>2739_1</v>
      </c>
      <c r="J2937" t="s">
        <v>533</v>
      </c>
      <c r="K2937" t="s">
        <v>115</v>
      </c>
      <c r="L2937" t="str">
        <f>_xlfn.XLOOKUP(C2937, Table2[Species],Table2[Genus], "Code Not Found")</f>
        <v>Magnolia</v>
      </c>
      <c r="M2937" t="str">
        <f>_xlfn.XLOOKUP(C2937, Table2[Species],Table2[Sp. Name], "Code Not Found")</f>
        <v>acuminata</v>
      </c>
      <c r="N2937" t="str">
        <f>_xlfn.XLOOKUP(C2937,Table2[Species],Table2[Family],"Code Not Found")</f>
        <v>Magnoliaceae</v>
      </c>
      <c r="O2937" t="str" cm="1">
        <f t="array" ref="O2937">_xlfn.IFS(F2937="","",F2937&lt;=5,"0 to 5",F2937&lt;=10,"5.1 to 10",F2937&lt;=20,"10 to 20", F2937&lt;= 40, "20 to 40", F2937 &lt;= 50, "40 to 50", F2937 &gt; 50, "&gt;50" )</f>
        <v>20 to 40</v>
      </c>
    </row>
    <row r="2938" spans="1:15" ht="15" customHeight="1" x14ac:dyDescent="0.3">
      <c r="A2938" t="s">
        <v>593</v>
      </c>
      <c r="B2938" s="1">
        <v>46218</v>
      </c>
      <c r="C2938" t="s">
        <v>16</v>
      </c>
      <c r="D2938">
        <v>2740</v>
      </c>
      <c r="E2938">
        <v>1</v>
      </c>
      <c r="F2938">
        <v>7.1</v>
      </c>
      <c r="G2938" t="s">
        <v>21</v>
      </c>
      <c r="I2938" t="str">
        <f t="shared" si="73"/>
        <v>2740_1</v>
      </c>
      <c r="J2938" t="s">
        <v>533</v>
      </c>
      <c r="K2938" t="s">
        <v>115</v>
      </c>
      <c r="L2938" t="str">
        <f>_xlfn.XLOOKUP(C2938, Table2[Species],Table2[Genus], "Code Not Found")</f>
        <v>Acer</v>
      </c>
      <c r="M2938" t="str">
        <f>_xlfn.XLOOKUP(C2938, Table2[Species],Table2[Sp. Name], "Code Not Found")</f>
        <v>saccharum</v>
      </c>
      <c r="N2938" t="str">
        <f>_xlfn.XLOOKUP(C2938,Table2[Species],Table2[Family],"Code Not Found")</f>
        <v>Sapindaceae</v>
      </c>
      <c r="O2938" t="str" cm="1">
        <f t="array" ref="O2938">_xlfn.IFS(F2938="","",F2938&lt;=5,"0 to 5",F2938&lt;=10,"5.1 to 10",F2938&lt;=20,"10 to 20", F2938&lt;= 40, "20 to 40", F2938 &lt;= 50, "40 to 50", F2938 &gt; 50, "&gt;50" )</f>
        <v>5.1 to 10</v>
      </c>
    </row>
    <row r="2939" spans="1:15" ht="15" customHeight="1" x14ac:dyDescent="0.3">
      <c r="A2939" t="s">
        <v>593</v>
      </c>
      <c r="B2939" s="1">
        <v>46218</v>
      </c>
      <c r="C2939" t="s">
        <v>16</v>
      </c>
      <c r="D2939">
        <v>2741</v>
      </c>
      <c r="E2939">
        <v>1</v>
      </c>
      <c r="F2939">
        <v>46.7</v>
      </c>
      <c r="G2939" t="s">
        <v>17</v>
      </c>
      <c r="I2939" t="str">
        <f t="shared" si="73"/>
        <v>2741_1</v>
      </c>
      <c r="J2939" t="s">
        <v>533</v>
      </c>
      <c r="K2939" t="s">
        <v>115</v>
      </c>
      <c r="L2939" t="str">
        <f>_xlfn.XLOOKUP(C2939, Table2[Species],Table2[Genus], "Code Not Found")</f>
        <v>Acer</v>
      </c>
      <c r="M2939" t="str">
        <f>_xlfn.XLOOKUP(C2939, Table2[Species],Table2[Sp. Name], "Code Not Found")</f>
        <v>saccharum</v>
      </c>
      <c r="N2939" t="str">
        <f>_xlfn.XLOOKUP(C2939,Table2[Species],Table2[Family],"Code Not Found")</f>
        <v>Sapindaceae</v>
      </c>
      <c r="O2939" t="str" cm="1">
        <f t="array" ref="O2939">_xlfn.IFS(F2939="","",F2939&lt;=5,"0 to 5",F2939&lt;=10,"5.1 to 10",F2939&lt;=20,"10 to 20", F2939&lt;= 40, "20 to 40", F2939 &lt;= 50, "40 to 50", F2939 &gt; 50, "&gt;50" )</f>
        <v>40 to 50</v>
      </c>
    </row>
    <row r="2940" spans="1:15" ht="15" customHeight="1" x14ac:dyDescent="0.3">
      <c r="A2940" t="s">
        <v>593</v>
      </c>
      <c r="B2940" s="1">
        <v>46218</v>
      </c>
      <c r="C2940" t="s">
        <v>16</v>
      </c>
      <c r="D2940">
        <v>2742</v>
      </c>
      <c r="E2940">
        <v>1</v>
      </c>
      <c r="F2940">
        <v>4.5</v>
      </c>
      <c r="G2940" t="s">
        <v>139</v>
      </c>
      <c r="H2940" t="s">
        <v>595</v>
      </c>
      <c r="I2940" t="str">
        <f t="shared" si="73"/>
        <v>2742_1</v>
      </c>
      <c r="J2940" t="s">
        <v>533</v>
      </c>
      <c r="K2940" t="s">
        <v>115</v>
      </c>
      <c r="L2940" t="str">
        <f>_xlfn.XLOOKUP(C2940, Table2[Species],Table2[Genus], "Code Not Found")</f>
        <v>Acer</v>
      </c>
      <c r="M2940" t="str">
        <f>_xlfn.XLOOKUP(C2940, Table2[Species],Table2[Sp. Name], "Code Not Found")</f>
        <v>saccharum</v>
      </c>
      <c r="N2940" t="str">
        <f>_xlfn.XLOOKUP(C2940,Table2[Species],Table2[Family],"Code Not Found")</f>
        <v>Sapindaceae</v>
      </c>
      <c r="O2940" t="str" cm="1">
        <f t="array" ref="O2940">_xlfn.IFS(F2940="","",F2940&lt;=5,"0 to 5",F2940&lt;=10,"5.1 to 10",F2940&lt;=20,"10 to 20", F2940&lt;= 40, "20 to 40", F2940 &lt;= 50, "40 to 50", F2940 &gt; 50, "&gt;50" )</f>
        <v>0 to 5</v>
      </c>
    </row>
    <row r="2941" spans="1:15" ht="15" customHeight="1" x14ac:dyDescent="0.3">
      <c r="A2941" t="s">
        <v>593</v>
      </c>
      <c r="B2941" s="1">
        <v>46218</v>
      </c>
      <c r="C2941" t="s">
        <v>16</v>
      </c>
      <c r="D2941">
        <v>2743</v>
      </c>
      <c r="E2941">
        <v>1</v>
      </c>
      <c r="F2941">
        <v>13</v>
      </c>
      <c r="G2941" t="s">
        <v>47</v>
      </c>
      <c r="H2941" t="s">
        <v>322</v>
      </c>
      <c r="I2941" t="str">
        <f t="shared" si="73"/>
        <v>2743_1</v>
      </c>
      <c r="J2941" t="s">
        <v>533</v>
      </c>
      <c r="K2941" t="s">
        <v>115</v>
      </c>
      <c r="L2941" t="str">
        <f>_xlfn.XLOOKUP(C2941, Table2[Species],Table2[Genus], "Code Not Found")</f>
        <v>Acer</v>
      </c>
      <c r="M2941" t="str">
        <f>_xlfn.XLOOKUP(C2941, Table2[Species],Table2[Sp. Name], "Code Not Found")</f>
        <v>saccharum</v>
      </c>
      <c r="N2941" t="str">
        <f>_xlfn.XLOOKUP(C2941,Table2[Species],Table2[Family],"Code Not Found")</f>
        <v>Sapindaceae</v>
      </c>
      <c r="O2941" t="str" cm="1">
        <f t="array" ref="O2941">_xlfn.IFS(F2941="","",F2941&lt;=5,"0 to 5",F2941&lt;=10,"5.1 to 10",F2941&lt;=20,"10 to 20", F2941&lt;= 40, "20 to 40", F2941 &lt;= 50, "40 to 50", F2941 &gt; 50, "&gt;50" )</f>
        <v>10 to 20</v>
      </c>
    </row>
    <row r="2942" spans="1:15" ht="15" customHeight="1" x14ac:dyDescent="0.3">
      <c r="A2942" t="s">
        <v>593</v>
      </c>
      <c r="B2942" s="1">
        <v>46218</v>
      </c>
      <c r="C2942" t="s">
        <v>16</v>
      </c>
      <c r="D2942">
        <v>2744</v>
      </c>
      <c r="E2942">
        <v>1</v>
      </c>
      <c r="F2942">
        <v>5.2</v>
      </c>
      <c r="G2942" t="s">
        <v>21</v>
      </c>
      <c r="I2942" t="str">
        <f t="shared" si="73"/>
        <v>2744_1</v>
      </c>
      <c r="J2942" t="s">
        <v>533</v>
      </c>
      <c r="K2942" t="s">
        <v>115</v>
      </c>
      <c r="L2942" t="str">
        <f>_xlfn.XLOOKUP(C2942, Table2[Species],Table2[Genus], "Code Not Found")</f>
        <v>Acer</v>
      </c>
      <c r="M2942" t="str">
        <f>_xlfn.XLOOKUP(C2942, Table2[Species],Table2[Sp. Name], "Code Not Found")</f>
        <v>saccharum</v>
      </c>
      <c r="N2942" t="str">
        <f>_xlfn.XLOOKUP(C2942,Table2[Species],Table2[Family],"Code Not Found")</f>
        <v>Sapindaceae</v>
      </c>
      <c r="O2942" t="str" cm="1">
        <f t="array" ref="O2942">_xlfn.IFS(F2942="","",F2942&lt;=5,"0 to 5",F2942&lt;=10,"5.1 to 10",F2942&lt;=20,"10 to 20", F2942&lt;= 40, "20 to 40", F2942 &lt;= 50, "40 to 50", F2942 &gt; 50, "&gt;50" )</f>
        <v>5.1 to 10</v>
      </c>
    </row>
    <row r="2943" spans="1:15" ht="15" customHeight="1" x14ac:dyDescent="0.3">
      <c r="A2943" t="s">
        <v>593</v>
      </c>
      <c r="B2943" s="1">
        <v>46218</v>
      </c>
      <c r="C2943" t="s">
        <v>16</v>
      </c>
      <c r="D2943">
        <v>2745</v>
      </c>
      <c r="E2943">
        <v>1</v>
      </c>
      <c r="F2943">
        <v>3</v>
      </c>
      <c r="G2943" t="s">
        <v>21</v>
      </c>
      <c r="I2943" t="str">
        <f t="shared" si="73"/>
        <v>2745_1</v>
      </c>
      <c r="J2943" t="s">
        <v>533</v>
      </c>
      <c r="K2943" t="s">
        <v>115</v>
      </c>
      <c r="L2943" t="str">
        <f>_xlfn.XLOOKUP(C2943, Table2[Species],Table2[Genus], "Code Not Found")</f>
        <v>Acer</v>
      </c>
      <c r="M2943" t="str">
        <f>_xlfn.XLOOKUP(C2943, Table2[Species],Table2[Sp. Name], "Code Not Found")</f>
        <v>saccharum</v>
      </c>
      <c r="N2943" t="str">
        <f>_xlfn.XLOOKUP(C2943,Table2[Species],Table2[Family],"Code Not Found")</f>
        <v>Sapindaceae</v>
      </c>
      <c r="O2943" t="str" cm="1">
        <f t="array" ref="O2943">_xlfn.IFS(F2943="","",F2943&lt;=5,"0 to 5",F2943&lt;=10,"5.1 to 10",F2943&lt;=20,"10 to 20", F2943&lt;= 40, "20 to 40", F2943 &lt;= 50, "40 to 50", F2943 &gt; 50, "&gt;50" )</f>
        <v>0 to 5</v>
      </c>
    </row>
    <row r="2944" spans="1:15" ht="15" customHeight="1" x14ac:dyDescent="0.3">
      <c r="A2944" t="s">
        <v>593</v>
      </c>
      <c r="B2944" s="1">
        <v>46218</v>
      </c>
      <c r="C2944" t="s">
        <v>16</v>
      </c>
      <c r="D2944">
        <v>2746</v>
      </c>
      <c r="E2944">
        <v>1</v>
      </c>
      <c r="F2944">
        <v>5.5</v>
      </c>
      <c r="G2944" t="s">
        <v>47</v>
      </c>
      <c r="I2944" t="str">
        <f t="shared" si="73"/>
        <v>2746_1</v>
      </c>
      <c r="J2944" t="s">
        <v>533</v>
      </c>
      <c r="K2944" t="s">
        <v>115</v>
      </c>
      <c r="L2944" t="str">
        <f>_xlfn.XLOOKUP(C2944, Table2[Species],Table2[Genus], "Code Not Found")</f>
        <v>Acer</v>
      </c>
      <c r="M2944" t="str">
        <f>_xlfn.XLOOKUP(C2944, Table2[Species],Table2[Sp. Name], "Code Not Found")</f>
        <v>saccharum</v>
      </c>
      <c r="N2944" t="str">
        <f>_xlfn.XLOOKUP(C2944,Table2[Species],Table2[Family],"Code Not Found")</f>
        <v>Sapindaceae</v>
      </c>
      <c r="O2944" t="str" cm="1">
        <f t="array" ref="O2944">_xlfn.IFS(F2944="","",F2944&lt;=5,"0 to 5",F2944&lt;=10,"5.1 to 10",F2944&lt;=20,"10 to 20", F2944&lt;= 40, "20 to 40", F2944 &lt;= 50, "40 to 50", F2944 &gt; 50, "&gt;50" )</f>
        <v>5.1 to 10</v>
      </c>
    </row>
    <row r="2945" spans="1:15" ht="15" customHeight="1" x14ac:dyDescent="0.3">
      <c r="A2945" t="s">
        <v>593</v>
      </c>
      <c r="B2945" s="1">
        <v>46218</v>
      </c>
      <c r="C2945" t="s">
        <v>16</v>
      </c>
      <c r="D2945">
        <v>2747</v>
      </c>
      <c r="E2945">
        <v>1</v>
      </c>
      <c r="F2945">
        <v>1.8</v>
      </c>
      <c r="G2945" t="s">
        <v>17</v>
      </c>
      <c r="I2945" t="str">
        <f t="shared" si="73"/>
        <v>2747_1</v>
      </c>
      <c r="J2945" t="s">
        <v>533</v>
      </c>
      <c r="K2945" t="s">
        <v>115</v>
      </c>
      <c r="L2945" t="str">
        <f>_xlfn.XLOOKUP(C2945, Table2[Species],Table2[Genus], "Code Not Found")</f>
        <v>Acer</v>
      </c>
      <c r="M2945" t="str">
        <f>_xlfn.XLOOKUP(C2945, Table2[Species],Table2[Sp. Name], "Code Not Found")</f>
        <v>saccharum</v>
      </c>
      <c r="N2945" t="str">
        <f>_xlfn.XLOOKUP(C2945,Table2[Species],Table2[Family],"Code Not Found")</f>
        <v>Sapindaceae</v>
      </c>
      <c r="O2945" t="str" cm="1">
        <f t="array" ref="O2945">_xlfn.IFS(F2945="","",F2945&lt;=5,"0 to 5",F2945&lt;=10,"5.1 to 10",F2945&lt;=20,"10 to 20", F2945&lt;= 40, "20 to 40", F2945 &lt;= 50, "40 to 50", F2945 &gt; 50, "&gt;50" )</f>
        <v>0 to 5</v>
      </c>
    </row>
    <row r="2946" spans="1:15" ht="15" customHeight="1" x14ac:dyDescent="0.3">
      <c r="A2946" t="s">
        <v>593</v>
      </c>
      <c r="B2946" s="1">
        <v>46218</v>
      </c>
      <c r="C2946" t="s">
        <v>430</v>
      </c>
      <c r="D2946">
        <v>2748</v>
      </c>
      <c r="E2946">
        <v>1</v>
      </c>
      <c r="F2946">
        <v>34</v>
      </c>
      <c r="G2946" t="s">
        <v>57</v>
      </c>
      <c r="H2946" t="s">
        <v>500</v>
      </c>
      <c r="I2946" t="str">
        <f t="shared" si="73"/>
        <v>2748_1</v>
      </c>
      <c r="J2946" t="s">
        <v>533</v>
      </c>
      <c r="K2946" t="s">
        <v>115</v>
      </c>
      <c r="L2946" t="str">
        <f>_xlfn.XLOOKUP(C2946, Table2[Species],Table2[Genus], "Code Not Found")</f>
        <v>Tsuga</v>
      </c>
      <c r="M2946" t="str">
        <f>_xlfn.XLOOKUP(C2946, Table2[Species],Table2[Sp. Name], "Code Not Found")</f>
        <v>canadensis</v>
      </c>
      <c r="N2946" t="str">
        <f>_xlfn.XLOOKUP(C2946,Table2[Species],Table2[Family],"Code Not Found")</f>
        <v>Pinaceae</v>
      </c>
      <c r="O2946" t="str" cm="1">
        <f t="array" ref="O2946">_xlfn.IFS(F2946="","",F2946&lt;=5,"0 to 5",F2946&lt;=10,"5.1 to 10",F2946&lt;=20,"10 to 20", F2946&lt;= 40, "20 to 40", F2946 &lt;= 50, "40 to 50", F2946 &gt; 50, "&gt;50" )</f>
        <v>20 to 40</v>
      </c>
    </row>
    <row r="2947" spans="1:15" ht="15" customHeight="1" x14ac:dyDescent="0.3">
      <c r="A2947" t="s">
        <v>593</v>
      </c>
      <c r="B2947" s="1">
        <v>46218</v>
      </c>
      <c r="C2947" t="s">
        <v>16</v>
      </c>
      <c r="D2947">
        <v>2749</v>
      </c>
      <c r="E2947">
        <v>1</v>
      </c>
      <c r="F2947">
        <v>22.6</v>
      </c>
      <c r="G2947" t="s">
        <v>17</v>
      </c>
      <c r="I2947" t="str">
        <f t="shared" si="73"/>
        <v>2749_1</v>
      </c>
      <c r="J2947" t="s">
        <v>533</v>
      </c>
      <c r="K2947" t="s">
        <v>115</v>
      </c>
      <c r="L2947" t="str">
        <f>_xlfn.XLOOKUP(C2947, Table2[Species],Table2[Genus], "Code Not Found")</f>
        <v>Acer</v>
      </c>
      <c r="M2947" t="str">
        <f>_xlfn.XLOOKUP(C2947, Table2[Species],Table2[Sp. Name], "Code Not Found")</f>
        <v>saccharum</v>
      </c>
      <c r="N2947" t="str">
        <f>_xlfn.XLOOKUP(C2947,Table2[Species],Table2[Family],"Code Not Found")</f>
        <v>Sapindaceae</v>
      </c>
      <c r="O2947" t="str" cm="1">
        <f t="array" ref="O2947">_xlfn.IFS(F2947="","",F2947&lt;=5,"0 to 5",F2947&lt;=10,"5.1 to 10",F2947&lt;=20,"10 to 20", F2947&lt;= 40, "20 to 40", F2947 &lt;= 50, "40 to 50", F2947 &gt; 50, "&gt;50" )</f>
        <v>20 to 40</v>
      </c>
    </row>
    <row r="2948" spans="1:15" ht="15" customHeight="1" x14ac:dyDescent="0.3">
      <c r="A2948" t="s">
        <v>593</v>
      </c>
      <c r="B2948" s="1">
        <v>46218</v>
      </c>
      <c r="C2948" t="s">
        <v>16</v>
      </c>
      <c r="D2948">
        <v>2750</v>
      </c>
      <c r="E2948">
        <v>1</v>
      </c>
      <c r="F2948">
        <v>4.0999999999999996</v>
      </c>
      <c r="G2948" t="s">
        <v>21</v>
      </c>
      <c r="I2948" t="str">
        <f t="shared" si="73"/>
        <v>2750_1</v>
      </c>
      <c r="J2948" t="s">
        <v>533</v>
      </c>
      <c r="K2948" t="s">
        <v>115</v>
      </c>
      <c r="L2948" t="str">
        <f>_xlfn.XLOOKUP(C2948, Table2[Species],Table2[Genus], "Code Not Found")</f>
        <v>Acer</v>
      </c>
      <c r="M2948" t="str">
        <f>_xlfn.XLOOKUP(C2948, Table2[Species],Table2[Sp. Name], "Code Not Found")</f>
        <v>saccharum</v>
      </c>
      <c r="N2948" t="str">
        <f>_xlfn.XLOOKUP(C2948,Table2[Species],Table2[Family],"Code Not Found")</f>
        <v>Sapindaceae</v>
      </c>
      <c r="O2948" t="str" cm="1">
        <f t="array" ref="O2948">_xlfn.IFS(F2948="","",F2948&lt;=5,"0 to 5",F2948&lt;=10,"5.1 to 10",F2948&lt;=20,"10 to 20", F2948&lt;= 40, "20 to 40", F2948 &lt;= 50, "40 to 50", F2948 &gt; 50, "&gt;50" )</f>
        <v>0 to 5</v>
      </c>
    </row>
    <row r="2949" spans="1:15" ht="15" customHeight="1" x14ac:dyDescent="0.3">
      <c r="A2949" t="s">
        <v>593</v>
      </c>
      <c r="B2949" s="1">
        <v>46218</v>
      </c>
      <c r="C2949" t="s">
        <v>16</v>
      </c>
      <c r="D2949">
        <v>2751</v>
      </c>
      <c r="E2949">
        <v>1</v>
      </c>
      <c r="F2949">
        <v>4.9000000000000004</v>
      </c>
      <c r="G2949" t="s">
        <v>17</v>
      </c>
      <c r="I2949" t="str">
        <f t="shared" si="73"/>
        <v>2751_1</v>
      </c>
      <c r="J2949" t="s">
        <v>533</v>
      </c>
      <c r="K2949" t="s">
        <v>115</v>
      </c>
      <c r="L2949" t="str">
        <f>_xlfn.XLOOKUP(C2949, Table2[Species],Table2[Genus], "Code Not Found")</f>
        <v>Acer</v>
      </c>
      <c r="M2949" t="str">
        <f>_xlfn.XLOOKUP(C2949, Table2[Species],Table2[Sp. Name], "Code Not Found")</f>
        <v>saccharum</v>
      </c>
      <c r="N2949" t="str">
        <f>_xlfn.XLOOKUP(C2949,Table2[Species],Table2[Family],"Code Not Found")</f>
        <v>Sapindaceae</v>
      </c>
      <c r="O2949" t="str" cm="1">
        <f t="array" ref="O2949">_xlfn.IFS(F2949="","",F2949&lt;=5,"0 to 5",F2949&lt;=10,"5.1 to 10",F2949&lt;=20,"10 to 20", F2949&lt;= 40, "20 to 40", F2949 &lt;= 50, "40 to 50", F2949 &gt; 50, "&gt;50" )</f>
        <v>0 to 5</v>
      </c>
    </row>
    <row r="2950" spans="1:15" ht="15" customHeight="1" x14ac:dyDescent="0.3">
      <c r="A2950" t="s">
        <v>593</v>
      </c>
      <c r="B2950" s="1">
        <v>46218</v>
      </c>
      <c r="C2950" t="s">
        <v>16</v>
      </c>
      <c r="D2950">
        <v>2752</v>
      </c>
      <c r="E2950">
        <v>1</v>
      </c>
      <c r="F2950">
        <v>5.3</v>
      </c>
      <c r="G2950" t="s">
        <v>47</v>
      </c>
      <c r="I2950" t="str">
        <f t="shared" si="73"/>
        <v>2752_1</v>
      </c>
      <c r="J2950" t="s">
        <v>533</v>
      </c>
      <c r="K2950" t="s">
        <v>115</v>
      </c>
      <c r="L2950" t="str">
        <f>_xlfn.XLOOKUP(C2950, Table2[Species],Table2[Genus], "Code Not Found")</f>
        <v>Acer</v>
      </c>
      <c r="M2950" t="str">
        <f>_xlfn.XLOOKUP(C2950, Table2[Species],Table2[Sp. Name], "Code Not Found")</f>
        <v>saccharum</v>
      </c>
      <c r="N2950" t="str">
        <f>_xlfn.XLOOKUP(C2950,Table2[Species],Table2[Family],"Code Not Found")</f>
        <v>Sapindaceae</v>
      </c>
      <c r="O2950" t="str" cm="1">
        <f t="array" ref="O2950">_xlfn.IFS(F2950="","",F2950&lt;=5,"0 to 5",F2950&lt;=10,"5.1 to 10",F2950&lt;=20,"10 to 20", F2950&lt;= 40, "20 to 40", F2950 &lt;= 50, "40 to 50", F2950 &gt; 50, "&gt;50" )</f>
        <v>5.1 to 10</v>
      </c>
    </row>
    <row r="2951" spans="1:15" ht="15" customHeight="1" x14ac:dyDescent="0.3">
      <c r="A2951" t="s">
        <v>593</v>
      </c>
      <c r="B2951" s="1">
        <v>46218</v>
      </c>
      <c r="C2951" t="s">
        <v>16</v>
      </c>
      <c r="D2951">
        <v>2753</v>
      </c>
      <c r="E2951">
        <v>1</v>
      </c>
      <c r="F2951">
        <v>4.9000000000000004</v>
      </c>
      <c r="G2951" t="s">
        <v>17</v>
      </c>
      <c r="I2951" t="str">
        <f t="shared" si="73"/>
        <v>2753_1</v>
      </c>
      <c r="J2951" t="s">
        <v>533</v>
      </c>
      <c r="K2951" t="s">
        <v>115</v>
      </c>
      <c r="L2951" t="str">
        <f>_xlfn.XLOOKUP(C2951, Table2[Species],Table2[Genus], "Code Not Found")</f>
        <v>Acer</v>
      </c>
      <c r="M2951" t="str">
        <f>_xlfn.XLOOKUP(C2951, Table2[Species],Table2[Sp. Name], "Code Not Found")</f>
        <v>saccharum</v>
      </c>
      <c r="N2951" t="str">
        <f>_xlfn.XLOOKUP(C2951,Table2[Species],Table2[Family],"Code Not Found")</f>
        <v>Sapindaceae</v>
      </c>
      <c r="O2951" t="str" cm="1">
        <f t="array" ref="O2951">_xlfn.IFS(F2951="","",F2951&lt;=5,"0 to 5",F2951&lt;=10,"5.1 to 10",F2951&lt;=20,"10 to 20", F2951&lt;= 40, "20 to 40", F2951 &lt;= 50, "40 to 50", F2951 &gt; 50, "&gt;50" )</f>
        <v>0 to 5</v>
      </c>
    </row>
    <row r="2952" spans="1:15" ht="15" customHeight="1" x14ac:dyDescent="0.3">
      <c r="A2952" t="s">
        <v>593</v>
      </c>
      <c r="B2952" s="1">
        <v>46218</v>
      </c>
      <c r="C2952" t="s">
        <v>16</v>
      </c>
      <c r="D2952">
        <v>2754</v>
      </c>
      <c r="E2952">
        <v>1</v>
      </c>
      <c r="F2952">
        <v>14.4</v>
      </c>
      <c r="G2952" t="s">
        <v>21</v>
      </c>
      <c r="I2952" t="str">
        <f t="shared" si="73"/>
        <v>2754_1</v>
      </c>
      <c r="J2952" t="s">
        <v>533</v>
      </c>
      <c r="K2952" t="s">
        <v>115</v>
      </c>
      <c r="L2952" t="str">
        <f>_xlfn.XLOOKUP(C2952, Table2[Species],Table2[Genus], "Code Not Found")</f>
        <v>Acer</v>
      </c>
      <c r="M2952" t="str">
        <f>_xlfn.XLOOKUP(C2952, Table2[Species],Table2[Sp. Name], "Code Not Found")</f>
        <v>saccharum</v>
      </c>
      <c r="N2952" t="str">
        <f>_xlfn.XLOOKUP(C2952,Table2[Species],Table2[Family],"Code Not Found")</f>
        <v>Sapindaceae</v>
      </c>
      <c r="O2952" t="str" cm="1">
        <f t="array" ref="O2952">_xlfn.IFS(F2952="","",F2952&lt;=5,"0 to 5",F2952&lt;=10,"5.1 to 10",F2952&lt;=20,"10 to 20", F2952&lt;= 40, "20 to 40", F2952 &lt;= 50, "40 to 50", F2952 &gt; 50, "&gt;50" )</f>
        <v>10 to 20</v>
      </c>
    </row>
    <row r="2953" spans="1:15" ht="15" customHeight="1" x14ac:dyDescent="0.3">
      <c r="A2953" t="s">
        <v>593</v>
      </c>
      <c r="B2953" s="1">
        <v>46218</v>
      </c>
      <c r="C2953" t="s">
        <v>16</v>
      </c>
      <c r="D2953">
        <v>2755</v>
      </c>
      <c r="E2953">
        <v>1</v>
      </c>
      <c r="F2953">
        <v>2.8</v>
      </c>
      <c r="G2953" t="s">
        <v>47</v>
      </c>
      <c r="H2953" t="s">
        <v>43</v>
      </c>
      <c r="I2953" t="str">
        <f t="shared" si="73"/>
        <v>2755_1</v>
      </c>
      <c r="J2953" t="s">
        <v>533</v>
      </c>
      <c r="K2953" t="s">
        <v>115</v>
      </c>
      <c r="L2953" t="str">
        <f>_xlfn.XLOOKUP(C2953, Table2[Species],Table2[Genus], "Code Not Found")</f>
        <v>Acer</v>
      </c>
      <c r="M2953" t="str">
        <f>_xlfn.XLOOKUP(C2953, Table2[Species],Table2[Sp. Name], "Code Not Found")</f>
        <v>saccharum</v>
      </c>
      <c r="N2953" t="str">
        <f>_xlfn.XLOOKUP(C2953,Table2[Species],Table2[Family],"Code Not Found")</f>
        <v>Sapindaceae</v>
      </c>
      <c r="O2953" t="str" cm="1">
        <f t="array" ref="O2953">_xlfn.IFS(F2953="","",F2953&lt;=5,"0 to 5",F2953&lt;=10,"5.1 to 10",F2953&lt;=20,"10 to 20", F2953&lt;= 40, "20 to 40", F2953 &lt;= 50, "40 to 50", F2953 &gt; 50, "&gt;50" )</f>
        <v>0 to 5</v>
      </c>
    </row>
    <row r="2954" spans="1:15" ht="15" customHeight="1" x14ac:dyDescent="0.3">
      <c r="A2954" t="s">
        <v>593</v>
      </c>
      <c r="B2954" s="1">
        <v>46218</v>
      </c>
      <c r="C2954" t="s">
        <v>16</v>
      </c>
      <c r="D2954">
        <v>2756</v>
      </c>
      <c r="E2954">
        <v>1</v>
      </c>
      <c r="F2954">
        <v>42.7</v>
      </c>
      <c r="G2954" t="s">
        <v>21</v>
      </c>
      <c r="I2954" t="str">
        <f t="shared" si="73"/>
        <v>2756_1</v>
      </c>
      <c r="J2954" t="s">
        <v>533</v>
      </c>
      <c r="K2954" t="s">
        <v>115</v>
      </c>
      <c r="L2954" t="str">
        <f>_xlfn.XLOOKUP(C2954, Table2[Species],Table2[Genus], "Code Not Found")</f>
        <v>Acer</v>
      </c>
      <c r="M2954" t="str">
        <f>_xlfn.XLOOKUP(C2954, Table2[Species],Table2[Sp. Name], "Code Not Found")</f>
        <v>saccharum</v>
      </c>
      <c r="N2954" t="str">
        <f>_xlfn.XLOOKUP(C2954,Table2[Species],Table2[Family],"Code Not Found")</f>
        <v>Sapindaceae</v>
      </c>
      <c r="O2954" t="str" cm="1">
        <f t="array" ref="O2954">_xlfn.IFS(F2954="","",F2954&lt;=5,"0 to 5",F2954&lt;=10,"5.1 to 10",F2954&lt;=20,"10 to 20", F2954&lt;= 40, "20 to 40", F2954 &lt;= 50, "40 to 50", F2954 &gt; 50, "&gt;50" )</f>
        <v>40 to 50</v>
      </c>
    </row>
    <row r="2955" spans="1:15" ht="15" customHeight="1" x14ac:dyDescent="0.3">
      <c r="A2955" t="s">
        <v>593</v>
      </c>
      <c r="B2955" s="1">
        <v>46218</v>
      </c>
      <c r="C2955" t="s">
        <v>16</v>
      </c>
      <c r="D2955">
        <v>2757</v>
      </c>
      <c r="E2955">
        <v>1</v>
      </c>
      <c r="F2955">
        <v>2.2000000000000002</v>
      </c>
      <c r="G2955" t="s">
        <v>17</v>
      </c>
      <c r="I2955" t="str">
        <f t="shared" ref="I2955:I2986" si="74">D2955&amp;"_"&amp;E2955</f>
        <v>2757_1</v>
      </c>
      <c r="J2955" t="s">
        <v>533</v>
      </c>
      <c r="K2955" t="s">
        <v>115</v>
      </c>
      <c r="L2955" t="str">
        <f>_xlfn.XLOOKUP(C2955, Table2[Species],Table2[Genus], "Code Not Found")</f>
        <v>Acer</v>
      </c>
      <c r="M2955" t="str">
        <f>_xlfn.XLOOKUP(C2955, Table2[Species],Table2[Sp. Name], "Code Not Found")</f>
        <v>saccharum</v>
      </c>
      <c r="N2955" t="str">
        <f>_xlfn.XLOOKUP(C2955,Table2[Species],Table2[Family],"Code Not Found")</f>
        <v>Sapindaceae</v>
      </c>
      <c r="O2955" t="str" cm="1">
        <f t="array" ref="O2955">_xlfn.IFS(F2955="","",F2955&lt;=5,"0 to 5",F2955&lt;=10,"5.1 to 10",F2955&lt;=20,"10 to 20", F2955&lt;= 40, "20 to 40", F2955 &lt;= 50, "40 to 50", F2955 &gt; 50, "&gt;50" )</f>
        <v>0 to 5</v>
      </c>
    </row>
    <row r="2956" spans="1:15" ht="15" customHeight="1" x14ac:dyDescent="0.3">
      <c r="A2956" t="s">
        <v>593</v>
      </c>
      <c r="B2956" s="1">
        <v>46218</v>
      </c>
      <c r="C2956" t="s">
        <v>16</v>
      </c>
      <c r="D2956">
        <v>2758</v>
      </c>
      <c r="E2956">
        <v>1</v>
      </c>
      <c r="F2956">
        <v>2.7</v>
      </c>
      <c r="G2956" t="s">
        <v>57</v>
      </c>
      <c r="H2956" t="s">
        <v>296</v>
      </c>
      <c r="I2956" t="str">
        <f t="shared" si="74"/>
        <v>2758_1</v>
      </c>
      <c r="J2956" t="s">
        <v>533</v>
      </c>
      <c r="K2956" t="s">
        <v>115</v>
      </c>
      <c r="L2956" t="str">
        <f>_xlfn.XLOOKUP(C2956, Table2[Species],Table2[Genus], "Code Not Found")</f>
        <v>Acer</v>
      </c>
      <c r="M2956" t="str">
        <f>_xlfn.XLOOKUP(C2956, Table2[Species],Table2[Sp. Name], "Code Not Found")</f>
        <v>saccharum</v>
      </c>
      <c r="N2956" t="str">
        <f>_xlfn.XLOOKUP(C2956,Table2[Species],Table2[Family],"Code Not Found")</f>
        <v>Sapindaceae</v>
      </c>
      <c r="O2956" t="str" cm="1">
        <f t="array" ref="O2956">_xlfn.IFS(F2956="","",F2956&lt;=5,"0 to 5",F2956&lt;=10,"5.1 to 10",F2956&lt;=20,"10 to 20", F2956&lt;= 40, "20 to 40", F2956 &lt;= 50, "40 to 50", F2956 &gt; 50, "&gt;50" )</f>
        <v>0 to 5</v>
      </c>
    </row>
    <row r="2957" spans="1:15" ht="15" customHeight="1" x14ac:dyDescent="0.3">
      <c r="A2957" t="s">
        <v>593</v>
      </c>
      <c r="B2957" s="1">
        <v>46218</v>
      </c>
      <c r="C2957" t="s">
        <v>16</v>
      </c>
      <c r="D2957">
        <v>2759</v>
      </c>
      <c r="E2957">
        <v>1</v>
      </c>
      <c r="F2957">
        <v>3.5</v>
      </c>
      <c r="G2957" t="s">
        <v>139</v>
      </c>
      <c r="H2957" t="s">
        <v>596</v>
      </c>
      <c r="I2957" t="str">
        <f t="shared" si="74"/>
        <v>2759_1</v>
      </c>
      <c r="J2957" t="s">
        <v>533</v>
      </c>
      <c r="K2957" t="s">
        <v>115</v>
      </c>
      <c r="L2957" t="str">
        <f>_xlfn.XLOOKUP(C2957, Table2[Species],Table2[Genus], "Code Not Found")</f>
        <v>Acer</v>
      </c>
      <c r="M2957" t="str">
        <f>_xlfn.XLOOKUP(C2957, Table2[Species],Table2[Sp. Name], "Code Not Found")</f>
        <v>saccharum</v>
      </c>
      <c r="N2957" t="str">
        <f>_xlfn.XLOOKUP(C2957,Table2[Species],Table2[Family],"Code Not Found")</f>
        <v>Sapindaceae</v>
      </c>
      <c r="O2957" t="str" cm="1">
        <f t="array" ref="O2957">_xlfn.IFS(F2957="","",F2957&lt;=5,"0 to 5",F2957&lt;=10,"5.1 to 10",F2957&lt;=20,"10 to 20", F2957&lt;= 40, "20 to 40", F2957 &lt;= 50, "40 to 50", F2957 &gt; 50, "&gt;50" )</f>
        <v>0 to 5</v>
      </c>
    </row>
    <row r="2958" spans="1:15" ht="15" customHeight="1" x14ac:dyDescent="0.3">
      <c r="A2958" t="s">
        <v>593</v>
      </c>
      <c r="B2958" s="1">
        <v>46218</v>
      </c>
      <c r="C2958" t="s">
        <v>16</v>
      </c>
      <c r="D2958">
        <v>2760</v>
      </c>
      <c r="E2958">
        <v>1</v>
      </c>
      <c r="F2958">
        <v>5.5</v>
      </c>
      <c r="G2958" t="s">
        <v>30</v>
      </c>
      <c r="H2958" t="s">
        <v>99</v>
      </c>
      <c r="I2958" t="str">
        <f t="shared" si="74"/>
        <v>2760_1</v>
      </c>
      <c r="J2958" t="s">
        <v>533</v>
      </c>
      <c r="K2958" t="s">
        <v>115</v>
      </c>
      <c r="L2958" t="str">
        <f>_xlfn.XLOOKUP(C2958, Table2[Species],Table2[Genus], "Code Not Found")</f>
        <v>Acer</v>
      </c>
      <c r="M2958" t="str">
        <f>_xlfn.XLOOKUP(C2958, Table2[Species],Table2[Sp. Name], "Code Not Found")</f>
        <v>saccharum</v>
      </c>
      <c r="N2958" t="str">
        <f>_xlfn.XLOOKUP(C2958,Table2[Species],Table2[Family],"Code Not Found")</f>
        <v>Sapindaceae</v>
      </c>
      <c r="O2958" t="str" cm="1">
        <f t="array" ref="O2958">_xlfn.IFS(F2958="","",F2958&lt;=5,"0 to 5",F2958&lt;=10,"5.1 to 10",F2958&lt;=20,"10 to 20", F2958&lt;= 40, "20 to 40", F2958 &lt;= 50, "40 to 50", F2958 &gt; 50, "&gt;50" )</f>
        <v>5.1 to 10</v>
      </c>
    </row>
    <row r="2959" spans="1:15" ht="15" customHeight="1" x14ac:dyDescent="0.3">
      <c r="A2959" t="s">
        <v>593</v>
      </c>
      <c r="B2959" s="1">
        <v>46218</v>
      </c>
      <c r="C2959" t="s">
        <v>16</v>
      </c>
      <c r="D2959">
        <v>2761</v>
      </c>
      <c r="E2959">
        <v>1</v>
      </c>
      <c r="F2959">
        <v>3.7</v>
      </c>
      <c r="G2959" t="s">
        <v>139</v>
      </c>
      <c r="H2959" t="s">
        <v>597</v>
      </c>
      <c r="I2959" t="str">
        <f t="shared" si="74"/>
        <v>2761_1</v>
      </c>
      <c r="J2959" t="s">
        <v>533</v>
      </c>
      <c r="K2959" t="s">
        <v>115</v>
      </c>
      <c r="L2959" t="str">
        <f>_xlfn.XLOOKUP(C2959, Table2[Species],Table2[Genus], "Code Not Found")</f>
        <v>Acer</v>
      </c>
      <c r="M2959" t="str">
        <f>_xlfn.XLOOKUP(C2959, Table2[Species],Table2[Sp. Name], "Code Not Found")</f>
        <v>saccharum</v>
      </c>
      <c r="N2959" t="str">
        <f>_xlfn.XLOOKUP(C2959,Table2[Species],Table2[Family],"Code Not Found")</f>
        <v>Sapindaceae</v>
      </c>
      <c r="O2959" t="str" cm="1">
        <f t="array" ref="O2959">_xlfn.IFS(F2959="","",F2959&lt;=5,"0 to 5",F2959&lt;=10,"5.1 to 10",F2959&lt;=20,"10 to 20", F2959&lt;= 40, "20 to 40", F2959 &lt;= 50, "40 to 50", F2959 &gt; 50, "&gt;50" )</f>
        <v>0 to 5</v>
      </c>
    </row>
    <row r="2960" spans="1:15" ht="15" customHeight="1" x14ac:dyDescent="0.3">
      <c r="A2960" t="s">
        <v>593</v>
      </c>
      <c r="B2960" s="1">
        <v>46218</v>
      </c>
      <c r="C2960" t="s">
        <v>123</v>
      </c>
      <c r="D2960">
        <v>2762</v>
      </c>
      <c r="E2960">
        <v>1</v>
      </c>
      <c r="F2960">
        <v>73.400000000000006</v>
      </c>
      <c r="G2960" t="s">
        <v>56</v>
      </c>
      <c r="I2960" t="str">
        <f t="shared" si="74"/>
        <v>2762_1</v>
      </c>
      <c r="J2960" t="s">
        <v>533</v>
      </c>
      <c r="K2960" t="s">
        <v>115</v>
      </c>
      <c r="L2960" t="str">
        <f>_xlfn.XLOOKUP(C2960, Table2[Species],Table2[Genus], "Code Not Found")</f>
        <v>Quercus</v>
      </c>
      <c r="M2960" t="str">
        <f>_xlfn.XLOOKUP(C2960, Table2[Species],Table2[Sp. Name], "Code Not Found")</f>
        <v>rubra</v>
      </c>
      <c r="N2960" t="str">
        <f>_xlfn.XLOOKUP(C2960,Table2[Species],Table2[Family],"Code Not Found")</f>
        <v>Fagaceae</v>
      </c>
      <c r="O2960" t="str" cm="1">
        <f t="array" ref="O2960">_xlfn.IFS(F2960="","",F2960&lt;=5,"0 to 5",F2960&lt;=10,"5.1 to 10",F2960&lt;=20,"10 to 20", F2960&lt;= 40, "20 to 40", F2960 &lt;= 50, "40 to 50", F2960 &gt; 50, "&gt;50" )</f>
        <v>&gt;50</v>
      </c>
    </row>
    <row r="2961" spans="1:15" ht="15" customHeight="1" x14ac:dyDescent="0.3">
      <c r="A2961" t="s">
        <v>593</v>
      </c>
      <c r="B2961" s="1">
        <v>46218</v>
      </c>
      <c r="C2961" t="s">
        <v>16</v>
      </c>
      <c r="D2961">
        <v>2763</v>
      </c>
      <c r="E2961">
        <v>1</v>
      </c>
      <c r="F2961">
        <v>17.2</v>
      </c>
      <c r="G2961" t="s">
        <v>21</v>
      </c>
      <c r="I2961" t="str">
        <f t="shared" si="74"/>
        <v>2763_1</v>
      </c>
      <c r="J2961" t="s">
        <v>533</v>
      </c>
      <c r="K2961" t="s">
        <v>115</v>
      </c>
      <c r="L2961" t="str">
        <f>_xlfn.XLOOKUP(C2961, Table2[Species],Table2[Genus], "Code Not Found")</f>
        <v>Acer</v>
      </c>
      <c r="M2961" t="str">
        <f>_xlfn.XLOOKUP(C2961, Table2[Species],Table2[Sp. Name], "Code Not Found")</f>
        <v>saccharum</v>
      </c>
      <c r="N2961" t="str">
        <f>_xlfn.XLOOKUP(C2961,Table2[Species],Table2[Family],"Code Not Found")</f>
        <v>Sapindaceae</v>
      </c>
      <c r="O2961" t="str" cm="1">
        <f t="array" ref="O2961">_xlfn.IFS(F2961="","",F2961&lt;=5,"0 to 5",F2961&lt;=10,"5.1 to 10",F2961&lt;=20,"10 to 20", F2961&lt;= 40, "20 to 40", F2961 &lt;= 50, "40 to 50", F2961 &gt; 50, "&gt;50" )</f>
        <v>10 to 20</v>
      </c>
    </row>
    <row r="2962" spans="1:15" ht="15" customHeight="1" x14ac:dyDescent="0.3">
      <c r="A2962" t="s">
        <v>593</v>
      </c>
      <c r="B2962" s="1">
        <v>46218</v>
      </c>
      <c r="C2962" t="s">
        <v>16</v>
      </c>
      <c r="D2962">
        <v>2764</v>
      </c>
      <c r="E2962">
        <v>1</v>
      </c>
      <c r="F2962">
        <v>1.6</v>
      </c>
      <c r="G2962" t="s">
        <v>17</v>
      </c>
      <c r="H2962" t="s">
        <v>296</v>
      </c>
      <c r="I2962" t="str">
        <f t="shared" si="74"/>
        <v>2764_1</v>
      </c>
      <c r="J2962" t="s">
        <v>533</v>
      </c>
      <c r="K2962" t="s">
        <v>115</v>
      </c>
      <c r="L2962" t="str">
        <f>_xlfn.XLOOKUP(C2962, Table2[Species],Table2[Genus], "Code Not Found")</f>
        <v>Acer</v>
      </c>
      <c r="M2962" t="str">
        <f>_xlfn.XLOOKUP(C2962, Table2[Species],Table2[Sp. Name], "Code Not Found")</f>
        <v>saccharum</v>
      </c>
      <c r="N2962" t="str">
        <f>_xlfn.XLOOKUP(C2962,Table2[Species],Table2[Family],"Code Not Found")</f>
        <v>Sapindaceae</v>
      </c>
      <c r="O2962" t="str" cm="1">
        <f t="array" ref="O2962">_xlfn.IFS(F2962="","",F2962&lt;=5,"0 to 5",F2962&lt;=10,"5.1 to 10",F2962&lt;=20,"10 to 20", F2962&lt;= 40, "20 to 40", F2962 &lt;= 50, "40 to 50", F2962 &gt; 50, "&gt;50" )</f>
        <v>0 to 5</v>
      </c>
    </row>
    <row r="2963" spans="1:15" ht="15" customHeight="1" x14ac:dyDescent="0.3">
      <c r="A2963" t="s">
        <v>593</v>
      </c>
      <c r="B2963" s="1">
        <v>46218</v>
      </c>
      <c r="C2963" t="s">
        <v>16</v>
      </c>
      <c r="D2963">
        <v>2765</v>
      </c>
      <c r="E2963">
        <v>1</v>
      </c>
      <c r="F2963">
        <v>28.1</v>
      </c>
      <c r="G2963" t="s">
        <v>17</v>
      </c>
      <c r="I2963" t="str">
        <f t="shared" si="74"/>
        <v>2765_1</v>
      </c>
      <c r="J2963" t="s">
        <v>533</v>
      </c>
      <c r="K2963" t="s">
        <v>115</v>
      </c>
      <c r="L2963" t="str">
        <f>_xlfn.XLOOKUP(C2963, Table2[Species],Table2[Genus], "Code Not Found")</f>
        <v>Acer</v>
      </c>
      <c r="M2963" t="str">
        <f>_xlfn.XLOOKUP(C2963, Table2[Species],Table2[Sp. Name], "Code Not Found")</f>
        <v>saccharum</v>
      </c>
      <c r="N2963" t="str">
        <f>_xlfn.XLOOKUP(C2963,Table2[Species],Table2[Family],"Code Not Found")</f>
        <v>Sapindaceae</v>
      </c>
      <c r="O2963" t="str" cm="1">
        <f t="array" ref="O2963">_xlfn.IFS(F2963="","",F2963&lt;=5,"0 to 5",F2963&lt;=10,"5.1 to 10",F2963&lt;=20,"10 to 20", F2963&lt;= 40, "20 to 40", F2963 &lt;= 50, "40 to 50", F2963 &gt; 50, "&gt;50" )</f>
        <v>20 to 40</v>
      </c>
    </row>
    <row r="2964" spans="1:15" ht="15" customHeight="1" x14ac:dyDescent="0.3">
      <c r="A2964" t="s">
        <v>593</v>
      </c>
      <c r="B2964" s="1">
        <v>46218</v>
      </c>
      <c r="C2964" t="s">
        <v>16</v>
      </c>
      <c r="D2964">
        <v>2766</v>
      </c>
      <c r="E2964">
        <v>1</v>
      </c>
      <c r="F2964">
        <v>13</v>
      </c>
      <c r="G2964" t="s">
        <v>51</v>
      </c>
      <c r="I2964" t="str">
        <f t="shared" si="74"/>
        <v>2766_1</v>
      </c>
      <c r="J2964" t="s">
        <v>533</v>
      </c>
      <c r="K2964" t="s">
        <v>115</v>
      </c>
      <c r="L2964" t="str">
        <f>_xlfn.XLOOKUP(C2964, Table2[Species],Table2[Genus], "Code Not Found")</f>
        <v>Acer</v>
      </c>
      <c r="M2964" t="str">
        <f>_xlfn.XLOOKUP(C2964, Table2[Species],Table2[Sp. Name], "Code Not Found")</f>
        <v>saccharum</v>
      </c>
      <c r="N2964" t="str">
        <f>_xlfn.XLOOKUP(C2964,Table2[Species],Table2[Family],"Code Not Found")</f>
        <v>Sapindaceae</v>
      </c>
      <c r="O2964" t="str" cm="1">
        <f t="array" ref="O2964">_xlfn.IFS(F2964="","",F2964&lt;=5,"0 to 5",F2964&lt;=10,"5.1 to 10",F2964&lt;=20,"10 to 20", F2964&lt;= 40, "20 to 40", F2964 &lt;= 50, "40 to 50", F2964 &gt; 50, "&gt;50" )</f>
        <v>10 to 20</v>
      </c>
    </row>
    <row r="2965" spans="1:15" ht="15" customHeight="1" x14ac:dyDescent="0.3">
      <c r="A2965" t="s">
        <v>593</v>
      </c>
      <c r="B2965" s="1">
        <v>46218</v>
      </c>
      <c r="C2965" t="s">
        <v>16</v>
      </c>
      <c r="D2965">
        <v>2767</v>
      </c>
      <c r="E2965">
        <v>1</v>
      </c>
      <c r="F2965">
        <v>36.299999999999997</v>
      </c>
      <c r="G2965" t="s">
        <v>51</v>
      </c>
      <c r="I2965" t="str">
        <f t="shared" si="74"/>
        <v>2767_1</v>
      </c>
      <c r="J2965" t="s">
        <v>533</v>
      </c>
      <c r="K2965" t="s">
        <v>115</v>
      </c>
      <c r="L2965" t="str">
        <f>_xlfn.XLOOKUP(C2965, Table2[Species],Table2[Genus], "Code Not Found")</f>
        <v>Acer</v>
      </c>
      <c r="M2965" t="str">
        <f>_xlfn.XLOOKUP(C2965, Table2[Species],Table2[Sp. Name], "Code Not Found")</f>
        <v>saccharum</v>
      </c>
      <c r="N2965" t="str">
        <f>_xlfn.XLOOKUP(C2965,Table2[Species],Table2[Family],"Code Not Found")</f>
        <v>Sapindaceae</v>
      </c>
      <c r="O2965" t="str" cm="1">
        <f t="array" ref="O2965">_xlfn.IFS(F2965="","",F2965&lt;=5,"0 to 5",F2965&lt;=10,"5.1 to 10",F2965&lt;=20,"10 to 20", F2965&lt;= 40, "20 to 40", F2965 &lt;= 50, "40 to 50", F2965 &gt; 50, "&gt;50" )</f>
        <v>20 to 40</v>
      </c>
    </row>
    <row r="2966" spans="1:15" ht="15" customHeight="1" x14ac:dyDescent="0.3">
      <c r="A2966" t="s">
        <v>593</v>
      </c>
      <c r="B2966" s="1">
        <v>46218</v>
      </c>
      <c r="C2966" t="s">
        <v>16</v>
      </c>
      <c r="D2966">
        <v>2768</v>
      </c>
      <c r="E2966">
        <v>1</v>
      </c>
      <c r="F2966">
        <v>37.1</v>
      </c>
      <c r="G2966" t="s">
        <v>17</v>
      </c>
      <c r="I2966" t="str">
        <f t="shared" si="74"/>
        <v>2768_1</v>
      </c>
      <c r="J2966" t="s">
        <v>533</v>
      </c>
      <c r="K2966" t="s">
        <v>115</v>
      </c>
      <c r="L2966" t="str">
        <f>_xlfn.XLOOKUP(C2966, Table2[Species],Table2[Genus], "Code Not Found")</f>
        <v>Acer</v>
      </c>
      <c r="M2966" t="str">
        <f>_xlfn.XLOOKUP(C2966, Table2[Species],Table2[Sp. Name], "Code Not Found")</f>
        <v>saccharum</v>
      </c>
      <c r="N2966" t="str">
        <f>_xlfn.XLOOKUP(C2966,Table2[Species],Table2[Family],"Code Not Found")</f>
        <v>Sapindaceae</v>
      </c>
      <c r="O2966" t="str" cm="1">
        <f t="array" ref="O2966">_xlfn.IFS(F2966="","",F2966&lt;=5,"0 to 5",F2966&lt;=10,"5.1 to 10",F2966&lt;=20,"10 to 20", F2966&lt;= 40, "20 to 40", F2966 &lt;= 50, "40 to 50", F2966 &gt; 50, "&gt;50" )</f>
        <v>20 to 40</v>
      </c>
    </row>
    <row r="2967" spans="1:15" ht="15" customHeight="1" x14ac:dyDescent="0.3">
      <c r="A2967" t="s">
        <v>593</v>
      </c>
      <c r="B2967" s="1">
        <v>46218</v>
      </c>
      <c r="C2967" t="s">
        <v>16</v>
      </c>
      <c r="D2967">
        <v>2769</v>
      </c>
      <c r="E2967">
        <v>1</v>
      </c>
      <c r="F2967">
        <v>12.5</v>
      </c>
      <c r="G2967" t="s">
        <v>17</v>
      </c>
      <c r="I2967" t="str">
        <f t="shared" si="74"/>
        <v>2769_1</v>
      </c>
      <c r="J2967" t="s">
        <v>533</v>
      </c>
      <c r="K2967" t="s">
        <v>115</v>
      </c>
      <c r="L2967" t="str">
        <f>_xlfn.XLOOKUP(C2967, Table2[Species],Table2[Genus], "Code Not Found")</f>
        <v>Acer</v>
      </c>
      <c r="M2967" t="str">
        <f>_xlfn.XLOOKUP(C2967, Table2[Species],Table2[Sp. Name], "Code Not Found")</f>
        <v>saccharum</v>
      </c>
      <c r="N2967" t="str">
        <f>_xlfn.XLOOKUP(C2967,Table2[Species],Table2[Family],"Code Not Found")</f>
        <v>Sapindaceae</v>
      </c>
      <c r="O2967" t="str" cm="1">
        <f t="array" ref="O2967">_xlfn.IFS(F2967="","",F2967&lt;=5,"0 to 5",F2967&lt;=10,"5.1 to 10",F2967&lt;=20,"10 to 20", F2967&lt;= 40, "20 to 40", F2967 &lt;= 50, "40 to 50", F2967 &gt; 50, "&gt;50" )</f>
        <v>10 to 20</v>
      </c>
    </row>
    <row r="2968" spans="1:15" ht="15" customHeight="1" x14ac:dyDescent="0.3">
      <c r="A2968" t="s">
        <v>593</v>
      </c>
      <c r="B2968" s="1">
        <v>46218</v>
      </c>
      <c r="C2968" t="s">
        <v>16</v>
      </c>
      <c r="D2968">
        <v>2770</v>
      </c>
      <c r="E2968">
        <v>1</v>
      </c>
      <c r="F2968">
        <v>11.3</v>
      </c>
      <c r="G2968" t="s">
        <v>21</v>
      </c>
      <c r="I2968" t="str">
        <f t="shared" si="74"/>
        <v>2770_1</v>
      </c>
      <c r="J2968" t="s">
        <v>533</v>
      </c>
      <c r="K2968" t="s">
        <v>115</v>
      </c>
      <c r="L2968" t="str">
        <f>_xlfn.XLOOKUP(C2968, Table2[Species],Table2[Genus], "Code Not Found")</f>
        <v>Acer</v>
      </c>
      <c r="M2968" t="str">
        <f>_xlfn.XLOOKUP(C2968, Table2[Species],Table2[Sp. Name], "Code Not Found")</f>
        <v>saccharum</v>
      </c>
      <c r="N2968" t="str">
        <f>_xlfn.XLOOKUP(C2968,Table2[Species],Table2[Family],"Code Not Found")</f>
        <v>Sapindaceae</v>
      </c>
      <c r="O2968" t="str" cm="1">
        <f t="array" ref="O2968">_xlfn.IFS(F2968="","",F2968&lt;=5,"0 to 5",F2968&lt;=10,"5.1 to 10",F2968&lt;=20,"10 to 20", F2968&lt;= 40, "20 to 40", F2968 &lt;= 50, "40 to 50", F2968 &gt; 50, "&gt;50" )</f>
        <v>10 to 20</v>
      </c>
    </row>
    <row r="2969" spans="1:15" ht="15" customHeight="1" x14ac:dyDescent="0.3">
      <c r="A2969" t="s">
        <v>593</v>
      </c>
      <c r="B2969" s="1">
        <v>46218</v>
      </c>
      <c r="C2969" t="s">
        <v>16</v>
      </c>
      <c r="D2969">
        <v>2771</v>
      </c>
      <c r="E2969">
        <v>1</v>
      </c>
      <c r="F2969">
        <v>47</v>
      </c>
      <c r="G2969" t="s">
        <v>17</v>
      </c>
      <c r="I2969" t="str">
        <f t="shared" si="74"/>
        <v>2771_1</v>
      </c>
      <c r="J2969" t="s">
        <v>533</v>
      </c>
      <c r="K2969" t="s">
        <v>115</v>
      </c>
      <c r="L2969" t="str">
        <f>_xlfn.XLOOKUP(C2969, Table2[Species],Table2[Genus], "Code Not Found")</f>
        <v>Acer</v>
      </c>
      <c r="M2969" t="str">
        <f>_xlfn.XLOOKUP(C2969, Table2[Species],Table2[Sp. Name], "Code Not Found")</f>
        <v>saccharum</v>
      </c>
      <c r="N2969" t="str">
        <f>_xlfn.XLOOKUP(C2969,Table2[Species],Table2[Family],"Code Not Found")</f>
        <v>Sapindaceae</v>
      </c>
      <c r="O2969" t="str" cm="1">
        <f t="array" ref="O2969">_xlfn.IFS(F2969="","",F2969&lt;=5,"0 to 5",F2969&lt;=10,"5.1 to 10",F2969&lt;=20,"10 to 20", F2969&lt;= 40, "20 to 40", F2969 &lt;= 50, "40 to 50", F2969 &gt; 50, "&gt;50" )</f>
        <v>40 to 50</v>
      </c>
    </row>
    <row r="2970" spans="1:15" ht="15" customHeight="1" x14ac:dyDescent="0.3">
      <c r="A2970" t="s">
        <v>593</v>
      </c>
      <c r="B2970" s="1">
        <v>46218</v>
      </c>
      <c r="C2970" t="s">
        <v>16</v>
      </c>
      <c r="D2970">
        <v>2772</v>
      </c>
      <c r="E2970">
        <v>1</v>
      </c>
      <c r="F2970">
        <v>2.6</v>
      </c>
      <c r="G2970" t="s">
        <v>21</v>
      </c>
      <c r="I2970" t="str">
        <f t="shared" si="74"/>
        <v>2772_1</v>
      </c>
      <c r="J2970" t="s">
        <v>533</v>
      </c>
      <c r="K2970" t="s">
        <v>115</v>
      </c>
      <c r="L2970" t="str">
        <f>_xlfn.XLOOKUP(C2970, Table2[Species],Table2[Genus], "Code Not Found")</f>
        <v>Acer</v>
      </c>
      <c r="M2970" t="str">
        <f>_xlfn.XLOOKUP(C2970, Table2[Species],Table2[Sp. Name], "Code Not Found")</f>
        <v>saccharum</v>
      </c>
      <c r="N2970" t="str">
        <f>_xlfn.XLOOKUP(C2970,Table2[Species],Table2[Family],"Code Not Found")</f>
        <v>Sapindaceae</v>
      </c>
      <c r="O2970" t="str" cm="1">
        <f t="array" ref="O2970">_xlfn.IFS(F2970="","",F2970&lt;=5,"0 to 5",F2970&lt;=10,"5.1 to 10",F2970&lt;=20,"10 to 20", F2970&lt;= 40, "20 to 40", F2970 &lt;= 50, "40 to 50", F2970 &gt; 50, "&gt;50" )</f>
        <v>0 to 5</v>
      </c>
    </row>
    <row r="2971" spans="1:15" ht="15" customHeight="1" x14ac:dyDescent="0.3">
      <c r="A2971" t="s">
        <v>593</v>
      </c>
      <c r="B2971" s="1">
        <v>46218</v>
      </c>
      <c r="C2971" t="s">
        <v>16</v>
      </c>
      <c r="D2971">
        <v>2773</v>
      </c>
      <c r="E2971">
        <v>1</v>
      </c>
      <c r="F2971">
        <v>2.5</v>
      </c>
      <c r="G2971" t="s">
        <v>17</v>
      </c>
      <c r="I2971" t="str">
        <f t="shared" si="74"/>
        <v>2773_1</v>
      </c>
      <c r="J2971" t="s">
        <v>533</v>
      </c>
      <c r="K2971" t="s">
        <v>115</v>
      </c>
      <c r="L2971" t="str">
        <f>_xlfn.XLOOKUP(C2971, Table2[Species],Table2[Genus], "Code Not Found")</f>
        <v>Acer</v>
      </c>
      <c r="M2971" t="str">
        <f>_xlfn.XLOOKUP(C2971, Table2[Species],Table2[Sp. Name], "Code Not Found")</f>
        <v>saccharum</v>
      </c>
      <c r="N2971" t="str">
        <f>_xlfn.XLOOKUP(C2971,Table2[Species],Table2[Family],"Code Not Found")</f>
        <v>Sapindaceae</v>
      </c>
      <c r="O2971" t="str" cm="1">
        <f t="array" ref="O2971">_xlfn.IFS(F2971="","",F2971&lt;=5,"0 to 5",F2971&lt;=10,"5.1 to 10",F2971&lt;=20,"10 to 20", F2971&lt;= 40, "20 to 40", F2971 &lt;= 50, "40 to 50", F2971 &gt; 50, "&gt;50" )</f>
        <v>0 to 5</v>
      </c>
    </row>
    <row r="2972" spans="1:15" ht="15" customHeight="1" x14ac:dyDescent="0.3">
      <c r="A2972" t="s">
        <v>593</v>
      </c>
      <c r="B2972" s="1">
        <v>46218</v>
      </c>
      <c r="C2972" t="s">
        <v>16</v>
      </c>
      <c r="D2972">
        <v>2774</v>
      </c>
      <c r="E2972">
        <v>1</v>
      </c>
      <c r="F2972">
        <v>3.8</v>
      </c>
      <c r="G2972" t="s">
        <v>21</v>
      </c>
      <c r="I2972" t="str">
        <f t="shared" si="74"/>
        <v>2774_1</v>
      </c>
      <c r="J2972" t="s">
        <v>533</v>
      </c>
      <c r="K2972" t="s">
        <v>115</v>
      </c>
      <c r="L2972" t="str">
        <f>_xlfn.XLOOKUP(C2972, Table2[Species],Table2[Genus], "Code Not Found")</f>
        <v>Acer</v>
      </c>
      <c r="M2972" t="str">
        <f>_xlfn.XLOOKUP(C2972, Table2[Species],Table2[Sp. Name], "Code Not Found")</f>
        <v>saccharum</v>
      </c>
      <c r="N2972" t="str">
        <f>_xlfn.XLOOKUP(C2972,Table2[Species],Table2[Family],"Code Not Found")</f>
        <v>Sapindaceae</v>
      </c>
      <c r="O2972" t="str" cm="1">
        <f t="array" ref="O2972">_xlfn.IFS(F2972="","",F2972&lt;=5,"0 to 5",F2972&lt;=10,"5.1 to 10",F2972&lt;=20,"10 to 20", F2972&lt;= 40, "20 to 40", F2972 &lt;= 50, "40 to 50", F2972 &gt; 50, "&gt;50" )</f>
        <v>0 to 5</v>
      </c>
    </row>
    <row r="2973" spans="1:15" ht="15" customHeight="1" x14ac:dyDescent="0.3">
      <c r="A2973" t="s">
        <v>593</v>
      </c>
      <c r="B2973" s="1">
        <v>46218</v>
      </c>
      <c r="C2973" t="s">
        <v>16</v>
      </c>
      <c r="D2973">
        <v>2775</v>
      </c>
      <c r="E2973">
        <v>1</v>
      </c>
      <c r="F2973">
        <v>8.6</v>
      </c>
      <c r="G2973" t="s">
        <v>17</v>
      </c>
      <c r="I2973" t="str">
        <f t="shared" si="74"/>
        <v>2775_1</v>
      </c>
      <c r="J2973" t="s">
        <v>533</v>
      </c>
      <c r="K2973" t="s">
        <v>115</v>
      </c>
      <c r="L2973" t="str">
        <f>_xlfn.XLOOKUP(C2973, Table2[Species],Table2[Genus], "Code Not Found")</f>
        <v>Acer</v>
      </c>
      <c r="M2973" t="str">
        <f>_xlfn.XLOOKUP(C2973, Table2[Species],Table2[Sp. Name], "Code Not Found")</f>
        <v>saccharum</v>
      </c>
      <c r="N2973" t="str">
        <f>_xlfn.XLOOKUP(C2973,Table2[Species],Table2[Family],"Code Not Found")</f>
        <v>Sapindaceae</v>
      </c>
      <c r="O2973" t="str" cm="1">
        <f t="array" ref="O2973">_xlfn.IFS(F2973="","",F2973&lt;=5,"0 to 5",F2973&lt;=10,"5.1 to 10",F2973&lt;=20,"10 to 20", F2973&lt;= 40, "20 to 40", F2973 &lt;= 50, "40 to 50", F2973 &gt; 50, "&gt;50" )</f>
        <v>5.1 to 10</v>
      </c>
    </row>
    <row r="2974" spans="1:15" ht="15" customHeight="1" x14ac:dyDescent="0.3">
      <c r="A2974" t="s">
        <v>593</v>
      </c>
      <c r="B2974" s="1">
        <v>46218</v>
      </c>
      <c r="C2974" t="s">
        <v>16</v>
      </c>
      <c r="D2974">
        <v>2776</v>
      </c>
      <c r="E2974">
        <v>1</v>
      </c>
      <c r="F2974">
        <v>3.9</v>
      </c>
      <c r="G2974" t="s">
        <v>21</v>
      </c>
      <c r="I2974" t="str">
        <f t="shared" si="74"/>
        <v>2776_1</v>
      </c>
      <c r="J2974" t="s">
        <v>533</v>
      </c>
      <c r="K2974" t="s">
        <v>115</v>
      </c>
      <c r="L2974" t="str">
        <f>_xlfn.XLOOKUP(C2974, Table2[Species],Table2[Genus], "Code Not Found")</f>
        <v>Acer</v>
      </c>
      <c r="M2974" t="str">
        <f>_xlfn.XLOOKUP(C2974, Table2[Species],Table2[Sp. Name], "Code Not Found")</f>
        <v>saccharum</v>
      </c>
      <c r="N2974" t="str">
        <f>_xlfn.XLOOKUP(C2974,Table2[Species],Table2[Family],"Code Not Found")</f>
        <v>Sapindaceae</v>
      </c>
      <c r="O2974" t="str" cm="1">
        <f t="array" ref="O2974">_xlfn.IFS(F2974="","",F2974&lt;=5,"0 to 5",F2974&lt;=10,"5.1 to 10",F2974&lt;=20,"10 to 20", F2974&lt;= 40, "20 to 40", F2974 &lt;= 50, "40 to 50", F2974 &gt; 50, "&gt;50" )</f>
        <v>0 to 5</v>
      </c>
    </row>
    <row r="2975" spans="1:15" ht="15" customHeight="1" x14ac:dyDescent="0.3">
      <c r="A2975" t="s">
        <v>593</v>
      </c>
      <c r="B2975" s="1">
        <v>46218</v>
      </c>
      <c r="C2975" t="s">
        <v>16</v>
      </c>
      <c r="D2975">
        <v>2777</v>
      </c>
      <c r="E2975">
        <v>1</v>
      </c>
      <c r="F2975">
        <v>2.2999999999999998</v>
      </c>
      <c r="G2975" t="s">
        <v>17</v>
      </c>
      <c r="I2975" t="str">
        <f t="shared" si="74"/>
        <v>2777_1</v>
      </c>
      <c r="J2975" t="s">
        <v>533</v>
      </c>
      <c r="K2975" t="s">
        <v>115</v>
      </c>
      <c r="L2975" t="str">
        <f>_xlfn.XLOOKUP(C2975, Table2[Species],Table2[Genus], "Code Not Found")</f>
        <v>Acer</v>
      </c>
      <c r="M2975" t="str">
        <f>_xlfn.XLOOKUP(C2975, Table2[Species],Table2[Sp. Name], "Code Not Found")</f>
        <v>saccharum</v>
      </c>
      <c r="N2975" t="str">
        <f>_xlfn.XLOOKUP(C2975,Table2[Species],Table2[Family],"Code Not Found")</f>
        <v>Sapindaceae</v>
      </c>
      <c r="O2975" t="str" cm="1">
        <f t="array" ref="O2975">_xlfn.IFS(F2975="","",F2975&lt;=5,"0 to 5",F2975&lt;=10,"5.1 to 10",F2975&lt;=20,"10 to 20", F2975&lt;= 40, "20 to 40", F2975 &lt;= 50, "40 to 50", F2975 &gt; 50, "&gt;50" )</f>
        <v>0 to 5</v>
      </c>
    </row>
    <row r="2976" spans="1:15" ht="15" customHeight="1" x14ac:dyDescent="0.3">
      <c r="A2976" t="s">
        <v>593</v>
      </c>
      <c r="B2976" s="1">
        <v>46218</v>
      </c>
      <c r="C2976" t="s">
        <v>16</v>
      </c>
      <c r="D2976">
        <v>2778</v>
      </c>
      <c r="E2976">
        <v>1</v>
      </c>
      <c r="F2976">
        <v>4.8</v>
      </c>
      <c r="G2976" t="s">
        <v>30</v>
      </c>
      <c r="H2976" t="s">
        <v>99</v>
      </c>
      <c r="I2976" t="str">
        <f t="shared" si="74"/>
        <v>2778_1</v>
      </c>
      <c r="J2976" t="s">
        <v>533</v>
      </c>
      <c r="K2976" t="s">
        <v>115</v>
      </c>
      <c r="L2976" t="str">
        <f>_xlfn.XLOOKUP(C2976, Table2[Species],Table2[Genus], "Code Not Found")</f>
        <v>Acer</v>
      </c>
      <c r="M2976" t="str">
        <f>_xlfn.XLOOKUP(C2976, Table2[Species],Table2[Sp. Name], "Code Not Found")</f>
        <v>saccharum</v>
      </c>
      <c r="N2976" t="str">
        <f>_xlfn.XLOOKUP(C2976,Table2[Species],Table2[Family],"Code Not Found")</f>
        <v>Sapindaceae</v>
      </c>
      <c r="O2976" t="str" cm="1">
        <f t="array" ref="O2976">_xlfn.IFS(F2976="","",F2976&lt;=5,"0 to 5",F2976&lt;=10,"5.1 to 10",F2976&lt;=20,"10 to 20", F2976&lt;= 40, "20 to 40", F2976 &lt;= 50, "40 to 50", F2976 &gt; 50, "&gt;50" )</f>
        <v>0 to 5</v>
      </c>
    </row>
    <row r="2977" spans="1:15" ht="15" customHeight="1" x14ac:dyDescent="0.3">
      <c r="A2977" t="s">
        <v>593</v>
      </c>
      <c r="B2977" s="1">
        <v>46218</v>
      </c>
      <c r="C2977" t="s">
        <v>16</v>
      </c>
      <c r="D2977">
        <v>2779</v>
      </c>
      <c r="E2977">
        <v>1</v>
      </c>
      <c r="F2977">
        <v>11.3</v>
      </c>
      <c r="G2977" t="s">
        <v>17</v>
      </c>
      <c r="I2977" t="str">
        <f t="shared" si="74"/>
        <v>2779_1</v>
      </c>
      <c r="J2977" t="s">
        <v>533</v>
      </c>
      <c r="K2977" t="s">
        <v>115</v>
      </c>
      <c r="L2977" t="str">
        <f>_xlfn.XLOOKUP(C2977, Table2[Species],Table2[Genus], "Code Not Found")</f>
        <v>Acer</v>
      </c>
      <c r="M2977" t="str">
        <f>_xlfn.XLOOKUP(C2977, Table2[Species],Table2[Sp. Name], "Code Not Found")</f>
        <v>saccharum</v>
      </c>
      <c r="N2977" t="str">
        <f>_xlfn.XLOOKUP(C2977,Table2[Species],Table2[Family],"Code Not Found")</f>
        <v>Sapindaceae</v>
      </c>
      <c r="O2977" t="str" cm="1">
        <f t="array" ref="O2977">_xlfn.IFS(F2977="","",F2977&lt;=5,"0 to 5",F2977&lt;=10,"5.1 to 10",F2977&lt;=20,"10 to 20", F2977&lt;= 40, "20 to 40", F2977 &lt;= 50, "40 to 50", F2977 &gt; 50, "&gt;50" )</f>
        <v>10 to 20</v>
      </c>
    </row>
    <row r="2978" spans="1:15" ht="15" customHeight="1" x14ac:dyDescent="0.3">
      <c r="A2978" t="s">
        <v>593</v>
      </c>
      <c r="B2978" s="1">
        <v>46218</v>
      </c>
      <c r="C2978" t="s">
        <v>16</v>
      </c>
      <c r="D2978">
        <v>2780</v>
      </c>
      <c r="E2978">
        <v>1</v>
      </c>
      <c r="F2978">
        <v>2.8</v>
      </c>
      <c r="G2978" t="s">
        <v>30</v>
      </c>
      <c r="H2978" t="s">
        <v>100</v>
      </c>
      <c r="I2978" t="str">
        <f t="shared" si="74"/>
        <v>2780_1</v>
      </c>
      <c r="J2978" t="s">
        <v>533</v>
      </c>
      <c r="K2978" t="s">
        <v>115</v>
      </c>
      <c r="L2978" t="str">
        <f>_xlfn.XLOOKUP(C2978, Table2[Species],Table2[Genus], "Code Not Found")</f>
        <v>Acer</v>
      </c>
      <c r="M2978" t="str">
        <f>_xlfn.XLOOKUP(C2978, Table2[Species],Table2[Sp. Name], "Code Not Found")</f>
        <v>saccharum</v>
      </c>
      <c r="N2978" t="str">
        <f>_xlfn.XLOOKUP(C2978,Table2[Species],Table2[Family],"Code Not Found")</f>
        <v>Sapindaceae</v>
      </c>
      <c r="O2978" t="str" cm="1">
        <f t="array" ref="O2978">_xlfn.IFS(F2978="","",F2978&lt;=5,"0 to 5",F2978&lt;=10,"5.1 to 10",F2978&lt;=20,"10 to 20", F2978&lt;= 40, "20 to 40", F2978 &lt;= 50, "40 to 50", F2978 &gt; 50, "&gt;50" )</f>
        <v>0 to 5</v>
      </c>
    </row>
    <row r="2979" spans="1:15" ht="15" customHeight="1" x14ac:dyDescent="0.3">
      <c r="A2979" t="s">
        <v>593</v>
      </c>
      <c r="B2979" s="1">
        <v>46218</v>
      </c>
      <c r="C2979" t="s">
        <v>16</v>
      </c>
      <c r="D2979">
        <v>2781</v>
      </c>
      <c r="E2979">
        <v>1</v>
      </c>
      <c r="F2979">
        <v>4.3</v>
      </c>
      <c r="G2979" t="s">
        <v>88</v>
      </c>
      <c r="H2979" t="s">
        <v>99</v>
      </c>
      <c r="I2979" t="str">
        <f t="shared" si="74"/>
        <v>2781_1</v>
      </c>
      <c r="J2979" t="s">
        <v>533</v>
      </c>
      <c r="K2979" t="s">
        <v>115</v>
      </c>
      <c r="L2979" t="str">
        <f>_xlfn.XLOOKUP(C2979, Table2[Species],Table2[Genus], "Code Not Found")</f>
        <v>Acer</v>
      </c>
      <c r="M2979" t="str">
        <f>_xlfn.XLOOKUP(C2979, Table2[Species],Table2[Sp. Name], "Code Not Found")</f>
        <v>saccharum</v>
      </c>
      <c r="N2979" t="str">
        <f>_xlfn.XLOOKUP(C2979,Table2[Species],Table2[Family],"Code Not Found")</f>
        <v>Sapindaceae</v>
      </c>
      <c r="O2979" t="str" cm="1">
        <f t="array" ref="O2979">_xlfn.IFS(F2979="","",F2979&lt;=5,"0 to 5",F2979&lt;=10,"5.1 to 10",F2979&lt;=20,"10 to 20", F2979&lt;= 40, "20 to 40", F2979 &lt;= 50, "40 to 50", F2979 &gt; 50, "&gt;50" )</f>
        <v>0 to 5</v>
      </c>
    </row>
    <row r="2980" spans="1:15" ht="15" customHeight="1" x14ac:dyDescent="0.3">
      <c r="A2980" t="s">
        <v>593</v>
      </c>
      <c r="B2980" s="1">
        <v>46218</v>
      </c>
      <c r="C2980" t="s">
        <v>16</v>
      </c>
      <c r="D2980">
        <v>2782</v>
      </c>
      <c r="E2980">
        <v>1</v>
      </c>
      <c r="F2980">
        <v>11.5</v>
      </c>
      <c r="G2980" t="s">
        <v>21</v>
      </c>
      <c r="I2980" t="str">
        <f t="shared" si="74"/>
        <v>2782_1</v>
      </c>
      <c r="J2980" t="s">
        <v>533</v>
      </c>
      <c r="K2980" t="s">
        <v>115</v>
      </c>
      <c r="L2980" t="str">
        <f>_xlfn.XLOOKUP(C2980, Table2[Species],Table2[Genus], "Code Not Found")</f>
        <v>Acer</v>
      </c>
      <c r="M2980" t="str">
        <f>_xlfn.XLOOKUP(C2980, Table2[Species],Table2[Sp. Name], "Code Not Found")</f>
        <v>saccharum</v>
      </c>
      <c r="N2980" t="str">
        <f>_xlfn.XLOOKUP(C2980,Table2[Species],Table2[Family],"Code Not Found")</f>
        <v>Sapindaceae</v>
      </c>
      <c r="O2980" t="str" cm="1">
        <f t="array" ref="O2980">_xlfn.IFS(F2980="","",F2980&lt;=5,"0 to 5",F2980&lt;=10,"5.1 to 10",F2980&lt;=20,"10 to 20", F2980&lt;= 40, "20 to 40", F2980 &lt;= 50, "40 to 50", F2980 &gt; 50, "&gt;50" )</f>
        <v>10 to 20</v>
      </c>
    </row>
    <row r="2981" spans="1:15" ht="15" customHeight="1" x14ac:dyDescent="0.3">
      <c r="A2981" t="s">
        <v>593</v>
      </c>
      <c r="B2981" s="1">
        <v>46218</v>
      </c>
      <c r="C2981" t="s">
        <v>16</v>
      </c>
      <c r="D2981">
        <v>2783</v>
      </c>
      <c r="E2981">
        <v>1</v>
      </c>
      <c r="F2981">
        <v>4.5999999999999996</v>
      </c>
      <c r="G2981" t="s">
        <v>17</v>
      </c>
      <c r="I2981" t="str">
        <f t="shared" si="74"/>
        <v>2783_1</v>
      </c>
      <c r="J2981" t="s">
        <v>533</v>
      </c>
      <c r="K2981" t="s">
        <v>115</v>
      </c>
      <c r="L2981" t="str">
        <f>_xlfn.XLOOKUP(C2981, Table2[Species],Table2[Genus], "Code Not Found")</f>
        <v>Acer</v>
      </c>
      <c r="M2981" t="str">
        <f>_xlfn.XLOOKUP(C2981, Table2[Species],Table2[Sp. Name], "Code Not Found")</f>
        <v>saccharum</v>
      </c>
      <c r="N2981" t="str">
        <f>_xlfn.XLOOKUP(C2981,Table2[Species],Table2[Family],"Code Not Found")</f>
        <v>Sapindaceae</v>
      </c>
      <c r="O2981" t="str" cm="1">
        <f t="array" ref="O2981">_xlfn.IFS(F2981="","",F2981&lt;=5,"0 to 5",F2981&lt;=10,"5.1 to 10",F2981&lt;=20,"10 to 20", F2981&lt;= 40, "20 to 40", F2981 &lt;= 50, "40 to 50", F2981 &gt; 50, "&gt;50" )</f>
        <v>0 to 5</v>
      </c>
    </row>
    <row r="2982" spans="1:15" ht="15" customHeight="1" x14ac:dyDescent="0.3">
      <c r="A2982" t="s">
        <v>593</v>
      </c>
      <c r="B2982" s="1">
        <v>46218</v>
      </c>
      <c r="C2982" t="s">
        <v>16</v>
      </c>
      <c r="D2982">
        <v>2784</v>
      </c>
      <c r="E2982">
        <v>1</v>
      </c>
      <c r="F2982">
        <v>7.2</v>
      </c>
      <c r="G2982" t="s">
        <v>21</v>
      </c>
      <c r="I2982" t="str">
        <f t="shared" si="74"/>
        <v>2784_1</v>
      </c>
      <c r="J2982" t="s">
        <v>533</v>
      </c>
      <c r="K2982" t="s">
        <v>115</v>
      </c>
      <c r="L2982" t="str">
        <f>_xlfn.XLOOKUP(C2982, Table2[Species],Table2[Genus], "Code Not Found")</f>
        <v>Acer</v>
      </c>
      <c r="M2982" t="str">
        <f>_xlfn.XLOOKUP(C2982, Table2[Species],Table2[Sp. Name], "Code Not Found")</f>
        <v>saccharum</v>
      </c>
      <c r="N2982" t="str">
        <f>_xlfn.XLOOKUP(C2982,Table2[Species],Table2[Family],"Code Not Found")</f>
        <v>Sapindaceae</v>
      </c>
      <c r="O2982" t="str" cm="1">
        <f t="array" ref="O2982">_xlfn.IFS(F2982="","",F2982&lt;=5,"0 to 5",F2982&lt;=10,"5.1 to 10",F2982&lt;=20,"10 to 20", F2982&lt;= 40, "20 to 40", F2982 &lt;= 50, "40 to 50", F2982 &gt; 50, "&gt;50" )</f>
        <v>5.1 to 10</v>
      </c>
    </row>
    <row r="2983" spans="1:15" ht="15" customHeight="1" x14ac:dyDescent="0.3">
      <c r="A2983" t="s">
        <v>593</v>
      </c>
      <c r="B2983" s="1">
        <v>46218</v>
      </c>
      <c r="C2983" t="s">
        <v>16</v>
      </c>
      <c r="D2983">
        <v>2785</v>
      </c>
      <c r="E2983">
        <v>1</v>
      </c>
      <c r="F2983">
        <v>3.9</v>
      </c>
      <c r="G2983" t="s">
        <v>88</v>
      </c>
      <c r="H2983" t="s">
        <v>100</v>
      </c>
      <c r="I2983" t="str">
        <f t="shared" si="74"/>
        <v>2785_1</v>
      </c>
      <c r="J2983" t="s">
        <v>533</v>
      </c>
      <c r="K2983" t="s">
        <v>115</v>
      </c>
      <c r="L2983" t="str">
        <f>_xlfn.XLOOKUP(C2983, Table2[Species],Table2[Genus], "Code Not Found")</f>
        <v>Acer</v>
      </c>
      <c r="M2983" t="str">
        <f>_xlfn.XLOOKUP(C2983, Table2[Species],Table2[Sp. Name], "Code Not Found")</f>
        <v>saccharum</v>
      </c>
      <c r="N2983" t="str">
        <f>_xlfn.XLOOKUP(C2983,Table2[Species],Table2[Family],"Code Not Found")</f>
        <v>Sapindaceae</v>
      </c>
      <c r="O2983" t="str" cm="1">
        <f t="array" ref="O2983">_xlfn.IFS(F2983="","",F2983&lt;=5,"0 to 5",F2983&lt;=10,"5.1 to 10",F2983&lt;=20,"10 to 20", F2983&lt;= 40, "20 to 40", F2983 &lt;= 50, "40 to 50", F2983 &gt; 50, "&gt;50" )</f>
        <v>0 to 5</v>
      </c>
    </row>
    <row r="2984" spans="1:15" ht="15" customHeight="1" x14ac:dyDescent="0.3">
      <c r="A2984" t="s">
        <v>593</v>
      </c>
      <c r="B2984" s="1">
        <v>46218</v>
      </c>
      <c r="C2984" t="s">
        <v>22</v>
      </c>
      <c r="D2984">
        <v>2786</v>
      </c>
      <c r="E2984">
        <v>1</v>
      </c>
      <c r="F2984">
        <v>18</v>
      </c>
      <c r="G2984" t="s">
        <v>21</v>
      </c>
      <c r="I2984" t="str">
        <f t="shared" si="74"/>
        <v>2786_1</v>
      </c>
      <c r="J2984" t="s">
        <v>533</v>
      </c>
      <c r="K2984" t="s">
        <v>115</v>
      </c>
      <c r="L2984" t="str">
        <f>_xlfn.XLOOKUP(C2984, Table2[Species],Table2[Genus], "Code Not Found")</f>
        <v>Acer</v>
      </c>
      <c r="M2984" t="str">
        <f>_xlfn.XLOOKUP(C2984, Table2[Species],Table2[Sp. Name], "Code Not Found")</f>
        <v>rubrum</v>
      </c>
      <c r="N2984" t="str">
        <f>_xlfn.XLOOKUP(C2984,Table2[Species],Table2[Family],"Code Not Found")</f>
        <v>Sapindaceae</v>
      </c>
      <c r="O2984" t="str" cm="1">
        <f t="array" ref="O2984">_xlfn.IFS(F2984="","",F2984&lt;=5,"0 to 5",F2984&lt;=10,"5.1 to 10",F2984&lt;=20,"10 to 20", F2984&lt;= 40, "20 to 40", F2984 &lt;= 50, "40 to 50", F2984 &gt; 50, "&gt;50" )</f>
        <v>10 to 20</v>
      </c>
    </row>
    <row r="2985" spans="1:15" ht="15" customHeight="1" x14ac:dyDescent="0.3">
      <c r="A2985" t="s">
        <v>593</v>
      </c>
      <c r="B2985" s="1">
        <v>46218</v>
      </c>
      <c r="C2985" t="s">
        <v>16</v>
      </c>
      <c r="D2985">
        <v>2787</v>
      </c>
      <c r="E2985">
        <v>1</v>
      </c>
      <c r="F2985">
        <v>3.9</v>
      </c>
      <c r="G2985" t="s">
        <v>17</v>
      </c>
      <c r="I2985" t="str">
        <f t="shared" si="74"/>
        <v>2787_1</v>
      </c>
      <c r="J2985" t="s">
        <v>533</v>
      </c>
      <c r="K2985" t="s">
        <v>115</v>
      </c>
      <c r="L2985" t="str">
        <f>_xlfn.XLOOKUP(C2985, Table2[Species],Table2[Genus], "Code Not Found")</f>
        <v>Acer</v>
      </c>
      <c r="M2985" t="str">
        <f>_xlfn.XLOOKUP(C2985, Table2[Species],Table2[Sp. Name], "Code Not Found")</f>
        <v>saccharum</v>
      </c>
      <c r="N2985" t="str">
        <f>_xlfn.XLOOKUP(C2985,Table2[Species],Table2[Family],"Code Not Found")</f>
        <v>Sapindaceae</v>
      </c>
      <c r="O2985" t="str" cm="1">
        <f t="array" ref="O2985">_xlfn.IFS(F2985="","",F2985&lt;=5,"0 to 5",F2985&lt;=10,"5.1 to 10",F2985&lt;=20,"10 to 20", F2985&lt;= 40, "20 to 40", F2985 &lt;= 50, "40 to 50", F2985 &gt; 50, "&gt;50" )</f>
        <v>0 to 5</v>
      </c>
    </row>
    <row r="2986" spans="1:15" ht="15" customHeight="1" x14ac:dyDescent="0.3">
      <c r="A2986" t="s">
        <v>593</v>
      </c>
      <c r="B2986" s="1">
        <v>46218</v>
      </c>
      <c r="C2986" t="s">
        <v>22</v>
      </c>
      <c r="D2986">
        <v>2788</v>
      </c>
      <c r="E2986">
        <v>1</v>
      </c>
      <c r="F2986">
        <v>32.6</v>
      </c>
      <c r="G2986" t="s">
        <v>21</v>
      </c>
      <c r="I2986" t="str">
        <f t="shared" si="74"/>
        <v>2788_1</v>
      </c>
      <c r="J2986" t="s">
        <v>533</v>
      </c>
      <c r="K2986" t="s">
        <v>115</v>
      </c>
      <c r="L2986" t="str">
        <f>_xlfn.XLOOKUP(C2986, Table2[Species],Table2[Genus], "Code Not Found")</f>
        <v>Acer</v>
      </c>
      <c r="M2986" t="str">
        <f>_xlfn.XLOOKUP(C2986, Table2[Species],Table2[Sp. Name], "Code Not Found")</f>
        <v>rubrum</v>
      </c>
      <c r="N2986" t="str">
        <f>_xlfn.XLOOKUP(C2986,Table2[Species],Table2[Family],"Code Not Found")</f>
        <v>Sapindaceae</v>
      </c>
      <c r="O2986" t="str" cm="1">
        <f t="array" ref="O2986">_xlfn.IFS(F2986="","",F2986&lt;=5,"0 to 5",F2986&lt;=10,"5.1 to 10",F2986&lt;=20,"10 to 20", F2986&lt;= 40, "20 to 40", F2986 &lt;= 50, "40 to 50", F2986 &gt; 50, "&gt;50" )</f>
        <v>20 to 40</v>
      </c>
    </row>
    <row r="2987" spans="1:15" ht="15" customHeight="1" x14ac:dyDescent="0.3">
      <c r="A2987" t="s">
        <v>593</v>
      </c>
      <c r="B2987" s="1">
        <v>46218</v>
      </c>
      <c r="C2987" t="s">
        <v>16</v>
      </c>
      <c r="D2987">
        <v>2789</v>
      </c>
      <c r="E2987">
        <v>1</v>
      </c>
      <c r="F2987">
        <v>3.7</v>
      </c>
      <c r="G2987" t="s">
        <v>17</v>
      </c>
      <c r="I2987" t="str">
        <f t="shared" ref="I2987:I2993" si="75">D2987&amp;"_"&amp;E2987</f>
        <v>2789_1</v>
      </c>
      <c r="J2987" t="s">
        <v>533</v>
      </c>
      <c r="K2987" t="s">
        <v>115</v>
      </c>
      <c r="L2987" t="str">
        <f>_xlfn.XLOOKUP(C2987, Table2[Species],Table2[Genus], "Code Not Found")</f>
        <v>Acer</v>
      </c>
      <c r="M2987" t="str">
        <f>_xlfn.XLOOKUP(C2987, Table2[Species],Table2[Sp. Name], "Code Not Found")</f>
        <v>saccharum</v>
      </c>
      <c r="N2987" t="str">
        <f>_xlfn.XLOOKUP(C2987,Table2[Species],Table2[Family],"Code Not Found")</f>
        <v>Sapindaceae</v>
      </c>
      <c r="O2987" t="str" cm="1">
        <f t="array" ref="O2987">_xlfn.IFS(F2987="","",F2987&lt;=5,"0 to 5",F2987&lt;=10,"5.1 to 10",F2987&lt;=20,"10 to 20", F2987&lt;= 40, "20 to 40", F2987 &lt;= 50, "40 to 50", F2987 &gt; 50, "&gt;50" )</f>
        <v>0 to 5</v>
      </c>
    </row>
    <row r="2988" spans="1:15" ht="15" customHeight="1" x14ac:dyDescent="0.3">
      <c r="A2988" t="s">
        <v>593</v>
      </c>
      <c r="B2988" s="1">
        <v>46218</v>
      </c>
      <c r="C2988" t="s">
        <v>16</v>
      </c>
      <c r="D2988">
        <v>2790</v>
      </c>
      <c r="E2988">
        <v>1</v>
      </c>
      <c r="F2988">
        <v>2.8</v>
      </c>
      <c r="G2988" t="s">
        <v>21</v>
      </c>
      <c r="I2988" t="str">
        <f t="shared" si="75"/>
        <v>2790_1</v>
      </c>
      <c r="J2988" t="s">
        <v>533</v>
      </c>
      <c r="K2988" t="s">
        <v>115</v>
      </c>
      <c r="L2988" t="str">
        <f>_xlfn.XLOOKUP(C2988, Table2[Species],Table2[Genus], "Code Not Found")</f>
        <v>Acer</v>
      </c>
      <c r="M2988" t="str">
        <f>_xlfn.XLOOKUP(C2988, Table2[Species],Table2[Sp. Name], "Code Not Found")</f>
        <v>saccharum</v>
      </c>
      <c r="N2988" t="str">
        <f>_xlfn.XLOOKUP(C2988,Table2[Species],Table2[Family],"Code Not Found")</f>
        <v>Sapindaceae</v>
      </c>
      <c r="O2988" t="str" cm="1">
        <f t="array" ref="O2988">_xlfn.IFS(F2988="","",F2988&lt;=5,"0 to 5",F2988&lt;=10,"5.1 to 10",F2988&lt;=20,"10 to 20", F2988&lt;= 40, "20 to 40", F2988 &lt;= 50, "40 to 50", F2988 &gt; 50, "&gt;50" )</f>
        <v>0 to 5</v>
      </c>
    </row>
    <row r="2989" spans="1:15" ht="15" customHeight="1" x14ac:dyDescent="0.3">
      <c r="A2989" t="s">
        <v>593</v>
      </c>
      <c r="B2989" s="1">
        <v>46218</v>
      </c>
      <c r="C2989" t="s">
        <v>16</v>
      </c>
      <c r="D2989">
        <v>2791</v>
      </c>
      <c r="E2989">
        <v>1</v>
      </c>
      <c r="F2989">
        <v>2.1</v>
      </c>
      <c r="G2989" t="s">
        <v>17</v>
      </c>
      <c r="I2989" t="str">
        <f t="shared" si="75"/>
        <v>2791_1</v>
      </c>
      <c r="J2989" t="s">
        <v>533</v>
      </c>
      <c r="K2989" t="s">
        <v>115</v>
      </c>
      <c r="L2989" t="str">
        <f>_xlfn.XLOOKUP(C2989, Table2[Species],Table2[Genus], "Code Not Found")</f>
        <v>Acer</v>
      </c>
      <c r="M2989" t="str">
        <f>_xlfn.XLOOKUP(C2989, Table2[Species],Table2[Sp. Name], "Code Not Found")</f>
        <v>saccharum</v>
      </c>
      <c r="N2989" t="str">
        <f>_xlfn.XLOOKUP(C2989,Table2[Species],Table2[Family],"Code Not Found")</f>
        <v>Sapindaceae</v>
      </c>
      <c r="O2989" t="str" cm="1">
        <f t="array" ref="O2989">_xlfn.IFS(F2989="","",F2989&lt;=5,"0 to 5",F2989&lt;=10,"5.1 to 10",F2989&lt;=20,"10 to 20", F2989&lt;= 40, "20 to 40", F2989 &lt;= 50, "40 to 50", F2989 &gt; 50, "&gt;50" )</f>
        <v>0 to 5</v>
      </c>
    </row>
    <row r="2990" spans="1:15" ht="15" customHeight="1" x14ac:dyDescent="0.3">
      <c r="A2990" t="s">
        <v>593</v>
      </c>
      <c r="B2990" s="1">
        <v>46218</v>
      </c>
      <c r="C2990" t="s">
        <v>16</v>
      </c>
      <c r="D2990">
        <v>2792</v>
      </c>
      <c r="E2990">
        <v>1</v>
      </c>
      <c r="F2990">
        <v>2.2999999999999998</v>
      </c>
      <c r="G2990" t="s">
        <v>17</v>
      </c>
      <c r="I2990" t="str">
        <f t="shared" si="75"/>
        <v>2792_1</v>
      </c>
      <c r="J2990" t="s">
        <v>533</v>
      </c>
      <c r="K2990" t="s">
        <v>115</v>
      </c>
      <c r="L2990" t="str">
        <f>_xlfn.XLOOKUP(C2990, Table2[Species],Table2[Genus], "Code Not Found")</f>
        <v>Acer</v>
      </c>
      <c r="M2990" t="str">
        <f>_xlfn.XLOOKUP(C2990, Table2[Species],Table2[Sp. Name], "Code Not Found")</f>
        <v>saccharum</v>
      </c>
      <c r="N2990" t="str">
        <f>_xlfn.XLOOKUP(C2990,Table2[Species],Table2[Family],"Code Not Found")</f>
        <v>Sapindaceae</v>
      </c>
      <c r="O2990" t="str" cm="1">
        <f t="array" ref="O2990">_xlfn.IFS(F2990="","",F2990&lt;=5,"0 to 5",F2990&lt;=10,"5.1 to 10",F2990&lt;=20,"10 to 20", F2990&lt;= 40, "20 to 40", F2990 &lt;= 50, "40 to 50", F2990 &gt; 50, "&gt;50" )</f>
        <v>0 to 5</v>
      </c>
    </row>
    <row r="2991" spans="1:15" ht="15" customHeight="1" x14ac:dyDescent="0.3">
      <c r="A2991" t="s">
        <v>593</v>
      </c>
      <c r="B2991" s="1">
        <v>46218</v>
      </c>
      <c r="C2991" t="s">
        <v>64</v>
      </c>
      <c r="D2991">
        <v>2793</v>
      </c>
      <c r="E2991">
        <v>1</v>
      </c>
      <c r="F2991">
        <v>1.5</v>
      </c>
      <c r="G2991" t="s">
        <v>47</v>
      </c>
      <c r="H2991" t="s">
        <v>598</v>
      </c>
      <c r="I2991" t="str">
        <f t="shared" si="75"/>
        <v>2793_1</v>
      </c>
      <c r="J2991" t="s">
        <v>533</v>
      </c>
      <c r="K2991" t="s">
        <v>115</v>
      </c>
      <c r="L2991" t="str">
        <f>_xlfn.XLOOKUP(C2991, Table2[Species],Table2[Genus], "Code Not Found")</f>
        <v>Fagus</v>
      </c>
      <c r="M2991" t="str">
        <f>_xlfn.XLOOKUP(C2991, Table2[Species],Table2[Sp. Name], "Code Not Found")</f>
        <v>grandifolia</v>
      </c>
      <c r="N2991" t="str">
        <f>_xlfn.XLOOKUP(C2991,Table2[Species],Table2[Family],"Code Not Found")</f>
        <v>Fagaceae</v>
      </c>
      <c r="O2991" t="str" cm="1">
        <f t="array" ref="O2991">_xlfn.IFS(F2991="","",F2991&lt;=5,"0 to 5",F2991&lt;=10,"5.1 to 10",F2991&lt;=20,"10 to 20", F2991&lt;= 40, "20 to 40", F2991 &lt;= 50, "40 to 50", F2991 &gt; 50, "&gt;50" )</f>
        <v>0 to 5</v>
      </c>
    </row>
    <row r="2992" spans="1:15" ht="15" customHeight="1" x14ac:dyDescent="0.3">
      <c r="A2992" t="s">
        <v>593</v>
      </c>
      <c r="B2992" s="1">
        <v>46218</v>
      </c>
      <c r="C2992" t="s">
        <v>16</v>
      </c>
      <c r="D2992">
        <v>2794</v>
      </c>
      <c r="E2992">
        <v>1</v>
      </c>
      <c r="F2992">
        <v>7.3</v>
      </c>
      <c r="G2992" t="s">
        <v>56</v>
      </c>
      <c r="I2992" t="str">
        <f t="shared" si="75"/>
        <v>2794_1</v>
      </c>
      <c r="J2992" t="s">
        <v>533</v>
      </c>
      <c r="K2992" t="s">
        <v>115</v>
      </c>
      <c r="L2992" t="str">
        <f>_xlfn.XLOOKUP(C2992, Table2[Species],Table2[Genus], "Code Not Found")</f>
        <v>Acer</v>
      </c>
      <c r="M2992" t="str">
        <f>_xlfn.XLOOKUP(C2992, Table2[Species],Table2[Sp. Name], "Code Not Found")</f>
        <v>saccharum</v>
      </c>
      <c r="N2992" t="str">
        <f>_xlfn.XLOOKUP(C2992,Table2[Species],Table2[Family],"Code Not Found")</f>
        <v>Sapindaceae</v>
      </c>
      <c r="O2992" t="str" cm="1">
        <f t="array" ref="O2992">_xlfn.IFS(F2992="","",F2992&lt;=5,"0 to 5",F2992&lt;=10,"5.1 to 10",F2992&lt;=20,"10 to 20", F2992&lt;= 40, "20 to 40", F2992 &lt;= 50, "40 to 50", F2992 &gt; 50, "&gt;50" )</f>
        <v>5.1 to 10</v>
      </c>
    </row>
    <row r="2993" spans="1:15" ht="15" customHeight="1" x14ac:dyDescent="0.3">
      <c r="A2993" t="s">
        <v>593</v>
      </c>
      <c r="B2993" s="1">
        <v>46218</v>
      </c>
      <c r="C2993" t="s">
        <v>16</v>
      </c>
      <c r="D2993">
        <v>2795</v>
      </c>
      <c r="E2993">
        <v>1</v>
      </c>
      <c r="F2993">
        <v>5.2</v>
      </c>
      <c r="G2993" t="s">
        <v>17</v>
      </c>
      <c r="I2993" t="str">
        <f t="shared" si="75"/>
        <v>2795_1</v>
      </c>
      <c r="J2993" t="s">
        <v>533</v>
      </c>
      <c r="K2993" t="s">
        <v>115</v>
      </c>
      <c r="L2993" t="str">
        <f>_xlfn.XLOOKUP(C2993, Table2[Species],Table2[Genus], "Code Not Found")</f>
        <v>Acer</v>
      </c>
      <c r="M2993" t="str">
        <f>_xlfn.XLOOKUP(C2993, Table2[Species],Table2[Sp. Name], "Code Not Found")</f>
        <v>saccharum</v>
      </c>
      <c r="N2993" t="str">
        <f>_xlfn.XLOOKUP(C2993,Table2[Species],Table2[Family],"Code Not Found")</f>
        <v>Sapindaceae</v>
      </c>
      <c r="O2993" t="str" cm="1">
        <f t="array" ref="O2993">_xlfn.IFS(F2993="","",F2993&lt;=5,"0 to 5",F2993&lt;=10,"5.1 to 10",F2993&lt;=20,"10 to 20", F2993&lt;= 40, "20 to 40", F2993 &lt;= 50, "40 to 50", F2993 &gt; 50, "&gt;50" )</f>
        <v>5.1 to 10</v>
      </c>
    </row>
    <row r="2994" spans="1:15" ht="15" customHeight="1" x14ac:dyDescent="0.3">
      <c r="A2994" t="s">
        <v>593</v>
      </c>
      <c r="B2994" s="1">
        <v>46218</v>
      </c>
      <c r="C2994" t="s">
        <v>16</v>
      </c>
      <c r="D2994">
        <v>2796</v>
      </c>
      <c r="E2994">
        <v>1</v>
      </c>
      <c r="F2994">
        <v>6.4</v>
      </c>
      <c r="G2994" t="s">
        <v>21</v>
      </c>
      <c r="I2994" t="str">
        <f t="shared" ref="I2994:I3025" si="76">D2994&amp;"_"&amp;E2994</f>
        <v>2796_1</v>
      </c>
      <c r="J2994" t="s">
        <v>533</v>
      </c>
      <c r="K2994" t="s">
        <v>115</v>
      </c>
      <c r="L2994" t="str">
        <f>_xlfn.XLOOKUP(C2994, Table2[Species],Table2[Genus], "Code Not Found")</f>
        <v>Acer</v>
      </c>
      <c r="M2994" t="str">
        <f>_xlfn.XLOOKUP(C2994, Table2[Species],Table2[Sp. Name], "Code Not Found")</f>
        <v>saccharum</v>
      </c>
      <c r="N2994" t="str">
        <f>_xlfn.XLOOKUP(C2994,Table2[Species],Table2[Family],"Code Not Found")</f>
        <v>Sapindaceae</v>
      </c>
      <c r="O2994" t="str" cm="1">
        <f t="array" ref="O2994">_xlfn.IFS(F2994="","",F2994&lt;=5,"0 to 5",F2994&lt;=10,"5.1 to 10",F2994&lt;=20,"10 to 20", F2994&lt;= 40, "20 to 40", F2994 &lt;= 50, "40 to 50", F2994 &gt; 50, "&gt;50" )</f>
        <v>5.1 to 10</v>
      </c>
    </row>
    <row r="2995" spans="1:15" ht="15" customHeight="1" x14ac:dyDescent="0.3">
      <c r="A2995" t="s">
        <v>593</v>
      </c>
      <c r="B2995" s="1">
        <v>46218</v>
      </c>
      <c r="C2995" t="s">
        <v>16</v>
      </c>
      <c r="D2995">
        <v>2797</v>
      </c>
      <c r="E2995">
        <v>1</v>
      </c>
      <c r="F2995">
        <v>3.9</v>
      </c>
      <c r="G2995" t="s">
        <v>47</v>
      </c>
      <c r="H2995" t="s">
        <v>296</v>
      </c>
      <c r="I2995" t="str">
        <f t="shared" si="76"/>
        <v>2797_1</v>
      </c>
      <c r="J2995" t="s">
        <v>533</v>
      </c>
      <c r="K2995" t="s">
        <v>115</v>
      </c>
      <c r="L2995" t="str">
        <f>_xlfn.XLOOKUP(C2995, Table2[Species],Table2[Genus], "Code Not Found")</f>
        <v>Acer</v>
      </c>
      <c r="M2995" t="str">
        <f>_xlfn.XLOOKUP(C2995, Table2[Species],Table2[Sp. Name], "Code Not Found")</f>
        <v>saccharum</v>
      </c>
      <c r="N2995" t="str">
        <f>_xlfn.XLOOKUP(C2995,Table2[Species],Table2[Family],"Code Not Found")</f>
        <v>Sapindaceae</v>
      </c>
      <c r="O2995" t="str" cm="1">
        <f t="array" ref="O2995">_xlfn.IFS(F2995="","",F2995&lt;=5,"0 to 5",F2995&lt;=10,"5.1 to 10",F2995&lt;=20,"10 to 20", F2995&lt;= 40, "20 to 40", F2995 &lt;= 50, "40 to 50", F2995 &gt; 50, "&gt;50" )</f>
        <v>0 to 5</v>
      </c>
    </row>
    <row r="2996" spans="1:15" ht="15" customHeight="1" x14ac:dyDescent="0.3">
      <c r="A2996" t="s">
        <v>593</v>
      </c>
      <c r="B2996" s="1">
        <v>46218</v>
      </c>
      <c r="C2996" t="s">
        <v>16</v>
      </c>
      <c r="D2996">
        <v>2798</v>
      </c>
      <c r="E2996">
        <v>1</v>
      </c>
      <c r="F2996">
        <v>12.4</v>
      </c>
      <c r="G2996" t="s">
        <v>17</v>
      </c>
      <c r="I2996" t="str">
        <f t="shared" si="76"/>
        <v>2798_1</v>
      </c>
      <c r="J2996" t="s">
        <v>533</v>
      </c>
      <c r="K2996" t="s">
        <v>115</v>
      </c>
      <c r="L2996" t="str">
        <f>_xlfn.XLOOKUP(C2996, Table2[Species],Table2[Genus], "Code Not Found")</f>
        <v>Acer</v>
      </c>
      <c r="M2996" t="str">
        <f>_xlfn.XLOOKUP(C2996, Table2[Species],Table2[Sp. Name], "Code Not Found")</f>
        <v>saccharum</v>
      </c>
      <c r="N2996" t="str">
        <f>_xlfn.XLOOKUP(C2996,Table2[Species],Table2[Family],"Code Not Found")</f>
        <v>Sapindaceae</v>
      </c>
      <c r="O2996" t="str" cm="1">
        <f t="array" ref="O2996">_xlfn.IFS(F2996="","",F2996&lt;=5,"0 to 5",F2996&lt;=10,"5.1 to 10",F2996&lt;=20,"10 to 20", F2996&lt;= 40, "20 to 40", F2996 &lt;= 50, "40 to 50", F2996 &gt; 50, "&gt;50" )</f>
        <v>10 to 20</v>
      </c>
    </row>
    <row r="2997" spans="1:15" ht="15" customHeight="1" x14ac:dyDescent="0.3">
      <c r="A2997" t="s">
        <v>593</v>
      </c>
      <c r="B2997" s="1">
        <v>46218</v>
      </c>
      <c r="C2997" t="s">
        <v>16</v>
      </c>
      <c r="D2997">
        <v>2799</v>
      </c>
      <c r="E2997">
        <v>1</v>
      </c>
      <c r="F2997">
        <v>60.8</v>
      </c>
      <c r="G2997" t="s">
        <v>17</v>
      </c>
      <c r="I2997" t="str">
        <f t="shared" si="76"/>
        <v>2799_1</v>
      </c>
      <c r="J2997" t="s">
        <v>533</v>
      </c>
      <c r="K2997" t="s">
        <v>115</v>
      </c>
      <c r="L2997" t="str">
        <f>_xlfn.XLOOKUP(C2997, Table2[Species],Table2[Genus], "Code Not Found")</f>
        <v>Acer</v>
      </c>
      <c r="M2997" t="str">
        <f>_xlfn.XLOOKUP(C2997, Table2[Species],Table2[Sp. Name], "Code Not Found")</f>
        <v>saccharum</v>
      </c>
      <c r="N2997" t="str">
        <f>_xlfn.XLOOKUP(C2997,Table2[Species],Table2[Family],"Code Not Found")</f>
        <v>Sapindaceae</v>
      </c>
      <c r="O2997" t="str" cm="1">
        <f t="array" ref="O2997">_xlfn.IFS(F2997="","",F2997&lt;=5,"0 to 5",F2997&lt;=10,"5.1 to 10",F2997&lt;=20,"10 to 20", F2997&lt;= 40, "20 to 40", F2997 &lt;= 50, "40 to 50", F2997 &gt; 50, "&gt;50" )</f>
        <v>&gt;50</v>
      </c>
    </row>
    <row r="2998" spans="1:15" ht="15" customHeight="1" x14ac:dyDescent="0.3">
      <c r="A2998" t="s">
        <v>593</v>
      </c>
      <c r="B2998" s="1">
        <v>46218</v>
      </c>
      <c r="C2998" t="s">
        <v>16</v>
      </c>
      <c r="D2998">
        <v>2800</v>
      </c>
      <c r="E2998">
        <v>1</v>
      </c>
      <c r="F2998">
        <v>10.3</v>
      </c>
      <c r="G2998" t="s">
        <v>21</v>
      </c>
      <c r="I2998" t="str">
        <f t="shared" si="76"/>
        <v>2800_1</v>
      </c>
      <c r="J2998" t="s">
        <v>533</v>
      </c>
      <c r="K2998" t="s">
        <v>115</v>
      </c>
      <c r="L2998" t="str">
        <f>_xlfn.XLOOKUP(C2998, Table2[Species],Table2[Genus], "Code Not Found")</f>
        <v>Acer</v>
      </c>
      <c r="M2998" t="str">
        <f>_xlfn.XLOOKUP(C2998, Table2[Species],Table2[Sp. Name], "Code Not Found")</f>
        <v>saccharum</v>
      </c>
      <c r="N2998" t="str">
        <f>_xlfn.XLOOKUP(C2998,Table2[Species],Table2[Family],"Code Not Found")</f>
        <v>Sapindaceae</v>
      </c>
      <c r="O2998" t="str" cm="1">
        <f t="array" ref="O2998">_xlfn.IFS(F2998="","",F2998&lt;=5,"0 to 5",F2998&lt;=10,"5.1 to 10",F2998&lt;=20,"10 to 20", F2998&lt;= 40, "20 to 40", F2998 &lt;= 50, "40 to 50", F2998 &gt; 50, "&gt;50" )</f>
        <v>10 to 20</v>
      </c>
    </row>
    <row r="2999" spans="1:15" ht="15" customHeight="1" x14ac:dyDescent="0.3">
      <c r="A2999" t="s">
        <v>593</v>
      </c>
      <c r="B2999" s="1">
        <v>46218</v>
      </c>
      <c r="C2999" t="s">
        <v>16</v>
      </c>
      <c r="D2999">
        <v>2801</v>
      </c>
      <c r="E2999">
        <v>1</v>
      </c>
      <c r="F2999">
        <v>6.8</v>
      </c>
      <c r="G2999" t="s">
        <v>17</v>
      </c>
      <c r="I2999" t="str">
        <f t="shared" si="76"/>
        <v>2801_1</v>
      </c>
      <c r="J2999" t="s">
        <v>533</v>
      </c>
      <c r="K2999" t="s">
        <v>115</v>
      </c>
      <c r="L2999" t="str">
        <f>_xlfn.XLOOKUP(C2999, Table2[Species],Table2[Genus], "Code Not Found")</f>
        <v>Acer</v>
      </c>
      <c r="M2999" t="str">
        <f>_xlfn.XLOOKUP(C2999, Table2[Species],Table2[Sp. Name], "Code Not Found")</f>
        <v>saccharum</v>
      </c>
      <c r="N2999" t="str">
        <f>_xlfn.XLOOKUP(C2999,Table2[Species],Table2[Family],"Code Not Found")</f>
        <v>Sapindaceae</v>
      </c>
      <c r="O2999" t="str" cm="1">
        <f t="array" ref="O2999">_xlfn.IFS(F2999="","",F2999&lt;=5,"0 to 5",F2999&lt;=10,"5.1 to 10",F2999&lt;=20,"10 to 20", F2999&lt;= 40, "20 to 40", F2999 &lt;= 50, "40 to 50", F2999 &gt; 50, "&gt;50" )</f>
        <v>5.1 to 10</v>
      </c>
    </row>
    <row r="3000" spans="1:15" ht="15" customHeight="1" x14ac:dyDescent="0.3">
      <c r="A3000" t="s">
        <v>593</v>
      </c>
      <c r="B3000" s="1">
        <v>46218</v>
      </c>
      <c r="C3000" t="s">
        <v>16</v>
      </c>
      <c r="D3000">
        <v>2802</v>
      </c>
      <c r="E3000">
        <v>1</v>
      </c>
      <c r="F3000">
        <v>6.6</v>
      </c>
      <c r="G3000" t="s">
        <v>47</v>
      </c>
      <c r="H3000" t="s">
        <v>357</v>
      </c>
      <c r="I3000" t="str">
        <f t="shared" si="76"/>
        <v>2802_1</v>
      </c>
      <c r="J3000" t="s">
        <v>533</v>
      </c>
      <c r="K3000" t="s">
        <v>115</v>
      </c>
      <c r="L3000" t="str">
        <f>_xlfn.XLOOKUP(C3000, Table2[Species],Table2[Genus], "Code Not Found")</f>
        <v>Acer</v>
      </c>
      <c r="M3000" t="str">
        <f>_xlfn.XLOOKUP(C3000, Table2[Species],Table2[Sp. Name], "Code Not Found")</f>
        <v>saccharum</v>
      </c>
      <c r="N3000" t="str">
        <f>_xlfn.XLOOKUP(C3000,Table2[Species],Table2[Family],"Code Not Found")</f>
        <v>Sapindaceae</v>
      </c>
      <c r="O3000" t="str" cm="1">
        <f t="array" ref="O3000">_xlfn.IFS(F3000="","",F3000&lt;=5,"0 to 5",F3000&lt;=10,"5.1 to 10",F3000&lt;=20,"10 to 20", F3000&lt;= 40, "20 to 40", F3000 &lt;= 50, "40 to 50", F3000 &gt; 50, "&gt;50" )</f>
        <v>5.1 to 10</v>
      </c>
    </row>
    <row r="3001" spans="1:15" ht="15" customHeight="1" x14ac:dyDescent="0.3">
      <c r="A3001" t="s">
        <v>593</v>
      </c>
      <c r="B3001" s="1">
        <v>46218</v>
      </c>
      <c r="C3001" t="s">
        <v>16</v>
      </c>
      <c r="D3001">
        <v>2803</v>
      </c>
      <c r="E3001">
        <v>1</v>
      </c>
      <c r="F3001">
        <v>2.5</v>
      </c>
      <c r="G3001" t="s">
        <v>599</v>
      </c>
      <c r="H3001" t="s">
        <v>600</v>
      </c>
      <c r="I3001" t="str">
        <f t="shared" si="76"/>
        <v>2803_1</v>
      </c>
      <c r="J3001" t="s">
        <v>533</v>
      </c>
      <c r="K3001" t="s">
        <v>115</v>
      </c>
      <c r="L3001" t="str">
        <f>_xlfn.XLOOKUP(C3001, Table2[Species],Table2[Genus], "Code Not Found")</f>
        <v>Acer</v>
      </c>
      <c r="M3001" t="str">
        <f>_xlfn.XLOOKUP(C3001, Table2[Species],Table2[Sp. Name], "Code Not Found")</f>
        <v>saccharum</v>
      </c>
      <c r="N3001" t="str">
        <f>_xlfn.XLOOKUP(C3001,Table2[Species],Table2[Family],"Code Not Found")</f>
        <v>Sapindaceae</v>
      </c>
      <c r="O3001" t="str" cm="1">
        <f t="array" ref="O3001">_xlfn.IFS(F3001="","",F3001&lt;=5,"0 to 5",F3001&lt;=10,"5.1 to 10",F3001&lt;=20,"10 to 20", F3001&lt;= 40, "20 to 40", F3001 &lt;= 50, "40 to 50", F3001 &gt; 50, "&gt;50" )</f>
        <v>0 to 5</v>
      </c>
    </row>
    <row r="3002" spans="1:15" ht="15" customHeight="1" x14ac:dyDescent="0.3">
      <c r="A3002" t="s">
        <v>593</v>
      </c>
      <c r="B3002" s="1">
        <v>46218</v>
      </c>
      <c r="C3002" t="s">
        <v>16</v>
      </c>
      <c r="D3002">
        <v>2804</v>
      </c>
      <c r="E3002">
        <v>1</v>
      </c>
      <c r="F3002">
        <v>1.3</v>
      </c>
      <c r="G3002" t="s">
        <v>21</v>
      </c>
      <c r="I3002" t="str">
        <f t="shared" si="76"/>
        <v>2804_1</v>
      </c>
      <c r="J3002" t="s">
        <v>533</v>
      </c>
      <c r="K3002" t="s">
        <v>115</v>
      </c>
      <c r="L3002" t="str">
        <f>_xlfn.XLOOKUP(C3002, Table2[Species],Table2[Genus], "Code Not Found")</f>
        <v>Acer</v>
      </c>
      <c r="M3002" t="str">
        <f>_xlfn.XLOOKUP(C3002, Table2[Species],Table2[Sp. Name], "Code Not Found")</f>
        <v>saccharum</v>
      </c>
      <c r="N3002" t="str">
        <f>_xlfn.XLOOKUP(C3002,Table2[Species],Table2[Family],"Code Not Found")</f>
        <v>Sapindaceae</v>
      </c>
      <c r="O3002" t="str" cm="1">
        <f t="array" ref="O3002">_xlfn.IFS(F3002="","",F3002&lt;=5,"0 to 5",F3002&lt;=10,"5.1 to 10",F3002&lt;=20,"10 to 20", F3002&lt;= 40, "20 to 40", F3002 &lt;= 50, "40 to 50", F3002 &gt; 50, "&gt;50" )</f>
        <v>0 to 5</v>
      </c>
    </row>
    <row r="3003" spans="1:15" ht="15" customHeight="1" x14ac:dyDescent="0.3">
      <c r="A3003" t="s">
        <v>593</v>
      </c>
      <c r="B3003" s="1">
        <v>46218</v>
      </c>
      <c r="C3003" t="s">
        <v>16</v>
      </c>
      <c r="D3003">
        <v>2805</v>
      </c>
      <c r="E3003">
        <v>1</v>
      </c>
      <c r="F3003">
        <v>6</v>
      </c>
      <c r="G3003" t="s">
        <v>17</v>
      </c>
      <c r="I3003" t="str">
        <f t="shared" si="76"/>
        <v>2805_1</v>
      </c>
      <c r="J3003" t="s">
        <v>533</v>
      </c>
      <c r="K3003" t="s">
        <v>115</v>
      </c>
      <c r="L3003" t="str">
        <f>_xlfn.XLOOKUP(C3003, Table2[Species],Table2[Genus], "Code Not Found")</f>
        <v>Acer</v>
      </c>
      <c r="M3003" t="str">
        <f>_xlfn.XLOOKUP(C3003, Table2[Species],Table2[Sp. Name], "Code Not Found")</f>
        <v>saccharum</v>
      </c>
      <c r="N3003" t="str">
        <f>_xlfn.XLOOKUP(C3003,Table2[Species],Table2[Family],"Code Not Found")</f>
        <v>Sapindaceae</v>
      </c>
      <c r="O3003" t="str" cm="1">
        <f t="array" ref="O3003">_xlfn.IFS(F3003="","",F3003&lt;=5,"0 to 5",F3003&lt;=10,"5.1 to 10",F3003&lt;=20,"10 to 20", F3003&lt;= 40, "20 to 40", F3003 &lt;= 50, "40 to 50", F3003 &gt; 50, "&gt;50" )</f>
        <v>5.1 to 10</v>
      </c>
    </row>
    <row r="3004" spans="1:15" ht="15" customHeight="1" x14ac:dyDescent="0.3">
      <c r="A3004" t="s">
        <v>593</v>
      </c>
      <c r="B3004" s="1">
        <v>46218</v>
      </c>
      <c r="C3004" t="s">
        <v>16</v>
      </c>
      <c r="D3004">
        <v>2806</v>
      </c>
      <c r="E3004">
        <v>1</v>
      </c>
      <c r="F3004">
        <v>12.1</v>
      </c>
      <c r="G3004" t="s">
        <v>21</v>
      </c>
      <c r="I3004" t="str">
        <f t="shared" si="76"/>
        <v>2806_1</v>
      </c>
      <c r="J3004" t="s">
        <v>533</v>
      </c>
      <c r="K3004" t="s">
        <v>115</v>
      </c>
      <c r="L3004" t="str">
        <f>_xlfn.XLOOKUP(C3004, Table2[Species],Table2[Genus], "Code Not Found")</f>
        <v>Acer</v>
      </c>
      <c r="M3004" t="str">
        <f>_xlfn.XLOOKUP(C3004, Table2[Species],Table2[Sp. Name], "Code Not Found")</f>
        <v>saccharum</v>
      </c>
      <c r="N3004" t="str">
        <f>_xlfn.XLOOKUP(C3004,Table2[Species],Table2[Family],"Code Not Found")</f>
        <v>Sapindaceae</v>
      </c>
      <c r="O3004" t="str" cm="1">
        <f t="array" ref="O3004">_xlfn.IFS(F3004="","",F3004&lt;=5,"0 to 5",F3004&lt;=10,"5.1 to 10",F3004&lt;=20,"10 to 20", F3004&lt;= 40, "20 to 40", F3004 &lt;= 50, "40 to 50", F3004 &gt; 50, "&gt;50" )</f>
        <v>10 to 20</v>
      </c>
    </row>
    <row r="3005" spans="1:15" ht="15" customHeight="1" x14ac:dyDescent="0.3">
      <c r="A3005" t="s">
        <v>593</v>
      </c>
      <c r="B3005" s="1">
        <v>46218</v>
      </c>
      <c r="C3005" t="s">
        <v>16</v>
      </c>
      <c r="D3005">
        <v>2807</v>
      </c>
      <c r="E3005">
        <v>1</v>
      </c>
      <c r="F3005">
        <v>2.5</v>
      </c>
      <c r="G3005" t="s">
        <v>17</v>
      </c>
      <c r="H3005" t="s">
        <v>36</v>
      </c>
      <c r="I3005" t="str">
        <f t="shared" si="76"/>
        <v>2807_1</v>
      </c>
      <c r="J3005" t="s">
        <v>533</v>
      </c>
      <c r="K3005" t="s">
        <v>115</v>
      </c>
      <c r="L3005" t="str">
        <f>_xlfn.XLOOKUP(C3005, Table2[Species],Table2[Genus], "Code Not Found")</f>
        <v>Acer</v>
      </c>
      <c r="M3005" t="str">
        <f>_xlfn.XLOOKUP(C3005, Table2[Species],Table2[Sp. Name], "Code Not Found")</f>
        <v>saccharum</v>
      </c>
      <c r="N3005" t="str">
        <f>_xlfn.XLOOKUP(C3005,Table2[Species],Table2[Family],"Code Not Found")</f>
        <v>Sapindaceae</v>
      </c>
      <c r="O3005" t="str" cm="1">
        <f t="array" ref="O3005">_xlfn.IFS(F3005="","",F3005&lt;=5,"0 to 5",F3005&lt;=10,"5.1 to 10",F3005&lt;=20,"10 to 20", F3005&lt;= 40, "20 to 40", F3005 &lt;= 50, "40 to 50", F3005 &gt; 50, "&gt;50" )</f>
        <v>0 to 5</v>
      </c>
    </row>
    <row r="3006" spans="1:15" ht="15" customHeight="1" x14ac:dyDescent="0.3">
      <c r="A3006" t="s">
        <v>593</v>
      </c>
      <c r="B3006" s="1">
        <v>46218</v>
      </c>
      <c r="C3006" t="s">
        <v>16</v>
      </c>
      <c r="D3006">
        <v>2808</v>
      </c>
      <c r="E3006">
        <v>1</v>
      </c>
      <c r="F3006">
        <v>4.2</v>
      </c>
      <c r="G3006" t="s">
        <v>17</v>
      </c>
      <c r="H3006" t="s">
        <v>36</v>
      </c>
      <c r="I3006" t="str">
        <f t="shared" si="76"/>
        <v>2808_1</v>
      </c>
      <c r="J3006" t="s">
        <v>533</v>
      </c>
      <c r="K3006" t="s">
        <v>115</v>
      </c>
      <c r="L3006" t="str">
        <f>_xlfn.XLOOKUP(C3006, Table2[Species],Table2[Genus], "Code Not Found")</f>
        <v>Acer</v>
      </c>
      <c r="M3006" t="str">
        <f>_xlfn.XLOOKUP(C3006, Table2[Species],Table2[Sp. Name], "Code Not Found")</f>
        <v>saccharum</v>
      </c>
      <c r="N3006" t="str">
        <f>_xlfn.XLOOKUP(C3006,Table2[Species],Table2[Family],"Code Not Found")</f>
        <v>Sapindaceae</v>
      </c>
      <c r="O3006" t="str" cm="1">
        <f t="array" ref="O3006">_xlfn.IFS(F3006="","",F3006&lt;=5,"0 to 5",F3006&lt;=10,"5.1 to 10",F3006&lt;=20,"10 to 20", F3006&lt;= 40, "20 to 40", F3006 &lt;= 50, "40 to 50", F3006 &gt; 50, "&gt;50" )</f>
        <v>0 to 5</v>
      </c>
    </row>
    <row r="3007" spans="1:15" ht="15" customHeight="1" x14ac:dyDescent="0.3">
      <c r="A3007" t="s">
        <v>593</v>
      </c>
      <c r="B3007" s="1">
        <v>46218</v>
      </c>
      <c r="C3007" t="s">
        <v>16</v>
      </c>
      <c r="D3007">
        <v>2809</v>
      </c>
      <c r="E3007">
        <v>1</v>
      </c>
      <c r="F3007">
        <v>19.100000000000001</v>
      </c>
      <c r="G3007" t="s">
        <v>21</v>
      </c>
      <c r="I3007" t="str">
        <f t="shared" si="76"/>
        <v>2809_1</v>
      </c>
      <c r="J3007" t="s">
        <v>533</v>
      </c>
      <c r="K3007" t="s">
        <v>115</v>
      </c>
      <c r="L3007" t="str">
        <f>_xlfn.XLOOKUP(C3007, Table2[Species],Table2[Genus], "Code Not Found")</f>
        <v>Acer</v>
      </c>
      <c r="M3007" t="str">
        <f>_xlfn.XLOOKUP(C3007, Table2[Species],Table2[Sp. Name], "Code Not Found")</f>
        <v>saccharum</v>
      </c>
      <c r="N3007" t="str">
        <f>_xlfn.XLOOKUP(C3007,Table2[Species],Table2[Family],"Code Not Found")</f>
        <v>Sapindaceae</v>
      </c>
      <c r="O3007" t="str" cm="1">
        <f t="array" ref="O3007">_xlfn.IFS(F3007="","",F3007&lt;=5,"0 to 5",F3007&lt;=10,"5.1 to 10",F3007&lt;=20,"10 to 20", F3007&lt;= 40, "20 to 40", F3007 &lt;= 50, "40 to 50", F3007 &gt; 50, "&gt;50" )</f>
        <v>10 to 20</v>
      </c>
    </row>
    <row r="3008" spans="1:15" ht="15" customHeight="1" x14ac:dyDescent="0.3">
      <c r="A3008" t="s">
        <v>593</v>
      </c>
      <c r="B3008" s="1">
        <v>46218</v>
      </c>
      <c r="C3008" t="s">
        <v>16</v>
      </c>
      <c r="D3008">
        <v>2810</v>
      </c>
      <c r="E3008">
        <v>1</v>
      </c>
      <c r="F3008">
        <v>5.2</v>
      </c>
      <c r="G3008" t="s">
        <v>17</v>
      </c>
      <c r="I3008" t="str">
        <f t="shared" si="76"/>
        <v>2810_1</v>
      </c>
      <c r="J3008" t="s">
        <v>533</v>
      </c>
      <c r="K3008" t="s">
        <v>115</v>
      </c>
      <c r="L3008" t="str">
        <f>_xlfn.XLOOKUP(C3008, Table2[Species],Table2[Genus], "Code Not Found")</f>
        <v>Acer</v>
      </c>
      <c r="M3008" t="str">
        <f>_xlfn.XLOOKUP(C3008, Table2[Species],Table2[Sp. Name], "Code Not Found")</f>
        <v>saccharum</v>
      </c>
      <c r="N3008" t="str">
        <f>_xlfn.XLOOKUP(C3008,Table2[Species],Table2[Family],"Code Not Found")</f>
        <v>Sapindaceae</v>
      </c>
      <c r="O3008" t="str" cm="1">
        <f t="array" ref="O3008">_xlfn.IFS(F3008="","",F3008&lt;=5,"0 to 5",F3008&lt;=10,"5.1 to 10",F3008&lt;=20,"10 to 20", F3008&lt;= 40, "20 to 40", F3008 &lt;= 50, "40 to 50", F3008 &gt; 50, "&gt;50" )</f>
        <v>5.1 to 10</v>
      </c>
    </row>
    <row r="3009" spans="1:15" ht="15" customHeight="1" x14ac:dyDescent="0.3">
      <c r="A3009" t="s">
        <v>593</v>
      </c>
      <c r="B3009" s="1">
        <v>46218</v>
      </c>
      <c r="C3009" t="s">
        <v>16</v>
      </c>
      <c r="D3009">
        <v>2811</v>
      </c>
      <c r="E3009">
        <v>1</v>
      </c>
      <c r="F3009">
        <v>7</v>
      </c>
      <c r="G3009" t="s">
        <v>505</v>
      </c>
      <c r="H3009" t="s">
        <v>601</v>
      </c>
      <c r="I3009" t="str">
        <f t="shared" si="76"/>
        <v>2811_1</v>
      </c>
      <c r="J3009" t="s">
        <v>533</v>
      </c>
      <c r="K3009" t="s">
        <v>115</v>
      </c>
      <c r="L3009" t="str">
        <f>_xlfn.XLOOKUP(C3009, Table2[Species],Table2[Genus], "Code Not Found")</f>
        <v>Acer</v>
      </c>
      <c r="M3009" t="str">
        <f>_xlfn.XLOOKUP(C3009, Table2[Species],Table2[Sp. Name], "Code Not Found")</f>
        <v>saccharum</v>
      </c>
      <c r="N3009" t="str">
        <f>_xlfn.XLOOKUP(C3009,Table2[Species],Table2[Family],"Code Not Found")</f>
        <v>Sapindaceae</v>
      </c>
      <c r="O3009" t="str" cm="1">
        <f t="array" ref="O3009">_xlfn.IFS(F3009="","",F3009&lt;=5,"0 to 5",F3009&lt;=10,"5.1 to 10",F3009&lt;=20,"10 to 20", F3009&lt;= 40, "20 to 40", F3009 &lt;= 50, "40 to 50", F3009 &gt; 50, "&gt;50" )</f>
        <v>5.1 to 10</v>
      </c>
    </row>
    <row r="3010" spans="1:15" ht="15" customHeight="1" x14ac:dyDescent="0.3">
      <c r="A3010" t="s">
        <v>593</v>
      </c>
      <c r="B3010" s="1">
        <v>46218</v>
      </c>
      <c r="C3010" t="s">
        <v>16</v>
      </c>
      <c r="D3010">
        <v>2812</v>
      </c>
      <c r="E3010">
        <v>1</v>
      </c>
      <c r="F3010">
        <v>11.6</v>
      </c>
      <c r="G3010" t="s">
        <v>21</v>
      </c>
      <c r="I3010" t="str">
        <f t="shared" si="76"/>
        <v>2812_1</v>
      </c>
      <c r="J3010" t="s">
        <v>533</v>
      </c>
      <c r="K3010" t="s">
        <v>115</v>
      </c>
      <c r="L3010" t="str">
        <f>_xlfn.XLOOKUP(C3010, Table2[Species],Table2[Genus], "Code Not Found")</f>
        <v>Acer</v>
      </c>
      <c r="M3010" t="str">
        <f>_xlfn.XLOOKUP(C3010, Table2[Species],Table2[Sp. Name], "Code Not Found")</f>
        <v>saccharum</v>
      </c>
      <c r="N3010" t="str">
        <f>_xlfn.XLOOKUP(C3010,Table2[Species],Table2[Family],"Code Not Found")</f>
        <v>Sapindaceae</v>
      </c>
      <c r="O3010" t="str" cm="1">
        <f t="array" ref="O3010">_xlfn.IFS(F3010="","",F3010&lt;=5,"0 to 5",F3010&lt;=10,"5.1 to 10",F3010&lt;=20,"10 to 20", F3010&lt;= 40, "20 to 40", F3010 &lt;= 50, "40 to 50", F3010 &gt; 50, "&gt;50" )</f>
        <v>10 to 20</v>
      </c>
    </row>
    <row r="3011" spans="1:15" ht="15" customHeight="1" x14ac:dyDescent="0.3">
      <c r="A3011" t="s">
        <v>593</v>
      </c>
      <c r="B3011" s="1">
        <v>46218</v>
      </c>
      <c r="C3011" t="s">
        <v>16</v>
      </c>
      <c r="D3011">
        <v>2813</v>
      </c>
      <c r="E3011">
        <v>1</v>
      </c>
      <c r="F3011">
        <v>7.3</v>
      </c>
      <c r="G3011" t="s">
        <v>17</v>
      </c>
      <c r="H3011" t="s">
        <v>36</v>
      </c>
      <c r="I3011" t="str">
        <f t="shared" si="76"/>
        <v>2813_1</v>
      </c>
      <c r="J3011" t="s">
        <v>533</v>
      </c>
      <c r="K3011" t="s">
        <v>115</v>
      </c>
      <c r="L3011" t="str">
        <f>_xlfn.XLOOKUP(C3011, Table2[Species],Table2[Genus], "Code Not Found")</f>
        <v>Acer</v>
      </c>
      <c r="M3011" t="str">
        <f>_xlfn.XLOOKUP(C3011, Table2[Species],Table2[Sp. Name], "Code Not Found")</f>
        <v>saccharum</v>
      </c>
      <c r="N3011" t="str">
        <f>_xlfn.XLOOKUP(C3011,Table2[Species],Table2[Family],"Code Not Found")</f>
        <v>Sapindaceae</v>
      </c>
      <c r="O3011" t="str" cm="1">
        <f t="array" ref="O3011">_xlfn.IFS(F3011="","",F3011&lt;=5,"0 to 5",F3011&lt;=10,"5.1 to 10",F3011&lt;=20,"10 to 20", F3011&lt;= 40, "20 to 40", F3011 &lt;= 50, "40 to 50", F3011 &gt; 50, "&gt;50" )</f>
        <v>5.1 to 10</v>
      </c>
    </row>
    <row r="3012" spans="1:15" ht="15" customHeight="1" x14ac:dyDescent="0.3">
      <c r="A3012" t="s">
        <v>593</v>
      </c>
      <c r="B3012" s="1">
        <v>46218</v>
      </c>
      <c r="C3012" t="s">
        <v>16</v>
      </c>
      <c r="D3012">
        <v>2814</v>
      </c>
      <c r="E3012">
        <v>1</v>
      </c>
      <c r="F3012">
        <v>9.6</v>
      </c>
      <c r="G3012" t="s">
        <v>21</v>
      </c>
      <c r="I3012" t="str">
        <f t="shared" si="76"/>
        <v>2814_1</v>
      </c>
      <c r="J3012" t="s">
        <v>533</v>
      </c>
      <c r="K3012" t="s">
        <v>115</v>
      </c>
      <c r="L3012" t="str">
        <f>_xlfn.XLOOKUP(C3012, Table2[Species],Table2[Genus], "Code Not Found")</f>
        <v>Acer</v>
      </c>
      <c r="M3012" t="str">
        <f>_xlfn.XLOOKUP(C3012, Table2[Species],Table2[Sp. Name], "Code Not Found")</f>
        <v>saccharum</v>
      </c>
      <c r="N3012" t="str">
        <f>_xlfn.XLOOKUP(C3012,Table2[Species],Table2[Family],"Code Not Found")</f>
        <v>Sapindaceae</v>
      </c>
      <c r="O3012" t="str" cm="1">
        <f t="array" ref="O3012">_xlfn.IFS(F3012="","",F3012&lt;=5,"0 to 5",F3012&lt;=10,"5.1 to 10",F3012&lt;=20,"10 to 20", F3012&lt;= 40, "20 to 40", F3012 &lt;= 50, "40 to 50", F3012 &gt; 50, "&gt;50" )</f>
        <v>5.1 to 10</v>
      </c>
    </row>
    <row r="3013" spans="1:15" ht="15" customHeight="1" x14ac:dyDescent="0.3">
      <c r="A3013" t="s">
        <v>593</v>
      </c>
      <c r="B3013" s="1">
        <v>46218</v>
      </c>
      <c r="C3013" t="s">
        <v>16</v>
      </c>
      <c r="D3013">
        <v>2815</v>
      </c>
      <c r="E3013">
        <v>1</v>
      </c>
      <c r="F3013">
        <v>45.3</v>
      </c>
      <c r="G3013" t="s">
        <v>17</v>
      </c>
      <c r="I3013" t="str">
        <f t="shared" si="76"/>
        <v>2815_1</v>
      </c>
      <c r="J3013" t="s">
        <v>533</v>
      </c>
      <c r="K3013" t="s">
        <v>115</v>
      </c>
      <c r="L3013" t="str">
        <f>_xlfn.XLOOKUP(C3013, Table2[Species],Table2[Genus], "Code Not Found")</f>
        <v>Acer</v>
      </c>
      <c r="M3013" t="str">
        <f>_xlfn.XLOOKUP(C3013, Table2[Species],Table2[Sp. Name], "Code Not Found")</f>
        <v>saccharum</v>
      </c>
      <c r="N3013" t="str">
        <f>_xlfn.XLOOKUP(C3013,Table2[Species],Table2[Family],"Code Not Found")</f>
        <v>Sapindaceae</v>
      </c>
      <c r="O3013" t="str" cm="1">
        <f t="array" ref="O3013">_xlfn.IFS(F3013="","",F3013&lt;=5,"0 to 5",F3013&lt;=10,"5.1 to 10",F3013&lt;=20,"10 to 20", F3013&lt;= 40, "20 to 40", F3013 &lt;= 50, "40 to 50", F3013 &gt; 50, "&gt;50" )</f>
        <v>40 to 50</v>
      </c>
    </row>
    <row r="3014" spans="1:15" ht="15" customHeight="1" x14ac:dyDescent="0.3">
      <c r="A3014" t="s">
        <v>593</v>
      </c>
      <c r="B3014" s="1">
        <v>46218</v>
      </c>
      <c r="C3014" t="s">
        <v>16</v>
      </c>
      <c r="D3014">
        <v>2816</v>
      </c>
      <c r="E3014">
        <v>1</v>
      </c>
      <c r="F3014">
        <v>2.4</v>
      </c>
      <c r="G3014" t="s">
        <v>32</v>
      </c>
      <c r="I3014" t="str">
        <f t="shared" si="76"/>
        <v>2816_1</v>
      </c>
      <c r="J3014" t="s">
        <v>533</v>
      </c>
      <c r="K3014" t="s">
        <v>115</v>
      </c>
      <c r="L3014" t="str">
        <f>_xlfn.XLOOKUP(C3014, Table2[Species],Table2[Genus], "Code Not Found")</f>
        <v>Acer</v>
      </c>
      <c r="M3014" t="str">
        <f>_xlfn.XLOOKUP(C3014, Table2[Species],Table2[Sp. Name], "Code Not Found")</f>
        <v>saccharum</v>
      </c>
      <c r="N3014" t="str">
        <f>_xlfn.XLOOKUP(C3014,Table2[Species],Table2[Family],"Code Not Found")</f>
        <v>Sapindaceae</v>
      </c>
      <c r="O3014" t="str" cm="1">
        <f t="array" ref="O3014">_xlfn.IFS(F3014="","",F3014&lt;=5,"0 to 5",F3014&lt;=10,"5.1 to 10",F3014&lt;=20,"10 to 20", F3014&lt;= 40, "20 to 40", F3014 &lt;= 50, "40 to 50", F3014 &gt; 50, "&gt;50" )</f>
        <v>0 to 5</v>
      </c>
    </row>
    <row r="3015" spans="1:15" ht="15" customHeight="1" x14ac:dyDescent="0.3">
      <c r="A3015" t="s">
        <v>593</v>
      </c>
      <c r="B3015" s="1">
        <v>46218</v>
      </c>
      <c r="C3015" t="s">
        <v>16</v>
      </c>
      <c r="D3015">
        <v>2816</v>
      </c>
      <c r="E3015">
        <v>2</v>
      </c>
      <c r="F3015">
        <v>1.4</v>
      </c>
      <c r="G3015" t="s">
        <v>34</v>
      </c>
      <c r="I3015" t="str">
        <f t="shared" si="76"/>
        <v>2816_2</v>
      </c>
      <c r="J3015" t="s">
        <v>533</v>
      </c>
      <c r="K3015" t="s">
        <v>115</v>
      </c>
      <c r="L3015" t="str">
        <f>_xlfn.XLOOKUP(C3015, Table2[Species],Table2[Genus], "Code Not Found")</f>
        <v>Acer</v>
      </c>
      <c r="M3015" t="str">
        <f>_xlfn.XLOOKUP(C3015, Table2[Species],Table2[Sp. Name], "Code Not Found")</f>
        <v>saccharum</v>
      </c>
      <c r="N3015" t="str">
        <f>_xlfn.XLOOKUP(C3015,Table2[Species],Table2[Family],"Code Not Found")</f>
        <v>Sapindaceae</v>
      </c>
      <c r="O3015" t="str" cm="1">
        <f t="array" ref="O3015">_xlfn.IFS(F3015="","",F3015&lt;=5,"0 to 5",F3015&lt;=10,"5.1 to 10",F3015&lt;=20,"10 to 20", F3015&lt;= 40, "20 to 40", F3015 &lt;= 50, "40 to 50", F3015 &gt; 50, "&gt;50" )</f>
        <v>0 to 5</v>
      </c>
    </row>
    <row r="3016" spans="1:15" ht="15" customHeight="1" x14ac:dyDescent="0.3">
      <c r="A3016" t="s">
        <v>593</v>
      </c>
      <c r="B3016" s="1">
        <v>46218</v>
      </c>
      <c r="C3016" t="s">
        <v>16</v>
      </c>
      <c r="D3016">
        <v>2817</v>
      </c>
      <c r="E3016">
        <v>1</v>
      </c>
      <c r="F3016">
        <v>12.2</v>
      </c>
      <c r="G3016" t="s">
        <v>47</v>
      </c>
      <c r="H3016" t="s">
        <v>347</v>
      </c>
      <c r="I3016" t="str">
        <f t="shared" si="76"/>
        <v>2817_1</v>
      </c>
      <c r="J3016" t="s">
        <v>533</v>
      </c>
      <c r="K3016" t="s">
        <v>115</v>
      </c>
      <c r="L3016" t="str">
        <f>_xlfn.XLOOKUP(C3016, Table2[Species],Table2[Genus], "Code Not Found")</f>
        <v>Acer</v>
      </c>
      <c r="M3016" t="str">
        <f>_xlfn.XLOOKUP(C3016, Table2[Species],Table2[Sp. Name], "Code Not Found")</f>
        <v>saccharum</v>
      </c>
      <c r="N3016" t="str">
        <f>_xlfn.XLOOKUP(C3016,Table2[Species],Table2[Family],"Code Not Found")</f>
        <v>Sapindaceae</v>
      </c>
      <c r="O3016" t="str" cm="1">
        <f t="array" ref="O3016">_xlfn.IFS(F3016="","",F3016&lt;=5,"0 to 5",F3016&lt;=10,"5.1 to 10",F3016&lt;=20,"10 to 20", F3016&lt;= 40, "20 to 40", F3016 &lt;= 50, "40 to 50", F3016 &gt; 50, "&gt;50" )</f>
        <v>10 to 20</v>
      </c>
    </row>
    <row r="3017" spans="1:15" ht="15" customHeight="1" x14ac:dyDescent="0.3">
      <c r="A3017" t="s">
        <v>593</v>
      </c>
      <c r="B3017" s="1">
        <v>46218</v>
      </c>
      <c r="C3017" t="s">
        <v>16</v>
      </c>
      <c r="D3017">
        <v>2818</v>
      </c>
      <c r="E3017">
        <v>1</v>
      </c>
      <c r="F3017">
        <v>5.2</v>
      </c>
      <c r="G3017" t="s">
        <v>47</v>
      </c>
      <c r="H3017" t="s">
        <v>357</v>
      </c>
      <c r="I3017" t="str">
        <f t="shared" si="76"/>
        <v>2818_1</v>
      </c>
      <c r="J3017" t="s">
        <v>533</v>
      </c>
      <c r="K3017" t="s">
        <v>115</v>
      </c>
      <c r="L3017" t="str">
        <f>_xlfn.XLOOKUP(C3017, Table2[Species],Table2[Genus], "Code Not Found")</f>
        <v>Acer</v>
      </c>
      <c r="M3017" t="str">
        <f>_xlfn.XLOOKUP(C3017, Table2[Species],Table2[Sp. Name], "Code Not Found")</f>
        <v>saccharum</v>
      </c>
      <c r="N3017" t="str">
        <f>_xlfn.XLOOKUP(C3017,Table2[Species],Table2[Family],"Code Not Found")</f>
        <v>Sapindaceae</v>
      </c>
      <c r="O3017" t="str" cm="1">
        <f t="array" ref="O3017">_xlfn.IFS(F3017="","",F3017&lt;=5,"0 to 5",F3017&lt;=10,"5.1 to 10",F3017&lt;=20,"10 to 20", F3017&lt;= 40, "20 to 40", F3017 &lt;= 50, "40 to 50", F3017 &gt; 50, "&gt;50" )</f>
        <v>5.1 to 10</v>
      </c>
    </row>
    <row r="3018" spans="1:15" ht="15" customHeight="1" x14ac:dyDescent="0.3">
      <c r="A3018" t="s">
        <v>593</v>
      </c>
      <c r="B3018" s="1">
        <v>46218</v>
      </c>
      <c r="C3018" t="s">
        <v>16</v>
      </c>
      <c r="D3018">
        <v>2819</v>
      </c>
      <c r="E3018">
        <v>1</v>
      </c>
      <c r="F3018">
        <v>33.299999999999997</v>
      </c>
      <c r="G3018" t="s">
        <v>17</v>
      </c>
      <c r="I3018" t="str">
        <f t="shared" si="76"/>
        <v>2819_1</v>
      </c>
      <c r="J3018" t="s">
        <v>533</v>
      </c>
      <c r="K3018" t="s">
        <v>115</v>
      </c>
      <c r="L3018" t="str">
        <f>_xlfn.XLOOKUP(C3018, Table2[Species],Table2[Genus], "Code Not Found")</f>
        <v>Acer</v>
      </c>
      <c r="M3018" t="str">
        <f>_xlfn.XLOOKUP(C3018, Table2[Species],Table2[Sp. Name], "Code Not Found")</f>
        <v>saccharum</v>
      </c>
      <c r="N3018" t="str">
        <f>_xlfn.XLOOKUP(C3018,Table2[Species],Table2[Family],"Code Not Found")</f>
        <v>Sapindaceae</v>
      </c>
      <c r="O3018" t="str" cm="1">
        <f t="array" ref="O3018">_xlfn.IFS(F3018="","",F3018&lt;=5,"0 to 5",F3018&lt;=10,"5.1 to 10",F3018&lt;=20,"10 to 20", F3018&lt;= 40, "20 to 40", F3018 &lt;= 50, "40 to 50", F3018 &gt; 50, "&gt;50" )</f>
        <v>20 to 40</v>
      </c>
    </row>
    <row r="3019" spans="1:15" ht="15" customHeight="1" x14ac:dyDescent="0.3">
      <c r="A3019" t="s">
        <v>593</v>
      </c>
      <c r="B3019" s="1">
        <v>46218</v>
      </c>
      <c r="C3019" t="s">
        <v>16</v>
      </c>
      <c r="D3019">
        <v>2820</v>
      </c>
      <c r="E3019">
        <v>1</v>
      </c>
      <c r="F3019">
        <v>6</v>
      </c>
      <c r="G3019" t="s">
        <v>21</v>
      </c>
      <c r="I3019" t="str">
        <f t="shared" si="76"/>
        <v>2820_1</v>
      </c>
      <c r="J3019" t="s">
        <v>533</v>
      </c>
      <c r="K3019" t="s">
        <v>115</v>
      </c>
      <c r="L3019" t="str">
        <f>_xlfn.XLOOKUP(C3019, Table2[Species],Table2[Genus], "Code Not Found")</f>
        <v>Acer</v>
      </c>
      <c r="M3019" t="str">
        <f>_xlfn.XLOOKUP(C3019, Table2[Species],Table2[Sp. Name], "Code Not Found")</f>
        <v>saccharum</v>
      </c>
      <c r="N3019" t="str">
        <f>_xlfn.XLOOKUP(C3019,Table2[Species],Table2[Family],"Code Not Found")</f>
        <v>Sapindaceae</v>
      </c>
      <c r="O3019" t="str" cm="1">
        <f t="array" ref="O3019">_xlfn.IFS(F3019="","",F3019&lt;=5,"0 to 5",F3019&lt;=10,"5.1 to 10",F3019&lt;=20,"10 to 20", F3019&lt;= 40, "20 to 40", F3019 &lt;= 50, "40 to 50", F3019 &gt; 50, "&gt;50" )</f>
        <v>5.1 to 10</v>
      </c>
    </row>
    <row r="3020" spans="1:15" ht="15" customHeight="1" x14ac:dyDescent="0.3">
      <c r="A3020" t="s">
        <v>593</v>
      </c>
      <c r="B3020" s="1">
        <v>46218</v>
      </c>
      <c r="C3020" t="s">
        <v>16</v>
      </c>
      <c r="D3020">
        <v>2821</v>
      </c>
      <c r="E3020">
        <v>1</v>
      </c>
      <c r="F3020">
        <v>2.2999999999999998</v>
      </c>
      <c r="G3020" t="s">
        <v>17</v>
      </c>
      <c r="I3020" t="str">
        <f t="shared" si="76"/>
        <v>2821_1</v>
      </c>
      <c r="J3020" t="s">
        <v>533</v>
      </c>
      <c r="K3020" t="s">
        <v>115</v>
      </c>
      <c r="L3020" t="str">
        <f>_xlfn.XLOOKUP(C3020, Table2[Species],Table2[Genus], "Code Not Found")</f>
        <v>Acer</v>
      </c>
      <c r="M3020" t="str">
        <f>_xlfn.XLOOKUP(C3020, Table2[Species],Table2[Sp. Name], "Code Not Found")</f>
        <v>saccharum</v>
      </c>
      <c r="N3020" t="str">
        <f>_xlfn.XLOOKUP(C3020,Table2[Species],Table2[Family],"Code Not Found")</f>
        <v>Sapindaceae</v>
      </c>
      <c r="O3020" t="str" cm="1">
        <f t="array" ref="O3020">_xlfn.IFS(F3020="","",F3020&lt;=5,"0 to 5",F3020&lt;=10,"5.1 to 10",F3020&lt;=20,"10 to 20", F3020&lt;= 40, "20 to 40", F3020 &lt;= 50, "40 to 50", F3020 &gt; 50, "&gt;50" )</f>
        <v>0 to 5</v>
      </c>
    </row>
    <row r="3021" spans="1:15" ht="15" customHeight="1" x14ac:dyDescent="0.3">
      <c r="A3021" t="s">
        <v>593</v>
      </c>
      <c r="B3021" s="1">
        <v>46218</v>
      </c>
      <c r="C3021" t="s">
        <v>16</v>
      </c>
      <c r="D3021">
        <v>2822</v>
      </c>
      <c r="E3021">
        <v>1</v>
      </c>
      <c r="F3021">
        <v>3.5</v>
      </c>
      <c r="G3021" t="s">
        <v>138</v>
      </c>
      <c r="I3021" t="str">
        <f t="shared" si="76"/>
        <v>2822_1</v>
      </c>
      <c r="J3021" t="s">
        <v>533</v>
      </c>
      <c r="K3021" t="s">
        <v>115</v>
      </c>
      <c r="L3021" t="str">
        <f>_xlfn.XLOOKUP(C3021, Table2[Species],Table2[Genus], "Code Not Found")</f>
        <v>Acer</v>
      </c>
      <c r="M3021" t="str">
        <f>_xlfn.XLOOKUP(C3021, Table2[Species],Table2[Sp. Name], "Code Not Found")</f>
        <v>saccharum</v>
      </c>
      <c r="N3021" t="str">
        <f>_xlfn.XLOOKUP(C3021,Table2[Species],Table2[Family],"Code Not Found")</f>
        <v>Sapindaceae</v>
      </c>
      <c r="O3021" t="str" cm="1">
        <f t="array" ref="O3021">_xlfn.IFS(F3021="","",F3021&lt;=5,"0 to 5",F3021&lt;=10,"5.1 to 10",F3021&lt;=20,"10 to 20", F3021&lt;= 40, "20 to 40", F3021 &lt;= 50, "40 to 50", F3021 &gt; 50, "&gt;50" )</f>
        <v>0 to 5</v>
      </c>
    </row>
    <row r="3022" spans="1:15" ht="15" customHeight="1" x14ac:dyDescent="0.3">
      <c r="A3022" t="s">
        <v>593</v>
      </c>
      <c r="B3022" s="1">
        <v>46218</v>
      </c>
      <c r="C3022" t="s">
        <v>16</v>
      </c>
      <c r="D3022">
        <v>2823</v>
      </c>
      <c r="E3022">
        <v>1</v>
      </c>
      <c r="F3022">
        <v>2.9</v>
      </c>
      <c r="G3022" t="s">
        <v>17</v>
      </c>
      <c r="I3022" t="str">
        <f t="shared" si="76"/>
        <v>2823_1</v>
      </c>
      <c r="J3022" t="s">
        <v>533</v>
      </c>
      <c r="K3022" t="s">
        <v>115</v>
      </c>
      <c r="L3022" t="str">
        <f>_xlfn.XLOOKUP(C3022, Table2[Species],Table2[Genus], "Code Not Found")</f>
        <v>Acer</v>
      </c>
      <c r="M3022" t="str">
        <f>_xlfn.XLOOKUP(C3022, Table2[Species],Table2[Sp. Name], "Code Not Found")</f>
        <v>saccharum</v>
      </c>
      <c r="N3022" t="str">
        <f>_xlfn.XLOOKUP(C3022,Table2[Species],Table2[Family],"Code Not Found")</f>
        <v>Sapindaceae</v>
      </c>
      <c r="O3022" t="str" cm="1">
        <f t="array" ref="O3022">_xlfn.IFS(F3022="","",F3022&lt;=5,"0 to 5",F3022&lt;=10,"5.1 to 10",F3022&lt;=20,"10 to 20", F3022&lt;= 40, "20 to 40", F3022 &lt;= 50, "40 to 50", F3022 &gt; 50, "&gt;50" )</f>
        <v>0 to 5</v>
      </c>
    </row>
    <row r="3023" spans="1:15" ht="15" customHeight="1" x14ac:dyDescent="0.3">
      <c r="A3023" t="s">
        <v>593</v>
      </c>
      <c r="B3023" s="1">
        <v>46218</v>
      </c>
      <c r="C3023" t="s">
        <v>16</v>
      </c>
      <c r="D3023">
        <v>2824</v>
      </c>
      <c r="E3023">
        <v>1</v>
      </c>
      <c r="F3023">
        <v>15.1</v>
      </c>
      <c r="G3023" t="s">
        <v>17</v>
      </c>
      <c r="I3023" t="str">
        <f t="shared" si="76"/>
        <v>2824_1</v>
      </c>
      <c r="J3023" t="s">
        <v>533</v>
      </c>
      <c r="K3023" t="s">
        <v>115</v>
      </c>
      <c r="L3023" t="str">
        <f>_xlfn.XLOOKUP(C3023, Table2[Species],Table2[Genus], "Code Not Found")</f>
        <v>Acer</v>
      </c>
      <c r="M3023" t="str">
        <f>_xlfn.XLOOKUP(C3023, Table2[Species],Table2[Sp. Name], "Code Not Found")</f>
        <v>saccharum</v>
      </c>
      <c r="N3023" t="str">
        <f>_xlfn.XLOOKUP(C3023,Table2[Species],Table2[Family],"Code Not Found")</f>
        <v>Sapindaceae</v>
      </c>
      <c r="O3023" t="str" cm="1">
        <f t="array" ref="O3023">_xlfn.IFS(F3023="","",F3023&lt;=5,"0 to 5",F3023&lt;=10,"5.1 to 10",F3023&lt;=20,"10 to 20", F3023&lt;= 40, "20 to 40", F3023 &lt;= 50, "40 to 50", F3023 &gt; 50, "&gt;50" )</f>
        <v>10 to 20</v>
      </c>
    </row>
    <row r="3024" spans="1:15" ht="15" customHeight="1" x14ac:dyDescent="0.3">
      <c r="A3024" t="s">
        <v>593</v>
      </c>
      <c r="B3024" s="1">
        <v>46218</v>
      </c>
      <c r="C3024" t="s">
        <v>129</v>
      </c>
      <c r="D3024">
        <v>2825</v>
      </c>
      <c r="E3024">
        <v>1</v>
      </c>
      <c r="F3024">
        <v>71.5</v>
      </c>
      <c r="G3024" t="s">
        <v>17</v>
      </c>
      <c r="I3024" t="str">
        <f t="shared" si="76"/>
        <v>2825_1</v>
      </c>
      <c r="J3024" t="s">
        <v>533</v>
      </c>
      <c r="K3024" t="s">
        <v>115</v>
      </c>
      <c r="L3024" t="str">
        <f>_xlfn.XLOOKUP(C3024, Table2[Species],Table2[Genus], "Code Not Found")</f>
        <v>Quercus</v>
      </c>
      <c r="M3024" t="str">
        <f>_xlfn.XLOOKUP(C3024, Table2[Species],Table2[Sp. Name], "Code Not Found")</f>
        <v>alba</v>
      </c>
      <c r="N3024" t="str">
        <f>_xlfn.XLOOKUP(C3024,Table2[Species],Table2[Family],"Code Not Found")</f>
        <v>Fagaceae</v>
      </c>
      <c r="O3024" t="str" cm="1">
        <f t="array" ref="O3024">_xlfn.IFS(F3024="","",F3024&lt;=5,"0 to 5",F3024&lt;=10,"5.1 to 10",F3024&lt;=20,"10 to 20", F3024&lt;= 40, "20 to 40", F3024 &lt;= 50, "40 to 50", F3024 &gt; 50, "&gt;50" )</f>
        <v>&gt;50</v>
      </c>
    </row>
    <row r="3025" spans="1:15" ht="15" customHeight="1" x14ac:dyDescent="0.3">
      <c r="A3025" t="s">
        <v>593</v>
      </c>
      <c r="B3025" s="1">
        <v>46218</v>
      </c>
      <c r="C3025" t="s">
        <v>16</v>
      </c>
      <c r="D3025">
        <v>2826</v>
      </c>
      <c r="E3025">
        <v>1</v>
      </c>
      <c r="F3025">
        <v>3.5</v>
      </c>
      <c r="G3025" t="s">
        <v>47</v>
      </c>
      <c r="I3025" t="str">
        <f t="shared" si="76"/>
        <v>2826_1</v>
      </c>
      <c r="J3025" t="s">
        <v>533</v>
      </c>
      <c r="K3025" t="s">
        <v>115</v>
      </c>
      <c r="L3025" t="str">
        <f>_xlfn.XLOOKUP(C3025, Table2[Species],Table2[Genus], "Code Not Found")</f>
        <v>Acer</v>
      </c>
      <c r="M3025" t="str">
        <f>_xlfn.XLOOKUP(C3025, Table2[Species],Table2[Sp. Name], "Code Not Found")</f>
        <v>saccharum</v>
      </c>
      <c r="N3025" t="str">
        <f>_xlfn.XLOOKUP(C3025,Table2[Species],Table2[Family],"Code Not Found")</f>
        <v>Sapindaceae</v>
      </c>
      <c r="O3025" t="str" cm="1">
        <f t="array" ref="O3025">_xlfn.IFS(F3025="","",F3025&lt;=5,"0 to 5",F3025&lt;=10,"5.1 to 10",F3025&lt;=20,"10 to 20", F3025&lt;= 40, "20 to 40", F3025 &lt;= 50, "40 to 50", F3025 &gt; 50, "&gt;50" )</f>
        <v>0 to 5</v>
      </c>
    </row>
    <row r="3026" spans="1:15" ht="15" customHeight="1" x14ac:dyDescent="0.3">
      <c r="A3026" t="s">
        <v>593</v>
      </c>
      <c r="B3026" s="1">
        <v>46218</v>
      </c>
      <c r="C3026" t="s">
        <v>129</v>
      </c>
      <c r="D3026">
        <v>2827</v>
      </c>
      <c r="E3026">
        <v>1</v>
      </c>
      <c r="F3026">
        <v>43.9</v>
      </c>
      <c r="G3026" t="s">
        <v>21</v>
      </c>
      <c r="I3026" t="str">
        <f t="shared" ref="I3026:I3057" si="77">D3026&amp;"_"&amp;E3026</f>
        <v>2827_1</v>
      </c>
      <c r="J3026" t="s">
        <v>533</v>
      </c>
      <c r="K3026" t="s">
        <v>115</v>
      </c>
      <c r="L3026" t="str">
        <f>_xlfn.XLOOKUP(C3026, Table2[Species],Table2[Genus], "Code Not Found")</f>
        <v>Quercus</v>
      </c>
      <c r="M3026" t="str">
        <f>_xlfn.XLOOKUP(C3026, Table2[Species],Table2[Sp. Name], "Code Not Found")</f>
        <v>alba</v>
      </c>
      <c r="N3026" t="str">
        <f>_xlfn.XLOOKUP(C3026,Table2[Species],Table2[Family],"Code Not Found")</f>
        <v>Fagaceae</v>
      </c>
      <c r="O3026" t="str" cm="1">
        <f t="array" ref="O3026">_xlfn.IFS(F3026="","",F3026&lt;=5,"0 to 5",F3026&lt;=10,"5.1 to 10",F3026&lt;=20,"10 to 20", F3026&lt;= 40, "20 to 40", F3026 &lt;= 50, "40 to 50", F3026 &gt; 50, "&gt;50" )</f>
        <v>40 to 50</v>
      </c>
    </row>
    <row r="3027" spans="1:15" ht="15" customHeight="1" x14ac:dyDescent="0.3">
      <c r="A3027" t="s">
        <v>593</v>
      </c>
      <c r="B3027" s="1">
        <v>46218</v>
      </c>
      <c r="C3027" t="s">
        <v>16</v>
      </c>
      <c r="D3027">
        <v>2828</v>
      </c>
      <c r="E3027">
        <v>1</v>
      </c>
      <c r="F3027">
        <v>4.8</v>
      </c>
      <c r="G3027" t="s">
        <v>21</v>
      </c>
      <c r="I3027" t="str">
        <f t="shared" si="77"/>
        <v>2828_1</v>
      </c>
      <c r="J3027" t="s">
        <v>533</v>
      </c>
      <c r="K3027" t="s">
        <v>115</v>
      </c>
      <c r="L3027" t="str">
        <f>_xlfn.XLOOKUP(C3027, Table2[Species],Table2[Genus], "Code Not Found")</f>
        <v>Acer</v>
      </c>
      <c r="M3027" t="str">
        <f>_xlfn.XLOOKUP(C3027, Table2[Species],Table2[Sp. Name], "Code Not Found")</f>
        <v>saccharum</v>
      </c>
      <c r="N3027" t="str">
        <f>_xlfn.XLOOKUP(C3027,Table2[Species],Table2[Family],"Code Not Found")</f>
        <v>Sapindaceae</v>
      </c>
      <c r="O3027" t="str" cm="1">
        <f t="array" ref="O3027">_xlfn.IFS(F3027="","",F3027&lt;=5,"0 to 5",F3027&lt;=10,"5.1 to 10",F3027&lt;=20,"10 to 20", F3027&lt;= 40, "20 to 40", F3027 &lt;= 50, "40 to 50", F3027 &gt; 50, "&gt;50" )</f>
        <v>0 to 5</v>
      </c>
    </row>
    <row r="3028" spans="1:15" ht="15" customHeight="1" x14ac:dyDescent="0.3">
      <c r="A3028" t="s">
        <v>593</v>
      </c>
      <c r="B3028" s="1">
        <v>46218</v>
      </c>
      <c r="C3028" t="s">
        <v>16</v>
      </c>
      <c r="D3028">
        <v>2829</v>
      </c>
      <c r="E3028">
        <v>1</v>
      </c>
      <c r="F3028">
        <v>65</v>
      </c>
      <c r="G3028" t="s">
        <v>21</v>
      </c>
      <c r="I3028" t="str">
        <f t="shared" si="77"/>
        <v>2829_1</v>
      </c>
      <c r="J3028" t="s">
        <v>533</v>
      </c>
      <c r="K3028" t="s">
        <v>115</v>
      </c>
      <c r="L3028" t="str">
        <f>_xlfn.XLOOKUP(C3028, Table2[Species],Table2[Genus], "Code Not Found")</f>
        <v>Acer</v>
      </c>
      <c r="M3028" t="str">
        <f>_xlfn.XLOOKUP(C3028, Table2[Species],Table2[Sp. Name], "Code Not Found")</f>
        <v>saccharum</v>
      </c>
      <c r="N3028" t="str">
        <f>_xlfn.XLOOKUP(C3028,Table2[Species],Table2[Family],"Code Not Found")</f>
        <v>Sapindaceae</v>
      </c>
      <c r="O3028" t="str" cm="1">
        <f t="array" ref="O3028">_xlfn.IFS(F3028="","",F3028&lt;=5,"0 to 5",F3028&lt;=10,"5.1 to 10",F3028&lt;=20,"10 to 20", F3028&lt;= 40, "20 to 40", F3028 &lt;= 50, "40 to 50", F3028 &gt; 50, "&gt;50" )</f>
        <v>&gt;50</v>
      </c>
    </row>
    <row r="3029" spans="1:15" ht="15" customHeight="1" x14ac:dyDescent="0.3">
      <c r="A3029" t="s">
        <v>593</v>
      </c>
      <c r="B3029" s="1">
        <v>46218</v>
      </c>
      <c r="C3029" t="s">
        <v>22</v>
      </c>
      <c r="D3029">
        <v>2830</v>
      </c>
      <c r="E3029">
        <v>1</v>
      </c>
      <c r="F3029">
        <v>4.2</v>
      </c>
      <c r="G3029" t="s">
        <v>17</v>
      </c>
      <c r="I3029" t="str">
        <f t="shared" si="77"/>
        <v>2830_1</v>
      </c>
      <c r="J3029" t="s">
        <v>533</v>
      </c>
      <c r="K3029" t="s">
        <v>115</v>
      </c>
      <c r="L3029" t="str">
        <f>_xlfn.XLOOKUP(C3029, Table2[Species],Table2[Genus], "Code Not Found")</f>
        <v>Acer</v>
      </c>
      <c r="M3029" t="str">
        <f>_xlfn.XLOOKUP(C3029, Table2[Species],Table2[Sp. Name], "Code Not Found")</f>
        <v>rubrum</v>
      </c>
      <c r="N3029" t="str">
        <f>_xlfn.XLOOKUP(C3029,Table2[Species],Table2[Family],"Code Not Found")</f>
        <v>Sapindaceae</v>
      </c>
      <c r="O3029" t="str" cm="1">
        <f t="array" ref="O3029">_xlfn.IFS(F3029="","",F3029&lt;=5,"0 to 5",F3029&lt;=10,"5.1 to 10",F3029&lt;=20,"10 to 20", F3029&lt;= 40, "20 to 40", F3029 &lt;= 50, "40 to 50", F3029 &gt; 50, "&gt;50" )</f>
        <v>0 to 5</v>
      </c>
    </row>
    <row r="3030" spans="1:15" ht="15" customHeight="1" x14ac:dyDescent="0.3">
      <c r="A3030" t="s">
        <v>593</v>
      </c>
      <c r="B3030" s="1">
        <v>46218</v>
      </c>
      <c r="C3030" t="s">
        <v>16</v>
      </c>
      <c r="D3030">
        <v>2831</v>
      </c>
      <c r="E3030">
        <v>1</v>
      </c>
      <c r="F3030">
        <v>3.5</v>
      </c>
      <c r="G3030" t="s">
        <v>17</v>
      </c>
      <c r="I3030" t="str">
        <f t="shared" si="77"/>
        <v>2831_1</v>
      </c>
      <c r="J3030" t="s">
        <v>533</v>
      </c>
      <c r="K3030" t="s">
        <v>115</v>
      </c>
      <c r="L3030" t="str">
        <f>_xlfn.XLOOKUP(C3030, Table2[Species],Table2[Genus], "Code Not Found")</f>
        <v>Acer</v>
      </c>
      <c r="M3030" t="str">
        <f>_xlfn.XLOOKUP(C3030, Table2[Species],Table2[Sp. Name], "Code Not Found")</f>
        <v>saccharum</v>
      </c>
      <c r="N3030" t="str">
        <f>_xlfn.XLOOKUP(C3030,Table2[Species],Table2[Family],"Code Not Found")</f>
        <v>Sapindaceae</v>
      </c>
      <c r="O3030" t="str" cm="1">
        <f t="array" ref="O3030">_xlfn.IFS(F3030="","",F3030&lt;=5,"0 to 5",F3030&lt;=10,"5.1 to 10",F3030&lt;=20,"10 to 20", F3030&lt;= 40, "20 to 40", F3030 &lt;= 50, "40 to 50", F3030 &gt; 50, "&gt;50" )</f>
        <v>0 to 5</v>
      </c>
    </row>
    <row r="3031" spans="1:15" ht="15" customHeight="1" x14ac:dyDescent="0.3">
      <c r="A3031" t="s">
        <v>593</v>
      </c>
      <c r="B3031" s="1">
        <v>46223</v>
      </c>
      <c r="C3031" t="s">
        <v>16</v>
      </c>
      <c r="D3031">
        <v>2832</v>
      </c>
      <c r="E3031">
        <v>1</v>
      </c>
      <c r="F3031">
        <v>3.6</v>
      </c>
      <c r="G3031" t="s">
        <v>93</v>
      </c>
      <c r="I3031" t="str">
        <f t="shared" si="77"/>
        <v>2832_1</v>
      </c>
      <c r="J3031" t="s">
        <v>533</v>
      </c>
      <c r="K3031" t="s">
        <v>115</v>
      </c>
      <c r="L3031" t="str">
        <f>_xlfn.XLOOKUP(C3031, Table2[Species],Table2[Genus], "Code Not Found")</f>
        <v>Acer</v>
      </c>
      <c r="M3031" t="str">
        <f>_xlfn.XLOOKUP(C3031, Table2[Species],Table2[Sp. Name], "Code Not Found")</f>
        <v>saccharum</v>
      </c>
      <c r="N3031" t="str">
        <f>_xlfn.XLOOKUP(C3031,Table2[Species],Table2[Family],"Code Not Found")</f>
        <v>Sapindaceae</v>
      </c>
      <c r="O3031" t="str" cm="1">
        <f t="array" ref="O3031">_xlfn.IFS(F3031="","",F3031&lt;=5,"0 to 5",F3031&lt;=10,"5.1 to 10",F3031&lt;=20,"10 to 20", F3031&lt;= 40, "20 to 40", F3031 &lt;= 50, "40 to 50", F3031 &gt; 50, "&gt;50" )</f>
        <v>0 to 5</v>
      </c>
    </row>
    <row r="3032" spans="1:15" ht="15" customHeight="1" x14ac:dyDescent="0.3">
      <c r="A3032" t="s">
        <v>593</v>
      </c>
      <c r="B3032" s="1">
        <v>46223</v>
      </c>
      <c r="C3032" t="s">
        <v>16</v>
      </c>
      <c r="D3032">
        <v>2832</v>
      </c>
      <c r="E3032">
        <v>2</v>
      </c>
      <c r="F3032">
        <v>1.8</v>
      </c>
      <c r="G3032" t="s">
        <v>246</v>
      </c>
      <c r="H3032" t="s">
        <v>602</v>
      </c>
      <c r="I3032" t="str">
        <f t="shared" si="77"/>
        <v>2832_2</v>
      </c>
      <c r="J3032" t="s">
        <v>533</v>
      </c>
      <c r="K3032" t="s">
        <v>115</v>
      </c>
      <c r="L3032" t="str">
        <f>_xlfn.XLOOKUP(C3032, Table2[Species],Table2[Genus], "Code Not Found")</f>
        <v>Acer</v>
      </c>
      <c r="M3032" t="str">
        <f>_xlfn.XLOOKUP(C3032, Table2[Species],Table2[Sp. Name], "Code Not Found")</f>
        <v>saccharum</v>
      </c>
      <c r="N3032" t="str">
        <f>_xlfn.XLOOKUP(C3032,Table2[Species],Table2[Family],"Code Not Found")</f>
        <v>Sapindaceae</v>
      </c>
      <c r="O3032" t="str" cm="1">
        <f t="array" ref="O3032">_xlfn.IFS(F3032="","",F3032&lt;=5,"0 to 5",F3032&lt;=10,"5.1 to 10",F3032&lt;=20,"10 to 20", F3032&lt;= 40, "20 to 40", F3032 &lt;= 50, "40 to 50", F3032 &gt; 50, "&gt;50" )</f>
        <v>0 to 5</v>
      </c>
    </row>
    <row r="3033" spans="1:15" ht="15" customHeight="1" x14ac:dyDescent="0.3">
      <c r="A3033" t="s">
        <v>593</v>
      </c>
      <c r="B3033" s="1">
        <v>46223</v>
      </c>
      <c r="C3033" t="s">
        <v>430</v>
      </c>
      <c r="D3033">
        <v>2833</v>
      </c>
      <c r="E3033">
        <v>1</v>
      </c>
      <c r="F3033">
        <v>40.799999999999997</v>
      </c>
      <c r="G3033" t="s">
        <v>17</v>
      </c>
      <c r="I3033" t="str">
        <f t="shared" si="77"/>
        <v>2833_1</v>
      </c>
      <c r="J3033" t="s">
        <v>533</v>
      </c>
      <c r="K3033" t="s">
        <v>115</v>
      </c>
      <c r="L3033" t="str">
        <f>_xlfn.XLOOKUP(C3033, Table2[Species],Table2[Genus], "Code Not Found")</f>
        <v>Tsuga</v>
      </c>
      <c r="M3033" t="str">
        <f>_xlfn.XLOOKUP(C3033, Table2[Species],Table2[Sp. Name], "Code Not Found")</f>
        <v>canadensis</v>
      </c>
      <c r="N3033" t="str">
        <f>_xlfn.XLOOKUP(C3033,Table2[Species],Table2[Family],"Code Not Found")</f>
        <v>Pinaceae</v>
      </c>
      <c r="O3033" t="str" cm="1">
        <f t="array" ref="O3033">_xlfn.IFS(F3033="","",F3033&lt;=5,"0 to 5",F3033&lt;=10,"5.1 to 10",F3033&lt;=20,"10 to 20", F3033&lt;= 40, "20 to 40", F3033 &lt;= 50, "40 to 50", F3033 &gt; 50, "&gt;50" )</f>
        <v>40 to 50</v>
      </c>
    </row>
    <row r="3034" spans="1:15" ht="15" customHeight="1" x14ac:dyDescent="0.3">
      <c r="A3034" t="s">
        <v>593</v>
      </c>
      <c r="B3034" s="1">
        <v>46223</v>
      </c>
      <c r="C3034" t="s">
        <v>16</v>
      </c>
      <c r="D3034">
        <v>2834</v>
      </c>
      <c r="E3034">
        <v>1</v>
      </c>
      <c r="F3034">
        <v>4.3</v>
      </c>
      <c r="G3034" t="s">
        <v>21</v>
      </c>
      <c r="I3034" t="str">
        <f t="shared" si="77"/>
        <v>2834_1</v>
      </c>
      <c r="J3034" t="s">
        <v>533</v>
      </c>
      <c r="K3034" t="s">
        <v>115</v>
      </c>
      <c r="L3034" t="str">
        <f>_xlfn.XLOOKUP(C3034, Table2[Species],Table2[Genus], "Code Not Found")</f>
        <v>Acer</v>
      </c>
      <c r="M3034" t="str">
        <f>_xlfn.XLOOKUP(C3034, Table2[Species],Table2[Sp. Name], "Code Not Found")</f>
        <v>saccharum</v>
      </c>
      <c r="N3034" t="str">
        <f>_xlfn.XLOOKUP(C3034,Table2[Species],Table2[Family],"Code Not Found")</f>
        <v>Sapindaceae</v>
      </c>
      <c r="O3034" t="str" cm="1">
        <f t="array" ref="O3034">_xlfn.IFS(F3034="","",F3034&lt;=5,"0 to 5",F3034&lt;=10,"5.1 to 10",F3034&lt;=20,"10 to 20", F3034&lt;= 40, "20 to 40", F3034 &lt;= 50, "40 to 50", F3034 &gt; 50, "&gt;50" )</f>
        <v>0 to 5</v>
      </c>
    </row>
    <row r="3035" spans="1:15" ht="15" customHeight="1" x14ac:dyDescent="0.3">
      <c r="A3035" t="s">
        <v>593</v>
      </c>
      <c r="B3035" s="1">
        <v>46223</v>
      </c>
      <c r="C3035" t="s">
        <v>16</v>
      </c>
      <c r="D3035">
        <v>2835</v>
      </c>
      <c r="E3035">
        <v>1</v>
      </c>
      <c r="F3035">
        <v>2.6</v>
      </c>
      <c r="G3035" t="s">
        <v>30</v>
      </c>
      <c r="H3035" t="s">
        <v>262</v>
      </c>
      <c r="I3035" t="str">
        <f t="shared" si="77"/>
        <v>2835_1</v>
      </c>
      <c r="J3035" t="s">
        <v>533</v>
      </c>
      <c r="K3035" t="s">
        <v>115</v>
      </c>
      <c r="L3035" t="str">
        <f>_xlfn.XLOOKUP(C3035, Table2[Species],Table2[Genus], "Code Not Found")</f>
        <v>Acer</v>
      </c>
      <c r="M3035" t="str">
        <f>_xlfn.XLOOKUP(C3035, Table2[Species],Table2[Sp. Name], "Code Not Found")</f>
        <v>saccharum</v>
      </c>
      <c r="N3035" t="str">
        <f>_xlfn.XLOOKUP(C3035,Table2[Species],Table2[Family],"Code Not Found")</f>
        <v>Sapindaceae</v>
      </c>
      <c r="O3035" t="str" cm="1">
        <f t="array" ref="O3035">_xlfn.IFS(F3035="","",F3035&lt;=5,"0 to 5",F3035&lt;=10,"5.1 to 10",F3035&lt;=20,"10 to 20", F3035&lt;= 40, "20 to 40", F3035 &lt;= 50, "40 to 50", F3035 &gt; 50, "&gt;50" )</f>
        <v>0 to 5</v>
      </c>
    </row>
    <row r="3036" spans="1:15" ht="15" customHeight="1" x14ac:dyDescent="0.3">
      <c r="A3036" t="s">
        <v>593</v>
      </c>
      <c r="B3036" s="1">
        <v>46223</v>
      </c>
      <c r="C3036" t="s">
        <v>16</v>
      </c>
      <c r="D3036">
        <v>2836</v>
      </c>
      <c r="E3036">
        <v>1</v>
      </c>
      <c r="F3036">
        <v>4.2</v>
      </c>
      <c r="G3036" t="s">
        <v>30</v>
      </c>
      <c r="H3036" t="s">
        <v>603</v>
      </c>
      <c r="I3036" t="str">
        <f t="shared" si="77"/>
        <v>2836_1</v>
      </c>
      <c r="J3036" t="s">
        <v>533</v>
      </c>
      <c r="K3036" t="s">
        <v>115</v>
      </c>
      <c r="L3036" t="str">
        <f>_xlfn.XLOOKUP(C3036, Table2[Species],Table2[Genus], "Code Not Found")</f>
        <v>Acer</v>
      </c>
      <c r="M3036" t="str">
        <f>_xlfn.XLOOKUP(C3036, Table2[Species],Table2[Sp. Name], "Code Not Found")</f>
        <v>saccharum</v>
      </c>
      <c r="N3036" t="str">
        <f>_xlfn.XLOOKUP(C3036,Table2[Species],Table2[Family],"Code Not Found")</f>
        <v>Sapindaceae</v>
      </c>
      <c r="O3036" t="str" cm="1">
        <f t="array" ref="O3036">_xlfn.IFS(F3036="","",F3036&lt;=5,"0 to 5",F3036&lt;=10,"5.1 to 10",F3036&lt;=20,"10 to 20", F3036&lt;= 40, "20 to 40", F3036 &lt;= 50, "40 to 50", F3036 &gt; 50, "&gt;50" )</f>
        <v>0 to 5</v>
      </c>
    </row>
    <row r="3037" spans="1:15" ht="15" customHeight="1" x14ac:dyDescent="0.3">
      <c r="A3037" t="s">
        <v>593</v>
      </c>
      <c r="B3037" s="1">
        <v>46223</v>
      </c>
      <c r="C3037" t="s">
        <v>16</v>
      </c>
      <c r="D3037">
        <v>2837</v>
      </c>
      <c r="E3037">
        <v>1</v>
      </c>
      <c r="F3037">
        <v>4.0999999999999996</v>
      </c>
      <c r="G3037" t="s">
        <v>30</v>
      </c>
      <c r="H3037" t="s">
        <v>262</v>
      </c>
      <c r="I3037" t="str">
        <f t="shared" si="77"/>
        <v>2837_1</v>
      </c>
      <c r="J3037" t="s">
        <v>533</v>
      </c>
      <c r="K3037" t="s">
        <v>115</v>
      </c>
      <c r="L3037" t="str">
        <f>_xlfn.XLOOKUP(C3037, Table2[Species],Table2[Genus], "Code Not Found")</f>
        <v>Acer</v>
      </c>
      <c r="M3037" t="str">
        <f>_xlfn.XLOOKUP(C3037, Table2[Species],Table2[Sp. Name], "Code Not Found")</f>
        <v>saccharum</v>
      </c>
      <c r="N3037" t="str">
        <f>_xlfn.XLOOKUP(C3037,Table2[Species],Table2[Family],"Code Not Found")</f>
        <v>Sapindaceae</v>
      </c>
      <c r="O3037" t="str" cm="1">
        <f t="array" ref="O3037">_xlfn.IFS(F3037="","",F3037&lt;=5,"0 to 5",F3037&lt;=10,"5.1 to 10",F3037&lt;=20,"10 to 20", F3037&lt;= 40, "20 to 40", F3037 &lt;= 50, "40 to 50", F3037 &gt; 50, "&gt;50" )</f>
        <v>0 to 5</v>
      </c>
    </row>
    <row r="3038" spans="1:15" ht="15" customHeight="1" x14ac:dyDescent="0.3">
      <c r="A3038" t="s">
        <v>593</v>
      </c>
      <c r="B3038" s="1">
        <v>46223</v>
      </c>
      <c r="C3038" t="s">
        <v>430</v>
      </c>
      <c r="D3038">
        <v>2838</v>
      </c>
      <c r="E3038">
        <v>1</v>
      </c>
      <c r="F3038">
        <v>25.2</v>
      </c>
      <c r="G3038" t="s">
        <v>17</v>
      </c>
      <c r="I3038" t="str">
        <f t="shared" si="77"/>
        <v>2838_1</v>
      </c>
      <c r="J3038" t="s">
        <v>533</v>
      </c>
      <c r="K3038" t="s">
        <v>115</v>
      </c>
      <c r="L3038" t="str">
        <f>_xlfn.XLOOKUP(C3038, Table2[Species],Table2[Genus], "Code Not Found")</f>
        <v>Tsuga</v>
      </c>
      <c r="M3038" t="str">
        <f>_xlfn.XLOOKUP(C3038, Table2[Species],Table2[Sp. Name], "Code Not Found")</f>
        <v>canadensis</v>
      </c>
      <c r="N3038" t="str">
        <f>_xlfn.XLOOKUP(C3038,Table2[Species],Table2[Family],"Code Not Found")</f>
        <v>Pinaceae</v>
      </c>
      <c r="O3038" t="str" cm="1">
        <f t="array" ref="O3038">_xlfn.IFS(F3038="","",F3038&lt;=5,"0 to 5",F3038&lt;=10,"5.1 to 10",F3038&lt;=20,"10 to 20", F3038&lt;= 40, "20 to 40", F3038 &lt;= 50, "40 to 50", F3038 &gt; 50, "&gt;50" )</f>
        <v>20 to 40</v>
      </c>
    </row>
    <row r="3039" spans="1:15" ht="15" customHeight="1" x14ac:dyDescent="0.3">
      <c r="A3039" t="s">
        <v>593</v>
      </c>
      <c r="B3039" s="1">
        <v>46223</v>
      </c>
      <c r="C3039" t="s">
        <v>16</v>
      </c>
      <c r="D3039">
        <v>2839</v>
      </c>
      <c r="E3039">
        <v>1</v>
      </c>
      <c r="F3039">
        <v>2.2000000000000002</v>
      </c>
      <c r="G3039" t="s">
        <v>30</v>
      </c>
      <c r="H3039" t="s">
        <v>262</v>
      </c>
      <c r="I3039" t="str">
        <f t="shared" si="77"/>
        <v>2839_1</v>
      </c>
      <c r="J3039" t="s">
        <v>533</v>
      </c>
      <c r="K3039" t="s">
        <v>115</v>
      </c>
      <c r="L3039" t="str">
        <f>_xlfn.XLOOKUP(C3039, Table2[Species],Table2[Genus], "Code Not Found")</f>
        <v>Acer</v>
      </c>
      <c r="M3039" t="str">
        <f>_xlfn.XLOOKUP(C3039, Table2[Species],Table2[Sp. Name], "Code Not Found")</f>
        <v>saccharum</v>
      </c>
      <c r="N3039" t="str">
        <f>_xlfn.XLOOKUP(C3039,Table2[Species],Table2[Family],"Code Not Found")</f>
        <v>Sapindaceae</v>
      </c>
      <c r="O3039" t="str" cm="1">
        <f t="array" ref="O3039">_xlfn.IFS(F3039="","",F3039&lt;=5,"0 to 5",F3039&lt;=10,"5.1 to 10",F3039&lt;=20,"10 to 20", F3039&lt;= 40, "20 to 40", F3039 &lt;= 50, "40 to 50", F3039 &gt; 50, "&gt;50" )</f>
        <v>0 to 5</v>
      </c>
    </row>
    <row r="3040" spans="1:15" ht="15" customHeight="1" x14ac:dyDescent="0.3">
      <c r="A3040" t="s">
        <v>593</v>
      </c>
      <c r="B3040" s="1">
        <v>46223</v>
      </c>
      <c r="C3040" t="s">
        <v>16</v>
      </c>
      <c r="D3040">
        <v>2840</v>
      </c>
      <c r="E3040">
        <v>1</v>
      </c>
      <c r="F3040">
        <v>2.6</v>
      </c>
      <c r="G3040" t="s">
        <v>30</v>
      </c>
      <c r="H3040" t="s">
        <v>558</v>
      </c>
      <c r="I3040" t="str">
        <f t="shared" si="77"/>
        <v>2840_1</v>
      </c>
      <c r="J3040" t="s">
        <v>533</v>
      </c>
      <c r="K3040" t="s">
        <v>115</v>
      </c>
      <c r="L3040" t="str">
        <f>_xlfn.XLOOKUP(C3040, Table2[Species],Table2[Genus], "Code Not Found")</f>
        <v>Acer</v>
      </c>
      <c r="M3040" t="str">
        <f>_xlfn.XLOOKUP(C3040, Table2[Species],Table2[Sp. Name], "Code Not Found")</f>
        <v>saccharum</v>
      </c>
      <c r="N3040" t="str">
        <f>_xlfn.XLOOKUP(C3040,Table2[Species],Table2[Family],"Code Not Found")</f>
        <v>Sapindaceae</v>
      </c>
      <c r="O3040" t="str" cm="1">
        <f t="array" ref="O3040">_xlfn.IFS(F3040="","",F3040&lt;=5,"0 to 5",F3040&lt;=10,"5.1 to 10",F3040&lt;=20,"10 to 20", F3040&lt;= 40, "20 to 40", F3040 &lt;= 50, "40 to 50", F3040 &gt; 50, "&gt;50" )</f>
        <v>0 to 5</v>
      </c>
    </row>
    <row r="3041" spans="1:15" ht="15" customHeight="1" x14ac:dyDescent="0.3">
      <c r="A3041" t="s">
        <v>593</v>
      </c>
      <c r="B3041" s="1">
        <v>46223</v>
      </c>
      <c r="C3041" t="s">
        <v>22</v>
      </c>
      <c r="D3041">
        <v>2841</v>
      </c>
      <c r="E3041">
        <v>1</v>
      </c>
      <c r="F3041">
        <v>8.1</v>
      </c>
      <c r="G3041" t="s">
        <v>30</v>
      </c>
      <c r="H3041" t="s">
        <v>558</v>
      </c>
      <c r="I3041" t="str">
        <f t="shared" si="77"/>
        <v>2841_1</v>
      </c>
      <c r="J3041" t="s">
        <v>533</v>
      </c>
      <c r="K3041" t="s">
        <v>115</v>
      </c>
      <c r="L3041" t="str">
        <f>_xlfn.XLOOKUP(C3041, Table2[Species],Table2[Genus], "Code Not Found")</f>
        <v>Acer</v>
      </c>
      <c r="M3041" t="str">
        <f>_xlfn.XLOOKUP(C3041, Table2[Species],Table2[Sp. Name], "Code Not Found")</f>
        <v>rubrum</v>
      </c>
      <c r="N3041" t="str">
        <f>_xlfn.XLOOKUP(C3041,Table2[Species],Table2[Family],"Code Not Found")</f>
        <v>Sapindaceae</v>
      </c>
      <c r="O3041" t="str" cm="1">
        <f t="array" ref="O3041">_xlfn.IFS(F3041="","",F3041&lt;=5,"0 to 5",F3041&lt;=10,"5.1 to 10",F3041&lt;=20,"10 to 20", F3041&lt;= 40, "20 to 40", F3041 &lt;= 50, "40 to 50", F3041 &gt; 50, "&gt;50" )</f>
        <v>5.1 to 10</v>
      </c>
    </row>
    <row r="3042" spans="1:15" ht="15" customHeight="1" x14ac:dyDescent="0.3">
      <c r="A3042" t="s">
        <v>593</v>
      </c>
      <c r="B3042" s="1">
        <v>46223</v>
      </c>
      <c r="C3042" t="s">
        <v>16</v>
      </c>
      <c r="D3042">
        <v>2842</v>
      </c>
      <c r="E3042">
        <v>1</v>
      </c>
      <c r="F3042">
        <v>46</v>
      </c>
      <c r="G3042" t="s">
        <v>186</v>
      </c>
      <c r="H3042" t="s">
        <v>604</v>
      </c>
      <c r="I3042" t="str">
        <f t="shared" si="77"/>
        <v>2842_1</v>
      </c>
      <c r="J3042" t="s">
        <v>533</v>
      </c>
      <c r="K3042" t="s">
        <v>115</v>
      </c>
      <c r="L3042" t="str">
        <f>_xlfn.XLOOKUP(C3042, Table2[Species],Table2[Genus], "Code Not Found")</f>
        <v>Acer</v>
      </c>
      <c r="M3042" t="str">
        <f>_xlfn.XLOOKUP(C3042, Table2[Species],Table2[Sp. Name], "Code Not Found")</f>
        <v>saccharum</v>
      </c>
      <c r="N3042" t="str">
        <f>_xlfn.XLOOKUP(C3042,Table2[Species],Table2[Family],"Code Not Found")</f>
        <v>Sapindaceae</v>
      </c>
      <c r="O3042" t="str" cm="1">
        <f t="array" ref="O3042">_xlfn.IFS(F3042="","",F3042&lt;=5,"0 to 5",F3042&lt;=10,"5.1 to 10",F3042&lt;=20,"10 to 20", F3042&lt;= 40, "20 to 40", F3042 &lt;= 50, "40 to 50", F3042 &gt; 50, "&gt;50" )</f>
        <v>40 to 50</v>
      </c>
    </row>
    <row r="3043" spans="1:15" ht="15" customHeight="1" x14ac:dyDescent="0.3">
      <c r="A3043" t="s">
        <v>593</v>
      </c>
      <c r="B3043" s="1">
        <v>46223</v>
      </c>
      <c r="C3043" t="s">
        <v>16</v>
      </c>
      <c r="D3043">
        <v>2842</v>
      </c>
      <c r="E3043">
        <v>2</v>
      </c>
      <c r="F3043">
        <v>5</v>
      </c>
      <c r="G3043" t="s">
        <v>605</v>
      </c>
      <c r="H3043" t="s">
        <v>606</v>
      </c>
      <c r="I3043" t="str">
        <f t="shared" si="77"/>
        <v>2842_2</v>
      </c>
      <c r="J3043" t="s">
        <v>533</v>
      </c>
      <c r="K3043" t="s">
        <v>115</v>
      </c>
      <c r="L3043" t="str">
        <f>_xlfn.XLOOKUP(C3043, Table2[Species],Table2[Genus], "Code Not Found")</f>
        <v>Acer</v>
      </c>
      <c r="M3043" t="str">
        <f>_xlfn.XLOOKUP(C3043, Table2[Species],Table2[Sp. Name], "Code Not Found")</f>
        <v>saccharum</v>
      </c>
      <c r="N3043" t="str">
        <f>_xlfn.XLOOKUP(C3043,Table2[Species],Table2[Family],"Code Not Found")</f>
        <v>Sapindaceae</v>
      </c>
      <c r="O3043" t="str" cm="1">
        <f t="array" ref="O3043">_xlfn.IFS(F3043="","",F3043&lt;=5,"0 to 5",F3043&lt;=10,"5.1 to 10",F3043&lt;=20,"10 to 20", F3043&lt;= 40, "20 to 40", F3043 &lt;= 50, "40 to 50", F3043 &gt; 50, "&gt;50" )</f>
        <v>0 to 5</v>
      </c>
    </row>
    <row r="3044" spans="1:15" ht="15" customHeight="1" x14ac:dyDescent="0.3">
      <c r="A3044" t="s">
        <v>593</v>
      </c>
      <c r="B3044" s="1">
        <v>46223</v>
      </c>
      <c r="C3044" t="s">
        <v>16</v>
      </c>
      <c r="D3044">
        <v>2843</v>
      </c>
      <c r="E3044">
        <v>1</v>
      </c>
      <c r="F3044">
        <v>66.400000000000006</v>
      </c>
      <c r="G3044" t="s">
        <v>21</v>
      </c>
      <c r="H3044" t="s">
        <v>607</v>
      </c>
      <c r="I3044" t="str">
        <f t="shared" si="77"/>
        <v>2843_1</v>
      </c>
      <c r="J3044" t="s">
        <v>533</v>
      </c>
      <c r="K3044" t="s">
        <v>115</v>
      </c>
      <c r="L3044" t="str">
        <f>_xlfn.XLOOKUP(C3044, Table2[Species],Table2[Genus], "Code Not Found")</f>
        <v>Acer</v>
      </c>
      <c r="M3044" t="str">
        <f>_xlfn.XLOOKUP(C3044, Table2[Species],Table2[Sp. Name], "Code Not Found")</f>
        <v>saccharum</v>
      </c>
      <c r="N3044" t="str">
        <f>_xlfn.XLOOKUP(C3044,Table2[Species],Table2[Family],"Code Not Found")</f>
        <v>Sapindaceae</v>
      </c>
      <c r="O3044" t="str" cm="1">
        <f t="array" ref="O3044">_xlfn.IFS(F3044="","",F3044&lt;=5,"0 to 5",F3044&lt;=10,"5.1 to 10",F3044&lt;=20,"10 to 20", F3044&lt;= 40, "20 to 40", F3044 &lt;= 50, "40 to 50", F3044 &gt; 50, "&gt;50" )</f>
        <v>&gt;50</v>
      </c>
    </row>
    <row r="3045" spans="1:15" ht="15" customHeight="1" x14ac:dyDescent="0.3">
      <c r="A3045" t="s">
        <v>593</v>
      </c>
      <c r="B3045" s="1">
        <v>46223</v>
      </c>
      <c r="C3045" t="s">
        <v>16</v>
      </c>
      <c r="D3045">
        <v>2844</v>
      </c>
      <c r="E3045">
        <v>1</v>
      </c>
      <c r="F3045">
        <v>13.9</v>
      </c>
      <c r="G3045" t="s">
        <v>21</v>
      </c>
      <c r="I3045" t="str">
        <f t="shared" si="77"/>
        <v>2844_1</v>
      </c>
      <c r="J3045" t="s">
        <v>533</v>
      </c>
      <c r="K3045" t="s">
        <v>115</v>
      </c>
      <c r="L3045" t="str">
        <f>_xlfn.XLOOKUP(C3045, Table2[Species],Table2[Genus], "Code Not Found")</f>
        <v>Acer</v>
      </c>
      <c r="M3045" t="str">
        <f>_xlfn.XLOOKUP(C3045, Table2[Species],Table2[Sp. Name], "Code Not Found")</f>
        <v>saccharum</v>
      </c>
      <c r="N3045" t="str">
        <f>_xlfn.XLOOKUP(C3045,Table2[Species],Table2[Family],"Code Not Found")</f>
        <v>Sapindaceae</v>
      </c>
      <c r="O3045" t="str" cm="1">
        <f t="array" ref="O3045">_xlfn.IFS(F3045="","",F3045&lt;=5,"0 to 5",F3045&lt;=10,"5.1 to 10",F3045&lt;=20,"10 to 20", F3045&lt;= 40, "20 to 40", F3045 &lt;= 50, "40 to 50", F3045 &gt; 50, "&gt;50" )</f>
        <v>10 to 20</v>
      </c>
    </row>
    <row r="3046" spans="1:15" ht="15" customHeight="1" x14ac:dyDescent="0.3">
      <c r="A3046" t="s">
        <v>593</v>
      </c>
      <c r="B3046" s="1">
        <v>46223</v>
      </c>
      <c r="C3046" t="s">
        <v>16</v>
      </c>
      <c r="D3046">
        <v>2845</v>
      </c>
      <c r="E3046">
        <v>1</v>
      </c>
      <c r="F3046">
        <v>7.6</v>
      </c>
      <c r="G3046" t="s">
        <v>17</v>
      </c>
      <c r="I3046" t="str">
        <f t="shared" si="77"/>
        <v>2845_1</v>
      </c>
      <c r="J3046" t="s">
        <v>533</v>
      </c>
      <c r="K3046" t="s">
        <v>115</v>
      </c>
      <c r="L3046" t="str">
        <f>_xlfn.XLOOKUP(C3046, Table2[Species],Table2[Genus], "Code Not Found")</f>
        <v>Acer</v>
      </c>
      <c r="M3046" t="str">
        <f>_xlfn.XLOOKUP(C3046, Table2[Species],Table2[Sp. Name], "Code Not Found")</f>
        <v>saccharum</v>
      </c>
      <c r="N3046" t="str">
        <f>_xlfn.XLOOKUP(C3046,Table2[Species],Table2[Family],"Code Not Found")</f>
        <v>Sapindaceae</v>
      </c>
      <c r="O3046" t="str" cm="1">
        <f t="array" ref="O3046">_xlfn.IFS(F3046="","",F3046&lt;=5,"0 to 5",F3046&lt;=10,"5.1 to 10",F3046&lt;=20,"10 to 20", F3046&lt;= 40, "20 to 40", F3046 &lt;= 50, "40 to 50", F3046 &gt; 50, "&gt;50" )</f>
        <v>5.1 to 10</v>
      </c>
    </row>
    <row r="3047" spans="1:15" ht="15" customHeight="1" x14ac:dyDescent="0.3">
      <c r="A3047" t="s">
        <v>593</v>
      </c>
      <c r="B3047" s="1">
        <v>46223</v>
      </c>
      <c r="C3047" t="s">
        <v>16</v>
      </c>
      <c r="D3047">
        <v>2846</v>
      </c>
      <c r="E3047">
        <v>1</v>
      </c>
      <c r="F3047">
        <v>5.6</v>
      </c>
      <c r="G3047" t="s">
        <v>47</v>
      </c>
      <c r="H3047" t="s">
        <v>296</v>
      </c>
      <c r="I3047" t="str">
        <f t="shared" si="77"/>
        <v>2846_1</v>
      </c>
      <c r="J3047" t="s">
        <v>533</v>
      </c>
      <c r="K3047" t="s">
        <v>115</v>
      </c>
      <c r="L3047" t="str">
        <f>_xlfn.XLOOKUP(C3047, Table2[Species],Table2[Genus], "Code Not Found")</f>
        <v>Acer</v>
      </c>
      <c r="M3047" t="str">
        <f>_xlfn.XLOOKUP(C3047, Table2[Species],Table2[Sp. Name], "Code Not Found")</f>
        <v>saccharum</v>
      </c>
      <c r="N3047" t="str">
        <f>_xlfn.XLOOKUP(C3047,Table2[Species],Table2[Family],"Code Not Found")</f>
        <v>Sapindaceae</v>
      </c>
      <c r="O3047" t="str" cm="1">
        <f t="array" ref="O3047">_xlfn.IFS(F3047="","",F3047&lt;=5,"0 to 5",F3047&lt;=10,"5.1 to 10",F3047&lt;=20,"10 to 20", F3047&lt;= 40, "20 to 40", F3047 &lt;= 50, "40 to 50", F3047 &gt; 50, "&gt;50" )</f>
        <v>5.1 to 10</v>
      </c>
    </row>
    <row r="3048" spans="1:15" ht="15" customHeight="1" x14ac:dyDescent="0.3">
      <c r="A3048" t="s">
        <v>593</v>
      </c>
      <c r="B3048" s="1">
        <v>46223</v>
      </c>
      <c r="C3048" t="s">
        <v>16</v>
      </c>
      <c r="D3048">
        <v>2847</v>
      </c>
      <c r="E3048">
        <v>1</v>
      </c>
      <c r="F3048">
        <v>3.8</v>
      </c>
      <c r="G3048" t="s">
        <v>30</v>
      </c>
      <c r="H3048" t="s">
        <v>608</v>
      </c>
      <c r="I3048" t="str">
        <f t="shared" si="77"/>
        <v>2847_1</v>
      </c>
      <c r="J3048" t="s">
        <v>533</v>
      </c>
      <c r="K3048" t="s">
        <v>115</v>
      </c>
      <c r="L3048" t="str">
        <f>_xlfn.XLOOKUP(C3048, Table2[Species],Table2[Genus], "Code Not Found")</f>
        <v>Acer</v>
      </c>
      <c r="M3048" t="str">
        <f>_xlfn.XLOOKUP(C3048, Table2[Species],Table2[Sp. Name], "Code Not Found")</f>
        <v>saccharum</v>
      </c>
      <c r="N3048" t="str">
        <f>_xlfn.XLOOKUP(C3048,Table2[Species],Table2[Family],"Code Not Found")</f>
        <v>Sapindaceae</v>
      </c>
      <c r="O3048" t="str" cm="1">
        <f t="array" ref="O3048">_xlfn.IFS(F3048="","",F3048&lt;=5,"0 to 5",F3048&lt;=10,"5.1 to 10",F3048&lt;=20,"10 to 20", F3048&lt;= 40, "20 to 40", F3048 &lt;= 50, "40 to 50", F3048 &gt; 50, "&gt;50" )</f>
        <v>0 to 5</v>
      </c>
    </row>
    <row r="3049" spans="1:15" ht="15" customHeight="1" x14ac:dyDescent="0.3">
      <c r="A3049" t="s">
        <v>593</v>
      </c>
      <c r="B3049" s="1">
        <v>46223</v>
      </c>
      <c r="C3049" t="s">
        <v>22</v>
      </c>
      <c r="D3049">
        <v>2848</v>
      </c>
      <c r="E3049">
        <v>1</v>
      </c>
      <c r="F3049">
        <v>59.5</v>
      </c>
      <c r="G3049" t="s">
        <v>51</v>
      </c>
      <c r="H3049" t="s">
        <v>609</v>
      </c>
      <c r="I3049" t="str">
        <f t="shared" si="77"/>
        <v>2848_1</v>
      </c>
      <c r="J3049" t="s">
        <v>533</v>
      </c>
      <c r="K3049" t="s">
        <v>115</v>
      </c>
      <c r="L3049" t="str">
        <f>_xlfn.XLOOKUP(C3049, Table2[Species],Table2[Genus], "Code Not Found")</f>
        <v>Acer</v>
      </c>
      <c r="M3049" t="str">
        <f>_xlfn.XLOOKUP(C3049, Table2[Species],Table2[Sp. Name], "Code Not Found")</f>
        <v>rubrum</v>
      </c>
      <c r="N3049" t="str">
        <f>_xlfn.XLOOKUP(C3049,Table2[Species],Table2[Family],"Code Not Found")</f>
        <v>Sapindaceae</v>
      </c>
      <c r="O3049" t="str" cm="1">
        <f t="array" ref="O3049">_xlfn.IFS(F3049="","",F3049&lt;=5,"0 to 5",F3049&lt;=10,"5.1 to 10",F3049&lt;=20,"10 to 20", F3049&lt;= 40, "20 to 40", F3049 &lt;= 50, "40 to 50", F3049 &gt; 50, "&gt;50" )</f>
        <v>&gt;50</v>
      </c>
    </row>
    <row r="3050" spans="1:15" ht="15" customHeight="1" x14ac:dyDescent="0.3">
      <c r="A3050" t="s">
        <v>593</v>
      </c>
      <c r="B3050" s="1">
        <v>46223</v>
      </c>
      <c r="C3050" t="s">
        <v>16</v>
      </c>
      <c r="D3050">
        <v>2849</v>
      </c>
      <c r="E3050">
        <v>1</v>
      </c>
      <c r="F3050">
        <v>4.9000000000000004</v>
      </c>
      <c r="G3050" t="s">
        <v>83</v>
      </c>
      <c r="H3050" t="s">
        <v>610</v>
      </c>
      <c r="I3050" t="str">
        <f t="shared" si="77"/>
        <v>2849_1</v>
      </c>
      <c r="J3050" t="s">
        <v>533</v>
      </c>
      <c r="K3050" t="s">
        <v>115</v>
      </c>
      <c r="L3050" t="str">
        <f>_xlfn.XLOOKUP(C3050, Table2[Species],Table2[Genus], "Code Not Found")</f>
        <v>Acer</v>
      </c>
      <c r="M3050" t="str">
        <f>_xlfn.XLOOKUP(C3050, Table2[Species],Table2[Sp. Name], "Code Not Found")</f>
        <v>saccharum</v>
      </c>
      <c r="N3050" t="str">
        <f>_xlfn.XLOOKUP(C3050,Table2[Species],Table2[Family],"Code Not Found")</f>
        <v>Sapindaceae</v>
      </c>
      <c r="O3050" t="str" cm="1">
        <f t="array" ref="O3050">_xlfn.IFS(F3050="","",F3050&lt;=5,"0 to 5",F3050&lt;=10,"5.1 to 10",F3050&lt;=20,"10 to 20", F3050&lt;= 40, "20 to 40", F3050 &lt;= 50, "40 to 50", F3050 &gt; 50, "&gt;50" )</f>
        <v>0 to 5</v>
      </c>
    </row>
    <row r="3051" spans="1:15" ht="15" customHeight="1" x14ac:dyDescent="0.3">
      <c r="A3051" t="s">
        <v>593</v>
      </c>
      <c r="B3051" s="1">
        <v>46223</v>
      </c>
      <c r="C3051" t="s">
        <v>16</v>
      </c>
      <c r="D3051">
        <v>2850</v>
      </c>
      <c r="E3051">
        <v>1</v>
      </c>
      <c r="F3051">
        <v>5.3</v>
      </c>
      <c r="G3051" t="s">
        <v>17</v>
      </c>
      <c r="H3051" t="s">
        <v>36</v>
      </c>
      <c r="I3051" t="str">
        <f t="shared" si="77"/>
        <v>2850_1</v>
      </c>
      <c r="J3051" t="s">
        <v>533</v>
      </c>
      <c r="K3051" t="s">
        <v>115</v>
      </c>
      <c r="L3051" t="str">
        <f>_xlfn.XLOOKUP(C3051, Table2[Species],Table2[Genus], "Code Not Found")</f>
        <v>Acer</v>
      </c>
      <c r="M3051" t="str">
        <f>_xlfn.XLOOKUP(C3051, Table2[Species],Table2[Sp. Name], "Code Not Found")</f>
        <v>saccharum</v>
      </c>
      <c r="N3051" t="str">
        <f>_xlfn.XLOOKUP(C3051,Table2[Species],Table2[Family],"Code Not Found")</f>
        <v>Sapindaceae</v>
      </c>
      <c r="O3051" t="str" cm="1">
        <f t="array" ref="O3051">_xlfn.IFS(F3051="","",F3051&lt;=5,"0 to 5",F3051&lt;=10,"5.1 to 10",F3051&lt;=20,"10 to 20", F3051&lt;= 40, "20 to 40", F3051 &lt;= 50, "40 to 50", F3051 &gt; 50, "&gt;50" )</f>
        <v>5.1 to 10</v>
      </c>
    </row>
    <row r="3052" spans="1:15" ht="15" customHeight="1" x14ac:dyDescent="0.3">
      <c r="A3052" t="s">
        <v>593</v>
      </c>
      <c r="B3052" s="1">
        <v>46223</v>
      </c>
      <c r="C3052" t="s">
        <v>16</v>
      </c>
      <c r="D3052">
        <v>2851</v>
      </c>
      <c r="E3052">
        <v>1</v>
      </c>
      <c r="F3052">
        <v>2.1</v>
      </c>
      <c r="G3052" t="s">
        <v>381</v>
      </c>
      <c r="H3052" t="s">
        <v>611</v>
      </c>
      <c r="I3052" t="str">
        <f t="shared" si="77"/>
        <v>2851_1</v>
      </c>
      <c r="J3052" t="s">
        <v>533</v>
      </c>
      <c r="K3052" t="s">
        <v>115</v>
      </c>
      <c r="L3052" t="str">
        <f>_xlfn.XLOOKUP(C3052, Table2[Species],Table2[Genus], "Code Not Found")</f>
        <v>Acer</v>
      </c>
      <c r="M3052" t="str">
        <f>_xlfn.XLOOKUP(C3052, Table2[Species],Table2[Sp. Name], "Code Not Found")</f>
        <v>saccharum</v>
      </c>
      <c r="N3052" t="str">
        <f>_xlfn.XLOOKUP(C3052,Table2[Species],Table2[Family],"Code Not Found")</f>
        <v>Sapindaceae</v>
      </c>
      <c r="O3052" t="str" cm="1">
        <f t="array" ref="O3052">_xlfn.IFS(F3052="","",F3052&lt;=5,"0 to 5",F3052&lt;=10,"5.1 to 10",F3052&lt;=20,"10 to 20", F3052&lt;= 40, "20 to 40", F3052 &lt;= 50, "40 to 50", F3052 &gt; 50, "&gt;50" )</f>
        <v>0 to 5</v>
      </c>
    </row>
    <row r="3053" spans="1:15" ht="15" customHeight="1" x14ac:dyDescent="0.3">
      <c r="A3053" t="s">
        <v>593</v>
      </c>
      <c r="B3053" s="1">
        <v>46223</v>
      </c>
      <c r="C3053" t="s">
        <v>16</v>
      </c>
      <c r="D3053">
        <v>2852</v>
      </c>
      <c r="E3053">
        <v>1</v>
      </c>
      <c r="F3053">
        <v>1.8</v>
      </c>
      <c r="G3053" t="s">
        <v>47</v>
      </c>
      <c r="H3053" t="s">
        <v>347</v>
      </c>
      <c r="I3053" t="str">
        <f t="shared" si="77"/>
        <v>2852_1</v>
      </c>
      <c r="J3053" t="s">
        <v>533</v>
      </c>
      <c r="K3053" t="s">
        <v>115</v>
      </c>
      <c r="L3053" t="str">
        <f>_xlfn.XLOOKUP(C3053, Table2[Species],Table2[Genus], "Code Not Found")</f>
        <v>Acer</v>
      </c>
      <c r="M3053" t="str">
        <f>_xlfn.XLOOKUP(C3053, Table2[Species],Table2[Sp. Name], "Code Not Found")</f>
        <v>saccharum</v>
      </c>
      <c r="N3053" t="str">
        <f>_xlfn.XLOOKUP(C3053,Table2[Species],Table2[Family],"Code Not Found")</f>
        <v>Sapindaceae</v>
      </c>
      <c r="O3053" t="str" cm="1">
        <f t="array" ref="O3053">_xlfn.IFS(F3053="","",F3053&lt;=5,"0 to 5",F3053&lt;=10,"5.1 to 10",F3053&lt;=20,"10 to 20", F3053&lt;= 40, "20 to 40", F3053 &lt;= 50, "40 to 50", F3053 &gt; 50, "&gt;50" )</f>
        <v>0 to 5</v>
      </c>
    </row>
    <row r="3054" spans="1:15" ht="15" customHeight="1" x14ac:dyDescent="0.3">
      <c r="A3054" t="s">
        <v>593</v>
      </c>
      <c r="B3054" s="1">
        <v>46223</v>
      </c>
      <c r="C3054" t="s">
        <v>22</v>
      </c>
      <c r="D3054">
        <v>2853</v>
      </c>
      <c r="E3054">
        <v>1</v>
      </c>
      <c r="F3054">
        <v>15.3</v>
      </c>
      <c r="G3054" t="s">
        <v>30</v>
      </c>
      <c r="H3054" t="s">
        <v>612</v>
      </c>
      <c r="I3054" t="str">
        <f t="shared" si="77"/>
        <v>2853_1</v>
      </c>
      <c r="J3054" t="s">
        <v>533</v>
      </c>
      <c r="K3054" t="s">
        <v>115</v>
      </c>
      <c r="L3054" t="str">
        <f>_xlfn.XLOOKUP(C3054, Table2[Species],Table2[Genus], "Code Not Found")</f>
        <v>Acer</v>
      </c>
      <c r="M3054" t="str">
        <f>_xlfn.XLOOKUP(C3054, Table2[Species],Table2[Sp. Name], "Code Not Found")</f>
        <v>rubrum</v>
      </c>
      <c r="N3054" t="str">
        <f>_xlfn.XLOOKUP(C3054,Table2[Species],Table2[Family],"Code Not Found")</f>
        <v>Sapindaceae</v>
      </c>
      <c r="O3054" t="str" cm="1">
        <f t="array" ref="O3054">_xlfn.IFS(F3054="","",F3054&lt;=5,"0 to 5",F3054&lt;=10,"5.1 to 10",F3054&lt;=20,"10 to 20", F3054&lt;= 40, "20 to 40", F3054 &lt;= 50, "40 to 50", F3054 &gt; 50, "&gt;50" )</f>
        <v>10 to 20</v>
      </c>
    </row>
    <row r="3055" spans="1:15" ht="15" customHeight="1" x14ac:dyDescent="0.3">
      <c r="A3055" t="s">
        <v>593</v>
      </c>
      <c r="B3055" s="1">
        <v>46223</v>
      </c>
      <c r="C3055" t="s">
        <v>16</v>
      </c>
      <c r="D3055">
        <v>2854</v>
      </c>
      <c r="E3055">
        <v>1</v>
      </c>
      <c r="F3055">
        <v>1.3</v>
      </c>
      <c r="G3055" t="s">
        <v>557</v>
      </c>
      <c r="H3055" t="s">
        <v>296</v>
      </c>
      <c r="I3055" t="str">
        <f t="shared" si="77"/>
        <v>2854_1</v>
      </c>
      <c r="J3055" t="s">
        <v>533</v>
      </c>
      <c r="K3055" t="s">
        <v>115</v>
      </c>
      <c r="L3055" t="str">
        <f>_xlfn.XLOOKUP(C3055, Table2[Species],Table2[Genus], "Code Not Found")</f>
        <v>Acer</v>
      </c>
      <c r="M3055" t="str">
        <f>_xlfn.XLOOKUP(C3055, Table2[Species],Table2[Sp. Name], "Code Not Found")</f>
        <v>saccharum</v>
      </c>
      <c r="N3055" t="str">
        <f>_xlfn.XLOOKUP(C3055,Table2[Species],Table2[Family],"Code Not Found")</f>
        <v>Sapindaceae</v>
      </c>
      <c r="O3055" t="str" cm="1">
        <f t="array" ref="O3055">_xlfn.IFS(F3055="","",F3055&lt;=5,"0 to 5",F3055&lt;=10,"5.1 to 10",F3055&lt;=20,"10 to 20", F3055&lt;= 40, "20 to 40", F3055 &lt;= 50, "40 to 50", F3055 &gt; 50, "&gt;50" )</f>
        <v>0 to 5</v>
      </c>
    </row>
    <row r="3056" spans="1:15" ht="15" customHeight="1" x14ac:dyDescent="0.3">
      <c r="A3056" t="s">
        <v>593</v>
      </c>
      <c r="B3056" s="1">
        <v>46223</v>
      </c>
      <c r="C3056" t="s">
        <v>22</v>
      </c>
      <c r="D3056">
        <v>2855</v>
      </c>
      <c r="E3056">
        <v>1</v>
      </c>
      <c r="F3056">
        <v>52.1</v>
      </c>
      <c r="G3056" t="s">
        <v>56</v>
      </c>
      <c r="H3056" t="s">
        <v>613</v>
      </c>
      <c r="I3056" t="str">
        <f t="shared" si="77"/>
        <v>2855_1</v>
      </c>
      <c r="J3056" t="s">
        <v>533</v>
      </c>
      <c r="K3056" t="s">
        <v>115</v>
      </c>
      <c r="L3056" t="str">
        <f>_xlfn.XLOOKUP(C3056, Table2[Species],Table2[Genus], "Code Not Found")</f>
        <v>Acer</v>
      </c>
      <c r="M3056" t="str">
        <f>_xlfn.XLOOKUP(C3056, Table2[Species],Table2[Sp. Name], "Code Not Found")</f>
        <v>rubrum</v>
      </c>
      <c r="N3056" t="str">
        <f>_xlfn.XLOOKUP(C3056,Table2[Species],Table2[Family],"Code Not Found")</f>
        <v>Sapindaceae</v>
      </c>
      <c r="O3056" t="str" cm="1">
        <f t="array" ref="O3056">_xlfn.IFS(F3056="","",F3056&lt;=5,"0 to 5",F3056&lt;=10,"5.1 to 10",F3056&lt;=20,"10 to 20", F3056&lt;= 40, "20 to 40", F3056 &lt;= 50, "40 to 50", F3056 &gt; 50, "&gt;50" )</f>
        <v>&gt;50</v>
      </c>
    </row>
    <row r="3057" spans="1:15" ht="15" customHeight="1" x14ac:dyDescent="0.3">
      <c r="A3057" t="s">
        <v>593</v>
      </c>
      <c r="B3057" s="1">
        <v>46223</v>
      </c>
      <c r="C3057" t="s">
        <v>16</v>
      </c>
      <c r="D3057">
        <v>2856</v>
      </c>
      <c r="E3057">
        <v>1</v>
      </c>
      <c r="F3057">
        <v>1.9</v>
      </c>
      <c r="G3057" t="s">
        <v>47</v>
      </c>
      <c r="H3057" t="s">
        <v>296</v>
      </c>
      <c r="I3057" t="str">
        <f t="shared" si="77"/>
        <v>2856_1</v>
      </c>
      <c r="J3057" t="s">
        <v>533</v>
      </c>
      <c r="K3057" t="s">
        <v>115</v>
      </c>
      <c r="L3057" t="str">
        <f>_xlfn.XLOOKUP(C3057, Table2[Species],Table2[Genus], "Code Not Found")</f>
        <v>Acer</v>
      </c>
      <c r="M3057" t="str">
        <f>_xlfn.XLOOKUP(C3057, Table2[Species],Table2[Sp. Name], "Code Not Found")</f>
        <v>saccharum</v>
      </c>
      <c r="N3057" t="str">
        <f>_xlfn.XLOOKUP(C3057,Table2[Species],Table2[Family],"Code Not Found")</f>
        <v>Sapindaceae</v>
      </c>
      <c r="O3057" t="str" cm="1">
        <f t="array" ref="O3057">_xlfn.IFS(F3057="","",F3057&lt;=5,"0 to 5",F3057&lt;=10,"5.1 to 10",F3057&lt;=20,"10 to 20", F3057&lt;= 40, "20 to 40", F3057 &lt;= 50, "40 to 50", F3057 &gt; 50, "&gt;50" )</f>
        <v>0 to 5</v>
      </c>
    </row>
    <row r="3058" spans="1:15" ht="15" customHeight="1" x14ac:dyDescent="0.3">
      <c r="A3058" t="s">
        <v>593</v>
      </c>
      <c r="B3058" s="1">
        <v>46223</v>
      </c>
      <c r="C3058" t="s">
        <v>22</v>
      </c>
      <c r="D3058">
        <v>2857</v>
      </c>
      <c r="E3058">
        <v>1</v>
      </c>
      <c r="F3058">
        <v>12.9</v>
      </c>
      <c r="G3058" t="s">
        <v>21</v>
      </c>
      <c r="I3058" t="str">
        <f t="shared" ref="I3058:I3089" si="78">D3058&amp;"_"&amp;E3058</f>
        <v>2857_1</v>
      </c>
      <c r="J3058" t="s">
        <v>533</v>
      </c>
      <c r="K3058" t="s">
        <v>115</v>
      </c>
      <c r="L3058" t="str">
        <f>_xlfn.XLOOKUP(C3058, Table2[Species],Table2[Genus], "Code Not Found")</f>
        <v>Acer</v>
      </c>
      <c r="M3058" t="str">
        <f>_xlfn.XLOOKUP(C3058, Table2[Species],Table2[Sp. Name], "Code Not Found")</f>
        <v>rubrum</v>
      </c>
      <c r="N3058" t="str">
        <f>_xlfn.XLOOKUP(C3058,Table2[Species],Table2[Family],"Code Not Found")</f>
        <v>Sapindaceae</v>
      </c>
      <c r="O3058" t="str" cm="1">
        <f t="array" ref="O3058">_xlfn.IFS(F3058="","",F3058&lt;=5,"0 to 5",F3058&lt;=10,"5.1 to 10",F3058&lt;=20,"10 to 20", F3058&lt;= 40, "20 to 40", F3058 &lt;= 50, "40 to 50", F3058 &gt; 50, "&gt;50" )</f>
        <v>10 to 20</v>
      </c>
    </row>
    <row r="3059" spans="1:15" ht="15" customHeight="1" x14ac:dyDescent="0.3">
      <c r="A3059" t="s">
        <v>593</v>
      </c>
      <c r="B3059" s="1">
        <v>46223</v>
      </c>
      <c r="C3059" t="s">
        <v>22</v>
      </c>
      <c r="D3059">
        <v>2858</v>
      </c>
      <c r="E3059">
        <v>1</v>
      </c>
      <c r="F3059">
        <v>51.6</v>
      </c>
      <c r="G3059" t="s">
        <v>56</v>
      </c>
      <c r="H3059" t="s">
        <v>614</v>
      </c>
      <c r="I3059" t="str">
        <f t="shared" si="78"/>
        <v>2858_1</v>
      </c>
      <c r="J3059" t="s">
        <v>533</v>
      </c>
      <c r="K3059" t="s">
        <v>115</v>
      </c>
      <c r="L3059" t="str">
        <f>_xlfn.XLOOKUP(C3059, Table2[Species],Table2[Genus], "Code Not Found")</f>
        <v>Acer</v>
      </c>
      <c r="M3059" t="str">
        <f>_xlfn.XLOOKUP(C3059, Table2[Species],Table2[Sp. Name], "Code Not Found")</f>
        <v>rubrum</v>
      </c>
      <c r="N3059" t="str">
        <f>_xlfn.XLOOKUP(C3059,Table2[Species],Table2[Family],"Code Not Found")</f>
        <v>Sapindaceae</v>
      </c>
      <c r="O3059" t="str" cm="1">
        <f t="array" ref="O3059">_xlfn.IFS(F3059="","",F3059&lt;=5,"0 to 5",F3059&lt;=10,"5.1 to 10",F3059&lt;=20,"10 to 20", F3059&lt;= 40, "20 to 40", F3059 &lt;= 50, "40 to 50", F3059 &gt; 50, "&gt;50" )</f>
        <v>&gt;50</v>
      </c>
    </row>
    <row r="3060" spans="1:15" ht="15" customHeight="1" x14ac:dyDescent="0.3">
      <c r="A3060" t="s">
        <v>593</v>
      </c>
      <c r="B3060" s="1">
        <v>46223</v>
      </c>
      <c r="C3060" t="s">
        <v>16</v>
      </c>
      <c r="D3060">
        <v>2859</v>
      </c>
      <c r="E3060">
        <v>1</v>
      </c>
      <c r="F3060">
        <v>2.7</v>
      </c>
      <c r="G3060" t="s">
        <v>47</v>
      </c>
      <c r="H3060" t="s">
        <v>296</v>
      </c>
      <c r="I3060" t="str">
        <f t="shared" si="78"/>
        <v>2859_1</v>
      </c>
      <c r="J3060" t="s">
        <v>533</v>
      </c>
      <c r="K3060" t="s">
        <v>115</v>
      </c>
      <c r="L3060" t="str">
        <f>_xlfn.XLOOKUP(C3060, Table2[Species],Table2[Genus], "Code Not Found")</f>
        <v>Acer</v>
      </c>
      <c r="M3060" t="str">
        <f>_xlfn.XLOOKUP(C3060, Table2[Species],Table2[Sp. Name], "Code Not Found")</f>
        <v>saccharum</v>
      </c>
      <c r="N3060" t="str">
        <f>_xlfn.XLOOKUP(C3060,Table2[Species],Table2[Family],"Code Not Found")</f>
        <v>Sapindaceae</v>
      </c>
      <c r="O3060" t="str" cm="1">
        <f t="array" ref="O3060">_xlfn.IFS(F3060="","",F3060&lt;=5,"0 to 5",F3060&lt;=10,"5.1 to 10",F3060&lt;=20,"10 to 20", F3060&lt;= 40, "20 to 40", F3060 &lt;= 50, "40 to 50", F3060 &gt; 50, "&gt;50" )</f>
        <v>0 to 5</v>
      </c>
    </row>
    <row r="3061" spans="1:15" ht="15" customHeight="1" x14ac:dyDescent="0.3">
      <c r="A3061" t="s">
        <v>593</v>
      </c>
      <c r="B3061" s="1">
        <v>46223</v>
      </c>
      <c r="C3061" t="s">
        <v>20</v>
      </c>
      <c r="D3061">
        <v>2860</v>
      </c>
      <c r="E3061">
        <v>1</v>
      </c>
      <c r="F3061">
        <v>36.1</v>
      </c>
      <c r="G3061" t="s">
        <v>47</v>
      </c>
      <c r="H3061" t="s">
        <v>615</v>
      </c>
      <c r="I3061" t="str">
        <f t="shared" si="78"/>
        <v>2860_1</v>
      </c>
      <c r="J3061" t="s">
        <v>533</v>
      </c>
      <c r="K3061" t="s">
        <v>115</v>
      </c>
      <c r="L3061" t="str">
        <f>_xlfn.XLOOKUP(C3061, Table2[Species],Table2[Genus], "Code Not Found")</f>
        <v>Prunus</v>
      </c>
      <c r="M3061" t="str">
        <f>_xlfn.XLOOKUP(C3061, Table2[Species],Table2[Sp. Name], "Code Not Found")</f>
        <v>serotina</v>
      </c>
      <c r="N3061" t="str">
        <f>_xlfn.XLOOKUP(C3061,Table2[Species],Table2[Family],"Code Not Found")</f>
        <v>Rosaceae</v>
      </c>
      <c r="O3061" t="str" cm="1">
        <f t="array" ref="O3061">_xlfn.IFS(F3061="","",F3061&lt;=5,"0 to 5",F3061&lt;=10,"5.1 to 10",F3061&lt;=20,"10 to 20", F3061&lt;= 40, "20 to 40", F3061 &lt;= 50, "40 to 50", F3061 &gt; 50, "&gt;50" )</f>
        <v>20 to 40</v>
      </c>
    </row>
    <row r="3062" spans="1:15" ht="15" customHeight="1" x14ac:dyDescent="0.3">
      <c r="A3062" t="s">
        <v>593</v>
      </c>
      <c r="B3062" s="1">
        <v>46223</v>
      </c>
      <c r="C3062" t="s">
        <v>16</v>
      </c>
      <c r="D3062">
        <v>2861</v>
      </c>
      <c r="E3062">
        <v>1</v>
      </c>
      <c r="F3062">
        <v>2.9</v>
      </c>
      <c r="G3062" t="s">
        <v>21</v>
      </c>
      <c r="I3062" t="str">
        <f t="shared" si="78"/>
        <v>2861_1</v>
      </c>
      <c r="J3062" t="s">
        <v>533</v>
      </c>
      <c r="K3062" t="s">
        <v>115</v>
      </c>
      <c r="L3062" t="str">
        <f>_xlfn.XLOOKUP(C3062, Table2[Species],Table2[Genus], "Code Not Found")</f>
        <v>Acer</v>
      </c>
      <c r="M3062" t="str">
        <f>_xlfn.XLOOKUP(C3062, Table2[Species],Table2[Sp. Name], "Code Not Found")</f>
        <v>saccharum</v>
      </c>
      <c r="N3062" t="str">
        <f>_xlfn.XLOOKUP(C3062,Table2[Species],Table2[Family],"Code Not Found")</f>
        <v>Sapindaceae</v>
      </c>
      <c r="O3062" t="str" cm="1">
        <f t="array" ref="O3062">_xlfn.IFS(F3062="","",F3062&lt;=5,"0 to 5",F3062&lt;=10,"5.1 to 10",F3062&lt;=20,"10 to 20", F3062&lt;= 40, "20 to 40", F3062 &lt;= 50, "40 to 50", F3062 &gt; 50, "&gt;50" )</f>
        <v>0 to 5</v>
      </c>
    </row>
    <row r="3063" spans="1:15" ht="15" customHeight="1" x14ac:dyDescent="0.3">
      <c r="A3063" t="s">
        <v>593</v>
      </c>
      <c r="B3063" s="1">
        <v>46223</v>
      </c>
      <c r="C3063" t="s">
        <v>16</v>
      </c>
      <c r="D3063">
        <v>2862</v>
      </c>
      <c r="E3063">
        <v>1</v>
      </c>
      <c r="F3063">
        <v>9</v>
      </c>
      <c r="G3063" t="s">
        <v>21</v>
      </c>
      <c r="I3063" t="str">
        <f t="shared" si="78"/>
        <v>2862_1</v>
      </c>
      <c r="J3063" t="s">
        <v>533</v>
      </c>
      <c r="K3063" t="s">
        <v>115</v>
      </c>
      <c r="L3063" t="str">
        <f>_xlfn.XLOOKUP(C3063, Table2[Species],Table2[Genus], "Code Not Found")</f>
        <v>Acer</v>
      </c>
      <c r="M3063" t="str">
        <f>_xlfn.XLOOKUP(C3063, Table2[Species],Table2[Sp. Name], "Code Not Found")</f>
        <v>saccharum</v>
      </c>
      <c r="N3063" t="str">
        <f>_xlfn.XLOOKUP(C3063,Table2[Species],Table2[Family],"Code Not Found")</f>
        <v>Sapindaceae</v>
      </c>
      <c r="O3063" t="str" cm="1">
        <f t="array" ref="O3063">_xlfn.IFS(F3063="","",F3063&lt;=5,"0 to 5",F3063&lt;=10,"5.1 to 10",F3063&lt;=20,"10 to 20", F3063&lt;= 40, "20 to 40", F3063 &lt;= 50, "40 to 50", F3063 &gt; 50, "&gt;50" )</f>
        <v>5.1 to 10</v>
      </c>
    </row>
    <row r="3064" spans="1:15" ht="15" customHeight="1" x14ac:dyDescent="0.3">
      <c r="A3064" t="s">
        <v>593</v>
      </c>
      <c r="B3064" s="1">
        <v>46223</v>
      </c>
      <c r="C3064" t="s">
        <v>16</v>
      </c>
      <c r="D3064">
        <v>2863</v>
      </c>
      <c r="E3064">
        <v>1</v>
      </c>
      <c r="F3064">
        <v>3.2</v>
      </c>
      <c r="G3064" t="s">
        <v>21</v>
      </c>
      <c r="I3064" t="str">
        <f t="shared" si="78"/>
        <v>2863_1</v>
      </c>
      <c r="J3064" t="s">
        <v>533</v>
      </c>
      <c r="K3064" t="s">
        <v>115</v>
      </c>
      <c r="L3064" t="str">
        <f>_xlfn.XLOOKUP(C3064, Table2[Species],Table2[Genus], "Code Not Found")</f>
        <v>Acer</v>
      </c>
      <c r="M3064" t="str">
        <f>_xlfn.XLOOKUP(C3064, Table2[Species],Table2[Sp. Name], "Code Not Found")</f>
        <v>saccharum</v>
      </c>
      <c r="N3064" t="str">
        <f>_xlfn.XLOOKUP(C3064,Table2[Species],Table2[Family],"Code Not Found")</f>
        <v>Sapindaceae</v>
      </c>
      <c r="O3064" t="str" cm="1">
        <f t="array" ref="O3064">_xlfn.IFS(F3064="","",F3064&lt;=5,"0 to 5",F3064&lt;=10,"5.1 to 10",F3064&lt;=20,"10 to 20", F3064&lt;= 40, "20 to 40", F3064 &lt;= 50, "40 to 50", F3064 &gt; 50, "&gt;50" )</f>
        <v>0 to 5</v>
      </c>
    </row>
    <row r="3065" spans="1:15" ht="15" customHeight="1" x14ac:dyDescent="0.3">
      <c r="A3065" t="s">
        <v>593</v>
      </c>
      <c r="B3065" s="1">
        <v>46223</v>
      </c>
      <c r="C3065" t="s">
        <v>16</v>
      </c>
      <c r="D3065">
        <v>2864</v>
      </c>
      <c r="E3065">
        <v>1</v>
      </c>
      <c r="F3065">
        <v>1.6</v>
      </c>
      <c r="G3065" t="s">
        <v>21</v>
      </c>
      <c r="I3065" t="str">
        <f t="shared" si="78"/>
        <v>2864_1</v>
      </c>
      <c r="J3065" t="s">
        <v>533</v>
      </c>
      <c r="K3065" t="s">
        <v>115</v>
      </c>
      <c r="L3065" t="str">
        <f>_xlfn.XLOOKUP(C3065, Table2[Species],Table2[Genus], "Code Not Found")</f>
        <v>Acer</v>
      </c>
      <c r="M3065" t="str">
        <f>_xlfn.XLOOKUP(C3065, Table2[Species],Table2[Sp. Name], "Code Not Found")</f>
        <v>saccharum</v>
      </c>
      <c r="N3065" t="str">
        <f>_xlfn.XLOOKUP(C3065,Table2[Species],Table2[Family],"Code Not Found")</f>
        <v>Sapindaceae</v>
      </c>
      <c r="O3065" t="str" cm="1">
        <f t="array" ref="O3065">_xlfn.IFS(F3065="","",F3065&lt;=5,"0 to 5",F3065&lt;=10,"5.1 to 10",F3065&lt;=20,"10 to 20", F3065&lt;= 40, "20 to 40", F3065 &lt;= 50, "40 to 50", F3065 &gt; 50, "&gt;50" )</f>
        <v>0 to 5</v>
      </c>
    </row>
    <row r="3066" spans="1:15" ht="15" customHeight="1" x14ac:dyDescent="0.3">
      <c r="A3066" t="s">
        <v>593</v>
      </c>
      <c r="B3066" s="1">
        <v>46223</v>
      </c>
      <c r="C3066" t="s">
        <v>16</v>
      </c>
      <c r="D3066">
        <v>2865</v>
      </c>
      <c r="E3066">
        <v>1</v>
      </c>
      <c r="F3066">
        <v>15</v>
      </c>
      <c r="G3066" t="s">
        <v>30</v>
      </c>
      <c r="H3066" t="s">
        <v>558</v>
      </c>
      <c r="I3066" t="str">
        <f t="shared" si="78"/>
        <v>2865_1</v>
      </c>
      <c r="J3066" t="s">
        <v>533</v>
      </c>
      <c r="K3066" t="s">
        <v>115</v>
      </c>
      <c r="L3066" t="str">
        <f>_xlfn.XLOOKUP(C3066, Table2[Species],Table2[Genus], "Code Not Found")</f>
        <v>Acer</v>
      </c>
      <c r="M3066" t="str">
        <f>_xlfn.XLOOKUP(C3066, Table2[Species],Table2[Sp. Name], "Code Not Found")</f>
        <v>saccharum</v>
      </c>
      <c r="N3066" t="str">
        <f>_xlfn.XLOOKUP(C3066,Table2[Species],Table2[Family],"Code Not Found")</f>
        <v>Sapindaceae</v>
      </c>
      <c r="O3066" t="str" cm="1">
        <f t="array" ref="O3066">_xlfn.IFS(F3066="","",F3066&lt;=5,"0 to 5",F3066&lt;=10,"5.1 to 10",F3066&lt;=20,"10 to 20", F3066&lt;= 40, "20 to 40", F3066 &lt;= 50, "40 to 50", F3066 &gt; 50, "&gt;50" )</f>
        <v>10 to 20</v>
      </c>
    </row>
    <row r="3067" spans="1:15" ht="15" customHeight="1" x14ac:dyDescent="0.3">
      <c r="A3067" t="s">
        <v>593</v>
      </c>
      <c r="B3067" s="1">
        <v>46223</v>
      </c>
      <c r="C3067" t="s">
        <v>16</v>
      </c>
      <c r="D3067">
        <v>2866</v>
      </c>
      <c r="E3067">
        <v>1</v>
      </c>
      <c r="F3067">
        <v>6.2</v>
      </c>
      <c r="G3067" t="s">
        <v>30</v>
      </c>
      <c r="H3067" t="s">
        <v>234</v>
      </c>
      <c r="I3067" t="str">
        <f t="shared" si="78"/>
        <v>2866_1</v>
      </c>
      <c r="J3067" t="s">
        <v>533</v>
      </c>
      <c r="K3067" t="s">
        <v>115</v>
      </c>
      <c r="L3067" t="str">
        <f>_xlfn.XLOOKUP(C3067, Table2[Species],Table2[Genus], "Code Not Found")</f>
        <v>Acer</v>
      </c>
      <c r="M3067" t="str">
        <f>_xlfn.XLOOKUP(C3067, Table2[Species],Table2[Sp. Name], "Code Not Found")</f>
        <v>saccharum</v>
      </c>
      <c r="N3067" t="str">
        <f>_xlfn.XLOOKUP(C3067,Table2[Species],Table2[Family],"Code Not Found")</f>
        <v>Sapindaceae</v>
      </c>
      <c r="O3067" t="str" cm="1">
        <f t="array" ref="O3067">_xlfn.IFS(F3067="","",F3067&lt;=5,"0 to 5",F3067&lt;=10,"5.1 to 10",F3067&lt;=20,"10 to 20", F3067&lt;= 40, "20 to 40", F3067 &lt;= 50, "40 to 50", F3067 &gt; 50, "&gt;50" )</f>
        <v>5.1 to 10</v>
      </c>
    </row>
    <row r="3068" spans="1:15" ht="15" customHeight="1" x14ac:dyDescent="0.3">
      <c r="A3068" t="s">
        <v>593</v>
      </c>
      <c r="B3068" s="1">
        <v>46223</v>
      </c>
      <c r="C3068" t="s">
        <v>22</v>
      </c>
      <c r="D3068">
        <v>2867</v>
      </c>
      <c r="E3068">
        <v>1</v>
      </c>
      <c r="F3068">
        <v>22.7</v>
      </c>
      <c r="G3068" t="s">
        <v>21</v>
      </c>
      <c r="I3068" t="str">
        <f t="shared" si="78"/>
        <v>2867_1</v>
      </c>
      <c r="J3068" t="s">
        <v>533</v>
      </c>
      <c r="K3068" t="s">
        <v>115</v>
      </c>
      <c r="L3068" t="str">
        <f>_xlfn.XLOOKUP(C3068, Table2[Species],Table2[Genus], "Code Not Found")</f>
        <v>Acer</v>
      </c>
      <c r="M3068" t="str">
        <f>_xlfn.XLOOKUP(C3068, Table2[Species],Table2[Sp. Name], "Code Not Found")</f>
        <v>rubrum</v>
      </c>
      <c r="N3068" t="str">
        <f>_xlfn.XLOOKUP(C3068,Table2[Species],Table2[Family],"Code Not Found")</f>
        <v>Sapindaceae</v>
      </c>
      <c r="O3068" t="str" cm="1">
        <f t="array" ref="O3068">_xlfn.IFS(F3068="","",F3068&lt;=5,"0 to 5",F3068&lt;=10,"5.1 to 10",F3068&lt;=20,"10 to 20", F3068&lt;= 40, "20 to 40", F3068 &lt;= 50, "40 to 50", F3068 &gt; 50, "&gt;50" )</f>
        <v>20 to 40</v>
      </c>
    </row>
    <row r="3069" spans="1:15" ht="15" customHeight="1" x14ac:dyDescent="0.3">
      <c r="A3069" t="s">
        <v>593</v>
      </c>
      <c r="B3069" s="1">
        <v>46223</v>
      </c>
      <c r="C3069" t="s">
        <v>16</v>
      </c>
      <c r="D3069">
        <v>2868</v>
      </c>
      <c r="E3069">
        <v>1</v>
      </c>
      <c r="F3069">
        <v>3.2</v>
      </c>
      <c r="G3069" t="s">
        <v>17</v>
      </c>
      <c r="I3069" t="str">
        <f t="shared" si="78"/>
        <v>2868_1</v>
      </c>
      <c r="J3069" t="s">
        <v>533</v>
      </c>
      <c r="K3069" t="s">
        <v>115</v>
      </c>
      <c r="L3069" t="str">
        <f>_xlfn.XLOOKUP(C3069, Table2[Species],Table2[Genus], "Code Not Found")</f>
        <v>Acer</v>
      </c>
      <c r="M3069" t="str">
        <f>_xlfn.XLOOKUP(C3069, Table2[Species],Table2[Sp. Name], "Code Not Found")</f>
        <v>saccharum</v>
      </c>
      <c r="N3069" t="str">
        <f>_xlfn.XLOOKUP(C3069,Table2[Species],Table2[Family],"Code Not Found")</f>
        <v>Sapindaceae</v>
      </c>
      <c r="O3069" t="str" cm="1">
        <f t="array" ref="O3069">_xlfn.IFS(F3069="","",F3069&lt;=5,"0 to 5",F3069&lt;=10,"5.1 to 10",F3069&lt;=20,"10 to 20", F3069&lt;= 40, "20 to 40", F3069 &lt;= 50, "40 to 50", F3069 &gt; 50, "&gt;50" )</f>
        <v>0 to 5</v>
      </c>
    </row>
    <row r="3070" spans="1:15" ht="15" customHeight="1" x14ac:dyDescent="0.3">
      <c r="A3070" t="s">
        <v>593</v>
      </c>
      <c r="B3070" s="1">
        <v>46223</v>
      </c>
      <c r="C3070" t="s">
        <v>22</v>
      </c>
      <c r="D3070">
        <v>2869</v>
      </c>
      <c r="E3070">
        <v>1</v>
      </c>
      <c r="F3070">
        <v>62.9</v>
      </c>
      <c r="G3070" t="s">
        <v>21</v>
      </c>
      <c r="I3070" t="str">
        <f t="shared" si="78"/>
        <v>2869_1</v>
      </c>
      <c r="J3070" t="s">
        <v>533</v>
      </c>
      <c r="K3070" t="s">
        <v>115</v>
      </c>
      <c r="L3070" t="str">
        <f>_xlfn.XLOOKUP(C3070, Table2[Species],Table2[Genus], "Code Not Found")</f>
        <v>Acer</v>
      </c>
      <c r="M3070" t="str">
        <f>_xlfn.XLOOKUP(C3070, Table2[Species],Table2[Sp. Name], "Code Not Found")</f>
        <v>rubrum</v>
      </c>
      <c r="N3070" t="str">
        <f>_xlfn.XLOOKUP(C3070,Table2[Species],Table2[Family],"Code Not Found")</f>
        <v>Sapindaceae</v>
      </c>
      <c r="O3070" t="str" cm="1">
        <f t="array" ref="O3070">_xlfn.IFS(F3070="","",F3070&lt;=5,"0 to 5",F3070&lt;=10,"5.1 to 10",F3070&lt;=20,"10 to 20", F3070&lt;= 40, "20 to 40", F3070 &lt;= 50, "40 to 50", F3070 &gt; 50, "&gt;50" )</f>
        <v>&gt;50</v>
      </c>
    </row>
    <row r="3071" spans="1:15" ht="15" customHeight="1" x14ac:dyDescent="0.3">
      <c r="A3071" t="s">
        <v>593</v>
      </c>
      <c r="B3071" s="1">
        <v>46223</v>
      </c>
      <c r="C3071" t="s">
        <v>16</v>
      </c>
      <c r="D3071">
        <v>2870</v>
      </c>
      <c r="E3071">
        <v>1</v>
      </c>
      <c r="F3071">
        <v>4.5</v>
      </c>
      <c r="G3071" t="s">
        <v>21</v>
      </c>
      <c r="I3071" t="str">
        <f t="shared" si="78"/>
        <v>2870_1</v>
      </c>
      <c r="J3071" t="s">
        <v>533</v>
      </c>
      <c r="K3071" t="s">
        <v>115</v>
      </c>
      <c r="L3071" t="str">
        <f>_xlfn.XLOOKUP(C3071, Table2[Species],Table2[Genus], "Code Not Found")</f>
        <v>Acer</v>
      </c>
      <c r="M3071" t="str">
        <f>_xlfn.XLOOKUP(C3071, Table2[Species],Table2[Sp. Name], "Code Not Found")</f>
        <v>saccharum</v>
      </c>
      <c r="N3071" t="str">
        <f>_xlfn.XLOOKUP(C3071,Table2[Species],Table2[Family],"Code Not Found")</f>
        <v>Sapindaceae</v>
      </c>
      <c r="O3071" t="str" cm="1">
        <f t="array" ref="O3071">_xlfn.IFS(F3071="","",F3071&lt;=5,"0 to 5",F3071&lt;=10,"5.1 to 10",F3071&lt;=20,"10 to 20", F3071&lt;= 40, "20 to 40", F3071 &lt;= 50, "40 to 50", F3071 &gt; 50, "&gt;50" )</f>
        <v>0 to 5</v>
      </c>
    </row>
    <row r="3072" spans="1:15" ht="15" customHeight="1" x14ac:dyDescent="0.3">
      <c r="A3072" t="s">
        <v>593</v>
      </c>
      <c r="B3072" s="1">
        <v>46223</v>
      </c>
      <c r="C3072" t="s">
        <v>16</v>
      </c>
      <c r="D3072">
        <v>2871</v>
      </c>
      <c r="E3072">
        <v>1</v>
      </c>
      <c r="F3072">
        <v>4.3</v>
      </c>
      <c r="G3072" t="s">
        <v>471</v>
      </c>
      <c r="H3072" t="s">
        <v>36</v>
      </c>
      <c r="I3072" t="str">
        <f t="shared" si="78"/>
        <v>2871_1</v>
      </c>
      <c r="J3072" t="s">
        <v>533</v>
      </c>
      <c r="K3072" t="s">
        <v>115</v>
      </c>
      <c r="L3072" t="str">
        <f>_xlfn.XLOOKUP(C3072, Table2[Species],Table2[Genus], "Code Not Found")</f>
        <v>Acer</v>
      </c>
      <c r="M3072" t="str">
        <f>_xlfn.XLOOKUP(C3072, Table2[Species],Table2[Sp. Name], "Code Not Found")</f>
        <v>saccharum</v>
      </c>
      <c r="N3072" t="str">
        <f>_xlfn.XLOOKUP(C3072,Table2[Species],Table2[Family],"Code Not Found")</f>
        <v>Sapindaceae</v>
      </c>
      <c r="O3072" t="str" cm="1">
        <f t="array" ref="O3072">_xlfn.IFS(F3072="","",F3072&lt;=5,"0 to 5",F3072&lt;=10,"5.1 to 10",F3072&lt;=20,"10 to 20", F3072&lt;= 40, "20 to 40", F3072 &lt;= 50, "40 to 50", F3072 &gt; 50, "&gt;50" )</f>
        <v>0 to 5</v>
      </c>
    </row>
    <row r="3073" spans="1:15" ht="15" customHeight="1" x14ac:dyDescent="0.3">
      <c r="A3073" t="s">
        <v>593</v>
      </c>
      <c r="B3073" s="1">
        <v>46223</v>
      </c>
      <c r="C3073" t="s">
        <v>16</v>
      </c>
      <c r="D3073">
        <v>2872</v>
      </c>
      <c r="E3073">
        <v>1</v>
      </c>
      <c r="F3073">
        <v>1.1000000000000001</v>
      </c>
      <c r="G3073" t="s">
        <v>21</v>
      </c>
      <c r="I3073" t="str">
        <f t="shared" si="78"/>
        <v>2872_1</v>
      </c>
      <c r="J3073" t="s">
        <v>533</v>
      </c>
      <c r="K3073" t="s">
        <v>115</v>
      </c>
      <c r="L3073" t="str">
        <f>_xlfn.XLOOKUP(C3073, Table2[Species],Table2[Genus], "Code Not Found")</f>
        <v>Acer</v>
      </c>
      <c r="M3073" t="str">
        <f>_xlfn.XLOOKUP(C3073, Table2[Species],Table2[Sp. Name], "Code Not Found")</f>
        <v>saccharum</v>
      </c>
      <c r="N3073" t="str">
        <f>_xlfn.XLOOKUP(C3073,Table2[Species],Table2[Family],"Code Not Found")</f>
        <v>Sapindaceae</v>
      </c>
      <c r="O3073" t="str" cm="1">
        <f t="array" ref="O3073">_xlfn.IFS(F3073="","",F3073&lt;=5,"0 to 5",F3073&lt;=10,"5.1 to 10",F3073&lt;=20,"10 to 20", F3073&lt;= 40, "20 to 40", F3073 &lt;= 50, "40 to 50", F3073 &gt; 50, "&gt;50" )</f>
        <v>0 to 5</v>
      </c>
    </row>
    <row r="3074" spans="1:15" ht="15" customHeight="1" x14ac:dyDescent="0.3">
      <c r="A3074" t="s">
        <v>593</v>
      </c>
      <c r="B3074" s="1">
        <v>46223</v>
      </c>
      <c r="C3074" t="s">
        <v>187</v>
      </c>
      <c r="D3074">
        <v>2873</v>
      </c>
      <c r="E3074">
        <v>1</v>
      </c>
      <c r="F3074">
        <v>47.2</v>
      </c>
      <c r="G3074" t="s">
        <v>21</v>
      </c>
      <c r="I3074" t="str">
        <f t="shared" si="78"/>
        <v>2873_1</v>
      </c>
      <c r="J3074" t="s">
        <v>533</v>
      </c>
      <c r="K3074" t="s">
        <v>115</v>
      </c>
      <c r="L3074" t="str">
        <f>_xlfn.XLOOKUP(C3074, Table2[Species],Table2[Genus], "Code Not Found")</f>
        <v>Carya</v>
      </c>
      <c r="M3074" t="str">
        <f>_xlfn.XLOOKUP(C3074, Table2[Species],Table2[Sp. Name], "Code Not Found")</f>
        <v>cordiformis</v>
      </c>
      <c r="N3074" t="str">
        <f>_xlfn.XLOOKUP(C3074,Table2[Species],Table2[Family],"Code Not Found")</f>
        <v>Juglandaceae</v>
      </c>
      <c r="O3074" t="str" cm="1">
        <f t="array" ref="O3074">_xlfn.IFS(F3074="","",F3074&lt;=5,"0 to 5",F3074&lt;=10,"5.1 to 10",F3074&lt;=20,"10 to 20", F3074&lt;= 40, "20 to 40", F3074 &lt;= 50, "40 to 50", F3074 &gt; 50, "&gt;50" )</f>
        <v>40 to 50</v>
      </c>
    </row>
    <row r="3075" spans="1:15" ht="15" customHeight="1" x14ac:dyDescent="0.3">
      <c r="A3075" t="s">
        <v>593</v>
      </c>
      <c r="B3075" s="1">
        <v>46223</v>
      </c>
      <c r="C3075" t="s">
        <v>22</v>
      </c>
      <c r="D3075">
        <v>2874</v>
      </c>
      <c r="E3075">
        <v>1</v>
      </c>
      <c r="F3075">
        <v>35.9</v>
      </c>
      <c r="G3075" t="s">
        <v>21</v>
      </c>
      <c r="I3075" t="str">
        <f t="shared" si="78"/>
        <v>2874_1</v>
      </c>
      <c r="J3075" t="s">
        <v>533</v>
      </c>
      <c r="K3075" t="s">
        <v>115</v>
      </c>
      <c r="L3075" t="str">
        <f>_xlfn.XLOOKUP(C3075, Table2[Species],Table2[Genus], "Code Not Found")</f>
        <v>Acer</v>
      </c>
      <c r="M3075" t="str">
        <f>_xlfn.XLOOKUP(C3075, Table2[Species],Table2[Sp. Name], "Code Not Found")</f>
        <v>rubrum</v>
      </c>
      <c r="N3075" t="str">
        <f>_xlfn.XLOOKUP(C3075,Table2[Species],Table2[Family],"Code Not Found")</f>
        <v>Sapindaceae</v>
      </c>
      <c r="O3075" t="str" cm="1">
        <f t="array" ref="O3075">_xlfn.IFS(F3075="","",F3075&lt;=5,"0 to 5",F3075&lt;=10,"5.1 to 10",F3075&lt;=20,"10 to 20", F3075&lt;= 40, "20 to 40", F3075 &lt;= 50, "40 to 50", F3075 &gt; 50, "&gt;50" )</f>
        <v>20 to 40</v>
      </c>
    </row>
    <row r="3076" spans="1:15" ht="15" customHeight="1" x14ac:dyDescent="0.3">
      <c r="A3076" t="s">
        <v>593</v>
      </c>
      <c r="B3076" s="1">
        <v>46223</v>
      </c>
      <c r="C3076" t="s">
        <v>22</v>
      </c>
      <c r="D3076">
        <v>2875</v>
      </c>
      <c r="E3076">
        <v>1</v>
      </c>
      <c r="F3076">
        <v>23</v>
      </c>
      <c r="G3076" t="s">
        <v>21</v>
      </c>
      <c r="I3076" t="str">
        <f t="shared" si="78"/>
        <v>2875_1</v>
      </c>
      <c r="J3076" t="s">
        <v>533</v>
      </c>
      <c r="K3076" t="s">
        <v>115</v>
      </c>
      <c r="L3076" t="str">
        <f>_xlfn.XLOOKUP(C3076, Table2[Species],Table2[Genus], "Code Not Found")</f>
        <v>Acer</v>
      </c>
      <c r="M3076" t="str">
        <f>_xlfn.XLOOKUP(C3076, Table2[Species],Table2[Sp. Name], "Code Not Found")</f>
        <v>rubrum</v>
      </c>
      <c r="N3076" t="str">
        <f>_xlfn.XLOOKUP(C3076,Table2[Species],Table2[Family],"Code Not Found")</f>
        <v>Sapindaceae</v>
      </c>
      <c r="O3076" t="str" cm="1">
        <f t="array" ref="O3076">_xlfn.IFS(F3076="","",F3076&lt;=5,"0 to 5",F3076&lt;=10,"5.1 to 10",F3076&lt;=20,"10 to 20", F3076&lt;= 40, "20 to 40", F3076 &lt;= 50, "40 to 50", F3076 &gt; 50, "&gt;50" )</f>
        <v>20 to 40</v>
      </c>
    </row>
    <row r="3077" spans="1:15" ht="15" customHeight="1" x14ac:dyDescent="0.3">
      <c r="A3077" t="s">
        <v>593</v>
      </c>
      <c r="B3077" s="1">
        <v>46223</v>
      </c>
      <c r="C3077" t="s">
        <v>16</v>
      </c>
      <c r="D3077">
        <v>2876</v>
      </c>
      <c r="E3077">
        <v>1</v>
      </c>
      <c r="F3077">
        <v>4.3</v>
      </c>
      <c r="G3077" t="s">
        <v>21</v>
      </c>
      <c r="I3077" t="str">
        <f t="shared" si="78"/>
        <v>2876_1</v>
      </c>
      <c r="J3077" t="s">
        <v>533</v>
      </c>
      <c r="K3077" t="s">
        <v>115</v>
      </c>
      <c r="L3077" t="str">
        <f>_xlfn.XLOOKUP(C3077, Table2[Species],Table2[Genus], "Code Not Found")</f>
        <v>Acer</v>
      </c>
      <c r="M3077" t="str">
        <f>_xlfn.XLOOKUP(C3077, Table2[Species],Table2[Sp. Name], "Code Not Found")</f>
        <v>saccharum</v>
      </c>
      <c r="N3077" t="str">
        <f>_xlfn.XLOOKUP(C3077,Table2[Species],Table2[Family],"Code Not Found")</f>
        <v>Sapindaceae</v>
      </c>
      <c r="O3077" t="str" cm="1">
        <f t="array" ref="O3077">_xlfn.IFS(F3077="","",F3077&lt;=5,"0 to 5",F3077&lt;=10,"5.1 to 10",F3077&lt;=20,"10 to 20", F3077&lt;= 40, "20 to 40", F3077 &lt;= 50, "40 to 50", F3077 &gt; 50, "&gt;50" )</f>
        <v>0 to 5</v>
      </c>
    </row>
    <row r="3078" spans="1:15" ht="15" customHeight="1" x14ac:dyDescent="0.3">
      <c r="A3078" t="s">
        <v>593</v>
      </c>
      <c r="B3078" s="1">
        <v>46223</v>
      </c>
      <c r="C3078" t="s">
        <v>22</v>
      </c>
      <c r="D3078">
        <v>2877</v>
      </c>
      <c r="E3078">
        <v>1</v>
      </c>
      <c r="F3078">
        <v>74.3</v>
      </c>
      <c r="G3078" t="s">
        <v>480</v>
      </c>
      <c r="H3078" t="s">
        <v>616</v>
      </c>
      <c r="I3078" t="str">
        <f t="shared" si="78"/>
        <v>2877_1</v>
      </c>
      <c r="J3078" t="s">
        <v>533</v>
      </c>
      <c r="K3078" t="s">
        <v>115</v>
      </c>
      <c r="L3078" t="str">
        <f>_xlfn.XLOOKUP(C3078, Table2[Species],Table2[Genus], "Code Not Found")</f>
        <v>Acer</v>
      </c>
      <c r="M3078" t="str">
        <f>_xlfn.XLOOKUP(C3078, Table2[Species],Table2[Sp. Name], "Code Not Found")</f>
        <v>rubrum</v>
      </c>
      <c r="N3078" t="str">
        <f>_xlfn.XLOOKUP(C3078,Table2[Species],Table2[Family],"Code Not Found")</f>
        <v>Sapindaceae</v>
      </c>
      <c r="O3078" t="str" cm="1">
        <f t="array" ref="O3078">_xlfn.IFS(F3078="","",F3078&lt;=5,"0 to 5",F3078&lt;=10,"5.1 to 10",F3078&lt;=20,"10 to 20", F3078&lt;= 40, "20 to 40", F3078 &lt;= 50, "40 to 50", F3078 &gt; 50, "&gt;50" )</f>
        <v>&gt;50</v>
      </c>
    </row>
    <row r="3079" spans="1:15" ht="15" customHeight="1" x14ac:dyDescent="0.3">
      <c r="A3079" t="s">
        <v>593</v>
      </c>
      <c r="B3079" s="1">
        <v>46223</v>
      </c>
      <c r="C3079" t="s">
        <v>16</v>
      </c>
      <c r="D3079">
        <v>2878</v>
      </c>
      <c r="E3079">
        <v>1</v>
      </c>
      <c r="F3079">
        <v>3.5</v>
      </c>
      <c r="G3079" t="s">
        <v>17</v>
      </c>
      <c r="H3079" t="s">
        <v>291</v>
      </c>
      <c r="I3079" t="str">
        <f t="shared" si="78"/>
        <v>2878_1</v>
      </c>
      <c r="J3079" t="s">
        <v>533</v>
      </c>
      <c r="K3079" t="s">
        <v>115</v>
      </c>
      <c r="L3079" t="str">
        <f>_xlfn.XLOOKUP(C3079, Table2[Species],Table2[Genus], "Code Not Found")</f>
        <v>Acer</v>
      </c>
      <c r="M3079" t="str">
        <f>_xlfn.XLOOKUP(C3079, Table2[Species],Table2[Sp. Name], "Code Not Found")</f>
        <v>saccharum</v>
      </c>
      <c r="N3079" t="str">
        <f>_xlfn.XLOOKUP(C3079,Table2[Species],Table2[Family],"Code Not Found")</f>
        <v>Sapindaceae</v>
      </c>
      <c r="O3079" t="str" cm="1">
        <f t="array" ref="O3079">_xlfn.IFS(F3079="","",F3079&lt;=5,"0 to 5",F3079&lt;=10,"5.1 to 10",F3079&lt;=20,"10 to 20", F3079&lt;= 40, "20 to 40", F3079 &lt;= 50, "40 to 50", F3079 &gt; 50, "&gt;50" )</f>
        <v>0 to 5</v>
      </c>
    </row>
    <row r="3080" spans="1:15" ht="15" customHeight="1" x14ac:dyDescent="0.3">
      <c r="A3080" t="s">
        <v>593</v>
      </c>
      <c r="B3080" s="1">
        <v>46223</v>
      </c>
      <c r="C3080" t="s">
        <v>16</v>
      </c>
      <c r="D3080">
        <v>2879</v>
      </c>
      <c r="E3080">
        <v>1</v>
      </c>
      <c r="F3080">
        <v>5.7</v>
      </c>
      <c r="G3080" t="s">
        <v>30</v>
      </c>
      <c r="H3080" t="s">
        <v>330</v>
      </c>
      <c r="I3080" t="str">
        <f t="shared" si="78"/>
        <v>2879_1</v>
      </c>
      <c r="J3080" t="s">
        <v>533</v>
      </c>
      <c r="K3080" t="s">
        <v>115</v>
      </c>
      <c r="L3080" t="str">
        <f>_xlfn.XLOOKUP(C3080, Table2[Species],Table2[Genus], "Code Not Found")</f>
        <v>Acer</v>
      </c>
      <c r="M3080" t="str">
        <f>_xlfn.XLOOKUP(C3080, Table2[Species],Table2[Sp. Name], "Code Not Found")</f>
        <v>saccharum</v>
      </c>
      <c r="N3080" t="str">
        <f>_xlfn.XLOOKUP(C3080,Table2[Species],Table2[Family],"Code Not Found")</f>
        <v>Sapindaceae</v>
      </c>
      <c r="O3080" t="str" cm="1">
        <f t="array" ref="O3080">_xlfn.IFS(F3080="","",F3080&lt;=5,"0 to 5",F3080&lt;=10,"5.1 to 10",F3080&lt;=20,"10 to 20", F3080&lt;= 40, "20 to 40", F3080 &lt;= 50, "40 to 50", F3080 &gt; 50, "&gt;50" )</f>
        <v>5.1 to 10</v>
      </c>
    </row>
    <row r="3081" spans="1:15" ht="15" customHeight="1" x14ac:dyDescent="0.3">
      <c r="A3081" t="s">
        <v>593</v>
      </c>
      <c r="B3081" s="1">
        <v>46223</v>
      </c>
      <c r="C3081" t="s">
        <v>16</v>
      </c>
      <c r="D3081">
        <v>2880</v>
      </c>
      <c r="E3081">
        <v>1</v>
      </c>
      <c r="F3081">
        <v>5.9</v>
      </c>
      <c r="G3081" t="s">
        <v>17</v>
      </c>
      <c r="H3081" t="s">
        <v>617</v>
      </c>
      <c r="I3081" t="str">
        <f t="shared" si="78"/>
        <v>2880_1</v>
      </c>
      <c r="J3081" t="s">
        <v>533</v>
      </c>
      <c r="K3081" t="s">
        <v>115</v>
      </c>
      <c r="L3081" t="str">
        <f>_xlfn.XLOOKUP(C3081, Table2[Species],Table2[Genus], "Code Not Found")</f>
        <v>Acer</v>
      </c>
      <c r="M3081" t="str">
        <f>_xlfn.XLOOKUP(C3081, Table2[Species],Table2[Sp. Name], "Code Not Found")</f>
        <v>saccharum</v>
      </c>
      <c r="N3081" t="str">
        <f>_xlfn.XLOOKUP(C3081,Table2[Species],Table2[Family],"Code Not Found")</f>
        <v>Sapindaceae</v>
      </c>
      <c r="O3081" t="str" cm="1">
        <f t="array" ref="O3081">_xlfn.IFS(F3081="","",F3081&lt;=5,"0 to 5",F3081&lt;=10,"5.1 to 10",F3081&lt;=20,"10 to 20", F3081&lt;= 40, "20 to 40", F3081 &lt;= 50, "40 to 50", F3081 &gt; 50, "&gt;50" )</f>
        <v>5.1 to 10</v>
      </c>
    </row>
    <row r="3082" spans="1:15" ht="15" customHeight="1" x14ac:dyDescent="0.3">
      <c r="A3082" t="s">
        <v>593</v>
      </c>
      <c r="B3082" s="1">
        <v>46223</v>
      </c>
      <c r="C3082" t="s">
        <v>16</v>
      </c>
      <c r="D3082">
        <v>2881</v>
      </c>
      <c r="E3082">
        <v>1</v>
      </c>
      <c r="F3082">
        <v>3.9</v>
      </c>
      <c r="G3082" t="s">
        <v>30</v>
      </c>
      <c r="H3082" t="s">
        <v>262</v>
      </c>
      <c r="I3082" t="str">
        <f t="shared" si="78"/>
        <v>2881_1</v>
      </c>
      <c r="J3082" t="s">
        <v>533</v>
      </c>
      <c r="K3082" t="s">
        <v>115</v>
      </c>
      <c r="L3082" t="str">
        <f>_xlfn.XLOOKUP(C3082, Table2[Species],Table2[Genus], "Code Not Found")</f>
        <v>Acer</v>
      </c>
      <c r="M3082" t="str">
        <f>_xlfn.XLOOKUP(C3082, Table2[Species],Table2[Sp. Name], "Code Not Found")</f>
        <v>saccharum</v>
      </c>
      <c r="N3082" t="str">
        <f>_xlfn.XLOOKUP(C3082,Table2[Species],Table2[Family],"Code Not Found")</f>
        <v>Sapindaceae</v>
      </c>
      <c r="O3082" t="str" cm="1">
        <f t="array" ref="O3082">_xlfn.IFS(F3082="","",F3082&lt;=5,"0 to 5",F3082&lt;=10,"5.1 to 10",F3082&lt;=20,"10 to 20", F3082&lt;= 40, "20 to 40", F3082 &lt;= 50, "40 to 50", F3082 &gt; 50, "&gt;50" )</f>
        <v>0 to 5</v>
      </c>
    </row>
    <row r="3083" spans="1:15" ht="15" customHeight="1" x14ac:dyDescent="0.3">
      <c r="A3083" t="s">
        <v>593</v>
      </c>
      <c r="B3083" s="1">
        <v>46223</v>
      </c>
      <c r="C3083" t="s">
        <v>16</v>
      </c>
      <c r="D3083">
        <v>2882</v>
      </c>
      <c r="E3083">
        <v>1</v>
      </c>
      <c r="F3083">
        <v>23.6</v>
      </c>
      <c r="G3083" t="s">
        <v>56</v>
      </c>
      <c r="H3083" t="s">
        <v>346</v>
      </c>
      <c r="I3083" t="str">
        <f t="shared" si="78"/>
        <v>2882_1</v>
      </c>
      <c r="J3083" t="s">
        <v>533</v>
      </c>
      <c r="K3083" t="s">
        <v>115</v>
      </c>
      <c r="L3083" t="str">
        <f>_xlfn.XLOOKUP(C3083, Table2[Species],Table2[Genus], "Code Not Found")</f>
        <v>Acer</v>
      </c>
      <c r="M3083" t="str">
        <f>_xlfn.XLOOKUP(C3083, Table2[Species],Table2[Sp. Name], "Code Not Found")</f>
        <v>saccharum</v>
      </c>
      <c r="N3083" t="str">
        <f>_xlfn.XLOOKUP(C3083,Table2[Species],Table2[Family],"Code Not Found")</f>
        <v>Sapindaceae</v>
      </c>
      <c r="O3083" t="str" cm="1">
        <f t="array" ref="O3083">_xlfn.IFS(F3083="","",F3083&lt;=5,"0 to 5",F3083&lt;=10,"5.1 to 10",F3083&lt;=20,"10 to 20", F3083&lt;= 40, "20 to 40", F3083 &lt;= 50, "40 to 50", F3083 &gt; 50, "&gt;50" )</f>
        <v>20 to 40</v>
      </c>
    </row>
    <row r="3084" spans="1:15" ht="15" customHeight="1" x14ac:dyDescent="0.3">
      <c r="A3084" t="s">
        <v>593</v>
      </c>
      <c r="B3084" s="1">
        <v>46223</v>
      </c>
      <c r="C3084" t="s">
        <v>16</v>
      </c>
      <c r="D3084">
        <v>2883</v>
      </c>
      <c r="E3084">
        <v>1</v>
      </c>
      <c r="F3084">
        <v>2.1</v>
      </c>
      <c r="G3084" t="s">
        <v>21</v>
      </c>
      <c r="I3084" t="str">
        <f t="shared" si="78"/>
        <v>2883_1</v>
      </c>
      <c r="J3084" t="s">
        <v>533</v>
      </c>
      <c r="K3084" t="s">
        <v>115</v>
      </c>
      <c r="L3084" t="str">
        <f>_xlfn.XLOOKUP(C3084, Table2[Species],Table2[Genus], "Code Not Found")</f>
        <v>Acer</v>
      </c>
      <c r="M3084" t="str">
        <f>_xlfn.XLOOKUP(C3084, Table2[Species],Table2[Sp. Name], "Code Not Found")</f>
        <v>saccharum</v>
      </c>
      <c r="N3084" t="str">
        <f>_xlfn.XLOOKUP(C3084,Table2[Species],Table2[Family],"Code Not Found")</f>
        <v>Sapindaceae</v>
      </c>
      <c r="O3084" t="str" cm="1">
        <f t="array" ref="O3084">_xlfn.IFS(F3084="","",F3084&lt;=5,"0 to 5",F3084&lt;=10,"5.1 to 10",F3084&lt;=20,"10 to 20", F3084&lt;= 40, "20 to 40", F3084 &lt;= 50, "40 to 50", F3084 &gt; 50, "&gt;50" )</f>
        <v>0 to 5</v>
      </c>
    </row>
    <row r="3085" spans="1:15" ht="15" customHeight="1" x14ac:dyDescent="0.3">
      <c r="A3085" t="s">
        <v>593</v>
      </c>
      <c r="B3085" s="1">
        <v>46223</v>
      </c>
      <c r="C3085" t="s">
        <v>16</v>
      </c>
      <c r="D3085">
        <v>2884</v>
      </c>
      <c r="E3085">
        <v>1</v>
      </c>
      <c r="F3085">
        <v>2.1</v>
      </c>
      <c r="G3085" t="s">
        <v>381</v>
      </c>
      <c r="H3085" t="s">
        <v>439</v>
      </c>
      <c r="I3085" t="str">
        <f t="shared" si="78"/>
        <v>2884_1</v>
      </c>
      <c r="J3085" t="s">
        <v>533</v>
      </c>
      <c r="K3085" t="s">
        <v>115</v>
      </c>
      <c r="L3085" t="str">
        <f>_xlfn.XLOOKUP(C3085, Table2[Species],Table2[Genus], "Code Not Found")</f>
        <v>Acer</v>
      </c>
      <c r="M3085" t="str">
        <f>_xlfn.XLOOKUP(C3085, Table2[Species],Table2[Sp. Name], "Code Not Found")</f>
        <v>saccharum</v>
      </c>
      <c r="N3085" t="str">
        <f>_xlfn.XLOOKUP(C3085,Table2[Species],Table2[Family],"Code Not Found")</f>
        <v>Sapindaceae</v>
      </c>
      <c r="O3085" t="str" cm="1">
        <f t="array" ref="O3085">_xlfn.IFS(F3085="","",F3085&lt;=5,"0 to 5",F3085&lt;=10,"5.1 to 10",F3085&lt;=20,"10 to 20", F3085&lt;= 40, "20 to 40", F3085 &lt;= 50, "40 to 50", F3085 &gt; 50, "&gt;50" )</f>
        <v>0 to 5</v>
      </c>
    </row>
    <row r="3086" spans="1:15" ht="15" customHeight="1" x14ac:dyDescent="0.3">
      <c r="A3086" t="s">
        <v>593</v>
      </c>
      <c r="B3086" s="1">
        <v>46223</v>
      </c>
      <c r="C3086" t="s">
        <v>16</v>
      </c>
      <c r="D3086">
        <v>2885</v>
      </c>
      <c r="E3086">
        <v>1</v>
      </c>
      <c r="F3086">
        <v>4.4000000000000004</v>
      </c>
      <c r="G3086" t="s">
        <v>47</v>
      </c>
      <c r="H3086" t="s">
        <v>618</v>
      </c>
      <c r="I3086" t="str">
        <f t="shared" si="78"/>
        <v>2885_1</v>
      </c>
      <c r="J3086" t="s">
        <v>533</v>
      </c>
      <c r="K3086" t="s">
        <v>115</v>
      </c>
      <c r="L3086" t="str">
        <f>_xlfn.XLOOKUP(C3086, Table2[Species],Table2[Genus], "Code Not Found")</f>
        <v>Acer</v>
      </c>
      <c r="M3086" t="str">
        <f>_xlfn.XLOOKUP(C3086, Table2[Species],Table2[Sp. Name], "Code Not Found")</f>
        <v>saccharum</v>
      </c>
      <c r="N3086" t="str">
        <f>_xlfn.XLOOKUP(C3086,Table2[Species],Table2[Family],"Code Not Found")</f>
        <v>Sapindaceae</v>
      </c>
      <c r="O3086" t="str" cm="1">
        <f t="array" ref="O3086">_xlfn.IFS(F3086="","",F3086&lt;=5,"0 to 5",F3086&lt;=10,"5.1 to 10",F3086&lt;=20,"10 to 20", F3086&lt;= 40, "20 to 40", F3086 &lt;= 50, "40 to 50", F3086 &gt; 50, "&gt;50" )</f>
        <v>0 to 5</v>
      </c>
    </row>
    <row r="3087" spans="1:15" ht="15" customHeight="1" x14ac:dyDescent="0.3">
      <c r="A3087" t="s">
        <v>593</v>
      </c>
      <c r="B3087" s="1">
        <v>46223</v>
      </c>
      <c r="C3087" t="s">
        <v>22</v>
      </c>
      <c r="D3087">
        <v>2886</v>
      </c>
      <c r="E3087">
        <v>1</v>
      </c>
      <c r="F3087">
        <v>8.1999999999999993</v>
      </c>
      <c r="G3087" t="s">
        <v>47</v>
      </c>
      <c r="H3087" t="s">
        <v>619</v>
      </c>
      <c r="I3087" t="str">
        <f t="shared" si="78"/>
        <v>2886_1</v>
      </c>
      <c r="J3087" t="s">
        <v>533</v>
      </c>
      <c r="K3087" t="s">
        <v>115</v>
      </c>
      <c r="L3087" t="str">
        <f>_xlfn.XLOOKUP(C3087, Table2[Species],Table2[Genus], "Code Not Found")</f>
        <v>Acer</v>
      </c>
      <c r="M3087" t="str">
        <f>_xlfn.XLOOKUP(C3087, Table2[Species],Table2[Sp. Name], "Code Not Found")</f>
        <v>rubrum</v>
      </c>
      <c r="N3087" t="str">
        <f>_xlfn.XLOOKUP(C3087,Table2[Species],Table2[Family],"Code Not Found")</f>
        <v>Sapindaceae</v>
      </c>
      <c r="O3087" t="str" cm="1">
        <f t="array" ref="O3087">_xlfn.IFS(F3087="","",F3087&lt;=5,"0 to 5",F3087&lt;=10,"5.1 to 10",F3087&lt;=20,"10 to 20", F3087&lt;= 40, "20 to 40", F3087 &lt;= 50, "40 to 50", F3087 &gt; 50, "&gt;50" )</f>
        <v>5.1 to 10</v>
      </c>
    </row>
    <row r="3088" spans="1:15" ht="15" customHeight="1" x14ac:dyDescent="0.3">
      <c r="A3088" t="s">
        <v>593</v>
      </c>
      <c r="B3088" s="1">
        <v>46223</v>
      </c>
      <c r="C3088" t="s">
        <v>16</v>
      </c>
      <c r="D3088">
        <v>2887</v>
      </c>
      <c r="E3088">
        <v>1</v>
      </c>
      <c r="F3088">
        <v>3.3</v>
      </c>
      <c r="G3088" t="s">
        <v>620</v>
      </c>
      <c r="H3088" t="s">
        <v>621</v>
      </c>
      <c r="I3088" t="str">
        <f t="shared" si="78"/>
        <v>2887_1</v>
      </c>
      <c r="J3088" t="s">
        <v>533</v>
      </c>
      <c r="K3088" t="s">
        <v>115</v>
      </c>
      <c r="L3088" t="str">
        <f>_xlfn.XLOOKUP(C3088, Table2[Species],Table2[Genus], "Code Not Found")</f>
        <v>Acer</v>
      </c>
      <c r="M3088" t="str">
        <f>_xlfn.XLOOKUP(C3088, Table2[Species],Table2[Sp. Name], "Code Not Found")</f>
        <v>saccharum</v>
      </c>
      <c r="N3088" t="str">
        <f>_xlfn.XLOOKUP(C3088,Table2[Species],Table2[Family],"Code Not Found")</f>
        <v>Sapindaceae</v>
      </c>
      <c r="O3088" t="str" cm="1">
        <f t="array" ref="O3088">_xlfn.IFS(F3088="","",F3088&lt;=5,"0 to 5",F3088&lt;=10,"5.1 to 10",F3088&lt;=20,"10 to 20", F3088&lt;= 40, "20 to 40", F3088 &lt;= 50, "40 to 50", F3088 &gt; 50, "&gt;50" )</f>
        <v>0 to 5</v>
      </c>
    </row>
    <row r="3089" spans="1:15" ht="15" customHeight="1" x14ac:dyDescent="0.3">
      <c r="A3089" t="s">
        <v>593</v>
      </c>
      <c r="B3089" s="1">
        <v>46223</v>
      </c>
      <c r="C3089" t="s">
        <v>16</v>
      </c>
      <c r="D3089">
        <v>2888</v>
      </c>
      <c r="E3089">
        <v>1</v>
      </c>
      <c r="F3089">
        <v>5.6</v>
      </c>
      <c r="G3089" t="s">
        <v>21</v>
      </c>
      <c r="I3089" t="str">
        <f t="shared" si="78"/>
        <v>2888_1</v>
      </c>
      <c r="J3089" t="s">
        <v>533</v>
      </c>
      <c r="K3089" t="s">
        <v>115</v>
      </c>
      <c r="L3089" t="str">
        <f>_xlfn.XLOOKUP(C3089, Table2[Species],Table2[Genus], "Code Not Found")</f>
        <v>Acer</v>
      </c>
      <c r="M3089" t="str">
        <f>_xlfn.XLOOKUP(C3089, Table2[Species],Table2[Sp. Name], "Code Not Found")</f>
        <v>saccharum</v>
      </c>
      <c r="N3089" t="str">
        <f>_xlfn.XLOOKUP(C3089,Table2[Species],Table2[Family],"Code Not Found")</f>
        <v>Sapindaceae</v>
      </c>
      <c r="O3089" t="str" cm="1">
        <f t="array" ref="O3089">_xlfn.IFS(F3089="","",F3089&lt;=5,"0 to 5",F3089&lt;=10,"5.1 to 10",F3089&lt;=20,"10 to 20", F3089&lt;= 40, "20 to 40", F3089 &lt;= 50, "40 to 50", F3089 &gt; 50, "&gt;50" )</f>
        <v>5.1 to 10</v>
      </c>
    </row>
    <row r="3090" spans="1:15" ht="15" customHeight="1" x14ac:dyDescent="0.3">
      <c r="A3090" t="s">
        <v>593</v>
      </c>
      <c r="B3090" s="1">
        <v>46223</v>
      </c>
      <c r="C3090" t="s">
        <v>16</v>
      </c>
      <c r="D3090">
        <v>2889</v>
      </c>
      <c r="E3090">
        <v>1</v>
      </c>
      <c r="F3090">
        <v>4.5999999999999996</v>
      </c>
      <c r="G3090" t="s">
        <v>505</v>
      </c>
      <c r="H3090" t="s">
        <v>622</v>
      </c>
      <c r="I3090" t="str">
        <f t="shared" ref="I3090:I3120" si="79">D3090&amp;"_"&amp;E3090</f>
        <v>2889_1</v>
      </c>
      <c r="J3090" t="s">
        <v>533</v>
      </c>
      <c r="K3090" t="s">
        <v>115</v>
      </c>
      <c r="L3090" t="str">
        <f>_xlfn.XLOOKUP(C3090, Table2[Species],Table2[Genus], "Code Not Found")</f>
        <v>Acer</v>
      </c>
      <c r="M3090" t="str">
        <f>_xlfn.XLOOKUP(C3090, Table2[Species],Table2[Sp. Name], "Code Not Found")</f>
        <v>saccharum</v>
      </c>
      <c r="N3090" t="str">
        <f>_xlfn.XLOOKUP(C3090,Table2[Species],Table2[Family],"Code Not Found")</f>
        <v>Sapindaceae</v>
      </c>
      <c r="O3090" t="str" cm="1">
        <f t="array" ref="O3090">_xlfn.IFS(F3090="","",F3090&lt;=5,"0 to 5",F3090&lt;=10,"5.1 to 10",F3090&lt;=20,"10 to 20", F3090&lt;= 40, "20 to 40", F3090 &lt;= 50, "40 to 50", F3090 &gt; 50, "&gt;50" )</f>
        <v>0 to 5</v>
      </c>
    </row>
    <row r="3091" spans="1:15" ht="15" customHeight="1" x14ac:dyDescent="0.3">
      <c r="A3091" t="s">
        <v>593</v>
      </c>
      <c r="B3091" s="1">
        <v>46223</v>
      </c>
      <c r="C3091" t="s">
        <v>16</v>
      </c>
      <c r="D3091">
        <v>2890</v>
      </c>
      <c r="E3091">
        <v>1</v>
      </c>
      <c r="F3091">
        <v>3.7</v>
      </c>
      <c r="G3091" t="s">
        <v>47</v>
      </c>
      <c r="H3091" t="s">
        <v>296</v>
      </c>
      <c r="I3091" t="str">
        <f t="shared" si="79"/>
        <v>2890_1</v>
      </c>
      <c r="J3091" t="s">
        <v>533</v>
      </c>
      <c r="K3091" t="s">
        <v>115</v>
      </c>
      <c r="L3091" t="str">
        <f>_xlfn.XLOOKUP(C3091, Table2[Species],Table2[Genus], "Code Not Found")</f>
        <v>Acer</v>
      </c>
      <c r="M3091" t="str">
        <f>_xlfn.XLOOKUP(C3091, Table2[Species],Table2[Sp. Name], "Code Not Found")</f>
        <v>saccharum</v>
      </c>
      <c r="N3091" t="str">
        <f>_xlfn.XLOOKUP(C3091,Table2[Species],Table2[Family],"Code Not Found")</f>
        <v>Sapindaceae</v>
      </c>
      <c r="O3091" t="str" cm="1">
        <f t="array" ref="O3091">_xlfn.IFS(F3091="","",F3091&lt;=5,"0 to 5",F3091&lt;=10,"5.1 to 10",F3091&lt;=20,"10 to 20", F3091&lt;= 40, "20 to 40", F3091 &lt;= 50, "40 to 50", F3091 &gt; 50, "&gt;50" )</f>
        <v>0 to 5</v>
      </c>
    </row>
    <row r="3092" spans="1:15" ht="15" customHeight="1" x14ac:dyDescent="0.3">
      <c r="A3092" t="s">
        <v>593</v>
      </c>
      <c r="B3092" s="1">
        <v>46223</v>
      </c>
      <c r="C3092" t="s">
        <v>16</v>
      </c>
      <c r="D3092">
        <v>2891</v>
      </c>
      <c r="E3092">
        <v>1</v>
      </c>
      <c r="F3092">
        <v>8.4</v>
      </c>
      <c r="G3092" t="s">
        <v>381</v>
      </c>
      <c r="H3092" t="s">
        <v>623</v>
      </c>
      <c r="I3092" t="str">
        <f t="shared" si="79"/>
        <v>2891_1</v>
      </c>
      <c r="J3092" t="s">
        <v>533</v>
      </c>
      <c r="K3092" t="s">
        <v>115</v>
      </c>
      <c r="L3092" t="str">
        <f>_xlfn.XLOOKUP(C3092, Table2[Species],Table2[Genus], "Code Not Found")</f>
        <v>Acer</v>
      </c>
      <c r="M3092" t="str">
        <f>_xlfn.XLOOKUP(C3092, Table2[Species],Table2[Sp. Name], "Code Not Found")</f>
        <v>saccharum</v>
      </c>
      <c r="N3092" t="str">
        <f>_xlfn.XLOOKUP(C3092,Table2[Species],Table2[Family],"Code Not Found")</f>
        <v>Sapindaceae</v>
      </c>
      <c r="O3092" t="str" cm="1">
        <f t="array" ref="O3092">_xlfn.IFS(F3092="","",F3092&lt;=5,"0 to 5",F3092&lt;=10,"5.1 to 10",F3092&lt;=20,"10 to 20", F3092&lt;= 40, "20 to 40", F3092 &lt;= 50, "40 to 50", F3092 &gt; 50, "&gt;50" )</f>
        <v>5.1 to 10</v>
      </c>
    </row>
    <row r="3093" spans="1:15" ht="15" customHeight="1" x14ac:dyDescent="0.3">
      <c r="A3093" t="s">
        <v>593</v>
      </c>
      <c r="B3093" s="1">
        <v>46223</v>
      </c>
      <c r="C3093" t="s">
        <v>16</v>
      </c>
      <c r="D3093">
        <v>2892</v>
      </c>
      <c r="E3093">
        <v>1</v>
      </c>
      <c r="F3093">
        <v>8.6</v>
      </c>
      <c r="G3093" t="s">
        <v>381</v>
      </c>
      <c r="H3093" t="s">
        <v>262</v>
      </c>
      <c r="I3093" t="str">
        <f t="shared" si="79"/>
        <v>2892_1</v>
      </c>
      <c r="J3093" t="s">
        <v>533</v>
      </c>
      <c r="K3093" t="s">
        <v>115</v>
      </c>
      <c r="L3093" t="str">
        <f>_xlfn.XLOOKUP(C3093, Table2[Species],Table2[Genus], "Code Not Found")</f>
        <v>Acer</v>
      </c>
      <c r="M3093" t="str">
        <f>_xlfn.XLOOKUP(C3093, Table2[Species],Table2[Sp. Name], "Code Not Found")</f>
        <v>saccharum</v>
      </c>
      <c r="N3093" t="str">
        <f>_xlfn.XLOOKUP(C3093,Table2[Species],Table2[Family],"Code Not Found")</f>
        <v>Sapindaceae</v>
      </c>
      <c r="O3093" t="str" cm="1">
        <f t="array" ref="O3093">_xlfn.IFS(F3093="","",F3093&lt;=5,"0 to 5",F3093&lt;=10,"5.1 to 10",F3093&lt;=20,"10 to 20", F3093&lt;= 40, "20 to 40", F3093 &lt;= 50, "40 to 50", F3093 &gt; 50, "&gt;50" )</f>
        <v>5.1 to 10</v>
      </c>
    </row>
    <row r="3094" spans="1:15" ht="15" customHeight="1" x14ac:dyDescent="0.3">
      <c r="A3094" t="s">
        <v>593</v>
      </c>
      <c r="B3094" s="1">
        <v>46223</v>
      </c>
      <c r="C3094" t="s">
        <v>16</v>
      </c>
      <c r="D3094">
        <v>2893</v>
      </c>
      <c r="E3094">
        <v>1</v>
      </c>
      <c r="F3094">
        <v>16.899999999999999</v>
      </c>
      <c r="G3094" t="s">
        <v>47</v>
      </c>
      <c r="H3094" t="s">
        <v>296</v>
      </c>
      <c r="I3094" t="str">
        <f t="shared" si="79"/>
        <v>2893_1</v>
      </c>
      <c r="J3094" t="s">
        <v>533</v>
      </c>
      <c r="K3094" t="s">
        <v>115</v>
      </c>
      <c r="L3094" t="str">
        <f>_xlfn.XLOOKUP(C3094, Table2[Species],Table2[Genus], "Code Not Found")</f>
        <v>Acer</v>
      </c>
      <c r="M3094" t="str">
        <f>_xlfn.XLOOKUP(C3094, Table2[Species],Table2[Sp. Name], "Code Not Found")</f>
        <v>saccharum</v>
      </c>
      <c r="N3094" t="str">
        <f>_xlfn.XLOOKUP(C3094,Table2[Species],Table2[Family],"Code Not Found")</f>
        <v>Sapindaceae</v>
      </c>
      <c r="O3094" t="str" cm="1">
        <f t="array" ref="O3094">_xlfn.IFS(F3094="","",F3094&lt;=5,"0 to 5",F3094&lt;=10,"5.1 to 10",F3094&lt;=20,"10 to 20", F3094&lt;= 40, "20 to 40", F3094 &lt;= 50, "40 to 50", F3094 &gt; 50, "&gt;50" )</f>
        <v>10 to 20</v>
      </c>
    </row>
    <row r="3095" spans="1:15" ht="15" customHeight="1" x14ac:dyDescent="0.3">
      <c r="A3095" t="s">
        <v>593</v>
      </c>
      <c r="B3095" s="1">
        <v>46223</v>
      </c>
      <c r="C3095" t="s">
        <v>16</v>
      </c>
      <c r="D3095">
        <v>2894</v>
      </c>
      <c r="E3095">
        <v>1</v>
      </c>
      <c r="F3095">
        <v>1.6</v>
      </c>
      <c r="G3095" t="s">
        <v>381</v>
      </c>
      <c r="H3095" t="s">
        <v>624</v>
      </c>
      <c r="I3095" t="str">
        <f t="shared" si="79"/>
        <v>2894_1</v>
      </c>
      <c r="J3095" t="s">
        <v>533</v>
      </c>
      <c r="K3095" t="s">
        <v>115</v>
      </c>
      <c r="L3095" t="str">
        <f>_xlfn.XLOOKUP(C3095, Table2[Species],Table2[Genus], "Code Not Found")</f>
        <v>Acer</v>
      </c>
      <c r="M3095" t="str">
        <f>_xlfn.XLOOKUP(C3095, Table2[Species],Table2[Sp. Name], "Code Not Found")</f>
        <v>saccharum</v>
      </c>
      <c r="N3095" t="str">
        <f>_xlfn.XLOOKUP(C3095,Table2[Species],Table2[Family],"Code Not Found")</f>
        <v>Sapindaceae</v>
      </c>
      <c r="O3095" t="str" cm="1">
        <f t="array" ref="O3095">_xlfn.IFS(F3095="","",F3095&lt;=5,"0 to 5",F3095&lt;=10,"5.1 to 10",F3095&lt;=20,"10 to 20", F3095&lt;= 40, "20 to 40", F3095 &lt;= 50, "40 to 50", F3095 &gt; 50, "&gt;50" )</f>
        <v>0 to 5</v>
      </c>
    </row>
    <row r="3096" spans="1:15" ht="15" customHeight="1" x14ac:dyDescent="0.3">
      <c r="A3096" t="s">
        <v>593</v>
      </c>
      <c r="B3096" s="1">
        <v>46223</v>
      </c>
      <c r="C3096" t="s">
        <v>16</v>
      </c>
      <c r="D3096">
        <v>2895</v>
      </c>
      <c r="E3096">
        <v>1</v>
      </c>
      <c r="F3096">
        <v>56.5</v>
      </c>
      <c r="G3096" t="s">
        <v>420</v>
      </c>
      <c r="H3096" t="s">
        <v>625</v>
      </c>
      <c r="I3096" t="str">
        <f t="shared" si="79"/>
        <v>2895_1</v>
      </c>
      <c r="J3096" t="s">
        <v>533</v>
      </c>
      <c r="K3096" t="s">
        <v>115</v>
      </c>
      <c r="L3096" t="str">
        <f>_xlfn.XLOOKUP(C3096, Table2[Species],Table2[Genus], "Code Not Found")</f>
        <v>Acer</v>
      </c>
      <c r="M3096" t="str">
        <f>_xlfn.XLOOKUP(C3096, Table2[Species],Table2[Sp. Name], "Code Not Found")</f>
        <v>saccharum</v>
      </c>
      <c r="N3096" t="str">
        <f>_xlfn.XLOOKUP(C3096,Table2[Species],Table2[Family],"Code Not Found")</f>
        <v>Sapindaceae</v>
      </c>
      <c r="O3096" t="str" cm="1">
        <f t="array" ref="O3096">_xlfn.IFS(F3096="","",F3096&lt;=5,"0 to 5",F3096&lt;=10,"5.1 to 10",F3096&lt;=20,"10 to 20", F3096&lt;= 40, "20 to 40", F3096 &lt;= 50, "40 to 50", F3096 &gt; 50, "&gt;50" )</f>
        <v>&gt;50</v>
      </c>
    </row>
    <row r="3097" spans="1:15" ht="15" customHeight="1" x14ac:dyDescent="0.3">
      <c r="A3097" t="s">
        <v>593</v>
      </c>
      <c r="B3097" s="1">
        <v>46223</v>
      </c>
      <c r="C3097" t="s">
        <v>16</v>
      </c>
      <c r="D3097">
        <v>2896</v>
      </c>
      <c r="E3097">
        <v>1</v>
      </c>
      <c r="F3097">
        <v>2.6</v>
      </c>
      <c r="G3097" t="s">
        <v>21</v>
      </c>
      <c r="I3097" t="str">
        <f t="shared" si="79"/>
        <v>2896_1</v>
      </c>
      <c r="J3097" t="s">
        <v>533</v>
      </c>
      <c r="K3097" t="s">
        <v>115</v>
      </c>
      <c r="L3097" t="str">
        <f>_xlfn.XLOOKUP(C3097, Table2[Species],Table2[Genus], "Code Not Found")</f>
        <v>Acer</v>
      </c>
      <c r="M3097" t="str">
        <f>_xlfn.XLOOKUP(C3097, Table2[Species],Table2[Sp. Name], "Code Not Found")</f>
        <v>saccharum</v>
      </c>
      <c r="N3097" t="str">
        <f>_xlfn.XLOOKUP(C3097,Table2[Species],Table2[Family],"Code Not Found")</f>
        <v>Sapindaceae</v>
      </c>
      <c r="O3097" t="str" cm="1">
        <f t="array" ref="O3097">_xlfn.IFS(F3097="","",F3097&lt;=5,"0 to 5",F3097&lt;=10,"5.1 to 10",F3097&lt;=20,"10 to 20", F3097&lt;= 40, "20 to 40", F3097 &lt;= 50, "40 to 50", F3097 &gt; 50, "&gt;50" )</f>
        <v>0 to 5</v>
      </c>
    </row>
    <row r="3098" spans="1:15" ht="15" customHeight="1" x14ac:dyDescent="0.3">
      <c r="A3098" t="s">
        <v>593</v>
      </c>
      <c r="B3098" s="1">
        <v>46223</v>
      </c>
      <c r="C3098" t="s">
        <v>16</v>
      </c>
      <c r="D3098">
        <v>2898</v>
      </c>
      <c r="E3098">
        <v>1</v>
      </c>
      <c r="F3098">
        <v>63.5</v>
      </c>
      <c r="G3098" t="s">
        <v>21</v>
      </c>
      <c r="I3098" t="str">
        <f t="shared" si="79"/>
        <v>2898_1</v>
      </c>
      <c r="J3098" t="s">
        <v>533</v>
      </c>
      <c r="K3098" t="s">
        <v>115</v>
      </c>
      <c r="L3098" t="str">
        <f>_xlfn.XLOOKUP(C3098, Table2[Species],Table2[Genus], "Code Not Found")</f>
        <v>Acer</v>
      </c>
      <c r="M3098" t="str">
        <f>_xlfn.XLOOKUP(C3098, Table2[Species],Table2[Sp. Name], "Code Not Found")</f>
        <v>saccharum</v>
      </c>
      <c r="N3098" t="str">
        <f>_xlfn.XLOOKUP(C3098,Table2[Species],Table2[Family],"Code Not Found")</f>
        <v>Sapindaceae</v>
      </c>
      <c r="O3098" t="str" cm="1">
        <f t="array" ref="O3098">_xlfn.IFS(F3098="","",F3098&lt;=5,"0 to 5",F3098&lt;=10,"5.1 to 10",F3098&lt;=20,"10 to 20", F3098&lt;= 40, "20 to 40", F3098 &lt;= 50, "40 to 50", F3098 &gt; 50, "&gt;50" )</f>
        <v>&gt;50</v>
      </c>
    </row>
    <row r="3099" spans="1:15" ht="15" customHeight="1" x14ac:dyDescent="0.3">
      <c r="A3099" t="s">
        <v>593</v>
      </c>
      <c r="B3099" s="1">
        <v>46223</v>
      </c>
      <c r="C3099" t="s">
        <v>16</v>
      </c>
      <c r="D3099">
        <v>2899</v>
      </c>
      <c r="E3099">
        <v>1</v>
      </c>
      <c r="F3099">
        <v>7</v>
      </c>
      <c r="G3099" t="s">
        <v>88</v>
      </c>
      <c r="H3099" t="s">
        <v>627</v>
      </c>
      <c r="I3099" t="str">
        <f t="shared" si="79"/>
        <v>2899_1</v>
      </c>
      <c r="J3099" t="s">
        <v>533</v>
      </c>
      <c r="K3099" t="s">
        <v>115</v>
      </c>
      <c r="L3099" t="str">
        <f>_xlfn.XLOOKUP(C3099, Table2[Species],Table2[Genus], "Code Not Found")</f>
        <v>Acer</v>
      </c>
      <c r="M3099" t="str">
        <f>_xlfn.XLOOKUP(C3099, Table2[Species],Table2[Sp. Name], "Code Not Found")</f>
        <v>saccharum</v>
      </c>
      <c r="N3099" t="str">
        <f>_xlfn.XLOOKUP(C3099,Table2[Species],Table2[Family],"Code Not Found")</f>
        <v>Sapindaceae</v>
      </c>
      <c r="O3099" t="str" cm="1">
        <f t="array" ref="O3099">_xlfn.IFS(F3099="","",F3099&lt;=5,"0 to 5",F3099&lt;=10,"5.1 to 10",F3099&lt;=20,"10 to 20", F3099&lt;= 40, "20 to 40", F3099 &lt;= 50, "40 to 50", F3099 &gt; 50, "&gt;50" )</f>
        <v>5.1 to 10</v>
      </c>
    </row>
    <row r="3100" spans="1:15" ht="15" customHeight="1" x14ac:dyDescent="0.3">
      <c r="A3100" t="s">
        <v>593</v>
      </c>
      <c r="B3100" s="1">
        <v>46223</v>
      </c>
      <c r="C3100" t="s">
        <v>430</v>
      </c>
      <c r="D3100">
        <v>2900</v>
      </c>
      <c r="E3100">
        <v>1</v>
      </c>
      <c r="F3100">
        <v>20.399999999999999</v>
      </c>
      <c r="G3100" t="s">
        <v>34</v>
      </c>
      <c r="I3100" t="str">
        <f t="shared" si="79"/>
        <v>2900_1</v>
      </c>
      <c r="J3100" t="s">
        <v>533</v>
      </c>
      <c r="K3100" t="s">
        <v>115</v>
      </c>
      <c r="L3100" t="str">
        <f>_xlfn.XLOOKUP(C3100, Table2[Species],Table2[Genus], "Code Not Found")</f>
        <v>Tsuga</v>
      </c>
      <c r="M3100" t="str">
        <f>_xlfn.XLOOKUP(C3100, Table2[Species],Table2[Sp. Name], "Code Not Found")</f>
        <v>canadensis</v>
      </c>
      <c r="N3100" t="str">
        <f>_xlfn.XLOOKUP(C3100,Table2[Species],Table2[Family],"Code Not Found")</f>
        <v>Pinaceae</v>
      </c>
      <c r="O3100" t="str" cm="1">
        <f t="array" ref="O3100">_xlfn.IFS(F3100="","",F3100&lt;=5,"0 to 5",F3100&lt;=10,"5.1 to 10",F3100&lt;=20,"10 to 20", F3100&lt;= 40, "20 to 40", F3100 &lt;= 50, "40 to 50", F3100 &gt; 50, "&gt;50" )</f>
        <v>20 to 40</v>
      </c>
    </row>
    <row r="3101" spans="1:15" ht="15" customHeight="1" x14ac:dyDescent="0.3">
      <c r="A3101" t="s">
        <v>593</v>
      </c>
      <c r="B3101" s="1">
        <v>46223</v>
      </c>
      <c r="C3101" t="s">
        <v>430</v>
      </c>
      <c r="D3101">
        <v>2900</v>
      </c>
      <c r="E3101">
        <v>2</v>
      </c>
      <c r="F3101">
        <v>19.600000000000001</v>
      </c>
      <c r="G3101" t="s">
        <v>34</v>
      </c>
      <c r="I3101" t="str">
        <f t="shared" si="79"/>
        <v>2900_2</v>
      </c>
      <c r="J3101" t="s">
        <v>533</v>
      </c>
      <c r="K3101" t="s">
        <v>115</v>
      </c>
      <c r="L3101" t="str">
        <f>_xlfn.XLOOKUP(C3101, Table2[Species],Table2[Genus], "Code Not Found")</f>
        <v>Tsuga</v>
      </c>
      <c r="M3101" t="str">
        <f>_xlfn.XLOOKUP(C3101, Table2[Species],Table2[Sp. Name], "Code Not Found")</f>
        <v>canadensis</v>
      </c>
      <c r="N3101" t="str">
        <f>_xlfn.XLOOKUP(C3101,Table2[Species],Table2[Family],"Code Not Found")</f>
        <v>Pinaceae</v>
      </c>
      <c r="O3101" t="str" cm="1">
        <f t="array" ref="O3101">_xlfn.IFS(F3101="","",F3101&lt;=5,"0 to 5",F3101&lt;=10,"5.1 to 10",F3101&lt;=20,"10 to 20", F3101&lt;= 40, "20 to 40", F3101 &lt;= 50, "40 to 50", F3101 &gt; 50, "&gt;50" )</f>
        <v>10 to 20</v>
      </c>
    </row>
    <row r="3102" spans="1:15" ht="15" customHeight="1" x14ac:dyDescent="0.3">
      <c r="A3102" t="s">
        <v>593</v>
      </c>
      <c r="B3102" s="1">
        <v>46223</v>
      </c>
      <c r="C3102" t="s">
        <v>430</v>
      </c>
      <c r="D3102">
        <v>2901</v>
      </c>
      <c r="E3102">
        <v>1</v>
      </c>
      <c r="F3102">
        <v>42.5</v>
      </c>
      <c r="G3102" t="s">
        <v>17</v>
      </c>
      <c r="I3102" t="str">
        <f t="shared" si="79"/>
        <v>2901_1</v>
      </c>
      <c r="J3102" t="s">
        <v>533</v>
      </c>
      <c r="K3102" t="s">
        <v>115</v>
      </c>
      <c r="L3102" t="str">
        <f>_xlfn.XLOOKUP(C3102, Table2[Species],Table2[Genus], "Code Not Found")</f>
        <v>Tsuga</v>
      </c>
      <c r="M3102" t="str">
        <f>_xlfn.XLOOKUP(C3102, Table2[Species],Table2[Sp. Name], "Code Not Found")</f>
        <v>canadensis</v>
      </c>
      <c r="N3102" t="str">
        <f>_xlfn.XLOOKUP(C3102,Table2[Species],Table2[Family],"Code Not Found")</f>
        <v>Pinaceae</v>
      </c>
      <c r="O3102" t="str" cm="1">
        <f t="array" ref="O3102">_xlfn.IFS(F3102="","",F3102&lt;=5,"0 to 5",F3102&lt;=10,"5.1 to 10",F3102&lt;=20,"10 to 20", F3102&lt;= 40, "20 to 40", F3102 &lt;= 50, "40 to 50", F3102 &gt; 50, "&gt;50" )</f>
        <v>40 to 50</v>
      </c>
    </row>
    <row r="3103" spans="1:15" ht="15" customHeight="1" x14ac:dyDescent="0.3">
      <c r="A3103" t="s">
        <v>593</v>
      </c>
      <c r="B3103" s="1">
        <v>46223</v>
      </c>
      <c r="C3103" t="s">
        <v>16</v>
      </c>
      <c r="D3103">
        <v>2902</v>
      </c>
      <c r="E3103">
        <v>1</v>
      </c>
      <c r="F3103">
        <v>50.5</v>
      </c>
      <c r="G3103" t="s">
        <v>21</v>
      </c>
      <c r="I3103" t="str">
        <f t="shared" si="79"/>
        <v>2902_1</v>
      </c>
      <c r="J3103" t="s">
        <v>533</v>
      </c>
      <c r="K3103" t="s">
        <v>115</v>
      </c>
      <c r="L3103" t="str">
        <f>_xlfn.XLOOKUP(C3103, Table2[Species],Table2[Genus], "Code Not Found")</f>
        <v>Acer</v>
      </c>
      <c r="M3103" t="str">
        <f>_xlfn.XLOOKUP(C3103, Table2[Species],Table2[Sp. Name], "Code Not Found")</f>
        <v>saccharum</v>
      </c>
      <c r="N3103" t="str">
        <f>_xlfn.XLOOKUP(C3103,Table2[Species],Table2[Family],"Code Not Found")</f>
        <v>Sapindaceae</v>
      </c>
      <c r="O3103" t="str" cm="1">
        <f t="array" ref="O3103">_xlfn.IFS(F3103="","",F3103&lt;=5,"0 to 5",F3103&lt;=10,"5.1 to 10",F3103&lt;=20,"10 to 20", F3103&lt;= 40, "20 to 40", F3103 &lt;= 50, "40 to 50", F3103 &gt; 50, "&gt;50" )</f>
        <v>&gt;50</v>
      </c>
    </row>
    <row r="3104" spans="1:15" ht="15" customHeight="1" x14ac:dyDescent="0.3">
      <c r="A3104" t="s">
        <v>593</v>
      </c>
      <c r="B3104" s="1">
        <v>46223</v>
      </c>
      <c r="C3104" t="s">
        <v>16</v>
      </c>
      <c r="D3104">
        <v>2903</v>
      </c>
      <c r="E3104">
        <v>1</v>
      </c>
      <c r="F3104">
        <v>18</v>
      </c>
      <c r="G3104" t="s">
        <v>21</v>
      </c>
      <c r="I3104" t="str">
        <f t="shared" si="79"/>
        <v>2903_1</v>
      </c>
      <c r="J3104" t="s">
        <v>533</v>
      </c>
      <c r="K3104" t="s">
        <v>115</v>
      </c>
      <c r="L3104" t="str">
        <f>_xlfn.XLOOKUP(C3104, Table2[Species],Table2[Genus], "Code Not Found")</f>
        <v>Acer</v>
      </c>
      <c r="M3104" t="str">
        <f>_xlfn.XLOOKUP(C3104, Table2[Species],Table2[Sp. Name], "Code Not Found")</f>
        <v>saccharum</v>
      </c>
      <c r="N3104" t="str">
        <f>_xlfn.XLOOKUP(C3104,Table2[Species],Table2[Family],"Code Not Found")</f>
        <v>Sapindaceae</v>
      </c>
      <c r="O3104" t="str" cm="1">
        <f t="array" ref="O3104">_xlfn.IFS(F3104="","",F3104&lt;=5,"0 to 5",F3104&lt;=10,"5.1 to 10",F3104&lt;=20,"10 to 20", F3104&lt;= 40, "20 to 40", F3104 &lt;= 50, "40 to 50", F3104 &gt; 50, "&gt;50" )</f>
        <v>10 to 20</v>
      </c>
    </row>
    <row r="3105" spans="1:15" ht="15" customHeight="1" x14ac:dyDescent="0.3">
      <c r="A3105" t="s">
        <v>593</v>
      </c>
      <c r="B3105" s="1">
        <v>46223</v>
      </c>
      <c r="C3105" t="s">
        <v>16</v>
      </c>
      <c r="D3105">
        <v>2904</v>
      </c>
      <c r="E3105">
        <v>1</v>
      </c>
      <c r="F3105">
        <v>3.4</v>
      </c>
      <c r="G3105" t="s">
        <v>47</v>
      </c>
      <c r="I3105" t="str">
        <f t="shared" si="79"/>
        <v>2904_1</v>
      </c>
      <c r="J3105" t="s">
        <v>533</v>
      </c>
      <c r="K3105" t="s">
        <v>115</v>
      </c>
      <c r="L3105" t="str">
        <f>_xlfn.XLOOKUP(C3105, Table2[Species],Table2[Genus], "Code Not Found")</f>
        <v>Acer</v>
      </c>
      <c r="M3105" t="str">
        <f>_xlfn.XLOOKUP(C3105, Table2[Species],Table2[Sp. Name], "Code Not Found")</f>
        <v>saccharum</v>
      </c>
      <c r="N3105" t="str">
        <f>_xlfn.XLOOKUP(C3105,Table2[Species],Table2[Family],"Code Not Found")</f>
        <v>Sapindaceae</v>
      </c>
      <c r="O3105" t="str" cm="1">
        <f t="array" ref="O3105">_xlfn.IFS(F3105="","",F3105&lt;=5,"0 to 5",F3105&lt;=10,"5.1 to 10",F3105&lt;=20,"10 to 20", F3105&lt;= 40, "20 to 40", F3105 &lt;= 50, "40 to 50", F3105 &gt; 50, "&gt;50" )</f>
        <v>0 to 5</v>
      </c>
    </row>
    <row r="3106" spans="1:15" ht="15" customHeight="1" x14ac:dyDescent="0.3">
      <c r="A3106" t="s">
        <v>593</v>
      </c>
      <c r="B3106" s="1">
        <v>46223</v>
      </c>
      <c r="C3106" t="s">
        <v>16</v>
      </c>
      <c r="D3106">
        <v>2905</v>
      </c>
      <c r="E3106">
        <v>1</v>
      </c>
      <c r="F3106">
        <v>6.4</v>
      </c>
      <c r="G3106" t="s">
        <v>47</v>
      </c>
      <c r="I3106" t="str">
        <f t="shared" si="79"/>
        <v>2905_1</v>
      </c>
      <c r="J3106" t="s">
        <v>533</v>
      </c>
      <c r="K3106" t="s">
        <v>115</v>
      </c>
      <c r="L3106" t="str">
        <f>_xlfn.XLOOKUP(C3106, Table2[Species],Table2[Genus], "Code Not Found")</f>
        <v>Acer</v>
      </c>
      <c r="M3106" t="str">
        <f>_xlfn.XLOOKUP(C3106, Table2[Species],Table2[Sp. Name], "Code Not Found")</f>
        <v>saccharum</v>
      </c>
      <c r="N3106" t="str">
        <f>_xlfn.XLOOKUP(C3106,Table2[Species],Table2[Family],"Code Not Found")</f>
        <v>Sapindaceae</v>
      </c>
      <c r="O3106" t="str" cm="1">
        <f t="array" ref="O3106">_xlfn.IFS(F3106="","",F3106&lt;=5,"0 to 5",F3106&lt;=10,"5.1 to 10",F3106&lt;=20,"10 to 20", F3106&lt;= 40, "20 to 40", F3106 &lt;= 50, "40 to 50", F3106 &gt; 50, "&gt;50" )</f>
        <v>5.1 to 10</v>
      </c>
    </row>
    <row r="3107" spans="1:15" ht="15" customHeight="1" x14ac:dyDescent="0.3">
      <c r="A3107" t="s">
        <v>593</v>
      </c>
      <c r="B3107" s="1">
        <v>46223</v>
      </c>
      <c r="C3107" t="s">
        <v>22</v>
      </c>
      <c r="D3107">
        <v>2906</v>
      </c>
      <c r="E3107">
        <v>1</v>
      </c>
      <c r="F3107">
        <v>5.8</v>
      </c>
      <c r="G3107" t="s">
        <v>250</v>
      </c>
      <c r="H3107" t="s">
        <v>628</v>
      </c>
      <c r="I3107" t="str">
        <f t="shared" si="79"/>
        <v>2906_1</v>
      </c>
      <c r="J3107" t="s">
        <v>533</v>
      </c>
      <c r="K3107" t="s">
        <v>115</v>
      </c>
      <c r="L3107" t="str">
        <f>_xlfn.XLOOKUP(C3107, Table2[Species],Table2[Genus], "Code Not Found")</f>
        <v>Acer</v>
      </c>
      <c r="M3107" t="str">
        <f>_xlfn.XLOOKUP(C3107, Table2[Species],Table2[Sp. Name], "Code Not Found")</f>
        <v>rubrum</v>
      </c>
      <c r="N3107" t="str">
        <f>_xlfn.XLOOKUP(C3107,Table2[Species],Table2[Family],"Code Not Found")</f>
        <v>Sapindaceae</v>
      </c>
      <c r="O3107" t="str" cm="1">
        <f t="array" ref="O3107">_xlfn.IFS(F3107="","",F3107&lt;=5,"0 to 5",F3107&lt;=10,"5.1 to 10",F3107&lt;=20,"10 to 20", F3107&lt;= 40, "20 to 40", F3107 &lt;= 50, "40 to 50", F3107 &gt; 50, "&gt;50" )</f>
        <v>5.1 to 10</v>
      </c>
    </row>
    <row r="3108" spans="1:15" ht="15" customHeight="1" x14ac:dyDescent="0.3">
      <c r="A3108" t="s">
        <v>593</v>
      </c>
      <c r="B3108" s="1">
        <v>46223</v>
      </c>
      <c r="C3108" t="s">
        <v>16</v>
      </c>
      <c r="D3108">
        <v>2907</v>
      </c>
      <c r="E3108">
        <v>1</v>
      </c>
      <c r="F3108">
        <v>6.4</v>
      </c>
      <c r="G3108" t="s">
        <v>30</v>
      </c>
      <c r="H3108" t="s">
        <v>629</v>
      </c>
      <c r="I3108" t="str">
        <f t="shared" si="79"/>
        <v>2907_1</v>
      </c>
      <c r="J3108" t="s">
        <v>533</v>
      </c>
      <c r="K3108" t="s">
        <v>115</v>
      </c>
      <c r="L3108" t="str">
        <f>_xlfn.XLOOKUP(C3108, Table2[Species],Table2[Genus], "Code Not Found")</f>
        <v>Acer</v>
      </c>
      <c r="M3108" t="str">
        <f>_xlfn.XLOOKUP(C3108, Table2[Species],Table2[Sp. Name], "Code Not Found")</f>
        <v>saccharum</v>
      </c>
      <c r="N3108" t="str">
        <f>_xlfn.XLOOKUP(C3108,Table2[Species],Table2[Family],"Code Not Found")</f>
        <v>Sapindaceae</v>
      </c>
      <c r="O3108" t="str" cm="1">
        <f t="array" ref="O3108">_xlfn.IFS(F3108="","",F3108&lt;=5,"0 to 5",F3108&lt;=10,"5.1 to 10",F3108&lt;=20,"10 to 20", F3108&lt;= 40, "20 to 40", F3108 &lt;= 50, "40 to 50", F3108 &gt; 50, "&gt;50" )</f>
        <v>5.1 to 10</v>
      </c>
    </row>
    <row r="3109" spans="1:15" ht="15" customHeight="1" x14ac:dyDescent="0.3">
      <c r="A3109" t="s">
        <v>593</v>
      </c>
      <c r="B3109" s="1">
        <v>46223</v>
      </c>
      <c r="C3109" t="s">
        <v>64</v>
      </c>
      <c r="D3109">
        <v>2908</v>
      </c>
      <c r="E3109">
        <v>1</v>
      </c>
      <c r="F3109">
        <v>59.6</v>
      </c>
      <c r="G3109" t="s">
        <v>21</v>
      </c>
      <c r="H3109" t="s">
        <v>630</v>
      </c>
      <c r="I3109" t="str">
        <f t="shared" si="79"/>
        <v>2908_1</v>
      </c>
      <c r="J3109" t="s">
        <v>533</v>
      </c>
      <c r="K3109" t="s">
        <v>115</v>
      </c>
      <c r="L3109" t="str">
        <f>_xlfn.XLOOKUP(C3109, Table2[Species],Table2[Genus], "Code Not Found")</f>
        <v>Fagus</v>
      </c>
      <c r="M3109" t="str">
        <f>_xlfn.XLOOKUP(C3109, Table2[Species],Table2[Sp. Name], "Code Not Found")</f>
        <v>grandifolia</v>
      </c>
      <c r="N3109" t="str">
        <f>_xlfn.XLOOKUP(C3109,Table2[Species],Table2[Family],"Code Not Found")</f>
        <v>Fagaceae</v>
      </c>
      <c r="O3109" t="str" cm="1">
        <f t="array" ref="O3109">_xlfn.IFS(F3109="","",F3109&lt;=5,"0 to 5",F3109&lt;=10,"5.1 to 10",F3109&lt;=20,"10 to 20", F3109&lt;= 40, "20 to 40", F3109 &lt;= 50, "40 to 50", F3109 &gt; 50, "&gt;50" )</f>
        <v>&gt;50</v>
      </c>
    </row>
    <row r="3110" spans="1:15" ht="15" customHeight="1" x14ac:dyDescent="0.3">
      <c r="A3110" t="s">
        <v>593</v>
      </c>
      <c r="B3110" s="1">
        <v>46223</v>
      </c>
      <c r="C3110" t="s">
        <v>16</v>
      </c>
      <c r="D3110">
        <v>2909</v>
      </c>
      <c r="E3110">
        <v>1</v>
      </c>
      <c r="F3110">
        <v>9.1999999999999993</v>
      </c>
      <c r="G3110" t="s">
        <v>21</v>
      </c>
      <c r="I3110" t="str">
        <f t="shared" si="79"/>
        <v>2909_1</v>
      </c>
      <c r="J3110" t="s">
        <v>533</v>
      </c>
      <c r="K3110" t="s">
        <v>115</v>
      </c>
      <c r="L3110" t="str">
        <f>_xlfn.XLOOKUP(C3110, Table2[Species],Table2[Genus], "Code Not Found")</f>
        <v>Acer</v>
      </c>
      <c r="M3110" t="str">
        <f>_xlfn.XLOOKUP(C3110, Table2[Species],Table2[Sp. Name], "Code Not Found")</f>
        <v>saccharum</v>
      </c>
      <c r="N3110" t="str">
        <f>_xlfn.XLOOKUP(C3110,Table2[Species],Table2[Family],"Code Not Found")</f>
        <v>Sapindaceae</v>
      </c>
      <c r="O3110" t="str" cm="1">
        <f t="array" ref="O3110">_xlfn.IFS(F3110="","",F3110&lt;=5,"0 to 5",F3110&lt;=10,"5.1 to 10",F3110&lt;=20,"10 to 20", F3110&lt;= 40, "20 to 40", F3110 &lt;= 50, "40 to 50", F3110 &gt; 50, "&gt;50" )</f>
        <v>5.1 to 10</v>
      </c>
    </row>
    <row r="3111" spans="1:15" ht="15" customHeight="1" x14ac:dyDescent="0.3">
      <c r="A3111" t="s">
        <v>593</v>
      </c>
      <c r="B3111" s="1">
        <v>46223</v>
      </c>
      <c r="C3111" t="s">
        <v>16</v>
      </c>
      <c r="D3111">
        <v>2910</v>
      </c>
      <c r="E3111">
        <v>1</v>
      </c>
      <c r="F3111">
        <v>18.399999999999999</v>
      </c>
      <c r="G3111" t="s">
        <v>254</v>
      </c>
      <c r="H3111" t="s">
        <v>631</v>
      </c>
      <c r="I3111" t="str">
        <f t="shared" si="79"/>
        <v>2910_1</v>
      </c>
      <c r="J3111" t="s">
        <v>533</v>
      </c>
      <c r="K3111" t="s">
        <v>115</v>
      </c>
      <c r="L3111" t="str">
        <f>_xlfn.XLOOKUP(C3111, Table2[Species],Table2[Genus], "Code Not Found")</f>
        <v>Acer</v>
      </c>
      <c r="M3111" t="str">
        <f>_xlfn.XLOOKUP(C3111, Table2[Species],Table2[Sp. Name], "Code Not Found")</f>
        <v>saccharum</v>
      </c>
      <c r="N3111" t="str">
        <f>_xlfn.XLOOKUP(C3111,Table2[Species],Table2[Family],"Code Not Found")</f>
        <v>Sapindaceae</v>
      </c>
      <c r="O3111" t="str" cm="1">
        <f t="array" ref="O3111">_xlfn.IFS(F3111="","",F3111&lt;=5,"0 to 5",F3111&lt;=10,"5.1 to 10",F3111&lt;=20,"10 to 20", F3111&lt;= 40, "20 to 40", F3111 &lt;= 50, "40 to 50", F3111 &gt; 50, "&gt;50" )</f>
        <v>10 to 20</v>
      </c>
    </row>
    <row r="3112" spans="1:15" ht="15" customHeight="1" x14ac:dyDescent="0.3">
      <c r="A3112" t="s">
        <v>593</v>
      </c>
      <c r="B3112" s="1">
        <v>46223</v>
      </c>
      <c r="C3112" t="s">
        <v>16</v>
      </c>
      <c r="D3112">
        <v>2911</v>
      </c>
      <c r="E3112">
        <v>1</v>
      </c>
      <c r="F3112">
        <v>4.4000000000000004</v>
      </c>
      <c r="G3112" t="s">
        <v>30</v>
      </c>
      <c r="H3112" t="s">
        <v>262</v>
      </c>
      <c r="I3112" t="str">
        <f t="shared" si="79"/>
        <v>2911_1</v>
      </c>
      <c r="J3112" t="s">
        <v>533</v>
      </c>
      <c r="K3112" t="s">
        <v>115</v>
      </c>
      <c r="L3112" t="str">
        <f>_xlfn.XLOOKUP(C3112, Table2[Species],Table2[Genus], "Code Not Found")</f>
        <v>Acer</v>
      </c>
      <c r="M3112" t="str">
        <f>_xlfn.XLOOKUP(C3112, Table2[Species],Table2[Sp. Name], "Code Not Found")</f>
        <v>saccharum</v>
      </c>
      <c r="N3112" t="str">
        <f>_xlfn.XLOOKUP(C3112,Table2[Species],Table2[Family],"Code Not Found")</f>
        <v>Sapindaceae</v>
      </c>
      <c r="O3112" t="str" cm="1">
        <f t="array" ref="O3112">_xlfn.IFS(F3112="","",F3112&lt;=5,"0 to 5",F3112&lt;=10,"5.1 to 10",F3112&lt;=20,"10 to 20", F3112&lt;= 40, "20 to 40", F3112 &lt;= 50, "40 to 50", F3112 &gt; 50, "&gt;50" )</f>
        <v>0 to 5</v>
      </c>
    </row>
    <row r="3113" spans="1:15" ht="15" customHeight="1" x14ac:dyDescent="0.3">
      <c r="A3113" t="s">
        <v>593</v>
      </c>
      <c r="B3113" s="1">
        <v>46223</v>
      </c>
      <c r="C3113" t="s">
        <v>16</v>
      </c>
      <c r="D3113">
        <v>2912</v>
      </c>
      <c r="E3113">
        <v>1</v>
      </c>
      <c r="F3113">
        <v>2.4</v>
      </c>
      <c r="G3113" t="s">
        <v>17</v>
      </c>
      <c r="H3113" t="s">
        <v>36</v>
      </c>
      <c r="I3113" t="str">
        <f t="shared" si="79"/>
        <v>2912_1</v>
      </c>
      <c r="J3113" t="s">
        <v>533</v>
      </c>
      <c r="K3113" t="s">
        <v>115</v>
      </c>
      <c r="L3113" t="str">
        <f>_xlfn.XLOOKUP(C3113, Table2[Species],Table2[Genus], "Code Not Found")</f>
        <v>Acer</v>
      </c>
      <c r="M3113" t="str">
        <f>_xlfn.XLOOKUP(C3113, Table2[Species],Table2[Sp. Name], "Code Not Found")</f>
        <v>saccharum</v>
      </c>
      <c r="N3113" t="str">
        <f>_xlfn.XLOOKUP(C3113,Table2[Species],Table2[Family],"Code Not Found")</f>
        <v>Sapindaceae</v>
      </c>
      <c r="O3113" t="str" cm="1">
        <f t="array" ref="O3113">_xlfn.IFS(F3113="","",F3113&lt;=5,"0 to 5",F3113&lt;=10,"5.1 to 10",F3113&lt;=20,"10 to 20", F3113&lt;= 40, "20 to 40", F3113 &lt;= 50, "40 to 50", F3113 &gt; 50, "&gt;50" )</f>
        <v>0 to 5</v>
      </c>
    </row>
    <row r="3114" spans="1:15" ht="15" customHeight="1" x14ac:dyDescent="0.3">
      <c r="A3114" t="s">
        <v>593</v>
      </c>
      <c r="B3114" s="1">
        <v>46223</v>
      </c>
      <c r="C3114" t="s">
        <v>16</v>
      </c>
      <c r="D3114">
        <v>2913</v>
      </c>
      <c r="E3114">
        <v>1</v>
      </c>
      <c r="F3114">
        <v>6.3</v>
      </c>
      <c r="G3114" t="s">
        <v>88</v>
      </c>
      <c r="H3114" t="s">
        <v>629</v>
      </c>
      <c r="I3114" t="str">
        <f t="shared" si="79"/>
        <v>2913_1</v>
      </c>
      <c r="J3114" t="s">
        <v>533</v>
      </c>
      <c r="K3114" t="s">
        <v>115</v>
      </c>
      <c r="L3114" t="str">
        <f>_xlfn.XLOOKUP(C3114, Table2[Species],Table2[Genus], "Code Not Found")</f>
        <v>Acer</v>
      </c>
      <c r="M3114" t="str">
        <f>_xlfn.XLOOKUP(C3114, Table2[Species],Table2[Sp. Name], "Code Not Found")</f>
        <v>saccharum</v>
      </c>
      <c r="N3114" t="str">
        <f>_xlfn.XLOOKUP(C3114,Table2[Species],Table2[Family],"Code Not Found")</f>
        <v>Sapindaceae</v>
      </c>
      <c r="O3114" t="str" cm="1">
        <f t="array" ref="O3114">_xlfn.IFS(F3114="","",F3114&lt;=5,"0 to 5",F3114&lt;=10,"5.1 to 10",F3114&lt;=20,"10 to 20", F3114&lt;= 40, "20 to 40", F3114 &lt;= 50, "40 to 50", F3114 &gt; 50, "&gt;50" )</f>
        <v>5.1 to 10</v>
      </c>
    </row>
    <row r="3115" spans="1:15" ht="15" customHeight="1" x14ac:dyDescent="0.3">
      <c r="A3115" t="s">
        <v>593</v>
      </c>
      <c r="B3115" s="1">
        <v>46223</v>
      </c>
      <c r="C3115" t="s">
        <v>16</v>
      </c>
      <c r="D3115">
        <v>2914</v>
      </c>
      <c r="E3115">
        <v>1</v>
      </c>
      <c r="F3115">
        <v>4.8</v>
      </c>
      <c r="G3115" t="s">
        <v>88</v>
      </c>
      <c r="H3115" t="s">
        <v>262</v>
      </c>
      <c r="I3115" t="str">
        <f t="shared" si="79"/>
        <v>2914_1</v>
      </c>
      <c r="J3115" t="s">
        <v>533</v>
      </c>
      <c r="K3115" t="s">
        <v>115</v>
      </c>
      <c r="L3115" t="str">
        <f>_xlfn.XLOOKUP(C3115, Table2[Species],Table2[Genus], "Code Not Found")</f>
        <v>Acer</v>
      </c>
      <c r="M3115" t="str">
        <f>_xlfn.XLOOKUP(C3115, Table2[Species],Table2[Sp. Name], "Code Not Found")</f>
        <v>saccharum</v>
      </c>
      <c r="N3115" t="str">
        <f>_xlfn.XLOOKUP(C3115,Table2[Species],Table2[Family],"Code Not Found")</f>
        <v>Sapindaceae</v>
      </c>
      <c r="O3115" t="str" cm="1">
        <f t="array" ref="O3115">_xlfn.IFS(F3115="","",F3115&lt;=5,"0 to 5",F3115&lt;=10,"5.1 to 10",F3115&lt;=20,"10 to 20", F3115&lt;= 40, "20 to 40", F3115 &lt;= 50, "40 to 50", F3115 &gt; 50, "&gt;50" )</f>
        <v>0 to 5</v>
      </c>
    </row>
    <row r="3116" spans="1:15" ht="15" customHeight="1" x14ac:dyDescent="0.3">
      <c r="A3116" t="s">
        <v>593</v>
      </c>
      <c r="B3116" s="1">
        <v>46223</v>
      </c>
      <c r="C3116" t="s">
        <v>16</v>
      </c>
      <c r="D3116">
        <v>2915</v>
      </c>
      <c r="E3116">
        <v>1</v>
      </c>
      <c r="F3116">
        <v>7</v>
      </c>
      <c r="G3116" t="s">
        <v>17</v>
      </c>
      <c r="H3116" t="s">
        <v>36</v>
      </c>
      <c r="I3116" t="str">
        <f t="shared" si="79"/>
        <v>2915_1</v>
      </c>
      <c r="J3116" t="s">
        <v>533</v>
      </c>
      <c r="K3116" t="s">
        <v>115</v>
      </c>
      <c r="L3116" t="str">
        <f>_xlfn.XLOOKUP(C3116, Table2[Species],Table2[Genus], "Code Not Found")</f>
        <v>Acer</v>
      </c>
      <c r="M3116" t="str">
        <f>_xlfn.XLOOKUP(C3116, Table2[Species],Table2[Sp. Name], "Code Not Found")</f>
        <v>saccharum</v>
      </c>
      <c r="N3116" t="str">
        <f>_xlfn.XLOOKUP(C3116,Table2[Species],Table2[Family],"Code Not Found")</f>
        <v>Sapindaceae</v>
      </c>
      <c r="O3116" t="str" cm="1">
        <f t="array" ref="O3116">_xlfn.IFS(F3116="","",F3116&lt;=5,"0 to 5",F3116&lt;=10,"5.1 to 10",F3116&lt;=20,"10 to 20", F3116&lt;= 40, "20 to 40", F3116 &lt;= 50, "40 to 50", F3116 &gt; 50, "&gt;50" )</f>
        <v>5.1 to 10</v>
      </c>
    </row>
    <row r="3117" spans="1:15" ht="15" customHeight="1" x14ac:dyDescent="0.3">
      <c r="A3117" t="s">
        <v>593</v>
      </c>
      <c r="B3117" s="1">
        <v>46223</v>
      </c>
      <c r="C3117" t="s">
        <v>16</v>
      </c>
      <c r="D3117">
        <v>2916</v>
      </c>
      <c r="E3117">
        <v>1</v>
      </c>
      <c r="F3117">
        <v>2.7</v>
      </c>
      <c r="G3117" t="s">
        <v>30</v>
      </c>
      <c r="H3117" t="s">
        <v>234</v>
      </c>
      <c r="I3117" t="str">
        <f t="shared" si="79"/>
        <v>2916_1</v>
      </c>
      <c r="J3117" t="s">
        <v>533</v>
      </c>
      <c r="K3117" t="s">
        <v>115</v>
      </c>
      <c r="L3117" t="str">
        <f>_xlfn.XLOOKUP(C3117, Table2[Species],Table2[Genus], "Code Not Found")</f>
        <v>Acer</v>
      </c>
      <c r="M3117" t="str">
        <f>_xlfn.XLOOKUP(C3117, Table2[Species],Table2[Sp. Name], "Code Not Found")</f>
        <v>saccharum</v>
      </c>
      <c r="N3117" t="str">
        <f>_xlfn.XLOOKUP(C3117,Table2[Species],Table2[Family],"Code Not Found")</f>
        <v>Sapindaceae</v>
      </c>
      <c r="O3117" t="str" cm="1">
        <f t="array" ref="O3117">_xlfn.IFS(F3117="","",F3117&lt;=5,"0 to 5",F3117&lt;=10,"5.1 to 10",F3117&lt;=20,"10 to 20", F3117&lt;= 40, "20 to 40", F3117 &lt;= 50, "40 to 50", F3117 &gt; 50, "&gt;50" )</f>
        <v>0 to 5</v>
      </c>
    </row>
    <row r="3118" spans="1:15" ht="15" customHeight="1" x14ac:dyDescent="0.3">
      <c r="A3118" t="s">
        <v>593</v>
      </c>
      <c r="B3118" s="1">
        <v>46223</v>
      </c>
      <c r="C3118" t="s">
        <v>16</v>
      </c>
      <c r="D3118">
        <v>2917</v>
      </c>
      <c r="E3118">
        <v>1</v>
      </c>
      <c r="F3118">
        <v>3.2</v>
      </c>
      <c r="G3118" t="s">
        <v>21</v>
      </c>
      <c r="H3118" t="s">
        <v>632</v>
      </c>
      <c r="I3118" t="str">
        <f t="shared" si="79"/>
        <v>2917_1</v>
      </c>
      <c r="J3118" t="s">
        <v>533</v>
      </c>
      <c r="K3118" t="s">
        <v>115</v>
      </c>
      <c r="L3118" t="str">
        <f>_xlfn.XLOOKUP(C3118, Table2[Species],Table2[Genus], "Code Not Found")</f>
        <v>Acer</v>
      </c>
      <c r="M3118" t="str">
        <f>_xlfn.XLOOKUP(C3118, Table2[Species],Table2[Sp. Name], "Code Not Found")</f>
        <v>saccharum</v>
      </c>
      <c r="N3118" t="str">
        <f>_xlfn.XLOOKUP(C3118,Table2[Species],Table2[Family],"Code Not Found")</f>
        <v>Sapindaceae</v>
      </c>
      <c r="O3118" t="str" cm="1">
        <f t="array" ref="O3118">_xlfn.IFS(F3118="","",F3118&lt;=5,"0 to 5",F3118&lt;=10,"5.1 to 10",F3118&lt;=20,"10 to 20", F3118&lt;= 40, "20 to 40", F3118 &lt;= 50, "40 to 50", F3118 &gt; 50, "&gt;50" )</f>
        <v>0 to 5</v>
      </c>
    </row>
    <row r="3119" spans="1:15" ht="15" customHeight="1" x14ac:dyDescent="0.3">
      <c r="A3119" t="s">
        <v>593</v>
      </c>
      <c r="B3119" s="1">
        <v>46223</v>
      </c>
      <c r="C3119" t="s">
        <v>16</v>
      </c>
      <c r="D3119">
        <v>2918</v>
      </c>
      <c r="E3119">
        <v>1</v>
      </c>
      <c r="F3119">
        <v>16.5</v>
      </c>
      <c r="G3119" t="s">
        <v>30</v>
      </c>
      <c r="I3119" t="str">
        <f t="shared" si="79"/>
        <v>2918_1</v>
      </c>
      <c r="J3119" t="s">
        <v>533</v>
      </c>
      <c r="K3119" t="s">
        <v>115</v>
      </c>
      <c r="L3119" t="str">
        <f>_xlfn.XLOOKUP(C3119, Table2[Species],Table2[Genus], "Code Not Found")</f>
        <v>Acer</v>
      </c>
      <c r="M3119" t="str">
        <f>_xlfn.XLOOKUP(C3119, Table2[Species],Table2[Sp. Name], "Code Not Found")</f>
        <v>saccharum</v>
      </c>
      <c r="N3119" t="str">
        <f>_xlfn.XLOOKUP(C3119,Table2[Species],Table2[Family],"Code Not Found")</f>
        <v>Sapindaceae</v>
      </c>
      <c r="O3119" t="str" cm="1">
        <f t="array" ref="O3119">_xlfn.IFS(F3119="","",F3119&lt;=5,"0 to 5",F3119&lt;=10,"5.1 to 10",F3119&lt;=20,"10 to 20", F3119&lt;= 40, "20 to 40", F3119 &lt;= 50, "40 to 50", F3119 &gt; 50, "&gt;50" )</f>
        <v>10 to 20</v>
      </c>
    </row>
    <row r="3120" spans="1:15" ht="15" customHeight="1" x14ac:dyDescent="0.3">
      <c r="A3120" t="s">
        <v>593</v>
      </c>
      <c r="B3120" s="1">
        <v>46223</v>
      </c>
      <c r="C3120" t="s">
        <v>16</v>
      </c>
      <c r="D3120">
        <v>2919</v>
      </c>
      <c r="E3120">
        <v>1</v>
      </c>
      <c r="F3120">
        <v>14.1</v>
      </c>
      <c r="G3120" t="s">
        <v>21</v>
      </c>
      <c r="I3120" t="str">
        <f t="shared" si="79"/>
        <v>2919_1</v>
      </c>
      <c r="J3120" t="s">
        <v>533</v>
      </c>
      <c r="K3120" t="s">
        <v>115</v>
      </c>
      <c r="L3120" t="str">
        <f>_xlfn.XLOOKUP(C3120, Table2[Species],Table2[Genus], "Code Not Found")</f>
        <v>Acer</v>
      </c>
      <c r="M3120" t="str">
        <f>_xlfn.XLOOKUP(C3120, Table2[Species],Table2[Sp. Name], "Code Not Found")</f>
        <v>saccharum</v>
      </c>
      <c r="N3120" t="str">
        <f>_xlfn.XLOOKUP(C3120,Table2[Species],Table2[Family],"Code Not Found")</f>
        <v>Sapindaceae</v>
      </c>
      <c r="O3120" t="str" cm="1">
        <f t="array" ref="O3120">_xlfn.IFS(F3120="","",F3120&lt;=5,"0 to 5",F3120&lt;=10,"5.1 to 10",F3120&lt;=20,"10 to 20", F3120&lt;= 40, "20 to 40", F3120 &lt;= 50, "40 to 50", F3120 &gt; 50, "&gt;50" )</f>
        <v>10 to 20</v>
      </c>
    </row>
    <row r="3121" spans="1:15" ht="15" customHeight="1" x14ac:dyDescent="0.3">
      <c r="A3121" t="s">
        <v>593</v>
      </c>
      <c r="B3121" s="1">
        <v>46223</v>
      </c>
      <c r="C3121" t="s">
        <v>16</v>
      </c>
      <c r="D3121">
        <v>2920</v>
      </c>
      <c r="E3121">
        <v>1</v>
      </c>
      <c r="F3121">
        <v>3.8</v>
      </c>
      <c r="G3121" t="s">
        <v>47</v>
      </c>
      <c r="H3121" t="s">
        <v>322</v>
      </c>
      <c r="I3121" t="str">
        <f t="shared" ref="I3121:I3145" si="80">D3121&amp;"_"&amp;E3121</f>
        <v>2920_1</v>
      </c>
      <c r="J3121" t="s">
        <v>533</v>
      </c>
      <c r="K3121" t="s">
        <v>115</v>
      </c>
      <c r="L3121" t="str">
        <f>_xlfn.XLOOKUP(C3121, Table2[Species],Table2[Genus], "Code Not Found")</f>
        <v>Acer</v>
      </c>
      <c r="M3121" t="str">
        <f>_xlfn.XLOOKUP(C3121, Table2[Species],Table2[Sp. Name], "Code Not Found")</f>
        <v>saccharum</v>
      </c>
      <c r="N3121" t="str">
        <f>_xlfn.XLOOKUP(C3121,Table2[Species],Table2[Family],"Code Not Found")</f>
        <v>Sapindaceae</v>
      </c>
      <c r="O3121" t="str" cm="1">
        <f t="array" ref="O3121">_xlfn.IFS(F3121="","",F3121&lt;=5,"0 to 5",F3121&lt;=10,"5.1 to 10",F3121&lt;=20,"10 to 20", F3121&lt;= 40, "20 to 40", F3121 &lt;= 50, "40 to 50", F3121 &gt; 50, "&gt;50" )</f>
        <v>0 to 5</v>
      </c>
    </row>
    <row r="3122" spans="1:15" ht="15" customHeight="1" x14ac:dyDescent="0.3">
      <c r="A3122" t="s">
        <v>593</v>
      </c>
      <c r="B3122" s="1">
        <v>46223</v>
      </c>
      <c r="C3122" t="s">
        <v>16</v>
      </c>
      <c r="D3122">
        <v>2921</v>
      </c>
      <c r="E3122">
        <v>1</v>
      </c>
      <c r="F3122">
        <v>6.8</v>
      </c>
      <c r="G3122" t="s">
        <v>30</v>
      </c>
      <c r="H3122" t="s">
        <v>441</v>
      </c>
      <c r="I3122" t="str">
        <f t="shared" si="80"/>
        <v>2921_1</v>
      </c>
      <c r="J3122" t="s">
        <v>533</v>
      </c>
      <c r="K3122" t="s">
        <v>115</v>
      </c>
      <c r="L3122" t="str">
        <f>_xlfn.XLOOKUP(C3122, Table2[Species],Table2[Genus], "Code Not Found")</f>
        <v>Acer</v>
      </c>
      <c r="M3122" t="str">
        <f>_xlfn.XLOOKUP(C3122, Table2[Species],Table2[Sp. Name], "Code Not Found")</f>
        <v>saccharum</v>
      </c>
      <c r="N3122" t="str">
        <f>_xlfn.XLOOKUP(C3122,Table2[Species],Table2[Family],"Code Not Found")</f>
        <v>Sapindaceae</v>
      </c>
      <c r="O3122" t="str" cm="1">
        <f t="array" ref="O3122">_xlfn.IFS(F3122="","",F3122&lt;=5,"0 to 5",F3122&lt;=10,"5.1 to 10",F3122&lt;=20,"10 to 20", F3122&lt;= 40, "20 to 40", F3122 &lt;= 50, "40 to 50", F3122 &gt; 50, "&gt;50" )</f>
        <v>5.1 to 10</v>
      </c>
    </row>
    <row r="3123" spans="1:15" ht="15" customHeight="1" x14ac:dyDescent="0.3">
      <c r="A3123" t="s">
        <v>593</v>
      </c>
      <c r="B3123" s="1">
        <v>46223</v>
      </c>
      <c r="C3123" t="s">
        <v>16</v>
      </c>
      <c r="D3123">
        <v>2922</v>
      </c>
      <c r="E3123">
        <v>1</v>
      </c>
      <c r="F3123">
        <v>2.5</v>
      </c>
      <c r="G3123" t="s">
        <v>30</v>
      </c>
      <c r="H3123" t="s">
        <v>633</v>
      </c>
      <c r="I3123" t="str">
        <f t="shared" si="80"/>
        <v>2922_1</v>
      </c>
      <c r="J3123" t="s">
        <v>533</v>
      </c>
      <c r="K3123" t="s">
        <v>115</v>
      </c>
      <c r="L3123" t="str">
        <f>_xlfn.XLOOKUP(C3123, Table2[Species],Table2[Genus], "Code Not Found")</f>
        <v>Acer</v>
      </c>
      <c r="M3123" t="str">
        <f>_xlfn.XLOOKUP(C3123, Table2[Species],Table2[Sp. Name], "Code Not Found")</f>
        <v>saccharum</v>
      </c>
      <c r="N3123" t="str">
        <f>_xlfn.XLOOKUP(C3123,Table2[Species],Table2[Family],"Code Not Found")</f>
        <v>Sapindaceae</v>
      </c>
      <c r="O3123" t="str" cm="1">
        <f t="array" ref="O3123">_xlfn.IFS(F3123="","",F3123&lt;=5,"0 to 5",F3123&lt;=10,"5.1 to 10",F3123&lt;=20,"10 to 20", F3123&lt;= 40, "20 to 40", F3123 &lt;= 50, "40 to 50", F3123 &gt; 50, "&gt;50" )</f>
        <v>0 to 5</v>
      </c>
    </row>
    <row r="3124" spans="1:15" ht="15" customHeight="1" x14ac:dyDescent="0.3">
      <c r="A3124" t="s">
        <v>593</v>
      </c>
      <c r="B3124" s="1">
        <v>46223</v>
      </c>
      <c r="C3124" t="s">
        <v>16</v>
      </c>
      <c r="D3124">
        <v>2923</v>
      </c>
      <c r="E3124">
        <v>1</v>
      </c>
      <c r="F3124">
        <v>7.9</v>
      </c>
      <c r="G3124" t="s">
        <v>17</v>
      </c>
      <c r="I3124" t="str">
        <f t="shared" si="80"/>
        <v>2923_1</v>
      </c>
      <c r="J3124" t="s">
        <v>533</v>
      </c>
      <c r="K3124" t="s">
        <v>115</v>
      </c>
      <c r="L3124" t="str">
        <f>_xlfn.XLOOKUP(C3124, Table2[Species],Table2[Genus], "Code Not Found")</f>
        <v>Acer</v>
      </c>
      <c r="M3124" t="str">
        <f>_xlfn.XLOOKUP(C3124, Table2[Species],Table2[Sp. Name], "Code Not Found")</f>
        <v>saccharum</v>
      </c>
      <c r="N3124" t="str">
        <f>_xlfn.XLOOKUP(C3124,Table2[Species],Table2[Family],"Code Not Found")</f>
        <v>Sapindaceae</v>
      </c>
      <c r="O3124" t="str" cm="1">
        <f t="array" ref="O3124">_xlfn.IFS(F3124="","",F3124&lt;=5,"0 to 5",F3124&lt;=10,"5.1 to 10",F3124&lt;=20,"10 to 20", F3124&lt;= 40, "20 to 40", F3124 &lt;= 50, "40 to 50", F3124 &gt; 50, "&gt;50" )</f>
        <v>5.1 to 10</v>
      </c>
    </row>
    <row r="3125" spans="1:15" ht="15" customHeight="1" x14ac:dyDescent="0.3">
      <c r="A3125" t="s">
        <v>593</v>
      </c>
      <c r="B3125" s="1">
        <v>46223</v>
      </c>
      <c r="C3125" t="s">
        <v>16</v>
      </c>
      <c r="D3125">
        <v>2924</v>
      </c>
      <c r="E3125">
        <v>1</v>
      </c>
      <c r="F3125">
        <v>5.8</v>
      </c>
      <c r="G3125" t="s">
        <v>17</v>
      </c>
      <c r="I3125" t="str">
        <f t="shared" si="80"/>
        <v>2924_1</v>
      </c>
      <c r="J3125" t="s">
        <v>533</v>
      </c>
      <c r="K3125" t="s">
        <v>115</v>
      </c>
      <c r="L3125" t="str">
        <f>_xlfn.XLOOKUP(C3125, Table2[Species],Table2[Genus], "Code Not Found")</f>
        <v>Acer</v>
      </c>
      <c r="M3125" t="str">
        <f>_xlfn.XLOOKUP(C3125, Table2[Species],Table2[Sp. Name], "Code Not Found")</f>
        <v>saccharum</v>
      </c>
      <c r="N3125" t="str">
        <f>_xlfn.XLOOKUP(C3125,Table2[Species],Table2[Family],"Code Not Found")</f>
        <v>Sapindaceae</v>
      </c>
      <c r="O3125" t="str" cm="1">
        <f t="array" ref="O3125">_xlfn.IFS(F3125="","",F3125&lt;=5,"0 to 5",F3125&lt;=10,"5.1 to 10",F3125&lt;=20,"10 to 20", F3125&lt;= 40, "20 to 40", F3125 &lt;= 50, "40 to 50", F3125 &gt; 50, "&gt;50" )</f>
        <v>5.1 to 10</v>
      </c>
    </row>
    <row r="3126" spans="1:15" ht="15" customHeight="1" x14ac:dyDescent="0.3">
      <c r="A3126" t="s">
        <v>593</v>
      </c>
      <c r="B3126" s="1">
        <v>46223</v>
      </c>
      <c r="C3126" t="s">
        <v>117</v>
      </c>
      <c r="D3126">
        <v>2925</v>
      </c>
      <c r="E3126">
        <v>1</v>
      </c>
      <c r="F3126">
        <v>3.1</v>
      </c>
      <c r="G3126" t="s">
        <v>132</v>
      </c>
      <c r="H3126" t="s">
        <v>634</v>
      </c>
      <c r="I3126" t="str">
        <f t="shared" si="80"/>
        <v>2925_1</v>
      </c>
      <c r="J3126" t="s">
        <v>533</v>
      </c>
      <c r="K3126" t="s">
        <v>115</v>
      </c>
      <c r="L3126" t="str">
        <f>_xlfn.XLOOKUP(C3126, Table2[Species],Table2[Genus], "Code Not Found")</f>
        <v>Ostrya</v>
      </c>
      <c r="M3126" t="str">
        <f>_xlfn.XLOOKUP(C3126, Table2[Species],Table2[Sp. Name], "Code Not Found")</f>
        <v>viginiana</v>
      </c>
      <c r="N3126" t="str">
        <f>_xlfn.XLOOKUP(C3126,Table2[Species],Table2[Family],"Code Not Found")</f>
        <v>Betulaceae</v>
      </c>
      <c r="O3126" t="str" cm="1">
        <f t="array" ref="O3126">_xlfn.IFS(F3126="","",F3126&lt;=5,"0 to 5",F3126&lt;=10,"5.1 to 10",F3126&lt;=20,"10 to 20", F3126&lt;= 40, "20 to 40", F3126 &lt;= 50, "40 to 50", F3126 &gt; 50, "&gt;50" )</f>
        <v>0 to 5</v>
      </c>
    </row>
    <row r="3127" spans="1:15" ht="15" customHeight="1" x14ac:dyDescent="0.3">
      <c r="A3127" t="s">
        <v>593</v>
      </c>
      <c r="B3127" s="1">
        <v>46223</v>
      </c>
      <c r="C3127" t="s">
        <v>117</v>
      </c>
      <c r="D3127">
        <v>2925</v>
      </c>
      <c r="E3127">
        <v>2</v>
      </c>
      <c r="F3127">
        <v>1.9</v>
      </c>
      <c r="G3127" t="s">
        <v>34</v>
      </c>
      <c r="H3127" t="s">
        <v>296</v>
      </c>
      <c r="I3127" t="str">
        <f t="shared" si="80"/>
        <v>2925_2</v>
      </c>
      <c r="J3127" t="s">
        <v>533</v>
      </c>
      <c r="K3127" t="s">
        <v>115</v>
      </c>
      <c r="L3127" t="str">
        <f>_xlfn.XLOOKUP(C3127, Table2[Species],Table2[Genus], "Code Not Found")</f>
        <v>Ostrya</v>
      </c>
      <c r="M3127" t="str">
        <f>_xlfn.XLOOKUP(C3127, Table2[Species],Table2[Sp. Name], "Code Not Found")</f>
        <v>viginiana</v>
      </c>
      <c r="N3127" t="str">
        <f>_xlfn.XLOOKUP(C3127,Table2[Species],Table2[Family],"Code Not Found")</f>
        <v>Betulaceae</v>
      </c>
      <c r="O3127" t="str" cm="1">
        <f t="array" ref="O3127">_xlfn.IFS(F3127="","",F3127&lt;=5,"0 to 5",F3127&lt;=10,"5.1 to 10",F3127&lt;=20,"10 to 20", F3127&lt;= 40, "20 to 40", F3127 &lt;= 50, "40 to 50", F3127 &gt; 50, "&gt;50" )</f>
        <v>0 to 5</v>
      </c>
    </row>
    <row r="3128" spans="1:15" ht="15" customHeight="1" x14ac:dyDescent="0.3">
      <c r="A3128" t="s">
        <v>593</v>
      </c>
      <c r="B3128" s="1">
        <v>46223</v>
      </c>
      <c r="C3128" t="s">
        <v>117</v>
      </c>
      <c r="D3128">
        <v>2926</v>
      </c>
      <c r="E3128">
        <v>1</v>
      </c>
      <c r="F3128">
        <v>32.4</v>
      </c>
      <c r="G3128" t="s">
        <v>51</v>
      </c>
      <c r="H3128" t="s">
        <v>635</v>
      </c>
      <c r="I3128" t="str">
        <f t="shared" si="80"/>
        <v>2926_1</v>
      </c>
      <c r="J3128" t="s">
        <v>533</v>
      </c>
      <c r="K3128" t="s">
        <v>115</v>
      </c>
      <c r="L3128" t="str">
        <f>_xlfn.XLOOKUP(C3128, Table2[Species],Table2[Genus], "Code Not Found")</f>
        <v>Ostrya</v>
      </c>
      <c r="M3128" t="str">
        <f>_xlfn.XLOOKUP(C3128, Table2[Species],Table2[Sp. Name], "Code Not Found")</f>
        <v>viginiana</v>
      </c>
      <c r="N3128" t="str">
        <f>_xlfn.XLOOKUP(C3128,Table2[Species],Table2[Family],"Code Not Found")</f>
        <v>Betulaceae</v>
      </c>
      <c r="O3128" t="str" cm="1">
        <f t="array" ref="O3128">_xlfn.IFS(F3128="","",F3128&lt;=5,"0 to 5",F3128&lt;=10,"5.1 to 10",F3128&lt;=20,"10 to 20", F3128&lt;= 40, "20 to 40", F3128 &lt;= 50, "40 to 50", F3128 &gt; 50, "&gt;50" )</f>
        <v>20 to 40</v>
      </c>
    </row>
    <row r="3129" spans="1:15" ht="15" customHeight="1" x14ac:dyDescent="0.3">
      <c r="A3129" t="s">
        <v>593</v>
      </c>
      <c r="B3129" s="1">
        <v>46223</v>
      </c>
      <c r="C3129" t="s">
        <v>16</v>
      </c>
      <c r="D3129">
        <v>2927</v>
      </c>
      <c r="E3129">
        <v>1</v>
      </c>
      <c r="F3129">
        <v>6.8</v>
      </c>
      <c r="G3129" t="s">
        <v>34</v>
      </c>
      <c r="I3129" t="str">
        <f t="shared" si="80"/>
        <v>2927_1</v>
      </c>
      <c r="J3129" t="s">
        <v>533</v>
      </c>
      <c r="K3129" t="s">
        <v>115</v>
      </c>
      <c r="L3129" t="str">
        <f>_xlfn.XLOOKUP(C3129, Table2[Species],Table2[Genus], "Code Not Found")</f>
        <v>Acer</v>
      </c>
      <c r="M3129" t="str">
        <f>_xlfn.XLOOKUP(C3129, Table2[Species],Table2[Sp. Name], "Code Not Found")</f>
        <v>saccharum</v>
      </c>
      <c r="N3129" t="str">
        <f>_xlfn.XLOOKUP(C3129,Table2[Species],Table2[Family],"Code Not Found")</f>
        <v>Sapindaceae</v>
      </c>
      <c r="O3129" t="str" cm="1">
        <f t="array" ref="O3129">_xlfn.IFS(F3129="","",F3129&lt;=5,"0 to 5",F3129&lt;=10,"5.1 to 10",F3129&lt;=20,"10 to 20", F3129&lt;= 40, "20 to 40", F3129 &lt;= 50, "40 to 50", F3129 &gt; 50, "&gt;50" )</f>
        <v>5.1 to 10</v>
      </c>
    </row>
    <row r="3130" spans="1:15" ht="15" customHeight="1" x14ac:dyDescent="0.3">
      <c r="A3130" t="s">
        <v>593</v>
      </c>
      <c r="B3130" s="1">
        <v>46223</v>
      </c>
      <c r="C3130" t="s">
        <v>16</v>
      </c>
      <c r="D3130">
        <v>2927</v>
      </c>
      <c r="E3130">
        <v>2</v>
      </c>
      <c r="F3130">
        <v>5.7</v>
      </c>
      <c r="G3130" t="s">
        <v>636</v>
      </c>
      <c r="H3130" t="s">
        <v>86</v>
      </c>
      <c r="I3130" t="str">
        <f t="shared" si="80"/>
        <v>2927_2</v>
      </c>
      <c r="J3130" t="s">
        <v>533</v>
      </c>
      <c r="K3130" t="s">
        <v>115</v>
      </c>
      <c r="L3130" t="str">
        <f>_xlfn.XLOOKUP(C3130, Table2[Species],Table2[Genus], "Code Not Found")</f>
        <v>Acer</v>
      </c>
      <c r="M3130" t="str">
        <f>_xlfn.XLOOKUP(C3130, Table2[Species],Table2[Sp. Name], "Code Not Found")</f>
        <v>saccharum</v>
      </c>
      <c r="N3130" t="str">
        <f>_xlfn.XLOOKUP(C3130,Table2[Species],Table2[Family],"Code Not Found")</f>
        <v>Sapindaceae</v>
      </c>
      <c r="O3130" t="str" cm="1">
        <f t="array" ref="O3130">_xlfn.IFS(F3130="","",F3130&lt;=5,"0 to 5",F3130&lt;=10,"5.1 to 10",F3130&lt;=20,"10 to 20", F3130&lt;= 40, "20 to 40", F3130 &lt;= 50, "40 to 50", F3130 &gt; 50, "&gt;50" )</f>
        <v>5.1 to 10</v>
      </c>
    </row>
    <row r="3131" spans="1:15" ht="15" customHeight="1" x14ac:dyDescent="0.3">
      <c r="A3131" t="s">
        <v>593</v>
      </c>
      <c r="B3131" s="1">
        <v>46223</v>
      </c>
      <c r="C3131" t="s">
        <v>22</v>
      </c>
      <c r="D3131">
        <v>2928</v>
      </c>
      <c r="E3131">
        <v>1</v>
      </c>
      <c r="F3131">
        <v>76.400000000000006</v>
      </c>
      <c r="G3131" t="s">
        <v>21</v>
      </c>
      <c r="I3131" t="str">
        <f t="shared" si="80"/>
        <v>2928_1</v>
      </c>
      <c r="J3131" t="s">
        <v>533</v>
      </c>
      <c r="K3131" t="s">
        <v>115</v>
      </c>
      <c r="L3131" t="str">
        <f>_xlfn.XLOOKUP(C3131, Table2[Species],Table2[Genus], "Code Not Found")</f>
        <v>Acer</v>
      </c>
      <c r="M3131" t="str">
        <f>_xlfn.XLOOKUP(C3131, Table2[Species],Table2[Sp. Name], "Code Not Found")</f>
        <v>rubrum</v>
      </c>
      <c r="N3131" t="str">
        <f>_xlfn.XLOOKUP(C3131,Table2[Species],Table2[Family],"Code Not Found")</f>
        <v>Sapindaceae</v>
      </c>
      <c r="O3131" t="str" cm="1">
        <f t="array" ref="O3131">_xlfn.IFS(F3131="","",F3131&lt;=5,"0 to 5",F3131&lt;=10,"5.1 to 10",F3131&lt;=20,"10 to 20", F3131&lt;= 40, "20 to 40", F3131 &lt;= 50, "40 to 50", F3131 &gt; 50, "&gt;50" )</f>
        <v>&gt;50</v>
      </c>
    </row>
    <row r="3132" spans="1:15" ht="15" customHeight="1" x14ac:dyDescent="0.3">
      <c r="A3132" t="s">
        <v>593</v>
      </c>
      <c r="B3132" s="1">
        <v>46223</v>
      </c>
      <c r="C3132" t="s">
        <v>16</v>
      </c>
      <c r="D3132">
        <v>2929</v>
      </c>
      <c r="E3132">
        <v>1</v>
      </c>
      <c r="F3132">
        <v>4.2</v>
      </c>
      <c r="G3132" t="s">
        <v>21</v>
      </c>
      <c r="I3132" t="str">
        <f t="shared" si="80"/>
        <v>2929_1</v>
      </c>
      <c r="J3132" t="s">
        <v>533</v>
      </c>
      <c r="K3132" t="s">
        <v>115</v>
      </c>
      <c r="L3132" t="str">
        <f>_xlfn.XLOOKUP(C3132, Table2[Species],Table2[Genus], "Code Not Found")</f>
        <v>Acer</v>
      </c>
      <c r="M3132" t="str">
        <f>_xlfn.XLOOKUP(C3132, Table2[Species],Table2[Sp. Name], "Code Not Found")</f>
        <v>saccharum</v>
      </c>
      <c r="N3132" t="str">
        <f>_xlfn.XLOOKUP(C3132,Table2[Species],Table2[Family],"Code Not Found")</f>
        <v>Sapindaceae</v>
      </c>
      <c r="O3132" t="str" cm="1">
        <f t="array" ref="O3132">_xlfn.IFS(F3132="","",F3132&lt;=5,"0 to 5",F3132&lt;=10,"5.1 to 10",F3132&lt;=20,"10 to 20", F3132&lt;= 40, "20 to 40", F3132 &lt;= 50, "40 to 50", F3132 &gt; 50, "&gt;50" )</f>
        <v>0 to 5</v>
      </c>
    </row>
    <row r="3133" spans="1:15" ht="15" customHeight="1" x14ac:dyDescent="0.3">
      <c r="A3133" t="s">
        <v>593</v>
      </c>
      <c r="B3133" s="1">
        <v>46223</v>
      </c>
      <c r="C3133" t="s">
        <v>117</v>
      </c>
      <c r="D3133">
        <v>2930</v>
      </c>
      <c r="E3133">
        <v>1</v>
      </c>
      <c r="F3133">
        <v>3.4</v>
      </c>
      <c r="G3133" t="s">
        <v>47</v>
      </c>
      <c r="H3133" t="s">
        <v>322</v>
      </c>
      <c r="I3133" t="str">
        <f t="shared" si="80"/>
        <v>2930_1</v>
      </c>
      <c r="J3133" t="s">
        <v>533</v>
      </c>
      <c r="K3133" t="s">
        <v>115</v>
      </c>
      <c r="L3133" t="str">
        <f>_xlfn.XLOOKUP(C3133, Table2[Species],Table2[Genus], "Code Not Found")</f>
        <v>Ostrya</v>
      </c>
      <c r="M3133" t="str">
        <f>_xlfn.XLOOKUP(C3133, Table2[Species],Table2[Sp. Name], "Code Not Found")</f>
        <v>viginiana</v>
      </c>
      <c r="N3133" t="str">
        <f>_xlfn.XLOOKUP(C3133,Table2[Species],Table2[Family],"Code Not Found")</f>
        <v>Betulaceae</v>
      </c>
      <c r="O3133" t="str" cm="1">
        <f t="array" ref="O3133">_xlfn.IFS(F3133="","",F3133&lt;=5,"0 to 5",F3133&lt;=10,"5.1 to 10",F3133&lt;=20,"10 to 20", F3133&lt;= 40, "20 to 40", F3133 &lt;= 50, "40 to 50", F3133 &gt; 50, "&gt;50" )</f>
        <v>0 to 5</v>
      </c>
    </row>
    <row r="3134" spans="1:15" ht="15" customHeight="1" x14ac:dyDescent="0.3">
      <c r="A3134" t="s">
        <v>593</v>
      </c>
      <c r="B3134" s="1">
        <v>46223</v>
      </c>
      <c r="C3134" t="s">
        <v>64</v>
      </c>
      <c r="D3134">
        <v>2931</v>
      </c>
      <c r="E3134">
        <v>1</v>
      </c>
      <c r="F3134">
        <v>3.1</v>
      </c>
      <c r="G3134" t="s">
        <v>47</v>
      </c>
      <c r="H3134" t="s">
        <v>637</v>
      </c>
      <c r="I3134" t="str">
        <f t="shared" si="80"/>
        <v>2931_1</v>
      </c>
      <c r="J3134" t="s">
        <v>533</v>
      </c>
      <c r="K3134" t="s">
        <v>115</v>
      </c>
      <c r="L3134" t="str">
        <f>_xlfn.XLOOKUP(C3134, Table2[Species],Table2[Genus], "Code Not Found")</f>
        <v>Fagus</v>
      </c>
      <c r="M3134" t="str">
        <f>_xlfn.XLOOKUP(C3134, Table2[Species],Table2[Sp. Name], "Code Not Found")</f>
        <v>grandifolia</v>
      </c>
      <c r="N3134" t="str">
        <f>_xlfn.XLOOKUP(C3134,Table2[Species],Table2[Family],"Code Not Found")</f>
        <v>Fagaceae</v>
      </c>
      <c r="O3134" t="str" cm="1">
        <f t="array" ref="O3134">_xlfn.IFS(F3134="","",F3134&lt;=5,"0 to 5",F3134&lt;=10,"5.1 to 10",F3134&lt;=20,"10 to 20", F3134&lt;= 40, "20 to 40", F3134 &lt;= 50, "40 to 50", F3134 &gt; 50, "&gt;50" )</f>
        <v>0 to 5</v>
      </c>
    </row>
    <row r="3135" spans="1:15" ht="15" customHeight="1" x14ac:dyDescent="0.3">
      <c r="A3135" t="s">
        <v>593</v>
      </c>
      <c r="B3135" s="1">
        <v>46223</v>
      </c>
      <c r="C3135" t="s">
        <v>16</v>
      </c>
      <c r="D3135">
        <v>2932</v>
      </c>
      <c r="E3135">
        <v>1</v>
      </c>
      <c r="F3135">
        <v>3.1</v>
      </c>
      <c r="G3135" t="s">
        <v>88</v>
      </c>
      <c r="H3135" t="s">
        <v>638</v>
      </c>
      <c r="I3135" t="str">
        <f t="shared" si="80"/>
        <v>2932_1</v>
      </c>
      <c r="J3135" t="s">
        <v>533</v>
      </c>
      <c r="K3135" t="s">
        <v>115</v>
      </c>
      <c r="L3135" t="str">
        <f>_xlfn.XLOOKUP(C3135, Table2[Species],Table2[Genus], "Code Not Found")</f>
        <v>Acer</v>
      </c>
      <c r="M3135" t="str">
        <f>_xlfn.XLOOKUP(C3135, Table2[Species],Table2[Sp. Name], "Code Not Found")</f>
        <v>saccharum</v>
      </c>
      <c r="N3135" t="str">
        <f>_xlfn.XLOOKUP(C3135,Table2[Species],Table2[Family],"Code Not Found")</f>
        <v>Sapindaceae</v>
      </c>
      <c r="O3135" t="str" cm="1">
        <f t="array" ref="O3135">_xlfn.IFS(F3135="","",F3135&lt;=5,"0 to 5",F3135&lt;=10,"5.1 to 10",F3135&lt;=20,"10 to 20", F3135&lt;= 40, "20 to 40", F3135 &lt;= 50, "40 to 50", F3135 &gt; 50, "&gt;50" )</f>
        <v>0 to 5</v>
      </c>
    </row>
    <row r="3136" spans="1:15" ht="15" customHeight="1" x14ac:dyDescent="0.3">
      <c r="A3136" t="s">
        <v>593</v>
      </c>
      <c r="B3136" s="1">
        <v>46223</v>
      </c>
      <c r="C3136" t="s">
        <v>59</v>
      </c>
      <c r="D3136">
        <v>2933</v>
      </c>
      <c r="E3136">
        <v>1</v>
      </c>
      <c r="F3136">
        <v>46.1</v>
      </c>
      <c r="G3136" t="s">
        <v>21</v>
      </c>
      <c r="H3136" t="s">
        <v>639</v>
      </c>
      <c r="I3136" t="str">
        <f t="shared" si="80"/>
        <v>2933_1</v>
      </c>
      <c r="J3136" t="s">
        <v>533</v>
      </c>
      <c r="K3136" t="s">
        <v>115</v>
      </c>
      <c r="L3136" t="str">
        <f>_xlfn.XLOOKUP(C3136, Table2[Species],Table2[Genus], "Code Not Found")</f>
        <v>Nyssa</v>
      </c>
      <c r="M3136" t="str">
        <f>_xlfn.XLOOKUP(C3136, Table2[Species],Table2[Sp. Name], "Code Not Found")</f>
        <v>sylvatica</v>
      </c>
      <c r="N3136" t="str">
        <f>_xlfn.XLOOKUP(C3136,Table2[Species],Table2[Family],"Code Not Found")</f>
        <v>Nyssaceae</v>
      </c>
      <c r="O3136" t="str" cm="1">
        <f t="array" ref="O3136">_xlfn.IFS(F3136="","",F3136&lt;=5,"0 to 5",F3136&lt;=10,"5.1 to 10",F3136&lt;=20,"10 to 20", F3136&lt;= 40, "20 to 40", F3136 &lt;= 50, "40 to 50", F3136 &gt; 50, "&gt;50" )</f>
        <v>40 to 50</v>
      </c>
    </row>
    <row r="3137" spans="1:15" ht="15" customHeight="1" x14ac:dyDescent="0.3">
      <c r="A3137" t="s">
        <v>593</v>
      </c>
      <c r="B3137" s="1">
        <v>46223</v>
      </c>
      <c r="C3137" t="s">
        <v>16</v>
      </c>
      <c r="D3137">
        <v>2934</v>
      </c>
      <c r="E3137">
        <v>1</v>
      </c>
      <c r="F3137">
        <v>2</v>
      </c>
      <c r="G3137" t="s">
        <v>640</v>
      </c>
      <c r="H3137" t="s">
        <v>641</v>
      </c>
      <c r="I3137" t="str">
        <f t="shared" si="80"/>
        <v>2934_1</v>
      </c>
      <c r="J3137" t="s">
        <v>533</v>
      </c>
      <c r="K3137" t="s">
        <v>115</v>
      </c>
      <c r="L3137" t="str">
        <f>_xlfn.XLOOKUP(C3137, Table2[Species],Table2[Genus], "Code Not Found")</f>
        <v>Acer</v>
      </c>
      <c r="M3137" t="str">
        <f>_xlfn.XLOOKUP(C3137, Table2[Species],Table2[Sp. Name], "Code Not Found")</f>
        <v>saccharum</v>
      </c>
      <c r="N3137" t="str">
        <f>_xlfn.XLOOKUP(C3137,Table2[Species],Table2[Family],"Code Not Found")</f>
        <v>Sapindaceae</v>
      </c>
      <c r="O3137" t="str" cm="1">
        <f t="array" ref="O3137">_xlfn.IFS(F3137="","",F3137&lt;=5,"0 to 5",F3137&lt;=10,"5.1 to 10",F3137&lt;=20,"10 to 20", F3137&lt;= 40, "20 to 40", F3137 &lt;= 50, "40 to 50", F3137 &gt; 50, "&gt;50" )</f>
        <v>0 to 5</v>
      </c>
    </row>
    <row r="3138" spans="1:15" ht="15" customHeight="1" x14ac:dyDescent="0.3">
      <c r="A3138" t="s">
        <v>593</v>
      </c>
      <c r="B3138" s="1">
        <v>46223</v>
      </c>
      <c r="C3138" t="s">
        <v>16</v>
      </c>
      <c r="D3138">
        <v>2935</v>
      </c>
      <c r="E3138">
        <v>1</v>
      </c>
      <c r="F3138">
        <v>9.1999999999999993</v>
      </c>
      <c r="G3138" t="s">
        <v>30</v>
      </c>
      <c r="H3138" t="s">
        <v>262</v>
      </c>
      <c r="I3138" t="str">
        <f t="shared" si="80"/>
        <v>2935_1</v>
      </c>
      <c r="J3138" t="s">
        <v>533</v>
      </c>
      <c r="K3138" t="s">
        <v>115</v>
      </c>
      <c r="L3138" t="str">
        <f>_xlfn.XLOOKUP(C3138, Table2[Species],Table2[Genus], "Code Not Found")</f>
        <v>Acer</v>
      </c>
      <c r="M3138" t="str">
        <f>_xlfn.XLOOKUP(C3138, Table2[Species],Table2[Sp. Name], "Code Not Found")</f>
        <v>saccharum</v>
      </c>
      <c r="N3138" t="str">
        <f>_xlfn.XLOOKUP(C3138,Table2[Species],Table2[Family],"Code Not Found")</f>
        <v>Sapindaceae</v>
      </c>
      <c r="O3138" t="str" cm="1">
        <f t="array" ref="O3138">_xlfn.IFS(F3138="","",F3138&lt;=5,"0 to 5",F3138&lt;=10,"5.1 to 10",F3138&lt;=20,"10 to 20", F3138&lt;= 40, "20 to 40", F3138 &lt;= 50, "40 to 50", F3138 &gt; 50, "&gt;50" )</f>
        <v>5.1 to 10</v>
      </c>
    </row>
    <row r="3139" spans="1:15" ht="15" customHeight="1" x14ac:dyDescent="0.3">
      <c r="A3139" t="s">
        <v>593</v>
      </c>
      <c r="B3139" s="1">
        <v>46223</v>
      </c>
      <c r="C3139" t="s">
        <v>16</v>
      </c>
      <c r="D3139">
        <v>2936</v>
      </c>
      <c r="E3139">
        <v>1</v>
      </c>
      <c r="F3139">
        <v>19.899999999999999</v>
      </c>
      <c r="G3139" t="s">
        <v>17</v>
      </c>
      <c r="I3139" t="str">
        <f t="shared" si="80"/>
        <v>2936_1</v>
      </c>
      <c r="J3139" t="s">
        <v>533</v>
      </c>
      <c r="K3139" t="s">
        <v>115</v>
      </c>
      <c r="L3139" t="str">
        <f>_xlfn.XLOOKUP(C3139, Table2[Species],Table2[Genus], "Code Not Found")</f>
        <v>Acer</v>
      </c>
      <c r="M3139" t="str">
        <f>_xlfn.XLOOKUP(C3139, Table2[Species],Table2[Sp. Name], "Code Not Found")</f>
        <v>saccharum</v>
      </c>
      <c r="N3139" t="str">
        <f>_xlfn.XLOOKUP(C3139,Table2[Species],Table2[Family],"Code Not Found")</f>
        <v>Sapindaceae</v>
      </c>
      <c r="O3139" t="str" cm="1">
        <f t="array" ref="O3139">_xlfn.IFS(F3139="","",F3139&lt;=5,"0 to 5",F3139&lt;=10,"5.1 to 10",F3139&lt;=20,"10 to 20", F3139&lt;= 40, "20 to 40", F3139 &lt;= 50, "40 to 50", F3139 &gt; 50, "&gt;50" )</f>
        <v>10 to 20</v>
      </c>
    </row>
    <row r="3140" spans="1:15" ht="15" customHeight="1" x14ac:dyDescent="0.3">
      <c r="A3140" t="s">
        <v>593</v>
      </c>
      <c r="B3140" s="1">
        <v>46223</v>
      </c>
      <c r="C3140" t="s">
        <v>16</v>
      </c>
      <c r="D3140">
        <v>2937</v>
      </c>
      <c r="E3140">
        <v>1</v>
      </c>
      <c r="F3140">
        <v>6.7</v>
      </c>
      <c r="G3140" t="s">
        <v>21</v>
      </c>
      <c r="H3140" t="s">
        <v>642</v>
      </c>
      <c r="I3140" t="str">
        <f t="shared" si="80"/>
        <v>2937_1</v>
      </c>
      <c r="J3140" t="s">
        <v>533</v>
      </c>
      <c r="K3140" t="s">
        <v>115</v>
      </c>
      <c r="L3140" t="str">
        <f>_xlfn.XLOOKUP(C3140, Table2[Species],Table2[Genus], "Code Not Found")</f>
        <v>Acer</v>
      </c>
      <c r="M3140" t="str">
        <f>_xlfn.XLOOKUP(C3140, Table2[Species],Table2[Sp. Name], "Code Not Found")</f>
        <v>saccharum</v>
      </c>
      <c r="N3140" t="str">
        <f>_xlfn.XLOOKUP(C3140,Table2[Species],Table2[Family],"Code Not Found")</f>
        <v>Sapindaceae</v>
      </c>
      <c r="O3140" t="str" cm="1">
        <f t="array" ref="O3140">_xlfn.IFS(F3140="","",F3140&lt;=5,"0 to 5",F3140&lt;=10,"5.1 to 10",F3140&lt;=20,"10 to 20", F3140&lt;= 40, "20 to 40", F3140 &lt;= 50, "40 to 50", F3140 &gt; 50, "&gt;50" )</f>
        <v>5.1 to 10</v>
      </c>
    </row>
    <row r="3141" spans="1:15" ht="15" customHeight="1" x14ac:dyDescent="0.3">
      <c r="A3141" t="s">
        <v>593</v>
      </c>
      <c r="B3141" s="1">
        <v>46223</v>
      </c>
      <c r="C3141" t="s">
        <v>16</v>
      </c>
      <c r="D3141">
        <v>2938</v>
      </c>
      <c r="E3141">
        <v>1</v>
      </c>
      <c r="F3141">
        <v>15.1</v>
      </c>
      <c r="G3141" t="s">
        <v>47</v>
      </c>
      <c r="H3141" t="s">
        <v>643</v>
      </c>
      <c r="I3141" t="str">
        <f t="shared" si="80"/>
        <v>2938_1</v>
      </c>
      <c r="J3141" t="s">
        <v>533</v>
      </c>
      <c r="K3141" t="s">
        <v>115</v>
      </c>
      <c r="L3141" t="str">
        <f>_xlfn.XLOOKUP(C3141, Table2[Species],Table2[Genus], "Code Not Found")</f>
        <v>Acer</v>
      </c>
      <c r="M3141" t="str">
        <f>_xlfn.XLOOKUP(C3141, Table2[Species],Table2[Sp. Name], "Code Not Found")</f>
        <v>saccharum</v>
      </c>
      <c r="N3141" t="str">
        <f>_xlfn.XLOOKUP(C3141,Table2[Species],Table2[Family],"Code Not Found")</f>
        <v>Sapindaceae</v>
      </c>
      <c r="O3141" t="str" cm="1">
        <f t="array" ref="O3141">_xlfn.IFS(F3141="","",F3141&lt;=5,"0 to 5",F3141&lt;=10,"5.1 to 10",F3141&lt;=20,"10 to 20", F3141&lt;= 40, "20 to 40", F3141 &lt;= 50, "40 to 50", F3141 &gt; 50, "&gt;50" )</f>
        <v>10 to 20</v>
      </c>
    </row>
    <row r="3142" spans="1:15" ht="15" customHeight="1" x14ac:dyDescent="0.3">
      <c r="A3142" t="s">
        <v>593</v>
      </c>
      <c r="B3142" s="1">
        <v>46223</v>
      </c>
      <c r="C3142" t="s">
        <v>16</v>
      </c>
      <c r="D3142">
        <v>2939</v>
      </c>
      <c r="E3142">
        <v>1</v>
      </c>
      <c r="F3142">
        <v>7.8</v>
      </c>
      <c r="G3142" t="s">
        <v>94</v>
      </c>
      <c r="H3142" t="s">
        <v>644</v>
      </c>
      <c r="I3142" t="str">
        <f t="shared" si="80"/>
        <v>2939_1</v>
      </c>
      <c r="J3142" t="s">
        <v>533</v>
      </c>
      <c r="K3142" t="s">
        <v>115</v>
      </c>
      <c r="L3142" t="str">
        <f>_xlfn.XLOOKUP(C3142, Table2[Species],Table2[Genus], "Code Not Found")</f>
        <v>Acer</v>
      </c>
      <c r="M3142" t="str">
        <f>_xlfn.XLOOKUP(C3142, Table2[Species],Table2[Sp. Name], "Code Not Found")</f>
        <v>saccharum</v>
      </c>
      <c r="N3142" t="str">
        <f>_xlfn.XLOOKUP(C3142,Table2[Species],Table2[Family],"Code Not Found")</f>
        <v>Sapindaceae</v>
      </c>
      <c r="O3142" t="str" cm="1">
        <f t="array" ref="O3142">_xlfn.IFS(F3142="","",F3142&lt;=5,"0 to 5",F3142&lt;=10,"5.1 to 10",F3142&lt;=20,"10 to 20", F3142&lt;= 40, "20 to 40", F3142 &lt;= 50, "40 to 50", F3142 &gt; 50, "&gt;50" )</f>
        <v>5.1 to 10</v>
      </c>
    </row>
    <row r="3143" spans="1:15" ht="15" customHeight="1" x14ac:dyDescent="0.3">
      <c r="A3143" t="s">
        <v>593</v>
      </c>
      <c r="B3143" s="1">
        <v>46223</v>
      </c>
      <c r="C3143" t="s">
        <v>16</v>
      </c>
      <c r="D3143">
        <v>2940</v>
      </c>
      <c r="E3143">
        <v>1</v>
      </c>
      <c r="F3143">
        <v>4.5999999999999996</v>
      </c>
      <c r="G3143" t="s">
        <v>139</v>
      </c>
      <c r="H3143" t="s">
        <v>645</v>
      </c>
      <c r="I3143" t="str">
        <f t="shared" si="80"/>
        <v>2940_1</v>
      </c>
      <c r="J3143" t="s">
        <v>533</v>
      </c>
      <c r="K3143" t="s">
        <v>115</v>
      </c>
      <c r="L3143" t="str">
        <f>_xlfn.XLOOKUP(C3143, Table2[Species],Table2[Genus], "Code Not Found")</f>
        <v>Acer</v>
      </c>
      <c r="M3143" t="str">
        <f>_xlfn.XLOOKUP(C3143, Table2[Species],Table2[Sp. Name], "Code Not Found")</f>
        <v>saccharum</v>
      </c>
      <c r="N3143" t="str">
        <f>_xlfn.XLOOKUP(C3143,Table2[Species],Table2[Family],"Code Not Found")</f>
        <v>Sapindaceae</v>
      </c>
      <c r="O3143" t="str" cm="1">
        <f t="array" ref="O3143">_xlfn.IFS(F3143="","",F3143&lt;=5,"0 to 5",F3143&lt;=10,"5.1 to 10",F3143&lt;=20,"10 to 20", F3143&lt;= 40, "20 to 40", F3143 &lt;= 50, "40 to 50", F3143 &gt; 50, "&gt;50" )</f>
        <v>0 to 5</v>
      </c>
    </row>
    <row r="3144" spans="1:15" ht="15" customHeight="1" x14ac:dyDescent="0.3">
      <c r="A3144" t="s">
        <v>593</v>
      </c>
      <c r="B3144" s="1">
        <v>46223</v>
      </c>
      <c r="C3144" t="s">
        <v>16</v>
      </c>
      <c r="D3144">
        <v>2941</v>
      </c>
      <c r="E3144">
        <v>1</v>
      </c>
      <c r="F3144">
        <v>20.5</v>
      </c>
      <c r="G3144" t="s">
        <v>30</v>
      </c>
      <c r="H3144" t="s">
        <v>110</v>
      </c>
      <c r="I3144" t="str">
        <f t="shared" si="80"/>
        <v>2941_1</v>
      </c>
      <c r="J3144" t="s">
        <v>533</v>
      </c>
      <c r="K3144" t="s">
        <v>115</v>
      </c>
      <c r="L3144" t="str">
        <f>_xlfn.XLOOKUP(C3144, Table2[Species],Table2[Genus], "Code Not Found")</f>
        <v>Acer</v>
      </c>
      <c r="M3144" t="str">
        <f>_xlfn.XLOOKUP(C3144, Table2[Species],Table2[Sp. Name], "Code Not Found")</f>
        <v>saccharum</v>
      </c>
      <c r="N3144" t="str">
        <f>_xlfn.XLOOKUP(C3144,Table2[Species],Table2[Family],"Code Not Found")</f>
        <v>Sapindaceae</v>
      </c>
      <c r="O3144" t="str" cm="1">
        <f t="array" ref="O3144">_xlfn.IFS(F3144="","",F3144&lt;=5,"0 to 5",F3144&lt;=10,"5.1 to 10",F3144&lt;=20,"10 to 20", F3144&lt;= 40, "20 to 40", F3144 &lt;= 50, "40 to 50", F3144 &gt; 50, "&gt;50" )</f>
        <v>20 to 40</v>
      </c>
    </row>
    <row r="3145" spans="1:15" ht="15" customHeight="1" x14ac:dyDescent="0.3">
      <c r="A3145" t="s">
        <v>593</v>
      </c>
      <c r="B3145" s="1">
        <v>46223</v>
      </c>
      <c r="C3145" t="s">
        <v>16</v>
      </c>
      <c r="D3145">
        <v>2942</v>
      </c>
      <c r="E3145">
        <v>1</v>
      </c>
      <c r="F3145">
        <v>18.100000000000001</v>
      </c>
      <c r="G3145" t="s">
        <v>17</v>
      </c>
      <c r="I3145" t="str">
        <f t="shared" si="80"/>
        <v>2942_1</v>
      </c>
      <c r="J3145" t="s">
        <v>533</v>
      </c>
      <c r="K3145" t="s">
        <v>115</v>
      </c>
      <c r="L3145" t="str">
        <f>_xlfn.XLOOKUP(C3145, Table2[Species],Table2[Genus], "Code Not Found")</f>
        <v>Acer</v>
      </c>
      <c r="M3145" t="str">
        <f>_xlfn.XLOOKUP(C3145, Table2[Species],Table2[Sp. Name], "Code Not Found")</f>
        <v>saccharum</v>
      </c>
      <c r="N3145" t="str">
        <f>_xlfn.XLOOKUP(C3145,Table2[Species],Table2[Family],"Code Not Found")</f>
        <v>Sapindaceae</v>
      </c>
      <c r="O3145" t="str" cm="1">
        <f t="array" ref="O3145">_xlfn.IFS(F3145="","",F3145&lt;=5,"0 to 5",F3145&lt;=10,"5.1 to 10",F3145&lt;=20,"10 to 20", F3145&lt;= 40, "20 to 40", F3145 &lt;= 50, "40 to 50", F3145 &gt; 50, "&gt;50" )</f>
        <v>10 to 20</v>
      </c>
    </row>
    <row r="3146" spans="1:15" ht="15" customHeight="1" x14ac:dyDescent="0.3">
      <c r="A3146" t="s">
        <v>593</v>
      </c>
      <c r="B3146" s="1">
        <v>46223</v>
      </c>
      <c r="C3146" t="s">
        <v>16</v>
      </c>
      <c r="D3146">
        <v>2944</v>
      </c>
      <c r="E3146">
        <v>1</v>
      </c>
      <c r="F3146">
        <v>29.5</v>
      </c>
      <c r="G3146" t="s">
        <v>71</v>
      </c>
      <c r="H3146" t="s">
        <v>646</v>
      </c>
      <c r="I3146" t="str">
        <f t="shared" ref="I3146:I3170" si="81">D3146&amp;"_"&amp;E3146</f>
        <v>2944_1</v>
      </c>
      <c r="J3146" t="s">
        <v>533</v>
      </c>
      <c r="K3146" t="s">
        <v>115</v>
      </c>
      <c r="L3146" t="str">
        <f>_xlfn.XLOOKUP(C3146, Table2[Species],Table2[Genus], "Code Not Found")</f>
        <v>Acer</v>
      </c>
      <c r="M3146" t="str">
        <f>_xlfn.XLOOKUP(C3146, Table2[Species],Table2[Sp. Name], "Code Not Found")</f>
        <v>saccharum</v>
      </c>
      <c r="N3146" t="str">
        <f>_xlfn.XLOOKUP(C3146,Table2[Species],Table2[Family],"Code Not Found")</f>
        <v>Sapindaceae</v>
      </c>
      <c r="O3146" t="str" cm="1">
        <f t="array" ref="O3146">_xlfn.IFS(F3146="","",F3146&lt;=5,"0 to 5",F3146&lt;=10,"5.1 to 10",F3146&lt;=20,"10 to 20", F3146&lt;= 40, "20 to 40", F3146 &lt;= 50, "40 to 50", F3146 &gt; 50, "&gt;50" )</f>
        <v>20 to 40</v>
      </c>
    </row>
    <row r="3147" spans="1:15" ht="15" customHeight="1" x14ac:dyDescent="0.3">
      <c r="A3147" t="s">
        <v>593</v>
      </c>
      <c r="B3147" s="1">
        <v>46223</v>
      </c>
      <c r="C3147" t="s">
        <v>16</v>
      </c>
      <c r="D3147">
        <v>2945</v>
      </c>
      <c r="E3147">
        <v>1</v>
      </c>
      <c r="F3147">
        <v>3.5</v>
      </c>
      <c r="G3147" t="s">
        <v>17</v>
      </c>
      <c r="I3147" t="str">
        <f t="shared" si="81"/>
        <v>2945_1</v>
      </c>
      <c r="J3147" t="s">
        <v>533</v>
      </c>
      <c r="K3147" t="s">
        <v>115</v>
      </c>
      <c r="L3147" t="str">
        <f>_xlfn.XLOOKUP(C3147, Table2[Species],Table2[Genus], "Code Not Found")</f>
        <v>Acer</v>
      </c>
      <c r="M3147" t="str">
        <f>_xlfn.XLOOKUP(C3147, Table2[Species],Table2[Sp. Name], "Code Not Found")</f>
        <v>saccharum</v>
      </c>
      <c r="N3147" t="str">
        <f>_xlfn.XLOOKUP(C3147,Table2[Species],Table2[Family],"Code Not Found")</f>
        <v>Sapindaceae</v>
      </c>
      <c r="O3147" t="str" cm="1">
        <f t="array" ref="O3147">_xlfn.IFS(F3147="","",F3147&lt;=5,"0 to 5",F3147&lt;=10,"5.1 to 10",F3147&lt;=20,"10 to 20", F3147&lt;= 40, "20 to 40", F3147 &lt;= 50, "40 to 50", F3147 &gt; 50, "&gt;50" )</f>
        <v>0 to 5</v>
      </c>
    </row>
    <row r="3148" spans="1:15" ht="15" customHeight="1" x14ac:dyDescent="0.3">
      <c r="A3148" t="s">
        <v>593</v>
      </c>
      <c r="B3148" s="1">
        <v>46223</v>
      </c>
      <c r="C3148" t="s">
        <v>16</v>
      </c>
      <c r="D3148">
        <v>2946</v>
      </c>
      <c r="E3148">
        <v>1</v>
      </c>
      <c r="F3148">
        <v>1.5</v>
      </c>
      <c r="G3148" t="s">
        <v>47</v>
      </c>
      <c r="H3148" t="s">
        <v>347</v>
      </c>
      <c r="I3148" t="str">
        <f t="shared" si="81"/>
        <v>2946_1</v>
      </c>
      <c r="J3148" t="s">
        <v>533</v>
      </c>
      <c r="K3148" t="s">
        <v>115</v>
      </c>
      <c r="L3148" t="str">
        <f>_xlfn.XLOOKUP(C3148, Table2[Species],Table2[Genus], "Code Not Found")</f>
        <v>Acer</v>
      </c>
      <c r="M3148" t="str">
        <f>_xlfn.XLOOKUP(C3148, Table2[Species],Table2[Sp. Name], "Code Not Found")</f>
        <v>saccharum</v>
      </c>
      <c r="N3148" t="str">
        <f>_xlfn.XLOOKUP(C3148,Table2[Species],Table2[Family],"Code Not Found")</f>
        <v>Sapindaceae</v>
      </c>
      <c r="O3148" t="str" cm="1">
        <f t="array" ref="O3148">_xlfn.IFS(F3148="","",F3148&lt;=5,"0 to 5",F3148&lt;=10,"5.1 to 10",F3148&lt;=20,"10 to 20", F3148&lt;= 40, "20 to 40", F3148 &lt;= 50, "40 to 50", F3148 &gt; 50, "&gt;50" )</f>
        <v>0 to 5</v>
      </c>
    </row>
    <row r="3149" spans="1:15" ht="15" customHeight="1" x14ac:dyDescent="0.3">
      <c r="A3149" t="s">
        <v>593</v>
      </c>
      <c r="B3149" s="1">
        <v>46223</v>
      </c>
      <c r="C3149" t="s">
        <v>16</v>
      </c>
      <c r="D3149">
        <v>2947</v>
      </c>
      <c r="E3149">
        <v>1</v>
      </c>
      <c r="F3149">
        <v>3.7</v>
      </c>
      <c r="G3149" t="s">
        <v>17</v>
      </c>
      <c r="I3149" t="str">
        <f t="shared" si="81"/>
        <v>2947_1</v>
      </c>
      <c r="J3149" t="s">
        <v>533</v>
      </c>
      <c r="K3149" t="s">
        <v>115</v>
      </c>
      <c r="L3149" t="str">
        <f>_xlfn.XLOOKUP(C3149, Table2[Species],Table2[Genus], "Code Not Found")</f>
        <v>Acer</v>
      </c>
      <c r="M3149" t="str">
        <f>_xlfn.XLOOKUP(C3149, Table2[Species],Table2[Sp. Name], "Code Not Found")</f>
        <v>saccharum</v>
      </c>
      <c r="N3149" t="str">
        <f>_xlfn.XLOOKUP(C3149,Table2[Species],Table2[Family],"Code Not Found")</f>
        <v>Sapindaceae</v>
      </c>
      <c r="O3149" t="str" cm="1">
        <f t="array" ref="O3149">_xlfn.IFS(F3149="","",F3149&lt;=5,"0 to 5",F3149&lt;=10,"5.1 to 10",F3149&lt;=20,"10 to 20", F3149&lt;= 40, "20 to 40", F3149 &lt;= 50, "40 to 50", F3149 &gt; 50, "&gt;50" )</f>
        <v>0 to 5</v>
      </c>
    </row>
    <row r="3150" spans="1:15" ht="15" customHeight="1" x14ac:dyDescent="0.3">
      <c r="A3150" t="s">
        <v>593</v>
      </c>
      <c r="B3150" s="1">
        <v>46223</v>
      </c>
      <c r="C3150" t="s">
        <v>16</v>
      </c>
      <c r="D3150">
        <v>2948</v>
      </c>
      <c r="E3150">
        <v>1</v>
      </c>
      <c r="F3150">
        <v>9</v>
      </c>
      <c r="G3150" t="s">
        <v>505</v>
      </c>
      <c r="H3150" t="s">
        <v>647</v>
      </c>
      <c r="I3150" t="str">
        <f t="shared" si="81"/>
        <v>2948_1</v>
      </c>
      <c r="J3150" t="s">
        <v>533</v>
      </c>
      <c r="K3150" t="s">
        <v>115</v>
      </c>
      <c r="L3150" t="str">
        <f>_xlfn.XLOOKUP(C3150, Table2[Species],Table2[Genus], "Code Not Found")</f>
        <v>Acer</v>
      </c>
      <c r="M3150" t="str">
        <f>_xlfn.XLOOKUP(C3150, Table2[Species],Table2[Sp. Name], "Code Not Found")</f>
        <v>saccharum</v>
      </c>
      <c r="N3150" t="str">
        <f>_xlfn.XLOOKUP(C3150,Table2[Species],Table2[Family],"Code Not Found")</f>
        <v>Sapindaceae</v>
      </c>
      <c r="O3150" t="str" cm="1">
        <f t="array" ref="O3150">_xlfn.IFS(F3150="","",F3150&lt;=5,"0 to 5",F3150&lt;=10,"5.1 to 10",F3150&lt;=20,"10 to 20", F3150&lt;= 40, "20 to 40", F3150 &lt;= 50, "40 to 50", F3150 &gt; 50, "&gt;50" )</f>
        <v>5.1 to 10</v>
      </c>
    </row>
    <row r="3151" spans="1:15" ht="15" customHeight="1" x14ac:dyDescent="0.3">
      <c r="A3151" t="s">
        <v>593</v>
      </c>
      <c r="B3151" s="1">
        <v>46223</v>
      </c>
      <c r="C3151" t="s">
        <v>123</v>
      </c>
      <c r="D3151">
        <v>2949</v>
      </c>
      <c r="E3151">
        <v>1</v>
      </c>
      <c r="F3151">
        <v>31.6</v>
      </c>
      <c r="G3151" t="s">
        <v>21</v>
      </c>
      <c r="I3151" t="str">
        <f t="shared" si="81"/>
        <v>2949_1</v>
      </c>
      <c r="J3151" t="s">
        <v>533</v>
      </c>
      <c r="K3151" t="s">
        <v>115</v>
      </c>
      <c r="L3151" t="str">
        <f>_xlfn.XLOOKUP(C3151, Table2[Species],Table2[Genus], "Code Not Found")</f>
        <v>Quercus</v>
      </c>
      <c r="M3151" t="str">
        <f>_xlfn.XLOOKUP(C3151, Table2[Species],Table2[Sp. Name], "Code Not Found")</f>
        <v>rubra</v>
      </c>
      <c r="N3151" t="str">
        <f>_xlfn.XLOOKUP(C3151,Table2[Species],Table2[Family],"Code Not Found")</f>
        <v>Fagaceae</v>
      </c>
      <c r="O3151" t="str" cm="1">
        <f t="array" ref="O3151">_xlfn.IFS(F3151="","",F3151&lt;=5,"0 to 5",F3151&lt;=10,"5.1 to 10",F3151&lt;=20,"10 to 20", F3151&lt;= 40, "20 to 40", F3151 &lt;= 50, "40 to 50", F3151 &gt; 50, "&gt;50" )</f>
        <v>20 to 40</v>
      </c>
    </row>
    <row r="3152" spans="1:15" ht="15" customHeight="1" x14ac:dyDescent="0.3">
      <c r="A3152" t="s">
        <v>593</v>
      </c>
      <c r="B3152" s="1">
        <v>46223</v>
      </c>
      <c r="C3152" t="s">
        <v>16</v>
      </c>
      <c r="D3152">
        <v>2950</v>
      </c>
      <c r="E3152">
        <v>1</v>
      </c>
      <c r="F3152">
        <v>13.7</v>
      </c>
      <c r="G3152" t="s">
        <v>21</v>
      </c>
      <c r="I3152" t="str">
        <f t="shared" si="81"/>
        <v>2950_1</v>
      </c>
      <c r="J3152" t="s">
        <v>533</v>
      </c>
      <c r="K3152" t="s">
        <v>115</v>
      </c>
      <c r="L3152" t="str">
        <f>_xlfn.XLOOKUP(C3152, Table2[Species],Table2[Genus], "Code Not Found")</f>
        <v>Acer</v>
      </c>
      <c r="M3152" t="str">
        <f>_xlfn.XLOOKUP(C3152, Table2[Species],Table2[Sp. Name], "Code Not Found")</f>
        <v>saccharum</v>
      </c>
      <c r="N3152" t="str">
        <f>_xlfn.XLOOKUP(C3152,Table2[Species],Table2[Family],"Code Not Found")</f>
        <v>Sapindaceae</v>
      </c>
      <c r="O3152" t="str" cm="1">
        <f t="array" ref="O3152">_xlfn.IFS(F3152="","",F3152&lt;=5,"0 to 5",F3152&lt;=10,"5.1 to 10",F3152&lt;=20,"10 to 20", F3152&lt;= 40, "20 to 40", F3152 &lt;= 50, "40 to 50", F3152 &gt; 50, "&gt;50" )</f>
        <v>10 to 20</v>
      </c>
    </row>
    <row r="3153" spans="1:15" ht="15" customHeight="1" x14ac:dyDescent="0.3">
      <c r="A3153" t="s">
        <v>593</v>
      </c>
      <c r="B3153" s="1">
        <v>46223</v>
      </c>
      <c r="C3153" t="s">
        <v>16</v>
      </c>
      <c r="D3153">
        <v>2951</v>
      </c>
      <c r="E3153">
        <v>1</v>
      </c>
      <c r="F3153">
        <v>4.5999999999999996</v>
      </c>
      <c r="G3153" t="s">
        <v>17</v>
      </c>
      <c r="I3153" t="str">
        <f t="shared" si="81"/>
        <v>2951_1</v>
      </c>
      <c r="J3153" t="s">
        <v>533</v>
      </c>
      <c r="K3153" t="s">
        <v>115</v>
      </c>
      <c r="L3153" t="str">
        <f>_xlfn.XLOOKUP(C3153, Table2[Species],Table2[Genus], "Code Not Found")</f>
        <v>Acer</v>
      </c>
      <c r="M3153" t="str">
        <f>_xlfn.XLOOKUP(C3153, Table2[Species],Table2[Sp. Name], "Code Not Found")</f>
        <v>saccharum</v>
      </c>
      <c r="N3153" t="str">
        <f>_xlfn.XLOOKUP(C3153,Table2[Species],Table2[Family],"Code Not Found")</f>
        <v>Sapindaceae</v>
      </c>
      <c r="O3153" t="str" cm="1">
        <f t="array" ref="O3153">_xlfn.IFS(F3153="","",F3153&lt;=5,"0 to 5",F3153&lt;=10,"5.1 to 10",F3153&lt;=20,"10 to 20", F3153&lt;= 40, "20 to 40", F3153 &lt;= 50, "40 to 50", F3153 &gt; 50, "&gt;50" )</f>
        <v>0 to 5</v>
      </c>
    </row>
    <row r="3154" spans="1:15" ht="15" customHeight="1" x14ac:dyDescent="0.3">
      <c r="A3154" t="s">
        <v>593</v>
      </c>
      <c r="B3154" s="1">
        <v>46223</v>
      </c>
      <c r="C3154" t="s">
        <v>16</v>
      </c>
      <c r="D3154">
        <v>2952</v>
      </c>
      <c r="E3154">
        <v>1</v>
      </c>
      <c r="F3154">
        <v>49.7</v>
      </c>
      <c r="G3154" t="s">
        <v>56</v>
      </c>
      <c r="H3154" t="s">
        <v>648</v>
      </c>
      <c r="I3154" t="str">
        <f t="shared" si="81"/>
        <v>2952_1</v>
      </c>
      <c r="J3154" t="s">
        <v>533</v>
      </c>
      <c r="K3154" t="s">
        <v>115</v>
      </c>
      <c r="L3154" t="str">
        <f>_xlfn.XLOOKUP(C3154, Table2[Species],Table2[Genus], "Code Not Found")</f>
        <v>Acer</v>
      </c>
      <c r="M3154" t="str">
        <f>_xlfn.XLOOKUP(C3154, Table2[Species],Table2[Sp. Name], "Code Not Found")</f>
        <v>saccharum</v>
      </c>
      <c r="N3154" t="str">
        <f>_xlfn.XLOOKUP(C3154,Table2[Species],Table2[Family],"Code Not Found")</f>
        <v>Sapindaceae</v>
      </c>
      <c r="O3154" t="str" cm="1">
        <f t="array" ref="O3154">_xlfn.IFS(F3154="","",F3154&lt;=5,"0 to 5",F3154&lt;=10,"5.1 to 10",F3154&lt;=20,"10 to 20", F3154&lt;= 40, "20 to 40", F3154 &lt;= 50, "40 to 50", F3154 &gt; 50, "&gt;50" )</f>
        <v>40 to 50</v>
      </c>
    </row>
    <row r="3155" spans="1:15" ht="15" customHeight="1" x14ac:dyDescent="0.3">
      <c r="A3155" t="s">
        <v>593</v>
      </c>
      <c r="B3155" s="1">
        <v>46223</v>
      </c>
      <c r="C3155" t="s">
        <v>16</v>
      </c>
      <c r="D3155">
        <v>2953</v>
      </c>
      <c r="E3155">
        <v>1</v>
      </c>
      <c r="F3155">
        <v>10.8</v>
      </c>
      <c r="G3155" t="s">
        <v>17</v>
      </c>
      <c r="I3155" t="str">
        <f t="shared" si="81"/>
        <v>2953_1</v>
      </c>
      <c r="J3155" t="s">
        <v>533</v>
      </c>
      <c r="K3155" t="s">
        <v>115</v>
      </c>
      <c r="L3155" t="str">
        <f>_xlfn.XLOOKUP(C3155, Table2[Species],Table2[Genus], "Code Not Found")</f>
        <v>Acer</v>
      </c>
      <c r="M3155" t="str">
        <f>_xlfn.XLOOKUP(C3155, Table2[Species],Table2[Sp. Name], "Code Not Found")</f>
        <v>saccharum</v>
      </c>
      <c r="N3155" t="str">
        <f>_xlfn.XLOOKUP(C3155,Table2[Species],Table2[Family],"Code Not Found")</f>
        <v>Sapindaceae</v>
      </c>
      <c r="O3155" t="str" cm="1">
        <f t="array" ref="O3155">_xlfn.IFS(F3155="","",F3155&lt;=5,"0 to 5",F3155&lt;=10,"5.1 to 10",F3155&lt;=20,"10 to 20", F3155&lt;= 40, "20 to 40", F3155 &lt;= 50, "40 to 50", F3155 &gt; 50, "&gt;50" )</f>
        <v>10 to 20</v>
      </c>
    </row>
    <row r="3156" spans="1:15" ht="15" customHeight="1" x14ac:dyDescent="0.3">
      <c r="A3156" t="s">
        <v>593</v>
      </c>
      <c r="B3156" s="1">
        <v>46223</v>
      </c>
      <c r="C3156" t="s">
        <v>16</v>
      </c>
      <c r="D3156">
        <v>2954</v>
      </c>
      <c r="E3156">
        <v>1</v>
      </c>
      <c r="F3156">
        <v>14.7</v>
      </c>
      <c r="G3156" t="s">
        <v>21</v>
      </c>
      <c r="I3156" t="str">
        <f t="shared" si="81"/>
        <v>2954_1</v>
      </c>
      <c r="J3156" t="s">
        <v>533</v>
      </c>
      <c r="K3156" t="s">
        <v>115</v>
      </c>
      <c r="L3156" t="str">
        <f>_xlfn.XLOOKUP(C3156, Table2[Species],Table2[Genus], "Code Not Found")</f>
        <v>Acer</v>
      </c>
      <c r="M3156" t="str">
        <f>_xlfn.XLOOKUP(C3156, Table2[Species],Table2[Sp. Name], "Code Not Found")</f>
        <v>saccharum</v>
      </c>
      <c r="N3156" t="str">
        <f>_xlfn.XLOOKUP(C3156,Table2[Species],Table2[Family],"Code Not Found")</f>
        <v>Sapindaceae</v>
      </c>
      <c r="O3156" t="str" cm="1">
        <f t="array" ref="O3156">_xlfn.IFS(F3156="","",F3156&lt;=5,"0 to 5",F3156&lt;=10,"5.1 to 10",F3156&lt;=20,"10 to 20", F3156&lt;= 40, "20 to 40", F3156 &lt;= 50, "40 to 50", F3156 &gt; 50, "&gt;50" )</f>
        <v>10 to 20</v>
      </c>
    </row>
    <row r="3157" spans="1:15" ht="15" customHeight="1" x14ac:dyDescent="0.3">
      <c r="A3157" t="s">
        <v>593</v>
      </c>
      <c r="B3157" s="1">
        <v>46223</v>
      </c>
      <c r="C3157" t="s">
        <v>16</v>
      </c>
      <c r="D3157">
        <v>2955</v>
      </c>
      <c r="E3157">
        <v>1</v>
      </c>
      <c r="F3157">
        <v>5.5</v>
      </c>
      <c r="G3157" t="s">
        <v>17</v>
      </c>
      <c r="H3157" t="s">
        <v>408</v>
      </c>
      <c r="I3157" t="str">
        <f t="shared" si="81"/>
        <v>2955_1</v>
      </c>
      <c r="J3157" t="s">
        <v>533</v>
      </c>
      <c r="K3157" t="s">
        <v>115</v>
      </c>
      <c r="L3157" t="str">
        <f>_xlfn.XLOOKUP(C3157, Table2[Species],Table2[Genus], "Code Not Found")</f>
        <v>Acer</v>
      </c>
      <c r="M3157" t="str">
        <f>_xlfn.XLOOKUP(C3157, Table2[Species],Table2[Sp. Name], "Code Not Found")</f>
        <v>saccharum</v>
      </c>
      <c r="N3157" t="str">
        <f>_xlfn.XLOOKUP(C3157,Table2[Species],Table2[Family],"Code Not Found")</f>
        <v>Sapindaceae</v>
      </c>
      <c r="O3157" t="str" cm="1">
        <f t="array" ref="O3157">_xlfn.IFS(F3157="","",F3157&lt;=5,"0 to 5",F3157&lt;=10,"5.1 to 10",F3157&lt;=20,"10 to 20", F3157&lt;= 40, "20 to 40", F3157 &lt;= 50, "40 to 50", F3157 &gt; 50, "&gt;50" )</f>
        <v>5.1 to 10</v>
      </c>
    </row>
    <row r="3158" spans="1:15" ht="15" customHeight="1" x14ac:dyDescent="0.3">
      <c r="A3158" t="s">
        <v>593</v>
      </c>
      <c r="B3158" s="1">
        <v>46223</v>
      </c>
      <c r="C3158" t="s">
        <v>16</v>
      </c>
      <c r="D3158">
        <v>2956</v>
      </c>
      <c r="E3158">
        <v>1</v>
      </c>
      <c r="F3158">
        <v>10</v>
      </c>
      <c r="G3158" t="s">
        <v>94</v>
      </c>
      <c r="H3158" t="s">
        <v>100</v>
      </c>
      <c r="I3158" t="str">
        <f t="shared" si="81"/>
        <v>2956_1</v>
      </c>
      <c r="J3158" t="s">
        <v>533</v>
      </c>
      <c r="K3158" t="s">
        <v>115</v>
      </c>
      <c r="L3158" t="str">
        <f>_xlfn.XLOOKUP(C3158, Table2[Species],Table2[Genus], "Code Not Found")</f>
        <v>Acer</v>
      </c>
      <c r="M3158" t="str">
        <f>_xlfn.XLOOKUP(C3158, Table2[Species],Table2[Sp. Name], "Code Not Found")</f>
        <v>saccharum</v>
      </c>
      <c r="N3158" t="str">
        <f>_xlfn.XLOOKUP(C3158,Table2[Species],Table2[Family],"Code Not Found")</f>
        <v>Sapindaceae</v>
      </c>
      <c r="O3158" t="str" cm="1">
        <f t="array" ref="O3158">_xlfn.IFS(F3158="","",F3158&lt;=5,"0 to 5",F3158&lt;=10,"5.1 to 10",F3158&lt;=20,"10 to 20", F3158&lt;= 40, "20 to 40", F3158 &lt;= 50, "40 to 50", F3158 &gt; 50, "&gt;50" )</f>
        <v>5.1 to 10</v>
      </c>
    </row>
    <row r="3159" spans="1:15" ht="15" customHeight="1" x14ac:dyDescent="0.3">
      <c r="A3159" t="s">
        <v>593</v>
      </c>
      <c r="B3159" s="1">
        <v>46223</v>
      </c>
      <c r="C3159" t="s">
        <v>16</v>
      </c>
      <c r="D3159">
        <v>2957</v>
      </c>
      <c r="E3159">
        <v>1</v>
      </c>
      <c r="F3159">
        <v>8</v>
      </c>
      <c r="G3159" t="s">
        <v>381</v>
      </c>
      <c r="H3159" t="s">
        <v>99</v>
      </c>
      <c r="I3159" t="str">
        <f t="shared" si="81"/>
        <v>2957_1</v>
      </c>
      <c r="J3159" t="s">
        <v>533</v>
      </c>
      <c r="K3159" t="s">
        <v>115</v>
      </c>
      <c r="L3159" t="str">
        <f>_xlfn.XLOOKUP(C3159, Table2[Species],Table2[Genus], "Code Not Found")</f>
        <v>Acer</v>
      </c>
      <c r="M3159" t="str">
        <f>_xlfn.XLOOKUP(C3159, Table2[Species],Table2[Sp. Name], "Code Not Found")</f>
        <v>saccharum</v>
      </c>
      <c r="N3159" t="str">
        <f>_xlfn.XLOOKUP(C3159,Table2[Species],Table2[Family],"Code Not Found")</f>
        <v>Sapindaceae</v>
      </c>
      <c r="O3159" t="str" cm="1">
        <f t="array" ref="O3159">_xlfn.IFS(F3159="","",F3159&lt;=5,"0 to 5",F3159&lt;=10,"5.1 to 10",F3159&lt;=20,"10 to 20", F3159&lt;= 40, "20 to 40", F3159 &lt;= 50, "40 to 50", F3159 &gt; 50, "&gt;50" )</f>
        <v>5.1 to 10</v>
      </c>
    </row>
    <row r="3160" spans="1:15" ht="15" customHeight="1" x14ac:dyDescent="0.3">
      <c r="A3160" t="s">
        <v>593</v>
      </c>
      <c r="B3160" s="1">
        <v>46223</v>
      </c>
      <c r="C3160" t="s">
        <v>22</v>
      </c>
      <c r="D3160">
        <v>2958</v>
      </c>
      <c r="E3160">
        <v>1</v>
      </c>
      <c r="F3160">
        <v>54.1</v>
      </c>
      <c r="G3160" t="s">
        <v>420</v>
      </c>
      <c r="H3160" t="s">
        <v>649</v>
      </c>
      <c r="I3160" t="str">
        <f t="shared" si="81"/>
        <v>2958_1</v>
      </c>
      <c r="J3160" t="s">
        <v>533</v>
      </c>
      <c r="K3160" t="s">
        <v>115</v>
      </c>
      <c r="L3160" t="str">
        <f>_xlfn.XLOOKUP(C3160, Table2[Species],Table2[Genus], "Code Not Found")</f>
        <v>Acer</v>
      </c>
      <c r="M3160" t="str">
        <f>_xlfn.XLOOKUP(C3160, Table2[Species],Table2[Sp. Name], "Code Not Found")</f>
        <v>rubrum</v>
      </c>
      <c r="N3160" t="str">
        <f>_xlfn.XLOOKUP(C3160,Table2[Species],Table2[Family],"Code Not Found")</f>
        <v>Sapindaceae</v>
      </c>
      <c r="O3160" t="str" cm="1">
        <f t="array" ref="O3160">_xlfn.IFS(F3160="","",F3160&lt;=5,"0 to 5",F3160&lt;=10,"5.1 to 10",F3160&lt;=20,"10 to 20", F3160&lt;= 40, "20 to 40", F3160 &lt;= 50, "40 to 50", F3160 &gt; 50, "&gt;50" )</f>
        <v>&gt;50</v>
      </c>
    </row>
    <row r="3161" spans="1:15" ht="15" customHeight="1" x14ac:dyDescent="0.3">
      <c r="A3161" t="s">
        <v>593</v>
      </c>
      <c r="B3161" s="1">
        <v>46223</v>
      </c>
      <c r="C3161" t="s">
        <v>16</v>
      </c>
      <c r="D3161">
        <v>2959</v>
      </c>
      <c r="E3161">
        <v>1</v>
      </c>
      <c r="F3161">
        <v>4.4000000000000004</v>
      </c>
      <c r="G3161" t="s">
        <v>381</v>
      </c>
      <c r="H3161" t="s">
        <v>110</v>
      </c>
      <c r="I3161" t="str">
        <f t="shared" si="81"/>
        <v>2959_1</v>
      </c>
      <c r="J3161" t="s">
        <v>533</v>
      </c>
      <c r="K3161" t="s">
        <v>115</v>
      </c>
      <c r="L3161" t="str">
        <f>_xlfn.XLOOKUP(C3161, Table2[Species],Table2[Genus], "Code Not Found")</f>
        <v>Acer</v>
      </c>
      <c r="M3161" t="str">
        <f>_xlfn.XLOOKUP(C3161, Table2[Species],Table2[Sp. Name], "Code Not Found")</f>
        <v>saccharum</v>
      </c>
      <c r="N3161" t="str">
        <f>_xlfn.XLOOKUP(C3161,Table2[Species],Table2[Family],"Code Not Found")</f>
        <v>Sapindaceae</v>
      </c>
      <c r="O3161" t="str" cm="1">
        <f t="array" ref="O3161">_xlfn.IFS(F3161="","",F3161&lt;=5,"0 to 5",F3161&lt;=10,"5.1 to 10",F3161&lt;=20,"10 to 20", F3161&lt;= 40, "20 to 40", F3161 &lt;= 50, "40 to 50", F3161 &gt; 50, "&gt;50" )</f>
        <v>0 to 5</v>
      </c>
    </row>
    <row r="3162" spans="1:15" ht="15" customHeight="1" x14ac:dyDescent="0.3">
      <c r="A3162" t="s">
        <v>593</v>
      </c>
      <c r="B3162" s="1">
        <v>46223</v>
      </c>
      <c r="C3162" t="s">
        <v>16</v>
      </c>
      <c r="D3162">
        <v>2960</v>
      </c>
      <c r="E3162">
        <v>1</v>
      </c>
      <c r="F3162">
        <v>6.6</v>
      </c>
      <c r="G3162" t="s">
        <v>21</v>
      </c>
      <c r="H3162" t="s">
        <v>650</v>
      </c>
      <c r="I3162" t="str">
        <f t="shared" si="81"/>
        <v>2960_1</v>
      </c>
      <c r="J3162" t="s">
        <v>533</v>
      </c>
      <c r="K3162" t="s">
        <v>115</v>
      </c>
      <c r="L3162" t="str">
        <f>_xlfn.XLOOKUP(C3162, Table2[Species],Table2[Genus], "Code Not Found")</f>
        <v>Acer</v>
      </c>
      <c r="M3162" t="str">
        <f>_xlfn.XLOOKUP(C3162, Table2[Species],Table2[Sp. Name], "Code Not Found")</f>
        <v>saccharum</v>
      </c>
      <c r="N3162" t="str">
        <f>_xlfn.XLOOKUP(C3162,Table2[Species],Table2[Family],"Code Not Found")</f>
        <v>Sapindaceae</v>
      </c>
      <c r="O3162" t="str" cm="1">
        <f t="array" ref="O3162">_xlfn.IFS(F3162="","",F3162&lt;=5,"0 to 5",F3162&lt;=10,"5.1 to 10",F3162&lt;=20,"10 to 20", F3162&lt;= 40, "20 to 40", F3162 &lt;= 50, "40 to 50", F3162 &gt; 50, "&gt;50" )</f>
        <v>5.1 to 10</v>
      </c>
    </row>
    <row r="3163" spans="1:15" ht="15" customHeight="1" x14ac:dyDescent="0.3">
      <c r="A3163" t="s">
        <v>593</v>
      </c>
      <c r="B3163" s="1">
        <v>46223</v>
      </c>
      <c r="C3163" t="s">
        <v>16</v>
      </c>
      <c r="D3163">
        <v>2961</v>
      </c>
      <c r="E3163">
        <v>1</v>
      </c>
      <c r="F3163">
        <v>5.3</v>
      </c>
      <c r="G3163" t="s">
        <v>17</v>
      </c>
      <c r="I3163" t="str">
        <f t="shared" si="81"/>
        <v>2961_1</v>
      </c>
      <c r="J3163" t="s">
        <v>533</v>
      </c>
      <c r="K3163" t="s">
        <v>115</v>
      </c>
      <c r="L3163" t="str">
        <f>_xlfn.XLOOKUP(C3164, Table2[Species],Table2[Genus], "Code Not Found")</f>
        <v>Acer</v>
      </c>
      <c r="M3163" t="str">
        <f>_xlfn.XLOOKUP(C3164, Table2[Species],Table2[Sp. Name], "Code Not Found")</f>
        <v>rubrum</v>
      </c>
      <c r="N3163" t="str">
        <f>_xlfn.XLOOKUP(C3164,Table2[Species],Table2[Family],"Code Not Found")</f>
        <v>Sapindaceae</v>
      </c>
      <c r="O3163" t="str" cm="1">
        <f t="array" ref="O3163">_xlfn.IFS(F3163="","",F3163&lt;=5,"0 to 5",F3163&lt;=10,"5.1 to 10",F3163&lt;=20,"10 to 20", F3163&lt;= 40, "20 to 40", F3163 &lt;= 50, "40 to 50", F3163 &gt; 50, "&gt;50" )</f>
        <v>5.1 to 10</v>
      </c>
    </row>
    <row r="3164" spans="1:15" ht="15" customHeight="1" x14ac:dyDescent="0.3">
      <c r="A3164" t="s">
        <v>593</v>
      </c>
      <c r="B3164" s="1">
        <v>46223</v>
      </c>
      <c r="C3164" t="s">
        <v>22</v>
      </c>
      <c r="D3164">
        <v>2962</v>
      </c>
      <c r="E3164">
        <v>1</v>
      </c>
      <c r="F3164">
        <v>28.3</v>
      </c>
      <c r="G3164" t="s">
        <v>420</v>
      </c>
      <c r="H3164" t="s">
        <v>649</v>
      </c>
      <c r="I3164" t="str">
        <f t="shared" si="81"/>
        <v>2962_1</v>
      </c>
      <c r="J3164" t="s">
        <v>533</v>
      </c>
      <c r="K3164" t="s">
        <v>115</v>
      </c>
      <c r="L3164" t="str">
        <f>_xlfn.XLOOKUP(C3165, Table2[Species],Table2[Genus], "Code Not Found")</f>
        <v>Acer</v>
      </c>
      <c r="M3164" t="str">
        <f>_xlfn.XLOOKUP(C3165, Table2[Species],Table2[Sp. Name], "Code Not Found")</f>
        <v>saccharum</v>
      </c>
      <c r="N3164" t="str">
        <f>_xlfn.XLOOKUP(C3165,Table2[Species],Table2[Family],"Code Not Found")</f>
        <v>Sapindaceae</v>
      </c>
      <c r="O3164" t="str" cm="1">
        <f t="array" ref="O3164">_xlfn.IFS(F3164="","",F3164&lt;=5,"0 to 5",F3164&lt;=10,"5.1 to 10",F3164&lt;=20,"10 to 20", F3164&lt;= 40, "20 to 40", F3164 &lt;= 50, "40 to 50", F3164 &gt; 50, "&gt;50" )</f>
        <v>20 to 40</v>
      </c>
    </row>
    <row r="3165" spans="1:15" ht="15" customHeight="1" x14ac:dyDescent="0.3">
      <c r="A3165" t="s">
        <v>593</v>
      </c>
      <c r="B3165" s="1">
        <v>46223</v>
      </c>
      <c r="C3165" t="s">
        <v>16</v>
      </c>
      <c r="D3165">
        <v>2963</v>
      </c>
      <c r="E3165">
        <v>1</v>
      </c>
      <c r="F3165">
        <v>3.3</v>
      </c>
      <c r="G3165" t="s">
        <v>47</v>
      </c>
      <c r="H3165" t="s">
        <v>347</v>
      </c>
      <c r="I3165" t="str">
        <f t="shared" si="81"/>
        <v>2963_1</v>
      </c>
      <c r="J3165" t="s">
        <v>533</v>
      </c>
      <c r="K3165" t="s">
        <v>115</v>
      </c>
      <c r="L3165" t="str">
        <f>_xlfn.XLOOKUP(C3165, Table2[Species],Table2[Genus], "Code Not Found")</f>
        <v>Acer</v>
      </c>
      <c r="M3165" t="str">
        <f>_xlfn.XLOOKUP(C3165, Table2[Species],Table2[Sp. Name], "Code Not Found")</f>
        <v>saccharum</v>
      </c>
      <c r="N3165" t="str">
        <f>_xlfn.XLOOKUP(C3165,Table2[Species],Table2[Family],"Code Not Found")</f>
        <v>Sapindaceae</v>
      </c>
      <c r="O3165" t="str" cm="1">
        <f t="array" ref="O3165">_xlfn.IFS(F3165="","",F3165&lt;=5,"0 to 5",F3165&lt;=10,"5.1 to 10",F3165&lt;=20,"10 to 20", F3165&lt;= 40, "20 to 40", F3165 &lt;= 50, "40 to 50", F3165 &gt; 50, "&gt;50" )</f>
        <v>0 to 5</v>
      </c>
    </row>
    <row r="3166" spans="1:15" ht="15" customHeight="1" x14ac:dyDescent="0.3">
      <c r="A3166" t="s">
        <v>593</v>
      </c>
      <c r="B3166" s="1">
        <v>46223</v>
      </c>
      <c r="C3166" t="s">
        <v>16</v>
      </c>
      <c r="D3166">
        <v>2964</v>
      </c>
      <c r="E3166">
        <v>1</v>
      </c>
      <c r="F3166">
        <v>8.1</v>
      </c>
      <c r="G3166" t="s">
        <v>381</v>
      </c>
      <c r="H3166" t="s">
        <v>100</v>
      </c>
      <c r="I3166" t="str">
        <f t="shared" si="81"/>
        <v>2964_1</v>
      </c>
      <c r="J3166" t="s">
        <v>533</v>
      </c>
      <c r="K3166" t="s">
        <v>115</v>
      </c>
      <c r="L3166" t="str">
        <f>_xlfn.XLOOKUP(C3166, Table2[Species],Table2[Genus], "Code Not Found")</f>
        <v>Acer</v>
      </c>
      <c r="M3166" t="str">
        <f>_xlfn.XLOOKUP(C3166, Table2[Species],Table2[Sp. Name], "Code Not Found")</f>
        <v>saccharum</v>
      </c>
      <c r="N3166" t="str">
        <f>_xlfn.XLOOKUP(C3166,Table2[Species],Table2[Family],"Code Not Found")</f>
        <v>Sapindaceae</v>
      </c>
      <c r="O3166" t="str" cm="1">
        <f t="array" ref="O3166">_xlfn.IFS(F3166="","",F3166&lt;=5,"0 to 5",F3166&lt;=10,"5.1 to 10",F3166&lt;=20,"10 to 20", F3166&lt;= 40, "20 to 40", F3166 &lt;= 50, "40 to 50", F3166 &gt; 50, "&gt;50" )</f>
        <v>5.1 to 10</v>
      </c>
    </row>
    <row r="3167" spans="1:15" ht="15" customHeight="1" x14ac:dyDescent="0.3">
      <c r="A3167" t="s">
        <v>593</v>
      </c>
      <c r="B3167" s="1">
        <v>46223</v>
      </c>
      <c r="C3167" t="s">
        <v>22</v>
      </c>
      <c r="D3167">
        <v>2965</v>
      </c>
      <c r="E3167">
        <v>1</v>
      </c>
      <c r="F3167">
        <v>26.1</v>
      </c>
      <c r="G3167" t="s">
        <v>17</v>
      </c>
      <c r="H3167" t="s">
        <v>538</v>
      </c>
      <c r="I3167" t="str">
        <f t="shared" si="81"/>
        <v>2965_1</v>
      </c>
      <c r="J3167" t="s">
        <v>533</v>
      </c>
      <c r="K3167" t="s">
        <v>115</v>
      </c>
      <c r="L3167" t="str">
        <f>_xlfn.XLOOKUP(C3167, Table2[Species],Table2[Genus], "Code Not Found")</f>
        <v>Acer</v>
      </c>
      <c r="M3167" t="str">
        <f>_xlfn.XLOOKUP(C3167, Table2[Species],Table2[Sp. Name], "Code Not Found")</f>
        <v>rubrum</v>
      </c>
      <c r="N3167" t="str">
        <f>_xlfn.XLOOKUP(C3167,Table2[Species],Table2[Family],"Code Not Found")</f>
        <v>Sapindaceae</v>
      </c>
      <c r="O3167" t="str" cm="1">
        <f t="array" ref="O3167">_xlfn.IFS(F3167="","",F3167&lt;=5,"0 to 5",F3167&lt;=10,"5.1 to 10",F3167&lt;=20,"10 to 20", F3167&lt;= 40, "20 to 40", F3167 &lt;= 50, "40 to 50", F3167 &gt; 50, "&gt;50" )</f>
        <v>20 to 40</v>
      </c>
    </row>
    <row r="3168" spans="1:15" ht="15" customHeight="1" x14ac:dyDescent="0.3">
      <c r="A3168" t="s">
        <v>593</v>
      </c>
      <c r="B3168" s="1">
        <v>46223</v>
      </c>
      <c r="C3168" t="s">
        <v>16</v>
      </c>
      <c r="D3168">
        <v>2966</v>
      </c>
      <c r="E3168">
        <v>1</v>
      </c>
      <c r="F3168">
        <v>5.7</v>
      </c>
      <c r="G3168" t="s">
        <v>17</v>
      </c>
      <c r="I3168" t="str">
        <f t="shared" si="81"/>
        <v>2966_1</v>
      </c>
      <c r="J3168" t="s">
        <v>533</v>
      </c>
      <c r="K3168" t="s">
        <v>115</v>
      </c>
      <c r="L3168" t="str">
        <f>_xlfn.XLOOKUP(C3168, Table2[Species],Table2[Genus], "Code Not Found")</f>
        <v>Acer</v>
      </c>
      <c r="M3168" t="str">
        <f>_xlfn.XLOOKUP(C3168, Table2[Species],Table2[Sp. Name], "Code Not Found")</f>
        <v>saccharum</v>
      </c>
      <c r="N3168" t="str">
        <f>_xlfn.XLOOKUP(C3168,Table2[Species],Table2[Family],"Code Not Found")</f>
        <v>Sapindaceae</v>
      </c>
      <c r="O3168" t="str" cm="1">
        <f t="array" ref="O3168">_xlfn.IFS(F3168="","",F3168&lt;=5,"0 to 5",F3168&lt;=10,"5.1 to 10",F3168&lt;=20,"10 to 20", F3168&lt;= 40, "20 to 40", F3168 &lt;= 50, "40 to 50", F3168 &gt; 50, "&gt;50" )</f>
        <v>5.1 to 10</v>
      </c>
    </row>
    <row r="3169" spans="1:15" ht="15" customHeight="1" x14ac:dyDescent="0.3">
      <c r="A3169" t="s">
        <v>593</v>
      </c>
      <c r="B3169" s="1">
        <v>46223</v>
      </c>
      <c r="C3169" t="s">
        <v>16</v>
      </c>
      <c r="D3169">
        <v>2967</v>
      </c>
      <c r="E3169">
        <v>1</v>
      </c>
      <c r="F3169">
        <v>2.6</v>
      </c>
      <c r="G3169" t="s">
        <v>17</v>
      </c>
      <c r="I3169" t="str">
        <f t="shared" si="81"/>
        <v>2967_1</v>
      </c>
      <c r="J3169" t="s">
        <v>533</v>
      </c>
      <c r="K3169" t="s">
        <v>115</v>
      </c>
      <c r="L3169" t="str">
        <f>_xlfn.XLOOKUP(C3169, Table2[Species],Table2[Genus], "Code Not Found")</f>
        <v>Acer</v>
      </c>
      <c r="M3169" t="str">
        <f>_xlfn.XLOOKUP(C3169, Table2[Species],Table2[Sp. Name], "Code Not Found")</f>
        <v>saccharum</v>
      </c>
      <c r="N3169" t="str">
        <f>_xlfn.XLOOKUP(C3169,Table2[Species],Table2[Family],"Code Not Found")</f>
        <v>Sapindaceae</v>
      </c>
      <c r="O3169" t="str" cm="1">
        <f t="array" ref="O3169">_xlfn.IFS(F3169="","",F3169&lt;=5,"0 to 5",F3169&lt;=10,"5.1 to 10",F3169&lt;=20,"10 to 20", F3169&lt;= 40, "20 to 40", F3169 &lt;= 50, "40 to 50", F3169 &gt; 50, "&gt;50" )</f>
        <v>0 to 5</v>
      </c>
    </row>
    <row r="3170" spans="1:15" ht="15" customHeight="1" x14ac:dyDescent="0.3">
      <c r="A3170" t="s">
        <v>593</v>
      </c>
      <c r="B3170" s="1">
        <v>46223</v>
      </c>
      <c r="C3170" t="s">
        <v>16</v>
      </c>
      <c r="D3170">
        <v>2968</v>
      </c>
      <c r="E3170">
        <v>1</v>
      </c>
      <c r="F3170">
        <v>9</v>
      </c>
      <c r="G3170" t="s">
        <v>56</v>
      </c>
      <c r="H3170" t="s">
        <v>651</v>
      </c>
      <c r="I3170" t="str">
        <f t="shared" si="81"/>
        <v>2968_1</v>
      </c>
      <c r="J3170" t="s">
        <v>533</v>
      </c>
      <c r="K3170" t="s">
        <v>115</v>
      </c>
      <c r="L3170" t="str">
        <f>_xlfn.XLOOKUP(C3170, Table2[Species],Table2[Genus], "Code Not Found")</f>
        <v>Acer</v>
      </c>
      <c r="M3170" t="str">
        <f>_xlfn.XLOOKUP(C3170, Table2[Species],Table2[Sp. Name], "Code Not Found")</f>
        <v>saccharum</v>
      </c>
      <c r="N3170" t="str">
        <f>_xlfn.XLOOKUP(C3170,Table2[Species],Table2[Family],"Code Not Found")</f>
        <v>Sapindaceae</v>
      </c>
      <c r="O3170" t="str" cm="1">
        <f t="array" ref="O3170">_xlfn.IFS(F3170="","",F3170&lt;=5,"0 to 5",F3170&lt;=10,"5.1 to 10",F3170&lt;=20,"10 to 20", F3170&lt;= 40, "20 to 40", F3170 &lt;= 50, "40 to 50", F3170 &gt; 50, "&gt;50" )</f>
        <v>5.1 to 10</v>
      </c>
    </row>
    <row r="3171" spans="1:15" ht="15" customHeight="1" x14ac:dyDescent="0.3">
      <c r="A3171" t="s">
        <v>593</v>
      </c>
      <c r="B3171" s="1">
        <v>46223</v>
      </c>
      <c r="C3171" t="s">
        <v>16</v>
      </c>
      <c r="D3171">
        <v>2969</v>
      </c>
      <c r="E3171">
        <v>1</v>
      </c>
      <c r="F3171">
        <v>2.4</v>
      </c>
      <c r="G3171" t="s">
        <v>47</v>
      </c>
      <c r="H3171" t="s">
        <v>347</v>
      </c>
      <c r="I3171" t="str">
        <f t="shared" ref="I3171:I3186" si="82">D3171&amp;"_"&amp;E3171</f>
        <v>2969_1</v>
      </c>
      <c r="J3171" t="s">
        <v>533</v>
      </c>
      <c r="K3171" t="s">
        <v>115</v>
      </c>
      <c r="L3171" t="str">
        <f>_xlfn.XLOOKUP(C3171, Table2[Species],Table2[Genus], "Code Not Found")</f>
        <v>Acer</v>
      </c>
      <c r="M3171" t="str">
        <f>_xlfn.XLOOKUP(C3171, Table2[Species],Table2[Sp. Name], "Code Not Found")</f>
        <v>saccharum</v>
      </c>
      <c r="N3171" t="str">
        <f>_xlfn.XLOOKUP(C3171,Table2[Species],Table2[Family],"Code Not Found")</f>
        <v>Sapindaceae</v>
      </c>
      <c r="O3171" t="str" cm="1">
        <f t="array" ref="O3171">_xlfn.IFS(F3171="","",F3171&lt;=5,"0 to 5",F3171&lt;=10,"5.1 to 10",F3171&lt;=20,"10 to 20", F3171&lt;= 40, "20 to 40", F3171 &lt;= 50, "40 to 50", F3171 &gt; 50, "&gt;50" )</f>
        <v>0 to 5</v>
      </c>
    </row>
    <row r="3172" spans="1:15" ht="15" customHeight="1" x14ac:dyDescent="0.3">
      <c r="A3172" t="s">
        <v>593</v>
      </c>
      <c r="B3172" s="1">
        <v>46223</v>
      </c>
      <c r="C3172" t="s">
        <v>22</v>
      </c>
      <c r="D3172">
        <v>2970</v>
      </c>
      <c r="E3172">
        <v>1</v>
      </c>
      <c r="F3172">
        <v>26.3</v>
      </c>
      <c r="G3172" t="s">
        <v>21</v>
      </c>
      <c r="I3172" t="str">
        <f t="shared" si="82"/>
        <v>2970_1</v>
      </c>
      <c r="J3172" t="s">
        <v>533</v>
      </c>
      <c r="K3172" t="s">
        <v>115</v>
      </c>
      <c r="L3172" t="str">
        <f>_xlfn.XLOOKUP(C3172, Table2[Species],Table2[Genus], "Code Not Found")</f>
        <v>Acer</v>
      </c>
      <c r="M3172" t="str">
        <f>_xlfn.XLOOKUP(C3172, Table2[Species],Table2[Sp. Name], "Code Not Found")</f>
        <v>rubrum</v>
      </c>
      <c r="N3172" t="str">
        <f>_xlfn.XLOOKUP(C3172,Table2[Species],Table2[Family],"Code Not Found")</f>
        <v>Sapindaceae</v>
      </c>
      <c r="O3172" t="str" cm="1">
        <f t="array" ref="O3172">_xlfn.IFS(F3172="","",F3172&lt;=5,"0 to 5",F3172&lt;=10,"5.1 to 10",F3172&lt;=20,"10 to 20", F3172&lt;= 40, "20 to 40", F3172 &lt;= 50, "40 to 50", F3172 &gt; 50, "&gt;50" )</f>
        <v>20 to 40</v>
      </c>
    </row>
    <row r="3173" spans="1:15" ht="15" customHeight="1" x14ac:dyDescent="0.3">
      <c r="A3173" t="s">
        <v>593</v>
      </c>
      <c r="B3173" s="1">
        <v>46223</v>
      </c>
      <c r="C3173" t="s">
        <v>22</v>
      </c>
      <c r="D3173">
        <v>2971</v>
      </c>
      <c r="E3173">
        <v>1</v>
      </c>
      <c r="F3173">
        <v>30.8</v>
      </c>
      <c r="G3173" t="s">
        <v>56</v>
      </c>
      <c r="H3173" t="s">
        <v>652</v>
      </c>
      <c r="I3173" t="str">
        <f t="shared" si="82"/>
        <v>2971_1</v>
      </c>
      <c r="J3173" t="s">
        <v>533</v>
      </c>
      <c r="K3173" t="s">
        <v>115</v>
      </c>
      <c r="L3173" t="str">
        <f>_xlfn.XLOOKUP(C3173, Table2[Species],Table2[Genus], "Code Not Found")</f>
        <v>Acer</v>
      </c>
      <c r="M3173" t="str">
        <f>_xlfn.XLOOKUP(C3173, Table2[Species],Table2[Sp. Name], "Code Not Found")</f>
        <v>rubrum</v>
      </c>
      <c r="N3173" t="str">
        <f>_xlfn.XLOOKUP(C3173,Table2[Species],Table2[Family],"Code Not Found")</f>
        <v>Sapindaceae</v>
      </c>
      <c r="O3173" t="str" cm="1">
        <f t="array" ref="O3173">_xlfn.IFS(F3173="","",F3173&lt;=5,"0 to 5",F3173&lt;=10,"5.1 to 10",F3173&lt;=20,"10 to 20", F3173&lt;= 40, "20 to 40", F3173 &lt;= 50, "40 to 50", F3173 &gt; 50, "&gt;50" )</f>
        <v>20 to 40</v>
      </c>
    </row>
    <row r="3174" spans="1:15" ht="15" customHeight="1" x14ac:dyDescent="0.3">
      <c r="A3174" t="s">
        <v>593</v>
      </c>
      <c r="B3174" s="1">
        <v>46223</v>
      </c>
      <c r="C3174" t="s">
        <v>16</v>
      </c>
      <c r="D3174">
        <v>2972</v>
      </c>
      <c r="E3174">
        <v>1</v>
      </c>
      <c r="F3174">
        <v>6.4</v>
      </c>
      <c r="G3174" t="s">
        <v>47</v>
      </c>
      <c r="H3174" t="s">
        <v>322</v>
      </c>
      <c r="I3174" t="str">
        <f t="shared" si="82"/>
        <v>2972_1</v>
      </c>
      <c r="J3174" t="s">
        <v>533</v>
      </c>
      <c r="K3174" t="s">
        <v>115</v>
      </c>
      <c r="L3174" t="str">
        <f>_xlfn.XLOOKUP(C3174, Table2[Species],Table2[Genus], "Code Not Found")</f>
        <v>Acer</v>
      </c>
      <c r="M3174" t="str">
        <f>_xlfn.XLOOKUP(C3174, Table2[Species],Table2[Sp. Name], "Code Not Found")</f>
        <v>saccharum</v>
      </c>
      <c r="N3174" t="str">
        <f>_xlfn.XLOOKUP(C3174,Table2[Species],Table2[Family],"Code Not Found")</f>
        <v>Sapindaceae</v>
      </c>
      <c r="O3174" t="str" cm="1">
        <f t="array" ref="O3174">_xlfn.IFS(F3174="","",F3174&lt;=5,"0 to 5",F3174&lt;=10,"5.1 to 10",F3174&lt;=20,"10 to 20", F3174&lt;= 40, "20 to 40", F3174 &lt;= 50, "40 to 50", F3174 &gt; 50, "&gt;50" )</f>
        <v>5.1 to 10</v>
      </c>
    </row>
    <row r="3175" spans="1:15" ht="15" customHeight="1" x14ac:dyDescent="0.3">
      <c r="A3175" t="s">
        <v>593</v>
      </c>
      <c r="B3175" s="1">
        <v>46223</v>
      </c>
      <c r="C3175" t="s">
        <v>16</v>
      </c>
      <c r="D3175">
        <v>2973</v>
      </c>
      <c r="E3175">
        <v>1</v>
      </c>
      <c r="F3175">
        <v>2.4</v>
      </c>
      <c r="G3175" t="s">
        <v>30</v>
      </c>
      <c r="H3175" t="s">
        <v>558</v>
      </c>
      <c r="I3175" t="str">
        <f t="shared" si="82"/>
        <v>2973_1</v>
      </c>
      <c r="J3175" t="s">
        <v>533</v>
      </c>
      <c r="K3175" t="s">
        <v>115</v>
      </c>
      <c r="L3175" t="str">
        <f>_xlfn.XLOOKUP(C3175, Table2[Species],Table2[Genus], "Code Not Found")</f>
        <v>Acer</v>
      </c>
      <c r="M3175" t="str">
        <f>_xlfn.XLOOKUP(C3175, Table2[Species],Table2[Sp. Name], "Code Not Found")</f>
        <v>saccharum</v>
      </c>
      <c r="N3175" t="str">
        <f>_xlfn.XLOOKUP(C3175,Table2[Species],Table2[Family],"Code Not Found")</f>
        <v>Sapindaceae</v>
      </c>
      <c r="O3175" t="str" cm="1">
        <f t="array" ref="O3175">_xlfn.IFS(F3175="","",F3175&lt;=5,"0 to 5",F3175&lt;=10,"5.1 to 10",F3175&lt;=20,"10 to 20", F3175&lt;= 40, "20 to 40", F3175 &lt;= 50, "40 to 50", F3175 &gt; 50, "&gt;50" )</f>
        <v>0 to 5</v>
      </c>
    </row>
    <row r="3176" spans="1:15" ht="15" customHeight="1" x14ac:dyDescent="0.3">
      <c r="A3176" t="s">
        <v>593</v>
      </c>
      <c r="B3176" s="1">
        <v>46223</v>
      </c>
      <c r="C3176" t="s">
        <v>22</v>
      </c>
      <c r="D3176">
        <v>2974</v>
      </c>
      <c r="E3176">
        <v>1</v>
      </c>
      <c r="F3176">
        <v>3.4</v>
      </c>
      <c r="G3176" t="s">
        <v>139</v>
      </c>
      <c r="H3176" t="s">
        <v>262</v>
      </c>
      <c r="I3176" t="str">
        <f t="shared" si="82"/>
        <v>2974_1</v>
      </c>
      <c r="J3176" t="s">
        <v>533</v>
      </c>
      <c r="K3176" t="s">
        <v>115</v>
      </c>
      <c r="L3176" t="str">
        <f>_xlfn.XLOOKUP(C3176, Table2[Species],Table2[Genus], "Code Not Found")</f>
        <v>Acer</v>
      </c>
      <c r="M3176" t="str">
        <f>_xlfn.XLOOKUP(C3176, Table2[Species],Table2[Sp. Name], "Code Not Found")</f>
        <v>rubrum</v>
      </c>
      <c r="N3176" t="str">
        <f>_xlfn.XLOOKUP(C3176,Table2[Species],Table2[Family],"Code Not Found")</f>
        <v>Sapindaceae</v>
      </c>
      <c r="O3176" t="str" cm="1">
        <f t="array" ref="O3176">_xlfn.IFS(F3176="","",F3176&lt;=5,"0 to 5",F3176&lt;=10,"5.1 to 10",F3176&lt;=20,"10 to 20", F3176&lt;= 40, "20 to 40", F3176 &lt;= 50, "40 to 50", F3176 &gt; 50, "&gt;50" )</f>
        <v>0 to 5</v>
      </c>
    </row>
    <row r="3177" spans="1:15" ht="15" customHeight="1" x14ac:dyDescent="0.3">
      <c r="A3177" t="s">
        <v>593</v>
      </c>
      <c r="B3177" s="1">
        <v>46223</v>
      </c>
      <c r="C3177" t="s">
        <v>16</v>
      </c>
      <c r="D3177">
        <v>2975</v>
      </c>
      <c r="E3177">
        <v>1</v>
      </c>
      <c r="F3177">
        <v>3.3</v>
      </c>
      <c r="G3177" t="s">
        <v>139</v>
      </c>
      <c r="H3177" t="s">
        <v>653</v>
      </c>
      <c r="I3177" t="str">
        <f t="shared" si="82"/>
        <v>2975_1</v>
      </c>
      <c r="J3177" t="s">
        <v>533</v>
      </c>
      <c r="K3177" t="s">
        <v>115</v>
      </c>
      <c r="L3177" t="str">
        <f>_xlfn.XLOOKUP(C3177, Table2[Species],Table2[Genus], "Code Not Found")</f>
        <v>Acer</v>
      </c>
      <c r="M3177" t="str">
        <f>_xlfn.XLOOKUP(C3177, Table2[Species],Table2[Sp. Name], "Code Not Found")</f>
        <v>saccharum</v>
      </c>
      <c r="N3177" t="str">
        <f>_xlfn.XLOOKUP(C3177,Table2[Species],Table2[Family],"Code Not Found")</f>
        <v>Sapindaceae</v>
      </c>
      <c r="O3177" t="str" cm="1">
        <f t="array" ref="O3177">_xlfn.IFS(F3177="","",F3177&lt;=5,"0 to 5",F3177&lt;=10,"5.1 to 10",F3177&lt;=20,"10 to 20", F3177&lt;= 40, "20 to 40", F3177 &lt;= 50, "40 to 50", F3177 &gt; 50, "&gt;50" )</f>
        <v>0 to 5</v>
      </c>
    </row>
    <row r="3178" spans="1:15" ht="15" customHeight="1" x14ac:dyDescent="0.3">
      <c r="A3178" t="s">
        <v>593</v>
      </c>
      <c r="B3178" s="1">
        <v>46223</v>
      </c>
      <c r="C3178" t="s">
        <v>22</v>
      </c>
      <c r="D3178">
        <v>2976</v>
      </c>
      <c r="E3178">
        <v>1</v>
      </c>
      <c r="F3178">
        <v>48</v>
      </c>
      <c r="G3178" t="s">
        <v>21</v>
      </c>
      <c r="I3178" t="str">
        <f t="shared" si="82"/>
        <v>2976_1</v>
      </c>
      <c r="J3178" t="s">
        <v>533</v>
      </c>
      <c r="K3178" t="s">
        <v>115</v>
      </c>
      <c r="L3178" t="str">
        <f>_xlfn.XLOOKUP(C3178, Table2[Species],Table2[Genus], "Code Not Found")</f>
        <v>Acer</v>
      </c>
      <c r="M3178" t="str">
        <f>_xlfn.XLOOKUP(C3178, Table2[Species],Table2[Sp. Name], "Code Not Found")</f>
        <v>rubrum</v>
      </c>
      <c r="N3178" t="str">
        <f>_xlfn.XLOOKUP(C3178,Table2[Species],Table2[Family],"Code Not Found")</f>
        <v>Sapindaceae</v>
      </c>
      <c r="O3178" t="str" cm="1">
        <f t="array" ref="O3178">_xlfn.IFS(F3178="","",F3178&lt;=5,"0 to 5",F3178&lt;=10,"5.1 to 10",F3178&lt;=20,"10 to 20", F3178&lt;= 40, "20 to 40", F3178 &lt;= 50, "40 to 50", F3178 &gt; 50, "&gt;50" )</f>
        <v>40 to 50</v>
      </c>
    </row>
    <row r="3179" spans="1:15" ht="15" customHeight="1" x14ac:dyDescent="0.3">
      <c r="A3179" t="s">
        <v>593</v>
      </c>
      <c r="B3179" s="1">
        <v>46223</v>
      </c>
      <c r="C3179" t="s">
        <v>16</v>
      </c>
      <c r="D3179">
        <v>2977</v>
      </c>
      <c r="E3179">
        <v>1</v>
      </c>
      <c r="F3179">
        <v>6.8</v>
      </c>
      <c r="G3179" t="s">
        <v>47</v>
      </c>
      <c r="H3179" t="s">
        <v>322</v>
      </c>
      <c r="I3179" t="str">
        <f t="shared" si="82"/>
        <v>2977_1</v>
      </c>
      <c r="J3179" t="s">
        <v>533</v>
      </c>
      <c r="K3179" t="s">
        <v>115</v>
      </c>
      <c r="L3179" t="str">
        <f>_xlfn.XLOOKUP(C3179, Table2[Species],Table2[Genus], "Code Not Found")</f>
        <v>Acer</v>
      </c>
      <c r="M3179" t="str">
        <f>_xlfn.XLOOKUP(C3179, Table2[Species],Table2[Sp. Name], "Code Not Found")</f>
        <v>saccharum</v>
      </c>
      <c r="N3179" t="str">
        <f>_xlfn.XLOOKUP(C3179,Table2[Species],Table2[Family],"Code Not Found")</f>
        <v>Sapindaceae</v>
      </c>
      <c r="O3179" t="str" cm="1">
        <f t="array" ref="O3179">_xlfn.IFS(F3179="","",F3179&lt;=5,"0 to 5",F3179&lt;=10,"5.1 to 10",F3179&lt;=20,"10 to 20", F3179&lt;= 40, "20 to 40", F3179 &lt;= 50, "40 to 50", F3179 &gt; 50, "&gt;50" )</f>
        <v>5.1 to 10</v>
      </c>
    </row>
    <row r="3180" spans="1:15" ht="15" customHeight="1" x14ac:dyDescent="0.3">
      <c r="A3180" t="s">
        <v>593</v>
      </c>
      <c r="B3180" s="1">
        <v>46223</v>
      </c>
      <c r="C3180" t="s">
        <v>16</v>
      </c>
      <c r="D3180">
        <v>2978</v>
      </c>
      <c r="E3180">
        <v>1</v>
      </c>
      <c r="F3180">
        <v>2.2000000000000002</v>
      </c>
      <c r="G3180" t="s">
        <v>17</v>
      </c>
      <c r="I3180" t="str">
        <f t="shared" si="82"/>
        <v>2978_1</v>
      </c>
      <c r="J3180" t="s">
        <v>533</v>
      </c>
      <c r="K3180" t="s">
        <v>115</v>
      </c>
      <c r="L3180" t="str">
        <f>_xlfn.XLOOKUP(C3180, Table2[Species],Table2[Genus], "Code Not Found")</f>
        <v>Acer</v>
      </c>
      <c r="M3180" t="str">
        <f>_xlfn.XLOOKUP(C3180, Table2[Species],Table2[Sp. Name], "Code Not Found")</f>
        <v>saccharum</v>
      </c>
      <c r="N3180" t="str">
        <f>_xlfn.XLOOKUP(C3180,Table2[Species],Table2[Family],"Code Not Found")</f>
        <v>Sapindaceae</v>
      </c>
      <c r="O3180" t="str" cm="1">
        <f t="array" ref="O3180">_xlfn.IFS(F3180="","",F3180&lt;=5,"0 to 5",F3180&lt;=10,"5.1 to 10",F3180&lt;=20,"10 to 20", F3180&lt;= 40, "20 to 40", F3180 &lt;= 50, "40 to 50", F3180 &gt; 50, "&gt;50" )</f>
        <v>0 to 5</v>
      </c>
    </row>
    <row r="3181" spans="1:15" ht="15" customHeight="1" x14ac:dyDescent="0.3">
      <c r="A3181" t="s">
        <v>593</v>
      </c>
      <c r="B3181" s="1">
        <v>46223</v>
      </c>
      <c r="C3181" t="s">
        <v>16</v>
      </c>
      <c r="D3181">
        <v>2979</v>
      </c>
      <c r="E3181">
        <v>1</v>
      </c>
      <c r="F3181">
        <v>3.6</v>
      </c>
      <c r="G3181" t="s">
        <v>17</v>
      </c>
      <c r="I3181" t="str">
        <f t="shared" si="82"/>
        <v>2979_1</v>
      </c>
      <c r="J3181" t="s">
        <v>533</v>
      </c>
      <c r="K3181" t="s">
        <v>115</v>
      </c>
      <c r="L3181" t="str">
        <f>_xlfn.XLOOKUP(C3181, Table2[Species],Table2[Genus], "Code Not Found")</f>
        <v>Acer</v>
      </c>
      <c r="M3181" t="str">
        <f>_xlfn.XLOOKUP(C3181, Table2[Species],Table2[Sp. Name], "Code Not Found")</f>
        <v>saccharum</v>
      </c>
      <c r="N3181" t="str">
        <f>_xlfn.XLOOKUP(C3181,Table2[Species],Table2[Family],"Code Not Found")</f>
        <v>Sapindaceae</v>
      </c>
      <c r="O3181" t="str" cm="1">
        <f t="array" ref="O3181">_xlfn.IFS(F3181="","",F3181&lt;=5,"0 to 5",F3181&lt;=10,"5.1 to 10",F3181&lt;=20,"10 to 20", F3181&lt;= 40, "20 to 40", F3181 &lt;= 50, "40 to 50", F3181 &gt; 50, "&gt;50" )</f>
        <v>0 to 5</v>
      </c>
    </row>
    <row r="3182" spans="1:15" ht="15" customHeight="1" x14ac:dyDescent="0.3">
      <c r="A3182" t="s">
        <v>593</v>
      </c>
      <c r="B3182" s="1">
        <v>46223</v>
      </c>
      <c r="C3182" t="s">
        <v>22</v>
      </c>
      <c r="D3182">
        <v>2980</v>
      </c>
      <c r="E3182">
        <v>1</v>
      </c>
      <c r="F3182">
        <v>19.100000000000001</v>
      </c>
      <c r="G3182" t="s">
        <v>21</v>
      </c>
      <c r="H3182" t="s">
        <v>654</v>
      </c>
      <c r="I3182" t="str">
        <f t="shared" si="82"/>
        <v>2980_1</v>
      </c>
      <c r="J3182" t="s">
        <v>533</v>
      </c>
      <c r="K3182" t="s">
        <v>115</v>
      </c>
      <c r="L3182" t="str">
        <f>_xlfn.XLOOKUP(C3182, Table2[Species],Table2[Genus], "Code Not Found")</f>
        <v>Acer</v>
      </c>
      <c r="M3182" t="str">
        <f>_xlfn.XLOOKUP(C3182, Table2[Species],Table2[Sp. Name], "Code Not Found")</f>
        <v>rubrum</v>
      </c>
      <c r="N3182" t="str">
        <f>_xlfn.XLOOKUP(C3182,Table2[Species],Table2[Family],"Code Not Found")</f>
        <v>Sapindaceae</v>
      </c>
      <c r="O3182" t="str" cm="1">
        <f t="array" ref="O3182">_xlfn.IFS(F3182="","",F3182&lt;=5,"0 to 5",F3182&lt;=10,"5.1 to 10",F3182&lt;=20,"10 to 20", F3182&lt;= 40, "20 to 40", F3182 &lt;= 50, "40 to 50", F3182 &gt; 50, "&gt;50" )</f>
        <v>10 to 20</v>
      </c>
    </row>
    <row r="3183" spans="1:15" ht="15" customHeight="1" x14ac:dyDescent="0.3">
      <c r="A3183" t="s">
        <v>593</v>
      </c>
      <c r="B3183" s="1">
        <v>46223</v>
      </c>
      <c r="C3183" t="s">
        <v>16</v>
      </c>
      <c r="D3183">
        <v>2981</v>
      </c>
      <c r="E3183">
        <v>1</v>
      </c>
      <c r="F3183">
        <v>2.9</v>
      </c>
      <c r="G3183" t="s">
        <v>17</v>
      </c>
      <c r="H3183" t="s">
        <v>655</v>
      </c>
      <c r="I3183" t="str">
        <f t="shared" si="82"/>
        <v>2981_1</v>
      </c>
      <c r="J3183" t="s">
        <v>533</v>
      </c>
      <c r="K3183" t="s">
        <v>115</v>
      </c>
      <c r="L3183" t="str">
        <f>_xlfn.XLOOKUP(C3183, Table2[Species],Table2[Genus], "Code Not Found")</f>
        <v>Acer</v>
      </c>
      <c r="M3183" t="str">
        <f>_xlfn.XLOOKUP(C3183, Table2[Species],Table2[Sp. Name], "Code Not Found")</f>
        <v>saccharum</v>
      </c>
      <c r="N3183" t="str">
        <f>_xlfn.XLOOKUP(C3183,Table2[Species],Table2[Family],"Code Not Found")</f>
        <v>Sapindaceae</v>
      </c>
      <c r="O3183" t="str" cm="1">
        <f t="array" ref="O3183">_xlfn.IFS(F3183="","",F3183&lt;=5,"0 to 5",F3183&lt;=10,"5.1 to 10",F3183&lt;=20,"10 to 20", F3183&lt;= 40, "20 to 40", F3183 &lt;= 50, "40 to 50", F3183 &gt; 50, "&gt;50" )</f>
        <v>0 to 5</v>
      </c>
    </row>
    <row r="3184" spans="1:15" ht="15" customHeight="1" x14ac:dyDescent="0.3">
      <c r="A3184" t="s">
        <v>593</v>
      </c>
      <c r="B3184" s="1">
        <v>46223</v>
      </c>
      <c r="C3184" t="s">
        <v>22</v>
      </c>
      <c r="D3184">
        <v>2982</v>
      </c>
      <c r="E3184">
        <v>1</v>
      </c>
      <c r="F3184">
        <v>55.4</v>
      </c>
      <c r="G3184" t="s">
        <v>83</v>
      </c>
      <c r="H3184" t="s">
        <v>656</v>
      </c>
      <c r="I3184" t="str">
        <f t="shared" si="82"/>
        <v>2982_1</v>
      </c>
      <c r="J3184" t="s">
        <v>533</v>
      </c>
      <c r="K3184" t="s">
        <v>115</v>
      </c>
      <c r="L3184" t="str">
        <f>_xlfn.XLOOKUP(C3184, Table2[Species],Table2[Genus], "Code Not Found")</f>
        <v>Acer</v>
      </c>
      <c r="M3184" t="str">
        <f>_xlfn.XLOOKUP(C3184, Table2[Species],Table2[Sp. Name], "Code Not Found")</f>
        <v>rubrum</v>
      </c>
      <c r="N3184" t="str">
        <f>_xlfn.XLOOKUP(C3184,Table2[Species],Table2[Family],"Code Not Found")</f>
        <v>Sapindaceae</v>
      </c>
      <c r="O3184" t="str" cm="1">
        <f t="array" ref="O3184">_xlfn.IFS(F3184="","",F3184&lt;=5,"0 to 5",F3184&lt;=10,"5.1 to 10",F3184&lt;=20,"10 to 20", F3184&lt;= 40, "20 to 40", F3184 &lt;= 50, "40 to 50", F3184 &gt; 50, "&gt;50" )</f>
        <v>&gt;50</v>
      </c>
    </row>
    <row r="3185" spans="1:15" ht="15" customHeight="1" x14ac:dyDescent="0.3">
      <c r="A3185" t="s">
        <v>593</v>
      </c>
      <c r="B3185" s="1">
        <v>46223</v>
      </c>
      <c r="C3185" t="s">
        <v>16</v>
      </c>
      <c r="D3185">
        <v>2983</v>
      </c>
      <c r="E3185">
        <v>1</v>
      </c>
      <c r="F3185">
        <v>6.7</v>
      </c>
      <c r="G3185" t="s">
        <v>17</v>
      </c>
      <c r="I3185" t="str">
        <f t="shared" si="82"/>
        <v>2983_1</v>
      </c>
      <c r="J3185" t="s">
        <v>533</v>
      </c>
      <c r="K3185" t="s">
        <v>115</v>
      </c>
      <c r="L3185" t="str">
        <f>_xlfn.XLOOKUP(C3185, Table2[Species],Table2[Genus], "Code Not Found")</f>
        <v>Acer</v>
      </c>
      <c r="M3185" t="str">
        <f>_xlfn.XLOOKUP(C3185, Table2[Species],Table2[Sp. Name], "Code Not Found")</f>
        <v>saccharum</v>
      </c>
      <c r="N3185" t="str">
        <f>_xlfn.XLOOKUP(C3185,Table2[Species],Table2[Family],"Code Not Found")</f>
        <v>Sapindaceae</v>
      </c>
      <c r="O3185" t="str" cm="1">
        <f t="array" ref="O3185">_xlfn.IFS(F3185="","",F3185&lt;=5,"0 to 5",F3185&lt;=10,"5.1 to 10",F3185&lt;=20,"10 to 20", F3185&lt;= 40, "20 to 40", F3185 &lt;= 50, "40 to 50", F3185 &gt; 50, "&gt;50" )</f>
        <v>5.1 to 10</v>
      </c>
    </row>
    <row r="3186" spans="1:15" ht="15" customHeight="1" x14ac:dyDescent="0.3">
      <c r="A3186" t="s">
        <v>593</v>
      </c>
      <c r="B3186" s="1">
        <v>46223</v>
      </c>
      <c r="C3186" t="s">
        <v>16</v>
      </c>
      <c r="D3186">
        <v>2984</v>
      </c>
      <c r="E3186">
        <v>1</v>
      </c>
      <c r="F3186">
        <v>1.4</v>
      </c>
      <c r="G3186" t="s">
        <v>17</v>
      </c>
      <c r="H3186" t="s">
        <v>161</v>
      </c>
      <c r="I3186" t="str">
        <f t="shared" si="82"/>
        <v>2984_1</v>
      </c>
      <c r="J3186" t="s">
        <v>533</v>
      </c>
      <c r="K3186" t="s">
        <v>115</v>
      </c>
      <c r="L3186" t="str">
        <f>_xlfn.XLOOKUP(C3186, Table2[Species],Table2[Genus], "Code Not Found")</f>
        <v>Acer</v>
      </c>
      <c r="M3186" t="str">
        <f>_xlfn.XLOOKUP(C3186, Table2[Species],Table2[Sp. Name], "Code Not Found")</f>
        <v>saccharum</v>
      </c>
      <c r="N3186" t="str">
        <f>_xlfn.XLOOKUP(C3186,Table2[Species],Table2[Family],"Code Not Found")</f>
        <v>Sapindaceae</v>
      </c>
      <c r="O3186" t="str" cm="1">
        <f t="array" ref="O3186">_xlfn.IFS(F3186="","",F3186&lt;=5,"0 to 5",F3186&lt;=10,"5.1 to 10",F3186&lt;=20,"10 to 20", F3186&lt;= 40, "20 to 40", F3186 &lt;= 50, "40 to 50", F3186 &gt; 50, "&gt;50" )</f>
        <v>0 to 5</v>
      </c>
    </row>
  </sheetData>
  <conditionalFormatting sqref="I1:I1048576">
    <cfRule type="duplicateValues" dxfId="15" priority="1"/>
  </conditionalFormatting>
  <dataValidations count="1">
    <dataValidation type="list" allowBlank="1" showInputMessage="1" showErrorMessage="1" sqref="C3164:C1048576 C1:C3162" xr:uid="{8B6B5613-F64C-47D6-8FD1-1CD9B6D34FB3}">
      <formula1>Species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448F-13F5-4E47-97E8-C7C0BEAD7B7D}">
  <dimension ref="A1:M160"/>
  <sheetViews>
    <sheetView workbookViewId="0"/>
  </sheetViews>
  <sheetFormatPr defaultRowHeight="14.4" x14ac:dyDescent="0.3"/>
  <cols>
    <col min="1" max="1" width="17.33203125" bestFit="1" customWidth="1"/>
    <col min="2" max="2" width="15.44140625" bestFit="1" customWidth="1"/>
    <col min="3" max="3" width="8.21875" bestFit="1" customWidth="1"/>
    <col min="4" max="6" width="7.6640625" bestFit="1" customWidth="1"/>
    <col min="7" max="7" width="4" bestFit="1" customWidth="1"/>
    <col min="8" max="8" width="10.77734375" bestFit="1" customWidth="1"/>
    <col min="9" max="11" width="11.6640625" bestFit="1" customWidth="1"/>
    <col min="13" max="13" width="11.44140625" bestFit="1" customWidth="1"/>
    <col min="14" max="14" width="9.33203125" bestFit="1" customWidth="1"/>
  </cols>
  <sheetData>
    <row r="1" spans="1:13" x14ac:dyDescent="0.3">
      <c r="A1" s="20" t="s">
        <v>4</v>
      </c>
      <c r="B1" s="18" t="s">
        <v>657</v>
      </c>
    </row>
    <row r="3" spans="1:13" x14ac:dyDescent="0.3">
      <c r="A3" s="20" t="s">
        <v>658</v>
      </c>
      <c r="B3" s="20" t="s">
        <v>659</v>
      </c>
      <c r="C3" s="18"/>
      <c r="D3" s="18"/>
      <c r="E3" s="18"/>
      <c r="F3" s="18"/>
      <c r="G3" s="18"/>
      <c r="H3" s="18"/>
    </row>
    <row r="4" spans="1:13" ht="14.4" customHeight="1" x14ac:dyDescent="0.3">
      <c r="A4" s="20" t="s">
        <v>660</v>
      </c>
      <c r="B4" s="18" t="s">
        <v>661</v>
      </c>
      <c r="C4" s="18" t="s">
        <v>662</v>
      </c>
      <c r="D4" s="18" t="s">
        <v>663</v>
      </c>
      <c r="E4" s="18" t="s">
        <v>664</v>
      </c>
      <c r="F4" s="18" t="s">
        <v>665</v>
      </c>
      <c r="G4" s="18" t="s">
        <v>666</v>
      </c>
      <c r="H4" s="18" t="s">
        <v>667</v>
      </c>
    </row>
    <row r="5" spans="1:13" x14ac:dyDescent="0.3">
      <c r="A5" s="18" t="s">
        <v>15</v>
      </c>
      <c r="B5" s="18"/>
      <c r="C5" s="18"/>
      <c r="D5" s="18"/>
      <c r="E5" s="18"/>
      <c r="F5" s="18"/>
      <c r="G5" s="18"/>
      <c r="H5" s="18"/>
    </row>
    <row r="6" spans="1:13" x14ac:dyDescent="0.3">
      <c r="A6" s="18" t="s">
        <v>22</v>
      </c>
      <c r="B6" s="18">
        <v>3</v>
      </c>
      <c r="C6" s="18">
        <v>3</v>
      </c>
      <c r="D6" s="18">
        <v>3</v>
      </c>
      <c r="E6" s="18">
        <v>10</v>
      </c>
      <c r="F6" s="18">
        <v>2</v>
      </c>
      <c r="G6" s="18">
        <v>2</v>
      </c>
      <c r="H6" s="18">
        <v>23</v>
      </c>
    </row>
    <row r="7" spans="1:13" x14ac:dyDescent="0.3">
      <c r="A7" s="18" t="s">
        <v>16</v>
      </c>
      <c r="B7" s="18">
        <v>175</v>
      </c>
      <c r="C7" s="18">
        <v>15</v>
      </c>
      <c r="D7" s="18">
        <v>23</v>
      </c>
      <c r="E7" s="18">
        <v>10</v>
      </c>
      <c r="F7" s="18">
        <v>2</v>
      </c>
      <c r="G7" s="18">
        <v>0</v>
      </c>
      <c r="H7" s="18">
        <v>225</v>
      </c>
    </row>
    <row r="8" spans="1:13" x14ac:dyDescent="0.3">
      <c r="A8" s="18" t="s">
        <v>64</v>
      </c>
      <c r="B8" s="18">
        <v>2</v>
      </c>
      <c r="C8" s="18">
        <v>1</v>
      </c>
      <c r="D8" s="18">
        <v>0</v>
      </c>
      <c r="E8" s="18">
        <v>0</v>
      </c>
      <c r="F8" s="18">
        <v>0</v>
      </c>
      <c r="G8" s="18">
        <v>0</v>
      </c>
      <c r="H8" s="18">
        <v>3</v>
      </c>
    </row>
    <row r="9" spans="1:13" x14ac:dyDescent="0.3">
      <c r="A9" s="18" t="s">
        <v>24</v>
      </c>
      <c r="B9" s="18">
        <v>0</v>
      </c>
      <c r="C9" s="18">
        <v>0</v>
      </c>
      <c r="D9" s="18">
        <v>0</v>
      </c>
      <c r="E9" s="18">
        <v>6</v>
      </c>
      <c r="F9" s="18">
        <v>4</v>
      </c>
      <c r="G9" s="18">
        <v>18</v>
      </c>
      <c r="H9" s="18">
        <v>28</v>
      </c>
    </row>
    <row r="10" spans="1:13" x14ac:dyDescent="0.3">
      <c r="A10" s="18" t="s">
        <v>55</v>
      </c>
      <c r="B10" s="18">
        <v>0</v>
      </c>
      <c r="C10" s="18">
        <v>0</v>
      </c>
      <c r="D10" s="18">
        <v>0</v>
      </c>
      <c r="E10" s="18">
        <v>1</v>
      </c>
      <c r="F10" s="18">
        <v>1</v>
      </c>
      <c r="G10" s="18">
        <v>0</v>
      </c>
      <c r="H10" s="18">
        <v>2</v>
      </c>
    </row>
    <row r="11" spans="1:13" x14ac:dyDescent="0.3">
      <c r="A11" s="18" t="s">
        <v>59</v>
      </c>
      <c r="B11" s="18">
        <v>0</v>
      </c>
      <c r="C11" s="18">
        <v>1</v>
      </c>
      <c r="D11" s="18">
        <v>1</v>
      </c>
      <c r="E11" s="18">
        <v>3</v>
      </c>
      <c r="F11" s="18">
        <v>0</v>
      </c>
      <c r="G11" s="18">
        <v>0</v>
      </c>
      <c r="H11" s="18">
        <v>5</v>
      </c>
    </row>
    <row r="12" spans="1:13" x14ac:dyDescent="0.3">
      <c r="A12" s="18" t="s">
        <v>20</v>
      </c>
      <c r="B12" s="18">
        <v>2</v>
      </c>
      <c r="C12" s="18">
        <v>0</v>
      </c>
      <c r="D12" s="18">
        <v>0</v>
      </c>
      <c r="E12" s="18">
        <v>0</v>
      </c>
      <c r="F12" s="18">
        <v>1</v>
      </c>
      <c r="G12" s="18">
        <v>2</v>
      </c>
      <c r="H12" s="18">
        <v>5</v>
      </c>
    </row>
    <row r="13" spans="1:13" x14ac:dyDescent="0.3">
      <c r="A13" s="18" t="s">
        <v>29</v>
      </c>
      <c r="B13" s="18">
        <v>0</v>
      </c>
      <c r="C13" s="18">
        <v>0</v>
      </c>
      <c r="D13" s="18">
        <v>0</v>
      </c>
      <c r="E13" s="18">
        <v>2</v>
      </c>
      <c r="F13" s="18">
        <v>3</v>
      </c>
      <c r="G13" s="18">
        <v>1</v>
      </c>
      <c r="H13" s="18">
        <v>6</v>
      </c>
      <c r="M13" s="23"/>
    </row>
    <row r="14" spans="1:13" x14ac:dyDescent="0.3">
      <c r="A14" s="18" t="s">
        <v>668</v>
      </c>
      <c r="B14" s="18">
        <v>182</v>
      </c>
      <c r="C14" s="18">
        <v>20</v>
      </c>
      <c r="D14" s="18">
        <v>27</v>
      </c>
      <c r="E14" s="18">
        <v>32</v>
      </c>
      <c r="F14" s="18">
        <v>13</v>
      </c>
      <c r="G14" s="18">
        <v>23</v>
      </c>
      <c r="H14" s="18">
        <v>297</v>
      </c>
    </row>
    <row r="15" spans="1:13" x14ac:dyDescent="0.3">
      <c r="A15" s="18" t="s">
        <v>114</v>
      </c>
      <c r="B15" s="18"/>
      <c r="C15" s="18"/>
      <c r="D15" s="18"/>
      <c r="E15" s="18"/>
      <c r="F15" s="18"/>
      <c r="G15" s="18"/>
      <c r="H15" s="18"/>
    </row>
    <row r="16" spans="1:13" x14ac:dyDescent="0.3">
      <c r="A16" s="18" t="s">
        <v>22</v>
      </c>
      <c r="B16" s="18">
        <v>10</v>
      </c>
      <c r="C16" s="18">
        <v>16</v>
      </c>
      <c r="D16" s="18">
        <v>10</v>
      </c>
      <c r="E16" s="18">
        <v>3</v>
      </c>
      <c r="F16" s="18">
        <v>1</v>
      </c>
      <c r="G16" s="18">
        <v>2</v>
      </c>
      <c r="H16" s="18">
        <v>42</v>
      </c>
    </row>
    <row r="17" spans="1:8" x14ac:dyDescent="0.3">
      <c r="A17" s="18" t="s">
        <v>16</v>
      </c>
      <c r="B17" s="18">
        <v>79</v>
      </c>
      <c r="C17" s="18">
        <v>25</v>
      </c>
      <c r="D17" s="18">
        <v>15</v>
      </c>
      <c r="E17" s="18">
        <v>12</v>
      </c>
      <c r="F17" s="18">
        <v>0</v>
      </c>
      <c r="G17" s="18">
        <v>3</v>
      </c>
      <c r="H17" s="18">
        <v>134</v>
      </c>
    </row>
    <row r="18" spans="1:8" x14ac:dyDescent="0.3">
      <c r="A18" s="18" t="s">
        <v>124</v>
      </c>
      <c r="B18" s="18">
        <v>5</v>
      </c>
      <c r="C18" s="18">
        <v>1</v>
      </c>
      <c r="D18" s="18">
        <v>0</v>
      </c>
      <c r="E18" s="18">
        <v>0</v>
      </c>
      <c r="F18" s="18">
        <v>0</v>
      </c>
      <c r="G18" s="18">
        <v>0</v>
      </c>
      <c r="H18" s="18">
        <v>6</v>
      </c>
    </row>
    <row r="19" spans="1:8" x14ac:dyDescent="0.3">
      <c r="A19" s="18" t="s">
        <v>127</v>
      </c>
      <c r="B19" s="18">
        <v>0</v>
      </c>
      <c r="C19" s="18">
        <v>1</v>
      </c>
      <c r="D19" s="18">
        <v>0</v>
      </c>
      <c r="E19" s="18">
        <v>0</v>
      </c>
      <c r="F19" s="18">
        <v>0</v>
      </c>
      <c r="G19" s="18">
        <v>0</v>
      </c>
      <c r="H19" s="18">
        <v>1</v>
      </c>
    </row>
    <row r="20" spans="1:8" x14ac:dyDescent="0.3">
      <c r="A20" s="18" t="s">
        <v>64</v>
      </c>
      <c r="B20" s="18">
        <v>42</v>
      </c>
      <c r="C20" s="18">
        <v>9</v>
      </c>
      <c r="D20" s="18">
        <v>11</v>
      </c>
      <c r="E20" s="18">
        <v>3</v>
      </c>
      <c r="F20" s="18">
        <v>1</v>
      </c>
      <c r="G20" s="18">
        <v>3</v>
      </c>
      <c r="H20" s="18">
        <v>69</v>
      </c>
    </row>
    <row r="21" spans="1:8" x14ac:dyDescent="0.3">
      <c r="A21" s="18" t="s">
        <v>55</v>
      </c>
      <c r="B21" s="18">
        <v>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1</v>
      </c>
    </row>
    <row r="22" spans="1:8" x14ac:dyDescent="0.3">
      <c r="A22" s="18" t="s">
        <v>59</v>
      </c>
      <c r="B22" s="18">
        <v>0</v>
      </c>
      <c r="C22" s="18">
        <v>1</v>
      </c>
      <c r="D22" s="18">
        <v>0</v>
      </c>
      <c r="E22" s="18">
        <v>0</v>
      </c>
      <c r="F22" s="18">
        <v>0</v>
      </c>
      <c r="G22" s="18">
        <v>0</v>
      </c>
      <c r="H22" s="18">
        <v>1</v>
      </c>
    </row>
    <row r="23" spans="1:8" x14ac:dyDescent="0.3">
      <c r="A23" s="18" t="s">
        <v>117</v>
      </c>
      <c r="B23" s="18">
        <v>7</v>
      </c>
      <c r="C23" s="18">
        <v>1</v>
      </c>
      <c r="D23" s="18">
        <v>1</v>
      </c>
      <c r="E23" s="18">
        <v>0</v>
      </c>
      <c r="F23" s="18">
        <v>0</v>
      </c>
      <c r="G23" s="18">
        <v>0</v>
      </c>
      <c r="H23" s="18">
        <v>9</v>
      </c>
    </row>
    <row r="24" spans="1:8" x14ac:dyDescent="0.3">
      <c r="A24" s="18" t="s">
        <v>20</v>
      </c>
      <c r="B24" s="18">
        <v>3</v>
      </c>
      <c r="C24" s="18">
        <v>5</v>
      </c>
      <c r="D24" s="18">
        <v>1</v>
      </c>
      <c r="E24" s="18">
        <v>1</v>
      </c>
      <c r="F24" s="18">
        <v>1</v>
      </c>
      <c r="G24" s="18">
        <v>0</v>
      </c>
      <c r="H24" s="18">
        <v>11</v>
      </c>
    </row>
    <row r="25" spans="1:8" x14ac:dyDescent="0.3">
      <c r="A25" s="18" t="s">
        <v>129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1</v>
      </c>
      <c r="H25" s="18">
        <v>2</v>
      </c>
    </row>
    <row r="26" spans="1:8" x14ac:dyDescent="0.3">
      <c r="A26" s="18" t="s">
        <v>118</v>
      </c>
      <c r="B26" s="18">
        <v>0</v>
      </c>
      <c r="C26" s="18">
        <v>0</v>
      </c>
      <c r="D26" s="18">
        <v>0</v>
      </c>
      <c r="E26" s="18">
        <v>2</v>
      </c>
      <c r="F26" s="18">
        <v>1</v>
      </c>
      <c r="G26" s="18">
        <v>3</v>
      </c>
      <c r="H26" s="18">
        <v>6</v>
      </c>
    </row>
    <row r="27" spans="1:8" x14ac:dyDescent="0.3">
      <c r="A27" s="18" t="s">
        <v>123</v>
      </c>
      <c r="B27" s="18">
        <v>0</v>
      </c>
      <c r="C27" s="18">
        <v>0</v>
      </c>
      <c r="D27" s="18">
        <v>0</v>
      </c>
      <c r="E27" s="18">
        <v>4</v>
      </c>
      <c r="F27" s="18">
        <v>1</v>
      </c>
      <c r="G27" s="18">
        <v>6</v>
      </c>
      <c r="H27" s="18">
        <v>11</v>
      </c>
    </row>
    <row r="28" spans="1:8" x14ac:dyDescent="0.3">
      <c r="A28" s="18" t="s">
        <v>669</v>
      </c>
      <c r="B28" s="18">
        <v>147</v>
      </c>
      <c r="C28" s="18">
        <v>59</v>
      </c>
      <c r="D28" s="18">
        <v>38</v>
      </c>
      <c r="E28" s="18">
        <v>26</v>
      </c>
      <c r="F28" s="18">
        <v>5</v>
      </c>
      <c r="G28" s="18">
        <v>18</v>
      </c>
      <c r="H28" s="18">
        <v>293</v>
      </c>
    </row>
    <row r="29" spans="1:8" x14ac:dyDescent="0.3">
      <c r="A29" s="18" t="s">
        <v>213</v>
      </c>
      <c r="B29" s="18"/>
      <c r="C29" s="18"/>
      <c r="D29" s="18"/>
      <c r="E29" s="18"/>
      <c r="F29" s="18"/>
      <c r="G29" s="18"/>
      <c r="H29" s="18"/>
    </row>
    <row r="30" spans="1:8" x14ac:dyDescent="0.3">
      <c r="A30" s="18" t="s">
        <v>22</v>
      </c>
      <c r="B30" s="18">
        <v>1</v>
      </c>
      <c r="C30" s="18">
        <v>17</v>
      </c>
      <c r="D30" s="18">
        <v>22</v>
      </c>
      <c r="E30" s="18">
        <v>24</v>
      </c>
      <c r="F30" s="18">
        <v>2</v>
      </c>
      <c r="G30" s="18">
        <v>2</v>
      </c>
      <c r="H30" s="18">
        <v>68</v>
      </c>
    </row>
    <row r="31" spans="1:8" x14ac:dyDescent="0.3">
      <c r="A31" s="18" t="s">
        <v>16</v>
      </c>
      <c r="B31" s="18">
        <v>105</v>
      </c>
      <c r="C31" s="18">
        <v>11</v>
      </c>
      <c r="D31" s="18">
        <v>6</v>
      </c>
      <c r="E31" s="18">
        <v>3</v>
      </c>
      <c r="F31" s="18">
        <v>0</v>
      </c>
      <c r="G31" s="18">
        <v>0</v>
      </c>
      <c r="H31" s="18">
        <v>125</v>
      </c>
    </row>
    <row r="32" spans="1:8" x14ac:dyDescent="0.3">
      <c r="A32" s="18" t="s">
        <v>235</v>
      </c>
      <c r="B32" s="18">
        <v>2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2</v>
      </c>
    </row>
    <row r="33" spans="1:8" x14ac:dyDescent="0.3">
      <c r="A33" s="18" t="s">
        <v>216</v>
      </c>
      <c r="B33" s="18">
        <v>0</v>
      </c>
      <c r="C33" s="18">
        <v>1</v>
      </c>
      <c r="D33" s="18">
        <v>1</v>
      </c>
      <c r="E33" s="18">
        <v>0</v>
      </c>
      <c r="F33" s="18">
        <v>0</v>
      </c>
      <c r="G33" s="18">
        <v>0</v>
      </c>
      <c r="H33" s="18">
        <v>2</v>
      </c>
    </row>
    <row r="34" spans="1:8" x14ac:dyDescent="0.3">
      <c r="A34" s="18" t="s">
        <v>64</v>
      </c>
      <c r="B34" s="18">
        <v>17</v>
      </c>
      <c r="C34" s="18">
        <v>5</v>
      </c>
      <c r="D34" s="18">
        <v>0</v>
      </c>
      <c r="E34" s="18">
        <v>0</v>
      </c>
      <c r="F34" s="18">
        <v>0</v>
      </c>
      <c r="G34" s="18">
        <v>0</v>
      </c>
      <c r="H34" s="18">
        <v>22</v>
      </c>
    </row>
    <row r="35" spans="1:8" x14ac:dyDescent="0.3">
      <c r="A35" s="18" t="s">
        <v>185</v>
      </c>
      <c r="B35" s="18">
        <v>2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2</v>
      </c>
    </row>
    <row r="36" spans="1:8" x14ac:dyDescent="0.3">
      <c r="A36" s="18" t="s">
        <v>24</v>
      </c>
      <c r="B36" s="18">
        <v>0</v>
      </c>
      <c r="C36" s="18">
        <v>0</v>
      </c>
      <c r="D36" s="18">
        <v>1</v>
      </c>
      <c r="E36" s="18">
        <v>15</v>
      </c>
      <c r="F36" s="18">
        <v>11</v>
      </c>
      <c r="G36" s="18">
        <v>2</v>
      </c>
      <c r="H36" s="18">
        <v>29</v>
      </c>
    </row>
    <row r="37" spans="1:8" x14ac:dyDescent="0.3">
      <c r="A37" s="18" t="s">
        <v>117</v>
      </c>
      <c r="B37" s="18">
        <v>1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1</v>
      </c>
    </row>
    <row r="38" spans="1:8" x14ac:dyDescent="0.3">
      <c r="A38" s="18" t="s">
        <v>123</v>
      </c>
      <c r="B38" s="18">
        <v>0</v>
      </c>
      <c r="C38" s="18">
        <v>0</v>
      </c>
      <c r="D38" s="18">
        <v>0</v>
      </c>
      <c r="E38" s="18">
        <v>5</v>
      </c>
      <c r="F38" s="18">
        <v>2</v>
      </c>
      <c r="G38" s="18">
        <v>7</v>
      </c>
      <c r="H38" s="18">
        <v>14</v>
      </c>
    </row>
    <row r="39" spans="1:8" x14ac:dyDescent="0.3">
      <c r="A39" s="18" t="s">
        <v>670</v>
      </c>
      <c r="B39" s="18">
        <v>128</v>
      </c>
      <c r="C39" s="18">
        <v>34</v>
      </c>
      <c r="D39" s="18">
        <v>30</v>
      </c>
      <c r="E39" s="18">
        <v>47</v>
      </c>
      <c r="F39" s="18">
        <v>15</v>
      </c>
      <c r="G39" s="18">
        <v>11</v>
      </c>
      <c r="H39" s="18">
        <v>265</v>
      </c>
    </row>
    <row r="40" spans="1:8" x14ac:dyDescent="0.3">
      <c r="A40" s="18" t="s">
        <v>293</v>
      </c>
      <c r="B40" s="18"/>
      <c r="C40" s="18"/>
      <c r="D40" s="18"/>
      <c r="E40" s="18"/>
      <c r="F40" s="18"/>
      <c r="G40" s="18"/>
      <c r="H40" s="18"/>
    </row>
    <row r="41" spans="1:8" x14ac:dyDescent="0.3">
      <c r="A41" s="18" t="s">
        <v>22</v>
      </c>
      <c r="B41" s="18">
        <v>5</v>
      </c>
      <c r="C41" s="18">
        <v>3</v>
      </c>
      <c r="D41" s="18">
        <v>4</v>
      </c>
      <c r="E41" s="18">
        <v>9</v>
      </c>
      <c r="F41" s="18">
        <v>5</v>
      </c>
      <c r="G41" s="18">
        <v>7</v>
      </c>
      <c r="H41" s="18">
        <v>33</v>
      </c>
    </row>
    <row r="42" spans="1:8" x14ac:dyDescent="0.3">
      <c r="A42" s="18" t="s">
        <v>16</v>
      </c>
      <c r="B42" s="18">
        <v>128</v>
      </c>
      <c r="C42" s="18">
        <v>59</v>
      </c>
      <c r="D42" s="18">
        <v>11</v>
      </c>
      <c r="E42" s="18">
        <v>4</v>
      </c>
      <c r="F42" s="18">
        <v>1</v>
      </c>
      <c r="G42" s="18">
        <v>1</v>
      </c>
      <c r="H42" s="18">
        <v>204</v>
      </c>
    </row>
    <row r="43" spans="1:8" x14ac:dyDescent="0.3">
      <c r="A43" s="18" t="s">
        <v>64</v>
      </c>
      <c r="B43" s="18">
        <v>10</v>
      </c>
      <c r="C43" s="18">
        <v>5</v>
      </c>
      <c r="D43" s="18">
        <v>4</v>
      </c>
      <c r="E43" s="18">
        <v>3</v>
      </c>
      <c r="F43" s="18">
        <v>2</v>
      </c>
      <c r="G43" s="18">
        <v>1</v>
      </c>
      <c r="H43" s="18">
        <v>25</v>
      </c>
    </row>
    <row r="44" spans="1:8" x14ac:dyDescent="0.3">
      <c r="A44" s="18" t="s">
        <v>185</v>
      </c>
      <c r="B44" s="18">
        <v>0</v>
      </c>
      <c r="C44" s="18">
        <v>0</v>
      </c>
      <c r="D44" s="18">
        <v>1</v>
      </c>
      <c r="E44" s="18">
        <v>0</v>
      </c>
      <c r="F44" s="18">
        <v>0</v>
      </c>
      <c r="G44" s="18">
        <v>0</v>
      </c>
      <c r="H44" s="18">
        <v>1</v>
      </c>
    </row>
    <row r="45" spans="1:8" x14ac:dyDescent="0.3">
      <c r="A45" s="18" t="s">
        <v>24</v>
      </c>
      <c r="B45" s="18">
        <v>0</v>
      </c>
      <c r="C45" s="18">
        <v>0</v>
      </c>
      <c r="D45" s="18">
        <v>0</v>
      </c>
      <c r="E45" s="18">
        <v>0</v>
      </c>
      <c r="F45" s="18">
        <v>3</v>
      </c>
      <c r="G45" s="18">
        <v>4</v>
      </c>
      <c r="H45" s="18">
        <v>7</v>
      </c>
    </row>
    <row r="46" spans="1:8" x14ac:dyDescent="0.3">
      <c r="A46" s="18" t="s">
        <v>55</v>
      </c>
      <c r="B46" s="18">
        <v>1</v>
      </c>
      <c r="C46" s="18">
        <v>0</v>
      </c>
      <c r="D46" s="18">
        <v>0</v>
      </c>
      <c r="E46" s="18">
        <v>0</v>
      </c>
      <c r="F46" s="18">
        <v>1</v>
      </c>
      <c r="G46" s="18">
        <v>5</v>
      </c>
      <c r="H46" s="18">
        <v>7</v>
      </c>
    </row>
    <row r="47" spans="1:8" x14ac:dyDescent="0.3">
      <c r="A47" s="18" t="s">
        <v>59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0</v>
      </c>
      <c r="H47" s="18">
        <v>2</v>
      </c>
    </row>
    <row r="48" spans="1:8" x14ac:dyDescent="0.3">
      <c r="A48" s="18" t="s">
        <v>20</v>
      </c>
      <c r="B48" s="18">
        <v>1</v>
      </c>
      <c r="C48" s="18">
        <v>1</v>
      </c>
      <c r="D48" s="18">
        <v>0</v>
      </c>
      <c r="E48" s="18">
        <v>0</v>
      </c>
      <c r="F48" s="18">
        <v>1</v>
      </c>
      <c r="G48" s="18">
        <v>2</v>
      </c>
      <c r="H48" s="18">
        <v>5</v>
      </c>
    </row>
    <row r="49" spans="1:8" x14ac:dyDescent="0.3">
      <c r="A49" s="18" t="s">
        <v>123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1</v>
      </c>
      <c r="H49" s="18">
        <v>1</v>
      </c>
    </row>
    <row r="50" spans="1:8" x14ac:dyDescent="0.3">
      <c r="A50" s="18" t="s">
        <v>29</v>
      </c>
      <c r="B50" s="18">
        <v>7</v>
      </c>
      <c r="C50" s="18">
        <v>0</v>
      </c>
      <c r="D50" s="18">
        <v>0</v>
      </c>
      <c r="E50" s="18">
        <v>0</v>
      </c>
      <c r="F50" s="18">
        <v>1</v>
      </c>
      <c r="G50" s="18">
        <v>1</v>
      </c>
      <c r="H50" s="18">
        <v>9</v>
      </c>
    </row>
    <row r="51" spans="1:8" x14ac:dyDescent="0.3">
      <c r="A51" s="18" t="s">
        <v>312</v>
      </c>
      <c r="B51" s="18">
        <v>0</v>
      </c>
      <c r="C51" s="18">
        <v>2</v>
      </c>
      <c r="D51" s="18">
        <v>0</v>
      </c>
      <c r="E51" s="18">
        <v>0</v>
      </c>
      <c r="F51" s="18">
        <v>0</v>
      </c>
      <c r="G51" s="18">
        <v>0</v>
      </c>
      <c r="H51" s="18">
        <v>2</v>
      </c>
    </row>
    <row r="52" spans="1:8" x14ac:dyDescent="0.3">
      <c r="A52" s="18" t="s">
        <v>671</v>
      </c>
      <c r="B52" s="18">
        <v>152</v>
      </c>
      <c r="C52" s="18">
        <v>70</v>
      </c>
      <c r="D52" s="18">
        <v>20</v>
      </c>
      <c r="E52" s="18">
        <v>18</v>
      </c>
      <c r="F52" s="18">
        <v>14</v>
      </c>
      <c r="G52" s="18">
        <v>22</v>
      </c>
      <c r="H52" s="18">
        <v>296</v>
      </c>
    </row>
    <row r="53" spans="1:8" x14ac:dyDescent="0.3">
      <c r="A53" s="18" t="s">
        <v>240</v>
      </c>
      <c r="B53" s="18"/>
      <c r="C53" s="18"/>
      <c r="D53" s="18"/>
      <c r="E53" s="18"/>
      <c r="F53" s="18"/>
      <c r="G53" s="18"/>
      <c r="H53" s="18"/>
    </row>
    <row r="54" spans="1:8" x14ac:dyDescent="0.3">
      <c r="A54" s="18" t="s">
        <v>22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1</v>
      </c>
      <c r="H54" s="18">
        <v>1</v>
      </c>
    </row>
    <row r="55" spans="1:8" x14ac:dyDescent="0.3">
      <c r="A55" s="18" t="s">
        <v>16</v>
      </c>
      <c r="B55" s="18">
        <v>104</v>
      </c>
      <c r="C55" s="18">
        <v>53</v>
      </c>
      <c r="D55" s="18">
        <v>46</v>
      </c>
      <c r="E55" s="18">
        <v>15</v>
      </c>
      <c r="F55" s="18">
        <v>2</v>
      </c>
      <c r="G55" s="18">
        <v>2</v>
      </c>
      <c r="H55" s="18">
        <v>222</v>
      </c>
    </row>
    <row r="56" spans="1:8" x14ac:dyDescent="0.3">
      <c r="A56" s="18" t="s">
        <v>235</v>
      </c>
      <c r="B56" s="18">
        <v>0</v>
      </c>
      <c r="C56" s="18">
        <v>1</v>
      </c>
      <c r="D56" s="18">
        <v>0</v>
      </c>
      <c r="E56" s="18">
        <v>0</v>
      </c>
      <c r="F56" s="18">
        <v>0</v>
      </c>
      <c r="G56" s="18">
        <v>0</v>
      </c>
      <c r="H56" s="18">
        <v>1</v>
      </c>
    </row>
    <row r="57" spans="1:8" x14ac:dyDescent="0.3">
      <c r="A57" s="18" t="s">
        <v>187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1</v>
      </c>
      <c r="H57" s="18">
        <v>1</v>
      </c>
    </row>
    <row r="58" spans="1:8" x14ac:dyDescent="0.3">
      <c r="A58" s="18" t="s">
        <v>64</v>
      </c>
      <c r="B58" s="18">
        <v>58</v>
      </c>
      <c r="C58" s="18">
        <v>27</v>
      </c>
      <c r="D58" s="18">
        <v>6</v>
      </c>
      <c r="E58" s="18">
        <v>1</v>
      </c>
      <c r="F58" s="18">
        <v>0</v>
      </c>
      <c r="G58" s="18">
        <v>3</v>
      </c>
      <c r="H58" s="18">
        <v>95</v>
      </c>
    </row>
    <row r="59" spans="1:8" x14ac:dyDescent="0.3">
      <c r="A59" s="18" t="s">
        <v>24</v>
      </c>
      <c r="B59" s="18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2</v>
      </c>
      <c r="H59" s="18">
        <v>20</v>
      </c>
    </row>
    <row r="60" spans="1:8" x14ac:dyDescent="0.3">
      <c r="A60" s="18" t="s">
        <v>55</v>
      </c>
      <c r="B60" s="18">
        <v>5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5</v>
      </c>
    </row>
    <row r="61" spans="1:8" x14ac:dyDescent="0.3">
      <c r="A61" s="18" t="s">
        <v>59</v>
      </c>
      <c r="B61" s="18">
        <v>0</v>
      </c>
      <c r="C61" s="18">
        <v>1</v>
      </c>
      <c r="D61" s="18">
        <v>0</v>
      </c>
      <c r="E61" s="18">
        <v>0</v>
      </c>
      <c r="F61" s="18">
        <v>0</v>
      </c>
      <c r="G61" s="18">
        <v>0</v>
      </c>
      <c r="H61" s="18">
        <v>1</v>
      </c>
    </row>
    <row r="62" spans="1:8" x14ac:dyDescent="0.3">
      <c r="A62" s="18" t="s">
        <v>20</v>
      </c>
      <c r="B62" s="18">
        <v>0</v>
      </c>
      <c r="C62" s="18">
        <v>1</v>
      </c>
      <c r="D62" s="18">
        <v>1</v>
      </c>
      <c r="E62" s="18">
        <v>0</v>
      </c>
      <c r="F62" s="18">
        <v>0</v>
      </c>
      <c r="G62" s="18">
        <v>0</v>
      </c>
      <c r="H62" s="18">
        <v>2</v>
      </c>
    </row>
    <row r="63" spans="1:8" x14ac:dyDescent="0.3">
      <c r="A63" s="18" t="s">
        <v>180</v>
      </c>
      <c r="B63" s="18">
        <v>0</v>
      </c>
      <c r="C63" s="18">
        <v>0</v>
      </c>
      <c r="D63" s="18">
        <v>2</v>
      </c>
      <c r="E63" s="18">
        <v>0</v>
      </c>
      <c r="F63" s="18">
        <v>0</v>
      </c>
      <c r="G63" s="18">
        <v>1</v>
      </c>
      <c r="H63" s="18">
        <v>3</v>
      </c>
    </row>
    <row r="64" spans="1:8" x14ac:dyDescent="0.3">
      <c r="A64" s="18" t="s">
        <v>672</v>
      </c>
      <c r="B64" s="18">
        <v>185</v>
      </c>
      <c r="C64" s="18">
        <v>83</v>
      </c>
      <c r="D64" s="18">
        <v>55</v>
      </c>
      <c r="E64" s="18">
        <v>16</v>
      </c>
      <c r="F64" s="18">
        <v>2</v>
      </c>
      <c r="G64" s="18">
        <v>10</v>
      </c>
      <c r="H64" s="18">
        <v>351</v>
      </c>
    </row>
    <row r="65" spans="1:8" x14ac:dyDescent="0.3">
      <c r="A65" s="18" t="s">
        <v>177</v>
      </c>
      <c r="B65" s="18"/>
      <c r="C65" s="18"/>
      <c r="D65" s="18"/>
      <c r="E65" s="18"/>
      <c r="F65" s="18"/>
      <c r="G65" s="18"/>
      <c r="H65" s="18"/>
    </row>
    <row r="66" spans="1:8" x14ac:dyDescent="0.3">
      <c r="A66" s="18" t="s">
        <v>22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1</v>
      </c>
      <c r="H66" s="18">
        <v>1</v>
      </c>
    </row>
    <row r="67" spans="1:8" x14ac:dyDescent="0.3">
      <c r="A67" s="18" t="s">
        <v>16</v>
      </c>
      <c r="B67" s="18">
        <v>61</v>
      </c>
      <c r="C67" s="18">
        <v>51</v>
      </c>
      <c r="D67" s="18">
        <v>17</v>
      </c>
      <c r="E67" s="18">
        <v>13</v>
      </c>
      <c r="F67" s="18">
        <v>3</v>
      </c>
      <c r="G67" s="18">
        <v>4</v>
      </c>
      <c r="H67" s="18">
        <v>149</v>
      </c>
    </row>
    <row r="68" spans="1:8" x14ac:dyDescent="0.3">
      <c r="A68" s="18" t="s">
        <v>187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1</v>
      </c>
      <c r="H68" s="18">
        <v>1</v>
      </c>
    </row>
    <row r="69" spans="1:8" x14ac:dyDescent="0.3">
      <c r="A69" s="18" t="s">
        <v>64</v>
      </c>
      <c r="B69" s="18">
        <v>14</v>
      </c>
      <c r="C69" s="18">
        <v>10</v>
      </c>
      <c r="D69" s="18">
        <v>2</v>
      </c>
      <c r="E69" s="18">
        <v>2</v>
      </c>
      <c r="F69" s="18">
        <v>1</v>
      </c>
      <c r="G69" s="18">
        <v>2</v>
      </c>
      <c r="H69" s="18">
        <v>31</v>
      </c>
    </row>
    <row r="70" spans="1:8" x14ac:dyDescent="0.3">
      <c r="A70" s="18" t="s">
        <v>185</v>
      </c>
      <c r="B70" s="18">
        <v>1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1</v>
      </c>
    </row>
    <row r="71" spans="1:8" x14ac:dyDescent="0.3">
      <c r="A71" s="18" t="s">
        <v>189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6</v>
      </c>
      <c r="H71" s="18">
        <v>6</v>
      </c>
    </row>
    <row r="72" spans="1:8" x14ac:dyDescent="0.3">
      <c r="A72" s="18" t="s">
        <v>24</v>
      </c>
      <c r="B72" s="18">
        <v>1</v>
      </c>
      <c r="C72" s="18">
        <v>0</v>
      </c>
      <c r="D72" s="18">
        <v>0</v>
      </c>
      <c r="E72" s="18">
        <v>0</v>
      </c>
      <c r="F72" s="18">
        <v>0</v>
      </c>
      <c r="G72" s="18">
        <v>1</v>
      </c>
      <c r="H72" s="18">
        <v>2</v>
      </c>
    </row>
    <row r="73" spans="1:8" x14ac:dyDescent="0.3">
      <c r="A73" s="18" t="s">
        <v>20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3</v>
      </c>
      <c r="H73" s="18">
        <v>3</v>
      </c>
    </row>
    <row r="74" spans="1:8" x14ac:dyDescent="0.3">
      <c r="A74" s="18" t="s">
        <v>123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1</v>
      </c>
      <c r="H74" s="18">
        <v>1</v>
      </c>
    </row>
    <row r="75" spans="1:8" x14ac:dyDescent="0.3">
      <c r="A75" s="18" t="s">
        <v>180</v>
      </c>
      <c r="B75" s="18">
        <v>0</v>
      </c>
      <c r="C75" s="18">
        <v>0</v>
      </c>
      <c r="D75" s="18">
        <v>2</v>
      </c>
      <c r="E75" s="18">
        <v>0</v>
      </c>
      <c r="F75" s="18">
        <v>1</v>
      </c>
      <c r="G75" s="18">
        <v>0</v>
      </c>
      <c r="H75" s="18">
        <v>3</v>
      </c>
    </row>
    <row r="76" spans="1:8" x14ac:dyDescent="0.3">
      <c r="A76" s="18" t="s">
        <v>673</v>
      </c>
      <c r="B76" s="18">
        <v>77</v>
      </c>
      <c r="C76" s="18">
        <v>61</v>
      </c>
      <c r="D76" s="18">
        <v>21</v>
      </c>
      <c r="E76" s="18">
        <v>15</v>
      </c>
      <c r="F76" s="18">
        <v>5</v>
      </c>
      <c r="G76" s="18">
        <v>19</v>
      </c>
      <c r="H76" s="18">
        <v>198</v>
      </c>
    </row>
    <row r="77" spans="1:8" x14ac:dyDescent="0.3">
      <c r="A77" s="18" t="s">
        <v>351</v>
      </c>
      <c r="B77" s="18"/>
      <c r="C77" s="18"/>
      <c r="D77" s="18"/>
      <c r="E77" s="18"/>
      <c r="F77" s="18"/>
      <c r="G77" s="18"/>
      <c r="H77" s="18"/>
    </row>
    <row r="78" spans="1:8" x14ac:dyDescent="0.3">
      <c r="A78" s="18" t="s">
        <v>16</v>
      </c>
      <c r="B78" s="18">
        <v>20</v>
      </c>
      <c r="C78" s="18">
        <v>41</v>
      </c>
      <c r="D78" s="18">
        <v>25</v>
      </c>
      <c r="E78" s="18">
        <v>5</v>
      </c>
      <c r="F78" s="18">
        <v>2</v>
      </c>
      <c r="G78" s="18">
        <v>2</v>
      </c>
      <c r="H78" s="18">
        <v>95</v>
      </c>
    </row>
    <row r="79" spans="1:8" x14ac:dyDescent="0.3">
      <c r="A79" s="18" t="s">
        <v>64</v>
      </c>
      <c r="B79" s="18">
        <v>22</v>
      </c>
      <c r="C79" s="18">
        <v>14</v>
      </c>
      <c r="D79" s="18">
        <v>10</v>
      </c>
      <c r="E79" s="18">
        <v>3</v>
      </c>
      <c r="F79" s="18">
        <v>3</v>
      </c>
      <c r="G79" s="18">
        <v>9</v>
      </c>
      <c r="H79" s="18">
        <v>61</v>
      </c>
    </row>
    <row r="80" spans="1:8" x14ac:dyDescent="0.3">
      <c r="A80" s="18" t="s">
        <v>24</v>
      </c>
      <c r="B80" s="18">
        <v>145</v>
      </c>
      <c r="C80" s="18">
        <v>0</v>
      </c>
      <c r="D80" s="18">
        <v>0</v>
      </c>
      <c r="E80" s="18">
        <v>4</v>
      </c>
      <c r="F80" s="18">
        <v>0</v>
      </c>
      <c r="G80" s="18">
        <v>2</v>
      </c>
      <c r="H80" s="18">
        <v>151</v>
      </c>
    </row>
    <row r="81" spans="1:8" x14ac:dyDescent="0.3">
      <c r="A81" s="18" t="s">
        <v>55</v>
      </c>
      <c r="B81" s="18">
        <v>1</v>
      </c>
      <c r="C81" s="18">
        <v>1</v>
      </c>
      <c r="D81" s="18">
        <v>3</v>
      </c>
      <c r="E81" s="18">
        <v>2</v>
      </c>
      <c r="F81" s="18">
        <v>0</v>
      </c>
      <c r="G81" s="18">
        <v>0</v>
      </c>
      <c r="H81" s="18">
        <v>7</v>
      </c>
    </row>
    <row r="82" spans="1:8" x14ac:dyDescent="0.3">
      <c r="A82" s="18" t="s">
        <v>117</v>
      </c>
      <c r="B82" s="18">
        <v>1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1</v>
      </c>
    </row>
    <row r="83" spans="1:8" x14ac:dyDescent="0.3">
      <c r="A83" s="18" t="s">
        <v>415</v>
      </c>
      <c r="B83" s="18">
        <v>1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1</v>
      </c>
    </row>
    <row r="84" spans="1:8" x14ac:dyDescent="0.3">
      <c r="A84" s="18" t="s">
        <v>674</v>
      </c>
      <c r="B84" s="18">
        <v>190</v>
      </c>
      <c r="C84" s="18">
        <v>56</v>
      </c>
      <c r="D84" s="18">
        <v>38</v>
      </c>
      <c r="E84" s="18">
        <v>14</v>
      </c>
      <c r="F84" s="18">
        <v>5</v>
      </c>
      <c r="G84" s="18">
        <v>13</v>
      </c>
      <c r="H84" s="18">
        <v>316</v>
      </c>
    </row>
    <row r="85" spans="1:8" x14ac:dyDescent="0.3">
      <c r="A85" s="18" t="s">
        <v>427</v>
      </c>
      <c r="B85" s="18"/>
      <c r="C85" s="18"/>
      <c r="D85" s="18"/>
      <c r="E85" s="18"/>
      <c r="F85" s="18"/>
      <c r="G85" s="18"/>
      <c r="H85" s="18"/>
    </row>
    <row r="86" spans="1:8" x14ac:dyDescent="0.3">
      <c r="A86" s="18" t="s">
        <v>22</v>
      </c>
      <c r="B86" s="18">
        <v>2</v>
      </c>
      <c r="C86" s="18">
        <v>7</v>
      </c>
      <c r="D86" s="18">
        <v>6</v>
      </c>
      <c r="E86" s="18">
        <v>5</v>
      </c>
      <c r="F86" s="18">
        <v>1</v>
      </c>
      <c r="G86" s="18">
        <v>2</v>
      </c>
      <c r="H86" s="18">
        <v>23</v>
      </c>
    </row>
    <row r="87" spans="1:8" x14ac:dyDescent="0.3">
      <c r="A87" s="18" t="s">
        <v>16</v>
      </c>
      <c r="B87" s="18">
        <v>15</v>
      </c>
      <c r="C87" s="18">
        <v>13</v>
      </c>
      <c r="D87" s="18">
        <v>1</v>
      </c>
      <c r="E87" s="18">
        <v>1</v>
      </c>
      <c r="F87" s="18">
        <v>0</v>
      </c>
      <c r="G87" s="18">
        <v>0</v>
      </c>
      <c r="H87" s="18">
        <v>30</v>
      </c>
    </row>
    <row r="88" spans="1:8" x14ac:dyDescent="0.3">
      <c r="A88" s="18" t="s">
        <v>64</v>
      </c>
      <c r="B88" s="18">
        <v>40</v>
      </c>
      <c r="C88" s="18">
        <v>24</v>
      </c>
      <c r="D88" s="18">
        <v>5</v>
      </c>
      <c r="E88" s="18">
        <v>0</v>
      </c>
      <c r="F88" s="18">
        <v>0</v>
      </c>
      <c r="G88" s="18">
        <v>2</v>
      </c>
      <c r="H88" s="18">
        <v>71</v>
      </c>
    </row>
    <row r="89" spans="1:8" x14ac:dyDescent="0.3">
      <c r="A89" s="18" t="s">
        <v>24</v>
      </c>
      <c r="B89" s="18">
        <v>1</v>
      </c>
      <c r="C89" s="18">
        <v>0</v>
      </c>
      <c r="D89" s="18">
        <v>3</v>
      </c>
      <c r="E89" s="18">
        <v>2</v>
      </c>
      <c r="F89" s="18">
        <v>0</v>
      </c>
      <c r="G89" s="18">
        <v>1</v>
      </c>
      <c r="H89" s="18">
        <v>7</v>
      </c>
    </row>
    <row r="90" spans="1:8" x14ac:dyDescent="0.3">
      <c r="A90" s="18" t="s">
        <v>55</v>
      </c>
      <c r="B90" s="18">
        <v>0</v>
      </c>
      <c r="C90" s="18">
        <v>0</v>
      </c>
      <c r="D90" s="18">
        <v>1</v>
      </c>
      <c r="E90" s="18">
        <v>3</v>
      </c>
      <c r="F90" s="18">
        <v>1</v>
      </c>
      <c r="G90" s="18">
        <v>0</v>
      </c>
      <c r="H90" s="18">
        <v>5</v>
      </c>
    </row>
    <row r="91" spans="1:8" x14ac:dyDescent="0.3">
      <c r="A91" s="18" t="s">
        <v>59</v>
      </c>
      <c r="B91" s="18">
        <v>1</v>
      </c>
      <c r="C91" s="18">
        <v>0</v>
      </c>
      <c r="D91" s="18">
        <v>0</v>
      </c>
      <c r="E91" s="18">
        <v>0</v>
      </c>
      <c r="F91" s="18">
        <v>0</v>
      </c>
      <c r="G91" s="18">
        <v>1</v>
      </c>
      <c r="H91" s="18">
        <v>2</v>
      </c>
    </row>
    <row r="92" spans="1:8" x14ac:dyDescent="0.3">
      <c r="A92" s="18" t="s">
        <v>20</v>
      </c>
      <c r="B92" s="18">
        <v>1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1</v>
      </c>
    </row>
    <row r="93" spans="1:8" x14ac:dyDescent="0.3">
      <c r="A93" s="18" t="s">
        <v>118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5</v>
      </c>
      <c r="H93" s="18">
        <v>5</v>
      </c>
    </row>
    <row r="94" spans="1:8" x14ac:dyDescent="0.3">
      <c r="A94" s="18" t="s">
        <v>123</v>
      </c>
      <c r="B94" s="18">
        <v>0</v>
      </c>
      <c r="C94" s="18">
        <v>0</v>
      </c>
      <c r="D94" s="18">
        <v>0</v>
      </c>
      <c r="E94" s="18">
        <v>1</v>
      </c>
      <c r="F94" s="18">
        <v>0</v>
      </c>
      <c r="G94" s="18">
        <v>1</v>
      </c>
      <c r="H94" s="18">
        <v>2</v>
      </c>
    </row>
    <row r="95" spans="1:8" x14ac:dyDescent="0.3">
      <c r="A95" s="18" t="s">
        <v>430</v>
      </c>
      <c r="B95" s="18">
        <v>7</v>
      </c>
      <c r="C95" s="18">
        <v>29</v>
      </c>
      <c r="D95" s="18">
        <v>32</v>
      </c>
      <c r="E95" s="18">
        <v>12</v>
      </c>
      <c r="F95" s="18">
        <v>4</v>
      </c>
      <c r="G95" s="18">
        <v>7</v>
      </c>
      <c r="H95" s="18">
        <v>91</v>
      </c>
    </row>
    <row r="96" spans="1:8" x14ac:dyDescent="0.3">
      <c r="A96" s="18" t="s">
        <v>675</v>
      </c>
      <c r="B96" s="18">
        <v>67</v>
      </c>
      <c r="C96" s="18">
        <v>73</v>
      </c>
      <c r="D96" s="18">
        <v>48</v>
      </c>
      <c r="E96" s="18">
        <v>24</v>
      </c>
      <c r="F96" s="18">
        <v>6</v>
      </c>
      <c r="G96" s="18">
        <v>19</v>
      </c>
      <c r="H96" s="18">
        <v>237</v>
      </c>
    </row>
    <row r="97" spans="1:8" x14ac:dyDescent="0.3">
      <c r="A97" s="18" t="s">
        <v>498</v>
      </c>
      <c r="B97" s="18"/>
      <c r="C97" s="18"/>
      <c r="D97" s="18"/>
      <c r="E97" s="18"/>
      <c r="F97" s="18"/>
      <c r="G97" s="18"/>
      <c r="H97" s="18"/>
    </row>
    <row r="98" spans="1:8" x14ac:dyDescent="0.3">
      <c r="A98" s="18" t="s">
        <v>22</v>
      </c>
      <c r="B98" s="18">
        <v>0</v>
      </c>
      <c r="C98" s="18">
        <v>0</v>
      </c>
      <c r="D98" s="18">
        <v>1</v>
      </c>
      <c r="E98" s="18">
        <v>4</v>
      </c>
      <c r="F98" s="18">
        <v>0</v>
      </c>
      <c r="G98" s="18">
        <v>2</v>
      </c>
      <c r="H98" s="18">
        <v>7</v>
      </c>
    </row>
    <row r="99" spans="1:8" x14ac:dyDescent="0.3">
      <c r="A99" s="18" t="s">
        <v>16</v>
      </c>
      <c r="B99" s="18">
        <v>5</v>
      </c>
      <c r="C99" s="18">
        <v>4</v>
      </c>
      <c r="D99" s="18">
        <v>5</v>
      </c>
      <c r="E99" s="18">
        <v>9</v>
      </c>
      <c r="F99" s="18">
        <v>2</v>
      </c>
      <c r="G99" s="18">
        <v>3</v>
      </c>
      <c r="H99" s="18">
        <v>28</v>
      </c>
    </row>
    <row r="100" spans="1:8" x14ac:dyDescent="0.3">
      <c r="A100" s="18" t="s">
        <v>235</v>
      </c>
      <c r="B100" s="18">
        <v>2</v>
      </c>
      <c r="C100" s="18">
        <v>1</v>
      </c>
      <c r="D100" s="18">
        <v>0</v>
      </c>
      <c r="E100" s="18">
        <v>0</v>
      </c>
      <c r="F100" s="18">
        <v>0</v>
      </c>
      <c r="G100" s="18">
        <v>0</v>
      </c>
      <c r="H100" s="18">
        <v>3</v>
      </c>
    </row>
    <row r="101" spans="1:8" x14ac:dyDescent="0.3">
      <c r="A101" s="18" t="s">
        <v>187</v>
      </c>
      <c r="B101" s="18">
        <v>0</v>
      </c>
      <c r="C101" s="18">
        <v>0</v>
      </c>
      <c r="D101" s="18">
        <v>0</v>
      </c>
      <c r="E101" s="18">
        <v>3</v>
      </c>
      <c r="F101" s="18">
        <v>1</v>
      </c>
      <c r="G101" s="18">
        <v>0</v>
      </c>
      <c r="H101" s="18">
        <v>4</v>
      </c>
    </row>
    <row r="102" spans="1:8" x14ac:dyDescent="0.3">
      <c r="A102" s="18" t="s">
        <v>216</v>
      </c>
      <c r="B102" s="18">
        <v>2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2</v>
      </c>
    </row>
    <row r="103" spans="1:8" x14ac:dyDescent="0.3">
      <c r="A103" s="18" t="s">
        <v>64</v>
      </c>
      <c r="B103" s="18">
        <v>40</v>
      </c>
      <c r="C103" s="18">
        <v>16</v>
      </c>
      <c r="D103" s="18">
        <v>4</v>
      </c>
      <c r="E103" s="18">
        <v>2</v>
      </c>
      <c r="F103" s="18">
        <v>2</v>
      </c>
      <c r="G103" s="18">
        <v>1</v>
      </c>
      <c r="H103" s="18">
        <v>65</v>
      </c>
    </row>
    <row r="104" spans="1:8" x14ac:dyDescent="0.3">
      <c r="A104" s="18" t="s">
        <v>24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2</v>
      </c>
      <c r="H104" s="18">
        <v>2</v>
      </c>
    </row>
    <row r="105" spans="1:8" x14ac:dyDescent="0.3">
      <c r="A105" s="18" t="s">
        <v>55</v>
      </c>
      <c r="B105" s="18">
        <v>1</v>
      </c>
      <c r="C105" s="18">
        <v>0</v>
      </c>
      <c r="D105" s="18">
        <v>0</v>
      </c>
      <c r="E105" s="18">
        <v>1</v>
      </c>
      <c r="F105" s="18">
        <v>0</v>
      </c>
      <c r="G105" s="18">
        <v>0</v>
      </c>
      <c r="H105" s="18">
        <v>2</v>
      </c>
    </row>
    <row r="106" spans="1:8" x14ac:dyDescent="0.3">
      <c r="A106" s="18" t="s">
        <v>59</v>
      </c>
      <c r="B106" s="18">
        <v>0</v>
      </c>
      <c r="C106" s="18">
        <v>0</v>
      </c>
      <c r="D106" s="18">
        <v>0</v>
      </c>
      <c r="E106" s="18">
        <v>1</v>
      </c>
      <c r="F106" s="18">
        <v>0</v>
      </c>
      <c r="G106" s="18">
        <v>0</v>
      </c>
      <c r="H106" s="18">
        <v>1</v>
      </c>
    </row>
    <row r="107" spans="1:8" x14ac:dyDescent="0.3">
      <c r="A107" s="18" t="s">
        <v>117</v>
      </c>
      <c r="B107" s="18">
        <v>2</v>
      </c>
      <c r="C107" s="18">
        <v>1</v>
      </c>
      <c r="D107" s="18">
        <v>0</v>
      </c>
      <c r="E107" s="18">
        <v>0</v>
      </c>
      <c r="F107" s="18">
        <v>0</v>
      </c>
      <c r="G107" s="18">
        <v>0</v>
      </c>
      <c r="H107" s="18">
        <v>3</v>
      </c>
    </row>
    <row r="108" spans="1:8" x14ac:dyDescent="0.3">
      <c r="A108" s="18" t="s">
        <v>20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5</v>
      </c>
      <c r="H108" s="18">
        <v>5</v>
      </c>
    </row>
    <row r="109" spans="1:8" x14ac:dyDescent="0.3">
      <c r="A109" s="18" t="s">
        <v>123</v>
      </c>
      <c r="B109" s="18">
        <v>0</v>
      </c>
      <c r="C109" s="18">
        <v>0</v>
      </c>
      <c r="D109" s="18">
        <v>0</v>
      </c>
      <c r="E109" s="18">
        <v>0</v>
      </c>
      <c r="F109" s="18">
        <v>1</v>
      </c>
      <c r="G109" s="18">
        <v>4</v>
      </c>
      <c r="H109" s="18">
        <v>5</v>
      </c>
    </row>
    <row r="110" spans="1:8" x14ac:dyDescent="0.3">
      <c r="A110" s="18" t="s">
        <v>180</v>
      </c>
      <c r="B110" s="18">
        <v>0</v>
      </c>
      <c r="C110" s="18">
        <v>0</v>
      </c>
      <c r="D110" s="18">
        <v>1</v>
      </c>
      <c r="E110" s="18">
        <v>0</v>
      </c>
      <c r="F110" s="18">
        <v>0</v>
      </c>
      <c r="G110" s="18">
        <v>0</v>
      </c>
      <c r="H110" s="18">
        <v>1</v>
      </c>
    </row>
    <row r="111" spans="1:8" x14ac:dyDescent="0.3">
      <c r="A111" s="18" t="s">
        <v>415</v>
      </c>
      <c r="B111" s="18">
        <v>1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1</v>
      </c>
    </row>
    <row r="112" spans="1:8" x14ac:dyDescent="0.3">
      <c r="A112" s="18" t="s">
        <v>430</v>
      </c>
      <c r="B112" s="18">
        <v>6</v>
      </c>
      <c r="C112" s="18">
        <v>46</v>
      </c>
      <c r="D112" s="18">
        <v>52</v>
      </c>
      <c r="E112" s="18">
        <v>13</v>
      </c>
      <c r="F112" s="18">
        <v>1</v>
      </c>
      <c r="G112" s="18">
        <v>0</v>
      </c>
      <c r="H112" s="18">
        <v>118</v>
      </c>
    </row>
    <row r="113" spans="1:8" x14ac:dyDescent="0.3">
      <c r="A113" s="18" t="s">
        <v>513</v>
      </c>
      <c r="B113" s="18">
        <v>0</v>
      </c>
      <c r="C113" s="18">
        <v>0</v>
      </c>
      <c r="D113" s="18">
        <v>1</v>
      </c>
      <c r="E113" s="18">
        <v>1</v>
      </c>
      <c r="F113" s="18">
        <v>0</v>
      </c>
      <c r="G113" s="18">
        <v>0</v>
      </c>
      <c r="H113" s="18">
        <v>2</v>
      </c>
    </row>
    <row r="114" spans="1:8" x14ac:dyDescent="0.3">
      <c r="A114" s="18" t="s">
        <v>676</v>
      </c>
      <c r="B114" s="18">
        <v>59</v>
      </c>
      <c r="C114" s="18">
        <v>68</v>
      </c>
      <c r="D114" s="18">
        <v>64</v>
      </c>
      <c r="E114" s="18">
        <v>34</v>
      </c>
      <c r="F114" s="18">
        <v>7</v>
      </c>
      <c r="G114" s="18">
        <v>17</v>
      </c>
      <c r="H114" s="18">
        <v>249</v>
      </c>
    </row>
    <row r="115" spans="1:8" x14ac:dyDescent="0.3">
      <c r="A115" s="18" t="s">
        <v>566</v>
      </c>
      <c r="B115" s="18"/>
      <c r="C115" s="18"/>
      <c r="D115" s="18"/>
      <c r="E115" s="18"/>
      <c r="F115" s="18"/>
      <c r="G115" s="18"/>
      <c r="H115" s="18"/>
    </row>
    <row r="116" spans="1:8" x14ac:dyDescent="0.3">
      <c r="A116" s="18" t="s">
        <v>22</v>
      </c>
      <c r="B116" s="18">
        <v>0</v>
      </c>
      <c r="C116" s="18">
        <v>0</v>
      </c>
      <c r="D116" s="18">
        <v>1</v>
      </c>
      <c r="E116" s="18">
        <v>5</v>
      </c>
      <c r="F116" s="18">
        <v>5</v>
      </c>
      <c r="G116" s="18">
        <v>0</v>
      </c>
      <c r="H116" s="18">
        <v>11</v>
      </c>
    </row>
    <row r="117" spans="1:8" x14ac:dyDescent="0.3">
      <c r="A117" s="18" t="s">
        <v>16</v>
      </c>
      <c r="B117" s="18">
        <v>46</v>
      </c>
      <c r="C117" s="18">
        <v>53</v>
      </c>
      <c r="D117" s="18">
        <v>27</v>
      </c>
      <c r="E117" s="18">
        <v>17</v>
      </c>
      <c r="F117" s="18">
        <v>1</v>
      </c>
      <c r="G117" s="18">
        <v>0</v>
      </c>
      <c r="H117" s="18">
        <v>144</v>
      </c>
    </row>
    <row r="118" spans="1:8" x14ac:dyDescent="0.3">
      <c r="A118" s="18" t="s">
        <v>124</v>
      </c>
      <c r="B118" s="18">
        <v>2</v>
      </c>
      <c r="C118" s="18">
        <v>1</v>
      </c>
      <c r="D118" s="18">
        <v>0</v>
      </c>
      <c r="E118" s="18">
        <v>0</v>
      </c>
      <c r="F118" s="18">
        <v>0</v>
      </c>
      <c r="G118" s="18">
        <v>0</v>
      </c>
      <c r="H118" s="18">
        <v>3</v>
      </c>
    </row>
    <row r="119" spans="1:8" x14ac:dyDescent="0.3">
      <c r="A119" s="18" t="s">
        <v>235</v>
      </c>
      <c r="B119" s="18">
        <v>1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1</v>
      </c>
    </row>
    <row r="120" spans="1:8" x14ac:dyDescent="0.3">
      <c r="A120" s="18" t="s">
        <v>187</v>
      </c>
      <c r="B120" s="18">
        <v>0</v>
      </c>
      <c r="C120" s="18">
        <v>0</v>
      </c>
      <c r="D120" s="18">
        <v>0</v>
      </c>
      <c r="E120" s="18">
        <v>1</v>
      </c>
      <c r="F120" s="18">
        <v>0</v>
      </c>
      <c r="G120" s="18">
        <v>0</v>
      </c>
      <c r="H120" s="18">
        <v>1</v>
      </c>
    </row>
    <row r="121" spans="1:8" x14ac:dyDescent="0.3">
      <c r="A121" s="18" t="s">
        <v>216</v>
      </c>
      <c r="B121" s="18">
        <v>1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1</v>
      </c>
    </row>
    <row r="122" spans="1:8" x14ac:dyDescent="0.3">
      <c r="A122" s="18" t="s">
        <v>64</v>
      </c>
      <c r="B122" s="18">
        <v>0</v>
      </c>
      <c r="C122" s="18">
        <v>2</v>
      </c>
      <c r="D122" s="18">
        <v>0</v>
      </c>
      <c r="E122" s="18">
        <v>0</v>
      </c>
      <c r="F122" s="18">
        <v>0</v>
      </c>
      <c r="G122" s="18">
        <v>0</v>
      </c>
      <c r="H122" s="18">
        <v>2</v>
      </c>
    </row>
    <row r="123" spans="1:8" x14ac:dyDescent="0.3">
      <c r="A123" s="18" t="s">
        <v>117</v>
      </c>
      <c r="B123" s="18">
        <v>1</v>
      </c>
      <c r="C123" s="18">
        <v>3</v>
      </c>
      <c r="D123" s="18">
        <v>1</v>
      </c>
      <c r="E123" s="18">
        <v>0</v>
      </c>
      <c r="F123" s="18">
        <v>0</v>
      </c>
      <c r="G123" s="18">
        <v>0</v>
      </c>
      <c r="H123" s="18">
        <v>5</v>
      </c>
    </row>
    <row r="124" spans="1:8" x14ac:dyDescent="0.3">
      <c r="A124" s="18" t="s">
        <v>20</v>
      </c>
      <c r="B124" s="18">
        <v>0</v>
      </c>
      <c r="C124" s="18">
        <v>0</v>
      </c>
      <c r="D124" s="18">
        <v>1</v>
      </c>
      <c r="E124" s="18">
        <v>0</v>
      </c>
      <c r="F124" s="18">
        <v>0</v>
      </c>
      <c r="G124" s="18">
        <v>0</v>
      </c>
      <c r="H124" s="18">
        <v>1</v>
      </c>
    </row>
    <row r="125" spans="1:8" x14ac:dyDescent="0.3">
      <c r="A125" s="18" t="s">
        <v>129</v>
      </c>
      <c r="B125" s="18">
        <v>0</v>
      </c>
      <c r="C125" s="18">
        <v>0</v>
      </c>
      <c r="D125" s="18">
        <v>0</v>
      </c>
      <c r="E125" s="18">
        <v>4</v>
      </c>
      <c r="F125" s="18">
        <v>0</v>
      </c>
      <c r="G125" s="18">
        <v>1</v>
      </c>
      <c r="H125" s="18">
        <v>5</v>
      </c>
    </row>
    <row r="126" spans="1:8" x14ac:dyDescent="0.3">
      <c r="A126" s="18" t="s">
        <v>123</v>
      </c>
      <c r="B126" s="18">
        <v>0</v>
      </c>
      <c r="C126" s="18">
        <v>0</v>
      </c>
      <c r="D126" s="18">
        <v>1</v>
      </c>
      <c r="E126" s="18">
        <v>2</v>
      </c>
      <c r="F126" s="18">
        <v>1</v>
      </c>
      <c r="G126" s="18">
        <v>7</v>
      </c>
      <c r="H126" s="18">
        <v>11</v>
      </c>
    </row>
    <row r="127" spans="1:8" x14ac:dyDescent="0.3">
      <c r="A127" s="18" t="s">
        <v>29</v>
      </c>
      <c r="B127" s="18">
        <v>0</v>
      </c>
      <c r="C127" s="18">
        <v>0</v>
      </c>
      <c r="D127" s="18">
        <v>0</v>
      </c>
      <c r="E127" s="18">
        <v>2</v>
      </c>
      <c r="F127" s="18">
        <v>0</v>
      </c>
      <c r="G127" s="18">
        <v>0</v>
      </c>
      <c r="H127" s="18">
        <v>2</v>
      </c>
    </row>
    <row r="128" spans="1:8" x14ac:dyDescent="0.3">
      <c r="A128" s="18" t="s">
        <v>180</v>
      </c>
      <c r="B128" s="18">
        <v>0</v>
      </c>
      <c r="C128" s="18">
        <v>1</v>
      </c>
      <c r="D128" s="18">
        <v>0</v>
      </c>
      <c r="E128" s="18">
        <v>0</v>
      </c>
      <c r="F128" s="18">
        <v>0</v>
      </c>
      <c r="G128" s="18">
        <v>0</v>
      </c>
      <c r="H128" s="18">
        <v>1</v>
      </c>
    </row>
    <row r="129" spans="1:8" x14ac:dyDescent="0.3">
      <c r="A129" s="18" t="s">
        <v>572</v>
      </c>
      <c r="B129" s="18">
        <v>0</v>
      </c>
      <c r="C129" s="18">
        <v>1</v>
      </c>
      <c r="D129" s="18">
        <v>6</v>
      </c>
      <c r="E129" s="18">
        <v>6</v>
      </c>
      <c r="F129" s="18">
        <v>1</v>
      </c>
      <c r="G129" s="18">
        <v>2</v>
      </c>
      <c r="H129" s="18">
        <v>16</v>
      </c>
    </row>
    <row r="130" spans="1:8" x14ac:dyDescent="0.3">
      <c r="A130" s="18" t="s">
        <v>677</v>
      </c>
      <c r="B130" s="18">
        <v>51</v>
      </c>
      <c r="C130" s="18">
        <v>61</v>
      </c>
      <c r="D130" s="18">
        <v>37</v>
      </c>
      <c r="E130" s="18">
        <v>37</v>
      </c>
      <c r="F130" s="18">
        <v>8</v>
      </c>
      <c r="G130" s="18">
        <v>10</v>
      </c>
      <c r="H130" s="18">
        <v>204</v>
      </c>
    </row>
    <row r="131" spans="1:8" x14ac:dyDescent="0.3">
      <c r="A131" s="18" t="s">
        <v>593</v>
      </c>
      <c r="B131" s="18"/>
      <c r="C131" s="18"/>
      <c r="D131" s="18"/>
      <c r="E131" s="18"/>
      <c r="F131" s="18"/>
      <c r="G131" s="18"/>
      <c r="H131" s="18"/>
    </row>
    <row r="132" spans="1:8" x14ac:dyDescent="0.3">
      <c r="A132" s="18" t="s">
        <v>22</v>
      </c>
      <c r="B132" s="18">
        <v>2</v>
      </c>
      <c r="C132" s="18">
        <v>3</v>
      </c>
      <c r="D132" s="18">
        <v>4</v>
      </c>
      <c r="E132" s="18">
        <v>8</v>
      </c>
      <c r="F132" s="18">
        <v>1</v>
      </c>
      <c r="G132" s="18">
        <v>8</v>
      </c>
      <c r="H132" s="18">
        <v>26</v>
      </c>
    </row>
    <row r="133" spans="1:8" x14ac:dyDescent="0.3">
      <c r="A133" s="18" t="s">
        <v>16</v>
      </c>
      <c r="B133" s="18">
        <v>106</v>
      </c>
      <c r="C133" s="18">
        <v>58</v>
      </c>
      <c r="D133" s="18">
        <v>31</v>
      </c>
      <c r="E133" s="18">
        <v>9</v>
      </c>
      <c r="F133" s="18">
        <v>6</v>
      </c>
      <c r="G133" s="18">
        <v>7</v>
      </c>
      <c r="H133" s="18">
        <v>217</v>
      </c>
    </row>
    <row r="134" spans="1:8" x14ac:dyDescent="0.3">
      <c r="A134" s="18" t="s">
        <v>187</v>
      </c>
      <c r="B134" s="18">
        <v>0</v>
      </c>
      <c r="C134" s="18">
        <v>0</v>
      </c>
      <c r="D134" s="18">
        <v>0</v>
      </c>
      <c r="E134" s="18">
        <v>0</v>
      </c>
      <c r="F134" s="18">
        <v>1</v>
      </c>
      <c r="G134" s="18">
        <v>0</v>
      </c>
      <c r="H134" s="18">
        <v>1</v>
      </c>
    </row>
    <row r="135" spans="1:8" x14ac:dyDescent="0.3">
      <c r="A135" s="18" t="s">
        <v>64</v>
      </c>
      <c r="B135" s="18">
        <v>2</v>
      </c>
      <c r="C135" s="18">
        <v>0</v>
      </c>
      <c r="D135" s="18">
        <v>0</v>
      </c>
      <c r="E135" s="18">
        <v>0</v>
      </c>
      <c r="F135" s="18">
        <v>0</v>
      </c>
      <c r="G135" s="18">
        <v>1</v>
      </c>
      <c r="H135" s="18">
        <v>3</v>
      </c>
    </row>
    <row r="136" spans="1:8" x14ac:dyDescent="0.3">
      <c r="A136" s="18" t="s">
        <v>55</v>
      </c>
      <c r="B136" s="18">
        <v>0</v>
      </c>
      <c r="C136" s="18">
        <v>0</v>
      </c>
      <c r="D136" s="18">
        <v>0</v>
      </c>
      <c r="E136" s="18">
        <v>1</v>
      </c>
      <c r="F136" s="18">
        <v>0</v>
      </c>
      <c r="G136" s="18">
        <v>0</v>
      </c>
      <c r="H136" s="18">
        <v>1</v>
      </c>
    </row>
    <row r="137" spans="1:8" x14ac:dyDescent="0.3">
      <c r="A137" s="18" t="s">
        <v>59</v>
      </c>
      <c r="B137" s="18">
        <v>0</v>
      </c>
      <c r="C137" s="18">
        <v>0</v>
      </c>
      <c r="D137" s="18">
        <v>0</v>
      </c>
      <c r="E137" s="18">
        <v>0</v>
      </c>
      <c r="F137" s="18">
        <v>1</v>
      </c>
      <c r="G137" s="18">
        <v>0</v>
      </c>
      <c r="H137" s="18">
        <v>1</v>
      </c>
    </row>
    <row r="138" spans="1:8" x14ac:dyDescent="0.3">
      <c r="A138" s="18" t="s">
        <v>117</v>
      </c>
      <c r="B138" s="18">
        <v>3</v>
      </c>
      <c r="C138" s="18">
        <v>0</v>
      </c>
      <c r="D138" s="18">
        <v>0</v>
      </c>
      <c r="E138" s="18">
        <v>1</v>
      </c>
      <c r="F138" s="18">
        <v>0</v>
      </c>
      <c r="G138" s="18">
        <v>0</v>
      </c>
      <c r="H138" s="18">
        <v>4</v>
      </c>
    </row>
    <row r="139" spans="1:8" x14ac:dyDescent="0.3">
      <c r="A139" s="18" t="s">
        <v>20</v>
      </c>
      <c r="B139" s="18">
        <v>0</v>
      </c>
      <c r="C139" s="18">
        <v>0</v>
      </c>
      <c r="D139" s="18">
        <v>0</v>
      </c>
      <c r="E139" s="18">
        <v>1</v>
      </c>
      <c r="F139" s="18">
        <v>0</v>
      </c>
      <c r="G139" s="18">
        <v>0</v>
      </c>
      <c r="H139" s="18">
        <v>1</v>
      </c>
    </row>
    <row r="140" spans="1:8" x14ac:dyDescent="0.3">
      <c r="A140" s="18" t="s">
        <v>129</v>
      </c>
      <c r="B140" s="18">
        <v>0</v>
      </c>
      <c r="C140" s="18">
        <v>0</v>
      </c>
      <c r="D140" s="18">
        <v>0</v>
      </c>
      <c r="E140" s="18">
        <v>0</v>
      </c>
      <c r="F140" s="18">
        <v>1</v>
      </c>
      <c r="G140" s="18">
        <v>1</v>
      </c>
      <c r="H140" s="18">
        <v>2</v>
      </c>
    </row>
    <row r="141" spans="1:8" x14ac:dyDescent="0.3">
      <c r="A141" s="18" t="s">
        <v>123</v>
      </c>
      <c r="B141" s="18">
        <v>0</v>
      </c>
      <c r="C141" s="18">
        <v>0</v>
      </c>
      <c r="D141" s="18">
        <v>0</v>
      </c>
      <c r="E141" s="18">
        <v>1</v>
      </c>
      <c r="F141" s="18">
        <v>0</v>
      </c>
      <c r="G141" s="18">
        <v>1</v>
      </c>
      <c r="H141" s="18">
        <v>2</v>
      </c>
    </row>
    <row r="142" spans="1:8" x14ac:dyDescent="0.3">
      <c r="A142" s="18" t="s">
        <v>430</v>
      </c>
      <c r="B142" s="18">
        <v>0</v>
      </c>
      <c r="C142" s="18">
        <v>0</v>
      </c>
      <c r="D142" s="18">
        <v>1</v>
      </c>
      <c r="E142" s="18">
        <v>3</v>
      </c>
      <c r="F142" s="18">
        <v>2</v>
      </c>
      <c r="G142" s="18">
        <v>0</v>
      </c>
      <c r="H142" s="18">
        <v>6</v>
      </c>
    </row>
    <row r="143" spans="1:8" x14ac:dyDescent="0.3">
      <c r="A143" s="18" t="s">
        <v>678</v>
      </c>
      <c r="B143" s="18">
        <v>113</v>
      </c>
      <c r="C143" s="18">
        <v>61</v>
      </c>
      <c r="D143" s="18">
        <v>36</v>
      </c>
      <c r="E143" s="18">
        <v>24</v>
      </c>
      <c r="F143" s="18">
        <v>12</v>
      </c>
      <c r="G143" s="18">
        <v>18</v>
      </c>
      <c r="H143" s="18">
        <v>264</v>
      </c>
    </row>
    <row r="144" spans="1:8" x14ac:dyDescent="0.3">
      <c r="A144" s="18" t="s">
        <v>532</v>
      </c>
      <c r="B144" s="18"/>
      <c r="C144" s="18"/>
      <c r="D144" s="18"/>
      <c r="E144" s="18"/>
      <c r="F144" s="18"/>
      <c r="G144" s="18"/>
      <c r="H144" s="18"/>
    </row>
    <row r="145" spans="1:8" x14ac:dyDescent="0.3">
      <c r="A145" s="18" t="s">
        <v>22</v>
      </c>
      <c r="B145" s="18">
        <v>0</v>
      </c>
      <c r="C145" s="18">
        <v>4</v>
      </c>
      <c r="D145" s="18">
        <v>9</v>
      </c>
      <c r="E145" s="18">
        <v>14</v>
      </c>
      <c r="F145" s="18">
        <v>3</v>
      </c>
      <c r="G145" s="18">
        <v>0</v>
      </c>
      <c r="H145" s="18">
        <v>30</v>
      </c>
    </row>
    <row r="146" spans="1:8" x14ac:dyDescent="0.3">
      <c r="A146" s="18" t="s">
        <v>16</v>
      </c>
      <c r="B146" s="18">
        <v>6</v>
      </c>
      <c r="C146" s="18">
        <v>7</v>
      </c>
      <c r="D146" s="18">
        <v>4</v>
      </c>
      <c r="E146" s="18">
        <v>2</v>
      </c>
      <c r="F146" s="18">
        <v>0</v>
      </c>
      <c r="G146" s="18">
        <v>0</v>
      </c>
      <c r="H146" s="18">
        <v>19</v>
      </c>
    </row>
    <row r="147" spans="1:8" x14ac:dyDescent="0.3">
      <c r="A147" s="18" t="s">
        <v>235</v>
      </c>
      <c r="B147" s="18">
        <v>4</v>
      </c>
      <c r="C147" s="18">
        <v>10</v>
      </c>
      <c r="D147" s="18">
        <v>0</v>
      </c>
      <c r="E147" s="18">
        <v>0</v>
      </c>
      <c r="F147" s="18">
        <v>0</v>
      </c>
      <c r="G147" s="18">
        <v>1</v>
      </c>
      <c r="H147" s="18">
        <v>15</v>
      </c>
    </row>
    <row r="148" spans="1:8" x14ac:dyDescent="0.3">
      <c r="A148" s="18" t="s">
        <v>187</v>
      </c>
      <c r="B148" s="18">
        <v>1</v>
      </c>
      <c r="C148" s="18">
        <v>0</v>
      </c>
      <c r="D148" s="18">
        <v>0</v>
      </c>
      <c r="E148" s="18">
        <v>1</v>
      </c>
      <c r="F148" s="18">
        <v>0</v>
      </c>
      <c r="G148" s="18">
        <v>1</v>
      </c>
      <c r="H148" s="18">
        <v>3</v>
      </c>
    </row>
    <row r="149" spans="1:8" x14ac:dyDescent="0.3">
      <c r="A149" s="18" t="s">
        <v>64</v>
      </c>
      <c r="B149" s="18">
        <v>21</v>
      </c>
      <c r="C149" s="18">
        <v>6</v>
      </c>
      <c r="D149" s="18">
        <v>5</v>
      </c>
      <c r="E149" s="18">
        <v>1</v>
      </c>
      <c r="F149" s="18">
        <v>0</v>
      </c>
      <c r="G149" s="18">
        <v>3</v>
      </c>
      <c r="H149" s="18">
        <v>36</v>
      </c>
    </row>
    <row r="150" spans="1:8" x14ac:dyDescent="0.3">
      <c r="A150" s="18" t="s">
        <v>24</v>
      </c>
      <c r="B150" s="18">
        <v>1</v>
      </c>
      <c r="C150" s="18">
        <v>0</v>
      </c>
      <c r="D150" s="18">
        <v>1</v>
      </c>
      <c r="E150" s="18">
        <v>0</v>
      </c>
      <c r="F150" s="18">
        <v>0</v>
      </c>
      <c r="G150" s="18">
        <v>0</v>
      </c>
      <c r="H150" s="18">
        <v>2</v>
      </c>
    </row>
    <row r="151" spans="1:8" x14ac:dyDescent="0.3">
      <c r="A151" s="18" t="s">
        <v>117</v>
      </c>
      <c r="B151" s="18">
        <v>2</v>
      </c>
      <c r="C151" s="18">
        <v>4</v>
      </c>
      <c r="D151" s="18">
        <v>0</v>
      </c>
      <c r="E151" s="18">
        <v>0</v>
      </c>
      <c r="F151" s="18">
        <v>0</v>
      </c>
      <c r="G151" s="18">
        <v>0</v>
      </c>
      <c r="H151" s="18">
        <v>6</v>
      </c>
    </row>
    <row r="152" spans="1:8" x14ac:dyDescent="0.3">
      <c r="A152" s="18" t="s">
        <v>20</v>
      </c>
      <c r="B152" s="18">
        <v>0</v>
      </c>
      <c r="C152" s="18">
        <v>0</v>
      </c>
      <c r="D152" s="18">
        <v>0</v>
      </c>
      <c r="E152" s="18">
        <v>0</v>
      </c>
      <c r="F152" s="18">
        <v>0</v>
      </c>
      <c r="G152" s="18">
        <v>1</v>
      </c>
      <c r="H152" s="18">
        <v>1</v>
      </c>
    </row>
    <row r="153" spans="1:8" x14ac:dyDescent="0.3">
      <c r="A153" s="18" t="s">
        <v>123</v>
      </c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8</v>
      </c>
      <c r="H153" s="18">
        <v>8</v>
      </c>
    </row>
    <row r="154" spans="1:8" x14ac:dyDescent="0.3">
      <c r="A154" s="18" t="s">
        <v>180</v>
      </c>
      <c r="B154" s="18">
        <v>0</v>
      </c>
      <c r="C154" s="18">
        <v>1</v>
      </c>
      <c r="D154" s="18">
        <v>0</v>
      </c>
      <c r="E154" s="18">
        <v>0</v>
      </c>
      <c r="F154" s="18">
        <v>0</v>
      </c>
      <c r="G154" s="18">
        <v>0</v>
      </c>
      <c r="H154" s="18">
        <v>1</v>
      </c>
    </row>
    <row r="155" spans="1:8" x14ac:dyDescent="0.3">
      <c r="A155" s="18" t="s">
        <v>415</v>
      </c>
      <c r="B155" s="18">
        <v>6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6</v>
      </c>
    </row>
    <row r="156" spans="1:8" x14ac:dyDescent="0.3">
      <c r="A156" s="18" t="s">
        <v>430</v>
      </c>
      <c r="B156" s="18">
        <v>3</v>
      </c>
      <c r="C156" s="18">
        <v>11</v>
      </c>
      <c r="D156" s="18">
        <v>41</v>
      </c>
      <c r="E156" s="18">
        <v>25</v>
      </c>
      <c r="F156" s="18">
        <v>1</v>
      </c>
      <c r="G156" s="18">
        <v>0</v>
      </c>
      <c r="H156" s="18">
        <v>81</v>
      </c>
    </row>
    <row r="157" spans="1:8" x14ac:dyDescent="0.3">
      <c r="A157" s="18" t="s">
        <v>543</v>
      </c>
      <c r="B157" s="18">
        <v>0</v>
      </c>
      <c r="C157" s="18">
        <v>0</v>
      </c>
      <c r="D157" s="18">
        <v>0</v>
      </c>
      <c r="E157" s="18">
        <v>1</v>
      </c>
      <c r="F157" s="18">
        <v>0</v>
      </c>
      <c r="G157" s="18">
        <v>0</v>
      </c>
      <c r="H157" s="18">
        <v>1</v>
      </c>
    </row>
    <row r="158" spans="1:8" x14ac:dyDescent="0.3">
      <c r="A158" s="18" t="s">
        <v>545</v>
      </c>
      <c r="B158" s="18">
        <v>1</v>
      </c>
      <c r="C158" s="18">
        <v>2</v>
      </c>
      <c r="D158" s="18">
        <v>3</v>
      </c>
      <c r="E158" s="18">
        <v>0</v>
      </c>
      <c r="F158" s="18">
        <v>0</v>
      </c>
      <c r="G158" s="18">
        <v>0</v>
      </c>
      <c r="H158" s="18">
        <v>6</v>
      </c>
    </row>
    <row r="159" spans="1:8" x14ac:dyDescent="0.3">
      <c r="A159" s="18" t="s">
        <v>679</v>
      </c>
      <c r="B159" s="18">
        <v>45</v>
      </c>
      <c r="C159" s="18">
        <v>45</v>
      </c>
      <c r="D159" s="18">
        <v>63</v>
      </c>
      <c r="E159" s="18">
        <v>44</v>
      </c>
      <c r="F159" s="18">
        <v>4</v>
      </c>
      <c r="G159" s="18">
        <v>14</v>
      </c>
      <c r="H159" s="18">
        <v>215</v>
      </c>
    </row>
    <row r="160" spans="1:8" x14ac:dyDescent="0.3">
      <c r="A160" s="18" t="s">
        <v>667</v>
      </c>
      <c r="B160" s="18">
        <v>1396</v>
      </c>
      <c r="C160" s="18">
        <v>691</v>
      </c>
      <c r="D160" s="18">
        <v>477</v>
      </c>
      <c r="E160" s="18">
        <v>331</v>
      </c>
      <c r="F160" s="18">
        <v>96</v>
      </c>
      <c r="G160" s="18">
        <v>194</v>
      </c>
      <c r="H160" s="18">
        <v>3185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3288-101E-49B8-8911-4B3F97D9E932}">
  <dimension ref="A1:AC9"/>
  <sheetViews>
    <sheetView topLeftCell="A2" workbookViewId="0">
      <selection activeCell="H13" sqref="H13"/>
    </sheetView>
  </sheetViews>
  <sheetFormatPr defaultRowHeight="14.4" x14ac:dyDescent="0.3"/>
  <cols>
    <col min="1" max="1" width="17.88671875" bestFit="1" customWidth="1"/>
    <col min="2" max="2" width="9.21875" bestFit="1" customWidth="1"/>
    <col min="3" max="3" width="7.33203125" bestFit="1" customWidth="1"/>
    <col min="4" max="4" width="8.109375" bestFit="1" customWidth="1"/>
    <col min="5" max="5" width="7.6640625" bestFit="1" customWidth="1"/>
    <col min="6" max="6" width="7.88671875" bestFit="1" customWidth="1"/>
    <col min="7" max="7" width="7.6640625" bestFit="1" customWidth="1"/>
    <col min="8" max="8" width="7.21875" bestFit="1" customWidth="1"/>
    <col min="9" max="9" width="7.6640625" bestFit="1" customWidth="1"/>
    <col min="10" max="10" width="7.88671875" bestFit="1" customWidth="1"/>
    <col min="11" max="11" width="7" bestFit="1" customWidth="1"/>
    <col min="12" max="12" width="7.33203125" bestFit="1" customWidth="1"/>
    <col min="13" max="13" width="6.77734375" bestFit="1" customWidth="1"/>
    <col min="14" max="14" width="8.5546875" bestFit="1" customWidth="1"/>
    <col min="15" max="16" width="7" bestFit="1" customWidth="1"/>
    <col min="17" max="17" width="7.44140625" bestFit="1" customWidth="1"/>
    <col min="18" max="18" width="7.77734375" bestFit="1" customWidth="1"/>
    <col min="19" max="19" width="9" bestFit="1" customWidth="1"/>
    <col min="20" max="20" width="8.21875" bestFit="1" customWidth="1"/>
    <col min="21" max="21" width="7" bestFit="1" customWidth="1"/>
    <col min="22" max="22" width="7.21875" bestFit="1" customWidth="1"/>
    <col min="23" max="23" width="7.44140625" bestFit="1" customWidth="1"/>
    <col min="24" max="24" width="7.77734375" bestFit="1" customWidth="1"/>
    <col min="25" max="25" width="7.21875" bestFit="1" customWidth="1"/>
    <col min="26" max="26" width="7" bestFit="1" customWidth="1"/>
    <col min="27" max="27" width="8.6640625" bestFit="1" customWidth="1"/>
    <col min="28" max="28" width="7.88671875" bestFit="1" customWidth="1"/>
    <col min="29" max="29" width="10.5546875" bestFit="1" customWidth="1"/>
    <col min="30" max="30" width="8.5546875" bestFit="1" customWidth="1"/>
    <col min="31" max="31" width="11.44140625" bestFit="1" customWidth="1"/>
  </cols>
  <sheetData>
    <row r="1" spans="1:29" x14ac:dyDescent="0.3">
      <c r="A1" s="7" t="s">
        <v>4</v>
      </c>
      <c r="B1" t="s">
        <v>657</v>
      </c>
    </row>
    <row r="3" spans="1:29" x14ac:dyDescent="0.3">
      <c r="A3" s="7" t="s">
        <v>680</v>
      </c>
      <c r="B3" s="7" t="s">
        <v>2</v>
      </c>
    </row>
    <row r="4" spans="1:29" x14ac:dyDescent="0.3">
      <c r="A4" s="7" t="s">
        <v>0</v>
      </c>
      <c r="B4" t="s">
        <v>22</v>
      </c>
      <c r="C4" t="s">
        <v>16</v>
      </c>
      <c r="D4" t="s">
        <v>124</v>
      </c>
      <c r="E4" t="s">
        <v>235</v>
      </c>
      <c r="F4" t="s">
        <v>187</v>
      </c>
      <c r="G4" t="s">
        <v>127</v>
      </c>
      <c r="H4" t="s">
        <v>216</v>
      </c>
      <c r="I4" t="s">
        <v>64</v>
      </c>
      <c r="J4" t="s">
        <v>185</v>
      </c>
      <c r="K4" t="s">
        <v>312</v>
      </c>
      <c r="L4" t="s">
        <v>189</v>
      </c>
      <c r="M4" t="s">
        <v>24</v>
      </c>
      <c r="N4" t="s">
        <v>55</v>
      </c>
      <c r="O4" t="s">
        <v>59</v>
      </c>
      <c r="P4" t="s">
        <v>117</v>
      </c>
      <c r="Q4" t="s">
        <v>20</v>
      </c>
      <c r="R4" t="s">
        <v>129</v>
      </c>
      <c r="S4" t="s">
        <v>118</v>
      </c>
      <c r="T4" t="s">
        <v>123</v>
      </c>
      <c r="U4" t="s">
        <v>29</v>
      </c>
      <c r="V4" t="s">
        <v>180</v>
      </c>
      <c r="W4" t="s">
        <v>415</v>
      </c>
      <c r="X4" t="s">
        <v>430</v>
      </c>
      <c r="Y4" t="s">
        <v>513</v>
      </c>
      <c r="Z4" t="s">
        <v>543</v>
      </c>
      <c r="AA4" t="s">
        <v>545</v>
      </c>
      <c r="AB4" t="s">
        <v>572</v>
      </c>
      <c r="AC4" t="s">
        <v>667</v>
      </c>
    </row>
    <row r="5" spans="1:29" x14ac:dyDescent="0.3">
      <c r="A5" s="8" t="s">
        <v>179</v>
      </c>
      <c r="B5">
        <v>2</v>
      </c>
      <c r="C5">
        <v>466</v>
      </c>
      <c r="D5">
        <v>0</v>
      </c>
      <c r="E5">
        <v>1</v>
      </c>
      <c r="F5">
        <v>2</v>
      </c>
      <c r="G5">
        <v>0</v>
      </c>
      <c r="H5">
        <v>0</v>
      </c>
      <c r="I5">
        <v>187</v>
      </c>
      <c r="J5">
        <v>1</v>
      </c>
      <c r="K5">
        <v>0</v>
      </c>
      <c r="L5">
        <v>6</v>
      </c>
      <c r="M5">
        <v>173</v>
      </c>
      <c r="N5">
        <v>12</v>
      </c>
      <c r="O5">
        <v>1</v>
      </c>
      <c r="P5">
        <v>1</v>
      </c>
      <c r="Q5">
        <v>5</v>
      </c>
      <c r="R5">
        <v>0</v>
      </c>
      <c r="S5">
        <v>0</v>
      </c>
      <c r="T5">
        <v>1</v>
      </c>
      <c r="U5">
        <v>0</v>
      </c>
      <c r="V5">
        <v>6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865</v>
      </c>
    </row>
    <row r="6" spans="1:29" x14ac:dyDescent="0.3">
      <c r="A6" s="8" t="s">
        <v>429</v>
      </c>
      <c r="B6">
        <v>60</v>
      </c>
      <c r="C6">
        <v>77</v>
      </c>
      <c r="D6">
        <v>0</v>
      </c>
      <c r="E6">
        <v>18</v>
      </c>
      <c r="F6">
        <v>7</v>
      </c>
      <c r="G6">
        <v>0</v>
      </c>
      <c r="H6">
        <v>2</v>
      </c>
      <c r="I6">
        <v>172</v>
      </c>
      <c r="J6">
        <v>0</v>
      </c>
      <c r="K6">
        <v>0</v>
      </c>
      <c r="L6">
        <v>0</v>
      </c>
      <c r="M6">
        <v>11</v>
      </c>
      <c r="N6">
        <v>7</v>
      </c>
      <c r="O6">
        <v>3</v>
      </c>
      <c r="P6">
        <v>9</v>
      </c>
      <c r="Q6">
        <v>7</v>
      </c>
      <c r="R6">
        <v>0</v>
      </c>
      <c r="S6">
        <v>5</v>
      </c>
      <c r="T6">
        <v>15</v>
      </c>
      <c r="U6">
        <v>0</v>
      </c>
      <c r="V6">
        <v>2</v>
      </c>
      <c r="W6">
        <v>7</v>
      </c>
      <c r="X6">
        <v>290</v>
      </c>
      <c r="Y6">
        <v>2</v>
      </c>
      <c r="Z6">
        <v>1</v>
      </c>
      <c r="AA6">
        <v>6</v>
      </c>
      <c r="AB6">
        <v>0</v>
      </c>
      <c r="AC6">
        <v>701</v>
      </c>
    </row>
    <row r="7" spans="1:29" x14ac:dyDescent="0.3">
      <c r="A7" s="8" t="s">
        <v>19</v>
      </c>
      <c r="B7">
        <v>124</v>
      </c>
      <c r="C7">
        <v>554</v>
      </c>
      <c r="D7">
        <v>0</v>
      </c>
      <c r="E7">
        <v>2</v>
      </c>
      <c r="F7">
        <v>0</v>
      </c>
      <c r="G7">
        <v>0</v>
      </c>
      <c r="H7">
        <v>2</v>
      </c>
      <c r="I7">
        <v>50</v>
      </c>
      <c r="J7">
        <v>3</v>
      </c>
      <c r="K7">
        <v>2</v>
      </c>
      <c r="L7">
        <v>0</v>
      </c>
      <c r="M7">
        <v>64</v>
      </c>
      <c r="N7">
        <v>9</v>
      </c>
      <c r="O7">
        <v>7</v>
      </c>
      <c r="P7">
        <v>1</v>
      </c>
      <c r="Q7">
        <v>10</v>
      </c>
      <c r="R7">
        <v>0</v>
      </c>
      <c r="S7">
        <v>0</v>
      </c>
      <c r="T7">
        <v>15</v>
      </c>
      <c r="U7">
        <v>15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858</v>
      </c>
    </row>
    <row r="8" spans="1:29" x14ac:dyDescent="0.3">
      <c r="A8" s="8" t="s">
        <v>115</v>
      </c>
      <c r="B8">
        <v>79</v>
      </c>
      <c r="C8">
        <v>495</v>
      </c>
      <c r="D8">
        <v>9</v>
      </c>
      <c r="E8">
        <v>1</v>
      </c>
      <c r="F8">
        <v>2</v>
      </c>
      <c r="G8">
        <v>1</v>
      </c>
      <c r="H8">
        <v>1</v>
      </c>
      <c r="I8">
        <v>74</v>
      </c>
      <c r="J8">
        <v>0</v>
      </c>
      <c r="K8">
        <v>0</v>
      </c>
      <c r="L8">
        <v>0</v>
      </c>
      <c r="M8">
        <v>0</v>
      </c>
      <c r="N8">
        <v>2</v>
      </c>
      <c r="O8">
        <v>2</v>
      </c>
      <c r="P8">
        <v>18</v>
      </c>
      <c r="Q8">
        <v>13</v>
      </c>
      <c r="R8">
        <v>9</v>
      </c>
      <c r="S8">
        <v>6</v>
      </c>
      <c r="T8">
        <v>24</v>
      </c>
      <c r="U8">
        <v>2</v>
      </c>
      <c r="V8">
        <v>1</v>
      </c>
      <c r="W8">
        <v>0</v>
      </c>
      <c r="X8">
        <v>6</v>
      </c>
      <c r="Y8">
        <v>0</v>
      </c>
      <c r="Z8">
        <v>0</v>
      </c>
      <c r="AA8">
        <v>0</v>
      </c>
      <c r="AB8">
        <v>16</v>
      </c>
      <c r="AC8">
        <v>761</v>
      </c>
    </row>
    <row r="9" spans="1:29" x14ac:dyDescent="0.3">
      <c r="A9" s="8" t="s">
        <v>667</v>
      </c>
      <c r="B9">
        <v>265</v>
      </c>
      <c r="C9">
        <v>1592</v>
      </c>
      <c r="D9">
        <v>9</v>
      </c>
      <c r="E9">
        <v>22</v>
      </c>
      <c r="F9">
        <v>11</v>
      </c>
      <c r="G9">
        <v>1</v>
      </c>
      <c r="H9">
        <v>5</v>
      </c>
      <c r="I9">
        <v>483</v>
      </c>
      <c r="J9">
        <v>4</v>
      </c>
      <c r="K9">
        <v>2</v>
      </c>
      <c r="L9">
        <v>6</v>
      </c>
      <c r="M9">
        <v>248</v>
      </c>
      <c r="N9">
        <v>30</v>
      </c>
      <c r="O9">
        <v>13</v>
      </c>
      <c r="P9">
        <v>29</v>
      </c>
      <c r="Q9">
        <v>35</v>
      </c>
      <c r="R9">
        <v>9</v>
      </c>
      <c r="S9">
        <v>11</v>
      </c>
      <c r="T9">
        <v>55</v>
      </c>
      <c r="U9">
        <v>17</v>
      </c>
      <c r="V9">
        <v>9</v>
      </c>
      <c r="W9">
        <v>8</v>
      </c>
      <c r="X9">
        <v>296</v>
      </c>
      <c r="Y9">
        <v>2</v>
      </c>
      <c r="Z9">
        <v>1</v>
      </c>
      <c r="AA9">
        <v>6</v>
      </c>
      <c r="AB9">
        <v>16</v>
      </c>
      <c r="AC9">
        <v>3185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0CD7-7EC4-47D0-B333-A3A353E3BBD5}">
  <sheetPr>
    <pageSetUpPr fitToPage="1"/>
  </sheetPr>
  <dimension ref="A1:M80"/>
  <sheetViews>
    <sheetView tabSelected="1" workbookViewId="0">
      <selection activeCell="A11" sqref="A11:XFD11"/>
    </sheetView>
  </sheetViews>
  <sheetFormatPr defaultRowHeight="14.4" x14ac:dyDescent="0.3"/>
  <cols>
    <col min="1" max="1" width="23.109375" bestFit="1" customWidth="1"/>
    <col min="2" max="2" width="15.44140625" bestFit="1" customWidth="1"/>
    <col min="3" max="3" width="8.21875" bestFit="1" customWidth="1"/>
    <col min="4" max="6" width="7.6640625" bestFit="1" customWidth="1"/>
    <col min="7" max="7" width="4" bestFit="1" customWidth="1"/>
    <col min="8" max="8" width="10.77734375" bestFit="1" customWidth="1"/>
    <col min="9" max="9" width="11.6640625" bestFit="1" customWidth="1"/>
    <col min="10" max="10" width="10.6640625" bestFit="1" customWidth="1"/>
    <col min="11" max="11" width="11.6640625" bestFit="1" customWidth="1"/>
    <col min="13" max="13" width="11.44140625" bestFit="1" customWidth="1"/>
    <col min="14" max="14" width="9.33203125" bestFit="1" customWidth="1"/>
    <col min="17" max="17" width="10" customWidth="1"/>
    <col min="18" max="18" width="9.33203125" bestFit="1" customWidth="1"/>
  </cols>
  <sheetData>
    <row r="1" spans="1:8" x14ac:dyDescent="0.3">
      <c r="A1" s="20" t="s">
        <v>4</v>
      </c>
      <c r="B1" s="18" t="s">
        <v>657</v>
      </c>
    </row>
    <row r="3" spans="1:8" x14ac:dyDescent="0.3">
      <c r="A3" s="20" t="s">
        <v>658</v>
      </c>
      <c r="B3" s="20" t="s">
        <v>659</v>
      </c>
      <c r="C3" s="18"/>
      <c r="D3" s="18"/>
      <c r="E3" s="18"/>
      <c r="F3" s="18"/>
      <c r="G3" s="18"/>
      <c r="H3" s="18"/>
    </row>
    <row r="4" spans="1:8" ht="14.4" customHeight="1" x14ac:dyDescent="0.3">
      <c r="A4" s="20" t="s">
        <v>660</v>
      </c>
      <c r="B4" s="18" t="s">
        <v>661</v>
      </c>
      <c r="C4" s="18" t="s">
        <v>662</v>
      </c>
      <c r="D4" s="18" t="s">
        <v>663</v>
      </c>
      <c r="E4" s="18" t="s">
        <v>664</v>
      </c>
      <c r="F4" s="18" t="s">
        <v>665</v>
      </c>
      <c r="G4" s="18" t="s">
        <v>666</v>
      </c>
      <c r="H4" s="18" t="s">
        <v>667</v>
      </c>
    </row>
    <row r="5" spans="1:8" x14ac:dyDescent="0.3">
      <c r="A5" s="18" t="s">
        <v>179</v>
      </c>
      <c r="B5" s="18"/>
      <c r="C5" s="18"/>
      <c r="D5" s="18"/>
      <c r="E5" s="18"/>
      <c r="F5" s="18"/>
      <c r="G5" s="18"/>
      <c r="H5" s="18"/>
    </row>
    <row r="6" spans="1:8" s="37" customFormat="1" x14ac:dyDescent="0.3">
      <c r="A6" s="36" t="s">
        <v>22</v>
      </c>
      <c r="B6" s="36">
        <v>0</v>
      </c>
      <c r="C6" s="36">
        <v>0</v>
      </c>
      <c r="D6" s="36">
        <v>0</v>
      </c>
      <c r="E6" s="36">
        <v>0</v>
      </c>
      <c r="F6" s="36">
        <v>0</v>
      </c>
      <c r="G6" s="36">
        <v>2</v>
      </c>
      <c r="H6" s="36">
        <v>2</v>
      </c>
    </row>
    <row r="7" spans="1:8" s="21" customFormat="1" x14ac:dyDescent="0.3">
      <c r="A7" s="31" t="s">
        <v>16</v>
      </c>
      <c r="B7" s="31">
        <v>185</v>
      </c>
      <c r="C7" s="31">
        <v>145</v>
      </c>
      <c r="D7" s="31">
        <v>88</v>
      </c>
      <c r="E7" s="31">
        <v>33</v>
      </c>
      <c r="F7" s="31">
        <v>7</v>
      </c>
      <c r="G7" s="31">
        <v>8</v>
      </c>
      <c r="H7" s="31">
        <v>466</v>
      </c>
    </row>
    <row r="8" spans="1:8" x14ac:dyDescent="0.3">
      <c r="A8" s="18" t="s">
        <v>235</v>
      </c>
      <c r="B8" s="18">
        <v>0</v>
      </c>
      <c r="C8" s="18">
        <v>1</v>
      </c>
      <c r="D8" s="18">
        <v>0</v>
      </c>
      <c r="E8" s="18">
        <v>0</v>
      </c>
      <c r="F8" s="18">
        <v>0</v>
      </c>
      <c r="G8" s="18">
        <v>0</v>
      </c>
      <c r="H8" s="18">
        <v>1</v>
      </c>
    </row>
    <row r="9" spans="1:8" s="37" customFormat="1" x14ac:dyDescent="0.3">
      <c r="A9" s="36" t="s">
        <v>187</v>
      </c>
      <c r="B9" s="36">
        <v>0</v>
      </c>
      <c r="C9" s="36">
        <v>0</v>
      </c>
      <c r="D9" s="36">
        <v>0</v>
      </c>
      <c r="E9" s="36">
        <v>0</v>
      </c>
      <c r="F9" s="36">
        <v>0</v>
      </c>
      <c r="G9" s="36">
        <v>2</v>
      </c>
      <c r="H9" s="36">
        <v>2</v>
      </c>
    </row>
    <row r="10" spans="1:8" s="21" customFormat="1" x14ac:dyDescent="0.3">
      <c r="A10" s="31" t="s">
        <v>64</v>
      </c>
      <c r="B10" s="31">
        <v>94</v>
      </c>
      <c r="C10" s="31">
        <v>51</v>
      </c>
      <c r="D10" s="31">
        <v>18</v>
      </c>
      <c r="E10" s="31">
        <v>6</v>
      </c>
      <c r="F10" s="31">
        <v>4</v>
      </c>
      <c r="G10" s="31">
        <v>14</v>
      </c>
      <c r="H10" s="31">
        <v>187</v>
      </c>
    </row>
    <row r="11" spans="1:8" x14ac:dyDescent="0.3">
      <c r="A11" s="18" t="s">
        <v>185</v>
      </c>
      <c r="B11" s="18">
        <v>1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1</v>
      </c>
    </row>
    <row r="12" spans="1:8" x14ac:dyDescent="0.3">
      <c r="A12" s="18" t="s">
        <v>189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6</v>
      </c>
      <c r="H12" s="18">
        <v>6</v>
      </c>
    </row>
    <row r="13" spans="1:8" s="33" customFormat="1" x14ac:dyDescent="0.3">
      <c r="A13" s="32" t="s">
        <v>24</v>
      </c>
      <c r="B13" s="32">
        <v>164</v>
      </c>
      <c r="C13" s="32">
        <v>0</v>
      </c>
      <c r="D13" s="32">
        <v>0</v>
      </c>
      <c r="E13" s="32">
        <v>4</v>
      </c>
      <c r="F13" s="32">
        <v>0</v>
      </c>
      <c r="G13" s="32">
        <v>5</v>
      </c>
      <c r="H13" s="32">
        <v>173</v>
      </c>
    </row>
    <row r="14" spans="1:8" s="35" customFormat="1" x14ac:dyDescent="0.3">
      <c r="A14" s="34" t="s">
        <v>55</v>
      </c>
      <c r="B14" s="34">
        <v>6</v>
      </c>
      <c r="C14" s="34">
        <v>1</v>
      </c>
      <c r="D14" s="34">
        <v>3</v>
      </c>
      <c r="E14" s="34">
        <v>2</v>
      </c>
      <c r="F14" s="34">
        <v>0</v>
      </c>
      <c r="G14" s="34">
        <v>0</v>
      </c>
      <c r="H14" s="34">
        <v>12</v>
      </c>
    </row>
    <row r="15" spans="1:8" x14ac:dyDescent="0.3">
      <c r="A15" s="18" t="s">
        <v>59</v>
      </c>
      <c r="B15" s="18">
        <v>0</v>
      </c>
      <c r="C15" s="18">
        <v>1</v>
      </c>
      <c r="D15" s="18">
        <v>0</v>
      </c>
      <c r="E15" s="18">
        <v>0</v>
      </c>
      <c r="F15" s="18">
        <v>0</v>
      </c>
      <c r="G15" s="18">
        <v>0</v>
      </c>
      <c r="H15" s="18">
        <v>1</v>
      </c>
    </row>
    <row r="16" spans="1:8" x14ac:dyDescent="0.3">
      <c r="A16" s="18" t="s">
        <v>117</v>
      </c>
      <c r="B16" s="18">
        <v>1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1</v>
      </c>
    </row>
    <row r="17" spans="1:13" x14ac:dyDescent="0.3">
      <c r="A17" s="18" t="s">
        <v>20</v>
      </c>
      <c r="B17" s="18">
        <v>0</v>
      </c>
      <c r="C17" s="18">
        <v>1</v>
      </c>
      <c r="D17" s="18">
        <v>1</v>
      </c>
      <c r="E17" s="18">
        <v>0</v>
      </c>
      <c r="F17" s="18">
        <v>0</v>
      </c>
      <c r="G17" s="18">
        <v>3</v>
      </c>
      <c r="H17" s="18">
        <v>5</v>
      </c>
    </row>
    <row r="18" spans="1:13" s="37" customFormat="1" x14ac:dyDescent="0.3">
      <c r="A18" s="36" t="s">
        <v>123</v>
      </c>
      <c r="B18" s="36">
        <v>0</v>
      </c>
      <c r="C18" s="36">
        <v>0</v>
      </c>
      <c r="D18" s="36">
        <v>0</v>
      </c>
      <c r="E18" s="36">
        <v>0</v>
      </c>
      <c r="F18" s="36">
        <v>0</v>
      </c>
      <c r="G18" s="36">
        <v>1</v>
      </c>
      <c r="H18" s="36">
        <v>1</v>
      </c>
    </row>
    <row r="19" spans="1:13" x14ac:dyDescent="0.3">
      <c r="A19" s="18" t="s">
        <v>180</v>
      </c>
      <c r="B19" s="18">
        <v>0</v>
      </c>
      <c r="C19" s="18">
        <v>0</v>
      </c>
      <c r="D19" s="18">
        <v>4</v>
      </c>
      <c r="E19" s="18">
        <v>0</v>
      </c>
      <c r="F19" s="18">
        <v>1</v>
      </c>
      <c r="G19" s="18">
        <v>1</v>
      </c>
      <c r="H19" s="18">
        <v>6</v>
      </c>
    </row>
    <row r="20" spans="1:13" x14ac:dyDescent="0.3">
      <c r="A20" s="18" t="s">
        <v>415</v>
      </c>
      <c r="B20" s="18">
        <v>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1</v>
      </c>
    </row>
    <row r="21" spans="1:13" x14ac:dyDescent="0.3">
      <c r="A21" s="18" t="s">
        <v>681</v>
      </c>
      <c r="B21" s="18">
        <v>452</v>
      </c>
      <c r="C21" s="18">
        <v>200</v>
      </c>
      <c r="D21" s="18">
        <v>114</v>
      </c>
      <c r="E21" s="18">
        <v>45</v>
      </c>
      <c r="F21" s="18">
        <v>12</v>
      </c>
      <c r="G21" s="18">
        <v>42</v>
      </c>
      <c r="H21" s="18">
        <v>865</v>
      </c>
      <c r="M21" s="23"/>
    </row>
    <row r="22" spans="1:13" x14ac:dyDescent="0.3">
      <c r="A22" s="18" t="s">
        <v>429</v>
      </c>
      <c r="B22" s="18"/>
      <c r="C22" s="18"/>
      <c r="D22" s="18"/>
      <c r="E22" s="18"/>
      <c r="F22" s="18"/>
      <c r="G22" s="18"/>
      <c r="H22" s="18"/>
    </row>
    <row r="23" spans="1:13" x14ac:dyDescent="0.3">
      <c r="A23" s="18" t="s">
        <v>22</v>
      </c>
      <c r="B23" s="18">
        <v>2</v>
      </c>
      <c r="C23" s="18">
        <v>11</v>
      </c>
      <c r="D23" s="18">
        <v>16</v>
      </c>
      <c r="E23" s="18">
        <v>23</v>
      </c>
      <c r="F23" s="18">
        <v>4</v>
      </c>
      <c r="G23" s="18">
        <v>4</v>
      </c>
      <c r="H23" s="18">
        <v>60</v>
      </c>
    </row>
    <row r="24" spans="1:13" x14ac:dyDescent="0.3">
      <c r="A24" s="18" t="s">
        <v>16</v>
      </c>
      <c r="B24" s="18">
        <v>26</v>
      </c>
      <c r="C24" s="18">
        <v>24</v>
      </c>
      <c r="D24" s="18">
        <v>10</v>
      </c>
      <c r="E24" s="18">
        <v>12</v>
      </c>
      <c r="F24" s="18">
        <v>2</v>
      </c>
      <c r="G24" s="18">
        <v>3</v>
      </c>
      <c r="H24" s="18">
        <v>77</v>
      </c>
    </row>
    <row r="25" spans="1:13" x14ac:dyDescent="0.3">
      <c r="A25" s="18" t="s">
        <v>235</v>
      </c>
      <c r="B25" s="18">
        <v>6</v>
      </c>
      <c r="C25" s="18">
        <v>11</v>
      </c>
      <c r="D25" s="18">
        <v>0</v>
      </c>
      <c r="E25" s="18">
        <v>0</v>
      </c>
      <c r="F25" s="18">
        <v>0</v>
      </c>
      <c r="G25" s="18">
        <v>1</v>
      </c>
      <c r="H25" s="18">
        <v>18</v>
      </c>
    </row>
    <row r="26" spans="1:13" x14ac:dyDescent="0.3">
      <c r="A26" s="18" t="s">
        <v>187</v>
      </c>
      <c r="B26" s="18">
        <v>1</v>
      </c>
      <c r="C26" s="18">
        <v>0</v>
      </c>
      <c r="D26" s="18">
        <v>0</v>
      </c>
      <c r="E26" s="18">
        <v>4</v>
      </c>
      <c r="F26" s="18">
        <v>1</v>
      </c>
      <c r="G26" s="18">
        <v>1</v>
      </c>
      <c r="H26" s="18">
        <v>7</v>
      </c>
    </row>
    <row r="27" spans="1:13" x14ac:dyDescent="0.3">
      <c r="A27" s="18" t="s">
        <v>216</v>
      </c>
      <c r="B27" s="18">
        <v>2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2</v>
      </c>
    </row>
    <row r="28" spans="1:13" x14ac:dyDescent="0.3">
      <c r="A28" s="18" t="s">
        <v>64</v>
      </c>
      <c r="B28" s="18">
        <v>101</v>
      </c>
      <c r="C28" s="18">
        <v>46</v>
      </c>
      <c r="D28" s="18">
        <v>14</v>
      </c>
      <c r="E28" s="18">
        <v>3</v>
      </c>
      <c r="F28" s="18">
        <v>2</v>
      </c>
      <c r="G28" s="18">
        <v>6</v>
      </c>
      <c r="H28" s="18">
        <v>172</v>
      </c>
    </row>
    <row r="29" spans="1:13" x14ac:dyDescent="0.3">
      <c r="A29" s="18" t="s">
        <v>24</v>
      </c>
      <c r="B29" s="18">
        <v>2</v>
      </c>
      <c r="C29" s="18">
        <v>0</v>
      </c>
      <c r="D29" s="18">
        <v>4</v>
      </c>
      <c r="E29" s="18">
        <v>2</v>
      </c>
      <c r="F29" s="18">
        <v>0</v>
      </c>
      <c r="G29" s="18">
        <v>3</v>
      </c>
      <c r="H29" s="18">
        <v>11</v>
      </c>
    </row>
    <row r="30" spans="1:13" x14ac:dyDescent="0.3">
      <c r="A30" s="18" t="s">
        <v>55</v>
      </c>
      <c r="B30" s="18">
        <v>1</v>
      </c>
      <c r="C30" s="18">
        <v>0</v>
      </c>
      <c r="D30" s="18">
        <v>1</v>
      </c>
      <c r="E30" s="18">
        <v>4</v>
      </c>
      <c r="F30" s="18">
        <v>1</v>
      </c>
      <c r="G30" s="18">
        <v>0</v>
      </c>
      <c r="H30" s="18">
        <v>7</v>
      </c>
    </row>
    <row r="31" spans="1:13" x14ac:dyDescent="0.3">
      <c r="A31" s="18" t="s">
        <v>59</v>
      </c>
      <c r="B31" s="18">
        <v>1</v>
      </c>
      <c r="C31" s="18">
        <v>0</v>
      </c>
      <c r="D31" s="18">
        <v>0</v>
      </c>
      <c r="E31" s="18">
        <v>1</v>
      </c>
      <c r="F31" s="18">
        <v>0</v>
      </c>
      <c r="G31" s="18">
        <v>1</v>
      </c>
      <c r="H31" s="18">
        <v>3</v>
      </c>
    </row>
    <row r="32" spans="1:13" x14ac:dyDescent="0.3">
      <c r="A32" s="18" t="s">
        <v>117</v>
      </c>
      <c r="B32" s="18">
        <v>4</v>
      </c>
      <c r="C32" s="18">
        <v>5</v>
      </c>
      <c r="D32" s="18">
        <v>0</v>
      </c>
      <c r="E32" s="18">
        <v>0</v>
      </c>
      <c r="F32" s="18">
        <v>0</v>
      </c>
      <c r="G32" s="18">
        <v>0</v>
      </c>
      <c r="H32" s="18">
        <v>9</v>
      </c>
    </row>
    <row r="33" spans="1:8" x14ac:dyDescent="0.3">
      <c r="A33" s="18" t="s">
        <v>20</v>
      </c>
      <c r="B33" s="18">
        <v>1</v>
      </c>
      <c r="C33" s="18">
        <v>0</v>
      </c>
      <c r="D33" s="18">
        <v>0</v>
      </c>
      <c r="E33" s="18">
        <v>0</v>
      </c>
      <c r="F33" s="18">
        <v>0</v>
      </c>
      <c r="G33" s="18">
        <v>6</v>
      </c>
      <c r="H33" s="18">
        <v>7</v>
      </c>
    </row>
    <row r="34" spans="1:8" x14ac:dyDescent="0.3">
      <c r="A34" s="18" t="s">
        <v>118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5</v>
      </c>
      <c r="H34" s="18">
        <v>5</v>
      </c>
    </row>
    <row r="35" spans="1:8" x14ac:dyDescent="0.3">
      <c r="A35" s="18" t="s">
        <v>123</v>
      </c>
      <c r="B35" s="18">
        <v>0</v>
      </c>
      <c r="C35" s="18">
        <v>0</v>
      </c>
      <c r="D35" s="18">
        <v>0</v>
      </c>
      <c r="E35" s="18">
        <v>1</v>
      </c>
      <c r="F35" s="18">
        <v>1</v>
      </c>
      <c r="G35" s="18">
        <v>13</v>
      </c>
      <c r="H35" s="18">
        <v>15</v>
      </c>
    </row>
    <row r="36" spans="1:8" x14ac:dyDescent="0.3">
      <c r="A36" s="18" t="s">
        <v>180</v>
      </c>
      <c r="B36" s="18">
        <v>0</v>
      </c>
      <c r="C36" s="18">
        <v>1</v>
      </c>
      <c r="D36" s="18">
        <v>1</v>
      </c>
      <c r="E36" s="18">
        <v>0</v>
      </c>
      <c r="F36" s="18">
        <v>0</v>
      </c>
      <c r="G36" s="18">
        <v>0</v>
      </c>
      <c r="H36" s="18">
        <v>2</v>
      </c>
    </row>
    <row r="37" spans="1:8" x14ac:dyDescent="0.3">
      <c r="A37" s="18" t="s">
        <v>415</v>
      </c>
      <c r="B37" s="18">
        <v>7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7</v>
      </c>
    </row>
    <row r="38" spans="1:8" x14ac:dyDescent="0.3">
      <c r="A38" s="18" t="s">
        <v>430</v>
      </c>
      <c r="B38" s="18">
        <v>16</v>
      </c>
      <c r="C38" s="18">
        <v>86</v>
      </c>
      <c r="D38" s="18">
        <v>125</v>
      </c>
      <c r="E38" s="18">
        <v>50</v>
      </c>
      <c r="F38" s="18">
        <v>6</v>
      </c>
      <c r="G38" s="18">
        <v>7</v>
      </c>
      <c r="H38" s="18">
        <v>290</v>
      </c>
    </row>
    <row r="39" spans="1:8" x14ac:dyDescent="0.3">
      <c r="A39" s="18" t="s">
        <v>513</v>
      </c>
      <c r="B39" s="18">
        <v>0</v>
      </c>
      <c r="C39" s="18">
        <v>0</v>
      </c>
      <c r="D39" s="18">
        <v>1</v>
      </c>
      <c r="E39" s="18">
        <v>1</v>
      </c>
      <c r="F39" s="18">
        <v>0</v>
      </c>
      <c r="G39" s="18">
        <v>0</v>
      </c>
      <c r="H39" s="18">
        <v>2</v>
      </c>
    </row>
    <row r="40" spans="1:8" x14ac:dyDescent="0.3">
      <c r="A40" s="18" t="s">
        <v>543</v>
      </c>
      <c r="B40" s="18">
        <v>0</v>
      </c>
      <c r="C40" s="18">
        <v>0</v>
      </c>
      <c r="D40" s="18">
        <v>0</v>
      </c>
      <c r="E40" s="18">
        <v>1</v>
      </c>
      <c r="F40" s="18">
        <v>0</v>
      </c>
      <c r="G40" s="18">
        <v>0</v>
      </c>
      <c r="H40" s="18">
        <v>1</v>
      </c>
    </row>
    <row r="41" spans="1:8" x14ac:dyDescent="0.3">
      <c r="A41" s="18" t="s">
        <v>545</v>
      </c>
      <c r="B41" s="18">
        <v>1</v>
      </c>
      <c r="C41" s="18">
        <v>2</v>
      </c>
      <c r="D41" s="18">
        <v>3</v>
      </c>
      <c r="E41" s="18">
        <v>0</v>
      </c>
      <c r="F41" s="18">
        <v>0</v>
      </c>
      <c r="G41" s="18">
        <v>0</v>
      </c>
      <c r="H41" s="18">
        <v>6</v>
      </c>
    </row>
    <row r="42" spans="1:8" x14ac:dyDescent="0.3">
      <c r="A42" s="18" t="s">
        <v>682</v>
      </c>
      <c r="B42" s="18">
        <v>171</v>
      </c>
      <c r="C42" s="18">
        <v>186</v>
      </c>
      <c r="D42" s="18">
        <v>175</v>
      </c>
      <c r="E42" s="18">
        <v>102</v>
      </c>
      <c r="F42" s="18">
        <v>17</v>
      </c>
      <c r="G42" s="18">
        <v>50</v>
      </c>
      <c r="H42" s="18">
        <v>701</v>
      </c>
    </row>
    <row r="43" spans="1:8" x14ac:dyDescent="0.3">
      <c r="A43" s="18" t="s">
        <v>19</v>
      </c>
      <c r="B43" s="18"/>
      <c r="C43" s="18"/>
      <c r="D43" s="18"/>
      <c r="E43" s="18"/>
      <c r="F43" s="18"/>
      <c r="G43" s="18"/>
      <c r="H43" s="18"/>
    </row>
    <row r="44" spans="1:8" x14ac:dyDescent="0.3">
      <c r="A44" s="18" t="s">
        <v>22</v>
      </c>
      <c r="B44" s="18">
        <v>9</v>
      </c>
      <c r="C44" s="18">
        <v>23</v>
      </c>
      <c r="D44" s="18">
        <v>29</v>
      </c>
      <c r="E44" s="18">
        <v>43</v>
      </c>
      <c r="F44" s="18">
        <v>9</v>
      </c>
      <c r="G44" s="18">
        <v>11</v>
      </c>
      <c r="H44" s="18">
        <v>124</v>
      </c>
    </row>
    <row r="45" spans="1:8" x14ac:dyDescent="0.3">
      <c r="A45" s="18" t="s">
        <v>16</v>
      </c>
      <c r="B45" s="18">
        <v>408</v>
      </c>
      <c r="C45" s="18">
        <v>85</v>
      </c>
      <c r="D45" s="18">
        <v>40</v>
      </c>
      <c r="E45" s="18">
        <v>17</v>
      </c>
      <c r="F45" s="18">
        <v>3</v>
      </c>
      <c r="G45" s="18">
        <v>1</v>
      </c>
      <c r="H45" s="18">
        <v>554</v>
      </c>
    </row>
    <row r="46" spans="1:8" x14ac:dyDescent="0.3">
      <c r="A46" s="18" t="s">
        <v>235</v>
      </c>
      <c r="B46" s="18">
        <v>2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2</v>
      </c>
    </row>
    <row r="47" spans="1:8" x14ac:dyDescent="0.3">
      <c r="A47" s="18" t="s">
        <v>216</v>
      </c>
      <c r="B47" s="18">
        <v>0</v>
      </c>
      <c r="C47" s="18">
        <v>1</v>
      </c>
      <c r="D47" s="18">
        <v>1</v>
      </c>
      <c r="E47" s="18">
        <v>0</v>
      </c>
      <c r="F47" s="18">
        <v>0</v>
      </c>
      <c r="G47" s="18">
        <v>0</v>
      </c>
      <c r="H47" s="18">
        <v>2</v>
      </c>
    </row>
    <row r="48" spans="1:8" x14ac:dyDescent="0.3">
      <c r="A48" s="18" t="s">
        <v>64</v>
      </c>
      <c r="B48" s="18">
        <v>29</v>
      </c>
      <c r="C48" s="18">
        <v>11</v>
      </c>
      <c r="D48" s="18">
        <v>4</v>
      </c>
      <c r="E48" s="18">
        <v>3</v>
      </c>
      <c r="F48" s="18">
        <v>2</v>
      </c>
      <c r="G48" s="18">
        <v>1</v>
      </c>
      <c r="H48" s="18">
        <v>50</v>
      </c>
    </row>
    <row r="49" spans="1:8" x14ac:dyDescent="0.3">
      <c r="A49" s="18" t="s">
        <v>185</v>
      </c>
      <c r="B49" s="18">
        <v>2</v>
      </c>
      <c r="C49" s="18">
        <v>0</v>
      </c>
      <c r="D49" s="18">
        <v>1</v>
      </c>
      <c r="E49" s="18">
        <v>0</v>
      </c>
      <c r="F49" s="18">
        <v>0</v>
      </c>
      <c r="G49" s="18">
        <v>0</v>
      </c>
      <c r="H49" s="18">
        <v>3</v>
      </c>
    </row>
    <row r="50" spans="1:8" x14ac:dyDescent="0.3">
      <c r="A50" s="18" t="s">
        <v>24</v>
      </c>
      <c r="B50" s="18">
        <v>0</v>
      </c>
      <c r="C50" s="18">
        <v>0</v>
      </c>
      <c r="D50" s="18">
        <v>1</v>
      </c>
      <c r="E50" s="18">
        <v>21</v>
      </c>
      <c r="F50" s="18">
        <v>18</v>
      </c>
      <c r="G50" s="18">
        <v>24</v>
      </c>
      <c r="H50" s="18">
        <v>64</v>
      </c>
    </row>
    <row r="51" spans="1:8" x14ac:dyDescent="0.3">
      <c r="A51" s="18" t="s">
        <v>55</v>
      </c>
      <c r="B51" s="18">
        <v>1</v>
      </c>
      <c r="C51" s="18">
        <v>0</v>
      </c>
      <c r="D51" s="18">
        <v>0</v>
      </c>
      <c r="E51" s="18">
        <v>1</v>
      </c>
      <c r="F51" s="18">
        <v>2</v>
      </c>
      <c r="G51" s="18">
        <v>5</v>
      </c>
      <c r="H51" s="18">
        <v>9</v>
      </c>
    </row>
    <row r="52" spans="1:8" x14ac:dyDescent="0.3">
      <c r="A52" s="18" t="s">
        <v>59</v>
      </c>
      <c r="B52" s="18">
        <v>0</v>
      </c>
      <c r="C52" s="18">
        <v>1</v>
      </c>
      <c r="D52" s="18">
        <v>1</v>
      </c>
      <c r="E52" s="18">
        <v>5</v>
      </c>
      <c r="F52" s="18">
        <v>0</v>
      </c>
      <c r="G52" s="18">
        <v>0</v>
      </c>
      <c r="H52" s="18">
        <v>7</v>
      </c>
    </row>
    <row r="53" spans="1:8" x14ac:dyDescent="0.3">
      <c r="A53" s="18" t="s">
        <v>117</v>
      </c>
      <c r="B53" s="18">
        <v>1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1</v>
      </c>
    </row>
    <row r="54" spans="1:8" x14ac:dyDescent="0.3">
      <c r="A54" s="18" t="s">
        <v>20</v>
      </c>
      <c r="B54" s="18">
        <v>3</v>
      </c>
      <c r="C54" s="18">
        <v>1</v>
      </c>
      <c r="D54" s="18">
        <v>0</v>
      </c>
      <c r="E54" s="18">
        <v>0</v>
      </c>
      <c r="F54" s="18">
        <v>2</v>
      </c>
      <c r="G54" s="18">
        <v>4</v>
      </c>
      <c r="H54" s="18">
        <v>10</v>
      </c>
    </row>
    <row r="55" spans="1:8" x14ac:dyDescent="0.3">
      <c r="A55" s="18" t="s">
        <v>123</v>
      </c>
      <c r="B55" s="18">
        <v>0</v>
      </c>
      <c r="C55" s="18">
        <v>0</v>
      </c>
      <c r="D55" s="18">
        <v>0</v>
      </c>
      <c r="E55" s="18">
        <v>5</v>
      </c>
      <c r="F55" s="18">
        <v>2</v>
      </c>
      <c r="G55" s="18">
        <v>8</v>
      </c>
      <c r="H55" s="18">
        <v>15</v>
      </c>
    </row>
    <row r="56" spans="1:8" x14ac:dyDescent="0.3">
      <c r="A56" s="18" t="s">
        <v>29</v>
      </c>
      <c r="B56" s="18">
        <v>7</v>
      </c>
      <c r="C56" s="18">
        <v>0</v>
      </c>
      <c r="D56" s="18">
        <v>0</v>
      </c>
      <c r="E56" s="18">
        <v>2</v>
      </c>
      <c r="F56" s="18">
        <v>4</v>
      </c>
      <c r="G56" s="18">
        <v>2</v>
      </c>
      <c r="H56" s="18">
        <v>15</v>
      </c>
    </row>
    <row r="57" spans="1:8" x14ac:dyDescent="0.3">
      <c r="A57" s="18" t="s">
        <v>312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0</v>
      </c>
      <c r="H57" s="18">
        <v>2</v>
      </c>
    </row>
    <row r="58" spans="1:8" x14ac:dyDescent="0.3">
      <c r="A58" s="18" t="s">
        <v>683</v>
      </c>
      <c r="B58" s="18">
        <v>462</v>
      </c>
      <c r="C58" s="18">
        <v>124</v>
      </c>
      <c r="D58" s="18">
        <v>77</v>
      </c>
      <c r="E58" s="18">
        <v>97</v>
      </c>
      <c r="F58" s="18">
        <v>42</v>
      </c>
      <c r="G58" s="18">
        <v>56</v>
      </c>
      <c r="H58" s="18">
        <v>858</v>
      </c>
    </row>
    <row r="59" spans="1:8" x14ac:dyDescent="0.3">
      <c r="A59" s="18" t="s">
        <v>115</v>
      </c>
      <c r="B59" s="18"/>
      <c r="C59" s="18"/>
      <c r="D59" s="18"/>
      <c r="E59" s="18"/>
      <c r="F59" s="18"/>
      <c r="G59" s="18"/>
      <c r="H59" s="18"/>
    </row>
    <row r="60" spans="1:8" x14ac:dyDescent="0.3">
      <c r="A60" s="18" t="s">
        <v>22</v>
      </c>
      <c r="B60" s="18">
        <v>12</v>
      </c>
      <c r="C60" s="18">
        <v>19</v>
      </c>
      <c r="D60" s="18">
        <v>15</v>
      </c>
      <c r="E60" s="18">
        <v>16</v>
      </c>
      <c r="F60" s="18">
        <v>7</v>
      </c>
      <c r="G60" s="18">
        <v>10</v>
      </c>
      <c r="H60" s="18">
        <v>79</v>
      </c>
    </row>
    <row r="61" spans="1:8" x14ac:dyDescent="0.3">
      <c r="A61" s="18" t="s">
        <v>16</v>
      </c>
      <c r="B61" s="18">
        <v>231</v>
      </c>
      <c r="C61" s="18">
        <v>136</v>
      </c>
      <c r="D61" s="18">
        <v>73</v>
      </c>
      <c r="E61" s="18">
        <v>38</v>
      </c>
      <c r="F61" s="18">
        <v>7</v>
      </c>
      <c r="G61" s="18">
        <v>10</v>
      </c>
      <c r="H61" s="18">
        <v>495</v>
      </c>
    </row>
    <row r="62" spans="1:8" x14ac:dyDescent="0.3">
      <c r="A62" s="18" t="s">
        <v>124</v>
      </c>
      <c r="B62" s="18">
        <v>7</v>
      </c>
      <c r="C62" s="18">
        <v>2</v>
      </c>
      <c r="D62" s="18">
        <v>0</v>
      </c>
      <c r="E62" s="18">
        <v>0</v>
      </c>
      <c r="F62" s="18">
        <v>0</v>
      </c>
      <c r="G62" s="18">
        <v>0</v>
      </c>
      <c r="H62" s="18">
        <v>9</v>
      </c>
    </row>
    <row r="63" spans="1:8" x14ac:dyDescent="0.3">
      <c r="A63" s="18" t="s">
        <v>235</v>
      </c>
      <c r="B63" s="18">
        <v>1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1</v>
      </c>
    </row>
    <row r="64" spans="1:8" x14ac:dyDescent="0.3">
      <c r="A64" s="18" t="s">
        <v>187</v>
      </c>
      <c r="B64" s="18">
        <v>0</v>
      </c>
      <c r="C64" s="18">
        <v>0</v>
      </c>
      <c r="D64" s="18">
        <v>0</v>
      </c>
      <c r="E64" s="18">
        <v>1</v>
      </c>
      <c r="F64" s="18">
        <v>1</v>
      </c>
      <c r="G64" s="18">
        <v>0</v>
      </c>
      <c r="H64" s="18">
        <v>2</v>
      </c>
    </row>
    <row r="65" spans="1:8" x14ac:dyDescent="0.3">
      <c r="A65" s="18" t="s">
        <v>127</v>
      </c>
      <c r="B65" s="18">
        <v>0</v>
      </c>
      <c r="C65" s="18">
        <v>1</v>
      </c>
      <c r="D65" s="18">
        <v>0</v>
      </c>
      <c r="E65" s="18">
        <v>0</v>
      </c>
      <c r="F65" s="18">
        <v>0</v>
      </c>
      <c r="G65" s="18">
        <v>0</v>
      </c>
      <c r="H65" s="18">
        <v>1</v>
      </c>
    </row>
    <row r="66" spans="1:8" x14ac:dyDescent="0.3">
      <c r="A66" s="18" t="s">
        <v>216</v>
      </c>
      <c r="B66" s="18">
        <v>1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1</v>
      </c>
    </row>
    <row r="67" spans="1:8" x14ac:dyDescent="0.3">
      <c r="A67" s="18" t="s">
        <v>64</v>
      </c>
      <c r="B67" s="18">
        <v>44</v>
      </c>
      <c r="C67" s="18">
        <v>11</v>
      </c>
      <c r="D67" s="18">
        <v>11</v>
      </c>
      <c r="E67" s="18">
        <v>3</v>
      </c>
      <c r="F67" s="18">
        <v>1</v>
      </c>
      <c r="G67" s="18">
        <v>4</v>
      </c>
      <c r="H67" s="18">
        <v>74</v>
      </c>
    </row>
    <row r="68" spans="1:8" x14ac:dyDescent="0.3">
      <c r="A68" s="18" t="s">
        <v>55</v>
      </c>
      <c r="B68" s="18">
        <v>1</v>
      </c>
      <c r="C68" s="18">
        <v>0</v>
      </c>
      <c r="D68" s="18">
        <v>0</v>
      </c>
      <c r="E68" s="18">
        <v>1</v>
      </c>
      <c r="F68" s="18">
        <v>0</v>
      </c>
      <c r="G68" s="18">
        <v>0</v>
      </c>
      <c r="H68" s="18">
        <v>2</v>
      </c>
    </row>
    <row r="69" spans="1:8" x14ac:dyDescent="0.3">
      <c r="A69" s="18" t="s">
        <v>59</v>
      </c>
      <c r="B69" s="18">
        <v>0</v>
      </c>
      <c r="C69" s="18">
        <v>1</v>
      </c>
      <c r="D69" s="18">
        <v>0</v>
      </c>
      <c r="E69" s="18">
        <v>0</v>
      </c>
      <c r="F69" s="18">
        <v>1</v>
      </c>
      <c r="G69" s="18">
        <v>0</v>
      </c>
      <c r="H69" s="18">
        <v>2</v>
      </c>
    </row>
    <row r="70" spans="1:8" x14ac:dyDescent="0.3">
      <c r="A70" s="18" t="s">
        <v>117</v>
      </c>
      <c r="B70" s="18">
        <v>11</v>
      </c>
      <c r="C70" s="18">
        <v>4</v>
      </c>
      <c r="D70" s="18">
        <v>2</v>
      </c>
      <c r="E70" s="18">
        <v>1</v>
      </c>
      <c r="F70" s="18">
        <v>0</v>
      </c>
      <c r="G70" s="18">
        <v>0</v>
      </c>
      <c r="H70" s="18">
        <v>18</v>
      </c>
    </row>
    <row r="71" spans="1:8" x14ac:dyDescent="0.3">
      <c r="A71" s="18" t="s">
        <v>20</v>
      </c>
      <c r="B71" s="18">
        <v>3</v>
      </c>
      <c r="C71" s="18">
        <v>5</v>
      </c>
      <c r="D71" s="18">
        <v>2</v>
      </c>
      <c r="E71" s="18">
        <v>2</v>
      </c>
      <c r="F71" s="18">
        <v>1</v>
      </c>
      <c r="G71" s="18">
        <v>0</v>
      </c>
      <c r="H71" s="18">
        <v>13</v>
      </c>
    </row>
    <row r="72" spans="1:8" x14ac:dyDescent="0.3">
      <c r="A72" s="18" t="s">
        <v>129</v>
      </c>
      <c r="B72" s="18">
        <v>0</v>
      </c>
      <c r="C72" s="18">
        <v>0</v>
      </c>
      <c r="D72" s="18">
        <v>0</v>
      </c>
      <c r="E72" s="18">
        <v>5</v>
      </c>
      <c r="F72" s="18">
        <v>1</v>
      </c>
      <c r="G72" s="18">
        <v>3</v>
      </c>
      <c r="H72" s="18">
        <v>9</v>
      </c>
    </row>
    <row r="73" spans="1:8" x14ac:dyDescent="0.3">
      <c r="A73" s="18" t="s">
        <v>118</v>
      </c>
      <c r="B73" s="18">
        <v>0</v>
      </c>
      <c r="C73" s="18">
        <v>0</v>
      </c>
      <c r="D73" s="18">
        <v>0</v>
      </c>
      <c r="E73" s="18">
        <v>2</v>
      </c>
      <c r="F73" s="18">
        <v>1</v>
      </c>
      <c r="G73" s="18">
        <v>3</v>
      </c>
      <c r="H73" s="18">
        <v>6</v>
      </c>
    </row>
    <row r="74" spans="1:8" x14ac:dyDescent="0.3">
      <c r="A74" s="18" t="s">
        <v>123</v>
      </c>
      <c r="B74" s="18">
        <v>0</v>
      </c>
      <c r="C74" s="18">
        <v>0</v>
      </c>
      <c r="D74" s="18">
        <v>1</v>
      </c>
      <c r="E74" s="18">
        <v>7</v>
      </c>
      <c r="F74" s="18">
        <v>2</v>
      </c>
      <c r="G74" s="18">
        <v>14</v>
      </c>
      <c r="H74" s="18">
        <v>24</v>
      </c>
    </row>
    <row r="75" spans="1:8" x14ac:dyDescent="0.3">
      <c r="A75" s="18" t="s">
        <v>29</v>
      </c>
      <c r="B75" s="18">
        <v>0</v>
      </c>
      <c r="C75" s="18">
        <v>0</v>
      </c>
      <c r="D75" s="18">
        <v>0</v>
      </c>
      <c r="E75" s="18">
        <v>2</v>
      </c>
      <c r="F75" s="18">
        <v>0</v>
      </c>
      <c r="G75" s="18">
        <v>0</v>
      </c>
      <c r="H75" s="18">
        <v>2</v>
      </c>
    </row>
    <row r="76" spans="1:8" x14ac:dyDescent="0.3">
      <c r="A76" s="18" t="s">
        <v>180</v>
      </c>
      <c r="B76" s="18">
        <v>0</v>
      </c>
      <c r="C76" s="18">
        <v>1</v>
      </c>
      <c r="D76" s="18">
        <v>0</v>
      </c>
      <c r="E76" s="18">
        <v>0</v>
      </c>
      <c r="F76" s="18">
        <v>0</v>
      </c>
      <c r="G76" s="18">
        <v>0</v>
      </c>
      <c r="H76" s="18">
        <v>1</v>
      </c>
    </row>
    <row r="77" spans="1:8" x14ac:dyDescent="0.3">
      <c r="A77" s="18" t="s">
        <v>430</v>
      </c>
      <c r="B77" s="18">
        <v>0</v>
      </c>
      <c r="C77" s="18">
        <v>0</v>
      </c>
      <c r="D77" s="18">
        <v>1</v>
      </c>
      <c r="E77" s="18">
        <v>3</v>
      </c>
      <c r="F77" s="18">
        <v>2</v>
      </c>
      <c r="G77" s="18">
        <v>0</v>
      </c>
      <c r="H77" s="18">
        <v>6</v>
      </c>
    </row>
    <row r="78" spans="1:8" x14ac:dyDescent="0.3">
      <c r="A78" s="18" t="s">
        <v>572</v>
      </c>
      <c r="B78" s="18">
        <v>0</v>
      </c>
      <c r="C78" s="18">
        <v>1</v>
      </c>
      <c r="D78" s="18">
        <v>6</v>
      </c>
      <c r="E78" s="18">
        <v>6</v>
      </c>
      <c r="F78" s="18">
        <v>1</v>
      </c>
      <c r="G78" s="18">
        <v>2</v>
      </c>
      <c r="H78" s="18">
        <v>16</v>
      </c>
    </row>
    <row r="79" spans="1:8" x14ac:dyDescent="0.3">
      <c r="A79" s="18" t="s">
        <v>684</v>
      </c>
      <c r="B79" s="18">
        <v>311</v>
      </c>
      <c r="C79" s="18">
        <v>181</v>
      </c>
      <c r="D79" s="18">
        <v>111</v>
      </c>
      <c r="E79" s="18">
        <v>87</v>
      </c>
      <c r="F79" s="18">
        <v>25</v>
      </c>
      <c r="G79" s="18">
        <v>46</v>
      </c>
      <c r="H79" s="18">
        <v>761</v>
      </c>
    </row>
    <row r="80" spans="1:8" x14ac:dyDescent="0.3">
      <c r="A80" s="18" t="s">
        <v>667</v>
      </c>
      <c r="B80" s="18">
        <v>1396</v>
      </c>
      <c r="C80" s="18">
        <v>691</v>
      </c>
      <c r="D80" s="18">
        <v>477</v>
      </c>
      <c r="E80" s="18">
        <v>331</v>
      </c>
      <c r="F80" s="18">
        <v>96</v>
      </c>
      <c r="G80" s="18">
        <v>194</v>
      </c>
      <c r="H80" s="18">
        <v>3185</v>
      </c>
    </row>
  </sheetData>
  <pageMargins left="0.7" right="0.7" top="0.75" bottom="0.75" header="0.3" footer="0.3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772C-CCE3-4376-AEA8-1C9789A10F76}">
  <dimension ref="A1:AC17"/>
  <sheetViews>
    <sheetView topLeftCell="E1" workbookViewId="0">
      <selection activeCell="A6" sqref="A6:XFD6"/>
    </sheetView>
  </sheetViews>
  <sheetFormatPr defaultRowHeight="14.4" x14ac:dyDescent="0.3"/>
  <cols>
    <col min="1" max="1" width="16.21875" bestFit="1" customWidth="1"/>
    <col min="2" max="2" width="9.21875" bestFit="1" customWidth="1"/>
    <col min="3" max="3" width="7.33203125" bestFit="1" customWidth="1"/>
    <col min="4" max="4" width="8.109375" bestFit="1" customWidth="1"/>
    <col min="5" max="5" width="7.6640625" bestFit="1" customWidth="1"/>
    <col min="6" max="6" width="7.88671875" bestFit="1" customWidth="1"/>
    <col min="7" max="7" width="7.6640625" bestFit="1" customWidth="1"/>
    <col min="8" max="8" width="7.21875" bestFit="1" customWidth="1"/>
    <col min="9" max="9" width="7.6640625" bestFit="1" customWidth="1"/>
    <col min="10" max="10" width="7.88671875" bestFit="1" customWidth="1"/>
    <col min="11" max="11" width="7" bestFit="1" customWidth="1"/>
    <col min="12" max="12" width="7.33203125" bestFit="1" customWidth="1"/>
    <col min="13" max="13" width="6.77734375" bestFit="1" customWidth="1"/>
    <col min="14" max="14" width="8.5546875" bestFit="1" customWidth="1"/>
    <col min="15" max="16" width="7" bestFit="1" customWidth="1"/>
    <col min="17" max="17" width="7.44140625" bestFit="1" customWidth="1"/>
    <col min="18" max="18" width="7.77734375" bestFit="1" customWidth="1"/>
    <col min="19" max="19" width="9" bestFit="1" customWidth="1"/>
    <col min="20" max="20" width="8.21875" bestFit="1" customWidth="1"/>
    <col min="21" max="21" width="7" bestFit="1" customWidth="1"/>
    <col min="22" max="22" width="7.21875" bestFit="1" customWidth="1"/>
    <col min="23" max="23" width="7.44140625" bestFit="1" customWidth="1"/>
    <col min="24" max="24" width="7.77734375" bestFit="1" customWidth="1"/>
    <col min="25" max="25" width="7.21875" bestFit="1" customWidth="1"/>
    <col min="26" max="26" width="7" bestFit="1" customWidth="1"/>
    <col min="27" max="27" width="8.6640625" bestFit="1" customWidth="1"/>
    <col min="28" max="28" width="7.88671875" bestFit="1" customWidth="1"/>
    <col min="29" max="29" width="10.5546875" bestFit="1" customWidth="1"/>
    <col min="30" max="30" width="8.5546875" bestFit="1" customWidth="1"/>
    <col min="31" max="31" width="11.44140625" bestFit="1" customWidth="1"/>
  </cols>
  <sheetData>
    <row r="1" spans="1:29" x14ac:dyDescent="0.3">
      <c r="A1" s="7" t="s">
        <v>4</v>
      </c>
      <c r="B1" t="s">
        <v>657</v>
      </c>
    </row>
    <row r="3" spans="1:29" x14ac:dyDescent="0.3">
      <c r="A3" s="7" t="s">
        <v>680</v>
      </c>
      <c r="B3" s="7" t="s">
        <v>2</v>
      </c>
    </row>
    <row r="4" spans="1:29" x14ac:dyDescent="0.3">
      <c r="A4" s="7" t="s">
        <v>0</v>
      </c>
      <c r="B4" t="s">
        <v>22</v>
      </c>
      <c r="C4" t="s">
        <v>16</v>
      </c>
      <c r="D4" t="s">
        <v>124</v>
      </c>
      <c r="E4" t="s">
        <v>235</v>
      </c>
      <c r="F4" t="s">
        <v>187</v>
      </c>
      <c r="G4" t="s">
        <v>127</v>
      </c>
      <c r="H4" t="s">
        <v>216</v>
      </c>
      <c r="I4" t="s">
        <v>64</v>
      </c>
      <c r="J4" t="s">
        <v>185</v>
      </c>
      <c r="K4" t="s">
        <v>312</v>
      </c>
      <c r="L4" t="s">
        <v>189</v>
      </c>
      <c r="M4" t="s">
        <v>24</v>
      </c>
      <c r="N4" t="s">
        <v>55</v>
      </c>
      <c r="O4" t="s">
        <v>59</v>
      </c>
      <c r="P4" t="s">
        <v>117</v>
      </c>
      <c r="Q4" t="s">
        <v>20</v>
      </c>
      <c r="R4" t="s">
        <v>129</v>
      </c>
      <c r="S4" t="s">
        <v>118</v>
      </c>
      <c r="T4" t="s">
        <v>123</v>
      </c>
      <c r="U4" t="s">
        <v>29</v>
      </c>
      <c r="V4" t="s">
        <v>180</v>
      </c>
      <c r="W4" t="s">
        <v>415</v>
      </c>
      <c r="X4" t="s">
        <v>430</v>
      </c>
      <c r="Y4" t="s">
        <v>513</v>
      </c>
      <c r="Z4" t="s">
        <v>543</v>
      </c>
      <c r="AA4" t="s">
        <v>545</v>
      </c>
      <c r="AB4" t="s">
        <v>572</v>
      </c>
      <c r="AC4" t="s">
        <v>667</v>
      </c>
    </row>
    <row r="5" spans="1:29" x14ac:dyDescent="0.3">
      <c r="A5" s="8" t="s">
        <v>15</v>
      </c>
      <c r="B5">
        <v>23</v>
      </c>
      <c r="C5">
        <v>225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28</v>
      </c>
      <c r="N5">
        <v>2</v>
      </c>
      <c r="O5">
        <v>5</v>
      </c>
      <c r="P5">
        <v>0</v>
      </c>
      <c r="Q5">
        <v>5</v>
      </c>
      <c r="R5">
        <v>0</v>
      </c>
      <c r="S5">
        <v>0</v>
      </c>
      <c r="T5">
        <v>0</v>
      </c>
      <c r="U5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297</v>
      </c>
    </row>
    <row r="6" spans="1:29" x14ac:dyDescent="0.3">
      <c r="A6" s="8" t="s">
        <v>114</v>
      </c>
      <c r="B6">
        <v>42</v>
      </c>
      <c r="C6">
        <v>134</v>
      </c>
      <c r="D6">
        <v>6</v>
      </c>
      <c r="E6">
        <v>0</v>
      </c>
      <c r="F6">
        <v>0</v>
      </c>
      <c r="G6">
        <v>1</v>
      </c>
      <c r="H6">
        <v>0</v>
      </c>
      <c r="I6">
        <v>69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9</v>
      </c>
      <c r="Q6">
        <v>11</v>
      </c>
      <c r="R6">
        <v>2</v>
      </c>
      <c r="S6">
        <v>6</v>
      </c>
      <c r="T6">
        <v>11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293</v>
      </c>
    </row>
    <row r="7" spans="1:29" x14ac:dyDescent="0.3">
      <c r="A7" s="8" t="s">
        <v>213</v>
      </c>
      <c r="B7">
        <v>68</v>
      </c>
      <c r="C7">
        <v>125</v>
      </c>
      <c r="D7">
        <v>0</v>
      </c>
      <c r="E7">
        <v>2</v>
      </c>
      <c r="F7">
        <v>0</v>
      </c>
      <c r="G7">
        <v>0</v>
      </c>
      <c r="H7">
        <v>2</v>
      </c>
      <c r="I7">
        <v>22</v>
      </c>
      <c r="J7">
        <v>2</v>
      </c>
      <c r="K7">
        <v>0</v>
      </c>
      <c r="L7">
        <v>0</v>
      </c>
      <c r="M7">
        <v>29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265</v>
      </c>
    </row>
    <row r="8" spans="1:29" x14ac:dyDescent="0.3">
      <c r="A8" s="8" t="s">
        <v>293</v>
      </c>
      <c r="B8">
        <v>33</v>
      </c>
      <c r="C8">
        <v>204</v>
      </c>
      <c r="D8">
        <v>0</v>
      </c>
      <c r="E8">
        <v>0</v>
      </c>
      <c r="F8">
        <v>0</v>
      </c>
      <c r="G8">
        <v>0</v>
      </c>
      <c r="H8">
        <v>0</v>
      </c>
      <c r="I8">
        <v>25</v>
      </c>
      <c r="J8">
        <v>1</v>
      </c>
      <c r="K8">
        <v>2</v>
      </c>
      <c r="L8">
        <v>0</v>
      </c>
      <c r="M8">
        <v>7</v>
      </c>
      <c r="N8">
        <v>7</v>
      </c>
      <c r="O8">
        <v>2</v>
      </c>
      <c r="P8">
        <v>0</v>
      </c>
      <c r="Q8">
        <v>5</v>
      </c>
      <c r="R8">
        <v>0</v>
      </c>
      <c r="S8">
        <v>0</v>
      </c>
      <c r="T8">
        <v>1</v>
      </c>
      <c r="U8">
        <v>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296</v>
      </c>
    </row>
    <row r="9" spans="1:29" x14ac:dyDescent="0.3">
      <c r="A9" s="8" t="s">
        <v>240</v>
      </c>
      <c r="B9">
        <v>1</v>
      </c>
      <c r="C9">
        <v>222</v>
      </c>
      <c r="D9">
        <v>0</v>
      </c>
      <c r="E9">
        <v>1</v>
      </c>
      <c r="F9">
        <v>1</v>
      </c>
      <c r="G9">
        <v>0</v>
      </c>
      <c r="H9">
        <v>0</v>
      </c>
      <c r="I9">
        <v>95</v>
      </c>
      <c r="J9">
        <v>0</v>
      </c>
      <c r="K9">
        <v>0</v>
      </c>
      <c r="L9">
        <v>0</v>
      </c>
      <c r="M9">
        <v>20</v>
      </c>
      <c r="N9">
        <v>5</v>
      </c>
      <c r="O9">
        <v>1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3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351</v>
      </c>
    </row>
    <row r="10" spans="1:29" x14ac:dyDescent="0.3">
      <c r="A10" s="8" t="s">
        <v>177</v>
      </c>
      <c r="B10">
        <v>1</v>
      </c>
      <c r="C10">
        <v>149</v>
      </c>
      <c r="D10">
        <v>0</v>
      </c>
      <c r="E10">
        <v>0</v>
      </c>
      <c r="F10">
        <v>1</v>
      </c>
      <c r="G10">
        <v>0</v>
      </c>
      <c r="H10">
        <v>0</v>
      </c>
      <c r="I10">
        <v>31</v>
      </c>
      <c r="J10">
        <v>1</v>
      </c>
      <c r="K10">
        <v>0</v>
      </c>
      <c r="L10">
        <v>6</v>
      </c>
      <c r="M10">
        <v>2</v>
      </c>
      <c r="N10">
        <v>0</v>
      </c>
      <c r="O10">
        <v>0</v>
      </c>
      <c r="P10">
        <v>0</v>
      </c>
      <c r="Q10">
        <v>3</v>
      </c>
      <c r="R10">
        <v>0</v>
      </c>
      <c r="S10">
        <v>0</v>
      </c>
      <c r="T10">
        <v>1</v>
      </c>
      <c r="U10">
        <v>0</v>
      </c>
      <c r="V10">
        <v>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198</v>
      </c>
    </row>
    <row r="11" spans="1:29" x14ac:dyDescent="0.3">
      <c r="A11" s="8" t="s">
        <v>351</v>
      </c>
      <c r="B11">
        <v>0</v>
      </c>
      <c r="C11">
        <v>95</v>
      </c>
      <c r="D11">
        <v>0</v>
      </c>
      <c r="E11">
        <v>0</v>
      </c>
      <c r="F11">
        <v>0</v>
      </c>
      <c r="G11">
        <v>0</v>
      </c>
      <c r="H11">
        <v>0</v>
      </c>
      <c r="I11">
        <v>61</v>
      </c>
      <c r="J11">
        <v>0</v>
      </c>
      <c r="K11">
        <v>0</v>
      </c>
      <c r="L11">
        <v>0</v>
      </c>
      <c r="M11">
        <v>151</v>
      </c>
      <c r="N11">
        <v>7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316</v>
      </c>
    </row>
    <row r="12" spans="1:29" x14ac:dyDescent="0.3">
      <c r="A12" s="8" t="s">
        <v>427</v>
      </c>
      <c r="B12">
        <v>23</v>
      </c>
      <c r="C12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71</v>
      </c>
      <c r="J12">
        <v>0</v>
      </c>
      <c r="K12">
        <v>0</v>
      </c>
      <c r="L12">
        <v>0</v>
      </c>
      <c r="M12">
        <v>7</v>
      </c>
      <c r="N12">
        <v>5</v>
      </c>
      <c r="O12">
        <v>2</v>
      </c>
      <c r="P12">
        <v>0</v>
      </c>
      <c r="Q12">
        <v>1</v>
      </c>
      <c r="R12">
        <v>0</v>
      </c>
      <c r="S12">
        <v>5</v>
      </c>
      <c r="T12">
        <v>2</v>
      </c>
      <c r="U12">
        <v>0</v>
      </c>
      <c r="V12">
        <v>0</v>
      </c>
      <c r="W12">
        <v>0</v>
      </c>
      <c r="X12">
        <v>91</v>
      </c>
      <c r="Y12">
        <v>0</v>
      </c>
      <c r="Z12">
        <v>0</v>
      </c>
      <c r="AA12">
        <v>0</v>
      </c>
      <c r="AB12">
        <v>0</v>
      </c>
      <c r="AC12">
        <v>237</v>
      </c>
    </row>
    <row r="13" spans="1:29" x14ac:dyDescent="0.3">
      <c r="A13" s="8" t="s">
        <v>498</v>
      </c>
      <c r="B13">
        <v>7</v>
      </c>
      <c r="C13">
        <v>28</v>
      </c>
      <c r="D13">
        <v>0</v>
      </c>
      <c r="E13">
        <v>3</v>
      </c>
      <c r="F13">
        <v>4</v>
      </c>
      <c r="G13">
        <v>0</v>
      </c>
      <c r="H13">
        <v>2</v>
      </c>
      <c r="I13">
        <v>65</v>
      </c>
      <c r="J13">
        <v>0</v>
      </c>
      <c r="K13">
        <v>0</v>
      </c>
      <c r="L13">
        <v>0</v>
      </c>
      <c r="M13">
        <v>2</v>
      </c>
      <c r="N13">
        <v>2</v>
      </c>
      <c r="O13">
        <v>1</v>
      </c>
      <c r="P13">
        <v>3</v>
      </c>
      <c r="Q13">
        <v>5</v>
      </c>
      <c r="R13">
        <v>0</v>
      </c>
      <c r="S13">
        <v>0</v>
      </c>
      <c r="T13">
        <v>5</v>
      </c>
      <c r="U13">
        <v>0</v>
      </c>
      <c r="V13">
        <v>1</v>
      </c>
      <c r="W13">
        <v>1</v>
      </c>
      <c r="X13">
        <v>118</v>
      </c>
      <c r="Y13">
        <v>2</v>
      </c>
      <c r="Z13">
        <v>0</v>
      </c>
      <c r="AA13">
        <v>0</v>
      </c>
      <c r="AB13">
        <v>0</v>
      </c>
      <c r="AC13">
        <v>249</v>
      </c>
    </row>
    <row r="14" spans="1:29" x14ac:dyDescent="0.3">
      <c r="A14" s="8" t="s">
        <v>566</v>
      </c>
      <c r="B14">
        <v>11</v>
      </c>
      <c r="C14">
        <v>144</v>
      </c>
      <c r="D14">
        <v>3</v>
      </c>
      <c r="E14">
        <v>1</v>
      </c>
      <c r="F14">
        <v>1</v>
      </c>
      <c r="G14">
        <v>0</v>
      </c>
      <c r="H14">
        <v>1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</v>
      </c>
      <c r="Q14">
        <v>1</v>
      </c>
      <c r="R14">
        <v>5</v>
      </c>
      <c r="S14">
        <v>0</v>
      </c>
      <c r="T14">
        <v>11</v>
      </c>
      <c r="U14">
        <v>2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16</v>
      </c>
      <c r="AC14">
        <v>204</v>
      </c>
    </row>
    <row r="15" spans="1:29" x14ac:dyDescent="0.3">
      <c r="A15" s="8" t="s">
        <v>593</v>
      </c>
      <c r="B15">
        <v>26</v>
      </c>
      <c r="C15">
        <v>217</v>
      </c>
      <c r="D15">
        <v>0</v>
      </c>
      <c r="E15">
        <v>0</v>
      </c>
      <c r="F15">
        <v>1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4</v>
      </c>
      <c r="Q15">
        <v>1</v>
      </c>
      <c r="R15">
        <v>2</v>
      </c>
      <c r="S15">
        <v>0</v>
      </c>
      <c r="T15">
        <v>2</v>
      </c>
      <c r="U15">
        <v>0</v>
      </c>
      <c r="V15">
        <v>0</v>
      </c>
      <c r="W15">
        <v>0</v>
      </c>
      <c r="X15">
        <v>6</v>
      </c>
      <c r="Y15">
        <v>0</v>
      </c>
      <c r="Z15">
        <v>0</v>
      </c>
      <c r="AA15">
        <v>0</v>
      </c>
      <c r="AB15">
        <v>0</v>
      </c>
      <c r="AC15">
        <v>264</v>
      </c>
    </row>
    <row r="16" spans="1:29" x14ac:dyDescent="0.3">
      <c r="A16" s="8" t="s">
        <v>532</v>
      </c>
      <c r="B16">
        <v>30</v>
      </c>
      <c r="C16">
        <v>19</v>
      </c>
      <c r="D16">
        <v>0</v>
      </c>
      <c r="E16">
        <v>15</v>
      </c>
      <c r="F16">
        <v>3</v>
      </c>
      <c r="G16">
        <v>0</v>
      </c>
      <c r="H16">
        <v>0</v>
      </c>
      <c r="I16">
        <v>36</v>
      </c>
      <c r="J16">
        <v>0</v>
      </c>
      <c r="K16">
        <v>0</v>
      </c>
      <c r="L16">
        <v>0</v>
      </c>
      <c r="M16">
        <v>2</v>
      </c>
      <c r="N16">
        <v>0</v>
      </c>
      <c r="O16">
        <v>0</v>
      </c>
      <c r="P16">
        <v>6</v>
      </c>
      <c r="Q16">
        <v>1</v>
      </c>
      <c r="R16">
        <v>0</v>
      </c>
      <c r="S16">
        <v>0</v>
      </c>
      <c r="T16">
        <v>8</v>
      </c>
      <c r="U16">
        <v>0</v>
      </c>
      <c r="V16">
        <v>1</v>
      </c>
      <c r="W16">
        <v>6</v>
      </c>
      <c r="X16">
        <v>81</v>
      </c>
      <c r="Y16">
        <v>0</v>
      </c>
      <c r="Z16">
        <v>1</v>
      </c>
      <c r="AA16">
        <v>6</v>
      </c>
      <c r="AB16">
        <v>0</v>
      </c>
      <c r="AC16">
        <v>215</v>
      </c>
    </row>
    <row r="17" spans="1:29" x14ac:dyDescent="0.3">
      <c r="A17" s="8" t="s">
        <v>667</v>
      </c>
      <c r="B17">
        <v>265</v>
      </c>
      <c r="C17">
        <v>1592</v>
      </c>
      <c r="D17">
        <v>9</v>
      </c>
      <c r="E17">
        <v>22</v>
      </c>
      <c r="F17">
        <v>11</v>
      </c>
      <c r="G17">
        <v>1</v>
      </c>
      <c r="H17">
        <v>5</v>
      </c>
      <c r="I17">
        <v>483</v>
      </c>
      <c r="J17">
        <v>4</v>
      </c>
      <c r="K17">
        <v>2</v>
      </c>
      <c r="L17">
        <v>6</v>
      </c>
      <c r="M17">
        <v>248</v>
      </c>
      <c r="N17">
        <v>30</v>
      </c>
      <c r="O17">
        <v>13</v>
      </c>
      <c r="P17">
        <v>29</v>
      </c>
      <c r="Q17">
        <v>35</v>
      </c>
      <c r="R17">
        <v>9</v>
      </c>
      <c r="S17">
        <v>11</v>
      </c>
      <c r="T17">
        <v>55</v>
      </c>
      <c r="U17">
        <v>17</v>
      </c>
      <c r="V17">
        <v>9</v>
      </c>
      <c r="W17">
        <v>8</v>
      </c>
      <c r="X17">
        <v>296</v>
      </c>
      <c r="Y17">
        <v>2</v>
      </c>
      <c r="Z17">
        <v>1</v>
      </c>
      <c r="AA17">
        <v>6</v>
      </c>
      <c r="AB17">
        <v>16</v>
      </c>
      <c r="AC17">
        <v>3185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51D0-BCD2-4AF2-A1ED-D0E3C71761F7}">
  <dimension ref="A1:U160"/>
  <sheetViews>
    <sheetView workbookViewId="0">
      <selection activeCell="K161" sqref="K161"/>
    </sheetView>
  </sheetViews>
  <sheetFormatPr defaultRowHeight="14.4" x14ac:dyDescent="0.3"/>
  <cols>
    <col min="1" max="1" width="17.33203125" bestFit="1" customWidth="1"/>
    <col min="2" max="2" width="15.44140625" bestFit="1" customWidth="1"/>
    <col min="3" max="3" width="8.21875" bestFit="1" customWidth="1"/>
    <col min="4" max="6" width="7.6640625" bestFit="1" customWidth="1"/>
    <col min="7" max="7" width="4" bestFit="1" customWidth="1"/>
    <col min="8" max="8" width="10.77734375" bestFit="1" customWidth="1"/>
    <col min="9" max="11" width="11.6640625" bestFit="1" customWidth="1"/>
  </cols>
  <sheetData>
    <row r="1" spans="1:21" x14ac:dyDescent="0.3">
      <c r="A1" s="20" t="s">
        <v>4</v>
      </c>
      <c r="B1" s="18" t="s">
        <v>657</v>
      </c>
    </row>
    <row r="3" spans="1:21" ht="15" thickBot="1" x14ac:dyDescent="0.35">
      <c r="A3" s="20" t="s">
        <v>685</v>
      </c>
      <c r="B3" s="20" t="s">
        <v>659</v>
      </c>
      <c r="C3" s="18"/>
      <c r="D3" s="18"/>
      <c r="E3" s="18"/>
      <c r="F3" s="18"/>
      <c r="G3" s="18"/>
      <c r="H3" s="18"/>
    </row>
    <row r="4" spans="1:21" x14ac:dyDescent="0.3">
      <c r="A4" s="20" t="s">
        <v>660</v>
      </c>
      <c r="B4" s="18" t="s">
        <v>661</v>
      </c>
      <c r="C4" s="18" t="s">
        <v>662</v>
      </c>
      <c r="D4" s="18" t="s">
        <v>663</v>
      </c>
      <c r="E4" s="18" t="s">
        <v>664</v>
      </c>
      <c r="F4" s="18" t="s">
        <v>665</v>
      </c>
      <c r="G4" s="18" t="s">
        <v>666</v>
      </c>
      <c r="H4" s="18" t="s">
        <v>667</v>
      </c>
      <c r="Q4" s="28" t="s">
        <v>686</v>
      </c>
      <c r="R4" s="29"/>
      <c r="S4" s="29"/>
      <c r="T4" s="29"/>
      <c r="U4" s="30"/>
    </row>
    <row r="5" spans="1:21" x14ac:dyDescent="0.3">
      <c r="A5" s="18" t="s">
        <v>15</v>
      </c>
      <c r="B5" s="18"/>
      <c r="C5" s="18"/>
      <c r="D5" s="18"/>
      <c r="E5" s="18"/>
      <c r="F5" s="18"/>
      <c r="G5" s="18"/>
      <c r="H5" s="18"/>
      <c r="Q5" s="15" t="s">
        <v>2</v>
      </c>
      <c r="R5" t="s">
        <v>687</v>
      </c>
      <c r="S5" t="s">
        <v>688</v>
      </c>
      <c r="T5" t="s">
        <v>689</v>
      </c>
      <c r="U5" s="10" t="s">
        <v>690</v>
      </c>
    </row>
    <row r="6" spans="1:21" x14ac:dyDescent="0.3">
      <c r="A6" s="18" t="s">
        <v>22</v>
      </c>
      <c r="B6" s="18">
        <v>3</v>
      </c>
      <c r="C6" s="18">
        <v>3</v>
      </c>
      <c r="D6" s="18">
        <v>3</v>
      </c>
      <c r="E6" s="18">
        <v>10</v>
      </c>
      <c r="F6" s="18">
        <v>2</v>
      </c>
      <c r="G6" s="18">
        <v>2</v>
      </c>
      <c r="H6" s="18">
        <v>23</v>
      </c>
      <c r="Q6" s="16" t="s">
        <v>22</v>
      </c>
      <c r="R6" s="14">
        <f t="shared" ref="R6:T14" si="0">(C6/$F$14)*100</f>
        <v>23.076923076923077</v>
      </c>
      <c r="S6" s="14">
        <f t="shared" si="0"/>
        <v>23.076923076923077</v>
      </c>
      <c r="T6" s="14">
        <f t="shared" si="0"/>
        <v>76.923076923076934</v>
      </c>
      <c r="U6" s="11">
        <f t="shared" ref="U6:U13" si="1">SUM(Q6:T6)</f>
        <v>123.07692307692309</v>
      </c>
    </row>
    <row r="7" spans="1:21" x14ac:dyDescent="0.3">
      <c r="A7" s="18" t="s">
        <v>16</v>
      </c>
      <c r="B7" s="18">
        <v>175</v>
      </c>
      <c r="C7" s="18">
        <v>15</v>
      </c>
      <c r="D7" s="18">
        <v>23</v>
      </c>
      <c r="E7" s="18">
        <v>10</v>
      </c>
      <c r="F7" s="18">
        <v>2</v>
      </c>
      <c r="G7" s="18">
        <v>0</v>
      </c>
      <c r="H7" s="18">
        <v>225</v>
      </c>
      <c r="Q7" s="16" t="s">
        <v>16</v>
      </c>
      <c r="R7" s="14">
        <f t="shared" si="0"/>
        <v>115.38461538461537</v>
      </c>
      <c r="S7" s="14">
        <f t="shared" si="0"/>
        <v>176.92307692307691</v>
      </c>
      <c r="T7" s="14">
        <f t="shared" si="0"/>
        <v>76.923076923076934</v>
      </c>
      <c r="U7" s="11">
        <f t="shared" si="1"/>
        <v>369.23076923076917</v>
      </c>
    </row>
    <row r="8" spans="1:21" x14ac:dyDescent="0.3">
      <c r="A8" s="18" t="s">
        <v>64</v>
      </c>
      <c r="B8" s="18">
        <v>2</v>
      </c>
      <c r="C8" s="18">
        <v>1</v>
      </c>
      <c r="D8" s="18">
        <v>0</v>
      </c>
      <c r="E8" s="18">
        <v>0</v>
      </c>
      <c r="F8" s="18">
        <v>0</v>
      </c>
      <c r="G8" s="18">
        <v>0</v>
      </c>
      <c r="H8" s="18">
        <v>3</v>
      </c>
      <c r="Q8" s="16" t="s">
        <v>64</v>
      </c>
      <c r="R8" s="14">
        <f t="shared" si="0"/>
        <v>7.6923076923076925</v>
      </c>
      <c r="S8" s="14">
        <f t="shared" si="0"/>
        <v>0</v>
      </c>
      <c r="T8" s="14">
        <f t="shared" si="0"/>
        <v>0</v>
      </c>
      <c r="U8" s="11">
        <f t="shared" si="1"/>
        <v>7.6923076923076925</v>
      </c>
    </row>
    <row r="9" spans="1:21" x14ac:dyDescent="0.3">
      <c r="A9" s="18" t="s">
        <v>24</v>
      </c>
      <c r="B9" s="18">
        <v>0</v>
      </c>
      <c r="C9" s="18">
        <v>0</v>
      </c>
      <c r="D9" s="18">
        <v>0</v>
      </c>
      <c r="E9" s="18">
        <v>6</v>
      </c>
      <c r="F9" s="18">
        <v>4</v>
      </c>
      <c r="G9" s="18">
        <v>18</v>
      </c>
      <c r="H9" s="18">
        <v>28</v>
      </c>
      <c r="Q9" s="16" t="s">
        <v>24</v>
      </c>
      <c r="R9" s="14">
        <f t="shared" si="0"/>
        <v>0</v>
      </c>
      <c r="S9" s="14">
        <f t="shared" si="0"/>
        <v>0</v>
      </c>
      <c r="T9" s="14">
        <f t="shared" si="0"/>
        <v>46.153846153846153</v>
      </c>
      <c r="U9" s="11">
        <f t="shared" si="1"/>
        <v>46.153846153846153</v>
      </c>
    </row>
    <row r="10" spans="1:21" x14ac:dyDescent="0.3">
      <c r="A10" s="18" t="s">
        <v>55</v>
      </c>
      <c r="B10" s="18">
        <v>0</v>
      </c>
      <c r="C10" s="18">
        <v>0</v>
      </c>
      <c r="D10" s="18">
        <v>0</v>
      </c>
      <c r="E10" s="18">
        <v>1</v>
      </c>
      <c r="F10" s="18">
        <v>1</v>
      </c>
      <c r="G10" s="18">
        <v>0</v>
      </c>
      <c r="H10" s="18">
        <v>2</v>
      </c>
      <c r="Q10" s="16" t="s">
        <v>55</v>
      </c>
      <c r="R10" s="14">
        <f t="shared" si="0"/>
        <v>0</v>
      </c>
      <c r="S10" s="14">
        <f t="shared" si="0"/>
        <v>0</v>
      </c>
      <c r="T10" s="14">
        <f t="shared" si="0"/>
        <v>7.6923076923076925</v>
      </c>
      <c r="U10" s="11">
        <f t="shared" si="1"/>
        <v>7.6923076923076925</v>
      </c>
    </row>
    <row r="11" spans="1:21" x14ac:dyDescent="0.3">
      <c r="A11" s="18" t="s">
        <v>59</v>
      </c>
      <c r="B11" s="18">
        <v>0</v>
      </c>
      <c r="C11" s="18">
        <v>1</v>
      </c>
      <c r="D11" s="18">
        <v>1</v>
      </c>
      <c r="E11" s="18">
        <v>3</v>
      </c>
      <c r="F11" s="18">
        <v>0</v>
      </c>
      <c r="G11" s="18">
        <v>0</v>
      </c>
      <c r="H11" s="18">
        <v>5</v>
      </c>
      <c r="Q11" s="16" t="s">
        <v>59</v>
      </c>
      <c r="R11" s="14">
        <f t="shared" si="0"/>
        <v>7.6923076923076925</v>
      </c>
      <c r="S11" s="14">
        <f t="shared" si="0"/>
        <v>7.6923076923076925</v>
      </c>
      <c r="T11" s="14">
        <f t="shared" si="0"/>
        <v>23.076923076923077</v>
      </c>
      <c r="U11" s="11">
        <f t="shared" si="1"/>
        <v>38.46153846153846</v>
      </c>
    </row>
    <row r="12" spans="1:21" x14ac:dyDescent="0.3">
      <c r="A12" s="18" t="s">
        <v>20</v>
      </c>
      <c r="B12" s="18">
        <v>2</v>
      </c>
      <c r="C12" s="18">
        <v>0</v>
      </c>
      <c r="D12" s="18">
        <v>0</v>
      </c>
      <c r="E12" s="18">
        <v>0</v>
      </c>
      <c r="F12" s="18">
        <v>1</v>
      </c>
      <c r="G12" s="18">
        <v>2</v>
      </c>
      <c r="H12" s="18">
        <v>5</v>
      </c>
      <c r="Q12" s="16" t="s">
        <v>20</v>
      </c>
      <c r="R12" s="14">
        <f t="shared" si="0"/>
        <v>0</v>
      </c>
      <c r="S12" s="14">
        <f t="shared" si="0"/>
        <v>0</v>
      </c>
      <c r="T12" s="14">
        <f t="shared" si="0"/>
        <v>0</v>
      </c>
      <c r="U12" s="11">
        <f t="shared" si="1"/>
        <v>0</v>
      </c>
    </row>
    <row r="13" spans="1:21" x14ac:dyDescent="0.3">
      <c r="A13" s="18" t="s">
        <v>29</v>
      </c>
      <c r="B13" s="18">
        <v>0</v>
      </c>
      <c r="C13" s="18">
        <v>0</v>
      </c>
      <c r="D13" s="18">
        <v>0</v>
      </c>
      <c r="E13" s="18">
        <v>2</v>
      </c>
      <c r="F13" s="18">
        <v>3</v>
      </c>
      <c r="G13" s="18">
        <v>1</v>
      </c>
      <c r="H13" s="18">
        <v>6</v>
      </c>
      <c r="Q13" s="16" t="s">
        <v>29</v>
      </c>
      <c r="R13" s="14">
        <f t="shared" si="0"/>
        <v>0</v>
      </c>
      <c r="S13" s="14">
        <f t="shared" si="0"/>
        <v>0</v>
      </c>
      <c r="T13" s="14">
        <f t="shared" si="0"/>
        <v>15.384615384615385</v>
      </c>
      <c r="U13" s="11">
        <f t="shared" si="1"/>
        <v>15.384615384615385</v>
      </c>
    </row>
    <row r="14" spans="1:21" ht="15" thickBot="1" x14ac:dyDescent="0.35">
      <c r="A14" s="18" t="s">
        <v>668</v>
      </c>
      <c r="B14" s="18">
        <v>182</v>
      </c>
      <c r="C14" s="18">
        <v>20</v>
      </c>
      <c r="D14" s="18">
        <v>27</v>
      </c>
      <c r="E14" s="18">
        <v>32</v>
      </c>
      <c r="F14" s="18">
        <v>13</v>
      </c>
      <c r="G14" s="18">
        <v>23</v>
      </c>
      <c r="H14" s="18">
        <v>297</v>
      </c>
      <c r="Q14" s="17" t="s">
        <v>690</v>
      </c>
      <c r="R14" s="12">
        <f t="shared" si="0"/>
        <v>153.84615384615387</v>
      </c>
      <c r="S14" s="12">
        <f t="shared" si="0"/>
        <v>207.69230769230771</v>
      </c>
      <c r="T14" s="12">
        <f t="shared" si="0"/>
        <v>246.15384615384616</v>
      </c>
      <c r="U14" s="13">
        <f>SUM(Q14:T14)</f>
        <v>607.69230769230774</v>
      </c>
    </row>
    <row r="15" spans="1:21" x14ac:dyDescent="0.3">
      <c r="A15" s="18" t="s">
        <v>114</v>
      </c>
      <c r="B15" s="18"/>
      <c r="C15" s="18"/>
      <c r="D15" s="18"/>
      <c r="E15" s="18"/>
      <c r="F15" s="18"/>
      <c r="G15" s="18"/>
      <c r="H15" s="18"/>
    </row>
    <row r="16" spans="1:21" x14ac:dyDescent="0.3">
      <c r="A16" s="18" t="s">
        <v>22</v>
      </c>
      <c r="B16" s="18">
        <v>10</v>
      </c>
      <c r="C16" s="18">
        <v>16</v>
      </c>
      <c r="D16" s="18">
        <v>10</v>
      </c>
      <c r="E16" s="18">
        <v>3</v>
      </c>
      <c r="F16" s="18">
        <v>1</v>
      </c>
      <c r="G16" s="18">
        <v>2</v>
      </c>
      <c r="H16" s="18">
        <v>42</v>
      </c>
    </row>
    <row r="17" spans="1:8" x14ac:dyDescent="0.3">
      <c r="A17" s="18" t="s">
        <v>16</v>
      </c>
      <c r="B17" s="18">
        <v>79</v>
      </c>
      <c r="C17" s="18">
        <v>25</v>
      </c>
      <c r="D17" s="18">
        <v>15</v>
      </c>
      <c r="E17" s="18">
        <v>12</v>
      </c>
      <c r="F17" s="18">
        <v>0</v>
      </c>
      <c r="G17" s="18">
        <v>3</v>
      </c>
      <c r="H17" s="18">
        <v>134</v>
      </c>
    </row>
    <row r="18" spans="1:8" x14ac:dyDescent="0.3">
      <c r="A18" s="18" t="s">
        <v>124</v>
      </c>
      <c r="B18" s="18">
        <v>5</v>
      </c>
      <c r="C18" s="18">
        <v>1</v>
      </c>
      <c r="D18" s="18">
        <v>0</v>
      </c>
      <c r="E18" s="18">
        <v>0</v>
      </c>
      <c r="F18" s="18">
        <v>0</v>
      </c>
      <c r="G18" s="18">
        <v>0</v>
      </c>
      <c r="H18" s="18">
        <v>6</v>
      </c>
    </row>
    <row r="19" spans="1:8" x14ac:dyDescent="0.3">
      <c r="A19" s="18" t="s">
        <v>127</v>
      </c>
      <c r="B19" s="18">
        <v>0</v>
      </c>
      <c r="C19" s="18">
        <v>1</v>
      </c>
      <c r="D19" s="18">
        <v>0</v>
      </c>
      <c r="E19" s="18">
        <v>0</v>
      </c>
      <c r="F19" s="18">
        <v>0</v>
      </c>
      <c r="G19" s="18">
        <v>0</v>
      </c>
      <c r="H19" s="18">
        <v>1</v>
      </c>
    </row>
    <row r="20" spans="1:8" x14ac:dyDescent="0.3">
      <c r="A20" s="18" t="s">
        <v>64</v>
      </c>
      <c r="B20" s="18">
        <v>42</v>
      </c>
      <c r="C20" s="18">
        <v>9</v>
      </c>
      <c r="D20" s="18">
        <v>11</v>
      </c>
      <c r="E20" s="18">
        <v>3</v>
      </c>
      <c r="F20" s="18">
        <v>1</v>
      </c>
      <c r="G20" s="18">
        <v>3</v>
      </c>
      <c r="H20" s="18">
        <v>69</v>
      </c>
    </row>
    <row r="21" spans="1:8" x14ac:dyDescent="0.3">
      <c r="A21" s="18" t="s">
        <v>55</v>
      </c>
      <c r="B21" s="18">
        <v>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1</v>
      </c>
    </row>
    <row r="22" spans="1:8" x14ac:dyDescent="0.3">
      <c r="A22" s="18" t="s">
        <v>59</v>
      </c>
      <c r="B22" s="18">
        <v>0</v>
      </c>
      <c r="C22" s="18">
        <v>1</v>
      </c>
      <c r="D22" s="18">
        <v>0</v>
      </c>
      <c r="E22" s="18">
        <v>0</v>
      </c>
      <c r="F22" s="18">
        <v>0</v>
      </c>
      <c r="G22" s="18">
        <v>0</v>
      </c>
      <c r="H22" s="18">
        <v>1</v>
      </c>
    </row>
    <row r="23" spans="1:8" x14ac:dyDescent="0.3">
      <c r="A23" s="18" t="s">
        <v>117</v>
      </c>
      <c r="B23" s="18">
        <v>7</v>
      </c>
      <c r="C23" s="18">
        <v>1</v>
      </c>
      <c r="D23" s="18">
        <v>1</v>
      </c>
      <c r="E23" s="18">
        <v>0</v>
      </c>
      <c r="F23" s="18">
        <v>0</v>
      </c>
      <c r="G23" s="18">
        <v>0</v>
      </c>
      <c r="H23" s="18">
        <v>9</v>
      </c>
    </row>
    <row r="24" spans="1:8" x14ac:dyDescent="0.3">
      <c r="A24" s="18" t="s">
        <v>20</v>
      </c>
      <c r="B24" s="18">
        <v>3</v>
      </c>
      <c r="C24" s="18">
        <v>5</v>
      </c>
      <c r="D24" s="18">
        <v>1</v>
      </c>
      <c r="E24" s="18">
        <v>1</v>
      </c>
      <c r="F24" s="18">
        <v>1</v>
      </c>
      <c r="G24" s="18">
        <v>0</v>
      </c>
      <c r="H24" s="18">
        <v>11</v>
      </c>
    </row>
    <row r="25" spans="1:8" x14ac:dyDescent="0.3">
      <c r="A25" s="18" t="s">
        <v>129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1</v>
      </c>
      <c r="H25" s="18">
        <v>2</v>
      </c>
    </row>
    <row r="26" spans="1:8" x14ac:dyDescent="0.3">
      <c r="A26" s="18" t="s">
        <v>118</v>
      </c>
      <c r="B26" s="18">
        <v>0</v>
      </c>
      <c r="C26" s="18">
        <v>0</v>
      </c>
      <c r="D26" s="18">
        <v>0</v>
      </c>
      <c r="E26" s="18">
        <v>2</v>
      </c>
      <c r="F26" s="18">
        <v>1</v>
      </c>
      <c r="G26" s="18">
        <v>3</v>
      </c>
      <c r="H26" s="18">
        <v>6</v>
      </c>
    </row>
    <row r="27" spans="1:8" x14ac:dyDescent="0.3">
      <c r="A27" s="18" t="s">
        <v>123</v>
      </c>
      <c r="B27" s="18">
        <v>0</v>
      </c>
      <c r="C27" s="18">
        <v>0</v>
      </c>
      <c r="D27" s="18">
        <v>0</v>
      </c>
      <c r="E27" s="18">
        <v>4</v>
      </c>
      <c r="F27" s="18">
        <v>1</v>
      </c>
      <c r="G27" s="18">
        <v>6</v>
      </c>
      <c r="H27" s="18">
        <v>11</v>
      </c>
    </row>
    <row r="28" spans="1:8" x14ac:dyDescent="0.3">
      <c r="A28" s="18" t="s">
        <v>669</v>
      </c>
      <c r="B28" s="18">
        <v>147</v>
      </c>
      <c r="C28" s="18">
        <v>59</v>
      </c>
      <c r="D28" s="18">
        <v>38</v>
      </c>
      <c r="E28" s="18">
        <v>26</v>
      </c>
      <c r="F28" s="18">
        <v>5</v>
      </c>
      <c r="G28" s="18">
        <v>18</v>
      </c>
      <c r="H28" s="18">
        <v>293</v>
      </c>
    </row>
    <row r="29" spans="1:8" x14ac:dyDescent="0.3">
      <c r="A29" s="18" t="s">
        <v>213</v>
      </c>
      <c r="B29" s="18"/>
      <c r="C29" s="18"/>
      <c r="D29" s="18"/>
      <c r="E29" s="18"/>
      <c r="F29" s="18"/>
      <c r="G29" s="18"/>
      <c r="H29" s="18"/>
    </row>
    <row r="30" spans="1:8" x14ac:dyDescent="0.3">
      <c r="A30" s="18" t="s">
        <v>22</v>
      </c>
      <c r="B30" s="18">
        <v>1</v>
      </c>
      <c r="C30" s="18">
        <v>17</v>
      </c>
      <c r="D30" s="18">
        <v>22</v>
      </c>
      <c r="E30" s="18">
        <v>24</v>
      </c>
      <c r="F30" s="18">
        <v>2</v>
      </c>
      <c r="G30" s="18">
        <v>2</v>
      </c>
      <c r="H30" s="18">
        <v>68</v>
      </c>
    </row>
    <row r="31" spans="1:8" x14ac:dyDescent="0.3">
      <c r="A31" s="18" t="s">
        <v>16</v>
      </c>
      <c r="B31" s="18">
        <v>105</v>
      </c>
      <c r="C31" s="18">
        <v>11</v>
      </c>
      <c r="D31" s="18">
        <v>6</v>
      </c>
      <c r="E31" s="18">
        <v>3</v>
      </c>
      <c r="F31" s="18">
        <v>0</v>
      </c>
      <c r="G31" s="18">
        <v>0</v>
      </c>
      <c r="H31" s="18">
        <v>125</v>
      </c>
    </row>
    <row r="32" spans="1:8" x14ac:dyDescent="0.3">
      <c r="A32" s="18" t="s">
        <v>235</v>
      </c>
      <c r="B32" s="18">
        <v>2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2</v>
      </c>
    </row>
    <row r="33" spans="1:8" x14ac:dyDescent="0.3">
      <c r="A33" s="18" t="s">
        <v>216</v>
      </c>
      <c r="B33" s="18">
        <v>0</v>
      </c>
      <c r="C33" s="18">
        <v>1</v>
      </c>
      <c r="D33" s="18">
        <v>1</v>
      </c>
      <c r="E33" s="18">
        <v>0</v>
      </c>
      <c r="F33" s="18">
        <v>0</v>
      </c>
      <c r="G33" s="18">
        <v>0</v>
      </c>
      <c r="H33" s="18">
        <v>2</v>
      </c>
    </row>
    <row r="34" spans="1:8" x14ac:dyDescent="0.3">
      <c r="A34" s="18" t="s">
        <v>64</v>
      </c>
      <c r="B34" s="18">
        <v>17</v>
      </c>
      <c r="C34" s="18">
        <v>5</v>
      </c>
      <c r="D34" s="18">
        <v>0</v>
      </c>
      <c r="E34" s="18">
        <v>0</v>
      </c>
      <c r="F34" s="18">
        <v>0</v>
      </c>
      <c r="G34" s="18">
        <v>0</v>
      </c>
      <c r="H34" s="18">
        <v>22</v>
      </c>
    </row>
    <row r="35" spans="1:8" x14ac:dyDescent="0.3">
      <c r="A35" s="18" t="s">
        <v>185</v>
      </c>
      <c r="B35" s="18">
        <v>2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2</v>
      </c>
    </row>
    <row r="36" spans="1:8" x14ac:dyDescent="0.3">
      <c r="A36" s="18" t="s">
        <v>24</v>
      </c>
      <c r="B36" s="18">
        <v>0</v>
      </c>
      <c r="C36" s="18">
        <v>0</v>
      </c>
      <c r="D36" s="18">
        <v>1</v>
      </c>
      <c r="E36" s="18">
        <v>15</v>
      </c>
      <c r="F36" s="18">
        <v>11</v>
      </c>
      <c r="G36" s="18">
        <v>2</v>
      </c>
      <c r="H36" s="18">
        <v>29</v>
      </c>
    </row>
    <row r="37" spans="1:8" x14ac:dyDescent="0.3">
      <c r="A37" s="18" t="s">
        <v>117</v>
      </c>
      <c r="B37" s="18">
        <v>1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1</v>
      </c>
    </row>
    <row r="38" spans="1:8" x14ac:dyDescent="0.3">
      <c r="A38" s="18" t="s">
        <v>123</v>
      </c>
      <c r="B38" s="18">
        <v>0</v>
      </c>
      <c r="C38" s="18">
        <v>0</v>
      </c>
      <c r="D38" s="18">
        <v>0</v>
      </c>
      <c r="E38" s="18">
        <v>5</v>
      </c>
      <c r="F38" s="18">
        <v>2</v>
      </c>
      <c r="G38" s="18">
        <v>7</v>
      </c>
      <c r="H38" s="18">
        <v>14</v>
      </c>
    </row>
    <row r="39" spans="1:8" x14ac:dyDescent="0.3">
      <c r="A39" s="18" t="s">
        <v>670</v>
      </c>
      <c r="B39" s="18">
        <v>128</v>
      </c>
      <c r="C39" s="18">
        <v>34</v>
      </c>
      <c r="D39" s="18">
        <v>30</v>
      </c>
      <c r="E39" s="18">
        <v>47</v>
      </c>
      <c r="F39" s="18">
        <v>15</v>
      </c>
      <c r="G39" s="18">
        <v>11</v>
      </c>
      <c r="H39" s="18">
        <v>265</v>
      </c>
    </row>
    <row r="40" spans="1:8" x14ac:dyDescent="0.3">
      <c r="A40" s="18" t="s">
        <v>293</v>
      </c>
      <c r="B40" s="18"/>
      <c r="C40" s="18"/>
      <c r="D40" s="18"/>
      <c r="E40" s="18"/>
      <c r="F40" s="18"/>
      <c r="G40" s="18"/>
      <c r="H40" s="18"/>
    </row>
    <row r="41" spans="1:8" x14ac:dyDescent="0.3">
      <c r="A41" s="18" t="s">
        <v>22</v>
      </c>
      <c r="B41" s="18">
        <v>5</v>
      </c>
      <c r="C41" s="18">
        <v>3</v>
      </c>
      <c r="D41" s="18">
        <v>4</v>
      </c>
      <c r="E41" s="18">
        <v>9</v>
      </c>
      <c r="F41" s="18">
        <v>5</v>
      </c>
      <c r="G41" s="18">
        <v>7</v>
      </c>
      <c r="H41" s="18">
        <v>33</v>
      </c>
    </row>
    <row r="42" spans="1:8" x14ac:dyDescent="0.3">
      <c r="A42" s="18" t="s">
        <v>16</v>
      </c>
      <c r="B42" s="18">
        <v>128</v>
      </c>
      <c r="C42" s="18">
        <v>59</v>
      </c>
      <c r="D42" s="18">
        <v>11</v>
      </c>
      <c r="E42" s="18">
        <v>4</v>
      </c>
      <c r="F42" s="18">
        <v>1</v>
      </c>
      <c r="G42" s="18">
        <v>1</v>
      </c>
      <c r="H42" s="18">
        <v>204</v>
      </c>
    </row>
    <row r="43" spans="1:8" x14ac:dyDescent="0.3">
      <c r="A43" s="18" t="s">
        <v>64</v>
      </c>
      <c r="B43" s="18">
        <v>10</v>
      </c>
      <c r="C43" s="18">
        <v>5</v>
      </c>
      <c r="D43" s="18">
        <v>4</v>
      </c>
      <c r="E43" s="18">
        <v>3</v>
      </c>
      <c r="F43" s="18">
        <v>2</v>
      </c>
      <c r="G43" s="18">
        <v>1</v>
      </c>
      <c r="H43" s="18">
        <v>25</v>
      </c>
    </row>
    <row r="44" spans="1:8" x14ac:dyDescent="0.3">
      <c r="A44" s="18" t="s">
        <v>185</v>
      </c>
      <c r="B44" s="18">
        <v>0</v>
      </c>
      <c r="C44" s="18">
        <v>0</v>
      </c>
      <c r="D44" s="18">
        <v>1</v>
      </c>
      <c r="E44" s="18">
        <v>0</v>
      </c>
      <c r="F44" s="18">
        <v>0</v>
      </c>
      <c r="G44" s="18">
        <v>0</v>
      </c>
      <c r="H44" s="18">
        <v>1</v>
      </c>
    </row>
    <row r="45" spans="1:8" x14ac:dyDescent="0.3">
      <c r="A45" s="18" t="s">
        <v>24</v>
      </c>
      <c r="B45" s="18">
        <v>0</v>
      </c>
      <c r="C45" s="18">
        <v>0</v>
      </c>
      <c r="D45" s="18">
        <v>0</v>
      </c>
      <c r="E45" s="18">
        <v>0</v>
      </c>
      <c r="F45" s="18">
        <v>3</v>
      </c>
      <c r="G45" s="18">
        <v>4</v>
      </c>
      <c r="H45" s="18">
        <v>7</v>
      </c>
    </row>
    <row r="46" spans="1:8" x14ac:dyDescent="0.3">
      <c r="A46" s="18" t="s">
        <v>55</v>
      </c>
      <c r="B46" s="18">
        <v>1</v>
      </c>
      <c r="C46" s="18">
        <v>0</v>
      </c>
      <c r="D46" s="18">
        <v>0</v>
      </c>
      <c r="E46" s="18">
        <v>0</v>
      </c>
      <c r="F46" s="18">
        <v>1</v>
      </c>
      <c r="G46" s="18">
        <v>5</v>
      </c>
      <c r="H46" s="18">
        <v>7</v>
      </c>
    </row>
    <row r="47" spans="1:8" x14ac:dyDescent="0.3">
      <c r="A47" s="18" t="s">
        <v>59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0</v>
      </c>
      <c r="H47" s="18">
        <v>2</v>
      </c>
    </row>
    <row r="48" spans="1:8" x14ac:dyDescent="0.3">
      <c r="A48" s="18" t="s">
        <v>20</v>
      </c>
      <c r="B48" s="18">
        <v>1</v>
      </c>
      <c r="C48" s="18">
        <v>1</v>
      </c>
      <c r="D48" s="18">
        <v>0</v>
      </c>
      <c r="E48" s="18">
        <v>0</v>
      </c>
      <c r="F48" s="18">
        <v>1</v>
      </c>
      <c r="G48" s="18">
        <v>2</v>
      </c>
      <c r="H48" s="18">
        <v>5</v>
      </c>
    </row>
    <row r="49" spans="1:8" x14ac:dyDescent="0.3">
      <c r="A49" s="18" t="s">
        <v>123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1</v>
      </c>
      <c r="H49" s="18">
        <v>1</v>
      </c>
    </row>
    <row r="50" spans="1:8" x14ac:dyDescent="0.3">
      <c r="A50" s="18" t="s">
        <v>29</v>
      </c>
      <c r="B50" s="18">
        <v>7</v>
      </c>
      <c r="C50" s="18">
        <v>0</v>
      </c>
      <c r="D50" s="18">
        <v>0</v>
      </c>
      <c r="E50" s="18">
        <v>0</v>
      </c>
      <c r="F50" s="18">
        <v>1</v>
      </c>
      <c r="G50" s="18">
        <v>1</v>
      </c>
      <c r="H50" s="18">
        <v>9</v>
      </c>
    </row>
    <row r="51" spans="1:8" x14ac:dyDescent="0.3">
      <c r="A51" s="18" t="s">
        <v>312</v>
      </c>
      <c r="B51" s="18">
        <v>0</v>
      </c>
      <c r="C51" s="18">
        <v>2</v>
      </c>
      <c r="D51" s="18">
        <v>0</v>
      </c>
      <c r="E51" s="18">
        <v>0</v>
      </c>
      <c r="F51" s="18">
        <v>0</v>
      </c>
      <c r="G51" s="18">
        <v>0</v>
      </c>
      <c r="H51" s="18">
        <v>2</v>
      </c>
    </row>
    <row r="52" spans="1:8" x14ac:dyDescent="0.3">
      <c r="A52" s="18" t="s">
        <v>671</v>
      </c>
      <c r="B52" s="18">
        <v>152</v>
      </c>
      <c r="C52" s="18">
        <v>70</v>
      </c>
      <c r="D52" s="18">
        <v>20</v>
      </c>
      <c r="E52" s="18">
        <v>18</v>
      </c>
      <c r="F52" s="18">
        <v>14</v>
      </c>
      <c r="G52" s="18">
        <v>22</v>
      </c>
      <c r="H52" s="18">
        <v>296</v>
      </c>
    </row>
    <row r="53" spans="1:8" x14ac:dyDescent="0.3">
      <c r="A53" s="18" t="s">
        <v>240</v>
      </c>
      <c r="B53" s="18"/>
      <c r="C53" s="18"/>
      <c r="D53" s="18"/>
      <c r="E53" s="18"/>
      <c r="F53" s="18"/>
      <c r="G53" s="18"/>
      <c r="H53" s="18"/>
    </row>
    <row r="54" spans="1:8" x14ac:dyDescent="0.3">
      <c r="A54" s="18" t="s">
        <v>22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1</v>
      </c>
      <c r="H54" s="18">
        <v>1</v>
      </c>
    </row>
    <row r="55" spans="1:8" x14ac:dyDescent="0.3">
      <c r="A55" s="18" t="s">
        <v>16</v>
      </c>
      <c r="B55" s="18">
        <v>104</v>
      </c>
      <c r="C55" s="18">
        <v>53</v>
      </c>
      <c r="D55" s="18">
        <v>46</v>
      </c>
      <c r="E55" s="18">
        <v>15</v>
      </c>
      <c r="F55" s="18">
        <v>2</v>
      </c>
      <c r="G55" s="18">
        <v>2</v>
      </c>
      <c r="H55" s="18">
        <v>222</v>
      </c>
    </row>
    <row r="56" spans="1:8" x14ac:dyDescent="0.3">
      <c r="A56" s="18" t="s">
        <v>235</v>
      </c>
      <c r="B56" s="18">
        <v>0</v>
      </c>
      <c r="C56" s="18">
        <v>1</v>
      </c>
      <c r="D56" s="18">
        <v>0</v>
      </c>
      <c r="E56" s="18">
        <v>0</v>
      </c>
      <c r="F56" s="18">
        <v>0</v>
      </c>
      <c r="G56" s="18">
        <v>0</v>
      </c>
      <c r="H56" s="18">
        <v>1</v>
      </c>
    </row>
    <row r="57" spans="1:8" x14ac:dyDescent="0.3">
      <c r="A57" s="18" t="s">
        <v>187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1</v>
      </c>
      <c r="H57" s="18">
        <v>1</v>
      </c>
    </row>
    <row r="58" spans="1:8" x14ac:dyDescent="0.3">
      <c r="A58" s="18" t="s">
        <v>64</v>
      </c>
      <c r="B58" s="18">
        <v>58</v>
      </c>
      <c r="C58" s="18">
        <v>27</v>
      </c>
      <c r="D58" s="18">
        <v>6</v>
      </c>
      <c r="E58" s="18">
        <v>1</v>
      </c>
      <c r="F58" s="18">
        <v>0</v>
      </c>
      <c r="G58" s="18">
        <v>3</v>
      </c>
      <c r="H58" s="18">
        <v>95</v>
      </c>
    </row>
    <row r="59" spans="1:8" x14ac:dyDescent="0.3">
      <c r="A59" s="18" t="s">
        <v>24</v>
      </c>
      <c r="B59" s="18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2</v>
      </c>
      <c r="H59" s="18">
        <v>20</v>
      </c>
    </row>
    <row r="60" spans="1:8" x14ac:dyDescent="0.3">
      <c r="A60" s="18" t="s">
        <v>55</v>
      </c>
      <c r="B60" s="18">
        <v>5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5</v>
      </c>
    </row>
    <row r="61" spans="1:8" x14ac:dyDescent="0.3">
      <c r="A61" s="18" t="s">
        <v>59</v>
      </c>
      <c r="B61" s="18">
        <v>0</v>
      </c>
      <c r="C61" s="18">
        <v>1</v>
      </c>
      <c r="D61" s="18">
        <v>0</v>
      </c>
      <c r="E61" s="18">
        <v>0</v>
      </c>
      <c r="F61" s="18">
        <v>0</v>
      </c>
      <c r="G61" s="18">
        <v>0</v>
      </c>
      <c r="H61" s="18">
        <v>1</v>
      </c>
    </row>
    <row r="62" spans="1:8" x14ac:dyDescent="0.3">
      <c r="A62" s="18" t="s">
        <v>20</v>
      </c>
      <c r="B62" s="18">
        <v>0</v>
      </c>
      <c r="C62" s="18">
        <v>1</v>
      </c>
      <c r="D62" s="18">
        <v>1</v>
      </c>
      <c r="E62" s="18">
        <v>0</v>
      </c>
      <c r="F62" s="18">
        <v>0</v>
      </c>
      <c r="G62" s="18">
        <v>0</v>
      </c>
      <c r="H62" s="18">
        <v>2</v>
      </c>
    </row>
    <row r="63" spans="1:8" x14ac:dyDescent="0.3">
      <c r="A63" s="18" t="s">
        <v>180</v>
      </c>
      <c r="B63" s="18">
        <v>0</v>
      </c>
      <c r="C63" s="18">
        <v>0</v>
      </c>
      <c r="D63" s="18">
        <v>2</v>
      </c>
      <c r="E63" s="18">
        <v>0</v>
      </c>
      <c r="F63" s="18">
        <v>0</v>
      </c>
      <c r="G63" s="18">
        <v>1</v>
      </c>
      <c r="H63" s="18">
        <v>3</v>
      </c>
    </row>
    <row r="64" spans="1:8" x14ac:dyDescent="0.3">
      <c r="A64" s="18" t="s">
        <v>672</v>
      </c>
      <c r="B64" s="18">
        <v>185</v>
      </c>
      <c r="C64" s="18">
        <v>83</v>
      </c>
      <c r="D64" s="18">
        <v>55</v>
      </c>
      <c r="E64" s="18">
        <v>16</v>
      </c>
      <c r="F64" s="18">
        <v>2</v>
      </c>
      <c r="G64" s="18">
        <v>10</v>
      </c>
      <c r="H64" s="18">
        <v>351</v>
      </c>
    </row>
    <row r="65" spans="1:8" x14ac:dyDescent="0.3">
      <c r="A65" s="18" t="s">
        <v>177</v>
      </c>
      <c r="B65" s="18"/>
      <c r="C65" s="18"/>
      <c r="D65" s="18"/>
      <c r="E65" s="18"/>
      <c r="F65" s="18"/>
      <c r="G65" s="18"/>
      <c r="H65" s="18"/>
    </row>
    <row r="66" spans="1:8" x14ac:dyDescent="0.3">
      <c r="A66" s="18" t="s">
        <v>22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1</v>
      </c>
      <c r="H66" s="18">
        <v>1</v>
      </c>
    </row>
    <row r="67" spans="1:8" x14ac:dyDescent="0.3">
      <c r="A67" s="18" t="s">
        <v>16</v>
      </c>
      <c r="B67" s="18">
        <v>61</v>
      </c>
      <c r="C67" s="18">
        <v>51</v>
      </c>
      <c r="D67" s="18">
        <v>17</v>
      </c>
      <c r="E67" s="18">
        <v>13</v>
      </c>
      <c r="F67" s="18">
        <v>3</v>
      </c>
      <c r="G67" s="18">
        <v>4</v>
      </c>
      <c r="H67" s="18">
        <v>149</v>
      </c>
    </row>
    <row r="68" spans="1:8" x14ac:dyDescent="0.3">
      <c r="A68" s="18" t="s">
        <v>187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1</v>
      </c>
      <c r="H68" s="18">
        <v>1</v>
      </c>
    </row>
    <row r="69" spans="1:8" x14ac:dyDescent="0.3">
      <c r="A69" s="18" t="s">
        <v>64</v>
      </c>
      <c r="B69" s="18">
        <v>14</v>
      </c>
      <c r="C69" s="18">
        <v>10</v>
      </c>
      <c r="D69" s="18">
        <v>2</v>
      </c>
      <c r="E69" s="18">
        <v>2</v>
      </c>
      <c r="F69" s="18">
        <v>1</v>
      </c>
      <c r="G69" s="18">
        <v>2</v>
      </c>
      <c r="H69" s="18">
        <v>31</v>
      </c>
    </row>
    <row r="70" spans="1:8" x14ac:dyDescent="0.3">
      <c r="A70" s="18" t="s">
        <v>185</v>
      </c>
      <c r="B70" s="18">
        <v>1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1</v>
      </c>
    </row>
    <row r="71" spans="1:8" x14ac:dyDescent="0.3">
      <c r="A71" s="18" t="s">
        <v>189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6</v>
      </c>
      <c r="H71" s="18">
        <v>6</v>
      </c>
    </row>
    <row r="72" spans="1:8" x14ac:dyDescent="0.3">
      <c r="A72" s="18" t="s">
        <v>24</v>
      </c>
      <c r="B72" s="18">
        <v>1</v>
      </c>
      <c r="C72" s="18">
        <v>0</v>
      </c>
      <c r="D72" s="18">
        <v>0</v>
      </c>
      <c r="E72" s="18">
        <v>0</v>
      </c>
      <c r="F72" s="18">
        <v>0</v>
      </c>
      <c r="G72" s="18">
        <v>1</v>
      </c>
      <c r="H72" s="18">
        <v>2</v>
      </c>
    </row>
    <row r="73" spans="1:8" x14ac:dyDescent="0.3">
      <c r="A73" s="18" t="s">
        <v>20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3</v>
      </c>
      <c r="H73" s="18">
        <v>3</v>
      </c>
    </row>
    <row r="74" spans="1:8" x14ac:dyDescent="0.3">
      <c r="A74" s="18" t="s">
        <v>123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1</v>
      </c>
      <c r="H74" s="18">
        <v>1</v>
      </c>
    </row>
    <row r="75" spans="1:8" x14ac:dyDescent="0.3">
      <c r="A75" s="18" t="s">
        <v>180</v>
      </c>
      <c r="B75" s="18">
        <v>0</v>
      </c>
      <c r="C75" s="18">
        <v>0</v>
      </c>
      <c r="D75" s="18">
        <v>2</v>
      </c>
      <c r="E75" s="18">
        <v>0</v>
      </c>
      <c r="F75" s="18">
        <v>1</v>
      </c>
      <c r="G75" s="18">
        <v>0</v>
      </c>
      <c r="H75" s="18">
        <v>3</v>
      </c>
    </row>
    <row r="76" spans="1:8" x14ac:dyDescent="0.3">
      <c r="A76" s="18" t="s">
        <v>673</v>
      </c>
      <c r="B76" s="18">
        <v>77</v>
      </c>
      <c r="C76" s="18">
        <v>61</v>
      </c>
      <c r="D76" s="18">
        <v>21</v>
      </c>
      <c r="E76" s="18">
        <v>15</v>
      </c>
      <c r="F76" s="18">
        <v>5</v>
      </c>
      <c r="G76" s="18">
        <v>19</v>
      </c>
      <c r="H76" s="18">
        <v>198</v>
      </c>
    </row>
    <row r="77" spans="1:8" x14ac:dyDescent="0.3">
      <c r="A77" s="18" t="s">
        <v>351</v>
      </c>
      <c r="B77" s="18"/>
      <c r="C77" s="18"/>
      <c r="D77" s="18"/>
      <c r="E77" s="18"/>
      <c r="F77" s="18"/>
      <c r="G77" s="18"/>
      <c r="H77" s="18"/>
    </row>
    <row r="78" spans="1:8" x14ac:dyDescent="0.3">
      <c r="A78" s="18" t="s">
        <v>16</v>
      </c>
      <c r="B78" s="18">
        <v>20</v>
      </c>
      <c r="C78" s="18">
        <v>41</v>
      </c>
      <c r="D78" s="18">
        <v>25</v>
      </c>
      <c r="E78" s="18">
        <v>5</v>
      </c>
      <c r="F78" s="18">
        <v>2</v>
      </c>
      <c r="G78" s="18">
        <v>2</v>
      </c>
      <c r="H78" s="18">
        <v>95</v>
      </c>
    </row>
    <row r="79" spans="1:8" x14ac:dyDescent="0.3">
      <c r="A79" s="18" t="s">
        <v>64</v>
      </c>
      <c r="B79" s="18">
        <v>22</v>
      </c>
      <c r="C79" s="18">
        <v>14</v>
      </c>
      <c r="D79" s="18">
        <v>10</v>
      </c>
      <c r="E79" s="18">
        <v>3</v>
      </c>
      <c r="F79" s="18">
        <v>3</v>
      </c>
      <c r="G79" s="18">
        <v>9</v>
      </c>
      <c r="H79" s="18">
        <v>61</v>
      </c>
    </row>
    <row r="80" spans="1:8" x14ac:dyDescent="0.3">
      <c r="A80" s="18" t="s">
        <v>24</v>
      </c>
      <c r="B80" s="18">
        <v>145</v>
      </c>
      <c r="C80" s="18">
        <v>0</v>
      </c>
      <c r="D80" s="18">
        <v>0</v>
      </c>
      <c r="E80" s="18">
        <v>4</v>
      </c>
      <c r="F80" s="18">
        <v>0</v>
      </c>
      <c r="G80" s="18">
        <v>2</v>
      </c>
      <c r="H80" s="18">
        <v>151</v>
      </c>
    </row>
    <row r="81" spans="1:8" x14ac:dyDescent="0.3">
      <c r="A81" s="18" t="s">
        <v>55</v>
      </c>
      <c r="B81" s="18">
        <v>1</v>
      </c>
      <c r="C81" s="18">
        <v>1</v>
      </c>
      <c r="D81" s="18">
        <v>3</v>
      </c>
      <c r="E81" s="18">
        <v>2</v>
      </c>
      <c r="F81" s="18">
        <v>0</v>
      </c>
      <c r="G81" s="18">
        <v>0</v>
      </c>
      <c r="H81" s="18">
        <v>7</v>
      </c>
    </row>
    <row r="82" spans="1:8" x14ac:dyDescent="0.3">
      <c r="A82" s="18" t="s">
        <v>117</v>
      </c>
      <c r="B82" s="18">
        <v>1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1</v>
      </c>
    </row>
    <row r="83" spans="1:8" x14ac:dyDescent="0.3">
      <c r="A83" s="18" t="s">
        <v>415</v>
      </c>
      <c r="B83" s="18">
        <v>1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1</v>
      </c>
    </row>
    <row r="84" spans="1:8" x14ac:dyDescent="0.3">
      <c r="A84" s="18" t="s">
        <v>674</v>
      </c>
      <c r="B84" s="18">
        <v>190</v>
      </c>
      <c r="C84" s="18">
        <v>56</v>
      </c>
      <c r="D84" s="18">
        <v>38</v>
      </c>
      <c r="E84" s="18">
        <v>14</v>
      </c>
      <c r="F84" s="18">
        <v>5</v>
      </c>
      <c r="G84" s="18">
        <v>13</v>
      </c>
      <c r="H84" s="18">
        <v>316</v>
      </c>
    </row>
    <row r="85" spans="1:8" x14ac:dyDescent="0.3">
      <c r="A85" s="18" t="s">
        <v>427</v>
      </c>
      <c r="B85" s="18"/>
      <c r="C85" s="18"/>
      <c r="D85" s="18"/>
      <c r="E85" s="18"/>
      <c r="F85" s="18"/>
      <c r="G85" s="18"/>
      <c r="H85" s="18"/>
    </row>
    <row r="86" spans="1:8" x14ac:dyDescent="0.3">
      <c r="A86" s="18" t="s">
        <v>22</v>
      </c>
      <c r="B86" s="18">
        <v>2</v>
      </c>
      <c r="C86" s="18">
        <v>7</v>
      </c>
      <c r="D86" s="18">
        <v>6</v>
      </c>
      <c r="E86" s="18">
        <v>5</v>
      </c>
      <c r="F86" s="18">
        <v>1</v>
      </c>
      <c r="G86" s="18">
        <v>2</v>
      </c>
      <c r="H86" s="18">
        <v>23</v>
      </c>
    </row>
    <row r="87" spans="1:8" x14ac:dyDescent="0.3">
      <c r="A87" s="18" t="s">
        <v>16</v>
      </c>
      <c r="B87" s="18">
        <v>15</v>
      </c>
      <c r="C87" s="18">
        <v>13</v>
      </c>
      <c r="D87" s="18">
        <v>1</v>
      </c>
      <c r="E87" s="18">
        <v>1</v>
      </c>
      <c r="F87" s="18">
        <v>0</v>
      </c>
      <c r="G87" s="18">
        <v>0</v>
      </c>
      <c r="H87" s="18">
        <v>30</v>
      </c>
    </row>
    <row r="88" spans="1:8" x14ac:dyDescent="0.3">
      <c r="A88" s="18" t="s">
        <v>64</v>
      </c>
      <c r="B88" s="18">
        <v>40</v>
      </c>
      <c r="C88" s="18">
        <v>24</v>
      </c>
      <c r="D88" s="18">
        <v>5</v>
      </c>
      <c r="E88" s="18">
        <v>0</v>
      </c>
      <c r="F88" s="18">
        <v>0</v>
      </c>
      <c r="G88" s="18">
        <v>2</v>
      </c>
      <c r="H88" s="18">
        <v>71</v>
      </c>
    </row>
    <row r="89" spans="1:8" x14ac:dyDescent="0.3">
      <c r="A89" s="18" t="s">
        <v>24</v>
      </c>
      <c r="B89" s="18">
        <v>1</v>
      </c>
      <c r="C89" s="18">
        <v>0</v>
      </c>
      <c r="D89" s="18">
        <v>3</v>
      </c>
      <c r="E89" s="18">
        <v>2</v>
      </c>
      <c r="F89" s="18">
        <v>0</v>
      </c>
      <c r="G89" s="18">
        <v>1</v>
      </c>
      <c r="H89" s="18">
        <v>7</v>
      </c>
    </row>
    <row r="90" spans="1:8" x14ac:dyDescent="0.3">
      <c r="A90" s="18" t="s">
        <v>55</v>
      </c>
      <c r="B90" s="18">
        <v>0</v>
      </c>
      <c r="C90" s="18">
        <v>0</v>
      </c>
      <c r="D90" s="18">
        <v>1</v>
      </c>
      <c r="E90" s="18">
        <v>3</v>
      </c>
      <c r="F90" s="18">
        <v>1</v>
      </c>
      <c r="G90" s="18">
        <v>0</v>
      </c>
      <c r="H90" s="18">
        <v>5</v>
      </c>
    </row>
    <row r="91" spans="1:8" x14ac:dyDescent="0.3">
      <c r="A91" s="18" t="s">
        <v>59</v>
      </c>
      <c r="B91" s="18">
        <v>1</v>
      </c>
      <c r="C91" s="18">
        <v>0</v>
      </c>
      <c r="D91" s="18">
        <v>0</v>
      </c>
      <c r="E91" s="18">
        <v>0</v>
      </c>
      <c r="F91" s="18">
        <v>0</v>
      </c>
      <c r="G91" s="18">
        <v>1</v>
      </c>
      <c r="H91" s="18">
        <v>2</v>
      </c>
    </row>
    <row r="92" spans="1:8" x14ac:dyDescent="0.3">
      <c r="A92" s="18" t="s">
        <v>20</v>
      </c>
      <c r="B92" s="18">
        <v>1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1</v>
      </c>
    </row>
    <row r="93" spans="1:8" x14ac:dyDescent="0.3">
      <c r="A93" s="18" t="s">
        <v>118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5</v>
      </c>
      <c r="H93" s="18">
        <v>5</v>
      </c>
    </row>
    <row r="94" spans="1:8" x14ac:dyDescent="0.3">
      <c r="A94" s="18" t="s">
        <v>123</v>
      </c>
      <c r="B94" s="18">
        <v>0</v>
      </c>
      <c r="C94" s="18">
        <v>0</v>
      </c>
      <c r="D94" s="18">
        <v>0</v>
      </c>
      <c r="E94" s="18">
        <v>1</v>
      </c>
      <c r="F94" s="18">
        <v>0</v>
      </c>
      <c r="G94" s="18">
        <v>1</v>
      </c>
      <c r="H94" s="18">
        <v>2</v>
      </c>
    </row>
    <row r="95" spans="1:8" x14ac:dyDescent="0.3">
      <c r="A95" s="18" t="s">
        <v>430</v>
      </c>
      <c r="B95" s="18">
        <v>7</v>
      </c>
      <c r="C95" s="18">
        <v>29</v>
      </c>
      <c r="D95" s="18">
        <v>32</v>
      </c>
      <c r="E95" s="18">
        <v>12</v>
      </c>
      <c r="F95" s="18">
        <v>4</v>
      </c>
      <c r="G95" s="18">
        <v>7</v>
      </c>
      <c r="H95" s="18">
        <v>91</v>
      </c>
    </row>
    <row r="96" spans="1:8" x14ac:dyDescent="0.3">
      <c r="A96" s="18" t="s">
        <v>675</v>
      </c>
      <c r="B96" s="18">
        <v>67</v>
      </c>
      <c r="C96" s="18">
        <v>73</v>
      </c>
      <c r="D96" s="18">
        <v>48</v>
      </c>
      <c r="E96" s="18">
        <v>24</v>
      </c>
      <c r="F96" s="18">
        <v>6</v>
      </c>
      <c r="G96" s="18">
        <v>19</v>
      </c>
      <c r="H96" s="18">
        <v>237</v>
      </c>
    </row>
    <row r="97" spans="1:8" x14ac:dyDescent="0.3">
      <c r="A97" s="18" t="s">
        <v>498</v>
      </c>
      <c r="B97" s="18"/>
      <c r="C97" s="18"/>
      <c r="D97" s="18"/>
      <c r="E97" s="18"/>
      <c r="F97" s="18"/>
      <c r="G97" s="18"/>
      <c r="H97" s="18"/>
    </row>
    <row r="98" spans="1:8" x14ac:dyDescent="0.3">
      <c r="A98" s="18" t="s">
        <v>22</v>
      </c>
      <c r="B98" s="18">
        <v>0</v>
      </c>
      <c r="C98" s="18">
        <v>0</v>
      </c>
      <c r="D98" s="18">
        <v>1</v>
      </c>
      <c r="E98" s="18">
        <v>4</v>
      </c>
      <c r="F98" s="18">
        <v>0</v>
      </c>
      <c r="G98" s="18">
        <v>2</v>
      </c>
      <c r="H98" s="18">
        <v>7</v>
      </c>
    </row>
    <row r="99" spans="1:8" x14ac:dyDescent="0.3">
      <c r="A99" s="18" t="s">
        <v>16</v>
      </c>
      <c r="B99" s="18">
        <v>5</v>
      </c>
      <c r="C99" s="18">
        <v>4</v>
      </c>
      <c r="D99" s="18">
        <v>5</v>
      </c>
      <c r="E99" s="18">
        <v>9</v>
      </c>
      <c r="F99" s="18">
        <v>2</v>
      </c>
      <c r="G99" s="18">
        <v>3</v>
      </c>
      <c r="H99" s="18">
        <v>28</v>
      </c>
    </row>
    <row r="100" spans="1:8" x14ac:dyDescent="0.3">
      <c r="A100" s="18" t="s">
        <v>235</v>
      </c>
      <c r="B100" s="18">
        <v>2</v>
      </c>
      <c r="C100" s="18">
        <v>1</v>
      </c>
      <c r="D100" s="18">
        <v>0</v>
      </c>
      <c r="E100" s="18">
        <v>0</v>
      </c>
      <c r="F100" s="18">
        <v>0</v>
      </c>
      <c r="G100" s="18">
        <v>0</v>
      </c>
      <c r="H100" s="18">
        <v>3</v>
      </c>
    </row>
    <row r="101" spans="1:8" x14ac:dyDescent="0.3">
      <c r="A101" s="18" t="s">
        <v>187</v>
      </c>
      <c r="B101" s="18">
        <v>0</v>
      </c>
      <c r="C101" s="18">
        <v>0</v>
      </c>
      <c r="D101" s="18">
        <v>0</v>
      </c>
      <c r="E101" s="18">
        <v>3</v>
      </c>
      <c r="F101" s="18">
        <v>1</v>
      </c>
      <c r="G101" s="18">
        <v>0</v>
      </c>
      <c r="H101" s="18">
        <v>4</v>
      </c>
    </row>
    <row r="102" spans="1:8" x14ac:dyDescent="0.3">
      <c r="A102" s="18" t="s">
        <v>216</v>
      </c>
      <c r="B102" s="18">
        <v>2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2</v>
      </c>
    </row>
    <row r="103" spans="1:8" x14ac:dyDescent="0.3">
      <c r="A103" s="18" t="s">
        <v>64</v>
      </c>
      <c r="B103" s="18">
        <v>40</v>
      </c>
      <c r="C103" s="18">
        <v>16</v>
      </c>
      <c r="D103" s="18">
        <v>4</v>
      </c>
      <c r="E103" s="18">
        <v>2</v>
      </c>
      <c r="F103" s="18">
        <v>2</v>
      </c>
      <c r="G103" s="18">
        <v>1</v>
      </c>
      <c r="H103" s="18">
        <v>65</v>
      </c>
    </row>
    <row r="104" spans="1:8" x14ac:dyDescent="0.3">
      <c r="A104" s="18" t="s">
        <v>24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2</v>
      </c>
      <c r="H104" s="18">
        <v>2</v>
      </c>
    </row>
    <row r="105" spans="1:8" x14ac:dyDescent="0.3">
      <c r="A105" s="18" t="s">
        <v>55</v>
      </c>
      <c r="B105" s="18">
        <v>1</v>
      </c>
      <c r="C105" s="18">
        <v>0</v>
      </c>
      <c r="D105" s="18">
        <v>0</v>
      </c>
      <c r="E105" s="18">
        <v>1</v>
      </c>
      <c r="F105" s="18">
        <v>0</v>
      </c>
      <c r="G105" s="18">
        <v>0</v>
      </c>
      <c r="H105" s="18">
        <v>2</v>
      </c>
    </row>
    <row r="106" spans="1:8" x14ac:dyDescent="0.3">
      <c r="A106" s="18" t="s">
        <v>59</v>
      </c>
      <c r="B106" s="18">
        <v>0</v>
      </c>
      <c r="C106" s="18">
        <v>0</v>
      </c>
      <c r="D106" s="18">
        <v>0</v>
      </c>
      <c r="E106" s="18">
        <v>1</v>
      </c>
      <c r="F106" s="18">
        <v>0</v>
      </c>
      <c r="G106" s="18">
        <v>0</v>
      </c>
      <c r="H106" s="18">
        <v>1</v>
      </c>
    </row>
    <row r="107" spans="1:8" x14ac:dyDescent="0.3">
      <c r="A107" s="18" t="s">
        <v>117</v>
      </c>
      <c r="B107" s="18">
        <v>2</v>
      </c>
      <c r="C107" s="18">
        <v>1</v>
      </c>
      <c r="D107" s="18">
        <v>0</v>
      </c>
      <c r="E107" s="18">
        <v>0</v>
      </c>
      <c r="F107" s="18">
        <v>0</v>
      </c>
      <c r="G107" s="18">
        <v>0</v>
      </c>
      <c r="H107" s="18">
        <v>3</v>
      </c>
    </row>
    <row r="108" spans="1:8" x14ac:dyDescent="0.3">
      <c r="A108" s="18" t="s">
        <v>20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5</v>
      </c>
      <c r="H108" s="18">
        <v>5</v>
      </c>
    </row>
    <row r="109" spans="1:8" x14ac:dyDescent="0.3">
      <c r="A109" s="18" t="s">
        <v>123</v>
      </c>
      <c r="B109" s="18">
        <v>0</v>
      </c>
      <c r="C109" s="18">
        <v>0</v>
      </c>
      <c r="D109" s="18">
        <v>0</v>
      </c>
      <c r="E109" s="18">
        <v>0</v>
      </c>
      <c r="F109" s="18">
        <v>1</v>
      </c>
      <c r="G109" s="18">
        <v>4</v>
      </c>
      <c r="H109" s="18">
        <v>5</v>
      </c>
    </row>
    <row r="110" spans="1:8" x14ac:dyDescent="0.3">
      <c r="A110" s="18" t="s">
        <v>180</v>
      </c>
      <c r="B110" s="18">
        <v>0</v>
      </c>
      <c r="C110" s="18">
        <v>0</v>
      </c>
      <c r="D110" s="18">
        <v>1</v>
      </c>
      <c r="E110" s="18">
        <v>0</v>
      </c>
      <c r="F110" s="18">
        <v>0</v>
      </c>
      <c r="G110" s="18">
        <v>0</v>
      </c>
      <c r="H110" s="18">
        <v>1</v>
      </c>
    </row>
    <row r="111" spans="1:8" x14ac:dyDescent="0.3">
      <c r="A111" s="18" t="s">
        <v>415</v>
      </c>
      <c r="B111" s="18">
        <v>1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1</v>
      </c>
    </row>
    <row r="112" spans="1:8" x14ac:dyDescent="0.3">
      <c r="A112" s="18" t="s">
        <v>430</v>
      </c>
      <c r="B112" s="18">
        <v>6</v>
      </c>
      <c r="C112" s="18">
        <v>46</v>
      </c>
      <c r="D112" s="18">
        <v>52</v>
      </c>
      <c r="E112" s="18">
        <v>13</v>
      </c>
      <c r="F112" s="18">
        <v>1</v>
      </c>
      <c r="G112" s="18">
        <v>0</v>
      </c>
      <c r="H112" s="18">
        <v>118</v>
      </c>
    </row>
    <row r="113" spans="1:8" x14ac:dyDescent="0.3">
      <c r="A113" s="18" t="s">
        <v>513</v>
      </c>
      <c r="B113" s="18">
        <v>0</v>
      </c>
      <c r="C113" s="18">
        <v>0</v>
      </c>
      <c r="D113" s="18">
        <v>1</v>
      </c>
      <c r="E113" s="18">
        <v>1</v>
      </c>
      <c r="F113" s="18">
        <v>0</v>
      </c>
      <c r="G113" s="18">
        <v>0</v>
      </c>
      <c r="H113" s="18">
        <v>2</v>
      </c>
    </row>
    <row r="114" spans="1:8" x14ac:dyDescent="0.3">
      <c r="A114" s="18" t="s">
        <v>676</v>
      </c>
      <c r="B114" s="18">
        <v>59</v>
      </c>
      <c r="C114" s="18">
        <v>68</v>
      </c>
      <c r="D114" s="18">
        <v>64</v>
      </c>
      <c r="E114" s="18">
        <v>34</v>
      </c>
      <c r="F114" s="18">
        <v>7</v>
      </c>
      <c r="G114" s="18">
        <v>17</v>
      </c>
      <c r="H114" s="18">
        <v>249</v>
      </c>
    </row>
    <row r="115" spans="1:8" x14ac:dyDescent="0.3">
      <c r="A115" s="18" t="s">
        <v>566</v>
      </c>
      <c r="B115" s="18"/>
      <c r="C115" s="18"/>
      <c r="D115" s="18"/>
      <c r="E115" s="18"/>
      <c r="F115" s="18"/>
      <c r="G115" s="18"/>
      <c r="H115" s="18"/>
    </row>
    <row r="116" spans="1:8" x14ac:dyDescent="0.3">
      <c r="A116" s="18" t="s">
        <v>22</v>
      </c>
      <c r="B116" s="18">
        <v>0</v>
      </c>
      <c r="C116" s="18">
        <v>0</v>
      </c>
      <c r="D116" s="18">
        <v>1</v>
      </c>
      <c r="E116" s="18">
        <v>5</v>
      </c>
      <c r="F116" s="18">
        <v>5</v>
      </c>
      <c r="G116" s="18">
        <v>0</v>
      </c>
      <c r="H116" s="18">
        <v>11</v>
      </c>
    </row>
    <row r="117" spans="1:8" x14ac:dyDescent="0.3">
      <c r="A117" s="18" t="s">
        <v>16</v>
      </c>
      <c r="B117" s="18">
        <v>46</v>
      </c>
      <c r="C117" s="18">
        <v>53</v>
      </c>
      <c r="D117" s="18">
        <v>27</v>
      </c>
      <c r="E117" s="18">
        <v>17</v>
      </c>
      <c r="F117" s="18">
        <v>1</v>
      </c>
      <c r="G117" s="18">
        <v>0</v>
      </c>
      <c r="H117" s="18">
        <v>144</v>
      </c>
    </row>
    <row r="118" spans="1:8" x14ac:dyDescent="0.3">
      <c r="A118" s="18" t="s">
        <v>124</v>
      </c>
      <c r="B118" s="18">
        <v>2</v>
      </c>
      <c r="C118" s="18">
        <v>1</v>
      </c>
      <c r="D118" s="18">
        <v>0</v>
      </c>
      <c r="E118" s="18">
        <v>0</v>
      </c>
      <c r="F118" s="18">
        <v>0</v>
      </c>
      <c r="G118" s="18">
        <v>0</v>
      </c>
      <c r="H118" s="18">
        <v>3</v>
      </c>
    </row>
    <row r="119" spans="1:8" x14ac:dyDescent="0.3">
      <c r="A119" s="18" t="s">
        <v>235</v>
      </c>
      <c r="B119" s="18">
        <v>1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1</v>
      </c>
    </row>
    <row r="120" spans="1:8" x14ac:dyDescent="0.3">
      <c r="A120" s="18" t="s">
        <v>187</v>
      </c>
      <c r="B120" s="18">
        <v>0</v>
      </c>
      <c r="C120" s="18">
        <v>0</v>
      </c>
      <c r="D120" s="18">
        <v>0</v>
      </c>
      <c r="E120" s="18">
        <v>1</v>
      </c>
      <c r="F120" s="18">
        <v>0</v>
      </c>
      <c r="G120" s="18">
        <v>0</v>
      </c>
      <c r="H120" s="18">
        <v>1</v>
      </c>
    </row>
    <row r="121" spans="1:8" x14ac:dyDescent="0.3">
      <c r="A121" s="18" t="s">
        <v>216</v>
      </c>
      <c r="B121" s="18">
        <v>1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1</v>
      </c>
    </row>
    <row r="122" spans="1:8" x14ac:dyDescent="0.3">
      <c r="A122" s="18" t="s">
        <v>64</v>
      </c>
      <c r="B122" s="18">
        <v>0</v>
      </c>
      <c r="C122" s="18">
        <v>2</v>
      </c>
      <c r="D122" s="18">
        <v>0</v>
      </c>
      <c r="E122" s="18">
        <v>0</v>
      </c>
      <c r="F122" s="18">
        <v>0</v>
      </c>
      <c r="G122" s="18">
        <v>0</v>
      </c>
      <c r="H122" s="18">
        <v>2</v>
      </c>
    </row>
    <row r="123" spans="1:8" x14ac:dyDescent="0.3">
      <c r="A123" s="18" t="s">
        <v>117</v>
      </c>
      <c r="B123" s="18">
        <v>1</v>
      </c>
      <c r="C123" s="18">
        <v>3</v>
      </c>
      <c r="D123" s="18">
        <v>1</v>
      </c>
      <c r="E123" s="18">
        <v>0</v>
      </c>
      <c r="F123" s="18">
        <v>0</v>
      </c>
      <c r="G123" s="18">
        <v>0</v>
      </c>
      <c r="H123" s="18">
        <v>5</v>
      </c>
    </row>
    <row r="124" spans="1:8" x14ac:dyDescent="0.3">
      <c r="A124" s="18" t="s">
        <v>20</v>
      </c>
      <c r="B124" s="18">
        <v>0</v>
      </c>
      <c r="C124" s="18">
        <v>0</v>
      </c>
      <c r="D124" s="18">
        <v>1</v>
      </c>
      <c r="E124" s="18">
        <v>0</v>
      </c>
      <c r="F124" s="18">
        <v>0</v>
      </c>
      <c r="G124" s="18">
        <v>0</v>
      </c>
      <c r="H124" s="18">
        <v>1</v>
      </c>
    </row>
    <row r="125" spans="1:8" x14ac:dyDescent="0.3">
      <c r="A125" s="18" t="s">
        <v>129</v>
      </c>
      <c r="B125" s="18">
        <v>0</v>
      </c>
      <c r="C125" s="18">
        <v>0</v>
      </c>
      <c r="D125" s="18">
        <v>0</v>
      </c>
      <c r="E125" s="18">
        <v>4</v>
      </c>
      <c r="F125" s="18">
        <v>0</v>
      </c>
      <c r="G125" s="18">
        <v>1</v>
      </c>
      <c r="H125" s="18">
        <v>5</v>
      </c>
    </row>
    <row r="126" spans="1:8" x14ac:dyDescent="0.3">
      <c r="A126" s="18" t="s">
        <v>123</v>
      </c>
      <c r="B126" s="18">
        <v>0</v>
      </c>
      <c r="C126" s="18">
        <v>0</v>
      </c>
      <c r="D126" s="18">
        <v>1</v>
      </c>
      <c r="E126" s="18">
        <v>2</v>
      </c>
      <c r="F126" s="18">
        <v>1</v>
      </c>
      <c r="G126" s="18">
        <v>7</v>
      </c>
      <c r="H126" s="18">
        <v>11</v>
      </c>
    </row>
    <row r="127" spans="1:8" x14ac:dyDescent="0.3">
      <c r="A127" s="18" t="s">
        <v>29</v>
      </c>
      <c r="B127" s="18">
        <v>0</v>
      </c>
      <c r="C127" s="18">
        <v>0</v>
      </c>
      <c r="D127" s="18">
        <v>0</v>
      </c>
      <c r="E127" s="18">
        <v>2</v>
      </c>
      <c r="F127" s="18">
        <v>0</v>
      </c>
      <c r="G127" s="18">
        <v>0</v>
      </c>
      <c r="H127" s="18">
        <v>2</v>
      </c>
    </row>
    <row r="128" spans="1:8" x14ac:dyDescent="0.3">
      <c r="A128" s="18" t="s">
        <v>180</v>
      </c>
      <c r="B128" s="18">
        <v>0</v>
      </c>
      <c r="C128" s="18">
        <v>1</v>
      </c>
      <c r="D128" s="18">
        <v>0</v>
      </c>
      <c r="E128" s="18">
        <v>0</v>
      </c>
      <c r="F128" s="18">
        <v>0</v>
      </c>
      <c r="G128" s="18">
        <v>0</v>
      </c>
      <c r="H128" s="18">
        <v>1</v>
      </c>
    </row>
    <row r="129" spans="1:8" x14ac:dyDescent="0.3">
      <c r="A129" s="18" t="s">
        <v>572</v>
      </c>
      <c r="B129" s="18">
        <v>0</v>
      </c>
      <c r="C129" s="18">
        <v>1</v>
      </c>
      <c r="D129" s="18">
        <v>6</v>
      </c>
      <c r="E129" s="18">
        <v>6</v>
      </c>
      <c r="F129" s="18">
        <v>1</v>
      </c>
      <c r="G129" s="18">
        <v>2</v>
      </c>
      <c r="H129" s="18">
        <v>16</v>
      </c>
    </row>
    <row r="130" spans="1:8" x14ac:dyDescent="0.3">
      <c r="A130" s="18" t="s">
        <v>677</v>
      </c>
      <c r="B130" s="18">
        <v>51</v>
      </c>
      <c r="C130" s="18">
        <v>61</v>
      </c>
      <c r="D130" s="18">
        <v>37</v>
      </c>
      <c r="E130" s="18">
        <v>37</v>
      </c>
      <c r="F130" s="18">
        <v>8</v>
      </c>
      <c r="G130" s="18">
        <v>10</v>
      </c>
      <c r="H130" s="18">
        <v>204</v>
      </c>
    </row>
    <row r="131" spans="1:8" x14ac:dyDescent="0.3">
      <c r="A131" s="18" t="s">
        <v>593</v>
      </c>
      <c r="B131" s="18"/>
      <c r="C131" s="18"/>
      <c r="D131" s="18"/>
      <c r="E131" s="18"/>
      <c r="F131" s="18"/>
      <c r="G131" s="18"/>
      <c r="H131" s="18"/>
    </row>
    <row r="132" spans="1:8" x14ac:dyDescent="0.3">
      <c r="A132" s="18" t="s">
        <v>22</v>
      </c>
      <c r="B132" s="18">
        <v>2</v>
      </c>
      <c r="C132" s="18">
        <v>3</v>
      </c>
      <c r="D132" s="18">
        <v>4</v>
      </c>
      <c r="E132" s="18">
        <v>8</v>
      </c>
      <c r="F132" s="18">
        <v>1</v>
      </c>
      <c r="G132" s="18">
        <v>8</v>
      </c>
      <c r="H132" s="18">
        <v>26</v>
      </c>
    </row>
    <row r="133" spans="1:8" x14ac:dyDescent="0.3">
      <c r="A133" s="18" t="s">
        <v>16</v>
      </c>
      <c r="B133" s="18">
        <v>106</v>
      </c>
      <c r="C133" s="18">
        <v>58</v>
      </c>
      <c r="D133" s="18">
        <v>31</v>
      </c>
      <c r="E133" s="18">
        <v>9</v>
      </c>
      <c r="F133" s="18">
        <v>6</v>
      </c>
      <c r="G133" s="18">
        <v>7</v>
      </c>
      <c r="H133" s="18">
        <v>217</v>
      </c>
    </row>
    <row r="134" spans="1:8" x14ac:dyDescent="0.3">
      <c r="A134" s="18" t="s">
        <v>187</v>
      </c>
      <c r="B134" s="18">
        <v>0</v>
      </c>
      <c r="C134" s="18">
        <v>0</v>
      </c>
      <c r="D134" s="18">
        <v>0</v>
      </c>
      <c r="E134" s="18">
        <v>0</v>
      </c>
      <c r="F134" s="18">
        <v>1</v>
      </c>
      <c r="G134" s="18">
        <v>0</v>
      </c>
      <c r="H134" s="18">
        <v>1</v>
      </c>
    </row>
    <row r="135" spans="1:8" x14ac:dyDescent="0.3">
      <c r="A135" s="18" t="s">
        <v>64</v>
      </c>
      <c r="B135" s="18">
        <v>2</v>
      </c>
      <c r="C135" s="18">
        <v>0</v>
      </c>
      <c r="D135" s="18">
        <v>0</v>
      </c>
      <c r="E135" s="18">
        <v>0</v>
      </c>
      <c r="F135" s="18">
        <v>0</v>
      </c>
      <c r="G135" s="18">
        <v>1</v>
      </c>
      <c r="H135" s="18">
        <v>3</v>
      </c>
    </row>
    <row r="136" spans="1:8" x14ac:dyDescent="0.3">
      <c r="A136" s="18" t="s">
        <v>55</v>
      </c>
      <c r="B136" s="18">
        <v>0</v>
      </c>
      <c r="C136" s="18">
        <v>0</v>
      </c>
      <c r="D136" s="18">
        <v>0</v>
      </c>
      <c r="E136" s="18">
        <v>1</v>
      </c>
      <c r="F136" s="18">
        <v>0</v>
      </c>
      <c r="G136" s="18">
        <v>0</v>
      </c>
      <c r="H136" s="18">
        <v>1</v>
      </c>
    </row>
    <row r="137" spans="1:8" x14ac:dyDescent="0.3">
      <c r="A137" s="18" t="s">
        <v>59</v>
      </c>
      <c r="B137" s="18">
        <v>0</v>
      </c>
      <c r="C137" s="18">
        <v>0</v>
      </c>
      <c r="D137" s="18">
        <v>0</v>
      </c>
      <c r="E137" s="18">
        <v>0</v>
      </c>
      <c r="F137" s="18">
        <v>1</v>
      </c>
      <c r="G137" s="18">
        <v>0</v>
      </c>
      <c r="H137" s="18">
        <v>1</v>
      </c>
    </row>
    <row r="138" spans="1:8" x14ac:dyDescent="0.3">
      <c r="A138" s="18" t="s">
        <v>117</v>
      </c>
      <c r="B138" s="18">
        <v>3</v>
      </c>
      <c r="C138" s="18">
        <v>0</v>
      </c>
      <c r="D138" s="18">
        <v>0</v>
      </c>
      <c r="E138" s="18">
        <v>1</v>
      </c>
      <c r="F138" s="18">
        <v>0</v>
      </c>
      <c r="G138" s="18">
        <v>0</v>
      </c>
      <c r="H138" s="18">
        <v>4</v>
      </c>
    </row>
    <row r="139" spans="1:8" x14ac:dyDescent="0.3">
      <c r="A139" s="18" t="s">
        <v>20</v>
      </c>
      <c r="B139" s="18">
        <v>0</v>
      </c>
      <c r="C139" s="18">
        <v>0</v>
      </c>
      <c r="D139" s="18">
        <v>0</v>
      </c>
      <c r="E139" s="18">
        <v>1</v>
      </c>
      <c r="F139" s="18">
        <v>0</v>
      </c>
      <c r="G139" s="18">
        <v>0</v>
      </c>
      <c r="H139" s="18">
        <v>1</v>
      </c>
    </row>
    <row r="140" spans="1:8" x14ac:dyDescent="0.3">
      <c r="A140" s="18" t="s">
        <v>129</v>
      </c>
      <c r="B140" s="18">
        <v>0</v>
      </c>
      <c r="C140" s="18">
        <v>0</v>
      </c>
      <c r="D140" s="18">
        <v>0</v>
      </c>
      <c r="E140" s="18">
        <v>0</v>
      </c>
      <c r="F140" s="18">
        <v>1</v>
      </c>
      <c r="G140" s="18">
        <v>1</v>
      </c>
      <c r="H140" s="18">
        <v>2</v>
      </c>
    </row>
    <row r="141" spans="1:8" x14ac:dyDescent="0.3">
      <c r="A141" s="18" t="s">
        <v>123</v>
      </c>
      <c r="B141" s="18">
        <v>0</v>
      </c>
      <c r="C141" s="18">
        <v>0</v>
      </c>
      <c r="D141" s="18">
        <v>0</v>
      </c>
      <c r="E141" s="18">
        <v>1</v>
      </c>
      <c r="F141" s="18">
        <v>0</v>
      </c>
      <c r="G141" s="18">
        <v>1</v>
      </c>
      <c r="H141" s="18">
        <v>2</v>
      </c>
    </row>
    <row r="142" spans="1:8" x14ac:dyDescent="0.3">
      <c r="A142" s="18" t="s">
        <v>430</v>
      </c>
      <c r="B142" s="18">
        <v>0</v>
      </c>
      <c r="C142" s="18">
        <v>0</v>
      </c>
      <c r="D142" s="18">
        <v>1</v>
      </c>
      <c r="E142" s="18">
        <v>3</v>
      </c>
      <c r="F142" s="18">
        <v>2</v>
      </c>
      <c r="G142" s="18">
        <v>0</v>
      </c>
      <c r="H142" s="18">
        <v>6</v>
      </c>
    </row>
    <row r="143" spans="1:8" x14ac:dyDescent="0.3">
      <c r="A143" s="18" t="s">
        <v>678</v>
      </c>
      <c r="B143" s="18">
        <v>113</v>
      </c>
      <c r="C143" s="18">
        <v>61</v>
      </c>
      <c r="D143" s="18">
        <v>36</v>
      </c>
      <c r="E143" s="18">
        <v>24</v>
      </c>
      <c r="F143" s="18">
        <v>12</v>
      </c>
      <c r="G143" s="18">
        <v>18</v>
      </c>
      <c r="H143" s="18">
        <v>264</v>
      </c>
    </row>
    <row r="144" spans="1:8" x14ac:dyDescent="0.3">
      <c r="A144" s="18" t="s">
        <v>532</v>
      </c>
      <c r="B144" s="18"/>
      <c r="C144" s="18"/>
      <c r="D144" s="18"/>
      <c r="E144" s="18"/>
      <c r="F144" s="18"/>
      <c r="G144" s="18"/>
      <c r="H144" s="18"/>
    </row>
    <row r="145" spans="1:8" x14ac:dyDescent="0.3">
      <c r="A145" s="18" t="s">
        <v>22</v>
      </c>
      <c r="B145" s="18">
        <v>0</v>
      </c>
      <c r="C145" s="18">
        <v>4</v>
      </c>
      <c r="D145" s="18">
        <v>9</v>
      </c>
      <c r="E145" s="18">
        <v>14</v>
      </c>
      <c r="F145" s="18">
        <v>3</v>
      </c>
      <c r="G145" s="18">
        <v>0</v>
      </c>
      <c r="H145" s="18">
        <v>30</v>
      </c>
    </row>
    <row r="146" spans="1:8" x14ac:dyDescent="0.3">
      <c r="A146" s="18" t="s">
        <v>16</v>
      </c>
      <c r="B146" s="18">
        <v>6</v>
      </c>
      <c r="C146" s="18">
        <v>7</v>
      </c>
      <c r="D146" s="18">
        <v>4</v>
      </c>
      <c r="E146" s="18">
        <v>2</v>
      </c>
      <c r="F146" s="18">
        <v>0</v>
      </c>
      <c r="G146" s="18">
        <v>0</v>
      </c>
      <c r="H146" s="18">
        <v>19</v>
      </c>
    </row>
    <row r="147" spans="1:8" x14ac:dyDescent="0.3">
      <c r="A147" s="18" t="s">
        <v>235</v>
      </c>
      <c r="B147" s="18">
        <v>4</v>
      </c>
      <c r="C147" s="18">
        <v>10</v>
      </c>
      <c r="D147" s="18">
        <v>0</v>
      </c>
      <c r="E147" s="18">
        <v>0</v>
      </c>
      <c r="F147" s="18">
        <v>0</v>
      </c>
      <c r="G147" s="18">
        <v>1</v>
      </c>
      <c r="H147" s="18">
        <v>15</v>
      </c>
    </row>
    <row r="148" spans="1:8" x14ac:dyDescent="0.3">
      <c r="A148" s="18" t="s">
        <v>187</v>
      </c>
      <c r="B148" s="18">
        <v>1</v>
      </c>
      <c r="C148" s="18">
        <v>0</v>
      </c>
      <c r="D148" s="18">
        <v>0</v>
      </c>
      <c r="E148" s="18">
        <v>1</v>
      </c>
      <c r="F148" s="18">
        <v>0</v>
      </c>
      <c r="G148" s="18">
        <v>1</v>
      </c>
      <c r="H148" s="18">
        <v>3</v>
      </c>
    </row>
    <row r="149" spans="1:8" x14ac:dyDescent="0.3">
      <c r="A149" s="18" t="s">
        <v>64</v>
      </c>
      <c r="B149" s="18">
        <v>21</v>
      </c>
      <c r="C149" s="18">
        <v>6</v>
      </c>
      <c r="D149" s="18">
        <v>5</v>
      </c>
      <c r="E149" s="18">
        <v>1</v>
      </c>
      <c r="F149" s="18">
        <v>0</v>
      </c>
      <c r="G149" s="18">
        <v>3</v>
      </c>
      <c r="H149" s="18">
        <v>36</v>
      </c>
    </row>
    <row r="150" spans="1:8" x14ac:dyDescent="0.3">
      <c r="A150" s="18" t="s">
        <v>24</v>
      </c>
      <c r="B150" s="18">
        <v>1</v>
      </c>
      <c r="C150" s="18">
        <v>0</v>
      </c>
      <c r="D150" s="18">
        <v>1</v>
      </c>
      <c r="E150" s="18">
        <v>0</v>
      </c>
      <c r="F150" s="18">
        <v>0</v>
      </c>
      <c r="G150" s="18">
        <v>0</v>
      </c>
      <c r="H150" s="18">
        <v>2</v>
      </c>
    </row>
    <row r="151" spans="1:8" x14ac:dyDescent="0.3">
      <c r="A151" s="18" t="s">
        <v>117</v>
      </c>
      <c r="B151" s="18">
        <v>2</v>
      </c>
      <c r="C151" s="18">
        <v>4</v>
      </c>
      <c r="D151" s="18">
        <v>0</v>
      </c>
      <c r="E151" s="18">
        <v>0</v>
      </c>
      <c r="F151" s="18">
        <v>0</v>
      </c>
      <c r="G151" s="18">
        <v>0</v>
      </c>
      <c r="H151" s="18">
        <v>6</v>
      </c>
    </row>
    <row r="152" spans="1:8" x14ac:dyDescent="0.3">
      <c r="A152" s="18" t="s">
        <v>20</v>
      </c>
      <c r="B152" s="18">
        <v>0</v>
      </c>
      <c r="C152" s="18">
        <v>0</v>
      </c>
      <c r="D152" s="18">
        <v>0</v>
      </c>
      <c r="E152" s="18">
        <v>0</v>
      </c>
      <c r="F152" s="18">
        <v>0</v>
      </c>
      <c r="G152" s="18">
        <v>1</v>
      </c>
      <c r="H152" s="18">
        <v>1</v>
      </c>
    </row>
    <row r="153" spans="1:8" x14ac:dyDescent="0.3">
      <c r="A153" s="18" t="s">
        <v>123</v>
      </c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8</v>
      </c>
      <c r="H153" s="18">
        <v>8</v>
      </c>
    </row>
    <row r="154" spans="1:8" x14ac:dyDescent="0.3">
      <c r="A154" s="18" t="s">
        <v>180</v>
      </c>
      <c r="B154" s="18">
        <v>0</v>
      </c>
      <c r="C154" s="18">
        <v>1</v>
      </c>
      <c r="D154" s="18">
        <v>0</v>
      </c>
      <c r="E154" s="18">
        <v>0</v>
      </c>
      <c r="F154" s="18">
        <v>0</v>
      </c>
      <c r="G154" s="18">
        <v>0</v>
      </c>
      <c r="H154" s="18">
        <v>1</v>
      </c>
    </row>
    <row r="155" spans="1:8" x14ac:dyDescent="0.3">
      <c r="A155" s="18" t="s">
        <v>415</v>
      </c>
      <c r="B155" s="18">
        <v>6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6</v>
      </c>
    </row>
    <row r="156" spans="1:8" x14ac:dyDescent="0.3">
      <c r="A156" s="18" t="s">
        <v>430</v>
      </c>
      <c r="B156" s="18">
        <v>3</v>
      </c>
      <c r="C156" s="18">
        <v>11</v>
      </c>
      <c r="D156" s="18">
        <v>41</v>
      </c>
      <c r="E156" s="18">
        <v>25</v>
      </c>
      <c r="F156" s="18">
        <v>1</v>
      </c>
      <c r="G156" s="18">
        <v>0</v>
      </c>
      <c r="H156" s="18">
        <v>81</v>
      </c>
    </row>
    <row r="157" spans="1:8" x14ac:dyDescent="0.3">
      <c r="A157" s="18" t="s">
        <v>543</v>
      </c>
      <c r="B157" s="18">
        <v>0</v>
      </c>
      <c r="C157" s="18">
        <v>0</v>
      </c>
      <c r="D157" s="18">
        <v>0</v>
      </c>
      <c r="E157" s="18">
        <v>1</v>
      </c>
      <c r="F157" s="18">
        <v>0</v>
      </c>
      <c r="G157" s="18">
        <v>0</v>
      </c>
      <c r="H157" s="18">
        <v>1</v>
      </c>
    </row>
    <row r="158" spans="1:8" x14ac:dyDescent="0.3">
      <c r="A158" s="18" t="s">
        <v>545</v>
      </c>
      <c r="B158" s="18">
        <v>1</v>
      </c>
      <c r="C158" s="18">
        <v>2</v>
      </c>
      <c r="D158" s="18">
        <v>3</v>
      </c>
      <c r="E158" s="18">
        <v>0</v>
      </c>
      <c r="F158" s="18">
        <v>0</v>
      </c>
      <c r="G158" s="18">
        <v>0</v>
      </c>
      <c r="H158" s="18">
        <v>6</v>
      </c>
    </row>
    <row r="159" spans="1:8" x14ac:dyDescent="0.3">
      <c r="A159" s="18" t="s">
        <v>679</v>
      </c>
      <c r="B159" s="18">
        <v>45</v>
      </c>
      <c r="C159" s="18">
        <v>45</v>
      </c>
      <c r="D159" s="18">
        <v>63</v>
      </c>
      <c r="E159" s="18">
        <v>44</v>
      </c>
      <c r="F159" s="18">
        <v>4</v>
      </c>
      <c r="G159" s="18">
        <v>14</v>
      </c>
      <c r="H159" s="18">
        <v>215</v>
      </c>
    </row>
    <row r="160" spans="1:8" x14ac:dyDescent="0.3">
      <c r="A160" s="18" t="s">
        <v>667</v>
      </c>
      <c r="B160" s="18">
        <v>1396</v>
      </c>
      <c r="C160" s="18">
        <v>691</v>
      </c>
      <c r="D160" s="18">
        <v>477</v>
      </c>
      <c r="E160" s="18">
        <v>331</v>
      </c>
      <c r="F160" s="18">
        <v>96</v>
      </c>
      <c r="G160" s="18">
        <v>194</v>
      </c>
      <c r="H160" s="18">
        <v>3185</v>
      </c>
    </row>
  </sheetData>
  <mergeCells count="1">
    <mergeCell ref="Q4:U4"/>
  </mergeCell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736F-6589-4FAD-86BF-6748D4F6DE41}">
  <dimension ref="A1:N40"/>
  <sheetViews>
    <sheetView workbookViewId="0">
      <selection activeCell="G7" sqref="G7"/>
    </sheetView>
  </sheetViews>
  <sheetFormatPr defaultRowHeight="14.4" x14ac:dyDescent="0.3"/>
  <cols>
    <col min="1" max="1" width="9.109375" customWidth="1"/>
    <col min="2" max="2" width="21.109375" style="18" customWidth="1"/>
    <col min="3" max="3" width="25.6640625" style="18" customWidth="1"/>
    <col min="4" max="4" width="30" style="18" customWidth="1"/>
    <col min="5" max="5" width="41.44140625" customWidth="1"/>
    <col min="6" max="6" width="32.33203125" customWidth="1"/>
    <col min="7" max="7" width="62" customWidth="1"/>
    <col min="8" max="8" width="65.44140625" customWidth="1"/>
  </cols>
  <sheetData>
    <row r="1" spans="1:14" x14ac:dyDescent="0.3">
      <c r="A1" t="s">
        <v>2</v>
      </c>
      <c r="B1" s="18" t="s">
        <v>691</v>
      </c>
      <c r="C1" s="18" t="s">
        <v>692</v>
      </c>
      <c r="D1" s="18" t="s">
        <v>11</v>
      </c>
      <c r="E1" s="18" t="s">
        <v>693</v>
      </c>
      <c r="F1" s="18" t="s">
        <v>13</v>
      </c>
      <c r="G1" s="18" t="s">
        <v>694</v>
      </c>
      <c r="H1" t="s">
        <v>695</v>
      </c>
    </row>
    <row r="2" spans="1:14" x14ac:dyDescent="0.3">
      <c r="A2" t="s">
        <v>22</v>
      </c>
      <c r="B2" s="18" t="s">
        <v>696</v>
      </c>
      <c r="C2" s="18" t="s">
        <v>697</v>
      </c>
      <c r="D2" s="18" t="str">
        <f>_xlfn.TEXTBEFORE(TRIM(Table2[[#This Row],[Scientific Name]]), " ", 1)</f>
        <v>Acer</v>
      </c>
      <c r="E2" s="18" t="str">
        <f>LOWER(_xlfn.TEXTAFTER(TRIM(Table2[[#This Row],[Scientific Name]]), " ", -1))</f>
        <v>rubrum</v>
      </c>
      <c r="F2" s="18" t="s">
        <v>698</v>
      </c>
      <c r="G2" s="18" t="s">
        <v>699</v>
      </c>
      <c r="J2" s="6"/>
      <c r="M2" t="str">
        <f>_xlfn.XLOOKUP(C2, Table2[Species],Table2[Sp. Name],"Code Not Found")</f>
        <v>Code Not Found</v>
      </c>
      <c r="N2" t="str">
        <f>_xlfn.XLOOKUP(C2, Table2[Species],Table2[Family],"Code Not Found")</f>
        <v>Code Not Found</v>
      </c>
    </row>
    <row r="3" spans="1:14" x14ac:dyDescent="0.3">
      <c r="A3" t="s">
        <v>16</v>
      </c>
      <c r="B3" s="18" t="s">
        <v>700</v>
      </c>
      <c r="C3" s="18" t="s">
        <v>701</v>
      </c>
      <c r="D3" s="18" t="str">
        <f>_xlfn.TEXTBEFORE(TRIM(Table2[[#This Row],[Scientific Name]]), " ", 1)</f>
        <v>Acer</v>
      </c>
      <c r="E3" s="18" t="str">
        <f>LOWER(_xlfn.TEXTAFTER(TRIM(Table2[[#This Row],[Scientific Name]]), " ", -1))</f>
        <v>saccharum</v>
      </c>
      <c r="F3" s="18" t="s">
        <v>698</v>
      </c>
      <c r="G3" s="18" t="s">
        <v>702</v>
      </c>
    </row>
    <row r="4" spans="1:14" x14ac:dyDescent="0.3">
      <c r="A4" t="s">
        <v>513</v>
      </c>
      <c r="B4" s="18" t="s">
        <v>703</v>
      </c>
      <c r="C4" s="18" t="s">
        <v>704</v>
      </c>
      <c r="D4" s="18" t="str">
        <f>_xlfn.TEXTBEFORE(TRIM(Table2[[#This Row],[Scientific Name]]), " ", 1)</f>
        <v>Aesculus</v>
      </c>
      <c r="E4" s="18" t="str">
        <f>LOWER(_xlfn.TEXTAFTER(TRIM(Table2[[#This Row],[Scientific Name]]), " ", -1))</f>
        <v>glabra</v>
      </c>
      <c r="F4" s="18" t="s">
        <v>698</v>
      </c>
      <c r="G4" s="18" t="s">
        <v>705</v>
      </c>
    </row>
    <row r="5" spans="1:14" x14ac:dyDescent="0.3">
      <c r="A5" t="s">
        <v>124</v>
      </c>
      <c r="B5" s="18" t="s">
        <v>706</v>
      </c>
      <c r="C5" s="18" t="s">
        <v>707</v>
      </c>
      <c r="D5" s="18" t="str">
        <f>_xlfn.TEXTBEFORE(TRIM(Table2[[#This Row],[Scientific Name]]), " ", 1)</f>
        <v>Amelanchier</v>
      </c>
      <c r="E5" s="18" t="str">
        <f>LOWER(_xlfn.TEXTAFTER(TRIM(Table2[[#This Row],[Scientific Name]]), " ", -1))</f>
        <v>arborea</v>
      </c>
      <c r="F5" s="18" t="s">
        <v>708</v>
      </c>
      <c r="G5" s="18" t="s">
        <v>709</v>
      </c>
    </row>
    <row r="6" spans="1:14" x14ac:dyDescent="0.3">
      <c r="A6" t="s">
        <v>710</v>
      </c>
      <c r="B6" s="18" t="s">
        <v>711</v>
      </c>
      <c r="C6" s="18" t="s">
        <v>712</v>
      </c>
      <c r="D6" s="18" t="str">
        <f>_xlfn.TEXTBEFORE(TRIM(Table2[[#This Row],[Scientific Name]]), " ", 1)</f>
        <v>Asimina</v>
      </c>
      <c r="E6" s="18" t="str">
        <f>LOWER(_xlfn.TEXTAFTER(TRIM(Table2[[#This Row],[Scientific Name]]), " ", -1))</f>
        <v>triloba</v>
      </c>
      <c r="F6" s="18" t="s">
        <v>713</v>
      </c>
      <c r="G6" s="18" t="s">
        <v>714</v>
      </c>
    </row>
    <row r="7" spans="1:14" x14ac:dyDescent="0.3">
      <c r="A7" t="s">
        <v>543</v>
      </c>
      <c r="B7" s="18" t="s">
        <v>715</v>
      </c>
      <c r="C7" s="18" t="s">
        <v>716</v>
      </c>
      <c r="D7" s="18" t="s">
        <v>717</v>
      </c>
      <c r="E7" s="18" t="s">
        <v>718</v>
      </c>
      <c r="F7" s="18" t="s">
        <v>719</v>
      </c>
      <c r="G7" s="18" t="s">
        <v>720</v>
      </c>
    </row>
    <row r="8" spans="1:14" x14ac:dyDescent="0.3">
      <c r="A8" t="s">
        <v>235</v>
      </c>
      <c r="B8" s="18" t="s">
        <v>721</v>
      </c>
      <c r="C8" s="18" t="s">
        <v>722</v>
      </c>
      <c r="D8" s="18" t="str">
        <f>_xlfn.TEXTBEFORE(TRIM(Table2[[#This Row],[Scientific Name]]), " ", 1)</f>
        <v>Carpinus</v>
      </c>
      <c r="E8" s="18" t="str">
        <f>LOWER(_xlfn.TEXTAFTER(TRIM(Table2[[#This Row],[Scientific Name]]), " ", -1))</f>
        <v>caroliniana</v>
      </c>
      <c r="F8" s="18" t="s">
        <v>719</v>
      </c>
      <c r="G8" s="18" t="s">
        <v>723</v>
      </c>
    </row>
    <row r="9" spans="1:14" x14ac:dyDescent="0.3">
      <c r="A9" t="s">
        <v>187</v>
      </c>
      <c r="B9" s="18" t="s">
        <v>724</v>
      </c>
      <c r="C9" s="18" t="s">
        <v>725</v>
      </c>
      <c r="D9" s="18" t="str">
        <f>_xlfn.TEXTBEFORE(TRIM(Table2[[#This Row],[Scientific Name]]), " ", 1)</f>
        <v>Carya</v>
      </c>
      <c r="E9" s="18" t="str">
        <f>LOWER(_xlfn.TEXTAFTER(TRIM(Table2[[#This Row],[Scientific Name]]), " ", -1))</f>
        <v>cordiformis</v>
      </c>
      <c r="F9" s="18" t="s">
        <v>726</v>
      </c>
      <c r="G9" s="18" t="s">
        <v>727</v>
      </c>
    </row>
    <row r="10" spans="1:14" x14ac:dyDescent="0.3">
      <c r="A10" t="s">
        <v>728</v>
      </c>
      <c r="B10" s="18" t="s">
        <v>729</v>
      </c>
      <c r="C10" s="18" t="s">
        <v>730</v>
      </c>
      <c r="D10" s="18" t="str">
        <f>_xlfn.TEXTBEFORE(TRIM(Table2[[#This Row],[Scientific Name]]), " ", 1)</f>
        <v>Carya</v>
      </c>
      <c r="E10" s="18" t="str">
        <f>LOWER(_xlfn.TEXTAFTER(TRIM(Table2[[#This Row],[Scientific Name]]), " ", -1))</f>
        <v>glabra</v>
      </c>
      <c r="F10" s="18" t="s">
        <v>726</v>
      </c>
      <c r="G10" s="18" t="s">
        <v>731</v>
      </c>
    </row>
    <row r="11" spans="1:14" x14ac:dyDescent="0.3">
      <c r="A11" t="s">
        <v>732</v>
      </c>
      <c r="B11" s="18" t="s">
        <v>733</v>
      </c>
      <c r="C11" s="18" t="s">
        <v>734</v>
      </c>
      <c r="D11" s="18" t="str">
        <f>_xlfn.TEXTBEFORE(TRIM(Table2[[#This Row],[Scientific Name]]), " ", 1)</f>
        <v>Carya</v>
      </c>
      <c r="E11" s="18" t="str">
        <f>LOWER(_xlfn.TEXTAFTER(TRIM(Table2[[#This Row],[Scientific Name]]), " ", -1))</f>
        <v>laciniosa</v>
      </c>
      <c r="F11" s="18" t="s">
        <v>726</v>
      </c>
      <c r="G11" s="18" t="s">
        <v>735</v>
      </c>
    </row>
    <row r="12" spans="1:14" x14ac:dyDescent="0.3">
      <c r="A12" t="s">
        <v>572</v>
      </c>
      <c r="B12" s="18" t="s">
        <v>736</v>
      </c>
      <c r="C12" s="18" t="s">
        <v>737</v>
      </c>
      <c r="D12" s="18" t="str">
        <f>_xlfn.TEXTBEFORE(TRIM(Table2[[#This Row],[Scientific Name]]), " ", 1)</f>
        <v>Carya</v>
      </c>
      <c r="E12" s="18" t="str">
        <f>LOWER(_xlfn.TEXTAFTER(TRIM(Table2[[#This Row],[Scientific Name]]), " ", -1))</f>
        <v>ovata</v>
      </c>
      <c r="F12" s="18" t="s">
        <v>726</v>
      </c>
      <c r="G12" s="18" t="s">
        <v>738</v>
      </c>
    </row>
    <row r="13" spans="1:14" x14ac:dyDescent="0.3">
      <c r="A13" t="s">
        <v>739</v>
      </c>
      <c r="B13" s="18" t="s">
        <v>740</v>
      </c>
      <c r="C13" s="18" t="s">
        <v>741</v>
      </c>
      <c r="D13" s="18" t="str">
        <f>_xlfn.TEXTBEFORE(TRIM(Table2[[#This Row],[Scientific Name]]), " ", 1)</f>
        <v>Carya</v>
      </c>
      <c r="E13" s="18" t="str">
        <f>LOWER(_xlfn.TEXTAFTER(TRIM(Table2[[#This Row],[Scientific Name]]), " ", -1))</f>
        <v>tomentosa</v>
      </c>
      <c r="F13" s="18" t="s">
        <v>726</v>
      </c>
      <c r="G13" s="18" t="s">
        <v>742</v>
      </c>
    </row>
    <row r="14" spans="1:14" x14ac:dyDescent="0.3">
      <c r="A14" t="s">
        <v>127</v>
      </c>
      <c r="B14" s="18" t="s">
        <v>743</v>
      </c>
      <c r="C14" s="18" t="s">
        <v>744</v>
      </c>
      <c r="D14" s="18" t="str">
        <f>_xlfn.TEXTBEFORE(TRIM(Table2[[#This Row],[Scientific Name]]), " ", 1)</f>
        <v>Cornus</v>
      </c>
      <c r="E14" s="18" t="str">
        <f>LOWER(_xlfn.TEXTAFTER(TRIM(Table2[[#This Row],[Scientific Name]]), " ", -1))</f>
        <v>florida</v>
      </c>
      <c r="F14" s="18" t="s">
        <v>745</v>
      </c>
      <c r="G14" s="18" t="s">
        <v>746</v>
      </c>
    </row>
    <row r="15" spans="1:14" x14ac:dyDescent="0.3">
      <c r="A15" t="s">
        <v>216</v>
      </c>
      <c r="B15" s="18" t="s">
        <v>747</v>
      </c>
      <c r="C15" s="18" t="s">
        <v>748</v>
      </c>
      <c r="D15" s="18" t="str">
        <f>_xlfn.TEXTBEFORE(TRIM(Table2[[#This Row],[Scientific Name]]), " ", 1)</f>
        <v>Crataegus</v>
      </c>
      <c r="E15" s="18" t="str">
        <f>LOWER(_xlfn.TEXTAFTER(TRIM(Table2[[#This Row],[Scientific Name]]), " ", -1))</f>
        <v>species</v>
      </c>
      <c r="F15" s="18" t="s">
        <v>708</v>
      </c>
      <c r="G15" s="18" t="s">
        <v>749</v>
      </c>
    </row>
    <row r="16" spans="1:14" x14ac:dyDescent="0.3">
      <c r="A16" t="s">
        <v>64</v>
      </c>
      <c r="B16" s="18" t="s">
        <v>750</v>
      </c>
      <c r="C16" s="18" t="s">
        <v>751</v>
      </c>
      <c r="D16" s="18" t="str">
        <f>_xlfn.TEXTBEFORE(TRIM(Table2[[#This Row],[Scientific Name]]), " ", 1)</f>
        <v>Fagus</v>
      </c>
      <c r="E16" s="18" t="str">
        <f>LOWER(_xlfn.TEXTAFTER(TRIM(Table2[[#This Row],[Scientific Name]]), " ", -1))</f>
        <v>grandifolia</v>
      </c>
      <c r="F16" s="18" t="s">
        <v>752</v>
      </c>
      <c r="G16" s="18" t="s">
        <v>753</v>
      </c>
    </row>
    <row r="17" spans="1:8" x14ac:dyDescent="0.3">
      <c r="A17" t="s">
        <v>185</v>
      </c>
      <c r="B17" s="18" t="s">
        <v>754</v>
      </c>
      <c r="C17" s="18" t="s">
        <v>755</v>
      </c>
      <c r="D17" s="18" t="str">
        <f>_xlfn.TEXTBEFORE(TRIM(Table2[[#This Row],[Scientific Name]]), " ", 1)</f>
        <v>Fraxinus</v>
      </c>
      <c r="E17" s="18" t="str">
        <f>LOWER(_xlfn.TEXTAFTER(TRIM(Table2[[#This Row],[Scientific Name]]), " ", -1))</f>
        <v>americana</v>
      </c>
      <c r="F17" s="18" t="s">
        <v>756</v>
      </c>
      <c r="G17" s="18" t="s">
        <v>757</v>
      </c>
    </row>
    <row r="18" spans="1:8" x14ac:dyDescent="0.3">
      <c r="A18" t="s">
        <v>415</v>
      </c>
      <c r="B18" s="18" t="s">
        <v>758</v>
      </c>
      <c r="C18" s="18" t="s">
        <v>759</v>
      </c>
      <c r="D18" s="18" t="str">
        <f>_xlfn.TEXTBEFORE(TRIM(Table2[[#This Row],[Scientific Name]]), " ", 1)</f>
        <v>Fraxinus</v>
      </c>
      <c r="E18" s="18" t="str">
        <f>LOWER(_xlfn.TEXTAFTER(TRIM(Table2[[#This Row],[Scientific Name]]), " ", -1))</f>
        <v>pennsylvanica</v>
      </c>
      <c r="F18" s="18" t="s">
        <v>756</v>
      </c>
      <c r="G18" s="18" t="s">
        <v>760</v>
      </c>
    </row>
    <row r="19" spans="1:8" x14ac:dyDescent="0.3">
      <c r="A19" t="s">
        <v>312</v>
      </c>
      <c r="B19" s="18" t="s">
        <v>761</v>
      </c>
      <c r="C19" s="18" t="s">
        <v>762</v>
      </c>
      <c r="D19" s="18" t="str">
        <f>_xlfn.TEXTBEFORE(TRIM(Table2[[#This Row],[Scientific Name]]), " ", 1)</f>
        <v>Fraxinus</v>
      </c>
      <c r="E19" s="18" t="str">
        <f>LOWER(_xlfn.TEXTAFTER(TRIM(Table2[[#This Row],[Scientific Name]]), " ", -1))</f>
        <v>species</v>
      </c>
      <c r="F19" s="18" t="s">
        <v>756</v>
      </c>
      <c r="G19" s="18" t="s">
        <v>763</v>
      </c>
      <c r="H19" t="s">
        <v>764</v>
      </c>
    </row>
    <row r="20" spans="1:8" x14ac:dyDescent="0.3">
      <c r="A20" t="s">
        <v>189</v>
      </c>
      <c r="B20" s="18" t="s">
        <v>765</v>
      </c>
      <c r="C20" s="18" t="s">
        <v>766</v>
      </c>
      <c r="D20" s="18" t="str">
        <f>_xlfn.TEXTBEFORE(TRIM(Table2[[#This Row],[Scientific Name]]), " ", 1)</f>
        <v>Juglans</v>
      </c>
      <c r="E20" s="18" t="str">
        <f>LOWER(_xlfn.TEXTAFTER(TRIM(Table2[[#This Row],[Scientific Name]]), " ", -1))</f>
        <v>nigra</v>
      </c>
      <c r="F20" s="18" t="s">
        <v>726</v>
      </c>
      <c r="G20" s="18" t="s">
        <v>767</v>
      </c>
    </row>
    <row r="21" spans="1:8" x14ac:dyDescent="0.3">
      <c r="A21" t="s">
        <v>24</v>
      </c>
      <c r="B21" s="18" t="s">
        <v>768</v>
      </c>
      <c r="C21" s="18" t="s">
        <v>769</v>
      </c>
      <c r="D21" s="18" t="str">
        <f>_xlfn.TEXTBEFORE(TRIM(Table2[[#This Row],[Scientific Name]]), " ", 1)</f>
        <v>Lirodendron</v>
      </c>
      <c r="E21" s="18" t="str">
        <f>LOWER(_xlfn.TEXTAFTER(TRIM(Table2[[#This Row],[Scientific Name]]), " ", -1))</f>
        <v>tulipfera</v>
      </c>
      <c r="F21" s="18" t="s">
        <v>770</v>
      </c>
      <c r="G21" s="18" t="s">
        <v>771</v>
      </c>
    </row>
    <row r="22" spans="1:8" x14ac:dyDescent="0.3">
      <c r="A22" t="s">
        <v>55</v>
      </c>
      <c r="B22" s="18" t="s">
        <v>772</v>
      </c>
      <c r="C22" s="18" t="s">
        <v>773</v>
      </c>
      <c r="D22" s="18" t="str">
        <f>_xlfn.TEXTBEFORE(TRIM(Table2[[#This Row],[Scientific Name]]), " ", 1)</f>
        <v>Magnolia</v>
      </c>
      <c r="E22" s="18" t="str">
        <f>LOWER(_xlfn.TEXTAFTER(TRIM(Table2[[#This Row],[Scientific Name]]), " ", -1))</f>
        <v>acuminata</v>
      </c>
      <c r="F22" s="18" t="s">
        <v>770</v>
      </c>
      <c r="G22" s="18" t="s">
        <v>774</v>
      </c>
    </row>
    <row r="23" spans="1:8" x14ac:dyDescent="0.3">
      <c r="A23" t="s">
        <v>59</v>
      </c>
      <c r="B23" s="18" t="s">
        <v>775</v>
      </c>
      <c r="C23" s="18" t="s">
        <v>776</v>
      </c>
      <c r="D23" s="18" t="str">
        <f>_xlfn.TEXTBEFORE(TRIM(Table2[[#This Row],[Scientific Name]]), " ", 1)</f>
        <v>Nyssa</v>
      </c>
      <c r="E23" s="18" t="str">
        <f>LOWER(_xlfn.TEXTAFTER(TRIM(Table2[[#This Row],[Scientific Name]]), " ", -1))</f>
        <v>sylvatica</v>
      </c>
      <c r="F23" s="18" t="s">
        <v>777</v>
      </c>
      <c r="G23" s="18" t="s">
        <v>778</v>
      </c>
    </row>
    <row r="24" spans="1:8" x14ac:dyDescent="0.3">
      <c r="A24" t="s">
        <v>117</v>
      </c>
      <c r="B24" s="18" t="s">
        <v>779</v>
      </c>
      <c r="C24" s="18" t="s">
        <v>780</v>
      </c>
      <c r="D24" s="18" t="str">
        <f>_xlfn.TEXTBEFORE(TRIM(Table2[[#This Row],[Scientific Name]]), " ", 1)</f>
        <v>Ostrya</v>
      </c>
      <c r="E24" s="18" t="str">
        <f>LOWER(_xlfn.TEXTAFTER(TRIM(Table2[[#This Row],[Scientific Name]]), " ", -1))</f>
        <v>viginiana</v>
      </c>
      <c r="F24" s="18" t="s">
        <v>719</v>
      </c>
      <c r="G24" s="18" t="s">
        <v>781</v>
      </c>
    </row>
    <row r="25" spans="1:8" x14ac:dyDescent="0.3">
      <c r="A25" t="s">
        <v>782</v>
      </c>
      <c r="B25" s="18" t="s">
        <v>783</v>
      </c>
      <c r="C25" s="18" t="s">
        <v>784</v>
      </c>
      <c r="D25" s="18" t="str">
        <f>_xlfn.TEXTBEFORE(TRIM(Table2[[#This Row],[Scientific Name]]), " ", 1)</f>
        <v>Populus</v>
      </c>
      <c r="E25" s="18" t="str">
        <f>LOWER(_xlfn.TEXTAFTER(TRIM(Table2[[#This Row],[Scientific Name]]), " ", -1))</f>
        <v>deltoides</v>
      </c>
      <c r="F25" s="18" t="s">
        <v>785</v>
      </c>
      <c r="G25" s="18" t="s">
        <v>786</v>
      </c>
    </row>
    <row r="26" spans="1:8" x14ac:dyDescent="0.3">
      <c r="A26" t="s">
        <v>20</v>
      </c>
      <c r="B26" s="18" t="s">
        <v>787</v>
      </c>
      <c r="C26" s="18" t="s">
        <v>788</v>
      </c>
      <c r="D26" s="18" t="str">
        <f>_xlfn.TEXTBEFORE(TRIM(Table2[[#This Row],[Scientific Name]]), " ", 1)</f>
        <v>Prunus</v>
      </c>
      <c r="E26" s="18" t="str">
        <f>LOWER(_xlfn.TEXTAFTER(TRIM(Table2[[#This Row],[Scientific Name]]), " ", -1))</f>
        <v>serotina</v>
      </c>
      <c r="F26" s="18" t="s">
        <v>708</v>
      </c>
      <c r="G26" s="18" t="s">
        <v>789</v>
      </c>
    </row>
    <row r="27" spans="1:8" x14ac:dyDescent="0.3">
      <c r="A27" t="s">
        <v>129</v>
      </c>
      <c r="B27" s="18" t="s">
        <v>790</v>
      </c>
      <c r="C27" s="18" t="s">
        <v>791</v>
      </c>
      <c r="D27" s="18" t="str">
        <f>_xlfn.TEXTBEFORE(TRIM(Table2[[#This Row],[Scientific Name]]), " ", 1)</f>
        <v>Quercus</v>
      </c>
      <c r="E27" s="18" t="str">
        <f>LOWER(_xlfn.TEXTAFTER(TRIM(Table2[[#This Row],[Scientific Name]]), " ", -1))</f>
        <v>alba</v>
      </c>
      <c r="F27" s="18" t="s">
        <v>752</v>
      </c>
      <c r="G27" s="18" t="s">
        <v>792</v>
      </c>
    </row>
    <row r="28" spans="1:8" x14ac:dyDescent="0.3">
      <c r="A28" t="s">
        <v>793</v>
      </c>
      <c r="B28" s="18" t="s">
        <v>794</v>
      </c>
      <c r="C28" s="18" t="s">
        <v>795</v>
      </c>
      <c r="D28" s="18" t="str">
        <f>_xlfn.TEXTBEFORE(TRIM(Table2[[#This Row],[Scientific Name]]), " ", 1)</f>
        <v>Quercus</v>
      </c>
      <c r="E28" s="18" t="str">
        <f>LOWER(_xlfn.TEXTAFTER(TRIM(Table2[[#This Row],[Scientific Name]]), " ", -1))</f>
        <v>bicolor</v>
      </c>
      <c r="F28" s="18" t="s">
        <v>752</v>
      </c>
      <c r="G28" s="18" t="s">
        <v>796</v>
      </c>
    </row>
    <row r="29" spans="1:8" x14ac:dyDescent="0.3">
      <c r="A29" t="s">
        <v>797</v>
      </c>
      <c r="B29" s="18" t="s">
        <v>798</v>
      </c>
      <c r="C29" s="18" t="s">
        <v>799</v>
      </c>
      <c r="D29" s="18" t="str">
        <f>_xlfn.TEXTBEFORE(TRIM(Table2[[#This Row],[Scientific Name]]), " ", 1)</f>
        <v>Quercus</v>
      </c>
      <c r="E29" s="18" t="str">
        <f>LOWER(_xlfn.TEXTAFTER(TRIM(Table2[[#This Row],[Scientific Name]]), " ", -1))</f>
        <v>macrocarpa</v>
      </c>
      <c r="F29" s="18" t="s">
        <v>752</v>
      </c>
      <c r="G29" s="18" t="s">
        <v>800</v>
      </c>
    </row>
    <row r="30" spans="1:8" x14ac:dyDescent="0.3">
      <c r="A30" t="s">
        <v>118</v>
      </c>
      <c r="B30" s="18" t="s">
        <v>801</v>
      </c>
      <c r="C30" s="18" t="s">
        <v>802</v>
      </c>
      <c r="D30" s="18" t="str">
        <f>_xlfn.TEXTBEFORE(TRIM(Table2[[#This Row],[Scientific Name]]), " ", 1)</f>
        <v>Quercus</v>
      </c>
      <c r="E30" s="18" t="str">
        <f>LOWER(_xlfn.TEXTAFTER(TRIM(Table2[[#This Row],[Scientific Name]]), " ", -1))</f>
        <v>montana</v>
      </c>
      <c r="F30" s="18" t="s">
        <v>752</v>
      </c>
      <c r="G30" s="18" t="s">
        <v>803</v>
      </c>
    </row>
    <row r="31" spans="1:8" x14ac:dyDescent="0.3">
      <c r="A31" t="s">
        <v>804</v>
      </c>
      <c r="B31" s="18" t="s">
        <v>805</v>
      </c>
      <c r="C31" s="18" t="s">
        <v>806</v>
      </c>
      <c r="D31" s="18" t="str">
        <f>_xlfn.TEXTBEFORE(TRIM(Table2[[#This Row],[Scientific Name]]), " ", 1)</f>
        <v>Quercus</v>
      </c>
      <c r="E31" s="18" t="str">
        <f>LOWER(_xlfn.TEXTAFTER(TRIM(Table2[[#This Row],[Scientific Name]]), " ", -1))</f>
        <v>muehlenbergii</v>
      </c>
      <c r="F31" s="18" t="s">
        <v>752</v>
      </c>
      <c r="G31" s="18" t="s">
        <v>807</v>
      </c>
    </row>
    <row r="32" spans="1:8" x14ac:dyDescent="0.3">
      <c r="A32" t="s">
        <v>808</v>
      </c>
      <c r="B32" s="18" t="s">
        <v>809</v>
      </c>
      <c r="C32" s="18" t="s">
        <v>810</v>
      </c>
      <c r="D32" s="18" t="str">
        <f>_xlfn.TEXTBEFORE(TRIM(Table2[[#This Row],[Scientific Name]]), " ", 1)</f>
        <v>Quercus</v>
      </c>
      <c r="E32" s="18" t="str">
        <f>LOWER(_xlfn.TEXTAFTER(TRIM(Table2[[#This Row],[Scientific Name]]), " ", -1))</f>
        <v>palustris</v>
      </c>
      <c r="F32" s="18" t="s">
        <v>752</v>
      </c>
      <c r="G32" s="18" t="s">
        <v>811</v>
      </c>
    </row>
    <row r="33" spans="1:7" x14ac:dyDescent="0.3">
      <c r="A33" t="s">
        <v>123</v>
      </c>
      <c r="B33" s="18" t="s">
        <v>812</v>
      </c>
      <c r="C33" s="18" t="s">
        <v>813</v>
      </c>
      <c r="D33" s="18" t="str">
        <f>_xlfn.TEXTBEFORE(TRIM(Table2[[#This Row],[Scientific Name]]), " ", 1)</f>
        <v>Quercus</v>
      </c>
      <c r="E33" s="18" t="str">
        <f>LOWER(_xlfn.TEXTAFTER(TRIM(Table2[[#This Row],[Scientific Name]]), " ", -1))</f>
        <v>rubra</v>
      </c>
      <c r="F33" s="18" t="s">
        <v>752</v>
      </c>
      <c r="G33" s="18" t="s">
        <v>814</v>
      </c>
    </row>
    <row r="34" spans="1:7" x14ac:dyDescent="0.3">
      <c r="A34" t="s">
        <v>815</v>
      </c>
      <c r="B34" s="18" t="s">
        <v>816</v>
      </c>
      <c r="C34" s="18" t="s">
        <v>817</v>
      </c>
      <c r="D34" s="18" t="str">
        <f>_xlfn.TEXTBEFORE(TRIM(Table2[[#This Row],[Scientific Name]]), " ", 1)</f>
        <v>Quercus</v>
      </c>
      <c r="E34" s="18" t="str">
        <f>LOWER(_xlfn.TEXTAFTER(TRIM(Table2[[#This Row],[Scientific Name]]), " ", -1))</f>
        <v>velutina</v>
      </c>
      <c r="F34" s="18" t="s">
        <v>752</v>
      </c>
      <c r="G34" s="18" t="s">
        <v>818</v>
      </c>
    </row>
    <row r="35" spans="1:7" x14ac:dyDescent="0.3">
      <c r="A35" t="s">
        <v>29</v>
      </c>
      <c r="B35" s="18" t="s">
        <v>819</v>
      </c>
      <c r="C35" s="18" t="s">
        <v>820</v>
      </c>
      <c r="D35" s="18" t="str">
        <f>_xlfn.TEXTBEFORE(TRIM(Table2[[#This Row],[Scientific Name]]), " ", 1)</f>
        <v>Sassafras</v>
      </c>
      <c r="E35" s="18" t="str">
        <f>LOWER(_xlfn.TEXTAFTER(TRIM(Table2[[#This Row],[Scientific Name]]), " ", -1))</f>
        <v>albidum</v>
      </c>
      <c r="F35" s="18" t="s">
        <v>821</v>
      </c>
      <c r="G35" s="18" t="s">
        <v>822</v>
      </c>
    </row>
    <row r="36" spans="1:7" x14ac:dyDescent="0.3">
      <c r="A36" t="s">
        <v>180</v>
      </c>
      <c r="B36" s="18" t="s">
        <v>823</v>
      </c>
      <c r="C36" s="18" t="s">
        <v>824</v>
      </c>
      <c r="D36" s="18" t="str">
        <f>_xlfn.TEXTBEFORE(TRIM(Table2[[#This Row],[Scientific Name]]), " ", 1)</f>
        <v>Tilia</v>
      </c>
      <c r="E36" s="18" t="str">
        <f>LOWER(_xlfn.TEXTAFTER(TRIM(Table2[[#This Row],[Scientific Name]]), " ", -1))</f>
        <v>americana</v>
      </c>
      <c r="F36" s="18" t="s">
        <v>825</v>
      </c>
      <c r="G36" s="18" t="s">
        <v>826</v>
      </c>
    </row>
    <row r="37" spans="1:7" x14ac:dyDescent="0.3">
      <c r="A37" t="s">
        <v>430</v>
      </c>
      <c r="B37" s="18" t="s">
        <v>827</v>
      </c>
      <c r="C37" s="18" t="s">
        <v>828</v>
      </c>
      <c r="D37" s="18" t="str">
        <f>_xlfn.TEXTBEFORE(TRIM(Table2[[#This Row],[Scientific Name]]), " ", 1)</f>
        <v>Tsuga</v>
      </c>
      <c r="E37" s="18" t="str">
        <f>LOWER(_xlfn.TEXTAFTER(TRIM(Table2[[#This Row],[Scientific Name]]), " ", -1))</f>
        <v>canadensis</v>
      </c>
      <c r="F37" s="18" t="s">
        <v>829</v>
      </c>
      <c r="G37" s="18" t="s">
        <v>830</v>
      </c>
    </row>
    <row r="38" spans="1:7" x14ac:dyDescent="0.3">
      <c r="A38" t="s">
        <v>545</v>
      </c>
      <c r="B38" s="18" t="s">
        <v>831</v>
      </c>
      <c r="C38" s="18" t="s">
        <v>832</v>
      </c>
      <c r="D38" s="18" t="str">
        <f>_xlfn.TEXTBEFORE(TRIM(Table2[[#This Row],[Scientific Name]]), " ", 1)</f>
        <v>Ulmus</v>
      </c>
      <c r="E38" s="18" t="str">
        <f>LOWER(_xlfn.TEXTAFTER(TRIM(Table2[[#This Row],[Scientific Name]]), " ", -1))</f>
        <v>americana</v>
      </c>
      <c r="F38" s="18" t="s">
        <v>833</v>
      </c>
      <c r="G38" s="18" t="s">
        <v>834</v>
      </c>
    </row>
    <row r="39" spans="1:7" x14ac:dyDescent="0.3">
      <c r="A39" t="s">
        <v>835</v>
      </c>
      <c r="B39" s="18" t="s">
        <v>836</v>
      </c>
      <c r="C39" s="18" t="s">
        <v>837</v>
      </c>
      <c r="D39" s="18" t="str">
        <f>_xlfn.TEXTBEFORE(TRIM(Table2[[#This Row],[Scientific Name]]), " ", 1)</f>
        <v>Ulmus</v>
      </c>
      <c r="E39" s="18" t="str">
        <f>LOWER(_xlfn.TEXTAFTER(TRIM(Table2[[#This Row],[Scientific Name]]), " ", -1))</f>
        <v>rubra</v>
      </c>
      <c r="F39" s="18" t="s">
        <v>833</v>
      </c>
      <c r="G39" s="18" t="s">
        <v>838</v>
      </c>
    </row>
    <row r="40" spans="1:7" x14ac:dyDescent="0.3">
      <c r="A40" s="3" t="s">
        <v>209</v>
      </c>
      <c r="B40" s="19" t="s">
        <v>839</v>
      </c>
      <c r="C40" s="18" t="s">
        <v>840</v>
      </c>
      <c r="D40" s="18" t="str">
        <f>_xlfn.TEXTBEFORE(TRIM(Table2[[#This Row],[Scientific Name]]), " ", 1)</f>
        <v>Unknown</v>
      </c>
      <c r="E40" s="18" t="str">
        <f>LOWER(_xlfn.TEXTAFTER(TRIM(Table2[[#This Row],[Scientific Name]]), " ", -1))</f>
        <v>species</v>
      </c>
      <c r="F40" s="18" t="s">
        <v>841</v>
      </c>
      <c r="G40" s="18" t="s">
        <v>842</v>
      </c>
    </row>
  </sheetData>
  <sortState xmlns:xlrd2="http://schemas.microsoft.com/office/spreadsheetml/2017/richdata2" ref="A2:C39">
    <sortCondition ref="A2:A39"/>
  </sortState>
  <dataValidations count="1">
    <dataValidation type="list" allowBlank="1" showInputMessage="1" showErrorMessage="1" sqref="J3:J8" xr:uid="{672E7708-6CD3-4B5E-9AD5-71E64CEC4DEC}">
      <formula1>CandyTypes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FA59-C22B-43CA-9D5A-8EFE4FE1F2E4}">
  <dimension ref="A1:V2995"/>
  <sheetViews>
    <sheetView zoomScale="92" workbookViewId="0">
      <pane xSplit="1" topLeftCell="H1" activePane="topRight" state="frozen"/>
      <selection pane="topRight" activeCell="V11" sqref="V11"/>
    </sheetView>
  </sheetViews>
  <sheetFormatPr defaultRowHeight="15" customHeight="1" x14ac:dyDescent="0.3"/>
  <cols>
    <col min="3" max="3" width="11.33203125" customWidth="1"/>
    <col min="5" max="5" width="11" bestFit="1" customWidth="1"/>
    <col min="6" max="6" width="10.88671875" customWidth="1"/>
    <col min="7" max="7" width="7.33203125" customWidth="1"/>
    <col min="8" max="8" width="47.44140625" customWidth="1"/>
    <col min="9" max="9" width="9" customWidth="1"/>
    <col min="10" max="10" width="25.5546875" customWidth="1"/>
    <col min="11" max="11" width="19.44140625" customWidth="1"/>
    <col min="12" max="12" width="18.5546875" customWidth="1"/>
    <col min="13" max="14" width="22.44140625" customWidth="1"/>
    <col min="15" max="15" width="9" customWidth="1"/>
  </cols>
  <sheetData>
    <row r="1" spans="1:22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S1" t="s">
        <v>0</v>
      </c>
      <c r="T1" t="s">
        <v>843</v>
      </c>
      <c r="U1" t="s">
        <v>844</v>
      </c>
      <c r="V1" t="s">
        <v>845</v>
      </c>
    </row>
    <row r="2" spans="1:22" ht="14.4" x14ac:dyDescent="0.3">
      <c r="A2" t="s">
        <v>15</v>
      </c>
      <c r="B2" s="1">
        <v>46160</v>
      </c>
      <c r="C2" t="s">
        <v>16</v>
      </c>
      <c r="D2">
        <v>1</v>
      </c>
      <c r="E2">
        <v>1</v>
      </c>
      <c r="F2">
        <v>24.3</v>
      </c>
      <c r="G2" t="s">
        <v>17</v>
      </c>
      <c r="I2" t="str">
        <f>D2&amp;"_"&amp;E2</f>
        <v>1_1</v>
      </c>
      <c r="J2" t="s">
        <v>18</v>
      </c>
      <c r="K2" t="s">
        <v>19</v>
      </c>
      <c r="L2" t="str">
        <f>_xlfn.XLOOKUP(C2, Table2[Species],Table2[Genus], "Code Not Found")</f>
        <v>Acer</v>
      </c>
      <c r="M2" t="str">
        <f>_xlfn.XLOOKUP(C2, Table2[Species],Table2[Sp. Name], "Code Not Found")</f>
        <v>saccharum</v>
      </c>
      <c r="N2" t="str">
        <f>_xlfn.XLOOKUP(C2,Table2[Species],Table2[Family],"Code Not Found")</f>
        <v>Sapindaceae</v>
      </c>
      <c r="O2" t="str" cm="1">
        <f t="array" ref="O2">_xlfn.IFS(F2="","",F2&lt;=5,"0 to 5",F2&lt;=10,"5.1 to 10",F2&lt;=20,"10 to 20", F2&lt;= 40, "20 to 40", F2 &lt;= 50, "40 to 50", F2 &gt; 50, "&gt;50" )</f>
        <v>20 to 40</v>
      </c>
      <c r="S2" t="s">
        <v>15</v>
      </c>
      <c r="T2">
        <f>_xlfn.STDEV.P(F2:F298)</f>
        <v>18.553830110635072</v>
      </c>
      <c r="U2">
        <f>AVERAGE(F2:F298)</f>
        <v>13.243434343434345</v>
      </c>
      <c r="V2">
        <f>(T2/U2)</f>
        <v>1.4009832819410204</v>
      </c>
    </row>
    <row r="3" spans="1:22" ht="14.4" x14ac:dyDescent="0.3">
      <c r="A3" t="s">
        <v>15</v>
      </c>
      <c r="B3" s="1">
        <v>46160</v>
      </c>
      <c r="C3" t="s">
        <v>20</v>
      </c>
      <c r="D3">
        <v>2</v>
      </c>
      <c r="E3">
        <v>1</v>
      </c>
      <c r="F3">
        <v>43.8</v>
      </c>
      <c r="G3" t="s">
        <v>21</v>
      </c>
      <c r="I3" t="str">
        <f t="shared" ref="I3:I66" si="0">D3&amp;"_"&amp;E3</f>
        <v>2_1</v>
      </c>
      <c r="J3" t="s">
        <v>18</v>
      </c>
      <c r="K3" t="s">
        <v>19</v>
      </c>
      <c r="L3" t="str">
        <f>_xlfn.XLOOKUP(C3, Table2[Species],Table2[Sp. Name], "Code Not Found")</f>
        <v>serotina</v>
      </c>
      <c r="M3" t="str">
        <f>_xlfn.XLOOKUP(C3, Table2[Species],Table2[Sp. Name], "Code Not Found")</f>
        <v>serotina</v>
      </c>
      <c r="N3" t="str">
        <f>_xlfn.XLOOKUP(C3,Table2[Species],Table2[Family],"Code Not Found")</f>
        <v>Rosaceae</v>
      </c>
      <c r="O3" t="str" cm="1">
        <f t="array" ref="O3">_xlfn.IFS(F3="","",F3&lt;=5,"0 to 5",F3&lt;=10,"5.1 to 10",F3&lt;=20,"10 to 20", F3&lt;= 40, "20 to 40", F3 &lt;= 50, "40 to 50", F3 &gt; 50, "&gt;50" )</f>
        <v>40 to 50</v>
      </c>
      <c r="S3" t="s">
        <v>114</v>
      </c>
      <c r="T3">
        <f>_xlfn.STDEV.P(F299:F591)</f>
        <v>16.882808047304064</v>
      </c>
      <c r="U3">
        <f>AVERAGE(F299:F591)</f>
        <v>11.897269624573378</v>
      </c>
      <c r="V3">
        <f t="shared" ref="V3:V10" si="1">T3/U3</f>
        <v>1.4190489566138131</v>
      </c>
    </row>
    <row r="4" spans="1:22" ht="14.4" x14ac:dyDescent="0.3">
      <c r="A4" t="s">
        <v>15</v>
      </c>
      <c r="B4" s="1">
        <v>46160</v>
      </c>
      <c r="C4" t="s">
        <v>22</v>
      </c>
      <c r="D4">
        <v>3</v>
      </c>
      <c r="E4">
        <v>1</v>
      </c>
      <c r="F4">
        <v>26.6</v>
      </c>
      <c r="G4" t="s">
        <v>17</v>
      </c>
      <c r="I4" t="str">
        <f t="shared" si="0"/>
        <v>3_1</v>
      </c>
      <c r="J4" t="s">
        <v>18</v>
      </c>
      <c r="K4" t="s">
        <v>19</v>
      </c>
      <c r="L4" t="str">
        <f>_xlfn.XLOOKUP(C4, Table2[Species],Table2[Genus], "Code Not Found")</f>
        <v>Acer</v>
      </c>
      <c r="M4" t="str">
        <f>_xlfn.XLOOKUP(C4, Table2[Species],Table2[Sp. Name], "Code Not Found")</f>
        <v>rubrum</v>
      </c>
      <c r="N4" t="str">
        <f>_xlfn.XLOOKUP(C4,Table2[Species],Table2[Family],"Code Not Found")</f>
        <v>Sapindaceae</v>
      </c>
      <c r="O4" t="str" cm="1">
        <f t="array" ref="O4">_xlfn.IFS(F4="","",F4&lt;=5,"0 to 5",F4&lt;=10,"5.1 to 10",F4&lt;=20,"10 to 20", F4&lt;= 40, "20 to 40", F4 &lt;= 50, "40 to 50", F4 &gt; 50, "&gt;50" )</f>
        <v>20 to 40</v>
      </c>
      <c r="S4" t="s">
        <v>177</v>
      </c>
      <c r="T4">
        <f>_xlfn.STDEV.P(F592:F790)</f>
        <v>20.569656349936576</v>
      </c>
      <c r="U4">
        <f>AVERAGE(F592:F790)</f>
        <v>14.315577889447237</v>
      </c>
      <c r="V4">
        <f t="shared" si="1"/>
        <v>1.4368722316896161</v>
      </c>
    </row>
    <row r="5" spans="1:22" ht="14.4" x14ac:dyDescent="0.3">
      <c r="A5" t="s">
        <v>15</v>
      </c>
      <c r="B5" s="1">
        <v>46160</v>
      </c>
      <c r="C5" t="s">
        <v>16</v>
      </c>
      <c r="D5">
        <v>4</v>
      </c>
      <c r="E5">
        <v>1</v>
      </c>
      <c r="F5">
        <v>25.5</v>
      </c>
      <c r="G5" t="s">
        <v>17</v>
      </c>
      <c r="I5" t="str">
        <f t="shared" si="0"/>
        <v>4_1</v>
      </c>
      <c r="J5" t="s">
        <v>18</v>
      </c>
      <c r="K5" t="s">
        <v>19</v>
      </c>
      <c r="L5" t="str">
        <f>_xlfn.XLOOKUP(C5, Table2[Species],Table2[Genus], "Code Not Found")</f>
        <v>Acer</v>
      </c>
      <c r="M5" t="str">
        <f>_xlfn.XLOOKUP(C5, Table2[Species],Table2[Sp. Name], "Code Not Found")</f>
        <v>saccharum</v>
      </c>
      <c r="N5" t="str">
        <f>_xlfn.XLOOKUP(C5,Table2[Species],Table2[Family],"Code Not Found")</f>
        <v>Sapindaceae</v>
      </c>
      <c r="O5" t="str" cm="1">
        <f t="array" ref="O5">_xlfn.IFS(F5="","",F5&lt;=5,"0 to 5",F5&lt;=10,"5.1 to 10",F5&lt;=20,"10 to 20", F5&lt;= 40, "20 to 40", F5 &lt;= 50, "40 to 50", F5 &gt; 50, "&gt;50" )</f>
        <v>20 to 40</v>
      </c>
      <c r="S5" t="s">
        <v>213</v>
      </c>
      <c r="T5">
        <f>_xlfn.STDEV.P(F791:F1055)</f>
        <v>18.196962301546812</v>
      </c>
      <c r="U5">
        <f>AVERAGE(F791:F1055)</f>
        <v>14.537471698113205</v>
      </c>
      <c r="V5">
        <f t="shared" si="1"/>
        <v>1.2517281326097829</v>
      </c>
    </row>
    <row r="6" spans="1:22" ht="14.4" x14ac:dyDescent="0.3">
      <c r="A6" t="s">
        <v>15</v>
      </c>
      <c r="B6" s="1">
        <v>46160</v>
      </c>
      <c r="C6" t="s">
        <v>16</v>
      </c>
      <c r="D6">
        <v>5</v>
      </c>
      <c r="E6">
        <v>1</v>
      </c>
      <c r="F6">
        <v>1.9</v>
      </c>
      <c r="G6" t="s">
        <v>21</v>
      </c>
      <c r="H6" s="2"/>
      <c r="I6" t="str">
        <f t="shared" si="0"/>
        <v>5_1</v>
      </c>
      <c r="J6" t="s">
        <v>18</v>
      </c>
      <c r="K6" t="s">
        <v>19</v>
      </c>
      <c r="L6" t="str">
        <f>_xlfn.XLOOKUP(C6, Table2[Species],Table2[Genus], "Code Not Found")</f>
        <v>Acer</v>
      </c>
      <c r="M6" t="str">
        <f>_xlfn.XLOOKUP(C6, Table2[Species],Table2[Sp. Name], "Code Not Found")</f>
        <v>saccharum</v>
      </c>
      <c r="N6" t="str">
        <f>_xlfn.XLOOKUP(C6,Table2[Species],Table2[Family],"Code Not Found")</f>
        <v>Sapindaceae</v>
      </c>
      <c r="O6" t="str" cm="1">
        <f t="array" ref="O6">_xlfn.IFS(F6="","",F6&lt;=5,"0 to 5",F6&lt;=10,"5.1 to 10",F6&lt;=20,"10 to 20", F6&lt;= 40, "20 to 40", F6 &lt;= 50, "40 to 50", F6 &gt; 50, "&gt;50" )</f>
        <v>0 to 5</v>
      </c>
      <c r="S6" t="s">
        <v>240</v>
      </c>
      <c r="T6">
        <f>_xlfn.STDEV.P(F1056:F1406)</f>
        <v>12.700289297685229</v>
      </c>
      <c r="U6">
        <f>AVERAGE(F1056:F1406)</f>
        <v>8.6205714285714272</v>
      </c>
      <c r="V6">
        <f t="shared" si="1"/>
        <v>1.4732537631545244</v>
      </c>
    </row>
    <row r="7" spans="1:22" ht="14.4" x14ac:dyDescent="0.3">
      <c r="A7" t="s">
        <v>15</v>
      </c>
      <c r="B7" s="1">
        <v>46160</v>
      </c>
      <c r="C7" t="s">
        <v>16</v>
      </c>
      <c r="D7">
        <v>6</v>
      </c>
      <c r="E7">
        <v>1</v>
      </c>
      <c r="F7">
        <v>2.2000000000000002</v>
      </c>
      <c r="G7" t="s">
        <v>21</v>
      </c>
      <c r="H7" s="2"/>
      <c r="I7" t="str">
        <f t="shared" si="0"/>
        <v>6_1</v>
      </c>
      <c r="J7" t="s">
        <v>18</v>
      </c>
      <c r="K7" t="s">
        <v>19</v>
      </c>
      <c r="L7" t="str">
        <f>_xlfn.XLOOKUP(C7, Table2[Species],Table2[Genus], "Code Not Found")</f>
        <v>Acer</v>
      </c>
      <c r="M7" t="str">
        <f>_xlfn.XLOOKUP(C7, Table2[Species],Table2[Sp. Name], "Code Not Found")</f>
        <v>saccharum</v>
      </c>
      <c r="N7" t="str">
        <f>_xlfn.XLOOKUP(C7,Table2[Species],Table2[Family],"Code Not Found")</f>
        <v>Sapindaceae</v>
      </c>
      <c r="O7" t="str" cm="1">
        <f t="array" ref="O7">_xlfn.IFS(F7="","",F7&lt;=5,"0 to 5",F7&lt;=10,"5.1 to 10",F7&lt;=20,"10 to 20", F7&lt;= 40, "20 to 40", F7 &lt;= 50, "40 to 50", F7 &gt; 50, "&gt;50" )</f>
        <v>0 to 5</v>
      </c>
      <c r="S7" t="s">
        <v>293</v>
      </c>
      <c r="T7">
        <f>_xlfn.STDEV.P(F1407:F1702)</f>
        <v>18.861290547994479</v>
      </c>
      <c r="U7">
        <f>AVERAGE(F1407:F1702)</f>
        <v>12.987162162162162</v>
      </c>
      <c r="V7">
        <f t="shared" si="1"/>
        <v>1.452302690340348</v>
      </c>
    </row>
    <row r="8" spans="1:22" ht="14.4" x14ac:dyDescent="0.3">
      <c r="A8" t="s">
        <v>15</v>
      </c>
      <c r="B8" s="1">
        <v>46160</v>
      </c>
      <c r="C8" t="s">
        <v>16</v>
      </c>
      <c r="D8">
        <v>7</v>
      </c>
      <c r="E8">
        <v>1</v>
      </c>
      <c r="F8">
        <v>11.2</v>
      </c>
      <c r="G8" t="s">
        <v>17</v>
      </c>
      <c r="H8" t="s">
        <v>23</v>
      </c>
      <c r="I8" t="str">
        <f t="shared" si="0"/>
        <v>7_1</v>
      </c>
      <c r="J8" t="s">
        <v>18</v>
      </c>
      <c r="K8" t="s">
        <v>19</v>
      </c>
      <c r="L8" t="str">
        <f>_xlfn.XLOOKUP(C8, Table2[Species],Table2[Genus], "Code Not Found")</f>
        <v>Acer</v>
      </c>
      <c r="M8" t="str">
        <f>_xlfn.XLOOKUP(C8, Table2[Species],Table2[Sp. Name], "Code Not Found")</f>
        <v>saccharum</v>
      </c>
      <c r="N8" t="str">
        <f>_xlfn.XLOOKUP(C8,Table2[Species],Table2[Family],"Code Not Found")</f>
        <v>Sapindaceae</v>
      </c>
      <c r="O8" t="str" cm="1">
        <f t="array" ref="O8">_xlfn.IFS(F8="","",F8&lt;=5,"0 to 5",F8&lt;=10,"5.1 to 10",F8&lt;=20,"10 to 20", F8&lt;= 40, "20 to 40", F8 &lt;= 50, "40 to 50", F8 &gt; 50, "&gt;50" )</f>
        <v>10 to 20</v>
      </c>
      <c r="S8" t="s">
        <v>351</v>
      </c>
      <c r="T8">
        <f>_xlfn.STDEV.P(F1703:F2018)</f>
        <v>15.07491902375229</v>
      </c>
      <c r="U8">
        <f>AVERAGE(F1703:F2018)</f>
        <v>8.7146031746031749</v>
      </c>
      <c r="V8">
        <f t="shared" si="1"/>
        <v>1.7298457223714878</v>
      </c>
    </row>
    <row r="9" spans="1:22" ht="14.4" x14ac:dyDescent="0.3">
      <c r="A9" t="s">
        <v>15</v>
      </c>
      <c r="B9" s="1">
        <v>46160</v>
      </c>
      <c r="C9" t="s">
        <v>16</v>
      </c>
      <c r="D9">
        <v>10</v>
      </c>
      <c r="E9">
        <v>1</v>
      </c>
      <c r="F9">
        <v>1.5</v>
      </c>
      <c r="G9" t="s">
        <v>21</v>
      </c>
      <c r="I9" t="str">
        <f t="shared" si="0"/>
        <v>10_1</v>
      </c>
      <c r="J9" t="s">
        <v>18</v>
      </c>
      <c r="K9" t="s">
        <v>19</v>
      </c>
      <c r="L9" t="str">
        <f>_xlfn.XLOOKUP(C9, Table2[Species],Table2[Genus], "Code Not Found")</f>
        <v>Acer</v>
      </c>
      <c r="M9" t="str">
        <f>_xlfn.XLOOKUP(C9, Table2[Species],Table2[Sp. Name], "Code Not Found")</f>
        <v>saccharum</v>
      </c>
      <c r="N9" t="str">
        <f>_xlfn.XLOOKUP(C9,Table2[Species],Table2[Family],"Code Not Found")</f>
        <v>Sapindaceae</v>
      </c>
      <c r="O9" t="str" cm="1">
        <f t="array" ref="O9">_xlfn.IFS(F9="","",F9&lt;=5,"0 to 5",F9&lt;=10,"5.1 to 10",F9&lt;=20,"10 to 20", F9&lt;= 40, "20 to 40", F9 &lt;= 50, "40 to 50", F9 &gt; 50, "&gt;50" )</f>
        <v>0 to 5</v>
      </c>
      <c r="S9" t="s">
        <v>846</v>
      </c>
      <c r="T9">
        <f>_xlfn.STDEV.P(F2019:F2255)</f>
        <v>19.388606240531182</v>
      </c>
      <c r="U9">
        <f>AVERAGE(F2019:F2255)</f>
        <v>15.714767932489446</v>
      </c>
      <c r="V9">
        <f t="shared" si="1"/>
        <v>1.2337825365175308</v>
      </c>
    </row>
    <row r="10" spans="1:22" ht="14.4" x14ac:dyDescent="0.3">
      <c r="A10" t="s">
        <v>15</v>
      </c>
      <c r="B10" s="1">
        <v>46160</v>
      </c>
      <c r="C10" t="s">
        <v>24</v>
      </c>
      <c r="D10">
        <v>8</v>
      </c>
      <c r="E10">
        <v>1</v>
      </c>
      <c r="F10">
        <v>77.3</v>
      </c>
      <c r="G10" t="s">
        <v>21</v>
      </c>
      <c r="I10" t="str">
        <f t="shared" si="0"/>
        <v>8_1</v>
      </c>
      <c r="J10" t="s">
        <v>18</v>
      </c>
      <c r="K10" t="s">
        <v>19</v>
      </c>
      <c r="L10" t="str">
        <f>_xlfn.XLOOKUP(C10, Table2[Species],Table2[Genus], "Code Not Found")</f>
        <v>Lirodendron</v>
      </c>
      <c r="M10" t="str">
        <f>_xlfn.XLOOKUP(C10, Table2[Species],Table2[Sp. Name], "Code Not Found")</f>
        <v>tulipfera</v>
      </c>
      <c r="N10" t="str">
        <f>_xlfn.XLOOKUP(C10,Table2[Species],Table2[Family],"Code Not Found")</f>
        <v>Magnoliaceae</v>
      </c>
      <c r="O10" t="str" cm="1">
        <f t="array" ref="O10">_xlfn.IFS(F10="","",F10&lt;=5,"0 to 5",F10&lt;=10,"5.1 to 10",F10&lt;=20,"10 to 20", F10&lt;= 40, "20 to 40", F10 &lt;= 50, "40 to 50", F10 &gt; 50, "&gt;50" )</f>
        <v>&gt;50</v>
      </c>
      <c r="S10" t="s">
        <v>847</v>
      </c>
      <c r="T10">
        <f>_xlfn.STDEV.P(F2256:F2504)</f>
        <v>18.299274025442127</v>
      </c>
      <c r="U10">
        <f>AVERAGE(F2256:F2504)</f>
        <v>15.964112903225793</v>
      </c>
      <c r="V10">
        <f t="shared" si="1"/>
        <v>1.1462756581823272</v>
      </c>
    </row>
    <row r="11" spans="1:22" ht="14.4" x14ac:dyDescent="0.3">
      <c r="A11" t="s">
        <v>15</v>
      </c>
      <c r="B11" s="1">
        <v>46160</v>
      </c>
      <c r="C11" t="s">
        <v>16</v>
      </c>
      <c r="D11">
        <v>9</v>
      </c>
      <c r="E11">
        <v>1</v>
      </c>
      <c r="F11">
        <v>1.3</v>
      </c>
      <c r="G11" t="s">
        <v>21</v>
      </c>
      <c r="I11" t="str">
        <f t="shared" si="0"/>
        <v>9_1</v>
      </c>
      <c r="J11" t="s">
        <v>18</v>
      </c>
      <c r="K11" t="s">
        <v>19</v>
      </c>
      <c r="L11" t="str">
        <f>_xlfn.XLOOKUP(C11, Table2[Species],Table2[Genus], "Code Not Found")</f>
        <v>Acer</v>
      </c>
      <c r="M11" t="str">
        <f>_xlfn.XLOOKUP(C11, Table2[Species],Table2[Sp. Name], "Code Not Found")</f>
        <v>saccharum</v>
      </c>
      <c r="N11" t="str">
        <f>_xlfn.XLOOKUP(C11,Table2[Species],Table2[Family],"Code Not Found")</f>
        <v>Sapindaceae</v>
      </c>
      <c r="O11" t="str" cm="1">
        <f t="array" ref="O11">_xlfn.IFS(F11="","",F11&lt;=5,"0 to 5",F11&lt;=10,"5.1 to 10",F11&lt;=20,"10 to 20", F11&lt;= 40, "20 to 40", F11 &lt;= 50, "40 to 50", F11 &gt; 50, "&gt;50" )</f>
        <v>0 to 5</v>
      </c>
    </row>
    <row r="12" spans="1:22" ht="14.4" x14ac:dyDescent="0.3">
      <c r="A12" t="s">
        <v>15</v>
      </c>
      <c r="B12" s="1">
        <v>46160</v>
      </c>
      <c r="C12" t="s">
        <v>16</v>
      </c>
      <c r="D12">
        <v>12</v>
      </c>
      <c r="E12">
        <v>1</v>
      </c>
      <c r="F12">
        <v>21.4</v>
      </c>
      <c r="G12" t="s">
        <v>21</v>
      </c>
      <c r="I12" t="str">
        <f t="shared" si="0"/>
        <v>12_1</v>
      </c>
      <c r="J12" t="s">
        <v>18</v>
      </c>
      <c r="K12" t="s">
        <v>19</v>
      </c>
      <c r="L12" t="str">
        <f>_xlfn.XLOOKUP(C12, Table2[Species],Table2[Genus], "Code Not Found")</f>
        <v>Acer</v>
      </c>
      <c r="M12" t="str">
        <f>_xlfn.XLOOKUP(C12, Table2[Species],Table2[Sp. Name], "Code Not Found")</f>
        <v>saccharum</v>
      </c>
      <c r="N12" t="str">
        <f>_xlfn.XLOOKUP(C12,Table2[Species],Table2[Family],"Code Not Found")</f>
        <v>Sapindaceae</v>
      </c>
      <c r="O12" t="str" cm="1">
        <f t="array" ref="O12">_xlfn.IFS(F12="","",F12&lt;=5,"0 to 5",F12&lt;=10,"5.1 to 10",F12&lt;=20,"10 to 20", F12&lt;= 40, "20 to 40", F12 &lt;= 50, "40 to 50", F12 &gt; 50, "&gt;50" )</f>
        <v>20 to 40</v>
      </c>
    </row>
    <row r="13" spans="1:22" ht="14.4" x14ac:dyDescent="0.3">
      <c r="A13" t="s">
        <v>15</v>
      </c>
      <c r="B13" s="1">
        <v>46160</v>
      </c>
      <c r="C13" t="s">
        <v>16</v>
      </c>
      <c r="D13">
        <v>14</v>
      </c>
      <c r="E13">
        <v>1</v>
      </c>
      <c r="F13">
        <v>3.2</v>
      </c>
      <c r="G13" t="s">
        <v>21</v>
      </c>
      <c r="I13" t="str">
        <f t="shared" si="0"/>
        <v>14_1</v>
      </c>
      <c r="J13" t="s">
        <v>18</v>
      </c>
      <c r="K13" t="s">
        <v>19</v>
      </c>
      <c r="L13" t="str">
        <f>_xlfn.XLOOKUP(C13, Table2[Species],Table2[Genus], "Code Not Found")</f>
        <v>Acer</v>
      </c>
      <c r="M13" t="str">
        <f>_xlfn.XLOOKUP(C13, Table2[Species],Table2[Sp. Name], "Code Not Found")</f>
        <v>saccharum</v>
      </c>
      <c r="N13" t="str">
        <f>_xlfn.XLOOKUP(C13,Table2[Species],Table2[Family],"Code Not Found")</f>
        <v>Sapindaceae</v>
      </c>
      <c r="O13" t="str" cm="1">
        <f t="array" ref="O13">_xlfn.IFS(F13="","",F13&lt;=5,"0 to 5",F13&lt;=10,"5.1 to 10",F13&lt;=20,"10 to 20", F13&lt;= 40, "20 to 40", F13 &lt;= 50, "40 to 50", F13 &gt; 50, "&gt;50" )</f>
        <v>0 to 5</v>
      </c>
    </row>
    <row r="14" spans="1:22" ht="14.4" x14ac:dyDescent="0.3">
      <c r="A14" t="s">
        <v>15</v>
      </c>
      <c r="B14" s="1">
        <v>46160</v>
      </c>
      <c r="C14" t="s">
        <v>16</v>
      </c>
      <c r="D14">
        <v>13</v>
      </c>
      <c r="E14">
        <v>1</v>
      </c>
      <c r="F14">
        <v>5.9</v>
      </c>
      <c r="G14" t="s">
        <v>17</v>
      </c>
      <c r="I14" t="str">
        <f t="shared" si="0"/>
        <v>13_1</v>
      </c>
      <c r="J14" t="s">
        <v>18</v>
      </c>
      <c r="K14" t="s">
        <v>19</v>
      </c>
      <c r="L14" t="str">
        <f>_xlfn.XLOOKUP(C14, Table2[Species],Table2[Genus], "Code Not Found")</f>
        <v>Acer</v>
      </c>
      <c r="M14" t="str">
        <f>_xlfn.XLOOKUP(C14, Table2[Species],Table2[Sp. Name], "Code Not Found")</f>
        <v>saccharum</v>
      </c>
      <c r="N14" t="str">
        <f>_xlfn.XLOOKUP(C14,Table2[Species],Table2[Family],"Code Not Found")</f>
        <v>Sapindaceae</v>
      </c>
      <c r="O14" t="str" cm="1">
        <f t="array" ref="O14">_xlfn.IFS(F14="","",F14&lt;=5,"0 to 5",F14&lt;=10,"5.1 to 10",F14&lt;=20,"10 to 20", F14&lt;= 40, "20 to 40", F14 &lt;= 50, "40 to 50", F14 &gt; 50, "&gt;50" )</f>
        <v>5.1 to 10</v>
      </c>
    </row>
    <row r="15" spans="1:22" ht="14.4" x14ac:dyDescent="0.3">
      <c r="A15" t="s">
        <v>15</v>
      </c>
      <c r="B15" s="1">
        <v>46160</v>
      </c>
      <c r="C15" t="s">
        <v>16</v>
      </c>
      <c r="D15">
        <v>11</v>
      </c>
      <c r="E15">
        <v>1</v>
      </c>
      <c r="F15">
        <v>46</v>
      </c>
      <c r="G15" t="s">
        <v>25</v>
      </c>
      <c r="H15" s="3" t="s">
        <v>26</v>
      </c>
      <c r="I15" t="str">
        <f t="shared" si="0"/>
        <v>11_1</v>
      </c>
      <c r="J15" t="s">
        <v>18</v>
      </c>
      <c r="K15" t="s">
        <v>19</v>
      </c>
      <c r="L15" t="str">
        <f>_xlfn.XLOOKUP(C15, Table2[Species],Table2[Genus], "Code Not Found")</f>
        <v>Acer</v>
      </c>
      <c r="M15" t="str">
        <f>_xlfn.XLOOKUP(C15, Table2[Species],Table2[Sp. Name], "Code Not Found")</f>
        <v>saccharum</v>
      </c>
      <c r="N15" t="str">
        <f>_xlfn.XLOOKUP(C15,Table2[Species],Table2[Family],"Code Not Found")</f>
        <v>Sapindaceae</v>
      </c>
      <c r="O15" t="str" cm="1">
        <f t="array" ref="O15">_xlfn.IFS(F15="","",F15&lt;=5,"0 to 5",F15&lt;=10,"5.1 to 10",F15&lt;=20,"10 to 20", F15&lt;= 40, "20 to 40", F15 &lt;= 50, "40 to 50", F15 &gt; 50, "&gt;50" )</f>
        <v>40 to 50</v>
      </c>
    </row>
    <row r="16" spans="1:22" ht="14.4" x14ac:dyDescent="0.3">
      <c r="A16" t="s">
        <v>15</v>
      </c>
      <c r="B16" s="1">
        <v>46160</v>
      </c>
      <c r="C16" t="s">
        <v>24</v>
      </c>
      <c r="D16">
        <v>15</v>
      </c>
      <c r="E16">
        <v>1</v>
      </c>
      <c r="F16">
        <v>52.3</v>
      </c>
      <c r="G16" t="s">
        <v>21</v>
      </c>
      <c r="I16" t="str">
        <f t="shared" si="0"/>
        <v>15_1</v>
      </c>
      <c r="J16" t="s">
        <v>18</v>
      </c>
      <c r="K16" t="s">
        <v>19</v>
      </c>
      <c r="L16" t="str">
        <f>_xlfn.XLOOKUP(C16, Table2[Species],Table2[Genus], "Code Not Found")</f>
        <v>Lirodendron</v>
      </c>
      <c r="M16" t="str">
        <f>_xlfn.XLOOKUP(C16, Table2[Species],Table2[Sp. Name], "Code Not Found")</f>
        <v>tulipfera</v>
      </c>
      <c r="N16" t="str">
        <f>_xlfn.XLOOKUP(C16,Table2[Species],Table2[Family],"Code Not Found")</f>
        <v>Magnoliaceae</v>
      </c>
      <c r="O16" t="str" cm="1">
        <f t="array" ref="O16">_xlfn.IFS(F16="","",F16&lt;=5,"0 to 5",F16&lt;=10,"5.1 to 10",F16&lt;=20,"10 to 20", F16&lt;= 40, "20 to 40", F16 &lt;= 50, "40 to 50", F16 &gt; 50, "&gt;50" )</f>
        <v>&gt;50</v>
      </c>
    </row>
    <row r="17" spans="1:15" ht="14.4" x14ac:dyDescent="0.3">
      <c r="A17" t="s">
        <v>15</v>
      </c>
      <c r="B17" s="1">
        <v>46160</v>
      </c>
      <c r="C17" t="s">
        <v>16</v>
      </c>
      <c r="D17">
        <v>16</v>
      </c>
      <c r="E17">
        <v>1</v>
      </c>
      <c r="F17">
        <v>18.600000000000001</v>
      </c>
      <c r="G17" t="s">
        <v>21</v>
      </c>
      <c r="I17" t="str">
        <f t="shared" si="0"/>
        <v>16_1</v>
      </c>
      <c r="J17" t="s">
        <v>18</v>
      </c>
      <c r="K17" t="s">
        <v>19</v>
      </c>
      <c r="L17" t="str">
        <f>_xlfn.XLOOKUP(C17, Table2[Species],Table2[Genus], "Code Not Found")</f>
        <v>Acer</v>
      </c>
      <c r="M17" t="str">
        <f>_xlfn.XLOOKUP(C17, Table2[Species],Table2[Sp. Name], "Code Not Found")</f>
        <v>saccharum</v>
      </c>
      <c r="N17" t="str">
        <f>_xlfn.XLOOKUP(C17,Table2[Species],Table2[Family],"Code Not Found")</f>
        <v>Sapindaceae</v>
      </c>
      <c r="O17" t="str" cm="1">
        <f t="array" ref="O17">_xlfn.IFS(F17="","",F17&lt;=5,"0 to 5",F17&lt;=10,"5.1 to 10",F17&lt;=20,"10 to 20", F17&lt;= 40, "20 to 40", F17 &lt;= 50, "40 to 50", F17 &gt; 50, "&gt;50" )</f>
        <v>10 to 20</v>
      </c>
    </row>
    <row r="18" spans="1:15" ht="14.4" x14ac:dyDescent="0.3">
      <c r="A18" t="s">
        <v>15</v>
      </c>
      <c r="B18" s="1">
        <v>46160</v>
      </c>
      <c r="C18" t="s">
        <v>24</v>
      </c>
      <c r="D18">
        <v>17</v>
      </c>
      <c r="E18">
        <v>1</v>
      </c>
      <c r="F18">
        <v>35.4</v>
      </c>
      <c r="G18" t="s">
        <v>21</v>
      </c>
      <c r="I18" t="str">
        <f t="shared" si="0"/>
        <v>17_1</v>
      </c>
      <c r="J18" t="s">
        <v>18</v>
      </c>
      <c r="K18" t="s">
        <v>19</v>
      </c>
      <c r="L18" t="str">
        <f>_xlfn.XLOOKUP(C18, Table2[Species],Table2[Genus], "Code Not Found")</f>
        <v>Lirodendron</v>
      </c>
      <c r="M18" t="str">
        <f>_xlfn.XLOOKUP(C18, Table2[Species],Table2[Sp. Name], "Code Not Found")</f>
        <v>tulipfera</v>
      </c>
      <c r="N18" t="str">
        <f>_xlfn.XLOOKUP(C18,Table2[Species],Table2[Family],"Code Not Found")</f>
        <v>Magnoliaceae</v>
      </c>
      <c r="O18" t="str" cm="1">
        <f t="array" ref="O18">_xlfn.IFS(F18="","",F18&lt;=5,"0 to 5",F18&lt;=10,"5.1 to 10",F18&lt;=20,"10 to 20", F18&lt;= 40, "20 to 40", F18 &lt;= 50, "40 to 50", F18 &gt; 50, "&gt;50" )</f>
        <v>20 to 40</v>
      </c>
    </row>
    <row r="19" spans="1:15" ht="14.4" x14ac:dyDescent="0.3">
      <c r="A19" t="s">
        <v>15</v>
      </c>
      <c r="B19" s="1">
        <v>46160</v>
      </c>
      <c r="C19" t="s">
        <v>24</v>
      </c>
      <c r="D19">
        <v>18</v>
      </c>
      <c r="E19">
        <v>1</v>
      </c>
      <c r="F19">
        <v>44.8</v>
      </c>
      <c r="G19" t="s">
        <v>21</v>
      </c>
      <c r="I19" t="str">
        <f t="shared" si="0"/>
        <v>18_1</v>
      </c>
      <c r="J19" t="s">
        <v>18</v>
      </c>
      <c r="K19" t="s">
        <v>19</v>
      </c>
      <c r="L19" t="str">
        <f>_xlfn.XLOOKUP(C19, Table2[Species],Table2[Genus], "Code Not Found")</f>
        <v>Lirodendron</v>
      </c>
      <c r="M19" t="str">
        <f>_xlfn.XLOOKUP(C19, Table2[Species],Table2[Sp. Name], "Code Not Found")</f>
        <v>tulipfera</v>
      </c>
      <c r="N19" t="str">
        <f>_xlfn.XLOOKUP(C19,Table2[Species],Table2[Family],"Code Not Found")</f>
        <v>Magnoliaceae</v>
      </c>
      <c r="O19" t="str" cm="1">
        <f t="array" ref="O19">_xlfn.IFS(F19="","",F19&lt;=5,"0 to 5",F19&lt;=10,"5.1 to 10",F19&lt;=20,"10 to 20", F19&lt;= 40, "20 to 40", F19 &lt;= 50, "40 to 50", F19 &gt; 50, "&gt;50" )</f>
        <v>40 to 50</v>
      </c>
    </row>
    <row r="20" spans="1:15" ht="14.4" x14ac:dyDescent="0.3">
      <c r="A20" t="s">
        <v>15</v>
      </c>
      <c r="B20" s="1">
        <v>46160</v>
      </c>
      <c r="C20" t="s">
        <v>16</v>
      </c>
      <c r="D20">
        <v>19</v>
      </c>
      <c r="E20">
        <v>1</v>
      </c>
      <c r="F20">
        <v>8</v>
      </c>
      <c r="G20" t="s">
        <v>17</v>
      </c>
      <c r="I20" t="str">
        <f t="shared" si="0"/>
        <v>19_1</v>
      </c>
      <c r="J20" t="s">
        <v>18</v>
      </c>
      <c r="K20" t="s">
        <v>19</v>
      </c>
      <c r="L20" t="str">
        <f>_xlfn.XLOOKUP(C20, Table2[Species],Table2[Genus], "Code Not Found")</f>
        <v>Acer</v>
      </c>
      <c r="M20" t="str">
        <f>_xlfn.XLOOKUP(C20, Table2[Species],Table2[Sp. Name], "Code Not Found")</f>
        <v>saccharum</v>
      </c>
      <c r="N20" t="str">
        <f>_xlfn.XLOOKUP(C20,Table2[Species],Table2[Family],"Code Not Found")</f>
        <v>Sapindaceae</v>
      </c>
      <c r="O20" t="str" cm="1">
        <f t="array" ref="O20">_xlfn.IFS(F20="","",F20&lt;=5,"0 to 5",F20&lt;=10,"5.1 to 10",F20&lt;=20,"10 to 20", F20&lt;= 40, "20 to 40", F20 &lt;= 50, "40 to 50", F20 &gt; 50, "&gt;50" )</f>
        <v>5.1 to 10</v>
      </c>
    </row>
    <row r="21" spans="1:15" ht="14.4" x14ac:dyDescent="0.3">
      <c r="A21" t="s">
        <v>15</v>
      </c>
      <c r="B21" s="1">
        <v>46161</v>
      </c>
      <c r="C21" t="s">
        <v>22</v>
      </c>
      <c r="D21">
        <v>20</v>
      </c>
      <c r="E21">
        <v>1</v>
      </c>
      <c r="F21">
        <v>34.1</v>
      </c>
      <c r="G21" t="s">
        <v>27</v>
      </c>
      <c r="H21" t="s">
        <v>28</v>
      </c>
      <c r="I21" t="str">
        <f t="shared" si="0"/>
        <v>20_1</v>
      </c>
      <c r="J21" t="s">
        <v>18</v>
      </c>
      <c r="K21" t="s">
        <v>19</v>
      </c>
      <c r="L21" t="str">
        <f>_xlfn.XLOOKUP(C21, Table2[Species],Table2[Genus], "Code Not Found")</f>
        <v>Acer</v>
      </c>
      <c r="M21" t="str">
        <f>_xlfn.XLOOKUP(C21, Table2[Species],Table2[Sp. Name], "Code Not Found")</f>
        <v>rubrum</v>
      </c>
      <c r="N21" t="str">
        <f>_xlfn.XLOOKUP(C21,Table2[Species],Table2[Family],"Code Not Found")</f>
        <v>Sapindaceae</v>
      </c>
      <c r="O21" t="str" cm="1">
        <f t="array" ref="O21">_xlfn.IFS(F21="","",F21&lt;=5,"0 to 5",F21&lt;=10,"5.1 to 10",F21&lt;=20,"10 to 20", F21&lt;= 40, "20 to 40", F21 &lt;= 50, "40 to 50", F21 &gt; 50, "&gt;50" )</f>
        <v>20 to 40</v>
      </c>
    </row>
    <row r="22" spans="1:15" ht="14.4" x14ac:dyDescent="0.3">
      <c r="A22" t="s">
        <v>15</v>
      </c>
      <c r="B22" s="1">
        <v>46161</v>
      </c>
      <c r="C22" t="s">
        <v>16</v>
      </c>
      <c r="D22">
        <v>21</v>
      </c>
      <c r="E22">
        <v>1</v>
      </c>
      <c r="F22">
        <v>9.8000000000000007</v>
      </c>
      <c r="G22" t="s">
        <v>21</v>
      </c>
      <c r="I22" t="str">
        <f t="shared" si="0"/>
        <v>21_1</v>
      </c>
      <c r="J22" t="s">
        <v>18</v>
      </c>
      <c r="K22" t="s">
        <v>19</v>
      </c>
      <c r="L22" t="str">
        <f>_xlfn.XLOOKUP(C22, Table2[Species],Table2[Genus], "Code Not Found")</f>
        <v>Acer</v>
      </c>
      <c r="M22" t="str">
        <f>_xlfn.XLOOKUP(C22, Table2[Species],Table2[Sp. Name], "Code Not Found")</f>
        <v>saccharum</v>
      </c>
      <c r="N22" t="str">
        <f>_xlfn.XLOOKUP(C22,Table2[Species],Table2[Family],"Code Not Found")</f>
        <v>Sapindaceae</v>
      </c>
      <c r="O22" t="str" cm="1">
        <f t="array" ref="O22">_xlfn.IFS(F22="","",F22&lt;=5,"0 to 5",F22&lt;=10,"5.1 to 10",F22&lt;=20,"10 to 20", F22&lt;= 40, "20 to 40", F22 &lt;= 50, "40 to 50", F22 &gt; 50, "&gt;50" )</f>
        <v>5.1 to 10</v>
      </c>
    </row>
    <row r="23" spans="1:15" ht="14.4" x14ac:dyDescent="0.3">
      <c r="A23" t="s">
        <v>15</v>
      </c>
      <c r="B23" s="1">
        <v>46161</v>
      </c>
      <c r="C23" t="s">
        <v>29</v>
      </c>
      <c r="D23">
        <v>22</v>
      </c>
      <c r="E23">
        <v>1</v>
      </c>
      <c r="F23">
        <v>31.6</v>
      </c>
      <c r="G23" t="s">
        <v>21</v>
      </c>
      <c r="I23" t="str">
        <f t="shared" si="0"/>
        <v>22_1</v>
      </c>
      <c r="J23" t="s">
        <v>18</v>
      </c>
      <c r="K23" t="s">
        <v>19</v>
      </c>
      <c r="L23" t="str">
        <f>_xlfn.XLOOKUP(C23, Table2[Species],Table2[Genus], "Code Not Found")</f>
        <v>Sassafras</v>
      </c>
      <c r="M23" t="str">
        <f>_xlfn.XLOOKUP(C23, Table2[Species],Table2[Sp. Name], "Code Not Found")</f>
        <v>albidum</v>
      </c>
      <c r="N23" t="str">
        <f>_xlfn.XLOOKUP(C23,Table2[Species],Table2[Family],"Code Not Found")</f>
        <v>Lauraceae</v>
      </c>
      <c r="O23" t="str" cm="1">
        <f t="array" ref="O23">_xlfn.IFS(F23="","",F23&lt;=5,"0 to 5",F23&lt;=10,"5.1 to 10",F23&lt;=20,"10 to 20", F23&lt;= 40, "20 to 40", F23 &lt;= 50, "40 to 50", F23 &gt; 50, "&gt;50" )</f>
        <v>20 to 40</v>
      </c>
    </row>
    <row r="24" spans="1:15" ht="14.4" x14ac:dyDescent="0.3">
      <c r="A24" t="s">
        <v>15</v>
      </c>
      <c r="B24" s="1">
        <v>46161</v>
      </c>
      <c r="C24" t="s">
        <v>16</v>
      </c>
      <c r="D24">
        <v>23</v>
      </c>
      <c r="E24">
        <v>1</v>
      </c>
      <c r="F24">
        <v>12.6</v>
      </c>
      <c r="G24" t="s">
        <v>21</v>
      </c>
      <c r="I24" t="str">
        <f t="shared" si="0"/>
        <v>23_1</v>
      </c>
      <c r="J24" t="s">
        <v>18</v>
      </c>
      <c r="K24" t="s">
        <v>19</v>
      </c>
      <c r="L24" t="str">
        <f>_xlfn.XLOOKUP(C24, Table2[Species],Table2[Genus], "Code Not Found")</f>
        <v>Acer</v>
      </c>
      <c r="M24" t="str">
        <f>_xlfn.XLOOKUP(C24, Table2[Species],Table2[Sp. Name], "Code Not Found")</f>
        <v>saccharum</v>
      </c>
      <c r="N24" t="str">
        <f>_xlfn.XLOOKUP(C24,Table2[Species],Table2[Family],"Code Not Found")</f>
        <v>Sapindaceae</v>
      </c>
      <c r="O24" t="str" cm="1">
        <f t="array" ref="O24">_xlfn.IFS(F24="","",F24&lt;=5,"0 to 5",F24&lt;=10,"5.1 to 10",F24&lt;=20,"10 to 20", F24&lt;= 40, "20 to 40", F24 &lt;= 50, "40 to 50", F24 &gt; 50, "&gt;50" )</f>
        <v>10 to 20</v>
      </c>
    </row>
    <row r="25" spans="1:15" ht="14.4" x14ac:dyDescent="0.3">
      <c r="A25" t="s">
        <v>15</v>
      </c>
      <c r="B25" s="1">
        <v>46161</v>
      </c>
      <c r="C25" t="s">
        <v>16</v>
      </c>
      <c r="D25">
        <v>24</v>
      </c>
      <c r="E25">
        <v>1</v>
      </c>
      <c r="F25">
        <v>17.100000000000001</v>
      </c>
      <c r="G25" t="s">
        <v>30</v>
      </c>
      <c r="H25" t="s">
        <v>31</v>
      </c>
      <c r="I25" t="str">
        <f t="shared" si="0"/>
        <v>24_1</v>
      </c>
      <c r="J25" t="s">
        <v>18</v>
      </c>
      <c r="K25" t="s">
        <v>19</v>
      </c>
      <c r="L25" t="str">
        <f>_xlfn.XLOOKUP(C25, Table2[Species],Table2[Genus], "Code Not Found")</f>
        <v>Acer</v>
      </c>
      <c r="M25" t="str">
        <f>_xlfn.XLOOKUP(C25, Table2[Species],Table2[Sp. Name], "Code Not Found")</f>
        <v>saccharum</v>
      </c>
      <c r="N25" t="str">
        <f>_xlfn.XLOOKUP(C25,Table2[Species],Table2[Family],"Code Not Found")</f>
        <v>Sapindaceae</v>
      </c>
      <c r="O25" t="str" cm="1">
        <f t="array" ref="O25">_xlfn.IFS(F25="","",F25&lt;=5,"0 to 5",F25&lt;=10,"5.1 to 10",F25&lt;=20,"10 to 20", F25&lt;= 40, "20 to 40", F25 &lt;= 50, "40 to 50", F25 &gt; 50, "&gt;50" )</f>
        <v>10 to 20</v>
      </c>
    </row>
    <row r="26" spans="1:15" ht="14.4" x14ac:dyDescent="0.3">
      <c r="A26" t="s">
        <v>15</v>
      </c>
      <c r="B26" s="1">
        <v>46161</v>
      </c>
      <c r="C26" t="s">
        <v>24</v>
      </c>
      <c r="D26">
        <v>25</v>
      </c>
      <c r="E26">
        <v>1</v>
      </c>
      <c r="F26">
        <v>60.2</v>
      </c>
      <c r="G26" t="s">
        <v>32</v>
      </c>
      <c r="H26" t="s">
        <v>33</v>
      </c>
      <c r="I26" t="str">
        <f t="shared" si="0"/>
        <v>25_1</v>
      </c>
      <c r="J26" t="s">
        <v>18</v>
      </c>
      <c r="K26" t="s">
        <v>19</v>
      </c>
      <c r="L26" t="str">
        <f>_xlfn.XLOOKUP(C26, Table2[Species],Table2[Genus], "Code Not Found")</f>
        <v>Lirodendron</v>
      </c>
      <c r="M26" t="str">
        <f>_xlfn.XLOOKUP(C26, Table2[Species],Table2[Sp. Name], "Code Not Found")</f>
        <v>tulipfera</v>
      </c>
      <c r="N26" t="str">
        <f>_xlfn.XLOOKUP(C26,Table2[Species],Table2[Family],"Code Not Found")</f>
        <v>Magnoliaceae</v>
      </c>
      <c r="O26" t="str" cm="1">
        <f t="array" ref="O26">_xlfn.IFS(F26="","",F26&lt;=5,"0 to 5",F26&lt;=10,"5.1 to 10",F26&lt;=20,"10 to 20", F26&lt;= 40, "20 to 40", F26 &lt;= 50, "40 to 50", F26 &gt; 50, "&gt;50" )</f>
        <v>&gt;50</v>
      </c>
    </row>
    <row r="27" spans="1:15" ht="14.4" x14ac:dyDescent="0.3">
      <c r="A27" t="s">
        <v>15</v>
      </c>
      <c r="B27" s="1">
        <v>46161</v>
      </c>
      <c r="C27" t="s">
        <v>24</v>
      </c>
      <c r="D27">
        <v>25</v>
      </c>
      <c r="E27">
        <v>2</v>
      </c>
      <c r="F27">
        <v>41.5</v>
      </c>
      <c r="G27" t="s">
        <v>34</v>
      </c>
      <c r="I27" t="str">
        <f t="shared" si="0"/>
        <v>25_2</v>
      </c>
      <c r="J27" t="s">
        <v>18</v>
      </c>
      <c r="K27" t="s">
        <v>19</v>
      </c>
      <c r="L27" t="str">
        <f>_xlfn.XLOOKUP(C27, Table2[Species],Table2[Genus], "Code Not Found")</f>
        <v>Lirodendron</v>
      </c>
      <c r="M27" t="str">
        <f>_xlfn.XLOOKUP(C27, Table2[Species],Table2[Sp. Name], "Code Not Found")</f>
        <v>tulipfera</v>
      </c>
      <c r="N27" t="str">
        <f>_xlfn.XLOOKUP(C27,Table2[Species],Table2[Family],"Code Not Found")</f>
        <v>Magnoliaceae</v>
      </c>
      <c r="O27" t="str" cm="1">
        <f t="array" ref="O27">_xlfn.IFS(F27="","",F27&lt;=5,"0 to 5",F27&lt;=10,"5.1 to 10",F27&lt;=20,"10 to 20", F27&lt;= 40, "20 to 40", F27 &lt;= 50, "40 to 50", F27 &gt; 50, "&gt;50" )</f>
        <v>40 to 50</v>
      </c>
    </row>
    <row r="28" spans="1:15" ht="14.4" x14ac:dyDescent="0.3">
      <c r="A28" t="s">
        <v>15</v>
      </c>
      <c r="B28" s="1">
        <v>46161</v>
      </c>
      <c r="C28" t="s">
        <v>16</v>
      </c>
      <c r="D28">
        <v>26</v>
      </c>
      <c r="E28">
        <v>1</v>
      </c>
      <c r="F28">
        <v>19</v>
      </c>
      <c r="G28" t="s">
        <v>21</v>
      </c>
      <c r="I28" t="str">
        <f t="shared" si="0"/>
        <v>26_1</v>
      </c>
      <c r="J28" t="s">
        <v>18</v>
      </c>
      <c r="K28" t="s">
        <v>19</v>
      </c>
      <c r="L28" t="str">
        <f>_xlfn.XLOOKUP(C28, Table2[Species],Table2[Genus], "Code Not Found")</f>
        <v>Acer</v>
      </c>
      <c r="M28" t="str">
        <f>_xlfn.XLOOKUP(C28, Table2[Species],Table2[Sp. Name], "Code Not Found")</f>
        <v>saccharum</v>
      </c>
      <c r="N28" t="str">
        <f>_xlfn.XLOOKUP(C28,Table2[Species],Table2[Family],"Code Not Found")</f>
        <v>Sapindaceae</v>
      </c>
      <c r="O28" t="str" cm="1">
        <f t="array" ref="O28">_xlfn.IFS(F28="","",F28&lt;=5,"0 to 5",F28&lt;=10,"5.1 to 10",F28&lt;=20,"10 to 20", F28&lt;= 40, "20 to 40", F28 &lt;= 50, "40 to 50", F28 &gt; 50, "&gt;50" )</f>
        <v>10 to 20</v>
      </c>
    </row>
    <row r="29" spans="1:15" ht="14.4" x14ac:dyDescent="0.3">
      <c r="A29" t="s">
        <v>15</v>
      </c>
      <c r="B29" s="1">
        <v>46161</v>
      </c>
      <c r="C29" t="s">
        <v>16</v>
      </c>
      <c r="D29">
        <v>27</v>
      </c>
      <c r="E29">
        <v>1</v>
      </c>
      <c r="F29">
        <v>23.9</v>
      </c>
      <c r="G29" t="s">
        <v>17</v>
      </c>
      <c r="H29" t="s">
        <v>35</v>
      </c>
      <c r="I29" t="str">
        <f t="shared" si="0"/>
        <v>27_1</v>
      </c>
      <c r="J29" t="s">
        <v>18</v>
      </c>
      <c r="K29" t="s">
        <v>19</v>
      </c>
      <c r="L29" t="str">
        <f>_xlfn.XLOOKUP(C29, Table2[Species],Table2[Genus], "Code Not Found")</f>
        <v>Acer</v>
      </c>
      <c r="M29" t="str">
        <f>_xlfn.XLOOKUP(C29, Table2[Species],Table2[Sp. Name], "Code Not Found")</f>
        <v>saccharum</v>
      </c>
      <c r="N29" t="str">
        <f>_xlfn.XLOOKUP(C29,Table2[Species],Table2[Family],"Code Not Found")</f>
        <v>Sapindaceae</v>
      </c>
      <c r="O29" t="str" cm="1">
        <f t="array" ref="O29">_xlfn.IFS(F29="","",F29&lt;=5,"0 to 5",F29&lt;=10,"5.1 to 10",F29&lt;=20,"10 to 20", F29&lt;= 40, "20 to 40", F29 &lt;= 50, "40 to 50", F29 &gt; 50, "&gt;50" )</f>
        <v>20 to 40</v>
      </c>
    </row>
    <row r="30" spans="1:15" ht="14.4" x14ac:dyDescent="0.3">
      <c r="A30" t="s">
        <v>15</v>
      </c>
      <c r="B30" s="1">
        <v>46161</v>
      </c>
      <c r="C30" t="s">
        <v>24</v>
      </c>
      <c r="D30">
        <v>28</v>
      </c>
      <c r="E30">
        <v>1</v>
      </c>
      <c r="F30">
        <v>60.8</v>
      </c>
      <c r="G30" t="s">
        <v>17</v>
      </c>
      <c r="H30" t="s">
        <v>36</v>
      </c>
      <c r="I30" t="str">
        <f t="shared" si="0"/>
        <v>28_1</v>
      </c>
      <c r="J30" t="s">
        <v>18</v>
      </c>
      <c r="K30" t="s">
        <v>19</v>
      </c>
      <c r="L30" t="str">
        <f>_xlfn.XLOOKUP(C30, Table2[Species],Table2[Genus], "Code Not Found")</f>
        <v>Lirodendron</v>
      </c>
      <c r="M30" t="str">
        <f>_xlfn.XLOOKUP(C30, Table2[Species],Table2[Sp. Name], "Code Not Found")</f>
        <v>tulipfera</v>
      </c>
      <c r="N30" t="str">
        <f>_xlfn.XLOOKUP(C30,Table2[Species],Table2[Family],"Code Not Found")</f>
        <v>Magnoliaceae</v>
      </c>
      <c r="O30" t="str" cm="1">
        <f t="array" ref="O30">_xlfn.IFS(F30="","",F30&lt;=5,"0 to 5",F30&lt;=10,"5.1 to 10",F30&lt;=20,"10 to 20", F30&lt;= 40, "20 to 40", F30 &lt;= 50, "40 to 50", F30 &gt; 50, "&gt;50" )</f>
        <v>&gt;50</v>
      </c>
    </row>
    <row r="31" spans="1:15" ht="14.4" x14ac:dyDescent="0.3">
      <c r="A31" t="s">
        <v>15</v>
      </c>
      <c r="B31" s="1">
        <v>46161</v>
      </c>
      <c r="C31" t="s">
        <v>24</v>
      </c>
      <c r="D31">
        <v>29</v>
      </c>
      <c r="E31">
        <v>1</v>
      </c>
      <c r="F31">
        <v>52.2</v>
      </c>
      <c r="G31" t="s">
        <v>21</v>
      </c>
      <c r="H31" t="s">
        <v>37</v>
      </c>
      <c r="I31" t="str">
        <f t="shared" si="0"/>
        <v>29_1</v>
      </c>
      <c r="J31" t="s">
        <v>18</v>
      </c>
      <c r="K31" t="s">
        <v>19</v>
      </c>
      <c r="L31" t="str">
        <f>_xlfn.XLOOKUP(C31, Table2[Species],Table2[Genus], "Code Not Found")</f>
        <v>Lirodendron</v>
      </c>
      <c r="M31" t="str">
        <f>_xlfn.XLOOKUP(C31, Table2[Species],Table2[Sp. Name], "Code Not Found")</f>
        <v>tulipfera</v>
      </c>
      <c r="N31" t="str">
        <f>_xlfn.XLOOKUP(C31,Table2[Species],Table2[Family],"Code Not Found")</f>
        <v>Magnoliaceae</v>
      </c>
      <c r="O31" t="str" cm="1">
        <f t="array" ref="O31">_xlfn.IFS(F31="","",F31&lt;=5,"0 to 5",F31&lt;=10,"5.1 to 10",F31&lt;=20,"10 to 20", F31&lt;= 40, "20 to 40", F31 &lt;= 50, "40 to 50", F31 &gt; 50, "&gt;50" )</f>
        <v>&gt;50</v>
      </c>
    </row>
    <row r="32" spans="1:15" ht="14.4" x14ac:dyDescent="0.3">
      <c r="A32" t="s">
        <v>15</v>
      </c>
      <c r="B32" s="1">
        <v>46161</v>
      </c>
      <c r="C32" t="s">
        <v>22</v>
      </c>
      <c r="D32">
        <v>30</v>
      </c>
      <c r="E32">
        <v>1</v>
      </c>
      <c r="F32">
        <v>45</v>
      </c>
      <c r="G32" t="s">
        <v>17</v>
      </c>
      <c r="I32" t="str">
        <f t="shared" si="0"/>
        <v>30_1</v>
      </c>
      <c r="J32" t="s">
        <v>18</v>
      </c>
      <c r="K32" t="s">
        <v>19</v>
      </c>
      <c r="L32" t="str">
        <f>_xlfn.XLOOKUP(C32, Table2[Species],Table2[Genus], "Code Not Found")</f>
        <v>Acer</v>
      </c>
      <c r="M32" t="str">
        <f>_xlfn.XLOOKUP(C32, Table2[Species],Table2[Sp. Name], "Code Not Found")</f>
        <v>rubrum</v>
      </c>
      <c r="N32" t="str">
        <f>_xlfn.XLOOKUP(C32,Table2[Species],Table2[Family],"Code Not Found")</f>
        <v>Sapindaceae</v>
      </c>
      <c r="O32" t="str" cm="1">
        <f t="array" ref="O32">_xlfn.IFS(F32="","",F32&lt;=5,"0 to 5",F32&lt;=10,"5.1 to 10",F32&lt;=20,"10 to 20", F32&lt;= 40, "20 to 40", F32 &lt;= 50, "40 to 50", F32 &gt; 50, "&gt;50" )</f>
        <v>40 to 50</v>
      </c>
    </row>
    <row r="33" spans="1:15" ht="14.4" x14ac:dyDescent="0.3">
      <c r="A33" t="s">
        <v>15</v>
      </c>
      <c r="B33" s="1">
        <v>46161</v>
      </c>
      <c r="C33" t="s">
        <v>16</v>
      </c>
      <c r="D33">
        <v>31</v>
      </c>
      <c r="E33">
        <v>1</v>
      </c>
      <c r="F33">
        <v>1.6</v>
      </c>
      <c r="G33" t="s">
        <v>21</v>
      </c>
      <c r="I33" t="str">
        <f t="shared" si="0"/>
        <v>31_1</v>
      </c>
      <c r="J33" t="s">
        <v>18</v>
      </c>
      <c r="K33" t="s">
        <v>19</v>
      </c>
      <c r="L33" t="str">
        <f>_xlfn.XLOOKUP(C33, Table2[Species],Table2[Genus], "Code Not Found")</f>
        <v>Acer</v>
      </c>
      <c r="M33" t="str">
        <f>_xlfn.XLOOKUP(C33, Table2[Species],Table2[Sp. Name], "Code Not Found")</f>
        <v>saccharum</v>
      </c>
      <c r="N33" t="str">
        <f>_xlfn.XLOOKUP(C33,Table2[Species],Table2[Family],"Code Not Found")</f>
        <v>Sapindaceae</v>
      </c>
      <c r="O33" t="str" cm="1">
        <f t="array" ref="O33">_xlfn.IFS(F33="","",F33&lt;=5,"0 to 5",F33&lt;=10,"5.1 to 10",F33&lt;=20,"10 to 20", F33&lt;= 40, "20 to 40", F33 &lt;= 50, "40 to 50", F33 &gt; 50, "&gt;50" )</f>
        <v>0 to 5</v>
      </c>
    </row>
    <row r="34" spans="1:15" ht="14.4" x14ac:dyDescent="0.3">
      <c r="A34" t="s">
        <v>15</v>
      </c>
      <c r="B34" s="1">
        <v>46161</v>
      </c>
      <c r="C34" t="s">
        <v>16</v>
      </c>
      <c r="D34">
        <v>32</v>
      </c>
      <c r="E34">
        <v>1</v>
      </c>
      <c r="F34">
        <v>2</v>
      </c>
      <c r="G34" t="s">
        <v>21</v>
      </c>
      <c r="I34" t="str">
        <f t="shared" si="0"/>
        <v>32_1</v>
      </c>
      <c r="J34" t="s">
        <v>18</v>
      </c>
      <c r="K34" t="s">
        <v>19</v>
      </c>
      <c r="L34" t="str">
        <f>_xlfn.XLOOKUP(C34, Table2[Species],Table2[Genus], "Code Not Found")</f>
        <v>Acer</v>
      </c>
      <c r="M34" t="str">
        <f>_xlfn.XLOOKUP(C34, Table2[Species],Table2[Sp. Name], "Code Not Found")</f>
        <v>saccharum</v>
      </c>
      <c r="N34" t="str">
        <f>_xlfn.XLOOKUP(C34,Table2[Species],Table2[Family],"Code Not Found")</f>
        <v>Sapindaceae</v>
      </c>
      <c r="O34" t="str" cm="1">
        <f t="array" ref="O34">_xlfn.IFS(F34="","",F34&lt;=5,"0 to 5",F34&lt;=10,"5.1 to 10",F34&lt;=20,"10 to 20", F34&lt;= 40, "20 to 40", F34 &lt;= 50, "40 to 50", F34 &gt; 50, "&gt;50" )</f>
        <v>0 to 5</v>
      </c>
    </row>
    <row r="35" spans="1:15" ht="14.4" x14ac:dyDescent="0.3">
      <c r="A35" t="s">
        <v>15</v>
      </c>
      <c r="B35" s="1">
        <v>46161</v>
      </c>
      <c r="C35" t="s">
        <v>16</v>
      </c>
      <c r="D35">
        <v>33</v>
      </c>
      <c r="E35">
        <v>1</v>
      </c>
      <c r="F35">
        <v>15.6</v>
      </c>
      <c r="G35" t="s">
        <v>17</v>
      </c>
      <c r="H35" t="s">
        <v>36</v>
      </c>
      <c r="I35" t="str">
        <f t="shared" si="0"/>
        <v>33_1</v>
      </c>
      <c r="J35" t="s">
        <v>18</v>
      </c>
      <c r="K35" t="s">
        <v>19</v>
      </c>
      <c r="L35" t="str">
        <f>_xlfn.XLOOKUP(C35, Table2[Species],Table2[Genus], "Code Not Found")</f>
        <v>Acer</v>
      </c>
      <c r="M35" t="str">
        <f>_xlfn.XLOOKUP(C35, Table2[Species],Table2[Sp. Name], "Code Not Found")</f>
        <v>saccharum</v>
      </c>
      <c r="N35" t="str">
        <f>_xlfn.XLOOKUP(C35,Table2[Species],Table2[Family],"Code Not Found")</f>
        <v>Sapindaceae</v>
      </c>
      <c r="O35" t="str" cm="1">
        <f t="array" ref="O35">_xlfn.IFS(F35="","",F35&lt;=5,"0 to 5",F35&lt;=10,"5.1 to 10",F35&lt;=20,"10 to 20", F35&lt;= 40, "20 to 40", F35 &lt;= 50, "40 to 50", F35 &gt; 50, "&gt;50" )</f>
        <v>10 to 20</v>
      </c>
    </row>
    <row r="36" spans="1:15" ht="14.4" x14ac:dyDescent="0.3">
      <c r="A36" t="s">
        <v>15</v>
      </c>
      <c r="B36" s="1">
        <v>46161</v>
      </c>
      <c r="C36" t="s">
        <v>29</v>
      </c>
      <c r="D36">
        <v>34</v>
      </c>
      <c r="E36">
        <v>1</v>
      </c>
      <c r="F36">
        <v>36.200000000000003</v>
      </c>
      <c r="G36" t="s">
        <v>21</v>
      </c>
      <c r="I36" t="str">
        <f t="shared" si="0"/>
        <v>34_1</v>
      </c>
      <c r="J36" t="s">
        <v>18</v>
      </c>
      <c r="K36" t="s">
        <v>19</v>
      </c>
      <c r="L36" t="str">
        <f>_xlfn.XLOOKUP(C36, Table2[Species],Table2[Genus], "Code Not Found")</f>
        <v>Sassafras</v>
      </c>
      <c r="M36" t="str">
        <f>_xlfn.XLOOKUP(C36, Table2[Species],Table2[Sp. Name], "Code Not Found")</f>
        <v>albidum</v>
      </c>
      <c r="N36" t="str">
        <f>_xlfn.XLOOKUP(C36,Table2[Species],Table2[Family],"Code Not Found")</f>
        <v>Lauraceae</v>
      </c>
      <c r="O36" t="str" cm="1">
        <f t="array" ref="O36">_xlfn.IFS(F36="","",F36&lt;=5,"0 to 5",F36&lt;=10,"5.1 to 10",F36&lt;=20,"10 to 20", F36&lt;= 40, "20 to 40", F36 &lt;= 50, "40 to 50", F36 &gt; 50, "&gt;50" )</f>
        <v>20 to 40</v>
      </c>
    </row>
    <row r="37" spans="1:15" ht="14.4" x14ac:dyDescent="0.3">
      <c r="A37" t="s">
        <v>15</v>
      </c>
      <c r="B37" s="1">
        <v>46161</v>
      </c>
      <c r="C37" t="s">
        <v>16</v>
      </c>
      <c r="D37">
        <v>35</v>
      </c>
      <c r="E37">
        <v>1</v>
      </c>
      <c r="F37">
        <v>4.8</v>
      </c>
      <c r="G37" t="s">
        <v>21</v>
      </c>
      <c r="I37" t="str">
        <f t="shared" si="0"/>
        <v>35_1</v>
      </c>
      <c r="J37" t="s">
        <v>18</v>
      </c>
      <c r="K37" t="s">
        <v>19</v>
      </c>
      <c r="L37" t="str">
        <f>_xlfn.XLOOKUP(C37, Table2[Species],Table2[Genus], "Code Not Found")</f>
        <v>Acer</v>
      </c>
      <c r="M37" t="str">
        <f>_xlfn.XLOOKUP(C37, Table2[Species],Table2[Sp. Name], "Code Not Found")</f>
        <v>saccharum</v>
      </c>
      <c r="N37" t="str">
        <f>_xlfn.XLOOKUP(C37,Table2[Species],Table2[Family],"Code Not Found")</f>
        <v>Sapindaceae</v>
      </c>
      <c r="O37" t="str" cm="1">
        <f t="array" ref="O37">_xlfn.IFS(F37="","",F37&lt;=5,"0 to 5",F37&lt;=10,"5.1 to 10",F37&lt;=20,"10 to 20", F37&lt;= 40, "20 to 40", F37 &lt;= 50, "40 to 50", F37 &gt; 50, "&gt;50" )</f>
        <v>0 to 5</v>
      </c>
    </row>
    <row r="38" spans="1:15" ht="14.4" x14ac:dyDescent="0.3">
      <c r="A38" t="s">
        <v>15</v>
      </c>
      <c r="B38" s="1">
        <v>46161</v>
      </c>
      <c r="C38" t="s">
        <v>16</v>
      </c>
      <c r="D38">
        <v>36</v>
      </c>
      <c r="E38">
        <v>1</v>
      </c>
      <c r="F38">
        <v>3</v>
      </c>
      <c r="G38" t="s">
        <v>34</v>
      </c>
      <c r="I38" t="str">
        <f t="shared" si="0"/>
        <v>36_1</v>
      </c>
      <c r="J38" t="s">
        <v>18</v>
      </c>
      <c r="K38" t="s">
        <v>19</v>
      </c>
      <c r="L38" t="str">
        <f>_xlfn.XLOOKUP(C38, Table2[Species],Table2[Genus], "Code Not Found")</f>
        <v>Acer</v>
      </c>
      <c r="M38" t="str">
        <f>_xlfn.XLOOKUP(C38, Table2[Species],Table2[Sp. Name], "Code Not Found")</f>
        <v>saccharum</v>
      </c>
      <c r="N38" t="str">
        <f>_xlfn.XLOOKUP(C38,Table2[Species],Table2[Family],"Code Not Found")</f>
        <v>Sapindaceae</v>
      </c>
      <c r="O38" t="str" cm="1">
        <f t="array" ref="O38">_xlfn.IFS(F38="","",F38&lt;=5,"0 to 5",F38&lt;=10,"5.1 to 10",F38&lt;=20,"10 to 20", F38&lt;= 40, "20 to 40", F38 &lt;= 50, "40 to 50", F38 &gt; 50, "&gt;50" )</f>
        <v>0 to 5</v>
      </c>
    </row>
    <row r="39" spans="1:15" ht="14.4" x14ac:dyDescent="0.3">
      <c r="A39" t="s">
        <v>15</v>
      </c>
      <c r="B39" s="1">
        <v>46161</v>
      </c>
      <c r="C39" t="s">
        <v>16</v>
      </c>
      <c r="D39">
        <v>36</v>
      </c>
      <c r="E39">
        <v>2</v>
      </c>
      <c r="F39">
        <v>1.8</v>
      </c>
      <c r="G39" t="s">
        <v>34</v>
      </c>
      <c r="I39" t="str">
        <f t="shared" si="0"/>
        <v>36_2</v>
      </c>
      <c r="J39" t="s">
        <v>18</v>
      </c>
      <c r="K39" t="s">
        <v>19</v>
      </c>
      <c r="L39" t="str">
        <f>_xlfn.XLOOKUP(C39, Table2[Species],Table2[Genus], "Code Not Found")</f>
        <v>Acer</v>
      </c>
      <c r="M39" t="str">
        <f>_xlfn.XLOOKUP(C39, Table2[Species],Table2[Sp. Name], "Code Not Found")</f>
        <v>saccharum</v>
      </c>
      <c r="N39" t="str">
        <f>_xlfn.XLOOKUP(C39,Table2[Species],Table2[Family],"Code Not Found")</f>
        <v>Sapindaceae</v>
      </c>
      <c r="O39" t="str" cm="1">
        <f t="array" ref="O39">_xlfn.IFS(F39="","",F39&lt;=5,"0 to 5",F39&lt;=10,"5.1 to 10",F39&lt;=20,"10 to 20", F39&lt;= 40, "20 to 40", F39 &lt;= 50, "40 to 50", F39 &gt; 50, "&gt;50" )</f>
        <v>0 to 5</v>
      </c>
    </row>
    <row r="40" spans="1:15" ht="14.4" x14ac:dyDescent="0.3">
      <c r="A40" t="s">
        <v>15</v>
      </c>
      <c r="B40" s="1">
        <v>46161</v>
      </c>
      <c r="C40" t="s">
        <v>16</v>
      </c>
      <c r="D40">
        <v>37</v>
      </c>
      <c r="E40">
        <v>1</v>
      </c>
      <c r="F40">
        <v>2.5</v>
      </c>
      <c r="G40" t="s">
        <v>21</v>
      </c>
      <c r="I40" t="str">
        <f t="shared" si="0"/>
        <v>37_1</v>
      </c>
      <c r="J40" t="s">
        <v>18</v>
      </c>
      <c r="K40" t="s">
        <v>19</v>
      </c>
      <c r="L40" t="str">
        <f>_xlfn.XLOOKUP(C40, Table2[Species],Table2[Genus], "Code Not Found")</f>
        <v>Acer</v>
      </c>
      <c r="M40" t="str">
        <f>_xlfn.XLOOKUP(C40, Table2[Species],Table2[Sp. Name], "Code Not Found")</f>
        <v>saccharum</v>
      </c>
      <c r="N40" t="str">
        <f>_xlfn.XLOOKUP(C40,Table2[Species],Table2[Family],"Code Not Found")</f>
        <v>Sapindaceae</v>
      </c>
      <c r="O40" t="str" cm="1">
        <f t="array" ref="O40">_xlfn.IFS(F40="","",F40&lt;=5,"0 to 5",F40&lt;=10,"5.1 to 10",F40&lt;=20,"10 to 20", F40&lt;= 40, "20 to 40", F40 &lt;= 50, "40 to 50", F40 &gt; 50, "&gt;50" )</f>
        <v>0 to 5</v>
      </c>
    </row>
    <row r="41" spans="1:15" ht="14.4" x14ac:dyDescent="0.3">
      <c r="A41" t="s">
        <v>15</v>
      </c>
      <c r="B41" s="1">
        <v>46161</v>
      </c>
      <c r="C41" t="s">
        <v>16</v>
      </c>
      <c r="D41">
        <v>38</v>
      </c>
      <c r="E41">
        <v>1</v>
      </c>
      <c r="F41">
        <v>1.6</v>
      </c>
      <c r="G41" t="s">
        <v>17</v>
      </c>
      <c r="I41" t="str">
        <f t="shared" si="0"/>
        <v>38_1</v>
      </c>
      <c r="J41" t="s">
        <v>18</v>
      </c>
      <c r="K41" t="s">
        <v>19</v>
      </c>
      <c r="L41" t="str">
        <f>_xlfn.XLOOKUP(C41, Table2[Species],Table2[Genus], "Code Not Found")</f>
        <v>Acer</v>
      </c>
      <c r="M41" t="str">
        <f>_xlfn.XLOOKUP(C41, Table2[Species],Table2[Sp. Name], "Code Not Found")</f>
        <v>saccharum</v>
      </c>
      <c r="N41" t="str">
        <f>_xlfn.XLOOKUP(C41,Table2[Species],Table2[Family],"Code Not Found")</f>
        <v>Sapindaceae</v>
      </c>
      <c r="O41" t="str" cm="1">
        <f t="array" ref="O41">_xlfn.IFS(F41="","",F41&lt;=5,"0 to 5",F41&lt;=10,"5.1 to 10",F41&lt;=20,"10 to 20", F41&lt;= 40, "20 to 40", F41 &lt;= 50, "40 to 50", F41 &gt; 50, "&gt;50" )</f>
        <v>0 to 5</v>
      </c>
    </row>
    <row r="42" spans="1:15" ht="14.4" x14ac:dyDescent="0.3">
      <c r="A42" t="s">
        <v>15</v>
      </c>
      <c r="B42" s="1">
        <v>46161</v>
      </c>
      <c r="C42" t="s">
        <v>16</v>
      </c>
      <c r="D42">
        <v>39</v>
      </c>
      <c r="E42">
        <v>1</v>
      </c>
      <c r="F42">
        <v>1.5</v>
      </c>
      <c r="G42" t="s">
        <v>38</v>
      </c>
      <c r="I42" t="str">
        <f t="shared" si="0"/>
        <v>39_1</v>
      </c>
      <c r="J42" t="s">
        <v>18</v>
      </c>
      <c r="K42" t="s">
        <v>19</v>
      </c>
      <c r="L42" t="str">
        <f>_xlfn.XLOOKUP(C42, Table2[Species],Table2[Genus], "Code Not Found")</f>
        <v>Acer</v>
      </c>
      <c r="M42" t="str">
        <f>_xlfn.XLOOKUP(C42, Table2[Species],Table2[Sp. Name], "Code Not Found")</f>
        <v>saccharum</v>
      </c>
      <c r="N42" t="str">
        <f>_xlfn.XLOOKUP(C42,Table2[Species],Table2[Family],"Code Not Found")</f>
        <v>Sapindaceae</v>
      </c>
      <c r="O42" t="str" cm="1">
        <f t="array" ref="O42">_xlfn.IFS(F42="","",F42&lt;=5,"0 to 5",F42&lt;=10,"5.1 to 10",F42&lt;=20,"10 to 20", F42&lt;= 40, "20 to 40", F42 &lt;= 50, "40 to 50", F42 &gt; 50, "&gt;50" )</f>
        <v>0 to 5</v>
      </c>
    </row>
    <row r="43" spans="1:15" ht="14.4" x14ac:dyDescent="0.3">
      <c r="A43" t="s">
        <v>15</v>
      </c>
      <c r="B43" s="1">
        <v>46161</v>
      </c>
      <c r="C43" t="s">
        <v>16</v>
      </c>
      <c r="D43">
        <v>40</v>
      </c>
      <c r="E43">
        <v>1</v>
      </c>
      <c r="F43">
        <v>1.3</v>
      </c>
      <c r="G43" t="s">
        <v>17</v>
      </c>
      <c r="I43" t="str">
        <f t="shared" si="0"/>
        <v>40_1</v>
      </c>
      <c r="J43" t="s">
        <v>18</v>
      </c>
      <c r="K43" t="s">
        <v>19</v>
      </c>
      <c r="L43" t="str">
        <f>_xlfn.XLOOKUP(C43, Table2[Species],Table2[Genus], "Code Not Found")</f>
        <v>Acer</v>
      </c>
      <c r="M43" t="str">
        <f>_xlfn.XLOOKUP(C43, Table2[Species],Table2[Sp. Name], "Code Not Found")</f>
        <v>saccharum</v>
      </c>
      <c r="N43" t="str">
        <f>_xlfn.XLOOKUP(C43,Table2[Species],Table2[Family],"Code Not Found")</f>
        <v>Sapindaceae</v>
      </c>
      <c r="O43" t="str" cm="1">
        <f t="array" ref="O43">_xlfn.IFS(F43="","",F43&lt;=5,"0 to 5",F43&lt;=10,"5.1 to 10",F43&lt;=20,"10 to 20", F43&lt;= 40, "20 to 40", F43 &lt;= 50, "40 to 50", F43 &gt; 50, "&gt;50" )</f>
        <v>0 to 5</v>
      </c>
    </row>
    <row r="44" spans="1:15" ht="14.4" x14ac:dyDescent="0.3">
      <c r="A44" t="s">
        <v>15</v>
      </c>
      <c r="B44" s="1">
        <v>46161</v>
      </c>
      <c r="C44" t="s">
        <v>24</v>
      </c>
      <c r="D44">
        <v>41</v>
      </c>
      <c r="E44">
        <v>1</v>
      </c>
      <c r="F44">
        <v>61.5</v>
      </c>
      <c r="G44" t="s">
        <v>21</v>
      </c>
      <c r="I44" t="str">
        <f t="shared" si="0"/>
        <v>41_1</v>
      </c>
      <c r="J44" t="s">
        <v>18</v>
      </c>
      <c r="K44" t="s">
        <v>19</v>
      </c>
      <c r="L44" t="str">
        <f>_xlfn.XLOOKUP(C44, Table2[Species],Table2[Genus], "Code Not Found")</f>
        <v>Lirodendron</v>
      </c>
      <c r="M44" t="str">
        <f>_xlfn.XLOOKUP(C44, Table2[Species],Table2[Sp. Name], "Code Not Found")</f>
        <v>tulipfera</v>
      </c>
      <c r="N44" t="str">
        <f>_xlfn.XLOOKUP(C44,Table2[Species],Table2[Family],"Code Not Found")</f>
        <v>Magnoliaceae</v>
      </c>
      <c r="O44" t="str" cm="1">
        <f t="array" ref="O44">_xlfn.IFS(F44="","",F44&lt;=5,"0 to 5",F44&lt;=10,"5.1 to 10",F44&lt;=20,"10 to 20", F44&lt;= 40, "20 to 40", F44 &lt;= 50, "40 to 50", F44 &gt; 50, "&gt;50" )</f>
        <v>&gt;50</v>
      </c>
    </row>
    <row r="45" spans="1:15" ht="14.4" x14ac:dyDescent="0.3">
      <c r="A45" t="s">
        <v>15</v>
      </c>
      <c r="B45" s="1">
        <v>46161</v>
      </c>
      <c r="C45" t="s">
        <v>16</v>
      </c>
      <c r="D45">
        <v>42</v>
      </c>
      <c r="E45">
        <v>1</v>
      </c>
      <c r="F45">
        <v>12.7</v>
      </c>
      <c r="G45" t="s">
        <v>39</v>
      </c>
      <c r="H45" t="s">
        <v>40</v>
      </c>
      <c r="I45" t="str">
        <f t="shared" si="0"/>
        <v>42_1</v>
      </c>
      <c r="J45" t="s">
        <v>18</v>
      </c>
      <c r="K45" t="s">
        <v>19</v>
      </c>
      <c r="L45" t="str">
        <f>_xlfn.XLOOKUP(C45, Table2[Species],Table2[Genus], "Code Not Found")</f>
        <v>Acer</v>
      </c>
      <c r="M45" t="str">
        <f>_xlfn.XLOOKUP(C45, Table2[Species],Table2[Sp. Name], "Code Not Found")</f>
        <v>saccharum</v>
      </c>
      <c r="N45" t="str">
        <f>_xlfn.XLOOKUP(C45,Table2[Species],Table2[Family],"Code Not Found")</f>
        <v>Sapindaceae</v>
      </c>
      <c r="O45" t="str" cm="1">
        <f t="array" ref="O45">_xlfn.IFS(F45="","",F45&lt;=5,"0 to 5",F45&lt;=10,"5.1 to 10",F45&lt;=20,"10 to 20", F45&lt;= 40, "20 to 40", F45 &lt;= 50, "40 to 50", F45 &gt; 50, "&gt;50" )</f>
        <v>10 to 20</v>
      </c>
    </row>
    <row r="46" spans="1:15" ht="14.4" x14ac:dyDescent="0.3">
      <c r="A46" t="s">
        <v>15</v>
      </c>
      <c r="B46" s="1">
        <v>46161</v>
      </c>
      <c r="C46" t="s">
        <v>16</v>
      </c>
      <c r="D46">
        <v>43</v>
      </c>
      <c r="E46">
        <v>1</v>
      </c>
      <c r="F46">
        <v>17.600000000000001</v>
      </c>
      <c r="G46" t="s">
        <v>21</v>
      </c>
      <c r="H46" t="s">
        <v>41</v>
      </c>
      <c r="I46" t="str">
        <f t="shared" si="0"/>
        <v>43_1</v>
      </c>
      <c r="J46" t="s">
        <v>18</v>
      </c>
      <c r="K46" t="s">
        <v>19</v>
      </c>
      <c r="L46" t="str">
        <f>_xlfn.XLOOKUP(C46, Table2[Species],Table2[Genus], "Code Not Found")</f>
        <v>Acer</v>
      </c>
      <c r="M46" t="str">
        <f>_xlfn.XLOOKUP(C46, Table2[Species],Table2[Sp. Name], "Code Not Found")</f>
        <v>saccharum</v>
      </c>
      <c r="N46" t="str">
        <f>_xlfn.XLOOKUP(C46,Table2[Species],Table2[Family],"Code Not Found")</f>
        <v>Sapindaceae</v>
      </c>
      <c r="O46" t="str" cm="1">
        <f t="array" ref="O46">_xlfn.IFS(F46="","",F46&lt;=5,"0 to 5",F46&lt;=10,"5.1 to 10",F46&lt;=20,"10 to 20", F46&lt;= 40, "20 to 40", F46 &lt;= 50, "40 to 50", F46 &gt; 50, "&gt;50" )</f>
        <v>10 to 20</v>
      </c>
    </row>
    <row r="47" spans="1:15" ht="14.4" x14ac:dyDescent="0.3">
      <c r="A47" t="s">
        <v>15</v>
      </c>
      <c r="B47" s="1">
        <v>46161</v>
      </c>
      <c r="C47" t="s">
        <v>16</v>
      </c>
      <c r="D47">
        <v>44</v>
      </c>
      <c r="E47">
        <v>1</v>
      </c>
      <c r="F47">
        <v>17.600000000000001</v>
      </c>
      <c r="G47" t="s">
        <v>30</v>
      </c>
      <c r="H47" t="s">
        <v>42</v>
      </c>
      <c r="I47" t="str">
        <f t="shared" si="0"/>
        <v>44_1</v>
      </c>
      <c r="J47" t="s">
        <v>18</v>
      </c>
      <c r="K47" t="s">
        <v>19</v>
      </c>
      <c r="L47" t="str">
        <f>_xlfn.XLOOKUP(C47, Table2[Species],Table2[Genus], "Code Not Found")</f>
        <v>Acer</v>
      </c>
      <c r="M47" t="str">
        <f>_xlfn.XLOOKUP(C47, Table2[Species],Table2[Sp. Name], "Code Not Found")</f>
        <v>saccharum</v>
      </c>
      <c r="N47" t="str">
        <f>_xlfn.XLOOKUP(C47,Table2[Species],Table2[Family],"Code Not Found")</f>
        <v>Sapindaceae</v>
      </c>
      <c r="O47" t="str" cm="1">
        <f t="array" ref="O47">_xlfn.IFS(F47="","",F47&lt;=5,"0 to 5",F47&lt;=10,"5.1 to 10",F47&lt;=20,"10 to 20", F47&lt;= 40, "20 to 40", F47 &lt;= 50, "40 to 50", F47 &gt; 50, "&gt;50" )</f>
        <v>10 to 20</v>
      </c>
    </row>
    <row r="48" spans="1:15" ht="14.4" x14ac:dyDescent="0.3">
      <c r="A48" t="s">
        <v>15</v>
      </c>
      <c r="B48" s="1">
        <v>46161</v>
      </c>
      <c r="C48" t="s">
        <v>22</v>
      </c>
      <c r="D48">
        <v>45</v>
      </c>
      <c r="E48">
        <v>1</v>
      </c>
      <c r="F48">
        <v>33.1</v>
      </c>
      <c r="G48" t="s">
        <v>21</v>
      </c>
      <c r="I48" t="str">
        <f t="shared" si="0"/>
        <v>45_1</v>
      </c>
      <c r="J48" t="s">
        <v>18</v>
      </c>
      <c r="K48" t="s">
        <v>19</v>
      </c>
      <c r="L48" t="str">
        <f>_xlfn.XLOOKUP(C48, Table2[Species],Table2[Genus], "Code Not Found")</f>
        <v>Acer</v>
      </c>
      <c r="M48" t="str">
        <f>_xlfn.XLOOKUP(C48, Table2[Species],Table2[Sp. Name], "Code Not Found")</f>
        <v>rubrum</v>
      </c>
      <c r="N48" t="str">
        <f>_xlfn.XLOOKUP(C48,Table2[Species],Table2[Family],"Code Not Found")</f>
        <v>Sapindaceae</v>
      </c>
      <c r="O48" t="str" cm="1">
        <f t="array" ref="O48">_xlfn.IFS(F48="","",F48&lt;=5,"0 to 5",F48&lt;=10,"5.1 to 10",F48&lt;=20,"10 to 20", F48&lt;= 40, "20 to 40", F48 &lt;= 50, "40 to 50", F48 &gt; 50, "&gt;50" )</f>
        <v>20 to 40</v>
      </c>
    </row>
    <row r="49" spans="1:15" ht="14.4" x14ac:dyDescent="0.3">
      <c r="A49" t="s">
        <v>15</v>
      </c>
      <c r="B49" s="1">
        <v>46161</v>
      </c>
      <c r="C49" t="s">
        <v>22</v>
      </c>
      <c r="D49">
        <v>46</v>
      </c>
      <c r="E49">
        <v>1</v>
      </c>
      <c r="F49">
        <v>9.5</v>
      </c>
      <c r="G49" t="s">
        <v>17</v>
      </c>
      <c r="H49" t="s">
        <v>43</v>
      </c>
      <c r="I49" t="str">
        <f t="shared" si="0"/>
        <v>46_1</v>
      </c>
      <c r="J49" t="s">
        <v>18</v>
      </c>
      <c r="K49" t="s">
        <v>19</v>
      </c>
      <c r="L49" t="str">
        <f>_xlfn.XLOOKUP(C49, Table2[Species],Table2[Genus], "Code Not Found")</f>
        <v>Acer</v>
      </c>
      <c r="M49" t="str">
        <f>_xlfn.XLOOKUP(C49, Table2[Species],Table2[Sp. Name], "Code Not Found")</f>
        <v>rubrum</v>
      </c>
      <c r="N49" t="str">
        <f>_xlfn.XLOOKUP(C49,Table2[Species],Table2[Family],"Code Not Found")</f>
        <v>Sapindaceae</v>
      </c>
      <c r="O49" t="str" cm="1">
        <f t="array" ref="O49">_xlfn.IFS(F49="","",F49&lt;=5,"0 to 5",F49&lt;=10,"5.1 to 10",F49&lt;=20,"10 to 20", F49&lt;= 40, "20 to 40", F49 &lt;= 50, "40 to 50", F49 &gt; 50, "&gt;50" )</f>
        <v>5.1 to 10</v>
      </c>
    </row>
    <row r="50" spans="1:15" ht="14.4" x14ac:dyDescent="0.3">
      <c r="A50" t="s">
        <v>15</v>
      </c>
      <c r="B50" s="1">
        <v>46161</v>
      </c>
      <c r="C50" t="s">
        <v>24</v>
      </c>
      <c r="D50">
        <v>47</v>
      </c>
      <c r="E50">
        <v>1</v>
      </c>
      <c r="F50">
        <v>61.8</v>
      </c>
      <c r="G50" t="s">
        <v>17</v>
      </c>
      <c r="H50" t="s">
        <v>36</v>
      </c>
      <c r="I50" t="str">
        <f t="shared" si="0"/>
        <v>47_1</v>
      </c>
      <c r="J50" t="s">
        <v>18</v>
      </c>
      <c r="K50" t="s">
        <v>19</v>
      </c>
      <c r="L50" t="str">
        <f>_xlfn.XLOOKUP(C50, Table2[Species],Table2[Genus], "Code Not Found")</f>
        <v>Lirodendron</v>
      </c>
      <c r="M50" t="str">
        <f>_xlfn.XLOOKUP(C50, Table2[Species],Table2[Sp. Name], "Code Not Found")</f>
        <v>tulipfera</v>
      </c>
      <c r="N50" t="str">
        <f>_xlfn.XLOOKUP(C50,Table2[Species],Table2[Family],"Code Not Found")</f>
        <v>Magnoliaceae</v>
      </c>
      <c r="O50" t="str" cm="1">
        <f t="array" ref="O50">_xlfn.IFS(F50="","",F50&lt;=5,"0 to 5",F50&lt;=10,"5.1 to 10",F50&lt;=20,"10 to 20", F50&lt;= 40, "20 to 40", F50 &lt;= 50, "40 to 50", F50 &gt; 50, "&gt;50" )</f>
        <v>&gt;50</v>
      </c>
    </row>
    <row r="51" spans="1:15" ht="14.4" x14ac:dyDescent="0.3">
      <c r="A51" t="s">
        <v>15</v>
      </c>
      <c r="B51" s="1">
        <v>46161</v>
      </c>
      <c r="C51" t="s">
        <v>16</v>
      </c>
      <c r="D51">
        <v>48</v>
      </c>
      <c r="E51">
        <v>1</v>
      </c>
      <c r="F51">
        <v>1.6</v>
      </c>
      <c r="G51" t="s">
        <v>17</v>
      </c>
      <c r="H51" t="s">
        <v>44</v>
      </c>
      <c r="I51" t="str">
        <f t="shared" si="0"/>
        <v>48_1</v>
      </c>
      <c r="J51" t="s">
        <v>18</v>
      </c>
      <c r="K51" t="s">
        <v>19</v>
      </c>
      <c r="L51" t="str">
        <f>_xlfn.XLOOKUP(C51, Table2[Species],Table2[Genus], "Code Not Found")</f>
        <v>Acer</v>
      </c>
      <c r="M51" t="str">
        <f>_xlfn.XLOOKUP(C51, Table2[Species],Table2[Sp. Name], "Code Not Found")</f>
        <v>saccharum</v>
      </c>
      <c r="N51" t="str">
        <f>_xlfn.XLOOKUP(C51,Table2[Species],Table2[Family],"Code Not Found")</f>
        <v>Sapindaceae</v>
      </c>
      <c r="O51" t="str" cm="1">
        <f t="array" ref="O51">_xlfn.IFS(F51="","",F51&lt;=5,"0 to 5",F51&lt;=10,"5.1 to 10",F51&lt;=20,"10 to 20", F51&lt;= 40, "20 to 40", F51 &lt;= 50, "40 to 50", F51 &gt; 50, "&gt;50" )</f>
        <v>0 to 5</v>
      </c>
    </row>
    <row r="52" spans="1:15" ht="14.4" x14ac:dyDescent="0.3">
      <c r="A52" t="s">
        <v>15</v>
      </c>
      <c r="B52" s="1">
        <v>46161</v>
      </c>
      <c r="C52" t="s">
        <v>16</v>
      </c>
      <c r="D52">
        <v>49</v>
      </c>
      <c r="E52">
        <v>1</v>
      </c>
      <c r="F52">
        <v>1.2</v>
      </c>
      <c r="G52" t="s">
        <v>17</v>
      </c>
      <c r="I52" t="str">
        <f t="shared" si="0"/>
        <v>49_1</v>
      </c>
      <c r="J52" t="s">
        <v>18</v>
      </c>
      <c r="K52" t="s">
        <v>19</v>
      </c>
      <c r="L52" t="str">
        <f>_xlfn.XLOOKUP(C52, Table2[Species],Table2[Genus], "Code Not Found")</f>
        <v>Acer</v>
      </c>
      <c r="M52" t="str">
        <f>_xlfn.XLOOKUP(C52, Table2[Species],Table2[Sp. Name], "Code Not Found")</f>
        <v>saccharum</v>
      </c>
      <c r="N52" t="str">
        <f>_xlfn.XLOOKUP(C52,Table2[Species],Table2[Family],"Code Not Found")</f>
        <v>Sapindaceae</v>
      </c>
      <c r="O52" t="str" cm="1">
        <f t="array" ref="O52">_xlfn.IFS(F52="","",F52&lt;=5,"0 to 5",F52&lt;=10,"5.1 to 10",F52&lt;=20,"10 to 20", F52&lt;= 40, "20 to 40", F52 &lt;= 50, "40 to 50", F52 &gt; 50, "&gt;50" )</f>
        <v>0 to 5</v>
      </c>
    </row>
    <row r="53" spans="1:15" ht="14.4" x14ac:dyDescent="0.3">
      <c r="A53" t="s">
        <v>15</v>
      </c>
      <c r="B53" s="1">
        <v>46161</v>
      </c>
      <c r="C53" t="s">
        <v>16</v>
      </c>
      <c r="D53">
        <v>50</v>
      </c>
      <c r="E53">
        <v>1</v>
      </c>
      <c r="F53">
        <v>1.5</v>
      </c>
      <c r="G53" t="s">
        <v>21</v>
      </c>
      <c r="I53" t="str">
        <f t="shared" si="0"/>
        <v>50_1</v>
      </c>
      <c r="J53" t="s">
        <v>18</v>
      </c>
      <c r="K53" t="s">
        <v>19</v>
      </c>
      <c r="L53" t="str">
        <f>_xlfn.XLOOKUP(C53, Table2[Species],Table2[Genus], "Code Not Found")</f>
        <v>Acer</v>
      </c>
      <c r="M53" t="str">
        <f>_xlfn.XLOOKUP(C53, Table2[Species],Table2[Sp. Name], "Code Not Found")</f>
        <v>saccharum</v>
      </c>
      <c r="N53" t="str">
        <f>_xlfn.XLOOKUP(C53,Table2[Species],Table2[Family],"Code Not Found")</f>
        <v>Sapindaceae</v>
      </c>
      <c r="O53" t="str" cm="1">
        <f t="array" ref="O53">_xlfn.IFS(F53="","",F53&lt;=5,"0 to 5",F53&lt;=10,"5.1 to 10",F53&lt;=20,"10 to 20", F53&lt;= 40, "20 to 40", F53 &lt;= 50, "40 to 50", F53 &gt; 50, "&gt;50" )</f>
        <v>0 to 5</v>
      </c>
    </row>
    <row r="54" spans="1:15" ht="14.4" x14ac:dyDescent="0.3">
      <c r="A54" t="s">
        <v>15</v>
      </c>
      <c r="B54" s="1">
        <v>46161</v>
      </c>
      <c r="C54" t="s">
        <v>24</v>
      </c>
      <c r="D54">
        <v>51</v>
      </c>
      <c r="E54">
        <v>1</v>
      </c>
      <c r="F54">
        <v>46</v>
      </c>
      <c r="G54" t="s">
        <v>21</v>
      </c>
      <c r="I54" t="str">
        <f t="shared" si="0"/>
        <v>51_1</v>
      </c>
      <c r="J54" t="s">
        <v>18</v>
      </c>
      <c r="K54" t="s">
        <v>19</v>
      </c>
      <c r="L54" t="str">
        <f>_xlfn.XLOOKUP(C54, Table2[Species],Table2[Genus], "Code Not Found")</f>
        <v>Lirodendron</v>
      </c>
      <c r="M54" t="str">
        <f>_xlfn.XLOOKUP(C54, Table2[Species],Table2[Sp. Name], "Code Not Found")</f>
        <v>tulipfera</v>
      </c>
      <c r="N54" t="str">
        <f>_xlfn.XLOOKUP(C54,Table2[Species],Table2[Family],"Code Not Found")</f>
        <v>Magnoliaceae</v>
      </c>
      <c r="O54" t="str" cm="1">
        <f t="array" ref="O54">_xlfn.IFS(F54="","",F54&lt;=5,"0 to 5",F54&lt;=10,"5.1 to 10",F54&lt;=20,"10 to 20", F54&lt;= 40, "20 to 40", F54 &lt;= 50, "40 to 50", F54 &gt; 50, "&gt;50" )</f>
        <v>40 to 50</v>
      </c>
    </row>
    <row r="55" spans="1:15" ht="14.4" x14ac:dyDescent="0.3">
      <c r="A55" t="s">
        <v>15</v>
      </c>
      <c r="B55" s="1">
        <v>46161</v>
      </c>
      <c r="C55" t="s">
        <v>20</v>
      </c>
      <c r="D55">
        <v>52</v>
      </c>
      <c r="E55">
        <v>1</v>
      </c>
      <c r="F55">
        <v>50.1</v>
      </c>
      <c r="G55" t="s">
        <v>21</v>
      </c>
      <c r="I55" t="str">
        <f t="shared" si="0"/>
        <v>52_1</v>
      </c>
      <c r="J55" t="s">
        <v>18</v>
      </c>
      <c r="K55" t="s">
        <v>19</v>
      </c>
      <c r="L55" t="str">
        <f>_xlfn.XLOOKUP(C55, Table2[Species],Table2[Genus], "Code Not Found")</f>
        <v>Prunus</v>
      </c>
      <c r="M55" t="str">
        <f>_xlfn.XLOOKUP(C55, Table2[Species],Table2[Sp. Name], "Code Not Found")</f>
        <v>serotina</v>
      </c>
      <c r="N55" t="str">
        <f>_xlfn.XLOOKUP(C55,Table2[Species],Table2[Family],"Code Not Found")</f>
        <v>Rosaceae</v>
      </c>
      <c r="O55" t="str" cm="1">
        <f t="array" ref="O55">_xlfn.IFS(F55="","",F55&lt;=5,"0 to 5",F55&lt;=10,"5.1 to 10",F55&lt;=20,"10 to 20", F55&lt;= 40, "20 to 40", F55 &lt;= 50, "40 to 50", F55 &gt; 50, "&gt;50" )</f>
        <v>&gt;50</v>
      </c>
    </row>
    <row r="56" spans="1:15" ht="14.4" x14ac:dyDescent="0.3">
      <c r="A56" t="s">
        <v>15</v>
      </c>
      <c r="B56" s="1">
        <v>46161</v>
      </c>
      <c r="C56" t="s">
        <v>22</v>
      </c>
      <c r="D56">
        <v>53</v>
      </c>
      <c r="E56">
        <v>1</v>
      </c>
      <c r="F56">
        <v>20.100000000000001</v>
      </c>
      <c r="G56" t="s">
        <v>21</v>
      </c>
      <c r="I56" t="str">
        <f t="shared" si="0"/>
        <v>53_1</v>
      </c>
      <c r="J56" t="s">
        <v>18</v>
      </c>
      <c r="K56" t="s">
        <v>19</v>
      </c>
      <c r="L56" t="str">
        <f>_xlfn.XLOOKUP(C56, Table2[Species],Table2[Genus], "Code Not Found")</f>
        <v>Acer</v>
      </c>
      <c r="M56" t="str">
        <f>_xlfn.XLOOKUP(C56, Table2[Species],Table2[Sp. Name], "Code Not Found")</f>
        <v>rubrum</v>
      </c>
      <c r="N56" t="str">
        <f>_xlfn.XLOOKUP(C56,Table2[Species],Table2[Family],"Code Not Found")</f>
        <v>Sapindaceae</v>
      </c>
      <c r="O56" t="str" cm="1">
        <f t="array" ref="O56">_xlfn.IFS(F56="","",F56&lt;=5,"0 to 5",F56&lt;=10,"5.1 to 10",F56&lt;=20,"10 to 20", F56&lt;= 40, "20 to 40", F56 &lt;= 50, "40 to 50", F56 &gt; 50, "&gt;50" )</f>
        <v>20 to 40</v>
      </c>
    </row>
    <row r="57" spans="1:15" ht="14.4" x14ac:dyDescent="0.3">
      <c r="A57" t="s">
        <v>15</v>
      </c>
      <c r="B57" s="1">
        <v>46161</v>
      </c>
      <c r="C57" t="s">
        <v>22</v>
      </c>
      <c r="D57">
        <v>54</v>
      </c>
      <c r="E57">
        <v>1</v>
      </c>
      <c r="F57">
        <v>7</v>
      </c>
      <c r="G57" t="s">
        <v>21</v>
      </c>
      <c r="I57" t="str">
        <f t="shared" si="0"/>
        <v>54_1</v>
      </c>
      <c r="J57" t="s">
        <v>18</v>
      </c>
      <c r="K57" t="s">
        <v>19</v>
      </c>
      <c r="L57" t="str">
        <f>_xlfn.XLOOKUP(C57, Table2[Species],Table2[Genus], "Code Not Found")</f>
        <v>Acer</v>
      </c>
      <c r="M57" t="str">
        <f>_xlfn.XLOOKUP(C57, Table2[Species],Table2[Sp. Name], "Code Not Found")</f>
        <v>rubrum</v>
      </c>
      <c r="N57" t="str">
        <f>_xlfn.XLOOKUP(C57,Table2[Species],Table2[Family],"Code Not Found")</f>
        <v>Sapindaceae</v>
      </c>
      <c r="O57" t="str" cm="1">
        <f t="array" ref="O57">_xlfn.IFS(F57="","",F57&lt;=5,"0 to 5",F57&lt;=10,"5.1 to 10",F57&lt;=20,"10 to 20", F57&lt;= 40, "20 to 40", F57 &lt;= 50, "40 to 50", F57 &gt; 50, "&gt;50" )</f>
        <v>5.1 to 10</v>
      </c>
    </row>
    <row r="58" spans="1:15" ht="14.4" x14ac:dyDescent="0.3">
      <c r="A58" t="s">
        <v>15</v>
      </c>
      <c r="B58" s="1">
        <v>46161</v>
      </c>
      <c r="C58" t="s">
        <v>16</v>
      </c>
      <c r="D58">
        <v>55</v>
      </c>
      <c r="E58">
        <v>1</v>
      </c>
      <c r="F58">
        <v>2.2999999999999998</v>
      </c>
      <c r="G58" t="s">
        <v>17</v>
      </c>
      <c r="I58" t="str">
        <f t="shared" si="0"/>
        <v>55_1</v>
      </c>
      <c r="J58" t="s">
        <v>18</v>
      </c>
      <c r="K58" t="s">
        <v>19</v>
      </c>
      <c r="L58" t="str">
        <f>_xlfn.XLOOKUP(C58, Table2[Species],Table2[Genus], "Code Not Found")</f>
        <v>Acer</v>
      </c>
      <c r="M58" t="str">
        <f>_xlfn.XLOOKUP(C58, Table2[Species],Table2[Sp. Name], "Code Not Found")</f>
        <v>saccharum</v>
      </c>
      <c r="N58" t="str">
        <f>_xlfn.XLOOKUP(C58,Table2[Species],Table2[Family],"Code Not Found")</f>
        <v>Sapindaceae</v>
      </c>
      <c r="O58" t="str" cm="1">
        <f t="array" ref="O58">_xlfn.IFS(F58="","",F58&lt;=5,"0 to 5",F58&lt;=10,"5.1 to 10",F58&lt;=20,"10 to 20", F58&lt;= 40, "20 to 40", F58 &lt;= 50, "40 to 50", F58 &gt; 50, "&gt;50" )</f>
        <v>0 to 5</v>
      </c>
    </row>
    <row r="59" spans="1:15" ht="14.4" x14ac:dyDescent="0.3">
      <c r="A59" t="s">
        <v>15</v>
      </c>
      <c r="B59" s="1">
        <v>46161</v>
      </c>
      <c r="C59" t="s">
        <v>16</v>
      </c>
      <c r="D59">
        <v>56</v>
      </c>
      <c r="E59">
        <v>1</v>
      </c>
      <c r="F59">
        <v>2.9</v>
      </c>
      <c r="G59" t="s">
        <v>21</v>
      </c>
      <c r="I59" t="str">
        <f t="shared" si="0"/>
        <v>56_1</v>
      </c>
      <c r="J59" t="s">
        <v>18</v>
      </c>
      <c r="K59" t="s">
        <v>19</v>
      </c>
      <c r="L59" t="str">
        <f>_xlfn.XLOOKUP(C59, Table2[Species],Table2[Genus], "Code Not Found")</f>
        <v>Acer</v>
      </c>
      <c r="M59" t="str">
        <f>_xlfn.XLOOKUP(C59, Table2[Species],Table2[Sp. Name], "Code Not Found")</f>
        <v>saccharum</v>
      </c>
      <c r="N59" t="str">
        <f>_xlfn.XLOOKUP(C59,Table2[Species],Table2[Family],"Code Not Found")</f>
        <v>Sapindaceae</v>
      </c>
      <c r="O59" t="str" cm="1">
        <f t="array" ref="O59">_xlfn.IFS(F59="","",F59&lt;=5,"0 to 5",F59&lt;=10,"5.1 to 10",F59&lt;=20,"10 to 20", F59&lt;= 40, "20 to 40", F59 &lt;= 50, "40 to 50", F59 &gt; 50, "&gt;50" )</f>
        <v>0 to 5</v>
      </c>
    </row>
    <row r="60" spans="1:15" ht="14.4" x14ac:dyDescent="0.3">
      <c r="A60" t="s">
        <v>15</v>
      </c>
      <c r="B60" s="1">
        <v>46161</v>
      </c>
      <c r="C60" t="s">
        <v>16</v>
      </c>
      <c r="D60">
        <v>57</v>
      </c>
      <c r="E60">
        <v>1</v>
      </c>
      <c r="F60">
        <v>1.8</v>
      </c>
      <c r="G60" t="s">
        <v>17</v>
      </c>
      <c r="I60" t="str">
        <f t="shared" si="0"/>
        <v>57_1</v>
      </c>
      <c r="J60" t="s">
        <v>18</v>
      </c>
      <c r="K60" t="s">
        <v>19</v>
      </c>
      <c r="L60" t="str">
        <f>_xlfn.XLOOKUP(C60, Table2[Species],Table2[Genus], "Code Not Found")</f>
        <v>Acer</v>
      </c>
      <c r="M60" t="str">
        <f>_xlfn.XLOOKUP(C60, Table2[Species],Table2[Sp. Name], "Code Not Found")</f>
        <v>saccharum</v>
      </c>
      <c r="N60" t="str">
        <f>_xlfn.XLOOKUP(C60,Table2[Species],Table2[Family],"Code Not Found")</f>
        <v>Sapindaceae</v>
      </c>
      <c r="O60" t="str" cm="1">
        <f t="array" ref="O60">_xlfn.IFS(F60="","",F60&lt;=5,"0 to 5",F60&lt;=10,"5.1 to 10",F60&lt;=20,"10 to 20", F60&lt;= 40, "20 to 40", F60 &lt;= 50, "40 to 50", F60 &gt; 50, "&gt;50" )</f>
        <v>0 to 5</v>
      </c>
    </row>
    <row r="61" spans="1:15" ht="14.4" x14ac:dyDescent="0.3">
      <c r="A61" t="s">
        <v>15</v>
      </c>
      <c r="B61" s="1">
        <v>46161</v>
      </c>
      <c r="C61" t="s">
        <v>16</v>
      </c>
      <c r="D61">
        <v>58</v>
      </c>
      <c r="E61">
        <v>1</v>
      </c>
      <c r="F61">
        <v>1.9</v>
      </c>
      <c r="G61" t="s">
        <v>38</v>
      </c>
      <c r="I61" t="str">
        <f t="shared" si="0"/>
        <v>58_1</v>
      </c>
      <c r="J61" t="s">
        <v>18</v>
      </c>
      <c r="K61" t="s">
        <v>19</v>
      </c>
      <c r="L61" t="str">
        <f>_xlfn.XLOOKUP(C61, Table2[Species],Table2[Genus], "Code Not Found")</f>
        <v>Acer</v>
      </c>
      <c r="M61" t="str">
        <f>_xlfn.XLOOKUP(C61, Table2[Species],Table2[Sp. Name], "Code Not Found")</f>
        <v>saccharum</v>
      </c>
      <c r="N61" t="str">
        <f>_xlfn.XLOOKUP(C61,Table2[Species],Table2[Family],"Code Not Found")</f>
        <v>Sapindaceae</v>
      </c>
      <c r="O61" t="str" cm="1">
        <f t="array" ref="O61">_xlfn.IFS(F61="","",F61&lt;=5,"0 to 5",F61&lt;=10,"5.1 to 10",F61&lt;=20,"10 to 20", F61&lt;= 40, "20 to 40", F61 &lt;= 50, "40 to 50", F61 &gt; 50, "&gt;50" )</f>
        <v>0 to 5</v>
      </c>
    </row>
    <row r="62" spans="1:15" ht="14.4" x14ac:dyDescent="0.3">
      <c r="A62" t="s">
        <v>15</v>
      </c>
      <c r="B62" s="1">
        <v>46161</v>
      </c>
      <c r="C62" t="s">
        <v>16</v>
      </c>
      <c r="D62">
        <v>59</v>
      </c>
      <c r="E62">
        <v>1</v>
      </c>
      <c r="F62">
        <v>1.9</v>
      </c>
      <c r="G62" t="s">
        <v>17</v>
      </c>
      <c r="I62" t="str">
        <f t="shared" si="0"/>
        <v>59_1</v>
      </c>
      <c r="J62" t="s">
        <v>18</v>
      </c>
      <c r="K62" t="s">
        <v>19</v>
      </c>
      <c r="L62" t="str">
        <f>_xlfn.XLOOKUP(C62, Table2[Species],Table2[Genus], "Code Not Found")</f>
        <v>Acer</v>
      </c>
      <c r="M62" t="str">
        <f>_xlfn.XLOOKUP(C62, Table2[Species],Table2[Sp. Name], "Code Not Found")</f>
        <v>saccharum</v>
      </c>
      <c r="N62" t="str">
        <f>_xlfn.XLOOKUP(C62,Table2[Species],Table2[Family],"Code Not Found")</f>
        <v>Sapindaceae</v>
      </c>
      <c r="O62" t="str" cm="1">
        <f t="array" ref="O62">_xlfn.IFS(F62="","",F62&lt;=5,"0 to 5",F62&lt;=10,"5.1 to 10",F62&lt;=20,"10 to 20", F62&lt;= 40, "20 to 40", F62 &lt;= 50, "40 to 50", F62 &gt; 50, "&gt;50" )</f>
        <v>0 to 5</v>
      </c>
    </row>
    <row r="63" spans="1:15" ht="14.4" x14ac:dyDescent="0.3">
      <c r="A63" t="s">
        <v>15</v>
      </c>
      <c r="B63" s="1">
        <v>46162</v>
      </c>
      <c r="C63" t="s">
        <v>24</v>
      </c>
      <c r="D63">
        <v>60</v>
      </c>
      <c r="E63">
        <v>1</v>
      </c>
      <c r="F63">
        <v>74.400000000000006</v>
      </c>
      <c r="G63" t="s">
        <v>34</v>
      </c>
      <c r="H63" t="s">
        <v>45</v>
      </c>
      <c r="I63" t="str">
        <f t="shared" si="0"/>
        <v>60_1</v>
      </c>
      <c r="J63" t="s">
        <v>18</v>
      </c>
      <c r="K63" t="s">
        <v>19</v>
      </c>
      <c r="L63" t="str">
        <f>_xlfn.XLOOKUP(C63, Table2[Species],Table2[Genus], "Code Not Found")</f>
        <v>Lirodendron</v>
      </c>
      <c r="M63" t="str">
        <f>_xlfn.XLOOKUP(C63, Table2[Species],Table2[Sp. Name], "Code Not Found")</f>
        <v>tulipfera</v>
      </c>
      <c r="N63" t="str">
        <f>_xlfn.XLOOKUP(C63,Table2[Species],Table2[Family],"Code Not Found")</f>
        <v>Magnoliaceae</v>
      </c>
      <c r="O63" t="str" cm="1">
        <f t="array" ref="O63">_xlfn.IFS(F63="","",F63&lt;=5,"0 to 5",F63&lt;=10,"5.1 to 10",F63&lt;=20,"10 to 20", F63&lt;= 40, "20 to 40", F63 &lt;= 50, "40 to 50", F63 &gt; 50, "&gt;50" )</f>
        <v>&gt;50</v>
      </c>
    </row>
    <row r="64" spans="1:15" ht="14.4" x14ac:dyDescent="0.3">
      <c r="A64" t="s">
        <v>15</v>
      </c>
      <c r="B64" s="1">
        <v>46162</v>
      </c>
      <c r="C64" t="s">
        <v>24</v>
      </c>
      <c r="D64">
        <v>60</v>
      </c>
      <c r="E64">
        <v>2</v>
      </c>
      <c r="F64">
        <v>65.400000000000006</v>
      </c>
      <c r="G64" t="s">
        <v>34</v>
      </c>
      <c r="I64" t="str">
        <f t="shared" si="0"/>
        <v>60_2</v>
      </c>
      <c r="J64" t="s">
        <v>18</v>
      </c>
      <c r="K64" t="s">
        <v>19</v>
      </c>
      <c r="L64" t="str">
        <f>_xlfn.XLOOKUP(C64, Table2[Species],Table2[Genus], "Code Not Found")</f>
        <v>Lirodendron</v>
      </c>
      <c r="M64" t="str">
        <f>_xlfn.XLOOKUP(C64, Table2[Species],Table2[Sp. Name], "Code Not Found")</f>
        <v>tulipfera</v>
      </c>
      <c r="N64" t="str">
        <f>_xlfn.XLOOKUP(C64,Table2[Species],Table2[Family],"Code Not Found")</f>
        <v>Magnoliaceae</v>
      </c>
      <c r="O64" t="str" cm="1">
        <f t="array" ref="O64">_xlfn.IFS(F64="","",F64&lt;=5,"0 to 5",F64&lt;=10,"5.1 to 10",F64&lt;=20,"10 to 20", F64&lt;= 40, "20 to 40", F64 &lt;= 50, "40 to 50", F64 &gt; 50, "&gt;50" )</f>
        <v>&gt;50</v>
      </c>
    </row>
    <row r="65" spans="1:15" ht="14.4" x14ac:dyDescent="0.3">
      <c r="A65" t="s">
        <v>15</v>
      </c>
      <c r="B65" s="1">
        <v>46162</v>
      </c>
      <c r="C65" t="s">
        <v>16</v>
      </c>
      <c r="D65">
        <v>61</v>
      </c>
      <c r="E65">
        <v>1</v>
      </c>
      <c r="F65">
        <v>2</v>
      </c>
      <c r="G65" t="s">
        <v>21</v>
      </c>
      <c r="I65" t="str">
        <f t="shared" si="0"/>
        <v>61_1</v>
      </c>
      <c r="J65" t="s">
        <v>18</v>
      </c>
      <c r="K65" t="s">
        <v>19</v>
      </c>
      <c r="L65" t="str">
        <f>_xlfn.XLOOKUP(C65, Table2[Species],Table2[Genus], "Code Not Found")</f>
        <v>Acer</v>
      </c>
      <c r="M65" t="str">
        <f>_xlfn.XLOOKUP(C65, Table2[Species],Table2[Sp. Name], "Code Not Found")</f>
        <v>saccharum</v>
      </c>
      <c r="N65" t="str">
        <f>_xlfn.XLOOKUP(C65,Table2[Species],Table2[Family],"Code Not Found")</f>
        <v>Sapindaceae</v>
      </c>
      <c r="O65" t="str" cm="1">
        <f t="array" ref="O65">_xlfn.IFS(F65="","",F65&lt;=5,"0 to 5",F65&lt;=10,"5.1 to 10",F65&lt;=20,"10 to 20", F65&lt;= 40, "20 to 40", F65 &lt;= 50, "40 to 50", F65 &gt; 50, "&gt;50" )</f>
        <v>0 to 5</v>
      </c>
    </row>
    <row r="66" spans="1:15" ht="14.4" x14ac:dyDescent="0.3">
      <c r="A66" t="s">
        <v>15</v>
      </c>
      <c r="B66" s="1">
        <v>46162</v>
      </c>
      <c r="C66" t="s">
        <v>22</v>
      </c>
      <c r="D66">
        <v>62</v>
      </c>
      <c r="E66">
        <v>1</v>
      </c>
      <c r="F66">
        <v>4</v>
      </c>
      <c r="G66" t="s">
        <v>21</v>
      </c>
      <c r="I66" t="str">
        <f t="shared" si="0"/>
        <v>62_1</v>
      </c>
      <c r="J66" t="s">
        <v>18</v>
      </c>
      <c r="K66" t="s">
        <v>19</v>
      </c>
      <c r="L66" t="str">
        <f>_xlfn.XLOOKUP(C66, Table2[Species],Table2[Genus], "Code Not Found")</f>
        <v>Acer</v>
      </c>
      <c r="M66" t="str">
        <f>_xlfn.XLOOKUP(C66, Table2[Species],Table2[Sp. Name], "Code Not Found")</f>
        <v>rubrum</v>
      </c>
      <c r="N66" t="str">
        <f>_xlfn.XLOOKUP(C66,Table2[Species],Table2[Family],"Code Not Found")</f>
        <v>Sapindaceae</v>
      </c>
      <c r="O66" t="str" cm="1">
        <f t="array" ref="O66">_xlfn.IFS(F66="","",F66&lt;=5,"0 to 5",F66&lt;=10,"5.1 to 10",F66&lt;=20,"10 to 20", F66&lt;= 40, "20 to 40", F66 &lt;= 50, "40 to 50", F66 &gt; 50, "&gt;50" )</f>
        <v>0 to 5</v>
      </c>
    </row>
    <row r="67" spans="1:15" ht="14.4" x14ac:dyDescent="0.3">
      <c r="A67" t="s">
        <v>15</v>
      </c>
      <c r="B67" s="1">
        <v>46162</v>
      </c>
      <c r="C67" t="s">
        <v>16</v>
      </c>
      <c r="D67">
        <v>63</v>
      </c>
      <c r="E67">
        <v>1</v>
      </c>
      <c r="F67">
        <v>2.9</v>
      </c>
      <c r="G67" t="s">
        <v>21</v>
      </c>
      <c r="I67" t="str">
        <f t="shared" ref="I67:I130" si="2">D67&amp;"_"&amp;E67</f>
        <v>63_1</v>
      </c>
      <c r="J67" t="s">
        <v>18</v>
      </c>
      <c r="K67" t="s">
        <v>19</v>
      </c>
      <c r="L67" t="str">
        <f>_xlfn.XLOOKUP(C67, Table2[Species],Table2[Genus], "Code Not Found")</f>
        <v>Acer</v>
      </c>
      <c r="M67" t="str">
        <f>_xlfn.XLOOKUP(C67, Table2[Species],Table2[Sp. Name], "Code Not Found")</f>
        <v>saccharum</v>
      </c>
      <c r="N67" t="str">
        <f>_xlfn.XLOOKUP(C67,Table2[Species],Table2[Family],"Code Not Found")</f>
        <v>Sapindaceae</v>
      </c>
      <c r="O67" t="str" cm="1">
        <f t="array" ref="O67">_xlfn.IFS(F67="","",F67&lt;=5,"0 to 5",F67&lt;=10,"5.1 to 10",F67&lt;=20,"10 to 20", F67&lt;= 40, "20 to 40", F67 &lt;= 50, "40 to 50", F67 &gt; 50, "&gt;50" )</f>
        <v>0 to 5</v>
      </c>
    </row>
    <row r="68" spans="1:15" ht="14.4" x14ac:dyDescent="0.3">
      <c r="A68" t="s">
        <v>15</v>
      </c>
      <c r="B68" s="1">
        <v>46162</v>
      </c>
      <c r="C68" t="s">
        <v>16</v>
      </c>
      <c r="D68">
        <v>64</v>
      </c>
      <c r="E68">
        <v>1</v>
      </c>
      <c r="F68">
        <v>2.2000000000000002</v>
      </c>
      <c r="G68" t="s">
        <v>21</v>
      </c>
      <c r="I68" t="str">
        <f t="shared" si="2"/>
        <v>64_1</v>
      </c>
      <c r="J68" t="s">
        <v>18</v>
      </c>
      <c r="K68" t="s">
        <v>19</v>
      </c>
      <c r="L68" t="str">
        <f>_xlfn.XLOOKUP(C68, Table2[Species],Table2[Genus], "Code Not Found")</f>
        <v>Acer</v>
      </c>
      <c r="M68" t="str">
        <f>_xlfn.XLOOKUP(C68, Table2[Species],Table2[Sp. Name], "Code Not Found")</f>
        <v>saccharum</v>
      </c>
      <c r="N68" t="str">
        <f>_xlfn.XLOOKUP(C68,Table2[Species],Table2[Family],"Code Not Found")</f>
        <v>Sapindaceae</v>
      </c>
      <c r="O68" t="str" cm="1">
        <f t="array" ref="O68">_xlfn.IFS(F68="","",F68&lt;=5,"0 to 5",F68&lt;=10,"5.1 to 10",F68&lt;=20,"10 to 20", F68&lt;= 40, "20 to 40", F68 &lt;= 50, "40 to 50", F68 &gt; 50, "&gt;50" )</f>
        <v>0 to 5</v>
      </c>
    </row>
    <row r="69" spans="1:15" ht="14.4" x14ac:dyDescent="0.3">
      <c r="A69" t="s">
        <v>15</v>
      </c>
      <c r="B69" s="1">
        <v>46162</v>
      </c>
      <c r="C69" t="s">
        <v>16</v>
      </c>
      <c r="D69">
        <v>65</v>
      </c>
      <c r="E69">
        <v>1</v>
      </c>
      <c r="F69">
        <v>17.7</v>
      </c>
      <c r="G69" t="s">
        <v>17</v>
      </c>
      <c r="I69" t="str">
        <f t="shared" si="2"/>
        <v>65_1</v>
      </c>
      <c r="J69" t="s">
        <v>18</v>
      </c>
      <c r="K69" t="s">
        <v>19</v>
      </c>
      <c r="L69" t="str">
        <f>_xlfn.XLOOKUP(C69, Table2[Species],Table2[Genus], "Code Not Found")</f>
        <v>Acer</v>
      </c>
      <c r="M69" t="str">
        <f>_xlfn.XLOOKUP(C69, Table2[Species],Table2[Sp. Name], "Code Not Found")</f>
        <v>saccharum</v>
      </c>
      <c r="N69" t="str">
        <f>_xlfn.XLOOKUP(C69,Table2[Species],Table2[Family],"Code Not Found")</f>
        <v>Sapindaceae</v>
      </c>
      <c r="O69" t="str" cm="1">
        <f t="array" ref="O69">_xlfn.IFS(F69="","",F69&lt;=5,"0 to 5",F69&lt;=10,"5.1 to 10",F69&lt;=20,"10 to 20", F69&lt;= 40, "20 to 40", F69 &lt;= 50, "40 to 50", F69 &gt; 50, "&gt;50" )</f>
        <v>10 to 20</v>
      </c>
    </row>
    <row r="70" spans="1:15" ht="14.4" x14ac:dyDescent="0.3">
      <c r="A70" t="s">
        <v>15</v>
      </c>
      <c r="B70" s="1">
        <v>46162</v>
      </c>
      <c r="C70" t="s">
        <v>16</v>
      </c>
      <c r="D70">
        <v>66</v>
      </c>
      <c r="E70">
        <v>1</v>
      </c>
      <c r="F70">
        <v>3.2</v>
      </c>
      <c r="G70" t="s">
        <v>21</v>
      </c>
      <c r="I70" t="str">
        <f t="shared" si="2"/>
        <v>66_1</v>
      </c>
      <c r="J70" t="s">
        <v>18</v>
      </c>
      <c r="K70" t="s">
        <v>19</v>
      </c>
      <c r="L70" t="str">
        <f>_xlfn.XLOOKUP(C70, Table2[Species],Table2[Genus], "Code Not Found")</f>
        <v>Acer</v>
      </c>
      <c r="M70" t="str">
        <f>_xlfn.XLOOKUP(C70, Table2[Species],Table2[Sp. Name], "Code Not Found")</f>
        <v>saccharum</v>
      </c>
      <c r="N70" t="str">
        <f>_xlfn.XLOOKUP(C70,Table2[Species],Table2[Family],"Code Not Found")</f>
        <v>Sapindaceae</v>
      </c>
      <c r="O70" t="str" cm="1">
        <f t="array" ref="O70">_xlfn.IFS(F70="","",F70&lt;=5,"0 to 5",F70&lt;=10,"5.1 to 10",F70&lt;=20,"10 to 20", F70&lt;= 40, "20 to 40", F70 &lt;= 50, "40 to 50", F70 &gt; 50, "&gt;50" )</f>
        <v>0 to 5</v>
      </c>
    </row>
    <row r="71" spans="1:15" ht="14.4" x14ac:dyDescent="0.3">
      <c r="A71" t="s">
        <v>15</v>
      </c>
      <c r="B71" s="1">
        <v>46162</v>
      </c>
      <c r="C71" t="s">
        <v>16</v>
      </c>
      <c r="D71">
        <v>67</v>
      </c>
      <c r="E71">
        <v>1</v>
      </c>
      <c r="F71">
        <v>7.4</v>
      </c>
      <c r="G71" t="s">
        <v>21</v>
      </c>
      <c r="I71" t="str">
        <f t="shared" si="2"/>
        <v>67_1</v>
      </c>
      <c r="J71" t="s">
        <v>18</v>
      </c>
      <c r="K71" t="s">
        <v>19</v>
      </c>
      <c r="L71" t="str">
        <f>_xlfn.XLOOKUP(C71, Table2[Species],Table2[Genus], "Code Not Found")</f>
        <v>Acer</v>
      </c>
      <c r="M71" t="str">
        <f>_xlfn.XLOOKUP(C71, Table2[Species],Table2[Sp. Name], "Code Not Found")</f>
        <v>saccharum</v>
      </c>
      <c r="N71" t="str">
        <f>_xlfn.XLOOKUP(C71,Table2[Species],Table2[Family],"Code Not Found")</f>
        <v>Sapindaceae</v>
      </c>
      <c r="O71" t="str" cm="1">
        <f t="array" ref="O71">_xlfn.IFS(F71="","",F71&lt;=5,"0 to 5",F71&lt;=10,"5.1 to 10",F71&lt;=20,"10 to 20", F71&lt;= 40, "20 to 40", F71 &lt;= 50, "40 to 50", F71 &gt; 50, "&gt;50" )</f>
        <v>5.1 to 10</v>
      </c>
    </row>
    <row r="72" spans="1:15" ht="14.4" x14ac:dyDescent="0.3">
      <c r="A72" t="s">
        <v>15</v>
      </c>
      <c r="B72" s="1">
        <v>46162</v>
      </c>
      <c r="C72" t="s">
        <v>16</v>
      </c>
      <c r="D72">
        <v>68</v>
      </c>
      <c r="E72">
        <v>1</v>
      </c>
      <c r="F72">
        <v>1.3</v>
      </c>
      <c r="G72" t="s">
        <v>17</v>
      </c>
      <c r="I72" t="str">
        <f t="shared" si="2"/>
        <v>68_1</v>
      </c>
      <c r="J72" t="s">
        <v>18</v>
      </c>
      <c r="K72" t="s">
        <v>19</v>
      </c>
      <c r="L72" t="str">
        <f>_xlfn.XLOOKUP(C72, Table2[Species],Table2[Genus], "Code Not Found")</f>
        <v>Acer</v>
      </c>
      <c r="M72" t="str">
        <f>_xlfn.XLOOKUP(C72, Table2[Species],Table2[Sp. Name], "Code Not Found")</f>
        <v>saccharum</v>
      </c>
      <c r="N72" t="str">
        <f>_xlfn.XLOOKUP(C72,Table2[Species],Table2[Family],"Code Not Found")</f>
        <v>Sapindaceae</v>
      </c>
      <c r="O72" t="str" cm="1">
        <f t="array" ref="O72">_xlfn.IFS(F72="","",F72&lt;=5,"0 to 5",F72&lt;=10,"5.1 to 10",F72&lt;=20,"10 to 20", F72&lt;= 40, "20 to 40", F72 &lt;= 50, "40 to 50", F72 &gt; 50, "&gt;50" )</f>
        <v>0 to 5</v>
      </c>
    </row>
    <row r="73" spans="1:15" ht="14.4" x14ac:dyDescent="0.3">
      <c r="A73" t="s">
        <v>15</v>
      </c>
      <c r="B73" s="1">
        <v>46162</v>
      </c>
      <c r="C73" t="s">
        <v>16</v>
      </c>
      <c r="D73">
        <v>69</v>
      </c>
      <c r="E73">
        <v>1</v>
      </c>
      <c r="F73">
        <v>12.4</v>
      </c>
      <c r="G73" t="s">
        <v>46</v>
      </c>
      <c r="H73" t="s">
        <v>43</v>
      </c>
      <c r="I73" t="str">
        <f t="shared" si="2"/>
        <v>69_1</v>
      </c>
      <c r="J73" t="s">
        <v>18</v>
      </c>
      <c r="K73" t="s">
        <v>19</v>
      </c>
      <c r="L73" t="str">
        <f>_xlfn.XLOOKUP(C73, Table2[Species],Table2[Genus], "Code Not Found")</f>
        <v>Acer</v>
      </c>
      <c r="M73" t="str">
        <f>_xlfn.XLOOKUP(C73, Table2[Species],Table2[Sp. Name], "Code Not Found")</f>
        <v>saccharum</v>
      </c>
      <c r="N73" t="str">
        <f>_xlfn.XLOOKUP(C73,Table2[Species],Table2[Family],"Code Not Found")</f>
        <v>Sapindaceae</v>
      </c>
      <c r="O73" t="str" cm="1">
        <f t="array" ref="O73">_xlfn.IFS(F73="","",F73&lt;=5,"0 to 5",F73&lt;=10,"5.1 to 10",F73&lt;=20,"10 to 20", F73&lt;= 40, "20 to 40", F73 &lt;= 50, "40 to 50", F73 &gt; 50, "&gt;50" )</f>
        <v>10 to 20</v>
      </c>
    </row>
    <row r="74" spans="1:15" ht="14.4" x14ac:dyDescent="0.3">
      <c r="A74" t="s">
        <v>15</v>
      </c>
      <c r="B74" s="1">
        <v>46162</v>
      </c>
      <c r="C74" t="s">
        <v>16</v>
      </c>
      <c r="D74">
        <v>70</v>
      </c>
      <c r="E74">
        <v>1</v>
      </c>
      <c r="F74">
        <v>8.6</v>
      </c>
      <c r="G74" t="s">
        <v>47</v>
      </c>
      <c r="H74" t="s">
        <v>48</v>
      </c>
      <c r="I74" t="str">
        <f t="shared" si="2"/>
        <v>70_1</v>
      </c>
      <c r="J74" t="s">
        <v>18</v>
      </c>
      <c r="K74" t="s">
        <v>19</v>
      </c>
      <c r="L74" t="str">
        <f>_xlfn.XLOOKUP(C74, Table2[Species],Table2[Genus], "Code Not Found")</f>
        <v>Acer</v>
      </c>
      <c r="M74" t="str">
        <f>_xlfn.XLOOKUP(C74, Table2[Species],Table2[Sp. Name], "Code Not Found")</f>
        <v>saccharum</v>
      </c>
      <c r="N74" t="str">
        <f>_xlfn.XLOOKUP(C74,Table2[Species],Table2[Family],"Code Not Found")</f>
        <v>Sapindaceae</v>
      </c>
      <c r="O74" t="str" cm="1">
        <f t="array" ref="O74">_xlfn.IFS(F74="","",F74&lt;=5,"0 to 5",F74&lt;=10,"5.1 to 10",F74&lt;=20,"10 to 20", F74&lt;= 40, "20 to 40", F74 &lt;= 50, "40 to 50", F74 &gt; 50, "&gt;50" )</f>
        <v>5.1 to 10</v>
      </c>
    </row>
    <row r="75" spans="1:15" ht="14.4" x14ac:dyDescent="0.3">
      <c r="A75" t="s">
        <v>15</v>
      </c>
      <c r="B75" s="1">
        <v>46162</v>
      </c>
      <c r="C75" t="s">
        <v>16</v>
      </c>
      <c r="D75">
        <v>71</v>
      </c>
      <c r="E75">
        <v>1</v>
      </c>
      <c r="F75">
        <v>10.7</v>
      </c>
      <c r="G75" t="s">
        <v>21</v>
      </c>
      <c r="I75" t="str">
        <f t="shared" si="2"/>
        <v>71_1</v>
      </c>
      <c r="J75" t="s">
        <v>18</v>
      </c>
      <c r="K75" t="s">
        <v>19</v>
      </c>
      <c r="L75" t="str">
        <f>_xlfn.XLOOKUP(C75, Table2[Species],Table2[Genus], "Code Not Found")</f>
        <v>Acer</v>
      </c>
      <c r="M75" t="str">
        <f>_xlfn.XLOOKUP(C75, Table2[Species],Table2[Sp. Name], "Code Not Found")</f>
        <v>saccharum</v>
      </c>
      <c r="N75" t="str">
        <f>_xlfn.XLOOKUP(C75,Table2[Species],Table2[Family],"Code Not Found")</f>
        <v>Sapindaceae</v>
      </c>
      <c r="O75" t="str" cm="1">
        <f t="array" ref="O75">_xlfn.IFS(F75="","",F75&lt;=5,"0 to 5",F75&lt;=10,"5.1 to 10",F75&lt;=20,"10 to 20", F75&lt;= 40, "20 to 40", F75 &lt;= 50, "40 to 50", F75 &gt; 50, "&gt;50" )</f>
        <v>10 to 20</v>
      </c>
    </row>
    <row r="76" spans="1:15" ht="14.4" x14ac:dyDescent="0.3">
      <c r="A76" t="s">
        <v>15</v>
      </c>
      <c r="B76" s="1">
        <v>46162</v>
      </c>
      <c r="C76" t="s">
        <v>16</v>
      </c>
      <c r="D76">
        <v>72</v>
      </c>
      <c r="E76">
        <v>1</v>
      </c>
      <c r="F76">
        <v>2.5</v>
      </c>
      <c r="G76" t="s">
        <v>17</v>
      </c>
      <c r="H76" t="s">
        <v>49</v>
      </c>
      <c r="I76" t="str">
        <f t="shared" si="2"/>
        <v>72_1</v>
      </c>
      <c r="J76" t="s">
        <v>18</v>
      </c>
      <c r="K76" t="s">
        <v>19</v>
      </c>
      <c r="L76" t="str">
        <f>_xlfn.XLOOKUP(C76, Table2[Species],Table2[Genus], "Code Not Found")</f>
        <v>Acer</v>
      </c>
      <c r="M76" t="str">
        <f>_xlfn.XLOOKUP(C76, Table2[Species],Table2[Sp. Name], "Code Not Found")</f>
        <v>saccharum</v>
      </c>
      <c r="N76" t="str">
        <f>_xlfn.XLOOKUP(C76,Table2[Species],Table2[Family],"Code Not Found")</f>
        <v>Sapindaceae</v>
      </c>
      <c r="O76" t="str" cm="1">
        <f t="array" ref="O76">_xlfn.IFS(F76="","",F76&lt;=5,"0 to 5",F76&lt;=10,"5.1 to 10",F76&lt;=20,"10 to 20", F76&lt;= 40, "20 to 40", F76 &lt;= 50, "40 to 50", F76 &gt; 50, "&gt;50" )</f>
        <v>0 to 5</v>
      </c>
    </row>
    <row r="77" spans="1:15" ht="14.4" x14ac:dyDescent="0.3">
      <c r="A77" t="s">
        <v>15</v>
      </c>
      <c r="B77" s="1">
        <v>46162</v>
      </c>
      <c r="C77" t="s">
        <v>16</v>
      </c>
      <c r="D77">
        <v>73</v>
      </c>
      <c r="E77">
        <v>1</v>
      </c>
      <c r="F77">
        <v>2.7</v>
      </c>
      <c r="G77" t="s">
        <v>47</v>
      </c>
      <c r="H77" t="s">
        <v>43</v>
      </c>
      <c r="I77" t="str">
        <f t="shared" si="2"/>
        <v>73_1</v>
      </c>
      <c r="J77" t="s">
        <v>18</v>
      </c>
      <c r="K77" t="s">
        <v>19</v>
      </c>
      <c r="L77" t="str">
        <f>_xlfn.XLOOKUP(C77, Table2[Species],Table2[Genus], "Code Not Found")</f>
        <v>Acer</v>
      </c>
      <c r="M77" t="str">
        <f>_xlfn.XLOOKUP(C77, Table2[Species],Table2[Sp. Name], "Code Not Found")</f>
        <v>saccharum</v>
      </c>
      <c r="N77" t="str">
        <f>_xlfn.XLOOKUP(C77,Table2[Species],Table2[Family],"Code Not Found")</f>
        <v>Sapindaceae</v>
      </c>
      <c r="O77" t="str" cm="1">
        <f t="array" ref="O77">_xlfn.IFS(F77="","",F77&lt;=5,"0 to 5",F77&lt;=10,"5.1 to 10",F77&lt;=20,"10 to 20", F77&lt;= 40, "20 to 40", F77 &lt;= 50, "40 to 50", F77 &gt; 50, "&gt;50" )</f>
        <v>0 to 5</v>
      </c>
    </row>
    <row r="78" spans="1:15" ht="14.4" x14ac:dyDescent="0.3">
      <c r="A78" t="s">
        <v>15</v>
      </c>
      <c r="B78" s="1">
        <v>46162</v>
      </c>
      <c r="C78" t="s">
        <v>16</v>
      </c>
      <c r="D78">
        <v>74</v>
      </c>
      <c r="E78">
        <v>1</v>
      </c>
      <c r="F78">
        <v>3.4</v>
      </c>
      <c r="G78" t="s">
        <v>47</v>
      </c>
      <c r="H78" t="s">
        <v>43</v>
      </c>
      <c r="I78" t="str">
        <f t="shared" si="2"/>
        <v>74_1</v>
      </c>
      <c r="J78" t="s">
        <v>18</v>
      </c>
      <c r="K78" t="s">
        <v>19</v>
      </c>
      <c r="L78" t="str">
        <f>_xlfn.XLOOKUP(C78, Table2[Species],Table2[Genus], "Code Not Found")</f>
        <v>Acer</v>
      </c>
      <c r="M78" t="str">
        <f>_xlfn.XLOOKUP(C78, Table2[Species],Table2[Sp. Name], "Code Not Found")</f>
        <v>saccharum</v>
      </c>
      <c r="N78" t="str">
        <f>_xlfn.XLOOKUP(C78,Table2[Species],Table2[Family],"Code Not Found")</f>
        <v>Sapindaceae</v>
      </c>
      <c r="O78" t="str" cm="1">
        <f t="array" ref="O78">_xlfn.IFS(F78="","",F78&lt;=5,"0 to 5",F78&lt;=10,"5.1 to 10",F78&lt;=20,"10 to 20", F78&lt;= 40, "20 to 40", F78 &lt;= 50, "40 to 50", F78 &gt; 50, "&gt;50" )</f>
        <v>0 to 5</v>
      </c>
    </row>
    <row r="79" spans="1:15" ht="14.4" x14ac:dyDescent="0.3">
      <c r="A79" t="s">
        <v>15</v>
      </c>
      <c r="B79" s="1">
        <v>46162</v>
      </c>
      <c r="C79" t="s">
        <v>22</v>
      </c>
      <c r="D79">
        <v>75</v>
      </c>
      <c r="E79">
        <v>1</v>
      </c>
      <c r="F79">
        <v>17</v>
      </c>
      <c r="G79" t="s">
        <v>21</v>
      </c>
      <c r="I79" t="str">
        <f t="shared" si="2"/>
        <v>75_1</v>
      </c>
      <c r="J79" t="s">
        <v>18</v>
      </c>
      <c r="K79" t="s">
        <v>19</v>
      </c>
      <c r="L79" t="str">
        <f>_xlfn.XLOOKUP(C79, Table2[Species],Table2[Genus], "Code Not Found")</f>
        <v>Acer</v>
      </c>
      <c r="M79" t="str">
        <f>_xlfn.XLOOKUP(C79, Table2[Species],Table2[Sp. Name], "Code Not Found")</f>
        <v>rubrum</v>
      </c>
      <c r="N79" t="str">
        <f>_xlfn.XLOOKUP(C79,Table2[Species],Table2[Family],"Code Not Found")</f>
        <v>Sapindaceae</v>
      </c>
      <c r="O79" t="str" cm="1">
        <f t="array" ref="O79">_xlfn.IFS(F79="","",F79&lt;=5,"0 to 5",F79&lt;=10,"5.1 to 10",F79&lt;=20,"10 to 20", F79&lt;= 40, "20 to 40", F79 &lt;= 50, "40 to 50", F79 &gt; 50, "&gt;50" )</f>
        <v>10 to 20</v>
      </c>
    </row>
    <row r="80" spans="1:15" ht="14.4" x14ac:dyDescent="0.3">
      <c r="A80" t="s">
        <v>15</v>
      </c>
      <c r="B80" s="1">
        <v>46162</v>
      </c>
      <c r="C80" t="s">
        <v>29</v>
      </c>
      <c r="D80">
        <v>76</v>
      </c>
      <c r="E80">
        <v>1</v>
      </c>
      <c r="F80">
        <v>45.2</v>
      </c>
      <c r="G80" t="s">
        <v>17</v>
      </c>
      <c r="H80" t="s">
        <v>50</v>
      </c>
      <c r="I80" t="str">
        <f t="shared" si="2"/>
        <v>76_1</v>
      </c>
      <c r="J80" t="s">
        <v>18</v>
      </c>
      <c r="K80" t="s">
        <v>19</v>
      </c>
      <c r="L80" t="str">
        <f>_xlfn.XLOOKUP(C80, Table2[Species],Table2[Genus], "Code Not Found")</f>
        <v>Sassafras</v>
      </c>
      <c r="M80" t="str">
        <f>_xlfn.XLOOKUP(C80, Table2[Species],Table2[Sp. Name], "Code Not Found")</f>
        <v>albidum</v>
      </c>
      <c r="N80" t="str">
        <f>_xlfn.XLOOKUP(C80,Table2[Species],Table2[Family],"Code Not Found")</f>
        <v>Lauraceae</v>
      </c>
      <c r="O80" t="str" cm="1">
        <f t="array" ref="O80">_xlfn.IFS(F80="","",F80&lt;=5,"0 to 5",F80&lt;=10,"5.1 to 10",F80&lt;=20,"10 to 20", F80&lt;= 40, "20 to 40", F80 &lt;= 50, "40 to 50", F80 &gt; 50, "&gt;50" )</f>
        <v>40 to 50</v>
      </c>
    </row>
    <row r="81" spans="1:15" ht="14.4" x14ac:dyDescent="0.3">
      <c r="A81" t="s">
        <v>15</v>
      </c>
      <c r="B81" s="1">
        <v>46162</v>
      </c>
      <c r="C81" t="s">
        <v>16</v>
      </c>
      <c r="D81">
        <v>77</v>
      </c>
      <c r="E81">
        <v>1</v>
      </c>
      <c r="F81">
        <v>2.2999999999999998</v>
      </c>
      <c r="G81" t="s">
        <v>17</v>
      </c>
      <c r="I81" t="str">
        <f t="shared" si="2"/>
        <v>77_1</v>
      </c>
      <c r="J81" t="s">
        <v>18</v>
      </c>
      <c r="K81" t="s">
        <v>19</v>
      </c>
      <c r="L81" t="str">
        <f>_xlfn.XLOOKUP(C81, Table2[Species],Table2[Genus], "Code Not Found")</f>
        <v>Acer</v>
      </c>
      <c r="M81" t="str">
        <f>_xlfn.XLOOKUP(C81, Table2[Species],Table2[Sp. Name], "Code Not Found")</f>
        <v>saccharum</v>
      </c>
      <c r="N81" t="str">
        <f>_xlfn.XLOOKUP(C81,Table2[Species],Table2[Family],"Code Not Found")</f>
        <v>Sapindaceae</v>
      </c>
      <c r="O81" t="str" cm="1">
        <f t="array" ref="O81">_xlfn.IFS(F81="","",F81&lt;=5,"0 to 5",F81&lt;=10,"5.1 to 10",F81&lt;=20,"10 to 20", F81&lt;= 40, "20 to 40", F81 &lt;= 50, "40 to 50", F81 &gt; 50, "&gt;50" )</f>
        <v>0 to 5</v>
      </c>
    </row>
    <row r="82" spans="1:15" ht="14.4" x14ac:dyDescent="0.3">
      <c r="A82" t="s">
        <v>15</v>
      </c>
      <c r="B82" s="1">
        <v>46162</v>
      </c>
      <c r="C82" t="s">
        <v>22</v>
      </c>
      <c r="D82">
        <v>78</v>
      </c>
      <c r="E82">
        <v>1</v>
      </c>
      <c r="F82">
        <v>14.6</v>
      </c>
      <c r="G82" t="s">
        <v>51</v>
      </c>
      <c r="H82" t="s">
        <v>52</v>
      </c>
      <c r="I82" t="str">
        <f t="shared" si="2"/>
        <v>78_1</v>
      </c>
      <c r="J82" t="s">
        <v>18</v>
      </c>
      <c r="K82" t="s">
        <v>19</v>
      </c>
      <c r="L82" t="str">
        <f>_xlfn.XLOOKUP(C82, Table2[Species],Table2[Genus], "Code Not Found")</f>
        <v>Acer</v>
      </c>
      <c r="M82" t="str">
        <f>_xlfn.XLOOKUP(C82, Table2[Species],Table2[Sp. Name], "Code Not Found")</f>
        <v>rubrum</v>
      </c>
      <c r="N82" t="str">
        <f>_xlfn.XLOOKUP(C82,Table2[Species],Table2[Family],"Code Not Found")</f>
        <v>Sapindaceae</v>
      </c>
      <c r="O82" t="str" cm="1">
        <f t="array" ref="O82">_xlfn.IFS(F82="","",F82&lt;=5,"0 to 5",F82&lt;=10,"5.1 to 10",F82&lt;=20,"10 to 20", F82&lt;= 40, "20 to 40", F82 &lt;= 50, "40 to 50", F82 &gt; 50, "&gt;50" )</f>
        <v>10 to 20</v>
      </c>
    </row>
    <row r="83" spans="1:15" ht="14.4" x14ac:dyDescent="0.3">
      <c r="A83" t="s">
        <v>15</v>
      </c>
      <c r="B83" s="1">
        <v>46162</v>
      </c>
      <c r="C83" t="s">
        <v>16</v>
      </c>
      <c r="D83">
        <v>79</v>
      </c>
      <c r="E83">
        <v>1</v>
      </c>
      <c r="F83">
        <v>2.9</v>
      </c>
      <c r="G83" t="s">
        <v>47</v>
      </c>
      <c r="H83" t="s">
        <v>43</v>
      </c>
      <c r="I83" t="str">
        <f t="shared" si="2"/>
        <v>79_1</v>
      </c>
      <c r="J83" t="s">
        <v>18</v>
      </c>
      <c r="K83" t="s">
        <v>19</v>
      </c>
      <c r="L83" t="str">
        <f>_xlfn.XLOOKUP(C83, Table2[Species],Table2[Genus], "Code Not Found")</f>
        <v>Acer</v>
      </c>
      <c r="M83" t="str">
        <f>_xlfn.XLOOKUP(C83, Table2[Species],Table2[Sp. Name], "Code Not Found")</f>
        <v>saccharum</v>
      </c>
      <c r="N83" t="str">
        <f>_xlfn.XLOOKUP(C83,Table2[Species],Table2[Family],"Code Not Found")</f>
        <v>Sapindaceae</v>
      </c>
      <c r="O83" t="str" cm="1">
        <f t="array" ref="O83">_xlfn.IFS(F83="","",F83&lt;=5,"0 to 5",F83&lt;=10,"5.1 to 10",F83&lt;=20,"10 to 20", F83&lt;= 40, "20 to 40", F83 &lt;= 50, "40 to 50", F83 &gt; 50, "&gt;50" )</f>
        <v>0 to 5</v>
      </c>
    </row>
    <row r="84" spans="1:15" ht="14.4" x14ac:dyDescent="0.3">
      <c r="A84" t="s">
        <v>15</v>
      </c>
      <c r="B84" s="1">
        <v>46162</v>
      </c>
      <c r="C84" t="s">
        <v>16</v>
      </c>
      <c r="D84">
        <v>80</v>
      </c>
      <c r="E84">
        <v>1</v>
      </c>
      <c r="F84">
        <v>1.6</v>
      </c>
      <c r="G84" t="s">
        <v>17</v>
      </c>
      <c r="I84" t="str">
        <f t="shared" si="2"/>
        <v>80_1</v>
      </c>
      <c r="J84" t="s">
        <v>18</v>
      </c>
      <c r="K84" t="s">
        <v>19</v>
      </c>
      <c r="L84" t="str">
        <f>_xlfn.XLOOKUP(C84, Table2[Species],Table2[Genus], "Code Not Found")</f>
        <v>Acer</v>
      </c>
      <c r="M84" t="str">
        <f>_xlfn.XLOOKUP(C84, Table2[Species],Table2[Sp. Name], "Code Not Found")</f>
        <v>saccharum</v>
      </c>
      <c r="N84" t="str">
        <f>_xlfn.XLOOKUP(C84,Table2[Species],Table2[Family],"Code Not Found")</f>
        <v>Sapindaceae</v>
      </c>
      <c r="O84" t="str" cm="1">
        <f t="array" ref="O84">_xlfn.IFS(F84="","",F84&lt;=5,"0 to 5",F84&lt;=10,"5.1 to 10",F84&lt;=20,"10 to 20", F84&lt;= 40, "20 to 40", F84 &lt;= 50, "40 to 50", F84 &gt; 50, "&gt;50" )</f>
        <v>0 to 5</v>
      </c>
    </row>
    <row r="85" spans="1:15" ht="14.4" x14ac:dyDescent="0.3">
      <c r="A85" t="s">
        <v>15</v>
      </c>
      <c r="B85" s="1">
        <v>46162</v>
      </c>
      <c r="C85" t="s">
        <v>16</v>
      </c>
      <c r="D85">
        <v>81</v>
      </c>
      <c r="E85">
        <v>1</v>
      </c>
      <c r="F85">
        <v>7.3</v>
      </c>
      <c r="G85" t="s">
        <v>21</v>
      </c>
      <c r="I85" t="str">
        <f t="shared" si="2"/>
        <v>81_1</v>
      </c>
      <c r="J85" t="s">
        <v>18</v>
      </c>
      <c r="K85" t="s">
        <v>19</v>
      </c>
      <c r="L85" t="str">
        <f>_xlfn.XLOOKUP(C85, Table2[Species],Table2[Genus], "Code Not Found")</f>
        <v>Acer</v>
      </c>
      <c r="M85" t="str">
        <f>_xlfn.XLOOKUP(C85, Table2[Species],Table2[Sp. Name], "Code Not Found")</f>
        <v>saccharum</v>
      </c>
      <c r="N85" t="str">
        <f>_xlfn.XLOOKUP(C85,Table2[Species],Table2[Family],"Code Not Found")</f>
        <v>Sapindaceae</v>
      </c>
      <c r="O85" t="str" cm="1">
        <f t="array" ref="O85">_xlfn.IFS(F85="","",F85&lt;=5,"0 to 5",F85&lt;=10,"5.1 to 10",F85&lt;=20,"10 to 20", F85&lt;= 40, "20 to 40", F85 &lt;= 50, "40 to 50", F85 &gt; 50, "&gt;50" )</f>
        <v>5.1 to 10</v>
      </c>
    </row>
    <row r="86" spans="1:15" ht="14.4" x14ac:dyDescent="0.3">
      <c r="A86" t="s">
        <v>15</v>
      </c>
      <c r="B86" s="1">
        <v>46162</v>
      </c>
      <c r="C86" t="s">
        <v>16</v>
      </c>
      <c r="D86">
        <v>82</v>
      </c>
      <c r="E86">
        <v>1</v>
      </c>
      <c r="F86">
        <v>22.2</v>
      </c>
      <c r="G86" t="s">
        <v>17</v>
      </c>
      <c r="I86" t="str">
        <f t="shared" si="2"/>
        <v>82_1</v>
      </c>
      <c r="J86" t="s">
        <v>18</v>
      </c>
      <c r="K86" t="s">
        <v>19</v>
      </c>
      <c r="L86" t="str">
        <f>_xlfn.XLOOKUP(C86, Table2[Species],Table2[Genus], "Code Not Found")</f>
        <v>Acer</v>
      </c>
      <c r="M86" t="str">
        <f>_xlfn.XLOOKUP(C86, Table2[Species],Table2[Sp. Name], "Code Not Found")</f>
        <v>saccharum</v>
      </c>
      <c r="N86" t="str">
        <f>_xlfn.XLOOKUP(C86,Table2[Species],Table2[Family],"Code Not Found")</f>
        <v>Sapindaceae</v>
      </c>
      <c r="O86" t="str" cm="1">
        <f t="array" ref="O86">_xlfn.IFS(F86="","",F86&lt;=5,"0 to 5",F86&lt;=10,"5.1 to 10",F86&lt;=20,"10 to 20", F86&lt;= 40, "20 to 40", F86 &lt;= 50, "40 to 50", F86 &gt; 50, "&gt;50" )</f>
        <v>20 to 40</v>
      </c>
    </row>
    <row r="87" spans="1:15" ht="14.4" x14ac:dyDescent="0.3">
      <c r="A87" t="s">
        <v>15</v>
      </c>
      <c r="B87" s="1">
        <v>46162</v>
      </c>
      <c r="C87" t="s">
        <v>16</v>
      </c>
      <c r="D87">
        <v>83</v>
      </c>
      <c r="E87">
        <v>1</v>
      </c>
      <c r="F87">
        <v>2.2999999999999998</v>
      </c>
      <c r="G87" t="s">
        <v>21</v>
      </c>
      <c r="I87" t="str">
        <f t="shared" si="2"/>
        <v>83_1</v>
      </c>
      <c r="J87" t="s">
        <v>18</v>
      </c>
      <c r="K87" t="s">
        <v>19</v>
      </c>
      <c r="L87" t="str">
        <f>_xlfn.XLOOKUP(C87, Table2[Species],Table2[Genus], "Code Not Found")</f>
        <v>Acer</v>
      </c>
      <c r="M87" t="str">
        <f>_xlfn.XLOOKUP(C87, Table2[Species],Table2[Sp. Name], "Code Not Found")</f>
        <v>saccharum</v>
      </c>
      <c r="N87" t="str">
        <f>_xlfn.XLOOKUP(C87,Table2[Species],Table2[Family],"Code Not Found")</f>
        <v>Sapindaceae</v>
      </c>
      <c r="O87" t="str" cm="1">
        <f t="array" ref="O87">_xlfn.IFS(F87="","",F87&lt;=5,"0 to 5",F87&lt;=10,"5.1 to 10",F87&lt;=20,"10 to 20", F87&lt;= 40, "20 to 40", F87 &lt;= 50, "40 to 50", F87 &gt; 50, "&gt;50" )</f>
        <v>0 to 5</v>
      </c>
    </row>
    <row r="88" spans="1:15" ht="14.4" x14ac:dyDescent="0.3">
      <c r="A88" t="s">
        <v>15</v>
      </c>
      <c r="B88" s="1">
        <v>46162</v>
      </c>
      <c r="C88" t="s">
        <v>22</v>
      </c>
      <c r="D88">
        <v>84</v>
      </c>
      <c r="E88">
        <v>1</v>
      </c>
      <c r="F88">
        <v>2.2000000000000002</v>
      </c>
      <c r="G88" t="s">
        <v>21</v>
      </c>
      <c r="I88" t="str">
        <f t="shared" si="2"/>
        <v>84_1</v>
      </c>
      <c r="J88" t="s">
        <v>18</v>
      </c>
      <c r="K88" t="s">
        <v>19</v>
      </c>
      <c r="L88" t="str">
        <f>_xlfn.XLOOKUP(C88, Table2[Species],Table2[Genus], "Code Not Found")</f>
        <v>Acer</v>
      </c>
      <c r="M88" t="str">
        <f>_xlfn.XLOOKUP(C88, Table2[Species],Table2[Sp. Name], "Code Not Found")</f>
        <v>rubrum</v>
      </c>
      <c r="N88" t="str">
        <f>_xlfn.XLOOKUP(C88,Table2[Species],Table2[Family],"Code Not Found")</f>
        <v>Sapindaceae</v>
      </c>
      <c r="O88" t="str" cm="1">
        <f t="array" ref="O88">_xlfn.IFS(F88="","",F88&lt;=5,"0 to 5",F88&lt;=10,"5.1 to 10",F88&lt;=20,"10 to 20", F88&lt;= 40, "20 to 40", F88 &lt;= 50, "40 to 50", F88 &gt; 50, "&gt;50" )</f>
        <v>0 to 5</v>
      </c>
    </row>
    <row r="89" spans="1:15" ht="14.4" x14ac:dyDescent="0.3">
      <c r="A89" t="s">
        <v>15</v>
      </c>
      <c r="B89" s="1">
        <v>46162</v>
      </c>
      <c r="C89" t="s">
        <v>16</v>
      </c>
      <c r="D89">
        <v>85</v>
      </c>
      <c r="E89">
        <v>1</v>
      </c>
      <c r="F89">
        <v>4.3</v>
      </c>
      <c r="G89" t="s">
        <v>21</v>
      </c>
      <c r="H89" t="s">
        <v>53</v>
      </c>
      <c r="I89" t="str">
        <f t="shared" si="2"/>
        <v>85_1</v>
      </c>
      <c r="J89" t="s">
        <v>18</v>
      </c>
      <c r="K89" t="s">
        <v>19</v>
      </c>
      <c r="L89" t="str">
        <f>_xlfn.XLOOKUP(C89, Table2[Species],Table2[Genus], "Code Not Found")</f>
        <v>Acer</v>
      </c>
      <c r="M89" t="str">
        <f>_xlfn.XLOOKUP(C89, Table2[Species],Table2[Sp. Name], "Code Not Found")</f>
        <v>saccharum</v>
      </c>
      <c r="N89" t="str">
        <f>_xlfn.XLOOKUP(C89,Table2[Species],Table2[Family],"Code Not Found")</f>
        <v>Sapindaceae</v>
      </c>
      <c r="O89" t="str" cm="1">
        <f t="array" ref="O89">_xlfn.IFS(F89="","",F89&lt;=5,"0 to 5",F89&lt;=10,"5.1 to 10",F89&lt;=20,"10 to 20", F89&lt;= 40, "20 to 40", F89 &lt;= 50, "40 to 50", F89 &gt; 50, "&gt;50" )</f>
        <v>0 to 5</v>
      </c>
    </row>
    <row r="90" spans="1:15" ht="14.4" x14ac:dyDescent="0.3">
      <c r="A90" t="s">
        <v>15</v>
      </c>
      <c r="B90" s="1">
        <v>46162</v>
      </c>
      <c r="C90" t="s">
        <v>16</v>
      </c>
      <c r="D90">
        <v>86</v>
      </c>
      <c r="E90">
        <v>1</v>
      </c>
      <c r="F90">
        <v>3.4</v>
      </c>
      <c r="G90" t="s">
        <v>17</v>
      </c>
      <c r="I90" t="str">
        <f t="shared" si="2"/>
        <v>86_1</v>
      </c>
      <c r="J90" t="s">
        <v>18</v>
      </c>
      <c r="K90" t="s">
        <v>19</v>
      </c>
      <c r="L90" t="str">
        <f>_xlfn.XLOOKUP(C90, Table2[Species],Table2[Genus], "Code Not Found")</f>
        <v>Acer</v>
      </c>
      <c r="M90" t="str">
        <f>_xlfn.XLOOKUP(C90, Table2[Species],Table2[Sp. Name], "Code Not Found")</f>
        <v>saccharum</v>
      </c>
      <c r="N90" t="str">
        <f>_xlfn.XLOOKUP(C90,Table2[Species],Table2[Family],"Code Not Found")</f>
        <v>Sapindaceae</v>
      </c>
      <c r="O90" t="str" cm="1">
        <f t="array" ref="O90">_xlfn.IFS(F90="","",F90&lt;=5,"0 to 5",F90&lt;=10,"5.1 to 10",F90&lt;=20,"10 to 20", F90&lt;= 40, "20 to 40", F90 &lt;= 50, "40 to 50", F90 &gt; 50, "&gt;50" )</f>
        <v>0 to 5</v>
      </c>
    </row>
    <row r="91" spans="1:15" ht="14.4" x14ac:dyDescent="0.3">
      <c r="A91" t="s">
        <v>15</v>
      </c>
      <c r="B91" s="1">
        <v>46162</v>
      </c>
      <c r="C91" t="s">
        <v>16</v>
      </c>
      <c r="D91">
        <v>87</v>
      </c>
      <c r="E91">
        <v>1</v>
      </c>
      <c r="F91">
        <v>1.8</v>
      </c>
      <c r="G91" t="s">
        <v>54</v>
      </c>
      <c r="I91" t="str">
        <f t="shared" si="2"/>
        <v>87_1</v>
      </c>
      <c r="J91" t="s">
        <v>18</v>
      </c>
      <c r="K91" t="s">
        <v>19</v>
      </c>
      <c r="L91" t="str">
        <f>_xlfn.XLOOKUP(C91, Table2[Species],Table2[Genus], "Code Not Found")</f>
        <v>Acer</v>
      </c>
      <c r="M91" t="str">
        <f>_xlfn.XLOOKUP(C91, Table2[Species],Table2[Sp. Name], "Code Not Found")</f>
        <v>saccharum</v>
      </c>
      <c r="N91" t="str">
        <f>_xlfn.XLOOKUP(C91,Table2[Species],Table2[Family],"Code Not Found")</f>
        <v>Sapindaceae</v>
      </c>
      <c r="O91" t="str" cm="1">
        <f t="array" ref="O91">_xlfn.IFS(F91="","",F91&lt;=5,"0 to 5",F91&lt;=10,"5.1 to 10",F91&lt;=20,"10 to 20", F91&lt;= 40, "20 to 40", F91 &lt;= 50, "40 to 50", F91 &gt; 50, "&gt;50" )</f>
        <v>0 to 5</v>
      </c>
    </row>
    <row r="92" spans="1:15" ht="14.4" x14ac:dyDescent="0.3">
      <c r="A92" t="s">
        <v>15</v>
      </c>
      <c r="B92" s="1">
        <v>46164</v>
      </c>
      <c r="C92" t="s">
        <v>24</v>
      </c>
      <c r="D92">
        <v>88</v>
      </c>
      <c r="E92">
        <v>1</v>
      </c>
      <c r="F92">
        <v>20.9</v>
      </c>
      <c r="G92" t="s">
        <v>21</v>
      </c>
      <c r="I92" t="str">
        <f t="shared" si="2"/>
        <v>88_1</v>
      </c>
      <c r="J92" t="s">
        <v>18</v>
      </c>
      <c r="K92" t="s">
        <v>19</v>
      </c>
      <c r="L92" t="str">
        <f>_xlfn.XLOOKUP(C92, Table2[Species],Table2[Genus], "Code Not Found")</f>
        <v>Lirodendron</v>
      </c>
      <c r="M92" t="str">
        <f>_xlfn.XLOOKUP(C92, Table2[Species],Table2[Sp. Name], "Code Not Found")</f>
        <v>tulipfera</v>
      </c>
      <c r="N92" t="str">
        <f>_xlfn.XLOOKUP(C92,Table2[Species],Table2[Family],"Code Not Found")</f>
        <v>Magnoliaceae</v>
      </c>
      <c r="O92" t="str" cm="1">
        <f t="array" ref="O92">_xlfn.IFS(F92="","",F92&lt;=5,"0 to 5",F92&lt;=10,"5.1 to 10",F92&lt;=20,"10 to 20", F92&lt;= 40, "20 to 40", F92 &lt;= 50, "40 to 50", F92 &gt; 50, "&gt;50" )</f>
        <v>20 to 40</v>
      </c>
    </row>
    <row r="93" spans="1:15" ht="14.4" x14ac:dyDescent="0.3">
      <c r="A93" t="s">
        <v>15</v>
      </c>
      <c r="B93" s="1">
        <v>46164</v>
      </c>
      <c r="C93" t="s">
        <v>24</v>
      </c>
      <c r="D93">
        <v>89</v>
      </c>
      <c r="E93">
        <v>1</v>
      </c>
      <c r="F93">
        <v>70.7</v>
      </c>
      <c r="G93" t="s">
        <v>21</v>
      </c>
      <c r="I93" t="str">
        <f t="shared" si="2"/>
        <v>89_1</v>
      </c>
      <c r="J93" t="s">
        <v>18</v>
      </c>
      <c r="K93" t="s">
        <v>19</v>
      </c>
      <c r="L93" t="str">
        <f>_xlfn.XLOOKUP(C93, Table2[Species],Table2[Genus], "Code Not Found")</f>
        <v>Lirodendron</v>
      </c>
      <c r="M93" t="str">
        <f>_xlfn.XLOOKUP(C93, Table2[Species],Table2[Sp. Name], "Code Not Found")</f>
        <v>tulipfera</v>
      </c>
      <c r="N93" t="str">
        <f>_xlfn.XLOOKUP(C93,Table2[Species],Table2[Family],"Code Not Found")</f>
        <v>Magnoliaceae</v>
      </c>
      <c r="O93" t="str" cm="1">
        <f t="array" ref="O93">_xlfn.IFS(F93="","",F93&lt;=5,"0 to 5",F93&lt;=10,"5.1 to 10",F93&lt;=20,"10 to 20", F93&lt;= 40, "20 to 40", F93 &lt;= 50, "40 to 50", F93 &gt; 50, "&gt;50" )</f>
        <v>&gt;50</v>
      </c>
    </row>
    <row r="94" spans="1:15" ht="14.4" x14ac:dyDescent="0.3">
      <c r="A94" t="s">
        <v>15</v>
      </c>
      <c r="B94" s="1">
        <v>46164</v>
      </c>
      <c r="C94" t="s">
        <v>55</v>
      </c>
      <c r="D94">
        <v>90</v>
      </c>
      <c r="E94">
        <v>1</v>
      </c>
      <c r="F94">
        <v>33</v>
      </c>
      <c r="G94" t="s">
        <v>21</v>
      </c>
      <c r="I94" t="str">
        <f t="shared" si="2"/>
        <v>90_1</v>
      </c>
      <c r="J94" t="s">
        <v>18</v>
      </c>
      <c r="K94" t="s">
        <v>19</v>
      </c>
      <c r="L94" t="str">
        <f>_xlfn.XLOOKUP(C94, Table2[Species],Table2[Genus], "Code Not Found")</f>
        <v>Magnolia</v>
      </c>
      <c r="M94" t="str">
        <f>_xlfn.XLOOKUP(C94, Table2[Species],Table2[Sp. Name], "Code Not Found")</f>
        <v>acuminata</v>
      </c>
      <c r="N94" t="str">
        <f>_xlfn.XLOOKUP(C94,Table2[Species],Table2[Family],"Code Not Found")</f>
        <v>Magnoliaceae</v>
      </c>
      <c r="O94" t="str" cm="1">
        <f t="array" ref="O94">_xlfn.IFS(F94="","",F94&lt;=5,"0 to 5",F94&lt;=10,"5.1 to 10",F94&lt;=20,"10 to 20", F94&lt;= 40, "20 to 40", F94 &lt;= 50, "40 to 50", F94 &gt; 50, "&gt;50" )</f>
        <v>20 to 40</v>
      </c>
    </row>
    <row r="95" spans="1:15" ht="14.4" x14ac:dyDescent="0.3">
      <c r="A95" t="s">
        <v>15</v>
      </c>
      <c r="B95" s="1">
        <v>46164</v>
      </c>
      <c r="C95" t="s">
        <v>16</v>
      </c>
      <c r="D95">
        <v>91</v>
      </c>
      <c r="E95">
        <v>1</v>
      </c>
      <c r="F95">
        <v>4.5</v>
      </c>
      <c r="G95" t="s">
        <v>47</v>
      </c>
      <c r="H95" t="s">
        <v>48</v>
      </c>
      <c r="I95" t="str">
        <f t="shared" si="2"/>
        <v>91_1</v>
      </c>
      <c r="J95" t="s">
        <v>18</v>
      </c>
      <c r="K95" t="s">
        <v>19</v>
      </c>
      <c r="L95" t="str">
        <f>_xlfn.XLOOKUP(C95, Table2[Species],Table2[Genus], "Code Not Found")</f>
        <v>Acer</v>
      </c>
      <c r="M95" t="str">
        <f>_xlfn.XLOOKUP(C95, Table2[Species],Table2[Sp. Name], "Code Not Found")</f>
        <v>saccharum</v>
      </c>
      <c r="N95" t="str">
        <f>_xlfn.XLOOKUP(C95,Table2[Species],Table2[Family],"Code Not Found")</f>
        <v>Sapindaceae</v>
      </c>
      <c r="O95" t="str" cm="1">
        <f t="array" ref="O95">_xlfn.IFS(F95="","",F95&lt;=5,"0 to 5",F95&lt;=10,"5.1 to 10",F95&lt;=20,"10 to 20", F95&lt;= 40, "20 to 40", F95 &lt;= 50, "40 to 50", F95 &gt; 50, "&gt;50" )</f>
        <v>0 to 5</v>
      </c>
    </row>
    <row r="96" spans="1:15" ht="14.4" x14ac:dyDescent="0.3">
      <c r="A96" t="s">
        <v>15</v>
      </c>
      <c r="B96" s="1">
        <v>46164</v>
      </c>
      <c r="C96" t="s">
        <v>16</v>
      </c>
      <c r="D96">
        <v>92</v>
      </c>
      <c r="E96">
        <v>1</v>
      </c>
      <c r="F96">
        <v>3.7</v>
      </c>
      <c r="G96" t="s">
        <v>21</v>
      </c>
      <c r="I96" t="str">
        <f t="shared" si="2"/>
        <v>92_1</v>
      </c>
      <c r="J96" t="s">
        <v>18</v>
      </c>
      <c r="K96" t="s">
        <v>19</v>
      </c>
      <c r="L96" t="str">
        <f>_xlfn.XLOOKUP(C96, Table2[Species],Table2[Genus], "Code Not Found")</f>
        <v>Acer</v>
      </c>
      <c r="M96" t="str">
        <f>_xlfn.XLOOKUP(C96, Table2[Species],Table2[Sp. Name], "Code Not Found")</f>
        <v>saccharum</v>
      </c>
      <c r="N96" t="str">
        <f>_xlfn.XLOOKUP(C96,Table2[Species],Table2[Family],"Code Not Found")</f>
        <v>Sapindaceae</v>
      </c>
      <c r="O96" t="str" cm="1">
        <f t="array" ref="O96">_xlfn.IFS(F96="","",F96&lt;=5,"0 to 5",F96&lt;=10,"5.1 to 10",F96&lt;=20,"10 to 20", F96&lt;= 40, "20 to 40", F96 &lt;= 50, "40 to 50", F96 &gt; 50, "&gt;50" )</f>
        <v>0 to 5</v>
      </c>
    </row>
    <row r="97" spans="1:15" ht="14.4" x14ac:dyDescent="0.3">
      <c r="A97" t="s">
        <v>15</v>
      </c>
      <c r="B97" s="1">
        <v>46164</v>
      </c>
      <c r="C97" t="s">
        <v>16</v>
      </c>
      <c r="D97">
        <v>93</v>
      </c>
      <c r="E97">
        <v>1</v>
      </c>
      <c r="F97">
        <v>2.2999999999999998</v>
      </c>
      <c r="G97" t="s">
        <v>21</v>
      </c>
      <c r="I97" t="str">
        <f t="shared" si="2"/>
        <v>93_1</v>
      </c>
      <c r="J97" t="s">
        <v>18</v>
      </c>
      <c r="K97" t="s">
        <v>19</v>
      </c>
      <c r="L97" t="str">
        <f>_xlfn.XLOOKUP(C97, Table2[Species],Table2[Genus], "Code Not Found")</f>
        <v>Acer</v>
      </c>
      <c r="M97" t="str">
        <f>_xlfn.XLOOKUP(C97, Table2[Species],Table2[Sp. Name], "Code Not Found")</f>
        <v>saccharum</v>
      </c>
      <c r="N97" t="str">
        <f>_xlfn.XLOOKUP(C97,Table2[Species],Table2[Family],"Code Not Found")</f>
        <v>Sapindaceae</v>
      </c>
      <c r="O97" t="str" cm="1">
        <f t="array" ref="O97">_xlfn.IFS(F97="","",F97&lt;=5,"0 to 5",F97&lt;=10,"5.1 to 10",F97&lt;=20,"10 to 20", F97&lt;= 40, "20 to 40", F97 &lt;= 50, "40 to 50", F97 &gt; 50, "&gt;50" )</f>
        <v>0 to 5</v>
      </c>
    </row>
    <row r="98" spans="1:15" ht="14.4" x14ac:dyDescent="0.3">
      <c r="A98" t="s">
        <v>15</v>
      </c>
      <c r="B98" s="1">
        <v>46164</v>
      </c>
      <c r="C98" t="s">
        <v>16</v>
      </c>
      <c r="D98">
        <v>94</v>
      </c>
      <c r="E98">
        <v>1</v>
      </c>
      <c r="F98">
        <v>3.3</v>
      </c>
      <c r="G98" t="s">
        <v>51</v>
      </c>
      <c r="I98" t="str">
        <f t="shared" si="2"/>
        <v>94_1</v>
      </c>
      <c r="J98" t="s">
        <v>18</v>
      </c>
      <c r="K98" t="s">
        <v>19</v>
      </c>
      <c r="L98" t="str">
        <f>_xlfn.XLOOKUP(C98, Table2[Species],Table2[Genus], "Code Not Found")</f>
        <v>Acer</v>
      </c>
      <c r="M98" t="str">
        <f>_xlfn.XLOOKUP(C98, Table2[Species],Table2[Sp. Name], "Code Not Found")</f>
        <v>saccharum</v>
      </c>
      <c r="N98" t="str">
        <f>_xlfn.XLOOKUP(C98,Table2[Species],Table2[Family],"Code Not Found")</f>
        <v>Sapindaceae</v>
      </c>
      <c r="O98" t="str" cm="1">
        <f t="array" ref="O98">_xlfn.IFS(F98="","",F98&lt;=5,"0 to 5",F98&lt;=10,"5.1 to 10",F98&lt;=20,"10 to 20", F98&lt;= 40, "20 to 40", F98 &lt;= 50, "40 to 50", F98 &gt; 50, "&gt;50" )</f>
        <v>0 to 5</v>
      </c>
    </row>
    <row r="99" spans="1:15" ht="14.4" x14ac:dyDescent="0.3">
      <c r="A99" t="s">
        <v>15</v>
      </c>
      <c r="B99" s="1">
        <v>46164</v>
      </c>
      <c r="C99" t="s">
        <v>16</v>
      </c>
      <c r="D99">
        <v>95</v>
      </c>
      <c r="E99">
        <v>1</v>
      </c>
      <c r="F99">
        <v>2.1</v>
      </c>
      <c r="G99" t="s">
        <v>17</v>
      </c>
      <c r="I99" t="str">
        <f t="shared" si="2"/>
        <v>95_1</v>
      </c>
      <c r="J99" t="s">
        <v>18</v>
      </c>
      <c r="K99" t="s">
        <v>19</v>
      </c>
      <c r="L99" t="str">
        <f>_xlfn.XLOOKUP(C99, Table2[Species],Table2[Genus], "Code Not Found")</f>
        <v>Acer</v>
      </c>
      <c r="M99" t="str">
        <f>_xlfn.XLOOKUP(C99, Table2[Species],Table2[Sp. Name], "Code Not Found")</f>
        <v>saccharum</v>
      </c>
      <c r="N99" t="str">
        <f>_xlfn.XLOOKUP(C99,Table2[Species],Table2[Family],"Code Not Found")</f>
        <v>Sapindaceae</v>
      </c>
      <c r="O99" t="str" cm="1">
        <f t="array" ref="O99">_xlfn.IFS(F99="","",F99&lt;=5,"0 to 5",F99&lt;=10,"5.1 to 10",F99&lt;=20,"10 to 20", F99&lt;= 40, "20 to 40", F99 &lt;= 50, "40 to 50", F99 &gt; 50, "&gt;50" )</f>
        <v>0 to 5</v>
      </c>
    </row>
    <row r="100" spans="1:15" ht="14.4" x14ac:dyDescent="0.3">
      <c r="A100" t="s">
        <v>15</v>
      </c>
      <c r="B100" s="1">
        <v>46164</v>
      </c>
      <c r="C100" t="s">
        <v>22</v>
      </c>
      <c r="D100">
        <v>96</v>
      </c>
      <c r="E100">
        <v>1</v>
      </c>
      <c r="F100">
        <v>24.2</v>
      </c>
      <c r="G100" t="s">
        <v>56</v>
      </c>
      <c r="I100" t="str">
        <f t="shared" si="2"/>
        <v>96_1</v>
      </c>
      <c r="J100" t="s">
        <v>18</v>
      </c>
      <c r="K100" t="s">
        <v>19</v>
      </c>
      <c r="L100" t="str">
        <f>_xlfn.XLOOKUP(C100, Table2[Species],Table2[Genus], "Code Not Found")</f>
        <v>Acer</v>
      </c>
      <c r="M100" t="str">
        <f>_xlfn.XLOOKUP(C100, Table2[Species],Table2[Sp. Name], "Code Not Found")</f>
        <v>rubrum</v>
      </c>
      <c r="N100" t="str">
        <f>_xlfn.XLOOKUP(C100,Table2[Species],Table2[Family],"Code Not Found")</f>
        <v>Sapindaceae</v>
      </c>
      <c r="O100" t="str" cm="1">
        <f t="array" ref="O100">_xlfn.IFS(F100="","",F100&lt;=5,"0 to 5",F100&lt;=10,"5.1 to 10",F100&lt;=20,"10 to 20", F100&lt;= 40, "20 to 40", F100 &lt;= 50, "40 to 50", F100 &gt; 50, "&gt;50" )</f>
        <v>20 to 40</v>
      </c>
    </row>
    <row r="101" spans="1:15" ht="14.4" x14ac:dyDescent="0.3">
      <c r="A101" t="s">
        <v>15</v>
      </c>
      <c r="B101" s="1">
        <v>46164</v>
      </c>
      <c r="C101" t="s">
        <v>16</v>
      </c>
      <c r="D101">
        <v>97</v>
      </c>
      <c r="E101">
        <v>1</v>
      </c>
      <c r="F101">
        <v>1.6</v>
      </c>
      <c r="G101" t="s">
        <v>57</v>
      </c>
      <c r="H101" t="s">
        <v>48</v>
      </c>
      <c r="I101" t="str">
        <f t="shared" si="2"/>
        <v>97_1</v>
      </c>
      <c r="J101" t="s">
        <v>18</v>
      </c>
      <c r="K101" t="s">
        <v>19</v>
      </c>
      <c r="L101" t="str">
        <f>_xlfn.XLOOKUP(C101, Table2[Species],Table2[Genus], "Code Not Found")</f>
        <v>Acer</v>
      </c>
      <c r="M101" t="str">
        <f>_xlfn.XLOOKUP(C101, Table2[Species],Table2[Sp. Name], "Code Not Found")</f>
        <v>saccharum</v>
      </c>
      <c r="N101" t="str">
        <f>_xlfn.XLOOKUP(C101,Table2[Species],Table2[Family],"Code Not Found")</f>
        <v>Sapindaceae</v>
      </c>
      <c r="O101" t="str" cm="1">
        <f t="array" ref="O101">_xlfn.IFS(F101="","",F101&lt;=5,"0 to 5",F101&lt;=10,"5.1 to 10",F101&lt;=20,"10 to 20", F101&lt;= 40, "20 to 40", F101 &lt;= 50, "40 to 50", F101 &gt; 50, "&gt;50" )</f>
        <v>0 to 5</v>
      </c>
    </row>
    <row r="102" spans="1:15" ht="14.4" x14ac:dyDescent="0.3">
      <c r="A102" t="s">
        <v>15</v>
      </c>
      <c r="B102" s="1">
        <v>46164</v>
      </c>
      <c r="C102" t="s">
        <v>16</v>
      </c>
      <c r="D102">
        <v>98</v>
      </c>
      <c r="E102">
        <v>1</v>
      </c>
      <c r="F102">
        <v>1.8</v>
      </c>
      <c r="G102" t="s">
        <v>17</v>
      </c>
      <c r="H102" t="s">
        <v>58</v>
      </c>
      <c r="I102" t="str">
        <f t="shared" si="2"/>
        <v>98_1</v>
      </c>
      <c r="J102" t="s">
        <v>18</v>
      </c>
      <c r="K102" t="s">
        <v>19</v>
      </c>
      <c r="L102" t="str">
        <f>_xlfn.XLOOKUP(C102, Table2[Species],Table2[Genus], "Code Not Found")</f>
        <v>Acer</v>
      </c>
      <c r="M102" t="str">
        <f>_xlfn.XLOOKUP(C102, Table2[Species],Table2[Sp. Name], "Code Not Found")</f>
        <v>saccharum</v>
      </c>
      <c r="N102" t="str">
        <f>_xlfn.XLOOKUP(C102,Table2[Species],Table2[Family],"Code Not Found")</f>
        <v>Sapindaceae</v>
      </c>
      <c r="O102" t="str" cm="1">
        <f t="array" ref="O102">_xlfn.IFS(F102="","",F102&lt;=5,"0 to 5",F102&lt;=10,"5.1 to 10",F102&lt;=20,"10 to 20", F102&lt;= 40, "20 to 40", F102 &lt;= 50, "40 to 50", F102 &gt; 50, "&gt;50" )</f>
        <v>0 to 5</v>
      </c>
    </row>
    <row r="103" spans="1:15" ht="14.4" x14ac:dyDescent="0.3">
      <c r="A103" t="s">
        <v>15</v>
      </c>
      <c r="B103" s="1">
        <v>46164</v>
      </c>
      <c r="C103" t="s">
        <v>16</v>
      </c>
      <c r="D103">
        <v>99</v>
      </c>
      <c r="E103">
        <v>1</v>
      </c>
      <c r="F103">
        <v>11.3</v>
      </c>
      <c r="G103" t="s">
        <v>21</v>
      </c>
      <c r="I103" t="str">
        <f t="shared" si="2"/>
        <v>99_1</v>
      </c>
      <c r="J103" t="s">
        <v>18</v>
      </c>
      <c r="K103" t="s">
        <v>19</v>
      </c>
      <c r="L103" t="str">
        <f>_xlfn.XLOOKUP(C103, Table2[Species],Table2[Genus], "Code Not Found")</f>
        <v>Acer</v>
      </c>
      <c r="M103" t="str">
        <f>_xlfn.XLOOKUP(C103, Table2[Species],Table2[Sp. Name], "Code Not Found")</f>
        <v>saccharum</v>
      </c>
      <c r="N103" t="str">
        <f>_xlfn.XLOOKUP(C103,Table2[Species],Table2[Family],"Code Not Found")</f>
        <v>Sapindaceae</v>
      </c>
      <c r="O103" t="str" cm="1">
        <f t="array" ref="O103">_xlfn.IFS(F103="","",F103&lt;=5,"0 to 5",F103&lt;=10,"5.1 to 10",F103&lt;=20,"10 to 20", F103&lt;= 40, "20 to 40", F103 &lt;= 50, "40 to 50", F103 &gt; 50, "&gt;50" )</f>
        <v>10 to 20</v>
      </c>
    </row>
    <row r="104" spans="1:15" ht="14.4" x14ac:dyDescent="0.3">
      <c r="A104" t="s">
        <v>15</v>
      </c>
      <c r="B104" s="1">
        <v>46164</v>
      </c>
      <c r="C104" t="s">
        <v>59</v>
      </c>
      <c r="D104">
        <v>100</v>
      </c>
      <c r="E104">
        <v>1</v>
      </c>
      <c r="F104">
        <v>26.6</v>
      </c>
      <c r="G104" t="s">
        <v>21</v>
      </c>
      <c r="I104" t="str">
        <f t="shared" si="2"/>
        <v>100_1</v>
      </c>
      <c r="J104" t="s">
        <v>18</v>
      </c>
      <c r="K104" t="s">
        <v>19</v>
      </c>
      <c r="L104" t="str">
        <f>_xlfn.XLOOKUP(C104, Table2[Species],Table2[Genus], "Code Not Found")</f>
        <v>Nyssa</v>
      </c>
      <c r="M104" t="str">
        <f>_xlfn.XLOOKUP(C104, Table2[Species],Table2[Sp. Name], "Code Not Found")</f>
        <v>sylvatica</v>
      </c>
      <c r="N104" t="str">
        <f>_xlfn.XLOOKUP(C104,Table2[Species],Table2[Family],"Code Not Found")</f>
        <v>Nyssaceae</v>
      </c>
      <c r="O104" t="str" cm="1">
        <f t="array" ref="O104">_xlfn.IFS(F104="","",F104&lt;=5,"0 to 5",F104&lt;=10,"5.1 to 10",F104&lt;=20,"10 to 20", F104&lt;= 40, "20 to 40", F104 &lt;= 50, "40 to 50", F104 &gt; 50, "&gt;50" )</f>
        <v>20 to 40</v>
      </c>
    </row>
    <row r="105" spans="1:15" ht="14.4" x14ac:dyDescent="0.3">
      <c r="A105" t="s">
        <v>15</v>
      </c>
      <c r="B105" s="1">
        <v>46164</v>
      </c>
      <c r="C105" t="s">
        <v>16</v>
      </c>
      <c r="D105">
        <v>101</v>
      </c>
      <c r="E105">
        <v>1</v>
      </c>
      <c r="F105">
        <v>32.200000000000003</v>
      </c>
      <c r="G105" t="s">
        <v>17</v>
      </c>
      <c r="I105" t="str">
        <f t="shared" si="2"/>
        <v>101_1</v>
      </c>
      <c r="J105" t="s">
        <v>18</v>
      </c>
      <c r="K105" t="s">
        <v>19</v>
      </c>
      <c r="L105" t="str">
        <f>_xlfn.XLOOKUP(C105, Table2[Species],Table2[Genus], "Code Not Found")</f>
        <v>Acer</v>
      </c>
      <c r="M105" t="str">
        <f>_xlfn.XLOOKUP(C105, Table2[Species],Table2[Sp. Name], "Code Not Found")</f>
        <v>saccharum</v>
      </c>
      <c r="N105" t="str">
        <f>_xlfn.XLOOKUP(C105,Table2[Species],Table2[Family],"Code Not Found")</f>
        <v>Sapindaceae</v>
      </c>
      <c r="O105" t="str" cm="1">
        <f t="array" ref="O105">_xlfn.IFS(F105="","",F105&lt;=5,"0 to 5",F105&lt;=10,"5.1 to 10",F105&lt;=20,"10 to 20", F105&lt;= 40, "20 to 40", F105 &lt;= 50, "40 to 50", F105 &gt; 50, "&gt;50" )</f>
        <v>20 to 40</v>
      </c>
    </row>
    <row r="106" spans="1:15" ht="14.4" x14ac:dyDescent="0.3">
      <c r="A106" t="s">
        <v>15</v>
      </c>
      <c r="B106" s="1">
        <v>46164</v>
      </c>
      <c r="C106" t="s">
        <v>16</v>
      </c>
      <c r="D106">
        <v>102</v>
      </c>
      <c r="E106">
        <v>1</v>
      </c>
      <c r="F106">
        <v>1.4</v>
      </c>
      <c r="G106" t="s">
        <v>17</v>
      </c>
      <c r="H106" t="s">
        <v>36</v>
      </c>
      <c r="I106" t="str">
        <f t="shared" si="2"/>
        <v>102_1</v>
      </c>
      <c r="J106" t="s">
        <v>18</v>
      </c>
      <c r="K106" t="s">
        <v>19</v>
      </c>
      <c r="L106" t="str">
        <f>_xlfn.XLOOKUP(C106, Table2[Species],Table2[Genus], "Code Not Found")</f>
        <v>Acer</v>
      </c>
      <c r="M106" t="str">
        <f>_xlfn.XLOOKUP(C106, Table2[Species],Table2[Sp. Name], "Code Not Found")</f>
        <v>saccharum</v>
      </c>
      <c r="N106" t="str">
        <f>_xlfn.XLOOKUP(C106,Table2[Species],Table2[Family],"Code Not Found")</f>
        <v>Sapindaceae</v>
      </c>
      <c r="O106" t="str" cm="1">
        <f t="array" ref="O106">_xlfn.IFS(F106="","",F106&lt;=5,"0 to 5",F106&lt;=10,"5.1 to 10",F106&lt;=20,"10 to 20", F106&lt;= 40, "20 to 40", F106 &lt;= 50, "40 to 50", F106 &gt; 50, "&gt;50" )</f>
        <v>0 to 5</v>
      </c>
    </row>
    <row r="107" spans="1:15" ht="14.4" x14ac:dyDescent="0.3">
      <c r="A107" t="s">
        <v>15</v>
      </c>
      <c r="B107" s="1">
        <v>46164</v>
      </c>
      <c r="C107" t="s">
        <v>16</v>
      </c>
      <c r="D107">
        <v>103</v>
      </c>
      <c r="E107">
        <v>1</v>
      </c>
      <c r="F107">
        <v>1.8</v>
      </c>
      <c r="G107" t="s">
        <v>21</v>
      </c>
      <c r="I107" t="str">
        <f t="shared" si="2"/>
        <v>103_1</v>
      </c>
      <c r="J107" t="s">
        <v>18</v>
      </c>
      <c r="K107" t="s">
        <v>19</v>
      </c>
      <c r="L107" t="str">
        <f>_xlfn.XLOOKUP(C107, Table2[Species],Table2[Genus], "Code Not Found")</f>
        <v>Acer</v>
      </c>
      <c r="M107" t="str">
        <f>_xlfn.XLOOKUP(C107, Table2[Species],Table2[Sp. Name], "Code Not Found")</f>
        <v>saccharum</v>
      </c>
      <c r="N107" t="str">
        <f>_xlfn.XLOOKUP(C107,Table2[Species],Table2[Family],"Code Not Found")</f>
        <v>Sapindaceae</v>
      </c>
      <c r="O107" t="str" cm="1">
        <f t="array" ref="O107">_xlfn.IFS(F107="","",F107&lt;=5,"0 to 5",F107&lt;=10,"5.1 to 10",F107&lt;=20,"10 to 20", F107&lt;= 40, "20 to 40", F107 &lt;= 50, "40 to 50", F107 &gt; 50, "&gt;50" )</f>
        <v>0 to 5</v>
      </c>
    </row>
    <row r="108" spans="1:15" ht="14.4" x14ac:dyDescent="0.3">
      <c r="A108" t="s">
        <v>15</v>
      </c>
      <c r="B108" s="1">
        <v>46164</v>
      </c>
      <c r="C108" t="s">
        <v>16</v>
      </c>
      <c r="D108">
        <v>104</v>
      </c>
      <c r="E108">
        <v>1</v>
      </c>
      <c r="F108">
        <v>3</v>
      </c>
      <c r="G108" t="s">
        <v>17</v>
      </c>
      <c r="I108" t="str">
        <f t="shared" si="2"/>
        <v>104_1</v>
      </c>
      <c r="J108" t="s">
        <v>18</v>
      </c>
      <c r="K108" t="s">
        <v>19</v>
      </c>
      <c r="L108" t="str">
        <f>_xlfn.XLOOKUP(C108, Table2[Species],Table2[Genus], "Code Not Found")</f>
        <v>Acer</v>
      </c>
      <c r="M108" t="str">
        <f>_xlfn.XLOOKUP(C108, Table2[Species],Table2[Sp. Name], "Code Not Found")</f>
        <v>saccharum</v>
      </c>
      <c r="N108" t="str">
        <f>_xlfn.XLOOKUP(C108,Table2[Species],Table2[Family],"Code Not Found")</f>
        <v>Sapindaceae</v>
      </c>
      <c r="O108" t="str" cm="1">
        <f t="array" ref="O108">_xlfn.IFS(F108="","",F108&lt;=5,"0 to 5",F108&lt;=10,"5.1 to 10",F108&lt;=20,"10 to 20", F108&lt;= 40, "20 to 40", F108 &lt;= 50, "40 to 50", F108 &gt; 50, "&gt;50" )</f>
        <v>0 to 5</v>
      </c>
    </row>
    <row r="109" spans="1:15" ht="14.4" x14ac:dyDescent="0.3">
      <c r="A109" t="s">
        <v>15</v>
      </c>
      <c r="B109" s="1">
        <v>46164</v>
      </c>
      <c r="C109" t="s">
        <v>16</v>
      </c>
      <c r="D109">
        <v>105</v>
      </c>
      <c r="E109">
        <v>1</v>
      </c>
      <c r="F109">
        <v>1.5</v>
      </c>
      <c r="G109" t="s">
        <v>17</v>
      </c>
      <c r="I109" t="str">
        <f t="shared" si="2"/>
        <v>105_1</v>
      </c>
      <c r="J109" t="s">
        <v>18</v>
      </c>
      <c r="K109" t="s">
        <v>19</v>
      </c>
      <c r="L109" t="str">
        <f>_xlfn.XLOOKUP(C109, Table2[Species],Table2[Genus], "Code Not Found")</f>
        <v>Acer</v>
      </c>
      <c r="M109" t="str">
        <f>_xlfn.XLOOKUP(C109, Table2[Species],Table2[Sp. Name], "Code Not Found")</f>
        <v>saccharum</v>
      </c>
      <c r="N109" t="str">
        <f>_xlfn.XLOOKUP(C109,Table2[Species],Table2[Family],"Code Not Found")</f>
        <v>Sapindaceae</v>
      </c>
      <c r="O109" t="str" cm="1">
        <f t="array" ref="O109">_xlfn.IFS(F109="","",F109&lt;=5,"0 to 5",F109&lt;=10,"5.1 to 10",F109&lt;=20,"10 to 20", F109&lt;= 40, "20 to 40", F109 &lt;= 50, "40 to 50", F109 &gt; 50, "&gt;50" )</f>
        <v>0 to 5</v>
      </c>
    </row>
    <row r="110" spans="1:15" ht="14.4" x14ac:dyDescent="0.3">
      <c r="A110" t="s">
        <v>15</v>
      </c>
      <c r="B110" s="1">
        <v>46164</v>
      </c>
      <c r="C110" t="s">
        <v>16</v>
      </c>
      <c r="D110">
        <v>106</v>
      </c>
      <c r="E110">
        <v>1</v>
      </c>
      <c r="F110">
        <v>10.199999999999999</v>
      </c>
      <c r="G110" t="s">
        <v>56</v>
      </c>
      <c r="H110" t="s">
        <v>60</v>
      </c>
      <c r="I110" t="str">
        <f t="shared" si="2"/>
        <v>106_1</v>
      </c>
      <c r="J110" t="s">
        <v>18</v>
      </c>
      <c r="K110" t="s">
        <v>19</v>
      </c>
      <c r="L110" t="str">
        <f>_xlfn.XLOOKUP(C110, Table2[Species],Table2[Genus], "Code Not Found")</f>
        <v>Acer</v>
      </c>
      <c r="M110" t="str">
        <f>_xlfn.XLOOKUP(C110, Table2[Species],Table2[Sp. Name], "Code Not Found")</f>
        <v>saccharum</v>
      </c>
      <c r="N110" t="str">
        <f>_xlfn.XLOOKUP(C110,Table2[Species],Table2[Family],"Code Not Found")</f>
        <v>Sapindaceae</v>
      </c>
      <c r="O110" t="str" cm="1">
        <f t="array" ref="O110">_xlfn.IFS(F110="","",F110&lt;=5,"0 to 5",F110&lt;=10,"5.1 to 10",F110&lt;=20,"10 to 20", F110&lt;= 40, "20 to 40", F110 &lt;= 50, "40 to 50", F110 &gt; 50, "&gt;50" )</f>
        <v>10 to 20</v>
      </c>
    </row>
    <row r="111" spans="1:15" ht="14.4" x14ac:dyDescent="0.3">
      <c r="A111" t="s">
        <v>15</v>
      </c>
      <c r="B111" s="1">
        <v>46164</v>
      </c>
      <c r="C111" t="s">
        <v>24</v>
      </c>
      <c r="D111">
        <v>107</v>
      </c>
      <c r="E111">
        <v>1</v>
      </c>
      <c r="F111">
        <v>68.7</v>
      </c>
      <c r="G111" t="s">
        <v>21</v>
      </c>
      <c r="I111" t="str">
        <f t="shared" si="2"/>
        <v>107_1</v>
      </c>
      <c r="J111" t="s">
        <v>18</v>
      </c>
      <c r="K111" t="s">
        <v>19</v>
      </c>
      <c r="L111" t="str">
        <f>_xlfn.XLOOKUP(C111, Table2[Species],Table2[Genus], "Code Not Found")</f>
        <v>Lirodendron</v>
      </c>
      <c r="M111" t="str">
        <f>_xlfn.XLOOKUP(C111, Table2[Species],Table2[Sp. Name], "Code Not Found")</f>
        <v>tulipfera</v>
      </c>
      <c r="N111" t="str">
        <f>_xlfn.XLOOKUP(C111,Table2[Species],Table2[Family],"Code Not Found")</f>
        <v>Magnoliaceae</v>
      </c>
      <c r="O111" t="str" cm="1">
        <f t="array" ref="O111">_xlfn.IFS(F111="","",F111&lt;=5,"0 to 5",F111&lt;=10,"5.1 to 10",F111&lt;=20,"10 to 20", F111&lt;= 40, "20 to 40", F111 &lt;= 50, "40 to 50", F111 &gt; 50, "&gt;50" )</f>
        <v>&gt;50</v>
      </c>
    </row>
    <row r="112" spans="1:15" ht="14.4" x14ac:dyDescent="0.3">
      <c r="A112" t="s">
        <v>15</v>
      </c>
      <c r="B112" s="1">
        <v>46164</v>
      </c>
      <c r="C112" t="s">
        <v>24</v>
      </c>
      <c r="D112">
        <v>108</v>
      </c>
      <c r="E112">
        <v>1</v>
      </c>
      <c r="F112">
        <v>48.3</v>
      </c>
      <c r="G112" t="s">
        <v>21</v>
      </c>
      <c r="I112" t="str">
        <f t="shared" si="2"/>
        <v>108_1</v>
      </c>
      <c r="J112" t="s">
        <v>18</v>
      </c>
      <c r="K112" t="s">
        <v>19</v>
      </c>
      <c r="L112" t="str">
        <f>_xlfn.XLOOKUP(C112, Table2[Species],Table2[Genus], "Code Not Found")</f>
        <v>Lirodendron</v>
      </c>
      <c r="M112" t="str">
        <f>_xlfn.XLOOKUP(C112, Table2[Species],Table2[Sp. Name], "Code Not Found")</f>
        <v>tulipfera</v>
      </c>
      <c r="N112" t="str">
        <f>_xlfn.XLOOKUP(C112,Table2[Species],Table2[Family],"Code Not Found")</f>
        <v>Magnoliaceae</v>
      </c>
      <c r="O112" t="str" cm="1">
        <f t="array" ref="O112">_xlfn.IFS(F112="","",F112&lt;=5,"0 to 5",F112&lt;=10,"5.1 to 10",F112&lt;=20,"10 to 20", F112&lt;= 40, "20 to 40", F112 &lt;= 50, "40 to 50", F112 &gt; 50, "&gt;50" )</f>
        <v>40 to 50</v>
      </c>
    </row>
    <row r="113" spans="1:15" ht="14.4" x14ac:dyDescent="0.3">
      <c r="A113" t="s">
        <v>15</v>
      </c>
      <c r="B113" s="1">
        <v>46164</v>
      </c>
      <c r="C113" t="s">
        <v>16</v>
      </c>
      <c r="D113">
        <v>109</v>
      </c>
      <c r="E113">
        <v>1</v>
      </c>
      <c r="F113">
        <v>20</v>
      </c>
      <c r="G113" t="s">
        <v>56</v>
      </c>
      <c r="H113" t="s">
        <v>60</v>
      </c>
      <c r="I113" t="str">
        <f t="shared" si="2"/>
        <v>109_1</v>
      </c>
      <c r="J113" t="s">
        <v>18</v>
      </c>
      <c r="K113" t="s">
        <v>19</v>
      </c>
      <c r="L113" t="str">
        <f>_xlfn.XLOOKUP(C113, Table2[Species],Table2[Genus], "Code Not Found")</f>
        <v>Acer</v>
      </c>
      <c r="M113" t="str">
        <f>_xlfn.XLOOKUP(C113, Table2[Species],Table2[Sp. Name], "Code Not Found")</f>
        <v>saccharum</v>
      </c>
      <c r="N113" t="str">
        <f>_xlfn.XLOOKUP(C113,Table2[Species],Table2[Family],"Code Not Found")</f>
        <v>Sapindaceae</v>
      </c>
      <c r="O113" t="str" cm="1">
        <f t="array" ref="O113">_xlfn.IFS(F113="","",F113&lt;=5,"0 to 5",F113&lt;=10,"5.1 to 10",F113&lt;=20,"10 to 20", F113&lt;= 40, "20 to 40", F113 &lt;= 50, "40 to 50", F113 &gt; 50, "&gt;50" )</f>
        <v>10 to 20</v>
      </c>
    </row>
    <row r="114" spans="1:15" ht="14.4" x14ac:dyDescent="0.3">
      <c r="A114" t="s">
        <v>15</v>
      </c>
      <c r="B114" s="1">
        <v>46164</v>
      </c>
      <c r="C114" t="s">
        <v>16</v>
      </c>
      <c r="D114">
        <v>110</v>
      </c>
      <c r="E114">
        <v>1</v>
      </c>
      <c r="F114">
        <v>1.8</v>
      </c>
      <c r="G114" t="s">
        <v>61</v>
      </c>
      <c r="H114" t="s">
        <v>62</v>
      </c>
      <c r="I114" t="str">
        <f t="shared" si="2"/>
        <v>110_1</v>
      </c>
      <c r="J114" t="s">
        <v>18</v>
      </c>
      <c r="K114" t="s">
        <v>19</v>
      </c>
      <c r="L114" t="str">
        <f>_xlfn.XLOOKUP(C114, Table2[Species],Table2[Genus], "Code Not Found")</f>
        <v>Acer</v>
      </c>
      <c r="M114" t="str">
        <f>_xlfn.XLOOKUP(C114, Table2[Species],Table2[Sp. Name], "Code Not Found")</f>
        <v>saccharum</v>
      </c>
      <c r="N114" t="str">
        <f>_xlfn.XLOOKUP(C114,Table2[Species],Table2[Family],"Code Not Found")</f>
        <v>Sapindaceae</v>
      </c>
      <c r="O114" t="str" cm="1">
        <f t="array" ref="O114">_xlfn.IFS(F114="","",F114&lt;=5,"0 to 5",F114&lt;=10,"5.1 to 10",F114&lt;=20,"10 to 20", F114&lt;= 40, "20 to 40", F114 &lt;= 50, "40 to 50", F114 &gt; 50, "&gt;50" )</f>
        <v>0 to 5</v>
      </c>
    </row>
    <row r="115" spans="1:15" ht="14.4" x14ac:dyDescent="0.3">
      <c r="A115" t="s">
        <v>15</v>
      </c>
      <c r="B115" s="1">
        <v>46164</v>
      </c>
      <c r="C115" t="s">
        <v>16</v>
      </c>
      <c r="D115">
        <v>111</v>
      </c>
      <c r="E115">
        <v>1</v>
      </c>
      <c r="F115">
        <v>1.3</v>
      </c>
      <c r="G115" t="s">
        <v>17</v>
      </c>
      <c r="I115" t="str">
        <f t="shared" si="2"/>
        <v>111_1</v>
      </c>
      <c r="J115" t="s">
        <v>18</v>
      </c>
      <c r="K115" t="s">
        <v>19</v>
      </c>
      <c r="L115" t="str">
        <f>_xlfn.XLOOKUP(C115, Table2[Species],Table2[Genus], "Code Not Found")</f>
        <v>Acer</v>
      </c>
      <c r="M115" t="str">
        <f>_xlfn.XLOOKUP(C115, Table2[Species],Table2[Sp. Name], "Code Not Found")</f>
        <v>saccharum</v>
      </c>
      <c r="N115" t="str">
        <f>_xlfn.XLOOKUP(C115,Table2[Species],Table2[Family],"Code Not Found")</f>
        <v>Sapindaceae</v>
      </c>
      <c r="O115" t="str" cm="1">
        <f t="array" ref="O115">_xlfn.IFS(F115="","",F115&lt;=5,"0 to 5",F115&lt;=10,"5.1 to 10",F115&lt;=20,"10 to 20", F115&lt;= 40, "20 to 40", F115 &lt;= 50, "40 to 50", F115 &gt; 50, "&gt;50" )</f>
        <v>0 to 5</v>
      </c>
    </row>
    <row r="116" spans="1:15" ht="14.4" x14ac:dyDescent="0.3">
      <c r="A116" t="s">
        <v>15</v>
      </c>
      <c r="B116" s="1">
        <v>46164</v>
      </c>
      <c r="C116" t="s">
        <v>16</v>
      </c>
      <c r="D116">
        <v>112</v>
      </c>
      <c r="E116">
        <v>1</v>
      </c>
      <c r="F116">
        <v>1.9</v>
      </c>
      <c r="G116" t="s">
        <v>34</v>
      </c>
      <c r="I116" t="str">
        <f t="shared" si="2"/>
        <v>112_1</v>
      </c>
      <c r="J116" t="s">
        <v>18</v>
      </c>
      <c r="K116" t="s">
        <v>19</v>
      </c>
      <c r="L116" t="str">
        <f>_xlfn.XLOOKUP(C116, Table2[Species],Table2[Genus], "Code Not Found")</f>
        <v>Acer</v>
      </c>
      <c r="M116" t="str">
        <f>_xlfn.XLOOKUP(C116, Table2[Species],Table2[Sp. Name], "Code Not Found")</f>
        <v>saccharum</v>
      </c>
      <c r="N116" t="str">
        <f>_xlfn.XLOOKUP(C116,Table2[Species],Table2[Family],"Code Not Found")</f>
        <v>Sapindaceae</v>
      </c>
      <c r="O116" t="str" cm="1">
        <f t="array" ref="O116">_xlfn.IFS(F116="","",F116&lt;=5,"0 to 5",F116&lt;=10,"5.1 to 10",F116&lt;=20,"10 to 20", F116&lt;= 40, "20 to 40", F116 &lt;= 50, "40 to 50", F116 &gt; 50, "&gt;50" )</f>
        <v>0 to 5</v>
      </c>
    </row>
    <row r="117" spans="1:15" ht="14.4" x14ac:dyDescent="0.3">
      <c r="A117" t="s">
        <v>15</v>
      </c>
      <c r="B117" s="1">
        <v>46164</v>
      </c>
      <c r="C117" t="s">
        <v>16</v>
      </c>
      <c r="D117">
        <v>112</v>
      </c>
      <c r="E117">
        <v>2</v>
      </c>
      <c r="F117">
        <v>1.4</v>
      </c>
      <c r="G117" t="s">
        <v>34</v>
      </c>
      <c r="H117" t="s">
        <v>63</v>
      </c>
      <c r="I117" t="str">
        <f t="shared" si="2"/>
        <v>112_2</v>
      </c>
      <c r="J117" t="s">
        <v>18</v>
      </c>
      <c r="K117" t="s">
        <v>19</v>
      </c>
      <c r="L117" t="str">
        <f>_xlfn.XLOOKUP(C117, Table2[Species],Table2[Genus], "Code Not Found")</f>
        <v>Acer</v>
      </c>
      <c r="M117" t="str">
        <f>_xlfn.XLOOKUP(C117, Table2[Species],Table2[Sp. Name], "Code Not Found")</f>
        <v>saccharum</v>
      </c>
      <c r="N117" t="str">
        <f>_xlfn.XLOOKUP(C117,Table2[Species],Table2[Family],"Code Not Found")</f>
        <v>Sapindaceae</v>
      </c>
      <c r="O117" t="str" cm="1">
        <f t="array" ref="O117">_xlfn.IFS(F117="","",F117&lt;=5,"0 to 5",F117&lt;=10,"5.1 to 10",F117&lt;=20,"10 to 20", F117&lt;= 40, "20 to 40", F117 &lt;= 50, "40 to 50", F117 &gt; 50, "&gt;50" )</f>
        <v>0 to 5</v>
      </c>
    </row>
    <row r="118" spans="1:15" ht="14.4" x14ac:dyDescent="0.3">
      <c r="A118" t="s">
        <v>15</v>
      </c>
      <c r="B118" s="1">
        <v>46164</v>
      </c>
      <c r="C118" t="s">
        <v>16</v>
      </c>
      <c r="D118">
        <v>113</v>
      </c>
      <c r="E118">
        <v>1</v>
      </c>
      <c r="F118">
        <v>1.2</v>
      </c>
      <c r="G118" t="s">
        <v>57</v>
      </c>
      <c r="H118" t="s">
        <v>48</v>
      </c>
      <c r="I118" t="str">
        <f t="shared" si="2"/>
        <v>113_1</v>
      </c>
      <c r="J118" t="s">
        <v>18</v>
      </c>
      <c r="K118" t="s">
        <v>19</v>
      </c>
      <c r="L118" t="str">
        <f>_xlfn.XLOOKUP(C118, Table2[Species],Table2[Genus], "Code Not Found")</f>
        <v>Acer</v>
      </c>
      <c r="M118" t="str">
        <f>_xlfn.XLOOKUP(C118, Table2[Species],Table2[Sp. Name], "Code Not Found")</f>
        <v>saccharum</v>
      </c>
      <c r="N118" t="str">
        <f>_xlfn.XLOOKUP(C118,Table2[Species],Table2[Family],"Code Not Found")</f>
        <v>Sapindaceae</v>
      </c>
      <c r="O118" t="str" cm="1">
        <f t="array" ref="O118">_xlfn.IFS(F118="","",F118&lt;=5,"0 to 5",F118&lt;=10,"5.1 to 10",F118&lt;=20,"10 to 20", F118&lt;= 40, "20 to 40", F118 &lt;= 50, "40 to 50", F118 &gt; 50, "&gt;50" )</f>
        <v>0 to 5</v>
      </c>
    </row>
    <row r="119" spans="1:15" ht="14.4" x14ac:dyDescent="0.3">
      <c r="A119" t="s">
        <v>15</v>
      </c>
      <c r="B119" s="1">
        <v>46164</v>
      </c>
      <c r="C119" t="s">
        <v>22</v>
      </c>
      <c r="D119">
        <v>114</v>
      </c>
      <c r="E119">
        <v>1</v>
      </c>
      <c r="F119">
        <v>43.4</v>
      </c>
      <c r="G119" t="s">
        <v>21</v>
      </c>
      <c r="I119" t="str">
        <f t="shared" si="2"/>
        <v>114_1</v>
      </c>
      <c r="J119" t="s">
        <v>18</v>
      </c>
      <c r="K119" t="s">
        <v>19</v>
      </c>
      <c r="L119" t="str">
        <f>_xlfn.XLOOKUP(C119, Table2[Species],Table2[Genus], "Code Not Found")</f>
        <v>Acer</v>
      </c>
      <c r="M119" t="str">
        <f>_xlfn.XLOOKUP(C119, Table2[Species],Table2[Sp. Name], "Code Not Found")</f>
        <v>rubrum</v>
      </c>
      <c r="N119" t="str">
        <f>_xlfn.XLOOKUP(C119,Table2[Species],Table2[Family],"Code Not Found")</f>
        <v>Sapindaceae</v>
      </c>
      <c r="O119" t="str" cm="1">
        <f t="array" ref="O119">_xlfn.IFS(F119="","",F119&lt;=5,"0 to 5",F119&lt;=10,"5.1 to 10",F119&lt;=20,"10 to 20", F119&lt;= 40, "20 to 40", F119 &lt;= 50, "40 to 50", F119 &gt; 50, "&gt;50" )</f>
        <v>40 to 50</v>
      </c>
    </row>
    <row r="120" spans="1:15" ht="14.4" x14ac:dyDescent="0.3">
      <c r="A120" t="s">
        <v>15</v>
      </c>
      <c r="B120" s="1">
        <v>46164</v>
      </c>
      <c r="C120" t="s">
        <v>16</v>
      </c>
      <c r="D120">
        <v>115</v>
      </c>
      <c r="E120">
        <v>1</v>
      </c>
      <c r="F120">
        <v>19.100000000000001</v>
      </c>
      <c r="G120" t="s">
        <v>51</v>
      </c>
      <c r="I120" t="str">
        <f t="shared" si="2"/>
        <v>115_1</v>
      </c>
      <c r="J120" t="s">
        <v>18</v>
      </c>
      <c r="K120" t="s">
        <v>19</v>
      </c>
      <c r="L120" t="str">
        <f>_xlfn.XLOOKUP(C120, Table2[Species],Table2[Genus], "Code Not Found")</f>
        <v>Acer</v>
      </c>
      <c r="M120" t="str">
        <f>_xlfn.XLOOKUP(C120, Table2[Species],Table2[Sp. Name], "Code Not Found")</f>
        <v>saccharum</v>
      </c>
      <c r="N120" t="str">
        <f>_xlfn.XLOOKUP(C120,Table2[Species],Table2[Family],"Code Not Found")</f>
        <v>Sapindaceae</v>
      </c>
      <c r="O120" t="str" cm="1">
        <f t="array" ref="O120">_xlfn.IFS(F120="","",F120&lt;=5,"0 to 5",F120&lt;=10,"5.1 to 10",F120&lt;=20,"10 to 20", F120&lt;= 40, "20 to 40", F120 &lt;= 50, "40 to 50", F120 &gt; 50, "&gt;50" )</f>
        <v>10 to 20</v>
      </c>
    </row>
    <row r="121" spans="1:15" ht="14.4" x14ac:dyDescent="0.3">
      <c r="A121" t="s">
        <v>15</v>
      </c>
      <c r="B121" s="1">
        <v>46164</v>
      </c>
      <c r="C121" t="s">
        <v>16</v>
      </c>
      <c r="D121">
        <v>116</v>
      </c>
      <c r="E121">
        <v>1</v>
      </c>
      <c r="F121">
        <v>10.8</v>
      </c>
      <c r="G121" t="s">
        <v>51</v>
      </c>
      <c r="I121" t="str">
        <f t="shared" si="2"/>
        <v>116_1</v>
      </c>
      <c r="J121" t="s">
        <v>18</v>
      </c>
      <c r="K121" t="s">
        <v>19</v>
      </c>
      <c r="L121" t="str">
        <f>_xlfn.XLOOKUP(C121, Table2[Species],Table2[Genus], "Code Not Found")</f>
        <v>Acer</v>
      </c>
      <c r="M121" t="str">
        <f>_xlfn.XLOOKUP(C121, Table2[Species],Table2[Sp. Name], "Code Not Found")</f>
        <v>saccharum</v>
      </c>
      <c r="N121" t="str">
        <f>_xlfn.XLOOKUP(C121,Table2[Species],Table2[Family],"Code Not Found")</f>
        <v>Sapindaceae</v>
      </c>
      <c r="O121" t="str" cm="1">
        <f t="array" ref="O121">_xlfn.IFS(F121="","",F121&lt;=5,"0 to 5",F121&lt;=10,"5.1 to 10",F121&lt;=20,"10 to 20", F121&lt;= 40, "20 to 40", F121 &lt;= 50, "40 to 50", F121 &gt; 50, "&gt;50" )</f>
        <v>10 to 20</v>
      </c>
    </row>
    <row r="122" spans="1:15" ht="14.4" x14ac:dyDescent="0.3">
      <c r="A122" t="s">
        <v>15</v>
      </c>
      <c r="B122" s="1">
        <v>46164</v>
      </c>
      <c r="C122" t="s">
        <v>16</v>
      </c>
      <c r="D122">
        <v>117</v>
      </c>
      <c r="E122">
        <v>1</v>
      </c>
      <c r="F122">
        <v>25.8</v>
      </c>
      <c r="G122" t="s">
        <v>21</v>
      </c>
      <c r="I122" t="str">
        <f t="shared" si="2"/>
        <v>117_1</v>
      </c>
      <c r="J122" t="s">
        <v>18</v>
      </c>
      <c r="K122" t="s">
        <v>19</v>
      </c>
      <c r="L122" t="str">
        <f>_xlfn.XLOOKUP(C122, Table2[Species],Table2[Genus], "Code Not Found")</f>
        <v>Acer</v>
      </c>
      <c r="M122" t="str">
        <f>_xlfn.XLOOKUP(C122, Table2[Species],Table2[Sp. Name], "Code Not Found")</f>
        <v>saccharum</v>
      </c>
      <c r="N122" t="str">
        <f>_xlfn.XLOOKUP(C122,Table2[Species],Table2[Family],"Code Not Found")</f>
        <v>Sapindaceae</v>
      </c>
      <c r="O122" t="str" cm="1">
        <f t="array" ref="O122">_xlfn.IFS(F122="","",F122&lt;=5,"0 to 5",F122&lt;=10,"5.1 to 10",F122&lt;=20,"10 to 20", F122&lt;= 40, "20 to 40", F122 &lt;= 50, "40 to 50", F122 &gt; 50, "&gt;50" )</f>
        <v>20 to 40</v>
      </c>
    </row>
    <row r="123" spans="1:15" ht="14.4" x14ac:dyDescent="0.3">
      <c r="A123" t="s">
        <v>15</v>
      </c>
      <c r="B123" s="1">
        <v>46164</v>
      </c>
      <c r="C123" t="s">
        <v>16</v>
      </c>
      <c r="D123">
        <v>118</v>
      </c>
      <c r="E123">
        <v>1</v>
      </c>
      <c r="F123">
        <v>14.3</v>
      </c>
      <c r="G123" t="s">
        <v>56</v>
      </c>
      <c r="I123" t="str">
        <f t="shared" si="2"/>
        <v>118_1</v>
      </c>
      <c r="J123" t="s">
        <v>18</v>
      </c>
      <c r="K123" t="s">
        <v>19</v>
      </c>
      <c r="L123" t="str">
        <f>_xlfn.XLOOKUP(C123, Table2[Species],Table2[Genus], "Code Not Found")</f>
        <v>Acer</v>
      </c>
      <c r="M123" t="str">
        <f>_xlfn.XLOOKUP(C123, Table2[Species],Table2[Sp. Name], "Code Not Found")</f>
        <v>saccharum</v>
      </c>
      <c r="N123" t="str">
        <f>_xlfn.XLOOKUP(C123,Table2[Species],Table2[Family],"Code Not Found")</f>
        <v>Sapindaceae</v>
      </c>
      <c r="O123" t="str" cm="1">
        <f t="array" ref="O123">_xlfn.IFS(F123="","",F123&lt;=5,"0 to 5",F123&lt;=10,"5.1 to 10",F123&lt;=20,"10 to 20", F123&lt;= 40, "20 to 40", F123 &lt;= 50, "40 to 50", F123 &gt; 50, "&gt;50" )</f>
        <v>10 to 20</v>
      </c>
    </row>
    <row r="124" spans="1:15" ht="14.4" x14ac:dyDescent="0.3">
      <c r="A124" t="s">
        <v>15</v>
      </c>
      <c r="B124" s="1">
        <v>46164</v>
      </c>
      <c r="C124" t="s">
        <v>24</v>
      </c>
      <c r="D124">
        <v>119</v>
      </c>
      <c r="E124">
        <v>1</v>
      </c>
      <c r="F124">
        <v>87.3</v>
      </c>
      <c r="G124" t="s">
        <v>21</v>
      </c>
      <c r="I124" t="str">
        <f t="shared" si="2"/>
        <v>119_1</v>
      </c>
      <c r="J124" t="s">
        <v>18</v>
      </c>
      <c r="K124" t="s">
        <v>19</v>
      </c>
      <c r="L124" t="str">
        <f>_xlfn.XLOOKUP(C124, Table2[Species],Table2[Genus], "Code Not Found")</f>
        <v>Lirodendron</v>
      </c>
      <c r="M124" t="str">
        <f>_xlfn.XLOOKUP(C124, Table2[Species],Table2[Sp. Name], "Code Not Found")</f>
        <v>tulipfera</v>
      </c>
      <c r="N124" t="str">
        <f>_xlfn.XLOOKUP(C124,Table2[Species],Table2[Family],"Code Not Found")</f>
        <v>Magnoliaceae</v>
      </c>
      <c r="O124" t="str" cm="1">
        <f t="array" ref="O124">_xlfn.IFS(F124="","",F124&lt;=5,"0 to 5",F124&lt;=10,"5.1 to 10",F124&lt;=20,"10 to 20", F124&lt;= 40, "20 to 40", F124 &lt;= 50, "40 to 50", F124 &gt; 50, "&gt;50" )</f>
        <v>&gt;50</v>
      </c>
    </row>
    <row r="125" spans="1:15" ht="14.4" x14ac:dyDescent="0.3">
      <c r="A125" t="s">
        <v>15</v>
      </c>
      <c r="B125" s="1">
        <v>46164</v>
      </c>
      <c r="C125" t="s">
        <v>59</v>
      </c>
      <c r="D125">
        <v>120</v>
      </c>
      <c r="E125">
        <v>1</v>
      </c>
      <c r="F125">
        <v>25.1</v>
      </c>
      <c r="G125" t="s">
        <v>21</v>
      </c>
      <c r="I125" t="str">
        <f t="shared" si="2"/>
        <v>120_1</v>
      </c>
      <c r="J125" t="s">
        <v>18</v>
      </c>
      <c r="K125" t="s">
        <v>19</v>
      </c>
      <c r="L125" t="str">
        <f>_xlfn.XLOOKUP(C125, Table2[Species],Table2[Genus], "Code Not Found")</f>
        <v>Nyssa</v>
      </c>
      <c r="M125" t="str">
        <f>_xlfn.XLOOKUP(C125, Table2[Species],Table2[Sp. Name], "Code Not Found")</f>
        <v>sylvatica</v>
      </c>
      <c r="N125" t="str">
        <f>_xlfn.XLOOKUP(C125,Table2[Species],Table2[Family],"Code Not Found")</f>
        <v>Nyssaceae</v>
      </c>
      <c r="O125" t="str" cm="1">
        <f t="array" ref="O125">_xlfn.IFS(F125="","",F125&lt;=5,"0 to 5",F125&lt;=10,"5.1 to 10",F125&lt;=20,"10 to 20", F125&lt;= 40, "20 to 40", F125 &lt;= 50, "40 to 50", F125 &gt; 50, "&gt;50" )</f>
        <v>20 to 40</v>
      </c>
    </row>
    <row r="126" spans="1:15" ht="14.4" x14ac:dyDescent="0.3">
      <c r="A126" t="s">
        <v>15</v>
      </c>
      <c r="B126" s="1">
        <v>46164</v>
      </c>
      <c r="C126" t="s">
        <v>16</v>
      </c>
      <c r="D126">
        <v>121</v>
      </c>
      <c r="E126">
        <v>1</v>
      </c>
      <c r="F126">
        <v>16.5</v>
      </c>
      <c r="G126" t="s">
        <v>56</v>
      </c>
      <c r="I126" t="str">
        <f t="shared" si="2"/>
        <v>121_1</v>
      </c>
      <c r="J126" t="s">
        <v>18</v>
      </c>
      <c r="K126" t="s">
        <v>19</v>
      </c>
      <c r="L126" t="str">
        <f>_xlfn.XLOOKUP(C126, Table2[Species],Table2[Genus], "Code Not Found")</f>
        <v>Acer</v>
      </c>
      <c r="M126" t="str">
        <f>_xlfn.XLOOKUP(C126, Table2[Species],Table2[Sp. Name], "Code Not Found")</f>
        <v>saccharum</v>
      </c>
      <c r="N126" t="str">
        <f>_xlfn.XLOOKUP(C126,Table2[Species],Table2[Family],"Code Not Found")</f>
        <v>Sapindaceae</v>
      </c>
      <c r="O126" t="str" cm="1">
        <f t="array" ref="O126">_xlfn.IFS(F126="","",F126&lt;=5,"0 to 5",F126&lt;=10,"5.1 to 10",F126&lt;=20,"10 to 20", F126&lt;= 40, "20 to 40", F126 &lt;= 50, "40 to 50", F126 &gt; 50, "&gt;50" )</f>
        <v>10 to 20</v>
      </c>
    </row>
    <row r="127" spans="1:15" ht="14.4" x14ac:dyDescent="0.3">
      <c r="A127" t="s">
        <v>15</v>
      </c>
      <c r="B127" s="1">
        <v>46164</v>
      </c>
      <c r="C127" t="s">
        <v>16</v>
      </c>
      <c r="D127">
        <v>122</v>
      </c>
      <c r="E127">
        <v>1</v>
      </c>
      <c r="F127">
        <v>14.6</v>
      </c>
      <c r="G127" t="s">
        <v>21</v>
      </c>
      <c r="I127" t="str">
        <f t="shared" si="2"/>
        <v>122_1</v>
      </c>
      <c r="J127" t="s">
        <v>18</v>
      </c>
      <c r="K127" t="s">
        <v>19</v>
      </c>
      <c r="L127" t="str">
        <f>_xlfn.XLOOKUP(C127, Table2[Species],Table2[Genus], "Code Not Found")</f>
        <v>Acer</v>
      </c>
      <c r="M127" t="str">
        <f>_xlfn.XLOOKUP(C127, Table2[Species],Table2[Sp. Name], "Code Not Found")</f>
        <v>saccharum</v>
      </c>
      <c r="N127" t="str">
        <f>_xlfn.XLOOKUP(C127,Table2[Species],Table2[Family],"Code Not Found")</f>
        <v>Sapindaceae</v>
      </c>
      <c r="O127" t="str" cm="1">
        <f t="array" ref="O127">_xlfn.IFS(F127="","",F127&lt;=5,"0 to 5",F127&lt;=10,"5.1 to 10",F127&lt;=20,"10 to 20", F127&lt;= 40, "20 to 40", F127 &lt;= 50, "40 to 50", F127 &gt; 50, "&gt;50" )</f>
        <v>10 to 20</v>
      </c>
    </row>
    <row r="128" spans="1:15" ht="14.4" x14ac:dyDescent="0.3">
      <c r="A128" t="s">
        <v>15</v>
      </c>
      <c r="B128" s="1">
        <v>46164</v>
      </c>
      <c r="C128" t="s">
        <v>64</v>
      </c>
      <c r="D128">
        <v>123</v>
      </c>
      <c r="E128">
        <v>1</v>
      </c>
      <c r="F128">
        <v>3.7</v>
      </c>
      <c r="G128" t="s">
        <v>21</v>
      </c>
      <c r="I128" t="str">
        <f t="shared" si="2"/>
        <v>123_1</v>
      </c>
      <c r="J128" t="s">
        <v>18</v>
      </c>
      <c r="K128" t="s">
        <v>19</v>
      </c>
      <c r="L128" t="str">
        <f>_xlfn.XLOOKUP(C128, Table2[Species],Table2[Genus], "Code Not Found")</f>
        <v>Fagus</v>
      </c>
      <c r="M128" t="str">
        <f>_xlfn.XLOOKUP(C128, Table2[Species],Table2[Sp. Name], "Code Not Found")</f>
        <v>grandifolia</v>
      </c>
      <c r="N128" t="str">
        <f>_xlfn.XLOOKUP(C128,Table2[Species],Table2[Family],"Code Not Found")</f>
        <v>Fagaceae</v>
      </c>
      <c r="O128" t="str" cm="1">
        <f t="array" ref="O128">_xlfn.IFS(F128="","",F128&lt;=5,"0 to 5",F128&lt;=10,"5.1 to 10",F128&lt;=20,"10 to 20", F128&lt;= 40, "20 to 40", F128 &lt;= 50, "40 to 50", F128 &gt; 50, "&gt;50" )</f>
        <v>0 to 5</v>
      </c>
    </row>
    <row r="129" spans="1:15" ht="14.4" x14ac:dyDescent="0.3">
      <c r="A129" t="s">
        <v>15</v>
      </c>
      <c r="B129" s="1">
        <v>46164</v>
      </c>
      <c r="C129" t="s">
        <v>64</v>
      </c>
      <c r="D129">
        <v>124</v>
      </c>
      <c r="E129">
        <v>1</v>
      </c>
      <c r="F129">
        <v>8.1</v>
      </c>
      <c r="G129" t="s">
        <v>21</v>
      </c>
      <c r="I129" t="str">
        <f t="shared" si="2"/>
        <v>124_1</v>
      </c>
      <c r="J129" t="s">
        <v>18</v>
      </c>
      <c r="K129" t="s">
        <v>19</v>
      </c>
      <c r="L129" t="str">
        <f>_xlfn.XLOOKUP(C129, Table2[Species],Table2[Genus], "Code Not Found")</f>
        <v>Fagus</v>
      </c>
      <c r="M129" t="str">
        <f>_xlfn.XLOOKUP(C129, Table2[Species],Table2[Sp. Name], "Code Not Found")</f>
        <v>grandifolia</v>
      </c>
      <c r="N129" t="str">
        <f>_xlfn.XLOOKUP(C129,Table2[Species],Table2[Family],"Code Not Found")</f>
        <v>Fagaceae</v>
      </c>
      <c r="O129" t="str" cm="1">
        <f t="array" ref="O129">_xlfn.IFS(F129="","",F129&lt;=5,"0 to 5",F129&lt;=10,"5.1 to 10",F129&lt;=20,"10 to 20", F129&lt;= 40, "20 to 40", F129 &lt;= 50, "40 to 50", F129 &gt; 50, "&gt;50" )</f>
        <v>5.1 to 10</v>
      </c>
    </row>
    <row r="130" spans="1:15" ht="14.4" x14ac:dyDescent="0.3">
      <c r="A130" t="s">
        <v>15</v>
      </c>
      <c r="B130" s="1">
        <v>46164</v>
      </c>
      <c r="C130" t="s">
        <v>16</v>
      </c>
      <c r="D130">
        <v>125</v>
      </c>
      <c r="E130">
        <v>1</v>
      </c>
      <c r="F130">
        <v>3</v>
      </c>
      <c r="G130" t="s">
        <v>21</v>
      </c>
      <c r="I130" t="str">
        <f t="shared" si="2"/>
        <v>125_1</v>
      </c>
      <c r="J130" t="s">
        <v>18</v>
      </c>
      <c r="K130" t="s">
        <v>19</v>
      </c>
      <c r="L130" t="str">
        <f>_xlfn.XLOOKUP(C130, Table2[Species],Table2[Genus], "Code Not Found")</f>
        <v>Acer</v>
      </c>
      <c r="M130" t="str">
        <f>_xlfn.XLOOKUP(C130, Table2[Species],Table2[Sp. Name], "Code Not Found")</f>
        <v>saccharum</v>
      </c>
      <c r="N130" t="str">
        <f>_xlfn.XLOOKUP(C130,Table2[Species],Table2[Family],"Code Not Found")</f>
        <v>Sapindaceae</v>
      </c>
      <c r="O130" t="str" cm="1">
        <f t="array" ref="O130">_xlfn.IFS(F130="","",F130&lt;=5,"0 to 5",F130&lt;=10,"5.1 to 10",F130&lt;=20,"10 to 20", F130&lt;= 40, "20 to 40", F130 &lt;= 50, "40 to 50", F130 &gt; 50, "&gt;50" )</f>
        <v>0 to 5</v>
      </c>
    </row>
    <row r="131" spans="1:15" ht="14.4" x14ac:dyDescent="0.3">
      <c r="A131" t="s">
        <v>15</v>
      </c>
      <c r="B131" s="1">
        <v>46164</v>
      </c>
      <c r="C131" t="s">
        <v>64</v>
      </c>
      <c r="D131">
        <v>126</v>
      </c>
      <c r="E131">
        <v>1</v>
      </c>
      <c r="F131">
        <v>3.4</v>
      </c>
      <c r="G131" t="s">
        <v>21</v>
      </c>
      <c r="I131" t="str">
        <f t="shared" ref="I131:I194" si="3">D131&amp;"_"&amp;E131</f>
        <v>126_1</v>
      </c>
      <c r="J131" t="s">
        <v>18</v>
      </c>
      <c r="K131" t="s">
        <v>19</v>
      </c>
      <c r="L131" t="str">
        <f>_xlfn.XLOOKUP(C131, Table2[Species],Table2[Genus], "Code Not Found")</f>
        <v>Fagus</v>
      </c>
      <c r="M131" t="str">
        <f>_xlfn.XLOOKUP(C131, Table2[Species],Table2[Sp. Name], "Code Not Found")</f>
        <v>grandifolia</v>
      </c>
      <c r="N131" t="str">
        <f>_xlfn.XLOOKUP(C131,Table2[Species],Table2[Family],"Code Not Found")</f>
        <v>Fagaceae</v>
      </c>
      <c r="O131" t="str" cm="1">
        <f t="array" ref="O131">_xlfn.IFS(F131="","",F131&lt;=5,"0 to 5",F131&lt;=10,"5.1 to 10",F131&lt;=20,"10 to 20", F131&lt;= 40, "20 to 40", F131 &lt;= 50, "40 to 50", F131 &gt; 50, "&gt;50" )</f>
        <v>0 to 5</v>
      </c>
    </row>
    <row r="132" spans="1:15" ht="14.4" x14ac:dyDescent="0.3">
      <c r="A132" t="s">
        <v>15</v>
      </c>
      <c r="B132" s="1">
        <v>46164</v>
      </c>
      <c r="C132" t="s">
        <v>20</v>
      </c>
      <c r="D132">
        <v>127</v>
      </c>
      <c r="E132">
        <v>1</v>
      </c>
      <c r="F132">
        <v>3.1</v>
      </c>
      <c r="G132" t="s">
        <v>47</v>
      </c>
      <c r="H132" t="s">
        <v>48</v>
      </c>
      <c r="I132" t="str">
        <f t="shared" si="3"/>
        <v>127_1</v>
      </c>
      <c r="J132" t="s">
        <v>18</v>
      </c>
      <c r="K132" t="s">
        <v>19</v>
      </c>
      <c r="L132" t="str">
        <f>_xlfn.XLOOKUP(C132, Table2[Species],Table2[Genus], "Code Not Found")</f>
        <v>Prunus</v>
      </c>
      <c r="M132" t="str">
        <f>_xlfn.XLOOKUP(C132, Table2[Species],Table2[Sp. Name], "Code Not Found")</f>
        <v>serotina</v>
      </c>
      <c r="N132" t="str">
        <f>_xlfn.XLOOKUP(C132,Table2[Species],Table2[Family],"Code Not Found")</f>
        <v>Rosaceae</v>
      </c>
      <c r="O132" t="str" cm="1">
        <f t="array" ref="O132">_xlfn.IFS(F132="","",F132&lt;=5,"0 to 5",F132&lt;=10,"5.1 to 10",F132&lt;=20,"10 to 20", F132&lt;= 40, "20 to 40", F132 &lt;= 50, "40 to 50", F132 &gt; 50, "&gt;50" )</f>
        <v>0 to 5</v>
      </c>
    </row>
    <row r="133" spans="1:15" ht="14.4" x14ac:dyDescent="0.3">
      <c r="A133" t="s">
        <v>15</v>
      </c>
      <c r="B133" s="1">
        <v>46164</v>
      </c>
      <c r="C133" t="s">
        <v>24</v>
      </c>
      <c r="D133">
        <v>142</v>
      </c>
      <c r="E133">
        <v>1</v>
      </c>
      <c r="F133">
        <v>53.1</v>
      </c>
      <c r="G133" t="s">
        <v>65</v>
      </c>
      <c r="H133" t="s">
        <v>66</v>
      </c>
      <c r="I133" t="str">
        <f t="shared" si="3"/>
        <v>142_1</v>
      </c>
      <c r="J133" t="s">
        <v>18</v>
      </c>
      <c r="K133" t="s">
        <v>19</v>
      </c>
      <c r="L133" t="str">
        <f>_xlfn.XLOOKUP(C133, Table2[Species],Table2[Genus], "Code Not Found")</f>
        <v>Lirodendron</v>
      </c>
      <c r="M133" t="str">
        <f>_xlfn.XLOOKUP(C133, Table2[Species],Table2[Sp. Name], "Code Not Found")</f>
        <v>tulipfera</v>
      </c>
      <c r="N133" t="str">
        <f>_xlfn.XLOOKUP(C133,Table2[Species],Table2[Family],"Code Not Found")</f>
        <v>Magnoliaceae</v>
      </c>
      <c r="O133" t="str" cm="1">
        <f t="array" ref="O133">_xlfn.IFS(F133="","",F133&lt;=5,"0 to 5",F133&lt;=10,"5.1 to 10",F133&lt;=20,"10 to 20", F133&lt;= 40, "20 to 40", F133 &lt;= 50, "40 to 50", F133 &gt; 50, "&gt;50" )</f>
        <v>&gt;50</v>
      </c>
    </row>
    <row r="134" spans="1:15" ht="14.4" x14ac:dyDescent="0.3">
      <c r="A134" t="s">
        <v>15</v>
      </c>
      <c r="B134" s="1">
        <v>46164</v>
      </c>
      <c r="C134" t="s">
        <v>24</v>
      </c>
      <c r="D134">
        <v>142</v>
      </c>
      <c r="E134">
        <v>2</v>
      </c>
      <c r="F134">
        <v>50.7</v>
      </c>
      <c r="G134" t="s">
        <v>65</v>
      </c>
      <c r="H134" t="s">
        <v>67</v>
      </c>
      <c r="I134" t="str">
        <f t="shared" si="3"/>
        <v>142_2</v>
      </c>
      <c r="J134" t="s">
        <v>18</v>
      </c>
      <c r="K134" t="s">
        <v>19</v>
      </c>
      <c r="L134" t="str">
        <f>_xlfn.XLOOKUP(C134, Table2[Species],Table2[Genus], "Code Not Found")</f>
        <v>Lirodendron</v>
      </c>
      <c r="M134" t="str">
        <f>_xlfn.XLOOKUP(C134, Table2[Species],Table2[Sp. Name], "Code Not Found")</f>
        <v>tulipfera</v>
      </c>
      <c r="N134" t="str">
        <f>_xlfn.XLOOKUP(C134,Table2[Species],Table2[Family],"Code Not Found")</f>
        <v>Magnoliaceae</v>
      </c>
      <c r="O134" t="str" cm="1">
        <f t="array" ref="O134">_xlfn.IFS(F134="","",F134&lt;=5,"0 to 5",F134&lt;=10,"5.1 to 10",F134&lt;=20,"10 to 20", F134&lt;= 40, "20 to 40", F134 &lt;= 50, "40 to 50", F134 &gt; 50, "&gt;50" )</f>
        <v>&gt;50</v>
      </c>
    </row>
    <row r="135" spans="1:15" ht="14.4" x14ac:dyDescent="0.3">
      <c r="A135" t="s">
        <v>15</v>
      </c>
      <c r="B135" s="1">
        <v>46164</v>
      </c>
      <c r="C135" t="s">
        <v>16</v>
      </c>
      <c r="D135">
        <v>128</v>
      </c>
      <c r="E135">
        <v>1</v>
      </c>
      <c r="F135">
        <v>3.7</v>
      </c>
      <c r="G135" t="s">
        <v>17</v>
      </c>
      <c r="I135" t="str">
        <f t="shared" si="3"/>
        <v>128_1</v>
      </c>
      <c r="J135" t="s">
        <v>18</v>
      </c>
      <c r="K135" t="s">
        <v>19</v>
      </c>
      <c r="L135" t="str">
        <f>_xlfn.XLOOKUP(C135, Table2[Species],Table2[Genus], "Code Not Found")</f>
        <v>Acer</v>
      </c>
      <c r="M135" t="str">
        <f>_xlfn.XLOOKUP(C135, Table2[Species],Table2[Sp. Name], "Code Not Found")</f>
        <v>saccharum</v>
      </c>
      <c r="N135" t="str">
        <f>_xlfn.XLOOKUP(C135,Table2[Species],Table2[Family],"Code Not Found")</f>
        <v>Sapindaceae</v>
      </c>
      <c r="O135" t="str" cm="1">
        <f t="array" ref="O135">_xlfn.IFS(F135="","",F135&lt;=5,"0 to 5",F135&lt;=10,"5.1 to 10",F135&lt;=20,"10 to 20", F135&lt;= 40, "20 to 40", F135 &lt;= 50, "40 to 50", F135 &gt; 50, "&gt;50" )</f>
        <v>0 to 5</v>
      </c>
    </row>
    <row r="136" spans="1:15" ht="14.4" x14ac:dyDescent="0.3">
      <c r="A136" t="s">
        <v>15</v>
      </c>
      <c r="B136" s="1">
        <v>46164</v>
      </c>
      <c r="C136" t="s">
        <v>16</v>
      </c>
      <c r="D136">
        <v>129</v>
      </c>
      <c r="E136">
        <v>1</v>
      </c>
      <c r="F136">
        <v>3.5</v>
      </c>
      <c r="G136" t="s">
        <v>21</v>
      </c>
      <c r="I136" t="str">
        <f t="shared" si="3"/>
        <v>129_1</v>
      </c>
      <c r="J136" t="s">
        <v>18</v>
      </c>
      <c r="K136" t="s">
        <v>19</v>
      </c>
      <c r="L136" t="str">
        <f>_xlfn.XLOOKUP(C136, Table2[Species],Table2[Genus], "Code Not Found")</f>
        <v>Acer</v>
      </c>
      <c r="M136" t="str">
        <f>_xlfn.XLOOKUP(C136, Table2[Species],Table2[Sp. Name], "Code Not Found")</f>
        <v>saccharum</v>
      </c>
      <c r="N136" t="str">
        <f>_xlfn.XLOOKUP(C136,Table2[Species],Table2[Family],"Code Not Found")</f>
        <v>Sapindaceae</v>
      </c>
      <c r="O136" t="str" cm="1">
        <f t="array" ref="O136">_xlfn.IFS(F136="","",F136&lt;=5,"0 to 5",F136&lt;=10,"5.1 to 10",F136&lt;=20,"10 to 20", F136&lt;= 40, "20 to 40", F136 &lt;= 50, "40 to 50", F136 &gt; 50, "&gt;50" )</f>
        <v>0 to 5</v>
      </c>
    </row>
    <row r="137" spans="1:15" ht="14.4" x14ac:dyDescent="0.3">
      <c r="A137" t="s">
        <v>15</v>
      </c>
      <c r="B137" s="1">
        <v>46164</v>
      </c>
      <c r="C137" t="s">
        <v>16</v>
      </c>
      <c r="D137">
        <v>130</v>
      </c>
      <c r="E137">
        <v>1</v>
      </c>
      <c r="F137">
        <v>2.2000000000000002</v>
      </c>
      <c r="G137" t="s">
        <v>17</v>
      </c>
      <c r="I137" t="str">
        <f t="shared" si="3"/>
        <v>130_1</v>
      </c>
      <c r="J137" t="s">
        <v>18</v>
      </c>
      <c r="K137" t="s">
        <v>19</v>
      </c>
      <c r="L137" t="str">
        <f>_xlfn.XLOOKUP(C137, Table2[Species],Table2[Genus], "Code Not Found")</f>
        <v>Acer</v>
      </c>
      <c r="M137" t="str">
        <f>_xlfn.XLOOKUP(C137, Table2[Species],Table2[Sp. Name], "Code Not Found")</f>
        <v>saccharum</v>
      </c>
      <c r="N137" t="str">
        <f>_xlfn.XLOOKUP(C137,Table2[Species],Table2[Family],"Code Not Found")</f>
        <v>Sapindaceae</v>
      </c>
      <c r="O137" t="str" cm="1">
        <f t="array" ref="O137">_xlfn.IFS(F137="","",F137&lt;=5,"0 to 5",F137&lt;=10,"5.1 to 10",F137&lt;=20,"10 to 20", F137&lt;= 40, "20 to 40", F137 &lt;= 50, "40 to 50", F137 &gt; 50, "&gt;50" )</f>
        <v>0 to 5</v>
      </c>
    </row>
    <row r="138" spans="1:15" ht="14.4" x14ac:dyDescent="0.3">
      <c r="A138" t="s">
        <v>15</v>
      </c>
      <c r="B138" s="1">
        <v>46164</v>
      </c>
      <c r="C138" t="s">
        <v>16</v>
      </c>
      <c r="D138">
        <v>131</v>
      </c>
      <c r="E138">
        <v>1</v>
      </c>
      <c r="F138">
        <v>1.8</v>
      </c>
      <c r="G138" t="s">
        <v>17</v>
      </c>
      <c r="I138" t="str">
        <f t="shared" si="3"/>
        <v>131_1</v>
      </c>
      <c r="J138" t="s">
        <v>18</v>
      </c>
      <c r="K138" t="s">
        <v>19</v>
      </c>
      <c r="L138" t="str">
        <f>_xlfn.XLOOKUP(C138, Table2[Species],Table2[Genus], "Code Not Found")</f>
        <v>Acer</v>
      </c>
      <c r="M138" t="str">
        <f>_xlfn.XLOOKUP(C138, Table2[Species],Table2[Sp. Name], "Code Not Found")</f>
        <v>saccharum</v>
      </c>
      <c r="N138" t="str">
        <f>_xlfn.XLOOKUP(C138,Table2[Species],Table2[Family],"Code Not Found")</f>
        <v>Sapindaceae</v>
      </c>
      <c r="O138" t="str" cm="1">
        <f t="array" ref="O138">_xlfn.IFS(F138="","",F138&lt;=5,"0 to 5",F138&lt;=10,"5.1 to 10",F138&lt;=20,"10 to 20", F138&lt;= 40, "20 to 40", F138 &lt;= 50, "40 to 50", F138 &gt; 50, "&gt;50" )</f>
        <v>0 to 5</v>
      </c>
    </row>
    <row r="139" spans="1:15" ht="14.4" x14ac:dyDescent="0.3">
      <c r="A139" t="s">
        <v>15</v>
      </c>
      <c r="B139" s="1">
        <v>46164</v>
      </c>
      <c r="C139" t="s">
        <v>16</v>
      </c>
      <c r="D139">
        <v>132</v>
      </c>
      <c r="E139">
        <v>1</v>
      </c>
      <c r="F139">
        <v>3.4</v>
      </c>
      <c r="G139" t="s">
        <v>56</v>
      </c>
      <c r="H139" t="s">
        <v>68</v>
      </c>
      <c r="I139" t="str">
        <f t="shared" si="3"/>
        <v>132_1</v>
      </c>
      <c r="J139" t="s">
        <v>18</v>
      </c>
      <c r="K139" t="s">
        <v>19</v>
      </c>
      <c r="L139" t="str">
        <f>_xlfn.XLOOKUP(C139, Table2[Species],Table2[Genus], "Code Not Found")</f>
        <v>Acer</v>
      </c>
      <c r="M139" t="str">
        <f>_xlfn.XLOOKUP(C139, Table2[Species],Table2[Sp. Name], "Code Not Found")</f>
        <v>saccharum</v>
      </c>
      <c r="N139" t="str">
        <f>_xlfn.XLOOKUP(C139,Table2[Species],Table2[Family],"Code Not Found")</f>
        <v>Sapindaceae</v>
      </c>
      <c r="O139" t="str" cm="1">
        <f t="array" ref="O139">_xlfn.IFS(F139="","",F139&lt;=5,"0 to 5",F139&lt;=10,"5.1 to 10",F139&lt;=20,"10 to 20", F139&lt;= 40, "20 to 40", F139 &lt;= 50, "40 to 50", F139 &gt; 50, "&gt;50" )</f>
        <v>0 to 5</v>
      </c>
    </row>
    <row r="140" spans="1:15" ht="14.4" x14ac:dyDescent="0.3">
      <c r="A140" t="s">
        <v>15</v>
      </c>
      <c r="B140" s="1">
        <v>46164</v>
      </c>
      <c r="C140" t="s">
        <v>16</v>
      </c>
      <c r="D140">
        <v>133</v>
      </c>
      <c r="E140">
        <v>1</v>
      </c>
      <c r="F140">
        <v>1.8</v>
      </c>
      <c r="G140" t="s">
        <v>21</v>
      </c>
      <c r="I140" t="str">
        <f t="shared" si="3"/>
        <v>133_1</v>
      </c>
      <c r="J140" t="s">
        <v>18</v>
      </c>
      <c r="K140" t="s">
        <v>19</v>
      </c>
      <c r="L140" t="str">
        <f>_xlfn.XLOOKUP(C140, Table2[Species],Table2[Genus], "Code Not Found")</f>
        <v>Acer</v>
      </c>
      <c r="M140" t="str">
        <f>_xlfn.XLOOKUP(C140, Table2[Species],Table2[Sp. Name], "Code Not Found")</f>
        <v>saccharum</v>
      </c>
      <c r="N140" t="str">
        <f>_xlfn.XLOOKUP(C140,Table2[Species],Table2[Family],"Code Not Found")</f>
        <v>Sapindaceae</v>
      </c>
      <c r="O140" t="str" cm="1">
        <f t="array" ref="O140">_xlfn.IFS(F140="","",F140&lt;=5,"0 to 5",F140&lt;=10,"5.1 to 10",F140&lt;=20,"10 to 20", F140&lt;= 40, "20 to 40", F140 &lt;= 50, "40 to 50", F140 &gt; 50, "&gt;50" )</f>
        <v>0 to 5</v>
      </c>
    </row>
    <row r="141" spans="1:15" ht="14.4" x14ac:dyDescent="0.3">
      <c r="A141" t="s">
        <v>15</v>
      </c>
      <c r="B141" s="1">
        <v>46164</v>
      </c>
      <c r="C141" t="s">
        <v>16</v>
      </c>
      <c r="D141">
        <v>134</v>
      </c>
      <c r="E141">
        <v>1</v>
      </c>
      <c r="F141">
        <v>2.2000000000000002</v>
      </c>
      <c r="G141" t="s">
        <v>17</v>
      </c>
      <c r="I141" t="str">
        <f t="shared" si="3"/>
        <v>134_1</v>
      </c>
      <c r="J141" t="s">
        <v>18</v>
      </c>
      <c r="K141" t="s">
        <v>19</v>
      </c>
      <c r="L141" t="str">
        <f>_xlfn.XLOOKUP(C141, Table2[Species],Table2[Genus], "Code Not Found")</f>
        <v>Acer</v>
      </c>
      <c r="M141" t="str">
        <f>_xlfn.XLOOKUP(C141, Table2[Species],Table2[Sp. Name], "Code Not Found")</f>
        <v>saccharum</v>
      </c>
      <c r="N141" t="str">
        <f>_xlfn.XLOOKUP(C141,Table2[Species],Table2[Family],"Code Not Found")</f>
        <v>Sapindaceae</v>
      </c>
      <c r="O141" t="str" cm="1">
        <f t="array" ref="O141">_xlfn.IFS(F141="","",F141&lt;=5,"0 to 5",F141&lt;=10,"5.1 to 10",F141&lt;=20,"10 to 20", F141&lt;= 40, "20 to 40", F141 &lt;= 50, "40 to 50", F141 &gt; 50, "&gt;50" )</f>
        <v>0 to 5</v>
      </c>
    </row>
    <row r="142" spans="1:15" ht="14.4" x14ac:dyDescent="0.3">
      <c r="A142" t="s">
        <v>15</v>
      </c>
      <c r="B142" s="1">
        <v>46164</v>
      </c>
      <c r="C142" t="s">
        <v>16</v>
      </c>
      <c r="D142">
        <v>135</v>
      </c>
      <c r="E142">
        <v>1</v>
      </c>
      <c r="F142">
        <v>2</v>
      </c>
      <c r="G142" t="s">
        <v>69</v>
      </c>
      <c r="H142" t="s">
        <v>48</v>
      </c>
      <c r="I142" t="str">
        <f t="shared" si="3"/>
        <v>135_1</v>
      </c>
      <c r="J142" t="s">
        <v>18</v>
      </c>
      <c r="K142" t="s">
        <v>19</v>
      </c>
      <c r="L142" t="str">
        <f>_xlfn.XLOOKUP(C142, Table2[Species],Table2[Genus], "Code Not Found")</f>
        <v>Acer</v>
      </c>
      <c r="M142" t="str">
        <f>_xlfn.XLOOKUP(C142, Table2[Species],Table2[Sp. Name], "Code Not Found")</f>
        <v>saccharum</v>
      </c>
      <c r="N142" t="str">
        <f>_xlfn.XLOOKUP(C142,Table2[Species],Table2[Family],"Code Not Found")</f>
        <v>Sapindaceae</v>
      </c>
      <c r="O142" t="str" cm="1">
        <f t="array" ref="O142">_xlfn.IFS(F142="","",F142&lt;=5,"0 to 5",F142&lt;=10,"5.1 to 10",F142&lt;=20,"10 to 20", F142&lt;= 40, "20 to 40", F142 &lt;= 50, "40 to 50", F142 &gt; 50, "&gt;50" )</f>
        <v>0 to 5</v>
      </c>
    </row>
    <row r="143" spans="1:15" ht="14.4" x14ac:dyDescent="0.3">
      <c r="A143" t="s">
        <v>15</v>
      </c>
      <c r="B143" s="1">
        <v>46164</v>
      </c>
      <c r="C143" t="s">
        <v>16</v>
      </c>
      <c r="D143">
        <v>136</v>
      </c>
      <c r="E143">
        <v>1</v>
      </c>
      <c r="F143">
        <v>4.3</v>
      </c>
      <c r="G143" t="s">
        <v>47</v>
      </c>
      <c r="H143" t="s">
        <v>48</v>
      </c>
      <c r="I143" t="str">
        <f t="shared" si="3"/>
        <v>136_1</v>
      </c>
      <c r="J143" t="s">
        <v>18</v>
      </c>
      <c r="K143" t="s">
        <v>19</v>
      </c>
      <c r="L143" t="str">
        <f>_xlfn.XLOOKUP(C143, Table2[Species],Table2[Genus], "Code Not Found")</f>
        <v>Acer</v>
      </c>
      <c r="M143" t="str">
        <f>_xlfn.XLOOKUP(C143, Table2[Species],Table2[Sp. Name], "Code Not Found")</f>
        <v>saccharum</v>
      </c>
      <c r="N143" t="str">
        <f>_xlfn.XLOOKUP(C143,Table2[Species],Table2[Family],"Code Not Found")</f>
        <v>Sapindaceae</v>
      </c>
      <c r="O143" t="str" cm="1">
        <f t="array" ref="O143">_xlfn.IFS(F143="","",F143&lt;=5,"0 to 5",F143&lt;=10,"5.1 to 10",F143&lt;=20,"10 to 20", F143&lt;= 40, "20 to 40", F143 &lt;= 50, "40 to 50", F143 &gt; 50, "&gt;50" )</f>
        <v>0 to 5</v>
      </c>
    </row>
    <row r="144" spans="1:15" ht="14.4" x14ac:dyDescent="0.3">
      <c r="A144" t="s">
        <v>15</v>
      </c>
      <c r="B144" s="1">
        <v>46164</v>
      </c>
      <c r="C144" t="s">
        <v>24</v>
      </c>
      <c r="D144">
        <v>137</v>
      </c>
      <c r="E144">
        <v>1</v>
      </c>
      <c r="F144">
        <v>27.9</v>
      </c>
      <c r="G144" t="s">
        <v>21</v>
      </c>
      <c r="I144" t="str">
        <f t="shared" si="3"/>
        <v>137_1</v>
      </c>
      <c r="J144" t="s">
        <v>18</v>
      </c>
      <c r="K144" t="s">
        <v>19</v>
      </c>
      <c r="L144" t="str">
        <f>_xlfn.XLOOKUP(C144, Table2[Species],Table2[Genus], "Code Not Found")</f>
        <v>Lirodendron</v>
      </c>
      <c r="M144" t="str">
        <f>_xlfn.XLOOKUP(C144, Table2[Species],Table2[Sp. Name], "Code Not Found")</f>
        <v>tulipfera</v>
      </c>
      <c r="N144" t="str">
        <f>_xlfn.XLOOKUP(C144,Table2[Species],Table2[Family],"Code Not Found")</f>
        <v>Magnoliaceae</v>
      </c>
      <c r="O144" t="str" cm="1">
        <f t="array" ref="O144">_xlfn.IFS(F144="","",F144&lt;=5,"0 to 5",F144&lt;=10,"5.1 to 10",F144&lt;=20,"10 to 20", F144&lt;= 40, "20 to 40", F144 &lt;= 50, "40 to 50", F144 &gt; 50, "&gt;50" )</f>
        <v>20 to 40</v>
      </c>
    </row>
    <row r="145" spans="1:15" ht="14.4" x14ac:dyDescent="0.3">
      <c r="A145" t="s">
        <v>15</v>
      </c>
      <c r="B145" s="1">
        <v>46164</v>
      </c>
      <c r="C145" t="s">
        <v>16</v>
      </c>
      <c r="D145">
        <v>138</v>
      </c>
      <c r="E145">
        <v>1</v>
      </c>
      <c r="F145">
        <v>2.7</v>
      </c>
      <c r="G145" t="s">
        <v>17</v>
      </c>
      <c r="I145" t="str">
        <f t="shared" si="3"/>
        <v>138_1</v>
      </c>
      <c r="J145" t="s">
        <v>18</v>
      </c>
      <c r="K145" t="s">
        <v>19</v>
      </c>
      <c r="L145" t="str">
        <f>_xlfn.XLOOKUP(C145, Table2[Species],Table2[Genus], "Code Not Found")</f>
        <v>Acer</v>
      </c>
      <c r="M145" t="str">
        <f>_xlfn.XLOOKUP(C145, Table2[Species],Table2[Sp. Name], "Code Not Found")</f>
        <v>saccharum</v>
      </c>
      <c r="N145" t="str">
        <f>_xlfn.XLOOKUP(C145,Table2[Species],Table2[Family],"Code Not Found")</f>
        <v>Sapindaceae</v>
      </c>
      <c r="O145" t="str" cm="1">
        <f t="array" ref="O145">_xlfn.IFS(F145="","",F145&lt;=5,"0 to 5",F145&lt;=10,"5.1 to 10",F145&lt;=20,"10 to 20", F145&lt;= 40, "20 to 40", F145 &lt;= 50, "40 to 50", F145 &gt; 50, "&gt;50" )</f>
        <v>0 to 5</v>
      </c>
    </row>
    <row r="146" spans="1:15" ht="14.4" x14ac:dyDescent="0.3">
      <c r="A146" t="s">
        <v>15</v>
      </c>
      <c r="B146" s="1">
        <v>46164</v>
      </c>
      <c r="C146" t="s">
        <v>16</v>
      </c>
      <c r="D146">
        <v>139</v>
      </c>
      <c r="E146">
        <v>1</v>
      </c>
      <c r="F146">
        <v>2.8</v>
      </c>
      <c r="G146" t="s">
        <v>17</v>
      </c>
      <c r="I146" t="str">
        <f t="shared" si="3"/>
        <v>139_1</v>
      </c>
      <c r="J146" t="s">
        <v>18</v>
      </c>
      <c r="K146" t="s">
        <v>19</v>
      </c>
      <c r="L146" t="str">
        <f>_xlfn.XLOOKUP(C146, Table2[Species],Table2[Genus], "Code Not Found")</f>
        <v>Acer</v>
      </c>
      <c r="M146" t="str">
        <f>_xlfn.XLOOKUP(C146, Table2[Species],Table2[Sp. Name], "Code Not Found")</f>
        <v>saccharum</v>
      </c>
      <c r="N146" t="str">
        <f>_xlfn.XLOOKUP(C146,Table2[Species],Table2[Family],"Code Not Found")</f>
        <v>Sapindaceae</v>
      </c>
      <c r="O146" t="str" cm="1">
        <f t="array" ref="O146">_xlfn.IFS(F146="","",F146&lt;=5,"0 to 5",F146&lt;=10,"5.1 to 10",F146&lt;=20,"10 to 20", F146&lt;= 40, "20 to 40", F146 &lt;= 50, "40 to 50", F146 &gt; 50, "&gt;50" )</f>
        <v>0 to 5</v>
      </c>
    </row>
    <row r="147" spans="1:15" ht="14.4" x14ac:dyDescent="0.3">
      <c r="A147" t="s">
        <v>15</v>
      </c>
      <c r="B147" s="1">
        <v>46164</v>
      </c>
      <c r="C147" t="s">
        <v>16</v>
      </c>
      <c r="D147">
        <v>140</v>
      </c>
      <c r="E147">
        <v>1</v>
      </c>
      <c r="F147">
        <v>3.3</v>
      </c>
      <c r="G147" t="s">
        <v>17</v>
      </c>
      <c r="H147" t="s">
        <v>70</v>
      </c>
      <c r="I147" t="str">
        <f t="shared" si="3"/>
        <v>140_1</v>
      </c>
      <c r="J147" t="s">
        <v>18</v>
      </c>
      <c r="K147" t="s">
        <v>19</v>
      </c>
      <c r="L147" t="str">
        <f>_xlfn.XLOOKUP(C147, Table2[Species],Table2[Genus], "Code Not Found")</f>
        <v>Acer</v>
      </c>
      <c r="M147" t="str">
        <f>_xlfn.XLOOKUP(C147, Table2[Species],Table2[Sp. Name], "Code Not Found")</f>
        <v>saccharum</v>
      </c>
      <c r="N147" t="str">
        <f>_xlfn.XLOOKUP(C147,Table2[Species],Table2[Family],"Code Not Found")</f>
        <v>Sapindaceae</v>
      </c>
      <c r="O147" t="str" cm="1">
        <f t="array" ref="O147">_xlfn.IFS(F147="","",F147&lt;=5,"0 to 5",F147&lt;=10,"5.1 to 10",F147&lt;=20,"10 to 20", F147&lt;= 40, "20 to 40", F147 &lt;= 50, "40 to 50", F147 &gt; 50, "&gt;50" )</f>
        <v>0 to 5</v>
      </c>
    </row>
    <row r="148" spans="1:15" ht="14.4" x14ac:dyDescent="0.3">
      <c r="A148" t="s">
        <v>15</v>
      </c>
      <c r="B148" s="1">
        <v>46164</v>
      </c>
      <c r="C148" t="s">
        <v>16</v>
      </c>
      <c r="D148">
        <v>141</v>
      </c>
      <c r="E148">
        <v>1</v>
      </c>
      <c r="F148">
        <v>4.7</v>
      </c>
      <c r="G148" t="s">
        <v>71</v>
      </c>
      <c r="H148" t="s">
        <v>72</v>
      </c>
      <c r="I148" t="str">
        <f t="shared" si="3"/>
        <v>141_1</v>
      </c>
      <c r="J148" t="s">
        <v>18</v>
      </c>
      <c r="K148" t="s">
        <v>19</v>
      </c>
      <c r="L148" t="str">
        <f>_xlfn.XLOOKUP(C148, Table2[Species],Table2[Genus], "Code Not Found")</f>
        <v>Acer</v>
      </c>
      <c r="M148" t="str">
        <f>_xlfn.XLOOKUP(C148, Table2[Species],Table2[Sp. Name], "Code Not Found")</f>
        <v>saccharum</v>
      </c>
      <c r="N148" t="str">
        <f>_xlfn.XLOOKUP(C148,Table2[Species],Table2[Family],"Code Not Found")</f>
        <v>Sapindaceae</v>
      </c>
      <c r="O148" t="str" cm="1">
        <f t="array" ref="O148">_xlfn.IFS(F148="","",F148&lt;=5,"0 to 5",F148&lt;=10,"5.1 to 10",F148&lt;=20,"10 to 20", F148&lt;= 40, "20 to 40", F148 &lt;= 50, "40 to 50", F148 &gt; 50, "&gt;50" )</f>
        <v>0 to 5</v>
      </c>
    </row>
    <row r="149" spans="1:15" ht="14.4" x14ac:dyDescent="0.3">
      <c r="A149" t="s">
        <v>15</v>
      </c>
      <c r="B149" s="1">
        <v>46164</v>
      </c>
      <c r="C149" t="s">
        <v>20</v>
      </c>
      <c r="D149">
        <v>143</v>
      </c>
      <c r="E149">
        <v>1</v>
      </c>
      <c r="F149">
        <v>4.2</v>
      </c>
      <c r="G149" t="s">
        <v>17</v>
      </c>
      <c r="I149" t="str">
        <f t="shared" si="3"/>
        <v>143_1</v>
      </c>
      <c r="J149" t="s">
        <v>18</v>
      </c>
      <c r="K149" t="s">
        <v>19</v>
      </c>
      <c r="L149" t="str">
        <f>_xlfn.XLOOKUP(C149, Table2[Species],Table2[Genus], "Code Not Found")</f>
        <v>Prunus</v>
      </c>
      <c r="M149" t="str">
        <f>_xlfn.XLOOKUP(C149, Table2[Species],Table2[Sp. Name], "Code Not Found")</f>
        <v>serotina</v>
      </c>
      <c r="N149" t="str">
        <f>_xlfn.XLOOKUP(C149,Table2[Species],Table2[Family],"Code Not Found")</f>
        <v>Rosaceae</v>
      </c>
      <c r="O149" t="str" cm="1">
        <f t="array" ref="O149">_xlfn.IFS(F149="","",F149&lt;=5,"0 to 5",F149&lt;=10,"5.1 to 10",F149&lt;=20,"10 to 20", F149&lt;= 40, "20 to 40", F149 &lt;= 50, "40 to 50", F149 &gt; 50, "&gt;50" )</f>
        <v>0 to 5</v>
      </c>
    </row>
    <row r="150" spans="1:15" ht="14.4" x14ac:dyDescent="0.3">
      <c r="A150" t="s">
        <v>15</v>
      </c>
      <c r="B150" s="1">
        <v>46164</v>
      </c>
      <c r="C150" t="s">
        <v>16</v>
      </c>
      <c r="D150">
        <v>144</v>
      </c>
      <c r="E150">
        <v>1</v>
      </c>
      <c r="F150">
        <v>1.4</v>
      </c>
      <c r="G150" t="s">
        <v>17</v>
      </c>
      <c r="I150" t="str">
        <f t="shared" si="3"/>
        <v>144_1</v>
      </c>
      <c r="J150" t="s">
        <v>18</v>
      </c>
      <c r="K150" t="s">
        <v>19</v>
      </c>
      <c r="L150" t="str">
        <f>_xlfn.XLOOKUP(C150, Table2[Species],Table2[Genus], "Code Not Found")</f>
        <v>Acer</v>
      </c>
      <c r="M150" t="str">
        <f>_xlfn.XLOOKUP(C150, Table2[Species],Table2[Sp. Name], "Code Not Found")</f>
        <v>saccharum</v>
      </c>
      <c r="N150" t="str">
        <f>_xlfn.XLOOKUP(C150,Table2[Species],Table2[Family],"Code Not Found")</f>
        <v>Sapindaceae</v>
      </c>
      <c r="O150" t="str" cm="1">
        <f t="array" ref="O150">_xlfn.IFS(F150="","",F150&lt;=5,"0 to 5",F150&lt;=10,"5.1 to 10",F150&lt;=20,"10 to 20", F150&lt;= 40, "20 to 40", F150 &lt;= 50, "40 to 50", F150 &gt; 50, "&gt;50" )</f>
        <v>0 to 5</v>
      </c>
    </row>
    <row r="151" spans="1:15" ht="14.4" x14ac:dyDescent="0.3">
      <c r="A151" t="s">
        <v>15</v>
      </c>
      <c r="B151" s="1">
        <v>46164</v>
      </c>
      <c r="C151" t="s">
        <v>16</v>
      </c>
      <c r="D151">
        <v>145</v>
      </c>
      <c r="E151">
        <v>1</v>
      </c>
      <c r="F151">
        <v>1.6</v>
      </c>
      <c r="G151" t="s">
        <v>56</v>
      </c>
      <c r="H151" t="s">
        <v>73</v>
      </c>
      <c r="I151" t="str">
        <f t="shared" si="3"/>
        <v>145_1</v>
      </c>
      <c r="J151" t="s">
        <v>18</v>
      </c>
      <c r="K151" t="s">
        <v>19</v>
      </c>
      <c r="L151" t="str">
        <f>_xlfn.XLOOKUP(C151, Table2[Species],Table2[Genus], "Code Not Found")</f>
        <v>Acer</v>
      </c>
      <c r="M151" t="str">
        <f>_xlfn.XLOOKUP(C151, Table2[Species],Table2[Sp. Name], "Code Not Found")</f>
        <v>saccharum</v>
      </c>
      <c r="N151" t="str">
        <f>_xlfn.XLOOKUP(C151,Table2[Species],Table2[Family],"Code Not Found")</f>
        <v>Sapindaceae</v>
      </c>
      <c r="O151" t="str" cm="1">
        <f t="array" ref="O151">_xlfn.IFS(F151="","",F151&lt;=5,"0 to 5",F151&lt;=10,"5.1 to 10",F151&lt;=20,"10 to 20", F151&lt;= 40, "20 to 40", F151 &lt;= 50, "40 to 50", F151 &gt; 50, "&gt;50" )</f>
        <v>0 to 5</v>
      </c>
    </row>
    <row r="152" spans="1:15" ht="14.4" x14ac:dyDescent="0.3">
      <c r="A152" t="s">
        <v>15</v>
      </c>
      <c r="B152" s="1">
        <v>46164</v>
      </c>
      <c r="C152" t="s">
        <v>16</v>
      </c>
      <c r="D152">
        <v>146</v>
      </c>
      <c r="E152">
        <v>1</v>
      </c>
      <c r="F152">
        <v>2.4</v>
      </c>
      <c r="G152" t="s">
        <v>56</v>
      </c>
      <c r="H152" t="s">
        <v>74</v>
      </c>
      <c r="I152" t="str">
        <f t="shared" si="3"/>
        <v>146_1</v>
      </c>
      <c r="J152" t="s">
        <v>18</v>
      </c>
      <c r="K152" t="s">
        <v>19</v>
      </c>
      <c r="L152" t="str">
        <f>_xlfn.XLOOKUP(C152, Table2[Species],Table2[Genus], "Code Not Found")</f>
        <v>Acer</v>
      </c>
      <c r="M152" t="str">
        <f>_xlfn.XLOOKUP(C152, Table2[Species],Table2[Sp. Name], "Code Not Found")</f>
        <v>saccharum</v>
      </c>
      <c r="N152" t="str">
        <f>_xlfn.XLOOKUP(C152,Table2[Species],Table2[Family],"Code Not Found")</f>
        <v>Sapindaceae</v>
      </c>
      <c r="O152" t="str" cm="1">
        <f t="array" ref="O152">_xlfn.IFS(F152="","",F152&lt;=5,"0 to 5",F152&lt;=10,"5.1 to 10",F152&lt;=20,"10 to 20", F152&lt;= 40, "20 to 40", F152 &lt;= 50, "40 to 50", F152 &gt; 50, "&gt;50" )</f>
        <v>0 to 5</v>
      </c>
    </row>
    <row r="153" spans="1:15" ht="14.4" x14ac:dyDescent="0.3">
      <c r="A153" t="s">
        <v>15</v>
      </c>
      <c r="B153" s="1">
        <v>46164</v>
      </c>
      <c r="C153" t="s">
        <v>16</v>
      </c>
      <c r="D153">
        <v>147</v>
      </c>
      <c r="E153">
        <v>1</v>
      </c>
      <c r="F153">
        <v>3.7</v>
      </c>
      <c r="G153" t="s">
        <v>17</v>
      </c>
      <c r="I153" t="str">
        <f t="shared" si="3"/>
        <v>147_1</v>
      </c>
      <c r="J153" t="s">
        <v>18</v>
      </c>
      <c r="K153" t="s">
        <v>19</v>
      </c>
      <c r="L153" t="str">
        <f>_xlfn.XLOOKUP(C153, Table2[Species],Table2[Genus], "Code Not Found")</f>
        <v>Acer</v>
      </c>
      <c r="M153" t="str">
        <f>_xlfn.XLOOKUP(C153, Table2[Species],Table2[Sp. Name], "Code Not Found")</f>
        <v>saccharum</v>
      </c>
      <c r="N153" t="str">
        <f>_xlfn.XLOOKUP(C153,Table2[Species],Table2[Family],"Code Not Found")</f>
        <v>Sapindaceae</v>
      </c>
      <c r="O153" t="str" cm="1">
        <f t="array" ref="O153">_xlfn.IFS(F153="","",F153&lt;=5,"0 to 5",F153&lt;=10,"5.1 to 10",F153&lt;=20,"10 to 20", F153&lt;= 40, "20 to 40", F153 &lt;= 50, "40 to 50", F153 &gt; 50, "&gt;50" )</f>
        <v>0 to 5</v>
      </c>
    </row>
    <row r="154" spans="1:15" ht="14.4" x14ac:dyDescent="0.3">
      <c r="A154" t="s">
        <v>15</v>
      </c>
      <c r="B154" s="1">
        <v>46164</v>
      </c>
      <c r="C154" t="s">
        <v>16</v>
      </c>
      <c r="D154">
        <v>148</v>
      </c>
      <c r="E154">
        <v>1</v>
      </c>
      <c r="F154">
        <v>4.5999999999999996</v>
      </c>
      <c r="G154" t="s">
        <v>21</v>
      </c>
      <c r="I154" t="str">
        <f t="shared" si="3"/>
        <v>148_1</v>
      </c>
      <c r="J154" t="s">
        <v>18</v>
      </c>
      <c r="K154" t="s">
        <v>19</v>
      </c>
      <c r="L154" t="str">
        <f>_xlfn.XLOOKUP(C154, Table2[Species],Table2[Genus], "Code Not Found")</f>
        <v>Acer</v>
      </c>
      <c r="M154" t="str">
        <f>_xlfn.XLOOKUP(C154, Table2[Species],Table2[Sp. Name], "Code Not Found")</f>
        <v>saccharum</v>
      </c>
      <c r="N154" t="str">
        <f>_xlfn.XLOOKUP(C154,Table2[Species],Table2[Family],"Code Not Found")</f>
        <v>Sapindaceae</v>
      </c>
      <c r="O154" t="str" cm="1">
        <f t="array" ref="O154">_xlfn.IFS(F154="","",F154&lt;=5,"0 to 5",F154&lt;=10,"5.1 to 10",F154&lt;=20,"10 to 20", F154&lt;= 40, "20 to 40", F154 &lt;= 50, "40 to 50", F154 &gt; 50, "&gt;50" )</f>
        <v>0 to 5</v>
      </c>
    </row>
    <row r="155" spans="1:15" ht="14.4" x14ac:dyDescent="0.3">
      <c r="A155" t="s">
        <v>15</v>
      </c>
      <c r="B155" s="1">
        <v>46164</v>
      </c>
      <c r="C155" t="s">
        <v>16</v>
      </c>
      <c r="D155">
        <v>149</v>
      </c>
      <c r="E155">
        <v>1</v>
      </c>
      <c r="F155">
        <v>2.2999999999999998</v>
      </c>
      <c r="G155" t="s">
        <v>21</v>
      </c>
      <c r="I155" t="str">
        <f t="shared" si="3"/>
        <v>149_1</v>
      </c>
      <c r="J155" t="s">
        <v>18</v>
      </c>
      <c r="K155" t="s">
        <v>19</v>
      </c>
      <c r="L155" t="str">
        <f>_xlfn.XLOOKUP(C155, Table2[Species],Table2[Genus], "Code Not Found")</f>
        <v>Acer</v>
      </c>
      <c r="M155" t="str">
        <f>_xlfn.XLOOKUP(C155, Table2[Species],Table2[Sp. Name], "Code Not Found")</f>
        <v>saccharum</v>
      </c>
      <c r="N155" t="str">
        <f>_xlfn.XLOOKUP(C155,Table2[Species],Table2[Family],"Code Not Found")</f>
        <v>Sapindaceae</v>
      </c>
      <c r="O155" t="str" cm="1">
        <f t="array" ref="O155">_xlfn.IFS(F155="","",F155&lt;=5,"0 to 5",F155&lt;=10,"5.1 to 10",F155&lt;=20,"10 to 20", F155&lt;= 40, "20 to 40", F155 &lt;= 50, "40 to 50", F155 &gt; 50, "&gt;50" )</f>
        <v>0 to 5</v>
      </c>
    </row>
    <row r="156" spans="1:15" ht="14.4" x14ac:dyDescent="0.3">
      <c r="A156" t="s">
        <v>15</v>
      </c>
      <c r="B156" s="1">
        <v>46164</v>
      </c>
      <c r="C156" t="s">
        <v>16</v>
      </c>
      <c r="D156">
        <v>150</v>
      </c>
      <c r="E156">
        <v>1</v>
      </c>
      <c r="F156">
        <v>1.7</v>
      </c>
      <c r="G156" t="s">
        <v>17</v>
      </c>
      <c r="I156" t="str">
        <f t="shared" si="3"/>
        <v>150_1</v>
      </c>
      <c r="J156" t="s">
        <v>18</v>
      </c>
      <c r="K156" t="s">
        <v>19</v>
      </c>
      <c r="L156" t="str">
        <f>_xlfn.XLOOKUP(C156, Table2[Species],Table2[Genus], "Code Not Found")</f>
        <v>Acer</v>
      </c>
      <c r="M156" t="str">
        <f>_xlfn.XLOOKUP(C156, Table2[Species],Table2[Sp. Name], "Code Not Found")</f>
        <v>saccharum</v>
      </c>
      <c r="N156" t="str">
        <f>_xlfn.XLOOKUP(C156,Table2[Species],Table2[Family],"Code Not Found")</f>
        <v>Sapindaceae</v>
      </c>
      <c r="O156" t="str" cm="1">
        <f t="array" ref="O156">_xlfn.IFS(F156="","",F156&lt;=5,"0 to 5",F156&lt;=10,"5.1 to 10",F156&lt;=20,"10 to 20", F156&lt;= 40, "20 to 40", F156 &lt;= 50, "40 to 50", F156 &gt; 50, "&gt;50" )</f>
        <v>0 to 5</v>
      </c>
    </row>
    <row r="157" spans="1:15" ht="14.4" x14ac:dyDescent="0.3">
      <c r="A157" t="s">
        <v>15</v>
      </c>
      <c r="B157" s="1">
        <v>46164</v>
      </c>
      <c r="C157" t="s">
        <v>16</v>
      </c>
      <c r="D157">
        <v>151</v>
      </c>
      <c r="E157">
        <v>1</v>
      </c>
      <c r="F157">
        <v>1.9</v>
      </c>
      <c r="G157" t="s">
        <v>17</v>
      </c>
      <c r="I157" t="str">
        <f t="shared" si="3"/>
        <v>151_1</v>
      </c>
      <c r="J157" t="s">
        <v>18</v>
      </c>
      <c r="K157" t="s">
        <v>19</v>
      </c>
      <c r="L157" t="str">
        <f>_xlfn.XLOOKUP(C157, Table2[Species],Table2[Genus], "Code Not Found")</f>
        <v>Acer</v>
      </c>
      <c r="M157" t="str">
        <f>_xlfn.XLOOKUP(C157, Table2[Species],Table2[Sp. Name], "Code Not Found")</f>
        <v>saccharum</v>
      </c>
      <c r="N157" t="str">
        <f>_xlfn.XLOOKUP(C157,Table2[Species],Table2[Family],"Code Not Found")</f>
        <v>Sapindaceae</v>
      </c>
      <c r="O157" t="str" cm="1">
        <f t="array" ref="O157">_xlfn.IFS(F157="","",F157&lt;=5,"0 to 5",F157&lt;=10,"5.1 to 10",F157&lt;=20,"10 to 20", F157&lt;= 40, "20 to 40", F157 &lt;= 50, "40 to 50", F157 &gt; 50, "&gt;50" )</f>
        <v>0 to 5</v>
      </c>
    </row>
    <row r="158" spans="1:15" ht="14.4" x14ac:dyDescent="0.3">
      <c r="A158" t="s">
        <v>15</v>
      </c>
      <c r="B158" s="1">
        <v>46164</v>
      </c>
      <c r="C158" t="s">
        <v>16</v>
      </c>
      <c r="D158">
        <v>152</v>
      </c>
      <c r="E158">
        <v>1</v>
      </c>
      <c r="F158">
        <v>2.7</v>
      </c>
      <c r="G158" t="s">
        <v>21</v>
      </c>
      <c r="I158" t="str">
        <f t="shared" si="3"/>
        <v>152_1</v>
      </c>
      <c r="J158" t="s">
        <v>18</v>
      </c>
      <c r="K158" t="s">
        <v>19</v>
      </c>
      <c r="L158" t="str">
        <f>_xlfn.XLOOKUP(C158, Table2[Species],Table2[Genus], "Code Not Found")</f>
        <v>Acer</v>
      </c>
      <c r="M158" t="str">
        <f>_xlfn.XLOOKUP(C158, Table2[Species],Table2[Sp. Name], "Code Not Found")</f>
        <v>saccharum</v>
      </c>
      <c r="N158" t="str">
        <f>_xlfn.XLOOKUP(C158,Table2[Species],Table2[Family],"Code Not Found")</f>
        <v>Sapindaceae</v>
      </c>
      <c r="O158" t="str" cm="1">
        <f t="array" ref="O158">_xlfn.IFS(F158="","",F158&lt;=5,"0 to 5",F158&lt;=10,"5.1 to 10",F158&lt;=20,"10 to 20", F158&lt;= 40, "20 to 40", F158 &lt;= 50, "40 to 50", F158 &gt; 50, "&gt;50" )</f>
        <v>0 to 5</v>
      </c>
    </row>
    <row r="159" spans="1:15" ht="14.4" x14ac:dyDescent="0.3">
      <c r="A159" t="s">
        <v>15</v>
      </c>
      <c r="B159" s="1">
        <v>46164</v>
      </c>
      <c r="C159" t="s">
        <v>16</v>
      </c>
      <c r="D159">
        <v>153</v>
      </c>
      <c r="E159">
        <v>1</v>
      </c>
      <c r="F159">
        <v>3.3</v>
      </c>
      <c r="G159" t="s">
        <v>54</v>
      </c>
      <c r="I159" t="str">
        <f t="shared" si="3"/>
        <v>153_1</v>
      </c>
      <c r="J159" t="s">
        <v>18</v>
      </c>
      <c r="K159" t="s">
        <v>19</v>
      </c>
      <c r="L159" t="str">
        <f>_xlfn.XLOOKUP(C159, Table2[Species],Table2[Genus], "Code Not Found")</f>
        <v>Acer</v>
      </c>
      <c r="M159" t="str">
        <f>_xlfn.XLOOKUP(C159, Table2[Species],Table2[Sp. Name], "Code Not Found")</f>
        <v>saccharum</v>
      </c>
      <c r="N159" t="str">
        <f>_xlfn.XLOOKUP(C159,Table2[Species],Table2[Family],"Code Not Found")</f>
        <v>Sapindaceae</v>
      </c>
      <c r="O159" t="str" cm="1">
        <f t="array" ref="O159">_xlfn.IFS(F159="","",F159&lt;=5,"0 to 5",F159&lt;=10,"5.1 to 10",F159&lt;=20,"10 to 20", F159&lt;= 40, "20 to 40", F159 &lt;= 50, "40 to 50", F159 &gt; 50, "&gt;50" )</f>
        <v>0 to 5</v>
      </c>
    </row>
    <row r="160" spans="1:15" ht="14.4" x14ac:dyDescent="0.3">
      <c r="A160" t="s">
        <v>15</v>
      </c>
      <c r="B160" s="1">
        <v>46164</v>
      </c>
      <c r="C160" t="s">
        <v>16</v>
      </c>
      <c r="D160">
        <v>154</v>
      </c>
      <c r="E160">
        <v>1</v>
      </c>
      <c r="F160">
        <v>6.9</v>
      </c>
      <c r="G160" t="s">
        <v>56</v>
      </c>
      <c r="H160" t="s">
        <v>75</v>
      </c>
      <c r="I160" t="str">
        <f t="shared" si="3"/>
        <v>154_1</v>
      </c>
      <c r="J160" t="s">
        <v>18</v>
      </c>
      <c r="K160" t="s">
        <v>19</v>
      </c>
      <c r="L160" t="str">
        <f>_xlfn.XLOOKUP(C160, Table2[Species],Table2[Genus], "Code Not Found")</f>
        <v>Acer</v>
      </c>
      <c r="M160" t="str">
        <f>_xlfn.XLOOKUP(C160, Table2[Species],Table2[Sp. Name], "Code Not Found")</f>
        <v>saccharum</v>
      </c>
      <c r="N160" t="str">
        <f>_xlfn.XLOOKUP(C160,Table2[Species],Table2[Family],"Code Not Found")</f>
        <v>Sapindaceae</v>
      </c>
      <c r="O160" t="str" cm="1">
        <f t="array" ref="O160">_xlfn.IFS(F160="","",F160&lt;=5,"0 to 5",F160&lt;=10,"5.1 to 10",F160&lt;=20,"10 to 20", F160&lt;= 40, "20 to 40", F160 &lt;= 50, "40 to 50", F160 &gt; 50, "&gt;50" )</f>
        <v>5.1 to 10</v>
      </c>
    </row>
    <row r="161" spans="1:15" ht="14.4" x14ac:dyDescent="0.3">
      <c r="A161" t="s">
        <v>15</v>
      </c>
      <c r="B161" s="1">
        <v>46164</v>
      </c>
      <c r="C161" t="s">
        <v>59</v>
      </c>
      <c r="D161">
        <v>155</v>
      </c>
      <c r="E161">
        <v>1</v>
      </c>
      <c r="F161">
        <v>17.2</v>
      </c>
      <c r="G161" t="s">
        <v>21</v>
      </c>
      <c r="I161" t="str">
        <f t="shared" si="3"/>
        <v>155_1</v>
      </c>
      <c r="J161" t="s">
        <v>18</v>
      </c>
      <c r="K161" t="s">
        <v>19</v>
      </c>
      <c r="L161" t="str">
        <f>_xlfn.XLOOKUP(C161, Table2[Species],Table2[Genus], "Code Not Found")</f>
        <v>Nyssa</v>
      </c>
      <c r="M161" t="str">
        <f>_xlfn.XLOOKUP(C161, Table2[Species],Table2[Sp. Name], "Code Not Found")</f>
        <v>sylvatica</v>
      </c>
      <c r="N161" t="str">
        <f>_xlfn.XLOOKUP(C161,Table2[Species],Table2[Family],"Code Not Found")</f>
        <v>Nyssaceae</v>
      </c>
      <c r="O161" t="str" cm="1">
        <f t="array" ref="O161">_xlfn.IFS(F161="","",F161&lt;=5,"0 to 5",F161&lt;=10,"5.1 to 10",F161&lt;=20,"10 to 20", F161&lt;= 40, "20 to 40", F161 &lt;= 50, "40 to 50", F161 &gt; 50, "&gt;50" )</f>
        <v>10 to 20</v>
      </c>
    </row>
    <row r="162" spans="1:15" ht="14.4" x14ac:dyDescent="0.3">
      <c r="A162" t="s">
        <v>15</v>
      </c>
      <c r="B162" s="1">
        <v>46164</v>
      </c>
      <c r="C162" t="s">
        <v>22</v>
      </c>
      <c r="D162">
        <v>156</v>
      </c>
      <c r="E162">
        <v>1</v>
      </c>
      <c r="F162">
        <v>30.7</v>
      </c>
      <c r="G162" t="s">
        <v>21</v>
      </c>
      <c r="I162" t="str">
        <f t="shared" si="3"/>
        <v>156_1</v>
      </c>
      <c r="J162" t="s">
        <v>18</v>
      </c>
      <c r="K162" t="s">
        <v>19</v>
      </c>
      <c r="L162" t="str">
        <f>_xlfn.XLOOKUP(C162, Table2[Species],Table2[Genus], "Code Not Found")</f>
        <v>Acer</v>
      </c>
      <c r="M162" t="str">
        <f>_xlfn.XLOOKUP(C162, Table2[Species],Table2[Sp. Name], "Code Not Found")</f>
        <v>rubrum</v>
      </c>
      <c r="N162" t="str">
        <f>_xlfn.XLOOKUP(C162,Table2[Species],Table2[Family],"Code Not Found")</f>
        <v>Sapindaceae</v>
      </c>
      <c r="O162" t="str" cm="1">
        <f t="array" ref="O162">_xlfn.IFS(F162="","",F162&lt;=5,"0 to 5",F162&lt;=10,"5.1 to 10",F162&lt;=20,"10 to 20", F162&lt;= 40, "20 to 40", F162 &lt;= 50, "40 to 50", F162 &gt; 50, "&gt;50" )</f>
        <v>20 to 40</v>
      </c>
    </row>
    <row r="163" spans="1:15" ht="14.4" x14ac:dyDescent="0.3">
      <c r="A163" t="s">
        <v>15</v>
      </c>
      <c r="B163" s="1">
        <v>46164</v>
      </c>
      <c r="C163" t="s">
        <v>24</v>
      </c>
      <c r="D163">
        <v>157</v>
      </c>
      <c r="E163">
        <v>1</v>
      </c>
      <c r="F163">
        <v>38.5</v>
      </c>
      <c r="G163" t="s">
        <v>21</v>
      </c>
      <c r="I163" t="str">
        <f t="shared" si="3"/>
        <v>157_1</v>
      </c>
      <c r="J163" t="s">
        <v>18</v>
      </c>
      <c r="K163" t="s">
        <v>19</v>
      </c>
      <c r="L163" t="str">
        <f>_xlfn.XLOOKUP(C163, Table2[Species],Table2[Genus], "Code Not Found")</f>
        <v>Lirodendron</v>
      </c>
      <c r="M163" t="str">
        <f>_xlfn.XLOOKUP(C163, Table2[Species],Table2[Sp. Name], "Code Not Found")</f>
        <v>tulipfera</v>
      </c>
      <c r="N163" t="str">
        <f>_xlfn.XLOOKUP(C163,Table2[Species],Table2[Family],"Code Not Found")</f>
        <v>Magnoliaceae</v>
      </c>
      <c r="O163" t="str" cm="1">
        <f t="array" ref="O163">_xlfn.IFS(F163="","",F163&lt;=5,"0 to 5",F163&lt;=10,"5.1 to 10",F163&lt;=20,"10 to 20", F163&lt;= 40, "20 to 40", F163 &lt;= 50, "40 to 50", F163 &gt; 50, "&gt;50" )</f>
        <v>20 to 40</v>
      </c>
    </row>
    <row r="164" spans="1:15" ht="14.4" x14ac:dyDescent="0.3">
      <c r="A164" t="s">
        <v>15</v>
      </c>
      <c r="B164" s="1">
        <v>46164</v>
      </c>
      <c r="C164" t="s">
        <v>16</v>
      </c>
      <c r="D164">
        <v>158</v>
      </c>
      <c r="E164">
        <v>1</v>
      </c>
      <c r="F164">
        <v>1.6</v>
      </c>
      <c r="G164" t="s">
        <v>17</v>
      </c>
      <c r="I164" t="str">
        <f t="shared" si="3"/>
        <v>158_1</v>
      </c>
      <c r="J164" t="s">
        <v>18</v>
      </c>
      <c r="K164" t="s">
        <v>19</v>
      </c>
      <c r="L164" t="str">
        <f>_xlfn.XLOOKUP(C164, Table2[Species],Table2[Genus], "Code Not Found")</f>
        <v>Acer</v>
      </c>
      <c r="M164" t="str">
        <f>_xlfn.XLOOKUP(C164, Table2[Species],Table2[Sp. Name], "Code Not Found")</f>
        <v>saccharum</v>
      </c>
      <c r="N164" t="str">
        <f>_xlfn.XLOOKUP(C164,Table2[Species],Table2[Family],"Code Not Found")</f>
        <v>Sapindaceae</v>
      </c>
      <c r="O164" t="str" cm="1">
        <f t="array" ref="O164">_xlfn.IFS(F164="","",F164&lt;=5,"0 to 5",F164&lt;=10,"5.1 to 10",F164&lt;=20,"10 to 20", F164&lt;= 40, "20 to 40", F164 &lt;= 50, "40 to 50", F164 &gt; 50, "&gt;50" )</f>
        <v>0 to 5</v>
      </c>
    </row>
    <row r="165" spans="1:15" ht="14.4" x14ac:dyDescent="0.3">
      <c r="A165" t="s">
        <v>15</v>
      </c>
      <c r="B165" s="1">
        <v>46164</v>
      </c>
      <c r="C165" t="s">
        <v>16</v>
      </c>
      <c r="D165">
        <v>159</v>
      </c>
      <c r="E165">
        <v>1</v>
      </c>
      <c r="F165">
        <v>2.2000000000000002</v>
      </c>
      <c r="G165" t="s">
        <v>47</v>
      </c>
      <c r="H165" t="s">
        <v>48</v>
      </c>
      <c r="I165" t="str">
        <f t="shared" si="3"/>
        <v>159_1</v>
      </c>
      <c r="J165" t="s">
        <v>18</v>
      </c>
      <c r="K165" t="s">
        <v>19</v>
      </c>
      <c r="L165" t="str">
        <f>_xlfn.XLOOKUP(C165, Table2[Species],Table2[Genus], "Code Not Found")</f>
        <v>Acer</v>
      </c>
      <c r="M165" t="str">
        <f>_xlfn.XLOOKUP(C165, Table2[Species],Table2[Sp. Name], "Code Not Found")</f>
        <v>saccharum</v>
      </c>
      <c r="N165" t="str">
        <f>_xlfn.XLOOKUP(C165,Table2[Species],Table2[Family],"Code Not Found")</f>
        <v>Sapindaceae</v>
      </c>
      <c r="O165" t="str" cm="1">
        <f t="array" ref="O165">_xlfn.IFS(F165="","",F165&lt;=5,"0 to 5",F165&lt;=10,"5.1 to 10",F165&lt;=20,"10 to 20", F165&lt;= 40, "20 to 40", F165 &lt;= 50, "40 to 50", F165 &gt; 50, "&gt;50" )</f>
        <v>0 to 5</v>
      </c>
    </row>
    <row r="166" spans="1:15" ht="14.4" x14ac:dyDescent="0.3">
      <c r="A166" t="s">
        <v>15</v>
      </c>
      <c r="B166" s="1">
        <v>46164</v>
      </c>
      <c r="C166" t="s">
        <v>16</v>
      </c>
      <c r="D166">
        <v>160</v>
      </c>
      <c r="E166">
        <v>1</v>
      </c>
      <c r="F166">
        <v>4.9000000000000004</v>
      </c>
      <c r="G166" t="s">
        <v>21</v>
      </c>
      <c r="I166" t="str">
        <f t="shared" si="3"/>
        <v>160_1</v>
      </c>
      <c r="J166" t="s">
        <v>18</v>
      </c>
      <c r="K166" t="s">
        <v>19</v>
      </c>
      <c r="L166" t="str">
        <f>_xlfn.XLOOKUP(C166, Table2[Species],Table2[Genus], "Code Not Found")</f>
        <v>Acer</v>
      </c>
      <c r="M166" t="str">
        <f>_xlfn.XLOOKUP(C166, Table2[Species],Table2[Sp. Name], "Code Not Found")</f>
        <v>saccharum</v>
      </c>
      <c r="N166" t="str">
        <f>_xlfn.XLOOKUP(C166,Table2[Species],Table2[Family],"Code Not Found")</f>
        <v>Sapindaceae</v>
      </c>
      <c r="O166" t="str" cm="1">
        <f t="array" ref="O166">_xlfn.IFS(F166="","",F166&lt;=5,"0 to 5",F166&lt;=10,"5.1 to 10",F166&lt;=20,"10 to 20", F166&lt;= 40, "20 to 40", F166 &lt;= 50, "40 to 50", F166 &gt; 50, "&gt;50" )</f>
        <v>0 to 5</v>
      </c>
    </row>
    <row r="167" spans="1:15" ht="14.4" x14ac:dyDescent="0.3">
      <c r="A167" t="s">
        <v>15</v>
      </c>
      <c r="B167" s="1">
        <v>46164</v>
      </c>
      <c r="C167" t="s">
        <v>16</v>
      </c>
      <c r="D167">
        <v>161</v>
      </c>
      <c r="E167">
        <v>1</v>
      </c>
      <c r="F167">
        <v>3.1</v>
      </c>
      <c r="G167" t="s">
        <v>17</v>
      </c>
      <c r="I167" t="str">
        <f t="shared" si="3"/>
        <v>161_1</v>
      </c>
      <c r="J167" t="s">
        <v>18</v>
      </c>
      <c r="K167" t="s">
        <v>19</v>
      </c>
      <c r="L167" t="str">
        <f>_xlfn.XLOOKUP(C167, Table2[Species],Table2[Genus], "Code Not Found")</f>
        <v>Acer</v>
      </c>
      <c r="M167" t="str">
        <f>_xlfn.XLOOKUP(C167, Table2[Species],Table2[Sp. Name], "Code Not Found")</f>
        <v>saccharum</v>
      </c>
      <c r="N167" t="str">
        <f>_xlfn.XLOOKUP(C167,Table2[Species],Table2[Family],"Code Not Found")</f>
        <v>Sapindaceae</v>
      </c>
      <c r="O167" t="str" cm="1">
        <f t="array" ref="O167">_xlfn.IFS(F167="","",F167&lt;=5,"0 to 5",F167&lt;=10,"5.1 to 10",F167&lt;=20,"10 to 20", F167&lt;= 40, "20 to 40", F167 &lt;= 50, "40 to 50", F167 &gt; 50, "&gt;50" )</f>
        <v>0 to 5</v>
      </c>
    </row>
    <row r="168" spans="1:15" ht="14.4" x14ac:dyDescent="0.3">
      <c r="A168" t="s">
        <v>15</v>
      </c>
      <c r="B168" s="1">
        <v>46164</v>
      </c>
      <c r="C168" t="s">
        <v>22</v>
      </c>
      <c r="D168">
        <v>162</v>
      </c>
      <c r="E168">
        <v>1</v>
      </c>
      <c r="F168">
        <v>37.4</v>
      </c>
      <c r="G168" t="s">
        <v>21</v>
      </c>
      <c r="I168" t="str">
        <f t="shared" si="3"/>
        <v>162_1</v>
      </c>
      <c r="J168" t="s">
        <v>18</v>
      </c>
      <c r="K168" t="s">
        <v>19</v>
      </c>
      <c r="L168" t="str">
        <f>_xlfn.XLOOKUP(C168, Table2[Species],Table2[Genus], "Code Not Found")</f>
        <v>Acer</v>
      </c>
      <c r="M168" t="str">
        <f>_xlfn.XLOOKUP(C168, Table2[Species],Table2[Sp. Name], "Code Not Found")</f>
        <v>rubrum</v>
      </c>
      <c r="N168" t="str">
        <f>_xlfn.XLOOKUP(C168,Table2[Species],Table2[Family],"Code Not Found")</f>
        <v>Sapindaceae</v>
      </c>
      <c r="O168" t="str" cm="1">
        <f t="array" ref="O168">_xlfn.IFS(F168="","",F168&lt;=5,"0 to 5",F168&lt;=10,"5.1 to 10",F168&lt;=20,"10 to 20", F168&lt;= 40, "20 to 40", F168 &lt;= 50, "40 to 50", F168 &gt; 50, "&gt;50" )</f>
        <v>20 to 40</v>
      </c>
    </row>
    <row r="169" spans="1:15" ht="14.4" x14ac:dyDescent="0.3">
      <c r="A169" t="s">
        <v>15</v>
      </c>
      <c r="B169" s="1">
        <v>46164</v>
      </c>
      <c r="C169" t="s">
        <v>16</v>
      </c>
      <c r="D169">
        <v>163</v>
      </c>
      <c r="E169">
        <v>1</v>
      </c>
      <c r="F169">
        <v>1.9</v>
      </c>
      <c r="G169" t="s">
        <v>21</v>
      </c>
      <c r="H169" t="s">
        <v>76</v>
      </c>
      <c r="I169" t="str">
        <f t="shared" si="3"/>
        <v>163_1</v>
      </c>
      <c r="J169" t="s">
        <v>18</v>
      </c>
      <c r="K169" t="s">
        <v>19</v>
      </c>
      <c r="L169" t="str">
        <f>_xlfn.XLOOKUP(C169, Table2[Species],Table2[Genus], "Code Not Found")</f>
        <v>Acer</v>
      </c>
      <c r="M169" t="str">
        <f>_xlfn.XLOOKUP(C169, Table2[Species],Table2[Sp. Name], "Code Not Found")</f>
        <v>saccharum</v>
      </c>
      <c r="N169" t="str">
        <f>_xlfn.XLOOKUP(C169,Table2[Species],Table2[Family],"Code Not Found")</f>
        <v>Sapindaceae</v>
      </c>
      <c r="O169" t="str" cm="1">
        <f t="array" ref="O169">_xlfn.IFS(F169="","",F169&lt;=5,"0 to 5",F169&lt;=10,"5.1 to 10",F169&lt;=20,"10 to 20", F169&lt;= 40, "20 to 40", F169 &lt;= 50, "40 to 50", F169 &gt; 50, "&gt;50" )</f>
        <v>0 to 5</v>
      </c>
    </row>
    <row r="170" spans="1:15" ht="14.4" x14ac:dyDescent="0.3">
      <c r="A170" t="s">
        <v>15</v>
      </c>
      <c r="B170" s="1">
        <v>46164</v>
      </c>
      <c r="C170" t="s">
        <v>16</v>
      </c>
      <c r="D170">
        <v>164</v>
      </c>
      <c r="E170">
        <v>1</v>
      </c>
      <c r="F170">
        <v>1.9</v>
      </c>
      <c r="G170" t="s">
        <v>21</v>
      </c>
      <c r="I170" t="str">
        <f t="shared" si="3"/>
        <v>164_1</v>
      </c>
      <c r="J170" t="s">
        <v>18</v>
      </c>
      <c r="K170" t="s">
        <v>19</v>
      </c>
      <c r="L170" t="str">
        <f>_xlfn.XLOOKUP(C170, Table2[Species],Table2[Genus], "Code Not Found")</f>
        <v>Acer</v>
      </c>
      <c r="M170" t="str">
        <f>_xlfn.XLOOKUP(C170, Table2[Species],Table2[Sp. Name], "Code Not Found")</f>
        <v>saccharum</v>
      </c>
      <c r="N170" t="str">
        <f>_xlfn.XLOOKUP(C170,Table2[Species],Table2[Family],"Code Not Found")</f>
        <v>Sapindaceae</v>
      </c>
      <c r="O170" t="str" cm="1">
        <f t="array" ref="O170">_xlfn.IFS(F170="","",F170&lt;=5,"0 to 5",F170&lt;=10,"5.1 to 10",F170&lt;=20,"10 to 20", F170&lt;= 40, "20 to 40", F170 &lt;= 50, "40 to 50", F170 &gt; 50, "&gt;50" )</f>
        <v>0 to 5</v>
      </c>
    </row>
    <row r="171" spans="1:15" ht="14.4" x14ac:dyDescent="0.3">
      <c r="A171" t="s">
        <v>15</v>
      </c>
      <c r="B171" s="1">
        <v>46164</v>
      </c>
      <c r="C171" t="s">
        <v>24</v>
      </c>
      <c r="D171">
        <v>165</v>
      </c>
      <c r="E171">
        <v>1</v>
      </c>
      <c r="F171">
        <v>20.2</v>
      </c>
      <c r="G171" t="s">
        <v>21</v>
      </c>
      <c r="I171" t="str">
        <f t="shared" si="3"/>
        <v>165_1</v>
      </c>
      <c r="J171" t="s">
        <v>18</v>
      </c>
      <c r="K171" t="s">
        <v>19</v>
      </c>
      <c r="L171" t="str">
        <f>_xlfn.XLOOKUP(C171, Table2[Species],Table2[Genus], "Code Not Found")</f>
        <v>Lirodendron</v>
      </c>
      <c r="M171" t="str">
        <f>_xlfn.XLOOKUP(C171, Table2[Species],Table2[Sp. Name], "Code Not Found")</f>
        <v>tulipfera</v>
      </c>
      <c r="N171" t="str">
        <f>_xlfn.XLOOKUP(C171,Table2[Species],Table2[Family],"Code Not Found")</f>
        <v>Magnoliaceae</v>
      </c>
      <c r="O171" t="str" cm="1">
        <f t="array" ref="O171">_xlfn.IFS(F171="","",F171&lt;=5,"0 to 5",F171&lt;=10,"5.1 to 10",F171&lt;=20,"10 to 20", F171&lt;= 40, "20 to 40", F171 &lt;= 50, "40 to 50", F171 &gt; 50, "&gt;50" )</f>
        <v>20 to 40</v>
      </c>
    </row>
    <row r="172" spans="1:15" ht="14.4" x14ac:dyDescent="0.3">
      <c r="A172" t="s">
        <v>15</v>
      </c>
      <c r="B172" s="1">
        <v>46164</v>
      </c>
      <c r="C172" t="s">
        <v>16</v>
      </c>
      <c r="D172">
        <v>166</v>
      </c>
      <c r="E172">
        <v>1</v>
      </c>
      <c r="F172">
        <v>1.7</v>
      </c>
      <c r="G172" t="s">
        <v>17</v>
      </c>
      <c r="H172" t="s">
        <v>77</v>
      </c>
      <c r="I172" t="str">
        <f t="shared" si="3"/>
        <v>166_1</v>
      </c>
      <c r="J172" t="s">
        <v>18</v>
      </c>
      <c r="K172" t="s">
        <v>19</v>
      </c>
      <c r="L172" t="str">
        <f>_xlfn.XLOOKUP(C172, Table2[Species],Table2[Genus], "Code Not Found")</f>
        <v>Acer</v>
      </c>
      <c r="M172" t="str">
        <f>_xlfn.XLOOKUP(C172, Table2[Species],Table2[Sp. Name], "Code Not Found")</f>
        <v>saccharum</v>
      </c>
      <c r="N172" t="str">
        <f>_xlfn.XLOOKUP(C172,Table2[Species],Table2[Family],"Code Not Found")</f>
        <v>Sapindaceae</v>
      </c>
      <c r="O172" t="str" cm="1">
        <f t="array" ref="O172">_xlfn.IFS(F172="","",F172&lt;=5,"0 to 5",F172&lt;=10,"5.1 to 10",F172&lt;=20,"10 to 20", F172&lt;= 40, "20 to 40", F172 &lt;= 50, "40 to 50", F172 &gt; 50, "&gt;50" )</f>
        <v>0 to 5</v>
      </c>
    </row>
    <row r="173" spans="1:15" ht="14.4" x14ac:dyDescent="0.3">
      <c r="A173" t="s">
        <v>15</v>
      </c>
      <c r="B173" s="1">
        <v>46164</v>
      </c>
      <c r="C173" t="s">
        <v>22</v>
      </c>
      <c r="D173">
        <v>167</v>
      </c>
      <c r="E173">
        <v>1</v>
      </c>
      <c r="F173">
        <v>10</v>
      </c>
      <c r="G173" t="s">
        <v>56</v>
      </c>
      <c r="H173" t="s">
        <v>78</v>
      </c>
      <c r="I173" t="str">
        <f t="shared" si="3"/>
        <v>167_1</v>
      </c>
      <c r="J173" t="s">
        <v>18</v>
      </c>
      <c r="K173" t="s">
        <v>19</v>
      </c>
      <c r="L173" t="str">
        <f>_xlfn.XLOOKUP(C173, Table2[Species],Table2[Genus], "Code Not Found")</f>
        <v>Acer</v>
      </c>
      <c r="M173" t="str">
        <f>_xlfn.XLOOKUP(C173, Table2[Species],Table2[Sp. Name], "Code Not Found")</f>
        <v>rubrum</v>
      </c>
      <c r="N173" t="str">
        <f>_xlfn.XLOOKUP(C173,Table2[Species],Table2[Family],"Code Not Found")</f>
        <v>Sapindaceae</v>
      </c>
      <c r="O173" t="str" cm="1">
        <f t="array" ref="O173">_xlfn.IFS(F173="","",F173&lt;=5,"0 to 5",F173&lt;=10,"5.1 to 10",F173&lt;=20,"10 to 20", F173&lt;= 40, "20 to 40", F173 &lt;= 50, "40 to 50", F173 &gt; 50, "&gt;50" )</f>
        <v>5.1 to 10</v>
      </c>
    </row>
    <row r="174" spans="1:15" ht="14.4" x14ac:dyDescent="0.3">
      <c r="A174" t="s">
        <v>15</v>
      </c>
      <c r="B174" s="1">
        <v>46164</v>
      </c>
      <c r="C174" t="s">
        <v>16</v>
      </c>
      <c r="D174">
        <v>168</v>
      </c>
      <c r="E174">
        <v>1</v>
      </c>
      <c r="F174">
        <v>11.7</v>
      </c>
      <c r="G174" t="s">
        <v>17</v>
      </c>
      <c r="I174" t="str">
        <f t="shared" si="3"/>
        <v>168_1</v>
      </c>
      <c r="J174" t="s">
        <v>18</v>
      </c>
      <c r="K174" t="s">
        <v>19</v>
      </c>
      <c r="L174" t="str">
        <f>_xlfn.XLOOKUP(C174, Table2[Species],Table2[Genus], "Code Not Found")</f>
        <v>Acer</v>
      </c>
      <c r="M174" t="str">
        <f>_xlfn.XLOOKUP(C174, Table2[Species],Table2[Sp. Name], "Code Not Found")</f>
        <v>saccharum</v>
      </c>
      <c r="N174" t="str">
        <f>_xlfn.XLOOKUP(C174,Table2[Species],Table2[Family],"Code Not Found")</f>
        <v>Sapindaceae</v>
      </c>
      <c r="O174" t="str" cm="1">
        <f t="array" ref="O174">_xlfn.IFS(F174="","",F174&lt;=5,"0 to 5",F174&lt;=10,"5.1 to 10",F174&lt;=20,"10 to 20", F174&lt;= 40, "20 to 40", F174 &lt;= 50, "40 to 50", F174 &gt; 50, "&gt;50" )</f>
        <v>10 to 20</v>
      </c>
    </row>
    <row r="175" spans="1:15" ht="14.4" x14ac:dyDescent="0.3">
      <c r="A175" t="s">
        <v>15</v>
      </c>
      <c r="B175" s="1">
        <v>46164</v>
      </c>
      <c r="C175" t="s">
        <v>16</v>
      </c>
      <c r="D175">
        <v>169</v>
      </c>
      <c r="E175">
        <v>1</v>
      </c>
      <c r="F175">
        <v>2.9</v>
      </c>
      <c r="G175" t="s">
        <v>21</v>
      </c>
      <c r="I175" t="str">
        <f t="shared" si="3"/>
        <v>169_1</v>
      </c>
      <c r="J175" t="s">
        <v>18</v>
      </c>
      <c r="K175" t="s">
        <v>19</v>
      </c>
      <c r="L175" t="str">
        <f>_xlfn.XLOOKUP(C175, Table2[Species],Table2[Genus], "Code Not Found")</f>
        <v>Acer</v>
      </c>
      <c r="M175" t="str">
        <f>_xlfn.XLOOKUP(C175, Table2[Species],Table2[Sp. Name], "Code Not Found")</f>
        <v>saccharum</v>
      </c>
      <c r="N175" t="str">
        <f>_xlfn.XLOOKUP(C175,Table2[Species],Table2[Family],"Code Not Found")</f>
        <v>Sapindaceae</v>
      </c>
      <c r="O175" t="str" cm="1">
        <f t="array" ref="O175">_xlfn.IFS(F175="","",F175&lt;=5,"0 to 5",F175&lt;=10,"5.1 to 10",F175&lt;=20,"10 to 20", F175&lt;= 40, "20 to 40", F175 &lt;= 50, "40 to 50", F175 &gt; 50, "&gt;50" )</f>
        <v>0 to 5</v>
      </c>
    </row>
    <row r="176" spans="1:15" ht="14.4" x14ac:dyDescent="0.3">
      <c r="A176" t="s">
        <v>15</v>
      </c>
      <c r="B176" s="1">
        <v>46164</v>
      </c>
      <c r="C176" t="s">
        <v>16</v>
      </c>
      <c r="D176">
        <v>170</v>
      </c>
      <c r="E176">
        <v>1</v>
      </c>
      <c r="F176">
        <v>2.5</v>
      </c>
      <c r="G176" t="s">
        <v>17</v>
      </c>
      <c r="I176" t="str">
        <f t="shared" si="3"/>
        <v>170_1</v>
      </c>
      <c r="J176" t="s">
        <v>18</v>
      </c>
      <c r="K176" t="s">
        <v>19</v>
      </c>
      <c r="L176" t="str">
        <f>_xlfn.XLOOKUP(C176, Table2[Species],Table2[Genus], "Code Not Found")</f>
        <v>Acer</v>
      </c>
      <c r="M176" t="str">
        <f>_xlfn.XLOOKUP(C176, Table2[Species],Table2[Sp. Name], "Code Not Found")</f>
        <v>saccharum</v>
      </c>
      <c r="N176" t="str">
        <f>_xlfn.XLOOKUP(C176,Table2[Species],Table2[Family],"Code Not Found")</f>
        <v>Sapindaceae</v>
      </c>
      <c r="O176" t="str" cm="1">
        <f t="array" ref="O176">_xlfn.IFS(F176="","",F176&lt;=5,"0 to 5",F176&lt;=10,"5.1 to 10",F176&lt;=20,"10 to 20", F176&lt;= 40, "20 to 40", F176 &lt;= 50, "40 to 50", F176 &gt; 50, "&gt;50" )</f>
        <v>0 to 5</v>
      </c>
    </row>
    <row r="177" spans="1:15" ht="14.4" x14ac:dyDescent="0.3">
      <c r="A177" t="s">
        <v>15</v>
      </c>
      <c r="B177" s="1">
        <v>46164</v>
      </c>
      <c r="C177" t="s">
        <v>16</v>
      </c>
      <c r="D177">
        <v>171</v>
      </c>
      <c r="E177">
        <v>1</v>
      </c>
      <c r="F177">
        <v>2.9</v>
      </c>
      <c r="G177" t="s">
        <v>17</v>
      </c>
      <c r="I177" t="str">
        <f t="shared" si="3"/>
        <v>171_1</v>
      </c>
      <c r="J177" t="s">
        <v>18</v>
      </c>
      <c r="K177" t="s">
        <v>19</v>
      </c>
      <c r="L177" t="str">
        <f>_xlfn.XLOOKUP(C177, Table2[Species],Table2[Genus], "Code Not Found")</f>
        <v>Acer</v>
      </c>
      <c r="M177" t="str">
        <f>_xlfn.XLOOKUP(C177, Table2[Species],Table2[Sp. Name], "Code Not Found")</f>
        <v>saccharum</v>
      </c>
      <c r="N177" t="str">
        <f>_xlfn.XLOOKUP(C177,Table2[Species],Table2[Family],"Code Not Found")</f>
        <v>Sapindaceae</v>
      </c>
      <c r="O177" t="str" cm="1">
        <f t="array" ref="O177">_xlfn.IFS(F177="","",F177&lt;=5,"0 to 5",F177&lt;=10,"5.1 to 10",F177&lt;=20,"10 to 20", F177&lt;= 40, "20 to 40", F177 &lt;= 50, "40 to 50", F177 &gt; 50, "&gt;50" )</f>
        <v>0 to 5</v>
      </c>
    </row>
    <row r="178" spans="1:15" ht="14.4" x14ac:dyDescent="0.3">
      <c r="A178" t="s">
        <v>15</v>
      </c>
      <c r="B178" s="1">
        <v>46164</v>
      </c>
      <c r="C178" t="s">
        <v>16</v>
      </c>
      <c r="D178">
        <v>172</v>
      </c>
      <c r="E178">
        <v>1</v>
      </c>
      <c r="F178">
        <v>2.6</v>
      </c>
      <c r="G178" t="s">
        <v>47</v>
      </c>
      <c r="H178" t="s">
        <v>48</v>
      </c>
      <c r="I178" t="str">
        <f t="shared" si="3"/>
        <v>172_1</v>
      </c>
      <c r="J178" t="s">
        <v>18</v>
      </c>
      <c r="K178" t="s">
        <v>19</v>
      </c>
      <c r="L178" t="str">
        <f>_xlfn.XLOOKUP(C178, Table2[Species],Table2[Genus], "Code Not Found")</f>
        <v>Acer</v>
      </c>
      <c r="M178" t="str">
        <f>_xlfn.XLOOKUP(C178, Table2[Species],Table2[Sp. Name], "Code Not Found")</f>
        <v>saccharum</v>
      </c>
      <c r="N178" t="str">
        <f>_xlfn.XLOOKUP(C178,Table2[Species],Table2[Family],"Code Not Found")</f>
        <v>Sapindaceae</v>
      </c>
      <c r="O178" t="str" cm="1">
        <f t="array" ref="O178">_xlfn.IFS(F178="","",F178&lt;=5,"0 to 5",F178&lt;=10,"5.1 to 10",F178&lt;=20,"10 to 20", F178&lt;= 40, "20 to 40", F178 &lt;= 50, "40 to 50", F178 &gt; 50, "&gt;50" )</f>
        <v>0 to 5</v>
      </c>
    </row>
    <row r="179" spans="1:15" ht="14.4" x14ac:dyDescent="0.3">
      <c r="A179" t="s">
        <v>15</v>
      </c>
      <c r="B179" s="1">
        <v>46164</v>
      </c>
      <c r="C179" t="s">
        <v>16</v>
      </c>
      <c r="D179">
        <v>173</v>
      </c>
      <c r="E179">
        <v>1</v>
      </c>
      <c r="F179">
        <v>3.5</v>
      </c>
      <c r="G179" t="s">
        <v>56</v>
      </c>
      <c r="H179" t="s">
        <v>79</v>
      </c>
      <c r="I179" t="str">
        <f t="shared" si="3"/>
        <v>173_1</v>
      </c>
      <c r="J179" t="s">
        <v>18</v>
      </c>
      <c r="K179" t="s">
        <v>19</v>
      </c>
      <c r="L179" t="str">
        <f>_xlfn.XLOOKUP(C179, Table2[Species],Table2[Genus], "Code Not Found")</f>
        <v>Acer</v>
      </c>
      <c r="M179" t="str">
        <f>_xlfn.XLOOKUP(C179, Table2[Species],Table2[Sp. Name], "Code Not Found")</f>
        <v>saccharum</v>
      </c>
      <c r="N179" t="str">
        <f>_xlfn.XLOOKUP(C179,Table2[Species],Table2[Family],"Code Not Found")</f>
        <v>Sapindaceae</v>
      </c>
      <c r="O179" t="str" cm="1">
        <f t="array" ref="O179">_xlfn.IFS(F179="","",F179&lt;=5,"0 to 5",F179&lt;=10,"5.1 to 10",F179&lt;=20,"10 to 20", F179&lt;= 40, "20 to 40", F179 &lt;= 50, "40 to 50", F179 &gt; 50, "&gt;50" )</f>
        <v>0 to 5</v>
      </c>
    </row>
    <row r="180" spans="1:15" ht="14.4" x14ac:dyDescent="0.3">
      <c r="A180" t="s">
        <v>15</v>
      </c>
      <c r="B180" s="1">
        <v>46164</v>
      </c>
      <c r="C180" t="s">
        <v>16</v>
      </c>
      <c r="D180">
        <v>174</v>
      </c>
      <c r="E180">
        <v>1</v>
      </c>
      <c r="F180">
        <v>1.9</v>
      </c>
      <c r="G180" t="s">
        <v>17</v>
      </c>
      <c r="I180" t="str">
        <f t="shared" si="3"/>
        <v>174_1</v>
      </c>
      <c r="J180" t="s">
        <v>18</v>
      </c>
      <c r="K180" t="s">
        <v>19</v>
      </c>
      <c r="L180" t="str">
        <f>_xlfn.XLOOKUP(C180, Table2[Species],Table2[Genus], "Code Not Found")</f>
        <v>Acer</v>
      </c>
      <c r="M180" t="str">
        <f>_xlfn.XLOOKUP(C180, Table2[Species],Table2[Sp. Name], "Code Not Found")</f>
        <v>saccharum</v>
      </c>
      <c r="N180" t="str">
        <f>_xlfn.XLOOKUP(C180,Table2[Species],Table2[Family],"Code Not Found")</f>
        <v>Sapindaceae</v>
      </c>
      <c r="O180" t="str" cm="1">
        <f t="array" ref="O180">_xlfn.IFS(F180="","",F180&lt;=5,"0 to 5",F180&lt;=10,"5.1 to 10",F180&lt;=20,"10 to 20", F180&lt;= 40, "20 to 40", F180 &lt;= 50, "40 to 50", F180 &gt; 50, "&gt;50" )</f>
        <v>0 to 5</v>
      </c>
    </row>
    <row r="181" spans="1:15" ht="14.4" x14ac:dyDescent="0.3">
      <c r="A181" t="s">
        <v>15</v>
      </c>
      <c r="B181" s="1">
        <v>46164</v>
      </c>
      <c r="C181" t="s">
        <v>59</v>
      </c>
      <c r="D181">
        <v>175</v>
      </c>
      <c r="E181">
        <v>1</v>
      </c>
      <c r="F181">
        <v>25.2</v>
      </c>
      <c r="G181" t="s">
        <v>21</v>
      </c>
      <c r="I181" t="str">
        <f t="shared" si="3"/>
        <v>175_1</v>
      </c>
      <c r="J181" t="s">
        <v>18</v>
      </c>
      <c r="K181" t="s">
        <v>19</v>
      </c>
      <c r="L181" t="str">
        <f>_xlfn.XLOOKUP(C181, Table2[Species],Table2[Genus], "Code Not Found")</f>
        <v>Nyssa</v>
      </c>
      <c r="M181" t="str">
        <f>_xlfn.XLOOKUP(C181, Table2[Species],Table2[Sp. Name], "Code Not Found")</f>
        <v>sylvatica</v>
      </c>
      <c r="N181" t="str">
        <f>_xlfn.XLOOKUP(C181,Table2[Species],Table2[Family],"Code Not Found")</f>
        <v>Nyssaceae</v>
      </c>
      <c r="O181" t="str" cm="1">
        <f t="array" ref="O181">_xlfn.IFS(F181="","",F181&lt;=5,"0 to 5",F181&lt;=10,"5.1 to 10",F181&lt;=20,"10 to 20", F181&lt;= 40, "20 to 40", F181 &lt;= 50, "40 to 50", F181 &gt; 50, "&gt;50" )</f>
        <v>20 to 40</v>
      </c>
    </row>
    <row r="182" spans="1:15" ht="14.4" x14ac:dyDescent="0.3">
      <c r="A182" t="s">
        <v>15</v>
      </c>
      <c r="B182" s="1">
        <v>46164</v>
      </c>
      <c r="C182" t="s">
        <v>29</v>
      </c>
      <c r="D182">
        <v>176</v>
      </c>
      <c r="E182">
        <v>1</v>
      </c>
      <c r="F182">
        <v>45.2</v>
      </c>
      <c r="G182" t="s">
        <v>21</v>
      </c>
      <c r="I182" t="str">
        <f t="shared" si="3"/>
        <v>176_1</v>
      </c>
      <c r="J182" t="s">
        <v>18</v>
      </c>
      <c r="K182" t="s">
        <v>19</v>
      </c>
      <c r="L182" t="str">
        <f>_xlfn.XLOOKUP(C182, Table2[Species],Table2[Genus], "Code Not Found")</f>
        <v>Sassafras</v>
      </c>
      <c r="M182" t="str">
        <f>_xlfn.XLOOKUP(C182, Table2[Species],Table2[Sp. Name], "Code Not Found")</f>
        <v>albidum</v>
      </c>
      <c r="N182" t="str">
        <f>_xlfn.XLOOKUP(C182,Table2[Species],Table2[Family],"Code Not Found")</f>
        <v>Lauraceae</v>
      </c>
      <c r="O182" t="str" cm="1">
        <f t="array" ref="O182">_xlfn.IFS(F182="","",F182&lt;=5,"0 to 5",F182&lt;=10,"5.1 to 10",F182&lt;=20,"10 to 20", F182&lt;= 40, "20 to 40", F182 &lt;= 50, "40 to 50", F182 &gt; 50, "&gt;50" )</f>
        <v>40 to 50</v>
      </c>
    </row>
    <row r="183" spans="1:15" ht="14.4" x14ac:dyDescent="0.3">
      <c r="A183" t="s">
        <v>15</v>
      </c>
      <c r="B183" s="1">
        <v>46164</v>
      </c>
      <c r="C183" t="s">
        <v>16</v>
      </c>
      <c r="D183">
        <v>177</v>
      </c>
      <c r="E183">
        <v>1</v>
      </c>
      <c r="F183">
        <v>2</v>
      </c>
      <c r="G183" t="s">
        <v>17</v>
      </c>
      <c r="I183" t="str">
        <f t="shared" si="3"/>
        <v>177_1</v>
      </c>
      <c r="J183" t="s">
        <v>18</v>
      </c>
      <c r="K183" t="s">
        <v>19</v>
      </c>
      <c r="L183" t="str">
        <f>_xlfn.XLOOKUP(C183, Table2[Species],Table2[Genus], "Code Not Found")</f>
        <v>Acer</v>
      </c>
      <c r="M183" t="str">
        <f>_xlfn.XLOOKUP(C183, Table2[Species],Table2[Sp. Name], "Code Not Found")</f>
        <v>saccharum</v>
      </c>
      <c r="N183" t="str">
        <f>_xlfn.XLOOKUP(C183,Table2[Species],Table2[Family],"Code Not Found")</f>
        <v>Sapindaceae</v>
      </c>
      <c r="O183" t="str" cm="1">
        <f t="array" ref="O183">_xlfn.IFS(F183="","",F183&lt;=5,"0 to 5",F183&lt;=10,"5.1 to 10",F183&lt;=20,"10 to 20", F183&lt;= 40, "20 to 40", F183 &lt;= 50, "40 to 50", F183 &gt; 50, "&gt;50" )</f>
        <v>0 to 5</v>
      </c>
    </row>
    <row r="184" spans="1:15" ht="14.4" x14ac:dyDescent="0.3">
      <c r="A184" t="s">
        <v>15</v>
      </c>
      <c r="B184" s="1">
        <v>46164</v>
      </c>
      <c r="C184" t="s">
        <v>16</v>
      </c>
      <c r="D184">
        <v>178</v>
      </c>
      <c r="E184">
        <v>1</v>
      </c>
      <c r="F184">
        <v>3.6</v>
      </c>
      <c r="G184" t="s">
        <v>56</v>
      </c>
      <c r="H184" t="s">
        <v>80</v>
      </c>
      <c r="I184" t="str">
        <f t="shared" si="3"/>
        <v>178_1</v>
      </c>
      <c r="J184" t="s">
        <v>18</v>
      </c>
      <c r="K184" t="s">
        <v>19</v>
      </c>
      <c r="L184" t="str">
        <f>_xlfn.XLOOKUP(C184, Table2[Species],Table2[Genus], "Code Not Found")</f>
        <v>Acer</v>
      </c>
      <c r="M184" t="str">
        <f>_xlfn.XLOOKUP(C184, Table2[Species],Table2[Sp. Name], "Code Not Found")</f>
        <v>saccharum</v>
      </c>
      <c r="N184" t="str">
        <f>_xlfn.XLOOKUP(C184,Table2[Species],Table2[Family],"Code Not Found")</f>
        <v>Sapindaceae</v>
      </c>
      <c r="O184" t="str" cm="1">
        <f t="array" ref="O184">_xlfn.IFS(F184="","",F184&lt;=5,"0 to 5",F184&lt;=10,"5.1 to 10",F184&lt;=20,"10 to 20", F184&lt;= 40, "20 to 40", F184 &lt;= 50, "40 to 50", F184 &gt; 50, "&gt;50" )</f>
        <v>0 to 5</v>
      </c>
    </row>
    <row r="185" spans="1:15" ht="14.4" x14ac:dyDescent="0.3">
      <c r="A185" t="s">
        <v>15</v>
      </c>
      <c r="B185" s="1">
        <v>46164</v>
      </c>
      <c r="C185" t="s">
        <v>16</v>
      </c>
      <c r="D185">
        <v>179</v>
      </c>
      <c r="E185">
        <v>1</v>
      </c>
      <c r="F185">
        <v>1.4</v>
      </c>
      <c r="G185" t="s">
        <v>81</v>
      </c>
      <c r="H185" t="s">
        <v>82</v>
      </c>
      <c r="I185" t="str">
        <f t="shared" si="3"/>
        <v>179_1</v>
      </c>
      <c r="J185" t="s">
        <v>18</v>
      </c>
      <c r="K185" t="s">
        <v>19</v>
      </c>
      <c r="L185" t="str">
        <f>_xlfn.XLOOKUP(C185, Table2[Species],Table2[Genus], "Code Not Found")</f>
        <v>Acer</v>
      </c>
      <c r="M185" t="str">
        <f>_xlfn.XLOOKUP(C185, Table2[Species],Table2[Sp. Name], "Code Not Found")</f>
        <v>saccharum</v>
      </c>
      <c r="N185" t="str">
        <f>_xlfn.XLOOKUP(C185,Table2[Species],Table2[Family],"Code Not Found")</f>
        <v>Sapindaceae</v>
      </c>
      <c r="O185" t="str" cm="1">
        <f t="array" ref="O185">_xlfn.IFS(F185="","",F185&lt;=5,"0 to 5",F185&lt;=10,"5.1 to 10",F185&lt;=20,"10 to 20", F185&lt;= 40, "20 to 40", F185 &lt;= 50, "40 to 50", F185 &gt; 50, "&gt;50" )</f>
        <v>0 to 5</v>
      </c>
    </row>
    <row r="186" spans="1:15" ht="14.4" x14ac:dyDescent="0.3">
      <c r="A186" t="s">
        <v>15</v>
      </c>
      <c r="B186" s="1">
        <v>46164</v>
      </c>
      <c r="C186" t="s">
        <v>16</v>
      </c>
      <c r="D186">
        <v>180</v>
      </c>
      <c r="E186">
        <v>1</v>
      </c>
      <c r="F186">
        <v>2.6</v>
      </c>
      <c r="G186" t="s">
        <v>17</v>
      </c>
      <c r="I186" t="str">
        <f t="shared" si="3"/>
        <v>180_1</v>
      </c>
      <c r="J186" t="s">
        <v>18</v>
      </c>
      <c r="K186" t="s">
        <v>19</v>
      </c>
      <c r="L186" t="str">
        <f>_xlfn.XLOOKUP(C186, Table2[Species],Table2[Genus], "Code Not Found")</f>
        <v>Acer</v>
      </c>
      <c r="M186" t="str">
        <f>_xlfn.XLOOKUP(C186, Table2[Species],Table2[Sp. Name], "Code Not Found")</f>
        <v>saccharum</v>
      </c>
      <c r="N186" t="str">
        <f>_xlfn.XLOOKUP(C186,Table2[Species],Table2[Family],"Code Not Found")</f>
        <v>Sapindaceae</v>
      </c>
      <c r="O186" t="str" cm="1">
        <f t="array" ref="O186">_xlfn.IFS(F186="","",F186&lt;=5,"0 to 5",F186&lt;=10,"5.1 to 10",F186&lt;=20,"10 to 20", F186&lt;= 40, "20 to 40", F186 &lt;= 50, "40 to 50", F186 &gt; 50, "&gt;50" )</f>
        <v>0 to 5</v>
      </c>
    </row>
    <row r="187" spans="1:15" ht="14.4" x14ac:dyDescent="0.3">
      <c r="A187" t="s">
        <v>15</v>
      </c>
      <c r="B187" s="1">
        <v>46164</v>
      </c>
      <c r="C187" t="s">
        <v>20</v>
      </c>
      <c r="D187">
        <v>181</v>
      </c>
      <c r="E187">
        <v>1</v>
      </c>
      <c r="F187">
        <v>62.7</v>
      </c>
      <c r="G187" t="s">
        <v>21</v>
      </c>
      <c r="I187" t="str">
        <f t="shared" si="3"/>
        <v>181_1</v>
      </c>
      <c r="J187" t="s">
        <v>18</v>
      </c>
      <c r="K187" t="s">
        <v>19</v>
      </c>
      <c r="L187" t="str">
        <f>_xlfn.XLOOKUP(C187, Table2[Species],Table2[Genus], "Code Not Found")</f>
        <v>Prunus</v>
      </c>
      <c r="M187" t="str">
        <f>_xlfn.XLOOKUP(C187, Table2[Species],Table2[Sp. Name], "Code Not Found")</f>
        <v>serotina</v>
      </c>
      <c r="N187" t="str">
        <f>_xlfn.XLOOKUP(C187,Table2[Species],Table2[Family],"Code Not Found")</f>
        <v>Rosaceae</v>
      </c>
      <c r="O187" t="str" cm="1">
        <f t="array" ref="O187">_xlfn.IFS(F187="","",F187&lt;=5,"0 to 5",F187&lt;=10,"5.1 to 10",F187&lt;=20,"10 to 20", F187&lt;= 40, "20 to 40", F187 &lt;= 50, "40 to 50", F187 &gt; 50, "&gt;50" )</f>
        <v>&gt;50</v>
      </c>
    </row>
    <row r="188" spans="1:15" ht="14.4" x14ac:dyDescent="0.3">
      <c r="A188" t="s">
        <v>15</v>
      </c>
      <c r="B188" s="1">
        <v>46164</v>
      </c>
      <c r="C188" t="s">
        <v>16</v>
      </c>
      <c r="D188">
        <v>182</v>
      </c>
      <c r="E188">
        <v>1</v>
      </c>
      <c r="F188">
        <v>1.9</v>
      </c>
      <c r="G188" t="s">
        <v>47</v>
      </c>
      <c r="H188" t="s">
        <v>43</v>
      </c>
      <c r="I188" t="str">
        <f t="shared" si="3"/>
        <v>182_1</v>
      </c>
      <c r="J188" t="s">
        <v>18</v>
      </c>
      <c r="K188" t="s">
        <v>19</v>
      </c>
      <c r="L188" t="str">
        <f>_xlfn.XLOOKUP(C188, Table2[Species],Table2[Genus], "Code Not Found")</f>
        <v>Acer</v>
      </c>
      <c r="M188" t="str">
        <f>_xlfn.XLOOKUP(C188, Table2[Species],Table2[Sp. Name], "Code Not Found")</f>
        <v>saccharum</v>
      </c>
      <c r="N188" t="str">
        <f>_xlfn.XLOOKUP(C188,Table2[Species],Table2[Family],"Code Not Found")</f>
        <v>Sapindaceae</v>
      </c>
      <c r="O188" t="str" cm="1">
        <f t="array" ref="O188">_xlfn.IFS(F188="","",F188&lt;=5,"0 to 5",F188&lt;=10,"5.1 to 10",F188&lt;=20,"10 to 20", F188&lt;= 40, "20 to 40", F188 &lt;= 50, "40 to 50", F188 &gt; 50, "&gt;50" )</f>
        <v>0 to 5</v>
      </c>
    </row>
    <row r="189" spans="1:15" ht="14.4" x14ac:dyDescent="0.3">
      <c r="A189" t="s">
        <v>15</v>
      </c>
      <c r="B189" s="1">
        <v>46164</v>
      </c>
      <c r="C189" t="s">
        <v>16</v>
      </c>
      <c r="D189">
        <v>183</v>
      </c>
      <c r="E189">
        <v>1</v>
      </c>
      <c r="F189">
        <v>1</v>
      </c>
      <c r="G189" t="s">
        <v>47</v>
      </c>
      <c r="H189" t="s">
        <v>43</v>
      </c>
      <c r="I189" t="str">
        <f t="shared" si="3"/>
        <v>183_1</v>
      </c>
      <c r="J189" t="s">
        <v>18</v>
      </c>
      <c r="K189" t="s">
        <v>19</v>
      </c>
      <c r="L189" t="str">
        <f>_xlfn.XLOOKUP(C189, Table2[Species],Table2[Genus], "Code Not Found")</f>
        <v>Acer</v>
      </c>
      <c r="M189" t="str">
        <f>_xlfn.XLOOKUP(C189, Table2[Species],Table2[Sp. Name], "Code Not Found")</f>
        <v>saccharum</v>
      </c>
      <c r="N189" t="str">
        <f>_xlfn.XLOOKUP(C189,Table2[Species],Table2[Family],"Code Not Found")</f>
        <v>Sapindaceae</v>
      </c>
      <c r="O189" t="str" cm="1">
        <f t="array" ref="O189">_xlfn.IFS(F189="","",F189&lt;=5,"0 to 5",F189&lt;=10,"5.1 to 10",F189&lt;=20,"10 to 20", F189&lt;= 40, "20 to 40", F189 &lt;= 50, "40 to 50", F189 &gt; 50, "&gt;50" )</f>
        <v>0 to 5</v>
      </c>
    </row>
    <row r="190" spans="1:15" ht="14.4" x14ac:dyDescent="0.3">
      <c r="A190" t="s">
        <v>15</v>
      </c>
      <c r="B190" s="1">
        <v>46164</v>
      </c>
      <c r="C190" t="s">
        <v>16</v>
      </c>
      <c r="D190">
        <v>184</v>
      </c>
      <c r="E190">
        <v>1</v>
      </c>
      <c r="F190">
        <v>4.4000000000000004</v>
      </c>
      <c r="G190" t="s">
        <v>21</v>
      </c>
      <c r="I190" t="str">
        <f t="shared" si="3"/>
        <v>184_1</v>
      </c>
      <c r="J190" t="s">
        <v>18</v>
      </c>
      <c r="K190" t="s">
        <v>19</v>
      </c>
      <c r="L190" t="str">
        <f>_xlfn.XLOOKUP(C190, Table2[Species],Table2[Genus], "Code Not Found")</f>
        <v>Acer</v>
      </c>
      <c r="M190" t="str">
        <f>_xlfn.XLOOKUP(C190, Table2[Species],Table2[Sp. Name], "Code Not Found")</f>
        <v>saccharum</v>
      </c>
      <c r="N190" t="str">
        <f>_xlfn.XLOOKUP(C190,Table2[Species],Table2[Family],"Code Not Found")</f>
        <v>Sapindaceae</v>
      </c>
      <c r="O190" t="str" cm="1">
        <f t="array" ref="O190">_xlfn.IFS(F190="","",F190&lt;=5,"0 to 5",F190&lt;=10,"5.1 to 10",F190&lt;=20,"10 to 20", F190&lt;= 40, "20 to 40", F190 &lt;= 50, "40 to 50", F190 &gt; 50, "&gt;50" )</f>
        <v>0 to 5</v>
      </c>
    </row>
    <row r="191" spans="1:15" ht="14.4" x14ac:dyDescent="0.3">
      <c r="A191" t="s">
        <v>15</v>
      </c>
      <c r="B191" s="1">
        <v>46164</v>
      </c>
      <c r="C191" t="s">
        <v>16</v>
      </c>
      <c r="D191">
        <v>185</v>
      </c>
      <c r="E191">
        <v>1</v>
      </c>
      <c r="F191">
        <v>46.9</v>
      </c>
      <c r="G191" t="s">
        <v>21</v>
      </c>
      <c r="I191" t="str">
        <f t="shared" si="3"/>
        <v>185_1</v>
      </c>
      <c r="J191" t="s">
        <v>18</v>
      </c>
      <c r="K191" t="s">
        <v>19</v>
      </c>
      <c r="L191" t="str">
        <f>_xlfn.XLOOKUP(C191, Table2[Species],Table2[Genus], "Code Not Found")</f>
        <v>Acer</v>
      </c>
      <c r="M191" t="str">
        <f>_xlfn.XLOOKUP(C191, Table2[Species],Table2[Sp. Name], "Code Not Found")</f>
        <v>saccharum</v>
      </c>
      <c r="N191" t="str">
        <f>_xlfn.XLOOKUP(C191,Table2[Species],Table2[Family],"Code Not Found")</f>
        <v>Sapindaceae</v>
      </c>
      <c r="O191" t="str" cm="1">
        <f t="array" ref="O191">_xlfn.IFS(F191="","",F191&lt;=5,"0 to 5",F191&lt;=10,"5.1 to 10",F191&lt;=20,"10 to 20", F191&lt;= 40, "20 to 40", F191 &lt;= 50, "40 to 50", F191 &gt; 50, "&gt;50" )</f>
        <v>40 to 50</v>
      </c>
    </row>
    <row r="192" spans="1:15" ht="14.4" x14ac:dyDescent="0.3">
      <c r="A192" t="s">
        <v>15</v>
      </c>
      <c r="B192" s="1">
        <v>46164</v>
      </c>
      <c r="C192" t="s">
        <v>16</v>
      </c>
      <c r="D192">
        <v>186</v>
      </c>
      <c r="E192">
        <v>1</v>
      </c>
      <c r="F192">
        <v>3.3</v>
      </c>
      <c r="G192" t="s">
        <v>83</v>
      </c>
      <c r="H192" t="s">
        <v>84</v>
      </c>
      <c r="I192" t="str">
        <f t="shared" si="3"/>
        <v>186_1</v>
      </c>
      <c r="J192" t="s">
        <v>18</v>
      </c>
      <c r="K192" t="s">
        <v>19</v>
      </c>
      <c r="L192" t="str">
        <f>_xlfn.XLOOKUP(C192, Table2[Species],Table2[Genus], "Code Not Found")</f>
        <v>Acer</v>
      </c>
      <c r="M192" t="str">
        <f>_xlfn.XLOOKUP(C192, Table2[Species],Table2[Sp. Name], "Code Not Found")</f>
        <v>saccharum</v>
      </c>
      <c r="N192" t="str">
        <f>_xlfn.XLOOKUP(C192,Table2[Species],Table2[Family],"Code Not Found")</f>
        <v>Sapindaceae</v>
      </c>
      <c r="O192" t="str" cm="1">
        <f t="array" ref="O192">_xlfn.IFS(F192="","",F192&lt;=5,"0 to 5",F192&lt;=10,"5.1 to 10",F192&lt;=20,"10 to 20", F192&lt;= 40, "20 to 40", F192 &lt;= 50, "40 to 50", F192 &gt; 50, "&gt;50" )</f>
        <v>0 to 5</v>
      </c>
    </row>
    <row r="193" spans="1:15" ht="14.4" x14ac:dyDescent="0.3">
      <c r="A193" t="s">
        <v>15</v>
      </c>
      <c r="B193" s="1">
        <v>46164</v>
      </c>
      <c r="C193" t="s">
        <v>16</v>
      </c>
      <c r="D193">
        <v>187</v>
      </c>
      <c r="E193">
        <v>1</v>
      </c>
      <c r="F193">
        <v>3.9</v>
      </c>
      <c r="G193" t="s">
        <v>21</v>
      </c>
      <c r="I193" t="str">
        <f t="shared" si="3"/>
        <v>187_1</v>
      </c>
      <c r="J193" t="s">
        <v>18</v>
      </c>
      <c r="K193" t="s">
        <v>19</v>
      </c>
      <c r="L193" t="str">
        <f>_xlfn.XLOOKUP(C193, Table2[Species],Table2[Genus], "Code Not Found")</f>
        <v>Acer</v>
      </c>
      <c r="M193" t="str">
        <f>_xlfn.XLOOKUP(C193, Table2[Species],Table2[Sp. Name], "Code Not Found")</f>
        <v>saccharum</v>
      </c>
      <c r="N193" t="str">
        <f>_xlfn.XLOOKUP(C193,Table2[Species],Table2[Family],"Code Not Found")</f>
        <v>Sapindaceae</v>
      </c>
      <c r="O193" t="str" cm="1">
        <f t="array" ref="O193">_xlfn.IFS(F193="","",F193&lt;=5,"0 to 5",F193&lt;=10,"5.1 to 10",F193&lt;=20,"10 to 20", F193&lt;= 40, "20 to 40", F193 &lt;= 50, "40 to 50", F193 &gt; 50, "&gt;50" )</f>
        <v>0 to 5</v>
      </c>
    </row>
    <row r="194" spans="1:15" ht="14.4" x14ac:dyDescent="0.3">
      <c r="A194" t="s">
        <v>15</v>
      </c>
      <c r="B194" s="1">
        <v>46164</v>
      </c>
      <c r="C194" t="s">
        <v>16</v>
      </c>
      <c r="D194">
        <v>188</v>
      </c>
      <c r="E194">
        <v>1</v>
      </c>
      <c r="F194">
        <v>2</v>
      </c>
      <c r="G194" t="s">
        <v>47</v>
      </c>
      <c r="H194" t="s">
        <v>43</v>
      </c>
      <c r="I194" t="str">
        <f t="shared" si="3"/>
        <v>188_1</v>
      </c>
      <c r="J194" t="s">
        <v>18</v>
      </c>
      <c r="K194" t="s">
        <v>19</v>
      </c>
      <c r="L194" t="str">
        <f>_xlfn.XLOOKUP(C194, Table2[Species],Table2[Genus], "Code Not Found")</f>
        <v>Acer</v>
      </c>
      <c r="M194" t="str">
        <f>_xlfn.XLOOKUP(C194, Table2[Species],Table2[Sp. Name], "Code Not Found")</f>
        <v>saccharum</v>
      </c>
      <c r="N194" t="str">
        <f>_xlfn.XLOOKUP(C194,Table2[Species],Table2[Family],"Code Not Found")</f>
        <v>Sapindaceae</v>
      </c>
      <c r="O194" t="str" cm="1">
        <f t="array" ref="O194">_xlfn.IFS(F194="","",F194&lt;=5,"0 to 5",F194&lt;=10,"5.1 to 10",F194&lt;=20,"10 to 20", F194&lt;= 40, "20 to 40", F194 &lt;= 50, "40 to 50", F194 &gt; 50, "&gt;50" )</f>
        <v>0 to 5</v>
      </c>
    </row>
    <row r="195" spans="1:15" ht="14.4" x14ac:dyDescent="0.3">
      <c r="A195" t="s">
        <v>15</v>
      </c>
      <c r="B195" s="1">
        <v>46164</v>
      </c>
      <c r="C195" t="s">
        <v>16</v>
      </c>
      <c r="D195">
        <v>189</v>
      </c>
      <c r="E195">
        <v>1</v>
      </c>
      <c r="F195">
        <v>1.2</v>
      </c>
      <c r="G195" t="s">
        <v>17</v>
      </c>
      <c r="I195" t="str">
        <f t="shared" ref="I195:I258" si="4">D195&amp;"_"&amp;E195</f>
        <v>189_1</v>
      </c>
      <c r="J195" t="s">
        <v>18</v>
      </c>
      <c r="K195" t="s">
        <v>19</v>
      </c>
      <c r="L195" t="str">
        <f>_xlfn.XLOOKUP(C195, Table2[Species],Table2[Genus], "Code Not Found")</f>
        <v>Acer</v>
      </c>
      <c r="M195" t="str">
        <f>_xlfn.XLOOKUP(C195, Table2[Species],Table2[Sp. Name], "Code Not Found")</f>
        <v>saccharum</v>
      </c>
      <c r="N195" t="str">
        <f>_xlfn.XLOOKUP(C195,Table2[Species],Table2[Family],"Code Not Found")</f>
        <v>Sapindaceae</v>
      </c>
      <c r="O195" t="str" cm="1">
        <f t="array" ref="O195">_xlfn.IFS(F195="","",F195&lt;=5,"0 to 5",F195&lt;=10,"5.1 to 10",F195&lt;=20,"10 to 20", F195&lt;= 40, "20 to 40", F195 &lt;= 50, "40 to 50", F195 &gt; 50, "&gt;50" )</f>
        <v>0 to 5</v>
      </c>
    </row>
    <row r="196" spans="1:15" ht="14.4" x14ac:dyDescent="0.3">
      <c r="A196" t="s">
        <v>15</v>
      </c>
      <c r="B196" s="1">
        <v>46164</v>
      </c>
      <c r="C196" t="s">
        <v>16</v>
      </c>
      <c r="D196">
        <v>190</v>
      </c>
      <c r="E196">
        <v>1</v>
      </c>
      <c r="F196">
        <v>2.7</v>
      </c>
      <c r="G196" t="s">
        <v>21</v>
      </c>
      <c r="I196" t="str">
        <f t="shared" si="4"/>
        <v>190_1</v>
      </c>
      <c r="J196" t="s">
        <v>18</v>
      </c>
      <c r="K196" t="s">
        <v>19</v>
      </c>
      <c r="L196" t="str">
        <f>_xlfn.XLOOKUP(C196, Table2[Species],Table2[Genus], "Code Not Found")</f>
        <v>Acer</v>
      </c>
      <c r="M196" t="str">
        <f>_xlfn.XLOOKUP(C196, Table2[Species],Table2[Sp. Name], "Code Not Found")</f>
        <v>saccharum</v>
      </c>
      <c r="N196" t="str">
        <f>_xlfn.XLOOKUP(C196,Table2[Species],Table2[Family],"Code Not Found")</f>
        <v>Sapindaceae</v>
      </c>
      <c r="O196" t="str" cm="1">
        <f t="array" ref="O196">_xlfn.IFS(F196="","",F196&lt;=5,"0 to 5",F196&lt;=10,"5.1 to 10",F196&lt;=20,"10 to 20", F196&lt;= 40, "20 to 40", F196 &lt;= 50, "40 to 50", F196 &gt; 50, "&gt;50" )</f>
        <v>0 to 5</v>
      </c>
    </row>
    <row r="197" spans="1:15" ht="14.4" x14ac:dyDescent="0.3">
      <c r="A197" t="s">
        <v>15</v>
      </c>
      <c r="B197" s="1">
        <v>46164</v>
      </c>
      <c r="C197" t="s">
        <v>16</v>
      </c>
      <c r="D197">
        <v>191</v>
      </c>
      <c r="E197">
        <v>1</v>
      </c>
      <c r="F197">
        <v>3.1</v>
      </c>
      <c r="G197" t="s">
        <v>21</v>
      </c>
      <c r="I197" t="str">
        <f t="shared" si="4"/>
        <v>191_1</v>
      </c>
      <c r="J197" t="s">
        <v>18</v>
      </c>
      <c r="K197" t="s">
        <v>19</v>
      </c>
      <c r="L197" t="str">
        <f>_xlfn.XLOOKUP(C197, Table2[Species],Table2[Genus], "Code Not Found")</f>
        <v>Acer</v>
      </c>
      <c r="M197" t="str">
        <f>_xlfn.XLOOKUP(C197, Table2[Species],Table2[Sp. Name], "Code Not Found")</f>
        <v>saccharum</v>
      </c>
      <c r="N197" t="str">
        <f>_xlfn.XLOOKUP(C197,Table2[Species],Table2[Family],"Code Not Found")</f>
        <v>Sapindaceae</v>
      </c>
      <c r="O197" t="str" cm="1">
        <f t="array" ref="O197">_xlfn.IFS(F197="","",F197&lt;=5,"0 to 5",F197&lt;=10,"5.1 to 10",F197&lt;=20,"10 to 20", F197&lt;= 40, "20 to 40", F197 &lt;= 50, "40 to 50", F197 &gt; 50, "&gt;50" )</f>
        <v>0 to 5</v>
      </c>
    </row>
    <row r="198" spans="1:15" ht="14.4" x14ac:dyDescent="0.3">
      <c r="A198" t="s">
        <v>15</v>
      </c>
      <c r="B198" s="1">
        <v>46164</v>
      </c>
      <c r="C198" t="s">
        <v>16</v>
      </c>
      <c r="D198">
        <v>192</v>
      </c>
      <c r="E198">
        <v>1</v>
      </c>
      <c r="F198">
        <v>4.0999999999999996</v>
      </c>
      <c r="G198" t="s">
        <v>21</v>
      </c>
      <c r="H198" t="s">
        <v>85</v>
      </c>
      <c r="I198" t="str">
        <f t="shared" si="4"/>
        <v>192_1</v>
      </c>
      <c r="J198" t="s">
        <v>18</v>
      </c>
      <c r="K198" t="s">
        <v>19</v>
      </c>
      <c r="L198" t="str">
        <f>_xlfn.XLOOKUP(C198, Table2[Species],Table2[Genus], "Code Not Found")</f>
        <v>Acer</v>
      </c>
      <c r="M198" t="str">
        <f>_xlfn.XLOOKUP(C198, Table2[Species],Table2[Sp. Name], "Code Not Found")</f>
        <v>saccharum</v>
      </c>
      <c r="N198" t="str">
        <f>_xlfn.XLOOKUP(C198,Table2[Species],Table2[Family],"Code Not Found")</f>
        <v>Sapindaceae</v>
      </c>
      <c r="O198" t="str" cm="1">
        <f t="array" ref="O198">_xlfn.IFS(F198="","",F198&lt;=5,"0 to 5",F198&lt;=10,"5.1 to 10",F198&lt;=20,"10 to 20", F198&lt;= 40, "20 to 40", F198 &lt;= 50, "40 to 50", F198 &gt; 50, "&gt;50" )</f>
        <v>0 to 5</v>
      </c>
    </row>
    <row r="199" spans="1:15" ht="14.4" x14ac:dyDescent="0.3">
      <c r="A199" t="s">
        <v>15</v>
      </c>
      <c r="B199" s="1">
        <v>46164</v>
      </c>
      <c r="C199" t="s">
        <v>16</v>
      </c>
      <c r="D199">
        <v>193</v>
      </c>
      <c r="E199">
        <v>1</v>
      </c>
      <c r="F199">
        <v>3.8</v>
      </c>
      <c r="G199" t="s">
        <v>17</v>
      </c>
      <c r="I199" t="str">
        <f t="shared" si="4"/>
        <v>193_1</v>
      </c>
      <c r="J199" t="s">
        <v>18</v>
      </c>
      <c r="K199" t="s">
        <v>19</v>
      </c>
      <c r="L199" t="str">
        <f>_xlfn.XLOOKUP(C199, Table2[Species],Table2[Genus], "Code Not Found")</f>
        <v>Acer</v>
      </c>
      <c r="M199" t="str">
        <f>_xlfn.XLOOKUP(C199, Table2[Species],Table2[Sp. Name], "Code Not Found")</f>
        <v>saccharum</v>
      </c>
      <c r="N199" t="str">
        <f>_xlfn.XLOOKUP(C199,Table2[Species],Table2[Family],"Code Not Found")</f>
        <v>Sapindaceae</v>
      </c>
      <c r="O199" t="str" cm="1">
        <f t="array" ref="O199">_xlfn.IFS(F199="","",F199&lt;=5,"0 to 5",F199&lt;=10,"5.1 to 10",F199&lt;=20,"10 to 20", F199&lt;= 40, "20 to 40", F199 &lt;= 50, "40 to 50", F199 &gt; 50, "&gt;50" )</f>
        <v>0 to 5</v>
      </c>
    </row>
    <row r="200" spans="1:15" ht="14.4" x14ac:dyDescent="0.3">
      <c r="A200" t="s">
        <v>15</v>
      </c>
      <c r="B200" s="1">
        <v>46164</v>
      </c>
      <c r="C200" t="s">
        <v>16</v>
      </c>
      <c r="D200">
        <v>194</v>
      </c>
      <c r="E200">
        <v>1</v>
      </c>
      <c r="F200">
        <v>2.1</v>
      </c>
      <c r="G200" t="s">
        <v>17</v>
      </c>
      <c r="I200" t="str">
        <f t="shared" si="4"/>
        <v>194_1</v>
      </c>
      <c r="J200" t="s">
        <v>18</v>
      </c>
      <c r="K200" t="s">
        <v>19</v>
      </c>
      <c r="L200" t="str">
        <f>_xlfn.XLOOKUP(C200, Table2[Species],Table2[Genus], "Code Not Found")</f>
        <v>Acer</v>
      </c>
      <c r="M200" t="str">
        <f>_xlfn.XLOOKUP(C200, Table2[Species],Table2[Sp. Name], "Code Not Found")</f>
        <v>saccharum</v>
      </c>
      <c r="N200" t="str">
        <f>_xlfn.XLOOKUP(C200,Table2[Species],Table2[Family],"Code Not Found")</f>
        <v>Sapindaceae</v>
      </c>
      <c r="O200" t="str" cm="1">
        <f t="array" ref="O200">_xlfn.IFS(F200="","",F200&lt;=5,"0 to 5",F200&lt;=10,"5.1 to 10",F200&lt;=20,"10 to 20", F200&lt;= 40, "20 to 40", F200 &lt;= 50, "40 to 50", F200 &gt; 50, "&gt;50" )</f>
        <v>0 to 5</v>
      </c>
    </row>
    <row r="201" spans="1:15" ht="14.4" x14ac:dyDescent="0.3">
      <c r="A201" t="s">
        <v>15</v>
      </c>
      <c r="B201" s="1">
        <v>46164</v>
      </c>
      <c r="C201" t="s">
        <v>16</v>
      </c>
      <c r="D201">
        <v>195</v>
      </c>
      <c r="E201">
        <v>1</v>
      </c>
      <c r="F201">
        <v>1.7</v>
      </c>
      <c r="G201" t="s">
        <v>21</v>
      </c>
      <c r="I201" t="str">
        <f t="shared" si="4"/>
        <v>195_1</v>
      </c>
      <c r="J201" t="s">
        <v>18</v>
      </c>
      <c r="K201" t="s">
        <v>19</v>
      </c>
      <c r="L201" t="str">
        <f>_xlfn.XLOOKUP(C201, Table2[Species],Table2[Genus], "Code Not Found")</f>
        <v>Acer</v>
      </c>
      <c r="M201" t="str">
        <f>_xlfn.XLOOKUP(C201, Table2[Species],Table2[Sp. Name], "Code Not Found")</f>
        <v>saccharum</v>
      </c>
      <c r="N201" t="str">
        <f>_xlfn.XLOOKUP(C201,Table2[Species],Table2[Family],"Code Not Found")</f>
        <v>Sapindaceae</v>
      </c>
      <c r="O201" t="str" cm="1">
        <f t="array" ref="O201">_xlfn.IFS(F201="","",F201&lt;=5,"0 to 5",F201&lt;=10,"5.1 to 10",F201&lt;=20,"10 to 20", F201&lt;= 40, "20 to 40", F201 &lt;= 50, "40 to 50", F201 &gt; 50, "&gt;50" )</f>
        <v>0 to 5</v>
      </c>
    </row>
    <row r="202" spans="1:15" ht="14.4" x14ac:dyDescent="0.3">
      <c r="A202" t="s">
        <v>15</v>
      </c>
      <c r="B202" s="1">
        <v>46164</v>
      </c>
      <c r="C202" t="s">
        <v>16</v>
      </c>
      <c r="D202">
        <v>196</v>
      </c>
      <c r="E202">
        <v>1</v>
      </c>
      <c r="F202">
        <v>2.7</v>
      </c>
      <c r="G202" t="s">
        <v>21</v>
      </c>
      <c r="I202" t="str">
        <f t="shared" si="4"/>
        <v>196_1</v>
      </c>
      <c r="J202" t="s">
        <v>18</v>
      </c>
      <c r="K202" t="s">
        <v>19</v>
      </c>
      <c r="L202" t="str">
        <f>_xlfn.XLOOKUP(C202, Table2[Species],Table2[Genus], "Code Not Found")</f>
        <v>Acer</v>
      </c>
      <c r="M202" t="str">
        <f>_xlfn.XLOOKUP(C202, Table2[Species],Table2[Sp. Name], "Code Not Found")</f>
        <v>saccharum</v>
      </c>
      <c r="N202" t="str">
        <f>_xlfn.XLOOKUP(C202,Table2[Species],Table2[Family],"Code Not Found")</f>
        <v>Sapindaceae</v>
      </c>
      <c r="O202" t="str" cm="1">
        <f t="array" ref="O202">_xlfn.IFS(F202="","",F202&lt;=5,"0 to 5",F202&lt;=10,"5.1 to 10",F202&lt;=20,"10 to 20", F202&lt;= 40, "20 to 40", F202 &lt;= 50, "40 to 50", F202 &gt; 50, "&gt;50" )</f>
        <v>0 to 5</v>
      </c>
    </row>
    <row r="203" spans="1:15" ht="14.4" x14ac:dyDescent="0.3">
      <c r="A203" t="s">
        <v>15</v>
      </c>
      <c r="B203" s="1">
        <v>46164</v>
      </c>
      <c r="C203" t="s">
        <v>22</v>
      </c>
      <c r="D203">
        <v>197</v>
      </c>
      <c r="E203">
        <v>1</v>
      </c>
      <c r="F203">
        <v>27.8</v>
      </c>
      <c r="G203" t="s">
        <v>56</v>
      </c>
      <c r="H203" t="s">
        <v>86</v>
      </c>
      <c r="I203" t="str">
        <f t="shared" si="4"/>
        <v>197_1</v>
      </c>
      <c r="J203" t="s">
        <v>18</v>
      </c>
      <c r="K203" t="s">
        <v>19</v>
      </c>
      <c r="L203" t="str">
        <f>_xlfn.XLOOKUP(C203, Table2[Species],Table2[Genus], "Code Not Found")</f>
        <v>Acer</v>
      </c>
      <c r="M203" t="str">
        <f>_xlfn.XLOOKUP(C203, Table2[Species],Table2[Sp. Name], "Code Not Found")</f>
        <v>rubrum</v>
      </c>
      <c r="N203" t="str">
        <f>_xlfn.XLOOKUP(C203,Table2[Species],Table2[Family],"Code Not Found")</f>
        <v>Sapindaceae</v>
      </c>
      <c r="O203" t="str" cm="1">
        <f t="array" ref="O203">_xlfn.IFS(F203="","",F203&lt;=5,"0 to 5",F203&lt;=10,"5.1 to 10",F203&lt;=20,"10 to 20", F203&lt;= 40, "20 to 40", F203 &lt;= 50, "40 to 50", F203 &gt; 50, "&gt;50" )</f>
        <v>20 to 40</v>
      </c>
    </row>
    <row r="204" spans="1:15" ht="14.4" x14ac:dyDescent="0.3">
      <c r="A204" t="s">
        <v>15</v>
      </c>
      <c r="B204" s="1">
        <v>46164</v>
      </c>
      <c r="C204" t="s">
        <v>16</v>
      </c>
      <c r="D204">
        <v>198</v>
      </c>
      <c r="E204">
        <v>1</v>
      </c>
      <c r="F204">
        <v>2.6</v>
      </c>
      <c r="G204" t="s">
        <v>21</v>
      </c>
      <c r="I204" t="str">
        <f t="shared" si="4"/>
        <v>198_1</v>
      </c>
      <c r="J204" t="s">
        <v>18</v>
      </c>
      <c r="K204" t="s">
        <v>19</v>
      </c>
      <c r="L204" t="str">
        <f>_xlfn.XLOOKUP(C204, Table2[Species],Table2[Genus], "Code Not Found")</f>
        <v>Acer</v>
      </c>
      <c r="M204" t="str">
        <f>_xlfn.XLOOKUP(C204, Table2[Species],Table2[Sp. Name], "Code Not Found")</f>
        <v>saccharum</v>
      </c>
      <c r="N204" t="str">
        <f>_xlfn.XLOOKUP(C204,Table2[Species],Table2[Family],"Code Not Found")</f>
        <v>Sapindaceae</v>
      </c>
      <c r="O204" t="str" cm="1">
        <f t="array" ref="O204">_xlfn.IFS(F204="","",F204&lt;=5,"0 to 5",F204&lt;=10,"5.1 to 10",F204&lt;=20,"10 to 20", F204&lt;= 40, "20 to 40", F204 &lt;= 50, "40 to 50", F204 &gt; 50, "&gt;50" )</f>
        <v>0 to 5</v>
      </c>
    </row>
    <row r="205" spans="1:15" ht="14.4" x14ac:dyDescent="0.3">
      <c r="A205" t="s">
        <v>15</v>
      </c>
      <c r="B205" s="1">
        <v>46164</v>
      </c>
      <c r="C205" t="s">
        <v>29</v>
      </c>
      <c r="D205">
        <v>199</v>
      </c>
      <c r="E205">
        <v>1</v>
      </c>
      <c r="F205">
        <v>63.8</v>
      </c>
      <c r="G205" t="s">
        <v>17</v>
      </c>
      <c r="H205" t="s">
        <v>87</v>
      </c>
      <c r="I205" t="str">
        <f t="shared" si="4"/>
        <v>199_1</v>
      </c>
      <c r="J205" t="s">
        <v>18</v>
      </c>
      <c r="K205" t="s">
        <v>19</v>
      </c>
      <c r="L205" t="str">
        <f>_xlfn.XLOOKUP(C205, Table2[Species],Table2[Genus], "Code Not Found")</f>
        <v>Sassafras</v>
      </c>
      <c r="M205" t="str">
        <f>_xlfn.XLOOKUP(C205, Table2[Species],Table2[Sp. Name], "Code Not Found")</f>
        <v>albidum</v>
      </c>
      <c r="N205" t="str">
        <f>_xlfn.XLOOKUP(C205,Table2[Species],Table2[Family],"Code Not Found")</f>
        <v>Lauraceae</v>
      </c>
      <c r="O205" t="str" cm="1">
        <f t="array" ref="O205">_xlfn.IFS(F205="","",F205&lt;=5,"0 to 5",F205&lt;=10,"5.1 to 10",F205&lt;=20,"10 to 20", F205&lt;= 40, "20 to 40", F205 &lt;= 50, "40 to 50", F205 &gt; 50, "&gt;50" )</f>
        <v>&gt;50</v>
      </c>
    </row>
    <row r="206" spans="1:15" ht="14.4" x14ac:dyDescent="0.3">
      <c r="A206" t="s">
        <v>15</v>
      </c>
      <c r="B206" s="1">
        <v>46164</v>
      </c>
      <c r="C206" t="s">
        <v>16</v>
      </c>
      <c r="D206">
        <v>200</v>
      </c>
      <c r="E206">
        <v>1</v>
      </c>
      <c r="F206">
        <v>4.2</v>
      </c>
      <c r="G206" t="s">
        <v>88</v>
      </c>
      <c r="H206" t="s">
        <v>89</v>
      </c>
      <c r="I206" t="str">
        <f t="shared" si="4"/>
        <v>200_1</v>
      </c>
      <c r="J206" t="s">
        <v>18</v>
      </c>
      <c r="K206" t="s">
        <v>19</v>
      </c>
      <c r="L206" t="str">
        <f>_xlfn.XLOOKUP(C206, Table2[Species],Table2[Genus], "Code Not Found")</f>
        <v>Acer</v>
      </c>
      <c r="M206" t="str">
        <f>_xlfn.XLOOKUP(C206, Table2[Species],Table2[Sp. Name], "Code Not Found")</f>
        <v>saccharum</v>
      </c>
      <c r="N206" t="str">
        <f>_xlfn.XLOOKUP(C206,Table2[Species],Table2[Family],"Code Not Found")</f>
        <v>Sapindaceae</v>
      </c>
      <c r="O206" t="str" cm="1">
        <f t="array" ref="O206">_xlfn.IFS(F206="","",F206&lt;=5,"0 to 5",F206&lt;=10,"5.1 to 10",F206&lt;=20,"10 to 20", F206&lt;= 40, "20 to 40", F206 &lt;= 50, "40 to 50", F206 &gt; 50, "&gt;50" )</f>
        <v>0 to 5</v>
      </c>
    </row>
    <row r="207" spans="1:15" ht="14.4" x14ac:dyDescent="0.3">
      <c r="A207" t="s">
        <v>15</v>
      </c>
      <c r="B207" s="1">
        <v>46164</v>
      </c>
      <c r="C207" t="s">
        <v>16</v>
      </c>
      <c r="D207">
        <v>201</v>
      </c>
      <c r="E207">
        <v>1</v>
      </c>
      <c r="F207">
        <v>3.8</v>
      </c>
      <c r="G207" t="s">
        <v>21</v>
      </c>
      <c r="I207" t="str">
        <f t="shared" si="4"/>
        <v>201_1</v>
      </c>
      <c r="J207" t="s">
        <v>18</v>
      </c>
      <c r="K207" t="s">
        <v>19</v>
      </c>
      <c r="L207" t="str">
        <f>_xlfn.XLOOKUP(C207, Table2[Species],Table2[Genus], "Code Not Found")</f>
        <v>Acer</v>
      </c>
      <c r="M207" t="str">
        <f>_xlfn.XLOOKUP(C207, Table2[Species],Table2[Sp. Name], "Code Not Found")</f>
        <v>saccharum</v>
      </c>
      <c r="N207" t="str">
        <f>_xlfn.XLOOKUP(C207,Table2[Species],Table2[Family],"Code Not Found")</f>
        <v>Sapindaceae</v>
      </c>
      <c r="O207" t="str" cm="1">
        <f t="array" ref="O207">_xlfn.IFS(F207="","",F207&lt;=5,"0 to 5",F207&lt;=10,"5.1 to 10",F207&lt;=20,"10 to 20", F207&lt;= 40, "20 to 40", F207 &lt;= 50, "40 to 50", F207 &gt; 50, "&gt;50" )</f>
        <v>0 to 5</v>
      </c>
    </row>
    <row r="208" spans="1:15" ht="14.4" x14ac:dyDescent="0.3">
      <c r="A208" t="s">
        <v>15</v>
      </c>
      <c r="B208" s="1">
        <v>46164</v>
      </c>
      <c r="C208" t="s">
        <v>16</v>
      </c>
      <c r="D208">
        <v>202</v>
      </c>
      <c r="E208">
        <v>1</v>
      </c>
      <c r="F208">
        <v>3.2</v>
      </c>
      <c r="G208" t="s">
        <v>21</v>
      </c>
      <c r="I208" t="str">
        <f t="shared" si="4"/>
        <v>202_1</v>
      </c>
      <c r="J208" t="s">
        <v>18</v>
      </c>
      <c r="K208" t="s">
        <v>19</v>
      </c>
      <c r="L208" t="str">
        <f>_xlfn.XLOOKUP(C208, Table2[Species],Table2[Genus], "Code Not Found")</f>
        <v>Acer</v>
      </c>
      <c r="M208" t="str">
        <f>_xlfn.XLOOKUP(C208, Table2[Species],Table2[Sp. Name], "Code Not Found")</f>
        <v>saccharum</v>
      </c>
      <c r="N208" t="str">
        <f>_xlfn.XLOOKUP(C208,Table2[Species],Table2[Family],"Code Not Found")</f>
        <v>Sapindaceae</v>
      </c>
      <c r="O208" t="str" cm="1">
        <f t="array" ref="O208">_xlfn.IFS(F208="","",F208&lt;=5,"0 to 5",F208&lt;=10,"5.1 to 10",F208&lt;=20,"10 to 20", F208&lt;= 40, "20 to 40", F208 &lt;= 50, "40 to 50", F208 &gt; 50, "&gt;50" )</f>
        <v>0 to 5</v>
      </c>
    </row>
    <row r="209" spans="1:15" ht="14.4" x14ac:dyDescent="0.3">
      <c r="A209" t="s">
        <v>15</v>
      </c>
      <c r="B209" s="1">
        <v>46164</v>
      </c>
      <c r="C209" t="s">
        <v>16</v>
      </c>
      <c r="D209">
        <v>203</v>
      </c>
      <c r="E209">
        <v>1</v>
      </c>
      <c r="F209">
        <v>2.8</v>
      </c>
      <c r="G209" t="s">
        <v>21</v>
      </c>
      <c r="I209" t="str">
        <f t="shared" si="4"/>
        <v>203_1</v>
      </c>
      <c r="J209" t="s">
        <v>18</v>
      </c>
      <c r="K209" t="s">
        <v>19</v>
      </c>
      <c r="L209" t="str">
        <f>_xlfn.XLOOKUP(C209, Table2[Species],Table2[Genus], "Code Not Found")</f>
        <v>Acer</v>
      </c>
      <c r="M209" t="str">
        <f>_xlfn.XLOOKUP(C209, Table2[Species],Table2[Sp. Name], "Code Not Found")</f>
        <v>saccharum</v>
      </c>
      <c r="N209" t="str">
        <f>_xlfn.XLOOKUP(C209,Table2[Species],Table2[Family],"Code Not Found")</f>
        <v>Sapindaceae</v>
      </c>
      <c r="O209" t="str" cm="1">
        <f t="array" ref="O209">_xlfn.IFS(F209="","",F209&lt;=5,"0 to 5",F209&lt;=10,"5.1 to 10",F209&lt;=20,"10 to 20", F209&lt;= 40, "20 to 40", F209 &lt;= 50, "40 to 50", F209 &gt; 50, "&gt;50" )</f>
        <v>0 to 5</v>
      </c>
    </row>
    <row r="210" spans="1:15" ht="14.4" x14ac:dyDescent="0.3">
      <c r="A210" t="s">
        <v>15</v>
      </c>
      <c r="B210" s="1">
        <v>46164</v>
      </c>
      <c r="C210" t="s">
        <v>16</v>
      </c>
      <c r="D210">
        <v>204</v>
      </c>
      <c r="E210">
        <v>1</v>
      </c>
      <c r="F210">
        <v>23.4</v>
      </c>
      <c r="G210" t="s">
        <v>21</v>
      </c>
      <c r="I210" t="str">
        <f t="shared" si="4"/>
        <v>204_1</v>
      </c>
      <c r="J210" t="s">
        <v>18</v>
      </c>
      <c r="K210" t="s">
        <v>19</v>
      </c>
      <c r="L210" t="str">
        <f>_xlfn.XLOOKUP(C210, Table2[Species],Table2[Genus], "Code Not Found")</f>
        <v>Acer</v>
      </c>
      <c r="M210" t="str">
        <f>_xlfn.XLOOKUP(C210, Table2[Species],Table2[Sp. Name], "Code Not Found")</f>
        <v>saccharum</v>
      </c>
      <c r="N210" t="str">
        <f>_xlfn.XLOOKUP(C210,Table2[Species],Table2[Family],"Code Not Found")</f>
        <v>Sapindaceae</v>
      </c>
      <c r="O210" t="str" cm="1">
        <f t="array" ref="O210">_xlfn.IFS(F210="","",F210&lt;=5,"0 to 5",F210&lt;=10,"5.1 to 10",F210&lt;=20,"10 to 20", F210&lt;= 40, "20 to 40", F210 &lt;= 50, "40 to 50", F210 &gt; 50, "&gt;50" )</f>
        <v>20 to 40</v>
      </c>
    </row>
    <row r="211" spans="1:15" ht="14.4" x14ac:dyDescent="0.3">
      <c r="A211" t="s">
        <v>15</v>
      </c>
      <c r="B211" s="1">
        <v>46164</v>
      </c>
      <c r="C211" t="s">
        <v>16</v>
      </c>
      <c r="D211">
        <v>205</v>
      </c>
      <c r="E211">
        <v>1</v>
      </c>
      <c r="F211">
        <v>1.9</v>
      </c>
      <c r="G211" t="s">
        <v>17</v>
      </c>
      <c r="I211" t="str">
        <f t="shared" si="4"/>
        <v>205_1</v>
      </c>
      <c r="J211" t="s">
        <v>18</v>
      </c>
      <c r="K211" t="s">
        <v>19</v>
      </c>
      <c r="L211" t="str">
        <f>_xlfn.XLOOKUP(C211, Table2[Species],Table2[Genus], "Code Not Found")</f>
        <v>Acer</v>
      </c>
      <c r="M211" t="str">
        <f>_xlfn.XLOOKUP(C211, Table2[Species],Table2[Sp. Name], "Code Not Found")</f>
        <v>saccharum</v>
      </c>
      <c r="N211" t="str">
        <f>_xlfn.XLOOKUP(C211,Table2[Species],Table2[Family],"Code Not Found")</f>
        <v>Sapindaceae</v>
      </c>
      <c r="O211" t="str" cm="1">
        <f t="array" ref="O211">_xlfn.IFS(F211="","",F211&lt;=5,"0 to 5",F211&lt;=10,"5.1 to 10",F211&lt;=20,"10 to 20", F211&lt;= 40, "20 to 40", F211 &lt;= 50, "40 to 50", F211 &gt; 50, "&gt;50" )</f>
        <v>0 to 5</v>
      </c>
    </row>
    <row r="212" spans="1:15" ht="14.4" x14ac:dyDescent="0.3">
      <c r="A212" t="s">
        <v>15</v>
      </c>
      <c r="B212" s="1">
        <v>46164</v>
      </c>
      <c r="C212" t="s">
        <v>16</v>
      </c>
      <c r="D212">
        <v>206</v>
      </c>
      <c r="E212">
        <v>1</v>
      </c>
      <c r="F212">
        <v>2.8</v>
      </c>
      <c r="G212" t="s">
        <v>21</v>
      </c>
      <c r="I212" t="str">
        <f t="shared" si="4"/>
        <v>206_1</v>
      </c>
      <c r="J212" t="s">
        <v>18</v>
      </c>
      <c r="K212" t="s">
        <v>19</v>
      </c>
      <c r="L212" t="str">
        <f>_xlfn.XLOOKUP(C212, Table2[Species],Table2[Genus], "Code Not Found")</f>
        <v>Acer</v>
      </c>
      <c r="M212" t="str">
        <f>_xlfn.XLOOKUP(C212, Table2[Species],Table2[Sp. Name], "Code Not Found")</f>
        <v>saccharum</v>
      </c>
      <c r="N212" t="str">
        <f>_xlfn.XLOOKUP(C212,Table2[Species],Table2[Family],"Code Not Found")</f>
        <v>Sapindaceae</v>
      </c>
      <c r="O212" t="str" cm="1">
        <f t="array" ref="O212">_xlfn.IFS(F212="","",F212&lt;=5,"0 to 5",F212&lt;=10,"5.1 to 10",F212&lt;=20,"10 to 20", F212&lt;= 40, "20 to 40", F212 &lt;= 50, "40 to 50", F212 &gt; 50, "&gt;50" )</f>
        <v>0 to 5</v>
      </c>
    </row>
    <row r="213" spans="1:15" ht="14.4" x14ac:dyDescent="0.3">
      <c r="A213" t="s">
        <v>15</v>
      </c>
      <c r="B213" s="1">
        <v>46164</v>
      </c>
      <c r="C213" t="s">
        <v>16</v>
      </c>
      <c r="D213">
        <v>207</v>
      </c>
      <c r="E213">
        <v>1</v>
      </c>
      <c r="F213">
        <v>1.1000000000000001</v>
      </c>
      <c r="G213" t="s">
        <v>90</v>
      </c>
      <c r="H213" t="s">
        <v>48</v>
      </c>
      <c r="I213" t="str">
        <f t="shared" si="4"/>
        <v>207_1</v>
      </c>
      <c r="J213" t="s">
        <v>18</v>
      </c>
      <c r="K213" t="s">
        <v>19</v>
      </c>
      <c r="L213" t="str">
        <f>_xlfn.XLOOKUP(C213, Table2[Species],Table2[Genus], "Code Not Found")</f>
        <v>Acer</v>
      </c>
      <c r="M213" t="str">
        <f>_xlfn.XLOOKUP(C213, Table2[Species],Table2[Sp. Name], "Code Not Found")</f>
        <v>saccharum</v>
      </c>
      <c r="N213" t="str">
        <f>_xlfn.XLOOKUP(C213,Table2[Species],Table2[Family],"Code Not Found")</f>
        <v>Sapindaceae</v>
      </c>
      <c r="O213" t="str" cm="1">
        <f t="array" ref="O213">_xlfn.IFS(F213="","",F213&lt;=5,"0 to 5",F213&lt;=10,"5.1 to 10",F213&lt;=20,"10 to 20", F213&lt;= 40, "20 to 40", F213 &lt;= 50, "40 to 50", F213 &gt; 50, "&gt;50" )</f>
        <v>0 to 5</v>
      </c>
    </row>
    <row r="214" spans="1:15" ht="14.4" x14ac:dyDescent="0.3">
      <c r="A214" t="s">
        <v>15</v>
      </c>
      <c r="B214" s="1">
        <v>46164</v>
      </c>
      <c r="C214" t="s">
        <v>16</v>
      </c>
      <c r="D214">
        <v>207</v>
      </c>
      <c r="E214">
        <v>2</v>
      </c>
      <c r="F214">
        <v>1</v>
      </c>
      <c r="G214" t="s">
        <v>90</v>
      </c>
      <c r="H214" t="s">
        <v>43</v>
      </c>
      <c r="I214" t="str">
        <f t="shared" si="4"/>
        <v>207_2</v>
      </c>
      <c r="J214" t="s">
        <v>18</v>
      </c>
      <c r="K214" t="s">
        <v>19</v>
      </c>
      <c r="L214" t="str">
        <f>_xlfn.XLOOKUP(C214, Table2[Species],Table2[Genus], "Code Not Found")</f>
        <v>Acer</v>
      </c>
      <c r="M214" t="str">
        <f>_xlfn.XLOOKUP(C214, Table2[Species],Table2[Sp. Name], "Code Not Found")</f>
        <v>saccharum</v>
      </c>
      <c r="N214" t="str">
        <f>_xlfn.XLOOKUP(C214,Table2[Species],Table2[Family],"Code Not Found")</f>
        <v>Sapindaceae</v>
      </c>
      <c r="O214" t="str" cm="1">
        <f t="array" ref="O214">_xlfn.IFS(F214="","",F214&lt;=5,"0 to 5",F214&lt;=10,"5.1 to 10",F214&lt;=20,"10 to 20", F214&lt;= 40, "20 to 40", F214 &lt;= 50, "40 to 50", F214 &gt; 50, "&gt;50" )</f>
        <v>0 to 5</v>
      </c>
    </row>
    <row r="215" spans="1:15" ht="14.4" x14ac:dyDescent="0.3">
      <c r="A215" t="s">
        <v>15</v>
      </c>
      <c r="B215" s="1">
        <v>46164</v>
      </c>
      <c r="C215" t="s">
        <v>16</v>
      </c>
      <c r="D215">
        <v>208</v>
      </c>
      <c r="E215">
        <v>1</v>
      </c>
      <c r="F215">
        <v>1.3</v>
      </c>
      <c r="G215" t="s">
        <v>17</v>
      </c>
      <c r="I215" t="str">
        <f t="shared" si="4"/>
        <v>208_1</v>
      </c>
      <c r="J215" t="s">
        <v>18</v>
      </c>
      <c r="K215" t="s">
        <v>19</v>
      </c>
      <c r="L215" t="str">
        <f>_xlfn.XLOOKUP(C215, Table2[Species],Table2[Genus], "Code Not Found")</f>
        <v>Acer</v>
      </c>
      <c r="M215" t="str">
        <f>_xlfn.XLOOKUP(C215, Table2[Species],Table2[Sp. Name], "Code Not Found")</f>
        <v>saccharum</v>
      </c>
      <c r="N215" t="str">
        <f>_xlfn.XLOOKUP(C215,Table2[Species],Table2[Family],"Code Not Found")</f>
        <v>Sapindaceae</v>
      </c>
      <c r="O215" t="str" cm="1">
        <f t="array" ref="O215">_xlfn.IFS(F215="","",F215&lt;=5,"0 to 5",F215&lt;=10,"5.1 to 10",F215&lt;=20,"10 to 20", F215&lt;= 40, "20 to 40", F215 &lt;= 50, "40 to 50", F215 &gt; 50, "&gt;50" )</f>
        <v>0 to 5</v>
      </c>
    </row>
    <row r="216" spans="1:15" ht="14.4" x14ac:dyDescent="0.3">
      <c r="A216" t="s">
        <v>15</v>
      </c>
      <c r="B216" s="1">
        <v>46164</v>
      </c>
      <c r="C216" t="s">
        <v>16</v>
      </c>
      <c r="D216">
        <v>209</v>
      </c>
      <c r="E216">
        <v>1</v>
      </c>
      <c r="F216">
        <v>1.5</v>
      </c>
      <c r="G216" t="s">
        <v>17</v>
      </c>
      <c r="I216" t="str">
        <f t="shared" si="4"/>
        <v>209_1</v>
      </c>
      <c r="J216" t="s">
        <v>18</v>
      </c>
      <c r="K216" t="s">
        <v>19</v>
      </c>
      <c r="L216" t="str">
        <f>_xlfn.XLOOKUP(C216, Table2[Species],Table2[Genus], "Code Not Found")</f>
        <v>Acer</v>
      </c>
      <c r="M216" t="str">
        <f>_xlfn.XLOOKUP(C216, Table2[Species],Table2[Sp. Name], "Code Not Found")</f>
        <v>saccharum</v>
      </c>
      <c r="N216" t="str">
        <f>_xlfn.XLOOKUP(C216,Table2[Species],Table2[Family],"Code Not Found")</f>
        <v>Sapindaceae</v>
      </c>
      <c r="O216" t="str" cm="1">
        <f t="array" ref="O216">_xlfn.IFS(F216="","",F216&lt;=5,"0 to 5",F216&lt;=10,"5.1 to 10",F216&lt;=20,"10 to 20", F216&lt;= 40, "20 to 40", F216 &lt;= 50, "40 to 50", F216 &gt; 50, "&gt;50" )</f>
        <v>0 to 5</v>
      </c>
    </row>
    <row r="217" spans="1:15" ht="14.4" x14ac:dyDescent="0.3">
      <c r="A217" t="s">
        <v>15</v>
      </c>
      <c r="B217" s="1">
        <v>46164</v>
      </c>
      <c r="C217" t="s">
        <v>16</v>
      </c>
      <c r="D217">
        <v>210</v>
      </c>
      <c r="E217">
        <v>1</v>
      </c>
      <c r="F217">
        <v>9.4</v>
      </c>
      <c r="G217" t="s">
        <v>51</v>
      </c>
      <c r="H217" t="s">
        <v>91</v>
      </c>
      <c r="I217" t="str">
        <f t="shared" si="4"/>
        <v>210_1</v>
      </c>
      <c r="J217" t="s">
        <v>18</v>
      </c>
      <c r="K217" t="s">
        <v>19</v>
      </c>
      <c r="L217" t="str">
        <f>_xlfn.XLOOKUP(C217, Table2[Species],Table2[Genus], "Code Not Found")</f>
        <v>Acer</v>
      </c>
      <c r="M217" t="str">
        <f>_xlfn.XLOOKUP(C217, Table2[Species],Table2[Sp. Name], "Code Not Found")</f>
        <v>saccharum</v>
      </c>
      <c r="N217" t="str">
        <f>_xlfn.XLOOKUP(C217,Table2[Species],Table2[Family],"Code Not Found")</f>
        <v>Sapindaceae</v>
      </c>
      <c r="O217" t="str" cm="1">
        <f t="array" ref="O217">_xlfn.IFS(F217="","",F217&lt;=5,"0 to 5",F217&lt;=10,"5.1 to 10",F217&lt;=20,"10 to 20", F217&lt;= 40, "20 to 40", F217 &lt;= 50, "40 to 50", F217 &gt; 50, "&gt;50" )</f>
        <v>5.1 to 10</v>
      </c>
    </row>
    <row r="218" spans="1:15" ht="14.4" x14ac:dyDescent="0.3">
      <c r="A218" t="s">
        <v>15</v>
      </c>
      <c r="B218" s="1">
        <v>46170</v>
      </c>
      <c r="C218" t="s">
        <v>22</v>
      </c>
      <c r="D218">
        <v>211</v>
      </c>
      <c r="E218">
        <v>1</v>
      </c>
      <c r="F218">
        <v>2.5</v>
      </c>
      <c r="G218" t="s">
        <v>57</v>
      </c>
      <c r="H218" t="s">
        <v>48</v>
      </c>
      <c r="I218" t="str">
        <f t="shared" si="4"/>
        <v>211_1</v>
      </c>
      <c r="J218" t="s">
        <v>18</v>
      </c>
      <c r="K218" t="s">
        <v>19</v>
      </c>
      <c r="L218" t="str">
        <f>_xlfn.XLOOKUP(C218, Table2[Species],Table2[Genus], "Code Not Found")</f>
        <v>Acer</v>
      </c>
      <c r="M218" t="str">
        <f>_xlfn.XLOOKUP(C218, Table2[Species],Table2[Sp. Name], "Code Not Found")</f>
        <v>rubrum</v>
      </c>
      <c r="N218" t="str">
        <f>_xlfn.XLOOKUP(C218,Table2[Species],Table2[Family],"Code Not Found")</f>
        <v>Sapindaceae</v>
      </c>
      <c r="O218" t="str" cm="1">
        <f t="array" ref="O218">_xlfn.IFS(F218="","",F218&lt;=5,"0 to 5",F218&lt;=10,"5.1 to 10",F218&lt;=20,"10 to 20", F218&lt;= 40, "20 to 40", F218 &lt;= 50, "40 to 50", F218 &gt; 50, "&gt;50" )</f>
        <v>0 to 5</v>
      </c>
    </row>
    <row r="219" spans="1:15" ht="14.4" x14ac:dyDescent="0.3">
      <c r="A219" t="s">
        <v>15</v>
      </c>
      <c r="B219" s="1">
        <v>46170</v>
      </c>
      <c r="C219" t="s">
        <v>16</v>
      </c>
      <c r="D219">
        <v>212</v>
      </c>
      <c r="E219">
        <v>1</v>
      </c>
      <c r="F219">
        <v>6.9</v>
      </c>
      <c r="G219" t="s">
        <v>32</v>
      </c>
      <c r="H219" t="s">
        <v>92</v>
      </c>
      <c r="I219" t="str">
        <f t="shared" si="4"/>
        <v>212_1</v>
      </c>
      <c r="J219" t="s">
        <v>18</v>
      </c>
      <c r="K219" t="s">
        <v>19</v>
      </c>
      <c r="L219" t="str">
        <f>_xlfn.XLOOKUP(C219, Table2[Species],Table2[Genus], "Code Not Found")</f>
        <v>Acer</v>
      </c>
      <c r="M219" t="str">
        <f>_xlfn.XLOOKUP(C219, Table2[Species],Table2[Sp. Name], "Code Not Found")</f>
        <v>saccharum</v>
      </c>
      <c r="N219" t="str">
        <f>_xlfn.XLOOKUP(C219,Table2[Species],Table2[Family],"Code Not Found")</f>
        <v>Sapindaceae</v>
      </c>
      <c r="O219" t="str" cm="1">
        <f t="array" ref="O219">_xlfn.IFS(F219="","",F219&lt;=5,"0 to 5",F219&lt;=10,"5.1 to 10",F219&lt;=20,"10 to 20", F219&lt;= 40, "20 to 40", F219 &lt;= 50, "40 to 50", F219 &gt; 50, "&gt;50" )</f>
        <v>5.1 to 10</v>
      </c>
    </row>
    <row r="220" spans="1:15" ht="14.4" x14ac:dyDescent="0.3">
      <c r="A220" t="s">
        <v>15</v>
      </c>
      <c r="B220" s="1">
        <v>46170</v>
      </c>
      <c r="C220" t="s">
        <v>16</v>
      </c>
      <c r="D220">
        <v>212</v>
      </c>
      <c r="E220">
        <v>2</v>
      </c>
      <c r="F220">
        <v>4.2</v>
      </c>
      <c r="G220" t="s">
        <v>93</v>
      </c>
      <c r="I220" t="str">
        <f t="shared" si="4"/>
        <v>212_2</v>
      </c>
      <c r="J220" t="s">
        <v>18</v>
      </c>
      <c r="K220" t="s">
        <v>19</v>
      </c>
      <c r="L220" t="str">
        <f>_xlfn.XLOOKUP(C220, Table2[Species],Table2[Genus], "Code Not Found")</f>
        <v>Acer</v>
      </c>
      <c r="M220" t="str">
        <f>_xlfn.XLOOKUP(C220, Table2[Species],Table2[Sp. Name], "Code Not Found")</f>
        <v>saccharum</v>
      </c>
      <c r="N220" t="str">
        <f>_xlfn.XLOOKUP(C220,Table2[Species],Table2[Family],"Code Not Found")</f>
        <v>Sapindaceae</v>
      </c>
      <c r="O220" t="str" cm="1">
        <f t="array" ref="O220">_xlfn.IFS(F220="","",F220&lt;=5,"0 to 5",F220&lt;=10,"5.1 to 10",F220&lt;=20,"10 to 20", F220&lt;= 40, "20 to 40", F220 &lt;= 50, "40 to 50", F220 &gt; 50, "&gt;50" )</f>
        <v>0 to 5</v>
      </c>
    </row>
    <row r="221" spans="1:15" ht="14.4" x14ac:dyDescent="0.3">
      <c r="A221" t="s">
        <v>15</v>
      </c>
      <c r="B221" s="1">
        <v>46170</v>
      </c>
      <c r="C221" t="s">
        <v>16</v>
      </c>
      <c r="D221">
        <v>213</v>
      </c>
      <c r="E221">
        <v>1</v>
      </c>
      <c r="F221">
        <v>6.3</v>
      </c>
      <c r="G221" t="s">
        <v>17</v>
      </c>
      <c r="I221" t="str">
        <f t="shared" si="4"/>
        <v>213_1</v>
      </c>
      <c r="J221" t="s">
        <v>18</v>
      </c>
      <c r="K221" t="s">
        <v>19</v>
      </c>
      <c r="L221" t="str">
        <f>_xlfn.XLOOKUP(C221, Table2[Species],Table2[Genus], "Code Not Found")</f>
        <v>Acer</v>
      </c>
      <c r="M221" t="str">
        <f>_xlfn.XLOOKUP(C221, Table2[Species],Table2[Sp. Name], "Code Not Found")</f>
        <v>saccharum</v>
      </c>
      <c r="N221" t="str">
        <f>_xlfn.XLOOKUP(C221,Table2[Species],Table2[Family],"Code Not Found")</f>
        <v>Sapindaceae</v>
      </c>
      <c r="O221" t="str" cm="1">
        <f t="array" ref="O221">_xlfn.IFS(F221="","",F221&lt;=5,"0 to 5",F221&lt;=10,"5.1 to 10",F221&lt;=20,"10 to 20", F221&lt;= 40, "20 to 40", F221 &lt;= 50, "40 to 50", F221 &gt; 50, "&gt;50" )</f>
        <v>5.1 to 10</v>
      </c>
    </row>
    <row r="222" spans="1:15" ht="14.4" x14ac:dyDescent="0.3">
      <c r="A222" t="s">
        <v>15</v>
      </c>
      <c r="B222" s="1">
        <v>46170</v>
      </c>
      <c r="C222" t="s">
        <v>16</v>
      </c>
      <c r="D222">
        <v>214</v>
      </c>
      <c r="E222">
        <v>1</v>
      </c>
      <c r="F222">
        <v>4</v>
      </c>
      <c r="G222" t="s">
        <v>94</v>
      </c>
      <c r="H222" t="s">
        <v>95</v>
      </c>
      <c r="I222" t="str">
        <f t="shared" si="4"/>
        <v>214_1</v>
      </c>
      <c r="J222" t="s">
        <v>18</v>
      </c>
      <c r="K222" t="s">
        <v>19</v>
      </c>
      <c r="L222" t="str">
        <f>_xlfn.XLOOKUP(C222, Table2[Species],Table2[Genus], "Code Not Found")</f>
        <v>Acer</v>
      </c>
      <c r="M222" t="str">
        <f>_xlfn.XLOOKUP(C222, Table2[Species],Table2[Sp. Name], "Code Not Found")</f>
        <v>saccharum</v>
      </c>
      <c r="N222" t="str">
        <f>_xlfn.XLOOKUP(C222,Table2[Species],Table2[Family],"Code Not Found")</f>
        <v>Sapindaceae</v>
      </c>
      <c r="O222" t="str" cm="1">
        <f t="array" ref="O222">_xlfn.IFS(F222="","",F222&lt;=5,"0 to 5",F222&lt;=10,"5.1 to 10",F222&lt;=20,"10 to 20", F222&lt;= 40, "20 to 40", F222 &lt;= 50, "40 to 50", F222 &gt; 50, "&gt;50" )</f>
        <v>0 to 5</v>
      </c>
    </row>
    <row r="223" spans="1:15" ht="14.4" x14ac:dyDescent="0.3">
      <c r="A223" t="s">
        <v>15</v>
      </c>
      <c r="B223" s="1">
        <v>46170</v>
      </c>
      <c r="C223" t="s">
        <v>16</v>
      </c>
      <c r="D223">
        <v>215</v>
      </c>
      <c r="E223">
        <v>1</v>
      </c>
      <c r="F223">
        <v>3</v>
      </c>
      <c r="G223" t="s">
        <v>30</v>
      </c>
      <c r="H223" t="s">
        <v>96</v>
      </c>
      <c r="I223" t="str">
        <f t="shared" si="4"/>
        <v>215_1</v>
      </c>
      <c r="J223" t="s">
        <v>18</v>
      </c>
      <c r="K223" t="s">
        <v>19</v>
      </c>
      <c r="L223" t="str">
        <f>_xlfn.XLOOKUP(C223, Table2[Species],Table2[Genus], "Code Not Found")</f>
        <v>Acer</v>
      </c>
      <c r="M223" t="str">
        <f>_xlfn.XLOOKUP(C223, Table2[Species],Table2[Sp. Name], "Code Not Found")</f>
        <v>saccharum</v>
      </c>
      <c r="N223" t="str">
        <f>_xlfn.XLOOKUP(C223,Table2[Species],Table2[Family],"Code Not Found")</f>
        <v>Sapindaceae</v>
      </c>
      <c r="O223" t="str" cm="1">
        <f t="array" ref="O223">_xlfn.IFS(F223="","",F223&lt;=5,"0 to 5",F223&lt;=10,"5.1 to 10",F223&lt;=20,"10 to 20", F223&lt;= 40, "20 to 40", F223 &lt;= 50, "40 to 50", F223 &gt; 50, "&gt;50" )</f>
        <v>0 to 5</v>
      </c>
    </row>
    <row r="224" spans="1:15" ht="14.4" x14ac:dyDescent="0.3">
      <c r="A224" t="s">
        <v>15</v>
      </c>
      <c r="B224" s="1">
        <v>46170</v>
      </c>
      <c r="C224" t="s">
        <v>16</v>
      </c>
      <c r="D224">
        <v>216</v>
      </c>
      <c r="E224">
        <v>1</v>
      </c>
      <c r="F224">
        <v>3.7</v>
      </c>
      <c r="G224" t="s">
        <v>47</v>
      </c>
      <c r="I224" t="str">
        <f t="shared" si="4"/>
        <v>216_1</v>
      </c>
      <c r="J224" t="s">
        <v>18</v>
      </c>
      <c r="K224" t="s">
        <v>19</v>
      </c>
      <c r="L224" t="str">
        <f>_xlfn.XLOOKUP(C224, Table2[Species],Table2[Genus], "Code Not Found")</f>
        <v>Acer</v>
      </c>
      <c r="M224" t="str">
        <f>_xlfn.XLOOKUP(C224, Table2[Species],Table2[Sp. Name], "Code Not Found")</f>
        <v>saccharum</v>
      </c>
      <c r="N224" t="str">
        <f>_xlfn.XLOOKUP(C224,Table2[Species],Table2[Family],"Code Not Found")</f>
        <v>Sapindaceae</v>
      </c>
      <c r="O224" t="str" cm="1">
        <f t="array" ref="O224">_xlfn.IFS(F224="","",F224&lt;=5,"0 to 5",F224&lt;=10,"5.1 to 10",F224&lt;=20,"10 to 20", F224&lt;= 40, "20 to 40", F224 &lt;= 50, "40 to 50", F224 &gt; 50, "&gt;50" )</f>
        <v>0 to 5</v>
      </c>
    </row>
    <row r="225" spans="1:15" ht="14.4" x14ac:dyDescent="0.3">
      <c r="A225" t="s">
        <v>15</v>
      </c>
      <c r="B225" s="1">
        <v>46170</v>
      </c>
      <c r="C225" t="s">
        <v>16</v>
      </c>
      <c r="D225">
        <v>217</v>
      </c>
      <c r="E225">
        <v>1</v>
      </c>
      <c r="F225">
        <v>5.0999999999999996</v>
      </c>
      <c r="G225" t="s">
        <v>17</v>
      </c>
      <c r="I225" t="str">
        <f t="shared" si="4"/>
        <v>217_1</v>
      </c>
      <c r="J225" t="s">
        <v>18</v>
      </c>
      <c r="K225" t="s">
        <v>19</v>
      </c>
      <c r="L225" t="str">
        <f>_xlfn.XLOOKUP(C225, Table2[Species],Table2[Genus], "Code Not Found")</f>
        <v>Acer</v>
      </c>
      <c r="M225" t="str">
        <f>_xlfn.XLOOKUP(C225, Table2[Species],Table2[Sp. Name], "Code Not Found")</f>
        <v>saccharum</v>
      </c>
      <c r="N225" t="str">
        <f>_xlfn.XLOOKUP(C225,Table2[Species],Table2[Family],"Code Not Found")</f>
        <v>Sapindaceae</v>
      </c>
      <c r="O225" t="str" cm="1">
        <f t="array" ref="O225">_xlfn.IFS(F225="","",F225&lt;=5,"0 to 5",F225&lt;=10,"5.1 to 10",F225&lt;=20,"10 to 20", F225&lt;= 40, "20 to 40", F225 &lt;= 50, "40 to 50", F225 &gt; 50, "&gt;50" )</f>
        <v>5.1 to 10</v>
      </c>
    </row>
    <row r="226" spans="1:15" ht="14.4" x14ac:dyDescent="0.3">
      <c r="A226" t="s">
        <v>15</v>
      </c>
      <c r="B226" s="1">
        <v>46170</v>
      </c>
      <c r="C226" t="s">
        <v>16</v>
      </c>
      <c r="D226">
        <v>218</v>
      </c>
      <c r="E226">
        <v>1</v>
      </c>
      <c r="F226">
        <v>20.8</v>
      </c>
      <c r="G226" t="s">
        <v>17</v>
      </c>
      <c r="I226" t="str">
        <f t="shared" si="4"/>
        <v>218_1</v>
      </c>
      <c r="J226" t="s">
        <v>18</v>
      </c>
      <c r="K226" t="s">
        <v>19</v>
      </c>
      <c r="L226" t="str">
        <f>_xlfn.XLOOKUP(C226, Table2[Species],Table2[Genus], "Code Not Found")</f>
        <v>Acer</v>
      </c>
      <c r="M226" t="str">
        <f>_xlfn.XLOOKUP(C226, Table2[Species],Table2[Sp. Name], "Code Not Found")</f>
        <v>saccharum</v>
      </c>
      <c r="N226" t="str">
        <f>_xlfn.XLOOKUP(C226,Table2[Species],Table2[Family],"Code Not Found")</f>
        <v>Sapindaceae</v>
      </c>
      <c r="O226" t="str" cm="1">
        <f t="array" ref="O226">_xlfn.IFS(F226="","",F226&lt;=5,"0 to 5",F226&lt;=10,"5.1 to 10",F226&lt;=20,"10 to 20", F226&lt;= 40, "20 to 40", F226 &lt;= 50, "40 to 50", F226 &gt; 50, "&gt;50" )</f>
        <v>20 to 40</v>
      </c>
    </row>
    <row r="227" spans="1:15" ht="14.4" x14ac:dyDescent="0.3">
      <c r="A227" t="s">
        <v>15</v>
      </c>
      <c r="B227" s="1">
        <v>46170</v>
      </c>
      <c r="C227" t="s">
        <v>16</v>
      </c>
      <c r="D227">
        <v>219</v>
      </c>
      <c r="E227">
        <v>1</v>
      </c>
      <c r="F227">
        <v>2.2000000000000002</v>
      </c>
      <c r="G227" t="s">
        <v>30</v>
      </c>
      <c r="H227" t="s">
        <v>97</v>
      </c>
      <c r="I227" t="str">
        <f t="shared" si="4"/>
        <v>219_1</v>
      </c>
      <c r="J227" t="s">
        <v>18</v>
      </c>
      <c r="K227" t="s">
        <v>19</v>
      </c>
      <c r="L227" t="str">
        <f>_xlfn.XLOOKUP(C227, Table2[Species],Table2[Genus], "Code Not Found")</f>
        <v>Acer</v>
      </c>
      <c r="M227" t="str">
        <f>_xlfn.XLOOKUP(C227, Table2[Species],Table2[Sp. Name], "Code Not Found")</f>
        <v>saccharum</v>
      </c>
      <c r="N227" t="str">
        <f>_xlfn.XLOOKUP(C227,Table2[Species],Table2[Family],"Code Not Found")</f>
        <v>Sapindaceae</v>
      </c>
      <c r="O227" t="str" cm="1">
        <f t="array" ref="O227">_xlfn.IFS(F227="","",F227&lt;=5,"0 to 5",F227&lt;=10,"5.1 to 10",F227&lt;=20,"10 to 20", F227&lt;= 40, "20 to 40", F227 &lt;= 50, "40 to 50", F227 &gt; 50, "&gt;50" )</f>
        <v>0 to 5</v>
      </c>
    </row>
    <row r="228" spans="1:15" ht="14.4" x14ac:dyDescent="0.3">
      <c r="A228" t="s">
        <v>15</v>
      </c>
      <c r="B228" s="1">
        <v>46170</v>
      </c>
      <c r="C228" t="s">
        <v>16</v>
      </c>
      <c r="D228">
        <v>220</v>
      </c>
      <c r="E228">
        <v>1</v>
      </c>
      <c r="F228">
        <v>10.5</v>
      </c>
      <c r="G228" t="s">
        <v>17</v>
      </c>
      <c r="H228" t="s">
        <v>98</v>
      </c>
      <c r="I228" t="str">
        <f t="shared" si="4"/>
        <v>220_1</v>
      </c>
      <c r="J228" t="s">
        <v>18</v>
      </c>
      <c r="K228" t="s">
        <v>19</v>
      </c>
      <c r="L228" t="str">
        <f>_xlfn.XLOOKUP(C228, Table2[Species],Table2[Genus], "Code Not Found")</f>
        <v>Acer</v>
      </c>
      <c r="M228" t="str">
        <f>_xlfn.XLOOKUP(C228, Table2[Species],Table2[Sp. Name], "Code Not Found")</f>
        <v>saccharum</v>
      </c>
      <c r="N228" t="str">
        <f>_xlfn.XLOOKUP(C228,Table2[Species],Table2[Family],"Code Not Found")</f>
        <v>Sapindaceae</v>
      </c>
      <c r="O228" t="str" cm="1">
        <f t="array" ref="O228">_xlfn.IFS(F228="","",F228&lt;=5,"0 to 5",F228&lt;=10,"5.1 to 10",F228&lt;=20,"10 to 20", F228&lt;= 40, "20 to 40", F228 &lt;= 50, "40 to 50", F228 &gt; 50, "&gt;50" )</f>
        <v>10 to 20</v>
      </c>
    </row>
    <row r="229" spans="1:15" ht="14.4" x14ac:dyDescent="0.3">
      <c r="A229" t="s">
        <v>15</v>
      </c>
      <c r="B229" s="1">
        <v>46170</v>
      </c>
      <c r="C229" t="s">
        <v>16</v>
      </c>
      <c r="D229">
        <v>286</v>
      </c>
      <c r="E229">
        <v>1</v>
      </c>
      <c r="F229">
        <v>2.7</v>
      </c>
      <c r="G229" t="s">
        <v>21</v>
      </c>
      <c r="I229" t="str">
        <f t="shared" si="4"/>
        <v>286_1</v>
      </c>
      <c r="J229" t="s">
        <v>18</v>
      </c>
      <c r="K229" t="s">
        <v>19</v>
      </c>
      <c r="L229" t="str">
        <f>_xlfn.XLOOKUP(C229, Table2[Species],Table2[Genus], "Code Not Found")</f>
        <v>Acer</v>
      </c>
      <c r="M229" t="str">
        <f>_xlfn.XLOOKUP(C229, Table2[Species],Table2[Sp. Name], "Code Not Found")</f>
        <v>saccharum</v>
      </c>
      <c r="N229" t="str">
        <f>_xlfn.XLOOKUP(C229,Table2[Species],Table2[Family],"Code Not Found")</f>
        <v>Sapindaceae</v>
      </c>
      <c r="O229" t="str" cm="1">
        <f t="array" ref="O229">_xlfn.IFS(F229="","",F229&lt;=5,"0 to 5",F229&lt;=10,"5.1 to 10",F229&lt;=20,"10 to 20", F229&lt;= 40, "20 to 40", F229 &lt;= 50, "40 to 50", F229 &gt; 50, "&gt;50" )</f>
        <v>0 to 5</v>
      </c>
    </row>
    <row r="230" spans="1:15" ht="14.4" x14ac:dyDescent="0.3">
      <c r="A230" t="s">
        <v>15</v>
      </c>
      <c r="B230" s="1">
        <v>46170</v>
      </c>
      <c r="C230" t="s">
        <v>16</v>
      </c>
      <c r="D230">
        <v>221</v>
      </c>
      <c r="E230">
        <v>1</v>
      </c>
      <c r="F230">
        <v>3.8</v>
      </c>
      <c r="G230" t="s">
        <v>17</v>
      </c>
      <c r="I230" t="str">
        <f t="shared" si="4"/>
        <v>221_1</v>
      </c>
      <c r="J230" t="s">
        <v>18</v>
      </c>
      <c r="K230" t="s">
        <v>19</v>
      </c>
      <c r="L230" t="str">
        <f>_xlfn.XLOOKUP(C230, Table2[Species],Table2[Genus], "Code Not Found")</f>
        <v>Acer</v>
      </c>
      <c r="M230" t="str">
        <f>_xlfn.XLOOKUP(C230, Table2[Species],Table2[Sp. Name], "Code Not Found")</f>
        <v>saccharum</v>
      </c>
      <c r="N230" t="str">
        <f>_xlfn.XLOOKUP(C230,Table2[Species],Table2[Family],"Code Not Found")</f>
        <v>Sapindaceae</v>
      </c>
      <c r="O230" t="str" cm="1">
        <f t="array" ref="O230">_xlfn.IFS(F230="","",F230&lt;=5,"0 to 5",F230&lt;=10,"5.1 to 10",F230&lt;=20,"10 to 20", F230&lt;= 40, "20 to 40", F230 &lt;= 50, "40 to 50", F230 &gt; 50, "&gt;50" )</f>
        <v>0 to 5</v>
      </c>
    </row>
    <row r="231" spans="1:15" ht="14.4" x14ac:dyDescent="0.3">
      <c r="A231" t="s">
        <v>15</v>
      </c>
      <c r="B231" s="1">
        <v>46170</v>
      </c>
      <c r="C231" t="s">
        <v>16</v>
      </c>
      <c r="D231">
        <v>222</v>
      </c>
      <c r="E231">
        <v>1</v>
      </c>
      <c r="F231">
        <v>1.6</v>
      </c>
      <c r="G231" t="s">
        <v>54</v>
      </c>
      <c r="I231" t="str">
        <f t="shared" si="4"/>
        <v>222_1</v>
      </c>
      <c r="J231" t="s">
        <v>18</v>
      </c>
      <c r="K231" t="s">
        <v>19</v>
      </c>
      <c r="L231" t="str">
        <f>_xlfn.XLOOKUP(C231, Table2[Species],Table2[Genus], "Code Not Found")</f>
        <v>Acer</v>
      </c>
      <c r="M231" t="str">
        <f>_xlfn.XLOOKUP(C231, Table2[Species],Table2[Sp. Name], "Code Not Found")</f>
        <v>saccharum</v>
      </c>
      <c r="N231" t="str">
        <f>_xlfn.XLOOKUP(C231,Table2[Species],Table2[Family],"Code Not Found")</f>
        <v>Sapindaceae</v>
      </c>
      <c r="O231" t="str" cm="1">
        <f t="array" ref="O231">_xlfn.IFS(F231="","",F231&lt;=5,"0 to 5",F231&lt;=10,"5.1 to 10",F231&lt;=20,"10 to 20", F231&lt;= 40, "20 to 40", F231 &lt;= 50, "40 to 50", F231 &gt; 50, "&gt;50" )</f>
        <v>0 to 5</v>
      </c>
    </row>
    <row r="232" spans="1:15" ht="14.4" x14ac:dyDescent="0.3">
      <c r="A232" t="s">
        <v>15</v>
      </c>
      <c r="B232" s="1">
        <v>46170</v>
      </c>
      <c r="C232" t="s">
        <v>16</v>
      </c>
      <c r="D232">
        <v>223</v>
      </c>
      <c r="E232">
        <v>1</v>
      </c>
      <c r="F232">
        <v>5.3</v>
      </c>
      <c r="G232" t="s">
        <v>47</v>
      </c>
      <c r="I232" t="str">
        <f t="shared" si="4"/>
        <v>223_1</v>
      </c>
      <c r="J232" t="s">
        <v>18</v>
      </c>
      <c r="K232" t="s">
        <v>19</v>
      </c>
      <c r="L232" t="str">
        <f>_xlfn.XLOOKUP(C232, Table2[Species],Table2[Genus], "Code Not Found")</f>
        <v>Acer</v>
      </c>
      <c r="M232" t="str">
        <f>_xlfn.XLOOKUP(C232, Table2[Species],Table2[Sp. Name], "Code Not Found")</f>
        <v>saccharum</v>
      </c>
      <c r="N232" t="str">
        <f>_xlfn.XLOOKUP(C232,Table2[Species],Table2[Family],"Code Not Found")</f>
        <v>Sapindaceae</v>
      </c>
      <c r="O232" t="str" cm="1">
        <f t="array" ref="O232">_xlfn.IFS(F232="","",F232&lt;=5,"0 to 5",F232&lt;=10,"5.1 to 10",F232&lt;=20,"10 to 20", F232&lt;= 40, "20 to 40", F232 &lt;= 50, "40 to 50", F232 &gt; 50, "&gt;50" )</f>
        <v>5.1 to 10</v>
      </c>
    </row>
    <row r="233" spans="1:15" ht="14.4" x14ac:dyDescent="0.3">
      <c r="A233" t="s">
        <v>15</v>
      </c>
      <c r="B233" s="1">
        <v>46170</v>
      </c>
      <c r="C233" t="s">
        <v>16</v>
      </c>
      <c r="D233">
        <v>224</v>
      </c>
      <c r="E233">
        <v>1</v>
      </c>
      <c r="F233">
        <v>3.8</v>
      </c>
      <c r="G233" t="s">
        <v>30</v>
      </c>
      <c r="H233" t="s">
        <v>99</v>
      </c>
      <c r="I233" t="str">
        <f t="shared" si="4"/>
        <v>224_1</v>
      </c>
      <c r="J233" t="s">
        <v>18</v>
      </c>
      <c r="K233" t="s">
        <v>19</v>
      </c>
      <c r="L233" t="str">
        <f>_xlfn.XLOOKUP(C233, Table2[Species],Table2[Genus], "Code Not Found")</f>
        <v>Acer</v>
      </c>
      <c r="M233" t="str">
        <f>_xlfn.XLOOKUP(C233, Table2[Species],Table2[Sp. Name], "Code Not Found")</f>
        <v>saccharum</v>
      </c>
      <c r="N233" t="str">
        <f>_xlfn.XLOOKUP(C233,Table2[Species],Table2[Family],"Code Not Found")</f>
        <v>Sapindaceae</v>
      </c>
      <c r="O233" t="str" cm="1">
        <f t="array" ref="O233">_xlfn.IFS(F233="","",F233&lt;=5,"0 to 5",F233&lt;=10,"5.1 to 10",F233&lt;=20,"10 to 20", F233&lt;= 40, "20 to 40", F233 &lt;= 50, "40 to 50", F233 &gt; 50, "&gt;50" )</f>
        <v>0 to 5</v>
      </c>
    </row>
    <row r="234" spans="1:15" ht="14.4" x14ac:dyDescent="0.3">
      <c r="A234" t="s">
        <v>15</v>
      </c>
      <c r="B234" s="1">
        <v>46170</v>
      </c>
      <c r="C234" t="s">
        <v>16</v>
      </c>
      <c r="D234">
        <v>225</v>
      </c>
      <c r="E234">
        <v>1</v>
      </c>
      <c r="F234">
        <v>1.9</v>
      </c>
      <c r="G234" t="s">
        <v>17</v>
      </c>
      <c r="I234" t="str">
        <f t="shared" si="4"/>
        <v>225_1</v>
      </c>
      <c r="J234" t="s">
        <v>18</v>
      </c>
      <c r="K234" t="s">
        <v>19</v>
      </c>
      <c r="L234" t="str">
        <f>_xlfn.XLOOKUP(C234, Table2[Species],Table2[Genus], "Code Not Found")</f>
        <v>Acer</v>
      </c>
      <c r="M234" t="str">
        <f>_xlfn.XLOOKUP(C234, Table2[Species],Table2[Sp. Name], "Code Not Found")</f>
        <v>saccharum</v>
      </c>
      <c r="N234" t="str">
        <f>_xlfn.XLOOKUP(C234,Table2[Species],Table2[Family],"Code Not Found")</f>
        <v>Sapindaceae</v>
      </c>
      <c r="O234" t="str" cm="1">
        <f t="array" ref="O234">_xlfn.IFS(F234="","",F234&lt;=5,"0 to 5",F234&lt;=10,"5.1 to 10",F234&lt;=20,"10 to 20", F234&lt;= 40, "20 to 40", F234 &lt;= 50, "40 to 50", F234 &gt; 50, "&gt;50" )</f>
        <v>0 to 5</v>
      </c>
    </row>
    <row r="235" spans="1:15" ht="14.4" x14ac:dyDescent="0.3">
      <c r="A235" t="s">
        <v>15</v>
      </c>
      <c r="B235" s="1">
        <v>46170</v>
      </c>
      <c r="C235" t="s">
        <v>16</v>
      </c>
      <c r="D235">
        <v>226</v>
      </c>
      <c r="E235">
        <v>1</v>
      </c>
      <c r="F235">
        <v>2.4</v>
      </c>
      <c r="G235" t="s">
        <v>17</v>
      </c>
      <c r="I235" t="str">
        <f t="shared" si="4"/>
        <v>226_1</v>
      </c>
      <c r="J235" t="s">
        <v>18</v>
      </c>
      <c r="K235" t="s">
        <v>19</v>
      </c>
      <c r="L235" t="str">
        <f>_xlfn.XLOOKUP(C235, Table2[Species],Table2[Genus], "Code Not Found")</f>
        <v>Acer</v>
      </c>
      <c r="M235" t="str">
        <f>_xlfn.XLOOKUP(C235, Table2[Species],Table2[Sp. Name], "Code Not Found")</f>
        <v>saccharum</v>
      </c>
      <c r="N235" t="str">
        <f>_xlfn.XLOOKUP(C235,Table2[Species],Table2[Family],"Code Not Found")</f>
        <v>Sapindaceae</v>
      </c>
      <c r="O235" t="str" cm="1">
        <f t="array" ref="O235">_xlfn.IFS(F235="","",F235&lt;=5,"0 to 5",F235&lt;=10,"5.1 to 10",F235&lt;=20,"10 to 20", F235&lt;= 40, "20 to 40", F235 &lt;= 50, "40 to 50", F235 &gt; 50, "&gt;50" )</f>
        <v>0 to 5</v>
      </c>
    </row>
    <row r="236" spans="1:15" ht="14.4" x14ac:dyDescent="0.3">
      <c r="A236" t="s">
        <v>15</v>
      </c>
      <c r="B236" s="1">
        <v>46170</v>
      </c>
      <c r="C236" t="s">
        <v>16</v>
      </c>
      <c r="D236">
        <v>287</v>
      </c>
      <c r="E236">
        <v>1</v>
      </c>
      <c r="F236">
        <v>2.8</v>
      </c>
      <c r="G236" t="s">
        <v>94</v>
      </c>
      <c r="H236" t="s">
        <v>100</v>
      </c>
      <c r="I236" t="str">
        <f t="shared" si="4"/>
        <v>287_1</v>
      </c>
      <c r="J236" t="s">
        <v>18</v>
      </c>
      <c r="K236" t="s">
        <v>19</v>
      </c>
      <c r="L236" t="str">
        <f>_xlfn.XLOOKUP(C236, Table2[Species],Table2[Genus], "Code Not Found")</f>
        <v>Acer</v>
      </c>
      <c r="M236" t="str">
        <f>_xlfn.XLOOKUP(C236, Table2[Species],Table2[Sp. Name], "Code Not Found")</f>
        <v>saccharum</v>
      </c>
      <c r="N236" t="str">
        <f>_xlfn.XLOOKUP(C236,Table2[Species],Table2[Family],"Code Not Found")</f>
        <v>Sapindaceae</v>
      </c>
      <c r="O236" t="str" cm="1">
        <f t="array" ref="O236">_xlfn.IFS(F236="","",F236&lt;=5,"0 to 5",F236&lt;=10,"5.1 to 10",F236&lt;=20,"10 to 20", F236&lt;= 40, "20 to 40", F236 &lt;= 50, "40 to 50", F236 &gt; 50, "&gt;50" )</f>
        <v>0 to 5</v>
      </c>
    </row>
    <row r="237" spans="1:15" ht="14.4" x14ac:dyDescent="0.3">
      <c r="A237" t="s">
        <v>15</v>
      </c>
      <c r="B237" s="1">
        <v>46170</v>
      </c>
      <c r="C237" t="s">
        <v>16</v>
      </c>
      <c r="D237">
        <v>227</v>
      </c>
      <c r="E237">
        <v>1</v>
      </c>
      <c r="F237">
        <v>3.1</v>
      </c>
      <c r="G237" t="s">
        <v>17</v>
      </c>
      <c r="I237" t="str">
        <f t="shared" si="4"/>
        <v>227_1</v>
      </c>
      <c r="J237" t="s">
        <v>18</v>
      </c>
      <c r="K237" t="s">
        <v>19</v>
      </c>
      <c r="L237" t="str">
        <f>_xlfn.XLOOKUP(C237, Table2[Species],Table2[Genus], "Code Not Found")</f>
        <v>Acer</v>
      </c>
      <c r="M237" t="str">
        <f>_xlfn.XLOOKUP(C237, Table2[Species],Table2[Sp. Name], "Code Not Found")</f>
        <v>saccharum</v>
      </c>
      <c r="N237" t="str">
        <f>_xlfn.XLOOKUP(C237,Table2[Species],Table2[Family],"Code Not Found")</f>
        <v>Sapindaceae</v>
      </c>
      <c r="O237" t="str" cm="1">
        <f t="array" ref="O237">_xlfn.IFS(F237="","",F237&lt;=5,"0 to 5",F237&lt;=10,"5.1 to 10",F237&lt;=20,"10 to 20", F237&lt;= 40, "20 to 40", F237 &lt;= 50, "40 to 50", F237 &gt; 50, "&gt;50" )</f>
        <v>0 to 5</v>
      </c>
    </row>
    <row r="238" spans="1:15" ht="14.4" x14ac:dyDescent="0.3">
      <c r="A238" t="s">
        <v>15</v>
      </c>
      <c r="B238" s="1">
        <v>46170</v>
      </c>
      <c r="C238" t="s">
        <v>24</v>
      </c>
      <c r="D238">
        <v>228</v>
      </c>
      <c r="E238">
        <v>1</v>
      </c>
      <c r="F238">
        <v>61.5</v>
      </c>
      <c r="G238" t="s">
        <v>65</v>
      </c>
      <c r="H238" t="s">
        <v>101</v>
      </c>
      <c r="I238" t="str">
        <f t="shared" si="4"/>
        <v>228_1</v>
      </c>
      <c r="J238" t="s">
        <v>18</v>
      </c>
      <c r="K238" t="s">
        <v>19</v>
      </c>
      <c r="L238" t="str">
        <f>_xlfn.XLOOKUP(C238, Table2[Species],Table2[Genus], "Code Not Found")</f>
        <v>Lirodendron</v>
      </c>
      <c r="M238" t="str">
        <f>_xlfn.XLOOKUP(C238, Table2[Species],Table2[Sp. Name], "Code Not Found")</f>
        <v>tulipfera</v>
      </c>
      <c r="N238" t="str">
        <f>_xlfn.XLOOKUP(C238,Table2[Species],Table2[Family],"Code Not Found")</f>
        <v>Magnoliaceae</v>
      </c>
      <c r="O238" t="str" cm="1">
        <f t="array" ref="O238">_xlfn.IFS(F238="","",F238&lt;=5,"0 to 5",F238&lt;=10,"5.1 to 10",F238&lt;=20,"10 to 20", F238&lt;= 40, "20 to 40", F238 &lt;= 50, "40 to 50", F238 &gt; 50, "&gt;50" )</f>
        <v>&gt;50</v>
      </c>
    </row>
    <row r="239" spans="1:15" ht="14.4" x14ac:dyDescent="0.3">
      <c r="A239" t="s">
        <v>15</v>
      </c>
      <c r="B239" s="1">
        <v>46170</v>
      </c>
      <c r="C239" t="s">
        <v>24</v>
      </c>
      <c r="D239">
        <v>228</v>
      </c>
      <c r="E239">
        <v>2</v>
      </c>
      <c r="F239">
        <v>52.8</v>
      </c>
      <c r="G239" t="s">
        <v>65</v>
      </c>
      <c r="H239" t="s">
        <v>101</v>
      </c>
      <c r="I239" t="str">
        <f t="shared" si="4"/>
        <v>228_2</v>
      </c>
      <c r="J239" t="s">
        <v>18</v>
      </c>
      <c r="K239" t="s">
        <v>19</v>
      </c>
      <c r="L239" t="str">
        <f>_xlfn.XLOOKUP(C239, Table2[Species],Table2[Genus], "Code Not Found")</f>
        <v>Lirodendron</v>
      </c>
      <c r="M239" t="str">
        <f>_xlfn.XLOOKUP(C239, Table2[Species],Table2[Sp. Name], "Code Not Found")</f>
        <v>tulipfera</v>
      </c>
      <c r="N239" t="str">
        <f>_xlfn.XLOOKUP(C239,Table2[Species],Table2[Family],"Code Not Found")</f>
        <v>Magnoliaceae</v>
      </c>
      <c r="O239" t="str" cm="1">
        <f t="array" ref="O239">_xlfn.IFS(F239="","",F239&lt;=5,"0 to 5",F239&lt;=10,"5.1 to 10",F239&lt;=20,"10 to 20", F239&lt;= 40, "20 to 40", F239 &lt;= 50, "40 to 50", F239 &gt; 50, "&gt;50" )</f>
        <v>&gt;50</v>
      </c>
    </row>
    <row r="240" spans="1:15" ht="14.4" x14ac:dyDescent="0.3">
      <c r="A240" t="s">
        <v>15</v>
      </c>
      <c r="B240" s="1">
        <v>46170</v>
      </c>
      <c r="C240" t="s">
        <v>24</v>
      </c>
      <c r="D240">
        <v>228</v>
      </c>
      <c r="E240">
        <v>3</v>
      </c>
      <c r="F240">
        <v>52.5</v>
      </c>
      <c r="G240" t="s">
        <v>32</v>
      </c>
      <c r="H240" t="s">
        <v>102</v>
      </c>
      <c r="I240" t="str">
        <f t="shared" si="4"/>
        <v>228_3</v>
      </c>
      <c r="J240" t="s">
        <v>18</v>
      </c>
      <c r="K240" t="s">
        <v>19</v>
      </c>
      <c r="L240" t="str">
        <f>_xlfn.XLOOKUP(C240, Table2[Species],Table2[Genus], "Code Not Found")</f>
        <v>Lirodendron</v>
      </c>
      <c r="M240" t="str">
        <f>_xlfn.XLOOKUP(C240, Table2[Species],Table2[Sp. Name], "Code Not Found")</f>
        <v>tulipfera</v>
      </c>
      <c r="N240" t="str">
        <f>_xlfn.XLOOKUP(C240,Table2[Species],Table2[Family],"Code Not Found")</f>
        <v>Magnoliaceae</v>
      </c>
      <c r="O240" t="str" cm="1">
        <f t="array" ref="O240">_xlfn.IFS(F240="","",F240&lt;=5,"0 to 5",F240&lt;=10,"5.1 to 10",F240&lt;=20,"10 to 20", F240&lt;= 40, "20 to 40", F240 &lt;= 50, "40 to 50", F240 &gt; 50, "&gt;50" )</f>
        <v>&gt;50</v>
      </c>
    </row>
    <row r="241" spans="1:15" ht="14.4" x14ac:dyDescent="0.3">
      <c r="A241" t="s">
        <v>15</v>
      </c>
      <c r="B241" s="1">
        <v>46170</v>
      </c>
      <c r="C241" t="s">
        <v>16</v>
      </c>
      <c r="D241">
        <v>229</v>
      </c>
      <c r="E241">
        <v>1</v>
      </c>
      <c r="F241">
        <v>3.5</v>
      </c>
      <c r="G241" t="s">
        <v>17</v>
      </c>
      <c r="I241" t="str">
        <f t="shared" si="4"/>
        <v>229_1</v>
      </c>
      <c r="J241" t="s">
        <v>18</v>
      </c>
      <c r="K241" t="s">
        <v>19</v>
      </c>
      <c r="L241" t="str">
        <f>_xlfn.XLOOKUP(C241, Table2[Species],Table2[Genus], "Code Not Found")</f>
        <v>Acer</v>
      </c>
      <c r="M241" t="str">
        <f>_xlfn.XLOOKUP(C241, Table2[Species],Table2[Sp. Name], "Code Not Found")</f>
        <v>saccharum</v>
      </c>
      <c r="N241" t="str">
        <f>_xlfn.XLOOKUP(C241,Table2[Species],Table2[Family],"Code Not Found")</f>
        <v>Sapindaceae</v>
      </c>
      <c r="O241" t="str" cm="1">
        <f t="array" ref="O241">_xlfn.IFS(F241="","",F241&lt;=5,"0 to 5",F241&lt;=10,"5.1 to 10",F241&lt;=20,"10 to 20", F241&lt;= 40, "20 to 40", F241 &lt;= 50, "40 to 50", F241 &gt; 50, "&gt;50" )</f>
        <v>0 to 5</v>
      </c>
    </row>
    <row r="242" spans="1:15" ht="14.4" x14ac:dyDescent="0.3">
      <c r="A242" t="s">
        <v>15</v>
      </c>
      <c r="B242" s="1">
        <v>46170</v>
      </c>
      <c r="C242" t="s">
        <v>22</v>
      </c>
      <c r="D242">
        <v>230</v>
      </c>
      <c r="E242">
        <v>1</v>
      </c>
      <c r="F242">
        <v>13.4</v>
      </c>
      <c r="G242" t="s">
        <v>21</v>
      </c>
      <c r="I242" t="str">
        <f t="shared" si="4"/>
        <v>230_1</v>
      </c>
      <c r="J242" t="s">
        <v>18</v>
      </c>
      <c r="K242" t="s">
        <v>19</v>
      </c>
      <c r="L242" t="str">
        <f>_xlfn.XLOOKUP(C242, Table2[Species],Table2[Genus], "Code Not Found")</f>
        <v>Acer</v>
      </c>
      <c r="M242" t="str">
        <f>_xlfn.XLOOKUP(C242, Table2[Species],Table2[Sp. Name], "Code Not Found")</f>
        <v>rubrum</v>
      </c>
      <c r="N242" t="str">
        <f>_xlfn.XLOOKUP(C242,Table2[Species],Table2[Family],"Code Not Found")</f>
        <v>Sapindaceae</v>
      </c>
      <c r="O242" t="str" cm="1">
        <f t="array" ref="O242">_xlfn.IFS(F242="","",F242&lt;=5,"0 to 5",F242&lt;=10,"5.1 to 10",F242&lt;=20,"10 to 20", F242&lt;= 40, "20 to 40", F242 &lt;= 50, "40 to 50", F242 &gt; 50, "&gt;50" )</f>
        <v>10 to 20</v>
      </c>
    </row>
    <row r="243" spans="1:15" ht="14.4" x14ac:dyDescent="0.3">
      <c r="A243" t="s">
        <v>15</v>
      </c>
      <c r="B243" s="1">
        <v>46170</v>
      </c>
      <c r="C243" t="s">
        <v>16</v>
      </c>
      <c r="D243">
        <v>231</v>
      </c>
      <c r="E243">
        <v>1</v>
      </c>
      <c r="F243">
        <v>4.5999999999999996</v>
      </c>
      <c r="G243" t="s">
        <v>17</v>
      </c>
      <c r="I243" t="str">
        <f t="shared" si="4"/>
        <v>231_1</v>
      </c>
      <c r="J243" t="s">
        <v>18</v>
      </c>
      <c r="K243" t="s">
        <v>19</v>
      </c>
      <c r="L243" t="str">
        <f>_xlfn.XLOOKUP(C243, Table2[Species],Table2[Genus], "Code Not Found")</f>
        <v>Acer</v>
      </c>
      <c r="M243" t="str">
        <f>_xlfn.XLOOKUP(C243, Table2[Species],Table2[Sp. Name], "Code Not Found")</f>
        <v>saccharum</v>
      </c>
      <c r="N243" t="str">
        <f>_xlfn.XLOOKUP(C243,Table2[Species],Table2[Family],"Code Not Found")</f>
        <v>Sapindaceae</v>
      </c>
      <c r="O243" t="str" cm="1">
        <f t="array" ref="O243">_xlfn.IFS(F243="","",F243&lt;=5,"0 to 5",F243&lt;=10,"5.1 to 10",F243&lt;=20,"10 to 20", F243&lt;= 40, "20 to 40", F243 &lt;= 50, "40 to 50", F243 &gt; 50, "&gt;50" )</f>
        <v>0 to 5</v>
      </c>
    </row>
    <row r="244" spans="1:15" ht="14.4" x14ac:dyDescent="0.3">
      <c r="A244" t="s">
        <v>15</v>
      </c>
      <c r="B244" s="1">
        <v>46170</v>
      </c>
      <c r="C244" t="s">
        <v>16</v>
      </c>
      <c r="D244">
        <v>232</v>
      </c>
      <c r="E244">
        <v>1</v>
      </c>
      <c r="F244">
        <v>2.2999999999999998</v>
      </c>
      <c r="G244" t="s">
        <v>17</v>
      </c>
      <c r="I244" t="str">
        <f t="shared" si="4"/>
        <v>232_1</v>
      </c>
      <c r="J244" t="s">
        <v>18</v>
      </c>
      <c r="K244" t="s">
        <v>19</v>
      </c>
      <c r="L244" t="str">
        <f>_xlfn.XLOOKUP(C244, Table2[Species],Table2[Genus], "Code Not Found")</f>
        <v>Acer</v>
      </c>
      <c r="M244" t="str">
        <f>_xlfn.XLOOKUP(C244, Table2[Species],Table2[Sp. Name], "Code Not Found")</f>
        <v>saccharum</v>
      </c>
      <c r="N244" t="str">
        <f>_xlfn.XLOOKUP(C244,Table2[Species],Table2[Family],"Code Not Found")</f>
        <v>Sapindaceae</v>
      </c>
      <c r="O244" t="str" cm="1">
        <f t="array" ref="O244">_xlfn.IFS(F244="","",F244&lt;=5,"0 to 5",F244&lt;=10,"5.1 to 10",F244&lt;=20,"10 to 20", F244&lt;= 40, "20 to 40", F244 &lt;= 50, "40 to 50", F244 &gt; 50, "&gt;50" )</f>
        <v>0 to 5</v>
      </c>
    </row>
    <row r="245" spans="1:15" ht="14.4" x14ac:dyDescent="0.3">
      <c r="A245" t="s">
        <v>15</v>
      </c>
      <c r="B245" s="1">
        <v>46170</v>
      </c>
      <c r="C245" t="s">
        <v>16</v>
      </c>
      <c r="D245">
        <v>233</v>
      </c>
      <c r="E245">
        <v>1</v>
      </c>
      <c r="F245">
        <v>2.5</v>
      </c>
      <c r="G245" t="s">
        <v>94</v>
      </c>
      <c r="H245" t="s">
        <v>100</v>
      </c>
      <c r="I245" t="str">
        <f t="shared" si="4"/>
        <v>233_1</v>
      </c>
      <c r="J245" t="s">
        <v>18</v>
      </c>
      <c r="K245" t="s">
        <v>19</v>
      </c>
      <c r="L245" t="str">
        <f>_xlfn.XLOOKUP(C245, Table2[Species],Table2[Genus], "Code Not Found")</f>
        <v>Acer</v>
      </c>
      <c r="M245" t="str">
        <f>_xlfn.XLOOKUP(C245, Table2[Species],Table2[Sp. Name], "Code Not Found")</f>
        <v>saccharum</v>
      </c>
      <c r="N245" t="str">
        <f>_xlfn.XLOOKUP(C245,Table2[Species],Table2[Family],"Code Not Found")</f>
        <v>Sapindaceae</v>
      </c>
      <c r="O245" t="str" cm="1">
        <f t="array" ref="O245">_xlfn.IFS(F245="","",F245&lt;=5,"0 to 5",F245&lt;=10,"5.1 to 10",F245&lt;=20,"10 to 20", F245&lt;= 40, "20 to 40", F245 &lt;= 50, "40 to 50", F245 &gt; 50, "&gt;50" )</f>
        <v>0 to 5</v>
      </c>
    </row>
    <row r="246" spans="1:15" ht="14.4" x14ac:dyDescent="0.3">
      <c r="A246" t="s">
        <v>15</v>
      </c>
      <c r="B246" s="1">
        <v>46170</v>
      </c>
      <c r="C246" t="s">
        <v>16</v>
      </c>
      <c r="D246">
        <v>234</v>
      </c>
      <c r="E246">
        <v>1</v>
      </c>
      <c r="F246">
        <v>2.2000000000000002</v>
      </c>
      <c r="G246" t="s">
        <v>47</v>
      </c>
      <c r="I246" t="str">
        <f t="shared" si="4"/>
        <v>234_1</v>
      </c>
      <c r="J246" t="s">
        <v>18</v>
      </c>
      <c r="K246" t="s">
        <v>19</v>
      </c>
      <c r="L246" t="str">
        <f>_xlfn.XLOOKUP(C246, Table2[Species],Table2[Genus], "Code Not Found")</f>
        <v>Acer</v>
      </c>
      <c r="M246" t="str">
        <f>_xlfn.XLOOKUP(C246, Table2[Species],Table2[Sp. Name], "Code Not Found")</f>
        <v>saccharum</v>
      </c>
      <c r="N246" t="str">
        <f>_xlfn.XLOOKUP(C246,Table2[Species],Table2[Family],"Code Not Found")</f>
        <v>Sapindaceae</v>
      </c>
      <c r="O246" t="str" cm="1">
        <f t="array" ref="O246">_xlfn.IFS(F246="","",F246&lt;=5,"0 to 5",F246&lt;=10,"5.1 to 10",F246&lt;=20,"10 to 20", F246&lt;= 40, "20 to 40", F246 &lt;= 50, "40 to 50", F246 &gt; 50, "&gt;50" )</f>
        <v>0 to 5</v>
      </c>
    </row>
    <row r="247" spans="1:15" ht="14.4" x14ac:dyDescent="0.3">
      <c r="A247" t="s">
        <v>15</v>
      </c>
      <c r="B247" s="1">
        <v>46170</v>
      </c>
      <c r="C247" t="s">
        <v>16</v>
      </c>
      <c r="D247">
        <v>235</v>
      </c>
      <c r="E247">
        <v>1</v>
      </c>
      <c r="F247">
        <v>2.8</v>
      </c>
      <c r="G247" t="s">
        <v>47</v>
      </c>
      <c r="H247" t="s">
        <v>43</v>
      </c>
      <c r="I247" t="str">
        <f t="shared" si="4"/>
        <v>235_1</v>
      </c>
      <c r="J247" t="s">
        <v>18</v>
      </c>
      <c r="K247" t="s">
        <v>19</v>
      </c>
      <c r="L247" t="str">
        <f>_xlfn.XLOOKUP(C247, Table2[Species],Table2[Genus], "Code Not Found")</f>
        <v>Acer</v>
      </c>
      <c r="M247" t="str">
        <f>_xlfn.XLOOKUP(C247, Table2[Species],Table2[Sp. Name], "Code Not Found")</f>
        <v>saccharum</v>
      </c>
      <c r="N247" t="str">
        <f>_xlfn.XLOOKUP(C247,Table2[Species],Table2[Family],"Code Not Found")</f>
        <v>Sapindaceae</v>
      </c>
      <c r="O247" t="str" cm="1">
        <f t="array" ref="O247">_xlfn.IFS(F247="","",F247&lt;=5,"0 to 5",F247&lt;=10,"5.1 to 10",F247&lt;=20,"10 to 20", F247&lt;= 40, "20 to 40", F247 &lt;= 50, "40 to 50", F247 &gt; 50, "&gt;50" )</f>
        <v>0 to 5</v>
      </c>
    </row>
    <row r="248" spans="1:15" ht="14.4" x14ac:dyDescent="0.3">
      <c r="A248" t="s">
        <v>15</v>
      </c>
      <c r="B248" s="1">
        <v>46170</v>
      </c>
      <c r="C248" t="s">
        <v>24</v>
      </c>
      <c r="D248">
        <v>236</v>
      </c>
      <c r="E248">
        <v>1</v>
      </c>
      <c r="F248">
        <v>63.5</v>
      </c>
      <c r="G248" t="s">
        <v>21</v>
      </c>
      <c r="I248" t="str">
        <f t="shared" si="4"/>
        <v>236_1</v>
      </c>
      <c r="J248" t="s">
        <v>18</v>
      </c>
      <c r="K248" t="s">
        <v>19</v>
      </c>
      <c r="L248" t="str">
        <f>_xlfn.XLOOKUP(C248, Table2[Species],Table2[Genus], "Code Not Found")</f>
        <v>Lirodendron</v>
      </c>
      <c r="M248" t="str">
        <f>_xlfn.XLOOKUP(C248, Table2[Species],Table2[Sp. Name], "Code Not Found")</f>
        <v>tulipfera</v>
      </c>
      <c r="N248" t="str">
        <f>_xlfn.XLOOKUP(C248,Table2[Species],Table2[Family],"Code Not Found")</f>
        <v>Magnoliaceae</v>
      </c>
      <c r="O248" t="str" cm="1">
        <f t="array" ref="O248">_xlfn.IFS(F248="","",F248&lt;=5,"0 to 5",F248&lt;=10,"5.1 to 10",F248&lt;=20,"10 to 20", F248&lt;= 40, "20 to 40", F248 &lt;= 50, "40 to 50", F248 &gt; 50, "&gt;50" )</f>
        <v>&gt;50</v>
      </c>
    </row>
    <row r="249" spans="1:15" ht="14.4" x14ac:dyDescent="0.3">
      <c r="A249" t="s">
        <v>15</v>
      </c>
      <c r="B249" s="1">
        <v>46170</v>
      </c>
      <c r="C249" t="s">
        <v>16</v>
      </c>
      <c r="D249">
        <v>237</v>
      </c>
      <c r="E249">
        <v>1</v>
      </c>
      <c r="F249">
        <v>12.2</v>
      </c>
      <c r="G249" t="s">
        <v>17</v>
      </c>
      <c r="H249" t="s">
        <v>36</v>
      </c>
      <c r="I249" t="str">
        <f t="shared" si="4"/>
        <v>237_1</v>
      </c>
      <c r="J249" t="s">
        <v>18</v>
      </c>
      <c r="K249" t="s">
        <v>19</v>
      </c>
      <c r="L249" t="str">
        <f>_xlfn.XLOOKUP(C249, Table2[Species],Table2[Genus], "Code Not Found")</f>
        <v>Acer</v>
      </c>
      <c r="M249" t="str">
        <f>_xlfn.XLOOKUP(C249, Table2[Species],Table2[Sp. Name], "Code Not Found")</f>
        <v>saccharum</v>
      </c>
      <c r="N249" t="str">
        <f>_xlfn.XLOOKUP(C249,Table2[Species],Table2[Family],"Code Not Found")</f>
        <v>Sapindaceae</v>
      </c>
      <c r="O249" t="str" cm="1">
        <f t="array" ref="O249">_xlfn.IFS(F249="","",F249&lt;=5,"0 to 5",F249&lt;=10,"5.1 to 10",F249&lt;=20,"10 to 20", F249&lt;= 40, "20 to 40", F249 &lt;= 50, "40 to 50", F249 &gt; 50, "&gt;50" )</f>
        <v>10 to 20</v>
      </c>
    </row>
    <row r="250" spans="1:15" ht="14.4" x14ac:dyDescent="0.3">
      <c r="A250" t="s">
        <v>15</v>
      </c>
      <c r="B250" s="1">
        <v>46170</v>
      </c>
      <c r="C250" t="s">
        <v>16</v>
      </c>
      <c r="D250">
        <v>238</v>
      </c>
      <c r="E250">
        <v>1</v>
      </c>
      <c r="F250">
        <v>2.7</v>
      </c>
      <c r="G250" t="s">
        <v>103</v>
      </c>
      <c r="I250" t="str">
        <f t="shared" si="4"/>
        <v>238_1</v>
      </c>
      <c r="J250" t="s">
        <v>18</v>
      </c>
      <c r="K250" t="s">
        <v>19</v>
      </c>
      <c r="L250" t="str">
        <f>_xlfn.XLOOKUP(C250, Table2[Species],Table2[Genus], "Code Not Found")</f>
        <v>Acer</v>
      </c>
      <c r="M250" t="str">
        <f>_xlfn.XLOOKUP(C250, Table2[Species],Table2[Sp. Name], "Code Not Found")</f>
        <v>saccharum</v>
      </c>
      <c r="N250" t="str">
        <f>_xlfn.XLOOKUP(C250,Table2[Species],Table2[Family],"Code Not Found")</f>
        <v>Sapindaceae</v>
      </c>
      <c r="O250" t="str" cm="1">
        <f t="array" ref="O250">_xlfn.IFS(F250="","",F250&lt;=5,"0 to 5",F250&lt;=10,"5.1 to 10",F250&lt;=20,"10 to 20", F250&lt;= 40, "20 to 40", F250 &lt;= 50, "40 to 50", F250 &gt; 50, "&gt;50" )</f>
        <v>0 to 5</v>
      </c>
    </row>
    <row r="251" spans="1:15" ht="14.4" x14ac:dyDescent="0.3">
      <c r="A251" t="s">
        <v>15</v>
      </c>
      <c r="B251" s="1">
        <v>46170</v>
      </c>
      <c r="C251" t="s">
        <v>16</v>
      </c>
      <c r="D251">
        <v>239</v>
      </c>
      <c r="E251">
        <v>1</v>
      </c>
      <c r="F251">
        <v>3.9</v>
      </c>
      <c r="G251" t="s">
        <v>104</v>
      </c>
      <c r="H251" t="s">
        <v>105</v>
      </c>
      <c r="I251" t="str">
        <f t="shared" si="4"/>
        <v>239_1</v>
      </c>
      <c r="J251" t="s">
        <v>18</v>
      </c>
      <c r="K251" t="s">
        <v>19</v>
      </c>
      <c r="L251" t="str">
        <f>_xlfn.XLOOKUP(C251, Table2[Species],Table2[Genus], "Code Not Found")</f>
        <v>Acer</v>
      </c>
      <c r="M251" t="str">
        <f>_xlfn.XLOOKUP(C251, Table2[Species],Table2[Sp. Name], "Code Not Found")</f>
        <v>saccharum</v>
      </c>
      <c r="N251" t="str">
        <f>_xlfn.XLOOKUP(C251,Table2[Species],Table2[Family],"Code Not Found")</f>
        <v>Sapindaceae</v>
      </c>
      <c r="O251" t="str" cm="1">
        <f t="array" ref="O251">_xlfn.IFS(F251="","",F251&lt;=5,"0 to 5",F251&lt;=10,"5.1 to 10",F251&lt;=20,"10 to 20", F251&lt;= 40, "20 to 40", F251 &lt;= 50, "40 to 50", F251 &gt; 50, "&gt;50" )</f>
        <v>0 to 5</v>
      </c>
    </row>
    <row r="252" spans="1:15" ht="14.4" x14ac:dyDescent="0.3">
      <c r="A252" t="s">
        <v>15</v>
      </c>
      <c r="B252" s="1">
        <v>46170</v>
      </c>
      <c r="C252" t="s">
        <v>55</v>
      </c>
      <c r="D252">
        <v>240</v>
      </c>
      <c r="E252">
        <v>1</v>
      </c>
      <c r="F252">
        <v>48.3</v>
      </c>
      <c r="G252" t="s">
        <v>21</v>
      </c>
      <c r="I252" t="str">
        <f t="shared" si="4"/>
        <v>240_1</v>
      </c>
      <c r="J252" t="s">
        <v>18</v>
      </c>
      <c r="K252" t="s">
        <v>19</v>
      </c>
      <c r="L252" t="str">
        <f>_xlfn.XLOOKUP(C252, Table2[Species],Table2[Genus], "Code Not Found")</f>
        <v>Magnolia</v>
      </c>
      <c r="M252" t="str">
        <f>_xlfn.XLOOKUP(C252, Table2[Species],Table2[Sp. Name], "Code Not Found")</f>
        <v>acuminata</v>
      </c>
      <c r="N252" t="str">
        <f>_xlfn.XLOOKUP(C252,Table2[Species],Table2[Family],"Code Not Found")</f>
        <v>Magnoliaceae</v>
      </c>
      <c r="O252" t="str" cm="1">
        <f t="array" ref="O252">_xlfn.IFS(F252="","",F252&lt;=5,"0 to 5",F252&lt;=10,"5.1 to 10",F252&lt;=20,"10 to 20", F252&lt;= 40, "20 to 40", F252 &lt;= 50, "40 to 50", F252 &gt; 50, "&gt;50" )</f>
        <v>40 to 50</v>
      </c>
    </row>
    <row r="253" spans="1:15" ht="14.4" x14ac:dyDescent="0.3">
      <c r="A253" t="s">
        <v>15</v>
      </c>
      <c r="B253" s="1">
        <v>46170</v>
      </c>
      <c r="C253" t="s">
        <v>16</v>
      </c>
      <c r="D253">
        <v>241</v>
      </c>
      <c r="E253">
        <v>1</v>
      </c>
      <c r="F253">
        <v>1.4</v>
      </c>
      <c r="G253" t="s">
        <v>17</v>
      </c>
      <c r="I253" t="str">
        <f t="shared" si="4"/>
        <v>241_1</v>
      </c>
      <c r="J253" t="s">
        <v>18</v>
      </c>
      <c r="K253" t="s">
        <v>19</v>
      </c>
      <c r="L253" t="str">
        <f>_xlfn.XLOOKUP(C253, Table2[Species],Table2[Genus], "Code Not Found")</f>
        <v>Acer</v>
      </c>
      <c r="M253" t="str">
        <f>_xlfn.XLOOKUP(C253, Table2[Species],Table2[Sp. Name], "Code Not Found")</f>
        <v>saccharum</v>
      </c>
      <c r="N253" t="str">
        <f>_xlfn.XLOOKUP(C253,Table2[Species],Table2[Family],"Code Not Found")</f>
        <v>Sapindaceae</v>
      </c>
      <c r="O253" t="str" cm="1">
        <f t="array" ref="O253">_xlfn.IFS(F253="","",F253&lt;=5,"0 to 5",F253&lt;=10,"5.1 to 10",F253&lt;=20,"10 to 20", F253&lt;= 40, "20 to 40", F253 &lt;= 50, "40 to 50", F253 &gt; 50, "&gt;50" )</f>
        <v>0 to 5</v>
      </c>
    </row>
    <row r="254" spans="1:15" ht="14.4" x14ac:dyDescent="0.3">
      <c r="A254" t="s">
        <v>15</v>
      </c>
      <c r="B254" s="1">
        <v>46170</v>
      </c>
      <c r="C254" t="s">
        <v>16</v>
      </c>
      <c r="D254">
        <v>242</v>
      </c>
      <c r="E254">
        <v>1</v>
      </c>
      <c r="F254">
        <v>5.2</v>
      </c>
      <c r="G254" t="s">
        <v>17</v>
      </c>
      <c r="H254" t="s">
        <v>106</v>
      </c>
      <c r="I254" t="str">
        <f t="shared" si="4"/>
        <v>242_1</v>
      </c>
      <c r="J254" t="s">
        <v>18</v>
      </c>
      <c r="K254" t="s">
        <v>19</v>
      </c>
      <c r="L254" t="str">
        <f>_xlfn.XLOOKUP(C254, Table2[Species],Table2[Genus], "Code Not Found")</f>
        <v>Acer</v>
      </c>
      <c r="M254" t="str">
        <f>_xlfn.XLOOKUP(C254, Table2[Species],Table2[Sp. Name], "Code Not Found")</f>
        <v>saccharum</v>
      </c>
      <c r="N254" t="str">
        <f>_xlfn.XLOOKUP(C254,Table2[Species],Table2[Family],"Code Not Found")</f>
        <v>Sapindaceae</v>
      </c>
      <c r="O254" t="str" cm="1">
        <f t="array" ref="O254">_xlfn.IFS(F254="","",F254&lt;=5,"0 to 5",F254&lt;=10,"5.1 to 10",F254&lt;=20,"10 to 20", F254&lt;= 40, "20 to 40", F254 &lt;= 50, "40 to 50", F254 &gt; 50, "&gt;50" )</f>
        <v>5.1 to 10</v>
      </c>
    </row>
    <row r="255" spans="1:15" ht="14.4" x14ac:dyDescent="0.3">
      <c r="A255" t="s">
        <v>15</v>
      </c>
      <c r="B255" s="1">
        <v>46170</v>
      </c>
      <c r="C255" t="s">
        <v>22</v>
      </c>
      <c r="D255">
        <v>243</v>
      </c>
      <c r="E255">
        <v>1</v>
      </c>
      <c r="F255">
        <v>56.8</v>
      </c>
      <c r="G255" t="s">
        <v>56</v>
      </c>
      <c r="H255" t="s">
        <v>107</v>
      </c>
      <c r="I255" t="str">
        <f t="shared" si="4"/>
        <v>243_1</v>
      </c>
      <c r="J255" t="s">
        <v>18</v>
      </c>
      <c r="K255" t="s">
        <v>19</v>
      </c>
      <c r="L255" t="str">
        <f>_xlfn.XLOOKUP(C255, Table2[Species],Table2[Genus], "Code Not Found")</f>
        <v>Acer</v>
      </c>
      <c r="M255" t="str">
        <f>_xlfn.XLOOKUP(C255, Table2[Species],Table2[Sp. Name], "Code Not Found")</f>
        <v>rubrum</v>
      </c>
      <c r="N255" t="str">
        <f>_xlfn.XLOOKUP(C255,Table2[Species],Table2[Family],"Code Not Found")</f>
        <v>Sapindaceae</v>
      </c>
      <c r="O255" t="str" cm="1">
        <f t="array" ref="O255">_xlfn.IFS(F255="","",F255&lt;=5,"0 to 5",F255&lt;=10,"5.1 to 10",F255&lt;=20,"10 to 20", F255&lt;= 40, "20 to 40", F255 &lt;= 50, "40 to 50", F255 &gt; 50, "&gt;50" )</f>
        <v>&gt;50</v>
      </c>
    </row>
    <row r="256" spans="1:15" ht="14.4" x14ac:dyDescent="0.3">
      <c r="A256" t="s">
        <v>15</v>
      </c>
      <c r="B256" s="1">
        <v>46170</v>
      </c>
      <c r="C256" t="s">
        <v>16</v>
      </c>
      <c r="D256">
        <v>244</v>
      </c>
      <c r="E256">
        <v>1</v>
      </c>
      <c r="F256">
        <v>3</v>
      </c>
      <c r="G256" t="s">
        <v>47</v>
      </c>
      <c r="I256" t="str">
        <f t="shared" si="4"/>
        <v>244_1</v>
      </c>
      <c r="J256" t="s">
        <v>18</v>
      </c>
      <c r="K256" t="s">
        <v>19</v>
      </c>
      <c r="L256" t="str">
        <f>_xlfn.XLOOKUP(C256, Table2[Species],Table2[Genus], "Code Not Found")</f>
        <v>Acer</v>
      </c>
      <c r="M256" t="str">
        <f>_xlfn.XLOOKUP(C256, Table2[Species],Table2[Sp. Name], "Code Not Found")</f>
        <v>saccharum</v>
      </c>
      <c r="N256" t="str">
        <f>_xlfn.XLOOKUP(C256,Table2[Species],Table2[Family],"Code Not Found")</f>
        <v>Sapindaceae</v>
      </c>
      <c r="O256" t="str" cm="1">
        <f t="array" ref="O256">_xlfn.IFS(F256="","",F256&lt;=5,"0 to 5",F256&lt;=10,"5.1 to 10",F256&lt;=20,"10 to 20", F256&lt;= 40, "20 to 40", F256 &lt;= 50, "40 to 50", F256 &gt; 50, "&gt;50" )</f>
        <v>0 to 5</v>
      </c>
    </row>
    <row r="257" spans="1:15" ht="14.4" x14ac:dyDescent="0.3">
      <c r="A257" t="s">
        <v>15</v>
      </c>
      <c r="B257" s="1">
        <v>46170</v>
      </c>
      <c r="C257" t="s">
        <v>16</v>
      </c>
      <c r="D257">
        <v>245</v>
      </c>
      <c r="E257">
        <v>1</v>
      </c>
      <c r="F257">
        <v>1.7</v>
      </c>
      <c r="G257" t="s">
        <v>39</v>
      </c>
      <c r="I257" t="str">
        <f t="shared" si="4"/>
        <v>245_1</v>
      </c>
      <c r="J257" t="s">
        <v>18</v>
      </c>
      <c r="K257" t="s">
        <v>19</v>
      </c>
      <c r="L257" t="str">
        <f>_xlfn.XLOOKUP(C257, Table2[Species],Table2[Genus], "Code Not Found")</f>
        <v>Acer</v>
      </c>
      <c r="M257" t="str">
        <f>_xlfn.XLOOKUP(C257, Table2[Species],Table2[Sp. Name], "Code Not Found")</f>
        <v>saccharum</v>
      </c>
      <c r="N257" t="str">
        <f>_xlfn.XLOOKUP(C257,Table2[Species],Table2[Family],"Code Not Found")</f>
        <v>Sapindaceae</v>
      </c>
      <c r="O257" t="str" cm="1">
        <f t="array" ref="O257">_xlfn.IFS(F257="","",F257&lt;=5,"0 to 5",F257&lt;=10,"5.1 to 10",F257&lt;=20,"10 to 20", F257&lt;= 40, "20 to 40", F257 &lt;= 50, "40 to 50", F257 &gt; 50, "&gt;50" )</f>
        <v>0 to 5</v>
      </c>
    </row>
    <row r="258" spans="1:15" ht="14.4" x14ac:dyDescent="0.3">
      <c r="A258" t="s">
        <v>15</v>
      </c>
      <c r="B258" s="1">
        <v>46170</v>
      </c>
      <c r="C258" t="s">
        <v>29</v>
      </c>
      <c r="D258">
        <v>246</v>
      </c>
      <c r="E258">
        <v>1</v>
      </c>
      <c r="F258">
        <v>48.8</v>
      </c>
      <c r="G258" t="s">
        <v>17</v>
      </c>
      <c r="I258" t="str">
        <f t="shared" si="4"/>
        <v>246_1</v>
      </c>
      <c r="J258" t="s">
        <v>18</v>
      </c>
      <c r="K258" t="s">
        <v>19</v>
      </c>
      <c r="L258" t="str">
        <f>_xlfn.XLOOKUP(C258, Table2[Species],Table2[Genus], "Code Not Found")</f>
        <v>Sassafras</v>
      </c>
      <c r="M258" t="str">
        <f>_xlfn.XLOOKUP(C258, Table2[Species],Table2[Sp. Name], "Code Not Found")</f>
        <v>albidum</v>
      </c>
      <c r="N258" t="str">
        <f>_xlfn.XLOOKUP(C258,Table2[Species],Table2[Family],"Code Not Found")</f>
        <v>Lauraceae</v>
      </c>
      <c r="O258" t="str" cm="1">
        <f t="array" ref="O258">_xlfn.IFS(F258="","",F258&lt;=5,"0 to 5",F258&lt;=10,"5.1 to 10",F258&lt;=20,"10 to 20", F258&lt;= 40, "20 to 40", F258 &lt;= 50, "40 to 50", F258 &gt; 50, "&gt;50" )</f>
        <v>40 to 50</v>
      </c>
    </row>
    <row r="259" spans="1:15" ht="14.4" x14ac:dyDescent="0.3">
      <c r="A259" t="s">
        <v>15</v>
      </c>
      <c r="B259" s="1">
        <v>46170</v>
      </c>
      <c r="C259" t="s">
        <v>16</v>
      </c>
      <c r="D259">
        <v>247</v>
      </c>
      <c r="E259">
        <v>1</v>
      </c>
      <c r="F259">
        <v>2.2999999999999998</v>
      </c>
      <c r="G259" t="s">
        <v>17</v>
      </c>
      <c r="I259" t="str">
        <f t="shared" ref="I259:I318" si="5">D259&amp;"_"&amp;E259</f>
        <v>247_1</v>
      </c>
      <c r="J259" t="s">
        <v>18</v>
      </c>
      <c r="K259" t="s">
        <v>19</v>
      </c>
      <c r="L259" t="str">
        <f>_xlfn.XLOOKUP(C259, Table2[Species],Table2[Genus], "Code Not Found")</f>
        <v>Acer</v>
      </c>
      <c r="M259" t="str">
        <f>_xlfn.XLOOKUP(C259, Table2[Species],Table2[Sp. Name], "Code Not Found")</f>
        <v>saccharum</v>
      </c>
      <c r="N259" t="str">
        <f>_xlfn.XLOOKUP(C259,Table2[Species],Table2[Family],"Code Not Found")</f>
        <v>Sapindaceae</v>
      </c>
      <c r="O259" t="str" cm="1">
        <f t="array" ref="O259">_xlfn.IFS(F259="","",F259&lt;=5,"0 to 5",F259&lt;=10,"5.1 to 10",F259&lt;=20,"10 to 20", F259&lt;= 40, "20 to 40", F259 &lt;= 50, "40 to 50", F259 &gt; 50, "&gt;50" )</f>
        <v>0 to 5</v>
      </c>
    </row>
    <row r="260" spans="1:15" ht="14.4" x14ac:dyDescent="0.3">
      <c r="A260" t="s">
        <v>15</v>
      </c>
      <c r="B260" s="1">
        <v>46170</v>
      </c>
      <c r="C260" t="s">
        <v>22</v>
      </c>
      <c r="D260">
        <v>248</v>
      </c>
      <c r="E260">
        <v>1</v>
      </c>
      <c r="F260">
        <v>32.799999999999997</v>
      </c>
      <c r="G260" t="s">
        <v>17</v>
      </c>
      <c r="I260" t="str">
        <f t="shared" si="5"/>
        <v>248_1</v>
      </c>
      <c r="J260" t="s">
        <v>18</v>
      </c>
      <c r="K260" t="s">
        <v>19</v>
      </c>
      <c r="L260" t="str">
        <f>_xlfn.XLOOKUP(C260, Table2[Species],Table2[Genus], "Code Not Found")</f>
        <v>Acer</v>
      </c>
      <c r="M260" t="str">
        <f>_xlfn.XLOOKUP(C260, Table2[Species],Table2[Sp. Name], "Code Not Found")</f>
        <v>rubrum</v>
      </c>
      <c r="N260" t="str">
        <f>_xlfn.XLOOKUP(C260,Table2[Species],Table2[Family],"Code Not Found")</f>
        <v>Sapindaceae</v>
      </c>
      <c r="O260" t="str" cm="1">
        <f t="array" ref="O260">_xlfn.IFS(F260="","",F260&lt;=5,"0 to 5",F260&lt;=10,"5.1 to 10",F260&lt;=20,"10 to 20", F260&lt;= 40, "20 to 40", F260 &lt;= 50, "40 to 50", F260 &gt; 50, "&gt;50" )</f>
        <v>20 to 40</v>
      </c>
    </row>
    <row r="261" spans="1:15" ht="14.4" x14ac:dyDescent="0.3">
      <c r="A261" t="s">
        <v>15</v>
      </c>
      <c r="B261" s="1">
        <v>46170</v>
      </c>
      <c r="C261" t="s">
        <v>16</v>
      </c>
      <c r="D261">
        <v>249</v>
      </c>
      <c r="E261">
        <v>1</v>
      </c>
      <c r="F261">
        <v>26.8</v>
      </c>
      <c r="G261" t="s">
        <v>17</v>
      </c>
      <c r="H261" t="s">
        <v>106</v>
      </c>
      <c r="I261" t="str">
        <f t="shared" si="5"/>
        <v>249_1</v>
      </c>
      <c r="J261" t="s">
        <v>18</v>
      </c>
      <c r="K261" t="s">
        <v>19</v>
      </c>
      <c r="L261" t="str">
        <f>_xlfn.XLOOKUP(C261, Table2[Species],Table2[Genus], "Code Not Found")</f>
        <v>Acer</v>
      </c>
      <c r="M261" t="str">
        <f>_xlfn.XLOOKUP(C261, Table2[Species],Table2[Sp. Name], "Code Not Found")</f>
        <v>saccharum</v>
      </c>
      <c r="N261" t="str">
        <f>_xlfn.XLOOKUP(C261,Table2[Species],Table2[Family],"Code Not Found")</f>
        <v>Sapindaceae</v>
      </c>
      <c r="O261" t="str" cm="1">
        <f t="array" ref="O261">_xlfn.IFS(F261="","",F261&lt;=5,"0 to 5",F261&lt;=10,"5.1 to 10",F261&lt;=20,"10 to 20", F261&lt;= 40, "20 to 40", F261 &lt;= 50, "40 to 50", F261 &gt; 50, "&gt;50" )</f>
        <v>20 to 40</v>
      </c>
    </row>
    <row r="262" spans="1:15" ht="14.4" x14ac:dyDescent="0.3">
      <c r="A262" t="s">
        <v>15</v>
      </c>
      <c r="B262" s="1">
        <v>46170</v>
      </c>
      <c r="C262" t="s">
        <v>24</v>
      </c>
      <c r="D262">
        <v>250</v>
      </c>
      <c r="E262">
        <v>1</v>
      </c>
      <c r="F262">
        <v>33.9</v>
      </c>
      <c r="G262" t="s">
        <v>21</v>
      </c>
      <c r="I262" t="str">
        <f t="shared" si="5"/>
        <v>250_1</v>
      </c>
      <c r="J262" t="s">
        <v>18</v>
      </c>
      <c r="K262" t="s">
        <v>19</v>
      </c>
      <c r="L262" t="str">
        <f>_xlfn.XLOOKUP(C262, Table2[Species],Table2[Genus], "Code Not Found")</f>
        <v>Lirodendron</v>
      </c>
      <c r="M262" t="str">
        <f>_xlfn.XLOOKUP(C262, Table2[Species],Table2[Sp. Name], "Code Not Found")</f>
        <v>tulipfera</v>
      </c>
      <c r="N262" t="str">
        <f>_xlfn.XLOOKUP(C262,Table2[Species],Table2[Family],"Code Not Found")</f>
        <v>Magnoliaceae</v>
      </c>
      <c r="O262" t="str" cm="1">
        <f t="array" ref="O262">_xlfn.IFS(F262="","",F262&lt;=5,"0 to 5",F262&lt;=10,"5.1 to 10",F262&lt;=20,"10 to 20", F262&lt;= 40, "20 to 40", F262 &lt;= 50, "40 to 50", F262 &gt; 50, "&gt;50" )</f>
        <v>20 to 40</v>
      </c>
    </row>
    <row r="263" spans="1:15" ht="14.4" x14ac:dyDescent="0.3">
      <c r="A263" t="s">
        <v>15</v>
      </c>
      <c r="B263" s="1">
        <v>46170</v>
      </c>
      <c r="C263" t="s">
        <v>16</v>
      </c>
      <c r="D263">
        <v>251</v>
      </c>
      <c r="E263">
        <v>1</v>
      </c>
      <c r="F263">
        <v>1.2</v>
      </c>
      <c r="G263" t="s">
        <v>17</v>
      </c>
      <c r="I263" t="str">
        <f t="shared" si="5"/>
        <v>251_1</v>
      </c>
      <c r="J263" t="s">
        <v>18</v>
      </c>
      <c r="K263" t="s">
        <v>19</v>
      </c>
      <c r="L263" t="str">
        <f>_xlfn.XLOOKUP(C263, Table2[Species],Table2[Genus], "Code Not Found")</f>
        <v>Acer</v>
      </c>
      <c r="M263" t="str">
        <f>_xlfn.XLOOKUP(C263, Table2[Species],Table2[Sp. Name], "Code Not Found")</f>
        <v>saccharum</v>
      </c>
      <c r="N263" t="str">
        <f>_xlfn.XLOOKUP(C263,Table2[Species],Table2[Family],"Code Not Found")</f>
        <v>Sapindaceae</v>
      </c>
      <c r="O263" t="str" cm="1">
        <f t="array" ref="O263">_xlfn.IFS(F263="","",F263&lt;=5,"0 to 5",F263&lt;=10,"5.1 to 10",F263&lt;=20,"10 to 20", F263&lt;= 40, "20 to 40", F263 &lt;= 50, "40 to 50", F263 &gt; 50, "&gt;50" )</f>
        <v>0 to 5</v>
      </c>
    </row>
    <row r="264" spans="1:15" ht="14.4" x14ac:dyDescent="0.3">
      <c r="A264" t="s">
        <v>15</v>
      </c>
      <c r="B264" s="1">
        <v>46170</v>
      </c>
      <c r="C264" t="s">
        <v>16</v>
      </c>
      <c r="D264">
        <v>252</v>
      </c>
      <c r="E264">
        <v>1</v>
      </c>
      <c r="F264">
        <v>2.7</v>
      </c>
      <c r="G264" t="s">
        <v>94</v>
      </c>
      <c r="H264" t="s">
        <v>99</v>
      </c>
      <c r="I264" t="str">
        <f t="shared" si="5"/>
        <v>252_1</v>
      </c>
      <c r="J264" t="s">
        <v>18</v>
      </c>
      <c r="K264" t="s">
        <v>19</v>
      </c>
      <c r="L264" t="str">
        <f>_xlfn.XLOOKUP(C264, Table2[Species],Table2[Genus], "Code Not Found")</f>
        <v>Acer</v>
      </c>
      <c r="M264" t="str">
        <f>_xlfn.XLOOKUP(C264, Table2[Species],Table2[Sp. Name], "Code Not Found")</f>
        <v>saccharum</v>
      </c>
      <c r="N264" t="str">
        <f>_xlfn.XLOOKUP(C264,Table2[Species],Table2[Family],"Code Not Found")</f>
        <v>Sapindaceae</v>
      </c>
      <c r="O264" t="str" cm="1">
        <f t="array" ref="O264">_xlfn.IFS(F264="","",F264&lt;=5,"0 to 5",F264&lt;=10,"5.1 to 10",F264&lt;=20,"10 to 20", F264&lt;= 40, "20 to 40", F264 &lt;= 50, "40 to 50", F264 &gt; 50, "&gt;50" )</f>
        <v>0 to 5</v>
      </c>
    </row>
    <row r="265" spans="1:15" ht="14.4" x14ac:dyDescent="0.3">
      <c r="A265" t="s">
        <v>15</v>
      </c>
      <c r="B265" s="1">
        <v>46170</v>
      </c>
      <c r="C265" t="s">
        <v>16</v>
      </c>
      <c r="D265">
        <v>253</v>
      </c>
      <c r="E265">
        <v>1</v>
      </c>
      <c r="F265">
        <v>1.6</v>
      </c>
      <c r="G265" t="s">
        <v>17</v>
      </c>
      <c r="I265" t="str">
        <f t="shared" si="5"/>
        <v>253_1</v>
      </c>
      <c r="J265" t="s">
        <v>18</v>
      </c>
      <c r="K265" t="s">
        <v>19</v>
      </c>
      <c r="L265" t="str">
        <f>_xlfn.XLOOKUP(C265, Table2[Species],Table2[Genus], "Code Not Found")</f>
        <v>Acer</v>
      </c>
      <c r="M265" t="str">
        <f>_xlfn.XLOOKUP(C265, Table2[Species],Table2[Sp. Name], "Code Not Found")</f>
        <v>saccharum</v>
      </c>
      <c r="N265" t="str">
        <f>_xlfn.XLOOKUP(C265,Table2[Species],Table2[Family],"Code Not Found")</f>
        <v>Sapindaceae</v>
      </c>
      <c r="O265" t="str" cm="1">
        <f t="array" ref="O265">_xlfn.IFS(F265="","",F265&lt;=5,"0 to 5",F265&lt;=10,"5.1 to 10",F265&lt;=20,"10 to 20", F265&lt;= 40, "20 to 40", F265 &lt;= 50, "40 to 50", F265 &gt; 50, "&gt;50" )</f>
        <v>0 to 5</v>
      </c>
    </row>
    <row r="266" spans="1:15" ht="14.4" x14ac:dyDescent="0.3">
      <c r="A266" t="s">
        <v>15</v>
      </c>
      <c r="B266" s="1">
        <v>46170</v>
      </c>
      <c r="C266" t="s">
        <v>16</v>
      </c>
      <c r="D266">
        <v>254</v>
      </c>
      <c r="E266">
        <v>1</v>
      </c>
      <c r="F266">
        <v>1.8</v>
      </c>
      <c r="G266" t="s">
        <v>17</v>
      </c>
      <c r="I266" t="str">
        <f t="shared" si="5"/>
        <v>254_1</v>
      </c>
      <c r="J266" t="s">
        <v>18</v>
      </c>
      <c r="K266" t="s">
        <v>19</v>
      </c>
      <c r="L266" t="str">
        <f>_xlfn.XLOOKUP(C266, Table2[Species],Table2[Genus], "Code Not Found")</f>
        <v>Acer</v>
      </c>
      <c r="M266" t="str">
        <f>_xlfn.XLOOKUP(C266, Table2[Species],Table2[Sp. Name], "Code Not Found")</f>
        <v>saccharum</v>
      </c>
      <c r="N266" t="str">
        <f>_xlfn.XLOOKUP(C266,Table2[Species],Table2[Family],"Code Not Found")</f>
        <v>Sapindaceae</v>
      </c>
      <c r="O266" t="str" cm="1">
        <f t="array" ref="O266">_xlfn.IFS(F266="","",F266&lt;=5,"0 to 5",F266&lt;=10,"5.1 to 10",F266&lt;=20,"10 to 20", F266&lt;= 40, "20 to 40", F266 &lt;= 50, "40 to 50", F266 &gt; 50, "&gt;50" )</f>
        <v>0 to 5</v>
      </c>
    </row>
    <row r="267" spans="1:15" ht="14.4" x14ac:dyDescent="0.3">
      <c r="A267" t="s">
        <v>15</v>
      </c>
      <c r="B267" s="1">
        <v>46170</v>
      </c>
      <c r="C267" t="s">
        <v>16</v>
      </c>
      <c r="D267">
        <v>255</v>
      </c>
      <c r="E267">
        <v>1</v>
      </c>
      <c r="F267">
        <v>1.7</v>
      </c>
      <c r="G267" t="s">
        <v>17</v>
      </c>
      <c r="I267" t="str">
        <f t="shared" si="5"/>
        <v>255_1</v>
      </c>
      <c r="J267" t="s">
        <v>18</v>
      </c>
      <c r="K267" t="s">
        <v>19</v>
      </c>
      <c r="L267" t="str">
        <f>_xlfn.XLOOKUP(C267, Table2[Species],Table2[Genus], "Code Not Found")</f>
        <v>Acer</v>
      </c>
      <c r="M267" t="str">
        <f>_xlfn.XLOOKUP(C267, Table2[Species],Table2[Sp. Name], "Code Not Found")</f>
        <v>saccharum</v>
      </c>
      <c r="N267" t="str">
        <f>_xlfn.XLOOKUP(C267,Table2[Species],Table2[Family],"Code Not Found")</f>
        <v>Sapindaceae</v>
      </c>
      <c r="O267" t="str" cm="1">
        <f t="array" ref="O267">_xlfn.IFS(F267="","",F267&lt;=5,"0 to 5",F267&lt;=10,"5.1 to 10",F267&lt;=20,"10 to 20", F267&lt;= 40, "20 to 40", F267 &lt;= 50, "40 to 50", F267 &gt; 50, "&gt;50" )</f>
        <v>0 to 5</v>
      </c>
    </row>
    <row r="268" spans="1:15" ht="14.4" x14ac:dyDescent="0.3">
      <c r="A268" t="s">
        <v>15</v>
      </c>
      <c r="B268" s="1">
        <v>46170</v>
      </c>
      <c r="C268" t="s">
        <v>16</v>
      </c>
      <c r="D268">
        <v>256</v>
      </c>
      <c r="E268">
        <v>1</v>
      </c>
      <c r="F268">
        <v>2.4</v>
      </c>
      <c r="G268" t="s">
        <v>30</v>
      </c>
      <c r="H268" t="s">
        <v>108</v>
      </c>
      <c r="I268" t="str">
        <f t="shared" si="5"/>
        <v>256_1</v>
      </c>
      <c r="J268" t="s">
        <v>18</v>
      </c>
      <c r="K268" t="s">
        <v>19</v>
      </c>
      <c r="L268" t="str">
        <f>_xlfn.XLOOKUP(C268, Table2[Species],Table2[Genus], "Code Not Found")</f>
        <v>Acer</v>
      </c>
      <c r="M268" t="str">
        <f>_xlfn.XLOOKUP(C268, Table2[Species],Table2[Sp. Name], "Code Not Found")</f>
        <v>saccharum</v>
      </c>
      <c r="N268" t="str">
        <f>_xlfn.XLOOKUP(C268,Table2[Species],Table2[Family],"Code Not Found")</f>
        <v>Sapindaceae</v>
      </c>
      <c r="O268" t="str" cm="1">
        <f t="array" ref="O268">_xlfn.IFS(F268="","",F268&lt;=5,"0 to 5",F268&lt;=10,"5.1 to 10",F268&lt;=20,"10 to 20", F268&lt;= 40, "20 to 40", F268 &lt;= 50, "40 to 50", F268 &gt; 50, "&gt;50" )</f>
        <v>0 to 5</v>
      </c>
    </row>
    <row r="269" spans="1:15" ht="14.4" x14ac:dyDescent="0.3">
      <c r="A269" t="s">
        <v>15</v>
      </c>
      <c r="B269" s="1">
        <v>46170</v>
      </c>
      <c r="C269" t="s">
        <v>16</v>
      </c>
      <c r="D269">
        <v>257</v>
      </c>
      <c r="E269">
        <v>1</v>
      </c>
      <c r="F269">
        <v>2.1</v>
      </c>
      <c r="G269" t="s">
        <v>94</v>
      </c>
      <c r="H269" t="s">
        <v>99</v>
      </c>
      <c r="I269" t="str">
        <f t="shared" si="5"/>
        <v>257_1</v>
      </c>
      <c r="J269" t="s">
        <v>18</v>
      </c>
      <c r="K269" t="s">
        <v>19</v>
      </c>
      <c r="L269" t="str">
        <f>_xlfn.XLOOKUP(C269, Table2[Species],Table2[Genus], "Code Not Found")</f>
        <v>Acer</v>
      </c>
      <c r="M269" t="str">
        <f>_xlfn.XLOOKUP(C269, Table2[Species],Table2[Sp. Name], "Code Not Found")</f>
        <v>saccharum</v>
      </c>
      <c r="N269" t="str">
        <f>_xlfn.XLOOKUP(C269,Table2[Species],Table2[Family],"Code Not Found")</f>
        <v>Sapindaceae</v>
      </c>
      <c r="O269" t="str" cm="1">
        <f t="array" ref="O269">_xlfn.IFS(F269="","",F269&lt;=5,"0 to 5",F269&lt;=10,"5.1 to 10",F269&lt;=20,"10 to 20", F269&lt;= 40, "20 to 40", F269 &lt;= 50, "40 to 50", F269 &gt; 50, "&gt;50" )</f>
        <v>0 to 5</v>
      </c>
    </row>
    <row r="270" spans="1:15" ht="14.4" x14ac:dyDescent="0.3">
      <c r="A270" t="s">
        <v>15</v>
      </c>
      <c r="B270" s="1">
        <v>46170</v>
      </c>
      <c r="C270" t="s">
        <v>16</v>
      </c>
      <c r="D270">
        <v>258</v>
      </c>
      <c r="E270">
        <v>1</v>
      </c>
      <c r="F270">
        <v>1.6</v>
      </c>
      <c r="G270" t="s">
        <v>17</v>
      </c>
      <c r="I270" t="str">
        <f t="shared" si="5"/>
        <v>258_1</v>
      </c>
      <c r="J270" t="s">
        <v>18</v>
      </c>
      <c r="K270" t="s">
        <v>19</v>
      </c>
      <c r="L270" t="str">
        <f>_xlfn.XLOOKUP(C270, Table2[Species],Table2[Genus], "Code Not Found")</f>
        <v>Acer</v>
      </c>
      <c r="M270" t="str">
        <f>_xlfn.XLOOKUP(C270, Table2[Species],Table2[Sp. Name], "Code Not Found")</f>
        <v>saccharum</v>
      </c>
      <c r="N270" t="str">
        <f>_xlfn.XLOOKUP(C270,Table2[Species],Table2[Family],"Code Not Found")</f>
        <v>Sapindaceae</v>
      </c>
      <c r="O270" t="str" cm="1">
        <f t="array" ref="O270">_xlfn.IFS(F270="","",F270&lt;=5,"0 to 5",F270&lt;=10,"5.1 to 10",F270&lt;=20,"10 to 20", F270&lt;= 40, "20 to 40", F270 &lt;= 50, "40 to 50", F270 &gt; 50, "&gt;50" )</f>
        <v>0 to 5</v>
      </c>
    </row>
    <row r="271" spans="1:15" ht="14.4" x14ac:dyDescent="0.3">
      <c r="A271" t="s">
        <v>15</v>
      </c>
      <c r="B271" s="1">
        <v>46170</v>
      </c>
      <c r="C271" t="s">
        <v>16</v>
      </c>
      <c r="D271">
        <v>259</v>
      </c>
      <c r="E271">
        <v>1</v>
      </c>
      <c r="F271">
        <v>1.2</v>
      </c>
      <c r="G271" t="s">
        <v>17</v>
      </c>
      <c r="I271" t="str">
        <f t="shared" si="5"/>
        <v>259_1</v>
      </c>
      <c r="J271" t="s">
        <v>18</v>
      </c>
      <c r="K271" t="s">
        <v>19</v>
      </c>
      <c r="L271" t="str">
        <f>_xlfn.XLOOKUP(C271, Table2[Species],Table2[Genus], "Code Not Found")</f>
        <v>Acer</v>
      </c>
      <c r="M271" t="str">
        <f>_xlfn.XLOOKUP(C271, Table2[Species],Table2[Sp. Name], "Code Not Found")</f>
        <v>saccharum</v>
      </c>
      <c r="N271" t="str">
        <f>_xlfn.XLOOKUP(C271,Table2[Species],Table2[Family],"Code Not Found")</f>
        <v>Sapindaceae</v>
      </c>
      <c r="O271" t="str" cm="1">
        <f t="array" ref="O271">_xlfn.IFS(F271="","",F271&lt;=5,"0 to 5",F271&lt;=10,"5.1 to 10",F271&lt;=20,"10 to 20", F271&lt;= 40, "20 to 40", F271 &lt;= 50, "40 to 50", F271 &gt; 50, "&gt;50" )</f>
        <v>0 to 5</v>
      </c>
    </row>
    <row r="272" spans="1:15" ht="14.4" x14ac:dyDescent="0.3">
      <c r="A272" t="s">
        <v>15</v>
      </c>
      <c r="B272" s="1">
        <v>46170</v>
      </c>
      <c r="C272" t="s">
        <v>16</v>
      </c>
      <c r="D272">
        <v>260</v>
      </c>
      <c r="E272">
        <v>1</v>
      </c>
      <c r="F272">
        <v>3.4</v>
      </c>
      <c r="G272" t="s">
        <v>94</v>
      </c>
      <c r="H272" t="s">
        <v>99</v>
      </c>
      <c r="I272" t="str">
        <f t="shared" si="5"/>
        <v>260_1</v>
      </c>
      <c r="J272" t="s">
        <v>18</v>
      </c>
      <c r="K272" t="s">
        <v>19</v>
      </c>
      <c r="L272" t="str">
        <f>_xlfn.XLOOKUP(C272, Table2[Species],Table2[Genus], "Code Not Found")</f>
        <v>Acer</v>
      </c>
      <c r="M272" t="str">
        <f>_xlfn.XLOOKUP(C272, Table2[Species],Table2[Sp. Name], "Code Not Found")</f>
        <v>saccharum</v>
      </c>
      <c r="N272" t="str">
        <f>_xlfn.XLOOKUP(C272,Table2[Species],Table2[Family],"Code Not Found")</f>
        <v>Sapindaceae</v>
      </c>
      <c r="O272" t="str" cm="1">
        <f t="array" ref="O272">_xlfn.IFS(F272="","",F272&lt;=5,"0 to 5",F272&lt;=10,"5.1 to 10",F272&lt;=20,"10 to 20", F272&lt;= 40, "20 to 40", F272 &lt;= 50, "40 to 50", F272 &gt; 50, "&gt;50" )</f>
        <v>0 to 5</v>
      </c>
    </row>
    <row r="273" spans="1:15" ht="14.4" x14ac:dyDescent="0.3">
      <c r="A273" t="s">
        <v>15</v>
      </c>
      <c r="B273" s="1">
        <v>46170</v>
      </c>
      <c r="C273" t="s">
        <v>16</v>
      </c>
      <c r="D273">
        <v>261</v>
      </c>
      <c r="E273">
        <v>1</v>
      </c>
      <c r="F273">
        <v>1.4</v>
      </c>
      <c r="G273" t="s">
        <v>47</v>
      </c>
      <c r="H273" t="s">
        <v>48</v>
      </c>
      <c r="I273" t="str">
        <f t="shared" si="5"/>
        <v>261_1</v>
      </c>
      <c r="J273" t="s">
        <v>18</v>
      </c>
      <c r="K273" t="s">
        <v>19</v>
      </c>
      <c r="L273" t="str">
        <f>_xlfn.XLOOKUP(C273, Table2[Species],Table2[Genus], "Code Not Found")</f>
        <v>Acer</v>
      </c>
      <c r="M273" t="str">
        <f>_xlfn.XLOOKUP(C273, Table2[Species],Table2[Sp. Name], "Code Not Found")</f>
        <v>saccharum</v>
      </c>
      <c r="N273" t="str">
        <f>_xlfn.XLOOKUP(C273,Table2[Species],Table2[Family],"Code Not Found")</f>
        <v>Sapindaceae</v>
      </c>
      <c r="O273" t="str" cm="1">
        <f t="array" ref="O273">_xlfn.IFS(F273="","",F273&lt;=5,"0 to 5",F273&lt;=10,"5.1 to 10",F273&lt;=20,"10 to 20", F273&lt;= 40, "20 to 40", F273 &lt;= 50, "40 to 50", F273 &gt; 50, "&gt;50" )</f>
        <v>0 to 5</v>
      </c>
    </row>
    <row r="274" spans="1:15" ht="14.4" x14ac:dyDescent="0.3">
      <c r="A274" t="s">
        <v>15</v>
      </c>
      <c r="B274" s="1">
        <v>46170</v>
      </c>
      <c r="C274" t="s">
        <v>16</v>
      </c>
      <c r="D274">
        <v>262</v>
      </c>
      <c r="E274">
        <v>1</v>
      </c>
      <c r="F274">
        <v>2</v>
      </c>
      <c r="G274" t="s">
        <v>47</v>
      </c>
      <c r="H274" t="s">
        <v>48</v>
      </c>
      <c r="I274" t="str">
        <f t="shared" si="5"/>
        <v>262_1</v>
      </c>
      <c r="J274" t="s">
        <v>18</v>
      </c>
      <c r="K274" t="s">
        <v>19</v>
      </c>
      <c r="L274" t="str">
        <f>_xlfn.XLOOKUP(C274, Table2[Species],Table2[Genus], "Code Not Found")</f>
        <v>Acer</v>
      </c>
      <c r="M274" t="str">
        <f>_xlfn.XLOOKUP(C274, Table2[Species],Table2[Sp. Name], "Code Not Found")</f>
        <v>saccharum</v>
      </c>
      <c r="N274" t="str">
        <f>_xlfn.XLOOKUP(C274,Table2[Species],Table2[Family],"Code Not Found")</f>
        <v>Sapindaceae</v>
      </c>
      <c r="O274" t="str" cm="1">
        <f t="array" ref="O274">_xlfn.IFS(F274="","",F274&lt;=5,"0 to 5",F274&lt;=10,"5.1 to 10",F274&lt;=20,"10 to 20", F274&lt;= 40, "20 to 40", F274 &lt;= 50, "40 to 50", F274 &gt; 50, "&gt;50" )</f>
        <v>0 to 5</v>
      </c>
    </row>
    <row r="275" spans="1:15" ht="14.4" x14ac:dyDescent="0.3">
      <c r="A275" t="s">
        <v>15</v>
      </c>
      <c r="B275" s="1">
        <v>46170</v>
      </c>
      <c r="C275" t="s">
        <v>16</v>
      </c>
      <c r="D275">
        <v>263</v>
      </c>
      <c r="E275">
        <v>1</v>
      </c>
      <c r="F275">
        <v>2</v>
      </c>
      <c r="G275" t="s">
        <v>47</v>
      </c>
      <c r="H275" t="s">
        <v>48</v>
      </c>
      <c r="I275" t="str">
        <f t="shared" si="5"/>
        <v>263_1</v>
      </c>
      <c r="J275" t="s">
        <v>18</v>
      </c>
      <c r="K275" t="s">
        <v>19</v>
      </c>
      <c r="L275" t="str">
        <f>_xlfn.XLOOKUP(C275, Table2[Species],Table2[Genus], "Code Not Found")</f>
        <v>Acer</v>
      </c>
      <c r="M275" t="str">
        <f>_xlfn.XLOOKUP(C275, Table2[Species],Table2[Sp. Name], "Code Not Found")</f>
        <v>saccharum</v>
      </c>
      <c r="N275" t="str">
        <f>_xlfn.XLOOKUP(C275,Table2[Species],Table2[Family],"Code Not Found")</f>
        <v>Sapindaceae</v>
      </c>
      <c r="O275" t="str" cm="1">
        <f t="array" ref="O275">_xlfn.IFS(F275="","",F275&lt;=5,"0 to 5",F275&lt;=10,"5.1 to 10",F275&lt;=20,"10 to 20", F275&lt;= 40, "20 to 40", F275 &lt;= 50, "40 to 50", F275 &gt; 50, "&gt;50" )</f>
        <v>0 to 5</v>
      </c>
    </row>
    <row r="276" spans="1:15" ht="14.4" x14ac:dyDescent="0.3">
      <c r="A276" t="s">
        <v>15</v>
      </c>
      <c r="B276" s="1">
        <v>46170</v>
      </c>
      <c r="C276" t="s">
        <v>16</v>
      </c>
      <c r="D276">
        <v>264</v>
      </c>
      <c r="E276">
        <v>1</v>
      </c>
      <c r="F276">
        <v>1.2</v>
      </c>
      <c r="G276" t="s">
        <v>17</v>
      </c>
      <c r="I276" t="str">
        <f t="shared" si="5"/>
        <v>264_1</v>
      </c>
      <c r="J276" t="s">
        <v>18</v>
      </c>
      <c r="K276" t="s">
        <v>19</v>
      </c>
      <c r="L276" t="str">
        <f>_xlfn.XLOOKUP(C276, Table2[Species],Table2[Genus], "Code Not Found")</f>
        <v>Acer</v>
      </c>
      <c r="M276" t="str">
        <f>_xlfn.XLOOKUP(C276, Table2[Species],Table2[Sp. Name], "Code Not Found")</f>
        <v>saccharum</v>
      </c>
      <c r="N276" t="str">
        <f>_xlfn.XLOOKUP(C276,Table2[Species],Table2[Family],"Code Not Found")</f>
        <v>Sapindaceae</v>
      </c>
      <c r="O276" t="str" cm="1">
        <f t="array" ref="O276">_xlfn.IFS(F276="","",F276&lt;=5,"0 to 5",F276&lt;=10,"5.1 to 10",F276&lt;=20,"10 to 20", F276&lt;= 40, "20 to 40", F276 &lt;= 50, "40 to 50", F276 &gt; 50, "&gt;50" )</f>
        <v>0 to 5</v>
      </c>
    </row>
    <row r="277" spans="1:15" ht="14.4" x14ac:dyDescent="0.3">
      <c r="A277" t="s">
        <v>15</v>
      </c>
      <c r="B277" s="1">
        <v>46170</v>
      </c>
      <c r="C277" t="s">
        <v>16</v>
      </c>
      <c r="D277">
        <v>265</v>
      </c>
      <c r="E277">
        <v>1</v>
      </c>
      <c r="F277">
        <v>1.5</v>
      </c>
      <c r="G277" t="s">
        <v>17</v>
      </c>
      <c r="I277" t="str">
        <f t="shared" si="5"/>
        <v>265_1</v>
      </c>
      <c r="J277" t="s">
        <v>18</v>
      </c>
      <c r="K277" t="s">
        <v>19</v>
      </c>
      <c r="L277" t="str">
        <f>_xlfn.XLOOKUP(C277, Table2[Species],Table2[Genus], "Code Not Found")</f>
        <v>Acer</v>
      </c>
      <c r="M277" t="str">
        <f>_xlfn.XLOOKUP(C277, Table2[Species],Table2[Sp. Name], "Code Not Found")</f>
        <v>saccharum</v>
      </c>
      <c r="N277" t="str">
        <f>_xlfn.XLOOKUP(C277,Table2[Species],Table2[Family],"Code Not Found")</f>
        <v>Sapindaceae</v>
      </c>
      <c r="O277" t="str" cm="1">
        <f t="array" ref="O277">_xlfn.IFS(F277="","",F277&lt;=5,"0 to 5",F277&lt;=10,"5.1 to 10",F277&lt;=20,"10 to 20", F277&lt;= 40, "20 to 40", F277 &lt;= 50, "40 to 50", F277 &gt; 50, "&gt;50" )</f>
        <v>0 to 5</v>
      </c>
    </row>
    <row r="278" spans="1:15" ht="14.4" x14ac:dyDescent="0.3">
      <c r="A278" t="s">
        <v>15</v>
      </c>
      <c r="B278" s="1">
        <v>46170</v>
      </c>
      <c r="C278" t="s">
        <v>22</v>
      </c>
      <c r="D278">
        <v>266</v>
      </c>
      <c r="E278">
        <v>1</v>
      </c>
      <c r="F278">
        <v>82</v>
      </c>
      <c r="G278" t="s">
        <v>56</v>
      </c>
      <c r="H278" t="s">
        <v>109</v>
      </c>
      <c r="I278" t="str">
        <f t="shared" si="5"/>
        <v>266_1</v>
      </c>
      <c r="J278" t="s">
        <v>18</v>
      </c>
      <c r="K278" t="s">
        <v>19</v>
      </c>
      <c r="L278" t="str">
        <f>_xlfn.XLOOKUP(C278, Table2[Species],Table2[Genus], "Code Not Found")</f>
        <v>Acer</v>
      </c>
      <c r="M278" t="str">
        <f>_xlfn.XLOOKUP(C278, Table2[Species],Table2[Sp. Name], "Code Not Found")</f>
        <v>rubrum</v>
      </c>
      <c r="N278" t="str">
        <f>_xlfn.XLOOKUP(C278,Table2[Species],Table2[Family],"Code Not Found")</f>
        <v>Sapindaceae</v>
      </c>
      <c r="O278" t="str" cm="1">
        <f t="array" ref="O278">_xlfn.IFS(F278="","",F278&lt;=5,"0 to 5",F278&lt;=10,"5.1 to 10",F278&lt;=20,"10 to 20", F278&lt;= 40, "20 to 40", F278 &lt;= 50, "40 to 50", F278 &gt; 50, "&gt;50" )</f>
        <v>&gt;50</v>
      </c>
    </row>
    <row r="279" spans="1:15" ht="14.4" x14ac:dyDescent="0.3">
      <c r="A279" t="s">
        <v>15</v>
      </c>
      <c r="B279" s="1">
        <v>46170</v>
      </c>
      <c r="C279" t="s">
        <v>16</v>
      </c>
      <c r="D279">
        <v>267</v>
      </c>
      <c r="E279">
        <v>1</v>
      </c>
      <c r="F279">
        <v>2.2000000000000002</v>
      </c>
      <c r="G279" t="s">
        <v>94</v>
      </c>
      <c r="H279" t="s">
        <v>110</v>
      </c>
      <c r="I279" t="str">
        <f t="shared" si="5"/>
        <v>267_1</v>
      </c>
      <c r="J279" t="s">
        <v>18</v>
      </c>
      <c r="K279" t="s">
        <v>19</v>
      </c>
      <c r="L279" t="str">
        <f>_xlfn.XLOOKUP(C279, Table2[Species],Table2[Genus], "Code Not Found")</f>
        <v>Acer</v>
      </c>
      <c r="M279" t="str">
        <f>_xlfn.XLOOKUP(C279, Table2[Species],Table2[Sp. Name], "Code Not Found")</f>
        <v>saccharum</v>
      </c>
      <c r="N279" t="str">
        <f>_xlfn.XLOOKUP(C279,Table2[Species],Table2[Family],"Code Not Found")</f>
        <v>Sapindaceae</v>
      </c>
      <c r="O279" t="str" cm="1">
        <f t="array" ref="O279">_xlfn.IFS(F279="","",F279&lt;=5,"0 to 5",F279&lt;=10,"5.1 to 10",F279&lt;=20,"10 to 20", F279&lt;= 40, "20 to 40", F279 &lt;= 50, "40 to 50", F279 &gt; 50, "&gt;50" )</f>
        <v>0 to 5</v>
      </c>
    </row>
    <row r="280" spans="1:15" ht="14.4" x14ac:dyDescent="0.3">
      <c r="A280" t="s">
        <v>15</v>
      </c>
      <c r="B280" s="1">
        <v>46170</v>
      </c>
      <c r="C280" t="s">
        <v>16</v>
      </c>
      <c r="D280">
        <v>268</v>
      </c>
      <c r="E280">
        <v>1</v>
      </c>
      <c r="F280">
        <v>5.4</v>
      </c>
      <c r="G280" t="s">
        <v>30</v>
      </c>
      <c r="H280" t="s">
        <v>31</v>
      </c>
      <c r="I280" t="str">
        <f t="shared" si="5"/>
        <v>268_1</v>
      </c>
      <c r="J280" t="s">
        <v>18</v>
      </c>
      <c r="K280" t="s">
        <v>19</v>
      </c>
      <c r="L280" t="str">
        <f>_xlfn.XLOOKUP(C280, Table2[Species],Table2[Genus], "Code Not Found")</f>
        <v>Acer</v>
      </c>
      <c r="M280" t="str">
        <f>_xlfn.XLOOKUP(C280, Table2[Species],Table2[Sp. Name], "Code Not Found")</f>
        <v>saccharum</v>
      </c>
      <c r="N280" t="str">
        <f>_xlfn.XLOOKUP(C280,Table2[Species],Table2[Family],"Code Not Found")</f>
        <v>Sapindaceae</v>
      </c>
      <c r="O280" t="str" cm="1">
        <f t="array" ref="O280">_xlfn.IFS(F280="","",F280&lt;=5,"0 to 5",F280&lt;=10,"5.1 to 10",F280&lt;=20,"10 to 20", F280&lt;= 40, "20 to 40", F280 &lt;= 50, "40 to 50", F280 &gt; 50, "&gt;50" )</f>
        <v>5.1 to 10</v>
      </c>
    </row>
    <row r="281" spans="1:15" ht="14.4" x14ac:dyDescent="0.3">
      <c r="A281" t="s">
        <v>15</v>
      </c>
      <c r="B281" s="1">
        <v>46170</v>
      </c>
      <c r="C281" t="s">
        <v>16</v>
      </c>
      <c r="D281">
        <v>269</v>
      </c>
      <c r="E281">
        <v>1</v>
      </c>
      <c r="F281">
        <v>4.7</v>
      </c>
      <c r="G281" t="s">
        <v>21</v>
      </c>
      <c r="I281" t="str">
        <f t="shared" si="5"/>
        <v>269_1</v>
      </c>
      <c r="J281" t="s">
        <v>18</v>
      </c>
      <c r="K281" t="s">
        <v>19</v>
      </c>
      <c r="L281" t="str">
        <f>_xlfn.XLOOKUP(C281, Table2[Species],Table2[Genus], "Code Not Found")</f>
        <v>Acer</v>
      </c>
      <c r="M281" t="str">
        <f>_xlfn.XLOOKUP(C281, Table2[Species],Table2[Sp. Name], "Code Not Found")</f>
        <v>saccharum</v>
      </c>
      <c r="N281" t="str">
        <f>_xlfn.XLOOKUP(C281,Table2[Species],Table2[Family],"Code Not Found")</f>
        <v>Sapindaceae</v>
      </c>
      <c r="O281" t="str" cm="1">
        <f t="array" ref="O281">_xlfn.IFS(F281="","",F281&lt;=5,"0 to 5",F281&lt;=10,"5.1 to 10",F281&lt;=20,"10 to 20", F281&lt;= 40, "20 to 40", F281 &lt;= 50, "40 to 50", F281 &gt; 50, "&gt;50" )</f>
        <v>0 to 5</v>
      </c>
    </row>
    <row r="282" spans="1:15" ht="14.4" x14ac:dyDescent="0.3">
      <c r="A282" t="s">
        <v>15</v>
      </c>
      <c r="B282" s="1">
        <v>46170</v>
      </c>
      <c r="C282" t="s">
        <v>16</v>
      </c>
      <c r="D282">
        <v>270</v>
      </c>
      <c r="E282">
        <v>1</v>
      </c>
      <c r="F282">
        <v>2.2999999999999998</v>
      </c>
      <c r="G282" t="s">
        <v>17</v>
      </c>
      <c r="I282" t="str">
        <f t="shared" si="5"/>
        <v>270_1</v>
      </c>
      <c r="J282" t="s">
        <v>18</v>
      </c>
      <c r="K282" t="s">
        <v>19</v>
      </c>
      <c r="L282" t="str">
        <f>_xlfn.XLOOKUP(C282, Table2[Species],Table2[Genus], "Code Not Found")</f>
        <v>Acer</v>
      </c>
      <c r="M282" t="str">
        <f>_xlfn.XLOOKUP(C282, Table2[Species],Table2[Sp. Name], "Code Not Found")</f>
        <v>saccharum</v>
      </c>
      <c r="N282" t="str">
        <f>_xlfn.XLOOKUP(C282,Table2[Species],Table2[Family],"Code Not Found")</f>
        <v>Sapindaceae</v>
      </c>
      <c r="O282" t="str" cm="1">
        <f t="array" ref="O282">_xlfn.IFS(F282="","",F282&lt;=5,"0 to 5",F282&lt;=10,"5.1 to 10",F282&lt;=20,"10 to 20", F282&lt;= 40, "20 to 40", F282 &lt;= 50, "40 to 50", F282 &gt; 50, "&gt;50" )</f>
        <v>0 to 5</v>
      </c>
    </row>
    <row r="283" spans="1:15" ht="14.4" x14ac:dyDescent="0.3">
      <c r="A283" t="s">
        <v>15</v>
      </c>
      <c r="B283" s="1">
        <v>46170</v>
      </c>
      <c r="C283" t="s">
        <v>16</v>
      </c>
      <c r="D283">
        <v>271</v>
      </c>
      <c r="E283">
        <v>1</v>
      </c>
      <c r="F283">
        <v>2.5</v>
      </c>
      <c r="G283" t="s">
        <v>17</v>
      </c>
      <c r="H283" t="s">
        <v>106</v>
      </c>
      <c r="I283" t="str">
        <f t="shared" si="5"/>
        <v>271_1</v>
      </c>
      <c r="J283" t="s">
        <v>18</v>
      </c>
      <c r="K283" t="s">
        <v>19</v>
      </c>
      <c r="L283" t="str">
        <f>_xlfn.XLOOKUP(C283, Table2[Species],Table2[Genus], "Code Not Found")</f>
        <v>Acer</v>
      </c>
      <c r="M283" t="str">
        <f>_xlfn.XLOOKUP(C283, Table2[Species],Table2[Sp. Name], "Code Not Found")</f>
        <v>saccharum</v>
      </c>
      <c r="N283" t="str">
        <f>_xlfn.XLOOKUP(C283,Table2[Species],Table2[Family],"Code Not Found")</f>
        <v>Sapindaceae</v>
      </c>
      <c r="O283" t="str" cm="1">
        <f t="array" ref="O283">_xlfn.IFS(F283="","",F283&lt;=5,"0 to 5",F283&lt;=10,"5.1 to 10",F283&lt;=20,"10 to 20", F283&lt;= 40, "20 to 40", F283 &lt;= 50, "40 to 50", F283 &gt; 50, "&gt;50" )</f>
        <v>0 to 5</v>
      </c>
    </row>
    <row r="284" spans="1:15" ht="14.4" x14ac:dyDescent="0.3">
      <c r="A284" t="s">
        <v>15</v>
      </c>
      <c r="B284" s="1">
        <v>46170</v>
      </c>
      <c r="C284" t="s">
        <v>16</v>
      </c>
      <c r="D284">
        <v>272</v>
      </c>
      <c r="E284">
        <v>1</v>
      </c>
      <c r="F284">
        <v>3.5</v>
      </c>
      <c r="G284" t="s">
        <v>17</v>
      </c>
      <c r="H284" t="s">
        <v>106</v>
      </c>
      <c r="I284" t="str">
        <f t="shared" si="5"/>
        <v>272_1</v>
      </c>
      <c r="J284" t="s">
        <v>18</v>
      </c>
      <c r="K284" t="s">
        <v>19</v>
      </c>
      <c r="L284" t="str">
        <f>_xlfn.XLOOKUP(C284, Table2[Species],Table2[Genus], "Code Not Found")</f>
        <v>Acer</v>
      </c>
      <c r="M284" t="str">
        <f>_xlfn.XLOOKUP(C284, Table2[Species],Table2[Sp. Name], "Code Not Found")</f>
        <v>saccharum</v>
      </c>
      <c r="N284" t="str">
        <f>_xlfn.XLOOKUP(C284,Table2[Species],Table2[Family],"Code Not Found")</f>
        <v>Sapindaceae</v>
      </c>
      <c r="O284" t="str" cm="1">
        <f t="array" ref="O284">_xlfn.IFS(F284="","",F284&lt;=5,"0 to 5",F284&lt;=10,"5.1 to 10",F284&lt;=20,"10 to 20", F284&lt;= 40, "20 to 40", F284 &lt;= 50, "40 to 50", F284 &gt; 50, "&gt;50" )</f>
        <v>0 to 5</v>
      </c>
    </row>
    <row r="285" spans="1:15" ht="14.4" x14ac:dyDescent="0.3">
      <c r="A285" t="s">
        <v>15</v>
      </c>
      <c r="B285" s="1">
        <v>46170</v>
      </c>
      <c r="C285" t="s">
        <v>16</v>
      </c>
      <c r="D285">
        <v>273</v>
      </c>
      <c r="E285">
        <v>1</v>
      </c>
      <c r="F285">
        <v>2.9</v>
      </c>
      <c r="G285" t="s">
        <v>21</v>
      </c>
      <c r="I285" t="str">
        <f t="shared" si="5"/>
        <v>273_1</v>
      </c>
      <c r="J285" t="s">
        <v>18</v>
      </c>
      <c r="K285" t="s">
        <v>19</v>
      </c>
      <c r="L285" t="str">
        <f>_xlfn.XLOOKUP(C285, Table2[Species],Table2[Genus], "Code Not Found")</f>
        <v>Acer</v>
      </c>
      <c r="M285" t="str">
        <f>_xlfn.XLOOKUP(C285, Table2[Species],Table2[Sp. Name], "Code Not Found")</f>
        <v>saccharum</v>
      </c>
      <c r="N285" t="str">
        <f>_xlfn.XLOOKUP(C285,Table2[Species],Table2[Family],"Code Not Found")</f>
        <v>Sapindaceae</v>
      </c>
      <c r="O285" t="str" cm="1">
        <f t="array" ref="O285">_xlfn.IFS(F285="","",F285&lt;=5,"0 to 5",F285&lt;=10,"5.1 to 10",F285&lt;=20,"10 to 20", F285&lt;= 40, "20 to 40", F285 &lt;= 50, "40 to 50", F285 &gt; 50, "&gt;50" )</f>
        <v>0 to 5</v>
      </c>
    </row>
    <row r="286" spans="1:15" ht="14.4" x14ac:dyDescent="0.3">
      <c r="A286" t="s">
        <v>15</v>
      </c>
      <c r="B286" s="1">
        <v>46170</v>
      </c>
      <c r="C286" t="s">
        <v>16</v>
      </c>
      <c r="D286">
        <v>274</v>
      </c>
      <c r="E286">
        <v>1</v>
      </c>
      <c r="F286">
        <v>1.6</v>
      </c>
      <c r="G286" t="s">
        <v>17</v>
      </c>
      <c r="I286" t="str">
        <f t="shared" si="5"/>
        <v>274_1</v>
      </c>
      <c r="J286" t="s">
        <v>18</v>
      </c>
      <c r="K286" t="s">
        <v>19</v>
      </c>
      <c r="L286" t="str">
        <f>_xlfn.XLOOKUP(C286, Table2[Species],Table2[Genus], "Code Not Found")</f>
        <v>Acer</v>
      </c>
      <c r="M286" t="str">
        <f>_xlfn.XLOOKUP(C286, Table2[Species],Table2[Sp. Name], "Code Not Found")</f>
        <v>saccharum</v>
      </c>
      <c r="N286" t="str">
        <f>_xlfn.XLOOKUP(C286,Table2[Species],Table2[Family],"Code Not Found")</f>
        <v>Sapindaceae</v>
      </c>
      <c r="O286" t="str" cm="1">
        <f t="array" ref="O286">_xlfn.IFS(F286="","",F286&lt;=5,"0 to 5",F286&lt;=10,"5.1 to 10",F286&lt;=20,"10 to 20", F286&lt;= 40, "20 to 40", F286 &lt;= 50, "40 to 50", F286 &gt; 50, "&gt;50" )</f>
        <v>0 to 5</v>
      </c>
    </row>
    <row r="287" spans="1:15" ht="14.4" x14ac:dyDescent="0.3">
      <c r="A287" t="s">
        <v>15</v>
      </c>
      <c r="B287" s="1">
        <v>46170</v>
      </c>
      <c r="C287" t="s">
        <v>16</v>
      </c>
      <c r="D287">
        <v>275</v>
      </c>
      <c r="E287">
        <v>1</v>
      </c>
      <c r="F287">
        <v>3.7</v>
      </c>
      <c r="G287" t="s">
        <v>47</v>
      </c>
      <c r="H287" t="s">
        <v>43</v>
      </c>
      <c r="I287" t="str">
        <f t="shared" si="5"/>
        <v>275_1</v>
      </c>
      <c r="J287" t="s">
        <v>18</v>
      </c>
      <c r="K287" t="s">
        <v>19</v>
      </c>
      <c r="L287" t="str">
        <f>_xlfn.XLOOKUP(C287, Table2[Species],Table2[Genus], "Code Not Found")</f>
        <v>Acer</v>
      </c>
      <c r="M287" t="str">
        <f>_xlfn.XLOOKUP(C287, Table2[Species],Table2[Sp. Name], "Code Not Found")</f>
        <v>saccharum</v>
      </c>
      <c r="N287" t="str">
        <f>_xlfn.XLOOKUP(C287,Table2[Species],Table2[Family],"Code Not Found")</f>
        <v>Sapindaceae</v>
      </c>
      <c r="O287" t="str" cm="1">
        <f t="array" ref="O287">_xlfn.IFS(F287="","",F287&lt;=5,"0 to 5",F287&lt;=10,"5.1 to 10",F287&lt;=20,"10 to 20", F287&lt;= 40, "20 to 40", F287 &lt;= 50, "40 to 50", F287 &gt; 50, "&gt;50" )</f>
        <v>0 to 5</v>
      </c>
    </row>
    <row r="288" spans="1:15" ht="14.4" x14ac:dyDescent="0.3">
      <c r="A288" t="s">
        <v>15</v>
      </c>
      <c r="B288" s="1">
        <v>46170</v>
      </c>
      <c r="C288" t="s">
        <v>16</v>
      </c>
      <c r="D288">
        <v>276</v>
      </c>
      <c r="E288">
        <v>1</v>
      </c>
      <c r="F288">
        <v>3.4</v>
      </c>
      <c r="G288" t="s">
        <v>17</v>
      </c>
      <c r="I288" t="str">
        <f t="shared" si="5"/>
        <v>276_1</v>
      </c>
      <c r="J288" t="s">
        <v>18</v>
      </c>
      <c r="K288" t="s">
        <v>19</v>
      </c>
      <c r="L288" t="str">
        <f>_xlfn.XLOOKUP(C288, Table2[Species],Table2[Genus], "Code Not Found")</f>
        <v>Acer</v>
      </c>
      <c r="M288" t="str">
        <f>_xlfn.XLOOKUP(C288, Table2[Species],Table2[Sp. Name], "Code Not Found")</f>
        <v>saccharum</v>
      </c>
      <c r="N288" t="str">
        <f>_xlfn.XLOOKUP(C288,Table2[Species],Table2[Family],"Code Not Found")</f>
        <v>Sapindaceae</v>
      </c>
      <c r="O288" t="str" cm="1">
        <f t="array" ref="O288">_xlfn.IFS(F288="","",F288&lt;=5,"0 to 5",F288&lt;=10,"5.1 to 10",F288&lt;=20,"10 to 20", F288&lt;= 40, "20 to 40", F288 &lt;= 50, "40 to 50", F288 &gt; 50, "&gt;50" )</f>
        <v>0 to 5</v>
      </c>
    </row>
    <row r="289" spans="1:15" ht="14.4" x14ac:dyDescent="0.3">
      <c r="A289" t="s">
        <v>15</v>
      </c>
      <c r="B289" s="1">
        <v>46170</v>
      </c>
      <c r="C289" t="s">
        <v>16</v>
      </c>
      <c r="D289">
        <v>277</v>
      </c>
      <c r="E289">
        <v>1</v>
      </c>
      <c r="F289">
        <v>1.3</v>
      </c>
      <c r="G289" t="s">
        <v>17</v>
      </c>
      <c r="I289" t="str">
        <f t="shared" si="5"/>
        <v>277_1</v>
      </c>
      <c r="J289" t="s">
        <v>18</v>
      </c>
      <c r="K289" t="s">
        <v>19</v>
      </c>
      <c r="L289" t="str">
        <f>_xlfn.XLOOKUP(C289, Table2[Species],Table2[Genus], "Code Not Found")</f>
        <v>Acer</v>
      </c>
      <c r="M289" t="str">
        <f>_xlfn.XLOOKUP(C289, Table2[Species],Table2[Sp. Name], "Code Not Found")</f>
        <v>saccharum</v>
      </c>
      <c r="N289" t="str">
        <f>_xlfn.XLOOKUP(C289,Table2[Species],Table2[Family],"Code Not Found")</f>
        <v>Sapindaceae</v>
      </c>
      <c r="O289" t="str" cm="1">
        <f t="array" ref="O289">_xlfn.IFS(F289="","",F289&lt;=5,"0 to 5",F289&lt;=10,"5.1 to 10",F289&lt;=20,"10 to 20", F289&lt;= 40, "20 to 40", F289 &lt;= 50, "40 to 50", F289 &gt; 50, "&gt;50" )</f>
        <v>0 to 5</v>
      </c>
    </row>
    <row r="290" spans="1:15" ht="14.4" x14ac:dyDescent="0.3">
      <c r="A290" t="s">
        <v>15</v>
      </c>
      <c r="B290" s="1">
        <v>46170</v>
      </c>
      <c r="C290" t="s">
        <v>16</v>
      </c>
      <c r="D290">
        <v>278</v>
      </c>
      <c r="E290">
        <v>1</v>
      </c>
      <c r="F290">
        <v>3.1</v>
      </c>
      <c r="G290" t="s">
        <v>17</v>
      </c>
      <c r="I290" t="str">
        <f t="shared" si="5"/>
        <v>278_1</v>
      </c>
      <c r="J290" t="s">
        <v>18</v>
      </c>
      <c r="K290" t="s">
        <v>19</v>
      </c>
      <c r="L290" t="str">
        <f>_xlfn.XLOOKUP(C290, Table2[Species],Table2[Genus], "Code Not Found")</f>
        <v>Acer</v>
      </c>
      <c r="M290" t="str">
        <f>_xlfn.XLOOKUP(C290, Table2[Species],Table2[Sp. Name], "Code Not Found")</f>
        <v>saccharum</v>
      </c>
      <c r="N290" t="str">
        <f>_xlfn.XLOOKUP(C290,Table2[Species],Table2[Family],"Code Not Found")</f>
        <v>Sapindaceae</v>
      </c>
      <c r="O290" t="str" cm="1">
        <f t="array" ref="O290">_xlfn.IFS(F290="","",F290&lt;=5,"0 to 5",F290&lt;=10,"5.1 to 10",F290&lt;=20,"10 to 20", F290&lt;= 40, "20 to 40", F290 &lt;= 50, "40 to 50", F290 &gt; 50, "&gt;50" )</f>
        <v>0 to 5</v>
      </c>
    </row>
    <row r="291" spans="1:15" ht="14.4" x14ac:dyDescent="0.3">
      <c r="A291" t="s">
        <v>15</v>
      </c>
      <c r="B291" s="1">
        <v>46170</v>
      </c>
      <c r="C291" t="s">
        <v>16</v>
      </c>
      <c r="D291">
        <v>279</v>
      </c>
      <c r="E291">
        <v>1</v>
      </c>
      <c r="F291">
        <v>1.5</v>
      </c>
      <c r="G291" t="s">
        <v>17</v>
      </c>
      <c r="I291" t="str">
        <f t="shared" si="5"/>
        <v>279_1</v>
      </c>
      <c r="J291" t="s">
        <v>18</v>
      </c>
      <c r="K291" t="s">
        <v>19</v>
      </c>
      <c r="L291" t="str">
        <f>_xlfn.XLOOKUP(C291, Table2[Species],Table2[Genus], "Code Not Found")</f>
        <v>Acer</v>
      </c>
      <c r="M291" t="str">
        <f>_xlfn.XLOOKUP(C291, Table2[Species],Table2[Sp. Name], "Code Not Found")</f>
        <v>saccharum</v>
      </c>
      <c r="N291" t="str">
        <f>_xlfn.XLOOKUP(C291,Table2[Species],Table2[Family],"Code Not Found")</f>
        <v>Sapindaceae</v>
      </c>
      <c r="O291" t="str" cm="1">
        <f t="array" ref="O291">_xlfn.IFS(F291="","",F291&lt;=5,"0 to 5",F291&lt;=10,"5.1 to 10",F291&lt;=20,"10 to 20", F291&lt;= 40, "20 to 40", F291 &lt;= 50, "40 to 50", F291 &gt; 50, "&gt;50" )</f>
        <v>0 to 5</v>
      </c>
    </row>
    <row r="292" spans="1:15" ht="14.4" x14ac:dyDescent="0.3">
      <c r="A292" t="s">
        <v>15</v>
      </c>
      <c r="B292" s="1">
        <v>46170</v>
      </c>
      <c r="C292" t="s">
        <v>16</v>
      </c>
      <c r="D292">
        <v>280</v>
      </c>
      <c r="E292">
        <v>1</v>
      </c>
      <c r="F292">
        <v>3</v>
      </c>
      <c r="G292" t="s">
        <v>17</v>
      </c>
      <c r="I292" t="str">
        <f t="shared" si="5"/>
        <v>280_1</v>
      </c>
      <c r="J292" t="s">
        <v>18</v>
      </c>
      <c r="K292" t="s">
        <v>19</v>
      </c>
      <c r="L292" t="str">
        <f>_xlfn.XLOOKUP(C292, Table2[Species],Table2[Genus], "Code Not Found")</f>
        <v>Acer</v>
      </c>
      <c r="M292" t="str">
        <f>_xlfn.XLOOKUP(C292, Table2[Species],Table2[Sp. Name], "Code Not Found")</f>
        <v>saccharum</v>
      </c>
      <c r="N292" t="str">
        <f>_xlfn.XLOOKUP(C292,Table2[Species],Table2[Family],"Code Not Found")</f>
        <v>Sapindaceae</v>
      </c>
      <c r="O292" t="str" cm="1">
        <f t="array" ref="O292">_xlfn.IFS(F292="","",F292&lt;=5,"0 to 5",F292&lt;=10,"5.1 to 10",F292&lt;=20,"10 to 20", F292&lt;= 40, "20 to 40", F292 &lt;= 50, "40 to 50", F292 &gt; 50, "&gt;50" )</f>
        <v>0 to 5</v>
      </c>
    </row>
    <row r="293" spans="1:15" ht="14.4" x14ac:dyDescent="0.3">
      <c r="A293" t="s">
        <v>15</v>
      </c>
      <c r="B293" s="1">
        <v>46170</v>
      </c>
      <c r="C293" t="s">
        <v>16</v>
      </c>
      <c r="D293">
        <v>281</v>
      </c>
      <c r="E293">
        <v>1</v>
      </c>
      <c r="F293">
        <v>2.7</v>
      </c>
      <c r="G293" t="s">
        <v>32</v>
      </c>
      <c r="H293" t="s">
        <v>48</v>
      </c>
      <c r="I293" t="str">
        <f t="shared" si="5"/>
        <v>281_1</v>
      </c>
      <c r="J293" t="s">
        <v>18</v>
      </c>
      <c r="K293" t="s">
        <v>19</v>
      </c>
      <c r="L293" t="str">
        <f>_xlfn.XLOOKUP(C293, Table2[Species],Table2[Genus], "Code Not Found")</f>
        <v>Acer</v>
      </c>
      <c r="M293" t="str">
        <f>_xlfn.XLOOKUP(C293, Table2[Species],Table2[Sp. Name], "Code Not Found")</f>
        <v>saccharum</v>
      </c>
      <c r="N293" t="str">
        <f>_xlfn.XLOOKUP(C293,Table2[Species],Table2[Family],"Code Not Found")</f>
        <v>Sapindaceae</v>
      </c>
      <c r="O293" t="str" cm="1">
        <f t="array" ref="O293">_xlfn.IFS(F293="","",F293&lt;=5,"0 to 5",F293&lt;=10,"5.1 to 10",F293&lt;=20,"10 to 20", F293&lt;= 40, "20 to 40", F293 &lt;= 50, "40 to 50", F293 &gt; 50, "&gt;50" )</f>
        <v>0 to 5</v>
      </c>
    </row>
    <row r="294" spans="1:15" ht="14.4" x14ac:dyDescent="0.3">
      <c r="A294" t="s">
        <v>15</v>
      </c>
      <c r="B294" s="1">
        <v>46170</v>
      </c>
      <c r="C294" t="s">
        <v>16</v>
      </c>
      <c r="D294">
        <v>281</v>
      </c>
      <c r="E294">
        <v>2</v>
      </c>
      <c r="F294">
        <v>1</v>
      </c>
      <c r="G294" t="s">
        <v>32</v>
      </c>
      <c r="H294" t="s">
        <v>43</v>
      </c>
      <c r="I294" t="str">
        <f t="shared" si="5"/>
        <v>281_2</v>
      </c>
      <c r="J294" t="s">
        <v>18</v>
      </c>
      <c r="K294" t="s">
        <v>19</v>
      </c>
      <c r="L294" t="str">
        <f>_xlfn.XLOOKUP(C294, Table2[Species],Table2[Genus], "Code Not Found")</f>
        <v>Acer</v>
      </c>
      <c r="M294" t="str">
        <f>_xlfn.XLOOKUP(C294, Table2[Species],Table2[Sp. Name], "Code Not Found")</f>
        <v>saccharum</v>
      </c>
      <c r="N294" t="str">
        <f>_xlfn.XLOOKUP(C294,Table2[Species],Table2[Family],"Code Not Found")</f>
        <v>Sapindaceae</v>
      </c>
      <c r="O294" t="str" cm="1">
        <f t="array" ref="O294">_xlfn.IFS(F294="","",F294&lt;=5,"0 to 5",F294&lt;=10,"5.1 to 10",F294&lt;=20,"10 to 20", F294&lt;= 40, "20 to 40", F294 &lt;= 50, "40 to 50", F294 &gt; 50, "&gt;50" )</f>
        <v>0 to 5</v>
      </c>
    </row>
    <row r="295" spans="1:15" ht="14.4" x14ac:dyDescent="0.3">
      <c r="A295" t="s">
        <v>15</v>
      </c>
      <c r="B295" s="1">
        <v>46170</v>
      </c>
      <c r="C295" t="s">
        <v>59</v>
      </c>
      <c r="D295">
        <v>282</v>
      </c>
      <c r="E295">
        <v>1</v>
      </c>
      <c r="F295">
        <v>8.9</v>
      </c>
      <c r="G295" t="s">
        <v>21</v>
      </c>
      <c r="I295" t="str">
        <f t="shared" si="5"/>
        <v>282_1</v>
      </c>
      <c r="J295" t="s">
        <v>18</v>
      </c>
      <c r="K295" t="s">
        <v>19</v>
      </c>
      <c r="L295" t="str">
        <f>_xlfn.XLOOKUP(C295, Table2[Species],Table2[Genus], "Code Not Found")</f>
        <v>Nyssa</v>
      </c>
      <c r="M295" t="str">
        <f>_xlfn.XLOOKUP(C295, Table2[Species],Table2[Sp. Name], "Code Not Found")</f>
        <v>sylvatica</v>
      </c>
      <c r="N295" t="str">
        <f>_xlfn.XLOOKUP(C295,Table2[Species],Table2[Family],"Code Not Found")</f>
        <v>Nyssaceae</v>
      </c>
      <c r="O295" t="str" cm="1">
        <f t="array" ref="O295">_xlfn.IFS(F295="","",F295&lt;=5,"0 to 5",F295&lt;=10,"5.1 to 10",F295&lt;=20,"10 to 20", F295&lt;= 40, "20 to 40", F295 &lt;= 50, "40 to 50", F295 &gt; 50, "&gt;50" )</f>
        <v>5.1 to 10</v>
      </c>
    </row>
    <row r="296" spans="1:15" ht="14.4" x14ac:dyDescent="0.3">
      <c r="A296" t="s">
        <v>15</v>
      </c>
      <c r="B296" s="1">
        <v>46170</v>
      </c>
      <c r="C296" t="s">
        <v>22</v>
      </c>
      <c r="D296">
        <v>283</v>
      </c>
      <c r="E296">
        <v>1</v>
      </c>
      <c r="F296">
        <v>27.4</v>
      </c>
      <c r="G296" t="s">
        <v>111</v>
      </c>
      <c r="H296" t="s">
        <v>112</v>
      </c>
      <c r="I296" t="str">
        <f t="shared" si="5"/>
        <v>283_1</v>
      </c>
      <c r="J296" t="s">
        <v>18</v>
      </c>
      <c r="K296" t="s">
        <v>19</v>
      </c>
      <c r="L296" t="str">
        <f>_xlfn.XLOOKUP(C296, Table2[Species],Table2[Genus], "Code Not Found")</f>
        <v>Acer</v>
      </c>
      <c r="M296" t="str">
        <f>_xlfn.XLOOKUP(C296, Table2[Species],Table2[Sp. Name], "Code Not Found")</f>
        <v>rubrum</v>
      </c>
      <c r="N296" t="str">
        <f>_xlfn.XLOOKUP(C296,Table2[Species],Table2[Family],"Code Not Found")</f>
        <v>Sapindaceae</v>
      </c>
      <c r="O296" t="str" cm="1">
        <f t="array" ref="O296">_xlfn.IFS(F296="","",F296&lt;=5,"0 to 5",F296&lt;=10,"5.1 to 10",F296&lt;=20,"10 to 20", F296&lt;= 40, "20 to 40", F296 &lt;= 50, "40 to 50", F296 &gt; 50, "&gt;50" )</f>
        <v>20 to 40</v>
      </c>
    </row>
    <row r="297" spans="1:15" ht="14.4" x14ac:dyDescent="0.3">
      <c r="A297" t="s">
        <v>15</v>
      </c>
      <c r="B297" s="1">
        <v>46170</v>
      </c>
      <c r="C297" t="s">
        <v>16</v>
      </c>
      <c r="D297">
        <v>284</v>
      </c>
      <c r="E297">
        <v>1</v>
      </c>
      <c r="F297">
        <v>8.9</v>
      </c>
      <c r="G297" t="s">
        <v>94</v>
      </c>
      <c r="H297" t="s">
        <v>113</v>
      </c>
      <c r="I297" t="str">
        <f t="shared" si="5"/>
        <v>284_1</v>
      </c>
      <c r="J297" t="s">
        <v>18</v>
      </c>
      <c r="K297" t="s">
        <v>19</v>
      </c>
      <c r="L297" t="str">
        <f>_xlfn.XLOOKUP(C297, Table2[Species],Table2[Genus], "Code Not Found")</f>
        <v>Acer</v>
      </c>
      <c r="M297" t="str">
        <f>_xlfn.XLOOKUP(C297, Table2[Species],Table2[Sp. Name], "Code Not Found")</f>
        <v>saccharum</v>
      </c>
      <c r="N297" t="str">
        <f>_xlfn.XLOOKUP(C297,Table2[Species],Table2[Family],"Code Not Found")</f>
        <v>Sapindaceae</v>
      </c>
      <c r="O297" t="str" cm="1">
        <f t="array" ref="O297">_xlfn.IFS(F297="","",F297&lt;=5,"0 to 5",F297&lt;=10,"5.1 to 10",F297&lt;=20,"10 to 20", F297&lt;= 40, "20 to 40", F297 &lt;= 50, "40 to 50", F297 &gt; 50, "&gt;50" )</f>
        <v>5.1 to 10</v>
      </c>
    </row>
    <row r="298" spans="1:15" ht="14.4" x14ac:dyDescent="0.3">
      <c r="A298" t="s">
        <v>15</v>
      </c>
      <c r="B298" s="1">
        <v>46170</v>
      </c>
      <c r="C298" t="s">
        <v>16</v>
      </c>
      <c r="D298">
        <v>285</v>
      </c>
      <c r="E298">
        <v>1</v>
      </c>
      <c r="F298">
        <v>1.5</v>
      </c>
      <c r="G298" t="s">
        <v>17</v>
      </c>
      <c r="I298" t="str">
        <f t="shared" si="5"/>
        <v>285_1</v>
      </c>
      <c r="J298" t="s">
        <v>18</v>
      </c>
      <c r="K298" t="s">
        <v>19</v>
      </c>
      <c r="L298" t="str">
        <f>_xlfn.XLOOKUP(C298, Table2[Species],Table2[Genus], "Code Not Found")</f>
        <v>Acer</v>
      </c>
      <c r="M298" t="str">
        <f>_xlfn.XLOOKUP(C298, Table2[Species],Table2[Sp. Name], "Code Not Found")</f>
        <v>saccharum</v>
      </c>
      <c r="N298" t="str">
        <f>_xlfn.XLOOKUP(C298,Table2[Species],Table2[Family],"Code Not Found")</f>
        <v>Sapindaceae</v>
      </c>
      <c r="O298" t="str" cm="1">
        <f t="array" ref="O298">_xlfn.IFS(F298="","",F298&lt;=5,"0 to 5",F298&lt;=10,"5.1 to 10",F298&lt;=20,"10 to 20", F298&lt;= 40, "20 to 40", F298 &lt;= 50, "40 to 50", F298 &gt; 50, "&gt;50" )</f>
        <v>0 to 5</v>
      </c>
    </row>
    <row r="299" spans="1:15" ht="14.4" x14ac:dyDescent="0.3">
      <c r="A299" t="s">
        <v>114</v>
      </c>
      <c r="B299" s="1">
        <v>46174</v>
      </c>
      <c r="C299" t="s">
        <v>16</v>
      </c>
      <c r="D299">
        <v>288</v>
      </c>
      <c r="E299">
        <v>1</v>
      </c>
      <c r="F299">
        <v>33.1</v>
      </c>
      <c r="G299" t="s">
        <v>17</v>
      </c>
      <c r="I299" t="str">
        <f t="shared" si="5"/>
        <v>288_1</v>
      </c>
      <c r="J299" t="s">
        <v>18</v>
      </c>
      <c r="K299" t="s">
        <v>115</v>
      </c>
      <c r="L299" t="str">
        <f>_xlfn.XLOOKUP(C299, Table2[Species],Table2[Genus], "Code Not Found")</f>
        <v>Acer</v>
      </c>
      <c r="M299" t="str">
        <f>_xlfn.XLOOKUP(C299, Table2[Species],Table2[Sp. Name], "Code Not Found")</f>
        <v>saccharum</v>
      </c>
      <c r="N299" t="str">
        <f>_xlfn.XLOOKUP(C299,Table2[Species],Table2[Family],"Code Not Found")</f>
        <v>Sapindaceae</v>
      </c>
      <c r="O299" t="str" cm="1">
        <f t="array" ref="O299">_xlfn.IFS(F299="","",F299&lt;=5,"0 to 5",F299&lt;=10,"5.1 to 10",F299&lt;=20,"10 to 20", F299&lt;= 40, "20 to 40", F299 &lt;= 50, "40 to 50", F299 &gt; 50, "&gt;50" )</f>
        <v>20 to 40</v>
      </c>
    </row>
    <row r="300" spans="1:15" ht="14.4" x14ac:dyDescent="0.3">
      <c r="A300" t="s">
        <v>114</v>
      </c>
      <c r="B300" s="1">
        <v>46174</v>
      </c>
      <c r="C300" t="s">
        <v>16</v>
      </c>
      <c r="D300">
        <v>289</v>
      </c>
      <c r="E300">
        <v>1</v>
      </c>
      <c r="F300">
        <v>5</v>
      </c>
      <c r="G300" t="s">
        <v>21</v>
      </c>
      <c r="I300" t="str">
        <f t="shared" si="5"/>
        <v>289_1</v>
      </c>
      <c r="J300" t="s">
        <v>18</v>
      </c>
      <c r="K300" t="s">
        <v>115</v>
      </c>
      <c r="L300" t="str">
        <f>_xlfn.XLOOKUP(C300, Table2[Species],Table2[Genus], "Code Not Found")</f>
        <v>Acer</v>
      </c>
      <c r="M300" t="str">
        <f>_xlfn.XLOOKUP(C300, Table2[Species],Table2[Sp. Name], "Code Not Found")</f>
        <v>saccharum</v>
      </c>
      <c r="N300" t="str">
        <f>_xlfn.XLOOKUP(C300,Table2[Species],Table2[Family],"Code Not Found")</f>
        <v>Sapindaceae</v>
      </c>
      <c r="O300" t="str" cm="1">
        <f t="array" ref="O300">_xlfn.IFS(F300="","",F300&lt;=5,"0 to 5",F300&lt;=10,"5.1 to 10",F300&lt;=20,"10 to 20", F300&lt;= 40, "20 to 40", F300 &lt;= 50, "40 to 50", F300 &gt; 50, "&gt;50" )</f>
        <v>0 to 5</v>
      </c>
    </row>
    <row r="301" spans="1:15" ht="14.4" x14ac:dyDescent="0.3">
      <c r="A301" t="s">
        <v>114</v>
      </c>
      <c r="B301" s="1">
        <v>46174</v>
      </c>
      <c r="C301" t="s">
        <v>16</v>
      </c>
      <c r="D301">
        <v>290</v>
      </c>
      <c r="E301">
        <v>1</v>
      </c>
      <c r="F301">
        <v>3.3</v>
      </c>
      <c r="G301" t="s">
        <v>94</v>
      </c>
      <c r="H301" t="s">
        <v>116</v>
      </c>
      <c r="I301" t="str">
        <f t="shared" si="5"/>
        <v>290_1</v>
      </c>
      <c r="J301" t="s">
        <v>18</v>
      </c>
      <c r="K301" t="s">
        <v>115</v>
      </c>
      <c r="L301" t="str">
        <f>_xlfn.XLOOKUP(C301, Table2[Species],Table2[Genus], "Code Not Found")</f>
        <v>Acer</v>
      </c>
      <c r="M301" t="str">
        <f>_xlfn.XLOOKUP(C301, Table2[Species],Table2[Sp. Name], "Code Not Found")</f>
        <v>saccharum</v>
      </c>
      <c r="N301" t="str">
        <f>_xlfn.XLOOKUP(C301,Table2[Species],Table2[Family],"Code Not Found")</f>
        <v>Sapindaceae</v>
      </c>
      <c r="O301" t="str" cm="1">
        <f t="array" ref="O301">_xlfn.IFS(F301="","",F301&lt;=5,"0 to 5",F301&lt;=10,"5.1 to 10",F301&lt;=20,"10 to 20", F301&lt;= 40, "20 to 40", F301 &lt;= 50, "40 to 50", F301 &gt; 50, "&gt;50" )</f>
        <v>0 to 5</v>
      </c>
    </row>
    <row r="302" spans="1:15" ht="14.4" x14ac:dyDescent="0.3">
      <c r="A302" t="s">
        <v>114</v>
      </c>
      <c r="B302" s="1">
        <v>46174</v>
      </c>
      <c r="C302" t="s">
        <v>117</v>
      </c>
      <c r="D302">
        <v>291</v>
      </c>
      <c r="E302">
        <v>1</v>
      </c>
      <c r="F302">
        <v>3.2</v>
      </c>
      <c r="G302" t="s">
        <v>17</v>
      </c>
      <c r="I302" t="str">
        <f t="shared" si="5"/>
        <v>291_1</v>
      </c>
      <c r="J302" t="s">
        <v>18</v>
      </c>
      <c r="K302" t="s">
        <v>115</v>
      </c>
      <c r="L302" t="str">
        <f>_xlfn.XLOOKUP(C302, Table2[Species],Table2[Genus], "Code Not Found")</f>
        <v>Ostrya</v>
      </c>
      <c r="M302" t="str">
        <f>_xlfn.XLOOKUP(C302, Table2[Species],Table2[Sp. Name], "Code Not Found")</f>
        <v>viginiana</v>
      </c>
      <c r="N302" t="str">
        <f>_xlfn.XLOOKUP(C302,Table2[Species],Table2[Family],"Code Not Found")</f>
        <v>Betulaceae</v>
      </c>
      <c r="O302" t="str" cm="1">
        <f t="array" ref="O302">_xlfn.IFS(F302="","",F302&lt;=5,"0 to 5",F302&lt;=10,"5.1 to 10",F302&lt;=20,"10 to 20", F302&lt;= 40, "20 to 40", F302 &lt;= 50, "40 to 50", F302 &gt; 50, "&gt;50" )</f>
        <v>0 to 5</v>
      </c>
    </row>
    <row r="303" spans="1:15" ht="14.4" x14ac:dyDescent="0.3">
      <c r="A303" t="s">
        <v>114</v>
      </c>
      <c r="B303" s="1">
        <v>46174</v>
      </c>
      <c r="C303" t="s">
        <v>16</v>
      </c>
      <c r="D303">
        <v>292</v>
      </c>
      <c r="E303">
        <v>1</v>
      </c>
      <c r="F303">
        <v>3.8</v>
      </c>
      <c r="G303" t="s">
        <v>21</v>
      </c>
      <c r="I303" t="str">
        <f t="shared" si="5"/>
        <v>292_1</v>
      </c>
      <c r="J303" t="s">
        <v>18</v>
      </c>
      <c r="K303" t="s">
        <v>115</v>
      </c>
      <c r="L303" t="str">
        <f>_xlfn.XLOOKUP(C303, Table2[Species],Table2[Genus], "Code Not Found")</f>
        <v>Acer</v>
      </c>
      <c r="M303" t="str">
        <f>_xlfn.XLOOKUP(C303, Table2[Species],Table2[Sp. Name], "Code Not Found")</f>
        <v>saccharum</v>
      </c>
      <c r="N303" t="str">
        <f>_xlfn.XLOOKUP(C303,Table2[Species],Table2[Family],"Code Not Found")</f>
        <v>Sapindaceae</v>
      </c>
      <c r="O303" t="str" cm="1">
        <f t="array" ref="O303">_xlfn.IFS(F303="","",F303&lt;=5,"0 to 5",F303&lt;=10,"5.1 to 10",F303&lt;=20,"10 to 20", F303&lt;= 40, "20 to 40", F303 &lt;= 50, "40 to 50", F303 &gt; 50, "&gt;50" )</f>
        <v>0 to 5</v>
      </c>
    </row>
    <row r="304" spans="1:15" ht="14.4" x14ac:dyDescent="0.3">
      <c r="A304" t="s">
        <v>114</v>
      </c>
      <c r="B304" s="1">
        <v>46174</v>
      </c>
      <c r="C304" t="s">
        <v>16</v>
      </c>
      <c r="D304">
        <v>293</v>
      </c>
      <c r="E304">
        <v>1</v>
      </c>
      <c r="F304">
        <v>7</v>
      </c>
      <c r="G304" t="s">
        <v>21</v>
      </c>
      <c r="I304" t="str">
        <f t="shared" si="5"/>
        <v>293_1</v>
      </c>
      <c r="J304" t="s">
        <v>18</v>
      </c>
      <c r="K304" t="s">
        <v>115</v>
      </c>
      <c r="L304" t="str">
        <f>_xlfn.XLOOKUP(C304, Table2[Species],Table2[Genus], "Code Not Found")</f>
        <v>Acer</v>
      </c>
      <c r="M304" t="str">
        <f>_xlfn.XLOOKUP(C304, Table2[Species],Table2[Sp. Name], "Code Not Found")</f>
        <v>saccharum</v>
      </c>
      <c r="N304" t="str">
        <f>_xlfn.XLOOKUP(C304,Table2[Species],Table2[Family],"Code Not Found")</f>
        <v>Sapindaceae</v>
      </c>
      <c r="O304" t="str" cm="1">
        <f t="array" ref="O304">_xlfn.IFS(F304="","",F304&lt;=5,"0 to 5",F304&lt;=10,"5.1 to 10",F304&lt;=20,"10 to 20", F304&lt;= 40, "20 to 40", F304 &lt;= 50, "40 to 50", F304 &gt; 50, "&gt;50" )</f>
        <v>5.1 to 10</v>
      </c>
    </row>
    <row r="305" spans="1:15" ht="14.4" x14ac:dyDescent="0.3">
      <c r="A305" t="s">
        <v>114</v>
      </c>
      <c r="B305" s="1">
        <v>46174</v>
      </c>
      <c r="C305" t="s">
        <v>16</v>
      </c>
      <c r="D305">
        <v>294</v>
      </c>
      <c r="E305">
        <v>1</v>
      </c>
      <c r="F305">
        <v>2.1</v>
      </c>
      <c r="G305" t="s">
        <v>21</v>
      </c>
      <c r="I305" t="str">
        <f t="shared" si="5"/>
        <v>294_1</v>
      </c>
      <c r="J305" t="s">
        <v>18</v>
      </c>
      <c r="K305" t="s">
        <v>115</v>
      </c>
      <c r="L305" t="str">
        <f>_xlfn.XLOOKUP(C305, Table2[Species],Table2[Genus], "Code Not Found")</f>
        <v>Acer</v>
      </c>
      <c r="M305" t="str">
        <f>_xlfn.XLOOKUP(C305, Table2[Species],Table2[Sp. Name], "Code Not Found")</f>
        <v>saccharum</v>
      </c>
      <c r="N305" t="str">
        <f>_xlfn.XLOOKUP(C305,Table2[Species],Table2[Family],"Code Not Found")</f>
        <v>Sapindaceae</v>
      </c>
      <c r="O305" t="str" cm="1">
        <f t="array" ref="O305">_xlfn.IFS(F305="","",F305&lt;=5,"0 to 5",F305&lt;=10,"5.1 to 10",F305&lt;=20,"10 to 20", F305&lt;= 40, "20 to 40", F305 &lt;= 50, "40 to 50", F305 &gt; 50, "&gt;50" )</f>
        <v>0 to 5</v>
      </c>
    </row>
    <row r="306" spans="1:15" ht="14.4" x14ac:dyDescent="0.3">
      <c r="A306" t="s">
        <v>114</v>
      </c>
      <c r="B306" s="1">
        <v>46174</v>
      </c>
      <c r="C306" t="s">
        <v>64</v>
      </c>
      <c r="D306">
        <v>295</v>
      </c>
      <c r="E306">
        <v>1</v>
      </c>
      <c r="F306">
        <v>21.9</v>
      </c>
      <c r="G306" t="s">
        <v>17</v>
      </c>
      <c r="I306" t="str">
        <f t="shared" si="5"/>
        <v>295_1</v>
      </c>
      <c r="J306" t="s">
        <v>18</v>
      </c>
      <c r="K306" t="s">
        <v>115</v>
      </c>
      <c r="L306" t="str">
        <f>_xlfn.XLOOKUP(C306, Table2[Species],Table2[Genus], "Code Not Found")</f>
        <v>Fagus</v>
      </c>
      <c r="M306" t="str">
        <f>_xlfn.XLOOKUP(C306, Table2[Species],Table2[Sp. Name], "Code Not Found")</f>
        <v>grandifolia</v>
      </c>
      <c r="N306" t="str">
        <f>_xlfn.XLOOKUP(C306,Table2[Species],Table2[Family],"Code Not Found")</f>
        <v>Fagaceae</v>
      </c>
      <c r="O306" t="str" cm="1">
        <f t="array" ref="O306">_xlfn.IFS(F306="","",F306&lt;=5,"0 to 5",F306&lt;=10,"5.1 to 10",F306&lt;=20,"10 to 20", F306&lt;= 40, "20 to 40", F306 &lt;= 50, "40 to 50", F306 &gt; 50, "&gt;50" )</f>
        <v>20 to 40</v>
      </c>
    </row>
    <row r="307" spans="1:15" ht="14.4" x14ac:dyDescent="0.3">
      <c r="A307" t="s">
        <v>114</v>
      </c>
      <c r="B307" s="1">
        <v>46174</v>
      </c>
      <c r="C307" t="s">
        <v>64</v>
      </c>
      <c r="D307">
        <v>296</v>
      </c>
      <c r="E307">
        <v>1</v>
      </c>
      <c r="F307">
        <v>26</v>
      </c>
      <c r="G307" t="s">
        <v>21</v>
      </c>
      <c r="I307" t="str">
        <f t="shared" si="5"/>
        <v>296_1</v>
      </c>
      <c r="J307" t="s">
        <v>18</v>
      </c>
      <c r="K307" t="s">
        <v>115</v>
      </c>
      <c r="L307" t="str">
        <f>_xlfn.XLOOKUP(C307, Table2[Species],Table2[Genus], "Code Not Found")</f>
        <v>Fagus</v>
      </c>
      <c r="M307" t="str">
        <f>_xlfn.XLOOKUP(C307, Table2[Species],Table2[Sp. Name], "Code Not Found")</f>
        <v>grandifolia</v>
      </c>
      <c r="N307" t="str">
        <f>_xlfn.XLOOKUP(C307,Table2[Species],Table2[Family],"Code Not Found")</f>
        <v>Fagaceae</v>
      </c>
      <c r="O307" t="str" cm="1">
        <f t="array" ref="O307">_xlfn.IFS(F307="","",F307&lt;=5,"0 to 5",F307&lt;=10,"5.1 to 10",F307&lt;=20,"10 to 20", F307&lt;= 40, "20 to 40", F307 &lt;= 50, "40 to 50", F307 &gt; 50, "&gt;50" )</f>
        <v>20 to 40</v>
      </c>
    </row>
    <row r="308" spans="1:15" ht="14.4" x14ac:dyDescent="0.3">
      <c r="A308" t="s">
        <v>114</v>
      </c>
      <c r="B308" s="1">
        <v>46174</v>
      </c>
      <c r="C308" t="s">
        <v>118</v>
      </c>
      <c r="D308">
        <v>297</v>
      </c>
      <c r="E308">
        <v>1</v>
      </c>
      <c r="F308">
        <v>71.2</v>
      </c>
      <c r="G308" t="s">
        <v>17</v>
      </c>
      <c r="I308" t="str">
        <f t="shared" si="5"/>
        <v>297_1</v>
      </c>
      <c r="J308" t="s">
        <v>18</v>
      </c>
      <c r="K308" t="s">
        <v>115</v>
      </c>
      <c r="L308" t="str">
        <f>_xlfn.XLOOKUP(C308, Table2[Species],Table2[Genus], "Code Not Found")</f>
        <v>Quercus</v>
      </c>
      <c r="M308" t="str">
        <f>_xlfn.XLOOKUP(C308, Table2[Species],Table2[Sp. Name], "Code Not Found")</f>
        <v>montana</v>
      </c>
      <c r="N308" t="str">
        <f>_xlfn.XLOOKUP(C308,Table2[Species],Table2[Family],"Code Not Found")</f>
        <v>Fagaceae</v>
      </c>
      <c r="O308" t="str" cm="1">
        <f t="array" ref="O308">_xlfn.IFS(F308="","",F308&lt;=5,"0 to 5",F308&lt;=10,"5.1 to 10",F308&lt;=20,"10 to 20", F308&lt;= 40, "20 to 40", F308 &lt;= 50, "40 to 50", F308 &gt; 50, "&gt;50" )</f>
        <v>&gt;50</v>
      </c>
    </row>
    <row r="309" spans="1:15" ht="14.4" x14ac:dyDescent="0.3">
      <c r="A309" t="s">
        <v>114</v>
      </c>
      <c r="B309" s="1">
        <v>46174</v>
      </c>
      <c r="C309" t="s">
        <v>64</v>
      </c>
      <c r="D309">
        <v>298</v>
      </c>
      <c r="E309">
        <v>1</v>
      </c>
      <c r="F309">
        <v>9.3000000000000007</v>
      </c>
      <c r="G309" t="s">
        <v>47</v>
      </c>
      <c r="H309" t="s">
        <v>119</v>
      </c>
      <c r="I309" t="str">
        <f t="shared" si="5"/>
        <v>298_1</v>
      </c>
      <c r="J309" t="s">
        <v>18</v>
      </c>
      <c r="K309" t="s">
        <v>115</v>
      </c>
      <c r="L309" t="str">
        <f>_xlfn.XLOOKUP(C309, Table2[Species],Table2[Genus], "Code Not Found")</f>
        <v>Fagus</v>
      </c>
      <c r="M309" t="str">
        <f>_xlfn.XLOOKUP(C309, Table2[Species],Table2[Sp. Name], "Code Not Found")</f>
        <v>grandifolia</v>
      </c>
      <c r="N309" t="str">
        <f>_xlfn.XLOOKUP(C309,Table2[Species],Table2[Family],"Code Not Found")</f>
        <v>Fagaceae</v>
      </c>
      <c r="O309" t="str" cm="1">
        <f t="array" ref="O309">_xlfn.IFS(F309="","",F309&lt;=5,"0 to 5",F309&lt;=10,"5.1 to 10",F309&lt;=20,"10 to 20", F309&lt;= 40, "20 to 40", F309 &lt;= 50, "40 to 50", F309 &gt; 50, "&gt;50" )</f>
        <v>5.1 to 10</v>
      </c>
    </row>
    <row r="310" spans="1:15" ht="14.4" x14ac:dyDescent="0.3">
      <c r="A310" t="s">
        <v>114</v>
      </c>
      <c r="B310" s="1">
        <v>46174</v>
      </c>
      <c r="C310" t="s">
        <v>16</v>
      </c>
      <c r="D310">
        <v>299</v>
      </c>
      <c r="E310">
        <v>1</v>
      </c>
      <c r="F310">
        <v>2.9</v>
      </c>
      <c r="G310" t="s">
        <v>17</v>
      </c>
      <c r="I310" t="str">
        <f t="shared" si="5"/>
        <v>299_1</v>
      </c>
      <c r="J310" t="s">
        <v>18</v>
      </c>
      <c r="K310" t="s">
        <v>115</v>
      </c>
      <c r="L310" t="str">
        <f>_xlfn.XLOOKUP(C310, Table2[Species],Table2[Genus], "Code Not Found")</f>
        <v>Acer</v>
      </c>
      <c r="M310" t="str">
        <f>_xlfn.XLOOKUP(C310, Table2[Species],Table2[Sp. Name], "Code Not Found")</f>
        <v>saccharum</v>
      </c>
      <c r="N310" t="str">
        <f>_xlfn.XLOOKUP(C310,Table2[Species],Table2[Family],"Code Not Found")</f>
        <v>Sapindaceae</v>
      </c>
      <c r="O310" t="str" cm="1">
        <f t="array" ref="O310">_xlfn.IFS(F310="","",F310&lt;=5,"0 to 5",F310&lt;=10,"5.1 to 10",F310&lt;=20,"10 to 20", F310&lt;= 40, "20 to 40", F310 &lt;= 50, "40 to 50", F310 &gt; 50, "&gt;50" )</f>
        <v>0 to 5</v>
      </c>
    </row>
    <row r="311" spans="1:15" ht="14.4" x14ac:dyDescent="0.3">
      <c r="A311" t="s">
        <v>114</v>
      </c>
      <c r="B311" s="1">
        <v>46174</v>
      </c>
      <c r="C311" t="s">
        <v>16</v>
      </c>
      <c r="D311">
        <v>300</v>
      </c>
      <c r="E311">
        <v>1</v>
      </c>
      <c r="F311">
        <v>14.6</v>
      </c>
      <c r="G311" t="s">
        <v>21</v>
      </c>
      <c r="I311" t="str">
        <f t="shared" si="5"/>
        <v>300_1</v>
      </c>
      <c r="J311" t="s">
        <v>18</v>
      </c>
      <c r="K311" t="s">
        <v>115</v>
      </c>
      <c r="L311" t="str">
        <f>_xlfn.XLOOKUP(C311, Table2[Species],Table2[Genus], "Code Not Found")</f>
        <v>Acer</v>
      </c>
      <c r="M311" t="str">
        <f>_xlfn.XLOOKUP(C311, Table2[Species],Table2[Sp. Name], "Code Not Found")</f>
        <v>saccharum</v>
      </c>
      <c r="N311" t="str">
        <f>_xlfn.XLOOKUP(C311,Table2[Species],Table2[Family],"Code Not Found")</f>
        <v>Sapindaceae</v>
      </c>
      <c r="O311" t="str" cm="1">
        <f t="array" ref="O311">_xlfn.IFS(F311="","",F311&lt;=5,"0 to 5",F311&lt;=10,"5.1 to 10",F311&lt;=20,"10 to 20", F311&lt;= 40, "20 to 40", F311 &lt;= 50, "40 to 50", F311 &gt; 50, "&gt;50" )</f>
        <v>10 to 20</v>
      </c>
    </row>
    <row r="312" spans="1:15" ht="14.4" x14ac:dyDescent="0.3">
      <c r="A312" t="s">
        <v>114</v>
      </c>
      <c r="B312" s="1">
        <v>46174</v>
      </c>
      <c r="C312" t="s">
        <v>117</v>
      </c>
      <c r="D312">
        <v>301</v>
      </c>
      <c r="E312">
        <v>1</v>
      </c>
      <c r="F312">
        <v>1.7</v>
      </c>
      <c r="G312" t="s">
        <v>69</v>
      </c>
      <c r="I312" t="str">
        <f t="shared" si="5"/>
        <v>301_1</v>
      </c>
      <c r="J312" t="s">
        <v>18</v>
      </c>
      <c r="K312" t="s">
        <v>115</v>
      </c>
      <c r="L312" t="str">
        <f>_xlfn.XLOOKUP(C312, Table2[Species],Table2[Genus], "Code Not Found")</f>
        <v>Ostrya</v>
      </c>
      <c r="M312" t="str">
        <f>_xlfn.XLOOKUP(C312, Table2[Species],Table2[Sp. Name], "Code Not Found")</f>
        <v>viginiana</v>
      </c>
      <c r="N312" t="str">
        <f>_xlfn.XLOOKUP(C312,Table2[Species],Table2[Family],"Code Not Found")</f>
        <v>Betulaceae</v>
      </c>
      <c r="O312" t="str" cm="1">
        <f t="array" ref="O312">_xlfn.IFS(F312="","",F312&lt;=5,"0 to 5",F312&lt;=10,"5.1 to 10",F312&lt;=20,"10 to 20", F312&lt;= 40, "20 to 40", F312 &lt;= 50, "40 to 50", F312 &gt; 50, "&gt;50" )</f>
        <v>0 to 5</v>
      </c>
    </row>
    <row r="313" spans="1:15" ht="14.4" x14ac:dyDescent="0.3">
      <c r="A313" t="s">
        <v>114</v>
      </c>
      <c r="B313" s="1">
        <v>46174</v>
      </c>
      <c r="C313" t="s">
        <v>22</v>
      </c>
      <c r="D313">
        <v>302</v>
      </c>
      <c r="E313">
        <v>1</v>
      </c>
      <c r="F313">
        <v>7</v>
      </c>
      <c r="G313" t="s">
        <v>21</v>
      </c>
      <c r="I313" t="str">
        <f t="shared" si="5"/>
        <v>302_1</v>
      </c>
      <c r="J313" t="s">
        <v>18</v>
      </c>
      <c r="K313" t="s">
        <v>115</v>
      </c>
      <c r="L313" t="str">
        <f>_xlfn.XLOOKUP(C313, Table2[Species],Table2[Genus], "Code Not Found")</f>
        <v>Acer</v>
      </c>
      <c r="M313" t="str">
        <f>_xlfn.XLOOKUP(C313, Table2[Species],Table2[Sp. Name], "Code Not Found")</f>
        <v>rubrum</v>
      </c>
      <c r="N313" t="str">
        <f>_xlfn.XLOOKUP(C313,Table2[Species],Table2[Family],"Code Not Found")</f>
        <v>Sapindaceae</v>
      </c>
      <c r="O313" t="str" cm="1">
        <f t="array" ref="O313">_xlfn.IFS(F313="","",F313&lt;=5,"0 to 5",F313&lt;=10,"5.1 to 10",F313&lt;=20,"10 to 20", F313&lt;= 40, "20 to 40", F313 &lt;= 50, "40 to 50", F313 &gt; 50, "&gt;50" )</f>
        <v>5.1 to 10</v>
      </c>
    </row>
    <row r="314" spans="1:15" ht="14.4" x14ac:dyDescent="0.3">
      <c r="A314" t="s">
        <v>114</v>
      </c>
      <c r="B314" s="1">
        <v>46174</v>
      </c>
      <c r="C314" t="s">
        <v>16</v>
      </c>
      <c r="D314">
        <v>303</v>
      </c>
      <c r="E314">
        <v>1</v>
      </c>
      <c r="F314">
        <v>24.2</v>
      </c>
      <c r="G314" t="s">
        <v>21</v>
      </c>
      <c r="I314" t="str">
        <f t="shared" si="5"/>
        <v>303_1</v>
      </c>
      <c r="J314" t="s">
        <v>18</v>
      </c>
      <c r="K314" t="s">
        <v>115</v>
      </c>
      <c r="L314" t="str">
        <f>_xlfn.XLOOKUP(C314, Table2[Species],Table2[Genus], "Code Not Found")</f>
        <v>Acer</v>
      </c>
      <c r="M314" t="str">
        <f>_xlfn.XLOOKUP(C314, Table2[Species],Table2[Sp. Name], "Code Not Found")</f>
        <v>saccharum</v>
      </c>
      <c r="N314" t="str">
        <f>_xlfn.XLOOKUP(C314,Table2[Species],Table2[Family],"Code Not Found")</f>
        <v>Sapindaceae</v>
      </c>
      <c r="O314" t="str" cm="1">
        <f t="array" ref="O314">_xlfn.IFS(F314="","",F314&lt;=5,"0 to 5",F314&lt;=10,"5.1 to 10",F314&lt;=20,"10 to 20", F314&lt;= 40, "20 to 40", F314 &lt;= 50, "40 to 50", F314 &gt; 50, "&gt;50" )</f>
        <v>20 to 40</v>
      </c>
    </row>
    <row r="315" spans="1:15" ht="14.4" x14ac:dyDescent="0.3">
      <c r="A315" t="s">
        <v>114</v>
      </c>
      <c r="B315" s="1">
        <v>46174</v>
      </c>
      <c r="C315" t="s">
        <v>16</v>
      </c>
      <c r="D315">
        <v>304</v>
      </c>
      <c r="E315">
        <v>1</v>
      </c>
      <c r="F315">
        <v>2</v>
      </c>
      <c r="G315" t="s">
        <v>47</v>
      </c>
      <c r="I315" t="str">
        <f t="shared" si="5"/>
        <v>304_1</v>
      </c>
      <c r="J315" t="s">
        <v>18</v>
      </c>
      <c r="K315" t="s">
        <v>115</v>
      </c>
      <c r="L315" t="str">
        <f>_xlfn.XLOOKUP(C315, Table2[Species],Table2[Genus], "Code Not Found")</f>
        <v>Acer</v>
      </c>
      <c r="M315" t="str">
        <f>_xlfn.XLOOKUP(C315, Table2[Species],Table2[Sp. Name], "Code Not Found")</f>
        <v>saccharum</v>
      </c>
      <c r="N315" t="str">
        <f>_xlfn.XLOOKUP(C315,Table2[Species],Table2[Family],"Code Not Found")</f>
        <v>Sapindaceae</v>
      </c>
      <c r="O315" t="str" cm="1">
        <f t="array" ref="O315">_xlfn.IFS(F315="","",F315&lt;=5,"0 to 5",F315&lt;=10,"5.1 to 10",F315&lt;=20,"10 to 20", F315&lt;= 40, "20 to 40", F315 &lt;= 50, "40 to 50", F315 &gt; 50, "&gt;50" )</f>
        <v>0 to 5</v>
      </c>
    </row>
    <row r="316" spans="1:15" ht="14.4" x14ac:dyDescent="0.3">
      <c r="A316" t="s">
        <v>114</v>
      </c>
      <c r="B316" s="1">
        <v>46174</v>
      </c>
      <c r="C316" t="s">
        <v>16</v>
      </c>
      <c r="D316">
        <v>305</v>
      </c>
      <c r="E316">
        <v>1</v>
      </c>
      <c r="F316">
        <v>3.1</v>
      </c>
      <c r="G316" t="s">
        <v>120</v>
      </c>
      <c r="H316" t="s">
        <v>121</v>
      </c>
      <c r="I316" t="str">
        <f t="shared" si="5"/>
        <v>305_1</v>
      </c>
      <c r="J316" t="s">
        <v>18</v>
      </c>
      <c r="K316" t="s">
        <v>115</v>
      </c>
      <c r="L316" t="str">
        <f>_xlfn.XLOOKUP(C316, Table2[Species],Table2[Genus], "Code Not Found")</f>
        <v>Acer</v>
      </c>
      <c r="M316" t="str">
        <f>_xlfn.XLOOKUP(C316, Table2[Species],Table2[Sp. Name], "Code Not Found")</f>
        <v>saccharum</v>
      </c>
      <c r="N316" t="str">
        <f>_xlfn.XLOOKUP(C316,Table2[Species],Table2[Family],"Code Not Found")</f>
        <v>Sapindaceae</v>
      </c>
      <c r="O316" t="str" cm="1">
        <f t="array" ref="O316">_xlfn.IFS(F316="","",F316&lt;=5,"0 to 5",F316&lt;=10,"5.1 to 10",F316&lt;=20,"10 to 20", F316&lt;= 40, "20 to 40", F316 &lt;= 50, "40 to 50", F316 &gt; 50, "&gt;50" )</f>
        <v>0 to 5</v>
      </c>
    </row>
    <row r="317" spans="1:15" ht="14.4" x14ac:dyDescent="0.3">
      <c r="A317" t="s">
        <v>114</v>
      </c>
      <c r="B317" s="1">
        <v>46174</v>
      </c>
      <c r="C317" t="s">
        <v>22</v>
      </c>
      <c r="D317">
        <v>306</v>
      </c>
      <c r="E317">
        <v>1</v>
      </c>
      <c r="F317">
        <v>3.1</v>
      </c>
      <c r="G317" t="s">
        <v>17</v>
      </c>
      <c r="H317" t="s">
        <v>121</v>
      </c>
      <c r="I317" t="str">
        <f t="shared" si="5"/>
        <v>306_1</v>
      </c>
      <c r="J317" t="s">
        <v>18</v>
      </c>
      <c r="K317" t="s">
        <v>115</v>
      </c>
      <c r="L317" t="str">
        <f>_xlfn.XLOOKUP(C317, Table2[Species],Table2[Genus], "Code Not Found")</f>
        <v>Acer</v>
      </c>
      <c r="M317" t="str">
        <f>_xlfn.XLOOKUP(C317, Table2[Species],Table2[Sp. Name], "Code Not Found")</f>
        <v>rubrum</v>
      </c>
      <c r="N317" t="str">
        <f>_xlfn.XLOOKUP(C317,Table2[Species],Table2[Family],"Code Not Found")</f>
        <v>Sapindaceae</v>
      </c>
      <c r="O317" t="str" cm="1">
        <f t="array" ref="O317">_xlfn.IFS(F317="","",F317&lt;=5,"0 to 5",F317&lt;=10,"5.1 to 10",F317&lt;=20,"10 to 20", F317&lt;= 40, "20 to 40", F317 &lt;= 50, "40 to 50", F317 &gt; 50, "&gt;50" )</f>
        <v>0 to 5</v>
      </c>
    </row>
    <row r="318" spans="1:15" ht="14.4" x14ac:dyDescent="0.3">
      <c r="A318" t="s">
        <v>114</v>
      </c>
      <c r="B318" s="1">
        <v>46174</v>
      </c>
      <c r="C318" t="s">
        <v>16</v>
      </c>
      <c r="D318">
        <v>307</v>
      </c>
      <c r="E318">
        <v>1</v>
      </c>
      <c r="F318">
        <v>6.4</v>
      </c>
      <c r="G318" t="s">
        <v>17</v>
      </c>
      <c r="H318" t="s">
        <v>122</v>
      </c>
      <c r="I318" t="str">
        <f t="shared" si="5"/>
        <v>307_1</v>
      </c>
      <c r="J318" t="s">
        <v>18</v>
      </c>
      <c r="K318" t="s">
        <v>115</v>
      </c>
      <c r="L318" t="str">
        <f>_xlfn.XLOOKUP(C318, Table2[Species],Table2[Genus], "Code Not Found")</f>
        <v>Acer</v>
      </c>
      <c r="M318" t="str">
        <f>_xlfn.XLOOKUP(C318, Table2[Species],Table2[Sp. Name], "Code Not Found")</f>
        <v>saccharum</v>
      </c>
      <c r="N318" t="str">
        <f>_xlfn.XLOOKUP(C318,Table2[Species],Table2[Family],"Code Not Found")</f>
        <v>Sapindaceae</v>
      </c>
      <c r="O318" t="str" cm="1">
        <f t="array" ref="O318">_xlfn.IFS(F318="","",F318&lt;=5,"0 to 5",F318&lt;=10,"5.1 to 10",F318&lt;=20,"10 to 20", F318&lt;= 40, "20 to 40", F318 &lt;= 50, "40 to 50", F318 &gt; 50, "&gt;50" )</f>
        <v>5.1 to 10</v>
      </c>
    </row>
    <row r="319" spans="1:15" ht="14.4" x14ac:dyDescent="0.3">
      <c r="A319" t="s">
        <v>114</v>
      </c>
      <c r="B319" s="1">
        <v>46174</v>
      </c>
      <c r="C319" t="s">
        <v>123</v>
      </c>
      <c r="D319">
        <v>308</v>
      </c>
      <c r="E319">
        <v>1</v>
      </c>
      <c r="F319">
        <v>60.6</v>
      </c>
      <c r="G319" t="s">
        <v>17</v>
      </c>
      <c r="H319" t="s">
        <v>36</v>
      </c>
      <c r="I319" t="str">
        <f>D319&amp;"_"&amp;E320</f>
        <v>308_1</v>
      </c>
      <c r="J319" t="s">
        <v>18</v>
      </c>
      <c r="K319" t="s">
        <v>115</v>
      </c>
      <c r="L319" t="str">
        <f>_xlfn.XLOOKUP(C319, Table2[Species],Table2[Genus], "Code Not Found")</f>
        <v>Quercus</v>
      </c>
      <c r="M319" t="str">
        <f>_xlfn.XLOOKUP(C319, Table2[Species],Table2[Sp. Name], "Code Not Found")</f>
        <v>rubra</v>
      </c>
      <c r="N319" t="str">
        <f>_xlfn.XLOOKUP(C319,Table2[Species],Table2[Family],"Code Not Found")</f>
        <v>Fagaceae</v>
      </c>
      <c r="O319" t="str" cm="1">
        <f t="array" ref="O319">_xlfn.IFS(F319="","",F319&lt;=5,"0 to 5",F319&lt;=10,"5.1 to 10",F319&lt;=20,"10 to 20", F319&lt;= 40, "20 to 40", F319 &lt;= 50, "40 to 50", F319 &gt; 50, "&gt;50" )</f>
        <v>&gt;50</v>
      </c>
    </row>
    <row r="320" spans="1:15" ht="14.4" x14ac:dyDescent="0.3">
      <c r="A320" t="s">
        <v>114</v>
      </c>
      <c r="B320" s="1">
        <v>46174</v>
      </c>
      <c r="C320" t="s">
        <v>16</v>
      </c>
      <c r="D320">
        <v>309</v>
      </c>
      <c r="E320">
        <v>1</v>
      </c>
      <c r="F320">
        <v>2.9</v>
      </c>
      <c r="G320" t="s">
        <v>17</v>
      </c>
      <c r="I320" t="e">
        <f>D320&amp;"_"&amp;#REF!</f>
        <v>#REF!</v>
      </c>
      <c r="J320" t="s">
        <v>18</v>
      </c>
      <c r="K320" t="s">
        <v>115</v>
      </c>
      <c r="L320" t="str">
        <f>_xlfn.XLOOKUP(C320, Table2[Species],Table2[Genus], "Code Not Found")</f>
        <v>Acer</v>
      </c>
      <c r="M320" t="str">
        <f>_xlfn.XLOOKUP(C320, Table2[Species],Table2[Sp. Name], "Code Not Found")</f>
        <v>saccharum</v>
      </c>
      <c r="N320" t="str">
        <f>_xlfn.XLOOKUP(C320,Table2[Species],Table2[Family],"Code Not Found")</f>
        <v>Sapindaceae</v>
      </c>
      <c r="O320" t="str" cm="1">
        <f t="array" ref="O320">_xlfn.IFS(F320="","",F320&lt;=5,"0 to 5",F320&lt;=10,"5.1 to 10",F320&lt;=20,"10 to 20", F320&lt;= 40, "20 to 40", F320 &lt;= 50, "40 to 50", F320 &gt; 50, "&gt;50" )</f>
        <v>0 to 5</v>
      </c>
    </row>
    <row r="321" spans="1:15" ht="14.4" x14ac:dyDescent="0.3">
      <c r="A321" t="s">
        <v>114</v>
      </c>
      <c r="B321" s="1">
        <v>46174</v>
      </c>
      <c r="C321" t="s">
        <v>124</v>
      </c>
      <c r="D321">
        <v>310</v>
      </c>
      <c r="E321">
        <v>1</v>
      </c>
      <c r="F321">
        <v>2.4</v>
      </c>
      <c r="G321" t="s">
        <v>34</v>
      </c>
      <c r="H321" t="s">
        <v>125</v>
      </c>
      <c r="I321" t="str">
        <f t="shared" ref="I321:I384" si="6">D321&amp;"_"&amp;E321</f>
        <v>310_1</v>
      </c>
      <c r="J321" t="s">
        <v>18</v>
      </c>
      <c r="K321" t="s">
        <v>115</v>
      </c>
      <c r="L321" t="str">
        <f>_xlfn.XLOOKUP(C321, Table2[Species],Table2[Genus], "Code Not Found")</f>
        <v>Amelanchier</v>
      </c>
      <c r="M321" t="str">
        <f>_xlfn.XLOOKUP(C321, Table2[Species],Table2[Sp. Name], "Code Not Found")</f>
        <v>arborea</v>
      </c>
      <c r="N321" t="str">
        <f>_xlfn.XLOOKUP(C321,Table2[Species],Table2[Family],"Code Not Found")</f>
        <v>Rosaceae</v>
      </c>
      <c r="O321" t="str" cm="1">
        <f t="array" ref="O321">_xlfn.IFS(F321="","",F321&lt;=5,"0 to 5",F321&lt;=10,"5.1 to 10",F321&lt;=20,"10 to 20", F321&lt;= 40, "20 to 40", F321 &lt;= 50, "40 to 50", F321 &gt; 50, "&gt;50" )</f>
        <v>0 to 5</v>
      </c>
    </row>
    <row r="322" spans="1:15" ht="14.4" x14ac:dyDescent="0.3">
      <c r="A322" t="s">
        <v>114</v>
      </c>
      <c r="B322" s="1">
        <v>46174</v>
      </c>
      <c r="C322" t="s">
        <v>124</v>
      </c>
      <c r="D322">
        <v>310</v>
      </c>
      <c r="E322">
        <v>2</v>
      </c>
      <c r="F322">
        <v>1</v>
      </c>
      <c r="G322" t="s">
        <v>34</v>
      </c>
      <c r="H322" t="s">
        <v>125</v>
      </c>
      <c r="I322" t="str">
        <f t="shared" si="6"/>
        <v>310_2</v>
      </c>
      <c r="J322" t="s">
        <v>18</v>
      </c>
      <c r="K322" t="s">
        <v>115</v>
      </c>
      <c r="L322" t="str">
        <f>_xlfn.XLOOKUP(C322, Table2[Species],Table2[Genus], "Code Not Found")</f>
        <v>Amelanchier</v>
      </c>
      <c r="M322" t="str">
        <f>_xlfn.XLOOKUP(C322, Table2[Species],Table2[Sp. Name], "Code Not Found")</f>
        <v>arborea</v>
      </c>
      <c r="N322" t="str">
        <f>_xlfn.XLOOKUP(C322,Table2[Species],Table2[Family],"Code Not Found")</f>
        <v>Rosaceae</v>
      </c>
      <c r="O322" t="str" cm="1">
        <f t="array" ref="O322">_xlfn.IFS(F322="","",F322&lt;=5,"0 to 5",F322&lt;=10,"5.1 to 10",F322&lt;=20,"10 to 20", F322&lt;= 40, "20 to 40", F322 &lt;= 50, "40 to 50", F322 &gt; 50, "&gt;50" )</f>
        <v>0 to 5</v>
      </c>
    </row>
    <row r="323" spans="1:15" ht="14.4" x14ac:dyDescent="0.3">
      <c r="A323" t="s">
        <v>114</v>
      </c>
      <c r="B323" s="1">
        <v>46174</v>
      </c>
      <c r="C323" t="s">
        <v>124</v>
      </c>
      <c r="D323">
        <v>310</v>
      </c>
      <c r="E323">
        <v>3</v>
      </c>
      <c r="F323">
        <v>1.7</v>
      </c>
      <c r="G323" t="s">
        <v>93</v>
      </c>
      <c r="H323" t="s">
        <v>125</v>
      </c>
      <c r="I323" t="str">
        <f t="shared" si="6"/>
        <v>310_3</v>
      </c>
      <c r="J323" t="s">
        <v>18</v>
      </c>
      <c r="K323" t="s">
        <v>115</v>
      </c>
      <c r="L323" t="str">
        <f>_xlfn.XLOOKUP(C323, Table2[Species],Table2[Genus], "Code Not Found")</f>
        <v>Amelanchier</v>
      </c>
      <c r="M323" t="str">
        <f>_xlfn.XLOOKUP(C323, Table2[Species],Table2[Sp. Name], "Code Not Found")</f>
        <v>arborea</v>
      </c>
      <c r="N323" t="str">
        <f>_xlfn.XLOOKUP(C323,Table2[Species],Table2[Family],"Code Not Found")</f>
        <v>Rosaceae</v>
      </c>
      <c r="O323" t="str" cm="1">
        <f t="array" ref="O323">_xlfn.IFS(F323="","",F323&lt;=5,"0 to 5",F323&lt;=10,"5.1 to 10",F323&lt;=20,"10 to 20", F323&lt;= 40, "20 to 40", F323 &lt;= 50, "40 to 50", F323 &gt; 50, "&gt;50" )</f>
        <v>0 to 5</v>
      </c>
    </row>
    <row r="324" spans="1:15" ht="14.4" x14ac:dyDescent="0.3">
      <c r="A324" t="s">
        <v>114</v>
      </c>
      <c r="B324" s="1">
        <v>46174</v>
      </c>
      <c r="C324" t="s">
        <v>124</v>
      </c>
      <c r="D324">
        <v>310</v>
      </c>
      <c r="E324">
        <v>4</v>
      </c>
      <c r="F324">
        <v>1.5</v>
      </c>
      <c r="G324" t="s">
        <v>93</v>
      </c>
      <c r="H324" t="s">
        <v>125</v>
      </c>
      <c r="I324" t="str">
        <f t="shared" si="6"/>
        <v>310_4</v>
      </c>
      <c r="J324" t="s">
        <v>18</v>
      </c>
      <c r="K324" t="s">
        <v>115</v>
      </c>
      <c r="L324" t="str">
        <f>_xlfn.XLOOKUP(C324, Table2[Species],Table2[Genus], "Code Not Found")</f>
        <v>Amelanchier</v>
      </c>
      <c r="M324" t="str">
        <f>_xlfn.XLOOKUP(C324, Table2[Species],Table2[Sp. Name], "Code Not Found")</f>
        <v>arborea</v>
      </c>
      <c r="N324" t="str">
        <f>_xlfn.XLOOKUP(C324,Table2[Species],Table2[Family],"Code Not Found")</f>
        <v>Rosaceae</v>
      </c>
      <c r="O324" t="str" cm="1">
        <f t="array" ref="O324">_xlfn.IFS(F324="","",F324&lt;=5,"0 to 5",F324&lt;=10,"5.1 to 10",F324&lt;=20,"10 to 20", F324&lt;= 40, "20 to 40", F324 &lt;= 50, "40 to 50", F324 &gt; 50, "&gt;50" )</f>
        <v>0 to 5</v>
      </c>
    </row>
    <row r="325" spans="1:15" ht="14.4" x14ac:dyDescent="0.3">
      <c r="A325" t="s">
        <v>114</v>
      </c>
      <c r="B325" s="1">
        <v>46174</v>
      </c>
      <c r="C325" t="s">
        <v>124</v>
      </c>
      <c r="D325">
        <v>310</v>
      </c>
      <c r="E325">
        <v>5</v>
      </c>
      <c r="F325">
        <v>1.1000000000000001</v>
      </c>
      <c r="G325" t="s">
        <v>93</v>
      </c>
      <c r="H325" t="s">
        <v>126</v>
      </c>
      <c r="I325" t="str">
        <f t="shared" si="6"/>
        <v>310_5</v>
      </c>
      <c r="J325" t="s">
        <v>18</v>
      </c>
      <c r="K325" t="s">
        <v>115</v>
      </c>
      <c r="L325" t="str">
        <f>_xlfn.XLOOKUP(C325, Table2[Species],Table2[Genus], "Code Not Found")</f>
        <v>Amelanchier</v>
      </c>
      <c r="M325" t="str">
        <f>_xlfn.XLOOKUP(C325, Table2[Species],Table2[Sp. Name], "Code Not Found")</f>
        <v>arborea</v>
      </c>
      <c r="N325" t="str">
        <f>_xlfn.XLOOKUP(C325,Table2[Species],Table2[Family],"Code Not Found")</f>
        <v>Rosaceae</v>
      </c>
      <c r="O325" t="str" cm="1">
        <f t="array" ref="O325">_xlfn.IFS(F325="","",F325&lt;=5,"0 to 5",F325&lt;=10,"5.1 to 10",F325&lt;=20,"10 to 20", F325&lt;= 40, "20 to 40", F325 &lt;= 50, "40 to 50", F325 &gt; 50, "&gt;50" )</f>
        <v>0 to 5</v>
      </c>
    </row>
    <row r="326" spans="1:15" ht="14.4" x14ac:dyDescent="0.3">
      <c r="A326" t="s">
        <v>114</v>
      </c>
      <c r="B326" s="1">
        <v>46174</v>
      </c>
      <c r="C326" t="s">
        <v>22</v>
      </c>
      <c r="D326">
        <v>311</v>
      </c>
      <c r="E326">
        <v>1</v>
      </c>
      <c r="F326">
        <v>6</v>
      </c>
      <c r="G326" t="s">
        <v>21</v>
      </c>
      <c r="I326" t="str">
        <f t="shared" si="6"/>
        <v>311_1</v>
      </c>
      <c r="J326" t="s">
        <v>18</v>
      </c>
      <c r="K326" t="s">
        <v>115</v>
      </c>
      <c r="L326" t="str">
        <f>_xlfn.XLOOKUP(C326, Table2[Species],Table2[Genus], "Code Not Found")</f>
        <v>Acer</v>
      </c>
      <c r="M326" t="str">
        <f>_xlfn.XLOOKUP(C326, Table2[Species],Table2[Sp. Name], "Code Not Found")</f>
        <v>rubrum</v>
      </c>
      <c r="N326" t="str">
        <f>_xlfn.XLOOKUP(C326,Table2[Species],Table2[Family],"Code Not Found")</f>
        <v>Sapindaceae</v>
      </c>
      <c r="O326" t="str" cm="1">
        <f t="array" ref="O326">_xlfn.IFS(F326="","",F326&lt;=5,"0 to 5",F326&lt;=10,"5.1 to 10",F326&lt;=20,"10 to 20", F326&lt;= 40, "20 to 40", F326 &lt;= 50, "40 to 50", F326 &gt; 50, "&gt;50" )</f>
        <v>5.1 to 10</v>
      </c>
    </row>
    <row r="327" spans="1:15" ht="14.4" x14ac:dyDescent="0.3">
      <c r="A327" t="s">
        <v>114</v>
      </c>
      <c r="B327" s="1">
        <v>46174</v>
      </c>
      <c r="C327" t="s">
        <v>16</v>
      </c>
      <c r="D327">
        <v>312</v>
      </c>
      <c r="E327">
        <v>1</v>
      </c>
      <c r="F327">
        <v>2.4</v>
      </c>
      <c r="G327" t="s">
        <v>17</v>
      </c>
      <c r="I327" t="str">
        <f t="shared" si="6"/>
        <v>312_1</v>
      </c>
      <c r="J327" t="s">
        <v>18</v>
      </c>
      <c r="K327" t="s">
        <v>115</v>
      </c>
      <c r="L327" t="str">
        <f>_xlfn.XLOOKUP(C327, Table2[Species],Table2[Genus], "Code Not Found")</f>
        <v>Acer</v>
      </c>
      <c r="M327" t="str">
        <f>_xlfn.XLOOKUP(C327, Table2[Species],Table2[Sp. Name], "Code Not Found")</f>
        <v>saccharum</v>
      </c>
      <c r="N327" t="str">
        <f>_xlfn.XLOOKUP(C327,Table2[Species],Table2[Family],"Code Not Found")</f>
        <v>Sapindaceae</v>
      </c>
      <c r="O327" t="str" cm="1">
        <f t="array" ref="O327">_xlfn.IFS(F327="","",F327&lt;=5,"0 to 5",F327&lt;=10,"5.1 to 10",F327&lt;=20,"10 to 20", F327&lt;= 40, "20 to 40", F327 &lt;= 50, "40 to 50", F327 &gt; 50, "&gt;50" )</f>
        <v>0 to 5</v>
      </c>
    </row>
    <row r="328" spans="1:15" ht="14.4" x14ac:dyDescent="0.3">
      <c r="A328" t="s">
        <v>114</v>
      </c>
      <c r="B328" s="1">
        <v>46174</v>
      </c>
      <c r="C328" t="s">
        <v>16</v>
      </c>
      <c r="D328">
        <v>313</v>
      </c>
      <c r="E328">
        <v>1</v>
      </c>
      <c r="F328">
        <v>5</v>
      </c>
      <c r="G328" t="s">
        <v>94</v>
      </c>
      <c r="H328" t="s">
        <v>99</v>
      </c>
      <c r="I328" t="str">
        <f t="shared" si="6"/>
        <v>313_1</v>
      </c>
      <c r="J328" t="s">
        <v>18</v>
      </c>
      <c r="K328" t="s">
        <v>115</v>
      </c>
      <c r="L328" t="str">
        <f>_xlfn.XLOOKUP(C328, Table2[Species],Table2[Genus], "Code Not Found")</f>
        <v>Acer</v>
      </c>
      <c r="M328" t="str">
        <f>_xlfn.XLOOKUP(C328, Table2[Species],Table2[Sp. Name], "Code Not Found")</f>
        <v>saccharum</v>
      </c>
      <c r="N328" t="str">
        <f>_xlfn.XLOOKUP(C328,Table2[Species],Table2[Family],"Code Not Found")</f>
        <v>Sapindaceae</v>
      </c>
      <c r="O328" t="str" cm="1">
        <f t="array" ref="O328">_xlfn.IFS(F328="","",F328&lt;=5,"0 to 5",F328&lt;=10,"5.1 to 10",F328&lt;=20,"10 to 20", F328&lt;= 40, "20 to 40", F328 &lt;= 50, "40 to 50", F328 &gt; 50, "&gt;50" )</f>
        <v>0 to 5</v>
      </c>
    </row>
    <row r="329" spans="1:15" ht="14.4" x14ac:dyDescent="0.3">
      <c r="A329" t="s">
        <v>114</v>
      </c>
      <c r="B329" s="1">
        <v>46174</v>
      </c>
      <c r="C329" t="s">
        <v>117</v>
      </c>
      <c r="D329">
        <v>314</v>
      </c>
      <c r="E329">
        <v>1</v>
      </c>
      <c r="F329">
        <v>15.5</v>
      </c>
      <c r="G329" t="s">
        <v>17</v>
      </c>
      <c r="I329" t="str">
        <f t="shared" si="6"/>
        <v>314_1</v>
      </c>
      <c r="J329" t="s">
        <v>18</v>
      </c>
      <c r="K329" t="s">
        <v>115</v>
      </c>
      <c r="L329" t="str">
        <f>_xlfn.XLOOKUP(C329, Table2[Species],Table2[Genus], "Code Not Found")</f>
        <v>Ostrya</v>
      </c>
      <c r="M329" t="str">
        <f>_xlfn.XLOOKUP(C329, Table2[Species],Table2[Sp. Name], "Code Not Found")</f>
        <v>viginiana</v>
      </c>
      <c r="N329" t="str">
        <f>_xlfn.XLOOKUP(C329,Table2[Species],Table2[Family],"Code Not Found")</f>
        <v>Betulaceae</v>
      </c>
      <c r="O329" t="str" cm="1">
        <f t="array" ref="O329">_xlfn.IFS(F329="","",F329&lt;=5,"0 to 5",F329&lt;=10,"5.1 to 10",F329&lt;=20,"10 to 20", F329&lt;= 40, "20 to 40", F329 &lt;= 50, "40 to 50", F329 &gt; 50, "&gt;50" )</f>
        <v>10 to 20</v>
      </c>
    </row>
    <row r="330" spans="1:15" ht="14.4" x14ac:dyDescent="0.3">
      <c r="A330" t="s">
        <v>114</v>
      </c>
      <c r="B330" s="1">
        <v>46174</v>
      </c>
      <c r="C330" t="s">
        <v>123</v>
      </c>
      <c r="D330">
        <v>315</v>
      </c>
      <c r="E330">
        <v>1</v>
      </c>
      <c r="F330">
        <v>55.6</v>
      </c>
      <c r="G330" t="s">
        <v>17</v>
      </c>
      <c r="I330" t="str">
        <f t="shared" si="6"/>
        <v>315_1</v>
      </c>
      <c r="J330" t="s">
        <v>18</v>
      </c>
      <c r="K330" t="s">
        <v>115</v>
      </c>
      <c r="L330" t="str">
        <f>_xlfn.XLOOKUP(C330, Table2[Species],Table2[Genus], "Code Not Found")</f>
        <v>Quercus</v>
      </c>
      <c r="M330" t="str">
        <f>_xlfn.XLOOKUP(C330, Table2[Species],Table2[Sp. Name], "Code Not Found")</f>
        <v>rubra</v>
      </c>
      <c r="N330" t="str">
        <f>_xlfn.XLOOKUP(C330,Table2[Species],Table2[Family],"Code Not Found")</f>
        <v>Fagaceae</v>
      </c>
      <c r="O330" t="str" cm="1">
        <f t="array" ref="O330">_xlfn.IFS(F330="","",F330&lt;=5,"0 to 5",F330&lt;=10,"5.1 to 10",F330&lt;=20,"10 to 20", F330&lt;= 40, "20 to 40", F330 &lt;= 50, "40 to 50", F330 &gt; 50, "&gt;50" )</f>
        <v>&gt;50</v>
      </c>
    </row>
    <row r="331" spans="1:15" ht="14.4" x14ac:dyDescent="0.3">
      <c r="A331" t="s">
        <v>114</v>
      </c>
      <c r="B331" s="1">
        <v>46174</v>
      </c>
      <c r="C331" t="s">
        <v>22</v>
      </c>
      <c r="D331">
        <v>316</v>
      </c>
      <c r="E331">
        <v>1</v>
      </c>
      <c r="F331">
        <v>9.8000000000000007</v>
      </c>
      <c r="G331" t="s">
        <v>21</v>
      </c>
      <c r="I331" t="str">
        <f t="shared" si="6"/>
        <v>316_1</v>
      </c>
      <c r="J331" t="s">
        <v>18</v>
      </c>
      <c r="K331" t="s">
        <v>115</v>
      </c>
      <c r="L331" t="str">
        <f>_xlfn.XLOOKUP(C331, Table2[Species],Table2[Genus], "Code Not Found")</f>
        <v>Acer</v>
      </c>
      <c r="M331" t="str">
        <f>_xlfn.XLOOKUP(C331, Table2[Species],Table2[Sp. Name], "Code Not Found")</f>
        <v>rubrum</v>
      </c>
      <c r="N331" t="str">
        <f>_xlfn.XLOOKUP(C331,Table2[Species],Table2[Family],"Code Not Found")</f>
        <v>Sapindaceae</v>
      </c>
      <c r="O331" t="str" cm="1">
        <f t="array" ref="O331">_xlfn.IFS(F331="","",F331&lt;=5,"0 to 5",F331&lt;=10,"5.1 to 10",F331&lt;=20,"10 to 20", F331&lt;= 40, "20 to 40", F331 &lt;= 50, "40 to 50", F331 &gt; 50, "&gt;50" )</f>
        <v>5.1 to 10</v>
      </c>
    </row>
    <row r="332" spans="1:15" ht="14.4" x14ac:dyDescent="0.3">
      <c r="A332" t="s">
        <v>114</v>
      </c>
      <c r="B332" s="1">
        <v>46174</v>
      </c>
      <c r="C332" t="s">
        <v>124</v>
      </c>
      <c r="D332">
        <v>317</v>
      </c>
      <c r="E332">
        <v>1</v>
      </c>
      <c r="F332">
        <v>9.1999999999999993</v>
      </c>
      <c r="G332" t="s">
        <v>17</v>
      </c>
      <c r="I332" t="str">
        <f t="shared" si="6"/>
        <v>317_1</v>
      </c>
      <c r="J332" t="s">
        <v>18</v>
      </c>
      <c r="K332" t="s">
        <v>115</v>
      </c>
      <c r="L332" t="str">
        <f>_xlfn.XLOOKUP(C332, Table2[Species],Table2[Genus], "Code Not Found")</f>
        <v>Amelanchier</v>
      </c>
      <c r="M332" t="str">
        <f>_xlfn.XLOOKUP(C332, Table2[Species],Table2[Sp. Name], "Code Not Found")</f>
        <v>arborea</v>
      </c>
      <c r="N332" t="str">
        <f>_xlfn.XLOOKUP(C332,Table2[Species],Table2[Family],"Code Not Found")</f>
        <v>Rosaceae</v>
      </c>
      <c r="O332" t="str" cm="1">
        <f t="array" ref="O332">_xlfn.IFS(F332="","",F332&lt;=5,"0 to 5",F332&lt;=10,"5.1 to 10",F332&lt;=20,"10 to 20", F332&lt;= 40, "20 to 40", F332 &lt;= 50, "40 to 50", F332 &gt; 50, "&gt;50" )</f>
        <v>5.1 to 10</v>
      </c>
    </row>
    <row r="333" spans="1:15" ht="14.4" x14ac:dyDescent="0.3">
      <c r="A333" t="s">
        <v>114</v>
      </c>
      <c r="B333" s="1">
        <v>46174</v>
      </c>
      <c r="C333" t="s">
        <v>22</v>
      </c>
      <c r="D333">
        <v>318</v>
      </c>
      <c r="E333">
        <v>1</v>
      </c>
      <c r="F333">
        <v>8.9</v>
      </c>
      <c r="G333" t="s">
        <v>17</v>
      </c>
      <c r="I333" t="str">
        <f t="shared" si="6"/>
        <v>318_1</v>
      </c>
      <c r="J333" t="s">
        <v>18</v>
      </c>
      <c r="K333" t="s">
        <v>115</v>
      </c>
      <c r="L333" t="str">
        <f>_xlfn.XLOOKUP(C333, Table2[Species],Table2[Genus], "Code Not Found")</f>
        <v>Acer</v>
      </c>
      <c r="M333" t="str">
        <f>_xlfn.XLOOKUP(C333, Table2[Species],Table2[Sp. Name], "Code Not Found")</f>
        <v>rubrum</v>
      </c>
      <c r="N333" t="str">
        <f>_xlfn.XLOOKUP(C333,Table2[Species],Table2[Family],"Code Not Found")</f>
        <v>Sapindaceae</v>
      </c>
      <c r="O333" t="str" cm="1">
        <f t="array" ref="O333">_xlfn.IFS(F333="","",F333&lt;=5,"0 to 5",F333&lt;=10,"5.1 to 10",F333&lt;=20,"10 to 20", F333&lt;= 40, "20 to 40", F333 &lt;= 50, "40 to 50", F333 &gt; 50, "&gt;50" )</f>
        <v>5.1 to 10</v>
      </c>
    </row>
    <row r="334" spans="1:15" ht="14.4" x14ac:dyDescent="0.3">
      <c r="A334" t="s">
        <v>114</v>
      </c>
      <c r="B334" s="1">
        <v>46174</v>
      </c>
      <c r="C334" t="s">
        <v>16</v>
      </c>
      <c r="D334">
        <v>319</v>
      </c>
      <c r="E334">
        <v>1</v>
      </c>
      <c r="F334">
        <v>4.2</v>
      </c>
      <c r="G334" t="s">
        <v>17</v>
      </c>
      <c r="H334" t="s">
        <v>36</v>
      </c>
      <c r="I334" t="str">
        <f t="shared" si="6"/>
        <v>319_1</v>
      </c>
      <c r="J334" t="s">
        <v>18</v>
      </c>
      <c r="K334" t="s">
        <v>115</v>
      </c>
      <c r="L334" t="str">
        <f>_xlfn.XLOOKUP(C334, Table2[Species],Table2[Genus], "Code Not Found")</f>
        <v>Acer</v>
      </c>
      <c r="M334" t="str">
        <f>_xlfn.XLOOKUP(C334, Table2[Species],Table2[Sp. Name], "Code Not Found")</f>
        <v>saccharum</v>
      </c>
      <c r="N334" t="str">
        <f>_xlfn.XLOOKUP(C334,Table2[Species],Table2[Family],"Code Not Found")</f>
        <v>Sapindaceae</v>
      </c>
      <c r="O334" t="str" cm="1">
        <f t="array" ref="O334">_xlfn.IFS(F334="","",F334&lt;=5,"0 to 5",F334&lt;=10,"5.1 to 10",F334&lt;=20,"10 to 20", F334&lt;= 40, "20 to 40", F334 &lt;= 50, "40 to 50", F334 &gt; 50, "&gt;50" )</f>
        <v>0 to 5</v>
      </c>
    </row>
    <row r="335" spans="1:15" ht="14.4" x14ac:dyDescent="0.3">
      <c r="A335" t="s">
        <v>114</v>
      </c>
      <c r="B335" s="1">
        <v>46174</v>
      </c>
      <c r="C335" t="s">
        <v>22</v>
      </c>
      <c r="D335">
        <v>320</v>
      </c>
      <c r="E335">
        <v>1</v>
      </c>
      <c r="F335">
        <v>15.4</v>
      </c>
      <c r="G335" t="s">
        <v>69</v>
      </c>
      <c r="H335" t="s">
        <v>36</v>
      </c>
      <c r="I335" t="str">
        <f t="shared" si="6"/>
        <v>320_1</v>
      </c>
      <c r="J335" t="s">
        <v>18</v>
      </c>
      <c r="K335" t="s">
        <v>115</v>
      </c>
      <c r="L335" t="str">
        <f>_xlfn.XLOOKUP(C335, Table2[Species],Table2[Genus], "Code Not Found")</f>
        <v>Acer</v>
      </c>
      <c r="M335" t="str">
        <f>_xlfn.XLOOKUP(C335, Table2[Species],Table2[Sp. Name], "Code Not Found")</f>
        <v>rubrum</v>
      </c>
      <c r="N335" t="str">
        <f>_xlfn.XLOOKUP(C335,Table2[Species],Table2[Family],"Code Not Found")</f>
        <v>Sapindaceae</v>
      </c>
      <c r="O335" t="str" cm="1">
        <f t="array" ref="O335">_xlfn.IFS(F335="","",F335&lt;=5,"0 to 5",F335&lt;=10,"5.1 to 10",F335&lt;=20,"10 to 20", F335&lt;= 40, "20 to 40", F335 &lt;= 50, "40 to 50", F335 &gt; 50, "&gt;50" )</f>
        <v>10 to 20</v>
      </c>
    </row>
    <row r="336" spans="1:15" ht="14.4" x14ac:dyDescent="0.3">
      <c r="A336" t="s">
        <v>114</v>
      </c>
      <c r="B336" s="1">
        <v>46174</v>
      </c>
      <c r="C336" t="s">
        <v>22</v>
      </c>
      <c r="D336">
        <v>321</v>
      </c>
      <c r="E336">
        <v>1</v>
      </c>
      <c r="F336">
        <v>13.9</v>
      </c>
      <c r="G336" t="s">
        <v>17</v>
      </c>
      <c r="H336" t="s">
        <v>36</v>
      </c>
      <c r="I336" t="str">
        <f t="shared" si="6"/>
        <v>321_1</v>
      </c>
      <c r="J336" t="s">
        <v>18</v>
      </c>
      <c r="K336" t="s">
        <v>115</v>
      </c>
      <c r="L336" t="str">
        <f>_xlfn.XLOOKUP(C336, Table2[Species],Table2[Genus], "Code Not Found")</f>
        <v>Acer</v>
      </c>
      <c r="M336" t="str">
        <f>_xlfn.XLOOKUP(C336, Table2[Species],Table2[Sp. Name], "Code Not Found")</f>
        <v>rubrum</v>
      </c>
      <c r="N336" t="str">
        <f>_xlfn.XLOOKUP(C336,Table2[Species],Table2[Family],"Code Not Found")</f>
        <v>Sapindaceae</v>
      </c>
      <c r="O336" t="str" cm="1">
        <f t="array" ref="O336">_xlfn.IFS(F336="","",F336&lt;=5,"0 to 5",F336&lt;=10,"5.1 to 10",F336&lt;=20,"10 to 20", F336&lt;= 40, "20 to 40", F336 &lt;= 50, "40 to 50", F336 &gt; 50, "&gt;50" )</f>
        <v>10 to 20</v>
      </c>
    </row>
    <row r="337" spans="1:15" ht="14.4" x14ac:dyDescent="0.3">
      <c r="A337" t="s">
        <v>114</v>
      </c>
      <c r="B337" s="1">
        <v>46174</v>
      </c>
      <c r="C337" t="s">
        <v>22</v>
      </c>
      <c r="D337">
        <v>322</v>
      </c>
      <c r="E337">
        <v>1</v>
      </c>
      <c r="F337">
        <v>24.8</v>
      </c>
      <c r="G337" t="s">
        <v>17</v>
      </c>
      <c r="H337" t="s">
        <v>36</v>
      </c>
      <c r="I337" t="str">
        <f t="shared" si="6"/>
        <v>322_1</v>
      </c>
      <c r="J337" t="s">
        <v>18</v>
      </c>
      <c r="K337" t="s">
        <v>115</v>
      </c>
      <c r="L337" t="str">
        <f>_xlfn.XLOOKUP(C337, Table2[Species],Table2[Genus], "Code Not Found")</f>
        <v>Acer</v>
      </c>
      <c r="M337" t="str">
        <f>_xlfn.XLOOKUP(C337, Table2[Species],Table2[Sp. Name], "Code Not Found")</f>
        <v>rubrum</v>
      </c>
      <c r="N337" t="str">
        <f>_xlfn.XLOOKUP(C337,Table2[Species],Table2[Family],"Code Not Found")</f>
        <v>Sapindaceae</v>
      </c>
      <c r="O337" t="str" cm="1">
        <f t="array" ref="O337">_xlfn.IFS(F337="","",F337&lt;=5,"0 to 5",F337&lt;=10,"5.1 to 10",F337&lt;=20,"10 to 20", F337&lt;= 40, "20 to 40", F337 &lt;= 50, "40 to 50", F337 &gt; 50, "&gt;50" )</f>
        <v>20 to 40</v>
      </c>
    </row>
    <row r="338" spans="1:15" ht="14.4" x14ac:dyDescent="0.3">
      <c r="A338" t="s">
        <v>114</v>
      </c>
      <c r="B338" s="1">
        <v>46174</v>
      </c>
      <c r="C338" t="s">
        <v>16</v>
      </c>
      <c r="D338">
        <v>323</v>
      </c>
      <c r="E338">
        <v>1</v>
      </c>
      <c r="F338">
        <v>8.5</v>
      </c>
      <c r="G338" t="s">
        <v>17</v>
      </c>
      <c r="I338" t="str">
        <f t="shared" si="6"/>
        <v>323_1</v>
      </c>
      <c r="J338" t="s">
        <v>18</v>
      </c>
      <c r="K338" t="s">
        <v>115</v>
      </c>
      <c r="L338" t="str">
        <f>_xlfn.XLOOKUP(C338, Table2[Species],Table2[Genus], "Code Not Found")</f>
        <v>Acer</v>
      </c>
      <c r="M338" t="str">
        <f>_xlfn.XLOOKUP(C338, Table2[Species],Table2[Sp. Name], "Code Not Found")</f>
        <v>saccharum</v>
      </c>
      <c r="N338" t="str">
        <f>_xlfn.XLOOKUP(C338,Table2[Species],Table2[Family],"Code Not Found")</f>
        <v>Sapindaceae</v>
      </c>
      <c r="O338" t="str" cm="1">
        <f t="array" ref="O338">_xlfn.IFS(F338="","",F338&lt;=5,"0 to 5",F338&lt;=10,"5.1 to 10",F338&lt;=20,"10 to 20", F338&lt;= 40, "20 to 40", F338 &lt;= 50, "40 to 50", F338 &gt; 50, "&gt;50" )</f>
        <v>5.1 to 10</v>
      </c>
    </row>
    <row r="339" spans="1:15" ht="14.4" x14ac:dyDescent="0.3">
      <c r="A339" t="s">
        <v>114</v>
      </c>
      <c r="B339" s="1">
        <v>46174</v>
      </c>
      <c r="C339" t="s">
        <v>22</v>
      </c>
      <c r="D339">
        <v>324</v>
      </c>
      <c r="E339">
        <v>1</v>
      </c>
      <c r="F339">
        <v>5.7</v>
      </c>
      <c r="G339" t="s">
        <v>17</v>
      </c>
      <c r="I339" t="str">
        <f t="shared" si="6"/>
        <v>324_1</v>
      </c>
      <c r="J339" t="s">
        <v>18</v>
      </c>
      <c r="K339" t="s">
        <v>115</v>
      </c>
      <c r="L339" t="str">
        <f>_xlfn.XLOOKUP(C339, Table2[Species],Table2[Genus], "Code Not Found")</f>
        <v>Acer</v>
      </c>
      <c r="M339" t="str">
        <f>_xlfn.XLOOKUP(C339, Table2[Species],Table2[Sp. Name], "Code Not Found")</f>
        <v>rubrum</v>
      </c>
      <c r="N339" t="str">
        <f>_xlfn.XLOOKUP(C339,Table2[Species],Table2[Family],"Code Not Found")</f>
        <v>Sapindaceae</v>
      </c>
      <c r="O339" t="str" cm="1">
        <f t="array" ref="O339">_xlfn.IFS(F339="","",F339&lt;=5,"0 to 5",F339&lt;=10,"5.1 to 10",F339&lt;=20,"10 to 20", F339&lt;= 40, "20 to 40", F339 &lt;= 50, "40 to 50", F339 &gt; 50, "&gt;50" )</f>
        <v>5.1 to 10</v>
      </c>
    </row>
    <row r="340" spans="1:15" ht="14.4" x14ac:dyDescent="0.3">
      <c r="A340" t="s">
        <v>114</v>
      </c>
      <c r="B340" s="1">
        <v>46174</v>
      </c>
      <c r="C340" t="s">
        <v>127</v>
      </c>
      <c r="D340">
        <v>325</v>
      </c>
      <c r="E340">
        <v>1</v>
      </c>
      <c r="F340">
        <v>8.5</v>
      </c>
      <c r="G340" t="s">
        <v>21</v>
      </c>
      <c r="H340" t="s">
        <v>128</v>
      </c>
      <c r="I340" t="str">
        <f t="shared" si="6"/>
        <v>325_1</v>
      </c>
      <c r="J340" t="s">
        <v>18</v>
      </c>
      <c r="K340" t="s">
        <v>115</v>
      </c>
      <c r="L340" t="str">
        <f>_xlfn.XLOOKUP(C340, Table2[Species],Table2[Genus], "Code Not Found")</f>
        <v>Cornus</v>
      </c>
      <c r="M340" t="str">
        <f>_xlfn.XLOOKUP(C340, Table2[Species],Table2[Sp. Name], "Code Not Found")</f>
        <v>florida</v>
      </c>
      <c r="N340" t="str">
        <f>_xlfn.XLOOKUP(C340,Table2[Species],Table2[Family],"Code Not Found")</f>
        <v>Cornaceae</v>
      </c>
      <c r="O340" t="str" cm="1">
        <f t="array" ref="O340">_xlfn.IFS(F340="","",F340&lt;=5,"0 to 5",F340&lt;=10,"5.1 to 10",F340&lt;=20,"10 to 20", F340&lt;= 40, "20 to 40", F340 &lt;= 50, "40 to 50", F340 &gt; 50, "&gt;50" )</f>
        <v>5.1 to 10</v>
      </c>
    </row>
    <row r="341" spans="1:15" ht="14.4" x14ac:dyDescent="0.3">
      <c r="A341" t="s">
        <v>114</v>
      </c>
      <c r="B341" s="1">
        <v>46174</v>
      </c>
      <c r="C341" t="s">
        <v>129</v>
      </c>
      <c r="D341">
        <v>326</v>
      </c>
      <c r="E341">
        <v>1</v>
      </c>
      <c r="F341">
        <v>21.9</v>
      </c>
      <c r="G341" t="s">
        <v>21</v>
      </c>
      <c r="I341" t="str">
        <f t="shared" si="6"/>
        <v>326_1</v>
      </c>
      <c r="J341" t="s">
        <v>18</v>
      </c>
      <c r="K341" t="s">
        <v>115</v>
      </c>
      <c r="L341" t="str">
        <f>_xlfn.XLOOKUP(C341, Table2[Species],Table2[Genus], "Code Not Found")</f>
        <v>Quercus</v>
      </c>
      <c r="M341" t="str">
        <f>_xlfn.XLOOKUP(C341, Table2[Species],Table2[Sp. Name], "Code Not Found")</f>
        <v>alba</v>
      </c>
      <c r="N341" t="str">
        <f>_xlfn.XLOOKUP(C341,Table2[Species],Table2[Family],"Code Not Found")</f>
        <v>Fagaceae</v>
      </c>
      <c r="O341" t="str" cm="1">
        <f t="array" ref="O341">_xlfn.IFS(F341="","",F341&lt;=5,"0 to 5",F341&lt;=10,"5.1 to 10",F341&lt;=20,"10 to 20", F341&lt;= 40, "20 to 40", F341 &lt;= 50, "40 to 50", F341 &gt; 50, "&gt;50" )</f>
        <v>20 to 40</v>
      </c>
    </row>
    <row r="342" spans="1:15" ht="14.4" x14ac:dyDescent="0.3">
      <c r="A342" t="s">
        <v>114</v>
      </c>
      <c r="B342" s="1">
        <v>46174</v>
      </c>
      <c r="C342" t="s">
        <v>22</v>
      </c>
      <c r="D342">
        <v>327</v>
      </c>
      <c r="E342">
        <v>1</v>
      </c>
      <c r="F342">
        <v>5.0999999999999996</v>
      </c>
      <c r="G342" t="s">
        <v>17</v>
      </c>
      <c r="I342" t="str">
        <f t="shared" si="6"/>
        <v>327_1</v>
      </c>
      <c r="J342" t="s">
        <v>18</v>
      </c>
      <c r="K342" t="s">
        <v>115</v>
      </c>
      <c r="L342" t="str">
        <f>_xlfn.XLOOKUP(C342, Table2[Species],Table2[Genus], "Code Not Found")</f>
        <v>Acer</v>
      </c>
      <c r="M342" t="str">
        <f>_xlfn.XLOOKUP(C342, Table2[Species],Table2[Sp. Name], "Code Not Found")</f>
        <v>rubrum</v>
      </c>
      <c r="N342" t="str">
        <f>_xlfn.XLOOKUP(C342,Table2[Species],Table2[Family],"Code Not Found")</f>
        <v>Sapindaceae</v>
      </c>
      <c r="O342" t="str" cm="1">
        <f t="array" ref="O342">_xlfn.IFS(F342="","",F342&lt;=5,"0 to 5",F342&lt;=10,"5.1 to 10",F342&lt;=20,"10 to 20", F342&lt;= 40, "20 to 40", F342 &lt;= 50, "40 to 50", F342 &gt; 50, "&gt;50" )</f>
        <v>5.1 to 10</v>
      </c>
    </row>
    <row r="343" spans="1:15" ht="14.4" x14ac:dyDescent="0.3">
      <c r="A343" t="s">
        <v>114</v>
      </c>
      <c r="B343" s="1">
        <v>46174</v>
      </c>
      <c r="C343" t="s">
        <v>123</v>
      </c>
      <c r="D343">
        <v>328</v>
      </c>
      <c r="E343">
        <v>1</v>
      </c>
      <c r="F343">
        <v>53.1</v>
      </c>
      <c r="G343" t="s">
        <v>17</v>
      </c>
      <c r="I343" t="str">
        <f t="shared" si="6"/>
        <v>328_1</v>
      </c>
      <c r="J343" t="s">
        <v>18</v>
      </c>
      <c r="K343" t="s">
        <v>115</v>
      </c>
      <c r="L343" t="str">
        <f>_xlfn.XLOOKUP(C343, Table2[Species],Table2[Genus], "Code Not Found")</f>
        <v>Quercus</v>
      </c>
      <c r="M343" t="str">
        <f>_xlfn.XLOOKUP(C343, Table2[Species],Table2[Sp. Name], "Code Not Found")</f>
        <v>rubra</v>
      </c>
      <c r="N343" t="str">
        <f>_xlfn.XLOOKUP(C343,Table2[Species],Table2[Family],"Code Not Found")</f>
        <v>Fagaceae</v>
      </c>
      <c r="O343" t="str" cm="1">
        <f t="array" ref="O343">_xlfn.IFS(F343="","",F343&lt;=5,"0 to 5",F343&lt;=10,"5.1 to 10",F343&lt;=20,"10 to 20", F343&lt;= 40, "20 to 40", F343 &lt;= 50, "40 to 50", F343 &gt; 50, "&gt;50" )</f>
        <v>&gt;50</v>
      </c>
    </row>
    <row r="344" spans="1:15" ht="14.4" x14ac:dyDescent="0.3">
      <c r="A344" t="s">
        <v>114</v>
      </c>
      <c r="B344" s="1">
        <v>46174</v>
      </c>
      <c r="C344" t="s">
        <v>22</v>
      </c>
      <c r="D344">
        <v>329</v>
      </c>
      <c r="E344">
        <v>1</v>
      </c>
      <c r="F344">
        <v>5</v>
      </c>
      <c r="G344" t="s">
        <v>94</v>
      </c>
      <c r="H344" t="s">
        <v>130</v>
      </c>
      <c r="I344" t="str">
        <f t="shared" si="6"/>
        <v>329_1</v>
      </c>
      <c r="J344" t="s">
        <v>18</v>
      </c>
      <c r="K344" t="s">
        <v>115</v>
      </c>
      <c r="L344" t="str">
        <f>_xlfn.XLOOKUP(C344, Table2[Species],Table2[Genus], "Code Not Found")</f>
        <v>Acer</v>
      </c>
      <c r="M344" t="str">
        <f>_xlfn.XLOOKUP(C344, Table2[Species],Table2[Sp. Name], "Code Not Found")</f>
        <v>rubrum</v>
      </c>
      <c r="N344" t="str">
        <f>_xlfn.XLOOKUP(C344,Table2[Species],Table2[Family],"Code Not Found")</f>
        <v>Sapindaceae</v>
      </c>
      <c r="O344" t="str" cm="1">
        <f t="array" ref="O344">_xlfn.IFS(F344="","",F344&lt;=5,"0 to 5",F344&lt;=10,"5.1 to 10",F344&lt;=20,"10 to 20", F344&lt;= 40, "20 to 40", F344 &lt;= 50, "40 to 50", F344 &gt; 50, "&gt;50" )</f>
        <v>0 to 5</v>
      </c>
    </row>
    <row r="345" spans="1:15" ht="14.4" x14ac:dyDescent="0.3">
      <c r="A345" t="s">
        <v>114</v>
      </c>
      <c r="B345" s="1">
        <v>46174</v>
      </c>
      <c r="C345" t="s">
        <v>64</v>
      </c>
      <c r="D345">
        <v>330</v>
      </c>
      <c r="E345">
        <v>1</v>
      </c>
      <c r="F345">
        <v>5.3</v>
      </c>
      <c r="G345" t="s">
        <v>21</v>
      </c>
      <c r="I345" t="str">
        <f t="shared" si="6"/>
        <v>330_1</v>
      </c>
      <c r="J345" t="s">
        <v>18</v>
      </c>
      <c r="K345" t="s">
        <v>115</v>
      </c>
      <c r="L345" t="str">
        <f>_xlfn.XLOOKUP(C345, Table2[Species],Table2[Genus], "Code Not Found")</f>
        <v>Fagus</v>
      </c>
      <c r="M345" t="str">
        <f>_xlfn.XLOOKUP(C345, Table2[Species],Table2[Sp. Name], "Code Not Found")</f>
        <v>grandifolia</v>
      </c>
      <c r="N345" t="str">
        <f>_xlfn.XLOOKUP(C345,Table2[Species],Table2[Family],"Code Not Found")</f>
        <v>Fagaceae</v>
      </c>
      <c r="O345" t="str" cm="1">
        <f t="array" ref="O345">_xlfn.IFS(F345="","",F345&lt;=5,"0 to 5",F345&lt;=10,"5.1 to 10",F345&lt;=20,"10 to 20", F345&lt;= 40, "20 to 40", F345 &lt;= 50, "40 to 50", F345 &gt; 50, "&gt;50" )</f>
        <v>5.1 to 10</v>
      </c>
    </row>
    <row r="346" spans="1:15" ht="14.4" x14ac:dyDescent="0.3">
      <c r="A346" t="s">
        <v>114</v>
      </c>
      <c r="B346" s="1">
        <v>46174</v>
      </c>
      <c r="C346" t="s">
        <v>22</v>
      </c>
      <c r="D346">
        <v>331</v>
      </c>
      <c r="E346">
        <v>1</v>
      </c>
      <c r="F346">
        <v>11</v>
      </c>
      <c r="G346" t="s">
        <v>21</v>
      </c>
      <c r="I346" t="str">
        <f t="shared" si="6"/>
        <v>331_1</v>
      </c>
      <c r="J346" t="s">
        <v>18</v>
      </c>
      <c r="K346" t="s">
        <v>115</v>
      </c>
      <c r="L346" t="str">
        <f>_xlfn.XLOOKUP(C346, Table2[Species],Table2[Genus], "Code Not Found")</f>
        <v>Acer</v>
      </c>
      <c r="M346" t="str">
        <f>_xlfn.XLOOKUP(C346, Table2[Species],Table2[Sp. Name], "Code Not Found")</f>
        <v>rubrum</v>
      </c>
      <c r="N346" t="str">
        <f>_xlfn.XLOOKUP(C346,Table2[Species],Table2[Family],"Code Not Found")</f>
        <v>Sapindaceae</v>
      </c>
      <c r="O346" t="str" cm="1">
        <f t="array" ref="O346">_xlfn.IFS(F346="","",F346&lt;=5,"0 to 5",F346&lt;=10,"5.1 to 10",F346&lt;=20,"10 to 20", F346&lt;= 40, "20 to 40", F346 &lt;= 50, "40 to 50", F346 &gt; 50, "&gt;50" )</f>
        <v>10 to 20</v>
      </c>
    </row>
    <row r="347" spans="1:15" ht="14.4" x14ac:dyDescent="0.3">
      <c r="A347" t="s">
        <v>114</v>
      </c>
      <c r="B347" s="1">
        <v>46174</v>
      </c>
      <c r="C347" t="s">
        <v>22</v>
      </c>
      <c r="D347">
        <v>332</v>
      </c>
      <c r="E347">
        <v>1</v>
      </c>
      <c r="F347">
        <v>5.3</v>
      </c>
      <c r="G347" t="s">
        <v>17</v>
      </c>
      <c r="I347" t="str">
        <f t="shared" si="6"/>
        <v>332_1</v>
      </c>
      <c r="J347" t="s">
        <v>18</v>
      </c>
      <c r="K347" t="s">
        <v>115</v>
      </c>
      <c r="L347" t="str">
        <f>_xlfn.XLOOKUP(C347, Table2[Species],Table2[Genus], "Code Not Found")</f>
        <v>Acer</v>
      </c>
      <c r="M347" t="str">
        <f>_xlfn.XLOOKUP(C347, Table2[Species],Table2[Sp. Name], "Code Not Found")</f>
        <v>rubrum</v>
      </c>
      <c r="N347" t="str">
        <f>_xlfn.XLOOKUP(C347,Table2[Species],Table2[Family],"Code Not Found")</f>
        <v>Sapindaceae</v>
      </c>
      <c r="O347" t="str" cm="1">
        <f t="array" ref="O347">_xlfn.IFS(F347="","",F347&lt;=5,"0 to 5",F347&lt;=10,"5.1 to 10",F347&lt;=20,"10 to 20", F347&lt;= 40, "20 to 40", F347 &lt;= 50, "40 to 50", F347 &gt; 50, "&gt;50" )</f>
        <v>5.1 to 10</v>
      </c>
    </row>
    <row r="348" spans="1:15" ht="14.4" x14ac:dyDescent="0.3">
      <c r="A348" t="s">
        <v>114</v>
      </c>
      <c r="B348" s="1">
        <v>46174</v>
      </c>
      <c r="C348" t="s">
        <v>22</v>
      </c>
      <c r="D348">
        <v>333</v>
      </c>
      <c r="E348">
        <v>1</v>
      </c>
      <c r="F348">
        <v>15</v>
      </c>
      <c r="G348" t="s">
        <v>21</v>
      </c>
      <c r="I348" t="str">
        <f t="shared" si="6"/>
        <v>333_1</v>
      </c>
      <c r="J348" t="s">
        <v>18</v>
      </c>
      <c r="K348" t="s">
        <v>115</v>
      </c>
      <c r="L348" t="str">
        <f>_xlfn.XLOOKUP(C348, Table2[Species],Table2[Genus], "Code Not Found")</f>
        <v>Acer</v>
      </c>
      <c r="M348" t="str">
        <f>_xlfn.XLOOKUP(C348, Table2[Species],Table2[Sp. Name], "Code Not Found")</f>
        <v>rubrum</v>
      </c>
      <c r="N348" t="str">
        <f>_xlfn.XLOOKUP(C348,Table2[Species],Table2[Family],"Code Not Found")</f>
        <v>Sapindaceae</v>
      </c>
      <c r="O348" t="str" cm="1">
        <f t="array" ref="O348">_xlfn.IFS(F348="","",F348&lt;=5,"0 to 5",F348&lt;=10,"5.1 to 10",F348&lt;=20,"10 to 20", F348&lt;= 40, "20 to 40", F348 &lt;= 50, "40 to 50", F348 &gt; 50, "&gt;50" )</f>
        <v>10 to 20</v>
      </c>
    </row>
    <row r="349" spans="1:15" ht="14.4" x14ac:dyDescent="0.3">
      <c r="A349" t="s">
        <v>114</v>
      </c>
      <c r="B349" s="1">
        <v>46174</v>
      </c>
      <c r="C349" t="s">
        <v>118</v>
      </c>
      <c r="D349">
        <v>334</v>
      </c>
      <c r="E349">
        <v>1</v>
      </c>
      <c r="F349">
        <v>71.8</v>
      </c>
      <c r="G349" t="s">
        <v>17</v>
      </c>
      <c r="I349" t="str">
        <f t="shared" si="6"/>
        <v>334_1</v>
      </c>
      <c r="J349" t="s">
        <v>18</v>
      </c>
      <c r="K349" t="s">
        <v>115</v>
      </c>
      <c r="L349" t="str">
        <f>_xlfn.XLOOKUP(C349, Table2[Species],Table2[Genus], "Code Not Found")</f>
        <v>Quercus</v>
      </c>
      <c r="M349" t="str">
        <f>_xlfn.XLOOKUP(C349, Table2[Species],Table2[Sp. Name], "Code Not Found")</f>
        <v>montana</v>
      </c>
      <c r="N349" t="str">
        <f>_xlfn.XLOOKUP(C349,Table2[Species],Table2[Family],"Code Not Found")</f>
        <v>Fagaceae</v>
      </c>
      <c r="O349" t="str" cm="1">
        <f t="array" ref="O349">_xlfn.IFS(F349="","",F349&lt;=5,"0 to 5",F349&lt;=10,"5.1 to 10",F349&lt;=20,"10 to 20", F349&lt;= 40, "20 to 40", F349 &lt;= 50, "40 to 50", F349 &gt; 50, "&gt;50" )</f>
        <v>&gt;50</v>
      </c>
    </row>
    <row r="350" spans="1:15" ht="14.4" x14ac:dyDescent="0.3">
      <c r="A350" t="s">
        <v>114</v>
      </c>
      <c r="B350" s="1">
        <v>46174</v>
      </c>
      <c r="C350" t="s">
        <v>22</v>
      </c>
      <c r="D350">
        <v>335</v>
      </c>
      <c r="E350">
        <v>1</v>
      </c>
      <c r="F350">
        <v>3.5</v>
      </c>
      <c r="G350" t="s">
        <v>47</v>
      </c>
      <c r="H350" t="s">
        <v>43</v>
      </c>
      <c r="I350" t="str">
        <f t="shared" si="6"/>
        <v>335_1</v>
      </c>
      <c r="J350" t="s">
        <v>18</v>
      </c>
      <c r="K350" t="s">
        <v>115</v>
      </c>
      <c r="L350" t="str">
        <f>_xlfn.XLOOKUP(C350, Table2[Species],Table2[Genus], "Code Not Found")</f>
        <v>Acer</v>
      </c>
      <c r="M350" t="str">
        <f>_xlfn.XLOOKUP(C350, Table2[Species],Table2[Sp. Name], "Code Not Found")</f>
        <v>rubrum</v>
      </c>
      <c r="N350" t="str">
        <f>_xlfn.XLOOKUP(C350,Table2[Species],Table2[Family],"Code Not Found")</f>
        <v>Sapindaceae</v>
      </c>
      <c r="O350" t="str" cm="1">
        <f t="array" ref="O350">_xlfn.IFS(F350="","",F350&lt;=5,"0 to 5",F350&lt;=10,"5.1 to 10",F350&lt;=20,"10 to 20", F350&lt;= 40, "20 to 40", F350 &lt;= 50, "40 to 50", F350 &gt; 50, "&gt;50" )</f>
        <v>0 to 5</v>
      </c>
    </row>
    <row r="351" spans="1:15" ht="14.4" x14ac:dyDescent="0.3">
      <c r="A351" t="s">
        <v>114</v>
      </c>
      <c r="B351" s="1">
        <v>46174</v>
      </c>
      <c r="C351" t="s">
        <v>64</v>
      </c>
      <c r="D351">
        <v>336</v>
      </c>
      <c r="E351">
        <v>1</v>
      </c>
      <c r="F351">
        <v>2.8</v>
      </c>
      <c r="G351" t="s">
        <v>47</v>
      </c>
      <c r="H351" t="s">
        <v>43</v>
      </c>
      <c r="I351" t="str">
        <f t="shared" si="6"/>
        <v>336_1</v>
      </c>
      <c r="J351" t="s">
        <v>18</v>
      </c>
      <c r="K351" t="s">
        <v>115</v>
      </c>
      <c r="L351" t="str">
        <f>_xlfn.XLOOKUP(C351, Table2[Species],Table2[Genus], "Code Not Found")</f>
        <v>Fagus</v>
      </c>
      <c r="M351" t="str">
        <f>_xlfn.XLOOKUP(C351, Table2[Species],Table2[Sp. Name], "Code Not Found")</f>
        <v>grandifolia</v>
      </c>
      <c r="N351" t="str">
        <f>_xlfn.XLOOKUP(C351,Table2[Species],Table2[Family],"Code Not Found")</f>
        <v>Fagaceae</v>
      </c>
      <c r="O351" t="str" cm="1">
        <f t="array" ref="O351">_xlfn.IFS(F351="","",F351&lt;=5,"0 to 5",F351&lt;=10,"5.1 to 10",F351&lt;=20,"10 to 20", F351&lt;= 40, "20 to 40", F351 &lt;= 50, "40 to 50", F351 &gt; 50, "&gt;50" )</f>
        <v>0 to 5</v>
      </c>
    </row>
    <row r="352" spans="1:15" ht="14.4" x14ac:dyDescent="0.3">
      <c r="A352" t="s">
        <v>114</v>
      </c>
      <c r="B352" s="1">
        <v>46174</v>
      </c>
      <c r="C352" t="s">
        <v>16</v>
      </c>
      <c r="D352">
        <v>337</v>
      </c>
      <c r="E352">
        <v>1</v>
      </c>
      <c r="F352">
        <v>5.7</v>
      </c>
      <c r="G352" t="s">
        <v>17</v>
      </c>
      <c r="H352" t="s">
        <v>36</v>
      </c>
      <c r="I352" t="str">
        <f t="shared" si="6"/>
        <v>337_1</v>
      </c>
      <c r="J352" t="s">
        <v>18</v>
      </c>
      <c r="K352" t="s">
        <v>115</v>
      </c>
      <c r="L352" t="str">
        <f>_xlfn.XLOOKUP(C352, Table2[Species],Table2[Genus], "Code Not Found")</f>
        <v>Acer</v>
      </c>
      <c r="M352" t="str">
        <f>_xlfn.XLOOKUP(C352, Table2[Species],Table2[Sp. Name], "Code Not Found")</f>
        <v>saccharum</v>
      </c>
      <c r="N352" t="str">
        <f>_xlfn.XLOOKUP(C352,Table2[Species],Table2[Family],"Code Not Found")</f>
        <v>Sapindaceae</v>
      </c>
      <c r="O352" t="str" cm="1">
        <f t="array" ref="O352">_xlfn.IFS(F352="","",F352&lt;=5,"0 to 5",F352&lt;=10,"5.1 to 10",F352&lt;=20,"10 to 20", F352&lt;= 40, "20 to 40", F352 &lt;= 50, "40 to 50", F352 &gt; 50, "&gt;50" )</f>
        <v>5.1 to 10</v>
      </c>
    </row>
    <row r="353" spans="1:15" ht="14.4" x14ac:dyDescent="0.3">
      <c r="A353" t="s">
        <v>114</v>
      </c>
      <c r="B353" s="1">
        <v>46174</v>
      </c>
      <c r="C353" t="s">
        <v>22</v>
      </c>
      <c r="D353">
        <v>338</v>
      </c>
      <c r="E353">
        <v>1</v>
      </c>
      <c r="F353">
        <v>9</v>
      </c>
      <c r="G353" t="s">
        <v>17</v>
      </c>
      <c r="I353" t="str">
        <f t="shared" si="6"/>
        <v>338_1</v>
      </c>
      <c r="J353" t="s">
        <v>18</v>
      </c>
      <c r="K353" t="s">
        <v>115</v>
      </c>
      <c r="L353" t="str">
        <f>_xlfn.XLOOKUP(C353, Table2[Species],Table2[Genus], "Code Not Found")</f>
        <v>Acer</v>
      </c>
      <c r="M353" t="str">
        <f>_xlfn.XLOOKUP(C353, Table2[Species],Table2[Sp. Name], "Code Not Found")</f>
        <v>rubrum</v>
      </c>
      <c r="N353" t="str">
        <f>_xlfn.XLOOKUP(C353,Table2[Species],Table2[Family],"Code Not Found")</f>
        <v>Sapindaceae</v>
      </c>
      <c r="O353" t="str" cm="1">
        <f t="array" ref="O353">_xlfn.IFS(F353="","",F353&lt;=5,"0 to 5",F353&lt;=10,"5.1 to 10",F353&lt;=20,"10 to 20", F353&lt;= 40, "20 to 40", F353 &lt;= 50, "40 to 50", F353 &gt; 50, "&gt;50" )</f>
        <v>5.1 to 10</v>
      </c>
    </row>
    <row r="354" spans="1:15" ht="14.4" x14ac:dyDescent="0.3">
      <c r="A354" t="s">
        <v>114</v>
      </c>
      <c r="B354" s="1">
        <v>46174</v>
      </c>
      <c r="C354" t="s">
        <v>64</v>
      </c>
      <c r="D354">
        <v>339</v>
      </c>
      <c r="E354">
        <v>1</v>
      </c>
      <c r="F354">
        <v>5</v>
      </c>
      <c r="G354" t="s">
        <v>17</v>
      </c>
      <c r="I354" t="str">
        <f t="shared" si="6"/>
        <v>339_1</v>
      </c>
      <c r="J354" t="s">
        <v>18</v>
      </c>
      <c r="K354" t="s">
        <v>115</v>
      </c>
      <c r="L354" t="str">
        <f>_xlfn.XLOOKUP(C354, Table2[Species],Table2[Genus], "Code Not Found")</f>
        <v>Fagus</v>
      </c>
      <c r="M354" t="str">
        <f>_xlfn.XLOOKUP(C354, Table2[Species],Table2[Sp. Name], "Code Not Found")</f>
        <v>grandifolia</v>
      </c>
      <c r="N354" t="str">
        <f>_xlfn.XLOOKUP(C354,Table2[Species],Table2[Family],"Code Not Found")</f>
        <v>Fagaceae</v>
      </c>
      <c r="O354" t="str" cm="1">
        <f t="array" ref="O354">_xlfn.IFS(F354="","",F354&lt;=5,"0 to 5",F354&lt;=10,"5.1 to 10",F354&lt;=20,"10 to 20", F354&lt;= 40, "20 to 40", F354 &lt;= 50, "40 to 50", F354 &gt; 50, "&gt;50" )</f>
        <v>0 to 5</v>
      </c>
    </row>
    <row r="355" spans="1:15" ht="14.4" x14ac:dyDescent="0.3">
      <c r="A355" t="s">
        <v>114</v>
      </c>
      <c r="B355" s="1">
        <v>46174</v>
      </c>
      <c r="C355" t="s">
        <v>22</v>
      </c>
      <c r="D355">
        <v>340</v>
      </c>
      <c r="E355">
        <v>1</v>
      </c>
      <c r="F355">
        <v>14.2</v>
      </c>
      <c r="G355" t="s">
        <v>17</v>
      </c>
      <c r="H355" t="s">
        <v>36</v>
      </c>
      <c r="I355" t="str">
        <f t="shared" si="6"/>
        <v>340_1</v>
      </c>
      <c r="J355" t="s">
        <v>18</v>
      </c>
      <c r="K355" t="s">
        <v>115</v>
      </c>
      <c r="L355" t="str">
        <f>_xlfn.XLOOKUP(C355, Table2[Species],Table2[Genus], "Code Not Found")</f>
        <v>Acer</v>
      </c>
      <c r="M355" t="str">
        <f>_xlfn.XLOOKUP(C355, Table2[Species],Table2[Sp. Name], "Code Not Found")</f>
        <v>rubrum</v>
      </c>
      <c r="N355" t="str">
        <f>_xlfn.XLOOKUP(C355,Table2[Species],Table2[Family],"Code Not Found")</f>
        <v>Sapindaceae</v>
      </c>
      <c r="O355" t="str" cm="1">
        <f t="array" ref="O355">_xlfn.IFS(F355="","",F355&lt;=5,"0 to 5",F355&lt;=10,"5.1 to 10",F355&lt;=20,"10 to 20", F355&lt;= 40, "20 to 40", F355 &lt;= 50, "40 to 50", F355 &gt; 50, "&gt;50" )</f>
        <v>10 to 20</v>
      </c>
    </row>
    <row r="356" spans="1:15" ht="14.4" x14ac:dyDescent="0.3">
      <c r="A356" t="s">
        <v>114</v>
      </c>
      <c r="B356" s="1">
        <v>46174</v>
      </c>
      <c r="C356" t="s">
        <v>123</v>
      </c>
      <c r="D356">
        <v>341</v>
      </c>
      <c r="E356">
        <v>1</v>
      </c>
      <c r="F356">
        <v>29.1</v>
      </c>
      <c r="G356" t="s">
        <v>17</v>
      </c>
      <c r="H356" t="s">
        <v>36</v>
      </c>
      <c r="I356" t="str">
        <f t="shared" si="6"/>
        <v>341_1</v>
      </c>
      <c r="J356" t="s">
        <v>18</v>
      </c>
      <c r="K356" t="s">
        <v>115</v>
      </c>
      <c r="L356" t="str">
        <f>_xlfn.XLOOKUP(C356, Table2[Species],Table2[Genus], "Code Not Found")</f>
        <v>Quercus</v>
      </c>
      <c r="M356" t="str">
        <f>_xlfn.XLOOKUP(C356, Table2[Species],Table2[Sp. Name], "Code Not Found")</f>
        <v>rubra</v>
      </c>
      <c r="N356" t="str">
        <f>_xlfn.XLOOKUP(C356,Table2[Species],Table2[Family],"Code Not Found")</f>
        <v>Fagaceae</v>
      </c>
      <c r="O356" t="str" cm="1">
        <f t="array" ref="O356">_xlfn.IFS(F356="","",F356&lt;=5,"0 to 5",F356&lt;=10,"5.1 to 10",F356&lt;=20,"10 to 20", F356&lt;= 40, "20 to 40", F356 &lt;= 50, "40 to 50", F356 &gt; 50, "&gt;50" )</f>
        <v>20 to 40</v>
      </c>
    </row>
    <row r="357" spans="1:15" ht="14.4" x14ac:dyDescent="0.3">
      <c r="A357" t="s">
        <v>114</v>
      </c>
      <c r="B357" s="1">
        <v>46174</v>
      </c>
      <c r="C357" t="s">
        <v>22</v>
      </c>
      <c r="D357">
        <v>342</v>
      </c>
      <c r="E357">
        <v>1</v>
      </c>
      <c r="F357">
        <v>4.2</v>
      </c>
      <c r="G357" t="s">
        <v>17</v>
      </c>
      <c r="I357" t="str">
        <f t="shared" si="6"/>
        <v>342_1</v>
      </c>
      <c r="J357" t="s">
        <v>18</v>
      </c>
      <c r="K357" t="s">
        <v>115</v>
      </c>
      <c r="L357" t="str">
        <f>_xlfn.XLOOKUP(C357, Table2[Species],Table2[Genus], "Code Not Found")</f>
        <v>Acer</v>
      </c>
      <c r="M357" t="str">
        <f>_xlfn.XLOOKUP(C357, Table2[Species],Table2[Sp. Name], "Code Not Found")</f>
        <v>rubrum</v>
      </c>
      <c r="N357" t="str">
        <f>_xlfn.XLOOKUP(C357,Table2[Species],Table2[Family],"Code Not Found")</f>
        <v>Sapindaceae</v>
      </c>
      <c r="O357" t="str" cm="1">
        <f t="array" ref="O357">_xlfn.IFS(F357="","",F357&lt;=5,"0 to 5",F357&lt;=10,"5.1 to 10",F357&lt;=20,"10 to 20", F357&lt;= 40, "20 to 40", F357 &lt;= 50, "40 to 50", F357 &gt; 50, "&gt;50" )</f>
        <v>0 to 5</v>
      </c>
    </row>
    <row r="358" spans="1:15" ht="14.4" x14ac:dyDescent="0.3">
      <c r="A358" t="s">
        <v>114</v>
      </c>
      <c r="B358" s="1">
        <v>46174</v>
      </c>
      <c r="C358" t="s">
        <v>16</v>
      </c>
      <c r="D358">
        <v>343</v>
      </c>
      <c r="E358">
        <v>1</v>
      </c>
      <c r="F358">
        <v>10.8</v>
      </c>
      <c r="G358" t="s">
        <v>17</v>
      </c>
      <c r="I358" t="str">
        <f t="shared" si="6"/>
        <v>343_1</v>
      </c>
      <c r="J358" t="s">
        <v>18</v>
      </c>
      <c r="K358" t="s">
        <v>115</v>
      </c>
      <c r="L358" t="str">
        <f>_xlfn.XLOOKUP(C358, Table2[Species],Table2[Genus], "Code Not Found")</f>
        <v>Acer</v>
      </c>
      <c r="M358" t="str">
        <f>_xlfn.XLOOKUP(C358, Table2[Species],Table2[Sp. Name], "Code Not Found")</f>
        <v>saccharum</v>
      </c>
      <c r="N358" t="str">
        <f>_xlfn.XLOOKUP(C358,Table2[Species],Table2[Family],"Code Not Found")</f>
        <v>Sapindaceae</v>
      </c>
      <c r="O358" t="str" cm="1">
        <f t="array" ref="O358">_xlfn.IFS(F358="","",F358&lt;=5,"0 to 5",F358&lt;=10,"5.1 to 10",F358&lt;=20,"10 to 20", F358&lt;= 40, "20 to 40", F358 &lt;= 50, "40 to 50", F358 &gt; 50, "&gt;50" )</f>
        <v>10 to 20</v>
      </c>
    </row>
    <row r="359" spans="1:15" ht="14.4" x14ac:dyDescent="0.3">
      <c r="A359" t="s">
        <v>114</v>
      </c>
      <c r="B359" s="1">
        <v>46174</v>
      </c>
      <c r="C359" t="s">
        <v>64</v>
      </c>
      <c r="D359">
        <v>387</v>
      </c>
      <c r="E359">
        <v>1</v>
      </c>
      <c r="F359">
        <v>74.2</v>
      </c>
      <c r="G359" t="s">
        <v>34</v>
      </c>
      <c r="H359" t="s">
        <v>131</v>
      </c>
      <c r="I359" t="str">
        <f t="shared" si="6"/>
        <v>387_1</v>
      </c>
      <c r="J359" t="s">
        <v>18</v>
      </c>
      <c r="K359" t="s">
        <v>115</v>
      </c>
      <c r="L359" t="str">
        <f>_xlfn.XLOOKUP(C359, Table2[Species],Table2[Genus], "Code Not Found")</f>
        <v>Fagus</v>
      </c>
      <c r="M359" t="str">
        <f>_xlfn.XLOOKUP(C359, Table2[Species],Table2[Sp. Name], "Code Not Found")</f>
        <v>grandifolia</v>
      </c>
      <c r="N359" t="str">
        <f>_xlfn.XLOOKUP(C359,Table2[Species],Table2[Family],"Code Not Found")</f>
        <v>Fagaceae</v>
      </c>
      <c r="O359" t="str" cm="1">
        <f t="array" ref="O359">_xlfn.IFS(F359="","",F359&lt;=5,"0 to 5",F359&lt;=10,"5.1 to 10",F359&lt;=20,"10 to 20", F359&lt;= 40, "20 to 40", F359 &lt;= 50, "40 to 50", F359 &gt; 50, "&gt;50" )</f>
        <v>&gt;50</v>
      </c>
    </row>
    <row r="360" spans="1:15" ht="14.4" x14ac:dyDescent="0.3">
      <c r="A360" t="s">
        <v>114</v>
      </c>
      <c r="B360" s="1">
        <v>46174</v>
      </c>
      <c r="C360" t="s">
        <v>64</v>
      </c>
      <c r="D360">
        <v>387</v>
      </c>
      <c r="E360">
        <v>2</v>
      </c>
      <c r="F360">
        <v>3</v>
      </c>
      <c r="G360" t="s">
        <v>132</v>
      </c>
      <c r="H360" t="s">
        <v>99</v>
      </c>
      <c r="I360" t="str">
        <f t="shared" si="6"/>
        <v>387_2</v>
      </c>
      <c r="J360" t="s">
        <v>18</v>
      </c>
      <c r="K360" t="s">
        <v>115</v>
      </c>
      <c r="L360" t="str">
        <f>_xlfn.XLOOKUP(C360, Table2[Species],Table2[Genus], "Code Not Found")</f>
        <v>Fagus</v>
      </c>
      <c r="M360" t="str">
        <f>_xlfn.XLOOKUP(C360, Table2[Species],Table2[Sp. Name], "Code Not Found")</f>
        <v>grandifolia</v>
      </c>
      <c r="N360" t="str">
        <f>_xlfn.XLOOKUP(C360,Table2[Species],Table2[Family],"Code Not Found")</f>
        <v>Fagaceae</v>
      </c>
      <c r="O360" t="str" cm="1">
        <f t="array" ref="O360">_xlfn.IFS(F360="","",F360&lt;=5,"0 to 5",F360&lt;=10,"5.1 to 10",F360&lt;=20,"10 to 20", F360&lt;= 40, "20 to 40", F360 &lt;= 50, "40 to 50", F360 &gt; 50, "&gt;50" )</f>
        <v>0 to 5</v>
      </c>
    </row>
    <row r="361" spans="1:15" ht="14.4" x14ac:dyDescent="0.3">
      <c r="A361" t="s">
        <v>114</v>
      </c>
      <c r="B361" s="1">
        <v>46174</v>
      </c>
      <c r="C361" t="s">
        <v>64</v>
      </c>
      <c r="D361">
        <v>387</v>
      </c>
      <c r="E361">
        <v>3</v>
      </c>
      <c r="F361">
        <v>3.1</v>
      </c>
      <c r="G361" t="s">
        <v>132</v>
      </c>
      <c r="H361" t="s">
        <v>99</v>
      </c>
      <c r="I361" t="str">
        <f t="shared" si="6"/>
        <v>387_3</v>
      </c>
      <c r="J361" t="s">
        <v>18</v>
      </c>
      <c r="K361" t="s">
        <v>115</v>
      </c>
      <c r="L361" t="str">
        <f>_xlfn.XLOOKUP(C361, Table2[Species],Table2[Genus], "Code Not Found")</f>
        <v>Fagus</v>
      </c>
      <c r="M361" t="str">
        <f>_xlfn.XLOOKUP(C361, Table2[Species],Table2[Sp. Name], "Code Not Found")</f>
        <v>grandifolia</v>
      </c>
      <c r="N361" t="str">
        <f>_xlfn.XLOOKUP(C361,Table2[Species],Table2[Family],"Code Not Found")</f>
        <v>Fagaceae</v>
      </c>
      <c r="O361" t="str" cm="1">
        <f t="array" ref="O361">_xlfn.IFS(F361="","",F361&lt;=5,"0 to 5",F361&lt;=10,"5.1 to 10",F361&lt;=20,"10 to 20", F361&lt;= 40, "20 to 40", F361 &lt;= 50, "40 to 50", F361 &gt; 50, "&gt;50" )</f>
        <v>0 to 5</v>
      </c>
    </row>
    <row r="362" spans="1:15" ht="14.4" x14ac:dyDescent="0.3">
      <c r="A362" t="s">
        <v>114</v>
      </c>
      <c r="B362" s="1">
        <v>46174</v>
      </c>
      <c r="C362" t="s">
        <v>64</v>
      </c>
      <c r="D362">
        <v>387</v>
      </c>
      <c r="E362">
        <v>4</v>
      </c>
      <c r="F362">
        <v>2.2999999999999998</v>
      </c>
      <c r="G362" t="s">
        <v>34</v>
      </c>
      <c r="I362" t="str">
        <f t="shared" si="6"/>
        <v>387_4</v>
      </c>
      <c r="J362" t="s">
        <v>18</v>
      </c>
      <c r="K362" t="s">
        <v>115</v>
      </c>
      <c r="L362" t="str">
        <f>_xlfn.XLOOKUP(C362, Table2[Species],Table2[Genus], "Code Not Found")</f>
        <v>Fagus</v>
      </c>
      <c r="M362" t="str">
        <f>_xlfn.XLOOKUP(C362, Table2[Species],Table2[Sp. Name], "Code Not Found")</f>
        <v>grandifolia</v>
      </c>
      <c r="N362" t="str">
        <f>_xlfn.XLOOKUP(C362,Table2[Species],Table2[Family],"Code Not Found")</f>
        <v>Fagaceae</v>
      </c>
      <c r="O362" t="str" cm="1">
        <f t="array" ref="O362">_xlfn.IFS(F362="","",F362&lt;=5,"0 to 5",F362&lt;=10,"5.1 to 10",F362&lt;=20,"10 to 20", F362&lt;= 40, "20 to 40", F362 &lt;= 50, "40 to 50", F362 &gt; 50, "&gt;50" )</f>
        <v>0 to 5</v>
      </c>
    </row>
    <row r="363" spans="1:15" ht="14.4" x14ac:dyDescent="0.3">
      <c r="A363" t="s">
        <v>114</v>
      </c>
      <c r="B363" s="1">
        <v>46174</v>
      </c>
      <c r="C363" t="s">
        <v>64</v>
      </c>
      <c r="D363">
        <v>387</v>
      </c>
      <c r="E363">
        <v>5</v>
      </c>
      <c r="F363">
        <v>2.4</v>
      </c>
      <c r="G363" t="s">
        <v>34</v>
      </c>
      <c r="I363" t="str">
        <f t="shared" si="6"/>
        <v>387_5</v>
      </c>
      <c r="J363" t="s">
        <v>18</v>
      </c>
      <c r="K363" t="s">
        <v>115</v>
      </c>
      <c r="L363" t="str">
        <f>_xlfn.XLOOKUP(C363, Table2[Species],Table2[Genus], "Code Not Found")</f>
        <v>Fagus</v>
      </c>
      <c r="M363" t="str">
        <f>_xlfn.XLOOKUP(C363, Table2[Species],Table2[Sp. Name], "Code Not Found")</f>
        <v>grandifolia</v>
      </c>
      <c r="N363" t="str">
        <f>_xlfn.XLOOKUP(C363,Table2[Species],Table2[Family],"Code Not Found")</f>
        <v>Fagaceae</v>
      </c>
      <c r="O363" t="str" cm="1">
        <f t="array" ref="O363">_xlfn.IFS(F363="","",F363&lt;=5,"0 to 5",F363&lt;=10,"5.1 to 10",F363&lt;=20,"10 to 20", F363&lt;= 40, "20 to 40", F363 &lt;= 50, "40 to 50", F363 &gt; 50, "&gt;50" )</f>
        <v>0 to 5</v>
      </c>
    </row>
    <row r="364" spans="1:15" ht="14.4" x14ac:dyDescent="0.3">
      <c r="A364" t="s">
        <v>114</v>
      </c>
      <c r="B364" s="1">
        <v>46174</v>
      </c>
      <c r="C364" t="s">
        <v>64</v>
      </c>
      <c r="D364">
        <v>387</v>
      </c>
      <c r="E364">
        <v>6</v>
      </c>
      <c r="F364">
        <v>3.1</v>
      </c>
      <c r="G364" t="s">
        <v>132</v>
      </c>
      <c r="H364" t="s">
        <v>121</v>
      </c>
      <c r="I364" t="str">
        <f t="shared" si="6"/>
        <v>387_6</v>
      </c>
      <c r="J364" t="s">
        <v>18</v>
      </c>
      <c r="K364" t="s">
        <v>115</v>
      </c>
      <c r="L364" t="str">
        <f>_xlfn.XLOOKUP(C364, Table2[Species],Table2[Genus], "Code Not Found")</f>
        <v>Fagus</v>
      </c>
      <c r="M364" t="str">
        <f>_xlfn.XLOOKUP(C364, Table2[Species],Table2[Sp. Name], "Code Not Found")</f>
        <v>grandifolia</v>
      </c>
      <c r="N364" t="str">
        <f>_xlfn.XLOOKUP(C364,Table2[Species],Table2[Family],"Code Not Found")</f>
        <v>Fagaceae</v>
      </c>
      <c r="O364" t="str" cm="1">
        <f t="array" ref="O364">_xlfn.IFS(F364="","",F364&lt;=5,"0 to 5",F364&lt;=10,"5.1 to 10",F364&lt;=20,"10 to 20", F364&lt;= 40, "20 to 40", F364 &lt;= 50, "40 to 50", F364 &gt; 50, "&gt;50" )</f>
        <v>0 to 5</v>
      </c>
    </row>
    <row r="365" spans="1:15" ht="14.4" x14ac:dyDescent="0.3">
      <c r="A365" t="s">
        <v>114</v>
      </c>
      <c r="B365" s="1">
        <v>46174</v>
      </c>
      <c r="C365" t="s">
        <v>64</v>
      </c>
      <c r="D365">
        <v>387</v>
      </c>
      <c r="E365">
        <v>7</v>
      </c>
      <c r="F365">
        <v>3.6</v>
      </c>
      <c r="G365" t="s">
        <v>34</v>
      </c>
      <c r="H365" t="s">
        <v>36</v>
      </c>
      <c r="I365" t="str">
        <f t="shared" si="6"/>
        <v>387_7</v>
      </c>
      <c r="J365" t="s">
        <v>18</v>
      </c>
      <c r="K365" t="s">
        <v>115</v>
      </c>
      <c r="L365" t="str">
        <f>_xlfn.XLOOKUP(C365, Table2[Species],Table2[Genus], "Code Not Found")</f>
        <v>Fagus</v>
      </c>
      <c r="M365" t="str">
        <f>_xlfn.XLOOKUP(C365, Table2[Species],Table2[Sp. Name], "Code Not Found")</f>
        <v>grandifolia</v>
      </c>
      <c r="N365" t="str">
        <f>_xlfn.XLOOKUP(C365,Table2[Species],Table2[Family],"Code Not Found")</f>
        <v>Fagaceae</v>
      </c>
      <c r="O365" t="str" cm="1">
        <f t="array" ref="O365">_xlfn.IFS(F365="","",F365&lt;=5,"0 to 5",F365&lt;=10,"5.1 to 10",F365&lt;=20,"10 to 20", F365&lt;= 40, "20 to 40", F365 &lt;= 50, "40 to 50", F365 &gt; 50, "&gt;50" )</f>
        <v>0 to 5</v>
      </c>
    </row>
    <row r="366" spans="1:15" ht="14.4" x14ac:dyDescent="0.3">
      <c r="A366" t="s">
        <v>114</v>
      </c>
      <c r="B366" s="1">
        <v>46174</v>
      </c>
      <c r="C366" t="s">
        <v>64</v>
      </c>
      <c r="D366">
        <v>387</v>
      </c>
      <c r="E366">
        <v>8</v>
      </c>
      <c r="F366">
        <v>3.9</v>
      </c>
      <c r="G366" t="s">
        <v>34</v>
      </c>
      <c r="H366" t="s">
        <v>36</v>
      </c>
      <c r="I366" t="str">
        <f t="shared" si="6"/>
        <v>387_8</v>
      </c>
      <c r="J366" t="s">
        <v>18</v>
      </c>
      <c r="K366" t="s">
        <v>115</v>
      </c>
      <c r="L366" t="str">
        <f>_xlfn.XLOOKUP(C366, Table2[Species],Table2[Genus], "Code Not Found")</f>
        <v>Fagus</v>
      </c>
      <c r="M366" t="str">
        <f>_xlfn.XLOOKUP(C366, Table2[Species],Table2[Sp. Name], "Code Not Found")</f>
        <v>grandifolia</v>
      </c>
      <c r="N366" t="str">
        <f>_xlfn.XLOOKUP(C366,Table2[Species],Table2[Family],"Code Not Found")</f>
        <v>Fagaceae</v>
      </c>
      <c r="O366" t="str" cm="1">
        <f t="array" ref="O366">_xlfn.IFS(F366="","",F366&lt;=5,"0 to 5",F366&lt;=10,"5.1 to 10",F366&lt;=20,"10 to 20", F366&lt;= 40, "20 to 40", F366 &lt;= 50, "40 to 50", F366 &gt; 50, "&gt;50" )</f>
        <v>0 to 5</v>
      </c>
    </row>
    <row r="367" spans="1:15" ht="14.4" x14ac:dyDescent="0.3">
      <c r="A367" t="s">
        <v>114</v>
      </c>
      <c r="B367" s="1">
        <v>46174</v>
      </c>
      <c r="C367" t="s">
        <v>64</v>
      </c>
      <c r="D367">
        <v>387</v>
      </c>
      <c r="E367">
        <v>9</v>
      </c>
      <c r="F367">
        <v>2.2999999999999998</v>
      </c>
      <c r="G367" t="s">
        <v>132</v>
      </c>
      <c r="H367" t="s">
        <v>133</v>
      </c>
      <c r="I367" t="str">
        <f t="shared" si="6"/>
        <v>387_9</v>
      </c>
      <c r="J367" t="s">
        <v>18</v>
      </c>
      <c r="K367" t="s">
        <v>115</v>
      </c>
      <c r="L367" t="str">
        <f>_xlfn.XLOOKUP(C367, Table2[Species],Table2[Genus], "Code Not Found")</f>
        <v>Fagus</v>
      </c>
      <c r="M367" t="str">
        <f>_xlfn.XLOOKUP(C367, Table2[Species],Table2[Sp. Name], "Code Not Found")</f>
        <v>grandifolia</v>
      </c>
      <c r="N367" t="str">
        <f>_xlfn.XLOOKUP(C367,Table2[Species],Table2[Family],"Code Not Found")</f>
        <v>Fagaceae</v>
      </c>
      <c r="O367" t="str" cm="1">
        <f t="array" ref="O367">_xlfn.IFS(F367="","",F367&lt;=5,"0 to 5",F367&lt;=10,"5.1 to 10",F367&lt;=20,"10 to 20", F367&lt;= 40, "20 to 40", F367 &lt;= 50, "40 to 50", F367 &gt; 50, "&gt;50" )</f>
        <v>0 to 5</v>
      </c>
    </row>
    <row r="368" spans="1:15" ht="14.4" x14ac:dyDescent="0.3">
      <c r="A368" t="s">
        <v>114</v>
      </c>
      <c r="B368" s="1">
        <v>46174</v>
      </c>
      <c r="C368" t="s">
        <v>64</v>
      </c>
      <c r="D368">
        <v>387</v>
      </c>
      <c r="E368">
        <v>10</v>
      </c>
      <c r="F368">
        <v>3</v>
      </c>
      <c r="G368" t="s">
        <v>132</v>
      </c>
      <c r="H368" t="s">
        <v>133</v>
      </c>
      <c r="I368" t="str">
        <f t="shared" si="6"/>
        <v>387_10</v>
      </c>
      <c r="J368" t="s">
        <v>18</v>
      </c>
      <c r="K368" t="s">
        <v>115</v>
      </c>
      <c r="L368" t="str">
        <f>_xlfn.XLOOKUP(C368, Table2[Species],Table2[Genus], "Code Not Found")</f>
        <v>Fagus</v>
      </c>
      <c r="M368" t="str">
        <f>_xlfn.XLOOKUP(C368, Table2[Species],Table2[Sp. Name], "Code Not Found")</f>
        <v>grandifolia</v>
      </c>
      <c r="N368" t="str">
        <f>_xlfn.XLOOKUP(C368,Table2[Species],Table2[Family],"Code Not Found")</f>
        <v>Fagaceae</v>
      </c>
      <c r="O368" t="str" cm="1">
        <f t="array" ref="O368">_xlfn.IFS(F368="","",F368&lt;=5,"0 to 5",F368&lt;=10,"5.1 to 10",F368&lt;=20,"10 to 20", F368&lt;= 40, "20 to 40", F368 &lt;= 50, "40 to 50", F368 &gt; 50, "&gt;50" )</f>
        <v>0 to 5</v>
      </c>
    </row>
    <row r="369" spans="1:15" ht="14.4" x14ac:dyDescent="0.3">
      <c r="A369" t="s">
        <v>114</v>
      </c>
      <c r="B369" s="1">
        <v>46174</v>
      </c>
      <c r="C369" t="s">
        <v>64</v>
      </c>
      <c r="D369">
        <v>387</v>
      </c>
      <c r="E369">
        <v>11</v>
      </c>
      <c r="F369">
        <v>3</v>
      </c>
      <c r="G369" t="s">
        <v>61</v>
      </c>
      <c r="I369" t="str">
        <f t="shared" si="6"/>
        <v>387_11</v>
      </c>
      <c r="J369" t="s">
        <v>18</v>
      </c>
      <c r="K369" t="s">
        <v>115</v>
      </c>
      <c r="L369" t="str">
        <f>_xlfn.XLOOKUP(C369, Table2[Species],Table2[Genus], "Code Not Found")</f>
        <v>Fagus</v>
      </c>
      <c r="M369" t="str">
        <f>_xlfn.XLOOKUP(C369, Table2[Species],Table2[Sp. Name], "Code Not Found")</f>
        <v>grandifolia</v>
      </c>
      <c r="N369" t="str">
        <f>_xlfn.XLOOKUP(C369,Table2[Species],Table2[Family],"Code Not Found")</f>
        <v>Fagaceae</v>
      </c>
      <c r="O369" t="str" cm="1">
        <f t="array" ref="O369">_xlfn.IFS(F369="","",F369&lt;=5,"0 to 5",F369&lt;=10,"5.1 to 10",F369&lt;=20,"10 to 20", F369&lt;= 40, "20 to 40", F369 &lt;= 50, "40 to 50", F369 &gt; 50, "&gt;50" )</f>
        <v>0 to 5</v>
      </c>
    </row>
    <row r="370" spans="1:15" ht="14.4" x14ac:dyDescent="0.3">
      <c r="A370" t="s">
        <v>114</v>
      </c>
      <c r="B370" s="1">
        <v>46174</v>
      </c>
      <c r="C370" t="s">
        <v>64</v>
      </c>
      <c r="D370">
        <v>387</v>
      </c>
      <c r="E370">
        <v>12</v>
      </c>
      <c r="F370">
        <v>5.6</v>
      </c>
      <c r="G370" t="s">
        <v>32</v>
      </c>
      <c r="H370" t="s">
        <v>134</v>
      </c>
      <c r="I370" t="str">
        <f t="shared" si="6"/>
        <v>387_12</v>
      </c>
      <c r="J370" t="s">
        <v>18</v>
      </c>
      <c r="K370" t="s">
        <v>115</v>
      </c>
      <c r="L370" t="str">
        <f>_xlfn.XLOOKUP(C370, Table2[Species],Table2[Genus], "Code Not Found")</f>
        <v>Fagus</v>
      </c>
      <c r="M370" t="str">
        <f>_xlfn.XLOOKUP(C370, Table2[Species],Table2[Sp. Name], "Code Not Found")</f>
        <v>grandifolia</v>
      </c>
      <c r="N370" t="str">
        <f>_xlfn.XLOOKUP(C370,Table2[Species],Table2[Family],"Code Not Found")</f>
        <v>Fagaceae</v>
      </c>
      <c r="O370" t="str" cm="1">
        <f t="array" ref="O370">_xlfn.IFS(F370="","",F370&lt;=5,"0 to 5",F370&lt;=10,"5.1 to 10",F370&lt;=20,"10 to 20", F370&lt;= 40, "20 to 40", F370 &lt;= 50, "40 to 50", F370 &gt; 50, "&gt;50" )</f>
        <v>5.1 to 10</v>
      </c>
    </row>
    <row r="371" spans="1:15" ht="14.4" x14ac:dyDescent="0.3">
      <c r="A371" t="s">
        <v>114</v>
      </c>
      <c r="B371" s="1">
        <v>46174</v>
      </c>
      <c r="C371" t="s">
        <v>64</v>
      </c>
      <c r="D371">
        <v>385</v>
      </c>
      <c r="E371">
        <v>1</v>
      </c>
      <c r="F371">
        <v>61.2</v>
      </c>
      <c r="G371" t="s">
        <v>32</v>
      </c>
      <c r="H371" t="s">
        <v>135</v>
      </c>
      <c r="I371" t="str">
        <f t="shared" si="6"/>
        <v>385_1</v>
      </c>
      <c r="J371" t="s">
        <v>18</v>
      </c>
      <c r="K371" t="s">
        <v>115</v>
      </c>
      <c r="L371" t="str">
        <f>_xlfn.XLOOKUP(C371, Table2[Species],Table2[Genus], "Code Not Found")</f>
        <v>Fagus</v>
      </c>
      <c r="M371" t="str">
        <f>_xlfn.XLOOKUP(C371, Table2[Species],Table2[Sp. Name], "Code Not Found")</f>
        <v>grandifolia</v>
      </c>
      <c r="N371" t="str">
        <f>_xlfn.XLOOKUP(C371,Table2[Species],Table2[Family],"Code Not Found")</f>
        <v>Fagaceae</v>
      </c>
      <c r="O371" t="str" cm="1">
        <f t="array" ref="O371">_xlfn.IFS(F371="","",F371&lt;=5,"0 to 5",F371&lt;=10,"5.1 to 10",F371&lt;=20,"10 to 20", F371&lt;= 40, "20 to 40", F371 &lt;= 50, "40 to 50", F371 &gt; 50, "&gt;50" )</f>
        <v>&gt;50</v>
      </c>
    </row>
    <row r="372" spans="1:15" ht="14.4" x14ac:dyDescent="0.3">
      <c r="A372" t="s">
        <v>114</v>
      </c>
      <c r="B372" s="1">
        <v>46174</v>
      </c>
      <c r="C372" t="s">
        <v>64</v>
      </c>
      <c r="D372">
        <v>385</v>
      </c>
      <c r="E372">
        <v>2</v>
      </c>
      <c r="F372">
        <v>2.5</v>
      </c>
      <c r="G372" t="s">
        <v>93</v>
      </c>
      <c r="H372" t="s">
        <v>43</v>
      </c>
      <c r="I372" t="str">
        <f t="shared" si="6"/>
        <v>385_2</v>
      </c>
      <c r="J372" t="s">
        <v>18</v>
      </c>
      <c r="K372" t="s">
        <v>115</v>
      </c>
      <c r="L372" t="str">
        <f>_xlfn.XLOOKUP(C372, Table2[Species],Table2[Genus], "Code Not Found")</f>
        <v>Fagus</v>
      </c>
      <c r="M372" t="str">
        <f>_xlfn.XLOOKUP(C372, Table2[Species],Table2[Sp. Name], "Code Not Found")</f>
        <v>grandifolia</v>
      </c>
      <c r="N372" t="str">
        <f>_xlfn.XLOOKUP(C372,Table2[Species],Table2[Family],"Code Not Found")</f>
        <v>Fagaceae</v>
      </c>
      <c r="O372" t="str" cm="1">
        <f t="array" ref="O372">_xlfn.IFS(F372="","",F372&lt;=5,"0 to 5",F372&lt;=10,"5.1 to 10",F372&lt;=20,"10 to 20", F372&lt;= 40, "20 to 40", F372 &lt;= 50, "40 to 50", F372 &gt; 50, "&gt;50" )</f>
        <v>0 to 5</v>
      </c>
    </row>
    <row r="373" spans="1:15" ht="14.4" x14ac:dyDescent="0.3">
      <c r="A373" t="s">
        <v>114</v>
      </c>
      <c r="B373" s="1">
        <v>46174</v>
      </c>
      <c r="C373" t="s">
        <v>64</v>
      </c>
      <c r="D373">
        <v>385</v>
      </c>
      <c r="E373">
        <v>3</v>
      </c>
      <c r="F373">
        <v>2.1</v>
      </c>
      <c r="G373" t="s">
        <v>34</v>
      </c>
      <c r="H373" t="s">
        <v>43</v>
      </c>
      <c r="I373" t="str">
        <f t="shared" si="6"/>
        <v>385_3</v>
      </c>
      <c r="J373" t="s">
        <v>18</v>
      </c>
      <c r="K373" t="s">
        <v>115</v>
      </c>
      <c r="L373" t="str">
        <f>_xlfn.XLOOKUP(C373, Table2[Species],Table2[Genus], "Code Not Found")</f>
        <v>Fagus</v>
      </c>
      <c r="M373" t="str">
        <f>_xlfn.XLOOKUP(C373, Table2[Species],Table2[Sp. Name], "Code Not Found")</f>
        <v>grandifolia</v>
      </c>
      <c r="N373" t="str">
        <f>_xlfn.XLOOKUP(C373,Table2[Species],Table2[Family],"Code Not Found")</f>
        <v>Fagaceae</v>
      </c>
      <c r="O373" t="str" cm="1">
        <f t="array" ref="O373">_xlfn.IFS(F373="","",F373&lt;=5,"0 to 5",F373&lt;=10,"5.1 to 10",F373&lt;=20,"10 to 20", F373&lt;= 40, "20 to 40", F373 &lt;= 50, "40 to 50", F373 &gt; 50, "&gt;50" )</f>
        <v>0 to 5</v>
      </c>
    </row>
    <row r="374" spans="1:15" ht="14.4" x14ac:dyDescent="0.3">
      <c r="A374" t="s">
        <v>114</v>
      </c>
      <c r="B374" s="1">
        <v>46174</v>
      </c>
      <c r="C374" t="s">
        <v>64</v>
      </c>
      <c r="D374">
        <v>385</v>
      </c>
      <c r="E374">
        <v>4</v>
      </c>
      <c r="F374">
        <v>3.4</v>
      </c>
      <c r="G374" t="s">
        <v>34</v>
      </c>
      <c r="I374" t="str">
        <f t="shared" si="6"/>
        <v>385_4</v>
      </c>
      <c r="J374" t="s">
        <v>18</v>
      </c>
      <c r="K374" t="s">
        <v>115</v>
      </c>
      <c r="L374" t="str">
        <f>_xlfn.XLOOKUP(C374, Table2[Species],Table2[Genus], "Code Not Found")</f>
        <v>Fagus</v>
      </c>
      <c r="M374" t="str">
        <f>_xlfn.XLOOKUP(C374, Table2[Species],Table2[Sp. Name], "Code Not Found")</f>
        <v>grandifolia</v>
      </c>
      <c r="N374" t="str">
        <f>_xlfn.XLOOKUP(C374,Table2[Species],Table2[Family],"Code Not Found")</f>
        <v>Fagaceae</v>
      </c>
      <c r="O374" t="str" cm="1">
        <f t="array" ref="O374">_xlfn.IFS(F374="","",F374&lt;=5,"0 to 5",F374&lt;=10,"5.1 to 10",F374&lt;=20,"10 to 20", F374&lt;= 40, "20 to 40", F374 &lt;= 50, "40 to 50", F374 &gt; 50, "&gt;50" )</f>
        <v>0 to 5</v>
      </c>
    </row>
    <row r="375" spans="1:15" ht="14.4" x14ac:dyDescent="0.3">
      <c r="A375" t="s">
        <v>114</v>
      </c>
      <c r="B375" s="1">
        <v>46174</v>
      </c>
      <c r="C375" t="s">
        <v>64</v>
      </c>
      <c r="D375">
        <v>385</v>
      </c>
      <c r="E375">
        <v>5</v>
      </c>
      <c r="F375">
        <v>2.8</v>
      </c>
      <c r="G375" t="s">
        <v>132</v>
      </c>
      <c r="H375" t="s">
        <v>99</v>
      </c>
      <c r="I375" t="str">
        <f t="shared" si="6"/>
        <v>385_5</v>
      </c>
      <c r="J375" t="s">
        <v>18</v>
      </c>
      <c r="K375" t="s">
        <v>115</v>
      </c>
      <c r="L375" t="str">
        <f>_xlfn.XLOOKUP(C375, Table2[Species],Table2[Genus], "Code Not Found")</f>
        <v>Fagus</v>
      </c>
      <c r="M375" t="str">
        <f>_xlfn.XLOOKUP(C375, Table2[Species],Table2[Sp. Name], "Code Not Found")</f>
        <v>grandifolia</v>
      </c>
      <c r="N375" t="str">
        <f>_xlfn.XLOOKUP(C375,Table2[Species],Table2[Family],"Code Not Found")</f>
        <v>Fagaceae</v>
      </c>
      <c r="O375" t="str" cm="1">
        <f t="array" ref="O375">_xlfn.IFS(F375="","",F375&lt;=5,"0 to 5",F375&lt;=10,"5.1 to 10",F375&lt;=20,"10 to 20", F375&lt;= 40, "20 to 40", F375 &lt;= 50, "40 to 50", F375 &gt; 50, "&gt;50" )</f>
        <v>0 to 5</v>
      </c>
    </row>
    <row r="376" spans="1:15" ht="14.4" x14ac:dyDescent="0.3">
      <c r="A376" t="s">
        <v>114</v>
      </c>
      <c r="B376" s="1">
        <v>46174</v>
      </c>
      <c r="C376" t="s">
        <v>64</v>
      </c>
      <c r="D376">
        <v>385</v>
      </c>
      <c r="E376">
        <v>6</v>
      </c>
      <c r="F376">
        <v>3.5</v>
      </c>
      <c r="G376" t="s">
        <v>61</v>
      </c>
      <c r="H376" t="s">
        <v>136</v>
      </c>
      <c r="I376" t="str">
        <f t="shared" si="6"/>
        <v>385_6</v>
      </c>
      <c r="J376" t="s">
        <v>18</v>
      </c>
      <c r="K376" t="s">
        <v>115</v>
      </c>
      <c r="L376" t="str">
        <f>_xlfn.XLOOKUP(C376, Table2[Species],Table2[Genus], "Code Not Found")</f>
        <v>Fagus</v>
      </c>
      <c r="M376" t="str">
        <f>_xlfn.XLOOKUP(C376, Table2[Species],Table2[Sp. Name], "Code Not Found")</f>
        <v>grandifolia</v>
      </c>
      <c r="N376" t="str">
        <f>_xlfn.XLOOKUP(C376,Table2[Species],Table2[Family],"Code Not Found")</f>
        <v>Fagaceae</v>
      </c>
      <c r="O376" t="str" cm="1">
        <f t="array" ref="O376">_xlfn.IFS(F376="","",F376&lt;=5,"0 to 5",F376&lt;=10,"5.1 to 10",F376&lt;=20,"10 to 20", F376&lt;= 40, "20 to 40", F376 &lt;= 50, "40 to 50", F376 &gt; 50, "&gt;50" )</f>
        <v>0 to 5</v>
      </c>
    </row>
    <row r="377" spans="1:15" ht="14.4" x14ac:dyDescent="0.3">
      <c r="A377" t="s">
        <v>114</v>
      </c>
      <c r="B377" s="1">
        <v>46174</v>
      </c>
      <c r="C377" t="s">
        <v>22</v>
      </c>
      <c r="D377">
        <v>344</v>
      </c>
      <c r="E377">
        <v>1</v>
      </c>
      <c r="F377">
        <v>2.8</v>
      </c>
      <c r="G377" t="s">
        <v>30</v>
      </c>
      <c r="H377" t="s">
        <v>99</v>
      </c>
      <c r="I377" t="str">
        <f t="shared" si="6"/>
        <v>344_1</v>
      </c>
      <c r="J377" t="s">
        <v>18</v>
      </c>
      <c r="K377" t="s">
        <v>115</v>
      </c>
      <c r="L377" t="str">
        <f>_xlfn.XLOOKUP(C377, Table2[Species],Table2[Genus], "Code Not Found")</f>
        <v>Acer</v>
      </c>
      <c r="M377" t="str">
        <f>_xlfn.XLOOKUP(C377, Table2[Species],Table2[Sp. Name], "Code Not Found")</f>
        <v>rubrum</v>
      </c>
      <c r="N377" t="str">
        <f>_xlfn.XLOOKUP(C377,Table2[Species],Table2[Family],"Code Not Found")</f>
        <v>Sapindaceae</v>
      </c>
      <c r="O377" t="str" cm="1">
        <f t="array" ref="O377">_xlfn.IFS(F377="","",F377&lt;=5,"0 to 5",F377&lt;=10,"5.1 to 10",F377&lt;=20,"10 to 20", F377&lt;= 40, "20 to 40", F377 &lt;= 50, "40 to 50", F377 &gt; 50, "&gt;50" )</f>
        <v>0 to 5</v>
      </c>
    </row>
    <row r="378" spans="1:15" ht="14.4" x14ac:dyDescent="0.3">
      <c r="A378" t="s">
        <v>114</v>
      </c>
      <c r="B378" s="1">
        <v>46174</v>
      </c>
      <c r="C378" t="s">
        <v>16</v>
      </c>
      <c r="D378">
        <v>345</v>
      </c>
      <c r="E378">
        <v>1</v>
      </c>
      <c r="F378">
        <v>20.6</v>
      </c>
      <c r="G378" t="s">
        <v>17</v>
      </c>
      <c r="H378" t="s">
        <v>36</v>
      </c>
      <c r="I378" t="str">
        <f t="shared" si="6"/>
        <v>345_1</v>
      </c>
      <c r="J378" t="s">
        <v>18</v>
      </c>
      <c r="K378" t="s">
        <v>115</v>
      </c>
      <c r="L378" t="str">
        <f>_xlfn.XLOOKUP(C378, Table2[Species],Table2[Genus], "Code Not Found")</f>
        <v>Acer</v>
      </c>
      <c r="M378" t="str">
        <f>_xlfn.XLOOKUP(C378, Table2[Species],Table2[Sp. Name], "Code Not Found")</f>
        <v>saccharum</v>
      </c>
      <c r="N378" t="str">
        <f>_xlfn.XLOOKUP(C378,Table2[Species],Table2[Family],"Code Not Found")</f>
        <v>Sapindaceae</v>
      </c>
      <c r="O378" t="str" cm="1">
        <f t="array" ref="O378">_xlfn.IFS(F378="","",F378&lt;=5,"0 to 5",F378&lt;=10,"5.1 to 10",F378&lt;=20,"10 to 20", F378&lt;= 40, "20 to 40", F378 &lt;= 50, "40 to 50", F378 &gt; 50, "&gt;50" )</f>
        <v>20 to 40</v>
      </c>
    </row>
    <row r="379" spans="1:15" ht="14.4" x14ac:dyDescent="0.3">
      <c r="A379" t="s">
        <v>114</v>
      </c>
      <c r="B379" s="1">
        <v>46174</v>
      </c>
      <c r="C379" t="s">
        <v>64</v>
      </c>
      <c r="D379">
        <v>346</v>
      </c>
      <c r="E379">
        <v>1</v>
      </c>
      <c r="F379">
        <v>15.6</v>
      </c>
      <c r="G379" t="s">
        <v>21</v>
      </c>
      <c r="I379" t="str">
        <f t="shared" si="6"/>
        <v>346_1</v>
      </c>
      <c r="J379" t="s">
        <v>18</v>
      </c>
      <c r="K379" t="s">
        <v>115</v>
      </c>
      <c r="L379" t="str">
        <f>_xlfn.XLOOKUP(C379, Table2[Species],Table2[Genus], "Code Not Found")</f>
        <v>Fagus</v>
      </c>
      <c r="M379" t="str">
        <f>_xlfn.XLOOKUP(C379, Table2[Species],Table2[Sp. Name], "Code Not Found")</f>
        <v>grandifolia</v>
      </c>
      <c r="N379" t="str">
        <f>_xlfn.XLOOKUP(C379,Table2[Species],Table2[Family],"Code Not Found")</f>
        <v>Fagaceae</v>
      </c>
      <c r="O379" t="str" cm="1">
        <f t="array" ref="O379">_xlfn.IFS(F379="","",F379&lt;=5,"0 to 5",F379&lt;=10,"5.1 to 10",F379&lt;=20,"10 to 20", F379&lt;= 40, "20 to 40", F379 &lt;= 50, "40 to 50", F379 &gt; 50, "&gt;50" )</f>
        <v>10 to 20</v>
      </c>
    </row>
    <row r="380" spans="1:15" ht="14.4" x14ac:dyDescent="0.3">
      <c r="A380" t="s">
        <v>114</v>
      </c>
      <c r="B380" s="1">
        <v>46174</v>
      </c>
      <c r="C380" t="s">
        <v>16</v>
      </c>
      <c r="D380">
        <v>347</v>
      </c>
      <c r="E380">
        <v>1</v>
      </c>
      <c r="F380">
        <v>2.5</v>
      </c>
      <c r="G380" t="s">
        <v>17</v>
      </c>
      <c r="I380" t="str">
        <f t="shared" si="6"/>
        <v>347_1</v>
      </c>
      <c r="J380" t="s">
        <v>18</v>
      </c>
      <c r="K380" t="s">
        <v>115</v>
      </c>
      <c r="L380" t="str">
        <f>_xlfn.XLOOKUP(C380, Table2[Species],Table2[Genus], "Code Not Found")</f>
        <v>Acer</v>
      </c>
      <c r="M380" t="str">
        <f>_xlfn.XLOOKUP(C380, Table2[Species],Table2[Sp. Name], "Code Not Found")</f>
        <v>saccharum</v>
      </c>
      <c r="N380" t="str">
        <f>_xlfn.XLOOKUP(C380,Table2[Species],Table2[Family],"Code Not Found")</f>
        <v>Sapindaceae</v>
      </c>
      <c r="O380" t="str" cm="1">
        <f t="array" ref="O380">_xlfn.IFS(F380="","",F380&lt;=5,"0 to 5",F380&lt;=10,"5.1 to 10",F380&lt;=20,"10 to 20", F380&lt;= 40, "20 to 40", F380 &lt;= 50, "40 to 50", F380 &gt; 50, "&gt;50" )</f>
        <v>0 to 5</v>
      </c>
    </row>
    <row r="381" spans="1:15" ht="14.4" x14ac:dyDescent="0.3">
      <c r="A381" t="s">
        <v>114</v>
      </c>
      <c r="B381" s="1">
        <v>46174</v>
      </c>
      <c r="C381" t="s">
        <v>22</v>
      </c>
      <c r="D381">
        <v>348</v>
      </c>
      <c r="E381">
        <v>1</v>
      </c>
      <c r="F381">
        <v>29.2</v>
      </c>
      <c r="G381" t="s">
        <v>21</v>
      </c>
      <c r="I381" t="str">
        <f t="shared" si="6"/>
        <v>348_1</v>
      </c>
      <c r="J381" t="s">
        <v>18</v>
      </c>
      <c r="K381" t="s">
        <v>115</v>
      </c>
      <c r="L381" t="str">
        <f>_xlfn.XLOOKUP(C381, Table2[Species],Table2[Genus], "Code Not Found")</f>
        <v>Acer</v>
      </c>
      <c r="M381" t="str">
        <f>_xlfn.XLOOKUP(C381, Table2[Species],Table2[Sp. Name], "Code Not Found")</f>
        <v>rubrum</v>
      </c>
      <c r="N381" t="str">
        <f>_xlfn.XLOOKUP(C381,Table2[Species],Table2[Family],"Code Not Found")</f>
        <v>Sapindaceae</v>
      </c>
      <c r="O381" t="str" cm="1">
        <f t="array" ref="O381">_xlfn.IFS(F381="","",F381&lt;=5,"0 to 5",F381&lt;=10,"5.1 to 10",F381&lt;=20,"10 to 20", F381&lt;= 40, "20 to 40", F381 &lt;= 50, "40 to 50", F381 &gt; 50, "&gt;50" )</f>
        <v>20 to 40</v>
      </c>
    </row>
    <row r="382" spans="1:15" ht="14.4" x14ac:dyDescent="0.3">
      <c r="A382" t="s">
        <v>114</v>
      </c>
      <c r="B382" s="1">
        <v>46174</v>
      </c>
      <c r="C382" t="s">
        <v>16</v>
      </c>
      <c r="D382">
        <v>349</v>
      </c>
      <c r="E382">
        <v>1</v>
      </c>
      <c r="F382">
        <v>1.6</v>
      </c>
      <c r="G382" t="s">
        <v>93</v>
      </c>
      <c r="H382" t="s">
        <v>137</v>
      </c>
      <c r="I382" t="str">
        <f t="shared" si="6"/>
        <v>349_1</v>
      </c>
      <c r="J382" t="s">
        <v>18</v>
      </c>
      <c r="K382" t="s">
        <v>115</v>
      </c>
      <c r="L382" t="str">
        <f>_xlfn.XLOOKUP(C382, Table2[Species],Table2[Genus], "Code Not Found")</f>
        <v>Acer</v>
      </c>
      <c r="M382" t="str">
        <f>_xlfn.XLOOKUP(C382, Table2[Species],Table2[Sp. Name], "Code Not Found")</f>
        <v>saccharum</v>
      </c>
      <c r="N382" t="str">
        <f>_xlfn.XLOOKUP(C382,Table2[Species],Table2[Family],"Code Not Found")</f>
        <v>Sapindaceae</v>
      </c>
      <c r="O382" t="str" cm="1">
        <f t="array" ref="O382">_xlfn.IFS(F382="","",F382&lt;=5,"0 to 5",F382&lt;=10,"5.1 to 10",F382&lt;=20,"10 to 20", F382&lt;= 40, "20 to 40", F382 &lt;= 50, "40 to 50", F382 &gt; 50, "&gt;50" )</f>
        <v>0 to 5</v>
      </c>
    </row>
    <row r="383" spans="1:15" ht="14.4" x14ac:dyDescent="0.3">
      <c r="A383" t="s">
        <v>114</v>
      </c>
      <c r="B383" s="1">
        <v>46174</v>
      </c>
      <c r="C383" t="s">
        <v>16</v>
      </c>
      <c r="D383">
        <v>349</v>
      </c>
      <c r="E383">
        <v>2</v>
      </c>
      <c r="F383">
        <v>1</v>
      </c>
      <c r="G383" t="s">
        <v>93</v>
      </c>
      <c r="H383" t="s">
        <v>137</v>
      </c>
      <c r="I383" t="str">
        <f t="shared" si="6"/>
        <v>349_2</v>
      </c>
      <c r="J383" t="s">
        <v>18</v>
      </c>
      <c r="K383" t="s">
        <v>115</v>
      </c>
      <c r="L383" t="str">
        <f>_xlfn.XLOOKUP(C383, Table2[Species],Table2[Genus], "Code Not Found")</f>
        <v>Acer</v>
      </c>
      <c r="M383" t="str">
        <f>_xlfn.XLOOKUP(C383, Table2[Species],Table2[Sp. Name], "Code Not Found")</f>
        <v>saccharum</v>
      </c>
      <c r="N383" t="str">
        <f>_xlfn.XLOOKUP(C383,Table2[Species],Table2[Family],"Code Not Found")</f>
        <v>Sapindaceae</v>
      </c>
      <c r="O383" t="str" cm="1">
        <f t="array" ref="O383">_xlfn.IFS(F383="","",F383&lt;=5,"0 to 5",F383&lt;=10,"5.1 to 10",F383&lt;=20,"10 to 20", F383&lt;= 40, "20 to 40", F383 &lt;= 50, "40 to 50", F383 &gt; 50, "&gt;50" )</f>
        <v>0 to 5</v>
      </c>
    </row>
    <row r="384" spans="1:15" ht="14.4" x14ac:dyDescent="0.3">
      <c r="A384" t="s">
        <v>114</v>
      </c>
      <c r="B384" s="1">
        <v>46174</v>
      </c>
      <c r="C384" t="s">
        <v>16</v>
      </c>
      <c r="D384">
        <v>350</v>
      </c>
      <c r="E384">
        <v>1</v>
      </c>
      <c r="F384">
        <v>3.8</v>
      </c>
      <c r="G384" t="s">
        <v>30</v>
      </c>
      <c r="H384" t="s">
        <v>99</v>
      </c>
      <c r="I384" t="str">
        <f t="shared" si="6"/>
        <v>350_1</v>
      </c>
      <c r="J384" t="s">
        <v>18</v>
      </c>
      <c r="K384" t="s">
        <v>115</v>
      </c>
      <c r="L384" t="str">
        <f>_xlfn.XLOOKUP(C384, Table2[Species],Table2[Genus], "Code Not Found")</f>
        <v>Acer</v>
      </c>
      <c r="M384" t="str">
        <f>_xlfn.XLOOKUP(C384, Table2[Species],Table2[Sp. Name], "Code Not Found")</f>
        <v>saccharum</v>
      </c>
      <c r="N384" t="str">
        <f>_xlfn.XLOOKUP(C384,Table2[Species],Table2[Family],"Code Not Found")</f>
        <v>Sapindaceae</v>
      </c>
      <c r="O384" t="str" cm="1">
        <f t="array" ref="O384">_xlfn.IFS(F384="","",F384&lt;=5,"0 to 5",F384&lt;=10,"5.1 to 10",F384&lt;=20,"10 to 20", F384&lt;= 40, "20 to 40", F384 &lt;= 50, "40 to 50", F384 &gt; 50, "&gt;50" )</f>
        <v>0 to 5</v>
      </c>
    </row>
    <row r="385" spans="1:15" ht="14.4" x14ac:dyDescent="0.3">
      <c r="A385" t="s">
        <v>114</v>
      </c>
      <c r="B385" s="1">
        <v>46174</v>
      </c>
      <c r="C385" t="s">
        <v>22</v>
      </c>
      <c r="D385">
        <v>351</v>
      </c>
      <c r="E385">
        <v>1</v>
      </c>
      <c r="F385">
        <v>10.9</v>
      </c>
      <c r="G385" t="s">
        <v>17</v>
      </c>
      <c r="H385" t="s">
        <v>36</v>
      </c>
      <c r="I385" t="str">
        <f t="shared" ref="I385:I448" si="7">D385&amp;"_"&amp;E385</f>
        <v>351_1</v>
      </c>
      <c r="J385" t="s">
        <v>18</v>
      </c>
      <c r="K385" t="s">
        <v>115</v>
      </c>
      <c r="L385" t="str">
        <f>_xlfn.XLOOKUP(C385, Table2[Species],Table2[Genus], "Code Not Found")</f>
        <v>Acer</v>
      </c>
      <c r="M385" t="str">
        <f>_xlfn.XLOOKUP(C385, Table2[Species],Table2[Sp. Name], "Code Not Found")</f>
        <v>rubrum</v>
      </c>
      <c r="N385" t="str">
        <f>_xlfn.XLOOKUP(C385,Table2[Species],Table2[Family],"Code Not Found")</f>
        <v>Sapindaceae</v>
      </c>
      <c r="O385" t="str" cm="1">
        <f t="array" ref="O385">_xlfn.IFS(F385="","",F385&lt;=5,"0 to 5",F385&lt;=10,"5.1 to 10",F385&lt;=20,"10 to 20", F385&lt;= 40, "20 to 40", F385 &lt;= 50, "40 to 50", F385 &gt; 50, "&gt;50" )</f>
        <v>10 to 20</v>
      </c>
    </row>
    <row r="386" spans="1:15" ht="14.4" x14ac:dyDescent="0.3">
      <c r="A386" t="s">
        <v>114</v>
      </c>
      <c r="B386" s="1">
        <v>46174</v>
      </c>
      <c r="C386" t="s">
        <v>16</v>
      </c>
      <c r="D386">
        <v>352</v>
      </c>
      <c r="E386">
        <v>1</v>
      </c>
      <c r="F386">
        <v>5.8</v>
      </c>
      <c r="G386" t="s">
        <v>17</v>
      </c>
      <c r="H386" t="s">
        <v>36</v>
      </c>
      <c r="I386" t="str">
        <f t="shared" si="7"/>
        <v>352_1</v>
      </c>
      <c r="J386" t="s">
        <v>18</v>
      </c>
      <c r="K386" t="s">
        <v>115</v>
      </c>
      <c r="L386" t="str">
        <f>_xlfn.XLOOKUP(C386, Table2[Species],Table2[Genus], "Code Not Found")</f>
        <v>Acer</v>
      </c>
      <c r="M386" t="str">
        <f>_xlfn.XLOOKUP(C386, Table2[Species],Table2[Sp. Name], "Code Not Found")</f>
        <v>saccharum</v>
      </c>
      <c r="N386" t="str">
        <f>_xlfn.XLOOKUP(C386,Table2[Species],Table2[Family],"Code Not Found")</f>
        <v>Sapindaceae</v>
      </c>
      <c r="O386" t="str" cm="1">
        <f t="array" ref="O386">_xlfn.IFS(F386="","",F386&lt;=5,"0 to 5",F386&lt;=10,"5.1 to 10",F386&lt;=20,"10 to 20", F386&lt;= 40, "20 to 40", F386 &lt;= 50, "40 to 50", F386 &gt; 50, "&gt;50" )</f>
        <v>5.1 to 10</v>
      </c>
    </row>
    <row r="387" spans="1:15" ht="14.4" x14ac:dyDescent="0.3">
      <c r="A387" t="s">
        <v>114</v>
      </c>
      <c r="B387" s="1">
        <v>46174</v>
      </c>
      <c r="C387" t="s">
        <v>22</v>
      </c>
      <c r="D387">
        <v>353</v>
      </c>
      <c r="E387">
        <v>1</v>
      </c>
      <c r="F387">
        <v>6.9</v>
      </c>
      <c r="G387" t="s">
        <v>17</v>
      </c>
      <c r="I387" t="str">
        <f t="shared" si="7"/>
        <v>353_1</v>
      </c>
      <c r="J387" t="s">
        <v>18</v>
      </c>
      <c r="K387" t="s">
        <v>115</v>
      </c>
      <c r="L387" t="str">
        <f>_xlfn.XLOOKUP(C387, Table2[Species],Table2[Genus], "Code Not Found")</f>
        <v>Acer</v>
      </c>
      <c r="M387" t="str">
        <f>_xlfn.XLOOKUP(C387, Table2[Species],Table2[Sp. Name], "Code Not Found")</f>
        <v>rubrum</v>
      </c>
      <c r="N387" t="str">
        <f>_xlfn.XLOOKUP(C387,Table2[Species],Table2[Family],"Code Not Found")</f>
        <v>Sapindaceae</v>
      </c>
      <c r="O387" t="str" cm="1">
        <f t="array" ref="O387">_xlfn.IFS(F387="","",F387&lt;=5,"0 to 5",F387&lt;=10,"5.1 to 10",F387&lt;=20,"10 to 20", F387&lt;= 40, "20 to 40", F387 &lt;= 50, "40 to 50", F387 &gt; 50, "&gt;50" )</f>
        <v>5.1 to 10</v>
      </c>
    </row>
    <row r="388" spans="1:15" ht="14.4" x14ac:dyDescent="0.3">
      <c r="A388" t="s">
        <v>114</v>
      </c>
      <c r="B388" s="1">
        <v>46174</v>
      </c>
      <c r="C388" t="s">
        <v>117</v>
      </c>
      <c r="D388">
        <v>354</v>
      </c>
      <c r="E388">
        <v>1</v>
      </c>
      <c r="F388">
        <v>4.5</v>
      </c>
      <c r="G388" t="s">
        <v>21</v>
      </c>
      <c r="I388" t="str">
        <f t="shared" si="7"/>
        <v>354_1</v>
      </c>
      <c r="J388" t="s">
        <v>18</v>
      </c>
      <c r="K388" t="s">
        <v>115</v>
      </c>
      <c r="L388" t="str">
        <f>_xlfn.XLOOKUP(C388, Table2[Species],Table2[Genus], "Code Not Found")</f>
        <v>Ostrya</v>
      </c>
      <c r="M388" t="str">
        <f>_xlfn.XLOOKUP(C388, Table2[Species],Table2[Sp. Name], "Code Not Found")</f>
        <v>viginiana</v>
      </c>
      <c r="N388" t="str">
        <f>_xlfn.XLOOKUP(C388,Table2[Species],Table2[Family],"Code Not Found")</f>
        <v>Betulaceae</v>
      </c>
      <c r="O388" t="str" cm="1">
        <f t="array" ref="O388">_xlfn.IFS(F388="","",F388&lt;=5,"0 to 5",F388&lt;=10,"5.1 to 10",F388&lt;=20,"10 to 20", F388&lt;= 40, "20 to 40", F388 &lt;= 50, "40 to 50", F388 &gt; 50, "&gt;50" )</f>
        <v>0 to 5</v>
      </c>
    </row>
    <row r="389" spans="1:15" ht="14.4" x14ac:dyDescent="0.3">
      <c r="A389" t="s">
        <v>114</v>
      </c>
      <c r="B389" s="1">
        <v>46174</v>
      </c>
      <c r="C389" t="s">
        <v>123</v>
      </c>
      <c r="D389">
        <v>355</v>
      </c>
      <c r="E389">
        <v>1</v>
      </c>
      <c r="F389">
        <v>55.1</v>
      </c>
      <c r="G389" t="s">
        <v>21</v>
      </c>
      <c r="I389" t="str">
        <f t="shared" si="7"/>
        <v>355_1</v>
      </c>
      <c r="J389" t="s">
        <v>18</v>
      </c>
      <c r="K389" t="s">
        <v>115</v>
      </c>
      <c r="L389" t="str">
        <f>_xlfn.XLOOKUP(C389, Table2[Species],Table2[Genus], "Code Not Found")</f>
        <v>Quercus</v>
      </c>
      <c r="M389" t="str">
        <f>_xlfn.XLOOKUP(C389, Table2[Species],Table2[Sp. Name], "Code Not Found")</f>
        <v>rubra</v>
      </c>
      <c r="N389" t="str">
        <f>_xlfn.XLOOKUP(C389,Table2[Species],Table2[Family],"Code Not Found")</f>
        <v>Fagaceae</v>
      </c>
      <c r="O389" t="str" cm="1">
        <f t="array" ref="O389">_xlfn.IFS(F389="","",F389&lt;=5,"0 to 5",F389&lt;=10,"5.1 to 10",F389&lt;=20,"10 to 20", F389&lt;= 40, "20 to 40", F389 &lt;= 50, "40 to 50", F389 &gt; 50, "&gt;50" )</f>
        <v>&gt;50</v>
      </c>
    </row>
    <row r="390" spans="1:15" ht="14.4" x14ac:dyDescent="0.3">
      <c r="A390" t="s">
        <v>114</v>
      </c>
      <c r="B390" s="1">
        <v>46174</v>
      </c>
      <c r="C390" t="s">
        <v>20</v>
      </c>
      <c r="D390">
        <v>356</v>
      </c>
      <c r="E390">
        <v>1</v>
      </c>
      <c r="F390">
        <v>7.4</v>
      </c>
      <c r="G390" t="s">
        <v>47</v>
      </c>
      <c r="H390" t="s">
        <v>43</v>
      </c>
      <c r="I390" t="str">
        <f t="shared" si="7"/>
        <v>356_1</v>
      </c>
      <c r="J390" t="s">
        <v>18</v>
      </c>
      <c r="K390" t="s">
        <v>115</v>
      </c>
      <c r="L390" t="str">
        <f>_xlfn.XLOOKUP(C390, Table2[Species],Table2[Genus], "Code Not Found")</f>
        <v>Prunus</v>
      </c>
      <c r="M390" t="str">
        <f>_xlfn.XLOOKUP(C390, Table2[Species],Table2[Sp. Name], "Code Not Found")</f>
        <v>serotina</v>
      </c>
      <c r="N390" t="str">
        <f>_xlfn.XLOOKUP(C390,Table2[Species],Table2[Family],"Code Not Found")</f>
        <v>Rosaceae</v>
      </c>
      <c r="O390" t="str" cm="1">
        <f t="array" ref="O390">_xlfn.IFS(F390="","",F390&lt;=5,"0 to 5",F390&lt;=10,"5.1 to 10",F390&lt;=20,"10 to 20", F390&lt;= 40, "20 to 40", F390 &lt;= 50, "40 to 50", F390 &gt; 50, "&gt;50" )</f>
        <v>5.1 to 10</v>
      </c>
    </row>
    <row r="391" spans="1:15" ht="14.4" x14ac:dyDescent="0.3">
      <c r="A391" t="s">
        <v>114</v>
      </c>
      <c r="B391" s="1">
        <v>46174</v>
      </c>
      <c r="C391" t="s">
        <v>16</v>
      </c>
      <c r="D391">
        <v>357</v>
      </c>
      <c r="E391">
        <v>1</v>
      </c>
      <c r="F391">
        <v>1.1000000000000001</v>
      </c>
      <c r="G391" t="s">
        <v>57</v>
      </c>
      <c r="H391" t="s">
        <v>43</v>
      </c>
      <c r="I391" t="str">
        <f t="shared" si="7"/>
        <v>357_1</v>
      </c>
      <c r="J391" t="s">
        <v>18</v>
      </c>
      <c r="K391" t="s">
        <v>115</v>
      </c>
      <c r="L391" t="str">
        <f>_xlfn.XLOOKUP(C391, Table2[Species],Table2[Genus], "Code Not Found")</f>
        <v>Acer</v>
      </c>
      <c r="M391" t="str">
        <f>_xlfn.XLOOKUP(C391, Table2[Species],Table2[Sp. Name], "Code Not Found")</f>
        <v>saccharum</v>
      </c>
      <c r="N391" t="str">
        <f>_xlfn.XLOOKUP(C391,Table2[Species],Table2[Family],"Code Not Found")</f>
        <v>Sapindaceae</v>
      </c>
      <c r="O391" t="str" cm="1">
        <f t="array" ref="O391">_xlfn.IFS(F391="","",F391&lt;=5,"0 to 5",F391&lt;=10,"5.1 to 10",F391&lt;=20,"10 to 20", F391&lt;= 40, "20 to 40", F391 &lt;= 50, "40 to 50", F391 &gt; 50, "&gt;50" )</f>
        <v>0 to 5</v>
      </c>
    </row>
    <row r="392" spans="1:15" ht="14.4" x14ac:dyDescent="0.3">
      <c r="A392" t="s">
        <v>114</v>
      </c>
      <c r="B392" s="1">
        <v>46174</v>
      </c>
      <c r="C392" t="s">
        <v>16</v>
      </c>
      <c r="D392">
        <v>358</v>
      </c>
      <c r="E392">
        <v>1</v>
      </c>
      <c r="F392">
        <v>7.6</v>
      </c>
      <c r="G392" t="s">
        <v>17</v>
      </c>
      <c r="I392" t="str">
        <f t="shared" si="7"/>
        <v>358_1</v>
      </c>
      <c r="J392" t="s">
        <v>18</v>
      </c>
      <c r="K392" t="s">
        <v>115</v>
      </c>
      <c r="L392" t="str">
        <f>_xlfn.XLOOKUP(C392, Table2[Species],Table2[Genus], "Code Not Found")</f>
        <v>Acer</v>
      </c>
      <c r="M392" t="str">
        <f>_xlfn.XLOOKUP(C392, Table2[Species],Table2[Sp. Name], "Code Not Found")</f>
        <v>saccharum</v>
      </c>
      <c r="N392" t="str">
        <f>_xlfn.XLOOKUP(C392,Table2[Species],Table2[Family],"Code Not Found")</f>
        <v>Sapindaceae</v>
      </c>
      <c r="O392" t="str" cm="1">
        <f t="array" ref="O392">_xlfn.IFS(F392="","",F392&lt;=5,"0 to 5",F392&lt;=10,"5.1 to 10",F392&lt;=20,"10 to 20", F392&lt;= 40, "20 to 40", F392 &lt;= 50, "40 to 50", F392 &gt; 50, "&gt;50" )</f>
        <v>5.1 to 10</v>
      </c>
    </row>
    <row r="393" spans="1:15" ht="14.4" x14ac:dyDescent="0.3">
      <c r="A393" t="s">
        <v>114</v>
      </c>
      <c r="B393" s="1">
        <v>46174</v>
      </c>
      <c r="C393" t="s">
        <v>20</v>
      </c>
      <c r="D393">
        <v>359</v>
      </c>
      <c r="E393">
        <v>1</v>
      </c>
      <c r="F393">
        <v>4.9000000000000004</v>
      </c>
      <c r="G393" t="s">
        <v>138</v>
      </c>
      <c r="I393" t="str">
        <f t="shared" si="7"/>
        <v>359_1</v>
      </c>
      <c r="J393" t="s">
        <v>18</v>
      </c>
      <c r="K393" t="s">
        <v>115</v>
      </c>
      <c r="L393" t="str">
        <f>_xlfn.XLOOKUP(C393, Table2[Species],Table2[Genus], "Code Not Found")</f>
        <v>Prunus</v>
      </c>
      <c r="M393" t="str">
        <f>_xlfn.XLOOKUP(C393, Table2[Species],Table2[Sp. Name], "Code Not Found")</f>
        <v>serotina</v>
      </c>
      <c r="N393" t="str">
        <f>_xlfn.XLOOKUP(C393,Table2[Species],Table2[Family],"Code Not Found")</f>
        <v>Rosaceae</v>
      </c>
      <c r="O393" t="str" cm="1">
        <f t="array" ref="O393">_xlfn.IFS(F393="","",F393&lt;=5,"0 to 5",F393&lt;=10,"5.1 to 10",F393&lt;=20,"10 to 20", F393&lt;= 40, "20 to 40", F393 &lt;= 50, "40 to 50", F393 &gt; 50, "&gt;50" )</f>
        <v>0 to 5</v>
      </c>
    </row>
    <row r="394" spans="1:15" ht="14.4" x14ac:dyDescent="0.3">
      <c r="A394" t="s">
        <v>114</v>
      </c>
      <c r="B394" s="1">
        <v>46174</v>
      </c>
      <c r="C394" t="s">
        <v>22</v>
      </c>
      <c r="D394">
        <v>360</v>
      </c>
      <c r="E394">
        <v>1</v>
      </c>
      <c r="F394">
        <v>8.1999999999999993</v>
      </c>
      <c r="G394" t="s">
        <v>21</v>
      </c>
      <c r="I394" t="str">
        <f t="shared" si="7"/>
        <v>360_1</v>
      </c>
      <c r="J394" t="s">
        <v>18</v>
      </c>
      <c r="K394" t="s">
        <v>115</v>
      </c>
      <c r="L394" t="str">
        <f>_xlfn.XLOOKUP(C394, Table2[Species],Table2[Genus], "Code Not Found")</f>
        <v>Acer</v>
      </c>
      <c r="M394" t="str">
        <f>_xlfn.XLOOKUP(C394, Table2[Species],Table2[Sp. Name], "Code Not Found")</f>
        <v>rubrum</v>
      </c>
      <c r="N394" t="str">
        <f>_xlfn.XLOOKUP(C394,Table2[Species],Table2[Family],"Code Not Found")</f>
        <v>Sapindaceae</v>
      </c>
      <c r="O394" t="str" cm="1">
        <f t="array" ref="O394">_xlfn.IFS(F394="","",F394&lt;=5,"0 to 5",F394&lt;=10,"5.1 to 10",F394&lt;=20,"10 to 20", F394&lt;= 40, "20 to 40", F394 &lt;= 50, "40 to 50", F394 &gt; 50, "&gt;50" )</f>
        <v>5.1 to 10</v>
      </c>
    </row>
    <row r="395" spans="1:15" ht="14.4" x14ac:dyDescent="0.3">
      <c r="A395" t="s">
        <v>114</v>
      </c>
      <c r="B395" s="1">
        <v>46175</v>
      </c>
      <c r="C395" t="s">
        <v>22</v>
      </c>
      <c r="D395">
        <v>361</v>
      </c>
      <c r="E395">
        <v>1</v>
      </c>
      <c r="F395">
        <v>3.1</v>
      </c>
      <c r="G395" t="s">
        <v>47</v>
      </c>
      <c r="H395" t="s">
        <v>43</v>
      </c>
      <c r="I395" t="str">
        <f t="shared" si="7"/>
        <v>361_1</v>
      </c>
      <c r="J395" t="s">
        <v>18</v>
      </c>
      <c r="K395" t="s">
        <v>115</v>
      </c>
      <c r="L395" t="str">
        <f>_xlfn.XLOOKUP(C395, Table2[Species],Table2[Genus], "Code Not Found")</f>
        <v>Acer</v>
      </c>
      <c r="M395" t="str">
        <f>_xlfn.XLOOKUP(C395, Table2[Species],Table2[Sp. Name], "Code Not Found")</f>
        <v>rubrum</v>
      </c>
      <c r="N395" t="str">
        <f>_xlfn.XLOOKUP(C395,Table2[Species],Table2[Family],"Code Not Found")</f>
        <v>Sapindaceae</v>
      </c>
      <c r="O395" t="str" cm="1">
        <f t="array" ref="O395">_xlfn.IFS(F395="","",F395&lt;=5,"0 to 5",F395&lt;=10,"5.1 to 10",F395&lt;=20,"10 to 20", F395&lt;= 40, "20 to 40", F395 &lt;= 50, "40 to 50", F395 &gt; 50, "&gt;50" )</f>
        <v>0 to 5</v>
      </c>
    </row>
    <row r="396" spans="1:15" ht="14.4" x14ac:dyDescent="0.3">
      <c r="A396" t="s">
        <v>114</v>
      </c>
      <c r="B396" s="1">
        <v>46175</v>
      </c>
      <c r="C396" t="s">
        <v>16</v>
      </c>
      <c r="D396">
        <v>362</v>
      </c>
      <c r="E396">
        <v>1</v>
      </c>
      <c r="F396">
        <v>3.8</v>
      </c>
      <c r="G396" t="s">
        <v>139</v>
      </c>
      <c r="H396" t="s">
        <v>140</v>
      </c>
      <c r="I396" t="str">
        <f t="shared" si="7"/>
        <v>362_1</v>
      </c>
      <c r="J396" t="s">
        <v>18</v>
      </c>
      <c r="K396" t="s">
        <v>115</v>
      </c>
      <c r="L396" t="str">
        <f>_xlfn.XLOOKUP(C396, Table2[Species],Table2[Genus], "Code Not Found")</f>
        <v>Acer</v>
      </c>
      <c r="M396" t="str">
        <f>_xlfn.XLOOKUP(C396, Table2[Species],Table2[Sp. Name], "Code Not Found")</f>
        <v>saccharum</v>
      </c>
      <c r="N396" t="str">
        <f>_xlfn.XLOOKUP(C396,Table2[Species],Table2[Family],"Code Not Found")</f>
        <v>Sapindaceae</v>
      </c>
      <c r="O396" t="str" cm="1">
        <f t="array" ref="O396">_xlfn.IFS(F396="","",F396&lt;=5,"0 to 5",F396&lt;=10,"5.1 to 10",F396&lt;=20,"10 to 20", F396&lt;= 40, "20 to 40", F396 &lt;= 50, "40 to 50", F396 &gt; 50, "&gt;50" )</f>
        <v>0 to 5</v>
      </c>
    </row>
    <row r="397" spans="1:15" ht="14.4" x14ac:dyDescent="0.3">
      <c r="A397" t="s">
        <v>114</v>
      </c>
      <c r="B397" s="1">
        <v>46175</v>
      </c>
      <c r="C397" t="s">
        <v>16</v>
      </c>
      <c r="D397">
        <v>363</v>
      </c>
      <c r="E397">
        <v>1</v>
      </c>
      <c r="F397">
        <v>3.2</v>
      </c>
      <c r="G397" t="s">
        <v>141</v>
      </c>
      <c r="I397" t="str">
        <f t="shared" si="7"/>
        <v>363_1</v>
      </c>
      <c r="J397" t="s">
        <v>18</v>
      </c>
      <c r="K397" t="s">
        <v>115</v>
      </c>
      <c r="L397" t="str">
        <f>_xlfn.XLOOKUP(C397, Table2[Species],Table2[Genus], "Code Not Found")</f>
        <v>Acer</v>
      </c>
      <c r="M397" t="str">
        <f>_xlfn.XLOOKUP(C397, Table2[Species],Table2[Sp. Name], "Code Not Found")</f>
        <v>saccharum</v>
      </c>
      <c r="N397" t="str">
        <f>_xlfn.XLOOKUP(C397,Table2[Species],Table2[Family],"Code Not Found")</f>
        <v>Sapindaceae</v>
      </c>
      <c r="O397" t="str" cm="1">
        <f t="array" ref="O397">_xlfn.IFS(F397="","",F397&lt;=5,"0 to 5",F397&lt;=10,"5.1 to 10",F397&lt;=20,"10 to 20", F397&lt;= 40, "20 to 40", F397 &lt;= 50, "40 to 50", F397 &gt; 50, "&gt;50" )</f>
        <v>0 to 5</v>
      </c>
    </row>
    <row r="398" spans="1:15" ht="14.4" x14ac:dyDescent="0.3">
      <c r="A398" t="s">
        <v>114</v>
      </c>
      <c r="B398" s="1">
        <v>46175</v>
      </c>
      <c r="C398" t="s">
        <v>16</v>
      </c>
      <c r="D398">
        <v>363</v>
      </c>
      <c r="E398">
        <v>2</v>
      </c>
      <c r="F398">
        <v>1.7</v>
      </c>
      <c r="G398" t="s">
        <v>141</v>
      </c>
      <c r="H398" t="s">
        <v>43</v>
      </c>
      <c r="I398" t="str">
        <f t="shared" si="7"/>
        <v>363_2</v>
      </c>
      <c r="J398" t="s">
        <v>18</v>
      </c>
      <c r="K398" t="s">
        <v>115</v>
      </c>
      <c r="L398" t="str">
        <f>_xlfn.XLOOKUP(C398, Table2[Species],Table2[Genus], "Code Not Found")</f>
        <v>Acer</v>
      </c>
      <c r="M398" t="str">
        <f>_xlfn.XLOOKUP(C398, Table2[Species],Table2[Sp. Name], "Code Not Found")</f>
        <v>saccharum</v>
      </c>
      <c r="N398" t="str">
        <f>_xlfn.XLOOKUP(C398,Table2[Species],Table2[Family],"Code Not Found")</f>
        <v>Sapindaceae</v>
      </c>
      <c r="O398" t="str" cm="1">
        <f t="array" ref="O398">_xlfn.IFS(F398="","",F398&lt;=5,"0 to 5",F398&lt;=10,"5.1 to 10",F398&lt;=20,"10 to 20", F398&lt;= 40, "20 to 40", F398 &lt;= 50, "40 to 50", F398 &gt; 50, "&gt;50" )</f>
        <v>0 to 5</v>
      </c>
    </row>
    <row r="399" spans="1:15" ht="14.4" x14ac:dyDescent="0.3">
      <c r="A399" t="s">
        <v>114</v>
      </c>
      <c r="B399" s="1">
        <v>46175</v>
      </c>
      <c r="C399" t="s">
        <v>16</v>
      </c>
      <c r="D399">
        <v>364</v>
      </c>
      <c r="E399">
        <v>1</v>
      </c>
      <c r="F399">
        <v>2.7</v>
      </c>
      <c r="G399" t="s">
        <v>142</v>
      </c>
      <c r="H399" t="s">
        <v>143</v>
      </c>
      <c r="I399" t="str">
        <f t="shared" si="7"/>
        <v>364_1</v>
      </c>
      <c r="J399" t="s">
        <v>18</v>
      </c>
      <c r="K399" t="s">
        <v>115</v>
      </c>
      <c r="L399" t="str">
        <f>_xlfn.XLOOKUP(C399, Table2[Species],Table2[Genus], "Code Not Found")</f>
        <v>Acer</v>
      </c>
      <c r="M399" t="str">
        <f>_xlfn.XLOOKUP(C399, Table2[Species],Table2[Sp. Name], "Code Not Found")</f>
        <v>saccharum</v>
      </c>
      <c r="N399" t="str">
        <f>_xlfn.XLOOKUP(C399,Table2[Species],Table2[Family],"Code Not Found")</f>
        <v>Sapindaceae</v>
      </c>
      <c r="O399" t="str" cm="1">
        <f t="array" ref="O399">_xlfn.IFS(F399="","",F399&lt;=5,"0 to 5",F399&lt;=10,"5.1 to 10",F399&lt;=20,"10 to 20", F399&lt;= 40, "20 to 40", F399 &lt;= 50, "40 to 50", F399 &gt; 50, "&gt;50" )</f>
        <v>0 to 5</v>
      </c>
    </row>
    <row r="400" spans="1:15" ht="14.4" x14ac:dyDescent="0.3">
      <c r="A400" t="s">
        <v>114</v>
      </c>
      <c r="B400" s="1">
        <v>46175</v>
      </c>
      <c r="C400" t="s">
        <v>20</v>
      </c>
      <c r="D400">
        <v>365</v>
      </c>
      <c r="E400">
        <v>1</v>
      </c>
      <c r="F400">
        <v>7.6</v>
      </c>
      <c r="G400" t="s">
        <v>21</v>
      </c>
      <c r="I400" t="str">
        <f t="shared" si="7"/>
        <v>365_1</v>
      </c>
      <c r="J400" t="s">
        <v>18</v>
      </c>
      <c r="K400" t="s">
        <v>115</v>
      </c>
      <c r="L400" t="str">
        <f>_xlfn.XLOOKUP(C400, Table2[Species],Table2[Genus], "Code Not Found")</f>
        <v>Prunus</v>
      </c>
      <c r="M400" t="str">
        <f>_xlfn.XLOOKUP(C400, Table2[Species],Table2[Sp. Name], "Code Not Found")</f>
        <v>serotina</v>
      </c>
      <c r="N400" t="str">
        <f>_xlfn.XLOOKUP(C400,Table2[Species],Table2[Family],"Code Not Found")</f>
        <v>Rosaceae</v>
      </c>
      <c r="O400" t="str" cm="1">
        <f t="array" ref="O400">_xlfn.IFS(F400="","",F400&lt;=5,"0 to 5",F400&lt;=10,"5.1 to 10",F400&lt;=20,"10 to 20", F400&lt;= 40, "20 to 40", F400 &lt;= 50, "40 to 50", F400 &gt; 50, "&gt;50" )</f>
        <v>5.1 to 10</v>
      </c>
    </row>
    <row r="401" spans="1:15" ht="14.4" x14ac:dyDescent="0.3">
      <c r="A401" t="s">
        <v>114</v>
      </c>
      <c r="B401" s="1">
        <v>46175</v>
      </c>
      <c r="C401" t="s">
        <v>16</v>
      </c>
      <c r="D401">
        <v>366</v>
      </c>
      <c r="E401">
        <v>1</v>
      </c>
      <c r="F401">
        <v>4.3</v>
      </c>
      <c r="G401" t="s">
        <v>17</v>
      </c>
      <c r="I401" t="str">
        <f t="shared" si="7"/>
        <v>366_1</v>
      </c>
      <c r="J401" t="s">
        <v>18</v>
      </c>
      <c r="K401" t="s">
        <v>115</v>
      </c>
      <c r="L401" t="str">
        <f>_xlfn.XLOOKUP(C401, Table2[Species],Table2[Genus], "Code Not Found")</f>
        <v>Acer</v>
      </c>
      <c r="M401" t="str">
        <f>_xlfn.XLOOKUP(C401, Table2[Species],Table2[Sp. Name], "Code Not Found")</f>
        <v>saccharum</v>
      </c>
      <c r="N401" t="str">
        <f>_xlfn.XLOOKUP(C401,Table2[Species],Table2[Family],"Code Not Found")</f>
        <v>Sapindaceae</v>
      </c>
      <c r="O401" t="str" cm="1">
        <f t="array" ref="O401">_xlfn.IFS(F401="","",F401&lt;=5,"0 to 5",F401&lt;=10,"5.1 to 10",F401&lt;=20,"10 to 20", F401&lt;= 40, "20 to 40", F401 &lt;= 50, "40 to 50", F401 &gt; 50, "&gt;50" )</f>
        <v>0 to 5</v>
      </c>
    </row>
    <row r="402" spans="1:15" ht="14.4" x14ac:dyDescent="0.3">
      <c r="A402" t="s">
        <v>114</v>
      </c>
      <c r="B402" s="1">
        <v>46175</v>
      </c>
      <c r="C402" t="s">
        <v>16</v>
      </c>
      <c r="D402">
        <v>367</v>
      </c>
      <c r="E402">
        <v>1</v>
      </c>
      <c r="F402">
        <v>3.1</v>
      </c>
      <c r="G402" t="s">
        <v>138</v>
      </c>
      <c r="H402" t="s">
        <v>43</v>
      </c>
      <c r="I402" t="str">
        <f t="shared" si="7"/>
        <v>367_1</v>
      </c>
      <c r="J402" t="s">
        <v>18</v>
      </c>
      <c r="K402" t="s">
        <v>115</v>
      </c>
      <c r="L402" t="str">
        <f>_xlfn.XLOOKUP(C402, Table2[Species],Table2[Genus], "Code Not Found")</f>
        <v>Acer</v>
      </c>
      <c r="M402" t="str">
        <f>_xlfn.XLOOKUP(C402, Table2[Species],Table2[Sp. Name], "Code Not Found")</f>
        <v>saccharum</v>
      </c>
      <c r="N402" t="str">
        <f>_xlfn.XLOOKUP(C402,Table2[Species],Table2[Family],"Code Not Found")</f>
        <v>Sapindaceae</v>
      </c>
      <c r="O402" t="str" cm="1">
        <f t="array" ref="O402">_xlfn.IFS(F402="","",F402&lt;=5,"0 to 5",F402&lt;=10,"5.1 to 10",F402&lt;=20,"10 to 20", F402&lt;= 40, "20 to 40", F402 &lt;= 50, "40 to 50", F402 &gt; 50, "&gt;50" )</f>
        <v>0 to 5</v>
      </c>
    </row>
    <row r="403" spans="1:15" ht="14.4" x14ac:dyDescent="0.3">
      <c r="A403" t="s">
        <v>114</v>
      </c>
      <c r="B403" s="1">
        <v>46175</v>
      </c>
      <c r="C403" t="s">
        <v>16</v>
      </c>
      <c r="D403">
        <v>368</v>
      </c>
      <c r="E403">
        <v>1</v>
      </c>
      <c r="F403">
        <v>2.6</v>
      </c>
      <c r="G403" t="s">
        <v>139</v>
      </c>
      <c r="H403" t="s">
        <v>140</v>
      </c>
      <c r="I403" t="str">
        <f t="shared" si="7"/>
        <v>368_1</v>
      </c>
      <c r="J403" t="s">
        <v>18</v>
      </c>
      <c r="K403" t="s">
        <v>115</v>
      </c>
      <c r="L403" t="str">
        <f>_xlfn.XLOOKUP(C403, Table2[Species],Table2[Genus], "Code Not Found")</f>
        <v>Acer</v>
      </c>
      <c r="M403" t="str">
        <f>_xlfn.XLOOKUP(C403, Table2[Species],Table2[Sp. Name], "Code Not Found")</f>
        <v>saccharum</v>
      </c>
      <c r="N403" t="str">
        <f>_xlfn.XLOOKUP(C403,Table2[Species],Table2[Family],"Code Not Found")</f>
        <v>Sapindaceae</v>
      </c>
      <c r="O403" t="str" cm="1">
        <f t="array" ref="O403">_xlfn.IFS(F403="","",F403&lt;=5,"0 to 5",F403&lt;=10,"5.1 to 10",F403&lt;=20,"10 to 20", F403&lt;= 40, "20 to 40", F403 &lt;= 50, "40 to 50", F403 &gt; 50, "&gt;50" )</f>
        <v>0 to 5</v>
      </c>
    </row>
    <row r="404" spans="1:15" ht="14.4" x14ac:dyDescent="0.3">
      <c r="A404" t="s">
        <v>114</v>
      </c>
      <c r="B404" s="1">
        <v>46175</v>
      </c>
      <c r="C404" t="s">
        <v>64</v>
      </c>
      <c r="D404">
        <v>369</v>
      </c>
      <c r="E404">
        <v>1</v>
      </c>
      <c r="F404">
        <v>54.4</v>
      </c>
      <c r="G404" t="s">
        <v>21</v>
      </c>
      <c r="I404" t="str">
        <f t="shared" si="7"/>
        <v>369_1</v>
      </c>
      <c r="J404" t="s">
        <v>18</v>
      </c>
      <c r="K404" t="s">
        <v>115</v>
      </c>
      <c r="L404" t="str">
        <f>_xlfn.XLOOKUP(C404, Table2[Species],Table2[Genus], "Code Not Found")</f>
        <v>Fagus</v>
      </c>
      <c r="M404" t="str">
        <f>_xlfn.XLOOKUP(C404, Table2[Species],Table2[Sp. Name], "Code Not Found")</f>
        <v>grandifolia</v>
      </c>
      <c r="N404" t="str">
        <f>_xlfn.XLOOKUP(C404,Table2[Species],Table2[Family],"Code Not Found")</f>
        <v>Fagaceae</v>
      </c>
      <c r="O404" t="str" cm="1">
        <f t="array" ref="O404">_xlfn.IFS(F404="","",F404&lt;=5,"0 to 5",F404&lt;=10,"5.1 to 10",F404&lt;=20,"10 to 20", F404&lt;= 40, "20 to 40", F404 &lt;= 50, "40 to 50", F404 &gt; 50, "&gt;50" )</f>
        <v>&gt;50</v>
      </c>
    </row>
    <row r="405" spans="1:15" ht="14.4" x14ac:dyDescent="0.3">
      <c r="A405" t="s">
        <v>114</v>
      </c>
      <c r="B405" s="1">
        <v>46175</v>
      </c>
      <c r="C405" t="s">
        <v>64</v>
      </c>
      <c r="D405">
        <v>370</v>
      </c>
      <c r="E405">
        <v>1</v>
      </c>
      <c r="F405">
        <v>3</v>
      </c>
      <c r="G405" t="s">
        <v>32</v>
      </c>
      <c r="I405" t="str">
        <f t="shared" si="7"/>
        <v>370_1</v>
      </c>
      <c r="J405" t="s">
        <v>18</v>
      </c>
      <c r="K405" t="s">
        <v>115</v>
      </c>
      <c r="L405" t="str">
        <f>_xlfn.XLOOKUP(C405, Table2[Species],Table2[Genus], "Code Not Found")</f>
        <v>Fagus</v>
      </c>
      <c r="M405" t="str">
        <f>_xlfn.XLOOKUP(C405, Table2[Species],Table2[Sp. Name], "Code Not Found")</f>
        <v>grandifolia</v>
      </c>
      <c r="N405" t="str">
        <f>_xlfn.XLOOKUP(C405,Table2[Species],Table2[Family],"Code Not Found")</f>
        <v>Fagaceae</v>
      </c>
      <c r="O405" t="str" cm="1">
        <f t="array" ref="O405">_xlfn.IFS(F405="","",F405&lt;=5,"0 to 5",F405&lt;=10,"5.1 to 10",F405&lt;=20,"10 to 20", F405&lt;= 40, "20 to 40", F405 &lt;= 50, "40 to 50", F405 &gt; 50, "&gt;50" )</f>
        <v>0 to 5</v>
      </c>
    </row>
    <row r="406" spans="1:15" ht="14.4" x14ac:dyDescent="0.3">
      <c r="A406" t="s">
        <v>114</v>
      </c>
      <c r="B406" s="1">
        <v>46175</v>
      </c>
      <c r="C406" t="s">
        <v>64</v>
      </c>
      <c r="D406">
        <v>370</v>
      </c>
      <c r="E406">
        <v>2</v>
      </c>
      <c r="F406">
        <v>2.6</v>
      </c>
      <c r="G406" t="s">
        <v>61</v>
      </c>
      <c r="H406" t="s">
        <v>143</v>
      </c>
      <c r="I406" t="str">
        <f t="shared" si="7"/>
        <v>370_2</v>
      </c>
      <c r="J406" t="s">
        <v>18</v>
      </c>
      <c r="K406" t="s">
        <v>115</v>
      </c>
      <c r="L406" t="str">
        <f>_xlfn.XLOOKUP(C406, Table2[Species],Table2[Genus], "Code Not Found")</f>
        <v>Fagus</v>
      </c>
      <c r="M406" t="str">
        <f>_xlfn.XLOOKUP(C406, Table2[Species],Table2[Sp. Name], "Code Not Found")</f>
        <v>grandifolia</v>
      </c>
      <c r="N406" t="str">
        <f>_xlfn.XLOOKUP(C406,Table2[Species],Table2[Family],"Code Not Found")</f>
        <v>Fagaceae</v>
      </c>
      <c r="O406" t="str" cm="1">
        <f t="array" ref="O406">_xlfn.IFS(F406="","",F406&lt;=5,"0 to 5",F406&lt;=10,"5.1 to 10",F406&lt;=20,"10 to 20", F406&lt;= 40, "20 to 40", F406 &lt;= 50, "40 to 50", F406 &gt; 50, "&gt;50" )</f>
        <v>0 to 5</v>
      </c>
    </row>
    <row r="407" spans="1:15" ht="14.4" x14ac:dyDescent="0.3">
      <c r="A407" t="s">
        <v>114</v>
      </c>
      <c r="B407" s="1">
        <v>46175</v>
      </c>
      <c r="C407" t="s">
        <v>64</v>
      </c>
      <c r="D407">
        <v>371</v>
      </c>
      <c r="E407">
        <v>1</v>
      </c>
      <c r="F407">
        <v>1.5</v>
      </c>
      <c r="G407" t="s">
        <v>144</v>
      </c>
      <c r="I407" t="str">
        <f t="shared" si="7"/>
        <v>371_1</v>
      </c>
      <c r="J407" t="s">
        <v>18</v>
      </c>
      <c r="K407" t="s">
        <v>115</v>
      </c>
      <c r="L407" t="str">
        <f>_xlfn.XLOOKUP(C407, Table2[Species],Table2[Genus], "Code Not Found")</f>
        <v>Fagus</v>
      </c>
      <c r="M407" t="str">
        <f>_xlfn.XLOOKUP(C407, Table2[Species],Table2[Sp. Name], "Code Not Found")</f>
        <v>grandifolia</v>
      </c>
      <c r="N407" t="str">
        <f>_xlfn.XLOOKUP(C407,Table2[Species],Table2[Family],"Code Not Found")</f>
        <v>Fagaceae</v>
      </c>
      <c r="O407" t="str" cm="1">
        <f t="array" ref="O407">_xlfn.IFS(F407="","",F407&lt;=5,"0 to 5",F407&lt;=10,"5.1 to 10",F407&lt;=20,"10 to 20", F407&lt;= 40, "20 to 40", F407 &lt;= 50, "40 to 50", F407 &gt; 50, "&gt;50" )</f>
        <v>0 to 5</v>
      </c>
    </row>
    <row r="408" spans="1:15" ht="14.4" x14ac:dyDescent="0.3">
      <c r="A408" t="s">
        <v>114</v>
      </c>
      <c r="B408" s="1">
        <v>46175</v>
      </c>
      <c r="C408" t="s">
        <v>16</v>
      </c>
      <c r="D408">
        <v>372</v>
      </c>
      <c r="E408">
        <v>1</v>
      </c>
      <c r="F408">
        <v>1</v>
      </c>
      <c r="G408" t="s">
        <v>32</v>
      </c>
      <c r="H408" t="s">
        <v>145</v>
      </c>
      <c r="I408" t="str">
        <f t="shared" si="7"/>
        <v>372_1</v>
      </c>
      <c r="J408" t="s">
        <v>18</v>
      </c>
      <c r="K408" t="s">
        <v>115</v>
      </c>
      <c r="L408" t="str">
        <f>_xlfn.XLOOKUP(C408, Table2[Species],Table2[Genus], "Code Not Found")</f>
        <v>Acer</v>
      </c>
      <c r="M408" t="str">
        <f>_xlfn.XLOOKUP(C408, Table2[Species],Table2[Sp. Name], "Code Not Found")</f>
        <v>saccharum</v>
      </c>
      <c r="N408" t="str">
        <f>_xlfn.XLOOKUP(C408,Table2[Species],Table2[Family],"Code Not Found")</f>
        <v>Sapindaceae</v>
      </c>
      <c r="O408" t="str" cm="1">
        <f t="array" ref="O408">_xlfn.IFS(F408="","",F408&lt;=5,"0 to 5",F408&lt;=10,"5.1 to 10",F408&lt;=20,"10 to 20", F408&lt;= 40, "20 to 40", F408 &lt;= 50, "40 to 50", F408 &gt; 50, "&gt;50" )</f>
        <v>0 to 5</v>
      </c>
    </row>
    <row r="409" spans="1:15" ht="14.4" x14ac:dyDescent="0.3">
      <c r="A409" t="s">
        <v>114</v>
      </c>
      <c r="B409" s="1">
        <v>46175</v>
      </c>
      <c r="C409" t="s">
        <v>16</v>
      </c>
      <c r="D409">
        <v>372</v>
      </c>
      <c r="E409">
        <v>2</v>
      </c>
      <c r="F409">
        <v>1</v>
      </c>
      <c r="G409" t="s">
        <v>32</v>
      </c>
      <c r="H409" t="s">
        <v>145</v>
      </c>
      <c r="I409" t="str">
        <f t="shared" si="7"/>
        <v>372_2</v>
      </c>
      <c r="J409" t="s">
        <v>18</v>
      </c>
      <c r="K409" t="s">
        <v>115</v>
      </c>
      <c r="L409" t="str">
        <f>_xlfn.XLOOKUP(C409, Table2[Species],Table2[Genus], "Code Not Found")</f>
        <v>Acer</v>
      </c>
      <c r="M409" t="str">
        <f>_xlfn.XLOOKUP(C409, Table2[Species],Table2[Sp. Name], "Code Not Found")</f>
        <v>saccharum</v>
      </c>
      <c r="N409" t="str">
        <f>_xlfn.XLOOKUP(C409,Table2[Species],Table2[Family],"Code Not Found")</f>
        <v>Sapindaceae</v>
      </c>
      <c r="O409" t="str" cm="1">
        <f t="array" ref="O409">_xlfn.IFS(F409="","",F409&lt;=5,"0 to 5",F409&lt;=10,"5.1 to 10",F409&lt;=20,"10 to 20", F409&lt;= 40, "20 to 40", F409 &lt;= 50, "40 to 50", F409 &gt; 50, "&gt;50" )</f>
        <v>0 to 5</v>
      </c>
    </row>
    <row r="410" spans="1:15" ht="14.4" x14ac:dyDescent="0.3">
      <c r="A410" t="s">
        <v>114</v>
      </c>
      <c r="B410" s="1">
        <v>46175</v>
      </c>
      <c r="C410" t="s">
        <v>64</v>
      </c>
      <c r="D410">
        <v>373</v>
      </c>
      <c r="E410">
        <v>1</v>
      </c>
      <c r="F410">
        <v>18.3</v>
      </c>
      <c r="G410" t="s">
        <v>21</v>
      </c>
      <c r="I410" t="str">
        <f t="shared" si="7"/>
        <v>373_1</v>
      </c>
      <c r="J410" t="s">
        <v>18</v>
      </c>
      <c r="K410" t="s">
        <v>115</v>
      </c>
      <c r="L410" t="str">
        <f>_xlfn.XLOOKUP(C410, Table2[Species],Table2[Genus], "Code Not Found")</f>
        <v>Fagus</v>
      </c>
      <c r="M410" t="str">
        <f>_xlfn.XLOOKUP(C410, Table2[Species],Table2[Sp. Name], "Code Not Found")</f>
        <v>grandifolia</v>
      </c>
      <c r="N410" t="str">
        <f>_xlfn.XLOOKUP(C410,Table2[Species],Table2[Family],"Code Not Found")</f>
        <v>Fagaceae</v>
      </c>
      <c r="O410" t="str" cm="1">
        <f t="array" ref="O410">_xlfn.IFS(F410="","",F410&lt;=5,"0 to 5",F410&lt;=10,"5.1 to 10",F410&lt;=20,"10 to 20", F410&lt;= 40, "20 to 40", F410 &lt;= 50, "40 to 50", F410 &gt; 50, "&gt;50" )</f>
        <v>10 to 20</v>
      </c>
    </row>
    <row r="411" spans="1:15" ht="14.4" x14ac:dyDescent="0.3">
      <c r="A411" t="s">
        <v>114</v>
      </c>
      <c r="B411" s="1">
        <v>46175</v>
      </c>
      <c r="C411" t="s">
        <v>64</v>
      </c>
      <c r="D411">
        <v>374</v>
      </c>
      <c r="E411">
        <v>1</v>
      </c>
      <c r="F411">
        <v>2.7</v>
      </c>
      <c r="G411" t="s">
        <v>146</v>
      </c>
      <c r="H411" t="s">
        <v>43</v>
      </c>
      <c r="I411" t="str">
        <f t="shared" si="7"/>
        <v>374_1</v>
      </c>
      <c r="J411" t="s">
        <v>18</v>
      </c>
      <c r="K411" t="s">
        <v>115</v>
      </c>
      <c r="L411" t="str">
        <f>_xlfn.XLOOKUP(C411, Table2[Species],Table2[Genus], "Code Not Found")</f>
        <v>Fagus</v>
      </c>
      <c r="M411" t="str">
        <f>_xlfn.XLOOKUP(C411, Table2[Species],Table2[Sp. Name], "Code Not Found")</f>
        <v>grandifolia</v>
      </c>
      <c r="N411" t="str">
        <f>_xlfn.XLOOKUP(C411,Table2[Species],Table2[Family],"Code Not Found")</f>
        <v>Fagaceae</v>
      </c>
      <c r="O411" t="str" cm="1">
        <f t="array" ref="O411">_xlfn.IFS(F411="","",F411&lt;=5,"0 to 5",F411&lt;=10,"5.1 to 10",F411&lt;=20,"10 to 20", F411&lt;= 40, "20 to 40", F411 &lt;= 50, "40 to 50", F411 &gt; 50, "&gt;50" )</f>
        <v>0 to 5</v>
      </c>
    </row>
    <row r="412" spans="1:15" ht="14.4" x14ac:dyDescent="0.3">
      <c r="A412" t="s">
        <v>114</v>
      </c>
      <c r="B412" s="1">
        <v>46175</v>
      </c>
      <c r="C412" t="s">
        <v>64</v>
      </c>
      <c r="D412">
        <v>374</v>
      </c>
      <c r="E412">
        <v>2</v>
      </c>
      <c r="F412">
        <v>1</v>
      </c>
      <c r="G412" t="s">
        <v>146</v>
      </c>
      <c r="H412" t="s">
        <v>43</v>
      </c>
      <c r="I412" t="str">
        <f t="shared" si="7"/>
        <v>374_2</v>
      </c>
      <c r="J412" t="s">
        <v>18</v>
      </c>
      <c r="K412" t="s">
        <v>115</v>
      </c>
      <c r="L412" t="str">
        <f>_xlfn.XLOOKUP(C412, Table2[Species],Table2[Genus], "Code Not Found")</f>
        <v>Fagus</v>
      </c>
      <c r="M412" t="str">
        <f>_xlfn.XLOOKUP(C412, Table2[Species],Table2[Sp. Name], "Code Not Found")</f>
        <v>grandifolia</v>
      </c>
      <c r="N412" t="str">
        <f>_xlfn.XLOOKUP(C412,Table2[Species],Table2[Family],"Code Not Found")</f>
        <v>Fagaceae</v>
      </c>
      <c r="O412" t="str" cm="1">
        <f t="array" ref="O412">_xlfn.IFS(F412="","",F412&lt;=5,"0 to 5",F412&lt;=10,"5.1 to 10",F412&lt;=20,"10 to 20", F412&lt;= 40, "20 to 40", F412 &lt;= 50, "40 to 50", F412 &gt; 50, "&gt;50" )</f>
        <v>0 to 5</v>
      </c>
    </row>
    <row r="413" spans="1:15" ht="14.4" x14ac:dyDescent="0.3">
      <c r="A413" t="s">
        <v>114</v>
      </c>
      <c r="B413" s="1">
        <v>46175</v>
      </c>
      <c r="C413" t="s">
        <v>64</v>
      </c>
      <c r="D413">
        <v>375</v>
      </c>
      <c r="E413">
        <v>1</v>
      </c>
      <c r="F413">
        <v>26.9</v>
      </c>
      <c r="G413" t="s">
        <v>17</v>
      </c>
      <c r="H413" t="s">
        <v>36</v>
      </c>
      <c r="I413" t="str">
        <f t="shared" si="7"/>
        <v>375_1</v>
      </c>
      <c r="J413" t="s">
        <v>18</v>
      </c>
      <c r="K413" t="s">
        <v>115</v>
      </c>
      <c r="L413" t="str">
        <f>_xlfn.XLOOKUP(C413, Table2[Species],Table2[Genus], "Code Not Found")</f>
        <v>Fagus</v>
      </c>
      <c r="M413" t="str">
        <f>_xlfn.XLOOKUP(C413, Table2[Species],Table2[Sp. Name], "Code Not Found")</f>
        <v>grandifolia</v>
      </c>
      <c r="N413" t="str">
        <f>_xlfn.XLOOKUP(C413,Table2[Species],Table2[Family],"Code Not Found")</f>
        <v>Fagaceae</v>
      </c>
      <c r="O413" t="str" cm="1">
        <f t="array" ref="O413">_xlfn.IFS(F413="","",F413&lt;=5,"0 to 5",F413&lt;=10,"5.1 to 10",F413&lt;=20,"10 to 20", F413&lt;= 40, "20 to 40", F413 &lt;= 50, "40 to 50", F413 &gt; 50, "&gt;50" )</f>
        <v>20 to 40</v>
      </c>
    </row>
    <row r="414" spans="1:15" ht="14.4" x14ac:dyDescent="0.3">
      <c r="A414" t="s">
        <v>114</v>
      </c>
      <c r="B414" s="1">
        <v>46175</v>
      </c>
      <c r="C414" t="s">
        <v>64</v>
      </c>
      <c r="D414">
        <v>376</v>
      </c>
      <c r="E414">
        <v>1</v>
      </c>
      <c r="F414">
        <v>3.7</v>
      </c>
      <c r="G414" t="s">
        <v>30</v>
      </c>
      <c r="H414" t="s">
        <v>99</v>
      </c>
      <c r="I414" t="str">
        <f t="shared" si="7"/>
        <v>376_1</v>
      </c>
      <c r="J414" t="s">
        <v>18</v>
      </c>
      <c r="K414" t="s">
        <v>115</v>
      </c>
      <c r="L414" t="str">
        <f>_xlfn.XLOOKUP(C414, Table2[Species],Table2[Genus], "Code Not Found")</f>
        <v>Fagus</v>
      </c>
      <c r="M414" t="str">
        <f>_xlfn.XLOOKUP(C414, Table2[Species],Table2[Sp. Name], "Code Not Found")</f>
        <v>grandifolia</v>
      </c>
      <c r="N414" t="str">
        <f>_xlfn.XLOOKUP(C414,Table2[Species],Table2[Family],"Code Not Found")</f>
        <v>Fagaceae</v>
      </c>
      <c r="O414" t="str" cm="1">
        <f t="array" ref="O414">_xlfn.IFS(F414="","",F414&lt;=5,"0 to 5",F414&lt;=10,"5.1 to 10",F414&lt;=20,"10 to 20", F414&lt;= 40, "20 to 40", F414 &lt;= 50, "40 to 50", F414 &gt; 50, "&gt;50" )</f>
        <v>0 to 5</v>
      </c>
    </row>
    <row r="415" spans="1:15" ht="14.4" x14ac:dyDescent="0.3">
      <c r="A415" t="s">
        <v>114</v>
      </c>
      <c r="B415" s="1">
        <v>46175</v>
      </c>
      <c r="C415" t="s">
        <v>64</v>
      </c>
      <c r="D415">
        <v>377</v>
      </c>
      <c r="E415">
        <v>1</v>
      </c>
      <c r="F415">
        <v>1.3</v>
      </c>
      <c r="G415" t="s">
        <v>17</v>
      </c>
      <c r="I415" t="str">
        <f t="shared" si="7"/>
        <v>377_1</v>
      </c>
      <c r="J415" t="s">
        <v>18</v>
      </c>
      <c r="K415" t="s">
        <v>115</v>
      </c>
      <c r="L415" t="str">
        <f>_xlfn.XLOOKUP(C415, Table2[Species],Table2[Genus], "Code Not Found")</f>
        <v>Fagus</v>
      </c>
      <c r="M415" t="str">
        <f>_xlfn.XLOOKUP(C415, Table2[Species],Table2[Sp. Name], "Code Not Found")</f>
        <v>grandifolia</v>
      </c>
      <c r="N415" t="str">
        <f>_xlfn.XLOOKUP(C415,Table2[Species],Table2[Family],"Code Not Found")</f>
        <v>Fagaceae</v>
      </c>
      <c r="O415" t="str" cm="1">
        <f t="array" ref="O415">_xlfn.IFS(F415="","",F415&lt;=5,"0 to 5",F415&lt;=10,"5.1 to 10",F415&lt;=20,"10 to 20", F415&lt;= 40, "20 to 40", F415 &lt;= 50, "40 to 50", F415 &gt; 50, "&gt;50" )</f>
        <v>0 to 5</v>
      </c>
    </row>
    <row r="416" spans="1:15" ht="14.4" x14ac:dyDescent="0.3">
      <c r="A416" t="s">
        <v>114</v>
      </c>
      <c r="B416" s="1">
        <v>46175</v>
      </c>
      <c r="C416" t="s">
        <v>64</v>
      </c>
      <c r="D416">
        <v>378</v>
      </c>
      <c r="E416">
        <v>1</v>
      </c>
      <c r="F416">
        <v>9.6</v>
      </c>
      <c r="G416" t="s">
        <v>103</v>
      </c>
      <c r="I416" t="str">
        <f t="shared" si="7"/>
        <v>378_1</v>
      </c>
      <c r="J416" t="s">
        <v>18</v>
      </c>
      <c r="K416" t="s">
        <v>115</v>
      </c>
      <c r="L416" t="str">
        <f>_xlfn.XLOOKUP(C416, Table2[Species],Table2[Genus], "Code Not Found")</f>
        <v>Fagus</v>
      </c>
      <c r="M416" t="str">
        <f>_xlfn.XLOOKUP(C416, Table2[Species],Table2[Sp. Name], "Code Not Found")</f>
        <v>grandifolia</v>
      </c>
      <c r="N416" t="str">
        <f>_xlfn.XLOOKUP(C416,Table2[Species],Table2[Family],"Code Not Found")</f>
        <v>Fagaceae</v>
      </c>
      <c r="O416" t="str" cm="1">
        <f t="array" ref="O416">_xlfn.IFS(F416="","",F416&lt;=5,"0 to 5",F416&lt;=10,"5.1 to 10",F416&lt;=20,"10 to 20", F416&lt;= 40, "20 to 40", F416 &lt;= 50, "40 to 50", F416 &gt; 50, "&gt;50" )</f>
        <v>5.1 to 10</v>
      </c>
    </row>
    <row r="417" spans="1:15" ht="14.4" x14ac:dyDescent="0.3">
      <c r="A417" t="s">
        <v>114</v>
      </c>
      <c r="B417" s="1">
        <v>46175</v>
      </c>
      <c r="C417" t="s">
        <v>64</v>
      </c>
      <c r="D417">
        <v>379</v>
      </c>
      <c r="E417">
        <v>1</v>
      </c>
      <c r="F417">
        <v>2</v>
      </c>
      <c r="G417" t="s">
        <v>47</v>
      </c>
      <c r="H417" t="s">
        <v>43</v>
      </c>
      <c r="I417" t="str">
        <f t="shared" si="7"/>
        <v>379_1</v>
      </c>
      <c r="J417" t="s">
        <v>18</v>
      </c>
      <c r="K417" t="s">
        <v>115</v>
      </c>
      <c r="L417" t="str">
        <f>_xlfn.XLOOKUP(C417, Table2[Species],Table2[Genus], "Code Not Found")</f>
        <v>Fagus</v>
      </c>
      <c r="M417" t="str">
        <f>_xlfn.XLOOKUP(C417, Table2[Species],Table2[Sp. Name], "Code Not Found")</f>
        <v>grandifolia</v>
      </c>
      <c r="N417" t="str">
        <f>_xlfn.XLOOKUP(C417,Table2[Species],Table2[Family],"Code Not Found")</f>
        <v>Fagaceae</v>
      </c>
      <c r="O417" t="str" cm="1">
        <f t="array" ref="O417">_xlfn.IFS(F417="","",F417&lt;=5,"0 to 5",F417&lt;=10,"5.1 to 10",F417&lt;=20,"10 to 20", F417&lt;= 40, "20 to 40", F417 &lt;= 50, "40 to 50", F417 &gt; 50, "&gt;50" )</f>
        <v>0 to 5</v>
      </c>
    </row>
    <row r="418" spans="1:15" ht="14.4" x14ac:dyDescent="0.3">
      <c r="A418" t="s">
        <v>114</v>
      </c>
      <c r="B418" s="1">
        <v>46175</v>
      </c>
      <c r="C418" t="s">
        <v>64</v>
      </c>
      <c r="D418">
        <v>380</v>
      </c>
      <c r="E418">
        <v>1</v>
      </c>
      <c r="F418">
        <v>2.9</v>
      </c>
      <c r="G418" t="s">
        <v>32</v>
      </c>
      <c r="I418" t="str">
        <f t="shared" si="7"/>
        <v>380_1</v>
      </c>
      <c r="J418" t="s">
        <v>18</v>
      </c>
      <c r="K418" t="s">
        <v>115</v>
      </c>
      <c r="L418" t="str">
        <f>_xlfn.XLOOKUP(C418, Table2[Species],Table2[Genus], "Code Not Found")</f>
        <v>Fagus</v>
      </c>
      <c r="M418" t="str">
        <f>_xlfn.XLOOKUP(C418, Table2[Species],Table2[Sp. Name], "Code Not Found")</f>
        <v>grandifolia</v>
      </c>
      <c r="N418" t="str">
        <f>_xlfn.XLOOKUP(C418,Table2[Species],Table2[Family],"Code Not Found")</f>
        <v>Fagaceae</v>
      </c>
      <c r="O418" t="str" cm="1">
        <f t="array" ref="O418">_xlfn.IFS(F418="","",F418&lt;=5,"0 to 5",F418&lt;=10,"5.1 to 10",F418&lt;=20,"10 to 20", F418&lt;= 40, "20 to 40", F418 &lt;= 50, "40 to 50", F418 &gt; 50, "&gt;50" )</f>
        <v>0 to 5</v>
      </c>
    </row>
    <row r="419" spans="1:15" ht="14.4" x14ac:dyDescent="0.3">
      <c r="A419" t="s">
        <v>114</v>
      </c>
      <c r="B419" s="1">
        <v>46175</v>
      </c>
      <c r="C419" t="s">
        <v>64</v>
      </c>
      <c r="D419">
        <v>380</v>
      </c>
      <c r="E419">
        <v>2</v>
      </c>
      <c r="F419">
        <v>2.4</v>
      </c>
      <c r="G419" t="s">
        <v>32</v>
      </c>
      <c r="I419" t="str">
        <f t="shared" si="7"/>
        <v>380_2</v>
      </c>
      <c r="J419" t="s">
        <v>18</v>
      </c>
      <c r="K419" t="s">
        <v>115</v>
      </c>
      <c r="L419" t="str">
        <f>_xlfn.XLOOKUP(C419, Table2[Species],Table2[Genus], "Code Not Found")</f>
        <v>Fagus</v>
      </c>
      <c r="M419" t="str">
        <f>_xlfn.XLOOKUP(C419, Table2[Species],Table2[Sp. Name], "Code Not Found")</f>
        <v>grandifolia</v>
      </c>
      <c r="N419" t="str">
        <f>_xlfn.XLOOKUP(C419,Table2[Species],Table2[Family],"Code Not Found")</f>
        <v>Fagaceae</v>
      </c>
      <c r="O419" t="str" cm="1">
        <f t="array" ref="O419">_xlfn.IFS(F419="","",F419&lt;=5,"0 to 5",F419&lt;=10,"5.1 to 10",F419&lt;=20,"10 to 20", F419&lt;= 40, "20 to 40", F419 &lt;= 50, "40 to 50", F419 &gt; 50, "&gt;50" )</f>
        <v>0 to 5</v>
      </c>
    </row>
    <row r="420" spans="1:15" ht="14.4" x14ac:dyDescent="0.3">
      <c r="A420" t="s">
        <v>114</v>
      </c>
      <c r="B420" s="1">
        <v>46175</v>
      </c>
      <c r="C420" t="s">
        <v>64</v>
      </c>
      <c r="D420">
        <v>381</v>
      </c>
      <c r="E420">
        <v>1</v>
      </c>
      <c r="F420">
        <v>17.8</v>
      </c>
      <c r="G420" t="s">
        <v>17</v>
      </c>
      <c r="I420" t="str">
        <f t="shared" si="7"/>
        <v>381_1</v>
      </c>
      <c r="J420" t="s">
        <v>18</v>
      </c>
      <c r="K420" t="s">
        <v>115</v>
      </c>
      <c r="L420" t="str">
        <f>_xlfn.XLOOKUP(C420, Table2[Species],Table2[Genus], "Code Not Found")</f>
        <v>Fagus</v>
      </c>
      <c r="M420" t="str">
        <f>_xlfn.XLOOKUP(C420, Table2[Species],Table2[Sp. Name], "Code Not Found")</f>
        <v>grandifolia</v>
      </c>
      <c r="N420" t="str">
        <f>_xlfn.XLOOKUP(C420,Table2[Species],Table2[Family],"Code Not Found")</f>
        <v>Fagaceae</v>
      </c>
      <c r="O420" t="str" cm="1">
        <f t="array" ref="O420">_xlfn.IFS(F420="","",F420&lt;=5,"0 to 5",F420&lt;=10,"5.1 to 10",F420&lt;=20,"10 to 20", F420&lt;= 40, "20 to 40", F420 &lt;= 50, "40 to 50", F420 &gt; 50, "&gt;50" )</f>
        <v>10 to 20</v>
      </c>
    </row>
    <row r="421" spans="1:15" ht="14.4" x14ac:dyDescent="0.3">
      <c r="A421" t="s">
        <v>114</v>
      </c>
      <c r="B421" s="1">
        <v>46175</v>
      </c>
      <c r="C421" t="s">
        <v>64</v>
      </c>
      <c r="D421">
        <v>382</v>
      </c>
      <c r="E421">
        <v>1</v>
      </c>
      <c r="F421">
        <v>4.4000000000000004</v>
      </c>
      <c r="G421" t="s">
        <v>32</v>
      </c>
      <c r="H421" t="s">
        <v>147</v>
      </c>
      <c r="I421" t="str">
        <f t="shared" si="7"/>
        <v>382_1</v>
      </c>
      <c r="J421" t="s">
        <v>18</v>
      </c>
      <c r="K421" t="s">
        <v>115</v>
      </c>
      <c r="L421" t="str">
        <f>_xlfn.XLOOKUP(C421, Table2[Species],Table2[Genus], "Code Not Found")</f>
        <v>Fagus</v>
      </c>
      <c r="M421" t="str">
        <f>_xlfn.XLOOKUP(C421, Table2[Species],Table2[Sp. Name], "Code Not Found")</f>
        <v>grandifolia</v>
      </c>
      <c r="N421" t="str">
        <f>_xlfn.XLOOKUP(C421,Table2[Species],Table2[Family],"Code Not Found")</f>
        <v>Fagaceae</v>
      </c>
      <c r="O421" t="str" cm="1">
        <f t="array" ref="O421">_xlfn.IFS(F421="","",F421&lt;=5,"0 to 5",F421&lt;=10,"5.1 to 10",F421&lt;=20,"10 to 20", F421&lt;= 40, "20 to 40", F421 &lt;= 50, "40 to 50", F421 &gt; 50, "&gt;50" )</f>
        <v>0 to 5</v>
      </c>
    </row>
    <row r="422" spans="1:15" ht="14.4" x14ac:dyDescent="0.3">
      <c r="A422" t="s">
        <v>114</v>
      </c>
      <c r="B422" s="1">
        <v>46175</v>
      </c>
      <c r="C422" t="s">
        <v>64</v>
      </c>
      <c r="D422">
        <v>382</v>
      </c>
      <c r="E422">
        <v>2</v>
      </c>
      <c r="F422">
        <v>1.9</v>
      </c>
      <c r="G422" t="s">
        <v>94</v>
      </c>
      <c r="H422" t="s">
        <v>43</v>
      </c>
      <c r="I422" t="str">
        <f t="shared" si="7"/>
        <v>382_2</v>
      </c>
      <c r="J422" t="s">
        <v>18</v>
      </c>
      <c r="K422" t="s">
        <v>115</v>
      </c>
      <c r="L422" t="str">
        <f>_xlfn.XLOOKUP(C422, Table2[Species],Table2[Genus], "Code Not Found")</f>
        <v>Fagus</v>
      </c>
      <c r="M422" t="str">
        <f>_xlfn.XLOOKUP(C422, Table2[Species],Table2[Sp. Name], "Code Not Found")</f>
        <v>grandifolia</v>
      </c>
      <c r="N422" t="str">
        <f>_xlfn.XLOOKUP(C422,Table2[Species],Table2[Family],"Code Not Found")</f>
        <v>Fagaceae</v>
      </c>
      <c r="O422" t="str" cm="1">
        <f t="array" ref="O422">_xlfn.IFS(F422="","",F422&lt;=5,"0 to 5",F422&lt;=10,"5.1 to 10",F422&lt;=20,"10 to 20", F422&lt;= 40, "20 to 40", F422 &lt;= 50, "40 to 50", F422 &gt; 50, "&gt;50" )</f>
        <v>0 to 5</v>
      </c>
    </row>
    <row r="423" spans="1:15" ht="14.4" x14ac:dyDescent="0.3">
      <c r="A423" t="s">
        <v>114</v>
      </c>
      <c r="B423" s="1">
        <v>46175</v>
      </c>
      <c r="C423" t="s">
        <v>16</v>
      </c>
      <c r="D423">
        <v>383</v>
      </c>
      <c r="E423">
        <v>1</v>
      </c>
      <c r="F423">
        <v>8.8000000000000007</v>
      </c>
      <c r="G423" t="s">
        <v>17</v>
      </c>
      <c r="I423" t="str">
        <f t="shared" si="7"/>
        <v>383_1</v>
      </c>
      <c r="J423" t="s">
        <v>18</v>
      </c>
      <c r="K423" t="s">
        <v>115</v>
      </c>
      <c r="L423" t="str">
        <f>_xlfn.XLOOKUP(C423, Table2[Species],Table2[Genus], "Code Not Found")</f>
        <v>Acer</v>
      </c>
      <c r="M423" t="str">
        <f>_xlfn.XLOOKUP(C423, Table2[Species],Table2[Sp. Name], "Code Not Found")</f>
        <v>saccharum</v>
      </c>
      <c r="N423" t="str">
        <f>_xlfn.XLOOKUP(C423,Table2[Species],Table2[Family],"Code Not Found")</f>
        <v>Sapindaceae</v>
      </c>
      <c r="O423" t="str" cm="1">
        <f t="array" ref="O423">_xlfn.IFS(F423="","",F423&lt;=5,"0 to 5",F423&lt;=10,"5.1 to 10",F423&lt;=20,"10 to 20", F423&lt;= 40, "20 to 40", F423 &lt;= 50, "40 to 50", F423 &gt; 50, "&gt;50" )</f>
        <v>5.1 to 10</v>
      </c>
    </row>
    <row r="424" spans="1:15" ht="14.4" x14ac:dyDescent="0.3">
      <c r="A424" t="s">
        <v>114</v>
      </c>
      <c r="B424" s="1">
        <v>46175</v>
      </c>
      <c r="C424" t="s">
        <v>64</v>
      </c>
      <c r="D424">
        <v>384</v>
      </c>
      <c r="E424">
        <v>1</v>
      </c>
      <c r="F424">
        <v>13.6</v>
      </c>
      <c r="G424" t="s">
        <v>88</v>
      </c>
      <c r="H424" t="s">
        <v>148</v>
      </c>
      <c r="I424" t="str">
        <f t="shared" si="7"/>
        <v>384_1</v>
      </c>
      <c r="J424" t="s">
        <v>18</v>
      </c>
      <c r="K424" t="s">
        <v>115</v>
      </c>
      <c r="L424" t="str">
        <f>_xlfn.XLOOKUP(C424, Table2[Species],Table2[Genus], "Code Not Found")</f>
        <v>Fagus</v>
      </c>
      <c r="M424" t="str">
        <f>_xlfn.XLOOKUP(C424, Table2[Species],Table2[Sp. Name], "Code Not Found")</f>
        <v>grandifolia</v>
      </c>
      <c r="N424" t="str">
        <f>_xlfn.XLOOKUP(C424,Table2[Species],Table2[Family],"Code Not Found")</f>
        <v>Fagaceae</v>
      </c>
      <c r="O424" t="str" cm="1">
        <f t="array" ref="O424">_xlfn.IFS(F424="","",F424&lt;=5,"0 to 5",F424&lt;=10,"5.1 to 10",F424&lt;=20,"10 to 20", F424&lt;= 40, "20 to 40", F424 &lt;= 50, "40 to 50", F424 &gt; 50, "&gt;50" )</f>
        <v>10 to 20</v>
      </c>
    </row>
    <row r="425" spans="1:15" ht="14.4" x14ac:dyDescent="0.3">
      <c r="A425" t="s">
        <v>114</v>
      </c>
      <c r="B425" s="1">
        <v>46175</v>
      </c>
      <c r="C425" t="s">
        <v>123</v>
      </c>
      <c r="D425">
        <v>386</v>
      </c>
      <c r="E425">
        <v>1</v>
      </c>
      <c r="F425">
        <v>77.7</v>
      </c>
      <c r="G425" t="s">
        <v>21</v>
      </c>
      <c r="I425" t="str">
        <f t="shared" si="7"/>
        <v>386_1</v>
      </c>
      <c r="J425" t="s">
        <v>18</v>
      </c>
      <c r="K425" t="s">
        <v>115</v>
      </c>
      <c r="L425" t="str">
        <f>_xlfn.XLOOKUP(C425, Table2[Species],Table2[Genus], "Code Not Found")</f>
        <v>Quercus</v>
      </c>
      <c r="M425" t="str">
        <f>_xlfn.XLOOKUP(C425, Table2[Species],Table2[Sp. Name], "Code Not Found")</f>
        <v>rubra</v>
      </c>
      <c r="N425" t="str">
        <f>_xlfn.XLOOKUP(C425,Table2[Species],Table2[Family],"Code Not Found")</f>
        <v>Fagaceae</v>
      </c>
      <c r="O425" t="str" cm="1">
        <f t="array" ref="O425">_xlfn.IFS(F425="","",F425&lt;=5,"0 to 5",F425&lt;=10,"5.1 to 10",F425&lt;=20,"10 to 20", F425&lt;= 40, "20 to 40", F425 &lt;= 50, "40 to 50", F425 &gt; 50, "&gt;50" )</f>
        <v>&gt;50</v>
      </c>
    </row>
    <row r="426" spans="1:15" ht="14.4" x14ac:dyDescent="0.3">
      <c r="A426" t="s">
        <v>114</v>
      </c>
      <c r="B426" s="1">
        <v>46175</v>
      </c>
      <c r="C426" t="s">
        <v>16</v>
      </c>
      <c r="D426">
        <v>388</v>
      </c>
      <c r="E426">
        <v>1</v>
      </c>
      <c r="F426">
        <v>15</v>
      </c>
      <c r="G426" t="s">
        <v>17</v>
      </c>
      <c r="I426" t="str">
        <f t="shared" si="7"/>
        <v>388_1</v>
      </c>
      <c r="J426" t="s">
        <v>18</v>
      </c>
      <c r="K426" t="s">
        <v>115</v>
      </c>
      <c r="L426" t="str">
        <f>_xlfn.XLOOKUP(C426, Table2[Species],Table2[Genus], "Code Not Found")</f>
        <v>Acer</v>
      </c>
      <c r="M426" t="str">
        <f>_xlfn.XLOOKUP(C426, Table2[Species],Table2[Sp. Name], "Code Not Found")</f>
        <v>saccharum</v>
      </c>
      <c r="N426" t="str">
        <f>_xlfn.XLOOKUP(C426,Table2[Species],Table2[Family],"Code Not Found")</f>
        <v>Sapindaceae</v>
      </c>
      <c r="O426" t="str" cm="1">
        <f t="array" ref="O426">_xlfn.IFS(F426="","",F426&lt;=5,"0 to 5",F426&lt;=10,"5.1 to 10",F426&lt;=20,"10 to 20", F426&lt;= 40, "20 to 40", F426 &lt;= 50, "40 to 50", F426 &gt; 50, "&gt;50" )</f>
        <v>10 to 20</v>
      </c>
    </row>
    <row r="427" spans="1:15" ht="14.4" x14ac:dyDescent="0.3">
      <c r="A427" t="s">
        <v>114</v>
      </c>
      <c r="B427" s="1">
        <v>46175</v>
      </c>
      <c r="C427" t="s">
        <v>20</v>
      </c>
      <c r="D427">
        <v>389</v>
      </c>
      <c r="E427">
        <v>1</v>
      </c>
      <c r="F427">
        <v>5.6</v>
      </c>
      <c r="G427" t="s">
        <v>54</v>
      </c>
      <c r="H427" t="s">
        <v>149</v>
      </c>
      <c r="I427" t="str">
        <f t="shared" si="7"/>
        <v>389_1</v>
      </c>
      <c r="J427" t="s">
        <v>18</v>
      </c>
      <c r="K427" t="s">
        <v>115</v>
      </c>
      <c r="L427" t="str">
        <f>_xlfn.XLOOKUP(C427, Table2[Species],Table2[Genus], "Code Not Found")</f>
        <v>Prunus</v>
      </c>
      <c r="M427" t="str">
        <f>_xlfn.XLOOKUP(C427, Table2[Species],Table2[Sp. Name], "Code Not Found")</f>
        <v>serotina</v>
      </c>
      <c r="N427" t="str">
        <f>_xlfn.XLOOKUP(C427,Table2[Species],Table2[Family],"Code Not Found")</f>
        <v>Rosaceae</v>
      </c>
      <c r="O427" t="str" cm="1">
        <f t="array" ref="O427">_xlfn.IFS(F427="","",F427&lt;=5,"0 to 5",F427&lt;=10,"5.1 to 10",F427&lt;=20,"10 to 20", F427&lt;= 40, "20 to 40", F427 &lt;= 50, "40 to 50", F427 &gt; 50, "&gt;50" )</f>
        <v>5.1 to 10</v>
      </c>
    </row>
    <row r="428" spans="1:15" ht="14.4" x14ac:dyDescent="0.3">
      <c r="A428" t="s">
        <v>114</v>
      </c>
      <c r="B428" s="1">
        <v>46175</v>
      </c>
      <c r="C428" t="s">
        <v>16</v>
      </c>
      <c r="D428">
        <v>390</v>
      </c>
      <c r="E428">
        <v>1</v>
      </c>
      <c r="F428">
        <v>3.4</v>
      </c>
      <c r="G428" t="s">
        <v>17</v>
      </c>
      <c r="H428" t="s">
        <v>36</v>
      </c>
      <c r="I428" t="str">
        <f t="shared" si="7"/>
        <v>390_1</v>
      </c>
      <c r="J428" t="s">
        <v>18</v>
      </c>
      <c r="K428" t="s">
        <v>115</v>
      </c>
      <c r="L428" t="str">
        <f>_xlfn.XLOOKUP(C428, Table2[Species],Table2[Genus], "Code Not Found")</f>
        <v>Acer</v>
      </c>
      <c r="M428" t="str">
        <f>_xlfn.XLOOKUP(C428, Table2[Species],Table2[Sp. Name], "Code Not Found")</f>
        <v>saccharum</v>
      </c>
      <c r="N428" t="str">
        <f>_xlfn.XLOOKUP(C428,Table2[Species],Table2[Family],"Code Not Found")</f>
        <v>Sapindaceae</v>
      </c>
      <c r="O428" t="str" cm="1">
        <f t="array" ref="O428">_xlfn.IFS(F428="","",F428&lt;=5,"0 to 5",F428&lt;=10,"5.1 to 10",F428&lt;=20,"10 to 20", F428&lt;= 40, "20 to 40", F428 &lt;= 50, "40 to 50", F428 &gt; 50, "&gt;50" )</f>
        <v>0 to 5</v>
      </c>
    </row>
    <row r="429" spans="1:15" ht="14.4" x14ac:dyDescent="0.3">
      <c r="A429" t="s">
        <v>114</v>
      </c>
      <c r="B429" s="1">
        <v>46175</v>
      </c>
      <c r="C429" t="s">
        <v>64</v>
      </c>
      <c r="D429">
        <v>391</v>
      </c>
      <c r="E429">
        <v>1</v>
      </c>
      <c r="F429">
        <v>10.9</v>
      </c>
      <c r="G429" t="s">
        <v>54</v>
      </c>
      <c r="I429" t="str">
        <f t="shared" si="7"/>
        <v>391_1</v>
      </c>
      <c r="J429" t="s">
        <v>18</v>
      </c>
      <c r="K429" t="s">
        <v>115</v>
      </c>
      <c r="L429" t="str">
        <f>_xlfn.XLOOKUP(C429, Table2[Species],Table2[Genus], "Code Not Found")</f>
        <v>Fagus</v>
      </c>
      <c r="M429" t="str">
        <f>_xlfn.XLOOKUP(C429, Table2[Species],Table2[Sp. Name], "Code Not Found")</f>
        <v>grandifolia</v>
      </c>
      <c r="N429" t="str">
        <f>_xlfn.XLOOKUP(C429,Table2[Species],Table2[Family],"Code Not Found")</f>
        <v>Fagaceae</v>
      </c>
      <c r="O429" t="str" cm="1">
        <f t="array" ref="O429">_xlfn.IFS(F429="","",F429&lt;=5,"0 to 5",F429&lt;=10,"5.1 to 10",F429&lt;=20,"10 to 20", F429&lt;= 40, "20 to 40", F429 &lt;= 50, "40 to 50", F429 &gt; 50, "&gt;50" )</f>
        <v>10 to 20</v>
      </c>
    </row>
    <row r="430" spans="1:15" ht="14.4" x14ac:dyDescent="0.3">
      <c r="A430" t="s">
        <v>114</v>
      </c>
      <c r="B430" s="1">
        <v>46175</v>
      </c>
      <c r="C430" t="s">
        <v>64</v>
      </c>
      <c r="D430">
        <v>392</v>
      </c>
      <c r="E430">
        <v>1</v>
      </c>
      <c r="F430">
        <v>43.1</v>
      </c>
      <c r="G430" t="s">
        <v>32</v>
      </c>
      <c r="H430" t="s">
        <v>43</v>
      </c>
      <c r="I430" t="str">
        <f t="shared" si="7"/>
        <v>392_1</v>
      </c>
      <c r="J430" t="s">
        <v>18</v>
      </c>
      <c r="K430" t="s">
        <v>115</v>
      </c>
      <c r="L430" t="str">
        <f>_xlfn.XLOOKUP(C430, Table2[Species],Table2[Genus], "Code Not Found")</f>
        <v>Fagus</v>
      </c>
      <c r="M430" t="str">
        <f>_xlfn.XLOOKUP(C430, Table2[Species],Table2[Sp. Name], "Code Not Found")</f>
        <v>grandifolia</v>
      </c>
      <c r="N430" t="str">
        <f>_xlfn.XLOOKUP(C430,Table2[Species],Table2[Family],"Code Not Found")</f>
        <v>Fagaceae</v>
      </c>
      <c r="O430" t="str" cm="1">
        <f t="array" ref="O430">_xlfn.IFS(F430="","",F430&lt;=5,"0 to 5",F430&lt;=10,"5.1 to 10",F430&lt;=20,"10 to 20", F430&lt;= 40, "20 to 40", F430 &lt;= 50, "40 to 50", F430 &gt; 50, "&gt;50" )</f>
        <v>40 to 50</v>
      </c>
    </row>
    <row r="431" spans="1:15" ht="14.4" x14ac:dyDescent="0.3">
      <c r="A431" t="s">
        <v>114</v>
      </c>
      <c r="B431" s="1">
        <v>46175</v>
      </c>
      <c r="C431" t="s">
        <v>64</v>
      </c>
      <c r="D431">
        <v>392</v>
      </c>
      <c r="E431">
        <v>2</v>
      </c>
      <c r="F431">
        <v>1.7</v>
      </c>
      <c r="G431" t="s">
        <v>34</v>
      </c>
      <c r="I431" t="str">
        <f t="shared" si="7"/>
        <v>392_2</v>
      </c>
      <c r="J431" t="s">
        <v>18</v>
      </c>
      <c r="K431" t="s">
        <v>115</v>
      </c>
      <c r="L431" t="str">
        <f>_xlfn.XLOOKUP(C431, Table2[Species],Table2[Genus], "Code Not Found")</f>
        <v>Fagus</v>
      </c>
      <c r="M431" t="str">
        <f>_xlfn.XLOOKUP(C431, Table2[Species],Table2[Sp. Name], "Code Not Found")</f>
        <v>grandifolia</v>
      </c>
      <c r="N431" t="str">
        <f>_xlfn.XLOOKUP(C431,Table2[Species],Table2[Family],"Code Not Found")</f>
        <v>Fagaceae</v>
      </c>
      <c r="O431" t="str" cm="1">
        <f t="array" ref="O431">_xlfn.IFS(F431="","",F431&lt;=5,"0 to 5",F431&lt;=10,"5.1 to 10",F431&lt;=20,"10 to 20", F431&lt;= 40, "20 to 40", F431 &lt;= 50, "40 to 50", F431 &gt; 50, "&gt;50" )</f>
        <v>0 to 5</v>
      </c>
    </row>
    <row r="432" spans="1:15" ht="14.4" x14ac:dyDescent="0.3">
      <c r="A432" t="s">
        <v>114</v>
      </c>
      <c r="B432" s="1">
        <v>46175</v>
      </c>
      <c r="C432" t="s">
        <v>64</v>
      </c>
      <c r="D432">
        <v>392</v>
      </c>
      <c r="E432">
        <v>3</v>
      </c>
      <c r="F432">
        <v>1.7</v>
      </c>
      <c r="G432" t="s">
        <v>34</v>
      </c>
      <c r="I432" t="str">
        <f t="shared" si="7"/>
        <v>392_3</v>
      </c>
      <c r="J432" t="s">
        <v>18</v>
      </c>
      <c r="K432" t="s">
        <v>115</v>
      </c>
      <c r="L432" t="str">
        <f>_xlfn.XLOOKUP(C432, Table2[Species],Table2[Genus], "Code Not Found")</f>
        <v>Fagus</v>
      </c>
      <c r="M432" t="str">
        <f>_xlfn.XLOOKUP(C432, Table2[Species],Table2[Sp. Name], "Code Not Found")</f>
        <v>grandifolia</v>
      </c>
      <c r="N432" t="str">
        <f>_xlfn.XLOOKUP(C432,Table2[Species],Table2[Family],"Code Not Found")</f>
        <v>Fagaceae</v>
      </c>
      <c r="O432" t="str" cm="1">
        <f t="array" ref="O432">_xlfn.IFS(F432="","",F432&lt;=5,"0 to 5",F432&lt;=10,"5.1 to 10",F432&lt;=20,"10 to 20", F432&lt;= 40, "20 to 40", F432 &lt;= 50, "40 to 50", F432 &gt; 50, "&gt;50" )</f>
        <v>0 to 5</v>
      </c>
    </row>
    <row r="433" spans="1:15" ht="14.4" x14ac:dyDescent="0.3">
      <c r="A433" t="s">
        <v>114</v>
      </c>
      <c r="B433" s="1">
        <v>46175</v>
      </c>
      <c r="C433" t="s">
        <v>64</v>
      </c>
      <c r="D433">
        <v>392</v>
      </c>
      <c r="E433">
        <v>4</v>
      </c>
      <c r="F433">
        <v>2.2000000000000002</v>
      </c>
      <c r="G433" t="s">
        <v>132</v>
      </c>
      <c r="H433" t="s">
        <v>150</v>
      </c>
      <c r="I433" t="str">
        <f t="shared" si="7"/>
        <v>392_4</v>
      </c>
      <c r="J433" t="s">
        <v>18</v>
      </c>
      <c r="K433" t="s">
        <v>115</v>
      </c>
      <c r="L433" t="str">
        <f>_xlfn.XLOOKUP(C433, Table2[Species],Table2[Genus], "Code Not Found")</f>
        <v>Fagus</v>
      </c>
      <c r="M433" t="str">
        <f>_xlfn.XLOOKUP(C433, Table2[Species],Table2[Sp. Name], "Code Not Found")</f>
        <v>grandifolia</v>
      </c>
      <c r="N433" t="str">
        <f>_xlfn.XLOOKUP(C433,Table2[Species],Table2[Family],"Code Not Found")</f>
        <v>Fagaceae</v>
      </c>
      <c r="O433" t="str" cm="1">
        <f t="array" ref="O433">_xlfn.IFS(F433="","",F433&lt;=5,"0 to 5",F433&lt;=10,"5.1 to 10",F433&lt;=20,"10 to 20", F433&lt;= 40, "20 to 40", F433 &lt;= 50, "40 to 50", F433 &gt; 50, "&gt;50" )</f>
        <v>0 to 5</v>
      </c>
    </row>
    <row r="434" spans="1:15" ht="14.4" x14ac:dyDescent="0.3">
      <c r="A434" t="s">
        <v>114</v>
      </c>
      <c r="B434" s="1">
        <v>46175</v>
      </c>
      <c r="C434" t="s">
        <v>16</v>
      </c>
      <c r="D434">
        <v>393</v>
      </c>
      <c r="E434">
        <v>1</v>
      </c>
      <c r="F434">
        <v>3.7</v>
      </c>
      <c r="G434" t="s">
        <v>47</v>
      </c>
      <c r="H434" t="s">
        <v>43</v>
      </c>
      <c r="I434" t="str">
        <f t="shared" si="7"/>
        <v>393_1</v>
      </c>
      <c r="J434" t="s">
        <v>18</v>
      </c>
      <c r="K434" t="s">
        <v>115</v>
      </c>
      <c r="L434" t="str">
        <f>_xlfn.XLOOKUP(C434, Table2[Species],Table2[Genus], "Code Not Found")</f>
        <v>Acer</v>
      </c>
      <c r="M434" t="str">
        <f>_xlfn.XLOOKUP(C434, Table2[Species],Table2[Sp. Name], "Code Not Found")</f>
        <v>saccharum</v>
      </c>
      <c r="N434" t="str">
        <f>_xlfn.XLOOKUP(C434,Table2[Species],Table2[Family],"Code Not Found")</f>
        <v>Sapindaceae</v>
      </c>
      <c r="O434" t="str" cm="1">
        <f t="array" ref="O434">_xlfn.IFS(F434="","",F434&lt;=5,"0 to 5",F434&lt;=10,"5.1 to 10",F434&lt;=20,"10 to 20", F434&lt;= 40, "20 to 40", F434 &lt;= 50, "40 to 50", F434 &gt; 50, "&gt;50" )</f>
        <v>0 to 5</v>
      </c>
    </row>
    <row r="435" spans="1:15" ht="14.4" x14ac:dyDescent="0.3">
      <c r="A435" t="s">
        <v>114</v>
      </c>
      <c r="B435" s="1">
        <v>46175</v>
      </c>
      <c r="C435" t="s">
        <v>64</v>
      </c>
      <c r="D435">
        <v>394</v>
      </c>
      <c r="E435">
        <v>1</v>
      </c>
      <c r="F435">
        <v>13</v>
      </c>
      <c r="G435" t="s">
        <v>17</v>
      </c>
      <c r="I435" t="str">
        <f t="shared" si="7"/>
        <v>394_1</v>
      </c>
      <c r="J435" t="s">
        <v>18</v>
      </c>
      <c r="K435" t="s">
        <v>115</v>
      </c>
      <c r="L435" t="str">
        <f>_xlfn.XLOOKUP(C435, Table2[Species],Table2[Genus], "Code Not Found")</f>
        <v>Fagus</v>
      </c>
      <c r="M435" t="str">
        <f>_xlfn.XLOOKUP(C435, Table2[Species],Table2[Sp. Name], "Code Not Found")</f>
        <v>grandifolia</v>
      </c>
      <c r="N435" t="str">
        <f>_xlfn.XLOOKUP(C435,Table2[Species],Table2[Family],"Code Not Found")</f>
        <v>Fagaceae</v>
      </c>
      <c r="O435" t="str" cm="1">
        <f t="array" ref="O435">_xlfn.IFS(F435="","",F435&lt;=5,"0 to 5",F435&lt;=10,"5.1 to 10",F435&lt;=20,"10 to 20", F435&lt;= 40, "20 to 40", F435 &lt;= 50, "40 to 50", F435 &gt; 50, "&gt;50" )</f>
        <v>10 to 20</v>
      </c>
    </row>
    <row r="436" spans="1:15" ht="14.4" x14ac:dyDescent="0.3">
      <c r="A436" t="s">
        <v>114</v>
      </c>
      <c r="B436" s="1">
        <v>46175</v>
      </c>
      <c r="C436" t="s">
        <v>64</v>
      </c>
      <c r="D436">
        <v>395</v>
      </c>
      <c r="E436">
        <v>1</v>
      </c>
      <c r="F436">
        <v>11.6</v>
      </c>
      <c r="G436" t="s">
        <v>71</v>
      </c>
      <c r="I436" t="str">
        <f t="shared" si="7"/>
        <v>395_1</v>
      </c>
      <c r="J436" t="s">
        <v>18</v>
      </c>
      <c r="K436" t="s">
        <v>115</v>
      </c>
      <c r="L436" t="str">
        <f>_xlfn.XLOOKUP(C436, Table2[Species],Table2[Genus], "Code Not Found")</f>
        <v>Fagus</v>
      </c>
      <c r="M436" t="str">
        <f>_xlfn.XLOOKUP(C436, Table2[Species],Table2[Sp. Name], "Code Not Found")</f>
        <v>grandifolia</v>
      </c>
      <c r="N436" t="str">
        <f>_xlfn.XLOOKUP(C436,Table2[Species],Table2[Family],"Code Not Found")</f>
        <v>Fagaceae</v>
      </c>
      <c r="O436" t="str" cm="1">
        <f t="array" ref="O436">_xlfn.IFS(F436="","",F436&lt;=5,"0 to 5",F436&lt;=10,"5.1 to 10",F436&lt;=20,"10 to 20", F436&lt;= 40, "20 to 40", F436 &lt;= 50, "40 to 50", F436 &gt; 50, "&gt;50" )</f>
        <v>10 to 20</v>
      </c>
    </row>
    <row r="437" spans="1:15" ht="14.4" x14ac:dyDescent="0.3">
      <c r="A437" t="s">
        <v>114</v>
      </c>
      <c r="B437" s="1">
        <v>46175</v>
      </c>
      <c r="C437" t="s">
        <v>22</v>
      </c>
      <c r="D437">
        <v>396</v>
      </c>
      <c r="E437">
        <v>1</v>
      </c>
      <c r="F437">
        <v>45.3</v>
      </c>
      <c r="G437" t="s">
        <v>21</v>
      </c>
      <c r="I437" t="str">
        <f t="shared" si="7"/>
        <v>396_1</v>
      </c>
      <c r="J437" t="s">
        <v>18</v>
      </c>
      <c r="K437" t="s">
        <v>115</v>
      </c>
      <c r="L437" t="str">
        <f>_xlfn.XLOOKUP(C437, Table2[Species],Table2[Genus], "Code Not Found")</f>
        <v>Acer</v>
      </c>
      <c r="M437" t="str">
        <f>_xlfn.XLOOKUP(C437, Table2[Species],Table2[Sp. Name], "Code Not Found")</f>
        <v>rubrum</v>
      </c>
      <c r="N437" t="str">
        <f>_xlfn.XLOOKUP(C437,Table2[Species],Table2[Family],"Code Not Found")</f>
        <v>Sapindaceae</v>
      </c>
      <c r="O437" t="str" cm="1">
        <f t="array" ref="O437">_xlfn.IFS(F437="","",F437&lt;=5,"0 to 5",F437&lt;=10,"5.1 to 10",F437&lt;=20,"10 to 20", F437&lt;= 40, "20 to 40", F437 &lt;= 50, "40 to 50", F437 &gt; 50, "&gt;50" )</f>
        <v>40 to 50</v>
      </c>
    </row>
    <row r="438" spans="1:15" ht="14.4" x14ac:dyDescent="0.3">
      <c r="A438" t="s">
        <v>114</v>
      </c>
      <c r="B438" s="1">
        <v>46175</v>
      </c>
      <c r="C438" t="s">
        <v>16</v>
      </c>
      <c r="D438">
        <v>397</v>
      </c>
      <c r="E438">
        <v>1</v>
      </c>
      <c r="F438">
        <v>1.2</v>
      </c>
      <c r="G438" t="s">
        <v>47</v>
      </c>
      <c r="H438" t="s">
        <v>43</v>
      </c>
      <c r="I438" t="str">
        <f t="shared" si="7"/>
        <v>397_1</v>
      </c>
      <c r="J438" t="s">
        <v>18</v>
      </c>
      <c r="K438" t="s">
        <v>115</v>
      </c>
      <c r="L438" t="str">
        <f>_xlfn.XLOOKUP(C438, Table2[Species],Table2[Genus], "Code Not Found")</f>
        <v>Acer</v>
      </c>
      <c r="M438" t="str">
        <f>_xlfn.XLOOKUP(C438, Table2[Species],Table2[Sp. Name], "Code Not Found")</f>
        <v>saccharum</v>
      </c>
      <c r="N438" t="str">
        <f>_xlfn.XLOOKUP(C438,Table2[Species],Table2[Family],"Code Not Found")</f>
        <v>Sapindaceae</v>
      </c>
      <c r="O438" t="str" cm="1">
        <f t="array" ref="O438">_xlfn.IFS(F438="","",F438&lt;=5,"0 to 5",F438&lt;=10,"5.1 to 10",F438&lt;=20,"10 to 20", F438&lt;= 40, "20 to 40", F438 &lt;= 50, "40 to 50", F438 &gt; 50, "&gt;50" )</f>
        <v>0 to 5</v>
      </c>
    </row>
    <row r="439" spans="1:15" ht="14.4" x14ac:dyDescent="0.3">
      <c r="A439" t="s">
        <v>114</v>
      </c>
      <c r="B439" s="1">
        <v>46175</v>
      </c>
      <c r="C439" t="s">
        <v>16</v>
      </c>
      <c r="D439">
        <v>398</v>
      </c>
      <c r="E439">
        <v>1</v>
      </c>
      <c r="F439">
        <v>2.9</v>
      </c>
      <c r="G439" t="s">
        <v>17</v>
      </c>
      <c r="I439" t="str">
        <f t="shared" si="7"/>
        <v>398_1</v>
      </c>
      <c r="J439" t="s">
        <v>18</v>
      </c>
      <c r="K439" t="s">
        <v>115</v>
      </c>
      <c r="L439" t="str">
        <f>_xlfn.XLOOKUP(C439, Table2[Species],Table2[Genus], "Code Not Found")</f>
        <v>Acer</v>
      </c>
      <c r="M439" t="str">
        <f>_xlfn.XLOOKUP(C439, Table2[Species],Table2[Sp. Name], "Code Not Found")</f>
        <v>saccharum</v>
      </c>
      <c r="N439" t="str">
        <f>_xlfn.XLOOKUP(C439,Table2[Species],Table2[Family],"Code Not Found")</f>
        <v>Sapindaceae</v>
      </c>
      <c r="O439" t="str" cm="1">
        <f t="array" ref="O439">_xlfn.IFS(F439="","",F439&lt;=5,"0 to 5",F439&lt;=10,"5.1 to 10",F439&lt;=20,"10 to 20", F439&lt;= 40, "20 to 40", F439 &lt;= 50, "40 to 50", F439 &gt; 50, "&gt;50" )</f>
        <v>0 to 5</v>
      </c>
    </row>
    <row r="440" spans="1:15" ht="14.4" x14ac:dyDescent="0.3">
      <c r="A440" t="s">
        <v>114</v>
      </c>
      <c r="B440" s="1">
        <v>46175</v>
      </c>
      <c r="C440" t="s">
        <v>16</v>
      </c>
      <c r="D440">
        <v>399</v>
      </c>
      <c r="E440">
        <v>1</v>
      </c>
      <c r="F440">
        <v>4.3</v>
      </c>
      <c r="G440" t="s">
        <v>88</v>
      </c>
      <c r="I440" t="str">
        <f t="shared" si="7"/>
        <v>399_1</v>
      </c>
      <c r="J440" t="s">
        <v>18</v>
      </c>
      <c r="K440" t="s">
        <v>115</v>
      </c>
      <c r="L440" t="str">
        <f>_xlfn.XLOOKUP(C440, Table2[Species],Table2[Genus], "Code Not Found")</f>
        <v>Acer</v>
      </c>
      <c r="M440" t="str">
        <f>_xlfn.XLOOKUP(C440, Table2[Species],Table2[Sp. Name], "Code Not Found")</f>
        <v>saccharum</v>
      </c>
      <c r="N440" t="str">
        <f>_xlfn.XLOOKUP(C440,Table2[Species],Table2[Family],"Code Not Found")</f>
        <v>Sapindaceae</v>
      </c>
      <c r="O440" t="str" cm="1">
        <f t="array" ref="O440">_xlfn.IFS(F440="","",F440&lt;=5,"0 to 5",F440&lt;=10,"5.1 to 10",F440&lt;=20,"10 to 20", F440&lt;= 40, "20 to 40", F440 &lt;= 50, "40 to 50", F440 &gt; 50, "&gt;50" )</f>
        <v>0 to 5</v>
      </c>
    </row>
    <row r="441" spans="1:15" ht="14.4" x14ac:dyDescent="0.3">
      <c r="A441" t="s">
        <v>114</v>
      </c>
      <c r="B441" s="1">
        <v>46175</v>
      </c>
      <c r="C441" t="s">
        <v>16</v>
      </c>
      <c r="D441">
        <v>400</v>
      </c>
      <c r="E441">
        <v>1</v>
      </c>
      <c r="F441">
        <v>5.3</v>
      </c>
      <c r="G441" t="s">
        <v>21</v>
      </c>
      <c r="I441" t="str">
        <f t="shared" si="7"/>
        <v>400_1</v>
      </c>
      <c r="J441" t="s">
        <v>18</v>
      </c>
      <c r="K441" t="s">
        <v>115</v>
      </c>
      <c r="L441" t="str">
        <f>_xlfn.XLOOKUP(C441, Table2[Species],Table2[Genus], "Code Not Found")</f>
        <v>Acer</v>
      </c>
      <c r="M441" t="str">
        <f>_xlfn.XLOOKUP(C441, Table2[Species],Table2[Sp. Name], "Code Not Found")</f>
        <v>saccharum</v>
      </c>
      <c r="N441" t="str">
        <f>_xlfn.XLOOKUP(C441,Table2[Species],Table2[Family],"Code Not Found")</f>
        <v>Sapindaceae</v>
      </c>
      <c r="O441" t="str" cm="1">
        <f t="array" ref="O441">_xlfn.IFS(F441="","",F441&lt;=5,"0 to 5",F441&lt;=10,"5.1 to 10",F441&lt;=20,"10 to 20", F441&lt;= 40, "20 to 40", F441 &lt;= 50, "40 to 50", F441 &gt; 50, "&gt;50" )</f>
        <v>5.1 to 10</v>
      </c>
    </row>
    <row r="442" spans="1:15" ht="14.4" x14ac:dyDescent="0.3">
      <c r="A442" t="s">
        <v>114</v>
      </c>
      <c r="B442" s="1">
        <v>46175</v>
      </c>
      <c r="C442" t="s">
        <v>16</v>
      </c>
      <c r="D442">
        <v>401</v>
      </c>
      <c r="E442">
        <v>1</v>
      </c>
      <c r="F442">
        <v>1.9</v>
      </c>
      <c r="G442" t="s">
        <v>88</v>
      </c>
      <c r="H442" t="s">
        <v>99</v>
      </c>
      <c r="I442" t="str">
        <f t="shared" si="7"/>
        <v>401_1</v>
      </c>
      <c r="J442" t="s">
        <v>18</v>
      </c>
      <c r="K442" t="s">
        <v>115</v>
      </c>
      <c r="L442" t="str">
        <f>_xlfn.XLOOKUP(C442, Table2[Species],Table2[Genus], "Code Not Found")</f>
        <v>Acer</v>
      </c>
      <c r="M442" t="str">
        <f>_xlfn.XLOOKUP(C442, Table2[Species],Table2[Sp. Name], "Code Not Found")</f>
        <v>saccharum</v>
      </c>
      <c r="N442" t="str">
        <f>_xlfn.XLOOKUP(C442,Table2[Species],Table2[Family],"Code Not Found")</f>
        <v>Sapindaceae</v>
      </c>
      <c r="O442" t="str" cm="1">
        <f t="array" ref="O442">_xlfn.IFS(F442="","",F442&lt;=5,"0 to 5",F442&lt;=10,"5.1 to 10",F442&lt;=20,"10 to 20", F442&lt;= 40, "20 to 40", F442 &lt;= 50, "40 to 50", F442 &gt; 50, "&gt;50" )</f>
        <v>0 to 5</v>
      </c>
    </row>
    <row r="443" spans="1:15" ht="14.4" x14ac:dyDescent="0.3">
      <c r="A443" t="s">
        <v>114</v>
      </c>
      <c r="B443" s="1">
        <v>46175</v>
      </c>
      <c r="C443" t="s">
        <v>16</v>
      </c>
      <c r="D443">
        <v>402</v>
      </c>
      <c r="E443">
        <v>1</v>
      </c>
      <c r="F443">
        <v>1.9</v>
      </c>
      <c r="G443" t="s">
        <v>17</v>
      </c>
      <c r="I443" t="str">
        <f t="shared" si="7"/>
        <v>402_1</v>
      </c>
      <c r="J443" t="s">
        <v>18</v>
      </c>
      <c r="K443" t="s">
        <v>115</v>
      </c>
      <c r="L443" t="str">
        <f>_xlfn.XLOOKUP(C443, Table2[Species],Table2[Genus], "Code Not Found")</f>
        <v>Acer</v>
      </c>
      <c r="M443" t="str">
        <f>_xlfn.XLOOKUP(C443, Table2[Species],Table2[Sp. Name], "Code Not Found")</f>
        <v>saccharum</v>
      </c>
      <c r="N443" t="str">
        <f>_xlfn.XLOOKUP(C443,Table2[Species],Table2[Family],"Code Not Found")</f>
        <v>Sapindaceae</v>
      </c>
      <c r="O443" t="str" cm="1">
        <f t="array" ref="O443">_xlfn.IFS(F443="","",F443&lt;=5,"0 to 5",F443&lt;=10,"5.1 to 10",F443&lt;=20,"10 to 20", F443&lt;= 40, "20 to 40", F443 &lt;= 50, "40 to 50", F443 &gt; 50, "&gt;50" )</f>
        <v>0 to 5</v>
      </c>
    </row>
    <row r="444" spans="1:15" ht="14.4" x14ac:dyDescent="0.3">
      <c r="A444" t="s">
        <v>114</v>
      </c>
      <c r="B444" s="1">
        <v>46175</v>
      </c>
      <c r="C444" t="s">
        <v>16</v>
      </c>
      <c r="D444">
        <v>403</v>
      </c>
      <c r="E444">
        <v>1</v>
      </c>
      <c r="F444">
        <v>5.8</v>
      </c>
      <c r="G444" t="s">
        <v>17</v>
      </c>
      <c r="H444" t="s">
        <v>36</v>
      </c>
      <c r="I444" t="str">
        <f t="shared" si="7"/>
        <v>403_1</v>
      </c>
      <c r="J444" t="s">
        <v>18</v>
      </c>
      <c r="K444" t="s">
        <v>115</v>
      </c>
      <c r="L444" t="str">
        <f>_xlfn.XLOOKUP(C444, Table2[Species],Table2[Genus], "Code Not Found")</f>
        <v>Acer</v>
      </c>
      <c r="M444" t="str">
        <f>_xlfn.XLOOKUP(C444, Table2[Species],Table2[Sp. Name], "Code Not Found")</f>
        <v>saccharum</v>
      </c>
      <c r="N444" t="str">
        <f>_xlfn.XLOOKUP(C444,Table2[Species],Table2[Family],"Code Not Found")</f>
        <v>Sapindaceae</v>
      </c>
      <c r="O444" t="str" cm="1">
        <f t="array" ref="O444">_xlfn.IFS(F444="","",F444&lt;=5,"0 to 5",F444&lt;=10,"5.1 to 10",F444&lt;=20,"10 to 20", F444&lt;= 40, "20 to 40", F444 &lt;= 50, "40 to 50", F444 &gt; 50, "&gt;50" )</f>
        <v>5.1 to 10</v>
      </c>
    </row>
    <row r="445" spans="1:15" ht="14.4" x14ac:dyDescent="0.3">
      <c r="A445" t="s">
        <v>114</v>
      </c>
      <c r="B445" s="1">
        <v>46175</v>
      </c>
      <c r="C445" t="s">
        <v>16</v>
      </c>
      <c r="D445">
        <v>404</v>
      </c>
      <c r="E445">
        <v>1</v>
      </c>
      <c r="F445">
        <v>2.9</v>
      </c>
      <c r="G445" t="s">
        <v>30</v>
      </c>
      <c r="H445" t="s">
        <v>99</v>
      </c>
      <c r="I445" t="str">
        <f t="shared" si="7"/>
        <v>404_1</v>
      </c>
      <c r="J445" t="s">
        <v>18</v>
      </c>
      <c r="K445" t="s">
        <v>115</v>
      </c>
      <c r="L445" t="str">
        <f>_xlfn.XLOOKUP(C445, Table2[Species],Table2[Genus], "Code Not Found")</f>
        <v>Acer</v>
      </c>
      <c r="M445" t="str">
        <f>_xlfn.XLOOKUP(C445, Table2[Species],Table2[Sp. Name], "Code Not Found")</f>
        <v>saccharum</v>
      </c>
      <c r="N445" t="str">
        <f>_xlfn.XLOOKUP(C445,Table2[Species],Table2[Family],"Code Not Found")</f>
        <v>Sapindaceae</v>
      </c>
      <c r="O445" t="str" cm="1">
        <f t="array" ref="O445">_xlfn.IFS(F445="","",F445&lt;=5,"0 to 5",F445&lt;=10,"5.1 to 10",F445&lt;=20,"10 to 20", F445&lt;= 40, "20 to 40", F445 &lt;= 50, "40 to 50", F445 &gt; 50, "&gt;50" )</f>
        <v>0 to 5</v>
      </c>
    </row>
    <row r="446" spans="1:15" ht="14.4" x14ac:dyDescent="0.3">
      <c r="A446" t="s">
        <v>114</v>
      </c>
      <c r="B446" s="1">
        <v>46175</v>
      </c>
      <c r="C446" t="s">
        <v>64</v>
      </c>
      <c r="D446">
        <v>405</v>
      </c>
      <c r="E446">
        <v>1</v>
      </c>
      <c r="F446">
        <v>16</v>
      </c>
      <c r="G446" t="s">
        <v>21</v>
      </c>
      <c r="I446" t="str">
        <f t="shared" si="7"/>
        <v>405_1</v>
      </c>
      <c r="J446" t="s">
        <v>18</v>
      </c>
      <c r="K446" t="s">
        <v>115</v>
      </c>
      <c r="L446" t="str">
        <f>_xlfn.XLOOKUP(C446, Table2[Species],Table2[Genus], "Code Not Found")</f>
        <v>Fagus</v>
      </c>
      <c r="M446" t="str">
        <f>_xlfn.XLOOKUP(C446, Table2[Species],Table2[Sp. Name], "Code Not Found")</f>
        <v>grandifolia</v>
      </c>
      <c r="N446" t="str">
        <f>_xlfn.XLOOKUP(C446,Table2[Species],Table2[Family],"Code Not Found")</f>
        <v>Fagaceae</v>
      </c>
      <c r="O446" t="str" cm="1">
        <f t="array" ref="O446">_xlfn.IFS(F446="","",F446&lt;=5,"0 to 5",F446&lt;=10,"5.1 to 10",F446&lt;=20,"10 to 20", F446&lt;= 40, "20 to 40", F446 &lt;= 50, "40 to 50", F446 &gt; 50, "&gt;50" )</f>
        <v>10 to 20</v>
      </c>
    </row>
    <row r="447" spans="1:15" ht="14.4" x14ac:dyDescent="0.3">
      <c r="A447" t="s">
        <v>114</v>
      </c>
      <c r="B447" s="1">
        <v>46175</v>
      </c>
      <c r="C447" t="s">
        <v>16</v>
      </c>
      <c r="D447">
        <v>406</v>
      </c>
      <c r="E447">
        <v>1</v>
      </c>
      <c r="F447">
        <v>1.5</v>
      </c>
      <c r="G447" t="s">
        <v>103</v>
      </c>
      <c r="I447" t="str">
        <f t="shared" si="7"/>
        <v>406_1</v>
      </c>
      <c r="J447" t="s">
        <v>18</v>
      </c>
      <c r="K447" t="s">
        <v>115</v>
      </c>
      <c r="L447" t="str">
        <f>_xlfn.XLOOKUP(C447, Table2[Species],Table2[Genus], "Code Not Found")</f>
        <v>Acer</v>
      </c>
      <c r="M447" t="str">
        <f>_xlfn.XLOOKUP(C447, Table2[Species],Table2[Sp. Name], "Code Not Found")</f>
        <v>saccharum</v>
      </c>
      <c r="N447" t="str">
        <f>_xlfn.XLOOKUP(C447,Table2[Species],Table2[Family],"Code Not Found")</f>
        <v>Sapindaceae</v>
      </c>
      <c r="O447" t="str" cm="1">
        <f t="array" ref="O447">_xlfn.IFS(F447="","",F447&lt;=5,"0 to 5",F447&lt;=10,"5.1 to 10",F447&lt;=20,"10 to 20", F447&lt;= 40, "20 to 40", F447 &lt;= 50, "40 to 50", F447 &gt; 50, "&gt;50" )</f>
        <v>0 to 5</v>
      </c>
    </row>
    <row r="448" spans="1:15" ht="14.4" x14ac:dyDescent="0.3">
      <c r="A448" t="s">
        <v>114</v>
      </c>
      <c r="B448" s="1">
        <v>46175</v>
      </c>
      <c r="C448" t="s">
        <v>123</v>
      </c>
      <c r="D448">
        <v>407</v>
      </c>
      <c r="E448">
        <v>1</v>
      </c>
      <c r="F448">
        <v>31.3</v>
      </c>
      <c r="G448" t="s">
        <v>21</v>
      </c>
      <c r="H448" t="s">
        <v>43</v>
      </c>
      <c r="I448" t="str">
        <f t="shared" si="7"/>
        <v>407_1</v>
      </c>
      <c r="J448" t="s">
        <v>18</v>
      </c>
      <c r="K448" t="s">
        <v>115</v>
      </c>
      <c r="L448" t="str">
        <f>_xlfn.XLOOKUP(C448, Table2[Species],Table2[Genus], "Code Not Found")</f>
        <v>Quercus</v>
      </c>
      <c r="M448" t="str">
        <f>_xlfn.XLOOKUP(C448, Table2[Species],Table2[Sp. Name], "Code Not Found")</f>
        <v>rubra</v>
      </c>
      <c r="N448" t="str">
        <f>_xlfn.XLOOKUP(C448,Table2[Species],Table2[Family],"Code Not Found")</f>
        <v>Fagaceae</v>
      </c>
      <c r="O448" t="str" cm="1">
        <f t="array" ref="O448">_xlfn.IFS(F448="","",F448&lt;=5,"0 to 5",F448&lt;=10,"5.1 to 10",F448&lt;=20,"10 to 20", F448&lt;= 40, "20 to 40", F448 &lt;= 50, "40 to 50", F448 &gt; 50, "&gt;50" )</f>
        <v>20 to 40</v>
      </c>
    </row>
    <row r="449" spans="1:15" ht="14.4" x14ac:dyDescent="0.3">
      <c r="A449" t="s">
        <v>114</v>
      </c>
      <c r="B449" s="1">
        <v>46175</v>
      </c>
      <c r="C449" t="s">
        <v>16</v>
      </c>
      <c r="D449">
        <v>408</v>
      </c>
      <c r="E449">
        <v>1</v>
      </c>
      <c r="F449">
        <v>3.4</v>
      </c>
      <c r="G449" t="s">
        <v>17</v>
      </c>
      <c r="I449" t="str">
        <f t="shared" ref="I449:I512" si="8">D449&amp;"_"&amp;E449</f>
        <v>408_1</v>
      </c>
      <c r="J449" t="s">
        <v>18</v>
      </c>
      <c r="K449" t="s">
        <v>115</v>
      </c>
      <c r="L449" t="str">
        <f>_xlfn.XLOOKUP(C449, Table2[Species],Table2[Genus], "Code Not Found")</f>
        <v>Acer</v>
      </c>
      <c r="M449" t="str">
        <f>_xlfn.XLOOKUP(C449, Table2[Species],Table2[Sp. Name], "Code Not Found")</f>
        <v>saccharum</v>
      </c>
      <c r="N449" t="str">
        <f>_xlfn.XLOOKUP(C449,Table2[Species],Table2[Family],"Code Not Found")</f>
        <v>Sapindaceae</v>
      </c>
      <c r="O449" t="str" cm="1">
        <f t="array" ref="O449">_xlfn.IFS(F449="","",F449&lt;=5,"0 to 5",F449&lt;=10,"5.1 to 10",F449&lt;=20,"10 to 20", F449&lt;= 40, "20 to 40", F449 &lt;= 50, "40 to 50", F449 &gt; 50, "&gt;50" )</f>
        <v>0 to 5</v>
      </c>
    </row>
    <row r="450" spans="1:15" ht="14.4" x14ac:dyDescent="0.3">
      <c r="A450" t="s">
        <v>114</v>
      </c>
      <c r="B450" s="1">
        <v>46175</v>
      </c>
      <c r="C450" t="s">
        <v>22</v>
      </c>
      <c r="D450">
        <v>409</v>
      </c>
      <c r="E450">
        <v>1</v>
      </c>
      <c r="F450">
        <v>38.5</v>
      </c>
      <c r="G450" t="s">
        <v>21</v>
      </c>
      <c r="I450" t="str">
        <f t="shared" si="8"/>
        <v>409_1</v>
      </c>
      <c r="J450" t="s">
        <v>18</v>
      </c>
      <c r="K450" t="s">
        <v>115</v>
      </c>
      <c r="L450" t="str">
        <f>_xlfn.XLOOKUP(C450, Table2[Species],Table2[Genus], "Code Not Found")</f>
        <v>Acer</v>
      </c>
      <c r="M450" t="str">
        <f>_xlfn.XLOOKUP(C450, Table2[Species],Table2[Sp. Name], "Code Not Found")</f>
        <v>rubrum</v>
      </c>
      <c r="N450" t="str">
        <f>_xlfn.XLOOKUP(C450,Table2[Species],Table2[Family],"Code Not Found")</f>
        <v>Sapindaceae</v>
      </c>
      <c r="O450" t="str" cm="1">
        <f t="array" ref="O450">_xlfn.IFS(F450="","",F450&lt;=5,"0 to 5",F450&lt;=10,"5.1 to 10",F450&lt;=20,"10 to 20", F450&lt;= 40, "20 to 40", F450 &lt;= 50, "40 to 50", F450 &gt; 50, "&gt;50" )</f>
        <v>20 to 40</v>
      </c>
    </row>
    <row r="451" spans="1:15" ht="14.4" x14ac:dyDescent="0.3">
      <c r="A451" t="s">
        <v>114</v>
      </c>
      <c r="B451" s="1">
        <v>46175</v>
      </c>
      <c r="C451" t="s">
        <v>16</v>
      </c>
      <c r="D451">
        <v>410</v>
      </c>
      <c r="E451">
        <v>1</v>
      </c>
      <c r="F451">
        <v>3.1</v>
      </c>
      <c r="G451" t="s">
        <v>17</v>
      </c>
      <c r="I451" t="str">
        <f t="shared" si="8"/>
        <v>410_1</v>
      </c>
      <c r="J451" t="s">
        <v>18</v>
      </c>
      <c r="K451" t="s">
        <v>115</v>
      </c>
      <c r="L451" t="str">
        <f>_xlfn.XLOOKUP(C451, Table2[Species],Table2[Genus], "Code Not Found")</f>
        <v>Acer</v>
      </c>
      <c r="M451" t="str">
        <f>_xlfn.XLOOKUP(C451, Table2[Species],Table2[Sp. Name], "Code Not Found")</f>
        <v>saccharum</v>
      </c>
      <c r="N451" t="str">
        <f>_xlfn.XLOOKUP(C451,Table2[Species],Table2[Family],"Code Not Found")</f>
        <v>Sapindaceae</v>
      </c>
      <c r="O451" t="str" cm="1">
        <f t="array" ref="O451">_xlfn.IFS(F451="","",F451&lt;=5,"0 to 5",F451&lt;=10,"5.1 to 10",F451&lt;=20,"10 to 20", F451&lt;= 40, "20 to 40", F451 &lt;= 50, "40 to 50", F451 &gt; 50, "&gt;50" )</f>
        <v>0 to 5</v>
      </c>
    </row>
    <row r="452" spans="1:15" ht="14.4" x14ac:dyDescent="0.3">
      <c r="A452" t="s">
        <v>114</v>
      </c>
      <c r="B452" s="1">
        <v>46175</v>
      </c>
      <c r="C452" t="s">
        <v>20</v>
      </c>
      <c r="D452">
        <v>411</v>
      </c>
      <c r="E452">
        <v>1</v>
      </c>
      <c r="F452">
        <v>22.4</v>
      </c>
      <c r="G452" t="s">
        <v>51</v>
      </c>
      <c r="H452" t="s">
        <v>151</v>
      </c>
      <c r="I452" t="str">
        <f t="shared" si="8"/>
        <v>411_1</v>
      </c>
      <c r="J452" t="s">
        <v>18</v>
      </c>
      <c r="K452" t="s">
        <v>115</v>
      </c>
      <c r="L452" t="str">
        <f>_xlfn.XLOOKUP(C452, Table2[Species],Table2[Genus], "Code Not Found")</f>
        <v>Prunus</v>
      </c>
      <c r="M452" t="str">
        <f>_xlfn.XLOOKUP(C452, Table2[Species],Table2[Sp. Name], "Code Not Found")</f>
        <v>serotina</v>
      </c>
      <c r="N452" t="str">
        <f>_xlfn.XLOOKUP(C452,Table2[Species],Table2[Family],"Code Not Found")</f>
        <v>Rosaceae</v>
      </c>
      <c r="O452" t="str" cm="1">
        <f t="array" ref="O452">_xlfn.IFS(F452="","",F452&lt;=5,"0 to 5",F452&lt;=10,"5.1 to 10",F452&lt;=20,"10 to 20", F452&lt;= 40, "20 to 40", F452 &lt;= 50, "40 to 50", F452 &gt; 50, "&gt;50" )</f>
        <v>20 to 40</v>
      </c>
    </row>
    <row r="453" spans="1:15" ht="14.4" x14ac:dyDescent="0.3">
      <c r="A453" t="s">
        <v>114</v>
      </c>
      <c r="B453" s="1">
        <v>46175</v>
      </c>
      <c r="C453" t="s">
        <v>22</v>
      </c>
      <c r="D453">
        <v>412</v>
      </c>
      <c r="E453">
        <v>1</v>
      </c>
      <c r="F453">
        <v>6.9</v>
      </c>
      <c r="G453" t="s">
        <v>21</v>
      </c>
      <c r="I453" t="str">
        <f t="shared" si="8"/>
        <v>412_1</v>
      </c>
      <c r="J453" t="s">
        <v>18</v>
      </c>
      <c r="K453" t="s">
        <v>115</v>
      </c>
      <c r="L453" t="str">
        <f>_xlfn.XLOOKUP(C453, Table2[Species],Table2[Genus], "Code Not Found")</f>
        <v>Acer</v>
      </c>
      <c r="M453" t="str">
        <f>_xlfn.XLOOKUP(C453, Table2[Species],Table2[Sp. Name], "Code Not Found")</f>
        <v>rubrum</v>
      </c>
      <c r="N453" t="str">
        <f>_xlfn.XLOOKUP(C453,Table2[Species],Table2[Family],"Code Not Found")</f>
        <v>Sapindaceae</v>
      </c>
      <c r="O453" t="str" cm="1">
        <f t="array" ref="O453">_xlfn.IFS(F453="","",F453&lt;=5,"0 to 5",F453&lt;=10,"5.1 to 10",F453&lt;=20,"10 to 20", F453&lt;= 40, "20 to 40", F453 &lt;= 50, "40 to 50", F453 &gt; 50, "&gt;50" )</f>
        <v>5.1 to 10</v>
      </c>
    </row>
    <row r="454" spans="1:15" ht="14.4" x14ac:dyDescent="0.3">
      <c r="A454" t="s">
        <v>114</v>
      </c>
      <c r="B454" s="1">
        <v>46175</v>
      </c>
      <c r="C454" t="s">
        <v>16</v>
      </c>
      <c r="D454">
        <v>413</v>
      </c>
      <c r="E454">
        <v>1</v>
      </c>
      <c r="F454">
        <v>3.2</v>
      </c>
      <c r="G454" t="s">
        <v>17</v>
      </c>
      <c r="H454" t="s">
        <v>36</v>
      </c>
      <c r="I454" t="str">
        <f t="shared" si="8"/>
        <v>413_1</v>
      </c>
      <c r="J454" t="s">
        <v>18</v>
      </c>
      <c r="K454" t="s">
        <v>115</v>
      </c>
      <c r="L454" t="str">
        <f>_xlfn.XLOOKUP(C454, Table2[Species],Table2[Genus], "Code Not Found")</f>
        <v>Acer</v>
      </c>
      <c r="M454" t="str">
        <f>_xlfn.XLOOKUP(C454, Table2[Species],Table2[Sp. Name], "Code Not Found")</f>
        <v>saccharum</v>
      </c>
      <c r="N454" t="str">
        <f>_xlfn.XLOOKUP(C454,Table2[Species],Table2[Family],"Code Not Found")</f>
        <v>Sapindaceae</v>
      </c>
      <c r="O454" t="str" cm="1">
        <f t="array" ref="O454">_xlfn.IFS(F454="","",F454&lt;=5,"0 to 5",F454&lt;=10,"5.1 to 10",F454&lt;=20,"10 to 20", F454&lt;= 40, "20 to 40", F454 &lt;= 50, "40 to 50", F454 &gt; 50, "&gt;50" )</f>
        <v>0 to 5</v>
      </c>
    </row>
    <row r="455" spans="1:15" ht="14.4" x14ac:dyDescent="0.3">
      <c r="A455" t="s">
        <v>114</v>
      </c>
      <c r="B455" s="1">
        <v>46175</v>
      </c>
      <c r="C455" t="s">
        <v>20</v>
      </c>
      <c r="D455">
        <v>414</v>
      </c>
      <c r="E455">
        <v>1</v>
      </c>
      <c r="F455">
        <v>13</v>
      </c>
      <c r="G455" t="s">
        <v>17</v>
      </c>
      <c r="I455" t="str">
        <f t="shared" si="8"/>
        <v>414_1</v>
      </c>
      <c r="J455" t="s">
        <v>18</v>
      </c>
      <c r="K455" t="s">
        <v>115</v>
      </c>
      <c r="L455" t="str">
        <f>_xlfn.XLOOKUP(C455, Table2[Species],Table2[Genus], "Code Not Found")</f>
        <v>Prunus</v>
      </c>
      <c r="M455" t="str">
        <f>_xlfn.XLOOKUP(C455, Table2[Species],Table2[Sp. Name], "Code Not Found")</f>
        <v>serotina</v>
      </c>
      <c r="N455" t="str">
        <f>_xlfn.XLOOKUP(C455,Table2[Species],Table2[Family],"Code Not Found")</f>
        <v>Rosaceae</v>
      </c>
      <c r="O455" t="str" cm="1">
        <f t="array" ref="O455">_xlfn.IFS(F455="","",F455&lt;=5,"0 to 5",F455&lt;=10,"5.1 to 10",F455&lt;=20,"10 to 20", F455&lt;= 40, "20 to 40", F455 &lt;= 50, "40 to 50", F455 &gt; 50, "&gt;50" )</f>
        <v>10 to 20</v>
      </c>
    </row>
    <row r="456" spans="1:15" ht="14.4" x14ac:dyDescent="0.3">
      <c r="A456" t="s">
        <v>114</v>
      </c>
      <c r="B456" s="1">
        <v>46175</v>
      </c>
      <c r="C456" t="s">
        <v>16</v>
      </c>
      <c r="D456">
        <v>415</v>
      </c>
      <c r="E456">
        <v>1</v>
      </c>
      <c r="F456">
        <v>3.3</v>
      </c>
      <c r="G456" t="s">
        <v>21</v>
      </c>
      <c r="I456" t="str">
        <f t="shared" si="8"/>
        <v>415_1</v>
      </c>
      <c r="J456" t="s">
        <v>18</v>
      </c>
      <c r="K456" t="s">
        <v>115</v>
      </c>
      <c r="L456" t="str">
        <f>_xlfn.XLOOKUP(C456, Table2[Species],Table2[Genus], "Code Not Found")</f>
        <v>Acer</v>
      </c>
      <c r="M456" t="str">
        <f>_xlfn.XLOOKUP(C456, Table2[Species],Table2[Sp. Name], "Code Not Found")</f>
        <v>saccharum</v>
      </c>
      <c r="N456" t="str">
        <f>_xlfn.XLOOKUP(C456,Table2[Species],Table2[Family],"Code Not Found")</f>
        <v>Sapindaceae</v>
      </c>
      <c r="O456" t="str" cm="1">
        <f t="array" ref="O456">_xlfn.IFS(F456="","",F456&lt;=5,"0 to 5",F456&lt;=10,"5.1 to 10",F456&lt;=20,"10 to 20", F456&lt;= 40, "20 to 40", F456 &lt;= 50, "40 to 50", F456 &gt; 50, "&gt;50" )</f>
        <v>0 to 5</v>
      </c>
    </row>
    <row r="457" spans="1:15" ht="14.4" x14ac:dyDescent="0.3">
      <c r="A457" t="s">
        <v>114</v>
      </c>
      <c r="B457" s="1">
        <v>46175</v>
      </c>
      <c r="C457" t="s">
        <v>118</v>
      </c>
      <c r="D457">
        <v>416</v>
      </c>
      <c r="E457">
        <v>1</v>
      </c>
      <c r="F457">
        <v>85.8</v>
      </c>
      <c r="G457" t="s">
        <v>17</v>
      </c>
      <c r="I457" t="str">
        <f t="shared" si="8"/>
        <v>416_1</v>
      </c>
      <c r="J457" t="s">
        <v>18</v>
      </c>
      <c r="K457" t="s">
        <v>115</v>
      </c>
      <c r="L457" t="str">
        <f>_xlfn.XLOOKUP(C457, Table2[Species],Table2[Genus], "Code Not Found")</f>
        <v>Quercus</v>
      </c>
      <c r="M457" t="str">
        <f>_xlfn.XLOOKUP(C457, Table2[Species],Table2[Sp. Name], "Code Not Found")</f>
        <v>montana</v>
      </c>
      <c r="N457" t="str">
        <f>_xlfn.XLOOKUP(C457,Table2[Species],Table2[Family],"Code Not Found")</f>
        <v>Fagaceae</v>
      </c>
      <c r="O457" t="str" cm="1">
        <f t="array" ref="O457">_xlfn.IFS(F457="","",F457&lt;=5,"0 to 5",F457&lt;=10,"5.1 to 10",F457&lt;=20,"10 to 20", F457&lt;= 40, "20 to 40", F457 &lt;= 50, "40 to 50", F457 &gt; 50, "&gt;50" )</f>
        <v>&gt;50</v>
      </c>
    </row>
    <row r="458" spans="1:15" ht="14.4" x14ac:dyDescent="0.3">
      <c r="A458" t="s">
        <v>114</v>
      </c>
      <c r="B458" s="1">
        <v>46175</v>
      </c>
      <c r="C458" t="s">
        <v>22</v>
      </c>
      <c r="D458">
        <v>417</v>
      </c>
      <c r="E458">
        <v>1</v>
      </c>
      <c r="F458">
        <v>3.1</v>
      </c>
      <c r="G458" t="s">
        <v>21</v>
      </c>
      <c r="I458" t="str">
        <f t="shared" si="8"/>
        <v>417_1</v>
      </c>
      <c r="J458" t="s">
        <v>18</v>
      </c>
      <c r="K458" t="s">
        <v>115</v>
      </c>
      <c r="L458" t="str">
        <f>_xlfn.XLOOKUP(C458, Table2[Species],Table2[Genus], "Code Not Found")</f>
        <v>Acer</v>
      </c>
      <c r="M458" t="str">
        <f>_xlfn.XLOOKUP(C458, Table2[Species],Table2[Sp. Name], "Code Not Found")</f>
        <v>rubrum</v>
      </c>
      <c r="N458" t="str">
        <f>_xlfn.XLOOKUP(C458,Table2[Species],Table2[Family],"Code Not Found")</f>
        <v>Sapindaceae</v>
      </c>
      <c r="O458" t="str" cm="1">
        <f t="array" ref="O458">_xlfn.IFS(F458="","",F458&lt;=5,"0 to 5",F458&lt;=10,"5.1 to 10",F458&lt;=20,"10 to 20", F458&lt;= 40, "20 to 40", F458 &lt;= 50, "40 to 50", F458 &gt; 50, "&gt;50" )</f>
        <v>0 to 5</v>
      </c>
    </row>
    <row r="459" spans="1:15" ht="14.4" x14ac:dyDescent="0.3">
      <c r="A459" t="s">
        <v>114</v>
      </c>
      <c r="B459" s="1">
        <v>46175</v>
      </c>
      <c r="C459" t="s">
        <v>16</v>
      </c>
      <c r="D459">
        <v>418</v>
      </c>
      <c r="E459">
        <v>1</v>
      </c>
      <c r="F459">
        <v>25.9</v>
      </c>
      <c r="G459" t="s">
        <v>17</v>
      </c>
      <c r="I459" t="str">
        <f t="shared" si="8"/>
        <v>418_1</v>
      </c>
      <c r="J459" t="s">
        <v>18</v>
      </c>
      <c r="K459" t="s">
        <v>115</v>
      </c>
      <c r="L459" t="str">
        <f>_xlfn.XLOOKUP(C459, Table2[Species],Table2[Genus], "Code Not Found")</f>
        <v>Acer</v>
      </c>
      <c r="M459" t="str">
        <f>_xlfn.XLOOKUP(C459, Table2[Species],Table2[Sp. Name], "Code Not Found")</f>
        <v>saccharum</v>
      </c>
      <c r="N459" t="str">
        <f>_xlfn.XLOOKUP(C459,Table2[Species],Table2[Family],"Code Not Found")</f>
        <v>Sapindaceae</v>
      </c>
      <c r="O459" t="str" cm="1">
        <f t="array" ref="O459">_xlfn.IFS(F459="","",F459&lt;=5,"0 to 5",F459&lt;=10,"5.1 to 10",F459&lt;=20,"10 to 20", F459&lt;= 40, "20 to 40", F459 &lt;= 50, "40 to 50", F459 &gt; 50, "&gt;50" )</f>
        <v>20 to 40</v>
      </c>
    </row>
    <row r="460" spans="1:15" ht="14.4" x14ac:dyDescent="0.3">
      <c r="A460" t="s">
        <v>114</v>
      </c>
      <c r="B460" s="1">
        <v>46175</v>
      </c>
      <c r="C460" t="s">
        <v>118</v>
      </c>
      <c r="D460">
        <v>419</v>
      </c>
      <c r="E460">
        <v>1</v>
      </c>
      <c r="F460">
        <v>41.9</v>
      </c>
      <c r="G460" t="s">
        <v>17</v>
      </c>
      <c r="I460" t="str">
        <f t="shared" si="8"/>
        <v>419_1</v>
      </c>
      <c r="J460" t="s">
        <v>18</v>
      </c>
      <c r="K460" t="s">
        <v>115</v>
      </c>
      <c r="L460" t="str">
        <f>_xlfn.XLOOKUP(C460, Table2[Species],Table2[Genus], "Code Not Found")</f>
        <v>Quercus</v>
      </c>
      <c r="M460" t="str">
        <f>_xlfn.XLOOKUP(C460, Table2[Species],Table2[Sp. Name], "Code Not Found")</f>
        <v>montana</v>
      </c>
      <c r="N460" t="str">
        <f>_xlfn.XLOOKUP(C460,Table2[Species],Table2[Family],"Code Not Found")</f>
        <v>Fagaceae</v>
      </c>
      <c r="O460" t="str" cm="1">
        <f t="array" ref="O460">_xlfn.IFS(F460="","",F460&lt;=5,"0 to 5",F460&lt;=10,"5.1 to 10",F460&lt;=20,"10 to 20", F460&lt;= 40, "20 to 40", F460 &lt;= 50, "40 to 50", F460 &gt; 50, "&gt;50" )</f>
        <v>40 to 50</v>
      </c>
    </row>
    <row r="461" spans="1:15" ht="14.4" x14ac:dyDescent="0.3">
      <c r="A461" t="s">
        <v>114</v>
      </c>
      <c r="B461" s="1">
        <v>46175</v>
      </c>
      <c r="C461" t="s">
        <v>22</v>
      </c>
      <c r="D461">
        <v>420</v>
      </c>
      <c r="E461">
        <v>1</v>
      </c>
      <c r="F461">
        <v>16.7</v>
      </c>
      <c r="G461" t="s">
        <v>21</v>
      </c>
      <c r="I461" t="str">
        <f t="shared" si="8"/>
        <v>420_1</v>
      </c>
      <c r="J461" t="s">
        <v>18</v>
      </c>
      <c r="K461" t="s">
        <v>115</v>
      </c>
      <c r="L461" t="str">
        <f>_xlfn.XLOOKUP(C461, Table2[Species],Table2[Genus], "Code Not Found")</f>
        <v>Acer</v>
      </c>
      <c r="M461" t="str">
        <f>_xlfn.XLOOKUP(C461, Table2[Species],Table2[Sp. Name], "Code Not Found")</f>
        <v>rubrum</v>
      </c>
      <c r="N461" t="str">
        <f>_xlfn.XLOOKUP(C461,Table2[Species],Table2[Family],"Code Not Found")</f>
        <v>Sapindaceae</v>
      </c>
      <c r="O461" t="str" cm="1">
        <f t="array" ref="O461">_xlfn.IFS(F461="","",F461&lt;=5,"0 to 5",F461&lt;=10,"5.1 to 10",F461&lt;=20,"10 to 20", F461&lt;= 40, "20 to 40", F461 &lt;= 50, "40 to 50", F461 &gt; 50, "&gt;50" )</f>
        <v>10 to 20</v>
      </c>
    </row>
    <row r="462" spans="1:15" ht="14.4" x14ac:dyDescent="0.3">
      <c r="A462" t="s">
        <v>114</v>
      </c>
      <c r="B462" s="1">
        <v>46175</v>
      </c>
      <c r="C462" t="s">
        <v>16</v>
      </c>
      <c r="D462">
        <v>421</v>
      </c>
      <c r="E462">
        <v>1</v>
      </c>
      <c r="F462">
        <v>5.3</v>
      </c>
      <c r="G462" t="s">
        <v>17</v>
      </c>
      <c r="I462" t="str">
        <f t="shared" si="8"/>
        <v>421_1</v>
      </c>
      <c r="J462" t="s">
        <v>18</v>
      </c>
      <c r="K462" t="s">
        <v>115</v>
      </c>
      <c r="L462" t="str">
        <f>_xlfn.XLOOKUP(C462, Table2[Species],Table2[Genus], "Code Not Found")</f>
        <v>Acer</v>
      </c>
      <c r="M462" t="str">
        <f>_xlfn.XLOOKUP(C462, Table2[Species],Table2[Sp. Name], "Code Not Found")</f>
        <v>saccharum</v>
      </c>
      <c r="N462" t="str">
        <f>_xlfn.XLOOKUP(C462,Table2[Species],Table2[Family],"Code Not Found")</f>
        <v>Sapindaceae</v>
      </c>
      <c r="O462" t="str" cm="1">
        <f t="array" ref="O462">_xlfn.IFS(F462="","",F462&lt;=5,"0 to 5",F462&lt;=10,"5.1 to 10",F462&lt;=20,"10 to 20", F462&lt;= 40, "20 to 40", F462 &lt;= 50, "40 to 50", F462 &gt; 50, "&gt;50" )</f>
        <v>5.1 to 10</v>
      </c>
    </row>
    <row r="463" spans="1:15" ht="14.4" x14ac:dyDescent="0.3">
      <c r="A463" t="s">
        <v>114</v>
      </c>
      <c r="B463" s="1">
        <v>46175</v>
      </c>
      <c r="C463" t="s">
        <v>118</v>
      </c>
      <c r="D463">
        <v>422</v>
      </c>
      <c r="E463">
        <v>1</v>
      </c>
      <c r="F463">
        <v>36.6</v>
      </c>
      <c r="G463" t="s">
        <v>17</v>
      </c>
      <c r="I463" t="str">
        <f t="shared" si="8"/>
        <v>422_1</v>
      </c>
      <c r="J463" t="s">
        <v>18</v>
      </c>
      <c r="K463" t="s">
        <v>115</v>
      </c>
      <c r="L463" t="str">
        <f>_xlfn.XLOOKUP(C463, Table2[Species],Table2[Genus], "Code Not Found")</f>
        <v>Quercus</v>
      </c>
      <c r="M463" t="str">
        <f>_xlfn.XLOOKUP(C463, Table2[Species],Table2[Sp. Name], "Code Not Found")</f>
        <v>montana</v>
      </c>
      <c r="N463" t="str">
        <f>_xlfn.XLOOKUP(C463,Table2[Species],Table2[Family],"Code Not Found")</f>
        <v>Fagaceae</v>
      </c>
      <c r="O463" t="str" cm="1">
        <f t="array" ref="O463">_xlfn.IFS(F463="","",F463&lt;=5,"0 to 5",F463&lt;=10,"5.1 to 10",F463&lt;=20,"10 to 20", F463&lt;= 40, "20 to 40", F463 &lt;= 50, "40 to 50", F463 &gt; 50, "&gt;50" )</f>
        <v>20 to 40</v>
      </c>
    </row>
    <row r="464" spans="1:15" ht="14.4" x14ac:dyDescent="0.3">
      <c r="A464" t="s">
        <v>114</v>
      </c>
      <c r="B464" s="1">
        <v>46175</v>
      </c>
      <c r="C464" t="s">
        <v>16</v>
      </c>
      <c r="D464">
        <v>423</v>
      </c>
      <c r="E464">
        <v>1</v>
      </c>
      <c r="F464">
        <v>3</v>
      </c>
      <c r="G464" t="s">
        <v>139</v>
      </c>
      <c r="H464" t="s">
        <v>43</v>
      </c>
      <c r="I464" t="str">
        <f t="shared" si="8"/>
        <v>423_1</v>
      </c>
      <c r="J464" t="s">
        <v>18</v>
      </c>
      <c r="K464" t="s">
        <v>115</v>
      </c>
      <c r="L464" t="str">
        <f>_xlfn.XLOOKUP(C464, Table2[Species],Table2[Genus], "Code Not Found")</f>
        <v>Acer</v>
      </c>
      <c r="M464" t="str">
        <f>_xlfn.XLOOKUP(C464, Table2[Species],Table2[Sp. Name], "Code Not Found")</f>
        <v>saccharum</v>
      </c>
      <c r="N464" t="str">
        <f>_xlfn.XLOOKUP(C464,Table2[Species],Table2[Family],"Code Not Found")</f>
        <v>Sapindaceae</v>
      </c>
      <c r="O464" t="str" cm="1">
        <f t="array" ref="O464">_xlfn.IFS(F464="","",F464&lt;=5,"0 to 5",F464&lt;=10,"5.1 to 10",F464&lt;=20,"10 to 20", F464&lt;= 40, "20 to 40", F464 &lt;= 50, "40 to 50", F464 &gt; 50, "&gt;50" )</f>
        <v>0 to 5</v>
      </c>
    </row>
    <row r="465" spans="1:15" ht="14.4" x14ac:dyDescent="0.3">
      <c r="A465" t="s">
        <v>114</v>
      </c>
      <c r="B465" s="1">
        <v>46175</v>
      </c>
      <c r="C465" t="s">
        <v>123</v>
      </c>
      <c r="D465">
        <v>424</v>
      </c>
      <c r="E465">
        <v>1</v>
      </c>
      <c r="F465">
        <v>48.7</v>
      </c>
      <c r="G465" t="s">
        <v>17</v>
      </c>
      <c r="I465" t="str">
        <f t="shared" si="8"/>
        <v>424_1</v>
      </c>
      <c r="J465" t="s">
        <v>18</v>
      </c>
      <c r="K465" t="s">
        <v>115</v>
      </c>
      <c r="L465" t="str">
        <f>_xlfn.XLOOKUP(C465, Table2[Species],Table2[Genus], "Code Not Found")</f>
        <v>Quercus</v>
      </c>
      <c r="M465" t="str">
        <f>_xlfn.XLOOKUP(C465, Table2[Species],Table2[Sp. Name], "Code Not Found")</f>
        <v>rubra</v>
      </c>
      <c r="N465" t="str">
        <f>_xlfn.XLOOKUP(C465,Table2[Species],Table2[Family],"Code Not Found")</f>
        <v>Fagaceae</v>
      </c>
      <c r="O465" t="str" cm="1">
        <f t="array" ref="O465">_xlfn.IFS(F465="","",F465&lt;=5,"0 to 5",F465&lt;=10,"5.1 to 10",F465&lt;=20,"10 to 20", F465&lt;= 40, "20 to 40", F465 &lt;= 50, "40 to 50", F465 &gt; 50, "&gt;50" )</f>
        <v>40 to 50</v>
      </c>
    </row>
    <row r="466" spans="1:15" ht="14.4" x14ac:dyDescent="0.3">
      <c r="A466" t="s">
        <v>114</v>
      </c>
      <c r="B466" s="1">
        <v>46175</v>
      </c>
      <c r="C466" t="s">
        <v>16</v>
      </c>
      <c r="D466">
        <v>425</v>
      </c>
      <c r="E466">
        <v>1</v>
      </c>
      <c r="F466">
        <v>21.1</v>
      </c>
      <c r="G466" t="s">
        <v>21</v>
      </c>
      <c r="I466" t="str">
        <f t="shared" si="8"/>
        <v>425_1</v>
      </c>
      <c r="J466" t="s">
        <v>18</v>
      </c>
      <c r="K466" t="s">
        <v>115</v>
      </c>
      <c r="L466" t="str">
        <f>_xlfn.XLOOKUP(C466, Table2[Species],Table2[Genus], "Code Not Found")</f>
        <v>Acer</v>
      </c>
      <c r="M466" t="str">
        <f>_xlfn.XLOOKUP(C466, Table2[Species],Table2[Sp. Name], "Code Not Found")</f>
        <v>saccharum</v>
      </c>
      <c r="N466" t="str">
        <f>_xlfn.XLOOKUP(C466,Table2[Species],Table2[Family],"Code Not Found")</f>
        <v>Sapindaceae</v>
      </c>
      <c r="O466" t="str" cm="1">
        <f t="array" ref="O466">_xlfn.IFS(F466="","",F466&lt;=5,"0 to 5",F466&lt;=10,"5.1 to 10",F466&lt;=20,"10 to 20", F466&lt;= 40, "20 to 40", F466 &lt;= 50, "40 to 50", F466 &gt; 50, "&gt;50" )</f>
        <v>20 to 40</v>
      </c>
    </row>
    <row r="467" spans="1:15" ht="14.4" x14ac:dyDescent="0.3">
      <c r="A467" t="s">
        <v>114</v>
      </c>
      <c r="B467" s="1">
        <v>46175</v>
      </c>
      <c r="C467" t="s">
        <v>123</v>
      </c>
      <c r="D467">
        <v>426</v>
      </c>
      <c r="E467">
        <v>1</v>
      </c>
      <c r="F467">
        <v>37.4</v>
      </c>
      <c r="G467" t="s">
        <v>17</v>
      </c>
      <c r="H467" t="s">
        <v>36</v>
      </c>
      <c r="I467" t="str">
        <f t="shared" si="8"/>
        <v>426_1</v>
      </c>
      <c r="J467" t="s">
        <v>18</v>
      </c>
      <c r="K467" t="s">
        <v>115</v>
      </c>
      <c r="L467" t="str">
        <f>_xlfn.XLOOKUP(C467, Table2[Species],Table2[Genus], "Code Not Found")</f>
        <v>Quercus</v>
      </c>
      <c r="M467" t="str">
        <f>_xlfn.XLOOKUP(C467, Table2[Species],Table2[Sp. Name], "Code Not Found")</f>
        <v>rubra</v>
      </c>
      <c r="N467" t="str">
        <f>_xlfn.XLOOKUP(C467,Table2[Species],Table2[Family],"Code Not Found")</f>
        <v>Fagaceae</v>
      </c>
      <c r="O467" t="str" cm="1">
        <f t="array" ref="O467">_xlfn.IFS(F467="","",F467&lt;=5,"0 to 5",F467&lt;=10,"5.1 to 10",F467&lt;=20,"10 to 20", F467&lt;= 40, "20 to 40", F467 &lt;= 50, "40 to 50", F467 &gt; 50, "&gt;50" )</f>
        <v>20 to 40</v>
      </c>
    </row>
    <row r="468" spans="1:15" ht="14.4" x14ac:dyDescent="0.3">
      <c r="A468" t="s">
        <v>114</v>
      </c>
      <c r="B468" s="1">
        <v>46175</v>
      </c>
      <c r="C468" t="s">
        <v>16</v>
      </c>
      <c r="D468">
        <v>427</v>
      </c>
      <c r="E468">
        <v>1</v>
      </c>
      <c r="F468">
        <v>5.2</v>
      </c>
      <c r="G468" t="s">
        <v>17</v>
      </c>
      <c r="I468" t="str">
        <f t="shared" si="8"/>
        <v>427_1</v>
      </c>
      <c r="J468" t="s">
        <v>18</v>
      </c>
      <c r="K468" t="s">
        <v>115</v>
      </c>
      <c r="L468" t="str">
        <f>_xlfn.XLOOKUP(C468, Table2[Species],Table2[Genus], "Code Not Found")</f>
        <v>Acer</v>
      </c>
      <c r="M468" t="str">
        <f>_xlfn.XLOOKUP(C468, Table2[Species],Table2[Sp. Name], "Code Not Found")</f>
        <v>saccharum</v>
      </c>
      <c r="N468" t="str">
        <f>_xlfn.XLOOKUP(C468,Table2[Species],Table2[Family],"Code Not Found")</f>
        <v>Sapindaceae</v>
      </c>
      <c r="O468" t="str" cm="1">
        <f t="array" ref="O468">_xlfn.IFS(F468="","",F468&lt;=5,"0 to 5",F468&lt;=10,"5.1 to 10",F468&lt;=20,"10 to 20", F468&lt;= 40, "20 to 40", F468 &lt;= 50, "40 to 50", F468 &gt; 50, "&gt;50" )</f>
        <v>5.1 to 10</v>
      </c>
    </row>
    <row r="469" spans="1:15" ht="14.4" x14ac:dyDescent="0.3">
      <c r="A469" t="s">
        <v>114</v>
      </c>
      <c r="B469" s="1">
        <v>46175</v>
      </c>
      <c r="C469" t="s">
        <v>117</v>
      </c>
      <c r="D469">
        <v>428</v>
      </c>
      <c r="E469">
        <v>1</v>
      </c>
      <c r="F469">
        <v>5.2</v>
      </c>
      <c r="G469" t="s">
        <v>47</v>
      </c>
      <c r="I469" t="str">
        <f t="shared" si="8"/>
        <v>428_1</v>
      </c>
      <c r="J469" t="s">
        <v>18</v>
      </c>
      <c r="K469" t="s">
        <v>115</v>
      </c>
      <c r="L469" t="str">
        <f>_xlfn.XLOOKUP(C469, Table2[Species],Table2[Genus], "Code Not Found")</f>
        <v>Ostrya</v>
      </c>
      <c r="M469" t="str">
        <f>_xlfn.XLOOKUP(C469, Table2[Species],Table2[Sp. Name], "Code Not Found")</f>
        <v>viginiana</v>
      </c>
      <c r="N469" t="str">
        <f>_xlfn.XLOOKUP(C469,Table2[Species],Table2[Family],"Code Not Found")</f>
        <v>Betulaceae</v>
      </c>
      <c r="O469" t="str" cm="1">
        <f t="array" ref="O469">_xlfn.IFS(F469="","",F469&lt;=5,"0 to 5",F469&lt;=10,"5.1 to 10",F469&lt;=20,"10 to 20", F469&lt;= 40, "20 to 40", F469 &lt;= 50, "40 to 50", F469 &gt; 50, "&gt;50" )</f>
        <v>5.1 to 10</v>
      </c>
    </row>
    <row r="470" spans="1:15" ht="14.4" x14ac:dyDescent="0.3">
      <c r="A470" t="s">
        <v>114</v>
      </c>
      <c r="B470" s="1">
        <v>46175</v>
      </c>
      <c r="C470" t="s">
        <v>16</v>
      </c>
      <c r="D470">
        <v>429</v>
      </c>
      <c r="E470">
        <v>1</v>
      </c>
      <c r="F470">
        <v>2.1</v>
      </c>
      <c r="G470" t="s">
        <v>88</v>
      </c>
      <c r="H470" t="s">
        <v>100</v>
      </c>
      <c r="I470" t="str">
        <f t="shared" si="8"/>
        <v>429_1</v>
      </c>
      <c r="J470" t="s">
        <v>18</v>
      </c>
      <c r="K470" t="s">
        <v>115</v>
      </c>
      <c r="L470" t="str">
        <f>_xlfn.XLOOKUP(C470, Table2[Species],Table2[Genus], "Code Not Found")</f>
        <v>Acer</v>
      </c>
      <c r="M470" t="str">
        <f>_xlfn.XLOOKUP(C470, Table2[Species],Table2[Sp. Name], "Code Not Found")</f>
        <v>saccharum</v>
      </c>
      <c r="N470" t="str">
        <f>_xlfn.XLOOKUP(C470,Table2[Species],Table2[Family],"Code Not Found")</f>
        <v>Sapindaceae</v>
      </c>
      <c r="O470" t="str" cm="1">
        <f t="array" ref="O470">_xlfn.IFS(F470="","",F470&lt;=5,"0 to 5",F470&lt;=10,"5.1 to 10",F470&lt;=20,"10 to 20", F470&lt;= 40, "20 to 40", F470 &lt;= 50, "40 to 50", F470 &gt; 50, "&gt;50" )</f>
        <v>0 to 5</v>
      </c>
    </row>
    <row r="471" spans="1:15" ht="14.4" x14ac:dyDescent="0.3">
      <c r="A471" t="s">
        <v>114</v>
      </c>
      <c r="B471" s="1">
        <v>46175</v>
      </c>
      <c r="C471" t="s">
        <v>117</v>
      </c>
      <c r="D471">
        <v>430</v>
      </c>
      <c r="E471">
        <v>1</v>
      </c>
      <c r="F471">
        <v>4.3</v>
      </c>
      <c r="G471" t="s">
        <v>17</v>
      </c>
      <c r="I471" t="str">
        <f t="shared" si="8"/>
        <v>430_1</v>
      </c>
      <c r="J471" t="s">
        <v>18</v>
      </c>
      <c r="K471" t="s">
        <v>115</v>
      </c>
      <c r="L471" t="str">
        <f>_xlfn.XLOOKUP(C471, Table2[Species],Table2[Genus], "Code Not Found")</f>
        <v>Ostrya</v>
      </c>
      <c r="M471" t="str">
        <f>_xlfn.XLOOKUP(C471, Table2[Species],Table2[Sp. Name], "Code Not Found")</f>
        <v>viginiana</v>
      </c>
      <c r="N471" t="str">
        <f>_xlfn.XLOOKUP(C471,Table2[Species],Table2[Family],"Code Not Found")</f>
        <v>Betulaceae</v>
      </c>
      <c r="O471" t="str" cm="1">
        <f t="array" ref="O471">_xlfn.IFS(F471="","",F471&lt;=5,"0 to 5",F471&lt;=10,"5.1 to 10",F471&lt;=20,"10 to 20", F471&lt;= 40, "20 to 40", F471 &lt;= 50, "40 to 50", F471 &gt; 50, "&gt;50" )</f>
        <v>0 to 5</v>
      </c>
    </row>
    <row r="472" spans="1:15" ht="14.4" x14ac:dyDescent="0.3">
      <c r="A472" t="s">
        <v>114</v>
      </c>
      <c r="B472" s="1">
        <v>46175</v>
      </c>
      <c r="C472" t="s">
        <v>64</v>
      </c>
      <c r="D472">
        <v>431</v>
      </c>
      <c r="E472">
        <v>1</v>
      </c>
      <c r="F472">
        <v>1.5</v>
      </c>
      <c r="G472" t="s">
        <v>88</v>
      </c>
      <c r="H472" t="s">
        <v>99</v>
      </c>
      <c r="I472" t="str">
        <f t="shared" si="8"/>
        <v>431_1</v>
      </c>
      <c r="J472" t="s">
        <v>18</v>
      </c>
      <c r="K472" t="s">
        <v>115</v>
      </c>
      <c r="L472" t="str">
        <f>_xlfn.XLOOKUP(C472, Table2[Species],Table2[Genus], "Code Not Found")</f>
        <v>Fagus</v>
      </c>
      <c r="M472" t="str">
        <f>_xlfn.XLOOKUP(C472, Table2[Species],Table2[Sp. Name], "Code Not Found")</f>
        <v>grandifolia</v>
      </c>
      <c r="N472" t="str">
        <f>_xlfn.XLOOKUP(C472,Table2[Species],Table2[Family],"Code Not Found")</f>
        <v>Fagaceae</v>
      </c>
      <c r="O472" t="str" cm="1">
        <f t="array" ref="O472">_xlfn.IFS(F472="","",F472&lt;=5,"0 to 5",F472&lt;=10,"5.1 to 10",F472&lt;=20,"10 to 20", F472&lt;= 40, "20 to 40", F472 &lt;= 50, "40 to 50", F472 &gt; 50, "&gt;50" )</f>
        <v>0 to 5</v>
      </c>
    </row>
    <row r="473" spans="1:15" ht="14.4" x14ac:dyDescent="0.3">
      <c r="A473" t="s">
        <v>114</v>
      </c>
      <c r="B473" s="1">
        <v>46175</v>
      </c>
      <c r="C473" t="s">
        <v>16</v>
      </c>
      <c r="D473">
        <v>432</v>
      </c>
      <c r="E473">
        <v>1</v>
      </c>
      <c r="F473">
        <v>14.4</v>
      </c>
      <c r="G473" t="s">
        <v>21</v>
      </c>
      <c r="I473" t="str">
        <f t="shared" si="8"/>
        <v>432_1</v>
      </c>
      <c r="J473" t="s">
        <v>18</v>
      </c>
      <c r="K473" t="s">
        <v>115</v>
      </c>
      <c r="L473" t="str">
        <f>_xlfn.XLOOKUP(C473, Table2[Species],Table2[Genus], "Code Not Found")</f>
        <v>Acer</v>
      </c>
      <c r="M473" t="str">
        <f>_xlfn.XLOOKUP(C473, Table2[Species],Table2[Sp. Name], "Code Not Found")</f>
        <v>saccharum</v>
      </c>
      <c r="N473" t="str">
        <f>_xlfn.XLOOKUP(C473,Table2[Species],Table2[Family],"Code Not Found")</f>
        <v>Sapindaceae</v>
      </c>
      <c r="O473" t="str" cm="1">
        <f t="array" ref="O473">_xlfn.IFS(F473="","",F473&lt;=5,"0 to 5",F473&lt;=10,"5.1 to 10",F473&lt;=20,"10 to 20", F473&lt;= 40, "20 to 40", F473 &lt;= 50, "40 to 50", F473 &gt; 50, "&gt;50" )</f>
        <v>10 to 20</v>
      </c>
    </row>
    <row r="474" spans="1:15" ht="14.4" x14ac:dyDescent="0.3">
      <c r="A474" t="s">
        <v>114</v>
      </c>
      <c r="B474" s="1">
        <v>46175</v>
      </c>
      <c r="C474" t="s">
        <v>16</v>
      </c>
      <c r="D474">
        <v>433</v>
      </c>
      <c r="E474">
        <v>1</v>
      </c>
      <c r="F474">
        <v>6</v>
      </c>
      <c r="G474" t="s">
        <v>17</v>
      </c>
      <c r="I474" t="str">
        <f t="shared" si="8"/>
        <v>433_1</v>
      </c>
      <c r="J474" t="s">
        <v>18</v>
      </c>
      <c r="K474" t="s">
        <v>115</v>
      </c>
      <c r="L474" t="str">
        <f>_xlfn.XLOOKUP(C474, Table2[Species],Table2[Genus], "Code Not Found")</f>
        <v>Acer</v>
      </c>
      <c r="M474" t="str">
        <f>_xlfn.XLOOKUP(C474, Table2[Species],Table2[Sp. Name], "Code Not Found")</f>
        <v>saccharum</v>
      </c>
      <c r="N474" t="str">
        <f>_xlfn.XLOOKUP(C474,Table2[Species],Table2[Family],"Code Not Found")</f>
        <v>Sapindaceae</v>
      </c>
      <c r="O474" t="str" cm="1">
        <f t="array" ref="O474">_xlfn.IFS(F474="","",F474&lt;=5,"0 to 5",F474&lt;=10,"5.1 to 10",F474&lt;=20,"10 to 20", F474&lt;= 40, "20 to 40", F474 &lt;= 50, "40 to 50", F474 &gt; 50, "&gt;50" )</f>
        <v>5.1 to 10</v>
      </c>
    </row>
    <row r="475" spans="1:15" ht="14.4" x14ac:dyDescent="0.3">
      <c r="A475" t="s">
        <v>114</v>
      </c>
      <c r="B475" s="1">
        <v>46175</v>
      </c>
      <c r="C475" t="s">
        <v>22</v>
      </c>
      <c r="D475">
        <v>434</v>
      </c>
      <c r="E475">
        <v>1</v>
      </c>
      <c r="F475">
        <v>9.9</v>
      </c>
      <c r="G475" t="s">
        <v>21</v>
      </c>
      <c r="I475" t="str">
        <f t="shared" si="8"/>
        <v>434_1</v>
      </c>
      <c r="J475" t="s">
        <v>18</v>
      </c>
      <c r="K475" t="s">
        <v>115</v>
      </c>
      <c r="L475" t="str">
        <f>_xlfn.XLOOKUP(C475, Table2[Species],Table2[Genus], "Code Not Found")</f>
        <v>Acer</v>
      </c>
      <c r="M475" t="str">
        <f>_xlfn.XLOOKUP(C475, Table2[Species],Table2[Sp. Name], "Code Not Found")</f>
        <v>rubrum</v>
      </c>
      <c r="N475" t="str">
        <f>_xlfn.XLOOKUP(C475,Table2[Species],Table2[Family],"Code Not Found")</f>
        <v>Sapindaceae</v>
      </c>
      <c r="O475" t="str" cm="1">
        <f t="array" ref="O475">_xlfn.IFS(F475="","",F475&lt;=5,"0 to 5",F475&lt;=10,"5.1 to 10",F475&lt;=20,"10 to 20", F475&lt;= 40, "20 to 40", F475 &lt;= 50, "40 to 50", F475 &gt; 50, "&gt;50" )</f>
        <v>5.1 to 10</v>
      </c>
    </row>
    <row r="476" spans="1:15" ht="14.4" x14ac:dyDescent="0.3">
      <c r="A476" t="s">
        <v>114</v>
      </c>
      <c r="B476" s="1">
        <v>46175</v>
      </c>
      <c r="C476" t="s">
        <v>55</v>
      </c>
      <c r="D476">
        <v>435</v>
      </c>
      <c r="E476">
        <v>1</v>
      </c>
      <c r="F476">
        <v>3.1</v>
      </c>
      <c r="G476" t="s">
        <v>17</v>
      </c>
      <c r="H476" t="s">
        <v>152</v>
      </c>
      <c r="I476" t="str">
        <f t="shared" si="8"/>
        <v>435_1</v>
      </c>
      <c r="J476" t="s">
        <v>18</v>
      </c>
      <c r="K476" t="s">
        <v>115</v>
      </c>
      <c r="L476" t="str">
        <f>_xlfn.XLOOKUP(C476, Table2[Species],Table2[Genus], "Code Not Found")</f>
        <v>Magnolia</v>
      </c>
      <c r="M476" t="str">
        <f>_xlfn.XLOOKUP(C476, Table2[Species],Table2[Sp. Name], "Code Not Found")</f>
        <v>acuminata</v>
      </c>
      <c r="N476" t="str">
        <f>_xlfn.XLOOKUP(C476,Table2[Species],Table2[Family],"Code Not Found")</f>
        <v>Magnoliaceae</v>
      </c>
      <c r="O476" t="str" cm="1">
        <f t="array" ref="O476">_xlfn.IFS(F476="","",F476&lt;=5,"0 to 5",F476&lt;=10,"5.1 to 10",F476&lt;=20,"10 to 20", F476&lt;= 40, "20 to 40", F476 &lt;= 50, "40 to 50", F476 &gt; 50, "&gt;50" )</f>
        <v>0 to 5</v>
      </c>
    </row>
    <row r="477" spans="1:15" ht="14.4" x14ac:dyDescent="0.3">
      <c r="A477" t="s">
        <v>114</v>
      </c>
      <c r="B477" s="1">
        <v>46175</v>
      </c>
      <c r="C477" t="s">
        <v>64</v>
      </c>
      <c r="D477">
        <v>436</v>
      </c>
      <c r="E477">
        <v>1</v>
      </c>
      <c r="F477">
        <v>3.9</v>
      </c>
      <c r="G477" t="s">
        <v>21</v>
      </c>
      <c r="I477" t="str">
        <f t="shared" si="8"/>
        <v>436_1</v>
      </c>
      <c r="J477" t="s">
        <v>18</v>
      </c>
      <c r="K477" t="s">
        <v>115</v>
      </c>
      <c r="L477" t="str">
        <f>_xlfn.XLOOKUP(C477, Table2[Species],Table2[Genus], "Code Not Found")</f>
        <v>Fagus</v>
      </c>
      <c r="M477" t="str">
        <f>_xlfn.XLOOKUP(C477, Table2[Species],Table2[Sp. Name], "Code Not Found")</f>
        <v>grandifolia</v>
      </c>
      <c r="N477" t="str">
        <f>_xlfn.XLOOKUP(C477,Table2[Species],Table2[Family],"Code Not Found")</f>
        <v>Fagaceae</v>
      </c>
      <c r="O477" t="str" cm="1">
        <f t="array" ref="O477">_xlfn.IFS(F477="","",F477&lt;=5,"0 to 5",F477&lt;=10,"5.1 to 10",F477&lt;=20,"10 to 20", F477&lt;= 40, "20 to 40", F477 &lt;= 50, "40 to 50", F477 &gt; 50, "&gt;50" )</f>
        <v>0 to 5</v>
      </c>
    </row>
    <row r="478" spans="1:15" ht="14.4" x14ac:dyDescent="0.3">
      <c r="A478" t="s">
        <v>114</v>
      </c>
      <c r="B478" s="1">
        <v>46175</v>
      </c>
      <c r="C478" t="s">
        <v>16</v>
      </c>
      <c r="D478">
        <v>437</v>
      </c>
      <c r="E478">
        <v>1</v>
      </c>
      <c r="F478">
        <v>31.3</v>
      </c>
      <c r="G478" t="s">
        <v>21</v>
      </c>
      <c r="I478" t="str">
        <f t="shared" si="8"/>
        <v>437_1</v>
      </c>
      <c r="J478" t="s">
        <v>18</v>
      </c>
      <c r="K478" t="s">
        <v>115</v>
      </c>
      <c r="L478" t="str">
        <f>_xlfn.XLOOKUP(C478, Table2[Species],Table2[Genus], "Code Not Found")</f>
        <v>Acer</v>
      </c>
      <c r="M478" t="str">
        <f>_xlfn.XLOOKUP(C478, Table2[Species],Table2[Sp. Name], "Code Not Found")</f>
        <v>saccharum</v>
      </c>
      <c r="N478" t="str">
        <f>_xlfn.XLOOKUP(C478,Table2[Species],Table2[Family],"Code Not Found")</f>
        <v>Sapindaceae</v>
      </c>
      <c r="O478" t="str" cm="1">
        <f t="array" ref="O478">_xlfn.IFS(F478="","",F478&lt;=5,"0 to 5",F478&lt;=10,"5.1 to 10",F478&lt;=20,"10 to 20", F478&lt;= 40, "20 to 40", F478 &lt;= 50, "40 to 50", F478 &gt; 50, "&gt;50" )</f>
        <v>20 to 40</v>
      </c>
    </row>
    <row r="479" spans="1:15" ht="14.4" x14ac:dyDescent="0.3">
      <c r="A479" t="s">
        <v>114</v>
      </c>
      <c r="B479" s="1">
        <v>46175</v>
      </c>
      <c r="C479" t="s">
        <v>16</v>
      </c>
      <c r="D479">
        <v>438</v>
      </c>
      <c r="E479">
        <v>1</v>
      </c>
      <c r="F479">
        <v>8.9</v>
      </c>
      <c r="G479" t="s">
        <v>21</v>
      </c>
      <c r="I479" t="str">
        <f t="shared" si="8"/>
        <v>438_1</v>
      </c>
      <c r="J479" t="s">
        <v>18</v>
      </c>
      <c r="K479" t="s">
        <v>115</v>
      </c>
      <c r="L479" t="str">
        <f>_xlfn.XLOOKUP(C479, Table2[Species],Table2[Genus], "Code Not Found")</f>
        <v>Acer</v>
      </c>
      <c r="M479" t="str">
        <f>_xlfn.XLOOKUP(C479, Table2[Species],Table2[Sp. Name], "Code Not Found")</f>
        <v>saccharum</v>
      </c>
      <c r="N479" t="str">
        <f>_xlfn.XLOOKUP(C479,Table2[Species],Table2[Family],"Code Not Found")</f>
        <v>Sapindaceae</v>
      </c>
      <c r="O479" t="str" cm="1">
        <f t="array" ref="O479">_xlfn.IFS(F479="","",F479&lt;=5,"0 to 5",F479&lt;=10,"5.1 to 10",F479&lt;=20,"10 to 20", F479&lt;= 40, "20 to 40", F479 &lt;= 50, "40 to 50", F479 &gt; 50, "&gt;50" )</f>
        <v>5.1 to 10</v>
      </c>
    </row>
    <row r="480" spans="1:15" ht="14.4" x14ac:dyDescent="0.3">
      <c r="A480" t="s">
        <v>114</v>
      </c>
      <c r="B480" s="1">
        <v>46175</v>
      </c>
      <c r="C480" t="s">
        <v>16</v>
      </c>
      <c r="D480">
        <v>439</v>
      </c>
      <c r="E480">
        <v>1</v>
      </c>
      <c r="F480">
        <v>10.8</v>
      </c>
      <c r="G480" t="s">
        <v>21</v>
      </c>
      <c r="I480" t="str">
        <f t="shared" si="8"/>
        <v>439_1</v>
      </c>
      <c r="J480" t="s">
        <v>18</v>
      </c>
      <c r="K480" t="s">
        <v>115</v>
      </c>
      <c r="L480" t="str">
        <f>_xlfn.XLOOKUP(C480, Table2[Species],Table2[Genus], "Code Not Found")</f>
        <v>Acer</v>
      </c>
      <c r="M480" t="str">
        <f>_xlfn.XLOOKUP(C480, Table2[Species],Table2[Sp. Name], "Code Not Found")</f>
        <v>saccharum</v>
      </c>
      <c r="N480" t="str">
        <f>_xlfn.XLOOKUP(C480,Table2[Species],Table2[Family],"Code Not Found")</f>
        <v>Sapindaceae</v>
      </c>
      <c r="O480" t="str" cm="1">
        <f t="array" ref="O480">_xlfn.IFS(F480="","",F480&lt;=5,"0 to 5",F480&lt;=10,"5.1 to 10",F480&lt;=20,"10 to 20", F480&lt;= 40, "20 to 40", F480 &lt;= 50, "40 to 50", F480 &gt; 50, "&gt;50" )</f>
        <v>10 to 20</v>
      </c>
    </row>
    <row r="481" spans="1:15" ht="14.4" x14ac:dyDescent="0.3">
      <c r="A481" t="s">
        <v>114</v>
      </c>
      <c r="B481" s="1">
        <v>46175</v>
      </c>
      <c r="C481" t="s">
        <v>64</v>
      </c>
      <c r="D481">
        <v>440</v>
      </c>
      <c r="E481">
        <v>1</v>
      </c>
      <c r="F481">
        <v>6.7</v>
      </c>
      <c r="G481" t="s">
        <v>21</v>
      </c>
      <c r="I481" t="str">
        <f t="shared" si="8"/>
        <v>440_1</v>
      </c>
      <c r="J481" t="s">
        <v>18</v>
      </c>
      <c r="K481" t="s">
        <v>115</v>
      </c>
      <c r="L481" t="str">
        <f>_xlfn.XLOOKUP(C481, Table2[Species],Table2[Genus], "Code Not Found")</f>
        <v>Fagus</v>
      </c>
      <c r="M481" t="str">
        <f>_xlfn.XLOOKUP(C481, Table2[Species],Table2[Sp. Name], "Code Not Found")</f>
        <v>grandifolia</v>
      </c>
      <c r="N481" t="str">
        <f>_xlfn.XLOOKUP(C481,Table2[Species],Table2[Family],"Code Not Found")</f>
        <v>Fagaceae</v>
      </c>
      <c r="O481" t="str" cm="1">
        <f t="array" ref="O481">_xlfn.IFS(F481="","",F481&lt;=5,"0 to 5",F481&lt;=10,"5.1 to 10",F481&lt;=20,"10 to 20", F481&lt;= 40, "20 to 40", F481 &lt;= 50, "40 to 50", F481 &gt; 50, "&gt;50" )</f>
        <v>5.1 to 10</v>
      </c>
    </row>
    <row r="482" spans="1:15" ht="14.4" x14ac:dyDescent="0.3">
      <c r="A482" t="s">
        <v>114</v>
      </c>
      <c r="B482" s="1">
        <v>46175</v>
      </c>
      <c r="C482" t="s">
        <v>59</v>
      </c>
      <c r="D482">
        <v>441</v>
      </c>
      <c r="E482">
        <v>1</v>
      </c>
      <c r="F482">
        <v>7.2</v>
      </c>
      <c r="G482" t="s">
        <v>21</v>
      </c>
      <c r="I482" t="str">
        <f t="shared" si="8"/>
        <v>441_1</v>
      </c>
      <c r="J482" t="s">
        <v>18</v>
      </c>
      <c r="K482" t="s">
        <v>115</v>
      </c>
      <c r="L482" t="str">
        <f>_xlfn.XLOOKUP(C482, Table2[Species],Table2[Genus], "Code Not Found")</f>
        <v>Nyssa</v>
      </c>
      <c r="M482" t="str">
        <f>_xlfn.XLOOKUP(C482, Table2[Species],Table2[Sp. Name], "Code Not Found")</f>
        <v>sylvatica</v>
      </c>
      <c r="N482" t="str">
        <f>_xlfn.XLOOKUP(C482,Table2[Species],Table2[Family],"Code Not Found")</f>
        <v>Nyssaceae</v>
      </c>
      <c r="O482" t="str" cm="1">
        <f t="array" ref="O482">_xlfn.IFS(F482="","",F482&lt;=5,"0 to 5",F482&lt;=10,"5.1 to 10",F482&lt;=20,"10 to 20", F482&lt;= 40, "20 to 40", F482 &lt;= 50, "40 to 50", F482 &gt; 50, "&gt;50" )</f>
        <v>5.1 to 10</v>
      </c>
    </row>
    <row r="483" spans="1:15" ht="14.4" x14ac:dyDescent="0.3">
      <c r="A483" t="s">
        <v>114</v>
      </c>
      <c r="B483" s="1">
        <v>46175</v>
      </c>
      <c r="C483" t="s">
        <v>20</v>
      </c>
      <c r="D483">
        <v>442</v>
      </c>
      <c r="E483">
        <v>1</v>
      </c>
      <c r="F483">
        <v>4.9000000000000004</v>
      </c>
      <c r="G483" t="s">
        <v>153</v>
      </c>
      <c r="H483" t="s">
        <v>154</v>
      </c>
      <c r="I483" t="str">
        <f t="shared" si="8"/>
        <v>442_1</v>
      </c>
      <c r="J483" t="s">
        <v>18</v>
      </c>
      <c r="K483" t="s">
        <v>115</v>
      </c>
      <c r="L483" t="str">
        <f>_xlfn.XLOOKUP(C483, Table2[Species],Table2[Genus], "Code Not Found")</f>
        <v>Prunus</v>
      </c>
      <c r="M483" t="str">
        <f>_xlfn.XLOOKUP(C483, Table2[Species],Table2[Sp. Name], "Code Not Found")</f>
        <v>serotina</v>
      </c>
      <c r="N483" t="str">
        <f>_xlfn.XLOOKUP(C483,Table2[Species],Table2[Family],"Code Not Found")</f>
        <v>Rosaceae</v>
      </c>
      <c r="O483" t="str" cm="1">
        <f t="array" ref="O483">_xlfn.IFS(F483="","",F483&lt;=5,"0 to 5",F483&lt;=10,"5.1 to 10",F483&lt;=20,"10 to 20", F483&lt;= 40, "20 to 40", F483 &lt;= 50, "40 to 50", F483 &gt; 50, "&gt;50" )</f>
        <v>0 to 5</v>
      </c>
    </row>
    <row r="484" spans="1:15" ht="14.4" x14ac:dyDescent="0.3">
      <c r="A484" t="s">
        <v>114</v>
      </c>
      <c r="B484" s="1">
        <v>46175</v>
      </c>
      <c r="C484" t="s">
        <v>22</v>
      </c>
      <c r="D484">
        <v>443</v>
      </c>
      <c r="E484">
        <v>1</v>
      </c>
      <c r="F484">
        <v>2.2999999999999998</v>
      </c>
      <c r="G484" t="s">
        <v>17</v>
      </c>
      <c r="I484" t="str">
        <f t="shared" si="8"/>
        <v>443_1</v>
      </c>
      <c r="J484" t="s">
        <v>18</v>
      </c>
      <c r="K484" t="s">
        <v>115</v>
      </c>
      <c r="L484" t="str">
        <f>_xlfn.XLOOKUP(C484, Table2[Species],Table2[Genus], "Code Not Found")</f>
        <v>Acer</v>
      </c>
      <c r="M484" t="str">
        <f>_xlfn.XLOOKUP(C484, Table2[Species],Table2[Sp. Name], "Code Not Found")</f>
        <v>rubrum</v>
      </c>
      <c r="N484" t="str">
        <f>_xlfn.XLOOKUP(C484,Table2[Species],Table2[Family],"Code Not Found")</f>
        <v>Sapindaceae</v>
      </c>
      <c r="O484" t="str" cm="1">
        <f t="array" ref="O484">_xlfn.IFS(F484="","",F484&lt;=5,"0 to 5",F484&lt;=10,"5.1 to 10",F484&lt;=20,"10 to 20", F484&lt;= 40, "20 to 40", F484 &lt;= 50, "40 to 50", F484 &gt; 50, "&gt;50" )</f>
        <v>0 to 5</v>
      </c>
    </row>
    <row r="485" spans="1:15" ht="14.4" x14ac:dyDescent="0.3">
      <c r="A485" t="s">
        <v>114</v>
      </c>
      <c r="B485" s="1">
        <v>46175</v>
      </c>
      <c r="C485" t="s">
        <v>16</v>
      </c>
      <c r="D485">
        <v>444</v>
      </c>
      <c r="E485">
        <v>1</v>
      </c>
      <c r="F485">
        <v>3.3</v>
      </c>
      <c r="G485" t="s">
        <v>21</v>
      </c>
      <c r="H485" t="s">
        <v>155</v>
      </c>
      <c r="I485" t="str">
        <f t="shared" si="8"/>
        <v>444_1</v>
      </c>
      <c r="J485" t="s">
        <v>18</v>
      </c>
      <c r="K485" t="s">
        <v>115</v>
      </c>
      <c r="L485" t="str">
        <f>_xlfn.XLOOKUP(C485, Table2[Species],Table2[Genus], "Code Not Found")</f>
        <v>Acer</v>
      </c>
      <c r="M485" t="str">
        <f>_xlfn.XLOOKUP(C485, Table2[Species],Table2[Sp. Name], "Code Not Found")</f>
        <v>saccharum</v>
      </c>
      <c r="N485" t="str">
        <f>_xlfn.XLOOKUP(C485,Table2[Species],Table2[Family],"Code Not Found")</f>
        <v>Sapindaceae</v>
      </c>
      <c r="O485" t="str" cm="1">
        <f t="array" ref="O485">_xlfn.IFS(F485="","",F485&lt;=5,"0 to 5",F485&lt;=10,"5.1 to 10",F485&lt;=20,"10 to 20", F485&lt;= 40, "20 to 40", F485 &lt;= 50, "40 to 50", F485 &gt; 50, "&gt;50" )</f>
        <v>0 to 5</v>
      </c>
    </row>
    <row r="486" spans="1:15" ht="14.4" x14ac:dyDescent="0.3">
      <c r="A486" t="s">
        <v>114</v>
      </c>
      <c r="B486" s="1">
        <v>46175</v>
      </c>
      <c r="C486" t="s">
        <v>16</v>
      </c>
      <c r="D486">
        <v>445</v>
      </c>
      <c r="E486">
        <v>1</v>
      </c>
      <c r="F486">
        <v>3.2</v>
      </c>
      <c r="G486" t="s">
        <v>156</v>
      </c>
      <c r="I486" t="str">
        <f t="shared" si="8"/>
        <v>445_1</v>
      </c>
      <c r="J486" t="s">
        <v>18</v>
      </c>
      <c r="K486" t="s">
        <v>115</v>
      </c>
      <c r="L486" t="str">
        <f>_xlfn.XLOOKUP(C486, Table2[Species],Table2[Genus], "Code Not Found")</f>
        <v>Acer</v>
      </c>
      <c r="M486" t="str">
        <f>_xlfn.XLOOKUP(C486, Table2[Species],Table2[Sp. Name], "Code Not Found")</f>
        <v>saccharum</v>
      </c>
      <c r="N486" t="str">
        <f>_xlfn.XLOOKUP(C486,Table2[Species],Table2[Family],"Code Not Found")</f>
        <v>Sapindaceae</v>
      </c>
      <c r="O486" t="str" cm="1">
        <f t="array" ref="O486">_xlfn.IFS(F486="","",F486&lt;=5,"0 to 5",F486&lt;=10,"5.1 to 10",F486&lt;=20,"10 to 20", F486&lt;= 40, "20 to 40", F486 &lt;= 50, "40 to 50", F486 &gt; 50, "&gt;50" )</f>
        <v>0 to 5</v>
      </c>
    </row>
    <row r="487" spans="1:15" ht="14.4" x14ac:dyDescent="0.3">
      <c r="A487" t="s">
        <v>114</v>
      </c>
      <c r="B487" s="1">
        <v>46175</v>
      </c>
      <c r="C487" t="s">
        <v>22</v>
      </c>
      <c r="D487">
        <v>446</v>
      </c>
      <c r="E487">
        <v>1</v>
      </c>
      <c r="F487">
        <v>5.4</v>
      </c>
      <c r="G487" t="s">
        <v>103</v>
      </c>
      <c r="I487" t="str">
        <f t="shared" si="8"/>
        <v>446_1</v>
      </c>
      <c r="J487" t="s">
        <v>18</v>
      </c>
      <c r="K487" t="s">
        <v>115</v>
      </c>
      <c r="L487" t="str">
        <f>_xlfn.XLOOKUP(C487, Table2[Species],Table2[Genus], "Code Not Found")</f>
        <v>Acer</v>
      </c>
      <c r="M487" t="str">
        <f>_xlfn.XLOOKUP(C487, Table2[Species],Table2[Sp. Name], "Code Not Found")</f>
        <v>rubrum</v>
      </c>
      <c r="N487" t="str">
        <f>_xlfn.XLOOKUP(C487,Table2[Species],Table2[Family],"Code Not Found")</f>
        <v>Sapindaceae</v>
      </c>
      <c r="O487" t="str" cm="1">
        <f t="array" ref="O487">_xlfn.IFS(F487="","",F487&lt;=5,"0 to 5",F487&lt;=10,"5.1 to 10",F487&lt;=20,"10 to 20", F487&lt;= 40, "20 to 40", F487 &lt;= 50, "40 to 50", F487 &gt; 50, "&gt;50" )</f>
        <v>5.1 to 10</v>
      </c>
    </row>
    <row r="488" spans="1:15" ht="14.4" x14ac:dyDescent="0.3">
      <c r="A488" t="s">
        <v>114</v>
      </c>
      <c r="B488" s="1">
        <v>46175</v>
      </c>
      <c r="C488" t="s">
        <v>22</v>
      </c>
      <c r="D488">
        <v>447</v>
      </c>
      <c r="E488">
        <v>1</v>
      </c>
      <c r="F488">
        <v>4.5999999999999996</v>
      </c>
      <c r="G488" t="s">
        <v>17</v>
      </c>
      <c r="H488" t="s">
        <v>157</v>
      </c>
      <c r="I488" t="str">
        <f t="shared" si="8"/>
        <v>447_1</v>
      </c>
      <c r="J488" t="s">
        <v>18</v>
      </c>
      <c r="K488" t="s">
        <v>115</v>
      </c>
      <c r="L488" t="str">
        <f>_xlfn.XLOOKUP(C488, Table2[Species],Table2[Genus], "Code Not Found")</f>
        <v>Acer</v>
      </c>
      <c r="M488" t="str">
        <f>_xlfn.XLOOKUP(C488, Table2[Species],Table2[Sp. Name], "Code Not Found")</f>
        <v>rubrum</v>
      </c>
      <c r="N488" t="str">
        <f>_xlfn.XLOOKUP(C488,Table2[Species],Table2[Family],"Code Not Found")</f>
        <v>Sapindaceae</v>
      </c>
      <c r="O488" t="str" cm="1">
        <f t="array" ref="O488">_xlfn.IFS(F488="","",F488&lt;=5,"0 to 5",F488&lt;=10,"5.1 to 10",F488&lt;=20,"10 to 20", F488&lt;= 40, "20 to 40", F488 &lt;= 50, "40 to 50", F488 &gt; 50, "&gt;50" )</f>
        <v>0 to 5</v>
      </c>
    </row>
    <row r="489" spans="1:15" ht="14.4" x14ac:dyDescent="0.3">
      <c r="A489" t="s">
        <v>114</v>
      </c>
      <c r="B489" s="1">
        <v>46175</v>
      </c>
      <c r="C489" t="s">
        <v>16</v>
      </c>
      <c r="D489">
        <v>448</v>
      </c>
      <c r="E489">
        <v>1</v>
      </c>
      <c r="F489">
        <v>15.7</v>
      </c>
      <c r="G489" t="s">
        <v>21</v>
      </c>
      <c r="I489" t="str">
        <f t="shared" si="8"/>
        <v>448_1</v>
      </c>
      <c r="J489" t="s">
        <v>18</v>
      </c>
      <c r="K489" t="s">
        <v>115</v>
      </c>
      <c r="L489" t="str">
        <f>_xlfn.XLOOKUP(C489, Table2[Species],Table2[Genus], "Code Not Found")</f>
        <v>Acer</v>
      </c>
      <c r="M489" t="str">
        <f>_xlfn.XLOOKUP(C489, Table2[Species],Table2[Sp. Name], "Code Not Found")</f>
        <v>saccharum</v>
      </c>
      <c r="N489" t="str">
        <f>_xlfn.XLOOKUP(C489,Table2[Species],Table2[Family],"Code Not Found")</f>
        <v>Sapindaceae</v>
      </c>
      <c r="O489" t="str" cm="1">
        <f t="array" ref="O489">_xlfn.IFS(F489="","",F489&lt;=5,"0 to 5",F489&lt;=10,"5.1 to 10",F489&lt;=20,"10 to 20", F489&lt;= 40, "20 to 40", F489 &lt;= 50, "40 to 50", F489 &gt; 50, "&gt;50" )</f>
        <v>10 to 20</v>
      </c>
    </row>
    <row r="490" spans="1:15" ht="14.4" x14ac:dyDescent="0.3">
      <c r="A490" t="s">
        <v>114</v>
      </c>
      <c r="B490" s="1">
        <v>46175</v>
      </c>
      <c r="C490" t="s">
        <v>16</v>
      </c>
      <c r="D490">
        <v>449</v>
      </c>
      <c r="E490">
        <v>1</v>
      </c>
      <c r="F490">
        <v>1.8</v>
      </c>
      <c r="G490" t="s">
        <v>21</v>
      </c>
      <c r="I490" t="str">
        <f t="shared" si="8"/>
        <v>449_1</v>
      </c>
      <c r="J490" t="s">
        <v>18</v>
      </c>
      <c r="K490" t="s">
        <v>115</v>
      </c>
      <c r="L490" t="str">
        <f>_xlfn.XLOOKUP(C490, Table2[Species],Table2[Genus], "Code Not Found")</f>
        <v>Acer</v>
      </c>
      <c r="M490" t="str">
        <f>_xlfn.XLOOKUP(C490, Table2[Species],Table2[Sp. Name], "Code Not Found")</f>
        <v>saccharum</v>
      </c>
      <c r="N490" t="str">
        <f>_xlfn.XLOOKUP(C490,Table2[Species],Table2[Family],"Code Not Found")</f>
        <v>Sapindaceae</v>
      </c>
      <c r="O490" t="str" cm="1">
        <f t="array" ref="O490">_xlfn.IFS(F490="","",F490&lt;=5,"0 to 5",F490&lt;=10,"5.1 to 10",F490&lt;=20,"10 to 20", F490&lt;= 40, "20 to 40", F490 &lt;= 50, "40 to 50", F490 &gt; 50, "&gt;50" )</f>
        <v>0 to 5</v>
      </c>
    </row>
    <row r="491" spans="1:15" ht="14.4" x14ac:dyDescent="0.3">
      <c r="A491" t="s">
        <v>114</v>
      </c>
      <c r="B491" s="1">
        <v>46175</v>
      </c>
      <c r="C491" t="s">
        <v>16</v>
      </c>
      <c r="D491">
        <v>450</v>
      </c>
      <c r="E491">
        <v>1</v>
      </c>
      <c r="F491">
        <v>15.4</v>
      </c>
      <c r="G491" t="s">
        <v>17</v>
      </c>
      <c r="H491" t="s">
        <v>157</v>
      </c>
      <c r="I491" t="str">
        <f t="shared" si="8"/>
        <v>450_1</v>
      </c>
      <c r="J491" t="s">
        <v>18</v>
      </c>
      <c r="K491" t="s">
        <v>115</v>
      </c>
      <c r="L491" t="str">
        <f>_xlfn.XLOOKUP(C491, Table2[Species],Table2[Genus], "Code Not Found")</f>
        <v>Acer</v>
      </c>
      <c r="M491" t="str">
        <f>_xlfn.XLOOKUP(C491, Table2[Species],Table2[Sp. Name], "Code Not Found")</f>
        <v>saccharum</v>
      </c>
      <c r="N491" t="str">
        <f>_xlfn.XLOOKUP(C491,Table2[Species],Table2[Family],"Code Not Found")</f>
        <v>Sapindaceae</v>
      </c>
      <c r="O491" t="str" cm="1">
        <f t="array" ref="O491">_xlfn.IFS(F491="","",F491&lt;=5,"0 to 5",F491&lt;=10,"5.1 to 10",F491&lt;=20,"10 to 20", F491&lt;= 40, "20 to 40", F491 &lt;= 50, "40 to 50", F491 &gt; 50, "&gt;50" )</f>
        <v>10 to 20</v>
      </c>
    </row>
    <row r="492" spans="1:15" ht="14.4" x14ac:dyDescent="0.3">
      <c r="A492" t="s">
        <v>114</v>
      </c>
      <c r="B492" s="1">
        <v>46175</v>
      </c>
      <c r="C492" t="s">
        <v>22</v>
      </c>
      <c r="D492">
        <v>451</v>
      </c>
      <c r="E492">
        <v>1</v>
      </c>
      <c r="F492">
        <v>1.6</v>
      </c>
      <c r="G492" t="s">
        <v>47</v>
      </c>
      <c r="I492" t="str">
        <f t="shared" si="8"/>
        <v>451_1</v>
      </c>
      <c r="J492" t="s">
        <v>18</v>
      </c>
      <c r="K492" t="s">
        <v>115</v>
      </c>
      <c r="L492" t="str">
        <f>_xlfn.XLOOKUP(C492, Table2[Species],Table2[Genus], "Code Not Found")</f>
        <v>Acer</v>
      </c>
      <c r="M492" t="str">
        <f>_xlfn.XLOOKUP(C492, Table2[Species],Table2[Sp. Name], "Code Not Found")</f>
        <v>rubrum</v>
      </c>
      <c r="N492" t="str">
        <f>_xlfn.XLOOKUP(C492,Table2[Species],Table2[Family],"Code Not Found")</f>
        <v>Sapindaceae</v>
      </c>
      <c r="O492" t="str" cm="1">
        <f t="array" ref="O492">_xlfn.IFS(F492="","",F492&lt;=5,"0 to 5",F492&lt;=10,"5.1 to 10",F492&lt;=20,"10 to 20", F492&lt;= 40, "20 to 40", F492 &lt;= 50, "40 to 50", F492 &gt; 50, "&gt;50" )</f>
        <v>0 to 5</v>
      </c>
    </row>
    <row r="493" spans="1:15" ht="14.4" x14ac:dyDescent="0.3">
      <c r="A493" t="s">
        <v>114</v>
      </c>
      <c r="B493" s="1">
        <v>46175</v>
      </c>
      <c r="C493" t="s">
        <v>16</v>
      </c>
      <c r="D493">
        <v>452</v>
      </c>
      <c r="E493">
        <v>1</v>
      </c>
      <c r="F493">
        <v>4.5</v>
      </c>
      <c r="G493" t="s">
        <v>94</v>
      </c>
      <c r="H493" t="s">
        <v>158</v>
      </c>
      <c r="I493" t="str">
        <f t="shared" si="8"/>
        <v>452_1</v>
      </c>
      <c r="J493" t="s">
        <v>18</v>
      </c>
      <c r="K493" t="s">
        <v>115</v>
      </c>
      <c r="L493" t="str">
        <f>_xlfn.XLOOKUP(C493, Table2[Species],Table2[Genus], "Code Not Found")</f>
        <v>Acer</v>
      </c>
      <c r="M493" t="str">
        <f>_xlfn.XLOOKUP(C493, Table2[Species],Table2[Sp. Name], "Code Not Found")</f>
        <v>saccharum</v>
      </c>
      <c r="N493" t="str">
        <f>_xlfn.XLOOKUP(C493,Table2[Species],Table2[Family],"Code Not Found")</f>
        <v>Sapindaceae</v>
      </c>
      <c r="O493" t="str" cm="1">
        <f t="array" ref="O493">_xlfn.IFS(F493="","",F493&lt;=5,"0 to 5",F493&lt;=10,"5.1 to 10",F493&lt;=20,"10 to 20", F493&lt;= 40, "20 to 40", F493 &lt;= 50, "40 to 50", F493 &gt; 50, "&gt;50" )</f>
        <v>0 to 5</v>
      </c>
    </row>
    <row r="494" spans="1:15" ht="14.4" x14ac:dyDescent="0.3">
      <c r="A494" t="s">
        <v>114</v>
      </c>
      <c r="B494" s="1">
        <v>46175</v>
      </c>
      <c r="C494" t="s">
        <v>16</v>
      </c>
      <c r="D494">
        <v>453</v>
      </c>
      <c r="E494">
        <v>1</v>
      </c>
      <c r="F494">
        <v>3.5</v>
      </c>
      <c r="G494" t="s">
        <v>21</v>
      </c>
      <c r="I494" t="str">
        <f t="shared" si="8"/>
        <v>453_1</v>
      </c>
      <c r="J494" t="s">
        <v>18</v>
      </c>
      <c r="K494" t="s">
        <v>115</v>
      </c>
      <c r="L494" t="str">
        <f>_xlfn.XLOOKUP(C494, Table2[Species],Table2[Genus], "Code Not Found")</f>
        <v>Acer</v>
      </c>
      <c r="M494" t="str">
        <f>_xlfn.XLOOKUP(C494, Table2[Species],Table2[Sp. Name], "Code Not Found")</f>
        <v>saccharum</v>
      </c>
      <c r="N494" t="str">
        <f>_xlfn.XLOOKUP(C494,Table2[Species],Table2[Family],"Code Not Found")</f>
        <v>Sapindaceae</v>
      </c>
      <c r="O494" t="str" cm="1">
        <f t="array" ref="O494">_xlfn.IFS(F494="","",F494&lt;=5,"0 to 5",F494&lt;=10,"5.1 to 10",F494&lt;=20,"10 to 20", F494&lt;= 40, "20 to 40", F494 &lt;= 50, "40 to 50", F494 &gt; 50, "&gt;50" )</f>
        <v>0 to 5</v>
      </c>
    </row>
    <row r="495" spans="1:15" ht="14.4" x14ac:dyDescent="0.3">
      <c r="A495" t="s">
        <v>114</v>
      </c>
      <c r="B495" s="1">
        <v>46175</v>
      </c>
      <c r="C495" t="s">
        <v>16</v>
      </c>
      <c r="D495">
        <v>454</v>
      </c>
      <c r="E495">
        <v>1</v>
      </c>
      <c r="F495">
        <v>11.2</v>
      </c>
      <c r="G495" t="s">
        <v>30</v>
      </c>
      <c r="H495" t="s">
        <v>99</v>
      </c>
      <c r="I495" t="str">
        <f t="shared" si="8"/>
        <v>454_1</v>
      </c>
      <c r="J495" t="s">
        <v>18</v>
      </c>
      <c r="K495" t="s">
        <v>115</v>
      </c>
      <c r="L495" t="str">
        <f>_xlfn.XLOOKUP(C495, Table2[Species],Table2[Genus], "Code Not Found")</f>
        <v>Acer</v>
      </c>
      <c r="M495" t="str">
        <f>_xlfn.XLOOKUP(C495, Table2[Species],Table2[Sp. Name], "Code Not Found")</f>
        <v>saccharum</v>
      </c>
      <c r="N495" t="str">
        <f>_xlfn.XLOOKUP(C495,Table2[Species],Table2[Family],"Code Not Found")</f>
        <v>Sapindaceae</v>
      </c>
      <c r="O495" t="str" cm="1">
        <f t="array" ref="O495">_xlfn.IFS(F495="","",F495&lt;=5,"0 to 5",F495&lt;=10,"5.1 to 10",F495&lt;=20,"10 to 20", F495&lt;= 40, "20 to 40", F495 &lt;= 50, "40 to 50", F495 &gt; 50, "&gt;50" )</f>
        <v>10 to 20</v>
      </c>
    </row>
    <row r="496" spans="1:15" ht="14.4" x14ac:dyDescent="0.3">
      <c r="A496" t="s">
        <v>114</v>
      </c>
      <c r="B496" s="1">
        <v>46175</v>
      </c>
      <c r="C496" t="s">
        <v>20</v>
      </c>
      <c r="D496">
        <v>455</v>
      </c>
      <c r="E496">
        <v>1</v>
      </c>
      <c r="F496">
        <v>4.4000000000000004</v>
      </c>
      <c r="G496" t="s">
        <v>94</v>
      </c>
      <c r="H496" t="s">
        <v>100</v>
      </c>
      <c r="I496" t="str">
        <f t="shared" si="8"/>
        <v>455_1</v>
      </c>
      <c r="J496" t="s">
        <v>18</v>
      </c>
      <c r="K496" t="s">
        <v>115</v>
      </c>
      <c r="L496" t="str">
        <f>_xlfn.XLOOKUP(C496, Table2[Species],Table2[Genus], "Code Not Found")</f>
        <v>Prunus</v>
      </c>
      <c r="M496" t="str">
        <f>_xlfn.XLOOKUP(C496, Table2[Species],Table2[Sp. Name], "Code Not Found")</f>
        <v>serotina</v>
      </c>
      <c r="N496" t="str">
        <f>_xlfn.XLOOKUP(C496,Table2[Species],Table2[Family],"Code Not Found")</f>
        <v>Rosaceae</v>
      </c>
      <c r="O496" t="str" cm="1">
        <f t="array" ref="O496">_xlfn.IFS(F496="","",F496&lt;=5,"0 to 5",F496&lt;=10,"5.1 to 10",F496&lt;=20,"10 to 20", F496&lt;= 40, "20 to 40", F496 &lt;= 50, "40 to 50", F496 &gt; 50, "&gt;50" )</f>
        <v>0 to 5</v>
      </c>
    </row>
    <row r="497" spans="1:15" ht="14.4" x14ac:dyDescent="0.3">
      <c r="A497" t="s">
        <v>114</v>
      </c>
      <c r="B497" s="1">
        <v>46175</v>
      </c>
      <c r="C497" t="s">
        <v>22</v>
      </c>
      <c r="D497">
        <v>456</v>
      </c>
      <c r="E497">
        <v>1</v>
      </c>
      <c r="F497">
        <v>51.3</v>
      </c>
      <c r="G497" t="s">
        <v>56</v>
      </c>
      <c r="I497" t="str">
        <f t="shared" si="8"/>
        <v>456_1</v>
      </c>
      <c r="J497" t="s">
        <v>18</v>
      </c>
      <c r="K497" t="s">
        <v>115</v>
      </c>
      <c r="L497" t="str">
        <f>_xlfn.XLOOKUP(C497, Table2[Species],Table2[Genus], "Code Not Found")</f>
        <v>Acer</v>
      </c>
      <c r="M497" t="str">
        <f>_xlfn.XLOOKUP(C497, Table2[Species],Table2[Sp. Name], "Code Not Found")</f>
        <v>rubrum</v>
      </c>
      <c r="N497" t="str">
        <f>_xlfn.XLOOKUP(C497,Table2[Species],Table2[Family],"Code Not Found")</f>
        <v>Sapindaceae</v>
      </c>
      <c r="O497" t="str" cm="1">
        <f t="array" ref="O497">_xlfn.IFS(F497="","",F497&lt;=5,"0 to 5",F497&lt;=10,"5.1 to 10",F497&lt;=20,"10 to 20", F497&lt;= 40, "20 to 40", F497 &lt;= 50, "40 to 50", F497 &gt; 50, "&gt;50" )</f>
        <v>&gt;50</v>
      </c>
    </row>
    <row r="498" spans="1:15" ht="14.4" x14ac:dyDescent="0.3">
      <c r="A498" t="s">
        <v>114</v>
      </c>
      <c r="B498" s="1">
        <v>46175</v>
      </c>
      <c r="C498" t="s">
        <v>16</v>
      </c>
      <c r="D498">
        <v>457</v>
      </c>
      <c r="E498">
        <v>1</v>
      </c>
      <c r="F498">
        <v>12.2</v>
      </c>
      <c r="G498" t="s">
        <v>30</v>
      </c>
      <c r="H498" t="s">
        <v>159</v>
      </c>
      <c r="I498" t="str">
        <f t="shared" si="8"/>
        <v>457_1</v>
      </c>
      <c r="J498" t="s">
        <v>18</v>
      </c>
      <c r="K498" t="s">
        <v>115</v>
      </c>
      <c r="L498" t="str">
        <f>_xlfn.XLOOKUP(C498, Table2[Species],Table2[Genus], "Code Not Found")</f>
        <v>Acer</v>
      </c>
      <c r="M498" t="str">
        <f>_xlfn.XLOOKUP(C498, Table2[Species],Table2[Sp. Name], "Code Not Found")</f>
        <v>saccharum</v>
      </c>
      <c r="N498" t="str">
        <f>_xlfn.XLOOKUP(C498,Table2[Species],Table2[Family],"Code Not Found")</f>
        <v>Sapindaceae</v>
      </c>
      <c r="O498" t="str" cm="1">
        <f t="array" ref="O498">_xlfn.IFS(F498="","",F498&lt;=5,"0 to 5",F498&lt;=10,"5.1 to 10",F498&lt;=20,"10 to 20", F498&lt;= 40, "20 to 40", F498 &lt;= 50, "40 to 50", F498 &gt; 50, "&gt;50" )</f>
        <v>10 to 20</v>
      </c>
    </row>
    <row r="499" spans="1:15" ht="14.4" x14ac:dyDescent="0.3">
      <c r="A499" t="s">
        <v>114</v>
      </c>
      <c r="B499" s="1">
        <v>46175</v>
      </c>
      <c r="C499" t="s">
        <v>16</v>
      </c>
      <c r="D499">
        <v>458</v>
      </c>
      <c r="E499">
        <v>1</v>
      </c>
      <c r="F499">
        <v>9.5</v>
      </c>
      <c r="G499" t="s">
        <v>17</v>
      </c>
      <c r="H499" t="s">
        <v>160</v>
      </c>
      <c r="I499" t="str">
        <f t="shared" si="8"/>
        <v>458_1</v>
      </c>
      <c r="J499" t="s">
        <v>18</v>
      </c>
      <c r="K499" t="s">
        <v>115</v>
      </c>
      <c r="L499" t="str">
        <f>_xlfn.XLOOKUP(C499, Table2[Species],Table2[Genus], "Code Not Found")</f>
        <v>Acer</v>
      </c>
      <c r="M499" t="str">
        <f>_xlfn.XLOOKUP(C499, Table2[Species],Table2[Sp. Name], "Code Not Found")</f>
        <v>saccharum</v>
      </c>
      <c r="N499" t="str">
        <f>_xlfn.XLOOKUP(C499,Table2[Species],Table2[Family],"Code Not Found")</f>
        <v>Sapindaceae</v>
      </c>
      <c r="O499" t="str" cm="1">
        <f t="array" ref="O499">_xlfn.IFS(F499="","",F499&lt;=5,"0 to 5",F499&lt;=10,"5.1 to 10",F499&lt;=20,"10 to 20", F499&lt;= 40, "20 to 40", F499 &lt;= 50, "40 to 50", F499 &gt; 50, "&gt;50" )</f>
        <v>5.1 to 10</v>
      </c>
    </row>
    <row r="500" spans="1:15" ht="14.4" x14ac:dyDescent="0.3">
      <c r="A500" t="s">
        <v>114</v>
      </c>
      <c r="B500" s="1">
        <v>46175</v>
      </c>
      <c r="C500" t="s">
        <v>64</v>
      </c>
      <c r="D500">
        <v>459</v>
      </c>
      <c r="E500">
        <v>1</v>
      </c>
      <c r="F500">
        <v>4.2</v>
      </c>
      <c r="G500" t="s">
        <v>17</v>
      </c>
      <c r="I500" t="str">
        <f t="shared" si="8"/>
        <v>459_1</v>
      </c>
      <c r="J500" t="s">
        <v>18</v>
      </c>
      <c r="K500" t="s">
        <v>115</v>
      </c>
      <c r="L500" t="str">
        <f>_xlfn.XLOOKUP(C500, Table2[Species],Table2[Genus], "Code Not Found")</f>
        <v>Fagus</v>
      </c>
      <c r="M500" t="str">
        <f>_xlfn.XLOOKUP(C500, Table2[Species],Table2[Sp. Name], "Code Not Found")</f>
        <v>grandifolia</v>
      </c>
      <c r="N500" t="str">
        <f>_xlfn.XLOOKUP(C500,Table2[Species],Table2[Family],"Code Not Found")</f>
        <v>Fagaceae</v>
      </c>
      <c r="O500" t="str" cm="1">
        <f t="array" ref="O500">_xlfn.IFS(F500="","",F500&lt;=5,"0 to 5",F500&lt;=10,"5.1 to 10",F500&lt;=20,"10 to 20", F500&lt;= 40, "20 to 40", F500 &lt;= 50, "40 to 50", F500 &gt; 50, "&gt;50" )</f>
        <v>0 to 5</v>
      </c>
    </row>
    <row r="501" spans="1:15" ht="14.4" x14ac:dyDescent="0.3">
      <c r="A501" t="s">
        <v>114</v>
      </c>
      <c r="B501" s="1">
        <v>46175</v>
      </c>
      <c r="C501" t="s">
        <v>16</v>
      </c>
      <c r="D501">
        <v>460</v>
      </c>
      <c r="E501">
        <v>1</v>
      </c>
      <c r="F501">
        <v>30</v>
      </c>
      <c r="G501" t="s">
        <v>17</v>
      </c>
      <c r="I501" t="str">
        <f t="shared" si="8"/>
        <v>460_1</v>
      </c>
      <c r="J501" t="s">
        <v>18</v>
      </c>
      <c r="K501" t="s">
        <v>115</v>
      </c>
      <c r="L501" t="str">
        <f>_xlfn.XLOOKUP(C501, Table2[Species],Table2[Genus], "Code Not Found")</f>
        <v>Acer</v>
      </c>
      <c r="M501" t="str">
        <f>_xlfn.XLOOKUP(C501, Table2[Species],Table2[Sp. Name], "Code Not Found")</f>
        <v>saccharum</v>
      </c>
      <c r="N501" t="str">
        <f>_xlfn.XLOOKUP(C501,Table2[Species],Table2[Family],"Code Not Found")</f>
        <v>Sapindaceae</v>
      </c>
      <c r="O501" t="str" cm="1">
        <f t="array" ref="O501">_xlfn.IFS(F501="","",F501&lt;=5,"0 to 5",F501&lt;=10,"5.1 to 10",F501&lt;=20,"10 to 20", F501&lt;= 40, "20 to 40", F501 &lt;= 50, "40 to 50", F501 &gt; 50, "&gt;50" )</f>
        <v>20 to 40</v>
      </c>
    </row>
    <row r="502" spans="1:15" ht="14.4" x14ac:dyDescent="0.3">
      <c r="A502" t="s">
        <v>114</v>
      </c>
      <c r="B502" s="1">
        <v>46175</v>
      </c>
      <c r="C502" t="s">
        <v>64</v>
      </c>
      <c r="D502">
        <v>461</v>
      </c>
      <c r="E502">
        <v>1</v>
      </c>
      <c r="F502">
        <v>2</v>
      </c>
      <c r="G502" t="s">
        <v>17</v>
      </c>
      <c r="I502" t="str">
        <f t="shared" si="8"/>
        <v>461_1</v>
      </c>
      <c r="J502" t="s">
        <v>18</v>
      </c>
      <c r="K502" t="s">
        <v>115</v>
      </c>
      <c r="L502" t="str">
        <f>_xlfn.XLOOKUP(C502, Table2[Species],Table2[Genus], "Code Not Found")</f>
        <v>Fagus</v>
      </c>
      <c r="M502" t="str">
        <f>_xlfn.XLOOKUP(C502, Table2[Species],Table2[Sp. Name], "Code Not Found")</f>
        <v>grandifolia</v>
      </c>
      <c r="N502" t="str">
        <f>_xlfn.XLOOKUP(C502,Table2[Species],Table2[Family],"Code Not Found")</f>
        <v>Fagaceae</v>
      </c>
      <c r="O502" t="str" cm="1">
        <f t="array" ref="O502">_xlfn.IFS(F502="","",F502&lt;=5,"0 to 5",F502&lt;=10,"5.1 to 10",F502&lt;=20,"10 to 20", F502&lt;= 40, "20 to 40", F502 &lt;= 50, "40 to 50", F502 &gt; 50, "&gt;50" )</f>
        <v>0 to 5</v>
      </c>
    </row>
    <row r="503" spans="1:15" ht="14.4" x14ac:dyDescent="0.3">
      <c r="A503" t="s">
        <v>114</v>
      </c>
      <c r="B503" s="1">
        <v>46175</v>
      </c>
      <c r="C503" t="s">
        <v>16</v>
      </c>
      <c r="D503">
        <v>462</v>
      </c>
      <c r="E503">
        <v>1</v>
      </c>
      <c r="F503">
        <v>4.0999999999999996</v>
      </c>
      <c r="G503" t="s">
        <v>47</v>
      </c>
      <c r="H503" t="s">
        <v>161</v>
      </c>
      <c r="I503" t="str">
        <f t="shared" si="8"/>
        <v>462_1</v>
      </c>
      <c r="J503" t="s">
        <v>18</v>
      </c>
      <c r="K503" t="s">
        <v>115</v>
      </c>
      <c r="L503" t="str">
        <f>_xlfn.XLOOKUP(C503, Table2[Species],Table2[Genus], "Code Not Found")</f>
        <v>Acer</v>
      </c>
      <c r="M503" t="str">
        <f>_xlfn.XLOOKUP(C503, Table2[Species],Table2[Sp. Name], "Code Not Found")</f>
        <v>saccharum</v>
      </c>
      <c r="N503" t="str">
        <f>_xlfn.XLOOKUP(C503,Table2[Species],Table2[Family],"Code Not Found")</f>
        <v>Sapindaceae</v>
      </c>
      <c r="O503" t="str" cm="1">
        <f t="array" ref="O503">_xlfn.IFS(F503="","",F503&lt;=5,"0 to 5",F503&lt;=10,"5.1 to 10",F503&lt;=20,"10 to 20", F503&lt;= 40, "20 to 40", F503 &lt;= 50, "40 to 50", F503 &gt; 50, "&gt;50" )</f>
        <v>0 to 5</v>
      </c>
    </row>
    <row r="504" spans="1:15" ht="14.4" x14ac:dyDescent="0.3">
      <c r="A504" t="s">
        <v>114</v>
      </c>
      <c r="B504" s="1">
        <v>46175</v>
      </c>
      <c r="C504" t="s">
        <v>16</v>
      </c>
      <c r="D504">
        <v>463</v>
      </c>
      <c r="E504">
        <v>1</v>
      </c>
      <c r="F504">
        <v>4.0999999999999996</v>
      </c>
      <c r="G504" t="s">
        <v>103</v>
      </c>
      <c r="H504" t="s">
        <v>162</v>
      </c>
      <c r="I504" t="str">
        <f t="shared" si="8"/>
        <v>463_1</v>
      </c>
      <c r="J504" t="s">
        <v>18</v>
      </c>
      <c r="K504" t="s">
        <v>115</v>
      </c>
      <c r="L504" t="str">
        <f>_xlfn.XLOOKUP(C504, Table2[Species],Table2[Genus], "Code Not Found")</f>
        <v>Acer</v>
      </c>
      <c r="M504" t="str">
        <f>_xlfn.XLOOKUP(C504, Table2[Species],Table2[Sp. Name], "Code Not Found")</f>
        <v>saccharum</v>
      </c>
      <c r="N504" t="str">
        <f>_xlfn.XLOOKUP(C504,Table2[Species],Table2[Family],"Code Not Found")</f>
        <v>Sapindaceae</v>
      </c>
      <c r="O504" t="str" cm="1">
        <f t="array" ref="O504">_xlfn.IFS(F504="","",F504&lt;=5,"0 to 5",F504&lt;=10,"5.1 to 10",F504&lt;=20,"10 to 20", F504&lt;= 40, "20 to 40", F504 &lt;= 50, "40 to 50", F504 &gt; 50, "&gt;50" )</f>
        <v>0 to 5</v>
      </c>
    </row>
    <row r="505" spans="1:15" ht="14.4" x14ac:dyDescent="0.3">
      <c r="A505" t="s">
        <v>114</v>
      </c>
      <c r="B505" s="1">
        <v>46175</v>
      </c>
      <c r="C505" t="s">
        <v>16</v>
      </c>
      <c r="D505">
        <v>464</v>
      </c>
      <c r="E505">
        <v>1</v>
      </c>
      <c r="F505">
        <v>19</v>
      </c>
      <c r="G505" t="s">
        <v>21</v>
      </c>
      <c r="I505" t="str">
        <f t="shared" si="8"/>
        <v>464_1</v>
      </c>
      <c r="J505" t="s">
        <v>18</v>
      </c>
      <c r="K505" t="s">
        <v>115</v>
      </c>
      <c r="L505" t="str">
        <f>_xlfn.XLOOKUP(C505, Table2[Species],Table2[Genus], "Code Not Found")</f>
        <v>Acer</v>
      </c>
      <c r="M505" t="str">
        <f>_xlfn.XLOOKUP(C505, Table2[Species],Table2[Sp. Name], "Code Not Found")</f>
        <v>saccharum</v>
      </c>
      <c r="N505" t="str">
        <f>_xlfn.XLOOKUP(C505,Table2[Species],Table2[Family],"Code Not Found")</f>
        <v>Sapindaceae</v>
      </c>
      <c r="O505" t="str" cm="1">
        <f t="array" ref="O505">_xlfn.IFS(F505="","",F505&lt;=5,"0 to 5",F505&lt;=10,"5.1 to 10",F505&lt;=20,"10 to 20", F505&lt;= 40, "20 to 40", F505 &lt;= 50, "40 to 50", F505 &gt; 50, "&gt;50" )</f>
        <v>10 to 20</v>
      </c>
    </row>
    <row r="506" spans="1:15" ht="14.4" x14ac:dyDescent="0.3">
      <c r="A506" t="s">
        <v>114</v>
      </c>
      <c r="B506" s="1">
        <v>46175</v>
      </c>
      <c r="C506" t="s">
        <v>16</v>
      </c>
      <c r="D506">
        <v>465</v>
      </c>
      <c r="E506">
        <v>1</v>
      </c>
      <c r="F506">
        <v>4.9000000000000004</v>
      </c>
      <c r="G506" t="s">
        <v>17</v>
      </c>
      <c r="H506" t="s">
        <v>36</v>
      </c>
      <c r="I506" t="str">
        <f t="shared" si="8"/>
        <v>465_1</v>
      </c>
      <c r="J506" t="s">
        <v>18</v>
      </c>
      <c r="K506" t="s">
        <v>115</v>
      </c>
      <c r="L506" t="str">
        <f>_xlfn.XLOOKUP(C506, Table2[Species],Table2[Genus], "Code Not Found")</f>
        <v>Acer</v>
      </c>
      <c r="M506" t="str">
        <f>_xlfn.XLOOKUP(C506, Table2[Species],Table2[Sp. Name], "Code Not Found")</f>
        <v>saccharum</v>
      </c>
      <c r="N506" t="str">
        <f>_xlfn.XLOOKUP(C506,Table2[Species],Table2[Family],"Code Not Found")</f>
        <v>Sapindaceae</v>
      </c>
      <c r="O506" t="str" cm="1">
        <f t="array" ref="O506">_xlfn.IFS(F506="","",F506&lt;=5,"0 to 5",F506&lt;=10,"5.1 to 10",F506&lt;=20,"10 to 20", F506&lt;= 40, "20 to 40", F506 &lt;= 50, "40 to 50", F506 &gt; 50, "&gt;50" )</f>
        <v>0 to 5</v>
      </c>
    </row>
    <row r="507" spans="1:15" ht="14.4" x14ac:dyDescent="0.3">
      <c r="A507" t="s">
        <v>114</v>
      </c>
      <c r="B507" s="1">
        <v>46175</v>
      </c>
      <c r="C507" t="s">
        <v>16</v>
      </c>
      <c r="D507">
        <v>466</v>
      </c>
      <c r="E507">
        <v>1</v>
      </c>
      <c r="F507">
        <v>6.8</v>
      </c>
      <c r="G507" t="s">
        <v>30</v>
      </c>
      <c r="H507" t="s">
        <v>121</v>
      </c>
      <c r="I507" t="str">
        <f t="shared" si="8"/>
        <v>466_1</v>
      </c>
      <c r="J507" t="s">
        <v>18</v>
      </c>
      <c r="K507" t="s">
        <v>115</v>
      </c>
      <c r="L507" t="str">
        <f>_xlfn.XLOOKUP(C507, Table2[Species],Table2[Genus], "Code Not Found")</f>
        <v>Acer</v>
      </c>
      <c r="M507" t="str">
        <f>_xlfn.XLOOKUP(C507, Table2[Species],Table2[Sp. Name], "Code Not Found")</f>
        <v>saccharum</v>
      </c>
      <c r="N507" t="str">
        <f>_xlfn.XLOOKUP(C507,Table2[Species],Table2[Family],"Code Not Found")</f>
        <v>Sapindaceae</v>
      </c>
      <c r="O507" t="str" cm="1">
        <f t="array" ref="O507">_xlfn.IFS(F507="","",F507&lt;=5,"0 to 5",F507&lt;=10,"5.1 to 10",F507&lt;=20,"10 to 20", F507&lt;= 40, "20 to 40", F507 &lt;= 50, "40 to 50", F507 &gt; 50, "&gt;50" )</f>
        <v>5.1 to 10</v>
      </c>
    </row>
    <row r="508" spans="1:15" ht="14.4" x14ac:dyDescent="0.3">
      <c r="A508" t="s">
        <v>114</v>
      </c>
      <c r="B508" s="1">
        <v>46175</v>
      </c>
      <c r="C508" t="s">
        <v>16</v>
      </c>
      <c r="D508">
        <v>467</v>
      </c>
      <c r="E508">
        <v>1</v>
      </c>
      <c r="F508">
        <v>51.1</v>
      </c>
      <c r="G508" t="s">
        <v>51</v>
      </c>
      <c r="H508" t="s">
        <v>163</v>
      </c>
      <c r="I508" t="str">
        <f t="shared" si="8"/>
        <v>467_1</v>
      </c>
      <c r="J508" t="s">
        <v>18</v>
      </c>
      <c r="K508" t="s">
        <v>115</v>
      </c>
      <c r="L508" t="str">
        <f>_xlfn.XLOOKUP(C508, Table2[Species],Table2[Genus], "Code Not Found")</f>
        <v>Acer</v>
      </c>
      <c r="M508" t="str">
        <f>_xlfn.XLOOKUP(C508, Table2[Species],Table2[Sp. Name], "Code Not Found")</f>
        <v>saccharum</v>
      </c>
      <c r="N508" t="str">
        <f>_xlfn.XLOOKUP(C508,Table2[Species],Table2[Family],"Code Not Found")</f>
        <v>Sapindaceae</v>
      </c>
      <c r="O508" t="str" cm="1">
        <f t="array" ref="O508">_xlfn.IFS(F508="","",F508&lt;=5,"0 to 5",F508&lt;=10,"5.1 to 10",F508&lt;=20,"10 to 20", F508&lt;= 40, "20 to 40", F508 &lt;= 50, "40 to 50", F508 &gt; 50, "&gt;50" )</f>
        <v>&gt;50</v>
      </c>
    </row>
    <row r="509" spans="1:15" ht="14.4" x14ac:dyDescent="0.3">
      <c r="A509" t="s">
        <v>114</v>
      </c>
      <c r="B509" s="1">
        <v>46175</v>
      </c>
      <c r="C509" t="s">
        <v>16</v>
      </c>
      <c r="D509">
        <v>468</v>
      </c>
      <c r="E509">
        <v>1</v>
      </c>
      <c r="F509">
        <v>5.2</v>
      </c>
      <c r="G509" t="s">
        <v>21</v>
      </c>
      <c r="I509" t="str">
        <f t="shared" si="8"/>
        <v>468_1</v>
      </c>
      <c r="J509" t="s">
        <v>18</v>
      </c>
      <c r="K509" t="s">
        <v>115</v>
      </c>
      <c r="L509" t="str">
        <f>_xlfn.XLOOKUP(C509, Table2[Species],Table2[Genus], "Code Not Found")</f>
        <v>Acer</v>
      </c>
      <c r="M509" t="str">
        <f>_xlfn.XLOOKUP(C509, Table2[Species],Table2[Sp. Name], "Code Not Found")</f>
        <v>saccharum</v>
      </c>
      <c r="N509" t="str">
        <f>_xlfn.XLOOKUP(C509,Table2[Species],Table2[Family],"Code Not Found")</f>
        <v>Sapindaceae</v>
      </c>
      <c r="O509" t="str" cm="1">
        <f t="array" ref="O509">_xlfn.IFS(F509="","",F509&lt;=5,"0 to 5",F509&lt;=10,"5.1 to 10",F509&lt;=20,"10 to 20", F509&lt;= 40, "20 to 40", F509 &lt;= 50, "40 to 50", F509 &gt; 50, "&gt;50" )</f>
        <v>5.1 to 10</v>
      </c>
    </row>
    <row r="510" spans="1:15" ht="14.4" x14ac:dyDescent="0.3">
      <c r="A510" t="s">
        <v>114</v>
      </c>
      <c r="B510" s="1">
        <v>46175</v>
      </c>
      <c r="C510" t="s">
        <v>16</v>
      </c>
      <c r="D510">
        <v>469</v>
      </c>
      <c r="E510">
        <v>1</v>
      </c>
      <c r="F510">
        <v>5.9</v>
      </c>
      <c r="G510" t="s">
        <v>88</v>
      </c>
      <c r="H510" t="s">
        <v>164</v>
      </c>
      <c r="I510" t="str">
        <f t="shared" si="8"/>
        <v>469_1</v>
      </c>
      <c r="J510" t="s">
        <v>18</v>
      </c>
      <c r="K510" t="s">
        <v>115</v>
      </c>
      <c r="L510" t="str">
        <f>_xlfn.XLOOKUP(C510, Table2[Species],Table2[Genus], "Code Not Found")</f>
        <v>Acer</v>
      </c>
      <c r="M510" t="str">
        <f>_xlfn.XLOOKUP(C510, Table2[Species],Table2[Sp. Name], "Code Not Found")</f>
        <v>saccharum</v>
      </c>
      <c r="N510" t="str">
        <f>_xlfn.XLOOKUP(C510,Table2[Species],Table2[Family],"Code Not Found")</f>
        <v>Sapindaceae</v>
      </c>
      <c r="O510" t="str" cm="1">
        <f t="array" ref="O510">_xlfn.IFS(F510="","",F510&lt;=5,"0 to 5",F510&lt;=10,"5.1 to 10",F510&lt;=20,"10 to 20", F510&lt;= 40, "20 to 40", F510 &lt;= 50, "40 to 50", F510 &gt; 50, "&gt;50" )</f>
        <v>5.1 to 10</v>
      </c>
    </row>
    <row r="511" spans="1:15" ht="14.4" x14ac:dyDescent="0.3">
      <c r="A511" t="s">
        <v>114</v>
      </c>
      <c r="B511" s="1">
        <v>46175</v>
      </c>
      <c r="C511" t="s">
        <v>16</v>
      </c>
      <c r="D511">
        <v>470</v>
      </c>
      <c r="E511">
        <v>1</v>
      </c>
      <c r="F511">
        <v>1.8</v>
      </c>
      <c r="G511" t="s">
        <v>21</v>
      </c>
      <c r="I511" t="str">
        <f t="shared" si="8"/>
        <v>470_1</v>
      </c>
      <c r="J511" t="s">
        <v>18</v>
      </c>
      <c r="K511" t="s">
        <v>115</v>
      </c>
      <c r="L511" t="str">
        <f>_xlfn.XLOOKUP(C511, Table2[Species],Table2[Genus], "Code Not Found")</f>
        <v>Acer</v>
      </c>
      <c r="M511" t="str">
        <f>_xlfn.XLOOKUP(C511, Table2[Species],Table2[Sp. Name], "Code Not Found")</f>
        <v>saccharum</v>
      </c>
      <c r="N511" t="str">
        <f>_xlfn.XLOOKUP(C511,Table2[Species],Table2[Family],"Code Not Found")</f>
        <v>Sapindaceae</v>
      </c>
      <c r="O511" t="str" cm="1">
        <f t="array" ref="O511">_xlfn.IFS(F511="","",F511&lt;=5,"0 to 5",F511&lt;=10,"5.1 to 10",F511&lt;=20,"10 to 20", F511&lt;= 40, "20 to 40", F511 &lt;= 50, "40 to 50", F511 &gt; 50, "&gt;50" )</f>
        <v>0 to 5</v>
      </c>
    </row>
    <row r="512" spans="1:15" ht="14.4" x14ac:dyDescent="0.3">
      <c r="A512" t="s">
        <v>114</v>
      </c>
      <c r="B512" s="1">
        <v>46176</v>
      </c>
      <c r="C512" t="s">
        <v>16</v>
      </c>
      <c r="D512">
        <v>471</v>
      </c>
      <c r="E512">
        <v>1</v>
      </c>
      <c r="F512">
        <v>2.2000000000000002</v>
      </c>
      <c r="G512" t="s">
        <v>30</v>
      </c>
      <c r="H512" t="s">
        <v>99</v>
      </c>
      <c r="I512" t="str">
        <f t="shared" si="8"/>
        <v>471_1</v>
      </c>
      <c r="J512" t="s">
        <v>18</v>
      </c>
      <c r="K512" t="s">
        <v>115</v>
      </c>
      <c r="L512" t="str">
        <f>_xlfn.XLOOKUP(C512, Table2[Species],Table2[Genus], "Code Not Found")</f>
        <v>Acer</v>
      </c>
      <c r="M512" t="str">
        <f>_xlfn.XLOOKUP(C512, Table2[Species],Table2[Sp. Name], "Code Not Found")</f>
        <v>saccharum</v>
      </c>
      <c r="N512" t="str">
        <f>_xlfn.XLOOKUP(C512,Table2[Species],Table2[Family],"Code Not Found")</f>
        <v>Sapindaceae</v>
      </c>
      <c r="O512" t="str" cm="1">
        <f t="array" ref="O512">_xlfn.IFS(F512="","",F512&lt;=5,"0 to 5",F512&lt;=10,"5.1 to 10",F512&lt;=20,"10 to 20", F512&lt;= 40, "20 to 40", F512 &lt;= 50, "40 to 50", F512 &gt; 50, "&gt;50" )</f>
        <v>0 to 5</v>
      </c>
    </row>
    <row r="513" spans="1:15" ht="14.4" x14ac:dyDescent="0.3">
      <c r="A513" t="s">
        <v>114</v>
      </c>
      <c r="B513" s="1">
        <v>46176</v>
      </c>
      <c r="C513" t="s">
        <v>16</v>
      </c>
      <c r="D513">
        <v>472</v>
      </c>
      <c r="E513">
        <v>1</v>
      </c>
      <c r="F513">
        <v>6.5</v>
      </c>
      <c r="G513" t="s">
        <v>21</v>
      </c>
      <c r="I513" t="str">
        <f t="shared" ref="I513:I547" si="9">D513&amp;"_"&amp;E513</f>
        <v>472_1</v>
      </c>
      <c r="J513" t="s">
        <v>18</v>
      </c>
      <c r="K513" t="s">
        <v>115</v>
      </c>
      <c r="L513" t="str">
        <f>_xlfn.XLOOKUP(C513, Table2[Species],Table2[Genus], "Code Not Found")</f>
        <v>Acer</v>
      </c>
      <c r="M513" t="str">
        <f>_xlfn.XLOOKUP(C513, Table2[Species],Table2[Sp. Name], "Code Not Found")</f>
        <v>saccharum</v>
      </c>
      <c r="N513" t="str">
        <f>_xlfn.XLOOKUP(C513,Table2[Species],Table2[Family],"Code Not Found")</f>
        <v>Sapindaceae</v>
      </c>
      <c r="O513" t="str" cm="1">
        <f t="array" ref="O513">_xlfn.IFS(F513="","",F513&lt;=5,"0 to 5",F513&lt;=10,"5.1 to 10",F513&lt;=20,"10 to 20", F513&lt;= 40, "20 to 40", F513 &lt;= 50, "40 to 50", F513 &gt; 50, "&gt;50" )</f>
        <v>5.1 to 10</v>
      </c>
    </row>
    <row r="514" spans="1:15" ht="14.4" x14ac:dyDescent="0.3">
      <c r="A514" t="s">
        <v>114</v>
      </c>
      <c r="B514" s="1">
        <v>46176</v>
      </c>
      <c r="C514" t="s">
        <v>16</v>
      </c>
      <c r="D514">
        <v>473</v>
      </c>
      <c r="E514">
        <v>1</v>
      </c>
      <c r="F514">
        <v>5</v>
      </c>
      <c r="G514" t="s">
        <v>17</v>
      </c>
      <c r="I514" t="str">
        <f t="shared" si="9"/>
        <v>473_1</v>
      </c>
      <c r="J514" t="s">
        <v>18</v>
      </c>
      <c r="K514" t="s">
        <v>115</v>
      </c>
      <c r="L514" t="str">
        <f>_xlfn.XLOOKUP(C514, Table2[Species],Table2[Genus], "Code Not Found")</f>
        <v>Acer</v>
      </c>
      <c r="M514" t="str">
        <f>_xlfn.XLOOKUP(C514, Table2[Species],Table2[Sp. Name], "Code Not Found")</f>
        <v>saccharum</v>
      </c>
      <c r="N514" t="str">
        <f>_xlfn.XLOOKUP(C514,Table2[Species],Table2[Family],"Code Not Found")</f>
        <v>Sapindaceae</v>
      </c>
      <c r="O514" t="str" cm="1">
        <f t="array" ref="O514">_xlfn.IFS(F514="","",F514&lt;=5,"0 to 5",F514&lt;=10,"5.1 to 10",F514&lt;=20,"10 to 20", F514&lt;= 40, "20 to 40", F514 &lt;= 50, "40 to 50", F514 &gt; 50, "&gt;50" )</f>
        <v>0 to 5</v>
      </c>
    </row>
    <row r="515" spans="1:15" ht="14.4" x14ac:dyDescent="0.3">
      <c r="A515" t="s">
        <v>114</v>
      </c>
      <c r="B515" s="1">
        <v>46176</v>
      </c>
      <c r="C515" t="s">
        <v>16</v>
      </c>
      <c r="D515">
        <v>474</v>
      </c>
      <c r="E515">
        <v>1</v>
      </c>
      <c r="F515">
        <v>1.5</v>
      </c>
      <c r="G515" t="s">
        <v>17</v>
      </c>
      <c r="I515" t="str">
        <f t="shared" si="9"/>
        <v>474_1</v>
      </c>
      <c r="J515" t="s">
        <v>18</v>
      </c>
      <c r="K515" t="s">
        <v>115</v>
      </c>
      <c r="L515" t="str">
        <f>_xlfn.XLOOKUP(C515, Table2[Species],Table2[Genus], "Code Not Found")</f>
        <v>Acer</v>
      </c>
      <c r="M515" t="str">
        <f>_xlfn.XLOOKUP(C515, Table2[Species],Table2[Sp. Name], "Code Not Found")</f>
        <v>saccharum</v>
      </c>
      <c r="N515" t="str">
        <f>_xlfn.XLOOKUP(C515,Table2[Species],Table2[Family],"Code Not Found")</f>
        <v>Sapindaceae</v>
      </c>
      <c r="O515" t="str" cm="1">
        <f t="array" ref="O515">_xlfn.IFS(F515="","",F515&lt;=5,"0 to 5",F515&lt;=10,"5.1 to 10",F515&lt;=20,"10 to 20", F515&lt;= 40, "20 to 40", F515 &lt;= 50, "40 to 50", F515 &gt; 50, "&gt;50" )</f>
        <v>0 to 5</v>
      </c>
    </row>
    <row r="516" spans="1:15" ht="14.4" x14ac:dyDescent="0.3">
      <c r="A516" t="s">
        <v>114</v>
      </c>
      <c r="B516" s="1">
        <v>46176</v>
      </c>
      <c r="C516" t="s">
        <v>16</v>
      </c>
      <c r="D516">
        <v>475</v>
      </c>
      <c r="E516">
        <v>1</v>
      </c>
      <c r="F516">
        <v>1.3</v>
      </c>
      <c r="G516" t="s">
        <v>17</v>
      </c>
      <c r="I516" t="str">
        <f t="shared" si="9"/>
        <v>475_1</v>
      </c>
      <c r="J516" t="s">
        <v>18</v>
      </c>
      <c r="K516" t="s">
        <v>115</v>
      </c>
      <c r="L516" t="str">
        <f>_xlfn.XLOOKUP(C516, Table2[Species],Table2[Genus], "Code Not Found")</f>
        <v>Acer</v>
      </c>
      <c r="M516" t="str">
        <f>_xlfn.XLOOKUP(C516, Table2[Species],Table2[Sp. Name], "Code Not Found")</f>
        <v>saccharum</v>
      </c>
      <c r="N516" t="str">
        <f>_xlfn.XLOOKUP(C516,Table2[Species],Table2[Family],"Code Not Found")</f>
        <v>Sapindaceae</v>
      </c>
      <c r="O516" t="str" cm="1">
        <f t="array" ref="O516">_xlfn.IFS(F516="","",F516&lt;=5,"0 to 5",F516&lt;=10,"5.1 to 10",F516&lt;=20,"10 to 20", F516&lt;= 40, "20 to 40", F516 &lt;= 50, "40 to 50", F516 &gt; 50, "&gt;50" )</f>
        <v>0 to 5</v>
      </c>
    </row>
    <row r="517" spans="1:15" ht="14.4" x14ac:dyDescent="0.3">
      <c r="A517" t="s">
        <v>114</v>
      </c>
      <c r="B517" s="1">
        <v>46176</v>
      </c>
      <c r="C517" t="s">
        <v>16</v>
      </c>
      <c r="D517">
        <v>476</v>
      </c>
      <c r="E517">
        <v>1</v>
      </c>
      <c r="F517">
        <v>4.2</v>
      </c>
      <c r="G517" t="s">
        <v>17</v>
      </c>
      <c r="H517" t="s">
        <v>36</v>
      </c>
      <c r="I517" t="str">
        <f t="shared" si="9"/>
        <v>476_1</v>
      </c>
      <c r="J517" t="s">
        <v>18</v>
      </c>
      <c r="K517" t="s">
        <v>115</v>
      </c>
      <c r="L517" t="str">
        <f>_xlfn.XLOOKUP(C517, Table2[Species],Table2[Genus], "Code Not Found")</f>
        <v>Acer</v>
      </c>
      <c r="M517" t="str">
        <f>_xlfn.XLOOKUP(C517, Table2[Species],Table2[Sp. Name], "Code Not Found")</f>
        <v>saccharum</v>
      </c>
      <c r="N517" t="str">
        <f>_xlfn.XLOOKUP(C517,Table2[Species],Table2[Family],"Code Not Found")</f>
        <v>Sapindaceae</v>
      </c>
      <c r="O517" t="str" cm="1">
        <f t="array" ref="O517">_xlfn.IFS(F517="","",F517&lt;=5,"0 to 5",F517&lt;=10,"5.1 to 10",F517&lt;=20,"10 to 20", F517&lt;= 40, "20 to 40", F517 &lt;= 50, "40 to 50", F517 &gt; 50, "&gt;50" )</f>
        <v>0 to 5</v>
      </c>
    </row>
    <row r="518" spans="1:15" ht="14.4" x14ac:dyDescent="0.3">
      <c r="A518" t="s">
        <v>114</v>
      </c>
      <c r="B518" s="1">
        <v>46176</v>
      </c>
      <c r="C518" t="s">
        <v>16</v>
      </c>
      <c r="D518">
        <v>477</v>
      </c>
      <c r="E518">
        <v>1</v>
      </c>
      <c r="F518">
        <v>3.1</v>
      </c>
      <c r="G518" t="s">
        <v>21</v>
      </c>
      <c r="I518" t="str">
        <f t="shared" si="9"/>
        <v>477_1</v>
      </c>
      <c r="J518" t="s">
        <v>18</v>
      </c>
      <c r="K518" t="s">
        <v>115</v>
      </c>
      <c r="L518" t="str">
        <f>_xlfn.XLOOKUP(C518, Table2[Species],Table2[Genus], "Code Not Found")</f>
        <v>Acer</v>
      </c>
      <c r="M518" t="str">
        <f>_xlfn.XLOOKUP(C518, Table2[Species],Table2[Sp. Name], "Code Not Found")</f>
        <v>saccharum</v>
      </c>
      <c r="N518" t="str">
        <f>_xlfn.XLOOKUP(C518,Table2[Species],Table2[Family],"Code Not Found")</f>
        <v>Sapindaceae</v>
      </c>
      <c r="O518" t="str" cm="1">
        <f t="array" ref="O518">_xlfn.IFS(F518="","",F518&lt;=5,"0 to 5",F518&lt;=10,"5.1 to 10",F518&lt;=20,"10 to 20", F518&lt;= 40, "20 to 40", F518 &lt;= 50, "40 to 50", F518 &gt; 50, "&gt;50" )</f>
        <v>0 to 5</v>
      </c>
    </row>
    <row r="519" spans="1:15" ht="14.4" x14ac:dyDescent="0.3">
      <c r="A519" t="s">
        <v>114</v>
      </c>
      <c r="B519" s="1">
        <v>46176</v>
      </c>
      <c r="C519" t="s">
        <v>16</v>
      </c>
      <c r="D519">
        <v>478</v>
      </c>
      <c r="E519">
        <v>1</v>
      </c>
      <c r="F519">
        <v>1.1000000000000001</v>
      </c>
      <c r="G519" t="s">
        <v>17</v>
      </c>
      <c r="I519" t="str">
        <f t="shared" si="9"/>
        <v>478_1</v>
      </c>
      <c r="J519" t="s">
        <v>18</v>
      </c>
      <c r="K519" t="s">
        <v>115</v>
      </c>
      <c r="L519" t="str">
        <f>_xlfn.XLOOKUP(C519, Table2[Species],Table2[Genus], "Code Not Found")</f>
        <v>Acer</v>
      </c>
      <c r="M519" t="str">
        <f>_xlfn.XLOOKUP(C519, Table2[Species],Table2[Sp. Name], "Code Not Found")</f>
        <v>saccharum</v>
      </c>
      <c r="N519" t="str">
        <f>_xlfn.XLOOKUP(C519,Table2[Species],Table2[Family],"Code Not Found")</f>
        <v>Sapindaceae</v>
      </c>
      <c r="O519" t="str" cm="1">
        <f t="array" ref="O519">_xlfn.IFS(F519="","",F519&lt;=5,"0 to 5",F519&lt;=10,"5.1 to 10",F519&lt;=20,"10 to 20", F519&lt;= 40, "20 to 40", F519 &lt;= 50, "40 to 50", F519 &gt; 50, "&gt;50" )</f>
        <v>0 to 5</v>
      </c>
    </row>
    <row r="520" spans="1:15" ht="14.4" x14ac:dyDescent="0.3">
      <c r="A520" t="s">
        <v>114</v>
      </c>
      <c r="B520" s="1">
        <v>46176</v>
      </c>
      <c r="C520" t="s">
        <v>16</v>
      </c>
      <c r="D520">
        <v>479</v>
      </c>
      <c r="E520">
        <v>1</v>
      </c>
      <c r="F520">
        <v>1.5</v>
      </c>
      <c r="G520" t="s">
        <v>17</v>
      </c>
      <c r="I520" t="str">
        <f t="shared" si="9"/>
        <v>479_1</v>
      </c>
      <c r="J520" t="s">
        <v>18</v>
      </c>
      <c r="K520" t="s">
        <v>115</v>
      </c>
      <c r="L520" t="str">
        <f>_xlfn.XLOOKUP(C520, Table2[Species],Table2[Genus], "Code Not Found")</f>
        <v>Acer</v>
      </c>
      <c r="M520" t="str">
        <f>_xlfn.XLOOKUP(C520, Table2[Species],Table2[Sp. Name], "Code Not Found")</f>
        <v>saccharum</v>
      </c>
      <c r="N520" t="str">
        <f>_xlfn.XLOOKUP(C520,Table2[Species],Table2[Family],"Code Not Found")</f>
        <v>Sapindaceae</v>
      </c>
      <c r="O520" t="str" cm="1">
        <f t="array" ref="O520">_xlfn.IFS(F520="","",F520&lt;=5,"0 to 5",F520&lt;=10,"5.1 to 10",F520&lt;=20,"10 to 20", F520&lt;= 40, "20 to 40", F520 &lt;= 50, "40 to 50", F520 &gt; 50, "&gt;50" )</f>
        <v>0 to 5</v>
      </c>
    </row>
    <row r="521" spans="1:15" ht="14.4" x14ac:dyDescent="0.3">
      <c r="A521" t="s">
        <v>114</v>
      </c>
      <c r="B521" s="1">
        <v>46176</v>
      </c>
      <c r="C521" t="s">
        <v>16</v>
      </c>
      <c r="D521">
        <v>480</v>
      </c>
      <c r="E521">
        <v>1</v>
      </c>
      <c r="F521">
        <v>1.5</v>
      </c>
      <c r="G521" t="s">
        <v>17</v>
      </c>
      <c r="I521" t="str">
        <f t="shared" si="9"/>
        <v>480_1</v>
      </c>
      <c r="J521" t="s">
        <v>18</v>
      </c>
      <c r="K521" t="s">
        <v>115</v>
      </c>
      <c r="L521" t="str">
        <f>_xlfn.XLOOKUP(C521, Table2[Species],Table2[Genus], "Code Not Found")</f>
        <v>Acer</v>
      </c>
      <c r="M521" t="str">
        <f>_xlfn.XLOOKUP(C521, Table2[Species],Table2[Sp. Name], "Code Not Found")</f>
        <v>saccharum</v>
      </c>
      <c r="N521" t="str">
        <f>_xlfn.XLOOKUP(C521,Table2[Species],Table2[Family],"Code Not Found")</f>
        <v>Sapindaceae</v>
      </c>
      <c r="O521" t="str" cm="1">
        <f t="array" ref="O521">_xlfn.IFS(F521="","",F521&lt;=5,"0 to 5",F521&lt;=10,"5.1 to 10",F521&lt;=20,"10 to 20", F521&lt;= 40, "20 to 40", F521 &lt;= 50, "40 to 50", F521 &gt; 50, "&gt;50" )</f>
        <v>0 to 5</v>
      </c>
    </row>
    <row r="522" spans="1:15" ht="14.4" x14ac:dyDescent="0.3">
      <c r="A522" t="s">
        <v>114</v>
      </c>
      <c r="B522" s="1">
        <v>46176</v>
      </c>
      <c r="C522" t="s">
        <v>16</v>
      </c>
      <c r="D522">
        <v>481</v>
      </c>
      <c r="E522">
        <v>1</v>
      </c>
      <c r="F522">
        <v>3.6</v>
      </c>
      <c r="G522" t="s">
        <v>30</v>
      </c>
      <c r="H522" t="s">
        <v>96</v>
      </c>
      <c r="I522" t="str">
        <f t="shared" si="9"/>
        <v>481_1</v>
      </c>
      <c r="J522" t="s">
        <v>18</v>
      </c>
      <c r="K522" t="s">
        <v>115</v>
      </c>
      <c r="L522" t="str">
        <f>_xlfn.XLOOKUP(C522, Table2[Species],Table2[Genus], "Code Not Found")</f>
        <v>Acer</v>
      </c>
      <c r="M522" t="str">
        <f>_xlfn.XLOOKUP(C522, Table2[Species],Table2[Sp. Name], "Code Not Found")</f>
        <v>saccharum</v>
      </c>
      <c r="N522" t="str">
        <f>_xlfn.XLOOKUP(C522,Table2[Species],Table2[Family],"Code Not Found")</f>
        <v>Sapindaceae</v>
      </c>
      <c r="O522" t="str" cm="1">
        <f t="array" ref="O522">_xlfn.IFS(F522="","",F522&lt;=5,"0 to 5",F522&lt;=10,"5.1 to 10",F522&lt;=20,"10 to 20", F522&lt;= 40, "20 to 40", F522 &lt;= 50, "40 to 50", F522 &gt; 50, "&gt;50" )</f>
        <v>0 to 5</v>
      </c>
    </row>
    <row r="523" spans="1:15" ht="14.4" x14ac:dyDescent="0.3">
      <c r="A523" t="s">
        <v>114</v>
      </c>
      <c r="B523" s="1">
        <v>46176</v>
      </c>
      <c r="C523" t="s">
        <v>16</v>
      </c>
      <c r="D523">
        <v>482</v>
      </c>
      <c r="E523">
        <v>1</v>
      </c>
      <c r="F523">
        <v>56.4</v>
      </c>
      <c r="G523" t="s">
        <v>21</v>
      </c>
      <c r="I523" t="str">
        <f t="shared" si="9"/>
        <v>482_1</v>
      </c>
      <c r="J523" t="s">
        <v>18</v>
      </c>
      <c r="K523" t="s">
        <v>115</v>
      </c>
      <c r="L523" t="str">
        <f>_xlfn.XLOOKUP(C523, Table2[Species],Table2[Genus], "Code Not Found")</f>
        <v>Acer</v>
      </c>
      <c r="M523" t="str">
        <f>_xlfn.XLOOKUP(C523, Table2[Species],Table2[Sp. Name], "Code Not Found")</f>
        <v>saccharum</v>
      </c>
      <c r="N523" t="str">
        <f>_xlfn.XLOOKUP(C523,Table2[Species],Table2[Family],"Code Not Found")</f>
        <v>Sapindaceae</v>
      </c>
      <c r="O523" t="str" cm="1">
        <f t="array" ref="O523">_xlfn.IFS(F523="","",F523&lt;=5,"0 to 5",F523&lt;=10,"5.1 to 10",F523&lt;=20,"10 to 20", F523&lt;= 40, "20 to 40", F523 &lt;= 50, "40 to 50", F523 &gt; 50, "&gt;50" )</f>
        <v>&gt;50</v>
      </c>
    </row>
    <row r="524" spans="1:15" ht="14.4" x14ac:dyDescent="0.3">
      <c r="A524" t="s">
        <v>114</v>
      </c>
      <c r="B524" s="1">
        <v>46176</v>
      </c>
      <c r="C524" t="s">
        <v>22</v>
      </c>
      <c r="D524">
        <v>483</v>
      </c>
      <c r="E524">
        <v>1</v>
      </c>
      <c r="F524">
        <v>6.2</v>
      </c>
      <c r="G524" t="s">
        <v>165</v>
      </c>
      <c r="H524" t="s">
        <v>166</v>
      </c>
      <c r="I524" t="str">
        <f t="shared" si="9"/>
        <v>483_1</v>
      </c>
      <c r="J524" t="s">
        <v>18</v>
      </c>
      <c r="K524" t="s">
        <v>115</v>
      </c>
      <c r="L524" t="str">
        <f>_xlfn.XLOOKUP(C524, Table2[Species],Table2[Genus], "Code Not Found")</f>
        <v>Acer</v>
      </c>
      <c r="M524" t="str">
        <f>_xlfn.XLOOKUP(C524, Table2[Species],Table2[Sp. Name], "Code Not Found")</f>
        <v>rubrum</v>
      </c>
      <c r="N524" t="str">
        <f>_xlfn.XLOOKUP(C524,Table2[Species],Table2[Family],"Code Not Found")</f>
        <v>Sapindaceae</v>
      </c>
      <c r="O524" t="str" cm="1">
        <f t="array" ref="O524">_xlfn.IFS(F524="","",F524&lt;=5,"0 to 5",F524&lt;=10,"5.1 to 10",F524&lt;=20,"10 to 20", F524&lt;= 40, "20 to 40", F524 &lt;= 50, "40 to 50", F524 &gt; 50, "&gt;50" )</f>
        <v>5.1 to 10</v>
      </c>
    </row>
    <row r="525" spans="1:15" ht="14.4" x14ac:dyDescent="0.3">
      <c r="A525" t="s">
        <v>114</v>
      </c>
      <c r="B525" s="1">
        <v>46176</v>
      </c>
      <c r="C525" t="s">
        <v>16</v>
      </c>
      <c r="D525">
        <v>484</v>
      </c>
      <c r="E525">
        <v>1</v>
      </c>
      <c r="F525">
        <v>2.8</v>
      </c>
      <c r="G525" t="s">
        <v>17</v>
      </c>
      <c r="I525" t="str">
        <f t="shared" si="9"/>
        <v>484_1</v>
      </c>
      <c r="J525" t="s">
        <v>18</v>
      </c>
      <c r="K525" t="s">
        <v>115</v>
      </c>
      <c r="L525" t="str">
        <f>_xlfn.XLOOKUP(C525, Table2[Species],Table2[Genus], "Code Not Found")</f>
        <v>Acer</v>
      </c>
      <c r="M525" t="str">
        <f>_xlfn.XLOOKUP(C525, Table2[Species],Table2[Sp. Name], "Code Not Found")</f>
        <v>saccharum</v>
      </c>
      <c r="N525" t="str">
        <f>_xlfn.XLOOKUP(C525,Table2[Species],Table2[Family],"Code Not Found")</f>
        <v>Sapindaceae</v>
      </c>
      <c r="O525" t="str" cm="1">
        <f t="array" ref="O525">_xlfn.IFS(F525="","",F525&lt;=5,"0 to 5",F525&lt;=10,"5.1 to 10",F525&lt;=20,"10 to 20", F525&lt;= 40, "20 to 40", F525 &lt;= 50, "40 to 50", F525 &gt; 50, "&gt;50" )</f>
        <v>0 to 5</v>
      </c>
    </row>
    <row r="526" spans="1:15" ht="14.4" x14ac:dyDescent="0.3">
      <c r="A526" t="s">
        <v>114</v>
      </c>
      <c r="B526" s="1">
        <v>46176</v>
      </c>
      <c r="C526" t="s">
        <v>16</v>
      </c>
      <c r="D526">
        <v>485</v>
      </c>
      <c r="E526">
        <v>1</v>
      </c>
      <c r="F526">
        <v>3.8</v>
      </c>
      <c r="G526" t="s">
        <v>88</v>
      </c>
      <c r="H526" t="s">
        <v>167</v>
      </c>
      <c r="I526" t="str">
        <f t="shared" si="9"/>
        <v>485_1</v>
      </c>
      <c r="J526" t="s">
        <v>18</v>
      </c>
      <c r="K526" t="s">
        <v>115</v>
      </c>
      <c r="L526" t="str">
        <f>_xlfn.XLOOKUP(C526, Table2[Species],Table2[Genus], "Code Not Found")</f>
        <v>Acer</v>
      </c>
      <c r="M526" t="str">
        <f>_xlfn.XLOOKUP(C526, Table2[Species],Table2[Sp. Name], "Code Not Found")</f>
        <v>saccharum</v>
      </c>
      <c r="N526" t="str">
        <f>_xlfn.XLOOKUP(C526,Table2[Species],Table2[Family],"Code Not Found")</f>
        <v>Sapindaceae</v>
      </c>
      <c r="O526" t="str" cm="1">
        <f t="array" ref="O526">_xlfn.IFS(F526="","",F526&lt;=5,"0 to 5",F526&lt;=10,"5.1 to 10",F526&lt;=20,"10 to 20", F526&lt;= 40, "20 to 40", F526 &lt;= 50, "40 to 50", F526 &gt; 50, "&gt;50" )</f>
        <v>0 to 5</v>
      </c>
    </row>
    <row r="527" spans="1:15" ht="14.4" x14ac:dyDescent="0.3">
      <c r="A527" t="s">
        <v>114</v>
      </c>
      <c r="B527" s="1">
        <v>46176</v>
      </c>
      <c r="C527" t="s">
        <v>16</v>
      </c>
      <c r="D527">
        <v>486</v>
      </c>
      <c r="E527">
        <v>1</v>
      </c>
      <c r="F527">
        <v>5.3</v>
      </c>
      <c r="G527" t="s">
        <v>17</v>
      </c>
      <c r="I527" t="str">
        <f t="shared" si="9"/>
        <v>486_1</v>
      </c>
      <c r="J527" t="s">
        <v>18</v>
      </c>
      <c r="K527" t="s">
        <v>115</v>
      </c>
      <c r="L527" t="str">
        <f>_xlfn.XLOOKUP(C527, Table2[Species],Table2[Genus], "Code Not Found")</f>
        <v>Acer</v>
      </c>
      <c r="M527" t="str">
        <f>_xlfn.XLOOKUP(C527, Table2[Species],Table2[Sp. Name], "Code Not Found")</f>
        <v>saccharum</v>
      </c>
      <c r="N527" t="str">
        <f>_xlfn.XLOOKUP(C527,Table2[Species],Table2[Family],"Code Not Found")</f>
        <v>Sapindaceae</v>
      </c>
      <c r="O527" t="str" cm="1">
        <f t="array" ref="O527">_xlfn.IFS(F527="","",F527&lt;=5,"0 to 5",F527&lt;=10,"5.1 to 10",F527&lt;=20,"10 to 20", F527&lt;= 40, "20 to 40", F527 &lt;= 50, "40 to 50", F527 &gt; 50, "&gt;50" )</f>
        <v>5.1 to 10</v>
      </c>
    </row>
    <row r="528" spans="1:15" ht="14.4" x14ac:dyDescent="0.3">
      <c r="A528" t="s">
        <v>114</v>
      </c>
      <c r="B528" s="1">
        <v>46176</v>
      </c>
      <c r="C528" t="s">
        <v>16</v>
      </c>
      <c r="D528">
        <v>487</v>
      </c>
      <c r="E528">
        <v>1</v>
      </c>
      <c r="F528">
        <v>3</v>
      </c>
      <c r="G528" t="s">
        <v>88</v>
      </c>
      <c r="H528" t="s">
        <v>168</v>
      </c>
      <c r="I528" t="str">
        <f t="shared" si="9"/>
        <v>487_1</v>
      </c>
      <c r="J528" t="s">
        <v>18</v>
      </c>
      <c r="K528" t="s">
        <v>115</v>
      </c>
      <c r="L528" t="str">
        <f>_xlfn.XLOOKUP(C528, Table2[Species],Table2[Genus], "Code Not Found")</f>
        <v>Acer</v>
      </c>
      <c r="M528" t="str">
        <f>_xlfn.XLOOKUP(C528, Table2[Species],Table2[Sp. Name], "Code Not Found")</f>
        <v>saccharum</v>
      </c>
      <c r="N528" t="str">
        <f>_xlfn.XLOOKUP(C528,Table2[Species],Table2[Family],"Code Not Found")</f>
        <v>Sapindaceae</v>
      </c>
      <c r="O528" t="str" cm="1">
        <f t="array" ref="O528">_xlfn.IFS(F528="","",F528&lt;=5,"0 to 5",F528&lt;=10,"5.1 to 10",F528&lt;=20,"10 to 20", F528&lt;= 40, "20 to 40", F528 &lt;= 50, "40 to 50", F528 &gt; 50, "&gt;50" )</f>
        <v>0 to 5</v>
      </c>
    </row>
    <row r="529" spans="1:15" ht="14.4" x14ac:dyDescent="0.3">
      <c r="A529" t="s">
        <v>114</v>
      </c>
      <c r="B529" s="1">
        <v>46176</v>
      </c>
      <c r="C529" t="s">
        <v>16</v>
      </c>
      <c r="D529">
        <v>488</v>
      </c>
      <c r="E529">
        <v>1</v>
      </c>
      <c r="F529">
        <v>2.7</v>
      </c>
      <c r="G529" t="s">
        <v>30</v>
      </c>
      <c r="H529" t="s">
        <v>99</v>
      </c>
      <c r="I529" t="str">
        <f t="shared" si="9"/>
        <v>488_1</v>
      </c>
      <c r="J529" t="s">
        <v>18</v>
      </c>
      <c r="K529" t="s">
        <v>115</v>
      </c>
      <c r="L529" t="str">
        <f>_xlfn.XLOOKUP(C529, Table2[Species],Table2[Genus], "Code Not Found")</f>
        <v>Acer</v>
      </c>
      <c r="M529" t="str">
        <f>_xlfn.XLOOKUP(C529, Table2[Species],Table2[Sp. Name], "Code Not Found")</f>
        <v>saccharum</v>
      </c>
      <c r="N529" t="str">
        <f>_xlfn.XLOOKUP(C529,Table2[Species],Table2[Family],"Code Not Found")</f>
        <v>Sapindaceae</v>
      </c>
      <c r="O529" t="str" cm="1">
        <f t="array" ref="O529">_xlfn.IFS(F529="","",F529&lt;=5,"0 to 5",F529&lt;=10,"5.1 to 10",F529&lt;=20,"10 to 20", F529&lt;= 40, "20 to 40", F529 &lt;= 50, "40 to 50", F529 &gt; 50, "&gt;50" )</f>
        <v>0 to 5</v>
      </c>
    </row>
    <row r="530" spans="1:15" ht="14.4" x14ac:dyDescent="0.3">
      <c r="A530" t="s">
        <v>114</v>
      </c>
      <c r="B530" s="1">
        <v>46176</v>
      </c>
      <c r="C530" t="s">
        <v>16</v>
      </c>
      <c r="D530">
        <v>489</v>
      </c>
      <c r="E530">
        <v>1</v>
      </c>
      <c r="F530">
        <v>4.9000000000000004</v>
      </c>
      <c r="G530" t="s">
        <v>21</v>
      </c>
      <c r="H530" t="s">
        <v>43</v>
      </c>
      <c r="I530" t="str">
        <f t="shared" si="9"/>
        <v>489_1</v>
      </c>
      <c r="J530" t="s">
        <v>18</v>
      </c>
      <c r="K530" t="s">
        <v>115</v>
      </c>
      <c r="L530" t="str">
        <f>_xlfn.XLOOKUP(C530, Table2[Species],Table2[Genus], "Code Not Found")</f>
        <v>Acer</v>
      </c>
      <c r="M530" t="str">
        <f>_xlfn.XLOOKUP(C530, Table2[Species],Table2[Sp. Name], "Code Not Found")</f>
        <v>saccharum</v>
      </c>
      <c r="N530" t="str">
        <f>_xlfn.XLOOKUP(C530,Table2[Species],Table2[Family],"Code Not Found")</f>
        <v>Sapindaceae</v>
      </c>
      <c r="O530" t="str" cm="1">
        <f t="array" ref="O530">_xlfn.IFS(F530="","",F530&lt;=5,"0 to 5",F530&lt;=10,"5.1 to 10",F530&lt;=20,"10 to 20", F530&lt;= 40, "20 to 40", F530 &lt;= 50, "40 to 50", F530 &gt; 50, "&gt;50" )</f>
        <v>0 to 5</v>
      </c>
    </row>
    <row r="531" spans="1:15" ht="14.4" x14ac:dyDescent="0.3">
      <c r="A531" t="s">
        <v>114</v>
      </c>
      <c r="B531" s="1">
        <v>46176</v>
      </c>
      <c r="C531" t="s">
        <v>16</v>
      </c>
      <c r="D531">
        <v>490</v>
      </c>
      <c r="E531">
        <v>1</v>
      </c>
      <c r="F531">
        <v>11.1</v>
      </c>
      <c r="G531" t="s">
        <v>30</v>
      </c>
      <c r="H531" t="s">
        <v>96</v>
      </c>
      <c r="I531" t="str">
        <f t="shared" si="9"/>
        <v>490_1</v>
      </c>
      <c r="J531" t="s">
        <v>18</v>
      </c>
      <c r="K531" t="s">
        <v>115</v>
      </c>
      <c r="L531" t="str">
        <f>_xlfn.XLOOKUP(C531, Table2[Species],Table2[Genus], "Code Not Found")</f>
        <v>Acer</v>
      </c>
      <c r="M531" t="str">
        <f>_xlfn.XLOOKUP(C531, Table2[Species],Table2[Sp. Name], "Code Not Found")</f>
        <v>saccharum</v>
      </c>
      <c r="N531" t="str">
        <f>_xlfn.XLOOKUP(C531,Table2[Species],Table2[Family],"Code Not Found")</f>
        <v>Sapindaceae</v>
      </c>
      <c r="O531" t="str" cm="1">
        <f t="array" ref="O531">_xlfn.IFS(F531="","",F531&lt;=5,"0 to 5",F531&lt;=10,"5.1 to 10",F531&lt;=20,"10 to 20", F531&lt;= 40, "20 to 40", F531 &lt;= 50, "40 to 50", F531 &gt; 50, "&gt;50" )</f>
        <v>10 to 20</v>
      </c>
    </row>
    <row r="532" spans="1:15" ht="14.4" x14ac:dyDescent="0.3">
      <c r="A532" t="s">
        <v>114</v>
      </c>
      <c r="B532" s="1">
        <v>46176</v>
      </c>
      <c r="C532" t="s">
        <v>16</v>
      </c>
      <c r="D532">
        <v>491</v>
      </c>
      <c r="E532">
        <v>1</v>
      </c>
      <c r="F532">
        <v>3.9</v>
      </c>
      <c r="G532" t="s">
        <v>21</v>
      </c>
      <c r="I532" t="str">
        <f t="shared" si="9"/>
        <v>491_1</v>
      </c>
      <c r="J532" t="s">
        <v>18</v>
      </c>
      <c r="K532" t="s">
        <v>115</v>
      </c>
      <c r="L532" t="str">
        <f>_xlfn.XLOOKUP(C532, Table2[Species],Table2[Genus], "Code Not Found")</f>
        <v>Acer</v>
      </c>
      <c r="M532" t="str">
        <f>_xlfn.XLOOKUP(C532, Table2[Species],Table2[Sp. Name], "Code Not Found")</f>
        <v>saccharum</v>
      </c>
      <c r="N532" t="str">
        <f>_xlfn.XLOOKUP(C532,Table2[Species],Table2[Family],"Code Not Found")</f>
        <v>Sapindaceae</v>
      </c>
      <c r="O532" t="str" cm="1">
        <f t="array" ref="O532">_xlfn.IFS(F532="","",F532&lt;=5,"0 to 5",F532&lt;=10,"5.1 to 10",F532&lt;=20,"10 to 20", F532&lt;= 40, "20 to 40", F532 &lt;= 50, "40 to 50", F532 &gt; 50, "&gt;50" )</f>
        <v>0 to 5</v>
      </c>
    </row>
    <row r="533" spans="1:15" ht="14.4" x14ac:dyDescent="0.3">
      <c r="A533" t="s">
        <v>114</v>
      </c>
      <c r="B533" s="1">
        <v>46176</v>
      </c>
      <c r="C533" t="s">
        <v>16</v>
      </c>
      <c r="D533">
        <v>492</v>
      </c>
      <c r="E533">
        <v>1</v>
      </c>
      <c r="F533">
        <v>2.2999999999999998</v>
      </c>
      <c r="G533" t="s">
        <v>17</v>
      </c>
      <c r="I533" t="str">
        <f t="shared" si="9"/>
        <v>492_1</v>
      </c>
      <c r="J533" t="s">
        <v>18</v>
      </c>
      <c r="K533" t="s">
        <v>115</v>
      </c>
      <c r="L533" t="str">
        <f>_xlfn.XLOOKUP(C533, Table2[Species],Table2[Genus], "Code Not Found")</f>
        <v>Acer</v>
      </c>
      <c r="M533" t="str">
        <f>_xlfn.XLOOKUP(C533, Table2[Species],Table2[Sp. Name], "Code Not Found")</f>
        <v>saccharum</v>
      </c>
      <c r="N533" t="str">
        <f>_xlfn.XLOOKUP(C533,Table2[Species],Table2[Family],"Code Not Found")</f>
        <v>Sapindaceae</v>
      </c>
      <c r="O533" t="str" cm="1">
        <f t="array" ref="O533">_xlfn.IFS(F533="","",F533&lt;=5,"0 to 5",F533&lt;=10,"5.1 to 10",F533&lt;=20,"10 to 20", F533&lt;= 40, "20 to 40", F533 &lt;= 50, "40 to 50", F533 &gt; 50, "&gt;50" )</f>
        <v>0 to 5</v>
      </c>
    </row>
    <row r="534" spans="1:15" ht="14.4" x14ac:dyDescent="0.3">
      <c r="A534" t="s">
        <v>114</v>
      </c>
      <c r="B534" s="1">
        <v>46176</v>
      </c>
      <c r="C534" t="s">
        <v>22</v>
      </c>
      <c r="D534">
        <v>493</v>
      </c>
      <c r="E534">
        <v>1</v>
      </c>
      <c r="F534">
        <v>8.3000000000000007</v>
      </c>
      <c r="G534" t="s">
        <v>103</v>
      </c>
      <c r="I534" t="str">
        <f t="shared" si="9"/>
        <v>493_1</v>
      </c>
      <c r="J534" t="s">
        <v>18</v>
      </c>
      <c r="K534" t="s">
        <v>115</v>
      </c>
      <c r="L534" t="str">
        <f>_xlfn.XLOOKUP(C534, Table2[Species],Table2[Genus], "Code Not Found")</f>
        <v>Acer</v>
      </c>
      <c r="M534" t="str">
        <f>_xlfn.XLOOKUP(C534, Table2[Species],Table2[Sp. Name], "Code Not Found")</f>
        <v>rubrum</v>
      </c>
      <c r="N534" t="str">
        <f>_xlfn.XLOOKUP(C534,Table2[Species],Table2[Family],"Code Not Found")</f>
        <v>Sapindaceae</v>
      </c>
      <c r="O534" t="str" cm="1">
        <f t="array" ref="O534">_xlfn.IFS(F534="","",F534&lt;=5,"0 to 5",F534&lt;=10,"5.1 to 10",F534&lt;=20,"10 to 20", F534&lt;= 40, "20 to 40", F534 &lt;= 50, "40 to 50", F534 &gt; 50, "&gt;50" )</f>
        <v>5.1 to 10</v>
      </c>
    </row>
    <row r="535" spans="1:15" ht="14.4" x14ac:dyDescent="0.3">
      <c r="A535" t="s">
        <v>114</v>
      </c>
      <c r="B535" s="1">
        <v>46176</v>
      </c>
      <c r="C535" t="s">
        <v>64</v>
      </c>
      <c r="D535">
        <v>494</v>
      </c>
      <c r="E535">
        <v>1</v>
      </c>
      <c r="F535">
        <v>1.7</v>
      </c>
      <c r="G535" t="s">
        <v>17</v>
      </c>
      <c r="I535" t="str">
        <f t="shared" si="9"/>
        <v>494_1</v>
      </c>
      <c r="J535" t="s">
        <v>18</v>
      </c>
      <c r="K535" t="s">
        <v>115</v>
      </c>
      <c r="L535" t="str">
        <f>_xlfn.XLOOKUP(C535, Table2[Species],Table2[Genus], "Code Not Found")</f>
        <v>Fagus</v>
      </c>
      <c r="M535" t="str">
        <f>_xlfn.XLOOKUP(C535, Table2[Species],Table2[Sp. Name], "Code Not Found")</f>
        <v>grandifolia</v>
      </c>
      <c r="N535" t="str">
        <f>_xlfn.XLOOKUP(C535,Table2[Species],Table2[Family],"Code Not Found")</f>
        <v>Fagaceae</v>
      </c>
      <c r="O535" t="str" cm="1">
        <f t="array" ref="O535">_xlfn.IFS(F535="","",F535&lt;=5,"0 to 5",F535&lt;=10,"5.1 to 10",F535&lt;=20,"10 to 20", F535&lt;= 40, "20 to 40", F535 &lt;= 50, "40 to 50", F535 &gt; 50, "&gt;50" )</f>
        <v>0 to 5</v>
      </c>
    </row>
    <row r="536" spans="1:15" ht="14.4" x14ac:dyDescent="0.3">
      <c r="A536" t="s">
        <v>114</v>
      </c>
      <c r="B536" s="1">
        <v>46176</v>
      </c>
      <c r="C536" t="s">
        <v>64</v>
      </c>
      <c r="D536">
        <v>495</v>
      </c>
      <c r="E536">
        <v>1</v>
      </c>
      <c r="F536">
        <v>6.6</v>
      </c>
      <c r="G536" t="s">
        <v>17</v>
      </c>
      <c r="I536" t="str">
        <f t="shared" si="9"/>
        <v>495_1</v>
      </c>
      <c r="J536" t="s">
        <v>18</v>
      </c>
      <c r="K536" t="s">
        <v>115</v>
      </c>
      <c r="L536" t="str">
        <f>_xlfn.XLOOKUP(C536, Table2[Species],Table2[Genus], "Code Not Found")</f>
        <v>Fagus</v>
      </c>
      <c r="M536" t="str">
        <f>_xlfn.XLOOKUP(C536, Table2[Species],Table2[Sp. Name], "Code Not Found")</f>
        <v>grandifolia</v>
      </c>
      <c r="N536" t="str">
        <f>_xlfn.XLOOKUP(C536,Table2[Species],Table2[Family],"Code Not Found")</f>
        <v>Fagaceae</v>
      </c>
      <c r="O536" t="str" cm="1">
        <f t="array" ref="O536">_xlfn.IFS(F536="","",F536&lt;=5,"0 to 5",F536&lt;=10,"5.1 to 10",F536&lt;=20,"10 to 20", F536&lt;= 40, "20 to 40", F536 &lt;= 50, "40 to 50", F536 &gt; 50, "&gt;50" )</f>
        <v>5.1 to 10</v>
      </c>
    </row>
    <row r="537" spans="1:15" ht="14.4" x14ac:dyDescent="0.3">
      <c r="A537" t="s">
        <v>114</v>
      </c>
      <c r="B537" s="1">
        <v>46176</v>
      </c>
      <c r="C537" t="s">
        <v>64</v>
      </c>
      <c r="D537">
        <v>496</v>
      </c>
      <c r="E537">
        <v>1</v>
      </c>
      <c r="F537">
        <v>7.8</v>
      </c>
      <c r="G537" t="s">
        <v>17</v>
      </c>
      <c r="H537" t="s">
        <v>169</v>
      </c>
      <c r="I537" t="str">
        <f t="shared" si="9"/>
        <v>496_1</v>
      </c>
      <c r="J537" t="s">
        <v>18</v>
      </c>
      <c r="K537" t="s">
        <v>115</v>
      </c>
      <c r="L537" t="str">
        <f>_xlfn.XLOOKUP(C537, Table2[Species],Table2[Genus], "Code Not Found")</f>
        <v>Fagus</v>
      </c>
      <c r="M537" t="str">
        <f>_xlfn.XLOOKUP(C537, Table2[Species],Table2[Sp. Name], "Code Not Found")</f>
        <v>grandifolia</v>
      </c>
      <c r="N537" t="str">
        <f>_xlfn.XLOOKUP(C537,Table2[Species],Table2[Family],"Code Not Found")</f>
        <v>Fagaceae</v>
      </c>
      <c r="O537" t="str" cm="1">
        <f t="array" ref="O537">_xlfn.IFS(F537="","",F537&lt;=5,"0 to 5",F537&lt;=10,"5.1 to 10",F537&lt;=20,"10 to 20", F537&lt;= 40, "20 to 40", F537 &lt;= 50, "40 to 50", F537 &gt; 50, "&gt;50" )</f>
        <v>5.1 to 10</v>
      </c>
    </row>
    <row r="538" spans="1:15" ht="14.4" x14ac:dyDescent="0.3">
      <c r="A538" t="s">
        <v>114</v>
      </c>
      <c r="B538" s="1">
        <v>46176</v>
      </c>
      <c r="C538" t="s">
        <v>64</v>
      </c>
      <c r="D538">
        <v>497</v>
      </c>
      <c r="E538">
        <v>1</v>
      </c>
      <c r="F538">
        <v>12.5</v>
      </c>
      <c r="G538" t="s">
        <v>170</v>
      </c>
      <c r="H538" t="s">
        <v>171</v>
      </c>
      <c r="I538" t="str">
        <f t="shared" si="9"/>
        <v>497_1</v>
      </c>
      <c r="J538" t="s">
        <v>18</v>
      </c>
      <c r="K538" t="s">
        <v>115</v>
      </c>
      <c r="L538" t="str">
        <f>_xlfn.XLOOKUP(C538, Table2[Species],Table2[Genus], "Code Not Found")</f>
        <v>Fagus</v>
      </c>
      <c r="M538" t="str">
        <f>_xlfn.XLOOKUP(C538, Table2[Species],Table2[Sp. Name], "Code Not Found")</f>
        <v>grandifolia</v>
      </c>
      <c r="N538" t="str">
        <f>_xlfn.XLOOKUP(C538,Table2[Species],Table2[Family],"Code Not Found")</f>
        <v>Fagaceae</v>
      </c>
      <c r="O538" t="str" cm="1">
        <f t="array" ref="O538">_xlfn.IFS(F538="","",F538&lt;=5,"0 to 5",F538&lt;=10,"5.1 to 10",F538&lt;=20,"10 to 20", F538&lt;= 40, "20 to 40", F538 &lt;= 50, "40 to 50", F538 &gt; 50, "&gt;50" )</f>
        <v>10 to 20</v>
      </c>
    </row>
    <row r="539" spans="1:15" ht="14.4" x14ac:dyDescent="0.3">
      <c r="A539" t="s">
        <v>114</v>
      </c>
      <c r="B539" s="1">
        <v>46176</v>
      </c>
      <c r="C539" t="s">
        <v>129</v>
      </c>
      <c r="D539">
        <v>498</v>
      </c>
      <c r="E539">
        <v>1</v>
      </c>
      <c r="F539">
        <v>106.2</v>
      </c>
      <c r="G539" t="s">
        <v>17</v>
      </c>
      <c r="I539" t="str">
        <f t="shared" si="9"/>
        <v>498_1</v>
      </c>
      <c r="J539" t="s">
        <v>18</v>
      </c>
      <c r="K539" t="s">
        <v>115</v>
      </c>
      <c r="L539" t="str">
        <f>_xlfn.XLOOKUP(C539, Table2[Species],Table2[Genus], "Code Not Found")</f>
        <v>Quercus</v>
      </c>
      <c r="M539" t="str">
        <f>_xlfn.XLOOKUP(C539, Table2[Species],Table2[Sp. Name], "Code Not Found")</f>
        <v>alba</v>
      </c>
      <c r="N539" t="str">
        <f>_xlfn.XLOOKUP(C539,Table2[Species],Table2[Family],"Code Not Found")</f>
        <v>Fagaceae</v>
      </c>
      <c r="O539" t="str" cm="1">
        <f t="array" ref="O539">_xlfn.IFS(F539="","",F539&lt;=5,"0 to 5",F539&lt;=10,"5.1 to 10",F539&lt;=20,"10 to 20", F539&lt;= 40, "20 to 40", F539 &lt;= 50, "40 to 50", F539 &gt; 50, "&gt;50" )</f>
        <v>&gt;50</v>
      </c>
    </row>
    <row r="540" spans="1:15" ht="14.4" x14ac:dyDescent="0.3">
      <c r="A540" t="s">
        <v>114</v>
      </c>
      <c r="B540" s="1">
        <v>46176</v>
      </c>
      <c r="C540" t="s">
        <v>16</v>
      </c>
      <c r="D540">
        <v>499</v>
      </c>
      <c r="E540">
        <v>1</v>
      </c>
      <c r="F540">
        <v>25.3</v>
      </c>
      <c r="G540" t="s">
        <v>17</v>
      </c>
      <c r="I540" t="str">
        <f t="shared" si="9"/>
        <v>499_1</v>
      </c>
      <c r="J540" t="s">
        <v>18</v>
      </c>
      <c r="K540" t="s">
        <v>115</v>
      </c>
      <c r="L540" t="str">
        <f>_xlfn.XLOOKUP(C540, Table2[Species],Table2[Genus], "Code Not Found")</f>
        <v>Acer</v>
      </c>
      <c r="M540" t="str">
        <f>_xlfn.XLOOKUP(C540, Table2[Species],Table2[Sp. Name], "Code Not Found")</f>
        <v>saccharum</v>
      </c>
      <c r="N540" t="str">
        <f>_xlfn.XLOOKUP(C540,Table2[Species],Table2[Family],"Code Not Found")</f>
        <v>Sapindaceae</v>
      </c>
      <c r="O540" t="str" cm="1">
        <f t="array" ref="O540">_xlfn.IFS(F540="","",F540&lt;=5,"0 to 5",F540&lt;=10,"5.1 to 10",F540&lt;=20,"10 to 20", F540&lt;= 40, "20 to 40", F540 &lt;= 50, "40 to 50", F540 &gt; 50, "&gt;50" )</f>
        <v>20 to 40</v>
      </c>
    </row>
    <row r="541" spans="1:15" ht="14.4" x14ac:dyDescent="0.3">
      <c r="A541" t="s">
        <v>114</v>
      </c>
      <c r="B541" s="1">
        <v>46176</v>
      </c>
      <c r="C541" t="s">
        <v>64</v>
      </c>
      <c r="D541">
        <v>500</v>
      </c>
      <c r="E541">
        <v>1</v>
      </c>
      <c r="F541">
        <v>7.6</v>
      </c>
      <c r="G541" t="s">
        <v>17</v>
      </c>
      <c r="I541" t="str">
        <f t="shared" si="9"/>
        <v>500_1</v>
      </c>
      <c r="J541" t="s">
        <v>18</v>
      </c>
      <c r="K541" t="s">
        <v>115</v>
      </c>
      <c r="L541" t="str">
        <f>_xlfn.XLOOKUP(C541, Table2[Species],Table2[Genus], "Code Not Found")</f>
        <v>Fagus</v>
      </c>
      <c r="M541" t="str">
        <f>_xlfn.XLOOKUP(C541, Table2[Species],Table2[Sp. Name], "Code Not Found")</f>
        <v>grandifolia</v>
      </c>
      <c r="N541" t="str">
        <f>_xlfn.XLOOKUP(C541,Table2[Species],Table2[Family],"Code Not Found")</f>
        <v>Fagaceae</v>
      </c>
      <c r="O541" t="str" cm="1">
        <f t="array" ref="O541">_xlfn.IFS(F541="","",F541&lt;=5,"0 to 5",F541&lt;=10,"5.1 to 10",F541&lt;=20,"10 to 20", F541&lt;= 40, "20 to 40", F541 &lt;= 50, "40 to 50", F541 &gt; 50, "&gt;50" )</f>
        <v>5.1 to 10</v>
      </c>
    </row>
    <row r="542" spans="1:15" ht="14.4" x14ac:dyDescent="0.3">
      <c r="A542" t="s">
        <v>114</v>
      </c>
      <c r="B542" s="1">
        <v>46176</v>
      </c>
      <c r="C542" t="s">
        <v>64</v>
      </c>
      <c r="D542">
        <v>501</v>
      </c>
      <c r="E542">
        <v>1</v>
      </c>
      <c r="F542">
        <v>9.6</v>
      </c>
      <c r="G542" t="s">
        <v>30</v>
      </c>
      <c r="H542" t="s">
        <v>99</v>
      </c>
      <c r="I542" t="str">
        <f t="shared" si="9"/>
        <v>501_1</v>
      </c>
      <c r="J542" t="s">
        <v>18</v>
      </c>
      <c r="K542" t="s">
        <v>115</v>
      </c>
      <c r="L542" t="str">
        <f>_xlfn.XLOOKUP(C542, Table2[Species],Table2[Genus], "Code Not Found")</f>
        <v>Fagus</v>
      </c>
      <c r="M542" t="str">
        <f>_xlfn.XLOOKUP(C542, Table2[Species],Table2[Sp. Name], "Code Not Found")</f>
        <v>grandifolia</v>
      </c>
      <c r="N542" t="str">
        <f>_xlfn.XLOOKUP(C542,Table2[Species],Table2[Family],"Code Not Found")</f>
        <v>Fagaceae</v>
      </c>
      <c r="O542" t="str" cm="1">
        <f t="array" ref="O542">_xlfn.IFS(F542="","",F542&lt;=5,"0 to 5",F542&lt;=10,"5.1 to 10",F542&lt;=20,"10 to 20", F542&lt;= 40, "20 to 40", F542 &lt;= 50, "40 to 50", F542 &gt; 50, "&gt;50" )</f>
        <v>5.1 to 10</v>
      </c>
    </row>
    <row r="543" spans="1:15" ht="14.4" x14ac:dyDescent="0.3">
      <c r="A543" t="s">
        <v>114</v>
      </c>
      <c r="B543" s="1">
        <v>46176</v>
      </c>
      <c r="C543" t="s">
        <v>64</v>
      </c>
      <c r="D543">
        <v>502</v>
      </c>
      <c r="E543">
        <v>1</v>
      </c>
      <c r="F543">
        <v>2.2000000000000002</v>
      </c>
      <c r="G543" t="s">
        <v>32</v>
      </c>
      <c r="H543" t="s">
        <v>43</v>
      </c>
      <c r="I543" t="str">
        <f t="shared" si="9"/>
        <v>502_1</v>
      </c>
      <c r="J543" t="s">
        <v>18</v>
      </c>
      <c r="K543" t="s">
        <v>115</v>
      </c>
      <c r="L543" t="str">
        <f>_xlfn.XLOOKUP(C543, Table2[Species],Table2[Genus], "Code Not Found")</f>
        <v>Fagus</v>
      </c>
      <c r="M543" t="str">
        <f>_xlfn.XLOOKUP(C543, Table2[Species],Table2[Sp. Name], "Code Not Found")</f>
        <v>grandifolia</v>
      </c>
      <c r="N543" t="str">
        <f>_xlfn.XLOOKUP(C543,Table2[Species],Table2[Family],"Code Not Found")</f>
        <v>Fagaceae</v>
      </c>
      <c r="O543" t="str" cm="1">
        <f t="array" ref="O543">_xlfn.IFS(F543="","",F543&lt;=5,"0 to 5",F543&lt;=10,"5.1 to 10",F543&lt;=20,"10 to 20", F543&lt;= 40, "20 to 40", F543 &lt;= 50, "40 to 50", F543 &gt; 50, "&gt;50" )</f>
        <v>0 to 5</v>
      </c>
    </row>
    <row r="544" spans="1:15" ht="14.4" x14ac:dyDescent="0.3">
      <c r="A544" t="s">
        <v>114</v>
      </c>
      <c r="B544" s="1">
        <v>46176</v>
      </c>
      <c r="C544" t="s">
        <v>64</v>
      </c>
      <c r="D544">
        <v>502</v>
      </c>
      <c r="E544">
        <v>2</v>
      </c>
      <c r="F544">
        <v>1.2</v>
      </c>
      <c r="G544" t="s">
        <v>32</v>
      </c>
      <c r="H544" t="s">
        <v>43</v>
      </c>
      <c r="I544" t="str">
        <f t="shared" si="9"/>
        <v>502_2</v>
      </c>
      <c r="J544" t="s">
        <v>18</v>
      </c>
      <c r="K544" t="s">
        <v>115</v>
      </c>
      <c r="L544" t="str">
        <f>_xlfn.XLOOKUP(C544, Table2[Species],Table2[Genus], "Code Not Found")</f>
        <v>Fagus</v>
      </c>
      <c r="M544" t="str">
        <f>_xlfn.XLOOKUP(C544, Table2[Species],Table2[Sp. Name], "Code Not Found")</f>
        <v>grandifolia</v>
      </c>
      <c r="N544" t="str">
        <f>_xlfn.XLOOKUP(C544,Table2[Species],Table2[Family],"Code Not Found")</f>
        <v>Fagaceae</v>
      </c>
      <c r="O544" t="str" cm="1">
        <f t="array" ref="O544">_xlfn.IFS(F544="","",F544&lt;=5,"0 to 5",F544&lt;=10,"5.1 to 10",F544&lt;=20,"10 to 20", F544&lt;= 40, "20 to 40", F544 &lt;= 50, "40 to 50", F544 &gt; 50, "&gt;50" )</f>
        <v>0 to 5</v>
      </c>
    </row>
    <row r="545" spans="1:15" ht="14.4" x14ac:dyDescent="0.3">
      <c r="A545" t="s">
        <v>114</v>
      </c>
      <c r="B545" s="1">
        <v>46176</v>
      </c>
      <c r="C545" t="s">
        <v>64</v>
      </c>
      <c r="D545">
        <v>503</v>
      </c>
      <c r="E545">
        <v>1</v>
      </c>
      <c r="F545">
        <v>4.4000000000000004</v>
      </c>
      <c r="G545" t="s">
        <v>88</v>
      </c>
      <c r="H545" t="s">
        <v>99</v>
      </c>
      <c r="I545" t="str">
        <f t="shared" si="9"/>
        <v>503_1</v>
      </c>
      <c r="J545" t="s">
        <v>18</v>
      </c>
      <c r="K545" t="s">
        <v>115</v>
      </c>
      <c r="L545" t="str">
        <f>_xlfn.XLOOKUP(C545, Table2[Species],Table2[Genus], "Code Not Found")</f>
        <v>Fagus</v>
      </c>
      <c r="M545" t="str">
        <f>_xlfn.XLOOKUP(C545, Table2[Species],Table2[Sp. Name], "Code Not Found")</f>
        <v>grandifolia</v>
      </c>
      <c r="N545" t="str">
        <f>_xlfn.XLOOKUP(C545,Table2[Species],Table2[Family],"Code Not Found")</f>
        <v>Fagaceae</v>
      </c>
      <c r="O545" t="str" cm="1">
        <f t="array" ref="O545">_xlfn.IFS(F545="","",F545&lt;=5,"0 to 5",F545&lt;=10,"5.1 to 10",F545&lt;=20,"10 to 20", F545&lt;= 40, "20 to 40", F545 &lt;= 50, "40 to 50", F545 &gt; 50, "&gt;50" )</f>
        <v>0 to 5</v>
      </c>
    </row>
    <row r="546" spans="1:15" ht="14.4" x14ac:dyDescent="0.3">
      <c r="A546" t="s">
        <v>114</v>
      </c>
      <c r="B546" s="1">
        <v>46176</v>
      </c>
      <c r="C546" t="s">
        <v>16</v>
      </c>
      <c r="D546">
        <v>504</v>
      </c>
      <c r="E546">
        <v>1</v>
      </c>
      <c r="F546">
        <v>21.5</v>
      </c>
      <c r="G546" t="s">
        <v>17</v>
      </c>
      <c r="I546" t="str">
        <f t="shared" si="9"/>
        <v>504_1</v>
      </c>
      <c r="J546" t="s">
        <v>18</v>
      </c>
      <c r="K546" t="s">
        <v>115</v>
      </c>
      <c r="L546" t="str">
        <f>_xlfn.XLOOKUP(C546, Table2[Species],Table2[Genus], "Code Not Found")</f>
        <v>Acer</v>
      </c>
      <c r="M546" t="str">
        <f>_xlfn.XLOOKUP(C546, Table2[Species],Table2[Sp. Name], "Code Not Found")</f>
        <v>saccharum</v>
      </c>
      <c r="N546" t="str">
        <f>_xlfn.XLOOKUP(C546,Table2[Species],Table2[Family],"Code Not Found")</f>
        <v>Sapindaceae</v>
      </c>
      <c r="O546" t="str" cm="1">
        <f t="array" ref="O546">_xlfn.IFS(F546="","",F546&lt;=5,"0 to 5",F546&lt;=10,"5.1 to 10",F546&lt;=20,"10 to 20", F546&lt;= 40, "20 to 40", F546 &lt;= 50, "40 to 50", F546 &gt; 50, "&gt;50" )</f>
        <v>20 to 40</v>
      </c>
    </row>
    <row r="547" spans="1:15" ht="14.4" x14ac:dyDescent="0.3">
      <c r="A547" t="s">
        <v>114</v>
      </c>
      <c r="B547" s="1">
        <v>46176</v>
      </c>
      <c r="C547" t="s">
        <v>64</v>
      </c>
      <c r="D547">
        <v>505</v>
      </c>
      <c r="E547">
        <v>1</v>
      </c>
      <c r="F547">
        <v>10.1</v>
      </c>
      <c r="G547" t="s">
        <v>32</v>
      </c>
      <c r="H547" t="s">
        <v>172</v>
      </c>
      <c r="I547" t="str">
        <f t="shared" si="9"/>
        <v>505_1</v>
      </c>
      <c r="J547" t="s">
        <v>18</v>
      </c>
      <c r="K547" t="s">
        <v>115</v>
      </c>
      <c r="L547" t="str">
        <f>_xlfn.XLOOKUP(C547, Table2[Species],Table2[Genus], "Code Not Found")</f>
        <v>Fagus</v>
      </c>
      <c r="M547" t="str">
        <f>_xlfn.XLOOKUP(C547, Table2[Species],Table2[Sp. Name], "Code Not Found")</f>
        <v>grandifolia</v>
      </c>
      <c r="N547" t="str">
        <f>_xlfn.XLOOKUP(C547,Table2[Species],Table2[Family],"Code Not Found")</f>
        <v>Fagaceae</v>
      </c>
      <c r="O547" t="str" cm="1">
        <f t="array" ref="O547">_xlfn.IFS(F547="","",F547&lt;=5,"0 to 5",F547&lt;=10,"5.1 to 10",F547&lt;=20,"10 to 20", F547&lt;= 40, "20 to 40", F547 &lt;= 50, "40 to 50", F547 &gt; 50, "&gt;50" )</f>
        <v>10 to 20</v>
      </c>
    </row>
    <row r="548" spans="1:15" ht="14.4" x14ac:dyDescent="0.3">
      <c r="A548" t="s">
        <v>114</v>
      </c>
      <c r="B548" s="1">
        <v>46176</v>
      </c>
      <c r="C548" t="s">
        <v>64</v>
      </c>
      <c r="D548">
        <v>505</v>
      </c>
      <c r="E548">
        <v>2</v>
      </c>
      <c r="F548">
        <v>3.7</v>
      </c>
      <c r="G548" t="s">
        <v>32</v>
      </c>
      <c r="H548" t="s">
        <v>43</v>
      </c>
      <c r="I548" t="str">
        <f>D548&amp;"_"&amp;E548</f>
        <v>505_2</v>
      </c>
      <c r="J548" t="s">
        <v>18</v>
      </c>
      <c r="K548" t="s">
        <v>115</v>
      </c>
      <c r="L548" t="str">
        <f>_xlfn.XLOOKUP(C548, Table2[Species],Table2[Genus], "Code Not Found")</f>
        <v>Fagus</v>
      </c>
      <c r="M548" t="str">
        <f>_xlfn.XLOOKUP(C548, Table2[Species],Table2[Sp. Name], "Code Not Found")</f>
        <v>grandifolia</v>
      </c>
      <c r="N548" t="str">
        <f>_xlfn.XLOOKUP(C548,Table2[Species],Table2[Family],"Code Not Found")</f>
        <v>Fagaceae</v>
      </c>
      <c r="O548" t="str" cm="1">
        <f t="array" ref="O548">_xlfn.IFS(F548="","",F548&lt;=5,"0 to 5",F548&lt;=10,"5.1 to 10",F548&lt;=20,"10 to 20", F548&lt;= 40, "20 to 40", F548 &lt;= 50, "40 to 50", F548 &gt; 50, "&gt;50" )</f>
        <v>0 to 5</v>
      </c>
    </row>
    <row r="549" spans="1:15" ht="14.4" x14ac:dyDescent="0.3">
      <c r="A549" t="s">
        <v>114</v>
      </c>
      <c r="B549" s="1">
        <v>46176</v>
      </c>
      <c r="C549" t="s">
        <v>16</v>
      </c>
      <c r="D549">
        <v>506</v>
      </c>
      <c r="E549">
        <v>1</v>
      </c>
      <c r="F549">
        <v>14.1</v>
      </c>
      <c r="G549" t="s">
        <v>17</v>
      </c>
      <c r="I549" t="str">
        <f t="shared" ref="I549:I612" si="10">D549&amp;"_"&amp;E549</f>
        <v>506_1</v>
      </c>
      <c r="J549" t="s">
        <v>18</v>
      </c>
      <c r="K549" t="s">
        <v>115</v>
      </c>
      <c r="L549" t="str">
        <f>_xlfn.XLOOKUP(C549, Table2[Species],Table2[Genus], "Code Not Found")</f>
        <v>Acer</v>
      </c>
      <c r="M549" t="str">
        <f>_xlfn.XLOOKUP(C549, Table2[Species],Table2[Sp. Name], "Code Not Found")</f>
        <v>saccharum</v>
      </c>
      <c r="N549" t="str">
        <f>_xlfn.XLOOKUP(C549,Table2[Species],Table2[Family],"Code Not Found")</f>
        <v>Sapindaceae</v>
      </c>
      <c r="O549" t="str" cm="1">
        <f t="array" ref="O549">_xlfn.IFS(F549="","",F549&lt;=5,"0 to 5",F549&lt;=10,"5.1 to 10",F549&lt;=20,"10 to 20", F549&lt;= 40, "20 to 40", F549 &lt;= 50, "40 to 50", F549 &gt; 50, "&gt;50" )</f>
        <v>10 to 20</v>
      </c>
    </row>
    <row r="550" spans="1:15" ht="14.4" x14ac:dyDescent="0.3">
      <c r="A550" t="s">
        <v>114</v>
      </c>
      <c r="B550" s="1">
        <v>46176</v>
      </c>
      <c r="C550" t="s">
        <v>16</v>
      </c>
      <c r="D550">
        <v>507</v>
      </c>
      <c r="E550">
        <v>1</v>
      </c>
      <c r="F550">
        <v>7.8</v>
      </c>
      <c r="G550" t="s">
        <v>21</v>
      </c>
      <c r="I550" t="str">
        <f t="shared" si="10"/>
        <v>507_1</v>
      </c>
      <c r="J550" t="s">
        <v>18</v>
      </c>
      <c r="K550" t="s">
        <v>115</v>
      </c>
      <c r="L550" t="str">
        <f>_xlfn.XLOOKUP(C550, Table2[Species],Table2[Genus], "Code Not Found")</f>
        <v>Acer</v>
      </c>
      <c r="M550" t="str">
        <f>_xlfn.XLOOKUP(C550, Table2[Species],Table2[Sp. Name], "Code Not Found")</f>
        <v>saccharum</v>
      </c>
      <c r="N550" t="str">
        <f>_xlfn.XLOOKUP(C550,Table2[Species],Table2[Family],"Code Not Found")</f>
        <v>Sapindaceae</v>
      </c>
      <c r="O550" t="str" cm="1">
        <f t="array" ref="O550">_xlfn.IFS(F550="","",F550&lt;=5,"0 to 5",F550&lt;=10,"5.1 to 10",F550&lt;=20,"10 to 20", F550&lt;= 40, "20 to 40", F550 &lt;= 50, "40 to 50", F550 &gt; 50, "&gt;50" )</f>
        <v>5.1 to 10</v>
      </c>
    </row>
    <row r="551" spans="1:15" ht="14.4" x14ac:dyDescent="0.3">
      <c r="A551" t="s">
        <v>114</v>
      </c>
      <c r="B551" s="1">
        <v>46176</v>
      </c>
      <c r="C551" t="s">
        <v>22</v>
      </c>
      <c r="D551">
        <v>508</v>
      </c>
      <c r="E551">
        <v>1</v>
      </c>
      <c r="F551">
        <v>12.8</v>
      </c>
      <c r="G551" t="s">
        <v>17</v>
      </c>
      <c r="I551" t="str">
        <f t="shared" si="10"/>
        <v>508_1</v>
      </c>
      <c r="J551" t="s">
        <v>18</v>
      </c>
      <c r="K551" t="s">
        <v>115</v>
      </c>
      <c r="L551" t="str">
        <f>_xlfn.XLOOKUP(C551, Table2[Species],Table2[Genus], "Code Not Found")</f>
        <v>Acer</v>
      </c>
      <c r="M551" t="str">
        <f>_xlfn.XLOOKUP(C551, Table2[Species],Table2[Sp. Name], "Code Not Found")</f>
        <v>rubrum</v>
      </c>
      <c r="N551" t="str">
        <f>_xlfn.XLOOKUP(C551,Table2[Species],Table2[Family],"Code Not Found")</f>
        <v>Sapindaceae</v>
      </c>
      <c r="O551" t="str" cm="1">
        <f t="array" ref="O551">_xlfn.IFS(F551="","",F551&lt;=5,"0 to 5",F551&lt;=10,"5.1 to 10",F551&lt;=20,"10 to 20", F551&lt;= 40, "20 to 40", F551 &lt;= 50, "40 to 50", F551 &gt; 50, "&gt;50" )</f>
        <v>10 to 20</v>
      </c>
    </row>
    <row r="552" spans="1:15" ht="14.4" x14ac:dyDescent="0.3">
      <c r="A552" t="s">
        <v>114</v>
      </c>
      <c r="B552" s="1">
        <v>46176</v>
      </c>
      <c r="C552" t="s">
        <v>16</v>
      </c>
      <c r="D552">
        <v>509</v>
      </c>
      <c r="E552">
        <v>1</v>
      </c>
      <c r="F552">
        <v>5.5</v>
      </c>
      <c r="G552" t="s">
        <v>21</v>
      </c>
      <c r="I552" t="str">
        <f t="shared" si="10"/>
        <v>509_1</v>
      </c>
      <c r="J552" t="s">
        <v>18</v>
      </c>
      <c r="K552" t="s">
        <v>115</v>
      </c>
      <c r="L552" t="str">
        <f>_xlfn.XLOOKUP(C552, Table2[Species],Table2[Genus], "Code Not Found")</f>
        <v>Acer</v>
      </c>
      <c r="M552" t="str">
        <f>_xlfn.XLOOKUP(C552, Table2[Species],Table2[Sp. Name], "Code Not Found")</f>
        <v>saccharum</v>
      </c>
      <c r="N552" t="str">
        <f>_xlfn.XLOOKUP(C552,Table2[Species],Table2[Family],"Code Not Found")</f>
        <v>Sapindaceae</v>
      </c>
      <c r="O552" t="str" cm="1">
        <f t="array" ref="O552">_xlfn.IFS(F552="","",F552&lt;=5,"0 to 5",F552&lt;=10,"5.1 to 10",F552&lt;=20,"10 to 20", F552&lt;= 40, "20 to 40", F552 &lt;= 50, "40 to 50", F552 &gt; 50, "&gt;50" )</f>
        <v>5.1 to 10</v>
      </c>
    </row>
    <row r="553" spans="1:15" ht="14.4" x14ac:dyDescent="0.3">
      <c r="A553" t="s">
        <v>114</v>
      </c>
      <c r="B553" s="1">
        <v>46176</v>
      </c>
      <c r="C553" t="s">
        <v>16</v>
      </c>
      <c r="D553">
        <v>510</v>
      </c>
      <c r="E553">
        <v>1</v>
      </c>
      <c r="F553">
        <v>11</v>
      </c>
      <c r="G553" t="s">
        <v>17</v>
      </c>
      <c r="I553" t="str">
        <f t="shared" si="10"/>
        <v>510_1</v>
      </c>
      <c r="J553" t="s">
        <v>18</v>
      </c>
      <c r="K553" t="s">
        <v>115</v>
      </c>
      <c r="L553" t="str">
        <f>_xlfn.XLOOKUP(C553, Table2[Species],Table2[Genus], "Code Not Found")</f>
        <v>Acer</v>
      </c>
      <c r="M553" t="str">
        <f>_xlfn.XLOOKUP(C553, Table2[Species],Table2[Sp. Name], "Code Not Found")</f>
        <v>saccharum</v>
      </c>
      <c r="N553" t="str">
        <f>_xlfn.XLOOKUP(C553,Table2[Species],Table2[Family],"Code Not Found")</f>
        <v>Sapindaceae</v>
      </c>
      <c r="O553" t="str" cm="1">
        <f t="array" ref="O553">_xlfn.IFS(F553="","",F553&lt;=5,"0 to 5",F553&lt;=10,"5.1 to 10",F553&lt;=20,"10 to 20", F553&lt;= 40, "20 to 40", F553 &lt;= 50, "40 to 50", F553 &gt; 50, "&gt;50" )</f>
        <v>10 to 20</v>
      </c>
    </row>
    <row r="554" spans="1:15" ht="14.4" x14ac:dyDescent="0.3">
      <c r="A554" t="s">
        <v>114</v>
      </c>
      <c r="B554" s="1">
        <v>46176</v>
      </c>
      <c r="C554" t="s">
        <v>16</v>
      </c>
      <c r="D554">
        <v>511</v>
      </c>
      <c r="E554">
        <v>1</v>
      </c>
      <c r="F554">
        <v>5.9</v>
      </c>
      <c r="G554" t="s">
        <v>17</v>
      </c>
      <c r="I554" t="str">
        <f t="shared" si="10"/>
        <v>511_1</v>
      </c>
      <c r="J554" t="s">
        <v>18</v>
      </c>
      <c r="K554" t="s">
        <v>115</v>
      </c>
      <c r="L554" t="str">
        <f>_xlfn.XLOOKUP(C554, Table2[Species],Table2[Genus], "Code Not Found")</f>
        <v>Acer</v>
      </c>
      <c r="M554" t="str">
        <f>_xlfn.XLOOKUP(C554, Table2[Species],Table2[Sp. Name], "Code Not Found")</f>
        <v>saccharum</v>
      </c>
      <c r="N554" t="str">
        <f>_xlfn.XLOOKUP(C554,Table2[Species],Table2[Family],"Code Not Found")</f>
        <v>Sapindaceae</v>
      </c>
      <c r="O554" t="str" cm="1">
        <f t="array" ref="O554">_xlfn.IFS(F554="","",F554&lt;=5,"0 to 5",F554&lt;=10,"5.1 to 10",F554&lt;=20,"10 to 20", F554&lt;= 40, "20 to 40", F554 &lt;= 50, "40 to 50", F554 &gt; 50, "&gt;50" )</f>
        <v>5.1 to 10</v>
      </c>
    </row>
    <row r="555" spans="1:15" ht="14.4" x14ac:dyDescent="0.3">
      <c r="A555" t="s">
        <v>114</v>
      </c>
      <c r="B555" s="1">
        <v>46176</v>
      </c>
      <c r="C555" t="s">
        <v>16</v>
      </c>
      <c r="D555">
        <v>512</v>
      </c>
      <c r="E555">
        <v>1</v>
      </c>
      <c r="F555">
        <v>7.7</v>
      </c>
      <c r="G555" t="s">
        <v>17</v>
      </c>
      <c r="I555" t="str">
        <f t="shared" si="10"/>
        <v>512_1</v>
      </c>
      <c r="J555" t="s">
        <v>18</v>
      </c>
      <c r="K555" t="s">
        <v>115</v>
      </c>
      <c r="L555" t="str">
        <f>_xlfn.XLOOKUP(C555, Table2[Species],Table2[Genus], "Code Not Found")</f>
        <v>Acer</v>
      </c>
      <c r="M555" t="str">
        <f>_xlfn.XLOOKUP(C555, Table2[Species],Table2[Sp. Name], "Code Not Found")</f>
        <v>saccharum</v>
      </c>
      <c r="N555" t="str">
        <f>_xlfn.XLOOKUP(C555,Table2[Species],Table2[Family],"Code Not Found")</f>
        <v>Sapindaceae</v>
      </c>
      <c r="O555" t="str" cm="1">
        <f t="array" ref="O555">_xlfn.IFS(F555="","",F555&lt;=5,"0 to 5",F555&lt;=10,"5.1 to 10",F555&lt;=20,"10 to 20", F555&lt;= 40, "20 to 40", F555 &lt;= 50, "40 to 50", F555 &gt; 50, "&gt;50" )</f>
        <v>5.1 to 10</v>
      </c>
    </row>
    <row r="556" spans="1:15" ht="14.4" x14ac:dyDescent="0.3">
      <c r="A556" t="s">
        <v>114</v>
      </c>
      <c r="B556" s="1">
        <v>46176</v>
      </c>
      <c r="C556" t="s">
        <v>16</v>
      </c>
      <c r="D556">
        <v>513</v>
      </c>
      <c r="E556">
        <v>1</v>
      </c>
      <c r="F556">
        <v>2.7</v>
      </c>
      <c r="G556" t="s">
        <v>88</v>
      </c>
      <c r="H556" t="s">
        <v>99</v>
      </c>
      <c r="I556" t="str">
        <f t="shared" si="10"/>
        <v>513_1</v>
      </c>
      <c r="J556" t="s">
        <v>18</v>
      </c>
      <c r="K556" t="s">
        <v>115</v>
      </c>
      <c r="L556" t="str">
        <f>_xlfn.XLOOKUP(C556, Table2[Species],Table2[Genus], "Code Not Found")</f>
        <v>Acer</v>
      </c>
      <c r="M556" t="str">
        <f>_xlfn.XLOOKUP(C556, Table2[Species],Table2[Sp. Name], "Code Not Found")</f>
        <v>saccharum</v>
      </c>
      <c r="N556" t="str">
        <f>_xlfn.XLOOKUP(C556,Table2[Species],Table2[Family],"Code Not Found")</f>
        <v>Sapindaceae</v>
      </c>
      <c r="O556" t="str" cm="1">
        <f t="array" ref="O556">_xlfn.IFS(F556="","",F556&lt;=5,"0 to 5",F556&lt;=10,"5.1 to 10",F556&lt;=20,"10 to 20", F556&lt;= 40, "20 to 40", F556 &lt;= 50, "40 to 50", F556 &gt; 50, "&gt;50" )</f>
        <v>0 to 5</v>
      </c>
    </row>
    <row r="557" spans="1:15" ht="14.4" x14ac:dyDescent="0.3">
      <c r="A557" t="s">
        <v>114</v>
      </c>
      <c r="B557" s="1">
        <v>46176</v>
      </c>
      <c r="C557" t="s">
        <v>16</v>
      </c>
      <c r="D557">
        <v>514</v>
      </c>
      <c r="E557">
        <v>1</v>
      </c>
      <c r="F557">
        <v>10.9</v>
      </c>
      <c r="G557" t="s">
        <v>38</v>
      </c>
      <c r="I557" t="str">
        <f t="shared" si="10"/>
        <v>514_1</v>
      </c>
      <c r="J557" t="s">
        <v>18</v>
      </c>
      <c r="K557" t="s">
        <v>115</v>
      </c>
      <c r="L557" t="str">
        <f>_xlfn.XLOOKUP(C557, Table2[Species],Table2[Genus], "Code Not Found")</f>
        <v>Acer</v>
      </c>
      <c r="M557" t="str">
        <f>_xlfn.XLOOKUP(C557, Table2[Species],Table2[Sp. Name], "Code Not Found")</f>
        <v>saccharum</v>
      </c>
      <c r="N557" t="str">
        <f>_xlfn.XLOOKUP(C557,Table2[Species],Table2[Family],"Code Not Found")</f>
        <v>Sapindaceae</v>
      </c>
      <c r="O557" t="str" cm="1">
        <f t="array" ref="O557">_xlfn.IFS(F557="","",F557&lt;=5,"0 to 5",F557&lt;=10,"5.1 to 10",F557&lt;=20,"10 to 20", F557&lt;= 40, "20 to 40", F557 &lt;= 50, "40 to 50", F557 &gt; 50, "&gt;50" )</f>
        <v>10 to 20</v>
      </c>
    </row>
    <row r="558" spans="1:15" ht="14.4" x14ac:dyDescent="0.3">
      <c r="A558" t="s">
        <v>114</v>
      </c>
      <c r="B558" s="1">
        <v>46176</v>
      </c>
      <c r="C558" t="s">
        <v>16</v>
      </c>
      <c r="D558">
        <v>515</v>
      </c>
      <c r="E558">
        <v>1</v>
      </c>
      <c r="F558">
        <v>59.6</v>
      </c>
      <c r="G558" t="s">
        <v>17</v>
      </c>
      <c r="I558" t="str">
        <f t="shared" si="10"/>
        <v>515_1</v>
      </c>
      <c r="J558" t="s">
        <v>18</v>
      </c>
      <c r="K558" t="s">
        <v>115</v>
      </c>
      <c r="L558" t="str">
        <f>_xlfn.XLOOKUP(C558, Table2[Species],Table2[Genus], "Code Not Found")</f>
        <v>Acer</v>
      </c>
      <c r="M558" t="str">
        <f>_xlfn.XLOOKUP(C558, Table2[Species],Table2[Sp. Name], "Code Not Found")</f>
        <v>saccharum</v>
      </c>
      <c r="N558" t="str">
        <f>_xlfn.XLOOKUP(C558,Table2[Species],Table2[Family],"Code Not Found")</f>
        <v>Sapindaceae</v>
      </c>
      <c r="O558" t="str" cm="1">
        <f t="array" ref="O558">_xlfn.IFS(F558="","",F558&lt;=5,"0 to 5",F558&lt;=10,"5.1 to 10",F558&lt;=20,"10 to 20", F558&lt;= 40, "20 to 40", F558 &lt;= 50, "40 to 50", F558 &gt; 50, "&gt;50" )</f>
        <v>&gt;50</v>
      </c>
    </row>
    <row r="559" spans="1:15" ht="14.4" x14ac:dyDescent="0.3">
      <c r="A559" t="s">
        <v>114</v>
      </c>
      <c r="B559" s="1">
        <v>46176</v>
      </c>
      <c r="C559" t="s">
        <v>16</v>
      </c>
      <c r="D559">
        <v>516</v>
      </c>
      <c r="E559">
        <v>1</v>
      </c>
      <c r="F559">
        <v>8.1</v>
      </c>
      <c r="G559" t="s">
        <v>21</v>
      </c>
      <c r="I559" t="str">
        <f t="shared" si="10"/>
        <v>516_1</v>
      </c>
      <c r="J559" t="s">
        <v>18</v>
      </c>
      <c r="K559" t="s">
        <v>115</v>
      </c>
      <c r="L559" t="str">
        <f>_xlfn.XLOOKUP(C559, Table2[Species],Table2[Genus], "Code Not Found")</f>
        <v>Acer</v>
      </c>
      <c r="M559" t="str">
        <f>_xlfn.XLOOKUP(C559, Table2[Species],Table2[Sp. Name], "Code Not Found")</f>
        <v>saccharum</v>
      </c>
      <c r="N559" t="str">
        <f>_xlfn.XLOOKUP(C559,Table2[Species],Table2[Family],"Code Not Found")</f>
        <v>Sapindaceae</v>
      </c>
      <c r="O559" t="str" cm="1">
        <f t="array" ref="O559">_xlfn.IFS(F559="","",F559&lt;=5,"0 to 5",F559&lt;=10,"5.1 to 10",F559&lt;=20,"10 to 20", F559&lt;= 40, "20 to 40", F559 &lt;= 50, "40 to 50", F559 &gt; 50, "&gt;50" )</f>
        <v>5.1 to 10</v>
      </c>
    </row>
    <row r="560" spans="1:15" ht="14.4" x14ac:dyDescent="0.3">
      <c r="A560" t="s">
        <v>114</v>
      </c>
      <c r="B560" s="1">
        <v>46176</v>
      </c>
      <c r="C560" t="s">
        <v>22</v>
      </c>
      <c r="D560">
        <v>517</v>
      </c>
      <c r="E560">
        <v>1</v>
      </c>
      <c r="F560">
        <v>13.1</v>
      </c>
      <c r="G560" t="s">
        <v>17</v>
      </c>
      <c r="I560" t="str">
        <f t="shared" si="10"/>
        <v>517_1</v>
      </c>
      <c r="J560" t="s">
        <v>18</v>
      </c>
      <c r="K560" t="s">
        <v>115</v>
      </c>
      <c r="L560" t="str">
        <f>_xlfn.XLOOKUP(C560, Table2[Species],Table2[Genus], "Code Not Found")</f>
        <v>Acer</v>
      </c>
      <c r="M560" t="str">
        <f>_xlfn.XLOOKUP(C560, Table2[Species],Table2[Sp. Name], "Code Not Found")</f>
        <v>rubrum</v>
      </c>
      <c r="N560" t="str">
        <f>_xlfn.XLOOKUP(C560,Table2[Species],Table2[Family],"Code Not Found")</f>
        <v>Sapindaceae</v>
      </c>
      <c r="O560" t="str" cm="1">
        <f t="array" ref="O560">_xlfn.IFS(F560="","",F560&lt;=5,"0 to 5",F560&lt;=10,"5.1 to 10",F560&lt;=20,"10 to 20", F560&lt;= 40, "20 to 40", F560 &lt;= 50, "40 to 50", F560 &gt; 50, "&gt;50" )</f>
        <v>10 to 20</v>
      </c>
    </row>
    <row r="561" spans="1:15" ht="14.4" x14ac:dyDescent="0.3">
      <c r="A561" t="s">
        <v>114</v>
      </c>
      <c r="B561" s="1">
        <v>46176</v>
      </c>
      <c r="C561" t="s">
        <v>16</v>
      </c>
      <c r="D561">
        <v>518</v>
      </c>
      <c r="E561">
        <v>1</v>
      </c>
      <c r="F561">
        <v>2.2999999999999998</v>
      </c>
      <c r="G561" t="s">
        <v>17</v>
      </c>
      <c r="I561" t="str">
        <f t="shared" si="10"/>
        <v>518_1</v>
      </c>
      <c r="J561" t="s">
        <v>18</v>
      </c>
      <c r="K561" t="s">
        <v>115</v>
      </c>
      <c r="L561" t="str">
        <f>_xlfn.XLOOKUP(C561, Table2[Species],Table2[Genus], "Code Not Found")</f>
        <v>Acer</v>
      </c>
      <c r="M561" t="str">
        <f>_xlfn.XLOOKUP(C561, Table2[Species],Table2[Sp. Name], "Code Not Found")</f>
        <v>saccharum</v>
      </c>
      <c r="N561" t="str">
        <f>_xlfn.XLOOKUP(C561,Table2[Species],Table2[Family],"Code Not Found")</f>
        <v>Sapindaceae</v>
      </c>
      <c r="O561" t="str" cm="1">
        <f t="array" ref="O561">_xlfn.IFS(F561="","",F561&lt;=5,"0 to 5",F561&lt;=10,"5.1 to 10",F561&lt;=20,"10 to 20", F561&lt;= 40, "20 to 40", F561 &lt;= 50, "40 to 50", F561 &gt; 50, "&gt;50" )</f>
        <v>0 to 5</v>
      </c>
    </row>
    <row r="562" spans="1:15" ht="14.4" x14ac:dyDescent="0.3">
      <c r="A562" t="s">
        <v>114</v>
      </c>
      <c r="B562" s="1">
        <v>46176</v>
      </c>
      <c r="C562" t="s">
        <v>20</v>
      </c>
      <c r="D562">
        <v>519</v>
      </c>
      <c r="E562">
        <v>1</v>
      </c>
      <c r="F562">
        <v>8.6</v>
      </c>
      <c r="G562" t="s">
        <v>88</v>
      </c>
      <c r="H562" t="s">
        <v>121</v>
      </c>
      <c r="I562" t="str">
        <f t="shared" si="10"/>
        <v>519_1</v>
      </c>
      <c r="J562" t="s">
        <v>18</v>
      </c>
      <c r="K562" t="s">
        <v>115</v>
      </c>
      <c r="L562" t="str">
        <f>_xlfn.XLOOKUP(C562, Table2[Species],Table2[Genus], "Code Not Found")</f>
        <v>Prunus</v>
      </c>
      <c r="M562" t="str">
        <f>_xlfn.XLOOKUP(C562, Table2[Species],Table2[Sp. Name], "Code Not Found")</f>
        <v>serotina</v>
      </c>
      <c r="N562" t="str">
        <f>_xlfn.XLOOKUP(C562,Table2[Species],Table2[Family],"Code Not Found")</f>
        <v>Rosaceae</v>
      </c>
      <c r="O562" t="str" cm="1">
        <f t="array" ref="O562">_xlfn.IFS(F562="","",F562&lt;=5,"0 to 5",F562&lt;=10,"5.1 to 10",F562&lt;=20,"10 to 20", F562&lt;= 40, "20 to 40", F562 &lt;= 50, "40 to 50", F562 &gt; 50, "&gt;50" )</f>
        <v>5.1 to 10</v>
      </c>
    </row>
    <row r="563" spans="1:15" ht="14.4" x14ac:dyDescent="0.3">
      <c r="A563" t="s">
        <v>114</v>
      </c>
      <c r="B563" s="1">
        <v>46176</v>
      </c>
      <c r="C563" t="s">
        <v>20</v>
      </c>
      <c r="D563">
        <v>520</v>
      </c>
      <c r="E563">
        <v>1</v>
      </c>
      <c r="F563">
        <v>8.5</v>
      </c>
      <c r="G563" t="s">
        <v>88</v>
      </c>
      <c r="H563" t="s">
        <v>173</v>
      </c>
      <c r="I563" t="str">
        <f t="shared" si="10"/>
        <v>520_1</v>
      </c>
      <c r="J563" t="s">
        <v>18</v>
      </c>
      <c r="K563" t="s">
        <v>115</v>
      </c>
      <c r="L563" t="str">
        <f>_xlfn.XLOOKUP(C563, Table2[Species],Table2[Genus], "Code Not Found")</f>
        <v>Prunus</v>
      </c>
      <c r="M563" t="str">
        <f>_xlfn.XLOOKUP(C563, Table2[Species],Table2[Sp. Name], "Code Not Found")</f>
        <v>serotina</v>
      </c>
      <c r="N563" t="str">
        <f>_xlfn.XLOOKUP(C563,Table2[Species],Table2[Family],"Code Not Found")</f>
        <v>Rosaceae</v>
      </c>
      <c r="O563" t="str" cm="1">
        <f t="array" ref="O563">_xlfn.IFS(F563="","",F563&lt;=5,"0 to 5",F563&lt;=10,"5.1 to 10",F563&lt;=20,"10 to 20", F563&lt;= 40, "20 to 40", F563 &lt;= 50, "40 to 50", F563 &gt; 50, "&gt;50" )</f>
        <v>5.1 to 10</v>
      </c>
    </row>
    <row r="564" spans="1:15" ht="14.4" x14ac:dyDescent="0.3">
      <c r="A564" t="s">
        <v>114</v>
      </c>
      <c r="B564" s="1">
        <v>46176</v>
      </c>
      <c r="C564" t="s">
        <v>16</v>
      </c>
      <c r="D564">
        <v>521</v>
      </c>
      <c r="E564">
        <v>1</v>
      </c>
      <c r="F564">
        <v>3.5</v>
      </c>
      <c r="G564" t="s">
        <v>21</v>
      </c>
      <c r="I564" t="str">
        <f t="shared" si="10"/>
        <v>521_1</v>
      </c>
      <c r="J564" t="s">
        <v>18</v>
      </c>
      <c r="K564" t="s">
        <v>115</v>
      </c>
      <c r="L564" t="str">
        <f>_xlfn.XLOOKUP(C564, Table2[Species],Table2[Genus], "Code Not Found")</f>
        <v>Acer</v>
      </c>
      <c r="M564" t="str">
        <f>_xlfn.XLOOKUP(C564, Table2[Species],Table2[Sp. Name], "Code Not Found")</f>
        <v>saccharum</v>
      </c>
      <c r="N564" t="str">
        <f>_xlfn.XLOOKUP(C564,Table2[Species],Table2[Family],"Code Not Found")</f>
        <v>Sapindaceae</v>
      </c>
      <c r="O564" t="str" cm="1">
        <f t="array" ref="O564">_xlfn.IFS(F564="","",F564&lt;=5,"0 to 5",F564&lt;=10,"5.1 to 10",F564&lt;=20,"10 to 20", F564&lt;= 40, "20 to 40", F564 &lt;= 50, "40 to 50", F564 &gt; 50, "&gt;50" )</f>
        <v>0 to 5</v>
      </c>
    </row>
    <row r="565" spans="1:15" ht="14.4" x14ac:dyDescent="0.3">
      <c r="A565" t="s">
        <v>114</v>
      </c>
      <c r="B565" s="1">
        <v>46176</v>
      </c>
      <c r="C565" t="s">
        <v>16</v>
      </c>
      <c r="D565">
        <v>522</v>
      </c>
      <c r="E565">
        <v>1</v>
      </c>
      <c r="F565">
        <v>11.6</v>
      </c>
      <c r="G565" t="s">
        <v>17</v>
      </c>
      <c r="I565" t="str">
        <f t="shared" si="10"/>
        <v>522_1</v>
      </c>
      <c r="J565" t="s">
        <v>18</v>
      </c>
      <c r="K565" t="s">
        <v>115</v>
      </c>
      <c r="L565" t="str">
        <f>_xlfn.XLOOKUP(C565, Table2[Species],Table2[Genus], "Code Not Found")</f>
        <v>Acer</v>
      </c>
      <c r="M565" t="str">
        <f>_xlfn.XLOOKUP(C565, Table2[Species],Table2[Sp. Name], "Code Not Found")</f>
        <v>saccharum</v>
      </c>
      <c r="N565" t="str">
        <f>_xlfn.XLOOKUP(C565,Table2[Species],Table2[Family],"Code Not Found")</f>
        <v>Sapindaceae</v>
      </c>
      <c r="O565" t="str" cm="1">
        <f t="array" ref="O565">_xlfn.IFS(F565="","",F565&lt;=5,"0 to 5",F565&lt;=10,"5.1 to 10",F565&lt;=20,"10 to 20", F565&lt;= 40, "20 to 40", F565 &lt;= 50, "40 to 50", F565 &gt; 50, "&gt;50" )</f>
        <v>10 to 20</v>
      </c>
    </row>
    <row r="566" spans="1:15" ht="14.4" x14ac:dyDescent="0.3">
      <c r="A566" t="s">
        <v>114</v>
      </c>
      <c r="B566" s="1">
        <v>46176</v>
      </c>
      <c r="C566" t="s">
        <v>16</v>
      </c>
      <c r="D566">
        <v>523</v>
      </c>
      <c r="E566">
        <v>1</v>
      </c>
      <c r="F566">
        <v>3.1</v>
      </c>
      <c r="G566" t="s">
        <v>17</v>
      </c>
      <c r="I566" t="str">
        <f t="shared" si="10"/>
        <v>523_1</v>
      </c>
      <c r="J566" t="s">
        <v>18</v>
      </c>
      <c r="K566" t="s">
        <v>115</v>
      </c>
      <c r="L566" t="str">
        <f>_xlfn.XLOOKUP(C566, Table2[Species],Table2[Genus], "Code Not Found")</f>
        <v>Acer</v>
      </c>
      <c r="M566" t="str">
        <f>_xlfn.XLOOKUP(C566, Table2[Species],Table2[Sp. Name], "Code Not Found")</f>
        <v>saccharum</v>
      </c>
      <c r="N566" t="str">
        <f>_xlfn.XLOOKUP(C566,Table2[Species],Table2[Family],"Code Not Found")</f>
        <v>Sapindaceae</v>
      </c>
      <c r="O566" t="str" cm="1">
        <f t="array" ref="O566">_xlfn.IFS(F566="","",F566&lt;=5,"0 to 5",F566&lt;=10,"5.1 to 10",F566&lt;=20,"10 to 20", F566&lt;= 40, "20 to 40", F566 &lt;= 50, "40 to 50", F566 &gt; 50, "&gt;50" )</f>
        <v>0 to 5</v>
      </c>
    </row>
    <row r="567" spans="1:15" ht="14.4" x14ac:dyDescent="0.3">
      <c r="A567" t="s">
        <v>114</v>
      </c>
      <c r="B567" s="1">
        <v>46176</v>
      </c>
      <c r="C567" t="s">
        <v>16</v>
      </c>
      <c r="D567">
        <v>524</v>
      </c>
      <c r="E567">
        <v>1</v>
      </c>
      <c r="F567">
        <v>3.4</v>
      </c>
      <c r="G567" t="s">
        <v>17</v>
      </c>
      <c r="H567" t="s">
        <v>174</v>
      </c>
      <c r="I567" t="str">
        <f t="shared" si="10"/>
        <v>524_1</v>
      </c>
      <c r="J567" t="s">
        <v>18</v>
      </c>
      <c r="K567" t="s">
        <v>115</v>
      </c>
      <c r="L567" t="str">
        <f>_xlfn.XLOOKUP(C567, Table2[Species],Table2[Genus], "Code Not Found")</f>
        <v>Acer</v>
      </c>
      <c r="M567" t="str">
        <f>_xlfn.XLOOKUP(C567, Table2[Species],Table2[Sp. Name], "Code Not Found")</f>
        <v>saccharum</v>
      </c>
      <c r="N567" t="str">
        <f>_xlfn.XLOOKUP(C567,Table2[Species],Table2[Family],"Code Not Found")</f>
        <v>Sapindaceae</v>
      </c>
      <c r="O567" t="str" cm="1">
        <f t="array" ref="O567">_xlfn.IFS(F567="","",F567&lt;=5,"0 to 5",F567&lt;=10,"5.1 to 10",F567&lt;=20,"10 to 20", F567&lt;= 40, "20 to 40", F567 &lt;= 50, "40 to 50", F567 &gt; 50, "&gt;50" )</f>
        <v>0 to 5</v>
      </c>
    </row>
    <row r="568" spans="1:15" ht="14.4" x14ac:dyDescent="0.3">
      <c r="A568" t="s">
        <v>114</v>
      </c>
      <c r="B568" s="1">
        <v>46176</v>
      </c>
      <c r="C568" t="s">
        <v>64</v>
      </c>
      <c r="D568">
        <v>525</v>
      </c>
      <c r="E568">
        <v>1</v>
      </c>
      <c r="F568">
        <v>3.2</v>
      </c>
      <c r="G568" t="s">
        <v>47</v>
      </c>
      <c r="H568" t="s">
        <v>175</v>
      </c>
      <c r="I568" t="str">
        <f t="shared" si="10"/>
        <v>525_1</v>
      </c>
      <c r="J568" t="s">
        <v>18</v>
      </c>
      <c r="K568" t="s">
        <v>115</v>
      </c>
      <c r="L568" t="str">
        <f>_xlfn.XLOOKUP(C568, Table2[Species],Table2[Genus], "Code Not Found")</f>
        <v>Fagus</v>
      </c>
      <c r="M568" t="str">
        <f>_xlfn.XLOOKUP(C568, Table2[Species],Table2[Sp. Name], "Code Not Found")</f>
        <v>grandifolia</v>
      </c>
      <c r="N568" t="str">
        <f>_xlfn.XLOOKUP(C568,Table2[Species],Table2[Family],"Code Not Found")</f>
        <v>Fagaceae</v>
      </c>
      <c r="O568" t="str" cm="1">
        <f t="array" ref="O568">_xlfn.IFS(F568="","",F568&lt;=5,"0 to 5",F568&lt;=10,"5.1 to 10",F568&lt;=20,"10 to 20", F568&lt;= 40, "20 to 40", F568 &lt;= 50, "40 to 50", F568 &gt; 50, "&gt;50" )</f>
        <v>0 to 5</v>
      </c>
    </row>
    <row r="569" spans="1:15" ht="14.4" x14ac:dyDescent="0.3">
      <c r="A569" t="s">
        <v>114</v>
      </c>
      <c r="B569" s="1">
        <v>46176</v>
      </c>
      <c r="C569" t="s">
        <v>16</v>
      </c>
      <c r="D569">
        <v>526</v>
      </c>
      <c r="E569">
        <v>1</v>
      </c>
      <c r="F569">
        <v>2.7</v>
      </c>
      <c r="G569" t="s">
        <v>17</v>
      </c>
      <c r="I569" t="str">
        <f t="shared" si="10"/>
        <v>526_1</v>
      </c>
      <c r="J569" t="s">
        <v>18</v>
      </c>
      <c r="K569" t="s">
        <v>115</v>
      </c>
      <c r="L569" t="str">
        <f>_xlfn.XLOOKUP(C569, Table2[Species],Table2[Genus], "Code Not Found")</f>
        <v>Acer</v>
      </c>
      <c r="M569" t="str">
        <f>_xlfn.XLOOKUP(C569, Table2[Species],Table2[Sp. Name], "Code Not Found")</f>
        <v>saccharum</v>
      </c>
      <c r="N569" t="str">
        <f>_xlfn.XLOOKUP(C569,Table2[Species],Table2[Family],"Code Not Found")</f>
        <v>Sapindaceae</v>
      </c>
      <c r="O569" t="str" cm="1">
        <f t="array" ref="O569">_xlfn.IFS(F569="","",F569&lt;=5,"0 to 5",F569&lt;=10,"5.1 to 10",F569&lt;=20,"10 to 20", F569&lt;= 40, "20 to 40", F569 &lt;= 50, "40 to 50", F569 &gt; 50, "&gt;50" )</f>
        <v>0 to 5</v>
      </c>
    </row>
    <row r="570" spans="1:15" ht="14.4" x14ac:dyDescent="0.3">
      <c r="A570" t="s">
        <v>114</v>
      </c>
      <c r="B570" s="1">
        <v>46176</v>
      </c>
      <c r="C570" t="s">
        <v>16</v>
      </c>
      <c r="D570">
        <v>527</v>
      </c>
      <c r="E570">
        <v>1</v>
      </c>
      <c r="F570">
        <v>24.9</v>
      </c>
      <c r="G570" t="s">
        <v>17</v>
      </c>
      <c r="I570" t="str">
        <f t="shared" si="10"/>
        <v>527_1</v>
      </c>
      <c r="J570" t="s">
        <v>18</v>
      </c>
      <c r="K570" t="s">
        <v>115</v>
      </c>
      <c r="L570" t="str">
        <f>_xlfn.XLOOKUP(C570, Table2[Species],Table2[Genus], "Code Not Found")</f>
        <v>Acer</v>
      </c>
      <c r="M570" t="str">
        <f>_xlfn.XLOOKUP(C570, Table2[Species],Table2[Sp. Name], "Code Not Found")</f>
        <v>saccharum</v>
      </c>
      <c r="N570" t="str">
        <f>_xlfn.XLOOKUP(C570,Table2[Species],Table2[Family],"Code Not Found")</f>
        <v>Sapindaceae</v>
      </c>
      <c r="O570" t="str" cm="1">
        <f t="array" ref="O570">_xlfn.IFS(F570="","",F570&lt;=5,"0 to 5",F570&lt;=10,"5.1 to 10",F570&lt;=20,"10 to 20", F570&lt;= 40, "20 to 40", F570 &lt;= 50, "40 to 50", F570 &gt; 50, "&gt;50" )</f>
        <v>20 to 40</v>
      </c>
    </row>
    <row r="571" spans="1:15" ht="14.4" x14ac:dyDescent="0.3">
      <c r="A571" t="s">
        <v>114</v>
      </c>
      <c r="B571" s="1">
        <v>46176</v>
      </c>
      <c r="C571" t="s">
        <v>64</v>
      </c>
      <c r="D571">
        <v>528</v>
      </c>
      <c r="E571">
        <v>1</v>
      </c>
      <c r="F571">
        <v>18.600000000000001</v>
      </c>
      <c r="G571" t="s">
        <v>17</v>
      </c>
      <c r="I571" t="str">
        <f t="shared" si="10"/>
        <v>528_1</v>
      </c>
      <c r="J571" t="s">
        <v>18</v>
      </c>
      <c r="K571" t="s">
        <v>115</v>
      </c>
      <c r="L571" t="str">
        <f>_xlfn.XLOOKUP(C571, Table2[Species],Table2[Genus], "Code Not Found")</f>
        <v>Fagus</v>
      </c>
      <c r="M571" t="str">
        <f>_xlfn.XLOOKUP(C571, Table2[Species],Table2[Sp. Name], "Code Not Found")</f>
        <v>grandifolia</v>
      </c>
      <c r="N571" t="str">
        <f>_xlfn.XLOOKUP(C571,Table2[Species],Table2[Family],"Code Not Found")</f>
        <v>Fagaceae</v>
      </c>
      <c r="O571" t="str" cm="1">
        <f t="array" ref="O571">_xlfn.IFS(F571="","",F571&lt;=5,"0 to 5",F571&lt;=10,"5.1 to 10",F571&lt;=20,"10 to 20", F571&lt;= 40, "20 to 40", F571 &lt;= 50, "40 to 50", F571 &gt; 50, "&gt;50" )</f>
        <v>10 to 20</v>
      </c>
    </row>
    <row r="572" spans="1:15" ht="14.4" x14ac:dyDescent="0.3">
      <c r="A572" t="s">
        <v>114</v>
      </c>
      <c r="B572" s="1">
        <v>46176</v>
      </c>
      <c r="C572" t="s">
        <v>123</v>
      </c>
      <c r="D572">
        <v>529</v>
      </c>
      <c r="E572">
        <v>1</v>
      </c>
      <c r="F572">
        <v>93.6</v>
      </c>
      <c r="G572" t="s">
        <v>21</v>
      </c>
      <c r="I572" t="str">
        <f t="shared" si="10"/>
        <v>529_1</v>
      </c>
      <c r="J572" t="s">
        <v>18</v>
      </c>
      <c r="K572" t="s">
        <v>115</v>
      </c>
      <c r="L572" t="str">
        <f>_xlfn.XLOOKUP(C572, Table2[Species],Table2[Genus], "Code Not Found")</f>
        <v>Quercus</v>
      </c>
      <c r="M572" t="str">
        <f>_xlfn.XLOOKUP(C572, Table2[Species],Table2[Sp. Name], "Code Not Found")</f>
        <v>rubra</v>
      </c>
      <c r="N572" t="str">
        <f>_xlfn.XLOOKUP(C572,Table2[Species],Table2[Family],"Code Not Found")</f>
        <v>Fagaceae</v>
      </c>
      <c r="O572" t="str" cm="1">
        <f t="array" ref="O572">_xlfn.IFS(F572="","",F572&lt;=5,"0 to 5",F572&lt;=10,"5.1 to 10",F572&lt;=20,"10 to 20", F572&lt;= 40, "20 to 40", F572 &lt;= 50, "40 to 50", F572 &gt; 50, "&gt;50" )</f>
        <v>&gt;50</v>
      </c>
    </row>
    <row r="573" spans="1:15" ht="14.4" x14ac:dyDescent="0.3">
      <c r="A573" t="s">
        <v>114</v>
      </c>
      <c r="B573" s="1">
        <v>46176</v>
      </c>
      <c r="C573" t="s">
        <v>16</v>
      </c>
      <c r="D573">
        <v>530</v>
      </c>
      <c r="E573">
        <v>1</v>
      </c>
      <c r="F573">
        <v>2.2999999999999998</v>
      </c>
      <c r="G573" t="s">
        <v>21</v>
      </c>
      <c r="I573" t="str">
        <f t="shared" si="10"/>
        <v>530_1</v>
      </c>
      <c r="J573" t="s">
        <v>18</v>
      </c>
      <c r="K573" t="s">
        <v>115</v>
      </c>
      <c r="L573" t="str">
        <f>_xlfn.XLOOKUP(C573, Table2[Species],Table2[Genus], "Code Not Found")</f>
        <v>Acer</v>
      </c>
      <c r="M573" t="str">
        <f>_xlfn.XLOOKUP(C573, Table2[Species],Table2[Sp. Name], "Code Not Found")</f>
        <v>saccharum</v>
      </c>
      <c r="N573" t="str">
        <f>_xlfn.XLOOKUP(C573,Table2[Species],Table2[Family],"Code Not Found")</f>
        <v>Sapindaceae</v>
      </c>
      <c r="O573" t="str" cm="1">
        <f t="array" ref="O573">_xlfn.IFS(F573="","",F573&lt;=5,"0 to 5",F573&lt;=10,"5.1 to 10",F573&lt;=20,"10 to 20", F573&lt;= 40, "20 to 40", F573 &lt;= 50, "40 to 50", F573 &gt; 50, "&gt;50" )</f>
        <v>0 to 5</v>
      </c>
    </row>
    <row r="574" spans="1:15" ht="14.4" x14ac:dyDescent="0.3">
      <c r="A574" t="s">
        <v>114</v>
      </c>
      <c r="B574" s="1">
        <v>46176</v>
      </c>
      <c r="C574" t="s">
        <v>16</v>
      </c>
      <c r="D574">
        <v>531</v>
      </c>
      <c r="E574">
        <v>1</v>
      </c>
      <c r="F574">
        <v>7.8</v>
      </c>
      <c r="G574" t="s">
        <v>17</v>
      </c>
      <c r="I574" t="str">
        <f t="shared" si="10"/>
        <v>531_1</v>
      </c>
      <c r="J574" t="s">
        <v>18</v>
      </c>
      <c r="K574" t="s">
        <v>115</v>
      </c>
      <c r="L574" t="str">
        <f>_xlfn.XLOOKUP(C574, Table2[Species],Table2[Genus], "Code Not Found")</f>
        <v>Acer</v>
      </c>
      <c r="M574" t="str">
        <f>_xlfn.XLOOKUP(C574, Table2[Species],Table2[Sp. Name], "Code Not Found")</f>
        <v>saccharum</v>
      </c>
      <c r="N574" t="str">
        <f>_xlfn.XLOOKUP(C574,Table2[Species],Table2[Family],"Code Not Found")</f>
        <v>Sapindaceae</v>
      </c>
      <c r="O574" t="str" cm="1">
        <f t="array" ref="O574">_xlfn.IFS(F574="","",F574&lt;=5,"0 to 5",F574&lt;=10,"5.1 to 10",F574&lt;=20,"10 to 20", F574&lt;= 40, "20 to 40", F574 &lt;= 50, "40 to 50", F574 &gt; 50, "&gt;50" )</f>
        <v>5.1 to 10</v>
      </c>
    </row>
    <row r="575" spans="1:15" ht="14.4" x14ac:dyDescent="0.3">
      <c r="A575" t="s">
        <v>114</v>
      </c>
      <c r="B575" s="1">
        <v>46176</v>
      </c>
      <c r="C575" t="s">
        <v>16</v>
      </c>
      <c r="D575">
        <v>532</v>
      </c>
      <c r="E575">
        <v>1</v>
      </c>
      <c r="F575">
        <v>1.8</v>
      </c>
      <c r="G575" t="s">
        <v>17</v>
      </c>
      <c r="I575" t="str">
        <f t="shared" si="10"/>
        <v>532_1</v>
      </c>
      <c r="J575" t="s">
        <v>18</v>
      </c>
      <c r="K575" t="s">
        <v>115</v>
      </c>
      <c r="L575" t="str">
        <f>_xlfn.XLOOKUP(C575, Table2[Species],Table2[Genus], "Code Not Found")</f>
        <v>Acer</v>
      </c>
      <c r="M575" t="str">
        <f>_xlfn.XLOOKUP(C575, Table2[Species],Table2[Sp. Name], "Code Not Found")</f>
        <v>saccharum</v>
      </c>
      <c r="N575" t="str">
        <f>_xlfn.XLOOKUP(C575,Table2[Species],Table2[Family],"Code Not Found")</f>
        <v>Sapindaceae</v>
      </c>
      <c r="O575" t="str" cm="1">
        <f t="array" ref="O575">_xlfn.IFS(F575="","",F575&lt;=5,"0 to 5",F575&lt;=10,"5.1 to 10",F575&lt;=20,"10 to 20", F575&lt;= 40, "20 to 40", F575 &lt;= 50, "40 to 50", F575 &gt; 50, "&gt;50" )</f>
        <v>0 to 5</v>
      </c>
    </row>
    <row r="576" spans="1:15" ht="14.4" x14ac:dyDescent="0.3">
      <c r="A576" t="s">
        <v>114</v>
      </c>
      <c r="B576" s="1">
        <v>46176</v>
      </c>
      <c r="C576" t="s">
        <v>22</v>
      </c>
      <c r="D576">
        <v>533</v>
      </c>
      <c r="E576">
        <v>1</v>
      </c>
      <c r="F576">
        <v>50.1</v>
      </c>
      <c r="G576" t="s">
        <v>21</v>
      </c>
      <c r="I576" t="str">
        <f t="shared" si="10"/>
        <v>533_1</v>
      </c>
      <c r="J576" t="s">
        <v>18</v>
      </c>
      <c r="K576" t="s">
        <v>115</v>
      </c>
      <c r="L576" t="str">
        <f>_xlfn.XLOOKUP(C576, Table2[Species],Table2[Genus], "Code Not Found")</f>
        <v>Acer</v>
      </c>
      <c r="M576" t="str">
        <f>_xlfn.XLOOKUP(C576, Table2[Species],Table2[Sp. Name], "Code Not Found")</f>
        <v>rubrum</v>
      </c>
      <c r="N576" t="str">
        <f>_xlfn.XLOOKUP(C576,Table2[Species],Table2[Family],"Code Not Found")</f>
        <v>Sapindaceae</v>
      </c>
      <c r="O576" t="str" cm="1">
        <f t="array" ref="O576">_xlfn.IFS(F576="","",F576&lt;=5,"0 to 5",F576&lt;=10,"5.1 to 10",F576&lt;=20,"10 to 20", F576&lt;= 40, "20 to 40", F576 &lt;= 50, "40 to 50", F576 &gt; 50, "&gt;50" )</f>
        <v>&gt;50</v>
      </c>
    </row>
    <row r="577" spans="1:15" ht="14.4" x14ac:dyDescent="0.3">
      <c r="A577" t="s">
        <v>114</v>
      </c>
      <c r="B577" s="1">
        <v>46176</v>
      </c>
      <c r="C577" t="s">
        <v>22</v>
      </c>
      <c r="D577">
        <v>534</v>
      </c>
      <c r="E577">
        <v>1</v>
      </c>
      <c r="F577">
        <v>6.2</v>
      </c>
      <c r="G577" t="s">
        <v>30</v>
      </c>
      <c r="H577" t="s">
        <v>99</v>
      </c>
      <c r="I577" t="str">
        <f t="shared" si="10"/>
        <v>534_1</v>
      </c>
      <c r="J577" t="s">
        <v>18</v>
      </c>
      <c r="K577" t="s">
        <v>115</v>
      </c>
      <c r="L577" t="str">
        <f>_xlfn.XLOOKUP(C577, Table2[Species],Table2[Genus], "Code Not Found")</f>
        <v>Acer</v>
      </c>
      <c r="M577" t="str">
        <f>_xlfn.XLOOKUP(C577, Table2[Species],Table2[Sp. Name], "Code Not Found")</f>
        <v>rubrum</v>
      </c>
      <c r="N577" t="str">
        <f>_xlfn.XLOOKUP(C577,Table2[Species],Table2[Family],"Code Not Found")</f>
        <v>Sapindaceae</v>
      </c>
      <c r="O577" t="str" cm="1">
        <f t="array" ref="O577">_xlfn.IFS(F577="","",F577&lt;=5,"0 to 5",F577&lt;=10,"5.1 to 10",F577&lt;=20,"10 to 20", F577&lt;= 40, "20 to 40", F577 &lt;= 50, "40 to 50", F577 &gt; 50, "&gt;50" )</f>
        <v>5.1 to 10</v>
      </c>
    </row>
    <row r="578" spans="1:15" ht="14.4" x14ac:dyDescent="0.3">
      <c r="A578" t="s">
        <v>114</v>
      </c>
      <c r="B578" s="1">
        <v>46176</v>
      </c>
      <c r="C578" t="s">
        <v>16</v>
      </c>
      <c r="D578">
        <v>535</v>
      </c>
      <c r="E578">
        <v>1</v>
      </c>
      <c r="F578">
        <v>2.7</v>
      </c>
      <c r="G578" t="s">
        <v>17</v>
      </c>
      <c r="I578" t="str">
        <f t="shared" si="10"/>
        <v>535_1</v>
      </c>
      <c r="J578" t="s">
        <v>18</v>
      </c>
      <c r="K578" t="s">
        <v>115</v>
      </c>
      <c r="L578" t="str">
        <f>_xlfn.XLOOKUP(C578, Table2[Species],Table2[Genus], "Code Not Found")</f>
        <v>Acer</v>
      </c>
      <c r="M578" t="str">
        <f>_xlfn.XLOOKUP(C578, Table2[Species],Table2[Sp. Name], "Code Not Found")</f>
        <v>saccharum</v>
      </c>
      <c r="N578" t="str">
        <f>_xlfn.XLOOKUP(C578,Table2[Species],Table2[Family],"Code Not Found")</f>
        <v>Sapindaceae</v>
      </c>
      <c r="O578" t="str" cm="1">
        <f t="array" ref="O578">_xlfn.IFS(F578="","",F578&lt;=5,"0 to 5",F578&lt;=10,"5.1 to 10",F578&lt;=20,"10 to 20", F578&lt;= 40, "20 to 40", F578 &lt;= 50, "40 to 50", F578 &gt; 50, "&gt;50" )</f>
        <v>0 to 5</v>
      </c>
    </row>
    <row r="579" spans="1:15" ht="14.4" x14ac:dyDescent="0.3">
      <c r="A579" t="s">
        <v>114</v>
      </c>
      <c r="B579" s="1">
        <v>46176</v>
      </c>
      <c r="C579" t="s">
        <v>16</v>
      </c>
      <c r="D579">
        <v>536</v>
      </c>
      <c r="E579">
        <v>1</v>
      </c>
      <c r="F579">
        <v>2.5</v>
      </c>
      <c r="G579" t="s">
        <v>17</v>
      </c>
      <c r="I579" t="str">
        <f t="shared" si="10"/>
        <v>536_1</v>
      </c>
      <c r="J579" t="s">
        <v>18</v>
      </c>
      <c r="K579" t="s">
        <v>115</v>
      </c>
      <c r="L579" t="str">
        <f>_xlfn.XLOOKUP(C579, Table2[Species],Table2[Genus], "Code Not Found")</f>
        <v>Acer</v>
      </c>
      <c r="M579" t="str">
        <f>_xlfn.XLOOKUP(C579, Table2[Species],Table2[Sp. Name], "Code Not Found")</f>
        <v>saccharum</v>
      </c>
      <c r="N579" t="str">
        <f>_xlfn.XLOOKUP(C579,Table2[Species],Table2[Family],"Code Not Found")</f>
        <v>Sapindaceae</v>
      </c>
      <c r="O579" t="str" cm="1">
        <f t="array" ref="O579">_xlfn.IFS(F579="","",F579&lt;=5,"0 to 5",F579&lt;=10,"5.1 to 10",F579&lt;=20,"10 to 20", F579&lt;= 40, "20 to 40", F579 &lt;= 50, "40 to 50", F579 &gt; 50, "&gt;50" )</f>
        <v>0 to 5</v>
      </c>
    </row>
    <row r="580" spans="1:15" ht="14.4" x14ac:dyDescent="0.3">
      <c r="A580" t="s">
        <v>114</v>
      </c>
      <c r="B580" s="1">
        <v>46176</v>
      </c>
      <c r="C580" t="s">
        <v>16</v>
      </c>
      <c r="D580">
        <v>537</v>
      </c>
      <c r="E580">
        <v>1</v>
      </c>
      <c r="F580">
        <v>1.9</v>
      </c>
      <c r="G580" t="s">
        <v>17</v>
      </c>
      <c r="I580" t="str">
        <f t="shared" si="10"/>
        <v>537_1</v>
      </c>
      <c r="J580" t="s">
        <v>18</v>
      </c>
      <c r="K580" t="s">
        <v>115</v>
      </c>
      <c r="L580" t="str">
        <f>_xlfn.XLOOKUP(C580, Table2[Species],Table2[Genus], "Code Not Found")</f>
        <v>Acer</v>
      </c>
      <c r="M580" t="str">
        <f>_xlfn.XLOOKUP(C580, Table2[Species],Table2[Sp. Name], "Code Not Found")</f>
        <v>saccharum</v>
      </c>
      <c r="N580" t="str">
        <f>_xlfn.XLOOKUP(C580,Table2[Species],Table2[Family],"Code Not Found")</f>
        <v>Sapindaceae</v>
      </c>
      <c r="O580" t="str" cm="1">
        <f t="array" ref="O580">_xlfn.IFS(F580="","",F580&lt;=5,"0 to 5",F580&lt;=10,"5.1 to 10",F580&lt;=20,"10 to 20", F580&lt;= 40, "20 to 40", F580 &lt;= 50, "40 to 50", F580 &gt; 50, "&gt;50" )</f>
        <v>0 to 5</v>
      </c>
    </row>
    <row r="581" spans="1:15" ht="14.4" x14ac:dyDescent="0.3">
      <c r="A581" t="s">
        <v>114</v>
      </c>
      <c r="B581" s="1">
        <v>46176</v>
      </c>
      <c r="C581" t="s">
        <v>16</v>
      </c>
      <c r="D581">
        <v>538</v>
      </c>
      <c r="E581">
        <v>1</v>
      </c>
      <c r="F581">
        <v>4.3</v>
      </c>
      <c r="G581" t="s">
        <v>21</v>
      </c>
      <c r="I581" t="str">
        <f t="shared" si="10"/>
        <v>538_1</v>
      </c>
      <c r="J581" t="s">
        <v>18</v>
      </c>
      <c r="K581" t="s">
        <v>115</v>
      </c>
      <c r="L581" t="str">
        <f>_xlfn.XLOOKUP(C581, Table2[Species],Table2[Genus], "Code Not Found")</f>
        <v>Acer</v>
      </c>
      <c r="M581" t="str">
        <f>_xlfn.XLOOKUP(C581, Table2[Species],Table2[Sp. Name], "Code Not Found")</f>
        <v>saccharum</v>
      </c>
      <c r="N581" t="str">
        <f>_xlfn.XLOOKUP(C581,Table2[Species],Table2[Family],"Code Not Found")</f>
        <v>Sapindaceae</v>
      </c>
      <c r="O581" t="str" cm="1">
        <f t="array" ref="O581">_xlfn.IFS(F581="","",F581&lt;=5,"0 to 5",F581&lt;=10,"5.1 to 10",F581&lt;=20,"10 to 20", F581&lt;= 40, "20 to 40", F581 &lt;= 50, "40 to 50", F581 &gt; 50, "&gt;50" )</f>
        <v>0 to 5</v>
      </c>
    </row>
    <row r="582" spans="1:15" ht="14.4" x14ac:dyDescent="0.3">
      <c r="A582" t="s">
        <v>114</v>
      </c>
      <c r="B582" s="1">
        <v>46176</v>
      </c>
      <c r="C582" t="s">
        <v>16</v>
      </c>
      <c r="D582">
        <v>539</v>
      </c>
      <c r="E582">
        <v>1</v>
      </c>
      <c r="F582">
        <v>23.8</v>
      </c>
      <c r="G582" t="s">
        <v>21</v>
      </c>
      <c r="I582" t="str">
        <f t="shared" si="10"/>
        <v>539_1</v>
      </c>
      <c r="J582" t="s">
        <v>18</v>
      </c>
      <c r="K582" t="s">
        <v>115</v>
      </c>
      <c r="L582" t="str">
        <f>_xlfn.XLOOKUP(C582, Table2[Species],Table2[Genus], "Code Not Found")</f>
        <v>Acer</v>
      </c>
      <c r="M582" t="str">
        <f>_xlfn.XLOOKUP(C582, Table2[Species],Table2[Sp. Name], "Code Not Found")</f>
        <v>saccharum</v>
      </c>
      <c r="N582" t="str">
        <f>_xlfn.XLOOKUP(C582,Table2[Species],Table2[Family],"Code Not Found")</f>
        <v>Sapindaceae</v>
      </c>
      <c r="O582" t="str" cm="1">
        <f t="array" ref="O582">_xlfn.IFS(F582="","",F582&lt;=5,"0 to 5",F582&lt;=10,"5.1 to 10",F582&lt;=20,"10 to 20", F582&lt;= 40, "20 to 40", F582 &lt;= 50, "40 to 50", F582 &gt; 50, "&gt;50" )</f>
        <v>20 to 40</v>
      </c>
    </row>
    <row r="583" spans="1:15" ht="14.4" x14ac:dyDescent="0.3">
      <c r="A583" t="s">
        <v>114</v>
      </c>
      <c r="B583" s="1">
        <v>46176</v>
      </c>
      <c r="C583" t="s">
        <v>20</v>
      </c>
      <c r="D583">
        <v>540</v>
      </c>
      <c r="E583">
        <v>1</v>
      </c>
      <c r="F583">
        <v>43.7</v>
      </c>
      <c r="G583" t="s">
        <v>17</v>
      </c>
      <c r="I583" t="str">
        <f t="shared" si="10"/>
        <v>540_1</v>
      </c>
      <c r="J583" t="s">
        <v>18</v>
      </c>
      <c r="K583" t="s">
        <v>115</v>
      </c>
      <c r="L583" t="str">
        <f>_xlfn.XLOOKUP(C583, Table2[Species],Table2[Genus], "Code Not Found")</f>
        <v>Prunus</v>
      </c>
      <c r="M583" t="str">
        <f>_xlfn.XLOOKUP(C583, Table2[Species],Table2[Sp. Name], "Code Not Found")</f>
        <v>serotina</v>
      </c>
      <c r="N583" t="str">
        <f>_xlfn.XLOOKUP(C583,Table2[Species],Table2[Family],"Code Not Found")</f>
        <v>Rosaceae</v>
      </c>
      <c r="O583" t="str" cm="1">
        <f t="array" ref="O583">_xlfn.IFS(F583="","",F583&lt;=5,"0 to 5",F583&lt;=10,"5.1 to 10",F583&lt;=20,"10 to 20", F583&lt;= 40, "20 to 40", F583 &lt;= 50, "40 to 50", F583 &gt; 50, "&gt;50" )</f>
        <v>40 to 50</v>
      </c>
    </row>
    <row r="584" spans="1:15" ht="14.4" x14ac:dyDescent="0.3">
      <c r="A584" t="s">
        <v>114</v>
      </c>
      <c r="B584" s="1">
        <v>46176</v>
      </c>
      <c r="C584" t="s">
        <v>16</v>
      </c>
      <c r="D584">
        <v>541</v>
      </c>
      <c r="E584">
        <v>1</v>
      </c>
      <c r="F584">
        <v>21.2</v>
      </c>
      <c r="G584" t="s">
        <v>34</v>
      </c>
      <c r="I584" t="str">
        <f t="shared" si="10"/>
        <v>541_1</v>
      </c>
      <c r="J584" t="s">
        <v>18</v>
      </c>
      <c r="K584" t="s">
        <v>115</v>
      </c>
      <c r="L584" t="str">
        <f>_xlfn.XLOOKUP(C584, Table2[Species],Table2[Genus], "Code Not Found")</f>
        <v>Acer</v>
      </c>
      <c r="M584" t="str">
        <f>_xlfn.XLOOKUP(C584, Table2[Species],Table2[Sp. Name], "Code Not Found")</f>
        <v>saccharum</v>
      </c>
      <c r="N584" t="str">
        <f>_xlfn.XLOOKUP(C584,Table2[Species],Table2[Family],"Code Not Found")</f>
        <v>Sapindaceae</v>
      </c>
      <c r="O584" t="str" cm="1">
        <f t="array" ref="O584">_xlfn.IFS(F584="","",F584&lt;=5,"0 to 5",F584&lt;=10,"5.1 to 10",F584&lt;=20,"10 to 20", F584&lt;= 40, "20 to 40", F584 &lt;= 50, "40 to 50", F584 &gt; 50, "&gt;50" )</f>
        <v>20 to 40</v>
      </c>
    </row>
    <row r="585" spans="1:15" ht="14.4" x14ac:dyDescent="0.3">
      <c r="A585" t="s">
        <v>114</v>
      </c>
      <c r="B585" s="1">
        <v>46176</v>
      </c>
      <c r="C585" t="s">
        <v>16</v>
      </c>
      <c r="D585">
        <v>541</v>
      </c>
      <c r="E585">
        <v>2</v>
      </c>
      <c r="F585">
        <v>3.1</v>
      </c>
      <c r="G585" t="s">
        <v>132</v>
      </c>
      <c r="H585" t="s">
        <v>166</v>
      </c>
      <c r="I585" t="str">
        <f t="shared" si="10"/>
        <v>541_2</v>
      </c>
      <c r="J585" t="s">
        <v>18</v>
      </c>
      <c r="K585" t="s">
        <v>115</v>
      </c>
      <c r="L585" t="str">
        <f>_xlfn.XLOOKUP(C585, Table2[Species],Table2[Genus], "Code Not Found")</f>
        <v>Acer</v>
      </c>
      <c r="M585" t="str">
        <f>_xlfn.XLOOKUP(C585, Table2[Species],Table2[Sp. Name], "Code Not Found")</f>
        <v>saccharum</v>
      </c>
      <c r="N585" t="str">
        <f>_xlfn.XLOOKUP(C585,Table2[Species],Table2[Family],"Code Not Found")</f>
        <v>Sapindaceae</v>
      </c>
      <c r="O585" t="str" cm="1">
        <f t="array" ref="O585">_xlfn.IFS(F585="","",F585&lt;=5,"0 to 5",F585&lt;=10,"5.1 to 10",F585&lt;=20,"10 to 20", F585&lt;= 40, "20 to 40", F585 &lt;= 50, "40 to 50", F585 &gt; 50, "&gt;50" )</f>
        <v>0 to 5</v>
      </c>
    </row>
    <row r="586" spans="1:15" ht="14.4" x14ac:dyDescent="0.3">
      <c r="A586" t="s">
        <v>114</v>
      </c>
      <c r="B586" s="1">
        <v>46176</v>
      </c>
      <c r="C586" t="s">
        <v>117</v>
      </c>
      <c r="D586">
        <v>542</v>
      </c>
      <c r="E586">
        <v>1</v>
      </c>
      <c r="F586">
        <v>4.9000000000000004</v>
      </c>
      <c r="G586" t="s">
        <v>139</v>
      </c>
      <c r="H586" t="s">
        <v>176</v>
      </c>
      <c r="I586" t="str">
        <f t="shared" si="10"/>
        <v>542_1</v>
      </c>
      <c r="J586" t="s">
        <v>18</v>
      </c>
      <c r="K586" t="s">
        <v>115</v>
      </c>
      <c r="L586" t="str">
        <f>_xlfn.XLOOKUP(C586, Table2[Species],Table2[Genus], "Code Not Found")</f>
        <v>Ostrya</v>
      </c>
      <c r="M586" t="str">
        <f>_xlfn.XLOOKUP(C586, Table2[Species],Table2[Sp. Name], "Code Not Found")</f>
        <v>viginiana</v>
      </c>
      <c r="N586" t="str">
        <f>_xlfn.XLOOKUP(C586,Table2[Species],Table2[Family],"Code Not Found")</f>
        <v>Betulaceae</v>
      </c>
      <c r="O586" t="str" cm="1">
        <f t="array" ref="O586">_xlfn.IFS(F586="","",F586&lt;=5,"0 to 5",F586&lt;=10,"5.1 to 10",F586&lt;=20,"10 to 20", F586&lt;= 40, "20 to 40", F586 &lt;= 50, "40 to 50", F586 &gt; 50, "&gt;50" )</f>
        <v>0 to 5</v>
      </c>
    </row>
    <row r="587" spans="1:15" ht="14.4" x14ac:dyDescent="0.3">
      <c r="A587" t="s">
        <v>114</v>
      </c>
      <c r="B587" s="1">
        <v>46176</v>
      </c>
      <c r="C587" t="s">
        <v>117</v>
      </c>
      <c r="D587">
        <v>543</v>
      </c>
      <c r="E587">
        <v>1</v>
      </c>
      <c r="F587">
        <v>1.3</v>
      </c>
      <c r="G587" t="s">
        <v>17</v>
      </c>
      <c r="I587" t="str">
        <f t="shared" si="10"/>
        <v>543_1</v>
      </c>
      <c r="J587" t="s">
        <v>18</v>
      </c>
      <c r="K587" t="s">
        <v>115</v>
      </c>
      <c r="L587" t="str">
        <f>_xlfn.XLOOKUP(C587, Table2[Species],Table2[Genus], "Code Not Found")</f>
        <v>Ostrya</v>
      </c>
      <c r="M587" t="str">
        <f>_xlfn.XLOOKUP(C587, Table2[Species],Table2[Sp. Name], "Code Not Found")</f>
        <v>viginiana</v>
      </c>
      <c r="N587" t="str">
        <f>_xlfn.XLOOKUP(C587,Table2[Species],Table2[Family],"Code Not Found")</f>
        <v>Betulaceae</v>
      </c>
      <c r="O587" t="str" cm="1">
        <f t="array" ref="O587">_xlfn.IFS(F587="","",F587&lt;=5,"0 to 5",F587&lt;=10,"5.1 to 10",F587&lt;=20,"10 to 20", F587&lt;= 40, "20 to 40", F587 &lt;= 50, "40 to 50", F587 &gt; 50, "&gt;50" )</f>
        <v>0 to 5</v>
      </c>
    </row>
    <row r="588" spans="1:15" ht="14.4" x14ac:dyDescent="0.3">
      <c r="A588" t="s">
        <v>114</v>
      </c>
      <c r="B588" s="1">
        <v>46176</v>
      </c>
      <c r="C588" t="s">
        <v>117</v>
      </c>
      <c r="D588">
        <v>544</v>
      </c>
      <c r="E588">
        <v>1</v>
      </c>
      <c r="F588">
        <v>2.8</v>
      </c>
      <c r="G588" t="s">
        <v>17</v>
      </c>
      <c r="I588" t="str">
        <f t="shared" si="10"/>
        <v>544_1</v>
      </c>
      <c r="J588" t="s">
        <v>18</v>
      </c>
      <c r="K588" t="s">
        <v>115</v>
      </c>
      <c r="L588" t="str">
        <f>_xlfn.XLOOKUP(C588, Table2[Species],Table2[Genus], "Code Not Found")</f>
        <v>Ostrya</v>
      </c>
      <c r="M588" t="str">
        <f>_xlfn.XLOOKUP(C588, Table2[Species],Table2[Sp. Name], "Code Not Found")</f>
        <v>viginiana</v>
      </c>
      <c r="N588" t="str">
        <f>_xlfn.XLOOKUP(C588,Table2[Species],Table2[Family],"Code Not Found")</f>
        <v>Betulaceae</v>
      </c>
      <c r="O588" t="str" cm="1">
        <f t="array" ref="O588">_xlfn.IFS(F588="","",F588&lt;=5,"0 to 5",F588&lt;=10,"5.1 to 10",F588&lt;=20,"10 to 20", F588&lt;= 40, "20 to 40", F588 &lt;= 50, "40 to 50", F588 &gt; 50, "&gt;50" )</f>
        <v>0 to 5</v>
      </c>
    </row>
    <row r="589" spans="1:15" ht="14.4" x14ac:dyDescent="0.3">
      <c r="A589" t="s">
        <v>114</v>
      </c>
      <c r="B589" s="1">
        <v>46176</v>
      </c>
      <c r="C589" t="s">
        <v>22</v>
      </c>
      <c r="D589">
        <v>545</v>
      </c>
      <c r="E589">
        <v>1</v>
      </c>
      <c r="F589">
        <v>11.5</v>
      </c>
      <c r="G589" t="s">
        <v>21</v>
      </c>
      <c r="I589" t="str">
        <f t="shared" si="10"/>
        <v>545_1</v>
      </c>
      <c r="J589" t="s">
        <v>18</v>
      </c>
      <c r="K589" t="s">
        <v>115</v>
      </c>
      <c r="L589" t="str">
        <f>_xlfn.XLOOKUP(C589, Table2[Species],Table2[Genus], "Code Not Found")</f>
        <v>Acer</v>
      </c>
      <c r="M589" t="str">
        <f>_xlfn.XLOOKUP(C589, Table2[Species],Table2[Sp. Name], "Code Not Found")</f>
        <v>rubrum</v>
      </c>
      <c r="N589" t="str">
        <f>_xlfn.XLOOKUP(C589,Table2[Species],Table2[Family],"Code Not Found")</f>
        <v>Sapindaceae</v>
      </c>
      <c r="O589" t="str" cm="1">
        <f t="array" ref="O589">_xlfn.IFS(F589="","",F589&lt;=5,"0 to 5",F589&lt;=10,"5.1 to 10",F589&lt;=20,"10 to 20", F589&lt;= 40, "20 to 40", F589 &lt;= 50, "40 to 50", F589 &gt; 50, "&gt;50" )</f>
        <v>10 to 20</v>
      </c>
    </row>
    <row r="590" spans="1:15" ht="14.4" x14ac:dyDescent="0.3">
      <c r="A590" t="s">
        <v>114</v>
      </c>
      <c r="B590" s="1">
        <v>46176</v>
      </c>
      <c r="C590" t="s">
        <v>123</v>
      </c>
      <c r="D590">
        <v>546</v>
      </c>
      <c r="E590">
        <v>1</v>
      </c>
      <c r="F590">
        <v>31.9</v>
      </c>
      <c r="G590" t="s">
        <v>17</v>
      </c>
      <c r="I590" t="str">
        <f t="shared" si="10"/>
        <v>546_1</v>
      </c>
      <c r="J590" t="s">
        <v>18</v>
      </c>
      <c r="K590" t="s">
        <v>115</v>
      </c>
      <c r="L590" t="str">
        <f>_xlfn.XLOOKUP(C590, Table2[Species],Table2[Genus], "Code Not Found")</f>
        <v>Quercus</v>
      </c>
      <c r="M590" t="str">
        <f>_xlfn.XLOOKUP(C590, Table2[Species],Table2[Sp. Name], "Code Not Found")</f>
        <v>rubra</v>
      </c>
      <c r="N590" t="str">
        <f>_xlfn.XLOOKUP(C590,Table2[Species],Table2[Family],"Code Not Found")</f>
        <v>Fagaceae</v>
      </c>
      <c r="O590" t="str" cm="1">
        <f t="array" ref="O590">_xlfn.IFS(F590="","",F590&lt;=5,"0 to 5",F590&lt;=10,"5.1 to 10",F590&lt;=20,"10 to 20", F590&lt;= 40, "20 to 40", F590 &lt;= 50, "40 to 50", F590 &gt; 50, "&gt;50" )</f>
        <v>20 to 40</v>
      </c>
    </row>
    <row r="591" spans="1:15" ht="14.4" x14ac:dyDescent="0.3">
      <c r="A591" t="s">
        <v>114</v>
      </c>
      <c r="B591" s="1">
        <v>46176</v>
      </c>
      <c r="C591" t="s">
        <v>118</v>
      </c>
      <c r="D591">
        <v>547</v>
      </c>
      <c r="E591">
        <v>1</v>
      </c>
      <c r="F591">
        <v>32</v>
      </c>
      <c r="G591" t="s">
        <v>21</v>
      </c>
      <c r="I591" t="str">
        <f t="shared" si="10"/>
        <v>547_1</v>
      </c>
      <c r="J591" t="s">
        <v>18</v>
      </c>
      <c r="K591" t="s">
        <v>115</v>
      </c>
      <c r="L591" t="str">
        <f>_xlfn.XLOOKUP(C591, Table2[Species],Table2[Genus], "Code Not Found")</f>
        <v>Quercus</v>
      </c>
      <c r="M591" t="str">
        <f>_xlfn.XLOOKUP(C591, Table2[Species],Table2[Sp. Name], "Code Not Found")</f>
        <v>montana</v>
      </c>
      <c r="N591" t="str">
        <f>_xlfn.XLOOKUP(C591,Table2[Species],Table2[Family],"Code Not Found")</f>
        <v>Fagaceae</v>
      </c>
      <c r="O591" t="str" cm="1">
        <f t="array" ref="O591">_xlfn.IFS(F591="","",F591&lt;=5,"0 to 5",F591&lt;=10,"5.1 to 10",F591&lt;=20,"10 to 20", F591&lt;= 40, "20 to 40", F591 &lt;= 50, "40 to 50", F591 &gt; 50, "&gt;50" )</f>
        <v>20 to 40</v>
      </c>
    </row>
    <row r="592" spans="1:15" ht="14.4" x14ac:dyDescent="0.3">
      <c r="A592" t="s">
        <v>177</v>
      </c>
      <c r="B592" s="1">
        <v>46176</v>
      </c>
      <c r="C592" t="s">
        <v>16</v>
      </c>
      <c r="D592">
        <v>548</v>
      </c>
      <c r="E592">
        <v>1</v>
      </c>
      <c r="F592">
        <v>2.8</v>
      </c>
      <c r="G592" t="s">
        <v>103</v>
      </c>
      <c r="I592" t="str">
        <f t="shared" si="10"/>
        <v>548_1</v>
      </c>
      <c r="J592" t="s">
        <v>178</v>
      </c>
      <c r="K592" t="s">
        <v>179</v>
      </c>
      <c r="L592" t="str">
        <f>_xlfn.XLOOKUP(C592, Table2[Species],Table2[Genus], "Code Not Found")</f>
        <v>Acer</v>
      </c>
      <c r="M592" t="str">
        <f>_xlfn.XLOOKUP(C592, Table2[Species],Table2[Sp. Name], "Code Not Found")</f>
        <v>saccharum</v>
      </c>
      <c r="N592" t="str">
        <f>_xlfn.XLOOKUP(C592,Table2[Species],Table2[Family],"Code Not Found")</f>
        <v>Sapindaceae</v>
      </c>
      <c r="O592" t="str" cm="1">
        <f t="array" ref="O592">_xlfn.IFS(F592="","",F592&lt;=5,"0 to 5",F592&lt;=10,"5.1 to 10",F592&lt;=20,"10 to 20", F592&lt;= 40, "20 to 40", F592 &lt;= 50, "40 to 50", F592 &gt; 50, "&gt;50" )</f>
        <v>0 to 5</v>
      </c>
    </row>
    <row r="593" spans="1:15" ht="14.4" x14ac:dyDescent="0.3">
      <c r="A593" t="s">
        <v>177</v>
      </c>
      <c r="B593" s="1">
        <v>46176</v>
      </c>
      <c r="C593" t="s">
        <v>16</v>
      </c>
      <c r="D593">
        <v>549</v>
      </c>
      <c r="E593">
        <v>1</v>
      </c>
      <c r="F593">
        <v>53.8</v>
      </c>
      <c r="G593" t="s">
        <v>30</v>
      </c>
      <c r="H593" t="s">
        <v>99</v>
      </c>
      <c r="I593" t="str">
        <f t="shared" si="10"/>
        <v>549_1</v>
      </c>
      <c r="J593" t="s">
        <v>178</v>
      </c>
      <c r="K593" t="s">
        <v>179</v>
      </c>
      <c r="L593" t="str">
        <f>_xlfn.XLOOKUP(C593, Table2[Species],Table2[Genus], "Code Not Found")</f>
        <v>Acer</v>
      </c>
      <c r="M593" t="str">
        <f>_xlfn.XLOOKUP(C593, Table2[Species],Table2[Sp. Name], "Code Not Found")</f>
        <v>saccharum</v>
      </c>
      <c r="N593" t="str">
        <f>_xlfn.XLOOKUP(C593,Table2[Species],Table2[Family],"Code Not Found")</f>
        <v>Sapindaceae</v>
      </c>
      <c r="O593" t="str" cm="1">
        <f t="array" ref="O593">_xlfn.IFS(F593="","",F593&lt;=5,"0 to 5",F593&lt;=10,"5.1 to 10",F593&lt;=20,"10 to 20", F593&lt;= 40, "20 to 40", F593 &lt;= 50, "40 to 50", F593 &gt; 50, "&gt;50" )</f>
        <v>&gt;50</v>
      </c>
    </row>
    <row r="594" spans="1:15" ht="14.4" x14ac:dyDescent="0.3">
      <c r="A594" t="s">
        <v>177</v>
      </c>
      <c r="B594" s="1">
        <v>46176</v>
      </c>
      <c r="C594" t="s">
        <v>16</v>
      </c>
      <c r="D594">
        <v>550</v>
      </c>
      <c r="E594">
        <v>1</v>
      </c>
      <c r="F594">
        <v>2.2000000000000002</v>
      </c>
      <c r="G594" t="s">
        <v>21</v>
      </c>
      <c r="I594" t="str">
        <f t="shared" si="10"/>
        <v>550_1</v>
      </c>
      <c r="J594" t="s">
        <v>178</v>
      </c>
      <c r="K594" t="s">
        <v>179</v>
      </c>
      <c r="L594" t="str">
        <f>_xlfn.XLOOKUP(C594, Table2[Species],Table2[Genus], "Code Not Found")</f>
        <v>Acer</v>
      </c>
      <c r="M594" t="str">
        <f>_xlfn.XLOOKUP(C594, Table2[Species],Table2[Sp. Name], "Code Not Found")</f>
        <v>saccharum</v>
      </c>
      <c r="N594" t="str">
        <f>_xlfn.XLOOKUP(C594,Table2[Species],Table2[Family],"Code Not Found")</f>
        <v>Sapindaceae</v>
      </c>
      <c r="O594" t="str" cm="1">
        <f t="array" ref="O594">_xlfn.IFS(F594="","",F594&lt;=5,"0 to 5",F594&lt;=10,"5.1 to 10",F594&lt;=20,"10 to 20", F594&lt;= 40, "20 to 40", F594 &lt;= 50, "40 to 50", F594 &gt; 50, "&gt;50" )</f>
        <v>0 to 5</v>
      </c>
    </row>
    <row r="595" spans="1:15" ht="14.4" x14ac:dyDescent="0.3">
      <c r="A595" t="s">
        <v>177</v>
      </c>
      <c r="B595" s="1">
        <v>46176</v>
      </c>
      <c r="C595" t="s">
        <v>180</v>
      </c>
      <c r="D595">
        <v>551</v>
      </c>
      <c r="E595">
        <v>1</v>
      </c>
      <c r="F595">
        <v>43</v>
      </c>
      <c r="G595" t="s">
        <v>21</v>
      </c>
      <c r="I595" t="str">
        <f t="shared" si="10"/>
        <v>551_1</v>
      </c>
      <c r="J595" t="s">
        <v>178</v>
      </c>
      <c r="K595" t="s">
        <v>179</v>
      </c>
      <c r="L595" t="str">
        <f>_xlfn.XLOOKUP(C595, Table2[Species],Table2[Genus], "Code Not Found")</f>
        <v>Tilia</v>
      </c>
      <c r="M595" t="str">
        <f>_xlfn.XLOOKUP(C595, Table2[Species],Table2[Sp. Name], "Code Not Found")</f>
        <v>americana</v>
      </c>
      <c r="N595" t="str">
        <f>_xlfn.XLOOKUP(C595,Table2[Species],Table2[Family],"Code Not Found")</f>
        <v>Malvaceae</v>
      </c>
      <c r="O595" t="str" cm="1">
        <f t="array" ref="O595">_xlfn.IFS(F595="","",F595&lt;=5,"0 to 5",F595&lt;=10,"5.1 to 10",F595&lt;=20,"10 to 20", F595&lt;= 40, "20 to 40", F595 &lt;= 50, "40 to 50", F595 &gt; 50, "&gt;50" )</f>
        <v>40 to 50</v>
      </c>
    </row>
    <row r="596" spans="1:15" ht="14.4" x14ac:dyDescent="0.3">
      <c r="A596" t="s">
        <v>177</v>
      </c>
      <c r="B596" s="1">
        <v>46176</v>
      </c>
      <c r="C596" t="s">
        <v>16</v>
      </c>
      <c r="D596">
        <v>552</v>
      </c>
      <c r="E596">
        <v>1</v>
      </c>
      <c r="F596">
        <v>7.2</v>
      </c>
      <c r="G596" t="s">
        <v>21</v>
      </c>
      <c r="I596" t="str">
        <f t="shared" si="10"/>
        <v>552_1</v>
      </c>
      <c r="J596" t="s">
        <v>178</v>
      </c>
      <c r="K596" t="s">
        <v>179</v>
      </c>
      <c r="L596" t="str">
        <f>_xlfn.XLOOKUP(C596, Table2[Species],Table2[Genus], "Code Not Found")</f>
        <v>Acer</v>
      </c>
      <c r="M596" t="str">
        <f>_xlfn.XLOOKUP(C596, Table2[Species],Table2[Sp. Name], "Code Not Found")</f>
        <v>saccharum</v>
      </c>
      <c r="N596" t="str">
        <f>_xlfn.XLOOKUP(C596,Table2[Species],Table2[Family],"Code Not Found")</f>
        <v>Sapindaceae</v>
      </c>
      <c r="O596" t="str" cm="1">
        <f t="array" ref="O596">_xlfn.IFS(F596="","",F596&lt;=5,"0 to 5",F596&lt;=10,"5.1 to 10",F596&lt;=20,"10 to 20", F596&lt;= 40, "20 to 40", F596 &lt;= 50, "40 to 50", F596 &gt; 50, "&gt;50" )</f>
        <v>5.1 to 10</v>
      </c>
    </row>
    <row r="597" spans="1:15" ht="14.4" x14ac:dyDescent="0.3">
      <c r="A597" t="s">
        <v>177</v>
      </c>
      <c r="B597" s="1">
        <v>46176</v>
      </c>
      <c r="C597" t="s">
        <v>24</v>
      </c>
      <c r="D597">
        <v>553</v>
      </c>
      <c r="E597">
        <v>1</v>
      </c>
      <c r="F597">
        <v>61</v>
      </c>
      <c r="G597" t="s">
        <v>88</v>
      </c>
      <c r="I597" t="str">
        <f t="shared" si="10"/>
        <v>553_1</v>
      </c>
      <c r="J597" t="s">
        <v>178</v>
      </c>
      <c r="K597" t="s">
        <v>179</v>
      </c>
      <c r="L597" t="str">
        <f>_xlfn.XLOOKUP(C597, Table2[Species],Table2[Genus], "Code Not Found")</f>
        <v>Lirodendron</v>
      </c>
      <c r="M597" t="str">
        <f>_xlfn.XLOOKUP(C597, Table2[Species],Table2[Sp. Name], "Code Not Found")</f>
        <v>tulipfera</v>
      </c>
      <c r="N597" t="str">
        <f>_xlfn.XLOOKUP(C597,Table2[Species],Table2[Family],"Code Not Found")</f>
        <v>Magnoliaceae</v>
      </c>
      <c r="O597" t="str" cm="1">
        <f t="array" ref="O597">_xlfn.IFS(F597="","",F597&lt;=5,"0 to 5",F597&lt;=10,"5.1 to 10",F597&lt;=20,"10 to 20", F597&lt;= 40, "20 to 40", F597 &lt;= 50, "40 to 50", F597 &gt; 50, "&gt;50" )</f>
        <v>&gt;50</v>
      </c>
    </row>
    <row r="598" spans="1:15" ht="14.4" x14ac:dyDescent="0.3">
      <c r="A598" t="s">
        <v>177</v>
      </c>
      <c r="B598" s="1">
        <v>46176</v>
      </c>
      <c r="C598" t="s">
        <v>16</v>
      </c>
      <c r="D598">
        <v>554</v>
      </c>
      <c r="E598">
        <v>1</v>
      </c>
      <c r="F598">
        <v>6.5</v>
      </c>
      <c r="G598" t="s">
        <v>17</v>
      </c>
      <c r="I598" t="str">
        <f t="shared" si="10"/>
        <v>554_1</v>
      </c>
      <c r="J598" t="s">
        <v>178</v>
      </c>
      <c r="K598" t="s">
        <v>179</v>
      </c>
      <c r="L598" t="str">
        <f>_xlfn.XLOOKUP(C598, Table2[Species],Table2[Genus], "Code Not Found")</f>
        <v>Acer</v>
      </c>
      <c r="M598" t="str">
        <f>_xlfn.XLOOKUP(C598, Table2[Species],Table2[Sp. Name], "Code Not Found")</f>
        <v>saccharum</v>
      </c>
      <c r="N598" t="str">
        <f>_xlfn.XLOOKUP(C598,Table2[Species],Table2[Family],"Code Not Found")</f>
        <v>Sapindaceae</v>
      </c>
      <c r="O598" t="str" cm="1">
        <f t="array" ref="O598">_xlfn.IFS(F598="","",F598&lt;=5,"0 to 5",F598&lt;=10,"5.1 to 10",F598&lt;=20,"10 to 20", F598&lt;= 40, "20 to 40", F598 &lt;= 50, "40 to 50", F598 &gt; 50, "&gt;50" )</f>
        <v>5.1 to 10</v>
      </c>
    </row>
    <row r="599" spans="1:15" ht="14.4" x14ac:dyDescent="0.3">
      <c r="A599" t="s">
        <v>177</v>
      </c>
      <c r="B599" s="1">
        <v>46176</v>
      </c>
      <c r="C599" t="s">
        <v>16</v>
      </c>
      <c r="D599">
        <v>555</v>
      </c>
      <c r="E599">
        <v>1</v>
      </c>
      <c r="F599">
        <v>5.4</v>
      </c>
      <c r="G599" t="s">
        <v>17</v>
      </c>
      <c r="I599" t="str">
        <f t="shared" si="10"/>
        <v>555_1</v>
      </c>
      <c r="J599" t="s">
        <v>178</v>
      </c>
      <c r="K599" t="s">
        <v>179</v>
      </c>
      <c r="L599" t="str">
        <f>_xlfn.XLOOKUP(C599, Table2[Species],Table2[Genus], "Code Not Found")</f>
        <v>Acer</v>
      </c>
      <c r="M599" t="str">
        <f>_xlfn.XLOOKUP(C599, Table2[Species],Table2[Sp. Name], "Code Not Found")</f>
        <v>saccharum</v>
      </c>
      <c r="N599" t="str">
        <f>_xlfn.XLOOKUP(C599,Table2[Species],Table2[Family],"Code Not Found")</f>
        <v>Sapindaceae</v>
      </c>
      <c r="O599" t="str" cm="1">
        <f t="array" ref="O599">_xlfn.IFS(F599="","",F599&lt;=5,"0 to 5",F599&lt;=10,"5.1 to 10",F599&lt;=20,"10 to 20", F599&lt;= 40, "20 to 40", F599 &lt;= 50, "40 to 50", F599 &gt; 50, "&gt;50" )</f>
        <v>5.1 to 10</v>
      </c>
    </row>
    <row r="600" spans="1:15" ht="14.4" x14ac:dyDescent="0.3">
      <c r="A600" t="s">
        <v>177</v>
      </c>
      <c r="B600" s="1">
        <v>46176</v>
      </c>
      <c r="C600" t="s">
        <v>16</v>
      </c>
      <c r="D600">
        <v>556</v>
      </c>
      <c r="E600">
        <v>1</v>
      </c>
      <c r="F600">
        <v>5.3</v>
      </c>
      <c r="G600" t="s">
        <v>181</v>
      </c>
      <c r="H600" t="s">
        <v>43</v>
      </c>
      <c r="I600" t="str">
        <f t="shared" si="10"/>
        <v>556_1</v>
      </c>
      <c r="J600" t="s">
        <v>178</v>
      </c>
      <c r="K600" t="s">
        <v>179</v>
      </c>
      <c r="L600" t="str">
        <f>_xlfn.XLOOKUP(C600, Table2[Species],Table2[Genus], "Code Not Found")</f>
        <v>Acer</v>
      </c>
      <c r="M600" t="str">
        <f>_xlfn.XLOOKUP(C600, Table2[Species],Table2[Sp. Name], "Code Not Found")</f>
        <v>saccharum</v>
      </c>
      <c r="N600" t="str">
        <f>_xlfn.XLOOKUP(C600,Table2[Species],Table2[Family],"Code Not Found")</f>
        <v>Sapindaceae</v>
      </c>
      <c r="O600" t="str" cm="1">
        <f t="array" ref="O600">_xlfn.IFS(F600="","",F600&lt;=5,"0 to 5",F600&lt;=10,"5.1 to 10",F600&lt;=20,"10 to 20", F600&lt;= 40, "20 to 40", F600 &lt;= 50, "40 to 50", F600 &gt; 50, "&gt;50" )</f>
        <v>5.1 to 10</v>
      </c>
    </row>
    <row r="601" spans="1:15" ht="14.4" x14ac:dyDescent="0.3">
      <c r="A601" t="s">
        <v>177</v>
      </c>
      <c r="B601" s="1">
        <v>46176</v>
      </c>
      <c r="C601" t="s">
        <v>16</v>
      </c>
      <c r="D601">
        <v>556</v>
      </c>
      <c r="E601">
        <v>2</v>
      </c>
      <c r="F601">
        <v>1</v>
      </c>
      <c r="G601" t="s">
        <v>181</v>
      </c>
      <c r="H601" t="s">
        <v>43</v>
      </c>
      <c r="I601" t="str">
        <f t="shared" si="10"/>
        <v>556_2</v>
      </c>
      <c r="J601" t="s">
        <v>178</v>
      </c>
      <c r="K601" t="s">
        <v>179</v>
      </c>
      <c r="L601" t="str">
        <f>_xlfn.XLOOKUP(C601, Table2[Species],Table2[Genus], "Code Not Found")</f>
        <v>Acer</v>
      </c>
      <c r="M601" t="str">
        <f>_xlfn.XLOOKUP(C601, Table2[Species],Table2[Sp. Name], "Code Not Found")</f>
        <v>saccharum</v>
      </c>
      <c r="N601" t="str">
        <f>_xlfn.XLOOKUP(C601,Table2[Species],Table2[Family],"Code Not Found")</f>
        <v>Sapindaceae</v>
      </c>
      <c r="O601" t="str" cm="1">
        <f t="array" ref="O601">_xlfn.IFS(F601="","",F601&lt;=5,"0 to 5",F601&lt;=10,"5.1 to 10",F601&lt;=20,"10 to 20", F601&lt;= 40, "20 to 40", F601 &lt;= 50, "40 to 50", F601 &gt; 50, "&gt;50" )</f>
        <v>0 to 5</v>
      </c>
    </row>
    <row r="602" spans="1:15" ht="14.4" x14ac:dyDescent="0.3">
      <c r="A602" t="s">
        <v>177</v>
      </c>
      <c r="B602" s="1">
        <v>46176</v>
      </c>
      <c r="C602" t="s">
        <v>16</v>
      </c>
      <c r="D602">
        <v>557</v>
      </c>
      <c r="E602">
        <v>1</v>
      </c>
      <c r="F602">
        <v>7.8</v>
      </c>
      <c r="G602" t="s">
        <v>71</v>
      </c>
      <c r="H602" t="s">
        <v>182</v>
      </c>
      <c r="I602" t="str">
        <f t="shared" si="10"/>
        <v>557_1</v>
      </c>
      <c r="J602" t="s">
        <v>178</v>
      </c>
      <c r="K602" t="s">
        <v>179</v>
      </c>
      <c r="L602" t="str">
        <f>_xlfn.XLOOKUP(C602, Table2[Species],Table2[Genus], "Code Not Found")</f>
        <v>Acer</v>
      </c>
      <c r="M602" t="str">
        <f>_xlfn.XLOOKUP(C602, Table2[Species],Table2[Sp. Name], "Code Not Found")</f>
        <v>saccharum</v>
      </c>
      <c r="N602" t="str">
        <f>_xlfn.XLOOKUP(C602,Table2[Species],Table2[Family],"Code Not Found")</f>
        <v>Sapindaceae</v>
      </c>
      <c r="O602" t="str" cm="1">
        <f t="array" ref="O602">_xlfn.IFS(F602="","",F602&lt;=5,"0 to 5",F602&lt;=10,"5.1 to 10",F602&lt;=20,"10 to 20", F602&lt;= 40, "20 to 40", F602 &lt;= 50, "40 to 50", F602 &gt; 50, "&gt;50" )</f>
        <v>5.1 to 10</v>
      </c>
    </row>
    <row r="603" spans="1:15" ht="14.4" x14ac:dyDescent="0.3">
      <c r="A603" t="s">
        <v>177</v>
      </c>
      <c r="B603" s="1">
        <v>46176</v>
      </c>
      <c r="C603" t="s">
        <v>16</v>
      </c>
      <c r="D603">
        <v>558</v>
      </c>
      <c r="E603">
        <v>1</v>
      </c>
      <c r="F603">
        <v>4.2</v>
      </c>
      <c r="G603" t="s">
        <v>21</v>
      </c>
      <c r="I603" t="str">
        <f t="shared" si="10"/>
        <v>558_1</v>
      </c>
      <c r="J603" t="s">
        <v>178</v>
      </c>
      <c r="K603" t="s">
        <v>179</v>
      </c>
      <c r="L603" t="str">
        <f>_xlfn.XLOOKUP(C603, Table2[Species],Table2[Genus], "Code Not Found")</f>
        <v>Acer</v>
      </c>
      <c r="M603" t="str">
        <f>_xlfn.XLOOKUP(C603, Table2[Species],Table2[Sp. Name], "Code Not Found")</f>
        <v>saccharum</v>
      </c>
      <c r="N603" t="str">
        <f>_xlfn.XLOOKUP(C603,Table2[Species],Table2[Family],"Code Not Found")</f>
        <v>Sapindaceae</v>
      </c>
      <c r="O603" t="str" cm="1">
        <f t="array" ref="O603">_xlfn.IFS(F603="","",F603&lt;=5,"0 to 5",F603&lt;=10,"5.1 to 10",F603&lt;=20,"10 to 20", F603&lt;= 40, "20 to 40", F603 &lt;= 50, "40 to 50", F603 &gt; 50, "&gt;50" )</f>
        <v>0 to 5</v>
      </c>
    </row>
    <row r="604" spans="1:15" ht="14.4" x14ac:dyDescent="0.3">
      <c r="A604" t="s">
        <v>177</v>
      </c>
      <c r="B604" s="1">
        <v>46176</v>
      </c>
      <c r="C604" t="s">
        <v>16</v>
      </c>
      <c r="D604">
        <v>559</v>
      </c>
      <c r="E604">
        <v>1</v>
      </c>
      <c r="F604">
        <v>4.5999999999999996</v>
      </c>
      <c r="G604" t="s">
        <v>17</v>
      </c>
      <c r="I604" t="str">
        <f t="shared" si="10"/>
        <v>559_1</v>
      </c>
      <c r="J604" t="s">
        <v>178</v>
      </c>
      <c r="K604" t="s">
        <v>179</v>
      </c>
      <c r="L604" t="str">
        <f>_xlfn.XLOOKUP(C604, Table2[Species],Table2[Genus], "Code Not Found")</f>
        <v>Acer</v>
      </c>
      <c r="M604" t="str">
        <f>_xlfn.XLOOKUP(C604, Table2[Species],Table2[Sp. Name], "Code Not Found")</f>
        <v>saccharum</v>
      </c>
      <c r="N604" t="str">
        <f>_xlfn.XLOOKUP(C604,Table2[Species],Table2[Family],"Code Not Found")</f>
        <v>Sapindaceae</v>
      </c>
      <c r="O604" t="str" cm="1">
        <f t="array" ref="O604">_xlfn.IFS(F604="","",F604&lt;=5,"0 to 5",F604&lt;=10,"5.1 to 10",F604&lt;=20,"10 to 20", F604&lt;= 40, "20 to 40", F604 &lt;= 50, "40 to 50", F604 &gt; 50, "&gt;50" )</f>
        <v>0 to 5</v>
      </c>
    </row>
    <row r="605" spans="1:15" ht="14.4" x14ac:dyDescent="0.3">
      <c r="A605" t="s">
        <v>177</v>
      </c>
      <c r="B605" s="1">
        <v>46176</v>
      </c>
      <c r="C605" t="s">
        <v>16</v>
      </c>
      <c r="D605">
        <v>560</v>
      </c>
      <c r="E605">
        <v>1</v>
      </c>
      <c r="F605">
        <v>52.5</v>
      </c>
      <c r="G605" t="s">
        <v>17</v>
      </c>
      <c r="I605" t="str">
        <f t="shared" si="10"/>
        <v>560_1</v>
      </c>
      <c r="J605" t="s">
        <v>178</v>
      </c>
      <c r="K605" t="s">
        <v>179</v>
      </c>
      <c r="L605" t="str">
        <f>_xlfn.XLOOKUP(C605, Table2[Species],Table2[Genus], "Code Not Found")</f>
        <v>Acer</v>
      </c>
      <c r="M605" t="str">
        <f>_xlfn.XLOOKUP(C605, Table2[Species],Table2[Sp. Name], "Code Not Found")</f>
        <v>saccharum</v>
      </c>
      <c r="N605" t="str">
        <f>_xlfn.XLOOKUP(C605,Table2[Species],Table2[Family],"Code Not Found")</f>
        <v>Sapindaceae</v>
      </c>
      <c r="O605" t="str" cm="1">
        <f t="array" ref="O605">_xlfn.IFS(F605="","",F605&lt;=5,"0 to 5",F605&lt;=10,"5.1 to 10",F605&lt;=20,"10 to 20", F605&lt;= 40, "20 to 40", F605 &lt;= 50, "40 to 50", F605 &gt; 50, "&gt;50" )</f>
        <v>&gt;50</v>
      </c>
    </row>
    <row r="606" spans="1:15" ht="14.4" x14ac:dyDescent="0.3">
      <c r="A606" t="s">
        <v>177</v>
      </c>
      <c r="B606" s="1">
        <v>46176</v>
      </c>
      <c r="C606" t="s">
        <v>16</v>
      </c>
      <c r="D606">
        <v>561</v>
      </c>
      <c r="E606">
        <v>1</v>
      </c>
      <c r="F606">
        <v>46</v>
      </c>
      <c r="G606" t="s">
        <v>21</v>
      </c>
      <c r="I606" t="str">
        <f t="shared" si="10"/>
        <v>561_1</v>
      </c>
      <c r="J606" t="s">
        <v>178</v>
      </c>
      <c r="K606" t="s">
        <v>179</v>
      </c>
      <c r="L606" t="str">
        <f>_xlfn.XLOOKUP(C606, Table2[Species],Table2[Genus], "Code Not Found")</f>
        <v>Acer</v>
      </c>
      <c r="M606" t="str">
        <f>_xlfn.XLOOKUP(C606, Table2[Species],Table2[Sp. Name], "Code Not Found")</f>
        <v>saccharum</v>
      </c>
      <c r="N606" t="str">
        <f>_xlfn.XLOOKUP(C606,Table2[Species],Table2[Family],"Code Not Found")</f>
        <v>Sapindaceae</v>
      </c>
      <c r="O606" t="str" cm="1">
        <f t="array" ref="O606">_xlfn.IFS(F606="","",F606&lt;=5,"0 to 5",F606&lt;=10,"5.1 to 10",F606&lt;=20,"10 to 20", F606&lt;= 40, "20 to 40", F606 &lt;= 50, "40 to 50", F606 &gt; 50, "&gt;50" )</f>
        <v>40 to 50</v>
      </c>
    </row>
    <row r="607" spans="1:15" ht="14.4" x14ac:dyDescent="0.3">
      <c r="A607" t="s">
        <v>177</v>
      </c>
      <c r="B607" s="1">
        <v>46176</v>
      </c>
      <c r="C607" t="s">
        <v>16</v>
      </c>
      <c r="D607">
        <v>562</v>
      </c>
      <c r="E607">
        <v>1</v>
      </c>
      <c r="F607">
        <v>7.1</v>
      </c>
      <c r="G607" t="s">
        <v>21</v>
      </c>
      <c r="I607" t="str">
        <f t="shared" si="10"/>
        <v>562_1</v>
      </c>
      <c r="J607" t="s">
        <v>178</v>
      </c>
      <c r="K607" t="s">
        <v>179</v>
      </c>
      <c r="L607" t="str">
        <f>_xlfn.XLOOKUP(C607, Table2[Species],Table2[Genus], "Code Not Found")</f>
        <v>Acer</v>
      </c>
      <c r="M607" t="str">
        <f>_xlfn.XLOOKUP(C607, Table2[Species],Table2[Sp. Name], "Code Not Found")</f>
        <v>saccharum</v>
      </c>
      <c r="N607" t="str">
        <f>_xlfn.XLOOKUP(C607,Table2[Species],Table2[Family],"Code Not Found")</f>
        <v>Sapindaceae</v>
      </c>
      <c r="O607" t="str" cm="1">
        <f t="array" ref="O607">_xlfn.IFS(F607="","",F607&lt;=5,"0 to 5",F607&lt;=10,"5.1 to 10",F607&lt;=20,"10 to 20", F607&lt;= 40, "20 to 40", F607 &lt;= 50, "40 to 50", F607 &gt; 50, "&gt;50" )</f>
        <v>5.1 to 10</v>
      </c>
    </row>
    <row r="608" spans="1:15" ht="14.4" x14ac:dyDescent="0.3">
      <c r="A608" t="s">
        <v>177</v>
      </c>
      <c r="B608" s="1">
        <v>46176</v>
      </c>
      <c r="C608" t="s">
        <v>16</v>
      </c>
      <c r="D608">
        <v>563</v>
      </c>
      <c r="E608">
        <v>1</v>
      </c>
      <c r="F608">
        <v>3.3</v>
      </c>
      <c r="G608" t="s">
        <v>21</v>
      </c>
      <c r="I608" t="str">
        <f t="shared" si="10"/>
        <v>563_1</v>
      </c>
      <c r="J608" t="s">
        <v>178</v>
      </c>
      <c r="K608" t="s">
        <v>179</v>
      </c>
      <c r="L608" t="str">
        <f>_xlfn.XLOOKUP(C608, Table2[Species],Table2[Genus], "Code Not Found")</f>
        <v>Acer</v>
      </c>
      <c r="M608" t="str">
        <f>_xlfn.XLOOKUP(C608, Table2[Species],Table2[Sp. Name], "Code Not Found")</f>
        <v>saccharum</v>
      </c>
      <c r="N608" t="str">
        <f>_xlfn.XLOOKUP(C608,Table2[Species],Table2[Family],"Code Not Found")</f>
        <v>Sapindaceae</v>
      </c>
      <c r="O608" t="str" cm="1">
        <f t="array" ref="O608">_xlfn.IFS(F608="","",F608&lt;=5,"0 to 5",F608&lt;=10,"5.1 to 10",F608&lt;=20,"10 to 20", F608&lt;= 40, "20 to 40", F608 &lt;= 50, "40 to 50", F608 &gt; 50, "&gt;50" )</f>
        <v>0 to 5</v>
      </c>
    </row>
    <row r="609" spans="1:15" ht="14.4" x14ac:dyDescent="0.3">
      <c r="A609" t="s">
        <v>177</v>
      </c>
      <c r="B609" s="1">
        <v>46176</v>
      </c>
      <c r="C609" t="s">
        <v>16</v>
      </c>
      <c r="D609">
        <v>564</v>
      </c>
      <c r="E609">
        <v>1</v>
      </c>
      <c r="F609">
        <v>10.6</v>
      </c>
      <c r="G609" t="s">
        <v>88</v>
      </c>
      <c r="H609" t="s">
        <v>183</v>
      </c>
      <c r="I609" t="str">
        <f t="shared" si="10"/>
        <v>564_1</v>
      </c>
      <c r="J609" t="s">
        <v>178</v>
      </c>
      <c r="K609" t="s">
        <v>179</v>
      </c>
      <c r="L609" t="str">
        <f>_xlfn.XLOOKUP(C609, Table2[Species],Table2[Genus], "Code Not Found")</f>
        <v>Acer</v>
      </c>
      <c r="M609" t="str">
        <f>_xlfn.XLOOKUP(C609, Table2[Species],Table2[Sp. Name], "Code Not Found")</f>
        <v>saccharum</v>
      </c>
      <c r="N609" t="str">
        <f>_xlfn.XLOOKUP(C609,Table2[Species],Table2[Family],"Code Not Found")</f>
        <v>Sapindaceae</v>
      </c>
      <c r="O609" t="str" cm="1">
        <f t="array" ref="O609">_xlfn.IFS(F609="","",F609&lt;=5,"0 to 5",F609&lt;=10,"5.1 to 10",F609&lt;=20,"10 to 20", F609&lt;= 40, "20 to 40", F609 &lt;= 50, "40 to 50", F609 &gt; 50, "&gt;50" )</f>
        <v>10 to 20</v>
      </c>
    </row>
    <row r="610" spans="1:15" ht="14.4" x14ac:dyDescent="0.3">
      <c r="A610" t="s">
        <v>177</v>
      </c>
      <c r="B610" s="1">
        <v>46176</v>
      </c>
      <c r="C610" t="s">
        <v>16</v>
      </c>
      <c r="D610">
        <v>565</v>
      </c>
      <c r="E610">
        <v>1</v>
      </c>
      <c r="F610">
        <v>6.3</v>
      </c>
      <c r="G610" t="s">
        <v>17</v>
      </c>
      <c r="I610" t="str">
        <f t="shared" si="10"/>
        <v>565_1</v>
      </c>
      <c r="J610" t="s">
        <v>178</v>
      </c>
      <c r="K610" t="s">
        <v>179</v>
      </c>
      <c r="L610" t="str">
        <f>_xlfn.XLOOKUP(C610, Table2[Species],Table2[Genus], "Code Not Found")</f>
        <v>Acer</v>
      </c>
      <c r="M610" t="str">
        <f>_xlfn.XLOOKUP(C610, Table2[Species],Table2[Sp. Name], "Code Not Found")</f>
        <v>saccharum</v>
      </c>
      <c r="N610" t="str">
        <f>_xlfn.XLOOKUP(C610,Table2[Species],Table2[Family],"Code Not Found")</f>
        <v>Sapindaceae</v>
      </c>
      <c r="O610" t="str" cm="1">
        <f t="array" ref="O610">_xlfn.IFS(F610="","",F610&lt;=5,"0 to 5",F610&lt;=10,"5.1 to 10",F610&lt;=20,"10 to 20", F610&lt;= 40, "20 to 40", F610 &lt;= 50, "40 to 50", F610 &gt; 50, "&gt;50" )</f>
        <v>5.1 to 10</v>
      </c>
    </row>
    <row r="611" spans="1:15" ht="14.4" x14ac:dyDescent="0.3">
      <c r="A611" t="s">
        <v>177</v>
      </c>
      <c r="B611" s="1">
        <v>46176</v>
      </c>
      <c r="C611" t="s">
        <v>64</v>
      </c>
      <c r="D611">
        <v>566</v>
      </c>
      <c r="E611">
        <v>1</v>
      </c>
      <c r="F611">
        <v>8.3000000000000007</v>
      </c>
      <c r="G611" t="s">
        <v>30</v>
      </c>
      <c r="H611" t="s">
        <v>99</v>
      </c>
      <c r="I611" t="str">
        <f t="shared" si="10"/>
        <v>566_1</v>
      </c>
      <c r="J611" t="s">
        <v>178</v>
      </c>
      <c r="K611" t="s">
        <v>179</v>
      </c>
      <c r="L611" t="str">
        <f>_xlfn.XLOOKUP(C611, Table2[Species],Table2[Genus], "Code Not Found")</f>
        <v>Fagus</v>
      </c>
      <c r="M611" t="str">
        <f>_xlfn.XLOOKUP(C611, Table2[Species],Table2[Sp. Name], "Code Not Found")</f>
        <v>grandifolia</v>
      </c>
      <c r="N611" t="str">
        <f>_xlfn.XLOOKUP(C611,Table2[Species],Table2[Family],"Code Not Found")</f>
        <v>Fagaceae</v>
      </c>
      <c r="O611" t="str" cm="1">
        <f t="array" ref="O611">_xlfn.IFS(F611="","",F611&lt;=5,"0 to 5",F611&lt;=10,"5.1 to 10",F611&lt;=20,"10 to 20", F611&lt;= 40, "20 to 40", F611 &lt;= 50, "40 to 50", F611 &gt; 50, "&gt;50" )</f>
        <v>5.1 to 10</v>
      </c>
    </row>
    <row r="612" spans="1:15" ht="14.4" x14ac:dyDescent="0.3">
      <c r="A612" t="s">
        <v>177</v>
      </c>
      <c r="B612" s="1">
        <v>46176</v>
      </c>
      <c r="C612" t="s">
        <v>64</v>
      </c>
      <c r="D612">
        <v>567</v>
      </c>
      <c r="E612">
        <v>1</v>
      </c>
      <c r="F612">
        <v>3.8</v>
      </c>
      <c r="G612" t="s">
        <v>21</v>
      </c>
      <c r="I612" t="str">
        <f t="shared" si="10"/>
        <v>567_1</v>
      </c>
      <c r="J612" t="s">
        <v>178</v>
      </c>
      <c r="K612" t="s">
        <v>179</v>
      </c>
      <c r="L612" t="str">
        <f>_xlfn.XLOOKUP(C612, Table2[Species],Table2[Genus], "Code Not Found")</f>
        <v>Fagus</v>
      </c>
      <c r="M612" t="str">
        <f>_xlfn.XLOOKUP(C612, Table2[Species],Table2[Sp. Name], "Code Not Found")</f>
        <v>grandifolia</v>
      </c>
      <c r="N612" t="str">
        <f>_xlfn.XLOOKUP(C612,Table2[Species],Table2[Family],"Code Not Found")</f>
        <v>Fagaceae</v>
      </c>
      <c r="O612" t="str" cm="1">
        <f t="array" ref="O612">_xlfn.IFS(F612="","",F612&lt;=5,"0 to 5",F612&lt;=10,"5.1 to 10",F612&lt;=20,"10 to 20", F612&lt;= 40, "20 to 40", F612 &lt;= 50, "40 to 50", F612 &gt; 50, "&gt;50" )</f>
        <v>0 to 5</v>
      </c>
    </row>
    <row r="613" spans="1:15" ht="14.4" x14ac:dyDescent="0.3">
      <c r="A613" t="s">
        <v>177</v>
      </c>
      <c r="B613" s="1">
        <v>46176</v>
      </c>
      <c r="C613" t="s">
        <v>16</v>
      </c>
      <c r="D613">
        <v>568</v>
      </c>
      <c r="E613">
        <v>1</v>
      </c>
      <c r="F613">
        <v>41.1</v>
      </c>
      <c r="G613" t="s">
        <v>21</v>
      </c>
      <c r="I613" t="str">
        <f t="shared" ref="I613:I677" si="11">D613&amp;"_"&amp;E613</f>
        <v>568_1</v>
      </c>
      <c r="J613" t="s">
        <v>178</v>
      </c>
      <c r="K613" t="s">
        <v>179</v>
      </c>
      <c r="L613" t="str">
        <f>_xlfn.XLOOKUP(C613, Table2[Species],Table2[Genus], "Code Not Found")</f>
        <v>Acer</v>
      </c>
      <c r="M613" t="str">
        <f>_xlfn.XLOOKUP(C613, Table2[Species],Table2[Sp. Name], "Code Not Found")</f>
        <v>saccharum</v>
      </c>
      <c r="N613" t="str">
        <f>_xlfn.XLOOKUP(C613,Table2[Species],Table2[Family],"Code Not Found")</f>
        <v>Sapindaceae</v>
      </c>
      <c r="O613" t="str" cm="1">
        <f t="array" ref="O613">_xlfn.IFS(F613="","",F613&lt;=5,"0 to 5",F613&lt;=10,"5.1 to 10",F613&lt;=20,"10 to 20", F613&lt;= 40, "20 to 40", F613 &lt;= 50, "40 to 50", F613 &gt; 50, "&gt;50" )</f>
        <v>40 to 50</v>
      </c>
    </row>
    <row r="614" spans="1:15" ht="14.4" x14ac:dyDescent="0.3">
      <c r="A614" t="s">
        <v>177</v>
      </c>
      <c r="B614" s="1">
        <v>46176</v>
      </c>
      <c r="C614" t="s">
        <v>16</v>
      </c>
      <c r="D614">
        <v>569</v>
      </c>
      <c r="E614">
        <v>1</v>
      </c>
      <c r="F614">
        <v>4.4000000000000004</v>
      </c>
      <c r="G614" t="s">
        <v>88</v>
      </c>
      <c r="H614" t="s">
        <v>121</v>
      </c>
      <c r="I614" t="str">
        <f t="shared" si="11"/>
        <v>569_1</v>
      </c>
      <c r="J614" t="s">
        <v>178</v>
      </c>
      <c r="K614" t="s">
        <v>179</v>
      </c>
      <c r="L614" t="str">
        <f>_xlfn.XLOOKUP(C614, Table2[Species],Table2[Genus], "Code Not Found")</f>
        <v>Acer</v>
      </c>
      <c r="M614" t="str">
        <f>_xlfn.XLOOKUP(C614, Table2[Species],Table2[Sp. Name], "Code Not Found")</f>
        <v>saccharum</v>
      </c>
      <c r="N614" t="str">
        <f>_xlfn.XLOOKUP(C614,Table2[Species],Table2[Family],"Code Not Found")</f>
        <v>Sapindaceae</v>
      </c>
      <c r="O614" t="str" cm="1">
        <f t="array" ref="O614">_xlfn.IFS(F614="","",F614&lt;=5,"0 to 5",F614&lt;=10,"5.1 to 10",F614&lt;=20,"10 to 20", F614&lt;= 40, "20 to 40", F614 &lt;= 50, "40 to 50", F614 &gt; 50, "&gt;50" )</f>
        <v>0 to 5</v>
      </c>
    </row>
    <row r="615" spans="1:15" ht="14.4" x14ac:dyDescent="0.3">
      <c r="A615" t="s">
        <v>177</v>
      </c>
      <c r="B615" s="1">
        <v>46176</v>
      </c>
      <c r="C615" t="s">
        <v>16</v>
      </c>
      <c r="D615">
        <v>570</v>
      </c>
      <c r="E615">
        <v>1</v>
      </c>
      <c r="F615">
        <v>3.4</v>
      </c>
      <c r="G615" t="s">
        <v>17</v>
      </c>
      <c r="I615" t="str">
        <f t="shared" si="11"/>
        <v>570_1</v>
      </c>
      <c r="J615" t="s">
        <v>178</v>
      </c>
      <c r="K615" t="s">
        <v>179</v>
      </c>
      <c r="L615" t="str">
        <f>_xlfn.XLOOKUP(C615, Table2[Species],Table2[Genus], "Code Not Found")</f>
        <v>Acer</v>
      </c>
      <c r="M615" t="str">
        <f>_xlfn.XLOOKUP(C615, Table2[Species],Table2[Sp. Name], "Code Not Found")</f>
        <v>saccharum</v>
      </c>
      <c r="N615" t="str">
        <f>_xlfn.XLOOKUP(C615,Table2[Species],Table2[Family],"Code Not Found")</f>
        <v>Sapindaceae</v>
      </c>
      <c r="O615" t="str" cm="1">
        <f t="array" ref="O615">_xlfn.IFS(F615="","",F615&lt;=5,"0 to 5",F615&lt;=10,"5.1 to 10",F615&lt;=20,"10 to 20", F615&lt;= 40, "20 to 40", F615 &lt;= 50, "40 to 50", F615 &gt; 50, "&gt;50" )</f>
        <v>0 to 5</v>
      </c>
    </row>
    <row r="616" spans="1:15" ht="14.4" x14ac:dyDescent="0.3">
      <c r="A616" t="s">
        <v>177</v>
      </c>
      <c r="B616" s="1">
        <v>46176</v>
      </c>
      <c r="C616" t="s">
        <v>16</v>
      </c>
      <c r="D616">
        <v>571</v>
      </c>
      <c r="E616">
        <v>1</v>
      </c>
      <c r="F616">
        <v>4.2</v>
      </c>
      <c r="G616" t="s">
        <v>47</v>
      </c>
      <c r="H616" t="s">
        <v>43</v>
      </c>
      <c r="I616" t="str">
        <f t="shared" si="11"/>
        <v>571_1</v>
      </c>
      <c r="J616" t="s">
        <v>178</v>
      </c>
      <c r="K616" t="s">
        <v>179</v>
      </c>
      <c r="L616" t="str">
        <f>_xlfn.XLOOKUP(C616, Table2[Species],Table2[Genus], "Code Not Found")</f>
        <v>Acer</v>
      </c>
      <c r="M616" t="str">
        <f>_xlfn.XLOOKUP(C616, Table2[Species],Table2[Sp. Name], "Code Not Found")</f>
        <v>saccharum</v>
      </c>
      <c r="N616" t="str">
        <f>_xlfn.XLOOKUP(C616,Table2[Species],Table2[Family],"Code Not Found")</f>
        <v>Sapindaceae</v>
      </c>
      <c r="O616" t="str" cm="1">
        <f t="array" ref="O616">_xlfn.IFS(F616="","",F616&lt;=5,"0 to 5",F616&lt;=10,"5.1 to 10",F616&lt;=20,"10 to 20", F616&lt;= 40, "20 to 40", F616 &lt;= 50, "40 to 50", F616 &gt; 50, "&gt;50" )</f>
        <v>0 to 5</v>
      </c>
    </row>
    <row r="617" spans="1:15" ht="14.4" x14ac:dyDescent="0.3">
      <c r="A617" t="s">
        <v>177</v>
      </c>
      <c r="B617" s="1">
        <v>46176</v>
      </c>
      <c r="C617" t="s">
        <v>16</v>
      </c>
      <c r="D617">
        <v>572</v>
      </c>
      <c r="E617">
        <v>1</v>
      </c>
      <c r="F617">
        <v>3.2</v>
      </c>
      <c r="G617" t="s">
        <v>32</v>
      </c>
      <c r="I617" t="str">
        <f t="shared" si="11"/>
        <v>572_1</v>
      </c>
      <c r="J617" t="s">
        <v>178</v>
      </c>
      <c r="K617" t="s">
        <v>179</v>
      </c>
      <c r="L617" t="str">
        <f>_xlfn.XLOOKUP(C617, Table2[Species],Table2[Genus], "Code Not Found")</f>
        <v>Acer</v>
      </c>
      <c r="M617" t="str">
        <f>_xlfn.XLOOKUP(C617, Table2[Species],Table2[Sp. Name], "Code Not Found")</f>
        <v>saccharum</v>
      </c>
      <c r="N617" t="str">
        <f>_xlfn.XLOOKUP(C617,Table2[Species],Table2[Family],"Code Not Found")</f>
        <v>Sapindaceae</v>
      </c>
      <c r="O617" t="str" cm="1">
        <f t="array" ref="O617">_xlfn.IFS(F617="","",F617&lt;=5,"0 to 5",F617&lt;=10,"5.1 to 10",F617&lt;=20,"10 to 20", F617&lt;= 40, "20 to 40", F617 &lt;= 50, "40 to 50", F617 &gt; 50, "&gt;50" )</f>
        <v>0 to 5</v>
      </c>
    </row>
    <row r="618" spans="1:15" ht="14.4" x14ac:dyDescent="0.3">
      <c r="A618" t="s">
        <v>177</v>
      </c>
      <c r="B618" s="1">
        <v>46176</v>
      </c>
      <c r="C618" t="s">
        <v>16</v>
      </c>
      <c r="D618">
        <v>572</v>
      </c>
      <c r="E618">
        <v>2</v>
      </c>
      <c r="F618">
        <v>2.9</v>
      </c>
      <c r="G618" t="s">
        <v>32</v>
      </c>
      <c r="I618" t="str">
        <f t="shared" si="11"/>
        <v>572_2</v>
      </c>
      <c r="J618" t="s">
        <v>178</v>
      </c>
      <c r="K618" t="s">
        <v>179</v>
      </c>
      <c r="L618" t="str">
        <f>_xlfn.XLOOKUP(C618, Table2[Species],Table2[Genus], "Code Not Found")</f>
        <v>Acer</v>
      </c>
      <c r="M618" t="str">
        <f>_xlfn.XLOOKUP(C618, Table2[Species],Table2[Sp. Name], "Code Not Found")</f>
        <v>saccharum</v>
      </c>
      <c r="N618" t="str">
        <f>_xlfn.XLOOKUP(C618,Table2[Species],Table2[Family],"Code Not Found")</f>
        <v>Sapindaceae</v>
      </c>
      <c r="O618" t="str" cm="1">
        <f t="array" ref="O618">_xlfn.IFS(F618="","",F618&lt;=5,"0 to 5",F618&lt;=10,"5.1 to 10",F618&lt;=20,"10 to 20", F618&lt;= 40, "20 to 40", F618 &lt;= 50, "40 to 50", F618 &gt; 50, "&gt;50" )</f>
        <v>0 to 5</v>
      </c>
    </row>
    <row r="619" spans="1:15" ht="14.4" x14ac:dyDescent="0.3">
      <c r="A619" t="s">
        <v>177</v>
      </c>
      <c r="B619" s="1">
        <v>46176</v>
      </c>
      <c r="C619" t="s">
        <v>16</v>
      </c>
      <c r="D619">
        <v>573</v>
      </c>
      <c r="E619">
        <v>1</v>
      </c>
      <c r="F619">
        <v>7</v>
      </c>
      <c r="G619" t="s">
        <v>88</v>
      </c>
      <c r="H619" t="s">
        <v>100</v>
      </c>
      <c r="I619" t="str">
        <f t="shared" si="11"/>
        <v>573_1</v>
      </c>
      <c r="J619" t="s">
        <v>178</v>
      </c>
      <c r="K619" t="s">
        <v>179</v>
      </c>
      <c r="L619" t="str">
        <f>_xlfn.XLOOKUP(C619, Table2[Species],Table2[Genus], "Code Not Found")</f>
        <v>Acer</v>
      </c>
      <c r="M619" t="str">
        <f>_xlfn.XLOOKUP(C619, Table2[Species],Table2[Sp. Name], "Code Not Found")</f>
        <v>saccharum</v>
      </c>
      <c r="N619" t="str">
        <f>_xlfn.XLOOKUP(C619,Table2[Species],Table2[Family],"Code Not Found")</f>
        <v>Sapindaceae</v>
      </c>
      <c r="O619" t="str" cm="1">
        <f t="array" ref="O619">_xlfn.IFS(F619="","",F619&lt;=5,"0 to 5",F619&lt;=10,"5.1 to 10",F619&lt;=20,"10 to 20", F619&lt;= 40, "20 to 40", F619 &lt;= 50, "40 to 50", F619 &gt; 50, "&gt;50" )</f>
        <v>5.1 to 10</v>
      </c>
    </row>
    <row r="620" spans="1:15" ht="14.4" x14ac:dyDescent="0.3">
      <c r="A620" t="s">
        <v>177</v>
      </c>
      <c r="B620" s="1">
        <v>46176</v>
      </c>
      <c r="C620" t="s">
        <v>16</v>
      </c>
      <c r="D620">
        <v>574</v>
      </c>
      <c r="E620">
        <v>1</v>
      </c>
      <c r="F620">
        <v>5.4</v>
      </c>
      <c r="G620" t="s">
        <v>21</v>
      </c>
      <c r="I620" t="str">
        <f t="shared" si="11"/>
        <v>574_1</v>
      </c>
      <c r="J620" t="s">
        <v>178</v>
      </c>
      <c r="K620" t="s">
        <v>179</v>
      </c>
      <c r="L620" t="str">
        <f>_xlfn.XLOOKUP(C620, Table2[Species],Table2[Genus], "Code Not Found")</f>
        <v>Acer</v>
      </c>
      <c r="M620" t="str">
        <f>_xlfn.XLOOKUP(C620, Table2[Species],Table2[Sp. Name], "Code Not Found")</f>
        <v>saccharum</v>
      </c>
      <c r="N620" t="str">
        <f>_xlfn.XLOOKUP(C620,Table2[Species],Table2[Family],"Code Not Found")</f>
        <v>Sapindaceae</v>
      </c>
      <c r="O620" t="str" cm="1">
        <f t="array" ref="O620">_xlfn.IFS(F620="","",F620&lt;=5,"0 to 5",F620&lt;=10,"5.1 to 10",F620&lt;=20,"10 to 20", F620&lt;= 40, "20 to 40", F620 &lt;= 50, "40 to 50", F620 &gt; 50, "&gt;50" )</f>
        <v>5.1 to 10</v>
      </c>
    </row>
    <row r="621" spans="1:15" ht="14.4" x14ac:dyDescent="0.3">
      <c r="A621" t="s">
        <v>177</v>
      </c>
      <c r="B621" s="1">
        <v>46176</v>
      </c>
      <c r="C621" t="s">
        <v>16</v>
      </c>
      <c r="D621">
        <v>575</v>
      </c>
      <c r="E621">
        <v>1</v>
      </c>
      <c r="F621">
        <v>10.6</v>
      </c>
      <c r="G621" t="s">
        <v>17</v>
      </c>
      <c r="I621" t="str">
        <f t="shared" si="11"/>
        <v>575_1</v>
      </c>
      <c r="J621" t="s">
        <v>178</v>
      </c>
      <c r="K621" t="s">
        <v>179</v>
      </c>
      <c r="L621" t="str">
        <f>_xlfn.XLOOKUP(C621, Table2[Species],Table2[Genus], "Code Not Found")</f>
        <v>Acer</v>
      </c>
      <c r="M621" t="str">
        <f>_xlfn.XLOOKUP(C621, Table2[Species],Table2[Sp. Name], "Code Not Found")</f>
        <v>saccharum</v>
      </c>
      <c r="N621" t="str">
        <f>_xlfn.XLOOKUP(C621,Table2[Species],Table2[Family],"Code Not Found")</f>
        <v>Sapindaceae</v>
      </c>
      <c r="O621" t="str" cm="1">
        <f t="array" ref="O621">_xlfn.IFS(F621="","",F621&lt;=5,"0 to 5",F621&lt;=10,"5.1 to 10",F621&lt;=20,"10 to 20", F621&lt;= 40, "20 to 40", F621 &lt;= 50, "40 to 50", F621 &gt; 50, "&gt;50" )</f>
        <v>10 to 20</v>
      </c>
    </row>
    <row r="622" spans="1:15" ht="14.4" x14ac:dyDescent="0.3">
      <c r="A622" t="s">
        <v>177</v>
      </c>
      <c r="B622" s="1">
        <v>46176</v>
      </c>
      <c r="C622" t="s">
        <v>64</v>
      </c>
      <c r="D622">
        <v>576</v>
      </c>
      <c r="E622">
        <v>1</v>
      </c>
      <c r="F622">
        <v>47.3</v>
      </c>
      <c r="G622" t="s">
        <v>21</v>
      </c>
      <c r="H622" t="s">
        <v>184</v>
      </c>
      <c r="I622" t="str">
        <f t="shared" si="11"/>
        <v>576_1</v>
      </c>
      <c r="J622" t="s">
        <v>178</v>
      </c>
      <c r="K622" t="s">
        <v>179</v>
      </c>
      <c r="L622" t="str">
        <f>_xlfn.XLOOKUP(C622, Table2[Species],Table2[Genus], "Code Not Found")</f>
        <v>Fagus</v>
      </c>
      <c r="M622" t="str">
        <f>_xlfn.XLOOKUP(C622, Table2[Species],Table2[Sp. Name], "Code Not Found")</f>
        <v>grandifolia</v>
      </c>
      <c r="N622" t="str">
        <f>_xlfn.XLOOKUP(C622,Table2[Species],Table2[Family],"Code Not Found")</f>
        <v>Fagaceae</v>
      </c>
      <c r="O622" t="str" cm="1">
        <f t="array" ref="O622">_xlfn.IFS(F622="","",F622&lt;=5,"0 to 5",F622&lt;=10,"5.1 to 10",F622&lt;=20,"10 to 20", F622&lt;= 40, "20 to 40", F622 &lt;= 50, "40 to 50", F622 &gt; 50, "&gt;50" )</f>
        <v>40 to 50</v>
      </c>
    </row>
    <row r="623" spans="1:15" ht="14.4" x14ac:dyDescent="0.3">
      <c r="A623" t="s">
        <v>177</v>
      </c>
      <c r="B623" s="1">
        <v>46176</v>
      </c>
      <c r="C623" t="s">
        <v>24</v>
      </c>
      <c r="D623">
        <v>577</v>
      </c>
      <c r="E623">
        <v>1</v>
      </c>
      <c r="F623">
        <v>1.4</v>
      </c>
      <c r="G623" t="s">
        <v>21</v>
      </c>
      <c r="I623" t="str">
        <f t="shared" si="11"/>
        <v>577_1</v>
      </c>
      <c r="J623" t="s">
        <v>178</v>
      </c>
      <c r="K623" t="s">
        <v>179</v>
      </c>
      <c r="L623" t="str">
        <f>_xlfn.XLOOKUP(C623, Table2[Species],Table2[Genus], "Code Not Found")</f>
        <v>Lirodendron</v>
      </c>
      <c r="M623" t="str">
        <f>_xlfn.XLOOKUP(C623, Table2[Species],Table2[Sp. Name], "Code Not Found")</f>
        <v>tulipfera</v>
      </c>
      <c r="N623" t="str">
        <f>_xlfn.XLOOKUP(C623,Table2[Species],Table2[Family],"Code Not Found")</f>
        <v>Magnoliaceae</v>
      </c>
      <c r="O623" t="str" cm="1">
        <f t="array" ref="O623">_xlfn.IFS(F623="","",F623&lt;=5,"0 to 5",F623&lt;=10,"5.1 to 10",F623&lt;=20,"10 to 20", F623&lt;= 40, "20 to 40", F623 &lt;= 50, "40 to 50", F623 &gt; 50, "&gt;50" )</f>
        <v>0 to 5</v>
      </c>
    </row>
    <row r="624" spans="1:15" ht="14.4" x14ac:dyDescent="0.3">
      <c r="A624" t="s">
        <v>177</v>
      </c>
      <c r="B624" s="1">
        <v>46176</v>
      </c>
      <c r="C624" t="s">
        <v>16</v>
      </c>
      <c r="D624">
        <v>578</v>
      </c>
      <c r="E624">
        <v>1</v>
      </c>
      <c r="F624">
        <v>10.3</v>
      </c>
      <c r="G624" t="s">
        <v>21</v>
      </c>
      <c r="I624" t="str">
        <f t="shared" si="11"/>
        <v>578_1</v>
      </c>
      <c r="J624" t="s">
        <v>178</v>
      </c>
      <c r="K624" t="s">
        <v>179</v>
      </c>
      <c r="L624" t="str">
        <f>_xlfn.XLOOKUP(C624, Table2[Species],Table2[Genus], "Code Not Found")</f>
        <v>Acer</v>
      </c>
      <c r="M624" t="str">
        <f>_xlfn.XLOOKUP(C624, Table2[Species],Table2[Sp. Name], "Code Not Found")</f>
        <v>saccharum</v>
      </c>
      <c r="N624" t="str">
        <f>_xlfn.XLOOKUP(C624,Table2[Species],Table2[Family],"Code Not Found")</f>
        <v>Sapindaceae</v>
      </c>
      <c r="O624" t="str" cm="1">
        <f t="array" ref="O624">_xlfn.IFS(F624="","",F624&lt;=5,"0 to 5",F624&lt;=10,"5.1 to 10",F624&lt;=20,"10 to 20", F624&lt;= 40, "20 to 40", F624 &lt;= 50, "40 to 50", F624 &gt; 50, "&gt;50" )</f>
        <v>10 to 20</v>
      </c>
    </row>
    <row r="625" spans="1:15" ht="14.4" x14ac:dyDescent="0.3">
      <c r="A625" t="s">
        <v>177</v>
      </c>
      <c r="B625" s="1">
        <v>46176</v>
      </c>
      <c r="C625" t="s">
        <v>16</v>
      </c>
      <c r="D625">
        <v>579</v>
      </c>
      <c r="E625">
        <v>1</v>
      </c>
      <c r="F625">
        <v>24</v>
      </c>
      <c r="G625" t="s">
        <v>21</v>
      </c>
      <c r="I625" t="str">
        <f t="shared" si="11"/>
        <v>579_1</v>
      </c>
      <c r="J625" t="s">
        <v>178</v>
      </c>
      <c r="K625" t="s">
        <v>179</v>
      </c>
      <c r="L625" t="str">
        <f>_xlfn.XLOOKUP(C625, Table2[Species],Table2[Genus], "Code Not Found")</f>
        <v>Acer</v>
      </c>
      <c r="M625" t="str">
        <f>_xlfn.XLOOKUP(C625, Table2[Species],Table2[Sp. Name], "Code Not Found")</f>
        <v>saccharum</v>
      </c>
      <c r="N625" t="str">
        <f>_xlfn.XLOOKUP(C625,Table2[Species],Table2[Family],"Code Not Found")</f>
        <v>Sapindaceae</v>
      </c>
      <c r="O625" t="str" cm="1">
        <f t="array" ref="O625">_xlfn.IFS(F625="","",F625&lt;=5,"0 to 5",F625&lt;=10,"5.1 to 10",F625&lt;=20,"10 to 20", F625&lt;= 40, "20 to 40", F625 &lt;= 50, "40 to 50", F625 &gt; 50, "&gt;50" )</f>
        <v>20 to 40</v>
      </c>
    </row>
    <row r="626" spans="1:15" ht="14.4" x14ac:dyDescent="0.3">
      <c r="A626" t="s">
        <v>177</v>
      </c>
      <c r="B626" s="1">
        <v>46176</v>
      </c>
      <c r="C626" t="s">
        <v>185</v>
      </c>
      <c r="D626">
        <v>580</v>
      </c>
      <c r="E626">
        <v>1</v>
      </c>
      <c r="F626">
        <v>1.5</v>
      </c>
      <c r="G626" t="s">
        <v>21</v>
      </c>
      <c r="I626" t="str">
        <f t="shared" si="11"/>
        <v>580_1</v>
      </c>
      <c r="J626" t="s">
        <v>178</v>
      </c>
      <c r="K626" t="s">
        <v>179</v>
      </c>
      <c r="L626" t="str">
        <f>_xlfn.XLOOKUP(C626, Table2[Species],Table2[Genus], "Code Not Found")</f>
        <v>Fraxinus</v>
      </c>
      <c r="M626" t="str">
        <f>_xlfn.XLOOKUP(C626, Table2[Species],Table2[Sp. Name], "Code Not Found")</f>
        <v>americana</v>
      </c>
      <c r="N626" t="str">
        <f>_xlfn.XLOOKUP(C626,Table2[Species],Table2[Family],"Code Not Found")</f>
        <v>Oleaceae</v>
      </c>
      <c r="O626" t="str" cm="1">
        <f t="array" ref="O626">_xlfn.IFS(F626="","",F626&lt;=5,"0 to 5",F626&lt;=10,"5.1 to 10",F626&lt;=20,"10 to 20", F626&lt;= 40, "20 to 40", F626 &lt;= 50, "40 to 50", F626 &gt; 50, "&gt;50" )</f>
        <v>0 to 5</v>
      </c>
    </row>
    <row r="627" spans="1:15" ht="14.4" x14ac:dyDescent="0.3">
      <c r="A627" t="s">
        <v>177</v>
      </c>
      <c r="B627" s="1">
        <v>46176</v>
      </c>
      <c r="C627" t="s">
        <v>16</v>
      </c>
      <c r="D627">
        <v>581</v>
      </c>
      <c r="E627">
        <v>1</v>
      </c>
      <c r="F627">
        <v>16.5</v>
      </c>
      <c r="G627" t="s">
        <v>21</v>
      </c>
      <c r="I627" t="str">
        <f t="shared" si="11"/>
        <v>581_1</v>
      </c>
      <c r="J627" t="s">
        <v>178</v>
      </c>
      <c r="K627" t="s">
        <v>179</v>
      </c>
      <c r="L627" t="str">
        <f>_xlfn.XLOOKUP(C627, Table2[Species],Table2[Genus], "Code Not Found")</f>
        <v>Acer</v>
      </c>
      <c r="M627" t="str">
        <f>_xlfn.XLOOKUP(C627, Table2[Species],Table2[Sp. Name], "Code Not Found")</f>
        <v>saccharum</v>
      </c>
      <c r="N627" t="str">
        <f>_xlfn.XLOOKUP(C627,Table2[Species],Table2[Family],"Code Not Found")</f>
        <v>Sapindaceae</v>
      </c>
      <c r="O627" t="str" cm="1">
        <f t="array" ref="O627">_xlfn.IFS(F627="","",F627&lt;=5,"0 to 5",F627&lt;=10,"5.1 to 10",F627&lt;=20,"10 to 20", F627&lt;= 40, "20 to 40", F627 &lt;= 50, "40 to 50", F627 &gt; 50, "&gt;50" )</f>
        <v>10 to 20</v>
      </c>
    </row>
    <row r="628" spans="1:15" ht="14.4" x14ac:dyDescent="0.3">
      <c r="A628" t="s">
        <v>177</v>
      </c>
      <c r="B628" s="1">
        <v>46176</v>
      </c>
      <c r="C628" t="s">
        <v>16</v>
      </c>
      <c r="D628">
        <v>582</v>
      </c>
      <c r="E628">
        <v>1</v>
      </c>
      <c r="F628">
        <v>4.7</v>
      </c>
      <c r="G628" t="s">
        <v>21</v>
      </c>
      <c r="I628" t="str">
        <f t="shared" si="11"/>
        <v>582_1</v>
      </c>
      <c r="J628" t="s">
        <v>178</v>
      </c>
      <c r="K628" t="s">
        <v>179</v>
      </c>
      <c r="L628" t="str">
        <f>_xlfn.XLOOKUP(C628, Table2[Species],Table2[Genus], "Code Not Found")</f>
        <v>Acer</v>
      </c>
      <c r="M628" t="str">
        <f>_xlfn.XLOOKUP(C628, Table2[Species],Table2[Sp. Name], "Code Not Found")</f>
        <v>saccharum</v>
      </c>
      <c r="N628" t="str">
        <f>_xlfn.XLOOKUP(C628,Table2[Species],Table2[Family],"Code Not Found")</f>
        <v>Sapindaceae</v>
      </c>
      <c r="O628" t="str" cm="1">
        <f t="array" ref="O628">_xlfn.IFS(F628="","",F628&lt;=5,"0 to 5",F628&lt;=10,"5.1 to 10",F628&lt;=20,"10 to 20", F628&lt;= 40, "20 to 40", F628 &lt;= 50, "40 to 50", F628 &gt; 50, "&gt;50" )</f>
        <v>0 to 5</v>
      </c>
    </row>
    <row r="629" spans="1:15" ht="14.4" x14ac:dyDescent="0.3">
      <c r="A629" t="s">
        <v>177</v>
      </c>
      <c r="B629" s="1">
        <v>46176</v>
      </c>
      <c r="C629" t="s">
        <v>16</v>
      </c>
      <c r="D629">
        <v>583</v>
      </c>
      <c r="E629">
        <v>1</v>
      </c>
      <c r="F629">
        <v>4.8</v>
      </c>
      <c r="G629" t="s">
        <v>47</v>
      </c>
      <c r="H629" t="s">
        <v>43</v>
      </c>
      <c r="I629" t="str">
        <f t="shared" si="11"/>
        <v>583_1</v>
      </c>
      <c r="J629" t="s">
        <v>178</v>
      </c>
      <c r="K629" t="s">
        <v>179</v>
      </c>
      <c r="L629" t="str">
        <f>_xlfn.XLOOKUP(C629, Table2[Species],Table2[Genus], "Code Not Found")</f>
        <v>Acer</v>
      </c>
      <c r="M629" t="str">
        <f>_xlfn.XLOOKUP(C629, Table2[Species],Table2[Sp. Name], "Code Not Found")</f>
        <v>saccharum</v>
      </c>
      <c r="N629" t="str">
        <f>_xlfn.XLOOKUP(C629,Table2[Species],Table2[Family],"Code Not Found")</f>
        <v>Sapindaceae</v>
      </c>
      <c r="O629" t="str" cm="1">
        <f t="array" ref="O629">_xlfn.IFS(F629="","",F629&lt;=5,"0 to 5",F629&lt;=10,"5.1 to 10",F629&lt;=20,"10 to 20", F629&lt;= 40, "20 to 40", F629 &lt;= 50, "40 to 50", F629 &gt; 50, "&gt;50" )</f>
        <v>0 to 5</v>
      </c>
    </row>
    <row r="630" spans="1:15" ht="14.4" x14ac:dyDescent="0.3">
      <c r="A630" t="s">
        <v>177</v>
      </c>
      <c r="B630" s="1">
        <v>46176</v>
      </c>
      <c r="C630" t="s">
        <v>16</v>
      </c>
      <c r="D630">
        <v>584</v>
      </c>
      <c r="E630">
        <v>1</v>
      </c>
      <c r="F630">
        <v>5.3</v>
      </c>
      <c r="G630" t="s">
        <v>17</v>
      </c>
      <c r="I630" t="str">
        <f t="shared" si="11"/>
        <v>584_1</v>
      </c>
      <c r="J630" t="s">
        <v>178</v>
      </c>
      <c r="K630" t="s">
        <v>179</v>
      </c>
      <c r="L630" t="str">
        <f>_xlfn.XLOOKUP(C630, Table2[Species],Table2[Genus], "Code Not Found")</f>
        <v>Acer</v>
      </c>
      <c r="M630" t="str">
        <f>_xlfn.XLOOKUP(C630, Table2[Species],Table2[Sp. Name], "Code Not Found")</f>
        <v>saccharum</v>
      </c>
      <c r="N630" t="str">
        <f>_xlfn.XLOOKUP(C630,Table2[Species],Table2[Family],"Code Not Found")</f>
        <v>Sapindaceae</v>
      </c>
      <c r="O630" t="str" cm="1">
        <f t="array" ref="O630">_xlfn.IFS(F630="","",F630&lt;=5,"0 to 5",F630&lt;=10,"5.1 to 10",F630&lt;=20,"10 to 20", F630&lt;= 40, "20 to 40", F630 &lt;= 50, "40 to 50", F630 &gt; 50, "&gt;50" )</f>
        <v>5.1 to 10</v>
      </c>
    </row>
    <row r="631" spans="1:15" ht="14.4" x14ac:dyDescent="0.3">
      <c r="A631" t="s">
        <v>177</v>
      </c>
      <c r="B631" s="1">
        <v>46176</v>
      </c>
      <c r="C631" t="s">
        <v>16</v>
      </c>
      <c r="D631">
        <v>585</v>
      </c>
      <c r="E631">
        <v>1</v>
      </c>
      <c r="F631">
        <v>4.5999999999999996</v>
      </c>
      <c r="G631" t="s">
        <v>17</v>
      </c>
      <c r="H631" t="s">
        <v>43</v>
      </c>
      <c r="I631" t="str">
        <f t="shared" si="11"/>
        <v>585_1</v>
      </c>
      <c r="J631" t="s">
        <v>178</v>
      </c>
      <c r="K631" t="s">
        <v>179</v>
      </c>
      <c r="L631" t="str">
        <f>_xlfn.XLOOKUP(C631, Table2[Species],Table2[Genus], "Code Not Found")</f>
        <v>Acer</v>
      </c>
      <c r="M631" t="str">
        <f>_xlfn.XLOOKUP(C631, Table2[Species],Table2[Sp. Name], "Code Not Found")</f>
        <v>saccharum</v>
      </c>
      <c r="N631" t="str">
        <f>_xlfn.XLOOKUP(C631,Table2[Species],Table2[Family],"Code Not Found")</f>
        <v>Sapindaceae</v>
      </c>
      <c r="O631" t="str" cm="1">
        <f t="array" ref="O631">_xlfn.IFS(F631="","",F631&lt;=5,"0 to 5",F631&lt;=10,"5.1 to 10",F631&lt;=20,"10 to 20", F631&lt;= 40, "20 to 40", F631 &lt;= 50, "40 to 50", F631 &gt; 50, "&gt;50" )</f>
        <v>0 to 5</v>
      </c>
    </row>
    <row r="632" spans="1:15" ht="14.4" x14ac:dyDescent="0.3">
      <c r="A632" t="s">
        <v>177</v>
      </c>
      <c r="B632" s="1">
        <v>46176</v>
      </c>
      <c r="C632" t="s">
        <v>16</v>
      </c>
      <c r="D632">
        <v>586</v>
      </c>
      <c r="E632">
        <v>1</v>
      </c>
      <c r="F632">
        <v>7.5</v>
      </c>
      <c r="G632" t="s">
        <v>47</v>
      </c>
      <c r="H632" t="s">
        <v>43</v>
      </c>
      <c r="I632" t="str">
        <f t="shared" si="11"/>
        <v>586_1</v>
      </c>
      <c r="J632" t="s">
        <v>178</v>
      </c>
      <c r="K632" t="s">
        <v>179</v>
      </c>
      <c r="L632" t="str">
        <f>_xlfn.XLOOKUP(C632, Table2[Species],Table2[Genus], "Code Not Found")</f>
        <v>Acer</v>
      </c>
      <c r="M632" t="str">
        <f>_xlfn.XLOOKUP(C632, Table2[Species],Table2[Sp. Name], "Code Not Found")</f>
        <v>saccharum</v>
      </c>
      <c r="N632" t="str">
        <f>_xlfn.XLOOKUP(C632,Table2[Species],Table2[Family],"Code Not Found")</f>
        <v>Sapindaceae</v>
      </c>
      <c r="O632" t="str" cm="1">
        <f t="array" ref="O632">_xlfn.IFS(F632="","",F632&lt;=5,"0 to 5",F632&lt;=10,"5.1 to 10",F632&lt;=20,"10 to 20", F632&lt;= 40, "20 to 40", F632 &lt;= 50, "40 to 50", F632 &gt; 50, "&gt;50" )</f>
        <v>5.1 to 10</v>
      </c>
    </row>
    <row r="633" spans="1:15" ht="14.4" x14ac:dyDescent="0.3">
      <c r="A633" t="s">
        <v>177</v>
      </c>
      <c r="B633" s="1">
        <v>46176</v>
      </c>
      <c r="C633" t="s">
        <v>16</v>
      </c>
      <c r="D633">
        <v>587</v>
      </c>
      <c r="E633">
        <v>1</v>
      </c>
      <c r="F633">
        <v>2.2000000000000002</v>
      </c>
      <c r="G633" t="s">
        <v>17</v>
      </c>
      <c r="I633" t="str">
        <f t="shared" si="11"/>
        <v>587_1</v>
      </c>
      <c r="J633" t="s">
        <v>178</v>
      </c>
      <c r="K633" t="s">
        <v>179</v>
      </c>
      <c r="L633" t="str">
        <f>_xlfn.XLOOKUP(C633, Table2[Species],Table2[Genus], "Code Not Found")</f>
        <v>Acer</v>
      </c>
      <c r="M633" t="str">
        <f>_xlfn.XLOOKUP(C633, Table2[Species],Table2[Sp. Name], "Code Not Found")</f>
        <v>saccharum</v>
      </c>
      <c r="N633" t="str">
        <f>_xlfn.XLOOKUP(C633,Table2[Species],Table2[Family],"Code Not Found")</f>
        <v>Sapindaceae</v>
      </c>
      <c r="O633" t="str" cm="1">
        <f t="array" ref="O633">_xlfn.IFS(F633="","",F633&lt;=5,"0 to 5",F633&lt;=10,"5.1 to 10",F633&lt;=20,"10 to 20", F633&lt;= 40, "20 to 40", F633 &lt;= 50, "40 to 50", F633 &gt; 50, "&gt;50" )</f>
        <v>0 to 5</v>
      </c>
    </row>
    <row r="634" spans="1:15" ht="14.4" x14ac:dyDescent="0.3">
      <c r="A634" t="s">
        <v>177</v>
      </c>
      <c r="B634" s="1">
        <v>46176</v>
      </c>
      <c r="C634" t="s">
        <v>16</v>
      </c>
      <c r="D634">
        <v>588</v>
      </c>
      <c r="E634">
        <v>1</v>
      </c>
      <c r="F634">
        <v>2.1</v>
      </c>
      <c r="G634" t="s">
        <v>47</v>
      </c>
      <c r="H634" t="s">
        <v>43</v>
      </c>
      <c r="I634" t="str">
        <f t="shared" si="11"/>
        <v>588_1</v>
      </c>
      <c r="J634" t="s">
        <v>178</v>
      </c>
      <c r="K634" t="s">
        <v>179</v>
      </c>
      <c r="L634" t="str">
        <f>_xlfn.XLOOKUP(C634, Table2[Species],Table2[Genus], "Code Not Found")</f>
        <v>Acer</v>
      </c>
      <c r="M634" t="str">
        <f>_xlfn.XLOOKUP(C634, Table2[Species],Table2[Sp. Name], "Code Not Found")</f>
        <v>saccharum</v>
      </c>
      <c r="N634" t="str">
        <f>_xlfn.XLOOKUP(C634,Table2[Species],Table2[Family],"Code Not Found")</f>
        <v>Sapindaceae</v>
      </c>
      <c r="O634" t="str" cm="1">
        <f t="array" ref="O634">_xlfn.IFS(F634="","",F634&lt;=5,"0 to 5",F634&lt;=10,"5.1 to 10",F634&lt;=20,"10 to 20", F634&lt;= 40, "20 to 40", F634 &lt;= 50, "40 to 50", F634 &gt; 50, "&gt;50" )</f>
        <v>0 to 5</v>
      </c>
    </row>
    <row r="635" spans="1:15" ht="14.4" x14ac:dyDescent="0.3">
      <c r="A635" t="s">
        <v>177</v>
      </c>
      <c r="B635" s="1">
        <v>46176</v>
      </c>
      <c r="C635" t="s">
        <v>64</v>
      </c>
      <c r="D635">
        <v>589</v>
      </c>
      <c r="E635">
        <v>1</v>
      </c>
      <c r="F635">
        <v>2.7</v>
      </c>
      <c r="G635" t="s">
        <v>17</v>
      </c>
      <c r="H635" t="s">
        <v>184</v>
      </c>
      <c r="I635" t="str">
        <f t="shared" si="11"/>
        <v>589_1</v>
      </c>
      <c r="J635" t="s">
        <v>178</v>
      </c>
      <c r="K635" t="s">
        <v>179</v>
      </c>
      <c r="L635" t="str">
        <f>_xlfn.XLOOKUP(C635, Table2[Species],Table2[Genus], "Code Not Found")</f>
        <v>Fagus</v>
      </c>
      <c r="M635" t="str">
        <f>_xlfn.XLOOKUP(C635, Table2[Species],Table2[Sp. Name], "Code Not Found")</f>
        <v>grandifolia</v>
      </c>
      <c r="N635" t="str">
        <f>_xlfn.XLOOKUP(C635,Table2[Species],Table2[Family],"Code Not Found")</f>
        <v>Fagaceae</v>
      </c>
      <c r="O635" t="str" cm="1">
        <f t="array" ref="O635">_xlfn.IFS(F635="","",F635&lt;=5,"0 to 5",F635&lt;=10,"5.1 to 10",F635&lt;=20,"10 to 20", F635&lt;= 40, "20 to 40", F635 &lt;= 50, "40 to 50", F635 &gt; 50, "&gt;50" )</f>
        <v>0 to 5</v>
      </c>
    </row>
    <row r="636" spans="1:15" ht="14.4" x14ac:dyDescent="0.3">
      <c r="A636" t="s">
        <v>177</v>
      </c>
      <c r="B636" s="1">
        <v>46176</v>
      </c>
      <c r="C636" t="s">
        <v>16</v>
      </c>
      <c r="D636">
        <v>590</v>
      </c>
      <c r="E636">
        <v>1</v>
      </c>
      <c r="F636">
        <v>3.7</v>
      </c>
      <c r="G636" t="s">
        <v>47</v>
      </c>
      <c r="H636" t="s">
        <v>43</v>
      </c>
      <c r="I636" t="str">
        <f t="shared" si="11"/>
        <v>590_1</v>
      </c>
      <c r="J636" t="s">
        <v>178</v>
      </c>
      <c r="K636" t="s">
        <v>179</v>
      </c>
      <c r="L636" t="str">
        <f>_xlfn.XLOOKUP(C636, Table2[Species],Table2[Genus], "Code Not Found")</f>
        <v>Acer</v>
      </c>
      <c r="M636" t="str">
        <f>_xlfn.XLOOKUP(C636, Table2[Species],Table2[Sp. Name], "Code Not Found")</f>
        <v>saccharum</v>
      </c>
      <c r="N636" t="str">
        <f>_xlfn.XLOOKUP(C636,Table2[Species],Table2[Family],"Code Not Found")</f>
        <v>Sapindaceae</v>
      </c>
      <c r="O636" t="str" cm="1">
        <f t="array" ref="O636">_xlfn.IFS(F636="","",F636&lt;=5,"0 to 5",F636&lt;=10,"5.1 to 10",F636&lt;=20,"10 to 20", F636&lt;= 40, "20 to 40", F636 &lt;= 50, "40 to 50", F636 &gt; 50, "&gt;50" )</f>
        <v>0 to 5</v>
      </c>
    </row>
    <row r="637" spans="1:15" ht="14.4" x14ac:dyDescent="0.3">
      <c r="A637" t="s">
        <v>177</v>
      </c>
      <c r="B637" s="1">
        <v>46176</v>
      </c>
      <c r="C637" t="s">
        <v>16</v>
      </c>
      <c r="D637">
        <v>591</v>
      </c>
      <c r="E637">
        <v>1</v>
      </c>
      <c r="F637">
        <v>8.5</v>
      </c>
      <c r="G637" t="s">
        <v>17</v>
      </c>
      <c r="I637" t="str">
        <f t="shared" si="11"/>
        <v>591_1</v>
      </c>
      <c r="J637" t="s">
        <v>178</v>
      </c>
      <c r="K637" t="s">
        <v>179</v>
      </c>
      <c r="L637" t="str">
        <f>_xlfn.XLOOKUP(C637, Table2[Species],Table2[Genus], "Code Not Found")</f>
        <v>Acer</v>
      </c>
      <c r="M637" t="str">
        <f>_xlfn.XLOOKUP(C637, Table2[Species],Table2[Sp. Name], "Code Not Found")</f>
        <v>saccharum</v>
      </c>
      <c r="N637" t="str">
        <f>_xlfn.XLOOKUP(C637,Table2[Species],Table2[Family],"Code Not Found")</f>
        <v>Sapindaceae</v>
      </c>
      <c r="O637" t="str" cm="1">
        <f t="array" ref="O637">_xlfn.IFS(F637="","",F637&lt;=5,"0 to 5",F637&lt;=10,"5.1 to 10",F637&lt;=20,"10 to 20", F637&lt;= 40, "20 to 40", F637 &lt;= 50, "40 to 50", F637 &gt; 50, "&gt;50" )</f>
        <v>5.1 to 10</v>
      </c>
    </row>
    <row r="638" spans="1:15" ht="14.4" x14ac:dyDescent="0.3">
      <c r="A638" t="s">
        <v>177</v>
      </c>
      <c r="B638" s="1">
        <v>46176</v>
      </c>
      <c r="C638" t="s">
        <v>16</v>
      </c>
      <c r="D638">
        <v>592</v>
      </c>
      <c r="E638">
        <v>1</v>
      </c>
      <c r="F638">
        <v>1.8</v>
      </c>
      <c r="G638" t="s">
        <v>17</v>
      </c>
      <c r="I638" t="str">
        <f t="shared" si="11"/>
        <v>592_1</v>
      </c>
      <c r="J638" t="s">
        <v>178</v>
      </c>
      <c r="K638" t="s">
        <v>179</v>
      </c>
      <c r="L638" t="str">
        <f>_xlfn.XLOOKUP(C638, Table2[Species],Table2[Genus], "Code Not Found")</f>
        <v>Acer</v>
      </c>
      <c r="M638" t="str">
        <f>_xlfn.XLOOKUP(C638, Table2[Species],Table2[Sp. Name], "Code Not Found")</f>
        <v>saccharum</v>
      </c>
      <c r="N638" t="str">
        <f>_xlfn.XLOOKUP(C638,Table2[Species],Table2[Family],"Code Not Found")</f>
        <v>Sapindaceae</v>
      </c>
      <c r="O638" t="str" cm="1">
        <f t="array" ref="O638">_xlfn.IFS(F638="","",F638&lt;=5,"0 to 5",F638&lt;=10,"5.1 to 10",F638&lt;=20,"10 to 20", F638&lt;= 40, "20 to 40", F638 &lt;= 50, "40 to 50", F638 &gt; 50, "&gt;50" )</f>
        <v>0 to 5</v>
      </c>
    </row>
    <row r="639" spans="1:15" ht="14.4" x14ac:dyDescent="0.3">
      <c r="A639" t="s">
        <v>177</v>
      </c>
      <c r="B639" s="1">
        <v>46176</v>
      </c>
      <c r="C639" t="s">
        <v>16</v>
      </c>
      <c r="D639">
        <v>593</v>
      </c>
      <c r="E639">
        <v>1</v>
      </c>
      <c r="F639">
        <v>2</v>
      </c>
      <c r="G639" t="s">
        <v>21</v>
      </c>
      <c r="I639" t="str">
        <f t="shared" si="11"/>
        <v>593_1</v>
      </c>
      <c r="J639" t="s">
        <v>178</v>
      </c>
      <c r="K639" t="s">
        <v>179</v>
      </c>
      <c r="L639" t="str">
        <f>_xlfn.XLOOKUP(C639, Table2[Species],Table2[Genus], "Code Not Found")</f>
        <v>Acer</v>
      </c>
      <c r="M639" t="str">
        <f>_xlfn.XLOOKUP(C639, Table2[Species],Table2[Sp. Name], "Code Not Found")</f>
        <v>saccharum</v>
      </c>
      <c r="N639" t="str">
        <f>_xlfn.XLOOKUP(C639,Table2[Species],Table2[Family],"Code Not Found")</f>
        <v>Sapindaceae</v>
      </c>
      <c r="O639" t="str" cm="1">
        <f t="array" ref="O639">_xlfn.IFS(F639="","",F639&lt;=5,"0 to 5",F639&lt;=10,"5.1 to 10",F639&lt;=20,"10 to 20", F639&lt;= 40, "20 to 40", F639 &lt;= 50, "40 to 50", F639 &gt; 50, "&gt;50" )</f>
        <v>0 to 5</v>
      </c>
    </row>
    <row r="640" spans="1:15" ht="14.4" x14ac:dyDescent="0.3">
      <c r="A640" t="s">
        <v>177</v>
      </c>
      <c r="B640" s="1">
        <v>46176</v>
      </c>
      <c r="C640" t="s">
        <v>16</v>
      </c>
      <c r="D640">
        <v>594</v>
      </c>
      <c r="E640">
        <v>1</v>
      </c>
      <c r="F640">
        <v>9.6999999999999993</v>
      </c>
      <c r="G640" t="s">
        <v>17</v>
      </c>
      <c r="I640" t="str">
        <f t="shared" si="11"/>
        <v>594_1</v>
      </c>
      <c r="J640" t="s">
        <v>178</v>
      </c>
      <c r="K640" t="s">
        <v>179</v>
      </c>
      <c r="L640" t="str">
        <f>_xlfn.XLOOKUP(C640, Table2[Species],Table2[Genus], "Code Not Found")</f>
        <v>Acer</v>
      </c>
      <c r="M640" t="str">
        <f>_xlfn.XLOOKUP(C640, Table2[Species],Table2[Sp. Name], "Code Not Found")</f>
        <v>saccharum</v>
      </c>
      <c r="N640" t="str">
        <f>_xlfn.XLOOKUP(C640,Table2[Species],Table2[Family],"Code Not Found")</f>
        <v>Sapindaceae</v>
      </c>
      <c r="O640" t="str" cm="1">
        <f t="array" ref="O640">_xlfn.IFS(F640="","",F640&lt;=5,"0 to 5",F640&lt;=10,"5.1 to 10",F640&lt;=20,"10 to 20", F640&lt;= 40, "20 to 40", F640 &lt;= 50, "40 to 50", F640 &gt; 50, "&gt;50" )</f>
        <v>5.1 to 10</v>
      </c>
    </row>
    <row r="641" spans="1:15" ht="14.4" x14ac:dyDescent="0.3">
      <c r="A641" t="s">
        <v>177</v>
      </c>
      <c r="B641" s="1">
        <v>46176</v>
      </c>
      <c r="C641" t="s">
        <v>64</v>
      </c>
      <c r="D641">
        <v>595</v>
      </c>
      <c r="E641">
        <v>1</v>
      </c>
      <c r="F641">
        <v>55.1</v>
      </c>
      <c r="G641" t="s">
        <v>21</v>
      </c>
      <c r="I641" t="str">
        <f t="shared" si="11"/>
        <v>595_1</v>
      </c>
      <c r="J641" t="s">
        <v>178</v>
      </c>
      <c r="K641" t="s">
        <v>179</v>
      </c>
      <c r="L641" t="str">
        <f>_xlfn.XLOOKUP(C641, Table2[Species],Table2[Genus], "Code Not Found")</f>
        <v>Fagus</v>
      </c>
      <c r="M641" t="str">
        <f>_xlfn.XLOOKUP(C641, Table2[Species],Table2[Sp. Name], "Code Not Found")</f>
        <v>grandifolia</v>
      </c>
      <c r="N641" t="str">
        <f>_xlfn.XLOOKUP(C641,Table2[Species],Table2[Family],"Code Not Found")</f>
        <v>Fagaceae</v>
      </c>
      <c r="O641" t="str" cm="1">
        <f t="array" ref="O641">_xlfn.IFS(F641="","",F641&lt;=5,"0 to 5",F641&lt;=10,"5.1 to 10",F641&lt;=20,"10 to 20", F641&lt;= 40, "20 to 40", F641 &lt;= 50, "40 to 50", F641 &gt; 50, "&gt;50" )</f>
        <v>&gt;50</v>
      </c>
    </row>
    <row r="642" spans="1:15" ht="14.4" x14ac:dyDescent="0.3">
      <c r="A642" t="s">
        <v>177</v>
      </c>
      <c r="B642" s="1">
        <v>46176</v>
      </c>
      <c r="C642" t="s">
        <v>64</v>
      </c>
      <c r="D642">
        <v>596</v>
      </c>
      <c r="E642">
        <v>1</v>
      </c>
      <c r="F642">
        <v>6</v>
      </c>
      <c r="G642" t="s">
        <v>88</v>
      </c>
      <c r="H642" t="s">
        <v>100</v>
      </c>
      <c r="I642" t="str">
        <f t="shared" si="11"/>
        <v>596_1</v>
      </c>
      <c r="J642" t="s">
        <v>178</v>
      </c>
      <c r="K642" t="s">
        <v>179</v>
      </c>
      <c r="L642" t="str">
        <f>_xlfn.XLOOKUP(C642, Table2[Species],Table2[Genus], "Code Not Found")</f>
        <v>Fagus</v>
      </c>
      <c r="M642" t="str">
        <f>_xlfn.XLOOKUP(C642, Table2[Species],Table2[Sp. Name], "Code Not Found")</f>
        <v>grandifolia</v>
      </c>
      <c r="N642" t="str">
        <f>_xlfn.XLOOKUP(C642,Table2[Species],Table2[Family],"Code Not Found")</f>
        <v>Fagaceae</v>
      </c>
      <c r="O642" t="str" cm="1">
        <f t="array" ref="O642">_xlfn.IFS(F642="","",F642&lt;=5,"0 to 5",F642&lt;=10,"5.1 to 10",F642&lt;=20,"10 to 20", F642&lt;= 40, "20 to 40", F642 &lt;= 50, "40 to 50", F642 &gt; 50, "&gt;50" )</f>
        <v>5.1 to 10</v>
      </c>
    </row>
    <row r="643" spans="1:15" ht="14.4" x14ac:dyDescent="0.3">
      <c r="A643" t="s">
        <v>177</v>
      </c>
      <c r="B643" s="1">
        <v>46176</v>
      </c>
      <c r="C643" t="s">
        <v>16</v>
      </c>
      <c r="D643">
        <v>597</v>
      </c>
      <c r="E643">
        <v>1</v>
      </c>
      <c r="F643">
        <v>23.2</v>
      </c>
      <c r="G643" t="s">
        <v>17</v>
      </c>
      <c r="I643" t="str">
        <f t="shared" si="11"/>
        <v>597_1</v>
      </c>
      <c r="J643" t="s">
        <v>178</v>
      </c>
      <c r="K643" t="s">
        <v>179</v>
      </c>
      <c r="L643" t="str">
        <f>_xlfn.XLOOKUP(C643, Table2[Species],Table2[Genus], "Code Not Found")</f>
        <v>Acer</v>
      </c>
      <c r="M643" t="str">
        <f>_xlfn.XLOOKUP(C643, Table2[Species],Table2[Sp. Name], "Code Not Found")</f>
        <v>saccharum</v>
      </c>
      <c r="N643" t="str">
        <f>_xlfn.XLOOKUP(C643,Table2[Species],Table2[Family],"Code Not Found")</f>
        <v>Sapindaceae</v>
      </c>
      <c r="O643" t="str" cm="1">
        <f t="array" ref="O643">_xlfn.IFS(F643="","",F643&lt;=5,"0 to 5",F643&lt;=10,"5.1 to 10",F643&lt;=20,"10 to 20", F643&lt;= 40, "20 to 40", F643 &lt;= 50, "40 to 50", F643 &gt; 50, "&gt;50" )</f>
        <v>20 to 40</v>
      </c>
    </row>
    <row r="644" spans="1:15" ht="14.4" x14ac:dyDescent="0.3">
      <c r="A644" t="s">
        <v>177</v>
      </c>
      <c r="B644" s="1">
        <v>46176</v>
      </c>
      <c r="C644" t="s">
        <v>64</v>
      </c>
      <c r="D644">
        <v>598</v>
      </c>
      <c r="E644">
        <v>1</v>
      </c>
      <c r="F644">
        <v>95.6</v>
      </c>
      <c r="G644" t="s">
        <v>186</v>
      </c>
      <c r="I644" t="str">
        <f t="shared" si="11"/>
        <v>598_1</v>
      </c>
      <c r="J644" t="s">
        <v>178</v>
      </c>
      <c r="K644" t="s">
        <v>179</v>
      </c>
      <c r="L644" t="str">
        <f>_xlfn.XLOOKUP(C644, Table2[Species],Table2[Genus], "Code Not Found")</f>
        <v>Fagus</v>
      </c>
      <c r="M644" t="str">
        <f>_xlfn.XLOOKUP(C644, Table2[Species],Table2[Sp. Name], "Code Not Found")</f>
        <v>grandifolia</v>
      </c>
      <c r="N644" t="str">
        <f>_xlfn.XLOOKUP(C644,Table2[Species],Table2[Family],"Code Not Found")</f>
        <v>Fagaceae</v>
      </c>
      <c r="O644" t="str" cm="1">
        <f t="array" ref="O644">_xlfn.IFS(F644="","",F644&lt;=5,"0 to 5",F644&lt;=10,"5.1 to 10",F644&lt;=20,"10 to 20", F644&lt;= 40, "20 to 40", F644 &lt;= 50, "40 to 50", F644 &gt; 50, "&gt;50" )</f>
        <v>&gt;50</v>
      </c>
    </row>
    <row r="645" spans="1:15" ht="14.4" x14ac:dyDescent="0.3">
      <c r="A645" t="s">
        <v>177</v>
      </c>
      <c r="B645" s="1">
        <v>46176</v>
      </c>
      <c r="C645" t="s">
        <v>64</v>
      </c>
      <c r="D645">
        <v>598</v>
      </c>
      <c r="E645">
        <v>2</v>
      </c>
      <c r="F645">
        <v>3.3</v>
      </c>
      <c r="G645" t="s">
        <v>93</v>
      </c>
      <c r="H645" t="s">
        <v>43</v>
      </c>
      <c r="I645" t="str">
        <f t="shared" si="11"/>
        <v>598_2</v>
      </c>
      <c r="J645" t="s">
        <v>178</v>
      </c>
      <c r="K645" t="s">
        <v>179</v>
      </c>
      <c r="L645" t="str">
        <f>_xlfn.XLOOKUP(C645, Table2[Species],Table2[Genus], "Code Not Found")</f>
        <v>Fagus</v>
      </c>
      <c r="M645" t="str">
        <f>_xlfn.XLOOKUP(C645, Table2[Species],Table2[Sp. Name], "Code Not Found")</f>
        <v>grandifolia</v>
      </c>
      <c r="N645" t="str">
        <f>_xlfn.XLOOKUP(C645,Table2[Species],Table2[Family],"Code Not Found")</f>
        <v>Fagaceae</v>
      </c>
      <c r="O645" t="str" cm="1">
        <f t="array" ref="O645">_xlfn.IFS(F645="","",F645&lt;=5,"0 to 5",F645&lt;=10,"5.1 to 10",F645&lt;=20,"10 to 20", F645&lt;= 40, "20 to 40", F645 &lt;= 50, "40 to 50", F645 &gt; 50, "&gt;50" )</f>
        <v>0 to 5</v>
      </c>
    </row>
    <row r="646" spans="1:15" ht="14.4" x14ac:dyDescent="0.3">
      <c r="A646" t="s">
        <v>177</v>
      </c>
      <c r="B646" s="1">
        <v>46176</v>
      </c>
      <c r="C646" t="s">
        <v>64</v>
      </c>
      <c r="D646">
        <v>598</v>
      </c>
      <c r="E646">
        <v>3</v>
      </c>
      <c r="F646">
        <v>1.7</v>
      </c>
      <c r="G646" t="s">
        <v>32</v>
      </c>
      <c r="I646" t="str">
        <f t="shared" si="11"/>
        <v>598_3</v>
      </c>
      <c r="J646" t="s">
        <v>178</v>
      </c>
      <c r="K646" t="s">
        <v>179</v>
      </c>
      <c r="L646" t="str">
        <f>_xlfn.XLOOKUP(C646, Table2[Species],Table2[Genus], "Code Not Found")</f>
        <v>Fagus</v>
      </c>
      <c r="M646" t="str">
        <f>_xlfn.XLOOKUP(C646, Table2[Species],Table2[Sp. Name], "Code Not Found")</f>
        <v>grandifolia</v>
      </c>
      <c r="N646" t="str">
        <f>_xlfn.XLOOKUP(C646,Table2[Species],Table2[Family],"Code Not Found")</f>
        <v>Fagaceae</v>
      </c>
      <c r="O646" t="str" cm="1">
        <f t="array" ref="O646">_xlfn.IFS(F646="","",F646&lt;=5,"0 to 5",F646&lt;=10,"5.1 to 10",F646&lt;=20,"10 to 20", F646&lt;= 40, "20 to 40", F646 &lt;= 50, "40 to 50", F646 &gt; 50, "&gt;50" )</f>
        <v>0 to 5</v>
      </c>
    </row>
    <row r="647" spans="1:15" ht="14.4" x14ac:dyDescent="0.3">
      <c r="A647" t="s">
        <v>177</v>
      </c>
      <c r="B647" s="1">
        <v>46176</v>
      </c>
      <c r="C647" t="s">
        <v>64</v>
      </c>
      <c r="D647">
        <v>598</v>
      </c>
      <c r="E647">
        <v>4</v>
      </c>
      <c r="F647">
        <v>5.0999999999999996</v>
      </c>
      <c r="G647" t="s">
        <v>32</v>
      </c>
      <c r="I647" t="str">
        <f t="shared" si="11"/>
        <v>598_4</v>
      </c>
      <c r="J647" t="s">
        <v>178</v>
      </c>
      <c r="K647" t="s">
        <v>179</v>
      </c>
      <c r="L647" t="str">
        <f>_xlfn.XLOOKUP(C647, Table2[Species],Table2[Genus], "Code Not Found")</f>
        <v>Fagus</v>
      </c>
      <c r="M647" t="str">
        <f>_xlfn.XLOOKUP(C647, Table2[Species],Table2[Sp. Name], "Code Not Found")</f>
        <v>grandifolia</v>
      </c>
      <c r="N647" t="str">
        <f>_xlfn.XLOOKUP(C647,Table2[Species],Table2[Family],"Code Not Found")</f>
        <v>Fagaceae</v>
      </c>
      <c r="O647" t="str" cm="1">
        <f t="array" ref="O647">_xlfn.IFS(F647="","",F647&lt;=5,"0 to 5",F647&lt;=10,"5.1 to 10",F647&lt;=20,"10 to 20", F647&lt;= 40, "20 to 40", F647 &lt;= 50, "40 to 50", F647 &gt; 50, "&gt;50" )</f>
        <v>5.1 to 10</v>
      </c>
    </row>
    <row r="648" spans="1:15" ht="14.4" x14ac:dyDescent="0.3">
      <c r="A648" t="s">
        <v>177</v>
      </c>
      <c r="B648" s="1">
        <v>46176</v>
      </c>
      <c r="C648" t="s">
        <v>64</v>
      </c>
      <c r="D648">
        <v>598</v>
      </c>
      <c r="E648">
        <v>5</v>
      </c>
      <c r="F648">
        <v>4.7</v>
      </c>
      <c r="G648" t="s">
        <v>32</v>
      </c>
      <c r="I648" t="str">
        <f t="shared" si="11"/>
        <v>598_5</v>
      </c>
      <c r="J648" t="s">
        <v>178</v>
      </c>
      <c r="K648" t="s">
        <v>179</v>
      </c>
      <c r="L648" t="str">
        <f>_xlfn.XLOOKUP(C648, Table2[Species],Table2[Genus], "Code Not Found")</f>
        <v>Fagus</v>
      </c>
      <c r="M648" t="str">
        <f>_xlfn.XLOOKUP(C648, Table2[Species],Table2[Sp. Name], "Code Not Found")</f>
        <v>grandifolia</v>
      </c>
      <c r="N648" t="str">
        <f>_xlfn.XLOOKUP(C648,Table2[Species],Table2[Family],"Code Not Found")</f>
        <v>Fagaceae</v>
      </c>
      <c r="O648" t="str" cm="1">
        <f t="array" ref="O648">_xlfn.IFS(F648="","",F648&lt;=5,"0 to 5",F648&lt;=10,"5.1 to 10",F648&lt;=20,"10 to 20", F648&lt;= 40, "20 to 40", F648 &lt;= 50, "40 to 50", F648 &gt; 50, "&gt;50" )</f>
        <v>0 to 5</v>
      </c>
    </row>
    <row r="649" spans="1:15" ht="14.4" x14ac:dyDescent="0.3">
      <c r="A649" t="s">
        <v>177</v>
      </c>
      <c r="B649" s="1">
        <v>46176</v>
      </c>
      <c r="C649" t="s">
        <v>64</v>
      </c>
      <c r="D649">
        <v>598</v>
      </c>
      <c r="E649">
        <v>6</v>
      </c>
      <c r="F649">
        <v>2.1</v>
      </c>
      <c r="G649" t="s">
        <v>34</v>
      </c>
      <c r="I649" t="str">
        <f t="shared" si="11"/>
        <v>598_6</v>
      </c>
      <c r="J649" t="s">
        <v>178</v>
      </c>
      <c r="K649" t="s">
        <v>179</v>
      </c>
      <c r="L649" t="str">
        <f>_xlfn.XLOOKUP(C649, Table2[Species],Table2[Genus], "Code Not Found")</f>
        <v>Fagus</v>
      </c>
      <c r="M649" t="str">
        <f>_xlfn.XLOOKUP(C649, Table2[Species],Table2[Sp. Name], "Code Not Found")</f>
        <v>grandifolia</v>
      </c>
      <c r="N649" t="str">
        <f>_xlfn.XLOOKUP(C649,Table2[Species],Table2[Family],"Code Not Found")</f>
        <v>Fagaceae</v>
      </c>
      <c r="O649" t="str" cm="1">
        <f t="array" ref="O649">_xlfn.IFS(F649="","",F649&lt;=5,"0 to 5",F649&lt;=10,"5.1 to 10",F649&lt;=20,"10 to 20", F649&lt;= 40, "20 to 40", F649 &lt;= 50, "40 to 50", F649 &gt; 50, "&gt;50" )</f>
        <v>0 to 5</v>
      </c>
    </row>
    <row r="650" spans="1:15" ht="14.4" x14ac:dyDescent="0.3">
      <c r="A650" t="s">
        <v>177</v>
      </c>
      <c r="B650" s="1">
        <v>46176</v>
      </c>
      <c r="C650" t="s">
        <v>64</v>
      </c>
      <c r="D650">
        <v>598</v>
      </c>
      <c r="E650">
        <v>7</v>
      </c>
      <c r="F650">
        <v>1.8</v>
      </c>
      <c r="G650" t="s">
        <v>34</v>
      </c>
      <c r="I650" t="str">
        <f t="shared" si="11"/>
        <v>598_7</v>
      </c>
      <c r="J650" t="s">
        <v>178</v>
      </c>
      <c r="K650" t="s">
        <v>179</v>
      </c>
      <c r="L650" t="str">
        <f>_xlfn.XLOOKUP(C650, Table2[Species],Table2[Genus], "Code Not Found")</f>
        <v>Fagus</v>
      </c>
      <c r="M650" t="str">
        <f>_xlfn.XLOOKUP(C650, Table2[Species],Table2[Sp. Name], "Code Not Found")</f>
        <v>grandifolia</v>
      </c>
      <c r="N650" t="str">
        <f>_xlfn.XLOOKUP(C650,Table2[Species],Table2[Family],"Code Not Found")</f>
        <v>Fagaceae</v>
      </c>
      <c r="O650" t="str" cm="1">
        <f t="array" ref="O650">_xlfn.IFS(F650="","",F650&lt;=5,"0 to 5",F650&lt;=10,"5.1 to 10",F650&lt;=20,"10 to 20", F650&lt;= 40, "20 to 40", F650 &lt;= 50, "40 to 50", F650 &gt; 50, "&gt;50" )</f>
        <v>0 to 5</v>
      </c>
    </row>
    <row r="651" spans="1:15" ht="14.4" x14ac:dyDescent="0.3">
      <c r="A651" t="s">
        <v>177</v>
      </c>
      <c r="B651" s="1">
        <v>46176</v>
      </c>
      <c r="C651" t="s">
        <v>64</v>
      </c>
      <c r="D651">
        <v>601</v>
      </c>
      <c r="E651">
        <v>1</v>
      </c>
      <c r="F651">
        <v>1.9</v>
      </c>
      <c r="G651" t="s">
        <v>32</v>
      </c>
      <c r="I651" t="str">
        <f t="shared" si="11"/>
        <v>601_1</v>
      </c>
      <c r="J651" t="s">
        <v>178</v>
      </c>
      <c r="K651" t="s">
        <v>179</v>
      </c>
      <c r="L651" t="str">
        <f>_xlfn.XLOOKUP(C651, Table2[Species],Table2[Genus], "Code Not Found")</f>
        <v>Fagus</v>
      </c>
      <c r="M651" t="str">
        <f>_xlfn.XLOOKUP(C651, Table2[Species],Table2[Sp. Name], "Code Not Found")</f>
        <v>grandifolia</v>
      </c>
      <c r="N651" t="str">
        <f>_xlfn.XLOOKUP(C651,Table2[Species],Table2[Family],"Code Not Found")</f>
        <v>Fagaceae</v>
      </c>
      <c r="O651" t="str" cm="1">
        <f t="array" ref="O651">_xlfn.IFS(F651="","",F651&lt;=5,"0 to 5",F651&lt;=10,"5.1 to 10",F651&lt;=20,"10 to 20", F651&lt;= 40, "20 to 40", F651 &lt;= 50, "40 to 50", F651 &gt; 50, "&gt;50" )</f>
        <v>0 to 5</v>
      </c>
    </row>
    <row r="652" spans="1:15" ht="14.4" x14ac:dyDescent="0.3">
      <c r="A652" t="s">
        <v>177</v>
      </c>
      <c r="B652" s="1">
        <v>46176</v>
      </c>
      <c r="C652" t="s">
        <v>64</v>
      </c>
      <c r="D652">
        <v>602</v>
      </c>
      <c r="E652">
        <v>1</v>
      </c>
      <c r="F652">
        <v>2.2000000000000002</v>
      </c>
      <c r="G652" t="s">
        <v>34</v>
      </c>
      <c r="I652" t="str">
        <f t="shared" si="11"/>
        <v>602_1</v>
      </c>
      <c r="J652" t="s">
        <v>178</v>
      </c>
      <c r="K652" t="s">
        <v>179</v>
      </c>
      <c r="L652" t="str">
        <f>_xlfn.XLOOKUP(C652, Table2[Species],Table2[Genus], "Code Not Found")</f>
        <v>Fagus</v>
      </c>
      <c r="M652" t="str">
        <f>_xlfn.XLOOKUP(C652, Table2[Species],Table2[Sp. Name], "Code Not Found")</f>
        <v>grandifolia</v>
      </c>
      <c r="N652" t="str">
        <f>_xlfn.XLOOKUP(C652,Table2[Species],Table2[Family],"Code Not Found")</f>
        <v>Fagaceae</v>
      </c>
      <c r="O652" t="str" cm="1">
        <f t="array" ref="O652">_xlfn.IFS(F652="","",F652&lt;=5,"0 to 5",F652&lt;=10,"5.1 to 10",F652&lt;=20,"10 to 20", F652&lt;= 40, "20 to 40", F652 &lt;= 50, "40 to 50", F652 &gt; 50, "&gt;50" )</f>
        <v>0 to 5</v>
      </c>
    </row>
    <row r="653" spans="1:15" ht="14.4" x14ac:dyDescent="0.3">
      <c r="A653" t="s">
        <v>177</v>
      </c>
      <c r="B653" s="1">
        <v>46176</v>
      </c>
      <c r="C653" t="s">
        <v>64</v>
      </c>
      <c r="D653">
        <v>602</v>
      </c>
      <c r="E653">
        <v>2</v>
      </c>
      <c r="F653">
        <v>1.1000000000000001</v>
      </c>
      <c r="G653" t="s">
        <v>34</v>
      </c>
      <c r="H653" t="s">
        <v>43</v>
      </c>
      <c r="I653" t="str">
        <f t="shared" si="11"/>
        <v>602_2</v>
      </c>
      <c r="J653" t="s">
        <v>178</v>
      </c>
      <c r="K653" t="s">
        <v>179</v>
      </c>
      <c r="L653" t="str">
        <f>_xlfn.XLOOKUP(C653, Table2[Species],Table2[Genus], "Code Not Found")</f>
        <v>Fagus</v>
      </c>
      <c r="M653" t="str">
        <f>_xlfn.XLOOKUP(C653, Table2[Species],Table2[Sp. Name], "Code Not Found")</f>
        <v>grandifolia</v>
      </c>
      <c r="N653" t="str">
        <f>_xlfn.XLOOKUP(C653,Table2[Species],Table2[Family],"Code Not Found")</f>
        <v>Fagaceae</v>
      </c>
      <c r="O653" t="str" cm="1">
        <f t="array" ref="O653">_xlfn.IFS(F653="","",F653&lt;=5,"0 to 5",F653&lt;=10,"5.1 to 10",F653&lt;=20,"10 to 20", F653&lt;= 40, "20 to 40", F653 &lt;= 50, "40 to 50", F653 &gt; 50, "&gt;50" )</f>
        <v>0 to 5</v>
      </c>
    </row>
    <row r="654" spans="1:15" ht="14.4" x14ac:dyDescent="0.3">
      <c r="A654" t="s">
        <v>177</v>
      </c>
      <c r="B654" s="1">
        <v>46176</v>
      </c>
      <c r="C654" t="s">
        <v>64</v>
      </c>
      <c r="D654">
        <v>602</v>
      </c>
      <c r="E654">
        <v>3</v>
      </c>
      <c r="F654">
        <v>1.2</v>
      </c>
      <c r="G654" t="s">
        <v>34</v>
      </c>
      <c r="H654" t="s">
        <v>43</v>
      </c>
      <c r="I654" t="str">
        <f t="shared" si="11"/>
        <v>602_3</v>
      </c>
      <c r="J654" t="s">
        <v>178</v>
      </c>
      <c r="K654" t="s">
        <v>179</v>
      </c>
      <c r="L654" t="str">
        <f>_xlfn.XLOOKUP(C654, Table2[Species],Table2[Genus], "Code Not Found")</f>
        <v>Fagus</v>
      </c>
      <c r="M654" t="str">
        <f>_xlfn.XLOOKUP(C654, Table2[Species],Table2[Sp. Name], "Code Not Found")</f>
        <v>grandifolia</v>
      </c>
      <c r="N654" t="str">
        <f>_xlfn.XLOOKUP(C654,Table2[Species],Table2[Family],"Code Not Found")</f>
        <v>Fagaceae</v>
      </c>
      <c r="O654" t="str" cm="1">
        <f t="array" ref="O654">_xlfn.IFS(F654="","",F654&lt;=5,"0 to 5",F654&lt;=10,"5.1 to 10",F654&lt;=20,"10 to 20", F654&lt;= 40, "20 to 40", F654 &lt;= 50, "40 to 50", F654 &gt; 50, "&gt;50" )</f>
        <v>0 to 5</v>
      </c>
    </row>
    <row r="655" spans="1:15" ht="14.4" x14ac:dyDescent="0.3">
      <c r="A655" t="s">
        <v>177</v>
      </c>
      <c r="B655" s="1">
        <v>46176</v>
      </c>
      <c r="C655" t="s">
        <v>64</v>
      </c>
      <c r="D655">
        <v>603</v>
      </c>
      <c r="E655">
        <v>1</v>
      </c>
      <c r="F655">
        <v>8.1</v>
      </c>
      <c r="G655" t="s">
        <v>34</v>
      </c>
      <c r="I655" t="str">
        <f t="shared" si="11"/>
        <v>603_1</v>
      </c>
      <c r="J655" t="s">
        <v>178</v>
      </c>
      <c r="K655" t="s">
        <v>179</v>
      </c>
      <c r="L655" t="str">
        <f>_xlfn.XLOOKUP(C655, Table2[Species],Table2[Genus], "Code Not Found")</f>
        <v>Fagus</v>
      </c>
      <c r="M655" t="str">
        <f>_xlfn.XLOOKUP(C655, Table2[Species],Table2[Sp. Name], "Code Not Found")</f>
        <v>grandifolia</v>
      </c>
      <c r="N655" t="str">
        <f>_xlfn.XLOOKUP(C655,Table2[Species],Table2[Family],"Code Not Found")</f>
        <v>Fagaceae</v>
      </c>
      <c r="O655" t="str" cm="1">
        <f t="array" ref="O655">_xlfn.IFS(F655="","",F655&lt;=5,"0 to 5",F655&lt;=10,"5.1 to 10",F655&lt;=20,"10 to 20", F655&lt;= 40, "20 to 40", F655 &lt;= 50, "40 to 50", F655 &gt; 50, "&gt;50" )</f>
        <v>5.1 to 10</v>
      </c>
    </row>
    <row r="656" spans="1:15" ht="14.4" x14ac:dyDescent="0.3">
      <c r="A656" t="s">
        <v>177</v>
      </c>
      <c r="B656" s="1">
        <v>46176</v>
      </c>
      <c r="C656" t="s">
        <v>64</v>
      </c>
      <c r="D656">
        <v>604</v>
      </c>
      <c r="E656">
        <v>1</v>
      </c>
      <c r="F656">
        <v>6.3</v>
      </c>
      <c r="G656" t="s">
        <v>34</v>
      </c>
      <c r="I656" t="str">
        <f t="shared" si="11"/>
        <v>604_1</v>
      </c>
      <c r="J656" t="s">
        <v>178</v>
      </c>
      <c r="K656" t="s">
        <v>179</v>
      </c>
      <c r="L656" t="str">
        <f>_xlfn.XLOOKUP(C656, Table2[Species],Table2[Genus], "Code Not Found")</f>
        <v>Fagus</v>
      </c>
      <c r="M656" t="str">
        <f>_xlfn.XLOOKUP(C656, Table2[Species],Table2[Sp. Name], "Code Not Found")</f>
        <v>grandifolia</v>
      </c>
      <c r="N656" t="str">
        <f>_xlfn.XLOOKUP(C656,Table2[Species],Table2[Family],"Code Not Found")</f>
        <v>Fagaceae</v>
      </c>
      <c r="O656" t="str" cm="1">
        <f t="array" ref="O656">_xlfn.IFS(F656="","",F656&lt;=5,"0 to 5",F656&lt;=10,"5.1 to 10",F656&lt;=20,"10 to 20", F656&lt;= 40, "20 to 40", F656 &lt;= 50, "40 to 50", F656 &gt; 50, "&gt;50" )</f>
        <v>5.1 to 10</v>
      </c>
    </row>
    <row r="657" spans="1:15" ht="14.4" x14ac:dyDescent="0.3">
      <c r="A657" t="s">
        <v>177</v>
      </c>
      <c r="B657" s="1">
        <v>46176</v>
      </c>
      <c r="C657" t="s">
        <v>16</v>
      </c>
      <c r="D657">
        <v>599</v>
      </c>
      <c r="E657">
        <v>1</v>
      </c>
      <c r="F657">
        <v>3.7</v>
      </c>
      <c r="G657" t="s">
        <v>21</v>
      </c>
      <c r="I657" t="str">
        <f t="shared" si="11"/>
        <v>599_1</v>
      </c>
      <c r="J657" t="s">
        <v>178</v>
      </c>
      <c r="K657" t="s">
        <v>179</v>
      </c>
      <c r="L657" t="str">
        <f>_xlfn.XLOOKUP(C657, Table2[Species],Table2[Genus], "Code Not Found")</f>
        <v>Acer</v>
      </c>
      <c r="M657" t="str">
        <f>_xlfn.XLOOKUP(C657, Table2[Species],Table2[Sp. Name], "Code Not Found")</f>
        <v>saccharum</v>
      </c>
      <c r="N657" t="str">
        <f>_xlfn.XLOOKUP(C657,Table2[Species],Table2[Family],"Code Not Found")</f>
        <v>Sapindaceae</v>
      </c>
      <c r="O657" t="str" cm="1">
        <f t="array" ref="O657">_xlfn.IFS(F657="","",F657&lt;=5,"0 to 5",F657&lt;=10,"5.1 to 10",F657&lt;=20,"10 to 20", F657&lt;= 40, "20 to 40", F657 &lt;= 50, "40 to 50", F657 &gt; 50, "&gt;50" )</f>
        <v>0 to 5</v>
      </c>
    </row>
    <row r="658" spans="1:15" ht="14.4" x14ac:dyDescent="0.3">
      <c r="A658" t="s">
        <v>177</v>
      </c>
      <c r="B658" s="1">
        <v>46176</v>
      </c>
      <c r="C658" t="s">
        <v>16</v>
      </c>
      <c r="D658">
        <v>600</v>
      </c>
      <c r="E658">
        <v>1</v>
      </c>
      <c r="F658">
        <v>4</v>
      </c>
      <c r="G658" t="s">
        <v>38</v>
      </c>
      <c r="I658" t="str">
        <f t="shared" si="11"/>
        <v>600_1</v>
      </c>
      <c r="J658" t="s">
        <v>178</v>
      </c>
      <c r="K658" t="s">
        <v>179</v>
      </c>
      <c r="L658" t="str">
        <f>_xlfn.XLOOKUP(C658, Table2[Species],Table2[Genus], "Code Not Found")</f>
        <v>Acer</v>
      </c>
      <c r="M658" t="str">
        <f>_xlfn.XLOOKUP(C658, Table2[Species],Table2[Sp. Name], "Code Not Found")</f>
        <v>saccharum</v>
      </c>
      <c r="N658" t="str">
        <f>_xlfn.XLOOKUP(C658,Table2[Species],Table2[Family],"Code Not Found")</f>
        <v>Sapindaceae</v>
      </c>
      <c r="O658" t="str" cm="1">
        <f t="array" ref="O658">_xlfn.IFS(F658="","",F658&lt;=5,"0 to 5",F658&lt;=10,"5.1 to 10",F658&lt;=20,"10 to 20", F658&lt;= 40, "20 to 40", F658 &lt;= 50, "40 to 50", F658 &gt; 50, "&gt;50" )</f>
        <v>0 to 5</v>
      </c>
    </row>
    <row r="659" spans="1:15" ht="14.4" x14ac:dyDescent="0.3">
      <c r="A659" t="s">
        <v>177</v>
      </c>
      <c r="B659" s="1">
        <v>46177</v>
      </c>
      <c r="C659" t="s">
        <v>187</v>
      </c>
      <c r="D659">
        <v>605</v>
      </c>
      <c r="E659">
        <v>1</v>
      </c>
      <c r="F659">
        <v>55.1</v>
      </c>
      <c r="G659" t="s">
        <v>21</v>
      </c>
      <c r="I659" t="str">
        <f t="shared" si="11"/>
        <v>605_1</v>
      </c>
      <c r="J659" t="s">
        <v>178</v>
      </c>
      <c r="K659" t="s">
        <v>179</v>
      </c>
      <c r="L659" t="str">
        <f>_xlfn.XLOOKUP(C659, Table2[Species],Table2[Genus], "Code Not Found")</f>
        <v>Carya</v>
      </c>
      <c r="M659" t="str">
        <f>_xlfn.XLOOKUP(C659, Table2[Species],Table2[Sp. Name], "Code Not Found")</f>
        <v>cordiformis</v>
      </c>
      <c r="N659" t="str">
        <f>_xlfn.XLOOKUP(C659,Table2[Species],Table2[Family],"Code Not Found")</f>
        <v>Juglandaceae</v>
      </c>
      <c r="O659" t="str" cm="1">
        <f t="array" ref="O659">_xlfn.IFS(F659="","",F659&lt;=5,"0 to 5",F659&lt;=10,"5.1 to 10",F659&lt;=20,"10 to 20", F659&lt;= 40, "20 to 40", F659 &lt;= 50, "40 to 50", F659 &gt; 50, "&gt;50" )</f>
        <v>&gt;50</v>
      </c>
    </row>
    <row r="660" spans="1:15" ht="14.4" x14ac:dyDescent="0.3">
      <c r="A660" t="s">
        <v>177</v>
      </c>
      <c r="B660" s="1">
        <v>46177</v>
      </c>
      <c r="C660" t="s">
        <v>16</v>
      </c>
      <c r="D660">
        <v>606</v>
      </c>
      <c r="E660">
        <v>1</v>
      </c>
      <c r="F660">
        <v>4.3</v>
      </c>
      <c r="G660" t="s">
        <v>21</v>
      </c>
      <c r="I660" t="str">
        <f t="shared" si="11"/>
        <v>606_1</v>
      </c>
      <c r="J660" t="s">
        <v>178</v>
      </c>
      <c r="K660" t="s">
        <v>179</v>
      </c>
      <c r="L660" t="str">
        <f>_xlfn.XLOOKUP(C660, Table2[Species],Table2[Genus], "Code Not Found")</f>
        <v>Acer</v>
      </c>
      <c r="M660" t="str">
        <f>_xlfn.XLOOKUP(C660, Table2[Species],Table2[Sp. Name], "Code Not Found")</f>
        <v>saccharum</v>
      </c>
      <c r="N660" t="str">
        <f>_xlfn.XLOOKUP(C660,Table2[Species],Table2[Family],"Code Not Found")</f>
        <v>Sapindaceae</v>
      </c>
      <c r="O660" t="str" cm="1">
        <f t="array" ref="O660">_xlfn.IFS(F660="","",F660&lt;=5,"0 to 5",F660&lt;=10,"5.1 to 10",F660&lt;=20,"10 to 20", F660&lt;= 40, "20 to 40", F660 &lt;= 50, "40 to 50", F660 &gt; 50, "&gt;50" )</f>
        <v>0 to 5</v>
      </c>
    </row>
    <row r="661" spans="1:15" ht="14.4" x14ac:dyDescent="0.3">
      <c r="A661" t="s">
        <v>177</v>
      </c>
      <c r="B661" s="1">
        <v>46177</v>
      </c>
      <c r="C661" t="s">
        <v>16</v>
      </c>
      <c r="D661">
        <v>607</v>
      </c>
      <c r="E661">
        <v>1</v>
      </c>
      <c r="F661">
        <v>5.9</v>
      </c>
      <c r="G661" t="s">
        <v>30</v>
      </c>
      <c r="H661" t="s">
        <v>121</v>
      </c>
      <c r="I661" t="str">
        <f t="shared" si="11"/>
        <v>607_1</v>
      </c>
      <c r="J661" t="s">
        <v>178</v>
      </c>
      <c r="K661" t="s">
        <v>179</v>
      </c>
      <c r="L661" t="str">
        <f>_xlfn.XLOOKUP(C661, Table2[Species],Table2[Genus], "Code Not Found")</f>
        <v>Acer</v>
      </c>
      <c r="M661" t="str">
        <f>_xlfn.XLOOKUP(C661, Table2[Species],Table2[Sp. Name], "Code Not Found")</f>
        <v>saccharum</v>
      </c>
      <c r="N661" t="str">
        <f>_xlfn.XLOOKUP(C661,Table2[Species],Table2[Family],"Code Not Found")</f>
        <v>Sapindaceae</v>
      </c>
      <c r="O661" t="str" cm="1">
        <f t="array" ref="O661">_xlfn.IFS(F661="","",F661&lt;=5,"0 to 5",F661&lt;=10,"5.1 to 10",F661&lt;=20,"10 to 20", F661&lt;= 40, "20 to 40", F661 &lt;= 50, "40 to 50", F661 &gt; 50, "&gt;50" )</f>
        <v>5.1 to 10</v>
      </c>
    </row>
    <row r="662" spans="1:15" ht="14.4" x14ac:dyDescent="0.3">
      <c r="A662" t="s">
        <v>177</v>
      </c>
      <c r="B662" s="1">
        <v>46177</v>
      </c>
      <c r="C662" t="s">
        <v>16</v>
      </c>
      <c r="D662">
        <v>608</v>
      </c>
      <c r="E662">
        <v>1</v>
      </c>
      <c r="F662">
        <v>5.0999999999999996</v>
      </c>
      <c r="G662" t="s">
        <v>21</v>
      </c>
      <c r="I662" t="str">
        <f t="shared" si="11"/>
        <v>608_1</v>
      </c>
      <c r="J662" t="s">
        <v>178</v>
      </c>
      <c r="K662" t="s">
        <v>179</v>
      </c>
      <c r="L662" t="str">
        <f>_xlfn.XLOOKUP(C662, Table2[Species],Table2[Genus], "Code Not Found")</f>
        <v>Acer</v>
      </c>
      <c r="M662" t="str">
        <f>_xlfn.XLOOKUP(C662, Table2[Species],Table2[Sp. Name], "Code Not Found")</f>
        <v>saccharum</v>
      </c>
      <c r="N662" t="str">
        <f>_xlfn.XLOOKUP(C662,Table2[Species],Table2[Family],"Code Not Found")</f>
        <v>Sapindaceae</v>
      </c>
      <c r="O662" t="str" cm="1">
        <f t="array" ref="O662">_xlfn.IFS(F662="","",F662&lt;=5,"0 to 5",F662&lt;=10,"5.1 to 10",F662&lt;=20,"10 to 20", F662&lt;= 40, "20 to 40", F662 &lt;= 50, "40 to 50", F662 &gt; 50, "&gt;50" )</f>
        <v>5.1 to 10</v>
      </c>
    </row>
    <row r="663" spans="1:15" ht="14.4" x14ac:dyDescent="0.3">
      <c r="A663" t="s">
        <v>177</v>
      </c>
      <c r="B663" s="1">
        <v>46177</v>
      </c>
      <c r="C663" t="s">
        <v>16</v>
      </c>
      <c r="D663">
        <v>609</v>
      </c>
      <c r="E663">
        <v>1</v>
      </c>
      <c r="F663">
        <v>4</v>
      </c>
      <c r="G663" t="s">
        <v>30</v>
      </c>
      <c r="H663" t="s">
        <v>99</v>
      </c>
      <c r="I663" t="str">
        <f t="shared" si="11"/>
        <v>609_1</v>
      </c>
      <c r="J663" t="s">
        <v>178</v>
      </c>
      <c r="K663" t="s">
        <v>179</v>
      </c>
      <c r="L663" t="str">
        <f>_xlfn.XLOOKUP(C663, Table2[Species],Table2[Genus], "Code Not Found")</f>
        <v>Acer</v>
      </c>
      <c r="M663" t="str">
        <f>_xlfn.XLOOKUP(C663, Table2[Species],Table2[Sp. Name], "Code Not Found")</f>
        <v>saccharum</v>
      </c>
      <c r="N663" t="str">
        <f>_xlfn.XLOOKUP(C663,Table2[Species],Table2[Family],"Code Not Found")</f>
        <v>Sapindaceae</v>
      </c>
      <c r="O663" t="str" cm="1">
        <f t="array" ref="O663">_xlfn.IFS(F663="","",F663&lt;=5,"0 to 5",F663&lt;=10,"5.1 to 10",F663&lt;=20,"10 to 20", F663&lt;= 40, "20 to 40", F663 &lt;= 50, "40 to 50", F663 &gt; 50, "&gt;50" )</f>
        <v>0 to 5</v>
      </c>
    </row>
    <row r="664" spans="1:15" ht="14.4" x14ac:dyDescent="0.3">
      <c r="A664" t="s">
        <v>177</v>
      </c>
      <c r="B664" s="1">
        <v>46177</v>
      </c>
      <c r="C664" t="s">
        <v>16</v>
      </c>
      <c r="D664">
        <v>610</v>
      </c>
      <c r="E664">
        <v>1</v>
      </c>
      <c r="F664">
        <v>5.7</v>
      </c>
      <c r="G664" t="s">
        <v>47</v>
      </c>
      <c r="I664" t="str">
        <f t="shared" si="11"/>
        <v>610_1</v>
      </c>
      <c r="J664" t="s">
        <v>178</v>
      </c>
      <c r="K664" t="s">
        <v>179</v>
      </c>
      <c r="L664" t="str">
        <f>_xlfn.XLOOKUP(C664, Table2[Species],Table2[Genus], "Code Not Found")</f>
        <v>Acer</v>
      </c>
      <c r="M664" t="str">
        <f>_xlfn.XLOOKUP(C664, Table2[Species],Table2[Sp. Name], "Code Not Found")</f>
        <v>saccharum</v>
      </c>
      <c r="N664" t="str">
        <f>_xlfn.XLOOKUP(C664,Table2[Species],Table2[Family],"Code Not Found")</f>
        <v>Sapindaceae</v>
      </c>
      <c r="O664" t="str" cm="1">
        <f t="array" ref="O664">_xlfn.IFS(F664="","",F664&lt;=5,"0 to 5",F664&lt;=10,"5.1 to 10",F664&lt;=20,"10 to 20", F664&lt;= 40, "20 to 40", F664 &lt;= 50, "40 to 50", F664 &gt; 50, "&gt;50" )</f>
        <v>5.1 to 10</v>
      </c>
    </row>
    <row r="665" spans="1:15" ht="14.4" x14ac:dyDescent="0.3">
      <c r="A665" t="s">
        <v>177</v>
      </c>
      <c r="B665" s="1">
        <v>46177</v>
      </c>
      <c r="C665" t="s">
        <v>16</v>
      </c>
      <c r="D665">
        <v>611</v>
      </c>
      <c r="E665">
        <v>1</v>
      </c>
      <c r="F665">
        <v>7.3</v>
      </c>
      <c r="G665" t="s">
        <v>17</v>
      </c>
      <c r="H665" t="s">
        <v>36</v>
      </c>
      <c r="I665" t="str">
        <f t="shared" si="11"/>
        <v>611_1</v>
      </c>
      <c r="J665" t="s">
        <v>178</v>
      </c>
      <c r="K665" t="s">
        <v>179</v>
      </c>
      <c r="L665" t="str">
        <f>_xlfn.XLOOKUP(C665, Table2[Species],Table2[Genus], "Code Not Found")</f>
        <v>Acer</v>
      </c>
      <c r="M665" t="str">
        <f>_xlfn.XLOOKUP(C665, Table2[Species],Table2[Sp. Name], "Code Not Found")</f>
        <v>saccharum</v>
      </c>
      <c r="N665" t="str">
        <f>_xlfn.XLOOKUP(C665,Table2[Species],Table2[Family],"Code Not Found")</f>
        <v>Sapindaceae</v>
      </c>
      <c r="O665" t="str" cm="1">
        <f t="array" ref="O665">_xlfn.IFS(F665="","",F665&lt;=5,"0 to 5",F665&lt;=10,"5.1 to 10",F665&lt;=20,"10 to 20", F665&lt;= 40, "20 to 40", F665 &lt;= 50, "40 to 50", F665 &gt; 50, "&gt;50" )</f>
        <v>5.1 to 10</v>
      </c>
    </row>
    <row r="666" spans="1:15" ht="14.4" x14ac:dyDescent="0.3">
      <c r="A666" t="s">
        <v>177</v>
      </c>
      <c r="B666" s="1">
        <v>46177</v>
      </c>
      <c r="C666" t="s">
        <v>16</v>
      </c>
      <c r="D666">
        <v>612</v>
      </c>
      <c r="E666">
        <v>1</v>
      </c>
      <c r="F666">
        <v>7.6</v>
      </c>
      <c r="G666" t="s">
        <v>21</v>
      </c>
      <c r="I666" t="str">
        <f t="shared" si="11"/>
        <v>612_1</v>
      </c>
      <c r="J666" t="s">
        <v>178</v>
      </c>
      <c r="K666" t="s">
        <v>179</v>
      </c>
      <c r="L666" t="str">
        <f>_xlfn.XLOOKUP(C666, Table2[Species],Table2[Genus], "Code Not Found")</f>
        <v>Acer</v>
      </c>
      <c r="M666" t="str">
        <f>_xlfn.XLOOKUP(C666, Table2[Species],Table2[Sp. Name], "Code Not Found")</f>
        <v>saccharum</v>
      </c>
      <c r="N666" t="str">
        <f>_xlfn.XLOOKUP(C666,Table2[Species],Table2[Family],"Code Not Found")</f>
        <v>Sapindaceae</v>
      </c>
      <c r="O666" t="str" cm="1">
        <f t="array" ref="O666">_xlfn.IFS(F666="","",F666&lt;=5,"0 to 5",F666&lt;=10,"5.1 to 10",F666&lt;=20,"10 to 20", F666&lt;= 40, "20 to 40", F666 &lt;= 50, "40 to 50", F666 &gt; 50, "&gt;50" )</f>
        <v>5.1 to 10</v>
      </c>
    </row>
    <row r="667" spans="1:15" ht="14.4" x14ac:dyDescent="0.3">
      <c r="A667" t="s">
        <v>177</v>
      </c>
      <c r="B667" s="1">
        <v>46177</v>
      </c>
      <c r="C667" t="s">
        <v>16</v>
      </c>
      <c r="D667">
        <v>613</v>
      </c>
      <c r="E667">
        <v>1</v>
      </c>
      <c r="F667">
        <v>32</v>
      </c>
      <c r="G667" t="s">
        <v>17</v>
      </c>
      <c r="I667" t="str">
        <f t="shared" si="11"/>
        <v>613_1</v>
      </c>
      <c r="J667" t="s">
        <v>178</v>
      </c>
      <c r="K667" t="s">
        <v>179</v>
      </c>
      <c r="L667" t="str">
        <f>_xlfn.XLOOKUP(C667, Table2[Species],Table2[Genus], "Code Not Found")</f>
        <v>Acer</v>
      </c>
      <c r="M667" t="str">
        <f>_xlfn.XLOOKUP(C667, Table2[Species],Table2[Sp. Name], "Code Not Found")</f>
        <v>saccharum</v>
      </c>
      <c r="N667" t="str">
        <f>_xlfn.XLOOKUP(C667,Table2[Species],Table2[Family],"Code Not Found")</f>
        <v>Sapindaceae</v>
      </c>
      <c r="O667" t="str" cm="1">
        <f t="array" ref="O667">_xlfn.IFS(F667="","",F667&lt;=5,"0 to 5",F667&lt;=10,"5.1 to 10",F667&lt;=20,"10 to 20", F667&lt;= 40, "20 to 40", F667 &lt;= 50, "40 to 50", F667 &gt; 50, "&gt;50" )</f>
        <v>20 to 40</v>
      </c>
    </row>
    <row r="668" spans="1:15" ht="14.4" x14ac:dyDescent="0.3">
      <c r="A668" t="s">
        <v>177</v>
      </c>
      <c r="B668" s="1">
        <v>46177</v>
      </c>
      <c r="C668" t="s">
        <v>16</v>
      </c>
      <c r="D668">
        <v>614</v>
      </c>
      <c r="E668">
        <v>1</v>
      </c>
      <c r="F668">
        <v>8.1999999999999993</v>
      </c>
      <c r="G668" t="s">
        <v>17</v>
      </c>
      <c r="I668" t="str">
        <f t="shared" si="11"/>
        <v>614_1</v>
      </c>
      <c r="J668" t="s">
        <v>178</v>
      </c>
      <c r="K668" t="s">
        <v>179</v>
      </c>
      <c r="L668" t="str">
        <f>_xlfn.XLOOKUP(C668, Table2[Species],Table2[Genus], "Code Not Found")</f>
        <v>Acer</v>
      </c>
      <c r="M668" t="str">
        <f>_xlfn.XLOOKUP(C668, Table2[Species],Table2[Sp. Name], "Code Not Found")</f>
        <v>saccharum</v>
      </c>
      <c r="N668" t="str">
        <f>_xlfn.XLOOKUP(C668,Table2[Species],Table2[Family],"Code Not Found")</f>
        <v>Sapindaceae</v>
      </c>
      <c r="O668" t="str" cm="1">
        <f t="array" ref="O668">_xlfn.IFS(F668="","",F668&lt;=5,"0 to 5",F668&lt;=10,"5.1 to 10",F668&lt;=20,"10 to 20", F668&lt;= 40, "20 to 40", F668 &lt;= 50, "40 to 50", F668 &gt; 50, "&gt;50" )</f>
        <v>5.1 to 10</v>
      </c>
    </row>
    <row r="669" spans="1:15" ht="14.4" x14ac:dyDescent="0.3">
      <c r="A669" t="s">
        <v>177</v>
      </c>
      <c r="B669" s="1">
        <v>46177</v>
      </c>
      <c r="C669" t="s">
        <v>16</v>
      </c>
      <c r="D669">
        <v>615</v>
      </c>
      <c r="E669">
        <v>1</v>
      </c>
      <c r="F669">
        <v>12.7</v>
      </c>
      <c r="G669" t="s">
        <v>88</v>
      </c>
      <c r="H669" t="s">
        <v>188</v>
      </c>
      <c r="I669" t="str">
        <f t="shared" si="11"/>
        <v>615_1</v>
      </c>
      <c r="J669" t="s">
        <v>178</v>
      </c>
      <c r="K669" t="s">
        <v>179</v>
      </c>
      <c r="L669" t="str">
        <f>_xlfn.XLOOKUP(C669, Table2[Species],Table2[Genus], "Code Not Found")</f>
        <v>Acer</v>
      </c>
      <c r="M669" t="str">
        <f>_xlfn.XLOOKUP(C669, Table2[Species],Table2[Sp. Name], "Code Not Found")</f>
        <v>saccharum</v>
      </c>
      <c r="N669" t="str">
        <f>_xlfn.XLOOKUP(C669,Table2[Species],Table2[Family],"Code Not Found")</f>
        <v>Sapindaceae</v>
      </c>
      <c r="O669" t="str" cm="1">
        <f t="array" ref="O669">_xlfn.IFS(F669="","",F669&lt;=5,"0 to 5",F669&lt;=10,"5.1 to 10",F669&lt;=20,"10 to 20", F669&lt;= 40, "20 to 40", F669 &lt;= 50, "40 to 50", F669 &gt; 50, "&gt;50" )</f>
        <v>10 to 20</v>
      </c>
    </row>
    <row r="670" spans="1:15" ht="14.4" x14ac:dyDescent="0.3">
      <c r="A670" t="s">
        <v>177</v>
      </c>
      <c r="B670" s="1">
        <v>46177</v>
      </c>
      <c r="C670" t="s">
        <v>16</v>
      </c>
      <c r="D670">
        <v>616</v>
      </c>
      <c r="E670">
        <v>1</v>
      </c>
      <c r="F670">
        <v>11</v>
      </c>
      <c r="G670" t="s">
        <v>17</v>
      </c>
      <c r="I670" t="str">
        <f t="shared" si="11"/>
        <v>616_1</v>
      </c>
      <c r="J670" t="s">
        <v>178</v>
      </c>
      <c r="K670" t="s">
        <v>179</v>
      </c>
      <c r="L670" t="str">
        <f>_xlfn.XLOOKUP(C670, Table2[Species],Table2[Genus], "Code Not Found")</f>
        <v>Acer</v>
      </c>
      <c r="M670" t="str">
        <f>_xlfn.XLOOKUP(C670, Table2[Species],Table2[Sp. Name], "Code Not Found")</f>
        <v>saccharum</v>
      </c>
      <c r="N670" t="str">
        <f>_xlfn.XLOOKUP(C670,Table2[Species],Table2[Family],"Code Not Found")</f>
        <v>Sapindaceae</v>
      </c>
      <c r="O670" t="str" cm="1">
        <f t="array" ref="O670">_xlfn.IFS(F670="","",F670&lt;=5,"0 to 5",F670&lt;=10,"5.1 to 10",F670&lt;=20,"10 to 20", F670&lt;= 40, "20 to 40", F670 &lt;= 50, "40 to 50", F670 &gt; 50, "&gt;50" )</f>
        <v>10 to 20</v>
      </c>
    </row>
    <row r="671" spans="1:15" ht="14.4" x14ac:dyDescent="0.3">
      <c r="A671" t="s">
        <v>177</v>
      </c>
      <c r="B671" s="1">
        <v>46177</v>
      </c>
      <c r="C671" t="s">
        <v>16</v>
      </c>
      <c r="D671">
        <v>617</v>
      </c>
      <c r="E671">
        <v>1</v>
      </c>
      <c r="F671">
        <v>2.4</v>
      </c>
      <c r="G671" t="s">
        <v>21</v>
      </c>
      <c r="I671" t="str">
        <f t="shared" si="11"/>
        <v>617_1</v>
      </c>
      <c r="J671" t="s">
        <v>178</v>
      </c>
      <c r="K671" t="s">
        <v>179</v>
      </c>
      <c r="L671" t="str">
        <f>_xlfn.XLOOKUP(C671, Table2[Species],Table2[Genus], "Code Not Found")</f>
        <v>Acer</v>
      </c>
      <c r="M671" t="str">
        <f>_xlfn.XLOOKUP(C671, Table2[Species],Table2[Sp. Name], "Code Not Found")</f>
        <v>saccharum</v>
      </c>
      <c r="N671" t="str">
        <f>_xlfn.XLOOKUP(C671,Table2[Species],Table2[Family],"Code Not Found")</f>
        <v>Sapindaceae</v>
      </c>
      <c r="O671" t="str" cm="1">
        <f t="array" ref="O671">_xlfn.IFS(F671="","",F671&lt;=5,"0 to 5",F671&lt;=10,"5.1 to 10",F671&lt;=20,"10 to 20", F671&lt;= 40, "20 to 40", F671 &lt;= 50, "40 to 50", F671 &gt; 50, "&gt;50" )</f>
        <v>0 to 5</v>
      </c>
    </row>
    <row r="672" spans="1:15" ht="14.4" x14ac:dyDescent="0.3">
      <c r="A672" t="s">
        <v>177</v>
      </c>
      <c r="B672" s="1">
        <v>46177</v>
      </c>
      <c r="C672" t="s">
        <v>16</v>
      </c>
      <c r="D672">
        <v>618</v>
      </c>
      <c r="E672">
        <v>1</v>
      </c>
      <c r="F672">
        <v>2</v>
      </c>
      <c r="G672" t="s">
        <v>17</v>
      </c>
      <c r="I672" t="str">
        <f t="shared" si="11"/>
        <v>618_1</v>
      </c>
      <c r="J672" t="s">
        <v>178</v>
      </c>
      <c r="K672" t="s">
        <v>179</v>
      </c>
      <c r="L672" t="str">
        <f>_xlfn.XLOOKUP(C672, Table2[Species],Table2[Genus], "Code Not Found")</f>
        <v>Acer</v>
      </c>
      <c r="M672" t="str">
        <f>_xlfn.XLOOKUP(C672, Table2[Species],Table2[Sp. Name], "Code Not Found")</f>
        <v>saccharum</v>
      </c>
      <c r="N672" t="str">
        <f>_xlfn.XLOOKUP(C672,Table2[Species],Table2[Family],"Code Not Found")</f>
        <v>Sapindaceae</v>
      </c>
      <c r="O672" t="str" cm="1">
        <f t="array" ref="O672">_xlfn.IFS(F672="","",F672&lt;=5,"0 to 5",F672&lt;=10,"5.1 to 10",F672&lt;=20,"10 to 20", F672&lt;= 40, "20 to 40", F672 &lt;= 50, "40 to 50", F672 &gt; 50, "&gt;50" )</f>
        <v>0 to 5</v>
      </c>
    </row>
    <row r="673" spans="1:15" ht="14.4" x14ac:dyDescent="0.3">
      <c r="A673" t="s">
        <v>177</v>
      </c>
      <c r="B673" s="1">
        <v>46177</v>
      </c>
      <c r="C673" t="s">
        <v>16</v>
      </c>
      <c r="D673">
        <v>619</v>
      </c>
      <c r="E673">
        <v>1</v>
      </c>
      <c r="F673">
        <v>11.2</v>
      </c>
      <c r="G673" t="s">
        <v>17</v>
      </c>
      <c r="H673" t="s">
        <v>36</v>
      </c>
      <c r="I673" t="str">
        <f t="shared" si="11"/>
        <v>619_1</v>
      </c>
      <c r="J673" t="s">
        <v>178</v>
      </c>
      <c r="K673" t="s">
        <v>179</v>
      </c>
      <c r="L673" t="str">
        <f>_xlfn.XLOOKUP(C673, Table2[Species],Table2[Genus], "Code Not Found")</f>
        <v>Acer</v>
      </c>
      <c r="M673" t="str">
        <f>_xlfn.XLOOKUP(C673, Table2[Species],Table2[Sp. Name], "Code Not Found")</f>
        <v>saccharum</v>
      </c>
      <c r="N673" t="str">
        <f>_xlfn.XLOOKUP(C673,Table2[Species],Table2[Family],"Code Not Found")</f>
        <v>Sapindaceae</v>
      </c>
      <c r="O673" t="str" cm="1">
        <f t="array" ref="O673">_xlfn.IFS(F673="","",F673&lt;=5,"0 to 5",F673&lt;=10,"5.1 to 10",F673&lt;=20,"10 to 20", F673&lt;= 40, "20 to 40", F673 &lt;= 50, "40 to 50", F673 &gt; 50, "&gt;50" )</f>
        <v>10 to 20</v>
      </c>
    </row>
    <row r="674" spans="1:15" ht="14.4" x14ac:dyDescent="0.3">
      <c r="A674" t="s">
        <v>177</v>
      </c>
      <c r="B674" s="1">
        <v>46177</v>
      </c>
      <c r="C674" t="s">
        <v>189</v>
      </c>
      <c r="D674">
        <v>620</v>
      </c>
      <c r="E674">
        <v>1</v>
      </c>
      <c r="F674">
        <v>51.7</v>
      </c>
      <c r="G674" t="s">
        <v>21</v>
      </c>
      <c r="I674" t="str">
        <f t="shared" si="11"/>
        <v>620_1</v>
      </c>
      <c r="J674" t="s">
        <v>178</v>
      </c>
      <c r="K674" t="s">
        <v>179</v>
      </c>
      <c r="L674" t="str">
        <f>_xlfn.XLOOKUP(C674, Table2[Species],Table2[Genus], "Code Not Found")</f>
        <v>Juglans</v>
      </c>
      <c r="M674" t="str">
        <f>_xlfn.XLOOKUP(C674, Table2[Species],Table2[Sp. Name], "Code Not Found")</f>
        <v>nigra</v>
      </c>
      <c r="N674" t="str">
        <f>_xlfn.XLOOKUP(C674,Table2[Species],Table2[Family],"Code Not Found")</f>
        <v>Juglandaceae</v>
      </c>
      <c r="O674" t="str" cm="1">
        <f t="array" ref="O674">_xlfn.IFS(F674="","",F674&lt;=5,"0 to 5",F674&lt;=10,"5.1 to 10",F674&lt;=20,"10 to 20", F674&lt;= 40, "20 to 40", F674 &lt;= 50, "40 to 50", F674 &gt; 50, "&gt;50" )</f>
        <v>&gt;50</v>
      </c>
    </row>
    <row r="675" spans="1:15" ht="14.4" x14ac:dyDescent="0.3">
      <c r="A675" t="s">
        <v>177</v>
      </c>
      <c r="B675" s="1">
        <v>46177</v>
      </c>
      <c r="C675" t="s">
        <v>16</v>
      </c>
      <c r="D675">
        <v>621</v>
      </c>
      <c r="E675">
        <v>1</v>
      </c>
      <c r="F675">
        <v>7.7</v>
      </c>
      <c r="G675" t="s">
        <v>30</v>
      </c>
      <c r="H675" t="s">
        <v>99</v>
      </c>
      <c r="I675" t="str">
        <f t="shared" si="11"/>
        <v>621_1</v>
      </c>
      <c r="J675" t="s">
        <v>178</v>
      </c>
      <c r="K675" t="s">
        <v>179</v>
      </c>
      <c r="L675" t="str">
        <f>_xlfn.XLOOKUP(C675, Table2[Species],Table2[Genus], "Code Not Found")</f>
        <v>Acer</v>
      </c>
      <c r="M675" t="str">
        <f>_xlfn.XLOOKUP(C675, Table2[Species],Table2[Sp. Name], "Code Not Found")</f>
        <v>saccharum</v>
      </c>
      <c r="N675" t="str">
        <f>_xlfn.XLOOKUP(C675,Table2[Species],Table2[Family],"Code Not Found")</f>
        <v>Sapindaceae</v>
      </c>
      <c r="O675" t="str" cm="1">
        <f t="array" ref="O675">_xlfn.IFS(F675="","",F675&lt;=5,"0 to 5",F675&lt;=10,"5.1 to 10",F675&lt;=20,"10 to 20", F675&lt;= 40, "20 to 40", F675 &lt;= 50, "40 to 50", F675 &gt; 50, "&gt;50" )</f>
        <v>5.1 to 10</v>
      </c>
    </row>
    <row r="676" spans="1:15" ht="14.4" x14ac:dyDescent="0.3">
      <c r="A676" t="s">
        <v>177</v>
      </c>
      <c r="B676" s="1">
        <v>46177</v>
      </c>
      <c r="C676" t="s">
        <v>189</v>
      </c>
      <c r="D676">
        <v>622</v>
      </c>
      <c r="E676">
        <v>1</v>
      </c>
      <c r="F676">
        <v>71.2</v>
      </c>
      <c r="G676" t="s">
        <v>21</v>
      </c>
      <c r="I676" t="str">
        <f t="shared" si="11"/>
        <v>622_1</v>
      </c>
      <c r="J676" t="s">
        <v>178</v>
      </c>
      <c r="K676" t="s">
        <v>179</v>
      </c>
      <c r="L676" t="str">
        <f>_xlfn.XLOOKUP(C676, Table2[Species],Table2[Genus], "Code Not Found")</f>
        <v>Juglans</v>
      </c>
      <c r="M676" t="str">
        <f>_xlfn.XLOOKUP(C676, Table2[Species],Table2[Sp. Name], "Code Not Found")</f>
        <v>nigra</v>
      </c>
      <c r="N676" t="str">
        <f>_xlfn.XLOOKUP(C676,Table2[Species],Table2[Family],"Code Not Found")</f>
        <v>Juglandaceae</v>
      </c>
      <c r="O676" t="str" cm="1">
        <f t="array" ref="O676">_xlfn.IFS(F676="","",F676&lt;=5,"0 to 5",F676&lt;=10,"5.1 to 10",F676&lt;=20,"10 to 20", F676&lt;= 40, "20 to 40", F676 &lt;= 50, "40 to 50", F676 &gt; 50, "&gt;50" )</f>
        <v>&gt;50</v>
      </c>
    </row>
    <row r="677" spans="1:15" ht="14.4" x14ac:dyDescent="0.3">
      <c r="A677" t="s">
        <v>177</v>
      </c>
      <c r="B677" s="1">
        <v>46177</v>
      </c>
      <c r="C677" t="s">
        <v>16</v>
      </c>
      <c r="D677">
        <v>623</v>
      </c>
      <c r="E677">
        <v>1</v>
      </c>
      <c r="F677">
        <v>3.3</v>
      </c>
      <c r="G677" t="s">
        <v>21</v>
      </c>
      <c r="H677" t="s">
        <v>190</v>
      </c>
      <c r="I677" t="str">
        <f t="shared" si="11"/>
        <v>623_1</v>
      </c>
      <c r="J677" t="s">
        <v>178</v>
      </c>
      <c r="K677" t="s">
        <v>179</v>
      </c>
      <c r="L677" t="str">
        <f>_xlfn.XLOOKUP(C677, Table2[Species],Table2[Genus], "Code Not Found")</f>
        <v>Acer</v>
      </c>
      <c r="M677" t="str">
        <f>_xlfn.XLOOKUP(C677, Table2[Species],Table2[Sp. Name], "Code Not Found")</f>
        <v>saccharum</v>
      </c>
      <c r="N677" t="str">
        <f>_xlfn.XLOOKUP(C677,Table2[Species],Table2[Family],"Code Not Found")</f>
        <v>Sapindaceae</v>
      </c>
      <c r="O677" t="str" cm="1">
        <f t="array" ref="O677">_xlfn.IFS(F677="","",F677&lt;=5,"0 to 5",F677&lt;=10,"5.1 to 10",F677&lt;=20,"10 to 20", F677&lt;= 40, "20 to 40", F677 &lt;= 50, "40 to 50", F677 &gt; 50, "&gt;50" )</f>
        <v>0 to 5</v>
      </c>
    </row>
    <row r="678" spans="1:15" ht="14.4" x14ac:dyDescent="0.3">
      <c r="A678" t="s">
        <v>177</v>
      </c>
      <c r="B678" s="1">
        <v>46177</v>
      </c>
      <c r="C678" t="s">
        <v>16</v>
      </c>
      <c r="D678">
        <v>624</v>
      </c>
      <c r="E678">
        <v>1</v>
      </c>
      <c r="F678">
        <v>7.6</v>
      </c>
      <c r="G678" t="s">
        <v>17</v>
      </c>
      <c r="I678" t="str">
        <f t="shared" ref="I678:I741" si="12">D678&amp;"_"&amp;E678</f>
        <v>624_1</v>
      </c>
      <c r="J678" t="s">
        <v>178</v>
      </c>
      <c r="K678" t="s">
        <v>179</v>
      </c>
      <c r="L678" t="str">
        <f>_xlfn.XLOOKUP(C678, Table2[Species],Table2[Genus], "Code Not Found")</f>
        <v>Acer</v>
      </c>
      <c r="M678" t="str">
        <f>_xlfn.XLOOKUP(C678, Table2[Species],Table2[Sp. Name], "Code Not Found")</f>
        <v>saccharum</v>
      </c>
      <c r="N678" t="str">
        <f>_xlfn.XLOOKUP(C678,Table2[Species],Table2[Family],"Code Not Found")</f>
        <v>Sapindaceae</v>
      </c>
      <c r="O678" t="str" cm="1">
        <f t="array" ref="O678">_xlfn.IFS(F678="","",F678&lt;=5,"0 to 5",F678&lt;=10,"5.1 to 10",F678&lt;=20,"10 to 20", F678&lt;= 40, "20 to 40", F678 &lt;= 50, "40 to 50", F678 &gt; 50, "&gt;50" )</f>
        <v>5.1 to 10</v>
      </c>
    </row>
    <row r="679" spans="1:15" ht="14.4" x14ac:dyDescent="0.3">
      <c r="A679" t="s">
        <v>177</v>
      </c>
      <c r="B679" s="1">
        <v>46177</v>
      </c>
      <c r="C679" t="s">
        <v>16</v>
      </c>
      <c r="D679">
        <v>625</v>
      </c>
      <c r="E679">
        <v>1</v>
      </c>
      <c r="F679">
        <v>6.5</v>
      </c>
      <c r="G679" t="s">
        <v>47</v>
      </c>
      <c r="H679" t="s">
        <v>43</v>
      </c>
      <c r="I679" t="str">
        <f t="shared" si="12"/>
        <v>625_1</v>
      </c>
      <c r="J679" t="s">
        <v>178</v>
      </c>
      <c r="K679" t="s">
        <v>179</v>
      </c>
      <c r="L679" t="str">
        <f>_xlfn.XLOOKUP(C679, Table2[Species],Table2[Genus], "Code Not Found")</f>
        <v>Acer</v>
      </c>
      <c r="M679" t="str">
        <f>_xlfn.XLOOKUP(C679, Table2[Species],Table2[Sp. Name], "Code Not Found")</f>
        <v>saccharum</v>
      </c>
      <c r="N679" t="str">
        <f>_xlfn.XLOOKUP(C679,Table2[Species],Table2[Family],"Code Not Found")</f>
        <v>Sapindaceae</v>
      </c>
      <c r="O679" t="str" cm="1">
        <f t="array" ref="O679">_xlfn.IFS(F679="","",F679&lt;=5,"0 to 5",F679&lt;=10,"5.1 to 10",F679&lt;=20,"10 to 20", F679&lt;= 40, "20 to 40", F679 &lt;= 50, "40 to 50", F679 &gt; 50, "&gt;50" )</f>
        <v>5.1 to 10</v>
      </c>
    </row>
    <row r="680" spans="1:15" ht="14.4" x14ac:dyDescent="0.3">
      <c r="A680" t="s">
        <v>177</v>
      </c>
      <c r="B680" s="1">
        <v>46177</v>
      </c>
      <c r="C680" t="s">
        <v>16</v>
      </c>
      <c r="D680">
        <v>625</v>
      </c>
      <c r="E680">
        <v>2</v>
      </c>
      <c r="F680">
        <v>1.8</v>
      </c>
      <c r="G680" t="s">
        <v>47</v>
      </c>
      <c r="H680" t="s">
        <v>191</v>
      </c>
      <c r="I680" t="str">
        <f t="shared" si="12"/>
        <v>625_2</v>
      </c>
      <c r="J680" t="s">
        <v>178</v>
      </c>
      <c r="K680" t="s">
        <v>179</v>
      </c>
      <c r="L680" t="str">
        <f>_xlfn.XLOOKUP(C680, Table2[Species],Table2[Genus], "Code Not Found")</f>
        <v>Acer</v>
      </c>
      <c r="M680" t="str">
        <f>_xlfn.XLOOKUP(C680, Table2[Species],Table2[Sp. Name], "Code Not Found")</f>
        <v>saccharum</v>
      </c>
      <c r="N680" t="str">
        <f>_xlfn.XLOOKUP(C680,Table2[Species],Table2[Family],"Code Not Found")</f>
        <v>Sapindaceae</v>
      </c>
      <c r="O680" t="str" cm="1">
        <f t="array" ref="O680">_xlfn.IFS(F680="","",F680&lt;=5,"0 to 5",F680&lt;=10,"5.1 to 10",F680&lt;=20,"10 to 20", F680&lt;= 40, "20 to 40", F680 &lt;= 50, "40 to 50", F680 &gt; 50, "&gt;50" )</f>
        <v>0 to 5</v>
      </c>
    </row>
    <row r="681" spans="1:15" ht="14.4" x14ac:dyDescent="0.3">
      <c r="A681" t="s">
        <v>177</v>
      </c>
      <c r="B681" s="1">
        <v>46177</v>
      </c>
      <c r="C681" t="s">
        <v>16</v>
      </c>
      <c r="D681">
        <v>626</v>
      </c>
      <c r="E681">
        <v>1</v>
      </c>
      <c r="F681">
        <v>5.0999999999999996</v>
      </c>
      <c r="G681" t="s">
        <v>88</v>
      </c>
      <c r="H681" t="s">
        <v>192</v>
      </c>
      <c r="I681" t="str">
        <f t="shared" si="12"/>
        <v>626_1</v>
      </c>
      <c r="J681" t="s">
        <v>178</v>
      </c>
      <c r="K681" t="s">
        <v>179</v>
      </c>
      <c r="L681" t="str">
        <f>_xlfn.XLOOKUP(C681, Table2[Species],Table2[Genus], "Code Not Found")</f>
        <v>Acer</v>
      </c>
      <c r="M681" t="str">
        <f>_xlfn.XLOOKUP(C681, Table2[Species],Table2[Sp. Name], "Code Not Found")</f>
        <v>saccharum</v>
      </c>
      <c r="N681" t="str">
        <f>_xlfn.XLOOKUP(C681,Table2[Species],Table2[Family],"Code Not Found")</f>
        <v>Sapindaceae</v>
      </c>
      <c r="O681" t="str" cm="1">
        <f t="array" ref="O681">_xlfn.IFS(F681="","",F681&lt;=5,"0 to 5",F681&lt;=10,"5.1 to 10",F681&lt;=20,"10 to 20", F681&lt;= 40, "20 to 40", F681 &lt;= 50, "40 to 50", F681 &gt; 50, "&gt;50" )</f>
        <v>5.1 to 10</v>
      </c>
    </row>
    <row r="682" spans="1:15" ht="14.4" x14ac:dyDescent="0.3">
      <c r="A682" t="s">
        <v>177</v>
      </c>
      <c r="B682" s="1">
        <v>46177</v>
      </c>
      <c r="C682" t="s">
        <v>16</v>
      </c>
      <c r="D682">
        <v>627</v>
      </c>
      <c r="E682">
        <v>1</v>
      </c>
      <c r="F682">
        <v>15.1</v>
      </c>
      <c r="G682" t="s">
        <v>88</v>
      </c>
      <c r="H682" t="s">
        <v>99</v>
      </c>
      <c r="I682" t="str">
        <f t="shared" si="12"/>
        <v>627_1</v>
      </c>
      <c r="J682" t="s">
        <v>178</v>
      </c>
      <c r="K682" t="s">
        <v>179</v>
      </c>
      <c r="L682" t="str">
        <f>_xlfn.XLOOKUP(C682, Table2[Species],Table2[Genus], "Code Not Found")</f>
        <v>Acer</v>
      </c>
      <c r="M682" t="str">
        <f>_xlfn.XLOOKUP(C682, Table2[Species],Table2[Sp. Name], "Code Not Found")</f>
        <v>saccharum</v>
      </c>
      <c r="N682" t="str">
        <f>_xlfn.XLOOKUP(C682,Table2[Species],Table2[Family],"Code Not Found")</f>
        <v>Sapindaceae</v>
      </c>
      <c r="O682" t="str" cm="1">
        <f t="array" ref="O682">_xlfn.IFS(F682="","",F682&lt;=5,"0 to 5",F682&lt;=10,"5.1 to 10",F682&lt;=20,"10 to 20", F682&lt;= 40, "20 to 40", F682 &lt;= 50, "40 to 50", F682 &gt; 50, "&gt;50" )</f>
        <v>10 to 20</v>
      </c>
    </row>
    <row r="683" spans="1:15" ht="14.4" x14ac:dyDescent="0.3">
      <c r="A683" t="s">
        <v>177</v>
      </c>
      <c r="B683" s="1">
        <v>46177</v>
      </c>
      <c r="C683" t="s">
        <v>189</v>
      </c>
      <c r="D683">
        <v>628</v>
      </c>
      <c r="E683">
        <v>1</v>
      </c>
      <c r="F683">
        <v>59.2</v>
      </c>
      <c r="G683" t="s">
        <v>21</v>
      </c>
      <c r="I683" t="str">
        <f t="shared" si="12"/>
        <v>628_1</v>
      </c>
      <c r="J683" t="s">
        <v>178</v>
      </c>
      <c r="K683" t="s">
        <v>179</v>
      </c>
      <c r="L683" t="str">
        <f>_xlfn.XLOOKUP(C683, Table2[Species],Table2[Genus], "Code Not Found")</f>
        <v>Juglans</v>
      </c>
      <c r="M683" t="str">
        <f>_xlfn.XLOOKUP(C683, Table2[Species],Table2[Sp. Name], "Code Not Found")</f>
        <v>nigra</v>
      </c>
      <c r="N683" t="str">
        <f>_xlfn.XLOOKUP(C683,Table2[Species],Table2[Family],"Code Not Found")</f>
        <v>Juglandaceae</v>
      </c>
      <c r="O683" t="str" cm="1">
        <f t="array" ref="O683">_xlfn.IFS(F683="","",F683&lt;=5,"0 to 5",F683&lt;=10,"5.1 to 10",F683&lt;=20,"10 to 20", F683&lt;= 40, "20 to 40", F683 &lt;= 50, "40 to 50", F683 &gt; 50, "&gt;50" )</f>
        <v>&gt;50</v>
      </c>
    </row>
    <row r="684" spans="1:15" ht="14.4" x14ac:dyDescent="0.3">
      <c r="A684" t="s">
        <v>177</v>
      </c>
      <c r="B684" s="1">
        <v>46177</v>
      </c>
      <c r="C684" t="s">
        <v>180</v>
      </c>
      <c r="D684">
        <v>629</v>
      </c>
      <c r="E684">
        <v>1</v>
      </c>
      <c r="F684">
        <v>14.9</v>
      </c>
      <c r="G684" t="s">
        <v>17</v>
      </c>
      <c r="I684" t="str">
        <f t="shared" si="12"/>
        <v>629_1</v>
      </c>
      <c r="J684" t="s">
        <v>178</v>
      </c>
      <c r="K684" t="s">
        <v>179</v>
      </c>
      <c r="L684" t="str">
        <f>_xlfn.XLOOKUP(C684, Table2[Species],Table2[Genus], "Code Not Found")</f>
        <v>Tilia</v>
      </c>
      <c r="M684" t="str">
        <f>_xlfn.XLOOKUP(C684, Table2[Species],Table2[Sp. Name], "Code Not Found")</f>
        <v>americana</v>
      </c>
      <c r="N684" t="str">
        <f>_xlfn.XLOOKUP(C684,Table2[Species],Table2[Family],"Code Not Found")</f>
        <v>Malvaceae</v>
      </c>
      <c r="O684" t="str" cm="1">
        <f t="array" ref="O684">_xlfn.IFS(F684="","",F684&lt;=5,"0 to 5",F684&lt;=10,"5.1 to 10",F684&lt;=20,"10 to 20", F684&lt;= 40, "20 to 40", F684 &lt;= 50, "40 to 50", F684 &gt; 50, "&gt;50" )</f>
        <v>10 to 20</v>
      </c>
    </row>
    <row r="685" spans="1:15" ht="14.4" x14ac:dyDescent="0.3">
      <c r="A685" t="s">
        <v>177</v>
      </c>
      <c r="B685" s="1">
        <v>46177</v>
      </c>
      <c r="C685" t="s">
        <v>16</v>
      </c>
      <c r="D685">
        <v>630</v>
      </c>
      <c r="E685">
        <v>1</v>
      </c>
      <c r="F685">
        <v>3.3</v>
      </c>
      <c r="G685" t="s">
        <v>30</v>
      </c>
      <c r="H685" t="s">
        <v>99</v>
      </c>
      <c r="I685" t="str">
        <f t="shared" si="12"/>
        <v>630_1</v>
      </c>
      <c r="J685" t="s">
        <v>178</v>
      </c>
      <c r="K685" t="s">
        <v>179</v>
      </c>
      <c r="L685" t="str">
        <f>_xlfn.XLOOKUP(C685, Table2[Species],Table2[Genus], "Code Not Found")</f>
        <v>Acer</v>
      </c>
      <c r="M685" t="str">
        <f>_xlfn.XLOOKUP(C685, Table2[Species],Table2[Sp. Name], "Code Not Found")</f>
        <v>saccharum</v>
      </c>
      <c r="N685" t="str">
        <f>_xlfn.XLOOKUP(C685,Table2[Species],Table2[Family],"Code Not Found")</f>
        <v>Sapindaceae</v>
      </c>
      <c r="O685" t="str" cm="1">
        <f t="array" ref="O685">_xlfn.IFS(F685="","",F685&lt;=5,"0 to 5",F685&lt;=10,"5.1 to 10",F685&lt;=20,"10 to 20", F685&lt;= 40, "20 to 40", F685 &lt;= 50, "40 to 50", F685 &gt; 50, "&gt;50" )</f>
        <v>0 to 5</v>
      </c>
    </row>
    <row r="686" spans="1:15" ht="14.4" x14ac:dyDescent="0.3">
      <c r="A686" t="s">
        <v>177</v>
      </c>
      <c r="B686" s="1">
        <v>46177</v>
      </c>
      <c r="C686" t="s">
        <v>189</v>
      </c>
      <c r="D686">
        <v>631</v>
      </c>
      <c r="E686">
        <v>1</v>
      </c>
      <c r="F686">
        <v>54.9</v>
      </c>
      <c r="G686" t="s">
        <v>21</v>
      </c>
      <c r="I686" t="str">
        <f t="shared" si="12"/>
        <v>631_1</v>
      </c>
      <c r="J686" t="s">
        <v>178</v>
      </c>
      <c r="K686" t="s">
        <v>179</v>
      </c>
      <c r="L686" t="str">
        <f>_xlfn.XLOOKUP(C686, Table2[Species],Table2[Genus], "Code Not Found")</f>
        <v>Juglans</v>
      </c>
      <c r="M686" t="str">
        <f>_xlfn.XLOOKUP(C686, Table2[Species],Table2[Sp. Name], "Code Not Found")</f>
        <v>nigra</v>
      </c>
      <c r="N686" t="str">
        <f>_xlfn.XLOOKUP(C686,Table2[Species],Table2[Family],"Code Not Found")</f>
        <v>Juglandaceae</v>
      </c>
      <c r="O686" t="str" cm="1">
        <f t="array" ref="O686">_xlfn.IFS(F686="","",F686&lt;=5,"0 to 5",F686&lt;=10,"5.1 to 10",F686&lt;=20,"10 to 20", F686&lt;= 40, "20 to 40", F686 &lt;= 50, "40 to 50", F686 &gt; 50, "&gt;50" )</f>
        <v>&gt;50</v>
      </c>
    </row>
    <row r="687" spans="1:15" ht="14.4" x14ac:dyDescent="0.3">
      <c r="A687" t="s">
        <v>177</v>
      </c>
      <c r="B687" s="1">
        <v>46177</v>
      </c>
      <c r="C687" t="s">
        <v>180</v>
      </c>
      <c r="D687">
        <v>632</v>
      </c>
      <c r="E687">
        <v>1</v>
      </c>
      <c r="F687">
        <v>18.399999999999999</v>
      </c>
      <c r="G687" t="s">
        <v>17</v>
      </c>
      <c r="H687" t="s">
        <v>36</v>
      </c>
      <c r="I687" t="str">
        <f t="shared" si="12"/>
        <v>632_1</v>
      </c>
      <c r="J687" t="s">
        <v>178</v>
      </c>
      <c r="K687" t="s">
        <v>179</v>
      </c>
      <c r="L687" t="str">
        <f>_xlfn.XLOOKUP(C687, Table2[Species],Table2[Genus], "Code Not Found")</f>
        <v>Tilia</v>
      </c>
      <c r="M687" t="str">
        <f>_xlfn.XLOOKUP(C687, Table2[Species],Table2[Sp. Name], "Code Not Found")</f>
        <v>americana</v>
      </c>
      <c r="N687" t="str">
        <f>_xlfn.XLOOKUP(C687,Table2[Species],Table2[Family],"Code Not Found")</f>
        <v>Malvaceae</v>
      </c>
      <c r="O687" t="str" cm="1">
        <f t="array" ref="O687">_xlfn.IFS(F687="","",F687&lt;=5,"0 to 5",F687&lt;=10,"5.1 to 10",F687&lt;=20,"10 to 20", F687&lt;= 40, "20 to 40", F687 &lt;= 50, "40 to 50", F687 &gt; 50, "&gt;50" )</f>
        <v>10 to 20</v>
      </c>
    </row>
    <row r="688" spans="1:15" ht="14.4" x14ac:dyDescent="0.3">
      <c r="A688" t="s">
        <v>177</v>
      </c>
      <c r="B688" s="1">
        <v>46177</v>
      </c>
      <c r="C688" t="s">
        <v>16</v>
      </c>
      <c r="D688">
        <v>633</v>
      </c>
      <c r="E688">
        <v>1</v>
      </c>
      <c r="F688">
        <v>4.2</v>
      </c>
      <c r="G688" t="s">
        <v>21</v>
      </c>
      <c r="I688" t="str">
        <f t="shared" si="12"/>
        <v>633_1</v>
      </c>
      <c r="J688" t="s">
        <v>178</v>
      </c>
      <c r="K688" t="s">
        <v>179</v>
      </c>
      <c r="L688" t="str">
        <f>_xlfn.XLOOKUP(C688, Table2[Species],Table2[Genus], "Code Not Found")</f>
        <v>Acer</v>
      </c>
      <c r="M688" t="str">
        <f>_xlfn.XLOOKUP(C688, Table2[Species],Table2[Sp. Name], "Code Not Found")</f>
        <v>saccharum</v>
      </c>
      <c r="N688" t="str">
        <f>_xlfn.XLOOKUP(C688,Table2[Species],Table2[Family],"Code Not Found")</f>
        <v>Sapindaceae</v>
      </c>
      <c r="O688" t="str" cm="1">
        <f t="array" ref="O688">_xlfn.IFS(F688="","",F688&lt;=5,"0 to 5",F688&lt;=10,"5.1 to 10",F688&lt;=20,"10 to 20", F688&lt;= 40, "20 to 40", F688 &lt;= 50, "40 to 50", F688 &gt; 50, "&gt;50" )</f>
        <v>0 to 5</v>
      </c>
    </row>
    <row r="689" spans="1:15" ht="14.4" x14ac:dyDescent="0.3">
      <c r="A689" t="s">
        <v>177</v>
      </c>
      <c r="B689" s="1">
        <v>46177</v>
      </c>
      <c r="C689" t="s">
        <v>16</v>
      </c>
      <c r="D689">
        <v>634</v>
      </c>
      <c r="E689">
        <v>1</v>
      </c>
      <c r="F689">
        <v>14.8</v>
      </c>
      <c r="G689" t="s">
        <v>17</v>
      </c>
      <c r="I689" t="str">
        <f t="shared" si="12"/>
        <v>634_1</v>
      </c>
      <c r="J689" t="s">
        <v>178</v>
      </c>
      <c r="K689" t="s">
        <v>179</v>
      </c>
      <c r="L689" t="str">
        <f>_xlfn.XLOOKUP(C689, Table2[Species],Table2[Genus], "Code Not Found")</f>
        <v>Acer</v>
      </c>
      <c r="M689" t="str">
        <f>_xlfn.XLOOKUP(C689, Table2[Species],Table2[Sp. Name], "Code Not Found")</f>
        <v>saccharum</v>
      </c>
      <c r="N689" t="str">
        <f>_xlfn.XLOOKUP(C689,Table2[Species],Table2[Family],"Code Not Found")</f>
        <v>Sapindaceae</v>
      </c>
      <c r="O689" t="str" cm="1">
        <f t="array" ref="O689">_xlfn.IFS(F689="","",F689&lt;=5,"0 to 5",F689&lt;=10,"5.1 to 10",F689&lt;=20,"10 to 20", F689&lt;= 40, "20 to 40", F689 &lt;= 50, "40 to 50", F689 &gt; 50, "&gt;50" )</f>
        <v>10 to 20</v>
      </c>
    </row>
    <row r="690" spans="1:15" ht="14.4" x14ac:dyDescent="0.3">
      <c r="A690" t="s">
        <v>177</v>
      </c>
      <c r="B690" s="1">
        <v>46177</v>
      </c>
      <c r="C690" t="s">
        <v>16</v>
      </c>
      <c r="D690">
        <v>635</v>
      </c>
      <c r="E690">
        <v>1</v>
      </c>
      <c r="F690">
        <v>14.5</v>
      </c>
      <c r="G690" t="s">
        <v>21</v>
      </c>
      <c r="I690" t="str">
        <f t="shared" si="12"/>
        <v>635_1</v>
      </c>
      <c r="J690" t="s">
        <v>178</v>
      </c>
      <c r="K690" t="s">
        <v>179</v>
      </c>
      <c r="L690" t="str">
        <f>_xlfn.XLOOKUP(C690, Table2[Species],Table2[Genus], "Code Not Found")</f>
        <v>Acer</v>
      </c>
      <c r="M690" t="str">
        <f>_xlfn.XLOOKUP(C690, Table2[Species],Table2[Sp. Name], "Code Not Found")</f>
        <v>saccharum</v>
      </c>
      <c r="N690" t="str">
        <f>_xlfn.XLOOKUP(C690,Table2[Species],Table2[Family],"Code Not Found")</f>
        <v>Sapindaceae</v>
      </c>
      <c r="O690" t="str" cm="1">
        <f t="array" ref="O690">_xlfn.IFS(F690="","",F690&lt;=5,"0 to 5",F690&lt;=10,"5.1 to 10",F690&lt;=20,"10 to 20", F690&lt;= 40, "20 to 40", F690 &lt;= 50, "40 to 50", F690 &gt; 50, "&gt;50" )</f>
        <v>10 to 20</v>
      </c>
    </row>
    <row r="691" spans="1:15" ht="14.4" x14ac:dyDescent="0.3">
      <c r="A691" t="s">
        <v>177</v>
      </c>
      <c r="B691" s="1">
        <v>46177</v>
      </c>
      <c r="C691" t="s">
        <v>16</v>
      </c>
      <c r="D691">
        <v>636</v>
      </c>
      <c r="E691">
        <v>1</v>
      </c>
      <c r="F691">
        <v>5.3</v>
      </c>
      <c r="G691" t="s">
        <v>21</v>
      </c>
      <c r="I691" t="str">
        <f t="shared" si="12"/>
        <v>636_1</v>
      </c>
      <c r="J691" t="s">
        <v>178</v>
      </c>
      <c r="K691" t="s">
        <v>179</v>
      </c>
      <c r="L691" t="str">
        <f>_xlfn.XLOOKUP(C691, Table2[Species],Table2[Genus], "Code Not Found")</f>
        <v>Acer</v>
      </c>
      <c r="M691" t="str">
        <f>_xlfn.XLOOKUP(C691, Table2[Species],Table2[Sp. Name], "Code Not Found")</f>
        <v>saccharum</v>
      </c>
      <c r="N691" t="str">
        <f>_xlfn.XLOOKUP(C691,Table2[Species],Table2[Family],"Code Not Found")</f>
        <v>Sapindaceae</v>
      </c>
      <c r="O691" t="str" cm="1">
        <f t="array" ref="O691">_xlfn.IFS(F691="","",F691&lt;=5,"0 to 5",F691&lt;=10,"5.1 to 10",F691&lt;=20,"10 to 20", F691&lt;= 40, "20 to 40", F691 &lt;= 50, "40 to 50", F691 &gt; 50, "&gt;50" )</f>
        <v>5.1 to 10</v>
      </c>
    </row>
    <row r="692" spans="1:15" ht="14.4" x14ac:dyDescent="0.3">
      <c r="A692" t="s">
        <v>177</v>
      </c>
      <c r="B692" s="1">
        <v>46177</v>
      </c>
      <c r="C692" t="s">
        <v>16</v>
      </c>
      <c r="D692">
        <v>637</v>
      </c>
      <c r="E692">
        <v>1</v>
      </c>
      <c r="F692">
        <v>6.1</v>
      </c>
      <c r="G692" t="s">
        <v>21</v>
      </c>
      <c r="I692" t="str">
        <f t="shared" si="12"/>
        <v>637_1</v>
      </c>
      <c r="J692" t="s">
        <v>178</v>
      </c>
      <c r="K692" t="s">
        <v>179</v>
      </c>
      <c r="L692" t="str">
        <f>_xlfn.XLOOKUP(C692, Table2[Species],Table2[Genus], "Code Not Found")</f>
        <v>Acer</v>
      </c>
      <c r="M692" t="str">
        <f>_xlfn.XLOOKUP(C692, Table2[Species],Table2[Sp. Name], "Code Not Found")</f>
        <v>saccharum</v>
      </c>
      <c r="N692" t="str">
        <f>_xlfn.XLOOKUP(C692,Table2[Species],Table2[Family],"Code Not Found")</f>
        <v>Sapindaceae</v>
      </c>
      <c r="O692" t="str" cm="1">
        <f t="array" ref="O692">_xlfn.IFS(F692="","",F692&lt;=5,"0 to 5",F692&lt;=10,"5.1 to 10",F692&lt;=20,"10 to 20", F692&lt;= 40, "20 to 40", F692 &lt;= 50, "40 to 50", F692 &gt; 50, "&gt;50" )</f>
        <v>5.1 to 10</v>
      </c>
    </row>
    <row r="693" spans="1:15" ht="14.4" x14ac:dyDescent="0.3">
      <c r="A693" t="s">
        <v>177</v>
      </c>
      <c r="B693" s="1">
        <v>46177</v>
      </c>
      <c r="C693" t="s">
        <v>16</v>
      </c>
      <c r="D693">
        <v>638</v>
      </c>
      <c r="E693">
        <v>1</v>
      </c>
      <c r="F693">
        <v>4.3</v>
      </c>
      <c r="G693" t="s">
        <v>139</v>
      </c>
      <c r="H693" t="s">
        <v>193</v>
      </c>
      <c r="I693" t="str">
        <f t="shared" si="12"/>
        <v>638_1</v>
      </c>
      <c r="J693" t="s">
        <v>178</v>
      </c>
      <c r="K693" t="s">
        <v>179</v>
      </c>
      <c r="L693" t="str">
        <f>_xlfn.XLOOKUP(C693, Table2[Species],Table2[Genus], "Code Not Found")</f>
        <v>Acer</v>
      </c>
      <c r="M693" t="str">
        <f>_xlfn.XLOOKUP(C693, Table2[Species],Table2[Sp. Name], "Code Not Found")</f>
        <v>saccharum</v>
      </c>
      <c r="N693" t="str">
        <f>_xlfn.XLOOKUP(C693,Table2[Species],Table2[Family],"Code Not Found")</f>
        <v>Sapindaceae</v>
      </c>
      <c r="O693" t="str" cm="1">
        <f t="array" ref="O693">_xlfn.IFS(F693="","",F693&lt;=5,"0 to 5",F693&lt;=10,"5.1 to 10",F693&lt;=20,"10 to 20", F693&lt;= 40, "20 to 40", F693 &lt;= 50, "40 to 50", F693 &gt; 50, "&gt;50" )</f>
        <v>0 to 5</v>
      </c>
    </row>
    <row r="694" spans="1:15" ht="14.4" x14ac:dyDescent="0.3">
      <c r="A694" t="s">
        <v>177</v>
      </c>
      <c r="B694" s="1">
        <v>46177</v>
      </c>
      <c r="C694" t="s">
        <v>16</v>
      </c>
      <c r="D694">
        <v>639</v>
      </c>
      <c r="E694">
        <v>1</v>
      </c>
      <c r="F694">
        <v>8.6999999999999993</v>
      </c>
      <c r="G694" t="s">
        <v>17</v>
      </c>
      <c r="I694" t="str">
        <f t="shared" si="12"/>
        <v>639_1</v>
      </c>
      <c r="J694" t="s">
        <v>178</v>
      </c>
      <c r="K694" t="s">
        <v>179</v>
      </c>
      <c r="L694" t="str">
        <f>_xlfn.XLOOKUP(C694, Table2[Species],Table2[Genus], "Code Not Found")</f>
        <v>Acer</v>
      </c>
      <c r="M694" t="str">
        <f>_xlfn.XLOOKUP(C694, Table2[Species],Table2[Sp. Name], "Code Not Found")</f>
        <v>saccharum</v>
      </c>
      <c r="N694" t="str">
        <f>_xlfn.XLOOKUP(C694,Table2[Species],Table2[Family],"Code Not Found")</f>
        <v>Sapindaceae</v>
      </c>
      <c r="O694" t="str" cm="1">
        <f t="array" ref="O694">_xlfn.IFS(F694="","",F694&lt;=5,"0 to 5",F694&lt;=10,"5.1 to 10",F694&lt;=20,"10 to 20", F694&lt;= 40, "20 to 40", F694 &lt;= 50, "40 to 50", F694 &gt; 50, "&gt;50" )</f>
        <v>5.1 to 10</v>
      </c>
    </row>
    <row r="695" spans="1:15" ht="14.4" x14ac:dyDescent="0.3">
      <c r="A695" t="s">
        <v>177</v>
      </c>
      <c r="B695" s="1">
        <v>46177</v>
      </c>
      <c r="C695" t="s">
        <v>189</v>
      </c>
      <c r="D695">
        <v>640</v>
      </c>
      <c r="E695">
        <v>1</v>
      </c>
      <c r="F695">
        <v>75.3</v>
      </c>
      <c r="G695" t="s">
        <v>30</v>
      </c>
      <c r="H695" t="s">
        <v>194</v>
      </c>
      <c r="I695" t="str">
        <f t="shared" si="12"/>
        <v>640_1</v>
      </c>
      <c r="J695" t="s">
        <v>178</v>
      </c>
      <c r="K695" t="s">
        <v>179</v>
      </c>
      <c r="L695" t="str">
        <f>_xlfn.XLOOKUP(C695, Table2[Species],Table2[Genus], "Code Not Found")</f>
        <v>Juglans</v>
      </c>
      <c r="M695" t="str">
        <f>_xlfn.XLOOKUP(C695, Table2[Species],Table2[Sp. Name], "Code Not Found")</f>
        <v>nigra</v>
      </c>
      <c r="N695" t="str">
        <f>_xlfn.XLOOKUP(C695,Table2[Species],Table2[Family],"Code Not Found")</f>
        <v>Juglandaceae</v>
      </c>
      <c r="O695" t="str" cm="1">
        <f t="array" ref="O695">_xlfn.IFS(F695="","",F695&lt;=5,"0 to 5",F695&lt;=10,"5.1 to 10",F695&lt;=20,"10 to 20", F695&lt;= 40, "20 to 40", F695 &lt;= 50, "40 to 50", F695 &gt; 50, "&gt;50" )</f>
        <v>&gt;50</v>
      </c>
    </row>
    <row r="696" spans="1:15" ht="14.4" x14ac:dyDescent="0.3">
      <c r="A696" t="s">
        <v>177</v>
      </c>
      <c r="B696" s="1">
        <v>46177</v>
      </c>
      <c r="C696" t="s">
        <v>16</v>
      </c>
      <c r="D696">
        <v>641</v>
      </c>
      <c r="E696">
        <v>1</v>
      </c>
      <c r="F696">
        <v>38.1</v>
      </c>
      <c r="G696" t="s">
        <v>21</v>
      </c>
      <c r="H696" t="s">
        <v>195</v>
      </c>
      <c r="I696" t="str">
        <f t="shared" si="12"/>
        <v>641_1</v>
      </c>
      <c r="J696" t="s">
        <v>178</v>
      </c>
      <c r="K696" t="s">
        <v>179</v>
      </c>
      <c r="L696" t="str">
        <f>_xlfn.XLOOKUP(C696, Table2[Species],Table2[Genus], "Code Not Found")</f>
        <v>Acer</v>
      </c>
      <c r="M696" t="str">
        <f>_xlfn.XLOOKUP(C696, Table2[Species],Table2[Sp. Name], "Code Not Found")</f>
        <v>saccharum</v>
      </c>
      <c r="N696" t="str">
        <f>_xlfn.XLOOKUP(C696,Table2[Species],Table2[Family],"Code Not Found")</f>
        <v>Sapindaceae</v>
      </c>
      <c r="O696" t="str" cm="1">
        <f t="array" ref="O696">_xlfn.IFS(F696="","",F696&lt;=5,"0 to 5",F696&lt;=10,"5.1 to 10",F696&lt;=20,"10 to 20", F696&lt;= 40, "20 to 40", F696 &lt;= 50, "40 to 50", F696 &gt; 50, "&gt;50" )</f>
        <v>20 to 40</v>
      </c>
    </row>
    <row r="697" spans="1:15" ht="14.4" x14ac:dyDescent="0.3">
      <c r="A697" t="s">
        <v>177</v>
      </c>
      <c r="B697" s="1">
        <v>46177</v>
      </c>
      <c r="C697" t="s">
        <v>16</v>
      </c>
      <c r="D697">
        <v>642</v>
      </c>
      <c r="E697">
        <v>1</v>
      </c>
      <c r="F697">
        <v>3.7</v>
      </c>
      <c r="G697" t="s">
        <v>47</v>
      </c>
      <c r="I697" t="str">
        <f t="shared" si="12"/>
        <v>642_1</v>
      </c>
      <c r="J697" t="s">
        <v>178</v>
      </c>
      <c r="K697" t="s">
        <v>179</v>
      </c>
      <c r="L697" t="str">
        <f>_xlfn.XLOOKUP(C697, Table2[Species],Table2[Genus], "Code Not Found")</f>
        <v>Acer</v>
      </c>
      <c r="M697" t="str">
        <f>_xlfn.XLOOKUP(C697, Table2[Species],Table2[Sp. Name], "Code Not Found")</f>
        <v>saccharum</v>
      </c>
      <c r="N697" t="str">
        <f>_xlfn.XLOOKUP(C697,Table2[Species],Table2[Family],"Code Not Found")</f>
        <v>Sapindaceae</v>
      </c>
      <c r="O697" t="str" cm="1">
        <f t="array" ref="O697">_xlfn.IFS(F697="","",F697&lt;=5,"0 to 5",F697&lt;=10,"5.1 to 10",F697&lt;=20,"10 to 20", F697&lt;= 40, "20 to 40", F697 &lt;= 50, "40 to 50", F697 &gt; 50, "&gt;50" )</f>
        <v>0 to 5</v>
      </c>
    </row>
    <row r="698" spans="1:15" ht="14.4" x14ac:dyDescent="0.3">
      <c r="A698" t="s">
        <v>177</v>
      </c>
      <c r="B698" s="1">
        <v>46177</v>
      </c>
      <c r="C698" t="s">
        <v>16</v>
      </c>
      <c r="D698">
        <v>643</v>
      </c>
      <c r="E698">
        <v>1</v>
      </c>
      <c r="F698">
        <v>5.9</v>
      </c>
      <c r="G698" t="s">
        <v>21</v>
      </c>
      <c r="I698" t="str">
        <f t="shared" si="12"/>
        <v>643_1</v>
      </c>
      <c r="J698" t="s">
        <v>178</v>
      </c>
      <c r="K698" t="s">
        <v>179</v>
      </c>
      <c r="L698" t="str">
        <f>_xlfn.XLOOKUP(C698, Table2[Species],Table2[Genus], "Code Not Found")</f>
        <v>Acer</v>
      </c>
      <c r="M698" t="str">
        <f>_xlfn.XLOOKUP(C698, Table2[Species],Table2[Sp. Name], "Code Not Found")</f>
        <v>saccharum</v>
      </c>
      <c r="N698" t="str">
        <f>_xlfn.XLOOKUP(C698,Table2[Species],Table2[Family],"Code Not Found")</f>
        <v>Sapindaceae</v>
      </c>
      <c r="O698" t="str" cm="1">
        <f t="array" ref="O698">_xlfn.IFS(F698="","",F698&lt;=5,"0 to 5",F698&lt;=10,"5.1 to 10",F698&lt;=20,"10 to 20", F698&lt;= 40, "20 to 40", F698 &lt;= 50, "40 to 50", F698 &gt; 50, "&gt;50" )</f>
        <v>5.1 to 10</v>
      </c>
    </row>
    <row r="699" spans="1:15" ht="14.4" x14ac:dyDescent="0.3">
      <c r="A699" t="s">
        <v>177</v>
      </c>
      <c r="B699" s="1">
        <v>46177</v>
      </c>
      <c r="C699" t="s">
        <v>16</v>
      </c>
      <c r="D699">
        <v>644</v>
      </c>
      <c r="E699">
        <v>1</v>
      </c>
      <c r="F699">
        <v>5.5</v>
      </c>
      <c r="G699" t="s">
        <v>47</v>
      </c>
      <c r="I699" t="str">
        <f t="shared" si="12"/>
        <v>644_1</v>
      </c>
      <c r="J699" t="s">
        <v>178</v>
      </c>
      <c r="K699" t="s">
        <v>179</v>
      </c>
      <c r="L699" t="str">
        <f>_xlfn.XLOOKUP(C699, Table2[Species],Table2[Genus], "Code Not Found")</f>
        <v>Acer</v>
      </c>
      <c r="M699" t="str">
        <f>_xlfn.XLOOKUP(C699, Table2[Species],Table2[Sp. Name], "Code Not Found")</f>
        <v>saccharum</v>
      </c>
      <c r="N699" t="str">
        <f>_xlfn.XLOOKUP(C699,Table2[Species],Table2[Family],"Code Not Found")</f>
        <v>Sapindaceae</v>
      </c>
      <c r="O699" t="str" cm="1">
        <f t="array" ref="O699">_xlfn.IFS(F699="","",F699&lt;=5,"0 to 5",F699&lt;=10,"5.1 to 10",F699&lt;=20,"10 to 20", F699&lt;= 40, "20 to 40", F699 &lt;= 50, "40 to 50", F699 &gt; 50, "&gt;50" )</f>
        <v>5.1 to 10</v>
      </c>
    </row>
    <row r="700" spans="1:15" ht="14.4" x14ac:dyDescent="0.3">
      <c r="A700" t="s">
        <v>177</v>
      </c>
      <c r="B700" s="1">
        <v>46177</v>
      </c>
      <c r="C700" t="s">
        <v>16</v>
      </c>
      <c r="D700">
        <v>645</v>
      </c>
      <c r="E700">
        <v>1</v>
      </c>
      <c r="F700">
        <v>8.5</v>
      </c>
      <c r="G700" t="s">
        <v>17</v>
      </c>
      <c r="I700" t="str">
        <f t="shared" si="12"/>
        <v>645_1</v>
      </c>
      <c r="J700" t="s">
        <v>178</v>
      </c>
      <c r="K700" t="s">
        <v>179</v>
      </c>
      <c r="L700" t="str">
        <f>_xlfn.XLOOKUP(C700, Table2[Species],Table2[Genus], "Code Not Found")</f>
        <v>Acer</v>
      </c>
      <c r="M700" t="str">
        <f>_xlfn.XLOOKUP(C700, Table2[Species],Table2[Sp. Name], "Code Not Found")</f>
        <v>saccharum</v>
      </c>
      <c r="N700" t="str">
        <f>_xlfn.XLOOKUP(C700,Table2[Species],Table2[Family],"Code Not Found")</f>
        <v>Sapindaceae</v>
      </c>
      <c r="O700" t="str" cm="1">
        <f t="array" ref="O700">_xlfn.IFS(F700="","",F700&lt;=5,"0 to 5",F700&lt;=10,"5.1 to 10",F700&lt;=20,"10 to 20", F700&lt;= 40, "20 to 40", F700 &lt;= 50, "40 to 50", F700 &gt; 50, "&gt;50" )</f>
        <v>5.1 to 10</v>
      </c>
    </row>
    <row r="701" spans="1:15" ht="14.4" x14ac:dyDescent="0.3">
      <c r="A701" t="s">
        <v>177</v>
      </c>
      <c r="B701" s="1">
        <v>46177</v>
      </c>
      <c r="C701" t="s">
        <v>16</v>
      </c>
      <c r="D701">
        <v>646</v>
      </c>
      <c r="E701">
        <v>1</v>
      </c>
      <c r="F701">
        <v>4.5999999999999996</v>
      </c>
      <c r="G701" t="s">
        <v>196</v>
      </c>
      <c r="H701" t="s">
        <v>197</v>
      </c>
      <c r="I701" t="str">
        <f t="shared" si="12"/>
        <v>646_1</v>
      </c>
      <c r="J701" t="s">
        <v>178</v>
      </c>
      <c r="K701" t="s">
        <v>179</v>
      </c>
      <c r="L701" t="str">
        <f>_xlfn.XLOOKUP(C701, Table2[Species],Table2[Genus], "Code Not Found")</f>
        <v>Acer</v>
      </c>
      <c r="M701" t="str">
        <f>_xlfn.XLOOKUP(C701, Table2[Species],Table2[Sp. Name], "Code Not Found")</f>
        <v>saccharum</v>
      </c>
      <c r="N701" t="str">
        <f>_xlfn.XLOOKUP(C701,Table2[Species],Table2[Family],"Code Not Found")</f>
        <v>Sapindaceae</v>
      </c>
      <c r="O701" t="str" cm="1">
        <f t="array" ref="O701">_xlfn.IFS(F701="","",F701&lt;=5,"0 to 5",F701&lt;=10,"5.1 to 10",F701&lt;=20,"10 to 20", F701&lt;= 40, "20 to 40", F701 &lt;= 50, "40 to 50", F701 &gt; 50, "&gt;50" )</f>
        <v>0 to 5</v>
      </c>
    </row>
    <row r="702" spans="1:15" ht="14.4" x14ac:dyDescent="0.3">
      <c r="A702" t="s">
        <v>177</v>
      </c>
      <c r="B702" s="1">
        <v>46177</v>
      </c>
      <c r="C702" t="s">
        <v>64</v>
      </c>
      <c r="D702">
        <v>647</v>
      </c>
      <c r="E702">
        <v>1</v>
      </c>
      <c r="F702">
        <v>9.1999999999999993</v>
      </c>
      <c r="G702" t="s">
        <v>30</v>
      </c>
      <c r="H702" t="s">
        <v>198</v>
      </c>
      <c r="I702" t="str">
        <f t="shared" si="12"/>
        <v>647_1</v>
      </c>
      <c r="J702" t="s">
        <v>178</v>
      </c>
      <c r="K702" t="s">
        <v>179</v>
      </c>
      <c r="L702" t="str">
        <f>_xlfn.XLOOKUP(C702, Table2[Species],Table2[Genus], "Code Not Found")</f>
        <v>Fagus</v>
      </c>
      <c r="M702" t="str">
        <f>_xlfn.XLOOKUP(C702, Table2[Species],Table2[Sp. Name], "Code Not Found")</f>
        <v>grandifolia</v>
      </c>
      <c r="N702" t="str">
        <f>_xlfn.XLOOKUP(C702,Table2[Species],Table2[Family],"Code Not Found")</f>
        <v>Fagaceae</v>
      </c>
      <c r="O702" t="str" cm="1">
        <f t="array" ref="O702">_xlfn.IFS(F702="","",F702&lt;=5,"0 to 5",F702&lt;=10,"5.1 to 10",F702&lt;=20,"10 to 20", F702&lt;= 40, "20 to 40", F702 &lt;= 50, "40 to 50", F702 &gt; 50, "&gt;50" )</f>
        <v>5.1 to 10</v>
      </c>
    </row>
    <row r="703" spans="1:15" ht="14.4" x14ac:dyDescent="0.3">
      <c r="A703" t="s">
        <v>177</v>
      </c>
      <c r="B703" s="1">
        <v>46177</v>
      </c>
      <c r="C703" t="s">
        <v>16</v>
      </c>
      <c r="D703">
        <v>648</v>
      </c>
      <c r="E703">
        <v>1</v>
      </c>
      <c r="F703">
        <v>5.6</v>
      </c>
      <c r="G703" t="s">
        <v>17</v>
      </c>
      <c r="I703" t="str">
        <f t="shared" si="12"/>
        <v>648_1</v>
      </c>
      <c r="J703" t="s">
        <v>178</v>
      </c>
      <c r="K703" t="s">
        <v>179</v>
      </c>
      <c r="L703" t="str">
        <f>_xlfn.XLOOKUP(C703, Table2[Species],Table2[Genus], "Code Not Found")</f>
        <v>Acer</v>
      </c>
      <c r="M703" t="str">
        <f>_xlfn.XLOOKUP(C703, Table2[Species],Table2[Sp. Name], "Code Not Found")</f>
        <v>saccharum</v>
      </c>
      <c r="N703" t="str">
        <f>_xlfn.XLOOKUP(C703,Table2[Species],Table2[Family],"Code Not Found")</f>
        <v>Sapindaceae</v>
      </c>
      <c r="O703" t="str" cm="1">
        <f t="array" ref="O703">_xlfn.IFS(F703="","",F703&lt;=5,"0 to 5",F703&lt;=10,"5.1 to 10",F703&lt;=20,"10 to 20", F703&lt;= 40, "20 to 40", F703 &lt;= 50, "40 to 50", F703 &gt; 50, "&gt;50" )</f>
        <v>5.1 to 10</v>
      </c>
    </row>
    <row r="704" spans="1:15" ht="14.4" x14ac:dyDescent="0.3">
      <c r="A704" t="s">
        <v>177</v>
      </c>
      <c r="B704" s="1">
        <v>46177</v>
      </c>
      <c r="C704" t="s">
        <v>16</v>
      </c>
      <c r="D704">
        <v>649</v>
      </c>
      <c r="E704">
        <v>1</v>
      </c>
      <c r="F704">
        <v>7.5</v>
      </c>
      <c r="G704" t="s">
        <v>38</v>
      </c>
      <c r="H704" t="s">
        <v>43</v>
      </c>
      <c r="I704" t="str">
        <f t="shared" si="12"/>
        <v>649_1</v>
      </c>
      <c r="J704" t="s">
        <v>178</v>
      </c>
      <c r="K704" t="s">
        <v>179</v>
      </c>
      <c r="L704" t="str">
        <f>_xlfn.XLOOKUP(C704, Table2[Species],Table2[Genus], "Code Not Found")</f>
        <v>Acer</v>
      </c>
      <c r="M704" t="str">
        <f>_xlfn.XLOOKUP(C704, Table2[Species],Table2[Sp. Name], "Code Not Found")</f>
        <v>saccharum</v>
      </c>
      <c r="N704" t="str">
        <f>_xlfn.XLOOKUP(C704,Table2[Species],Table2[Family],"Code Not Found")</f>
        <v>Sapindaceae</v>
      </c>
      <c r="O704" t="str" cm="1">
        <f t="array" ref="O704">_xlfn.IFS(F704="","",F704&lt;=5,"0 to 5",F704&lt;=10,"5.1 to 10",F704&lt;=20,"10 to 20", F704&lt;= 40, "20 to 40", F704 &lt;= 50, "40 to 50", F704 &gt; 50, "&gt;50" )</f>
        <v>5.1 to 10</v>
      </c>
    </row>
    <row r="705" spans="1:15" ht="14.4" x14ac:dyDescent="0.3">
      <c r="A705" t="s">
        <v>177</v>
      </c>
      <c r="B705" s="1">
        <v>46177</v>
      </c>
      <c r="C705" t="s">
        <v>16</v>
      </c>
      <c r="D705">
        <v>650</v>
      </c>
      <c r="E705">
        <v>1</v>
      </c>
      <c r="F705">
        <v>2</v>
      </c>
      <c r="G705" t="s">
        <v>21</v>
      </c>
      <c r="H705" t="s">
        <v>43</v>
      </c>
      <c r="I705" t="str">
        <f t="shared" si="12"/>
        <v>650_1</v>
      </c>
      <c r="J705" t="s">
        <v>178</v>
      </c>
      <c r="K705" t="s">
        <v>179</v>
      </c>
      <c r="L705" t="str">
        <f>_xlfn.XLOOKUP(C705, Table2[Species],Table2[Genus], "Code Not Found")</f>
        <v>Acer</v>
      </c>
      <c r="M705" t="str">
        <f>_xlfn.XLOOKUP(C705, Table2[Species],Table2[Sp. Name], "Code Not Found")</f>
        <v>saccharum</v>
      </c>
      <c r="N705" t="str">
        <f>_xlfn.XLOOKUP(C705,Table2[Species],Table2[Family],"Code Not Found")</f>
        <v>Sapindaceae</v>
      </c>
      <c r="O705" t="str" cm="1">
        <f t="array" ref="O705">_xlfn.IFS(F705="","",F705&lt;=5,"0 to 5",F705&lt;=10,"5.1 to 10",F705&lt;=20,"10 to 20", F705&lt;= 40, "20 to 40", F705 &lt;= 50, "40 to 50", F705 &gt; 50, "&gt;50" )</f>
        <v>0 to 5</v>
      </c>
    </row>
    <row r="706" spans="1:15" ht="14.4" x14ac:dyDescent="0.3">
      <c r="A706" t="s">
        <v>177</v>
      </c>
      <c r="B706" s="1">
        <v>46177</v>
      </c>
      <c r="C706" t="s">
        <v>64</v>
      </c>
      <c r="D706">
        <v>651</v>
      </c>
      <c r="E706">
        <v>1</v>
      </c>
      <c r="F706">
        <v>29.5</v>
      </c>
      <c r="G706" t="s">
        <v>21</v>
      </c>
      <c r="I706" t="str">
        <f t="shared" si="12"/>
        <v>651_1</v>
      </c>
      <c r="J706" t="s">
        <v>178</v>
      </c>
      <c r="K706" t="s">
        <v>179</v>
      </c>
      <c r="L706" t="str">
        <f>_xlfn.XLOOKUP(C706, Table2[Species],Table2[Genus], "Code Not Found")</f>
        <v>Fagus</v>
      </c>
      <c r="M706" t="str">
        <f>_xlfn.XLOOKUP(C706, Table2[Species],Table2[Sp. Name], "Code Not Found")</f>
        <v>grandifolia</v>
      </c>
      <c r="N706" t="str">
        <f>_xlfn.XLOOKUP(C706,Table2[Species],Table2[Family],"Code Not Found")</f>
        <v>Fagaceae</v>
      </c>
      <c r="O706" t="str" cm="1">
        <f t="array" ref="O706">_xlfn.IFS(F706="","",F706&lt;=5,"0 to 5",F706&lt;=10,"5.1 to 10",F706&lt;=20,"10 to 20", F706&lt;= 40, "20 to 40", F706 &lt;= 50, "40 to 50", F706 &gt; 50, "&gt;50" )</f>
        <v>20 to 40</v>
      </c>
    </row>
    <row r="707" spans="1:15" ht="14.4" x14ac:dyDescent="0.3">
      <c r="A707" t="s">
        <v>177</v>
      </c>
      <c r="B707" s="1">
        <v>46177</v>
      </c>
      <c r="C707" t="s">
        <v>16</v>
      </c>
      <c r="D707">
        <v>652</v>
      </c>
      <c r="E707">
        <v>1</v>
      </c>
      <c r="F707">
        <v>1.9</v>
      </c>
      <c r="G707" t="s">
        <v>21</v>
      </c>
      <c r="I707" t="str">
        <f t="shared" si="12"/>
        <v>652_1</v>
      </c>
      <c r="J707" t="s">
        <v>178</v>
      </c>
      <c r="K707" t="s">
        <v>179</v>
      </c>
      <c r="L707" t="str">
        <f>_xlfn.XLOOKUP(C707, Table2[Species],Table2[Genus], "Code Not Found")</f>
        <v>Acer</v>
      </c>
      <c r="M707" t="str">
        <f>_xlfn.XLOOKUP(C707, Table2[Species],Table2[Sp. Name], "Code Not Found")</f>
        <v>saccharum</v>
      </c>
      <c r="N707" t="str">
        <f>_xlfn.XLOOKUP(C707,Table2[Species],Table2[Family],"Code Not Found")</f>
        <v>Sapindaceae</v>
      </c>
      <c r="O707" t="str" cm="1">
        <f t="array" ref="O707">_xlfn.IFS(F707="","",F707&lt;=5,"0 to 5",F707&lt;=10,"5.1 to 10",F707&lt;=20,"10 to 20", F707&lt;= 40, "20 to 40", F707 &lt;= 50, "40 to 50", F707 &gt; 50, "&gt;50" )</f>
        <v>0 to 5</v>
      </c>
    </row>
    <row r="708" spans="1:15" ht="14.4" x14ac:dyDescent="0.3">
      <c r="A708" t="s">
        <v>177</v>
      </c>
      <c r="B708" s="1">
        <v>46177</v>
      </c>
      <c r="C708" t="s">
        <v>16</v>
      </c>
      <c r="D708">
        <v>653</v>
      </c>
      <c r="E708">
        <v>1</v>
      </c>
      <c r="F708">
        <v>3.6</v>
      </c>
      <c r="G708" t="s">
        <v>47</v>
      </c>
      <c r="H708" t="s">
        <v>43</v>
      </c>
      <c r="I708" t="str">
        <f t="shared" si="12"/>
        <v>653_1</v>
      </c>
      <c r="J708" t="s">
        <v>178</v>
      </c>
      <c r="K708" t="s">
        <v>179</v>
      </c>
      <c r="L708" t="str">
        <f>_xlfn.XLOOKUP(C708, Table2[Species],Table2[Genus], "Code Not Found")</f>
        <v>Acer</v>
      </c>
      <c r="M708" t="str">
        <f>_xlfn.XLOOKUP(C708, Table2[Species],Table2[Sp. Name], "Code Not Found")</f>
        <v>saccharum</v>
      </c>
      <c r="N708" t="str">
        <f>_xlfn.XLOOKUP(C708,Table2[Species],Table2[Family],"Code Not Found")</f>
        <v>Sapindaceae</v>
      </c>
      <c r="O708" t="str" cm="1">
        <f t="array" ref="O708">_xlfn.IFS(F708="","",F708&lt;=5,"0 to 5",F708&lt;=10,"5.1 to 10",F708&lt;=20,"10 to 20", F708&lt;= 40, "20 to 40", F708 &lt;= 50, "40 to 50", F708 &gt; 50, "&gt;50" )</f>
        <v>0 to 5</v>
      </c>
    </row>
    <row r="709" spans="1:15" ht="14.4" x14ac:dyDescent="0.3">
      <c r="A709" t="s">
        <v>177</v>
      </c>
      <c r="B709" s="1">
        <v>46177</v>
      </c>
      <c r="C709" t="s">
        <v>16</v>
      </c>
      <c r="D709">
        <v>654</v>
      </c>
      <c r="E709">
        <v>1</v>
      </c>
      <c r="F709">
        <v>1.3</v>
      </c>
      <c r="G709" t="s">
        <v>17</v>
      </c>
      <c r="I709" t="str">
        <f t="shared" si="12"/>
        <v>654_1</v>
      </c>
      <c r="J709" t="s">
        <v>178</v>
      </c>
      <c r="K709" t="s">
        <v>179</v>
      </c>
      <c r="L709" t="str">
        <f>_xlfn.XLOOKUP(C709, Table2[Species],Table2[Genus], "Code Not Found")</f>
        <v>Acer</v>
      </c>
      <c r="M709" t="str">
        <f>_xlfn.XLOOKUP(C709, Table2[Species],Table2[Sp. Name], "Code Not Found")</f>
        <v>saccharum</v>
      </c>
      <c r="N709" t="str">
        <f>_xlfn.XLOOKUP(C709,Table2[Species],Table2[Family],"Code Not Found")</f>
        <v>Sapindaceae</v>
      </c>
      <c r="O709" t="str" cm="1">
        <f t="array" ref="O709">_xlfn.IFS(F709="","",F709&lt;=5,"0 to 5",F709&lt;=10,"5.1 to 10",F709&lt;=20,"10 to 20", F709&lt;= 40, "20 to 40", F709 &lt;= 50, "40 to 50", F709 &gt; 50, "&gt;50" )</f>
        <v>0 to 5</v>
      </c>
    </row>
    <row r="710" spans="1:15" ht="14.4" x14ac:dyDescent="0.3">
      <c r="A710" t="s">
        <v>177</v>
      </c>
      <c r="B710" s="1">
        <v>46177</v>
      </c>
      <c r="C710" t="s">
        <v>64</v>
      </c>
      <c r="D710">
        <v>655</v>
      </c>
      <c r="E710">
        <v>1</v>
      </c>
      <c r="F710">
        <v>8.3000000000000007</v>
      </c>
      <c r="G710" t="s">
        <v>21</v>
      </c>
      <c r="I710" t="str">
        <f t="shared" si="12"/>
        <v>655_1</v>
      </c>
      <c r="J710" t="s">
        <v>178</v>
      </c>
      <c r="K710" t="s">
        <v>179</v>
      </c>
      <c r="L710" t="str">
        <f>_xlfn.XLOOKUP(C710, Table2[Species],Table2[Genus], "Code Not Found")</f>
        <v>Fagus</v>
      </c>
      <c r="M710" t="str">
        <f>_xlfn.XLOOKUP(C710, Table2[Species],Table2[Sp. Name], "Code Not Found")</f>
        <v>grandifolia</v>
      </c>
      <c r="N710" t="str">
        <f>_xlfn.XLOOKUP(C710,Table2[Species],Table2[Family],"Code Not Found")</f>
        <v>Fagaceae</v>
      </c>
      <c r="O710" t="str" cm="1">
        <f t="array" ref="O710">_xlfn.IFS(F710="","",F710&lt;=5,"0 to 5",F710&lt;=10,"5.1 to 10",F710&lt;=20,"10 to 20", F710&lt;= 40, "20 to 40", F710 &lt;= 50, "40 to 50", F710 &gt; 50, "&gt;50" )</f>
        <v>5.1 to 10</v>
      </c>
    </row>
    <row r="711" spans="1:15" ht="14.4" x14ac:dyDescent="0.3">
      <c r="A711" t="s">
        <v>177</v>
      </c>
      <c r="B711" s="1">
        <v>46177</v>
      </c>
      <c r="C711" t="s">
        <v>16</v>
      </c>
      <c r="D711">
        <v>656</v>
      </c>
      <c r="E711">
        <v>1</v>
      </c>
      <c r="F711">
        <v>21.6</v>
      </c>
      <c r="G711" t="s">
        <v>17</v>
      </c>
      <c r="H711" t="s">
        <v>36</v>
      </c>
      <c r="I711" t="str">
        <f t="shared" si="12"/>
        <v>656_1</v>
      </c>
      <c r="J711" t="s">
        <v>178</v>
      </c>
      <c r="K711" t="s">
        <v>179</v>
      </c>
      <c r="L711" t="str">
        <f>_xlfn.XLOOKUP(C711, Table2[Species],Table2[Genus], "Code Not Found")</f>
        <v>Acer</v>
      </c>
      <c r="M711" t="str">
        <f>_xlfn.XLOOKUP(C711, Table2[Species],Table2[Sp. Name], "Code Not Found")</f>
        <v>saccharum</v>
      </c>
      <c r="N711" t="str">
        <f>_xlfn.XLOOKUP(C711,Table2[Species],Table2[Family],"Code Not Found")</f>
        <v>Sapindaceae</v>
      </c>
      <c r="O711" t="str" cm="1">
        <f t="array" ref="O711">_xlfn.IFS(F711="","",F711&lt;=5,"0 to 5",F711&lt;=10,"5.1 to 10",F711&lt;=20,"10 to 20", F711&lt;= 40, "20 to 40", F711 &lt;= 50, "40 to 50", F711 &gt; 50, "&gt;50" )</f>
        <v>20 to 40</v>
      </c>
    </row>
    <row r="712" spans="1:15" ht="14.4" x14ac:dyDescent="0.3">
      <c r="A712" t="s">
        <v>177</v>
      </c>
      <c r="B712" s="1">
        <v>46177</v>
      </c>
      <c r="C712" t="s">
        <v>123</v>
      </c>
      <c r="D712">
        <v>657</v>
      </c>
      <c r="E712">
        <v>1</v>
      </c>
      <c r="F712">
        <v>134.80000000000001</v>
      </c>
      <c r="G712" t="s">
        <v>17</v>
      </c>
      <c r="I712" t="str">
        <f t="shared" si="12"/>
        <v>657_1</v>
      </c>
      <c r="J712" t="s">
        <v>178</v>
      </c>
      <c r="K712" t="s">
        <v>179</v>
      </c>
      <c r="L712" t="str">
        <f>_xlfn.XLOOKUP(C712, Table2[Species],Table2[Genus], "Code Not Found")</f>
        <v>Quercus</v>
      </c>
      <c r="M712" t="str">
        <f>_xlfn.XLOOKUP(C712, Table2[Species],Table2[Sp. Name], "Code Not Found")</f>
        <v>rubra</v>
      </c>
      <c r="N712" t="str">
        <f>_xlfn.XLOOKUP(C712,Table2[Species],Table2[Family],"Code Not Found")</f>
        <v>Fagaceae</v>
      </c>
      <c r="O712" t="str" cm="1">
        <f t="array" ref="O712">_xlfn.IFS(F712="","",F712&lt;=5,"0 to 5",F712&lt;=10,"5.1 to 10",F712&lt;=20,"10 to 20", F712&lt;= 40, "20 to 40", F712 &lt;= 50, "40 to 50", F712 &gt; 50, "&gt;50" )</f>
        <v>&gt;50</v>
      </c>
    </row>
    <row r="713" spans="1:15" ht="14.4" x14ac:dyDescent="0.3">
      <c r="A713" t="s">
        <v>177</v>
      </c>
      <c r="B713" s="1">
        <v>46177</v>
      </c>
      <c r="C713" t="s">
        <v>16</v>
      </c>
      <c r="D713">
        <v>658</v>
      </c>
      <c r="E713">
        <v>1</v>
      </c>
      <c r="F713">
        <v>13.3</v>
      </c>
      <c r="G713" t="s">
        <v>21</v>
      </c>
      <c r="I713" t="str">
        <f t="shared" si="12"/>
        <v>658_1</v>
      </c>
      <c r="J713" t="s">
        <v>178</v>
      </c>
      <c r="K713" t="s">
        <v>179</v>
      </c>
      <c r="L713" t="str">
        <f>_xlfn.XLOOKUP(C713, Table2[Species],Table2[Genus], "Code Not Found")</f>
        <v>Acer</v>
      </c>
      <c r="M713" t="str">
        <f>_xlfn.XLOOKUP(C713, Table2[Species],Table2[Sp. Name], "Code Not Found")</f>
        <v>saccharum</v>
      </c>
      <c r="N713" t="str">
        <f>_xlfn.XLOOKUP(C713,Table2[Species],Table2[Family],"Code Not Found")</f>
        <v>Sapindaceae</v>
      </c>
      <c r="O713" t="str" cm="1">
        <f t="array" ref="O713">_xlfn.IFS(F713="","",F713&lt;=5,"0 to 5",F713&lt;=10,"5.1 to 10",F713&lt;=20,"10 to 20", F713&lt;= 40, "20 to 40", F713 &lt;= 50, "40 to 50", F713 &gt; 50, "&gt;50" )</f>
        <v>10 to 20</v>
      </c>
    </row>
    <row r="714" spans="1:15" ht="14.4" x14ac:dyDescent="0.3">
      <c r="A714" t="s">
        <v>177</v>
      </c>
      <c r="B714" s="1">
        <v>46177</v>
      </c>
      <c r="C714" t="s">
        <v>64</v>
      </c>
      <c r="D714">
        <v>659</v>
      </c>
      <c r="E714">
        <v>1</v>
      </c>
      <c r="F714">
        <v>8.6</v>
      </c>
      <c r="G714" t="s">
        <v>21</v>
      </c>
      <c r="I714" t="str">
        <f t="shared" si="12"/>
        <v>659_1</v>
      </c>
      <c r="J714" t="s">
        <v>178</v>
      </c>
      <c r="K714" t="s">
        <v>179</v>
      </c>
      <c r="L714" t="str">
        <f>_xlfn.XLOOKUP(C714, Table2[Species],Table2[Genus], "Code Not Found")</f>
        <v>Fagus</v>
      </c>
      <c r="M714" t="str">
        <f>_xlfn.XLOOKUP(C714, Table2[Species],Table2[Sp. Name], "Code Not Found")</f>
        <v>grandifolia</v>
      </c>
      <c r="N714" t="str">
        <f>_xlfn.XLOOKUP(C714,Table2[Species],Table2[Family],"Code Not Found")</f>
        <v>Fagaceae</v>
      </c>
      <c r="O714" t="str" cm="1">
        <f t="array" ref="O714">_xlfn.IFS(F714="","",F714&lt;=5,"0 to 5",F714&lt;=10,"5.1 to 10",F714&lt;=20,"10 to 20", F714&lt;= 40, "20 to 40", F714 &lt;= 50, "40 to 50", F714 &gt; 50, "&gt;50" )</f>
        <v>5.1 to 10</v>
      </c>
    </row>
    <row r="715" spans="1:15" ht="14.4" x14ac:dyDescent="0.3">
      <c r="A715" t="s">
        <v>177</v>
      </c>
      <c r="B715" s="1">
        <v>46177</v>
      </c>
      <c r="C715" t="s">
        <v>64</v>
      </c>
      <c r="D715">
        <v>660</v>
      </c>
      <c r="E715">
        <v>1</v>
      </c>
      <c r="F715">
        <v>11.9</v>
      </c>
      <c r="G715" t="s">
        <v>17</v>
      </c>
      <c r="I715" t="str">
        <f t="shared" si="12"/>
        <v>660_1</v>
      </c>
      <c r="J715" t="s">
        <v>178</v>
      </c>
      <c r="K715" t="s">
        <v>179</v>
      </c>
      <c r="L715" t="str">
        <f>_xlfn.XLOOKUP(C715, Table2[Species],Table2[Genus], "Code Not Found")</f>
        <v>Fagus</v>
      </c>
      <c r="M715" t="str">
        <f>_xlfn.XLOOKUP(C715, Table2[Species],Table2[Sp. Name], "Code Not Found")</f>
        <v>grandifolia</v>
      </c>
      <c r="N715" t="str">
        <f>_xlfn.XLOOKUP(C715,Table2[Species],Table2[Family],"Code Not Found")</f>
        <v>Fagaceae</v>
      </c>
      <c r="O715" t="str" cm="1">
        <f t="array" ref="O715">_xlfn.IFS(F715="","",F715&lt;=5,"0 to 5",F715&lt;=10,"5.1 to 10",F715&lt;=20,"10 to 20", F715&lt;= 40, "20 to 40", F715 &lt;= 50, "40 to 50", F715 &gt; 50, "&gt;50" )</f>
        <v>10 to 20</v>
      </c>
    </row>
    <row r="716" spans="1:15" ht="14.4" x14ac:dyDescent="0.3">
      <c r="A716" t="s">
        <v>177</v>
      </c>
      <c r="B716" s="1">
        <v>46177</v>
      </c>
      <c r="C716" t="s">
        <v>16</v>
      </c>
      <c r="D716">
        <v>661</v>
      </c>
      <c r="E716">
        <v>1</v>
      </c>
      <c r="F716">
        <v>73.5</v>
      </c>
      <c r="G716" t="s">
        <v>21</v>
      </c>
      <c r="I716" t="str">
        <f t="shared" si="12"/>
        <v>661_1</v>
      </c>
      <c r="J716" t="s">
        <v>178</v>
      </c>
      <c r="K716" t="s">
        <v>179</v>
      </c>
      <c r="L716" t="str">
        <f>_xlfn.XLOOKUP(C716, Table2[Species],Table2[Genus], "Code Not Found")</f>
        <v>Acer</v>
      </c>
      <c r="M716" t="str">
        <f>_xlfn.XLOOKUP(C716, Table2[Species],Table2[Sp. Name], "Code Not Found")</f>
        <v>saccharum</v>
      </c>
      <c r="N716" t="str">
        <f>_xlfn.XLOOKUP(C716,Table2[Species],Table2[Family],"Code Not Found")</f>
        <v>Sapindaceae</v>
      </c>
      <c r="O716" t="str" cm="1">
        <f t="array" ref="O716">_xlfn.IFS(F716="","",F716&lt;=5,"0 to 5",F716&lt;=10,"5.1 to 10",F716&lt;=20,"10 to 20", F716&lt;= 40, "20 to 40", F716 &lt;= 50, "40 to 50", F716 &gt; 50, "&gt;50" )</f>
        <v>&gt;50</v>
      </c>
    </row>
    <row r="717" spans="1:15" ht="14.4" x14ac:dyDescent="0.3">
      <c r="A717" t="s">
        <v>177</v>
      </c>
      <c r="B717" s="1">
        <v>46177</v>
      </c>
      <c r="C717" t="s">
        <v>16</v>
      </c>
      <c r="D717">
        <v>662</v>
      </c>
      <c r="E717">
        <v>1</v>
      </c>
      <c r="F717">
        <v>15.5</v>
      </c>
      <c r="G717" t="s">
        <v>38</v>
      </c>
      <c r="I717" t="str">
        <f t="shared" si="12"/>
        <v>662_1</v>
      </c>
      <c r="J717" t="s">
        <v>178</v>
      </c>
      <c r="K717" t="s">
        <v>179</v>
      </c>
      <c r="L717" t="str">
        <f>_xlfn.XLOOKUP(C717, Table2[Species],Table2[Genus], "Code Not Found")</f>
        <v>Acer</v>
      </c>
      <c r="M717" t="str">
        <f>_xlfn.XLOOKUP(C717, Table2[Species],Table2[Sp. Name], "Code Not Found")</f>
        <v>saccharum</v>
      </c>
      <c r="N717" t="str">
        <f>_xlfn.XLOOKUP(C717,Table2[Species],Table2[Family],"Code Not Found")</f>
        <v>Sapindaceae</v>
      </c>
      <c r="O717" t="str" cm="1">
        <f t="array" ref="O717">_xlfn.IFS(F717="","",F717&lt;=5,"0 to 5",F717&lt;=10,"5.1 to 10",F717&lt;=20,"10 to 20", F717&lt;= 40, "20 to 40", F717 &lt;= 50, "40 to 50", F717 &gt; 50, "&gt;50" )</f>
        <v>10 to 20</v>
      </c>
    </row>
    <row r="718" spans="1:15" ht="14.4" x14ac:dyDescent="0.3">
      <c r="A718" t="s">
        <v>177</v>
      </c>
      <c r="B718" s="1">
        <v>46177</v>
      </c>
      <c r="C718" t="s">
        <v>16</v>
      </c>
      <c r="D718">
        <v>663</v>
      </c>
      <c r="E718">
        <v>1</v>
      </c>
      <c r="F718">
        <v>9.6999999999999993</v>
      </c>
      <c r="G718" t="s">
        <v>47</v>
      </c>
      <c r="H718" t="s">
        <v>43</v>
      </c>
      <c r="I718" t="str">
        <f t="shared" si="12"/>
        <v>663_1</v>
      </c>
      <c r="J718" t="s">
        <v>178</v>
      </c>
      <c r="K718" t="s">
        <v>179</v>
      </c>
      <c r="L718" t="str">
        <f>_xlfn.XLOOKUP(C718, Table2[Species],Table2[Genus], "Code Not Found")</f>
        <v>Acer</v>
      </c>
      <c r="M718" t="str">
        <f>_xlfn.XLOOKUP(C718, Table2[Species],Table2[Sp. Name], "Code Not Found")</f>
        <v>saccharum</v>
      </c>
      <c r="N718" t="str">
        <f>_xlfn.XLOOKUP(C718,Table2[Species],Table2[Family],"Code Not Found")</f>
        <v>Sapindaceae</v>
      </c>
      <c r="O718" t="str" cm="1">
        <f t="array" ref="O718">_xlfn.IFS(F718="","",F718&lt;=5,"0 to 5",F718&lt;=10,"5.1 to 10",F718&lt;=20,"10 to 20", F718&lt;= 40, "20 to 40", F718 &lt;= 50, "40 to 50", F718 &gt; 50, "&gt;50" )</f>
        <v>5.1 to 10</v>
      </c>
    </row>
    <row r="719" spans="1:15" ht="14.4" x14ac:dyDescent="0.3">
      <c r="A719" t="s">
        <v>177</v>
      </c>
      <c r="B719" s="1">
        <v>46177</v>
      </c>
      <c r="C719" t="s">
        <v>16</v>
      </c>
      <c r="D719">
        <v>664</v>
      </c>
      <c r="E719">
        <v>1</v>
      </c>
      <c r="F719">
        <v>8.1</v>
      </c>
      <c r="G719" t="s">
        <v>47</v>
      </c>
      <c r="H719" t="s">
        <v>43</v>
      </c>
      <c r="I719" t="str">
        <f t="shared" si="12"/>
        <v>664_1</v>
      </c>
      <c r="J719" t="s">
        <v>178</v>
      </c>
      <c r="K719" t="s">
        <v>179</v>
      </c>
      <c r="L719" t="str">
        <f>_xlfn.XLOOKUP(C719, Table2[Species],Table2[Genus], "Code Not Found")</f>
        <v>Acer</v>
      </c>
      <c r="M719" t="str">
        <f>_xlfn.XLOOKUP(C719, Table2[Species],Table2[Sp. Name], "Code Not Found")</f>
        <v>saccharum</v>
      </c>
      <c r="N719" t="str">
        <f>_xlfn.XLOOKUP(C719,Table2[Species],Table2[Family],"Code Not Found")</f>
        <v>Sapindaceae</v>
      </c>
      <c r="O719" t="str" cm="1">
        <f t="array" ref="O719">_xlfn.IFS(F719="","",F719&lt;=5,"0 to 5",F719&lt;=10,"5.1 to 10",F719&lt;=20,"10 to 20", F719&lt;= 40, "20 to 40", F719 &lt;= 50, "40 to 50", F719 &gt; 50, "&gt;50" )</f>
        <v>5.1 to 10</v>
      </c>
    </row>
    <row r="720" spans="1:15" ht="14.4" x14ac:dyDescent="0.3">
      <c r="A720" t="s">
        <v>177</v>
      </c>
      <c r="B720" s="1">
        <v>46177</v>
      </c>
      <c r="C720" t="s">
        <v>16</v>
      </c>
      <c r="D720">
        <v>665</v>
      </c>
      <c r="E720">
        <v>1</v>
      </c>
      <c r="F720">
        <v>4.3</v>
      </c>
      <c r="G720" t="s">
        <v>30</v>
      </c>
      <c r="H720" t="s">
        <v>99</v>
      </c>
      <c r="I720" t="str">
        <f t="shared" si="12"/>
        <v>665_1</v>
      </c>
      <c r="J720" t="s">
        <v>178</v>
      </c>
      <c r="K720" t="s">
        <v>179</v>
      </c>
      <c r="L720" t="str">
        <f>_xlfn.XLOOKUP(C720, Table2[Species],Table2[Genus], "Code Not Found")</f>
        <v>Acer</v>
      </c>
      <c r="M720" t="str">
        <f>_xlfn.XLOOKUP(C720, Table2[Species],Table2[Sp. Name], "Code Not Found")</f>
        <v>saccharum</v>
      </c>
      <c r="N720" t="str">
        <f>_xlfn.XLOOKUP(C720,Table2[Species],Table2[Family],"Code Not Found")</f>
        <v>Sapindaceae</v>
      </c>
      <c r="O720" t="str" cm="1">
        <f t="array" ref="O720">_xlfn.IFS(F720="","",F720&lt;=5,"0 to 5",F720&lt;=10,"5.1 to 10",F720&lt;=20,"10 to 20", F720&lt;= 40, "20 to 40", F720 &lt;= 50, "40 to 50", F720 &gt; 50, "&gt;50" )</f>
        <v>0 to 5</v>
      </c>
    </row>
    <row r="721" spans="1:15" ht="14.4" x14ac:dyDescent="0.3">
      <c r="A721" t="s">
        <v>177</v>
      </c>
      <c r="B721" s="1">
        <v>46177</v>
      </c>
      <c r="C721" t="s">
        <v>20</v>
      </c>
      <c r="D721">
        <v>666</v>
      </c>
      <c r="E721">
        <v>1</v>
      </c>
      <c r="F721">
        <v>65.5</v>
      </c>
      <c r="G721" t="s">
        <v>17</v>
      </c>
      <c r="H721" t="s">
        <v>199</v>
      </c>
      <c r="I721" t="str">
        <f t="shared" si="12"/>
        <v>666_1</v>
      </c>
      <c r="J721" t="s">
        <v>178</v>
      </c>
      <c r="K721" t="s">
        <v>179</v>
      </c>
      <c r="L721" t="str">
        <f>_xlfn.XLOOKUP(C721, Table2[Species],Table2[Genus], "Code Not Found")</f>
        <v>Prunus</v>
      </c>
      <c r="M721" t="str">
        <f>_xlfn.XLOOKUP(C721, Table2[Species],Table2[Sp. Name], "Code Not Found")</f>
        <v>serotina</v>
      </c>
      <c r="N721" t="str">
        <f>_xlfn.XLOOKUP(C721,Table2[Species],Table2[Family],"Code Not Found")</f>
        <v>Rosaceae</v>
      </c>
      <c r="O721" t="str" cm="1">
        <f t="array" ref="O721">_xlfn.IFS(F721="","",F721&lt;=5,"0 to 5",F721&lt;=10,"5.1 to 10",F721&lt;=20,"10 to 20", F721&lt;= 40, "20 to 40", F721 &lt;= 50, "40 to 50", F721 &gt; 50, "&gt;50" )</f>
        <v>&gt;50</v>
      </c>
    </row>
    <row r="722" spans="1:15" ht="14.4" x14ac:dyDescent="0.3">
      <c r="A722" t="s">
        <v>177</v>
      </c>
      <c r="B722" s="1">
        <v>46177</v>
      </c>
      <c r="C722" t="s">
        <v>16</v>
      </c>
      <c r="D722">
        <v>667</v>
      </c>
      <c r="E722">
        <v>1</v>
      </c>
      <c r="F722">
        <v>4.9000000000000004</v>
      </c>
      <c r="G722" t="s">
        <v>21</v>
      </c>
      <c r="I722" t="str">
        <f t="shared" si="12"/>
        <v>667_1</v>
      </c>
      <c r="J722" t="s">
        <v>178</v>
      </c>
      <c r="K722" t="s">
        <v>179</v>
      </c>
      <c r="L722" t="str">
        <f>_xlfn.XLOOKUP(C722, Table2[Species],Table2[Genus], "Code Not Found")</f>
        <v>Acer</v>
      </c>
      <c r="M722" t="str">
        <f>_xlfn.XLOOKUP(C722, Table2[Species],Table2[Sp. Name], "Code Not Found")</f>
        <v>saccharum</v>
      </c>
      <c r="N722" t="str">
        <f>_xlfn.XLOOKUP(C722,Table2[Species],Table2[Family],"Code Not Found")</f>
        <v>Sapindaceae</v>
      </c>
      <c r="O722" t="str" cm="1">
        <f t="array" ref="O722">_xlfn.IFS(F722="","",F722&lt;=5,"0 to 5",F722&lt;=10,"5.1 to 10",F722&lt;=20,"10 to 20", F722&lt;= 40, "20 to 40", F722 &lt;= 50, "40 to 50", F722 &gt; 50, "&gt;50" )</f>
        <v>0 to 5</v>
      </c>
    </row>
    <row r="723" spans="1:15" ht="14.4" x14ac:dyDescent="0.3">
      <c r="A723" t="s">
        <v>177</v>
      </c>
      <c r="B723" s="1">
        <v>46177</v>
      </c>
      <c r="C723" t="s">
        <v>16</v>
      </c>
      <c r="D723">
        <v>668</v>
      </c>
      <c r="E723">
        <v>1</v>
      </c>
      <c r="F723">
        <v>4.7</v>
      </c>
      <c r="G723" t="s">
        <v>21</v>
      </c>
      <c r="I723" t="str">
        <f t="shared" si="12"/>
        <v>668_1</v>
      </c>
      <c r="J723" t="s">
        <v>178</v>
      </c>
      <c r="K723" t="s">
        <v>179</v>
      </c>
      <c r="L723" t="str">
        <f>_xlfn.XLOOKUP(C723, Table2[Species],Table2[Genus], "Code Not Found")</f>
        <v>Acer</v>
      </c>
      <c r="M723" t="str">
        <f>_xlfn.XLOOKUP(C723, Table2[Species],Table2[Sp. Name], "Code Not Found")</f>
        <v>saccharum</v>
      </c>
      <c r="N723" t="str">
        <f>_xlfn.XLOOKUP(C723,Table2[Species],Table2[Family],"Code Not Found")</f>
        <v>Sapindaceae</v>
      </c>
      <c r="O723" t="str" cm="1">
        <f t="array" ref="O723">_xlfn.IFS(F723="","",F723&lt;=5,"0 to 5",F723&lt;=10,"5.1 to 10",F723&lt;=20,"10 to 20", F723&lt;= 40, "20 to 40", F723 &lt;= 50, "40 to 50", F723 &gt; 50, "&gt;50" )</f>
        <v>0 to 5</v>
      </c>
    </row>
    <row r="724" spans="1:15" ht="14.4" x14ac:dyDescent="0.3">
      <c r="A724" t="s">
        <v>177</v>
      </c>
      <c r="B724" s="1">
        <v>46177</v>
      </c>
      <c r="C724" t="s">
        <v>16</v>
      </c>
      <c r="D724">
        <v>669</v>
      </c>
      <c r="E724">
        <v>1</v>
      </c>
      <c r="F724">
        <v>46.8</v>
      </c>
      <c r="G724" t="s">
        <v>21</v>
      </c>
      <c r="I724" t="str">
        <f t="shared" si="12"/>
        <v>669_1</v>
      </c>
      <c r="J724" t="s">
        <v>178</v>
      </c>
      <c r="K724" t="s">
        <v>179</v>
      </c>
      <c r="L724" t="str">
        <f>_xlfn.XLOOKUP(C724, Table2[Species],Table2[Genus], "Code Not Found")</f>
        <v>Acer</v>
      </c>
      <c r="M724" t="str">
        <f>_xlfn.XLOOKUP(C724, Table2[Species],Table2[Sp. Name], "Code Not Found")</f>
        <v>saccharum</v>
      </c>
      <c r="N724" t="str">
        <f>_xlfn.XLOOKUP(C724,Table2[Species],Table2[Family],"Code Not Found")</f>
        <v>Sapindaceae</v>
      </c>
      <c r="O724" t="str" cm="1">
        <f t="array" ref="O724">_xlfn.IFS(F724="","",F724&lt;=5,"0 to 5",F724&lt;=10,"5.1 to 10",F724&lt;=20,"10 to 20", F724&lt;= 40, "20 to 40", F724 &lt;= 50, "40 to 50", F724 &gt; 50, "&gt;50" )</f>
        <v>40 to 50</v>
      </c>
    </row>
    <row r="725" spans="1:15" ht="14.4" x14ac:dyDescent="0.3">
      <c r="A725" t="s">
        <v>177</v>
      </c>
      <c r="B725" s="1">
        <v>46177</v>
      </c>
      <c r="C725" t="s">
        <v>16</v>
      </c>
      <c r="D725">
        <v>670</v>
      </c>
      <c r="E725">
        <v>1</v>
      </c>
      <c r="F725">
        <v>13.2</v>
      </c>
      <c r="G725" t="s">
        <v>30</v>
      </c>
      <c r="H725" t="s">
        <v>200</v>
      </c>
      <c r="I725" t="str">
        <f t="shared" si="12"/>
        <v>670_1</v>
      </c>
      <c r="J725" t="s">
        <v>178</v>
      </c>
      <c r="K725" t="s">
        <v>179</v>
      </c>
      <c r="L725" t="str">
        <f>_xlfn.XLOOKUP(C725, Table2[Species],Table2[Genus], "Code Not Found")</f>
        <v>Acer</v>
      </c>
      <c r="M725" t="str">
        <f>_xlfn.XLOOKUP(C725, Table2[Species],Table2[Sp. Name], "Code Not Found")</f>
        <v>saccharum</v>
      </c>
      <c r="N725" t="str">
        <f>_xlfn.XLOOKUP(C725,Table2[Species],Table2[Family],"Code Not Found")</f>
        <v>Sapindaceae</v>
      </c>
      <c r="O725" t="str" cm="1">
        <f t="array" ref="O725">_xlfn.IFS(F725="","",F725&lt;=5,"0 to 5",F725&lt;=10,"5.1 to 10",F725&lt;=20,"10 to 20", F725&lt;= 40, "20 to 40", F725 &lt;= 50, "40 to 50", F725 &gt; 50, "&gt;50" )</f>
        <v>10 to 20</v>
      </c>
    </row>
    <row r="726" spans="1:15" ht="14.4" x14ac:dyDescent="0.3">
      <c r="A726" t="s">
        <v>177</v>
      </c>
      <c r="B726" s="1">
        <v>46177</v>
      </c>
      <c r="C726" t="s">
        <v>22</v>
      </c>
      <c r="D726">
        <v>671</v>
      </c>
      <c r="E726">
        <v>1</v>
      </c>
      <c r="F726">
        <v>78</v>
      </c>
      <c r="G726" t="s">
        <v>21</v>
      </c>
      <c r="H726" t="s">
        <v>201</v>
      </c>
      <c r="I726" t="str">
        <f t="shared" si="12"/>
        <v>671_1</v>
      </c>
      <c r="J726" t="s">
        <v>178</v>
      </c>
      <c r="K726" t="s">
        <v>179</v>
      </c>
      <c r="L726" t="str">
        <f>_xlfn.XLOOKUP(C726, Table2[Species],Table2[Genus], "Code Not Found")</f>
        <v>Acer</v>
      </c>
      <c r="M726" t="str">
        <f>_xlfn.XLOOKUP(C726, Table2[Species],Table2[Sp. Name], "Code Not Found")</f>
        <v>rubrum</v>
      </c>
      <c r="N726" t="str">
        <f>_xlfn.XLOOKUP(C726,Table2[Species],Table2[Family],"Code Not Found")</f>
        <v>Sapindaceae</v>
      </c>
      <c r="O726" t="str" cm="1">
        <f t="array" ref="O726">_xlfn.IFS(F726="","",F726&lt;=5,"0 to 5",F726&lt;=10,"5.1 to 10",F726&lt;=20,"10 to 20", F726&lt;= 40, "20 to 40", F726 &lt;= 50, "40 to 50", F726 &gt; 50, "&gt;50" )</f>
        <v>&gt;50</v>
      </c>
    </row>
    <row r="727" spans="1:15" ht="14.4" x14ac:dyDescent="0.3">
      <c r="A727" t="s">
        <v>177</v>
      </c>
      <c r="B727" s="1">
        <v>46177</v>
      </c>
      <c r="C727" t="s">
        <v>16</v>
      </c>
      <c r="D727">
        <v>672</v>
      </c>
      <c r="E727">
        <v>1</v>
      </c>
      <c r="F727">
        <v>3.9</v>
      </c>
      <c r="G727" t="s">
        <v>17</v>
      </c>
      <c r="H727" t="s">
        <v>202</v>
      </c>
      <c r="I727" t="str">
        <f t="shared" si="12"/>
        <v>672_1</v>
      </c>
      <c r="J727" t="s">
        <v>178</v>
      </c>
      <c r="K727" t="s">
        <v>179</v>
      </c>
      <c r="L727" t="str">
        <f>_xlfn.XLOOKUP(C727, Table2[Species],Table2[Genus], "Code Not Found")</f>
        <v>Acer</v>
      </c>
      <c r="M727" t="str">
        <f>_xlfn.XLOOKUP(C727, Table2[Species],Table2[Sp. Name], "Code Not Found")</f>
        <v>saccharum</v>
      </c>
      <c r="N727" t="str">
        <f>_xlfn.XLOOKUP(C727,Table2[Species],Table2[Family],"Code Not Found")</f>
        <v>Sapindaceae</v>
      </c>
      <c r="O727" t="str" cm="1">
        <f t="array" ref="O727">_xlfn.IFS(F727="","",F727&lt;=5,"0 to 5",F727&lt;=10,"5.1 to 10",F727&lt;=20,"10 to 20", F727&lt;= 40, "20 to 40", F727 &lt;= 50, "40 to 50", F727 &gt; 50, "&gt;50" )</f>
        <v>0 to 5</v>
      </c>
    </row>
    <row r="728" spans="1:15" ht="14.4" x14ac:dyDescent="0.3">
      <c r="A728" t="s">
        <v>177</v>
      </c>
      <c r="B728" s="1">
        <v>46177</v>
      </c>
      <c r="C728" t="s">
        <v>16</v>
      </c>
      <c r="D728">
        <v>673</v>
      </c>
      <c r="E728">
        <v>1</v>
      </c>
      <c r="F728">
        <v>2.4</v>
      </c>
      <c r="G728" t="s">
        <v>21</v>
      </c>
      <c r="I728" t="str">
        <f t="shared" si="12"/>
        <v>673_1</v>
      </c>
      <c r="J728" t="s">
        <v>178</v>
      </c>
      <c r="K728" t="s">
        <v>179</v>
      </c>
      <c r="L728" t="str">
        <f>_xlfn.XLOOKUP(C728, Table2[Species],Table2[Genus], "Code Not Found")</f>
        <v>Acer</v>
      </c>
      <c r="M728" t="str">
        <f>_xlfn.XLOOKUP(C728, Table2[Species],Table2[Sp. Name], "Code Not Found")</f>
        <v>saccharum</v>
      </c>
      <c r="N728" t="str">
        <f>_xlfn.XLOOKUP(C728,Table2[Species],Table2[Family],"Code Not Found")</f>
        <v>Sapindaceae</v>
      </c>
      <c r="O728" t="str" cm="1">
        <f t="array" ref="O728">_xlfn.IFS(F728="","",F728&lt;=5,"0 to 5",F728&lt;=10,"5.1 to 10",F728&lt;=20,"10 to 20", F728&lt;= 40, "20 to 40", F728 &lt;= 50, "40 to 50", F728 &gt; 50, "&gt;50" )</f>
        <v>0 to 5</v>
      </c>
    </row>
    <row r="729" spans="1:15" ht="14.4" x14ac:dyDescent="0.3">
      <c r="A729" t="s">
        <v>177</v>
      </c>
      <c r="B729" s="1">
        <v>46177</v>
      </c>
      <c r="C729" t="s">
        <v>16</v>
      </c>
      <c r="D729">
        <v>674</v>
      </c>
      <c r="E729">
        <v>1</v>
      </c>
      <c r="F729">
        <v>7.5</v>
      </c>
      <c r="G729" t="s">
        <v>17</v>
      </c>
      <c r="I729" t="str">
        <f t="shared" si="12"/>
        <v>674_1</v>
      </c>
      <c r="J729" t="s">
        <v>178</v>
      </c>
      <c r="K729" t="s">
        <v>179</v>
      </c>
      <c r="L729" t="str">
        <f>_xlfn.XLOOKUP(C729, Table2[Species],Table2[Genus], "Code Not Found")</f>
        <v>Acer</v>
      </c>
      <c r="M729" t="str">
        <f>_xlfn.XLOOKUP(C729, Table2[Species],Table2[Sp. Name], "Code Not Found")</f>
        <v>saccharum</v>
      </c>
      <c r="N729" t="str">
        <f>_xlfn.XLOOKUP(C729,Table2[Species],Table2[Family],"Code Not Found")</f>
        <v>Sapindaceae</v>
      </c>
      <c r="O729" t="str" cm="1">
        <f t="array" ref="O729">_xlfn.IFS(F729="","",F729&lt;=5,"0 to 5",F729&lt;=10,"5.1 to 10",F729&lt;=20,"10 to 20", F729&lt;= 40, "20 to 40", F729 &lt;= 50, "40 to 50", F729 &gt; 50, "&gt;50" )</f>
        <v>5.1 to 10</v>
      </c>
    </row>
    <row r="730" spans="1:15" ht="14.4" x14ac:dyDescent="0.3">
      <c r="A730" t="s">
        <v>177</v>
      </c>
      <c r="B730" s="1">
        <v>46177</v>
      </c>
      <c r="C730" t="s">
        <v>16</v>
      </c>
      <c r="D730">
        <v>675</v>
      </c>
      <c r="E730">
        <v>1</v>
      </c>
      <c r="F730">
        <v>4.7</v>
      </c>
      <c r="G730" t="s">
        <v>17</v>
      </c>
      <c r="I730" t="str">
        <f t="shared" si="12"/>
        <v>675_1</v>
      </c>
      <c r="J730" t="s">
        <v>178</v>
      </c>
      <c r="K730" t="s">
        <v>179</v>
      </c>
      <c r="L730" t="str">
        <f>_xlfn.XLOOKUP(C730, Table2[Species],Table2[Genus], "Code Not Found")</f>
        <v>Acer</v>
      </c>
      <c r="M730" t="str">
        <f>_xlfn.XLOOKUP(C730, Table2[Species],Table2[Sp. Name], "Code Not Found")</f>
        <v>saccharum</v>
      </c>
      <c r="N730" t="str">
        <f>_xlfn.XLOOKUP(C730,Table2[Species],Table2[Family],"Code Not Found")</f>
        <v>Sapindaceae</v>
      </c>
      <c r="O730" t="str" cm="1">
        <f t="array" ref="O730">_xlfn.IFS(F730="","",F730&lt;=5,"0 to 5",F730&lt;=10,"5.1 to 10",F730&lt;=20,"10 to 20", F730&lt;= 40, "20 to 40", F730 &lt;= 50, "40 to 50", F730 &gt; 50, "&gt;50" )</f>
        <v>0 to 5</v>
      </c>
    </row>
    <row r="731" spans="1:15" ht="14.4" x14ac:dyDescent="0.3">
      <c r="A731" t="s">
        <v>177</v>
      </c>
      <c r="B731" s="1">
        <v>46177</v>
      </c>
      <c r="C731" t="s">
        <v>16</v>
      </c>
      <c r="D731">
        <v>676</v>
      </c>
      <c r="E731">
        <v>1</v>
      </c>
      <c r="F731">
        <v>7.8</v>
      </c>
      <c r="G731" t="s">
        <v>17</v>
      </c>
      <c r="I731" t="str">
        <f t="shared" si="12"/>
        <v>676_1</v>
      </c>
      <c r="J731" t="s">
        <v>178</v>
      </c>
      <c r="K731" t="s">
        <v>179</v>
      </c>
      <c r="L731" t="str">
        <f>_xlfn.XLOOKUP(C731, Table2[Species],Table2[Genus], "Code Not Found")</f>
        <v>Acer</v>
      </c>
      <c r="M731" t="str">
        <f>_xlfn.XLOOKUP(C731, Table2[Species],Table2[Sp. Name], "Code Not Found")</f>
        <v>saccharum</v>
      </c>
      <c r="N731" t="str">
        <f>_xlfn.XLOOKUP(C731,Table2[Species],Table2[Family],"Code Not Found")</f>
        <v>Sapindaceae</v>
      </c>
      <c r="O731" t="str" cm="1">
        <f t="array" ref="O731">_xlfn.IFS(F731="","",F731&lt;=5,"0 to 5",F731&lt;=10,"5.1 to 10",F731&lt;=20,"10 to 20", F731&lt;= 40, "20 to 40", F731 &lt;= 50, "40 to 50", F731 &gt; 50, "&gt;50" )</f>
        <v>5.1 to 10</v>
      </c>
    </row>
    <row r="732" spans="1:15" ht="14.4" x14ac:dyDescent="0.3">
      <c r="A732" t="s">
        <v>177</v>
      </c>
      <c r="B732" s="1">
        <v>46177</v>
      </c>
      <c r="C732" t="s">
        <v>189</v>
      </c>
      <c r="D732">
        <v>677</v>
      </c>
      <c r="E732">
        <v>1</v>
      </c>
      <c r="F732">
        <v>58</v>
      </c>
      <c r="G732" t="s">
        <v>21</v>
      </c>
      <c r="H732" t="s">
        <v>203</v>
      </c>
      <c r="I732" t="str">
        <f t="shared" si="12"/>
        <v>677_1</v>
      </c>
      <c r="J732" t="s">
        <v>178</v>
      </c>
      <c r="K732" t="s">
        <v>179</v>
      </c>
      <c r="L732" t="str">
        <f>_xlfn.XLOOKUP(C732, Table2[Species],Table2[Genus], "Code Not Found")</f>
        <v>Juglans</v>
      </c>
      <c r="M732" t="str">
        <f>_xlfn.XLOOKUP(C732, Table2[Species],Table2[Sp. Name], "Code Not Found")</f>
        <v>nigra</v>
      </c>
      <c r="N732" t="str">
        <f>_xlfn.XLOOKUP(C732,Table2[Species],Table2[Family],"Code Not Found")</f>
        <v>Juglandaceae</v>
      </c>
      <c r="O732" t="str" cm="1">
        <f t="array" ref="O732">_xlfn.IFS(F732="","",F732&lt;=5,"0 to 5",F732&lt;=10,"5.1 to 10",F732&lt;=20,"10 to 20", F732&lt;= 40, "20 to 40", F732 &lt;= 50, "40 to 50", F732 &gt; 50, "&gt;50" )</f>
        <v>&gt;50</v>
      </c>
    </row>
    <row r="733" spans="1:15" ht="14.4" x14ac:dyDescent="0.3">
      <c r="A733" t="s">
        <v>177</v>
      </c>
      <c r="B733" s="1">
        <v>46177</v>
      </c>
      <c r="C733" t="s">
        <v>64</v>
      </c>
      <c r="D733">
        <v>678</v>
      </c>
      <c r="E733">
        <v>1</v>
      </c>
      <c r="F733">
        <v>37.4</v>
      </c>
      <c r="G733" t="s">
        <v>32</v>
      </c>
      <c r="H733" t="s">
        <v>204</v>
      </c>
      <c r="I733" t="str">
        <f t="shared" si="12"/>
        <v>678_1</v>
      </c>
      <c r="J733" t="s">
        <v>178</v>
      </c>
      <c r="K733" t="s">
        <v>179</v>
      </c>
      <c r="L733" t="str">
        <f>_xlfn.XLOOKUP(C733, Table2[Species],Table2[Genus], "Code Not Found")</f>
        <v>Fagus</v>
      </c>
      <c r="M733" t="str">
        <f>_xlfn.XLOOKUP(C733, Table2[Species],Table2[Sp. Name], "Code Not Found")</f>
        <v>grandifolia</v>
      </c>
      <c r="N733" t="str">
        <f>_xlfn.XLOOKUP(C733,Table2[Species],Table2[Family],"Code Not Found")</f>
        <v>Fagaceae</v>
      </c>
      <c r="O733" t="str" cm="1">
        <f t="array" ref="O733">_xlfn.IFS(F733="","",F733&lt;=5,"0 to 5",F733&lt;=10,"5.1 to 10",F733&lt;=20,"10 to 20", F733&lt;= 40, "20 to 40", F733 &lt;= 50, "40 to 50", F733 &gt; 50, "&gt;50" )</f>
        <v>20 to 40</v>
      </c>
    </row>
    <row r="734" spans="1:15" ht="14.4" x14ac:dyDescent="0.3">
      <c r="A734" t="s">
        <v>177</v>
      </c>
      <c r="B734" s="1">
        <v>46177</v>
      </c>
      <c r="C734" t="s">
        <v>64</v>
      </c>
      <c r="D734">
        <v>678</v>
      </c>
      <c r="E734">
        <v>2</v>
      </c>
      <c r="F734">
        <v>5.4</v>
      </c>
      <c r="G734" t="s">
        <v>32</v>
      </c>
      <c r="I734" t="str">
        <f t="shared" si="12"/>
        <v>678_2</v>
      </c>
      <c r="J734" t="s">
        <v>178</v>
      </c>
      <c r="K734" t="s">
        <v>179</v>
      </c>
      <c r="L734" t="str">
        <f>_xlfn.XLOOKUP(C734, Table2[Species],Table2[Genus], "Code Not Found")</f>
        <v>Fagus</v>
      </c>
      <c r="M734" t="str">
        <f>_xlfn.XLOOKUP(C734, Table2[Species],Table2[Sp. Name], "Code Not Found")</f>
        <v>grandifolia</v>
      </c>
      <c r="N734" t="str">
        <f>_xlfn.XLOOKUP(C734,Table2[Species],Table2[Family],"Code Not Found")</f>
        <v>Fagaceae</v>
      </c>
      <c r="O734" t="str" cm="1">
        <f t="array" ref="O734">_xlfn.IFS(F734="","",F734&lt;=5,"0 to 5",F734&lt;=10,"5.1 to 10",F734&lt;=20,"10 to 20", F734&lt;= 40, "20 to 40", F734 &lt;= 50, "40 to 50", F734 &gt; 50, "&gt;50" )</f>
        <v>5.1 to 10</v>
      </c>
    </row>
    <row r="735" spans="1:15" ht="14.4" x14ac:dyDescent="0.3">
      <c r="A735" t="s">
        <v>177</v>
      </c>
      <c r="B735" s="1">
        <v>46177</v>
      </c>
      <c r="C735" t="s">
        <v>64</v>
      </c>
      <c r="D735">
        <v>678</v>
      </c>
      <c r="E735">
        <v>3</v>
      </c>
      <c r="F735">
        <v>2.6</v>
      </c>
      <c r="G735" t="s">
        <v>93</v>
      </c>
      <c r="H735" t="s">
        <v>43</v>
      </c>
      <c r="I735" t="str">
        <f t="shared" si="12"/>
        <v>678_3</v>
      </c>
      <c r="J735" t="s">
        <v>178</v>
      </c>
      <c r="K735" t="s">
        <v>179</v>
      </c>
      <c r="L735" t="str">
        <f>_xlfn.XLOOKUP(C735, Table2[Species],Table2[Genus], "Code Not Found")</f>
        <v>Fagus</v>
      </c>
      <c r="M735" t="str">
        <f>_xlfn.XLOOKUP(C735, Table2[Species],Table2[Sp. Name], "Code Not Found")</f>
        <v>grandifolia</v>
      </c>
      <c r="N735" t="str">
        <f>_xlfn.XLOOKUP(C735,Table2[Species],Table2[Family],"Code Not Found")</f>
        <v>Fagaceae</v>
      </c>
      <c r="O735" t="str" cm="1">
        <f t="array" ref="O735">_xlfn.IFS(F735="","",F735&lt;=5,"0 to 5",F735&lt;=10,"5.1 to 10",F735&lt;=20,"10 to 20", F735&lt;= 40, "20 to 40", F735 &lt;= 50, "40 to 50", F735 &gt; 50, "&gt;50" )</f>
        <v>0 to 5</v>
      </c>
    </row>
    <row r="736" spans="1:15" ht="14.4" x14ac:dyDescent="0.3">
      <c r="A736" t="s">
        <v>177</v>
      </c>
      <c r="B736" s="1">
        <v>46177</v>
      </c>
      <c r="C736" t="s">
        <v>64</v>
      </c>
      <c r="D736">
        <v>678</v>
      </c>
      <c r="E736">
        <v>4</v>
      </c>
      <c r="F736">
        <v>1.9</v>
      </c>
      <c r="G736" t="s">
        <v>61</v>
      </c>
      <c r="H736" t="s">
        <v>99</v>
      </c>
      <c r="I736" t="str">
        <f t="shared" si="12"/>
        <v>678_4</v>
      </c>
      <c r="J736" t="s">
        <v>178</v>
      </c>
      <c r="K736" t="s">
        <v>179</v>
      </c>
      <c r="L736" t="str">
        <f>_xlfn.XLOOKUP(C736, Table2[Species],Table2[Genus], "Code Not Found")</f>
        <v>Fagus</v>
      </c>
      <c r="M736" t="str">
        <f>_xlfn.XLOOKUP(C736, Table2[Species],Table2[Sp. Name], "Code Not Found")</f>
        <v>grandifolia</v>
      </c>
      <c r="N736" t="str">
        <f>_xlfn.XLOOKUP(C736,Table2[Species],Table2[Family],"Code Not Found")</f>
        <v>Fagaceae</v>
      </c>
      <c r="O736" t="str" cm="1">
        <f t="array" ref="O736">_xlfn.IFS(F736="","",F736&lt;=5,"0 to 5",F736&lt;=10,"5.1 to 10",F736&lt;=20,"10 to 20", F736&lt;= 40, "20 to 40", F736 &lt;= 50, "40 to 50", F736 &gt; 50, "&gt;50" )</f>
        <v>0 to 5</v>
      </c>
    </row>
    <row r="737" spans="1:15" ht="14.4" x14ac:dyDescent="0.3">
      <c r="A737" t="s">
        <v>177</v>
      </c>
      <c r="B737" s="1">
        <v>46177</v>
      </c>
      <c r="C737" t="s">
        <v>64</v>
      </c>
      <c r="D737">
        <v>678</v>
      </c>
      <c r="E737">
        <v>5</v>
      </c>
      <c r="F737">
        <v>1.2</v>
      </c>
      <c r="I737" t="str">
        <f t="shared" si="12"/>
        <v>678_5</v>
      </c>
      <c r="J737" t="s">
        <v>178</v>
      </c>
      <c r="K737" t="s">
        <v>179</v>
      </c>
      <c r="L737" t="str">
        <f>_xlfn.XLOOKUP(C737, Table2[Species],Table2[Genus], "Code Not Found")</f>
        <v>Fagus</v>
      </c>
      <c r="M737" t="str">
        <f>_xlfn.XLOOKUP(C737, Table2[Species],Table2[Sp. Name], "Code Not Found")</f>
        <v>grandifolia</v>
      </c>
      <c r="N737" t="str">
        <f>_xlfn.XLOOKUP(C737,Table2[Species],Table2[Family],"Code Not Found")</f>
        <v>Fagaceae</v>
      </c>
      <c r="O737" t="str" cm="1">
        <f t="array" ref="O737">_xlfn.IFS(F737="","",F737&lt;=5,"0 to 5",F737&lt;=10,"5.1 to 10",F737&lt;=20,"10 to 20", F737&lt;= 40, "20 to 40", F737 &lt;= 50, "40 to 50", F737 &gt; 50, "&gt;50" )</f>
        <v>0 to 5</v>
      </c>
    </row>
    <row r="738" spans="1:15" ht="14.4" x14ac:dyDescent="0.3">
      <c r="A738" t="s">
        <v>177</v>
      </c>
      <c r="B738" s="1">
        <v>46177</v>
      </c>
      <c r="C738" t="s">
        <v>16</v>
      </c>
      <c r="D738">
        <v>679</v>
      </c>
      <c r="E738">
        <v>1</v>
      </c>
      <c r="F738">
        <v>20.9</v>
      </c>
      <c r="G738" t="s">
        <v>17</v>
      </c>
      <c r="H738" t="s">
        <v>36</v>
      </c>
      <c r="I738" t="str">
        <f t="shared" si="12"/>
        <v>679_1</v>
      </c>
      <c r="J738" t="s">
        <v>178</v>
      </c>
      <c r="K738" t="s">
        <v>179</v>
      </c>
      <c r="L738" t="str">
        <f>_xlfn.XLOOKUP(C738, Table2[Species],Table2[Genus], "Code Not Found")</f>
        <v>Acer</v>
      </c>
      <c r="M738" t="str">
        <f>_xlfn.XLOOKUP(C738, Table2[Species],Table2[Sp. Name], "Code Not Found")</f>
        <v>saccharum</v>
      </c>
      <c r="N738" t="str">
        <f>_xlfn.XLOOKUP(C738,Table2[Species],Table2[Family],"Code Not Found")</f>
        <v>Sapindaceae</v>
      </c>
      <c r="O738" t="str" cm="1">
        <f t="array" ref="O738">_xlfn.IFS(F738="","",F738&lt;=5,"0 to 5",F738&lt;=10,"5.1 to 10",F738&lt;=20,"10 to 20", F738&lt;= 40, "20 to 40", F738 &lt;= 50, "40 to 50", F738 &gt; 50, "&gt;50" )</f>
        <v>20 to 40</v>
      </c>
    </row>
    <row r="739" spans="1:15" ht="14.4" x14ac:dyDescent="0.3">
      <c r="A739" t="s">
        <v>177</v>
      </c>
      <c r="B739" s="1">
        <v>46177</v>
      </c>
      <c r="C739" t="s">
        <v>16</v>
      </c>
      <c r="D739">
        <v>680</v>
      </c>
      <c r="E739">
        <v>1</v>
      </c>
      <c r="F739">
        <v>10.7</v>
      </c>
      <c r="G739" t="s">
        <v>21</v>
      </c>
      <c r="I739" t="str">
        <f t="shared" si="12"/>
        <v>680_1</v>
      </c>
      <c r="J739" t="s">
        <v>178</v>
      </c>
      <c r="K739" t="s">
        <v>179</v>
      </c>
      <c r="L739" t="str">
        <f>_xlfn.XLOOKUP(C739, Table2[Species],Table2[Genus], "Code Not Found")</f>
        <v>Acer</v>
      </c>
      <c r="M739" t="str">
        <f>_xlfn.XLOOKUP(C739, Table2[Species],Table2[Sp. Name], "Code Not Found")</f>
        <v>saccharum</v>
      </c>
      <c r="N739" t="str">
        <f>_xlfn.XLOOKUP(C739,Table2[Species],Table2[Family],"Code Not Found")</f>
        <v>Sapindaceae</v>
      </c>
      <c r="O739" t="str" cm="1">
        <f t="array" ref="O739">_xlfn.IFS(F739="","",F739&lt;=5,"0 to 5",F739&lt;=10,"5.1 to 10",F739&lt;=20,"10 to 20", F739&lt;= 40, "20 to 40", F739 &lt;= 50, "40 to 50", F739 &gt; 50, "&gt;50" )</f>
        <v>10 to 20</v>
      </c>
    </row>
    <row r="740" spans="1:15" ht="14.4" x14ac:dyDescent="0.3">
      <c r="A740" t="s">
        <v>177</v>
      </c>
      <c r="B740" s="1">
        <v>46177</v>
      </c>
      <c r="C740" t="s">
        <v>16</v>
      </c>
      <c r="D740">
        <v>681</v>
      </c>
      <c r="E740">
        <v>1</v>
      </c>
      <c r="F740">
        <v>5.2</v>
      </c>
      <c r="G740" t="s">
        <v>34</v>
      </c>
      <c r="I740" t="str">
        <f t="shared" si="12"/>
        <v>681_1</v>
      </c>
      <c r="J740" t="s">
        <v>178</v>
      </c>
      <c r="K740" t="s">
        <v>179</v>
      </c>
      <c r="L740" t="str">
        <f>_xlfn.XLOOKUP(C740, Table2[Species],Table2[Genus], "Code Not Found")</f>
        <v>Acer</v>
      </c>
      <c r="M740" t="str">
        <f>_xlfn.XLOOKUP(C740, Table2[Species],Table2[Sp. Name], "Code Not Found")</f>
        <v>saccharum</v>
      </c>
      <c r="N740" t="str">
        <f>_xlfn.XLOOKUP(C740,Table2[Species],Table2[Family],"Code Not Found")</f>
        <v>Sapindaceae</v>
      </c>
      <c r="O740" t="str" cm="1">
        <f t="array" ref="O740">_xlfn.IFS(F740="","",F740&lt;=5,"0 to 5",F740&lt;=10,"5.1 to 10",F740&lt;=20,"10 to 20", F740&lt;= 40, "20 to 40", F740 &lt;= 50, "40 to 50", F740 &gt; 50, "&gt;50" )</f>
        <v>5.1 to 10</v>
      </c>
    </row>
    <row r="741" spans="1:15" ht="14.4" x14ac:dyDescent="0.3">
      <c r="A741" t="s">
        <v>177</v>
      </c>
      <c r="B741" s="1">
        <v>46177</v>
      </c>
      <c r="C741" t="s">
        <v>16</v>
      </c>
      <c r="D741">
        <v>681</v>
      </c>
      <c r="E741">
        <v>2</v>
      </c>
      <c r="F741">
        <v>1.5</v>
      </c>
      <c r="G741" t="s">
        <v>205</v>
      </c>
      <c r="H741" t="s">
        <v>206</v>
      </c>
      <c r="I741" t="str">
        <f t="shared" si="12"/>
        <v>681_2</v>
      </c>
      <c r="J741" t="s">
        <v>178</v>
      </c>
      <c r="K741" t="s">
        <v>179</v>
      </c>
      <c r="L741" t="str">
        <f>_xlfn.XLOOKUP(C741, Table2[Species],Table2[Genus], "Code Not Found")</f>
        <v>Acer</v>
      </c>
      <c r="M741" t="str">
        <f>_xlfn.XLOOKUP(C741, Table2[Species],Table2[Sp. Name], "Code Not Found")</f>
        <v>saccharum</v>
      </c>
      <c r="N741" t="str">
        <f>_xlfn.XLOOKUP(C741,Table2[Species],Table2[Family],"Code Not Found")</f>
        <v>Sapindaceae</v>
      </c>
      <c r="O741" t="str" cm="1">
        <f t="array" ref="O741">_xlfn.IFS(F741="","",F741&lt;=5,"0 to 5",F741&lt;=10,"5.1 to 10",F741&lt;=20,"10 to 20", F741&lt;= 40, "20 to 40", F741 &lt;= 50, "40 to 50", F741 &gt; 50, "&gt;50" )</f>
        <v>0 to 5</v>
      </c>
    </row>
    <row r="742" spans="1:15" ht="14.4" x14ac:dyDescent="0.3">
      <c r="A742" t="s">
        <v>177</v>
      </c>
      <c r="B742" s="1">
        <v>46177</v>
      </c>
      <c r="C742" t="s">
        <v>16</v>
      </c>
      <c r="D742">
        <v>682</v>
      </c>
      <c r="E742">
        <v>1</v>
      </c>
      <c r="F742">
        <v>5.5</v>
      </c>
      <c r="G742" t="s">
        <v>21</v>
      </c>
      <c r="I742" t="str">
        <f t="shared" ref="I742:I805" si="13">D742&amp;"_"&amp;E742</f>
        <v>682_1</v>
      </c>
      <c r="J742" t="s">
        <v>178</v>
      </c>
      <c r="K742" t="s">
        <v>179</v>
      </c>
      <c r="L742" t="str">
        <f>_xlfn.XLOOKUP(C742, Table2[Species],Table2[Genus], "Code Not Found")</f>
        <v>Acer</v>
      </c>
      <c r="M742" t="str">
        <f>_xlfn.XLOOKUP(C742, Table2[Species],Table2[Sp. Name], "Code Not Found")</f>
        <v>saccharum</v>
      </c>
      <c r="N742" t="str">
        <f>_xlfn.XLOOKUP(C742,Table2[Species],Table2[Family],"Code Not Found")</f>
        <v>Sapindaceae</v>
      </c>
      <c r="O742" t="str" cm="1">
        <f t="array" ref="O742">_xlfn.IFS(F742="","",F742&lt;=5,"0 to 5",F742&lt;=10,"5.1 to 10",F742&lt;=20,"10 to 20", F742&lt;= 40, "20 to 40", F742 &lt;= 50, "40 to 50", F742 &gt; 50, "&gt;50" )</f>
        <v>5.1 to 10</v>
      </c>
    </row>
    <row r="743" spans="1:15" ht="14.4" x14ac:dyDescent="0.3">
      <c r="A743" t="s">
        <v>177</v>
      </c>
      <c r="B743" s="1">
        <v>46177</v>
      </c>
      <c r="C743" t="s">
        <v>16</v>
      </c>
      <c r="D743">
        <v>683</v>
      </c>
      <c r="E743">
        <v>1</v>
      </c>
      <c r="F743">
        <v>25.7</v>
      </c>
      <c r="G743" t="s">
        <v>21</v>
      </c>
      <c r="I743" t="str">
        <f t="shared" si="13"/>
        <v>683_1</v>
      </c>
      <c r="J743" t="s">
        <v>178</v>
      </c>
      <c r="K743" t="s">
        <v>179</v>
      </c>
      <c r="L743" t="str">
        <f>_xlfn.XLOOKUP(C743, Table2[Species],Table2[Genus], "Code Not Found")</f>
        <v>Acer</v>
      </c>
      <c r="M743" t="str">
        <f>_xlfn.XLOOKUP(C743, Table2[Species],Table2[Sp. Name], "Code Not Found")</f>
        <v>saccharum</v>
      </c>
      <c r="N743" t="str">
        <f>_xlfn.XLOOKUP(C743,Table2[Species],Table2[Family],"Code Not Found")</f>
        <v>Sapindaceae</v>
      </c>
      <c r="O743" t="str" cm="1">
        <f t="array" ref="O743">_xlfn.IFS(F743="","",F743&lt;=5,"0 to 5",F743&lt;=10,"5.1 to 10",F743&lt;=20,"10 to 20", F743&lt;= 40, "20 to 40", F743 &lt;= 50, "40 to 50", F743 &gt; 50, "&gt;50" )</f>
        <v>20 to 40</v>
      </c>
    </row>
    <row r="744" spans="1:15" ht="14.4" x14ac:dyDescent="0.3">
      <c r="A744" t="s">
        <v>177</v>
      </c>
      <c r="B744" s="1">
        <v>46177</v>
      </c>
      <c r="C744" t="s">
        <v>16</v>
      </c>
      <c r="D744">
        <v>684</v>
      </c>
      <c r="E744">
        <v>1</v>
      </c>
      <c r="F744">
        <v>55.9</v>
      </c>
      <c r="G744" t="s">
        <v>21</v>
      </c>
      <c r="I744" t="str">
        <f t="shared" si="13"/>
        <v>684_1</v>
      </c>
      <c r="J744" t="s">
        <v>178</v>
      </c>
      <c r="K744" t="s">
        <v>179</v>
      </c>
      <c r="L744" t="str">
        <f>_xlfn.XLOOKUP(C744, Table2[Species],Table2[Genus], "Code Not Found")</f>
        <v>Acer</v>
      </c>
      <c r="M744" t="str">
        <f>_xlfn.XLOOKUP(C744, Table2[Species],Table2[Sp. Name], "Code Not Found")</f>
        <v>saccharum</v>
      </c>
      <c r="N744" t="str">
        <f>_xlfn.XLOOKUP(C744,Table2[Species],Table2[Family],"Code Not Found")</f>
        <v>Sapindaceae</v>
      </c>
      <c r="O744" t="str" cm="1">
        <f t="array" ref="O744">_xlfn.IFS(F744="","",F744&lt;=5,"0 to 5",F744&lt;=10,"5.1 to 10",F744&lt;=20,"10 to 20", F744&lt;= 40, "20 to 40", F744 &lt;= 50, "40 to 50", F744 &gt; 50, "&gt;50" )</f>
        <v>&gt;50</v>
      </c>
    </row>
    <row r="745" spans="1:15" ht="14.4" x14ac:dyDescent="0.3">
      <c r="A745" t="s">
        <v>177</v>
      </c>
      <c r="B745" s="1">
        <v>46177</v>
      </c>
      <c r="C745" t="s">
        <v>16</v>
      </c>
      <c r="D745">
        <v>685</v>
      </c>
      <c r="E745">
        <v>1</v>
      </c>
      <c r="F745">
        <v>2.8</v>
      </c>
      <c r="G745" t="s">
        <v>21</v>
      </c>
      <c r="I745" t="str">
        <f t="shared" si="13"/>
        <v>685_1</v>
      </c>
      <c r="J745" t="s">
        <v>178</v>
      </c>
      <c r="K745" t="s">
        <v>179</v>
      </c>
      <c r="L745" t="str">
        <f>_xlfn.XLOOKUP(C745, Table2[Species],Table2[Genus], "Code Not Found")</f>
        <v>Acer</v>
      </c>
      <c r="M745" t="str">
        <f>_xlfn.XLOOKUP(C745, Table2[Species],Table2[Sp. Name], "Code Not Found")</f>
        <v>saccharum</v>
      </c>
      <c r="N745" t="str">
        <f>_xlfn.XLOOKUP(C745,Table2[Species],Table2[Family],"Code Not Found")</f>
        <v>Sapindaceae</v>
      </c>
      <c r="O745" t="str" cm="1">
        <f t="array" ref="O745">_xlfn.IFS(F745="","",F745&lt;=5,"0 to 5",F745&lt;=10,"5.1 to 10",F745&lt;=20,"10 to 20", F745&lt;= 40, "20 to 40", F745 &lt;= 50, "40 to 50", F745 &gt; 50, "&gt;50" )</f>
        <v>0 to 5</v>
      </c>
    </row>
    <row r="746" spans="1:15" ht="14.4" x14ac:dyDescent="0.3">
      <c r="A746" t="s">
        <v>177</v>
      </c>
      <c r="B746" s="1">
        <v>46177</v>
      </c>
      <c r="C746" t="s">
        <v>16</v>
      </c>
      <c r="D746">
        <v>686</v>
      </c>
      <c r="E746">
        <v>1</v>
      </c>
      <c r="F746">
        <v>16.899999999999999</v>
      </c>
      <c r="G746" t="s">
        <v>17</v>
      </c>
      <c r="I746" t="str">
        <f t="shared" si="13"/>
        <v>686_1</v>
      </c>
      <c r="J746" t="s">
        <v>178</v>
      </c>
      <c r="K746" t="s">
        <v>179</v>
      </c>
      <c r="L746" t="str">
        <f>_xlfn.XLOOKUP(C746, Table2[Species],Table2[Genus], "Code Not Found")</f>
        <v>Acer</v>
      </c>
      <c r="M746" t="str">
        <f>_xlfn.XLOOKUP(C746, Table2[Species],Table2[Sp. Name], "Code Not Found")</f>
        <v>saccharum</v>
      </c>
      <c r="N746" t="str">
        <f>_xlfn.XLOOKUP(C746,Table2[Species],Table2[Family],"Code Not Found")</f>
        <v>Sapindaceae</v>
      </c>
      <c r="O746" t="str" cm="1">
        <f t="array" ref="O746">_xlfn.IFS(F746="","",F746&lt;=5,"0 to 5",F746&lt;=10,"5.1 to 10",F746&lt;=20,"10 to 20", F746&lt;= 40, "20 to 40", F746 &lt;= 50, "40 to 50", F746 &gt; 50, "&gt;50" )</f>
        <v>10 to 20</v>
      </c>
    </row>
    <row r="747" spans="1:15" ht="14.4" x14ac:dyDescent="0.3">
      <c r="A747" t="s">
        <v>177</v>
      </c>
      <c r="B747" s="1">
        <v>46177</v>
      </c>
      <c r="C747" t="s">
        <v>16</v>
      </c>
      <c r="D747">
        <v>687</v>
      </c>
      <c r="E747">
        <v>1</v>
      </c>
      <c r="F747">
        <v>5</v>
      </c>
      <c r="G747" t="s">
        <v>21</v>
      </c>
      <c r="I747" t="str">
        <f t="shared" si="13"/>
        <v>687_1</v>
      </c>
      <c r="J747" t="s">
        <v>178</v>
      </c>
      <c r="K747" t="s">
        <v>179</v>
      </c>
      <c r="L747" t="str">
        <f>_xlfn.XLOOKUP(C747, Table2[Species],Table2[Genus], "Code Not Found")</f>
        <v>Acer</v>
      </c>
      <c r="M747" t="str">
        <f>_xlfn.XLOOKUP(C747, Table2[Species],Table2[Sp. Name], "Code Not Found")</f>
        <v>saccharum</v>
      </c>
      <c r="N747" t="str">
        <f>_xlfn.XLOOKUP(C747,Table2[Species],Table2[Family],"Code Not Found")</f>
        <v>Sapindaceae</v>
      </c>
      <c r="O747" t="str" cm="1">
        <f t="array" ref="O747">_xlfn.IFS(F747="","",F747&lt;=5,"0 to 5",F747&lt;=10,"5.1 to 10",F747&lt;=20,"10 to 20", F747&lt;= 40, "20 to 40", F747 &lt;= 50, "40 to 50", F747 &gt; 50, "&gt;50" )</f>
        <v>0 to 5</v>
      </c>
    </row>
    <row r="748" spans="1:15" ht="14.4" x14ac:dyDescent="0.3">
      <c r="A748" t="s">
        <v>177</v>
      </c>
      <c r="B748" s="1">
        <v>46177</v>
      </c>
      <c r="C748" t="s">
        <v>16</v>
      </c>
      <c r="D748">
        <v>688</v>
      </c>
      <c r="E748">
        <v>1</v>
      </c>
      <c r="F748">
        <v>20.7</v>
      </c>
      <c r="G748" t="s">
        <v>21</v>
      </c>
      <c r="I748" t="str">
        <f t="shared" si="13"/>
        <v>688_1</v>
      </c>
      <c r="J748" t="s">
        <v>178</v>
      </c>
      <c r="K748" t="s">
        <v>179</v>
      </c>
      <c r="L748" t="str">
        <f>_xlfn.XLOOKUP(C748, Table2[Species],Table2[Genus], "Code Not Found")</f>
        <v>Acer</v>
      </c>
      <c r="M748" t="str">
        <f>_xlfn.XLOOKUP(C748, Table2[Species],Table2[Sp. Name], "Code Not Found")</f>
        <v>saccharum</v>
      </c>
      <c r="N748" t="str">
        <f>_xlfn.XLOOKUP(C748,Table2[Species],Table2[Family],"Code Not Found")</f>
        <v>Sapindaceae</v>
      </c>
      <c r="O748" t="str" cm="1">
        <f t="array" ref="O748">_xlfn.IFS(F748="","",F748&lt;=5,"0 to 5",F748&lt;=10,"5.1 to 10",F748&lt;=20,"10 to 20", F748&lt;= 40, "20 to 40", F748 &lt;= 50, "40 to 50", F748 &gt; 50, "&gt;50" )</f>
        <v>20 to 40</v>
      </c>
    </row>
    <row r="749" spans="1:15" ht="14.4" x14ac:dyDescent="0.3">
      <c r="A749" t="s">
        <v>177</v>
      </c>
      <c r="B749" s="1">
        <v>46177</v>
      </c>
      <c r="C749" t="s">
        <v>16</v>
      </c>
      <c r="D749">
        <v>689</v>
      </c>
      <c r="E749">
        <v>1</v>
      </c>
      <c r="F749">
        <v>6</v>
      </c>
      <c r="G749" t="s">
        <v>21</v>
      </c>
      <c r="I749" t="str">
        <f t="shared" si="13"/>
        <v>689_1</v>
      </c>
      <c r="J749" t="s">
        <v>178</v>
      </c>
      <c r="K749" t="s">
        <v>179</v>
      </c>
      <c r="L749" t="str">
        <f>_xlfn.XLOOKUP(C749, Table2[Species],Table2[Genus], "Code Not Found")</f>
        <v>Acer</v>
      </c>
      <c r="M749" t="str">
        <f>_xlfn.XLOOKUP(C749, Table2[Species],Table2[Sp. Name], "Code Not Found")</f>
        <v>saccharum</v>
      </c>
      <c r="N749" t="str">
        <f>_xlfn.XLOOKUP(C749,Table2[Species],Table2[Family],"Code Not Found")</f>
        <v>Sapindaceae</v>
      </c>
      <c r="O749" t="str" cm="1">
        <f t="array" ref="O749">_xlfn.IFS(F749="","",F749&lt;=5,"0 to 5",F749&lt;=10,"5.1 to 10",F749&lt;=20,"10 to 20", F749&lt;= 40, "20 to 40", F749 &lt;= 50, "40 to 50", F749 &gt; 50, "&gt;50" )</f>
        <v>5.1 to 10</v>
      </c>
    </row>
    <row r="750" spans="1:15" ht="14.4" x14ac:dyDescent="0.3">
      <c r="A750" t="s">
        <v>177</v>
      </c>
      <c r="B750" s="1">
        <v>46177</v>
      </c>
      <c r="C750" t="s">
        <v>16</v>
      </c>
      <c r="D750">
        <v>690</v>
      </c>
      <c r="E750">
        <v>1</v>
      </c>
      <c r="F750">
        <v>2.5</v>
      </c>
      <c r="G750" t="s">
        <v>139</v>
      </c>
      <c r="H750" t="s">
        <v>166</v>
      </c>
      <c r="I750" t="str">
        <f t="shared" si="13"/>
        <v>690_1</v>
      </c>
      <c r="J750" t="s">
        <v>178</v>
      </c>
      <c r="K750" t="s">
        <v>179</v>
      </c>
      <c r="L750" t="str">
        <f>_xlfn.XLOOKUP(C750, Table2[Species],Table2[Genus], "Code Not Found")</f>
        <v>Acer</v>
      </c>
      <c r="M750" t="str">
        <f>_xlfn.XLOOKUP(C750, Table2[Species],Table2[Sp. Name], "Code Not Found")</f>
        <v>saccharum</v>
      </c>
      <c r="N750" t="str">
        <f>_xlfn.XLOOKUP(C750,Table2[Species],Table2[Family],"Code Not Found")</f>
        <v>Sapindaceae</v>
      </c>
      <c r="O750" t="str" cm="1">
        <f t="array" ref="O750">_xlfn.IFS(F750="","",F750&lt;=5,"0 to 5",F750&lt;=10,"5.1 to 10",F750&lt;=20,"10 to 20", F750&lt;= 40, "20 to 40", F750 &lt;= 50, "40 to 50", F750 &gt; 50, "&gt;50" )</f>
        <v>0 to 5</v>
      </c>
    </row>
    <row r="751" spans="1:15" ht="14.4" x14ac:dyDescent="0.3">
      <c r="A751" t="s">
        <v>177</v>
      </c>
      <c r="B751" s="1">
        <v>46177</v>
      </c>
      <c r="C751" t="s">
        <v>16</v>
      </c>
      <c r="D751">
        <v>691</v>
      </c>
      <c r="E751">
        <v>1</v>
      </c>
      <c r="F751">
        <v>4.7</v>
      </c>
      <c r="G751" t="s">
        <v>21</v>
      </c>
      <c r="I751" t="str">
        <f t="shared" si="13"/>
        <v>691_1</v>
      </c>
      <c r="J751" t="s">
        <v>178</v>
      </c>
      <c r="K751" t="s">
        <v>179</v>
      </c>
      <c r="L751" t="str">
        <f>_xlfn.XLOOKUP(C751, Table2[Species],Table2[Genus], "Code Not Found")</f>
        <v>Acer</v>
      </c>
      <c r="M751" t="str">
        <f>_xlfn.XLOOKUP(C751, Table2[Species],Table2[Sp. Name], "Code Not Found")</f>
        <v>saccharum</v>
      </c>
      <c r="N751" t="str">
        <f>_xlfn.XLOOKUP(C751,Table2[Species],Table2[Family],"Code Not Found")</f>
        <v>Sapindaceae</v>
      </c>
      <c r="O751" t="str" cm="1">
        <f t="array" ref="O751">_xlfn.IFS(F751="","",F751&lt;=5,"0 to 5",F751&lt;=10,"5.1 to 10",F751&lt;=20,"10 to 20", F751&lt;= 40, "20 to 40", F751 &lt;= 50, "40 to 50", F751 &gt; 50, "&gt;50" )</f>
        <v>0 to 5</v>
      </c>
    </row>
    <row r="752" spans="1:15" ht="14.4" x14ac:dyDescent="0.3">
      <c r="A752" t="s">
        <v>177</v>
      </c>
      <c r="B752" s="1">
        <v>46177</v>
      </c>
      <c r="C752" t="s">
        <v>16</v>
      </c>
      <c r="D752">
        <v>692</v>
      </c>
      <c r="E752">
        <v>1</v>
      </c>
      <c r="F752">
        <v>20.100000000000001</v>
      </c>
      <c r="G752" t="s">
        <v>17</v>
      </c>
      <c r="I752" t="str">
        <f t="shared" si="13"/>
        <v>692_1</v>
      </c>
      <c r="J752" t="s">
        <v>178</v>
      </c>
      <c r="K752" t="s">
        <v>179</v>
      </c>
      <c r="L752" t="str">
        <f>_xlfn.XLOOKUP(C752, Table2[Species],Table2[Genus], "Code Not Found")</f>
        <v>Acer</v>
      </c>
      <c r="M752" t="str">
        <f>_xlfn.XLOOKUP(C752, Table2[Species],Table2[Sp. Name], "Code Not Found")</f>
        <v>saccharum</v>
      </c>
      <c r="N752" t="str">
        <f>_xlfn.XLOOKUP(C752,Table2[Species],Table2[Family],"Code Not Found")</f>
        <v>Sapindaceae</v>
      </c>
      <c r="O752" t="str" cm="1">
        <f t="array" ref="O752">_xlfn.IFS(F752="","",F752&lt;=5,"0 to 5",F752&lt;=10,"5.1 to 10",F752&lt;=20,"10 to 20", F752&lt;= 40, "20 to 40", F752 &lt;= 50, "40 to 50", F752 &gt; 50, "&gt;50" )</f>
        <v>20 to 40</v>
      </c>
    </row>
    <row r="753" spans="1:15" ht="14.4" x14ac:dyDescent="0.3">
      <c r="A753" t="s">
        <v>177</v>
      </c>
      <c r="B753" s="1">
        <v>46178</v>
      </c>
      <c r="C753" t="s">
        <v>16</v>
      </c>
      <c r="D753">
        <v>693</v>
      </c>
      <c r="E753">
        <v>1</v>
      </c>
      <c r="F753">
        <v>6.7</v>
      </c>
      <c r="G753" t="s">
        <v>30</v>
      </c>
      <c r="H753" t="s">
        <v>99</v>
      </c>
      <c r="I753" t="str">
        <f t="shared" si="13"/>
        <v>693_1</v>
      </c>
      <c r="J753" t="s">
        <v>178</v>
      </c>
      <c r="K753" t="s">
        <v>179</v>
      </c>
      <c r="L753" t="str">
        <f>_xlfn.XLOOKUP(C753, Table2[Species],Table2[Genus], "Code Not Found")</f>
        <v>Acer</v>
      </c>
      <c r="M753" t="str">
        <f>_xlfn.XLOOKUP(C753, Table2[Species],Table2[Sp. Name], "Code Not Found")</f>
        <v>saccharum</v>
      </c>
      <c r="N753" t="str">
        <f>_xlfn.XLOOKUP(C753,Table2[Species],Table2[Family],"Code Not Found")</f>
        <v>Sapindaceae</v>
      </c>
      <c r="O753" t="str" cm="1">
        <f t="array" ref="O753">_xlfn.IFS(F753="","",F753&lt;=5,"0 to 5",F753&lt;=10,"5.1 to 10",F753&lt;=20,"10 to 20", F753&lt;= 40, "20 to 40", F753 &lt;= 50, "40 to 50", F753 &gt; 50, "&gt;50" )</f>
        <v>5.1 to 10</v>
      </c>
    </row>
    <row r="754" spans="1:15" ht="14.4" x14ac:dyDescent="0.3">
      <c r="A754" t="s">
        <v>177</v>
      </c>
      <c r="B754" s="1">
        <v>46178</v>
      </c>
      <c r="C754" t="s">
        <v>16</v>
      </c>
      <c r="D754">
        <v>694</v>
      </c>
      <c r="E754">
        <v>1</v>
      </c>
      <c r="F754">
        <v>6.2</v>
      </c>
      <c r="G754" t="s">
        <v>21</v>
      </c>
      <c r="I754" t="str">
        <f t="shared" si="13"/>
        <v>694_1</v>
      </c>
      <c r="J754" t="s">
        <v>178</v>
      </c>
      <c r="K754" t="s">
        <v>179</v>
      </c>
      <c r="L754" t="str">
        <f>_xlfn.XLOOKUP(C754, Table2[Species],Table2[Genus], "Code Not Found")</f>
        <v>Acer</v>
      </c>
      <c r="M754" t="str">
        <f>_xlfn.XLOOKUP(C754, Table2[Species],Table2[Sp. Name], "Code Not Found")</f>
        <v>saccharum</v>
      </c>
      <c r="N754" t="str">
        <f>_xlfn.XLOOKUP(C754,Table2[Species],Table2[Family],"Code Not Found")</f>
        <v>Sapindaceae</v>
      </c>
      <c r="O754" t="str" cm="1">
        <f t="array" ref="O754">_xlfn.IFS(F754="","",F754&lt;=5,"0 to 5",F754&lt;=10,"5.1 to 10",F754&lt;=20,"10 to 20", F754&lt;= 40, "20 to 40", F754 &lt;= 50, "40 to 50", F754 &gt; 50, "&gt;50" )</f>
        <v>5.1 to 10</v>
      </c>
    </row>
    <row r="755" spans="1:15" ht="14.4" x14ac:dyDescent="0.3">
      <c r="A755" t="s">
        <v>177</v>
      </c>
      <c r="B755" s="1">
        <v>46178</v>
      </c>
      <c r="C755" t="s">
        <v>16</v>
      </c>
      <c r="D755">
        <v>695</v>
      </c>
      <c r="E755">
        <v>1</v>
      </c>
      <c r="F755">
        <v>1.1000000000000001</v>
      </c>
      <c r="G755" t="s">
        <v>88</v>
      </c>
      <c r="H755" t="s">
        <v>99</v>
      </c>
      <c r="I755" t="str">
        <f t="shared" si="13"/>
        <v>695_1</v>
      </c>
      <c r="J755" t="s">
        <v>178</v>
      </c>
      <c r="K755" t="s">
        <v>179</v>
      </c>
      <c r="L755" t="str">
        <f>_xlfn.XLOOKUP(C755, Table2[Species],Table2[Genus], "Code Not Found")</f>
        <v>Acer</v>
      </c>
      <c r="M755" t="str">
        <f>_xlfn.XLOOKUP(C755, Table2[Species],Table2[Sp. Name], "Code Not Found")</f>
        <v>saccharum</v>
      </c>
      <c r="N755" t="str">
        <f>_xlfn.XLOOKUP(C755,Table2[Species],Table2[Family],"Code Not Found")</f>
        <v>Sapindaceae</v>
      </c>
      <c r="O755" t="str" cm="1">
        <f t="array" ref="O755">_xlfn.IFS(F755="","",F755&lt;=5,"0 to 5",F755&lt;=10,"5.1 to 10",F755&lt;=20,"10 to 20", F755&lt;= 40, "20 to 40", F755 &lt;= 50, "40 to 50", F755 &gt; 50, "&gt;50" )</f>
        <v>0 to 5</v>
      </c>
    </row>
    <row r="756" spans="1:15" ht="14.4" x14ac:dyDescent="0.3">
      <c r="A756" t="s">
        <v>177</v>
      </c>
      <c r="B756" s="1">
        <v>46178</v>
      </c>
      <c r="C756" t="s">
        <v>16</v>
      </c>
      <c r="D756">
        <v>696</v>
      </c>
      <c r="E756">
        <v>1</v>
      </c>
      <c r="F756">
        <v>9</v>
      </c>
      <c r="G756" t="s">
        <v>17</v>
      </c>
      <c r="H756" t="s">
        <v>36</v>
      </c>
      <c r="I756" t="str">
        <f t="shared" si="13"/>
        <v>696_1</v>
      </c>
      <c r="J756" t="s">
        <v>178</v>
      </c>
      <c r="K756" t="s">
        <v>179</v>
      </c>
      <c r="L756" t="str">
        <f>_xlfn.XLOOKUP(C756, Table2[Species],Table2[Genus], "Code Not Found")</f>
        <v>Acer</v>
      </c>
      <c r="M756" t="str">
        <f>_xlfn.XLOOKUP(C756, Table2[Species],Table2[Sp. Name], "Code Not Found")</f>
        <v>saccharum</v>
      </c>
      <c r="N756" t="str">
        <f>_xlfn.XLOOKUP(C756,Table2[Species],Table2[Family],"Code Not Found")</f>
        <v>Sapindaceae</v>
      </c>
      <c r="O756" t="str" cm="1">
        <f t="array" ref="O756">_xlfn.IFS(F756="","",F756&lt;=5,"0 to 5",F756&lt;=10,"5.1 to 10",F756&lt;=20,"10 to 20", F756&lt;= 40, "20 to 40", F756 &lt;= 50, "40 to 50", F756 &gt; 50, "&gt;50" )</f>
        <v>5.1 to 10</v>
      </c>
    </row>
    <row r="757" spans="1:15" ht="14.4" x14ac:dyDescent="0.3">
      <c r="A757" t="s">
        <v>177</v>
      </c>
      <c r="B757" s="1">
        <v>46178</v>
      </c>
      <c r="C757" t="s">
        <v>16</v>
      </c>
      <c r="D757">
        <v>697</v>
      </c>
      <c r="E757">
        <v>1</v>
      </c>
      <c r="F757">
        <v>2.8</v>
      </c>
      <c r="G757" t="s">
        <v>30</v>
      </c>
      <c r="H757" t="s">
        <v>99</v>
      </c>
      <c r="I757" t="str">
        <f t="shared" si="13"/>
        <v>697_1</v>
      </c>
      <c r="J757" t="s">
        <v>178</v>
      </c>
      <c r="K757" t="s">
        <v>179</v>
      </c>
      <c r="L757" t="str">
        <f>_xlfn.XLOOKUP(C757, Table2[Species],Table2[Genus], "Code Not Found")</f>
        <v>Acer</v>
      </c>
      <c r="M757" t="str">
        <f>_xlfn.XLOOKUP(C757, Table2[Species],Table2[Sp. Name], "Code Not Found")</f>
        <v>saccharum</v>
      </c>
      <c r="N757" t="str">
        <f>_xlfn.XLOOKUP(C757,Table2[Species],Table2[Family],"Code Not Found")</f>
        <v>Sapindaceae</v>
      </c>
      <c r="O757" t="str" cm="1">
        <f t="array" ref="O757">_xlfn.IFS(F757="","",F757&lt;=5,"0 to 5",F757&lt;=10,"5.1 to 10",F757&lt;=20,"10 to 20", F757&lt;= 40, "20 to 40", F757 &lt;= 50, "40 to 50", F757 &gt; 50, "&gt;50" )</f>
        <v>0 to 5</v>
      </c>
    </row>
    <row r="758" spans="1:15" ht="14.4" x14ac:dyDescent="0.3">
      <c r="A758" t="s">
        <v>177</v>
      </c>
      <c r="B758" s="1">
        <v>46178</v>
      </c>
      <c r="C758" t="s">
        <v>16</v>
      </c>
      <c r="D758">
        <v>698</v>
      </c>
      <c r="E758">
        <v>1</v>
      </c>
      <c r="F758">
        <v>6.3</v>
      </c>
      <c r="G758" t="s">
        <v>47</v>
      </c>
      <c r="H758" t="s">
        <v>43</v>
      </c>
      <c r="I758" t="str">
        <f t="shared" si="13"/>
        <v>698_1</v>
      </c>
      <c r="J758" t="s">
        <v>178</v>
      </c>
      <c r="K758" t="s">
        <v>179</v>
      </c>
      <c r="L758" t="str">
        <f>_xlfn.XLOOKUP(C758, Table2[Species],Table2[Genus], "Code Not Found")</f>
        <v>Acer</v>
      </c>
      <c r="M758" t="str">
        <f>_xlfn.XLOOKUP(C758, Table2[Species],Table2[Sp. Name], "Code Not Found")</f>
        <v>saccharum</v>
      </c>
      <c r="N758" t="str">
        <f>_xlfn.XLOOKUP(C758,Table2[Species],Table2[Family],"Code Not Found")</f>
        <v>Sapindaceae</v>
      </c>
      <c r="O758" t="str" cm="1">
        <f t="array" ref="O758">_xlfn.IFS(F758="","",F758&lt;=5,"0 to 5",F758&lt;=10,"5.1 to 10",F758&lt;=20,"10 to 20", F758&lt;= 40, "20 to 40", F758 &lt;= 50, "40 to 50", F758 &gt; 50, "&gt;50" )</f>
        <v>5.1 to 10</v>
      </c>
    </row>
    <row r="759" spans="1:15" ht="14.4" x14ac:dyDescent="0.3">
      <c r="A759" t="s">
        <v>177</v>
      </c>
      <c r="B759" s="1">
        <v>46178</v>
      </c>
      <c r="C759" t="s">
        <v>16</v>
      </c>
      <c r="D759">
        <v>699</v>
      </c>
      <c r="E759">
        <v>1</v>
      </c>
      <c r="F759">
        <v>3.7</v>
      </c>
      <c r="G759" t="s">
        <v>30</v>
      </c>
      <c r="H759" t="s">
        <v>207</v>
      </c>
      <c r="I759" t="str">
        <f t="shared" si="13"/>
        <v>699_1</v>
      </c>
      <c r="J759" t="s">
        <v>178</v>
      </c>
      <c r="K759" t="s">
        <v>179</v>
      </c>
      <c r="L759" t="str">
        <f>_xlfn.XLOOKUP(C759, Table2[Species],Table2[Genus], "Code Not Found")</f>
        <v>Acer</v>
      </c>
      <c r="M759" t="str">
        <f>_xlfn.XLOOKUP(C759, Table2[Species],Table2[Sp. Name], "Code Not Found")</f>
        <v>saccharum</v>
      </c>
      <c r="N759" t="str">
        <f>_xlfn.XLOOKUP(C759,Table2[Species],Table2[Family],"Code Not Found")</f>
        <v>Sapindaceae</v>
      </c>
      <c r="O759" t="str" cm="1">
        <f t="array" ref="O759">_xlfn.IFS(F759="","",F759&lt;=5,"0 to 5",F759&lt;=10,"5.1 to 10",F759&lt;=20,"10 to 20", F759&lt;= 40, "20 to 40", F759 &lt;= 50, "40 to 50", F759 &gt; 50, "&gt;50" )</f>
        <v>0 to 5</v>
      </c>
    </row>
    <row r="760" spans="1:15" ht="14.4" x14ac:dyDescent="0.3">
      <c r="A760" t="s">
        <v>177</v>
      </c>
      <c r="B760" s="1">
        <v>46178</v>
      </c>
      <c r="C760" t="s">
        <v>16</v>
      </c>
      <c r="D760">
        <v>700</v>
      </c>
      <c r="E760">
        <v>1</v>
      </c>
      <c r="F760">
        <v>25.3</v>
      </c>
      <c r="G760" t="s">
        <v>17</v>
      </c>
      <c r="H760" t="s">
        <v>36</v>
      </c>
      <c r="I760" t="str">
        <f t="shared" si="13"/>
        <v>700_1</v>
      </c>
      <c r="J760" t="s">
        <v>178</v>
      </c>
      <c r="K760" t="s">
        <v>179</v>
      </c>
      <c r="L760" t="str">
        <f>_xlfn.XLOOKUP(C760, Table2[Species],Table2[Genus], "Code Not Found")</f>
        <v>Acer</v>
      </c>
      <c r="M760" t="str">
        <f>_xlfn.XLOOKUP(C760, Table2[Species],Table2[Sp. Name], "Code Not Found")</f>
        <v>saccharum</v>
      </c>
      <c r="N760" t="str">
        <f>_xlfn.XLOOKUP(C760,Table2[Species],Table2[Family],"Code Not Found")</f>
        <v>Sapindaceae</v>
      </c>
      <c r="O760" t="str" cm="1">
        <f t="array" ref="O760">_xlfn.IFS(F760="","",F760&lt;=5,"0 to 5",F760&lt;=10,"5.1 to 10",F760&lt;=20,"10 to 20", F760&lt;= 40, "20 to 40", F760 &lt;= 50, "40 to 50", F760 &gt; 50, "&gt;50" )</f>
        <v>20 to 40</v>
      </c>
    </row>
    <row r="761" spans="1:15" ht="14.4" x14ac:dyDescent="0.3">
      <c r="A761" t="s">
        <v>177</v>
      </c>
      <c r="B761" s="1">
        <v>46178</v>
      </c>
      <c r="C761" t="s">
        <v>16</v>
      </c>
      <c r="D761">
        <v>701</v>
      </c>
      <c r="E761">
        <v>1</v>
      </c>
      <c r="F761">
        <v>5.0999999999999996</v>
      </c>
      <c r="G761" t="s">
        <v>30</v>
      </c>
      <c r="H761" t="s">
        <v>208</v>
      </c>
      <c r="I761" t="str">
        <f t="shared" si="13"/>
        <v>701_1</v>
      </c>
      <c r="J761" t="s">
        <v>178</v>
      </c>
      <c r="K761" t="s">
        <v>179</v>
      </c>
      <c r="L761" t="str">
        <f>_xlfn.XLOOKUP(C761, Table2[Species],Table2[Genus], "Code Not Found")</f>
        <v>Acer</v>
      </c>
      <c r="M761" t="str">
        <f>_xlfn.XLOOKUP(C761, Table2[Species],Table2[Sp. Name], "Code Not Found")</f>
        <v>saccharum</v>
      </c>
      <c r="N761" t="str">
        <f>_xlfn.XLOOKUP(C761,Table2[Species],Table2[Family],"Code Not Found")</f>
        <v>Sapindaceae</v>
      </c>
      <c r="O761" t="str" cm="1">
        <f t="array" ref="O761">_xlfn.IFS(F761="","",F761&lt;=5,"0 to 5",F761&lt;=10,"5.1 to 10",F761&lt;=20,"10 to 20", F761&lt;= 40, "20 to 40", F761 &lt;= 50, "40 to 50", F761 &gt; 50, "&gt;50" )</f>
        <v>5.1 to 10</v>
      </c>
    </row>
    <row r="762" spans="1:15" ht="14.4" x14ac:dyDescent="0.3">
      <c r="A762" t="s">
        <v>177</v>
      </c>
      <c r="B762" s="1">
        <v>46178</v>
      </c>
      <c r="C762" t="s">
        <v>16</v>
      </c>
      <c r="D762">
        <v>702</v>
      </c>
      <c r="E762">
        <v>1</v>
      </c>
      <c r="F762">
        <v>3.3</v>
      </c>
      <c r="G762" t="s">
        <v>30</v>
      </c>
      <c r="H762" t="s">
        <v>99</v>
      </c>
      <c r="I762" t="str">
        <f t="shared" si="13"/>
        <v>702_1</v>
      </c>
      <c r="J762" t="s">
        <v>178</v>
      </c>
      <c r="K762" t="s">
        <v>179</v>
      </c>
      <c r="L762" t="str">
        <f>_xlfn.XLOOKUP(C762, Table2[Species],Table2[Genus], "Code Not Found")</f>
        <v>Acer</v>
      </c>
      <c r="M762" t="str">
        <f>_xlfn.XLOOKUP(C762, Table2[Species],Table2[Sp. Name], "Code Not Found")</f>
        <v>saccharum</v>
      </c>
      <c r="N762" t="str">
        <f>_xlfn.XLOOKUP(C762,Table2[Species],Table2[Family],"Code Not Found")</f>
        <v>Sapindaceae</v>
      </c>
      <c r="O762" t="str" cm="1">
        <f t="array" ref="O762">_xlfn.IFS(F762="","",F762&lt;=5,"0 to 5",F762&lt;=10,"5.1 to 10",F762&lt;=20,"10 to 20", F762&lt;= 40, "20 to 40", F762 &lt;= 50, "40 to 50", F762 &gt; 50, "&gt;50" )</f>
        <v>0 to 5</v>
      </c>
    </row>
    <row r="763" spans="1:15" s="3" customFormat="1" ht="14.4" x14ac:dyDescent="0.3">
      <c r="A763" s="3" t="s">
        <v>177</v>
      </c>
      <c r="B763" s="9">
        <v>46178</v>
      </c>
      <c r="C763" s="3" t="s">
        <v>209</v>
      </c>
      <c r="D763" s="3">
        <v>703</v>
      </c>
      <c r="E763" s="3">
        <v>1</v>
      </c>
      <c r="F763" s="3">
        <v>0</v>
      </c>
      <c r="G763" s="3" t="s">
        <v>21</v>
      </c>
      <c r="H763" s="3" t="s">
        <v>210</v>
      </c>
      <c r="I763" s="3" t="str">
        <f t="shared" si="13"/>
        <v>703_1</v>
      </c>
      <c r="J763" s="3" t="s">
        <v>178</v>
      </c>
      <c r="K763" t="s">
        <v>179</v>
      </c>
      <c r="L763" t="str">
        <f>_xlfn.XLOOKUP(C763, Table2[Species],Table2[Genus], "Code Not Found")</f>
        <v>Unknown</v>
      </c>
      <c r="M763" s="3" t="str">
        <f>_xlfn.XLOOKUP(C763, Table2[Species],Table2[Sp. Name], "Code Not Found")</f>
        <v>species</v>
      </c>
      <c r="N763" t="str">
        <f>_xlfn.XLOOKUP(C763,Table2[Species],Table2[Family],"Code Not Found")</f>
        <v>Unknown</v>
      </c>
      <c r="O763" t="str" cm="1">
        <f t="array" ref="O763">_xlfn.IFS(F763="","",F763&lt;=5,"0 to 5",F763&lt;=10,"5.1 to 10",F763&lt;=20,"10 to 20", F763&lt;= 40, "20 to 40", F763 &lt;= 50, "40 to 50", F763 &gt; 50, "&gt;50" )</f>
        <v>0 to 5</v>
      </c>
    </row>
    <row r="764" spans="1:15" ht="14.4" x14ac:dyDescent="0.3">
      <c r="A764" t="s">
        <v>177</v>
      </c>
      <c r="B764" s="1">
        <v>46178</v>
      </c>
      <c r="C764" t="s">
        <v>16</v>
      </c>
      <c r="D764">
        <v>704</v>
      </c>
      <c r="E764">
        <v>1</v>
      </c>
      <c r="F764">
        <v>5.8</v>
      </c>
      <c r="G764" t="s">
        <v>21</v>
      </c>
      <c r="I764" t="str">
        <f t="shared" si="13"/>
        <v>704_1</v>
      </c>
      <c r="J764" t="s">
        <v>178</v>
      </c>
      <c r="K764" t="s">
        <v>179</v>
      </c>
      <c r="L764" t="str">
        <f>_xlfn.XLOOKUP(C764, Table2[Species],Table2[Genus], "Code Not Found")</f>
        <v>Acer</v>
      </c>
      <c r="M764" t="str">
        <f>_xlfn.XLOOKUP(C764, Table2[Species],Table2[Sp. Name], "Code Not Found")</f>
        <v>saccharum</v>
      </c>
      <c r="N764" t="str">
        <f>_xlfn.XLOOKUP(C764,Table2[Species],Table2[Family],"Code Not Found")</f>
        <v>Sapindaceae</v>
      </c>
      <c r="O764" t="str" cm="1">
        <f t="array" ref="O764">_xlfn.IFS(F764="","",F764&lt;=5,"0 to 5",F764&lt;=10,"5.1 to 10",F764&lt;=20,"10 to 20", F764&lt;= 40, "20 to 40", F764 &lt;= 50, "40 to 50", F764 &gt; 50, "&gt;50" )</f>
        <v>5.1 to 10</v>
      </c>
    </row>
    <row r="765" spans="1:15" ht="14.4" x14ac:dyDescent="0.3">
      <c r="A765" t="s">
        <v>177</v>
      </c>
      <c r="B765" s="1">
        <v>46178</v>
      </c>
      <c r="C765" t="s">
        <v>16</v>
      </c>
      <c r="D765">
        <v>705</v>
      </c>
      <c r="E765">
        <v>1</v>
      </c>
      <c r="F765">
        <v>6.7</v>
      </c>
      <c r="G765" t="s">
        <v>94</v>
      </c>
      <c r="H765" t="s">
        <v>99</v>
      </c>
      <c r="I765" t="str">
        <f t="shared" si="13"/>
        <v>705_1</v>
      </c>
      <c r="J765" t="s">
        <v>178</v>
      </c>
      <c r="K765" t="s">
        <v>179</v>
      </c>
      <c r="L765" t="str">
        <f>_xlfn.XLOOKUP(C765, Table2[Species],Table2[Genus], "Code Not Found")</f>
        <v>Acer</v>
      </c>
      <c r="M765" t="str">
        <f>_xlfn.XLOOKUP(C765, Table2[Species],Table2[Sp. Name], "Code Not Found")</f>
        <v>saccharum</v>
      </c>
      <c r="N765" t="str">
        <f>_xlfn.XLOOKUP(C765,Table2[Species],Table2[Family],"Code Not Found")</f>
        <v>Sapindaceae</v>
      </c>
      <c r="O765" t="str" cm="1">
        <f t="array" ref="O765">_xlfn.IFS(F765="","",F765&lt;=5,"0 to 5",F765&lt;=10,"5.1 to 10",F765&lt;=20,"10 to 20", F765&lt;= 40, "20 to 40", F765 &lt;= 50, "40 to 50", F765 &gt; 50, "&gt;50" )</f>
        <v>5.1 to 10</v>
      </c>
    </row>
    <row r="766" spans="1:15" ht="14.4" x14ac:dyDescent="0.3">
      <c r="A766" t="s">
        <v>177</v>
      </c>
      <c r="B766" s="1">
        <v>46178</v>
      </c>
      <c r="C766" t="s">
        <v>16</v>
      </c>
      <c r="D766">
        <v>706</v>
      </c>
      <c r="E766">
        <v>1</v>
      </c>
      <c r="F766">
        <v>11.8</v>
      </c>
      <c r="G766" t="s">
        <v>21</v>
      </c>
      <c r="I766" t="str">
        <f t="shared" si="13"/>
        <v>706_1</v>
      </c>
      <c r="J766" t="s">
        <v>178</v>
      </c>
      <c r="K766" t="s">
        <v>179</v>
      </c>
      <c r="L766" t="str">
        <f>_xlfn.XLOOKUP(C766, Table2[Species],Table2[Genus], "Code Not Found")</f>
        <v>Acer</v>
      </c>
      <c r="M766" t="str">
        <f>_xlfn.XLOOKUP(C766, Table2[Species],Table2[Sp. Name], "Code Not Found")</f>
        <v>saccharum</v>
      </c>
      <c r="N766" t="str">
        <f>_xlfn.XLOOKUP(C766,Table2[Species],Table2[Family],"Code Not Found")</f>
        <v>Sapindaceae</v>
      </c>
      <c r="O766" t="str" cm="1">
        <f t="array" ref="O766">_xlfn.IFS(F766="","",F766&lt;=5,"0 to 5",F766&lt;=10,"5.1 to 10",F766&lt;=20,"10 to 20", F766&lt;= 40, "20 to 40", F766 &lt;= 50, "40 to 50", F766 &gt; 50, "&gt;50" )</f>
        <v>10 to 20</v>
      </c>
    </row>
    <row r="767" spans="1:15" ht="14.4" x14ac:dyDescent="0.3">
      <c r="A767" t="s">
        <v>177</v>
      </c>
      <c r="B767" s="1">
        <v>46178</v>
      </c>
      <c r="C767" t="s">
        <v>16</v>
      </c>
      <c r="D767">
        <v>707</v>
      </c>
      <c r="E767">
        <v>1</v>
      </c>
      <c r="F767">
        <v>5.3</v>
      </c>
      <c r="G767" t="s">
        <v>17</v>
      </c>
      <c r="I767" t="str">
        <f t="shared" si="13"/>
        <v>707_1</v>
      </c>
      <c r="J767" t="s">
        <v>178</v>
      </c>
      <c r="K767" t="s">
        <v>179</v>
      </c>
      <c r="L767" t="str">
        <f>_xlfn.XLOOKUP(C767, Table2[Species],Table2[Genus], "Code Not Found")</f>
        <v>Acer</v>
      </c>
      <c r="M767" t="str">
        <f>_xlfn.XLOOKUP(C767, Table2[Species],Table2[Sp. Name], "Code Not Found")</f>
        <v>saccharum</v>
      </c>
      <c r="N767" t="str">
        <f>_xlfn.XLOOKUP(C767,Table2[Species],Table2[Family],"Code Not Found")</f>
        <v>Sapindaceae</v>
      </c>
      <c r="O767" t="str" cm="1">
        <f t="array" ref="O767">_xlfn.IFS(F767="","",F767&lt;=5,"0 to 5",F767&lt;=10,"5.1 to 10",F767&lt;=20,"10 to 20", F767&lt;= 40, "20 to 40", F767 &lt;= 50, "40 to 50", F767 &gt; 50, "&gt;50" )</f>
        <v>5.1 to 10</v>
      </c>
    </row>
    <row r="768" spans="1:15" ht="14.4" x14ac:dyDescent="0.3">
      <c r="A768" t="s">
        <v>177</v>
      </c>
      <c r="B768" s="1">
        <v>46178</v>
      </c>
      <c r="C768" t="s">
        <v>16</v>
      </c>
      <c r="D768">
        <v>708</v>
      </c>
      <c r="E768">
        <v>1</v>
      </c>
      <c r="F768">
        <v>4.3</v>
      </c>
      <c r="G768" t="s">
        <v>17</v>
      </c>
      <c r="I768" t="str">
        <f t="shared" si="13"/>
        <v>708_1</v>
      </c>
      <c r="J768" t="s">
        <v>178</v>
      </c>
      <c r="K768" t="s">
        <v>179</v>
      </c>
      <c r="L768" t="str">
        <f>_xlfn.XLOOKUP(C768, Table2[Species],Table2[Genus], "Code Not Found")</f>
        <v>Acer</v>
      </c>
      <c r="M768" t="str">
        <f>_xlfn.XLOOKUP(C768, Table2[Species],Table2[Sp. Name], "Code Not Found")</f>
        <v>saccharum</v>
      </c>
      <c r="N768" t="str">
        <f>_xlfn.XLOOKUP(C768,Table2[Species],Table2[Family],"Code Not Found")</f>
        <v>Sapindaceae</v>
      </c>
      <c r="O768" t="str" cm="1">
        <f t="array" ref="O768">_xlfn.IFS(F768="","",F768&lt;=5,"0 to 5",F768&lt;=10,"5.1 to 10",F768&lt;=20,"10 to 20", F768&lt;= 40, "20 to 40", F768 &lt;= 50, "40 to 50", F768 &gt; 50, "&gt;50" )</f>
        <v>0 to 5</v>
      </c>
    </row>
    <row r="769" spans="1:15" ht="14.4" x14ac:dyDescent="0.3">
      <c r="A769" t="s">
        <v>177</v>
      </c>
      <c r="B769" s="1">
        <v>46178</v>
      </c>
      <c r="C769" t="s">
        <v>16</v>
      </c>
      <c r="D769">
        <v>709</v>
      </c>
      <c r="E769">
        <v>1</v>
      </c>
      <c r="F769">
        <v>5.9</v>
      </c>
      <c r="G769" t="s">
        <v>17</v>
      </c>
      <c r="I769" t="str">
        <f t="shared" si="13"/>
        <v>709_1</v>
      </c>
      <c r="J769" t="s">
        <v>178</v>
      </c>
      <c r="K769" t="s">
        <v>179</v>
      </c>
      <c r="L769" t="str">
        <f>_xlfn.XLOOKUP(C769, Table2[Species],Table2[Genus], "Code Not Found")</f>
        <v>Acer</v>
      </c>
      <c r="M769" t="str">
        <f>_xlfn.XLOOKUP(C769, Table2[Species],Table2[Sp. Name], "Code Not Found")</f>
        <v>saccharum</v>
      </c>
      <c r="N769" t="str">
        <f>_xlfn.XLOOKUP(C769,Table2[Species],Table2[Family],"Code Not Found")</f>
        <v>Sapindaceae</v>
      </c>
      <c r="O769" t="str" cm="1">
        <f t="array" ref="O769">_xlfn.IFS(F769="","",F769&lt;=5,"0 to 5",F769&lt;=10,"5.1 to 10",F769&lt;=20,"10 to 20", F769&lt;= 40, "20 to 40", F769 &lt;= 50, "40 to 50", F769 &gt; 50, "&gt;50" )</f>
        <v>5.1 to 10</v>
      </c>
    </row>
    <row r="770" spans="1:15" ht="14.4" x14ac:dyDescent="0.3">
      <c r="A770" t="s">
        <v>177</v>
      </c>
      <c r="B770" s="1">
        <v>46178</v>
      </c>
      <c r="C770" t="s">
        <v>16</v>
      </c>
      <c r="D770">
        <v>710</v>
      </c>
      <c r="E770">
        <v>1</v>
      </c>
      <c r="F770">
        <v>8.1999999999999993</v>
      </c>
      <c r="G770" t="s">
        <v>71</v>
      </c>
      <c r="H770" t="s">
        <v>43</v>
      </c>
      <c r="I770" t="str">
        <f t="shared" si="13"/>
        <v>710_1</v>
      </c>
      <c r="J770" t="s">
        <v>178</v>
      </c>
      <c r="K770" t="s">
        <v>179</v>
      </c>
      <c r="L770" t="str">
        <f>_xlfn.XLOOKUP(C770, Table2[Species],Table2[Genus], "Code Not Found")</f>
        <v>Acer</v>
      </c>
      <c r="M770" t="str">
        <f>_xlfn.XLOOKUP(C770, Table2[Species],Table2[Sp. Name], "Code Not Found")</f>
        <v>saccharum</v>
      </c>
      <c r="N770" t="str">
        <f>_xlfn.XLOOKUP(C770,Table2[Species],Table2[Family],"Code Not Found")</f>
        <v>Sapindaceae</v>
      </c>
      <c r="O770" t="str" cm="1">
        <f t="array" ref="O770">_xlfn.IFS(F770="","",F770&lt;=5,"0 to 5",F770&lt;=10,"5.1 to 10",F770&lt;=20,"10 to 20", F770&lt;= 40, "20 to 40", F770 &lt;= 50, "40 to 50", F770 &gt; 50, "&gt;50" )</f>
        <v>5.1 to 10</v>
      </c>
    </row>
    <row r="771" spans="1:15" ht="14.4" x14ac:dyDescent="0.3">
      <c r="A771" t="s">
        <v>177</v>
      </c>
      <c r="B771" s="1">
        <v>46178</v>
      </c>
      <c r="C771" t="s">
        <v>16</v>
      </c>
      <c r="D771">
        <v>711</v>
      </c>
      <c r="E771">
        <v>1</v>
      </c>
      <c r="F771">
        <v>3.1</v>
      </c>
      <c r="G771" t="s">
        <v>88</v>
      </c>
      <c r="H771" t="s">
        <v>99</v>
      </c>
      <c r="I771" t="str">
        <f t="shared" si="13"/>
        <v>711_1</v>
      </c>
      <c r="J771" t="s">
        <v>178</v>
      </c>
      <c r="K771" t="s">
        <v>179</v>
      </c>
      <c r="L771" t="str">
        <f>_xlfn.XLOOKUP(C771, Table2[Species],Table2[Genus], "Code Not Found")</f>
        <v>Acer</v>
      </c>
      <c r="M771" t="str">
        <f>_xlfn.XLOOKUP(C771, Table2[Species],Table2[Sp. Name], "Code Not Found")</f>
        <v>saccharum</v>
      </c>
      <c r="N771" t="str">
        <f>_xlfn.XLOOKUP(C771,Table2[Species],Table2[Family],"Code Not Found")</f>
        <v>Sapindaceae</v>
      </c>
      <c r="O771" t="str" cm="1">
        <f t="array" ref="O771">_xlfn.IFS(F771="","",F771&lt;=5,"0 to 5",F771&lt;=10,"5.1 to 10",F771&lt;=20,"10 to 20", F771&lt;= 40, "20 to 40", F771 &lt;= 50, "40 to 50", F771 &gt; 50, "&gt;50" )</f>
        <v>0 to 5</v>
      </c>
    </row>
    <row r="772" spans="1:15" ht="14.4" x14ac:dyDescent="0.3">
      <c r="A772" t="s">
        <v>177</v>
      </c>
      <c r="B772" s="1">
        <v>46178</v>
      </c>
      <c r="C772" t="s">
        <v>16</v>
      </c>
      <c r="D772">
        <v>712</v>
      </c>
      <c r="E772">
        <v>1</v>
      </c>
      <c r="F772">
        <v>3.5</v>
      </c>
      <c r="G772" t="s">
        <v>211</v>
      </c>
      <c r="H772" t="s">
        <v>43</v>
      </c>
      <c r="I772" t="str">
        <f t="shared" si="13"/>
        <v>712_1</v>
      </c>
      <c r="J772" t="s">
        <v>178</v>
      </c>
      <c r="K772" t="s">
        <v>179</v>
      </c>
      <c r="L772" t="str">
        <f>_xlfn.XLOOKUP(C772, Table2[Species],Table2[Genus], "Code Not Found")</f>
        <v>Acer</v>
      </c>
      <c r="M772" t="str">
        <f>_xlfn.XLOOKUP(C772, Table2[Species],Table2[Sp. Name], "Code Not Found")</f>
        <v>saccharum</v>
      </c>
      <c r="N772" t="str">
        <f>_xlfn.XLOOKUP(C772,Table2[Species],Table2[Family],"Code Not Found")</f>
        <v>Sapindaceae</v>
      </c>
      <c r="O772" t="str" cm="1">
        <f t="array" ref="O772">_xlfn.IFS(F772="","",F772&lt;=5,"0 to 5",F772&lt;=10,"5.1 to 10",F772&lt;=20,"10 to 20", F772&lt;= 40, "20 to 40", F772 &lt;= 50, "40 to 50", F772 &gt; 50, "&gt;50" )</f>
        <v>0 to 5</v>
      </c>
    </row>
    <row r="773" spans="1:15" ht="14.4" x14ac:dyDescent="0.3">
      <c r="A773" t="s">
        <v>177</v>
      </c>
      <c r="B773" s="1">
        <v>46178</v>
      </c>
      <c r="C773" t="s">
        <v>16</v>
      </c>
      <c r="D773">
        <v>713</v>
      </c>
      <c r="E773">
        <v>1</v>
      </c>
      <c r="F773">
        <v>3.2</v>
      </c>
      <c r="G773" t="s">
        <v>139</v>
      </c>
      <c r="H773" t="s">
        <v>143</v>
      </c>
      <c r="I773" t="str">
        <f t="shared" si="13"/>
        <v>713_1</v>
      </c>
      <c r="J773" t="s">
        <v>178</v>
      </c>
      <c r="K773" t="s">
        <v>179</v>
      </c>
      <c r="L773" t="str">
        <f>_xlfn.XLOOKUP(C773, Table2[Species],Table2[Genus], "Code Not Found")</f>
        <v>Acer</v>
      </c>
      <c r="M773" t="str">
        <f>_xlfn.XLOOKUP(C773, Table2[Species],Table2[Sp. Name], "Code Not Found")</f>
        <v>saccharum</v>
      </c>
      <c r="N773" t="str">
        <f>_xlfn.XLOOKUP(C773,Table2[Species],Table2[Family],"Code Not Found")</f>
        <v>Sapindaceae</v>
      </c>
      <c r="O773" t="str" cm="1">
        <f t="array" ref="O773">_xlfn.IFS(F773="","",F773&lt;=5,"0 to 5",F773&lt;=10,"5.1 to 10",F773&lt;=20,"10 to 20", F773&lt;= 40, "20 to 40", F773 &lt;= 50, "40 to 50", F773 &gt; 50, "&gt;50" )</f>
        <v>0 to 5</v>
      </c>
    </row>
    <row r="774" spans="1:15" ht="14.4" x14ac:dyDescent="0.3">
      <c r="A774" t="s">
        <v>177</v>
      </c>
      <c r="B774" s="1">
        <v>46178</v>
      </c>
      <c r="C774" t="s">
        <v>20</v>
      </c>
      <c r="D774">
        <v>714</v>
      </c>
      <c r="E774">
        <v>1</v>
      </c>
      <c r="F774">
        <v>81.3</v>
      </c>
      <c r="G774" t="s">
        <v>17</v>
      </c>
      <c r="I774" t="str">
        <f t="shared" si="13"/>
        <v>714_1</v>
      </c>
      <c r="J774" t="s">
        <v>178</v>
      </c>
      <c r="K774" t="s">
        <v>179</v>
      </c>
      <c r="L774" t="str">
        <f>_xlfn.XLOOKUP(C774, Table2[Species],Table2[Genus], "Code Not Found")</f>
        <v>Prunus</v>
      </c>
      <c r="M774" t="str">
        <f>_xlfn.XLOOKUP(C774, Table2[Species],Table2[Sp. Name], "Code Not Found")</f>
        <v>serotina</v>
      </c>
      <c r="N774" t="str">
        <f>_xlfn.XLOOKUP(C774,Table2[Species],Table2[Family],"Code Not Found")</f>
        <v>Rosaceae</v>
      </c>
      <c r="O774" t="str" cm="1">
        <f t="array" ref="O774">_xlfn.IFS(F774="","",F774&lt;=5,"0 to 5",F774&lt;=10,"5.1 to 10",F774&lt;=20,"10 to 20", F774&lt;= 40, "20 to 40", F774 &lt;= 50, "40 to 50", F774 &gt; 50, "&gt;50" )</f>
        <v>&gt;50</v>
      </c>
    </row>
    <row r="775" spans="1:15" ht="14.4" x14ac:dyDescent="0.3">
      <c r="A775" t="s">
        <v>177</v>
      </c>
      <c r="B775" s="1">
        <v>46178</v>
      </c>
      <c r="C775" t="s">
        <v>16</v>
      </c>
      <c r="D775">
        <v>715</v>
      </c>
      <c r="E775">
        <v>1</v>
      </c>
      <c r="F775">
        <v>4.5999999999999996</v>
      </c>
      <c r="G775" t="s">
        <v>17</v>
      </c>
      <c r="I775" t="str">
        <f t="shared" si="13"/>
        <v>715_1</v>
      </c>
      <c r="J775" t="s">
        <v>178</v>
      </c>
      <c r="K775" t="s">
        <v>179</v>
      </c>
      <c r="L775" t="str">
        <f>_xlfn.XLOOKUP(C775, Table2[Species],Table2[Genus], "Code Not Found")</f>
        <v>Acer</v>
      </c>
      <c r="M775" t="str">
        <f>_xlfn.XLOOKUP(C775, Table2[Species],Table2[Sp. Name], "Code Not Found")</f>
        <v>saccharum</v>
      </c>
      <c r="N775" t="str">
        <f>_xlfn.XLOOKUP(C775,Table2[Species],Table2[Family],"Code Not Found")</f>
        <v>Sapindaceae</v>
      </c>
      <c r="O775" t="str" cm="1">
        <f t="array" ref="O775">_xlfn.IFS(F775="","",F775&lt;=5,"0 to 5",F775&lt;=10,"5.1 to 10",F775&lt;=20,"10 to 20", F775&lt;= 40, "20 to 40", F775 &lt;= 50, "40 to 50", F775 &gt; 50, "&gt;50" )</f>
        <v>0 to 5</v>
      </c>
    </row>
    <row r="776" spans="1:15" ht="14.4" x14ac:dyDescent="0.3">
      <c r="A776" t="s">
        <v>177</v>
      </c>
      <c r="B776" s="1">
        <v>46178</v>
      </c>
      <c r="C776" t="s">
        <v>16</v>
      </c>
      <c r="D776">
        <v>716</v>
      </c>
      <c r="E776">
        <v>1</v>
      </c>
      <c r="F776">
        <v>5</v>
      </c>
      <c r="G776" t="s">
        <v>17</v>
      </c>
      <c r="I776" t="str">
        <f t="shared" si="13"/>
        <v>716_1</v>
      </c>
      <c r="J776" t="s">
        <v>178</v>
      </c>
      <c r="K776" t="s">
        <v>179</v>
      </c>
      <c r="L776" t="str">
        <f>_xlfn.XLOOKUP(C776, Table2[Species],Table2[Genus], "Code Not Found")</f>
        <v>Acer</v>
      </c>
      <c r="M776" t="str">
        <f>_xlfn.XLOOKUP(C776, Table2[Species],Table2[Sp. Name], "Code Not Found")</f>
        <v>saccharum</v>
      </c>
      <c r="N776" t="str">
        <f>_xlfn.XLOOKUP(C776,Table2[Species],Table2[Family],"Code Not Found")</f>
        <v>Sapindaceae</v>
      </c>
      <c r="O776" t="str" cm="1">
        <f t="array" ref="O776">_xlfn.IFS(F776="","",F776&lt;=5,"0 to 5",F776&lt;=10,"5.1 to 10",F776&lt;=20,"10 to 20", F776&lt;= 40, "20 to 40", F776 &lt;= 50, "40 to 50", F776 &gt; 50, "&gt;50" )</f>
        <v>0 to 5</v>
      </c>
    </row>
    <row r="777" spans="1:15" ht="14.4" x14ac:dyDescent="0.3">
      <c r="A777" t="s">
        <v>177</v>
      </c>
      <c r="B777" s="1">
        <v>46178</v>
      </c>
      <c r="C777" t="s">
        <v>16</v>
      </c>
      <c r="D777">
        <v>717</v>
      </c>
      <c r="E777">
        <v>1</v>
      </c>
      <c r="F777">
        <v>6.3</v>
      </c>
      <c r="G777" t="s">
        <v>17</v>
      </c>
      <c r="I777" t="str">
        <f t="shared" si="13"/>
        <v>717_1</v>
      </c>
      <c r="J777" t="s">
        <v>178</v>
      </c>
      <c r="K777" t="s">
        <v>179</v>
      </c>
      <c r="L777" t="str">
        <f>_xlfn.XLOOKUP(C777, Table2[Species],Table2[Genus], "Code Not Found")</f>
        <v>Acer</v>
      </c>
      <c r="M777" t="str">
        <f>_xlfn.XLOOKUP(C777, Table2[Species],Table2[Sp. Name], "Code Not Found")</f>
        <v>saccharum</v>
      </c>
      <c r="N777" t="str">
        <f>_xlfn.XLOOKUP(C777,Table2[Species],Table2[Family],"Code Not Found")</f>
        <v>Sapindaceae</v>
      </c>
      <c r="O777" t="str" cm="1">
        <f t="array" ref="O777">_xlfn.IFS(F777="","",F777&lt;=5,"0 to 5",F777&lt;=10,"5.1 to 10",F777&lt;=20,"10 to 20", F777&lt;= 40, "20 to 40", F777 &lt;= 50, "40 to 50", F777 &gt; 50, "&gt;50" )</f>
        <v>5.1 to 10</v>
      </c>
    </row>
    <row r="778" spans="1:15" ht="14.4" x14ac:dyDescent="0.3">
      <c r="A778" t="s">
        <v>177</v>
      </c>
      <c r="B778" s="1">
        <v>46178</v>
      </c>
      <c r="C778" t="s">
        <v>20</v>
      </c>
      <c r="D778">
        <v>718</v>
      </c>
      <c r="E778">
        <v>1</v>
      </c>
      <c r="F778">
        <v>73.8</v>
      </c>
      <c r="G778" t="s">
        <v>21</v>
      </c>
      <c r="I778" t="str">
        <f t="shared" si="13"/>
        <v>718_1</v>
      </c>
      <c r="J778" t="s">
        <v>178</v>
      </c>
      <c r="K778" t="s">
        <v>179</v>
      </c>
      <c r="L778" t="str">
        <f>_xlfn.XLOOKUP(C778, Table2[Species],Table2[Genus], "Code Not Found")</f>
        <v>Prunus</v>
      </c>
      <c r="M778" t="str">
        <f>_xlfn.XLOOKUP(C778, Table2[Species],Table2[Sp. Name], "Code Not Found")</f>
        <v>serotina</v>
      </c>
      <c r="N778" t="str">
        <f>_xlfn.XLOOKUP(C778,Table2[Species],Table2[Family],"Code Not Found")</f>
        <v>Rosaceae</v>
      </c>
      <c r="O778" t="str" cm="1">
        <f t="array" ref="O778">_xlfn.IFS(F778="","",F778&lt;=5,"0 to 5",F778&lt;=10,"5.1 to 10",F778&lt;=20,"10 to 20", F778&lt;= 40, "20 to 40", F778 &lt;= 50, "40 to 50", F778 &gt; 50, "&gt;50" )</f>
        <v>&gt;50</v>
      </c>
    </row>
    <row r="779" spans="1:15" ht="14.4" x14ac:dyDescent="0.3">
      <c r="A779" t="s">
        <v>177</v>
      </c>
      <c r="B779" s="1">
        <v>46178</v>
      </c>
      <c r="C779" t="s">
        <v>16</v>
      </c>
      <c r="D779">
        <v>719</v>
      </c>
      <c r="E779">
        <v>1</v>
      </c>
      <c r="F779">
        <v>4.2</v>
      </c>
      <c r="G779" t="s">
        <v>17</v>
      </c>
      <c r="I779" t="str">
        <f t="shared" si="13"/>
        <v>719_1</v>
      </c>
      <c r="J779" t="s">
        <v>178</v>
      </c>
      <c r="K779" t="s">
        <v>179</v>
      </c>
      <c r="L779" t="str">
        <f>_xlfn.XLOOKUP(C779, Table2[Species],Table2[Genus], "Code Not Found")</f>
        <v>Acer</v>
      </c>
      <c r="M779" t="str">
        <f>_xlfn.XLOOKUP(C779, Table2[Species],Table2[Sp. Name], "Code Not Found")</f>
        <v>saccharum</v>
      </c>
      <c r="N779" t="str">
        <f>_xlfn.XLOOKUP(C779,Table2[Species],Table2[Family],"Code Not Found")</f>
        <v>Sapindaceae</v>
      </c>
      <c r="O779" t="str" cm="1">
        <f t="array" ref="O779">_xlfn.IFS(F779="","",F779&lt;=5,"0 to 5",F779&lt;=10,"5.1 to 10",F779&lt;=20,"10 to 20", F779&lt;= 40, "20 to 40", F779 &lt;= 50, "40 to 50", F779 &gt; 50, "&gt;50" )</f>
        <v>0 to 5</v>
      </c>
    </row>
    <row r="780" spans="1:15" ht="14.4" x14ac:dyDescent="0.3">
      <c r="A780" t="s">
        <v>177</v>
      </c>
      <c r="B780" s="1">
        <v>46178</v>
      </c>
      <c r="C780" t="s">
        <v>16</v>
      </c>
      <c r="D780">
        <v>720</v>
      </c>
      <c r="E780">
        <v>1</v>
      </c>
      <c r="F780">
        <v>7.4</v>
      </c>
      <c r="G780" t="s">
        <v>30</v>
      </c>
      <c r="H780" t="s">
        <v>100</v>
      </c>
      <c r="I780" t="str">
        <f t="shared" si="13"/>
        <v>720_1</v>
      </c>
      <c r="J780" t="s">
        <v>178</v>
      </c>
      <c r="K780" t="s">
        <v>179</v>
      </c>
      <c r="L780" t="str">
        <f>_xlfn.XLOOKUP(C780, Table2[Species],Table2[Genus], "Code Not Found")</f>
        <v>Acer</v>
      </c>
      <c r="M780" t="str">
        <f>_xlfn.XLOOKUP(C780, Table2[Species],Table2[Sp. Name], "Code Not Found")</f>
        <v>saccharum</v>
      </c>
      <c r="N780" t="str">
        <f>_xlfn.XLOOKUP(C780,Table2[Species],Table2[Family],"Code Not Found")</f>
        <v>Sapindaceae</v>
      </c>
      <c r="O780" t="str" cm="1">
        <f t="array" ref="O780">_xlfn.IFS(F780="","",F780&lt;=5,"0 to 5",F780&lt;=10,"5.1 to 10",F780&lt;=20,"10 to 20", F780&lt;= 40, "20 to 40", F780 &lt;= 50, "40 to 50", F780 &gt; 50, "&gt;50" )</f>
        <v>5.1 to 10</v>
      </c>
    </row>
    <row r="781" spans="1:15" ht="14.4" x14ac:dyDescent="0.3">
      <c r="A781" t="s">
        <v>177</v>
      </c>
      <c r="B781" s="1">
        <v>46178</v>
      </c>
      <c r="C781" t="s">
        <v>16</v>
      </c>
      <c r="D781">
        <v>721</v>
      </c>
      <c r="E781">
        <v>1</v>
      </c>
      <c r="F781">
        <v>6.2</v>
      </c>
      <c r="G781" t="s">
        <v>21</v>
      </c>
      <c r="I781" t="str">
        <f t="shared" si="13"/>
        <v>721_1</v>
      </c>
      <c r="J781" t="s">
        <v>178</v>
      </c>
      <c r="K781" t="s">
        <v>179</v>
      </c>
      <c r="L781" t="str">
        <f>_xlfn.XLOOKUP(C781, Table2[Species],Table2[Genus], "Code Not Found")</f>
        <v>Acer</v>
      </c>
      <c r="M781" t="str">
        <f>_xlfn.XLOOKUP(C781, Table2[Species],Table2[Sp. Name], "Code Not Found")</f>
        <v>saccharum</v>
      </c>
      <c r="N781" t="str">
        <f>_xlfn.XLOOKUP(C781,Table2[Species],Table2[Family],"Code Not Found")</f>
        <v>Sapindaceae</v>
      </c>
      <c r="O781" t="str" cm="1">
        <f t="array" ref="O781">_xlfn.IFS(F781="","",F781&lt;=5,"0 to 5",F781&lt;=10,"5.1 to 10",F781&lt;=20,"10 to 20", F781&lt;= 40, "20 to 40", F781 &lt;= 50, "40 to 50", F781 &gt; 50, "&gt;50" )</f>
        <v>5.1 to 10</v>
      </c>
    </row>
    <row r="782" spans="1:15" ht="14.4" x14ac:dyDescent="0.3">
      <c r="A782" t="s">
        <v>177</v>
      </c>
      <c r="B782" s="1">
        <v>46178</v>
      </c>
      <c r="C782" t="s">
        <v>16</v>
      </c>
      <c r="D782">
        <v>722</v>
      </c>
      <c r="E782">
        <v>1</v>
      </c>
      <c r="F782">
        <v>12.2</v>
      </c>
      <c r="G782" t="s">
        <v>21</v>
      </c>
      <c r="H782" t="s">
        <v>212</v>
      </c>
      <c r="I782" t="str">
        <f t="shared" si="13"/>
        <v>722_1</v>
      </c>
      <c r="J782" t="s">
        <v>178</v>
      </c>
      <c r="K782" t="s">
        <v>179</v>
      </c>
      <c r="L782" t="str">
        <f>_xlfn.XLOOKUP(C782, Table2[Species],Table2[Genus], "Code Not Found")</f>
        <v>Acer</v>
      </c>
      <c r="M782" t="str">
        <f>_xlfn.XLOOKUP(C782, Table2[Species],Table2[Sp. Name], "Code Not Found")</f>
        <v>saccharum</v>
      </c>
      <c r="N782" t="str">
        <f>_xlfn.XLOOKUP(C782,Table2[Species],Table2[Family],"Code Not Found")</f>
        <v>Sapindaceae</v>
      </c>
      <c r="O782" t="str" cm="1">
        <f t="array" ref="O782">_xlfn.IFS(F782="","",F782&lt;=5,"0 to 5",F782&lt;=10,"5.1 to 10",F782&lt;=20,"10 to 20", F782&lt;= 40, "20 to 40", F782 &lt;= 50, "40 to 50", F782 &gt; 50, "&gt;50" )</f>
        <v>10 to 20</v>
      </c>
    </row>
    <row r="783" spans="1:15" ht="14.4" x14ac:dyDescent="0.3">
      <c r="A783" t="s">
        <v>177</v>
      </c>
      <c r="B783" s="1">
        <v>46178</v>
      </c>
      <c r="C783" t="s">
        <v>64</v>
      </c>
      <c r="D783">
        <v>723</v>
      </c>
      <c r="E783">
        <v>1</v>
      </c>
      <c r="F783">
        <v>8.8000000000000007</v>
      </c>
      <c r="G783" t="s">
        <v>47</v>
      </c>
      <c r="H783" t="s">
        <v>43</v>
      </c>
      <c r="I783" t="str">
        <f t="shared" si="13"/>
        <v>723_1</v>
      </c>
      <c r="J783" t="s">
        <v>178</v>
      </c>
      <c r="K783" t="s">
        <v>179</v>
      </c>
      <c r="L783" t="str">
        <f>_xlfn.XLOOKUP(C783, Table2[Species],Table2[Genus], "Code Not Found")</f>
        <v>Fagus</v>
      </c>
      <c r="M783" t="str">
        <f>_xlfn.XLOOKUP(C783, Table2[Species],Table2[Sp. Name], "Code Not Found")</f>
        <v>grandifolia</v>
      </c>
      <c r="N783" t="str">
        <f>_xlfn.XLOOKUP(C783,Table2[Species],Table2[Family],"Code Not Found")</f>
        <v>Fagaceae</v>
      </c>
      <c r="O783" t="str" cm="1">
        <f t="array" ref="O783">_xlfn.IFS(F783="","",F783&lt;=5,"0 to 5",F783&lt;=10,"5.1 to 10",F783&lt;=20,"10 to 20", F783&lt;= 40, "20 to 40", F783 &lt;= 50, "40 to 50", F783 &gt; 50, "&gt;50" )</f>
        <v>5.1 to 10</v>
      </c>
    </row>
    <row r="784" spans="1:15" ht="14.4" x14ac:dyDescent="0.3">
      <c r="A784" t="s">
        <v>177</v>
      </c>
      <c r="B784" s="1">
        <v>46178</v>
      </c>
      <c r="C784" t="s">
        <v>64</v>
      </c>
      <c r="D784">
        <v>724</v>
      </c>
      <c r="E784">
        <v>1</v>
      </c>
      <c r="F784">
        <v>12.2</v>
      </c>
      <c r="G784" t="s">
        <v>17</v>
      </c>
      <c r="I784" t="str">
        <f t="shared" si="13"/>
        <v>724_1</v>
      </c>
      <c r="J784" t="s">
        <v>178</v>
      </c>
      <c r="K784" t="s">
        <v>179</v>
      </c>
      <c r="L784" t="str">
        <f>_xlfn.XLOOKUP(C784, Table2[Species],Table2[Genus], "Code Not Found")</f>
        <v>Fagus</v>
      </c>
      <c r="M784" t="str">
        <f>_xlfn.XLOOKUP(C784, Table2[Species],Table2[Sp. Name], "Code Not Found")</f>
        <v>grandifolia</v>
      </c>
      <c r="N784" t="str">
        <f>_xlfn.XLOOKUP(C784,Table2[Species],Table2[Family],"Code Not Found")</f>
        <v>Fagaceae</v>
      </c>
      <c r="O784" t="str" cm="1">
        <f t="array" ref="O784">_xlfn.IFS(F784="","",F784&lt;=5,"0 to 5",F784&lt;=10,"5.1 to 10",F784&lt;=20,"10 to 20", F784&lt;= 40, "20 to 40", F784 &lt;= 50, "40 to 50", F784 &gt; 50, "&gt;50" )</f>
        <v>10 to 20</v>
      </c>
    </row>
    <row r="785" spans="1:15" ht="14.4" x14ac:dyDescent="0.3">
      <c r="A785" t="s">
        <v>177</v>
      </c>
      <c r="B785" s="1">
        <v>46178</v>
      </c>
      <c r="C785" t="s">
        <v>16</v>
      </c>
      <c r="D785">
        <v>725</v>
      </c>
      <c r="E785">
        <v>1</v>
      </c>
      <c r="F785">
        <v>21.4</v>
      </c>
      <c r="G785" t="s">
        <v>17</v>
      </c>
      <c r="I785" t="str">
        <f t="shared" si="13"/>
        <v>725_1</v>
      </c>
      <c r="J785" t="s">
        <v>178</v>
      </c>
      <c r="K785" t="s">
        <v>179</v>
      </c>
      <c r="L785" t="str">
        <f>_xlfn.XLOOKUP(C785, Table2[Species],Table2[Genus], "Code Not Found")</f>
        <v>Acer</v>
      </c>
      <c r="M785" t="str">
        <f>_xlfn.XLOOKUP(C785, Table2[Species],Table2[Sp. Name], "Code Not Found")</f>
        <v>saccharum</v>
      </c>
      <c r="N785" t="str">
        <f>_xlfn.XLOOKUP(C785,Table2[Species],Table2[Family],"Code Not Found")</f>
        <v>Sapindaceae</v>
      </c>
      <c r="O785" t="str" cm="1">
        <f t="array" ref="O785">_xlfn.IFS(F785="","",F785&lt;=5,"0 to 5",F785&lt;=10,"5.1 to 10",F785&lt;=20,"10 to 20", F785&lt;= 40, "20 to 40", F785 &lt;= 50, "40 to 50", F785 &gt; 50, "&gt;50" )</f>
        <v>20 to 40</v>
      </c>
    </row>
    <row r="786" spans="1:15" ht="14.4" x14ac:dyDescent="0.3">
      <c r="A786" t="s">
        <v>177</v>
      </c>
      <c r="B786" s="1">
        <v>46178</v>
      </c>
      <c r="C786" t="s">
        <v>16</v>
      </c>
      <c r="D786">
        <v>726</v>
      </c>
      <c r="E786">
        <v>1</v>
      </c>
      <c r="F786">
        <v>21.1</v>
      </c>
      <c r="G786" t="s">
        <v>17</v>
      </c>
      <c r="I786" t="str">
        <f t="shared" si="13"/>
        <v>726_1</v>
      </c>
      <c r="J786" t="s">
        <v>178</v>
      </c>
      <c r="K786" t="s">
        <v>179</v>
      </c>
      <c r="L786" t="str">
        <f>_xlfn.XLOOKUP(C786, Table2[Species],Table2[Genus], "Code Not Found")</f>
        <v>Acer</v>
      </c>
      <c r="M786" t="str">
        <f>_xlfn.XLOOKUP(C786, Table2[Species],Table2[Sp. Name], "Code Not Found")</f>
        <v>saccharum</v>
      </c>
      <c r="N786" t="str">
        <f>_xlfn.XLOOKUP(C786,Table2[Species],Table2[Family],"Code Not Found")</f>
        <v>Sapindaceae</v>
      </c>
      <c r="O786" t="str" cm="1">
        <f t="array" ref="O786">_xlfn.IFS(F786="","",F786&lt;=5,"0 to 5",F786&lt;=10,"5.1 to 10",F786&lt;=20,"10 to 20", F786&lt;= 40, "20 to 40", F786 &lt;= 50, "40 to 50", F786 &gt; 50, "&gt;50" )</f>
        <v>20 to 40</v>
      </c>
    </row>
    <row r="787" spans="1:15" ht="14.4" x14ac:dyDescent="0.3">
      <c r="A787" t="s">
        <v>177</v>
      </c>
      <c r="B787" s="1">
        <v>46178</v>
      </c>
      <c r="C787" t="s">
        <v>16</v>
      </c>
      <c r="D787">
        <v>727</v>
      </c>
      <c r="E787">
        <v>1</v>
      </c>
      <c r="F787">
        <v>2</v>
      </c>
      <c r="G787" t="s">
        <v>32</v>
      </c>
      <c r="I787" t="str">
        <f t="shared" si="13"/>
        <v>727_1</v>
      </c>
      <c r="J787" t="s">
        <v>178</v>
      </c>
      <c r="K787" t="s">
        <v>179</v>
      </c>
      <c r="L787" t="str">
        <f>_xlfn.XLOOKUP(C787, Table2[Species],Table2[Genus], "Code Not Found")</f>
        <v>Acer</v>
      </c>
      <c r="M787" t="str">
        <f>_xlfn.XLOOKUP(C787, Table2[Species],Table2[Sp. Name], "Code Not Found")</f>
        <v>saccharum</v>
      </c>
      <c r="N787" t="str">
        <f>_xlfn.XLOOKUP(C787,Table2[Species],Table2[Family],"Code Not Found")</f>
        <v>Sapindaceae</v>
      </c>
      <c r="O787" t="str" cm="1">
        <f t="array" ref="O787">_xlfn.IFS(F787="","",F787&lt;=5,"0 to 5",F787&lt;=10,"5.1 to 10",F787&lt;=20,"10 to 20", F787&lt;= 40, "20 to 40", F787 &lt;= 50, "40 to 50", F787 &gt; 50, "&gt;50" )</f>
        <v>0 to 5</v>
      </c>
    </row>
    <row r="788" spans="1:15" ht="14.4" x14ac:dyDescent="0.3">
      <c r="A788" t="s">
        <v>177</v>
      </c>
      <c r="B788" s="1">
        <v>46178</v>
      </c>
      <c r="C788" t="s">
        <v>16</v>
      </c>
      <c r="D788">
        <v>727</v>
      </c>
      <c r="E788">
        <v>2</v>
      </c>
      <c r="F788">
        <v>1.5</v>
      </c>
      <c r="G788" t="s">
        <v>32</v>
      </c>
      <c r="I788" t="str">
        <f t="shared" si="13"/>
        <v>727_2</v>
      </c>
      <c r="J788" t="s">
        <v>178</v>
      </c>
      <c r="K788" t="s">
        <v>179</v>
      </c>
      <c r="L788" t="str">
        <f>_xlfn.XLOOKUP(C788, Table2[Species],Table2[Genus], "Code Not Found")</f>
        <v>Acer</v>
      </c>
      <c r="M788" t="str">
        <f>_xlfn.XLOOKUP(C788, Table2[Species],Table2[Sp. Name], "Code Not Found")</f>
        <v>saccharum</v>
      </c>
      <c r="N788" t="str">
        <f>_xlfn.XLOOKUP(C788,Table2[Species],Table2[Family],"Code Not Found")</f>
        <v>Sapindaceae</v>
      </c>
      <c r="O788" t="str" cm="1">
        <f t="array" ref="O788">_xlfn.IFS(F788="","",F788&lt;=5,"0 to 5",F788&lt;=10,"5.1 to 10",F788&lt;=20,"10 to 20", F788&lt;= 40, "20 to 40", F788 &lt;= 50, "40 to 50", F788 &gt; 50, "&gt;50" )</f>
        <v>0 to 5</v>
      </c>
    </row>
    <row r="789" spans="1:15" ht="14.4" x14ac:dyDescent="0.3">
      <c r="A789" t="s">
        <v>177</v>
      </c>
      <c r="B789" s="1">
        <v>46178</v>
      </c>
      <c r="C789" t="s">
        <v>16</v>
      </c>
      <c r="D789">
        <v>728</v>
      </c>
      <c r="E789">
        <v>1</v>
      </c>
      <c r="F789">
        <v>21.8</v>
      </c>
      <c r="G789" t="s">
        <v>17</v>
      </c>
      <c r="I789" t="str">
        <f t="shared" si="13"/>
        <v>728_1</v>
      </c>
      <c r="J789" t="s">
        <v>178</v>
      </c>
      <c r="K789" t="s">
        <v>179</v>
      </c>
      <c r="L789" t="str">
        <f>_xlfn.XLOOKUP(C789, Table2[Species],Table2[Genus], "Code Not Found")</f>
        <v>Acer</v>
      </c>
      <c r="M789" t="str">
        <f>_xlfn.XLOOKUP(C789, Table2[Species],Table2[Sp. Name], "Code Not Found")</f>
        <v>saccharum</v>
      </c>
      <c r="N789" t="str">
        <f>_xlfn.XLOOKUP(C789,Table2[Species],Table2[Family],"Code Not Found")</f>
        <v>Sapindaceae</v>
      </c>
      <c r="O789" t="str" cm="1">
        <f t="array" ref="O789">_xlfn.IFS(F789="","",F789&lt;=5,"0 to 5",F789&lt;=10,"5.1 to 10",F789&lt;=20,"10 to 20", F789&lt;= 40, "20 to 40", F789 &lt;= 50, "40 to 50", F789 &gt; 50, "&gt;50" )</f>
        <v>20 to 40</v>
      </c>
    </row>
    <row r="790" spans="1:15" s="4" customFormat="1" ht="14.4" x14ac:dyDescent="0.3">
      <c r="A790" s="4" t="s">
        <v>177</v>
      </c>
      <c r="B790" s="5">
        <v>46178</v>
      </c>
      <c r="C790" s="4" t="s">
        <v>16</v>
      </c>
      <c r="D790" s="4">
        <v>729</v>
      </c>
      <c r="E790" s="4">
        <v>1</v>
      </c>
      <c r="F790" s="4">
        <v>4.2</v>
      </c>
      <c r="G790" s="4" t="s">
        <v>71</v>
      </c>
      <c r="H790" s="4" t="s">
        <v>43</v>
      </c>
      <c r="I790" s="4" t="str">
        <f t="shared" si="13"/>
        <v>729_1</v>
      </c>
      <c r="J790" s="4" t="s">
        <v>178</v>
      </c>
      <c r="K790" t="s">
        <v>179</v>
      </c>
      <c r="L790" t="str">
        <f>_xlfn.XLOOKUP(C790, Table2[Species],Table2[Genus], "Code Not Found")</f>
        <v>Acer</v>
      </c>
      <c r="M790" s="4" t="str">
        <f>_xlfn.XLOOKUP(C790, Table2[Species],Table2[Sp. Name], "Code Not Found")</f>
        <v>saccharum</v>
      </c>
      <c r="N790" t="str">
        <f>_xlfn.XLOOKUP(C790,Table2[Species],Table2[Family],"Code Not Found")</f>
        <v>Sapindaceae</v>
      </c>
      <c r="O790" t="str" cm="1">
        <f t="array" ref="O790">_xlfn.IFS(F790="","",F790&lt;=5,"0 to 5",F790&lt;=10,"5.1 to 10",F790&lt;=20,"10 to 20", F790&lt;= 40, "20 to 40", F790 &lt;= 50, "40 to 50", F790 &gt; 50, "&gt;50" )</f>
        <v>0 to 5</v>
      </c>
    </row>
    <row r="791" spans="1:15" ht="14.4" x14ac:dyDescent="0.3">
      <c r="A791" t="s">
        <v>213</v>
      </c>
      <c r="B791" s="1">
        <v>46178</v>
      </c>
      <c r="C791" t="s">
        <v>123</v>
      </c>
      <c r="D791">
        <v>730</v>
      </c>
      <c r="E791">
        <v>1</v>
      </c>
      <c r="F791">
        <v>33.4</v>
      </c>
      <c r="G791" t="s">
        <v>17</v>
      </c>
      <c r="I791" t="str">
        <f t="shared" si="13"/>
        <v>730_1</v>
      </c>
      <c r="J791" t="s">
        <v>214</v>
      </c>
      <c r="K791" t="s">
        <v>19</v>
      </c>
      <c r="L791" t="str">
        <f>_xlfn.XLOOKUP(C791, Table2[Species],Table2[Genus], "Code Not Found")</f>
        <v>Quercus</v>
      </c>
      <c r="M791" t="str">
        <f>_xlfn.XLOOKUP(C791, Table2[Species],Table2[Sp. Name], "Code Not Found")</f>
        <v>rubra</v>
      </c>
      <c r="N791" t="str">
        <f>_xlfn.XLOOKUP(C791,Table2[Species],Table2[Family],"Code Not Found")</f>
        <v>Fagaceae</v>
      </c>
      <c r="O791" t="str" cm="1">
        <f t="array" ref="O791">_xlfn.IFS(F791="","",F791&lt;=5,"0 to 5",F791&lt;=10,"5.1 to 10",F791&lt;=20,"10 to 20", F791&lt;= 40, "20 to 40", F791 &lt;= 50, "40 to 50", F791 &gt; 50, "&gt;50" )</f>
        <v>20 to 40</v>
      </c>
    </row>
    <row r="792" spans="1:15" ht="14.4" x14ac:dyDescent="0.3">
      <c r="A792" t="s">
        <v>213</v>
      </c>
      <c r="B792" s="1">
        <v>46178</v>
      </c>
      <c r="C792" t="s">
        <v>16</v>
      </c>
      <c r="D792">
        <v>731</v>
      </c>
      <c r="E792">
        <v>1</v>
      </c>
      <c r="F792">
        <v>1.3</v>
      </c>
      <c r="G792" t="s">
        <v>47</v>
      </c>
      <c r="H792" t="s">
        <v>43</v>
      </c>
      <c r="I792" t="str">
        <f t="shared" si="13"/>
        <v>731_1</v>
      </c>
      <c r="J792" t="s">
        <v>214</v>
      </c>
      <c r="K792" t="s">
        <v>19</v>
      </c>
      <c r="L792" t="str">
        <f>_xlfn.XLOOKUP(C792, Table2[Species],Table2[Genus], "Code Not Found")</f>
        <v>Acer</v>
      </c>
      <c r="M792" t="str">
        <f>_xlfn.XLOOKUP(C792, Table2[Species],Table2[Sp. Name], "Code Not Found")</f>
        <v>saccharum</v>
      </c>
      <c r="N792" t="str">
        <f>_xlfn.XLOOKUP(C792,Table2[Species],Table2[Family],"Code Not Found")</f>
        <v>Sapindaceae</v>
      </c>
      <c r="O792" t="str" cm="1">
        <f t="array" ref="O792">_xlfn.IFS(F792="","",F792&lt;=5,"0 to 5",F792&lt;=10,"5.1 to 10",F792&lt;=20,"10 to 20", F792&lt;= 40, "20 to 40", F792 &lt;= 50, "40 to 50", F792 &gt; 50, "&gt;50" )</f>
        <v>0 to 5</v>
      </c>
    </row>
    <row r="793" spans="1:15" ht="14.4" x14ac:dyDescent="0.3">
      <c r="A793" t="s">
        <v>213</v>
      </c>
      <c r="B793" s="1">
        <v>46178</v>
      </c>
      <c r="C793" t="s">
        <v>16</v>
      </c>
      <c r="D793">
        <v>732</v>
      </c>
      <c r="E793">
        <v>1</v>
      </c>
      <c r="F793">
        <v>1.9</v>
      </c>
      <c r="G793" t="s">
        <v>21</v>
      </c>
      <c r="I793" t="str">
        <f t="shared" si="13"/>
        <v>732_1</v>
      </c>
      <c r="J793" t="s">
        <v>214</v>
      </c>
      <c r="K793" t="s">
        <v>19</v>
      </c>
      <c r="L793" t="str">
        <f>_xlfn.XLOOKUP(C793, Table2[Species],Table2[Genus], "Code Not Found")</f>
        <v>Acer</v>
      </c>
      <c r="M793" t="str">
        <f>_xlfn.XLOOKUP(C793, Table2[Species],Table2[Sp. Name], "Code Not Found")</f>
        <v>saccharum</v>
      </c>
      <c r="N793" t="str">
        <f>_xlfn.XLOOKUP(C793,Table2[Species],Table2[Family],"Code Not Found")</f>
        <v>Sapindaceae</v>
      </c>
      <c r="O793" t="str" cm="1">
        <f t="array" ref="O793">_xlfn.IFS(F793="","",F793&lt;=5,"0 to 5",F793&lt;=10,"5.1 to 10",F793&lt;=20,"10 to 20", F793&lt;= 40, "20 to 40", F793 &lt;= 50, "40 to 50", F793 &gt; 50, "&gt;50" )</f>
        <v>0 to 5</v>
      </c>
    </row>
    <row r="794" spans="1:15" ht="14.4" x14ac:dyDescent="0.3">
      <c r="A794" t="s">
        <v>213</v>
      </c>
      <c r="B794" s="1">
        <v>46178</v>
      </c>
      <c r="C794" t="s">
        <v>16</v>
      </c>
      <c r="D794">
        <v>733</v>
      </c>
      <c r="E794">
        <v>1</v>
      </c>
      <c r="F794">
        <v>1.8</v>
      </c>
      <c r="G794" t="s">
        <v>32</v>
      </c>
      <c r="H794" t="s">
        <v>92</v>
      </c>
      <c r="I794" t="str">
        <f t="shared" si="13"/>
        <v>733_1</v>
      </c>
      <c r="J794" t="s">
        <v>214</v>
      </c>
      <c r="K794" t="s">
        <v>19</v>
      </c>
      <c r="L794" t="str">
        <f>_xlfn.XLOOKUP(C794, Table2[Species],Table2[Genus], "Code Not Found")</f>
        <v>Acer</v>
      </c>
      <c r="M794" t="str">
        <f>_xlfn.XLOOKUP(C794, Table2[Species],Table2[Sp. Name], "Code Not Found")</f>
        <v>saccharum</v>
      </c>
      <c r="N794" t="str">
        <f>_xlfn.XLOOKUP(C794,Table2[Species],Table2[Family],"Code Not Found")</f>
        <v>Sapindaceae</v>
      </c>
      <c r="O794" t="str" cm="1">
        <f t="array" ref="O794">_xlfn.IFS(F794="","",F794&lt;=5,"0 to 5",F794&lt;=10,"5.1 to 10",F794&lt;=20,"10 to 20", F794&lt;= 40, "20 to 40", F794 &lt;= 50, "40 to 50", F794 &gt; 50, "&gt;50" )</f>
        <v>0 to 5</v>
      </c>
    </row>
    <row r="795" spans="1:15" ht="14.4" x14ac:dyDescent="0.3">
      <c r="A795" t="s">
        <v>213</v>
      </c>
      <c r="B795" s="1"/>
      <c r="C795" t="s">
        <v>16</v>
      </c>
      <c r="D795">
        <v>733</v>
      </c>
      <c r="E795">
        <v>2</v>
      </c>
      <c r="F795">
        <v>1.8</v>
      </c>
      <c r="G795" t="s">
        <v>93</v>
      </c>
      <c r="H795" t="s">
        <v>43</v>
      </c>
      <c r="I795" t="str">
        <f t="shared" si="13"/>
        <v>733_2</v>
      </c>
      <c r="J795" t="s">
        <v>214</v>
      </c>
      <c r="K795" t="s">
        <v>19</v>
      </c>
      <c r="L795" t="str">
        <f>_xlfn.XLOOKUP(C795, Table2[Species],Table2[Genus], "Code Not Found")</f>
        <v>Acer</v>
      </c>
      <c r="M795" t="str">
        <f>_xlfn.XLOOKUP(C795, Table2[Species],Table2[Sp. Name], "Code Not Found")</f>
        <v>saccharum</v>
      </c>
      <c r="N795" t="str">
        <f>_xlfn.XLOOKUP(C795,Table2[Species],Table2[Family],"Code Not Found")</f>
        <v>Sapindaceae</v>
      </c>
      <c r="O795" t="str" cm="1">
        <f t="array" ref="O795">_xlfn.IFS(F795="","",F795&lt;=5,"0 to 5",F795&lt;=10,"5.1 to 10",F795&lt;=20,"10 to 20", F795&lt;= 40, "20 to 40", F795 &lt;= 50, "40 to 50", F795 &gt; 50, "&gt;50" )</f>
        <v>0 to 5</v>
      </c>
    </row>
    <row r="796" spans="1:15" ht="14.4" x14ac:dyDescent="0.3">
      <c r="A796" t="s">
        <v>213</v>
      </c>
      <c r="B796" s="1">
        <v>46178</v>
      </c>
      <c r="C796" t="s">
        <v>24</v>
      </c>
      <c r="D796">
        <v>734</v>
      </c>
      <c r="E796">
        <v>1</v>
      </c>
      <c r="F796">
        <v>27.7</v>
      </c>
      <c r="G796" t="s">
        <v>21</v>
      </c>
      <c r="I796" t="str">
        <f t="shared" si="13"/>
        <v>734_1</v>
      </c>
      <c r="J796" t="s">
        <v>214</v>
      </c>
      <c r="K796" t="s">
        <v>19</v>
      </c>
      <c r="L796" t="str">
        <f>_xlfn.XLOOKUP(C796, Table2[Species],Table2[Genus], "Code Not Found")</f>
        <v>Lirodendron</v>
      </c>
      <c r="M796" t="str">
        <f>_xlfn.XLOOKUP(C796, Table2[Species],Table2[Sp. Name], "Code Not Found")</f>
        <v>tulipfera</v>
      </c>
      <c r="N796" t="str">
        <f>_xlfn.XLOOKUP(C796,Table2[Species],Table2[Family],"Code Not Found")</f>
        <v>Magnoliaceae</v>
      </c>
      <c r="O796" t="str" cm="1">
        <f t="array" ref="O796">_xlfn.IFS(F796="","",F796&lt;=5,"0 to 5",F796&lt;=10,"5.1 to 10",F796&lt;=20,"10 to 20", F796&lt;= 40, "20 to 40", F796 &lt;= 50, "40 to 50", F796 &gt; 50, "&gt;50" )</f>
        <v>20 to 40</v>
      </c>
    </row>
    <row r="797" spans="1:15" ht="14.4" x14ac:dyDescent="0.3">
      <c r="A797" t="s">
        <v>213</v>
      </c>
      <c r="B797" s="1">
        <v>46178</v>
      </c>
      <c r="C797" t="s">
        <v>16</v>
      </c>
      <c r="D797">
        <v>735</v>
      </c>
      <c r="E797">
        <v>1</v>
      </c>
      <c r="F797">
        <v>1.5</v>
      </c>
      <c r="G797" t="s">
        <v>17</v>
      </c>
      <c r="I797" t="str">
        <f t="shared" si="13"/>
        <v>735_1</v>
      </c>
      <c r="J797" t="s">
        <v>214</v>
      </c>
      <c r="K797" t="s">
        <v>19</v>
      </c>
      <c r="L797" t="str">
        <f>_xlfn.XLOOKUP(C797, Table2[Species],Table2[Genus], "Code Not Found")</f>
        <v>Acer</v>
      </c>
      <c r="M797" t="str">
        <f>_xlfn.XLOOKUP(C797, Table2[Species],Table2[Sp. Name], "Code Not Found")</f>
        <v>saccharum</v>
      </c>
      <c r="N797" t="str">
        <f>_xlfn.XLOOKUP(C797,Table2[Species],Table2[Family],"Code Not Found")</f>
        <v>Sapindaceae</v>
      </c>
      <c r="O797" t="str" cm="1">
        <f t="array" ref="O797">_xlfn.IFS(F797="","",F797&lt;=5,"0 to 5",F797&lt;=10,"5.1 to 10",F797&lt;=20,"10 to 20", F797&lt;= 40, "20 to 40", F797 &lt;= 50, "40 to 50", F797 &gt; 50, "&gt;50" )</f>
        <v>0 to 5</v>
      </c>
    </row>
    <row r="798" spans="1:15" ht="14.4" x14ac:dyDescent="0.3">
      <c r="A798" t="s">
        <v>213</v>
      </c>
      <c r="B798" s="1">
        <v>46178</v>
      </c>
      <c r="C798" t="s">
        <v>16</v>
      </c>
      <c r="D798">
        <v>736</v>
      </c>
      <c r="E798">
        <v>1</v>
      </c>
      <c r="F798">
        <v>4.5</v>
      </c>
      <c r="G798" t="s">
        <v>21</v>
      </c>
      <c r="I798" t="str">
        <f t="shared" si="13"/>
        <v>736_1</v>
      </c>
      <c r="J798" t="s">
        <v>214</v>
      </c>
      <c r="K798" t="s">
        <v>19</v>
      </c>
      <c r="L798" t="str">
        <f>_xlfn.XLOOKUP(C798, Table2[Species],Table2[Genus], "Code Not Found")</f>
        <v>Acer</v>
      </c>
      <c r="M798" t="str">
        <f>_xlfn.XLOOKUP(C798, Table2[Species],Table2[Sp. Name], "Code Not Found")</f>
        <v>saccharum</v>
      </c>
      <c r="N798" t="str">
        <f>_xlfn.XLOOKUP(C798,Table2[Species],Table2[Family],"Code Not Found")</f>
        <v>Sapindaceae</v>
      </c>
      <c r="O798" t="str" cm="1">
        <f t="array" ref="O798">_xlfn.IFS(F798="","",F798&lt;=5,"0 to 5",F798&lt;=10,"5.1 to 10",F798&lt;=20,"10 to 20", F798&lt;= 40, "20 to 40", F798 &lt;= 50, "40 to 50", F798 &gt; 50, "&gt;50" )</f>
        <v>0 to 5</v>
      </c>
    </row>
    <row r="799" spans="1:15" ht="14.4" x14ac:dyDescent="0.3">
      <c r="A799" t="s">
        <v>213</v>
      </c>
      <c r="B799" s="1">
        <v>46178</v>
      </c>
      <c r="C799" t="s">
        <v>24</v>
      </c>
      <c r="D799">
        <v>737</v>
      </c>
      <c r="E799">
        <v>1</v>
      </c>
      <c r="F799">
        <v>44.8</v>
      </c>
      <c r="G799" t="s">
        <v>21</v>
      </c>
      <c r="I799" t="str">
        <f t="shared" si="13"/>
        <v>737_1</v>
      </c>
      <c r="J799" t="s">
        <v>214</v>
      </c>
      <c r="K799" t="s">
        <v>19</v>
      </c>
      <c r="L799" t="str">
        <f>_xlfn.XLOOKUP(C799, Table2[Species],Table2[Genus], "Code Not Found")</f>
        <v>Lirodendron</v>
      </c>
      <c r="M799" t="str">
        <f>_xlfn.XLOOKUP(C799, Table2[Species],Table2[Sp. Name], "Code Not Found")</f>
        <v>tulipfera</v>
      </c>
      <c r="N799" t="str">
        <f>_xlfn.XLOOKUP(C799,Table2[Species],Table2[Family],"Code Not Found")</f>
        <v>Magnoliaceae</v>
      </c>
      <c r="O799" t="str" cm="1">
        <f t="array" ref="O799">_xlfn.IFS(F799="","",F799&lt;=5,"0 to 5",F799&lt;=10,"5.1 to 10",F799&lt;=20,"10 to 20", F799&lt;= 40, "20 to 40", F799 &lt;= 50, "40 to 50", F799 &gt; 50, "&gt;50" )</f>
        <v>40 to 50</v>
      </c>
    </row>
    <row r="800" spans="1:15" ht="14.4" x14ac:dyDescent="0.3">
      <c r="A800" t="s">
        <v>213</v>
      </c>
      <c r="B800" s="1">
        <v>46178</v>
      </c>
      <c r="C800" t="s">
        <v>16</v>
      </c>
      <c r="D800">
        <v>738</v>
      </c>
      <c r="E800">
        <v>1</v>
      </c>
      <c r="F800">
        <v>7.2</v>
      </c>
      <c r="G800" t="s">
        <v>21</v>
      </c>
      <c r="I800" t="str">
        <f t="shared" si="13"/>
        <v>738_1</v>
      </c>
      <c r="J800" t="s">
        <v>214</v>
      </c>
      <c r="K800" t="s">
        <v>19</v>
      </c>
      <c r="L800" t="str">
        <f>_xlfn.XLOOKUP(C800, Table2[Species],Table2[Genus], "Code Not Found")</f>
        <v>Acer</v>
      </c>
      <c r="M800" t="str">
        <f>_xlfn.XLOOKUP(C800, Table2[Species],Table2[Sp. Name], "Code Not Found")</f>
        <v>saccharum</v>
      </c>
      <c r="N800" t="str">
        <f>_xlfn.XLOOKUP(C800,Table2[Species],Table2[Family],"Code Not Found")</f>
        <v>Sapindaceae</v>
      </c>
      <c r="O800" t="str" cm="1">
        <f t="array" ref="O800">_xlfn.IFS(F800="","",F800&lt;=5,"0 to 5",F800&lt;=10,"5.1 to 10",F800&lt;=20,"10 to 20", F800&lt;= 40, "20 to 40", F800 &lt;= 50, "40 to 50", F800 &gt; 50, "&gt;50" )</f>
        <v>5.1 to 10</v>
      </c>
    </row>
    <row r="801" spans="1:15" ht="14.4" x14ac:dyDescent="0.3">
      <c r="A801" t="s">
        <v>213</v>
      </c>
      <c r="B801" s="1">
        <v>46178</v>
      </c>
      <c r="C801" t="s">
        <v>16</v>
      </c>
      <c r="D801">
        <v>739</v>
      </c>
      <c r="E801">
        <v>1</v>
      </c>
      <c r="F801">
        <v>3.4</v>
      </c>
      <c r="G801" t="s">
        <v>17</v>
      </c>
      <c r="I801" t="str">
        <f t="shared" si="13"/>
        <v>739_1</v>
      </c>
      <c r="J801" t="s">
        <v>214</v>
      </c>
      <c r="K801" t="s">
        <v>19</v>
      </c>
      <c r="L801" t="str">
        <f>_xlfn.XLOOKUP(C801, Table2[Species],Table2[Genus], "Code Not Found")</f>
        <v>Acer</v>
      </c>
      <c r="M801" t="str">
        <f>_xlfn.XLOOKUP(C801, Table2[Species],Table2[Sp. Name], "Code Not Found")</f>
        <v>saccharum</v>
      </c>
      <c r="N801" t="str">
        <f>_xlfn.XLOOKUP(C801,Table2[Species],Table2[Family],"Code Not Found")</f>
        <v>Sapindaceae</v>
      </c>
      <c r="O801" t="str" cm="1">
        <f t="array" ref="O801">_xlfn.IFS(F801="","",F801&lt;=5,"0 to 5",F801&lt;=10,"5.1 to 10",F801&lt;=20,"10 to 20", F801&lt;= 40, "20 to 40", F801 &lt;= 50, "40 to 50", F801 &gt; 50, "&gt;50" )</f>
        <v>0 to 5</v>
      </c>
    </row>
    <row r="802" spans="1:15" ht="14.4" x14ac:dyDescent="0.3">
      <c r="A802" t="s">
        <v>213</v>
      </c>
      <c r="B802" s="1">
        <v>46178</v>
      </c>
      <c r="C802" t="s">
        <v>16</v>
      </c>
      <c r="D802">
        <v>740</v>
      </c>
      <c r="E802">
        <v>1</v>
      </c>
      <c r="F802">
        <v>21.8</v>
      </c>
      <c r="G802" t="s">
        <v>21</v>
      </c>
      <c r="I802" t="str">
        <f t="shared" si="13"/>
        <v>740_1</v>
      </c>
      <c r="J802" t="s">
        <v>214</v>
      </c>
      <c r="K802" t="s">
        <v>19</v>
      </c>
      <c r="L802" t="str">
        <f>_xlfn.XLOOKUP(C802, Table2[Species],Table2[Genus], "Code Not Found")</f>
        <v>Acer</v>
      </c>
      <c r="M802" t="str">
        <f>_xlfn.XLOOKUP(C802, Table2[Species],Table2[Sp. Name], "Code Not Found")</f>
        <v>saccharum</v>
      </c>
      <c r="N802" t="str">
        <f>_xlfn.XLOOKUP(C802,Table2[Species],Table2[Family],"Code Not Found")</f>
        <v>Sapindaceae</v>
      </c>
      <c r="O802" t="str" cm="1">
        <f t="array" ref="O802">_xlfn.IFS(F802="","",F802&lt;=5,"0 to 5",F802&lt;=10,"5.1 to 10",F802&lt;=20,"10 to 20", F802&lt;= 40, "20 to 40", F802 &lt;= 50, "40 to 50", F802 &gt; 50, "&gt;50" )</f>
        <v>20 to 40</v>
      </c>
    </row>
    <row r="803" spans="1:15" ht="14.4" x14ac:dyDescent="0.3">
      <c r="A803" t="s">
        <v>213</v>
      </c>
      <c r="B803" s="1">
        <v>46178</v>
      </c>
      <c r="C803" t="s">
        <v>64</v>
      </c>
      <c r="D803">
        <v>741</v>
      </c>
      <c r="E803">
        <v>1</v>
      </c>
      <c r="F803">
        <v>1.8</v>
      </c>
      <c r="G803" t="s">
        <v>21</v>
      </c>
      <c r="I803" t="str">
        <f t="shared" si="13"/>
        <v>741_1</v>
      </c>
      <c r="J803" t="s">
        <v>214</v>
      </c>
      <c r="K803" t="s">
        <v>19</v>
      </c>
      <c r="L803" t="str">
        <f>_xlfn.XLOOKUP(C803, Table2[Species],Table2[Genus], "Code Not Found")</f>
        <v>Fagus</v>
      </c>
      <c r="M803" t="str">
        <f>_xlfn.XLOOKUP(C803, Table2[Species],Table2[Sp. Name], "Code Not Found")</f>
        <v>grandifolia</v>
      </c>
      <c r="N803" t="str">
        <f>_xlfn.XLOOKUP(C803,Table2[Species],Table2[Family],"Code Not Found")</f>
        <v>Fagaceae</v>
      </c>
      <c r="O803" t="str" cm="1">
        <f t="array" ref="O803">_xlfn.IFS(F803="","",F803&lt;=5,"0 to 5",F803&lt;=10,"5.1 to 10",F803&lt;=20,"10 to 20", F803&lt;= 40, "20 to 40", F803 &lt;= 50, "40 to 50", F803 &gt; 50, "&gt;50" )</f>
        <v>0 to 5</v>
      </c>
    </row>
    <row r="804" spans="1:15" ht="14.4" x14ac:dyDescent="0.3">
      <c r="A804" t="s">
        <v>213</v>
      </c>
      <c r="B804" s="1">
        <v>46178</v>
      </c>
      <c r="C804" t="s">
        <v>16</v>
      </c>
      <c r="D804">
        <v>742</v>
      </c>
      <c r="E804">
        <v>1</v>
      </c>
      <c r="F804">
        <v>3.3</v>
      </c>
      <c r="G804" t="s">
        <v>17</v>
      </c>
      <c r="I804" t="str">
        <f t="shared" si="13"/>
        <v>742_1</v>
      </c>
      <c r="J804" t="s">
        <v>214</v>
      </c>
      <c r="K804" t="s">
        <v>19</v>
      </c>
      <c r="L804" t="str">
        <f>_xlfn.XLOOKUP(C804, Table2[Species],Table2[Genus], "Code Not Found")</f>
        <v>Acer</v>
      </c>
      <c r="M804" t="str">
        <f>_xlfn.XLOOKUP(C804, Table2[Species],Table2[Sp. Name], "Code Not Found")</f>
        <v>saccharum</v>
      </c>
      <c r="N804" t="str">
        <f>_xlfn.XLOOKUP(C804,Table2[Species],Table2[Family],"Code Not Found")</f>
        <v>Sapindaceae</v>
      </c>
      <c r="O804" t="str" cm="1">
        <f t="array" ref="O804">_xlfn.IFS(F804="","",F804&lt;=5,"0 to 5",F804&lt;=10,"5.1 to 10",F804&lt;=20,"10 to 20", F804&lt;= 40, "20 to 40", F804 &lt;= 50, "40 to 50", F804 &gt; 50, "&gt;50" )</f>
        <v>0 to 5</v>
      </c>
    </row>
    <row r="805" spans="1:15" ht="14.4" x14ac:dyDescent="0.3">
      <c r="A805" t="s">
        <v>213</v>
      </c>
      <c r="B805" s="1">
        <v>46178</v>
      </c>
      <c r="C805" t="s">
        <v>16</v>
      </c>
      <c r="D805">
        <v>743</v>
      </c>
      <c r="E805">
        <v>1</v>
      </c>
      <c r="F805">
        <v>2.6</v>
      </c>
      <c r="G805" t="s">
        <v>17</v>
      </c>
      <c r="I805" t="str">
        <f t="shared" si="13"/>
        <v>743_1</v>
      </c>
      <c r="J805" t="s">
        <v>214</v>
      </c>
      <c r="K805" t="s">
        <v>19</v>
      </c>
      <c r="L805" t="str">
        <f>_xlfn.XLOOKUP(C805, Table2[Species],Table2[Genus], "Code Not Found")</f>
        <v>Acer</v>
      </c>
      <c r="M805" t="str">
        <f>_xlfn.XLOOKUP(C805, Table2[Species],Table2[Sp. Name], "Code Not Found")</f>
        <v>saccharum</v>
      </c>
      <c r="N805" t="str">
        <f>_xlfn.XLOOKUP(C805,Table2[Species],Table2[Family],"Code Not Found")</f>
        <v>Sapindaceae</v>
      </c>
      <c r="O805" t="str" cm="1">
        <f t="array" ref="O805">_xlfn.IFS(F805="","",F805&lt;=5,"0 to 5",F805&lt;=10,"5.1 to 10",F805&lt;=20,"10 to 20", F805&lt;= 40, "20 to 40", F805 &lt;= 50, "40 to 50", F805 &gt; 50, "&gt;50" )</f>
        <v>0 to 5</v>
      </c>
    </row>
    <row r="806" spans="1:15" ht="14.4" x14ac:dyDescent="0.3">
      <c r="A806" t="s">
        <v>213</v>
      </c>
      <c r="B806" s="1">
        <v>46178</v>
      </c>
      <c r="C806" t="s">
        <v>16</v>
      </c>
      <c r="D806">
        <v>744</v>
      </c>
      <c r="E806">
        <v>1</v>
      </c>
      <c r="F806">
        <v>5.2</v>
      </c>
      <c r="G806" t="s">
        <v>21</v>
      </c>
      <c r="I806" t="str">
        <f t="shared" ref="I806:I869" si="14">D806&amp;"_"&amp;E806</f>
        <v>744_1</v>
      </c>
      <c r="J806" t="s">
        <v>214</v>
      </c>
      <c r="K806" t="s">
        <v>19</v>
      </c>
      <c r="L806" t="str">
        <f>_xlfn.XLOOKUP(C806, Table2[Species],Table2[Genus], "Code Not Found")</f>
        <v>Acer</v>
      </c>
      <c r="M806" t="str">
        <f>_xlfn.XLOOKUP(C806, Table2[Species],Table2[Sp. Name], "Code Not Found")</f>
        <v>saccharum</v>
      </c>
      <c r="N806" t="str">
        <f>_xlfn.XLOOKUP(C806,Table2[Species],Table2[Family],"Code Not Found")</f>
        <v>Sapindaceae</v>
      </c>
      <c r="O806" t="str" cm="1">
        <f t="array" ref="O806">_xlfn.IFS(F806="","",F806&lt;=5,"0 to 5",F806&lt;=10,"5.1 to 10",F806&lt;=20,"10 to 20", F806&lt;= 40, "20 to 40", F806 &lt;= 50, "40 to 50", F806 &gt; 50, "&gt;50" )</f>
        <v>5.1 to 10</v>
      </c>
    </row>
    <row r="807" spans="1:15" ht="14.4" x14ac:dyDescent="0.3">
      <c r="A807" t="s">
        <v>213</v>
      </c>
      <c r="B807" s="1">
        <v>46178</v>
      </c>
      <c r="C807" t="s">
        <v>16</v>
      </c>
      <c r="D807">
        <v>745</v>
      </c>
      <c r="E807">
        <v>1</v>
      </c>
      <c r="F807">
        <v>2.5</v>
      </c>
      <c r="G807" t="s">
        <v>17</v>
      </c>
      <c r="I807" t="str">
        <f t="shared" si="14"/>
        <v>745_1</v>
      </c>
      <c r="J807" t="s">
        <v>214</v>
      </c>
      <c r="K807" t="s">
        <v>19</v>
      </c>
      <c r="L807" t="str">
        <f>_xlfn.XLOOKUP(C807, Table2[Species],Table2[Genus], "Code Not Found")</f>
        <v>Acer</v>
      </c>
      <c r="M807" t="str">
        <f>_xlfn.XLOOKUP(C807, Table2[Species],Table2[Sp. Name], "Code Not Found")</f>
        <v>saccharum</v>
      </c>
      <c r="N807" t="str">
        <f>_xlfn.XLOOKUP(C807,Table2[Species],Table2[Family],"Code Not Found")</f>
        <v>Sapindaceae</v>
      </c>
      <c r="O807" t="str" cm="1">
        <f t="array" ref="O807">_xlfn.IFS(F807="","",F807&lt;=5,"0 to 5",F807&lt;=10,"5.1 to 10",F807&lt;=20,"10 to 20", F807&lt;= 40, "20 to 40", F807 &lt;= 50, "40 to 50", F807 &gt; 50, "&gt;50" )</f>
        <v>0 to 5</v>
      </c>
    </row>
    <row r="808" spans="1:15" ht="14.4" x14ac:dyDescent="0.3">
      <c r="A808" t="s">
        <v>213</v>
      </c>
      <c r="B808" s="1">
        <v>46178</v>
      </c>
      <c r="C808" t="s">
        <v>16</v>
      </c>
      <c r="D808">
        <v>746</v>
      </c>
      <c r="E808">
        <v>1</v>
      </c>
      <c r="F808">
        <v>4</v>
      </c>
      <c r="G808" t="s">
        <v>17</v>
      </c>
      <c r="I808" t="str">
        <f t="shared" si="14"/>
        <v>746_1</v>
      </c>
      <c r="J808" t="s">
        <v>214</v>
      </c>
      <c r="K808" t="s">
        <v>19</v>
      </c>
      <c r="L808" t="str">
        <f>_xlfn.XLOOKUP(C808, Table2[Species],Table2[Genus], "Code Not Found")</f>
        <v>Acer</v>
      </c>
      <c r="M808" t="str">
        <f>_xlfn.XLOOKUP(C808, Table2[Species],Table2[Sp. Name], "Code Not Found")</f>
        <v>saccharum</v>
      </c>
      <c r="N808" t="str">
        <f>_xlfn.XLOOKUP(C808,Table2[Species],Table2[Family],"Code Not Found")</f>
        <v>Sapindaceae</v>
      </c>
      <c r="O808" t="str" cm="1">
        <f t="array" ref="O808">_xlfn.IFS(F808="","",F808&lt;=5,"0 to 5",F808&lt;=10,"5.1 to 10",F808&lt;=20,"10 to 20", F808&lt;= 40, "20 to 40", F808 &lt;= 50, "40 to 50", F808 &gt; 50, "&gt;50" )</f>
        <v>0 to 5</v>
      </c>
    </row>
    <row r="809" spans="1:15" ht="14.4" x14ac:dyDescent="0.3">
      <c r="A809" t="s">
        <v>213</v>
      </c>
      <c r="B809" s="1">
        <v>46178</v>
      </c>
      <c r="C809" t="s">
        <v>64</v>
      </c>
      <c r="D809">
        <v>747</v>
      </c>
      <c r="E809">
        <v>1</v>
      </c>
      <c r="F809">
        <v>1.8</v>
      </c>
      <c r="G809" t="s">
        <v>21</v>
      </c>
      <c r="I809" t="str">
        <f t="shared" si="14"/>
        <v>747_1</v>
      </c>
      <c r="J809" t="s">
        <v>214</v>
      </c>
      <c r="K809" t="s">
        <v>19</v>
      </c>
      <c r="L809" t="str">
        <f>_xlfn.XLOOKUP(C809, Table2[Species],Table2[Genus], "Code Not Found")</f>
        <v>Fagus</v>
      </c>
      <c r="M809" t="str">
        <f>_xlfn.XLOOKUP(C809, Table2[Species],Table2[Sp. Name], "Code Not Found")</f>
        <v>grandifolia</v>
      </c>
      <c r="N809" t="str">
        <f>_xlfn.XLOOKUP(C809,Table2[Species],Table2[Family],"Code Not Found")</f>
        <v>Fagaceae</v>
      </c>
      <c r="O809" t="str" cm="1">
        <f t="array" ref="O809">_xlfn.IFS(F809="","",F809&lt;=5,"0 to 5",F809&lt;=10,"5.1 to 10",F809&lt;=20,"10 to 20", F809&lt;= 40, "20 to 40", F809 &lt;= 50, "40 to 50", F809 &gt; 50, "&gt;50" )</f>
        <v>0 to 5</v>
      </c>
    </row>
    <row r="810" spans="1:15" ht="14.4" x14ac:dyDescent="0.3">
      <c r="A810" t="s">
        <v>213</v>
      </c>
      <c r="B810" s="1">
        <v>46178</v>
      </c>
      <c r="C810" t="s">
        <v>16</v>
      </c>
      <c r="D810">
        <v>748</v>
      </c>
      <c r="E810">
        <v>1</v>
      </c>
      <c r="F810">
        <v>2.2000000000000002</v>
      </c>
      <c r="G810" t="s">
        <v>17</v>
      </c>
      <c r="I810" t="str">
        <f t="shared" si="14"/>
        <v>748_1</v>
      </c>
      <c r="J810" t="s">
        <v>214</v>
      </c>
      <c r="K810" t="s">
        <v>19</v>
      </c>
      <c r="L810" t="str">
        <f>_xlfn.XLOOKUP(C810, Table2[Species],Table2[Genus], "Code Not Found")</f>
        <v>Acer</v>
      </c>
      <c r="M810" t="str">
        <f>_xlfn.XLOOKUP(C810, Table2[Species],Table2[Sp. Name], "Code Not Found")</f>
        <v>saccharum</v>
      </c>
      <c r="N810" t="str">
        <f>_xlfn.XLOOKUP(C810,Table2[Species],Table2[Family],"Code Not Found")</f>
        <v>Sapindaceae</v>
      </c>
      <c r="O810" t="str" cm="1">
        <f t="array" ref="O810">_xlfn.IFS(F810="","",F810&lt;=5,"0 to 5",F810&lt;=10,"5.1 to 10",F810&lt;=20,"10 to 20", F810&lt;= 40, "20 to 40", F810 &lt;= 50, "40 to 50", F810 &gt; 50, "&gt;50" )</f>
        <v>0 to 5</v>
      </c>
    </row>
    <row r="811" spans="1:15" ht="14.4" x14ac:dyDescent="0.3">
      <c r="A811" t="s">
        <v>213</v>
      </c>
      <c r="B811" s="1">
        <v>46178</v>
      </c>
      <c r="C811" t="s">
        <v>16</v>
      </c>
      <c r="D811">
        <v>749</v>
      </c>
      <c r="E811">
        <v>1</v>
      </c>
      <c r="F811">
        <v>5.5</v>
      </c>
      <c r="G811" t="s">
        <v>17</v>
      </c>
      <c r="I811" t="str">
        <f t="shared" si="14"/>
        <v>749_1</v>
      </c>
      <c r="J811" t="s">
        <v>214</v>
      </c>
      <c r="K811" t="s">
        <v>19</v>
      </c>
      <c r="L811" t="str">
        <f>_xlfn.XLOOKUP(C811, Table2[Species],Table2[Genus], "Code Not Found")</f>
        <v>Acer</v>
      </c>
      <c r="M811" t="str">
        <f>_xlfn.XLOOKUP(C811, Table2[Species],Table2[Sp. Name], "Code Not Found")</f>
        <v>saccharum</v>
      </c>
      <c r="N811" t="str">
        <f>_xlfn.XLOOKUP(C811,Table2[Species],Table2[Family],"Code Not Found")</f>
        <v>Sapindaceae</v>
      </c>
      <c r="O811" t="str" cm="1">
        <f t="array" ref="O811">_xlfn.IFS(F811="","",F811&lt;=5,"0 to 5",F811&lt;=10,"5.1 to 10",F811&lt;=20,"10 to 20", F811&lt;= 40, "20 to 40", F811 &lt;= 50, "40 to 50", F811 &gt; 50, "&gt;50" )</f>
        <v>5.1 to 10</v>
      </c>
    </row>
    <row r="812" spans="1:15" ht="14.4" x14ac:dyDescent="0.3">
      <c r="A812" t="s">
        <v>213</v>
      </c>
      <c r="B812" s="1">
        <v>46178</v>
      </c>
      <c r="C812" t="s">
        <v>16</v>
      </c>
      <c r="D812">
        <v>750</v>
      </c>
      <c r="E812">
        <v>1</v>
      </c>
      <c r="F812">
        <v>2.6</v>
      </c>
      <c r="G812" t="s">
        <v>17</v>
      </c>
      <c r="I812" t="str">
        <f t="shared" si="14"/>
        <v>750_1</v>
      </c>
      <c r="J812" t="s">
        <v>214</v>
      </c>
      <c r="K812" t="s">
        <v>19</v>
      </c>
      <c r="L812" t="str">
        <f>_xlfn.XLOOKUP(C812, Table2[Species],Table2[Genus], "Code Not Found")</f>
        <v>Acer</v>
      </c>
      <c r="M812" t="str">
        <f>_xlfn.XLOOKUP(C812, Table2[Species],Table2[Sp. Name], "Code Not Found")</f>
        <v>saccharum</v>
      </c>
      <c r="N812" t="str">
        <f>_xlfn.XLOOKUP(C812,Table2[Species],Table2[Family],"Code Not Found")</f>
        <v>Sapindaceae</v>
      </c>
      <c r="O812" t="str" cm="1">
        <f t="array" ref="O812">_xlfn.IFS(F812="","",F812&lt;=5,"0 to 5",F812&lt;=10,"5.1 to 10",F812&lt;=20,"10 to 20", F812&lt;= 40, "20 to 40", F812 &lt;= 50, "40 to 50", F812 &gt; 50, "&gt;50" )</f>
        <v>0 to 5</v>
      </c>
    </row>
    <row r="813" spans="1:15" ht="14.4" x14ac:dyDescent="0.3">
      <c r="A813" t="s">
        <v>213</v>
      </c>
      <c r="B813" s="1">
        <v>46178</v>
      </c>
      <c r="C813" t="s">
        <v>16</v>
      </c>
      <c r="D813">
        <v>751</v>
      </c>
      <c r="E813">
        <v>1</v>
      </c>
      <c r="F813">
        <v>2.7</v>
      </c>
      <c r="G813" t="s">
        <v>17</v>
      </c>
      <c r="I813" t="str">
        <f t="shared" si="14"/>
        <v>751_1</v>
      </c>
      <c r="J813" t="s">
        <v>214</v>
      </c>
      <c r="K813" t="s">
        <v>19</v>
      </c>
      <c r="L813" t="str">
        <f>_xlfn.XLOOKUP(C813, Table2[Species],Table2[Genus], "Code Not Found")</f>
        <v>Acer</v>
      </c>
      <c r="M813" t="str">
        <f>_xlfn.XLOOKUP(C813, Table2[Species],Table2[Sp. Name], "Code Not Found")</f>
        <v>saccharum</v>
      </c>
      <c r="N813" t="str">
        <f>_xlfn.XLOOKUP(C813,Table2[Species],Table2[Family],"Code Not Found")</f>
        <v>Sapindaceae</v>
      </c>
      <c r="O813" t="str" cm="1">
        <f t="array" ref="O813">_xlfn.IFS(F813="","",F813&lt;=5,"0 to 5",F813&lt;=10,"5.1 to 10",F813&lt;=20,"10 to 20", F813&lt;= 40, "20 to 40", F813 &lt;= 50, "40 to 50", F813 &gt; 50, "&gt;50" )</f>
        <v>0 to 5</v>
      </c>
    </row>
    <row r="814" spans="1:15" ht="14.4" x14ac:dyDescent="0.3">
      <c r="A814" t="s">
        <v>213</v>
      </c>
      <c r="B814" s="1">
        <v>46178</v>
      </c>
      <c r="C814" t="s">
        <v>16</v>
      </c>
      <c r="D814">
        <v>752</v>
      </c>
      <c r="E814">
        <v>1</v>
      </c>
      <c r="F814">
        <v>3.4</v>
      </c>
      <c r="G814" t="s">
        <v>30</v>
      </c>
      <c r="H814" t="s">
        <v>99</v>
      </c>
      <c r="I814" t="str">
        <f t="shared" si="14"/>
        <v>752_1</v>
      </c>
      <c r="J814" t="s">
        <v>214</v>
      </c>
      <c r="K814" t="s">
        <v>19</v>
      </c>
      <c r="L814" t="str">
        <f>_xlfn.XLOOKUP(C814, Table2[Species],Table2[Genus], "Code Not Found")</f>
        <v>Acer</v>
      </c>
      <c r="M814" t="str">
        <f>_xlfn.XLOOKUP(C814, Table2[Species],Table2[Sp. Name], "Code Not Found")</f>
        <v>saccharum</v>
      </c>
      <c r="N814" t="str">
        <f>_xlfn.XLOOKUP(C814,Table2[Species],Table2[Family],"Code Not Found")</f>
        <v>Sapindaceae</v>
      </c>
      <c r="O814" t="str" cm="1">
        <f t="array" ref="O814">_xlfn.IFS(F814="","",F814&lt;=5,"0 to 5",F814&lt;=10,"5.1 to 10",F814&lt;=20,"10 to 20", F814&lt;= 40, "20 to 40", F814 &lt;= 50, "40 to 50", F814 &gt; 50, "&gt;50" )</f>
        <v>0 to 5</v>
      </c>
    </row>
    <row r="815" spans="1:15" ht="14.4" x14ac:dyDescent="0.3">
      <c r="A815" t="s">
        <v>213</v>
      </c>
      <c r="B815" s="1">
        <v>46178</v>
      </c>
      <c r="C815" t="s">
        <v>64</v>
      </c>
      <c r="D815">
        <v>753</v>
      </c>
      <c r="E815">
        <v>1</v>
      </c>
      <c r="F815">
        <v>2.2000000000000002</v>
      </c>
      <c r="G815" t="s">
        <v>21</v>
      </c>
      <c r="I815" t="str">
        <f t="shared" si="14"/>
        <v>753_1</v>
      </c>
      <c r="J815" t="s">
        <v>214</v>
      </c>
      <c r="K815" t="s">
        <v>19</v>
      </c>
      <c r="L815" t="str">
        <f>_xlfn.XLOOKUP(C815, Table2[Species],Table2[Genus], "Code Not Found")</f>
        <v>Fagus</v>
      </c>
      <c r="M815" t="str">
        <f>_xlfn.XLOOKUP(C815, Table2[Species],Table2[Sp. Name], "Code Not Found")</f>
        <v>grandifolia</v>
      </c>
      <c r="N815" t="str">
        <f>_xlfn.XLOOKUP(C815,Table2[Species],Table2[Family],"Code Not Found")</f>
        <v>Fagaceae</v>
      </c>
      <c r="O815" t="str" cm="1">
        <f t="array" ref="O815">_xlfn.IFS(F815="","",F815&lt;=5,"0 to 5",F815&lt;=10,"5.1 to 10",F815&lt;=20,"10 to 20", F815&lt;= 40, "20 to 40", F815 &lt;= 50, "40 to 50", F815 &gt; 50, "&gt;50" )</f>
        <v>0 to 5</v>
      </c>
    </row>
    <row r="816" spans="1:15" ht="14.4" x14ac:dyDescent="0.3">
      <c r="A816" t="s">
        <v>213</v>
      </c>
      <c r="B816" s="1">
        <v>46178</v>
      </c>
      <c r="C816" t="s">
        <v>16</v>
      </c>
      <c r="D816">
        <v>754</v>
      </c>
      <c r="E816">
        <v>1</v>
      </c>
      <c r="F816">
        <v>3.1</v>
      </c>
      <c r="G816" t="s">
        <v>17</v>
      </c>
      <c r="I816" t="str">
        <f t="shared" si="14"/>
        <v>754_1</v>
      </c>
      <c r="J816" t="s">
        <v>214</v>
      </c>
      <c r="K816" t="s">
        <v>19</v>
      </c>
      <c r="L816" t="str">
        <f>_xlfn.XLOOKUP(C816, Table2[Species],Table2[Genus], "Code Not Found")</f>
        <v>Acer</v>
      </c>
      <c r="M816" t="str">
        <f>_xlfn.XLOOKUP(C816, Table2[Species],Table2[Sp. Name], "Code Not Found")</f>
        <v>saccharum</v>
      </c>
      <c r="N816" t="str">
        <f>_xlfn.XLOOKUP(C816,Table2[Species],Table2[Family],"Code Not Found")</f>
        <v>Sapindaceae</v>
      </c>
      <c r="O816" t="str" cm="1">
        <f t="array" ref="O816">_xlfn.IFS(F816="","",F816&lt;=5,"0 to 5",F816&lt;=10,"5.1 to 10",F816&lt;=20,"10 to 20", F816&lt;= 40, "20 to 40", F816 &lt;= 50, "40 to 50", F816 &gt; 50, "&gt;50" )</f>
        <v>0 to 5</v>
      </c>
    </row>
    <row r="817" spans="1:15" ht="14.4" x14ac:dyDescent="0.3">
      <c r="A817" t="s">
        <v>213</v>
      </c>
      <c r="B817" s="1">
        <v>46178</v>
      </c>
      <c r="C817" t="s">
        <v>16</v>
      </c>
      <c r="D817">
        <v>755</v>
      </c>
      <c r="E817">
        <v>1</v>
      </c>
      <c r="F817">
        <v>2</v>
      </c>
      <c r="G817" t="s">
        <v>54</v>
      </c>
      <c r="H817" t="s">
        <v>215</v>
      </c>
      <c r="I817" t="str">
        <f t="shared" si="14"/>
        <v>755_1</v>
      </c>
      <c r="J817" t="s">
        <v>214</v>
      </c>
      <c r="K817" t="s">
        <v>19</v>
      </c>
      <c r="L817" t="str">
        <f>_xlfn.XLOOKUP(C817, Table2[Species],Table2[Genus], "Code Not Found")</f>
        <v>Acer</v>
      </c>
      <c r="M817" t="str">
        <f>_xlfn.XLOOKUP(C817, Table2[Species],Table2[Sp. Name], "Code Not Found")</f>
        <v>saccharum</v>
      </c>
      <c r="N817" t="str">
        <f>_xlfn.XLOOKUP(C817,Table2[Species],Table2[Family],"Code Not Found")</f>
        <v>Sapindaceae</v>
      </c>
      <c r="O817" t="str" cm="1">
        <f t="array" ref="O817">_xlfn.IFS(F817="","",F817&lt;=5,"0 to 5",F817&lt;=10,"5.1 to 10",F817&lt;=20,"10 to 20", F817&lt;= 40, "20 to 40", F817 &lt;= 50, "40 to 50", F817 &gt; 50, "&gt;50" )</f>
        <v>0 to 5</v>
      </c>
    </row>
    <row r="818" spans="1:15" ht="14.4" x14ac:dyDescent="0.3">
      <c r="A818" t="s">
        <v>213</v>
      </c>
      <c r="B818" s="1">
        <v>46178</v>
      </c>
      <c r="C818" t="s">
        <v>16</v>
      </c>
      <c r="D818">
        <v>756</v>
      </c>
      <c r="E818">
        <v>1</v>
      </c>
      <c r="F818">
        <v>1.4</v>
      </c>
      <c r="G818" t="s">
        <v>21</v>
      </c>
      <c r="I818" t="str">
        <f t="shared" si="14"/>
        <v>756_1</v>
      </c>
      <c r="J818" t="s">
        <v>214</v>
      </c>
      <c r="K818" t="s">
        <v>19</v>
      </c>
      <c r="L818" t="str">
        <f>_xlfn.XLOOKUP(C818, Table2[Species],Table2[Genus], "Code Not Found")</f>
        <v>Acer</v>
      </c>
      <c r="M818" t="str">
        <f>_xlfn.XLOOKUP(C818, Table2[Species],Table2[Sp. Name], "Code Not Found")</f>
        <v>saccharum</v>
      </c>
      <c r="N818" t="str">
        <f>_xlfn.XLOOKUP(C818,Table2[Species],Table2[Family],"Code Not Found")</f>
        <v>Sapindaceae</v>
      </c>
      <c r="O818" t="str" cm="1">
        <f t="array" ref="O818">_xlfn.IFS(F818="","",F818&lt;=5,"0 to 5",F818&lt;=10,"5.1 to 10",F818&lt;=20,"10 to 20", F818&lt;= 40, "20 to 40", F818 &lt;= 50, "40 to 50", F818 &gt; 50, "&gt;50" )</f>
        <v>0 to 5</v>
      </c>
    </row>
    <row r="819" spans="1:15" ht="14.4" x14ac:dyDescent="0.3">
      <c r="A819" t="s">
        <v>213</v>
      </c>
      <c r="B819" s="1">
        <v>46178</v>
      </c>
      <c r="C819" t="s">
        <v>16</v>
      </c>
      <c r="D819">
        <v>757</v>
      </c>
      <c r="E819">
        <v>1</v>
      </c>
      <c r="F819">
        <v>1.9</v>
      </c>
      <c r="G819" t="s">
        <v>17</v>
      </c>
      <c r="I819" t="str">
        <f t="shared" si="14"/>
        <v>757_1</v>
      </c>
      <c r="J819" t="s">
        <v>214</v>
      </c>
      <c r="K819" t="s">
        <v>19</v>
      </c>
      <c r="L819" t="str">
        <f>_xlfn.XLOOKUP(C819, Table2[Species],Table2[Genus], "Code Not Found")</f>
        <v>Acer</v>
      </c>
      <c r="M819" t="str">
        <f>_xlfn.XLOOKUP(C819, Table2[Species],Table2[Sp. Name], "Code Not Found")</f>
        <v>saccharum</v>
      </c>
      <c r="N819" t="str">
        <f>_xlfn.XLOOKUP(C819,Table2[Species],Table2[Family],"Code Not Found")</f>
        <v>Sapindaceae</v>
      </c>
      <c r="O819" t="str" cm="1">
        <f t="array" ref="O819">_xlfn.IFS(F819="","",F819&lt;=5,"0 to 5",F819&lt;=10,"5.1 to 10",F819&lt;=20,"10 to 20", F819&lt;= 40, "20 to 40", F819 &lt;= 50, "40 to 50", F819 &gt; 50, "&gt;50" )</f>
        <v>0 to 5</v>
      </c>
    </row>
    <row r="820" spans="1:15" ht="14.4" x14ac:dyDescent="0.3">
      <c r="A820" t="s">
        <v>213</v>
      </c>
      <c r="B820" s="1">
        <v>46178</v>
      </c>
      <c r="C820" t="s">
        <v>216</v>
      </c>
      <c r="D820">
        <v>758</v>
      </c>
      <c r="E820">
        <v>1</v>
      </c>
      <c r="F820">
        <v>9.1999999999999993</v>
      </c>
      <c r="G820" t="s">
        <v>21</v>
      </c>
      <c r="I820" t="str">
        <f t="shared" si="14"/>
        <v>758_1</v>
      </c>
      <c r="J820" t="s">
        <v>214</v>
      </c>
      <c r="K820" t="s">
        <v>19</v>
      </c>
      <c r="L820" t="str">
        <f>_xlfn.XLOOKUP(C820, Table2[Species],Table2[Genus], "Code Not Found")</f>
        <v>Crataegus</v>
      </c>
      <c r="M820" t="str">
        <f>_xlfn.XLOOKUP(C820, Table2[Species],Table2[Sp. Name], "Code Not Found")</f>
        <v>species</v>
      </c>
      <c r="N820" t="str">
        <f>_xlfn.XLOOKUP(C820,Table2[Species],Table2[Family],"Code Not Found")</f>
        <v>Rosaceae</v>
      </c>
      <c r="O820" t="str" cm="1">
        <f t="array" ref="O820">_xlfn.IFS(F820="","",F820&lt;=5,"0 to 5",F820&lt;=10,"5.1 to 10",F820&lt;=20,"10 to 20", F820&lt;= 40, "20 to 40", F820 &lt;= 50, "40 to 50", F820 &gt; 50, "&gt;50" )</f>
        <v>5.1 to 10</v>
      </c>
    </row>
    <row r="821" spans="1:15" ht="14.4" x14ac:dyDescent="0.3">
      <c r="A821" t="s">
        <v>213</v>
      </c>
      <c r="B821" s="1">
        <v>46178</v>
      </c>
      <c r="C821" t="s">
        <v>16</v>
      </c>
      <c r="D821">
        <v>759</v>
      </c>
      <c r="E821">
        <v>1</v>
      </c>
      <c r="F821">
        <v>2</v>
      </c>
      <c r="G821" t="s">
        <v>21</v>
      </c>
      <c r="I821" t="str">
        <f t="shared" si="14"/>
        <v>759_1</v>
      </c>
      <c r="J821" t="s">
        <v>214</v>
      </c>
      <c r="K821" t="s">
        <v>19</v>
      </c>
      <c r="L821" t="str">
        <f>_xlfn.XLOOKUP(C821, Table2[Species],Table2[Genus], "Code Not Found")</f>
        <v>Acer</v>
      </c>
      <c r="M821" t="str">
        <f>_xlfn.XLOOKUP(C821, Table2[Species],Table2[Sp. Name], "Code Not Found")</f>
        <v>saccharum</v>
      </c>
      <c r="N821" t="str">
        <f>_xlfn.XLOOKUP(C821,Table2[Species],Table2[Family],"Code Not Found")</f>
        <v>Sapindaceae</v>
      </c>
      <c r="O821" t="str" cm="1">
        <f t="array" ref="O821">_xlfn.IFS(F821="","",F821&lt;=5,"0 to 5",F821&lt;=10,"5.1 to 10",F821&lt;=20,"10 to 20", F821&lt;= 40, "20 to 40", F821 &lt;= 50, "40 to 50", F821 &gt; 50, "&gt;50" )</f>
        <v>0 to 5</v>
      </c>
    </row>
    <row r="822" spans="1:15" ht="14.4" x14ac:dyDescent="0.3">
      <c r="A822" t="s">
        <v>213</v>
      </c>
      <c r="B822" s="1">
        <v>46178</v>
      </c>
      <c r="C822" t="s">
        <v>16</v>
      </c>
      <c r="D822">
        <v>760</v>
      </c>
      <c r="E822">
        <v>1</v>
      </c>
      <c r="F822">
        <v>1.4</v>
      </c>
      <c r="G822" t="s">
        <v>47</v>
      </c>
      <c r="I822" t="str">
        <f t="shared" si="14"/>
        <v>760_1</v>
      </c>
      <c r="J822" t="s">
        <v>214</v>
      </c>
      <c r="K822" t="s">
        <v>19</v>
      </c>
      <c r="L822" t="str">
        <f>_xlfn.XLOOKUP(C822, Table2[Species],Table2[Genus], "Code Not Found")</f>
        <v>Acer</v>
      </c>
      <c r="M822" t="str">
        <f>_xlfn.XLOOKUP(C822, Table2[Species],Table2[Sp. Name], "Code Not Found")</f>
        <v>saccharum</v>
      </c>
      <c r="N822" t="str">
        <f>_xlfn.XLOOKUP(C822,Table2[Species],Table2[Family],"Code Not Found")</f>
        <v>Sapindaceae</v>
      </c>
      <c r="O822" t="str" cm="1">
        <f t="array" ref="O822">_xlfn.IFS(F822="","",F822&lt;=5,"0 to 5",F822&lt;=10,"5.1 to 10",F822&lt;=20,"10 to 20", F822&lt;= 40, "20 to 40", F822 &lt;= 50, "40 to 50", F822 &gt; 50, "&gt;50" )</f>
        <v>0 to 5</v>
      </c>
    </row>
    <row r="823" spans="1:15" ht="14.4" x14ac:dyDescent="0.3">
      <c r="A823" t="s">
        <v>213</v>
      </c>
      <c r="B823" s="1">
        <v>46178</v>
      </c>
      <c r="C823" t="s">
        <v>216</v>
      </c>
      <c r="D823">
        <v>761</v>
      </c>
      <c r="E823">
        <v>1</v>
      </c>
      <c r="F823">
        <v>13.4</v>
      </c>
      <c r="G823" t="s">
        <v>17</v>
      </c>
      <c r="H823" t="s">
        <v>36</v>
      </c>
      <c r="I823" t="str">
        <f t="shared" si="14"/>
        <v>761_1</v>
      </c>
      <c r="J823" t="s">
        <v>214</v>
      </c>
      <c r="K823" t="s">
        <v>19</v>
      </c>
      <c r="L823" t="str">
        <f>_xlfn.XLOOKUP(C823, Table2[Species],Table2[Genus], "Code Not Found")</f>
        <v>Crataegus</v>
      </c>
      <c r="M823" t="str">
        <f>_xlfn.XLOOKUP(C823, Table2[Species],Table2[Sp. Name], "Code Not Found")</f>
        <v>species</v>
      </c>
      <c r="N823" t="str">
        <f>_xlfn.XLOOKUP(C823,Table2[Species],Table2[Family],"Code Not Found")</f>
        <v>Rosaceae</v>
      </c>
      <c r="O823" t="str" cm="1">
        <f t="array" ref="O823">_xlfn.IFS(F823="","",F823&lt;=5,"0 to 5",F823&lt;=10,"5.1 to 10",F823&lt;=20,"10 to 20", F823&lt;= 40, "20 to 40", F823 &lt;= 50, "40 to 50", F823 &gt; 50, "&gt;50" )</f>
        <v>10 to 20</v>
      </c>
    </row>
    <row r="824" spans="1:15" ht="14.4" x14ac:dyDescent="0.3">
      <c r="A824" t="s">
        <v>213</v>
      </c>
      <c r="B824" s="1">
        <v>46178</v>
      </c>
      <c r="C824" t="s">
        <v>16</v>
      </c>
      <c r="D824">
        <v>762</v>
      </c>
      <c r="E824">
        <v>1</v>
      </c>
      <c r="F824">
        <v>1.9</v>
      </c>
      <c r="G824" t="s">
        <v>21</v>
      </c>
      <c r="I824" t="str">
        <f t="shared" si="14"/>
        <v>762_1</v>
      </c>
      <c r="J824" t="s">
        <v>214</v>
      </c>
      <c r="K824" t="s">
        <v>19</v>
      </c>
      <c r="L824" t="str">
        <f>_xlfn.XLOOKUP(C824, Table2[Species],Table2[Genus], "Code Not Found")</f>
        <v>Acer</v>
      </c>
      <c r="M824" t="str">
        <f>_xlfn.XLOOKUP(C824, Table2[Species],Table2[Sp. Name], "Code Not Found")</f>
        <v>saccharum</v>
      </c>
      <c r="N824" t="str">
        <f>_xlfn.XLOOKUP(C824,Table2[Species],Table2[Family],"Code Not Found")</f>
        <v>Sapindaceae</v>
      </c>
      <c r="O824" t="str" cm="1">
        <f t="array" ref="O824">_xlfn.IFS(F824="","",F824&lt;=5,"0 to 5",F824&lt;=10,"5.1 to 10",F824&lt;=20,"10 to 20", F824&lt;= 40, "20 to 40", F824 &lt;= 50, "40 to 50", F824 &gt; 50, "&gt;50" )</f>
        <v>0 to 5</v>
      </c>
    </row>
    <row r="825" spans="1:15" ht="14.4" x14ac:dyDescent="0.3">
      <c r="A825" t="s">
        <v>213</v>
      </c>
      <c r="B825" s="1">
        <v>46178</v>
      </c>
      <c r="C825" t="s">
        <v>16</v>
      </c>
      <c r="D825">
        <v>763</v>
      </c>
      <c r="E825">
        <v>1</v>
      </c>
      <c r="F825">
        <v>3.8</v>
      </c>
      <c r="G825" t="s">
        <v>30</v>
      </c>
      <c r="H825" t="s">
        <v>217</v>
      </c>
      <c r="I825" t="str">
        <f t="shared" si="14"/>
        <v>763_1</v>
      </c>
      <c r="J825" t="s">
        <v>214</v>
      </c>
      <c r="K825" t="s">
        <v>19</v>
      </c>
      <c r="L825" t="str">
        <f>_xlfn.XLOOKUP(C825, Table2[Species],Table2[Genus], "Code Not Found")</f>
        <v>Acer</v>
      </c>
      <c r="M825" t="str">
        <f>_xlfn.XLOOKUP(C825, Table2[Species],Table2[Sp. Name], "Code Not Found")</f>
        <v>saccharum</v>
      </c>
      <c r="N825" t="str">
        <f>_xlfn.XLOOKUP(C825,Table2[Species],Table2[Family],"Code Not Found")</f>
        <v>Sapindaceae</v>
      </c>
      <c r="O825" t="str" cm="1">
        <f t="array" ref="O825">_xlfn.IFS(F825="","",F825&lt;=5,"0 to 5",F825&lt;=10,"5.1 to 10",F825&lt;=20,"10 to 20", F825&lt;= 40, "20 to 40", F825 &lt;= 50, "40 to 50", F825 &gt; 50, "&gt;50" )</f>
        <v>0 to 5</v>
      </c>
    </row>
    <row r="826" spans="1:15" ht="14.4" x14ac:dyDescent="0.3">
      <c r="A826" t="s">
        <v>213</v>
      </c>
      <c r="B826" s="1">
        <v>46178</v>
      </c>
      <c r="C826" t="s">
        <v>16</v>
      </c>
      <c r="D826">
        <v>764</v>
      </c>
      <c r="E826">
        <v>1</v>
      </c>
      <c r="F826">
        <v>1.5</v>
      </c>
      <c r="G826" t="s">
        <v>21</v>
      </c>
      <c r="H826" t="s">
        <v>218</v>
      </c>
      <c r="I826" t="str">
        <f t="shared" si="14"/>
        <v>764_1</v>
      </c>
      <c r="J826" t="s">
        <v>214</v>
      </c>
      <c r="K826" t="s">
        <v>19</v>
      </c>
      <c r="L826" t="str">
        <f>_xlfn.XLOOKUP(C826, Table2[Species],Table2[Genus], "Code Not Found")</f>
        <v>Acer</v>
      </c>
      <c r="M826" t="str">
        <f>_xlfn.XLOOKUP(C826, Table2[Species],Table2[Sp. Name], "Code Not Found")</f>
        <v>saccharum</v>
      </c>
      <c r="N826" t="str">
        <f>_xlfn.XLOOKUP(C826,Table2[Species],Table2[Family],"Code Not Found")</f>
        <v>Sapindaceae</v>
      </c>
      <c r="O826" t="str" cm="1">
        <f t="array" ref="O826">_xlfn.IFS(F826="","",F826&lt;=5,"0 to 5",F826&lt;=10,"5.1 to 10",F826&lt;=20,"10 to 20", F826&lt;= 40, "20 to 40", F826 &lt;= 50, "40 to 50", F826 &gt; 50, "&gt;50" )</f>
        <v>0 to 5</v>
      </c>
    </row>
    <row r="827" spans="1:15" ht="14.4" x14ac:dyDescent="0.3">
      <c r="A827" t="s">
        <v>213</v>
      </c>
      <c r="B827" s="1">
        <v>46178</v>
      </c>
      <c r="C827" t="s">
        <v>16</v>
      </c>
      <c r="D827">
        <v>765</v>
      </c>
      <c r="E827">
        <v>1</v>
      </c>
      <c r="F827">
        <v>3.1</v>
      </c>
      <c r="G827" t="s">
        <v>21</v>
      </c>
      <c r="H827" t="s">
        <v>219</v>
      </c>
      <c r="I827" t="str">
        <f t="shared" si="14"/>
        <v>765_1</v>
      </c>
      <c r="J827" t="s">
        <v>214</v>
      </c>
      <c r="K827" t="s">
        <v>19</v>
      </c>
      <c r="L827" t="str">
        <f>_xlfn.XLOOKUP(C827, Table2[Species],Table2[Genus], "Code Not Found")</f>
        <v>Acer</v>
      </c>
      <c r="M827" t="str">
        <f>_xlfn.XLOOKUP(C827, Table2[Species],Table2[Sp. Name], "Code Not Found")</f>
        <v>saccharum</v>
      </c>
      <c r="N827" t="str">
        <f>_xlfn.XLOOKUP(C827,Table2[Species],Table2[Family],"Code Not Found")</f>
        <v>Sapindaceae</v>
      </c>
      <c r="O827" t="str" cm="1">
        <f t="array" ref="O827">_xlfn.IFS(F827="","",F827&lt;=5,"0 to 5",F827&lt;=10,"5.1 to 10",F827&lt;=20,"10 to 20", F827&lt;= 40, "20 to 40", F827 &lt;= 50, "40 to 50", F827 &gt; 50, "&gt;50" )</f>
        <v>0 to 5</v>
      </c>
    </row>
    <row r="828" spans="1:15" ht="14.4" x14ac:dyDescent="0.3">
      <c r="A828" t="s">
        <v>213</v>
      </c>
      <c r="B828" s="1">
        <v>46178</v>
      </c>
      <c r="C828" t="s">
        <v>16</v>
      </c>
      <c r="D828">
        <v>766</v>
      </c>
      <c r="E828">
        <v>1</v>
      </c>
      <c r="F828">
        <v>3.3</v>
      </c>
      <c r="G828" t="s">
        <v>17</v>
      </c>
      <c r="I828" t="str">
        <f t="shared" si="14"/>
        <v>766_1</v>
      </c>
      <c r="J828" t="s">
        <v>214</v>
      </c>
      <c r="K828" t="s">
        <v>19</v>
      </c>
      <c r="L828" t="str">
        <f>_xlfn.XLOOKUP(C828, Table2[Species],Table2[Genus], "Code Not Found")</f>
        <v>Acer</v>
      </c>
      <c r="M828" t="str">
        <f>_xlfn.XLOOKUP(C828, Table2[Species],Table2[Sp. Name], "Code Not Found")</f>
        <v>saccharum</v>
      </c>
      <c r="N828" t="str">
        <f>_xlfn.XLOOKUP(C828,Table2[Species],Table2[Family],"Code Not Found")</f>
        <v>Sapindaceae</v>
      </c>
      <c r="O828" t="str" cm="1">
        <f t="array" ref="O828">_xlfn.IFS(F828="","",F828&lt;=5,"0 to 5",F828&lt;=10,"5.1 to 10",F828&lt;=20,"10 to 20", F828&lt;= 40, "20 to 40", F828 &lt;= 50, "40 to 50", F828 &gt; 50, "&gt;50" )</f>
        <v>0 to 5</v>
      </c>
    </row>
    <row r="829" spans="1:15" ht="14.4" x14ac:dyDescent="0.3">
      <c r="A829" t="s">
        <v>213</v>
      </c>
      <c r="B829" s="1">
        <v>46178</v>
      </c>
      <c r="C829" t="s">
        <v>16</v>
      </c>
      <c r="D829">
        <v>767</v>
      </c>
      <c r="E829">
        <v>1</v>
      </c>
      <c r="F829">
        <v>1.5</v>
      </c>
      <c r="G829" t="s">
        <v>21</v>
      </c>
      <c r="I829" t="str">
        <f t="shared" si="14"/>
        <v>767_1</v>
      </c>
      <c r="J829" t="s">
        <v>214</v>
      </c>
      <c r="K829" t="s">
        <v>19</v>
      </c>
      <c r="L829" t="str">
        <f>_xlfn.XLOOKUP(C829, Table2[Species],Table2[Genus], "Code Not Found")</f>
        <v>Acer</v>
      </c>
      <c r="M829" t="str">
        <f>_xlfn.XLOOKUP(C829, Table2[Species],Table2[Sp. Name], "Code Not Found")</f>
        <v>saccharum</v>
      </c>
      <c r="N829" t="str">
        <f>_xlfn.XLOOKUP(C829,Table2[Species],Table2[Family],"Code Not Found")</f>
        <v>Sapindaceae</v>
      </c>
      <c r="O829" t="str" cm="1">
        <f t="array" ref="O829">_xlfn.IFS(F829="","",F829&lt;=5,"0 to 5",F829&lt;=10,"5.1 to 10",F829&lt;=20,"10 to 20", F829&lt;= 40, "20 to 40", F829 &lt;= 50, "40 to 50", F829 &gt; 50, "&gt;50" )</f>
        <v>0 to 5</v>
      </c>
    </row>
    <row r="830" spans="1:15" ht="14.4" x14ac:dyDescent="0.3">
      <c r="A830" t="s">
        <v>213</v>
      </c>
      <c r="B830" s="1">
        <v>46178</v>
      </c>
      <c r="C830" t="s">
        <v>16</v>
      </c>
      <c r="D830">
        <v>768</v>
      </c>
      <c r="E830">
        <v>1</v>
      </c>
      <c r="F830">
        <v>5</v>
      </c>
      <c r="G830" t="s">
        <v>17</v>
      </c>
      <c r="I830" t="str">
        <f t="shared" si="14"/>
        <v>768_1</v>
      </c>
      <c r="J830" t="s">
        <v>214</v>
      </c>
      <c r="K830" t="s">
        <v>19</v>
      </c>
      <c r="L830" t="str">
        <f>_xlfn.XLOOKUP(C830, Table2[Species],Table2[Genus], "Code Not Found")</f>
        <v>Acer</v>
      </c>
      <c r="M830" t="str">
        <f>_xlfn.XLOOKUP(C830, Table2[Species],Table2[Sp. Name], "Code Not Found")</f>
        <v>saccharum</v>
      </c>
      <c r="N830" t="str">
        <f>_xlfn.XLOOKUP(C830,Table2[Species],Table2[Family],"Code Not Found")</f>
        <v>Sapindaceae</v>
      </c>
      <c r="O830" t="str" cm="1">
        <f t="array" ref="O830">_xlfn.IFS(F830="","",F830&lt;=5,"0 to 5",F830&lt;=10,"5.1 to 10",F830&lt;=20,"10 to 20", F830&lt;= 40, "20 to 40", F830 &lt;= 50, "40 to 50", F830 &gt; 50, "&gt;50" )</f>
        <v>0 to 5</v>
      </c>
    </row>
    <row r="831" spans="1:15" ht="14.4" x14ac:dyDescent="0.3">
      <c r="A831" t="s">
        <v>213</v>
      </c>
      <c r="B831" s="1">
        <v>46178</v>
      </c>
      <c r="C831" t="s">
        <v>123</v>
      </c>
      <c r="D831">
        <v>769</v>
      </c>
      <c r="E831">
        <v>1</v>
      </c>
      <c r="F831">
        <v>76.599999999999994</v>
      </c>
      <c r="G831" t="s">
        <v>21</v>
      </c>
      <c r="I831" t="str">
        <f t="shared" si="14"/>
        <v>769_1</v>
      </c>
      <c r="J831" t="s">
        <v>214</v>
      </c>
      <c r="K831" t="s">
        <v>19</v>
      </c>
      <c r="L831" t="str">
        <f>_xlfn.XLOOKUP(C831, Table2[Species],Table2[Genus], "Code Not Found")</f>
        <v>Quercus</v>
      </c>
      <c r="M831" t="str">
        <f>_xlfn.XLOOKUP(C831, Table2[Species],Table2[Sp. Name], "Code Not Found")</f>
        <v>rubra</v>
      </c>
      <c r="N831" t="str">
        <f>_xlfn.XLOOKUP(C831,Table2[Species],Table2[Family],"Code Not Found")</f>
        <v>Fagaceae</v>
      </c>
      <c r="O831" t="str" cm="1">
        <f t="array" ref="O831">_xlfn.IFS(F831="","",F831&lt;=5,"0 to 5",F831&lt;=10,"5.1 to 10",F831&lt;=20,"10 to 20", F831&lt;= 40, "20 to 40", F831 &lt;= 50, "40 to 50", F831 &gt; 50, "&gt;50" )</f>
        <v>&gt;50</v>
      </c>
    </row>
    <row r="832" spans="1:15" ht="14.4" x14ac:dyDescent="0.3">
      <c r="A832" t="s">
        <v>213</v>
      </c>
      <c r="B832" s="1">
        <v>46178</v>
      </c>
      <c r="C832" t="s">
        <v>16</v>
      </c>
      <c r="D832">
        <v>770</v>
      </c>
      <c r="E832">
        <v>1</v>
      </c>
      <c r="F832">
        <v>3.2</v>
      </c>
      <c r="G832" t="s">
        <v>21</v>
      </c>
      <c r="I832" t="str">
        <f t="shared" si="14"/>
        <v>770_1</v>
      </c>
      <c r="J832" t="s">
        <v>214</v>
      </c>
      <c r="K832" t="s">
        <v>19</v>
      </c>
      <c r="L832" t="str">
        <f>_xlfn.XLOOKUP(C832, Table2[Species],Table2[Genus], "Code Not Found")</f>
        <v>Acer</v>
      </c>
      <c r="M832" t="str">
        <f>_xlfn.XLOOKUP(C832, Table2[Species],Table2[Sp. Name], "Code Not Found")</f>
        <v>saccharum</v>
      </c>
      <c r="N832" t="str">
        <f>_xlfn.XLOOKUP(C832,Table2[Species],Table2[Family],"Code Not Found")</f>
        <v>Sapindaceae</v>
      </c>
      <c r="O832" t="str" cm="1">
        <f t="array" ref="O832">_xlfn.IFS(F832="","",F832&lt;=5,"0 to 5",F832&lt;=10,"5.1 to 10",F832&lt;=20,"10 to 20", F832&lt;= 40, "20 to 40", F832 &lt;= 50, "40 to 50", F832 &gt; 50, "&gt;50" )</f>
        <v>0 to 5</v>
      </c>
    </row>
    <row r="833" spans="1:15" ht="14.4" x14ac:dyDescent="0.3">
      <c r="A833" t="s">
        <v>213</v>
      </c>
      <c r="B833" s="1">
        <v>46178</v>
      </c>
      <c r="C833" t="s">
        <v>16</v>
      </c>
      <c r="D833">
        <v>771</v>
      </c>
      <c r="E833">
        <v>1</v>
      </c>
      <c r="F833">
        <v>1.5</v>
      </c>
      <c r="G833" t="s">
        <v>17</v>
      </c>
      <c r="I833" t="str">
        <f t="shared" si="14"/>
        <v>771_1</v>
      </c>
      <c r="J833" t="s">
        <v>214</v>
      </c>
      <c r="K833" t="s">
        <v>19</v>
      </c>
      <c r="L833" t="str">
        <f>_xlfn.XLOOKUP(C833, Table2[Species],Table2[Genus], "Code Not Found")</f>
        <v>Acer</v>
      </c>
      <c r="M833" t="str">
        <f>_xlfn.XLOOKUP(C833, Table2[Species],Table2[Sp. Name], "Code Not Found")</f>
        <v>saccharum</v>
      </c>
      <c r="N833" t="str">
        <f>_xlfn.XLOOKUP(C833,Table2[Species],Table2[Family],"Code Not Found")</f>
        <v>Sapindaceae</v>
      </c>
      <c r="O833" t="str" cm="1">
        <f t="array" ref="O833">_xlfn.IFS(F833="","",F833&lt;=5,"0 to 5",F833&lt;=10,"5.1 to 10",F833&lt;=20,"10 to 20", F833&lt;= 40, "20 to 40", F833 &lt;= 50, "40 to 50", F833 &gt; 50, "&gt;50" )</f>
        <v>0 to 5</v>
      </c>
    </row>
    <row r="834" spans="1:15" ht="14.4" x14ac:dyDescent="0.3">
      <c r="A834" t="s">
        <v>213</v>
      </c>
      <c r="B834" s="1">
        <v>46178</v>
      </c>
      <c r="C834" t="s">
        <v>16</v>
      </c>
      <c r="D834">
        <v>772</v>
      </c>
      <c r="E834">
        <v>1</v>
      </c>
      <c r="F834">
        <v>3.9</v>
      </c>
      <c r="G834" t="s">
        <v>21</v>
      </c>
      <c r="I834" t="str">
        <f t="shared" si="14"/>
        <v>772_1</v>
      </c>
      <c r="J834" t="s">
        <v>214</v>
      </c>
      <c r="K834" t="s">
        <v>19</v>
      </c>
      <c r="L834" t="str">
        <f>_xlfn.XLOOKUP(C834, Table2[Species],Table2[Genus], "Code Not Found")</f>
        <v>Acer</v>
      </c>
      <c r="M834" t="str">
        <f>_xlfn.XLOOKUP(C834, Table2[Species],Table2[Sp. Name], "Code Not Found")</f>
        <v>saccharum</v>
      </c>
      <c r="N834" t="str">
        <f>_xlfn.XLOOKUP(C834,Table2[Species],Table2[Family],"Code Not Found")</f>
        <v>Sapindaceae</v>
      </c>
      <c r="O834" t="str" cm="1">
        <f t="array" ref="O834">_xlfn.IFS(F834="","",F834&lt;=5,"0 to 5",F834&lt;=10,"5.1 to 10",F834&lt;=20,"10 to 20", F834&lt;= 40, "20 to 40", F834 &lt;= 50, "40 to 50", F834 &gt; 50, "&gt;50" )</f>
        <v>0 to 5</v>
      </c>
    </row>
    <row r="835" spans="1:15" ht="14.4" x14ac:dyDescent="0.3">
      <c r="A835" t="s">
        <v>213</v>
      </c>
      <c r="B835" s="1">
        <v>46178</v>
      </c>
      <c r="C835" t="s">
        <v>16</v>
      </c>
      <c r="D835">
        <v>773</v>
      </c>
      <c r="E835">
        <v>1</v>
      </c>
      <c r="F835">
        <v>1.3</v>
      </c>
      <c r="G835" t="s">
        <v>21</v>
      </c>
      <c r="I835" t="str">
        <f t="shared" si="14"/>
        <v>773_1</v>
      </c>
      <c r="J835" t="s">
        <v>214</v>
      </c>
      <c r="K835" t="s">
        <v>19</v>
      </c>
      <c r="L835" t="str">
        <f>_xlfn.XLOOKUP(C835, Table2[Species],Table2[Genus], "Code Not Found")</f>
        <v>Acer</v>
      </c>
      <c r="M835" t="str">
        <f>_xlfn.XLOOKUP(C835, Table2[Species],Table2[Sp. Name], "Code Not Found")</f>
        <v>saccharum</v>
      </c>
      <c r="N835" t="str">
        <f>_xlfn.XLOOKUP(C835,Table2[Species],Table2[Family],"Code Not Found")</f>
        <v>Sapindaceae</v>
      </c>
      <c r="O835" t="str" cm="1">
        <f t="array" ref="O835">_xlfn.IFS(F835="","",F835&lt;=5,"0 to 5",F835&lt;=10,"5.1 to 10",F835&lt;=20,"10 to 20", F835&lt;= 40, "20 to 40", F835 &lt;= 50, "40 to 50", F835 &gt; 50, "&gt;50" )</f>
        <v>0 to 5</v>
      </c>
    </row>
    <row r="836" spans="1:15" ht="14.4" x14ac:dyDescent="0.3">
      <c r="A836" t="s">
        <v>213</v>
      </c>
      <c r="B836" s="1">
        <v>46178</v>
      </c>
      <c r="C836" t="s">
        <v>16</v>
      </c>
      <c r="D836">
        <v>774</v>
      </c>
      <c r="E836">
        <v>1</v>
      </c>
      <c r="F836">
        <v>4.2</v>
      </c>
      <c r="G836" t="s">
        <v>21</v>
      </c>
      <c r="I836" t="str">
        <f t="shared" si="14"/>
        <v>774_1</v>
      </c>
      <c r="J836" t="s">
        <v>214</v>
      </c>
      <c r="K836" t="s">
        <v>19</v>
      </c>
      <c r="L836" t="str">
        <f>_xlfn.XLOOKUP(C836, Table2[Species],Table2[Genus], "Code Not Found")</f>
        <v>Acer</v>
      </c>
      <c r="M836" t="str">
        <f>_xlfn.XLOOKUP(C836, Table2[Species],Table2[Sp. Name], "Code Not Found")</f>
        <v>saccharum</v>
      </c>
      <c r="N836" t="str">
        <f>_xlfn.XLOOKUP(C836,Table2[Species],Table2[Family],"Code Not Found")</f>
        <v>Sapindaceae</v>
      </c>
      <c r="O836" t="str" cm="1">
        <f t="array" ref="O836">_xlfn.IFS(F836="","",F836&lt;=5,"0 to 5",F836&lt;=10,"5.1 to 10",F836&lt;=20,"10 to 20", F836&lt;= 40, "20 to 40", F836 &lt;= 50, "40 to 50", F836 &gt; 50, "&gt;50" )</f>
        <v>0 to 5</v>
      </c>
    </row>
    <row r="837" spans="1:15" ht="14.4" x14ac:dyDescent="0.3">
      <c r="A837" t="s">
        <v>213</v>
      </c>
      <c r="B837" s="1">
        <v>46178</v>
      </c>
      <c r="C837" t="s">
        <v>22</v>
      </c>
      <c r="D837">
        <v>775</v>
      </c>
      <c r="E837">
        <v>1</v>
      </c>
      <c r="F837">
        <v>18.399999999999999</v>
      </c>
      <c r="G837" t="s">
        <v>21</v>
      </c>
      <c r="I837" t="str">
        <f t="shared" si="14"/>
        <v>775_1</v>
      </c>
      <c r="J837" t="s">
        <v>214</v>
      </c>
      <c r="K837" t="s">
        <v>19</v>
      </c>
      <c r="L837" t="str">
        <f>_xlfn.XLOOKUP(C837, Table2[Species],Table2[Genus], "Code Not Found")</f>
        <v>Acer</v>
      </c>
      <c r="M837" t="str">
        <f>_xlfn.XLOOKUP(C837, Table2[Species],Table2[Sp. Name], "Code Not Found")</f>
        <v>rubrum</v>
      </c>
      <c r="N837" t="str">
        <f>_xlfn.XLOOKUP(C837,Table2[Species],Table2[Family],"Code Not Found")</f>
        <v>Sapindaceae</v>
      </c>
      <c r="O837" t="str" cm="1">
        <f t="array" ref="O837">_xlfn.IFS(F837="","",F837&lt;=5,"0 to 5",F837&lt;=10,"5.1 to 10",F837&lt;=20,"10 to 20", F837&lt;= 40, "20 to 40", F837 &lt;= 50, "40 to 50", F837 &gt; 50, "&gt;50" )</f>
        <v>10 to 20</v>
      </c>
    </row>
    <row r="838" spans="1:15" ht="14.4" x14ac:dyDescent="0.3">
      <c r="A838" t="s">
        <v>213</v>
      </c>
      <c r="B838" s="1">
        <v>46178</v>
      </c>
      <c r="C838" t="s">
        <v>22</v>
      </c>
      <c r="D838">
        <v>776</v>
      </c>
      <c r="E838">
        <v>1</v>
      </c>
      <c r="F838">
        <v>16.7</v>
      </c>
      <c r="G838" t="s">
        <v>21</v>
      </c>
      <c r="I838" t="str">
        <f t="shared" si="14"/>
        <v>776_1</v>
      </c>
      <c r="J838" t="s">
        <v>214</v>
      </c>
      <c r="K838" t="s">
        <v>19</v>
      </c>
      <c r="L838" t="str">
        <f>_xlfn.XLOOKUP(C838, Table2[Species],Table2[Genus], "Code Not Found")</f>
        <v>Acer</v>
      </c>
      <c r="M838" t="str">
        <f>_xlfn.XLOOKUP(C838, Table2[Species],Table2[Sp. Name], "Code Not Found")</f>
        <v>rubrum</v>
      </c>
      <c r="N838" t="str">
        <f>_xlfn.XLOOKUP(C838,Table2[Species],Table2[Family],"Code Not Found")</f>
        <v>Sapindaceae</v>
      </c>
      <c r="O838" t="str" cm="1">
        <f t="array" ref="O838">_xlfn.IFS(F838="","",F838&lt;=5,"0 to 5",F838&lt;=10,"5.1 to 10",F838&lt;=20,"10 to 20", F838&lt;= 40, "20 to 40", F838 &lt;= 50, "40 to 50", F838 &gt; 50, "&gt;50" )</f>
        <v>10 to 20</v>
      </c>
    </row>
    <row r="839" spans="1:15" ht="14.4" x14ac:dyDescent="0.3">
      <c r="A839" t="s">
        <v>213</v>
      </c>
      <c r="B839" s="1">
        <v>46178</v>
      </c>
      <c r="C839" t="s">
        <v>22</v>
      </c>
      <c r="D839">
        <v>777</v>
      </c>
      <c r="E839">
        <v>1</v>
      </c>
      <c r="F839">
        <v>25.8</v>
      </c>
      <c r="G839" t="s">
        <v>17</v>
      </c>
      <c r="H839" t="s">
        <v>36</v>
      </c>
      <c r="I839" t="str">
        <f t="shared" si="14"/>
        <v>777_1</v>
      </c>
      <c r="J839" t="s">
        <v>214</v>
      </c>
      <c r="K839" t="s">
        <v>19</v>
      </c>
      <c r="L839" t="str">
        <f>_xlfn.XLOOKUP(C839, Table2[Species],Table2[Genus], "Code Not Found")</f>
        <v>Acer</v>
      </c>
      <c r="M839" t="str">
        <f>_xlfn.XLOOKUP(C839, Table2[Species],Table2[Sp. Name], "Code Not Found")</f>
        <v>rubrum</v>
      </c>
      <c r="N839" t="str">
        <f>_xlfn.XLOOKUP(C839,Table2[Species],Table2[Family],"Code Not Found")</f>
        <v>Sapindaceae</v>
      </c>
      <c r="O839" t="str" cm="1">
        <f t="array" ref="O839">_xlfn.IFS(F839="","",F839&lt;=5,"0 to 5",F839&lt;=10,"5.1 to 10",F839&lt;=20,"10 to 20", F839&lt;= 40, "20 to 40", F839 &lt;= 50, "40 to 50", F839 &gt; 50, "&gt;50" )</f>
        <v>20 to 40</v>
      </c>
    </row>
    <row r="840" spans="1:15" ht="14.4" x14ac:dyDescent="0.3">
      <c r="A840" t="s">
        <v>213</v>
      </c>
      <c r="B840" s="1">
        <v>46178</v>
      </c>
      <c r="C840" t="s">
        <v>16</v>
      </c>
      <c r="D840">
        <v>778</v>
      </c>
      <c r="E840">
        <v>1</v>
      </c>
      <c r="F840">
        <v>1.8</v>
      </c>
      <c r="G840" t="s">
        <v>21</v>
      </c>
      <c r="I840" t="str">
        <f t="shared" si="14"/>
        <v>778_1</v>
      </c>
      <c r="J840" t="s">
        <v>214</v>
      </c>
      <c r="K840" t="s">
        <v>19</v>
      </c>
      <c r="L840" t="str">
        <f>_xlfn.XLOOKUP(C840, Table2[Species],Table2[Genus], "Code Not Found")</f>
        <v>Acer</v>
      </c>
      <c r="M840" t="str">
        <f>_xlfn.XLOOKUP(C840, Table2[Species],Table2[Sp. Name], "Code Not Found")</f>
        <v>saccharum</v>
      </c>
      <c r="N840" t="str">
        <f>_xlfn.XLOOKUP(C840,Table2[Species],Table2[Family],"Code Not Found")</f>
        <v>Sapindaceae</v>
      </c>
      <c r="O840" t="str" cm="1">
        <f t="array" ref="O840">_xlfn.IFS(F840="","",F840&lt;=5,"0 to 5",F840&lt;=10,"5.1 to 10",F840&lt;=20,"10 to 20", F840&lt;= 40, "20 to 40", F840 &lt;= 50, "40 to 50", F840 &gt; 50, "&gt;50" )</f>
        <v>0 to 5</v>
      </c>
    </row>
    <row r="841" spans="1:15" ht="14.4" x14ac:dyDescent="0.3">
      <c r="A841" t="s">
        <v>213</v>
      </c>
      <c r="B841" s="1">
        <v>46178</v>
      </c>
      <c r="C841" t="s">
        <v>16</v>
      </c>
      <c r="D841">
        <v>779</v>
      </c>
      <c r="E841">
        <v>1</v>
      </c>
      <c r="F841">
        <v>1.7</v>
      </c>
      <c r="G841" t="s">
        <v>21</v>
      </c>
      <c r="I841" t="str">
        <f t="shared" si="14"/>
        <v>779_1</v>
      </c>
      <c r="J841" t="s">
        <v>214</v>
      </c>
      <c r="K841" t="s">
        <v>19</v>
      </c>
      <c r="L841" t="str">
        <f>_xlfn.XLOOKUP(C841, Table2[Species],Table2[Genus], "Code Not Found")</f>
        <v>Acer</v>
      </c>
      <c r="M841" t="str">
        <f>_xlfn.XLOOKUP(C841, Table2[Species],Table2[Sp. Name], "Code Not Found")</f>
        <v>saccharum</v>
      </c>
      <c r="N841" t="str">
        <f>_xlfn.XLOOKUP(C841,Table2[Species],Table2[Family],"Code Not Found")</f>
        <v>Sapindaceae</v>
      </c>
      <c r="O841" t="str" cm="1">
        <f t="array" ref="O841">_xlfn.IFS(F841="","",F841&lt;=5,"0 to 5",F841&lt;=10,"5.1 to 10",F841&lt;=20,"10 to 20", F841&lt;= 40, "20 to 40", F841 &lt;= 50, "40 to 50", F841 &gt; 50, "&gt;50" )</f>
        <v>0 to 5</v>
      </c>
    </row>
    <row r="842" spans="1:15" ht="14.4" x14ac:dyDescent="0.3">
      <c r="A842" t="s">
        <v>213</v>
      </c>
      <c r="B842" s="1">
        <v>46178</v>
      </c>
      <c r="C842" t="s">
        <v>22</v>
      </c>
      <c r="D842">
        <v>780</v>
      </c>
      <c r="E842">
        <v>1</v>
      </c>
      <c r="F842">
        <v>18.600000000000001</v>
      </c>
      <c r="G842" t="s">
        <v>21</v>
      </c>
      <c r="I842" t="str">
        <f t="shared" si="14"/>
        <v>780_1</v>
      </c>
      <c r="J842" t="s">
        <v>214</v>
      </c>
      <c r="K842" t="s">
        <v>19</v>
      </c>
      <c r="L842" t="str">
        <f>_xlfn.XLOOKUP(C842, Table2[Species],Table2[Genus], "Code Not Found")</f>
        <v>Acer</v>
      </c>
      <c r="M842" t="str">
        <f>_xlfn.XLOOKUP(C842, Table2[Species],Table2[Sp. Name], "Code Not Found")</f>
        <v>rubrum</v>
      </c>
      <c r="N842" t="str">
        <f>_xlfn.XLOOKUP(C842,Table2[Species],Table2[Family],"Code Not Found")</f>
        <v>Sapindaceae</v>
      </c>
      <c r="O842" t="str" cm="1">
        <f t="array" ref="O842">_xlfn.IFS(F842="","",F842&lt;=5,"0 to 5",F842&lt;=10,"5.1 to 10",F842&lt;=20,"10 to 20", F842&lt;= 40, "20 to 40", F842 &lt;= 50, "40 to 50", F842 &gt; 50, "&gt;50" )</f>
        <v>10 to 20</v>
      </c>
    </row>
    <row r="843" spans="1:15" ht="14.4" x14ac:dyDescent="0.3">
      <c r="A843" t="s">
        <v>213</v>
      </c>
      <c r="B843" s="1">
        <v>46178</v>
      </c>
      <c r="C843" t="s">
        <v>16</v>
      </c>
      <c r="D843">
        <v>781</v>
      </c>
      <c r="E843">
        <v>1</v>
      </c>
      <c r="F843">
        <v>1.8</v>
      </c>
      <c r="G843" t="s">
        <v>21</v>
      </c>
      <c r="I843" t="str">
        <f t="shared" si="14"/>
        <v>781_1</v>
      </c>
      <c r="J843" t="s">
        <v>214</v>
      </c>
      <c r="K843" t="s">
        <v>19</v>
      </c>
      <c r="L843" t="str">
        <f>_xlfn.XLOOKUP(C843, Table2[Species],Table2[Genus], "Code Not Found")</f>
        <v>Acer</v>
      </c>
      <c r="M843" t="str">
        <f>_xlfn.XLOOKUP(C843, Table2[Species],Table2[Sp. Name], "Code Not Found")</f>
        <v>saccharum</v>
      </c>
      <c r="N843" t="str">
        <f>_xlfn.XLOOKUP(C843,Table2[Species],Table2[Family],"Code Not Found")</f>
        <v>Sapindaceae</v>
      </c>
      <c r="O843" t="str" cm="1">
        <f t="array" ref="O843">_xlfn.IFS(F843="","",F843&lt;=5,"0 to 5",F843&lt;=10,"5.1 to 10",F843&lt;=20,"10 to 20", F843&lt;= 40, "20 to 40", F843 &lt;= 50, "40 to 50", F843 &gt; 50, "&gt;50" )</f>
        <v>0 to 5</v>
      </c>
    </row>
    <row r="844" spans="1:15" ht="14.4" x14ac:dyDescent="0.3">
      <c r="A844" t="s">
        <v>213</v>
      </c>
      <c r="B844" s="1">
        <v>46178</v>
      </c>
      <c r="C844" t="s">
        <v>16</v>
      </c>
      <c r="D844">
        <v>782</v>
      </c>
      <c r="E844">
        <v>1</v>
      </c>
      <c r="F844">
        <v>2.2999999999999998</v>
      </c>
      <c r="G844" t="s">
        <v>17</v>
      </c>
      <c r="I844" t="str">
        <f t="shared" si="14"/>
        <v>782_1</v>
      </c>
      <c r="J844" t="s">
        <v>214</v>
      </c>
      <c r="K844" t="s">
        <v>19</v>
      </c>
      <c r="L844" t="str">
        <f>_xlfn.XLOOKUP(C844, Table2[Species],Table2[Genus], "Code Not Found")</f>
        <v>Acer</v>
      </c>
      <c r="M844" t="str">
        <f>_xlfn.XLOOKUP(C844, Table2[Species],Table2[Sp. Name], "Code Not Found")</f>
        <v>saccharum</v>
      </c>
      <c r="N844" t="str">
        <f>_xlfn.XLOOKUP(C844,Table2[Species],Table2[Family],"Code Not Found")</f>
        <v>Sapindaceae</v>
      </c>
      <c r="O844" t="str" cm="1">
        <f t="array" ref="O844">_xlfn.IFS(F844="","",F844&lt;=5,"0 to 5",F844&lt;=10,"5.1 to 10",F844&lt;=20,"10 to 20", F844&lt;= 40, "20 to 40", F844 &lt;= 50, "40 to 50", F844 &gt; 50, "&gt;50" )</f>
        <v>0 to 5</v>
      </c>
    </row>
    <row r="845" spans="1:15" ht="14.4" x14ac:dyDescent="0.3">
      <c r="A845" t="s">
        <v>213</v>
      </c>
      <c r="B845" s="1">
        <v>46178</v>
      </c>
      <c r="C845" t="s">
        <v>123</v>
      </c>
      <c r="D845">
        <v>783</v>
      </c>
      <c r="E845">
        <v>1</v>
      </c>
      <c r="F845">
        <v>42.5</v>
      </c>
      <c r="G845" t="s">
        <v>17</v>
      </c>
      <c r="H845" t="s">
        <v>36</v>
      </c>
      <c r="I845" t="str">
        <f t="shared" si="14"/>
        <v>783_1</v>
      </c>
      <c r="J845" t="s">
        <v>214</v>
      </c>
      <c r="K845" t="s">
        <v>19</v>
      </c>
      <c r="L845" t="str">
        <f>_xlfn.XLOOKUP(C845, Table2[Species],Table2[Genus], "Code Not Found")</f>
        <v>Quercus</v>
      </c>
      <c r="M845" t="str">
        <f>_xlfn.XLOOKUP(C845, Table2[Species],Table2[Sp. Name], "Code Not Found")</f>
        <v>rubra</v>
      </c>
      <c r="N845" t="str">
        <f>_xlfn.XLOOKUP(C845,Table2[Species],Table2[Family],"Code Not Found")</f>
        <v>Fagaceae</v>
      </c>
      <c r="O845" t="str" cm="1">
        <f t="array" ref="O845">_xlfn.IFS(F845="","",F845&lt;=5,"0 to 5",F845&lt;=10,"5.1 to 10",F845&lt;=20,"10 to 20", F845&lt;= 40, "20 to 40", F845 &lt;= 50, "40 to 50", F845 &gt; 50, "&gt;50" )</f>
        <v>40 to 50</v>
      </c>
    </row>
    <row r="846" spans="1:15" ht="14.4" x14ac:dyDescent="0.3">
      <c r="A846" t="s">
        <v>213</v>
      </c>
      <c r="B846" s="1">
        <v>46178</v>
      </c>
      <c r="C846" t="s">
        <v>16</v>
      </c>
      <c r="D846">
        <v>784</v>
      </c>
      <c r="E846">
        <v>1</v>
      </c>
      <c r="F846">
        <v>1.1000000000000001</v>
      </c>
      <c r="G846" t="s">
        <v>17</v>
      </c>
      <c r="I846" t="str">
        <f t="shared" si="14"/>
        <v>784_1</v>
      </c>
      <c r="J846" t="s">
        <v>214</v>
      </c>
      <c r="K846" t="s">
        <v>19</v>
      </c>
      <c r="L846" t="str">
        <f>_xlfn.XLOOKUP(C846, Table2[Species],Table2[Genus], "Code Not Found")</f>
        <v>Acer</v>
      </c>
      <c r="M846" t="str">
        <f>_xlfn.XLOOKUP(C846, Table2[Species],Table2[Sp. Name], "Code Not Found")</f>
        <v>saccharum</v>
      </c>
      <c r="N846" t="str">
        <f>_xlfn.XLOOKUP(C846,Table2[Species],Table2[Family],"Code Not Found")</f>
        <v>Sapindaceae</v>
      </c>
      <c r="O846" t="str" cm="1">
        <f t="array" ref="O846">_xlfn.IFS(F846="","",F846&lt;=5,"0 to 5",F846&lt;=10,"5.1 to 10",F846&lt;=20,"10 to 20", F846&lt;= 40, "20 to 40", F846 &lt;= 50, "40 to 50", F846 &gt; 50, "&gt;50" )</f>
        <v>0 to 5</v>
      </c>
    </row>
    <row r="847" spans="1:15" ht="14.4" x14ac:dyDescent="0.3">
      <c r="A847" t="s">
        <v>213</v>
      </c>
      <c r="B847" s="1">
        <v>46178</v>
      </c>
      <c r="C847" t="s">
        <v>185</v>
      </c>
      <c r="D847">
        <v>785</v>
      </c>
      <c r="E847">
        <v>1</v>
      </c>
      <c r="F847">
        <v>3.3</v>
      </c>
      <c r="G847" t="s">
        <v>17</v>
      </c>
      <c r="I847" t="str">
        <f t="shared" si="14"/>
        <v>785_1</v>
      </c>
      <c r="J847" t="s">
        <v>214</v>
      </c>
      <c r="K847" t="s">
        <v>19</v>
      </c>
      <c r="L847" t="str">
        <f>_xlfn.XLOOKUP(C847, Table2[Species],Table2[Genus], "Code Not Found")</f>
        <v>Fraxinus</v>
      </c>
      <c r="M847" t="str">
        <f>_xlfn.XLOOKUP(C847, Table2[Species],Table2[Sp. Name], "Code Not Found")</f>
        <v>americana</v>
      </c>
      <c r="N847" t="str">
        <f>_xlfn.XLOOKUP(C847,Table2[Species],Table2[Family],"Code Not Found")</f>
        <v>Oleaceae</v>
      </c>
      <c r="O847" t="str" cm="1">
        <f t="array" ref="O847">_xlfn.IFS(F847="","",F847&lt;=5,"0 to 5",F847&lt;=10,"5.1 to 10",F847&lt;=20,"10 to 20", F847&lt;= 40, "20 to 40", F847 &lt;= 50, "40 to 50", F847 &gt; 50, "&gt;50" )</f>
        <v>0 to 5</v>
      </c>
    </row>
    <row r="848" spans="1:15" ht="14.4" x14ac:dyDescent="0.3">
      <c r="A848" t="s">
        <v>213</v>
      </c>
      <c r="B848" s="1">
        <v>46178</v>
      </c>
      <c r="C848" t="s">
        <v>185</v>
      </c>
      <c r="D848">
        <v>786</v>
      </c>
      <c r="E848">
        <v>1</v>
      </c>
      <c r="F848">
        <v>2.7</v>
      </c>
      <c r="G848" t="s">
        <v>47</v>
      </c>
      <c r="I848" t="str">
        <f t="shared" si="14"/>
        <v>786_1</v>
      </c>
      <c r="J848" t="s">
        <v>214</v>
      </c>
      <c r="K848" t="s">
        <v>19</v>
      </c>
      <c r="L848" t="str">
        <f>_xlfn.XLOOKUP(C848, Table2[Species],Table2[Genus], "Code Not Found")</f>
        <v>Fraxinus</v>
      </c>
      <c r="M848" t="str">
        <f>_xlfn.XLOOKUP(C848, Table2[Species],Table2[Sp. Name], "Code Not Found")</f>
        <v>americana</v>
      </c>
      <c r="N848" t="str">
        <f>_xlfn.XLOOKUP(C848,Table2[Species],Table2[Family],"Code Not Found")</f>
        <v>Oleaceae</v>
      </c>
      <c r="O848" t="str" cm="1">
        <f t="array" ref="O848">_xlfn.IFS(F848="","",F848&lt;=5,"0 to 5",F848&lt;=10,"5.1 to 10",F848&lt;=20,"10 to 20", F848&lt;= 40, "20 to 40", F848 &lt;= 50, "40 to 50", F848 &gt; 50, "&gt;50" )</f>
        <v>0 to 5</v>
      </c>
    </row>
    <row r="849" spans="1:15" ht="14.4" x14ac:dyDescent="0.3">
      <c r="A849" t="s">
        <v>213</v>
      </c>
      <c r="B849" s="1">
        <v>46178</v>
      </c>
      <c r="C849" t="s">
        <v>16</v>
      </c>
      <c r="D849">
        <v>787</v>
      </c>
      <c r="E849">
        <v>1</v>
      </c>
      <c r="F849">
        <v>1.5</v>
      </c>
      <c r="G849" t="s">
        <v>47</v>
      </c>
      <c r="H849" t="s">
        <v>43</v>
      </c>
      <c r="I849" t="str">
        <f t="shared" si="14"/>
        <v>787_1</v>
      </c>
      <c r="J849" t="s">
        <v>214</v>
      </c>
      <c r="K849" t="s">
        <v>19</v>
      </c>
      <c r="L849" t="str">
        <f>_xlfn.XLOOKUP(C849, Table2[Species],Table2[Genus], "Code Not Found")</f>
        <v>Acer</v>
      </c>
      <c r="M849" t="str">
        <f>_xlfn.XLOOKUP(C849, Table2[Species],Table2[Sp. Name], "Code Not Found")</f>
        <v>saccharum</v>
      </c>
      <c r="N849" t="str">
        <f>_xlfn.XLOOKUP(C849,Table2[Species],Table2[Family],"Code Not Found")</f>
        <v>Sapindaceae</v>
      </c>
      <c r="O849" t="str" cm="1">
        <f t="array" ref="O849">_xlfn.IFS(F849="","",F849&lt;=5,"0 to 5",F849&lt;=10,"5.1 to 10",F849&lt;=20,"10 to 20", F849&lt;= 40, "20 to 40", F849 &lt;= 50, "40 to 50", F849 &gt; 50, "&gt;50" )</f>
        <v>0 to 5</v>
      </c>
    </row>
    <row r="850" spans="1:15" ht="14.4" x14ac:dyDescent="0.3">
      <c r="A850" t="s">
        <v>213</v>
      </c>
      <c r="B850" s="1">
        <v>46178</v>
      </c>
      <c r="C850" t="s">
        <v>64</v>
      </c>
      <c r="D850">
        <v>788</v>
      </c>
      <c r="E850">
        <v>1</v>
      </c>
      <c r="F850">
        <v>5.4</v>
      </c>
      <c r="G850" t="s">
        <v>21</v>
      </c>
      <c r="I850" t="str">
        <f t="shared" si="14"/>
        <v>788_1</v>
      </c>
      <c r="J850" t="s">
        <v>214</v>
      </c>
      <c r="K850" t="s">
        <v>19</v>
      </c>
      <c r="L850" t="str">
        <f>_xlfn.XLOOKUP(C850, Table2[Species],Table2[Genus], "Code Not Found")</f>
        <v>Fagus</v>
      </c>
      <c r="M850" t="str">
        <f>_xlfn.XLOOKUP(C850, Table2[Species],Table2[Sp. Name], "Code Not Found")</f>
        <v>grandifolia</v>
      </c>
      <c r="N850" t="str">
        <f>_xlfn.XLOOKUP(C850,Table2[Species],Table2[Family],"Code Not Found")</f>
        <v>Fagaceae</v>
      </c>
      <c r="O850" t="str" cm="1">
        <f t="array" ref="O850">_xlfn.IFS(F850="","",F850&lt;=5,"0 to 5",F850&lt;=10,"5.1 to 10",F850&lt;=20,"10 to 20", F850&lt;= 40, "20 to 40", F850 &lt;= 50, "40 to 50", F850 &gt; 50, "&gt;50" )</f>
        <v>5.1 to 10</v>
      </c>
    </row>
    <row r="851" spans="1:15" ht="14.4" x14ac:dyDescent="0.3">
      <c r="A851" t="s">
        <v>213</v>
      </c>
      <c r="B851" s="1">
        <v>46178</v>
      </c>
      <c r="C851" t="s">
        <v>16</v>
      </c>
      <c r="D851">
        <v>789</v>
      </c>
      <c r="E851">
        <v>1</v>
      </c>
      <c r="F851">
        <v>1.2</v>
      </c>
      <c r="G851" t="s">
        <v>17</v>
      </c>
      <c r="I851" t="str">
        <f t="shared" si="14"/>
        <v>789_1</v>
      </c>
      <c r="J851" t="s">
        <v>214</v>
      </c>
      <c r="K851" t="s">
        <v>19</v>
      </c>
      <c r="L851" t="str">
        <f>_xlfn.XLOOKUP(C851, Table2[Species],Table2[Genus], "Code Not Found")</f>
        <v>Acer</v>
      </c>
      <c r="M851" t="str">
        <f>_xlfn.XLOOKUP(C851, Table2[Species],Table2[Sp. Name], "Code Not Found")</f>
        <v>saccharum</v>
      </c>
      <c r="N851" t="str">
        <f>_xlfn.XLOOKUP(C851,Table2[Species],Table2[Family],"Code Not Found")</f>
        <v>Sapindaceae</v>
      </c>
      <c r="O851" t="str" cm="1">
        <f t="array" ref="O851">_xlfn.IFS(F851="","",F851&lt;=5,"0 to 5",F851&lt;=10,"5.1 to 10",F851&lt;=20,"10 to 20", F851&lt;= 40, "20 to 40", F851 &lt;= 50, "40 to 50", F851 &gt; 50, "&gt;50" )</f>
        <v>0 to 5</v>
      </c>
    </row>
    <row r="852" spans="1:15" ht="14.4" x14ac:dyDescent="0.3">
      <c r="A852" t="s">
        <v>213</v>
      </c>
      <c r="B852" s="1">
        <v>46178</v>
      </c>
      <c r="C852" t="s">
        <v>22</v>
      </c>
      <c r="D852">
        <v>790</v>
      </c>
      <c r="E852">
        <v>1</v>
      </c>
      <c r="F852">
        <v>29.5</v>
      </c>
      <c r="G852" t="s">
        <v>21</v>
      </c>
      <c r="I852" t="str">
        <f t="shared" si="14"/>
        <v>790_1</v>
      </c>
      <c r="J852" t="s">
        <v>214</v>
      </c>
      <c r="K852" t="s">
        <v>19</v>
      </c>
      <c r="L852" t="str">
        <f>_xlfn.XLOOKUP(C852, Table2[Species],Table2[Genus], "Code Not Found")</f>
        <v>Acer</v>
      </c>
      <c r="M852" t="str">
        <f>_xlfn.XLOOKUP(C852, Table2[Species],Table2[Sp. Name], "Code Not Found")</f>
        <v>rubrum</v>
      </c>
      <c r="N852" t="str">
        <f>_xlfn.XLOOKUP(C852,Table2[Species],Table2[Family],"Code Not Found")</f>
        <v>Sapindaceae</v>
      </c>
      <c r="O852" t="str" cm="1">
        <f t="array" ref="O852">_xlfn.IFS(F852="","",F852&lt;=5,"0 to 5",F852&lt;=10,"5.1 to 10",F852&lt;=20,"10 to 20", F852&lt;= 40, "20 to 40", F852 &lt;= 50, "40 to 50", F852 &gt; 50, "&gt;50" )</f>
        <v>20 to 40</v>
      </c>
    </row>
    <row r="853" spans="1:15" ht="14.4" x14ac:dyDescent="0.3">
      <c r="A853" t="s">
        <v>213</v>
      </c>
      <c r="B853" s="1">
        <v>46178</v>
      </c>
      <c r="C853" t="s">
        <v>22</v>
      </c>
      <c r="D853">
        <v>791</v>
      </c>
      <c r="E853">
        <v>1</v>
      </c>
      <c r="F853">
        <v>15.8</v>
      </c>
      <c r="G853" t="s">
        <v>21</v>
      </c>
      <c r="I853" t="str">
        <f t="shared" si="14"/>
        <v>791_1</v>
      </c>
      <c r="J853" t="s">
        <v>214</v>
      </c>
      <c r="K853" t="s">
        <v>19</v>
      </c>
      <c r="L853" t="str">
        <f>_xlfn.XLOOKUP(C853, Table2[Species],Table2[Genus], "Code Not Found")</f>
        <v>Acer</v>
      </c>
      <c r="M853" t="str">
        <f>_xlfn.XLOOKUP(C853, Table2[Species],Table2[Sp. Name], "Code Not Found")</f>
        <v>rubrum</v>
      </c>
      <c r="N853" t="str">
        <f>_xlfn.XLOOKUP(C853,Table2[Species],Table2[Family],"Code Not Found")</f>
        <v>Sapindaceae</v>
      </c>
      <c r="O853" t="str" cm="1">
        <f t="array" ref="O853">_xlfn.IFS(F853="","",F853&lt;=5,"0 to 5",F853&lt;=10,"5.1 to 10",F853&lt;=20,"10 to 20", F853&lt;= 40, "20 to 40", F853 &lt;= 50, "40 to 50", F853 &gt; 50, "&gt;50" )</f>
        <v>10 to 20</v>
      </c>
    </row>
    <row r="854" spans="1:15" ht="14.4" x14ac:dyDescent="0.3">
      <c r="A854" t="s">
        <v>213</v>
      </c>
      <c r="B854" s="1">
        <v>46178</v>
      </c>
      <c r="C854" t="s">
        <v>24</v>
      </c>
      <c r="D854">
        <v>792</v>
      </c>
      <c r="E854">
        <v>1</v>
      </c>
      <c r="F854">
        <v>37.5</v>
      </c>
      <c r="G854" t="s">
        <v>21</v>
      </c>
      <c r="I854" t="str">
        <f t="shared" si="14"/>
        <v>792_1</v>
      </c>
      <c r="J854" t="s">
        <v>214</v>
      </c>
      <c r="K854" t="s">
        <v>19</v>
      </c>
      <c r="L854" t="str">
        <f>_xlfn.XLOOKUP(C854, Table2[Species],Table2[Genus], "Code Not Found")</f>
        <v>Lirodendron</v>
      </c>
      <c r="M854" t="str">
        <f>_xlfn.XLOOKUP(C854, Table2[Species],Table2[Sp. Name], "Code Not Found")</f>
        <v>tulipfera</v>
      </c>
      <c r="N854" t="str">
        <f>_xlfn.XLOOKUP(C854,Table2[Species],Table2[Family],"Code Not Found")</f>
        <v>Magnoliaceae</v>
      </c>
      <c r="O854" t="str" cm="1">
        <f t="array" ref="O854">_xlfn.IFS(F854="","",F854&lt;=5,"0 to 5",F854&lt;=10,"5.1 to 10",F854&lt;=20,"10 to 20", F854&lt;= 40, "20 to 40", F854 &lt;= 50, "40 to 50", F854 &gt; 50, "&gt;50" )</f>
        <v>20 to 40</v>
      </c>
    </row>
    <row r="855" spans="1:15" ht="14.4" x14ac:dyDescent="0.3">
      <c r="A855" t="s">
        <v>213</v>
      </c>
      <c r="B855" s="1">
        <v>46178</v>
      </c>
      <c r="C855" t="s">
        <v>16</v>
      </c>
      <c r="D855">
        <v>793</v>
      </c>
      <c r="E855">
        <v>1</v>
      </c>
      <c r="F855">
        <v>3.9</v>
      </c>
      <c r="G855" t="s">
        <v>17</v>
      </c>
      <c r="I855" t="str">
        <f t="shared" si="14"/>
        <v>793_1</v>
      </c>
      <c r="J855" t="s">
        <v>214</v>
      </c>
      <c r="K855" t="s">
        <v>19</v>
      </c>
      <c r="L855" t="str">
        <f>_xlfn.XLOOKUP(C855, Table2[Species],Table2[Genus], "Code Not Found")</f>
        <v>Acer</v>
      </c>
      <c r="M855" t="str">
        <f>_xlfn.XLOOKUP(C855, Table2[Species],Table2[Sp. Name], "Code Not Found")</f>
        <v>saccharum</v>
      </c>
      <c r="N855" t="str">
        <f>_xlfn.XLOOKUP(C855,Table2[Species],Table2[Family],"Code Not Found")</f>
        <v>Sapindaceae</v>
      </c>
      <c r="O855" t="str" cm="1">
        <f t="array" ref="O855">_xlfn.IFS(F855="","",F855&lt;=5,"0 to 5",F855&lt;=10,"5.1 to 10",F855&lt;=20,"10 to 20", F855&lt;= 40, "20 to 40", F855 &lt;= 50, "40 to 50", F855 &gt; 50, "&gt;50" )</f>
        <v>0 to 5</v>
      </c>
    </row>
    <row r="856" spans="1:15" ht="14.4" x14ac:dyDescent="0.3">
      <c r="A856" t="s">
        <v>213</v>
      </c>
      <c r="B856" s="1">
        <v>46178</v>
      </c>
      <c r="C856" t="s">
        <v>123</v>
      </c>
      <c r="D856">
        <v>794</v>
      </c>
      <c r="E856">
        <v>1</v>
      </c>
      <c r="F856">
        <v>72.5</v>
      </c>
      <c r="G856" t="s">
        <v>17</v>
      </c>
      <c r="I856" t="str">
        <f t="shared" si="14"/>
        <v>794_1</v>
      </c>
      <c r="J856" t="s">
        <v>214</v>
      </c>
      <c r="K856" t="s">
        <v>19</v>
      </c>
      <c r="L856" t="str">
        <f>_xlfn.XLOOKUP(C856, Table2[Species],Table2[Genus], "Code Not Found")</f>
        <v>Quercus</v>
      </c>
      <c r="M856" t="str">
        <f>_xlfn.XLOOKUP(C856, Table2[Species],Table2[Sp. Name], "Code Not Found")</f>
        <v>rubra</v>
      </c>
      <c r="N856" t="str">
        <f>_xlfn.XLOOKUP(C856,Table2[Species],Table2[Family],"Code Not Found")</f>
        <v>Fagaceae</v>
      </c>
      <c r="O856" t="str" cm="1">
        <f t="array" ref="O856">_xlfn.IFS(F856="","",F856&lt;=5,"0 to 5",F856&lt;=10,"5.1 to 10",F856&lt;=20,"10 to 20", F856&lt;= 40, "20 to 40", F856 &lt;= 50, "40 to 50", F856 &gt; 50, "&gt;50" )</f>
        <v>&gt;50</v>
      </c>
    </row>
    <row r="857" spans="1:15" ht="14.4" x14ac:dyDescent="0.3">
      <c r="A857" t="s">
        <v>213</v>
      </c>
      <c r="B857" s="1">
        <v>46178</v>
      </c>
      <c r="C857" t="s">
        <v>16</v>
      </c>
      <c r="D857">
        <v>795</v>
      </c>
      <c r="E857">
        <v>1</v>
      </c>
      <c r="F857">
        <v>1.1000000000000001</v>
      </c>
      <c r="G857" t="s">
        <v>21</v>
      </c>
      <c r="I857" t="str">
        <f t="shared" si="14"/>
        <v>795_1</v>
      </c>
      <c r="J857" t="s">
        <v>214</v>
      </c>
      <c r="K857" t="s">
        <v>19</v>
      </c>
      <c r="L857" t="str">
        <f>_xlfn.XLOOKUP(C857, Table2[Species],Table2[Genus], "Code Not Found")</f>
        <v>Acer</v>
      </c>
      <c r="M857" t="str">
        <f>_xlfn.XLOOKUP(C857, Table2[Species],Table2[Sp. Name], "Code Not Found")</f>
        <v>saccharum</v>
      </c>
      <c r="N857" t="str">
        <f>_xlfn.XLOOKUP(C857,Table2[Species],Table2[Family],"Code Not Found")</f>
        <v>Sapindaceae</v>
      </c>
      <c r="O857" t="str" cm="1">
        <f t="array" ref="O857">_xlfn.IFS(F857="","",F857&lt;=5,"0 to 5",F857&lt;=10,"5.1 to 10",F857&lt;=20,"10 to 20", F857&lt;= 40, "20 to 40", F857 &lt;= 50, "40 to 50", F857 &gt; 50, "&gt;50" )</f>
        <v>0 to 5</v>
      </c>
    </row>
    <row r="858" spans="1:15" ht="14.4" x14ac:dyDescent="0.3">
      <c r="A858" t="s">
        <v>213</v>
      </c>
      <c r="B858" s="1">
        <v>46178</v>
      </c>
      <c r="C858" t="s">
        <v>22</v>
      </c>
      <c r="D858">
        <v>796</v>
      </c>
      <c r="E858">
        <v>1</v>
      </c>
      <c r="F858">
        <v>12.5</v>
      </c>
      <c r="G858" t="s">
        <v>21</v>
      </c>
      <c r="I858" t="str">
        <f t="shared" si="14"/>
        <v>796_1</v>
      </c>
      <c r="J858" t="s">
        <v>214</v>
      </c>
      <c r="K858" t="s">
        <v>19</v>
      </c>
      <c r="L858" t="str">
        <f>_xlfn.XLOOKUP(C858, Table2[Species],Table2[Genus], "Code Not Found")</f>
        <v>Acer</v>
      </c>
      <c r="M858" t="str">
        <f>_xlfn.XLOOKUP(C858, Table2[Species],Table2[Sp. Name], "Code Not Found")</f>
        <v>rubrum</v>
      </c>
      <c r="N858" t="str">
        <f>_xlfn.XLOOKUP(C858,Table2[Species],Table2[Family],"Code Not Found")</f>
        <v>Sapindaceae</v>
      </c>
      <c r="O858" t="str" cm="1">
        <f t="array" ref="O858">_xlfn.IFS(F858="","",F858&lt;=5,"0 to 5",F858&lt;=10,"5.1 to 10",F858&lt;=20,"10 to 20", F858&lt;= 40, "20 to 40", F858 &lt;= 50, "40 to 50", F858 &gt; 50, "&gt;50" )</f>
        <v>10 to 20</v>
      </c>
    </row>
    <row r="859" spans="1:15" ht="14.4" x14ac:dyDescent="0.3">
      <c r="A859" t="s">
        <v>213</v>
      </c>
      <c r="B859" s="1">
        <v>46178</v>
      </c>
      <c r="C859" t="s">
        <v>22</v>
      </c>
      <c r="D859">
        <v>797</v>
      </c>
      <c r="E859">
        <v>1</v>
      </c>
      <c r="F859">
        <v>7.2</v>
      </c>
      <c r="G859" t="s">
        <v>21</v>
      </c>
      <c r="I859" t="str">
        <f t="shared" si="14"/>
        <v>797_1</v>
      </c>
      <c r="J859" t="s">
        <v>214</v>
      </c>
      <c r="K859" t="s">
        <v>19</v>
      </c>
      <c r="L859" t="str">
        <f>_xlfn.XLOOKUP(C859, Table2[Species],Table2[Genus], "Code Not Found")</f>
        <v>Acer</v>
      </c>
      <c r="M859" t="str">
        <f>_xlfn.XLOOKUP(C859, Table2[Species],Table2[Sp. Name], "Code Not Found")</f>
        <v>rubrum</v>
      </c>
      <c r="N859" t="str">
        <f>_xlfn.XLOOKUP(C859,Table2[Species],Table2[Family],"Code Not Found")</f>
        <v>Sapindaceae</v>
      </c>
      <c r="O859" t="str" cm="1">
        <f t="array" ref="O859">_xlfn.IFS(F859="","",F859&lt;=5,"0 to 5",F859&lt;=10,"5.1 to 10",F859&lt;=20,"10 to 20", F859&lt;= 40, "20 to 40", F859 &lt;= 50, "40 to 50", F859 &gt; 50, "&gt;50" )</f>
        <v>5.1 to 10</v>
      </c>
    </row>
    <row r="860" spans="1:15" ht="14.4" x14ac:dyDescent="0.3">
      <c r="A860" t="s">
        <v>213</v>
      </c>
      <c r="B860" s="1">
        <v>46178</v>
      </c>
      <c r="C860" t="s">
        <v>24</v>
      </c>
      <c r="D860">
        <v>798</v>
      </c>
      <c r="E860">
        <v>1</v>
      </c>
      <c r="F860">
        <v>33.799999999999997</v>
      </c>
      <c r="G860" t="s">
        <v>21</v>
      </c>
      <c r="I860" t="str">
        <f t="shared" si="14"/>
        <v>798_1</v>
      </c>
      <c r="J860" t="s">
        <v>214</v>
      </c>
      <c r="K860" t="s">
        <v>19</v>
      </c>
      <c r="L860" t="str">
        <f>_xlfn.XLOOKUP(C860, Table2[Species],Table2[Genus], "Code Not Found")</f>
        <v>Lirodendron</v>
      </c>
      <c r="M860" t="str">
        <f>_xlfn.XLOOKUP(C860, Table2[Species],Table2[Sp. Name], "Code Not Found")</f>
        <v>tulipfera</v>
      </c>
      <c r="N860" t="str">
        <f>_xlfn.XLOOKUP(C860,Table2[Species],Table2[Family],"Code Not Found")</f>
        <v>Magnoliaceae</v>
      </c>
      <c r="O860" t="str" cm="1">
        <f t="array" ref="O860">_xlfn.IFS(F860="","",F860&lt;=5,"0 to 5",F860&lt;=10,"5.1 to 10",F860&lt;=20,"10 to 20", F860&lt;= 40, "20 to 40", F860 &lt;= 50, "40 to 50", F860 &gt; 50, "&gt;50" )</f>
        <v>20 to 40</v>
      </c>
    </row>
    <row r="861" spans="1:15" ht="14.4" x14ac:dyDescent="0.3">
      <c r="A861" t="s">
        <v>213</v>
      </c>
      <c r="B861" s="1">
        <v>46178</v>
      </c>
      <c r="C861" t="s">
        <v>24</v>
      </c>
      <c r="D861">
        <v>799</v>
      </c>
      <c r="E861">
        <v>1</v>
      </c>
      <c r="F861">
        <v>28.2</v>
      </c>
      <c r="G861" t="s">
        <v>21</v>
      </c>
      <c r="I861" t="str">
        <f t="shared" si="14"/>
        <v>799_1</v>
      </c>
      <c r="J861" t="s">
        <v>214</v>
      </c>
      <c r="K861" t="s">
        <v>19</v>
      </c>
      <c r="L861" t="str">
        <f>_xlfn.XLOOKUP(C861, Table2[Species],Table2[Genus], "Code Not Found")</f>
        <v>Lirodendron</v>
      </c>
      <c r="M861" t="str">
        <f>_xlfn.XLOOKUP(C861, Table2[Species],Table2[Sp. Name], "Code Not Found")</f>
        <v>tulipfera</v>
      </c>
      <c r="N861" t="str">
        <f>_xlfn.XLOOKUP(C861,Table2[Species],Table2[Family],"Code Not Found")</f>
        <v>Magnoliaceae</v>
      </c>
      <c r="O861" t="str" cm="1">
        <f t="array" ref="O861">_xlfn.IFS(F861="","",F861&lt;=5,"0 to 5",F861&lt;=10,"5.1 to 10",F861&lt;=20,"10 to 20", F861&lt;= 40, "20 to 40", F861 &lt;= 50, "40 to 50", F861 &gt; 50, "&gt;50" )</f>
        <v>20 to 40</v>
      </c>
    </row>
    <row r="862" spans="1:15" ht="14.4" x14ac:dyDescent="0.3">
      <c r="A862" t="s">
        <v>213</v>
      </c>
      <c r="B862" s="1">
        <v>46178</v>
      </c>
      <c r="C862" t="s">
        <v>16</v>
      </c>
      <c r="D862">
        <v>800</v>
      </c>
      <c r="E862">
        <v>1</v>
      </c>
      <c r="F862">
        <v>3.4</v>
      </c>
      <c r="G862" t="s">
        <v>21</v>
      </c>
      <c r="I862" t="str">
        <f t="shared" si="14"/>
        <v>800_1</v>
      </c>
      <c r="J862" t="s">
        <v>214</v>
      </c>
      <c r="K862" t="s">
        <v>19</v>
      </c>
      <c r="L862" t="str">
        <f>_xlfn.XLOOKUP(C862, Table2[Species],Table2[Genus], "Code Not Found")</f>
        <v>Acer</v>
      </c>
      <c r="M862" t="str">
        <f>_xlfn.XLOOKUP(C862, Table2[Species],Table2[Sp. Name], "Code Not Found")</f>
        <v>saccharum</v>
      </c>
      <c r="N862" t="str">
        <f>_xlfn.XLOOKUP(C862,Table2[Species],Table2[Family],"Code Not Found")</f>
        <v>Sapindaceae</v>
      </c>
      <c r="O862" t="str" cm="1">
        <f t="array" ref="O862">_xlfn.IFS(F862="","",F862&lt;=5,"0 to 5",F862&lt;=10,"5.1 to 10",F862&lt;=20,"10 to 20", F862&lt;= 40, "20 to 40", F862 &lt;= 50, "40 to 50", F862 &gt; 50, "&gt;50" )</f>
        <v>0 to 5</v>
      </c>
    </row>
    <row r="863" spans="1:15" ht="14.4" x14ac:dyDescent="0.3">
      <c r="A863" t="s">
        <v>213</v>
      </c>
      <c r="B863" s="1">
        <v>46178</v>
      </c>
      <c r="C863" t="s">
        <v>22</v>
      </c>
      <c r="D863">
        <v>801</v>
      </c>
      <c r="E863">
        <v>1</v>
      </c>
      <c r="F863">
        <v>4</v>
      </c>
      <c r="G863" t="s">
        <v>17</v>
      </c>
      <c r="I863" t="str">
        <f t="shared" si="14"/>
        <v>801_1</v>
      </c>
      <c r="J863" t="s">
        <v>214</v>
      </c>
      <c r="K863" t="s">
        <v>19</v>
      </c>
      <c r="L863" t="str">
        <f>_xlfn.XLOOKUP(C863, Table2[Species],Table2[Genus], "Code Not Found")</f>
        <v>Acer</v>
      </c>
      <c r="M863" t="str">
        <f>_xlfn.XLOOKUP(C863, Table2[Species],Table2[Sp. Name], "Code Not Found")</f>
        <v>rubrum</v>
      </c>
      <c r="N863" t="str">
        <f>_xlfn.XLOOKUP(C863,Table2[Species],Table2[Family],"Code Not Found")</f>
        <v>Sapindaceae</v>
      </c>
      <c r="O863" t="str" cm="1">
        <f t="array" ref="O863">_xlfn.IFS(F863="","",F863&lt;=5,"0 to 5",F863&lt;=10,"5.1 to 10",F863&lt;=20,"10 to 20", F863&lt;= 40, "20 to 40", F863 &lt;= 50, "40 to 50", F863 &gt; 50, "&gt;50" )</f>
        <v>0 to 5</v>
      </c>
    </row>
    <row r="864" spans="1:15" ht="14.4" x14ac:dyDescent="0.3">
      <c r="A864" t="s">
        <v>213</v>
      </c>
      <c r="B864" s="1">
        <v>46178</v>
      </c>
      <c r="C864" t="s">
        <v>16</v>
      </c>
      <c r="D864">
        <v>802</v>
      </c>
      <c r="E864">
        <v>1</v>
      </c>
      <c r="F864">
        <v>2.4</v>
      </c>
      <c r="G864" t="s">
        <v>30</v>
      </c>
      <c r="H864" t="s">
        <v>99</v>
      </c>
      <c r="I864" t="str">
        <f t="shared" si="14"/>
        <v>802_1</v>
      </c>
      <c r="J864" t="s">
        <v>214</v>
      </c>
      <c r="K864" t="s">
        <v>19</v>
      </c>
      <c r="L864" t="str">
        <f>_xlfn.XLOOKUP(C864, Table2[Species],Table2[Genus], "Code Not Found")</f>
        <v>Acer</v>
      </c>
      <c r="M864" t="str">
        <f>_xlfn.XLOOKUP(C864, Table2[Species],Table2[Sp. Name], "Code Not Found")</f>
        <v>saccharum</v>
      </c>
      <c r="N864" t="str">
        <f>_xlfn.XLOOKUP(C864,Table2[Species],Table2[Family],"Code Not Found")</f>
        <v>Sapindaceae</v>
      </c>
      <c r="O864" t="str" cm="1">
        <f t="array" ref="O864">_xlfn.IFS(F864="","",F864&lt;=5,"0 to 5",F864&lt;=10,"5.1 to 10",F864&lt;=20,"10 to 20", F864&lt;= 40, "20 to 40", F864 &lt;= 50, "40 to 50", F864 &gt; 50, "&gt;50" )</f>
        <v>0 to 5</v>
      </c>
    </row>
    <row r="865" spans="1:15" ht="14.4" x14ac:dyDescent="0.3">
      <c r="A865" t="s">
        <v>213</v>
      </c>
      <c r="B865" s="1">
        <v>46178</v>
      </c>
      <c r="C865" t="s">
        <v>16</v>
      </c>
      <c r="D865">
        <v>803</v>
      </c>
      <c r="E865">
        <v>1</v>
      </c>
      <c r="F865">
        <v>13.9</v>
      </c>
      <c r="G865" t="s">
        <v>17</v>
      </c>
      <c r="H865" t="s">
        <v>36</v>
      </c>
      <c r="I865" t="str">
        <f t="shared" si="14"/>
        <v>803_1</v>
      </c>
      <c r="J865" t="s">
        <v>214</v>
      </c>
      <c r="K865" t="s">
        <v>19</v>
      </c>
      <c r="L865" t="str">
        <f>_xlfn.XLOOKUP(C865, Table2[Species],Table2[Genus], "Code Not Found")</f>
        <v>Acer</v>
      </c>
      <c r="M865" t="str">
        <f>_xlfn.XLOOKUP(C865, Table2[Species],Table2[Sp. Name], "Code Not Found")</f>
        <v>saccharum</v>
      </c>
      <c r="N865" t="str">
        <f>_xlfn.XLOOKUP(C865,Table2[Species],Table2[Family],"Code Not Found")</f>
        <v>Sapindaceae</v>
      </c>
      <c r="O865" t="str" cm="1">
        <f t="array" ref="O865">_xlfn.IFS(F865="","",F865&lt;=5,"0 to 5",F865&lt;=10,"5.1 to 10",F865&lt;=20,"10 to 20", F865&lt;= 40, "20 to 40", F865 &lt;= 50, "40 to 50", F865 &gt; 50, "&gt;50" )</f>
        <v>10 to 20</v>
      </c>
    </row>
    <row r="866" spans="1:15" ht="14.4" x14ac:dyDescent="0.3">
      <c r="A866" t="s">
        <v>213</v>
      </c>
      <c r="B866" s="1">
        <v>46178</v>
      </c>
      <c r="C866" t="s">
        <v>22</v>
      </c>
      <c r="D866">
        <v>804</v>
      </c>
      <c r="E866">
        <v>1</v>
      </c>
      <c r="F866">
        <v>7.8</v>
      </c>
      <c r="G866" t="s">
        <v>21</v>
      </c>
      <c r="I866" t="str">
        <f t="shared" si="14"/>
        <v>804_1</v>
      </c>
      <c r="J866" t="s">
        <v>214</v>
      </c>
      <c r="K866" t="s">
        <v>19</v>
      </c>
      <c r="L866" t="str">
        <f>_xlfn.XLOOKUP(C866, Table2[Species],Table2[Genus], "Code Not Found")</f>
        <v>Acer</v>
      </c>
      <c r="M866" t="str">
        <f>_xlfn.XLOOKUP(C866, Table2[Species],Table2[Sp. Name], "Code Not Found")</f>
        <v>rubrum</v>
      </c>
      <c r="N866" t="str">
        <f>_xlfn.XLOOKUP(C866,Table2[Species],Table2[Family],"Code Not Found")</f>
        <v>Sapindaceae</v>
      </c>
      <c r="O866" t="str" cm="1">
        <f t="array" ref="O866">_xlfn.IFS(F866="","",F866&lt;=5,"0 to 5",F866&lt;=10,"5.1 to 10",F866&lt;=20,"10 to 20", F866&lt;= 40, "20 to 40", F866 &lt;= 50, "40 to 50", F866 &gt; 50, "&gt;50" )</f>
        <v>5.1 to 10</v>
      </c>
    </row>
    <row r="867" spans="1:15" ht="14.4" x14ac:dyDescent="0.3">
      <c r="A867" t="s">
        <v>213</v>
      </c>
      <c r="B867" s="1">
        <v>46178</v>
      </c>
      <c r="C867" t="s">
        <v>16</v>
      </c>
      <c r="D867">
        <v>805</v>
      </c>
      <c r="E867">
        <v>1</v>
      </c>
      <c r="F867">
        <v>1.8</v>
      </c>
      <c r="G867" t="s">
        <v>17</v>
      </c>
      <c r="I867" t="str">
        <f t="shared" si="14"/>
        <v>805_1</v>
      </c>
      <c r="J867" t="s">
        <v>214</v>
      </c>
      <c r="K867" t="s">
        <v>19</v>
      </c>
      <c r="L867" t="str">
        <f>_xlfn.XLOOKUP(C867, Table2[Species],Table2[Genus], "Code Not Found")</f>
        <v>Acer</v>
      </c>
      <c r="M867" t="str">
        <f>_xlfn.XLOOKUP(C867, Table2[Species],Table2[Sp. Name], "Code Not Found")</f>
        <v>saccharum</v>
      </c>
      <c r="N867" t="str">
        <f>_xlfn.XLOOKUP(C867,Table2[Species],Table2[Family],"Code Not Found")</f>
        <v>Sapindaceae</v>
      </c>
      <c r="O867" t="str" cm="1">
        <f t="array" ref="O867">_xlfn.IFS(F867="","",F867&lt;=5,"0 to 5",F867&lt;=10,"5.1 to 10",F867&lt;=20,"10 to 20", F867&lt;= 40, "20 to 40", F867 &lt;= 50, "40 to 50", F867 &gt; 50, "&gt;50" )</f>
        <v>0 to 5</v>
      </c>
    </row>
    <row r="868" spans="1:15" ht="14.4" x14ac:dyDescent="0.3">
      <c r="A868" t="s">
        <v>213</v>
      </c>
      <c r="B868" s="1">
        <v>46178</v>
      </c>
      <c r="C868" t="s">
        <v>22</v>
      </c>
      <c r="D868">
        <v>806</v>
      </c>
      <c r="E868">
        <v>1</v>
      </c>
      <c r="F868">
        <v>35.299999999999997</v>
      </c>
      <c r="G868" t="s">
        <v>21</v>
      </c>
      <c r="I868" t="str">
        <f t="shared" si="14"/>
        <v>806_1</v>
      </c>
      <c r="J868" t="s">
        <v>214</v>
      </c>
      <c r="K868" t="s">
        <v>19</v>
      </c>
      <c r="L868" t="str">
        <f>_xlfn.XLOOKUP(C868, Table2[Species],Table2[Genus], "Code Not Found")</f>
        <v>Acer</v>
      </c>
      <c r="M868" t="str">
        <f>_xlfn.XLOOKUP(C868, Table2[Species],Table2[Sp. Name], "Code Not Found")</f>
        <v>rubrum</v>
      </c>
      <c r="N868" t="str">
        <f>_xlfn.XLOOKUP(C868,Table2[Species],Table2[Family],"Code Not Found")</f>
        <v>Sapindaceae</v>
      </c>
      <c r="O868" t="str" cm="1">
        <f t="array" ref="O868">_xlfn.IFS(F868="","",F868&lt;=5,"0 to 5",F868&lt;=10,"5.1 to 10",F868&lt;=20,"10 to 20", F868&lt;= 40, "20 to 40", F868 &lt;= 50, "40 to 50", F868 &gt; 50, "&gt;50" )</f>
        <v>20 to 40</v>
      </c>
    </row>
    <row r="869" spans="1:15" ht="14.4" x14ac:dyDescent="0.3">
      <c r="A869" t="s">
        <v>213</v>
      </c>
      <c r="B869" s="1">
        <v>46178</v>
      </c>
      <c r="C869" t="s">
        <v>16</v>
      </c>
      <c r="D869">
        <v>807</v>
      </c>
      <c r="E869">
        <v>1</v>
      </c>
      <c r="F869">
        <v>2.9</v>
      </c>
      <c r="G869" t="s">
        <v>21</v>
      </c>
      <c r="I869" t="str">
        <f t="shared" si="14"/>
        <v>807_1</v>
      </c>
      <c r="J869" t="s">
        <v>214</v>
      </c>
      <c r="K869" t="s">
        <v>19</v>
      </c>
      <c r="L869" t="str">
        <f>_xlfn.XLOOKUP(C869, Table2[Species],Table2[Genus], "Code Not Found")</f>
        <v>Acer</v>
      </c>
      <c r="M869" t="str">
        <f>_xlfn.XLOOKUP(C869, Table2[Species],Table2[Sp. Name], "Code Not Found")</f>
        <v>saccharum</v>
      </c>
      <c r="N869" t="str">
        <f>_xlfn.XLOOKUP(C869,Table2[Species],Table2[Family],"Code Not Found")</f>
        <v>Sapindaceae</v>
      </c>
      <c r="O869" t="str" cm="1">
        <f t="array" ref="O869">_xlfn.IFS(F869="","",F869&lt;=5,"0 to 5",F869&lt;=10,"5.1 to 10",F869&lt;=20,"10 to 20", F869&lt;= 40, "20 to 40", F869 &lt;= 50, "40 to 50", F869 &gt; 50, "&gt;50" )</f>
        <v>0 to 5</v>
      </c>
    </row>
    <row r="870" spans="1:15" ht="14.4" x14ac:dyDescent="0.3">
      <c r="A870" t="s">
        <v>213</v>
      </c>
      <c r="B870" s="1">
        <v>46178</v>
      </c>
      <c r="C870" t="s">
        <v>16</v>
      </c>
      <c r="D870">
        <v>808</v>
      </c>
      <c r="E870">
        <v>1</v>
      </c>
      <c r="F870">
        <v>18.7</v>
      </c>
      <c r="G870" t="s">
        <v>21</v>
      </c>
      <c r="I870" t="str">
        <f t="shared" ref="I870:I933" si="15">D870&amp;"_"&amp;E870</f>
        <v>808_1</v>
      </c>
      <c r="J870" t="s">
        <v>214</v>
      </c>
      <c r="K870" t="s">
        <v>19</v>
      </c>
      <c r="L870" t="str">
        <f>_xlfn.XLOOKUP(C870, Table2[Species],Table2[Genus], "Code Not Found")</f>
        <v>Acer</v>
      </c>
      <c r="M870" t="str">
        <f>_xlfn.XLOOKUP(C870, Table2[Species],Table2[Sp. Name], "Code Not Found")</f>
        <v>saccharum</v>
      </c>
      <c r="N870" t="str">
        <f>_xlfn.XLOOKUP(C870,Table2[Species],Table2[Family],"Code Not Found")</f>
        <v>Sapindaceae</v>
      </c>
      <c r="O870" t="str" cm="1">
        <f t="array" ref="O870">_xlfn.IFS(F870="","",F870&lt;=5,"0 to 5",F870&lt;=10,"5.1 to 10",F870&lt;=20,"10 to 20", F870&lt;= 40, "20 to 40", F870 &lt;= 50, "40 to 50", F870 &gt; 50, "&gt;50" )</f>
        <v>10 to 20</v>
      </c>
    </row>
    <row r="871" spans="1:15" ht="14.4" x14ac:dyDescent="0.3">
      <c r="A871" t="s">
        <v>213</v>
      </c>
      <c r="B871" s="1">
        <v>46178</v>
      </c>
      <c r="C871" t="s">
        <v>22</v>
      </c>
      <c r="D871">
        <v>809</v>
      </c>
      <c r="E871">
        <v>1</v>
      </c>
      <c r="F871">
        <v>59.3</v>
      </c>
      <c r="G871" t="s">
        <v>21</v>
      </c>
      <c r="I871" t="str">
        <f t="shared" si="15"/>
        <v>809_1</v>
      </c>
      <c r="J871" t="s">
        <v>214</v>
      </c>
      <c r="K871" t="s">
        <v>19</v>
      </c>
      <c r="L871" t="str">
        <f>_xlfn.XLOOKUP(C871, Table2[Species],Table2[Genus], "Code Not Found")</f>
        <v>Acer</v>
      </c>
      <c r="M871" t="str">
        <f>_xlfn.XLOOKUP(C871, Table2[Species],Table2[Sp. Name], "Code Not Found")</f>
        <v>rubrum</v>
      </c>
      <c r="N871" t="str">
        <f>_xlfn.XLOOKUP(C871,Table2[Species],Table2[Family],"Code Not Found")</f>
        <v>Sapindaceae</v>
      </c>
      <c r="O871" t="str" cm="1">
        <f t="array" ref="O871">_xlfn.IFS(F871="","",F871&lt;=5,"0 to 5",F871&lt;=10,"5.1 to 10",F871&lt;=20,"10 to 20", F871&lt;= 40, "20 to 40", F871 &lt;= 50, "40 to 50", F871 &gt; 50, "&gt;50" )</f>
        <v>&gt;50</v>
      </c>
    </row>
    <row r="872" spans="1:15" ht="14.4" x14ac:dyDescent="0.3">
      <c r="A872" t="s">
        <v>213</v>
      </c>
      <c r="B872" s="1">
        <v>46178</v>
      </c>
      <c r="C872" t="s">
        <v>24</v>
      </c>
      <c r="D872">
        <v>810</v>
      </c>
      <c r="E872">
        <v>1</v>
      </c>
      <c r="F872">
        <v>46.5</v>
      </c>
      <c r="G872" t="s">
        <v>21</v>
      </c>
      <c r="I872" t="str">
        <f t="shared" si="15"/>
        <v>810_1</v>
      </c>
      <c r="J872" t="s">
        <v>214</v>
      </c>
      <c r="K872" t="s">
        <v>19</v>
      </c>
      <c r="L872" t="str">
        <f>_xlfn.XLOOKUP(C872, Table2[Species],Table2[Genus], "Code Not Found")</f>
        <v>Lirodendron</v>
      </c>
      <c r="M872" t="str">
        <f>_xlfn.XLOOKUP(C872, Table2[Species],Table2[Sp. Name], "Code Not Found")</f>
        <v>tulipfera</v>
      </c>
      <c r="N872" t="str">
        <f>_xlfn.XLOOKUP(C872,Table2[Species],Table2[Family],"Code Not Found")</f>
        <v>Magnoliaceae</v>
      </c>
      <c r="O872" t="str" cm="1">
        <f t="array" ref="O872">_xlfn.IFS(F872="","",F872&lt;=5,"0 to 5",F872&lt;=10,"5.1 to 10",F872&lt;=20,"10 to 20", F872&lt;= 40, "20 to 40", F872 &lt;= 50, "40 to 50", F872 &gt; 50, "&gt;50" )</f>
        <v>40 to 50</v>
      </c>
    </row>
    <row r="873" spans="1:15" ht="14.4" x14ac:dyDescent="0.3">
      <c r="A873" t="s">
        <v>213</v>
      </c>
      <c r="B873" s="1">
        <v>46178</v>
      </c>
      <c r="C873" t="s">
        <v>117</v>
      </c>
      <c r="D873">
        <v>811</v>
      </c>
      <c r="E873">
        <v>1</v>
      </c>
      <c r="F873">
        <v>1.3</v>
      </c>
      <c r="G873" t="s">
        <v>17</v>
      </c>
      <c r="H873" t="s">
        <v>36</v>
      </c>
      <c r="I873" t="str">
        <f t="shared" si="15"/>
        <v>811_1</v>
      </c>
      <c r="J873" t="s">
        <v>214</v>
      </c>
      <c r="K873" t="s">
        <v>19</v>
      </c>
      <c r="L873" t="str">
        <f>_xlfn.XLOOKUP(C873, Table2[Species],Table2[Genus], "Code Not Found")</f>
        <v>Ostrya</v>
      </c>
      <c r="M873" t="str">
        <f>_xlfn.XLOOKUP(C873, Table2[Species],Table2[Sp. Name], "Code Not Found")</f>
        <v>viginiana</v>
      </c>
      <c r="N873" t="str">
        <f>_xlfn.XLOOKUP(C873,Table2[Species],Table2[Family],"Code Not Found")</f>
        <v>Betulaceae</v>
      </c>
      <c r="O873" t="str" cm="1">
        <f t="array" ref="O873">_xlfn.IFS(F873="","",F873&lt;=5,"0 to 5",F873&lt;=10,"5.1 to 10",F873&lt;=20,"10 to 20", F873&lt;= 40, "20 to 40", F873 &lt;= 50, "40 to 50", F873 &gt; 50, "&gt;50" )</f>
        <v>0 to 5</v>
      </c>
    </row>
    <row r="874" spans="1:15" ht="14.4" x14ac:dyDescent="0.3">
      <c r="A874" t="s">
        <v>213</v>
      </c>
      <c r="B874" s="1">
        <v>46178</v>
      </c>
      <c r="C874" t="s">
        <v>22</v>
      </c>
      <c r="D874">
        <v>812</v>
      </c>
      <c r="E874">
        <v>1</v>
      </c>
      <c r="F874">
        <v>37.6</v>
      </c>
      <c r="G874" t="s">
        <v>21</v>
      </c>
      <c r="I874" t="str">
        <f t="shared" si="15"/>
        <v>812_1</v>
      </c>
      <c r="J874" t="s">
        <v>214</v>
      </c>
      <c r="K874" t="s">
        <v>19</v>
      </c>
      <c r="L874" t="str">
        <f>_xlfn.XLOOKUP(C874, Table2[Species],Table2[Genus], "Code Not Found")</f>
        <v>Acer</v>
      </c>
      <c r="M874" t="str">
        <f>_xlfn.XLOOKUP(C874, Table2[Species],Table2[Sp. Name], "Code Not Found")</f>
        <v>rubrum</v>
      </c>
      <c r="N874" t="str">
        <f>_xlfn.XLOOKUP(C874,Table2[Species],Table2[Family],"Code Not Found")</f>
        <v>Sapindaceae</v>
      </c>
      <c r="O874" t="str" cm="1">
        <f t="array" ref="O874">_xlfn.IFS(F874="","",F874&lt;=5,"0 to 5",F874&lt;=10,"5.1 to 10",F874&lt;=20,"10 to 20", F874&lt;= 40, "20 to 40", F874 &lt;= 50, "40 to 50", F874 &gt; 50, "&gt;50" )</f>
        <v>20 to 40</v>
      </c>
    </row>
    <row r="875" spans="1:15" ht="14.4" x14ac:dyDescent="0.3">
      <c r="A875" t="s">
        <v>213</v>
      </c>
      <c r="B875" s="1">
        <v>46178</v>
      </c>
      <c r="C875" t="s">
        <v>22</v>
      </c>
      <c r="D875">
        <v>813</v>
      </c>
      <c r="E875">
        <v>1</v>
      </c>
      <c r="F875">
        <v>14.5</v>
      </c>
      <c r="G875" t="s">
        <v>21</v>
      </c>
      <c r="I875" t="str">
        <f t="shared" si="15"/>
        <v>813_1</v>
      </c>
      <c r="J875" t="s">
        <v>214</v>
      </c>
      <c r="K875" t="s">
        <v>19</v>
      </c>
      <c r="L875" t="str">
        <f>_xlfn.XLOOKUP(C875, Table2[Species],Table2[Genus], "Code Not Found")</f>
        <v>Acer</v>
      </c>
      <c r="M875" t="str">
        <f>_xlfn.XLOOKUP(C875, Table2[Species],Table2[Sp. Name], "Code Not Found")</f>
        <v>rubrum</v>
      </c>
      <c r="N875" t="str">
        <f>_xlfn.XLOOKUP(C875,Table2[Species],Table2[Family],"Code Not Found")</f>
        <v>Sapindaceae</v>
      </c>
      <c r="O875" t="str" cm="1">
        <f t="array" ref="O875">_xlfn.IFS(F875="","",F875&lt;=5,"0 to 5",F875&lt;=10,"5.1 to 10",F875&lt;=20,"10 to 20", F875&lt;= 40, "20 to 40", F875 &lt;= 50, "40 to 50", F875 &gt; 50, "&gt;50" )</f>
        <v>10 to 20</v>
      </c>
    </row>
    <row r="876" spans="1:15" ht="14.4" x14ac:dyDescent="0.3">
      <c r="A876" t="s">
        <v>213</v>
      </c>
      <c r="B876" s="1">
        <v>46178</v>
      </c>
      <c r="C876" t="s">
        <v>22</v>
      </c>
      <c r="D876">
        <v>814</v>
      </c>
      <c r="E876">
        <v>1</v>
      </c>
      <c r="F876">
        <v>10</v>
      </c>
      <c r="G876" t="s">
        <v>21</v>
      </c>
      <c r="I876" t="str">
        <f t="shared" si="15"/>
        <v>814_1</v>
      </c>
      <c r="J876" t="s">
        <v>214</v>
      </c>
      <c r="K876" t="s">
        <v>19</v>
      </c>
      <c r="L876" t="str">
        <f>_xlfn.XLOOKUP(C876, Table2[Species],Table2[Genus], "Code Not Found")</f>
        <v>Acer</v>
      </c>
      <c r="M876" t="str">
        <f>_xlfn.XLOOKUP(C876, Table2[Species],Table2[Sp. Name], "Code Not Found")</f>
        <v>rubrum</v>
      </c>
      <c r="N876" t="str">
        <f>_xlfn.XLOOKUP(C876,Table2[Species],Table2[Family],"Code Not Found")</f>
        <v>Sapindaceae</v>
      </c>
      <c r="O876" t="str" cm="1">
        <f t="array" ref="O876">_xlfn.IFS(F876="","",F876&lt;=5,"0 to 5",F876&lt;=10,"5.1 to 10",F876&lt;=20,"10 to 20", F876&lt;= 40, "20 to 40", F876 &lt;= 50, "40 to 50", F876 &gt; 50, "&gt;50" )</f>
        <v>5.1 to 10</v>
      </c>
    </row>
    <row r="877" spans="1:15" ht="14.4" x14ac:dyDescent="0.3">
      <c r="A877" t="s">
        <v>213</v>
      </c>
      <c r="B877" s="1">
        <v>46178</v>
      </c>
      <c r="C877" t="s">
        <v>22</v>
      </c>
      <c r="D877">
        <v>815</v>
      </c>
      <c r="E877">
        <v>1</v>
      </c>
      <c r="F877">
        <v>42.2</v>
      </c>
      <c r="G877" t="s">
        <v>21</v>
      </c>
      <c r="I877" t="str">
        <f t="shared" si="15"/>
        <v>815_1</v>
      </c>
      <c r="J877" t="s">
        <v>214</v>
      </c>
      <c r="K877" t="s">
        <v>19</v>
      </c>
      <c r="L877" t="str">
        <f>_xlfn.XLOOKUP(C877, Table2[Species],Table2[Genus], "Code Not Found")</f>
        <v>Acer</v>
      </c>
      <c r="M877" t="str">
        <f>_xlfn.XLOOKUP(C877, Table2[Species],Table2[Sp. Name], "Code Not Found")</f>
        <v>rubrum</v>
      </c>
      <c r="N877" t="str">
        <f>_xlfn.XLOOKUP(C877,Table2[Species],Table2[Family],"Code Not Found")</f>
        <v>Sapindaceae</v>
      </c>
      <c r="O877" t="str" cm="1">
        <f t="array" ref="O877">_xlfn.IFS(F877="","",F877&lt;=5,"0 to 5",F877&lt;=10,"5.1 to 10",F877&lt;=20,"10 to 20", F877&lt;= 40, "20 to 40", F877 &lt;= 50, "40 to 50", F877 &gt; 50, "&gt;50" )</f>
        <v>40 to 50</v>
      </c>
    </row>
    <row r="878" spans="1:15" ht="14.4" x14ac:dyDescent="0.3">
      <c r="A878" t="s">
        <v>213</v>
      </c>
      <c r="B878" s="1">
        <v>46178</v>
      </c>
      <c r="C878" t="s">
        <v>64</v>
      </c>
      <c r="D878">
        <v>816</v>
      </c>
      <c r="E878">
        <v>1</v>
      </c>
      <c r="F878">
        <v>2.2999999999999998</v>
      </c>
      <c r="G878" t="s">
        <v>47</v>
      </c>
      <c r="I878" t="str">
        <f t="shared" si="15"/>
        <v>816_1</v>
      </c>
      <c r="J878" t="s">
        <v>214</v>
      </c>
      <c r="K878" t="s">
        <v>19</v>
      </c>
      <c r="L878" t="str">
        <f>_xlfn.XLOOKUP(C878, Table2[Species],Table2[Genus], "Code Not Found")</f>
        <v>Fagus</v>
      </c>
      <c r="M878" t="str">
        <f>_xlfn.XLOOKUP(C878, Table2[Species],Table2[Sp. Name], "Code Not Found")</f>
        <v>grandifolia</v>
      </c>
      <c r="N878" t="str">
        <f>_xlfn.XLOOKUP(C878,Table2[Species],Table2[Family],"Code Not Found")</f>
        <v>Fagaceae</v>
      </c>
      <c r="O878" t="str" cm="1">
        <f t="array" ref="O878">_xlfn.IFS(F878="","",F878&lt;=5,"0 to 5",F878&lt;=10,"5.1 to 10",F878&lt;=20,"10 to 20", F878&lt;= 40, "20 to 40", F878 &lt;= 50, "40 to 50", F878 &gt; 50, "&gt;50" )</f>
        <v>0 to 5</v>
      </c>
    </row>
    <row r="879" spans="1:15" ht="14.4" x14ac:dyDescent="0.3">
      <c r="A879" t="s">
        <v>213</v>
      </c>
      <c r="B879" s="1">
        <v>46178</v>
      </c>
      <c r="C879" t="s">
        <v>22</v>
      </c>
      <c r="D879">
        <v>817</v>
      </c>
      <c r="E879">
        <v>1</v>
      </c>
      <c r="F879">
        <v>27.4</v>
      </c>
      <c r="G879" t="s">
        <v>17</v>
      </c>
      <c r="I879" t="str">
        <f t="shared" si="15"/>
        <v>817_1</v>
      </c>
      <c r="J879" t="s">
        <v>214</v>
      </c>
      <c r="K879" t="s">
        <v>19</v>
      </c>
      <c r="L879" t="str">
        <f>_xlfn.XLOOKUP(C879, Table2[Species],Table2[Genus], "Code Not Found")</f>
        <v>Acer</v>
      </c>
      <c r="M879" t="str">
        <f>_xlfn.XLOOKUP(C879, Table2[Species],Table2[Sp. Name], "Code Not Found")</f>
        <v>rubrum</v>
      </c>
      <c r="N879" t="str">
        <f>_xlfn.XLOOKUP(C879,Table2[Species],Table2[Family],"Code Not Found")</f>
        <v>Sapindaceae</v>
      </c>
      <c r="O879" t="str" cm="1">
        <f t="array" ref="O879">_xlfn.IFS(F879="","",F879&lt;=5,"0 to 5",F879&lt;=10,"5.1 to 10",F879&lt;=20,"10 to 20", F879&lt;= 40, "20 to 40", F879 &lt;= 50, "40 to 50", F879 &gt; 50, "&gt;50" )</f>
        <v>20 to 40</v>
      </c>
    </row>
    <row r="880" spans="1:15" ht="14.4" x14ac:dyDescent="0.3">
      <c r="A880" t="s">
        <v>213</v>
      </c>
      <c r="B880" s="1">
        <v>46178</v>
      </c>
      <c r="C880" t="s">
        <v>64</v>
      </c>
      <c r="D880">
        <v>818</v>
      </c>
      <c r="E880">
        <v>1</v>
      </c>
      <c r="F880">
        <v>3.4</v>
      </c>
      <c r="G880" t="s">
        <v>21</v>
      </c>
      <c r="I880" t="str">
        <f t="shared" si="15"/>
        <v>818_1</v>
      </c>
      <c r="J880" t="s">
        <v>214</v>
      </c>
      <c r="K880" t="s">
        <v>19</v>
      </c>
      <c r="L880" t="str">
        <f>_xlfn.XLOOKUP(C880, Table2[Species],Table2[Genus], "Code Not Found")</f>
        <v>Fagus</v>
      </c>
      <c r="M880" t="str">
        <f>_xlfn.XLOOKUP(C880, Table2[Species],Table2[Sp. Name], "Code Not Found")</f>
        <v>grandifolia</v>
      </c>
      <c r="N880" t="str">
        <f>_xlfn.XLOOKUP(C880,Table2[Species],Table2[Family],"Code Not Found")</f>
        <v>Fagaceae</v>
      </c>
      <c r="O880" t="str" cm="1">
        <f t="array" ref="O880">_xlfn.IFS(F880="","",F880&lt;=5,"0 to 5",F880&lt;=10,"5.1 to 10",F880&lt;=20,"10 to 20", F880&lt;= 40, "20 to 40", F880 &lt;= 50, "40 to 50", F880 &gt; 50, "&gt;50" )</f>
        <v>0 to 5</v>
      </c>
    </row>
    <row r="881" spans="1:15" ht="14.4" x14ac:dyDescent="0.3">
      <c r="A881" t="s">
        <v>213</v>
      </c>
      <c r="B881" s="1">
        <v>46178</v>
      </c>
      <c r="C881" t="s">
        <v>22</v>
      </c>
      <c r="D881">
        <v>819</v>
      </c>
      <c r="E881">
        <v>1</v>
      </c>
      <c r="F881">
        <v>18.7</v>
      </c>
      <c r="G881" t="s">
        <v>17</v>
      </c>
      <c r="H881" t="s">
        <v>36</v>
      </c>
      <c r="I881" t="str">
        <f t="shared" si="15"/>
        <v>819_1</v>
      </c>
      <c r="J881" t="s">
        <v>214</v>
      </c>
      <c r="K881" t="s">
        <v>19</v>
      </c>
      <c r="L881" t="str">
        <f>_xlfn.XLOOKUP(C881, Table2[Species],Table2[Genus], "Code Not Found")</f>
        <v>Acer</v>
      </c>
      <c r="M881" t="str">
        <f>_xlfn.XLOOKUP(C881, Table2[Species],Table2[Sp. Name], "Code Not Found")</f>
        <v>rubrum</v>
      </c>
      <c r="N881" t="str">
        <f>_xlfn.XLOOKUP(C881,Table2[Species],Table2[Family],"Code Not Found")</f>
        <v>Sapindaceae</v>
      </c>
      <c r="O881" t="str" cm="1">
        <f t="array" ref="O881">_xlfn.IFS(F881="","",F881&lt;=5,"0 to 5",F881&lt;=10,"5.1 to 10",F881&lt;=20,"10 to 20", F881&lt;= 40, "20 to 40", F881 &lt;= 50, "40 to 50", F881 &gt; 50, "&gt;50" )</f>
        <v>10 to 20</v>
      </c>
    </row>
    <row r="882" spans="1:15" ht="14.4" x14ac:dyDescent="0.3">
      <c r="A882" t="s">
        <v>213</v>
      </c>
      <c r="B882" s="1">
        <v>46178</v>
      </c>
      <c r="C882" t="s">
        <v>16</v>
      </c>
      <c r="D882">
        <v>820</v>
      </c>
      <c r="E882">
        <v>1</v>
      </c>
      <c r="F882">
        <v>4.8</v>
      </c>
      <c r="G882" t="s">
        <v>47</v>
      </c>
      <c r="I882" t="str">
        <f t="shared" si="15"/>
        <v>820_1</v>
      </c>
      <c r="J882" t="s">
        <v>214</v>
      </c>
      <c r="K882" t="s">
        <v>19</v>
      </c>
      <c r="L882" t="str">
        <f>_xlfn.XLOOKUP(C882, Table2[Species],Table2[Genus], "Code Not Found")</f>
        <v>Acer</v>
      </c>
      <c r="M882" t="str">
        <f>_xlfn.XLOOKUP(C882, Table2[Species],Table2[Sp. Name], "Code Not Found")</f>
        <v>saccharum</v>
      </c>
      <c r="N882" t="str">
        <f>_xlfn.XLOOKUP(C882,Table2[Species],Table2[Family],"Code Not Found")</f>
        <v>Sapindaceae</v>
      </c>
      <c r="O882" t="str" cm="1">
        <f t="array" ref="O882">_xlfn.IFS(F882="","",F882&lt;=5,"0 to 5",F882&lt;=10,"5.1 to 10",F882&lt;=20,"10 to 20", F882&lt;= 40, "20 to 40", F882 &lt;= 50, "40 to 50", F882 &gt; 50, "&gt;50" )</f>
        <v>0 to 5</v>
      </c>
    </row>
    <row r="883" spans="1:15" ht="14.4" x14ac:dyDescent="0.3">
      <c r="A883" t="s">
        <v>213</v>
      </c>
      <c r="B883" s="1">
        <v>46178</v>
      </c>
      <c r="C883" t="s">
        <v>22</v>
      </c>
      <c r="D883">
        <v>821</v>
      </c>
      <c r="E883">
        <v>1</v>
      </c>
      <c r="F883">
        <v>16.8</v>
      </c>
      <c r="G883" t="s">
        <v>21</v>
      </c>
      <c r="I883" t="str">
        <f t="shared" si="15"/>
        <v>821_1</v>
      </c>
      <c r="J883" t="s">
        <v>214</v>
      </c>
      <c r="K883" t="s">
        <v>19</v>
      </c>
      <c r="L883" t="str">
        <f>_xlfn.XLOOKUP(C883, Table2[Species],Table2[Genus], "Code Not Found")</f>
        <v>Acer</v>
      </c>
      <c r="M883" t="str">
        <f>_xlfn.XLOOKUP(C883, Table2[Species],Table2[Sp. Name], "Code Not Found")</f>
        <v>rubrum</v>
      </c>
      <c r="N883" t="str">
        <f>_xlfn.XLOOKUP(C883,Table2[Species],Table2[Family],"Code Not Found")</f>
        <v>Sapindaceae</v>
      </c>
      <c r="O883" t="str" cm="1">
        <f t="array" ref="O883">_xlfn.IFS(F883="","",F883&lt;=5,"0 to 5",F883&lt;=10,"5.1 to 10",F883&lt;=20,"10 to 20", F883&lt;= 40, "20 to 40", F883 &lt;= 50, "40 to 50", F883 &gt; 50, "&gt;50" )</f>
        <v>10 to 20</v>
      </c>
    </row>
    <row r="884" spans="1:15" ht="14.4" x14ac:dyDescent="0.3">
      <c r="A884" t="s">
        <v>213</v>
      </c>
      <c r="B884" s="1">
        <v>46184</v>
      </c>
      <c r="C884" t="s">
        <v>22</v>
      </c>
      <c r="D884">
        <v>822</v>
      </c>
      <c r="E884">
        <v>1</v>
      </c>
      <c r="F884">
        <v>8.23</v>
      </c>
      <c r="G884" t="s">
        <v>21</v>
      </c>
      <c r="I884" t="str">
        <f t="shared" si="15"/>
        <v>822_1</v>
      </c>
      <c r="J884" t="s">
        <v>214</v>
      </c>
      <c r="K884" t="s">
        <v>19</v>
      </c>
      <c r="L884" t="str">
        <f>_xlfn.XLOOKUP(C884, Table2[Species],Table2[Genus], "Code Not Found")</f>
        <v>Acer</v>
      </c>
      <c r="M884" t="str">
        <f>_xlfn.XLOOKUP(C884, Table2[Species],Table2[Sp. Name], "Code Not Found")</f>
        <v>rubrum</v>
      </c>
      <c r="N884" t="str">
        <f>_xlfn.XLOOKUP(C884,Table2[Species],Table2[Family],"Code Not Found")</f>
        <v>Sapindaceae</v>
      </c>
      <c r="O884" t="str" cm="1">
        <f t="array" ref="O884">_xlfn.IFS(F884="","",F884&lt;=5,"0 to 5",F884&lt;=10,"5.1 to 10",F884&lt;=20,"10 to 20", F884&lt;= 40, "20 to 40", F884 &lt;= 50, "40 to 50", F884 &gt; 50, "&gt;50" )</f>
        <v>5.1 to 10</v>
      </c>
    </row>
    <row r="885" spans="1:15" ht="14.4" x14ac:dyDescent="0.3">
      <c r="A885" t="s">
        <v>213</v>
      </c>
      <c r="B885" s="1">
        <v>46184</v>
      </c>
      <c r="C885" t="s">
        <v>123</v>
      </c>
      <c r="D885">
        <v>823</v>
      </c>
      <c r="E885">
        <v>1</v>
      </c>
      <c r="F885">
        <v>110.1</v>
      </c>
      <c r="G885" t="s">
        <v>21</v>
      </c>
      <c r="I885" t="str">
        <f t="shared" si="15"/>
        <v>823_1</v>
      </c>
      <c r="J885" t="s">
        <v>214</v>
      </c>
      <c r="K885" t="s">
        <v>19</v>
      </c>
      <c r="L885" t="str">
        <f>_xlfn.XLOOKUP(C885, Table2[Species],Table2[Genus], "Code Not Found")</f>
        <v>Quercus</v>
      </c>
      <c r="M885" t="str">
        <f>_xlfn.XLOOKUP(C885, Table2[Species],Table2[Sp. Name], "Code Not Found")</f>
        <v>rubra</v>
      </c>
      <c r="N885" t="str">
        <f>_xlfn.XLOOKUP(C885,Table2[Species],Table2[Family],"Code Not Found")</f>
        <v>Fagaceae</v>
      </c>
      <c r="O885" t="str" cm="1">
        <f t="array" ref="O885">_xlfn.IFS(F885="","",F885&lt;=5,"0 to 5",F885&lt;=10,"5.1 to 10",F885&lt;=20,"10 to 20", F885&lt;= 40, "20 to 40", F885 &lt;= 50, "40 to 50", F885 &gt; 50, "&gt;50" )</f>
        <v>&gt;50</v>
      </c>
    </row>
    <row r="886" spans="1:15" ht="14.4" x14ac:dyDescent="0.3">
      <c r="A886" t="s">
        <v>213</v>
      </c>
      <c r="B886" s="1">
        <v>46184</v>
      </c>
      <c r="C886" t="s">
        <v>123</v>
      </c>
      <c r="D886">
        <v>824</v>
      </c>
      <c r="E886">
        <v>1</v>
      </c>
      <c r="F886">
        <v>120.8</v>
      </c>
      <c r="G886" t="s">
        <v>21</v>
      </c>
      <c r="I886" t="str">
        <f t="shared" si="15"/>
        <v>824_1</v>
      </c>
      <c r="J886" t="s">
        <v>214</v>
      </c>
      <c r="K886" t="s">
        <v>19</v>
      </c>
      <c r="L886" t="str">
        <f>_xlfn.XLOOKUP(C886, Table2[Species],Table2[Genus], "Code Not Found")</f>
        <v>Quercus</v>
      </c>
      <c r="M886" t="str">
        <f>_xlfn.XLOOKUP(C886, Table2[Species],Table2[Sp. Name], "Code Not Found")</f>
        <v>rubra</v>
      </c>
      <c r="N886" t="str">
        <f>_xlfn.XLOOKUP(C886,Table2[Species],Table2[Family],"Code Not Found")</f>
        <v>Fagaceae</v>
      </c>
      <c r="O886" t="str" cm="1">
        <f t="array" ref="O886">_xlfn.IFS(F886="","",F886&lt;=5,"0 to 5",F886&lt;=10,"5.1 to 10",F886&lt;=20,"10 to 20", F886&lt;= 40, "20 to 40", F886 &lt;= 50, "40 to 50", F886 &gt; 50, "&gt;50" )</f>
        <v>&gt;50</v>
      </c>
    </row>
    <row r="887" spans="1:15" ht="14.4" x14ac:dyDescent="0.3">
      <c r="A887" t="s">
        <v>213</v>
      </c>
      <c r="B887" s="1">
        <v>46184</v>
      </c>
      <c r="C887" t="s">
        <v>16</v>
      </c>
      <c r="D887">
        <v>825</v>
      </c>
      <c r="E887">
        <v>1</v>
      </c>
      <c r="F887">
        <v>4.8</v>
      </c>
      <c r="G887" t="s">
        <v>21</v>
      </c>
      <c r="I887" t="str">
        <f t="shared" si="15"/>
        <v>825_1</v>
      </c>
      <c r="J887" t="s">
        <v>214</v>
      </c>
      <c r="K887" t="s">
        <v>19</v>
      </c>
      <c r="L887" t="str">
        <f>_xlfn.XLOOKUP(C887, Table2[Species],Table2[Genus], "Code Not Found")</f>
        <v>Acer</v>
      </c>
      <c r="M887" t="str">
        <f>_xlfn.XLOOKUP(C887, Table2[Species],Table2[Sp. Name], "Code Not Found")</f>
        <v>saccharum</v>
      </c>
      <c r="N887" t="str">
        <f>_xlfn.XLOOKUP(C887,Table2[Species],Table2[Family],"Code Not Found")</f>
        <v>Sapindaceae</v>
      </c>
      <c r="O887" t="str" cm="1">
        <f t="array" ref="O887">_xlfn.IFS(F887="","",F887&lt;=5,"0 to 5",F887&lt;=10,"5.1 to 10",F887&lt;=20,"10 to 20", F887&lt;= 40, "20 to 40", F887 &lt;= 50, "40 to 50", F887 &gt; 50, "&gt;50" )</f>
        <v>0 to 5</v>
      </c>
    </row>
    <row r="888" spans="1:15" ht="14.4" x14ac:dyDescent="0.3">
      <c r="A888" t="s">
        <v>213</v>
      </c>
      <c r="B888" s="1">
        <v>46184</v>
      </c>
      <c r="C888" t="s">
        <v>16</v>
      </c>
      <c r="D888">
        <v>826</v>
      </c>
      <c r="E888">
        <v>1</v>
      </c>
      <c r="F888">
        <v>2.8</v>
      </c>
      <c r="G888" t="s">
        <v>21</v>
      </c>
      <c r="I888" t="str">
        <f t="shared" si="15"/>
        <v>826_1</v>
      </c>
      <c r="J888" t="s">
        <v>214</v>
      </c>
      <c r="K888" t="s">
        <v>19</v>
      </c>
      <c r="L888" t="str">
        <f>_xlfn.XLOOKUP(C888, Table2[Species],Table2[Genus], "Code Not Found")</f>
        <v>Acer</v>
      </c>
      <c r="M888" t="str">
        <f>_xlfn.XLOOKUP(C888, Table2[Species],Table2[Sp. Name], "Code Not Found")</f>
        <v>saccharum</v>
      </c>
      <c r="N888" t="str">
        <f>_xlfn.XLOOKUP(C888,Table2[Species],Table2[Family],"Code Not Found")</f>
        <v>Sapindaceae</v>
      </c>
      <c r="O888" t="str" cm="1">
        <f t="array" ref="O888">_xlfn.IFS(F888="","",F888&lt;=5,"0 to 5",F888&lt;=10,"5.1 to 10",F888&lt;=20,"10 to 20", F888&lt;= 40, "20 to 40", F888 &lt;= 50, "40 to 50", F888 &gt; 50, "&gt;50" )</f>
        <v>0 to 5</v>
      </c>
    </row>
    <row r="889" spans="1:15" ht="14.4" x14ac:dyDescent="0.3">
      <c r="A889" t="s">
        <v>213</v>
      </c>
      <c r="B889" s="1">
        <v>46184</v>
      </c>
      <c r="C889" t="s">
        <v>22</v>
      </c>
      <c r="D889">
        <v>827</v>
      </c>
      <c r="E889">
        <v>1</v>
      </c>
      <c r="F889">
        <v>10.7</v>
      </c>
      <c r="G889" t="s">
        <v>21</v>
      </c>
      <c r="I889" t="str">
        <f t="shared" si="15"/>
        <v>827_1</v>
      </c>
      <c r="J889" t="s">
        <v>214</v>
      </c>
      <c r="K889" t="s">
        <v>19</v>
      </c>
      <c r="L889" t="str">
        <f>_xlfn.XLOOKUP(C889, Table2[Species],Table2[Genus], "Code Not Found")</f>
        <v>Acer</v>
      </c>
      <c r="M889" t="str">
        <f>_xlfn.XLOOKUP(C889, Table2[Species],Table2[Sp. Name], "Code Not Found")</f>
        <v>rubrum</v>
      </c>
      <c r="N889" t="str">
        <f>_xlfn.XLOOKUP(C889,Table2[Species],Table2[Family],"Code Not Found")</f>
        <v>Sapindaceae</v>
      </c>
      <c r="O889" t="str" cm="1">
        <f t="array" ref="O889">_xlfn.IFS(F889="","",F889&lt;=5,"0 to 5",F889&lt;=10,"5.1 to 10",F889&lt;=20,"10 to 20", F889&lt;= 40, "20 to 40", F889 &lt;= 50, "40 to 50", F889 &gt; 50, "&gt;50" )</f>
        <v>10 to 20</v>
      </c>
    </row>
    <row r="890" spans="1:15" ht="14.4" x14ac:dyDescent="0.3">
      <c r="A890" t="s">
        <v>213</v>
      </c>
      <c r="B890" s="1">
        <v>46184</v>
      </c>
      <c r="C890" t="s">
        <v>16</v>
      </c>
      <c r="D890">
        <v>828</v>
      </c>
      <c r="E890">
        <v>1</v>
      </c>
      <c r="F890">
        <v>2.2999999999999998</v>
      </c>
      <c r="G890" t="s">
        <v>21</v>
      </c>
      <c r="I890" t="str">
        <f t="shared" si="15"/>
        <v>828_1</v>
      </c>
      <c r="J890" t="s">
        <v>214</v>
      </c>
      <c r="K890" t="s">
        <v>19</v>
      </c>
      <c r="L890" t="str">
        <f>_xlfn.XLOOKUP(C890, Table2[Species],Table2[Genus], "Code Not Found")</f>
        <v>Acer</v>
      </c>
      <c r="M890" t="str">
        <f>_xlfn.XLOOKUP(C890, Table2[Species],Table2[Sp. Name], "Code Not Found")</f>
        <v>saccharum</v>
      </c>
      <c r="N890" t="str">
        <f>_xlfn.XLOOKUP(C890,Table2[Species],Table2[Family],"Code Not Found")</f>
        <v>Sapindaceae</v>
      </c>
      <c r="O890" t="str" cm="1">
        <f t="array" ref="O890">_xlfn.IFS(F890="","",F890&lt;=5,"0 to 5",F890&lt;=10,"5.1 to 10",F890&lt;=20,"10 to 20", F890&lt;= 40, "20 to 40", F890 &lt;= 50, "40 to 50", F890 &gt; 50, "&gt;50" )</f>
        <v>0 to 5</v>
      </c>
    </row>
    <row r="891" spans="1:15" ht="14.4" x14ac:dyDescent="0.3">
      <c r="A891" t="s">
        <v>213</v>
      </c>
      <c r="B891" s="1">
        <v>46184</v>
      </c>
      <c r="C891" t="s">
        <v>16</v>
      </c>
      <c r="D891">
        <v>829</v>
      </c>
      <c r="E891">
        <v>1</v>
      </c>
      <c r="F891">
        <v>2.8</v>
      </c>
      <c r="G891" t="s">
        <v>21</v>
      </c>
      <c r="I891" t="str">
        <f t="shared" si="15"/>
        <v>829_1</v>
      </c>
      <c r="J891" t="s">
        <v>214</v>
      </c>
      <c r="K891" t="s">
        <v>19</v>
      </c>
      <c r="L891" t="str">
        <f>_xlfn.XLOOKUP(C891, Table2[Species],Table2[Genus], "Code Not Found")</f>
        <v>Acer</v>
      </c>
      <c r="M891" t="str">
        <f>_xlfn.XLOOKUP(C891, Table2[Species],Table2[Sp. Name], "Code Not Found")</f>
        <v>saccharum</v>
      </c>
      <c r="N891" t="str">
        <f>_xlfn.XLOOKUP(C891,Table2[Species],Table2[Family],"Code Not Found")</f>
        <v>Sapindaceae</v>
      </c>
      <c r="O891" t="str" cm="1">
        <f t="array" ref="O891">_xlfn.IFS(F891="","",F891&lt;=5,"0 to 5",F891&lt;=10,"5.1 to 10",F891&lt;=20,"10 to 20", F891&lt;= 40, "20 to 40", F891 &lt;= 50, "40 to 50", F891 &gt; 50, "&gt;50" )</f>
        <v>0 to 5</v>
      </c>
    </row>
    <row r="892" spans="1:15" ht="14.4" x14ac:dyDescent="0.3">
      <c r="A892" t="s">
        <v>213</v>
      </c>
      <c r="B892" s="1">
        <v>46184</v>
      </c>
      <c r="C892" t="s">
        <v>16</v>
      </c>
      <c r="D892">
        <v>830</v>
      </c>
      <c r="E892">
        <v>1</v>
      </c>
      <c r="F892">
        <v>2.9</v>
      </c>
      <c r="G892" t="s">
        <v>47</v>
      </c>
      <c r="H892" t="s">
        <v>43</v>
      </c>
      <c r="I892" t="str">
        <f t="shared" si="15"/>
        <v>830_1</v>
      </c>
      <c r="J892" t="s">
        <v>214</v>
      </c>
      <c r="K892" t="s">
        <v>19</v>
      </c>
      <c r="L892" t="str">
        <f>_xlfn.XLOOKUP(C892, Table2[Species],Table2[Genus], "Code Not Found")</f>
        <v>Acer</v>
      </c>
      <c r="M892" t="str">
        <f>_xlfn.XLOOKUP(C892, Table2[Species],Table2[Sp. Name], "Code Not Found")</f>
        <v>saccharum</v>
      </c>
      <c r="N892" t="str">
        <f>_xlfn.XLOOKUP(C892,Table2[Species],Table2[Family],"Code Not Found")</f>
        <v>Sapindaceae</v>
      </c>
      <c r="O892" t="str" cm="1">
        <f t="array" ref="O892">_xlfn.IFS(F892="","",F892&lt;=5,"0 to 5",F892&lt;=10,"5.1 to 10",F892&lt;=20,"10 to 20", F892&lt;= 40, "20 to 40", F892 &lt;= 50, "40 to 50", F892 &gt; 50, "&gt;50" )</f>
        <v>0 to 5</v>
      </c>
    </row>
    <row r="893" spans="1:15" ht="14.4" x14ac:dyDescent="0.3">
      <c r="A893" t="s">
        <v>213</v>
      </c>
      <c r="B893" s="1">
        <v>46184</v>
      </c>
      <c r="C893" t="s">
        <v>16</v>
      </c>
      <c r="D893">
        <v>831</v>
      </c>
      <c r="E893">
        <v>1</v>
      </c>
      <c r="F893">
        <v>1.3</v>
      </c>
      <c r="G893" t="s">
        <v>21</v>
      </c>
      <c r="I893" t="str">
        <f t="shared" si="15"/>
        <v>831_1</v>
      </c>
      <c r="J893" t="s">
        <v>214</v>
      </c>
      <c r="K893" t="s">
        <v>19</v>
      </c>
      <c r="L893" t="str">
        <f>_xlfn.XLOOKUP(C893, Table2[Species],Table2[Genus], "Code Not Found")</f>
        <v>Acer</v>
      </c>
      <c r="M893" t="str">
        <f>_xlfn.XLOOKUP(C893, Table2[Species],Table2[Sp. Name], "Code Not Found")</f>
        <v>saccharum</v>
      </c>
      <c r="N893" t="str">
        <f>_xlfn.XLOOKUP(C893,Table2[Species],Table2[Family],"Code Not Found")</f>
        <v>Sapindaceae</v>
      </c>
      <c r="O893" t="str" cm="1">
        <f t="array" ref="O893">_xlfn.IFS(F893="","",F893&lt;=5,"0 to 5",F893&lt;=10,"5.1 to 10",F893&lt;=20,"10 to 20", F893&lt;= 40, "20 to 40", F893 &lt;= 50, "40 to 50", F893 &gt; 50, "&gt;50" )</f>
        <v>0 to 5</v>
      </c>
    </row>
    <row r="894" spans="1:15" ht="14.4" x14ac:dyDescent="0.3">
      <c r="A894" t="s">
        <v>213</v>
      </c>
      <c r="B894" s="1">
        <v>46184</v>
      </c>
      <c r="C894" t="s">
        <v>16</v>
      </c>
      <c r="D894">
        <v>832</v>
      </c>
      <c r="E894">
        <v>1</v>
      </c>
      <c r="F894">
        <v>10.199999999999999</v>
      </c>
      <c r="G894" t="s">
        <v>21</v>
      </c>
      <c r="I894" t="str">
        <f t="shared" si="15"/>
        <v>832_1</v>
      </c>
      <c r="J894" t="s">
        <v>214</v>
      </c>
      <c r="K894" t="s">
        <v>19</v>
      </c>
      <c r="L894" t="str">
        <f>_xlfn.XLOOKUP(C894, Table2[Species],Table2[Genus], "Code Not Found")</f>
        <v>Acer</v>
      </c>
      <c r="M894" t="str">
        <f>_xlfn.XLOOKUP(C894, Table2[Species],Table2[Sp. Name], "Code Not Found")</f>
        <v>saccharum</v>
      </c>
      <c r="N894" t="str">
        <f>_xlfn.XLOOKUP(C894,Table2[Species],Table2[Family],"Code Not Found")</f>
        <v>Sapindaceae</v>
      </c>
      <c r="O894" t="str" cm="1">
        <f t="array" ref="O894">_xlfn.IFS(F894="","",F894&lt;=5,"0 to 5",F894&lt;=10,"5.1 to 10",F894&lt;=20,"10 to 20", F894&lt;= 40, "20 to 40", F894 &lt;= 50, "40 to 50", F894 &gt; 50, "&gt;50" )</f>
        <v>10 to 20</v>
      </c>
    </row>
    <row r="895" spans="1:15" ht="14.4" x14ac:dyDescent="0.3">
      <c r="A895" t="s">
        <v>213</v>
      </c>
      <c r="B895" s="1">
        <v>46184</v>
      </c>
      <c r="C895" t="s">
        <v>16</v>
      </c>
      <c r="D895">
        <v>833</v>
      </c>
      <c r="E895">
        <v>1</v>
      </c>
      <c r="F895">
        <v>1.9</v>
      </c>
      <c r="G895" t="s">
        <v>17</v>
      </c>
      <c r="H895" t="s">
        <v>220</v>
      </c>
      <c r="I895" t="str">
        <f t="shared" si="15"/>
        <v>833_1</v>
      </c>
      <c r="J895" t="s">
        <v>214</v>
      </c>
      <c r="K895" t="s">
        <v>19</v>
      </c>
      <c r="L895" t="str">
        <f>_xlfn.XLOOKUP(C895, Table2[Species],Table2[Genus], "Code Not Found")</f>
        <v>Acer</v>
      </c>
      <c r="M895" t="str">
        <f>_xlfn.XLOOKUP(C895, Table2[Species],Table2[Sp. Name], "Code Not Found")</f>
        <v>saccharum</v>
      </c>
      <c r="N895" t="str">
        <f>_xlfn.XLOOKUP(C895,Table2[Species],Table2[Family],"Code Not Found")</f>
        <v>Sapindaceae</v>
      </c>
      <c r="O895" t="str" cm="1">
        <f t="array" ref="O895">_xlfn.IFS(F895="","",F895&lt;=5,"0 to 5",F895&lt;=10,"5.1 to 10",F895&lt;=20,"10 to 20", F895&lt;= 40, "20 to 40", F895 &lt;= 50, "40 to 50", F895 &gt; 50, "&gt;50" )</f>
        <v>0 to 5</v>
      </c>
    </row>
    <row r="896" spans="1:15" ht="14.4" x14ac:dyDescent="0.3">
      <c r="A896" t="s">
        <v>213</v>
      </c>
      <c r="B896" s="1">
        <v>46184</v>
      </c>
      <c r="C896" t="s">
        <v>16</v>
      </c>
      <c r="D896">
        <v>834</v>
      </c>
      <c r="E896">
        <v>1</v>
      </c>
      <c r="F896">
        <v>5.7</v>
      </c>
      <c r="G896" t="s">
        <v>21</v>
      </c>
      <c r="I896" t="str">
        <f t="shared" si="15"/>
        <v>834_1</v>
      </c>
      <c r="J896" t="s">
        <v>214</v>
      </c>
      <c r="K896" t="s">
        <v>19</v>
      </c>
      <c r="L896" t="str">
        <f>_xlfn.XLOOKUP(C896, Table2[Species],Table2[Genus], "Code Not Found")</f>
        <v>Acer</v>
      </c>
      <c r="M896" t="str">
        <f>_xlfn.XLOOKUP(C896, Table2[Species],Table2[Sp. Name], "Code Not Found")</f>
        <v>saccharum</v>
      </c>
      <c r="N896" t="str">
        <f>_xlfn.XLOOKUP(C896,Table2[Species],Table2[Family],"Code Not Found")</f>
        <v>Sapindaceae</v>
      </c>
      <c r="O896" t="str" cm="1">
        <f t="array" ref="O896">_xlfn.IFS(F896="","",F896&lt;=5,"0 to 5",F896&lt;=10,"5.1 to 10",F896&lt;=20,"10 to 20", F896&lt;= 40, "20 to 40", F896 &lt;= 50, "40 to 50", F896 &gt; 50, "&gt;50" )</f>
        <v>5.1 to 10</v>
      </c>
    </row>
    <row r="897" spans="1:15" ht="14.4" x14ac:dyDescent="0.3">
      <c r="A897" t="s">
        <v>213</v>
      </c>
      <c r="B897" s="1">
        <v>46184</v>
      </c>
      <c r="C897" t="s">
        <v>16</v>
      </c>
      <c r="D897">
        <v>835</v>
      </c>
      <c r="E897">
        <v>1</v>
      </c>
      <c r="F897">
        <v>4.2</v>
      </c>
      <c r="G897" t="s">
        <v>21</v>
      </c>
      <c r="I897" t="str">
        <f t="shared" si="15"/>
        <v>835_1</v>
      </c>
      <c r="J897" t="s">
        <v>214</v>
      </c>
      <c r="K897" t="s">
        <v>19</v>
      </c>
      <c r="L897" t="str">
        <f>_xlfn.XLOOKUP(C897, Table2[Species],Table2[Genus], "Code Not Found")</f>
        <v>Acer</v>
      </c>
      <c r="M897" t="str">
        <f>_xlfn.XLOOKUP(C897, Table2[Species],Table2[Sp. Name], "Code Not Found")</f>
        <v>saccharum</v>
      </c>
      <c r="N897" t="str">
        <f>_xlfn.XLOOKUP(C897,Table2[Species],Table2[Family],"Code Not Found")</f>
        <v>Sapindaceae</v>
      </c>
      <c r="O897" t="str" cm="1">
        <f t="array" ref="O897">_xlfn.IFS(F897="","",F897&lt;=5,"0 to 5",F897&lt;=10,"5.1 to 10",F897&lt;=20,"10 to 20", F897&lt;= 40, "20 to 40", F897 &lt;= 50, "40 to 50", F897 &gt; 50, "&gt;50" )</f>
        <v>0 to 5</v>
      </c>
    </row>
    <row r="898" spans="1:15" ht="14.4" x14ac:dyDescent="0.3">
      <c r="A898" t="s">
        <v>213</v>
      </c>
      <c r="B898" s="1">
        <v>46184</v>
      </c>
      <c r="C898" t="s">
        <v>24</v>
      </c>
      <c r="D898">
        <v>836</v>
      </c>
      <c r="E898">
        <v>1</v>
      </c>
      <c r="F898">
        <v>28.4</v>
      </c>
      <c r="G898" t="s">
        <v>21</v>
      </c>
      <c r="I898" t="str">
        <f t="shared" si="15"/>
        <v>836_1</v>
      </c>
      <c r="J898" t="s">
        <v>214</v>
      </c>
      <c r="K898" t="s">
        <v>19</v>
      </c>
      <c r="L898" t="str">
        <f>_xlfn.XLOOKUP(C898, Table2[Species],Table2[Genus], "Code Not Found")</f>
        <v>Lirodendron</v>
      </c>
      <c r="M898" t="str">
        <f>_xlfn.XLOOKUP(C898, Table2[Species],Table2[Sp. Name], "Code Not Found")</f>
        <v>tulipfera</v>
      </c>
      <c r="N898" t="str">
        <f>_xlfn.XLOOKUP(C898,Table2[Species],Table2[Family],"Code Not Found")</f>
        <v>Magnoliaceae</v>
      </c>
      <c r="O898" t="str" cm="1">
        <f t="array" ref="O898">_xlfn.IFS(F898="","",F898&lt;=5,"0 to 5",F898&lt;=10,"5.1 to 10",F898&lt;=20,"10 to 20", F898&lt;= 40, "20 to 40", F898 &lt;= 50, "40 to 50", F898 &gt; 50, "&gt;50" )</f>
        <v>20 to 40</v>
      </c>
    </row>
    <row r="899" spans="1:15" ht="14.4" x14ac:dyDescent="0.3">
      <c r="A899" t="s">
        <v>213</v>
      </c>
      <c r="B899" s="1">
        <v>46184</v>
      </c>
      <c r="C899" t="s">
        <v>16</v>
      </c>
      <c r="D899">
        <v>837</v>
      </c>
      <c r="E899">
        <v>1</v>
      </c>
      <c r="F899">
        <v>1.9</v>
      </c>
      <c r="G899" t="s">
        <v>21</v>
      </c>
      <c r="I899" t="str">
        <f t="shared" si="15"/>
        <v>837_1</v>
      </c>
      <c r="J899" t="s">
        <v>214</v>
      </c>
      <c r="K899" t="s">
        <v>19</v>
      </c>
      <c r="L899" t="str">
        <f>_xlfn.XLOOKUP(C899, Table2[Species],Table2[Genus], "Code Not Found")</f>
        <v>Acer</v>
      </c>
      <c r="M899" t="str">
        <f>_xlfn.XLOOKUP(C899, Table2[Species],Table2[Sp. Name], "Code Not Found")</f>
        <v>saccharum</v>
      </c>
      <c r="N899" t="str">
        <f>_xlfn.XLOOKUP(C899,Table2[Species],Table2[Family],"Code Not Found")</f>
        <v>Sapindaceae</v>
      </c>
      <c r="O899" t="str" cm="1">
        <f t="array" ref="O899">_xlfn.IFS(F899="","",F899&lt;=5,"0 to 5",F899&lt;=10,"5.1 to 10",F899&lt;=20,"10 to 20", F899&lt;= 40, "20 to 40", F899 &lt;= 50, "40 to 50", F899 &gt; 50, "&gt;50" )</f>
        <v>0 to 5</v>
      </c>
    </row>
    <row r="900" spans="1:15" ht="14.4" x14ac:dyDescent="0.3">
      <c r="A900" t="s">
        <v>213</v>
      </c>
      <c r="B900" s="1">
        <v>46184</v>
      </c>
      <c r="C900" t="s">
        <v>16</v>
      </c>
      <c r="D900">
        <v>838</v>
      </c>
      <c r="E900">
        <v>1</v>
      </c>
      <c r="F900">
        <v>4.5999999999999996</v>
      </c>
      <c r="G900" t="s">
        <v>21</v>
      </c>
      <c r="I900" t="str">
        <f t="shared" si="15"/>
        <v>838_1</v>
      </c>
      <c r="J900" t="s">
        <v>214</v>
      </c>
      <c r="K900" t="s">
        <v>19</v>
      </c>
      <c r="L900" t="str">
        <f>_xlfn.XLOOKUP(C900, Table2[Species],Table2[Genus], "Code Not Found")</f>
        <v>Acer</v>
      </c>
      <c r="M900" t="str">
        <f>_xlfn.XLOOKUP(C900, Table2[Species],Table2[Sp. Name], "Code Not Found")</f>
        <v>saccharum</v>
      </c>
      <c r="N900" t="str">
        <f>_xlfn.XLOOKUP(C900,Table2[Species],Table2[Family],"Code Not Found")</f>
        <v>Sapindaceae</v>
      </c>
      <c r="O900" t="str" cm="1">
        <f t="array" ref="O900">_xlfn.IFS(F900="","",F900&lt;=5,"0 to 5",F900&lt;=10,"5.1 to 10",F900&lt;=20,"10 to 20", F900&lt;= 40, "20 to 40", F900 &lt;= 50, "40 to 50", F900 &gt; 50, "&gt;50" )</f>
        <v>0 to 5</v>
      </c>
    </row>
    <row r="901" spans="1:15" ht="14.4" x14ac:dyDescent="0.3">
      <c r="A901" t="s">
        <v>213</v>
      </c>
      <c r="B901" s="1">
        <v>46184</v>
      </c>
      <c r="C901" t="s">
        <v>16</v>
      </c>
      <c r="D901">
        <v>839</v>
      </c>
      <c r="E901">
        <v>1</v>
      </c>
      <c r="F901">
        <v>2</v>
      </c>
      <c r="G901" t="s">
        <v>21</v>
      </c>
      <c r="I901" t="str">
        <f t="shared" si="15"/>
        <v>839_1</v>
      </c>
      <c r="J901" t="s">
        <v>214</v>
      </c>
      <c r="K901" t="s">
        <v>19</v>
      </c>
      <c r="L901" t="str">
        <f>_xlfn.XLOOKUP(C901, Table2[Species],Table2[Genus], "Code Not Found")</f>
        <v>Acer</v>
      </c>
      <c r="M901" t="str">
        <f>_xlfn.XLOOKUP(C901, Table2[Species],Table2[Sp. Name], "Code Not Found")</f>
        <v>saccharum</v>
      </c>
      <c r="N901" t="str">
        <f>_xlfn.XLOOKUP(C901,Table2[Species],Table2[Family],"Code Not Found")</f>
        <v>Sapindaceae</v>
      </c>
      <c r="O901" t="str" cm="1">
        <f t="array" ref="O901">_xlfn.IFS(F901="","",F901&lt;=5,"0 to 5",F901&lt;=10,"5.1 to 10",F901&lt;=20,"10 to 20", F901&lt;= 40, "20 to 40", F901 &lt;= 50, "40 to 50", F901 &gt; 50, "&gt;50" )</f>
        <v>0 to 5</v>
      </c>
    </row>
    <row r="902" spans="1:15" ht="14.4" x14ac:dyDescent="0.3">
      <c r="A902" t="s">
        <v>213</v>
      </c>
      <c r="B902" s="1">
        <v>46184</v>
      </c>
      <c r="C902" t="s">
        <v>16</v>
      </c>
      <c r="D902">
        <v>840</v>
      </c>
      <c r="E902">
        <v>1</v>
      </c>
      <c r="F902">
        <v>4.0999999999999996</v>
      </c>
      <c r="G902" t="s">
        <v>17</v>
      </c>
      <c r="H902" t="s">
        <v>36</v>
      </c>
      <c r="I902" t="str">
        <f t="shared" si="15"/>
        <v>840_1</v>
      </c>
      <c r="J902" t="s">
        <v>214</v>
      </c>
      <c r="K902" t="s">
        <v>19</v>
      </c>
      <c r="L902" t="str">
        <f>_xlfn.XLOOKUP(C902, Table2[Species],Table2[Genus], "Code Not Found")</f>
        <v>Acer</v>
      </c>
      <c r="M902" t="str">
        <f>_xlfn.XLOOKUP(C902, Table2[Species],Table2[Sp. Name], "Code Not Found")</f>
        <v>saccharum</v>
      </c>
      <c r="N902" t="str">
        <f>_xlfn.XLOOKUP(C902,Table2[Species],Table2[Family],"Code Not Found")</f>
        <v>Sapindaceae</v>
      </c>
      <c r="O902" t="str" cm="1">
        <f t="array" ref="O902">_xlfn.IFS(F902="","",F902&lt;=5,"0 to 5",F902&lt;=10,"5.1 to 10",F902&lt;=20,"10 to 20", F902&lt;= 40, "20 to 40", F902 &lt;= 50, "40 to 50", F902 &gt; 50, "&gt;50" )</f>
        <v>0 to 5</v>
      </c>
    </row>
    <row r="903" spans="1:15" ht="14.4" x14ac:dyDescent="0.3">
      <c r="A903" t="s">
        <v>213</v>
      </c>
      <c r="B903" s="1">
        <v>46184</v>
      </c>
      <c r="C903" t="s">
        <v>22</v>
      </c>
      <c r="D903">
        <v>841</v>
      </c>
      <c r="E903">
        <v>1</v>
      </c>
      <c r="F903">
        <v>14.1</v>
      </c>
      <c r="G903" t="s">
        <v>21</v>
      </c>
      <c r="I903" t="str">
        <f t="shared" si="15"/>
        <v>841_1</v>
      </c>
      <c r="J903" t="s">
        <v>214</v>
      </c>
      <c r="K903" t="s">
        <v>19</v>
      </c>
      <c r="L903" t="str">
        <f>_xlfn.XLOOKUP(C903, Table2[Species],Table2[Genus], "Code Not Found")</f>
        <v>Acer</v>
      </c>
      <c r="M903" t="str">
        <f>_xlfn.XLOOKUP(C903, Table2[Species],Table2[Sp. Name], "Code Not Found")</f>
        <v>rubrum</v>
      </c>
      <c r="N903" t="str">
        <f>_xlfn.XLOOKUP(C903,Table2[Species],Table2[Family],"Code Not Found")</f>
        <v>Sapindaceae</v>
      </c>
      <c r="O903" t="str" cm="1">
        <f t="array" ref="O903">_xlfn.IFS(F903="","",F903&lt;=5,"0 to 5",F903&lt;=10,"5.1 to 10",F903&lt;=20,"10 to 20", F903&lt;= 40, "20 to 40", F903 &lt;= 50, "40 to 50", F903 &gt; 50, "&gt;50" )</f>
        <v>10 to 20</v>
      </c>
    </row>
    <row r="904" spans="1:15" ht="14.4" x14ac:dyDescent="0.3">
      <c r="A904" t="s">
        <v>213</v>
      </c>
      <c r="B904" s="1">
        <v>46184</v>
      </c>
      <c r="C904" t="s">
        <v>16</v>
      </c>
      <c r="D904">
        <v>842</v>
      </c>
      <c r="E904">
        <v>1</v>
      </c>
      <c r="F904">
        <v>5</v>
      </c>
      <c r="G904" t="s">
        <v>21</v>
      </c>
      <c r="I904" t="str">
        <f t="shared" si="15"/>
        <v>842_1</v>
      </c>
      <c r="J904" t="s">
        <v>214</v>
      </c>
      <c r="K904" t="s">
        <v>19</v>
      </c>
      <c r="L904" t="str">
        <f>_xlfn.XLOOKUP(C904, Table2[Species],Table2[Genus], "Code Not Found")</f>
        <v>Acer</v>
      </c>
      <c r="M904" t="str">
        <f>_xlfn.XLOOKUP(C904, Table2[Species],Table2[Sp. Name], "Code Not Found")</f>
        <v>saccharum</v>
      </c>
      <c r="N904" t="str">
        <f>_xlfn.XLOOKUP(C904,Table2[Species],Table2[Family],"Code Not Found")</f>
        <v>Sapindaceae</v>
      </c>
      <c r="O904" t="str" cm="1">
        <f t="array" ref="O904">_xlfn.IFS(F904="","",F904&lt;=5,"0 to 5",F904&lt;=10,"5.1 to 10",F904&lt;=20,"10 to 20", F904&lt;= 40, "20 to 40", F904 &lt;= 50, "40 to 50", F904 &gt; 50, "&gt;50" )</f>
        <v>0 to 5</v>
      </c>
    </row>
    <row r="905" spans="1:15" ht="14.4" x14ac:dyDescent="0.3">
      <c r="A905" t="s">
        <v>213</v>
      </c>
      <c r="B905" s="1">
        <v>46184</v>
      </c>
      <c r="C905" t="s">
        <v>16</v>
      </c>
      <c r="D905">
        <v>843</v>
      </c>
      <c r="E905">
        <v>1</v>
      </c>
      <c r="F905">
        <v>33.1</v>
      </c>
      <c r="G905" t="s">
        <v>21</v>
      </c>
      <c r="I905" t="str">
        <f t="shared" si="15"/>
        <v>843_1</v>
      </c>
      <c r="J905" t="s">
        <v>214</v>
      </c>
      <c r="K905" t="s">
        <v>19</v>
      </c>
      <c r="L905" t="str">
        <f>_xlfn.XLOOKUP(C905, Table2[Species],Table2[Genus], "Code Not Found")</f>
        <v>Acer</v>
      </c>
      <c r="M905" t="str">
        <f>_xlfn.XLOOKUP(C905, Table2[Species],Table2[Sp. Name], "Code Not Found")</f>
        <v>saccharum</v>
      </c>
      <c r="N905" t="str">
        <f>_xlfn.XLOOKUP(C905,Table2[Species],Table2[Family],"Code Not Found")</f>
        <v>Sapindaceae</v>
      </c>
      <c r="O905" t="str" cm="1">
        <f t="array" ref="O905">_xlfn.IFS(F905="","",F905&lt;=5,"0 to 5",F905&lt;=10,"5.1 to 10",F905&lt;=20,"10 to 20", F905&lt;= 40, "20 to 40", F905 &lt;= 50, "40 to 50", F905 &gt; 50, "&gt;50" )</f>
        <v>20 to 40</v>
      </c>
    </row>
    <row r="906" spans="1:15" ht="14.4" x14ac:dyDescent="0.3">
      <c r="A906" t="s">
        <v>213</v>
      </c>
      <c r="B906" s="1">
        <v>46184</v>
      </c>
      <c r="C906" t="s">
        <v>64</v>
      </c>
      <c r="D906">
        <v>844</v>
      </c>
      <c r="E906">
        <v>1</v>
      </c>
      <c r="F906">
        <v>5.8</v>
      </c>
      <c r="G906" t="s">
        <v>21</v>
      </c>
      <c r="I906" t="str">
        <f t="shared" si="15"/>
        <v>844_1</v>
      </c>
      <c r="J906" t="s">
        <v>214</v>
      </c>
      <c r="K906" t="s">
        <v>19</v>
      </c>
      <c r="L906" t="str">
        <f>_xlfn.XLOOKUP(C906, Table2[Species],Table2[Genus], "Code Not Found")</f>
        <v>Fagus</v>
      </c>
      <c r="M906" t="str">
        <f>_xlfn.XLOOKUP(C906, Table2[Species],Table2[Sp. Name], "Code Not Found")</f>
        <v>grandifolia</v>
      </c>
      <c r="N906" t="str">
        <f>_xlfn.XLOOKUP(C906,Table2[Species],Table2[Family],"Code Not Found")</f>
        <v>Fagaceae</v>
      </c>
      <c r="O906" t="str" cm="1">
        <f t="array" ref="O906">_xlfn.IFS(F906="","",F906&lt;=5,"0 to 5",F906&lt;=10,"5.1 to 10",F906&lt;=20,"10 to 20", F906&lt;= 40, "20 to 40", F906 &lt;= 50, "40 to 50", F906 &gt; 50, "&gt;50" )</f>
        <v>5.1 to 10</v>
      </c>
    </row>
    <row r="907" spans="1:15" ht="14.4" x14ac:dyDescent="0.3">
      <c r="A907" t="s">
        <v>213</v>
      </c>
      <c r="B907" s="1">
        <v>46184</v>
      </c>
      <c r="C907" t="s">
        <v>16</v>
      </c>
      <c r="D907">
        <v>845</v>
      </c>
      <c r="E907">
        <v>1</v>
      </c>
      <c r="F907">
        <v>13.3</v>
      </c>
      <c r="G907" t="s">
        <v>21</v>
      </c>
      <c r="I907" t="str">
        <f t="shared" si="15"/>
        <v>845_1</v>
      </c>
      <c r="J907" t="s">
        <v>214</v>
      </c>
      <c r="K907" t="s">
        <v>19</v>
      </c>
      <c r="L907" t="str">
        <f>_xlfn.XLOOKUP(C907, Table2[Species],Table2[Genus], "Code Not Found")</f>
        <v>Acer</v>
      </c>
      <c r="M907" t="str">
        <f>_xlfn.XLOOKUP(C907, Table2[Species],Table2[Sp. Name], "Code Not Found")</f>
        <v>saccharum</v>
      </c>
      <c r="N907" t="str">
        <f>_xlfn.XLOOKUP(C907,Table2[Species],Table2[Family],"Code Not Found")</f>
        <v>Sapindaceae</v>
      </c>
      <c r="O907" t="str" cm="1">
        <f t="array" ref="O907">_xlfn.IFS(F907="","",F907&lt;=5,"0 to 5",F907&lt;=10,"5.1 to 10",F907&lt;=20,"10 to 20", F907&lt;= 40, "20 to 40", F907 &lt;= 50, "40 to 50", F907 &gt; 50, "&gt;50" )</f>
        <v>10 to 20</v>
      </c>
    </row>
    <row r="908" spans="1:15" ht="14.4" x14ac:dyDescent="0.3">
      <c r="A908" t="s">
        <v>213</v>
      </c>
      <c r="B908" s="1">
        <v>46184</v>
      </c>
      <c r="C908" t="s">
        <v>22</v>
      </c>
      <c r="D908">
        <v>846</v>
      </c>
      <c r="E908">
        <v>1</v>
      </c>
      <c r="F908">
        <v>20.6</v>
      </c>
      <c r="G908" t="s">
        <v>21</v>
      </c>
      <c r="I908" t="str">
        <f t="shared" si="15"/>
        <v>846_1</v>
      </c>
      <c r="J908" t="s">
        <v>214</v>
      </c>
      <c r="K908" t="s">
        <v>19</v>
      </c>
      <c r="L908" t="str">
        <f>_xlfn.XLOOKUP(C908, Table2[Species],Table2[Genus], "Code Not Found")</f>
        <v>Acer</v>
      </c>
      <c r="M908" t="str">
        <f>_xlfn.XLOOKUP(C908, Table2[Species],Table2[Sp. Name], "Code Not Found")</f>
        <v>rubrum</v>
      </c>
      <c r="N908" t="str">
        <f>_xlfn.XLOOKUP(C908,Table2[Species],Table2[Family],"Code Not Found")</f>
        <v>Sapindaceae</v>
      </c>
      <c r="O908" t="str" cm="1">
        <f t="array" ref="O908">_xlfn.IFS(F908="","",F908&lt;=5,"0 to 5",F908&lt;=10,"5.1 to 10",F908&lt;=20,"10 to 20", F908&lt;= 40, "20 to 40", F908 &lt;= 50, "40 to 50", F908 &gt; 50, "&gt;50" )</f>
        <v>20 to 40</v>
      </c>
    </row>
    <row r="909" spans="1:15" ht="14.4" x14ac:dyDescent="0.3">
      <c r="A909" t="s">
        <v>213</v>
      </c>
      <c r="B909" s="1">
        <v>46184</v>
      </c>
      <c r="C909" t="s">
        <v>22</v>
      </c>
      <c r="D909">
        <v>847</v>
      </c>
      <c r="E909">
        <v>1</v>
      </c>
      <c r="F909">
        <v>20.100000000000001</v>
      </c>
      <c r="G909" t="s">
        <v>21</v>
      </c>
      <c r="I909" t="str">
        <f t="shared" si="15"/>
        <v>847_1</v>
      </c>
      <c r="J909" t="s">
        <v>214</v>
      </c>
      <c r="K909" t="s">
        <v>19</v>
      </c>
      <c r="L909" t="str">
        <f>_xlfn.XLOOKUP(C909, Table2[Species],Table2[Genus], "Code Not Found")</f>
        <v>Acer</v>
      </c>
      <c r="M909" t="str">
        <f>_xlfn.XLOOKUP(C909, Table2[Species],Table2[Sp. Name], "Code Not Found")</f>
        <v>rubrum</v>
      </c>
      <c r="N909" t="str">
        <f>_xlfn.XLOOKUP(C909,Table2[Species],Table2[Family],"Code Not Found")</f>
        <v>Sapindaceae</v>
      </c>
      <c r="O909" t="str" cm="1">
        <f t="array" ref="O909">_xlfn.IFS(F909="","",F909&lt;=5,"0 to 5",F909&lt;=10,"5.1 to 10",F909&lt;=20,"10 to 20", F909&lt;= 40, "20 to 40", F909 &lt;= 50, "40 to 50", F909 &gt; 50, "&gt;50" )</f>
        <v>20 to 40</v>
      </c>
    </row>
    <row r="910" spans="1:15" ht="14.4" x14ac:dyDescent="0.3">
      <c r="A910" t="s">
        <v>213</v>
      </c>
      <c r="B910" s="1">
        <v>46184</v>
      </c>
      <c r="C910" t="s">
        <v>16</v>
      </c>
      <c r="D910">
        <v>848</v>
      </c>
      <c r="E910">
        <v>1</v>
      </c>
      <c r="F910">
        <v>2.2000000000000002</v>
      </c>
      <c r="G910" t="s">
        <v>47</v>
      </c>
      <c r="I910" t="str">
        <f t="shared" si="15"/>
        <v>848_1</v>
      </c>
      <c r="J910" t="s">
        <v>214</v>
      </c>
      <c r="K910" t="s">
        <v>19</v>
      </c>
      <c r="L910" t="str">
        <f>_xlfn.XLOOKUP(C910, Table2[Species],Table2[Genus], "Code Not Found")</f>
        <v>Acer</v>
      </c>
      <c r="M910" t="str">
        <f>_xlfn.XLOOKUP(C910, Table2[Species],Table2[Sp. Name], "Code Not Found")</f>
        <v>saccharum</v>
      </c>
      <c r="N910" t="str">
        <f>_xlfn.XLOOKUP(C910,Table2[Species],Table2[Family],"Code Not Found")</f>
        <v>Sapindaceae</v>
      </c>
      <c r="O910" t="str" cm="1">
        <f t="array" ref="O910">_xlfn.IFS(F910="","",F910&lt;=5,"0 to 5",F910&lt;=10,"5.1 to 10",F910&lt;=20,"10 to 20", F910&lt;= 40, "20 to 40", F910 &lt;= 50, "40 to 50", F910 &gt; 50, "&gt;50" )</f>
        <v>0 to 5</v>
      </c>
    </row>
    <row r="911" spans="1:15" ht="14.4" x14ac:dyDescent="0.3">
      <c r="A911" t="s">
        <v>213</v>
      </c>
      <c r="B911" s="1">
        <v>46184</v>
      </c>
      <c r="C911" t="s">
        <v>22</v>
      </c>
      <c r="D911">
        <v>849</v>
      </c>
      <c r="E911">
        <v>1</v>
      </c>
      <c r="F911">
        <v>8.8000000000000007</v>
      </c>
      <c r="G911" t="s">
        <v>21</v>
      </c>
      <c r="I911" t="str">
        <f t="shared" si="15"/>
        <v>849_1</v>
      </c>
      <c r="J911" t="s">
        <v>214</v>
      </c>
      <c r="K911" t="s">
        <v>19</v>
      </c>
      <c r="L911" t="str">
        <f>_xlfn.XLOOKUP(C911, Table2[Species],Table2[Genus], "Code Not Found")</f>
        <v>Acer</v>
      </c>
      <c r="M911" t="str">
        <f>_xlfn.XLOOKUP(C911, Table2[Species],Table2[Sp. Name], "Code Not Found")</f>
        <v>rubrum</v>
      </c>
      <c r="N911" t="str">
        <f>_xlfn.XLOOKUP(C911,Table2[Species],Table2[Family],"Code Not Found")</f>
        <v>Sapindaceae</v>
      </c>
      <c r="O911" t="str" cm="1">
        <f t="array" ref="O911">_xlfn.IFS(F911="","",F911&lt;=5,"0 to 5",F911&lt;=10,"5.1 to 10",F911&lt;=20,"10 to 20", F911&lt;= 40, "20 to 40", F911 &lt;= 50, "40 to 50", F911 &gt; 50, "&gt;50" )</f>
        <v>5.1 to 10</v>
      </c>
    </row>
    <row r="912" spans="1:15" ht="14.4" x14ac:dyDescent="0.3">
      <c r="A912" t="s">
        <v>213</v>
      </c>
      <c r="B912" s="1">
        <v>46184</v>
      </c>
      <c r="C912" t="s">
        <v>16</v>
      </c>
      <c r="D912">
        <v>850</v>
      </c>
      <c r="E912">
        <v>1</v>
      </c>
      <c r="F912">
        <v>1.9</v>
      </c>
      <c r="G912" t="s">
        <v>21</v>
      </c>
      <c r="I912" t="str">
        <f t="shared" si="15"/>
        <v>850_1</v>
      </c>
      <c r="J912" t="s">
        <v>214</v>
      </c>
      <c r="K912" t="s">
        <v>19</v>
      </c>
      <c r="L912" t="str">
        <f>_xlfn.XLOOKUP(C912, Table2[Species],Table2[Genus], "Code Not Found")</f>
        <v>Acer</v>
      </c>
      <c r="M912" t="str">
        <f>_xlfn.XLOOKUP(C912, Table2[Species],Table2[Sp. Name], "Code Not Found")</f>
        <v>saccharum</v>
      </c>
      <c r="N912" t="str">
        <f>_xlfn.XLOOKUP(C912,Table2[Species],Table2[Family],"Code Not Found")</f>
        <v>Sapindaceae</v>
      </c>
      <c r="O912" t="str" cm="1">
        <f t="array" ref="O912">_xlfn.IFS(F912="","",F912&lt;=5,"0 to 5",F912&lt;=10,"5.1 to 10",F912&lt;=20,"10 to 20", F912&lt;= 40, "20 to 40", F912 &lt;= 50, "40 to 50", F912 &gt; 50, "&gt;50" )</f>
        <v>0 to 5</v>
      </c>
    </row>
    <row r="913" spans="1:15" ht="14.4" x14ac:dyDescent="0.3">
      <c r="A913" t="s">
        <v>213</v>
      </c>
      <c r="B913" s="1">
        <v>46184</v>
      </c>
      <c r="C913" t="s">
        <v>22</v>
      </c>
      <c r="D913">
        <v>851</v>
      </c>
      <c r="E913">
        <v>1</v>
      </c>
      <c r="F913">
        <v>16.100000000000001</v>
      </c>
      <c r="G913" t="s">
        <v>21</v>
      </c>
      <c r="I913" t="str">
        <f t="shared" si="15"/>
        <v>851_1</v>
      </c>
      <c r="J913" t="s">
        <v>214</v>
      </c>
      <c r="K913" t="s">
        <v>19</v>
      </c>
      <c r="L913" t="str">
        <f>_xlfn.XLOOKUP(C913, Table2[Species],Table2[Genus], "Code Not Found")</f>
        <v>Acer</v>
      </c>
      <c r="M913" t="str">
        <f>_xlfn.XLOOKUP(C913, Table2[Species],Table2[Sp. Name], "Code Not Found")</f>
        <v>rubrum</v>
      </c>
      <c r="N913" t="str">
        <f>_xlfn.XLOOKUP(C913,Table2[Species],Table2[Family],"Code Not Found")</f>
        <v>Sapindaceae</v>
      </c>
      <c r="O913" t="str" cm="1">
        <f t="array" ref="O913">_xlfn.IFS(F913="","",F913&lt;=5,"0 to 5",F913&lt;=10,"5.1 to 10",F913&lt;=20,"10 to 20", F913&lt;= 40, "20 to 40", F913 &lt;= 50, "40 to 50", F913 &gt; 50, "&gt;50" )</f>
        <v>10 to 20</v>
      </c>
    </row>
    <row r="914" spans="1:15" ht="14.4" x14ac:dyDescent="0.3">
      <c r="A914" t="s">
        <v>213</v>
      </c>
      <c r="B914" s="1">
        <v>46184</v>
      </c>
      <c r="C914" t="s">
        <v>22</v>
      </c>
      <c r="D914">
        <v>852</v>
      </c>
      <c r="E914">
        <v>1</v>
      </c>
      <c r="F914">
        <v>20.3</v>
      </c>
      <c r="G914" t="s">
        <v>21</v>
      </c>
      <c r="I914" t="str">
        <f t="shared" si="15"/>
        <v>852_1</v>
      </c>
      <c r="J914" t="s">
        <v>214</v>
      </c>
      <c r="K914" t="s">
        <v>19</v>
      </c>
      <c r="L914" t="str">
        <f>_xlfn.XLOOKUP(C914, Table2[Species],Table2[Genus], "Code Not Found")</f>
        <v>Acer</v>
      </c>
      <c r="M914" t="str">
        <f>_xlfn.XLOOKUP(C914, Table2[Species],Table2[Sp. Name], "Code Not Found")</f>
        <v>rubrum</v>
      </c>
      <c r="N914" t="str">
        <f>_xlfn.XLOOKUP(C914,Table2[Species],Table2[Family],"Code Not Found")</f>
        <v>Sapindaceae</v>
      </c>
      <c r="O914" t="str" cm="1">
        <f t="array" ref="O914">_xlfn.IFS(F914="","",F914&lt;=5,"0 to 5",F914&lt;=10,"5.1 to 10",F914&lt;=20,"10 to 20", F914&lt;= 40, "20 to 40", F914 &lt;= 50, "40 to 50", F914 &gt; 50, "&gt;50" )</f>
        <v>20 to 40</v>
      </c>
    </row>
    <row r="915" spans="1:15" ht="14.4" x14ac:dyDescent="0.3">
      <c r="A915" t="s">
        <v>213</v>
      </c>
      <c r="B915" s="1">
        <v>46184</v>
      </c>
      <c r="C915" t="s">
        <v>64</v>
      </c>
      <c r="D915">
        <v>853</v>
      </c>
      <c r="E915">
        <v>1</v>
      </c>
      <c r="F915">
        <v>5.8</v>
      </c>
      <c r="G915" t="s">
        <v>21</v>
      </c>
      <c r="H915" t="s">
        <v>221</v>
      </c>
      <c r="I915" t="str">
        <f t="shared" si="15"/>
        <v>853_1</v>
      </c>
      <c r="J915" t="s">
        <v>214</v>
      </c>
      <c r="K915" t="s">
        <v>19</v>
      </c>
      <c r="L915" t="str">
        <f>_xlfn.XLOOKUP(C915, Table2[Species],Table2[Genus], "Code Not Found")</f>
        <v>Fagus</v>
      </c>
      <c r="M915" t="str">
        <f>_xlfn.XLOOKUP(C915, Table2[Species],Table2[Sp. Name], "Code Not Found")</f>
        <v>grandifolia</v>
      </c>
      <c r="N915" t="str">
        <f>_xlfn.XLOOKUP(C915,Table2[Species],Table2[Family],"Code Not Found")</f>
        <v>Fagaceae</v>
      </c>
      <c r="O915" t="str" cm="1">
        <f t="array" ref="O915">_xlfn.IFS(F915="","",F915&lt;=5,"0 to 5",F915&lt;=10,"5.1 to 10",F915&lt;=20,"10 to 20", F915&lt;= 40, "20 to 40", F915 &lt;= 50, "40 to 50", F915 &gt; 50, "&gt;50" )</f>
        <v>5.1 to 10</v>
      </c>
    </row>
    <row r="916" spans="1:15" ht="14.4" x14ac:dyDescent="0.3">
      <c r="A916" t="s">
        <v>213</v>
      </c>
      <c r="B916" s="1">
        <v>46184</v>
      </c>
      <c r="C916" t="s">
        <v>22</v>
      </c>
      <c r="D916">
        <v>854</v>
      </c>
      <c r="E916">
        <v>1</v>
      </c>
      <c r="F916">
        <v>39.299999999999997</v>
      </c>
      <c r="G916" t="s">
        <v>21</v>
      </c>
      <c r="I916" t="str">
        <f t="shared" si="15"/>
        <v>854_1</v>
      </c>
      <c r="J916" t="s">
        <v>214</v>
      </c>
      <c r="K916" t="s">
        <v>19</v>
      </c>
      <c r="L916" t="str">
        <f>_xlfn.XLOOKUP(C916, Table2[Species],Table2[Genus], "Code Not Found")</f>
        <v>Acer</v>
      </c>
      <c r="M916" t="str">
        <f>_xlfn.XLOOKUP(C916, Table2[Species],Table2[Sp. Name], "Code Not Found")</f>
        <v>rubrum</v>
      </c>
      <c r="N916" t="str">
        <f>_xlfn.XLOOKUP(C916,Table2[Species],Table2[Family],"Code Not Found")</f>
        <v>Sapindaceae</v>
      </c>
      <c r="O916" t="str" cm="1">
        <f t="array" ref="O916">_xlfn.IFS(F916="","",F916&lt;=5,"0 to 5",F916&lt;=10,"5.1 to 10",F916&lt;=20,"10 to 20", F916&lt;= 40, "20 to 40", F916 &lt;= 50, "40 to 50", F916 &gt; 50, "&gt;50" )</f>
        <v>20 to 40</v>
      </c>
    </row>
    <row r="917" spans="1:15" ht="14.4" x14ac:dyDescent="0.3">
      <c r="A917" t="s">
        <v>213</v>
      </c>
      <c r="B917" s="1">
        <v>46184</v>
      </c>
      <c r="C917" t="s">
        <v>16</v>
      </c>
      <c r="D917">
        <v>855</v>
      </c>
      <c r="E917">
        <v>1</v>
      </c>
      <c r="F917">
        <v>3.1</v>
      </c>
      <c r="G917" t="s">
        <v>21</v>
      </c>
      <c r="I917" t="str">
        <f t="shared" si="15"/>
        <v>855_1</v>
      </c>
      <c r="J917" t="s">
        <v>214</v>
      </c>
      <c r="K917" t="s">
        <v>19</v>
      </c>
      <c r="L917" t="str">
        <f>_xlfn.XLOOKUP(C917, Table2[Species],Table2[Genus], "Code Not Found")</f>
        <v>Acer</v>
      </c>
      <c r="M917" t="str">
        <f>_xlfn.XLOOKUP(C917, Table2[Species],Table2[Sp. Name], "Code Not Found")</f>
        <v>saccharum</v>
      </c>
      <c r="N917" t="str">
        <f>_xlfn.XLOOKUP(C917,Table2[Species],Table2[Family],"Code Not Found")</f>
        <v>Sapindaceae</v>
      </c>
      <c r="O917" t="str" cm="1">
        <f t="array" ref="O917">_xlfn.IFS(F917="","",F917&lt;=5,"0 to 5",F917&lt;=10,"5.1 to 10",F917&lt;=20,"10 to 20", F917&lt;= 40, "20 to 40", F917 &lt;= 50, "40 to 50", F917 &gt; 50, "&gt;50" )</f>
        <v>0 to 5</v>
      </c>
    </row>
    <row r="918" spans="1:15" ht="14.4" x14ac:dyDescent="0.3">
      <c r="A918" t="s">
        <v>213</v>
      </c>
      <c r="B918" s="1">
        <v>46184</v>
      </c>
      <c r="C918" t="s">
        <v>24</v>
      </c>
      <c r="D918">
        <v>856</v>
      </c>
      <c r="E918">
        <v>1</v>
      </c>
      <c r="F918">
        <v>44.6</v>
      </c>
      <c r="G918" t="s">
        <v>21</v>
      </c>
      <c r="I918" t="str">
        <f t="shared" si="15"/>
        <v>856_1</v>
      </c>
      <c r="J918" t="s">
        <v>214</v>
      </c>
      <c r="K918" t="s">
        <v>19</v>
      </c>
      <c r="L918" t="str">
        <f>_xlfn.XLOOKUP(C918, Table2[Species],Table2[Genus], "Code Not Found")</f>
        <v>Lirodendron</v>
      </c>
      <c r="M918" t="str">
        <f>_xlfn.XLOOKUP(C918, Table2[Species],Table2[Sp. Name], "Code Not Found")</f>
        <v>tulipfera</v>
      </c>
      <c r="N918" t="str">
        <f>_xlfn.XLOOKUP(C918,Table2[Species],Table2[Family],"Code Not Found")</f>
        <v>Magnoliaceae</v>
      </c>
      <c r="O918" t="str" cm="1">
        <f t="array" ref="O918">_xlfn.IFS(F918="","",F918&lt;=5,"0 to 5",F918&lt;=10,"5.1 to 10",F918&lt;=20,"10 to 20", F918&lt;= 40, "20 to 40", F918 &lt;= 50, "40 to 50", F918 &gt; 50, "&gt;50" )</f>
        <v>40 to 50</v>
      </c>
    </row>
    <row r="919" spans="1:15" ht="14.4" x14ac:dyDescent="0.3">
      <c r="A919" t="s">
        <v>213</v>
      </c>
      <c r="B919" s="1">
        <v>46184</v>
      </c>
      <c r="C919" t="s">
        <v>24</v>
      </c>
      <c r="D919">
        <v>857</v>
      </c>
      <c r="E919">
        <v>1</v>
      </c>
      <c r="F919">
        <v>42.4</v>
      </c>
      <c r="G919" t="s">
        <v>21</v>
      </c>
      <c r="I919" t="str">
        <f t="shared" si="15"/>
        <v>857_1</v>
      </c>
      <c r="J919" t="s">
        <v>214</v>
      </c>
      <c r="K919" t="s">
        <v>19</v>
      </c>
      <c r="L919" t="str">
        <f>_xlfn.XLOOKUP(C919, Table2[Species],Table2[Genus], "Code Not Found")</f>
        <v>Lirodendron</v>
      </c>
      <c r="M919" t="str">
        <f>_xlfn.XLOOKUP(C919, Table2[Species],Table2[Sp. Name], "Code Not Found")</f>
        <v>tulipfera</v>
      </c>
      <c r="N919" t="str">
        <f>_xlfn.XLOOKUP(C919,Table2[Species],Table2[Family],"Code Not Found")</f>
        <v>Magnoliaceae</v>
      </c>
      <c r="O919" t="str" cm="1">
        <f t="array" ref="O919">_xlfn.IFS(F919="","",F919&lt;=5,"0 to 5",F919&lt;=10,"5.1 to 10",F919&lt;=20,"10 to 20", F919&lt;= 40, "20 to 40", F919 &lt;= 50, "40 to 50", F919 &gt; 50, "&gt;50" )</f>
        <v>40 to 50</v>
      </c>
    </row>
    <row r="920" spans="1:15" ht="14.4" x14ac:dyDescent="0.3">
      <c r="A920" t="s">
        <v>213</v>
      </c>
      <c r="B920" s="1">
        <v>46184</v>
      </c>
      <c r="C920" t="s">
        <v>16</v>
      </c>
      <c r="D920">
        <v>858</v>
      </c>
      <c r="E920">
        <v>1</v>
      </c>
      <c r="F920">
        <v>25.9</v>
      </c>
      <c r="G920" t="s">
        <v>21</v>
      </c>
      <c r="I920" t="str">
        <f t="shared" si="15"/>
        <v>858_1</v>
      </c>
      <c r="J920" t="s">
        <v>214</v>
      </c>
      <c r="K920" t="s">
        <v>19</v>
      </c>
      <c r="L920" t="str">
        <f>_xlfn.XLOOKUP(C920, Table2[Species],Table2[Genus], "Code Not Found")</f>
        <v>Acer</v>
      </c>
      <c r="M920" t="str">
        <f>_xlfn.XLOOKUP(C920, Table2[Species],Table2[Sp. Name], "Code Not Found")</f>
        <v>saccharum</v>
      </c>
      <c r="N920" t="str">
        <f>_xlfn.XLOOKUP(C920,Table2[Species],Table2[Family],"Code Not Found")</f>
        <v>Sapindaceae</v>
      </c>
      <c r="O920" t="str" cm="1">
        <f t="array" ref="O920">_xlfn.IFS(F920="","",F920&lt;=5,"0 to 5",F920&lt;=10,"5.1 to 10",F920&lt;=20,"10 to 20", F920&lt;= 40, "20 to 40", F920 &lt;= 50, "40 to 50", F920 &gt; 50, "&gt;50" )</f>
        <v>20 to 40</v>
      </c>
    </row>
    <row r="921" spans="1:15" ht="14.4" x14ac:dyDescent="0.3">
      <c r="A921" t="s">
        <v>213</v>
      </c>
      <c r="B921" s="1">
        <v>46184</v>
      </c>
      <c r="C921" t="s">
        <v>16</v>
      </c>
      <c r="D921">
        <v>859</v>
      </c>
      <c r="E921">
        <v>1</v>
      </c>
      <c r="F921">
        <v>4.7</v>
      </c>
      <c r="G921" t="s">
        <v>21</v>
      </c>
      <c r="I921" t="str">
        <f t="shared" si="15"/>
        <v>859_1</v>
      </c>
      <c r="J921" t="s">
        <v>214</v>
      </c>
      <c r="K921" t="s">
        <v>19</v>
      </c>
      <c r="L921" t="str">
        <f>_xlfn.XLOOKUP(C921, Table2[Species],Table2[Genus], "Code Not Found")</f>
        <v>Acer</v>
      </c>
      <c r="M921" t="str">
        <f>_xlfn.XLOOKUP(C921, Table2[Species],Table2[Sp. Name], "Code Not Found")</f>
        <v>saccharum</v>
      </c>
      <c r="N921" t="str">
        <f>_xlfn.XLOOKUP(C921,Table2[Species],Table2[Family],"Code Not Found")</f>
        <v>Sapindaceae</v>
      </c>
      <c r="O921" t="str" cm="1">
        <f t="array" ref="O921">_xlfn.IFS(F921="","",F921&lt;=5,"0 to 5",F921&lt;=10,"5.1 to 10",F921&lt;=20,"10 to 20", F921&lt;= 40, "20 to 40", F921 &lt;= 50, "40 to 50", F921 &gt; 50, "&gt;50" )</f>
        <v>0 to 5</v>
      </c>
    </row>
    <row r="922" spans="1:15" ht="14.4" x14ac:dyDescent="0.3">
      <c r="A922" t="s">
        <v>213</v>
      </c>
      <c r="B922" s="1">
        <v>46184</v>
      </c>
      <c r="C922" t="s">
        <v>24</v>
      </c>
      <c r="D922">
        <v>860</v>
      </c>
      <c r="E922">
        <v>1</v>
      </c>
      <c r="F922">
        <v>30.8</v>
      </c>
      <c r="G922" t="s">
        <v>21</v>
      </c>
      <c r="I922" t="str">
        <f t="shared" si="15"/>
        <v>860_1</v>
      </c>
      <c r="J922" t="s">
        <v>214</v>
      </c>
      <c r="K922" t="s">
        <v>19</v>
      </c>
      <c r="L922" t="str">
        <f>_xlfn.XLOOKUP(C922, Table2[Species],Table2[Genus], "Code Not Found")</f>
        <v>Lirodendron</v>
      </c>
      <c r="M922" t="str">
        <f>_xlfn.XLOOKUP(C922, Table2[Species],Table2[Sp. Name], "Code Not Found")</f>
        <v>tulipfera</v>
      </c>
      <c r="N922" t="str">
        <f>_xlfn.XLOOKUP(C922,Table2[Species],Table2[Family],"Code Not Found")</f>
        <v>Magnoliaceae</v>
      </c>
      <c r="O922" t="str" cm="1">
        <f t="array" ref="O922">_xlfn.IFS(F922="","",F922&lt;=5,"0 to 5",F922&lt;=10,"5.1 to 10",F922&lt;=20,"10 to 20", F922&lt;= 40, "20 to 40", F922 &lt;= 50, "40 to 50", F922 &gt; 50, "&gt;50" )</f>
        <v>20 to 40</v>
      </c>
    </row>
    <row r="923" spans="1:15" ht="14.4" x14ac:dyDescent="0.3">
      <c r="A923" t="s">
        <v>213</v>
      </c>
      <c r="B923" s="1">
        <v>46184</v>
      </c>
      <c r="C923" t="s">
        <v>24</v>
      </c>
      <c r="D923">
        <v>861</v>
      </c>
      <c r="E923">
        <v>1</v>
      </c>
      <c r="F923">
        <v>41</v>
      </c>
      <c r="G923" t="s">
        <v>21</v>
      </c>
      <c r="I923" t="str">
        <f t="shared" si="15"/>
        <v>861_1</v>
      </c>
      <c r="J923" t="s">
        <v>214</v>
      </c>
      <c r="K923" t="s">
        <v>19</v>
      </c>
      <c r="L923" t="str">
        <f>_xlfn.XLOOKUP(C923, Table2[Species],Table2[Genus], "Code Not Found")</f>
        <v>Lirodendron</v>
      </c>
      <c r="M923" t="str">
        <f>_xlfn.XLOOKUP(C923, Table2[Species],Table2[Sp. Name], "Code Not Found")</f>
        <v>tulipfera</v>
      </c>
      <c r="N923" t="str">
        <f>_xlfn.XLOOKUP(C923,Table2[Species],Table2[Family],"Code Not Found")</f>
        <v>Magnoliaceae</v>
      </c>
      <c r="O923" t="str" cm="1">
        <f t="array" ref="O923">_xlfn.IFS(F923="","",F923&lt;=5,"0 to 5",F923&lt;=10,"5.1 to 10",F923&lt;=20,"10 to 20", F923&lt;= 40, "20 to 40", F923 &lt;= 50, "40 to 50", F923 &gt; 50, "&gt;50" )</f>
        <v>40 to 50</v>
      </c>
    </row>
    <row r="924" spans="1:15" ht="14.4" x14ac:dyDescent="0.3">
      <c r="A924" t="s">
        <v>213</v>
      </c>
      <c r="B924" s="1">
        <v>46184</v>
      </c>
      <c r="C924" t="s">
        <v>16</v>
      </c>
      <c r="D924">
        <v>862</v>
      </c>
      <c r="E924">
        <v>1</v>
      </c>
      <c r="F924">
        <v>19.3</v>
      </c>
      <c r="G924" t="s">
        <v>17</v>
      </c>
      <c r="I924" t="str">
        <f t="shared" si="15"/>
        <v>862_1</v>
      </c>
      <c r="J924" t="s">
        <v>214</v>
      </c>
      <c r="K924" t="s">
        <v>19</v>
      </c>
      <c r="L924" t="str">
        <f>_xlfn.XLOOKUP(C924, Table2[Species],Table2[Genus], "Code Not Found")</f>
        <v>Acer</v>
      </c>
      <c r="M924" t="str">
        <f>_xlfn.XLOOKUP(C924, Table2[Species],Table2[Sp. Name], "Code Not Found")</f>
        <v>saccharum</v>
      </c>
      <c r="N924" t="str">
        <f>_xlfn.XLOOKUP(C924,Table2[Species],Table2[Family],"Code Not Found")</f>
        <v>Sapindaceae</v>
      </c>
      <c r="O924" t="str" cm="1">
        <f t="array" ref="O924">_xlfn.IFS(F924="","",F924&lt;=5,"0 to 5",F924&lt;=10,"5.1 to 10",F924&lt;=20,"10 to 20", F924&lt;= 40, "20 to 40", F924 &lt;= 50, "40 to 50", F924 &gt; 50, "&gt;50" )</f>
        <v>10 to 20</v>
      </c>
    </row>
    <row r="925" spans="1:15" ht="14.4" x14ac:dyDescent="0.3">
      <c r="A925" t="s">
        <v>213</v>
      </c>
      <c r="B925" s="1">
        <v>46184</v>
      </c>
      <c r="C925" t="s">
        <v>22</v>
      </c>
      <c r="D925">
        <v>863</v>
      </c>
      <c r="E925">
        <v>1</v>
      </c>
      <c r="F925">
        <v>8.1999999999999993</v>
      </c>
      <c r="G925" t="s">
        <v>21</v>
      </c>
      <c r="I925" t="str">
        <f t="shared" si="15"/>
        <v>863_1</v>
      </c>
      <c r="J925" t="s">
        <v>214</v>
      </c>
      <c r="K925" t="s">
        <v>19</v>
      </c>
      <c r="L925" t="str">
        <f>_xlfn.XLOOKUP(C925, Table2[Species],Table2[Genus], "Code Not Found")</f>
        <v>Acer</v>
      </c>
      <c r="M925" t="str">
        <f>_xlfn.XLOOKUP(C925, Table2[Species],Table2[Sp. Name], "Code Not Found")</f>
        <v>rubrum</v>
      </c>
      <c r="N925" t="str">
        <f>_xlfn.XLOOKUP(C925,Table2[Species],Table2[Family],"Code Not Found")</f>
        <v>Sapindaceae</v>
      </c>
      <c r="O925" t="str" cm="1">
        <f t="array" ref="O925">_xlfn.IFS(F925="","",F925&lt;=5,"0 to 5",F925&lt;=10,"5.1 to 10",F925&lt;=20,"10 to 20", F925&lt;= 40, "20 to 40", F925 &lt;= 50, "40 to 50", F925 &gt; 50, "&gt;50" )</f>
        <v>5.1 to 10</v>
      </c>
    </row>
    <row r="926" spans="1:15" ht="14.4" x14ac:dyDescent="0.3">
      <c r="A926" t="s">
        <v>213</v>
      </c>
      <c r="B926" s="1">
        <v>46184</v>
      </c>
      <c r="C926" t="s">
        <v>24</v>
      </c>
      <c r="D926">
        <v>864</v>
      </c>
      <c r="E926">
        <v>1</v>
      </c>
      <c r="F926">
        <v>41.2</v>
      </c>
      <c r="G926" t="s">
        <v>17</v>
      </c>
      <c r="I926" t="str">
        <f t="shared" si="15"/>
        <v>864_1</v>
      </c>
      <c r="J926" t="s">
        <v>214</v>
      </c>
      <c r="K926" t="s">
        <v>19</v>
      </c>
      <c r="L926" t="str">
        <f>_xlfn.XLOOKUP(C926, Table2[Species],Table2[Genus], "Code Not Found")</f>
        <v>Lirodendron</v>
      </c>
      <c r="M926" t="str">
        <f>_xlfn.XLOOKUP(C926, Table2[Species],Table2[Sp. Name], "Code Not Found")</f>
        <v>tulipfera</v>
      </c>
      <c r="N926" t="str">
        <f>_xlfn.XLOOKUP(C926,Table2[Species],Table2[Family],"Code Not Found")</f>
        <v>Magnoliaceae</v>
      </c>
      <c r="O926" t="str" cm="1">
        <f t="array" ref="O926">_xlfn.IFS(F926="","",F926&lt;=5,"0 to 5",F926&lt;=10,"5.1 to 10",F926&lt;=20,"10 to 20", F926&lt;= 40, "20 to 40", F926 &lt;= 50, "40 to 50", F926 &gt; 50, "&gt;50" )</f>
        <v>40 to 50</v>
      </c>
    </row>
    <row r="927" spans="1:15" ht="14.4" x14ac:dyDescent="0.3">
      <c r="A927" t="s">
        <v>213</v>
      </c>
      <c r="B927" s="1">
        <v>46184</v>
      </c>
      <c r="C927" t="s">
        <v>24</v>
      </c>
      <c r="D927">
        <v>865</v>
      </c>
      <c r="E927">
        <v>1</v>
      </c>
      <c r="F927">
        <v>48.1</v>
      </c>
      <c r="G927" t="s">
        <v>21</v>
      </c>
      <c r="I927" t="str">
        <f t="shared" si="15"/>
        <v>865_1</v>
      </c>
      <c r="J927" t="s">
        <v>214</v>
      </c>
      <c r="K927" t="s">
        <v>19</v>
      </c>
      <c r="L927" t="str">
        <f>_xlfn.XLOOKUP(C927, Table2[Species],Table2[Genus], "Code Not Found")</f>
        <v>Lirodendron</v>
      </c>
      <c r="M927" t="str">
        <f>_xlfn.XLOOKUP(C927, Table2[Species],Table2[Sp. Name], "Code Not Found")</f>
        <v>tulipfera</v>
      </c>
      <c r="N927" t="str">
        <f>_xlfn.XLOOKUP(C927,Table2[Species],Table2[Family],"Code Not Found")</f>
        <v>Magnoliaceae</v>
      </c>
      <c r="O927" t="str" cm="1">
        <f t="array" ref="O927">_xlfn.IFS(F927="","",F927&lt;=5,"0 to 5",F927&lt;=10,"5.1 to 10",F927&lt;=20,"10 to 20", F927&lt;= 40, "20 to 40", F927 &lt;= 50, "40 to 50", F927 &gt; 50, "&gt;50" )</f>
        <v>40 to 50</v>
      </c>
    </row>
    <row r="928" spans="1:15" ht="14.4" x14ac:dyDescent="0.3">
      <c r="A928" t="s">
        <v>213</v>
      </c>
      <c r="B928" s="1">
        <v>46184</v>
      </c>
      <c r="C928" t="s">
        <v>64</v>
      </c>
      <c r="D928">
        <v>866</v>
      </c>
      <c r="E928">
        <v>1</v>
      </c>
      <c r="F928">
        <v>2.1</v>
      </c>
      <c r="G928" t="s">
        <v>21</v>
      </c>
      <c r="H928" t="s">
        <v>222</v>
      </c>
      <c r="I928" t="str">
        <f t="shared" si="15"/>
        <v>866_1</v>
      </c>
      <c r="J928" t="s">
        <v>214</v>
      </c>
      <c r="K928" t="s">
        <v>19</v>
      </c>
      <c r="L928" t="str">
        <f>_xlfn.XLOOKUP(C928, Table2[Species],Table2[Genus], "Code Not Found")</f>
        <v>Fagus</v>
      </c>
      <c r="M928" t="str">
        <f>_xlfn.XLOOKUP(C928, Table2[Species],Table2[Sp. Name], "Code Not Found")</f>
        <v>grandifolia</v>
      </c>
      <c r="N928" t="str">
        <f>_xlfn.XLOOKUP(C928,Table2[Species],Table2[Family],"Code Not Found")</f>
        <v>Fagaceae</v>
      </c>
      <c r="O928" t="str" cm="1">
        <f t="array" ref="O928">_xlfn.IFS(F928="","",F928&lt;=5,"0 to 5",F928&lt;=10,"5.1 to 10",F928&lt;=20,"10 to 20", F928&lt;= 40, "20 to 40", F928 &lt;= 50, "40 to 50", F928 &gt; 50, "&gt;50" )</f>
        <v>0 to 5</v>
      </c>
    </row>
    <row r="929" spans="1:15" ht="14.4" x14ac:dyDescent="0.3">
      <c r="A929" t="s">
        <v>213</v>
      </c>
      <c r="B929" s="1">
        <v>46184</v>
      </c>
      <c r="C929" t="s">
        <v>22</v>
      </c>
      <c r="D929">
        <v>867</v>
      </c>
      <c r="E929">
        <v>1</v>
      </c>
      <c r="F929">
        <v>35.1</v>
      </c>
      <c r="G929" t="s">
        <v>21</v>
      </c>
      <c r="I929" t="str">
        <f t="shared" si="15"/>
        <v>867_1</v>
      </c>
      <c r="J929" t="s">
        <v>214</v>
      </c>
      <c r="K929" t="s">
        <v>19</v>
      </c>
      <c r="L929" t="str">
        <f>_xlfn.XLOOKUP(C929, Table2[Species],Table2[Genus], "Code Not Found")</f>
        <v>Acer</v>
      </c>
      <c r="M929" t="str">
        <f>_xlfn.XLOOKUP(C929, Table2[Species],Table2[Sp. Name], "Code Not Found")</f>
        <v>rubrum</v>
      </c>
      <c r="N929" t="str">
        <f>_xlfn.XLOOKUP(C929,Table2[Species],Table2[Family],"Code Not Found")</f>
        <v>Sapindaceae</v>
      </c>
      <c r="O929" t="str" cm="1">
        <f t="array" ref="O929">_xlfn.IFS(F929="","",F929&lt;=5,"0 to 5",F929&lt;=10,"5.1 to 10",F929&lt;=20,"10 to 20", F929&lt;= 40, "20 to 40", F929 &lt;= 50, "40 to 50", F929 &gt; 50, "&gt;50" )</f>
        <v>20 to 40</v>
      </c>
    </row>
    <row r="930" spans="1:15" ht="14.4" x14ac:dyDescent="0.3">
      <c r="A930" t="s">
        <v>213</v>
      </c>
      <c r="B930" s="1">
        <v>46184</v>
      </c>
      <c r="C930" t="s">
        <v>22</v>
      </c>
      <c r="D930">
        <v>868</v>
      </c>
      <c r="E930">
        <v>1</v>
      </c>
      <c r="F930">
        <v>53.2</v>
      </c>
      <c r="G930" t="s">
        <v>21</v>
      </c>
      <c r="I930" t="str">
        <f t="shared" si="15"/>
        <v>868_1</v>
      </c>
      <c r="J930" t="s">
        <v>214</v>
      </c>
      <c r="K930" t="s">
        <v>19</v>
      </c>
      <c r="L930" t="str">
        <f>_xlfn.XLOOKUP(C930, Table2[Species],Table2[Genus], "Code Not Found")</f>
        <v>Acer</v>
      </c>
      <c r="M930" t="str">
        <f>_xlfn.XLOOKUP(C930, Table2[Species],Table2[Sp. Name], "Code Not Found")</f>
        <v>rubrum</v>
      </c>
      <c r="N930" t="str">
        <f>_xlfn.XLOOKUP(C930,Table2[Species],Table2[Family],"Code Not Found")</f>
        <v>Sapindaceae</v>
      </c>
      <c r="O930" t="str" cm="1">
        <f t="array" ref="O930">_xlfn.IFS(F930="","",F930&lt;=5,"0 to 5",F930&lt;=10,"5.1 to 10",F930&lt;=20,"10 to 20", F930&lt;= 40, "20 to 40", F930 &lt;= 50, "40 to 50", F930 &gt; 50, "&gt;50" )</f>
        <v>&gt;50</v>
      </c>
    </row>
    <row r="931" spans="1:15" ht="14.4" x14ac:dyDescent="0.3">
      <c r="A931" t="s">
        <v>213</v>
      </c>
      <c r="B931" s="1">
        <v>46184</v>
      </c>
      <c r="C931" t="s">
        <v>22</v>
      </c>
      <c r="D931">
        <v>869</v>
      </c>
      <c r="E931">
        <v>1</v>
      </c>
      <c r="F931">
        <v>9.1</v>
      </c>
      <c r="G931" t="s">
        <v>21</v>
      </c>
      <c r="I931" t="str">
        <f t="shared" si="15"/>
        <v>869_1</v>
      </c>
      <c r="J931" t="s">
        <v>214</v>
      </c>
      <c r="K931" t="s">
        <v>19</v>
      </c>
      <c r="L931" t="str">
        <f>_xlfn.XLOOKUP(C931, Table2[Species],Table2[Genus], "Code Not Found")</f>
        <v>Acer</v>
      </c>
      <c r="M931" t="str">
        <f>_xlfn.XLOOKUP(C931, Table2[Species],Table2[Sp. Name], "Code Not Found")</f>
        <v>rubrum</v>
      </c>
      <c r="N931" t="str">
        <f>_xlfn.XLOOKUP(C931,Table2[Species],Table2[Family],"Code Not Found")</f>
        <v>Sapindaceae</v>
      </c>
      <c r="O931" t="str" cm="1">
        <f t="array" ref="O931">_xlfn.IFS(F931="","",F931&lt;=5,"0 to 5",F931&lt;=10,"5.1 to 10",F931&lt;=20,"10 to 20", F931&lt;= 40, "20 to 40", F931 &lt;= 50, "40 to 50", F931 &gt; 50, "&gt;50" )</f>
        <v>5.1 to 10</v>
      </c>
    </row>
    <row r="932" spans="1:15" ht="14.4" x14ac:dyDescent="0.3">
      <c r="A932" t="s">
        <v>213</v>
      </c>
      <c r="B932" s="1">
        <v>46184</v>
      </c>
      <c r="C932" t="s">
        <v>24</v>
      </c>
      <c r="D932">
        <v>870</v>
      </c>
      <c r="E932">
        <v>1</v>
      </c>
      <c r="F932">
        <v>29.8</v>
      </c>
      <c r="G932" t="s">
        <v>21</v>
      </c>
      <c r="I932" t="str">
        <f t="shared" si="15"/>
        <v>870_1</v>
      </c>
      <c r="J932" t="s">
        <v>214</v>
      </c>
      <c r="K932" t="s">
        <v>19</v>
      </c>
      <c r="L932" t="str">
        <f>_xlfn.XLOOKUP(C932, Table2[Species],Table2[Genus], "Code Not Found")</f>
        <v>Lirodendron</v>
      </c>
      <c r="M932" t="str">
        <f>_xlfn.XLOOKUP(C932, Table2[Species],Table2[Sp. Name], "Code Not Found")</f>
        <v>tulipfera</v>
      </c>
      <c r="N932" t="str">
        <f>_xlfn.XLOOKUP(C932,Table2[Species],Table2[Family],"Code Not Found")</f>
        <v>Magnoliaceae</v>
      </c>
      <c r="O932" t="str" cm="1">
        <f t="array" ref="O932">_xlfn.IFS(F932="","",F932&lt;=5,"0 to 5",F932&lt;=10,"5.1 to 10",F932&lt;=20,"10 to 20", F932&lt;= 40, "20 to 40", F932 &lt;= 50, "40 to 50", F932 &gt; 50, "&gt;50" )</f>
        <v>20 to 40</v>
      </c>
    </row>
    <row r="933" spans="1:15" ht="14.4" x14ac:dyDescent="0.3">
      <c r="A933" t="s">
        <v>213</v>
      </c>
      <c r="B933" s="1">
        <v>46184</v>
      </c>
      <c r="C933" t="s">
        <v>22</v>
      </c>
      <c r="D933">
        <v>871</v>
      </c>
      <c r="E933">
        <v>1</v>
      </c>
      <c r="F933">
        <v>35</v>
      </c>
      <c r="G933" t="s">
        <v>21</v>
      </c>
      <c r="I933" t="str">
        <f t="shared" si="15"/>
        <v>871_1</v>
      </c>
      <c r="J933" t="s">
        <v>214</v>
      </c>
      <c r="K933" t="s">
        <v>19</v>
      </c>
      <c r="L933" t="str">
        <f>_xlfn.XLOOKUP(C933, Table2[Species],Table2[Genus], "Code Not Found")</f>
        <v>Acer</v>
      </c>
      <c r="M933" t="str">
        <f>_xlfn.XLOOKUP(C933, Table2[Species],Table2[Sp. Name], "Code Not Found")</f>
        <v>rubrum</v>
      </c>
      <c r="N933" t="str">
        <f>_xlfn.XLOOKUP(C933,Table2[Species],Table2[Family],"Code Not Found")</f>
        <v>Sapindaceae</v>
      </c>
      <c r="O933" t="str" cm="1">
        <f t="array" ref="O933">_xlfn.IFS(F933="","",F933&lt;=5,"0 to 5",F933&lt;=10,"5.1 to 10",F933&lt;=20,"10 to 20", F933&lt;= 40, "20 to 40", F933 &lt;= 50, "40 to 50", F933 &gt; 50, "&gt;50" )</f>
        <v>20 to 40</v>
      </c>
    </row>
    <row r="934" spans="1:15" ht="14.4" x14ac:dyDescent="0.3">
      <c r="A934" t="s">
        <v>213</v>
      </c>
      <c r="B934" s="1">
        <v>46184</v>
      </c>
      <c r="C934" t="s">
        <v>22</v>
      </c>
      <c r="D934">
        <v>872</v>
      </c>
      <c r="E934">
        <v>1</v>
      </c>
      <c r="F934">
        <v>13.1</v>
      </c>
      <c r="G934" t="s">
        <v>21</v>
      </c>
      <c r="I934" t="str">
        <f t="shared" ref="I934:I941" si="16">D934&amp;"_"&amp;E934</f>
        <v>872_1</v>
      </c>
      <c r="J934" t="s">
        <v>214</v>
      </c>
      <c r="K934" t="s">
        <v>19</v>
      </c>
      <c r="L934" t="str">
        <f>_xlfn.XLOOKUP(C934, Table2[Species],Table2[Genus], "Code Not Found")</f>
        <v>Acer</v>
      </c>
      <c r="M934" t="str">
        <f>_xlfn.XLOOKUP(C934, Table2[Species],Table2[Sp. Name], "Code Not Found")</f>
        <v>rubrum</v>
      </c>
      <c r="N934" t="str">
        <f>_xlfn.XLOOKUP(C934,Table2[Species],Table2[Family],"Code Not Found")</f>
        <v>Sapindaceae</v>
      </c>
      <c r="O934" t="str" cm="1">
        <f t="array" ref="O934">_xlfn.IFS(F934="","",F934&lt;=5,"0 to 5",F934&lt;=10,"5.1 to 10",F934&lt;=20,"10 to 20", F934&lt;= 40, "20 to 40", F934 &lt;= 50, "40 to 50", F934 &gt; 50, "&gt;50" )</f>
        <v>10 to 20</v>
      </c>
    </row>
    <row r="935" spans="1:15" ht="14.4" x14ac:dyDescent="0.3">
      <c r="A935" t="s">
        <v>213</v>
      </c>
      <c r="B935" s="1">
        <v>46184</v>
      </c>
      <c r="C935" t="s">
        <v>22</v>
      </c>
      <c r="D935">
        <v>873</v>
      </c>
      <c r="E935">
        <v>1</v>
      </c>
      <c r="F935">
        <v>44.7</v>
      </c>
      <c r="G935" t="s">
        <v>21</v>
      </c>
      <c r="I935" t="str">
        <f t="shared" si="16"/>
        <v>873_1</v>
      </c>
      <c r="J935" t="s">
        <v>214</v>
      </c>
      <c r="K935" t="s">
        <v>19</v>
      </c>
      <c r="L935" t="str">
        <f>_xlfn.XLOOKUP(C935, Table2[Species],Table2[Genus], "Code Not Found")</f>
        <v>Acer</v>
      </c>
      <c r="M935" t="str">
        <f>_xlfn.XLOOKUP(C935, Table2[Species],Table2[Sp. Name], "Code Not Found")</f>
        <v>rubrum</v>
      </c>
      <c r="N935" t="str">
        <f>_xlfn.XLOOKUP(C935,Table2[Species],Table2[Family],"Code Not Found")</f>
        <v>Sapindaceae</v>
      </c>
      <c r="O935" t="str" cm="1">
        <f t="array" ref="O935">_xlfn.IFS(F935="","",F935&lt;=5,"0 to 5",F935&lt;=10,"5.1 to 10",F935&lt;=20,"10 to 20", F935&lt;= 40, "20 to 40", F935 &lt;= 50, "40 to 50", F935 &gt; 50, "&gt;50" )</f>
        <v>40 to 50</v>
      </c>
    </row>
    <row r="936" spans="1:15" ht="14.4" x14ac:dyDescent="0.3">
      <c r="A936" t="s">
        <v>213</v>
      </c>
      <c r="B936" s="1">
        <v>46184</v>
      </c>
      <c r="C936" t="s">
        <v>24</v>
      </c>
      <c r="D936">
        <v>874</v>
      </c>
      <c r="E936">
        <v>1</v>
      </c>
      <c r="F936">
        <v>39.6</v>
      </c>
      <c r="G936" t="s">
        <v>21</v>
      </c>
      <c r="I936" t="str">
        <f t="shared" si="16"/>
        <v>874_1</v>
      </c>
      <c r="J936" t="s">
        <v>214</v>
      </c>
      <c r="K936" t="s">
        <v>19</v>
      </c>
      <c r="L936" t="str">
        <f>_xlfn.XLOOKUP(C936, Table2[Species],Table2[Genus], "Code Not Found")</f>
        <v>Lirodendron</v>
      </c>
      <c r="M936" t="str">
        <f>_xlfn.XLOOKUP(C936, Table2[Species],Table2[Sp. Name], "Code Not Found")</f>
        <v>tulipfera</v>
      </c>
      <c r="N936" t="str">
        <f>_xlfn.XLOOKUP(C936,Table2[Species],Table2[Family],"Code Not Found")</f>
        <v>Magnoliaceae</v>
      </c>
      <c r="O936" t="str" cm="1">
        <f t="array" ref="O936">_xlfn.IFS(F936="","",F936&lt;=5,"0 to 5",F936&lt;=10,"5.1 to 10",F936&lt;=20,"10 to 20", F936&lt;= 40, "20 to 40", F936 &lt;= 50, "40 to 50", F936 &gt; 50, "&gt;50" )</f>
        <v>20 to 40</v>
      </c>
    </row>
    <row r="937" spans="1:15" ht="14.4" x14ac:dyDescent="0.3">
      <c r="A937" t="s">
        <v>213</v>
      </c>
      <c r="B937" s="1">
        <v>46184</v>
      </c>
      <c r="C937" t="s">
        <v>16</v>
      </c>
      <c r="D937">
        <v>875</v>
      </c>
      <c r="E937">
        <v>1</v>
      </c>
      <c r="F937">
        <v>3.6</v>
      </c>
      <c r="G937" t="s">
        <v>21</v>
      </c>
      <c r="I937" t="str">
        <f t="shared" si="16"/>
        <v>875_1</v>
      </c>
      <c r="J937" t="s">
        <v>214</v>
      </c>
      <c r="K937" t="s">
        <v>19</v>
      </c>
      <c r="L937" t="str">
        <f>_xlfn.XLOOKUP(C937, Table2[Species],Table2[Genus], "Code Not Found")</f>
        <v>Acer</v>
      </c>
      <c r="M937" t="str">
        <f>_xlfn.XLOOKUP(C937, Table2[Species],Table2[Sp. Name], "Code Not Found")</f>
        <v>saccharum</v>
      </c>
      <c r="N937" t="str">
        <f>_xlfn.XLOOKUP(C937,Table2[Species],Table2[Family],"Code Not Found")</f>
        <v>Sapindaceae</v>
      </c>
      <c r="O937" t="str" cm="1">
        <f t="array" ref="O937">_xlfn.IFS(F937="","",F937&lt;=5,"0 to 5",F937&lt;=10,"5.1 to 10",F937&lt;=20,"10 to 20", F937&lt;= 40, "20 to 40", F937 &lt;= 50, "40 to 50", F937 &gt; 50, "&gt;50" )</f>
        <v>0 to 5</v>
      </c>
    </row>
    <row r="938" spans="1:15" ht="14.4" x14ac:dyDescent="0.3">
      <c r="A938" t="s">
        <v>213</v>
      </c>
      <c r="B938" s="1">
        <v>46184</v>
      </c>
      <c r="C938" t="s">
        <v>123</v>
      </c>
      <c r="D938">
        <v>876</v>
      </c>
      <c r="E938">
        <v>1</v>
      </c>
      <c r="F938">
        <v>49.5</v>
      </c>
      <c r="G938" t="s">
        <v>21</v>
      </c>
      <c r="I938" t="str">
        <f t="shared" si="16"/>
        <v>876_1</v>
      </c>
      <c r="J938" t="s">
        <v>214</v>
      </c>
      <c r="K938" t="s">
        <v>19</v>
      </c>
      <c r="L938" t="str">
        <f>_xlfn.XLOOKUP(C938, Table2[Species],Table2[Genus], "Code Not Found")</f>
        <v>Quercus</v>
      </c>
      <c r="M938" t="str">
        <f>_xlfn.XLOOKUP(C938, Table2[Species],Table2[Sp. Name], "Code Not Found")</f>
        <v>rubra</v>
      </c>
      <c r="N938" t="str">
        <f>_xlfn.XLOOKUP(C938,Table2[Species],Table2[Family],"Code Not Found")</f>
        <v>Fagaceae</v>
      </c>
      <c r="O938" t="str" cm="1">
        <f t="array" ref="O938">_xlfn.IFS(F938="","",F938&lt;=5,"0 to 5",F938&lt;=10,"5.1 to 10",F938&lt;=20,"10 to 20", F938&lt;= 40, "20 to 40", F938 &lt;= 50, "40 to 50", F938 &gt; 50, "&gt;50" )</f>
        <v>40 to 50</v>
      </c>
    </row>
    <row r="939" spans="1:15" ht="14.4" x14ac:dyDescent="0.3">
      <c r="A939" t="s">
        <v>213</v>
      </c>
      <c r="B939" s="1">
        <v>46184</v>
      </c>
      <c r="C939" t="s">
        <v>22</v>
      </c>
      <c r="D939">
        <v>877</v>
      </c>
      <c r="E939">
        <v>1</v>
      </c>
      <c r="F939">
        <v>22.4</v>
      </c>
      <c r="G939" t="s">
        <v>32</v>
      </c>
      <c r="I939" t="str">
        <f t="shared" si="16"/>
        <v>877_1</v>
      </c>
      <c r="J939" t="s">
        <v>214</v>
      </c>
      <c r="K939" t="s">
        <v>19</v>
      </c>
      <c r="L939" t="str">
        <f>_xlfn.XLOOKUP(C939, Table2[Species],Table2[Genus], "Code Not Found")</f>
        <v>Acer</v>
      </c>
      <c r="M939" t="str">
        <f>_xlfn.XLOOKUP(C939, Table2[Species],Table2[Sp. Name], "Code Not Found")</f>
        <v>rubrum</v>
      </c>
      <c r="N939" t="str">
        <f>_xlfn.XLOOKUP(C939,Table2[Species],Table2[Family],"Code Not Found")</f>
        <v>Sapindaceae</v>
      </c>
      <c r="O939" t="str" cm="1">
        <f t="array" ref="O939">_xlfn.IFS(F939="","",F939&lt;=5,"0 to 5",F939&lt;=10,"5.1 to 10",F939&lt;=20,"10 to 20", F939&lt;= 40, "20 to 40", F939 &lt;= 50, "40 to 50", F939 &gt; 50, "&gt;50" )</f>
        <v>20 to 40</v>
      </c>
    </row>
    <row r="940" spans="1:15" ht="14.4" x14ac:dyDescent="0.3">
      <c r="A940" t="s">
        <v>213</v>
      </c>
      <c r="B940" s="1">
        <v>46184</v>
      </c>
      <c r="C940" t="s">
        <v>22</v>
      </c>
      <c r="D940">
        <v>877</v>
      </c>
      <c r="E940">
        <v>2</v>
      </c>
      <c r="F940">
        <v>16.899999999999999</v>
      </c>
      <c r="G940" t="s">
        <v>34</v>
      </c>
      <c r="I940" t="str">
        <f t="shared" si="16"/>
        <v>877_2</v>
      </c>
      <c r="J940" t="s">
        <v>214</v>
      </c>
      <c r="K940" t="s">
        <v>19</v>
      </c>
      <c r="L940" t="str">
        <f>_xlfn.XLOOKUP(C940, Table2[Species],Table2[Genus], "Code Not Found")</f>
        <v>Acer</v>
      </c>
      <c r="M940" t="str">
        <f>_xlfn.XLOOKUP(C940, Table2[Species],Table2[Sp. Name], "Code Not Found")</f>
        <v>rubrum</v>
      </c>
      <c r="N940" t="str">
        <f>_xlfn.XLOOKUP(C940,Table2[Species],Table2[Family],"Code Not Found")</f>
        <v>Sapindaceae</v>
      </c>
      <c r="O940" t="str" cm="1">
        <f t="array" ref="O940">_xlfn.IFS(F940="","",F940&lt;=5,"0 to 5",F940&lt;=10,"5.1 to 10",F940&lt;=20,"10 to 20", F940&lt;= 40, "20 to 40", F940 &lt;= 50, "40 to 50", F940 &gt; 50, "&gt;50" )</f>
        <v>10 to 20</v>
      </c>
    </row>
    <row r="941" spans="1:15" ht="14.4" x14ac:dyDescent="0.3">
      <c r="A941" t="s">
        <v>213</v>
      </c>
      <c r="B941" s="1">
        <v>46184</v>
      </c>
      <c r="C941" t="s">
        <v>16</v>
      </c>
      <c r="D941">
        <v>878</v>
      </c>
      <c r="E941">
        <v>1</v>
      </c>
      <c r="F941">
        <v>7.5</v>
      </c>
      <c r="G941" t="s">
        <v>21</v>
      </c>
      <c r="I941" t="str">
        <f t="shared" si="16"/>
        <v>878_1</v>
      </c>
      <c r="J941" t="s">
        <v>214</v>
      </c>
      <c r="K941" t="s">
        <v>19</v>
      </c>
      <c r="L941" t="str">
        <f>_xlfn.XLOOKUP(C941, Table2[Species],Table2[Genus], "Code Not Found")</f>
        <v>Acer</v>
      </c>
      <c r="M941" t="str">
        <f>_xlfn.XLOOKUP(C941, Table2[Species],Table2[Sp. Name], "Code Not Found")</f>
        <v>saccharum</v>
      </c>
      <c r="N941" t="str">
        <f>_xlfn.XLOOKUP(C941,Table2[Species],Table2[Family],"Code Not Found")</f>
        <v>Sapindaceae</v>
      </c>
      <c r="O941" t="str" cm="1">
        <f t="array" ref="O941">_xlfn.IFS(F941="","",F941&lt;=5,"0 to 5",F941&lt;=10,"5.1 to 10",F941&lt;=20,"10 to 20", F941&lt;= 40, "20 to 40", F941 &lt;= 50, "40 to 50", F941 &gt; 50, "&gt;50" )</f>
        <v>5.1 to 10</v>
      </c>
    </row>
    <row r="942" spans="1:15" ht="14.4" x14ac:dyDescent="0.3">
      <c r="A942" t="s">
        <v>213</v>
      </c>
      <c r="B942" s="1">
        <v>46184</v>
      </c>
      <c r="C942" t="s">
        <v>123</v>
      </c>
      <c r="D942">
        <v>879</v>
      </c>
      <c r="E942">
        <v>1</v>
      </c>
      <c r="F942">
        <v>37.700000000000003</v>
      </c>
      <c r="G942" t="s">
        <v>21</v>
      </c>
      <c r="I942" t="str">
        <f>D942&amp;"_"&amp;E942</f>
        <v>879_1</v>
      </c>
      <c r="J942" t="s">
        <v>214</v>
      </c>
      <c r="K942" t="s">
        <v>19</v>
      </c>
      <c r="L942" t="str">
        <f>_xlfn.XLOOKUP(C942, Table2[Species],Table2[Genus], "Code Not Found")</f>
        <v>Quercus</v>
      </c>
      <c r="M942" t="str">
        <f>_xlfn.XLOOKUP(C942, Table2[Species],Table2[Sp. Name], "Code Not Found")</f>
        <v>rubra</v>
      </c>
      <c r="N942" t="str">
        <f>_xlfn.XLOOKUP(C942,Table2[Species],Table2[Family],"Code Not Found")</f>
        <v>Fagaceae</v>
      </c>
      <c r="O942" t="str" cm="1">
        <f t="array" ref="O942">_xlfn.IFS(F942="","",F942&lt;=5,"0 to 5",F942&lt;=10,"5.1 to 10",F942&lt;=20,"10 to 20", F942&lt;= 40, "20 to 40", F942 &lt;= 50, "40 to 50", F942 &gt; 50, "&gt;50" )</f>
        <v>20 to 40</v>
      </c>
    </row>
    <row r="943" spans="1:15" ht="14.4" x14ac:dyDescent="0.3">
      <c r="A943" t="s">
        <v>213</v>
      </c>
      <c r="B943" s="1">
        <v>46184</v>
      </c>
      <c r="C943" t="s">
        <v>22</v>
      </c>
      <c r="D943">
        <v>880</v>
      </c>
      <c r="E943">
        <v>1</v>
      </c>
      <c r="F943">
        <v>28.1</v>
      </c>
      <c r="G943" t="s">
        <v>21</v>
      </c>
      <c r="H943" t="s">
        <v>223</v>
      </c>
      <c r="I943" t="str">
        <f>D943&amp;"_"&amp;E943</f>
        <v>880_1</v>
      </c>
      <c r="J943" t="s">
        <v>214</v>
      </c>
      <c r="K943" t="s">
        <v>19</v>
      </c>
      <c r="L943" t="str">
        <f>_xlfn.XLOOKUP(C943, Table2[Species],Table2[Genus], "Code Not Found")</f>
        <v>Acer</v>
      </c>
      <c r="M943" t="str">
        <f>_xlfn.XLOOKUP(C943, Table2[Species],Table2[Sp. Name], "Code Not Found")</f>
        <v>rubrum</v>
      </c>
      <c r="N943" t="str">
        <f>_xlfn.XLOOKUP(C943,Table2[Species],Table2[Family],"Code Not Found")</f>
        <v>Sapindaceae</v>
      </c>
      <c r="O943" t="str" cm="1">
        <f t="array" ref="O943">_xlfn.IFS(F943="","",F943&lt;=5,"0 to 5",F943&lt;=10,"5.1 to 10",F943&lt;=20,"10 to 20", F943&lt;= 40, "20 to 40", F943 &lt;= 50, "40 to 50", F943 &gt; 50, "&gt;50" )</f>
        <v>20 to 40</v>
      </c>
    </row>
    <row r="944" spans="1:15" ht="14.4" x14ac:dyDescent="0.3">
      <c r="A944" t="s">
        <v>213</v>
      </c>
      <c r="B944" s="1">
        <v>46184</v>
      </c>
      <c r="C944" t="s">
        <v>16</v>
      </c>
      <c r="D944">
        <v>881</v>
      </c>
      <c r="E944">
        <v>1</v>
      </c>
      <c r="F944">
        <v>2.5</v>
      </c>
      <c r="G944" t="s">
        <v>21</v>
      </c>
      <c r="I944" t="str">
        <f t="shared" ref="I944:I1007" si="17">D944&amp;"_"&amp;E944</f>
        <v>881_1</v>
      </c>
      <c r="J944" t="s">
        <v>214</v>
      </c>
      <c r="K944" t="s">
        <v>19</v>
      </c>
      <c r="L944" t="str">
        <f>_xlfn.XLOOKUP(C944, Table2[Species],Table2[Genus], "Code Not Found")</f>
        <v>Acer</v>
      </c>
      <c r="M944" t="str">
        <f>_xlfn.XLOOKUP(C944, Table2[Species],Table2[Sp. Name], "Code Not Found")</f>
        <v>saccharum</v>
      </c>
      <c r="N944" t="str">
        <f>_xlfn.XLOOKUP(C944,Table2[Species],Table2[Family],"Code Not Found")</f>
        <v>Sapindaceae</v>
      </c>
      <c r="O944" t="str" cm="1">
        <f t="array" ref="O944">_xlfn.IFS(F944="","",F944&lt;=5,"0 to 5",F944&lt;=10,"5.1 to 10",F944&lt;=20,"10 to 20", F944&lt;= 40, "20 to 40", F944 &lt;= 50, "40 to 50", F944 &gt; 50, "&gt;50" )</f>
        <v>0 to 5</v>
      </c>
    </row>
    <row r="945" spans="1:15" ht="14.4" x14ac:dyDescent="0.3">
      <c r="A945" t="s">
        <v>213</v>
      </c>
      <c r="B945" s="1">
        <v>46184</v>
      </c>
      <c r="C945" t="s">
        <v>22</v>
      </c>
      <c r="D945">
        <v>882</v>
      </c>
      <c r="E945">
        <v>1</v>
      </c>
      <c r="F945">
        <v>25.3</v>
      </c>
      <c r="G945" t="s">
        <v>17</v>
      </c>
      <c r="I945" t="str">
        <f t="shared" si="17"/>
        <v>882_1</v>
      </c>
      <c r="J945" t="s">
        <v>214</v>
      </c>
      <c r="K945" t="s">
        <v>19</v>
      </c>
      <c r="L945" t="str">
        <f>_xlfn.XLOOKUP(C945, Table2[Species],Table2[Genus], "Code Not Found")</f>
        <v>Acer</v>
      </c>
      <c r="M945" t="str">
        <f>_xlfn.XLOOKUP(C945, Table2[Species],Table2[Sp. Name], "Code Not Found")</f>
        <v>rubrum</v>
      </c>
      <c r="N945" t="str">
        <f>_xlfn.XLOOKUP(C945,Table2[Species],Table2[Family],"Code Not Found")</f>
        <v>Sapindaceae</v>
      </c>
      <c r="O945" t="str" cm="1">
        <f t="array" ref="O945">_xlfn.IFS(F945="","",F945&lt;=5,"0 to 5",F945&lt;=10,"5.1 to 10",F945&lt;=20,"10 to 20", F945&lt;= 40, "20 to 40", F945 &lt;= 50, "40 to 50", F945 &gt; 50, "&gt;50" )</f>
        <v>20 to 40</v>
      </c>
    </row>
    <row r="946" spans="1:15" ht="14.4" x14ac:dyDescent="0.3">
      <c r="A946" t="s">
        <v>213</v>
      </c>
      <c r="B946" s="1">
        <v>46184</v>
      </c>
      <c r="C946" t="s">
        <v>123</v>
      </c>
      <c r="D946">
        <v>883</v>
      </c>
      <c r="E946">
        <v>1</v>
      </c>
      <c r="F946">
        <v>52.6</v>
      </c>
      <c r="G946" t="s">
        <v>17</v>
      </c>
      <c r="I946" t="str">
        <f t="shared" si="17"/>
        <v>883_1</v>
      </c>
      <c r="J946" t="s">
        <v>214</v>
      </c>
      <c r="K946" t="s">
        <v>19</v>
      </c>
      <c r="L946" t="str">
        <f>_xlfn.XLOOKUP(C946, Table2[Species],Table2[Genus], "Code Not Found")</f>
        <v>Quercus</v>
      </c>
      <c r="M946" t="str">
        <f>_xlfn.XLOOKUP(C946, Table2[Species],Table2[Sp. Name], "Code Not Found")</f>
        <v>rubra</v>
      </c>
      <c r="N946" t="str">
        <f>_xlfn.XLOOKUP(C946,Table2[Species],Table2[Family],"Code Not Found")</f>
        <v>Fagaceae</v>
      </c>
      <c r="O946" t="str" cm="1">
        <f t="array" ref="O946">_xlfn.IFS(F946="","",F946&lt;=5,"0 to 5",F946&lt;=10,"5.1 to 10",F946&lt;=20,"10 to 20", F946&lt;= 40, "20 to 40", F946 &lt;= 50, "40 to 50", F946 &gt; 50, "&gt;50" )</f>
        <v>&gt;50</v>
      </c>
    </row>
    <row r="947" spans="1:15" ht="14.4" x14ac:dyDescent="0.3">
      <c r="A947" t="s">
        <v>213</v>
      </c>
      <c r="B947" s="1">
        <v>46184</v>
      </c>
      <c r="C947" t="s">
        <v>123</v>
      </c>
      <c r="D947">
        <v>884</v>
      </c>
      <c r="E947">
        <v>1</v>
      </c>
      <c r="F947">
        <v>37.799999999999997</v>
      </c>
      <c r="G947" t="s">
        <v>17</v>
      </c>
      <c r="I947" t="str">
        <f t="shared" si="17"/>
        <v>884_1</v>
      </c>
      <c r="J947" t="s">
        <v>214</v>
      </c>
      <c r="K947" t="s">
        <v>19</v>
      </c>
      <c r="L947" t="str">
        <f>_xlfn.XLOOKUP(C947, Table2[Species],Table2[Genus], "Code Not Found")</f>
        <v>Quercus</v>
      </c>
      <c r="M947" t="str">
        <f>_xlfn.XLOOKUP(C947, Table2[Species],Table2[Sp. Name], "Code Not Found")</f>
        <v>rubra</v>
      </c>
      <c r="N947" t="str">
        <f>_xlfn.XLOOKUP(C947,Table2[Species],Table2[Family],"Code Not Found")</f>
        <v>Fagaceae</v>
      </c>
      <c r="O947" t="str" cm="1">
        <f t="array" ref="O947">_xlfn.IFS(F947="","",F947&lt;=5,"0 to 5",F947&lt;=10,"5.1 to 10",F947&lt;=20,"10 to 20", F947&lt;= 40, "20 to 40", F947 &lt;= 50, "40 to 50", F947 &gt; 50, "&gt;50" )</f>
        <v>20 to 40</v>
      </c>
    </row>
    <row r="948" spans="1:15" ht="14.4" x14ac:dyDescent="0.3">
      <c r="A948" t="s">
        <v>213</v>
      </c>
      <c r="B948" s="1">
        <v>46184</v>
      </c>
      <c r="C948" t="s">
        <v>22</v>
      </c>
      <c r="D948">
        <v>885</v>
      </c>
      <c r="E948">
        <v>1</v>
      </c>
      <c r="F948">
        <v>22.8</v>
      </c>
      <c r="G948" t="s">
        <v>17</v>
      </c>
      <c r="H948" t="s">
        <v>174</v>
      </c>
      <c r="I948" t="str">
        <f t="shared" si="17"/>
        <v>885_1</v>
      </c>
      <c r="J948" t="s">
        <v>214</v>
      </c>
      <c r="K948" t="s">
        <v>19</v>
      </c>
      <c r="L948" t="str">
        <f>_xlfn.XLOOKUP(C948, Table2[Species],Table2[Genus], "Code Not Found")</f>
        <v>Acer</v>
      </c>
      <c r="M948" t="str">
        <f>_xlfn.XLOOKUP(C948, Table2[Species],Table2[Sp. Name], "Code Not Found")</f>
        <v>rubrum</v>
      </c>
      <c r="N948" t="str">
        <f>_xlfn.XLOOKUP(C948,Table2[Species],Table2[Family],"Code Not Found")</f>
        <v>Sapindaceae</v>
      </c>
      <c r="O948" t="str" cm="1">
        <f t="array" ref="O948">_xlfn.IFS(F948="","",F948&lt;=5,"0 to 5",F948&lt;=10,"5.1 to 10",F948&lt;=20,"10 to 20", F948&lt;= 40, "20 to 40", F948 &lt;= 50, "40 to 50", F948 &gt; 50, "&gt;50" )</f>
        <v>20 to 40</v>
      </c>
    </row>
    <row r="949" spans="1:15" ht="14.4" x14ac:dyDescent="0.3">
      <c r="A949" t="s">
        <v>213</v>
      </c>
      <c r="B949" s="1">
        <v>46184</v>
      </c>
      <c r="C949" t="s">
        <v>22</v>
      </c>
      <c r="D949">
        <v>886</v>
      </c>
      <c r="E949">
        <v>1</v>
      </c>
      <c r="F949">
        <v>35.1</v>
      </c>
      <c r="G949" t="s">
        <v>56</v>
      </c>
      <c r="I949" t="str">
        <f t="shared" si="17"/>
        <v>886_1</v>
      </c>
      <c r="J949" t="s">
        <v>214</v>
      </c>
      <c r="K949" t="s">
        <v>19</v>
      </c>
      <c r="L949" t="str">
        <f>_xlfn.XLOOKUP(C949, Table2[Species],Table2[Genus], "Code Not Found")</f>
        <v>Acer</v>
      </c>
      <c r="M949" t="str">
        <f>_xlfn.XLOOKUP(C949, Table2[Species],Table2[Sp. Name], "Code Not Found")</f>
        <v>rubrum</v>
      </c>
      <c r="N949" t="str">
        <f>_xlfn.XLOOKUP(C949,Table2[Species],Table2[Family],"Code Not Found")</f>
        <v>Sapindaceae</v>
      </c>
      <c r="O949" t="str" cm="1">
        <f t="array" ref="O949">_xlfn.IFS(F949="","",F949&lt;=5,"0 to 5",F949&lt;=10,"5.1 to 10",F949&lt;=20,"10 to 20", F949&lt;= 40, "20 to 40", F949 &lt;= 50, "40 to 50", F949 &gt; 50, "&gt;50" )</f>
        <v>20 to 40</v>
      </c>
    </row>
    <row r="950" spans="1:15" ht="14.4" x14ac:dyDescent="0.3">
      <c r="A950" t="s">
        <v>213</v>
      </c>
      <c r="B950" s="1">
        <v>46184</v>
      </c>
      <c r="C950" t="s">
        <v>64</v>
      </c>
      <c r="D950">
        <v>887</v>
      </c>
      <c r="E950">
        <v>1</v>
      </c>
      <c r="F950">
        <v>4.5999999999999996</v>
      </c>
      <c r="G950" t="s">
        <v>21</v>
      </c>
      <c r="I950" t="str">
        <f t="shared" si="17"/>
        <v>887_1</v>
      </c>
      <c r="J950" t="s">
        <v>214</v>
      </c>
      <c r="K950" t="s">
        <v>19</v>
      </c>
      <c r="L950" t="str">
        <f>_xlfn.XLOOKUP(C950, Table2[Species],Table2[Genus], "Code Not Found")</f>
        <v>Fagus</v>
      </c>
      <c r="M950" t="str">
        <f>_xlfn.XLOOKUP(C950, Table2[Species],Table2[Sp. Name], "Code Not Found")</f>
        <v>grandifolia</v>
      </c>
      <c r="N950" t="str">
        <f>_xlfn.XLOOKUP(C950,Table2[Species],Table2[Family],"Code Not Found")</f>
        <v>Fagaceae</v>
      </c>
      <c r="O950" t="str" cm="1">
        <f t="array" ref="O950">_xlfn.IFS(F950="","",F950&lt;=5,"0 to 5",F950&lt;=10,"5.1 to 10",F950&lt;=20,"10 to 20", F950&lt;= 40, "20 to 40", F950 &lt;= 50, "40 to 50", F950 &gt; 50, "&gt;50" )</f>
        <v>0 to 5</v>
      </c>
    </row>
    <row r="951" spans="1:15" ht="14.4" x14ac:dyDescent="0.3">
      <c r="A951" t="s">
        <v>213</v>
      </c>
      <c r="B951" s="1">
        <v>46184</v>
      </c>
      <c r="C951" t="s">
        <v>123</v>
      </c>
      <c r="D951">
        <v>888</v>
      </c>
      <c r="E951">
        <v>1</v>
      </c>
      <c r="F951">
        <v>22.5</v>
      </c>
      <c r="G951" t="s">
        <v>21</v>
      </c>
      <c r="I951" t="str">
        <f t="shared" si="17"/>
        <v>888_1</v>
      </c>
      <c r="J951" t="s">
        <v>214</v>
      </c>
      <c r="K951" t="s">
        <v>19</v>
      </c>
      <c r="L951" t="str">
        <f>_xlfn.XLOOKUP(C951, Table2[Species],Table2[Genus], "Code Not Found")</f>
        <v>Quercus</v>
      </c>
      <c r="M951" t="str">
        <f>_xlfn.XLOOKUP(C951, Table2[Species],Table2[Sp. Name], "Code Not Found")</f>
        <v>rubra</v>
      </c>
      <c r="N951" t="str">
        <f>_xlfn.XLOOKUP(C951,Table2[Species],Table2[Family],"Code Not Found")</f>
        <v>Fagaceae</v>
      </c>
      <c r="O951" t="str" cm="1">
        <f t="array" ref="O951">_xlfn.IFS(F951="","",F951&lt;=5,"0 to 5",F951&lt;=10,"5.1 to 10",F951&lt;=20,"10 to 20", F951&lt;= 40, "20 to 40", F951 &lt;= 50, "40 to 50", F951 &gt; 50, "&gt;50" )</f>
        <v>20 to 40</v>
      </c>
    </row>
    <row r="952" spans="1:15" ht="14.4" x14ac:dyDescent="0.3">
      <c r="A952" t="s">
        <v>213</v>
      </c>
      <c r="B952" s="1">
        <v>46184</v>
      </c>
      <c r="C952" t="s">
        <v>64</v>
      </c>
      <c r="D952">
        <v>889</v>
      </c>
      <c r="E952">
        <v>1</v>
      </c>
      <c r="F952">
        <v>1.3</v>
      </c>
      <c r="G952" t="s">
        <v>32</v>
      </c>
      <c r="I952" t="str">
        <f t="shared" si="17"/>
        <v>889_1</v>
      </c>
      <c r="J952" t="s">
        <v>214</v>
      </c>
      <c r="K952" t="s">
        <v>19</v>
      </c>
      <c r="L952" t="str">
        <f>_xlfn.XLOOKUP(C952, Table2[Species],Table2[Genus], "Code Not Found")</f>
        <v>Fagus</v>
      </c>
      <c r="M952" t="str">
        <f>_xlfn.XLOOKUP(C952, Table2[Species],Table2[Sp. Name], "Code Not Found")</f>
        <v>grandifolia</v>
      </c>
      <c r="N952" t="str">
        <f>_xlfn.XLOOKUP(C952,Table2[Species],Table2[Family],"Code Not Found")</f>
        <v>Fagaceae</v>
      </c>
      <c r="O952" t="str" cm="1">
        <f t="array" ref="O952">_xlfn.IFS(F952="","",F952&lt;=5,"0 to 5",F952&lt;=10,"5.1 to 10",F952&lt;=20,"10 to 20", F952&lt;= 40, "20 to 40", F952 &lt;= 50, "40 to 50", F952 &gt; 50, "&gt;50" )</f>
        <v>0 to 5</v>
      </c>
    </row>
    <row r="953" spans="1:15" ht="14.4" x14ac:dyDescent="0.3">
      <c r="A953" t="s">
        <v>213</v>
      </c>
      <c r="B953" s="1">
        <v>46184</v>
      </c>
      <c r="C953" t="s">
        <v>64</v>
      </c>
      <c r="D953">
        <v>889</v>
      </c>
      <c r="E953">
        <v>2</v>
      </c>
      <c r="F953">
        <v>1.2</v>
      </c>
      <c r="G953" t="s">
        <v>32</v>
      </c>
      <c r="I953" t="str">
        <f t="shared" si="17"/>
        <v>889_2</v>
      </c>
      <c r="J953" t="s">
        <v>214</v>
      </c>
      <c r="K953" t="s">
        <v>19</v>
      </c>
      <c r="L953" t="str">
        <f>_xlfn.XLOOKUP(C953, Table2[Species],Table2[Genus], "Code Not Found")</f>
        <v>Fagus</v>
      </c>
      <c r="M953" t="str">
        <f>_xlfn.XLOOKUP(C953, Table2[Species],Table2[Sp. Name], "Code Not Found")</f>
        <v>grandifolia</v>
      </c>
      <c r="N953" t="str">
        <f>_xlfn.XLOOKUP(C953,Table2[Species],Table2[Family],"Code Not Found")</f>
        <v>Fagaceae</v>
      </c>
      <c r="O953" t="str" cm="1">
        <f t="array" ref="O953">_xlfn.IFS(F953="","",F953&lt;=5,"0 to 5",F953&lt;=10,"5.1 to 10",F953&lt;=20,"10 to 20", F953&lt;= 40, "20 to 40", F953 &lt;= 50, "40 to 50", F953 &gt; 50, "&gt;50" )</f>
        <v>0 to 5</v>
      </c>
    </row>
    <row r="954" spans="1:15" ht="14.4" x14ac:dyDescent="0.3">
      <c r="A954" t="s">
        <v>213</v>
      </c>
      <c r="B954" s="1">
        <v>46184</v>
      </c>
      <c r="C954" t="s">
        <v>16</v>
      </c>
      <c r="D954">
        <v>890</v>
      </c>
      <c r="E954">
        <v>1</v>
      </c>
      <c r="F954">
        <v>5.3</v>
      </c>
      <c r="G954" t="s">
        <v>21</v>
      </c>
      <c r="I954" t="str">
        <f t="shared" si="17"/>
        <v>890_1</v>
      </c>
      <c r="J954" t="s">
        <v>214</v>
      </c>
      <c r="K954" t="s">
        <v>19</v>
      </c>
      <c r="L954" t="str">
        <f>_xlfn.XLOOKUP(C954, Table2[Species],Table2[Genus], "Code Not Found")</f>
        <v>Acer</v>
      </c>
      <c r="M954" t="str">
        <f>_xlfn.XLOOKUP(C954, Table2[Species],Table2[Sp. Name], "Code Not Found")</f>
        <v>saccharum</v>
      </c>
      <c r="N954" t="str">
        <f>_xlfn.XLOOKUP(C954,Table2[Species],Table2[Family],"Code Not Found")</f>
        <v>Sapindaceae</v>
      </c>
      <c r="O954" t="str" cm="1">
        <f t="array" ref="O954">_xlfn.IFS(F954="","",F954&lt;=5,"0 to 5",F954&lt;=10,"5.1 to 10",F954&lt;=20,"10 to 20", F954&lt;= 40, "20 to 40", F954 &lt;= 50, "40 to 50", F954 &gt; 50, "&gt;50" )</f>
        <v>5.1 to 10</v>
      </c>
    </row>
    <row r="955" spans="1:15" ht="14.4" x14ac:dyDescent="0.3">
      <c r="A955" t="s">
        <v>213</v>
      </c>
      <c r="B955" s="1">
        <v>46184</v>
      </c>
      <c r="C955" t="s">
        <v>24</v>
      </c>
      <c r="D955">
        <v>891</v>
      </c>
      <c r="E955">
        <v>1</v>
      </c>
      <c r="F955">
        <v>43</v>
      </c>
      <c r="G955" t="s">
        <v>21</v>
      </c>
      <c r="I955" t="str">
        <f t="shared" si="17"/>
        <v>891_1</v>
      </c>
      <c r="J955" t="s">
        <v>214</v>
      </c>
      <c r="K955" t="s">
        <v>19</v>
      </c>
      <c r="L955" t="str">
        <f>_xlfn.XLOOKUP(C955, Table2[Species],Table2[Genus], "Code Not Found")</f>
        <v>Lirodendron</v>
      </c>
      <c r="M955" t="str">
        <f>_xlfn.XLOOKUP(C955, Table2[Species],Table2[Sp. Name], "Code Not Found")</f>
        <v>tulipfera</v>
      </c>
      <c r="N955" t="str">
        <f>_xlfn.XLOOKUP(C955,Table2[Species],Table2[Family],"Code Not Found")</f>
        <v>Magnoliaceae</v>
      </c>
      <c r="O955" t="str" cm="1">
        <f t="array" ref="O955">_xlfn.IFS(F955="","",F955&lt;=5,"0 to 5",F955&lt;=10,"5.1 to 10",F955&lt;=20,"10 to 20", F955&lt;= 40, "20 to 40", F955 &lt;= 50, "40 to 50", F955 &gt; 50, "&gt;50" )</f>
        <v>40 to 50</v>
      </c>
    </row>
    <row r="956" spans="1:15" ht="14.4" x14ac:dyDescent="0.3">
      <c r="A956" t="s">
        <v>213</v>
      </c>
      <c r="B956" s="1">
        <v>46184</v>
      </c>
      <c r="C956" t="s">
        <v>22</v>
      </c>
      <c r="D956">
        <v>892</v>
      </c>
      <c r="E956">
        <v>1</v>
      </c>
      <c r="F956">
        <v>7.6</v>
      </c>
      <c r="G956" t="s">
        <v>21</v>
      </c>
      <c r="I956" t="str">
        <f t="shared" si="17"/>
        <v>892_1</v>
      </c>
      <c r="J956" t="s">
        <v>214</v>
      </c>
      <c r="K956" t="s">
        <v>19</v>
      </c>
      <c r="L956" t="str">
        <f>_xlfn.XLOOKUP(C956, Table2[Species],Table2[Genus], "Code Not Found")</f>
        <v>Acer</v>
      </c>
      <c r="M956" t="str">
        <f>_xlfn.XLOOKUP(C956, Table2[Species],Table2[Sp. Name], "Code Not Found")</f>
        <v>rubrum</v>
      </c>
      <c r="N956" t="str">
        <f>_xlfn.XLOOKUP(C956,Table2[Species],Table2[Family],"Code Not Found")</f>
        <v>Sapindaceae</v>
      </c>
      <c r="O956" t="str" cm="1">
        <f t="array" ref="O956">_xlfn.IFS(F956="","",F956&lt;=5,"0 to 5",F956&lt;=10,"5.1 to 10",F956&lt;=20,"10 to 20", F956&lt;= 40, "20 to 40", F956 &lt;= 50, "40 to 50", F956 &gt; 50, "&gt;50" )</f>
        <v>5.1 to 10</v>
      </c>
    </row>
    <row r="957" spans="1:15" ht="14.4" x14ac:dyDescent="0.3">
      <c r="A957" t="s">
        <v>213</v>
      </c>
      <c r="B957" s="1">
        <v>46184</v>
      </c>
      <c r="C957" t="s">
        <v>22</v>
      </c>
      <c r="D957">
        <v>893</v>
      </c>
      <c r="E957">
        <v>1</v>
      </c>
      <c r="F957">
        <v>17.2</v>
      </c>
      <c r="G957" t="s">
        <v>21</v>
      </c>
      <c r="I957" t="str">
        <f t="shared" si="17"/>
        <v>893_1</v>
      </c>
      <c r="J957" t="s">
        <v>214</v>
      </c>
      <c r="K957" t="s">
        <v>19</v>
      </c>
      <c r="L957" t="str">
        <f>_xlfn.XLOOKUP(C957, Table2[Species],Table2[Genus], "Code Not Found")</f>
        <v>Acer</v>
      </c>
      <c r="M957" t="str">
        <f>_xlfn.XLOOKUP(C957, Table2[Species],Table2[Sp. Name], "Code Not Found")</f>
        <v>rubrum</v>
      </c>
      <c r="N957" t="str">
        <f>_xlfn.XLOOKUP(C957,Table2[Species],Table2[Family],"Code Not Found")</f>
        <v>Sapindaceae</v>
      </c>
      <c r="O957" t="str" cm="1">
        <f t="array" ref="O957">_xlfn.IFS(F957="","",F957&lt;=5,"0 to 5",F957&lt;=10,"5.1 to 10",F957&lt;=20,"10 to 20", F957&lt;= 40, "20 to 40", F957 &lt;= 50, "40 to 50", F957 &gt; 50, "&gt;50" )</f>
        <v>10 to 20</v>
      </c>
    </row>
    <row r="958" spans="1:15" ht="14.4" x14ac:dyDescent="0.3">
      <c r="A958" t="s">
        <v>213</v>
      </c>
      <c r="B958" s="1">
        <v>46184</v>
      </c>
      <c r="C958" t="s">
        <v>22</v>
      </c>
      <c r="D958">
        <v>894</v>
      </c>
      <c r="E958">
        <v>1</v>
      </c>
      <c r="F958">
        <v>25.7</v>
      </c>
      <c r="G958" t="s">
        <v>21</v>
      </c>
      <c r="I958" t="str">
        <f t="shared" si="17"/>
        <v>894_1</v>
      </c>
      <c r="J958" t="s">
        <v>214</v>
      </c>
      <c r="K958" t="s">
        <v>19</v>
      </c>
      <c r="L958" t="str">
        <f>_xlfn.XLOOKUP(C958, Table2[Species],Table2[Genus], "Code Not Found")</f>
        <v>Acer</v>
      </c>
      <c r="M958" t="str">
        <f>_xlfn.XLOOKUP(C958, Table2[Species],Table2[Sp. Name], "Code Not Found")</f>
        <v>rubrum</v>
      </c>
      <c r="N958" t="str">
        <f>_xlfn.XLOOKUP(C958,Table2[Species],Table2[Family],"Code Not Found")</f>
        <v>Sapindaceae</v>
      </c>
      <c r="O958" t="str" cm="1">
        <f t="array" ref="O958">_xlfn.IFS(F958="","",F958&lt;=5,"0 to 5",F958&lt;=10,"5.1 to 10",F958&lt;=20,"10 to 20", F958&lt;= 40, "20 to 40", F958 &lt;= 50, "40 to 50", F958 &gt; 50, "&gt;50" )</f>
        <v>20 to 40</v>
      </c>
    </row>
    <row r="959" spans="1:15" ht="14.4" x14ac:dyDescent="0.3">
      <c r="A959" t="s">
        <v>213</v>
      </c>
      <c r="B959" s="1">
        <v>46184</v>
      </c>
      <c r="C959" t="s">
        <v>24</v>
      </c>
      <c r="D959">
        <v>895</v>
      </c>
      <c r="E959">
        <v>1</v>
      </c>
      <c r="F959">
        <v>28.5</v>
      </c>
      <c r="G959" t="s">
        <v>21</v>
      </c>
      <c r="I959" t="str">
        <f t="shared" si="17"/>
        <v>895_1</v>
      </c>
      <c r="J959" t="s">
        <v>214</v>
      </c>
      <c r="K959" t="s">
        <v>19</v>
      </c>
      <c r="L959" t="str">
        <f>_xlfn.XLOOKUP(C959, Table2[Species],Table2[Genus], "Code Not Found")</f>
        <v>Lirodendron</v>
      </c>
      <c r="M959" t="str">
        <f>_xlfn.XLOOKUP(C959, Table2[Species],Table2[Sp. Name], "Code Not Found")</f>
        <v>tulipfera</v>
      </c>
      <c r="N959" t="str">
        <f>_xlfn.XLOOKUP(C959,Table2[Species],Table2[Family],"Code Not Found")</f>
        <v>Magnoliaceae</v>
      </c>
      <c r="O959" t="str" cm="1">
        <f t="array" ref="O959">_xlfn.IFS(F959="","",F959&lt;=5,"0 to 5",F959&lt;=10,"5.1 to 10",F959&lt;=20,"10 to 20", F959&lt;= 40, "20 to 40", F959 &lt;= 50, "40 to 50", F959 &gt; 50, "&gt;50" )</f>
        <v>20 to 40</v>
      </c>
    </row>
    <row r="960" spans="1:15" ht="14.4" x14ac:dyDescent="0.3">
      <c r="A960" t="s">
        <v>213</v>
      </c>
      <c r="B960" s="1">
        <v>46184</v>
      </c>
      <c r="C960" t="s">
        <v>16</v>
      </c>
      <c r="D960">
        <v>896</v>
      </c>
      <c r="E960">
        <v>1</v>
      </c>
      <c r="F960">
        <v>8.1</v>
      </c>
      <c r="G960" t="s">
        <v>21</v>
      </c>
      <c r="I960" t="str">
        <f t="shared" si="17"/>
        <v>896_1</v>
      </c>
      <c r="J960" t="s">
        <v>214</v>
      </c>
      <c r="K960" t="s">
        <v>19</v>
      </c>
      <c r="L960" t="str">
        <f>_xlfn.XLOOKUP(C960, Table2[Species],Table2[Genus], "Code Not Found")</f>
        <v>Acer</v>
      </c>
      <c r="M960" t="str">
        <f>_xlfn.XLOOKUP(C960, Table2[Species],Table2[Sp. Name], "Code Not Found")</f>
        <v>saccharum</v>
      </c>
      <c r="N960" t="str">
        <f>_xlfn.XLOOKUP(C960,Table2[Species],Table2[Family],"Code Not Found")</f>
        <v>Sapindaceae</v>
      </c>
      <c r="O960" t="str" cm="1">
        <f t="array" ref="O960">_xlfn.IFS(F960="","",F960&lt;=5,"0 to 5",F960&lt;=10,"5.1 to 10",F960&lt;=20,"10 to 20", F960&lt;= 40, "20 to 40", F960 &lt;= 50, "40 to 50", F960 &gt; 50, "&gt;50" )</f>
        <v>5.1 to 10</v>
      </c>
    </row>
    <row r="961" spans="1:15" ht="14.4" x14ac:dyDescent="0.3">
      <c r="A961" t="s">
        <v>213</v>
      </c>
      <c r="B961" s="1">
        <v>46184</v>
      </c>
      <c r="C961" t="s">
        <v>22</v>
      </c>
      <c r="D961">
        <v>897</v>
      </c>
      <c r="E961">
        <v>1</v>
      </c>
      <c r="F961">
        <v>36.799999999999997</v>
      </c>
      <c r="G961" t="s">
        <v>21</v>
      </c>
      <c r="I961" t="str">
        <f t="shared" si="17"/>
        <v>897_1</v>
      </c>
      <c r="J961" t="s">
        <v>214</v>
      </c>
      <c r="K961" t="s">
        <v>19</v>
      </c>
      <c r="L961" t="str">
        <f>_xlfn.XLOOKUP(C961, Table2[Species],Table2[Genus], "Code Not Found")</f>
        <v>Acer</v>
      </c>
      <c r="M961" t="str">
        <f>_xlfn.XLOOKUP(C961, Table2[Species],Table2[Sp. Name], "Code Not Found")</f>
        <v>rubrum</v>
      </c>
      <c r="N961" t="str">
        <f>_xlfn.XLOOKUP(C961,Table2[Species],Table2[Family],"Code Not Found")</f>
        <v>Sapindaceae</v>
      </c>
      <c r="O961" t="str" cm="1">
        <f t="array" ref="O961">_xlfn.IFS(F961="","",F961&lt;=5,"0 to 5",F961&lt;=10,"5.1 to 10",F961&lt;=20,"10 to 20", F961&lt;= 40, "20 to 40", F961 &lt;= 50, "40 to 50", F961 &gt; 50, "&gt;50" )</f>
        <v>20 to 40</v>
      </c>
    </row>
    <row r="962" spans="1:15" ht="14.4" x14ac:dyDescent="0.3">
      <c r="A962" t="s">
        <v>213</v>
      </c>
      <c r="B962" s="1">
        <v>46184</v>
      </c>
      <c r="C962" t="s">
        <v>16</v>
      </c>
      <c r="D962">
        <v>898</v>
      </c>
      <c r="E962">
        <v>1</v>
      </c>
      <c r="F962">
        <v>11.3</v>
      </c>
      <c r="G962" t="s">
        <v>21</v>
      </c>
      <c r="I962" t="str">
        <f t="shared" si="17"/>
        <v>898_1</v>
      </c>
      <c r="J962" t="s">
        <v>214</v>
      </c>
      <c r="K962" t="s">
        <v>19</v>
      </c>
      <c r="L962" t="str">
        <f>_xlfn.XLOOKUP(C962, Table2[Species],Table2[Genus], "Code Not Found")</f>
        <v>Acer</v>
      </c>
      <c r="M962" t="str">
        <f>_xlfn.XLOOKUP(C962, Table2[Species],Table2[Sp. Name], "Code Not Found")</f>
        <v>saccharum</v>
      </c>
      <c r="N962" t="str">
        <f>_xlfn.XLOOKUP(C962,Table2[Species],Table2[Family],"Code Not Found")</f>
        <v>Sapindaceae</v>
      </c>
      <c r="O962" t="str" cm="1">
        <f t="array" ref="O962">_xlfn.IFS(F962="","",F962&lt;=5,"0 to 5",F962&lt;=10,"5.1 to 10",F962&lt;=20,"10 to 20", F962&lt;= 40, "20 to 40", F962 &lt;= 50, "40 to 50", F962 &gt; 50, "&gt;50" )</f>
        <v>10 to 20</v>
      </c>
    </row>
    <row r="963" spans="1:15" ht="14.4" x14ac:dyDescent="0.3">
      <c r="A963" t="s">
        <v>213</v>
      </c>
      <c r="B963" s="1">
        <v>46184</v>
      </c>
      <c r="C963" t="s">
        <v>16</v>
      </c>
      <c r="D963">
        <v>899</v>
      </c>
      <c r="E963">
        <v>1</v>
      </c>
      <c r="F963">
        <v>7.1</v>
      </c>
      <c r="G963" t="s">
        <v>21</v>
      </c>
      <c r="I963" t="str">
        <f t="shared" si="17"/>
        <v>899_1</v>
      </c>
      <c r="J963" t="s">
        <v>214</v>
      </c>
      <c r="K963" t="s">
        <v>19</v>
      </c>
      <c r="L963" t="str">
        <f>_xlfn.XLOOKUP(C963, Table2[Species],Table2[Genus], "Code Not Found")</f>
        <v>Acer</v>
      </c>
      <c r="M963" t="str">
        <f>_xlfn.XLOOKUP(C963, Table2[Species],Table2[Sp. Name], "Code Not Found")</f>
        <v>saccharum</v>
      </c>
      <c r="N963" t="str">
        <f>_xlfn.XLOOKUP(C963,Table2[Species],Table2[Family],"Code Not Found")</f>
        <v>Sapindaceae</v>
      </c>
      <c r="O963" t="str" cm="1">
        <f t="array" ref="O963">_xlfn.IFS(F963="","",F963&lt;=5,"0 to 5",F963&lt;=10,"5.1 to 10",F963&lt;=20,"10 to 20", F963&lt;= 40, "20 to 40", F963 &lt;= 50, "40 to 50", F963 &gt; 50, "&gt;50" )</f>
        <v>5.1 to 10</v>
      </c>
    </row>
    <row r="964" spans="1:15" ht="14.4" x14ac:dyDescent="0.3">
      <c r="A964" t="s">
        <v>213</v>
      </c>
      <c r="B964" s="1">
        <v>46184</v>
      </c>
      <c r="C964" t="s">
        <v>24</v>
      </c>
      <c r="D964">
        <v>900</v>
      </c>
      <c r="E964">
        <v>1</v>
      </c>
      <c r="F964">
        <v>55.4</v>
      </c>
      <c r="G964" t="s">
        <v>21</v>
      </c>
      <c r="I964" t="str">
        <f t="shared" si="17"/>
        <v>900_1</v>
      </c>
      <c r="J964" t="s">
        <v>214</v>
      </c>
      <c r="K964" t="s">
        <v>19</v>
      </c>
      <c r="L964" t="str">
        <f>_xlfn.XLOOKUP(C964, Table2[Species],Table2[Genus], "Code Not Found")</f>
        <v>Lirodendron</v>
      </c>
      <c r="M964" t="str">
        <f>_xlfn.XLOOKUP(C964, Table2[Species],Table2[Sp. Name], "Code Not Found")</f>
        <v>tulipfera</v>
      </c>
      <c r="N964" t="str">
        <f>_xlfn.XLOOKUP(C964,Table2[Species],Table2[Family],"Code Not Found")</f>
        <v>Magnoliaceae</v>
      </c>
      <c r="O964" t="str" cm="1">
        <f t="array" ref="O964">_xlfn.IFS(F964="","",F964&lt;=5,"0 to 5",F964&lt;=10,"5.1 to 10",F964&lt;=20,"10 to 20", F964&lt;= 40, "20 to 40", F964 &lt;= 50, "40 to 50", F964 &gt; 50, "&gt;50" )</f>
        <v>&gt;50</v>
      </c>
    </row>
    <row r="965" spans="1:15" ht="14.4" x14ac:dyDescent="0.3">
      <c r="A965" t="s">
        <v>213</v>
      </c>
      <c r="B965" s="1">
        <v>46184</v>
      </c>
      <c r="C965" t="s">
        <v>16</v>
      </c>
      <c r="D965">
        <v>901</v>
      </c>
      <c r="E965">
        <v>1</v>
      </c>
      <c r="F965">
        <v>3</v>
      </c>
      <c r="G965" t="s">
        <v>34</v>
      </c>
      <c r="H965" t="s">
        <v>224</v>
      </c>
      <c r="I965" t="str">
        <f t="shared" si="17"/>
        <v>901_1</v>
      </c>
      <c r="J965" t="s">
        <v>214</v>
      </c>
      <c r="K965" t="s">
        <v>19</v>
      </c>
      <c r="L965" t="str">
        <f>_xlfn.XLOOKUP(C965, Table2[Species],Table2[Genus], "Code Not Found")</f>
        <v>Acer</v>
      </c>
      <c r="M965" t="str">
        <f>_xlfn.XLOOKUP(C965, Table2[Species],Table2[Sp. Name], "Code Not Found")</f>
        <v>saccharum</v>
      </c>
      <c r="N965" t="str">
        <f>_xlfn.XLOOKUP(C965,Table2[Species],Table2[Family],"Code Not Found")</f>
        <v>Sapindaceae</v>
      </c>
      <c r="O965" t="str" cm="1">
        <f t="array" ref="O965">_xlfn.IFS(F965="","",F965&lt;=5,"0 to 5",F965&lt;=10,"5.1 to 10",F965&lt;=20,"10 to 20", F965&lt;= 40, "20 to 40", F965 &lt;= 50, "40 to 50", F965 &gt; 50, "&gt;50" )</f>
        <v>0 to 5</v>
      </c>
    </row>
    <row r="966" spans="1:15" ht="14.4" x14ac:dyDescent="0.3">
      <c r="A966" t="s">
        <v>213</v>
      </c>
      <c r="B966" s="1">
        <v>46184</v>
      </c>
      <c r="C966" t="s">
        <v>16</v>
      </c>
      <c r="D966">
        <v>901</v>
      </c>
      <c r="E966">
        <v>2</v>
      </c>
      <c r="F966">
        <v>1.7</v>
      </c>
      <c r="G966" t="s">
        <v>34</v>
      </c>
      <c r="I966" t="str">
        <f t="shared" si="17"/>
        <v>901_2</v>
      </c>
      <c r="J966" t="s">
        <v>214</v>
      </c>
      <c r="K966" t="s">
        <v>19</v>
      </c>
      <c r="L966" t="str">
        <f>_xlfn.XLOOKUP(C966, Table2[Species],Table2[Genus], "Code Not Found")</f>
        <v>Acer</v>
      </c>
      <c r="M966" t="str">
        <f>_xlfn.XLOOKUP(C966, Table2[Species],Table2[Sp. Name], "Code Not Found")</f>
        <v>saccharum</v>
      </c>
      <c r="N966" t="str">
        <f>_xlfn.XLOOKUP(C966,Table2[Species],Table2[Family],"Code Not Found")</f>
        <v>Sapindaceae</v>
      </c>
      <c r="O966" t="str" cm="1">
        <f t="array" ref="O966">_xlfn.IFS(F966="","",F966&lt;=5,"0 to 5",F966&lt;=10,"5.1 to 10",F966&lt;=20,"10 to 20", F966&lt;= 40, "20 to 40", F966 &lt;= 50, "40 to 50", F966 &gt; 50, "&gt;50" )</f>
        <v>0 to 5</v>
      </c>
    </row>
    <row r="967" spans="1:15" ht="14.4" x14ac:dyDescent="0.3">
      <c r="A967" t="s">
        <v>213</v>
      </c>
      <c r="B967" s="1">
        <v>46184</v>
      </c>
      <c r="C967" t="s">
        <v>22</v>
      </c>
      <c r="D967">
        <v>902</v>
      </c>
      <c r="E967">
        <v>1</v>
      </c>
      <c r="F967">
        <v>13.7</v>
      </c>
      <c r="G967" t="s">
        <v>21</v>
      </c>
      <c r="I967" t="str">
        <f t="shared" si="17"/>
        <v>902_1</v>
      </c>
      <c r="J967" t="s">
        <v>214</v>
      </c>
      <c r="K967" t="s">
        <v>19</v>
      </c>
      <c r="L967" t="str">
        <f>_xlfn.XLOOKUP(C967, Table2[Species],Table2[Genus], "Code Not Found")</f>
        <v>Acer</v>
      </c>
      <c r="M967" t="str">
        <f>_xlfn.XLOOKUP(C967, Table2[Species],Table2[Sp. Name], "Code Not Found")</f>
        <v>rubrum</v>
      </c>
      <c r="N967" t="str">
        <f>_xlfn.XLOOKUP(C967,Table2[Species],Table2[Family],"Code Not Found")</f>
        <v>Sapindaceae</v>
      </c>
      <c r="O967" t="str" cm="1">
        <f t="array" ref="O967">_xlfn.IFS(F967="","",F967&lt;=5,"0 to 5",F967&lt;=10,"5.1 to 10",F967&lt;=20,"10 to 20", F967&lt;= 40, "20 to 40", F967 &lt;= 50, "40 to 50", F967 &gt; 50, "&gt;50" )</f>
        <v>10 to 20</v>
      </c>
    </row>
    <row r="968" spans="1:15" ht="14.4" x14ac:dyDescent="0.3">
      <c r="A968" t="s">
        <v>213</v>
      </c>
      <c r="B968" s="1">
        <v>46184</v>
      </c>
      <c r="C968" t="s">
        <v>22</v>
      </c>
      <c r="D968">
        <v>903</v>
      </c>
      <c r="E968">
        <v>1</v>
      </c>
      <c r="F968">
        <v>16</v>
      </c>
      <c r="G968" t="s">
        <v>21</v>
      </c>
      <c r="I968" t="str">
        <f t="shared" si="17"/>
        <v>903_1</v>
      </c>
      <c r="J968" t="s">
        <v>214</v>
      </c>
      <c r="K968" t="s">
        <v>19</v>
      </c>
      <c r="L968" t="str">
        <f>_xlfn.XLOOKUP(C968, Table2[Species],Table2[Genus], "Code Not Found")</f>
        <v>Acer</v>
      </c>
      <c r="M968" t="str">
        <f>_xlfn.XLOOKUP(C968, Table2[Species],Table2[Sp. Name], "Code Not Found")</f>
        <v>rubrum</v>
      </c>
      <c r="N968" t="str">
        <f>_xlfn.XLOOKUP(C968,Table2[Species],Table2[Family],"Code Not Found")</f>
        <v>Sapindaceae</v>
      </c>
      <c r="O968" t="str" cm="1">
        <f t="array" ref="O968">_xlfn.IFS(F968="","",F968&lt;=5,"0 to 5",F968&lt;=10,"5.1 to 10",F968&lt;=20,"10 to 20", F968&lt;= 40, "20 to 40", F968 &lt;= 50, "40 to 50", F968 &gt; 50, "&gt;50" )</f>
        <v>10 to 20</v>
      </c>
    </row>
    <row r="969" spans="1:15" ht="14.4" x14ac:dyDescent="0.3">
      <c r="A969" t="s">
        <v>213</v>
      </c>
      <c r="B969" s="1">
        <v>46184</v>
      </c>
      <c r="C969" t="s">
        <v>123</v>
      </c>
      <c r="D969">
        <v>904</v>
      </c>
      <c r="E969">
        <v>1</v>
      </c>
      <c r="F969">
        <v>36.4</v>
      </c>
      <c r="I969" t="str">
        <f t="shared" si="17"/>
        <v>904_1</v>
      </c>
      <c r="J969" t="s">
        <v>214</v>
      </c>
      <c r="K969" t="s">
        <v>19</v>
      </c>
      <c r="L969" t="str">
        <f>_xlfn.XLOOKUP(C969, Table2[Species],Table2[Genus], "Code Not Found")</f>
        <v>Quercus</v>
      </c>
      <c r="M969" t="str">
        <f>_xlfn.XLOOKUP(C969, Table2[Species],Table2[Sp. Name], "Code Not Found")</f>
        <v>rubra</v>
      </c>
      <c r="N969" t="str">
        <f>_xlfn.XLOOKUP(C969,Table2[Species],Table2[Family],"Code Not Found")</f>
        <v>Fagaceae</v>
      </c>
      <c r="O969" t="str" cm="1">
        <f t="array" ref="O969">_xlfn.IFS(F969="","",F969&lt;=5,"0 to 5",F969&lt;=10,"5.1 to 10",F969&lt;=20,"10 to 20", F969&lt;= 40, "20 to 40", F969 &lt;= 50, "40 to 50", F969 &gt; 50, "&gt;50" )</f>
        <v>20 to 40</v>
      </c>
    </row>
    <row r="970" spans="1:15" ht="14.4" x14ac:dyDescent="0.3">
      <c r="A970" t="s">
        <v>213</v>
      </c>
      <c r="B970" s="1">
        <v>46184</v>
      </c>
      <c r="C970" t="s">
        <v>22</v>
      </c>
      <c r="D970">
        <v>905</v>
      </c>
      <c r="E970">
        <v>1</v>
      </c>
      <c r="F970">
        <v>9.1999999999999993</v>
      </c>
      <c r="I970" t="str">
        <f t="shared" si="17"/>
        <v>905_1</v>
      </c>
      <c r="J970" t="s">
        <v>214</v>
      </c>
      <c r="K970" t="s">
        <v>19</v>
      </c>
      <c r="L970" t="str">
        <f>_xlfn.XLOOKUP(C970, Table2[Species],Table2[Genus], "Code Not Found")</f>
        <v>Acer</v>
      </c>
      <c r="M970" t="str">
        <f>_xlfn.XLOOKUP(C970, Table2[Species],Table2[Sp. Name], "Code Not Found")</f>
        <v>rubrum</v>
      </c>
      <c r="N970" t="str">
        <f>_xlfn.XLOOKUP(C970,Table2[Species],Table2[Family],"Code Not Found")</f>
        <v>Sapindaceae</v>
      </c>
      <c r="O970" t="str" cm="1">
        <f t="array" ref="O970">_xlfn.IFS(F970="","",F970&lt;=5,"0 to 5",F970&lt;=10,"5.1 to 10",F970&lt;=20,"10 to 20", F970&lt;= 40, "20 to 40", F970 &lt;= 50, "40 to 50", F970 &gt; 50, "&gt;50" )</f>
        <v>5.1 to 10</v>
      </c>
    </row>
    <row r="971" spans="1:15" ht="14.4" x14ac:dyDescent="0.3">
      <c r="A971" t="s">
        <v>213</v>
      </c>
      <c r="B971" s="1">
        <v>46184</v>
      </c>
      <c r="C971" t="s">
        <v>22</v>
      </c>
      <c r="D971">
        <v>906</v>
      </c>
      <c r="E971">
        <v>1</v>
      </c>
      <c r="F971">
        <v>12.8</v>
      </c>
      <c r="I971" t="str">
        <f t="shared" si="17"/>
        <v>906_1</v>
      </c>
      <c r="J971" t="s">
        <v>214</v>
      </c>
      <c r="K971" t="s">
        <v>19</v>
      </c>
      <c r="L971" t="str">
        <f>_xlfn.XLOOKUP(C971, Table2[Species],Table2[Genus], "Code Not Found")</f>
        <v>Acer</v>
      </c>
      <c r="M971" t="str">
        <f>_xlfn.XLOOKUP(C971, Table2[Species],Table2[Sp. Name], "Code Not Found")</f>
        <v>rubrum</v>
      </c>
      <c r="N971" t="str">
        <f>_xlfn.XLOOKUP(C971,Table2[Species],Table2[Family],"Code Not Found")</f>
        <v>Sapindaceae</v>
      </c>
      <c r="O971" t="str" cm="1">
        <f t="array" ref="O971">_xlfn.IFS(F971="","",F971&lt;=5,"0 to 5",F971&lt;=10,"5.1 to 10",F971&lt;=20,"10 to 20", F971&lt;= 40, "20 to 40", F971 &lt;= 50, "40 to 50", F971 &gt; 50, "&gt;50" )</f>
        <v>10 to 20</v>
      </c>
    </row>
    <row r="972" spans="1:15" ht="14.4" x14ac:dyDescent="0.3">
      <c r="A972" t="s">
        <v>213</v>
      </c>
      <c r="B972" s="1">
        <v>46184</v>
      </c>
      <c r="C972" t="s">
        <v>16</v>
      </c>
      <c r="D972">
        <v>907</v>
      </c>
      <c r="E972">
        <v>1</v>
      </c>
      <c r="F972">
        <v>2.8</v>
      </c>
      <c r="G972" t="s">
        <v>17</v>
      </c>
      <c r="I972" t="str">
        <f t="shared" si="17"/>
        <v>907_1</v>
      </c>
      <c r="J972" t="s">
        <v>214</v>
      </c>
      <c r="K972" t="s">
        <v>19</v>
      </c>
      <c r="L972" t="str">
        <f>_xlfn.XLOOKUP(C972, Table2[Species],Table2[Genus], "Code Not Found")</f>
        <v>Acer</v>
      </c>
      <c r="M972" t="str">
        <f>_xlfn.XLOOKUP(C972, Table2[Species],Table2[Sp. Name], "Code Not Found")</f>
        <v>saccharum</v>
      </c>
      <c r="N972" t="str">
        <f>_xlfn.XLOOKUP(C972,Table2[Species],Table2[Family],"Code Not Found")</f>
        <v>Sapindaceae</v>
      </c>
      <c r="O972" t="str" cm="1">
        <f t="array" ref="O972">_xlfn.IFS(F972="","",F972&lt;=5,"0 to 5",F972&lt;=10,"5.1 to 10",F972&lt;=20,"10 to 20", F972&lt;= 40, "20 to 40", F972 &lt;= 50, "40 to 50", F972 &gt; 50, "&gt;50" )</f>
        <v>0 to 5</v>
      </c>
    </row>
    <row r="973" spans="1:15" ht="14.4" x14ac:dyDescent="0.3">
      <c r="A973" t="s">
        <v>213</v>
      </c>
      <c r="B973" s="1">
        <v>46184</v>
      </c>
      <c r="C973" t="s">
        <v>24</v>
      </c>
      <c r="D973">
        <v>908</v>
      </c>
      <c r="E973">
        <v>1</v>
      </c>
      <c r="F973">
        <v>69.400000000000006</v>
      </c>
      <c r="I973" t="str">
        <f t="shared" si="17"/>
        <v>908_1</v>
      </c>
      <c r="J973" t="s">
        <v>214</v>
      </c>
      <c r="K973" t="s">
        <v>19</v>
      </c>
      <c r="L973" t="str">
        <f>_xlfn.XLOOKUP(C973, Table2[Species],Table2[Genus], "Code Not Found")</f>
        <v>Lirodendron</v>
      </c>
      <c r="M973" t="str">
        <f>_xlfn.XLOOKUP(C973, Table2[Species],Table2[Sp. Name], "Code Not Found")</f>
        <v>tulipfera</v>
      </c>
      <c r="N973" t="str">
        <f>_xlfn.XLOOKUP(C973,Table2[Species],Table2[Family],"Code Not Found")</f>
        <v>Magnoliaceae</v>
      </c>
      <c r="O973" t="str" cm="1">
        <f t="array" ref="O973">_xlfn.IFS(F973="","",F973&lt;=5,"0 to 5",F973&lt;=10,"5.1 to 10",F973&lt;=20,"10 to 20", F973&lt;= 40, "20 to 40", F973 &lt;= 50, "40 to 50", F973 &gt; 50, "&gt;50" )</f>
        <v>&gt;50</v>
      </c>
    </row>
    <row r="974" spans="1:15" ht="14.4" x14ac:dyDescent="0.3">
      <c r="A974" t="s">
        <v>213</v>
      </c>
      <c r="B974" s="1">
        <v>46184</v>
      </c>
      <c r="C974" t="s">
        <v>16</v>
      </c>
      <c r="D974">
        <v>909</v>
      </c>
      <c r="E974">
        <v>1</v>
      </c>
      <c r="F974">
        <v>2.9</v>
      </c>
      <c r="I974" t="str">
        <f t="shared" si="17"/>
        <v>909_1</v>
      </c>
      <c r="J974" t="s">
        <v>214</v>
      </c>
      <c r="K974" t="s">
        <v>19</v>
      </c>
      <c r="L974" t="str">
        <f>_xlfn.XLOOKUP(C974, Table2[Species],Table2[Genus], "Code Not Found")</f>
        <v>Acer</v>
      </c>
      <c r="M974" t="str">
        <f>_xlfn.XLOOKUP(C974, Table2[Species],Table2[Sp. Name], "Code Not Found")</f>
        <v>saccharum</v>
      </c>
      <c r="N974" t="str">
        <f>_xlfn.XLOOKUP(C974,Table2[Species],Table2[Family],"Code Not Found")</f>
        <v>Sapindaceae</v>
      </c>
      <c r="O974" t="str" cm="1">
        <f t="array" ref="O974">_xlfn.IFS(F974="","",F974&lt;=5,"0 to 5",F974&lt;=10,"5.1 to 10",F974&lt;=20,"10 to 20", F974&lt;= 40, "20 to 40", F974 &lt;= 50, "40 to 50", F974 &gt; 50, "&gt;50" )</f>
        <v>0 to 5</v>
      </c>
    </row>
    <row r="975" spans="1:15" ht="14.4" x14ac:dyDescent="0.3">
      <c r="A975" t="s">
        <v>213</v>
      </c>
      <c r="B975" s="1">
        <v>46184</v>
      </c>
      <c r="C975" t="s">
        <v>22</v>
      </c>
      <c r="D975">
        <v>910</v>
      </c>
      <c r="E975">
        <v>1</v>
      </c>
      <c r="F975">
        <v>5.9</v>
      </c>
      <c r="I975" t="str">
        <f t="shared" si="17"/>
        <v>910_1</v>
      </c>
      <c r="J975" t="s">
        <v>214</v>
      </c>
      <c r="K975" t="s">
        <v>19</v>
      </c>
      <c r="L975" t="str">
        <f>_xlfn.XLOOKUP(C975, Table2[Species],Table2[Genus], "Code Not Found")</f>
        <v>Acer</v>
      </c>
      <c r="M975" t="str">
        <f>_xlfn.XLOOKUP(C975, Table2[Species],Table2[Sp. Name], "Code Not Found")</f>
        <v>rubrum</v>
      </c>
      <c r="N975" t="str">
        <f>_xlfn.XLOOKUP(C975,Table2[Species],Table2[Family],"Code Not Found")</f>
        <v>Sapindaceae</v>
      </c>
      <c r="O975" t="str" cm="1">
        <f t="array" ref="O975">_xlfn.IFS(F975="","",F975&lt;=5,"0 to 5",F975&lt;=10,"5.1 to 10",F975&lt;=20,"10 to 20", F975&lt;= 40, "20 to 40", F975 &lt;= 50, "40 to 50", F975 &gt; 50, "&gt;50" )</f>
        <v>5.1 to 10</v>
      </c>
    </row>
    <row r="976" spans="1:15" ht="14.4" x14ac:dyDescent="0.3">
      <c r="A976" t="s">
        <v>213</v>
      </c>
      <c r="B976" s="1">
        <v>46184</v>
      </c>
      <c r="C976" t="s">
        <v>22</v>
      </c>
      <c r="D976">
        <v>911</v>
      </c>
      <c r="E976">
        <v>1</v>
      </c>
      <c r="F976">
        <v>16.2</v>
      </c>
      <c r="I976" t="str">
        <f t="shared" si="17"/>
        <v>911_1</v>
      </c>
      <c r="J976" t="s">
        <v>214</v>
      </c>
      <c r="K976" t="s">
        <v>19</v>
      </c>
      <c r="L976" t="str">
        <f>_xlfn.XLOOKUP(C976, Table2[Species],Table2[Genus], "Code Not Found")</f>
        <v>Acer</v>
      </c>
      <c r="M976" t="str">
        <f>_xlfn.XLOOKUP(C976, Table2[Species],Table2[Sp. Name], "Code Not Found")</f>
        <v>rubrum</v>
      </c>
      <c r="N976" t="str">
        <f>_xlfn.XLOOKUP(C976,Table2[Species],Table2[Family],"Code Not Found")</f>
        <v>Sapindaceae</v>
      </c>
      <c r="O976" t="str" cm="1">
        <f t="array" ref="O976">_xlfn.IFS(F976="","",F976&lt;=5,"0 to 5",F976&lt;=10,"5.1 to 10",F976&lt;=20,"10 to 20", F976&lt;= 40, "20 to 40", F976 &lt;= 50, "40 to 50", F976 &gt; 50, "&gt;50" )</f>
        <v>10 to 20</v>
      </c>
    </row>
    <row r="977" spans="1:15" ht="14.4" x14ac:dyDescent="0.3">
      <c r="A977" t="s">
        <v>213</v>
      </c>
      <c r="B977" s="1">
        <v>46184</v>
      </c>
      <c r="C977" t="s">
        <v>16</v>
      </c>
      <c r="D977">
        <v>912</v>
      </c>
      <c r="E977">
        <v>1</v>
      </c>
      <c r="F977">
        <v>4.0999999999999996</v>
      </c>
      <c r="G977" t="s">
        <v>225</v>
      </c>
      <c r="H977" t="s">
        <v>226</v>
      </c>
      <c r="I977" t="str">
        <f t="shared" si="17"/>
        <v>912_1</v>
      </c>
      <c r="J977" t="s">
        <v>214</v>
      </c>
      <c r="K977" t="s">
        <v>19</v>
      </c>
      <c r="L977" t="str">
        <f>_xlfn.XLOOKUP(C977, Table2[Species],Table2[Genus], "Code Not Found")</f>
        <v>Acer</v>
      </c>
      <c r="M977" t="str">
        <f>_xlfn.XLOOKUP(C977, Table2[Species],Table2[Sp. Name], "Code Not Found")</f>
        <v>saccharum</v>
      </c>
      <c r="N977" t="str">
        <f>_xlfn.XLOOKUP(C977,Table2[Species],Table2[Family],"Code Not Found")</f>
        <v>Sapindaceae</v>
      </c>
      <c r="O977" t="str" cm="1">
        <f t="array" ref="O977">_xlfn.IFS(F977="","",F977&lt;=5,"0 to 5",F977&lt;=10,"5.1 to 10",F977&lt;=20,"10 to 20", F977&lt;= 40, "20 to 40", F977 &lt;= 50, "40 to 50", F977 &gt; 50, "&gt;50" )</f>
        <v>0 to 5</v>
      </c>
    </row>
    <row r="978" spans="1:15" ht="14.4" x14ac:dyDescent="0.3">
      <c r="A978" t="s">
        <v>213</v>
      </c>
      <c r="B978" s="1">
        <v>46184</v>
      </c>
      <c r="C978" t="s">
        <v>16</v>
      </c>
      <c r="D978">
        <v>913</v>
      </c>
      <c r="E978">
        <v>1</v>
      </c>
      <c r="F978">
        <v>2.6</v>
      </c>
      <c r="G978" t="s">
        <v>34</v>
      </c>
      <c r="I978" t="str">
        <f t="shared" si="17"/>
        <v>913_1</v>
      </c>
      <c r="J978" t="s">
        <v>214</v>
      </c>
      <c r="K978" t="s">
        <v>19</v>
      </c>
      <c r="L978" t="str">
        <f>_xlfn.XLOOKUP(C978, Table2[Species],Table2[Genus], "Code Not Found")</f>
        <v>Acer</v>
      </c>
      <c r="M978" t="str">
        <f>_xlfn.XLOOKUP(C978, Table2[Species],Table2[Sp. Name], "Code Not Found")</f>
        <v>saccharum</v>
      </c>
      <c r="N978" t="str">
        <f>_xlfn.XLOOKUP(C978,Table2[Species],Table2[Family],"Code Not Found")</f>
        <v>Sapindaceae</v>
      </c>
      <c r="O978" t="str" cm="1">
        <f t="array" ref="O978">_xlfn.IFS(F978="","",F978&lt;=5,"0 to 5",F978&lt;=10,"5.1 to 10",F978&lt;=20,"10 to 20", F978&lt;= 40, "20 to 40", F978 &lt;= 50, "40 to 50", F978 &gt; 50, "&gt;50" )</f>
        <v>0 to 5</v>
      </c>
    </row>
    <row r="979" spans="1:15" ht="14.4" x14ac:dyDescent="0.3">
      <c r="A979" t="s">
        <v>213</v>
      </c>
      <c r="B979" s="1">
        <v>46184</v>
      </c>
      <c r="C979" t="s">
        <v>16</v>
      </c>
      <c r="D979">
        <v>913</v>
      </c>
      <c r="E979">
        <v>2</v>
      </c>
      <c r="F979">
        <v>2.2000000000000002</v>
      </c>
      <c r="G979" t="s">
        <v>34</v>
      </c>
      <c r="I979" t="str">
        <f t="shared" si="17"/>
        <v>913_2</v>
      </c>
      <c r="J979" t="s">
        <v>214</v>
      </c>
      <c r="K979" t="s">
        <v>19</v>
      </c>
      <c r="L979" t="str">
        <f>_xlfn.XLOOKUP(C979, Table2[Species],Table2[Genus], "Code Not Found")</f>
        <v>Acer</v>
      </c>
      <c r="M979" t="str">
        <f>_xlfn.XLOOKUP(C979, Table2[Species],Table2[Sp. Name], "Code Not Found")</f>
        <v>saccharum</v>
      </c>
      <c r="N979" t="str">
        <f>_xlfn.XLOOKUP(C979,Table2[Species],Table2[Family],"Code Not Found")</f>
        <v>Sapindaceae</v>
      </c>
      <c r="O979" t="str" cm="1">
        <f t="array" ref="O979">_xlfn.IFS(F979="","",F979&lt;=5,"0 to 5",F979&lt;=10,"5.1 to 10",F979&lt;=20,"10 to 20", F979&lt;= 40, "20 to 40", F979 &lt;= 50, "40 to 50", F979 &gt; 50, "&gt;50" )</f>
        <v>0 to 5</v>
      </c>
    </row>
    <row r="980" spans="1:15" ht="14.4" x14ac:dyDescent="0.3">
      <c r="A980" t="s">
        <v>213</v>
      </c>
      <c r="B980" s="1">
        <v>46184</v>
      </c>
      <c r="C980" t="s">
        <v>64</v>
      </c>
      <c r="D980">
        <v>914</v>
      </c>
      <c r="E980">
        <v>1</v>
      </c>
      <c r="F980">
        <v>3</v>
      </c>
      <c r="G980" t="s">
        <v>47</v>
      </c>
      <c r="H980" t="s">
        <v>43</v>
      </c>
      <c r="I980" t="str">
        <f t="shared" si="17"/>
        <v>914_1</v>
      </c>
      <c r="J980" t="s">
        <v>214</v>
      </c>
      <c r="K980" t="s">
        <v>19</v>
      </c>
      <c r="L980" t="str">
        <f>_xlfn.XLOOKUP(C980, Table2[Species],Table2[Genus], "Code Not Found")</f>
        <v>Fagus</v>
      </c>
      <c r="M980" t="str">
        <f>_xlfn.XLOOKUP(C980, Table2[Species],Table2[Sp. Name], "Code Not Found")</f>
        <v>grandifolia</v>
      </c>
      <c r="N980" t="str">
        <f>_xlfn.XLOOKUP(C980,Table2[Species],Table2[Family],"Code Not Found")</f>
        <v>Fagaceae</v>
      </c>
      <c r="O980" t="str" cm="1">
        <f t="array" ref="O980">_xlfn.IFS(F980="","",F980&lt;=5,"0 to 5",F980&lt;=10,"5.1 to 10",F980&lt;=20,"10 to 20", F980&lt;= 40, "20 to 40", F980 &lt;= 50, "40 to 50", F980 &gt; 50, "&gt;50" )</f>
        <v>0 to 5</v>
      </c>
    </row>
    <row r="981" spans="1:15" ht="14.4" x14ac:dyDescent="0.3">
      <c r="A981" t="s">
        <v>213</v>
      </c>
      <c r="B981" s="1">
        <v>46184</v>
      </c>
      <c r="C981" t="s">
        <v>22</v>
      </c>
      <c r="D981">
        <v>915</v>
      </c>
      <c r="E981">
        <v>1</v>
      </c>
      <c r="F981">
        <v>28</v>
      </c>
      <c r="G981" t="s">
        <v>56</v>
      </c>
      <c r="I981" t="str">
        <f t="shared" si="17"/>
        <v>915_1</v>
      </c>
      <c r="J981" t="s">
        <v>214</v>
      </c>
      <c r="K981" t="s">
        <v>19</v>
      </c>
      <c r="L981" t="str">
        <f>_xlfn.XLOOKUP(C981, Table2[Species],Table2[Genus], "Code Not Found")</f>
        <v>Acer</v>
      </c>
      <c r="M981" t="str">
        <f>_xlfn.XLOOKUP(C981, Table2[Species],Table2[Sp. Name], "Code Not Found")</f>
        <v>rubrum</v>
      </c>
      <c r="N981" t="str">
        <f>_xlfn.XLOOKUP(C981,Table2[Species],Table2[Family],"Code Not Found")</f>
        <v>Sapindaceae</v>
      </c>
      <c r="O981" t="str" cm="1">
        <f t="array" ref="O981">_xlfn.IFS(F981="","",F981&lt;=5,"0 to 5",F981&lt;=10,"5.1 to 10",F981&lt;=20,"10 to 20", F981&lt;= 40, "20 to 40", F981 &lt;= 50, "40 to 50", F981 &gt; 50, "&gt;50" )</f>
        <v>20 to 40</v>
      </c>
    </row>
    <row r="982" spans="1:15" ht="14.4" x14ac:dyDescent="0.3">
      <c r="A982" t="s">
        <v>213</v>
      </c>
      <c r="B982" s="1">
        <v>46184</v>
      </c>
      <c r="C982" t="s">
        <v>64</v>
      </c>
      <c r="D982">
        <v>916</v>
      </c>
      <c r="E982">
        <v>1</v>
      </c>
      <c r="F982">
        <v>1.3</v>
      </c>
      <c r="G982" t="s">
        <v>17</v>
      </c>
      <c r="H982" t="s">
        <v>227</v>
      </c>
      <c r="I982" t="str">
        <f t="shared" si="17"/>
        <v>916_1</v>
      </c>
      <c r="J982" t="s">
        <v>214</v>
      </c>
      <c r="K982" t="s">
        <v>19</v>
      </c>
      <c r="L982" t="str">
        <f>_xlfn.XLOOKUP(C982, Table2[Species],Table2[Genus], "Code Not Found")</f>
        <v>Fagus</v>
      </c>
      <c r="M982" t="str">
        <f>_xlfn.XLOOKUP(C982, Table2[Species],Table2[Sp. Name], "Code Not Found")</f>
        <v>grandifolia</v>
      </c>
      <c r="N982" t="str">
        <f>_xlfn.XLOOKUP(C982,Table2[Species],Table2[Family],"Code Not Found")</f>
        <v>Fagaceae</v>
      </c>
      <c r="O982" t="str" cm="1">
        <f t="array" ref="O982">_xlfn.IFS(F982="","",F982&lt;=5,"0 to 5",F982&lt;=10,"5.1 to 10",F982&lt;=20,"10 to 20", F982&lt;= 40, "20 to 40", F982 &lt;= 50, "40 to 50", F982 &gt; 50, "&gt;50" )</f>
        <v>0 to 5</v>
      </c>
    </row>
    <row r="983" spans="1:15" ht="14.4" x14ac:dyDescent="0.3">
      <c r="A983" t="s">
        <v>213</v>
      </c>
      <c r="B983" s="1">
        <v>46184</v>
      </c>
      <c r="C983" t="s">
        <v>64</v>
      </c>
      <c r="D983">
        <v>917</v>
      </c>
      <c r="E983">
        <v>1</v>
      </c>
      <c r="F983">
        <v>2</v>
      </c>
      <c r="G983" t="s">
        <v>32</v>
      </c>
      <c r="I983" t="str">
        <f t="shared" si="17"/>
        <v>917_1</v>
      </c>
      <c r="J983" t="s">
        <v>214</v>
      </c>
      <c r="K983" t="s">
        <v>19</v>
      </c>
      <c r="L983" t="str">
        <f>_xlfn.XLOOKUP(C983, Table2[Species],Table2[Genus], "Code Not Found")</f>
        <v>Fagus</v>
      </c>
      <c r="M983" t="str">
        <f>_xlfn.XLOOKUP(C983, Table2[Species],Table2[Sp. Name], "Code Not Found")</f>
        <v>grandifolia</v>
      </c>
      <c r="N983" t="str">
        <f>_xlfn.XLOOKUP(C983,Table2[Species],Table2[Family],"Code Not Found")</f>
        <v>Fagaceae</v>
      </c>
      <c r="O983" t="str" cm="1">
        <f t="array" ref="O983">_xlfn.IFS(F983="","",F983&lt;=5,"0 to 5",F983&lt;=10,"5.1 to 10",F983&lt;=20,"10 to 20", F983&lt;= 40, "20 to 40", F983 &lt;= 50, "40 to 50", F983 &gt; 50, "&gt;50" )</f>
        <v>0 to 5</v>
      </c>
    </row>
    <row r="984" spans="1:15" ht="14.4" x14ac:dyDescent="0.3">
      <c r="A984" t="s">
        <v>213</v>
      </c>
      <c r="B984" s="1">
        <v>46184</v>
      </c>
      <c r="C984" t="s">
        <v>64</v>
      </c>
      <c r="D984">
        <v>917</v>
      </c>
      <c r="E984">
        <v>2</v>
      </c>
      <c r="F984">
        <v>1</v>
      </c>
      <c r="G984" t="s">
        <v>32</v>
      </c>
      <c r="I984" t="str">
        <f t="shared" si="17"/>
        <v>917_2</v>
      </c>
      <c r="J984" t="s">
        <v>214</v>
      </c>
      <c r="K984" t="s">
        <v>19</v>
      </c>
      <c r="L984" t="str">
        <f>_xlfn.XLOOKUP(C984, Table2[Species],Table2[Genus], "Code Not Found")</f>
        <v>Fagus</v>
      </c>
      <c r="M984" t="str">
        <f>_xlfn.XLOOKUP(C984, Table2[Species],Table2[Sp. Name], "Code Not Found")</f>
        <v>grandifolia</v>
      </c>
      <c r="N984" t="str">
        <f>_xlfn.XLOOKUP(C984,Table2[Species],Table2[Family],"Code Not Found")</f>
        <v>Fagaceae</v>
      </c>
      <c r="O984" t="str" cm="1">
        <f t="array" ref="O984">_xlfn.IFS(F984="","",F984&lt;=5,"0 to 5",F984&lt;=10,"5.1 to 10",F984&lt;=20,"10 to 20", F984&lt;= 40, "20 to 40", F984 &lt;= 50, "40 to 50", F984 &gt; 50, "&gt;50" )</f>
        <v>0 to 5</v>
      </c>
    </row>
    <row r="985" spans="1:15" ht="14.4" x14ac:dyDescent="0.3">
      <c r="A985" t="s">
        <v>213</v>
      </c>
      <c r="B985" s="1">
        <v>46189</v>
      </c>
      <c r="C985" t="s">
        <v>22</v>
      </c>
      <c r="D985">
        <v>918</v>
      </c>
      <c r="E985">
        <v>1</v>
      </c>
      <c r="F985">
        <v>6.9</v>
      </c>
      <c r="G985" t="s">
        <v>94</v>
      </c>
      <c r="H985" t="s">
        <v>133</v>
      </c>
      <c r="I985" t="str">
        <f t="shared" si="17"/>
        <v>918_1</v>
      </c>
      <c r="J985" t="s">
        <v>214</v>
      </c>
      <c r="K985" t="s">
        <v>19</v>
      </c>
      <c r="L985" t="str">
        <f>_xlfn.XLOOKUP(C985, Table2[Species],Table2[Genus], "Code Not Found")</f>
        <v>Acer</v>
      </c>
      <c r="M985" t="str">
        <f>_xlfn.XLOOKUP(C985, Table2[Species],Table2[Sp. Name], "Code Not Found")</f>
        <v>rubrum</v>
      </c>
      <c r="N985" t="str">
        <f>_xlfn.XLOOKUP(C985,Table2[Species],Table2[Family],"Code Not Found")</f>
        <v>Sapindaceae</v>
      </c>
      <c r="O985" t="str" cm="1">
        <f t="array" ref="O985">_xlfn.IFS(F985="","",F985&lt;=5,"0 to 5",F985&lt;=10,"5.1 to 10",F985&lt;=20,"10 to 20", F985&lt;= 40, "20 to 40", F985 &lt;= 50, "40 to 50", F985 &gt; 50, "&gt;50" )</f>
        <v>5.1 to 10</v>
      </c>
    </row>
    <row r="986" spans="1:15" ht="14.4" x14ac:dyDescent="0.3">
      <c r="A986" t="s">
        <v>213</v>
      </c>
      <c r="B986" s="1">
        <v>46189</v>
      </c>
      <c r="C986" t="s">
        <v>16</v>
      </c>
      <c r="D986">
        <v>919</v>
      </c>
      <c r="E986">
        <v>1</v>
      </c>
      <c r="F986">
        <v>3.7</v>
      </c>
      <c r="G986" t="s">
        <v>30</v>
      </c>
      <c r="H986" t="s">
        <v>99</v>
      </c>
      <c r="I986" t="str">
        <f t="shared" si="17"/>
        <v>919_1</v>
      </c>
      <c r="J986" t="s">
        <v>214</v>
      </c>
      <c r="K986" t="s">
        <v>19</v>
      </c>
      <c r="L986" t="str">
        <f>_xlfn.XLOOKUP(C986, Table2[Species],Table2[Genus], "Code Not Found")</f>
        <v>Acer</v>
      </c>
      <c r="M986" t="str">
        <f>_xlfn.XLOOKUP(C986, Table2[Species],Table2[Sp. Name], "Code Not Found")</f>
        <v>saccharum</v>
      </c>
      <c r="N986" t="str">
        <f>_xlfn.XLOOKUP(C986,Table2[Species],Table2[Family],"Code Not Found")</f>
        <v>Sapindaceae</v>
      </c>
      <c r="O986" t="str" cm="1">
        <f t="array" ref="O986">_xlfn.IFS(F986="","",F986&lt;=5,"0 to 5",F986&lt;=10,"5.1 to 10",F986&lt;=20,"10 to 20", F986&lt;= 40, "20 to 40", F986 &lt;= 50, "40 to 50", F986 &gt; 50, "&gt;50" )</f>
        <v>0 to 5</v>
      </c>
    </row>
    <row r="987" spans="1:15" ht="14.4" x14ac:dyDescent="0.3">
      <c r="A987" t="s">
        <v>213</v>
      </c>
      <c r="B987" s="1">
        <v>46189</v>
      </c>
      <c r="C987" t="s">
        <v>22</v>
      </c>
      <c r="D987">
        <v>920</v>
      </c>
      <c r="E987">
        <v>1</v>
      </c>
      <c r="F987">
        <v>27.5</v>
      </c>
      <c r="G987" t="s">
        <v>17</v>
      </c>
      <c r="H987" t="s">
        <v>36</v>
      </c>
      <c r="I987" t="str">
        <f t="shared" si="17"/>
        <v>920_1</v>
      </c>
      <c r="J987" t="s">
        <v>214</v>
      </c>
      <c r="K987" t="s">
        <v>19</v>
      </c>
      <c r="L987" t="str">
        <f>_xlfn.XLOOKUP(C987, Table2[Species],Table2[Genus], "Code Not Found")</f>
        <v>Acer</v>
      </c>
      <c r="M987" t="str">
        <f>_xlfn.XLOOKUP(C987, Table2[Species],Table2[Sp. Name], "Code Not Found")</f>
        <v>rubrum</v>
      </c>
      <c r="N987" t="str">
        <f>_xlfn.XLOOKUP(C987,Table2[Species],Table2[Family],"Code Not Found")</f>
        <v>Sapindaceae</v>
      </c>
      <c r="O987" t="str" cm="1">
        <f t="array" ref="O987">_xlfn.IFS(F987="","",F987&lt;=5,"0 to 5",F987&lt;=10,"5.1 to 10",F987&lt;=20,"10 to 20", F987&lt;= 40, "20 to 40", F987 &lt;= 50, "40 to 50", F987 &gt; 50, "&gt;50" )</f>
        <v>20 to 40</v>
      </c>
    </row>
    <row r="988" spans="1:15" ht="14.4" x14ac:dyDescent="0.3">
      <c r="A988" t="s">
        <v>213</v>
      </c>
      <c r="B988" s="1">
        <v>46189</v>
      </c>
      <c r="C988" t="s">
        <v>24</v>
      </c>
      <c r="D988">
        <v>921</v>
      </c>
      <c r="E988">
        <v>1</v>
      </c>
      <c r="F988">
        <v>44.5</v>
      </c>
      <c r="G988" t="s">
        <v>21</v>
      </c>
      <c r="I988" t="str">
        <f t="shared" si="17"/>
        <v>921_1</v>
      </c>
      <c r="J988" t="s">
        <v>214</v>
      </c>
      <c r="K988" t="s">
        <v>19</v>
      </c>
      <c r="L988" t="str">
        <f>_xlfn.XLOOKUP(C988, Table2[Species],Table2[Genus], "Code Not Found")</f>
        <v>Lirodendron</v>
      </c>
      <c r="M988" t="str">
        <f>_xlfn.XLOOKUP(C988, Table2[Species],Table2[Sp. Name], "Code Not Found")</f>
        <v>tulipfera</v>
      </c>
      <c r="N988" t="str">
        <f>_xlfn.XLOOKUP(C988,Table2[Species],Table2[Family],"Code Not Found")</f>
        <v>Magnoliaceae</v>
      </c>
      <c r="O988" t="str" cm="1">
        <f t="array" ref="O988">_xlfn.IFS(F988="","",F988&lt;=5,"0 to 5",F988&lt;=10,"5.1 to 10",F988&lt;=20,"10 to 20", F988&lt;= 40, "20 to 40", F988 &lt;= 50, "40 to 50", F988 &gt; 50, "&gt;50" )</f>
        <v>40 to 50</v>
      </c>
    </row>
    <row r="989" spans="1:15" ht="14.4" x14ac:dyDescent="0.3">
      <c r="A989" t="s">
        <v>213</v>
      </c>
      <c r="B989" s="1">
        <v>46189</v>
      </c>
      <c r="C989" t="s">
        <v>16</v>
      </c>
      <c r="D989">
        <v>922</v>
      </c>
      <c r="E989">
        <v>1</v>
      </c>
      <c r="F989">
        <v>1.6</v>
      </c>
      <c r="G989" t="s">
        <v>17</v>
      </c>
      <c r="I989" t="str">
        <f t="shared" si="17"/>
        <v>922_1</v>
      </c>
      <c r="J989" t="s">
        <v>214</v>
      </c>
      <c r="K989" t="s">
        <v>19</v>
      </c>
      <c r="L989" t="str">
        <f>_xlfn.XLOOKUP(C989, Table2[Species],Table2[Genus], "Code Not Found")</f>
        <v>Acer</v>
      </c>
      <c r="M989" t="str">
        <f>_xlfn.XLOOKUP(C989, Table2[Species],Table2[Sp. Name], "Code Not Found")</f>
        <v>saccharum</v>
      </c>
      <c r="N989" t="str">
        <f>_xlfn.XLOOKUP(C989,Table2[Species],Table2[Family],"Code Not Found")</f>
        <v>Sapindaceae</v>
      </c>
      <c r="O989" t="str" cm="1">
        <f t="array" ref="O989">_xlfn.IFS(F989="","",F989&lt;=5,"0 to 5",F989&lt;=10,"5.1 to 10",F989&lt;=20,"10 to 20", F989&lt;= 40, "20 to 40", F989 &lt;= 50, "40 to 50", F989 &gt; 50, "&gt;50" )</f>
        <v>0 to 5</v>
      </c>
    </row>
    <row r="990" spans="1:15" ht="14.4" x14ac:dyDescent="0.3">
      <c r="A990" t="s">
        <v>213</v>
      </c>
      <c r="B990" s="1">
        <v>46189</v>
      </c>
      <c r="C990" t="s">
        <v>16</v>
      </c>
      <c r="D990">
        <v>923</v>
      </c>
      <c r="E990">
        <v>1</v>
      </c>
      <c r="F990">
        <v>1.3</v>
      </c>
      <c r="G990" t="s">
        <v>17</v>
      </c>
      <c r="I990" t="str">
        <f t="shared" si="17"/>
        <v>923_1</v>
      </c>
      <c r="J990" t="s">
        <v>214</v>
      </c>
      <c r="K990" t="s">
        <v>19</v>
      </c>
      <c r="L990" t="str">
        <f>_xlfn.XLOOKUP(C990, Table2[Species],Table2[Genus], "Code Not Found")</f>
        <v>Acer</v>
      </c>
      <c r="M990" t="str">
        <f>_xlfn.XLOOKUP(C990, Table2[Species],Table2[Sp. Name], "Code Not Found")</f>
        <v>saccharum</v>
      </c>
      <c r="N990" t="str">
        <f>_xlfn.XLOOKUP(C990,Table2[Species],Table2[Family],"Code Not Found")</f>
        <v>Sapindaceae</v>
      </c>
      <c r="O990" t="str" cm="1">
        <f t="array" ref="O990">_xlfn.IFS(F990="","",F990&lt;=5,"0 to 5",F990&lt;=10,"5.1 to 10",F990&lt;=20,"10 to 20", F990&lt;= 40, "20 to 40", F990 &lt;= 50, "40 to 50", F990 &gt; 50, "&gt;50" )</f>
        <v>0 to 5</v>
      </c>
    </row>
    <row r="991" spans="1:15" ht="14.4" x14ac:dyDescent="0.3">
      <c r="A991" t="s">
        <v>213</v>
      </c>
      <c r="B991" s="1">
        <v>46189</v>
      </c>
      <c r="C991" t="s">
        <v>16</v>
      </c>
      <c r="D991">
        <v>924</v>
      </c>
      <c r="E991">
        <v>1</v>
      </c>
      <c r="F991">
        <v>1.4</v>
      </c>
      <c r="G991" t="s">
        <v>47</v>
      </c>
      <c r="I991" t="str">
        <f t="shared" si="17"/>
        <v>924_1</v>
      </c>
      <c r="J991" t="s">
        <v>214</v>
      </c>
      <c r="K991" t="s">
        <v>19</v>
      </c>
      <c r="L991" t="str">
        <f>_xlfn.XLOOKUP(C991, Table2[Species],Table2[Genus], "Code Not Found")</f>
        <v>Acer</v>
      </c>
      <c r="M991" t="str">
        <f>_xlfn.XLOOKUP(C991, Table2[Species],Table2[Sp. Name], "Code Not Found")</f>
        <v>saccharum</v>
      </c>
      <c r="N991" t="str">
        <f>_xlfn.XLOOKUP(C991,Table2[Species],Table2[Family],"Code Not Found")</f>
        <v>Sapindaceae</v>
      </c>
      <c r="O991" t="str" cm="1">
        <f t="array" ref="O991">_xlfn.IFS(F991="","",F991&lt;=5,"0 to 5",F991&lt;=10,"5.1 to 10",F991&lt;=20,"10 to 20", F991&lt;= 40, "20 to 40", F991 &lt;= 50, "40 to 50", F991 &gt; 50, "&gt;50" )</f>
        <v>0 to 5</v>
      </c>
    </row>
    <row r="992" spans="1:15" ht="14.4" x14ac:dyDescent="0.3">
      <c r="A992" t="s">
        <v>213</v>
      </c>
      <c r="B992" s="1">
        <v>46189</v>
      </c>
      <c r="C992" t="s">
        <v>24</v>
      </c>
      <c r="D992">
        <v>925</v>
      </c>
      <c r="E992">
        <v>1</v>
      </c>
      <c r="F992">
        <v>44.4</v>
      </c>
      <c r="G992" t="s">
        <v>21</v>
      </c>
      <c r="I992" t="str">
        <f t="shared" si="17"/>
        <v>925_1</v>
      </c>
      <c r="J992" t="s">
        <v>214</v>
      </c>
      <c r="K992" t="s">
        <v>19</v>
      </c>
      <c r="L992" t="str">
        <f>_xlfn.XLOOKUP(C992, Table2[Species],Table2[Genus], "Code Not Found")</f>
        <v>Lirodendron</v>
      </c>
      <c r="M992" t="str">
        <f>_xlfn.XLOOKUP(C992, Table2[Species],Table2[Sp. Name], "Code Not Found")</f>
        <v>tulipfera</v>
      </c>
      <c r="N992" t="str">
        <f>_xlfn.XLOOKUP(C992,Table2[Species],Table2[Family],"Code Not Found")</f>
        <v>Magnoliaceae</v>
      </c>
      <c r="O992" t="str" cm="1">
        <f t="array" ref="O992">_xlfn.IFS(F992="","",F992&lt;=5,"0 to 5",F992&lt;=10,"5.1 to 10",F992&lt;=20,"10 to 20", F992&lt;= 40, "20 to 40", F992 &lt;= 50, "40 to 50", F992 &gt; 50, "&gt;50" )</f>
        <v>40 to 50</v>
      </c>
    </row>
    <row r="993" spans="1:15" ht="14.4" x14ac:dyDescent="0.3">
      <c r="A993" t="s">
        <v>213</v>
      </c>
      <c r="B993" s="1">
        <v>46189</v>
      </c>
      <c r="C993" t="s">
        <v>24</v>
      </c>
      <c r="D993">
        <v>926</v>
      </c>
      <c r="E993">
        <v>1</v>
      </c>
      <c r="F993">
        <v>25.2</v>
      </c>
      <c r="G993" t="s">
        <v>47</v>
      </c>
      <c r="H993" t="s">
        <v>43</v>
      </c>
      <c r="I993" t="str">
        <f t="shared" si="17"/>
        <v>926_1</v>
      </c>
      <c r="J993" t="s">
        <v>214</v>
      </c>
      <c r="K993" t="s">
        <v>19</v>
      </c>
      <c r="L993" t="str">
        <f>_xlfn.XLOOKUP(C993, Table2[Species],Table2[Genus], "Code Not Found")</f>
        <v>Lirodendron</v>
      </c>
      <c r="M993" t="str">
        <f>_xlfn.XLOOKUP(C993, Table2[Species],Table2[Sp. Name], "Code Not Found")</f>
        <v>tulipfera</v>
      </c>
      <c r="N993" t="str">
        <f>_xlfn.XLOOKUP(C993,Table2[Species],Table2[Family],"Code Not Found")</f>
        <v>Magnoliaceae</v>
      </c>
      <c r="O993" t="str" cm="1">
        <f t="array" ref="O993">_xlfn.IFS(F993="","",F993&lt;=5,"0 to 5",F993&lt;=10,"5.1 to 10",F993&lt;=20,"10 to 20", F993&lt;= 40, "20 to 40", F993 &lt;= 50, "40 to 50", F993 &gt; 50, "&gt;50" )</f>
        <v>20 to 40</v>
      </c>
    </row>
    <row r="994" spans="1:15" ht="14.4" x14ac:dyDescent="0.3">
      <c r="A994" t="s">
        <v>213</v>
      </c>
      <c r="B994" s="1">
        <v>46189</v>
      </c>
      <c r="C994" t="s">
        <v>22</v>
      </c>
      <c r="D994">
        <v>927</v>
      </c>
      <c r="E994">
        <v>1</v>
      </c>
      <c r="F994">
        <v>6.1</v>
      </c>
      <c r="G994" t="s">
        <v>21</v>
      </c>
      <c r="I994" t="str">
        <f t="shared" si="17"/>
        <v>927_1</v>
      </c>
      <c r="J994" t="s">
        <v>214</v>
      </c>
      <c r="K994" t="s">
        <v>19</v>
      </c>
      <c r="L994" t="str">
        <f>_xlfn.XLOOKUP(C994, Table2[Species],Table2[Genus], "Code Not Found")</f>
        <v>Acer</v>
      </c>
      <c r="M994" t="str">
        <f>_xlfn.XLOOKUP(C994, Table2[Species],Table2[Sp. Name], "Code Not Found")</f>
        <v>rubrum</v>
      </c>
      <c r="N994" t="str">
        <f>_xlfn.XLOOKUP(C994,Table2[Species],Table2[Family],"Code Not Found")</f>
        <v>Sapindaceae</v>
      </c>
      <c r="O994" t="str" cm="1">
        <f t="array" ref="O994">_xlfn.IFS(F994="","",F994&lt;=5,"0 to 5",F994&lt;=10,"5.1 to 10",F994&lt;=20,"10 to 20", F994&lt;= 40, "20 to 40", F994 &lt;= 50, "40 to 50", F994 &gt; 50, "&gt;50" )</f>
        <v>5.1 to 10</v>
      </c>
    </row>
    <row r="995" spans="1:15" ht="14.4" x14ac:dyDescent="0.3">
      <c r="A995" t="s">
        <v>213</v>
      </c>
      <c r="B995" s="1">
        <v>46189</v>
      </c>
      <c r="C995" t="s">
        <v>22</v>
      </c>
      <c r="D995">
        <v>928</v>
      </c>
      <c r="E995">
        <v>1</v>
      </c>
      <c r="F995">
        <v>9</v>
      </c>
      <c r="G995" t="s">
        <v>94</v>
      </c>
      <c r="H995" t="s">
        <v>228</v>
      </c>
      <c r="I995" t="str">
        <f t="shared" si="17"/>
        <v>928_1</v>
      </c>
      <c r="J995" t="s">
        <v>214</v>
      </c>
      <c r="K995" t="s">
        <v>19</v>
      </c>
      <c r="L995" t="str">
        <f>_xlfn.XLOOKUP(C995, Table2[Species],Table2[Genus], "Code Not Found")</f>
        <v>Acer</v>
      </c>
      <c r="M995" t="str">
        <f>_xlfn.XLOOKUP(C995, Table2[Species],Table2[Sp. Name], "Code Not Found")</f>
        <v>rubrum</v>
      </c>
      <c r="N995" t="str">
        <f>_xlfn.XLOOKUP(C995,Table2[Species],Table2[Family],"Code Not Found")</f>
        <v>Sapindaceae</v>
      </c>
      <c r="O995" t="str" cm="1">
        <f t="array" ref="O995">_xlfn.IFS(F995="","",F995&lt;=5,"0 to 5",F995&lt;=10,"5.1 to 10",F995&lt;=20,"10 to 20", F995&lt;= 40, "20 to 40", F995 &lt;= 50, "40 to 50", F995 &gt; 50, "&gt;50" )</f>
        <v>5.1 to 10</v>
      </c>
    </row>
    <row r="996" spans="1:15" ht="14.4" x14ac:dyDescent="0.3">
      <c r="A996" t="s">
        <v>213</v>
      </c>
      <c r="B996" s="1">
        <v>46189</v>
      </c>
      <c r="C996" t="s">
        <v>22</v>
      </c>
      <c r="D996">
        <v>929</v>
      </c>
      <c r="E996">
        <v>1</v>
      </c>
      <c r="F996">
        <v>23.5</v>
      </c>
      <c r="G996" t="s">
        <v>56</v>
      </c>
      <c r="H996" t="s">
        <v>229</v>
      </c>
      <c r="I996" t="str">
        <f t="shared" si="17"/>
        <v>929_1</v>
      </c>
      <c r="J996" t="s">
        <v>214</v>
      </c>
      <c r="K996" t="s">
        <v>19</v>
      </c>
      <c r="L996" t="str">
        <f>_xlfn.XLOOKUP(C996, Table2[Species],Table2[Genus], "Code Not Found")</f>
        <v>Acer</v>
      </c>
      <c r="M996" t="str">
        <f>_xlfn.XLOOKUP(C996, Table2[Species],Table2[Sp. Name], "Code Not Found")</f>
        <v>rubrum</v>
      </c>
      <c r="N996" t="str">
        <f>_xlfn.XLOOKUP(C996,Table2[Species],Table2[Family],"Code Not Found")</f>
        <v>Sapindaceae</v>
      </c>
      <c r="O996" t="str" cm="1">
        <f t="array" ref="O996">_xlfn.IFS(F996="","",F996&lt;=5,"0 to 5",F996&lt;=10,"5.1 to 10",F996&lt;=20,"10 to 20", F996&lt;= 40, "20 to 40", F996 &lt;= 50, "40 to 50", F996 &gt; 50, "&gt;50" )</f>
        <v>20 to 40</v>
      </c>
    </row>
    <row r="997" spans="1:15" ht="14.4" x14ac:dyDescent="0.3">
      <c r="A997" t="s">
        <v>213</v>
      </c>
      <c r="B997" s="1">
        <v>46189</v>
      </c>
      <c r="C997" t="s">
        <v>64</v>
      </c>
      <c r="D997">
        <v>930</v>
      </c>
      <c r="E997">
        <v>1</v>
      </c>
      <c r="F997">
        <v>5.3</v>
      </c>
      <c r="G997" t="s">
        <v>132</v>
      </c>
      <c r="H997" t="s">
        <v>230</v>
      </c>
      <c r="I997" t="str">
        <f t="shared" si="17"/>
        <v>930_1</v>
      </c>
      <c r="J997" t="s">
        <v>214</v>
      </c>
      <c r="K997" t="s">
        <v>19</v>
      </c>
      <c r="L997" t="str">
        <f>_xlfn.XLOOKUP(C997, Table2[Species],Table2[Genus], "Code Not Found")</f>
        <v>Fagus</v>
      </c>
      <c r="M997" t="str">
        <f>_xlfn.XLOOKUP(C997, Table2[Species],Table2[Sp. Name], "Code Not Found")</f>
        <v>grandifolia</v>
      </c>
      <c r="N997" t="str">
        <f>_xlfn.XLOOKUP(C997,Table2[Species],Table2[Family],"Code Not Found")</f>
        <v>Fagaceae</v>
      </c>
      <c r="O997" t="str" cm="1">
        <f t="array" ref="O997">_xlfn.IFS(F997="","",F997&lt;=5,"0 to 5",F997&lt;=10,"5.1 to 10",F997&lt;=20,"10 to 20", F997&lt;= 40, "20 to 40", F997 &lt;= 50, "40 to 50", F997 &gt; 50, "&gt;50" )</f>
        <v>5.1 to 10</v>
      </c>
    </row>
    <row r="998" spans="1:15" ht="14.4" x14ac:dyDescent="0.3">
      <c r="A998" t="s">
        <v>213</v>
      </c>
      <c r="B998" s="1">
        <v>46189</v>
      </c>
      <c r="C998" t="s">
        <v>64</v>
      </c>
      <c r="D998">
        <v>930</v>
      </c>
      <c r="E998">
        <v>2</v>
      </c>
      <c r="F998">
        <v>1.3</v>
      </c>
      <c r="G998" t="s">
        <v>34</v>
      </c>
      <c r="H998" t="s">
        <v>43</v>
      </c>
      <c r="I998" t="str">
        <f t="shared" si="17"/>
        <v>930_2</v>
      </c>
      <c r="J998" t="s">
        <v>214</v>
      </c>
      <c r="K998" t="s">
        <v>19</v>
      </c>
      <c r="L998" t="str">
        <f>_xlfn.XLOOKUP(C998, Table2[Species],Table2[Genus], "Code Not Found")</f>
        <v>Fagus</v>
      </c>
      <c r="M998" t="str">
        <f>_xlfn.XLOOKUP(C998, Table2[Species],Table2[Sp. Name], "Code Not Found")</f>
        <v>grandifolia</v>
      </c>
      <c r="N998" t="str">
        <f>_xlfn.XLOOKUP(C998,Table2[Species],Table2[Family],"Code Not Found")</f>
        <v>Fagaceae</v>
      </c>
      <c r="O998" t="str" cm="1">
        <f t="array" ref="O998">_xlfn.IFS(F998="","",F998&lt;=5,"0 to 5",F998&lt;=10,"5.1 to 10",F998&lt;=20,"10 to 20", F998&lt;= 40, "20 to 40", F998 &lt;= 50, "40 to 50", F998 &gt; 50, "&gt;50" )</f>
        <v>0 to 5</v>
      </c>
    </row>
    <row r="999" spans="1:15" ht="14.4" x14ac:dyDescent="0.3">
      <c r="A999" t="s">
        <v>213</v>
      </c>
      <c r="B999" s="1">
        <v>46189</v>
      </c>
      <c r="C999" t="s">
        <v>16</v>
      </c>
      <c r="D999">
        <v>931</v>
      </c>
      <c r="E999">
        <v>1</v>
      </c>
      <c r="F999">
        <v>3.4</v>
      </c>
      <c r="G999" t="s">
        <v>21</v>
      </c>
      <c r="I999" t="str">
        <f t="shared" si="17"/>
        <v>931_1</v>
      </c>
      <c r="J999" t="s">
        <v>214</v>
      </c>
      <c r="K999" t="s">
        <v>19</v>
      </c>
      <c r="L999" t="str">
        <f>_xlfn.XLOOKUP(C999, Table2[Species],Table2[Genus], "Code Not Found")</f>
        <v>Acer</v>
      </c>
      <c r="M999" t="str">
        <f>_xlfn.XLOOKUP(C999, Table2[Species],Table2[Sp. Name], "Code Not Found")</f>
        <v>saccharum</v>
      </c>
      <c r="N999" t="str">
        <f>_xlfn.XLOOKUP(C999,Table2[Species],Table2[Family],"Code Not Found")</f>
        <v>Sapindaceae</v>
      </c>
      <c r="O999" t="str" cm="1">
        <f t="array" ref="O999">_xlfn.IFS(F999="","",F999&lt;=5,"0 to 5",F999&lt;=10,"5.1 to 10",F999&lt;=20,"10 to 20", F999&lt;= 40, "20 to 40", F999 &lt;= 50, "40 to 50", F999 &gt; 50, "&gt;50" )</f>
        <v>0 to 5</v>
      </c>
    </row>
    <row r="1000" spans="1:15" ht="14.4" x14ac:dyDescent="0.3">
      <c r="A1000" t="s">
        <v>213</v>
      </c>
      <c r="B1000" s="1">
        <v>46189</v>
      </c>
      <c r="C1000" t="s">
        <v>16</v>
      </c>
      <c r="D1000">
        <v>932</v>
      </c>
      <c r="E1000">
        <v>1</v>
      </c>
      <c r="F1000">
        <v>2.4</v>
      </c>
      <c r="G1000" t="s">
        <v>21</v>
      </c>
      <c r="I1000" t="str">
        <f t="shared" si="17"/>
        <v>932_1</v>
      </c>
      <c r="J1000" t="s">
        <v>214</v>
      </c>
      <c r="K1000" t="s">
        <v>19</v>
      </c>
      <c r="L1000" t="str">
        <f>_xlfn.XLOOKUP(C1000, Table2[Species],Table2[Genus], "Code Not Found")</f>
        <v>Acer</v>
      </c>
      <c r="M1000" t="str">
        <f>_xlfn.XLOOKUP(C1000, Table2[Species],Table2[Sp. Name], "Code Not Found")</f>
        <v>saccharum</v>
      </c>
      <c r="N1000" t="str">
        <f>_xlfn.XLOOKUP(C1000,Table2[Species],Table2[Family],"Code Not Found")</f>
        <v>Sapindaceae</v>
      </c>
      <c r="O1000" t="str" cm="1">
        <f t="array" ref="O1000">_xlfn.IFS(F1000="","",F1000&lt;=5,"0 to 5",F1000&lt;=10,"5.1 to 10",F1000&lt;=20,"10 to 20", F1000&lt;= 40, "20 to 40", F1000 &lt;= 50, "40 to 50", F1000 &gt; 50, "&gt;50" )</f>
        <v>0 to 5</v>
      </c>
    </row>
    <row r="1001" spans="1:15" ht="14.4" x14ac:dyDescent="0.3">
      <c r="A1001" t="s">
        <v>213</v>
      </c>
      <c r="B1001" s="1">
        <v>46189</v>
      </c>
      <c r="C1001" t="s">
        <v>16</v>
      </c>
      <c r="D1001">
        <v>933</v>
      </c>
      <c r="E1001">
        <v>1</v>
      </c>
      <c r="F1001">
        <v>2.6</v>
      </c>
      <c r="G1001" t="s">
        <v>47</v>
      </c>
      <c r="I1001" t="str">
        <f t="shared" si="17"/>
        <v>933_1</v>
      </c>
      <c r="J1001" t="s">
        <v>214</v>
      </c>
      <c r="K1001" t="s">
        <v>19</v>
      </c>
      <c r="L1001" t="str">
        <f>_xlfn.XLOOKUP(C1001, Table2[Species],Table2[Genus], "Code Not Found")</f>
        <v>Acer</v>
      </c>
      <c r="M1001" t="str">
        <f>_xlfn.XLOOKUP(C1001, Table2[Species],Table2[Sp. Name], "Code Not Found")</f>
        <v>saccharum</v>
      </c>
      <c r="N1001" t="str">
        <f>_xlfn.XLOOKUP(C1001,Table2[Species],Table2[Family],"Code Not Found")</f>
        <v>Sapindaceae</v>
      </c>
      <c r="O1001" t="str" cm="1">
        <f t="array" ref="O1001">_xlfn.IFS(F1001="","",F1001&lt;=5,"0 to 5",F1001&lt;=10,"5.1 to 10",F1001&lt;=20,"10 to 20", F1001&lt;= 40, "20 to 40", F1001 &lt;= 50, "40 to 50", F1001 &gt; 50, "&gt;50" )</f>
        <v>0 to 5</v>
      </c>
    </row>
    <row r="1002" spans="1:15" ht="14.4" x14ac:dyDescent="0.3">
      <c r="A1002" t="s">
        <v>213</v>
      </c>
      <c r="B1002" s="1">
        <v>46189</v>
      </c>
      <c r="C1002" t="s">
        <v>16</v>
      </c>
      <c r="D1002">
        <v>934</v>
      </c>
      <c r="E1002">
        <v>1</v>
      </c>
      <c r="F1002">
        <v>1.7</v>
      </c>
      <c r="G1002" t="s">
        <v>17</v>
      </c>
      <c r="H1002" t="s">
        <v>231</v>
      </c>
      <c r="I1002" t="str">
        <f t="shared" si="17"/>
        <v>934_1</v>
      </c>
      <c r="J1002" t="s">
        <v>214</v>
      </c>
      <c r="K1002" t="s">
        <v>19</v>
      </c>
      <c r="L1002" t="str">
        <f>_xlfn.XLOOKUP(C1002, Table2[Species],Table2[Genus], "Code Not Found")</f>
        <v>Acer</v>
      </c>
      <c r="M1002" t="str">
        <f>_xlfn.XLOOKUP(C1002, Table2[Species],Table2[Sp. Name], "Code Not Found")</f>
        <v>saccharum</v>
      </c>
      <c r="N1002" t="str">
        <f>_xlfn.XLOOKUP(C1002,Table2[Species],Table2[Family],"Code Not Found")</f>
        <v>Sapindaceae</v>
      </c>
      <c r="O1002" t="str" cm="1">
        <f t="array" ref="O1002">_xlfn.IFS(F1002="","",F1002&lt;=5,"0 to 5",F1002&lt;=10,"5.1 to 10",F1002&lt;=20,"10 to 20", F1002&lt;= 40, "20 to 40", F1002 &lt;= 50, "40 to 50", F1002 &gt; 50, "&gt;50" )</f>
        <v>0 to 5</v>
      </c>
    </row>
    <row r="1003" spans="1:15" ht="14.4" x14ac:dyDescent="0.3">
      <c r="A1003" t="s">
        <v>213</v>
      </c>
      <c r="B1003" s="1">
        <v>46189</v>
      </c>
      <c r="C1003" t="s">
        <v>22</v>
      </c>
      <c r="D1003">
        <v>935</v>
      </c>
      <c r="E1003">
        <v>1</v>
      </c>
      <c r="F1003">
        <v>30.5</v>
      </c>
      <c r="G1003" t="s">
        <v>21</v>
      </c>
      <c r="I1003" t="str">
        <f t="shared" si="17"/>
        <v>935_1</v>
      </c>
      <c r="J1003" t="s">
        <v>214</v>
      </c>
      <c r="K1003" t="s">
        <v>19</v>
      </c>
      <c r="L1003" t="str">
        <f>_xlfn.XLOOKUP(C1003, Table2[Species],Table2[Genus], "Code Not Found")</f>
        <v>Acer</v>
      </c>
      <c r="M1003" t="str">
        <f>_xlfn.XLOOKUP(C1003, Table2[Species],Table2[Sp. Name], "Code Not Found")</f>
        <v>rubrum</v>
      </c>
      <c r="N1003" t="str">
        <f>_xlfn.XLOOKUP(C1003,Table2[Species],Table2[Family],"Code Not Found")</f>
        <v>Sapindaceae</v>
      </c>
      <c r="O1003" t="str" cm="1">
        <f t="array" ref="O1003">_xlfn.IFS(F1003="","",F1003&lt;=5,"0 to 5",F1003&lt;=10,"5.1 to 10",F1003&lt;=20,"10 to 20", F1003&lt;= 40, "20 to 40", F1003 &lt;= 50, "40 to 50", F1003 &gt; 50, "&gt;50" )</f>
        <v>20 to 40</v>
      </c>
    </row>
    <row r="1004" spans="1:15" ht="14.4" x14ac:dyDescent="0.3">
      <c r="A1004" t="s">
        <v>213</v>
      </c>
      <c r="B1004" s="1">
        <v>46189</v>
      </c>
      <c r="C1004" t="s">
        <v>16</v>
      </c>
      <c r="D1004">
        <v>936</v>
      </c>
      <c r="E1004">
        <v>1</v>
      </c>
      <c r="F1004">
        <v>2.2999999999999998</v>
      </c>
      <c r="G1004" t="s">
        <v>21</v>
      </c>
      <c r="I1004" t="str">
        <f t="shared" si="17"/>
        <v>936_1</v>
      </c>
      <c r="J1004" t="s">
        <v>214</v>
      </c>
      <c r="K1004" t="s">
        <v>19</v>
      </c>
      <c r="L1004" t="str">
        <f>_xlfn.XLOOKUP(C1004, Table2[Species],Table2[Genus], "Code Not Found")</f>
        <v>Acer</v>
      </c>
      <c r="M1004" t="str">
        <f>_xlfn.XLOOKUP(C1004, Table2[Species],Table2[Sp. Name], "Code Not Found")</f>
        <v>saccharum</v>
      </c>
      <c r="N1004" t="str">
        <f>_xlfn.XLOOKUP(C1004,Table2[Species],Table2[Family],"Code Not Found")</f>
        <v>Sapindaceae</v>
      </c>
      <c r="O1004" t="str" cm="1">
        <f t="array" ref="O1004">_xlfn.IFS(F1004="","",F1004&lt;=5,"0 to 5",F1004&lt;=10,"5.1 to 10",F1004&lt;=20,"10 to 20", F1004&lt;= 40, "20 to 40", F1004 &lt;= 50, "40 to 50", F1004 &gt; 50, "&gt;50" )</f>
        <v>0 to 5</v>
      </c>
    </row>
    <row r="1005" spans="1:15" ht="14.4" x14ac:dyDescent="0.3">
      <c r="A1005" t="s">
        <v>213</v>
      </c>
      <c r="B1005" s="1">
        <v>46189</v>
      </c>
      <c r="C1005" t="s">
        <v>16</v>
      </c>
      <c r="D1005">
        <v>937</v>
      </c>
      <c r="E1005">
        <v>1</v>
      </c>
      <c r="F1005">
        <v>2</v>
      </c>
      <c r="G1005" t="s">
        <v>17</v>
      </c>
      <c r="H1005" t="s">
        <v>232</v>
      </c>
      <c r="I1005" t="str">
        <f t="shared" si="17"/>
        <v>937_1</v>
      </c>
      <c r="J1005" t="s">
        <v>214</v>
      </c>
      <c r="K1005" t="s">
        <v>19</v>
      </c>
      <c r="L1005" t="str">
        <f>_xlfn.XLOOKUP(C1005, Table2[Species],Table2[Genus], "Code Not Found")</f>
        <v>Acer</v>
      </c>
      <c r="M1005" t="str">
        <f>_xlfn.XLOOKUP(C1005, Table2[Species],Table2[Sp. Name], "Code Not Found")</f>
        <v>saccharum</v>
      </c>
      <c r="N1005" t="str">
        <f>_xlfn.XLOOKUP(C1005,Table2[Species],Table2[Family],"Code Not Found")</f>
        <v>Sapindaceae</v>
      </c>
      <c r="O1005" t="str" cm="1">
        <f t="array" ref="O1005">_xlfn.IFS(F1005="","",F1005&lt;=5,"0 to 5",F1005&lt;=10,"5.1 to 10",F1005&lt;=20,"10 to 20", F1005&lt;= 40, "20 to 40", F1005 &lt;= 50, "40 to 50", F1005 &gt; 50, "&gt;50" )</f>
        <v>0 to 5</v>
      </c>
    </row>
    <row r="1006" spans="1:15" ht="14.4" x14ac:dyDescent="0.3">
      <c r="A1006" t="s">
        <v>213</v>
      </c>
      <c r="B1006" s="1">
        <v>46189</v>
      </c>
      <c r="C1006" t="s">
        <v>24</v>
      </c>
      <c r="D1006">
        <v>938</v>
      </c>
      <c r="E1006">
        <v>1</v>
      </c>
      <c r="F1006">
        <v>50</v>
      </c>
      <c r="G1006" t="s">
        <v>17</v>
      </c>
      <c r="H1006" t="s">
        <v>233</v>
      </c>
      <c r="I1006" t="str">
        <f t="shared" si="17"/>
        <v>938_1</v>
      </c>
      <c r="J1006" t="s">
        <v>214</v>
      </c>
      <c r="K1006" t="s">
        <v>19</v>
      </c>
      <c r="L1006" t="str">
        <f>_xlfn.XLOOKUP(C1006, Table2[Species],Table2[Genus], "Code Not Found")</f>
        <v>Lirodendron</v>
      </c>
      <c r="M1006" t="str">
        <f>_xlfn.XLOOKUP(C1006, Table2[Species],Table2[Sp. Name], "Code Not Found")</f>
        <v>tulipfera</v>
      </c>
      <c r="N1006" t="str">
        <f>_xlfn.XLOOKUP(C1006,Table2[Species],Table2[Family],"Code Not Found")</f>
        <v>Magnoliaceae</v>
      </c>
      <c r="O1006" t="str" cm="1">
        <f t="array" ref="O1006">_xlfn.IFS(F1006="","",F1006&lt;=5,"0 to 5",F1006&lt;=10,"5.1 to 10",F1006&lt;=20,"10 to 20", F1006&lt;= 40, "20 to 40", F1006 &lt;= 50, "40 to 50", F1006 &gt; 50, "&gt;50" )</f>
        <v>40 to 50</v>
      </c>
    </row>
    <row r="1007" spans="1:15" ht="14.4" x14ac:dyDescent="0.3">
      <c r="A1007" t="s">
        <v>213</v>
      </c>
      <c r="B1007" s="1">
        <v>46189</v>
      </c>
      <c r="C1007" t="s">
        <v>16</v>
      </c>
      <c r="D1007">
        <v>939</v>
      </c>
      <c r="E1007">
        <v>1</v>
      </c>
      <c r="F1007">
        <v>1.1000000000000001</v>
      </c>
      <c r="G1007" t="s">
        <v>17</v>
      </c>
      <c r="I1007" t="str">
        <f t="shared" si="17"/>
        <v>939_1</v>
      </c>
      <c r="J1007" t="s">
        <v>214</v>
      </c>
      <c r="K1007" t="s">
        <v>19</v>
      </c>
      <c r="L1007" t="str">
        <f>_xlfn.XLOOKUP(C1007, Table2[Species],Table2[Genus], "Code Not Found")</f>
        <v>Acer</v>
      </c>
      <c r="M1007" t="str">
        <f>_xlfn.XLOOKUP(C1007, Table2[Species],Table2[Sp. Name], "Code Not Found")</f>
        <v>saccharum</v>
      </c>
      <c r="N1007" t="str">
        <f>_xlfn.XLOOKUP(C1007,Table2[Species],Table2[Family],"Code Not Found")</f>
        <v>Sapindaceae</v>
      </c>
      <c r="O1007" t="str" cm="1">
        <f t="array" ref="O1007">_xlfn.IFS(F1007="","",F1007&lt;=5,"0 to 5",F1007&lt;=10,"5.1 to 10",F1007&lt;=20,"10 to 20", F1007&lt;= 40, "20 to 40", F1007 &lt;= 50, "40 to 50", F1007 &gt; 50, "&gt;50" )</f>
        <v>0 to 5</v>
      </c>
    </row>
    <row r="1008" spans="1:15" ht="14.4" x14ac:dyDescent="0.3">
      <c r="A1008" t="s">
        <v>213</v>
      </c>
      <c r="B1008" s="1">
        <v>46189</v>
      </c>
      <c r="C1008" t="s">
        <v>16</v>
      </c>
      <c r="D1008">
        <v>940</v>
      </c>
      <c r="E1008">
        <v>1</v>
      </c>
      <c r="F1008">
        <v>1.2</v>
      </c>
      <c r="G1008" t="s">
        <v>17</v>
      </c>
      <c r="H1008" t="s">
        <v>36</v>
      </c>
      <c r="I1008" t="str">
        <f t="shared" ref="I1008:I1071" si="18">D1008&amp;"_"&amp;E1008</f>
        <v>940_1</v>
      </c>
      <c r="J1008" t="s">
        <v>214</v>
      </c>
      <c r="K1008" t="s">
        <v>19</v>
      </c>
      <c r="L1008" t="str">
        <f>_xlfn.XLOOKUP(C1008, Table2[Species],Table2[Genus], "Code Not Found")</f>
        <v>Acer</v>
      </c>
      <c r="M1008" t="str">
        <f>_xlfn.XLOOKUP(C1008, Table2[Species],Table2[Sp. Name], "Code Not Found")</f>
        <v>saccharum</v>
      </c>
      <c r="N1008" t="str">
        <f>_xlfn.XLOOKUP(C1008,Table2[Species],Table2[Family],"Code Not Found")</f>
        <v>Sapindaceae</v>
      </c>
      <c r="O1008" t="str" cm="1">
        <f t="array" ref="O1008">_xlfn.IFS(F1008="","",F1008&lt;=5,"0 to 5",F1008&lt;=10,"5.1 to 10",F1008&lt;=20,"10 to 20", F1008&lt;= 40, "20 to 40", F1008 &lt;= 50, "40 to 50", F1008 &gt; 50, "&gt;50" )</f>
        <v>0 to 5</v>
      </c>
    </row>
    <row r="1009" spans="1:15" ht="14.4" x14ac:dyDescent="0.3">
      <c r="A1009" t="s">
        <v>213</v>
      </c>
      <c r="B1009" s="1">
        <v>46189</v>
      </c>
      <c r="C1009" t="s">
        <v>16</v>
      </c>
      <c r="D1009">
        <v>941</v>
      </c>
      <c r="E1009">
        <v>1</v>
      </c>
      <c r="F1009">
        <v>1.3</v>
      </c>
      <c r="G1009" t="s">
        <v>47</v>
      </c>
      <c r="H1009" t="s">
        <v>232</v>
      </c>
      <c r="I1009" t="str">
        <f t="shared" si="18"/>
        <v>941_1</v>
      </c>
      <c r="J1009" t="s">
        <v>214</v>
      </c>
      <c r="K1009" t="s">
        <v>19</v>
      </c>
      <c r="L1009" t="str">
        <f>_xlfn.XLOOKUP(C1009, Table2[Species],Table2[Genus], "Code Not Found")</f>
        <v>Acer</v>
      </c>
      <c r="M1009" t="str">
        <f>_xlfn.XLOOKUP(C1009, Table2[Species],Table2[Sp. Name], "Code Not Found")</f>
        <v>saccharum</v>
      </c>
      <c r="N1009" t="str">
        <f>_xlfn.XLOOKUP(C1009,Table2[Species],Table2[Family],"Code Not Found")</f>
        <v>Sapindaceae</v>
      </c>
      <c r="O1009" t="str" cm="1">
        <f t="array" ref="O1009">_xlfn.IFS(F1009="","",F1009&lt;=5,"0 to 5",F1009&lt;=10,"5.1 to 10",F1009&lt;=20,"10 to 20", F1009&lt;= 40, "20 to 40", F1009 &lt;= 50, "40 to 50", F1009 &gt; 50, "&gt;50" )</f>
        <v>0 to 5</v>
      </c>
    </row>
    <row r="1010" spans="1:15" ht="14.4" x14ac:dyDescent="0.3">
      <c r="A1010" t="s">
        <v>213</v>
      </c>
      <c r="B1010" s="1">
        <v>46189</v>
      </c>
      <c r="C1010" t="s">
        <v>22</v>
      </c>
      <c r="D1010">
        <v>942</v>
      </c>
      <c r="E1010">
        <v>1</v>
      </c>
      <c r="F1010">
        <v>27.9</v>
      </c>
      <c r="G1010" t="s">
        <v>30</v>
      </c>
      <c r="H1010" t="s">
        <v>234</v>
      </c>
      <c r="I1010" t="str">
        <f t="shared" si="18"/>
        <v>942_1</v>
      </c>
      <c r="J1010" t="s">
        <v>214</v>
      </c>
      <c r="K1010" t="s">
        <v>19</v>
      </c>
      <c r="L1010" t="str">
        <f>_xlfn.XLOOKUP(C1010, Table2[Species],Table2[Genus], "Code Not Found")</f>
        <v>Acer</v>
      </c>
      <c r="M1010" t="str">
        <f>_xlfn.XLOOKUP(C1010, Table2[Species],Table2[Sp. Name], "Code Not Found")</f>
        <v>rubrum</v>
      </c>
      <c r="N1010" t="str">
        <f>_xlfn.XLOOKUP(C1010,Table2[Species],Table2[Family],"Code Not Found")</f>
        <v>Sapindaceae</v>
      </c>
      <c r="O1010" t="str" cm="1">
        <f t="array" ref="O1010">_xlfn.IFS(F1010="","",F1010&lt;=5,"0 to 5",F1010&lt;=10,"5.1 to 10",F1010&lt;=20,"10 to 20", F1010&lt;= 40, "20 to 40", F1010 &lt;= 50, "40 to 50", F1010 &gt; 50, "&gt;50" )</f>
        <v>20 to 40</v>
      </c>
    </row>
    <row r="1011" spans="1:15" ht="14.4" x14ac:dyDescent="0.3">
      <c r="A1011" t="s">
        <v>213</v>
      </c>
      <c r="B1011" s="1">
        <v>46189</v>
      </c>
      <c r="C1011" t="s">
        <v>22</v>
      </c>
      <c r="D1011">
        <v>943</v>
      </c>
      <c r="E1011">
        <v>1</v>
      </c>
      <c r="F1011">
        <v>38</v>
      </c>
      <c r="G1011" t="s">
        <v>17</v>
      </c>
      <c r="I1011" t="str">
        <f t="shared" si="18"/>
        <v>943_1</v>
      </c>
      <c r="J1011" t="s">
        <v>214</v>
      </c>
      <c r="K1011" t="s">
        <v>19</v>
      </c>
      <c r="L1011" t="str">
        <f>_xlfn.XLOOKUP(C1011, Table2[Species],Table2[Genus], "Code Not Found")</f>
        <v>Acer</v>
      </c>
      <c r="M1011" t="str">
        <f>_xlfn.XLOOKUP(C1011, Table2[Species],Table2[Sp. Name], "Code Not Found")</f>
        <v>rubrum</v>
      </c>
      <c r="N1011" t="str">
        <f>_xlfn.XLOOKUP(C1011,Table2[Species],Table2[Family],"Code Not Found")</f>
        <v>Sapindaceae</v>
      </c>
      <c r="O1011" t="str" cm="1">
        <f t="array" ref="O1011">_xlfn.IFS(F1011="","",F1011&lt;=5,"0 to 5",F1011&lt;=10,"5.1 to 10",F1011&lt;=20,"10 to 20", F1011&lt;= 40, "20 to 40", F1011 &lt;= 50, "40 to 50", F1011 &gt; 50, "&gt;50" )</f>
        <v>20 to 40</v>
      </c>
    </row>
    <row r="1012" spans="1:15" ht="14.4" x14ac:dyDescent="0.3">
      <c r="A1012" t="s">
        <v>213</v>
      </c>
      <c r="B1012" s="1">
        <v>46189</v>
      </c>
      <c r="C1012" t="s">
        <v>64</v>
      </c>
      <c r="D1012">
        <v>944</v>
      </c>
      <c r="E1012">
        <v>1</v>
      </c>
      <c r="F1012">
        <v>1</v>
      </c>
      <c r="G1012" t="s">
        <v>21</v>
      </c>
      <c r="H1012" t="s">
        <v>231</v>
      </c>
      <c r="I1012" t="str">
        <f t="shared" si="18"/>
        <v>944_1</v>
      </c>
      <c r="J1012" t="s">
        <v>214</v>
      </c>
      <c r="K1012" t="s">
        <v>19</v>
      </c>
      <c r="L1012" t="str">
        <f>_xlfn.XLOOKUP(C1012, Table2[Species],Table2[Genus], "Code Not Found")</f>
        <v>Fagus</v>
      </c>
      <c r="M1012" t="str">
        <f>_xlfn.XLOOKUP(C1012, Table2[Species],Table2[Sp. Name], "Code Not Found")</f>
        <v>grandifolia</v>
      </c>
      <c r="N1012" t="str">
        <f>_xlfn.XLOOKUP(C1012,Table2[Species],Table2[Family],"Code Not Found")</f>
        <v>Fagaceae</v>
      </c>
      <c r="O1012" t="str" cm="1">
        <f t="array" ref="O1012">_xlfn.IFS(F1012="","",F1012&lt;=5,"0 to 5",F1012&lt;=10,"5.1 to 10",F1012&lt;=20,"10 to 20", F1012&lt;= 40, "20 to 40", F1012 &lt;= 50, "40 to 50", F1012 &gt; 50, "&gt;50" )</f>
        <v>0 to 5</v>
      </c>
    </row>
    <row r="1013" spans="1:15" ht="14.4" x14ac:dyDescent="0.3">
      <c r="A1013" t="s">
        <v>213</v>
      </c>
      <c r="B1013" s="1">
        <v>46189</v>
      </c>
      <c r="C1013" t="s">
        <v>235</v>
      </c>
      <c r="D1013">
        <v>945</v>
      </c>
      <c r="E1013">
        <v>1</v>
      </c>
      <c r="F1013">
        <v>1.3</v>
      </c>
      <c r="G1013" t="s">
        <v>17</v>
      </c>
      <c r="I1013" t="str">
        <f t="shared" si="18"/>
        <v>945_1</v>
      </c>
      <c r="J1013" t="s">
        <v>214</v>
      </c>
      <c r="K1013" t="s">
        <v>19</v>
      </c>
      <c r="L1013" t="str">
        <f>_xlfn.XLOOKUP(C1013, Table2[Species],Table2[Genus], "Code Not Found")</f>
        <v>Carpinus</v>
      </c>
      <c r="M1013" t="str">
        <f>_xlfn.XLOOKUP(C1013, Table2[Species],Table2[Sp. Name], "Code Not Found")</f>
        <v>caroliniana</v>
      </c>
      <c r="N1013" t="str">
        <f>_xlfn.XLOOKUP(C1013,Table2[Species],Table2[Family],"Code Not Found")</f>
        <v>Betulaceae</v>
      </c>
      <c r="O1013" t="str" cm="1">
        <f t="array" ref="O1013">_xlfn.IFS(F1013="","",F1013&lt;=5,"0 to 5",F1013&lt;=10,"5.1 to 10",F1013&lt;=20,"10 to 20", F1013&lt;= 40, "20 to 40", F1013 &lt;= 50, "40 to 50", F1013 &gt; 50, "&gt;50" )</f>
        <v>0 to 5</v>
      </c>
    </row>
    <row r="1014" spans="1:15" ht="14.4" x14ac:dyDescent="0.3">
      <c r="A1014" t="s">
        <v>213</v>
      </c>
      <c r="B1014" s="1">
        <v>46189</v>
      </c>
      <c r="C1014" t="s">
        <v>16</v>
      </c>
      <c r="D1014">
        <v>946</v>
      </c>
      <c r="E1014">
        <v>1</v>
      </c>
      <c r="F1014">
        <v>2.1</v>
      </c>
      <c r="G1014" t="s">
        <v>21</v>
      </c>
      <c r="I1014" t="str">
        <f t="shared" si="18"/>
        <v>946_1</v>
      </c>
      <c r="J1014" t="s">
        <v>214</v>
      </c>
      <c r="K1014" t="s">
        <v>19</v>
      </c>
      <c r="L1014" t="str">
        <f>_xlfn.XLOOKUP(C1014, Table2[Species],Table2[Genus], "Code Not Found")</f>
        <v>Acer</v>
      </c>
      <c r="M1014" t="str">
        <f>_xlfn.XLOOKUP(C1014, Table2[Species],Table2[Sp. Name], "Code Not Found")</f>
        <v>saccharum</v>
      </c>
      <c r="N1014" t="str">
        <f>_xlfn.XLOOKUP(C1014,Table2[Species],Table2[Family],"Code Not Found")</f>
        <v>Sapindaceae</v>
      </c>
      <c r="O1014" t="str" cm="1">
        <f t="array" ref="O1014">_xlfn.IFS(F1014="","",F1014&lt;=5,"0 to 5",F1014&lt;=10,"5.1 to 10",F1014&lt;=20,"10 to 20", F1014&lt;= 40, "20 to 40", F1014 &lt;= 50, "40 to 50", F1014 &gt; 50, "&gt;50" )</f>
        <v>0 to 5</v>
      </c>
    </row>
    <row r="1015" spans="1:15" ht="14.4" x14ac:dyDescent="0.3">
      <c r="A1015" t="s">
        <v>213</v>
      </c>
      <c r="B1015" s="1">
        <v>46189</v>
      </c>
      <c r="C1015" t="s">
        <v>123</v>
      </c>
      <c r="D1015">
        <v>947</v>
      </c>
      <c r="E1015">
        <v>1</v>
      </c>
      <c r="F1015">
        <v>50.6</v>
      </c>
      <c r="G1015" t="s">
        <v>17</v>
      </c>
      <c r="H1015" t="s">
        <v>36</v>
      </c>
      <c r="I1015" t="str">
        <f t="shared" si="18"/>
        <v>947_1</v>
      </c>
      <c r="J1015" t="s">
        <v>214</v>
      </c>
      <c r="K1015" t="s">
        <v>19</v>
      </c>
      <c r="L1015" t="str">
        <f>_xlfn.XLOOKUP(C1015, Table2[Species],Table2[Genus], "Code Not Found")</f>
        <v>Quercus</v>
      </c>
      <c r="M1015" t="str">
        <f>_xlfn.XLOOKUP(C1015, Table2[Species],Table2[Sp. Name], "Code Not Found")</f>
        <v>rubra</v>
      </c>
      <c r="N1015" t="str">
        <f>_xlfn.XLOOKUP(C1015,Table2[Species],Table2[Family],"Code Not Found")</f>
        <v>Fagaceae</v>
      </c>
      <c r="O1015" t="str" cm="1">
        <f t="array" ref="O1015">_xlfn.IFS(F1015="","",F1015&lt;=5,"0 to 5",F1015&lt;=10,"5.1 to 10",F1015&lt;=20,"10 to 20", F1015&lt;= 40, "20 to 40", F1015 &lt;= 50, "40 to 50", F1015 &gt; 50, "&gt;50" )</f>
        <v>&gt;50</v>
      </c>
    </row>
    <row r="1016" spans="1:15" ht="14.4" x14ac:dyDescent="0.3">
      <c r="A1016" t="s">
        <v>213</v>
      </c>
      <c r="B1016" s="1">
        <v>46189</v>
      </c>
      <c r="C1016" t="s">
        <v>16</v>
      </c>
      <c r="D1016">
        <v>948</v>
      </c>
      <c r="E1016">
        <v>1</v>
      </c>
      <c r="F1016">
        <v>4</v>
      </c>
      <c r="G1016" t="s">
        <v>94</v>
      </c>
      <c r="H1016" t="s">
        <v>96</v>
      </c>
      <c r="I1016" t="str">
        <f t="shared" si="18"/>
        <v>948_1</v>
      </c>
      <c r="J1016" t="s">
        <v>214</v>
      </c>
      <c r="K1016" t="s">
        <v>19</v>
      </c>
      <c r="L1016" t="str">
        <f>_xlfn.XLOOKUP(C1016, Table2[Species],Table2[Genus], "Code Not Found")</f>
        <v>Acer</v>
      </c>
      <c r="M1016" t="str">
        <f>_xlfn.XLOOKUP(C1016, Table2[Species],Table2[Sp. Name], "Code Not Found")</f>
        <v>saccharum</v>
      </c>
      <c r="N1016" t="str">
        <f>_xlfn.XLOOKUP(C1016,Table2[Species],Table2[Family],"Code Not Found")</f>
        <v>Sapindaceae</v>
      </c>
      <c r="O1016" t="str" cm="1">
        <f t="array" ref="O1016">_xlfn.IFS(F1016="","",F1016&lt;=5,"0 to 5",F1016&lt;=10,"5.1 to 10",F1016&lt;=20,"10 to 20", F1016&lt;= 40, "20 to 40", F1016 &lt;= 50, "40 to 50", F1016 &gt; 50, "&gt;50" )</f>
        <v>0 to 5</v>
      </c>
    </row>
    <row r="1017" spans="1:15" ht="14.4" x14ac:dyDescent="0.3">
      <c r="A1017" t="s">
        <v>213</v>
      </c>
      <c r="B1017" s="1">
        <v>46189</v>
      </c>
      <c r="C1017" t="s">
        <v>123</v>
      </c>
      <c r="D1017">
        <v>949</v>
      </c>
      <c r="E1017">
        <v>1</v>
      </c>
      <c r="F1017">
        <v>51.3</v>
      </c>
      <c r="G1017" t="s">
        <v>17</v>
      </c>
      <c r="H1017" t="s">
        <v>36</v>
      </c>
      <c r="I1017" t="str">
        <f t="shared" si="18"/>
        <v>949_1</v>
      </c>
      <c r="J1017" t="s">
        <v>214</v>
      </c>
      <c r="K1017" t="s">
        <v>19</v>
      </c>
      <c r="L1017" t="str">
        <f>_xlfn.XLOOKUP(C1017, Table2[Species],Table2[Genus], "Code Not Found")</f>
        <v>Quercus</v>
      </c>
      <c r="M1017" t="str">
        <f>_xlfn.XLOOKUP(C1017, Table2[Species],Table2[Sp. Name], "Code Not Found")</f>
        <v>rubra</v>
      </c>
      <c r="N1017" t="str">
        <f>_xlfn.XLOOKUP(C1017,Table2[Species],Table2[Family],"Code Not Found")</f>
        <v>Fagaceae</v>
      </c>
      <c r="O1017" t="str" cm="1">
        <f t="array" ref="O1017">_xlfn.IFS(F1017="","",F1017&lt;=5,"0 to 5",F1017&lt;=10,"5.1 to 10",F1017&lt;=20,"10 to 20", F1017&lt;= 40, "20 to 40", F1017 &lt;= 50, "40 to 50", F1017 &gt; 50, "&gt;50" )</f>
        <v>&gt;50</v>
      </c>
    </row>
    <row r="1018" spans="1:15" ht="14.4" x14ac:dyDescent="0.3">
      <c r="A1018" t="s">
        <v>213</v>
      </c>
      <c r="B1018" s="1">
        <v>46189</v>
      </c>
      <c r="C1018" t="s">
        <v>22</v>
      </c>
      <c r="D1018">
        <v>950</v>
      </c>
      <c r="E1018">
        <v>1</v>
      </c>
      <c r="F1018">
        <v>8.3000000000000007</v>
      </c>
      <c r="G1018" t="s">
        <v>57</v>
      </c>
      <c r="H1018" t="s">
        <v>43</v>
      </c>
      <c r="I1018" t="str">
        <f t="shared" si="18"/>
        <v>950_1</v>
      </c>
      <c r="J1018" t="s">
        <v>214</v>
      </c>
      <c r="K1018" t="s">
        <v>19</v>
      </c>
      <c r="L1018" t="str">
        <f>_xlfn.XLOOKUP(C1018, Table2[Species],Table2[Genus], "Code Not Found")</f>
        <v>Acer</v>
      </c>
      <c r="M1018" t="str">
        <f>_xlfn.XLOOKUP(C1018, Table2[Species],Table2[Sp. Name], "Code Not Found")</f>
        <v>rubrum</v>
      </c>
      <c r="N1018" t="str">
        <f>_xlfn.XLOOKUP(C1018,Table2[Species],Table2[Family],"Code Not Found")</f>
        <v>Sapindaceae</v>
      </c>
      <c r="O1018" t="str" cm="1">
        <f t="array" ref="O1018">_xlfn.IFS(F1018="","",F1018&lt;=5,"0 to 5",F1018&lt;=10,"5.1 to 10",F1018&lt;=20,"10 to 20", F1018&lt;= 40, "20 to 40", F1018 &lt;= 50, "40 to 50", F1018 &gt; 50, "&gt;50" )</f>
        <v>5.1 to 10</v>
      </c>
    </row>
    <row r="1019" spans="1:15" ht="14.4" x14ac:dyDescent="0.3">
      <c r="A1019" t="s">
        <v>213</v>
      </c>
      <c r="B1019" s="1">
        <v>46189</v>
      </c>
      <c r="C1019" t="s">
        <v>22</v>
      </c>
      <c r="D1019">
        <v>951</v>
      </c>
      <c r="E1019">
        <v>1</v>
      </c>
      <c r="F1019">
        <v>12.7</v>
      </c>
      <c r="G1019" t="s">
        <v>57</v>
      </c>
      <c r="I1019" t="str">
        <f t="shared" si="18"/>
        <v>951_1</v>
      </c>
      <c r="J1019" t="s">
        <v>214</v>
      </c>
      <c r="K1019" t="s">
        <v>19</v>
      </c>
      <c r="L1019" t="str">
        <f>_xlfn.XLOOKUP(C1019, Table2[Species],Table2[Genus], "Code Not Found")</f>
        <v>Acer</v>
      </c>
      <c r="M1019" t="str">
        <f>_xlfn.XLOOKUP(C1019, Table2[Species],Table2[Sp. Name], "Code Not Found")</f>
        <v>rubrum</v>
      </c>
      <c r="N1019" t="str">
        <f>_xlfn.XLOOKUP(C1019,Table2[Species],Table2[Family],"Code Not Found")</f>
        <v>Sapindaceae</v>
      </c>
      <c r="O1019" t="str" cm="1">
        <f t="array" ref="O1019">_xlfn.IFS(F1019="","",F1019&lt;=5,"0 to 5",F1019&lt;=10,"5.1 to 10",F1019&lt;=20,"10 to 20", F1019&lt;= 40, "20 to 40", F1019 &lt;= 50, "40 to 50", F1019 &gt; 50, "&gt;50" )</f>
        <v>10 to 20</v>
      </c>
    </row>
    <row r="1020" spans="1:15" ht="14.4" x14ac:dyDescent="0.3">
      <c r="A1020" t="s">
        <v>213</v>
      </c>
      <c r="B1020" s="1">
        <v>46189</v>
      </c>
      <c r="C1020" t="s">
        <v>16</v>
      </c>
      <c r="D1020">
        <v>952</v>
      </c>
      <c r="E1020">
        <v>1</v>
      </c>
      <c r="F1020">
        <v>5.6</v>
      </c>
      <c r="G1020" t="s">
        <v>21</v>
      </c>
      <c r="I1020" t="str">
        <f t="shared" si="18"/>
        <v>952_1</v>
      </c>
      <c r="J1020" t="s">
        <v>214</v>
      </c>
      <c r="K1020" t="s">
        <v>19</v>
      </c>
      <c r="L1020" t="str">
        <f>_xlfn.XLOOKUP(C1020, Table2[Species],Table2[Genus], "Code Not Found")</f>
        <v>Acer</v>
      </c>
      <c r="M1020" t="str">
        <f>_xlfn.XLOOKUP(C1020, Table2[Species],Table2[Sp. Name], "Code Not Found")</f>
        <v>saccharum</v>
      </c>
      <c r="N1020" t="str">
        <f>_xlfn.XLOOKUP(C1020,Table2[Species],Table2[Family],"Code Not Found")</f>
        <v>Sapindaceae</v>
      </c>
      <c r="O1020" t="str" cm="1">
        <f t="array" ref="O1020">_xlfn.IFS(F1020="","",F1020&lt;=5,"0 to 5",F1020&lt;=10,"5.1 to 10",F1020&lt;=20,"10 to 20", F1020&lt;= 40, "20 to 40", F1020 &lt;= 50, "40 to 50", F1020 &gt; 50, "&gt;50" )</f>
        <v>5.1 to 10</v>
      </c>
    </row>
    <row r="1021" spans="1:15" ht="14.4" x14ac:dyDescent="0.3">
      <c r="A1021" t="s">
        <v>213</v>
      </c>
      <c r="B1021" s="1">
        <v>46189</v>
      </c>
      <c r="C1021" t="s">
        <v>22</v>
      </c>
      <c r="D1021">
        <v>953</v>
      </c>
      <c r="E1021">
        <v>1</v>
      </c>
      <c r="F1021">
        <v>16.100000000000001</v>
      </c>
      <c r="G1021" t="s">
        <v>21</v>
      </c>
      <c r="I1021" t="str">
        <f t="shared" si="18"/>
        <v>953_1</v>
      </c>
      <c r="J1021" t="s">
        <v>214</v>
      </c>
      <c r="K1021" t="s">
        <v>19</v>
      </c>
      <c r="L1021" t="str">
        <f>_xlfn.XLOOKUP(C1021, Table2[Species],Table2[Genus], "Code Not Found")</f>
        <v>Acer</v>
      </c>
      <c r="M1021" t="str">
        <f>_xlfn.XLOOKUP(C1021, Table2[Species],Table2[Sp. Name], "Code Not Found")</f>
        <v>rubrum</v>
      </c>
      <c r="N1021" t="str">
        <f>_xlfn.XLOOKUP(C1021,Table2[Species],Table2[Family],"Code Not Found")</f>
        <v>Sapindaceae</v>
      </c>
      <c r="O1021" t="str" cm="1">
        <f t="array" ref="O1021">_xlfn.IFS(F1021="","",F1021&lt;=5,"0 to 5",F1021&lt;=10,"5.1 to 10",F1021&lt;=20,"10 to 20", F1021&lt;= 40, "20 to 40", F1021 &lt;= 50, "40 to 50", F1021 &gt; 50, "&gt;50" )</f>
        <v>10 to 20</v>
      </c>
    </row>
    <row r="1022" spans="1:15" ht="14.4" x14ac:dyDescent="0.3">
      <c r="A1022" t="s">
        <v>213</v>
      </c>
      <c r="B1022" s="1">
        <v>46189</v>
      </c>
      <c r="C1022" t="s">
        <v>235</v>
      </c>
      <c r="D1022">
        <v>954</v>
      </c>
      <c r="E1022">
        <v>1</v>
      </c>
      <c r="F1022">
        <v>2</v>
      </c>
      <c r="G1022" t="s">
        <v>54</v>
      </c>
      <c r="H1022" t="s">
        <v>43</v>
      </c>
      <c r="I1022" t="str">
        <f t="shared" si="18"/>
        <v>954_1</v>
      </c>
      <c r="J1022" t="s">
        <v>214</v>
      </c>
      <c r="K1022" t="s">
        <v>19</v>
      </c>
      <c r="L1022" t="str">
        <f>_xlfn.XLOOKUP(C1022, Table2[Species],Table2[Genus], "Code Not Found")</f>
        <v>Carpinus</v>
      </c>
      <c r="M1022" t="str">
        <f>_xlfn.XLOOKUP(C1022, Table2[Species],Table2[Sp. Name], "Code Not Found")</f>
        <v>caroliniana</v>
      </c>
      <c r="N1022" t="str">
        <f>_xlfn.XLOOKUP(C1022,Table2[Species],Table2[Family],"Code Not Found")</f>
        <v>Betulaceae</v>
      </c>
      <c r="O1022" t="str" cm="1">
        <f t="array" ref="O1022">_xlfn.IFS(F1022="","",F1022&lt;=5,"0 to 5",F1022&lt;=10,"5.1 to 10",F1022&lt;=20,"10 to 20", F1022&lt;= 40, "20 to 40", F1022 &lt;= 50, "40 to 50", F1022 &gt; 50, "&gt;50" )</f>
        <v>0 to 5</v>
      </c>
    </row>
    <row r="1023" spans="1:15" ht="14.4" x14ac:dyDescent="0.3">
      <c r="A1023" t="s">
        <v>213</v>
      </c>
      <c r="B1023" s="1">
        <v>46189</v>
      </c>
      <c r="C1023" t="s">
        <v>16</v>
      </c>
      <c r="D1023">
        <v>955</v>
      </c>
      <c r="E1023">
        <v>1</v>
      </c>
      <c r="F1023">
        <v>1.5</v>
      </c>
      <c r="G1023" t="s">
        <v>88</v>
      </c>
      <c r="H1023" t="s">
        <v>236</v>
      </c>
      <c r="I1023" t="str">
        <f t="shared" si="18"/>
        <v>955_1</v>
      </c>
      <c r="J1023" t="s">
        <v>214</v>
      </c>
      <c r="K1023" t="s">
        <v>19</v>
      </c>
      <c r="L1023" t="str">
        <f>_xlfn.XLOOKUP(C1023, Table2[Species],Table2[Genus], "Code Not Found")</f>
        <v>Acer</v>
      </c>
      <c r="M1023" t="str">
        <f>_xlfn.XLOOKUP(C1023, Table2[Species],Table2[Sp. Name], "Code Not Found")</f>
        <v>saccharum</v>
      </c>
      <c r="N1023" t="str">
        <f>_xlfn.XLOOKUP(C1023,Table2[Species],Table2[Family],"Code Not Found")</f>
        <v>Sapindaceae</v>
      </c>
      <c r="O1023" t="str" cm="1">
        <f t="array" ref="O1023">_xlfn.IFS(F1023="","",F1023&lt;=5,"0 to 5",F1023&lt;=10,"5.1 to 10",F1023&lt;=20,"10 to 20", F1023&lt;= 40, "20 to 40", F1023 &lt;= 50, "40 to 50", F1023 &gt; 50, "&gt;50" )</f>
        <v>0 to 5</v>
      </c>
    </row>
    <row r="1024" spans="1:15" ht="14.4" x14ac:dyDescent="0.3">
      <c r="A1024" t="s">
        <v>213</v>
      </c>
      <c r="B1024" s="1">
        <v>46189</v>
      </c>
      <c r="C1024" t="s">
        <v>22</v>
      </c>
      <c r="D1024">
        <v>956</v>
      </c>
      <c r="E1024">
        <v>1</v>
      </c>
      <c r="F1024">
        <v>7.5</v>
      </c>
      <c r="G1024" t="s">
        <v>21</v>
      </c>
      <c r="I1024" t="str">
        <f t="shared" si="18"/>
        <v>956_1</v>
      </c>
      <c r="J1024" t="s">
        <v>214</v>
      </c>
      <c r="K1024" t="s">
        <v>19</v>
      </c>
      <c r="L1024" t="str">
        <f>_xlfn.XLOOKUP(C1024, Table2[Species],Table2[Genus], "Code Not Found")</f>
        <v>Acer</v>
      </c>
      <c r="M1024" t="str">
        <f>_xlfn.XLOOKUP(C1024, Table2[Species],Table2[Sp. Name], "Code Not Found")</f>
        <v>rubrum</v>
      </c>
      <c r="N1024" t="str">
        <f>_xlfn.XLOOKUP(C1024,Table2[Species],Table2[Family],"Code Not Found")</f>
        <v>Sapindaceae</v>
      </c>
      <c r="O1024" t="str" cm="1">
        <f t="array" ref="O1024">_xlfn.IFS(F1024="","",F1024&lt;=5,"0 to 5",F1024&lt;=10,"5.1 to 10",F1024&lt;=20,"10 to 20", F1024&lt;= 40, "20 to 40", F1024 &lt;= 50, "40 to 50", F1024 &gt; 50, "&gt;50" )</f>
        <v>5.1 to 10</v>
      </c>
    </row>
    <row r="1025" spans="1:15" ht="14.4" x14ac:dyDescent="0.3">
      <c r="A1025" t="s">
        <v>213</v>
      </c>
      <c r="B1025" s="1">
        <v>46189</v>
      </c>
      <c r="C1025" t="s">
        <v>16</v>
      </c>
      <c r="D1025">
        <v>957</v>
      </c>
      <c r="E1025">
        <v>1</v>
      </c>
      <c r="F1025">
        <v>1.4</v>
      </c>
      <c r="G1025" t="s">
        <v>21</v>
      </c>
      <c r="I1025" t="str">
        <f t="shared" si="18"/>
        <v>957_1</v>
      </c>
      <c r="J1025" t="s">
        <v>214</v>
      </c>
      <c r="K1025" t="s">
        <v>19</v>
      </c>
      <c r="L1025" t="str">
        <f>_xlfn.XLOOKUP(C1025, Table2[Species],Table2[Genus], "Code Not Found")</f>
        <v>Acer</v>
      </c>
      <c r="M1025" t="str">
        <f>_xlfn.XLOOKUP(C1025, Table2[Species],Table2[Sp. Name], "Code Not Found")</f>
        <v>saccharum</v>
      </c>
      <c r="N1025" t="str">
        <f>_xlfn.XLOOKUP(C1025,Table2[Species],Table2[Family],"Code Not Found")</f>
        <v>Sapindaceae</v>
      </c>
      <c r="O1025" t="str" cm="1">
        <f t="array" ref="O1025">_xlfn.IFS(F1025="","",F1025&lt;=5,"0 to 5",F1025&lt;=10,"5.1 to 10",F1025&lt;=20,"10 to 20", F1025&lt;= 40, "20 to 40", F1025 &lt;= 50, "40 to 50", F1025 &gt; 50, "&gt;50" )</f>
        <v>0 to 5</v>
      </c>
    </row>
    <row r="1026" spans="1:15" ht="14.4" x14ac:dyDescent="0.3">
      <c r="A1026" t="s">
        <v>213</v>
      </c>
      <c r="B1026" s="1">
        <v>46189</v>
      </c>
      <c r="C1026" t="s">
        <v>16</v>
      </c>
      <c r="D1026">
        <v>958</v>
      </c>
      <c r="E1026">
        <v>1</v>
      </c>
      <c r="F1026">
        <v>2</v>
      </c>
      <c r="G1026" t="s">
        <v>237</v>
      </c>
      <c r="H1026" t="s">
        <v>121</v>
      </c>
      <c r="I1026" t="str">
        <f t="shared" si="18"/>
        <v>958_1</v>
      </c>
      <c r="J1026" t="s">
        <v>214</v>
      </c>
      <c r="K1026" t="s">
        <v>19</v>
      </c>
      <c r="L1026" t="str">
        <f>_xlfn.XLOOKUP(C1026, Table2[Species],Table2[Genus], "Code Not Found")</f>
        <v>Acer</v>
      </c>
      <c r="M1026" t="str">
        <f>_xlfn.XLOOKUP(C1026, Table2[Species],Table2[Sp. Name], "Code Not Found")</f>
        <v>saccharum</v>
      </c>
      <c r="N1026" t="str">
        <f>_xlfn.XLOOKUP(C1026,Table2[Species],Table2[Family],"Code Not Found")</f>
        <v>Sapindaceae</v>
      </c>
      <c r="O1026" t="str" cm="1">
        <f t="array" ref="O1026">_xlfn.IFS(F1026="","",F1026&lt;=5,"0 to 5",F1026&lt;=10,"5.1 to 10",F1026&lt;=20,"10 to 20", F1026&lt;= 40, "20 to 40", F1026 &lt;= 50, "40 to 50", F1026 &gt; 50, "&gt;50" )</f>
        <v>0 to 5</v>
      </c>
    </row>
    <row r="1027" spans="1:15" ht="14.4" x14ac:dyDescent="0.3">
      <c r="A1027" t="s">
        <v>213</v>
      </c>
      <c r="B1027" s="1">
        <v>46189</v>
      </c>
      <c r="C1027" t="s">
        <v>24</v>
      </c>
      <c r="D1027">
        <v>959</v>
      </c>
      <c r="E1027">
        <v>1</v>
      </c>
      <c r="F1027">
        <v>35.5</v>
      </c>
      <c r="G1027" t="s">
        <v>21</v>
      </c>
      <c r="I1027" t="str">
        <f t="shared" si="18"/>
        <v>959_1</v>
      </c>
      <c r="J1027" t="s">
        <v>214</v>
      </c>
      <c r="K1027" t="s">
        <v>19</v>
      </c>
      <c r="L1027" t="str">
        <f>_xlfn.XLOOKUP(C1027, Table2[Species],Table2[Genus], "Code Not Found")</f>
        <v>Lirodendron</v>
      </c>
      <c r="M1027" t="str">
        <f>_xlfn.XLOOKUP(C1027, Table2[Species],Table2[Sp. Name], "Code Not Found")</f>
        <v>tulipfera</v>
      </c>
      <c r="N1027" t="str">
        <f>_xlfn.XLOOKUP(C1027,Table2[Species],Table2[Family],"Code Not Found")</f>
        <v>Magnoliaceae</v>
      </c>
      <c r="O1027" t="str" cm="1">
        <f t="array" ref="O1027">_xlfn.IFS(F1027="","",F1027&lt;=5,"0 to 5",F1027&lt;=10,"5.1 to 10",F1027&lt;=20,"10 to 20", F1027&lt;= 40, "20 to 40", F1027 &lt;= 50, "40 to 50", F1027 &gt; 50, "&gt;50" )</f>
        <v>20 to 40</v>
      </c>
    </row>
    <row r="1028" spans="1:15" ht="14.4" x14ac:dyDescent="0.3">
      <c r="A1028" t="s">
        <v>213</v>
      </c>
      <c r="B1028" s="1">
        <v>46189</v>
      </c>
      <c r="C1028" t="s">
        <v>16</v>
      </c>
      <c r="D1028">
        <v>960</v>
      </c>
      <c r="E1028">
        <v>1</v>
      </c>
      <c r="F1028">
        <v>3.3</v>
      </c>
      <c r="G1028" t="s">
        <v>88</v>
      </c>
      <c r="H1028" t="s">
        <v>99</v>
      </c>
      <c r="I1028" t="str">
        <f t="shared" si="18"/>
        <v>960_1</v>
      </c>
      <c r="J1028" t="s">
        <v>214</v>
      </c>
      <c r="K1028" t="s">
        <v>19</v>
      </c>
      <c r="L1028" t="str">
        <f>_xlfn.XLOOKUP(C1028, Table2[Species],Table2[Genus], "Code Not Found")</f>
        <v>Acer</v>
      </c>
      <c r="M1028" t="str">
        <f>_xlfn.XLOOKUP(C1028, Table2[Species],Table2[Sp. Name], "Code Not Found")</f>
        <v>saccharum</v>
      </c>
      <c r="N1028" t="str">
        <f>_xlfn.XLOOKUP(C1028,Table2[Species],Table2[Family],"Code Not Found")</f>
        <v>Sapindaceae</v>
      </c>
      <c r="O1028" t="str" cm="1">
        <f t="array" ref="O1028">_xlfn.IFS(F1028="","",F1028&lt;=5,"0 to 5",F1028&lt;=10,"5.1 to 10",F1028&lt;=20,"10 to 20", F1028&lt;= 40, "20 to 40", F1028 &lt;= 50, "40 to 50", F1028 &gt; 50, "&gt;50" )</f>
        <v>0 to 5</v>
      </c>
    </row>
    <row r="1029" spans="1:15" ht="14.4" x14ac:dyDescent="0.3">
      <c r="A1029" t="s">
        <v>213</v>
      </c>
      <c r="B1029" s="1">
        <v>46189</v>
      </c>
      <c r="C1029" t="s">
        <v>16</v>
      </c>
      <c r="D1029">
        <v>961</v>
      </c>
      <c r="E1029">
        <v>1</v>
      </c>
      <c r="F1029">
        <v>1.7</v>
      </c>
      <c r="G1029" t="s">
        <v>17</v>
      </c>
      <c r="I1029" t="str">
        <f t="shared" si="18"/>
        <v>961_1</v>
      </c>
      <c r="J1029" t="s">
        <v>214</v>
      </c>
      <c r="K1029" t="s">
        <v>19</v>
      </c>
      <c r="L1029" t="str">
        <f>_xlfn.XLOOKUP(C1029, Table2[Species],Table2[Genus], "Code Not Found")</f>
        <v>Acer</v>
      </c>
      <c r="M1029" t="str">
        <f>_xlfn.XLOOKUP(C1029, Table2[Species],Table2[Sp. Name], "Code Not Found")</f>
        <v>saccharum</v>
      </c>
      <c r="N1029" t="str">
        <f>_xlfn.XLOOKUP(C1029,Table2[Species],Table2[Family],"Code Not Found")</f>
        <v>Sapindaceae</v>
      </c>
      <c r="O1029" t="str" cm="1">
        <f t="array" ref="O1029">_xlfn.IFS(F1029="","",F1029&lt;=5,"0 to 5",F1029&lt;=10,"5.1 to 10",F1029&lt;=20,"10 to 20", F1029&lt;= 40, "20 to 40", F1029 &lt;= 50, "40 to 50", F1029 &gt; 50, "&gt;50" )</f>
        <v>0 to 5</v>
      </c>
    </row>
    <row r="1030" spans="1:15" ht="14.4" x14ac:dyDescent="0.3">
      <c r="A1030" t="s">
        <v>213</v>
      </c>
      <c r="B1030" s="1">
        <v>46189</v>
      </c>
      <c r="C1030" t="s">
        <v>24</v>
      </c>
      <c r="D1030">
        <v>962</v>
      </c>
      <c r="E1030">
        <v>1</v>
      </c>
      <c r="F1030">
        <v>14.3</v>
      </c>
      <c r="G1030" t="s">
        <v>17</v>
      </c>
      <c r="I1030" t="str">
        <f t="shared" si="18"/>
        <v>962_1</v>
      </c>
      <c r="J1030" t="s">
        <v>214</v>
      </c>
      <c r="K1030" t="s">
        <v>19</v>
      </c>
      <c r="L1030" t="str">
        <f>_xlfn.XLOOKUP(C1030, Table2[Species],Table2[Genus], "Code Not Found")</f>
        <v>Lirodendron</v>
      </c>
      <c r="M1030" t="str">
        <f>_xlfn.XLOOKUP(C1030, Table2[Species],Table2[Sp. Name], "Code Not Found")</f>
        <v>tulipfera</v>
      </c>
      <c r="N1030" t="str">
        <f>_xlfn.XLOOKUP(C1030,Table2[Species],Table2[Family],"Code Not Found")</f>
        <v>Magnoliaceae</v>
      </c>
      <c r="O1030" t="str" cm="1">
        <f t="array" ref="O1030">_xlfn.IFS(F1030="","",F1030&lt;=5,"0 to 5",F1030&lt;=10,"5.1 to 10",F1030&lt;=20,"10 to 20", F1030&lt;= 40, "20 to 40", F1030 &lt;= 50, "40 to 50", F1030 &gt; 50, "&gt;50" )</f>
        <v>10 to 20</v>
      </c>
    </row>
    <row r="1031" spans="1:15" ht="14.4" x14ac:dyDescent="0.3">
      <c r="A1031" t="s">
        <v>213</v>
      </c>
      <c r="B1031" s="1">
        <v>46189</v>
      </c>
      <c r="C1031" t="s">
        <v>22</v>
      </c>
      <c r="D1031">
        <v>963</v>
      </c>
      <c r="E1031">
        <v>1</v>
      </c>
      <c r="F1031">
        <v>19</v>
      </c>
      <c r="G1031" t="s">
        <v>47</v>
      </c>
      <c r="H1031" t="s">
        <v>43</v>
      </c>
      <c r="I1031" t="str">
        <f t="shared" si="18"/>
        <v>963_1</v>
      </c>
      <c r="J1031" t="s">
        <v>214</v>
      </c>
      <c r="K1031" t="s">
        <v>19</v>
      </c>
      <c r="L1031" t="str">
        <f>_xlfn.XLOOKUP(C1031, Table2[Species],Table2[Genus], "Code Not Found")</f>
        <v>Acer</v>
      </c>
      <c r="M1031" t="str">
        <f>_xlfn.XLOOKUP(C1031, Table2[Species],Table2[Sp. Name], "Code Not Found")</f>
        <v>rubrum</v>
      </c>
      <c r="N1031" t="str">
        <f>_xlfn.XLOOKUP(C1031,Table2[Species],Table2[Family],"Code Not Found")</f>
        <v>Sapindaceae</v>
      </c>
      <c r="O1031" t="str" cm="1">
        <f t="array" ref="O1031">_xlfn.IFS(F1031="","",F1031&lt;=5,"0 to 5",F1031&lt;=10,"5.1 to 10",F1031&lt;=20,"10 to 20", F1031&lt;= 40, "20 to 40", F1031 &lt;= 50, "40 to 50", F1031 &gt; 50, "&gt;50" )</f>
        <v>10 to 20</v>
      </c>
    </row>
    <row r="1032" spans="1:15" ht="14.4" x14ac:dyDescent="0.3">
      <c r="A1032" t="s">
        <v>213</v>
      </c>
      <c r="B1032" s="1">
        <v>46189</v>
      </c>
      <c r="C1032" t="s">
        <v>64</v>
      </c>
      <c r="D1032">
        <v>964</v>
      </c>
      <c r="E1032">
        <v>1</v>
      </c>
      <c r="F1032">
        <v>5.2</v>
      </c>
      <c r="G1032" t="s">
        <v>61</v>
      </c>
      <c r="H1032" t="s">
        <v>238</v>
      </c>
      <c r="I1032" t="str">
        <f t="shared" si="18"/>
        <v>964_1</v>
      </c>
      <c r="J1032" t="s">
        <v>214</v>
      </c>
      <c r="K1032" t="s">
        <v>19</v>
      </c>
      <c r="L1032" t="str">
        <f>_xlfn.XLOOKUP(C1032, Table2[Species],Table2[Genus], "Code Not Found")</f>
        <v>Fagus</v>
      </c>
      <c r="M1032" t="str">
        <f>_xlfn.XLOOKUP(C1032, Table2[Species],Table2[Sp. Name], "Code Not Found")</f>
        <v>grandifolia</v>
      </c>
      <c r="N1032" t="str">
        <f>_xlfn.XLOOKUP(C1032,Table2[Species],Table2[Family],"Code Not Found")</f>
        <v>Fagaceae</v>
      </c>
      <c r="O1032" t="str" cm="1">
        <f t="array" ref="O1032">_xlfn.IFS(F1032="","",F1032&lt;=5,"0 to 5",F1032&lt;=10,"5.1 to 10",F1032&lt;=20,"10 to 20", F1032&lt;= 40, "20 to 40", F1032 &lt;= 50, "40 to 50", F1032 &gt; 50, "&gt;50" )</f>
        <v>5.1 to 10</v>
      </c>
    </row>
    <row r="1033" spans="1:15" ht="14.4" x14ac:dyDescent="0.3">
      <c r="A1033" t="s">
        <v>213</v>
      </c>
      <c r="B1033" s="1">
        <v>46189</v>
      </c>
      <c r="C1033" t="s">
        <v>64</v>
      </c>
      <c r="D1033">
        <v>964</v>
      </c>
      <c r="E1033">
        <v>2</v>
      </c>
      <c r="F1033">
        <v>1.7</v>
      </c>
      <c r="G1033" t="s">
        <v>32</v>
      </c>
      <c r="H1033" s="6" t="s">
        <v>239</v>
      </c>
      <c r="I1033" t="str">
        <f t="shared" si="18"/>
        <v>964_2</v>
      </c>
      <c r="J1033" t="s">
        <v>214</v>
      </c>
      <c r="K1033" t="s">
        <v>19</v>
      </c>
      <c r="L1033" t="str">
        <f>_xlfn.XLOOKUP(C1033, Table2[Species],Table2[Genus], "Code Not Found")</f>
        <v>Fagus</v>
      </c>
      <c r="M1033" t="str">
        <f>_xlfn.XLOOKUP(C1033, Table2[Species],Table2[Sp. Name], "Code Not Found")</f>
        <v>grandifolia</v>
      </c>
      <c r="N1033" t="str">
        <f>_xlfn.XLOOKUP(C1033,Table2[Species],Table2[Family],"Code Not Found")</f>
        <v>Fagaceae</v>
      </c>
      <c r="O1033" t="str" cm="1">
        <f t="array" ref="O1033">_xlfn.IFS(F1033="","",F1033&lt;=5,"0 to 5",F1033&lt;=10,"5.1 to 10",F1033&lt;=20,"10 to 20", F1033&lt;= 40, "20 to 40", F1033 &lt;= 50, "40 to 50", F1033 &gt; 50, "&gt;50" )</f>
        <v>0 to 5</v>
      </c>
    </row>
    <row r="1034" spans="1:15" ht="14.4" x14ac:dyDescent="0.3">
      <c r="A1034" t="s">
        <v>213</v>
      </c>
      <c r="B1034" s="1">
        <v>46189</v>
      </c>
      <c r="C1034" t="s">
        <v>64</v>
      </c>
      <c r="D1034">
        <v>964</v>
      </c>
      <c r="E1034">
        <v>3</v>
      </c>
      <c r="F1034">
        <v>1</v>
      </c>
      <c r="G1034" t="s">
        <v>32</v>
      </c>
      <c r="H1034" s="6" t="s">
        <v>239</v>
      </c>
      <c r="I1034" t="str">
        <f t="shared" si="18"/>
        <v>964_3</v>
      </c>
      <c r="J1034" t="s">
        <v>214</v>
      </c>
      <c r="K1034" t="s">
        <v>19</v>
      </c>
      <c r="L1034" t="str">
        <f>_xlfn.XLOOKUP(C1034, Table2[Species],Table2[Genus], "Code Not Found")</f>
        <v>Fagus</v>
      </c>
      <c r="M1034" t="str">
        <f>_xlfn.XLOOKUP(C1034, Table2[Species],Table2[Sp. Name], "Code Not Found")</f>
        <v>grandifolia</v>
      </c>
      <c r="N1034" t="str">
        <f>_xlfn.XLOOKUP(C1034,Table2[Species],Table2[Family],"Code Not Found")</f>
        <v>Fagaceae</v>
      </c>
      <c r="O1034" t="str" cm="1">
        <f t="array" ref="O1034">_xlfn.IFS(F1034="","",F1034&lt;=5,"0 to 5",F1034&lt;=10,"5.1 to 10",F1034&lt;=20,"10 to 20", F1034&lt;= 40, "20 to 40", F1034 &lt;= 50, "40 to 50", F1034 &gt; 50, "&gt;50" )</f>
        <v>0 to 5</v>
      </c>
    </row>
    <row r="1035" spans="1:15" ht="14.4" x14ac:dyDescent="0.3">
      <c r="A1035" t="s">
        <v>213</v>
      </c>
      <c r="B1035" s="1">
        <v>46189</v>
      </c>
      <c r="C1035" t="s">
        <v>22</v>
      </c>
      <c r="D1035">
        <v>965</v>
      </c>
      <c r="E1035">
        <v>1</v>
      </c>
      <c r="F1035">
        <v>18.100000000000001</v>
      </c>
      <c r="G1035" t="s">
        <v>21</v>
      </c>
      <c r="I1035" t="str">
        <f t="shared" si="18"/>
        <v>965_1</v>
      </c>
      <c r="J1035" t="s">
        <v>214</v>
      </c>
      <c r="K1035" t="s">
        <v>19</v>
      </c>
      <c r="L1035" t="str">
        <f>_xlfn.XLOOKUP(C1035, Table2[Species],Table2[Genus], "Code Not Found")</f>
        <v>Acer</v>
      </c>
      <c r="M1035" t="str">
        <f>_xlfn.XLOOKUP(C1035, Table2[Species],Table2[Sp. Name], "Code Not Found")</f>
        <v>rubrum</v>
      </c>
      <c r="N1035" t="str">
        <f>_xlfn.XLOOKUP(C1035,Table2[Species],Table2[Family],"Code Not Found")</f>
        <v>Sapindaceae</v>
      </c>
      <c r="O1035" t="str" cm="1">
        <f t="array" ref="O1035">_xlfn.IFS(F1035="","",F1035&lt;=5,"0 to 5",F1035&lt;=10,"5.1 to 10",F1035&lt;=20,"10 to 20", F1035&lt;= 40, "20 to 40", F1035 &lt;= 50, "40 to 50", F1035 &gt; 50, "&gt;50" )</f>
        <v>10 to 20</v>
      </c>
    </row>
    <row r="1036" spans="1:15" ht="14.4" x14ac:dyDescent="0.3">
      <c r="A1036" t="s">
        <v>213</v>
      </c>
      <c r="B1036" s="1">
        <v>46189</v>
      </c>
      <c r="C1036" t="s">
        <v>16</v>
      </c>
      <c r="D1036">
        <v>966</v>
      </c>
      <c r="E1036">
        <v>1</v>
      </c>
      <c r="F1036">
        <v>1.3</v>
      </c>
      <c r="G1036" t="s">
        <v>17</v>
      </c>
      <c r="I1036" t="str">
        <f t="shared" si="18"/>
        <v>966_1</v>
      </c>
      <c r="J1036" t="s">
        <v>214</v>
      </c>
      <c r="K1036" t="s">
        <v>19</v>
      </c>
      <c r="L1036" t="str">
        <f>_xlfn.XLOOKUP(C1036, Table2[Species],Table2[Genus], "Code Not Found")</f>
        <v>Acer</v>
      </c>
      <c r="M1036" t="str">
        <f>_xlfn.XLOOKUP(C1036, Table2[Species],Table2[Sp. Name], "Code Not Found")</f>
        <v>saccharum</v>
      </c>
      <c r="N1036" t="str">
        <f>_xlfn.XLOOKUP(C1036,Table2[Species],Table2[Family],"Code Not Found")</f>
        <v>Sapindaceae</v>
      </c>
      <c r="O1036" t="str" cm="1">
        <f t="array" ref="O1036">_xlfn.IFS(F1036="","",F1036&lt;=5,"0 to 5",F1036&lt;=10,"5.1 to 10",F1036&lt;=20,"10 to 20", F1036&lt;= 40, "20 to 40", F1036 &lt;= 50, "40 to 50", F1036 &gt; 50, "&gt;50" )</f>
        <v>0 to 5</v>
      </c>
    </row>
    <row r="1037" spans="1:15" ht="14.4" x14ac:dyDescent="0.3">
      <c r="A1037" t="s">
        <v>213</v>
      </c>
      <c r="B1037" s="1">
        <v>46189</v>
      </c>
      <c r="C1037" t="s">
        <v>16</v>
      </c>
      <c r="D1037">
        <v>967</v>
      </c>
      <c r="E1037">
        <v>1</v>
      </c>
      <c r="F1037">
        <v>1.7</v>
      </c>
      <c r="G1037" t="s">
        <v>47</v>
      </c>
      <c r="H1037" t="s">
        <v>43</v>
      </c>
      <c r="I1037" t="str">
        <f t="shared" si="18"/>
        <v>967_1</v>
      </c>
      <c r="J1037" t="s">
        <v>214</v>
      </c>
      <c r="K1037" t="s">
        <v>19</v>
      </c>
      <c r="L1037" t="str">
        <f>_xlfn.XLOOKUP(C1037, Table2[Species],Table2[Genus], "Code Not Found")</f>
        <v>Acer</v>
      </c>
      <c r="M1037" t="str">
        <f>_xlfn.XLOOKUP(C1037, Table2[Species],Table2[Sp. Name], "Code Not Found")</f>
        <v>saccharum</v>
      </c>
      <c r="N1037" t="str">
        <f>_xlfn.XLOOKUP(C1037,Table2[Species],Table2[Family],"Code Not Found")</f>
        <v>Sapindaceae</v>
      </c>
      <c r="O1037" t="str" cm="1">
        <f t="array" ref="O1037">_xlfn.IFS(F1037="","",F1037&lt;=5,"0 to 5",F1037&lt;=10,"5.1 to 10",F1037&lt;=20,"10 to 20", F1037&lt;= 40, "20 to 40", F1037 &lt;= 50, "40 to 50", F1037 &gt; 50, "&gt;50" )</f>
        <v>0 to 5</v>
      </c>
    </row>
    <row r="1038" spans="1:15" ht="14.4" x14ac:dyDescent="0.3">
      <c r="A1038" t="s">
        <v>213</v>
      </c>
      <c r="B1038" s="1">
        <v>46189</v>
      </c>
      <c r="C1038" t="s">
        <v>16</v>
      </c>
      <c r="D1038">
        <v>968</v>
      </c>
      <c r="E1038">
        <v>1</v>
      </c>
      <c r="F1038">
        <v>2</v>
      </c>
      <c r="G1038" t="s">
        <v>21</v>
      </c>
      <c r="I1038" t="str">
        <f t="shared" si="18"/>
        <v>968_1</v>
      </c>
      <c r="J1038" t="s">
        <v>214</v>
      </c>
      <c r="K1038" t="s">
        <v>19</v>
      </c>
      <c r="L1038" t="str">
        <f>_xlfn.XLOOKUP(C1038, Table2[Species],Table2[Genus], "Code Not Found")</f>
        <v>Acer</v>
      </c>
      <c r="M1038" t="str">
        <f>_xlfn.XLOOKUP(C1038, Table2[Species],Table2[Sp. Name], "Code Not Found")</f>
        <v>saccharum</v>
      </c>
      <c r="N1038" t="str">
        <f>_xlfn.XLOOKUP(C1038,Table2[Species],Table2[Family],"Code Not Found")</f>
        <v>Sapindaceae</v>
      </c>
      <c r="O1038" t="str" cm="1">
        <f t="array" ref="O1038">_xlfn.IFS(F1038="","",F1038&lt;=5,"0 to 5",F1038&lt;=10,"5.1 to 10",F1038&lt;=20,"10 to 20", F1038&lt;= 40, "20 to 40", F1038 &lt;= 50, "40 to 50", F1038 &gt; 50, "&gt;50" )</f>
        <v>0 to 5</v>
      </c>
    </row>
    <row r="1039" spans="1:15" ht="14.4" x14ac:dyDescent="0.3">
      <c r="A1039" t="s">
        <v>213</v>
      </c>
      <c r="B1039" s="1">
        <v>46189</v>
      </c>
      <c r="C1039" t="s">
        <v>16</v>
      </c>
      <c r="D1039">
        <v>969</v>
      </c>
      <c r="E1039">
        <v>1</v>
      </c>
      <c r="F1039">
        <v>1.3</v>
      </c>
      <c r="G1039" t="s">
        <v>34</v>
      </c>
      <c r="I1039" t="str">
        <f t="shared" si="18"/>
        <v>969_1</v>
      </c>
      <c r="J1039" t="s">
        <v>214</v>
      </c>
      <c r="K1039" t="s">
        <v>19</v>
      </c>
      <c r="L1039" t="str">
        <f>_xlfn.XLOOKUP(C1039, Table2[Species],Table2[Genus], "Code Not Found")</f>
        <v>Acer</v>
      </c>
      <c r="M1039" t="str">
        <f>_xlfn.XLOOKUP(C1039, Table2[Species],Table2[Sp. Name], "Code Not Found")</f>
        <v>saccharum</v>
      </c>
      <c r="N1039" t="str">
        <f>_xlfn.XLOOKUP(C1039,Table2[Species],Table2[Family],"Code Not Found")</f>
        <v>Sapindaceae</v>
      </c>
      <c r="O1039" t="str" cm="1">
        <f t="array" ref="O1039">_xlfn.IFS(F1039="","",F1039&lt;=5,"0 to 5",F1039&lt;=10,"5.1 to 10",F1039&lt;=20,"10 to 20", F1039&lt;= 40, "20 to 40", F1039 &lt;= 50, "40 to 50", F1039 &gt; 50, "&gt;50" )</f>
        <v>0 to 5</v>
      </c>
    </row>
    <row r="1040" spans="1:15" ht="14.4" x14ac:dyDescent="0.3">
      <c r="A1040" t="s">
        <v>213</v>
      </c>
      <c r="B1040" s="1">
        <v>46189</v>
      </c>
      <c r="C1040" t="s">
        <v>16</v>
      </c>
      <c r="D1040">
        <v>969</v>
      </c>
      <c r="E1040">
        <v>2</v>
      </c>
      <c r="F1040">
        <v>1.2</v>
      </c>
      <c r="G1040" t="s">
        <v>34</v>
      </c>
      <c r="I1040" t="str">
        <f t="shared" si="18"/>
        <v>969_2</v>
      </c>
      <c r="J1040" t="s">
        <v>214</v>
      </c>
      <c r="K1040" t="s">
        <v>19</v>
      </c>
      <c r="L1040" t="str">
        <f>_xlfn.XLOOKUP(C1040, Table2[Species],Table2[Genus], "Code Not Found")</f>
        <v>Acer</v>
      </c>
      <c r="M1040" t="str">
        <f>_xlfn.XLOOKUP(C1040, Table2[Species],Table2[Sp. Name], "Code Not Found")</f>
        <v>saccharum</v>
      </c>
      <c r="N1040" t="str">
        <f>_xlfn.XLOOKUP(C1040,Table2[Species],Table2[Family],"Code Not Found")</f>
        <v>Sapindaceae</v>
      </c>
      <c r="O1040" t="str" cm="1">
        <f t="array" ref="O1040">_xlfn.IFS(F1040="","",F1040&lt;=5,"0 to 5",F1040&lt;=10,"5.1 to 10",F1040&lt;=20,"10 to 20", F1040&lt;= 40, "20 to 40", F1040 &lt;= 50, "40 to 50", F1040 &gt; 50, "&gt;50" )</f>
        <v>0 to 5</v>
      </c>
    </row>
    <row r="1041" spans="1:15" ht="14.4" x14ac:dyDescent="0.3">
      <c r="A1041" t="s">
        <v>213</v>
      </c>
      <c r="B1041" s="1">
        <v>46189</v>
      </c>
      <c r="C1041" t="s">
        <v>24</v>
      </c>
      <c r="D1041">
        <v>970</v>
      </c>
      <c r="E1041">
        <v>1</v>
      </c>
      <c r="F1041">
        <v>25</v>
      </c>
      <c r="G1041" t="s">
        <v>17</v>
      </c>
      <c r="I1041" t="str">
        <f t="shared" si="18"/>
        <v>970_1</v>
      </c>
      <c r="J1041" t="s">
        <v>214</v>
      </c>
      <c r="K1041" t="s">
        <v>19</v>
      </c>
      <c r="L1041" t="str">
        <f>_xlfn.XLOOKUP(C1041, Table2[Species],Table2[Genus], "Code Not Found")</f>
        <v>Lirodendron</v>
      </c>
      <c r="M1041" t="str">
        <f>_xlfn.XLOOKUP(C1041, Table2[Species],Table2[Sp. Name], "Code Not Found")</f>
        <v>tulipfera</v>
      </c>
      <c r="N1041" t="str">
        <f>_xlfn.XLOOKUP(C1041,Table2[Species],Table2[Family],"Code Not Found")</f>
        <v>Magnoliaceae</v>
      </c>
      <c r="O1041" t="str" cm="1">
        <f t="array" ref="O1041">_xlfn.IFS(F1041="","",F1041&lt;=5,"0 to 5",F1041&lt;=10,"5.1 to 10",F1041&lt;=20,"10 to 20", F1041&lt;= 40, "20 to 40", F1041 &lt;= 50, "40 to 50", F1041 &gt; 50, "&gt;50" )</f>
        <v>20 to 40</v>
      </c>
    </row>
    <row r="1042" spans="1:15" ht="14.4" x14ac:dyDescent="0.3">
      <c r="A1042" t="s">
        <v>213</v>
      </c>
      <c r="B1042" s="1">
        <v>46189</v>
      </c>
      <c r="C1042" t="s">
        <v>22</v>
      </c>
      <c r="D1042">
        <v>971</v>
      </c>
      <c r="E1042">
        <v>1</v>
      </c>
      <c r="F1042">
        <v>6.8</v>
      </c>
      <c r="G1042" t="s">
        <v>47</v>
      </c>
      <c r="H1042" t="s">
        <v>43</v>
      </c>
      <c r="I1042" t="str">
        <f t="shared" si="18"/>
        <v>971_1</v>
      </c>
      <c r="J1042" t="s">
        <v>214</v>
      </c>
      <c r="K1042" t="s">
        <v>19</v>
      </c>
      <c r="L1042" t="str">
        <f>_xlfn.XLOOKUP(C1042, Table2[Species],Table2[Genus], "Code Not Found")</f>
        <v>Acer</v>
      </c>
      <c r="M1042" t="str">
        <f>_xlfn.XLOOKUP(C1042, Table2[Species],Table2[Sp. Name], "Code Not Found")</f>
        <v>rubrum</v>
      </c>
      <c r="N1042" t="str">
        <f>_xlfn.XLOOKUP(C1042,Table2[Species],Table2[Family],"Code Not Found")</f>
        <v>Sapindaceae</v>
      </c>
      <c r="O1042" t="str" cm="1">
        <f t="array" ref="O1042">_xlfn.IFS(F1042="","",F1042&lt;=5,"0 to 5",F1042&lt;=10,"5.1 to 10",F1042&lt;=20,"10 to 20", F1042&lt;= 40, "20 to 40", F1042 &lt;= 50, "40 to 50", F1042 &gt; 50, "&gt;50" )</f>
        <v>5.1 to 10</v>
      </c>
    </row>
    <row r="1043" spans="1:15" ht="14.4" x14ac:dyDescent="0.3">
      <c r="A1043" t="s">
        <v>213</v>
      </c>
      <c r="B1043" s="1">
        <v>46189</v>
      </c>
      <c r="C1043" t="s">
        <v>24</v>
      </c>
      <c r="D1043">
        <v>972</v>
      </c>
      <c r="E1043">
        <v>1</v>
      </c>
      <c r="F1043">
        <v>25</v>
      </c>
      <c r="G1043" t="s">
        <v>17</v>
      </c>
      <c r="I1043" t="str">
        <f t="shared" si="18"/>
        <v>972_1</v>
      </c>
      <c r="J1043" t="s">
        <v>214</v>
      </c>
      <c r="K1043" t="s">
        <v>19</v>
      </c>
      <c r="L1043" t="str">
        <f>_xlfn.XLOOKUP(C1043, Table2[Species],Table2[Genus], "Code Not Found")</f>
        <v>Lirodendron</v>
      </c>
      <c r="M1043" t="str">
        <f>_xlfn.XLOOKUP(C1043, Table2[Species],Table2[Sp. Name], "Code Not Found")</f>
        <v>tulipfera</v>
      </c>
      <c r="N1043" t="str">
        <f>_xlfn.XLOOKUP(C1043,Table2[Species],Table2[Family],"Code Not Found")</f>
        <v>Magnoliaceae</v>
      </c>
      <c r="O1043" t="str" cm="1">
        <f t="array" ref="O1043">_xlfn.IFS(F1043="","",F1043&lt;=5,"0 to 5",F1043&lt;=10,"5.1 to 10",F1043&lt;=20,"10 to 20", F1043&lt;= 40, "20 to 40", F1043 &lt;= 50, "40 to 50", F1043 &gt; 50, "&gt;50" )</f>
        <v>20 to 40</v>
      </c>
    </row>
    <row r="1044" spans="1:15" ht="14.4" x14ac:dyDescent="0.3">
      <c r="A1044" t="s">
        <v>213</v>
      </c>
      <c r="B1044" s="1">
        <v>46189</v>
      </c>
      <c r="C1044" t="s">
        <v>22</v>
      </c>
      <c r="D1044">
        <v>973</v>
      </c>
      <c r="E1044">
        <v>1</v>
      </c>
      <c r="F1044">
        <v>5.3</v>
      </c>
      <c r="G1044" t="s">
        <v>17</v>
      </c>
      <c r="I1044" t="str">
        <f t="shared" si="18"/>
        <v>973_1</v>
      </c>
      <c r="J1044" t="s">
        <v>214</v>
      </c>
      <c r="K1044" t="s">
        <v>19</v>
      </c>
      <c r="L1044" t="str">
        <f>_xlfn.XLOOKUP(C1044, Table2[Species],Table2[Genus], "Code Not Found")</f>
        <v>Acer</v>
      </c>
      <c r="M1044" t="str">
        <f>_xlfn.XLOOKUP(C1044, Table2[Species],Table2[Sp. Name], "Code Not Found")</f>
        <v>rubrum</v>
      </c>
      <c r="N1044" t="str">
        <f>_xlfn.XLOOKUP(C1044,Table2[Species],Table2[Family],"Code Not Found")</f>
        <v>Sapindaceae</v>
      </c>
      <c r="O1044" t="str" cm="1">
        <f t="array" ref="O1044">_xlfn.IFS(F1044="","",F1044&lt;=5,"0 to 5",F1044&lt;=10,"5.1 to 10",F1044&lt;=20,"10 to 20", F1044&lt;= 40, "20 to 40", F1044 &lt;= 50, "40 to 50", F1044 &gt; 50, "&gt;50" )</f>
        <v>5.1 to 10</v>
      </c>
    </row>
    <row r="1045" spans="1:15" ht="14.4" x14ac:dyDescent="0.3">
      <c r="A1045" t="s">
        <v>213</v>
      </c>
      <c r="B1045" s="1">
        <v>46189</v>
      </c>
      <c r="C1045" t="s">
        <v>16</v>
      </c>
      <c r="D1045">
        <v>974</v>
      </c>
      <c r="E1045">
        <v>1</v>
      </c>
      <c r="F1045">
        <v>1.8</v>
      </c>
      <c r="G1045" t="s">
        <v>17</v>
      </c>
      <c r="I1045" t="str">
        <f t="shared" si="18"/>
        <v>974_1</v>
      </c>
      <c r="J1045" t="s">
        <v>214</v>
      </c>
      <c r="K1045" t="s">
        <v>19</v>
      </c>
      <c r="L1045" t="str">
        <f>_xlfn.XLOOKUP(C1045, Table2[Species],Table2[Genus], "Code Not Found")</f>
        <v>Acer</v>
      </c>
      <c r="M1045" t="str">
        <f>_xlfn.XLOOKUP(C1045, Table2[Species],Table2[Sp. Name], "Code Not Found")</f>
        <v>saccharum</v>
      </c>
      <c r="N1045" t="str">
        <f>_xlfn.XLOOKUP(C1045,Table2[Species],Table2[Family],"Code Not Found")</f>
        <v>Sapindaceae</v>
      </c>
      <c r="O1045" t="str" cm="1">
        <f t="array" ref="O1045">_xlfn.IFS(F1045="","",F1045&lt;=5,"0 to 5",F1045&lt;=10,"5.1 to 10",F1045&lt;=20,"10 to 20", F1045&lt;= 40, "20 to 40", F1045 &lt;= 50, "40 to 50", F1045 &gt; 50, "&gt;50" )</f>
        <v>0 to 5</v>
      </c>
    </row>
    <row r="1046" spans="1:15" ht="14.4" x14ac:dyDescent="0.3">
      <c r="A1046" t="s">
        <v>213</v>
      </c>
      <c r="B1046" s="1">
        <v>46189</v>
      </c>
      <c r="C1046" t="s">
        <v>16</v>
      </c>
      <c r="D1046">
        <v>975</v>
      </c>
      <c r="E1046">
        <v>1</v>
      </c>
      <c r="F1046">
        <v>2.1</v>
      </c>
      <c r="G1046" t="s">
        <v>17</v>
      </c>
      <c r="I1046" t="str">
        <f t="shared" si="18"/>
        <v>975_1</v>
      </c>
      <c r="J1046" t="s">
        <v>214</v>
      </c>
      <c r="K1046" t="s">
        <v>19</v>
      </c>
      <c r="L1046" t="str">
        <f>_xlfn.XLOOKUP(C1046, Table2[Species],Table2[Genus], "Code Not Found")</f>
        <v>Acer</v>
      </c>
      <c r="M1046" t="str">
        <f>_xlfn.XLOOKUP(C1046, Table2[Species],Table2[Sp. Name], "Code Not Found")</f>
        <v>saccharum</v>
      </c>
      <c r="N1046" t="str">
        <f>_xlfn.XLOOKUP(C1046,Table2[Species],Table2[Family],"Code Not Found")</f>
        <v>Sapindaceae</v>
      </c>
      <c r="O1046" t="str" cm="1">
        <f t="array" ref="O1046">_xlfn.IFS(F1046="","",F1046&lt;=5,"0 to 5",F1046&lt;=10,"5.1 to 10",F1046&lt;=20,"10 to 20", F1046&lt;= 40, "20 to 40", F1046 &lt;= 50, "40 to 50", F1046 &gt; 50, "&gt;50" )</f>
        <v>0 to 5</v>
      </c>
    </row>
    <row r="1047" spans="1:15" ht="14.4" x14ac:dyDescent="0.3">
      <c r="A1047" t="s">
        <v>213</v>
      </c>
      <c r="B1047" s="1">
        <v>46189</v>
      </c>
      <c r="C1047" t="s">
        <v>24</v>
      </c>
      <c r="D1047">
        <v>976</v>
      </c>
      <c r="E1047">
        <v>1</v>
      </c>
      <c r="F1047">
        <v>33.4</v>
      </c>
      <c r="G1047" t="s">
        <v>17</v>
      </c>
      <c r="H1047" t="s">
        <v>36</v>
      </c>
      <c r="I1047" t="str">
        <f t="shared" si="18"/>
        <v>976_1</v>
      </c>
      <c r="J1047" t="s">
        <v>214</v>
      </c>
      <c r="K1047" t="s">
        <v>19</v>
      </c>
      <c r="L1047" t="str">
        <f>_xlfn.XLOOKUP(C1047, Table2[Species],Table2[Genus], "Code Not Found")</f>
        <v>Lirodendron</v>
      </c>
      <c r="M1047" t="str">
        <f>_xlfn.XLOOKUP(C1047, Table2[Species],Table2[Sp. Name], "Code Not Found")</f>
        <v>tulipfera</v>
      </c>
      <c r="N1047" t="str">
        <f>_xlfn.XLOOKUP(C1047,Table2[Species],Table2[Family],"Code Not Found")</f>
        <v>Magnoliaceae</v>
      </c>
      <c r="O1047" t="str" cm="1">
        <f t="array" ref="O1047">_xlfn.IFS(F1047="","",F1047&lt;=5,"0 to 5",F1047&lt;=10,"5.1 to 10",F1047&lt;=20,"10 to 20", F1047&lt;= 40, "20 to 40", F1047 &lt;= 50, "40 to 50", F1047 &gt; 50, "&gt;50" )</f>
        <v>20 to 40</v>
      </c>
    </row>
    <row r="1048" spans="1:15" ht="14.4" x14ac:dyDescent="0.3">
      <c r="A1048" t="s">
        <v>213</v>
      </c>
      <c r="B1048" s="1">
        <v>46189</v>
      </c>
      <c r="C1048" t="s">
        <v>16</v>
      </c>
      <c r="D1048">
        <v>977</v>
      </c>
      <c r="E1048">
        <v>1</v>
      </c>
      <c r="F1048">
        <v>1.1000000000000001</v>
      </c>
      <c r="G1048" t="s">
        <v>21</v>
      </c>
      <c r="I1048" t="str">
        <f t="shared" si="18"/>
        <v>977_1</v>
      </c>
      <c r="J1048" t="s">
        <v>214</v>
      </c>
      <c r="K1048" t="s">
        <v>19</v>
      </c>
      <c r="L1048" t="str">
        <f>_xlfn.XLOOKUP(C1048, Table2[Species],Table2[Genus], "Code Not Found")</f>
        <v>Acer</v>
      </c>
      <c r="M1048" t="str">
        <f>_xlfn.XLOOKUP(C1048, Table2[Species],Table2[Sp. Name], "Code Not Found")</f>
        <v>saccharum</v>
      </c>
      <c r="N1048" t="str">
        <f>_xlfn.XLOOKUP(C1048,Table2[Species],Table2[Family],"Code Not Found")</f>
        <v>Sapindaceae</v>
      </c>
      <c r="O1048" t="str" cm="1">
        <f t="array" ref="O1048">_xlfn.IFS(F1048="","",F1048&lt;=5,"0 to 5",F1048&lt;=10,"5.1 to 10",F1048&lt;=20,"10 to 20", F1048&lt;= 40, "20 to 40", F1048 &lt;= 50, "40 to 50", F1048 &gt; 50, "&gt;50" )</f>
        <v>0 to 5</v>
      </c>
    </row>
    <row r="1049" spans="1:15" ht="14.4" x14ac:dyDescent="0.3">
      <c r="A1049" t="s">
        <v>213</v>
      </c>
      <c r="B1049" s="1">
        <v>46189</v>
      </c>
      <c r="C1049" t="s">
        <v>16</v>
      </c>
      <c r="D1049">
        <v>978</v>
      </c>
      <c r="E1049">
        <v>1</v>
      </c>
      <c r="F1049">
        <v>1</v>
      </c>
      <c r="G1049" t="s">
        <v>138</v>
      </c>
      <c r="I1049" t="str">
        <f t="shared" si="18"/>
        <v>978_1</v>
      </c>
      <c r="J1049" t="s">
        <v>214</v>
      </c>
      <c r="K1049" t="s">
        <v>19</v>
      </c>
      <c r="L1049" t="str">
        <f>_xlfn.XLOOKUP(C1049, Table2[Species],Table2[Genus], "Code Not Found")</f>
        <v>Acer</v>
      </c>
      <c r="M1049" t="str">
        <f>_xlfn.XLOOKUP(C1049, Table2[Species],Table2[Sp. Name], "Code Not Found")</f>
        <v>saccharum</v>
      </c>
      <c r="N1049" t="str">
        <f>_xlfn.XLOOKUP(C1049,Table2[Species],Table2[Family],"Code Not Found")</f>
        <v>Sapindaceae</v>
      </c>
      <c r="O1049" t="str" cm="1">
        <f t="array" ref="O1049">_xlfn.IFS(F1049="","",F1049&lt;=5,"0 to 5",F1049&lt;=10,"5.1 to 10",F1049&lt;=20,"10 to 20", F1049&lt;= 40, "20 to 40", F1049 &lt;= 50, "40 to 50", F1049 &gt; 50, "&gt;50" )</f>
        <v>0 to 5</v>
      </c>
    </row>
    <row r="1050" spans="1:15" ht="14.4" x14ac:dyDescent="0.3">
      <c r="A1050" t="s">
        <v>213</v>
      </c>
      <c r="B1050" s="1">
        <v>46189</v>
      </c>
      <c r="C1050" t="s">
        <v>16</v>
      </c>
      <c r="D1050">
        <v>979</v>
      </c>
      <c r="E1050">
        <v>1</v>
      </c>
      <c r="F1050">
        <v>1.2</v>
      </c>
      <c r="G1050" t="s">
        <v>17</v>
      </c>
      <c r="I1050" t="str">
        <f t="shared" si="18"/>
        <v>979_1</v>
      </c>
      <c r="J1050" t="s">
        <v>214</v>
      </c>
      <c r="K1050" t="s">
        <v>19</v>
      </c>
      <c r="L1050" t="str">
        <f>_xlfn.XLOOKUP(C1050, Table2[Species],Table2[Genus], "Code Not Found")</f>
        <v>Acer</v>
      </c>
      <c r="M1050" t="str">
        <f>_xlfn.XLOOKUP(C1050, Table2[Species],Table2[Sp. Name], "Code Not Found")</f>
        <v>saccharum</v>
      </c>
      <c r="N1050" t="str">
        <f>_xlfn.XLOOKUP(C1050,Table2[Species],Table2[Family],"Code Not Found")</f>
        <v>Sapindaceae</v>
      </c>
      <c r="O1050" t="str" cm="1">
        <f t="array" ref="O1050">_xlfn.IFS(F1050="","",F1050&lt;=5,"0 to 5",F1050&lt;=10,"5.1 to 10",F1050&lt;=20,"10 to 20", F1050&lt;= 40, "20 to 40", F1050 &lt;= 50, "40 to 50", F1050 &gt; 50, "&gt;50" )</f>
        <v>0 to 5</v>
      </c>
    </row>
    <row r="1051" spans="1:15" ht="14.4" x14ac:dyDescent="0.3">
      <c r="A1051" t="s">
        <v>213</v>
      </c>
      <c r="B1051" s="1">
        <v>46189</v>
      </c>
      <c r="C1051" t="s">
        <v>16</v>
      </c>
      <c r="D1051">
        <v>980</v>
      </c>
      <c r="E1051">
        <v>1</v>
      </c>
      <c r="F1051">
        <v>1.4</v>
      </c>
      <c r="G1051" t="s">
        <v>17</v>
      </c>
      <c r="I1051" t="str">
        <f t="shared" si="18"/>
        <v>980_1</v>
      </c>
      <c r="J1051" t="s">
        <v>214</v>
      </c>
      <c r="K1051" t="s">
        <v>19</v>
      </c>
      <c r="L1051" t="str">
        <f>_xlfn.XLOOKUP(C1051, Table2[Species],Table2[Genus], "Code Not Found")</f>
        <v>Acer</v>
      </c>
      <c r="M1051" t="str">
        <f>_xlfn.XLOOKUP(C1051, Table2[Species],Table2[Sp. Name], "Code Not Found")</f>
        <v>saccharum</v>
      </c>
      <c r="N1051" t="str">
        <f>_xlfn.XLOOKUP(C1051,Table2[Species],Table2[Family],"Code Not Found")</f>
        <v>Sapindaceae</v>
      </c>
      <c r="O1051" t="str" cm="1">
        <f t="array" ref="O1051">_xlfn.IFS(F1051="","",F1051&lt;=5,"0 to 5",F1051&lt;=10,"5.1 to 10",F1051&lt;=20,"10 to 20", F1051&lt;= 40, "20 to 40", F1051 &lt;= 50, "40 to 50", F1051 &gt; 50, "&gt;50" )</f>
        <v>0 to 5</v>
      </c>
    </row>
    <row r="1052" spans="1:15" ht="14.4" x14ac:dyDescent="0.3">
      <c r="A1052" t="s">
        <v>213</v>
      </c>
      <c r="B1052" s="1">
        <v>46189</v>
      </c>
      <c r="C1052" t="s">
        <v>16</v>
      </c>
      <c r="D1052">
        <v>981</v>
      </c>
      <c r="E1052">
        <v>1</v>
      </c>
      <c r="F1052">
        <v>6.6</v>
      </c>
      <c r="G1052" t="s">
        <v>30</v>
      </c>
      <c r="H1052" t="s">
        <v>121</v>
      </c>
      <c r="I1052" t="str">
        <f t="shared" si="18"/>
        <v>981_1</v>
      </c>
      <c r="J1052" t="s">
        <v>214</v>
      </c>
      <c r="K1052" t="s">
        <v>19</v>
      </c>
      <c r="L1052" t="str">
        <f>_xlfn.XLOOKUP(C1052, Table2[Species],Table2[Genus], "Code Not Found")</f>
        <v>Acer</v>
      </c>
      <c r="M1052" t="str">
        <f>_xlfn.XLOOKUP(C1052, Table2[Species],Table2[Sp. Name], "Code Not Found")</f>
        <v>saccharum</v>
      </c>
      <c r="N1052" t="str">
        <f>_xlfn.XLOOKUP(C1052,Table2[Species],Table2[Family],"Code Not Found")</f>
        <v>Sapindaceae</v>
      </c>
      <c r="O1052" t="str" cm="1">
        <f t="array" ref="O1052">_xlfn.IFS(F1052="","",F1052&lt;=5,"0 to 5",F1052&lt;=10,"5.1 to 10",F1052&lt;=20,"10 to 20", F1052&lt;= 40, "20 to 40", F1052 &lt;= 50, "40 to 50", F1052 &gt; 50, "&gt;50" )</f>
        <v>5.1 to 10</v>
      </c>
    </row>
    <row r="1053" spans="1:15" ht="14.4" x14ac:dyDescent="0.3">
      <c r="A1053" t="s">
        <v>213</v>
      </c>
      <c r="B1053" s="1">
        <v>46189</v>
      </c>
      <c r="C1053" t="s">
        <v>24</v>
      </c>
      <c r="D1053">
        <v>982</v>
      </c>
      <c r="E1053">
        <v>1</v>
      </c>
      <c r="F1053">
        <v>36.799999999999997</v>
      </c>
      <c r="G1053" t="s">
        <v>17</v>
      </c>
      <c r="I1053" t="str">
        <f t="shared" si="18"/>
        <v>982_1</v>
      </c>
      <c r="J1053" t="s">
        <v>214</v>
      </c>
      <c r="K1053" t="s">
        <v>19</v>
      </c>
      <c r="L1053" t="str">
        <f>_xlfn.XLOOKUP(C1053, Table2[Species],Table2[Genus], "Code Not Found")</f>
        <v>Lirodendron</v>
      </c>
      <c r="M1053" t="str">
        <f>_xlfn.XLOOKUP(C1053, Table2[Species],Table2[Sp. Name], "Code Not Found")</f>
        <v>tulipfera</v>
      </c>
      <c r="N1053" t="str">
        <f>_xlfn.XLOOKUP(C1053,Table2[Species],Table2[Family],"Code Not Found")</f>
        <v>Magnoliaceae</v>
      </c>
      <c r="O1053" t="str" cm="1">
        <f t="array" ref="O1053">_xlfn.IFS(F1053="","",F1053&lt;=5,"0 to 5",F1053&lt;=10,"5.1 to 10",F1053&lt;=20,"10 to 20", F1053&lt;= 40, "20 to 40", F1053 &lt;= 50, "40 to 50", F1053 &gt; 50, "&gt;50" )</f>
        <v>20 to 40</v>
      </c>
    </row>
    <row r="1054" spans="1:15" ht="14.4" x14ac:dyDescent="0.3">
      <c r="A1054" t="s">
        <v>213</v>
      </c>
      <c r="B1054" s="1">
        <v>46189</v>
      </c>
      <c r="C1054" t="s">
        <v>16</v>
      </c>
      <c r="D1054">
        <v>983</v>
      </c>
      <c r="E1054">
        <v>1</v>
      </c>
      <c r="F1054">
        <v>1.6</v>
      </c>
      <c r="G1054" t="s">
        <v>47</v>
      </c>
      <c r="H1054" t="s">
        <v>43</v>
      </c>
      <c r="I1054" t="str">
        <f t="shared" si="18"/>
        <v>983_1</v>
      </c>
      <c r="J1054" t="s">
        <v>214</v>
      </c>
      <c r="K1054" t="s">
        <v>19</v>
      </c>
      <c r="L1054" t="str">
        <f>_xlfn.XLOOKUP(C1054, Table2[Species],Table2[Genus], "Code Not Found")</f>
        <v>Acer</v>
      </c>
      <c r="M1054" t="str">
        <f>_xlfn.XLOOKUP(C1054, Table2[Species],Table2[Sp. Name], "Code Not Found")</f>
        <v>saccharum</v>
      </c>
      <c r="N1054" t="str">
        <f>_xlfn.XLOOKUP(C1054,Table2[Species],Table2[Family],"Code Not Found")</f>
        <v>Sapindaceae</v>
      </c>
      <c r="O1054" t="str" cm="1">
        <f t="array" ref="O1054">_xlfn.IFS(F1054="","",F1054&lt;=5,"0 to 5",F1054&lt;=10,"5.1 to 10",F1054&lt;=20,"10 to 20", F1054&lt;= 40, "20 to 40", F1054 &lt;= 50, "40 to 50", F1054 &gt; 50, "&gt;50" )</f>
        <v>0 to 5</v>
      </c>
    </row>
    <row r="1055" spans="1:15" ht="14.4" x14ac:dyDescent="0.3">
      <c r="A1055" t="s">
        <v>213</v>
      </c>
      <c r="B1055" s="1">
        <v>46189</v>
      </c>
      <c r="C1055" t="s">
        <v>16</v>
      </c>
      <c r="D1055">
        <v>984</v>
      </c>
      <c r="E1055">
        <v>1</v>
      </c>
      <c r="F1055">
        <v>5.9</v>
      </c>
      <c r="G1055" t="s">
        <v>47</v>
      </c>
      <c r="H1055" t="s">
        <v>43</v>
      </c>
      <c r="I1055" t="str">
        <f t="shared" si="18"/>
        <v>984_1</v>
      </c>
      <c r="J1055" t="s">
        <v>214</v>
      </c>
      <c r="K1055" t="s">
        <v>19</v>
      </c>
      <c r="L1055" t="str">
        <f>_xlfn.XLOOKUP(C1055, Table2[Species],Table2[Genus], "Code Not Found")</f>
        <v>Acer</v>
      </c>
      <c r="M1055" t="str">
        <f>_xlfn.XLOOKUP(C1055, Table2[Species],Table2[Sp. Name], "Code Not Found")</f>
        <v>saccharum</v>
      </c>
      <c r="N1055" t="str">
        <f>_xlfn.XLOOKUP(C1055,Table2[Species],Table2[Family],"Code Not Found")</f>
        <v>Sapindaceae</v>
      </c>
      <c r="O1055" t="str" cm="1">
        <f t="array" ref="O1055">_xlfn.IFS(F1055="","",F1055&lt;=5,"0 to 5",F1055&lt;=10,"5.1 to 10",F1055&lt;=20,"10 to 20", F1055&lt;= 40, "20 to 40", F1055 &lt;= 50, "40 to 50", F1055 &gt; 50, "&gt;50" )</f>
        <v>5.1 to 10</v>
      </c>
    </row>
    <row r="1056" spans="1:15" ht="14.4" x14ac:dyDescent="0.3">
      <c r="A1056" t="s">
        <v>240</v>
      </c>
      <c r="B1056" s="1">
        <v>46189</v>
      </c>
      <c r="C1056" t="s">
        <v>24</v>
      </c>
      <c r="D1056">
        <v>985</v>
      </c>
      <c r="E1056">
        <v>1</v>
      </c>
      <c r="F1056">
        <v>1.1000000000000001</v>
      </c>
      <c r="G1056" t="s">
        <v>21</v>
      </c>
      <c r="H1056" t="s">
        <v>231</v>
      </c>
      <c r="I1056" t="str">
        <f t="shared" si="18"/>
        <v>985_1</v>
      </c>
      <c r="J1056" t="s">
        <v>241</v>
      </c>
      <c r="K1056" t="s">
        <v>179</v>
      </c>
      <c r="L1056" t="str">
        <f>_xlfn.XLOOKUP(C1056, Table2[Species],Table2[Genus], "Code Not Found")</f>
        <v>Lirodendron</v>
      </c>
      <c r="M1056" t="str">
        <f>_xlfn.XLOOKUP(C1056, Table2[Species],Table2[Sp. Name], "Code Not Found")</f>
        <v>tulipfera</v>
      </c>
      <c r="N1056" t="str">
        <f>_xlfn.XLOOKUP(C1056,Table2[Species],Table2[Family],"Code Not Found")</f>
        <v>Magnoliaceae</v>
      </c>
      <c r="O1056" t="str" cm="1">
        <f t="array" ref="O1056">_xlfn.IFS(F1056="","",F1056&lt;=5,"0 to 5",F1056&lt;=10,"5.1 to 10",F1056&lt;=20,"10 to 20", F1056&lt;= 40, "20 to 40", F1056 &lt;= 50, "40 to 50", F1056 &gt; 50, "&gt;50" )</f>
        <v>0 to 5</v>
      </c>
    </row>
    <row r="1057" spans="1:15" ht="14.4" x14ac:dyDescent="0.3">
      <c r="A1057" t="s">
        <v>240</v>
      </c>
      <c r="B1057" s="1">
        <v>46189</v>
      </c>
      <c r="C1057" t="s">
        <v>24</v>
      </c>
      <c r="D1057">
        <v>986</v>
      </c>
      <c r="E1057">
        <v>1</v>
      </c>
      <c r="F1057">
        <v>1.8</v>
      </c>
      <c r="G1057" t="s">
        <v>21</v>
      </c>
      <c r="H1057" t="s">
        <v>231</v>
      </c>
      <c r="I1057" t="str">
        <f t="shared" si="18"/>
        <v>986_1</v>
      </c>
      <c r="J1057" t="s">
        <v>241</v>
      </c>
      <c r="K1057" t="s">
        <v>179</v>
      </c>
      <c r="L1057" t="str">
        <f>_xlfn.XLOOKUP(C1057, Table2[Species],Table2[Genus], "Code Not Found")</f>
        <v>Lirodendron</v>
      </c>
      <c r="M1057" t="str">
        <f>_xlfn.XLOOKUP(C1057, Table2[Species],Table2[Sp. Name], "Code Not Found")</f>
        <v>tulipfera</v>
      </c>
      <c r="N1057" t="str">
        <f>_xlfn.XLOOKUP(C1057,Table2[Species],Table2[Family],"Code Not Found")</f>
        <v>Magnoliaceae</v>
      </c>
      <c r="O1057" t="str" cm="1">
        <f t="array" ref="O1057">_xlfn.IFS(F1057="","",F1057&lt;=5,"0 to 5",F1057&lt;=10,"5.1 to 10",F1057&lt;=20,"10 to 20", F1057&lt;= 40, "20 to 40", F1057 &lt;= 50, "40 to 50", F1057 &gt; 50, "&gt;50" )</f>
        <v>0 to 5</v>
      </c>
    </row>
    <row r="1058" spans="1:15" ht="14.4" x14ac:dyDescent="0.3">
      <c r="A1058" t="s">
        <v>240</v>
      </c>
      <c r="B1058" s="1">
        <v>46189</v>
      </c>
      <c r="C1058" t="s">
        <v>24</v>
      </c>
      <c r="D1058">
        <v>987</v>
      </c>
      <c r="E1058">
        <v>1</v>
      </c>
      <c r="F1058">
        <v>1.3</v>
      </c>
      <c r="G1058" t="s">
        <v>17</v>
      </c>
      <c r="H1058" t="s">
        <v>36</v>
      </c>
      <c r="I1058" t="str">
        <f t="shared" si="18"/>
        <v>987_1</v>
      </c>
      <c r="J1058" t="s">
        <v>241</v>
      </c>
      <c r="K1058" t="s">
        <v>179</v>
      </c>
      <c r="L1058" t="str">
        <f>_xlfn.XLOOKUP(C1058, Table2[Species],Table2[Genus], "Code Not Found")</f>
        <v>Lirodendron</v>
      </c>
      <c r="M1058" t="str">
        <f>_xlfn.XLOOKUP(C1058, Table2[Species],Table2[Sp. Name], "Code Not Found")</f>
        <v>tulipfera</v>
      </c>
      <c r="N1058" t="str">
        <f>_xlfn.XLOOKUP(C1058,Table2[Species],Table2[Family],"Code Not Found")</f>
        <v>Magnoliaceae</v>
      </c>
      <c r="O1058" t="str" cm="1">
        <f t="array" ref="O1058">_xlfn.IFS(F1058="","",F1058&lt;=5,"0 to 5",F1058&lt;=10,"5.1 to 10",F1058&lt;=20,"10 to 20", F1058&lt;= 40, "20 to 40", F1058 &lt;= 50, "40 to 50", F1058 &gt; 50, "&gt;50" )</f>
        <v>0 to 5</v>
      </c>
    </row>
    <row r="1059" spans="1:15" ht="14.4" x14ac:dyDescent="0.3">
      <c r="A1059" t="s">
        <v>240</v>
      </c>
      <c r="B1059" s="1">
        <v>46189</v>
      </c>
      <c r="C1059" t="s">
        <v>24</v>
      </c>
      <c r="D1059">
        <v>988</v>
      </c>
      <c r="E1059">
        <v>1</v>
      </c>
      <c r="F1059">
        <v>2.1</v>
      </c>
      <c r="G1059" t="s">
        <v>21</v>
      </c>
      <c r="H1059" t="s">
        <v>231</v>
      </c>
      <c r="I1059" t="str">
        <f t="shared" si="18"/>
        <v>988_1</v>
      </c>
      <c r="J1059" t="s">
        <v>241</v>
      </c>
      <c r="K1059" t="s">
        <v>179</v>
      </c>
      <c r="L1059" t="str">
        <f>_xlfn.XLOOKUP(C1059, Table2[Species],Table2[Genus], "Code Not Found")</f>
        <v>Lirodendron</v>
      </c>
      <c r="M1059" t="str">
        <f>_xlfn.XLOOKUP(C1059, Table2[Species],Table2[Sp. Name], "Code Not Found")</f>
        <v>tulipfera</v>
      </c>
      <c r="N1059" t="str">
        <f>_xlfn.XLOOKUP(C1059,Table2[Species],Table2[Family],"Code Not Found")</f>
        <v>Magnoliaceae</v>
      </c>
      <c r="O1059" t="str" cm="1">
        <f t="array" ref="O1059">_xlfn.IFS(F1059="","",F1059&lt;=5,"0 to 5",F1059&lt;=10,"5.1 to 10",F1059&lt;=20,"10 to 20", F1059&lt;= 40, "20 to 40", F1059 &lt;= 50, "40 to 50", F1059 &gt; 50, "&gt;50" )</f>
        <v>0 to 5</v>
      </c>
    </row>
    <row r="1060" spans="1:15" ht="14.4" x14ac:dyDescent="0.3">
      <c r="A1060" t="s">
        <v>240</v>
      </c>
      <c r="B1060" s="1">
        <v>46189</v>
      </c>
      <c r="C1060" t="s">
        <v>16</v>
      </c>
      <c r="D1060">
        <v>989</v>
      </c>
      <c r="E1060">
        <v>1</v>
      </c>
      <c r="F1060">
        <v>10.5</v>
      </c>
      <c r="G1060" t="s">
        <v>17</v>
      </c>
      <c r="I1060" t="str">
        <f t="shared" si="18"/>
        <v>989_1</v>
      </c>
      <c r="J1060" t="s">
        <v>241</v>
      </c>
      <c r="K1060" t="s">
        <v>179</v>
      </c>
      <c r="L1060" t="str">
        <f>_xlfn.XLOOKUP(C1060, Table2[Species],Table2[Genus], "Code Not Found")</f>
        <v>Acer</v>
      </c>
      <c r="M1060" t="str">
        <f>_xlfn.XLOOKUP(C1060, Table2[Species],Table2[Sp. Name], "Code Not Found")</f>
        <v>saccharum</v>
      </c>
      <c r="N1060" t="str">
        <f>_xlfn.XLOOKUP(C1060,Table2[Species],Table2[Family],"Code Not Found")</f>
        <v>Sapindaceae</v>
      </c>
      <c r="O1060" t="str" cm="1">
        <f t="array" ref="O1060">_xlfn.IFS(F1060="","",F1060&lt;=5,"0 to 5",F1060&lt;=10,"5.1 to 10",F1060&lt;=20,"10 to 20", F1060&lt;= 40, "20 to 40", F1060 &lt;= 50, "40 to 50", F1060 &gt; 50, "&gt;50" )</f>
        <v>10 to 20</v>
      </c>
    </row>
    <row r="1061" spans="1:15" ht="14.4" x14ac:dyDescent="0.3">
      <c r="A1061" t="s">
        <v>240</v>
      </c>
      <c r="B1061" s="1">
        <v>46189</v>
      </c>
      <c r="C1061" t="s">
        <v>16</v>
      </c>
      <c r="D1061">
        <v>990</v>
      </c>
      <c r="E1061">
        <v>1</v>
      </c>
      <c r="F1061">
        <v>3</v>
      </c>
      <c r="G1061" t="s">
        <v>242</v>
      </c>
      <c r="H1061" t="s">
        <v>99</v>
      </c>
      <c r="I1061" t="str">
        <f t="shared" si="18"/>
        <v>990_1</v>
      </c>
      <c r="J1061" t="s">
        <v>241</v>
      </c>
      <c r="K1061" t="s">
        <v>179</v>
      </c>
      <c r="L1061" t="str">
        <f>_xlfn.XLOOKUP(C1061, Table2[Species],Table2[Genus], "Code Not Found")</f>
        <v>Acer</v>
      </c>
      <c r="M1061" t="str">
        <f>_xlfn.XLOOKUP(C1061, Table2[Species],Table2[Sp. Name], "Code Not Found")</f>
        <v>saccharum</v>
      </c>
      <c r="N1061" t="str">
        <f>_xlfn.XLOOKUP(C1061,Table2[Species],Table2[Family],"Code Not Found")</f>
        <v>Sapindaceae</v>
      </c>
      <c r="O1061" t="str" cm="1">
        <f t="array" ref="O1061">_xlfn.IFS(F1061="","",F1061&lt;=5,"0 to 5",F1061&lt;=10,"5.1 to 10",F1061&lt;=20,"10 to 20", F1061&lt;= 40, "20 to 40", F1061 &lt;= 50, "40 to 50", F1061 &gt; 50, "&gt;50" )</f>
        <v>0 to 5</v>
      </c>
    </row>
    <row r="1062" spans="1:15" ht="14.4" x14ac:dyDescent="0.3">
      <c r="A1062" t="s">
        <v>240</v>
      </c>
      <c r="B1062" s="1">
        <v>46189</v>
      </c>
      <c r="C1062" t="s">
        <v>24</v>
      </c>
      <c r="D1062">
        <v>991</v>
      </c>
      <c r="E1062">
        <v>1</v>
      </c>
      <c r="F1062">
        <v>1.4</v>
      </c>
      <c r="G1062" t="s">
        <v>21</v>
      </c>
      <c r="H1062" t="s">
        <v>231</v>
      </c>
      <c r="I1062" t="str">
        <f t="shared" si="18"/>
        <v>991_1</v>
      </c>
      <c r="J1062" t="s">
        <v>241</v>
      </c>
      <c r="K1062" t="s">
        <v>179</v>
      </c>
      <c r="L1062" t="str">
        <f>_xlfn.XLOOKUP(C1062, Table2[Species],Table2[Genus], "Code Not Found")</f>
        <v>Lirodendron</v>
      </c>
      <c r="M1062" t="str">
        <f>_xlfn.XLOOKUP(C1062, Table2[Species],Table2[Sp. Name], "Code Not Found")</f>
        <v>tulipfera</v>
      </c>
      <c r="N1062" t="str">
        <f>_xlfn.XLOOKUP(C1062,Table2[Species],Table2[Family],"Code Not Found")</f>
        <v>Magnoliaceae</v>
      </c>
      <c r="O1062" t="str" cm="1">
        <f t="array" ref="O1062">_xlfn.IFS(F1062="","",F1062&lt;=5,"0 to 5",F1062&lt;=10,"5.1 to 10",F1062&lt;=20,"10 to 20", F1062&lt;= 40, "20 to 40", F1062 &lt;= 50, "40 to 50", F1062 &gt; 50, "&gt;50" )</f>
        <v>0 to 5</v>
      </c>
    </row>
    <row r="1063" spans="1:15" ht="14.4" x14ac:dyDescent="0.3">
      <c r="A1063" t="s">
        <v>240</v>
      </c>
      <c r="B1063" s="1">
        <v>46189</v>
      </c>
      <c r="C1063" t="s">
        <v>24</v>
      </c>
      <c r="D1063">
        <v>992</v>
      </c>
      <c r="E1063">
        <v>1</v>
      </c>
      <c r="F1063">
        <v>1.4</v>
      </c>
      <c r="G1063" t="s">
        <v>32</v>
      </c>
      <c r="H1063" t="s">
        <v>92</v>
      </c>
      <c r="I1063" t="str">
        <f t="shared" si="18"/>
        <v>992_1</v>
      </c>
      <c r="J1063" t="s">
        <v>241</v>
      </c>
      <c r="K1063" t="s">
        <v>179</v>
      </c>
      <c r="L1063" t="str">
        <f>_xlfn.XLOOKUP(C1063, Table2[Species],Table2[Genus], "Code Not Found")</f>
        <v>Lirodendron</v>
      </c>
      <c r="M1063" t="str">
        <f>_xlfn.XLOOKUP(C1063, Table2[Species],Table2[Sp. Name], "Code Not Found")</f>
        <v>tulipfera</v>
      </c>
      <c r="N1063" t="str">
        <f>_xlfn.XLOOKUP(C1063,Table2[Species],Table2[Family],"Code Not Found")</f>
        <v>Magnoliaceae</v>
      </c>
      <c r="O1063" t="str" cm="1">
        <f t="array" ref="O1063">_xlfn.IFS(F1063="","",F1063&lt;=5,"0 to 5",F1063&lt;=10,"5.1 to 10",F1063&lt;=20,"10 to 20", F1063&lt;= 40, "20 to 40", F1063 &lt;= 50, "40 to 50", F1063 &gt; 50, "&gt;50" )</f>
        <v>0 to 5</v>
      </c>
    </row>
    <row r="1064" spans="1:15" ht="14.4" x14ac:dyDescent="0.3">
      <c r="A1064" t="s">
        <v>240</v>
      </c>
      <c r="B1064" s="1">
        <v>46189</v>
      </c>
      <c r="C1064" t="s">
        <v>24</v>
      </c>
      <c r="D1064">
        <v>992</v>
      </c>
      <c r="E1064">
        <v>2</v>
      </c>
      <c r="F1064">
        <v>1.4</v>
      </c>
      <c r="G1064" t="s">
        <v>32</v>
      </c>
      <c r="H1064" t="s">
        <v>43</v>
      </c>
      <c r="I1064" t="str">
        <f t="shared" si="18"/>
        <v>992_2</v>
      </c>
      <c r="J1064" t="s">
        <v>241</v>
      </c>
      <c r="K1064" t="s">
        <v>179</v>
      </c>
      <c r="L1064" t="str">
        <f>_xlfn.XLOOKUP(C1064, Table2[Species],Table2[Genus], "Code Not Found")</f>
        <v>Lirodendron</v>
      </c>
      <c r="M1064" t="str">
        <f>_xlfn.XLOOKUP(C1064, Table2[Species],Table2[Sp. Name], "Code Not Found")</f>
        <v>tulipfera</v>
      </c>
      <c r="N1064" t="str">
        <f>_xlfn.XLOOKUP(C1064,Table2[Species],Table2[Family],"Code Not Found")</f>
        <v>Magnoliaceae</v>
      </c>
      <c r="O1064" t="str" cm="1">
        <f t="array" ref="O1064">_xlfn.IFS(F1064="","",F1064&lt;=5,"0 to 5",F1064&lt;=10,"5.1 to 10",F1064&lt;=20,"10 to 20", F1064&lt;= 40, "20 to 40", F1064 &lt;= 50, "40 to 50", F1064 &gt; 50, "&gt;50" )</f>
        <v>0 to 5</v>
      </c>
    </row>
    <row r="1065" spans="1:15" ht="14.4" x14ac:dyDescent="0.3">
      <c r="A1065" t="s">
        <v>240</v>
      </c>
      <c r="B1065" s="1">
        <v>46189</v>
      </c>
      <c r="C1065" t="s">
        <v>24</v>
      </c>
      <c r="D1065">
        <v>992</v>
      </c>
      <c r="E1065">
        <v>3</v>
      </c>
      <c r="F1065">
        <v>1</v>
      </c>
      <c r="G1065" t="s">
        <v>32</v>
      </c>
      <c r="H1065" t="s">
        <v>43</v>
      </c>
      <c r="I1065" t="str">
        <f t="shared" si="18"/>
        <v>992_3</v>
      </c>
      <c r="J1065" t="s">
        <v>241</v>
      </c>
      <c r="K1065" t="s">
        <v>179</v>
      </c>
      <c r="L1065" t="str">
        <f>_xlfn.XLOOKUP(C1065, Table2[Species],Table2[Genus], "Code Not Found")</f>
        <v>Lirodendron</v>
      </c>
      <c r="M1065" t="str">
        <f>_xlfn.XLOOKUP(C1065, Table2[Species],Table2[Sp. Name], "Code Not Found")</f>
        <v>tulipfera</v>
      </c>
      <c r="N1065" t="str">
        <f>_xlfn.XLOOKUP(C1065,Table2[Species],Table2[Family],"Code Not Found")</f>
        <v>Magnoliaceae</v>
      </c>
      <c r="O1065" t="str" cm="1">
        <f t="array" ref="O1065">_xlfn.IFS(F1065="","",F1065&lt;=5,"0 to 5",F1065&lt;=10,"5.1 to 10",F1065&lt;=20,"10 to 20", F1065&lt;= 40, "20 to 40", F1065 &lt;= 50, "40 to 50", F1065 &gt; 50, "&gt;50" )</f>
        <v>0 to 5</v>
      </c>
    </row>
    <row r="1066" spans="1:15" ht="14.4" x14ac:dyDescent="0.3">
      <c r="A1066" t="s">
        <v>240</v>
      </c>
      <c r="B1066" s="1">
        <v>46189</v>
      </c>
      <c r="C1066" t="s">
        <v>24</v>
      </c>
      <c r="D1066">
        <v>992</v>
      </c>
      <c r="E1066">
        <v>4</v>
      </c>
      <c r="F1066">
        <v>1.4</v>
      </c>
      <c r="G1066" t="s">
        <v>34</v>
      </c>
      <c r="H1066" t="s">
        <v>43</v>
      </c>
      <c r="I1066" t="str">
        <f t="shared" si="18"/>
        <v>992_4</v>
      </c>
      <c r="J1066" t="s">
        <v>241</v>
      </c>
      <c r="K1066" t="s">
        <v>179</v>
      </c>
      <c r="L1066" t="str">
        <f>_xlfn.XLOOKUP(C1066, Table2[Species],Table2[Genus], "Code Not Found")</f>
        <v>Lirodendron</v>
      </c>
      <c r="M1066" t="str">
        <f>_xlfn.XLOOKUP(C1066, Table2[Species],Table2[Sp. Name], "Code Not Found")</f>
        <v>tulipfera</v>
      </c>
      <c r="N1066" t="str">
        <f>_xlfn.XLOOKUP(C1066,Table2[Species],Table2[Family],"Code Not Found")</f>
        <v>Magnoliaceae</v>
      </c>
      <c r="O1066" t="str" cm="1">
        <f t="array" ref="O1066">_xlfn.IFS(F1066="","",F1066&lt;=5,"0 to 5",F1066&lt;=10,"5.1 to 10",F1066&lt;=20,"10 to 20", F1066&lt;= 40, "20 to 40", F1066 &lt;= 50, "40 to 50", F1066 &gt; 50, "&gt;50" )</f>
        <v>0 to 5</v>
      </c>
    </row>
    <row r="1067" spans="1:15" ht="14.4" x14ac:dyDescent="0.3">
      <c r="A1067" t="s">
        <v>240</v>
      </c>
      <c r="B1067" s="1">
        <v>46189</v>
      </c>
      <c r="C1067" t="s">
        <v>24</v>
      </c>
      <c r="D1067">
        <v>993</v>
      </c>
      <c r="E1067">
        <v>1</v>
      </c>
      <c r="F1067">
        <v>1.5</v>
      </c>
      <c r="G1067" t="s">
        <v>21</v>
      </c>
      <c r="H1067" t="s">
        <v>231</v>
      </c>
      <c r="I1067" t="str">
        <f t="shared" si="18"/>
        <v>993_1</v>
      </c>
      <c r="J1067" t="s">
        <v>241</v>
      </c>
      <c r="K1067" t="s">
        <v>179</v>
      </c>
      <c r="L1067" t="str">
        <f>_xlfn.XLOOKUP(C1067, Table2[Species],Table2[Genus], "Code Not Found")</f>
        <v>Lirodendron</v>
      </c>
      <c r="M1067" t="str">
        <f>_xlfn.XLOOKUP(C1067, Table2[Species],Table2[Sp. Name], "Code Not Found")</f>
        <v>tulipfera</v>
      </c>
      <c r="N1067" t="str">
        <f>_xlfn.XLOOKUP(C1067,Table2[Species],Table2[Family],"Code Not Found")</f>
        <v>Magnoliaceae</v>
      </c>
      <c r="O1067" t="str" cm="1">
        <f t="array" ref="O1067">_xlfn.IFS(F1067="","",F1067&lt;=5,"0 to 5",F1067&lt;=10,"5.1 to 10",F1067&lt;=20,"10 to 20", F1067&lt;= 40, "20 to 40", F1067 &lt;= 50, "40 to 50", F1067 &gt; 50, "&gt;50" )</f>
        <v>0 to 5</v>
      </c>
    </row>
    <row r="1068" spans="1:15" ht="14.4" x14ac:dyDescent="0.3">
      <c r="A1068" t="s">
        <v>240</v>
      </c>
      <c r="B1068" s="1">
        <v>46189</v>
      </c>
      <c r="C1068" t="s">
        <v>16</v>
      </c>
      <c r="D1068">
        <v>994</v>
      </c>
      <c r="E1068">
        <v>1</v>
      </c>
      <c r="F1068">
        <v>4.4000000000000004</v>
      </c>
      <c r="G1068" t="s">
        <v>34</v>
      </c>
      <c r="H1068" t="s">
        <v>43</v>
      </c>
      <c r="I1068" t="str">
        <f t="shared" si="18"/>
        <v>994_1</v>
      </c>
      <c r="J1068" t="s">
        <v>241</v>
      </c>
      <c r="K1068" t="s">
        <v>179</v>
      </c>
      <c r="L1068" t="str">
        <f>_xlfn.XLOOKUP(C1068, Table2[Species],Table2[Genus], "Code Not Found")</f>
        <v>Acer</v>
      </c>
      <c r="M1068" t="str">
        <f>_xlfn.XLOOKUP(C1068, Table2[Species],Table2[Sp. Name], "Code Not Found")</f>
        <v>saccharum</v>
      </c>
      <c r="N1068" t="str">
        <f>_xlfn.XLOOKUP(C1068,Table2[Species],Table2[Family],"Code Not Found")</f>
        <v>Sapindaceae</v>
      </c>
      <c r="O1068" t="str" cm="1">
        <f t="array" ref="O1068">_xlfn.IFS(F1068="","",F1068&lt;=5,"0 to 5",F1068&lt;=10,"5.1 to 10",F1068&lt;=20,"10 to 20", F1068&lt;= 40, "20 to 40", F1068 &lt;= 50, "40 to 50", F1068 &gt; 50, "&gt;50" )</f>
        <v>0 to 5</v>
      </c>
    </row>
    <row r="1069" spans="1:15" ht="14.4" x14ac:dyDescent="0.3">
      <c r="A1069" t="s">
        <v>240</v>
      </c>
      <c r="B1069" s="1">
        <v>46189</v>
      </c>
      <c r="C1069" t="s">
        <v>16</v>
      </c>
      <c r="D1069">
        <v>994</v>
      </c>
      <c r="E1069">
        <v>2</v>
      </c>
      <c r="F1069">
        <v>1.8</v>
      </c>
      <c r="G1069" t="s">
        <v>34</v>
      </c>
      <c r="H1069" t="s">
        <v>43</v>
      </c>
      <c r="I1069" t="str">
        <f t="shared" si="18"/>
        <v>994_2</v>
      </c>
      <c r="J1069" t="s">
        <v>241</v>
      </c>
      <c r="K1069" t="s">
        <v>179</v>
      </c>
      <c r="L1069" t="str">
        <f>_xlfn.XLOOKUP(C1069, Table2[Species],Table2[Genus], "Code Not Found")</f>
        <v>Acer</v>
      </c>
      <c r="M1069" t="str">
        <f>_xlfn.XLOOKUP(C1069, Table2[Species],Table2[Sp. Name], "Code Not Found")</f>
        <v>saccharum</v>
      </c>
      <c r="N1069" t="str">
        <f>_xlfn.XLOOKUP(C1069,Table2[Species],Table2[Family],"Code Not Found")</f>
        <v>Sapindaceae</v>
      </c>
      <c r="O1069" t="str" cm="1">
        <f t="array" ref="O1069">_xlfn.IFS(F1069="","",F1069&lt;=5,"0 to 5",F1069&lt;=10,"5.1 to 10",F1069&lt;=20,"10 to 20", F1069&lt;= 40, "20 to 40", F1069 &lt;= 50, "40 to 50", F1069 &gt; 50, "&gt;50" )</f>
        <v>0 to 5</v>
      </c>
    </row>
    <row r="1070" spans="1:15" ht="14.4" x14ac:dyDescent="0.3">
      <c r="A1070" t="s">
        <v>240</v>
      </c>
      <c r="B1070" s="1">
        <v>46189</v>
      </c>
      <c r="C1070" t="s">
        <v>16</v>
      </c>
      <c r="D1070">
        <v>995</v>
      </c>
      <c r="E1070">
        <v>1</v>
      </c>
      <c r="F1070">
        <v>6.2</v>
      </c>
      <c r="G1070" t="s">
        <v>83</v>
      </c>
      <c r="H1070" t="s">
        <v>243</v>
      </c>
      <c r="I1070" t="str">
        <f t="shared" si="18"/>
        <v>995_1</v>
      </c>
      <c r="J1070" t="s">
        <v>241</v>
      </c>
      <c r="K1070" t="s">
        <v>179</v>
      </c>
      <c r="L1070" t="str">
        <f>_xlfn.XLOOKUP(C1070, Table2[Species],Table2[Genus], "Code Not Found")</f>
        <v>Acer</v>
      </c>
      <c r="M1070" t="str">
        <f>_xlfn.XLOOKUP(C1070, Table2[Species],Table2[Sp. Name], "Code Not Found")</f>
        <v>saccharum</v>
      </c>
      <c r="N1070" t="str">
        <f>_xlfn.XLOOKUP(C1070,Table2[Species],Table2[Family],"Code Not Found")</f>
        <v>Sapindaceae</v>
      </c>
      <c r="O1070" t="str" cm="1">
        <f t="array" ref="O1070">_xlfn.IFS(F1070="","",F1070&lt;=5,"0 to 5",F1070&lt;=10,"5.1 to 10",F1070&lt;=20,"10 to 20", F1070&lt;= 40, "20 to 40", F1070 &lt;= 50, "40 to 50", F1070 &gt; 50, "&gt;50" )</f>
        <v>5.1 to 10</v>
      </c>
    </row>
    <row r="1071" spans="1:15" ht="14.4" x14ac:dyDescent="0.3">
      <c r="A1071" t="s">
        <v>240</v>
      </c>
      <c r="B1071" s="1">
        <v>46189</v>
      </c>
      <c r="C1071" t="s">
        <v>64</v>
      </c>
      <c r="D1071">
        <v>996</v>
      </c>
      <c r="E1071">
        <v>1</v>
      </c>
      <c r="F1071">
        <v>59.5</v>
      </c>
      <c r="G1071" t="s">
        <v>17</v>
      </c>
      <c r="I1071" t="str">
        <f t="shared" si="18"/>
        <v>996_1</v>
      </c>
      <c r="J1071" t="s">
        <v>241</v>
      </c>
      <c r="K1071" t="s">
        <v>179</v>
      </c>
      <c r="L1071" t="str">
        <f>_xlfn.XLOOKUP(C1071, Table2[Species],Table2[Genus], "Code Not Found")</f>
        <v>Fagus</v>
      </c>
      <c r="M1071" t="str">
        <f>_xlfn.XLOOKUP(C1071, Table2[Species],Table2[Sp. Name], "Code Not Found")</f>
        <v>grandifolia</v>
      </c>
      <c r="N1071" t="str">
        <f>_xlfn.XLOOKUP(C1071,Table2[Species],Table2[Family],"Code Not Found")</f>
        <v>Fagaceae</v>
      </c>
      <c r="O1071" t="str" cm="1">
        <f t="array" ref="O1071">_xlfn.IFS(F1071="","",F1071&lt;=5,"0 to 5",F1071&lt;=10,"5.1 to 10",F1071&lt;=20,"10 to 20", F1071&lt;= 40, "20 to 40", F1071 &lt;= 50, "40 to 50", F1071 &gt; 50, "&gt;50" )</f>
        <v>&gt;50</v>
      </c>
    </row>
    <row r="1072" spans="1:15" ht="14.4" x14ac:dyDescent="0.3">
      <c r="A1072" t="s">
        <v>240</v>
      </c>
      <c r="B1072" s="1">
        <v>46189</v>
      </c>
      <c r="C1072" t="s">
        <v>16</v>
      </c>
      <c r="D1072">
        <v>997</v>
      </c>
      <c r="E1072">
        <v>1</v>
      </c>
      <c r="F1072">
        <v>3.5</v>
      </c>
      <c r="G1072" t="s">
        <v>47</v>
      </c>
      <c r="I1072" t="str">
        <f t="shared" ref="I1072:I1135" si="19">D1072&amp;"_"&amp;E1072</f>
        <v>997_1</v>
      </c>
      <c r="J1072" t="s">
        <v>241</v>
      </c>
      <c r="K1072" t="s">
        <v>179</v>
      </c>
      <c r="L1072" t="str">
        <f>_xlfn.XLOOKUP(C1072, Table2[Species],Table2[Genus], "Code Not Found")</f>
        <v>Acer</v>
      </c>
      <c r="M1072" t="str">
        <f>_xlfn.XLOOKUP(C1072, Table2[Species],Table2[Sp. Name], "Code Not Found")</f>
        <v>saccharum</v>
      </c>
      <c r="N1072" t="str">
        <f>_xlfn.XLOOKUP(C1072,Table2[Species],Table2[Family],"Code Not Found")</f>
        <v>Sapindaceae</v>
      </c>
      <c r="O1072" t="str" cm="1">
        <f t="array" ref="O1072">_xlfn.IFS(F1072="","",F1072&lt;=5,"0 to 5",F1072&lt;=10,"5.1 to 10",F1072&lt;=20,"10 to 20", F1072&lt;= 40, "20 to 40", F1072 &lt;= 50, "40 to 50", F1072 &gt; 50, "&gt;50" )</f>
        <v>0 to 5</v>
      </c>
    </row>
    <row r="1073" spans="1:15" ht="14.4" x14ac:dyDescent="0.3">
      <c r="A1073" t="s">
        <v>240</v>
      </c>
      <c r="B1073" s="1">
        <v>46189</v>
      </c>
      <c r="C1073" t="s">
        <v>16</v>
      </c>
      <c r="D1073">
        <v>998</v>
      </c>
      <c r="E1073">
        <v>1</v>
      </c>
      <c r="F1073">
        <v>18</v>
      </c>
      <c r="G1073" t="s">
        <v>17</v>
      </c>
      <c r="I1073" t="str">
        <f t="shared" si="19"/>
        <v>998_1</v>
      </c>
      <c r="J1073" t="s">
        <v>241</v>
      </c>
      <c r="K1073" t="s">
        <v>179</v>
      </c>
      <c r="L1073" t="str">
        <f>_xlfn.XLOOKUP(C1073, Table2[Species],Table2[Genus], "Code Not Found")</f>
        <v>Acer</v>
      </c>
      <c r="M1073" t="str">
        <f>_xlfn.XLOOKUP(C1073, Table2[Species],Table2[Sp. Name], "Code Not Found")</f>
        <v>saccharum</v>
      </c>
      <c r="N1073" t="str">
        <f>_xlfn.XLOOKUP(C1073,Table2[Species],Table2[Family],"Code Not Found")</f>
        <v>Sapindaceae</v>
      </c>
      <c r="O1073" t="str" cm="1">
        <f t="array" ref="O1073">_xlfn.IFS(F1073="","",F1073&lt;=5,"0 to 5",F1073&lt;=10,"5.1 to 10",F1073&lt;=20,"10 to 20", F1073&lt;= 40, "20 to 40", F1073 &lt;= 50, "40 to 50", F1073 &gt; 50, "&gt;50" )</f>
        <v>10 to 20</v>
      </c>
    </row>
    <row r="1074" spans="1:15" ht="14.4" x14ac:dyDescent="0.3">
      <c r="A1074" t="s">
        <v>240</v>
      </c>
      <c r="B1074" s="1">
        <v>46189</v>
      </c>
      <c r="C1074" t="s">
        <v>16</v>
      </c>
      <c r="D1074">
        <v>999</v>
      </c>
      <c r="E1074">
        <v>1</v>
      </c>
      <c r="F1074">
        <v>5.4</v>
      </c>
      <c r="G1074" t="s">
        <v>17</v>
      </c>
      <c r="I1074" t="str">
        <f t="shared" si="19"/>
        <v>999_1</v>
      </c>
      <c r="J1074" t="s">
        <v>241</v>
      </c>
      <c r="K1074" t="s">
        <v>179</v>
      </c>
      <c r="L1074" t="str">
        <f>_xlfn.XLOOKUP(C1074, Table2[Species],Table2[Genus], "Code Not Found")</f>
        <v>Acer</v>
      </c>
      <c r="M1074" t="str">
        <f>_xlfn.XLOOKUP(C1074, Table2[Species],Table2[Sp. Name], "Code Not Found")</f>
        <v>saccharum</v>
      </c>
      <c r="N1074" t="str">
        <f>_xlfn.XLOOKUP(C1074,Table2[Species],Table2[Family],"Code Not Found")</f>
        <v>Sapindaceae</v>
      </c>
      <c r="O1074" t="str" cm="1">
        <f t="array" ref="O1074">_xlfn.IFS(F1074="","",F1074&lt;=5,"0 to 5",F1074&lt;=10,"5.1 to 10",F1074&lt;=20,"10 to 20", F1074&lt;= 40, "20 to 40", F1074 &lt;= 50, "40 to 50", F1074 &gt; 50, "&gt;50" )</f>
        <v>5.1 to 10</v>
      </c>
    </row>
    <row r="1075" spans="1:15" ht="14.4" x14ac:dyDescent="0.3">
      <c r="A1075" t="s">
        <v>240</v>
      </c>
      <c r="B1075" s="1">
        <v>46189</v>
      </c>
      <c r="C1075" t="s">
        <v>16</v>
      </c>
      <c r="D1075">
        <v>1000</v>
      </c>
      <c r="E1075">
        <v>1</v>
      </c>
      <c r="F1075">
        <v>3.8</v>
      </c>
      <c r="G1075" t="s">
        <v>17</v>
      </c>
      <c r="I1075" t="str">
        <f t="shared" si="19"/>
        <v>1000_1</v>
      </c>
      <c r="J1075" t="s">
        <v>241</v>
      </c>
      <c r="K1075" t="s">
        <v>179</v>
      </c>
      <c r="L1075" t="str">
        <f>_xlfn.XLOOKUP(C1075, Table2[Species],Table2[Genus], "Code Not Found")</f>
        <v>Acer</v>
      </c>
      <c r="M1075" t="str">
        <f>_xlfn.XLOOKUP(C1075, Table2[Species],Table2[Sp. Name], "Code Not Found")</f>
        <v>saccharum</v>
      </c>
      <c r="N1075" t="str">
        <f>_xlfn.XLOOKUP(C1075,Table2[Species],Table2[Family],"Code Not Found")</f>
        <v>Sapindaceae</v>
      </c>
      <c r="O1075" t="str" cm="1">
        <f t="array" ref="O1075">_xlfn.IFS(F1075="","",F1075&lt;=5,"0 to 5",F1075&lt;=10,"5.1 to 10",F1075&lt;=20,"10 to 20", F1075&lt;= 40, "20 to 40", F1075 &lt;= 50, "40 to 50", F1075 &gt; 50, "&gt;50" )</f>
        <v>0 to 5</v>
      </c>
    </row>
    <row r="1076" spans="1:15" ht="14.4" x14ac:dyDescent="0.3">
      <c r="A1076" t="s">
        <v>240</v>
      </c>
      <c r="B1076" s="1">
        <v>46189</v>
      </c>
      <c r="C1076" t="s">
        <v>16</v>
      </c>
      <c r="D1076">
        <v>1001</v>
      </c>
      <c r="E1076">
        <v>1</v>
      </c>
      <c r="F1076">
        <v>2.7</v>
      </c>
      <c r="G1076" t="s">
        <v>17</v>
      </c>
      <c r="I1076" t="str">
        <f t="shared" si="19"/>
        <v>1001_1</v>
      </c>
      <c r="J1076" t="s">
        <v>241</v>
      </c>
      <c r="K1076" t="s">
        <v>179</v>
      </c>
      <c r="L1076" t="str">
        <f>_xlfn.XLOOKUP(C1076, Table2[Species],Table2[Genus], "Code Not Found")</f>
        <v>Acer</v>
      </c>
      <c r="M1076" t="str">
        <f>_xlfn.XLOOKUP(C1076, Table2[Species],Table2[Sp. Name], "Code Not Found")</f>
        <v>saccharum</v>
      </c>
      <c r="N1076" t="str">
        <f>_xlfn.XLOOKUP(C1076,Table2[Species],Table2[Family],"Code Not Found")</f>
        <v>Sapindaceae</v>
      </c>
      <c r="O1076" t="str" cm="1">
        <f t="array" ref="O1076">_xlfn.IFS(F1076="","",F1076&lt;=5,"0 to 5",F1076&lt;=10,"5.1 to 10",F1076&lt;=20,"10 to 20", F1076&lt;= 40, "20 to 40", F1076 &lt;= 50, "40 to 50", F1076 &gt; 50, "&gt;50" )</f>
        <v>0 to 5</v>
      </c>
    </row>
    <row r="1077" spans="1:15" ht="14.4" x14ac:dyDescent="0.3">
      <c r="A1077" t="s">
        <v>240</v>
      </c>
      <c r="B1077" s="1">
        <v>46189</v>
      </c>
      <c r="C1077" t="s">
        <v>16</v>
      </c>
      <c r="D1077">
        <v>1002</v>
      </c>
      <c r="E1077">
        <v>1</v>
      </c>
      <c r="F1077">
        <v>3.2</v>
      </c>
      <c r="G1077" t="s">
        <v>21</v>
      </c>
      <c r="I1077" t="str">
        <f t="shared" si="19"/>
        <v>1002_1</v>
      </c>
      <c r="J1077" t="s">
        <v>241</v>
      </c>
      <c r="K1077" t="s">
        <v>179</v>
      </c>
      <c r="L1077" t="str">
        <f>_xlfn.XLOOKUP(C1077, Table2[Species],Table2[Genus], "Code Not Found")</f>
        <v>Acer</v>
      </c>
      <c r="M1077" t="str">
        <f>_xlfn.XLOOKUP(C1077, Table2[Species],Table2[Sp. Name], "Code Not Found")</f>
        <v>saccharum</v>
      </c>
      <c r="N1077" t="str">
        <f>_xlfn.XLOOKUP(C1077,Table2[Species],Table2[Family],"Code Not Found")</f>
        <v>Sapindaceae</v>
      </c>
      <c r="O1077" t="str" cm="1">
        <f t="array" ref="O1077">_xlfn.IFS(F1077="","",F1077&lt;=5,"0 to 5",F1077&lt;=10,"5.1 to 10",F1077&lt;=20,"10 to 20", F1077&lt;= 40, "20 to 40", F1077 &lt;= 50, "40 to 50", F1077 &gt; 50, "&gt;50" )</f>
        <v>0 to 5</v>
      </c>
    </row>
    <row r="1078" spans="1:15" ht="14.4" x14ac:dyDescent="0.3">
      <c r="A1078" t="s">
        <v>240</v>
      </c>
      <c r="B1078" s="1">
        <v>46189</v>
      </c>
      <c r="C1078" t="s">
        <v>16</v>
      </c>
      <c r="D1078">
        <v>1017</v>
      </c>
      <c r="E1078">
        <v>1</v>
      </c>
      <c r="F1078">
        <v>1.8</v>
      </c>
      <c r="G1078" t="s">
        <v>94</v>
      </c>
      <c r="H1078" t="s">
        <v>99</v>
      </c>
      <c r="I1078" t="str">
        <f t="shared" si="19"/>
        <v>1017_1</v>
      </c>
      <c r="J1078" t="s">
        <v>241</v>
      </c>
      <c r="K1078" t="s">
        <v>179</v>
      </c>
      <c r="L1078" t="str">
        <f>_xlfn.XLOOKUP(C1078, Table2[Species],Table2[Genus], "Code Not Found")</f>
        <v>Acer</v>
      </c>
      <c r="M1078" t="str">
        <f>_xlfn.XLOOKUP(C1078, Table2[Species],Table2[Sp. Name], "Code Not Found")</f>
        <v>saccharum</v>
      </c>
      <c r="N1078" t="str">
        <f>_xlfn.XLOOKUP(C1078,Table2[Species],Table2[Family],"Code Not Found")</f>
        <v>Sapindaceae</v>
      </c>
      <c r="O1078" t="str" cm="1">
        <f t="array" ref="O1078">_xlfn.IFS(F1078="","",F1078&lt;=5,"0 to 5",F1078&lt;=10,"5.1 to 10",F1078&lt;=20,"10 to 20", F1078&lt;= 40, "20 to 40", F1078 &lt;= 50, "40 to 50", F1078 &gt; 50, "&gt;50" )</f>
        <v>0 to 5</v>
      </c>
    </row>
    <row r="1079" spans="1:15" ht="14.4" x14ac:dyDescent="0.3">
      <c r="A1079" t="s">
        <v>240</v>
      </c>
      <c r="B1079" s="1">
        <v>46189</v>
      </c>
      <c r="C1079" t="s">
        <v>16</v>
      </c>
      <c r="D1079">
        <v>1003</v>
      </c>
      <c r="E1079">
        <v>1</v>
      </c>
      <c r="F1079">
        <v>6</v>
      </c>
      <c r="G1079" t="s">
        <v>30</v>
      </c>
      <c r="H1079" t="s">
        <v>244</v>
      </c>
      <c r="I1079" t="str">
        <f t="shared" si="19"/>
        <v>1003_1</v>
      </c>
      <c r="J1079" t="s">
        <v>241</v>
      </c>
      <c r="K1079" t="s">
        <v>179</v>
      </c>
      <c r="L1079" t="str">
        <f>_xlfn.XLOOKUP(C1079, Table2[Species],Table2[Genus], "Code Not Found")</f>
        <v>Acer</v>
      </c>
      <c r="M1079" t="str">
        <f>_xlfn.XLOOKUP(C1079, Table2[Species],Table2[Sp. Name], "Code Not Found")</f>
        <v>saccharum</v>
      </c>
      <c r="N1079" t="str">
        <f>_xlfn.XLOOKUP(C1079,Table2[Species],Table2[Family],"Code Not Found")</f>
        <v>Sapindaceae</v>
      </c>
      <c r="O1079" t="str" cm="1">
        <f t="array" ref="O1079">_xlfn.IFS(F1079="","",F1079&lt;=5,"0 to 5",F1079&lt;=10,"5.1 to 10",F1079&lt;=20,"10 to 20", F1079&lt;= 40, "20 to 40", F1079 &lt;= 50, "40 to 50", F1079 &gt; 50, "&gt;50" )</f>
        <v>5.1 to 10</v>
      </c>
    </row>
    <row r="1080" spans="1:15" ht="14.4" x14ac:dyDescent="0.3">
      <c r="A1080" t="s">
        <v>240</v>
      </c>
      <c r="B1080" s="1">
        <v>46189</v>
      </c>
      <c r="C1080" t="s">
        <v>16</v>
      </c>
      <c r="D1080">
        <v>1004</v>
      </c>
      <c r="E1080">
        <v>1</v>
      </c>
      <c r="F1080">
        <v>12</v>
      </c>
      <c r="G1080" t="s">
        <v>21</v>
      </c>
      <c r="I1080" t="str">
        <f t="shared" si="19"/>
        <v>1004_1</v>
      </c>
      <c r="J1080" t="s">
        <v>241</v>
      </c>
      <c r="K1080" t="s">
        <v>179</v>
      </c>
      <c r="L1080" t="str">
        <f>_xlfn.XLOOKUP(C1080, Table2[Species],Table2[Genus], "Code Not Found")</f>
        <v>Acer</v>
      </c>
      <c r="M1080" t="str">
        <f>_xlfn.XLOOKUP(C1080, Table2[Species],Table2[Sp. Name], "Code Not Found")</f>
        <v>saccharum</v>
      </c>
      <c r="N1080" t="str">
        <f>_xlfn.XLOOKUP(C1080,Table2[Species],Table2[Family],"Code Not Found")</f>
        <v>Sapindaceae</v>
      </c>
      <c r="O1080" t="str" cm="1">
        <f t="array" ref="O1080">_xlfn.IFS(F1080="","",F1080&lt;=5,"0 to 5",F1080&lt;=10,"5.1 to 10",F1080&lt;=20,"10 to 20", F1080&lt;= 40, "20 to 40", F1080 &lt;= 50, "40 to 50", F1080 &gt; 50, "&gt;50" )</f>
        <v>10 to 20</v>
      </c>
    </row>
    <row r="1081" spans="1:15" ht="14.4" x14ac:dyDescent="0.3">
      <c r="A1081" t="s">
        <v>240</v>
      </c>
      <c r="B1081" s="1">
        <v>46189</v>
      </c>
      <c r="C1081" t="s">
        <v>55</v>
      </c>
      <c r="D1081">
        <v>1005</v>
      </c>
      <c r="E1081">
        <v>1</v>
      </c>
      <c r="F1081">
        <v>2.5</v>
      </c>
      <c r="G1081" t="s">
        <v>21</v>
      </c>
      <c r="H1081" t="s">
        <v>231</v>
      </c>
      <c r="I1081" t="str">
        <f t="shared" si="19"/>
        <v>1005_1</v>
      </c>
      <c r="J1081" t="s">
        <v>241</v>
      </c>
      <c r="K1081" t="s">
        <v>179</v>
      </c>
      <c r="L1081" t="str">
        <f>_xlfn.XLOOKUP(C1081, Table2[Species],Table2[Genus], "Code Not Found")</f>
        <v>Magnolia</v>
      </c>
      <c r="M1081" t="str">
        <f>_xlfn.XLOOKUP(C1081, Table2[Species],Table2[Sp. Name], "Code Not Found")</f>
        <v>acuminata</v>
      </c>
      <c r="N1081" t="str">
        <f>_xlfn.XLOOKUP(C1081,Table2[Species],Table2[Family],"Code Not Found")</f>
        <v>Magnoliaceae</v>
      </c>
      <c r="O1081" t="str" cm="1">
        <f t="array" ref="O1081">_xlfn.IFS(F1081="","",F1081&lt;=5,"0 to 5",F1081&lt;=10,"5.1 to 10",F1081&lt;=20,"10 to 20", F1081&lt;= 40, "20 to 40", F1081 &lt;= 50, "40 to 50", F1081 &gt; 50, "&gt;50" )</f>
        <v>0 to 5</v>
      </c>
    </row>
    <row r="1082" spans="1:15" ht="14.4" x14ac:dyDescent="0.3">
      <c r="A1082" t="s">
        <v>240</v>
      </c>
      <c r="B1082" s="1">
        <v>46189</v>
      </c>
      <c r="C1082" t="s">
        <v>24</v>
      </c>
      <c r="D1082">
        <v>1006</v>
      </c>
      <c r="E1082">
        <v>1</v>
      </c>
      <c r="F1082">
        <v>1.3</v>
      </c>
      <c r="G1082" t="s">
        <v>17</v>
      </c>
      <c r="H1082" t="s">
        <v>227</v>
      </c>
      <c r="I1082" t="str">
        <f t="shared" si="19"/>
        <v>1006_1</v>
      </c>
      <c r="J1082" t="s">
        <v>241</v>
      </c>
      <c r="K1082" t="s">
        <v>179</v>
      </c>
      <c r="L1082" t="str">
        <f>_xlfn.XLOOKUP(C1082, Table2[Species],Table2[Genus], "Code Not Found")</f>
        <v>Lirodendron</v>
      </c>
      <c r="M1082" t="str">
        <f>_xlfn.XLOOKUP(C1082, Table2[Species],Table2[Sp. Name], "Code Not Found")</f>
        <v>tulipfera</v>
      </c>
      <c r="N1082" t="str">
        <f>_xlfn.XLOOKUP(C1082,Table2[Species],Table2[Family],"Code Not Found")</f>
        <v>Magnoliaceae</v>
      </c>
      <c r="O1082" t="str" cm="1">
        <f t="array" ref="O1082">_xlfn.IFS(F1082="","",F1082&lt;=5,"0 to 5",F1082&lt;=10,"5.1 to 10",F1082&lt;=20,"10 to 20", F1082&lt;= 40, "20 to 40", F1082 &lt;= 50, "40 to 50", F1082 &gt; 50, "&gt;50" )</f>
        <v>0 to 5</v>
      </c>
    </row>
    <row r="1083" spans="1:15" ht="14.4" x14ac:dyDescent="0.3">
      <c r="A1083" t="s">
        <v>240</v>
      </c>
      <c r="B1083" s="1">
        <v>46189</v>
      </c>
      <c r="C1083" t="s">
        <v>16</v>
      </c>
      <c r="D1083">
        <v>1007</v>
      </c>
      <c r="E1083">
        <v>1</v>
      </c>
      <c r="F1083">
        <v>6.2</v>
      </c>
      <c r="G1083" t="s">
        <v>17</v>
      </c>
      <c r="I1083" t="str">
        <f t="shared" si="19"/>
        <v>1007_1</v>
      </c>
      <c r="J1083" t="s">
        <v>241</v>
      </c>
      <c r="K1083" t="s">
        <v>179</v>
      </c>
      <c r="L1083" t="str">
        <f>_xlfn.XLOOKUP(C1083, Table2[Species],Table2[Genus], "Code Not Found")</f>
        <v>Acer</v>
      </c>
      <c r="M1083" t="str">
        <f>_xlfn.XLOOKUP(C1083, Table2[Species],Table2[Sp. Name], "Code Not Found")</f>
        <v>saccharum</v>
      </c>
      <c r="N1083" t="str">
        <f>_xlfn.XLOOKUP(C1083,Table2[Species],Table2[Family],"Code Not Found")</f>
        <v>Sapindaceae</v>
      </c>
      <c r="O1083" t="str" cm="1">
        <f t="array" ref="O1083">_xlfn.IFS(F1083="","",F1083&lt;=5,"0 to 5",F1083&lt;=10,"5.1 to 10",F1083&lt;=20,"10 to 20", F1083&lt;= 40, "20 to 40", F1083 &lt;= 50, "40 to 50", F1083 &gt; 50, "&gt;50" )</f>
        <v>5.1 to 10</v>
      </c>
    </row>
    <row r="1084" spans="1:15" ht="14.4" x14ac:dyDescent="0.3">
      <c r="A1084" t="s">
        <v>240</v>
      </c>
      <c r="B1084" s="1">
        <v>46189</v>
      </c>
      <c r="C1084" t="s">
        <v>16</v>
      </c>
      <c r="D1084">
        <v>1008</v>
      </c>
      <c r="E1084">
        <v>1</v>
      </c>
      <c r="F1084">
        <v>6.1</v>
      </c>
      <c r="G1084" t="s">
        <v>83</v>
      </c>
      <c r="H1084" t="s">
        <v>86</v>
      </c>
      <c r="I1084" t="str">
        <f t="shared" si="19"/>
        <v>1008_1</v>
      </c>
      <c r="J1084" t="s">
        <v>241</v>
      </c>
      <c r="K1084" t="s">
        <v>179</v>
      </c>
      <c r="L1084" t="str">
        <f>_xlfn.XLOOKUP(C1084, Table2[Species],Table2[Genus], "Code Not Found")</f>
        <v>Acer</v>
      </c>
      <c r="M1084" t="str">
        <f>_xlfn.XLOOKUP(C1084, Table2[Species],Table2[Sp. Name], "Code Not Found")</f>
        <v>saccharum</v>
      </c>
      <c r="N1084" t="str">
        <f>_xlfn.XLOOKUP(C1084,Table2[Species],Table2[Family],"Code Not Found")</f>
        <v>Sapindaceae</v>
      </c>
      <c r="O1084" t="str" cm="1">
        <f t="array" ref="O1084">_xlfn.IFS(F1084="","",F1084&lt;=5,"0 to 5",F1084&lt;=10,"5.1 to 10",F1084&lt;=20,"10 to 20", F1084&lt;= 40, "20 to 40", F1084 &lt;= 50, "40 to 50", F1084 &gt; 50, "&gt;50" )</f>
        <v>5.1 to 10</v>
      </c>
    </row>
    <row r="1085" spans="1:15" ht="14.4" x14ac:dyDescent="0.3">
      <c r="A1085" t="s">
        <v>240</v>
      </c>
      <c r="B1085" s="1">
        <v>46189</v>
      </c>
      <c r="C1085" t="s">
        <v>16</v>
      </c>
      <c r="D1085">
        <v>1009</v>
      </c>
      <c r="E1085">
        <v>1</v>
      </c>
      <c r="F1085">
        <v>15.2</v>
      </c>
      <c r="G1085" t="s">
        <v>47</v>
      </c>
      <c r="I1085" t="str">
        <f t="shared" si="19"/>
        <v>1009_1</v>
      </c>
      <c r="J1085" t="s">
        <v>241</v>
      </c>
      <c r="K1085" t="s">
        <v>179</v>
      </c>
      <c r="L1085" t="str">
        <f>_xlfn.XLOOKUP(C1085, Table2[Species],Table2[Genus], "Code Not Found")</f>
        <v>Acer</v>
      </c>
      <c r="M1085" t="str">
        <f>_xlfn.XLOOKUP(C1085, Table2[Species],Table2[Sp. Name], "Code Not Found")</f>
        <v>saccharum</v>
      </c>
      <c r="N1085" t="str">
        <f>_xlfn.XLOOKUP(C1085,Table2[Species],Table2[Family],"Code Not Found")</f>
        <v>Sapindaceae</v>
      </c>
      <c r="O1085" t="str" cm="1">
        <f t="array" ref="O1085">_xlfn.IFS(F1085="","",F1085&lt;=5,"0 to 5",F1085&lt;=10,"5.1 to 10",F1085&lt;=20,"10 to 20", F1085&lt;= 40, "20 to 40", F1085 &lt;= 50, "40 to 50", F1085 &gt; 50, "&gt;50" )</f>
        <v>10 to 20</v>
      </c>
    </row>
    <row r="1086" spans="1:15" ht="14.4" x14ac:dyDescent="0.3">
      <c r="A1086" t="s">
        <v>240</v>
      </c>
      <c r="B1086" s="1">
        <v>46189</v>
      </c>
      <c r="C1086" t="s">
        <v>16</v>
      </c>
      <c r="D1086">
        <v>1010</v>
      </c>
      <c r="E1086">
        <v>1</v>
      </c>
      <c r="F1086">
        <v>4.4000000000000004</v>
      </c>
      <c r="G1086" t="s">
        <v>17</v>
      </c>
      <c r="I1086" t="str">
        <f t="shared" si="19"/>
        <v>1010_1</v>
      </c>
      <c r="J1086" t="s">
        <v>241</v>
      </c>
      <c r="K1086" t="s">
        <v>179</v>
      </c>
      <c r="L1086" t="str">
        <f>_xlfn.XLOOKUP(C1086, Table2[Species],Table2[Genus], "Code Not Found")</f>
        <v>Acer</v>
      </c>
      <c r="M1086" t="str">
        <f>_xlfn.XLOOKUP(C1086, Table2[Species],Table2[Sp. Name], "Code Not Found")</f>
        <v>saccharum</v>
      </c>
      <c r="N1086" t="str">
        <f>_xlfn.XLOOKUP(C1086,Table2[Species],Table2[Family],"Code Not Found")</f>
        <v>Sapindaceae</v>
      </c>
      <c r="O1086" t="str" cm="1">
        <f t="array" ref="O1086">_xlfn.IFS(F1086="","",F1086&lt;=5,"0 to 5",F1086&lt;=10,"5.1 to 10",F1086&lt;=20,"10 to 20", F1086&lt;= 40, "20 to 40", F1086 &lt;= 50, "40 to 50", F1086 &gt; 50, "&gt;50" )</f>
        <v>0 to 5</v>
      </c>
    </row>
    <row r="1087" spans="1:15" ht="14.4" x14ac:dyDescent="0.3">
      <c r="A1087" t="s">
        <v>240</v>
      </c>
      <c r="B1087" s="1">
        <v>46189</v>
      </c>
      <c r="C1087" t="s">
        <v>16</v>
      </c>
      <c r="D1087">
        <v>1011</v>
      </c>
      <c r="E1087">
        <v>1</v>
      </c>
      <c r="F1087">
        <v>12.3</v>
      </c>
      <c r="G1087" t="s">
        <v>94</v>
      </c>
      <c r="H1087" t="s">
        <v>245</v>
      </c>
      <c r="I1087" t="str">
        <f t="shared" si="19"/>
        <v>1011_1</v>
      </c>
      <c r="J1087" t="s">
        <v>241</v>
      </c>
      <c r="K1087" t="s">
        <v>179</v>
      </c>
      <c r="L1087" t="str">
        <f>_xlfn.XLOOKUP(C1087, Table2[Species],Table2[Genus], "Code Not Found")</f>
        <v>Acer</v>
      </c>
      <c r="M1087" t="str">
        <f>_xlfn.XLOOKUP(C1087, Table2[Species],Table2[Sp. Name], "Code Not Found")</f>
        <v>saccharum</v>
      </c>
      <c r="N1087" t="str">
        <f>_xlfn.XLOOKUP(C1087,Table2[Species],Table2[Family],"Code Not Found")</f>
        <v>Sapindaceae</v>
      </c>
      <c r="O1087" t="str" cm="1">
        <f t="array" ref="O1087">_xlfn.IFS(F1087="","",F1087&lt;=5,"0 to 5",F1087&lt;=10,"5.1 to 10",F1087&lt;=20,"10 to 20", F1087&lt;= 40, "20 to 40", F1087 &lt;= 50, "40 to 50", F1087 &gt; 50, "&gt;50" )</f>
        <v>10 to 20</v>
      </c>
    </row>
    <row r="1088" spans="1:15" ht="14.4" x14ac:dyDescent="0.3">
      <c r="A1088" t="s">
        <v>240</v>
      </c>
      <c r="B1088" s="1">
        <v>46189</v>
      </c>
      <c r="C1088" t="s">
        <v>16</v>
      </c>
      <c r="D1088">
        <v>1012</v>
      </c>
      <c r="E1088">
        <v>1</v>
      </c>
      <c r="F1088">
        <v>1.9</v>
      </c>
      <c r="G1088" t="s">
        <v>93</v>
      </c>
      <c r="H1088" t="s">
        <v>43</v>
      </c>
      <c r="I1088" t="str">
        <f t="shared" si="19"/>
        <v>1012_1</v>
      </c>
      <c r="J1088" t="s">
        <v>241</v>
      </c>
      <c r="K1088" t="s">
        <v>179</v>
      </c>
      <c r="L1088" t="str">
        <f>_xlfn.XLOOKUP(C1088, Table2[Species],Table2[Genus], "Code Not Found")</f>
        <v>Acer</v>
      </c>
      <c r="M1088" t="str">
        <f>_xlfn.XLOOKUP(C1088, Table2[Species],Table2[Sp. Name], "Code Not Found")</f>
        <v>saccharum</v>
      </c>
      <c r="N1088" t="str">
        <f>_xlfn.XLOOKUP(C1088,Table2[Species],Table2[Family],"Code Not Found")</f>
        <v>Sapindaceae</v>
      </c>
      <c r="O1088" t="str" cm="1">
        <f t="array" ref="O1088">_xlfn.IFS(F1088="","",F1088&lt;=5,"0 to 5",F1088&lt;=10,"5.1 to 10",F1088&lt;=20,"10 to 20", F1088&lt;= 40, "20 to 40", F1088 &lt;= 50, "40 to 50", F1088 &gt; 50, "&gt;50" )</f>
        <v>0 to 5</v>
      </c>
    </row>
    <row r="1089" spans="1:15" ht="14.4" x14ac:dyDescent="0.3">
      <c r="A1089" t="s">
        <v>240</v>
      </c>
      <c r="B1089" s="1">
        <v>46189</v>
      </c>
      <c r="C1089" t="s">
        <v>16</v>
      </c>
      <c r="D1089">
        <v>1012</v>
      </c>
      <c r="E1089">
        <v>2</v>
      </c>
      <c r="F1089">
        <v>1</v>
      </c>
      <c r="G1089" t="s">
        <v>246</v>
      </c>
      <c r="H1089" t="s">
        <v>247</v>
      </c>
      <c r="I1089" t="str">
        <f t="shared" si="19"/>
        <v>1012_2</v>
      </c>
      <c r="J1089" t="s">
        <v>241</v>
      </c>
      <c r="K1089" t="s">
        <v>179</v>
      </c>
      <c r="L1089" t="str">
        <f>_xlfn.XLOOKUP(C1089, Table2[Species],Table2[Genus], "Code Not Found")</f>
        <v>Acer</v>
      </c>
      <c r="M1089" t="str">
        <f>_xlfn.XLOOKUP(C1089, Table2[Species],Table2[Sp. Name], "Code Not Found")</f>
        <v>saccharum</v>
      </c>
      <c r="N1089" t="str">
        <f>_xlfn.XLOOKUP(C1089,Table2[Species],Table2[Family],"Code Not Found")</f>
        <v>Sapindaceae</v>
      </c>
      <c r="O1089" t="str" cm="1">
        <f t="array" ref="O1089">_xlfn.IFS(F1089="","",F1089&lt;=5,"0 to 5",F1089&lt;=10,"5.1 to 10",F1089&lt;=20,"10 to 20", F1089&lt;= 40, "20 to 40", F1089 &lt;= 50, "40 to 50", F1089 &gt; 50, "&gt;50" )</f>
        <v>0 to 5</v>
      </c>
    </row>
    <row r="1090" spans="1:15" ht="14.4" x14ac:dyDescent="0.3">
      <c r="A1090" t="s">
        <v>240</v>
      </c>
      <c r="B1090" s="1">
        <v>46189</v>
      </c>
      <c r="C1090" t="s">
        <v>16</v>
      </c>
      <c r="D1090">
        <v>1013</v>
      </c>
      <c r="E1090">
        <v>1</v>
      </c>
      <c r="F1090">
        <v>4.3</v>
      </c>
      <c r="G1090" t="s">
        <v>17</v>
      </c>
      <c r="H1090" t="s">
        <v>36</v>
      </c>
      <c r="I1090" t="str">
        <f t="shared" si="19"/>
        <v>1013_1</v>
      </c>
      <c r="J1090" t="s">
        <v>241</v>
      </c>
      <c r="K1090" t="s">
        <v>179</v>
      </c>
      <c r="L1090" t="str">
        <f>_xlfn.XLOOKUP(C1090, Table2[Species],Table2[Genus], "Code Not Found")</f>
        <v>Acer</v>
      </c>
      <c r="M1090" t="str">
        <f>_xlfn.XLOOKUP(C1090, Table2[Species],Table2[Sp. Name], "Code Not Found")</f>
        <v>saccharum</v>
      </c>
      <c r="N1090" t="str">
        <f>_xlfn.XLOOKUP(C1090,Table2[Species],Table2[Family],"Code Not Found")</f>
        <v>Sapindaceae</v>
      </c>
      <c r="O1090" t="str" cm="1">
        <f t="array" ref="O1090">_xlfn.IFS(F1090="","",F1090&lt;=5,"0 to 5",F1090&lt;=10,"5.1 to 10",F1090&lt;=20,"10 to 20", F1090&lt;= 40, "20 to 40", F1090 &lt;= 50, "40 to 50", F1090 &gt; 50, "&gt;50" )</f>
        <v>0 to 5</v>
      </c>
    </row>
    <row r="1091" spans="1:15" ht="14.4" x14ac:dyDescent="0.3">
      <c r="A1091" t="s">
        <v>240</v>
      </c>
      <c r="B1091" s="1">
        <v>46189</v>
      </c>
      <c r="C1091" t="s">
        <v>16</v>
      </c>
      <c r="D1091">
        <v>1014</v>
      </c>
      <c r="E1091">
        <v>1</v>
      </c>
      <c r="F1091">
        <v>25.6</v>
      </c>
      <c r="G1091" t="s">
        <v>17</v>
      </c>
      <c r="H1091" t="s">
        <v>36</v>
      </c>
      <c r="I1091" t="str">
        <f t="shared" si="19"/>
        <v>1014_1</v>
      </c>
      <c r="J1091" t="s">
        <v>241</v>
      </c>
      <c r="K1091" t="s">
        <v>179</v>
      </c>
      <c r="L1091" t="str">
        <f>_xlfn.XLOOKUP(C1091, Table2[Species],Table2[Genus], "Code Not Found")</f>
        <v>Acer</v>
      </c>
      <c r="M1091" t="str">
        <f>_xlfn.XLOOKUP(C1091, Table2[Species],Table2[Sp. Name], "Code Not Found")</f>
        <v>saccharum</v>
      </c>
      <c r="N1091" t="str">
        <f>_xlfn.XLOOKUP(C1091,Table2[Species],Table2[Family],"Code Not Found")</f>
        <v>Sapindaceae</v>
      </c>
      <c r="O1091" t="str" cm="1">
        <f t="array" ref="O1091">_xlfn.IFS(F1091="","",F1091&lt;=5,"0 to 5",F1091&lt;=10,"5.1 to 10",F1091&lt;=20,"10 to 20", F1091&lt;= 40, "20 to 40", F1091 &lt;= 50, "40 to 50", F1091 &gt; 50, "&gt;50" )</f>
        <v>20 to 40</v>
      </c>
    </row>
    <row r="1092" spans="1:15" ht="14.4" x14ac:dyDescent="0.3">
      <c r="A1092" t="s">
        <v>240</v>
      </c>
      <c r="B1092" s="1">
        <v>46189</v>
      </c>
      <c r="C1092" t="s">
        <v>16</v>
      </c>
      <c r="D1092">
        <v>1015</v>
      </c>
      <c r="E1092">
        <v>1</v>
      </c>
      <c r="F1092">
        <v>4.4000000000000004</v>
      </c>
      <c r="G1092" t="s">
        <v>30</v>
      </c>
      <c r="H1092" t="s">
        <v>248</v>
      </c>
      <c r="I1092" t="str">
        <f t="shared" si="19"/>
        <v>1015_1</v>
      </c>
      <c r="J1092" t="s">
        <v>241</v>
      </c>
      <c r="K1092" t="s">
        <v>179</v>
      </c>
      <c r="L1092" t="str">
        <f>_xlfn.XLOOKUP(C1092, Table2[Species],Table2[Genus], "Code Not Found")</f>
        <v>Acer</v>
      </c>
      <c r="M1092" t="str">
        <f>_xlfn.XLOOKUP(C1092, Table2[Species],Table2[Sp. Name], "Code Not Found")</f>
        <v>saccharum</v>
      </c>
      <c r="N1092" t="str">
        <f>_xlfn.XLOOKUP(C1092,Table2[Species],Table2[Family],"Code Not Found")</f>
        <v>Sapindaceae</v>
      </c>
      <c r="O1092" t="str" cm="1">
        <f t="array" ref="O1092">_xlfn.IFS(F1092="","",F1092&lt;=5,"0 to 5",F1092&lt;=10,"5.1 to 10",F1092&lt;=20,"10 to 20", F1092&lt;= 40, "20 to 40", F1092 &lt;= 50, "40 to 50", F1092 &gt; 50, "&gt;50" )</f>
        <v>0 to 5</v>
      </c>
    </row>
    <row r="1093" spans="1:15" ht="14.4" x14ac:dyDescent="0.3">
      <c r="A1093" t="s">
        <v>240</v>
      </c>
      <c r="B1093" s="1">
        <v>46189</v>
      </c>
      <c r="C1093" t="s">
        <v>16</v>
      </c>
      <c r="D1093">
        <v>1016</v>
      </c>
      <c r="E1093">
        <v>1</v>
      </c>
      <c r="F1093">
        <v>7.7</v>
      </c>
      <c r="G1093" t="s">
        <v>94</v>
      </c>
      <c r="H1093" t="s">
        <v>234</v>
      </c>
      <c r="I1093" t="str">
        <f t="shared" si="19"/>
        <v>1016_1</v>
      </c>
      <c r="J1093" t="s">
        <v>241</v>
      </c>
      <c r="K1093" t="s">
        <v>179</v>
      </c>
      <c r="L1093" t="str">
        <f>_xlfn.XLOOKUP(C1093, Table2[Species],Table2[Genus], "Code Not Found")</f>
        <v>Acer</v>
      </c>
      <c r="M1093" t="str">
        <f>_xlfn.XLOOKUP(C1093, Table2[Species],Table2[Sp. Name], "Code Not Found")</f>
        <v>saccharum</v>
      </c>
      <c r="N1093" t="str">
        <f>_xlfn.XLOOKUP(C1093,Table2[Species],Table2[Family],"Code Not Found")</f>
        <v>Sapindaceae</v>
      </c>
      <c r="O1093" t="str" cm="1">
        <f t="array" ref="O1093">_xlfn.IFS(F1093="","",F1093&lt;=5,"0 to 5",F1093&lt;=10,"5.1 to 10",F1093&lt;=20,"10 to 20", F1093&lt;= 40, "20 to 40", F1093 &lt;= 50, "40 to 50", F1093 &gt; 50, "&gt;50" )</f>
        <v>5.1 to 10</v>
      </c>
    </row>
    <row r="1094" spans="1:15" ht="14.4" x14ac:dyDescent="0.3">
      <c r="A1094" t="s">
        <v>240</v>
      </c>
      <c r="B1094" s="1">
        <v>46189</v>
      </c>
      <c r="C1094" t="s">
        <v>16</v>
      </c>
      <c r="D1094">
        <v>1018</v>
      </c>
      <c r="E1094">
        <v>1</v>
      </c>
      <c r="F1094">
        <v>7.3</v>
      </c>
      <c r="G1094" t="s">
        <v>21</v>
      </c>
      <c r="H1094" t="s">
        <v>231</v>
      </c>
      <c r="I1094" t="str">
        <f t="shared" si="19"/>
        <v>1018_1</v>
      </c>
      <c r="J1094" t="s">
        <v>241</v>
      </c>
      <c r="K1094" t="s">
        <v>179</v>
      </c>
      <c r="L1094" t="str">
        <f>_xlfn.XLOOKUP(C1094, Table2[Species],Table2[Genus], "Code Not Found")</f>
        <v>Acer</v>
      </c>
      <c r="M1094" t="str">
        <f>_xlfn.XLOOKUP(C1094, Table2[Species],Table2[Sp. Name], "Code Not Found")</f>
        <v>saccharum</v>
      </c>
      <c r="N1094" t="str">
        <f>_xlfn.XLOOKUP(C1094,Table2[Species],Table2[Family],"Code Not Found")</f>
        <v>Sapindaceae</v>
      </c>
      <c r="O1094" t="str" cm="1">
        <f t="array" ref="O1094">_xlfn.IFS(F1094="","",F1094&lt;=5,"0 to 5",F1094&lt;=10,"5.1 to 10",F1094&lt;=20,"10 to 20", F1094&lt;= 40, "20 to 40", F1094 &lt;= 50, "40 to 50", F1094 &gt; 50, "&gt;50" )</f>
        <v>5.1 to 10</v>
      </c>
    </row>
    <row r="1095" spans="1:15" ht="14.4" x14ac:dyDescent="0.3">
      <c r="A1095" t="s">
        <v>240</v>
      </c>
      <c r="B1095" s="1">
        <v>46189</v>
      </c>
      <c r="C1095" t="s">
        <v>16</v>
      </c>
      <c r="D1095">
        <v>1019</v>
      </c>
      <c r="E1095">
        <v>1</v>
      </c>
      <c r="F1095">
        <v>7.5</v>
      </c>
      <c r="G1095" t="s">
        <v>139</v>
      </c>
      <c r="H1095" t="s">
        <v>249</v>
      </c>
      <c r="I1095" t="str">
        <f t="shared" si="19"/>
        <v>1019_1</v>
      </c>
      <c r="J1095" t="s">
        <v>241</v>
      </c>
      <c r="K1095" t="s">
        <v>179</v>
      </c>
      <c r="L1095" t="str">
        <f>_xlfn.XLOOKUP(C1095, Table2[Species],Table2[Genus], "Code Not Found")</f>
        <v>Acer</v>
      </c>
      <c r="M1095" t="str">
        <f>_xlfn.XLOOKUP(C1095, Table2[Species],Table2[Sp. Name], "Code Not Found")</f>
        <v>saccharum</v>
      </c>
      <c r="N1095" t="str">
        <f>_xlfn.XLOOKUP(C1095,Table2[Species],Table2[Family],"Code Not Found")</f>
        <v>Sapindaceae</v>
      </c>
      <c r="O1095" t="str" cm="1">
        <f t="array" ref="O1095">_xlfn.IFS(F1095="","",F1095&lt;=5,"0 to 5",F1095&lt;=10,"5.1 to 10",F1095&lt;=20,"10 to 20", F1095&lt;= 40, "20 to 40", F1095 &lt;= 50, "40 to 50", F1095 &gt; 50, "&gt;50" )</f>
        <v>5.1 to 10</v>
      </c>
    </row>
    <row r="1096" spans="1:15" ht="14.4" x14ac:dyDescent="0.3">
      <c r="A1096" t="s">
        <v>240</v>
      </c>
      <c r="B1096" s="1">
        <v>46189</v>
      </c>
      <c r="C1096" t="s">
        <v>64</v>
      </c>
      <c r="D1096">
        <v>1020</v>
      </c>
      <c r="E1096">
        <v>1</v>
      </c>
      <c r="F1096">
        <v>3.7</v>
      </c>
      <c r="G1096" t="s">
        <v>17</v>
      </c>
      <c r="I1096" t="str">
        <f t="shared" si="19"/>
        <v>1020_1</v>
      </c>
      <c r="J1096" t="s">
        <v>241</v>
      </c>
      <c r="K1096" t="s">
        <v>179</v>
      </c>
      <c r="L1096" t="str">
        <f>_xlfn.XLOOKUP(C1096, Table2[Species],Table2[Genus], "Code Not Found")</f>
        <v>Fagus</v>
      </c>
      <c r="M1096" t="str">
        <f>_xlfn.XLOOKUP(C1096, Table2[Species],Table2[Sp. Name], "Code Not Found")</f>
        <v>grandifolia</v>
      </c>
      <c r="N1096" t="str">
        <f>_xlfn.XLOOKUP(C1096,Table2[Species],Table2[Family],"Code Not Found")</f>
        <v>Fagaceae</v>
      </c>
      <c r="O1096" t="str" cm="1">
        <f t="array" ref="O1096">_xlfn.IFS(F1096="","",F1096&lt;=5,"0 to 5",F1096&lt;=10,"5.1 to 10",F1096&lt;=20,"10 to 20", F1096&lt;= 40, "20 to 40", F1096 &lt;= 50, "40 to 50", F1096 &gt; 50, "&gt;50" )</f>
        <v>0 to 5</v>
      </c>
    </row>
    <row r="1097" spans="1:15" ht="14.4" x14ac:dyDescent="0.3">
      <c r="A1097" t="s">
        <v>240</v>
      </c>
      <c r="B1097" s="1">
        <v>46189</v>
      </c>
      <c r="C1097" t="s">
        <v>187</v>
      </c>
      <c r="D1097">
        <v>1021</v>
      </c>
      <c r="E1097">
        <v>1</v>
      </c>
      <c r="F1097">
        <v>51.6</v>
      </c>
      <c r="G1097" t="s">
        <v>21</v>
      </c>
      <c r="I1097" t="str">
        <f t="shared" si="19"/>
        <v>1021_1</v>
      </c>
      <c r="J1097" t="s">
        <v>241</v>
      </c>
      <c r="K1097" t="s">
        <v>179</v>
      </c>
      <c r="L1097" t="str">
        <f>_xlfn.XLOOKUP(C1097, Table2[Species],Table2[Genus], "Code Not Found")</f>
        <v>Carya</v>
      </c>
      <c r="M1097" t="str">
        <f>_xlfn.XLOOKUP(C1097, Table2[Species],Table2[Sp. Name], "Code Not Found")</f>
        <v>cordiformis</v>
      </c>
      <c r="N1097" t="str">
        <f>_xlfn.XLOOKUP(C1097,Table2[Species],Table2[Family],"Code Not Found")</f>
        <v>Juglandaceae</v>
      </c>
      <c r="O1097" t="str" cm="1">
        <f t="array" ref="O1097">_xlfn.IFS(F1097="","",F1097&lt;=5,"0 to 5",F1097&lt;=10,"5.1 to 10",F1097&lt;=20,"10 to 20", F1097&lt;= 40, "20 to 40", F1097 &lt;= 50, "40 to 50", F1097 &gt; 50, "&gt;50" )</f>
        <v>&gt;50</v>
      </c>
    </row>
    <row r="1098" spans="1:15" ht="14.4" x14ac:dyDescent="0.3">
      <c r="A1098" t="s">
        <v>240</v>
      </c>
      <c r="B1098" s="1">
        <v>46189</v>
      </c>
      <c r="C1098" t="s">
        <v>16</v>
      </c>
      <c r="D1098">
        <v>1022</v>
      </c>
      <c r="E1098">
        <v>1</v>
      </c>
      <c r="F1098">
        <v>6.4</v>
      </c>
      <c r="G1098" t="s">
        <v>54</v>
      </c>
      <c r="I1098" t="str">
        <f t="shared" si="19"/>
        <v>1022_1</v>
      </c>
      <c r="J1098" t="s">
        <v>241</v>
      </c>
      <c r="K1098" t="s">
        <v>179</v>
      </c>
      <c r="L1098" t="str">
        <f>_xlfn.XLOOKUP(C1098, Table2[Species],Table2[Genus], "Code Not Found")</f>
        <v>Acer</v>
      </c>
      <c r="M1098" t="str">
        <f>_xlfn.XLOOKUP(C1098, Table2[Species],Table2[Sp. Name], "Code Not Found")</f>
        <v>saccharum</v>
      </c>
      <c r="N1098" t="str">
        <f>_xlfn.XLOOKUP(C1098,Table2[Species],Table2[Family],"Code Not Found")</f>
        <v>Sapindaceae</v>
      </c>
      <c r="O1098" t="str" cm="1">
        <f t="array" ref="O1098">_xlfn.IFS(F1098="","",F1098&lt;=5,"0 to 5",F1098&lt;=10,"5.1 to 10",F1098&lt;=20,"10 to 20", F1098&lt;= 40, "20 to 40", F1098 &lt;= 50, "40 to 50", F1098 &gt; 50, "&gt;50" )</f>
        <v>5.1 to 10</v>
      </c>
    </row>
    <row r="1099" spans="1:15" ht="14.4" x14ac:dyDescent="0.3">
      <c r="A1099" t="s">
        <v>240</v>
      </c>
      <c r="B1099" s="1">
        <v>46189</v>
      </c>
      <c r="C1099" t="s">
        <v>16</v>
      </c>
      <c r="D1099">
        <v>1023</v>
      </c>
      <c r="E1099">
        <v>1</v>
      </c>
      <c r="F1099">
        <v>2.5</v>
      </c>
      <c r="G1099" t="s">
        <v>94</v>
      </c>
      <c r="H1099" t="s">
        <v>244</v>
      </c>
      <c r="I1099" t="str">
        <f t="shared" si="19"/>
        <v>1023_1</v>
      </c>
      <c r="J1099" t="s">
        <v>241</v>
      </c>
      <c r="K1099" t="s">
        <v>179</v>
      </c>
      <c r="L1099" t="str">
        <f>_xlfn.XLOOKUP(C1099, Table2[Species],Table2[Genus], "Code Not Found")</f>
        <v>Acer</v>
      </c>
      <c r="M1099" t="str">
        <f>_xlfn.XLOOKUP(C1099, Table2[Species],Table2[Sp. Name], "Code Not Found")</f>
        <v>saccharum</v>
      </c>
      <c r="N1099" t="str">
        <f>_xlfn.XLOOKUP(C1099,Table2[Species],Table2[Family],"Code Not Found")</f>
        <v>Sapindaceae</v>
      </c>
      <c r="O1099" t="str" cm="1">
        <f t="array" ref="O1099">_xlfn.IFS(F1099="","",F1099&lt;=5,"0 to 5",F1099&lt;=10,"5.1 to 10",F1099&lt;=20,"10 to 20", F1099&lt;= 40, "20 to 40", F1099 &lt;= 50, "40 to 50", F1099 &gt; 50, "&gt;50" )</f>
        <v>0 to 5</v>
      </c>
    </row>
    <row r="1100" spans="1:15" ht="14.4" x14ac:dyDescent="0.3">
      <c r="A1100" t="s">
        <v>240</v>
      </c>
      <c r="B1100" s="1">
        <v>46189</v>
      </c>
      <c r="C1100" t="s">
        <v>64</v>
      </c>
      <c r="D1100">
        <v>1024</v>
      </c>
      <c r="E1100">
        <v>1</v>
      </c>
      <c r="F1100">
        <v>4.2</v>
      </c>
      <c r="G1100" t="s">
        <v>47</v>
      </c>
      <c r="I1100" t="str">
        <f t="shared" si="19"/>
        <v>1024_1</v>
      </c>
      <c r="J1100" t="s">
        <v>241</v>
      </c>
      <c r="K1100" t="s">
        <v>179</v>
      </c>
      <c r="L1100" t="str">
        <f>_xlfn.XLOOKUP(C1100, Table2[Species],Table2[Genus], "Code Not Found")</f>
        <v>Fagus</v>
      </c>
      <c r="M1100" t="str">
        <f>_xlfn.XLOOKUP(C1100, Table2[Species],Table2[Sp. Name], "Code Not Found")</f>
        <v>grandifolia</v>
      </c>
      <c r="N1100" t="str">
        <f>_xlfn.XLOOKUP(C1100,Table2[Species],Table2[Family],"Code Not Found")</f>
        <v>Fagaceae</v>
      </c>
      <c r="O1100" t="str" cm="1">
        <f t="array" ref="O1100">_xlfn.IFS(F1100="","",F1100&lt;=5,"0 to 5",F1100&lt;=10,"5.1 to 10",F1100&lt;=20,"10 to 20", F1100&lt;= 40, "20 to 40", F1100 &lt;= 50, "40 to 50", F1100 &gt; 50, "&gt;50" )</f>
        <v>0 to 5</v>
      </c>
    </row>
    <row r="1101" spans="1:15" ht="14.4" x14ac:dyDescent="0.3">
      <c r="A1101" t="s">
        <v>240</v>
      </c>
      <c r="B1101" s="1">
        <v>46189</v>
      </c>
      <c r="C1101" t="s">
        <v>16</v>
      </c>
      <c r="D1101">
        <v>1025</v>
      </c>
      <c r="E1101">
        <v>1</v>
      </c>
      <c r="F1101">
        <v>8.4</v>
      </c>
      <c r="G1101" t="s">
        <v>94</v>
      </c>
      <c r="H1101" t="s">
        <v>236</v>
      </c>
      <c r="I1101" t="str">
        <f t="shared" si="19"/>
        <v>1025_1</v>
      </c>
      <c r="J1101" t="s">
        <v>241</v>
      </c>
      <c r="K1101" t="s">
        <v>179</v>
      </c>
      <c r="L1101" t="str">
        <f>_xlfn.XLOOKUP(C1101, Table2[Species],Table2[Genus], "Code Not Found")</f>
        <v>Acer</v>
      </c>
      <c r="M1101" t="str">
        <f>_xlfn.XLOOKUP(C1101, Table2[Species],Table2[Sp. Name], "Code Not Found")</f>
        <v>saccharum</v>
      </c>
      <c r="N1101" t="str">
        <f>_xlfn.XLOOKUP(C1101,Table2[Species],Table2[Family],"Code Not Found")</f>
        <v>Sapindaceae</v>
      </c>
      <c r="O1101" t="str" cm="1">
        <f t="array" ref="O1101">_xlfn.IFS(F1101="","",F1101&lt;=5,"0 to 5",F1101&lt;=10,"5.1 to 10",F1101&lt;=20,"10 to 20", F1101&lt;= 40, "20 to 40", F1101 &lt;= 50, "40 to 50", F1101 &gt; 50, "&gt;50" )</f>
        <v>5.1 to 10</v>
      </c>
    </row>
    <row r="1102" spans="1:15" ht="14.4" x14ac:dyDescent="0.3">
      <c r="A1102" t="s">
        <v>240</v>
      </c>
      <c r="B1102" s="1">
        <v>46189</v>
      </c>
      <c r="C1102" t="s">
        <v>16</v>
      </c>
      <c r="D1102">
        <v>1026</v>
      </c>
      <c r="E1102">
        <v>1</v>
      </c>
      <c r="F1102">
        <v>3.2</v>
      </c>
      <c r="G1102" t="s">
        <v>17</v>
      </c>
      <c r="I1102" t="str">
        <f t="shared" si="19"/>
        <v>1026_1</v>
      </c>
      <c r="J1102" t="s">
        <v>241</v>
      </c>
      <c r="K1102" t="s">
        <v>179</v>
      </c>
      <c r="L1102" t="str">
        <f>_xlfn.XLOOKUP(C1102, Table2[Species],Table2[Genus], "Code Not Found")</f>
        <v>Acer</v>
      </c>
      <c r="M1102" t="str">
        <f>_xlfn.XLOOKUP(C1102, Table2[Species],Table2[Sp. Name], "Code Not Found")</f>
        <v>saccharum</v>
      </c>
      <c r="N1102" t="str">
        <f>_xlfn.XLOOKUP(C1102,Table2[Species],Table2[Family],"Code Not Found")</f>
        <v>Sapindaceae</v>
      </c>
      <c r="O1102" t="str" cm="1">
        <f t="array" ref="O1102">_xlfn.IFS(F1102="","",F1102&lt;=5,"0 to 5",F1102&lt;=10,"5.1 to 10",F1102&lt;=20,"10 to 20", F1102&lt;= 40, "20 to 40", F1102 &lt;= 50, "40 to 50", F1102 &gt; 50, "&gt;50" )</f>
        <v>0 to 5</v>
      </c>
    </row>
    <row r="1103" spans="1:15" ht="14.4" x14ac:dyDescent="0.3">
      <c r="A1103" t="s">
        <v>240</v>
      </c>
      <c r="B1103" s="1">
        <v>46189</v>
      </c>
      <c r="C1103" t="s">
        <v>16</v>
      </c>
      <c r="D1103">
        <v>1027</v>
      </c>
      <c r="E1103">
        <v>1</v>
      </c>
      <c r="F1103">
        <v>4.0999999999999996</v>
      </c>
      <c r="G1103" t="s">
        <v>88</v>
      </c>
      <c r="H1103" t="s">
        <v>100</v>
      </c>
      <c r="I1103" t="str">
        <f t="shared" si="19"/>
        <v>1027_1</v>
      </c>
      <c r="J1103" t="s">
        <v>241</v>
      </c>
      <c r="K1103" t="s">
        <v>179</v>
      </c>
      <c r="L1103" t="str">
        <f>_xlfn.XLOOKUP(C1103, Table2[Species],Table2[Genus], "Code Not Found")</f>
        <v>Acer</v>
      </c>
      <c r="M1103" t="str">
        <f>_xlfn.XLOOKUP(C1103, Table2[Species],Table2[Sp. Name], "Code Not Found")</f>
        <v>saccharum</v>
      </c>
      <c r="N1103" t="str">
        <f>_xlfn.XLOOKUP(C1103,Table2[Species],Table2[Family],"Code Not Found")</f>
        <v>Sapindaceae</v>
      </c>
      <c r="O1103" t="str" cm="1">
        <f t="array" ref="O1103">_xlfn.IFS(F1103="","",F1103&lt;=5,"0 to 5",F1103&lt;=10,"5.1 to 10",F1103&lt;=20,"10 to 20", F1103&lt;= 40, "20 to 40", F1103 &lt;= 50, "40 to 50", F1103 &gt; 50, "&gt;50" )</f>
        <v>0 to 5</v>
      </c>
    </row>
    <row r="1104" spans="1:15" ht="14.4" x14ac:dyDescent="0.3">
      <c r="A1104" t="s">
        <v>240</v>
      </c>
      <c r="B1104" s="1">
        <v>46189</v>
      </c>
      <c r="C1104" t="s">
        <v>16</v>
      </c>
      <c r="D1104">
        <v>1028</v>
      </c>
      <c r="E1104">
        <v>1</v>
      </c>
      <c r="I1104" t="str">
        <f t="shared" si="19"/>
        <v>1028_1</v>
      </c>
      <c r="J1104" t="s">
        <v>241</v>
      </c>
      <c r="K1104" t="s">
        <v>179</v>
      </c>
      <c r="L1104" t="str">
        <f>_xlfn.XLOOKUP(C1104, Table2[Species],Table2[Genus], "Code Not Found")</f>
        <v>Acer</v>
      </c>
      <c r="M1104" t="str">
        <f>_xlfn.XLOOKUP(C1104, Table2[Species],Table2[Sp. Name], "Code Not Found")</f>
        <v>saccharum</v>
      </c>
      <c r="N1104" t="str">
        <f>_xlfn.XLOOKUP(C1104,Table2[Species],Table2[Family],"Code Not Found")</f>
        <v>Sapindaceae</v>
      </c>
      <c r="O1104" t="str" cm="1">
        <f t="array" ref="O1104">_xlfn.IFS(F1104="","",F1104&lt;=5,"0 to 5",F1104&lt;=10,"5.1 to 10",F1104&lt;=20,"10 to 20", F1104&lt;= 40, "20 to 40", F1104 &lt;= 50, "40 to 50", F1104 &gt; 50, "&gt;50" )</f>
        <v/>
      </c>
    </row>
    <row r="1105" spans="1:15" ht="14.4" x14ac:dyDescent="0.3">
      <c r="A1105" t="s">
        <v>240</v>
      </c>
      <c r="B1105" s="1">
        <v>46189</v>
      </c>
      <c r="C1105" t="s">
        <v>24</v>
      </c>
      <c r="D1105">
        <v>1029</v>
      </c>
      <c r="E1105">
        <v>1</v>
      </c>
      <c r="F1105">
        <v>2.7</v>
      </c>
      <c r="G1105" t="s">
        <v>21</v>
      </c>
      <c r="I1105" t="str">
        <f t="shared" si="19"/>
        <v>1029_1</v>
      </c>
      <c r="J1105" t="s">
        <v>241</v>
      </c>
      <c r="K1105" t="s">
        <v>179</v>
      </c>
      <c r="L1105" t="str">
        <f>_xlfn.XLOOKUP(C1105, Table2[Species],Table2[Genus], "Code Not Found")</f>
        <v>Lirodendron</v>
      </c>
      <c r="M1105" t="str">
        <f>_xlfn.XLOOKUP(C1105, Table2[Species],Table2[Sp. Name], "Code Not Found")</f>
        <v>tulipfera</v>
      </c>
      <c r="N1105" t="str">
        <f>_xlfn.XLOOKUP(C1105,Table2[Species],Table2[Family],"Code Not Found")</f>
        <v>Magnoliaceae</v>
      </c>
      <c r="O1105" t="str" cm="1">
        <f t="array" ref="O1105">_xlfn.IFS(F1105="","",F1105&lt;=5,"0 to 5",F1105&lt;=10,"5.1 to 10",F1105&lt;=20,"10 to 20", F1105&lt;= 40, "20 to 40", F1105 &lt;= 50, "40 to 50", F1105 &gt; 50, "&gt;50" )</f>
        <v>0 to 5</v>
      </c>
    </row>
    <row r="1106" spans="1:15" ht="14.4" x14ac:dyDescent="0.3">
      <c r="A1106" t="s">
        <v>240</v>
      </c>
      <c r="B1106" s="1">
        <v>46189</v>
      </c>
      <c r="C1106" t="s">
        <v>16</v>
      </c>
      <c r="D1106">
        <v>1030</v>
      </c>
      <c r="E1106">
        <v>1</v>
      </c>
      <c r="F1106">
        <v>5</v>
      </c>
      <c r="G1106" t="s">
        <v>17</v>
      </c>
      <c r="I1106" t="str">
        <f t="shared" si="19"/>
        <v>1030_1</v>
      </c>
      <c r="J1106" t="s">
        <v>241</v>
      </c>
      <c r="K1106" t="s">
        <v>179</v>
      </c>
      <c r="L1106" t="str">
        <f>_xlfn.XLOOKUP(C1106, Table2[Species],Table2[Genus], "Code Not Found")</f>
        <v>Acer</v>
      </c>
      <c r="M1106" t="str">
        <f>_xlfn.XLOOKUP(C1106, Table2[Species],Table2[Sp. Name], "Code Not Found")</f>
        <v>saccharum</v>
      </c>
      <c r="N1106" t="str">
        <f>_xlfn.XLOOKUP(C1106,Table2[Species],Table2[Family],"Code Not Found")</f>
        <v>Sapindaceae</v>
      </c>
      <c r="O1106" t="str" cm="1">
        <f t="array" ref="O1106">_xlfn.IFS(F1106="","",F1106&lt;=5,"0 to 5",F1106&lt;=10,"5.1 to 10",F1106&lt;=20,"10 to 20", F1106&lt;= 40, "20 to 40", F1106 &lt;= 50, "40 to 50", F1106 &gt; 50, "&gt;50" )</f>
        <v>0 to 5</v>
      </c>
    </row>
    <row r="1107" spans="1:15" ht="14.4" x14ac:dyDescent="0.3">
      <c r="A1107" t="s">
        <v>240</v>
      </c>
      <c r="B1107" s="1">
        <v>46189</v>
      </c>
      <c r="C1107" t="s">
        <v>16</v>
      </c>
      <c r="D1107">
        <v>1031</v>
      </c>
      <c r="E1107">
        <v>1</v>
      </c>
      <c r="F1107">
        <v>2.4</v>
      </c>
      <c r="G1107" t="s">
        <v>47</v>
      </c>
      <c r="I1107" t="str">
        <f t="shared" si="19"/>
        <v>1031_1</v>
      </c>
      <c r="J1107" t="s">
        <v>241</v>
      </c>
      <c r="K1107" t="s">
        <v>179</v>
      </c>
      <c r="L1107" t="str">
        <f>_xlfn.XLOOKUP(C1107, Table2[Species],Table2[Genus], "Code Not Found")</f>
        <v>Acer</v>
      </c>
      <c r="M1107" t="str">
        <f>_xlfn.XLOOKUP(C1107, Table2[Species],Table2[Sp. Name], "Code Not Found")</f>
        <v>saccharum</v>
      </c>
      <c r="N1107" t="str">
        <f>_xlfn.XLOOKUP(C1107,Table2[Species],Table2[Family],"Code Not Found")</f>
        <v>Sapindaceae</v>
      </c>
      <c r="O1107" t="str" cm="1">
        <f t="array" ref="O1107">_xlfn.IFS(F1107="","",F1107&lt;=5,"0 to 5",F1107&lt;=10,"5.1 to 10",F1107&lt;=20,"10 to 20", F1107&lt;= 40, "20 to 40", F1107 &lt;= 50, "40 to 50", F1107 &gt; 50, "&gt;50" )</f>
        <v>0 to 5</v>
      </c>
    </row>
    <row r="1108" spans="1:15" ht="14.4" x14ac:dyDescent="0.3">
      <c r="A1108" t="s">
        <v>240</v>
      </c>
      <c r="B1108" s="1">
        <v>46189</v>
      </c>
      <c r="C1108" t="s">
        <v>16</v>
      </c>
      <c r="D1108">
        <v>1032</v>
      </c>
      <c r="E1108">
        <v>1</v>
      </c>
      <c r="F1108">
        <v>3.4</v>
      </c>
      <c r="G1108" t="s">
        <v>250</v>
      </c>
      <c r="I1108" t="str">
        <f t="shared" si="19"/>
        <v>1032_1</v>
      </c>
      <c r="J1108" t="s">
        <v>241</v>
      </c>
      <c r="K1108" t="s">
        <v>179</v>
      </c>
      <c r="L1108" t="str">
        <f>_xlfn.XLOOKUP(C1108, Table2[Species],Table2[Genus], "Code Not Found")</f>
        <v>Acer</v>
      </c>
      <c r="M1108" t="str">
        <f>_xlfn.XLOOKUP(C1108, Table2[Species],Table2[Sp. Name], "Code Not Found")</f>
        <v>saccharum</v>
      </c>
      <c r="N1108" t="str">
        <f>_xlfn.XLOOKUP(C1108,Table2[Species],Table2[Family],"Code Not Found")</f>
        <v>Sapindaceae</v>
      </c>
      <c r="O1108" t="str" cm="1">
        <f t="array" ref="O1108">_xlfn.IFS(F1108="","",F1108&lt;=5,"0 to 5",F1108&lt;=10,"5.1 to 10",F1108&lt;=20,"10 to 20", F1108&lt;= 40, "20 to 40", F1108 &lt;= 50, "40 to 50", F1108 &gt; 50, "&gt;50" )</f>
        <v>0 to 5</v>
      </c>
    </row>
    <row r="1109" spans="1:15" ht="14.4" x14ac:dyDescent="0.3">
      <c r="A1109" t="s">
        <v>240</v>
      </c>
      <c r="B1109" s="1">
        <v>46189</v>
      </c>
      <c r="C1109" t="s">
        <v>16</v>
      </c>
      <c r="D1109">
        <v>1033</v>
      </c>
      <c r="E1109">
        <v>1</v>
      </c>
      <c r="F1109">
        <v>4.4000000000000004</v>
      </c>
      <c r="G1109" t="s">
        <v>251</v>
      </c>
      <c r="H1109" t="s">
        <v>143</v>
      </c>
      <c r="I1109" t="str">
        <f t="shared" si="19"/>
        <v>1033_1</v>
      </c>
      <c r="J1109" t="s">
        <v>241</v>
      </c>
      <c r="K1109" t="s">
        <v>179</v>
      </c>
      <c r="L1109" t="str">
        <f>_xlfn.XLOOKUP(C1109, Table2[Species],Table2[Genus], "Code Not Found")</f>
        <v>Acer</v>
      </c>
      <c r="M1109" t="str">
        <f>_xlfn.XLOOKUP(C1109, Table2[Species],Table2[Sp. Name], "Code Not Found")</f>
        <v>saccharum</v>
      </c>
      <c r="N1109" t="str">
        <f>_xlfn.XLOOKUP(C1109,Table2[Species],Table2[Family],"Code Not Found")</f>
        <v>Sapindaceae</v>
      </c>
      <c r="O1109" t="str" cm="1">
        <f t="array" ref="O1109">_xlfn.IFS(F1109="","",F1109&lt;=5,"0 to 5",F1109&lt;=10,"5.1 to 10",F1109&lt;=20,"10 to 20", F1109&lt;= 40, "20 to 40", F1109 &lt;= 50, "40 to 50", F1109 &gt; 50, "&gt;50" )</f>
        <v>0 to 5</v>
      </c>
    </row>
    <row r="1110" spans="1:15" ht="14.4" x14ac:dyDescent="0.3">
      <c r="A1110" t="s">
        <v>240</v>
      </c>
      <c r="B1110" s="1">
        <v>46189</v>
      </c>
      <c r="C1110" t="s">
        <v>16</v>
      </c>
      <c r="D1110">
        <v>1034</v>
      </c>
      <c r="E1110">
        <v>1</v>
      </c>
      <c r="F1110">
        <v>12.6</v>
      </c>
      <c r="G1110" t="s">
        <v>17</v>
      </c>
      <c r="I1110" t="str">
        <f t="shared" si="19"/>
        <v>1034_1</v>
      </c>
      <c r="J1110" t="s">
        <v>241</v>
      </c>
      <c r="K1110" t="s">
        <v>179</v>
      </c>
      <c r="L1110" t="str">
        <f>_xlfn.XLOOKUP(C1110, Table2[Species],Table2[Genus], "Code Not Found")</f>
        <v>Acer</v>
      </c>
      <c r="M1110" t="str">
        <f>_xlfn.XLOOKUP(C1110, Table2[Species],Table2[Sp. Name], "Code Not Found")</f>
        <v>saccharum</v>
      </c>
      <c r="N1110" t="str">
        <f>_xlfn.XLOOKUP(C1110,Table2[Species],Table2[Family],"Code Not Found")</f>
        <v>Sapindaceae</v>
      </c>
      <c r="O1110" t="str" cm="1">
        <f t="array" ref="O1110">_xlfn.IFS(F1110="","",F1110&lt;=5,"0 to 5",F1110&lt;=10,"5.1 to 10",F1110&lt;=20,"10 to 20", F1110&lt;= 40, "20 to 40", F1110 &lt;= 50, "40 to 50", F1110 &gt; 50, "&gt;50" )</f>
        <v>10 to 20</v>
      </c>
    </row>
    <row r="1111" spans="1:15" ht="14.4" x14ac:dyDescent="0.3">
      <c r="A1111" t="s">
        <v>240</v>
      </c>
      <c r="B1111" s="1">
        <v>46189</v>
      </c>
      <c r="C1111" t="s">
        <v>64</v>
      </c>
      <c r="D1111">
        <v>1035</v>
      </c>
      <c r="E1111">
        <v>1</v>
      </c>
      <c r="F1111">
        <v>4.7</v>
      </c>
      <c r="G1111" t="s">
        <v>17</v>
      </c>
      <c r="I1111" t="str">
        <f t="shared" si="19"/>
        <v>1035_1</v>
      </c>
      <c r="J1111" t="s">
        <v>241</v>
      </c>
      <c r="K1111" t="s">
        <v>179</v>
      </c>
      <c r="L1111" t="str">
        <f>_xlfn.XLOOKUP(C1111, Table2[Species],Table2[Genus], "Code Not Found")</f>
        <v>Fagus</v>
      </c>
      <c r="M1111" t="str">
        <f>_xlfn.XLOOKUP(C1111, Table2[Species],Table2[Sp. Name], "Code Not Found")</f>
        <v>grandifolia</v>
      </c>
      <c r="N1111" t="str">
        <f>_xlfn.XLOOKUP(C1111,Table2[Species],Table2[Family],"Code Not Found")</f>
        <v>Fagaceae</v>
      </c>
      <c r="O1111" t="str" cm="1">
        <f t="array" ref="O1111">_xlfn.IFS(F1111="","",F1111&lt;=5,"0 to 5",F1111&lt;=10,"5.1 to 10",F1111&lt;=20,"10 to 20", F1111&lt;= 40, "20 to 40", F1111 &lt;= 50, "40 to 50", F1111 &gt; 50, "&gt;50" )</f>
        <v>0 to 5</v>
      </c>
    </row>
    <row r="1112" spans="1:15" ht="14.4" x14ac:dyDescent="0.3">
      <c r="A1112" t="s">
        <v>240</v>
      </c>
      <c r="B1112" s="1">
        <v>46189</v>
      </c>
      <c r="C1112" t="s">
        <v>64</v>
      </c>
      <c r="D1112">
        <v>1036</v>
      </c>
      <c r="E1112">
        <v>1</v>
      </c>
      <c r="F1112">
        <v>62.6</v>
      </c>
      <c r="G1112" t="s">
        <v>32</v>
      </c>
      <c r="I1112" t="str">
        <f t="shared" si="19"/>
        <v>1036_1</v>
      </c>
      <c r="J1112" t="s">
        <v>241</v>
      </c>
      <c r="K1112" t="s">
        <v>179</v>
      </c>
      <c r="L1112" t="str">
        <f>_xlfn.XLOOKUP(C1112, Table2[Species],Table2[Genus], "Code Not Found")</f>
        <v>Fagus</v>
      </c>
      <c r="M1112" t="str">
        <f>_xlfn.XLOOKUP(C1112, Table2[Species],Table2[Sp. Name], "Code Not Found")</f>
        <v>grandifolia</v>
      </c>
      <c r="N1112" t="str">
        <f>_xlfn.XLOOKUP(C1112,Table2[Species],Table2[Family],"Code Not Found")</f>
        <v>Fagaceae</v>
      </c>
      <c r="O1112" t="str" cm="1">
        <f t="array" ref="O1112">_xlfn.IFS(F1112="","",F1112&lt;=5,"0 to 5",F1112&lt;=10,"5.1 to 10",F1112&lt;=20,"10 to 20", F1112&lt;= 40, "20 to 40", F1112 &lt;= 50, "40 to 50", F1112 &gt; 50, "&gt;50" )</f>
        <v>&gt;50</v>
      </c>
    </row>
    <row r="1113" spans="1:15" ht="14.4" x14ac:dyDescent="0.3">
      <c r="A1113" t="s">
        <v>240</v>
      </c>
      <c r="B1113" s="1">
        <v>46189</v>
      </c>
      <c r="C1113" t="s">
        <v>64</v>
      </c>
      <c r="D1113">
        <v>1036</v>
      </c>
      <c r="E1113">
        <v>2</v>
      </c>
      <c r="F1113">
        <v>4.0999999999999996</v>
      </c>
      <c r="G1113" t="s">
        <v>32</v>
      </c>
      <c r="I1113" t="str">
        <f t="shared" si="19"/>
        <v>1036_2</v>
      </c>
      <c r="J1113" t="s">
        <v>241</v>
      </c>
      <c r="K1113" t="s">
        <v>179</v>
      </c>
      <c r="L1113" t="str">
        <f>_xlfn.XLOOKUP(C1113, Table2[Species],Table2[Genus], "Code Not Found")</f>
        <v>Fagus</v>
      </c>
      <c r="M1113" t="str">
        <f>_xlfn.XLOOKUP(C1113, Table2[Species],Table2[Sp. Name], "Code Not Found")</f>
        <v>grandifolia</v>
      </c>
      <c r="N1113" t="str">
        <f>_xlfn.XLOOKUP(C1113,Table2[Species],Table2[Family],"Code Not Found")</f>
        <v>Fagaceae</v>
      </c>
      <c r="O1113" t="str" cm="1">
        <f t="array" ref="O1113">_xlfn.IFS(F1113="","",F1113&lt;=5,"0 to 5",F1113&lt;=10,"5.1 to 10",F1113&lt;=20,"10 to 20", F1113&lt;= 40, "20 to 40", F1113 &lt;= 50, "40 to 50", F1113 &gt; 50, "&gt;50" )</f>
        <v>0 to 5</v>
      </c>
    </row>
    <row r="1114" spans="1:15" ht="14.4" x14ac:dyDescent="0.3">
      <c r="A1114" t="s">
        <v>240</v>
      </c>
      <c r="B1114" s="1">
        <v>46189</v>
      </c>
      <c r="C1114" t="s">
        <v>64</v>
      </c>
      <c r="D1114">
        <v>1036</v>
      </c>
      <c r="E1114">
        <v>3</v>
      </c>
      <c r="F1114">
        <v>3.5</v>
      </c>
      <c r="G1114" t="s">
        <v>93</v>
      </c>
      <c r="I1114" t="str">
        <f t="shared" si="19"/>
        <v>1036_3</v>
      </c>
      <c r="J1114" t="s">
        <v>241</v>
      </c>
      <c r="K1114" t="s">
        <v>179</v>
      </c>
      <c r="L1114" t="str">
        <f>_xlfn.XLOOKUP(C1114, Table2[Species],Table2[Genus], "Code Not Found")</f>
        <v>Fagus</v>
      </c>
      <c r="M1114" t="str">
        <f>_xlfn.XLOOKUP(C1114, Table2[Species],Table2[Sp. Name], "Code Not Found")</f>
        <v>grandifolia</v>
      </c>
      <c r="N1114" t="str">
        <f>_xlfn.XLOOKUP(C1114,Table2[Species],Table2[Family],"Code Not Found")</f>
        <v>Fagaceae</v>
      </c>
      <c r="O1114" t="str" cm="1">
        <f t="array" ref="O1114">_xlfn.IFS(F1114="","",F1114&lt;=5,"0 to 5",F1114&lt;=10,"5.1 to 10",F1114&lt;=20,"10 to 20", F1114&lt;= 40, "20 to 40", F1114 &lt;= 50, "40 to 50", F1114 &gt; 50, "&gt;50" )</f>
        <v>0 to 5</v>
      </c>
    </row>
    <row r="1115" spans="1:15" ht="14.4" x14ac:dyDescent="0.3">
      <c r="A1115" t="s">
        <v>240</v>
      </c>
      <c r="B1115" s="1">
        <v>46189</v>
      </c>
      <c r="C1115" t="s">
        <v>64</v>
      </c>
      <c r="D1115">
        <v>1036</v>
      </c>
      <c r="E1115">
        <v>4.0999999999999996</v>
      </c>
      <c r="F1115">
        <v>2.6</v>
      </c>
      <c r="G1115" t="s">
        <v>32</v>
      </c>
      <c r="I1115" t="str">
        <f t="shared" si="19"/>
        <v>1036_4.1</v>
      </c>
      <c r="J1115" t="s">
        <v>241</v>
      </c>
      <c r="K1115" t="s">
        <v>179</v>
      </c>
      <c r="L1115" t="str">
        <f>_xlfn.XLOOKUP(C1115, Table2[Species],Table2[Genus], "Code Not Found")</f>
        <v>Fagus</v>
      </c>
      <c r="M1115" t="str">
        <f>_xlfn.XLOOKUP(C1115, Table2[Species],Table2[Sp. Name], "Code Not Found")</f>
        <v>grandifolia</v>
      </c>
      <c r="N1115" t="str">
        <f>_xlfn.XLOOKUP(C1115,Table2[Species],Table2[Family],"Code Not Found")</f>
        <v>Fagaceae</v>
      </c>
      <c r="O1115" t="str" cm="1">
        <f t="array" ref="O1115">_xlfn.IFS(F1115="","",F1115&lt;=5,"0 to 5",F1115&lt;=10,"5.1 to 10",F1115&lt;=20,"10 to 20", F1115&lt;= 40, "20 to 40", F1115 &lt;= 50, "40 to 50", F1115 &gt; 50, "&gt;50" )</f>
        <v>0 to 5</v>
      </c>
    </row>
    <row r="1116" spans="1:15" ht="14.4" x14ac:dyDescent="0.3">
      <c r="A1116" t="s">
        <v>240</v>
      </c>
      <c r="B1116" s="1">
        <v>46189</v>
      </c>
      <c r="C1116" t="s">
        <v>64</v>
      </c>
      <c r="D1116">
        <v>1036</v>
      </c>
      <c r="E1116">
        <v>4.2</v>
      </c>
      <c r="F1116">
        <v>2.4</v>
      </c>
      <c r="G1116" t="s">
        <v>32</v>
      </c>
      <c r="I1116" t="str">
        <f t="shared" si="19"/>
        <v>1036_4.2</v>
      </c>
      <c r="J1116" t="s">
        <v>241</v>
      </c>
      <c r="K1116" t="s">
        <v>179</v>
      </c>
      <c r="L1116" t="str">
        <f>_xlfn.XLOOKUP(C1116, Table2[Species],Table2[Genus], "Code Not Found")</f>
        <v>Fagus</v>
      </c>
      <c r="M1116" t="str">
        <f>_xlfn.XLOOKUP(C1116, Table2[Species],Table2[Sp. Name], "Code Not Found")</f>
        <v>grandifolia</v>
      </c>
      <c r="N1116" t="str">
        <f>_xlfn.XLOOKUP(C1116,Table2[Species],Table2[Family],"Code Not Found")</f>
        <v>Fagaceae</v>
      </c>
      <c r="O1116" t="str" cm="1">
        <f t="array" ref="O1116">_xlfn.IFS(F1116="","",F1116&lt;=5,"0 to 5",F1116&lt;=10,"5.1 to 10",F1116&lt;=20,"10 to 20", F1116&lt;= 40, "20 to 40", F1116 &lt;= 50, "40 to 50", F1116 &gt; 50, "&gt;50" )</f>
        <v>0 to 5</v>
      </c>
    </row>
    <row r="1117" spans="1:15" ht="14.4" x14ac:dyDescent="0.3">
      <c r="A1117" t="s">
        <v>240</v>
      </c>
      <c r="B1117" s="1">
        <v>46189</v>
      </c>
      <c r="C1117" t="s">
        <v>64</v>
      </c>
      <c r="D1117">
        <v>1036</v>
      </c>
      <c r="E1117">
        <v>5</v>
      </c>
      <c r="F1117">
        <v>3.6</v>
      </c>
      <c r="G1117" t="s">
        <v>61</v>
      </c>
      <c r="H1117" t="s">
        <v>252</v>
      </c>
      <c r="I1117" t="str">
        <f t="shared" si="19"/>
        <v>1036_5</v>
      </c>
      <c r="J1117" t="s">
        <v>241</v>
      </c>
      <c r="K1117" t="s">
        <v>179</v>
      </c>
      <c r="L1117" t="str">
        <f>_xlfn.XLOOKUP(C1117, Table2[Species],Table2[Genus], "Code Not Found")</f>
        <v>Fagus</v>
      </c>
      <c r="M1117" t="str">
        <f>_xlfn.XLOOKUP(C1117, Table2[Species],Table2[Sp. Name], "Code Not Found")</f>
        <v>grandifolia</v>
      </c>
      <c r="N1117" t="str">
        <f>_xlfn.XLOOKUP(C1117,Table2[Species],Table2[Family],"Code Not Found")</f>
        <v>Fagaceae</v>
      </c>
      <c r="O1117" t="str" cm="1">
        <f t="array" ref="O1117">_xlfn.IFS(F1117="","",F1117&lt;=5,"0 to 5",F1117&lt;=10,"5.1 to 10",F1117&lt;=20,"10 to 20", F1117&lt;= 40, "20 to 40", F1117 &lt;= 50, "40 to 50", F1117 &gt; 50, "&gt;50" )</f>
        <v>0 to 5</v>
      </c>
    </row>
    <row r="1118" spans="1:15" ht="14.4" x14ac:dyDescent="0.3">
      <c r="A1118" t="s">
        <v>240</v>
      </c>
      <c r="B1118" s="1">
        <v>46189</v>
      </c>
      <c r="C1118" t="s">
        <v>64</v>
      </c>
      <c r="D1118">
        <v>1036</v>
      </c>
      <c r="E1118">
        <v>6</v>
      </c>
      <c r="F1118">
        <v>8.1999999999999993</v>
      </c>
      <c r="G1118" t="s">
        <v>253</v>
      </c>
      <c r="H1118" t="s">
        <v>99</v>
      </c>
      <c r="I1118" t="str">
        <f t="shared" si="19"/>
        <v>1036_6</v>
      </c>
      <c r="J1118" t="s">
        <v>241</v>
      </c>
      <c r="K1118" t="s">
        <v>179</v>
      </c>
      <c r="L1118" t="str">
        <f>_xlfn.XLOOKUP(C1118, Table2[Species],Table2[Genus], "Code Not Found")</f>
        <v>Fagus</v>
      </c>
      <c r="M1118" t="str">
        <f>_xlfn.XLOOKUP(C1118, Table2[Species],Table2[Sp. Name], "Code Not Found")</f>
        <v>grandifolia</v>
      </c>
      <c r="N1118" t="str">
        <f>_xlfn.XLOOKUP(C1118,Table2[Species],Table2[Family],"Code Not Found")</f>
        <v>Fagaceae</v>
      </c>
      <c r="O1118" t="str" cm="1">
        <f t="array" ref="O1118">_xlfn.IFS(F1118="","",F1118&lt;=5,"0 to 5",F1118&lt;=10,"5.1 to 10",F1118&lt;=20,"10 to 20", F1118&lt;= 40, "20 to 40", F1118 &lt;= 50, "40 to 50", F1118 &gt; 50, "&gt;50" )</f>
        <v>5.1 to 10</v>
      </c>
    </row>
    <row r="1119" spans="1:15" ht="14.4" x14ac:dyDescent="0.3">
      <c r="A1119" t="s">
        <v>240</v>
      </c>
      <c r="B1119" s="1">
        <v>46189</v>
      </c>
      <c r="C1119" t="s">
        <v>16</v>
      </c>
      <c r="D1119">
        <v>1037</v>
      </c>
      <c r="E1119">
        <v>1</v>
      </c>
      <c r="F1119">
        <v>14.3</v>
      </c>
      <c r="G1119" t="s">
        <v>17</v>
      </c>
      <c r="I1119" t="str">
        <f t="shared" si="19"/>
        <v>1037_1</v>
      </c>
      <c r="J1119" t="s">
        <v>241</v>
      </c>
      <c r="K1119" t="s">
        <v>179</v>
      </c>
      <c r="L1119" t="str">
        <f>_xlfn.XLOOKUP(C1119, Table2[Species],Table2[Genus], "Code Not Found")</f>
        <v>Acer</v>
      </c>
      <c r="M1119" t="str">
        <f>_xlfn.XLOOKUP(C1119, Table2[Species],Table2[Sp. Name], "Code Not Found")</f>
        <v>saccharum</v>
      </c>
      <c r="N1119" t="str">
        <f>_xlfn.XLOOKUP(C1119,Table2[Species],Table2[Family],"Code Not Found")</f>
        <v>Sapindaceae</v>
      </c>
      <c r="O1119" t="str" cm="1">
        <f t="array" ref="O1119">_xlfn.IFS(F1119="","",F1119&lt;=5,"0 to 5",F1119&lt;=10,"5.1 to 10",F1119&lt;=20,"10 to 20", F1119&lt;= 40, "20 to 40", F1119 &lt;= 50, "40 to 50", F1119 &gt; 50, "&gt;50" )</f>
        <v>10 to 20</v>
      </c>
    </row>
    <row r="1120" spans="1:15" ht="14.4" x14ac:dyDescent="0.3">
      <c r="A1120" t="s">
        <v>240</v>
      </c>
      <c r="B1120" s="1">
        <v>46189</v>
      </c>
      <c r="C1120" t="s">
        <v>64</v>
      </c>
      <c r="D1120">
        <v>1038</v>
      </c>
      <c r="E1120">
        <v>1</v>
      </c>
      <c r="F1120">
        <v>2.5</v>
      </c>
      <c r="G1120" t="s">
        <v>17</v>
      </c>
      <c r="H1120" t="s">
        <v>231</v>
      </c>
      <c r="I1120" t="str">
        <f t="shared" si="19"/>
        <v>1038_1</v>
      </c>
      <c r="J1120" t="s">
        <v>241</v>
      </c>
      <c r="K1120" t="s">
        <v>179</v>
      </c>
      <c r="L1120" t="str">
        <f>_xlfn.XLOOKUP(C1120, Table2[Species],Table2[Genus], "Code Not Found")</f>
        <v>Fagus</v>
      </c>
      <c r="M1120" t="str">
        <f>_xlfn.XLOOKUP(C1120, Table2[Species],Table2[Sp. Name], "Code Not Found")</f>
        <v>grandifolia</v>
      </c>
      <c r="N1120" t="str">
        <f>_xlfn.XLOOKUP(C1120,Table2[Species],Table2[Family],"Code Not Found")</f>
        <v>Fagaceae</v>
      </c>
      <c r="O1120" t="str" cm="1">
        <f t="array" ref="O1120">_xlfn.IFS(F1120="","",F1120&lt;=5,"0 to 5",F1120&lt;=10,"5.1 to 10",F1120&lt;=20,"10 to 20", F1120&lt;= 40, "20 to 40", F1120 &lt;= 50, "40 to 50", F1120 &gt; 50, "&gt;50" )</f>
        <v>0 to 5</v>
      </c>
    </row>
    <row r="1121" spans="1:15" ht="14.4" x14ac:dyDescent="0.3">
      <c r="A1121" t="s">
        <v>240</v>
      </c>
      <c r="B1121" s="1">
        <v>46189</v>
      </c>
      <c r="C1121" t="s">
        <v>16</v>
      </c>
      <c r="D1121">
        <v>1039</v>
      </c>
      <c r="E1121">
        <v>1</v>
      </c>
      <c r="F1121">
        <v>8.1</v>
      </c>
      <c r="G1121" t="s">
        <v>47</v>
      </c>
      <c r="H1121" t="s">
        <v>43</v>
      </c>
      <c r="I1121" t="str">
        <f t="shared" si="19"/>
        <v>1039_1</v>
      </c>
      <c r="J1121" t="s">
        <v>241</v>
      </c>
      <c r="K1121" t="s">
        <v>179</v>
      </c>
      <c r="L1121" t="str">
        <f>_xlfn.XLOOKUP(C1121, Table2[Species],Table2[Genus], "Code Not Found")</f>
        <v>Acer</v>
      </c>
      <c r="M1121" t="str">
        <f>_xlfn.XLOOKUP(C1121, Table2[Species],Table2[Sp. Name], "Code Not Found")</f>
        <v>saccharum</v>
      </c>
      <c r="N1121" t="str">
        <f>_xlfn.XLOOKUP(C1121,Table2[Species],Table2[Family],"Code Not Found")</f>
        <v>Sapindaceae</v>
      </c>
      <c r="O1121" t="str" cm="1">
        <f t="array" ref="O1121">_xlfn.IFS(F1121="","",F1121&lt;=5,"0 to 5",F1121&lt;=10,"5.1 to 10",F1121&lt;=20,"10 to 20", F1121&lt;= 40, "20 to 40", F1121 &lt;= 50, "40 to 50", F1121 &gt; 50, "&gt;50" )</f>
        <v>5.1 to 10</v>
      </c>
    </row>
    <row r="1122" spans="1:15" ht="14.4" x14ac:dyDescent="0.3">
      <c r="A1122" t="s">
        <v>240</v>
      </c>
      <c r="B1122" s="1">
        <v>46189</v>
      </c>
      <c r="C1122" t="s">
        <v>16</v>
      </c>
      <c r="D1122">
        <v>1040</v>
      </c>
      <c r="E1122">
        <v>1</v>
      </c>
      <c r="F1122">
        <v>7.3</v>
      </c>
      <c r="G1122" t="s">
        <v>17</v>
      </c>
      <c r="I1122" t="str">
        <f t="shared" si="19"/>
        <v>1040_1</v>
      </c>
      <c r="J1122" t="s">
        <v>241</v>
      </c>
      <c r="K1122" t="s">
        <v>179</v>
      </c>
      <c r="L1122" t="str">
        <f>_xlfn.XLOOKUP(C1122, Table2[Species],Table2[Genus], "Code Not Found")</f>
        <v>Acer</v>
      </c>
      <c r="M1122" t="str">
        <f>_xlfn.XLOOKUP(C1122, Table2[Species],Table2[Sp. Name], "Code Not Found")</f>
        <v>saccharum</v>
      </c>
      <c r="N1122" t="str">
        <f>_xlfn.XLOOKUP(C1122,Table2[Species],Table2[Family],"Code Not Found")</f>
        <v>Sapindaceae</v>
      </c>
      <c r="O1122" t="str" cm="1">
        <f t="array" ref="O1122">_xlfn.IFS(F1122="","",F1122&lt;=5,"0 to 5",F1122&lt;=10,"5.1 to 10",F1122&lt;=20,"10 to 20", F1122&lt;= 40, "20 to 40", F1122 &lt;= 50, "40 to 50", F1122 &gt; 50, "&gt;50" )</f>
        <v>5.1 to 10</v>
      </c>
    </row>
    <row r="1123" spans="1:15" ht="14.4" x14ac:dyDescent="0.3">
      <c r="A1123" t="s">
        <v>240</v>
      </c>
      <c r="B1123" s="1">
        <v>46190</v>
      </c>
      <c r="C1123" t="s">
        <v>16</v>
      </c>
      <c r="D1123">
        <v>1041</v>
      </c>
      <c r="E1123">
        <v>1</v>
      </c>
      <c r="F1123">
        <v>35.1</v>
      </c>
      <c r="G1123" t="s">
        <v>21</v>
      </c>
      <c r="I1123" t="str">
        <f t="shared" si="19"/>
        <v>1041_1</v>
      </c>
      <c r="J1123" t="s">
        <v>241</v>
      </c>
      <c r="K1123" t="s">
        <v>179</v>
      </c>
      <c r="L1123" t="str">
        <f>_xlfn.XLOOKUP(C1123, Table2[Species],Table2[Genus], "Code Not Found")</f>
        <v>Acer</v>
      </c>
      <c r="M1123" t="str">
        <f>_xlfn.XLOOKUP(C1123, Table2[Species],Table2[Sp. Name], "Code Not Found")</f>
        <v>saccharum</v>
      </c>
      <c r="N1123" t="str">
        <f>_xlfn.XLOOKUP(C1123,Table2[Species],Table2[Family],"Code Not Found")</f>
        <v>Sapindaceae</v>
      </c>
      <c r="O1123" t="str" cm="1">
        <f t="array" ref="O1123">_xlfn.IFS(F1123="","",F1123&lt;=5,"0 to 5",F1123&lt;=10,"5.1 to 10",F1123&lt;=20,"10 to 20", F1123&lt;= 40, "20 to 40", F1123 &lt;= 50, "40 to 50", F1123 &gt; 50, "&gt;50" )</f>
        <v>20 to 40</v>
      </c>
    </row>
    <row r="1124" spans="1:15" ht="14.4" x14ac:dyDescent="0.3">
      <c r="A1124" t="s">
        <v>240</v>
      </c>
      <c r="B1124" s="1">
        <v>46190</v>
      </c>
      <c r="C1124" t="s">
        <v>16</v>
      </c>
      <c r="D1124">
        <v>1042</v>
      </c>
      <c r="E1124">
        <v>1</v>
      </c>
      <c r="F1124">
        <v>2.7</v>
      </c>
      <c r="G1124" t="s">
        <v>254</v>
      </c>
      <c r="H1124" t="s">
        <v>255</v>
      </c>
      <c r="I1124" t="str">
        <f t="shared" si="19"/>
        <v>1042_1</v>
      </c>
      <c r="J1124" t="s">
        <v>241</v>
      </c>
      <c r="K1124" t="s">
        <v>179</v>
      </c>
      <c r="L1124" t="str">
        <f>_xlfn.XLOOKUP(C1124, Table2[Species],Table2[Genus], "Code Not Found")</f>
        <v>Acer</v>
      </c>
      <c r="M1124" t="str">
        <f>_xlfn.XLOOKUP(C1124, Table2[Species],Table2[Sp. Name], "Code Not Found")</f>
        <v>saccharum</v>
      </c>
      <c r="N1124" t="str">
        <f>_xlfn.XLOOKUP(C1124,Table2[Species],Table2[Family],"Code Not Found")</f>
        <v>Sapindaceae</v>
      </c>
      <c r="O1124" t="str" cm="1">
        <f t="array" ref="O1124">_xlfn.IFS(F1124="","",F1124&lt;=5,"0 to 5",F1124&lt;=10,"5.1 to 10",F1124&lt;=20,"10 to 20", F1124&lt;= 40, "20 to 40", F1124 &lt;= 50, "40 to 50", F1124 &gt; 50, "&gt;50" )</f>
        <v>0 to 5</v>
      </c>
    </row>
    <row r="1125" spans="1:15" ht="14.4" x14ac:dyDescent="0.3">
      <c r="A1125" t="s">
        <v>240</v>
      </c>
      <c r="B1125" s="1">
        <v>46190</v>
      </c>
      <c r="C1125" t="s">
        <v>16</v>
      </c>
      <c r="D1125">
        <v>1043</v>
      </c>
      <c r="E1125">
        <v>1</v>
      </c>
      <c r="F1125">
        <v>5.6</v>
      </c>
      <c r="G1125" t="s">
        <v>94</v>
      </c>
      <c r="H1125" t="s">
        <v>244</v>
      </c>
      <c r="I1125" t="str">
        <f t="shared" si="19"/>
        <v>1043_1</v>
      </c>
      <c r="J1125" t="s">
        <v>241</v>
      </c>
      <c r="K1125" t="s">
        <v>179</v>
      </c>
      <c r="L1125" t="str">
        <f>_xlfn.XLOOKUP(C1125, Table2[Species],Table2[Genus], "Code Not Found")</f>
        <v>Acer</v>
      </c>
      <c r="M1125" t="str">
        <f>_xlfn.XLOOKUP(C1125, Table2[Species],Table2[Sp. Name], "Code Not Found")</f>
        <v>saccharum</v>
      </c>
      <c r="N1125" t="str">
        <f>_xlfn.XLOOKUP(C1125,Table2[Species],Table2[Family],"Code Not Found")</f>
        <v>Sapindaceae</v>
      </c>
      <c r="O1125" t="str" cm="1">
        <f t="array" ref="O1125">_xlfn.IFS(F1125="","",F1125&lt;=5,"0 to 5",F1125&lt;=10,"5.1 to 10",F1125&lt;=20,"10 to 20", F1125&lt;= 40, "20 to 40", F1125 &lt;= 50, "40 to 50", F1125 &gt; 50, "&gt;50" )</f>
        <v>5.1 to 10</v>
      </c>
    </row>
    <row r="1126" spans="1:15" ht="14.4" x14ac:dyDescent="0.3">
      <c r="A1126" t="s">
        <v>240</v>
      </c>
      <c r="B1126" s="1">
        <v>46190</v>
      </c>
      <c r="C1126" t="s">
        <v>16</v>
      </c>
      <c r="D1126">
        <v>1044</v>
      </c>
      <c r="E1126">
        <v>1</v>
      </c>
      <c r="F1126">
        <v>20.399999999999999</v>
      </c>
      <c r="G1126" t="s">
        <v>17</v>
      </c>
      <c r="H1126" t="s">
        <v>36</v>
      </c>
      <c r="I1126" t="str">
        <f t="shared" si="19"/>
        <v>1044_1</v>
      </c>
      <c r="J1126" t="s">
        <v>241</v>
      </c>
      <c r="K1126" t="s">
        <v>179</v>
      </c>
      <c r="L1126" t="str">
        <f>_xlfn.XLOOKUP(C1126, Table2[Species],Table2[Genus], "Code Not Found")</f>
        <v>Acer</v>
      </c>
      <c r="M1126" t="str">
        <f>_xlfn.XLOOKUP(C1126, Table2[Species],Table2[Sp. Name], "Code Not Found")</f>
        <v>saccharum</v>
      </c>
      <c r="N1126" t="str">
        <f>_xlfn.XLOOKUP(C1126,Table2[Species],Table2[Family],"Code Not Found")</f>
        <v>Sapindaceae</v>
      </c>
      <c r="O1126" t="str" cm="1">
        <f t="array" ref="O1126">_xlfn.IFS(F1126="","",F1126&lt;=5,"0 to 5",F1126&lt;=10,"5.1 to 10",F1126&lt;=20,"10 to 20", F1126&lt;= 40, "20 to 40", F1126 &lt;= 50, "40 to 50", F1126 &gt; 50, "&gt;50" )</f>
        <v>20 to 40</v>
      </c>
    </row>
    <row r="1127" spans="1:15" ht="14.4" x14ac:dyDescent="0.3">
      <c r="A1127" t="s">
        <v>240</v>
      </c>
      <c r="B1127" s="1">
        <v>46190</v>
      </c>
      <c r="C1127" t="s">
        <v>16</v>
      </c>
      <c r="D1127">
        <v>1045</v>
      </c>
      <c r="E1127">
        <v>1</v>
      </c>
      <c r="F1127">
        <v>3.3</v>
      </c>
      <c r="G1127" t="s">
        <v>47</v>
      </c>
      <c r="H1127" t="s">
        <v>43</v>
      </c>
      <c r="I1127" t="str">
        <f t="shared" si="19"/>
        <v>1045_1</v>
      </c>
      <c r="J1127" t="s">
        <v>241</v>
      </c>
      <c r="K1127" t="s">
        <v>179</v>
      </c>
      <c r="L1127" t="str">
        <f>_xlfn.XLOOKUP(C1127, Table2[Species],Table2[Genus], "Code Not Found")</f>
        <v>Acer</v>
      </c>
      <c r="M1127" t="str">
        <f>_xlfn.XLOOKUP(C1127, Table2[Species],Table2[Sp. Name], "Code Not Found")</f>
        <v>saccharum</v>
      </c>
      <c r="N1127" t="str">
        <f>_xlfn.XLOOKUP(C1127,Table2[Species],Table2[Family],"Code Not Found")</f>
        <v>Sapindaceae</v>
      </c>
      <c r="O1127" t="str" cm="1">
        <f t="array" ref="O1127">_xlfn.IFS(F1127="","",F1127&lt;=5,"0 to 5",F1127&lt;=10,"5.1 to 10",F1127&lt;=20,"10 to 20", F1127&lt;= 40, "20 to 40", F1127 &lt;= 50, "40 to 50", F1127 &gt; 50, "&gt;50" )</f>
        <v>0 to 5</v>
      </c>
    </row>
    <row r="1128" spans="1:15" ht="14.4" x14ac:dyDescent="0.3">
      <c r="A1128" t="s">
        <v>240</v>
      </c>
      <c r="B1128" s="1">
        <v>46190</v>
      </c>
      <c r="C1128" t="s">
        <v>16</v>
      </c>
      <c r="D1128">
        <v>1046</v>
      </c>
      <c r="E1128">
        <v>1</v>
      </c>
      <c r="F1128">
        <v>16.5</v>
      </c>
      <c r="G1128" t="s">
        <v>94</v>
      </c>
      <c r="H1128" t="s">
        <v>256</v>
      </c>
      <c r="I1128" t="str">
        <f t="shared" si="19"/>
        <v>1046_1</v>
      </c>
      <c r="J1128" t="s">
        <v>241</v>
      </c>
      <c r="K1128" t="s">
        <v>179</v>
      </c>
      <c r="L1128" t="str">
        <f>_xlfn.XLOOKUP(C1128, Table2[Species],Table2[Genus], "Code Not Found")</f>
        <v>Acer</v>
      </c>
      <c r="M1128" t="str">
        <f>_xlfn.XLOOKUP(C1128, Table2[Species],Table2[Sp. Name], "Code Not Found")</f>
        <v>saccharum</v>
      </c>
      <c r="N1128" t="str">
        <f>_xlfn.XLOOKUP(C1128,Table2[Species],Table2[Family],"Code Not Found")</f>
        <v>Sapindaceae</v>
      </c>
      <c r="O1128" t="str" cm="1">
        <f t="array" ref="O1128">_xlfn.IFS(F1128="","",F1128&lt;=5,"0 to 5",F1128&lt;=10,"5.1 to 10",F1128&lt;=20,"10 to 20", F1128&lt;= 40, "20 to 40", F1128 &lt;= 50, "40 to 50", F1128 &gt; 50, "&gt;50" )</f>
        <v>10 to 20</v>
      </c>
    </row>
    <row r="1129" spans="1:15" ht="14.4" x14ac:dyDescent="0.3">
      <c r="A1129" t="s">
        <v>240</v>
      </c>
      <c r="B1129" s="1">
        <v>46190</v>
      </c>
      <c r="C1129" t="s">
        <v>16</v>
      </c>
      <c r="D1129">
        <v>1047</v>
      </c>
      <c r="E1129">
        <v>1</v>
      </c>
      <c r="F1129">
        <v>2.8</v>
      </c>
      <c r="G1129" t="s">
        <v>104</v>
      </c>
      <c r="H1129" t="s">
        <v>257</v>
      </c>
      <c r="I1129" t="str">
        <f t="shared" si="19"/>
        <v>1047_1</v>
      </c>
      <c r="J1129" t="s">
        <v>241</v>
      </c>
      <c r="K1129" t="s">
        <v>179</v>
      </c>
      <c r="L1129" t="str">
        <f>_xlfn.XLOOKUP(C1129, Table2[Species],Table2[Genus], "Code Not Found")</f>
        <v>Acer</v>
      </c>
      <c r="M1129" t="str">
        <f>_xlfn.XLOOKUP(C1129, Table2[Species],Table2[Sp. Name], "Code Not Found")</f>
        <v>saccharum</v>
      </c>
      <c r="N1129" t="str">
        <f>_xlfn.XLOOKUP(C1129,Table2[Species],Table2[Family],"Code Not Found")</f>
        <v>Sapindaceae</v>
      </c>
      <c r="O1129" t="str" cm="1">
        <f t="array" ref="O1129">_xlfn.IFS(F1129="","",F1129&lt;=5,"0 to 5",F1129&lt;=10,"5.1 to 10",F1129&lt;=20,"10 to 20", F1129&lt;= 40, "20 to 40", F1129 &lt;= 50, "40 to 50", F1129 &gt; 50, "&gt;50" )</f>
        <v>0 to 5</v>
      </c>
    </row>
    <row r="1130" spans="1:15" ht="14.4" x14ac:dyDescent="0.3">
      <c r="A1130" t="s">
        <v>240</v>
      </c>
      <c r="B1130" s="1">
        <v>46190</v>
      </c>
      <c r="C1130" t="s">
        <v>16</v>
      </c>
      <c r="D1130">
        <v>1048</v>
      </c>
      <c r="E1130">
        <v>1</v>
      </c>
      <c r="F1130">
        <v>2.2000000000000002</v>
      </c>
      <c r="G1130" t="s">
        <v>57</v>
      </c>
      <c r="H1130" t="s">
        <v>43</v>
      </c>
      <c r="I1130" t="str">
        <f t="shared" si="19"/>
        <v>1048_1</v>
      </c>
      <c r="J1130" t="s">
        <v>241</v>
      </c>
      <c r="K1130" t="s">
        <v>179</v>
      </c>
      <c r="L1130" t="str">
        <f>_xlfn.XLOOKUP(C1130, Table2[Species],Table2[Genus], "Code Not Found")</f>
        <v>Acer</v>
      </c>
      <c r="M1130" t="str">
        <f>_xlfn.XLOOKUP(C1130, Table2[Species],Table2[Sp. Name], "Code Not Found")</f>
        <v>saccharum</v>
      </c>
      <c r="N1130" t="str">
        <f>_xlfn.XLOOKUP(C1130,Table2[Species],Table2[Family],"Code Not Found")</f>
        <v>Sapindaceae</v>
      </c>
      <c r="O1130" t="str" cm="1">
        <f t="array" ref="O1130">_xlfn.IFS(F1130="","",F1130&lt;=5,"0 to 5",F1130&lt;=10,"5.1 to 10",F1130&lt;=20,"10 to 20", F1130&lt;= 40, "20 to 40", F1130 &lt;= 50, "40 to 50", F1130 &gt; 50, "&gt;50" )</f>
        <v>0 to 5</v>
      </c>
    </row>
    <row r="1131" spans="1:15" ht="14.4" x14ac:dyDescent="0.3">
      <c r="A1131" t="s">
        <v>240</v>
      </c>
      <c r="B1131" s="1">
        <v>46190</v>
      </c>
      <c r="C1131" t="s">
        <v>16</v>
      </c>
      <c r="D1131">
        <v>1049</v>
      </c>
      <c r="E1131">
        <v>1</v>
      </c>
      <c r="F1131">
        <v>8.1</v>
      </c>
      <c r="G1131" t="s">
        <v>47</v>
      </c>
      <c r="H1131" t="s">
        <v>43</v>
      </c>
      <c r="I1131" t="str">
        <f t="shared" si="19"/>
        <v>1049_1</v>
      </c>
      <c r="J1131" t="s">
        <v>241</v>
      </c>
      <c r="K1131" t="s">
        <v>179</v>
      </c>
      <c r="L1131" t="str">
        <f>_xlfn.XLOOKUP(C1131, Table2[Species],Table2[Genus], "Code Not Found")</f>
        <v>Acer</v>
      </c>
      <c r="M1131" t="str">
        <f>_xlfn.XLOOKUP(C1131, Table2[Species],Table2[Sp. Name], "Code Not Found")</f>
        <v>saccharum</v>
      </c>
      <c r="N1131" t="str">
        <f>_xlfn.XLOOKUP(C1131,Table2[Species],Table2[Family],"Code Not Found")</f>
        <v>Sapindaceae</v>
      </c>
      <c r="O1131" t="str" cm="1">
        <f t="array" ref="O1131">_xlfn.IFS(F1131="","",F1131&lt;=5,"0 to 5",F1131&lt;=10,"5.1 to 10",F1131&lt;=20,"10 to 20", F1131&lt;= 40, "20 to 40", F1131 &lt;= 50, "40 to 50", F1131 &gt; 50, "&gt;50" )</f>
        <v>5.1 to 10</v>
      </c>
    </row>
    <row r="1132" spans="1:15" ht="14.4" x14ac:dyDescent="0.3">
      <c r="A1132" t="s">
        <v>240</v>
      </c>
      <c r="B1132" s="1">
        <v>46190</v>
      </c>
      <c r="C1132" t="s">
        <v>16</v>
      </c>
      <c r="D1132">
        <v>1050</v>
      </c>
      <c r="E1132">
        <v>1</v>
      </c>
      <c r="F1132">
        <v>11</v>
      </c>
      <c r="G1132" t="s">
        <v>94</v>
      </c>
      <c r="H1132" t="s">
        <v>258</v>
      </c>
      <c r="I1132" t="str">
        <f t="shared" si="19"/>
        <v>1050_1</v>
      </c>
      <c r="J1132" t="s">
        <v>241</v>
      </c>
      <c r="K1132" t="s">
        <v>179</v>
      </c>
      <c r="L1132" t="str">
        <f>_xlfn.XLOOKUP(C1132, Table2[Species],Table2[Genus], "Code Not Found")</f>
        <v>Acer</v>
      </c>
      <c r="M1132" t="str">
        <f>_xlfn.XLOOKUP(C1132, Table2[Species],Table2[Sp. Name], "Code Not Found")</f>
        <v>saccharum</v>
      </c>
      <c r="N1132" t="str">
        <f>_xlfn.XLOOKUP(C1132,Table2[Species],Table2[Family],"Code Not Found")</f>
        <v>Sapindaceae</v>
      </c>
      <c r="O1132" t="str" cm="1">
        <f t="array" ref="O1132">_xlfn.IFS(F1132="","",F1132&lt;=5,"0 to 5",F1132&lt;=10,"5.1 to 10",F1132&lt;=20,"10 to 20", F1132&lt;= 40, "20 to 40", F1132 &lt;= 50, "40 to 50", F1132 &gt; 50, "&gt;50" )</f>
        <v>10 to 20</v>
      </c>
    </row>
    <row r="1133" spans="1:15" ht="14.4" x14ac:dyDescent="0.3">
      <c r="A1133" t="s">
        <v>240</v>
      </c>
      <c r="B1133" s="1">
        <v>46190</v>
      </c>
      <c r="C1133" t="s">
        <v>16</v>
      </c>
      <c r="D1133">
        <v>1051</v>
      </c>
      <c r="E1133">
        <v>1</v>
      </c>
      <c r="F1133">
        <v>15.2</v>
      </c>
      <c r="G1133" t="s">
        <v>17</v>
      </c>
      <c r="I1133" t="str">
        <f t="shared" si="19"/>
        <v>1051_1</v>
      </c>
      <c r="J1133" t="s">
        <v>241</v>
      </c>
      <c r="K1133" t="s">
        <v>179</v>
      </c>
      <c r="L1133" t="str">
        <f>_xlfn.XLOOKUP(C1133, Table2[Species],Table2[Genus], "Code Not Found")</f>
        <v>Acer</v>
      </c>
      <c r="M1133" t="str">
        <f>_xlfn.XLOOKUP(C1133, Table2[Species],Table2[Sp. Name], "Code Not Found")</f>
        <v>saccharum</v>
      </c>
      <c r="N1133" t="str">
        <f>_xlfn.XLOOKUP(C1133,Table2[Species],Table2[Family],"Code Not Found")</f>
        <v>Sapindaceae</v>
      </c>
      <c r="O1133" t="str" cm="1">
        <f t="array" ref="O1133">_xlfn.IFS(F1133="","",F1133&lt;=5,"0 to 5",F1133&lt;=10,"5.1 to 10",F1133&lt;=20,"10 to 20", F1133&lt;= 40, "20 to 40", F1133 &lt;= 50, "40 to 50", F1133 &gt; 50, "&gt;50" )</f>
        <v>10 to 20</v>
      </c>
    </row>
    <row r="1134" spans="1:15" ht="14.4" x14ac:dyDescent="0.3">
      <c r="A1134" t="s">
        <v>240</v>
      </c>
      <c r="B1134" s="1">
        <v>46190</v>
      </c>
      <c r="C1134" t="s">
        <v>16</v>
      </c>
      <c r="D1134">
        <v>1052</v>
      </c>
      <c r="E1134">
        <v>1</v>
      </c>
      <c r="F1134">
        <v>4.7</v>
      </c>
      <c r="G1134" t="s">
        <v>17</v>
      </c>
      <c r="I1134" t="str">
        <f t="shared" si="19"/>
        <v>1052_1</v>
      </c>
      <c r="J1134" t="s">
        <v>241</v>
      </c>
      <c r="K1134" t="s">
        <v>179</v>
      </c>
      <c r="L1134" t="str">
        <f>_xlfn.XLOOKUP(C1134, Table2[Species],Table2[Genus], "Code Not Found")</f>
        <v>Acer</v>
      </c>
      <c r="M1134" t="str">
        <f>_xlfn.XLOOKUP(C1134, Table2[Species],Table2[Sp. Name], "Code Not Found")</f>
        <v>saccharum</v>
      </c>
      <c r="N1134" t="str">
        <f>_xlfn.XLOOKUP(C1134,Table2[Species],Table2[Family],"Code Not Found")</f>
        <v>Sapindaceae</v>
      </c>
      <c r="O1134" t="str" cm="1">
        <f t="array" ref="O1134">_xlfn.IFS(F1134="","",F1134&lt;=5,"0 to 5",F1134&lt;=10,"5.1 to 10",F1134&lt;=20,"10 to 20", F1134&lt;= 40, "20 to 40", F1134 &lt;= 50, "40 to 50", F1134 &gt; 50, "&gt;50" )</f>
        <v>0 to 5</v>
      </c>
    </row>
    <row r="1135" spans="1:15" ht="14.4" x14ac:dyDescent="0.3">
      <c r="A1135" t="s">
        <v>240</v>
      </c>
      <c r="B1135" s="1">
        <v>46190</v>
      </c>
      <c r="C1135" t="s">
        <v>16</v>
      </c>
      <c r="D1135">
        <v>1053</v>
      </c>
      <c r="E1135">
        <v>1</v>
      </c>
      <c r="F1135">
        <v>10.1</v>
      </c>
      <c r="G1135" t="s">
        <v>21</v>
      </c>
      <c r="I1135" t="str">
        <f t="shared" si="19"/>
        <v>1053_1</v>
      </c>
      <c r="J1135" t="s">
        <v>241</v>
      </c>
      <c r="K1135" t="s">
        <v>179</v>
      </c>
      <c r="L1135" t="str">
        <f>_xlfn.XLOOKUP(C1135, Table2[Species],Table2[Genus], "Code Not Found")</f>
        <v>Acer</v>
      </c>
      <c r="M1135" t="str">
        <f>_xlfn.XLOOKUP(C1135, Table2[Species],Table2[Sp. Name], "Code Not Found")</f>
        <v>saccharum</v>
      </c>
      <c r="N1135" t="str">
        <f>_xlfn.XLOOKUP(C1135,Table2[Species],Table2[Family],"Code Not Found")</f>
        <v>Sapindaceae</v>
      </c>
      <c r="O1135" t="str" cm="1">
        <f t="array" ref="O1135">_xlfn.IFS(F1135="","",F1135&lt;=5,"0 to 5",F1135&lt;=10,"5.1 to 10",F1135&lt;=20,"10 to 20", F1135&lt;= 40, "20 to 40", F1135 &lt;= 50, "40 to 50", F1135 &gt; 50, "&gt;50" )</f>
        <v>10 to 20</v>
      </c>
    </row>
    <row r="1136" spans="1:15" ht="14.4" x14ac:dyDescent="0.3">
      <c r="A1136" t="s">
        <v>240</v>
      </c>
      <c r="B1136" s="1">
        <v>46190</v>
      </c>
      <c r="C1136" t="s">
        <v>16</v>
      </c>
      <c r="D1136">
        <v>1054</v>
      </c>
      <c r="E1136">
        <v>1</v>
      </c>
      <c r="F1136">
        <v>8.8000000000000007</v>
      </c>
      <c r="G1136" t="s">
        <v>21</v>
      </c>
      <c r="I1136" t="str">
        <f t="shared" ref="I1136:I1199" si="20">D1136&amp;"_"&amp;E1136</f>
        <v>1054_1</v>
      </c>
      <c r="J1136" t="s">
        <v>241</v>
      </c>
      <c r="K1136" t="s">
        <v>179</v>
      </c>
      <c r="L1136" t="str">
        <f>_xlfn.XLOOKUP(C1136, Table2[Species],Table2[Genus], "Code Not Found")</f>
        <v>Acer</v>
      </c>
      <c r="M1136" t="str">
        <f>_xlfn.XLOOKUP(C1136, Table2[Species],Table2[Sp. Name], "Code Not Found")</f>
        <v>saccharum</v>
      </c>
      <c r="N1136" t="str">
        <f>_xlfn.XLOOKUP(C1136,Table2[Species],Table2[Family],"Code Not Found")</f>
        <v>Sapindaceae</v>
      </c>
      <c r="O1136" t="str" cm="1">
        <f t="array" ref="O1136">_xlfn.IFS(F1136="","",F1136&lt;=5,"0 to 5",F1136&lt;=10,"5.1 to 10",F1136&lt;=20,"10 to 20", F1136&lt;= 40, "20 to 40", F1136 &lt;= 50, "40 to 50", F1136 &gt; 50, "&gt;50" )</f>
        <v>5.1 to 10</v>
      </c>
    </row>
    <row r="1137" spans="1:15" ht="14.4" x14ac:dyDescent="0.3">
      <c r="A1137" t="s">
        <v>240</v>
      </c>
      <c r="B1137" s="1">
        <v>46190</v>
      </c>
      <c r="C1137" t="s">
        <v>16</v>
      </c>
      <c r="D1137">
        <v>1055</v>
      </c>
      <c r="E1137">
        <v>1</v>
      </c>
      <c r="F1137">
        <v>1.8</v>
      </c>
      <c r="G1137" t="s">
        <v>17</v>
      </c>
      <c r="I1137" t="str">
        <f t="shared" si="20"/>
        <v>1055_1</v>
      </c>
      <c r="J1137" t="s">
        <v>241</v>
      </c>
      <c r="K1137" t="s">
        <v>179</v>
      </c>
      <c r="L1137" t="str">
        <f>_xlfn.XLOOKUP(C1137, Table2[Species],Table2[Genus], "Code Not Found")</f>
        <v>Acer</v>
      </c>
      <c r="M1137" t="str">
        <f>_xlfn.XLOOKUP(C1137, Table2[Species],Table2[Sp. Name], "Code Not Found")</f>
        <v>saccharum</v>
      </c>
      <c r="N1137" t="str">
        <f>_xlfn.XLOOKUP(C1137,Table2[Species],Table2[Family],"Code Not Found")</f>
        <v>Sapindaceae</v>
      </c>
      <c r="O1137" t="str" cm="1">
        <f t="array" ref="O1137">_xlfn.IFS(F1137="","",F1137&lt;=5,"0 to 5",F1137&lt;=10,"5.1 to 10",F1137&lt;=20,"10 to 20", F1137&lt;= 40, "20 to 40", F1137 &lt;= 50, "40 to 50", F1137 &gt; 50, "&gt;50" )</f>
        <v>0 to 5</v>
      </c>
    </row>
    <row r="1138" spans="1:15" ht="14.4" x14ac:dyDescent="0.3">
      <c r="A1138" t="s">
        <v>240</v>
      </c>
      <c r="B1138" s="1">
        <v>46190</v>
      </c>
      <c r="C1138" t="s">
        <v>16</v>
      </c>
      <c r="D1138">
        <v>1056</v>
      </c>
      <c r="E1138">
        <v>1</v>
      </c>
      <c r="F1138">
        <v>5.4</v>
      </c>
      <c r="G1138" t="s">
        <v>94</v>
      </c>
      <c r="H1138" t="s">
        <v>99</v>
      </c>
      <c r="I1138" t="str">
        <f t="shared" si="20"/>
        <v>1056_1</v>
      </c>
      <c r="J1138" t="s">
        <v>241</v>
      </c>
      <c r="K1138" t="s">
        <v>179</v>
      </c>
      <c r="L1138" t="str">
        <f>_xlfn.XLOOKUP(C1138, Table2[Species],Table2[Genus], "Code Not Found")</f>
        <v>Acer</v>
      </c>
      <c r="M1138" t="str">
        <f>_xlfn.XLOOKUP(C1138, Table2[Species],Table2[Sp. Name], "Code Not Found")</f>
        <v>saccharum</v>
      </c>
      <c r="N1138" t="str">
        <f>_xlfn.XLOOKUP(C1138,Table2[Species],Table2[Family],"Code Not Found")</f>
        <v>Sapindaceae</v>
      </c>
      <c r="O1138" t="str" cm="1">
        <f t="array" ref="O1138">_xlfn.IFS(F1138="","",F1138&lt;=5,"0 to 5",F1138&lt;=10,"5.1 to 10",F1138&lt;=20,"10 to 20", F1138&lt;= 40, "20 to 40", F1138 &lt;= 50, "40 to 50", F1138 &gt; 50, "&gt;50" )</f>
        <v>5.1 to 10</v>
      </c>
    </row>
    <row r="1139" spans="1:15" ht="14.4" x14ac:dyDescent="0.3">
      <c r="A1139" t="s">
        <v>240</v>
      </c>
      <c r="B1139" s="1">
        <v>46190</v>
      </c>
      <c r="C1139" t="s">
        <v>16</v>
      </c>
      <c r="D1139">
        <v>1057</v>
      </c>
      <c r="E1139">
        <v>1</v>
      </c>
      <c r="F1139">
        <v>16.600000000000001</v>
      </c>
      <c r="G1139" t="s">
        <v>104</v>
      </c>
      <c r="H1139" t="s">
        <v>259</v>
      </c>
      <c r="I1139" t="str">
        <f t="shared" si="20"/>
        <v>1057_1</v>
      </c>
      <c r="J1139" t="s">
        <v>241</v>
      </c>
      <c r="K1139" t="s">
        <v>179</v>
      </c>
      <c r="L1139" t="str">
        <f>_xlfn.XLOOKUP(C1139, Table2[Species],Table2[Genus], "Code Not Found")</f>
        <v>Acer</v>
      </c>
      <c r="M1139" t="str">
        <f>_xlfn.XLOOKUP(C1139, Table2[Species],Table2[Sp. Name], "Code Not Found")</f>
        <v>saccharum</v>
      </c>
      <c r="N1139" t="str">
        <f>_xlfn.XLOOKUP(C1139,Table2[Species],Table2[Family],"Code Not Found")</f>
        <v>Sapindaceae</v>
      </c>
      <c r="O1139" t="str" cm="1">
        <f t="array" ref="O1139">_xlfn.IFS(F1139="","",F1139&lt;=5,"0 to 5",F1139&lt;=10,"5.1 to 10",F1139&lt;=20,"10 to 20", F1139&lt;= 40, "20 to 40", F1139 &lt;= 50, "40 to 50", F1139 &gt; 50, "&gt;50" )</f>
        <v>10 to 20</v>
      </c>
    </row>
    <row r="1140" spans="1:15" ht="14.4" x14ac:dyDescent="0.3">
      <c r="A1140" t="s">
        <v>240</v>
      </c>
      <c r="B1140" s="1">
        <v>46190</v>
      </c>
      <c r="C1140" t="s">
        <v>16</v>
      </c>
      <c r="D1140">
        <v>1058</v>
      </c>
      <c r="E1140">
        <v>1</v>
      </c>
      <c r="F1140">
        <v>3.5</v>
      </c>
      <c r="G1140" t="s">
        <v>57</v>
      </c>
      <c r="H1140" t="s">
        <v>43</v>
      </c>
      <c r="I1140" t="str">
        <f t="shared" si="20"/>
        <v>1058_1</v>
      </c>
      <c r="J1140" t="s">
        <v>241</v>
      </c>
      <c r="K1140" t="s">
        <v>179</v>
      </c>
      <c r="L1140" t="str">
        <f>_xlfn.XLOOKUP(C1140, Table2[Species],Table2[Genus], "Code Not Found")</f>
        <v>Acer</v>
      </c>
      <c r="M1140" t="str">
        <f>_xlfn.XLOOKUP(C1140, Table2[Species],Table2[Sp. Name], "Code Not Found")</f>
        <v>saccharum</v>
      </c>
      <c r="N1140" t="str">
        <f>_xlfn.XLOOKUP(C1140,Table2[Species],Table2[Family],"Code Not Found")</f>
        <v>Sapindaceae</v>
      </c>
      <c r="O1140" t="str" cm="1">
        <f t="array" ref="O1140">_xlfn.IFS(F1140="","",F1140&lt;=5,"0 to 5",F1140&lt;=10,"5.1 to 10",F1140&lt;=20,"10 to 20", F1140&lt;= 40, "20 to 40", F1140 &lt;= 50, "40 to 50", F1140 &gt; 50, "&gt;50" )</f>
        <v>0 to 5</v>
      </c>
    </row>
    <row r="1141" spans="1:15" ht="14.4" x14ac:dyDescent="0.3">
      <c r="A1141" t="s">
        <v>240</v>
      </c>
      <c r="B1141" s="1">
        <v>46190</v>
      </c>
      <c r="C1141" t="s">
        <v>16</v>
      </c>
      <c r="D1141">
        <v>1059</v>
      </c>
      <c r="E1141">
        <v>1</v>
      </c>
      <c r="F1141">
        <v>18.3</v>
      </c>
      <c r="G1141" t="s">
        <v>47</v>
      </c>
      <c r="I1141" t="str">
        <f t="shared" si="20"/>
        <v>1059_1</v>
      </c>
      <c r="J1141" t="s">
        <v>241</v>
      </c>
      <c r="K1141" t="s">
        <v>179</v>
      </c>
      <c r="L1141" t="str">
        <f>_xlfn.XLOOKUP(C1141, Table2[Species],Table2[Genus], "Code Not Found")</f>
        <v>Acer</v>
      </c>
      <c r="M1141" t="str">
        <f>_xlfn.XLOOKUP(C1141, Table2[Species],Table2[Sp. Name], "Code Not Found")</f>
        <v>saccharum</v>
      </c>
      <c r="N1141" t="str">
        <f>_xlfn.XLOOKUP(C1141,Table2[Species],Table2[Family],"Code Not Found")</f>
        <v>Sapindaceae</v>
      </c>
      <c r="O1141" t="str" cm="1">
        <f t="array" ref="O1141">_xlfn.IFS(F1141="","",F1141&lt;=5,"0 to 5",F1141&lt;=10,"5.1 to 10",F1141&lt;=20,"10 to 20", F1141&lt;= 40, "20 to 40", F1141 &lt;= 50, "40 to 50", F1141 &gt; 50, "&gt;50" )</f>
        <v>10 to 20</v>
      </c>
    </row>
    <row r="1142" spans="1:15" ht="14.4" x14ac:dyDescent="0.3">
      <c r="A1142" t="s">
        <v>240</v>
      </c>
      <c r="B1142" s="1">
        <v>46190</v>
      </c>
      <c r="C1142" t="s">
        <v>16</v>
      </c>
      <c r="D1142">
        <v>1060</v>
      </c>
      <c r="E1142">
        <v>1</v>
      </c>
      <c r="F1142">
        <v>3.9</v>
      </c>
      <c r="G1142" t="s">
        <v>94</v>
      </c>
      <c r="H1142" t="s">
        <v>260</v>
      </c>
      <c r="I1142" t="str">
        <f t="shared" si="20"/>
        <v>1060_1</v>
      </c>
      <c r="J1142" t="s">
        <v>241</v>
      </c>
      <c r="K1142" t="s">
        <v>179</v>
      </c>
      <c r="L1142" t="str">
        <f>_xlfn.XLOOKUP(C1142, Table2[Species],Table2[Genus], "Code Not Found")</f>
        <v>Acer</v>
      </c>
      <c r="M1142" t="str">
        <f>_xlfn.XLOOKUP(C1142, Table2[Species],Table2[Sp. Name], "Code Not Found")</f>
        <v>saccharum</v>
      </c>
      <c r="N1142" t="str">
        <f>_xlfn.XLOOKUP(C1142,Table2[Species],Table2[Family],"Code Not Found")</f>
        <v>Sapindaceae</v>
      </c>
      <c r="O1142" t="str" cm="1">
        <f t="array" ref="O1142">_xlfn.IFS(F1142="","",F1142&lt;=5,"0 to 5",F1142&lt;=10,"5.1 to 10",F1142&lt;=20,"10 to 20", F1142&lt;= 40, "20 to 40", F1142 &lt;= 50, "40 to 50", F1142 &gt; 50, "&gt;50" )</f>
        <v>0 to 5</v>
      </c>
    </row>
    <row r="1143" spans="1:15" ht="14.4" x14ac:dyDescent="0.3">
      <c r="A1143" t="s">
        <v>240</v>
      </c>
      <c r="B1143" s="1">
        <v>46190</v>
      </c>
      <c r="C1143" t="s">
        <v>16</v>
      </c>
      <c r="D1143">
        <v>1061</v>
      </c>
      <c r="E1143">
        <v>1</v>
      </c>
      <c r="F1143">
        <v>7.1</v>
      </c>
      <c r="G1143" t="s">
        <v>17</v>
      </c>
      <c r="I1143" t="str">
        <f t="shared" si="20"/>
        <v>1061_1</v>
      </c>
      <c r="J1143" t="s">
        <v>241</v>
      </c>
      <c r="K1143" t="s">
        <v>179</v>
      </c>
      <c r="L1143" t="str">
        <f>_xlfn.XLOOKUP(C1143, Table2[Species],Table2[Genus], "Code Not Found")</f>
        <v>Acer</v>
      </c>
      <c r="M1143" t="str">
        <f>_xlfn.XLOOKUP(C1143, Table2[Species],Table2[Sp. Name], "Code Not Found")</f>
        <v>saccharum</v>
      </c>
      <c r="N1143" t="str">
        <f>_xlfn.XLOOKUP(C1143,Table2[Species],Table2[Family],"Code Not Found")</f>
        <v>Sapindaceae</v>
      </c>
      <c r="O1143" t="str" cm="1">
        <f t="array" ref="O1143">_xlfn.IFS(F1143="","",F1143&lt;=5,"0 to 5",F1143&lt;=10,"5.1 to 10",F1143&lt;=20,"10 to 20", F1143&lt;= 40, "20 to 40", F1143 &lt;= 50, "40 to 50", F1143 &gt; 50, "&gt;50" )</f>
        <v>5.1 to 10</v>
      </c>
    </row>
    <row r="1144" spans="1:15" ht="14.4" x14ac:dyDescent="0.3">
      <c r="A1144" t="s">
        <v>240</v>
      </c>
      <c r="B1144" s="1">
        <v>46190</v>
      </c>
      <c r="C1144" t="s">
        <v>16</v>
      </c>
      <c r="D1144">
        <v>1062</v>
      </c>
      <c r="E1144">
        <v>1</v>
      </c>
      <c r="F1144">
        <v>1.4</v>
      </c>
      <c r="G1144" t="s">
        <v>17</v>
      </c>
      <c r="I1144" t="str">
        <f t="shared" si="20"/>
        <v>1062_1</v>
      </c>
      <c r="J1144" t="s">
        <v>241</v>
      </c>
      <c r="K1144" t="s">
        <v>179</v>
      </c>
      <c r="L1144" t="str">
        <f>_xlfn.XLOOKUP(C1144, Table2[Species],Table2[Genus], "Code Not Found")</f>
        <v>Acer</v>
      </c>
      <c r="M1144" t="str">
        <f>_xlfn.XLOOKUP(C1144, Table2[Species],Table2[Sp. Name], "Code Not Found")</f>
        <v>saccharum</v>
      </c>
      <c r="N1144" t="str">
        <f>_xlfn.XLOOKUP(C1144,Table2[Species],Table2[Family],"Code Not Found")</f>
        <v>Sapindaceae</v>
      </c>
      <c r="O1144" t="str" cm="1">
        <f t="array" ref="O1144">_xlfn.IFS(F1144="","",F1144&lt;=5,"0 to 5",F1144&lt;=10,"5.1 to 10",F1144&lt;=20,"10 to 20", F1144&lt;= 40, "20 to 40", F1144 &lt;= 50, "40 to 50", F1144 &gt; 50, "&gt;50" )</f>
        <v>0 to 5</v>
      </c>
    </row>
    <row r="1145" spans="1:15" ht="14.4" x14ac:dyDescent="0.3">
      <c r="A1145" t="s">
        <v>240</v>
      </c>
      <c r="B1145" s="1">
        <v>46190</v>
      </c>
      <c r="C1145" t="s">
        <v>16</v>
      </c>
      <c r="D1145">
        <v>1063</v>
      </c>
      <c r="E1145">
        <v>1</v>
      </c>
      <c r="F1145">
        <v>2.2999999999999998</v>
      </c>
      <c r="G1145" t="s">
        <v>261</v>
      </c>
      <c r="H1145" t="s">
        <v>143</v>
      </c>
      <c r="I1145" t="str">
        <f t="shared" si="20"/>
        <v>1063_1</v>
      </c>
      <c r="J1145" t="s">
        <v>241</v>
      </c>
      <c r="K1145" t="s">
        <v>179</v>
      </c>
      <c r="L1145" t="str">
        <f>_xlfn.XLOOKUP(C1145, Table2[Species],Table2[Genus], "Code Not Found")</f>
        <v>Acer</v>
      </c>
      <c r="M1145" t="str">
        <f>_xlfn.XLOOKUP(C1145, Table2[Species],Table2[Sp. Name], "Code Not Found")</f>
        <v>saccharum</v>
      </c>
      <c r="N1145" t="str">
        <f>_xlfn.XLOOKUP(C1145,Table2[Species],Table2[Family],"Code Not Found")</f>
        <v>Sapindaceae</v>
      </c>
      <c r="O1145" t="str" cm="1">
        <f t="array" ref="O1145">_xlfn.IFS(F1145="","",F1145&lt;=5,"0 to 5",F1145&lt;=10,"5.1 to 10",F1145&lt;=20,"10 to 20", F1145&lt;= 40, "20 to 40", F1145 &lt;= 50, "40 to 50", F1145 &gt; 50, "&gt;50" )</f>
        <v>0 to 5</v>
      </c>
    </row>
    <row r="1146" spans="1:15" ht="14.4" x14ac:dyDescent="0.3">
      <c r="A1146" t="s">
        <v>240</v>
      </c>
      <c r="B1146" s="1">
        <v>46190</v>
      </c>
      <c r="C1146" t="s">
        <v>16</v>
      </c>
      <c r="D1146">
        <v>1064</v>
      </c>
      <c r="E1146">
        <v>1</v>
      </c>
      <c r="F1146">
        <v>5.5</v>
      </c>
      <c r="G1146" t="s">
        <v>17</v>
      </c>
      <c r="I1146" t="str">
        <f t="shared" si="20"/>
        <v>1064_1</v>
      </c>
      <c r="J1146" t="s">
        <v>241</v>
      </c>
      <c r="K1146" t="s">
        <v>179</v>
      </c>
      <c r="L1146" t="str">
        <f>_xlfn.XLOOKUP(C1146, Table2[Species],Table2[Genus], "Code Not Found")</f>
        <v>Acer</v>
      </c>
      <c r="M1146" t="str">
        <f>_xlfn.XLOOKUP(C1146, Table2[Species],Table2[Sp. Name], "Code Not Found")</f>
        <v>saccharum</v>
      </c>
      <c r="N1146" t="str">
        <f>_xlfn.XLOOKUP(C1146,Table2[Species],Table2[Family],"Code Not Found")</f>
        <v>Sapindaceae</v>
      </c>
      <c r="O1146" t="str" cm="1">
        <f t="array" ref="O1146">_xlfn.IFS(F1146="","",F1146&lt;=5,"0 to 5",F1146&lt;=10,"5.1 to 10",F1146&lt;=20,"10 to 20", F1146&lt;= 40, "20 to 40", F1146 &lt;= 50, "40 to 50", F1146 &gt; 50, "&gt;50" )</f>
        <v>5.1 to 10</v>
      </c>
    </row>
    <row r="1147" spans="1:15" ht="14.4" x14ac:dyDescent="0.3">
      <c r="A1147" t="s">
        <v>240</v>
      </c>
      <c r="B1147" s="1">
        <v>46190</v>
      </c>
      <c r="C1147" t="s">
        <v>16</v>
      </c>
      <c r="D1147">
        <v>1065</v>
      </c>
      <c r="E1147">
        <v>1</v>
      </c>
      <c r="F1147">
        <v>1.6</v>
      </c>
      <c r="G1147" t="s">
        <v>88</v>
      </c>
      <c r="H1147" t="s">
        <v>262</v>
      </c>
      <c r="I1147" t="str">
        <f t="shared" si="20"/>
        <v>1065_1</v>
      </c>
      <c r="J1147" t="s">
        <v>241</v>
      </c>
      <c r="K1147" t="s">
        <v>179</v>
      </c>
      <c r="L1147" t="str">
        <f>_xlfn.XLOOKUP(C1147, Table2[Species],Table2[Genus], "Code Not Found")</f>
        <v>Acer</v>
      </c>
      <c r="M1147" t="str">
        <f>_xlfn.XLOOKUP(C1147, Table2[Species],Table2[Sp. Name], "Code Not Found")</f>
        <v>saccharum</v>
      </c>
      <c r="N1147" t="str">
        <f>_xlfn.XLOOKUP(C1147,Table2[Species],Table2[Family],"Code Not Found")</f>
        <v>Sapindaceae</v>
      </c>
      <c r="O1147" t="str" cm="1">
        <f t="array" ref="O1147">_xlfn.IFS(F1147="","",F1147&lt;=5,"0 to 5",F1147&lt;=10,"5.1 to 10",F1147&lt;=20,"10 to 20", F1147&lt;= 40, "20 to 40", F1147 &lt;= 50, "40 to 50", F1147 &gt; 50, "&gt;50" )</f>
        <v>0 to 5</v>
      </c>
    </row>
    <row r="1148" spans="1:15" ht="14.4" x14ac:dyDescent="0.3">
      <c r="A1148" t="s">
        <v>240</v>
      </c>
      <c r="B1148" s="1">
        <v>46190</v>
      </c>
      <c r="C1148" t="s">
        <v>16</v>
      </c>
      <c r="D1148">
        <v>1066</v>
      </c>
      <c r="E1148">
        <v>1</v>
      </c>
      <c r="F1148">
        <v>1.2</v>
      </c>
      <c r="G1148" t="s">
        <v>47</v>
      </c>
      <c r="H1148" t="s">
        <v>263</v>
      </c>
      <c r="I1148" t="str">
        <f t="shared" si="20"/>
        <v>1066_1</v>
      </c>
      <c r="J1148" t="s">
        <v>241</v>
      </c>
      <c r="K1148" t="s">
        <v>179</v>
      </c>
      <c r="L1148" t="str">
        <f>_xlfn.XLOOKUP(C1148, Table2[Species],Table2[Genus], "Code Not Found")</f>
        <v>Acer</v>
      </c>
      <c r="M1148" t="str">
        <f>_xlfn.XLOOKUP(C1148, Table2[Species],Table2[Sp. Name], "Code Not Found")</f>
        <v>saccharum</v>
      </c>
      <c r="N1148" t="str">
        <f>_xlfn.XLOOKUP(C1148,Table2[Species],Table2[Family],"Code Not Found")</f>
        <v>Sapindaceae</v>
      </c>
      <c r="O1148" t="str" cm="1">
        <f t="array" ref="O1148">_xlfn.IFS(F1148="","",F1148&lt;=5,"0 to 5",F1148&lt;=10,"5.1 to 10",F1148&lt;=20,"10 to 20", F1148&lt;= 40, "20 to 40", F1148 &lt;= 50, "40 to 50", F1148 &gt; 50, "&gt;50" )</f>
        <v>0 to 5</v>
      </c>
    </row>
    <row r="1149" spans="1:15" ht="14.4" x14ac:dyDescent="0.3">
      <c r="A1149" t="s">
        <v>240</v>
      </c>
      <c r="B1149" s="1">
        <v>46190</v>
      </c>
      <c r="C1149" t="s">
        <v>16</v>
      </c>
      <c r="D1149">
        <v>1067</v>
      </c>
      <c r="E1149">
        <v>1</v>
      </c>
      <c r="F1149">
        <v>13</v>
      </c>
      <c r="G1149" t="s">
        <v>39</v>
      </c>
      <c r="H1149" t="s">
        <v>264</v>
      </c>
      <c r="I1149" t="str">
        <f t="shared" si="20"/>
        <v>1067_1</v>
      </c>
      <c r="J1149" t="s">
        <v>241</v>
      </c>
      <c r="K1149" t="s">
        <v>179</v>
      </c>
      <c r="L1149" t="str">
        <f>_xlfn.XLOOKUP(C1149, Table2[Species],Table2[Genus], "Code Not Found")</f>
        <v>Acer</v>
      </c>
      <c r="M1149" t="str">
        <f>_xlfn.XLOOKUP(C1149, Table2[Species],Table2[Sp. Name], "Code Not Found")</f>
        <v>saccharum</v>
      </c>
      <c r="N1149" t="str">
        <f>_xlfn.XLOOKUP(C1149,Table2[Species],Table2[Family],"Code Not Found")</f>
        <v>Sapindaceae</v>
      </c>
      <c r="O1149" t="str" cm="1">
        <f t="array" ref="O1149">_xlfn.IFS(F1149="","",F1149&lt;=5,"0 to 5",F1149&lt;=10,"5.1 to 10",F1149&lt;=20,"10 to 20", F1149&lt;= 40, "20 to 40", F1149 &lt;= 50, "40 to 50", F1149 &gt; 50, "&gt;50" )</f>
        <v>10 to 20</v>
      </c>
    </row>
    <row r="1150" spans="1:15" ht="14.4" x14ac:dyDescent="0.3">
      <c r="A1150" t="s">
        <v>240</v>
      </c>
      <c r="B1150" s="1">
        <v>46190</v>
      </c>
      <c r="C1150" t="s">
        <v>16</v>
      </c>
      <c r="D1150">
        <v>1068</v>
      </c>
      <c r="E1150">
        <v>1</v>
      </c>
      <c r="F1150">
        <v>19.3</v>
      </c>
      <c r="G1150" t="s">
        <v>17</v>
      </c>
      <c r="H1150" t="s">
        <v>36</v>
      </c>
      <c r="I1150" t="str">
        <f t="shared" si="20"/>
        <v>1068_1</v>
      </c>
      <c r="J1150" t="s">
        <v>241</v>
      </c>
      <c r="K1150" t="s">
        <v>179</v>
      </c>
      <c r="L1150" t="str">
        <f>_xlfn.XLOOKUP(C1150, Table2[Species],Table2[Genus], "Code Not Found")</f>
        <v>Acer</v>
      </c>
      <c r="M1150" t="str">
        <f>_xlfn.XLOOKUP(C1150, Table2[Species],Table2[Sp. Name], "Code Not Found")</f>
        <v>saccharum</v>
      </c>
      <c r="N1150" t="str">
        <f>_xlfn.XLOOKUP(C1150,Table2[Species],Table2[Family],"Code Not Found")</f>
        <v>Sapindaceae</v>
      </c>
      <c r="O1150" t="str" cm="1">
        <f t="array" ref="O1150">_xlfn.IFS(F1150="","",F1150&lt;=5,"0 to 5",F1150&lt;=10,"5.1 to 10",F1150&lt;=20,"10 to 20", F1150&lt;= 40, "20 to 40", F1150 &lt;= 50, "40 to 50", F1150 &gt; 50, "&gt;50" )</f>
        <v>10 to 20</v>
      </c>
    </row>
    <row r="1151" spans="1:15" ht="14.4" x14ac:dyDescent="0.3">
      <c r="A1151" t="s">
        <v>240</v>
      </c>
      <c r="B1151" s="1">
        <v>46190</v>
      </c>
      <c r="C1151" t="s">
        <v>16</v>
      </c>
      <c r="D1151">
        <v>1069</v>
      </c>
      <c r="E1151">
        <v>1</v>
      </c>
      <c r="F1151">
        <v>7.7</v>
      </c>
      <c r="G1151" t="s">
        <v>47</v>
      </c>
      <c r="H1151" t="s">
        <v>43</v>
      </c>
      <c r="I1151" t="str">
        <f t="shared" si="20"/>
        <v>1069_1</v>
      </c>
      <c r="J1151" t="s">
        <v>241</v>
      </c>
      <c r="K1151" t="s">
        <v>179</v>
      </c>
      <c r="L1151" t="str">
        <f>_xlfn.XLOOKUP(C1151, Table2[Species],Table2[Genus], "Code Not Found")</f>
        <v>Acer</v>
      </c>
      <c r="M1151" t="str">
        <f>_xlfn.XLOOKUP(C1151, Table2[Species],Table2[Sp. Name], "Code Not Found")</f>
        <v>saccharum</v>
      </c>
      <c r="N1151" t="str">
        <f>_xlfn.XLOOKUP(C1151,Table2[Species],Table2[Family],"Code Not Found")</f>
        <v>Sapindaceae</v>
      </c>
      <c r="O1151" t="str" cm="1">
        <f t="array" ref="O1151">_xlfn.IFS(F1151="","",F1151&lt;=5,"0 to 5",F1151&lt;=10,"5.1 to 10",F1151&lt;=20,"10 to 20", F1151&lt;= 40, "20 to 40", F1151 &lt;= 50, "40 to 50", F1151 &gt; 50, "&gt;50" )</f>
        <v>5.1 to 10</v>
      </c>
    </row>
    <row r="1152" spans="1:15" ht="14.4" x14ac:dyDescent="0.3">
      <c r="A1152" t="s">
        <v>240</v>
      </c>
      <c r="B1152" s="1">
        <v>46190</v>
      </c>
      <c r="C1152" t="s">
        <v>16</v>
      </c>
      <c r="D1152">
        <v>1070</v>
      </c>
      <c r="E1152">
        <v>1</v>
      </c>
      <c r="F1152">
        <v>5.9</v>
      </c>
      <c r="G1152" t="s">
        <v>21</v>
      </c>
      <c r="I1152" t="str">
        <f t="shared" si="20"/>
        <v>1070_1</v>
      </c>
      <c r="J1152" t="s">
        <v>241</v>
      </c>
      <c r="K1152" t="s">
        <v>179</v>
      </c>
      <c r="L1152" t="str">
        <f>_xlfn.XLOOKUP(C1152, Table2[Species],Table2[Genus], "Code Not Found")</f>
        <v>Acer</v>
      </c>
      <c r="M1152" t="str">
        <f>_xlfn.XLOOKUP(C1152, Table2[Species],Table2[Sp. Name], "Code Not Found")</f>
        <v>saccharum</v>
      </c>
      <c r="N1152" t="str">
        <f>_xlfn.XLOOKUP(C1152,Table2[Species],Table2[Family],"Code Not Found")</f>
        <v>Sapindaceae</v>
      </c>
      <c r="O1152" t="str" cm="1">
        <f t="array" ref="O1152">_xlfn.IFS(F1152="","",F1152&lt;=5,"0 to 5",F1152&lt;=10,"5.1 to 10",F1152&lt;=20,"10 to 20", F1152&lt;= 40, "20 to 40", F1152 &lt;= 50, "40 to 50", F1152 &gt; 50, "&gt;50" )</f>
        <v>5.1 to 10</v>
      </c>
    </row>
    <row r="1153" spans="1:15" ht="14.4" x14ac:dyDescent="0.3">
      <c r="A1153" t="s">
        <v>240</v>
      </c>
      <c r="B1153" s="1">
        <v>46190</v>
      </c>
      <c r="C1153" t="s">
        <v>16</v>
      </c>
      <c r="D1153">
        <v>1071</v>
      </c>
      <c r="E1153">
        <v>1</v>
      </c>
      <c r="F1153">
        <v>1.6</v>
      </c>
      <c r="G1153" t="s">
        <v>265</v>
      </c>
      <c r="H1153" t="s">
        <v>266</v>
      </c>
      <c r="I1153" t="str">
        <f t="shared" si="20"/>
        <v>1071_1</v>
      </c>
      <c r="J1153" t="s">
        <v>241</v>
      </c>
      <c r="K1153" t="s">
        <v>179</v>
      </c>
      <c r="L1153" t="str">
        <f>_xlfn.XLOOKUP(C1153, Table2[Species],Table2[Genus], "Code Not Found")</f>
        <v>Acer</v>
      </c>
      <c r="M1153" t="str">
        <f>_xlfn.XLOOKUP(C1153, Table2[Species],Table2[Sp. Name], "Code Not Found")</f>
        <v>saccharum</v>
      </c>
      <c r="N1153" t="str">
        <f>_xlfn.XLOOKUP(C1153,Table2[Species],Table2[Family],"Code Not Found")</f>
        <v>Sapindaceae</v>
      </c>
      <c r="O1153" t="str" cm="1">
        <f t="array" ref="O1153">_xlfn.IFS(F1153="","",F1153&lt;=5,"0 to 5",F1153&lt;=10,"5.1 to 10",F1153&lt;=20,"10 to 20", F1153&lt;= 40, "20 to 40", F1153 &lt;= 50, "40 to 50", F1153 &gt; 50, "&gt;50" )</f>
        <v>0 to 5</v>
      </c>
    </row>
    <row r="1154" spans="1:15" ht="14.4" x14ac:dyDescent="0.3">
      <c r="A1154" t="s">
        <v>240</v>
      </c>
      <c r="B1154" s="1">
        <v>46190</v>
      </c>
      <c r="C1154" t="s">
        <v>16</v>
      </c>
      <c r="D1154">
        <v>1071</v>
      </c>
      <c r="E1154">
        <v>2</v>
      </c>
      <c r="F1154">
        <v>1.3</v>
      </c>
      <c r="G1154" t="s">
        <v>267</v>
      </c>
      <c r="H1154" t="s">
        <v>43</v>
      </c>
      <c r="I1154" t="str">
        <f t="shared" si="20"/>
        <v>1071_2</v>
      </c>
      <c r="J1154" t="s">
        <v>241</v>
      </c>
      <c r="K1154" t="s">
        <v>179</v>
      </c>
      <c r="L1154" t="str">
        <f>_xlfn.XLOOKUP(C1154, Table2[Species],Table2[Genus], "Code Not Found")</f>
        <v>Acer</v>
      </c>
      <c r="M1154" t="str">
        <f>_xlfn.XLOOKUP(C1154, Table2[Species],Table2[Sp. Name], "Code Not Found")</f>
        <v>saccharum</v>
      </c>
      <c r="N1154" t="str">
        <f>_xlfn.XLOOKUP(C1154,Table2[Species],Table2[Family],"Code Not Found")</f>
        <v>Sapindaceae</v>
      </c>
      <c r="O1154" t="str" cm="1">
        <f t="array" ref="O1154">_xlfn.IFS(F1154="","",F1154&lt;=5,"0 to 5",F1154&lt;=10,"5.1 to 10",F1154&lt;=20,"10 to 20", F1154&lt;= 40, "20 to 40", F1154 &lt;= 50, "40 to 50", F1154 &gt; 50, "&gt;50" )</f>
        <v>0 to 5</v>
      </c>
    </row>
    <row r="1155" spans="1:15" ht="14.4" x14ac:dyDescent="0.3">
      <c r="A1155" t="s">
        <v>240</v>
      </c>
      <c r="B1155" s="1">
        <v>46190</v>
      </c>
      <c r="C1155" t="s">
        <v>16</v>
      </c>
      <c r="D1155">
        <v>1072</v>
      </c>
      <c r="E1155">
        <v>1</v>
      </c>
      <c r="F1155">
        <v>15</v>
      </c>
      <c r="G1155" t="s">
        <v>94</v>
      </c>
      <c r="H1155" t="s">
        <v>262</v>
      </c>
      <c r="I1155" t="str">
        <f t="shared" si="20"/>
        <v>1072_1</v>
      </c>
      <c r="J1155" t="s">
        <v>241</v>
      </c>
      <c r="K1155" t="s">
        <v>179</v>
      </c>
      <c r="L1155" t="str">
        <f>_xlfn.XLOOKUP(C1155, Table2[Species],Table2[Genus], "Code Not Found")</f>
        <v>Acer</v>
      </c>
      <c r="M1155" t="str">
        <f>_xlfn.XLOOKUP(C1155, Table2[Species],Table2[Sp. Name], "Code Not Found")</f>
        <v>saccharum</v>
      </c>
      <c r="N1155" t="str">
        <f>_xlfn.XLOOKUP(C1155,Table2[Species],Table2[Family],"Code Not Found")</f>
        <v>Sapindaceae</v>
      </c>
      <c r="O1155" t="str" cm="1">
        <f t="array" ref="O1155">_xlfn.IFS(F1155="","",F1155&lt;=5,"0 to 5",F1155&lt;=10,"5.1 to 10",F1155&lt;=20,"10 to 20", F1155&lt;= 40, "20 to 40", F1155 &lt;= 50, "40 to 50", F1155 &gt; 50, "&gt;50" )</f>
        <v>10 to 20</v>
      </c>
    </row>
    <row r="1156" spans="1:15" ht="14.4" x14ac:dyDescent="0.3">
      <c r="A1156" t="s">
        <v>240</v>
      </c>
      <c r="B1156" s="1">
        <v>46190</v>
      </c>
      <c r="C1156" t="s">
        <v>16</v>
      </c>
      <c r="D1156">
        <v>1073</v>
      </c>
      <c r="E1156">
        <v>1</v>
      </c>
      <c r="F1156">
        <v>4</v>
      </c>
      <c r="G1156" t="s">
        <v>21</v>
      </c>
      <c r="I1156" t="str">
        <f t="shared" si="20"/>
        <v>1073_1</v>
      </c>
      <c r="J1156" t="s">
        <v>241</v>
      </c>
      <c r="K1156" t="s">
        <v>179</v>
      </c>
      <c r="L1156" t="str">
        <f>_xlfn.XLOOKUP(C1156, Table2[Species],Table2[Genus], "Code Not Found")</f>
        <v>Acer</v>
      </c>
      <c r="M1156" t="str">
        <f>_xlfn.XLOOKUP(C1156, Table2[Species],Table2[Sp. Name], "Code Not Found")</f>
        <v>saccharum</v>
      </c>
      <c r="N1156" t="str">
        <f>_xlfn.XLOOKUP(C1156,Table2[Species],Table2[Family],"Code Not Found")</f>
        <v>Sapindaceae</v>
      </c>
      <c r="O1156" t="str" cm="1">
        <f t="array" ref="O1156">_xlfn.IFS(F1156="","",F1156&lt;=5,"0 to 5",F1156&lt;=10,"5.1 to 10",F1156&lt;=20,"10 to 20", F1156&lt;= 40, "20 to 40", F1156 &lt;= 50, "40 to 50", F1156 &gt; 50, "&gt;50" )</f>
        <v>0 to 5</v>
      </c>
    </row>
    <row r="1157" spans="1:15" ht="14.4" x14ac:dyDescent="0.3">
      <c r="A1157" t="s">
        <v>240</v>
      </c>
      <c r="B1157" s="1">
        <v>46190</v>
      </c>
      <c r="C1157" t="s">
        <v>16</v>
      </c>
      <c r="D1157">
        <v>1074</v>
      </c>
      <c r="E1157">
        <v>1</v>
      </c>
      <c r="F1157">
        <v>9.8000000000000007</v>
      </c>
      <c r="G1157" t="s">
        <v>94</v>
      </c>
      <c r="H1157" t="s">
        <v>244</v>
      </c>
      <c r="I1157" t="str">
        <f t="shared" si="20"/>
        <v>1074_1</v>
      </c>
      <c r="J1157" t="s">
        <v>241</v>
      </c>
      <c r="K1157" t="s">
        <v>179</v>
      </c>
      <c r="L1157" t="str">
        <f>_xlfn.XLOOKUP(C1157, Table2[Species],Table2[Genus], "Code Not Found")</f>
        <v>Acer</v>
      </c>
      <c r="M1157" t="str">
        <f>_xlfn.XLOOKUP(C1157, Table2[Species],Table2[Sp. Name], "Code Not Found")</f>
        <v>saccharum</v>
      </c>
      <c r="N1157" t="str">
        <f>_xlfn.XLOOKUP(C1157,Table2[Species],Table2[Family],"Code Not Found")</f>
        <v>Sapindaceae</v>
      </c>
      <c r="O1157" t="str" cm="1">
        <f t="array" ref="O1157">_xlfn.IFS(F1157="","",F1157&lt;=5,"0 to 5",F1157&lt;=10,"5.1 to 10",F1157&lt;=20,"10 to 20", F1157&lt;= 40, "20 to 40", F1157 &lt;= 50, "40 to 50", F1157 &gt; 50, "&gt;50" )</f>
        <v>5.1 to 10</v>
      </c>
    </row>
    <row r="1158" spans="1:15" ht="14.4" x14ac:dyDescent="0.3">
      <c r="A1158" t="s">
        <v>240</v>
      </c>
      <c r="B1158" s="1">
        <v>46190</v>
      </c>
      <c r="C1158" t="s">
        <v>16</v>
      </c>
      <c r="D1158">
        <v>1075</v>
      </c>
      <c r="E1158">
        <v>1</v>
      </c>
      <c r="F1158">
        <v>3.3</v>
      </c>
      <c r="G1158" t="s">
        <v>17</v>
      </c>
      <c r="H1158" t="s">
        <v>36</v>
      </c>
      <c r="I1158" t="str">
        <f t="shared" si="20"/>
        <v>1075_1</v>
      </c>
      <c r="J1158" t="s">
        <v>241</v>
      </c>
      <c r="K1158" t="s">
        <v>179</v>
      </c>
      <c r="L1158" t="str">
        <f>_xlfn.XLOOKUP(C1158, Table2[Species],Table2[Genus], "Code Not Found")</f>
        <v>Acer</v>
      </c>
      <c r="M1158" t="str">
        <f>_xlfn.XLOOKUP(C1158, Table2[Species],Table2[Sp. Name], "Code Not Found")</f>
        <v>saccharum</v>
      </c>
      <c r="N1158" t="str">
        <f>_xlfn.XLOOKUP(C1158,Table2[Species],Table2[Family],"Code Not Found")</f>
        <v>Sapindaceae</v>
      </c>
      <c r="O1158" t="str" cm="1">
        <f t="array" ref="O1158">_xlfn.IFS(F1158="","",F1158&lt;=5,"0 to 5",F1158&lt;=10,"5.1 to 10",F1158&lt;=20,"10 to 20", F1158&lt;= 40, "20 to 40", F1158 &lt;= 50, "40 to 50", F1158 &gt; 50, "&gt;50" )</f>
        <v>0 to 5</v>
      </c>
    </row>
    <row r="1159" spans="1:15" ht="14.4" x14ac:dyDescent="0.3">
      <c r="A1159" t="s">
        <v>240</v>
      </c>
      <c r="B1159" s="1">
        <v>46190</v>
      </c>
      <c r="C1159" t="s">
        <v>16</v>
      </c>
      <c r="D1159">
        <v>1117</v>
      </c>
      <c r="E1159">
        <v>1</v>
      </c>
      <c r="F1159">
        <v>2</v>
      </c>
      <c r="G1159" t="s">
        <v>268</v>
      </c>
      <c r="I1159" t="str">
        <f t="shared" si="20"/>
        <v>1117_1</v>
      </c>
      <c r="J1159" t="s">
        <v>241</v>
      </c>
      <c r="K1159" t="s">
        <v>179</v>
      </c>
      <c r="L1159" t="str">
        <f>_xlfn.XLOOKUP(C1159, Table2[Species],Table2[Genus], "Code Not Found")</f>
        <v>Acer</v>
      </c>
      <c r="M1159" t="str">
        <f>_xlfn.XLOOKUP(C1159, Table2[Species],Table2[Sp. Name], "Code Not Found")</f>
        <v>saccharum</v>
      </c>
      <c r="N1159" t="str">
        <f>_xlfn.XLOOKUP(C1159,Table2[Species],Table2[Family],"Code Not Found")</f>
        <v>Sapindaceae</v>
      </c>
      <c r="O1159" t="str" cm="1">
        <f t="array" ref="O1159">_xlfn.IFS(F1159="","",F1159&lt;=5,"0 to 5",F1159&lt;=10,"5.1 to 10",F1159&lt;=20,"10 to 20", F1159&lt;= 40, "20 to 40", F1159 &lt;= 50, "40 to 50", F1159 &gt; 50, "&gt;50" )</f>
        <v>0 to 5</v>
      </c>
    </row>
    <row r="1160" spans="1:15" ht="14.4" x14ac:dyDescent="0.3">
      <c r="A1160" t="s">
        <v>240</v>
      </c>
      <c r="B1160" s="1">
        <v>46190</v>
      </c>
      <c r="C1160" t="s">
        <v>16</v>
      </c>
      <c r="D1160">
        <v>1117</v>
      </c>
      <c r="E1160">
        <v>2</v>
      </c>
      <c r="F1160">
        <v>1.6</v>
      </c>
      <c r="G1160" t="s">
        <v>268</v>
      </c>
      <c r="I1160" t="str">
        <f t="shared" si="20"/>
        <v>1117_2</v>
      </c>
      <c r="J1160" t="s">
        <v>241</v>
      </c>
      <c r="K1160" t="s">
        <v>179</v>
      </c>
      <c r="L1160" t="str">
        <f>_xlfn.XLOOKUP(C1160, Table2[Species],Table2[Genus], "Code Not Found")</f>
        <v>Acer</v>
      </c>
      <c r="M1160" t="str">
        <f>_xlfn.XLOOKUP(C1160, Table2[Species],Table2[Sp. Name], "Code Not Found")</f>
        <v>saccharum</v>
      </c>
      <c r="N1160" t="str">
        <f>_xlfn.XLOOKUP(C1160,Table2[Species],Table2[Family],"Code Not Found")</f>
        <v>Sapindaceae</v>
      </c>
      <c r="O1160" t="str" cm="1">
        <f t="array" ref="O1160">_xlfn.IFS(F1160="","",F1160&lt;=5,"0 to 5",F1160&lt;=10,"5.1 to 10",F1160&lt;=20,"10 to 20", F1160&lt;= 40, "20 to 40", F1160 &lt;= 50, "40 to 50", F1160 &gt; 50, "&gt;50" )</f>
        <v>0 to 5</v>
      </c>
    </row>
    <row r="1161" spans="1:15" ht="14.4" x14ac:dyDescent="0.3">
      <c r="A1161" t="s">
        <v>240</v>
      </c>
      <c r="B1161" s="1">
        <v>46190</v>
      </c>
      <c r="C1161" t="s">
        <v>16</v>
      </c>
      <c r="D1161">
        <v>1076</v>
      </c>
      <c r="E1161">
        <v>1</v>
      </c>
      <c r="F1161">
        <v>10.6</v>
      </c>
      <c r="G1161" t="s">
        <v>30</v>
      </c>
      <c r="H1161" t="s">
        <v>269</v>
      </c>
      <c r="I1161" t="str">
        <f t="shared" si="20"/>
        <v>1076_1</v>
      </c>
      <c r="J1161" t="s">
        <v>241</v>
      </c>
      <c r="K1161" t="s">
        <v>179</v>
      </c>
      <c r="L1161" t="str">
        <f>_xlfn.XLOOKUP(C1161, Table2[Species],Table2[Genus], "Code Not Found")</f>
        <v>Acer</v>
      </c>
      <c r="M1161" t="str">
        <f>_xlfn.XLOOKUP(C1161, Table2[Species],Table2[Sp. Name], "Code Not Found")</f>
        <v>saccharum</v>
      </c>
      <c r="N1161" t="str">
        <f>_xlfn.XLOOKUP(C1161,Table2[Species],Table2[Family],"Code Not Found")</f>
        <v>Sapindaceae</v>
      </c>
      <c r="O1161" t="str" cm="1">
        <f t="array" ref="O1161">_xlfn.IFS(F1161="","",F1161&lt;=5,"0 to 5",F1161&lt;=10,"5.1 to 10",F1161&lt;=20,"10 to 20", F1161&lt;= 40, "20 to 40", F1161 &lt;= 50, "40 to 50", F1161 &gt; 50, "&gt;50" )</f>
        <v>10 to 20</v>
      </c>
    </row>
    <row r="1162" spans="1:15" ht="14.4" x14ac:dyDescent="0.3">
      <c r="A1162" t="s">
        <v>240</v>
      </c>
      <c r="B1162" s="1">
        <v>46190</v>
      </c>
      <c r="C1162" t="s">
        <v>16</v>
      </c>
      <c r="D1162">
        <v>1077</v>
      </c>
      <c r="E1162">
        <v>1</v>
      </c>
      <c r="F1162">
        <v>9.4</v>
      </c>
      <c r="G1162" t="s">
        <v>21</v>
      </c>
      <c r="I1162" t="str">
        <f t="shared" si="20"/>
        <v>1077_1</v>
      </c>
      <c r="J1162" t="s">
        <v>241</v>
      </c>
      <c r="K1162" t="s">
        <v>179</v>
      </c>
      <c r="L1162" t="str">
        <f>_xlfn.XLOOKUP(C1162, Table2[Species],Table2[Genus], "Code Not Found")</f>
        <v>Acer</v>
      </c>
      <c r="M1162" t="str">
        <f>_xlfn.XLOOKUP(C1162, Table2[Species],Table2[Sp. Name], "Code Not Found")</f>
        <v>saccharum</v>
      </c>
      <c r="N1162" t="str">
        <f>_xlfn.XLOOKUP(C1162,Table2[Species],Table2[Family],"Code Not Found")</f>
        <v>Sapindaceae</v>
      </c>
      <c r="O1162" t="str" cm="1">
        <f t="array" ref="O1162">_xlfn.IFS(F1162="","",F1162&lt;=5,"0 to 5",F1162&lt;=10,"5.1 to 10",F1162&lt;=20,"10 to 20", F1162&lt;= 40, "20 to 40", F1162 &lt;= 50, "40 to 50", F1162 &gt; 50, "&gt;50" )</f>
        <v>5.1 to 10</v>
      </c>
    </row>
    <row r="1163" spans="1:15" ht="14.4" x14ac:dyDescent="0.3">
      <c r="A1163" t="s">
        <v>240</v>
      </c>
      <c r="B1163" s="1">
        <v>46190</v>
      </c>
      <c r="C1163" t="s">
        <v>16</v>
      </c>
      <c r="D1163">
        <v>1078</v>
      </c>
      <c r="E1163">
        <v>1</v>
      </c>
      <c r="F1163">
        <v>13.1</v>
      </c>
      <c r="G1163" t="s">
        <v>17</v>
      </c>
      <c r="H1163" t="s">
        <v>36</v>
      </c>
      <c r="I1163" t="str">
        <f t="shared" si="20"/>
        <v>1078_1</v>
      </c>
      <c r="J1163" t="s">
        <v>241</v>
      </c>
      <c r="K1163" t="s">
        <v>179</v>
      </c>
      <c r="L1163" t="str">
        <f>_xlfn.XLOOKUP(C1163, Table2[Species],Table2[Genus], "Code Not Found")</f>
        <v>Acer</v>
      </c>
      <c r="M1163" t="str">
        <f>_xlfn.XLOOKUP(C1163, Table2[Species],Table2[Sp. Name], "Code Not Found")</f>
        <v>saccharum</v>
      </c>
      <c r="N1163" t="str">
        <f>_xlfn.XLOOKUP(C1163,Table2[Species],Table2[Family],"Code Not Found")</f>
        <v>Sapindaceae</v>
      </c>
      <c r="O1163" t="str" cm="1">
        <f t="array" ref="O1163">_xlfn.IFS(F1163="","",F1163&lt;=5,"0 to 5",F1163&lt;=10,"5.1 to 10",F1163&lt;=20,"10 to 20", F1163&lt;= 40, "20 to 40", F1163 &lt;= 50, "40 to 50", F1163 &gt; 50, "&gt;50" )</f>
        <v>10 to 20</v>
      </c>
    </row>
    <row r="1164" spans="1:15" ht="14.4" x14ac:dyDescent="0.3">
      <c r="A1164" t="s">
        <v>240</v>
      </c>
      <c r="B1164" s="1">
        <v>46190</v>
      </c>
      <c r="C1164" t="s">
        <v>16</v>
      </c>
      <c r="D1164">
        <v>1079</v>
      </c>
      <c r="E1164">
        <v>1</v>
      </c>
      <c r="F1164">
        <v>26.3</v>
      </c>
      <c r="G1164" t="s">
        <v>21</v>
      </c>
      <c r="I1164" t="str">
        <f t="shared" si="20"/>
        <v>1079_1</v>
      </c>
      <c r="J1164" t="s">
        <v>241</v>
      </c>
      <c r="K1164" t="s">
        <v>179</v>
      </c>
      <c r="L1164" t="str">
        <f>_xlfn.XLOOKUP(C1164, Table2[Species],Table2[Genus], "Code Not Found")</f>
        <v>Acer</v>
      </c>
      <c r="M1164" t="str">
        <f>_xlfn.XLOOKUP(C1164, Table2[Species],Table2[Sp. Name], "Code Not Found")</f>
        <v>saccharum</v>
      </c>
      <c r="N1164" t="str">
        <f>_xlfn.XLOOKUP(C1164,Table2[Species],Table2[Family],"Code Not Found")</f>
        <v>Sapindaceae</v>
      </c>
      <c r="O1164" t="str" cm="1">
        <f t="array" ref="O1164">_xlfn.IFS(F1164="","",F1164&lt;=5,"0 to 5",F1164&lt;=10,"5.1 to 10",F1164&lt;=20,"10 to 20", F1164&lt;= 40, "20 to 40", F1164 &lt;= 50, "40 to 50", F1164 &gt; 50, "&gt;50" )</f>
        <v>20 to 40</v>
      </c>
    </row>
    <row r="1165" spans="1:15" ht="14.4" x14ac:dyDescent="0.3">
      <c r="A1165" t="s">
        <v>240</v>
      </c>
      <c r="B1165" s="1">
        <v>46190</v>
      </c>
      <c r="C1165" t="s">
        <v>16</v>
      </c>
      <c r="D1165">
        <v>1080</v>
      </c>
      <c r="E1165">
        <v>1</v>
      </c>
      <c r="F1165">
        <v>3.1</v>
      </c>
      <c r="G1165" t="s">
        <v>17</v>
      </c>
      <c r="I1165" t="str">
        <f t="shared" si="20"/>
        <v>1080_1</v>
      </c>
      <c r="J1165" t="s">
        <v>241</v>
      </c>
      <c r="K1165" t="s">
        <v>179</v>
      </c>
      <c r="L1165" t="str">
        <f>_xlfn.XLOOKUP(C1165, Table2[Species],Table2[Genus], "Code Not Found")</f>
        <v>Acer</v>
      </c>
      <c r="M1165" t="str">
        <f>_xlfn.XLOOKUP(C1165, Table2[Species],Table2[Sp. Name], "Code Not Found")</f>
        <v>saccharum</v>
      </c>
      <c r="N1165" t="str">
        <f>_xlfn.XLOOKUP(C1165,Table2[Species],Table2[Family],"Code Not Found")</f>
        <v>Sapindaceae</v>
      </c>
      <c r="O1165" t="str" cm="1">
        <f t="array" ref="O1165">_xlfn.IFS(F1165="","",F1165&lt;=5,"0 to 5",F1165&lt;=10,"5.1 to 10",F1165&lt;=20,"10 to 20", F1165&lt;= 40, "20 to 40", F1165 &lt;= 50, "40 to 50", F1165 &gt; 50, "&gt;50" )</f>
        <v>0 to 5</v>
      </c>
    </row>
    <row r="1166" spans="1:15" ht="14.4" x14ac:dyDescent="0.3">
      <c r="A1166" t="s">
        <v>240</v>
      </c>
      <c r="B1166" s="1">
        <v>46190</v>
      </c>
      <c r="C1166" t="s">
        <v>180</v>
      </c>
      <c r="D1166">
        <v>1081</v>
      </c>
      <c r="E1166">
        <v>1</v>
      </c>
      <c r="F1166">
        <v>88.7</v>
      </c>
      <c r="G1166" t="s">
        <v>30</v>
      </c>
      <c r="H1166" t="s">
        <v>270</v>
      </c>
      <c r="I1166" t="str">
        <f t="shared" si="20"/>
        <v>1081_1</v>
      </c>
      <c r="J1166" t="s">
        <v>241</v>
      </c>
      <c r="K1166" t="s">
        <v>179</v>
      </c>
      <c r="L1166" t="str">
        <f>_xlfn.XLOOKUP(C1166, Table2[Species],Table2[Genus], "Code Not Found")</f>
        <v>Tilia</v>
      </c>
      <c r="M1166" t="str">
        <f>_xlfn.XLOOKUP(C1166, Table2[Species],Table2[Sp. Name], "Code Not Found")</f>
        <v>americana</v>
      </c>
      <c r="N1166" t="str">
        <f>_xlfn.XLOOKUP(C1166,Table2[Species],Table2[Family],"Code Not Found")</f>
        <v>Malvaceae</v>
      </c>
      <c r="O1166" t="str" cm="1">
        <f t="array" ref="O1166">_xlfn.IFS(F1166="","",F1166&lt;=5,"0 to 5",F1166&lt;=10,"5.1 to 10",F1166&lt;=20,"10 to 20", F1166&lt;= 40, "20 to 40", F1166 &lt;= 50, "40 to 50", F1166 &gt; 50, "&gt;50" )</f>
        <v>&gt;50</v>
      </c>
    </row>
    <row r="1167" spans="1:15" ht="14.4" x14ac:dyDescent="0.3">
      <c r="A1167" t="s">
        <v>240</v>
      </c>
      <c r="B1167" s="1">
        <v>46190</v>
      </c>
      <c r="C1167" t="s">
        <v>16</v>
      </c>
      <c r="D1167">
        <v>1082</v>
      </c>
      <c r="E1167">
        <v>1</v>
      </c>
      <c r="F1167">
        <v>3.8</v>
      </c>
      <c r="G1167" t="s">
        <v>30</v>
      </c>
      <c r="H1167" t="s">
        <v>99</v>
      </c>
      <c r="I1167" t="str">
        <f t="shared" si="20"/>
        <v>1082_1</v>
      </c>
      <c r="J1167" t="s">
        <v>241</v>
      </c>
      <c r="K1167" t="s">
        <v>179</v>
      </c>
      <c r="L1167" t="str">
        <f>_xlfn.XLOOKUP(C1167, Table2[Species],Table2[Genus], "Code Not Found")</f>
        <v>Acer</v>
      </c>
      <c r="M1167" t="str">
        <f>_xlfn.XLOOKUP(C1167, Table2[Species],Table2[Sp. Name], "Code Not Found")</f>
        <v>saccharum</v>
      </c>
      <c r="N1167" t="str">
        <f>_xlfn.XLOOKUP(C1167,Table2[Species],Table2[Family],"Code Not Found")</f>
        <v>Sapindaceae</v>
      </c>
      <c r="O1167" t="str" cm="1">
        <f t="array" ref="O1167">_xlfn.IFS(F1167="","",F1167&lt;=5,"0 to 5",F1167&lt;=10,"5.1 to 10",F1167&lt;=20,"10 to 20", F1167&lt;= 40, "20 to 40", F1167 &lt;= 50, "40 to 50", F1167 &gt; 50, "&gt;50" )</f>
        <v>0 to 5</v>
      </c>
    </row>
    <row r="1168" spans="1:15" ht="14.4" x14ac:dyDescent="0.3">
      <c r="A1168" t="s">
        <v>240</v>
      </c>
      <c r="B1168" s="1">
        <v>46190</v>
      </c>
      <c r="C1168" t="s">
        <v>16</v>
      </c>
      <c r="D1168">
        <v>1083</v>
      </c>
      <c r="E1168">
        <v>1</v>
      </c>
      <c r="F1168">
        <v>23.7</v>
      </c>
      <c r="G1168" t="s">
        <v>32</v>
      </c>
      <c r="I1168" t="str">
        <f t="shared" si="20"/>
        <v>1083_1</v>
      </c>
      <c r="J1168" t="s">
        <v>241</v>
      </c>
      <c r="K1168" t="s">
        <v>179</v>
      </c>
      <c r="L1168" t="str">
        <f>_xlfn.XLOOKUP(C1168, Table2[Species],Table2[Genus], "Code Not Found")</f>
        <v>Acer</v>
      </c>
      <c r="M1168" t="str">
        <f>_xlfn.XLOOKUP(C1168, Table2[Species],Table2[Sp. Name], "Code Not Found")</f>
        <v>saccharum</v>
      </c>
      <c r="N1168" t="str">
        <f>_xlfn.XLOOKUP(C1168,Table2[Species],Table2[Family],"Code Not Found")</f>
        <v>Sapindaceae</v>
      </c>
      <c r="O1168" t="str" cm="1">
        <f t="array" ref="O1168">_xlfn.IFS(F1168="","",F1168&lt;=5,"0 to 5",F1168&lt;=10,"5.1 to 10",F1168&lt;=20,"10 to 20", F1168&lt;= 40, "20 to 40", F1168 &lt;= 50, "40 to 50", F1168 &gt; 50, "&gt;50" )</f>
        <v>20 to 40</v>
      </c>
    </row>
    <row r="1169" spans="1:15" ht="14.4" x14ac:dyDescent="0.3">
      <c r="A1169" t="s">
        <v>240</v>
      </c>
      <c r="B1169" s="1">
        <v>46190</v>
      </c>
      <c r="C1169" t="s">
        <v>16</v>
      </c>
      <c r="D1169">
        <v>1083</v>
      </c>
      <c r="E1169">
        <v>2</v>
      </c>
      <c r="F1169">
        <v>2.6</v>
      </c>
      <c r="G1169" t="s">
        <v>32</v>
      </c>
      <c r="H1169" t="s">
        <v>271</v>
      </c>
      <c r="I1169" t="str">
        <f t="shared" si="20"/>
        <v>1083_2</v>
      </c>
      <c r="J1169" t="s">
        <v>241</v>
      </c>
      <c r="K1169" t="s">
        <v>179</v>
      </c>
      <c r="L1169" t="str">
        <f>_xlfn.XLOOKUP(C1169, Table2[Species],Table2[Genus], "Code Not Found")</f>
        <v>Acer</v>
      </c>
      <c r="M1169" t="str">
        <f>_xlfn.XLOOKUP(C1169, Table2[Species],Table2[Sp. Name], "Code Not Found")</f>
        <v>saccharum</v>
      </c>
      <c r="N1169" t="str">
        <f>_xlfn.XLOOKUP(C1169,Table2[Species],Table2[Family],"Code Not Found")</f>
        <v>Sapindaceae</v>
      </c>
      <c r="O1169" t="str" cm="1">
        <f t="array" ref="O1169">_xlfn.IFS(F1169="","",F1169&lt;=5,"0 to 5",F1169&lt;=10,"5.1 to 10",F1169&lt;=20,"10 to 20", F1169&lt;= 40, "20 to 40", F1169 &lt;= 50, "40 to 50", F1169 &gt; 50, "&gt;50" )</f>
        <v>0 to 5</v>
      </c>
    </row>
    <row r="1170" spans="1:15" ht="14.4" x14ac:dyDescent="0.3">
      <c r="A1170" t="s">
        <v>240</v>
      </c>
      <c r="B1170" s="1">
        <v>46190</v>
      </c>
      <c r="C1170" t="s">
        <v>55</v>
      </c>
      <c r="D1170">
        <v>1084</v>
      </c>
      <c r="E1170">
        <v>1</v>
      </c>
      <c r="F1170">
        <v>2.5</v>
      </c>
      <c r="G1170" t="s">
        <v>21</v>
      </c>
      <c r="H1170" t="s">
        <v>272</v>
      </c>
      <c r="I1170" t="str">
        <f t="shared" si="20"/>
        <v>1084_1</v>
      </c>
      <c r="J1170" t="s">
        <v>241</v>
      </c>
      <c r="K1170" t="s">
        <v>179</v>
      </c>
      <c r="L1170" t="str">
        <f>_xlfn.XLOOKUP(C1170, Table2[Species],Table2[Genus], "Code Not Found")</f>
        <v>Magnolia</v>
      </c>
      <c r="M1170" t="str">
        <f>_xlfn.XLOOKUP(C1170, Table2[Species],Table2[Sp. Name], "Code Not Found")</f>
        <v>acuminata</v>
      </c>
      <c r="N1170" t="str">
        <f>_xlfn.XLOOKUP(C1170,Table2[Species],Table2[Family],"Code Not Found")</f>
        <v>Magnoliaceae</v>
      </c>
      <c r="O1170" t="str" cm="1">
        <f t="array" ref="O1170">_xlfn.IFS(F1170="","",F1170&lt;=5,"0 to 5",F1170&lt;=10,"5.1 to 10",F1170&lt;=20,"10 to 20", F1170&lt;= 40, "20 to 40", F1170 &lt;= 50, "40 to 50", F1170 &gt; 50, "&gt;50" )</f>
        <v>0 to 5</v>
      </c>
    </row>
    <row r="1171" spans="1:15" ht="14.4" x14ac:dyDescent="0.3">
      <c r="A1171" t="s">
        <v>240</v>
      </c>
      <c r="B1171" s="1">
        <v>46190</v>
      </c>
      <c r="C1171" t="s">
        <v>55</v>
      </c>
      <c r="D1171">
        <v>1085</v>
      </c>
      <c r="E1171">
        <v>1</v>
      </c>
      <c r="F1171">
        <v>1.5</v>
      </c>
      <c r="G1171" t="s">
        <v>138</v>
      </c>
      <c r="I1171" t="str">
        <f t="shared" si="20"/>
        <v>1085_1</v>
      </c>
      <c r="J1171" t="s">
        <v>241</v>
      </c>
      <c r="K1171" t="s">
        <v>179</v>
      </c>
      <c r="L1171" t="str">
        <f>_xlfn.XLOOKUP(C1171, Table2[Species],Table2[Genus], "Code Not Found")</f>
        <v>Magnolia</v>
      </c>
      <c r="M1171" t="str">
        <f>_xlfn.XLOOKUP(C1171, Table2[Species],Table2[Sp. Name], "Code Not Found")</f>
        <v>acuminata</v>
      </c>
      <c r="N1171" t="str">
        <f>_xlfn.XLOOKUP(C1171,Table2[Species],Table2[Family],"Code Not Found")</f>
        <v>Magnoliaceae</v>
      </c>
      <c r="O1171" t="str" cm="1">
        <f t="array" ref="O1171">_xlfn.IFS(F1171="","",F1171&lt;=5,"0 to 5",F1171&lt;=10,"5.1 to 10",F1171&lt;=20,"10 to 20", F1171&lt;= 40, "20 to 40", F1171 &lt;= 50, "40 to 50", F1171 &gt; 50, "&gt;50" )</f>
        <v>0 to 5</v>
      </c>
    </row>
    <row r="1172" spans="1:15" ht="14.4" x14ac:dyDescent="0.3">
      <c r="A1172" t="s">
        <v>240</v>
      </c>
      <c r="B1172" s="1">
        <v>46190</v>
      </c>
      <c r="C1172" t="s">
        <v>16</v>
      </c>
      <c r="D1172">
        <v>1086</v>
      </c>
      <c r="E1172">
        <v>1</v>
      </c>
      <c r="F1172">
        <v>2.6</v>
      </c>
      <c r="G1172" t="s">
        <v>21</v>
      </c>
      <c r="I1172" t="str">
        <f t="shared" si="20"/>
        <v>1086_1</v>
      </c>
      <c r="J1172" t="s">
        <v>241</v>
      </c>
      <c r="K1172" t="s">
        <v>179</v>
      </c>
      <c r="L1172" t="str">
        <f>_xlfn.XLOOKUP(C1172, Table2[Species],Table2[Genus], "Code Not Found")</f>
        <v>Acer</v>
      </c>
      <c r="M1172" t="str">
        <f>_xlfn.XLOOKUP(C1172, Table2[Species],Table2[Sp. Name], "Code Not Found")</f>
        <v>saccharum</v>
      </c>
      <c r="N1172" t="str">
        <f>_xlfn.XLOOKUP(C1172,Table2[Species],Table2[Family],"Code Not Found")</f>
        <v>Sapindaceae</v>
      </c>
      <c r="O1172" t="str" cm="1">
        <f t="array" ref="O1172">_xlfn.IFS(F1172="","",F1172&lt;=5,"0 to 5",F1172&lt;=10,"5.1 to 10",F1172&lt;=20,"10 to 20", F1172&lt;= 40, "20 to 40", F1172 &lt;= 50, "40 to 50", F1172 &gt; 50, "&gt;50" )</f>
        <v>0 to 5</v>
      </c>
    </row>
    <row r="1173" spans="1:15" ht="14.4" x14ac:dyDescent="0.3">
      <c r="A1173" t="s">
        <v>240</v>
      </c>
      <c r="B1173" s="1">
        <v>46190</v>
      </c>
      <c r="C1173" t="s">
        <v>64</v>
      </c>
      <c r="D1173">
        <v>1087</v>
      </c>
      <c r="E1173">
        <v>1</v>
      </c>
      <c r="F1173">
        <v>24.5</v>
      </c>
      <c r="G1173" t="s">
        <v>32</v>
      </c>
      <c r="H1173" t="s">
        <v>273</v>
      </c>
      <c r="I1173" t="str">
        <f t="shared" si="20"/>
        <v>1087_1</v>
      </c>
      <c r="J1173" t="s">
        <v>241</v>
      </c>
      <c r="K1173" t="s">
        <v>179</v>
      </c>
      <c r="L1173" t="str">
        <f>_xlfn.XLOOKUP(C1173, Table2[Species],Table2[Genus], "Code Not Found")</f>
        <v>Fagus</v>
      </c>
      <c r="M1173" t="str">
        <f>_xlfn.XLOOKUP(C1173, Table2[Species],Table2[Sp. Name], "Code Not Found")</f>
        <v>grandifolia</v>
      </c>
      <c r="N1173" t="str">
        <f>_xlfn.XLOOKUP(C1173,Table2[Species],Table2[Family],"Code Not Found")</f>
        <v>Fagaceae</v>
      </c>
      <c r="O1173" t="str" cm="1">
        <f t="array" ref="O1173">_xlfn.IFS(F1173="","",F1173&lt;=5,"0 to 5",F1173&lt;=10,"5.1 to 10",F1173&lt;=20,"10 to 20", F1173&lt;= 40, "20 to 40", F1173 &lt;= 50, "40 to 50", F1173 &gt; 50, "&gt;50" )</f>
        <v>20 to 40</v>
      </c>
    </row>
    <row r="1174" spans="1:15" ht="14.4" x14ac:dyDescent="0.3">
      <c r="A1174" t="s">
        <v>240</v>
      </c>
      <c r="B1174" s="1">
        <v>46190</v>
      </c>
      <c r="C1174" t="s">
        <v>64</v>
      </c>
      <c r="D1174">
        <v>1087</v>
      </c>
      <c r="E1174">
        <v>2.1</v>
      </c>
      <c r="F1174">
        <v>1.4</v>
      </c>
      <c r="G1174" t="s">
        <v>32</v>
      </c>
      <c r="I1174" t="str">
        <f t="shared" si="20"/>
        <v>1087_2.1</v>
      </c>
      <c r="J1174" t="s">
        <v>241</v>
      </c>
      <c r="K1174" t="s">
        <v>179</v>
      </c>
      <c r="L1174" t="str">
        <f>_xlfn.XLOOKUP(C1174, Table2[Species],Table2[Genus], "Code Not Found")</f>
        <v>Fagus</v>
      </c>
      <c r="M1174" t="str">
        <f>_xlfn.XLOOKUP(C1174, Table2[Species],Table2[Sp. Name], "Code Not Found")</f>
        <v>grandifolia</v>
      </c>
      <c r="N1174" t="str">
        <f>_xlfn.XLOOKUP(C1174,Table2[Species],Table2[Family],"Code Not Found")</f>
        <v>Fagaceae</v>
      </c>
      <c r="O1174" t="str" cm="1">
        <f t="array" ref="O1174">_xlfn.IFS(F1174="","",F1174&lt;=5,"0 to 5",F1174&lt;=10,"5.1 to 10",F1174&lt;=20,"10 to 20", F1174&lt;= 40, "20 to 40", F1174 &lt;= 50, "40 to 50", F1174 &gt; 50, "&gt;50" )</f>
        <v>0 to 5</v>
      </c>
    </row>
    <row r="1175" spans="1:15" ht="14.4" x14ac:dyDescent="0.3">
      <c r="A1175" t="s">
        <v>240</v>
      </c>
      <c r="B1175" s="1">
        <v>46190</v>
      </c>
      <c r="C1175" t="s">
        <v>64</v>
      </c>
      <c r="D1175">
        <v>1087</v>
      </c>
      <c r="E1175">
        <v>2.2000000000000002</v>
      </c>
      <c r="F1175">
        <v>1.2</v>
      </c>
      <c r="G1175" t="s">
        <v>32</v>
      </c>
      <c r="I1175" t="str">
        <f t="shared" si="20"/>
        <v>1087_2.2</v>
      </c>
      <c r="J1175" t="s">
        <v>241</v>
      </c>
      <c r="K1175" t="s">
        <v>179</v>
      </c>
      <c r="L1175" t="str">
        <f>_xlfn.XLOOKUP(C1175, Table2[Species],Table2[Genus], "Code Not Found")</f>
        <v>Fagus</v>
      </c>
      <c r="M1175" t="str">
        <f>_xlfn.XLOOKUP(C1175, Table2[Species],Table2[Sp. Name], "Code Not Found")</f>
        <v>grandifolia</v>
      </c>
      <c r="N1175" t="str">
        <f>_xlfn.XLOOKUP(C1175,Table2[Species],Table2[Family],"Code Not Found")</f>
        <v>Fagaceae</v>
      </c>
      <c r="O1175" t="str" cm="1">
        <f t="array" ref="O1175">_xlfn.IFS(F1175="","",F1175&lt;=5,"0 to 5",F1175&lt;=10,"5.1 to 10",F1175&lt;=20,"10 to 20", F1175&lt;= 40, "20 to 40", F1175 &lt;= 50, "40 to 50", F1175 &gt; 50, "&gt;50" )</f>
        <v>0 to 5</v>
      </c>
    </row>
    <row r="1176" spans="1:15" ht="14.4" x14ac:dyDescent="0.3">
      <c r="A1176" t="s">
        <v>240</v>
      </c>
      <c r="B1176" s="1">
        <v>46190</v>
      </c>
      <c r="C1176" t="s">
        <v>64</v>
      </c>
      <c r="D1176">
        <v>1087</v>
      </c>
      <c r="E1176">
        <v>3.1</v>
      </c>
      <c r="F1176">
        <v>2</v>
      </c>
      <c r="G1176" t="s">
        <v>32</v>
      </c>
      <c r="I1176" t="str">
        <f t="shared" si="20"/>
        <v>1087_3.1</v>
      </c>
      <c r="J1176" t="s">
        <v>241</v>
      </c>
      <c r="K1176" t="s">
        <v>179</v>
      </c>
      <c r="L1176" t="str">
        <f>_xlfn.XLOOKUP(C1176, Table2[Species],Table2[Genus], "Code Not Found")</f>
        <v>Fagus</v>
      </c>
      <c r="M1176" t="str">
        <f>_xlfn.XLOOKUP(C1176, Table2[Species],Table2[Sp. Name], "Code Not Found")</f>
        <v>grandifolia</v>
      </c>
      <c r="N1176" t="str">
        <f>_xlfn.XLOOKUP(C1176,Table2[Species],Table2[Family],"Code Not Found")</f>
        <v>Fagaceae</v>
      </c>
      <c r="O1176" t="str" cm="1">
        <f t="array" ref="O1176">_xlfn.IFS(F1176="","",F1176&lt;=5,"0 to 5",F1176&lt;=10,"5.1 to 10",F1176&lt;=20,"10 to 20", F1176&lt;= 40, "20 to 40", F1176 &lt;= 50, "40 to 50", F1176 &gt; 50, "&gt;50" )</f>
        <v>0 to 5</v>
      </c>
    </row>
    <row r="1177" spans="1:15" ht="14.4" x14ac:dyDescent="0.3">
      <c r="A1177" t="s">
        <v>240</v>
      </c>
      <c r="B1177" s="1">
        <v>46190</v>
      </c>
      <c r="C1177" t="s">
        <v>64</v>
      </c>
      <c r="D1177">
        <v>1087</v>
      </c>
      <c r="E1177">
        <v>3.2</v>
      </c>
      <c r="F1177">
        <v>2</v>
      </c>
      <c r="G1177" t="s">
        <v>32</v>
      </c>
      <c r="I1177" t="str">
        <f t="shared" si="20"/>
        <v>1087_3.2</v>
      </c>
      <c r="J1177" t="s">
        <v>241</v>
      </c>
      <c r="K1177" t="s">
        <v>179</v>
      </c>
      <c r="L1177" t="str">
        <f>_xlfn.XLOOKUP(C1177, Table2[Species],Table2[Genus], "Code Not Found")</f>
        <v>Fagus</v>
      </c>
      <c r="M1177" t="str">
        <f>_xlfn.XLOOKUP(C1177, Table2[Species],Table2[Sp. Name], "Code Not Found")</f>
        <v>grandifolia</v>
      </c>
      <c r="N1177" t="str">
        <f>_xlfn.XLOOKUP(C1177,Table2[Species],Table2[Family],"Code Not Found")</f>
        <v>Fagaceae</v>
      </c>
      <c r="O1177" t="str" cm="1">
        <f t="array" ref="O1177">_xlfn.IFS(F1177="","",F1177&lt;=5,"0 to 5",F1177&lt;=10,"5.1 to 10",F1177&lt;=20,"10 to 20", F1177&lt;= 40, "20 to 40", F1177 &lt;= 50, "40 to 50", F1177 &gt; 50, "&gt;50" )</f>
        <v>0 to 5</v>
      </c>
    </row>
    <row r="1178" spans="1:15" ht="14.4" x14ac:dyDescent="0.3">
      <c r="A1178" t="s">
        <v>240</v>
      </c>
      <c r="B1178" s="1">
        <v>46190</v>
      </c>
      <c r="C1178" t="s">
        <v>64</v>
      </c>
      <c r="D1178">
        <v>1087</v>
      </c>
      <c r="E1178">
        <v>3.3</v>
      </c>
      <c r="F1178">
        <v>1.4</v>
      </c>
      <c r="G1178" t="s">
        <v>32</v>
      </c>
      <c r="I1178" t="str">
        <f t="shared" si="20"/>
        <v>1087_3.3</v>
      </c>
      <c r="J1178" t="s">
        <v>241</v>
      </c>
      <c r="K1178" t="s">
        <v>179</v>
      </c>
      <c r="L1178" t="str">
        <f>_xlfn.XLOOKUP(C1178, Table2[Species],Table2[Genus], "Code Not Found")</f>
        <v>Fagus</v>
      </c>
      <c r="M1178" t="str">
        <f>_xlfn.XLOOKUP(C1178, Table2[Species],Table2[Sp. Name], "Code Not Found")</f>
        <v>grandifolia</v>
      </c>
      <c r="N1178" t="str">
        <f>_xlfn.XLOOKUP(C1178,Table2[Species],Table2[Family],"Code Not Found")</f>
        <v>Fagaceae</v>
      </c>
      <c r="O1178" t="str" cm="1">
        <f t="array" ref="O1178">_xlfn.IFS(F1178="","",F1178&lt;=5,"0 to 5",F1178&lt;=10,"5.1 to 10",F1178&lt;=20,"10 to 20", F1178&lt;= 40, "20 to 40", F1178 &lt;= 50, "40 to 50", F1178 &gt; 50, "&gt;50" )</f>
        <v>0 to 5</v>
      </c>
    </row>
    <row r="1179" spans="1:15" ht="14.4" x14ac:dyDescent="0.3">
      <c r="A1179" t="s">
        <v>240</v>
      </c>
      <c r="B1179" s="1">
        <v>46190</v>
      </c>
      <c r="C1179" t="s">
        <v>64</v>
      </c>
      <c r="D1179">
        <v>1087</v>
      </c>
      <c r="E1179">
        <v>4</v>
      </c>
      <c r="F1179">
        <v>1.3</v>
      </c>
      <c r="G1179" t="s">
        <v>32</v>
      </c>
      <c r="I1179" t="str">
        <f t="shared" si="20"/>
        <v>1087_4</v>
      </c>
      <c r="J1179" t="s">
        <v>241</v>
      </c>
      <c r="K1179" t="s">
        <v>179</v>
      </c>
      <c r="L1179" t="str">
        <f>_xlfn.XLOOKUP(C1179, Table2[Species],Table2[Genus], "Code Not Found")</f>
        <v>Fagus</v>
      </c>
      <c r="M1179" t="str">
        <f>_xlfn.XLOOKUP(C1179, Table2[Species],Table2[Sp. Name], "Code Not Found")</f>
        <v>grandifolia</v>
      </c>
      <c r="N1179" t="str">
        <f>_xlfn.XLOOKUP(C1179,Table2[Species],Table2[Family],"Code Not Found")</f>
        <v>Fagaceae</v>
      </c>
      <c r="O1179" t="str" cm="1">
        <f t="array" ref="O1179">_xlfn.IFS(F1179="","",F1179&lt;=5,"0 to 5",F1179&lt;=10,"5.1 to 10",F1179&lt;=20,"10 to 20", F1179&lt;= 40, "20 to 40", F1179 &lt;= 50, "40 to 50", F1179 &gt; 50, "&gt;50" )</f>
        <v>0 to 5</v>
      </c>
    </row>
    <row r="1180" spans="1:15" ht="14.4" x14ac:dyDescent="0.3">
      <c r="A1180" t="s">
        <v>240</v>
      </c>
      <c r="B1180" s="1">
        <v>46190</v>
      </c>
      <c r="C1180" t="s">
        <v>64</v>
      </c>
      <c r="D1180">
        <v>1087</v>
      </c>
      <c r="E1180">
        <v>5</v>
      </c>
      <c r="F1180">
        <v>2.1</v>
      </c>
      <c r="G1180" t="s">
        <v>32</v>
      </c>
      <c r="I1180" t="str">
        <f t="shared" si="20"/>
        <v>1087_5</v>
      </c>
      <c r="J1180" t="s">
        <v>241</v>
      </c>
      <c r="K1180" t="s">
        <v>179</v>
      </c>
      <c r="L1180" t="str">
        <f>_xlfn.XLOOKUP(C1180, Table2[Species],Table2[Genus], "Code Not Found")</f>
        <v>Fagus</v>
      </c>
      <c r="M1180" t="str">
        <f>_xlfn.XLOOKUP(C1180, Table2[Species],Table2[Sp. Name], "Code Not Found")</f>
        <v>grandifolia</v>
      </c>
      <c r="N1180" t="str">
        <f>_xlfn.XLOOKUP(C1180,Table2[Species],Table2[Family],"Code Not Found")</f>
        <v>Fagaceae</v>
      </c>
      <c r="O1180" t="str" cm="1">
        <f t="array" ref="O1180">_xlfn.IFS(F1180="","",F1180&lt;=5,"0 to 5",F1180&lt;=10,"5.1 to 10",F1180&lt;=20,"10 to 20", F1180&lt;= 40, "20 to 40", F1180 &lt;= 50, "40 to 50", F1180 &gt; 50, "&gt;50" )</f>
        <v>0 to 5</v>
      </c>
    </row>
    <row r="1181" spans="1:15" ht="14.4" x14ac:dyDescent="0.3">
      <c r="A1181" t="s">
        <v>240</v>
      </c>
      <c r="B1181" s="1">
        <v>46190</v>
      </c>
      <c r="C1181" t="s">
        <v>16</v>
      </c>
      <c r="D1181">
        <v>1088</v>
      </c>
      <c r="E1181">
        <v>1</v>
      </c>
      <c r="F1181">
        <v>14.3</v>
      </c>
      <c r="G1181" t="s">
        <v>103</v>
      </c>
      <c r="I1181" t="str">
        <f t="shared" si="20"/>
        <v>1088_1</v>
      </c>
      <c r="J1181" t="s">
        <v>241</v>
      </c>
      <c r="K1181" t="s">
        <v>179</v>
      </c>
      <c r="L1181" t="str">
        <f>_xlfn.XLOOKUP(C1181, Table2[Species],Table2[Genus], "Code Not Found")</f>
        <v>Acer</v>
      </c>
      <c r="M1181" t="str">
        <f>_xlfn.XLOOKUP(C1181, Table2[Species],Table2[Sp. Name], "Code Not Found")</f>
        <v>saccharum</v>
      </c>
      <c r="N1181" t="str">
        <f>_xlfn.XLOOKUP(C1181,Table2[Species],Table2[Family],"Code Not Found")</f>
        <v>Sapindaceae</v>
      </c>
      <c r="O1181" t="str" cm="1">
        <f t="array" ref="O1181">_xlfn.IFS(F1181="","",F1181&lt;=5,"0 to 5",F1181&lt;=10,"5.1 to 10",F1181&lt;=20,"10 to 20", F1181&lt;= 40, "20 to 40", F1181 &lt;= 50, "40 to 50", F1181 &gt; 50, "&gt;50" )</f>
        <v>10 to 20</v>
      </c>
    </row>
    <row r="1182" spans="1:15" ht="14.4" x14ac:dyDescent="0.3">
      <c r="A1182" t="s">
        <v>240</v>
      </c>
      <c r="B1182" s="1">
        <v>46190</v>
      </c>
      <c r="C1182" t="s">
        <v>64</v>
      </c>
      <c r="D1182">
        <v>1089</v>
      </c>
      <c r="E1182">
        <v>1</v>
      </c>
      <c r="F1182">
        <v>1.5</v>
      </c>
      <c r="G1182" t="s">
        <v>17</v>
      </c>
      <c r="I1182" t="str">
        <f t="shared" si="20"/>
        <v>1089_1</v>
      </c>
      <c r="J1182" t="s">
        <v>241</v>
      </c>
      <c r="K1182" t="s">
        <v>179</v>
      </c>
      <c r="L1182" t="str">
        <f>_xlfn.XLOOKUP(C1182, Table2[Species],Table2[Genus], "Code Not Found")</f>
        <v>Fagus</v>
      </c>
      <c r="M1182" t="str">
        <f>_xlfn.XLOOKUP(C1182, Table2[Species],Table2[Sp. Name], "Code Not Found")</f>
        <v>grandifolia</v>
      </c>
      <c r="N1182" t="str">
        <f>_xlfn.XLOOKUP(C1182,Table2[Species],Table2[Family],"Code Not Found")</f>
        <v>Fagaceae</v>
      </c>
      <c r="O1182" t="str" cm="1">
        <f t="array" ref="O1182">_xlfn.IFS(F1182="","",F1182&lt;=5,"0 to 5",F1182&lt;=10,"5.1 to 10",F1182&lt;=20,"10 to 20", F1182&lt;= 40, "20 to 40", F1182 &lt;= 50, "40 to 50", F1182 &gt; 50, "&gt;50" )</f>
        <v>0 to 5</v>
      </c>
    </row>
    <row r="1183" spans="1:15" ht="14.4" x14ac:dyDescent="0.3">
      <c r="A1183" t="s">
        <v>240</v>
      </c>
      <c r="B1183" s="1">
        <v>46190</v>
      </c>
      <c r="C1183" t="s">
        <v>64</v>
      </c>
      <c r="D1183">
        <v>1090</v>
      </c>
      <c r="E1183">
        <v>1</v>
      </c>
      <c r="F1183">
        <v>6.3</v>
      </c>
      <c r="G1183" t="s">
        <v>88</v>
      </c>
      <c r="H1183" t="s">
        <v>99</v>
      </c>
      <c r="I1183" t="str">
        <f t="shared" si="20"/>
        <v>1090_1</v>
      </c>
      <c r="J1183" t="s">
        <v>241</v>
      </c>
      <c r="K1183" t="s">
        <v>179</v>
      </c>
      <c r="L1183" t="str">
        <f>_xlfn.XLOOKUP(C1183, Table2[Species],Table2[Genus], "Code Not Found")</f>
        <v>Fagus</v>
      </c>
      <c r="M1183" t="str">
        <f>_xlfn.XLOOKUP(C1183, Table2[Species],Table2[Sp. Name], "Code Not Found")</f>
        <v>grandifolia</v>
      </c>
      <c r="N1183" t="str">
        <f>_xlfn.XLOOKUP(C1183,Table2[Species],Table2[Family],"Code Not Found")</f>
        <v>Fagaceae</v>
      </c>
      <c r="O1183" t="str" cm="1">
        <f t="array" ref="O1183">_xlfn.IFS(F1183="","",F1183&lt;=5,"0 to 5",F1183&lt;=10,"5.1 to 10",F1183&lt;=20,"10 to 20", F1183&lt;= 40, "20 to 40", F1183 &lt;= 50, "40 to 50", F1183 &gt; 50, "&gt;50" )</f>
        <v>5.1 to 10</v>
      </c>
    </row>
    <row r="1184" spans="1:15" ht="14.4" x14ac:dyDescent="0.3">
      <c r="A1184" t="s">
        <v>240</v>
      </c>
      <c r="B1184" s="1">
        <v>46190</v>
      </c>
      <c r="C1184" t="s">
        <v>16</v>
      </c>
      <c r="D1184">
        <v>1091</v>
      </c>
      <c r="E1184">
        <v>1</v>
      </c>
      <c r="F1184">
        <v>1.9</v>
      </c>
      <c r="G1184" t="s">
        <v>17</v>
      </c>
      <c r="I1184" t="str">
        <f t="shared" si="20"/>
        <v>1091_1</v>
      </c>
      <c r="J1184" t="s">
        <v>241</v>
      </c>
      <c r="K1184" t="s">
        <v>179</v>
      </c>
      <c r="L1184" t="str">
        <f>_xlfn.XLOOKUP(C1184, Table2[Species],Table2[Genus], "Code Not Found")</f>
        <v>Acer</v>
      </c>
      <c r="M1184" t="str">
        <f>_xlfn.XLOOKUP(C1184, Table2[Species],Table2[Sp. Name], "Code Not Found")</f>
        <v>saccharum</v>
      </c>
      <c r="N1184" t="str">
        <f>_xlfn.XLOOKUP(C1184,Table2[Species],Table2[Family],"Code Not Found")</f>
        <v>Sapindaceae</v>
      </c>
      <c r="O1184" t="str" cm="1">
        <f t="array" ref="O1184">_xlfn.IFS(F1184="","",F1184&lt;=5,"0 to 5",F1184&lt;=10,"5.1 to 10",F1184&lt;=20,"10 to 20", F1184&lt;= 40, "20 to 40", F1184 &lt;= 50, "40 to 50", F1184 &gt; 50, "&gt;50" )</f>
        <v>0 to 5</v>
      </c>
    </row>
    <row r="1185" spans="1:15" ht="14.4" x14ac:dyDescent="0.3">
      <c r="A1185" t="s">
        <v>240</v>
      </c>
      <c r="B1185" s="1">
        <v>46190</v>
      </c>
      <c r="C1185" t="s">
        <v>16</v>
      </c>
      <c r="D1185">
        <v>1092</v>
      </c>
      <c r="E1185">
        <v>1</v>
      </c>
      <c r="F1185">
        <v>3.1</v>
      </c>
      <c r="G1185" t="s">
        <v>17</v>
      </c>
      <c r="I1185" t="str">
        <f t="shared" si="20"/>
        <v>1092_1</v>
      </c>
      <c r="J1185" t="s">
        <v>241</v>
      </c>
      <c r="K1185" t="s">
        <v>179</v>
      </c>
      <c r="L1185" t="str">
        <f>_xlfn.XLOOKUP(C1185, Table2[Species],Table2[Genus], "Code Not Found")</f>
        <v>Acer</v>
      </c>
      <c r="M1185" t="str">
        <f>_xlfn.XLOOKUP(C1185, Table2[Species],Table2[Sp. Name], "Code Not Found")</f>
        <v>saccharum</v>
      </c>
      <c r="N1185" t="str">
        <f>_xlfn.XLOOKUP(C1185,Table2[Species],Table2[Family],"Code Not Found")</f>
        <v>Sapindaceae</v>
      </c>
      <c r="O1185" t="str" cm="1">
        <f t="array" ref="O1185">_xlfn.IFS(F1185="","",F1185&lt;=5,"0 to 5",F1185&lt;=10,"5.1 to 10",F1185&lt;=20,"10 to 20", F1185&lt;= 40, "20 to 40", F1185 &lt;= 50, "40 to 50", F1185 &gt; 50, "&gt;50" )</f>
        <v>0 to 5</v>
      </c>
    </row>
    <row r="1186" spans="1:15" ht="14.4" x14ac:dyDescent="0.3">
      <c r="A1186" t="s">
        <v>240</v>
      </c>
      <c r="B1186" s="1">
        <v>46190</v>
      </c>
      <c r="C1186" t="s">
        <v>16</v>
      </c>
      <c r="D1186">
        <v>1093</v>
      </c>
      <c r="E1186">
        <v>1</v>
      </c>
      <c r="F1186">
        <v>5.9</v>
      </c>
      <c r="G1186" t="s">
        <v>21</v>
      </c>
      <c r="I1186" t="str">
        <f t="shared" si="20"/>
        <v>1093_1</v>
      </c>
      <c r="J1186" t="s">
        <v>241</v>
      </c>
      <c r="K1186" t="s">
        <v>179</v>
      </c>
      <c r="L1186" t="str">
        <f>_xlfn.XLOOKUP(C1186, Table2[Species],Table2[Genus], "Code Not Found")</f>
        <v>Acer</v>
      </c>
      <c r="M1186" t="str">
        <f>_xlfn.XLOOKUP(C1186, Table2[Species],Table2[Sp. Name], "Code Not Found")</f>
        <v>saccharum</v>
      </c>
      <c r="N1186" t="str">
        <f>_xlfn.XLOOKUP(C1186,Table2[Species],Table2[Family],"Code Not Found")</f>
        <v>Sapindaceae</v>
      </c>
      <c r="O1186" t="str" cm="1">
        <f t="array" ref="O1186">_xlfn.IFS(F1186="","",F1186&lt;=5,"0 to 5",F1186&lt;=10,"5.1 to 10",F1186&lt;=20,"10 to 20", F1186&lt;= 40, "20 to 40", F1186 &lt;= 50, "40 to 50", F1186 &gt; 50, "&gt;50" )</f>
        <v>5.1 to 10</v>
      </c>
    </row>
    <row r="1187" spans="1:15" ht="14.4" x14ac:dyDescent="0.3">
      <c r="A1187" t="s">
        <v>240</v>
      </c>
      <c r="B1187" s="1">
        <v>46190</v>
      </c>
      <c r="C1187" t="s">
        <v>16</v>
      </c>
      <c r="D1187">
        <v>1094</v>
      </c>
      <c r="E1187">
        <v>1</v>
      </c>
      <c r="F1187">
        <v>2.8</v>
      </c>
      <c r="G1187" t="s">
        <v>47</v>
      </c>
      <c r="H1187" t="s">
        <v>43</v>
      </c>
      <c r="I1187" t="str">
        <f t="shared" si="20"/>
        <v>1094_1</v>
      </c>
      <c r="J1187" t="s">
        <v>241</v>
      </c>
      <c r="K1187" t="s">
        <v>179</v>
      </c>
      <c r="L1187" t="str">
        <f>_xlfn.XLOOKUP(C1187, Table2[Species],Table2[Genus], "Code Not Found")</f>
        <v>Acer</v>
      </c>
      <c r="M1187" t="str">
        <f>_xlfn.XLOOKUP(C1187, Table2[Species],Table2[Sp. Name], "Code Not Found")</f>
        <v>saccharum</v>
      </c>
      <c r="N1187" t="str">
        <f>_xlfn.XLOOKUP(C1187,Table2[Species],Table2[Family],"Code Not Found")</f>
        <v>Sapindaceae</v>
      </c>
      <c r="O1187" t="str" cm="1">
        <f t="array" ref="O1187">_xlfn.IFS(F1187="","",F1187&lt;=5,"0 to 5",F1187&lt;=10,"5.1 to 10",F1187&lt;=20,"10 to 20", F1187&lt;= 40, "20 to 40", F1187 &lt;= 50, "40 to 50", F1187 &gt; 50, "&gt;50" )</f>
        <v>0 to 5</v>
      </c>
    </row>
    <row r="1188" spans="1:15" ht="14.4" x14ac:dyDescent="0.3">
      <c r="A1188" t="s">
        <v>240</v>
      </c>
      <c r="B1188" s="1">
        <v>46190</v>
      </c>
      <c r="C1188" t="s">
        <v>16</v>
      </c>
      <c r="D1188">
        <v>1095</v>
      </c>
      <c r="E1188">
        <v>1</v>
      </c>
      <c r="F1188">
        <v>3.6</v>
      </c>
      <c r="G1188" t="s">
        <v>17</v>
      </c>
      <c r="H1188" t="s">
        <v>274</v>
      </c>
      <c r="I1188" t="str">
        <f t="shared" si="20"/>
        <v>1095_1</v>
      </c>
      <c r="J1188" t="s">
        <v>241</v>
      </c>
      <c r="K1188" t="s">
        <v>179</v>
      </c>
      <c r="L1188" t="str">
        <f>_xlfn.XLOOKUP(C1188, Table2[Species],Table2[Genus], "Code Not Found")</f>
        <v>Acer</v>
      </c>
      <c r="M1188" t="str">
        <f>_xlfn.XLOOKUP(C1188, Table2[Species],Table2[Sp. Name], "Code Not Found")</f>
        <v>saccharum</v>
      </c>
      <c r="N1188" t="str">
        <f>_xlfn.XLOOKUP(C1188,Table2[Species],Table2[Family],"Code Not Found")</f>
        <v>Sapindaceae</v>
      </c>
      <c r="O1188" t="str" cm="1">
        <f t="array" ref="O1188">_xlfn.IFS(F1188="","",F1188&lt;=5,"0 to 5",F1188&lt;=10,"5.1 to 10",F1188&lt;=20,"10 to 20", F1188&lt;= 40, "20 to 40", F1188 &lt;= 50, "40 to 50", F1188 &gt; 50, "&gt;50" )</f>
        <v>0 to 5</v>
      </c>
    </row>
    <row r="1189" spans="1:15" ht="14.4" x14ac:dyDescent="0.3">
      <c r="A1189" t="s">
        <v>240</v>
      </c>
      <c r="B1189" s="1">
        <v>46190</v>
      </c>
      <c r="C1189" t="s">
        <v>16</v>
      </c>
      <c r="D1189">
        <v>1096</v>
      </c>
      <c r="E1189">
        <v>1</v>
      </c>
      <c r="F1189">
        <v>2.2000000000000002</v>
      </c>
      <c r="G1189" t="s">
        <v>47</v>
      </c>
      <c r="H1189" t="s">
        <v>43</v>
      </c>
      <c r="I1189" t="str">
        <f t="shared" si="20"/>
        <v>1096_1</v>
      </c>
      <c r="J1189" t="s">
        <v>241</v>
      </c>
      <c r="K1189" t="s">
        <v>179</v>
      </c>
      <c r="L1189" t="str">
        <f>_xlfn.XLOOKUP(C1189, Table2[Species],Table2[Genus], "Code Not Found")</f>
        <v>Acer</v>
      </c>
      <c r="M1189" t="str">
        <f>_xlfn.XLOOKUP(C1189, Table2[Species],Table2[Sp. Name], "Code Not Found")</f>
        <v>saccharum</v>
      </c>
      <c r="N1189" t="str">
        <f>_xlfn.XLOOKUP(C1189,Table2[Species],Table2[Family],"Code Not Found")</f>
        <v>Sapindaceae</v>
      </c>
      <c r="O1189" t="str" cm="1">
        <f t="array" ref="O1189">_xlfn.IFS(F1189="","",F1189&lt;=5,"0 to 5",F1189&lt;=10,"5.1 to 10",F1189&lt;=20,"10 to 20", F1189&lt;= 40, "20 to 40", F1189 &lt;= 50, "40 to 50", F1189 &gt; 50, "&gt;50" )</f>
        <v>0 to 5</v>
      </c>
    </row>
    <row r="1190" spans="1:15" ht="14.4" x14ac:dyDescent="0.3">
      <c r="A1190" t="s">
        <v>240</v>
      </c>
      <c r="B1190" s="1">
        <v>46190</v>
      </c>
      <c r="C1190" t="s">
        <v>64</v>
      </c>
      <c r="D1190">
        <v>1097</v>
      </c>
      <c r="E1190">
        <v>1</v>
      </c>
      <c r="F1190">
        <v>4.9000000000000004</v>
      </c>
      <c r="G1190" t="s">
        <v>21</v>
      </c>
      <c r="I1190" t="str">
        <f t="shared" si="20"/>
        <v>1097_1</v>
      </c>
      <c r="J1190" t="s">
        <v>241</v>
      </c>
      <c r="K1190" t="s">
        <v>179</v>
      </c>
      <c r="L1190" t="str">
        <f>_xlfn.XLOOKUP(C1190, Table2[Species],Table2[Genus], "Code Not Found")</f>
        <v>Fagus</v>
      </c>
      <c r="M1190" t="str">
        <f>_xlfn.XLOOKUP(C1190, Table2[Species],Table2[Sp. Name], "Code Not Found")</f>
        <v>grandifolia</v>
      </c>
      <c r="N1190" t="str">
        <f>_xlfn.XLOOKUP(C1190,Table2[Species],Table2[Family],"Code Not Found")</f>
        <v>Fagaceae</v>
      </c>
      <c r="O1190" t="str" cm="1">
        <f t="array" ref="O1190">_xlfn.IFS(F1190="","",F1190&lt;=5,"0 to 5",F1190&lt;=10,"5.1 to 10",F1190&lt;=20,"10 to 20", F1190&lt;= 40, "20 to 40", F1190 &lt;= 50, "40 to 50", F1190 &gt; 50, "&gt;50" )</f>
        <v>0 to 5</v>
      </c>
    </row>
    <row r="1191" spans="1:15" ht="14.4" x14ac:dyDescent="0.3">
      <c r="A1191" t="s">
        <v>240</v>
      </c>
      <c r="B1191" s="1">
        <v>46190</v>
      </c>
      <c r="C1191" t="s">
        <v>16</v>
      </c>
      <c r="D1191">
        <v>1098</v>
      </c>
      <c r="E1191">
        <v>1</v>
      </c>
      <c r="F1191">
        <v>2.6</v>
      </c>
      <c r="G1191" t="s">
        <v>47</v>
      </c>
      <c r="H1191" t="s">
        <v>275</v>
      </c>
      <c r="I1191" t="str">
        <f t="shared" si="20"/>
        <v>1098_1</v>
      </c>
      <c r="J1191" t="s">
        <v>241</v>
      </c>
      <c r="K1191" t="s">
        <v>179</v>
      </c>
      <c r="L1191" t="str">
        <f>_xlfn.XLOOKUP(C1191, Table2[Species],Table2[Genus], "Code Not Found")</f>
        <v>Acer</v>
      </c>
      <c r="M1191" t="str">
        <f>_xlfn.XLOOKUP(C1191, Table2[Species],Table2[Sp. Name], "Code Not Found")</f>
        <v>saccharum</v>
      </c>
      <c r="N1191" t="str">
        <f>_xlfn.XLOOKUP(C1191,Table2[Species],Table2[Family],"Code Not Found")</f>
        <v>Sapindaceae</v>
      </c>
      <c r="O1191" t="str" cm="1">
        <f t="array" ref="O1191">_xlfn.IFS(F1191="","",F1191&lt;=5,"0 to 5",F1191&lt;=10,"5.1 to 10",F1191&lt;=20,"10 to 20", F1191&lt;= 40, "20 to 40", F1191 &lt;= 50, "40 to 50", F1191 &gt; 50, "&gt;50" )</f>
        <v>0 to 5</v>
      </c>
    </row>
    <row r="1192" spans="1:15" ht="14.4" x14ac:dyDescent="0.3">
      <c r="A1192" t="s">
        <v>240</v>
      </c>
      <c r="B1192" s="1">
        <v>46190</v>
      </c>
      <c r="C1192" t="s">
        <v>16</v>
      </c>
      <c r="D1192">
        <v>1099</v>
      </c>
      <c r="E1192">
        <v>1</v>
      </c>
      <c r="F1192">
        <v>2.2000000000000002</v>
      </c>
      <c r="G1192" t="s">
        <v>17</v>
      </c>
      <c r="I1192" t="str">
        <f t="shared" si="20"/>
        <v>1099_1</v>
      </c>
      <c r="J1192" t="s">
        <v>241</v>
      </c>
      <c r="K1192" t="s">
        <v>179</v>
      </c>
      <c r="L1192" t="str">
        <f>_xlfn.XLOOKUP(C1192, Table2[Species],Table2[Genus], "Code Not Found")</f>
        <v>Acer</v>
      </c>
      <c r="M1192" t="str">
        <f>_xlfn.XLOOKUP(C1192, Table2[Species],Table2[Sp. Name], "Code Not Found")</f>
        <v>saccharum</v>
      </c>
      <c r="N1192" t="str">
        <f>_xlfn.XLOOKUP(C1192,Table2[Species],Table2[Family],"Code Not Found")</f>
        <v>Sapindaceae</v>
      </c>
      <c r="O1192" t="str" cm="1">
        <f t="array" ref="O1192">_xlfn.IFS(F1192="","",F1192&lt;=5,"0 to 5",F1192&lt;=10,"5.1 to 10",F1192&lt;=20,"10 to 20", F1192&lt;= 40, "20 to 40", F1192 &lt;= 50, "40 to 50", F1192 &gt; 50, "&gt;50" )</f>
        <v>0 to 5</v>
      </c>
    </row>
    <row r="1193" spans="1:15" ht="14.4" x14ac:dyDescent="0.3">
      <c r="A1193" t="s">
        <v>240</v>
      </c>
      <c r="B1193" s="1">
        <v>46190</v>
      </c>
      <c r="C1193" t="s">
        <v>16</v>
      </c>
      <c r="D1193">
        <v>1100</v>
      </c>
      <c r="E1193">
        <v>1</v>
      </c>
      <c r="F1193">
        <v>14.6</v>
      </c>
      <c r="G1193" t="s">
        <v>17</v>
      </c>
      <c r="I1193" t="str">
        <f t="shared" si="20"/>
        <v>1100_1</v>
      </c>
      <c r="J1193" t="s">
        <v>241</v>
      </c>
      <c r="K1193" t="s">
        <v>179</v>
      </c>
      <c r="L1193" t="str">
        <f>_xlfn.XLOOKUP(C1193, Table2[Species],Table2[Genus], "Code Not Found")</f>
        <v>Acer</v>
      </c>
      <c r="M1193" t="str">
        <f>_xlfn.XLOOKUP(C1193, Table2[Species],Table2[Sp. Name], "Code Not Found")</f>
        <v>saccharum</v>
      </c>
      <c r="N1193" t="str">
        <f>_xlfn.XLOOKUP(C1193,Table2[Species],Table2[Family],"Code Not Found")</f>
        <v>Sapindaceae</v>
      </c>
      <c r="O1193" t="str" cm="1">
        <f t="array" ref="O1193">_xlfn.IFS(F1193="","",F1193&lt;=5,"0 to 5",F1193&lt;=10,"5.1 to 10",F1193&lt;=20,"10 to 20", F1193&lt;= 40, "20 to 40", F1193 &lt;= 50, "40 to 50", F1193 &gt; 50, "&gt;50" )</f>
        <v>10 to 20</v>
      </c>
    </row>
    <row r="1194" spans="1:15" ht="14.4" x14ac:dyDescent="0.3">
      <c r="A1194" t="s">
        <v>240</v>
      </c>
      <c r="B1194" s="1">
        <v>46190</v>
      </c>
      <c r="C1194" t="s">
        <v>16</v>
      </c>
      <c r="D1194">
        <v>1101</v>
      </c>
      <c r="E1194">
        <v>1</v>
      </c>
      <c r="F1194">
        <v>3.3</v>
      </c>
      <c r="G1194" t="s">
        <v>88</v>
      </c>
      <c r="H1194" t="s">
        <v>99</v>
      </c>
      <c r="I1194" t="str">
        <f t="shared" si="20"/>
        <v>1101_1</v>
      </c>
      <c r="J1194" t="s">
        <v>241</v>
      </c>
      <c r="K1194" t="s">
        <v>179</v>
      </c>
      <c r="L1194" t="str">
        <f>_xlfn.XLOOKUP(C1194, Table2[Species],Table2[Genus], "Code Not Found")</f>
        <v>Acer</v>
      </c>
      <c r="M1194" t="str">
        <f>_xlfn.XLOOKUP(C1194, Table2[Species],Table2[Sp. Name], "Code Not Found")</f>
        <v>saccharum</v>
      </c>
      <c r="N1194" t="str">
        <f>_xlfn.XLOOKUP(C1194,Table2[Species],Table2[Family],"Code Not Found")</f>
        <v>Sapindaceae</v>
      </c>
      <c r="O1194" t="str" cm="1">
        <f t="array" ref="O1194">_xlfn.IFS(F1194="","",F1194&lt;=5,"0 to 5",F1194&lt;=10,"5.1 to 10",F1194&lt;=20,"10 to 20", F1194&lt;= 40, "20 to 40", F1194 &lt;= 50, "40 to 50", F1194 &gt; 50, "&gt;50" )</f>
        <v>0 to 5</v>
      </c>
    </row>
    <row r="1195" spans="1:15" ht="14.4" x14ac:dyDescent="0.3">
      <c r="A1195" t="s">
        <v>240</v>
      </c>
      <c r="B1195" s="1">
        <v>46190</v>
      </c>
      <c r="C1195" t="s">
        <v>16</v>
      </c>
      <c r="D1195">
        <v>1102</v>
      </c>
      <c r="E1195">
        <v>1</v>
      </c>
      <c r="F1195">
        <v>3.7</v>
      </c>
      <c r="G1195" t="s">
        <v>17</v>
      </c>
      <c r="I1195" t="str">
        <f t="shared" si="20"/>
        <v>1102_1</v>
      </c>
      <c r="J1195" t="s">
        <v>241</v>
      </c>
      <c r="K1195" t="s">
        <v>179</v>
      </c>
      <c r="L1195" t="str">
        <f>_xlfn.XLOOKUP(C1195, Table2[Species],Table2[Genus], "Code Not Found")</f>
        <v>Acer</v>
      </c>
      <c r="M1195" t="str">
        <f>_xlfn.XLOOKUP(C1195, Table2[Species],Table2[Sp. Name], "Code Not Found")</f>
        <v>saccharum</v>
      </c>
      <c r="N1195" t="str">
        <f>_xlfn.XLOOKUP(C1195,Table2[Species],Table2[Family],"Code Not Found")</f>
        <v>Sapindaceae</v>
      </c>
      <c r="O1195" t="str" cm="1">
        <f t="array" ref="O1195">_xlfn.IFS(F1195="","",F1195&lt;=5,"0 to 5",F1195&lt;=10,"5.1 to 10",F1195&lt;=20,"10 to 20", F1195&lt;= 40, "20 to 40", F1195 &lt;= 50, "40 to 50", F1195 &gt; 50, "&gt;50" )</f>
        <v>0 to 5</v>
      </c>
    </row>
    <row r="1196" spans="1:15" ht="14.4" x14ac:dyDescent="0.3">
      <c r="A1196" t="s">
        <v>240</v>
      </c>
      <c r="B1196" s="1">
        <v>46190</v>
      </c>
      <c r="C1196" t="s">
        <v>16</v>
      </c>
      <c r="D1196">
        <v>1103</v>
      </c>
      <c r="E1196">
        <v>1</v>
      </c>
      <c r="F1196">
        <v>4.3</v>
      </c>
      <c r="G1196" t="s">
        <v>17</v>
      </c>
      <c r="I1196" t="str">
        <f t="shared" si="20"/>
        <v>1103_1</v>
      </c>
      <c r="J1196" t="s">
        <v>241</v>
      </c>
      <c r="K1196" t="s">
        <v>179</v>
      </c>
      <c r="L1196" t="str">
        <f>_xlfn.XLOOKUP(C1196, Table2[Species],Table2[Genus], "Code Not Found")</f>
        <v>Acer</v>
      </c>
      <c r="M1196" t="str">
        <f>_xlfn.XLOOKUP(C1196, Table2[Species],Table2[Sp. Name], "Code Not Found")</f>
        <v>saccharum</v>
      </c>
      <c r="N1196" t="str">
        <f>_xlfn.XLOOKUP(C1196,Table2[Species],Table2[Family],"Code Not Found")</f>
        <v>Sapindaceae</v>
      </c>
      <c r="O1196" t="str" cm="1">
        <f t="array" ref="O1196">_xlfn.IFS(F1196="","",F1196&lt;=5,"0 to 5",F1196&lt;=10,"5.1 to 10",F1196&lt;=20,"10 to 20", F1196&lt;= 40, "20 to 40", F1196 &lt;= 50, "40 to 50", F1196 &gt; 50, "&gt;50" )</f>
        <v>0 to 5</v>
      </c>
    </row>
    <row r="1197" spans="1:15" ht="14.4" x14ac:dyDescent="0.3">
      <c r="A1197" t="s">
        <v>240</v>
      </c>
      <c r="B1197" s="1">
        <v>46190</v>
      </c>
      <c r="C1197" t="s">
        <v>16</v>
      </c>
      <c r="D1197">
        <v>1104</v>
      </c>
      <c r="E1197">
        <v>1</v>
      </c>
      <c r="F1197">
        <v>3.1</v>
      </c>
      <c r="G1197" t="s">
        <v>17</v>
      </c>
      <c r="I1197" t="str">
        <f t="shared" si="20"/>
        <v>1104_1</v>
      </c>
      <c r="J1197" t="s">
        <v>241</v>
      </c>
      <c r="K1197" t="s">
        <v>179</v>
      </c>
      <c r="L1197" t="str">
        <f>_xlfn.XLOOKUP(C1197, Table2[Species],Table2[Genus], "Code Not Found")</f>
        <v>Acer</v>
      </c>
      <c r="M1197" t="str">
        <f>_xlfn.XLOOKUP(C1197, Table2[Species],Table2[Sp. Name], "Code Not Found")</f>
        <v>saccharum</v>
      </c>
      <c r="N1197" t="str">
        <f>_xlfn.XLOOKUP(C1197,Table2[Species],Table2[Family],"Code Not Found")</f>
        <v>Sapindaceae</v>
      </c>
      <c r="O1197" t="str" cm="1">
        <f t="array" ref="O1197">_xlfn.IFS(F1197="","",F1197&lt;=5,"0 to 5",F1197&lt;=10,"5.1 to 10",F1197&lt;=20,"10 to 20", F1197&lt;= 40, "20 to 40", F1197 &lt;= 50, "40 to 50", F1197 &gt; 50, "&gt;50" )</f>
        <v>0 to 5</v>
      </c>
    </row>
    <row r="1198" spans="1:15" ht="14.4" x14ac:dyDescent="0.3">
      <c r="A1198" t="s">
        <v>240</v>
      </c>
      <c r="B1198" s="1">
        <v>46190</v>
      </c>
      <c r="C1198" t="s">
        <v>16</v>
      </c>
      <c r="D1198">
        <v>1105</v>
      </c>
      <c r="E1198">
        <v>1</v>
      </c>
      <c r="F1198">
        <v>15.8</v>
      </c>
      <c r="G1198" t="s">
        <v>21</v>
      </c>
      <c r="I1198" t="str">
        <f t="shared" si="20"/>
        <v>1105_1</v>
      </c>
      <c r="J1198" t="s">
        <v>241</v>
      </c>
      <c r="K1198" t="s">
        <v>179</v>
      </c>
      <c r="L1198" t="str">
        <f>_xlfn.XLOOKUP(C1198, Table2[Species],Table2[Genus], "Code Not Found")</f>
        <v>Acer</v>
      </c>
      <c r="M1198" t="str">
        <f>_xlfn.XLOOKUP(C1198, Table2[Species],Table2[Sp. Name], "Code Not Found")</f>
        <v>saccharum</v>
      </c>
      <c r="N1198" t="str">
        <f>_xlfn.XLOOKUP(C1198,Table2[Species],Table2[Family],"Code Not Found")</f>
        <v>Sapindaceae</v>
      </c>
      <c r="O1198" t="str" cm="1">
        <f t="array" ref="O1198">_xlfn.IFS(F1198="","",F1198&lt;=5,"0 to 5",F1198&lt;=10,"5.1 to 10",F1198&lt;=20,"10 to 20", F1198&lt;= 40, "20 to 40", F1198 &lt;= 50, "40 to 50", F1198 &gt; 50, "&gt;50" )</f>
        <v>10 to 20</v>
      </c>
    </row>
    <row r="1199" spans="1:15" ht="14.4" x14ac:dyDescent="0.3">
      <c r="A1199" t="s">
        <v>240</v>
      </c>
      <c r="B1199" s="1">
        <v>46190</v>
      </c>
      <c r="C1199" t="s">
        <v>16</v>
      </c>
      <c r="D1199">
        <v>1106</v>
      </c>
      <c r="E1199">
        <v>1</v>
      </c>
      <c r="F1199">
        <v>1.4</v>
      </c>
      <c r="G1199" t="s">
        <v>47</v>
      </c>
      <c r="I1199" t="str">
        <f t="shared" si="20"/>
        <v>1106_1</v>
      </c>
      <c r="J1199" t="s">
        <v>241</v>
      </c>
      <c r="K1199" t="s">
        <v>179</v>
      </c>
      <c r="L1199" t="str">
        <f>_xlfn.XLOOKUP(C1199, Table2[Species],Table2[Genus], "Code Not Found")</f>
        <v>Acer</v>
      </c>
      <c r="M1199" t="str">
        <f>_xlfn.XLOOKUP(C1199, Table2[Species],Table2[Sp. Name], "Code Not Found")</f>
        <v>saccharum</v>
      </c>
      <c r="N1199" t="str">
        <f>_xlfn.XLOOKUP(C1199,Table2[Species],Table2[Family],"Code Not Found")</f>
        <v>Sapindaceae</v>
      </c>
      <c r="O1199" t="str" cm="1">
        <f t="array" ref="O1199">_xlfn.IFS(F1199="","",F1199&lt;=5,"0 to 5",F1199&lt;=10,"5.1 to 10",F1199&lt;=20,"10 to 20", F1199&lt;= 40, "20 to 40", F1199 &lt;= 50, "40 to 50", F1199 &gt; 50, "&gt;50" )</f>
        <v>0 to 5</v>
      </c>
    </row>
    <row r="1200" spans="1:15" ht="14.4" x14ac:dyDescent="0.3">
      <c r="A1200" t="s">
        <v>240</v>
      </c>
      <c r="B1200" s="1">
        <v>46190</v>
      </c>
      <c r="C1200" t="s">
        <v>24</v>
      </c>
      <c r="D1200">
        <v>1107</v>
      </c>
      <c r="E1200">
        <v>1</v>
      </c>
      <c r="F1200">
        <v>1.3</v>
      </c>
      <c r="G1200" t="s">
        <v>21</v>
      </c>
      <c r="I1200" t="str">
        <f t="shared" ref="I1200:I1264" si="21">D1200&amp;"_"&amp;E1200</f>
        <v>1107_1</v>
      </c>
      <c r="J1200" t="s">
        <v>241</v>
      </c>
      <c r="K1200" t="s">
        <v>179</v>
      </c>
      <c r="L1200" t="str">
        <f>_xlfn.XLOOKUP(C1200, Table2[Species],Table2[Genus], "Code Not Found")</f>
        <v>Lirodendron</v>
      </c>
      <c r="M1200" t="str">
        <f>_xlfn.XLOOKUP(C1200, Table2[Species],Table2[Sp. Name], "Code Not Found")</f>
        <v>tulipfera</v>
      </c>
      <c r="N1200" t="str">
        <f>_xlfn.XLOOKUP(C1200,Table2[Species],Table2[Family],"Code Not Found")</f>
        <v>Magnoliaceae</v>
      </c>
      <c r="O1200" t="str" cm="1">
        <f t="array" ref="O1200">_xlfn.IFS(F1200="","",F1200&lt;=5,"0 to 5",F1200&lt;=10,"5.1 to 10",F1200&lt;=20,"10 to 20", F1200&lt;= 40, "20 to 40", F1200 &lt;= 50, "40 to 50", F1200 &gt; 50, "&gt;50" )</f>
        <v>0 to 5</v>
      </c>
    </row>
    <row r="1201" spans="1:15" ht="14.4" x14ac:dyDescent="0.3">
      <c r="A1201" t="s">
        <v>240</v>
      </c>
      <c r="B1201" s="1">
        <v>46190</v>
      </c>
      <c r="C1201" t="s">
        <v>16</v>
      </c>
      <c r="D1201">
        <v>1108</v>
      </c>
      <c r="E1201">
        <v>1</v>
      </c>
      <c r="F1201">
        <v>2.4</v>
      </c>
      <c r="G1201" t="s">
        <v>17</v>
      </c>
      <c r="I1201" t="str">
        <f t="shared" si="21"/>
        <v>1108_1</v>
      </c>
      <c r="J1201" t="s">
        <v>241</v>
      </c>
      <c r="K1201" t="s">
        <v>179</v>
      </c>
      <c r="L1201" t="str">
        <f>_xlfn.XLOOKUP(C1201, Table2[Species],Table2[Genus], "Code Not Found")</f>
        <v>Acer</v>
      </c>
      <c r="M1201" t="str">
        <f>_xlfn.XLOOKUP(C1201, Table2[Species],Table2[Sp. Name], "Code Not Found")</f>
        <v>saccharum</v>
      </c>
      <c r="N1201" t="str">
        <f>_xlfn.XLOOKUP(C1201,Table2[Species],Table2[Family],"Code Not Found")</f>
        <v>Sapindaceae</v>
      </c>
      <c r="O1201" t="str" cm="1">
        <f t="array" ref="O1201">_xlfn.IFS(F1201="","",F1201&lt;=5,"0 to 5",F1201&lt;=10,"5.1 to 10",F1201&lt;=20,"10 to 20", F1201&lt;= 40, "20 to 40", F1201 &lt;= 50, "40 to 50", F1201 &gt; 50, "&gt;50" )</f>
        <v>0 to 5</v>
      </c>
    </row>
    <row r="1202" spans="1:15" ht="14.4" x14ac:dyDescent="0.3">
      <c r="A1202" t="s">
        <v>240</v>
      </c>
      <c r="B1202" s="1">
        <v>46190</v>
      </c>
      <c r="C1202" t="s">
        <v>64</v>
      </c>
      <c r="D1202">
        <v>1109</v>
      </c>
      <c r="E1202">
        <v>1</v>
      </c>
      <c r="F1202">
        <v>15.5</v>
      </c>
      <c r="G1202" t="s">
        <v>17</v>
      </c>
      <c r="I1202" t="str">
        <f t="shared" si="21"/>
        <v>1109_1</v>
      </c>
      <c r="J1202" t="s">
        <v>241</v>
      </c>
      <c r="K1202" t="s">
        <v>179</v>
      </c>
      <c r="L1202" t="str">
        <f>_xlfn.XLOOKUP(C1202, Table2[Species],Table2[Genus], "Code Not Found")</f>
        <v>Fagus</v>
      </c>
      <c r="M1202" t="str">
        <f>_xlfn.XLOOKUP(C1202, Table2[Species],Table2[Sp. Name], "Code Not Found")</f>
        <v>grandifolia</v>
      </c>
      <c r="N1202" t="str">
        <f>_xlfn.XLOOKUP(C1202,Table2[Species],Table2[Family],"Code Not Found")</f>
        <v>Fagaceae</v>
      </c>
      <c r="O1202" t="str" cm="1">
        <f t="array" ref="O1202">_xlfn.IFS(F1202="","",F1202&lt;=5,"0 to 5",F1202&lt;=10,"5.1 to 10",F1202&lt;=20,"10 to 20", F1202&lt;= 40, "20 to 40", F1202 &lt;= 50, "40 to 50", F1202 &gt; 50, "&gt;50" )</f>
        <v>10 to 20</v>
      </c>
    </row>
    <row r="1203" spans="1:15" ht="14.4" x14ac:dyDescent="0.3">
      <c r="A1203" t="s">
        <v>240</v>
      </c>
      <c r="B1203" s="1">
        <v>46190</v>
      </c>
      <c r="C1203" t="s">
        <v>16</v>
      </c>
      <c r="D1203">
        <v>1110</v>
      </c>
      <c r="E1203">
        <v>1</v>
      </c>
      <c r="F1203">
        <v>9.1999999999999993</v>
      </c>
      <c r="G1203" t="s">
        <v>54</v>
      </c>
      <c r="I1203" t="str">
        <f t="shared" si="21"/>
        <v>1110_1</v>
      </c>
      <c r="J1203" t="s">
        <v>241</v>
      </c>
      <c r="K1203" t="s">
        <v>179</v>
      </c>
      <c r="L1203" t="str">
        <f>_xlfn.XLOOKUP(C1203, Table2[Species],Table2[Genus], "Code Not Found")</f>
        <v>Acer</v>
      </c>
      <c r="M1203" t="str">
        <f>_xlfn.XLOOKUP(C1203, Table2[Species],Table2[Sp. Name], "Code Not Found")</f>
        <v>saccharum</v>
      </c>
      <c r="N1203" t="str">
        <f>_xlfn.XLOOKUP(C1203,Table2[Species],Table2[Family],"Code Not Found")</f>
        <v>Sapindaceae</v>
      </c>
      <c r="O1203" t="str" cm="1">
        <f t="array" ref="O1203">_xlfn.IFS(F1203="","",F1203&lt;=5,"0 to 5",F1203&lt;=10,"5.1 to 10",F1203&lt;=20,"10 to 20", F1203&lt;= 40, "20 to 40", F1203 &lt;= 50, "40 to 50", F1203 &gt; 50, "&gt;50" )</f>
        <v>5.1 to 10</v>
      </c>
    </row>
    <row r="1204" spans="1:15" ht="14.4" x14ac:dyDescent="0.3">
      <c r="A1204" t="s">
        <v>240</v>
      </c>
      <c r="B1204" s="1">
        <v>46190</v>
      </c>
      <c r="C1204" t="s">
        <v>16</v>
      </c>
      <c r="D1204">
        <v>1111</v>
      </c>
      <c r="E1204">
        <v>1</v>
      </c>
      <c r="F1204">
        <v>5.8</v>
      </c>
      <c r="G1204" t="s">
        <v>17</v>
      </c>
      <c r="I1204" t="str">
        <f t="shared" si="21"/>
        <v>1111_1</v>
      </c>
      <c r="J1204" t="s">
        <v>241</v>
      </c>
      <c r="K1204" t="s">
        <v>179</v>
      </c>
      <c r="L1204" t="str">
        <f>_xlfn.XLOOKUP(C1204, Table2[Species],Table2[Genus], "Code Not Found")</f>
        <v>Acer</v>
      </c>
      <c r="M1204" t="str">
        <f>_xlfn.XLOOKUP(C1204, Table2[Species],Table2[Sp. Name], "Code Not Found")</f>
        <v>saccharum</v>
      </c>
      <c r="N1204" t="str">
        <f>_xlfn.XLOOKUP(C1204,Table2[Species],Table2[Family],"Code Not Found")</f>
        <v>Sapindaceae</v>
      </c>
      <c r="O1204" t="str" cm="1">
        <f t="array" ref="O1204">_xlfn.IFS(F1204="","",F1204&lt;=5,"0 to 5",F1204&lt;=10,"5.1 to 10",F1204&lt;=20,"10 to 20", F1204&lt;= 40, "20 to 40", F1204 &lt;= 50, "40 to 50", F1204 &gt; 50, "&gt;50" )</f>
        <v>5.1 to 10</v>
      </c>
    </row>
    <row r="1205" spans="1:15" ht="14.4" x14ac:dyDescent="0.3">
      <c r="A1205" t="s">
        <v>240</v>
      </c>
      <c r="B1205" s="1">
        <v>46190</v>
      </c>
      <c r="C1205" t="s">
        <v>16</v>
      </c>
      <c r="D1205">
        <v>1112</v>
      </c>
      <c r="E1205">
        <v>1</v>
      </c>
      <c r="F1205">
        <v>4.5</v>
      </c>
      <c r="G1205" t="s">
        <v>17</v>
      </c>
      <c r="I1205" t="str">
        <f t="shared" si="21"/>
        <v>1112_1</v>
      </c>
      <c r="J1205" t="s">
        <v>241</v>
      </c>
      <c r="K1205" t="s">
        <v>179</v>
      </c>
      <c r="L1205" t="str">
        <f>_xlfn.XLOOKUP(C1205, Table2[Species],Table2[Genus], "Code Not Found")</f>
        <v>Acer</v>
      </c>
      <c r="M1205" t="str">
        <f>_xlfn.XLOOKUP(C1205, Table2[Species],Table2[Sp. Name], "Code Not Found")</f>
        <v>saccharum</v>
      </c>
      <c r="N1205" t="str">
        <f>_xlfn.XLOOKUP(C1205,Table2[Species],Table2[Family],"Code Not Found")</f>
        <v>Sapindaceae</v>
      </c>
      <c r="O1205" t="str" cm="1">
        <f t="array" ref="O1205">_xlfn.IFS(F1205="","",F1205&lt;=5,"0 to 5",F1205&lt;=10,"5.1 to 10",F1205&lt;=20,"10 to 20", F1205&lt;= 40, "20 to 40", F1205 &lt;= 50, "40 to 50", F1205 &gt; 50, "&gt;50" )</f>
        <v>0 to 5</v>
      </c>
    </row>
    <row r="1206" spans="1:15" ht="14.4" x14ac:dyDescent="0.3">
      <c r="A1206" t="s">
        <v>240</v>
      </c>
      <c r="B1206" s="1">
        <v>46190</v>
      </c>
      <c r="C1206" t="s">
        <v>16</v>
      </c>
      <c r="D1206">
        <v>1113</v>
      </c>
      <c r="E1206">
        <v>1</v>
      </c>
      <c r="F1206">
        <v>5.3</v>
      </c>
      <c r="G1206" t="s">
        <v>51</v>
      </c>
      <c r="I1206" t="str">
        <f t="shared" si="21"/>
        <v>1113_1</v>
      </c>
      <c r="J1206" t="s">
        <v>241</v>
      </c>
      <c r="K1206" t="s">
        <v>179</v>
      </c>
      <c r="L1206" t="str">
        <f>_xlfn.XLOOKUP(C1206, Table2[Species],Table2[Genus], "Code Not Found")</f>
        <v>Acer</v>
      </c>
      <c r="M1206" t="str">
        <f>_xlfn.XLOOKUP(C1206, Table2[Species],Table2[Sp. Name], "Code Not Found")</f>
        <v>saccharum</v>
      </c>
      <c r="N1206" t="str">
        <f>_xlfn.XLOOKUP(C1206,Table2[Species],Table2[Family],"Code Not Found")</f>
        <v>Sapindaceae</v>
      </c>
      <c r="O1206" t="str" cm="1">
        <f t="array" ref="O1206">_xlfn.IFS(F1206="","",F1206&lt;=5,"0 to 5",F1206&lt;=10,"5.1 to 10",F1206&lt;=20,"10 to 20", F1206&lt;= 40, "20 to 40", F1206 &lt;= 50, "40 to 50", F1206 &gt; 50, "&gt;50" )</f>
        <v>5.1 to 10</v>
      </c>
    </row>
    <row r="1207" spans="1:15" ht="14.4" x14ac:dyDescent="0.3">
      <c r="A1207" t="s">
        <v>240</v>
      </c>
      <c r="B1207" s="1">
        <v>46190</v>
      </c>
      <c r="C1207" t="s">
        <v>16</v>
      </c>
      <c r="D1207">
        <v>1114</v>
      </c>
      <c r="E1207">
        <v>1</v>
      </c>
      <c r="F1207">
        <v>3.6</v>
      </c>
      <c r="G1207" t="s">
        <v>30</v>
      </c>
      <c r="H1207" t="s">
        <v>99</v>
      </c>
      <c r="I1207" t="str">
        <f t="shared" si="21"/>
        <v>1114_1</v>
      </c>
      <c r="J1207" t="s">
        <v>241</v>
      </c>
      <c r="K1207" t="s">
        <v>179</v>
      </c>
      <c r="L1207" t="str">
        <f>_xlfn.XLOOKUP(C1207, Table2[Species],Table2[Genus], "Code Not Found")</f>
        <v>Acer</v>
      </c>
      <c r="M1207" t="str">
        <f>_xlfn.XLOOKUP(C1207, Table2[Species],Table2[Sp. Name], "Code Not Found")</f>
        <v>saccharum</v>
      </c>
      <c r="N1207" t="str">
        <f>_xlfn.XLOOKUP(C1207,Table2[Species],Table2[Family],"Code Not Found")</f>
        <v>Sapindaceae</v>
      </c>
      <c r="O1207" t="str" cm="1">
        <f t="array" ref="O1207">_xlfn.IFS(F1207="","",F1207&lt;=5,"0 to 5",F1207&lt;=10,"5.1 to 10",F1207&lt;=20,"10 to 20", F1207&lt;= 40, "20 to 40", F1207 &lt;= 50, "40 to 50", F1207 &gt; 50, "&gt;50" )</f>
        <v>0 to 5</v>
      </c>
    </row>
    <row r="1208" spans="1:15" ht="14.4" x14ac:dyDescent="0.3">
      <c r="A1208" t="s">
        <v>240</v>
      </c>
      <c r="B1208" s="1">
        <v>46190</v>
      </c>
      <c r="C1208" t="s">
        <v>16</v>
      </c>
      <c r="D1208">
        <v>1115</v>
      </c>
      <c r="E1208">
        <v>1</v>
      </c>
      <c r="F1208">
        <v>11.7</v>
      </c>
      <c r="G1208" t="s">
        <v>38</v>
      </c>
      <c r="I1208" t="str">
        <f t="shared" si="21"/>
        <v>1115_1</v>
      </c>
      <c r="J1208" t="s">
        <v>241</v>
      </c>
      <c r="K1208" t="s">
        <v>179</v>
      </c>
      <c r="L1208" t="str">
        <f>_xlfn.XLOOKUP(C1208, Table2[Species],Table2[Genus], "Code Not Found")</f>
        <v>Acer</v>
      </c>
      <c r="M1208" t="str">
        <f>_xlfn.XLOOKUP(C1208, Table2[Species],Table2[Sp. Name], "Code Not Found")</f>
        <v>saccharum</v>
      </c>
      <c r="N1208" t="str">
        <f>_xlfn.XLOOKUP(C1208,Table2[Species],Table2[Family],"Code Not Found")</f>
        <v>Sapindaceae</v>
      </c>
      <c r="O1208" t="str" cm="1">
        <f t="array" ref="O1208">_xlfn.IFS(F1208="","",F1208&lt;=5,"0 to 5",F1208&lt;=10,"5.1 to 10",F1208&lt;=20,"10 to 20", F1208&lt;= 40, "20 to 40", F1208 &lt;= 50, "40 to 50", F1208 &gt; 50, "&gt;50" )</f>
        <v>10 to 20</v>
      </c>
    </row>
    <row r="1209" spans="1:15" ht="14.4" x14ac:dyDescent="0.3">
      <c r="A1209" t="s">
        <v>240</v>
      </c>
      <c r="B1209" s="1">
        <v>46190</v>
      </c>
      <c r="C1209" t="s">
        <v>16</v>
      </c>
      <c r="D1209">
        <v>1116</v>
      </c>
      <c r="E1209">
        <v>1</v>
      </c>
      <c r="F1209">
        <v>1.3</v>
      </c>
      <c r="G1209" t="s">
        <v>47</v>
      </c>
      <c r="I1209" t="str">
        <f t="shared" si="21"/>
        <v>1116_1</v>
      </c>
      <c r="J1209" t="s">
        <v>241</v>
      </c>
      <c r="K1209" t="s">
        <v>179</v>
      </c>
      <c r="L1209" t="str">
        <f>_xlfn.XLOOKUP(C1209, Table2[Species],Table2[Genus], "Code Not Found")</f>
        <v>Acer</v>
      </c>
      <c r="M1209" t="str">
        <f>_xlfn.XLOOKUP(C1209, Table2[Species],Table2[Sp. Name], "Code Not Found")</f>
        <v>saccharum</v>
      </c>
      <c r="N1209" t="str">
        <f>_xlfn.XLOOKUP(C1209,Table2[Species],Table2[Family],"Code Not Found")</f>
        <v>Sapindaceae</v>
      </c>
      <c r="O1209" t="str" cm="1">
        <f t="array" ref="O1209">_xlfn.IFS(F1209="","",F1209&lt;=5,"0 to 5",F1209&lt;=10,"5.1 to 10",F1209&lt;=20,"10 to 20", F1209&lt;= 40, "20 to 40", F1209 &lt;= 50, "40 to 50", F1209 &gt; 50, "&gt;50" )</f>
        <v>0 to 5</v>
      </c>
    </row>
    <row r="1210" spans="1:15" ht="14.4" x14ac:dyDescent="0.3">
      <c r="A1210" t="s">
        <v>240</v>
      </c>
      <c r="B1210" s="1">
        <v>46191</v>
      </c>
      <c r="C1210" t="s">
        <v>16</v>
      </c>
      <c r="D1210">
        <v>1118</v>
      </c>
      <c r="E1210">
        <v>1</v>
      </c>
      <c r="F1210">
        <v>2.4</v>
      </c>
      <c r="G1210" t="s">
        <v>17</v>
      </c>
      <c r="I1210" t="str">
        <f t="shared" si="21"/>
        <v>1118_1</v>
      </c>
      <c r="J1210" t="s">
        <v>241</v>
      </c>
      <c r="K1210" t="s">
        <v>179</v>
      </c>
      <c r="L1210" t="str">
        <f>_xlfn.XLOOKUP(C1210, Table2[Species],Table2[Genus], "Code Not Found")</f>
        <v>Acer</v>
      </c>
      <c r="M1210" t="str">
        <f>_xlfn.XLOOKUP(C1210, Table2[Species],Table2[Sp. Name], "Code Not Found")</f>
        <v>saccharum</v>
      </c>
      <c r="N1210" t="str">
        <f>_xlfn.XLOOKUP(C1210,Table2[Species],Table2[Family],"Code Not Found")</f>
        <v>Sapindaceae</v>
      </c>
      <c r="O1210" t="str" cm="1">
        <f t="array" ref="O1210">_xlfn.IFS(F1210="","",F1210&lt;=5,"0 to 5",F1210&lt;=10,"5.1 to 10",F1210&lt;=20,"10 to 20", F1210&lt;= 40, "20 to 40", F1210 &lt;= 50, "40 to 50", F1210 &gt; 50, "&gt;50" )</f>
        <v>0 to 5</v>
      </c>
    </row>
    <row r="1211" spans="1:15" ht="14.4" x14ac:dyDescent="0.3">
      <c r="A1211" t="s">
        <v>240</v>
      </c>
      <c r="B1211" s="1">
        <v>46191</v>
      </c>
      <c r="C1211" t="s">
        <v>16</v>
      </c>
      <c r="D1211">
        <v>1119</v>
      </c>
      <c r="E1211">
        <v>1</v>
      </c>
      <c r="F1211">
        <v>2.1</v>
      </c>
      <c r="G1211" t="s">
        <v>170</v>
      </c>
      <c r="H1211" t="s">
        <v>99</v>
      </c>
      <c r="I1211" t="str">
        <f t="shared" si="21"/>
        <v>1119_1</v>
      </c>
      <c r="J1211" t="s">
        <v>241</v>
      </c>
      <c r="K1211" t="s">
        <v>179</v>
      </c>
      <c r="L1211" t="str">
        <f>_xlfn.XLOOKUP(C1211, Table2[Species],Table2[Genus], "Code Not Found")</f>
        <v>Acer</v>
      </c>
      <c r="M1211" t="str">
        <f>_xlfn.XLOOKUP(C1211, Table2[Species],Table2[Sp. Name], "Code Not Found")</f>
        <v>saccharum</v>
      </c>
      <c r="N1211" t="str">
        <f>_xlfn.XLOOKUP(C1211,Table2[Species],Table2[Family],"Code Not Found")</f>
        <v>Sapindaceae</v>
      </c>
      <c r="O1211" t="str" cm="1">
        <f t="array" ref="O1211">_xlfn.IFS(F1211="","",F1211&lt;=5,"0 to 5",F1211&lt;=10,"5.1 to 10",F1211&lt;=20,"10 to 20", F1211&lt;= 40, "20 to 40", F1211 &lt;= 50, "40 to 50", F1211 &gt; 50, "&gt;50" )</f>
        <v>0 to 5</v>
      </c>
    </row>
    <row r="1212" spans="1:15" ht="14.4" x14ac:dyDescent="0.3">
      <c r="A1212" t="s">
        <v>240</v>
      </c>
      <c r="B1212" s="1">
        <v>46191</v>
      </c>
      <c r="C1212" t="s">
        <v>16</v>
      </c>
      <c r="D1212">
        <v>1120</v>
      </c>
      <c r="E1212">
        <v>1</v>
      </c>
      <c r="F1212">
        <v>6</v>
      </c>
      <c r="G1212" t="s">
        <v>21</v>
      </c>
      <c r="I1212" t="str">
        <f t="shared" si="21"/>
        <v>1120_1</v>
      </c>
      <c r="J1212" t="s">
        <v>241</v>
      </c>
      <c r="K1212" t="s">
        <v>179</v>
      </c>
      <c r="L1212" t="str">
        <f>_xlfn.XLOOKUP(C1212, Table2[Species],Table2[Genus], "Code Not Found")</f>
        <v>Acer</v>
      </c>
      <c r="M1212" t="str">
        <f>_xlfn.XLOOKUP(C1212, Table2[Species],Table2[Sp. Name], "Code Not Found")</f>
        <v>saccharum</v>
      </c>
      <c r="N1212" t="str">
        <f>_xlfn.XLOOKUP(C1212,Table2[Species],Table2[Family],"Code Not Found")</f>
        <v>Sapindaceae</v>
      </c>
      <c r="O1212" t="str" cm="1">
        <f t="array" ref="O1212">_xlfn.IFS(F1212="","",F1212&lt;=5,"0 to 5",F1212&lt;=10,"5.1 to 10",F1212&lt;=20,"10 to 20", F1212&lt;= 40, "20 to 40", F1212 &lt;= 50, "40 to 50", F1212 &gt; 50, "&gt;50" )</f>
        <v>5.1 to 10</v>
      </c>
    </row>
    <row r="1213" spans="1:15" ht="14.4" x14ac:dyDescent="0.3">
      <c r="A1213" t="s">
        <v>240</v>
      </c>
      <c r="B1213" s="1">
        <v>46191</v>
      </c>
      <c r="C1213" t="s">
        <v>16</v>
      </c>
      <c r="D1213">
        <v>1121</v>
      </c>
      <c r="E1213">
        <v>1</v>
      </c>
      <c r="F1213">
        <v>6.7</v>
      </c>
      <c r="G1213" t="s">
        <v>47</v>
      </c>
      <c r="H1213" t="s">
        <v>43</v>
      </c>
      <c r="I1213" t="str">
        <f t="shared" si="21"/>
        <v>1121_1</v>
      </c>
      <c r="J1213" t="s">
        <v>241</v>
      </c>
      <c r="K1213" t="s">
        <v>179</v>
      </c>
      <c r="L1213" t="str">
        <f>_xlfn.XLOOKUP(C1213, Table2[Species],Table2[Genus], "Code Not Found")</f>
        <v>Acer</v>
      </c>
      <c r="M1213" t="str">
        <f>_xlfn.XLOOKUP(C1213, Table2[Species],Table2[Sp. Name], "Code Not Found")</f>
        <v>saccharum</v>
      </c>
      <c r="N1213" t="str">
        <f>_xlfn.XLOOKUP(C1213,Table2[Species],Table2[Family],"Code Not Found")</f>
        <v>Sapindaceae</v>
      </c>
      <c r="O1213" t="str" cm="1">
        <f t="array" ref="O1213">_xlfn.IFS(F1213="","",F1213&lt;=5,"0 to 5",F1213&lt;=10,"5.1 to 10",F1213&lt;=20,"10 to 20", F1213&lt;= 40, "20 to 40", F1213 &lt;= 50, "40 to 50", F1213 &gt; 50, "&gt;50" )</f>
        <v>5.1 to 10</v>
      </c>
    </row>
    <row r="1214" spans="1:15" ht="14.4" x14ac:dyDescent="0.3">
      <c r="A1214" t="s">
        <v>240</v>
      </c>
      <c r="B1214" s="1">
        <v>46191</v>
      </c>
      <c r="C1214" t="s">
        <v>16</v>
      </c>
      <c r="D1214">
        <v>1122</v>
      </c>
      <c r="E1214">
        <v>1</v>
      </c>
      <c r="F1214">
        <v>2</v>
      </c>
      <c r="G1214" t="s">
        <v>54</v>
      </c>
      <c r="I1214" t="str">
        <f t="shared" si="21"/>
        <v>1122_1</v>
      </c>
      <c r="J1214" t="s">
        <v>241</v>
      </c>
      <c r="K1214" t="s">
        <v>179</v>
      </c>
      <c r="L1214" t="str">
        <f>_xlfn.XLOOKUP(C1214, Table2[Species],Table2[Genus], "Code Not Found")</f>
        <v>Acer</v>
      </c>
      <c r="M1214" t="str">
        <f>_xlfn.XLOOKUP(C1214, Table2[Species],Table2[Sp. Name], "Code Not Found")</f>
        <v>saccharum</v>
      </c>
      <c r="N1214" t="str">
        <f>_xlfn.XLOOKUP(C1214,Table2[Species],Table2[Family],"Code Not Found")</f>
        <v>Sapindaceae</v>
      </c>
      <c r="O1214" t="str" cm="1">
        <f t="array" ref="O1214">_xlfn.IFS(F1214="","",F1214&lt;=5,"0 to 5",F1214&lt;=10,"5.1 to 10",F1214&lt;=20,"10 to 20", F1214&lt;= 40, "20 to 40", F1214 &lt;= 50, "40 to 50", F1214 &gt; 50, "&gt;50" )</f>
        <v>0 to 5</v>
      </c>
    </row>
    <row r="1215" spans="1:15" ht="14.4" x14ac:dyDescent="0.3">
      <c r="A1215" t="s">
        <v>240</v>
      </c>
      <c r="B1215" s="1">
        <v>46191</v>
      </c>
      <c r="C1215" t="s">
        <v>24</v>
      </c>
      <c r="D1215">
        <v>1123</v>
      </c>
      <c r="E1215">
        <v>1</v>
      </c>
      <c r="F1215">
        <v>90.7</v>
      </c>
      <c r="G1215" t="s">
        <v>21</v>
      </c>
      <c r="I1215" t="str">
        <f t="shared" si="21"/>
        <v>1123_1</v>
      </c>
      <c r="J1215" t="s">
        <v>241</v>
      </c>
      <c r="K1215" t="s">
        <v>179</v>
      </c>
      <c r="L1215" t="str">
        <f>_xlfn.XLOOKUP(C1215, Table2[Species],Table2[Genus], "Code Not Found")</f>
        <v>Lirodendron</v>
      </c>
      <c r="M1215" t="str">
        <f>_xlfn.XLOOKUP(C1215, Table2[Species],Table2[Sp. Name], "Code Not Found")</f>
        <v>tulipfera</v>
      </c>
      <c r="N1215" t="str">
        <f>_xlfn.XLOOKUP(C1215,Table2[Species],Table2[Family],"Code Not Found")</f>
        <v>Magnoliaceae</v>
      </c>
      <c r="O1215" t="str" cm="1">
        <f t="array" ref="O1215">_xlfn.IFS(F1215="","",F1215&lt;=5,"0 to 5",F1215&lt;=10,"5.1 to 10",F1215&lt;=20,"10 to 20", F1215&lt;= 40, "20 to 40", F1215 &lt;= 50, "40 to 50", F1215 &gt; 50, "&gt;50" )</f>
        <v>&gt;50</v>
      </c>
    </row>
    <row r="1216" spans="1:15" ht="14.4" x14ac:dyDescent="0.3">
      <c r="A1216" t="s">
        <v>240</v>
      </c>
      <c r="B1216" s="1">
        <v>46191</v>
      </c>
      <c r="C1216" t="s">
        <v>16</v>
      </c>
      <c r="D1216">
        <v>1124</v>
      </c>
      <c r="E1216">
        <v>1</v>
      </c>
      <c r="F1216">
        <v>12.3</v>
      </c>
      <c r="G1216" t="s">
        <v>17</v>
      </c>
      <c r="I1216" t="str">
        <f t="shared" si="21"/>
        <v>1124_1</v>
      </c>
      <c r="J1216" t="s">
        <v>241</v>
      </c>
      <c r="K1216" t="s">
        <v>179</v>
      </c>
      <c r="L1216" t="str">
        <f>_xlfn.XLOOKUP(C1216, Table2[Species],Table2[Genus], "Code Not Found")</f>
        <v>Acer</v>
      </c>
      <c r="M1216" t="str">
        <f>_xlfn.XLOOKUP(C1216, Table2[Species],Table2[Sp. Name], "Code Not Found")</f>
        <v>saccharum</v>
      </c>
      <c r="N1216" t="str">
        <f>_xlfn.XLOOKUP(C1216,Table2[Species],Table2[Family],"Code Not Found")</f>
        <v>Sapindaceae</v>
      </c>
      <c r="O1216" t="str" cm="1">
        <f t="array" ref="O1216">_xlfn.IFS(F1216="","",F1216&lt;=5,"0 to 5",F1216&lt;=10,"5.1 to 10",F1216&lt;=20,"10 to 20", F1216&lt;= 40, "20 to 40", F1216 &lt;= 50, "40 to 50", F1216 &gt; 50, "&gt;50" )</f>
        <v>10 to 20</v>
      </c>
    </row>
    <row r="1217" spans="1:15" ht="14.4" x14ac:dyDescent="0.3">
      <c r="A1217" t="s">
        <v>240</v>
      </c>
      <c r="B1217" s="1">
        <v>46191</v>
      </c>
      <c r="C1217" t="s">
        <v>16</v>
      </c>
      <c r="D1217">
        <v>1125</v>
      </c>
      <c r="E1217">
        <v>1</v>
      </c>
      <c r="F1217">
        <v>10.199999999999999</v>
      </c>
      <c r="G1217" t="s">
        <v>21</v>
      </c>
      <c r="I1217" t="str">
        <f t="shared" si="21"/>
        <v>1125_1</v>
      </c>
      <c r="J1217" t="s">
        <v>241</v>
      </c>
      <c r="K1217" t="s">
        <v>179</v>
      </c>
      <c r="L1217" t="str">
        <f>_xlfn.XLOOKUP(C1217, Table2[Species],Table2[Genus], "Code Not Found")</f>
        <v>Acer</v>
      </c>
      <c r="M1217" t="str">
        <f>_xlfn.XLOOKUP(C1217, Table2[Species],Table2[Sp. Name], "Code Not Found")</f>
        <v>saccharum</v>
      </c>
      <c r="N1217" t="str">
        <f>_xlfn.XLOOKUP(C1217,Table2[Species],Table2[Family],"Code Not Found")</f>
        <v>Sapindaceae</v>
      </c>
      <c r="O1217" t="str" cm="1">
        <f t="array" ref="O1217">_xlfn.IFS(F1217="","",F1217&lt;=5,"0 to 5",F1217&lt;=10,"5.1 to 10",F1217&lt;=20,"10 to 20", F1217&lt;= 40, "20 to 40", F1217 &lt;= 50, "40 to 50", F1217 &gt; 50, "&gt;50" )</f>
        <v>10 to 20</v>
      </c>
    </row>
    <row r="1218" spans="1:15" ht="14.4" x14ac:dyDescent="0.3">
      <c r="A1218" t="s">
        <v>240</v>
      </c>
      <c r="B1218" s="1">
        <v>46191</v>
      </c>
      <c r="C1218" t="s">
        <v>16</v>
      </c>
      <c r="D1218">
        <v>1126</v>
      </c>
      <c r="E1218">
        <v>1</v>
      </c>
      <c r="F1218">
        <v>4.0999999999999996</v>
      </c>
      <c r="G1218" t="s">
        <v>47</v>
      </c>
      <c r="H1218" t="s">
        <v>43</v>
      </c>
      <c r="I1218" t="str">
        <f t="shared" si="21"/>
        <v>1126_1</v>
      </c>
      <c r="J1218" t="s">
        <v>241</v>
      </c>
      <c r="K1218" t="s">
        <v>179</v>
      </c>
      <c r="L1218" t="str">
        <f>_xlfn.XLOOKUP(C1218, Table2[Species],Table2[Genus], "Code Not Found")</f>
        <v>Acer</v>
      </c>
      <c r="M1218" t="str">
        <f>_xlfn.XLOOKUP(C1218, Table2[Species],Table2[Sp. Name], "Code Not Found")</f>
        <v>saccharum</v>
      </c>
      <c r="N1218" t="str">
        <f>_xlfn.XLOOKUP(C1218,Table2[Species],Table2[Family],"Code Not Found")</f>
        <v>Sapindaceae</v>
      </c>
      <c r="O1218" t="str" cm="1">
        <f t="array" ref="O1218">_xlfn.IFS(F1218="","",F1218&lt;=5,"0 to 5",F1218&lt;=10,"5.1 to 10",F1218&lt;=20,"10 to 20", F1218&lt;= 40, "20 to 40", F1218 &lt;= 50, "40 to 50", F1218 &gt; 50, "&gt;50" )</f>
        <v>0 to 5</v>
      </c>
    </row>
    <row r="1219" spans="1:15" ht="14.4" x14ac:dyDescent="0.3">
      <c r="A1219" t="s">
        <v>240</v>
      </c>
      <c r="B1219" s="1">
        <v>46191</v>
      </c>
      <c r="C1219" t="s">
        <v>16</v>
      </c>
      <c r="D1219">
        <v>1127</v>
      </c>
      <c r="E1219">
        <v>1</v>
      </c>
      <c r="F1219">
        <v>10.6</v>
      </c>
      <c r="G1219" t="s">
        <v>17</v>
      </c>
      <c r="I1219" t="str">
        <f t="shared" si="21"/>
        <v>1127_1</v>
      </c>
      <c r="J1219" t="s">
        <v>241</v>
      </c>
      <c r="K1219" t="s">
        <v>179</v>
      </c>
      <c r="L1219" t="str">
        <f>_xlfn.XLOOKUP(C1219, Table2[Species],Table2[Genus], "Code Not Found")</f>
        <v>Acer</v>
      </c>
      <c r="M1219" t="str">
        <f>_xlfn.XLOOKUP(C1219, Table2[Species],Table2[Sp. Name], "Code Not Found")</f>
        <v>saccharum</v>
      </c>
      <c r="N1219" t="str">
        <f>_xlfn.XLOOKUP(C1219,Table2[Species],Table2[Family],"Code Not Found")</f>
        <v>Sapindaceae</v>
      </c>
      <c r="O1219" t="str" cm="1">
        <f t="array" ref="O1219">_xlfn.IFS(F1219="","",F1219&lt;=5,"0 to 5",F1219&lt;=10,"5.1 to 10",F1219&lt;=20,"10 to 20", F1219&lt;= 40, "20 to 40", F1219 &lt;= 50, "40 to 50", F1219 &gt; 50, "&gt;50" )</f>
        <v>10 to 20</v>
      </c>
    </row>
    <row r="1220" spans="1:15" ht="14.4" x14ac:dyDescent="0.3">
      <c r="A1220" t="s">
        <v>240</v>
      </c>
      <c r="B1220" s="1">
        <v>46191</v>
      </c>
      <c r="C1220" t="s">
        <v>16</v>
      </c>
      <c r="D1220">
        <v>1128</v>
      </c>
      <c r="E1220">
        <v>1</v>
      </c>
      <c r="F1220">
        <v>4.8</v>
      </c>
      <c r="G1220" t="s">
        <v>17</v>
      </c>
      <c r="I1220" t="str">
        <f t="shared" si="21"/>
        <v>1128_1</v>
      </c>
      <c r="J1220" t="s">
        <v>241</v>
      </c>
      <c r="K1220" t="s">
        <v>179</v>
      </c>
      <c r="L1220" t="str">
        <f>_xlfn.XLOOKUP(C1220, Table2[Species],Table2[Genus], "Code Not Found")</f>
        <v>Acer</v>
      </c>
      <c r="M1220" t="str">
        <f>_xlfn.XLOOKUP(C1220, Table2[Species],Table2[Sp. Name], "Code Not Found")</f>
        <v>saccharum</v>
      </c>
      <c r="N1220" t="str">
        <f>_xlfn.XLOOKUP(C1220,Table2[Species],Table2[Family],"Code Not Found")</f>
        <v>Sapindaceae</v>
      </c>
      <c r="O1220" t="str" cm="1">
        <f t="array" ref="O1220">_xlfn.IFS(F1220="","",F1220&lt;=5,"0 to 5",F1220&lt;=10,"5.1 to 10",F1220&lt;=20,"10 to 20", F1220&lt;= 40, "20 to 40", F1220 &lt;= 50, "40 to 50", F1220 &gt; 50, "&gt;50" )</f>
        <v>0 to 5</v>
      </c>
    </row>
    <row r="1221" spans="1:15" ht="14.4" x14ac:dyDescent="0.3">
      <c r="A1221" t="s">
        <v>240</v>
      </c>
      <c r="B1221" s="1">
        <v>46191</v>
      </c>
      <c r="C1221" t="s">
        <v>16</v>
      </c>
      <c r="D1221">
        <v>1129</v>
      </c>
      <c r="E1221">
        <v>1</v>
      </c>
      <c r="F1221">
        <v>3</v>
      </c>
      <c r="G1221" t="s">
        <v>34</v>
      </c>
      <c r="I1221" t="str">
        <f t="shared" si="21"/>
        <v>1129_1</v>
      </c>
      <c r="J1221" t="s">
        <v>241</v>
      </c>
      <c r="K1221" t="s">
        <v>179</v>
      </c>
      <c r="L1221" t="str">
        <f>_xlfn.XLOOKUP(C1221, Table2[Species],Table2[Genus], "Code Not Found")</f>
        <v>Acer</v>
      </c>
      <c r="M1221" t="str">
        <f>_xlfn.XLOOKUP(C1221, Table2[Species],Table2[Sp. Name], "Code Not Found")</f>
        <v>saccharum</v>
      </c>
      <c r="N1221" t="str">
        <f>_xlfn.XLOOKUP(C1221,Table2[Species],Table2[Family],"Code Not Found")</f>
        <v>Sapindaceae</v>
      </c>
      <c r="O1221" t="str" cm="1">
        <f t="array" ref="O1221">_xlfn.IFS(F1221="","",F1221&lt;=5,"0 to 5",F1221&lt;=10,"5.1 to 10",F1221&lt;=20,"10 to 20", F1221&lt;= 40, "20 to 40", F1221 &lt;= 50, "40 to 50", F1221 &gt; 50, "&gt;50" )</f>
        <v>0 to 5</v>
      </c>
    </row>
    <row r="1222" spans="1:15" ht="14.4" x14ac:dyDescent="0.3">
      <c r="A1222" t="s">
        <v>240</v>
      </c>
      <c r="B1222" s="1">
        <v>46191</v>
      </c>
      <c r="C1222" t="s">
        <v>16</v>
      </c>
      <c r="D1222">
        <v>1129</v>
      </c>
      <c r="E1222">
        <v>2</v>
      </c>
      <c r="F1222">
        <v>2.9</v>
      </c>
      <c r="G1222" t="s">
        <v>34</v>
      </c>
      <c r="I1222" t="str">
        <f t="shared" si="21"/>
        <v>1129_2</v>
      </c>
      <c r="J1222" t="s">
        <v>241</v>
      </c>
      <c r="K1222" t="s">
        <v>179</v>
      </c>
      <c r="L1222" t="str">
        <f>_xlfn.XLOOKUP(C1222, Table2[Species],Table2[Genus], "Code Not Found")</f>
        <v>Acer</v>
      </c>
      <c r="M1222" t="str">
        <f>_xlfn.XLOOKUP(C1222, Table2[Species],Table2[Sp. Name], "Code Not Found")</f>
        <v>saccharum</v>
      </c>
      <c r="N1222" t="str">
        <f>_xlfn.XLOOKUP(C1222,Table2[Species],Table2[Family],"Code Not Found")</f>
        <v>Sapindaceae</v>
      </c>
      <c r="O1222" t="str" cm="1">
        <f t="array" ref="O1222">_xlfn.IFS(F1222="","",F1222&lt;=5,"0 to 5",F1222&lt;=10,"5.1 to 10",F1222&lt;=20,"10 to 20", F1222&lt;= 40, "20 to 40", F1222 &lt;= 50, "40 to 50", F1222 &gt; 50, "&gt;50" )</f>
        <v>0 to 5</v>
      </c>
    </row>
    <row r="1223" spans="1:15" ht="14.4" x14ac:dyDescent="0.3">
      <c r="A1223" t="s">
        <v>240</v>
      </c>
      <c r="B1223" s="1">
        <v>46191</v>
      </c>
      <c r="C1223" t="s">
        <v>16</v>
      </c>
      <c r="D1223">
        <v>1130</v>
      </c>
      <c r="E1223">
        <v>1</v>
      </c>
      <c r="F1223">
        <v>5.0999999999999996</v>
      </c>
      <c r="G1223" t="s">
        <v>17</v>
      </c>
      <c r="I1223" t="str">
        <f t="shared" si="21"/>
        <v>1130_1</v>
      </c>
      <c r="J1223" t="s">
        <v>241</v>
      </c>
      <c r="K1223" t="s">
        <v>179</v>
      </c>
      <c r="L1223" t="str">
        <f>_xlfn.XLOOKUP(C1223, Table2[Species],Table2[Genus], "Code Not Found")</f>
        <v>Acer</v>
      </c>
      <c r="M1223" t="str">
        <f>_xlfn.XLOOKUP(C1223, Table2[Species],Table2[Sp. Name], "Code Not Found")</f>
        <v>saccharum</v>
      </c>
      <c r="N1223" t="str">
        <f>_xlfn.XLOOKUP(C1223,Table2[Species],Table2[Family],"Code Not Found")</f>
        <v>Sapindaceae</v>
      </c>
      <c r="O1223" t="str" cm="1">
        <f t="array" ref="O1223">_xlfn.IFS(F1223="","",F1223&lt;=5,"0 to 5",F1223&lt;=10,"5.1 to 10",F1223&lt;=20,"10 to 20", F1223&lt;= 40, "20 to 40", F1223 &lt;= 50, "40 to 50", F1223 &gt; 50, "&gt;50" )</f>
        <v>5.1 to 10</v>
      </c>
    </row>
    <row r="1224" spans="1:15" ht="14.4" x14ac:dyDescent="0.3">
      <c r="A1224" t="s">
        <v>240</v>
      </c>
      <c r="B1224" s="1">
        <v>46191</v>
      </c>
      <c r="C1224" t="s">
        <v>16</v>
      </c>
      <c r="D1224">
        <v>1131</v>
      </c>
      <c r="E1224">
        <v>1</v>
      </c>
      <c r="F1224">
        <v>1.8</v>
      </c>
      <c r="G1224" t="s">
        <v>69</v>
      </c>
      <c r="H1224" t="s">
        <v>43</v>
      </c>
      <c r="I1224" t="str">
        <f t="shared" si="21"/>
        <v>1131_1</v>
      </c>
      <c r="J1224" t="s">
        <v>241</v>
      </c>
      <c r="K1224" t="s">
        <v>179</v>
      </c>
      <c r="L1224" t="str">
        <f>_xlfn.XLOOKUP(C1224, Table2[Species],Table2[Genus], "Code Not Found")</f>
        <v>Acer</v>
      </c>
      <c r="M1224" t="str">
        <f>_xlfn.XLOOKUP(C1224, Table2[Species],Table2[Sp. Name], "Code Not Found")</f>
        <v>saccharum</v>
      </c>
      <c r="N1224" t="str">
        <f>_xlfn.XLOOKUP(C1224,Table2[Species],Table2[Family],"Code Not Found")</f>
        <v>Sapindaceae</v>
      </c>
      <c r="O1224" t="str" cm="1">
        <f t="array" ref="O1224">_xlfn.IFS(F1224="","",F1224&lt;=5,"0 to 5",F1224&lt;=10,"5.1 to 10",F1224&lt;=20,"10 to 20", F1224&lt;= 40, "20 to 40", F1224 &lt;= 50, "40 to 50", F1224 &gt; 50, "&gt;50" )</f>
        <v>0 to 5</v>
      </c>
    </row>
    <row r="1225" spans="1:15" ht="14.4" x14ac:dyDescent="0.3">
      <c r="A1225" t="s">
        <v>240</v>
      </c>
      <c r="B1225" s="1">
        <v>46191</v>
      </c>
      <c r="C1225" t="s">
        <v>16</v>
      </c>
      <c r="D1225">
        <v>1132</v>
      </c>
      <c r="E1225">
        <v>1</v>
      </c>
      <c r="F1225">
        <v>1.6</v>
      </c>
      <c r="G1225" t="s">
        <v>17</v>
      </c>
      <c r="I1225" t="str">
        <f t="shared" si="21"/>
        <v>1132_1</v>
      </c>
      <c r="J1225" t="s">
        <v>241</v>
      </c>
      <c r="K1225" t="s">
        <v>179</v>
      </c>
      <c r="L1225" t="str">
        <f>_xlfn.XLOOKUP(C1225, Table2[Species],Table2[Genus], "Code Not Found")</f>
        <v>Acer</v>
      </c>
      <c r="M1225" t="str">
        <f>_xlfn.XLOOKUP(C1225, Table2[Species],Table2[Sp. Name], "Code Not Found")</f>
        <v>saccharum</v>
      </c>
      <c r="N1225" t="str">
        <f>_xlfn.XLOOKUP(C1225,Table2[Species],Table2[Family],"Code Not Found")</f>
        <v>Sapindaceae</v>
      </c>
      <c r="O1225" t="str" cm="1">
        <f t="array" ref="O1225">_xlfn.IFS(F1225="","",F1225&lt;=5,"0 to 5",F1225&lt;=10,"5.1 to 10",F1225&lt;=20,"10 to 20", F1225&lt;= 40, "20 to 40", F1225 &lt;= 50, "40 to 50", F1225 &gt; 50, "&gt;50" )</f>
        <v>0 to 5</v>
      </c>
    </row>
    <row r="1226" spans="1:15" ht="14.4" x14ac:dyDescent="0.3">
      <c r="A1226" t="s">
        <v>240</v>
      </c>
      <c r="B1226" s="1">
        <v>46191</v>
      </c>
      <c r="C1226" t="s">
        <v>16</v>
      </c>
      <c r="D1226">
        <v>1133</v>
      </c>
      <c r="E1226">
        <v>1</v>
      </c>
      <c r="F1226">
        <v>3.5</v>
      </c>
      <c r="G1226" t="s">
        <v>17</v>
      </c>
      <c r="I1226" t="str">
        <f t="shared" si="21"/>
        <v>1133_1</v>
      </c>
      <c r="J1226" t="s">
        <v>241</v>
      </c>
      <c r="K1226" t="s">
        <v>179</v>
      </c>
      <c r="L1226" t="str">
        <f>_xlfn.XLOOKUP(C1226, Table2[Species],Table2[Genus], "Code Not Found")</f>
        <v>Acer</v>
      </c>
      <c r="M1226" t="str">
        <f>_xlfn.XLOOKUP(C1226, Table2[Species],Table2[Sp. Name], "Code Not Found")</f>
        <v>saccharum</v>
      </c>
      <c r="N1226" t="str">
        <f>_xlfn.XLOOKUP(C1226,Table2[Species],Table2[Family],"Code Not Found")</f>
        <v>Sapindaceae</v>
      </c>
      <c r="O1226" t="str" cm="1">
        <f t="array" ref="O1226">_xlfn.IFS(F1226="","",F1226&lt;=5,"0 to 5",F1226&lt;=10,"5.1 to 10",F1226&lt;=20,"10 to 20", F1226&lt;= 40, "20 to 40", F1226 &lt;= 50, "40 to 50", F1226 &gt; 50, "&gt;50" )</f>
        <v>0 to 5</v>
      </c>
    </row>
    <row r="1227" spans="1:15" ht="14.4" x14ac:dyDescent="0.3">
      <c r="A1227" t="s">
        <v>240</v>
      </c>
      <c r="B1227" s="1">
        <v>46191</v>
      </c>
      <c r="C1227" t="s">
        <v>16</v>
      </c>
      <c r="D1227">
        <v>1134</v>
      </c>
      <c r="E1227">
        <v>1</v>
      </c>
      <c r="F1227">
        <v>1.8</v>
      </c>
      <c r="G1227" t="s">
        <v>69</v>
      </c>
      <c r="H1227" t="s">
        <v>43</v>
      </c>
      <c r="I1227" t="str">
        <f t="shared" si="21"/>
        <v>1134_1</v>
      </c>
      <c r="J1227" t="s">
        <v>241</v>
      </c>
      <c r="K1227" t="s">
        <v>179</v>
      </c>
      <c r="L1227" t="str">
        <f>_xlfn.XLOOKUP(C1227, Table2[Species],Table2[Genus], "Code Not Found")</f>
        <v>Acer</v>
      </c>
      <c r="M1227" t="str">
        <f>_xlfn.XLOOKUP(C1227, Table2[Species],Table2[Sp. Name], "Code Not Found")</f>
        <v>saccharum</v>
      </c>
      <c r="N1227" t="str">
        <f>_xlfn.XLOOKUP(C1227,Table2[Species],Table2[Family],"Code Not Found")</f>
        <v>Sapindaceae</v>
      </c>
      <c r="O1227" t="str" cm="1">
        <f t="array" ref="O1227">_xlfn.IFS(F1227="","",F1227&lt;=5,"0 to 5",F1227&lt;=10,"5.1 to 10",F1227&lt;=20,"10 to 20", F1227&lt;= 40, "20 to 40", F1227 &lt;= 50, "40 to 50", F1227 &gt; 50, "&gt;50" )</f>
        <v>0 to 5</v>
      </c>
    </row>
    <row r="1228" spans="1:15" ht="14.4" x14ac:dyDescent="0.3">
      <c r="A1228" t="s">
        <v>240</v>
      </c>
      <c r="B1228" s="1">
        <v>46191</v>
      </c>
      <c r="C1228" t="s">
        <v>16</v>
      </c>
      <c r="D1228">
        <v>1135</v>
      </c>
      <c r="E1228">
        <v>1</v>
      </c>
      <c r="F1228">
        <v>7.5</v>
      </c>
      <c r="G1228" t="s">
        <v>17</v>
      </c>
      <c r="I1228" t="str">
        <f t="shared" si="21"/>
        <v>1135_1</v>
      </c>
      <c r="J1228" t="s">
        <v>241</v>
      </c>
      <c r="K1228" t="s">
        <v>179</v>
      </c>
      <c r="L1228" t="str">
        <f>_xlfn.XLOOKUP(C1228, Table2[Species],Table2[Genus], "Code Not Found")</f>
        <v>Acer</v>
      </c>
      <c r="M1228" t="str">
        <f>_xlfn.XLOOKUP(C1228, Table2[Species],Table2[Sp. Name], "Code Not Found")</f>
        <v>saccharum</v>
      </c>
      <c r="N1228" t="str">
        <f>_xlfn.XLOOKUP(C1228,Table2[Species],Table2[Family],"Code Not Found")</f>
        <v>Sapindaceae</v>
      </c>
      <c r="O1228" t="str" cm="1">
        <f t="array" ref="O1228">_xlfn.IFS(F1228="","",F1228&lt;=5,"0 to 5",F1228&lt;=10,"5.1 to 10",F1228&lt;=20,"10 to 20", F1228&lt;= 40, "20 to 40", F1228 &lt;= 50, "40 to 50", F1228 &gt; 50, "&gt;50" )</f>
        <v>5.1 to 10</v>
      </c>
    </row>
    <row r="1229" spans="1:15" ht="14.4" x14ac:dyDescent="0.3">
      <c r="A1229" t="s">
        <v>240</v>
      </c>
      <c r="B1229" s="1">
        <v>46191</v>
      </c>
      <c r="C1229" t="s">
        <v>16</v>
      </c>
      <c r="D1229">
        <v>1136</v>
      </c>
      <c r="E1229">
        <v>1</v>
      </c>
      <c r="F1229">
        <v>1.1000000000000001</v>
      </c>
      <c r="G1229" t="s">
        <v>17</v>
      </c>
      <c r="H1229" t="s">
        <v>43</v>
      </c>
      <c r="I1229" t="str">
        <f t="shared" si="21"/>
        <v>1136_1</v>
      </c>
      <c r="J1229" t="s">
        <v>241</v>
      </c>
      <c r="K1229" t="s">
        <v>179</v>
      </c>
      <c r="L1229" t="str">
        <f>_xlfn.XLOOKUP(C1229, Table2[Species],Table2[Genus], "Code Not Found")</f>
        <v>Acer</v>
      </c>
      <c r="M1229" t="str">
        <f>_xlfn.XLOOKUP(C1229, Table2[Species],Table2[Sp. Name], "Code Not Found")</f>
        <v>saccharum</v>
      </c>
      <c r="N1229" t="str">
        <f>_xlfn.XLOOKUP(C1229,Table2[Species],Table2[Family],"Code Not Found")</f>
        <v>Sapindaceae</v>
      </c>
      <c r="O1229" t="str" cm="1">
        <f t="array" ref="O1229">_xlfn.IFS(F1229="","",F1229&lt;=5,"0 to 5",F1229&lt;=10,"5.1 to 10",F1229&lt;=20,"10 to 20", F1229&lt;= 40, "20 to 40", F1229 &lt;= 50, "40 to 50", F1229 &gt; 50, "&gt;50" )</f>
        <v>0 to 5</v>
      </c>
    </row>
    <row r="1230" spans="1:15" ht="14.4" x14ac:dyDescent="0.3">
      <c r="A1230" t="s">
        <v>240</v>
      </c>
      <c r="B1230" s="1">
        <v>46191</v>
      </c>
      <c r="C1230" t="s">
        <v>16</v>
      </c>
      <c r="D1230">
        <v>1137</v>
      </c>
      <c r="E1230">
        <v>1</v>
      </c>
      <c r="F1230">
        <v>1.9</v>
      </c>
      <c r="G1230" t="s">
        <v>17</v>
      </c>
      <c r="I1230" t="str">
        <f t="shared" si="21"/>
        <v>1137_1</v>
      </c>
      <c r="J1230" t="s">
        <v>241</v>
      </c>
      <c r="K1230" t="s">
        <v>179</v>
      </c>
      <c r="L1230" t="str">
        <f>_xlfn.XLOOKUP(C1230, Table2[Species],Table2[Genus], "Code Not Found")</f>
        <v>Acer</v>
      </c>
      <c r="M1230" t="str">
        <f>_xlfn.XLOOKUP(C1230, Table2[Species],Table2[Sp. Name], "Code Not Found")</f>
        <v>saccharum</v>
      </c>
      <c r="N1230" t="str">
        <f>_xlfn.XLOOKUP(C1230,Table2[Species],Table2[Family],"Code Not Found")</f>
        <v>Sapindaceae</v>
      </c>
      <c r="O1230" t="str" cm="1">
        <f t="array" ref="O1230">_xlfn.IFS(F1230="","",F1230&lt;=5,"0 to 5",F1230&lt;=10,"5.1 to 10",F1230&lt;=20,"10 to 20", F1230&lt;= 40, "20 to 40", F1230 &lt;= 50, "40 to 50", F1230 &gt; 50, "&gt;50" )</f>
        <v>0 to 5</v>
      </c>
    </row>
    <row r="1231" spans="1:15" ht="14.4" x14ac:dyDescent="0.3">
      <c r="A1231" t="s">
        <v>240</v>
      </c>
      <c r="B1231" s="1">
        <v>46191</v>
      </c>
      <c r="C1231" t="s">
        <v>16</v>
      </c>
      <c r="D1231">
        <v>1138</v>
      </c>
      <c r="E1231">
        <v>1</v>
      </c>
      <c r="F1231">
        <v>3</v>
      </c>
      <c r="G1231" t="s">
        <v>88</v>
      </c>
      <c r="H1231" t="s">
        <v>99</v>
      </c>
      <c r="I1231" t="str">
        <f t="shared" si="21"/>
        <v>1138_1</v>
      </c>
      <c r="J1231" t="s">
        <v>241</v>
      </c>
      <c r="K1231" t="s">
        <v>179</v>
      </c>
      <c r="L1231" t="str">
        <f>_xlfn.XLOOKUP(C1231, Table2[Species],Table2[Genus], "Code Not Found")</f>
        <v>Acer</v>
      </c>
      <c r="M1231" t="str">
        <f>_xlfn.XLOOKUP(C1231, Table2[Species],Table2[Sp. Name], "Code Not Found")</f>
        <v>saccharum</v>
      </c>
      <c r="N1231" t="str">
        <f>_xlfn.XLOOKUP(C1231,Table2[Species],Table2[Family],"Code Not Found")</f>
        <v>Sapindaceae</v>
      </c>
      <c r="O1231" t="str" cm="1">
        <f t="array" ref="O1231">_xlfn.IFS(F1231="","",F1231&lt;=5,"0 to 5",F1231&lt;=10,"5.1 to 10",F1231&lt;=20,"10 to 20", F1231&lt;= 40, "20 to 40", F1231 &lt;= 50, "40 to 50", F1231 &gt; 50, "&gt;50" )</f>
        <v>0 to 5</v>
      </c>
    </row>
    <row r="1232" spans="1:15" ht="14.4" x14ac:dyDescent="0.3">
      <c r="A1232" t="s">
        <v>240</v>
      </c>
      <c r="B1232" s="1">
        <v>46191</v>
      </c>
      <c r="C1232" t="s">
        <v>16</v>
      </c>
      <c r="D1232">
        <v>1139</v>
      </c>
      <c r="E1232">
        <v>1</v>
      </c>
      <c r="F1232">
        <v>10.1</v>
      </c>
      <c r="G1232" t="s">
        <v>17</v>
      </c>
      <c r="I1232" t="str">
        <f t="shared" si="21"/>
        <v>1139_1</v>
      </c>
      <c r="J1232" t="s">
        <v>241</v>
      </c>
      <c r="K1232" t="s">
        <v>179</v>
      </c>
      <c r="L1232" t="str">
        <f>_xlfn.XLOOKUP(C1232, Table2[Species],Table2[Genus], "Code Not Found")</f>
        <v>Acer</v>
      </c>
      <c r="M1232" t="str">
        <f>_xlfn.XLOOKUP(C1232, Table2[Species],Table2[Sp. Name], "Code Not Found")</f>
        <v>saccharum</v>
      </c>
      <c r="N1232" t="str">
        <f>_xlfn.XLOOKUP(C1232,Table2[Species],Table2[Family],"Code Not Found")</f>
        <v>Sapindaceae</v>
      </c>
      <c r="O1232" t="str" cm="1">
        <f t="array" ref="O1232">_xlfn.IFS(F1232="","",F1232&lt;=5,"0 to 5",F1232&lt;=10,"5.1 to 10",F1232&lt;=20,"10 to 20", F1232&lt;= 40, "20 to 40", F1232 &lt;= 50, "40 to 50", F1232 &gt; 50, "&gt;50" )</f>
        <v>10 to 20</v>
      </c>
    </row>
    <row r="1233" spans="1:15" ht="14.4" x14ac:dyDescent="0.3">
      <c r="A1233" t="s">
        <v>240</v>
      </c>
      <c r="B1233" s="1">
        <v>46191</v>
      </c>
      <c r="C1233" t="s">
        <v>16</v>
      </c>
      <c r="D1233">
        <v>1140</v>
      </c>
      <c r="E1233">
        <v>1</v>
      </c>
      <c r="F1233">
        <v>20.8</v>
      </c>
      <c r="G1233" t="s">
        <v>47</v>
      </c>
      <c r="H1233" t="s">
        <v>43</v>
      </c>
      <c r="I1233" t="str">
        <f t="shared" si="21"/>
        <v>1140_1</v>
      </c>
      <c r="J1233" t="s">
        <v>241</v>
      </c>
      <c r="K1233" t="s">
        <v>179</v>
      </c>
      <c r="L1233" t="str">
        <f>_xlfn.XLOOKUP(C1233, Table2[Species],Table2[Genus], "Code Not Found")</f>
        <v>Acer</v>
      </c>
      <c r="M1233" t="str">
        <f>_xlfn.XLOOKUP(C1233, Table2[Species],Table2[Sp. Name], "Code Not Found")</f>
        <v>saccharum</v>
      </c>
      <c r="N1233" t="str">
        <f>_xlfn.XLOOKUP(C1233,Table2[Species],Table2[Family],"Code Not Found")</f>
        <v>Sapindaceae</v>
      </c>
      <c r="O1233" t="str" cm="1">
        <f t="array" ref="O1233">_xlfn.IFS(F1233="","",F1233&lt;=5,"0 to 5",F1233&lt;=10,"5.1 to 10",F1233&lt;=20,"10 to 20", F1233&lt;= 40, "20 to 40", F1233 &lt;= 50, "40 to 50", F1233 &gt; 50, "&gt;50" )</f>
        <v>20 to 40</v>
      </c>
    </row>
    <row r="1234" spans="1:15" ht="14.4" x14ac:dyDescent="0.3">
      <c r="A1234" t="s">
        <v>240</v>
      </c>
      <c r="B1234" s="1">
        <v>46191</v>
      </c>
      <c r="C1234" t="s">
        <v>64</v>
      </c>
      <c r="D1234">
        <v>1141</v>
      </c>
      <c r="E1234">
        <v>1</v>
      </c>
      <c r="F1234">
        <v>3.9</v>
      </c>
      <c r="G1234" t="s">
        <v>34</v>
      </c>
      <c r="I1234" t="str">
        <f t="shared" si="21"/>
        <v>1141_1</v>
      </c>
      <c r="J1234" t="s">
        <v>241</v>
      </c>
      <c r="K1234" t="s">
        <v>179</v>
      </c>
      <c r="L1234" t="str">
        <f>_xlfn.XLOOKUP(C1234, Table2[Species],Table2[Genus], "Code Not Found")</f>
        <v>Fagus</v>
      </c>
      <c r="M1234" t="str">
        <f>_xlfn.XLOOKUP(C1234, Table2[Species],Table2[Sp. Name], "Code Not Found")</f>
        <v>grandifolia</v>
      </c>
      <c r="N1234" t="str">
        <f>_xlfn.XLOOKUP(C1234,Table2[Species],Table2[Family],"Code Not Found")</f>
        <v>Fagaceae</v>
      </c>
      <c r="O1234" t="str" cm="1">
        <f t="array" ref="O1234">_xlfn.IFS(F1234="","",F1234&lt;=5,"0 to 5",F1234&lt;=10,"5.1 to 10",F1234&lt;=20,"10 to 20", F1234&lt;= 40, "20 to 40", F1234 &lt;= 50, "40 to 50", F1234 &gt; 50, "&gt;50" )</f>
        <v>0 to 5</v>
      </c>
    </row>
    <row r="1235" spans="1:15" ht="14.4" x14ac:dyDescent="0.3">
      <c r="A1235" t="s">
        <v>240</v>
      </c>
      <c r="B1235" s="1">
        <v>46191</v>
      </c>
      <c r="C1235" t="s">
        <v>64</v>
      </c>
      <c r="D1235">
        <v>1141</v>
      </c>
      <c r="E1235">
        <v>2</v>
      </c>
      <c r="F1235">
        <v>1.8</v>
      </c>
      <c r="G1235" t="s">
        <v>34</v>
      </c>
      <c r="I1235" t="str">
        <f t="shared" si="21"/>
        <v>1141_2</v>
      </c>
      <c r="J1235" t="s">
        <v>241</v>
      </c>
      <c r="K1235" t="s">
        <v>179</v>
      </c>
      <c r="L1235" t="str">
        <f>_xlfn.XLOOKUP(C1235, Table2[Species],Table2[Genus], "Code Not Found")</f>
        <v>Fagus</v>
      </c>
      <c r="M1235" t="str">
        <f>_xlfn.XLOOKUP(C1235, Table2[Species],Table2[Sp. Name], "Code Not Found")</f>
        <v>grandifolia</v>
      </c>
      <c r="N1235" t="str">
        <f>_xlfn.XLOOKUP(C1235,Table2[Species],Table2[Family],"Code Not Found")</f>
        <v>Fagaceae</v>
      </c>
      <c r="O1235" t="str" cm="1">
        <f t="array" ref="O1235">_xlfn.IFS(F1235="","",F1235&lt;=5,"0 to 5",F1235&lt;=10,"5.1 to 10",F1235&lt;=20,"10 to 20", F1235&lt;= 40, "20 to 40", F1235 &lt;= 50, "40 to 50", F1235 &gt; 50, "&gt;50" )</f>
        <v>0 to 5</v>
      </c>
    </row>
    <row r="1236" spans="1:15" ht="14.4" x14ac:dyDescent="0.3">
      <c r="A1236" t="s">
        <v>240</v>
      </c>
      <c r="B1236" s="1">
        <v>46191</v>
      </c>
      <c r="C1236" t="s">
        <v>16</v>
      </c>
      <c r="D1236">
        <v>1142</v>
      </c>
      <c r="E1236">
        <v>1</v>
      </c>
      <c r="F1236">
        <v>10.5</v>
      </c>
      <c r="G1236" t="s">
        <v>17</v>
      </c>
      <c r="I1236" t="str">
        <f t="shared" si="21"/>
        <v>1142_1</v>
      </c>
      <c r="J1236" t="s">
        <v>241</v>
      </c>
      <c r="K1236" t="s">
        <v>179</v>
      </c>
      <c r="L1236" t="str">
        <f>_xlfn.XLOOKUP(C1236, Table2[Species],Table2[Genus], "Code Not Found")</f>
        <v>Acer</v>
      </c>
      <c r="M1236" t="str">
        <f>_xlfn.XLOOKUP(C1236, Table2[Species],Table2[Sp. Name], "Code Not Found")</f>
        <v>saccharum</v>
      </c>
      <c r="N1236" t="str">
        <f>_xlfn.XLOOKUP(C1236,Table2[Species],Table2[Family],"Code Not Found")</f>
        <v>Sapindaceae</v>
      </c>
      <c r="O1236" t="str" cm="1">
        <f t="array" ref="O1236">_xlfn.IFS(F1236="","",F1236&lt;=5,"0 to 5",F1236&lt;=10,"5.1 to 10",F1236&lt;=20,"10 to 20", F1236&lt;= 40, "20 to 40", F1236 &lt;= 50, "40 to 50", F1236 &gt; 50, "&gt;50" )</f>
        <v>10 to 20</v>
      </c>
    </row>
    <row r="1237" spans="1:15" ht="14.4" x14ac:dyDescent="0.3">
      <c r="A1237" t="s">
        <v>240</v>
      </c>
      <c r="B1237" s="1">
        <v>46191</v>
      </c>
      <c r="C1237" t="s">
        <v>64</v>
      </c>
      <c r="D1237">
        <v>1143</v>
      </c>
      <c r="E1237">
        <v>1</v>
      </c>
      <c r="F1237">
        <v>1</v>
      </c>
      <c r="G1237" t="s">
        <v>32</v>
      </c>
      <c r="H1237" t="s">
        <v>276</v>
      </c>
      <c r="I1237" t="str">
        <f t="shared" si="21"/>
        <v>1143_1</v>
      </c>
      <c r="J1237" t="s">
        <v>241</v>
      </c>
      <c r="K1237" t="s">
        <v>179</v>
      </c>
      <c r="L1237" t="str">
        <f>_xlfn.XLOOKUP(C1237, Table2[Species],Table2[Genus], "Code Not Found")</f>
        <v>Fagus</v>
      </c>
      <c r="M1237" t="str">
        <f>_xlfn.XLOOKUP(C1237, Table2[Species],Table2[Sp. Name], "Code Not Found")</f>
        <v>grandifolia</v>
      </c>
      <c r="N1237" t="str">
        <f>_xlfn.XLOOKUP(C1237,Table2[Species],Table2[Family],"Code Not Found")</f>
        <v>Fagaceae</v>
      </c>
      <c r="O1237" t="str" cm="1">
        <f t="array" ref="O1237">_xlfn.IFS(F1237="","",F1237&lt;=5,"0 to 5",F1237&lt;=10,"5.1 to 10",F1237&lt;=20,"10 to 20", F1237&lt;= 40, "20 to 40", F1237 &lt;= 50, "40 to 50", F1237 &gt; 50, "&gt;50" )</f>
        <v>0 to 5</v>
      </c>
    </row>
    <row r="1238" spans="1:15" ht="14.4" x14ac:dyDescent="0.3">
      <c r="A1238" t="s">
        <v>240</v>
      </c>
      <c r="B1238" s="1">
        <v>46191</v>
      </c>
      <c r="C1238" t="s">
        <v>64</v>
      </c>
      <c r="D1238">
        <v>1143</v>
      </c>
      <c r="E1238">
        <v>2</v>
      </c>
      <c r="F1238">
        <v>6.1</v>
      </c>
      <c r="G1238" t="s">
        <v>61</v>
      </c>
      <c r="H1238" t="s">
        <v>100</v>
      </c>
      <c r="I1238" t="str">
        <f t="shared" si="21"/>
        <v>1143_2</v>
      </c>
      <c r="J1238" t="s">
        <v>241</v>
      </c>
      <c r="K1238" t="s">
        <v>179</v>
      </c>
      <c r="L1238" t="str">
        <f>_xlfn.XLOOKUP(C1238, Table2[Species],Table2[Genus], "Code Not Found")</f>
        <v>Fagus</v>
      </c>
      <c r="M1238" t="str">
        <f>_xlfn.XLOOKUP(C1238, Table2[Species],Table2[Sp. Name], "Code Not Found")</f>
        <v>grandifolia</v>
      </c>
      <c r="N1238" t="str">
        <f>_xlfn.XLOOKUP(C1238,Table2[Species],Table2[Family],"Code Not Found")</f>
        <v>Fagaceae</v>
      </c>
      <c r="O1238" t="str" cm="1">
        <f t="array" ref="O1238">_xlfn.IFS(F1238="","",F1238&lt;=5,"0 to 5",F1238&lt;=10,"5.1 to 10",F1238&lt;=20,"10 to 20", F1238&lt;= 40, "20 to 40", F1238 &lt;= 50, "40 to 50", F1238 &gt; 50, "&gt;50" )</f>
        <v>5.1 to 10</v>
      </c>
    </row>
    <row r="1239" spans="1:15" ht="14.4" x14ac:dyDescent="0.3">
      <c r="A1239" t="s">
        <v>240</v>
      </c>
      <c r="B1239" s="1">
        <v>46191</v>
      </c>
      <c r="C1239" t="s">
        <v>64</v>
      </c>
      <c r="D1239">
        <v>1143</v>
      </c>
      <c r="E1239">
        <v>3</v>
      </c>
      <c r="F1239">
        <v>2.2999999999999998</v>
      </c>
      <c r="G1239" t="s">
        <v>34</v>
      </c>
      <c r="I1239" t="str">
        <f t="shared" si="21"/>
        <v>1143_3</v>
      </c>
      <c r="J1239" t="s">
        <v>241</v>
      </c>
      <c r="K1239" t="s">
        <v>179</v>
      </c>
      <c r="L1239" t="str">
        <f>_xlfn.XLOOKUP(C1239, Table2[Species],Table2[Genus], "Code Not Found")</f>
        <v>Fagus</v>
      </c>
      <c r="M1239" t="str">
        <f>_xlfn.XLOOKUP(C1239, Table2[Species],Table2[Sp. Name], "Code Not Found")</f>
        <v>grandifolia</v>
      </c>
      <c r="N1239" t="str">
        <f>_xlfn.XLOOKUP(C1239,Table2[Species],Table2[Family],"Code Not Found")</f>
        <v>Fagaceae</v>
      </c>
      <c r="O1239" t="str" cm="1">
        <f t="array" ref="O1239">_xlfn.IFS(F1239="","",F1239&lt;=5,"0 to 5",F1239&lt;=10,"5.1 to 10",F1239&lt;=20,"10 to 20", F1239&lt;= 40, "20 to 40", F1239 &lt;= 50, "40 to 50", F1239 &gt; 50, "&gt;50" )</f>
        <v>0 to 5</v>
      </c>
    </row>
    <row r="1240" spans="1:15" ht="14.4" x14ac:dyDescent="0.3">
      <c r="A1240" t="s">
        <v>240</v>
      </c>
      <c r="B1240" s="1">
        <v>46191</v>
      </c>
      <c r="C1240" t="s">
        <v>64</v>
      </c>
      <c r="D1240">
        <v>1143</v>
      </c>
      <c r="E1240">
        <v>4</v>
      </c>
      <c r="F1240">
        <v>1.3</v>
      </c>
      <c r="G1240" t="s">
        <v>34</v>
      </c>
      <c r="I1240" t="str">
        <f t="shared" si="21"/>
        <v>1143_4</v>
      </c>
      <c r="J1240" t="s">
        <v>241</v>
      </c>
      <c r="K1240" t="s">
        <v>179</v>
      </c>
      <c r="L1240" t="str">
        <f>_xlfn.XLOOKUP(C1240, Table2[Species],Table2[Genus], "Code Not Found")</f>
        <v>Fagus</v>
      </c>
      <c r="M1240" t="str">
        <f>_xlfn.XLOOKUP(C1240, Table2[Species],Table2[Sp. Name], "Code Not Found")</f>
        <v>grandifolia</v>
      </c>
      <c r="N1240" t="str">
        <f>_xlfn.XLOOKUP(C1240,Table2[Species],Table2[Family],"Code Not Found")</f>
        <v>Fagaceae</v>
      </c>
      <c r="O1240" t="str" cm="1">
        <f t="array" ref="O1240">_xlfn.IFS(F1240="","",F1240&lt;=5,"0 to 5",F1240&lt;=10,"5.1 to 10",F1240&lt;=20,"10 to 20", F1240&lt;= 40, "20 to 40", F1240 &lt;= 50, "40 to 50", F1240 &gt; 50, "&gt;50" )</f>
        <v>0 to 5</v>
      </c>
    </row>
    <row r="1241" spans="1:15" ht="14.4" x14ac:dyDescent="0.3">
      <c r="A1241" t="s">
        <v>240</v>
      </c>
      <c r="B1241" s="1">
        <v>46191</v>
      </c>
      <c r="C1241" t="s">
        <v>16</v>
      </c>
      <c r="D1241">
        <v>1144</v>
      </c>
      <c r="E1241">
        <v>1</v>
      </c>
      <c r="F1241">
        <v>3.5</v>
      </c>
      <c r="G1241" t="s">
        <v>17</v>
      </c>
      <c r="I1241" t="str">
        <f t="shared" si="21"/>
        <v>1144_1</v>
      </c>
      <c r="J1241" t="s">
        <v>241</v>
      </c>
      <c r="K1241" t="s">
        <v>179</v>
      </c>
      <c r="L1241" t="str">
        <f>_xlfn.XLOOKUP(C1241, Table2[Species],Table2[Genus], "Code Not Found")</f>
        <v>Acer</v>
      </c>
      <c r="M1241" t="str">
        <f>_xlfn.XLOOKUP(C1241, Table2[Species],Table2[Sp. Name], "Code Not Found")</f>
        <v>saccharum</v>
      </c>
      <c r="N1241" t="str">
        <f>_xlfn.XLOOKUP(C1241,Table2[Species],Table2[Family],"Code Not Found")</f>
        <v>Sapindaceae</v>
      </c>
      <c r="O1241" t="str" cm="1">
        <f t="array" ref="O1241">_xlfn.IFS(F1241="","",F1241&lt;=5,"0 to 5",F1241&lt;=10,"5.1 to 10",F1241&lt;=20,"10 to 20", F1241&lt;= 40, "20 to 40", F1241 &lt;= 50, "40 to 50", F1241 &gt; 50, "&gt;50" )</f>
        <v>0 to 5</v>
      </c>
    </row>
    <row r="1242" spans="1:15" ht="14.4" x14ac:dyDescent="0.3">
      <c r="A1242" t="s">
        <v>240</v>
      </c>
      <c r="B1242" s="1">
        <v>46191</v>
      </c>
      <c r="C1242" t="s">
        <v>55</v>
      </c>
      <c r="D1242">
        <v>1145</v>
      </c>
      <c r="E1242">
        <v>1</v>
      </c>
      <c r="F1242">
        <v>1.6</v>
      </c>
      <c r="G1242" t="s">
        <v>21</v>
      </c>
      <c r="I1242" t="str">
        <f t="shared" si="21"/>
        <v>1145_1</v>
      </c>
      <c r="J1242" t="s">
        <v>241</v>
      </c>
      <c r="K1242" t="s">
        <v>179</v>
      </c>
      <c r="L1242" t="str">
        <f>_xlfn.XLOOKUP(C1242, Table2[Species],Table2[Genus], "Code Not Found")</f>
        <v>Magnolia</v>
      </c>
      <c r="M1242" t="str">
        <f>_xlfn.XLOOKUP(C1242, Table2[Species],Table2[Sp. Name], "Code Not Found")</f>
        <v>acuminata</v>
      </c>
      <c r="N1242" t="str">
        <f>_xlfn.XLOOKUP(C1242,Table2[Species],Table2[Family],"Code Not Found")</f>
        <v>Magnoliaceae</v>
      </c>
      <c r="O1242" t="str" cm="1">
        <f t="array" ref="O1242">_xlfn.IFS(F1242="","",F1242&lt;=5,"0 to 5",F1242&lt;=10,"5.1 to 10",F1242&lt;=20,"10 to 20", F1242&lt;= 40, "20 to 40", F1242 &lt;= 50, "40 to 50", F1242 &gt; 50, "&gt;50" )</f>
        <v>0 to 5</v>
      </c>
    </row>
    <row r="1243" spans="1:15" ht="14.4" x14ac:dyDescent="0.3">
      <c r="A1243" t="s">
        <v>240</v>
      </c>
      <c r="B1243" s="1">
        <v>46191</v>
      </c>
      <c r="C1243" t="s">
        <v>64</v>
      </c>
      <c r="D1243">
        <v>1146</v>
      </c>
      <c r="E1243">
        <v>1</v>
      </c>
      <c r="F1243">
        <v>1.6</v>
      </c>
      <c r="G1243" t="s">
        <v>17</v>
      </c>
      <c r="H1243" t="s">
        <v>215</v>
      </c>
      <c r="I1243" t="str">
        <f t="shared" si="21"/>
        <v>1146_1</v>
      </c>
      <c r="J1243" t="s">
        <v>241</v>
      </c>
      <c r="K1243" t="s">
        <v>179</v>
      </c>
      <c r="L1243" t="str">
        <f>_xlfn.XLOOKUP(C1243, Table2[Species],Table2[Genus], "Code Not Found")</f>
        <v>Fagus</v>
      </c>
      <c r="M1243" t="str">
        <f>_xlfn.XLOOKUP(C1243, Table2[Species],Table2[Sp. Name], "Code Not Found")</f>
        <v>grandifolia</v>
      </c>
      <c r="N1243" t="str">
        <f>_xlfn.XLOOKUP(C1243,Table2[Species],Table2[Family],"Code Not Found")</f>
        <v>Fagaceae</v>
      </c>
      <c r="O1243" t="str" cm="1">
        <f t="array" ref="O1243">_xlfn.IFS(F1243="","",F1243&lt;=5,"0 to 5",F1243&lt;=10,"5.1 to 10",F1243&lt;=20,"10 to 20", F1243&lt;= 40, "20 to 40", F1243 &lt;= 50, "40 to 50", F1243 &gt; 50, "&gt;50" )</f>
        <v>0 to 5</v>
      </c>
    </row>
    <row r="1244" spans="1:15" ht="14.4" x14ac:dyDescent="0.3">
      <c r="A1244" t="s">
        <v>240</v>
      </c>
      <c r="B1244" s="1">
        <v>46191</v>
      </c>
      <c r="C1244" t="s">
        <v>16</v>
      </c>
      <c r="D1244">
        <v>1147</v>
      </c>
      <c r="E1244">
        <v>1</v>
      </c>
      <c r="F1244">
        <v>6.2</v>
      </c>
      <c r="G1244" t="s">
        <v>88</v>
      </c>
      <c r="H1244" t="s">
        <v>99</v>
      </c>
      <c r="I1244" t="str">
        <f t="shared" si="21"/>
        <v>1147_1</v>
      </c>
      <c r="J1244" t="s">
        <v>241</v>
      </c>
      <c r="K1244" t="s">
        <v>179</v>
      </c>
      <c r="L1244" t="str">
        <f>_xlfn.XLOOKUP(C1244, Table2[Species],Table2[Genus], "Code Not Found")</f>
        <v>Acer</v>
      </c>
      <c r="M1244" t="str">
        <f>_xlfn.XLOOKUP(C1244, Table2[Species],Table2[Sp. Name], "Code Not Found")</f>
        <v>saccharum</v>
      </c>
      <c r="N1244" t="str">
        <f>_xlfn.XLOOKUP(C1244,Table2[Species],Table2[Family],"Code Not Found")</f>
        <v>Sapindaceae</v>
      </c>
      <c r="O1244" t="str" cm="1">
        <f t="array" ref="O1244">_xlfn.IFS(F1244="","",F1244&lt;=5,"0 to 5",F1244&lt;=10,"5.1 to 10",F1244&lt;=20,"10 to 20", F1244&lt;= 40, "20 to 40", F1244 &lt;= 50, "40 to 50", F1244 &gt; 50, "&gt;50" )</f>
        <v>5.1 to 10</v>
      </c>
    </row>
    <row r="1245" spans="1:15" ht="14.4" x14ac:dyDescent="0.3">
      <c r="A1245" t="s">
        <v>240</v>
      </c>
      <c r="B1245" s="1">
        <v>46191</v>
      </c>
      <c r="C1245" t="s">
        <v>16</v>
      </c>
      <c r="D1245">
        <v>1148</v>
      </c>
      <c r="E1245">
        <v>1</v>
      </c>
      <c r="F1245">
        <v>16.8</v>
      </c>
      <c r="G1245" t="s">
        <v>17</v>
      </c>
      <c r="I1245" t="str">
        <f t="shared" si="21"/>
        <v>1148_1</v>
      </c>
      <c r="J1245" t="s">
        <v>241</v>
      </c>
      <c r="K1245" t="s">
        <v>179</v>
      </c>
      <c r="L1245" t="str">
        <f>_xlfn.XLOOKUP(C1245, Table2[Species],Table2[Genus], "Code Not Found")</f>
        <v>Acer</v>
      </c>
      <c r="M1245" t="str">
        <f>_xlfn.XLOOKUP(C1245, Table2[Species],Table2[Sp. Name], "Code Not Found")</f>
        <v>saccharum</v>
      </c>
      <c r="N1245" t="str">
        <f>_xlfn.XLOOKUP(C1245,Table2[Species],Table2[Family],"Code Not Found")</f>
        <v>Sapindaceae</v>
      </c>
      <c r="O1245" t="str" cm="1">
        <f t="array" ref="O1245">_xlfn.IFS(F1245="","",F1245&lt;=5,"0 to 5",F1245&lt;=10,"5.1 to 10",F1245&lt;=20,"10 to 20", F1245&lt;= 40, "20 to 40", F1245 &lt;= 50, "40 to 50", F1245 &gt; 50, "&gt;50" )</f>
        <v>10 to 20</v>
      </c>
    </row>
    <row r="1246" spans="1:15" ht="14.4" x14ac:dyDescent="0.3">
      <c r="A1246" t="s">
        <v>240</v>
      </c>
      <c r="B1246" s="1">
        <v>46191</v>
      </c>
      <c r="C1246" t="s">
        <v>16</v>
      </c>
      <c r="D1246">
        <v>1149</v>
      </c>
      <c r="E1246">
        <v>1</v>
      </c>
      <c r="F1246">
        <v>3.1</v>
      </c>
      <c r="G1246" t="s">
        <v>17</v>
      </c>
      <c r="I1246" t="str">
        <f t="shared" si="21"/>
        <v>1149_1</v>
      </c>
      <c r="J1246" t="s">
        <v>241</v>
      </c>
      <c r="K1246" t="s">
        <v>179</v>
      </c>
      <c r="L1246" t="str">
        <f>_xlfn.XLOOKUP(C1246, Table2[Species],Table2[Genus], "Code Not Found")</f>
        <v>Acer</v>
      </c>
      <c r="M1246" t="str">
        <f>_xlfn.XLOOKUP(C1246, Table2[Species],Table2[Sp. Name], "Code Not Found")</f>
        <v>saccharum</v>
      </c>
      <c r="N1246" t="str">
        <f>_xlfn.XLOOKUP(C1246,Table2[Species],Table2[Family],"Code Not Found")</f>
        <v>Sapindaceae</v>
      </c>
      <c r="O1246" t="str" cm="1">
        <f t="array" ref="O1246">_xlfn.IFS(F1246="","",F1246&lt;=5,"0 to 5",F1246&lt;=10,"5.1 to 10",F1246&lt;=20,"10 to 20", F1246&lt;= 40, "20 to 40", F1246 &lt;= 50, "40 to 50", F1246 &gt; 50, "&gt;50" )</f>
        <v>0 to 5</v>
      </c>
    </row>
    <row r="1247" spans="1:15" ht="14.4" x14ac:dyDescent="0.3">
      <c r="A1247" t="s">
        <v>240</v>
      </c>
      <c r="B1247" s="1">
        <v>46191</v>
      </c>
      <c r="C1247" t="s">
        <v>16</v>
      </c>
      <c r="D1247">
        <v>1150</v>
      </c>
      <c r="E1247">
        <v>1</v>
      </c>
      <c r="F1247">
        <v>14.3</v>
      </c>
      <c r="G1247" t="s">
        <v>17</v>
      </c>
      <c r="I1247" t="str">
        <f t="shared" si="21"/>
        <v>1150_1</v>
      </c>
      <c r="J1247" t="s">
        <v>241</v>
      </c>
      <c r="K1247" t="s">
        <v>179</v>
      </c>
      <c r="L1247" t="str">
        <f>_xlfn.XLOOKUP(C1247, Table2[Species],Table2[Genus], "Code Not Found")</f>
        <v>Acer</v>
      </c>
      <c r="M1247" t="str">
        <f>_xlfn.XLOOKUP(C1247, Table2[Species],Table2[Sp. Name], "Code Not Found")</f>
        <v>saccharum</v>
      </c>
      <c r="N1247" t="str">
        <f>_xlfn.XLOOKUP(C1247,Table2[Species],Table2[Family],"Code Not Found")</f>
        <v>Sapindaceae</v>
      </c>
      <c r="O1247" t="str" cm="1">
        <f t="array" ref="O1247">_xlfn.IFS(F1247="","",F1247&lt;=5,"0 to 5",F1247&lt;=10,"5.1 to 10",F1247&lt;=20,"10 to 20", F1247&lt;= 40, "20 to 40", F1247 &lt;= 50, "40 to 50", F1247 &gt; 50, "&gt;50" )</f>
        <v>10 to 20</v>
      </c>
    </row>
    <row r="1248" spans="1:15" ht="14.4" x14ac:dyDescent="0.3">
      <c r="A1248" t="s">
        <v>240</v>
      </c>
      <c r="B1248" s="1">
        <v>46191</v>
      </c>
      <c r="C1248" t="s">
        <v>16</v>
      </c>
      <c r="D1248">
        <v>1151</v>
      </c>
      <c r="E1248">
        <v>1</v>
      </c>
      <c r="F1248">
        <v>1.1000000000000001</v>
      </c>
      <c r="G1248" t="s">
        <v>277</v>
      </c>
      <c r="H1248" t="s">
        <v>278</v>
      </c>
      <c r="I1248" t="str">
        <f t="shared" si="21"/>
        <v>1151_1</v>
      </c>
      <c r="J1248" t="s">
        <v>241</v>
      </c>
      <c r="K1248" t="s">
        <v>179</v>
      </c>
      <c r="L1248" t="str">
        <f>_xlfn.XLOOKUP(C1248, Table2[Species],Table2[Genus], "Code Not Found")</f>
        <v>Acer</v>
      </c>
      <c r="M1248" t="str">
        <f>_xlfn.XLOOKUP(C1248, Table2[Species],Table2[Sp. Name], "Code Not Found")</f>
        <v>saccharum</v>
      </c>
      <c r="N1248" t="str">
        <f>_xlfn.XLOOKUP(C1248,Table2[Species],Table2[Family],"Code Not Found")</f>
        <v>Sapindaceae</v>
      </c>
      <c r="O1248" t="str" cm="1">
        <f t="array" ref="O1248">_xlfn.IFS(F1248="","",F1248&lt;=5,"0 to 5",F1248&lt;=10,"5.1 to 10",F1248&lt;=20,"10 to 20", F1248&lt;= 40, "20 to 40", F1248 &lt;= 50, "40 to 50", F1248 &gt; 50, "&gt;50" )</f>
        <v>0 to 5</v>
      </c>
    </row>
    <row r="1249" spans="1:15" ht="14.4" x14ac:dyDescent="0.3">
      <c r="A1249" t="s">
        <v>240</v>
      </c>
      <c r="B1249" s="1">
        <v>46191</v>
      </c>
      <c r="C1249" t="s">
        <v>16</v>
      </c>
      <c r="D1249">
        <v>1152</v>
      </c>
      <c r="E1249">
        <v>1</v>
      </c>
      <c r="F1249">
        <v>3.6</v>
      </c>
      <c r="G1249" t="s">
        <v>88</v>
      </c>
      <c r="H1249" t="s">
        <v>100</v>
      </c>
      <c r="I1249" t="str">
        <f t="shared" si="21"/>
        <v>1152_1</v>
      </c>
      <c r="J1249" t="s">
        <v>241</v>
      </c>
      <c r="K1249" t="s">
        <v>179</v>
      </c>
      <c r="L1249" t="str">
        <f>_xlfn.XLOOKUP(C1249, Table2[Species],Table2[Genus], "Code Not Found")</f>
        <v>Acer</v>
      </c>
      <c r="M1249" t="str">
        <f>_xlfn.XLOOKUP(C1249, Table2[Species],Table2[Sp. Name], "Code Not Found")</f>
        <v>saccharum</v>
      </c>
      <c r="N1249" t="str">
        <f>_xlfn.XLOOKUP(C1249,Table2[Species],Table2[Family],"Code Not Found")</f>
        <v>Sapindaceae</v>
      </c>
      <c r="O1249" t="str" cm="1">
        <f t="array" ref="O1249">_xlfn.IFS(F1249="","",F1249&lt;=5,"0 to 5",F1249&lt;=10,"5.1 to 10",F1249&lt;=20,"10 to 20", F1249&lt;= 40, "20 to 40", F1249 &lt;= 50, "40 to 50", F1249 &gt; 50, "&gt;50" )</f>
        <v>0 to 5</v>
      </c>
    </row>
    <row r="1250" spans="1:15" ht="14.4" x14ac:dyDescent="0.3">
      <c r="A1250" t="s">
        <v>240</v>
      </c>
      <c r="B1250" s="1">
        <v>46191</v>
      </c>
      <c r="C1250" t="s">
        <v>64</v>
      </c>
      <c r="D1250">
        <v>1153</v>
      </c>
      <c r="E1250">
        <v>1</v>
      </c>
      <c r="F1250">
        <v>13.9</v>
      </c>
      <c r="G1250" t="s">
        <v>32</v>
      </c>
      <c r="I1250" t="str">
        <f t="shared" si="21"/>
        <v>1153_1</v>
      </c>
      <c r="J1250" t="s">
        <v>241</v>
      </c>
      <c r="K1250" t="s">
        <v>179</v>
      </c>
      <c r="L1250" t="str">
        <f>_xlfn.XLOOKUP(C1250, Table2[Species],Table2[Genus], "Code Not Found")</f>
        <v>Fagus</v>
      </c>
      <c r="M1250" t="str">
        <f>_xlfn.XLOOKUP(C1250, Table2[Species],Table2[Sp. Name], "Code Not Found")</f>
        <v>grandifolia</v>
      </c>
      <c r="N1250" t="str">
        <f>_xlfn.XLOOKUP(C1250,Table2[Species],Table2[Family],"Code Not Found")</f>
        <v>Fagaceae</v>
      </c>
      <c r="O1250" t="str" cm="1">
        <f t="array" ref="O1250">_xlfn.IFS(F1250="","",F1250&lt;=5,"0 to 5",F1250&lt;=10,"5.1 to 10",F1250&lt;=20,"10 to 20", F1250&lt;= 40, "20 to 40", F1250 &lt;= 50, "40 to 50", F1250 &gt; 50, "&gt;50" )</f>
        <v>10 to 20</v>
      </c>
    </row>
    <row r="1251" spans="1:15" ht="14.4" x14ac:dyDescent="0.3">
      <c r="A1251" t="s">
        <v>240</v>
      </c>
      <c r="B1251" s="1">
        <v>46191</v>
      </c>
      <c r="C1251" t="s">
        <v>64</v>
      </c>
      <c r="D1251">
        <v>1153</v>
      </c>
      <c r="E1251">
        <v>2</v>
      </c>
      <c r="F1251">
        <v>4.5</v>
      </c>
      <c r="G1251" t="s">
        <v>34</v>
      </c>
      <c r="I1251" t="str">
        <f t="shared" si="21"/>
        <v>1153_2</v>
      </c>
      <c r="J1251" t="s">
        <v>241</v>
      </c>
      <c r="K1251" t="s">
        <v>179</v>
      </c>
      <c r="L1251" t="str">
        <f>_xlfn.XLOOKUP(C1251, Table2[Species],Table2[Genus], "Code Not Found")</f>
        <v>Fagus</v>
      </c>
      <c r="M1251" t="str">
        <f>_xlfn.XLOOKUP(C1251, Table2[Species],Table2[Sp. Name], "Code Not Found")</f>
        <v>grandifolia</v>
      </c>
      <c r="N1251" t="str">
        <f>_xlfn.XLOOKUP(C1251,Table2[Species],Table2[Family],"Code Not Found")</f>
        <v>Fagaceae</v>
      </c>
      <c r="O1251" t="str" cm="1">
        <f t="array" ref="O1251">_xlfn.IFS(F1251="","",F1251&lt;=5,"0 to 5",F1251&lt;=10,"5.1 to 10",F1251&lt;=20,"10 to 20", F1251&lt;= 40, "20 to 40", F1251 &lt;= 50, "40 to 50", F1251 &gt; 50, "&gt;50" )</f>
        <v>0 to 5</v>
      </c>
    </row>
    <row r="1252" spans="1:15" ht="14.4" x14ac:dyDescent="0.3">
      <c r="A1252" t="s">
        <v>240</v>
      </c>
      <c r="B1252" s="1">
        <v>46191</v>
      </c>
      <c r="C1252" t="s">
        <v>24</v>
      </c>
      <c r="D1252">
        <v>1154</v>
      </c>
      <c r="E1252">
        <v>1</v>
      </c>
      <c r="F1252">
        <v>85.9</v>
      </c>
      <c r="G1252" t="s">
        <v>32</v>
      </c>
      <c r="I1252" t="str">
        <f t="shared" si="21"/>
        <v>1154_1</v>
      </c>
      <c r="J1252" t="s">
        <v>241</v>
      </c>
      <c r="K1252" t="s">
        <v>179</v>
      </c>
      <c r="L1252" t="str">
        <f>_xlfn.XLOOKUP(C1252, Table2[Species],Table2[Genus], "Code Not Found")</f>
        <v>Lirodendron</v>
      </c>
      <c r="M1252" t="str">
        <f>_xlfn.XLOOKUP(C1252, Table2[Species],Table2[Sp. Name], "Code Not Found")</f>
        <v>tulipfera</v>
      </c>
      <c r="N1252" t="str">
        <f>_xlfn.XLOOKUP(C1252,Table2[Species],Table2[Family],"Code Not Found")</f>
        <v>Magnoliaceae</v>
      </c>
      <c r="O1252" t="str" cm="1">
        <f t="array" ref="O1252">_xlfn.IFS(F1252="","",F1252&lt;=5,"0 to 5",F1252&lt;=10,"5.1 to 10",F1252&lt;=20,"10 to 20", F1252&lt;= 40, "20 to 40", F1252 &lt;= 50, "40 to 50", F1252 &gt; 50, "&gt;50" )</f>
        <v>&gt;50</v>
      </c>
    </row>
    <row r="1253" spans="1:15" ht="14.4" x14ac:dyDescent="0.3">
      <c r="A1253" t="s">
        <v>240</v>
      </c>
      <c r="B1253" s="1">
        <v>46191</v>
      </c>
      <c r="C1253" t="s">
        <v>24</v>
      </c>
      <c r="D1253">
        <v>1154</v>
      </c>
      <c r="E1253">
        <v>2</v>
      </c>
      <c r="F1253">
        <v>1.6</v>
      </c>
      <c r="G1253" t="s">
        <v>93</v>
      </c>
      <c r="H1253" t="s">
        <v>43</v>
      </c>
      <c r="I1253" t="str">
        <f t="shared" si="21"/>
        <v>1154_2</v>
      </c>
      <c r="J1253" t="s">
        <v>241</v>
      </c>
      <c r="K1253" t="s">
        <v>179</v>
      </c>
      <c r="L1253" t="str">
        <f>_xlfn.XLOOKUP(C1253, Table2[Species],Table2[Genus], "Code Not Found")</f>
        <v>Lirodendron</v>
      </c>
      <c r="M1253" t="str">
        <f>_xlfn.XLOOKUP(C1253, Table2[Species],Table2[Sp. Name], "Code Not Found")</f>
        <v>tulipfera</v>
      </c>
      <c r="N1253" t="str">
        <f>_xlfn.XLOOKUP(C1253,Table2[Species],Table2[Family],"Code Not Found")</f>
        <v>Magnoliaceae</v>
      </c>
      <c r="O1253" t="str" cm="1">
        <f t="array" ref="O1253">_xlfn.IFS(F1253="","",F1253&lt;=5,"0 to 5",F1253&lt;=10,"5.1 to 10",F1253&lt;=20,"10 to 20", F1253&lt;= 40, "20 to 40", F1253 &lt;= 50, "40 to 50", F1253 &gt; 50, "&gt;50" )</f>
        <v>0 to 5</v>
      </c>
    </row>
    <row r="1254" spans="1:15" ht="14.4" x14ac:dyDescent="0.3">
      <c r="A1254" t="s">
        <v>240</v>
      </c>
      <c r="B1254" s="1">
        <v>46191</v>
      </c>
      <c r="C1254" t="s">
        <v>24</v>
      </c>
      <c r="D1254">
        <v>1154</v>
      </c>
      <c r="E1254">
        <v>3.1</v>
      </c>
      <c r="F1254">
        <v>1.6</v>
      </c>
      <c r="G1254" t="s">
        <v>93</v>
      </c>
      <c r="H1254" t="s">
        <v>43</v>
      </c>
      <c r="I1254" t="str">
        <f t="shared" si="21"/>
        <v>1154_3.1</v>
      </c>
      <c r="J1254" t="s">
        <v>241</v>
      </c>
      <c r="K1254" t="s">
        <v>179</v>
      </c>
      <c r="L1254" t="str">
        <f>_xlfn.XLOOKUP(C1254, Table2[Species],Table2[Genus], "Code Not Found")</f>
        <v>Lirodendron</v>
      </c>
      <c r="M1254" t="str">
        <f>_xlfn.XLOOKUP(C1254, Table2[Species],Table2[Sp. Name], "Code Not Found")</f>
        <v>tulipfera</v>
      </c>
      <c r="N1254" t="str">
        <f>_xlfn.XLOOKUP(C1254,Table2[Species],Table2[Family],"Code Not Found")</f>
        <v>Magnoliaceae</v>
      </c>
      <c r="O1254" t="str" cm="1">
        <f t="array" ref="O1254">_xlfn.IFS(F1254="","",F1254&lt;=5,"0 to 5",F1254&lt;=10,"5.1 to 10",F1254&lt;=20,"10 to 20", F1254&lt;= 40, "20 to 40", F1254 &lt;= 50, "40 to 50", F1254 &gt; 50, "&gt;50" )</f>
        <v>0 to 5</v>
      </c>
    </row>
    <row r="1255" spans="1:15" ht="14.4" x14ac:dyDescent="0.3">
      <c r="A1255" t="s">
        <v>240</v>
      </c>
      <c r="B1255" s="1">
        <v>46191</v>
      </c>
      <c r="C1255" t="s">
        <v>24</v>
      </c>
      <c r="D1255">
        <v>1154</v>
      </c>
      <c r="E1255">
        <v>3.2</v>
      </c>
      <c r="F1255">
        <v>2.8</v>
      </c>
      <c r="G1255" t="s">
        <v>93</v>
      </c>
      <c r="H1255" t="s">
        <v>43</v>
      </c>
      <c r="I1255" t="str">
        <f t="shared" si="21"/>
        <v>1154_3.2</v>
      </c>
      <c r="J1255" t="s">
        <v>241</v>
      </c>
      <c r="K1255" t="s">
        <v>179</v>
      </c>
      <c r="L1255" t="str">
        <f>_xlfn.XLOOKUP(C1255, Table2[Species],Table2[Genus], "Code Not Found")</f>
        <v>Lirodendron</v>
      </c>
      <c r="M1255" t="str">
        <f>_xlfn.XLOOKUP(C1255, Table2[Species],Table2[Sp. Name], "Code Not Found")</f>
        <v>tulipfera</v>
      </c>
      <c r="N1255" t="str">
        <f>_xlfn.XLOOKUP(C1255,Table2[Species],Table2[Family],"Code Not Found")</f>
        <v>Magnoliaceae</v>
      </c>
      <c r="O1255" t="str" cm="1">
        <f t="array" ref="O1255">_xlfn.IFS(F1255="","",F1255&lt;=5,"0 to 5",F1255&lt;=10,"5.1 to 10",F1255&lt;=20,"10 to 20", F1255&lt;= 40, "20 to 40", F1255 &lt;= 50, "40 to 50", F1255 &gt; 50, "&gt;50" )</f>
        <v>0 to 5</v>
      </c>
    </row>
    <row r="1256" spans="1:15" ht="14.4" x14ac:dyDescent="0.3">
      <c r="A1256" t="s">
        <v>240</v>
      </c>
      <c r="B1256" s="1">
        <v>46191</v>
      </c>
      <c r="C1256" t="s">
        <v>64</v>
      </c>
      <c r="D1256">
        <v>1155</v>
      </c>
      <c r="E1256">
        <v>1</v>
      </c>
      <c r="F1256">
        <v>4.8</v>
      </c>
      <c r="G1256" t="s">
        <v>88</v>
      </c>
      <c r="H1256" t="s">
        <v>96</v>
      </c>
      <c r="I1256" t="str">
        <f t="shared" si="21"/>
        <v>1155_1</v>
      </c>
      <c r="J1256" t="s">
        <v>241</v>
      </c>
      <c r="K1256" t="s">
        <v>179</v>
      </c>
      <c r="L1256" t="str">
        <f>_xlfn.XLOOKUP(C1256, Table2[Species],Table2[Genus], "Code Not Found")</f>
        <v>Fagus</v>
      </c>
      <c r="M1256" t="str">
        <f>_xlfn.XLOOKUP(C1256, Table2[Species],Table2[Sp. Name], "Code Not Found")</f>
        <v>grandifolia</v>
      </c>
      <c r="N1256" t="str">
        <f>_xlfn.XLOOKUP(C1256,Table2[Species],Table2[Family],"Code Not Found")</f>
        <v>Fagaceae</v>
      </c>
      <c r="O1256" t="str" cm="1">
        <f t="array" ref="O1256">_xlfn.IFS(F1256="","",F1256&lt;=5,"0 to 5",F1256&lt;=10,"5.1 to 10",F1256&lt;=20,"10 to 20", F1256&lt;= 40, "20 to 40", F1256 &lt;= 50, "40 to 50", F1256 &gt; 50, "&gt;50" )</f>
        <v>0 to 5</v>
      </c>
    </row>
    <row r="1257" spans="1:15" ht="14.4" x14ac:dyDescent="0.3">
      <c r="A1257" t="s">
        <v>240</v>
      </c>
      <c r="B1257" s="1">
        <v>46191</v>
      </c>
      <c r="C1257" t="s">
        <v>64</v>
      </c>
      <c r="D1257">
        <v>1156</v>
      </c>
      <c r="E1257">
        <v>1</v>
      </c>
      <c r="F1257">
        <v>6.6</v>
      </c>
      <c r="G1257" t="s">
        <v>17</v>
      </c>
      <c r="I1257" t="str">
        <f t="shared" si="21"/>
        <v>1156_1</v>
      </c>
      <c r="J1257" t="s">
        <v>241</v>
      </c>
      <c r="K1257" t="s">
        <v>179</v>
      </c>
      <c r="L1257" t="str">
        <f>_xlfn.XLOOKUP(C1257, Table2[Species],Table2[Genus], "Code Not Found")</f>
        <v>Fagus</v>
      </c>
      <c r="M1257" t="str">
        <f>_xlfn.XLOOKUP(C1257, Table2[Species],Table2[Sp. Name], "Code Not Found")</f>
        <v>grandifolia</v>
      </c>
      <c r="N1257" t="str">
        <f>_xlfn.XLOOKUP(C1257,Table2[Species],Table2[Family],"Code Not Found")</f>
        <v>Fagaceae</v>
      </c>
      <c r="O1257" t="str" cm="1">
        <f t="array" ref="O1257">_xlfn.IFS(F1257="","",F1257&lt;=5,"0 to 5",F1257&lt;=10,"5.1 to 10",F1257&lt;=20,"10 to 20", F1257&lt;= 40, "20 to 40", F1257 &lt;= 50, "40 to 50", F1257 &gt; 50, "&gt;50" )</f>
        <v>5.1 to 10</v>
      </c>
    </row>
    <row r="1258" spans="1:15" ht="14.4" x14ac:dyDescent="0.3">
      <c r="A1258" t="s">
        <v>240</v>
      </c>
      <c r="B1258" s="1">
        <v>46191</v>
      </c>
      <c r="C1258" t="s">
        <v>16</v>
      </c>
      <c r="D1258">
        <v>1157</v>
      </c>
      <c r="E1258">
        <v>1</v>
      </c>
      <c r="F1258">
        <v>2</v>
      </c>
      <c r="G1258" t="s">
        <v>17</v>
      </c>
      <c r="I1258" t="str">
        <f t="shared" si="21"/>
        <v>1157_1</v>
      </c>
      <c r="J1258" t="s">
        <v>241</v>
      </c>
      <c r="K1258" t="s">
        <v>179</v>
      </c>
      <c r="L1258" t="str">
        <f>_xlfn.XLOOKUP(C1258, Table2[Species],Table2[Genus], "Code Not Found")</f>
        <v>Acer</v>
      </c>
      <c r="M1258" t="str">
        <f>_xlfn.XLOOKUP(C1258, Table2[Species],Table2[Sp. Name], "Code Not Found")</f>
        <v>saccharum</v>
      </c>
      <c r="N1258" t="str">
        <f>_xlfn.XLOOKUP(C1258,Table2[Species],Table2[Family],"Code Not Found")</f>
        <v>Sapindaceae</v>
      </c>
      <c r="O1258" t="str" cm="1">
        <f t="array" ref="O1258">_xlfn.IFS(F1258="","",F1258&lt;=5,"0 to 5",F1258&lt;=10,"5.1 to 10",F1258&lt;=20,"10 to 20", F1258&lt;= 40, "20 to 40", F1258 &lt;= 50, "40 to 50", F1258 &gt; 50, "&gt;50" )</f>
        <v>0 to 5</v>
      </c>
    </row>
    <row r="1259" spans="1:15" ht="14.4" x14ac:dyDescent="0.3">
      <c r="A1259" t="s">
        <v>240</v>
      </c>
      <c r="B1259" s="1">
        <v>46191</v>
      </c>
      <c r="C1259" t="s">
        <v>16</v>
      </c>
      <c r="D1259">
        <v>1158</v>
      </c>
      <c r="E1259">
        <v>1</v>
      </c>
      <c r="F1259">
        <v>25.3</v>
      </c>
      <c r="G1259" t="s">
        <v>17</v>
      </c>
      <c r="I1259" t="str">
        <f t="shared" si="21"/>
        <v>1158_1</v>
      </c>
      <c r="J1259" t="s">
        <v>241</v>
      </c>
      <c r="K1259" t="s">
        <v>179</v>
      </c>
      <c r="L1259" t="str">
        <f>_xlfn.XLOOKUP(C1259, Table2[Species],Table2[Genus], "Code Not Found")</f>
        <v>Acer</v>
      </c>
      <c r="M1259" t="str">
        <f>_xlfn.XLOOKUP(C1259, Table2[Species],Table2[Sp. Name], "Code Not Found")</f>
        <v>saccharum</v>
      </c>
      <c r="N1259" t="str">
        <f>_xlfn.XLOOKUP(C1259,Table2[Species],Table2[Family],"Code Not Found")</f>
        <v>Sapindaceae</v>
      </c>
      <c r="O1259" t="str" cm="1">
        <f t="array" ref="O1259">_xlfn.IFS(F1259="","",F1259&lt;=5,"0 to 5",F1259&lt;=10,"5.1 to 10",F1259&lt;=20,"10 to 20", F1259&lt;= 40, "20 to 40", F1259 &lt;= 50, "40 to 50", F1259 &gt; 50, "&gt;50" )</f>
        <v>20 to 40</v>
      </c>
    </row>
    <row r="1260" spans="1:15" ht="14.4" x14ac:dyDescent="0.3">
      <c r="A1260" t="s">
        <v>240</v>
      </c>
      <c r="B1260" s="1">
        <v>46191</v>
      </c>
      <c r="C1260" t="s">
        <v>16</v>
      </c>
      <c r="D1260">
        <v>1159</v>
      </c>
      <c r="E1260">
        <v>1</v>
      </c>
      <c r="F1260">
        <v>2.4</v>
      </c>
      <c r="G1260" t="s">
        <v>17</v>
      </c>
      <c r="I1260" t="str">
        <f t="shared" si="21"/>
        <v>1159_1</v>
      </c>
      <c r="J1260" t="s">
        <v>241</v>
      </c>
      <c r="K1260" t="s">
        <v>179</v>
      </c>
      <c r="L1260" t="str">
        <f>_xlfn.XLOOKUP(C1260, Table2[Species],Table2[Genus], "Code Not Found")</f>
        <v>Acer</v>
      </c>
      <c r="M1260" t="str">
        <f>_xlfn.XLOOKUP(C1260, Table2[Species],Table2[Sp. Name], "Code Not Found")</f>
        <v>saccharum</v>
      </c>
      <c r="N1260" t="str">
        <f>_xlfn.XLOOKUP(C1260,Table2[Species],Table2[Family],"Code Not Found")</f>
        <v>Sapindaceae</v>
      </c>
      <c r="O1260" t="str" cm="1">
        <f t="array" ref="O1260">_xlfn.IFS(F1260="","",F1260&lt;=5,"0 to 5",F1260&lt;=10,"5.1 to 10",F1260&lt;=20,"10 to 20", F1260&lt;= 40, "20 to 40", F1260 &lt;= 50, "40 to 50", F1260 &gt; 50, "&gt;50" )</f>
        <v>0 to 5</v>
      </c>
    </row>
    <row r="1261" spans="1:15" ht="14.4" x14ac:dyDescent="0.3">
      <c r="A1261" t="s">
        <v>240</v>
      </c>
      <c r="B1261" s="1">
        <v>46191</v>
      </c>
      <c r="C1261" t="s">
        <v>180</v>
      </c>
      <c r="D1261">
        <v>1160</v>
      </c>
      <c r="E1261">
        <v>1</v>
      </c>
      <c r="F1261">
        <v>11.6</v>
      </c>
      <c r="G1261" t="s">
        <v>17</v>
      </c>
      <c r="I1261" t="str">
        <f t="shared" si="21"/>
        <v>1160_1</v>
      </c>
      <c r="J1261" t="s">
        <v>241</v>
      </c>
      <c r="K1261" t="s">
        <v>179</v>
      </c>
      <c r="L1261" t="str">
        <f>_xlfn.XLOOKUP(C1261, Table2[Species],Table2[Genus], "Code Not Found")</f>
        <v>Tilia</v>
      </c>
      <c r="M1261" t="str">
        <f>_xlfn.XLOOKUP(C1261, Table2[Species],Table2[Sp. Name], "Code Not Found")</f>
        <v>americana</v>
      </c>
      <c r="N1261" t="str">
        <f>_xlfn.XLOOKUP(C1261,Table2[Species],Table2[Family],"Code Not Found")</f>
        <v>Malvaceae</v>
      </c>
      <c r="O1261" t="str" cm="1">
        <f t="array" ref="O1261">_xlfn.IFS(F1261="","",F1261&lt;=5,"0 to 5",F1261&lt;=10,"5.1 to 10",F1261&lt;=20,"10 to 20", F1261&lt;= 40, "20 to 40", F1261 &lt;= 50, "40 to 50", F1261 &gt; 50, "&gt;50" )</f>
        <v>10 to 20</v>
      </c>
    </row>
    <row r="1262" spans="1:15" ht="14.4" x14ac:dyDescent="0.3">
      <c r="A1262" t="s">
        <v>240</v>
      </c>
      <c r="B1262" s="1">
        <v>46191</v>
      </c>
      <c r="C1262" t="s">
        <v>16</v>
      </c>
      <c r="D1262">
        <v>1161</v>
      </c>
      <c r="E1262">
        <v>1</v>
      </c>
      <c r="F1262">
        <v>4.8</v>
      </c>
      <c r="G1262" t="s">
        <v>17</v>
      </c>
      <c r="I1262" t="str">
        <f t="shared" si="21"/>
        <v>1161_1</v>
      </c>
      <c r="J1262" t="s">
        <v>241</v>
      </c>
      <c r="K1262" t="s">
        <v>179</v>
      </c>
      <c r="L1262" t="str">
        <f>_xlfn.XLOOKUP(C1262, Table2[Species],Table2[Genus], "Code Not Found")</f>
        <v>Acer</v>
      </c>
      <c r="M1262" t="str">
        <f>_xlfn.XLOOKUP(C1262, Table2[Species],Table2[Sp. Name], "Code Not Found")</f>
        <v>saccharum</v>
      </c>
      <c r="N1262" t="str">
        <f>_xlfn.XLOOKUP(C1262,Table2[Species],Table2[Family],"Code Not Found")</f>
        <v>Sapindaceae</v>
      </c>
      <c r="O1262" t="str" cm="1">
        <f t="array" ref="O1262">_xlfn.IFS(F1262="","",F1262&lt;=5,"0 to 5",F1262&lt;=10,"5.1 to 10",F1262&lt;=20,"10 to 20", F1262&lt;= 40, "20 to 40", F1262 &lt;= 50, "40 to 50", F1262 &gt; 50, "&gt;50" )</f>
        <v>0 to 5</v>
      </c>
    </row>
    <row r="1263" spans="1:15" ht="14.4" x14ac:dyDescent="0.3">
      <c r="A1263" t="s">
        <v>240</v>
      </c>
      <c r="B1263" s="1">
        <v>46197</v>
      </c>
      <c r="C1263" t="s">
        <v>16</v>
      </c>
      <c r="D1263">
        <v>1162</v>
      </c>
      <c r="E1263">
        <v>1</v>
      </c>
      <c r="F1263">
        <v>2.5</v>
      </c>
      <c r="G1263" t="s">
        <v>38</v>
      </c>
      <c r="I1263" t="str">
        <f t="shared" si="21"/>
        <v>1162_1</v>
      </c>
      <c r="J1263" t="s">
        <v>241</v>
      </c>
      <c r="K1263" t="s">
        <v>179</v>
      </c>
      <c r="L1263" t="str">
        <f>_xlfn.XLOOKUP(C1263, Table2[Species],Table2[Genus], "Code Not Found")</f>
        <v>Acer</v>
      </c>
      <c r="M1263" t="str">
        <f>_xlfn.XLOOKUP(C1263, Table2[Species],Table2[Sp. Name], "Code Not Found")</f>
        <v>saccharum</v>
      </c>
      <c r="N1263" t="str">
        <f>_xlfn.XLOOKUP(C1263,Table2[Species],Table2[Family],"Code Not Found")</f>
        <v>Sapindaceae</v>
      </c>
      <c r="O1263" t="str" cm="1">
        <f t="array" ref="O1263">_xlfn.IFS(F1263="","",F1263&lt;=5,"0 to 5",F1263&lt;=10,"5.1 to 10",F1263&lt;=20,"10 to 20", F1263&lt;= 40, "20 to 40", F1263 &lt;= 50, "40 to 50", F1263 &gt; 50, "&gt;50" )</f>
        <v>0 to 5</v>
      </c>
    </row>
    <row r="1264" spans="1:15" ht="14.4" x14ac:dyDescent="0.3">
      <c r="A1264" t="s">
        <v>240</v>
      </c>
      <c r="B1264" s="1">
        <v>46197</v>
      </c>
      <c r="C1264" t="s">
        <v>16</v>
      </c>
      <c r="D1264">
        <v>1163</v>
      </c>
      <c r="E1264">
        <v>1</v>
      </c>
      <c r="F1264">
        <v>3</v>
      </c>
      <c r="G1264" t="s">
        <v>88</v>
      </c>
      <c r="H1264" t="s">
        <v>99</v>
      </c>
      <c r="I1264" t="str">
        <f t="shared" si="21"/>
        <v>1163_1</v>
      </c>
      <c r="J1264" t="s">
        <v>241</v>
      </c>
      <c r="K1264" t="s">
        <v>179</v>
      </c>
      <c r="L1264" t="str">
        <f>_xlfn.XLOOKUP(C1264, Table2[Species],Table2[Genus], "Code Not Found")</f>
        <v>Acer</v>
      </c>
      <c r="M1264" t="str">
        <f>_xlfn.XLOOKUP(C1264, Table2[Species],Table2[Sp. Name], "Code Not Found")</f>
        <v>saccharum</v>
      </c>
      <c r="N1264" t="str">
        <f>_xlfn.XLOOKUP(C1264,Table2[Species],Table2[Family],"Code Not Found")</f>
        <v>Sapindaceae</v>
      </c>
      <c r="O1264" t="str" cm="1">
        <f t="array" ref="O1264">_xlfn.IFS(F1264="","",F1264&lt;=5,"0 to 5",F1264&lt;=10,"5.1 to 10",F1264&lt;=20,"10 to 20", F1264&lt;= 40, "20 to 40", F1264 &lt;= 50, "40 to 50", F1264 &gt; 50, "&gt;50" )</f>
        <v>0 to 5</v>
      </c>
    </row>
    <row r="1265" spans="1:15" ht="14.4" x14ac:dyDescent="0.3">
      <c r="A1265" t="s">
        <v>240</v>
      </c>
      <c r="B1265" s="1">
        <v>46197</v>
      </c>
      <c r="C1265" t="s">
        <v>16</v>
      </c>
      <c r="D1265">
        <v>1164</v>
      </c>
      <c r="E1265">
        <v>1</v>
      </c>
      <c r="F1265">
        <v>1.7</v>
      </c>
      <c r="G1265" t="s">
        <v>17</v>
      </c>
      <c r="I1265" t="str">
        <f t="shared" ref="I1265:I1313" si="22">D1265&amp;"_"&amp;E1265</f>
        <v>1164_1</v>
      </c>
      <c r="J1265" t="s">
        <v>241</v>
      </c>
      <c r="K1265" t="s">
        <v>179</v>
      </c>
      <c r="L1265" t="str">
        <f>_xlfn.XLOOKUP(C1265, Table2[Species],Table2[Genus], "Code Not Found")</f>
        <v>Acer</v>
      </c>
      <c r="M1265" t="str">
        <f>_xlfn.XLOOKUP(C1265, Table2[Species],Table2[Sp. Name], "Code Not Found")</f>
        <v>saccharum</v>
      </c>
      <c r="N1265" t="str">
        <f>_xlfn.XLOOKUP(C1265,Table2[Species],Table2[Family],"Code Not Found")</f>
        <v>Sapindaceae</v>
      </c>
      <c r="O1265" t="str" cm="1">
        <f t="array" ref="O1265">_xlfn.IFS(F1265="","",F1265&lt;=5,"0 to 5",F1265&lt;=10,"5.1 to 10",F1265&lt;=20,"10 to 20", F1265&lt;= 40, "20 to 40", F1265 &lt;= 50, "40 to 50", F1265 &gt; 50, "&gt;50" )</f>
        <v>0 to 5</v>
      </c>
    </row>
    <row r="1266" spans="1:15" ht="14.4" x14ac:dyDescent="0.3">
      <c r="A1266" t="s">
        <v>240</v>
      </c>
      <c r="B1266" s="1">
        <v>46197</v>
      </c>
      <c r="C1266" t="s">
        <v>16</v>
      </c>
      <c r="D1266">
        <v>1165</v>
      </c>
      <c r="E1266">
        <v>1</v>
      </c>
      <c r="F1266">
        <v>13.8</v>
      </c>
      <c r="G1266" t="s">
        <v>17</v>
      </c>
      <c r="I1266" t="str">
        <f t="shared" si="22"/>
        <v>1165_1</v>
      </c>
      <c r="J1266" t="s">
        <v>241</v>
      </c>
      <c r="K1266" t="s">
        <v>179</v>
      </c>
      <c r="L1266" t="str">
        <f>_xlfn.XLOOKUP(C1266, Table2[Species],Table2[Genus], "Code Not Found")</f>
        <v>Acer</v>
      </c>
      <c r="M1266" t="str">
        <f>_xlfn.XLOOKUP(C1266, Table2[Species],Table2[Sp. Name], "Code Not Found")</f>
        <v>saccharum</v>
      </c>
      <c r="N1266" t="str">
        <f>_xlfn.XLOOKUP(C1266,Table2[Species],Table2[Family],"Code Not Found")</f>
        <v>Sapindaceae</v>
      </c>
      <c r="O1266" t="str" cm="1">
        <f t="array" ref="O1266">_xlfn.IFS(F1266="","",F1266&lt;=5,"0 to 5",F1266&lt;=10,"5.1 to 10",F1266&lt;=20,"10 to 20", F1266&lt;= 40, "20 to 40", F1266 &lt;= 50, "40 to 50", F1266 &gt; 50, "&gt;50" )</f>
        <v>10 to 20</v>
      </c>
    </row>
    <row r="1267" spans="1:15" ht="14.4" x14ac:dyDescent="0.3">
      <c r="A1267" t="s">
        <v>240</v>
      </c>
      <c r="B1267" s="1">
        <v>46197</v>
      </c>
      <c r="C1267" t="s">
        <v>16</v>
      </c>
      <c r="D1267">
        <v>1166</v>
      </c>
      <c r="E1267">
        <v>1</v>
      </c>
      <c r="F1267">
        <v>5.7</v>
      </c>
      <c r="G1267" t="s">
        <v>17</v>
      </c>
      <c r="I1267" t="str">
        <f t="shared" si="22"/>
        <v>1166_1</v>
      </c>
      <c r="J1267" t="s">
        <v>241</v>
      </c>
      <c r="K1267" t="s">
        <v>179</v>
      </c>
      <c r="L1267" t="str">
        <f>_xlfn.XLOOKUP(C1267, Table2[Species],Table2[Genus], "Code Not Found")</f>
        <v>Acer</v>
      </c>
      <c r="M1267" t="str">
        <f>_xlfn.XLOOKUP(C1267, Table2[Species],Table2[Sp. Name], "Code Not Found")</f>
        <v>saccharum</v>
      </c>
      <c r="N1267" t="str">
        <f>_xlfn.XLOOKUP(C1267,Table2[Species],Table2[Family],"Code Not Found")</f>
        <v>Sapindaceae</v>
      </c>
      <c r="O1267" t="str" cm="1">
        <f t="array" ref="O1267">_xlfn.IFS(F1267="","",F1267&lt;=5,"0 to 5",F1267&lt;=10,"5.1 to 10",F1267&lt;=20,"10 to 20", F1267&lt;= 40, "20 to 40", F1267 &lt;= 50, "40 to 50", F1267 &gt; 50, "&gt;50" )</f>
        <v>5.1 to 10</v>
      </c>
    </row>
    <row r="1268" spans="1:15" ht="14.4" x14ac:dyDescent="0.3">
      <c r="A1268" t="s">
        <v>240</v>
      </c>
      <c r="B1268" s="1">
        <v>46197</v>
      </c>
      <c r="C1268" t="s">
        <v>180</v>
      </c>
      <c r="D1268">
        <v>1167</v>
      </c>
      <c r="E1268">
        <v>1</v>
      </c>
      <c r="F1268">
        <v>12</v>
      </c>
      <c r="G1268" t="s">
        <v>47</v>
      </c>
      <c r="I1268" t="str">
        <f t="shared" si="22"/>
        <v>1167_1</v>
      </c>
      <c r="J1268" t="s">
        <v>241</v>
      </c>
      <c r="K1268" t="s">
        <v>179</v>
      </c>
      <c r="L1268" t="str">
        <f>_xlfn.XLOOKUP(C1268, Table2[Species],Table2[Genus], "Code Not Found")</f>
        <v>Tilia</v>
      </c>
      <c r="M1268" t="str">
        <f>_xlfn.XLOOKUP(C1268, Table2[Species],Table2[Sp. Name], "Code Not Found")</f>
        <v>americana</v>
      </c>
      <c r="N1268" t="str">
        <f>_xlfn.XLOOKUP(C1268,Table2[Species],Table2[Family],"Code Not Found")</f>
        <v>Malvaceae</v>
      </c>
      <c r="O1268" t="str" cm="1">
        <f t="array" ref="O1268">_xlfn.IFS(F1268="","",F1268&lt;=5,"0 to 5",F1268&lt;=10,"5.1 to 10",F1268&lt;=20,"10 to 20", F1268&lt;= 40, "20 to 40", F1268 &lt;= 50, "40 to 50", F1268 &gt; 50, "&gt;50" )</f>
        <v>10 to 20</v>
      </c>
    </row>
    <row r="1269" spans="1:15" ht="14.4" x14ac:dyDescent="0.3">
      <c r="A1269" t="s">
        <v>240</v>
      </c>
      <c r="B1269" s="1">
        <v>46197</v>
      </c>
      <c r="C1269" t="s">
        <v>64</v>
      </c>
      <c r="D1269">
        <v>1168</v>
      </c>
      <c r="E1269">
        <v>1</v>
      </c>
      <c r="F1269">
        <v>4.5</v>
      </c>
      <c r="G1269" t="s">
        <v>47</v>
      </c>
      <c r="H1269" t="s">
        <v>43</v>
      </c>
      <c r="I1269" t="str">
        <f t="shared" si="22"/>
        <v>1168_1</v>
      </c>
      <c r="J1269" t="s">
        <v>241</v>
      </c>
      <c r="K1269" t="s">
        <v>179</v>
      </c>
      <c r="L1269" t="str">
        <f>_xlfn.XLOOKUP(C1269, Table2[Species],Table2[Genus], "Code Not Found")</f>
        <v>Fagus</v>
      </c>
      <c r="M1269" t="str">
        <f>_xlfn.XLOOKUP(C1269, Table2[Species],Table2[Sp. Name], "Code Not Found")</f>
        <v>grandifolia</v>
      </c>
      <c r="N1269" t="str">
        <f>_xlfn.XLOOKUP(C1269,Table2[Species],Table2[Family],"Code Not Found")</f>
        <v>Fagaceae</v>
      </c>
      <c r="O1269" t="str" cm="1">
        <f t="array" ref="O1269">_xlfn.IFS(F1269="","",F1269&lt;=5,"0 to 5",F1269&lt;=10,"5.1 to 10",F1269&lt;=20,"10 to 20", F1269&lt;= 40, "20 to 40", F1269 &lt;= 50, "40 to 50", F1269 &gt; 50, "&gt;50" )</f>
        <v>0 to 5</v>
      </c>
    </row>
    <row r="1270" spans="1:15" ht="14.4" x14ac:dyDescent="0.3">
      <c r="A1270" t="s">
        <v>240</v>
      </c>
      <c r="B1270" s="1">
        <v>46197</v>
      </c>
      <c r="C1270" t="s">
        <v>16</v>
      </c>
      <c r="D1270">
        <v>1169</v>
      </c>
      <c r="E1270">
        <v>1</v>
      </c>
      <c r="F1270">
        <v>2.6</v>
      </c>
      <c r="G1270" t="s">
        <v>17</v>
      </c>
      <c r="I1270" t="str">
        <f t="shared" si="22"/>
        <v>1169_1</v>
      </c>
      <c r="J1270" t="s">
        <v>241</v>
      </c>
      <c r="K1270" t="s">
        <v>179</v>
      </c>
      <c r="L1270" t="str">
        <f>_xlfn.XLOOKUP(C1270, Table2[Species],Table2[Genus], "Code Not Found")</f>
        <v>Acer</v>
      </c>
      <c r="M1270" t="str">
        <f>_xlfn.XLOOKUP(C1270, Table2[Species],Table2[Sp. Name], "Code Not Found")</f>
        <v>saccharum</v>
      </c>
      <c r="N1270" t="str">
        <f>_xlfn.XLOOKUP(C1270,Table2[Species],Table2[Family],"Code Not Found")</f>
        <v>Sapindaceae</v>
      </c>
      <c r="O1270" t="str" cm="1">
        <f t="array" ref="O1270">_xlfn.IFS(F1270="","",F1270&lt;=5,"0 to 5",F1270&lt;=10,"5.1 to 10",F1270&lt;=20,"10 to 20", F1270&lt;= 40, "20 to 40", F1270 &lt;= 50, "40 to 50", F1270 &gt; 50, "&gt;50" )</f>
        <v>0 to 5</v>
      </c>
    </row>
    <row r="1271" spans="1:15" ht="14.4" x14ac:dyDescent="0.3">
      <c r="A1271" t="s">
        <v>240</v>
      </c>
      <c r="B1271" s="1">
        <v>46197</v>
      </c>
      <c r="C1271" t="s">
        <v>64</v>
      </c>
      <c r="D1271">
        <v>1170</v>
      </c>
      <c r="E1271">
        <v>1</v>
      </c>
      <c r="F1271">
        <v>3.7</v>
      </c>
      <c r="G1271" t="s">
        <v>93</v>
      </c>
      <c r="H1271" t="s">
        <v>279</v>
      </c>
      <c r="I1271" t="str">
        <f t="shared" si="22"/>
        <v>1170_1</v>
      </c>
      <c r="J1271" t="s">
        <v>241</v>
      </c>
      <c r="K1271" t="s">
        <v>179</v>
      </c>
      <c r="L1271" t="str">
        <f>_xlfn.XLOOKUP(C1271, Table2[Species],Table2[Genus], "Code Not Found")</f>
        <v>Fagus</v>
      </c>
      <c r="M1271" t="str">
        <f>_xlfn.XLOOKUP(C1271, Table2[Species],Table2[Sp. Name], "Code Not Found")</f>
        <v>grandifolia</v>
      </c>
      <c r="N1271" t="str">
        <f>_xlfn.XLOOKUP(C1271,Table2[Species],Table2[Family],"Code Not Found")</f>
        <v>Fagaceae</v>
      </c>
      <c r="O1271" t="str" cm="1">
        <f t="array" ref="O1271">_xlfn.IFS(F1271="","",F1271&lt;=5,"0 to 5",F1271&lt;=10,"5.1 to 10",F1271&lt;=20,"10 to 20", F1271&lt;= 40, "20 to 40", F1271 &lt;= 50, "40 to 50", F1271 &gt; 50, "&gt;50" )</f>
        <v>0 to 5</v>
      </c>
    </row>
    <row r="1272" spans="1:15" ht="14.4" x14ac:dyDescent="0.3">
      <c r="A1272" t="s">
        <v>240</v>
      </c>
      <c r="B1272" s="1">
        <v>46197</v>
      </c>
      <c r="C1272" t="s">
        <v>64</v>
      </c>
      <c r="D1272">
        <v>1170</v>
      </c>
      <c r="E1272">
        <v>2</v>
      </c>
      <c r="F1272">
        <v>1.5</v>
      </c>
      <c r="G1272" t="s">
        <v>93</v>
      </c>
      <c r="H1272" t="s">
        <v>279</v>
      </c>
      <c r="I1272" t="str">
        <f t="shared" si="22"/>
        <v>1170_2</v>
      </c>
      <c r="J1272" t="s">
        <v>241</v>
      </c>
      <c r="K1272" t="s">
        <v>179</v>
      </c>
      <c r="L1272" t="str">
        <f>_xlfn.XLOOKUP(C1272, Table2[Species],Table2[Genus], "Code Not Found")</f>
        <v>Fagus</v>
      </c>
      <c r="M1272" t="str">
        <f>_xlfn.XLOOKUP(C1272, Table2[Species],Table2[Sp. Name], "Code Not Found")</f>
        <v>grandifolia</v>
      </c>
      <c r="N1272" t="str">
        <f>_xlfn.XLOOKUP(C1272,Table2[Species],Table2[Family],"Code Not Found")</f>
        <v>Fagaceae</v>
      </c>
      <c r="O1272" t="str" cm="1">
        <f t="array" ref="O1272">_xlfn.IFS(F1272="","",F1272&lt;=5,"0 to 5",F1272&lt;=10,"5.1 to 10",F1272&lt;=20,"10 to 20", F1272&lt;= 40, "20 to 40", F1272 &lt;= 50, "40 to 50", F1272 &gt; 50, "&gt;50" )</f>
        <v>0 to 5</v>
      </c>
    </row>
    <row r="1273" spans="1:15" ht="14.4" x14ac:dyDescent="0.3">
      <c r="A1273" t="s">
        <v>240</v>
      </c>
      <c r="B1273" s="1">
        <v>46197</v>
      </c>
      <c r="C1273" t="s">
        <v>16</v>
      </c>
      <c r="D1273">
        <v>1171</v>
      </c>
      <c r="E1273">
        <v>1</v>
      </c>
      <c r="F1273">
        <v>54.3</v>
      </c>
      <c r="G1273" t="s">
        <v>17</v>
      </c>
      <c r="I1273" t="str">
        <f t="shared" si="22"/>
        <v>1171_1</v>
      </c>
      <c r="J1273" t="s">
        <v>241</v>
      </c>
      <c r="K1273" t="s">
        <v>179</v>
      </c>
      <c r="L1273" t="str">
        <f>_xlfn.XLOOKUP(C1273, Table2[Species],Table2[Genus], "Code Not Found")</f>
        <v>Acer</v>
      </c>
      <c r="M1273" t="str">
        <f>_xlfn.XLOOKUP(C1273, Table2[Species],Table2[Sp. Name], "Code Not Found")</f>
        <v>saccharum</v>
      </c>
      <c r="N1273" t="str">
        <f>_xlfn.XLOOKUP(C1273,Table2[Species],Table2[Family],"Code Not Found")</f>
        <v>Sapindaceae</v>
      </c>
      <c r="O1273" t="str" cm="1">
        <f t="array" ref="O1273">_xlfn.IFS(F1273="","",F1273&lt;=5,"0 to 5",F1273&lt;=10,"5.1 to 10",F1273&lt;=20,"10 to 20", F1273&lt;= 40, "20 to 40", F1273 &lt;= 50, "40 to 50", F1273 &gt; 50, "&gt;50" )</f>
        <v>&gt;50</v>
      </c>
    </row>
    <row r="1274" spans="1:15" ht="14.4" x14ac:dyDescent="0.3">
      <c r="A1274" t="s">
        <v>240</v>
      </c>
      <c r="B1274" s="1">
        <v>46197</v>
      </c>
      <c r="C1274" t="s">
        <v>16</v>
      </c>
      <c r="D1274">
        <v>1172</v>
      </c>
      <c r="E1274">
        <v>1</v>
      </c>
      <c r="F1274">
        <v>39</v>
      </c>
      <c r="G1274" t="s">
        <v>17</v>
      </c>
      <c r="I1274" t="str">
        <f t="shared" si="22"/>
        <v>1172_1</v>
      </c>
      <c r="J1274" t="s">
        <v>241</v>
      </c>
      <c r="K1274" t="s">
        <v>179</v>
      </c>
      <c r="L1274" t="str">
        <f>_xlfn.XLOOKUP(C1274, Table2[Species],Table2[Genus], "Code Not Found")</f>
        <v>Acer</v>
      </c>
      <c r="M1274" t="str">
        <f>_xlfn.XLOOKUP(C1274, Table2[Species],Table2[Sp. Name], "Code Not Found")</f>
        <v>saccharum</v>
      </c>
      <c r="N1274" t="str">
        <f>_xlfn.XLOOKUP(C1274,Table2[Species],Table2[Family],"Code Not Found")</f>
        <v>Sapindaceae</v>
      </c>
      <c r="O1274" t="str" cm="1">
        <f t="array" ref="O1274">_xlfn.IFS(F1274="","",F1274&lt;=5,"0 to 5",F1274&lt;=10,"5.1 to 10",F1274&lt;=20,"10 to 20", F1274&lt;= 40, "20 to 40", F1274 &lt;= 50, "40 to 50", F1274 &gt; 50, "&gt;50" )</f>
        <v>20 to 40</v>
      </c>
    </row>
    <row r="1275" spans="1:15" ht="14.4" x14ac:dyDescent="0.3">
      <c r="A1275" t="s">
        <v>240</v>
      </c>
      <c r="B1275" s="1">
        <v>46197</v>
      </c>
      <c r="C1275" t="s">
        <v>16</v>
      </c>
      <c r="D1275">
        <v>1173</v>
      </c>
      <c r="E1275">
        <v>1</v>
      </c>
      <c r="F1275">
        <v>8.4</v>
      </c>
      <c r="G1275" t="s">
        <v>17</v>
      </c>
      <c r="I1275" t="str">
        <f t="shared" si="22"/>
        <v>1173_1</v>
      </c>
      <c r="J1275" t="s">
        <v>241</v>
      </c>
      <c r="K1275" t="s">
        <v>179</v>
      </c>
      <c r="L1275" t="str">
        <f>_xlfn.XLOOKUP(C1275, Table2[Species],Table2[Genus], "Code Not Found")</f>
        <v>Acer</v>
      </c>
      <c r="M1275" t="str">
        <f>_xlfn.XLOOKUP(C1275, Table2[Species],Table2[Sp. Name], "Code Not Found")</f>
        <v>saccharum</v>
      </c>
      <c r="N1275" t="str">
        <f>_xlfn.XLOOKUP(C1275,Table2[Species],Table2[Family],"Code Not Found")</f>
        <v>Sapindaceae</v>
      </c>
      <c r="O1275" t="str" cm="1">
        <f t="array" ref="O1275">_xlfn.IFS(F1275="","",F1275&lt;=5,"0 to 5",F1275&lt;=10,"5.1 to 10",F1275&lt;=20,"10 to 20", F1275&lt;= 40, "20 to 40", F1275 &lt;= 50, "40 to 50", F1275 &gt; 50, "&gt;50" )</f>
        <v>5.1 to 10</v>
      </c>
    </row>
    <row r="1276" spans="1:15" ht="14.4" x14ac:dyDescent="0.3">
      <c r="A1276" t="s">
        <v>240</v>
      </c>
      <c r="B1276" s="1">
        <v>46197</v>
      </c>
      <c r="C1276" t="s">
        <v>16</v>
      </c>
      <c r="D1276">
        <v>1174</v>
      </c>
      <c r="E1276">
        <v>1</v>
      </c>
      <c r="F1276">
        <v>4.9000000000000004</v>
      </c>
      <c r="G1276" t="s">
        <v>17</v>
      </c>
      <c r="I1276" t="str">
        <f t="shared" si="22"/>
        <v>1174_1</v>
      </c>
      <c r="J1276" t="s">
        <v>241</v>
      </c>
      <c r="K1276" t="s">
        <v>179</v>
      </c>
      <c r="L1276" t="str">
        <f>_xlfn.XLOOKUP(C1276, Table2[Species],Table2[Genus], "Code Not Found")</f>
        <v>Acer</v>
      </c>
      <c r="M1276" t="str">
        <f>_xlfn.XLOOKUP(C1276, Table2[Species],Table2[Sp. Name], "Code Not Found")</f>
        <v>saccharum</v>
      </c>
      <c r="N1276" t="str">
        <f>_xlfn.XLOOKUP(C1276,Table2[Species],Table2[Family],"Code Not Found")</f>
        <v>Sapindaceae</v>
      </c>
      <c r="O1276" t="str" cm="1">
        <f t="array" ref="O1276">_xlfn.IFS(F1276="","",F1276&lt;=5,"0 to 5",F1276&lt;=10,"5.1 to 10",F1276&lt;=20,"10 to 20", F1276&lt;= 40, "20 to 40", F1276 &lt;= 50, "40 to 50", F1276 &gt; 50, "&gt;50" )</f>
        <v>0 to 5</v>
      </c>
    </row>
    <row r="1277" spans="1:15" ht="14.4" x14ac:dyDescent="0.3">
      <c r="A1277" t="s">
        <v>240</v>
      </c>
      <c r="B1277" s="1">
        <v>46197</v>
      </c>
      <c r="C1277" t="s">
        <v>16</v>
      </c>
      <c r="D1277">
        <v>1175</v>
      </c>
      <c r="E1277">
        <v>1</v>
      </c>
      <c r="F1277">
        <v>5</v>
      </c>
      <c r="G1277" t="s">
        <v>17</v>
      </c>
      <c r="I1277" t="str">
        <f t="shared" si="22"/>
        <v>1175_1</v>
      </c>
      <c r="J1277" t="s">
        <v>241</v>
      </c>
      <c r="K1277" t="s">
        <v>179</v>
      </c>
      <c r="L1277" t="str">
        <f>_xlfn.XLOOKUP(C1277, Table2[Species],Table2[Genus], "Code Not Found")</f>
        <v>Acer</v>
      </c>
      <c r="M1277" t="str">
        <f>_xlfn.XLOOKUP(C1277, Table2[Species],Table2[Sp. Name], "Code Not Found")</f>
        <v>saccharum</v>
      </c>
      <c r="N1277" t="str">
        <f>_xlfn.XLOOKUP(C1277,Table2[Species],Table2[Family],"Code Not Found")</f>
        <v>Sapindaceae</v>
      </c>
      <c r="O1277" t="str" cm="1">
        <f t="array" ref="O1277">_xlfn.IFS(F1277="","",F1277&lt;=5,"0 to 5",F1277&lt;=10,"5.1 to 10",F1277&lt;=20,"10 to 20", F1277&lt;= 40, "20 to 40", F1277 &lt;= 50, "40 to 50", F1277 &gt; 50, "&gt;50" )</f>
        <v>0 to 5</v>
      </c>
    </row>
    <row r="1278" spans="1:15" ht="14.4" x14ac:dyDescent="0.3">
      <c r="A1278" t="s">
        <v>240</v>
      </c>
      <c r="B1278" s="1">
        <v>46197</v>
      </c>
      <c r="C1278" t="s">
        <v>16</v>
      </c>
      <c r="D1278">
        <v>1176</v>
      </c>
      <c r="E1278">
        <v>1</v>
      </c>
      <c r="F1278">
        <v>1.3</v>
      </c>
      <c r="G1278" t="s">
        <v>47</v>
      </c>
      <c r="H1278" t="s">
        <v>43</v>
      </c>
      <c r="I1278" t="str">
        <f t="shared" si="22"/>
        <v>1176_1</v>
      </c>
      <c r="J1278" t="s">
        <v>241</v>
      </c>
      <c r="K1278" t="s">
        <v>179</v>
      </c>
      <c r="L1278" t="str">
        <f>_xlfn.XLOOKUP(C1278, Table2[Species],Table2[Genus], "Code Not Found")</f>
        <v>Acer</v>
      </c>
      <c r="M1278" t="str">
        <f>_xlfn.XLOOKUP(C1278, Table2[Species],Table2[Sp. Name], "Code Not Found")</f>
        <v>saccharum</v>
      </c>
      <c r="N1278" t="str">
        <f>_xlfn.XLOOKUP(C1278,Table2[Species],Table2[Family],"Code Not Found")</f>
        <v>Sapindaceae</v>
      </c>
      <c r="O1278" t="str" cm="1">
        <f t="array" ref="O1278">_xlfn.IFS(F1278="","",F1278&lt;=5,"0 to 5",F1278&lt;=10,"5.1 to 10",F1278&lt;=20,"10 to 20", F1278&lt;= 40, "20 to 40", F1278 &lt;= 50, "40 to 50", F1278 &gt; 50, "&gt;50" )</f>
        <v>0 to 5</v>
      </c>
    </row>
    <row r="1279" spans="1:15" ht="14.4" x14ac:dyDescent="0.3">
      <c r="A1279" t="s">
        <v>240</v>
      </c>
      <c r="B1279" s="1">
        <v>46197</v>
      </c>
      <c r="C1279" t="s">
        <v>16</v>
      </c>
      <c r="D1279">
        <v>1177</v>
      </c>
      <c r="E1279">
        <v>1</v>
      </c>
      <c r="F1279">
        <v>3.1</v>
      </c>
      <c r="G1279" t="s">
        <v>38</v>
      </c>
      <c r="I1279" t="str">
        <f t="shared" si="22"/>
        <v>1177_1</v>
      </c>
      <c r="J1279" t="s">
        <v>241</v>
      </c>
      <c r="K1279" t="s">
        <v>179</v>
      </c>
      <c r="L1279" t="str">
        <f>_xlfn.XLOOKUP(C1279, Table2[Species],Table2[Genus], "Code Not Found")</f>
        <v>Acer</v>
      </c>
      <c r="M1279" t="str">
        <f>_xlfn.XLOOKUP(C1279, Table2[Species],Table2[Sp. Name], "Code Not Found")</f>
        <v>saccharum</v>
      </c>
      <c r="N1279" t="str">
        <f>_xlfn.XLOOKUP(C1279,Table2[Species],Table2[Family],"Code Not Found")</f>
        <v>Sapindaceae</v>
      </c>
      <c r="O1279" t="str" cm="1">
        <f t="array" ref="O1279">_xlfn.IFS(F1279="","",F1279&lt;=5,"0 to 5",F1279&lt;=10,"5.1 to 10",F1279&lt;=20,"10 to 20", F1279&lt;= 40, "20 to 40", F1279 &lt;= 50, "40 to 50", F1279 &gt; 50, "&gt;50" )</f>
        <v>0 to 5</v>
      </c>
    </row>
    <row r="1280" spans="1:15" ht="14.4" x14ac:dyDescent="0.3">
      <c r="A1280" t="s">
        <v>240</v>
      </c>
      <c r="B1280" s="1">
        <v>46197</v>
      </c>
      <c r="C1280" t="s">
        <v>16</v>
      </c>
      <c r="D1280">
        <v>1178</v>
      </c>
      <c r="E1280">
        <v>1</v>
      </c>
      <c r="F1280">
        <v>12.5</v>
      </c>
      <c r="G1280" t="s">
        <v>17</v>
      </c>
      <c r="I1280" t="str">
        <f t="shared" si="22"/>
        <v>1178_1</v>
      </c>
      <c r="J1280" t="s">
        <v>241</v>
      </c>
      <c r="K1280" t="s">
        <v>179</v>
      </c>
      <c r="L1280" t="str">
        <f>_xlfn.XLOOKUP(C1280, Table2[Species],Table2[Genus], "Code Not Found")</f>
        <v>Acer</v>
      </c>
      <c r="M1280" t="str">
        <f>_xlfn.XLOOKUP(C1280, Table2[Species],Table2[Sp. Name], "Code Not Found")</f>
        <v>saccharum</v>
      </c>
      <c r="N1280" t="str">
        <f>_xlfn.XLOOKUP(C1280,Table2[Species],Table2[Family],"Code Not Found")</f>
        <v>Sapindaceae</v>
      </c>
      <c r="O1280" t="str" cm="1">
        <f t="array" ref="O1280">_xlfn.IFS(F1280="","",F1280&lt;=5,"0 to 5",F1280&lt;=10,"5.1 to 10",F1280&lt;=20,"10 to 20", F1280&lt;= 40, "20 to 40", F1280 &lt;= 50, "40 to 50", F1280 &gt; 50, "&gt;50" )</f>
        <v>10 to 20</v>
      </c>
    </row>
    <row r="1281" spans="1:15" ht="14.4" x14ac:dyDescent="0.3">
      <c r="A1281" t="s">
        <v>240</v>
      </c>
      <c r="B1281" s="1">
        <v>46197</v>
      </c>
      <c r="C1281" t="s">
        <v>59</v>
      </c>
      <c r="D1281">
        <v>1179</v>
      </c>
      <c r="E1281">
        <v>1</v>
      </c>
      <c r="F1281">
        <v>5.0999999999999996</v>
      </c>
      <c r="G1281" t="s">
        <v>47</v>
      </c>
      <c r="H1281" t="s">
        <v>43</v>
      </c>
      <c r="I1281" t="str">
        <f t="shared" si="22"/>
        <v>1179_1</v>
      </c>
      <c r="J1281" t="s">
        <v>241</v>
      </c>
      <c r="K1281" t="s">
        <v>179</v>
      </c>
      <c r="L1281" t="str">
        <f>_xlfn.XLOOKUP(C1281, Table2[Species],Table2[Genus], "Code Not Found")</f>
        <v>Nyssa</v>
      </c>
      <c r="M1281" t="str">
        <f>_xlfn.XLOOKUP(C1281, Table2[Species],Table2[Sp. Name], "Code Not Found")</f>
        <v>sylvatica</v>
      </c>
      <c r="N1281" t="str">
        <f>_xlfn.XLOOKUP(C1281,Table2[Species],Table2[Family],"Code Not Found")</f>
        <v>Nyssaceae</v>
      </c>
      <c r="O1281" t="str" cm="1">
        <f t="array" ref="O1281">_xlfn.IFS(F1281="","",F1281&lt;=5,"0 to 5",F1281&lt;=10,"5.1 to 10",F1281&lt;=20,"10 to 20", F1281&lt;= 40, "20 to 40", F1281 &lt;= 50, "40 to 50", F1281 &gt; 50, "&gt;50" )</f>
        <v>5.1 to 10</v>
      </c>
    </row>
    <row r="1282" spans="1:15" ht="14.4" x14ac:dyDescent="0.3">
      <c r="A1282" t="s">
        <v>240</v>
      </c>
      <c r="B1282" s="1">
        <v>46197</v>
      </c>
      <c r="C1282" t="s">
        <v>16</v>
      </c>
      <c r="D1282">
        <v>1180</v>
      </c>
      <c r="E1282">
        <v>1</v>
      </c>
      <c r="F1282">
        <v>5.5</v>
      </c>
      <c r="G1282" t="s">
        <v>17</v>
      </c>
      <c r="I1282" t="str">
        <f t="shared" si="22"/>
        <v>1180_1</v>
      </c>
      <c r="J1282" t="s">
        <v>241</v>
      </c>
      <c r="K1282" t="s">
        <v>179</v>
      </c>
      <c r="L1282" t="str">
        <f>_xlfn.XLOOKUP(C1282, Table2[Species],Table2[Genus], "Code Not Found")</f>
        <v>Acer</v>
      </c>
      <c r="M1282" t="str">
        <f>_xlfn.XLOOKUP(C1282, Table2[Species],Table2[Sp. Name], "Code Not Found")</f>
        <v>saccharum</v>
      </c>
      <c r="N1282" t="str">
        <f>_xlfn.XLOOKUP(C1282,Table2[Species],Table2[Family],"Code Not Found")</f>
        <v>Sapindaceae</v>
      </c>
      <c r="O1282" t="str" cm="1">
        <f t="array" ref="O1282">_xlfn.IFS(F1282="","",F1282&lt;=5,"0 to 5",F1282&lt;=10,"5.1 to 10",F1282&lt;=20,"10 to 20", F1282&lt;= 40, "20 to 40", F1282 &lt;= 50, "40 to 50", F1282 &gt; 50, "&gt;50" )</f>
        <v>5.1 to 10</v>
      </c>
    </row>
    <row r="1283" spans="1:15" ht="14.4" x14ac:dyDescent="0.3">
      <c r="A1283" t="s">
        <v>240</v>
      </c>
      <c r="B1283" s="1">
        <v>46197</v>
      </c>
      <c r="C1283" t="s">
        <v>64</v>
      </c>
      <c r="D1283">
        <v>1181</v>
      </c>
      <c r="E1283">
        <v>1</v>
      </c>
      <c r="F1283">
        <v>8.6</v>
      </c>
      <c r="G1283" t="s">
        <v>21</v>
      </c>
      <c r="I1283" t="str">
        <f t="shared" si="22"/>
        <v>1181_1</v>
      </c>
      <c r="J1283" t="s">
        <v>241</v>
      </c>
      <c r="K1283" t="s">
        <v>179</v>
      </c>
      <c r="L1283" t="str">
        <f>_xlfn.XLOOKUP(C1283, Table2[Species],Table2[Genus], "Code Not Found")</f>
        <v>Fagus</v>
      </c>
      <c r="M1283" t="str">
        <f>_xlfn.XLOOKUP(C1283, Table2[Species],Table2[Sp. Name], "Code Not Found")</f>
        <v>grandifolia</v>
      </c>
      <c r="N1283" t="str">
        <f>_xlfn.XLOOKUP(C1283,Table2[Species],Table2[Family],"Code Not Found")</f>
        <v>Fagaceae</v>
      </c>
      <c r="O1283" t="str" cm="1">
        <f t="array" ref="O1283">_xlfn.IFS(F1283="","",F1283&lt;=5,"0 to 5",F1283&lt;=10,"5.1 to 10",F1283&lt;=20,"10 to 20", F1283&lt;= 40, "20 to 40", F1283 &lt;= 50, "40 to 50", F1283 &gt; 50, "&gt;50" )</f>
        <v>5.1 to 10</v>
      </c>
    </row>
    <row r="1284" spans="1:15" ht="14.4" x14ac:dyDescent="0.3">
      <c r="A1284" t="s">
        <v>240</v>
      </c>
      <c r="B1284" s="1">
        <v>46197</v>
      </c>
      <c r="C1284" t="s">
        <v>24</v>
      </c>
      <c r="D1284">
        <v>1182</v>
      </c>
      <c r="E1284">
        <v>1</v>
      </c>
      <c r="F1284">
        <v>1.1000000000000001</v>
      </c>
      <c r="G1284" t="s">
        <v>21</v>
      </c>
      <c r="I1284" t="str">
        <f t="shared" si="22"/>
        <v>1182_1</v>
      </c>
      <c r="J1284" t="s">
        <v>241</v>
      </c>
      <c r="K1284" t="s">
        <v>179</v>
      </c>
      <c r="L1284" t="str">
        <f>_xlfn.XLOOKUP(C1284, Table2[Species],Table2[Genus], "Code Not Found")</f>
        <v>Lirodendron</v>
      </c>
      <c r="M1284" t="str">
        <f>_xlfn.XLOOKUP(C1284, Table2[Species],Table2[Sp. Name], "Code Not Found")</f>
        <v>tulipfera</v>
      </c>
      <c r="N1284" t="str">
        <f>_xlfn.XLOOKUP(C1284,Table2[Species],Table2[Family],"Code Not Found")</f>
        <v>Magnoliaceae</v>
      </c>
      <c r="O1284" t="str" cm="1">
        <f t="array" ref="O1284">_xlfn.IFS(F1284="","",F1284&lt;=5,"0 to 5",F1284&lt;=10,"5.1 to 10",F1284&lt;=20,"10 to 20", F1284&lt;= 40, "20 to 40", F1284 &lt;= 50, "40 to 50", F1284 &gt; 50, "&gt;50" )</f>
        <v>0 to 5</v>
      </c>
    </row>
    <row r="1285" spans="1:15" ht="14.4" x14ac:dyDescent="0.3">
      <c r="A1285" t="s">
        <v>240</v>
      </c>
      <c r="B1285" s="1">
        <v>46197</v>
      </c>
      <c r="C1285" t="s">
        <v>24</v>
      </c>
      <c r="D1285">
        <v>1183</v>
      </c>
      <c r="E1285">
        <v>1</v>
      </c>
      <c r="F1285">
        <v>1.2</v>
      </c>
      <c r="G1285" t="s">
        <v>21</v>
      </c>
      <c r="I1285" t="str">
        <f t="shared" si="22"/>
        <v>1183_1</v>
      </c>
      <c r="J1285" t="s">
        <v>241</v>
      </c>
      <c r="K1285" t="s">
        <v>179</v>
      </c>
      <c r="L1285" t="str">
        <f>_xlfn.XLOOKUP(C1285, Table2[Species],Table2[Genus], "Code Not Found")</f>
        <v>Lirodendron</v>
      </c>
      <c r="M1285" t="str">
        <f>_xlfn.XLOOKUP(C1285, Table2[Species],Table2[Sp. Name], "Code Not Found")</f>
        <v>tulipfera</v>
      </c>
      <c r="N1285" t="str">
        <f>_xlfn.XLOOKUP(C1285,Table2[Species],Table2[Family],"Code Not Found")</f>
        <v>Magnoliaceae</v>
      </c>
      <c r="O1285" t="str" cm="1">
        <f t="array" ref="O1285">_xlfn.IFS(F1285="","",F1285&lt;=5,"0 to 5",F1285&lt;=10,"5.1 to 10",F1285&lt;=20,"10 to 20", F1285&lt;= 40, "20 to 40", F1285 &lt;= 50, "40 to 50", F1285 &gt; 50, "&gt;50" )</f>
        <v>0 to 5</v>
      </c>
    </row>
    <row r="1286" spans="1:15" ht="14.4" x14ac:dyDescent="0.3">
      <c r="A1286" t="s">
        <v>240</v>
      </c>
      <c r="B1286" s="1">
        <v>46197</v>
      </c>
      <c r="C1286" t="s">
        <v>64</v>
      </c>
      <c r="D1286">
        <v>1184</v>
      </c>
      <c r="E1286">
        <v>1</v>
      </c>
      <c r="F1286">
        <v>3.9</v>
      </c>
      <c r="G1286" t="s">
        <v>103</v>
      </c>
      <c r="I1286" t="str">
        <f t="shared" si="22"/>
        <v>1184_1</v>
      </c>
      <c r="J1286" t="s">
        <v>241</v>
      </c>
      <c r="K1286" t="s">
        <v>179</v>
      </c>
      <c r="L1286" t="str">
        <f>_xlfn.XLOOKUP(C1286, Table2[Species],Table2[Genus], "Code Not Found")</f>
        <v>Fagus</v>
      </c>
      <c r="M1286" t="str">
        <f>_xlfn.XLOOKUP(C1286, Table2[Species],Table2[Sp. Name], "Code Not Found")</f>
        <v>grandifolia</v>
      </c>
      <c r="N1286" t="str">
        <f>_xlfn.XLOOKUP(C1286,Table2[Species],Table2[Family],"Code Not Found")</f>
        <v>Fagaceae</v>
      </c>
      <c r="O1286" t="str" cm="1">
        <f t="array" ref="O1286">_xlfn.IFS(F1286="","",F1286&lt;=5,"0 to 5",F1286&lt;=10,"5.1 to 10",F1286&lt;=20,"10 to 20", F1286&lt;= 40, "20 to 40", F1286 &lt;= 50, "40 to 50", F1286 &gt; 50, "&gt;50" )</f>
        <v>0 to 5</v>
      </c>
    </row>
    <row r="1287" spans="1:15" ht="14.4" x14ac:dyDescent="0.3">
      <c r="A1287" t="s">
        <v>240</v>
      </c>
      <c r="B1287" s="1">
        <v>46197</v>
      </c>
      <c r="C1287" t="s">
        <v>64</v>
      </c>
      <c r="D1287">
        <v>1185</v>
      </c>
      <c r="E1287">
        <v>1</v>
      </c>
      <c r="F1287">
        <v>9.6999999999999993</v>
      </c>
      <c r="G1287" t="s">
        <v>17</v>
      </c>
      <c r="I1287" t="str">
        <f t="shared" si="22"/>
        <v>1185_1</v>
      </c>
      <c r="J1287" t="s">
        <v>241</v>
      </c>
      <c r="K1287" t="s">
        <v>179</v>
      </c>
      <c r="L1287" t="str">
        <f>_xlfn.XLOOKUP(C1287, Table2[Species],Table2[Genus], "Code Not Found")</f>
        <v>Fagus</v>
      </c>
      <c r="M1287" t="str">
        <f>_xlfn.XLOOKUP(C1287, Table2[Species],Table2[Sp. Name], "Code Not Found")</f>
        <v>grandifolia</v>
      </c>
      <c r="N1287" t="str">
        <f>_xlfn.XLOOKUP(C1287,Table2[Species],Table2[Family],"Code Not Found")</f>
        <v>Fagaceae</v>
      </c>
      <c r="O1287" t="str" cm="1">
        <f t="array" ref="O1287">_xlfn.IFS(F1287="","",F1287&lt;=5,"0 to 5",F1287&lt;=10,"5.1 to 10",F1287&lt;=20,"10 to 20", F1287&lt;= 40, "20 to 40", F1287 &lt;= 50, "40 to 50", F1287 &gt; 50, "&gt;50" )</f>
        <v>5.1 to 10</v>
      </c>
    </row>
    <row r="1288" spans="1:15" ht="14.4" x14ac:dyDescent="0.3">
      <c r="A1288" t="s">
        <v>240</v>
      </c>
      <c r="B1288" s="1">
        <v>46197</v>
      </c>
      <c r="C1288" t="s">
        <v>16</v>
      </c>
      <c r="D1288">
        <v>1186</v>
      </c>
      <c r="E1288">
        <v>1</v>
      </c>
      <c r="F1288">
        <v>7.3</v>
      </c>
      <c r="G1288" t="s">
        <v>17</v>
      </c>
      <c r="I1288" t="str">
        <f t="shared" si="22"/>
        <v>1186_1</v>
      </c>
      <c r="J1288" t="s">
        <v>241</v>
      </c>
      <c r="K1288" t="s">
        <v>179</v>
      </c>
      <c r="L1288" t="str">
        <f>_xlfn.XLOOKUP(C1288, Table2[Species],Table2[Genus], "Code Not Found")</f>
        <v>Acer</v>
      </c>
      <c r="M1288" t="str">
        <f>_xlfn.XLOOKUP(C1288, Table2[Species],Table2[Sp. Name], "Code Not Found")</f>
        <v>saccharum</v>
      </c>
      <c r="N1288" t="str">
        <f>_xlfn.XLOOKUP(C1288,Table2[Species],Table2[Family],"Code Not Found")</f>
        <v>Sapindaceae</v>
      </c>
      <c r="O1288" t="str" cm="1">
        <f t="array" ref="O1288">_xlfn.IFS(F1288="","",F1288&lt;=5,"0 to 5",F1288&lt;=10,"5.1 to 10",F1288&lt;=20,"10 to 20", F1288&lt;= 40, "20 to 40", F1288 &lt;= 50, "40 to 50", F1288 &gt; 50, "&gt;50" )</f>
        <v>5.1 to 10</v>
      </c>
    </row>
    <row r="1289" spans="1:15" ht="14.4" x14ac:dyDescent="0.3">
      <c r="A1289" t="s">
        <v>240</v>
      </c>
      <c r="B1289" s="1">
        <v>46197</v>
      </c>
      <c r="C1289" t="s">
        <v>55</v>
      </c>
      <c r="D1289">
        <v>1187</v>
      </c>
      <c r="E1289">
        <v>1</v>
      </c>
      <c r="F1289">
        <v>1.2</v>
      </c>
      <c r="G1289" t="s">
        <v>21</v>
      </c>
      <c r="I1289" t="str">
        <f t="shared" si="22"/>
        <v>1187_1</v>
      </c>
      <c r="J1289" t="s">
        <v>241</v>
      </c>
      <c r="K1289" t="s">
        <v>179</v>
      </c>
      <c r="L1289" t="str">
        <f>_xlfn.XLOOKUP(C1289, Table2[Species],Table2[Genus], "Code Not Found")</f>
        <v>Magnolia</v>
      </c>
      <c r="M1289" t="str">
        <f>_xlfn.XLOOKUP(C1289, Table2[Species],Table2[Sp. Name], "Code Not Found")</f>
        <v>acuminata</v>
      </c>
      <c r="N1289" t="str">
        <f>_xlfn.XLOOKUP(C1289,Table2[Species],Table2[Family],"Code Not Found")</f>
        <v>Magnoliaceae</v>
      </c>
      <c r="O1289" t="str" cm="1">
        <f t="array" ref="O1289">_xlfn.IFS(F1289="","",F1289&lt;=5,"0 to 5",F1289&lt;=10,"5.1 to 10",F1289&lt;=20,"10 to 20", F1289&lt;= 40, "20 to 40", F1289 &lt;= 50, "40 to 50", F1289 &gt; 50, "&gt;50" )</f>
        <v>0 to 5</v>
      </c>
    </row>
    <row r="1290" spans="1:15" ht="14.4" x14ac:dyDescent="0.3">
      <c r="A1290" t="s">
        <v>240</v>
      </c>
      <c r="B1290" s="1">
        <v>46197</v>
      </c>
      <c r="C1290" t="s">
        <v>16</v>
      </c>
      <c r="D1290">
        <v>1188</v>
      </c>
      <c r="E1290">
        <v>1</v>
      </c>
      <c r="F1290">
        <v>21.8</v>
      </c>
      <c r="G1290" t="s">
        <v>17</v>
      </c>
      <c r="I1290" t="str">
        <f t="shared" si="22"/>
        <v>1188_1</v>
      </c>
      <c r="J1290" t="s">
        <v>241</v>
      </c>
      <c r="K1290" t="s">
        <v>179</v>
      </c>
      <c r="L1290" t="str">
        <f>_xlfn.XLOOKUP(C1290, Table2[Species],Table2[Genus], "Code Not Found")</f>
        <v>Acer</v>
      </c>
      <c r="M1290" t="str">
        <f>_xlfn.XLOOKUP(C1290, Table2[Species],Table2[Sp. Name], "Code Not Found")</f>
        <v>saccharum</v>
      </c>
      <c r="N1290" t="str">
        <f>_xlfn.XLOOKUP(C1290,Table2[Species],Table2[Family],"Code Not Found")</f>
        <v>Sapindaceae</v>
      </c>
      <c r="O1290" t="str" cm="1">
        <f t="array" ref="O1290">_xlfn.IFS(F1290="","",F1290&lt;=5,"0 to 5",F1290&lt;=10,"5.1 to 10",F1290&lt;=20,"10 to 20", F1290&lt;= 40, "20 to 40", F1290 &lt;= 50, "40 to 50", F1290 &gt; 50, "&gt;50" )</f>
        <v>20 to 40</v>
      </c>
    </row>
    <row r="1291" spans="1:15" ht="14.4" x14ac:dyDescent="0.3">
      <c r="A1291" t="s">
        <v>240</v>
      </c>
      <c r="B1291" s="1">
        <v>46197</v>
      </c>
      <c r="C1291" t="s">
        <v>20</v>
      </c>
      <c r="D1291">
        <v>1189</v>
      </c>
      <c r="E1291">
        <v>1</v>
      </c>
      <c r="F1291">
        <v>12.3</v>
      </c>
      <c r="G1291" t="s">
        <v>17</v>
      </c>
      <c r="I1291" t="str">
        <f t="shared" si="22"/>
        <v>1189_1</v>
      </c>
      <c r="J1291" t="s">
        <v>241</v>
      </c>
      <c r="K1291" t="s">
        <v>179</v>
      </c>
      <c r="L1291" t="str">
        <f>_xlfn.XLOOKUP(C1291, Table2[Species],Table2[Genus], "Code Not Found")</f>
        <v>Prunus</v>
      </c>
      <c r="M1291" t="str">
        <f>_xlfn.XLOOKUP(C1291, Table2[Species],Table2[Sp. Name], "Code Not Found")</f>
        <v>serotina</v>
      </c>
      <c r="N1291" t="str">
        <f>_xlfn.XLOOKUP(C1291,Table2[Species],Table2[Family],"Code Not Found")</f>
        <v>Rosaceae</v>
      </c>
      <c r="O1291" t="str" cm="1">
        <f t="array" ref="O1291">_xlfn.IFS(F1291="","",F1291&lt;=5,"0 to 5",F1291&lt;=10,"5.1 to 10",F1291&lt;=20,"10 to 20", F1291&lt;= 40, "20 to 40", F1291 &lt;= 50, "40 to 50", F1291 &gt; 50, "&gt;50" )</f>
        <v>10 to 20</v>
      </c>
    </row>
    <row r="1292" spans="1:15" ht="14.4" x14ac:dyDescent="0.3">
      <c r="A1292" t="s">
        <v>240</v>
      </c>
      <c r="B1292" s="1">
        <v>46197</v>
      </c>
      <c r="C1292" t="s">
        <v>235</v>
      </c>
      <c r="D1292">
        <v>1190</v>
      </c>
      <c r="E1292">
        <v>1</v>
      </c>
      <c r="F1292">
        <v>8.9</v>
      </c>
      <c r="G1292" t="s">
        <v>17</v>
      </c>
      <c r="I1292" t="str">
        <f t="shared" si="22"/>
        <v>1190_1</v>
      </c>
      <c r="J1292" t="s">
        <v>241</v>
      </c>
      <c r="K1292" t="s">
        <v>179</v>
      </c>
      <c r="L1292" t="str">
        <f>_xlfn.XLOOKUP(C1292, Table2[Species],Table2[Genus], "Code Not Found")</f>
        <v>Carpinus</v>
      </c>
      <c r="M1292" t="str">
        <f>_xlfn.XLOOKUP(C1292, Table2[Species],Table2[Sp. Name], "Code Not Found")</f>
        <v>caroliniana</v>
      </c>
      <c r="N1292" t="str">
        <f>_xlfn.XLOOKUP(C1292,Table2[Species],Table2[Family],"Code Not Found")</f>
        <v>Betulaceae</v>
      </c>
      <c r="O1292" t="str" cm="1">
        <f t="array" ref="O1292">_xlfn.IFS(F1292="","",F1292&lt;=5,"0 to 5",F1292&lt;=10,"5.1 to 10",F1292&lt;=20,"10 to 20", F1292&lt;= 40, "20 to 40", F1292 &lt;= 50, "40 to 50", F1292 &gt; 50, "&gt;50" )</f>
        <v>5.1 to 10</v>
      </c>
    </row>
    <row r="1293" spans="1:15" ht="14.4" x14ac:dyDescent="0.3">
      <c r="A1293" t="s">
        <v>240</v>
      </c>
      <c r="B1293" s="1">
        <v>46197</v>
      </c>
      <c r="C1293" t="s">
        <v>16</v>
      </c>
      <c r="D1293">
        <v>1191</v>
      </c>
      <c r="E1293">
        <v>1</v>
      </c>
      <c r="F1293">
        <v>2.2000000000000002</v>
      </c>
      <c r="G1293" t="s">
        <v>88</v>
      </c>
      <c r="H1293" t="s">
        <v>99</v>
      </c>
      <c r="I1293" t="str">
        <f t="shared" si="22"/>
        <v>1191_1</v>
      </c>
      <c r="J1293" t="s">
        <v>241</v>
      </c>
      <c r="K1293" t="s">
        <v>179</v>
      </c>
      <c r="L1293" t="str">
        <f>_xlfn.XLOOKUP(C1293, Table2[Species],Table2[Genus], "Code Not Found")</f>
        <v>Acer</v>
      </c>
      <c r="M1293" t="str">
        <f>_xlfn.XLOOKUP(C1293, Table2[Species],Table2[Sp. Name], "Code Not Found")</f>
        <v>saccharum</v>
      </c>
      <c r="N1293" t="str">
        <f>_xlfn.XLOOKUP(C1293,Table2[Species],Table2[Family],"Code Not Found")</f>
        <v>Sapindaceae</v>
      </c>
      <c r="O1293" t="str" cm="1">
        <f t="array" ref="O1293">_xlfn.IFS(F1293="","",F1293&lt;=5,"0 to 5",F1293&lt;=10,"5.1 to 10",F1293&lt;=20,"10 to 20", F1293&lt;= 40, "20 to 40", F1293 &lt;= 50, "40 to 50", F1293 &gt; 50, "&gt;50" )</f>
        <v>0 to 5</v>
      </c>
    </row>
    <row r="1294" spans="1:15" ht="14.4" x14ac:dyDescent="0.3">
      <c r="A1294" t="s">
        <v>240</v>
      </c>
      <c r="B1294" s="1">
        <v>46197</v>
      </c>
      <c r="C1294" t="s">
        <v>16</v>
      </c>
      <c r="D1294">
        <v>1192</v>
      </c>
      <c r="E1294">
        <v>1</v>
      </c>
      <c r="F1294">
        <v>18.8</v>
      </c>
      <c r="G1294" t="s">
        <v>17</v>
      </c>
      <c r="I1294" t="str">
        <f t="shared" si="22"/>
        <v>1192_1</v>
      </c>
      <c r="J1294" t="s">
        <v>241</v>
      </c>
      <c r="K1294" t="s">
        <v>179</v>
      </c>
      <c r="L1294" t="str">
        <f>_xlfn.XLOOKUP(C1294, Table2[Species],Table2[Genus], "Code Not Found")</f>
        <v>Acer</v>
      </c>
      <c r="M1294" t="str">
        <f>_xlfn.XLOOKUP(C1294, Table2[Species],Table2[Sp. Name], "Code Not Found")</f>
        <v>saccharum</v>
      </c>
      <c r="N1294" t="str">
        <f>_xlfn.XLOOKUP(C1294,Table2[Species],Table2[Family],"Code Not Found")</f>
        <v>Sapindaceae</v>
      </c>
      <c r="O1294" t="str" cm="1">
        <f t="array" ref="O1294">_xlfn.IFS(F1294="","",F1294&lt;=5,"0 to 5",F1294&lt;=10,"5.1 to 10",F1294&lt;=20,"10 to 20", F1294&lt;= 40, "20 to 40", F1294 &lt;= 50, "40 to 50", F1294 &gt; 50, "&gt;50" )</f>
        <v>10 to 20</v>
      </c>
    </row>
    <row r="1295" spans="1:15" ht="14.4" x14ac:dyDescent="0.3">
      <c r="A1295" t="s">
        <v>240</v>
      </c>
      <c r="B1295" s="1">
        <v>46197</v>
      </c>
      <c r="C1295" t="s">
        <v>16</v>
      </c>
      <c r="D1295">
        <v>1193</v>
      </c>
      <c r="E1295">
        <v>1</v>
      </c>
      <c r="F1295">
        <v>6.6</v>
      </c>
      <c r="G1295" t="s">
        <v>17</v>
      </c>
      <c r="I1295" t="str">
        <f t="shared" si="22"/>
        <v>1193_1</v>
      </c>
      <c r="J1295" t="s">
        <v>241</v>
      </c>
      <c r="K1295" t="s">
        <v>179</v>
      </c>
      <c r="L1295" t="str">
        <f>_xlfn.XLOOKUP(C1295, Table2[Species],Table2[Genus], "Code Not Found")</f>
        <v>Acer</v>
      </c>
      <c r="M1295" t="str">
        <f>_xlfn.XLOOKUP(C1295, Table2[Species],Table2[Sp. Name], "Code Not Found")</f>
        <v>saccharum</v>
      </c>
      <c r="N1295" t="str">
        <f>_xlfn.XLOOKUP(C1295,Table2[Species],Table2[Family],"Code Not Found")</f>
        <v>Sapindaceae</v>
      </c>
      <c r="O1295" t="str" cm="1">
        <f t="array" ref="O1295">_xlfn.IFS(F1295="","",F1295&lt;=5,"0 to 5",F1295&lt;=10,"5.1 to 10",F1295&lt;=20,"10 to 20", F1295&lt;= 40, "20 to 40", F1295 &lt;= 50, "40 to 50", F1295 &gt; 50, "&gt;50" )</f>
        <v>5.1 to 10</v>
      </c>
    </row>
    <row r="1296" spans="1:15" ht="14.4" x14ac:dyDescent="0.3">
      <c r="A1296" t="s">
        <v>240</v>
      </c>
      <c r="B1296" s="1">
        <v>46197</v>
      </c>
      <c r="C1296" t="s">
        <v>64</v>
      </c>
      <c r="D1296">
        <v>1194</v>
      </c>
      <c r="E1296">
        <v>1</v>
      </c>
      <c r="F1296">
        <v>2.5</v>
      </c>
      <c r="G1296" t="s">
        <v>88</v>
      </c>
      <c r="H1296" t="s">
        <v>100</v>
      </c>
      <c r="I1296" t="str">
        <f t="shared" si="22"/>
        <v>1194_1</v>
      </c>
      <c r="J1296" t="s">
        <v>241</v>
      </c>
      <c r="K1296" t="s">
        <v>179</v>
      </c>
      <c r="L1296" t="str">
        <f>_xlfn.XLOOKUP(C1296, Table2[Species],Table2[Genus], "Code Not Found")</f>
        <v>Fagus</v>
      </c>
      <c r="M1296" t="str">
        <f>_xlfn.XLOOKUP(C1296, Table2[Species],Table2[Sp. Name], "Code Not Found")</f>
        <v>grandifolia</v>
      </c>
      <c r="N1296" t="str">
        <f>_xlfn.XLOOKUP(C1296,Table2[Species],Table2[Family],"Code Not Found")</f>
        <v>Fagaceae</v>
      </c>
      <c r="O1296" t="str" cm="1">
        <f t="array" ref="O1296">_xlfn.IFS(F1296="","",F1296&lt;=5,"0 to 5",F1296&lt;=10,"5.1 to 10",F1296&lt;=20,"10 to 20", F1296&lt;= 40, "20 to 40", F1296 &lt;= 50, "40 to 50", F1296 &gt; 50, "&gt;50" )</f>
        <v>0 to 5</v>
      </c>
    </row>
    <row r="1297" spans="1:15" ht="14.4" x14ac:dyDescent="0.3">
      <c r="A1297" t="s">
        <v>240</v>
      </c>
      <c r="B1297" s="1">
        <v>46197</v>
      </c>
      <c r="C1297" t="s">
        <v>64</v>
      </c>
      <c r="D1297">
        <v>1195</v>
      </c>
      <c r="E1297">
        <v>1</v>
      </c>
      <c r="F1297">
        <v>12.2</v>
      </c>
      <c r="G1297" t="s">
        <v>17</v>
      </c>
      <c r="I1297" t="str">
        <f t="shared" si="22"/>
        <v>1195_1</v>
      </c>
      <c r="J1297" t="s">
        <v>241</v>
      </c>
      <c r="K1297" t="s">
        <v>179</v>
      </c>
      <c r="L1297" t="str">
        <f>_xlfn.XLOOKUP(C1297, Table2[Species],Table2[Genus], "Code Not Found")</f>
        <v>Fagus</v>
      </c>
      <c r="M1297" t="str">
        <f>_xlfn.XLOOKUP(C1297, Table2[Species],Table2[Sp. Name], "Code Not Found")</f>
        <v>grandifolia</v>
      </c>
      <c r="N1297" t="str">
        <f>_xlfn.XLOOKUP(C1297,Table2[Species],Table2[Family],"Code Not Found")</f>
        <v>Fagaceae</v>
      </c>
      <c r="O1297" t="str" cm="1">
        <f t="array" ref="O1297">_xlfn.IFS(F1297="","",F1297&lt;=5,"0 to 5",F1297&lt;=10,"5.1 to 10",F1297&lt;=20,"10 to 20", F1297&lt;= 40, "20 to 40", F1297 &lt;= 50, "40 to 50", F1297 &gt; 50, "&gt;50" )</f>
        <v>10 to 20</v>
      </c>
    </row>
    <row r="1298" spans="1:15" ht="14.4" x14ac:dyDescent="0.3">
      <c r="A1298" t="s">
        <v>240</v>
      </c>
      <c r="B1298" s="1">
        <v>46197</v>
      </c>
      <c r="C1298" t="s">
        <v>16</v>
      </c>
      <c r="D1298">
        <v>1196</v>
      </c>
      <c r="E1298">
        <v>1</v>
      </c>
      <c r="F1298">
        <v>28.5</v>
      </c>
      <c r="G1298" t="s">
        <v>17</v>
      </c>
      <c r="I1298" t="str">
        <f t="shared" si="22"/>
        <v>1196_1</v>
      </c>
      <c r="J1298" t="s">
        <v>241</v>
      </c>
      <c r="K1298" t="s">
        <v>179</v>
      </c>
      <c r="L1298" t="str">
        <f>_xlfn.XLOOKUP(C1298, Table2[Species],Table2[Genus], "Code Not Found")</f>
        <v>Acer</v>
      </c>
      <c r="M1298" t="str">
        <f>_xlfn.XLOOKUP(C1298, Table2[Species],Table2[Sp. Name], "Code Not Found")</f>
        <v>saccharum</v>
      </c>
      <c r="N1298" t="str">
        <f>_xlfn.XLOOKUP(C1298,Table2[Species],Table2[Family],"Code Not Found")</f>
        <v>Sapindaceae</v>
      </c>
      <c r="O1298" t="str" cm="1">
        <f t="array" ref="O1298">_xlfn.IFS(F1298="","",F1298&lt;=5,"0 to 5",F1298&lt;=10,"5.1 to 10",F1298&lt;=20,"10 to 20", F1298&lt;= 40, "20 to 40", F1298 &lt;= 50, "40 to 50", F1298 &gt; 50, "&gt;50" )</f>
        <v>20 to 40</v>
      </c>
    </row>
    <row r="1299" spans="1:15" ht="14.4" x14ac:dyDescent="0.3">
      <c r="A1299" t="s">
        <v>240</v>
      </c>
      <c r="B1299" s="1">
        <v>46197</v>
      </c>
      <c r="C1299" t="s">
        <v>16</v>
      </c>
      <c r="D1299">
        <v>1197</v>
      </c>
      <c r="E1299">
        <v>1</v>
      </c>
      <c r="F1299">
        <v>5.3</v>
      </c>
      <c r="G1299" t="s">
        <v>280</v>
      </c>
      <c r="H1299" t="s">
        <v>96</v>
      </c>
      <c r="I1299" t="str">
        <f t="shared" si="22"/>
        <v>1197_1</v>
      </c>
      <c r="J1299" t="s">
        <v>241</v>
      </c>
      <c r="K1299" t="s">
        <v>179</v>
      </c>
      <c r="L1299" t="str">
        <f>_xlfn.XLOOKUP(C1299, Table2[Species],Table2[Genus], "Code Not Found")</f>
        <v>Acer</v>
      </c>
      <c r="M1299" t="str">
        <f>_xlfn.XLOOKUP(C1299, Table2[Species],Table2[Sp. Name], "Code Not Found")</f>
        <v>saccharum</v>
      </c>
      <c r="N1299" t="str">
        <f>_xlfn.XLOOKUP(C1299,Table2[Species],Table2[Family],"Code Not Found")</f>
        <v>Sapindaceae</v>
      </c>
      <c r="O1299" t="str" cm="1">
        <f t="array" ref="O1299">_xlfn.IFS(F1299="","",F1299&lt;=5,"0 to 5",F1299&lt;=10,"5.1 to 10",F1299&lt;=20,"10 to 20", F1299&lt;= 40, "20 to 40", F1299 &lt;= 50, "40 to 50", F1299 &gt; 50, "&gt;50" )</f>
        <v>5.1 to 10</v>
      </c>
    </row>
    <row r="1300" spans="1:15" ht="14.4" x14ac:dyDescent="0.3">
      <c r="A1300" t="s">
        <v>240</v>
      </c>
      <c r="B1300" s="1">
        <v>46197</v>
      </c>
      <c r="C1300" t="s">
        <v>16</v>
      </c>
      <c r="D1300">
        <v>1198</v>
      </c>
      <c r="E1300">
        <v>1</v>
      </c>
      <c r="F1300">
        <v>1.9</v>
      </c>
      <c r="G1300" t="s">
        <v>88</v>
      </c>
      <c r="H1300" t="s">
        <v>99</v>
      </c>
      <c r="I1300" t="str">
        <f t="shared" si="22"/>
        <v>1198_1</v>
      </c>
      <c r="J1300" t="s">
        <v>241</v>
      </c>
      <c r="K1300" t="s">
        <v>179</v>
      </c>
      <c r="L1300" t="str">
        <f>_xlfn.XLOOKUP(C1300, Table2[Species],Table2[Genus], "Code Not Found")</f>
        <v>Acer</v>
      </c>
      <c r="M1300" t="str">
        <f>_xlfn.XLOOKUP(C1300, Table2[Species],Table2[Sp. Name], "Code Not Found")</f>
        <v>saccharum</v>
      </c>
      <c r="N1300" t="str">
        <f>_xlfn.XLOOKUP(C1300,Table2[Species],Table2[Family],"Code Not Found")</f>
        <v>Sapindaceae</v>
      </c>
      <c r="O1300" t="str" cm="1">
        <f t="array" ref="O1300">_xlfn.IFS(F1300="","",F1300&lt;=5,"0 to 5",F1300&lt;=10,"5.1 to 10",F1300&lt;=20,"10 to 20", F1300&lt;= 40, "20 to 40", F1300 &lt;= 50, "40 to 50", F1300 &gt; 50, "&gt;50" )</f>
        <v>0 to 5</v>
      </c>
    </row>
    <row r="1301" spans="1:15" ht="14.4" x14ac:dyDescent="0.3">
      <c r="A1301" t="s">
        <v>240</v>
      </c>
      <c r="B1301" s="1">
        <v>46197</v>
      </c>
      <c r="C1301" t="s">
        <v>16</v>
      </c>
      <c r="D1301">
        <v>1199</v>
      </c>
      <c r="E1301">
        <v>1</v>
      </c>
      <c r="F1301">
        <v>3.5</v>
      </c>
      <c r="G1301" t="s">
        <v>51</v>
      </c>
      <c r="I1301" t="str">
        <f t="shared" si="22"/>
        <v>1199_1</v>
      </c>
      <c r="J1301" t="s">
        <v>241</v>
      </c>
      <c r="K1301" t="s">
        <v>179</v>
      </c>
      <c r="L1301" t="str">
        <f>_xlfn.XLOOKUP(C1301, Table2[Species],Table2[Genus], "Code Not Found")</f>
        <v>Acer</v>
      </c>
      <c r="M1301" t="str">
        <f>_xlfn.XLOOKUP(C1301, Table2[Species],Table2[Sp. Name], "Code Not Found")</f>
        <v>saccharum</v>
      </c>
      <c r="N1301" t="str">
        <f>_xlfn.XLOOKUP(C1301,Table2[Species],Table2[Family],"Code Not Found")</f>
        <v>Sapindaceae</v>
      </c>
      <c r="O1301" t="str" cm="1">
        <f t="array" ref="O1301">_xlfn.IFS(F1301="","",F1301&lt;=5,"0 to 5",F1301&lt;=10,"5.1 to 10",F1301&lt;=20,"10 to 20", F1301&lt;= 40, "20 to 40", F1301 &lt;= 50, "40 to 50", F1301 &gt; 50, "&gt;50" )</f>
        <v>0 to 5</v>
      </c>
    </row>
    <row r="1302" spans="1:15" ht="14.4" x14ac:dyDescent="0.3">
      <c r="A1302" t="s">
        <v>240</v>
      </c>
      <c r="B1302" s="1">
        <v>46197</v>
      </c>
      <c r="C1302" t="s">
        <v>16</v>
      </c>
      <c r="D1302">
        <v>1200</v>
      </c>
      <c r="E1302">
        <v>1</v>
      </c>
      <c r="F1302">
        <v>8.4</v>
      </c>
      <c r="G1302" t="s">
        <v>254</v>
      </c>
      <c r="H1302" t="s">
        <v>43</v>
      </c>
      <c r="I1302" t="str">
        <f t="shared" si="22"/>
        <v>1200_1</v>
      </c>
      <c r="J1302" t="s">
        <v>241</v>
      </c>
      <c r="K1302" t="s">
        <v>179</v>
      </c>
      <c r="L1302" t="str">
        <f>_xlfn.XLOOKUP(C1302, Table2[Species],Table2[Genus], "Code Not Found")</f>
        <v>Acer</v>
      </c>
      <c r="M1302" t="str">
        <f>_xlfn.XLOOKUP(C1302, Table2[Species],Table2[Sp. Name], "Code Not Found")</f>
        <v>saccharum</v>
      </c>
      <c r="N1302" t="str">
        <f>_xlfn.XLOOKUP(C1302,Table2[Species],Table2[Family],"Code Not Found")</f>
        <v>Sapindaceae</v>
      </c>
      <c r="O1302" t="str" cm="1">
        <f t="array" ref="O1302">_xlfn.IFS(F1302="","",F1302&lt;=5,"0 to 5",F1302&lt;=10,"5.1 to 10",F1302&lt;=20,"10 to 20", F1302&lt;= 40, "20 to 40", F1302 &lt;= 50, "40 to 50", F1302 &gt; 50, "&gt;50" )</f>
        <v>5.1 to 10</v>
      </c>
    </row>
    <row r="1303" spans="1:15" ht="14.4" x14ac:dyDescent="0.3">
      <c r="A1303" t="s">
        <v>240</v>
      </c>
      <c r="B1303" s="1">
        <v>46197</v>
      </c>
      <c r="C1303" t="s">
        <v>64</v>
      </c>
      <c r="D1303">
        <v>1201</v>
      </c>
      <c r="E1303">
        <v>1</v>
      </c>
      <c r="F1303">
        <v>4.4000000000000004</v>
      </c>
      <c r="G1303" t="s">
        <v>17</v>
      </c>
      <c r="I1303" t="str">
        <f t="shared" si="22"/>
        <v>1201_1</v>
      </c>
      <c r="J1303" t="s">
        <v>241</v>
      </c>
      <c r="K1303" t="s">
        <v>179</v>
      </c>
      <c r="L1303" t="str">
        <f>_xlfn.XLOOKUP(C1303, Table2[Species],Table2[Genus], "Code Not Found")</f>
        <v>Fagus</v>
      </c>
      <c r="M1303" t="str">
        <f>_xlfn.XLOOKUP(C1303, Table2[Species],Table2[Sp. Name], "Code Not Found")</f>
        <v>grandifolia</v>
      </c>
      <c r="N1303" t="str">
        <f>_xlfn.XLOOKUP(C1303,Table2[Species],Table2[Family],"Code Not Found")</f>
        <v>Fagaceae</v>
      </c>
      <c r="O1303" t="str" cm="1">
        <f t="array" ref="O1303">_xlfn.IFS(F1303="","",F1303&lt;=5,"0 to 5",F1303&lt;=10,"5.1 to 10",F1303&lt;=20,"10 to 20", F1303&lt;= 40, "20 to 40", F1303 &lt;= 50, "40 to 50", F1303 &gt; 50, "&gt;50" )</f>
        <v>0 to 5</v>
      </c>
    </row>
    <row r="1304" spans="1:15" ht="14.4" x14ac:dyDescent="0.3">
      <c r="A1304" t="s">
        <v>240</v>
      </c>
      <c r="B1304" s="1">
        <v>46197</v>
      </c>
      <c r="C1304" t="s">
        <v>16</v>
      </c>
      <c r="D1304">
        <v>1202</v>
      </c>
      <c r="E1304">
        <v>1</v>
      </c>
      <c r="F1304">
        <v>6.4</v>
      </c>
      <c r="G1304" t="s">
        <v>83</v>
      </c>
      <c r="I1304" t="str">
        <f t="shared" si="22"/>
        <v>1202_1</v>
      </c>
      <c r="J1304" t="s">
        <v>241</v>
      </c>
      <c r="K1304" t="s">
        <v>179</v>
      </c>
      <c r="L1304" t="str">
        <f>_xlfn.XLOOKUP(C1304, Table2[Species],Table2[Genus], "Code Not Found")</f>
        <v>Acer</v>
      </c>
      <c r="M1304" t="str">
        <f>_xlfn.XLOOKUP(C1304, Table2[Species],Table2[Sp. Name], "Code Not Found")</f>
        <v>saccharum</v>
      </c>
      <c r="N1304" t="str">
        <f>_xlfn.XLOOKUP(C1304,Table2[Species],Table2[Family],"Code Not Found")</f>
        <v>Sapindaceae</v>
      </c>
      <c r="O1304" t="str" cm="1">
        <f t="array" ref="O1304">_xlfn.IFS(F1304="","",F1304&lt;=5,"0 to 5",F1304&lt;=10,"5.1 to 10",F1304&lt;=20,"10 to 20", F1304&lt;= 40, "20 to 40", F1304 &lt;= 50, "40 to 50", F1304 &gt; 50, "&gt;50" )</f>
        <v>5.1 to 10</v>
      </c>
    </row>
    <row r="1305" spans="1:15" ht="14.4" x14ac:dyDescent="0.3">
      <c r="A1305" t="s">
        <v>240</v>
      </c>
      <c r="B1305" s="1">
        <v>46197</v>
      </c>
      <c r="C1305" t="s">
        <v>64</v>
      </c>
      <c r="D1305">
        <v>1203</v>
      </c>
      <c r="E1305">
        <v>1</v>
      </c>
      <c r="F1305">
        <v>2.6</v>
      </c>
      <c r="G1305" t="s">
        <v>17</v>
      </c>
      <c r="I1305" t="str">
        <f t="shared" si="22"/>
        <v>1203_1</v>
      </c>
      <c r="J1305" t="s">
        <v>241</v>
      </c>
      <c r="K1305" t="s">
        <v>179</v>
      </c>
      <c r="L1305" t="str">
        <f>_xlfn.XLOOKUP(C1305, Table2[Species],Table2[Genus], "Code Not Found")</f>
        <v>Fagus</v>
      </c>
      <c r="M1305" t="str">
        <f>_xlfn.XLOOKUP(C1305, Table2[Species],Table2[Sp. Name], "Code Not Found")</f>
        <v>grandifolia</v>
      </c>
      <c r="N1305" t="str">
        <f>_xlfn.XLOOKUP(C1305,Table2[Species],Table2[Family],"Code Not Found")</f>
        <v>Fagaceae</v>
      </c>
      <c r="O1305" t="str" cm="1">
        <f t="array" ref="O1305">_xlfn.IFS(F1305="","",F1305&lt;=5,"0 to 5",F1305&lt;=10,"5.1 to 10",F1305&lt;=20,"10 to 20", F1305&lt;= 40, "20 to 40", F1305 &lt;= 50, "40 to 50", F1305 &gt; 50, "&gt;50" )</f>
        <v>0 to 5</v>
      </c>
    </row>
    <row r="1306" spans="1:15" ht="14.4" x14ac:dyDescent="0.3">
      <c r="A1306" t="s">
        <v>240</v>
      </c>
      <c r="B1306" s="1">
        <v>46197</v>
      </c>
      <c r="C1306" t="s">
        <v>64</v>
      </c>
      <c r="D1306">
        <v>1204</v>
      </c>
      <c r="E1306">
        <v>1</v>
      </c>
      <c r="F1306">
        <v>5.0999999999999996</v>
      </c>
      <c r="G1306" t="s">
        <v>17</v>
      </c>
      <c r="I1306" t="str">
        <f t="shared" si="22"/>
        <v>1204_1</v>
      </c>
      <c r="J1306" t="s">
        <v>241</v>
      </c>
      <c r="K1306" t="s">
        <v>179</v>
      </c>
      <c r="L1306" t="str">
        <f>_xlfn.XLOOKUP(C1306, Table2[Species],Table2[Genus], "Code Not Found")</f>
        <v>Fagus</v>
      </c>
      <c r="M1306" t="str">
        <f>_xlfn.XLOOKUP(C1306, Table2[Species],Table2[Sp. Name], "Code Not Found")</f>
        <v>grandifolia</v>
      </c>
      <c r="N1306" t="str">
        <f>_xlfn.XLOOKUP(C1306,Table2[Species],Table2[Family],"Code Not Found")</f>
        <v>Fagaceae</v>
      </c>
      <c r="O1306" t="str" cm="1">
        <f t="array" ref="O1306">_xlfn.IFS(F1306="","",F1306&lt;=5,"0 to 5",F1306&lt;=10,"5.1 to 10",F1306&lt;=20,"10 to 20", F1306&lt;= 40, "20 to 40", F1306 &lt;= 50, "40 to 50", F1306 &gt; 50, "&gt;50" )</f>
        <v>5.1 to 10</v>
      </c>
    </row>
    <row r="1307" spans="1:15" ht="14.4" x14ac:dyDescent="0.3">
      <c r="A1307" t="s">
        <v>240</v>
      </c>
      <c r="B1307" s="1">
        <v>46197</v>
      </c>
      <c r="C1307" t="s">
        <v>64</v>
      </c>
      <c r="D1307">
        <v>1205</v>
      </c>
      <c r="E1307">
        <v>1</v>
      </c>
      <c r="F1307">
        <v>7.7</v>
      </c>
      <c r="G1307" t="s">
        <v>17</v>
      </c>
      <c r="I1307" t="str">
        <f t="shared" si="22"/>
        <v>1205_1</v>
      </c>
      <c r="J1307" t="s">
        <v>241</v>
      </c>
      <c r="K1307" t="s">
        <v>179</v>
      </c>
      <c r="L1307" t="str">
        <f>_xlfn.XLOOKUP(C1307, Table2[Species],Table2[Genus], "Code Not Found")</f>
        <v>Fagus</v>
      </c>
      <c r="M1307" t="str">
        <f>_xlfn.XLOOKUP(C1307, Table2[Species],Table2[Sp. Name], "Code Not Found")</f>
        <v>grandifolia</v>
      </c>
      <c r="N1307" t="str">
        <f>_xlfn.XLOOKUP(C1307,Table2[Species],Table2[Family],"Code Not Found")</f>
        <v>Fagaceae</v>
      </c>
      <c r="O1307" t="str" cm="1">
        <f t="array" ref="O1307">_xlfn.IFS(F1307="","",F1307&lt;=5,"0 to 5",F1307&lt;=10,"5.1 to 10",F1307&lt;=20,"10 to 20", F1307&lt;= 40, "20 to 40", F1307 &lt;= 50, "40 to 50", F1307 &gt; 50, "&gt;50" )</f>
        <v>5.1 to 10</v>
      </c>
    </row>
    <row r="1308" spans="1:15" ht="14.4" x14ac:dyDescent="0.3">
      <c r="A1308" t="s">
        <v>240</v>
      </c>
      <c r="B1308" s="1">
        <v>46197</v>
      </c>
      <c r="C1308" t="s">
        <v>16</v>
      </c>
      <c r="D1308">
        <v>1206</v>
      </c>
      <c r="E1308">
        <v>1</v>
      </c>
      <c r="F1308">
        <v>14.8</v>
      </c>
      <c r="G1308" t="s">
        <v>47</v>
      </c>
      <c r="H1308" t="s">
        <v>43</v>
      </c>
      <c r="I1308" t="str">
        <f t="shared" si="22"/>
        <v>1206_1</v>
      </c>
      <c r="J1308" t="s">
        <v>241</v>
      </c>
      <c r="K1308" t="s">
        <v>179</v>
      </c>
      <c r="L1308" t="str">
        <f>_xlfn.XLOOKUP(C1308, Table2[Species],Table2[Genus], "Code Not Found")</f>
        <v>Acer</v>
      </c>
      <c r="M1308" t="str">
        <f>_xlfn.XLOOKUP(C1308, Table2[Species],Table2[Sp. Name], "Code Not Found")</f>
        <v>saccharum</v>
      </c>
      <c r="N1308" t="str">
        <f>_xlfn.XLOOKUP(C1308,Table2[Species],Table2[Family],"Code Not Found")</f>
        <v>Sapindaceae</v>
      </c>
      <c r="O1308" t="str" cm="1">
        <f t="array" ref="O1308">_xlfn.IFS(F1308="","",F1308&lt;=5,"0 to 5",F1308&lt;=10,"5.1 to 10",F1308&lt;=20,"10 to 20", F1308&lt;= 40, "20 to 40", F1308 &lt;= 50, "40 to 50", F1308 &gt; 50, "&gt;50" )</f>
        <v>10 to 20</v>
      </c>
    </row>
    <row r="1309" spans="1:15" ht="14.4" x14ac:dyDescent="0.3">
      <c r="A1309" t="s">
        <v>240</v>
      </c>
      <c r="B1309" s="1">
        <v>46197</v>
      </c>
      <c r="C1309" t="s">
        <v>16</v>
      </c>
      <c r="D1309">
        <v>1207</v>
      </c>
      <c r="E1309">
        <v>1</v>
      </c>
      <c r="F1309">
        <v>7.9</v>
      </c>
      <c r="G1309" t="s">
        <v>47</v>
      </c>
      <c r="H1309" t="s">
        <v>43</v>
      </c>
      <c r="I1309" t="str">
        <f t="shared" si="22"/>
        <v>1207_1</v>
      </c>
      <c r="J1309" t="s">
        <v>241</v>
      </c>
      <c r="K1309" t="s">
        <v>179</v>
      </c>
      <c r="L1309" t="str">
        <f>_xlfn.XLOOKUP(C1309, Table2[Species],Table2[Genus], "Code Not Found")</f>
        <v>Acer</v>
      </c>
      <c r="M1309" t="str">
        <f>_xlfn.XLOOKUP(C1309, Table2[Species],Table2[Sp. Name], "Code Not Found")</f>
        <v>saccharum</v>
      </c>
      <c r="N1309" t="str">
        <f>_xlfn.XLOOKUP(C1309,Table2[Species],Table2[Family],"Code Not Found")</f>
        <v>Sapindaceae</v>
      </c>
      <c r="O1309" t="str" cm="1">
        <f t="array" ref="O1309">_xlfn.IFS(F1309="","",F1309&lt;=5,"0 to 5",F1309&lt;=10,"5.1 to 10",F1309&lt;=20,"10 to 20", F1309&lt;= 40, "20 to 40", F1309 &lt;= 50, "40 to 50", F1309 &gt; 50, "&gt;50" )</f>
        <v>5.1 to 10</v>
      </c>
    </row>
    <row r="1310" spans="1:15" ht="14.4" x14ac:dyDescent="0.3">
      <c r="A1310" t="s">
        <v>240</v>
      </c>
      <c r="B1310" s="1">
        <v>46197</v>
      </c>
      <c r="C1310" t="s">
        <v>16</v>
      </c>
      <c r="D1310">
        <v>1208</v>
      </c>
      <c r="E1310">
        <v>1</v>
      </c>
      <c r="F1310">
        <v>5.0999999999999996</v>
      </c>
      <c r="G1310" t="s">
        <v>17</v>
      </c>
      <c r="I1310" t="str">
        <f t="shared" si="22"/>
        <v>1208_1</v>
      </c>
      <c r="J1310" t="s">
        <v>241</v>
      </c>
      <c r="K1310" t="s">
        <v>179</v>
      </c>
      <c r="L1310" t="str">
        <f>_xlfn.XLOOKUP(C1310, Table2[Species],Table2[Genus], "Code Not Found")</f>
        <v>Acer</v>
      </c>
      <c r="M1310" t="str">
        <f>_xlfn.XLOOKUP(C1310, Table2[Species],Table2[Sp. Name], "Code Not Found")</f>
        <v>saccharum</v>
      </c>
      <c r="N1310" t="str">
        <f>_xlfn.XLOOKUP(C1310,Table2[Species],Table2[Family],"Code Not Found")</f>
        <v>Sapindaceae</v>
      </c>
      <c r="O1310" t="str" cm="1">
        <f t="array" ref="O1310">_xlfn.IFS(F1310="","",F1310&lt;=5,"0 to 5",F1310&lt;=10,"5.1 to 10",F1310&lt;=20,"10 to 20", F1310&lt;= 40, "20 to 40", F1310 &lt;= 50, "40 to 50", F1310 &gt; 50, "&gt;50" )</f>
        <v>5.1 to 10</v>
      </c>
    </row>
    <row r="1311" spans="1:15" ht="14.4" x14ac:dyDescent="0.3">
      <c r="A1311" t="s">
        <v>240</v>
      </c>
      <c r="B1311" s="1">
        <v>46197</v>
      </c>
      <c r="C1311" t="s">
        <v>16</v>
      </c>
      <c r="D1311">
        <v>1209</v>
      </c>
      <c r="E1311">
        <v>1</v>
      </c>
      <c r="F1311">
        <v>12.3</v>
      </c>
      <c r="G1311" t="s">
        <v>17</v>
      </c>
      <c r="I1311" t="str">
        <f t="shared" si="22"/>
        <v>1209_1</v>
      </c>
      <c r="J1311" t="s">
        <v>241</v>
      </c>
      <c r="K1311" t="s">
        <v>179</v>
      </c>
      <c r="L1311" t="str">
        <f>_xlfn.XLOOKUP(C1311, Table2[Species],Table2[Genus], "Code Not Found")</f>
        <v>Acer</v>
      </c>
      <c r="M1311" t="str">
        <f>_xlfn.XLOOKUP(C1311, Table2[Species],Table2[Sp. Name], "Code Not Found")</f>
        <v>saccharum</v>
      </c>
      <c r="N1311" t="str">
        <f>_xlfn.XLOOKUP(C1311,Table2[Species],Table2[Family],"Code Not Found")</f>
        <v>Sapindaceae</v>
      </c>
      <c r="O1311" t="str" cm="1">
        <f t="array" ref="O1311">_xlfn.IFS(F1311="","",F1311&lt;=5,"0 to 5",F1311&lt;=10,"5.1 to 10",F1311&lt;=20,"10 to 20", F1311&lt;= 40, "20 to 40", F1311 &lt;= 50, "40 to 50", F1311 &gt; 50, "&gt;50" )</f>
        <v>10 to 20</v>
      </c>
    </row>
    <row r="1312" spans="1:15" ht="14.4" x14ac:dyDescent="0.3">
      <c r="A1312" t="s">
        <v>240</v>
      </c>
      <c r="B1312" s="1">
        <v>46197</v>
      </c>
      <c r="C1312" t="s">
        <v>64</v>
      </c>
      <c r="D1312">
        <v>1210</v>
      </c>
      <c r="E1312">
        <v>1</v>
      </c>
      <c r="F1312">
        <v>5.8</v>
      </c>
      <c r="G1312" t="s">
        <v>17</v>
      </c>
      <c r="I1312" t="str">
        <f t="shared" si="22"/>
        <v>1210_1</v>
      </c>
      <c r="J1312" t="s">
        <v>241</v>
      </c>
      <c r="K1312" t="s">
        <v>179</v>
      </c>
      <c r="L1312" t="str">
        <f>_xlfn.XLOOKUP(C1312, Table2[Species],Table2[Genus], "Code Not Found")</f>
        <v>Fagus</v>
      </c>
      <c r="M1312" t="str">
        <f>_xlfn.XLOOKUP(C1312, Table2[Species],Table2[Sp. Name], "Code Not Found")</f>
        <v>grandifolia</v>
      </c>
      <c r="N1312" t="str">
        <f>_xlfn.XLOOKUP(C1312,Table2[Species],Table2[Family],"Code Not Found")</f>
        <v>Fagaceae</v>
      </c>
      <c r="O1312" t="str" cm="1">
        <f t="array" ref="O1312">_xlfn.IFS(F1312="","",F1312&lt;=5,"0 to 5",F1312&lt;=10,"5.1 to 10",F1312&lt;=20,"10 to 20", F1312&lt;= 40, "20 to 40", F1312 &lt;= 50, "40 to 50", F1312 &gt; 50, "&gt;50" )</f>
        <v>5.1 to 10</v>
      </c>
    </row>
    <row r="1313" spans="1:15" ht="14.4" x14ac:dyDescent="0.3">
      <c r="A1313" t="s">
        <v>240</v>
      </c>
      <c r="B1313" s="1">
        <v>46197</v>
      </c>
      <c r="C1313" t="s">
        <v>16</v>
      </c>
      <c r="D1313">
        <v>1211</v>
      </c>
      <c r="E1313">
        <v>1</v>
      </c>
      <c r="F1313">
        <v>14.5</v>
      </c>
      <c r="G1313" t="s">
        <v>268</v>
      </c>
      <c r="I1313" t="str">
        <f t="shared" si="22"/>
        <v>1211_1</v>
      </c>
      <c r="J1313" t="s">
        <v>241</v>
      </c>
      <c r="K1313" t="s">
        <v>179</v>
      </c>
      <c r="L1313" t="str">
        <f>_xlfn.XLOOKUP(C1313, Table2[Species],Table2[Genus], "Code Not Found")</f>
        <v>Acer</v>
      </c>
      <c r="M1313" t="str">
        <f>_xlfn.XLOOKUP(C1313, Table2[Species],Table2[Sp. Name], "Code Not Found")</f>
        <v>saccharum</v>
      </c>
      <c r="N1313" t="str">
        <f>_xlfn.XLOOKUP(C1313,Table2[Species],Table2[Family],"Code Not Found")</f>
        <v>Sapindaceae</v>
      </c>
      <c r="O1313" t="str" cm="1">
        <f t="array" ref="O1313">_xlfn.IFS(F1313="","",F1313&lt;=5,"0 to 5",F1313&lt;=10,"5.1 to 10",F1313&lt;=20,"10 to 20", F1313&lt;= 40, "20 to 40", F1313 &lt;= 50, "40 to 50", F1313 &gt; 50, "&gt;50" )</f>
        <v>10 to 20</v>
      </c>
    </row>
    <row r="1314" spans="1:15" ht="14.4" x14ac:dyDescent="0.3">
      <c r="A1314" t="s">
        <v>240</v>
      </c>
      <c r="B1314" s="1">
        <v>46197</v>
      </c>
      <c r="C1314" t="s">
        <v>16</v>
      </c>
      <c r="D1314">
        <v>1211</v>
      </c>
      <c r="E1314">
        <v>2</v>
      </c>
      <c r="F1314">
        <v>3.6</v>
      </c>
      <c r="G1314" t="s">
        <v>268</v>
      </c>
      <c r="K1314" t="s">
        <v>179</v>
      </c>
      <c r="L1314" t="str">
        <f>_xlfn.XLOOKUP(C1314, Table2[Species],Table2[Genus], "Code Not Found")</f>
        <v>Acer</v>
      </c>
      <c r="M1314" t="str">
        <f>_xlfn.XLOOKUP(C1314, Table2[Species],Table2[Sp. Name], "Code Not Found")</f>
        <v>saccharum</v>
      </c>
      <c r="N1314" t="str">
        <f>_xlfn.XLOOKUP(C1314,Table2[Species],Table2[Family],"Code Not Found")</f>
        <v>Sapindaceae</v>
      </c>
      <c r="O1314" t="str" cm="1">
        <f t="array" ref="O1314">_xlfn.IFS(F1314="","",F1314&lt;=5,"0 to 5",F1314&lt;=10,"5.1 to 10",F1314&lt;=20,"10 to 20", F1314&lt;= 40, "20 to 40", F1314 &lt;= 50, "40 to 50", F1314 &gt; 50, "&gt;50" )</f>
        <v>0 to 5</v>
      </c>
    </row>
    <row r="1315" spans="1:15" ht="14.4" x14ac:dyDescent="0.3">
      <c r="A1315" t="s">
        <v>240</v>
      </c>
      <c r="B1315" s="1">
        <v>46197</v>
      </c>
      <c r="C1315" t="s">
        <v>64</v>
      </c>
      <c r="D1315">
        <v>1212</v>
      </c>
      <c r="E1315">
        <v>1</v>
      </c>
      <c r="F1315">
        <v>8</v>
      </c>
      <c r="G1315" t="s">
        <v>17</v>
      </c>
      <c r="I1315" t="str">
        <f t="shared" ref="I1315:I1378" si="23">D1315&amp;"_"&amp;E1315</f>
        <v>1212_1</v>
      </c>
      <c r="J1315" t="s">
        <v>241</v>
      </c>
      <c r="K1315" t="s">
        <v>179</v>
      </c>
      <c r="L1315" t="str">
        <f>_xlfn.XLOOKUP(C1315, Table2[Species],Table2[Genus], "Code Not Found")</f>
        <v>Fagus</v>
      </c>
      <c r="M1315" t="str">
        <f>_xlfn.XLOOKUP(C1315, Table2[Species],Table2[Sp. Name], "Code Not Found")</f>
        <v>grandifolia</v>
      </c>
      <c r="N1315" t="str">
        <f>_xlfn.XLOOKUP(C1315,Table2[Species],Table2[Family],"Code Not Found")</f>
        <v>Fagaceae</v>
      </c>
      <c r="O1315" t="str" cm="1">
        <f t="array" ref="O1315">_xlfn.IFS(F1315="","",F1315&lt;=5,"0 to 5",F1315&lt;=10,"5.1 to 10",F1315&lt;=20,"10 to 20", F1315&lt;= 40, "20 to 40", F1315 &lt;= 50, "40 to 50", F1315 &gt; 50, "&gt;50" )</f>
        <v>5.1 to 10</v>
      </c>
    </row>
    <row r="1316" spans="1:15" ht="14.4" x14ac:dyDescent="0.3">
      <c r="A1316" t="s">
        <v>240</v>
      </c>
      <c r="B1316" s="1">
        <v>46197</v>
      </c>
      <c r="C1316" t="s">
        <v>16</v>
      </c>
      <c r="D1316">
        <v>1213</v>
      </c>
      <c r="E1316">
        <v>1</v>
      </c>
      <c r="F1316">
        <v>11.8</v>
      </c>
      <c r="G1316" t="s">
        <v>17</v>
      </c>
      <c r="I1316" t="str">
        <f t="shared" si="23"/>
        <v>1213_1</v>
      </c>
      <c r="J1316" t="s">
        <v>241</v>
      </c>
      <c r="K1316" t="s">
        <v>179</v>
      </c>
      <c r="L1316" t="str">
        <f>_xlfn.XLOOKUP(C1316, Table2[Species],Table2[Genus], "Code Not Found")</f>
        <v>Acer</v>
      </c>
      <c r="M1316" t="str">
        <f>_xlfn.XLOOKUP(C1316, Table2[Species],Table2[Sp. Name], "Code Not Found")</f>
        <v>saccharum</v>
      </c>
      <c r="N1316" t="str">
        <f>_xlfn.XLOOKUP(C1316,Table2[Species],Table2[Family],"Code Not Found")</f>
        <v>Sapindaceae</v>
      </c>
      <c r="O1316" t="str" cm="1">
        <f t="array" ref="O1316">_xlfn.IFS(F1316="","",F1316&lt;=5,"0 to 5",F1316&lt;=10,"5.1 to 10",F1316&lt;=20,"10 to 20", F1316&lt;= 40, "20 to 40", F1316 &lt;= 50, "40 to 50", F1316 &gt; 50, "&gt;50" )</f>
        <v>10 to 20</v>
      </c>
    </row>
    <row r="1317" spans="1:15" ht="14.4" x14ac:dyDescent="0.3">
      <c r="A1317" t="s">
        <v>240</v>
      </c>
      <c r="B1317" s="1">
        <v>46197</v>
      </c>
      <c r="C1317" t="s">
        <v>16</v>
      </c>
      <c r="D1317">
        <v>1214</v>
      </c>
      <c r="E1317">
        <v>1</v>
      </c>
      <c r="F1317">
        <v>1.6</v>
      </c>
      <c r="G1317" t="s">
        <v>38</v>
      </c>
      <c r="I1317" t="str">
        <f t="shared" si="23"/>
        <v>1214_1</v>
      </c>
      <c r="J1317" t="s">
        <v>241</v>
      </c>
      <c r="K1317" t="s">
        <v>179</v>
      </c>
      <c r="L1317" t="str">
        <f>_xlfn.XLOOKUP(C1317, Table2[Species],Table2[Genus], "Code Not Found")</f>
        <v>Acer</v>
      </c>
      <c r="M1317" t="str">
        <f>_xlfn.XLOOKUP(C1317, Table2[Species],Table2[Sp. Name], "Code Not Found")</f>
        <v>saccharum</v>
      </c>
      <c r="N1317" t="str">
        <f>_xlfn.XLOOKUP(C1317,Table2[Species],Table2[Family],"Code Not Found")</f>
        <v>Sapindaceae</v>
      </c>
      <c r="O1317" t="str" cm="1">
        <f t="array" ref="O1317">_xlfn.IFS(F1317="","",F1317&lt;=5,"0 to 5",F1317&lt;=10,"5.1 to 10",F1317&lt;=20,"10 to 20", F1317&lt;= 40, "20 to 40", F1317 &lt;= 50, "40 to 50", F1317 &gt; 50, "&gt;50" )</f>
        <v>0 to 5</v>
      </c>
    </row>
    <row r="1318" spans="1:15" ht="14.4" x14ac:dyDescent="0.3">
      <c r="A1318" t="s">
        <v>240</v>
      </c>
      <c r="B1318" s="1">
        <v>46197</v>
      </c>
      <c r="C1318" t="s">
        <v>64</v>
      </c>
      <c r="D1318">
        <v>1215</v>
      </c>
      <c r="E1318">
        <v>1</v>
      </c>
      <c r="F1318">
        <v>4.5</v>
      </c>
      <c r="G1318" t="s">
        <v>17</v>
      </c>
      <c r="I1318" t="str">
        <f t="shared" si="23"/>
        <v>1215_1</v>
      </c>
      <c r="J1318" t="s">
        <v>241</v>
      </c>
      <c r="K1318" t="s">
        <v>179</v>
      </c>
      <c r="L1318" t="str">
        <f>_xlfn.XLOOKUP(C1318, Table2[Species],Table2[Genus], "Code Not Found")</f>
        <v>Fagus</v>
      </c>
      <c r="M1318" t="str">
        <f>_xlfn.XLOOKUP(C1318, Table2[Species],Table2[Sp. Name], "Code Not Found")</f>
        <v>grandifolia</v>
      </c>
      <c r="N1318" t="str">
        <f>_xlfn.XLOOKUP(C1318,Table2[Species],Table2[Family],"Code Not Found")</f>
        <v>Fagaceae</v>
      </c>
      <c r="O1318" t="str" cm="1">
        <f t="array" ref="O1318">_xlfn.IFS(F1318="","",F1318&lt;=5,"0 to 5",F1318&lt;=10,"5.1 to 10",F1318&lt;=20,"10 to 20", F1318&lt;= 40, "20 to 40", F1318 &lt;= 50, "40 to 50", F1318 &gt; 50, "&gt;50" )</f>
        <v>0 to 5</v>
      </c>
    </row>
    <row r="1319" spans="1:15" ht="14.4" x14ac:dyDescent="0.3">
      <c r="A1319" t="s">
        <v>240</v>
      </c>
      <c r="B1319" s="1">
        <v>46197</v>
      </c>
      <c r="C1319" t="s">
        <v>64</v>
      </c>
      <c r="D1319">
        <v>1216</v>
      </c>
      <c r="E1319">
        <v>1</v>
      </c>
      <c r="F1319">
        <v>4.2</v>
      </c>
      <c r="G1319" t="s">
        <v>17</v>
      </c>
      <c r="I1319" t="str">
        <f t="shared" si="23"/>
        <v>1216_1</v>
      </c>
      <c r="J1319" t="s">
        <v>241</v>
      </c>
      <c r="K1319" t="s">
        <v>179</v>
      </c>
      <c r="L1319" t="str">
        <f>_xlfn.XLOOKUP(C1319, Table2[Species],Table2[Genus], "Code Not Found")</f>
        <v>Fagus</v>
      </c>
      <c r="M1319" t="str">
        <f>_xlfn.XLOOKUP(C1319, Table2[Species],Table2[Sp. Name], "Code Not Found")</f>
        <v>grandifolia</v>
      </c>
      <c r="N1319" t="str">
        <f>_xlfn.XLOOKUP(C1319,Table2[Species],Table2[Family],"Code Not Found")</f>
        <v>Fagaceae</v>
      </c>
      <c r="O1319" t="str" cm="1">
        <f t="array" ref="O1319">_xlfn.IFS(F1319="","",F1319&lt;=5,"0 to 5",F1319&lt;=10,"5.1 to 10",F1319&lt;=20,"10 to 20", F1319&lt;= 40, "20 to 40", F1319 &lt;= 50, "40 to 50", F1319 &gt; 50, "&gt;50" )</f>
        <v>0 to 5</v>
      </c>
    </row>
    <row r="1320" spans="1:15" ht="14.4" x14ac:dyDescent="0.3">
      <c r="A1320" t="s">
        <v>240</v>
      </c>
      <c r="B1320" s="1">
        <v>46197</v>
      </c>
      <c r="C1320" t="s">
        <v>64</v>
      </c>
      <c r="D1320">
        <v>1217</v>
      </c>
      <c r="E1320">
        <v>1</v>
      </c>
      <c r="F1320">
        <v>7.5</v>
      </c>
      <c r="G1320" t="s">
        <v>268</v>
      </c>
      <c r="H1320" t="s">
        <v>281</v>
      </c>
      <c r="I1320" t="str">
        <f t="shared" si="23"/>
        <v>1217_1</v>
      </c>
      <c r="J1320" t="s">
        <v>241</v>
      </c>
      <c r="K1320" t="s">
        <v>179</v>
      </c>
      <c r="L1320" t="str">
        <f>_xlfn.XLOOKUP(C1320, Table2[Species],Table2[Genus], "Code Not Found")</f>
        <v>Fagus</v>
      </c>
      <c r="M1320" t="str">
        <f>_xlfn.XLOOKUP(C1320, Table2[Species],Table2[Sp. Name], "Code Not Found")</f>
        <v>grandifolia</v>
      </c>
      <c r="N1320" t="str">
        <f>_xlfn.XLOOKUP(C1320,Table2[Species],Table2[Family],"Code Not Found")</f>
        <v>Fagaceae</v>
      </c>
      <c r="O1320" t="str" cm="1">
        <f t="array" ref="O1320">_xlfn.IFS(F1320="","",F1320&lt;=5,"0 to 5",F1320&lt;=10,"5.1 to 10",F1320&lt;=20,"10 to 20", F1320&lt;= 40, "20 to 40", F1320 &lt;= 50, "40 to 50", F1320 &gt; 50, "&gt;50" )</f>
        <v>5.1 to 10</v>
      </c>
    </row>
    <row r="1321" spans="1:15" ht="14.4" x14ac:dyDescent="0.3">
      <c r="A1321" t="s">
        <v>240</v>
      </c>
      <c r="B1321" s="1">
        <v>46197</v>
      </c>
      <c r="C1321" t="s">
        <v>64</v>
      </c>
      <c r="D1321">
        <v>1217</v>
      </c>
      <c r="E1321">
        <v>2</v>
      </c>
      <c r="F1321">
        <v>1.2</v>
      </c>
      <c r="G1321" t="s">
        <v>268</v>
      </c>
      <c r="H1321" t="s">
        <v>281</v>
      </c>
      <c r="I1321" t="str">
        <f t="shared" si="23"/>
        <v>1217_2</v>
      </c>
      <c r="J1321" t="s">
        <v>241</v>
      </c>
      <c r="K1321" t="s">
        <v>179</v>
      </c>
      <c r="L1321" t="str">
        <f>_xlfn.XLOOKUP(C1321, Table2[Species],Table2[Genus], "Code Not Found")</f>
        <v>Fagus</v>
      </c>
      <c r="M1321" t="str">
        <f>_xlfn.XLOOKUP(C1321, Table2[Species],Table2[Sp. Name], "Code Not Found")</f>
        <v>grandifolia</v>
      </c>
      <c r="N1321" t="str">
        <f>_xlfn.XLOOKUP(C1321,Table2[Species],Table2[Family],"Code Not Found")</f>
        <v>Fagaceae</v>
      </c>
      <c r="O1321" t="str" cm="1">
        <f t="array" ref="O1321">_xlfn.IFS(F1321="","",F1321&lt;=5,"0 to 5",F1321&lt;=10,"5.1 to 10",F1321&lt;=20,"10 to 20", F1321&lt;= 40, "20 to 40", F1321 &lt;= 50, "40 to 50", F1321 &gt; 50, "&gt;50" )</f>
        <v>0 to 5</v>
      </c>
    </row>
    <row r="1322" spans="1:15" ht="14.4" x14ac:dyDescent="0.3">
      <c r="A1322" t="s">
        <v>240</v>
      </c>
      <c r="B1322" s="1">
        <v>46197</v>
      </c>
      <c r="C1322" t="s">
        <v>64</v>
      </c>
      <c r="D1322">
        <v>1218</v>
      </c>
      <c r="E1322">
        <v>1</v>
      </c>
      <c r="F1322">
        <v>86</v>
      </c>
      <c r="G1322" t="s">
        <v>32</v>
      </c>
      <c r="H1322" t="s">
        <v>273</v>
      </c>
      <c r="I1322" t="str">
        <f t="shared" si="23"/>
        <v>1218_1</v>
      </c>
      <c r="J1322" t="s">
        <v>241</v>
      </c>
      <c r="K1322" t="s">
        <v>179</v>
      </c>
      <c r="L1322" t="str">
        <f>_xlfn.XLOOKUP(C1322, Table2[Species],Table2[Genus], "Code Not Found")</f>
        <v>Fagus</v>
      </c>
      <c r="M1322" t="str">
        <f>_xlfn.XLOOKUP(C1322, Table2[Species],Table2[Sp. Name], "Code Not Found")</f>
        <v>grandifolia</v>
      </c>
      <c r="N1322" t="str">
        <f>_xlfn.XLOOKUP(C1322,Table2[Species],Table2[Family],"Code Not Found")</f>
        <v>Fagaceae</v>
      </c>
      <c r="O1322" t="str" cm="1">
        <f t="array" ref="O1322">_xlfn.IFS(F1322="","",F1322&lt;=5,"0 to 5",F1322&lt;=10,"5.1 to 10",F1322&lt;=20,"10 to 20", F1322&lt;= 40, "20 to 40", F1322 &lt;= 50, "40 to 50", F1322 &gt; 50, "&gt;50" )</f>
        <v>&gt;50</v>
      </c>
    </row>
    <row r="1323" spans="1:15" ht="14.4" x14ac:dyDescent="0.3">
      <c r="A1323" t="s">
        <v>240</v>
      </c>
      <c r="B1323" s="1">
        <v>46197</v>
      </c>
      <c r="C1323" t="s">
        <v>64</v>
      </c>
      <c r="D1323">
        <v>1218</v>
      </c>
      <c r="E1323">
        <v>2</v>
      </c>
      <c r="F1323">
        <v>2.8</v>
      </c>
      <c r="G1323" t="s">
        <v>93</v>
      </c>
      <c r="I1323" t="str">
        <f t="shared" si="23"/>
        <v>1218_2</v>
      </c>
      <c r="J1323" t="s">
        <v>241</v>
      </c>
      <c r="K1323" t="s">
        <v>179</v>
      </c>
      <c r="L1323" t="str">
        <f>_xlfn.XLOOKUP(C1323, Table2[Species],Table2[Genus], "Code Not Found")</f>
        <v>Fagus</v>
      </c>
      <c r="M1323" t="str">
        <f>_xlfn.XLOOKUP(C1323, Table2[Species],Table2[Sp. Name], "Code Not Found")</f>
        <v>grandifolia</v>
      </c>
      <c r="N1323" t="str">
        <f>_xlfn.XLOOKUP(C1323,Table2[Species],Table2[Family],"Code Not Found")</f>
        <v>Fagaceae</v>
      </c>
      <c r="O1323" t="str" cm="1">
        <f t="array" ref="O1323">_xlfn.IFS(F1323="","",F1323&lt;=5,"0 to 5",F1323&lt;=10,"5.1 to 10",F1323&lt;=20,"10 to 20", F1323&lt;= 40, "20 to 40", F1323 &lt;= 50, "40 to 50", F1323 &gt; 50, "&gt;50" )</f>
        <v>0 to 5</v>
      </c>
    </row>
    <row r="1324" spans="1:15" ht="14.4" x14ac:dyDescent="0.3">
      <c r="A1324" t="s">
        <v>240</v>
      </c>
      <c r="B1324" s="1">
        <v>46197</v>
      </c>
      <c r="C1324" t="s">
        <v>64</v>
      </c>
      <c r="D1324">
        <v>1218</v>
      </c>
      <c r="E1324">
        <v>3.1</v>
      </c>
      <c r="F1324">
        <v>1.1000000000000001</v>
      </c>
      <c r="G1324" t="s">
        <v>32</v>
      </c>
      <c r="I1324" t="str">
        <f t="shared" si="23"/>
        <v>1218_3.1</v>
      </c>
      <c r="J1324" t="s">
        <v>241</v>
      </c>
      <c r="K1324" t="s">
        <v>179</v>
      </c>
      <c r="L1324" t="str">
        <f>_xlfn.XLOOKUP(C1324, Table2[Species],Table2[Genus], "Code Not Found")</f>
        <v>Fagus</v>
      </c>
      <c r="M1324" t="str">
        <f>_xlfn.XLOOKUP(C1324, Table2[Species],Table2[Sp. Name], "Code Not Found")</f>
        <v>grandifolia</v>
      </c>
      <c r="N1324" t="str">
        <f>_xlfn.XLOOKUP(C1324,Table2[Species],Table2[Family],"Code Not Found")</f>
        <v>Fagaceae</v>
      </c>
      <c r="O1324" t="str" cm="1">
        <f t="array" ref="O1324">_xlfn.IFS(F1324="","",F1324&lt;=5,"0 to 5",F1324&lt;=10,"5.1 to 10",F1324&lt;=20,"10 to 20", F1324&lt;= 40, "20 to 40", F1324 &lt;= 50, "40 to 50", F1324 &gt; 50, "&gt;50" )</f>
        <v>0 to 5</v>
      </c>
    </row>
    <row r="1325" spans="1:15" ht="14.4" x14ac:dyDescent="0.3">
      <c r="A1325" t="s">
        <v>240</v>
      </c>
      <c r="B1325" s="1">
        <v>46197</v>
      </c>
      <c r="C1325" t="s">
        <v>64</v>
      </c>
      <c r="D1325">
        <v>1218</v>
      </c>
      <c r="E1325">
        <v>3.2</v>
      </c>
      <c r="F1325">
        <v>1</v>
      </c>
      <c r="G1325" t="s">
        <v>32</v>
      </c>
      <c r="I1325" t="str">
        <f t="shared" si="23"/>
        <v>1218_3.2</v>
      </c>
      <c r="J1325" t="s">
        <v>241</v>
      </c>
      <c r="K1325" t="s">
        <v>179</v>
      </c>
      <c r="L1325" t="str">
        <f>_xlfn.XLOOKUP(C1325, Table2[Species],Table2[Genus], "Code Not Found")</f>
        <v>Fagus</v>
      </c>
      <c r="M1325" t="str">
        <f>_xlfn.XLOOKUP(C1325, Table2[Species],Table2[Sp. Name], "Code Not Found")</f>
        <v>grandifolia</v>
      </c>
      <c r="N1325" t="str">
        <f>_xlfn.XLOOKUP(C1325,Table2[Species],Table2[Family],"Code Not Found")</f>
        <v>Fagaceae</v>
      </c>
      <c r="O1325" t="str" cm="1">
        <f t="array" ref="O1325">_xlfn.IFS(F1325="","",F1325&lt;=5,"0 to 5",F1325&lt;=10,"5.1 to 10",F1325&lt;=20,"10 to 20", F1325&lt;= 40, "20 to 40", F1325 &lt;= 50, "40 to 50", F1325 &gt; 50, "&gt;50" )</f>
        <v>0 to 5</v>
      </c>
    </row>
    <row r="1326" spans="1:15" ht="14.4" x14ac:dyDescent="0.3">
      <c r="A1326" t="s">
        <v>240</v>
      </c>
      <c r="B1326" s="1">
        <v>46197</v>
      </c>
      <c r="C1326" t="s">
        <v>64</v>
      </c>
      <c r="D1326">
        <v>1218</v>
      </c>
      <c r="E1326">
        <v>4</v>
      </c>
      <c r="F1326">
        <v>2.5</v>
      </c>
      <c r="G1326" t="s">
        <v>32</v>
      </c>
      <c r="I1326" t="str">
        <f t="shared" si="23"/>
        <v>1218_4</v>
      </c>
      <c r="J1326" t="s">
        <v>241</v>
      </c>
      <c r="K1326" t="s">
        <v>179</v>
      </c>
      <c r="L1326" t="str">
        <f>_xlfn.XLOOKUP(C1326, Table2[Species],Table2[Genus], "Code Not Found")</f>
        <v>Fagus</v>
      </c>
      <c r="M1326" t="str">
        <f>_xlfn.XLOOKUP(C1326, Table2[Species],Table2[Sp. Name], "Code Not Found")</f>
        <v>grandifolia</v>
      </c>
      <c r="N1326" t="str">
        <f>_xlfn.XLOOKUP(C1326,Table2[Species],Table2[Family],"Code Not Found")</f>
        <v>Fagaceae</v>
      </c>
      <c r="O1326" t="str" cm="1">
        <f t="array" ref="O1326">_xlfn.IFS(F1326="","",F1326&lt;=5,"0 to 5",F1326&lt;=10,"5.1 to 10",F1326&lt;=20,"10 to 20", F1326&lt;= 40, "20 to 40", F1326 &lt;= 50, "40 to 50", F1326 &gt; 50, "&gt;50" )</f>
        <v>0 to 5</v>
      </c>
    </row>
    <row r="1327" spans="1:15" ht="14.4" x14ac:dyDescent="0.3">
      <c r="A1327" t="s">
        <v>240</v>
      </c>
      <c r="B1327" s="1">
        <v>46197</v>
      </c>
      <c r="C1327" t="s">
        <v>64</v>
      </c>
      <c r="D1327">
        <v>1218</v>
      </c>
      <c r="E1327">
        <v>5.0999999999999996</v>
      </c>
      <c r="F1327">
        <v>5.2</v>
      </c>
      <c r="G1327" t="s">
        <v>32</v>
      </c>
      <c r="I1327" t="str">
        <f t="shared" si="23"/>
        <v>1218_5.1</v>
      </c>
      <c r="J1327" t="s">
        <v>241</v>
      </c>
      <c r="K1327" t="s">
        <v>179</v>
      </c>
      <c r="L1327" t="str">
        <f>_xlfn.XLOOKUP(C1327, Table2[Species],Table2[Genus], "Code Not Found")</f>
        <v>Fagus</v>
      </c>
      <c r="M1327" t="str">
        <f>_xlfn.XLOOKUP(C1327, Table2[Species],Table2[Sp. Name], "Code Not Found")</f>
        <v>grandifolia</v>
      </c>
      <c r="N1327" t="str">
        <f>_xlfn.XLOOKUP(C1327,Table2[Species],Table2[Family],"Code Not Found")</f>
        <v>Fagaceae</v>
      </c>
      <c r="O1327" t="str" cm="1">
        <f t="array" ref="O1327">_xlfn.IFS(F1327="","",F1327&lt;=5,"0 to 5",F1327&lt;=10,"5.1 to 10",F1327&lt;=20,"10 to 20", F1327&lt;= 40, "20 to 40", F1327 &lt;= 50, "40 to 50", F1327 &gt; 50, "&gt;50" )</f>
        <v>5.1 to 10</v>
      </c>
    </row>
    <row r="1328" spans="1:15" ht="14.4" x14ac:dyDescent="0.3">
      <c r="A1328" t="s">
        <v>240</v>
      </c>
      <c r="B1328" s="1">
        <v>46197</v>
      </c>
      <c r="C1328" t="s">
        <v>64</v>
      </c>
      <c r="D1328">
        <v>1218</v>
      </c>
      <c r="E1328">
        <v>5.2</v>
      </c>
      <c r="F1328">
        <v>1.3</v>
      </c>
      <c r="G1328" t="s">
        <v>32</v>
      </c>
      <c r="I1328" t="str">
        <f t="shared" si="23"/>
        <v>1218_5.2</v>
      </c>
      <c r="J1328" t="s">
        <v>241</v>
      </c>
      <c r="K1328" t="s">
        <v>179</v>
      </c>
      <c r="L1328" t="str">
        <f>_xlfn.XLOOKUP(C1328, Table2[Species],Table2[Genus], "Code Not Found")</f>
        <v>Fagus</v>
      </c>
      <c r="M1328" t="str">
        <f>_xlfn.XLOOKUP(C1328, Table2[Species],Table2[Sp. Name], "Code Not Found")</f>
        <v>grandifolia</v>
      </c>
      <c r="N1328" t="str">
        <f>_xlfn.XLOOKUP(C1328,Table2[Species],Table2[Family],"Code Not Found")</f>
        <v>Fagaceae</v>
      </c>
      <c r="O1328" t="str" cm="1">
        <f t="array" ref="O1328">_xlfn.IFS(F1328="","",F1328&lt;=5,"0 to 5",F1328&lt;=10,"5.1 to 10",F1328&lt;=20,"10 to 20", F1328&lt;= 40, "20 to 40", F1328 &lt;= 50, "40 to 50", F1328 &gt; 50, "&gt;50" )</f>
        <v>0 to 5</v>
      </c>
    </row>
    <row r="1329" spans="1:15" ht="14.4" x14ac:dyDescent="0.3">
      <c r="A1329" t="s">
        <v>240</v>
      </c>
      <c r="B1329" s="1">
        <v>46197</v>
      </c>
      <c r="C1329" t="s">
        <v>64</v>
      </c>
      <c r="D1329">
        <v>1218</v>
      </c>
      <c r="E1329">
        <v>6</v>
      </c>
      <c r="F1329">
        <v>5.2</v>
      </c>
      <c r="G1329" t="s">
        <v>141</v>
      </c>
      <c r="I1329" t="str">
        <f t="shared" si="23"/>
        <v>1218_6</v>
      </c>
      <c r="J1329" t="s">
        <v>241</v>
      </c>
      <c r="K1329" t="s">
        <v>179</v>
      </c>
      <c r="L1329" t="str">
        <f>_xlfn.XLOOKUP(C1329, Table2[Species],Table2[Genus], "Code Not Found")</f>
        <v>Fagus</v>
      </c>
      <c r="M1329" t="str">
        <f>_xlfn.XLOOKUP(C1329, Table2[Species],Table2[Sp. Name], "Code Not Found")</f>
        <v>grandifolia</v>
      </c>
      <c r="N1329" t="str">
        <f>_xlfn.XLOOKUP(C1329,Table2[Species],Table2[Family],"Code Not Found")</f>
        <v>Fagaceae</v>
      </c>
      <c r="O1329" t="str" cm="1">
        <f t="array" ref="O1329">_xlfn.IFS(F1329="","",F1329&lt;=5,"0 to 5",F1329&lt;=10,"5.1 to 10",F1329&lt;=20,"10 to 20", F1329&lt;= 40, "20 to 40", F1329 &lt;= 50, "40 to 50", F1329 &gt; 50, "&gt;50" )</f>
        <v>5.1 to 10</v>
      </c>
    </row>
    <row r="1330" spans="1:15" ht="14.4" x14ac:dyDescent="0.3">
      <c r="A1330" t="s">
        <v>240</v>
      </c>
      <c r="B1330" s="1">
        <v>46197</v>
      </c>
      <c r="C1330" t="s">
        <v>64</v>
      </c>
      <c r="D1330">
        <v>1218</v>
      </c>
      <c r="E1330">
        <v>7</v>
      </c>
      <c r="F1330">
        <v>1.3</v>
      </c>
      <c r="G1330" t="s">
        <v>32</v>
      </c>
      <c r="I1330" t="str">
        <f t="shared" si="23"/>
        <v>1218_7</v>
      </c>
      <c r="J1330" t="s">
        <v>241</v>
      </c>
      <c r="K1330" t="s">
        <v>179</v>
      </c>
      <c r="L1330" t="str">
        <f>_xlfn.XLOOKUP(C1330, Table2[Species],Table2[Genus], "Code Not Found")</f>
        <v>Fagus</v>
      </c>
      <c r="M1330" t="str">
        <f>_xlfn.XLOOKUP(C1330, Table2[Species],Table2[Sp. Name], "Code Not Found")</f>
        <v>grandifolia</v>
      </c>
      <c r="N1330" t="str">
        <f>_xlfn.XLOOKUP(C1330,Table2[Species],Table2[Family],"Code Not Found")</f>
        <v>Fagaceae</v>
      </c>
      <c r="O1330" t="str" cm="1">
        <f t="array" ref="O1330">_xlfn.IFS(F1330="","",F1330&lt;=5,"0 to 5",F1330&lt;=10,"5.1 to 10",F1330&lt;=20,"10 to 20", F1330&lt;= 40, "20 to 40", F1330 &lt;= 50, "40 to 50", F1330 &gt; 50, "&gt;50" )</f>
        <v>0 to 5</v>
      </c>
    </row>
    <row r="1331" spans="1:15" ht="14.4" x14ac:dyDescent="0.3">
      <c r="A1331" t="s">
        <v>240</v>
      </c>
      <c r="B1331" s="1">
        <v>46197</v>
      </c>
      <c r="C1331" t="s">
        <v>64</v>
      </c>
      <c r="D1331">
        <v>1218</v>
      </c>
      <c r="E1331">
        <v>8</v>
      </c>
      <c r="F1331">
        <v>1.8</v>
      </c>
      <c r="G1331" t="s">
        <v>282</v>
      </c>
      <c r="I1331" t="str">
        <f t="shared" si="23"/>
        <v>1218_8</v>
      </c>
      <c r="J1331" t="s">
        <v>241</v>
      </c>
      <c r="K1331" t="s">
        <v>179</v>
      </c>
      <c r="L1331" t="str">
        <f>_xlfn.XLOOKUP(C1331, Table2[Species],Table2[Genus], "Code Not Found")</f>
        <v>Fagus</v>
      </c>
      <c r="M1331" t="str">
        <f>_xlfn.XLOOKUP(C1331, Table2[Species],Table2[Sp. Name], "Code Not Found")</f>
        <v>grandifolia</v>
      </c>
      <c r="N1331" t="str">
        <f>_xlfn.XLOOKUP(C1331,Table2[Species],Table2[Family],"Code Not Found")</f>
        <v>Fagaceae</v>
      </c>
      <c r="O1331" t="str" cm="1">
        <f t="array" ref="O1331">_xlfn.IFS(F1331="","",F1331&lt;=5,"0 to 5",F1331&lt;=10,"5.1 to 10",F1331&lt;=20,"10 to 20", F1331&lt;= 40, "20 to 40", F1331 &lt;= 50, "40 to 50", F1331 &gt; 50, "&gt;50" )</f>
        <v>0 to 5</v>
      </c>
    </row>
    <row r="1332" spans="1:15" ht="14.4" x14ac:dyDescent="0.3">
      <c r="A1332" t="s">
        <v>240</v>
      </c>
      <c r="B1332" s="1">
        <v>46197</v>
      </c>
      <c r="C1332" t="s">
        <v>64</v>
      </c>
      <c r="D1332">
        <v>1218</v>
      </c>
      <c r="E1332">
        <v>9</v>
      </c>
      <c r="F1332">
        <v>1.8</v>
      </c>
      <c r="G1332" t="s">
        <v>32</v>
      </c>
      <c r="I1332" t="str">
        <f t="shared" si="23"/>
        <v>1218_9</v>
      </c>
      <c r="J1332" t="s">
        <v>241</v>
      </c>
      <c r="K1332" t="s">
        <v>179</v>
      </c>
      <c r="L1332" t="str">
        <f>_xlfn.XLOOKUP(C1332, Table2[Species],Table2[Genus], "Code Not Found")</f>
        <v>Fagus</v>
      </c>
      <c r="M1332" t="str">
        <f>_xlfn.XLOOKUP(C1332, Table2[Species],Table2[Sp. Name], "Code Not Found")</f>
        <v>grandifolia</v>
      </c>
      <c r="N1332" t="str">
        <f>_xlfn.XLOOKUP(C1332,Table2[Species],Table2[Family],"Code Not Found")</f>
        <v>Fagaceae</v>
      </c>
      <c r="O1332" t="str" cm="1">
        <f t="array" ref="O1332">_xlfn.IFS(F1332="","",F1332&lt;=5,"0 to 5",F1332&lt;=10,"5.1 to 10",F1332&lt;=20,"10 to 20", F1332&lt;= 40, "20 to 40", F1332 &lt;= 50, "40 to 50", F1332 &gt; 50, "&gt;50" )</f>
        <v>0 to 5</v>
      </c>
    </row>
    <row r="1333" spans="1:15" ht="14.4" x14ac:dyDescent="0.3">
      <c r="A1333" t="s">
        <v>240</v>
      </c>
      <c r="B1333" s="1">
        <v>46197</v>
      </c>
      <c r="C1333" t="s">
        <v>64</v>
      </c>
      <c r="D1333">
        <v>1218</v>
      </c>
      <c r="E1333">
        <v>10.1</v>
      </c>
      <c r="F1333">
        <v>1.2</v>
      </c>
      <c r="G1333" t="s">
        <v>32</v>
      </c>
      <c r="I1333" t="str">
        <f t="shared" si="23"/>
        <v>1218_10.1</v>
      </c>
      <c r="J1333" t="s">
        <v>241</v>
      </c>
      <c r="K1333" t="s">
        <v>179</v>
      </c>
      <c r="L1333" t="str">
        <f>_xlfn.XLOOKUP(C1333, Table2[Species],Table2[Genus], "Code Not Found")</f>
        <v>Fagus</v>
      </c>
      <c r="M1333" t="str">
        <f>_xlfn.XLOOKUP(C1333, Table2[Species],Table2[Sp. Name], "Code Not Found")</f>
        <v>grandifolia</v>
      </c>
      <c r="N1333" t="str">
        <f>_xlfn.XLOOKUP(C1333,Table2[Species],Table2[Family],"Code Not Found")</f>
        <v>Fagaceae</v>
      </c>
      <c r="O1333" t="str" cm="1">
        <f t="array" ref="O1333">_xlfn.IFS(F1333="","",F1333&lt;=5,"0 to 5",F1333&lt;=10,"5.1 to 10",F1333&lt;=20,"10 to 20", F1333&lt;= 40, "20 to 40", F1333 &lt;= 50, "40 to 50", F1333 &gt; 50, "&gt;50" )</f>
        <v>0 to 5</v>
      </c>
    </row>
    <row r="1334" spans="1:15" ht="14.4" x14ac:dyDescent="0.3">
      <c r="A1334" t="s">
        <v>240</v>
      </c>
      <c r="B1334" s="1">
        <v>46197</v>
      </c>
      <c r="C1334" t="s">
        <v>64</v>
      </c>
      <c r="D1334">
        <v>1218</v>
      </c>
      <c r="E1334">
        <v>10.199999999999999</v>
      </c>
      <c r="F1334">
        <v>1.1000000000000001</v>
      </c>
      <c r="G1334" t="s">
        <v>32</v>
      </c>
      <c r="I1334" t="str">
        <f t="shared" si="23"/>
        <v>1218_10.2</v>
      </c>
      <c r="J1334" t="s">
        <v>241</v>
      </c>
      <c r="K1334" t="s">
        <v>179</v>
      </c>
      <c r="L1334" t="str">
        <f>_xlfn.XLOOKUP(C1334, Table2[Species],Table2[Genus], "Code Not Found")</f>
        <v>Fagus</v>
      </c>
      <c r="M1334" t="str">
        <f>_xlfn.XLOOKUP(C1334, Table2[Species],Table2[Sp. Name], "Code Not Found")</f>
        <v>grandifolia</v>
      </c>
      <c r="N1334" t="str">
        <f>_xlfn.XLOOKUP(C1334,Table2[Species],Table2[Family],"Code Not Found")</f>
        <v>Fagaceae</v>
      </c>
      <c r="O1334" t="str" cm="1">
        <f t="array" ref="O1334">_xlfn.IFS(F1334="","",F1334&lt;=5,"0 to 5",F1334&lt;=10,"5.1 to 10",F1334&lt;=20,"10 to 20", F1334&lt;= 40, "20 to 40", F1334 &lt;= 50, "40 to 50", F1334 &gt; 50, "&gt;50" )</f>
        <v>0 to 5</v>
      </c>
    </row>
    <row r="1335" spans="1:15" ht="14.4" x14ac:dyDescent="0.3">
      <c r="A1335" t="s">
        <v>240</v>
      </c>
      <c r="B1335" s="1">
        <v>46197</v>
      </c>
      <c r="C1335" t="s">
        <v>16</v>
      </c>
      <c r="D1335">
        <v>1219</v>
      </c>
      <c r="E1335">
        <v>1</v>
      </c>
      <c r="F1335">
        <v>8.1</v>
      </c>
      <c r="G1335" t="s">
        <v>17</v>
      </c>
      <c r="I1335" t="str">
        <f t="shared" si="23"/>
        <v>1219_1</v>
      </c>
      <c r="J1335" t="s">
        <v>241</v>
      </c>
      <c r="K1335" t="s">
        <v>179</v>
      </c>
      <c r="L1335" t="str">
        <f>_xlfn.XLOOKUP(C1335, Table2[Species],Table2[Genus], "Code Not Found")</f>
        <v>Acer</v>
      </c>
      <c r="M1335" t="str">
        <f>_xlfn.XLOOKUP(C1335, Table2[Species],Table2[Sp. Name], "Code Not Found")</f>
        <v>saccharum</v>
      </c>
      <c r="N1335" t="str">
        <f>_xlfn.XLOOKUP(C1335,Table2[Species],Table2[Family],"Code Not Found")</f>
        <v>Sapindaceae</v>
      </c>
      <c r="O1335" t="str" cm="1">
        <f t="array" ref="O1335">_xlfn.IFS(F1335="","",F1335&lt;=5,"0 to 5",F1335&lt;=10,"5.1 to 10",F1335&lt;=20,"10 to 20", F1335&lt;= 40, "20 to 40", F1335 &lt;= 50, "40 to 50", F1335 &gt; 50, "&gt;50" )</f>
        <v>5.1 to 10</v>
      </c>
    </row>
    <row r="1336" spans="1:15" ht="14.4" x14ac:dyDescent="0.3">
      <c r="A1336" t="s">
        <v>240</v>
      </c>
      <c r="B1336" s="1">
        <v>46197</v>
      </c>
      <c r="C1336" t="s">
        <v>16</v>
      </c>
      <c r="D1336">
        <v>1220</v>
      </c>
      <c r="E1336">
        <v>1</v>
      </c>
      <c r="F1336">
        <v>15.1</v>
      </c>
      <c r="G1336" t="s">
        <v>17</v>
      </c>
      <c r="I1336" t="str">
        <f t="shared" si="23"/>
        <v>1220_1</v>
      </c>
      <c r="J1336" t="s">
        <v>241</v>
      </c>
      <c r="K1336" t="s">
        <v>179</v>
      </c>
      <c r="L1336" t="str">
        <f>_xlfn.XLOOKUP(C1336, Table2[Species],Table2[Genus], "Code Not Found")</f>
        <v>Acer</v>
      </c>
      <c r="M1336" t="str">
        <f>_xlfn.XLOOKUP(C1336, Table2[Species],Table2[Sp. Name], "Code Not Found")</f>
        <v>saccharum</v>
      </c>
      <c r="N1336" t="str">
        <f>_xlfn.XLOOKUP(C1336,Table2[Species],Table2[Family],"Code Not Found")</f>
        <v>Sapindaceae</v>
      </c>
      <c r="O1336" t="str" cm="1">
        <f t="array" ref="O1336">_xlfn.IFS(F1336="","",F1336&lt;=5,"0 to 5",F1336&lt;=10,"5.1 to 10",F1336&lt;=20,"10 to 20", F1336&lt;= 40, "20 to 40", F1336 &lt;= 50, "40 to 50", F1336 &gt; 50, "&gt;50" )</f>
        <v>10 to 20</v>
      </c>
    </row>
    <row r="1337" spans="1:15" ht="14.4" x14ac:dyDescent="0.3">
      <c r="A1337" t="s">
        <v>240</v>
      </c>
      <c r="B1337" s="1">
        <v>46197</v>
      </c>
      <c r="C1337" t="s">
        <v>64</v>
      </c>
      <c r="D1337">
        <v>1221</v>
      </c>
      <c r="E1337">
        <v>1</v>
      </c>
      <c r="F1337">
        <v>5.2</v>
      </c>
      <c r="G1337" t="s">
        <v>17</v>
      </c>
      <c r="I1337" t="str">
        <f t="shared" si="23"/>
        <v>1221_1</v>
      </c>
      <c r="J1337" t="s">
        <v>241</v>
      </c>
      <c r="K1337" t="s">
        <v>179</v>
      </c>
      <c r="L1337" t="str">
        <f>_xlfn.XLOOKUP(C1337, Table2[Species],Table2[Genus], "Code Not Found")</f>
        <v>Fagus</v>
      </c>
      <c r="M1337" t="str">
        <f>_xlfn.XLOOKUP(C1337, Table2[Species],Table2[Sp. Name], "Code Not Found")</f>
        <v>grandifolia</v>
      </c>
      <c r="N1337" t="str">
        <f>_xlfn.XLOOKUP(C1337,Table2[Species],Table2[Family],"Code Not Found")</f>
        <v>Fagaceae</v>
      </c>
      <c r="O1337" t="str" cm="1">
        <f t="array" ref="O1337">_xlfn.IFS(F1337="","",F1337&lt;=5,"0 to 5",F1337&lt;=10,"5.1 to 10",F1337&lt;=20,"10 to 20", F1337&lt;= 40, "20 to 40", F1337 &lt;= 50, "40 to 50", F1337 &gt; 50, "&gt;50" )</f>
        <v>5.1 to 10</v>
      </c>
    </row>
    <row r="1338" spans="1:15" ht="14.4" x14ac:dyDescent="0.3">
      <c r="A1338" t="s">
        <v>240</v>
      </c>
      <c r="B1338" s="1">
        <v>46197</v>
      </c>
      <c r="C1338" t="s">
        <v>64</v>
      </c>
      <c r="D1338">
        <v>1222</v>
      </c>
      <c r="E1338">
        <v>1</v>
      </c>
      <c r="F1338">
        <v>17.8</v>
      </c>
      <c r="G1338" t="s">
        <v>17</v>
      </c>
      <c r="I1338" t="str">
        <f t="shared" si="23"/>
        <v>1222_1</v>
      </c>
      <c r="J1338" t="s">
        <v>241</v>
      </c>
      <c r="K1338" t="s">
        <v>179</v>
      </c>
      <c r="L1338" t="str">
        <f>_xlfn.XLOOKUP(C1338, Table2[Species],Table2[Genus], "Code Not Found")</f>
        <v>Fagus</v>
      </c>
      <c r="M1338" t="str">
        <f>_xlfn.XLOOKUP(C1338, Table2[Species],Table2[Sp. Name], "Code Not Found")</f>
        <v>grandifolia</v>
      </c>
      <c r="N1338" t="str">
        <f>_xlfn.XLOOKUP(C1338,Table2[Species],Table2[Family],"Code Not Found")</f>
        <v>Fagaceae</v>
      </c>
      <c r="O1338" t="str" cm="1">
        <f t="array" ref="O1338">_xlfn.IFS(F1338="","",F1338&lt;=5,"0 to 5",F1338&lt;=10,"5.1 to 10",F1338&lt;=20,"10 to 20", F1338&lt;= 40, "20 to 40", F1338 &lt;= 50, "40 to 50", F1338 &gt; 50, "&gt;50" )</f>
        <v>10 to 20</v>
      </c>
    </row>
    <row r="1339" spans="1:15" ht="14.4" x14ac:dyDescent="0.3">
      <c r="A1339" t="s">
        <v>240</v>
      </c>
      <c r="B1339" s="1">
        <v>46197</v>
      </c>
      <c r="C1339" t="s">
        <v>64</v>
      </c>
      <c r="D1339">
        <v>1223</v>
      </c>
      <c r="E1339">
        <v>1</v>
      </c>
      <c r="F1339">
        <v>6.8</v>
      </c>
      <c r="G1339" t="s">
        <v>32</v>
      </c>
      <c r="I1339" t="str">
        <f t="shared" si="23"/>
        <v>1223_1</v>
      </c>
      <c r="J1339" t="s">
        <v>241</v>
      </c>
      <c r="K1339" t="s">
        <v>179</v>
      </c>
      <c r="L1339" t="str">
        <f>_xlfn.XLOOKUP(C1339, Table2[Species],Table2[Genus], "Code Not Found")</f>
        <v>Fagus</v>
      </c>
      <c r="M1339" t="str">
        <f>_xlfn.XLOOKUP(C1339, Table2[Species],Table2[Sp. Name], "Code Not Found")</f>
        <v>grandifolia</v>
      </c>
      <c r="N1339" t="str">
        <f>_xlfn.XLOOKUP(C1339,Table2[Species],Table2[Family],"Code Not Found")</f>
        <v>Fagaceae</v>
      </c>
      <c r="O1339" t="str" cm="1">
        <f t="array" ref="O1339">_xlfn.IFS(F1339="","",F1339&lt;=5,"0 to 5",F1339&lt;=10,"5.1 to 10",F1339&lt;=20,"10 to 20", F1339&lt;= 40, "20 to 40", F1339 &lt;= 50, "40 to 50", F1339 &gt; 50, "&gt;50" )</f>
        <v>5.1 to 10</v>
      </c>
    </row>
    <row r="1340" spans="1:15" ht="14.4" x14ac:dyDescent="0.3">
      <c r="A1340" t="s">
        <v>240</v>
      </c>
      <c r="B1340" s="1">
        <v>46197</v>
      </c>
      <c r="C1340" t="s">
        <v>64</v>
      </c>
      <c r="D1340">
        <v>1223</v>
      </c>
      <c r="E1340">
        <v>2</v>
      </c>
      <c r="F1340">
        <v>6.3</v>
      </c>
      <c r="G1340" t="s">
        <v>32</v>
      </c>
      <c r="I1340" t="str">
        <f t="shared" si="23"/>
        <v>1223_2</v>
      </c>
      <c r="J1340" t="s">
        <v>241</v>
      </c>
      <c r="K1340" t="s">
        <v>179</v>
      </c>
      <c r="L1340" t="str">
        <f>_xlfn.XLOOKUP(C1340, Table2[Species],Table2[Genus], "Code Not Found")</f>
        <v>Fagus</v>
      </c>
      <c r="M1340" t="str">
        <f>_xlfn.XLOOKUP(C1340, Table2[Species],Table2[Sp. Name], "Code Not Found")</f>
        <v>grandifolia</v>
      </c>
      <c r="N1340" t="str">
        <f>_xlfn.XLOOKUP(C1340,Table2[Species],Table2[Family],"Code Not Found")</f>
        <v>Fagaceae</v>
      </c>
      <c r="O1340" t="str" cm="1">
        <f t="array" ref="O1340">_xlfn.IFS(F1340="","",F1340&lt;=5,"0 to 5",F1340&lt;=10,"5.1 to 10",F1340&lt;=20,"10 to 20", F1340&lt;= 40, "20 to 40", F1340 &lt;= 50, "40 to 50", F1340 &gt; 50, "&gt;50" )</f>
        <v>5.1 to 10</v>
      </c>
    </row>
    <row r="1341" spans="1:15" ht="14.4" x14ac:dyDescent="0.3">
      <c r="A1341" t="s">
        <v>240</v>
      </c>
      <c r="B1341" s="1">
        <v>46197</v>
      </c>
      <c r="C1341" t="s">
        <v>64</v>
      </c>
      <c r="D1341">
        <v>1224</v>
      </c>
      <c r="E1341">
        <v>1</v>
      </c>
      <c r="F1341">
        <v>3.2</v>
      </c>
      <c r="G1341" t="s">
        <v>17</v>
      </c>
      <c r="I1341" t="str">
        <f t="shared" si="23"/>
        <v>1224_1</v>
      </c>
      <c r="J1341" t="s">
        <v>241</v>
      </c>
      <c r="K1341" t="s">
        <v>179</v>
      </c>
      <c r="L1341" t="str">
        <f>_xlfn.XLOOKUP(C1341, Table2[Species],Table2[Genus], "Code Not Found")</f>
        <v>Fagus</v>
      </c>
      <c r="M1341" t="str">
        <f>_xlfn.XLOOKUP(C1341, Table2[Species],Table2[Sp. Name], "Code Not Found")</f>
        <v>grandifolia</v>
      </c>
      <c r="N1341" t="str">
        <f>_xlfn.XLOOKUP(C1341,Table2[Species],Table2[Family],"Code Not Found")</f>
        <v>Fagaceae</v>
      </c>
      <c r="O1341" t="str" cm="1">
        <f t="array" ref="O1341">_xlfn.IFS(F1341="","",F1341&lt;=5,"0 to 5",F1341&lt;=10,"5.1 to 10",F1341&lt;=20,"10 to 20", F1341&lt;= 40, "20 to 40", F1341 &lt;= 50, "40 to 50", F1341 &gt; 50, "&gt;50" )</f>
        <v>0 to 5</v>
      </c>
    </row>
    <row r="1342" spans="1:15" ht="14.4" x14ac:dyDescent="0.3">
      <c r="A1342" t="s">
        <v>240</v>
      </c>
      <c r="B1342" s="1">
        <v>46197</v>
      </c>
      <c r="C1342" t="s">
        <v>64</v>
      </c>
      <c r="D1342">
        <v>1225</v>
      </c>
      <c r="E1342">
        <v>1</v>
      </c>
      <c r="F1342">
        <v>1.3</v>
      </c>
      <c r="G1342" t="s">
        <v>17</v>
      </c>
      <c r="I1342" t="str">
        <f t="shared" si="23"/>
        <v>1225_1</v>
      </c>
      <c r="J1342" t="s">
        <v>241</v>
      </c>
      <c r="K1342" t="s">
        <v>179</v>
      </c>
      <c r="L1342" t="str">
        <f>_xlfn.XLOOKUP(C1342, Table2[Species],Table2[Genus], "Code Not Found")</f>
        <v>Fagus</v>
      </c>
      <c r="M1342" t="str">
        <f>_xlfn.XLOOKUP(C1342, Table2[Species],Table2[Sp. Name], "Code Not Found")</f>
        <v>grandifolia</v>
      </c>
      <c r="N1342" t="str">
        <f>_xlfn.XLOOKUP(C1342,Table2[Species],Table2[Family],"Code Not Found")</f>
        <v>Fagaceae</v>
      </c>
      <c r="O1342" t="str" cm="1">
        <f t="array" ref="O1342">_xlfn.IFS(F1342="","",F1342&lt;=5,"0 to 5",F1342&lt;=10,"5.1 to 10",F1342&lt;=20,"10 to 20", F1342&lt;= 40, "20 to 40", F1342 &lt;= 50, "40 to 50", F1342 &gt; 50, "&gt;50" )</f>
        <v>0 to 5</v>
      </c>
    </row>
    <row r="1343" spans="1:15" ht="14.4" x14ac:dyDescent="0.3">
      <c r="A1343" t="s">
        <v>240</v>
      </c>
      <c r="B1343" s="1">
        <v>46197</v>
      </c>
      <c r="C1343" t="s">
        <v>64</v>
      </c>
      <c r="D1343">
        <v>1226</v>
      </c>
      <c r="E1343">
        <v>1</v>
      </c>
      <c r="F1343">
        <v>7.3</v>
      </c>
      <c r="G1343" t="s">
        <v>32</v>
      </c>
      <c r="I1343" t="str">
        <f t="shared" si="23"/>
        <v>1226_1</v>
      </c>
      <c r="J1343" t="s">
        <v>241</v>
      </c>
      <c r="K1343" t="s">
        <v>179</v>
      </c>
      <c r="L1343" t="str">
        <f>_xlfn.XLOOKUP(C1343, Table2[Species],Table2[Genus], "Code Not Found")</f>
        <v>Fagus</v>
      </c>
      <c r="M1343" t="str">
        <f>_xlfn.XLOOKUP(C1343, Table2[Species],Table2[Sp. Name], "Code Not Found")</f>
        <v>grandifolia</v>
      </c>
      <c r="N1343" t="str">
        <f>_xlfn.XLOOKUP(C1343,Table2[Species],Table2[Family],"Code Not Found")</f>
        <v>Fagaceae</v>
      </c>
      <c r="O1343" t="str" cm="1">
        <f t="array" ref="O1343">_xlfn.IFS(F1343="","",F1343&lt;=5,"0 to 5",F1343&lt;=10,"5.1 to 10",F1343&lt;=20,"10 to 20", F1343&lt;= 40, "20 to 40", F1343 &lt;= 50, "40 to 50", F1343 &gt; 50, "&gt;50" )</f>
        <v>5.1 to 10</v>
      </c>
    </row>
    <row r="1344" spans="1:15" ht="14.4" x14ac:dyDescent="0.3">
      <c r="A1344" t="s">
        <v>240</v>
      </c>
      <c r="B1344" s="1">
        <v>46197</v>
      </c>
      <c r="C1344" t="s">
        <v>64</v>
      </c>
      <c r="D1344">
        <v>1226</v>
      </c>
      <c r="E1344">
        <v>2</v>
      </c>
      <c r="F1344">
        <v>1.2</v>
      </c>
      <c r="G1344" t="s">
        <v>32</v>
      </c>
      <c r="I1344" t="str">
        <f t="shared" si="23"/>
        <v>1226_2</v>
      </c>
      <c r="J1344" t="s">
        <v>241</v>
      </c>
      <c r="K1344" t="s">
        <v>179</v>
      </c>
      <c r="L1344" t="str">
        <f>_xlfn.XLOOKUP(C1344, Table2[Species],Table2[Genus], "Code Not Found")</f>
        <v>Fagus</v>
      </c>
      <c r="M1344" t="str">
        <f>_xlfn.XLOOKUP(C1344, Table2[Species],Table2[Sp. Name], "Code Not Found")</f>
        <v>grandifolia</v>
      </c>
      <c r="N1344" t="str">
        <f>_xlfn.XLOOKUP(C1344,Table2[Species],Table2[Family],"Code Not Found")</f>
        <v>Fagaceae</v>
      </c>
      <c r="O1344" t="str" cm="1">
        <f t="array" ref="O1344">_xlfn.IFS(F1344="","",F1344&lt;=5,"0 to 5",F1344&lt;=10,"5.1 to 10",F1344&lt;=20,"10 to 20", F1344&lt;= 40, "20 to 40", F1344 &lt;= 50, "40 to 50", F1344 &gt; 50, "&gt;50" )</f>
        <v>0 to 5</v>
      </c>
    </row>
    <row r="1345" spans="1:15" ht="14.4" x14ac:dyDescent="0.3">
      <c r="A1345" t="s">
        <v>240</v>
      </c>
      <c r="B1345" s="1">
        <v>46197</v>
      </c>
      <c r="C1345" t="s">
        <v>64</v>
      </c>
      <c r="D1345">
        <v>1227</v>
      </c>
      <c r="E1345">
        <v>1</v>
      </c>
      <c r="F1345">
        <v>1.3</v>
      </c>
      <c r="G1345" t="s">
        <v>47</v>
      </c>
      <c r="H1345" t="s">
        <v>43</v>
      </c>
      <c r="I1345" t="str">
        <f t="shared" si="23"/>
        <v>1227_1</v>
      </c>
      <c r="J1345" t="s">
        <v>241</v>
      </c>
      <c r="K1345" t="s">
        <v>179</v>
      </c>
      <c r="L1345" t="str">
        <f>_xlfn.XLOOKUP(C1345, Table2[Species],Table2[Genus], "Code Not Found")</f>
        <v>Fagus</v>
      </c>
      <c r="M1345" t="str">
        <f>_xlfn.XLOOKUP(C1345, Table2[Species],Table2[Sp. Name], "Code Not Found")</f>
        <v>grandifolia</v>
      </c>
      <c r="N1345" t="str">
        <f>_xlfn.XLOOKUP(C1345,Table2[Species],Table2[Family],"Code Not Found")</f>
        <v>Fagaceae</v>
      </c>
      <c r="O1345" t="str" cm="1">
        <f t="array" ref="O1345">_xlfn.IFS(F1345="","",F1345&lt;=5,"0 to 5",F1345&lt;=10,"5.1 to 10",F1345&lt;=20,"10 to 20", F1345&lt;= 40, "20 to 40", F1345 &lt;= 50, "40 to 50", F1345 &gt; 50, "&gt;50" )</f>
        <v>0 to 5</v>
      </c>
    </row>
    <row r="1346" spans="1:15" ht="14.4" x14ac:dyDescent="0.3">
      <c r="A1346" t="s">
        <v>240</v>
      </c>
      <c r="B1346" s="1">
        <v>46197</v>
      </c>
      <c r="C1346" t="s">
        <v>64</v>
      </c>
      <c r="D1346">
        <v>1228</v>
      </c>
      <c r="E1346">
        <v>1</v>
      </c>
      <c r="F1346">
        <v>3.4</v>
      </c>
      <c r="G1346" t="s">
        <v>32</v>
      </c>
      <c r="I1346" t="str">
        <f t="shared" si="23"/>
        <v>1228_1</v>
      </c>
      <c r="J1346" t="s">
        <v>241</v>
      </c>
      <c r="K1346" t="s">
        <v>179</v>
      </c>
      <c r="L1346" t="str">
        <f>_xlfn.XLOOKUP(C1346, Table2[Species],Table2[Genus], "Code Not Found")</f>
        <v>Fagus</v>
      </c>
      <c r="M1346" t="str">
        <f>_xlfn.XLOOKUP(C1346, Table2[Species],Table2[Sp. Name], "Code Not Found")</f>
        <v>grandifolia</v>
      </c>
      <c r="N1346" t="str">
        <f>_xlfn.XLOOKUP(C1346,Table2[Species],Table2[Family],"Code Not Found")</f>
        <v>Fagaceae</v>
      </c>
      <c r="O1346" t="str" cm="1">
        <f t="array" ref="O1346">_xlfn.IFS(F1346="","",F1346&lt;=5,"0 to 5",F1346&lt;=10,"5.1 to 10",F1346&lt;=20,"10 to 20", F1346&lt;= 40, "20 to 40", F1346 &lt;= 50, "40 to 50", F1346 &gt; 50, "&gt;50" )</f>
        <v>0 to 5</v>
      </c>
    </row>
    <row r="1347" spans="1:15" ht="14.4" x14ac:dyDescent="0.3">
      <c r="A1347" t="s">
        <v>240</v>
      </c>
      <c r="B1347" s="1">
        <v>46197</v>
      </c>
      <c r="C1347" t="s">
        <v>64</v>
      </c>
      <c r="D1347">
        <v>1228</v>
      </c>
      <c r="E1347">
        <v>2</v>
      </c>
      <c r="F1347">
        <v>1</v>
      </c>
      <c r="G1347" t="s">
        <v>93</v>
      </c>
      <c r="H1347" t="s">
        <v>43</v>
      </c>
      <c r="I1347" t="str">
        <f t="shared" si="23"/>
        <v>1228_2</v>
      </c>
      <c r="J1347" t="s">
        <v>241</v>
      </c>
      <c r="K1347" t="s">
        <v>179</v>
      </c>
      <c r="L1347" t="str">
        <f>_xlfn.XLOOKUP(C1347, Table2[Species],Table2[Genus], "Code Not Found")</f>
        <v>Fagus</v>
      </c>
      <c r="M1347" t="str">
        <f>_xlfn.XLOOKUP(C1347, Table2[Species],Table2[Sp. Name], "Code Not Found")</f>
        <v>grandifolia</v>
      </c>
      <c r="N1347" t="str">
        <f>_xlfn.XLOOKUP(C1347,Table2[Species],Table2[Family],"Code Not Found")</f>
        <v>Fagaceae</v>
      </c>
      <c r="O1347" t="str" cm="1">
        <f t="array" ref="O1347">_xlfn.IFS(F1347="","",F1347&lt;=5,"0 to 5",F1347&lt;=10,"5.1 to 10",F1347&lt;=20,"10 to 20", F1347&lt;= 40, "20 to 40", F1347 &lt;= 50, "40 to 50", F1347 &gt; 50, "&gt;50" )</f>
        <v>0 to 5</v>
      </c>
    </row>
    <row r="1348" spans="1:15" ht="14.4" x14ac:dyDescent="0.3">
      <c r="A1348" t="s">
        <v>240</v>
      </c>
      <c r="B1348" s="1">
        <v>46197</v>
      </c>
      <c r="C1348" t="s">
        <v>64</v>
      </c>
      <c r="D1348">
        <v>1229</v>
      </c>
      <c r="E1348">
        <v>1</v>
      </c>
      <c r="F1348">
        <v>13.7</v>
      </c>
      <c r="G1348" t="s">
        <v>30</v>
      </c>
      <c r="H1348" t="s">
        <v>283</v>
      </c>
      <c r="I1348" t="str">
        <f t="shared" si="23"/>
        <v>1229_1</v>
      </c>
      <c r="J1348" t="s">
        <v>241</v>
      </c>
      <c r="K1348" t="s">
        <v>179</v>
      </c>
      <c r="L1348" t="str">
        <f>_xlfn.XLOOKUP(C1348, Table2[Species],Table2[Genus], "Code Not Found")</f>
        <v>Fagus</v>
      </c>
      <c r="M1348" t="str">
        <f>_xlfn.XLOOKUP(C1348, Table2[Species],Table2[Sp. Name], "Code Not Found")</f>
        <v>grandifolia</v>
      </c>
      <c r="N1348" t="str">
        <f>_xlfn.XLOOKUP(C1348,Table2[Species],Table2[Family],"Code Not Found")</f>
        <v>Fagaceae</v>
      </c>
      <c r="O1348" t="str" cm="1">
        <f t="array" ref="O1348">_xlfn.IFS(F1348="","",F1348&lt;=5,"0 to 5",F1348&lt;=10,"5.1 to 10",F1348&lt;=20,"10 to 20", F1348&lt;= 40, "20 to 40", F1348 &lt;= 50, "40 to 50", F1348 &gt; 50, "&gt;50" )</f>
        <v>10 to 20</v>
      </c>
    </row>
    <row r="1349" spans="1:15" ht="14.4" x14ac:dyDescent="0.3">
      <c r="A1349" t="s">
        <v>240</v>
      </c>
      <c r="B1349" s="1">
        <v>46197</v>
      </c>
      <c r="C1349" t="s">
        <v>64</v>
      </c>
      <c r="D1349">
        <v>1230</v>
      </c>
      <c r="E1349">
        <v>1</v>
      </c>
      <c r="F1349">
        <v>12</v>
      </c>
      <c r="G1349" t="s">
        <v>32</v>
      </c>
      <c r="I1349" t="str">
        <f t="shared" si="23"/>
        <v>1230_1</v>
      </c>
      <c r="J1349" t="s">
        <v>241</v>
      </c>
      <c r="K1349" t="s">
        <v>179</v>
      </c>
      <c r="L1349" t="str">
        <f>_xlfn.XLOOKUP(C1349, Table2[Species],Table2[Genus], "Code Not Found")</f>
        <v>Fagus</v>
      </c>
      <c r="M1349" t="str">
        <f>_xlfn.XLOOKUP(C1349, Table2[Species],Table2[Sp. Name], "Code Not Found")</f>
        <v>grandifolia</v>
      </c>
      <c r="N1349" t="str">
        <f>_xlfn.XLOOKUP(C1349,Table2[Species],Table2[Family],"Code Not Found")</f>
        <v>Fagaceae</v>
      </c>
      <c r="O1349" t="str" cm="1">
        <f t="array" ref="O1349">_xlfn.IFS(F1349="","",F1349&lt;=5,"0 to 5",F1349&lt;=10,"5.1 to 10",F1349&lt;=20,"10 to 20", F1349&lt;= 40, "20 to 40", F1349 &lt;= 50, "40 to 50", F1349 &gt; 50, "&gt;50" )</f>
        <v>10 to 20</v>
      </c>
    </row>
    <row r="1350" spans="1:15" ht="14.4" x14ac:dyDescent="0.3">
      <c r="A1350" t="s">
        <v>240</v>
      </c>
      <c r="B1350" s="1">
        <v>46197</v>
      </c>
      <c r="C1350" t="s">
        <v>64</v>
      </c>
      <c r="D1350">
        <v>1230</v>
      </c>
      <c r="E1350">
        <v>2</v>
      </c>
      <c r="F1350">
        <v>2.4</v>
      </c>
      <c r="G1350" t="s">
        <v>32</v>
      </c>
      <c r="I1350" t="str">
        <f t="shared" si="23"/>
        <v>1230_2</v>
      </c>
      <c r="J1350" t="s">
        <v>241</v>
      </c>
      <c r="K1350" t="s">
        <v>179</v>
      </c>
      <c r="L1350" t="str">
        <f>_xlfn.XLOOKUP(C1350, Table2[Species],Table2[Genus], "Code Not Found")</f>
        <v>Fagus</v>
      </c>
      <c r="M1350" t="str">
        <f>_xlfn.XLOOKUP(C1350, Table2[Species],Table2[Sp. Name], "Code Not Found")</f>
        <v>grandifolia</v>
      </c>
      <c r="N1350" t="str">
        <f>_xlfn.XLOOKUP(C1350,Table2[Species],Table2[Family],"Code Not Found")</f>
        <v>Fagaceae</v>
      </c>
      <c r="O1350" t="str" cm="1">
        <f t="array" ref="O1350">_xlfn.IFS(F1350="","",F1350&lt;=5,"0 to 5",F1350&lt;=10,"5.1 to 10",F1350&lt;=20,"10 to 20", F1350&lt;= 40, "20 to 40", F1350 &lt;= 50, "40 to 50", F1350 &gt; 50, "&gt;50" )</f>
        <v>0 to 5</v>
      </c>
    </row>
    <row r="1351" spans="1:15" ht="14.4" x14ac:dyDescent="0.3">
      <c r="A1351" t="s">
        <v>240</v>
      </c>
      <c r="B1351" s="1">
        <v>46197</v>
      </c>
      <c r="C1351" t="s">
        <v>64</v>
      </c>
      <c r="D1351">
        <v>1231</v>
      </c>
      <c r="E1351">
        <v>1</v>
      </c>
      <c r="F1351">
        <v>5.4</v>
      </c>
      <c r="G1351" t="s">
        <v>17</v>
      </c>
      <c r="I1351" t="str">
        <f t="shared" si="23"/>
        <v>1231_1</v>
      </c>
      <c r="J1351" t="s">
        <v>241</v>
      </c>
      <c r="K1351" t="s">
        <v>179</v>
      </c>
      <c r="L1351" t="str">
        <f>_xlfn.XLOOKUP(C1351, Table2[Species],Table2[Genus], "Code Not Found")</f>
        <v>Fagus</v>
      </c>
      <c r="M1351" t="str">
        <f>_xlfn.XLOOKUP(C1351, Table2[Species],Table2[Sp. Name], "Code Not Found")</f>
        <v>grandifolia</v>
      </c>
      <c r="N1351" t="str">
        <f>_xlfn.XLOOKUP(C1351,Table2[Species],Table2[Family],"Code Not Found")</f>
        <v>Fagaceae</v>
      </c>
      <c r="O1351" t="str" cm="1">
        <f t="array" ref="O1351">_xlfn.IFS(F1351="","",F1351&lt;=5,"0 to 5",F1351&lt;=10,"5.1 to 10",F1351&lt;=20,"10 to 20", F1351&lt;= 40, "20 to 40", F1351 &lt;= 50, "40 to 50", F1351 &gt; 50, "&gt;50" )</f>
        <v>5.1 to 10</v>
      </c>
    </row>
    <row r="1352" spans="1:15" ht="14.4" x14ac:dyDescent="0.3">
      <c r="A1352" t="s">
        <v>240</v>
      </c>
      <c r="B1352" s="1">
        <v>46197</v>
      </c>
      <c r="C1352" t="s">
        <v>64</v>
      </c>
      <c r="D1352">
        <v>1232</v>
      </c>
      <c r="E1352">
        <v>1</v>
      </c>
      <c r="F1352">
        <v>4.3</v>
      </c>
      <c r="G1352" t="s">
        <v>17</v>
      </c>
      <c r="I1352" t="str">
        <f t="shared" si="23"/>
        <v>1232_1</v>
      </c>
      <c r="J1352" t="s">
        <v>241</v>
      </c>
      <c r="K1352" t="s">
        <v>179</v>
      </c>
      <c r="L1352" t="str">
        <f>_xlfn.XLOOKUP(C1352, Table2[Species],Table2[Genus], "Code Not Found")</f>
        <v>Fagus</v>
      </c>
      <c r="M1352" t="str">
        <f>_xlfn.XLOOKUP(C1352, Table2[Species],Table2[Sp. Name], "Code Not Found")</f>
        <v>grandifolia</v>
      </c>
      <c r="N1352" t="str">
        <f>_xlfn.XLOOKUP(C1352,Table2[Species],Table2[Family],"Code Not Found")</f>
        <v>Fagaceae</v>
      </c>
      <c r="O1352" t="str" cm="1">
        <f t="array" ref="O1352">_xlfn.IFS(F1352="","",F1352&lt;=5,"0 to 5",F1352&lt;=10,"5.1 to 10",F1352&lt;=20,"10 to 20", F1352&lt;= 40, "20 to 40", F1352 &lt;= 50, "40 to 50", F1352 &gt; 50, "&gt;50" )</f>
        <v>0 to 5</v>
      </c>
    </row>
    <row r="1353" spans="1:15" ht="14.4" x14ac:dyDescent="0.3">
      <c r="A1353" t="s">
        <v>240</v>
      </c>
      <c r="B1353" s="1">
        <v>46197</v>
      </c>
      <c r="C1353" t="s">
        <v>64</v>
      </c>
      <c r="D1353">
        <v>1233</v>
      </c>
      <c r="E1353">
        <v>1</v>
      </c>
      <c r="F1353">
        <v>2.8</v>
      </c>
      <c r="G1353" t="s">
        <v>17</v>
      </c>
      <c r="I1353" t="str">
        <f t="shared" si="23"/>
        <v>1233_1</v>
      </c>
      <c r="J1353" t="s">
        <v>241</v>
      </c>
      <c r="K1353" t="s">
        <v>179</v>
      </c>
      <c r="L1353" t="str">
        <f>_xlfn.XLOOKUP(C1353, Table2[Species],Table2[Genus], "Code Not Found")</f>
        <v>Fagus</v>
      </c>
      <c r="M1353" t="str">
        <f>_xlfn.XLOOKUP(C1353, Table2[Species],Table2[Sp. Name], "Code Not Found")</f>
        <v>grandifolia</v>
      </c>
      <c r="N1353" t="str">
        <f>_xlfn.XLOOKUP(C1353,Table2[Species],Table2[Family],"Code Not Found")</f>
        <v>Fagaceae</v>
      </c>
      <c r="O1353" t="str" cm="1">
        <f t="array" ref="O1353">_xlfn.IFS(F1353="","",F1353&lt;=5,"0 to 5",F1353&lt;=10,"5.1 to 10",F1353&lt;=20,"10 to 20", F1353&lt;= 40, "20 to 40", F1353 &lt;= 50, "40 to 50", F1353 &gt; 50, "&gt;50" )</f>
        <v>0 to 5</v>
      </c>
    </row>
    <row r="1354" spans="1:15" ht="14.4" x14ac:dyDescent="0.3">
      <c r="A1354" t="s">
        <v>240</v>
      </c>
      <c r="B1354" s="1">
        <v>46197</v>
      </c>
      <c r="C1354" t="s">
        <v>64</v>
      </c>
      <c r="D1354">
        <v>1234</v>
      </c>
      <c r="E1354">
        <v>1</v>
      </c>
      <c r="F1354">
        <v>9.4</v>
      </c>
      <c r="G1354" t="s">
        <v>32</v>
      </c>
      <c r="I1354" t="str">
        <f t="shared" si="23"/>
        <v>1234_1</v>
      </c>
      <c r="J1354" t="s">
        <v>241</v>
      </c>
      <c r="K1354" t="s">
        <v>179</v>
      </c>
      <c r="L1354" t="str">
        <f>_xlfn.XLOOKUP(C1354, Table2[Species],Table2[Genus], "Code Not Found")</f>
        <v>Fagus</v>
      </c>
      <c r="M1354" t="str">
        <f>_xlfn.XLOOKUP(C1354, Table2[Species],Table2[Sp. Name], "Code Not Found")</f>
        <v>grandifolia</v>
      </c>
      <c r="N1354" t="str">
        <f>_xlfn.XLOOKUP(C1354,Table2[Species],Table2[Family],"Code Not Found")</f>
        <v>Fagaceae</v>
      </c>
      <c r="O1354" t="str" cm="1">
        <f t="array" ref="O1354">_xlfn.IFS(F1354="","",F1354&lt;=5,"0 to 5",F1354&lt;=10,"5.1 to 10",F1354&lt;=20,"10 to 20", F1354&lt;= 40, "20 to 40", F1354 &lt;= 50, "40 to 50", F1354 &gt; 50, "&gt;50" )</f>
        <v>5.1 to 10</v>
      </c>
    </row>
    <row r="1355" spans="1:15" ht="14.4" x14ac:dyDescent="0.3">
      <c r="A1355" t="s">
        <v>240</v>
      </c>
      <c r="B1355" s="1">
        <v>46197</v>
      </c>
      <c r="C1355" t="s">
        <v>64</v>
      </c>
      <c r="D1355">
        <v>1234</v>
      </c>
      <c r="E1355">
        <v>2</v>
      </c>
      <c r="F1355">
        <v>1.1000000000000001</v>
      </c>
      <c r="G1355" t="s">
        <v>32</v>
      </c>
      <c r="I1355" t="str">
        <f t="shared" si="23"/>
        <v>1234_2</v>
      </c>
      <c r="J1355" t="s">
        <v>241</v>
      </c>
      <c r="K1355" t="s">
        <v>179</v>
      </c>
      <c r="L1355" t="str">
        <f>_xlfn.XLOOKUP(C1355, Table2[Species],Table2[Genus], "Code Not Found")</f>
        <v>Fagus</v>
      </c>
      <c r="M1355" t="str">
        <f>_xlfn.XLOOKUP(C1355, Table2[Species],Table2[Sp. Name], "Code Not Found")</f>
        <v>grandifolia</v>
      </c>
      <c r="N1355" t="str">
        <f>_xlfn.XLOOKUP(C1355,Table2[Species],Table2[Family],"Code Not Found")</f>
        <v>Fagaceae</v>
      </c>
      <c r="O1355" t="str" cm="1">
        <f t="array" ref="O1355">_xlfn.IFS(F1355="","",F1355&lt;=5,"0 to 5",F1355&lt;=10,"5.1 to 10",F1355&lt;=20,"10 to 20", F1355&lt;= 40, "20 to 40", F1355 &lt;= 50, "40 to 50", F1355 &gt; 50, "&gt;50" )</f>
        <v>0 to 5</v>
      </c>
    </row>
    <row r="1356" spans="1:15" ht="14.4" x14ac:dyDescent="0.3">
      <c r="A1356" t="s">
        <v>240</v>
      </c>
      <c r="B1356" s="1">
        <v>46197</v>
      </c>
      <c r="C1356" t="s">
        <v>64</v>
      </c>
      <c r="D1356">
        <v>1235</v>
      </c>
      <c r="E1356">
        <v>1</v>
      </c>
      <c r="F1356">
        <v>1.3</v>
      </c>
      <c r="G1356" t="s">
        <v>47</v>
      </c>
      <c r="H1356" t="s">
        <v>43</v>
      </c>
      <c r="I1356" t="str">
        <f t="shared" si="23"/>
        <v>1235_1</v>
      </c>
      <c r="J1356" t="s">
        <v>241</v>
      </c>
      <c r="K1356" t="s">
        <v>179</v>
      </c>
      <c r="L1356" t="str">
        <f>_xlfn.XLOOKUP(C1356, Table2[Species],Table2[Genus], "Code Not Found")</f>
        <v>Fagus</v>
      </c>
      <c r="M1356" t="str">
        <f>_xlfn.XLOOKUP(C1356, Table2[Species],Table2[Sp. Name], "Code Not Found")</f>
        <v>grandifolia</v>
      </c>
      <c r="N1356" t="str">
        <f>_xlfn.XLOOKUP(C1356,Table2[Species],Table2[Family],"Code Not Found")</f>
        <v>Fagaceae</v>
      </c>
      <c r="O1356" t="str" cm="1">
        <f t="array" ref="O1356">_xlfn.IFS(F1356="","",F1356&lt;=5,"0 to 5",F1356&lt;=10,"5.1 to 10",F1356&lt;=20,"10 to 20", F1356&lt;= 40, "20 to 40", F1356 &lt;= 50, "40 to 50", F1356 &gt; 50, "&gt;50" )</f>
        <v>0 to 5</v>
      </c>
    </row>
    <row r="1357" spans="1:15" ht="14.4" x14ac:dyDescent="0.3">
      <c r="A1357" t="s">
        <v>240</v>
      </c>
      <c r="B1357" s="1">
        <v>46197</v>
      </c>
      <c r="C1357" t="s">
        <v>64</v>
      </c>
      <c r="D1357">
        <v>1236</v>
      </c>
      <c r="E1357">
        <v>1</v>
      </c>
      <c r="F1357">
        <v>1.2</v>
      </c>
      <c r="G1357" t="s">
        <v>47</v>
      </c>
      <c r="H1357" t="s">
        <v>43</v>
      </c>
      <c r="I1357" t="str">
        <f t="shared" si="23"/>
        <v>1236_1</v>
      </c>
      <c r="J1357" t="s">
        <v>241</v>
      </c>
      <c r="K1357" t="s">
        <v>179</v>
      </c>
      <c r="L1357" t="str">
        <f>_xlfn.XLOOKUP(C1357, Table2[Species],Table2[Genus], "Code Not Found")</f>
        <v>Fagus</v>
      </c>
      <c r="M1357" t="str">
        <f>_xlfn.XLOOKUP(C1357, Table2[Species],Table2[Sp. Name], "Code Not Found")</f>
        <v>grandifolia</v>
      </c>
      <c r="N1357" t="str">
        <f>_xlfn.XLOOKUP(C1357,Table2[Species],Table2[Family],"Code Not Found")</f>
        <v>Fagaceae</v>
      </c>
      <c r="O1357" t="str" cm="1">
        <f t="array" ref="O1357">_xlfn.IFS(F1357="","",F1357&lt;=5,"0 to 5",F1357&lt;=10,"5.1 to 10",F1357&lt;=20,"10 to 20", F1357&lt;= 40, "20 to 40", F1357 &lt;= 50, "40 to 50", F1357 &gt; 50, "&gt;50" )</f>
        <v>0 to 5</v>
      </c>
    </row>
    <row r="1358" spans="1:15" ht="14.4" x14ac:dyDescent="0.3">
      <c r="A1358" t="s">
        <v>240</v>
      </c>
      <c r="B1358" s="1">
        <v>46197</v>
      </c>
      <c r="C1358" t="s">
        <v>16</v>
      </c>
      <c r="D1358">
        <v>1237</v>
      </c>
      <c r="E1358">
        <v>1</v>
      </c>
      <c r="F1358">
        <v>13</v>
      </c>
      <c r="G1358" t="s">
        <v>83</v>
      </c>
      <c r="I1358" t="str">
        <f t="shared" si="23"/>
        <v>1237_1</v>
      </c>
      <c r="J1358" t="s">
        <v>241</v>
      </c>
      <c r="K1358" t="s">
        <v>179</v>
      </c>
      <c r="L1358" t="str">
        <f>_xlfn.XLOOKUP(C1358, Table2[Species],Table2[Genus], "Code Not Found")</f>
        <v>Acer</v>
      </c>
      <c r="M1358" t="str">
        <f>_xlfn.XLOOKUP(C1358, Table2[Species],Table2[Sp. Name], "Code Not Found")</f>
        <v>saccharum</v>
      </c>
      <c r="N1358" t="str">
        <f>_xlfn.XLOOKUP(C1358,Table2[Species],Table2[Family],"Code Not Found")</f>
        <v>Sapindaceae</v>
      </c>
      <c r="O1358" t="str" cm="1">
        <f t="array" ref="O1358">_xlfn.IFS(F1358="","",F1358&lt;=5,"0 to 5",F1358&lt;=10,"5.1 to 10",F1358&lt;=20,"10 to 20", F1358&lt;= 40, "20 to 40", F1358 &lt;= 50, "40 to 50", F1358 &gt; 50, "&gt;50" )</f>
        <v>10 to 20</v>
      </c>
    </row>
    <row r="1359" spans="1:15" ht="14.4" x14ac:dyDescent="0.3">
      <c r="A1359" t="s">
        <v>240</v>
      </c>
      <c r="B1359" s="1">
        <v>46197</v>
      </c>
      <c r="C1359" t="s">
        <v>16</v>
      </c>
      <c r="D1359">
        <v>1238</v>
      </c>
      <c r="E1359">
        <v>1</v>
      </c>
      <c r="F1359">
        <v>3.1</v>
      </c>
      <c r="G1359" t="s">
        <v>83</v>
      </c>
      <c r="I1359" t="str">
        <f t="shared" si="23"/>
        <v>1238_1</v>
      </c>
      <c r="J1359" t="s">
        <v>241</v>
      </c>
      <c r="K1359" t="s">
        <v>179</v>
      </c>
      <c r="L1359" t="str">
        <f>_xlfn.XLOOKUP(C1359, Table2[Species],Table2[Genus], "Code Not Found")</f>
        <v>Acer</v>
      </c>
      <c r="M1359" t="str">
        <f>_xlfn.XLOOKUP(C1359, Table2[Species],Table2[Sp. Name], "Code Not Found")</f>
        <v>saccharum</v>
      </c>
      <c r="N1359" t="str">
        <f>_xlfn.XLOOKUP(C1359,Table2[Species],Table2[Family],"Code Not Found")</f>
        <v>Sapindaceae</v>
      </c>
      <c r="O1359" t="str" cm="1">
        <f t="array" ref="O1359">_xlfn.IFS(F1359="","",F1359&lt;=5,"0 to 5",F1359&lt;=10,"5.1 to 10",F1359&lt;=20,"10 to 20", F1359&lt;= 40, "20 to 40", F1359 &lt;= 50, "40 to 50", F1359 &gt; 50, "&gt;50" )</f>
        <v>0 to 5</v>
      </c>
    </row>
    <row r="1360" spans="1:15" ht="14.4" x14ac:dyDescent="0.3">
      <c r="A1360" t="s">
        <v>240</v>
      </c>
      <c r="B1360" s="1">
        <v>46197</v>
      </c>
      <c r="C1360" t="s">
        <v>16</v>
      </c>
      <c r="D1360">
        <v>1239</v>
      </c>
      <c r="E1360">
        <v>1</v>
      </c>
      <c r="F1360">
        <v>15.5</v>
      </c>
      <c r="G1360" t="s">
        <v>21</v>
      </c>
      <c r="I1360" t="str">
        <f t="shared" si="23"/>
        <v>1239_1</v>
      </c>
      <c r="J1360" t="s">
        <v>241</v>
      </c>
      <c r="K1360" t="s">
        <v>179</v>
      </c>
      <c r="L1360" t="str">
        <f>_xlfn.XLOOKUP(C1360, Table2[Species],Table2[Genus], "Code Not Found")</f>
        <v>Acer</v>
      </c>
      <c r="M1360" t="str">
        <f>_xlfn.XLOOKUP(C1360, Table2[Species],Table2[Sp. Name], "Code Not Found")</f>
        <v>saccharum</v>
      </c>
      <c r="N1360" t="str">
        <f>_xlfn.XLOOKUP(C1360,Table2[Species],Table2[Family],"Code Not Found")</f>
        <v>Sapindaceae</v>
      </c>
      <c r="O1360" t="str" cm="1">
        <f t="array" ref="O1360">_xlfn.IFS(F1360="","",F1360&lt;=5,"0 to 5",F1360&lt;=10,"5.1 to 10",F1360&lt;=20,"10 to 20", F1360&lt;= 40, "20 to 40", F1360 &lt;= 50, "40 to 50", F1360 &gt; 50, "&gt;50" )</f>
        <v>10 to 20</v>
      </c>
    </row>
    <row r="1361" spans="1:15" ht="14.4" x14ac:dyDescent="0.3">
      <c r="A1361" t="s">
        <v>240</v>
      </c>
      <c r="B1361" s="1">
        <v>46197</v>
      </c>
      <c r="C1361" t="s">
        <v>64</v>
      </c>
      <c r="D1361">
        <v>1270</v>
      </c>
      <c r="E1361">
        <v>1</v>
      </c>
      <c r="F1361">
        <v>6.3</v>
      </c>
      <c r="G1361" t="s">
        <v>17</v>
      </c>
      <c r="H1361" t="s">
        <v>284</v>
      </c>
      <c r="I1361" t="str">
        <f t="shared" si="23"/>
        <v>1270_1</v>
      </c>
      <c r="J1361" t="s">
        <v>241</v>
      </c>
      <c r="K1361" t="s">
        <v>179</v>
      </c>
      <c r="L1361" t="str">
        <f>_xlfn.XLOOKUP(C1361, Table2[Species],Table2[Genus], "Code Not Found")</f>
        <v>Fagus</v>
      </c>
      <c r="M1361" t="str">
        <f>_xlfn.XLOOKUP(C1361, Table2[Species],Table2[Sp. Name], "Code Not Found")</f>
        <v>grandifolia</v>
      </c>
      <c r="N1361" t="str">
        <f>_xlfn.XLOOKUP(C1361,Table2[Species],Table2[Family],"Code Not Found")</f>
        <v>Fagaceae</v>
      </c>
      <c r="O1361" t="str" cm="1">
        <f t="array" ref="O1361">_xlfn.IFS(F1361="","",F1361&lt;=5,"0 to 5",F1361&lt;=10,"5.1 to 10",F1361&lt;=20,"10 to 20", F1361&lt;= 40, "20 to 40", F1361 &lt;= 50, "40 to 50", F1361 &gt; 50, "&gt;50" )</f>
        <v>5.1 to 10</v>
      </c>
    </row>
    <row r="1362" spans="1:15" ht="14.4" x14ac:dyDescent="0.3">
      <c r="A1362" t="s">
        <v>240</v>
      </c>
      <c r="B1362" s="1">
        <v>46197</v>
      </c>
      <c r="C1362" t="s">
        <v>16</v>
      </c>
      <c r="D1362">
        <v>1271</v>
      </c>
      <c r="E1362">
        <v>1</v>
      </c>
      <c r="F1362">
        <v>22</v>
      </c>
      <c r="G1362" t="s">
        <v>103</v>
      </c>
      <c r="H1362" t="s">
        <v>285</v>
      </c>
      <c r="I1362" t="str">
        <f t="shared" si="23"/>
        <v>1271_1</v>
      </c>
      <c r="J1362" t="s">
        <v>241</v>
      </c>
      <c r="K1362" t="s">
        <v>179</v>
      </c>
      <c r="L1362" t="str">
        <f>_xlfn.XLOOKUP(C1362, Table2[Species],Table2[Genus], "Code Not Found")</f>
        <v>Acer</v>
      </c>
      <c r="M1362" t="str">
        <f>_xlfn.XLOOKUP(C1362, Table2[Species],Table2[Sp. Name], "Code Not Found")</f>
        <v>saccharum</v>
      </c>
      <c r="N1362" t="str">
        <f>_xlfn.XLOOKUP(C1362,Table2[Species],Table2[Family],"Code Not Found")</f>
        <v>Sapindaceae</v>
      </c>
      <c r="O1362" t="str" cm="1">
        <f t="array" ref="O1362">_xlfn.IFS(F1362="","",F1362&lt;=5,"0 to 5",F1362&lt;=10,"5.1 to 10",F1362&lt;=20,"10 to 20", F1362&lt;= 40, "20 to 40", F1362 &lt;= 50, "40 to 50", F1362 &gt; 50, "&gt;50" )</f>
        <v>20 to 40</v>
      </c>
    </row>
    <row r="1363" spans="1:15" ht="14.4" x14ac:dyDescent="0.3">
      <c r="A1363" t="s">
        <v>240</v>
      </c>
      <c r="B1363" s="1">
        <v>46197</v>
      </c>
      <c r="C1363" t="s">
        <v>16</v>
      </c>
      <c r="D1363">
        <v>1240</v>
      </c>
      <c r="E1363">
        <v>1</v>
      </c>
      <c r="F1363">
        <v>5.2</v>
      </c>
      <c r="G1363" t="s">
        <v>17</v>
      </c>
      <c r="I1363" t="str">
        <f t="shared" si="23"/>
        <v>1240_1</v>
      </c>
      <c r="J1363" t="s">
        <v>241</v>
      </c>
      <c r="K1363" t="s">
        <v>179</v>
      </c>
      <c r="L1363" t="str">
        <f>_xlfn.XLOOKUP(C1363, Table2[Species],Table2[Genus], "Code Not Found")</f>
        <v>Acer</v>
      </c>
      <c r="M1363" t="str">
        <f>_xlfn.XLOOKUP(C1363, Table2[Species],Table2[Sp. Name], "Code Not Found")</f>
        <v>saccharum</v>
      </c>
      <c r="N1363" t="str">
        <f>_xlfn.XLOOKUP(C1363,Table2[Species],Table2[Family],"Code Not Found")</f>
        <v>Sapindaceae</v>
      </c>
      <c r="O1363" t="str" cm="1">
        <f t="array" ref="O1363">_xlfn.IFS(F1363="","",F1363&lt;=5,"0 to 5",F1363&lt;=10,"5.1 to 10",F1363&lt;=20,"10 to 20", F1363&lt;= 40, "20 to 40", F1363 &lt;= 50, "40 to 50", F1363 &gt; 50, "&gt;50" )</f>
        <v>5.1 to 10</v>
      </c>
    </row>
    <row r="1364" spans="1:15" ht="14.4" x14ac:dyDescent="0.3">
      <c r="A1364" t="s">
        <v>240</v>
      </c>
      <c r="B1364" s="1">
        <v>46197</v>
      </c>
      <c r="C1364" t="s">
        <v>16</v>
      </c>
      <c r="D1364">
        <v>1241</v>
      </c>
      <c r="E1364">
        <v>1</v>
      </c>
      <c r="F1364">
        <v>4</v>
      </c>
      <c r="G1364" t="s">
        <v>21</v>
      </c>
      <c r="I1364" t="str">
        <f t="shared" si="23"/>
        <v>1241_1</v>
      </c>
      <c r="J1364" t="s">
        <v>241</v>
      </c>
      <c r="K1364" t="s">
        <v>179</v>
      </c>
      <c r="L1364" t="str">
        <f>_xlfn.XLOOKUP(C1364, Table2[Species],Table2[Genus], "Code Not Found")</f>
        <v>Acer</v>
      </c>
      <c r="M1364" t="str">
        <f>_xlfn.XLOOKUP(C1364, Table2[Species],Table2[Sp. Name], "Code Not Found")</f>
        <v>saccharum</v>
      </c>
      <c r="N1364" t="str">
        <f>_xlfn.XLOOKUP(C1364,Table2[Species],Table2[Family],"Code Not Found")</f>
        <v>Sapindaceae</v>
      </c>
      <c r="O1364" t="str" cm="1">
        <f t="array" ref="O1364">_xlfn.IFS(F1364="","",F1364&lt;=5,"0 to 5",F1364&lt;=10,"5.1 to 10",F1364&lt;=20,"10 to 20", F1364&lt;= 40, "20 to 40", F1364 &lt;= 50, "40 to 50", F1364 &gt; 50, "&gt;50" )</f>
        <v>0 to 5</v>
      </c>
    </row>
    <row r="1365" spans="1:15" ht="14.4" x14ac:dyDescent="0.3">
      <c r="A1365" t="s">
        <v>240</v>
      </c>
      <c r="B1365" s="1">
        <v>46197</v>
      </c>
      <c r="C1365" t="s">
        <v>64</v>
      </c>
      <c r="D1365">
        <v>1242</v>
      </c>
      <c r="E1365">
        <v>1</v>
      </c>
      <c r="F1365">
        <v>6.5</v>
      </c>
      <c r="G1365" t="s">
        <v>47</v>
      </c>
      <c r="I1365" t="str">
        <f t="shared" si="23"/>
        <v>1242_1</v>
      </c>
      <c r="J1365" t="s">
        <v>241</v>
      </c>
      <c r="K1365" t="s">
        <v>179</v>
      </c>
      <c r="L1365" t="str">
        <f>_xlfn.XLOOKUP(C1365, Table2[Species],Table2[Genus], "Code Not Found")</f>
        <v>Fagus</v>
      </c>
      <c r="M1365" t="str">
        <f>_xlfn.XLOOKUP(C1365, Table2[Species],Table2[Sp. Name], "Code Not Found")</f>
        <v>grandifolia</v>
      </c>
      <c r="N1365" t="str">
        <f>_xlfn.XLOOKUP(C1365,Table2[Species],Table2[Family],"Code Not Found")</f>
        <v>Fagaceae</v>
      </c>
      <c r="O1365" t="str" cm="1">
        <f t="array" ref="O1365">_xlfn.IFS(F1365="","",F1365&lt;=5,"0 to 5",F1365&lt;=10,"5.1 to 10",F1365&lt;=20,"10 to 20", F1365&lt;= 40, "20 to 40", F1365 &lt;= 50, "40 to 50", F1365 &gt; 50, "&gt;50" )</f>
        <v>5.1 to 10</v>
      </c>
    </row>
    <row r="1366" spans="1:15" ht="14.4" x14ac:dyDescent="0.3">
      <c r="A1366" t="s">
        <v>240</v>
      </c>
      <c r="B1366" s="1">
        <v>46197</v>
      </c>
      <c r="C1366" t="s">
        <v>64</v>
      </c>
      <c r="D1366">
        <v>1243</v>
      </c>
      <c r="E1366">
        <v>1</v>
      </c>
      <c r="F1366">
        <v>8.5</v>
      </c>
      <c r="G1366" t="s">
        <v>17</v>
      </c>
      <c r="I1366" t="str">
        <f t="shared" si="23"/>
        <v>1243_1</v>
      </c>
      <c r="J1366" t="s">
        <v>241</v>
      </c>
      <c r="K1366" t="s">
        <v>179</v>
      </c>
      <c r="L1366" t="str">
        <f>_xlfn.XLOOKUP(C1366, Table2[Species],Table2[Genus], "Code Not Found")</f>
        <v>Fagus</v>
      </c>
      <c r="M1366" t="str">
        <f>_xlfn.XLOOKUP(C1366, Table2[Species],Table2[Sp. Name], "Code Not Found")</f>
        <v>grandifolia</v>
      </c>
      <c r="N1366" t="str">
        <f>_xlfn.XLOOKUP(C1366,Table2[Species],Table2[Family],"Code Not Found")</f>
        <v>Fagaceae</v>
      </c>
      <c r="O1366" t="str" cm="1">
        <f t="array" ref="O1366">_xlfn.IFS(F1366="","",F1366&lt;=5,"0 to 5",F1366&lt;=10,"5.1 to 10",F1366&lt;=20,"10 to 20", F1366&lt;= 40, "20 to 40", F1366 &lt;= 50, "40 to 50", F1366 &gt; 50, "&gt;50" )</f>
        <v>5.1 to 10</v>
      </c>
    </row>
    <row r="1367" spans="1:15" ht="14.4" x14ac:dyDescent="0.3">
      <c r="A1367" t="s">
        <v>240</v>
      </c>
      <c r="B1367" s="1">
        <v>46197</v>
      </c>
      <c r="C1367" t="s">
        <v>16</v>
      </c>
      <c r="D1367">
        <v>1244</v>
      </c>
      <c r="E1367">
        <v>1</v>
      </c>
      <c r="F1367">
        <v>7.9</v>
      </c>
      <c r="G1367" t="s">
        <v>47</v>
      </c>
      <c r="I1367" t="str">
        <f t="shared" si="23"/>
        <v>1244_1</v>
      </c>
      <c r="J1367" t="s">
        <v>241</v>
      </c>
      <c r="K1367" t="s">
        <v>179</v>
      </c>
      <c r="L1367" t="str">
        <f>_xlfn.XLOOKUP(C1367, Table2[Species],Table2[Genus], "Code Not Found")</f>
        <v>Acer</v>
      </c>
      <c r="M1367" t="str">
        <f>_xlfn.XLOOKUP(C1367, Table2[Species],Table2[Sp. Name], "Code Not Found")</f>
        <v>saccharum</v>
      </c>
      <c r="N1367" t="str">
        <f>_xlfn.XLOOKUP(C1367,Table2[Species],Table2[Family],"Code Not Found")</f>
        <v>Sapindaceae</v>
      </c>
      <c r="O1367" t="str" cm="1">
        <f t="array" ref="O1367">_xlfn.IFS(F1367="","",F1367&lt;=5,"0 to 5",F1367&lt;=10,"5.1 to 10",F1367&lt;=20,"10 to 20", F1367&lt;= 40, "20 to 40", F1367 &lt;= 50, "40 to 50", F1367 &gt; 50, "&gt;50" )</f>
        <v>5.1 to 10</v>
      </c>
    </row>
    <row r="1368" spans="1:15" ht="14.4" x14ac:dyDescent="0.3">
      <c r="A1368" t="s">
        <v>240</v>
      </c>
      <c r="B1368" s="1">
        <v>46197</v>
      </c>
      <c r="C1368" t="s">
        <v>16</v>
      </c>
      <c r="D1368">
        <v>1245</v>
      </c>
      <c r="E1368">
        <v>1</v>
      </c>
      <c r="F1368">
        <v>34.299999999999997</v>
      </c>
      <c r="G1368" t="s">
        <v>56</v>
      </c>
      <c r="I1368" t="str">
        <f t="shared" si="23"/>
        <v>1245_1</v>
      </c>
      <c r="J1368" t="s">
        <v>241</v>
      </c>
      <c r="K1368" t="s">
        <v>179</v>
      </c>
      <c r="L1368" t="str">
        <f>_xlfn.XLOOKUP(C1368, Table2[Species],Table2[Genus], "Code Not Found")</f>
        <v>Acer</v>
      </c>
      <c r="M1368" t="str">
        <f>_xlfn.XLOOKUP(C1368, Table2[Species],Table2[Sp. Name], "Code Not Found")</f>
        <v>saccharum</v>
      </c>
      <c r="N1368" t="str">
        <f>_xlfn.XLOOKUP(C1368,Table2[Species],Table2[Family],"Code Not Found")</f>
        <v>Sapindaceae</v>
      </c>
      <c r="O1368" t="str" cm="1">
        <f t="array" ref="O1368">_xlfn.IFS(F1368="","",F1368&lt;=5,"0 to 5",F1368&lt;=10,"5.1 to 10",F1368&lt;=20,"10 to 20", F1368&lt;= 40, "20 to 40", F1368 &lt;= 50, "40 to 50", F1368 &gt; 50, "&gt;50" )</f>
        <v>20 to 40</v>
      </c>
    </row>
    <row r="1369" spans="1:15" ht="14.4" x14ac:dyDescent="0.3">
      <c r="A1369" t="s">
        <v>240</v>
      </c>
      <c r="B1369" s="1">
        <v>46197</v>
      </c>
      <c r="C1369" t="s">
        <v>16</v>
      </c>
      <c r="D1369">
        <v>1246</v>
      </c>
      <c r="E1369">
        <v>1</v>
      </c>
      <c r="F1369">
        <v>4.4000000000000004</v>
      </c>
      <c r="G1369" t="s">
        <v>21</v>
      </c>
      <c r="I1369" t="str">
        <f t="shared" si="23"/>
        <v>1246_1</v>
      </c>
      <c r="J1369" t="s">
        <v>241</v>
      </c>
      <c r="K1369" t="s">
        <v>179</v>
      </c>
      <c r="L1369" t="str">
        <f>_xlfn.XLOOKUP(C1369, Table2[Species],Table2[Genus], "Code Not Found")</f>
        <v>Acer</v>
      </c>
      <c r="M1369" t="str">
        <f>_xlfn.XLOOKUP(C1369, Table2[Species],Table2[Sp. Name], "Code Not Found")</f>
        <v>saccharum</v>
      </c>
      <c r="N1369" t="str">
        <f>_xlfn.XLOOKUP(C1369,Table2[Species],Table2[Family],"Code Not Found")</f>
        <v>Sapindaceae</v>
      </c>
      <c r="O1369" t="str" cm="1">
        <f t="array" ref="O1369">_xlfn.IFS(F1369="","",F1369&lt;=5,"0 to 5",F1369&lt;=10,"5.1 to 10",F1369&lt;=20,"10 to 20", F1369&lt;= 40, "20 to 40", F1369 &lt;= 50, "40 to 50", F1369 &gt; 50, "&gt;50" )</f>
        <v>0 to 5</v>
      </c>
    </row>
    <row r="1370" spans="1:15" ht="14.4" x14ac:dyDescent="0.3">
      <c r="A1370" t="s">
        <v>240</v>
      </c>
      <c r="B1370" s="1">
        <v>46197</v>
      </c>
      <c r="C1370" t="s">
        <v>16</v>
      </c>
      <c r="D1370">
        <v>1247</v>
      </c>
      <c r="E1370">
        <v>1</v>
      </c>
      <c r="F1370">
        <v>14.3</v>
      </c>
      <c r="G1370" t="s">
        <v>21</v>
      </c>
      <c r="I1370" t="str">
        <f t="shared" si="23"/>
        <v>1247_1</v>
      </c>
      <c r="J1370" t="s">
        <v>241</v>
      </c>
      <c r="K1370" t="s">
        <v>179</v>
      </c>
      <c r="L1370" t="str">
        <f>_xlfn.XLOOKUP(C1370, Table2[Species],Table2[Genus], "Code Not Found")</f>
        <v>Acer</v>
      </c>
      <c r="M1370" t="str">
        <f>_xlfn.XLOOKUP(C1370, Table2[Species],Table2[Sp. Name], "Code Not Found")</f>
        <v>saccharum</v>
      </c>
      <c r="N1370" t="str">
        <f>_xlfn.XLOOKUP(C1370,Table2[Species],Table2[Family],"Code Not Found")</f>
        <v>Sapindaceae</v>
      </c>
      <c r="O1370" t="str" cm="1">
        <f t="array" ref="O1370">_xlfn.IFS(F1370="","",F1370&lt;=5,"0 to 5",F1370&lt;=10,"5.1 to 10",F1370&lt;=20,"10 to 20", F1370&lt;= 40, "20 to 40", F1370 &lt;= 50, "40 to 50", F1370 &gt; 50, "&gt;50" )</f>
        <v>10 to 20</v>
      </c>
    </row>
    <row r="1371" spans="1:15" ht="14.4" x14ac:dyDescent="0.3">
      <c r="A1371" t="s">
        <v>240</v>
      </c>
      <c r="B1371" s="1">
        <v>46197</v>
      </c>
      <c r="C1371" t="s">
        <v>16</v>
      </c>
      <c r="D1371">
        <v>1248</v>
      </c>
      <c r="E1371">
        <v>1</v>
      </c>
      <c r="F1371">
        <v>23</v>
      </c>
      <c r="G1371" t="s">
        <v>17</v>
      </c>
      <c r="I1371" t="str">
        <f t="shared" si="23"/>
        <v>1248_1</v>
      </c>
      <c r="J1371" t="s">
        <v>241</v>
      </c>
      <c r="K1371" t="s">
        <v>179</v>
      </c>
      <c r="L1371" t="str">
        <f>_xlfn.XLOOKUP(C1371, Table2[Species],Table2[Genus], "Code Not Found")</f>
        <v>Acer</v>
      </c>
      <c r="M1371" t="str">
        <f>_xlfn.XLOOKUP(C1371, Table2[Species],Table2[Sp. Name], "Code Not Found")</f>
        <v>saccharum</v>
      </c>
      <c r="N1371" t="str">
        <f>_xlfn.XLOOKUP(C1371,Table2[Species],Table2[Family],"Code Not Found")</f>
        <v>Sapindaceae</v>
      </c>
      <c r="O1371" t="str" cm="1">
        <f t="array" ref="O1371">_xlfn.IFS(F1371="","",F1371&lt;=5,"0 to 5",F1371&lt;=10,"5.1 to 10",F1371&lt;=20,"10 to 20", F1371&lt;= 40, "20 to 40", F1371 &lt;= 50, "40 to 50", F1371 &gt; 50, "&gt;50" )</f>
        <v>20 to 40</v>
      </c>
    </row>
    <row r="1372" spans="1:15" ht="14.4" x14ac:dyDescent="0.3">
      <c r="A1372" t="s">
        <v>240</v>
      </c>
      <c r="B1372" s="1">
        <v>46197</v>
      </c>
      <c r="C1372" t="s">
        <v>64</v>
      </c>
      <c r="D1372">
        <v>1249</v>
      </c>
      <c r="E1372">
        <v>1</v>
      </c>
      <c r="F1372">
        <v>8.8000000000000007</v>
      </c>
      <c r="G1372" t="s">
        <v>17</v>
      </c>
      <c r="I1372" t="str">
        <f t="shared" si="23"/>
        <v>1249_1</v>
      </c>
      <c r="J1372" t="s">
        <v>241</v>
      </c>
      <c r="K1372" t="s">
        <v>179</v>
      </c>
      <c r="L1372" t="str">
        <f>_xlfn.XLOOKUP(C1372, Table2[Species],Table2[Genus], "Code Not Found")</f>
        <v>Fagus</v>
      </c>
      <c r="M1372" t="str">
        <f>_xlfn.XLOOKUP(C1372, Table2[Species],Table2[Sp. Name], "Code Not Found")</f>
        <v>grandifolia</v>
      </c>
      <c r="N1372" t="str">
        <f>_xlfn.XLOOKUP(C1372,Table2[Species],Table2[Family],"Code Not Found")</f>
        <v>Fagaceae</v>
      </c>
      <c r="O1372" t="str" cm="1">
        <f t="array" ref="O1372">_xlfn.IFS(F1372="","",F1372&lt;=5,"0 to 5",F1372&lt;=10,"5.1 to 10",F1372&lt;=20,"10 to 20", F1372&lt;= 40, "20 to 40", F1372 &lt;= 50, "40 to 50", F1372 &gt; 50, "&gt;50" )</f>
        <v>5.1 to 10</v>
      </c>
    </row>
    <row r="1373" spans="1:15" ht="14.4" x14ac:dyDescent="0.3">
      <c r="A1373" t="s">
        <v>240</v>
      </c>
      <c r="B1373" s="1">
        <v>46197</v>
      </c>
      <c r="C1373" t="s">
        <v>64</v>
      </c>
      <c r="D1373">
        <v>1250</v>
      </c>
      <c r="E1373">
        <v>1</v>
      </c>
      <c r="F1373">
        <v>9</v>
      </c>
      <c r="G1373" t="s">
        <v>17</v>
      </c>
      <c r="I1373" t="str">
        <f t="shared" si="23"/>
        <v>1250_1</v>
      </c>
      <c r="J1373" t="s">
        <v>241</v>
      </c>
      <c r="K1373" t="s">
        <v>179</v>
      </c>
      <c r="L1373" t="str">
        <f>_xlfn.XLOOKUP(C1373, Table2[Species],Table2[Genus], "Code Not Found")</f>
        <v>Fagus</v>
      </c>
      <c r="M1373" t="str">
        <f>_xlfn.XLOOKUP(C1373, Table2[Species],Table2[Sp. Name], "Code Not Found")</f>
        <v>grandifolia</v>
      </c>
      <c r="N1373" t="str">
        <f>_xlfn.XLOOKUP(C1373,Table2[Species],Table2[Family],"Code Not Found")</f>
        <v>Fagaceae</v>
      </c>
      <c r="O1373" t="str" cm="1">
        <f t="array" ref="O1373">_xlfn.IFS(F1373="","",F1373&lt;=5,"0 to 5",F1373&lt;=10,"5.1 to 10",F1373&lt;=20,"10 to 20", F1373&lt;= 40, "20 to 40", F1373 &lt;= 50, "40 to 50", F1373 &gt; 50, "&gt;50" )</f>
        <v>5.1 to 10</v>
      </c>
    </row>
    <row r="1374" spans="1:15" ht="14.4" x14ac:dyDescent="0.3">
      <c r="A1374" t="s">
        <v>240</v>
      </c>
      <c r="B1374" s="1">
        <v>46197</v>
      </c>
      <c r="C1374" t="s">
        <v>64</v>
      </c>
      <c r="D1374">
        <v>1251</v>
      </c>
      <c r="E1374">
        <v>1</v>
      </c>
      <c r="F1374">
        <v>5.8</v>
      </c>
      <c r="G1374" t="s">
        <v>17</v>
      </c>
      <c r="I1374" t="str">
        <f t="shared" si="23"/>
        <v>1251_1</v>
      </c>
      <c r="J1374" t="s">
        <v>241</v>
      </c>
      <c r="K1374" t="s">
        <v>179</v>
      </c>
      <c r="L1374" t="str">
        <f>_xlfn.XLOOKUP(C1374, Table2[Species],Table2[Genus], "Code Not Found")</f>
        <v>Fagus</v>
      </c>
      <c r="M1374" t="str">
        <f>_xlfn.XLOOKUP(C1374, Table2[Species],Table2[Sp. Name], "Code Not Found")</f>
        <v>grandifolia</v>
      </c>
      <c r="N1374" t="str">
        <f>_xlfn.XLOOKUP(C1374,Table2[Species],Table2[Family],"Code Not Found")</f>
        <v>Fagaceae</v>
      </c>
      <c r="O1374" t="str" cm="1">
        <f t="array" ref="O1374">_xlfn.IFS(F1374="","",F1374&lt;=5,"0 to 5",F1374&lt;=10,"5.1 to 10",F1374&lt;=20,"10 to 20", F1374&lt;= 40, "20 to 40", F1374 &lt;= 50, "40 to 50", F1374 &gt; 50, "&gt;50" )</f>
        <v>5.1 to 10</v>
      </c>
    </row>
    <row r="1375" spans="1:15" ht="14.4" x14ac:dyDescent="0.3">
      <c r="A1375" t="s">
        <v>240</v>
      </c>
      <c r="B1375" s="1">
        <v>46197</v>
      </c>
      <c r="C1375" t="s">
        <v>16</v>
      </c>
      <c r="D1375">
        <v>1252</v>
      </c>
      <c r="E1375">
        <v>1</v>
      </c>
      <c r="F1375">
        <v>11.3</v>
      </c>
      <c r="G1375" t="s">
        <v>21</v>
      </c>
      <c r="I1375" t="str">
        <f t="shared" si="23"/>
        <v>1252_1</v>
      </c>
      <c r="J1375" t="s">
        <v>241</v>
      </c>
      <c r="K1375" t="s">
        <v>179</v>
      </c>
      <c r="L1375" t="str">
        <f>_xlfn.XLOOKUP(C1375, Table2[Species],Table2[Genus], "Code Not Found")</f>
        <v>Acer</v>
      </c>
      <c r="M1375" t="str">
        <f>_xlfn.XLOOKUP(C1375, Table2[Species],Table2[Sp. Name], "Code Not Found")</f>
        <v>saccharum</v>
      </c>
      <c r="N1375" t="str">
        <f>_xlfn.XLOOKUP(C1375,Table2[Species],Table2[Family],"Code Not Found")</f>
        <v>Sapindaceae</v>
      </c>
      <c r="O1375" t="str" cm="1">
        <f t="array" ref="O1375">_xlfn.IFS(F1375="","",F1375&lt;=5,"0 to 5",F1375&lt;=10,"5.1 to 10",F1375&lt;=20,"10 to 20", F1375&lt;= 40, "20 to 40", F1375 &lt;= 50, "40 to 50", F1375 &gt; 50, "&gt;50" )</f>
        <v>10 to 20</v>
      </c>
    </row>
    <row r="1376" spans="1:15" ht="14.4" x14ac:dyDescent="0.3">
      <c r="A1376" t="s">
        <v>240</v>
      </c>
      <c r="B1376" s="1">
        <v>46197</v>
      </c>
      <c r="C1376" t="s">
        <v>16</v>
      </c>
      <c r="D1376">
        <v>1253</v>
      </c>
      <c r="E1376">
        <v>1</v>
      </c>
      <c r="F1376">
        <v>25.2</v>
      </c>
      <c r="G1376" t="s">
        <v>21</v>
      </c>
      <c r="I1376" t="str">
        <f t="shared" si="23"/>
        <v>1253_1</v>
      </c>
      <c r="J1376" t="s">
        <v>241</v>
      </c>
      <c r="K1376" t="s">
        <v>179</v>
      </c>
      <c r="L1376" t="str">
        <f>_xlfn.XLOOKUP(C1376, Table2[Species],Table2[Genus], "Code Not Found")</f>
        <v>Acer</v>
      </c>
      <c r="M1376" t="str">
        <f>_xlfn.XLOOKUP(C1376, Table2[Species],Table2[Sp. Name], "Code Not Found")</f>
        <v>saccharum</v>
      </c>
      <c r="N1376" t="str">
        <f>_xlfn.XLOOKUP(C1376,Table2[Species],Table2[Family],"Code Not Found")</f>
        <v>Sapindaceae</v>
      </c>
      <c r="O1376" t="str" cm="1">
        <f t="array" ref="O1376">_xlfn.IFS(F1376="","",F1376&lt;=5,"0 to 5",F1376&lt;=10,"5.1 to 10",F1376&lt;=20,"10 to 20", F1376&lt;= 40, "20 to 40", F1376 &lt;= 50, "40 to 50", F1376 &gt; 50, "&gt;50" )</f>
        <v>20 to 40</v>
      </c>
    </row>
    <row r="1377" spans="1:15" ht="14.4" x14ac:dyDescent="0.3">
      <c r="A1377" t="s">
        <v>240</v>
      </c>
      <c r="B1377" s="1">
        <v>46197</v>
      </c>
      <c r="C1377" t="s">
        <v>64</v>
      </c>
      <c r="D1377">
        <v>1254</v>
      </c>
      <c r="E1377">
        <v>1</v>
      </c>
      <c r="F1377">
        <v>5.6</v>
      </c>
      <c r="G1377" t="s">
        <v>17</v>
      </c>
      <c r="I1377" t="str">
        <f t="shared" si="23"/>
        <v>1254_1</v>
      </c>
      <c r="J1377" t="s">
        <v>241</v>
      </c>
      <c r="K1377" t="s">
        <v>179</v>
      </c>
      <c r="L1377" t="str">
        <f>_xlfn.XLOOKUP(C1377, Table2[Species],Table2[Genus], "Code Not Found")</f>
        <v>Fagus</v>
      </c>
      <c r="M1377" t="str">
        <f>_xlfn.XLOOKUP(C1377, Table2[Species],Table2[Sp. Name], "Code Not Found")</f>
        <v>grandifolia</v>
      </c>
      <c r="N1377" t="str">
        <f>_xlfn.XLOOKUP(C1377,Table2[Species],Table2[Family],"Code Not Found")</f>
        <v>Fagaceae</v>
      </c>
      <c r="O1377" t="str" cm="1">
        <f t="array" ref="O1377">_xlfn.IFS(F1377="","",F1377&lt;=5,"0 to 5",F1377&lt;=10,"5.1 to 10",F1377&lt;=20,"10 to 20", F1377&lt;= 40, "20 to 40", F1377 &lt;= 50, "40 to 50", F1377 &gt; 50, "&gt;50" )</f>
        <v>5.1 to 10</v>
      </c>
    </row>
    <row r="1378" spans="1:15" ht="14.4" x14ac:dyDescent="0.3">
      <c r="A1378" t="s">
        <v>240</v>
      </c>
      <c r="B1378" s="1">
        <v>46197</v>
      </c>
      <c r="C1378" t="s">
        <v>22</v>
      </c>
      <c r="D1378">
        <v>1255</v>
      </c>
      <c r="E1378">
        <v>1</v>
      </c>
      <c r="F1378">
        <v>51.3</v>
      </c>
      <c r="G1378" t="s">
        <v>103</v>
      </c>
      <c r="I1378" t="str">
        <f t="shared" si="23"/>
        <v>1255_1</v>
      </c>
      <c r="J1378" t="s">
        <v>241</v>
      </c>
      <c r="K1378" t="s">
        <v>179</v>
      </c>
      <c r="L1378" t="str">
        <f>_xlfn.XLOOKUP(C1378, Table2[Species],Table2[Genus], "Code Not Found")</f>
        <v>Acer</v>
      </c>
      <c r="M1378" t="str">
        <f>_xlfn.XLOOKUP(C1378, Table2[Species],Table2[Sp. Name], "Code Not Found")</f>
        <v>rubrum</v>
      </c>
      <c r="N1378" t="str">
        <f>_xlfn.XLOOKUP(C1378,Table2[Species],Table2[Family],"Code Not Found")</f>
        <v>Sapindaceae</v>
      </c>
      <c r="O1378" t="str" cm="1">
        <f t="array" ref="O1378">_xlfn.IFS(F1378="","",F1378&lt;=5,"0 to 5",F1378&lt;=10,"5.1 to 10",F1378&lt;=20,"10 to 20", F1378&lt;= 40, "20 to 40", F1378 &lt;= 50, "40 to 50", F1378 &gt; 50, "&gt;50" )</f>
        <v>&gt;50</v>
      </c>
    </row>
    <row r="1379" spans="1:15" ht="14.4" x14ac:dyDescent="0.3">
      <c r="A1379" t="s">
        <v>240</v>
      </c>
      <c r="B1379" s="1">
        <v>46197</v>
      </c>
      <c r="C1379" t="s">
        <v>16</v>
      </c>
      <c r="D1379">
        <v>1256</v>
      </c>
      <c r="E1379">
        <v>1</v>
      </c>
      <c r="F1379">
        <v>4.3</v>
      </c>
      <c r="G1379" t="s">
        <v>47</v>
      </c>
      <c r="H1379" t="s">
        <v>43</v>
      </c>
      <c r="I1379" t="str">
        <f t="shared" ref="I1379:I1442" si="24">D1379&amp;"_"&amp;E1379</f>
        <v>1256_1</v>
      </c>
      <c r="J1379" t="s">
        <v>241</v>
      </c>
      <c r="K1379" t="s">
        <v>179</v>
      </c>
      <c r="L1379" t="str">
        <f>_xlfn.XLOOKUP(C1379, Table2[Species],Table2[Genus], "Code Not Found")</f>
        <v>Acer</v>
      </c>
      <c r="M1379" t="str">
        <f>_xlfn.XLOOKUP(C1379, Table2[Species],Table2[Sp. Name], "Code Not Found")</f>
        <v>saccharum</v>
      </c>
      <c r="N1379" t="str">
        <f>_xlfn.XLOOKUP(C1379,Table2[Species],Table2[Family],"Code Not Found")</f>
        <v>Sapindaceae</v>
      </c>
      <c r="O1379" t="str" cm="1">
        <f t="array" ref="O1379">_xlfn.IFS(F1379="","",F1379&lt;=5,"0 to 5",F1379&lt;=10,"5.1 to 10",F1379&lt;=20,"10 to 20", F1379&lt;= 40, "20 to 40", F1379 &lt;= 50, "40 to 50", F1379 &gt; 50, "&gt;50" )</f>
        <v>0 to 5</v>
      </c>
    </row>
    <row r="1380" spans="1:15" ht="14.4" x14ac:dyDescent="0.3">
      <c r="A1380" t="s">
        <v>240</v>
      </c>
      <c r="B1380" s="1">
        <v>46197</v>
      </c>
      <c r="C1380" t="s">
        <v>16</v>
      </c>
      <c r="D1380">
        <v>1257</v>
      </c>
      <c r="E1380">
        <v>1</v>
      </c>
      <c r="F1380">
        <v>37.799999999999997</v>
      </c>
      <c r="G1380" t="s">
        <v>21</v>
      </c>
      <c r="I1380" t="str">
        <f t="shared" si="24"/>
        <v>1257_1</v>
      </c>
      <c r="J1380" t="s">
        <v>241</v>
      </c>
      <c r="K1380" t="s">
        <v>179</v>
      </c>
      <c r="L1380" t="str">
        <f>_xlfn.XLOOKUP(C1380, Table2[Species],Table2[Genus], "Code Not Found")</f>
        <v>Acer</v>
      </c>
      <c r="M1380" t="str">
        <f>_xlfn.XLOOKUP(C1380, Table2[Species],Table2[Sp. Name], "Code Not Found")</f>
        <v>saccharum</v>
      </c>
      <c r="N1380" t="str">
        <f>_xlfn.XLOOKUP(C1380,Table2[Species],Table2[Family],"Code Not Found")</f>
        <v>Sapindaceae</v>
      </c>
      <c r="O1380" t="str" cm="1">
        <f t="array" ref="O1380">_xlfn.IFS(F1380="","",F1380&lt;=5,"0 to 5",F1380&lt;=10,"5.1 to 10",F1380&lt;=20,"10 to 20", F1380&lt;= 40, "20 to 40", F1380 &lt;= 50, "40 to 50", F1380 &gt; 50, "&gt;50" )</f>
        <v>20 to 40</v>
      </c>
    </row>
    <row r="1381" spans="1:15" ht="14.4" x14ac:dyDescent="0.3">
      <c r="A1381" t="s">
        <v>240</v>
      </c>
      <c r="B1381" s="1">
        <v>46197</v>
      </c>
      <c r="C1381" t="s">
        <v>16</v>
      </c>
      <c r="D1381">
        <v>1258</v>
      </c>
      <c r="E1381">
        <v>1</v>
      </c>
      <c r="F1381">
        <v>8.1999999999999993</v>
      </c>
      <c r="G1381" t="s">
        <v>21</v>
      </c>
      <c r="I1381" t="str">
        <f t="shared" si="24"/>
        <v>1258_1</v>
      </c>
      <c r="J1381" t="s">
        <v>241</v>
      </c>
      <c r="K1381" t="s">
        <v>179</v>
      </c>
      <c r="L1381" t="str">
        <f>_xlfn.XLOOKUP(C1381, Table2[Species],Table2[Genus], "Code Not Found")</f>
        <v>Acer</v>
      </c>
      <c r="M1381" t="str">
        <f>_xlfn.XLOOKUP(C1381, Table2[Species],Table2[Sp. Name], "Code Not Found")</f>
        <v>saccharum</v>
      </c>
      <c r="N1381" t="str">
        <f>_xlfn.XLOOKUP(C1381,Table2[Species],Table2[Family],"Code Not Found")</f>
        <v>Sapindaceae</v>
      </c>
      <c r="O1381" t="str" cm="1">
        <f t="array" ref="O1381">_xlfn.IFS(F1381="","",F1381&lt;=5,"0 to 5",F1381&lt;=10,"5.1 to 10",F1381&lt;=20,"10 to 20", F1381&lt;= 40, "20 to 40", F1381 &lt;= 50, "40 to 50", F1381 &gt; 50, "&gt;50" )</f>
        <v>5.1 to 10</v>
      </c>
    </row>
    <row r="1382" spans="1:15" ht="14.4" x14ac:dyDescent="0.3">
      <c r="A1382" t="s">
        <v>240</v>
      </c>
      <c r="B1382" s="1">
        <v>46198</v>
      </c>
      <c r="C1382" t="s">
        <v>16</v>
      </c>
      <c r="D1382">
        <v>1259</v>
      </c>
      <c r="E1382">
        <v>1</v>
      </c>
      <c r="F1382">
        <v>57.5</v>
      </c>
      <c r="G1382" t="s">
        <v>17</v>
      </c>
      <c r="I1382" t="str">
        <f t="shared" si="24"/>
        <v>1259_1</v>
      </c>
      <c r="J1382" t="s">
        <v>241</v>
      </c>
      <c r="K1382" t="s">
        <v>179</v>
      </c>
      <c r="L1382" t="str">
        <f>_xlfn.XLOOKUP(C1382, Table2[Species],Table2[Genus], "Code Not Found")</f>
        <v>Acer</v>
      </c>
      <c r="M1382" t="str">
        <f>_xlfn.XLOOKUP(C1382, Table2[Species],Table2[Sp. Name], "Code Not Found")</f>
        <v>saccharum</v>
      </c>
      <c r="N1382" t="str">
        <f>_xlfn.XLOOKUP(C1382,Table2[Species],Table2[Family],"Code Not Found")</f>
        <v>Sapindaceae</v>
      </c>
      <c r="O1382" t="str" cm="1">
        <f t="array" ref="O1382">_xlfn.IFS(F1382="","",F1382&lt;=5,"0 to 5",F1382&lt;=10,"5.1 to 10",F1382&lt;=20,"10 to 20", F1382&lt;= 40, "20 to 40", F1382 &lt;= 50, "40 to 50", F1382 &gt; 50, "&gt;50" )</f>
        <v>&gt;50</v>
      </c>
    </row>
    <row r="1383" spans="1:15" ht="14.4" x14ac:dyDescent="0.3">
      <c r="A1383" t="s">
        <v>240</v>
      </c>
      <c r="B1383" s="1">
        <v>46198</v>
      </c>
      <c r="C1383" t="s">
        <v>16</v>
      </c>
      <c r="D1383">
        <v>1260</v>
      </c>
      <c r="E1383">
        <v>1</v>
      </c>
      <c r="F1383">
        <v>5.2</v>
      </c>
      <c r="G1383" t="s">
        <v>47</v>
      </c>
      <c r="H1383" t="s">
        <v>286</v>
      </c>
      <c r="I1383" t="str">
        <f t="shared" si="24"/>
        <v>1260_1</v>
      </c>
      <c r="J1383" t="s">
        <v>241</v>
      </c>
      <c r="K1383" t="s">
        <v>179</v>
      </c>
      <c r="L1383" t="str">
        <f>_xlfn.XLOOKUP(C1383, Table2[Species],Table2[Genus], "Code Not Found")</f>
        <v>Acer</v>
      </c>
      <c r="M1383" t="str">
        <f>_xlfn.XLOOKUP(C1383, Table2[Species],Table2[Sp. Name], "Code Not Found")</f>
        <v>saccharum</v>
      </c>
      <c r="N1383" t="str">
        <f>_xlfn.XLOOKUP(C1383,Table2[Species],Table2[Family],"Code Not Found")</f>
        <v>Sapindaceae</v>
      </c>
      <c r="O1383" t="str" cm="1">
        <f t="array" ref="O1383">_xlfn.IFS(F1383="","",F1383&lt;=5,"0 to 5",F1383&lt;=10,"5.1 to 10",F1383&lt;=20,"10 to 20", F1383&lt;= 40, "20 to 40", F1383 &lt;= 50, "40 to 50", F1383 &gt; 50, "&gt;50" )</f>
        <v>5.1 to 10</v>
      </c>
    </row>
    <row r="1384" spans="1:15" ht="14.4" x14ac:dyDescent="0.3">
      <c r="A1384" t="s">
        <v>240</v>
      </c>
      <c r="B1384" s="1">
        <v>46198</v>
      </c>
      <c r="C1384" t="s">
        <v>16</v>
      </c>
      <c r="D1384">
        <v>1261</v>
      </c>
      <c r="E1384">
        <v>1</v>
      </c>
      <c r="F1384">
        <v>4.3</v>
      </c>
      <c r="G1384" t="s">
        <v>47</v>
      </c>
      <c r="H1384" t="s">
        <v>43</v>
      </c>
      <c r="I1384" t="str">
        <f t="shared" si="24"/>
        <v>1261_1</v>
      </c>
      <c r="J1384" t="s">
        <v>241</v>
      </c>
      <c r="K1384" t="s">
        <v>179</v>
      </c>
      <c r="L1384" t="str">
        <f>_xlfn.XLOOKUP(C1384, Table2[Species],Table2[Genus], "Code Not Found")</f>
        <v>Acer</v>
      </c>
      <c r="M1384" t="str">
        <f>_xlfn.XLOOKUP(C1384, Table2[Species],Table2[Sp. Name], "Code Not Found")</f>
        <v>saccharum</v>
      </c>
      <c r="N1384" t="str">
        <f>_xlfn.XLOOKUP(C1384,Table2[Species],Table2[Family],"Code Not Found")</f>
        <v>Sapindaceae</v>
      </c>
      <c r="O1384" t="str" cm="1">
        <f t="array" ref="O1384">_xlfn.IFS(F1384="","",F1384&lt;=5,"0 to 5",F1384&lt;=10,"5.1 to 10",F1384&lt;=20,"10 to 20", F1384&lt;= 40, "20 to 40", F1384 &lt;= 50, "40 to 50", F1384 &gt; 50, "&gt;50" )</f>
        <v>0 to 5</v>
      </c>
    </row>
    <row r="1385" spans="1:15" ht="14.4" x14ac:dyDescent="0.3">
      <c r="A1385" t="s">
        <v>240</v>
      </c>
      <c r="B1385" s="1">
        <v>46198</v>
      </c>
      <c r="C1385" t="s">
        <v>16</v>
      </c>
      <c r="D1385">
        <v>1262</v>
      </c>
      <c r="E1385">
        <v>1</v>
      </c>
      <c r="F1385">
        <v>9.6</v>
      </c>
      <c r="G1385" t="s">
        <v>30</v>
      </c>
      <c r="H1385" t="s">
        <v>287</v>
      </c>
      <c r="I1385" t="str">
        <f t="shared" si="24"/>
        <v>1262_1</v>
      </c>
      <c r="J1385" t="s">
        <v>241</v>
      </c>
      <c r="K1385" t="s">
        <v>179</v>
      </c>
      <c r="L1385" t="str">
        <f>_xlfn.XLOOKUP(C1385, Table2[Species],Table2[Genus], "Code Not Found")</f>
        <v>Acer</v>
      </c>
      <c r="M1385" t="str">
        <f>_xlfn.XLOOKUP(C1385, Table2[Species],Table2[Sp. Name], "Code Not Found")</f>
        <v>saccharum</v>
      </c>
      <c r="N1385" t="str">
        <f>_xlfn.XLOOKUP(C1385,Table2[Species],Table2[Family],"Code Not Found")</f>
        <v>Sapindaceae</v>
      </c>
      <c r="O1385" t="str" cm="1">
        <f t="array" ref="O1385">_xlfn.IFS(F1385="","",F1385&lt;=5,"0 to 5",F1385&lt;=10,"5.1 to 10",F1385&lt;=20,"10 to 20", F1385&lt;= 40, "20 to 40", F1385 &lt;= 50, "40 to 50", F1385 &gt; 50, "&gt;50" )</f>
        <v>5.1 to 10</v>
      </c>
    </row>
    <row r="1386" spans="1:15" ht="14.4" x14ac:dyDescent="0.3">
      <c r="A1386" t="s">
        <v>240</v>
      </c>
      <c r="B1386" s="1">
        <v>46198</v>
      </c>
      <c r="C1386" t="s">
        <v>16</v>
      </c>
      <c r="D1386">
        <v>1263</v>
      </c>
      <c r="E1386">
        <v>1</v>
      </c>
      <c r="F1386">
        <v>6.8</v>
      </c>
      <c r="G1386" t="s">
        <v>88</v>
      </c>
      <c r="H1386" t="s">
        <v>288</v>
      </c>
      <c r="I1386" t="str">
        <f t="shared" si="24"/>
        <v>1263_1</v>
      </c>
      <c r="J1386" t="s">
        <v>241</v>
      </c>
      <c r="K1386" t="s">
        <v>179</v>
      </c>
      <c r="L1386" t="str">
        <f>_xlfn.XLOOKUP(C1386, Table2[Species],Table2[Genus], "Code Not Found")</f>
        <v>Acer</v>
      </c>
      <c r="M1386" t="str">
        <f>_xlfn.XLOOKUP(C1386, Table2[Species],Table2[Sp. Name], "Code Not Found")</f>
        <v>saccharum</v>
      </c>
      <c r="N1386" t="str">
        <f>_xlfn.XLOOKUP(C1386,Table2[Species],Table2[Family],"Code Not Found")</f>
        <v>Sapindaceae</v>
      </c>
      <c r="O1386" t="str" cm="1">
        <f t="array" ref="O1386">_xlfn.IFS(F1386="","",F1386&lt;=5,"0 to 5",F1386&lt;=10,"5.1 to 10",F1386&lt;=20,"10 to 20", F1386&lt;= 40, "20 to 40", F1386 &lt;= 50, "40 to 50", F1386 &gt; 50, "&gt;50" )</f>
        <v>5.1 to 10</v>
      </c>
    </row>
    <row r="1387" spans="1:15" ht="14.4" x14ac:dyDescent="0.3">
      <c r="A1387" t="s">
        <v>240</v>
      </c>
      <c r="B1387" s="1">
        <v>46198</v>
      </c>
      <c r="C1387" t="s">
        <v>16</v>
      </c>
      <c r="D1387">
        <v>1264</v>
      </c>
      <c r="E1387">
        <v>1</v>
      </c>
      <c r="F1387">
        <v>6</v>
      </c>
      <c r="G1387" t="s">
        <v>88</v>
      </c>
      <c r="H1387" t="s">
        <v>287</v>
      </c>
      <c r="I1387" t="str">
        <f t="shared" si="24"/>
        <v>1264_1</v>
      </c>
      <c r="J1387" t="s">
        <v>241</v>
      </c>
      <c r="K1387" t="s">
        <v>179</v>
      </c>
      <c r="L1387" t="str">
        <f>_xlfn.XLOOKUP(C1387, Table2[Species],Table2[Genus], "Code Not Found")</f>
        <v>Acer</v>
      </c>
      <c r="M1387" t="str">
        <f>_xlfn.XLOOKUP(C1387, Table2[Species],Table2[Sp. Name], "Code Not Found")</f>
        <v>saccharum</v>
      </c>
      <c r="N1387" t="str">
        <f>_xlfn.XLOOKUP(C1387,Table2[Species],Table2[Family],"Code Not Found")</f>
        <v>Sapindaceae</v>
      </c>
      <c r="O1387" t="str" cm="1">
        <f t="array" ref="O1387">_xlfn.IFS(F1387="","",F1387&lt;=5,"0 to 5",F1387&lt;=10,"5.1 to 10",F1387&lt;=20,"10 to 20", F1387&lt;= 40, "20 to 40", F1387 &lt;= 50, "40 to 50", F1387 &gt; 50, "&gt;50" )</f>
        <v>5.1 to 10</v>
      </c>
    </row>
    <row r="1388" spans="1:15" ht="14.4" x14ac:dyDescent="0.3">
      <c r="A1388" t="s">
        <v>240</v>
      </c>
      <c r="B1388" s="1">
        <v>46198</v>
      </c>
      <c r="C1388" t="s">
        <v>16</v>
      </c>
      <c r="D1388">
        <v>1265</v>
      </c>
      <c r="E1388">
        <v>1</v>
      </c>
      <c r="F1388">
        <v>11.1</v>
      </c>
      <c r="G1388" t="s">
        <v>17</v>
      </c>
      <c r="I1388" t="str">
        <f t="shared" si="24"/>
        <v>1265_1</v>
      </c>
      <c r="J1388" t="s">
        <v>241</v>
      </c>
      <c r="K1388" t="s">
        <v>179</v>
      </c>
      <c r="L1388" t="str">
        <f>_xlfn.XLOOKUP(C1388, Table2[Species],Table2[Genus], "Code Not Found")</f>
        <v>Acer</v>
      </c>
      <c r="M1388" t="str">
        <f>_xlfn.XLOOKUP(C1388, Table2[Species],Table2[Sp. Name], "Code Not Found")</f>
        <v>saccharum</v>
      </c>
      <c r="N1388" t="str">
        <f>_xlfn.XLOOKUP(C1388,Table2[Species],Table2[Family],"Code Not Found")</f>
        <v>Sapindaceae</v>
      </c>
      <c r="O1388" t="str" cm="1">
        <f t="array" ref="O1388">_xlfn.IFS(F1388="","",F1388&lt;=5,"0 to 5",F1388&lt;=10,"5.1 to 10",F1388&lt;=20,"10 to 20", F1388&lt;= 40, "20 to 40", F1388 &lt;= 50, "40 to 50", F1388 &gt; 50, "&gt;50" )</f>
        <v>10 to 20</v>
      </c>
    </row>
    <row r="1389" spans="1:15" ht="14.4" x14ac:dyDescent="0.3">
      <c r="A1389" t="s">
        <v>240</v>
      </c>
      <c r="B1389" s="1">
        <v>46198</v>
      </c>
      <c r="C1389" t="s">
        <v>16</v>
      </c>
      <c r="D1389">
        <v>1266</v>
      </c>
      <c r="E1389">
        <v>1</v>
      </c>
      <c r="F1389">
        <v>8.1</v>
      </c>
      <c r="G1389" t="s">
        <v>17</v>
      </c>
      <c r="I1389" t="str">
        <f t="shared" si="24"/>
        <v>1266_1</v>
      </c>
      <c r="J1389" t="s">
        <v>241</v>
      </c>
      <c r="K1389" t="s">
        <v>179</v>
      </c>
      <c r="L1389" t="str">
        <f>_xlfn.XLOOKUP(C1389, Table2[Species],Table2[Genus], "Code Not Found")</f>
        <v>Acer</v>
      </c>
      <c r="M1389" t="str">
        <f>_xlfn.XLOOKUP(C1389, Table2[Species],Table2[Sp. Name], "Code Not Found")</f>
        <v>saccharum</v>
      </c>
      <c r="N1389" t="str">
        <f>_xlfn.XLOOKUP(C1389,Table2[Species],Table2[Family],"Code Not Found")</f>
        <v>Sapindaceae</v>
      </c>
      <c r="O1389" t="str" cm="1">
        <f t="array" ref="O1389">_xlfn.IFS(F1389="","",F1389&lt;=5,"0 to 5",F1389&lt;=10,"5.1 to 10",F1389&lt;=20,"10 to 20", F1389&lt;= 40, "20 to 40", F1389 &lt;= 50, "40 to 50", F1389 &gt; 50, "&gt;50" )</f>
        <v>5.1 to 10</v>
      </c>
    </row>
    <row r="1390" spans="1:15" ht="14.4" x14ac:dyDescent="0.3">
      <c r="A1390" t="s">
        <v>240</v>
      </c>
      <c r="B1390" s="1">
        <v>46198</v>
      </c>
      <c r="C1390" t="s">
        <v>16</v>
      </c>
      <c r="D1390">
        <v>1267</v>
      </c>
      <c r="E1390">
        <v>1</v>
      </c>
      <c r="F1390">
        <v>5</v>
      </c>
      <c r="G1390" t="s">
        <v>289</v>
      </c>
      <c r="I1390" t="str">
        <f t="shared" si="24"/>
        <v>1267_1</v>
      </c>
      <c r="J1390" t="s">
        <v>241</v>
      </c>
      <c r="K1390" t="s">
        <v>179</v>
      </c>
      <c r="L1390" t="str">
        <f>_xlfn.XLOOKUP(C1390, Table2[Species],Table2[Genus], "Code Not Found")</f>
        <v>Acer</v>
      </c>
      <c r="M1390" t="str">
        <f>_xlfn.XLOOKUP(C1390, Table2[Species],Table2[Sp. Name], "Code Not Found")</f>
        <v>saccharum</v>
      </c>
      <c r="N1390" t="str">
        <f>_xlfn.XLOOKUP(C1390,Table2[Species],Table2[Family],"Code Not Found")</f>
        <v>Sapindaceae</v>
      </c>
      <c r="O1390" t="str" cm="1">
        <f t="array" ref="O1390">_xlfn.IFS(F1390="","",F1390&lt;=5,"0 to 5",F1390&lt;=10,"5.1 to 10",F1390&lt;=20,"10 to 20", F1390&lt;= 40, "20 to 40", F1390 &lt;= 50, "40 to 50", F1390 &gt; 50, "&gt;50" )</f>
        <v>0 to 5</v>
      </c>
    </row>
    <row r="1391" spans="1:15" ht="14.4" x14ac:dyDescent="0.3">
      <c r="A1391" t="s">
        <v>240</v>
      </c>
      <c r="B1391" s="1">
        <v>46198</v>
      </c>
      <c r="C1391" t="s">
        <v>16</v>
      </c>
      <c r="D1391">
        <v>1268</v>
      </c>
      <c r="E1391">
        <v>1</v>
      </c>
      <c r="F1391">
        <v>5.0999999999999996</v>
      </c>
      <c r="G1391" t="s">
        <v>17</v>
      </c>
      <c r="H1391" t="s">
        <v>290</v>
      </c>
      <c r="I1391" t="str">
        <f t="shared" si="24"/>
        <v>1268_1</v>
      </c>
      <c r="J1391" t="s">
        <v>241</v>
      </c>
      <c r="K1391" t="s">
        <v>179</v>
      </c>
      <c r="L1391" t="str">
        <f>_xlfn.XLOOKUP(C1391, Table2[Species],Table2[Genus], "Code Not Found")</f>
        <v>Acer</v>
      </c>
      <c r="M1391" t="str">
        <f>_xlfn.XLOOKUP(C1391, Table2[Species],Table2[Sp. Name], "Code Not Found")</f>
        <v>saccharum</v>
      </c>
      <c r="N1391" t="str">
        <f>_xlfn.XLOOKUP(C1391,Table2[Species],Table2[Family],"Code Not Found")</f>
        <v>Sapindaceae</v>
      </c>
      <c r="O1391" t="str" cm="1">
        <f t="array" ref="O1391">_xlfn.IFS(F1391="","",F1391&lt;=5,"0 to 5",F1391&lt;=10,"5.1 to 10",F1391&lt;=20,"10 to 20", F1391&lt;= 40, "20 to 40", F1391 &lt;= 50, "40 to 50", F1391 &gt; 50, "&gt;50" )</f>
        <v>5.1 to 10</v>
      </c>
    </row>
    <row r="1392" spans="1:15" ht="14.4" x14ac:dyDescent="0.3">
      <c r="A1392" t="s">
        <v>240</v>
      </c>
      <c r="B1392" s="1">
        <v>46198</v>
      </c>
      <c r="C1392" t="s">
        <v>20</v>
      </c>
      <c r="D1392">
        <v>1269</v>
      </c>
      <c r="E1392">
        <v>1</v>
      </c>
      <c r="F1392">
        <v>6.9</v>
      </c>
      <c r="G1392" t="s">
        <v>17</v>
      </c>
      <c r="I1392" t="str">
        <f t="shared" si="24"/>
        <v>1269_1</v>
      </c>
      <c r="J1392" t="s">
        <v>241</v>
      </c>
      <c r="K1392" t="s">
        <v>179</v>
      </c>
      <c r="L1392" t="str">
        <f>_xlfn.XLOOKUP(C1392, Table2[Species],Table2[Genus], "Code Not Found")</f>
        <v>Prunus</v>
      </c>
      <c r="M1392" t="str">
        <f>_xlfn.XLOOKUP(C1392, Table2[Species],Table2[Sp. Name], "Code Not Found")</f>
        <v>serotina</v>
      </c>
      <c r="N1392" t="str">
        <f>_xlfn.XLOOKUP(C1392,Table2[Species],Table2[Family],"Code Not Found")</f>
        <v>Rosaceae</v>
      </c>
      <c r="O1392" t="str" cm="1">
        <f t="array" ref="O1392">_xlfn.IFS(F1392="","",F1392&lt;=5,"0 to 5",F1392&lt;=10,"5.1 to 10",F1392&lt;=20,"10 to 20", F1392&lt;= 40, "20 to 40", F1392 &lt;= 50, "40 to 50", F1392 &gt; 50, "&gt;50" )</f>
        <v>5.1 to 10</v>
      </c>
    </row>
    <row r="1393" spans="1:15" ht="14.4" x14ac:dyDescent="0.3">
      <c r="A1393" t="s">
        <v>240</v>
      </c>
      <c r="B1393" s="1">
        <v>46198</v>
      </c>
      <c r="C1393" t="s">
        <v>16</v>
      </c>
      <c r="D1393">
        <v>1272</v>
      </c>
      <c r="E1393">
        <v>1</v>
      </c>
      <c r="F1393">
        <v>11</v>
      </c>
      <c r="G1393" t="s">
        <v>21</v>
      </c>
      <c r="H1393" t="s">
        <v>291</v>
      </c>
      <c r="I1393" t="str">
        <f t="shared" si="24"/>
        <v>1272_1</v>
      </c>
      <c r="J1393" t="s">
        <v>241</v>
      </c>
      <c r="K1393" t="s">
        <v>179</v>
      </c>
      <c r="L1393" t="str">
        <f>_xlfn.XLOOKUP(C1393, Table2[Species],Table2[Genus], "Code Not Found")</f>
        <v>Acer</v>
      </c>
      <c r="M1393" t="str">
        <f>_xlfn.XLOOKUP(C1393, Table2[Species],Table2[Sp. Name], "Code Not Found")</f>
        <v>saccharum</v>
      </c>
      <c r="N1393" t="str">
        <f>_xlfn.XLOOKUP(C1393,Table2[Species],Table2[Family],"Code Not Found")</f>
        <v>Sapindaceae</v>
      </c>
      <c r="O1393" t="str" cm="1">
        <f t="array" ref="O1393">_xlfn.IFS(F1393="","",F1393&lt;=5,"0 to 5",F1393&lt;=10,"5.1 to 10",F1393&lt;=20,"10 to 20", F1393&lt;= 40, "20 to 40", F1393 &lt;= 50, "40 to 50", F1393 &gt; 50, "&gt;50" )</f>
        <v>10 to 20</v>
      </c>
    </row>
    <row r="1394" spans="1:15" ht="14.4" x14ac:dyDescent="0.3">
      <c r="A1394" t="s">
        <v>240</v>
      </c>
      <c r="B1394" s="1">
        <v>46198</v>
      </c>
      <c r="C1394" t="s">
        <v>16</v>
      </c>
      <c r="D1394">
        <v>1273</v>
      </c>
      <c r="E1394">
        <v>1</v>
      </c>
      <c r="F1394">
        <v>3.1</v>
      </c>
      <c r="G1394" t="s">
        <v>88</v>
      </c>
      <c r="H1394" t="s">
        <v>110</v>
      </c>
      <c r="I1394" t="str">
        <f t="shared" si="24"/>
        <v>1273_1</v>
      </c>
      <c r="J1394" t="s">
        <v>241</v>
      </c>
      <c r="K1394" t="s">
        <v>179</v>
      </c>
      <c r="L1394" t="str">
        <f>_xlfn.XLOOKUP(C1394, Table2[Species],Table2[Genus], "Code Not Found")</f>
        <v>Acer</v>
      </c>
      <c r="M1394" t="str">
        <f>_xlfn.XLOOKUP(C1394, Table2[Species],Table2[Sp. Name], "Code Not Found")</f>
        <v>saccharum</v>
      </c>
      <c r="N1394" t="str">
        <f>_xlfn.XLOOKUP(C1394,Table2[Species],Table2[Family],"Code Not Found")</f>
        <v>Sapindaceae</v>
      </c>
      <c r="O1394" t="str" cm="1">
        <f t="array" ref="O1394">_xlfn.IFS(F1394="","",F1394&lt;=5,"0 to 5",F1394&lt;=10,"5.1 to 10",F1394&lt;=20,"10 to 20", F1394&lt;= 40, "20 to 40", F1394 &lt;= 50, "40 to 50", F1394 &gt; 50, "&gt;50" )</f>
        <v>0 to 5</v>
      </c>
    </row>
    <row r="1395" spans="1:15" ht="14.4" x14ac:dyDescent="0.3">
      <c r="A1395" t="s">
        <v>240</v>
      </c>
      <c r="B1395" s="1">
        <v>46198</v>
      </c>
      <c r="C1395" t="s">
        <v>16</v>
      </c>
      <c r="D1395">
        <v>1274</v>
      </c>
      <c r="E1395">
        <v>1</v>
      </c>
      <c r="F1395">
        <v>12.5</v>
      </c>
      <c r="G1395" t="s">
        <v>21</v>
      </c>
      <c r="I1395" t="str">
        <f t="shared" si="24"/>
        <v>1274_1</v>
      </c>
      <c r="J1395" t="s">
        <v>241</v>
      </c>
      <c r="K1395" t="s">
        <v>179</v>
      </c>
      <c r="L1395" t="str">
        <f>_xlfn.XLOOKUP(C1395, Table2[Species],Table2[Genus], "Code Not Found")</f>
        <v>Acer</v>
      </c>
      <c r="M1395" t="str">
        <f>_xlfn.XLOOKUP(C1395, Table2[Species],Table2[Sp. Name], "Code Not Found")</f>
        <v>saccharum</v>
      </c>
      <c r="N1395" t="str">
        <f>_xlfn.XLOOKUP(C1395,Table2[Species],Table2[Family],"Code Not Found")</f>
        <v>Sapindaceae</v>
      </c>
      <c r="O1395" t="str" cm="1">
        <f t="array" ref="O1395">_xlfn.IFS(F1395="","",F1395&lt;=5,"0 to 5",F1395&lt;=10,"5.1 to 10",F1395&lt;=20,"10 to 20", F1395&lt;= 40, "20 to 40", F1395 &lt;= 50, "40 to 50", F1395 &gt; 50, "&gt;50" )</f>
        <v>10 to 20</v>
      </c>
    </row>
    <row r="1396" spans="1:15" ht="14.4" x14ac:dyDescent="0.3">
      <c r="A1396" t="s">
        <v>240</v>
      </c>
      <c r="B1396" s="1">
        <v>46198</v>
      </c>
      <c r="C1396" t="s">
        <v>16</v>
      </c>
      <c r="D1396">
        <v>1275</v>
      </c>
      <c r="E1396">
        <v>1</v>
      </c>
      <c r="F1396">
        <v>42.1</v>
      </c>
      <c r="G1396" t="s">
        <v>17</v>
      </c>
      <c r="I1396" t="str">
        <f t="shared" si="24"/>
        <v>1275_1</v>
      </c>
      <c r="J1396" t="s">
        <v>241</v>
      </c>
      <c r="K1396" t="s">
        <v>179</v>
      </c>
      <c r="L1396" t="str">
        <f>_xlfn.XLOOKUP(C1396, Table2[Species],Table2[Genus], "Code Not Found")</f>
        <v>Acer</v>
      </c>
      <c r="M1396" t="str">
        <f>_xlfn.XLOOKUP(C1396, Table2[Species],Table2[Sp. Name], "Code Not Found")</f>
        <v>saccharum</v>
      </c>
      <c r="N1396" t="str">
        <f>_xlfn.XLOOKUP(C1396,Table2[Species],Table2[Family],"Code Not Found")</f>
        <v>Sapindaceae</v>
      </c>
      <c r="O1396" t="str" cm="1">
        <f t="array" ref="O1396">_xlfn.IFS(F1396="","",F1396&lt;=5,"0 to 5",F1396&lt;=10,"5.1 to 10",F1396&lt;=20,"10 to 20", F1396&lt;= 40, "20 to 40", F1396 &lt;= 50, "40 to 50", F1396 &gt; 50, "&gt;50" )</f>
        <v>40 to 50</v>
      </c>
    </row>
    <row r="1397" spans="1:15" ht="14.4" x14ac:dyDescent="0.3">
      <c r="A1397" t="s">
        <v>240</v>
      </c>
      <c r="B1397" s="1">
        <v>46198</v>
      </c>
      <c r="C1397" t="s">
        <v>16</v>
      </c>
      <c r="D1397">
        <v>1276</v>
      </c>
      <c r="E1397">
        <v>1</v>
      </c>
      <c r="F1397">
        <v>9.1</v>
      </c>
      <c r="G1397" t="s">
        <v>17</v>
      </c>
      <c r="I1397" t="str">
        <f t="shared" si="24"/>
        <v>1276_1</v>
      </c>
      <c r="J1397" t="s">
        <v>241</v>
      </c>
      <c r="K1397" t="s">
        <v>179</v>
      </c>
      <c r="L1397" t="str">
        <f>_xlfn.XLOOKUP(C1397, Table2[Species],Table2[Genus], "Code Not Found")</f>
        <v>Acer</v>
      </c>
      <c r="M1397" t="str">
        <f>_xlfn.XLOOKUP(C1397, Table2[Species],Table2[Sp. Name], "Code Not Found")</f>
        <v>saccharum</v>
      </c>
      <c r="N1397" t="str">
        <f>_xlfn.XLOOKUP(C1397,Table2[Species],Table2[Family],"Code Not Found")</f>
        <v>Sapindaceae</v>
      </c>
      <c r="O1397" t="str" cm="1">
        <f t="array" ref="O1397">_xlfn.IFS(F1397="","",F1397&lt;=5,"0 to 5",F1397&lt;=10,"5.1 to 10",F1397&lt;=20,"10 to 20", F1397&lt;= 40, "20 to 40", F1397 &lt;= 50, "40 to 50", F1397 &gt; 50, "&gt;50" )</f>
        <v>5.1 to 10</v>
      </c>
    </row>
    <row r="1398" spans="1:15" ht="14.4" x14ac:dyDescent="0.3">
      <c r="A1398" t="s">
        <v>240</v>
      </c>
      <c r="B1398" s="1">
        <v>46198</v>
      </c>
      <c r="C1398" t="s">
        <v>16</v>
      </c>
      <c r="D1398">
        <v>1277</v>
      </c>
      <c r="E1398">
        <v>1</v>
      </c>
      <c r="F1398">
        <v>14.9</v>
      </c>
      <c r="G1398" t="s">
        <v>30</v>
      </c>
      <c r="H1398" t="s">
        <v>287</v>
      </c>
      <c r="I1398" t="str">
        <f t="shared" si="24"/>
        <v>1277_1</v>
      </c>
      <c r="J1398" t="s">
        <v>241</v>
      </c>
      <c r="K1398" t="s">
        <v>179</v>
      </c>
      <c r="L1398" t="str">
        <f>_xlfn.XLOOKUP(C1398, Table2[Species],Table2[Genus], "Code Not Found")</f>
        <v>Acer</v>
      </c>
      <c r="M1398" t="str">
        <f>_xlfn.XLOOKUP(C1398, Table2[Species],Table2[Sp. Name], "Code Not Found")</f>
        <v>saccharum</v>
      </c>
      <c r="N1398" t="str">
        <f>_xlfn.XLOOKUP(C1398,Table2[Species],Table2[Family],"Code Not Found")</f>
        <v>Sapindaceae</v>
      </c>
      <c r="O1398" t="str" cm="1">
        <f t="array" ref="O1398">_xlfn.IFS(F1398="","",F1398&lt;=5,"0 to 5",F1398&lt;=10,"5.1 to 10",F1398&lt;=20,"10 to 20", F1398&lt;= 40, "20 to 40", F1398 &lt;= 50, "40 to 50", F1398 &gt; 50, "&gt;50" )</f>
        <v>10 to 20</v>
      </c>
    </row>
    <row r="1399" spans="1:15" ht="14.4" x14ac:dyDescent="0.3">
      <c r="A1399" t="s">
        <v>240</v>
      </c>
      <c r="B1399" s="1">
        <v>46198</v>
      </c>
      <c r="C1399" t="s">
        <v>16</v>
      </c>
      <c r="D1399">
        <v>1278</v>
      </c>
      <c r="E1399">
        <v>1</v>
      </c>
      <c r="F1399">
        <v>2.2000000000000002</v>
      </c>
      <c r="G1399" t="s">
        <v>17</v>
      </c>
      <c r="I1399" t="str">
        <f t="shared" si="24"/>
        <v>1278_1</v>
      </c>
      <c r="J1399" t="s">
        <v>241</v>
      </c>
      <c r="K1399" t="s">
        <v>179</v>
      </c>
      <c r="L1399" t="str">
        <f>_xlfn.XLOOKUP(C1399, Table2[Species],Table2[Genus], "Code Not Found")</f>
        <v>Acer</v>
      </c>
      <c r="M1399" t="str">
        <f>_xlfn.XLOOKUP(C1399, Table2[Species],Table2[Sp. Name], "Code Not Found")</f>
        <v>saccharum</v>
      </c>
      <c r="N1399" t="str">
        <f>_xlfn.XLOOKUP(C1399,Table2[Species],Table2[Family],"Code Not Found")</f>
        <v>Sapindaceae</v>
      </c>
      <c r="O1399" t="str" cm="1">
        <f t="array" ref="O1399">_xlfn.IFS(F1399="","",F1399&lt;=5,"0 to 5",F1399&lt;=10,"5.1 to 10",F1399&lt;=20,"10 to 20", F1399&lt;= 40, "20 to 40", F1399 &lt;= 50, "40 to 50", F1399 &gt; 50, "&gt;50" )</f>
        <v>0 to 5</v>
      </c>
    </row>
    <row r="1400" spans="1:15" ht="14.4" x14ac:dyDescent="0.3">
      <c r="A1400" t="s">
        <v>240</v>
      </c>
      <c r="B1400" s="1">
        <v>46198</v>
      </c>
      <c r="C1400" t="s">
        <v>16</v>
      </c>
      <c r="D1400">
        <v>1279</v>
      </c>
      <c r="E1400">
        <v>1</v>
      </c>
      <c r="F1400">
        <v>4.0999999999999996</v>
      </c>
      <c r="G1400" t="s">
        <v>88</v>
      </c>
      <c r="H1400" t="s">
        <v>287</v>
      </c>
      <c r="I1400" t="str">
        <f t="shared" si="24"/>
        <v>1279_1</v>
      </c>
      <c r="J1400" t="s">
        <v>241</v>
      </c>
      <c r="K1400" t="s">
        <v>179</v>
      </c>
      <c r="L1400" t="str">
        <f>_xlfn.XLOOKUP(C1400, Table2[Species],Table2[Genus], "Code Not Found")</f>
        <v>Acer</v>
      </c>
      <c r="M1400" t="str">
        <f>_xlfn.XLOOKUP(C1400, Table2[Species],Table2[Sp. Name], "Code Not Found")</f>
        <v>saccharum</v>
      </c>
      <c r="N1400" t="str">
        <f>_xlfn.XLOOKUP(C1400,Table2[Species],Table2[Family],"Code Not Found")</f>
        <v>Sapindaceae</v>
      </c>
      <c r="O1400" t="str" cm="1">
        <f t="array" ref="O1400">_xlfn.IFS(F1400="","",F1400&lt;=5,"0 to 5",F1400&lt;=10,"5.1 to 10",F1400&lt;=20,"10 to 20", F1400&lt;= 40, "20 to 40", F1400 &lt;= 50, "40 to 50", F1400 &gt; 50, "&gt;50" )</f>
        <v>0 to 5</v>
      </c>
    </row>
    <row r="1401" spans="1:15" ht="14.4" x14ac:dyDescent="0.3">
      <c r="A1401" t="s">
        <v>240</v>
      </c>
      <c r="B1401" s="1">
        <v>46198</v>
      </c>
      <c r="C1401" t="s">
        <v>16</v>
      </c>
      <c r="D1401">
        <v>1280</v>
      </c>
      <c r="E1401">
        <v>1</v>
      </c>
      <c r="F1401">
        <v>3.6</v>
      </c>
      <c r="G1401" t="s">
        <v>17</v>
      </c>
      <c r="I1401" t="str">
        <f t="shared" si="24"/>
        <v>1280_1</v>
      </c>
      <c r="J1401" t="s">
        <v>241</v>
      </c>
      <c r="K1401" t="s">
        <v>179</v>
      </c>
      <c r="L1401" t="str">
        <f>_xlfn.XLOOKUP(C1401, Table2[Species],Table2[Genus], "Code Not Found")</f>
        <v>Acer</v>
      </c>
      <c r="M1401" t="str">
        <f>_xlfn.XLOOKUP(C1401, Table2[Species],Table2[Sp. Name], "Code Not Found")</f>
        <v>saccharum</v>
      </c>
      <c r="N1401" t="str">
        <f>_xlfn.XLOOKUP(C1401,Table2[Species],Table2[Family],"Code Not Found")</f>
        <v>Sapindaceae</v>
      </c>
      <c r="O1401" t="str" cm="1">
        <f t="array" ref="O1401">_xlfn.IFS(F1401="","",F1401&lt;=5,"0 to 5",F1401&lt;=10,"5.1 to 10",F1401&lt;=20,"10 to 20", F1401&lt;= 40, "20 to 40", F1401 &lt;= 50, "40 to 50", F1401 &gt; 50, "&gt;50" )</f>
        <v>0 to 5</v>
      </c>
    </row>
    <row r="1402" spans="1:15" ht="14.4" x14ac:dyDescent="0.3">
      <c r="A1402" t="s">
        <v>240</v>
      </c>
      <c r="B1402" s="1">
        <v>46198</v>
      </c>
      <c r="C1402" t="s">
        <v>16</v>
      </c>
      <c r="D1402">
        <v>1281</v>
      </c>
      <c r="E1402">
        <v>1</v>
      </c>
      <c r="F1402">
        <v>13.6</v>
      </c>
      <c r="G1402" t="s">
        <v>103</v>
      </c>
      <c r="I1402" t="str">
        <f t="shared" si="24"/>
        <v>1281_1</v>
      </c>
      <c r="J1402" t="s">
        <v>241</v>
      </c>
      <c r="K1402" t="s">
        <v>179</v>
      </c>
      <c r="L1402" t="str">
        <f>_xlfn.XLOOKUP(C1402, Table2[Species],Table2[Genus], "Code Not Found")</f>
        <v>Acer</v>
      </c>
      <c r="M1402" t="str">
        <f>_xlfn.XLOOKUP(C1402, Table2[Species],Table2[Sp. Name], "Code Not Found")</f>
        <v>saccharum</v>
      </c>
      <c r="N1402" t="str">
        <f>_xlfn.XLOOKUP(C1402,Table2[Species],Table2[Family],"Code Not Found")</f>
        <v>Sapindaceae</v>
      </c>
      <c r="O1402" t="str" cm="1">
        <f t="array" ref="O1402">_xlfn.IFS(F1402="","",F1402&lt;=5,"0 to 5",F1402&lt;=10,"5.1 to 10",F1402&lt;=20,"10 to 20", F1402&lt;= 40, "20 to 40", F1402 &lt;= 50, "40 to 50", F1402 &gt; 50, "&gt;50" )</f>
        <v>10 to 20</v>
      </c>
    </row>
    <row r="1403" spans="1:15" ht="14.4" x14ac:dyDescent="0.3">
      <c r="A1403" t="s">
        <v>240</v>
      </c>
      <c r="B1403" s="1">
        <v>46198</v>
      </c>
      <c r="C1403" t="s">
        <v>16</v>
      </c>
      <c r="D1403">
        <v>1282</v>
      </c>
      <c r="E1403">
        <v>1</v>
      </c>
      <c r="F1403">
        <v>3.3</v>
      </c>
      <c r="G1403" t="s">
        <v>17</v>
      </c>
      <c r="I1403" t="str">
        <f t="shared" si="24"/>
        <v>1282_1</v>
      </c>
      <c r="J1403" t="s">
        <v>241</v>
      </c>
      <c r="K1403" t="s">
        <v>179</v>
      </c>
      <c r="L1403" t="str">
        <f>_xlfn.XLOOKUP(C1403, Table2[Species],Table2[Genus], "Code Not Found")</f>
        <v>Acer</v>
      </c>
      <c r="M1403" t="str">
        <f>_xlfn.XLOOKUP(C1403, Table2[Species],Table2[Sp. Name], "Code Not Found")</f>
        <v>saccharum</v>
      </c>
      <c r="N1403" t="str">
        <f>_xlfn.XLOOKUP(C1403,Table2[Species],Table2[Family],"Code Not Found")</f>
        <v>Sapindaceae</v>
      </c>
      <c r="O1403" t="str" cm="1">
        <f t="array" ref="O1403">_xlfn.IFS(F1403="","",F1403&lt;=5,"0 to 5",F1403&lt;=10,"5.1 to 10",F1403&lt;=20,"10 to 20", F1403&lt;= 40, "20 to 40", F1403 &lt;= 50, "40 to 50", F1403 &gt; 50, "&gt;50" )</f>
        <v>0 to 5</v>
      </c>
    </row>
    <row r="1404" spans="1:15" ht="14.4" x14ac:dyDescent="0.3">
      <c r="A1404" t="s">
        <v>240</v>
      </c>
      <c r="B1404" s="1">
        <v>46198</v>
      </c>
      <c r="C1404" t="s">
        <v>64</v>
      </c>
      <c r="D1404">
        <v>1283</v>
      </c>
      <c r="E1404">
        <v>1</v>
      </c>
      <c r="F1404">
        <v>5.4</v>
      </c>
      <c r="G1404" t="s">
        <v>21</v>
      </c>
      <c r="I1404" t="str">
        <f t="shared" si="24"/>
        <v>1283_1</v>
      </c>
      <c r="J1404" t="s">
        <v>241</v>
      </c>
      <c r="K1404" t="s">
        <v>179</v>
      </c>
      <c r="L1404" t="str">
        <f>_xlfn.XLOOKUP(C1404, Table2[Species],Table2[Genus], "Code Not Found")</f>
        <v>Fagus</v>
      </c>
      <c r="M1404" t="str">
        <f>_xlfn.XLOOKUP(C1404, Table2[Species],Table2[Sp. Name], "Code Not Found")</f>
        <v>grandifolia</v>
      </c>
      <c r="N1404" t="str">
        <f>_xlfn.XLOOKUP(C1404,Table2[Species],Table2[Family],"Code Not Found")</f>
        <v>Fagaceae</v>
      </c>
      <c r="O1404" t="str" cm="1">
        <f t="array" ref="O1404">_xlfn.IFS(F1404="","",F1404&lt;=5,"0 to 5",F1404&lt;=10,"5.1 to 10",F1404&lt;=20,"10 to 20", F1404&lt;= 40, "20 to 40", F1404 &lt;= 50, "40 to 50", F1404 &gt; 50, "&gt;50" )</f>
        <v>5.1 to 10</v>
      </c>
    </row>
    <row r="1405" spans="1:15" ht="14.4" x14ac:dyDescent="0.3">
      <c r="A1405" t="s">
        <v>240</v>
      </c>
      <c r="B1405" s="1">
        <v>46198</v>
      </c>
      <c r="C1405" t="s">
        <v>16</v>
      </c>
      <c r="D1405">
        <v>1284</v>
      </c>
      <c r="E1405">
        <v>1</v>
      </c>
      <c r="F1405">
        <v>49.4</v>
      </c>
      <c r="G1405" t="s">
        <v>21</v>
      </c>
      <c r="I1405" t="str">
        <f t="shared" si="24"/>
        <v>1284_1</v>
      </c>
      <c r="J1405" t="s">
        <v>241</v>
      </c>
      <c r="K1405" t="s">
        <v>179</v>
      </c>
      <c r="L1405" t="str">
        <f>_xlfn.XLOOKUP(C1405, Table2[Species],Table2[Genus], "Code Not Found")</f>
        <v>Acer</v>
      </c>
      <c r="M1405" t="str">
        <f>_xlfn.XLOOKUP(C1405, Table2[Species],Table2[Sp. Name], "Code Not Found")</f>
        <v>saccharum</v>
      </c>
      <c r="N1405" t="str">
        <f>_xlfn.XLOOKUP(C1405,Table2[Species],Table2[Family],"Code Not Found")</f>
        <v>Sapindaceae</v>
      </c>
      <c r="O1405" t="str" cm="1">
        <f t="array" ref="O1405">_xlfn.IFS(F1405="","",F1405&lt;=5,"0 to 5",F1405&lt;=10,"5.1 to 10",F1405&lt;=20,"10 to 20", F1405&lt;= 40, "20 to 40", F1405 &lt;= 50, "40 to 50", F1405 &gt; 50, "&gt;50" )</f>
        <v>40 to 50</v>
      </c>
    </row>
    <row r="1406" spans="1:15" ht="14.4" x14ac:dyDescent="0.3">
      <c r="A1406" t="s">
        <v>240</v>
      </c>
      <c r="B1406" s="1">
        <v>46198</v>
      </c>
      <c r="C1406" t="s">
        <v>16</v>
      </c>
      <c r="D1406">
        <v>1285</v>
      </c>
      <c r="E1406">
        <v>1</v>
      </c>
      <c r="F1406">
        <v>6.7</v>
      </c>
      <c r="G1406" t="s">
        <v>17</v>
      </c>
      <c r="H1406" t="s">
        <v>292</v>
      </c>
      <c r="I1406" t="str">
        <f t="shared" si="24"/>
        <v>1285_1</v>
      </c>
      <c r="J1406" t="s">
        <v>241</v>
      </c>
      <c r="K1406" t="s">
        <v>179</v>
      </c>
      <c r="L1406" t="str">
        <f>_xlfn.XLOOKUP(C1406, Table2[Species],Table2[Genus], "Code Not Found")</f>
        <v>Acer</v>
      </c>
      <c r="M1406" t="str">
        <f>_xlfn.XLOOKUP(C1406, Table2[Species],Table2[Sp. Name], "Code Not Found")</f>
        <v>saccharum</v>
      </c>
      <c r="N1406" t="str">
        <f>_xlfn.XLOOKUP(C1406,Table2[Species],Table2[Family],"Code Not Found")</f>
        <v>Sapindaceae</v>
      </c>
      <c r="O1406" t="str" cm="1">
        <f t="array" ref="O1406">_xlfn.IFS(F1406="","",F1406&lt;=5,"0 to 5",F1406&lt;=10,"5.1 to 10",F1406&lt;=20,"10 to 20", F1406&lt;= 40, "20 to 40", F1406 &lt;= 50, "40 to 50", F1406 &gt; 50, "&gt;50" )</f>
        <v>5.1 to 10</v>
      </c>
    </row>
    <row r="1407" spans="1:15" ht="14.4" x14ac:dyDescent="0.3">
      <c r="A1407" t="s">
        <v>293</v>
      </c>
      <c r="B1407" s="1">
        <v>46198</v>
      </c>
      <c r="C1407" t="s">
        <v>16</v>
      </c>
      <c r="D1407">
        <v>1286</v>
      </c>
      <c r="E1407">
        <v>1</v>
      </c>
      <c r="F1407">
        <v>1.9</v>
      </c>
      <c r="G1407" t="s">
        <v>32</v>
      </c>
      <c r="I1407" t="str">
        <f t="shared" si="24"/>
        <v>1286_1</v>
      </c>
      <c r="J1407" t="s">
        <v>294</v>
      </c>
      <c r="K1407" t="s">
        <v>19</v>
      </c>
      <c r="L1407" t="str">
        <f>_xlfn.XLOOKUP(C1407, Table2[Species],Table2[Genus], "Code Not Found")</f>
        <v>Acer</v>
      </c>
      <c r="M1407" t="str">
        <f>_xlfn.XLOOKUP(C1407, Table2[Species],Table2[Sp. Name], "Code Not Found")</f>
        <v>saccharum</v>
      </c>
      <c r="N1407" t="str">
        <f>_xlfn.XLOOKUP(C1407,Table2[Species],Table2[Family],"Code Not Found")</f>
        <v>Sapindaceae</v>
      </c>
      <c r="O1407" t="str" cm="1">
        <f t="array" ref="O1407">_xlfn.IFS(F1407="","",F1407&lt;=5,"0 to 5",F1407&lt;=10,"5.1 to 10",F1407&lt;=20,"10 to 20", F1407&lt;= 40, "20 to 40", F1407 &lt;= 50, "40 to 50", F1407 &gt; 50, "&gt;50" )</f>
        <v>0 to 5</v>
      </c>
    </row>
    <row r="1408" spans="1:15" ht="14.4" x14ac:dyDescent="0.3">
      <c r="A1408" t="s">
        <v>293</v>
      </c>
      <c r="B1408" s="1">
        <v>46198</v>
      </c>
      <c r="C1408" t="s">
        <v>16</v>
      </c>
      <c r="D1408">
        <v>1286</v>
      </c>
      <c r="E1408">
        <v>2</v>
      </c>
      <c r="F1408">
        <v>1.1000000000000001</v>
      </c>
      <c r="G1408" t="s">
        <v>32</v>
      </c>
      <c r="I1408" t="str">
        <f t="shared" si="24"/>
        <v>1286_2</v>
      </c>
      <c r="J1408" t="s">
        <v>294</v>
      </c>
      <c r="K1408" t="s">
        <v>19</v>
      </c>
      <c r="L1408" t="str">
        <f>_xlfn.XLOOKUP(C1408, Table2[Species],Table2[Genus], "Code Not Found")</f>
        <v>Acer</v>
      </c>
      <c r="M1408" t="str">
        <f>_xlfn.XLOOKUP(C1408, Table2[Species],Table2[Sp. Name], "Code Not Found")</f>
        <v>saccharum</v>
      </c>
      <c r="N1408" t="str">
        <f>_xlfn.XLOOKUP(C1408,Table2[Species],Table2[Family],"Code Not Found")</f>
        <v>Sapindaceae</v>
      </c>
      <c r="O1408" t="str" cm="1">
        <f t="array" ref="O1408">_xlfn.IFS(F1408="","",F1408&lt;=5,"0 to 5",F1408&lt;=10,"5.1 to 10",F1408&lt;=20,"10 to 20", F1408&lt;= 40, "20 to 40", F1408 &lt;= 50, "40 to 50", F1408 &gt; 50, "&gt;50" )</f>
        <v>0 to 5</v>
      </c>
    </row>
    <row r="1409" spans="1:15" ht="14.4" x14ac:dyDescent="0.3">
      <c r="A1409" t="s">
        <v>293</v>
      </c>
      <c r="B1409" s="1">
        <v>46198</v>
      </c>
      <c r="C1409" t="s">
        <v>64</v>
      </c>
      <c r="D1409">
        <v>1287</v>
      </c>
      <c r="E1409">
        <v>1</v>
      </c>
      <c r="F1409">
        <v>18.899999999999999</v>
      </c>
      <c r="G1409" t="s">
        <v>17</v>
      </c>
      <c r="H1409" t="s">
        <v>36</v>
      </c>
      <c r="I1409" t="str">
        <f t="shared" si="24"/>
        <v>1287_1</v>
      </c>
      <c r="J1409" t="s">
        <v>294</v>
      </c>
      <c r="K1409" t="s">
        <v>19</v>
      </c>
      <c r="L1409" t="str">
        <f>_xlfn.XLOOKUP(C1409, Table2[Species],Table2[Genus], "Code Not Found")</f>
        <v>Fagus</v>
      </c>
      <c r="M1409" t="str">
        <f>_xlfn.XLOOKUP(C1409, Table2[Species],Table2[Sp. Name], "Code Not Found")</f>
        <v>grandifolia</v>
      </c>
      <c r="N1409" t="str">
        <f>_xlfn.XLOOKUP(C1409,Table2[Species],Table2[Family],"Code Not Found")</f>
        <v>Fagaceae</v>
      </c>
      <c r="O1409" t="str" cm="1">
        <f t="array" ref="O1409">_xlfn.IFS(F1409="","",F1409&lt;=5,"0 to 5",F1409&lt;=10,"5.1 to 10",F1409&lt;=20,"10 to 20", F1409&lt;= 40, "20 to 40", F1409 &lt;= 50, "40 to 50", F1409 &gt; 50, "&gt;50" )</f>
        <v>10 to 20</v>
      </c>
    </row>
    <row r="1410" spans="1:15" ht="14.4" x14ac:dyDescent="0.3">
      <c r="A1410" t="s">
        <v>293</v>
      </c>
      <c r="B1410" s="1">
        <v>46198</v>
      </c>
      <c r="C1410" t="s">
        <v>16</v>
      </c>
      <c r="D1410">
        <v>1288</v>
      </c>
      <c r="E1410">
        <v>1</v>
      </c>
      <c r="F1410">
        <v>2.2000000000000002</v>
      </c>
      <c r="G1410" t="s">
        <v>94</v>
      </c>
      <c r="H1410" t="s">
        <v>295</v>
      </c>
      <c r="I1410" t="str">
        <f t="shared" si="24"/>
        <v>1288_1</v>
      </c>
      <c r="J1410" t="s">
        <v>294</v>
      </c>
      <c r="K1410" t="s">
        <v>19</v>
      </c>
      <c r="L1410" t="str">
        <f>_xlfn.XLOOKUP(C1410, Table2[Species],Table2[Genus], "Code Not Found")</f>
        <v>Acer</v>
      </c>
      <c r="M1410" t="str">
        <f>_xlfn.XLOOKUP(C1410, Table2[Species],Table2[Sp. Name], "Code Not Found")</f>
        <v>saccharum</v>
      </c>
      <c r="N1410" t="str">
        <f>_xlfn.XLOOKUP(C1410,Table2[Species],Table2[Family],"Code Not Found")</f>
        <v>Sapindaceae</v>
      </c>
      <c r="O1410" t="str" cm="1">
        <f t="array" ref="O1410">_xlfn.IFS(F1410="","",F1410&lt;=5,"0 to 5",F1410&lt;=10,"5.1 to 10",F1410&lt;=20,"10 to 20", F1410&lt;= 40, "20 to 40", F1410 &lt;= 50, "40 to 50", F1410 &gt; 50, "&gt;50" )</f>
        <v>0 to 5</v>
      </c>
    </row>
    <row r="1411" spans="1:15" ht="14.4" x14ac:dyDescent="0.3">
      <c r="A1411" t="s">
        <v>293</v>
      </c>
      <c r="B1411" s="1">
        <v>46198</v>
      </c>
      <c r="C1411" t="s">
        <v>16</v>
      </c>
      <c r="D1411">
        <v>1289</v>
      </c>
      <c r="E1411">
        <v>1</v>
      </c>
      <c r="F1411">
        <v>2.4</v>
      </c>
      <c r="G1411" t="s">
        <v>21</v>
      </c>
      <c r="I1411" t="str">
        <f t="shared" si="24"/>
        <v>1289_1</v>
      </c>
      <c r="J1411" t="s">
        <v>294</v>
      </c>
      <c r="K1411" t="s">
        <v>19</v>
      </c>
      <c r="L1411" t="str">
        <f>_xlfn.XLOOKUP(C1411, Table2[Species],Table2[Genus], "Code Not Found")</f>
        <v>Acer</v>
      </c>
      <c r="M1411" t="str">
        <f>_xlfn.XLOOKUP(C1411, Table2[Species],Table2[Sp. Name], "Code Not Found")</f>
        <v>saccharum</v>
      </c>
      <c r="N1411" t="str">
        <f>_xlfn.XLOOKUP(C1411,Table2[Species],Table2[Family],"Code Not Found")</f>
        <v>Sapindaceae</v>
      </c>
      <c r="O1411" t="str" cm="1">
        <f t="array" ref="O1411">_xlfn.IFS(F1411="","",F1411&lt;=5,"0 to 5",F1411&lt;=10,"5.1 to 10",F1411&lt;=20,"10 to 20", F1411&lt;= 40, "20 to 40", F1411 &lt;= 50, "40 to 50", F1411 &gt; 50, "&gt;50" )</f>
        <v>0 to 5</v>
      </c>
    </row>
    <row r="1412" spans="1:15" ht="14.4" x14ac:dyDescent="0.3">
      <c r="A1412" t="s">
        <v>293</v>
      </c>
      <c r="B1412" s="1">
        <v>46198</v>
      </c>
      <c r="C1412" t="s">
        <v>16</v>
      </c>
      <c r="D1412">
        <v>1290</v>
      </c>
      <c r="E1412">
        <v>1</v>
      </c>
      <c r="F1412">
        <v>2.2000000000000002</v>
      </c>
      <c r="G1412" t="s">
        <v>34</v>
      </c>
      <c r="I1412" t="str">
        <f t="shared" si="24"/>
        <v>1290_1</v>
      </c>
      <c r="J1412" t="s">
        <v>294</v>
      </c>
      <c r="K1412" t="s">
        <v>19</v>
      </c>
      <c r="L1412" t="str">
        <f>_xlfn.XLOOKUP(C1412, Table2[Species],Table2[Genus], "Code Not Found")</f>
        <v>Acer</v>
      </c>
      <c r="M1412" t="str">
        <f>_xlfn.XLOOKUP(C1412, Table2[Species],Table2[Sp. Name], "Code Not Found")</f>
        <v>saccharum</v>
      </c>
      <c r="N1412" t="str">
        <f>_xlfn.XLOOKUP(C1412,Table2[Species],Table2[Family],"Code Not Found")</f>
        <v>Sapindaceae</v>
      </c>
      <c r="O1412" t="str" cm="1">
        <f t="array" ref="O1412">_xlfn.IFS(F1412="","",F1412&lt;=5,"0 to 5",F1412&lt;=10,"5.1 to 10",F1412&lt;=20,"10 to 20", F1412&lt;= 40, "20 to 40", F1412 &lt;= 50, "40 to 50", F1412 &gt; 50, "&gt;50" )</f>
        <v>0 to 5</v>
      </c>
    </row>
    <row r="1413" spans="1:15" ht="14.4" x14ac:dyDescent="0.3">
      <c r="A1413" t="s">
        <v>293</v>
      </c>
      <c r="B1413" s="1">
        <v>46198</v>
      </c>
      <c r="C1413" t="s">
        <v>16</v>
      </c>
      <c r="D1413">
        <v>1290</v>
      </c>
      <c r="E1413">
        <v>2</v>
      </c>
      <c r="F1413">
        <v>1.2</v>
      </c>
      <c r="G1413" t="s">
        <v>34</v>
      </c>
      <c r="I1413" t="str">
        <f t="shared" si="24"/>
        <v>1290_2</v>
      </c>
      <c r="J1413" t="s">
        <v>294</v>
      </c>
      <c r="K1413" t="s">
        <v>19</v>
      </c>
      <c r="L1413" t="str">
        <f>_xlfn.XLOOKUP(C1413, Table2[Species],Table2[Genus], "Code Not Found")</f>
        <v>Acer</v>
      </c>
      <c r="M1413" t="str">
        <f>_xlfn.XLOOKUP(C1413, Table2[Species],Table2[Sp. Name], "Code Not Found")</f>
        <v>saccharum</v>
      </c>
      <c r="N1413" t="str">
        <f>_xlfn.XLOOKUP(C1413,Table2[Species],Table2[Family],"Code Not Found")</f>
        <v>Sapindaceae</v>
      </c>
      <c r="O1413" t="str" cm="1">
        <f t="array" ref="O1413">_xlfn.IFS(F1413="","",F1413&lt;=5,"0 to 5",F1413&lt;=10,"5.1 to 10",F1413&lt;=20,"10 to 20", F1413&lt;= 40, "20 to 40", F1413 &lt;= 50, "40 to 50", F1413 &gt; 50, "&gt;50" )</f>
        <v>0 to 5</v>
      </c>
    </row>
    <row r="1414" spans="1:15" ht="14.4" x14ac:dyDescent="0.3">
      <c r="A1414" t="s">
        <v>293</v>
      </c>
      <c r="B1414" s="1">
        <v>46198</v>
      </c>
      <c r="C1414" t="s">
        <v>64</v>
      </c>
      <c r="D1414">
        <v>1291</v>
      </c>
      <c r="E1414">
        <v>1</v>
      </c>
      <c r="F1414">
        <v>48.2</v>
      </c>
      <c r="G1414" t="s">
        <v>32</v>
      </c>
      <c r="I1414" t="str">
        <f t="shared" si="24"/>
        <v>1291_1</v>
      </c>
      <c r="J1414" t="s">
        <v>294</v>
      </c>
      <c r="K1414" t="s">
        <v>19</v>
      </c>
      <c r="L1414" t="str">
        <f>_xlfn.XLOOKUP(C1414, Table2[Species],Table2[Genus], "Code Not Found")</f>
        <v>Fagus</v>
      </c>
      <c r="M1414" t="str">
        <f>_xlfn.XLOOKUP(C1414, Table2[Species],Table2[Sp. Name], "Code Not Found")</f>
        <v>grandifolia</v>
      </c>
      <c r="N1414" t="str">
        <f>_xlfn.XLOOKUP(C1414,Table2[Species],Table2[Family],"Code Not Found")</f>
        <v>Fagaceae</v>
      </c>
      <c r="O1414" t="str" cm="1">
        <f t="array" ref="O1414">_xlfn.IFS(F1414="","",F1414&lt;=5,"0 to 5",F1414&lt;=10,"5.1 to 10",F1414&lt;=20,"10 to 20", F1414&lt;= 40, "20 to 40", F1414 &lt;= 50, "40 to 50", F1414 &gt; 50, "&gt;50" )</f>
        <v>40 to 50</v>
      </c>
    </row>
    <row r="1415" spans="1:15" ht="14.4" x14ac:dyDescent="0.3">
      <c r="A1415" t="s">
        <v>293</v>
      </c>
      <c r="B1415" s="1">
        <v>46198</v>
      </c>
      <c r="C1415" t="s">
        <v>64</v>
      </c>
      <c r="D1415">
        <v>1291</v>
      </c>
      <c r="E1415">
        <v>2</v>
      </c>
      <c r="F1415">
        <v>6.4</v>
      </c>
      <c r="G1415" t="s">
        <v>61</v>
      </c>
      <c r="I1415" t="str">
        <f t="shared" si="24"/>
        <v>1291_2</v>
      </c>
      <c r="J1415" t="s">
        <v>294</v>
      </c>
      <c r="K1415" t="s">
        <v>19</v>
      </c>
      <c r="L1415" t="str">
        <f>_xlfn.XLOOKUP(C1415, Table2[Species],Table2[Genus], "Code Not Found")</f>
        <v>Fagus</v>
      </c>
      <c r="M1415" t="str">
        <f>_xlfn.XLOOKUP(C1415, Table2[Species],Table2[Sp. Name], "Code Not Found")</f>
        <v>grandifolia</v>
      </c>
      <c r="N1415" t="str">
        <f>_xlfn.XLOOKUP(C1415,Table2[Species],Table2[Family],"Code Not Found")</f>
        <v>Fagaceae</v>
      </c>
      <c r="O1415" t="str" cm="1">
        <f t="array" ref="O1415">_xlfn.IFS(F1415="","",F1415&lt;=5,"0 to 5",F1415&lt;=10,"5.1 to 10",F1415&lt;=20,"10 to 20", F1415&lt;= 40, "20 to 40", F1415 &lt;= 50, "40 to 50", F1415 &gt; 50, "&gt;50" )</f>
        <v>5.1 to 10</v>
      </c>
    </row>
    <row r="1416" spans="1:15" ht="14.4" x14ac:dyDescent="0.3">
      <c r="A1416" t="s">
        <v>293</v>
      </c>
      <c r="B1416" s="1">
        <v>46198</v>
      </c>
      <c r="C1416" t="s">
        <v>64</v>
      </c>
      <c r="D1416">
        <v>1292</v>
      </c>
      <c r="E1416">
        <v>1</v>
      </c>
      <c r="F1416">
        <v>18</v>
      </c>
      <c r="G1416" t="s">
        <v>21</v>
      </c>
      <c r="I1416" t="str">
        <f t="shared" si="24"/>
        <v>1292_1</v>
      </c>
      <c r="J1416" t="s">
        <v>294</v>
      </c>
      <c r="K1416" t="s">
        <v>19</v>
      </c>
      <c r="L1416" t="str">
        <f>_xlfn.XLOOKUP(C1416, Table2[Species],Table2[Genus], "Code Not Found")</f>
        <v>Fagus</v>
      </c>
      <c r="M1416" t="str">
        <f>_xlfn.XLOOKUP(C1416, Table2[Species],Table2[Sp. Name], "Code Not Found")</f>
        <v>grandifolia</v>
      </c>
      <c r="N1416" t="str">
        <f>_xlfn.XLOOKUP(C1416,Table2[Species],Table2[Family],"Code Not Found")</f>
        <v>Fagaceae</v>
      </c>
      <c r="O1416" t="str" cm="1">
        <f t="array" ref="O1416">_xlfn.IFS(F1416="","",F1416&lt;=5,"0 to 5",F1416&lt;=10,"5.1 to 10",F1416&lt;=20,"10 to 20", F1416&lt;= 40, "20 to 40", F1416 &lt;= 50, "40 to 50", F1416 &gt; 50, "&gt;50" )</f>
        <v>10 to 20</v>
      </c>
    </row>
    <row r="1417" spans="1:15" ht="14.4" x14ac:dyDescent="0.3">
      <c r="A1417" t="s">
        <v>293</v>
      </c>
      <c r="B1417" s="1">
        <v>46198</v>
      </c>
      <c r="C1417" t="s">
        <v>16</v>
      </c>
      <c r="D1417">
        <v>1293</v>
      </c>
      <c r="E1417">
        <v>1</v>
      </c>
      <c r="F1417">
        <v>6.9</v>
      </c>
      <c r="G1417" t="s">
        <v>21</v>
      </c>
      <c r="I1417" t="str">
        <f t="shared" si="24"/>
        <v>1293_1</v>
      </c>
      <c r="J1417" t="s">
        <v>294</v>
      </c>
      <c r="K1417" t="s">
        <v>19</v>
      </c>
      <c r="L1417" t="str">
        <f>_xlfn.XLOOKUP(C1417, Table2[Species],Table2[Genus], "Code Not Found")</f>
        <v>Acer</v>
      </c>
      <c r="M1417" t="str">
        <f>_xlfn.XLOOKUP(C1417, Table2[Species],Table2[Sp. Name], "Code Not Found")</f>
        <v>saccharum</v>
      </c>
      <c r="N1417" t="str">
        <f>_xlfn.XLOOKUP(C1417,Table2[Species],Table2[Family],"Code Not Found")</f>
        <v>Sapindaceae</v>
      </c>
      <c r="O1417" t="str" cm="1">
        <f t="array" ref="O1417">_xlfn.IFS(F1417="","",F1417&lt;=5,"0 to 5",F1417&lt;=10,"5.1 to 10",F1417&lt;=20,"10 to 20", F1417&lt;= 40, "20 to 40", F1417 &lt;= 50, "40 to 50", F1417 &gt; 50, "&gt;50" )</f>
        <v>5.1 to 10</v>
      </c>
    </row>
    <row r="1418" spans="1:15" ht="14.4" x14ac:dyDescent="0.3">
      <c r="A1418" t="s">
        <v>293</v>
      </c>
      <c r="B1418" s="1">
        <v>46198</v>
      </c>
      <c r="C1418" t="s">
        <v>16</v>
      </c>
      <c r="D1418">
        <v>1294</v>
      </c>
      <c r="E1418">
        <v>1</v>
      </c>
      <c r="F1418">
        <v>2.6</v>
      </c>
      <c r="G1418" t="s">
        <v>17</v>
      </c>
      <c r="I1418" t="str">
        <f t="shared" si="24"/>
        <v>1294_1</v>
      </c>
      <c r="J1418" t="s">
        <v>294</v>
      </c>
      <c r="K1418" t="s">
        <v>19</v>
      </c>
      <c r="L1418" t="str">
        <f>_xlfn.XLOOKUP(C1418, Table2[Species],Table2[Genus], "Code Not Found")</f>
        <v>Acer</v>
      </c>
      <c r="M1418" t="str">
        <f>_xlfn.XLOOKUP(C1418, Table2[Species],Table2[Sp. Name], "Code Not Found")</f>
        <v>saccharum</v>
      </c>
      <c r="N1418" t="str">
        <f>_xlfn.XLOOKUP(C1418,Table2[Species],Table2[Family],"Code Not Found")</f>
        <v>Sapindaceae</v>
      </c>
      <c r="O1418" t="str" cm="1">
        <f t="array" ref="O1418">_xlfn.IFS(F1418="","",F1418&lt;=5,"0 to 5",F1418&lt;=10,"5.1 to 10",F1418&lt;=20,"10 to 20", F1418&lt;= 40, "20 to 40", F1418 &lt;= 50, "40 to 50", F1418 &gt; 50, "&gt;50" )</f>
        <v>0 to 5</v>
      </c>
    </row>
    <row r="1419" spans="1:15" ht="14.4" x14ac:dyDescent="0.3">
      <c r="A1419" t="s">
        <v>293</v>
      </c>
      <c r="B1419" s="1">
        <v>46198</v>
      </c>
      <c r="C1419" t="s">
        <v>16</v>
      </c>
      <c r="D1419">
        <v>1295</v>
      </c>
      <c r="E1419">
        <v>1</v>
      </c>
      <c r="F1419">
        <v>4.9000000000000004</v>
      </c>
      <c r="G1419" t="s">
        <v>21</v>
      </c>
      <c r="I1419" t="str">
        <f t="shared" si="24"/>
        <v>1295_1</v>
      </c>
      <c r="J1419" t="s">
        <v>294</v>
      </c>
      <c r="K1419" t="s">
        <v>19</v>
      </c>
      <c r="L1419" t="str">
        <f>_xlfn.XLOOKUP(C1419, Table2[Species],Table2[Genus], "Code Not Found")</f>
        <v>Acer</v>
      </c>
      <c r="M1419" t="str">
        <f>_xlfn.XLOOKUP(C1419, Table2[Species],Table2[Sp. Name], "Code Not Found")</f>
        <v>saccharum</v>
      </c>
      <c r="N1419" t="str">
        <f>_xlfn.XLOOKUP(C1419,Table2[Species],Table2[Family],"Code Not Found")</f>
        <v>Sapindaceae</v>
      </c>
      <c r="O1419" t="str" cm="1">
        <f t="array" ref="O1419">_xlfn.IFS(F1419="","",F1419&lt;=5,"0 to 5",F1419&lt;=10,"5.1 to 10",F1419&lt;=20,"10 to 20", F1419&lt;= 40, "20 to 40", F1419 &lt;= 50, "40 to 50", F1419 &gt; 50, "&gt;50" )</f>
        <v>0 to 5</v>
      </c>
    </row>
    <row r="1420" spans="1:15" ht="14.4" x14ac:dyDescent="0.3">
      <c r="A1420" t="s">
        <v>293</v>
      </c>
      <c r="B1420" s="1">
        <v>46198</v>
      </c>
      <c r="C1420" t="s">
        <v>16</v>
      </c>
      <c r="D1420">
        <v>1296</v>
      </c>
      <c r="E1420">
        <v>1</v>
      </c>
      <c r="F1420">
        <v>3.1</v>
      </c>
      <c r="G1420" t="s">
        <v>17</v>
      </c>
      <c r="H1420" t="s">
        <v>36</v>
      </c>
      <c r="I1420" t="str">
        <f t="shared" si="24"/>
        <v>1296_1</v>
      </c>
      <c r="J1420" t="s">
        <v>294</v>
      </c>
      <c r="K1420" t="s">
        <v>19</v>
      </c>
      <c r="L1420" t="str">
        <f>_xlfn.XLOOKUP(C1420, Table2[Species],Table2[Genus], "Code Not Found")</f>
        <v>Acer</v>
      </c>
      <c r="M1420" t="str">
        <f>_xlfn.XLOOKUP(C1420, Table2[Species],Table2[Sp. Name], "Code Not Found")</f>
        <v>saccharum</v>
      </c>
      <c r="N1420" t="str">
        <f>_xlfn.XLOOKUP(C1420,Table2[Species],Table2[Family],"Code Not Found")</f>
        <v>Sapindaceae</v>
      </c>
      <c r="O1420" t="str" cm="1">
        <f t="array" ref="O1420">_xlfn.IFS(F1420="","",F1420&lt;=5,"0 to 5",F1420&lt;=10,"5.1 to 10",F1420&lt;=20,"10 to 20", F1420&lt;= 40, "20 to 40", F1420 &lt;= 50, "40 to 50", F1420 &gt; 50, "&gt;50" )</f>
        <v>0 to 5</v>
      </c>
    </row>
    <row r="1421" spans="1:15" ht="14.4" x14ac:dyDescent="0.3">
      <c r="A1421" t="s">
        <v>293</v>
      </c>
      <c r="B1421" s="1">
        <v>46198</v>
      </c>
      <c r="C1421" t="s">
        <v>64</v>
      </c>
      <c r="D1421">
        <v>1297</v>
      </c>
      <c r="E1421">
        <v>1</v>
      </c>
      <c r="F1421">
        <v>1.7</v>
      </c>
      <c r="G1421" t="s">
        <v>47</v>
      </c>
      <c r="H1421" t="s">
        <v>296</v>
      </c>
      <c r="I1421" t="str">
        <f t="shared" si="24"/>
        <v>1297_1</v>
      </c>
      <c r="J1421" t="s">
        <v>294</v>
      </c>
      <c r="K1421" t="s">
        <v>19</v>
      </c>
      <c r="L1421" t="str">
        <f>_xlfn.XLOOKUP(C1421, Table2[Species],Table2[Genus], "Code Not Found")</f>
        <v>Fagus</v>
      </c>
      <c r="M1421" t="str">
        <f>_xlfn.XLOOKUP(C1421, Table2[Species],Table2[Sp. Name], "Code Not Found")</f>
        <v>grandifolia</v>
      </c>
      <c r="N1421" t="str">
        <f>_xlfn.XLOOKUP(C1421,Table2[Species],Table2[Family],"Code Not Found")</f>
        <v>Fagaceae</v>
      </c>
      <c r="O1421" t="str" cm="1">
        <f t="array" ref="O1421">_xlfn.IFS(F1421="","",F1421&lt;=5,"0 to 5",F1421&lt;=10,"5.1 to 10",F1421&lt;=20,"10 to 20", F1421&lt;= 40, "20 to 40", F1421 &lt;= 50, "40 to 50", F1421 &gt; 50, "&gt;50" )</f>
        <v>0 to 5</v>
      </c>
    </row>
    <row r="1422" spans="1:15" ht="14.4" x14ac:dyDescent="0.3">
      <c r="A1422" t="s">
        <v>293</v>
      </c>
      <c r="B1422" s="1">
        <v>46198</v>
      </c>
      <c r="C1422" t="s">
        <v>16</v>
      </c>
      <c r="D1422">
        <v>1298</v>
      </c>
      <c r="E1422">
        <v>1</v>
      </c>
      <c r="F1422">
        <v>3.2</v>
      </c>
      <c r="G1422" t="s">
        <v>88</v>
      </c>
      <c r="H1422" t="s">
        <v>262</v>
      </c>
      <c r="I1422" t="str">
        <f t="shared" si="24"/>
        <v>1298_1</v>
      </c>
      <c r="J1422" t="s">
        <v>294</v>
      </c>
      <c r="K1422" t="s">
        <v>19</v>
      </c>
      <c r="L1422" t="str">
        <f>_xlfn.XLOOKUP(C1422, Table2[Species],Table2[Genus], "Code Not Found")</f>
        <v>Acer</v>
      </c>
      <c r="M1422" t="str">
        <f>_xlfn.XLOOKUP(C1422, Table2[Species],Table2[Sp. Name], "Code Not Found")</f>
        <v>saccharum</v>
      </c>
      <c r="N1422" t="str">
        <f>_xlfn.XLOOKUP(C1422,Table2[Species],Table2[Family],"Code Not Found")</f>
        <v>Sapindaceae</v>
      </c>
      <c r="O1422" t="str" cm="1">
        <f t="array" ref="O1422">_xlfn.IFS(F1422="","",F1422&lt;=5,"0 to 5",F1422&lt;=10,"5.1 to 10",F1422&lt;=20,"10 to 20", F1422&lt;= 40, "20 to 40", F1422 &lt;= 50, "40 to 50", F1422 &gt; 50, "&gt;50" )</f>
        <v>0 to 5</v>
      </c>
    </row>
    <row r="1423" spans="1:15" ht="14.4" x14ac:dyDescent="0.3">
      <c r="A1423" t="s">
        <v>293</v>
      </c>
      <c r="B1423" s="1">
        <v>46198</v>
      </c>
      <c r="C1423" t="s">
        <v>16</v>
      </c>
      <c r="D1423">
        <v>1299</v>
      </c>
      <c r="E1423">
        <v>1</v>
      </c>
      <c r="F1423">
        <v>20.100000000000001</v>
      </c>
      <c r="G1423" t="s">
        <v>21</v>
      </c>
      <c r="I1423" t="str">
        <f t="shared" si="24"/>
        <v>1299_1</v>
      </c>
      <c r="J1423" t="s">
        <v>294</v>
      </c>
      <c r="K1423" t="s">
        <v>19</v>
      </c>
      <c r="L1423" t="str">
        <f>_xlfn.XLOOKUP(C1423, Table2[Species],Table2[Genus], "Code Not Found")</f>
        <v>Acer</v>
      </c>
      <c r="M1423" t="str">
        <f>_xlfn.XLOOKUP(C1423, Table2[Species],Table2[Sp. Name], "Code Not Found")</f>
        <v>saccharum</v>
      </c>
      <c r="N1423" t="str">
        <f>_xlfn.XLOOKUP(C1423,Table2[Species],Table2[Family],"Code Not Found")</f>
        <v>Sapindaceae</v>
      </c>
      <c r="O1423" t="str" cm="1">
        <f t="array" ref="O1423">_xlfn.IFS(F1423="","",F1423&lt;=5,"0 to 5",F1423&lt;=10,"5.1 to 10",F1423&lt;=20,"10 to 20", F1423&lt;= 40, "20 to 40", F1423 &lt;= 50, "40 to 50", F1423 &gt; 50, "&gt;50" )</f>
        <v>20 to 40</v>
      </c>
    </row>
    <row r="1424" spans="1:15" ht="14.4" x14ac:dyDescent="0.3">
      <c r="A1424" t="s">
        <v>293</v>
      </c>
      <c r="B1424" s="1">
        <v>46198</v>
      </c>
      <c r="C1424" t="s">
        <v>16</v>
      </c>
      <c r="D1424">
        <v>1300</v>
      </c>
      <c r="E1424">
        <v>1</v>
      </c>
      <c r="F1424">
        <v>1.8</v>
      </c>
      <c r="G1424" t="s">
        <v>54</v>
      </c>
      <c r="H1424" t="s">
        <v>297</v>
      </c>
      <c r="I1424" t="str">
        <f t="shared" si="24"/>
        <v>1300_1</v>
      </c>
      <c r="J1424" t="s">
        <v>294</v>
      </c>
      <c r="K1424" t="s">
        <v>19</v>
      </c>
      <c r="L1424" t="str">
        <f>_xlfn.XLOOKUP(C1424, Table2[Species],Table2[Genus], "Code Not Found")</f>
        <v>Acer</v>
      </c>
      <c r="M1424" t="str">
        <f>_xlfn.XLOOKUP(C1424, Table2[Species],Table2[Sp. Name], "Code Not Found")</f>
        <v>saccharum</v>
      </c>
      <c r="N1424" t="str">
        <f>_xlfn.XLOOKUP(C1424,Table2[Species],Table2[Family],"Code Not Found")</f>
        <v>Sapindaceae</v>
      </c>
      <c r="O1424" t="str" cm="1">
        <f t="array" ref="O1424">_xlfn.IFS(F1424="","",F1424&lt;=5,"0 to 5",F1424&lt;=10,"5.1 to 10",F1424&lt;=20,"10 to 20", F1424&lt;= 40, "20 to 40", F1424 &lt;= 50, "40 to 50", F1424 &gt; 50, "&gt;50" )</f>
        <v>0 to 5</v>
      </c>
    </row>
    <row r="1425" spans="1:15" ht="14.4" x14ac:dyDescent="0.3">
      <c r="A1425" t="s">
        <v>293</v>
      </c>
      <c r="B1425" s="1">
        <v>46198</v>
      </c>
      <c r="C1425" t="s">
        <v>22</v>
      </c>
      <c r="D1425">
        <v>1301</v>
      </c>
      <c r="E1425">
        <v>1</v>
      </c>
      <c r="F1425">
        <v>3.2</v>
      </c>
      <c r="G1425" t="s">
        <v>47</v>
      </c>
      <c r="I1425" t="str">
        <f t="shared" si="24"/>
        <v>1301_1</v>
      </c>
      <c r="J1425" t="s">
        <v>294</v>
      </c>
      <c r="K1425" t="s">
        <v>19</v>
      </c>
      <c r="L1425" t="str">
        <f>_xlfn.XLOOKUP(C1425, Table2[Species],Table2[Genus], "Code Not Found")</f>
        <v>Acer</v>
      </c>
      <c r="M1425" t="str">
        <f>_xlfn.XLOOKUP(C1425, Table2[Species],Table2[Sp. Name], "Code Not Found")</f>
        <v>rubrum</v>
      </c>
      <c r="N1425" t="str">
        <f>_xlfn.XLOOKUP(C1425,Table2[Species],Table2[Family],"Code Not Found")</f>
        <v>Sapindaceae</v>
      </c>
      <c r="O1425" t="str" cm="1">
        <f t="array" ref="O1425">_xlfn.IFS(F1425="","",F1425&lt;=5,"0 to 5",F1425&lt;=10,"5.1 to 10",F1425&lt;=20,"10 to 20", F1425&lt;= 40, "20 to 40", F1425 &lt;= 50, "40 to 50", F1425 &gt; 50, "&gt;50" )</f>
        <v>0 to 5</v>
      </c>
    </row>
    <row r="1426" spans="1:15" ht="14.4" x14ac:dyDescent="0.3">
      <c r="A1426" t="s">
        <v>293</v>
      </c>
      <c r="B1426" s="1">
        <v>46198</v>
      </c>
      <c r="C1426" t="s">
        <v>22</v>
      </c>
      <c r="D1426">
        <v>1302</v>
      </c>
      <c r="E1426">
        <v>1</v>
      </c>
      <c r="F1426">
        <v>23.7</v>
      </c>
      <c r="G1426" t="s">
        <v>88</v>
      </c>
      <c r="H1426" t="s">
        <v>36</v>
      </c>
      <c r="I1426" t="str">
        <f t="shared" si="24"/>
        <v>1302_1</v>
      </c>
      <c r="J1426" t="s">
        <v>294</v>
      </c>
      <c r="K1426" t="s">
        <v>19</v>
      </c>
      <c r="L1426" t="str">
        <f>_xlfn.XLOOKUP(C1426, Table2[Species],Table2[Genus], "Code Not Found")</f>
        <v>Acer</v>
      </c>
      <c r="M1426" t="str">
        <f>_xlfn.XLOOKUP(C1426, Table2[Species],Table2[Sp. Name], "Code Not Found")</f>
        <v>rubrum</v>
      </c>
      <c r="N1426" t="str">
        <f>_xlfn.XLOOKUP(C1426,Table2[Species],Table2[Family],"Code Not Found")</f>
        <v>Sapindaceae</v>
      </c>
      <c r="O1426" t="str" cm="1">
        <f t="array" ref="O1426">_xlfn.IFS(F1426="","",F1426&lt;=5,"0 to 5",F1426&lt;=10,"5.1 to 10",F1426&lt;=20,"10 to 20", F1426&lt;= 40, "20 to 40", F1426 &lt;= 50, "40 to 50", F1426 &gt; 50, "&gt;50" )</f>
        <v>20 to 40</v>
      </c>
    </row>
    <row r="1427" spans="1:15" ht="14.4" x14ac:dyDescent="0.3">
      <c r="A1427" t="s">
        <v>293</v>
      </c>
      <c r="B1427" s="1">
        <v>46198</v>
      </c>
      <c r="C1427" t="s">
        <v>55</v>
      </c>
      <c r="D1427">
        <v>1303</v>
      </c>
      <c r="E1427">
        <v>1</v>
      </c>
      <c r="F1427">
        <v>86.9</v>
      </c>
      <c r="G1427" t="s">
        <v>21</v>
      </c>
      <c r="I1427" t="str">
        <f t="shared" si="24"/>
        <v>1303_1</v>
      </c>
      <c r="J1427" t="s">
        <v>294</v>
      </c>
      <c r="K1427" t="s">
        <v>19</v>
      </c>
      <c r="L1427" t="str">
        <f>_xlfn.XLOOKUP(C1427, Table2[Species],Table2[Genus], "Code Not Found")</f>
        <v>Magnolia</v>
      </c>
      <c r="M1427" t="str">
        <f>_xlfn.XLOOKUP(C1427, Table2[Species],Table2[Sp. Name], "Code Not Found")</f>
        <v>acuminata</v>
      </c>
      <c r="N1427" t="str">
        <f>_xlfn.XLOOKUP(C1427,Table2[Species],Table2[Family],"Code Not Found")</f>
        <v>Magnoliaceae</v>
      </c>
      <c r="O1427" t="str" cm="1">
        <f t="array" ref="O1427">_xlfn.IFS(F1427="","",F1427&lt;=5,"0 to 5",F1427&lt;=10,"5.1 to 10",F1427&lt;=20,"10 to 20", F1427&lt;= 40, "20 to 40", F1427 &lt;= 50, "40 to 50", F1427 &gt; 50, "&gt;50" )</f>
        <v>&gt;50</v>
      </c>
    </row>
    <row r="1428" spans="1:15" ht="14.4" x14ac:dyDescent="0.3">
      <c r="A1428" t="s">
        <v>293</v>
      </c>
      <c r="B1428" s="1">
        <v>46198</v>
      </c>
      <c r="C1428" t="s">
        <v>16</v>
      </c>
      <c r="D1428">
        <v>1304</v>
      </c>
      <c r="E1428">
        <v>1</v>
      </c>
      <c r="F1428">
        <v>7.2</v>
      </c>
      <c r="G1428" t="s">
        <v>17</v>
      </c>
      <c r="I1428" t="str">
        <f t="shared" si="24"/>
        <v>1304_1</v>
      </c>
      <c r="J1428" t="s">
        <v>294</v>
      </c>
      <c r="K1428" t="s">
        <v>19</v>
      </c>
      <c r="L1428" t="str">
        <f>_xlfn.XLOOKUP(C1428, Table2[Species],Table2[Genus], "Code Not Found")</f>
        <v>Acer</v>
      </c>
      <c r="M1428" t="str">
        <f>_xlfn.XLOOKUP(C1428, Table2[Species],Table2[Sp. Name], "Code Not Found")</f>
        <v>saccharum</v>
      </c>
      <c r="N1428" t="str">
        <f>_xlfn.XLOOKUP(C1428,Table2[Species],Table2[Family],"Code Not Found")</f>
        <v>Sapindaceae</v>
      </c>
      <c r="O1428" t="str" cm="1">
        <f t="array" ref="O1428">_xlfn.IFS(F1428="","",F1428&lt;=5,"0 to 5",F1428&lt;=10,"5.1 to 10",F1428&lt;=20,"10 to 20", F1428&lt;= 40, "20 to 40", F1428 &lt;= 50, "40 to 50", F1428 &gt; 50, "&gt;50" )</f>
        <v>5.1 to 10</v>
      </c>
    </row>
    <row r="1429" spans="1:15" ht="14.4" x14ac:dyDescent="0.3">
      <c r="A1429" t="s">
        <v>293</v>
      </c>
      <c r="B1429" s="1">
        <v>46198</v>
      </c>
      <c r="C1429" t="s">
        <v>55</v>
      </c>
      <c r="D1429">
        <v>1305</v>
      </c>
      <c r="E1429">
        <v>1</v>
      </c>
      <c r="F1429">
        <v>3.2</v>
      </c>
      <c r="G1429" t="s">
        <v>47</v>
      </c>
      <c r="H1429" t="s">
        <v>296</v>
      </c>
      <c r="I1429" t="str">
        <f t="shared" si="24"/>
        <v>1305_1</v>
      </c>
      <c r="J1429" t="s">
        <v>294</v>
      </c>
      <c r="K1429" t="s">
        <v>19</v>
      </c>
      <c r="L1429" t="str">
        <f>_xlfn.XLOOKUP(C1429, Table2[Species],Table2[Genus], "Code Not Found")</f>
        <v>Magnolia</v>
      </c>
      <c r="M1429" t="str">
        <f>_xlfn.XLOOKUP(C1429, Table2[Species],Table2[Sp. Name], "Code Not Found")</f>
        <v>acuminata</v>
      </c>
      <c r="N1429" t="str">
        <f>_xlfn.XLOOKUP(C1429,Table2[Species],Table2[Family],"Code Not Found")</f>
        <v>Magnoliaceae</v>
      </c>
      <c r="O1429" t="str" cm="1">
        <f t="array" ref="O1429">_xlfn.IFS(F1429="","",F1429&lt;=5,"0 to 5",F1429&lt;=10,"5.1 to 10",F1429&lt;=20,"10 to 20", F1429&lt;= 40, "20 to 40", F1429 &lt;= 50, "40 to 50", F1429 &gt; 50, "&gt;50" )</f>
        <v>0 to 5</v>
      </c>
    </row>
    <row r="1430" spans="1:15" ht="14.4" x14ac:dyDescent="0.3">
      <c r="A1430" t="s">
        <v>293</v>
      </c>
      <c r="B1430" s="1">
        <v>46198</v>
      </c>
      <c r="C1430" t="s">
        <v>16</v>
      </c>
      <c r="D1430">
        <v>1306</v>
      </c>
      <c r="E1430">
        <v>1</v>
      </c>
      <c r="F1430">
        <v>3.5</v>
      </c>
      <c r="G1430" t="s">
        <v>47</v>
      </c>
      <c r="H1430" t="s">
        <v>298</v>
      </c>
      <c r="I1430" t="str">
        <f t="shared" si="24"/>
        <v>1306_1</v>
      </c>
      <c r="J1430" t="s">
        <v>294</v>
      </c>
      <c r="K1430" t="s">
        <v>19</v>
      </c>
      <c r="L1430" t="str">
        <f>_xlfn.XLOOKUP(C1430, Table2[Species],Table2[Genus], "Code Not Found")</f>
        <v>Acer</v>
      </c>
      <c r="M1430" t="str">
        <f>_xlfn.XLOOKUP(C1430, Table2[Species],Table2[Sp. Name], "Code Not Found")</f>
        <v>saccharum</v>
      </c>
      <c r="N1430" t="str">
        <f>_xlfn.XLOOKUP(C1430,Table2[Species],Table2[Family],"Code Not Found")</f>
        <v>Sapindaceae</v>
      </c>
      <c r="O1430" t="str" cm="1">
        <f t="array" ref="O1430">_xlfn.IFS(F1430="","",F1430&lt;=5,"0 to 5",F1430&lt;=10,"5.1 to 10",F1430&lt;=20,"10 to 20", F1430&lt;= 40, "20 to 40", F1430 &lt;= 50, "40 to 50", F1430 &gt; 50, "&gt;50" )</f>
        <v>0 to 5</v>
      </c>
    </row>
    <row r="1431" spans="1:15" ht="14.4" x14ac:dyDescent="0.3">
      <c r="A1431" t="s">
        <v>293</v>
      </c>
      <c r="B1431" s="1">
        <v>46198</v>
      </c>
      <c r="C1431" t="s">
        <v>16</v>
      </c>
      <c r="D1431">
        <v>1307</v>
      </c>
      <c r="E1431">
        <v>1</v>
      </c>
      <c r="F1431">
        <v>10.1</v>
      </c>
      <c r="G1431" t="s">
        <v>254</v>
      </c>
      <c r="H1431" t="s">
        <v>299</v>
      </c>
      <c r="I1431" t="str">
        <f t="shared" si="24"/>
        <v>1307_1</v>
      </c>
      <c r="J1431" t="s">
        <v>294</v>
      </c>
      <c r="K1431" t="s">
        <v>19</v>
      </c>
      <c r="L1431" t="str">
        <f>_xlfn.XLOOKUP(C1431, Table2[Species],Table2[Genus], "Code Not Found")</f>
        <v>Acer</v>
      </c>
      <c r="M1431" t="str">
        <f>_xlfn.XLOOKUP(C1431, Table2[Species],Table2[Sp. Name], "Code Not Found")</f>
        <v>saccharum</v>
      </c>
      <c r="N1431" t="str">
        <f>_xlfn.XLOOKUP(C1431,Table2[Species],Table2[Family],"Code Not Found")</f>
        <v>Sapindaceae</v>
      </c>
      <c r="O1431" t="str" cm="1">
        <f t="array" ref="O1431">_xlfn.IFS(F1431="","",F1431&lt;=5,"0 to 5",F1431&lt;=10,"5.1 to 10",F1431&lt;=20,"10 to 20", F1431&lt;= 40, "20 to 40", F1431 &lt;= 50, "40 to 50", F1431 &gt; 50, "&gt;50" )</f>
        <v>10 to 20</v>
      </c>
    </row>
    <row r="1432" spans="1:15" ht="14.4" x14ac:dyDescent="0.3">
      <c r="A1432" t="s">
        <v>293</v>
      </c>
      <c r="B1432" s="1">
        <v>46198</v>
      </c>
      <c r="C1432" t="s">
        <v>16</v>
      </c>
      <c r="D1432">
        <v>1308</v>
      </c>
      <c r="E1432">
        <v>1</v>
      </c>
      <c r="F1432">
        <v>2.9</v>
      </c>
      <c r="G1432" t="s">
        <v>88</v>
      </c>
      <c r="H1432" t="s">
        <v>300</v>
      </c>
      <c r="I1432" t="str">
        <f t="shared" si="24"/>
        <v>1308_1</v>
      </c>
      <c r="J1432" t="s">
        <v>294</v>
      </c>
      <c r="K1432" t="s">
        <v>19</v>
      </c>
      <c r="L1432" t="str">
        <f>_xlfn.XLOOKUP(C1432, Table2[Species],Table2[Genus], "Code Not Found")</f>
        <v>Acer</v>
      </c>
      <c r="M1432" t="str">
        <f>_xlfn.XLOOKUP(C1432, Table2[Species],Table2[Sp. Name], "Code Not Found")</f>
        <v>saccharum</v>
      </c>
      <c r="N1432" t="str">
        <f>_xlfn.XLOOKUP(C1432,Table2[Species],Table2[Family],"Code Not Found")</f>
        <v>Sapindaceae</v>
      </c>
      <c r="O1432" t="str" cm="1">
        <f t="array" ref="O1432">_xlfn.IFS(F1432="","",F1432&lt;=5,"0 to 5",F1432&lt;=10,"5.1 to 10",F1432&lt;=20,"10 to 20", F1432&lt;= 40, "20 to 40", F1432 &lt;= 50, "40 to 50", F1432 &gt; 50, "&gt;50" )</f>
        <v>0 to 5</v>
      </c>
    </row>
    <row r="1433" spans="1:15" ht="14.4" x14ac:dyDescent="0.3">
      <c r="A1433" t="s">
        <v>293</v>
      </c>
      <c r="B1433" s="1">
        <v>46198</v>
      </c>
      <c r="C1433" t="s">
        <v>16</v>
      </c>
      <c r="D1433">
        <v>1309</v>
      </c>
      <c r="E1433">
        <v>1</v>
      </c>
      <c r="F1433">
        <v>2.6</v>
      </c>
      <c r="G1433" t="s">
        <v>139</v>
      </c>
      <c r="H1433" t="s">
        <v>301</v>
      </c>
      <c r="I1433" t="str">
        <f t="shared" si="24"/>
        <v>1309_1</v>
      </c>
      <c r="J1433" t="s">
        <v>294</v>
      </c>
      <c r="K1433" t="s">
        <v>19</v>
      </c>
      <c r="L1433" t="str">
        <f>_xlfn.XLOOKUP(C1433, Table2[Species],Table2[Genus], "Code Not Found")</f>
        <v>Acer</v>
      </c>
      <c r="M1433" t="str">
        <f>_xlfn.XLOOKUP(C1433, Table2[Species],Table2[Sp. Name], "Code Not Found")</f>
        <v>saccharum</v>
      </c>
      <c r="N1433" t="str">
        <f>_xlfn.XLOOKUP(C1433,Table2[Species],Table2[Family],"Code Not Found")</f>
        <v>Sapindaceae</v>
      </c>
      <c r="O1433" t="str" cm="1">
        <f t="array" ref="O1433">_xlfn.IFS(F1433="","",F1433&lt;=5,"0 to 5",F1433&lt;=10,"5.1 to 10",F1433&lt;=20,"10 to 20", F1433&lt;= 40, "20 to 40", F1433 &lt;= 50, "40 to 50", F1433 &gt; 50, "&gt;50" )</f>
        <v>0 to 5</v>
      </c>
    </row>
    <row r="1434" spans="1:15" ht="14.4" x14ac:dyDescent="0.3">
      <c r="A1434" t="s">
        <v>293</v>
      </c>
      <c r="B1434" s="1">
        <v>46198</v>
      </c>
      <c r="C1434" t="s">
        <v>16</v>
      </c>
      <c r="D1434">
        <v>1310</v>
      </c>
      <c r="E1434">
        <v>1</v>
      </c>
      <c r="F1434">
        <v>4.3</v>
      </c>
      <c r="G1434" t="s">
        <v>139</v>
      </c>
      <c r="H1434" t="s">
        <v>262</v>
      </c>
      <c r="I1434" t="str">
        <f t="shared" si="24"/>
        <v>1310_1</v>
      </c>
      <c r="J1434" t="s">
        <v>294</v>
      </c>
      <c r="K1434" t="s">
        <v>19</v>
      </c>
      <c r="L1434" t="str">
        <f>_xlfn.XLOOKUP(C1434, Table2[Species],Table2[Genus], "Code Not Found")</f>
        <v>Acer</v>
      </c>
      <c r="M1434" t="str">
        <f>_xlfn.XLOOKUP(C1434, Table2[Species],Table2[Sp. Name], "Code Not Found")</f>
        <v>saccharum</v>
      </c>
      <c r="N1434" t="str">
        <f>_xlfn.XLOOKUP(C1434,Table2[Species],Table2[Family],"Code Not Found")</f>
        <v>Sapindaceae</v>
      </c>
      <c r="O1434" t="str" cm="1">
        <f t="array" ref="O1434">_xlfn.IFS(F1434="","",F1434&lt;=5,"0 to 5",F1434&lt;=10,"5.1 to 10",F1434&lt;=20,"10 to 20", F1434&lt;= 40, "20 to 40", F1434 &lt;= 50, "40 to 50", F1434 &gt; 50, "&gt;50" )</f>
        <v>0 to 5</v>
      </c>
    </row>
    <row r="1435" spans="1:15" ht="14.4" x14ac:dyDescent="0.3">
      <c r="A1435" t="s">
        <v>293</v>
      </c>
      <c r="B1435" s="1">
        <v>46198</v>
      </c>
      <c r="C1435" t="s">
        <v>64</v>
      </c>
      <c r="D1435">
        <v>1311</v>
      </c>
      <c r="E1435">
        <v>1</v>
      </c>
      <c r="F1435">
        <v>32.6</v>
      </c>
      <c r="G1435" t="s">
        <v>21</v>
      </c>
      <c r="I1435" t="str">
        <f t="shared" si="24"/>
        <v>1311_1</v>
      </c>
      <c r="J1435" t="s">
        <v>294</v>
      </c>
      <c r="K1435" t="s">
        <v>19</v>
      </c>
      <c r="L1435" t="str">
        <f>_xlfn.XLOOKUP(C1435, Table2[Species],Table2[Genus], "Code Not Found")</f>
        <v>Fagus</v>
      </c>
      <c r="M1435" t="str">
        <f>_xlfn.XLOOKUP(C1435, Table2[Species],Table2[Sp. Name], "Code Not Found")</f>
        <v>grandifolia</v>
      </c>
      <c r="N1435" t="str">
        <f>_xlfn.XLOOKUP(C1435,Table2[Species],Table2[Family],"Code Not Found")</f>
        <v>Fagaceae</v>
      </c>
      <c r="O1435" t="str" cm="1">
        <f t="array" ref="O1435">_xlfn.IFS(F1435="","",F1435&lt;=5,"0 to 5",F1435&lt;=10,"5.1 to 10",F1435&lt;=20,"10 to 20", F1435&lt;= 40, "20 to 40", F1435 &lt;= 50, "40 to 50", F1435 &gt; 50, "&gt;50" )</f>
        <v>20 to 40</v>
      </c>
    </row>
    <row r="1436" spans="1:15" ht="14.4" x14ac:dyDescent="0.3">
      <c r="A1436" t="s">
        <v>293</v>
      </c>
      <c r="B1436" s="1">
        <v>46198</v>
      </c>
      <c r="C1436" t="s">
        <v>16</v>
      </c>
      <c r="D1436">
        <v>1312</v>
      </c>
      <c r="E1436">
        <v>1</v>
      </c>
      <c r="F1436">
        <v>5.6</v>
      </c>
      <c r="G1436" t="s">
        <v>17</v>
      </c>
      <c r="I1436" t="str">
        <f t="shared" si="24"/>
        <v>1312_1</v>
      </c>
      <c r="J1436" t="s">
        <v>294</v>
      </c>
      <c r="K1436" t="s">
        <v>19</v>
      </c>
      <c r="L1436" t="str">
        <f>_xlfn.XLOOKUP(C1436, Table2[Species],Table2[Genus], "Code Not Found")</f>
        <v>Acer</v>
      </c>
      <c r="M1436" t="str">
        <f>_xlfn.XLOOKUP(C1436, Table2[Species],Table2[Sp. Name], "Code Not Found")</f>
        <v>saccharum</v>
      </c>
      <c r="N1436" t="str">
        <f>_xlfn.XLOOKUP(C1436,Table2[Species],Table2[Family],"Code Not Found")</f>
        <v>Sapindaceae</v>
      </c>
      <c r="O1436" t="str" cm="1">
        <f t="array" ref="O1436">_xlfn.IFS(F1436="","",F1436&lt;=5,"0 to 5",F1436&lt;=10,"5.1 to 10",F1436&lt;=20,"10 to 20", F1436&lt;= 40, "20 to 40", F1436 &lt;= 50, "40 to 50", F1436 &gt; 50, "&gt;50" )</f>
        <v>5.1 to 10</v>
      </c>
    </row>
    <row r="1437" spans="1:15" ht="14.4" x14ac:dyDescent="0.3">
      <c r="A1437" t="s">
        <v>293</v>
      </c>
      <c r="B1437" s="1">
        <v>46198</v>
      </c>
      <c r="C1437" t="s">
        <v>16</v>
      </c>
      <c r="D1437">
        <v>1313</v>
      </c>
      <c r="E1437">
        <v>1</v>
      </c>
      <c r="F1437">
        <v>1.9</v>
      </c>
      <c r="G1437" t="s">
        <v>47</v>
      </c>
      <c r="H1437" t="s">
        <v>296</v>
      </c>
      <c r="I1437" t="str">
        <f t="shared" si="24"/>
        <v>1313_1</v>
      </c>
      <c r="J1437" t="s">
        <v>294</v>
      </c>
      <c r="K1437" t="s">
        <v>19</v>
      </c>
      <c r="L1437" t="str">
        <f>_xlfn.XLOOKUP(C1437, Table2[Species],Table2[Genus], "Code Not Found")</f>
        <v>Acer</v>
      </c>
      <c r="M1437" t="str">
        <f>_xlfn.XLOOKUP(C1437, Table2[Species],Table2[Sp. Name], "Code Not Found")</f>
        <v>saccharum</v>
      </c>
      <c r="N1437" t="str">
        <f>_xlfn.XLOOKUP(C1437,Table2[Species],Table2[Family],"Code Not Found")</f>
        <v>Sapindaceae</v>
      </c>
      <c r="O1437" t="str" cm="1">
        <f t="array" ref="O1437">_xlfn.IFS(F1437="","",F1437&lt;=5,"0 to 5",F1437&lt;=10,"5.1 to 10",F1437&lt;=20,"10 to 20", F1437&lt;= 40, "20 to 40", F1437 &lt;= 50, "40 to 50", F1437 &gt; 50, "&gt;50" )</f>
        <v>0 to 5</v>
      </c>
    </row>
    <row r="1438" spans="1:15" ht="14.4" x14ac:dyDescent="0.3">
      <c r="A1438" t="s">
        <v>293</v>
      </c>
      <c r="B1438" s="1">
        <v>46198</v>
      </c>
      <c r="C1438" t="s">
        <v>185</v>
      </c>
      <c r="D1438">
        <v>1314</v>
      </c>
      <c r="E1438">
        <v>1</v>
      </c>
      <c r="F1438">
        <v>20</v>
      </c>
      <c r="G1438" t="s">
        <v>139</v>
      </c>
      <c r="H1438" t="s">
        <v>302</v>
      </c>
      <c r="I1438" t="str">
        <f t="shared" si="24"/>
        <v>1314_1</v>
      </c>
      <c r="J1438" t="s">
        <v>294</v>
      </c>
      <c r="K1438" t="s">
        <v>19</v>
      </c>
      <c r="L1438" t="str">
        <f>_xlfn.XLOOKUP(C1438, Table2[Species],Table2[Genus], "Code Not Found")</f>
        <v>Fraxinus</v>
      </c>
      <c r="M1438" t="str">
        <f>_xlfn.XLOOKUP(C1438, Table2[Species],Table2[Sp. Name], "Code Not Found")</f>
        <v>americana</v>
      </c>
      <c r="N1438" t="str">
        <f>_xlfn.XLOOKUP(C1438,Table2[Species],Table2[Family],"Code Not Found")</f>
        <v>Oleaceae</v>
      </c>
      <c r="O1438" t="str" cm="1">
        <f t="array" ref="O1438">_xlfn.IFS(F1438="","",F1438&lt;=5,"0 to 5",F1438&lt;=10,"5.1 to 10",F1438&lt;=20,"10 to 20", F1438&lt;= 40, "20 to 40", F1438 &lt;= 50, "40 to 50", F1438 &gt; 50, "&gt;50" )</f>
        <v>10 to 20</v>
      </c>
    </row>
    <row r="1439" spans="1:15" ht="14.4" x14ac:dyDescent="0.3">
      <c r="A1439" t="s">
        <v>293</v>
      </c>
      <c r="B1439" s="1">
        <v>46198</v>
      </c>
      <c r="C1439" t="s">
        <v>16</v>
      </c>
      <c r="D1439">
        <v>1315</v>
      </c>
      <c r="E1439">
        <v>1</v>
      </c>
      <c r="F1439">
        <v>4.4000000000000004</v>
      </c>
      <c r="G1439" t="s">
        <v>47</v>
      </c>
      <c r="H1439" t="s">
        <v>296</v>
      </c>
      <c r="I1439" t="str">
        <f t="shared" si="24"/>
        <v>1315_1</v>
      </c>
      <c r="J1439" t="s">
        <v>294</v>
      </c>
      <c r="K1439" t="s">
        <v>19</v>
      </c>
      <c r="L1439" t="str">
        <f>_xlfn.XLOOKUP(C1439, Table2[Species],Table2[Genus], "Code Not Found")</f>
        <v>Acer</v>
      </c>
      <c r="M1439" t="str">
        <f>_xlfn.XLOOKUP(C1439, Table2[Species],Table2[Sp. Name], "Code Not Found")</f>
        <v>saccharum</v>
      </c>
      <c r="N1439" t="str">
        <f>_xlfn.XLOOKUP(C1439,Table2[Species],Table2[Family],"Code Not Found")</f>
        <v>Sapindaceae</v>
      </c>
      <c r="O1439" t="str" cm="1">
        <f t="array" ref="O1439">_xlfn.IFS(F1439="","",F1439&lt;=5,"0 to 5",F1439&lt;=10,"5.1 to 10",F1439&lt;=20,"10 to 20", F1439&lt;= 40, "20 to 40", F1439 &lt;= 50, "40 to 50", F1439 &gt; 50, "&gt;50" )</f>
        <v>0 to 5</v>
      </c>
    </row>
    <row r="1440" spans="1:15" ht="14.4" x14ac:dyDescent="0.3">
      <c r="A1440" t="s">
        <v>293</v>
      </c>
      <c r="B1440" s="1">
        <v>46198</v>
      </c>
      <c r="C1440" t="s">
        <v>16</v>
      </c>
      <c r="D1440">
        <v>1316</v>
      </c>
      <c r="E1440">
        <v>1</v>
      </c>
      <c r="F1440">
        <v>8.5</v>
      </c>
      <c r="G1440" t="s">
        <v>17</v>
      </c>
      <c r="I1440" t="str">
        <f t="shared" si="24"/>
        <v>1316_1</v>
      </c>
      <c r="J1440" t="s">
        <v>294</v>
      </c>
      <c r="K1440" t="s">
        <v>19</v>
      </c>
      <c r="L1440" t="str">
        <f>_xlfn.XLOOKUP(C1440, Table2[Species],Table2[Genus], "Code Not Found")</f>
        <v>Acer</v>
      </c>
      <c r="M1440" t="str">
        <f>_xlfn.XLOOKUP(C1440, Table2[Species],Table2[Sp. Name], "Code Not Found")</f>
        <v>saccharum</v>
      </c>
      <c r="N1440" t="str">
        <f>_xlfn.XLOOKUP(C1440,Table2[Species],Table2[Family],"Code Not Found")</f>
        <v>Sapindaceae</v>
      </c>
      <c r="O1440" t="str" cm="1">
        <f t="array" ref="O1440">_xlfn.IFS(F1440="","",F1440&lt;=5,"0 to 5",F1440&lt;=10,"5.1 to 10",F1440&lt;=20,"10 to 20", F1440&lt;= 40, "20 to 40", F1440 &lt;= 50, "40 to 50", F1440 &gt; 50, "&gt;50" )</f>
        <v>5.1 to 10</v>
      </c>
    </row>
    <row r="1441" spans="1:15" ht="14.4" x14ac:dyDescent="0.3">
      <c r="A1441" t="s">
        <v>293</v>
      </c>
      <c r="B1441" s="1">
        <v>46198</v>
      </c>
      <c r="C1441" t="s">
        <v>16</v>
      </c>
      <c r="D1441">
        <v>1317</v>
      </c>
      <c r="E1441">
        <v>1</v>
      </c>
      <c r="F1441">
        <v>7.1</v>
      </c>
      <c r="G1441" t="s">
        <v>21</v>
      </c>
      <c r="I1441" t="str">
        <f t="shared" si="24"/>
        <v>1317_1</v>
      </c>
      <c r="J1441" t="s">
        <v>294</v>
      </c>
      <c r="K1441" t="s">
        <v>19</v>
      </c>
      <c r="L1441" t="str">
        <f>_xlfn.XLOOKUP(C1441, Table2[Species],Table2[Genus], "Code Not Found")</f>
        <v>Acer</v>
      </c>
      <c r="M1441" t="str">
        <f>_xlfn.XLOOKUP(C1441, Table2[Species],Table2[Sp. Name], "Code Not Found")</f>
        <v>saccharum</v>
      </c>
      <c r="N1441" t="str">
        <f>_xlfn.XLOOKUP(C1441,Table2[Species],Table2[Family],"Code Not Found")</f>
        <v>Sapindaceae</v>
      </c>
      <c r="O1441" t="str" cm="1">
        <f t="array" ref="O1441">_xlfn.IFS(F1441="","",F1441&lt;=5,"0 to 5",F1441&lt;=10,"5.1 to 10",F1441&lt;=20,"10 to 20", F1441&lt;= 40, "20 to 40", F1441 &lt;= 50, "40 to 50", F1441 &gt; 50, "&gt;50" )</f>
        <v>5.1 to 10</v>
      </c>
    </row>
    <row r="1442" spans="1:15" ht="14.4" x14ac:dyDescent="0.3">
      <c r="A1442" t="s">
        <v>293</v>
      </c>
      <c r="B1442" s="1">
        <v>46198</v>
      </c>
      <c r="C1442" t="s">
        <v>16</v>
      </c>
      <c r="D1442">
        <v>1318</v>
      </c>
      <c r="E1442">
        <v>1</v>
      </c>
      <c r="F1442">
        <v>15.4</v>
      </c>
      <c r="G1442" t="s">
        <v>21</v>
      </c>
      <c r="I1442" t="str">
        <f t="shared" si="24"/>
        <v>1318_1</v>
      </c>
      <c r="J1442" t="s">
        <v>294</v>
      </c>
      <c r="K1442" t="s">
        <v>19</v>
      </c>
      <c r="L1442" t="str">
        <f>_xlfn.XLOOKUP(C1442, Table2[Species],Table2[Genus], "Code Not Found")</f>
        <v>Acer</v>
      </c>
      <c r="M1442" t="str">
        <f>_xlfn.XLOOKUP(C1442, Table2[Species],Table2[Sp. Name], "Code Not Found")</f>
        <v>saccharum</v>
      </c>
      <c r="N1442" t="str">
        <f>_xlfn.XLOOKUP(C1442,Table2[Species],Table2[Family],"Code Not Found")</f>
        <v>Sapindaceae</v>
      </c>
      <c r="O1442" t="str" cm="1">
        <f t="array" ref="O1442">_xlfn.IFS(F1442="","",F1442&lt;=5,"0 to 5",F1442&lt;=10,"5.1 to 10",F1442&lt;=20,"10 to 20", F1442&lt;= 40, "20 to 40", F1442 &lt;= 50, "40 to 50", F1442 &gt; 50, "&gt;50" )</f>
        <v>10 to 20</v>
      </c>
    </row>
    <row r="1443" spans="1:15" ht="14.4" x14ac:dyDescent="0.3">
      <c r="A1443" t="s">
        <v>293</v>
      </c>
      <c r="B1443" s="1">
        <v>46198</v>
      </c>
      <c r="C1443" t="s">
        <v>16</v>
      </c>
      <c r="D1443">
        <v>1319</v>
      </c>
      <c r="E1443">
        <v>1</v>
      </c>
      <c r="F1443">
        <v>7.1</v>
      </c>
      <c r="G1443" t="s">
        <v>17</v>
      </c>
      <c r="H1443" t="s">
        <v>303</v>
      </c>
      <c r="I1443" t="str">
        <f t="shared" ref="I1443:I1506" si="25">D1443&amp;"_"&amp;E1443</f>
        <v>1319_1</v>
      </c>
      <c r="J1443" t="s">
        <v>294</v>
      </c>
      <c r="K1443" t="s">
        <v>19</v>
      </c>
      <c r="L1443" t="str">
        <f>_xlfn.XLOOKUP(C1443, Table2[Species],Table2[Genus], "Code Not Found")</f>
        <v>Acer</v>
      </c>
      <c r="M1443" t="str">
        <f>_xlfn.XLOOKUP(C1443, Table2[Species],Table2[Sp. Name], "Code Not Found")</f>
        <v>saccharum</v>
      </c>
      <c r="N1443" t="str">
        <f>_xlfn.XLOOKUP(C1443,Table2[Species],Table2[Family],"Code Not Found")</f>
        <v>Sapindaceae</v>
      </c>
      <c r="O1443" t="str" cm="1">
        <f t="array" ref="O1443">_xlfn.IFS(F1443="","",F1443&lt;=5,"0 to 5",F1443&lt;=10,"5.1 to 10",F1443&lt;=20,"10 to 20", F1443&lt;= 40, "20 to 40", F1443 &lt;= 50, "40 to 50", F1443 &gt; 50, "&gt;50" )</f>
        <v>5.1 to 10</v>
      </c>
    </row>
    <row r="1444" spans="1:15" ht="14.4" x14ac:dyDescent="0.3">
      <c r="A1444" t="s">
        <v>293</v>
      </c>
      <c r="B1444" s="1">
        <v>46198</v>
      </c>
      <c r="C1444" t="s">
        <v>16</v>
      </c>
      <c r="D1444">
        <v>1320</v>
      </c>
      <c r="E1444">
        <v>1</v>
      </c>
      <c r="F1444">
        <v>2.5</v>
      </c>
      <c r="G1444" t="s">
        <v>47</v>
      </c>
      <c r="H1444" t="s">
        <v>296</v>
      </c>
      <c r="I1444" t="str">
        <f t="shared" si="25"/>
        <v>1320_1</v>
      </c>
      <c r="J1444" t="s">
        <v>294</v>
      </c>
      <c r="K1444" t="s">
        <v>19</v>
      </c>
      <c r="L1444" t="str">
        <f>_xlfn.XLOOKUP(C1444, Table2[Species],Table2[Genus], "Code Not Found")</f>
        <v>Acer</v>
      </c>
      <c r="M1444" t="str">
        <f>_xlfn.XLOOKUP(C1444, Table2[Species],Table2[Sp. Name], "Code Not Found")</f>
        <v>saccharum</v>
      </c>
      <c r="N1444" t="str">
        <f>_xlfn.XLOOKUP(C1444,Table2[Species],Table2[Family],"Code Not Found")</f>
        <v>Sapindaceae</v>
      </c>
      <c r="O1444" t="str" cm="1">
        <f t="array" ref="O1444">_xlfn.IFS(F1444="","",F1444&lt;=5,"0 to 5",F1444&lt;=10,"5.1 to 10",F1444&lt;=20,"10 to 20", F1444&lt;= 40, "20 to 40", F1444 &lt;= 50, "40 to 50", F1444 &gt; 50, "&gt;50" )</f>
        <v>0 to 5</v>
      </c>
    </row>
    <row r="1445" spans="1:15" ht="14.4" x14ac:dyDescent="0.3">
      <c r="A1445" t="s">
        <v>293</v>
      </c>
      <c r="B1445" s="1">
        <v>46198</v>
      </c>
      <c r="C1445" t="s">
        <v>22</v>
      </c>
      <c r="D1445">
        <v>1321</v>
      </c>
      <c r="E1445">
        <v>1</v>
      </c>
      <c r="F1445">
        <v>6.8</v>
      </c>
      <c r="G1445" t="s">
        <v>17</v>
      </c>
      <c r="H1445" t="s">
        <v>36</v>
      </c>
      <c r="I1445" t="str">
        <f t="shared" si="25"/>
        <v>1321_1</v>
      </c>
      <c r="J1445" t="s">
        <v>294</v>
      </c>
      <c r="K1445" t="s">
        <v>19</v>
      </c>
      <c r="L1445" t="str">
        <f>_xlfn.XLOOKUP(C1445, Table2[Species],Table2[Genus], "Code Not Found")</f>
        <v>Acer</v>
      </c>
      <c r="M1445" t="str">
        <f>_xlfn.XLOOKUP(C1445, Table2[Species],Table2[Sp. Name], "Code Not Found")</f>
        <v>rubrum</v>
      </c>
      <c r="N1445" t="str">
        <f>_xlfn.XLOOKUP(C1445,Table2[Species],Table2[Family],"Code Not Found")</f>
        <v>Sapindaceae</v>
      </c>
      <c r="O1445" t="str" cm="1">
        <f t="array" ref="O1445">_xlfn.IFS(F1445="","",F1445&lt;=5,"0 to 5",F1445&lt;=10,"5.1 to 10",F1445&lt;=20,"10 to 20", F1445&lt;= 40, "20 to 40", F1445 &lt;= 50, "40 to 50", F1445 &gt; 50, "&gt;50" )</f>
        <v>5.1 to 10</v>
      </c>
    </row>
    <row r="1446" spans="1:15" ht="14.4" x14ac:dyDescent="0.3">
      <c r="A1446" t="s">
        <v>293</v>
      </c>
      <c r="B1446" s="1">
        <v>46198</v>
      </c>
      <c r="C1446" t="s">
        <v>16</v>
      </c>
      <c r="D1446">
        <v>1322</v>
      </c>
      <c r="E1446">
        <v>1</v>
      </c>
      <c r="F1446">
        <v>5.6</v>
      </c>
      <c r="G1446" t="s">
        <v>94</v>
      </c>
      <c r="H1446" t="s">
        <v>262</v>
      </c>
      <c r="I1446" t="str">
        <f t="shared" si="25"/>
        <v>1322_1</v>
      </c>
      <c r="J1446" t="s">
        <v>294</v>
      </c>
      <c r="K1446" t="s">
        <v>19</v>
      </c>
      <c r="L1446" t="str">
        <f>_xlfn.XLOOKUP(C1446, Table2[Species],Table2[Genus], "Code Not Found")</f>
        <v>Acer</v>
      </c>
      <c r="M1446" t="str">
        <f>_xlfn.XLOOKUP(C1446, Table2[Species],Table2[Sp. Name], "Code Not Found")</f>
        <v>saccharum</v>
      </c>
      <c r="N1446" t="str">
        <f>_xlfn.XLOOKUP(C1446,Table2[Species],Table2[Family],"Code Not Found")</f>
        <v>Sapindaceae</v>
      </c>
      <c r="O1446" t="str" cm="1">
        <f t="array" ref="O1446">_xlfn.IFS(F1446="","",F1446&lt;=5,"0 to 5",F1446&lt;=10,"5.1 to 10",F1446&lt;=20,"10 to 20", F1446&lt;= 40, "20 to 40", F1446 &lt;= 50, "40 to 50", F1446 &gt; 50, "&gt;50" )</f>
        <v>5.1 to 10</v>
      </c>
    </row>
    <row r="1447" spans="1:15" ht="14.4" x14ac:dyDescent="0.3">
      <c r="A1447" t="s">
        <v>293</v>
      </c>
      <c r="B1447" s="1">
        <v>46198</v>
      </c>
      <c r="C1447" t="s">
        <v>16</v>
      </c>
      <c r="D1447">
        <v>1323</v>
      </c>
      <c r="E1447">
        <v>1</v>
      </c>
      <c r="F1447">
        <v>7.4</v>
      </c>
      <c r="G1447" t="s">
        <v>17</v>
      </c>
      <c r="I1447" t="str">
        <f t="shared" si="25"/>
        <v>1323_1</v>
      </c>
      <c r="J1447" t="s">
        <v>294</v>
      </c>
      <c r="K1447" t="s">
        <v>19</v>
      </c>
      <c r="L1447" t="str">
        <f>_xlfn.XLOOKUP(C1447, Table2[Species],Table2[Genus], "Code Not Found")</f>
        <v>Acer</v>
      </c>
      <c r="M1447" t="str">
        <f>_xlfn.XLOOKUP(C1447, Table2[Species],Table2[Sp. Name], "Code Not Found")</f>
        <v>saccharum</v>
      </c>
      <c r="N1447" t="str">
        <f>_xlfn.XLOOKUP(C1447,Table2[Species],Table2[Family],"Code Not Found")</f>
        <v>Sapindaceae</v>
      </c>
      <c r="O1447" t="str" cm="1">
        <f t="array" ref="O1447">_xlfn.IFS(F1447="","",F1447&lt;=5,"0 to 5",F1447&lt;=10,"5.1 to 10",F1447&lt;=20,"10 to 20", F1447&lt;= 40, "20 to 40", F1447 &lt;= 50, "40 to 50", F1447 &gt; 50, "&gt;50" )</f>
        <v>5.1 to 10</v>
      </c>
    </row>
    <row r="1448" spans="1:15" ht="14.4" x14ac:dyDescent="0.3">
      <c r="A1448" t="s">
        <v>293</v>
      </c>
      <c r="B1448" s="1">
        <v>46198</v>
      </c>
      <c r="C1448" t="s">
        <v>16</v>
      </c>
      <c r="D1448">
        <v>1324</v>
      </c>
      <c r="E1448">
        <v>1</v>
      </c>
      <c r="F1448">
        <v>3.4</v>
      </c>
      <c r="G1448" t="s">
        <v>156</v>
      </c>
      <c r="I1448" t="str">
        <f t="shared" si="25"/>
        <v>1324_1</v>
      </c>
      <c r="J1448" t="s">
        <v>294</v>
      </c>
      <c r="K1448" t="s">
        <v>19</v>
      </c>
      <c r="L1448" t="str">
        <f>_xlfn.XLOOKUP(C1448, Table2[Species],Table2[Genus], "Code Not Found")</f>
        <v>Acer</v>
      </c>
      <c r="M1448" t="str">
        <f>_xlfn.XLOOKUP(C1448, Table2[Species],Table2[Sp. Name], "Code Not Found")</f>
        <v>saccharum</v>
      </c>
      <c r="N1448" t="str">
        <f>_xlfn.XLOOKUP(C1448,Table2[Species],Table2[Family],"Code Not Found")</f>
        <v>Sapindaceae</v>
      </c>
      <c r="O1448" t="str" cm="1">
        <f t="array" ref="O1448">_xlfn.IFS(F1448="","",F1448&lt;=5,"0 to 5",F1448&lt;=10,"5.1 to 10",F1448&lt;=20,"10 to 20", F1448&lt;= 40, "20 to 40", F1448 &lt;= 50, "40 to 50", F1448 &gt; 50, "&gt;50" )</f>
        <v>0 to 5</v>
      </c>
    </row>
    <row r="1449" spans="1:15" ht="14.4" x14ac:dyDescent="0.3">
      <c r="A1449" t="s">
        <v>293</v>
      </c>
      <c r="B1449" s="1">
        <v>46198</v>
      </c>
      <c r="C1449" t="s">
        <v>22</v>
      </c>
      <c r="D1449">
        <v>1325</v>
      </c>
      <c r="E1449">
        <v>1</v>
      </c>
      <c r="F1449">
        <v>34.9</v>
      </c>
      <c r="G1449" t="s">
        <v>21</v>
      </c>
      <c r="I1449" t="str">
        <f t="shared" si="25"/>
        <v>1325_1</v>
      </c>
      <c r="J1449" t="s">
        <v>294</v>
      </c>
      <c r="K1449" t="s">
        <v>19</v>
      </c>
      <c r="L1449" t="str">
        <f>_xlfn.XLOOKUP(C1449, Table2[Species],Table2[Genus], "Code Not Found")</f>
        <v>Acer</v>
      </c>
      <c r="M1449" t="str">
        <f>_xlfn.XLOOKUP(C1449, Table2[Species],Table2[Sp. Name], "Code Not Found")</f>
        <v>rubrum</v>
      </c>
      <c r="N1449" t="str">
        <f>_xlfn.XLOOKUP(C1449,Table2[Species],Table2[Family],"Code Not Found")</f>
        <v>Sapindaceae</v>
      </c>
      <c r="O1449" t="str" cm="1">
        <f t="array" ref="O1449">_xlfn.IFS(F1449="","",F1449&lt;=5,"0 to 5",F1449&lt;=10,"5.1 to 10",F1449&lt;=20,"10 to 20", F1449&lt;= 40, "20 to 40", F1449 &lt;= 50, "40 to 50", F1449 &gt; 50, "&gt;50" )</f>
        <v>20 to 40</v>
      </c>
    </row>
    <row r="1450" spans="1:15" ht="14.4" x14ac:dyDescent="0.3">
      <c r="A1450" t="s">
        <v>293</v>
      </c>
      <c r="B1450" s="1">
        <v>46198</v>
      </c>
      <c r="C1450" t="s">
        <v>16</v>
      </c>
      <c r="D1450">
        <v>1326</v>
      </c>
      <c r="E1450">
        <v>1</v>
      </c>
      <c r="F1450">
        <v>26.5</v>
      </c>
      <c r="G1450" t="s">
        <v>21</v>
      </c>
      <c r="I1450" t="str">
        <f t="shared" si="25"/>
        <v>1326_1</v>
      </c>
      <c r="J1450" t="s">
        <v>294</v>
      </c>
      <c r="K1450" t="s">
        <v>19</v>
      </c>
      <c r="L1450" t="str">
        <f>_xlfn.XLOOKUP(C1450, Table2[Species],Table2[Genus], "Code Not Found")</f>
        <v>Acer</v>
      </c>
      <c r="M1450" t="str">
        <f>_xlfn.XLOOKUP(C1450, Table2[Species],Table2[Sp. Name], "Code Not Found")</f>
        <v>saccharum</v>
      </c>
      <c r="N1450" t="str">
        <f>_xlfn.XLOOKUP(C1450,Table2[Species],Table2[Family],"Code Not Found")</f>
        <v>Sapindaceae</v>
      </c>
      <c r="O1450" t="str" cm="1">
        <f t="array" ref="O1450">_xlfn.IFS(F1450="","",F1450&lt;=5,"0 to 5",F1450&lt;=10,"5.1 to 10",F1450&lt;=20,"10 to 20", F1450&lt;= 40, "20 to 40", F1450 &lt;= 50, "40 to 50", F1450 &gt; 50, "&gt;50" )</f>
        <v>20 to 40</v>
      </c>
    </row>
    <row r="1451" spans="1:15" ht="14.4" x14ac:dyDescent="0.3">
      <c r="A1451" t="s">
        <v>293</v>
      </c>
      <c r="B1451" s="1">
        <v>46198</v>
      </c>
      <c r="C1451" t="s">
        <v>22</v>
      </c>
      <c r="D1451">
        <v>1327</v>
      </c>
      <c r="E1451">
        <v>1</v>
      </c>
      <c r="F1451">
        <v>6.6</v>
      </c>
      <c r="G1451" t="s">
        <v>34</v>
      </c>
      <c r="H1451" t="s">
        <v>36</v>
      </c>
      <c r="I1451" t="str">
        <f t="shared" si="25"/>
        <v>1327_1</v>
      </c>
      <c r="J1451" t="s">
        <v>294</v>
      </c>
      <c r="K1451" t="s">
        <v>19</v>
      </c>
      <c r="L1451" t="str">
        <f>_xlfn.XLOOKUP(C1451, Table2[Species],Table2[Genus], "Code Not Found")</f>
        <v>Acer</v>
      </c>
      <c r="M1451" t="str">
        <f>_xlfn.XLOOKUP(C1451, Table2[Species],Table2[Sp. Name], "Code Not Found")</f>
        <v>rubrum</v>
      </c>
      <c r="N1451" t="str">
        <f>_xlfn.XLOOKUP(C1451,Table2[Species],Table2[Family],"Code Not Found")</f>
        <v>Sapindaceae</v>
      </c>
      <c r="O1451" t="str" cm="1">
        <f t="array" ref="O1451">_xlfn.IFS(F1451="","",F1451&lt;=5,"0 to 5",F1451&lt;=10,"5.1 to 10",F1451&lt;=20,"10 to 20", F1451&lt;= 40, "20 to 40", F1451 &lt;= 50, "40 to 50", F1451 &gt; 50, "&gt;50" )</f>
        <v>5.1 to 10</v>
      </c>
    </row>
    <row r="1452" spans="1:15" ht="14.4" x14ac:dyDescent="0.3">
      <c r="A1452" t="s">
        <v>293</v>
      </c>
      <c r="B1452" s="1">
        <v>46198</v>
      </c>
      <c r="C1452" t="s">
        <v>22</v>
      </c>
      <c r="D1452">
        <v>1327</v>
      </c>
      <c r="E1452">
        <v>2</v>
      </c>
      <c r="F1452">
        <v>1.9</v>
      </c>
      <c r="G1452" t="s">
        <v>32</v>
      </c>
      <c r="H1452" t="s">
        <v>296</v>
      </c>
      <c r="I1452" t="str">
        <f t="shared" si="25"/>
        <v>1327_2</v>
      </c>
      <c r="J1452" t="s">
        <v>294</v>
      </c>
      <c r="K1452" t="s">
        <v>19</v>
      </c>
      <c r="L1452" t="str">
        <f>_xlfn.XLOOKUP(C1452, Table2[Species],Table2[Genus], "Code Not Found")</f>
        <v>Acer</v>
      </c>
      <c r="M1452" t="str">
        <f>_xlfn.XLOOKUP(C1452, Table2[Species],Table2[Sp. Name], "Code Not Found")</f>
        <v>rubrum</v>
      </c>
      <c r="N1452" t="str">
        <f>_xlfn.XLOOKUP(C1452,Table2[Species],Table2[Family],"Code Not Found")</f>
        <v>Sapindaceae</v>
      </c>
      <c r="O1452" t="str" cm="1">
        <f t="array" ref="O1452">_xlfn.IFS(F1452="","",F1452&lt;=5,"0 to 5",F1452&lt;=10,"5.1 to 10",F1452&lt;=20,"10 to 20", F1452&lt;= 40, "20 to 40", F1452 &lt;= 50, "40 to 50", F1452 &gt; 50, "&gt;50" )</f>
        <v>0 to 5</v>
      </c>
    </row>
    <row r="1453" spans="1:15" ht="14.4" x14ac:dyDescent="0.3">
      <c r="A1453" t="s">
        <v>293</v>
      </c>
      <c r="B1453" s="1">
        <v>46198</v>
      </c>
      <c r="C1453" t="s">
        <v>16</v>
      </c>
      <c r="D1453">
        <v>1328</v>
      </c>
      <c r="E1453">
        <v>1</v>
      </c>
      <c r="F1453">
        <v>5.3</v>
      </c>
      <c r="G1453" t="s">
        <v>21</v>
      </c>
      <c r="I1453" t="str">
        <f t="shared" si="25"/>
        <v>1328_1</v>
      </c>
      <c r="J1453" t="s">
        <v>294</v>
      </c>
      <c r="K1453" t="s">
        <v>19</v>
      </c>
      <c r="L1453" t="str">
        <f>_xlfn.XLOOKUP(C1453, Table2[Species],Table2[Genus], "Code Not Found")</f>
        <v>Acer</v>
      </c>
      <c r="M1453" t="str">
        <f>_xlfn.XLOOKUP(C1453, Table2[Species],Table2[Sp. Name], "Code Not Found")</f>
        <v>saccharum</v>
      </c>
      <c r="N1453" t="str">
        <f>_xlfn.XLOOKUP(C1453,Table2[Species],Table2[Family],"Code Not Found")</f>
        <v>Sapindaceae</v>
      </c>
      <c r="O1453" t="str" cm="1">
        <f t="array" ref="O1453">_xlfn.IFS(F1453="","",F1453&lt;=5,"0 to 5",F1453&lt;=10,"5.1 to 10",F1453&lt;=20,"10 to 20", F1453&lt;= 40, "20 to 40", F1453 &lt;= 50, "40 to 50", F1453 &gt; 50, "&gt;50" )</f>
        <v>5.1 to 10</v>
      </c>
    </row>
    <row r="1454" spans="1:15" ht="14.4" x14ac:dyDescent="0.3">
      <c r="A1454" t="s">
        <v>293</v>
      </c>
      <c r="B1454" s="1">
        <v>46198</v>
      </c>
      <c r="C1454" t="s">
        <v>16</v>
      </c>
      <c r="D1454">
        <v>1329</v>
      </c>
      <c r="E1454">
        <v>1</v>
      </c>
      <c r="F1454">
        <v>5.7</v>
      </c>
      <c r="G1454" t="s">
        <v>30</v>
      </c>
      <c r="H1454" t="s">
        <v>262</v>
      </c>
      <c r="I1454" t="str">
        <f t="shared" si="25"/>
        <v>1329_1</v>
      </c>
      <c r="J1454" t="s">
        <v>294</v>
      </c>
      <c r="K1454" t="s">
        <v>19</v>
      </c>
      <c r="L1454" t="str">
        <f>_xlfn.XLOOKUP(C1454, Table2[Species],Table2[Genus], "Code Not Found")</f>
        <v>Acer</v>
      </c>
      <c r="M1454" t="str">
        <f>_xlfn.XLOOKUP(C1454, Table2[Species],Table2[Sp. Name], "Code Not Found")</f>
        <v>saccharum</v>
      </c>
      <c r="N1454" t="str">
        <f>_xlfn.XLOOKUP(C1454,Table2[Species],Table2[Family],"Code Not Found")</f>
        <v>Sapindaceae</v>
      </c>
      <c r="O1454" t="str" cm="1">
        <f t="array" ref="O1454">_xlfn.IFS(F1454="","",F1454&lt;=5,"0 to 5",F1454&lt;=10,"5.1 to 10",F1454&lt;=20,"10 to 20", F1454&lt;= 40, "20 to 40", F1454 &lt;= 50, "40 to 50", F1454 &gt; 50, "&gt;50" )</f>
        <v>5.1 to 10</v>
      </c>
    </row>
    <row r="1455" spans="1:15" ht="14.4" x14ac:dyDescent="0.3">
      <c r="A1455" t="s">
        <v>293</v>
      </c>
      <c r="B1455" s="1">
        <v>46198</v>
      </c>
      <c r="C1455" t="s">
        <v>16</v>
      </c>
      <c r="D1455">
        <v>1330</v>
      </c>
      <c r="E1455">
        <v>1</v>
      </c>
      <c r="F1455">
        <v>2.2999999999999998</v>
      </c>
      <c r="G1455" t="s">
        <v>139</v>
      </c>
      <c r="H1455" t="s">
        <v>304</v>
      </c>
      <c r="I1455" t="str">
        <f t="shared" si="25"/>
        <v>1330_1</v>
      </c>
      <c r="J1455" t="s">
        <v>294</v>
      </c>
      <c r="K1455" t="s">
        <v>19</v>
      </c>
      <c r="L1455" t="str">
        <f>_xlfn.XLOOKUP(C1455, Table2[Species],Table2[Genus], "Code Not Found")</f>
        <v>Acer</v>
      </c>
      <c r="M1455" t="str">
        <f>_xlfn.XLOOKUP(C1455, Table2[Species],Table2[Sp. Name], "Code Not Found")</f>
        <v>saccharum</v>
      </c>
      <c r="N1455" t="str">
        <f>_xlfn.XLOOKUP(C1455,Table2[Species],Table2[Family],"Code Not Found")</f>
        <v>Sapindaceae</v>
      </c>
      <c r="O1455" t="str" cm="1">
        <f t="array" ref="O1455">_xlfn.IFS(F1455="","",F1455&lt;=5,"0 to 5",F1455&lt;=10,"5.1 to 10",F1455&lt;=20,"10 to 20", F1455&lt;= 40, "20 to 40", F1455 &lt;= 50, "40 to 50", F1455 &gt; 50, "&gt;50" )</f>
        <v>0 to 5</v>
      </c>
    </row>
    <row r="1456" spans="1:15" ht="14.4" x14ac:dyDescent="0.3">
      <c r="A1456" t="s">
        <v>293</v>
      </c>
      <c r="B1456" s="1">
        <v>46198</v>
      </c>
      <c r="C1456" t="s">
        <v>16</v>
      </c>
      <c r="D1456">
        <v>1331</v>
      </c>
      <c r="E1456">
        <v>1</v>
      </c>
      <c r="F1456">
        <v>3.1</v>
      </c>
      <c r="G1456" t="s">
        <v>17</v>
      </c>
      <c r="I1456" t="str">
        <f t="shared" si="25"/>
        <v>1331_1</v>
      </c>
      <c r="J1456" t="s">
        <v>294</v>
      </c>
      <c r="K1456" t="s">
        <v>19</v>
      </c>
      <c r="L1456" t="str">
        <f>_xlfn.XLOOKUP(C1456, Table2[Species],Table2[Genus], "Code Not Found")</f>
        <v>Acer</v>
      </c>
      <c r="M1456" t="str">
        <f>_xlfn.XLOOKUP(C1456, Table2[Species],Table2[Sp. Name], "Code Not Found")</f>
        <v>saccharum</v>
      </c>
      <c r="N1456" t="str">
        <f>_xlfn.XLOOKUP(C1456,Table2[Species],Table2[Family],"Code Not Found")</f>
        <v>Sapindaceae</v>
      </c>
      <c r="O1456" t="str" cm="1">
        <f t="array" ref="O1456">_xlfn.IFS(F1456="","",F1456&lt;=5,"0 to 5",F1456&lt;=10,"5.1 to 10",F1456&lt;=20,"10 to 20", F1456&lt;= 40, "20 to 40", F1456 &lt;= 50, "40 to 50", F1456 &gt; 50, "&gt;50" )</f>
        <v>0 to 5</v>
      </c>
    </row>
    <row r="1457" spans="1:15" ht="14.4" x14ac:dyDescent="0.3">
      <c r="A1457" t="s">
        <v>293</v>
      </c>
      <c r="B1457" s="1">
        <v>46198</v>
      </c>
      <c r="C1457" t="s">
        <v>16</v>
      </c>
      <c r="D1457">
        <v>1332</v>
      </c>
      <c r="E1457">
        <v>1</v>
      </c>
      <c r="F1457">
        <v>4</v>
      </c>
      <c r="G1457" t="s">
        <v>94</v>
      </c>
      <c r="H1457" t="s">
        <v>305</v>
      </c>
      <c r="I1457" t="str">
        <f t="shared" si="25"/>
        <v>1332_1</v>
      </c>
      <c r="J1457" t="s">
        <v>294</v>
      </c>
      <c r="K1457" t="s">
        <v>19</v>
      </c>
      <c r="L1457" t="str">
        <f>_xlfn.XLOOKUP(C1457, Table2[Species],Table2[Genus], "Code Not Found")</f>
        <v>Acer</v>
      </c>
      <c r="M1457" t="str">
        <f>_xlfn.XLOOKUP(C1457, Table2[Species],Table2[Sp. Name], "Code Not Found")</f>
        <v>saccharum</v>
      </c>
      <c r="N1457" t="str">
        <f>_xlfn.XLOOKUP(C1457,Table2[Species],Table2[Family],"Code Not Found")</f>
        <v>Sapindaceae</v>
      </c>
      <c r="O1457" t="str" cm="1">
        <f t="array" ref="O1457">_xlfn.IFS(F1457="","",F1457&lt;=5,"0 to 5",F1457&lt;=10,"5.1 to 10",F1457&lt;=20,"10 to 20", F1457&lt;= 40, "20 to 40", F1457 &lt;= 50, "40 to 50", F1457 &gt; 50, "&gt;50" )</f>
        <v>0 to 5</v>
      </c>
    </row>
    <row r="1458" spans="1:15" ht="14.4" x14ac:dyDescent="0.3">
      <c r="A1458" t="s">
        <v>293</v>
      </c>
      <c r="B1458" s="1">
        <v>46198</v>
      </c>
      <c r="C1458" t="s">
        <v>16</v>
      </c>
      <c r="D1458">
        <v>1333</v>
      </c>
      <c r="E1458">
        <v>1</v>
      </c>
      <c r="F1458">
        <v>6.2</v>
      </c>
      <c r="G1458" t="s">
        <v>47</v>
      </c>
      <c r="H1458" t="s">
        <v>296</v>
      </c>
      <c r="I1458" t="str">
        <f t="shared" si="25"/>
        <v>1333_1</v>
      </c>
      <c r="J1458" t="s">
        <v>294</v>
      </c>
      <c r="K1458" t="s">
        <v>19</v>
      </c>
      <c r="L1458" t="str">
        <f>_xlfn.XLOOKUP(C1458, Table2[Species],Table2[Genus], "Code Not Found")</f>
        <v>Acer</v>
      </c>
      <c r="M1458" t="str">
        <f>_xlfn.XLOOKUP(C1458, Table2[Species],Table2[Sp. Name], "Code Not Found")</f>
        <v>saccharum</v>
      </c>
      <c r="N1458" t="str">
        <f>_xlfn.XLOOKUP(C1458,Table2[Species],Table2[Family],"Code Not Found")</f>
        <v>Sapindaceae</v>
      </c>
      <c r="O1458" t="str" cm="1">
        <f t="array" ref="O1458">_xlfn.IFS(F1458="","",F1458&lt;=5,"0 to 5",F1458&lt;=10,"5.1 to 10",F1458&lt;=20,"10 to 20", F1458&lt;= 40, "20 to 40", F1458 &lt;= 50, "40 to 50", F1458 &gt; 50, "&gt;50" )</f>
        <v>5.1 to 10</v>
      </c>
    </row>
    <row r="1459" spans="1:15" ht="14.4" x14ac:dyDescent="0.3">
      <c r="A1459" t="s">
        <v>293</v>
      </c>
      <c r="B1459" s="1">
        <v>46198</v>
      </c>
      <c r="C1459" t="s">
        <v>20</v>
      </c>
      <c r="D1459">
        <v>1334</v>
      </c>
      <c r="E1459">
        <v>1</v>
      </c>
      <c r="F1459">
        <v>43.9</v>
      </c>
      <c r="G1459" t="s">
        <v>17</v>
      </c>
      <c r="H1459" t="s">
        <v>36</v>
      </c>
      <c r="I1459" t="str">
        <f t="shared" si="25"/>
        <v>1334_1</v>
      </c>
      <c r="J1459" t="s">
        <v>294</v>
      </c>
      <c r="K1459" t="s">
        <v>19</v>
      </c>
      <c r="L1459" t="str">
        <f>_xlfn.XLOOKUP(C1459, Table2[Species],Table2[Genus], "Code Not Found")</f>
        <v>Prunus</v>
      </c>
      <c r="M1459" t="str">
        <f>_xlfn.XLOOKUP(C1459, Table2[Species],Table2[Sp. Name], "Code Not Found")</f>
        <v>serotina</v>
      </c>
      <c r="N1459" t="str">
        <f>_xlfn.XLOOKUP(C1459,Table2[Species],Table2[Family],"Code Not Found")</f>
        <v>Rosaceae</v>
      </c>
      <c r="O1459" t="str" cm="1">
        <f t="array" ref="O1459">_xlfn.IFS(F1459="","",F1459&lt;=5,"0 to 5",F1459&lt;=10,"5.1 to 10",F1459&lt;=20,"10 to 20", F1459&lt;= 40, "20 to 40", F1459 &lt;= 50, "40 to 50", F1459 &gt; 50, "&gt;50" )</f>
        <v>40 to 50</v>
      </c>
    </row>
    <row r="1460" spans="1:15" ht="14.4" x14ac:dyDescent="0.3">
      <c r="A1460" t="s">
        <v>293</v>
      </c>
      <c r="B1460" s="1">
        <v>46198</v>
      </c>
      <c r="C1460" t="s">
        <v>16</v>
      </c>
      <c r="D1460">
        <v>1335</v>
      </c>
      <c r="E1460">
        <v>1</v>
      </c>
      <c r="F1460">
        <v>5.6</v>
      </c>
      <c r="G1460" t="s">
        <v>139</v>
      </c>
      <c r="H1460" t="s">
        <v>262</v>
      </c>
      <c r="I1460" t="str">
        <f t="shared" si="25"/>
        <v>1335_1</v>
      </c>
      <c r="J1460" t="s">
        <v>294</v>
      </c>
      <c r="K1460" t="s">
        <v>19</v>
      </c>
      <c r="L1460" t="str">
        <f>_xlfn.XLOOKUP(C1460, Table2[Species],Table2[Genus], "Code Not Found")</f>
        <v>Acer</v>
      </c>
      <c r="M1460" t="str">
        <f>_xlfn.XLOOKUP(C1460, Table2[Species],Table2[Sp. Name], "Code Not Found")</f>
        <v>saccharum</v>
      </c>
      <c r="N1460" t="str">
        <f>_xlfn.XLOOKUP(C1460,Table2[Species],Table2[Family],"Code Not Found")</f>
        <v>Sapindaceae</v>
      </c>
      <c r="O1460" t="str" cm="1">
        <f t="array" ref="O1460">_xlfn.IFS(F1460="","",F1460&lt;=5,"0 to 5",F1460&lt;=10,"5.1 to 10",F1460&lt;=20,"10 to 20", F1460&lt;= 40, "20 to 40", F1460 &lt;= 50, "40 to 50", F1460 &gt; 50, "&gt;50" )</f>
        <v>5.1 to 10</v>
      </c>
    </row>
    <row r="1461" spans="1:15" ht="14.4" x14ac:dyDescent="0.3">
      <c r="A1461" t="s">
        <v>293</v>
      </c>
      <c r="B1461" s="1">
        <v>46198</v>
      </c>
      <c r="C1461" t="s">
        <v>16</v>
      </c>
      <c r="D1461">
        <v>1336</v>
      </c>
      <c r="E1461">
        <v>1</v>
      </c>
      <c r="F1461">
        <v>5.4</v>
      </c>
      <c r="G1461" t="s">
        <v>30</v>
      </c>
      <c r="H1461" t="s">
        <v>306</v>
      </c>
      <c r="I1461" t="str">
        <f t="shared" si="25"/>
        <v>1336_1</v>
      </c>
      <c r="J1461" t="s">
        <v>294</v>
      </c>
      <c r="K1461" t="s">
        <v>19</v>
      </c>
      <c r="L1461" t="str">
        <f>_xlfn.XLOOKUP(C1461, Table2[Species],Table2[Genus], "Code Not Found")</f>
        <v>Acer</v>
      </c>
      <c r="M1461" t="str">
        <f>_xlfn.XLOOKUP(C1461, Table2[Species],Table2[Sp. Name], "Code Not Found")</f>
        <v>saccharum</v>
      </c>
      <c r="N1461" t="str">
        <f>_xlfn.XLOOKUP(C1461,Table2[Species],Table2[Family],"Code Not Found")</f>
        <v>Sapindaceae</v>
      </c>
      <c r="O1461" t="str" cm="1">
        <f t="array" ref="O1461">_xlfn.IFS(F1461="","",F1461&lt;=5,"0 to 5",F1461&lt;=10,"5.1 to 10",F1461&lt;=20,"10 to 20", F1461&lt;= 40, "20 to 40", F1461 &lt;= 50, "40 to 50", F1461 &gt; 50, "&gt;50" )</f>
        <v>5.1 to 10</v>
      </c>
    </row>
    <row r="1462" spans="1:15" ht="14.4" x14ac:dyDescent="0.3">
      <c r="A1462" t="s">
        <v>293</v>
      </c>
      <c r="B1462" s="1">
        <v>46198</v>
      </c>
      <c r="C1462" t="s">
        <v>16</v>
      </c>
      <c r="D1462">
        <v>1337</v>
      </c>
      <c r="E1462">
        <v>1</v>
      </c>
      <c r="F1462">
        <v>4.0999999999999996</v>
      </c>
      <c r="G1462" t="s">
        <v>17</v>
      </c>
      <c r="H1462" t="s">
        <v>36</v>
      </c>
      <c r="I1462" t="str">
        <f t="shared" si="25"/>
        <v>1337_1</v>
      </c>
      <c r="J1462" t="s">
        <v>294</v>
      </c>
      <c r="K1462" t="s">
        <v>19</v>
      </c>
      <c r="L1462" t="str">
        <f>_xlfn.XLOOKUP(C1462, Table2[Species],Table2[Genus], "Code Not Found")</f>
        <v>Acer</v>
      </c>
      <c r="M1462" t="str">
        <f>_xlfn.XLOOKUP(C1462, Table2[Species],Table2[Sp. Name], "Code Not Found")</f>
        <v>saccharum</v>
      </c>
      <c r="N1462" t="str">
        <f>_xlfn.XLOOKUP(C1462,Table2[Species],Table2[Family],"Code Not Found")</f>
        <v>Sapindaceae</v>
      </c>
      <c r="O1462" t="str" cm="1">
        <f t="array" ref="O1462">_xlfn.IFS(F1462="","",F1462&lt;=5,"0 to 5",F1462&lt;=10,"5.1 to 10",F1462&lt;=20,"10 to 20", F1462&lt;= 40, "20 to 40", F1462 &lt;= 50, "40 to 50", F1462 &gt; 50, "&gt;50" )</f>
        <v>0 to 5</v>
      </c>
    </row>
    <row r="1463" spans="1:15" ht="14.4" x14ac:dyDescent="0.3">
      <c r="A1463" t="s">
        <v>293</v>
      </c>
      <c r="B1463" s="1">
        <v>46198</v>
      </c>
      <c r="C1463" t="s">
        <v>22</v>
      </c>
      <c r="D1463">
        <v>1338</v>
      </c>
      <c r="E1463">
        <v>1</v>
      </c>
      <c r="F1463">
        <v>51.8</v>
      </c>
      <c r="G1463" t="s">
        <v>21</v>
      </c>
      <c r="I1463" t="str">
        <f t="shared" si="25"/>
        <v>1338_1</v>
      </c>
      <c r="J1463" t="s">
        <v>294</v>
      </c>
      <c r="K1463" t="s">
        <v>19</v>
      </c>
      <c r="L1463" t="str">
        <f>_xlfn.XLOOKUP(C1463, Table2[Species],Table2[Genus], "Code Not Found")</f>
        <v>Acer</v>
      </c>
      <c r="M1463" t="str">
        <f>_xlfn.XLOOKUP(C1463, Table2[Species],Table2[Sp. Name], "Code Not Found")</f>
        <v>rubrum</v>
      </c>
      <c r="N1463" t="str">
        <f>_xlfn.XLOOKUP(C1463,Table2[Species],Table2[Family],"Code Not Found")</f>
        <v>Sapindaceae</v>
      </c>
      <c r="O1463" t="str" cm="1">
        <f t="array" ref="O1463">_xlfn.IFS(F1463="","",F1463&lt;=5,"0 to 5",F1463&lt;=10,"5.1 to 10",F1463&lt;=20,"10 to 20", F1463&lt;= 40, "20 to 40", F1463 &lt;= 50, "40 to 50", F1463 &gt; 50, "&gt;50" )</f>
        <v>&gt;50</v>
      </c>
    </row>
    <row r="1464" spans="1:15" ht="14.4" x14ac:dyDescent="0.3">
      <c r="A1464" t="s">
        <v>293</v>
      </c>
      <c r="B1464" s="1">
        <v>46198</v>
      </c>
      <c r="C1464" t="s">
        <v>16</v>
      </c>
      <c r="D1464">
        <v>1339</v>
      </c>
      <c r="E1464">
        <v>1</v>
      </c>
      <c r="F1464">
        <v>3.7</v>
      </c>
      <c r="G1464" t="s">
        <v>21</v>
      </c>
      <c r="I1464" t="str">
        <f t="shared" si="25"/>
        <v>1339_1</v>
      </c>
      <c r="J1464" t="s">
        <v>294</v>
      </c>
      <c r="K1464" t="s">
        <v>19</v>
      </c>
      <c r="L1464" t="str">
        <f>_xlfn.XLOOKUP(C1464, Table2[Species],Table2[Genus], "Code Not Found")</f>
        <v>Acer</v>
      </c>
      <c r="M1464" t="str">
        <f>_xlfn.XLOOKUP(C1464, Table2[Species],Table2[Sp. Name], "Code Not Found")</f>
        <v>saccharum</v>
      </c>
      <c r="N1464" t="str">
        <f>_xlfn.XLOOKUP(C1464,Table2[Species],Table2[Family],"Code Not Found")</f>
        <v>Sapindaceae</v>
      </c>
      <c r="O1464" t="str" cm="1">
        <f t="array" ref="O1464">_xlfn.IFS(F1464="","",F1464&lt;=5,"0 to 5",F1464&lt;=10,"5.1 to 10",F1464&lt;=20,"10 to 20", F1464&lt;= 40, "20 to 40", F1464 &lt;= 50, "40 to 50", F1464 &gt; 50, "&gt;50" )</f>
        <v>0 to 5</v>
      </c>
    </row>
    <row r="1465" spans="1:15" ht="14.4" x14ac:dyDescent="0.3">
      <c r="A1465" t="s">
        <v>293</v>
      </c>
      <c r="B1465" s="1">
        <v>46198</v>
      </c>
      <c r="C1465" t="s">
        <v>16</v>
      </c>
      <c r="D1465">
        <v>1340</v>
      </c>
      <c r="E1465">
        <v>1</v>
      </c>
      <c r="F1465">
        <v>3.2</v>
      </c>
      <c r="G1465" t="s">
        <v>17</v>
      </c>
      <c r="I1465" t="str">
        <f t="shared" si="25"/>
        <v>1340_1</v>
      </c>
      <c r="J1465" t="s">
        <v>294</v>
      </c>
      <c r="K1465" t="s">
        <v>19</v>
      </c>
      <c r="L1465" t="str">
        <f>_xlfn.XLOOKUP(C1465, Table2[Species],Table2[Genus], "Code Not Found")</f>
        <v>Acer</v>
      </c>
      <c r="M1465" t="str">
        <f>_xlfn.XLOOKUP(C1465, Table2[Species],Table2[Sp. Name], "Code Not Found")</f>
        <v>saccharum</v>
      </c>
      <c r="N1465" t="str">
        <f>_xlfn.XLOOKUP(C1465,Table2[Species],Table2[Family],"Code Not Found")</f>
        <v>Sapindaceae</v>
      </c>
      <c r="O1465" t="str" cm="1">
        <f t="array" ref="O1465">_xlfn.IFS(F1465="","",F1465&lt;=5,"0 to 5",F1465&lt;=10,"5.1 to 10",F1465&lt;=20,"10 to 20", F1465&lt;= 40, "20 to 40", F1465 &lt;= 50, "40 to 50", F1465 &gt; 50, "&gt;50" )</f>
        <v>0 to 5</v>
      </c>
    </row>
    <row r="1466" spans="1:15" ht="14.4" x14ac:dyDescent="0.3">
      <c r="A1466" t="s">
        <v>293</v>
      </c>
      <c r="B1466" s="1">
        <v>46198</v>
      </c>
      <c r="C1466" t="s">
        <v>16</v>
      </c>
      <c r="D1466">
        <v>1341</v>
      </c>
      <c r="E1466">
        <v>1</v>
      </c>
      <c r="F1466">
        <v>7.2</v>
      </c>
      <c r="G1466" t="s">
        <v>30</v>
      </c>
      <c r="H1466" t="s">
        <v>307</v>
      </c>
      <c r="I1466" t="str">
        <f t="shared" si="25"/>
        <v>1341_1</v>
      </c>
      <c r="J1466" t="s">
        <v>294</v>
      </c>
      <c r="K1466" t="s">
        <v>19</v>
      </c>
      <c r="L1466" t="str">
        <f>_xlfn.XLOOKUP(C1466, Table2[Species],Table2[Genus], "Code Not Found")</f>
        <v>Acer</v>
      </c>
      <c r="M1466" t="str">
        <f>_xlfn.XLOOKUP(C1466, Table2[Species],Table2[Sp. Name], "Code Not Found")</f>
        <v>saccharum</v>
      </c>
      <c r="N1466" t="str">
        <f>_xlfn.XLOOKUP(C1466,Table2[Species],Table2[Family],"Code Not Found")</f>
        <v>Sapindaceae</v>
      </c>
      <c r="O1466" t="str" cm="1">
        <f t="array" ref="O1466">_xlfn.IFS(F1466="","",F1466&lt;=5,"0 to 5",F1466&lt;=10,"5.1 to 10",F1466&lt;=20,"10 to 20", F1466&lt;= 40, "20 to 40", F1466 &lt;= 50, "40 to 50", F1466 &gt; 50, "&gt;50" )</f>
        <v>5.1 to 10</v>
      </c>
    </row>
    <row r="1467" spans="1:15" ht="14.4" x14ac:dyDescent="0.3">
      <c r="A1467" t="s">
        <v>293</v>
      </c>
      <c r="B1467" s="1">
        <v>46198</v>
      </c>
      <c r="C1467" t="s">
        <v>16</v>
      </c>
      <c r="D1467">
        <v>1342</v>
      </c>
      <c r="E1467">
        <v>1</v>
      </c>
      <c r="F1467">
        <v>3.4</v>
      </c>
      <c r="G1467" t="s">
        <v>17</v>
      </c>
      <c r="I1467" t="str">
        <f t="shared" si="25"/>
        <v>1342_1</v>
      </c>
      <c r="J1467" t="s">
        <v>294</v>
      </c>
      <c r="K1467" t="s">
        <v>19</v>
      </c>
      <c r="L1467" t="str">
        <f>_xlfn.XLOOKUP(C1467, Table2[Species],Table2[Genus], "Code Not Found")</f>
        <v>Acer</v>
      </c>
      <c r="M1467" t="str">
        <f>_xlfn.XLOOKUP(C1467, Table2[Species],Table2[Sp. Name], "Code Not Found")</f>
        <v>saccharum</v>
      </c>
      <c r="N1467" t="str">
        <f>_xlfn.XLOOKUP(C1467,Table2[Species],Table2[Family],"Code Not Found")</f>
        <v>Sapindaceae</v>
      </c>
      <c r="O1467" t="str" cm="1">
        <f t="array" ref="O1467">_xlfn.IFS(F1467="","",F1467&lt;=5,"0 to 5",F1467&lt;=10,"5.1 to 10",F1467&lt;=20,"10 to 20", F1467&lt;= 40, "20 to 40", F1467 &lt;= 50, "40 to 50", F1467 &gt; 50, "&gt;50" )</f>
        <v>0 to 5</v>
      </c>
    </row>
    <row r="1468" spans="1:15" ht="14.4" x14ac:dyDescent="0.3">
      <c r="A1468" t="s">
        <v>293</v>
      </c>
      <c r="B1468" s="1">
        <v>46198</v>
      </c>
      <c r="C1468" t="s">
        <v>22</v>
      </c>
      <c r="D1468">
        <v>1343</v>
      </c>
      <c r="E1468">
        <v>1</v>
      </c>
      <c r="F1468">
        <v>75</v>
      </c>
      <c r="G1468" t="s">
        <v>21</v>
      </c>
      <c r="I1468" t="str">
        <f t="shared" si="25"/>
        <v>1343_1</v>
      </c>
      <c r="J1468" t="s">
        <v>294</v>
      </c>
      <c r="K1468" t="s">
        <v>19</v>
      </c>
      <c r="L1468" t="str">
        <f>_xlfn.XLOOKUP(C1468, Table2[Species],Table2[Genus], "Code Not Found")</f>
        <v>Acer</v>
      </c>
      <c r="M1468" t="str">
        <f>_xlfn.XLOOKUP(C1468, Table2[Species],Table2[Sp. Name], "Code Not Found")</f>
        <v>rubrum</v>
      </c>
      <c r="N1468" t="str">
        <f>_xlfn.XLOOKUP(C1468,Table2[Species],Table2[Family],"Code Not Found")</f>
        <v>Sapindaceae</v>
      </c>
      <c r="O1468" t="str" cm="1">
        <f t="array" ref="O1468">_xlfn.IFS(F1468="","",F1468&lt;=5,"0 to 5",F1468&lt;=10,"5.1 to 10",F1468&lt;=20,"10 to 20", F1468&lt;= 40, "20 to 40", F1468 &lt;= 50, "40 to 50", F1468 &gt; 50, "&gt;50" )</f>
        <v>&gt;50</v>
      </c>
    </row>
    <row r="1469" spans="1:15" ht="14.4" x14ac:dyDescent="0.3">
      <c r="A1469" t="s">
        <v>293</v>
      </c>
      <c r="B1469" s="1">
        <v>46198</v>
      </c>
      <c r="C1469" t="s">
        <v>16</v>
      </c>
      <c r="D1469">
        <v>1344</v>
      </c>
      <c r="E1469">
        <v>1</v>
      </c>
      <c r="F1469">
        <v>2.5</v>
      </c>
      <c r="G1469" t="s">
        <v>308</v>
      </c>
      <c r="H1469" t="s">
        <v>296</v>
      </c>
      <c r="I1469" t="str">
        <f t="shared" si="25"/>
        <v>1344_1</v>
      </c>
      <c r="J1469" t="s">
        <v>294</v>
      </c>
      <c r="K1469" t="s">
        <v>19</v>
      </c>
      <c r="L1469" t="str">
        <f>_xlfn.XLOOKUP(C1469, Table2[Species],Table2[Genus], "Code Not Found")</f>
        <v>Acer</v>
      </c>
      <c r="M1469" t="str">
        <f>_xlfn.XLOOKUP(C1469, Table2[Species],Table2[Sp. Name], "Code Not Found")</f>
        <v>saccharum</v>
      </c>
      <c r="N1469" t="str">
        <f>_xlfn.XLOOKUP(C1469,Table2[Species],Table2[Family],"Code Not Found")</f>
        <v>Sapindaceae</v>
      </c>
      <c r="O1469" t="str" cm="1">
        <f t="array" ref="O1469">_xlfn.IFS(F1469="","",F1469&lt;=5,"0 to 5",F1469&lt;=10,"5.1 to 10",F1469&lt;=20,"10 to 20", F1469&lt;= 40, "20 to 40", F1469 &lt;= 50, "40 to 50", F1469 &gt; 50, "&gt;50" )</f>
        <v>0 to 5</v>
      </c>
    </row>
    <row r="1470" spans="1:15" ht="14.4" x14ac:dyDescent="0.3">
      <c r="A1470" t="s">
        <v>293</v>
      </c>
      <c r="B1470" s="1">
        <v>46198</v>
      </c>
      <c r="C1470" t="s">
        <v>16</v>
      </c>
      <c r="D1470">
        <v>1344</v>
      </c>
      <c r="E1470">
        <v>2</v>
      </c>
      <c r="F1470">
        <v>1</v>
      </c>
      <c r="G1470" t="s">
        <v>34</v>
      </c>
      <c r="H1470" t="s">
        <v>296</v>
      </c>
      <c r="I1470" t="str">
        <f t="shared" si="25"/>
        <v>1344_2</v>
      </c>
      <c r="J1470" t="s">
        <v>294</v>
      </c>
      <c r="K1470" t="s">
        <v>19</v>
      </c>
      <c r="L1470" t="str">
        <f>_xlfn.XLOOKUP(C1470, Table2[Species],Table2[Genus], "Code Not Found")</f>
        <v>Acer</v>
      </c>
      <c r="M1470" t="str">
        <f>_xlfn.XLOOKUP(C1470, Table2[Species],Table2[Sp. Name], "Code Not Found")</f>
        <v>saccharum</v>
      </c>
      <c r="N1470" t="str">
        <f>_xlfn.XLOOKUP(C1470,Table2[Species],Table2[Family],"Code Not Found")</f>
        <v>Sapindaceae</v>
      </c>
      <c r="O1470" t="str" cm="1">
        <f t="array" ref="O1470">_xlfn.IFS(F1470="","",F1470&lt;=5,"0 to 5",F1470&lt;=10,"5.1 to 10",F1470&lt;=20,"10 to 20", F1470&lt;= 40, "20 to 40", F1470 &lt;= 50, "40 to 50", F1470 &gt; 50, "&gt;50" )</f>
        <v>0 to 5</v>
      </c>
    </row>
    <row r="1471" spans="1:15" ht="14.4" x14ac:dyDescent="0.3">
      <c r="A1471" t="s">
        <v>293</v>
      </c>
      <c r="B1471" s="1">
        <v>46198</v>
      </c>
      <c r="C1471" t="s">
        <v>16</v>
      </c>
      <c r="D1471">
        <v>1345</v>
      </c>
      <c r="E1471">
        <v>1</v>
      </c>
      <c r="F1471">
        <v>4.4000000000000004</v>
      </c>
      <c r="G1471" t="s">
        <v>30</v>
      </c>
      <c r="H1471" t="s">
        <v>262</v>
      </c>
      <c r="I1471" t="str">
        <f t="shared" si="25"/>
        <v>1345_1</v>
      </c>
      <c r="J1471" t="s">
        <v>294</v>
      </c>
      <c r="K1471" t="s">
        <v>19</v>
      </c>
      <c r="L1471" t="str">
        <f>_xlfn.XLOOKUP(C1471, Table2[Species],Table2[Genus], "Code Not Found")</f>
        <v>Acer</v>
      </c>
      <c r="M1471" t="str">
        <f>_xlfn.XLOOKUP(C1471, Table2[Species],Table2[Sp. Name], "Code Not Found")</f>
        <v>saccharum</v>
      </c>
      <c r="N1471" t="str">
        <f>_xlfn.XLOOKUP(C1471,Table2[Species],Table2[Family],"Code Not Found")</f>
        <v>Sapindaceae</v>
      </c>
      <c r="O1471" t="str" cm="1">
        <f t="array" ref="O1471">_xlfn.IFS(F1471="","",F1471&lt;=5,"0 to 5",F1471&lt;=10,"5.1 to 10",F1471&lt;=20,"10 to 20", F1471&lt;= 40, "20 to 40", F1471 &lt;= 50, "40 to 50", F1471 &gt; 50, "&gt;50" )</f>
        <v>0 to 5</v>
      </c>
    </row>
    <row r="1472" spans="1:15" ht="14.4" x14ac:dyDescent="0.3">
      <c r="A1472" t="s">
        <v>293</v>
      </c>
      <c r="B1472" s="1">
        <v>46198</v>
      </c>
      <c r="C1472" t="s">
        <v>55</v>
      </c>
      <c r="D1472">
        <v>1346</v>
      </c>
      <c r="E1472">
        <v>1</v>
      </c>
      <c r="F1472">
        <v>77.599999999999994</v>
      </c>
      <c r="G1472" t="s">
        <v>83</v>
      </c>
      <c r="H1472" t="s">
        <v>309</v>
      </c>
      <c r="I1472" t="str">
        <f t="shared" si="25"/>
        <v>1346_1</v>
      </c>
      <c r="J1472" t="s">
        <v>294</v>
      </c>
      <c r="K1472" t="s">
        <v>19</v>
      </c>
      <c r="L1472" t="str">
        <f>_xlfn.XLOOKUP(C1472, Table2[Species],Table2[Genus], "Code Not Found")</f>
        <v>Magnolia</v>
      </c>
      <c r="M1472" t="str">
        <f>_xlfn.XLOOKUP(C1472, Table2[Species],Table2[Sp. Name], "Code Not Found")</f>
        <v>acuminata</v>
      </c>
      <c r="N1472" t="str">
        <f>_xlfn.XLOOKUP(C1472,Table2[Species],Table2[Family],"Code Not Found")</f>
        <v>Magnoliaceae</v>
      </c>
      <c r="O1472" t="str" cm="1">
        <f t="array" ref="O1472">_xlfn.IFS(F1472="","",F1472&lt;=5,"0 to 5",F1472&lt;=10,"5.1 to 10",F1472&lt;=20,"10 to 20", F1472&lt;= 40, "20 to 40", F1472 &lt;= 50, "40 to 50", F1472 &gt; 50, "&gt;50" )</f>
        <v>&gt;50</v>
      </c>
    </row>
    <row r="1473" spans="1:15" ht="14.4" x14ac:dyDescent="0.3">
      <c r="A1473" t="s">
        <v>293</v>
      </c>
      <c r="B1473" s="1">
        <v>46199</v>
      </c>
      <c r="C1473" t="s">
        <v>16</v>
      </c>
      <c r="D1473">
        <v>1347</v>
      </c>
      <c r="E1473">
        <v>1</v>
      </c>
      <c r="F1473">
        <v>5.2</v>
      </c>
      <c r="G1473" t="s">
        <v>17</v>
      </c>
      <c r="I1473" t="str">
        <f t="shared" si="25"/>
        <v>1347_1</v>
      </c>
      <c r="J1473" t="s">
        <v>294</v>
      </c>
      <c r="K1473" t="s">
        <v>19</v>
      </c>
      <c r="L1473" t="str">
        <f>_xlfn.XLOOKUP(C1473, Table2[Species],Table2[Genus], "Code Not Found")</f>
        <v>Acer</v>
      </c>
      <c r="M1473" t="str">
        <f>_xlfn.XLOOKUP(C1473, Table2[Species],Table2[Sp. Name], "Code Not Found")</f>
        <v>saccharum</v>
      </c>
      <c r="N1473" t="str">
        <f>_xlfn.XLOOKUP(C1473,Table2[Species],Table2[Family],"Code Not Found")</f>
        <v>Sapindaceae</v>
      </c>
      <c r="O1473" t="str" cm="1">
        <f t="array" ref="O1473">_xlfn.IFS(F1473="","",F1473&lt;=5,"0 to 5",F1473&lt;=10,"5.1 to 10",F1473&lt;=20,"10 to 20", F1473&lt;= 40, "20 to 40", F1473 &lt;= 50, "40 to 50", F1473 &gt; 50, "&gt;50" )</f>
        <v>5.1 to 10</v>
      </c>
    </row>
    <row r="1474" spans="1:15" ht="14.4" x14ac:dyDescent="0.3">
      <c r="A1474" t="s">
        <v>293</v>
      </c>
      <c r="B1474" s="1">
        <v>46199</v>
      </c>
      <c r="C1474" t="s">
        <v>16</v>
      </c>
      <c r="D1474">
        <v>1348</v>
      </c>
      <c r="E1474">
        <v>1</v>
      </c>
      <c r="F1474">
        <v>3.6</v>
      </c>
      <c r="G1474" t="s">
        <v>17</v>
      </c>
      <c r="I1474" t="str">
        <f t="shared" si="25"/>
        <v>1348_1</v>
      </c>
      <c r="J1474" t="s">
        <v>294</v>
      </c>
      <c r="K1474" t="s">
        <v>19</v>
      </c>
      <c r="L1474" t="str">
        <f>_xlfn.XLOOKUP(C1474, Table2[Species],Table2[Genus], "Code Not Found")</f>
        <v>Acer</v>
      </c>
      <c r="M1474" t="str">
        <f>_xlfn.XLOOKUP(C1474, Table2[Species],Table2[Sp. Name], "Code Not Found")</f>
        <v>saccharum</v>
      </c>
      <c r="N1474" t="str">
        <f>_xlfn.XLOOKUP(C1474,Table2[Species],Table2[Family],"Code Not Found")</f>
        <v>Sapindaceae</v>
      </c>
      <c r="O1474" t="str" cm="1">
        <f t="array" ref="O1474">_xlfn.IFS(F1474="","",F1474&lt;=5,"0 to 5",F1474&lt;=10,"5.1 to 10",F1474&lt;=20,"10 to 20", F1474&lt;= 40, "20 to 40", F1474 &lt;= 50, "40 to 50", F1474 &gt; 50, "&gt;50" )</f>
        <v>0 to 5</v>
      </c>
    </row>
    <row r="1475" spans="1:15" ht="14.4" x14ac:dyDescent="0.3">
      <c r="A1475" t="s">
        <v>293</v>
      </c>
      <c r="B1475" s="1">
        <v>46199</v>
      </c>
      <c r="C1475" t="s">
        <v>16</v>
      </c>
      <c r="D1475">
        <v>1349</v>
      </c>
      <c r="E1475">
        <v>1</v>
      </c>
      <c r="F1475">
        <v>2.9</v>
      </c>
      <c r="G1475" t="s">
        <v>30</v>
      </c>
      <c r="H1475" t="s">
        <v>100</v>
      </c>
      <c r="I1475" t="str">
        <f t="shared" si="25"/>
        <v>1349_1</v>
      </c>
      <c r="J1475" t="s">
        <v>294</v>
      </c>
      <c r="K1475" t="s">
        <v>19</v>
      </c>
      <c r="L1475" t="str">
        <f>_xlfn.XLOOKUP(C1475, Table2[Species],Table2[Genus], "Code Not Found")</f>
        <v>Acer</v>
      </c>
      <c r="M1475" t="str">
        <f>_xlfn.XLOOKUP(C1475, Table2[Species],Table2[Sp. Name], "Code Not Found")</f>
        <v>saccharum</v>
      </c>
      <c r="N1475" t="str">
        <f>_xlfn.XLOOKUP(C1475,Table2[Species],Table2[Family],"Code Not Found")</f>
        <v>Sapindaceae</v>
      </c>
      <c r="O1475" t="str" cm="1">
        <f t="array" ref="O1475">_xlfn.IFS(F1475="","",F1475&lt;=5,"0 to 5",F1475&lt;=10,"5.1 to 10",F1475&lt;=20,"10 to 20", F1475&lt;= 40, "20 to 40", F1475 &lt;= 50, "40 to 50", F1475 &gt; 50, "&gt;50" )</f>
        <v>0 to 5</v>
      </c>
    </row>
    <row r="1476" spans="1:15" ht="14.4" x14ac:dyDescent="0.3">
      <c r="A1476" t="s">
        <v>293</v>
      </c>
      <c r="B1476" s="1">
        <v>46199</v>
      </c>
      <c r="C1476" t="s">
        <v>22</v>
      </c>
      <c r="D1476">
        <v>1350</v>
      </c>
      <c r="E1476">
        <v>1</v>
      </c>
      <c r="F1476">
        <v>42.3</v>
      </c>
      <c r="G1476" t="s">
        <v>21</v>
      </c>
      <c r="I1476" t="str">
        <f t="shared" si="25"/>
        <v>1350_1</v>
      </c>
      <c r="J1476" t="s">
        <v>294</v>
      </c>
      <c r="K1476" t="s">
        <v>19</v>
      </c>
      <c r="L1476" t="str">
        <f>_xlfn.XLOOKUP(C1476, Table2[Species],Table2[Genus], "Code Not Found")</f>
        <v>Acer</v>
      </c>
      <c r="M1476" t="str">
        <f>_xlfn.XLOOKUP(C1476, Table2[Species],Table2[Sp. Name], "Code Not Found")</f>
        <v>rubrum</v>
      </c>
      <c r="N1476" t="str">
        <f>_xlfn.XLOOKUP(C1476,Table2[Species],Table2[Family],"Code Not Found")</f>
        <v>Sapindaceae</v>
      </c>
      <c r="O1476" t="str" cm="1">
        <f t="array" ref="O1476">_xlfn.IFS(F1476="","",F1476&lt;=5,"0 to 5",F1476&lt;=10,"5.1 to 10",F1476&lt;=20,"10 to 20", F1476&lt;= 40, "20 to 40", F1476 &lt;= 50, "40 to 50", F1476 &gt; 50, "&gt;50" )</f>
        <v>40 to 50</v>
      </c>
    </row>
    <row r="1477" spans="1:15" ht="14.4" x14ac:dyDescent="0.3">
      <c r="A1477" t="s">
        <v>293</v>
      </c>
      <c r="B1477" s="1">
        <v>46199</v>
      </c>
      <c r="C1477" t="s">
        <v>20</v>
      </c>
      <c r="D1477">
        <v>1351</v>
      </c>
      <c r="E1477">
        <v>1</v>
      </c>
      <c r="F1477">
        <v>5</v>
      </c>
      <c r="G1477" t="s">
        <v>38</v>
      </c>
      <c r="H1477" t="s">
        <v>310</v>
      </c>
      <c r="I1477" t="str">
        <f t="shared" si="25"/>
        <v>1351_1</v>
      </c>
      <c r="J1477" t="s">
        <v>294</v>
      </c>
      <c r="K1477" t="s">
        <v>19</v>
      </c>
      <c r="L1477" t="str">
        <f>_xlfn.XLOOKUP(C1477, Table2[Species],Table2[Genus], "Code Not Found")</f>
        <v>Prunus</v>
      </c>
      <c r="M1477" t="str">
        <f>_xlfn.XLOOKUP(C1477, Table2[Species],Table2[Sp. Name], "Code Not Found")</f>
        <v>serotina</v>
      </c>
      <c r="N1477" t="str">
        <f>_xlfn.XLOOKUP(C1477,Table2[Species],Table2[Family],"Code Not Found")</f>
        <v>Rosaceae</v>
      </c>
      <c r="O1477" t="str" cm="1">
        <f t="array" ref="O1477">_xlfn.IFS(F1477="","",F1477&lt;=5,"0 to 5",F1477&lt;=10,"5.1 to 10",F1477&lt;=20,"10 to 20", F1477&lt;= 40, "20 to 40", F1477 &lt;= 50, "40 to 50", F1477 &gt; 50, "&gt;50" )</f>
        <v>0 to 5</v>
      </c>
    </row>
    <row r="1478" spans="1:15" ht="14.4" x14ac:dyDescent="0.3">
      <c r="A1478" t="s">
        <v>293</v>
      </c>
      <c r="B1478" s="1">
        <v>46199</v>
      </c>
      <c r="C1478" t="s">
        <v>16</v>
      </c>
      <c r="D1478">
        <v>1352</v>
      </c>
      <c r="E1478">
        <v>1</v>
      </c>
      <c r="F1478">
        <v>9.1</v>
      </c>
      <c r="G1478" t="s">
        <v>21</v>
      </c>
      <c r="I1478" t="str">
        <f t="shared" si="25"/>
        <v>1352_1</v>
      </c>
      <c r="J1478" t="s">
        <v>294</v>
      </c>
      <c r="K1478" t="s">
        <v>19</v>
      </c>
      <c r="L1478" t="str">
        <f>_xlfn.XLOOKUP(C1478, Table2[Species],Table2[Genus], "Code Not Found")</f>
        <v>Acer</v>
      </c>
      <c r="M1478" t="str">
        <f>_xlfn.XLOOKUP(C1478, Table2[Species],Table2[Sp. Name], "Code Not Found")</f>
        <v>saccharum</v>
      </c>
      <c r="N1478" t="str">
        <f>_xlfn.XLOOKUP(C1478,Table2[Species],Table2[Family],"Code Not Found")</f>
        <v>Sapindaceae</v>
      </c>
      <c r="O1478" t="str" cm="1">
        <f t="array" ref="O1478">_xlfn.IFS(F1478="","",F1478&lt;=5,"0 to 5",F1478&lt;=10,"5.1 to 10",F1478&lt;=20,"10 to 20", F1478&lt;= 40, "20 to 40", F1478 &lt;= 50, "40 to 50", F1478 &gt; 50, "&gt;50" )</f>
        <v>5.1 to 10</v>
      </c>
    </row>
    <row r="1479" spans="1:15" ht="14.4" x14ac:dyDescent="0.3">
      <c r="A1479" t="s">
        <v>293</v>
      </c>
      <c r="B1479" s="1">
        <v>46199</v>
      </c>
      <c r="C1479" t="s">
        <v>22</v>
      </c>
      <c r="D1479">
        <v>1353</v>
      </c>
      <c r="E1479">
        <v>1</v>
      </c>
      <c r="F1479">
        <v>16.899999999999999</v>
      </c>
      <c r="G1479" t="s">
        <v>21</v>
      </c>
      <c r="I1479" t="str">
        <f t="shared" si="25"/>
        <v>1353_1</v>
      </c>
      <c r="J1479" t="s">
        <v>294</v>
      </c>
      <c r="K1479" t="s">
        <v>19</v>
      </c>
      <c r="L1479" t="str">
        <f>_xlfn.XLOOKUP(C1479, Table2[Species],Table2[Genus], "Code Not Found")</f>
        <v>Acer</v>
      </c>
      <c r="M1479" t="str">
        <f>_xlfn.XLOOKUP(C1479, Table2[Species],Table2[Sp. Name], "Code Not Found")</f>
        <v>rubrum</v>
      </c>
      <c r="N1479" t="str">
        <f>_xlfn.XLOOKUP(C1479,Table2[Species],Table2[Family],"Code Not Found")</f>
        <v>Sapindaceae</v>
      </c>
      <c r="O1479" t="str" cm="1">
        <f t="array" ref="O1479">_xlfn.IFS(F1479="","",F1479&lt;=5,"0 to 5",F1479&lt;=10,"5.1 to 10",F1479&lt;=20,"10 to 20", F1479&lt;= 40, "20 to 40", F1479 &lt;= 50, "40 to 50", F1479 &gt; 50, "&gt;50" )</f>
        <v>10 to 20</v>
      </c>
    </row>
    <row r="1480" spans="1:15" ht="14.4" x14ac:dyDescent="0.3">
      <c r="A1480" t="s">
        <v>293</v>
      </c>
      <c r="B1480" s="1">
        <v>46199</v>
      </c>
      <c r="C1480" t="s">
        <v>16</v>
      </c>
      <c r="D1480">
        <v>1354</v>
      </c>
      <c r="E1480">
        <v>1</v>
      </c>
      <c r="F1480">
        <v>3.9</v>
      </c>
      <c r="G1480" t="s">
        <v>47</v>
      </c>
      <c r="H1480" t="s">
        <v>296</v>
      </c>
      <c r="I1480" t="str">
        <f t="shared" si="25"/>
        <v>1354_1</v>
      </c>
      <c r="J1480" t="s">
        <v>294</v>
      </c>
      <c r="K1480" t="s">
        <v>19</v>
      </c>
      <c r="L1480" t="str">
        <f>_xlfn.XLOOKUP(C1480, Table2[Species],Table2[Genus], "Code Not Found")</f>
        <v>Acer</v>
      </c>
      <c r="M1480" t="str">
        <f>_xlfn.XLOOKUP(C1480, Table2[Species],Table2[Sp. Name], "Code Not Found")</f>
        <v>saccharum</v>
      </c>
      <c r="N1480" t="str">
        <f>_xlfn.XLOOKUP(C1480,Table2[Species],Table2[Family],"Code Not Found")</f>
        <v>Sapindaceae</v>
      </c>
      <c r="O1480" t="str" cm="1">
        <f t="array" ref="O1480">_xlfn.IFS(F1480="","",F1480&lt;=5,"0 to 5",F1480&lt;=10,"5.1 to 10",F1480&lt;=20,"10 to 20", F1480&lt;= 40, "20 to 40", F1480 &lt;= 50, "40 to 50", F1480 &gt; 50, "&gt;50" )</f>
        <v>0 to 5</v>
      </c>
    </row>
    <row r="1481" spans="1:15" ht="14.4" x14ac:dyDescent="0.3">
      <c r="A1481" t="s">
        <v>293</v>
      </c>
      <c r="B1481" s="1">
        <v>46199</v>
      </c>
      <c r="C1481" t="s">
        <v>22</v>
      </c>
      <c r="D1481">
        <v>1355</v>
      </c>
      <c r="E1481">
        <v>1</v>
      </c>
      <c r="F1481">
        <v>72</v>
      </c>
      <c r="G1481" t="s">
        <v>56</v>
      </c>
      <c r="I1481" t="str">
        <f t="shared" si="25"/>
        <v>1355_1</v>
      </c>
      <c r="J1481" t="s">
        <v>294</v>
      </c>
      <c r="K1481" t="s">
        <v>19</v>
      </c>
      <c r="L1481" t="str">
        <f>_xlfn.XLOOKUP(C1481, Table2[Species],Table2[Genus], "Code Not Found")</f>
        <v>Acer</v>
      </c>
      <c r="M1481" t="str">
        <f>_xlfn.XLOOKUP(C1481, Table2[Species],Table2[Sp. Name], "Code Not Found")</f>
        <v>rubrum</v>
      </c>
      <c r="N1481" t="str">
        <f>_xlfn.XLOOKUP(C1481,Table2[Species],Table2[Family],"Code Not Found")</f>
        <v>Sapindaceae</v>
      </c>
      <c r="O1481" t="str" cm="1">
        <f t="array" ref="O1481">_xlfn.IFS(F1481="","",F1481&lt;=5,"0 to 5",F1481&lt;=10,"5.1 to 10",F1481&lt;=20,"10 to 20", F1481&lt;= 40, "20 to 40", F1481 &lt;= 50, "40 to 50", F1481 &gt; 50, "&gt;50" )</f>
        <v>&gt;50</v>
      </c>
    </row>
    <row r="1482" spans="1:15" ht="14.4" x14ac:dyDescent="0.3">
      <c r="A1482" t="s">
        <v>293</v>
      </c>
      <c r="B1482" s="1">
        <v>46199</v>
      </c>
      <c r="C1482" t="s">
        <v>16</v>
      </c>
      <c r="D1482">
        <v>1356</v>
      </c>
      <c r="E1482">
        <v>1</v>
      </c>
      <c r="F1482">
        <v>5.3</v>
      </c>
      <c r="G1482" t="s">
        <v>17</v>
      </c>
      <c r="I1482" t="str">
        <f t="shared" si="25"/>
        <v>1356_1</v>
      </c>
      <c r="J1482" t="s">
        <v>294</v>
      </c>
      <c r="K1482" t="s">
        <v>19</v>
      </c>
      <c r="L1482" t="str">
        <f>_xlfn.XLOOKUP(C1482, Table2[Species],Table2[Genus], "Code Not Found")</f>
        <v>Acer</v>
      </c>
      <c r="M1482" t="str">
        <f>_xlfn.XLOOKUP(C1482, Table2[Species],Table2[Sp. Name], "Code Not Found")</f>
        <v>saccharum</v>
      </c>
      <c r="N1482" t="str">
        <f>_xlfn.XLOOKUP(C1482,Table2[Species],Table2[Family],"Code Not Found")</f>
        <v>Sapindaceae</v>
      </c>
      <c r="O1482" t="str" cm="1">
        <f t="array" ref="O1482">_xlfn.IFS(F1482="","",F1482&lt;=5,"0 to 5",F1482&lt;=10,"5.1 to 10",F1482&lt;=20,"10 to 20", F1482&lt;= 40, "20 to 40", F1482 &lt;= 50, "40 to 50", F1482 &gt; 50, "&gt;50" )</f>
        <v>5.1 to 10</v>
      </c>
    </row>
    <row r="1483" spans="1:15" ht="14.4" x14ac:dyDescent="0.3">
      <c r="A1483" t="s">
        <v>293</v>
      </c>
      <c r="B1483" s="1">
        <v>46199</v>
      </c>
      <c r="C1483" t="s">
        <v>16</v>
      </c>
      <c r="D1483">
        <v>1357</v>
      </c>
      <c r="E1483">
        <v>1</v>
      </c>
      <c r="F1483">
        <v>9</v>
      </c>
      <c r="G1483" t="s">
        <v>17</v>
      </c>
      <c r="I1483" t="str">
        <f t="shared" si="25"/>
        <v>1357_1</v>
      </c>
      <c r="J1483" t="s">
        <v>294</v>
      </c>
      <c r="K1483" t="s">
        <v>19</v>
      </c>
      <c r="L1483" t="str">
        <f>_xlfn.XLOOKUP(C1483, Table2[Species],Table2[Genus], "Code Not Found")</f>
        <v>Acer</v>
      </c>
      <c r="M1483" t="str">
        <f>_xlfn.XLOOKUP(C1483, Table2[Species],Table2[Sp. Name], "Code Not Found")</f>
        <v>saccharum</v>
      </c>
      <c r="N1483" t="str">
        <f>_xlfn.XLOOKUP(C1483,Table2[Species],Table2[Family],"Code Not Found")</f>
        <v>Sapindaceae</v>
      </c>
      <c r="O1483" t="str" cm="1">
        <f t="array" ref="O1483">_xlfn.IFS(F1483="","",F1483&lt;=5,"0 to 5",F1483&lt;=10,"5.1 to 10",F1483&lt;=20,"10 to 20", F1483&lt;= 40, "20 to 40", F1483 &lt;= 50, "40 to 50", F1483 &gt; 50, "&gt;50" )</f>
        <v>5.1 to 10</v>
      </c>
    </row>
    <row r="1484" spans="1:15" ht="14.4" x14ac:dyDescent="0.3">
      <c r="A1484" t="s">
        <v>293</v>
      </c>
      <c r="B1484" s="1">
        <v>46199</v>
      </c>
      <c r="C1484" t="s">
        <v>22</v>
      </c>
      <c r="D1484">
        <v>1358</v>
      </c>
      <c r="E1484">
        <v>1</v>
      </c>
      <c r="F1484">
        <v>15.8</v>
      </c>
      <c r="G1484" t="s">
        <v>30</v>
      </c>
      <c r="H1484" t="s">
        <v>311</v>
      </c>
      <c r="I1484" t="str">
        <f t="shared" si="25"/>
        <v>1358_1</v>
      </c>
      <c r="J1484" t="s">
        <v>294</v>
      </c>
      <c r="K1484" t="s">
        <v>19</v>
      </c>
      <c r="L1484" t="str">
        <f>_xlfn.XLOOKUP(C1484, Table2[Species],Table2[Genus], "Code Not Found")</f>
        <v>Acer</v>
      </c>
      <c r="M1484" t="str">
        <f>_xlfn.XLOOKUP(C1484, Table2[Species],Table2[Sp. Name], "Code Not Found")</f>
        <v>rubrum</v>
      </c>
      <c r="N1484" t="str">
        <f>_xlfn.XLOOKUP(C1484,Table2[Species],Table2[Family],"Code Not Found")</f>
        <v>Sapindaceae</v>
      </c>
      <c r="O1484" t="str" cm="1">
        <f t="array" ref="O1484">_xlfn.IFS(F1484="","",F1484&lt;=5,"0 to 5",F1484&lt;=10,"5.1 to 10",F1484&lt;=20,"10 to 20", F1484&lt;= 40, "20 to 40", F1484 &lt;= 50, "40 to 50", F1484 &gt; 50, "&gt;50" )</f>
        <v>10 to 20</v>
      </c>
    </row>
    <row r="1485" spans="1:15" ht="14.4" x14ac:dyDescent="0.3">
      <c r="A1485" t="s">
        <v>293</v>
      </c>
      <c r="B1485" s="1">
        <v>46199</v>
      </c>
      <c r="C1485" t="s">
        <v>16</v>
      </c>
      <c r="D1485">
        <v>1359</v>
      </c>
      <c r="E1485">
        <v>1</v>
      </c>
      <c r="F1485">
        <v>5.0999999999999996</v>
      </c>
      <c r="G1485" t="s">
        <v>47</v>
      </c>
      <c r="H1485" t="s">
        <v>296</v>
      </c>
      <c r="I1485" t="str">
        <f t="shared" si="25"/>
        <v>1359_1</v>
      </c>
      <c r="J1485" t="s">
        <v>294</v>
      </c>
      <c r="K1485" t="s">
        <v>19</v>
      </c>
      <c r="L1485" t="str">
        <f>_xlfn.XLOOKUP(C1485, Table2[Species],Table2[Genus], "Code Not Found")</f>
        <v>Acer</v>
      </c>
      <c r="M1485" t="str">
        <f>_xlfn.XLOOKUP(C1485, Table2[Species],Table2[Sp. Name], "Code Not Found")</f>
        <v>saccharum</v>
      </c>
      <c r="N1485" t="str">
        <f>_xlfn.XLOOKUP(C1485,Table2[Species],Table2[Family],"Code Not Found")</f>
        <v>Sapindaceae</v>
      </c>
      <c r="O1485" t="str" cm="1">
        <f t="array" ref="O1485">_xlfn.IFS(F1485="","",F1485&lt;=5,"0 to 5",F1485&lt;=10,"5.1 to 10",F1485&lt;=20,"10 to 20", F1485&lt;= 40, "20 to 40", F1485 &lt;= 50, "40 to 50", F1485 &gt; 50, "&gt;50" )</f>
        <v>5.1 to 10</v>
      </c>
    </row>
    <row r="1486" spans="1:15" ht="14.4" x14ac:dyDescent="0.3">
      <c r="A1486" t="s">
        <v>293</v>
      </c>
      <c r="B1486" s="1">
        <v>46199</v>
      </c>
      <c r="C1486" t="s">
        <v>312</v>
      </c>
      <c r="D1486">
        <v>1360</v>
      </c>
      <c r="E1486">
        <v>1</v>
      </c>
      <c r="F1486">
        <v>9.8000000000000007</v>
      </c>
      <c r="G1486" t="s">
        <v>47</v>
      </c>
      <c r="H1486" t="s">
        <v>296</v>
      </c>
      <c r="I1486" t="str">
        <f t="shared" si="25"/>
        <v>1360_1</v>
      </c>
      <c r="J1486" t="s">
        <v>294</v>
      </c>
      <c r="K1486" t="s">
        <v>19</v>
      </c>
      <c r="L1486" t="str">
        <f>_xlfn.XLOOKUP(C1486, Table2[Species],Table2[Genus], "Code Not Found")</f>
        <v>Fraxinus</v>
      </c>
      <c r="M1486" t="str">
        <f>_xlfn.XLOOKUP(C1486, Table2[Species],Table2[Sp. Name], "Code Not Found")</f>
        <v>species</v>
      </c>
      <c r="N1486" t="str">
        <f>_xlfn.XLOOKUP(C1486,Table2[Species],Table2[Family],"Code Not Found")</f>
        <v>Oleaceae</v>
      </c>
      <c r="O1486" t="str" cm="1">
        <f t="array" ref="O1486">_xlfn.IFS(F1486="","",F1486&lt;=5,"0 to 5",F1486&lt;=10,"5.1 to 10",F1486&lt;=20,"10 to 20", F1486&lt;= 40, "20 to 40", F1486 &lt;= 50, "40 to 50", F1486 &gt; 50, "&gt;50" )</f>
        <v>5.1 to 10</v>
      </c>
    </row>
    <row r="1487" spans="1:15" ht="14.4" x14ac:dyDescent="0.3">
      <c r="A1487" t="s">
        <v>293</v>
      </c>
      <c r="B1487" s="1">
        <v>46199</v>
      </c>
      <c r="C1487" t="s">
        <v>16</v>
      </c>
      <c r="D1487">
        <v>1361</v>
      </c>
      <c r="E1487">
        <v>1</v>
      </c>
      <c r="F1487">
        <v>3.1</v>
      </c>
      <c r="G1487" t="s">
        <v>17</v>
      </c>
      <c r="I1487" t="str">
        <f t="shared" si="25"/>
        <v>1361_1</v>
      </c>
      <c r="J1487" t="s">
        <v>294</v>
      </c>
      <c r="K1487" t="s">
        <v>19</v>
      </c>
      <c r="L1487" t="str">
        <f>_xlfn.XLOOKUP(C1487, Table2[Species],Table2[Genus], "Code Not Found")</f>
        <v>Acer</v>
      </c>
      <c r="M1487" t="str">
        <f>_xlfn.XLOOKUP(C1487, Table2[Species],Table2[Sp. Name], "Code Not Found")</f>
        <v>saccharum</v>
      </c>
      <c r="N1487" t="str">
        <f>_xlfn.XLOOKUP(C1487,Table2[Species],Table2[Family],"Code Not Found")</f>
        <v>Sapindaceae</v>
      </c>
      <c r="O1487" t="str" cm="1">
        <f t="array" ref="O1487">_xlfn.IFS(F1487="","",F1487&lt;=5,"0 to 5",F1487&lt;=10,"5.1 to 10",F1487&lt;=20,"10 to 20", F1487&lt;= 40, "20 to 40", F1487 &lt;= 50, "40 to 50", F1487 &gt; 50, "&gt;50" )</f>
        <v>0 to 5</v>
      </c>
    </row>
    <row r="1488" spans="1:15" ht="14.4" x14ac:dyDescent="0.3">
      <c r="A1488" t="s">
        <v>293</v>
      </c>
      <c r="B1488" s="1">
        <v>46199</v>
      </c>
      <c r="C1488" t="s">
        <v>16</v>
      </c>
      <c r="D1488">
        <v>1362</v>
      </c>
      <c r="E1488">
        <v>1</v>
      </c>
      <c r="F1488">
        <v>4.8</v>
      </c>
      <c r="G1488" t="s">
        <v>17</v>
      </c>
      <c r="I1488" t="str">
        <f t="shared" si="25"/>
        <v>1362_1</v>
      </c>
      <c r="J1488" t="s">
        <v>294</v>
      </c>
      <c r="K1488" t="s">
        <v>19</v>
      </c>
      <c r="L1488" t="str">
        <f>_xlfn.XLOOKUP(C1488, Table2[Species],Table2[Genus], "Code Not Found")</f>
        <v>Acer</v>
      </c>
      <c r="M1488" t="str">
        <f>_xlfn.XLOOKUP(C1488, Table2[Species],Table2[Sp. Name], "Code Not Found")</f>
        <v>saccharum</v>
      </c>
      <c r="N1488" t="str">
        <f>_xlfn.XLOOKUP(C1488,Table2[Species],Table2[Family],"Code Not Found")</f>
        <v>Sapindaceae</v>
      </c>
      <c r="O1488" t="str" cm="1">
        <f t="array" ref="O1488">_xlfn.IFS(F1488="","",F1488&lt;=5,"0 to 5",F1488&lt;=10,"5.1 to 10",F1488&lt;=20,"10 to 20", F1488&lt;= 40, "20 to 40", F1488 &lt;= 50, "40 to 50", F1488 &gt; 50, "&gt;50" )</f>
        <v>0 to 5</v>
      </c>
    </row>
    <row r="1489" spans="1:15" ht="14.4" x14ac:dyDescent="0.3">
      <c r="A1489" t="s">
        <v>293</v>
      </c>
      <c r="B1489" s="1">
        <v>46199</v>
      </c>
      <c r="C1489" t="s">
        <v>16</v>
      </c>
      <c r="D1489">
        <v>1363</v>
      </c>
      <c r="E1489">
        <v>1</v>
      </c>
      <c r="F1489">
        <v>4.3</v>
      </c>
      <c r="G1489" t="s">
        <v>17</v>
      </c>
      <c r="H1489" t="s">
        <v>313</v>
      </c>
      <c r="I1489" t="str">
        <f t="shared" si="25"/>
        <v>1363_1</v>
      </c>
      <c r="J1489" t="s">
        <v>294</v>
      </c>
      <c r="K1489" t="s">
        <v>19</v>
      </c>
      <c r="L1489" t="str">
        <f>_xlfn.XLOOKUP(C1489, Table2[Species],Table2[Genus], "Code Not Found")</f>
        <v>Acer</v>
      </c>
      <c r="M1489" t="str">
        <f>_xlfn.XLOOKUP(C1489, Table2[Species],Table2[Sp. Name], "Code Not Found")</f>
        <v>saccharum</v>
      </c>
      <c r="N1489" t="str">
        <f>_xlfn.XLOOKUP(C1489,Table2[Species],Table2[Family],"Code Not Found")</f>
        <v>Sapindaceae</v>
      </c>
      <c r="O1489" t="str" cm="1">
        <f t="array" ref="O1489">_xlfn.IFS(F1489="","",F1489&lt;=5,"0 to 5",F1489&lt;=10,"5.1 to 10",F1489&lt;=20,"10 to 20", F1489&lt;= 40, "20 to 40", F1489 &lt;= 50, "40 to 50", F1489 &gt; 50, "&gt;50" )</f>
        <v>0 to 5</v>
      </c>
    </row>
    <row r="1490" spans="1:15" ht="14.4" x14ac:dyDescent="0.3">
      <c r="A1490" t="s">
        <v>293</v>
      </c>
      <c r="B1490" s="1">
        <v>46199</v>
      </c>
      <c r="C1490" t="s">
        <v>55</v>
      </c>
      <c r="D1490">
        <v>1364</v>
      </c>
      <c r="E1490">
        <v>1</v>
      </c>
      <c r="F1490">
        <v>47.8</v>
      </c>
      <c r="G1490" t="s">
        <v>17</v>
      </c>
      <c r="I1490" t="str">
        <f t="shared" si="25"/>
        <v>1364_1</v>
      </c>
      <c r="J1490" t="s">
        <v>294</v>
      </c>
      <c r="K1490" t="s">
        <v>19</v>
      </c>
      <c r="L1490" t="str">
        <f>_xlfn.XLOOKUP(C1490, Table2[Species],Table2[Genus], "Code Not Found")</f>
        <v>Magnolia</v>
      </c>
      <c r="M1490" t="str">
        <f>_xlfn.XLOOKUP(C1490, Table2[Species],Table2[Sp. Name], "Code Not Found")</f>
        <v>acuminata</v>
      </c>
      <c r="N1490" t="str">
        <f>_xlfn.XLOOKUP(C1490,Table2[Species],Table2[Family],"Code Not Found")</f>
        <v>Magnoliaceae</v>
      </c>
      <c r="O1490" t="str" cm="1">
        <f t="array" ref="O1490">_xlfn.IFS(F1490="","",F1490&lt;=5,"0 to 5",F1490&lt;=10,"5.1 to 10",F1490&lt;=20,"10 to 20", F1490&lt;= 40, "20 to 40", F1490 &lt;= 50, "40 to 50", F1490 &gt; 50, "&gt;50" )</f>
        <v>40 to 50</v>
      </c>
    </row>
    <row r="1491" spans="1:15" ht="14.4" x14ac:dyDescent="0.3">
      <c r="A1491" t="s">
        <v>293</v>
      </c>
      <c r="B1491" s="1">
        <v>46199</v>
      </c>
      <c r="C1491" t="s">
        <v>16</v>
      </c>
      <c r="D1491">
        <v>1365</v>
      </c>
      <c r="E1491">
        <v>1</v>
      </c>
      <c r="F1491">
        <v>1.6</v>
      </c>
      <c r="G1491" t="s">
        <v>47</v>
      </c>
      <c r="H1491" t="s">
        <v>296</v>
      </c>
      <c r="I1491" t="str">
        <f t="shared" si="25"/>
        <v>1365_1</v>
      </c>
      <c r="J1491" t="s">
        <v>294</v>
      </c>
      <c r="K1491" t="s">
        <v>19</v>
      </c>
      <c r="L1491" t="str">
        <f>_xlfn.XLOOKUP(C1491, Table2[Species],Table2[Genus], "Code Not Found")</f>
        <v>Acer</v>
      </c>
      <c r="M1491" t="str">
        <f>_xlfn.XLOOKUP(C1491, Table2[Species],Table2[Sp. Name], "Code Not Found")</f>
        <v>saccharum</v>
      </c>
      <c r="N1491" t="str">
        <f>_xlfn.XLOOKUP(C1491,Table2[Species],Table2[Family],"Code Not Found")</f>
        <v>Sapindaceae</v>
      </c>
      <c r="O1491" t="str" cm="1">
        <f t="array" ref="O1491">_xlfn.IFS(F1491="","",F1491&lt;=5,"0 to 5",F1491&lt;=10,"5.1 to 10",F1491&lt;=20,"10 to 20", F1491&lt;= 40, "20 to 40", F1491 &lt;= 50, "40 to 50", F1491 &gt; 50, "&gt;50" )</f>
        <v>0 to 5</v>
      </c>
    </row>
    <row r="1492" spans="1:15" ht="14.4" x14ac:dyDescent="0.3">
      <c r="A1492" t="s">
        <v>293</v>
      </c>
      <c r="B1492" s="1">
        <v>46199</v>
      </c>
      <c r="C1492" t="s">
        <v>16</v>
      </c>
      <c r="D1492">
        <v>1366</v>
      </c>
      <c r="E1492">
        <v>1</v>
      </c>
      <c r="F1492">
        <v>14.6</v>
      </c>
      <c r="G1492" t="s">
        <v>17</v>
      </c>
      <c r="I1492" t="str">
        <f t="shared" si="25"/>
        <v>1366_1</v>
      </c>
      <c r="J1492" t="s">
        <v>294</v>
      </c>
      <c r="K1492" t="s">
        <v>19</v>
      </c>
      <c r="L1492" t="str">
        <f>_xlfn.XLOOKUP(C1492, Table2[Species],Table2[Genus], "Code Not Found")</f>
        <v>Acer</v>
      </c>
      <c r="M1492" t="str">
        <f>_xlfn.XLOOKUP(C1492, Table2[Species],Table2[Sp. Name], "Code Not Found")</f>
        <v>saccharum</v>
      </c>
      <c r="N1492" t="str">
        <f>_xlfn.XLOOKUP(C1492,Table2[Species],Table2[Family],"Code Not Found")</f>
        <v>Sapindaceae</v>
      </c>
      <c r="O1492" t="str" cm="1">
        <f t="array" ref="O1492">_xlfn.IFS(F1492="","",F1492&lt;=5,"0 to 5",F1492&lt;=10,"5.1 to 10",F1492&lt;=20,"10 to 20", F1492&lt;= 40, "20 to 40", F1492 &lt;= 50, "40 to 50", F1492 &gt; 50, "&gt;50" )</f>
        <v>10 to 20</v>
      </c>
    </row>
    <row r="1493" spans="1:15" ht="14.4" x14ac:dyDescent="0.3">
      <c r="A1493" t="s">
        <v>293</v>
      </c>
      <c r="B1493" s="1">
        <v>46199</v>
      </c>
      <c r="C1493" t="s">
        <v>16</v>
      </c>
      <c r="D1493">
        <v>1367</v>
      </c>
      <c r="E1493">
        <v>1</v>
      </c>
      <c r="F1493">
        <v>3.7</v>
      </c>
      <c r="G1493" t="s">
        <v>17</v>
      </c>
      <c r="I1493" t="str">
        <f t="shared" si="25"/>
        <v>1367_1</v>
      </c>
      <c r="J1493" t="s">
        <v>294</v>
      </c>
      <c r="K1493" t="s">
        <v>19</v>
      </c>
      <c r="L1493" t="str">
        <f>_xlfn.XLOOKUP(C1493, Table2[Species],Table2[Genus], "Code Not Found")</f>
        <v>Acer</v>
      </c>
      <c r="M1493" t="str">
        <f>_xlfn.XLOOKUP(C1493, Table2[Species],Table2[Sp. Name], "Code Not Found")</f>
        <v>saccharum</v>
      </c>
      <c r="N1493" t="str">
        <f>_xlfn.XLOOKUP(C1493,Table2[Species],Table2[Family],"Code Not Found")</f>
        <v>Sapindaceae</v>
      </c>
      <c r="O1493" t="str" cm="1">
        <f t="array" ref="O1493">_xlfn.IFS(F1493="","",F1493&lt;=5,"0 to 5",F1493&lt;=10,"5.1 to 10",F1493&lt;=20,"10 to 20", F1493&lt;= 40, "20 to 40", F1493 &lt;= 50, "40 to 50", F1493 &gt; 50, "&gt;50" )</f>
        <v>0 to 5</v>
      </c>
    </row>
    <row r="1494" spans="1:15" ht="14.4" x14ac:dyDescent="0.3">
      <c r="A1494" t="s">
        <v>293</v>
      </c>
      <c r="B1494" s="1">
        <v>46199</v>
      </c>
      <c r="C1494" t="s">
        <v>16</v>
      </c>
      <c r="D1494">
        <v>1368</v>
      </c>
      <c r="E1494">
        <v>1</v>
      </c>
      <c r="F1494">
        <v>6.4</v>
      </c>
      <c r="G1494" t="s">
        <v>17</v>
      </c>
      <c r="I1494" t="str">
        <f t="shared" si="25"/>
        <v>1368_1</v>
      </c>
      <c r="J1494" t="s">
        <v>294</v>
      </c>
      <c r="K1494" t="s">
        <v>19</v>
      </c>
      <c r="L1494" t="str">
        <f>_xlfn.XLOOKUP(C1494, Table2[Species],Table2[Genus], "Code Not Found")</f>
        <v>Acer</v>
      </c>
      <c r="M1494" t="str">
        <f>_xlfn.XLOOKUP(C1494, Table2[Species],Table2[Sp. Name], "Code Not Found")</f>
        <v>saccharum</v>
      </c>
      <c r="N1494" t="str">
        <f>_xlfn.XLOOKUP(C1494,Table2[Species],Table2[Family],"Code Not Found")</f>
        <v>Sapindaceae</v>
      </c>
      <c r="O1494" t="str" cm="1">
        <f t="array" ref="O1494">_xlfn.IFS(F1494="","",F1494&lt;=5,"0 to 5",F1494&lt;=10,"5.1 to 10",F1494&lt;=20,"10 to 20", F1494&lt;= 40, "20 to 40", F1494 &lt;= 50, "40 to 50", F1494 &gt; 50, "&gt;50" )</f>
        <v>5.1 to 10</v>
      </c>
    </row>
    <row r="1495" spans="1:15" ht="14.4" x14ac:dyDescent="0.3">
      <c r="A1495" t="s">
        <v>293</v>
      </c>
      <c r="B1495" s="1">
        <v>46199</v>
      </c>
      <c r="C1495" t="s">
        <v>16</v>
      </c>
      <c r="D1495">
        <v>1369</v>
      </c>
      <c r="E1495">
        <v>1</v>
      </c>
      <c r="F1495">
        <v>14.6</v>
      </c>
      <c r="G1495" t="s">
        <v>17</v>
      </c>
      <c r="I1495" t="str">
        <f t="shared" si="25"/>
        <v>1369_1</v>
      </c>
      <c r="J1495" t="s">
        <v>294</v>
      </c>
      <c r="K1495" t="s">
        <v>19</v>
      </c>
      <c r="L1495" t="str">
        <f>_xlfn.XLOOKUP(C1495, Table2[Species],Table2[Genus], "Code Not Found")</f>
        <v>Acer</v>
      </c>
      <c r="M1495" t="str">
        <f>_xlfn.XLOOKUP(C1495, Table2[Species],Table2[Sp. Name], "Code Not Found")</f>
        <v>saccharum</v>
      </c>
      <c r="N1495" t="str">
        <f>_xlfn.XLOOKUP(C1495,Table2[Species],Table2[Family],"Code Not Found")</f>
        <v>Sapindaceae</v>
      </c>
      <c r="O1495" t="str" cm="1">
        <f t="array" ref="O1495">_xlfn.IFS(F1495="","",F1495&lt;=5,"0 to 5",F1495&lt;=10,"5.1 to 10",F1495&lt;=20,"10 to 20", F1495&lt;= 40, "20 to 40", F1495 &lt;= 50, "40 to 50", F1495 &gt; 50, "&gt;50" )</f>
        <v>10 to 20</v>
      </c>
    </row>
    <row r="1496" spans="1:15" ht="14.4" x14ac:dyDescent="0.3">
      <c r="A1496" t="s">
        <v>293</v>
      </c>
      <c r="B1496" s="1">
        <v>46199</v>
      </c>
      <c r="C1496" t="s">
        <v>16</v>
      </c>
      <c r="D1496">
        <v>1370</v>
      </c>
      <c r="E1496">
        <v>1</v>
      </c>
      <c r="F1496">
        <v>1.5</v>
      </c>
      <c r="G1496" t="s">
        <v>47</v>
      </c>
      <c r="H1496" t="s">
        <v>296</v>
      </c>
      <c r="I1496" t="str">
        <f t="shared" si="25"/>
        <v>1370_1</v>
      </c>
      <c r="J1496" t="s">
        <v>294</v>
      </c>
      <c r="K1496" t="s">
        <v>19</v>
      </c>
      <c r="L1496" t="str">
        <f>_xlfn.XLOOKUP(C1496, Table2[Species],Table2[Genus], "Code Not Found")</f>
        <v>Acer</v>
      </c>
      <c r="M1496" t="str">
        <f>_xlfn.XLOOKUP(C1496, Table2[Species],Table2[Sp. Name], "Code Not Found")</f>
        <v>saccharum</v>
      </c>
      <c r="N1496" t="str">
        <f>_xlfn.XLOOKUP(C1496,Table2[Species],Table2[Family],"Code Not Found")</f>
        <v>Sapindaceae</v>
      </c>
      <c r="O1496" t="str" cm="1">
        <f t="array" ref="O1496">_xlfn.IFS(F1496="","",F1496&lt;=5,"0 to 5",F1496&lt;=10,"5.1 to 10",F1496&lt;=20,"10 to 20", F1496&lt;= 40, "20 to 40", F1496 &lt;= 50, "40 to 50", F1496 &gt; 50, "&gt;50" )</f>
        <v>0 to 5</v>
      </c>
    </row>
    <row r="1497" spans="1:15" ht="14.4" x14ac:dyDescent="0.3">
      <c r="A1497" t="s">
        <v>293</v>
      </c>
      <c r="B1497" s="1">
        <v>46199</v>
      </c>
      <c r="C1497" t="s">
        <v>16</v>
      </c>
      <c r="D1497">
        <v>1371</v>
      </c>
      <c r="E1497">
        <v>1</v>
      </c>
      <c r="F1497">
        <v>6.5</v>
      </c>
      <c r="G1497" t="s">
        <v>314</v>
      </c>
      <c r="H1497" t="s">
        <v>315</v>
      </c>
      <c r="I1497" t="str">
        <f t="shared" si="25"/>
        <v>1371_1</v>
      </c>
      <c r="J1497" t="s">
        <v>294</v>
      </c>
      <c r="K1497" t="s">
        <v>19</v>
      </c>
      <c r="L1497" t="str">
        <f>_xlfn.XLOOKUP(C1497, Table2[Species],Table2[Genus], "Code Not Found")</f>
        <v>Acer</v>
      </c>
      <c r="M1497" t="str">
        <f>_xlfn.XLOOKUP(C1497, Table2[Species],Table2[Sp. Name], "Code Not Found")</f>
        <v>saccharum</v>
      </c>
      <c r="N1497" t="str">
        <f>_xlfn.XLOOKUP(C1497,Table2[Species],Table2[Family],"Code Not Found")</f>
        <v>Sapindaceae</v>
      </c>
      <c r="O1497" t="str" cm="1">
        <f t="array" ref="O1497">_xlfn.IFS(F1497="","",F1497&lt;=5,"0 to 5",F1497&lt;=10,"5.1 to 10",F1497&lt;=20,"10 to 20", F1497&lt;= 40, "20 to 40", F1497 &lt;= 50, "40 to 50", F1497 &gt; 50, "&gt;50" )</f>
        <v>5.1 to 10</v>
      </c>
    </row>
    <row r="1498" spans="1:15" ht="14.4" x14ac:dyDescent="0.3">
      <c r="A1498" t="s">
        <v>293</v>
      </c>
      <c r="B1498" s="1">
        <v>46199</v>
      </c>
      <c r="C1498" t="s">
        <v>64</v>
      </c>
      <c r="D1498">
        <v>1372</v>
      </c>
      <c r="E1498">
        <v>1</v>
      </c>
      <c r="F1498">
        <v>2.5</v>
      </c>
      <c r="G1498" t="s">
        <v>34</v>
      </c>
      <c r="H1498" t="s">
        <v>316</v>
      </c>
      <c r="I1498" t="str">
        <f t="shared" si="25"/>
        <v>1372_1</v>
      </c>
      <c r="J1498" t="s">
        <v>294</v>
      </c>
      <c r="K1498" t="s">
        <v>19</v>
      </c>
      <c r="L1498" t="str">
        <f>_xlfn.XLOOKUP(C1498, Table2[Species],Table2[Genus], "Code Not Found")</f>
        <v>Fagus</v>
      </c>
      <c r="M1498" t="str">
        <f>_xlfn.XLOOKUP(C1498, Table2[Species],Table2[Sp. Name], "Code Not Found")</f>
        <v>grandifolia</v>
      </c>
      <c r="N1498" t="str">
        <f>_xlfn.XLOOKUP(C1498,Table2[Species],Table2[Family],"Code Not Found")</f>
        <v>Fagaceae</v>
      </c>
      <c r="O1498" t="str" cm="1">
        <f t="array" ref="O1498">_xlfn.IFS(F1498="","",F1498&lt;=5,"0 to 5",F1498&lt;=10,"5.1 to 10",F1498&lt;=20,"10 to 20", F1498&lt;= 40, "20 to 40", F1498 &lt;= 50, "40 to 50", F1498 &gt; 50, "&gt;50" )</f>
        <v>0 to 5</v>
      </c>
    </row>
    <row r="1499" spans="1:15" ht="14.4" x14ac:dyDescent="0.3">
      <c r="A1499" t="s">
        <v>293</v>
      </c>
      <c r="B1499" s="1">
        <v>46199</v>
      </c>
      <c r="C1499" t="s">
        <v>64</v>
      </c>
      <c r="D1499">
        <v>1372</v>
      </c>
      <c r="E1499">
        <v>2</v>
      </c>
      <c r="F1499">
        <v>1.1000000000000001</v>
      </c>
      <c r="G1499" t="s">
        <v>34</v>
      </c>
      <c r="H1499" t="s">
        <v>316</v>
      </c>
      <c r="I1499" t="str">
        <f t="shared" si="25"/>
        <v>1372_2</v>
      </c>
      <c r="J1499" t="s">
        <v>294</v>
      </c>
      <c r="K1499" t="s">
        <v>19</v>
      </c>
      <c r="L1499" t="str">
        <f>_xlfn.XLOOKUP(C1499, Table2[Species],Table2[Genus], "Code Not Found")</f>
        <v>Fagus</v>
      </c>
      <c r="M1499" t="str">
        <f>_xlfn.XLOOKUP(C1499, Table2[Species],Table2[Sp. Name], "Code Not Found")</f>
        <v>grandifolia</v>
      </c>
      <c r="N1499" t="str">
        <f>_xlfn.XLOOKUP(C1499,Table2[Species],Table2[Family],"Code Not Found")</f>
        <v>Fagaceae</v>
      </c>
      <c r="O1499" t="str" cm="1">
        <f t="array" ref="O1499">_xlfn.IFS(F1499="","",F1499&lt;=5,"0 to 5",F1499&lt;=10,"5.1 to 10",F1499&lt;=20,"10 to 20", F1499&lt;= 40, "20 to 40", F1499 &lt;= 50, "40 to 50", F1499 &gt; 50, "&gt;50" )</f>
        <v>0 to 5</v>
      </c>
    </row>
    <row r="1500" spans="1:15" ht="14.4" x14ac:dyDescent="0.3">
      <c r="A1500" t="s">
        <v>293</v>
      </c>
      <c r="B1500" s="1">
        <v>46199</v>
      </c>
      <c r="C1500" t="s">
        <v>64</v>
      </c>
      <c r="D1500">
        <v>1373</v>
      </c>
      <c r="E1500">
        <v>1</v>
      </c>
      <c r="F1500">
        <v>5.2</v>
      </c>
      <c r="G1500" t="s">
        <v>17</v>
      </c>
      <c r="I1500" t="str">
        <f t="shared" si="25"/>
        <v>1373_1</v>
      </c>
      <c r="J1500" t="s">
        <v>294</v>
      </c>
      <c r="K1500" t="s">
        <v>19</v>
      </c>
      <c r="L1500" t="str">
        <f>_xlfn.XLOOKUP(C1500, Table2[Species],Table2[Genus], "Code Not Found")</f>
        <v>Fagus</v>
      </c>
      <c r="M1500" t="str">
        <f>_xlfn.XLOOKUP(C1500, Table2[Species],Table2[Sp. Name], "Code Not Found")</f>
        <v>grandifolia</v>
      </c>
      <c r="N1500" t="str">
        <f>_xlfn.XLOOKUP(C1500,Table2[Species],Table2[Family],"Code Not Found")</f>
        <v>Fagaceae</v>
      </c>
      <c r="O1500" t="str" cm="1">
        <f t="array" ref="O1500">_xlfn.IFS(F1500="","",F1500&lt;=5,"0 to 5",F1500&lt;=10,"5.1 to 10",F1500&lt;=20,"10 to 20", F1500&lt;= 40, "20 to 40", F1500 &lt;= 50, "40 to 50", F1500 &gt; 50, "&gt;50" )</f>
        <v>5.1 to 10</v>
      </c>
    </row>
    <row r="1501" spans="1:15" ht="14.4" x14ac:dyDescent="0.3">
      <c r="A1501" t="s">
        <v>293</v>
      </c>
      <c r="B1501" s="1">
        <v>46199</v>
      </c>
      <c r="C1501" t="s">
        <v>64</v>
      </c>
      <c r="D1501">
        <v>1374</v>
      </c>
      <c r="E1501">
        <v>1</v>
      </c>
      <c r="F1501">
        <v>11.6</v>
      </c>
      <c r="G1501" t="s">
        <v>17</v>
      </c>
      <c r="I1501" t="str">
        <f t="shared" si="25"/>
        <v>1374_1</v>
      </c>
      <c r="J1501" t="s">
        <v>294</v>
      </c>
      <c r="K1501" t="s">
        <v>19</v>
      </c>
      <c r="L1501" t="str">
        <f>_xlfn.XLOOKUP(C1501, Table2[Species],Table2[Genus], "Code Not Found")</f>
        <v>Fagus</v>
      </c>
      <c r="M1501" t="str">
        <f>_xlfn.XLOOKUP(C1501, Table2[Species],Table2[Sp. Name], "Code Not Found")</f>
        <v>grandifolia</v>
      </c>
      <c r="N1501" t="str">
        <f>_xlfn.XLOOKUP(C1501,Table2[Species],Table2[Family],"Code Not Found")</f>
        <v>Fagaceae</v>
      </c>
      <c r="O1501" t="str" cm="1">
        <f t="array" ref="O1501">_xlfn.IFS(F1501="","",F1501&lt;=5,"0 to 5",F1501&lt;=10,"5.1 to 10",F1501&lt;=20,"10 to 20", F1501&lt;= 40, "20 to 40", F1501 &lt;= 50, "40 to 50", F1501 &gt; 50, "&gt;50" )</f>
        <v>10 to 20</v>
      </c>
    </row>
    <row r="1502" spans="1:15" ht="14.4" x14ac:dyDescent="0.3">
      <c r="A1502" t="s">
        <v>293</v>
      </c>
      <c r="B1502" s="1">
        <v>46199</v>
      </c>
      <c r="C1502" t="s">
        <v>16</v>
      </c>
      <c r="D1502">
        <v>1375</v>
      </c>
      <c r="E1502">
        <v>1</v>
      </c>
      <c r="F1502">
        <v>3</v>
      </c>
      <c r="G1502" t="s">
        <v>17</v>
      </c>
      <c r="I1502" t="str">
        <f t="shared" si="25"/>
        <v>1375_1</v>
      </c>
      <c r="J1502" t="s">
        <v>294</v>
      </c>
      <c r="K1502" t="s">
        <v>19</v>
      </c>
      <c r="L1502" t="str">
        <f>_xlfn.XLOOKUP(C1502, Table2[Species],Table2[Genus], "Code Not Found")</f>
        <v>Acer</v>
      </c>
      <c r="M1502" t="str">
        <f>_xlfn.XLOOKUP(C1502, Table2[Species],Table2[Sp. Name], "Code Not Found")</f>
        <v>saccharum</v>
      </c>
      <c r="N1502" t="str">
        <f>_xlfn.XLOOKUP(C1502,Table2[Species],Table2[Family],"Code Not Found")</f>
        <v>Sapindaceae</v>
      </c>
      <c r="O1502" t="str" cm="1">
        <f t="array" ref="O1502">_xlfn.IFS(F1502="","",F1502&lt;=5,"0 to 5",F1502&lt;=10,"5.1 to 10",F1502&lt;=20,"10 to 20", F1502&lt;= 40, "20 to 40", F1502 &lt;= 50, "40 to 50", F1502 &gt; 50, "&gt;50" )</f>
        <v>0 to 5</v>
      </c>
    </row>
    <row r="1503" spans="1:15" ht="14.4" x14ac:dyDescent="0.3">
      <c r="A1503" t="s">
        <v>293</v>
      </c>
      <c r="B1503" s="1">
        <v>46199</v>
      </c>
      <c r="C1503" t="s">
        <v>16</v>
      </c>
      <c r="D1503">
        <v>1376</v>
      </c>
      <c r="E1503">
        <v>1</v>
      </c>
      <c r="F1503">
        <v>1.5</v>
      </c>
      <c r="G1503" t="s">
        <v>17</v>
      </c>
      <c r="I1503" t="str">
        <f t="shared" si="25"/>
        <v>1376_1</v>
      </c>
      <c r="J1503" t="s">
        <v>294</v>
      </c>
      <c r="K1503" t="s">
        <v>19</v>
      </c>
      <c r="L1503" t="str">
        <f>_xlfn.XLOOKUP(C1503, Table2[Species],Table2[Genus], "Code Not Found")</f>
        <v>Acer</v>
      </c>
      <c r="M1503" t="str">
        <f>_xlfn.XLOOKUP(C1503, Table2[Species],Table2[Sp. Name], "Code Not Found")</f>
        <v>saccharum</v>
      </c>
      <c r="N1503" t="str">
        <f>_xlfn.XLOOKUP(C1503,Table2[Species],Table2[Family],"Code Not Found")</f>
        <v>Sapindaceae</v>
      </c>
      <c r="O1503" t="str" cm="1">
        <f t="array" ref="O1503">_xlfn.IFS(F1503="","",F1503&lt;=5,"0 to 5",F1503&lt;=10,"5.1 to 10",F1503&lt;=20,"10 to 20", F1503&lt;= 40, "20 to 40", F1503 &lt;= 50, "40 to 50", F1503 &gt; 50, "&gt;50" )</f>
        <v>0 to 5</v>
      </c>
    </row>
    <row r="1504" spans="1:15" ht="14.4" x14ac:dyDescent="0.3">
      <c r="A1504" t="s">
        <v>293</v>
      </c>
      <c r="B1504" s="1">
        <v>46199</v>
      </c>
      <c r="C1504" t="s">
        <v>16</v>
      </c>
      <c r="D1504">
        <v>1377</v>
      </c>
      <c r="E1504">
        <v>1</v>
      </c>
      <c r="F1504">
        <v>5.8</v>
      </c>
      <c r="G1504" t="s">
        <v>17</v>
      </c>
      <c r="H1504" t="s">
        <v>317</v>
      </c>
      <c r="I1504" t="str">
        <f t="shared" si="25"/>
        <v>1377_1</v>
      </c>
      <c r="J1504" t="s">
        <v>294</v>
      </c>
      <c r="K1504" t="s">
        <v>19</v>
      </c>
      <c r="L1504" t="str">
        <f>_xlfn.XLOOKUP(C1504, Table2[Species],Table2[Genus], "Code Not Found")</f>
        <v>Acer</v>
      </c>
      <c r="M1504" t="str">
        <f>_xlfn.XLOOKUP(C1504, Table2[Species],Table2[Sp. Name], "Code Not Found")</f>
        <v>saccharum</v>
      </c>
      <c r="N1504" t="str">
        <f>_xlfn.XLOOKUP(C1504,Table2[Species],Table2[Family],"Code Not Found")</f>
        <v>Sapindaceae</v>
      </c>
      <c r="O1504" t="str" cm="1">
        <f t="array" ref="O1504">_xlfn.IFS(F1504="","",F1504&lt;=5,"0 to 5",F1504&lt;=10,"5.1 to 10",F1504&lt;=20,"10 to 20", F1504&lt;= 40, "20 to 40", F1504 &lt;= 50, "40 to 50", F1504 &gt; 50, "&gt;50" )</f>
        <v>5.1 to 10</v>
      </c>
    </row>
    <row r="1505" spans="1:15" ht="14.4" x14ac:dyDescent="0.3">
      <c r="A1505" t="s">
        <v>293</v>
      </c>
      <c r="B1505" s="1">
        <v>46199</v>
      </c>
      <c r="C1505" t="s">
        <v>16</v>
      </c>
      <c r="D1505">
        <v>1378</v>
      </c>
      <c r="E1505">
        <v>1</v>
      </c>
      <c r="F1505">
        <v>1</v>
      </c>
      <c r="G1505" t="s">
        <v>47</v>
      </c>
      <c r="H1505" t="s">
        <v>318</v>
      </c>
      <c r="I1505" t="str">
        <f t="shared" si="25"/>
        <v>1378_1</v>
      </c>
      <c r="J1505" t="s">
        <v>294</v>
      </c>
      <c r="K1505" t="s">
        <v>19</v>
      </c>
      <c r="L1505" t="str">
        <f>_xlfn.XLOOKUP(C1505, Table2[Species],Table2[Genus], "Code Not Found")</f>
        <v>Acer</v>
      </c>
      <c r="M1505" t="str">
        <f>_xlfn.XLOOKUP(C1505, Table2[Species],Table2[Sp. Name], "Code Not Found")</f>
        <v>saccharum</v>
      </c>
      <c r="N1505" t="str">
        <f>_xlfn.XLOOKUP(C1505,Table2[Species],Table2[Family],"Code Not Found")</f>
        <v>Sapindaceae</v>
      </c>
      <c r="O1505" t="str" cm="1">
        <f t="array" ref="O1505">_xlfn.IFS(F1505="","",F1505&lt;=5,"0 to 5",F1505&lt;=10,"5.1 to 10",F1505&lt;=20,"10 to 20", F1505&lt;= 40, "20 to 40", F1505 &lt;= 50, "40 to 50", F1505 &gt; 50, "&gt;50" )</f>
        <v>0 to 5</v>
      </c>
    </row>
    <row r="1506" spans="1:15" ht="14.4" x14ac:dyDescent="0.3">
      <c r="A1506" t="s">
        <v>293</v>
      </c>
      <c r="B1506" s="1">
        <v>46199</v>
      </c>
      <c r="C1506" t="s">
        <v>16</v>
      </c>
      <c r="D1506">
        <v>1379</v>
      </c>
      <c r="E1506">
        <v>1</v>
      </c>
      <c r="F1506">
        <v>1.9</v>
      </c>
      <c r="G1506" t="s">
        <v>93</v>
      </c>
      <c r="I1506" t="str">
        <f t="shared" si="25"/>
        <v>1379_1</v>
      </c>
      <c r="J1506" t="s">
        <v>294</v>
      </c>
      <c r="K1506" t="s">
        <v>19</v>
      </c>
      <c r="L1506" t="str">
        <f>_xlfn.XLOOKUP(C1506, Table2[Species],Table2[Genus], "Code Not Found")</f>
        <v>Acer</v>
      </c>
      <c r="M1506" t="str">
        <f>_xlfn.XLOOKUP(C1506, Table2[Species],Table2[Sp. Name], "Code Not Found")</f>
        <v>saccharum</v>
      </c>
      <c r="N1506" t="str">
        <f>_xlfn.XLOOKUP(C1506,Table2[Species],Table2[Family],"Code Not Found")</f>
        <v>Sapindaceae</v>
      </c>
      <c r="O1506" t="str" cm="1">
        <f t="array" ref="O1506">_xlfn.IFS(F1506="","",F1506&lt;=5,"0 to 5",F1506&lt;=10,"5.1 to 10",F1506&lt;=20,"10 to 20", F1506&lt;= 40, "20 to 40", F1506 &lt;= 50, "40 to 50", F1506 &gt; 50, "&gt;50" )</f>
        <v>0 to 5</v>
      </c>
    </row>
    <row r="1507" spans="1:15" ht="14.4" x14ac:dyDescent="0.3">
      <c r="A1507" t="s">
        <v>293</v>
      </c>
      <c r="B1507" s="1">
        <v>46199</v>
      </c>
      <c r="C1507" t="s">
        <v>16</v>
      </c>
      <c r="D1507">
        <v>1379</v>
      </c>
      <c r="E1507">
        <v>2</v>
      </c>
      <c r="F1507">
        <v>1</v>
      </c>
      <c r="G1507" t="s">
        <v>93</v>
      </c>
      <c r="I1507" t="str">
        <f t="shared" ref="I1507:I1570" si="26">D1507&amp;"_"&amp;E1507</f>
        <v>1379_2</v>
      </c>
      <c r="J1507" t="s">
        <v>294</v>
      </c>
      <c r="K1507" t="s">
        <v>19</v>
      </c>
      <c r="L1507" t="str">
        <f>_xlfn.XLOOKUP(C1507, Table2[Species],Table2[Genus], "Code Not Found")</f>
        <v>Acer</v>
      </c>
      <c r="M1507" t="str">
        <f>_xlfn.XLOOKUP(C1507, Table2[Species],Table2[Sp. Name], "Code Not Found")</f>
        <v>saccharum</v>
      </c>
      <c r="N1507" t="str">
        <f>_xlfn.XLOOKUP(C1507,Table2[Species],Table2[Family],"Code Not Found")</f>
        <v>Sapindaceae</v>
      </c>
      <c r="O1507" t="str" cm="1">
        <f t="array" ref="O1507">_xlfn.IFS(F1507="","",F1507&lt;=5,"0 to 5",F1507&lt;=10,"5.1 to 10",F1507&lt;=20,"10 to 20", F1507&lt;= 40, "20 to 40", F1507 &lt;= 50, "40 to 50", F1507 &gt; 50, "&gt;50" )</f>
        <v>0 to 5</v>
      </c>
    </row>
    <row r="1508" spans="1:15" ht="14.4" x14ac:dyDescent="0.3">
      <c r="A1508" t="s">
        <v>293</v>
      </c>
      <c r="B1508" s="1">
        <v>46199</v>
      </c>
      <c r="C1508" t="s">
        <v>16</v>
      </c>
      <c r="D1508">
        <v>1380</v>
      </c>
      <c r="E1508">
        <v>1</v>
      </c>
      <c r="F1508">
        <v>6.4</v>
      </c>
      <c r="G1508" t="s">
        <v>17</v>
      </c>
      <c r="I1508" t="str">
        <f t="shared" si="26"/>
        <v>1380_1</v>
      </c>
      <c r="J1508" t="s">
        <v>294</v>
      </c>
      <c r="K1508" t="s">
        <v>19</v>
      </c>
      <c r="L1508" t="str">
        <f>_xlfn.XLOOKUP(C1508, Table2[Species],Table2[Genus], "Code Not Found")</f>
        <v>Acer</v>
      </c>
      <c r="M1508" t="str">
        <f>_xlfn.XLOOKUP(C1508, Table2[Species],Table2[Sp. Name], "Code Not Found")</f>
        <v>saccharum</v>
      </c>
      <c r="N1508" t="str">
        <f>_xlfn.XLOOKUP(C1508,Table2[Species],Table2[Family],"Code Not Found")</f>
        <v>Sapindaceae</v>
      </c>
      <c r="O1508" t="str" cm="1">
        <f t="array" ref="O1508">_xlfn.IFS(F1508="","",F1508&lt;=5,"0 to 5",F1508&lt;=10,"5.1 to 10",F1508&lt;=20,"10 to 20", F1508&lt;= 40, "20 to 40", F1508 &lt;= 50, "40 to 50", F1508 &gt; 50, "&gt;50" )</f>
        <v>5.1 to 10</v>
      </c>
    </row>
    <row r="1509" spans="1:15" ht="14.4" x14ac:dyDescent="0.3">
      <c r="A1509" t="s">
        <v>293</v>
      </c>
      <c r="B1509" s="1">
        <v>46199</v>
      </c>
      <c r="C1509" t="s">
        <v>16</v>
      </c>
      <c r="D1509">
        <v>1381</v>
      </c>
      <c r="E1509">
        <v>1</v>
      </c>
      <c r="F1509">
        <v>6.9</v>
      </c>
      <c r="G1509" t="s">
        <v>17</v>
      </c>
      <c r="I1509" t="str">
        <f t="shared" si="26"/>
        <v>1381_1</v>
      </c>
      <c r="J1509" t="s">
        <v>294</v>
      </c>
      <c r="K1509" t="s">
        <v>19</v>
      </c>
      <c r="L1509" t="str">
        <f>_xlfn.XLOOKUP(C1509, Table2[Species],Table2[Genus], "Code Not Found")</f>
        <v>Acer</v>
      </c>
      <c r="M1509" t="str">
        <f>_xlfn.XLOOKUP(C1509, Table2[Species],Table2[Sp. Name], "Code Not Found")</f>
        <v>saccharum</v>
      </c>
      <c r="N1509" t="str">
        <f>_xlfn.XLOOKUP(C1509,Table2[Species],Table2[Family],"Code Not Found")</f>
        <v>Sapindaceae</v>
      </c>
      <c r="O1509" t="str" cm="1">
        <f t="array" ref="O1509">_xlfn.IFS(F1509="","",F1509&lt;=5,"0 to 5",F1509&lt;=10,"5.1 to 10",F1509&lt;=20,"10 to 20", F1509&lt;= 40, "20 to 40", F1509 &lt;= 50, "40 to 50", F1509 &gt; 50, "&gt;50" )</f>
        <v>5.1 to 10</v>
      </c>
    </row>
    <row r="1510" spans="1:15" ht="14.4" x14ac:dyDescent="0.3">
      <c r="A1510" t="s">
        <v>293</v>
      </c>
      <c r="B1510" s="1">
        <v>46199</v>
      </c>
      <c r="C1510" t="s">
        <v>16</v>
      </c>
      <c r="D1510">
        <v>1382</v>
      </c>
      <c r="E1510">
        <v>1</v>
      </c>
      <c r="F1510">
        <v>4.8</v>
      </c>
      <c r="G1510" t="s">
        <v>47</v>
      </c>
      <c r="H1510" t="s">
        <v>296</v>
      </c>
      <c r="I1510" t="str">
        <f t="shared" si="26"/>
        <v>1382_1</v>
      </c>
      <c r="J1510" t="s">
        <v>294</v>
      </c>
      <c r="K1510" t="s">
        <v>19</v>
      </c>
      <c r="L1510" t="str">
        <f>_xlfn.XLOOKUP(C1510, Table2[Species],Table2[Genus], "Code Not Found")</f>
        <v>Acer</v>
      </c>
      <c r="M1510" t="str">
        <f>_xlfn.XLOOKUP(C1510, Table2[Species],Table2[Sp. Name], "Code Not Found")</f>
        <v>saccharum</v>
      </c>
      <c r="N1510" t="str">
        <f>_xlfn.XLOOKUP(C1510,Table2[Species],Table2[Family],"Code Not Found")</f>
        <v>Sapindaceae</v>
      </c>
      <c r="O1510" t="str" cm="1">
        <f t="array" ref="O1510">_xlfn.IFS(F1510="","",F1510&lt;=5,"0 to 5",F1510&lt;=10,"5.1 to 10",F1510&lt;=20,"10 to 20", F1510&lt;= 40, "20 to 40", F1510 &lt;= 50, "40 to 50", F1510 &gt; 50, "&gt;50" )</f>
        <v>0 to 5</v>
      </c>
    </row>
    <row r="1511" spans="1:15" ht="14.4" x14ac:dyDescent="0.3">
      <c r="A1511" t="s">
        <v>293</v>
      </c>
      <c r="B1511" s="1">
        <v>46199</v>
      </c>
      <c r="C1511" t="s">
        <v>16</v>
      </c>
      <c r="D1511">
        <v>1556</v>
      </c>
      <c r="E1511">
        <v>1</v>
      </c>
      <c r="F1511">
        <v>6</v>
      </c>
      <c r="G1511" t="s">
        <v>17</v>
      </c>
      <c r="H1511" t="s">
        <v>319</v>
      </c>
      <c r="I1511" t="str">
        <f t="shared" si="26"/>
        <v>1556_1</v>
      </c>
      <c r="J1511" t="s">
        <v>294</v>
      </c>
      <c r="K1511" t="s">
        <v>19</v>
      </c>
      <c r="L1511" t="str">
        <f>_xlfn.XLOOKUP(C1511, Table2[Species],Table2[Genus], "Code Not Found")</f>
        <v>Acer</v>
      </c>
      <c r="M1511" t="str">
        <f>_xlfn.XLOOKUP(C1511, Table2[Species],Table2[Sp. Name], "Code Not Found")</f>
        <v>saccharum</v>
      </c>
      <c r="N1511" t="str">
        <f>_xlfn.XLOOKUP(C1511,Table2[Species],Table2[Family],"Code Not Found")</f>
        <v>Sapindaceae</v>
      </c>
      <c r="O1511" t="str" cm="1">
        <f t="array" ref="O1511">_xlfn.IFS(F1511="","",F1511&lt;=5,"0 to 5",F1511&lt;=10,"5.1 to 10",F1511&lt;=20,"10 to 20", F1511&lt;= 40, "20 to 40", F1511 &lt;= 50, "40 to 50", F1511 &gt; 50, "&gt;50" )</f>
        <v>5.1 to 10</v>
      </c>
    </row>
    <row r="1512" spans="1:15" ht="14.4" x14ac:dyDescent="0.3">
      <c r="A1512" t="s">
        <v>293</v>
      </c>
      <c r="B1512" s="1">
        <v>46199</v>
      </c>
      <c r="C1512" t="s">
        <v>16</v>
      </c>
      <c r="D1512">
        <v>1557</v>
      </c>
      <c r="E1512">
        <v>1</v>
      </c>
      <c r="F1512">
        <v>2.5</v>
      </c>
      <c r="G1512" t="s">
        <v>17</v>
      </c>
      <c r="H1512" t="s">
        <v>319</v>
      </c>
      <c r="I1512" t="str">
        <f t="shared" si="26"/>
        <v>1557_1</v>
      </c>
      <c r="J1512" t="s">
        <v>294</v>
      </c>
      <c r="K1512" t="s">
        <v>19</v>
      </c>
      <c r="L1512" t="str">
        <f>_xlfn.XLOOKUP(C1512, Table2[Species],Table2[Genus], "Code Not Found")</f>
        <v>Acer</v>
      </c>
      <c r="M1512" t="str">
        <f>_xlfn.XLOOKUP(C1512, Table2[Species],Table2[Sp. Name], "Code Not Found")</f>
        <v>saccharum</v>
      </c>
      <c r="N1512" t="str">
        <f>_xlfn.XLOOKUP(C1512,Table2[Species],Table2[Family],"Code Not Found")</f>
        <v>Sapindaceae</v>
      </c>
      <c r="O1512" t="str" cm="1">
        <f t="array" ref="O1512">_xlfn.IFS(F1512="","",F1512&lt;=5,"0 to 5",F1512&lt;=10,"5.1 to 10",F1512&lt;=20,"10 to 20", F1512&lt;= 40, "20 to 40", F1512 &lt;= 50, "40 to 50", F1512 &gt; 50, "&gt;50" )</f>
        <v>0 to 5</v>
      </c>
    </row>
    <row r="1513" spans="1:15" ht="14.4" x14ac:dyDescent="0.3">
      <c r="A1513" t="s">
        <v>293</v>
      </c>
      <c r="B1513" s="1">
        <v>46199</v>
      </c>
      <c r="C1513" t="s">
        <v>64</v>
      </c>
      <c r="D1513">
        <v>1383</v>
      </c>
      <c r="E1513">
        <v>1</v>
      </c>
      <c r="F1513">
        <v>43.3</v>
      </c>
      <c r="G1513" t="s">
        <v>17</v>
      </c>
      <c r="I1513" t="str">
        <f t="shared" si="26"/>
        <v>1383_1</v>
      </c>
      <c r="J1513" t="s">
        <v>294</v>
      </c>
      <c r="K1513" t="s">
        <v>19</v>
      </c>
      <c r="L1513" t="str">
        <f>_xlfn.XLOOKUP(C1513, Table2[Species],Table2[Genus], "Code Not Found")</f>
        <v>Fagus</v>
      </c>
      <c r="M1513" t="str">
        <f>_xlfn.XLOOKUP(C1513, Table2[Species],Table2[Sp. Name], "Code Not Found")</f>
        <v>grandifolia</v>
      </c>
      <c r="N1513" t="str">
        <f>_xlfn.XLOOKUP(C1513,Table2[Species],Table2[Family],"Code Not Found")</f>
        <v>Fagaceae</v>
      </c>
      <c r="O1513" t="str" cm="1">
        <f t="array" ref="O1513">_xlfn.IFS(F1513="","",F1513&lt;=5,"0 to 5",F1513&lt;=10,"5.1 to 10",F1513&lt;=20,"10 to 20", F1513&lt;= 40, "20 to 40", F1513 &lt;= 50, "40 to 50", F1513 &gt; 50, "&gt;50" )</f>
        <v>40 to 50</v>
      </c>
    </row>
    <row r="1514" spans="1:15" ht="14.4" x14ac:dyDescent="0.3">
      <c r="A1514" t="s">
        <v>293</v>
      </c>
      <c r="B1514" s="1">
        <v>46199</v>
      </c>
      <c r="C1514" t="s">
        <v>16</v>
      </c>
      <c r="D1514">
        <v>1384</v>
      </c>
      <c r="E1514">
        <v>1</v>
      </c>
      <c r="F1514">
        <v>2.8</v>
      </c>
      <c r="G1514" t="s">
        <v>17</v>
      </c>
      <c r="I1514" t="str">
        <f t="shared" si="26"/>
        <v>1384_1</v>
      </c>
      <c r="J1514" t="s">
        <v>294</v>
      </c>
      <c r="K1514" t="s">
        <v>19</v>
      </c>
      <c r="L1514" t="str">
        <f>_xlfn.XLOOKUP(C1514, Table2[Species],Table2[Genus], "Code Not Found")</f>
        <v>Acer</v>
      </c>
      <c r="M1514" t="str">
        <f>_xlfn.XLOOKUP(C1514, Table2[Species],Table2[Sp. Name], "Code Not Found")</f>
        <v>saccharum</v>
      </c>
      <c r="N1514" t="str">
        <f>_xlfn.XLOOKUP(C1514,Table2[Species],Table2[Family],"Code Not Found")</f>
        <v>Sapindaceae</v>
      </c>
      <c r="O1514" t="str" cm="1">
        <f t="array" ref="O1514">_xlfn.IFS(F1514="","",F1514&lt;=5,"0 to 5",F1514&lt;=10,"5.1 to 10",F1514&lt;=20,"10 to 20", F1514&lt;= 40, "20 to 40", F1514 &lt;= 50, "40 to 50", F1514 &gt; 50, "&gt;50" )</f>
        <v>0 to 5</v>
      </c>
    </row>
    <row r="1515" spans="1:15" ht="14.4" x14ac:dyDescent="0.3">
      <c r="A1515" t="s">
        <v>293</v>
      </c>
      <c r="B1515" s="1">
        <v>46199</v>
      </c>
      <c r="C1515" t="s">
        <v>16</v>
      </c>
      <c r="D1515">
        <v>1385</v>
      </c>
      <c r="E1515">
        <v>1</v>
      </c>
      <c r="F1515">
        <v>4</v>
      </c>
      <c r="G1515" t="s">
        <v>17</v>
      </c>
      <c r="I1515" t="str">
        <f t="shared" si="26"/>
        <v>1385_1</v>
      </c>
      <c r="J1515" t="s">
        <v>294</v>
      </c>
      <c r="K1515" t="s">
        <v>19</v>
      </c>
      <c r="L1515" t="str">
        <f>_xlfn.XLOOKUP(C1515, Table2[Species],Table2[Genus], "Code Not Found")</f>
        <v>Acer</v>
      </c>
      <c r="M1515" t="str">
        <f>_xlfn.XLOOKUP(C1515, Table2[Species],Table2[Sp. Name], "Code Not Found")</f>
        <v>saccharum</v>
      </c>
      <c r="N1515" t="str">
        <f>_xlfn.XLOOKUP(C1515,Table2[Species],Table2[Family],"Code Not Found")</f>
        <v>Sapindaceae</v>
      </c>
      <c r="O1515" t="str" cm="1">
        <f t="array" ref="O1515">_xlfn.IFS(F1515="","",F1515&lt;=5,"0 to 5",F1515&lt;=10,"5.1 to 10",F1515&lt;=20,"10 to 20", F1515&lt;= 40, "20 to 40", F1515 &lt;= 50, "40 to 50", F1515 &gt; 50, "&gt;50" )</f>
        <v>0 to 5</v>
      </c>
    </row>
    <row r="1516" spans="1:15" ht="14.4" x14ac:dyDescent="0.3">
      <c r="A1516" t="s">
        <v>293</v>
      </c>
      <c r="B1516" s="1">
        <v>46199</v>
      </c>
      <c r="C1516" t="s">
        <v>16</v>
      </c>
      <c r="D1516">
        <v>1386</v>
      </c>
      <c r="E1516">
        <v>1</v>
      </c>
      <c r="F1516">
        <v>6.3</v>
      </c>
      <c r="G1516" t="s">
        <v>17</v>
      </c>
      <c r="I1516" t="str">
        <f t="shared" si="26"/>
        <v>1386_1</v>
      </c>
      <c r="J1516" t="s">
        <v>294</v>
      </c>
      <c r="K1516" t="s">
        <v>19</v>
      </c>
      <c r="L1516" t="str">
        <f>_xlfn.XLOOKUP(C1516, Table2[Species],Table2[Genus], "Code Not Found")</f>
        <v>Acer</v>
      </c>
      <c r="M1516" t="str">
        <f>_xlfn.XLOOKUP(C1516, Table2[Species],Table2[Sp. Name], "Code Not Found")</f>
        <v>saccharum</v>
      </c>
      <c r="N1516" t="str">
        <f>_xlfn.XLOOKUP(C1516,Table2[Species],Table2[Family],"Code Not Found")</f>
        <v>Sapindaceae</v>
      </c>
      <c r="O1516" t="str" cm="1">
        <f t="array" ref="O1516">_xlfn.IFS(F1516="","",F1516&lt;=5,"0 to 5",F1516&lt;=10,"5.1 to 10",F1516&lt;=20,"10 to 20", F1516&lt;= 40, "20 to 40", F1516 &lt;= 50, "40 to 50", F1516 &gt; 50, "&gt;50" )</f>
        <v>5.1 to 10</v>
      </c>
    </row>
    <row r="1517" spans="1:15" ht="14.4" x14ac:dyDescent="0.3">
      <c r="A1517" t="s">
        <v>293</v>
      </c>
      <c r="B1517" s="1">
        <v>46199</v>
      </c>
      <c r="C1517" t="s">
        <v>16</v>
      </c>
      <c r="D1517">
        <v>1387</v>
      </c>
      <c r="E1517">
        <v>1</v>
      </c>
      <c r="F1517">
        <v>7.6</v>
      </c>
      <c r="G1517" t="s">
        <v>51</v>
      </c>
      <c r="H1517" t="s">
        <v>320</v>
      </c>
      <c r="I1517" t="str">
        <f t="shared" si="26"/>
        <v>1387_1</v>
      </c>
      <c r="J1517" t="s">
        <v>294</v>
      </c>
      <c r="K1517" t="s">
        <v>19</v>
      </c>
      <c r="L1517" t="str">
        <f>_xlfn.XLOOKUP(C1517, Table2[Species],Table2[Genus], "Code Not Found")</f>
        <v>Acer</v>
      </c>
      <c r="M1517" t="str">
        <f>_xlfn.XLOOKUP(C1517, Table2[Species],Table2[Sp. Name], "Code Not Found")</f>
        <v>saccharum</v>
      </c>
      <c r="N1517" t="str">
        <f>_xlfn.XLOOKUP(C1517,Table2[Species],Table2[Family],"Code Not Found")</f>
        <v>Sapindaceae</v>
      </c>
      <c r="O1517" t="str" cm="1">
        <f t="array" ref="O1517">_xlfn.IFS(F1517="","",F1517&lt;=5,"0 to 5",F1517&lt;=10,"5.1 to 10",F1517&lt;=20,"10 to 20", F1517&lt;= 40, "20 to 40", F1517 &lt;= 50, "40 to 50", F1517 &gt; 50, "&gt;50" )</f>
        <v>5.1 to 10</v>
      </c>
    </row>
    <row r="1518" spans="1:15" ht="14.4" x14ac:dyDescent="0.3">
      <c r="A1518" t="s">
        <v>293</v>
      </c>
      <c r="B1518" s="1">
        <v>46199</v>
      </c>
      <c r="C1518" t="s">
        <v>59</v>
      </c>
      <c r="D1518">
        <v>1388</v>
      </c>
      <c r="E1518">
        <v>1</v>
      </c>
      <c r="F1518">
        <v>32.6</v>
      </c>
      <c r="G1518" t="s">
        <v>47</v>
      </c>
      <c r="H1518" t="s">
        <v>296</v>
      </c>
      <c r="I1518" t="str">
        <f t="shared" si="26"/>
        <v>1388_1</v>
      </c>
      <c r="J1518" t="s">
        <v>294</v>
      </c>
      <c r="K1518" t="s">
        <v>19</v>
      </c>
      <c r="L1518" t="str">
        <f>_xlfn.XLOOKUP(C1518, Table2[Species],Table2[Genus], "Code Not Found")</f>
        <v>Nyssa</v>
      </c>
      <c r="M1518" t="str">
        <f>_xlfn.XLOOKUP(C1518, Table2[Species],Table2[Sp. Name], "Code Not Found")</f>
        <v>sylvatica</v>
      </c>
      <c r="N1518" t="str">
        <f>_xlfn.XLOOKUP(C1518,Table2[Species],Table2[Family],"Code Not Found")</f>
        <v>Nyssaceae</v>
      </c>
      <c r="O1518" t="str" cm="1">
        <f t="array" ref="O1518">_xlfn.IFS(F1518="","",F1518&lt;=5,"0 to 5",F1518&lt;=10,"5.1 to 10",F1518&lt;=20,"10 to 20", F1518&lt;= 40, "20 to 40", F1518 &lt;= 50, "40 to 50", F1518 &gt; 50, "&gt;50" )</f>
        <v>20 to 40</v>
      </c>
    </row>
    <row r="1519" spans="1:15" ht="14.4" x14ac:dyDescent="0.3">
      <c r="A1519" t="s">
        <v>293</v>
      </c>
      <c r="B1519" s="1">
        <v>46199</v>
      </c>
      <c r="C1519" t="s">
        <v>16</v>
      </c>
      <c r="D1519">
        <v>1389</v>
      </c>
      <c r="E1519">
        <v>1</v>
      </c>
      <c r="F1519">
        <v>3.6</v>
      </c>
      <c r="G1519" t="s">
        <v>30</v>
      </c>
      <c r="H1519" t="s">
        <v>99</v>
      </c>
      <c r="I1519" t="str">
        <f t="shared" si="26"/>
        <v>1389_1</v>
      </c>
      <c r="J1519" t="s">
        <v>294</v>
      </c>
      <c r="K1519" t="s">
        <v>19</v>
      </c>
      <c r="L1519" t="str">
        <f>_xlfn.XLOOKUP(C1519, Table2[Species],Table2[Genus], "Code Not Found")</f>
        <v>Acer</v>
      </c>
      <c r="M1519" t="str">
        <f>_xlfn.XLOOKUP(C1519, Table2[Species],Table2[Sp. Name], "Code Not Found")</f>
        <v>saccharum</v>
      </c>
      <c r="N1519" t="str">
        <f>_xlfn.XLOOKUP(C1519,Table2[Species],Table2[Family],"Code Not Found")</f>
        <v>Sapindaceae</v>
      </c>
      <c r="O1519" t="str" cm="1">
        <f t="array" ref="O1519">_xlfn.IFS(F1519="","",F1519&lt;=5,"0 to 5",F1519&lt;=10,"5.1 to 10",F1519&lt;=20,"10 to 20", F1519&lt;= 40, "20 to 40", F1519 &lt;= 50, "40 to 50", F1519 &gt; 50, "&gt;50" )</f>
        <v>0 to 5</v>
      </c>
    </row>
    <row r="1520" spans="1:15" ht="14.4" x14ac:dyDescent="0.3">
      <c r="A1520" t="s">
        <v>293</v>
      </c>
      <c r="B1520" s="1">
        <v>46199</v>
      </c>
      <c r="C1520" t="s">
        <v>16</v>
      </c>
      <c r="D1520">
        <v>1390</v>
      </c>
      <c r="E1520">
        <v>1</v>
      </c>
      <c r="F1520">
        <v>4.2</v>
      </c>
      <c r="G1520" t="s">
        <v>21</v>
      </c>
      <c r="I1520" t="str">
        <f t="shared" si="26"/>
        <v>1390_1</v>
      </c>
      <c r="J1520" t="s">
        <v>294</v>
      </c>
      <c r="K1520" t="s">
        <v>19</v>
      </c>
      <c r="L1520" t="str">
        <f>_xlfn.XLOOKUP(C1520, Table2[Species],Table2[Genus], "Code Not Found")</f>
        <v>Acer</v>
      </c>
      <c r="M1520" t="str">
        <f>_xlfn.XLOOKUP(C1520, Table2[Species],Table2[Sp. Name], "Code Not Found")</f>
        <v>saccharum</v>
      </c>
      <c r="N1520" t="str">
        <f>_xlfn.XLOOKUP(C1520,Table2[Species],Table2[Family],"Code Not Found")</f>
        <v>Sapindaceae</v>
      </c>
      <c r="O1520" t="str" cm="1">
        <f t="array" ref="O1520">_xlfn.IFS(F1520="","",F1520&lt;=5,"0 to 5",F1520&lt;=10,"5.1 to 10",F1520&lt;=20,"10 to 20", F1520&lt;= 40, "20 to 40", F1520 &lt;= 50, "40 to 50", F1520 &gt; 50, "&gt;50" )</f>
        <v>0 to 5</v>
      </c>
    </row>
    <row r="1521" spans="1:15" ht="14.4" x14ac:dyDescent="0.3">
      <c r="A1521" t="s">
        <v>293</v>
      </c>
      <c r="B1521" s="1">
        <v>46199</v>
      </c>
      <c r="C1521" t="s">
        <v>16</v>
      </c>
      <c r="D1521">
        <v>1391</v>
      </c>
      <c r="E1521">
        <v>1</v>
      </c>
      <c r="F1521">
        <v>2.7</v>
      </c>
      <c r="G1521" t="s">
        <v>17</v>
      </c>
      <c r="I1521" t="str">
        <f t="shared" si="26"/>
        <v>1391_1</v>
      </c>
      <c r="J1521" t="s">
        <v>294</v>
      </c>
      <c r="K1521" t="s">
        <v>19</v>
      </c>
      <c r="L1521" t="str">
        <f>_xlfn.XLOOKUP(C1521, Table2[Species],Table2[Genus], "Code Not Found")</f>
        <v>Acer</v>
      </c>
      <c r="M1521" t="str">
        <f>_xlfn.XLOOKUP(C1521, Table2[Species],Table2[Sp. Name], "Code Not Found")</f>
        <v>saccharum</v>
      </c>
      <c r="N1521" t="str">
        <f>_xlfn.XLOOKUP(C1521,Table2[Species],Table2[Family],"Code Not Found")</f>
        <v>Sapindaceae</v>
      </c>
      <c r="O1521" t="str" cm="1">
        <f t="array" ref="O1521">_xlfn.IFS(F1521="","",F1521&lt;=5,"0 to 5",F1521&lt;=10,"5.1 to 10",F1521&lt;=20,"10 to 20", F1521&lt;= 40, "20 to 40", F1521 &lt;= 50, "40 to 50", F1521 &gt; 50, "&gt;50" )</f>
        <v>0 to 5</v>
      </c>
    </row>
    <row r="1522" spans="1:15" ht="14.4" x14ac:dyDescent="0.3">
      <c r="A1522" t="s">
        <v>293</v>
      </c>
      <c r="B1522" s="1">
        <v>46199</v>
      </c>
      <c r="C1522" t="s">
        <v>16</v>
      </c>
      <c r="D1522">
        <v>1392</v>
      </c>
      <c r="E1522">
        <v>1</v>
      </c>
      <c r="F1522">
        <v>7.7</v>
      </c>
      <c r="G1522" t="s">
        <v>17</v>
      </c>
      <c r="I1522" t="str">
        <f t="shared" si="26"/>
        <v>1392_1</v>
      </c>
      <c r="J1522" t="s">
        <v>294</v>
      </c>
      <c r="K1522" t="s">
        <v>19</v>
      </c>
      <c r="L1522" t="str">
        <f>_xlfn.XLOOKUP(C1522, Table2[Species],Table2[Genus], "Code Not Found")</f>
        <v>Acer</v>
      </c>
      <c r="M1522" t="str">
        <f>_xlfn.XLOOKUP(C1522, Table2[Species],Table2[Sp. Name], "Code Not Found")</f>
        <v>saccharum</v>
      </c>
      <c r="N1522" t="str">
        <f>_xlfn.XLOOKUP(C1522,Table2[Species],Table2[Family],"Code Not Found")</f>
        <v>Sapindaceae</v>
      </c>
      <c r="O1522" t="str" cm="1">
        <f t="array" ref="O1522">_xlfn.IFS(F1522="","",F1522&lt;=5,"0 to 5",F1522&lt;=10,"5.1 to 10",F1522&lt;=20,"10 to 20", F1522&lt;= 40, "20 to 40", F1522 &lt;= 50, "40 to 50", F1522 &gt; 50, "&gt;50" )</f>
        <v>5.1 to 10</v>
      </c>
    </row>
    <row r="1523" spans="1:15" ht="14.4" x14ac:dyDescent="0.3">
      <c r="A1523" t="s">
        <v>293</v>
      </c>
      <c r="B1523" s="1">
        <v>46199</v>
      </c>
      <c r="C1523" t="s">
        <v>64</v>
      </c>
      <c r="D1523">
        <v>1393</v>
      </c>
      <c r="E1523">
        <v>1</v>
      </c>
      <c r="F1523">
        <v>1.8</v>
      </c>
      <c r="G1523" t="s">
        <v>21</v>
      </c>
      <c r="H1523" t="s">
        <v>321</v>
      </c>
      <c r="I1523" t="str">
        <f t="shared" si="26"/>
        <v>1393_1</v>
      </c>
      <c r="J1523" t="s">
        <v>294</v>
      </c>
      <c r="K1523" t="s">
        <v>19</v>
      </c>
      <c r="L1523" t="str">
        <f>_xlfn.XLOOKUP(C1523, Table2[Species],Table2[Genus], "Code Not Found")</f>
        <v>Fagus</v>
      </c>
      <c r="M1523" t="str">
        <f>_xlfn.XLOOKUP(C1523, Table2[Species],Table2[Sp. Name], "Code Not Found")</f>
        <v>grandifolia</v>
      </c>
      <c r="N1523" t="str">
        <f>_xlfn.XLOOKUP(C1523,Table2[Species],Table2[Family],"Code Not Found")</f>
        <v>Fagaceae</v>
      </c>
      <c r="O1523" t="str" cm="1">
        <f t="array" ref="O1523">_xlfn.IFS(F1523="","",F1523&lt;=5,"0 to 5",F1523&lt;=10,"5.1 to 10",F1523&lt;=20,"10 to 20", F1523&lt;= 40, "20 to 40", F1523 &lt;= 50, "40 to 50", F1523 &gt; 50, "&gt;50" )</f>
        <v>0 to 5</v>
      </c>
    </row>
    <row r="1524" spans="1:15" ht="14.4" x14ac:dyDescent="0.3">
      <c r="A1524" t="s">
        <v>293</v>
      </c>
      <c r="B1524" s="1">
        <v>46199</v>
      </c>
      <c r="C1524" t="s">
        <v>16</v>
      </c>
      <c r="D1524">
        <v>1394</v>
      </c>
      <c r="E1524">
        <v>2</v>
      </c>
      <c r="F1524">
        <v>2.5</v>
      </c>
      <c r="G1524" t="s">
        <v>17</v>
      </c>
      <c r="I1524" t="str">
        <f t="shared" si="26"/>
        <v>1394_2</v>
      </c>
      <c r="J1524" t="s">
        <v>294</v>
      </c>
      <c r="K1524" t="s">
        <v>19</v>
      </c>
      <c r="L1524" t="str">
        <f>_xlfn.XLOOKUP(C1524, Table2[Species],Table2[Genus], "Code Not Found")</f>
        <v>Acer</v>
      </c>
      <c r="M1524" t="str">
        <f>_xlfn.XLOOKUP(C1524, Table2[Species],Table2[Sp. Name], "Code Not Found")</f>
        <v>saccharum</v>
      </c>
      <c r="N1524" t="str">
        <f>_xlfn.XLOOKUP(C1524,Table2[Species],Table2[Family],"Code Not Found")</f>
        <v>Sapindaceae</v>
      </c>
      <c r="O1524" t="str" cm="1">
        <f t="array" ref="O1524">_xlfn.IFS(F1524="","",F1524&lt;=5,"0 to 5",F1524&lt;=10,"5.1 to 10",F1524&lt;=20,"10 to 20", F1524&lt;= 40, "20 to 40", F1524 &lt;= 50, "40 to 50", F1524 &gt; 50, "&gt;50" )</f>
        <v>0 to 5</v>
      </c>
    </row>
    <row r="1525" spans="1:15" ht="14.4" x14ac:dyDescent="0.3">
      <c r="A1525" t="s">
        <v>293</v>
      </c>
      <c r="B1525" s="1">
        <v>46199</v>
      </c>
      <c r="C1525" t="s">
        <v>16</v>
      </c>
      <c r="D1525">
        <v>1395</v>
      </c>
      <c r="E1525">
        <v>1</v>
      </c>
      <c r="F1525">
        <v>9.4</v>
      </c>
      <c r="G1525" t="s">
        <v>32</v>
      </c>
      <c r="H1525" t="s">
        <v>296</v>
      </c>
      <c r="I1525" t="str">
        <f t="shared" si="26"/>
        <v>1395_1</v>
      </c>
      <c r="J1525" t="s">
        <v>294</v>
      </c>
      <c r="K1525" t="s">
        <v>19</v>
      </c>
      <c r="L1525" t="str">
        <f>_xlfn.XLOOKUP(C1525, Table2[Species],Table2[Genus], "Code Not Found")</f>
        <v>Acer</v>
      </c>
      <c r="M1525" t="str">
        <f>_xlfn.XLOOKUP(C1525, Table2[Species],Table2[Sp. Name], "Code Not Found")</f>
        <v>saccharum</v>
      </c>
      <c r="N1525" t="str">
        <f>_xlfn.XLOOKUP(C1525,Table2[Species],Table2[Family],"Code Not Found")</f>
        <v>Sapindaceae</v>
      </c>
      <c r="O1525" t="str" cm="1">
        <f t="array" ref="O1525">_xlfn.IFS(F1525="","",F1525&lt;=5,"0 to 5",F1525&lt;=10,"5.1 to 10",F1525&lt;=20,"10 to 20", F1525&lt;= 40, "20 to 40", F1525 &lt;= 50, "40 to 50", F1525 &gt; 50, "&gt;50" )</f>
        <v>5.1 to 10</v>
      </c>
    </row>
    <row r="1526" spans="1:15" ht="14.4" x14ac:dyDescent="0.3">
      <c r="A1526" t="s">
        <v>293</v>
      </c>
      <c r="B1526" s="1">
        <v>46199</v>
      </c>
      <c r="C1526" t="s">
        <v>16</v>
      </c>
      <c r="D1526">
        <v>1395</v>
      </c>
      <c r="E1526">
        <v>2</v>
      </c>
      <c r="F1526">
        <v>2.1</v>
      </c>
      <c r="G1526" t="s">
        <v>32</v>
      </c>
      <c r="H1526" t="s">
        <v>296</v>
      </c>
      <c r="I1526" t="str">
        <f t="shared" si="26"/>
        <v>1395_2</v>
      </c>
      <c r="J1526" t="s">
        <v>294</v>
      </c>
      <c r="K1526" t="s">
        <v>19</v>
      </c>
      <c r="L1526" t="str">
        <f>_xlfn.XLOOKUP(C1526, Table2[Species],Table2[Genus], "Code Not Found")</f>
        <v>Acer</v>
      </c>
      <c r="M1526" t="str">
        <f>_xlfn.XLOOKUP(C1526, Table2[Species],Table2[Sp. Name], "Code Not Found")</f>
        <v>saccharum</v>
      </c>
      <c r="N1526" t="str">
        <f>_xlfn.XLOOKUP(C1526,Table2[Species],Table2[Family],"Code Not Found")</f>
        <v>Sapindaceae</v>
      </c>
      <c r="O1526" t="str" cm="1">
        <f t="array" ref="O1526">_xlfn.IFS(F1526="","",F1526&lt;=5,"0 to 5",F1526&lt;=10,"5.1 to 10",F1526&lt;=20,"10 to 20", F1526&lt;= 40, "20 to 40", F1526 &lt;= 50, "40 to 50", F1526 &gt; 50, "&gt;50" )</f>
        <v>0 to 5</v>
      </c>
    </row>
    <row r="1527" spans="1:15" ht="14.4" x14ac:dyDescent="0.3">
      <c r="A1527" t="s">
        <v>293</v>
      </c>
      <c r="B1527" s="1">
        <v>46199</v>
      </c>
      <c r="C1527" t="s">
        <v>16</v>
      </c>
      <c r="D1527">
        <v>1395</v>
      </c>
      <c r="E1527">
        <v>3</v>
      </c>
      <c r="F1527">
        <v>1.2</v>
      </c>
      <c r="G1527" t="s">
        <v>32</v>
      </c>
      <c r="H1527" t="s">
        <v>296</v>
      </c>
      <c r="I1527" t="str">
        <f t="shared" si="26"/>
        <v>1395_3</v>
      </c>
      <c r="J1527" t="s">
        <v>294</v>
      </c>
      <c r="K1527" t="s">
        <v>19</v>
      </c>
      <c r="L1527" t="str">
        <f>_xlfn.XLOOKUP(C1527, Table2[Species],Table2[Genus], "Code Not Found")</f>
        <v>Acer</v>
      </c>
      <c r="M1527" t="str">
        <f>_xlfn.XLOOKUP(C1527, Table2[Species],Table2[Sp. Name], "Code Not Found")</f>
        <v>saccharum</v>
      </c>
      <c r="N1527" t="str">
        <f>_xlfn.XLOOKUP(C1527,Table2[Species],Table2[Family],"Code Not Found")</f>
        <v>Sapindaceae</v>
      </c>
      <c r="O1527" t="str" cm="1">
        <f t="array" ref="O1527">_xlfn.IFS(F1527="","",F1527&lt;=5,"0 to 5",F1527&lt;=10,"5.1 to 10",F1527&lt;=20,"10 to 20", F1527&lt;= 40, "20 to 40", F1527 &lt;= 50, "40 to 50", F1527 &gt; 50, "&gt;50" )</f>
        <v>0 to 5</v>
      </c>
    </row>
    <row r="1528" spans="1:15" ht="14.4" x14ac:dyDescent="0.3">
      <c r="A1528" t="s">
        <v>293</v>
      </c>
      <c r="B1528" s="1">
        <v>46199</v>
      </c>
      <c r="C1528" t="s">
        <v>16</v>
      </c>
      <c r="D1528">
        <v>1396</v>
      </c>
      <c r="E1528">
        <v>1</v>
      </c>
      <c r="F1528">
        <v>2.6</v>
      </c>
      <c r="G1528" t="s">
        <v>47</v>
      </c>
      <c r="H1528" t="s">
        <v>322</v>
      </c>
      <c r="I1528" t="str">
        <f t="shared" si="26"/>
        <v>1396_1</v>
      </c>
      <c r="J1528" t="s">
        <v>294</v>
      </c>
      <c r="K1528" t="s">
        <v>19</v>
      </c>
      <c r="L1528" t="str">
        <f>_xlfn.XLOOKUP(C1528, Table2[Species],Table2[Genus], "Code Not Found")</f>
        <v>Acer</v>
      </c>
      <c r="M1528" t="str">
        <f>_xlfn.XLOOKUP(C1528, Table2[Species],Table2[Sp. Name], "Code Not Found")</f>
        <v>saccharum</v>
      </c>
      <c r="N1528" t="str">
        <f>_xlfn.XLOOKUP(C1528,Table2[Species],Table2[Family],"Code Not Found")</f>
        <v>Sapindaceae</v>
      </c>
      <c r="O1528" t="str" cm="1">
        <f t="array" ref="O1528">_xlfn.IFS(F1528="","",F1528&lt;=5,"0 to 5",F1528&lt;=10,"5.1 to 10",F1528&lt;=20,"10 to 20", F1528&lt;= 40, "20 to 40", F1528 &lt;= 50, "40 to 50", F1528 &gt; 50, "&gt;50" )</f>
        <v>0 to 5</v>
      </c>
    </row>
    <row r="1529" spans="1:15" ht="14.4" x14ac:dyDescent="0.3">
      <c r="A1529" t="s">
        <v>293</v>
      </c>
      <c r="B1529" s="1">
        <v>46199</v>
      </c>
      <c r="C1529" t="s">
        <v>24</v>
      </c>
      <c r="D1529">
        <v>1397</v>
      </c>
      <c r="E1529">
        <v>1</v>
      </c>
      <c r="F1529">
        <v>68.8</v>
      </c>
      <c r="G1529" t="s">
        <v>56</v>
      </c>
      <c r="I1529" t="str">
        <f t="shared" si="26"/>
        <v>1397_1</v>
      </c>
      <c r="J1529" t="s">
        <v>294</v>
      </c>
      <c r="K1529" t="s">
        <v>19</v>
      </c>
      <c r="L1529" t="str">
        <f>_xlfn.XLOOKUP(C1529, Table2[Species],Table2[Genus], "Code Not Found")</f>
        <v>Lirodendron</v>
      </c>
      <c r="M1529" t="str">
        <f>_xlfn.XLOOKUP(C1529, Table2[Species],Table2[Sp. Name], "Code Not Found")</f>
        <v>tulipfera</v>
      </c>
      <c r="N1529" t="str">
        <f>_xlfn.XLOOKUP(C1529,Table2[Species],Table2[Family],"Code Not Found")</f>
        <v>Magnoliaceae</v>
      </c>
      <c r="O1529" t="str" cm="1">
        <f t="array" ref="O1529">_xlfn.IFS(F1529="","",F1529&lt;=5,"0 to 5",F1529&lt;=10,"5.1 to 10",F1529&lt;=20,"10 to 20", F1529&lt;= 40, "20 to 40", F1529 &lt;= 50, "40 to 50", F1529 &gt; 50, "&gt;50" )</f>
        <v>&gt;50</v>
      </c>
    </row>
    <row r="1530" spans="1:15" ht="14.4" x14ac:dyDescent="0.3">
      <c r="A1530" t="s">
        <v>293</v>
      </c>
      <c r="B1530" s="1">
        <v>46199</v>
      </c>
      <c r="C1530" t="s">
        <v>16</v>
      </c>
      <c r="D1530">
        <v>1398</v>
      </c>
      <c r="E1530">
        <v>1</v>
      </c>
      <c r="F1530">
        <v>6.2</v>
      </c>
      <c r="G1530" t="s">
        <v>47</v>
      </c>
      <c r="H1530" t="s">
        <v>296</v>
      </c>
      <c r="I1530" t="str">
        <f t="shared" si="26"/>
        <v>1398_1</v>
      </c>
      <c r="J1530" t="s">
        <v>294</v>
      </c>
      <c r="K1530" t="s">
        <v>19</v>
      </c>
      <c r="L1530" t="str">
        <f>_xlfn.XLOOKUP(C1530, Table2[Species],Table2[Genus], "Code Not Found")</f>
        <v>Acer</v>
      </c>
      <c r="M1530" t="str">
        <f>_xlfn.XLOOKUP(C1530, Table2[Species],Table2[Sp. Name], "Code Not Found")</f>
        <v>saccharum</v>
      </c>
      <c r="N1530" t="str">
        <f>_xlfn.XLOOKUP(C1530,Table2[Species],Table2[Family],"Code Not Found")</f>
        <v>Sapindaceae</v>
      </c>
      <c r="O1530" t="str" cm="1">
        <f t="array" ref="O1530">_xlfn.IFS(F1530="","",F1530&lt;=5,"0 to 5",F1530&lt;=10,"5.1 to 10",F1530&lt;=20,"10 to 20", F1530&lt;= 40, "20 to 40", F1530 &lt;= 50, "40 to 50", F1530 &gt; 50, "&gt;50" )</f>
        <v>5.1 to 10</v>
      </c>
    </row>
    <row r="1531" spans="1:15" ht="14.4" x14ac:dyDescent="0.3">
      <c r="A1531" t="s">
        <v>293</v>
      </c>
      <c r="B1531" s="1">
        <v>46199</v>
      </c>
      <c r="C1531" t="s">
        <v>22</v>
      </c>
      <c r="D1531">
        <v>1399</v>
      </c>
      <c r="E1531">
        <v>1</v>
      </c>
      <c r="F1531">
        <v>71.2</v>
      </c>
      <c r="G1531" t="s">
        <v>323</v>
      </c>
      <c r="H1531" t="s">
        <v>324</v>
      </c>
      <c r="I1531" t="str">
        <f t="shared" si="26"/>
        <v>1399_1</v>
      </c>
      <c r="J1531" t="s">
        <v>294</v>
      </c>
      <c r="K1531" t="s">
        <v>19</v>
      </c>
      <c r="L1531" t="str">
        <f>_xlfn.XLOOKUP(C1531, Table2[Species],Table2[Genus], "Code Not Found")</f>
        <v>Acer</v>
      </c>
      <c r="M1531" t="str">
        <f>_xlfn.XLOOKUP(C1531, Table2[Species],Table2[Sp. Name], "Code Not Found")</f>
        <v>rubrum</v>
      </c>
      <c r="N1531" t="str">
        <f>_xlfn.XLOOKUP(C1531,Table2[Species],Table2[Family],"Code Not Found")</f>
        <v>Sapindaceae</v>
      </c>
      <c r="O1531" t="str" cm="1">
        <f t="array" ref="O1531">_xlfn.IFS(F1531="","",F1531&lt;=5,"0 to 5",F1531&lt;=10,"5.1 to 10",F1531&lt;=20,"10 to 20", F1531&lt;= 40, "20 to 40", F1531 &lt;= 50, "40 to 50", F1531 &gt; 50, "&gt;50" )</f>
        <v>&gt;50</v>
      </c>
    </row>
    <row r="1532" spans="1:15" ht="14.4" x14ac:dyDescent="0.3">
      <c r="A1532" t="s">
        <v>293</v>
      </c>
      <c r="B1532" s="1">
        <v>46199</v>
      </c>
      <c r="C1532" t="s">
        <v>22</v>
      </c>
      <c r="D1532">
        <v>1399</v>
      </c>
      <c r="E1532">
        <v>2</v>
      </c>
      <c r="F1532">
        <v>34</v>
      </c>
      <c r="G1532" t="s">
        <v>323</v>
      </c>
      <c r="H1532" t="s">
        <v>325</v>
      </c>
      <c r="I1532" t="str">
        <f t="shared" si="26"/>
        <v>1399_2</v>
      </c>
      <c r="J1532" t="s">
        <v>294</v>
      </c>
      <c r="K1532" t="s">
        <v>19</v>
      </c>
      <c r="L1532" t="str">
        <f>_xlfn.XLOOKUP(C1532, Table2[Species],Table2[Genus], "Code Not Found")</f>
        <v>Acer</v>
      </c>
      <c r="M1532" t="str">
        <f>_xlfn.XLOOKUP(C1532, Table2[Species],Table2[Sp. Name], "Code Not Found")</f>
        <v>rubrum</v>
      </c>
      <c r="N1532" t="str">
        <f>_xlfn.XLOOKUP(C1532,Table2[Species],Table2[Family],"Code Not Found")</f>
        <v>Sapindaceae</v>
      </c>
      <c r="O1532" t="str" cm="1">
        <f t="array" ref="O1532">_xlfn.IFS(F1532="","",F1532&lt;=5,"0 to 5",F1532&lt;=10,"5.1 to 10",F1532&lt;=20,"10 to 20", F1532&lt;= 40, "20 to 40", F1532 &lt;= 50, "40 to 50", F1532 &gt; 50, "&gt;50" )</f>
        <v>20 to 40</v>
      </c>
    </row>
    <row r="1533" spans="1:15" ht="14.4" x14ac:dyDescent="0.3">
      <c r="A1533" t="s">
        <v>293</v>
      </c>
      <c r="B1533" s="1">
        <v>46199</v>
      </c>
      <c r="C1533" t="s">
        <v>16</v>
      </c>
      <c r="D1533">
        <v>1400</v>
      </c>
      <c r="E1533">
        <v>1</v>
      </c>
      <c r="F1533">
        <v>3.2</v>
      </c>
      <c r="G1533" t="s">
        <v>32</v>
      </c>
      <c r="I1533" t="str">
        <f t="shared" si="26"/>
        <v>1400_1</v>
      </c>
      <c r="J1533" t="s">
        <v>294</v>
      </c>
      <c r="K1533" t="s">
        <v>19</v>
      </c>
      <c r="L1533" t="str">
        <f>_xlfn.XLOOKUP(C1533, Table2[Species],Table2[Genus], "Code Not Found")</f>
        <v>Acer</v>
      </c>
      <c r="M1533" t="str">
        <f>_xlfn.XLOOKUP(C1533, Table2[Species],Table2[Sp. Name], "Code Not Found")</f>
        <v>saccharum</v>
      </c>
      <c r="N1533" t="str">
        <f>_xlfn.XLOOKUP(C1533,Table2[Species],Table2[Family],"Code Not Found")</f>
        <v>Sapindaceae</v>
      </c>
      <c r="O1533" t="str" cm="1">
        <f t="array" ref="O1533">_xlfn.IFS(F1533="","",F1533&lt;=5,"0 to 5",F1533&lt;=10,"5.1 to 10",F1533&lt;=20,"10 to 20", F1533&lt;= 40, "20 to 40", F1533 &lt;= 50, "40 to 50", F1533 &gt; 50, "&gt;50" )</f>
        <v>0 to 5</v>
      </c>
    </row>
    <row r="1534" spans="1:15" ht="14.4" x14ac:dyDescent="0.3">
      <c r="A1534" t="s">
        <v>293</v>
      </c>
      <c r="B1534" s="1">
        <v>46199</v>
      </c>
      <c r="C1534" t="s">
        <v>16</v>
      </c>
      <c r="D1534">
        <v>1400</v>
      </c>
      <c r="E1534">
        <v>2</v>
      </c>
      <c r="F1534">
        <v>1.3</v>
      </c>
      <c r="G1534" t="s">
        <v>32</v>
      </c>
      <c r="I1534" t="str">
        <f t="shared" si="26"/>
        <v>1400_2</v>
      </c>
      <c r="J1534" t="s">
        <v>294</v>
      </c>
      <c r="K1534" t="s">
        <v>19</v>
      </c>
      <c r="L1534" t="str">
        <f>_xlfn.XLOOKUP(C1534, Table2[Species],Table2[Genus], "Code Not Found")</f>
        <v>Acer</v>
      </c>
      <c r="M1534" t="str">
        <f>_xlfn.XLOOKUP(C1534, Table2[Species],Table2[Sp. Name], "Code Not Found")</f>
        <v>saccharum</v>
      </c>
      <c r="N1534" t="str">
        <f>_xlfn.XLOOKUP(C1534,Table2[Species],Table2[Family],"Code Not Found")</f>
        <v>Sapindaceae</v>
      </c>
      <c r="O1534" t="str" cm="1">
        <f t="array" ref="O1534">_xlfn.IFS(F1534="","",F1534&lt;=5,"0 to 5",F1534&lt;=10,"5.1 to 10",F1534&lt;=20,"10 to 20", F1534&lt;= 40, "20 to 40", F1534 &lt;= 50, "40 to 50", F1534 &gt; 50, "&gt;50" )</f>
        <v>0 to 5</v>
      </c>
    </row>
    <row r="1535" spans="1:15" ht="14.4" x14ac:dyDescent="0.3">
      <c r="A1535" t="s">
        <v>293</v>
      </c>
      <c r="B1535" s="1">
        <v>46199</v>
      </c>
      <c r="C1535" t="s">
        <v>16</v>
      </c>
      <c r="D1535">
        <v>1400</v>
      </c>
      <c r="E1535">
        <v>3</v>
      </c>
      <c r="F1535">
        <v>1.2</v>
      </c>
      <c r="G1535" t="s">
        <v>32</v>
      </c>
      <c r="I1535" t="str">
        <f t="shared" si="26"/>
        <v>1400_3</v>
      </c>
      <c r="J1535" t="s">
        <v>294</v>
      </c>
      <c r="K1535" t="s">
        <v>19</v>
      </c>
      <c r="L1535" t="str">
        <f>_xlfn.XLOOKUP(C1535, Table2[Species],Table2[Genus], "Code Not Found")</f>
        <v>Acer</v>
      </c>
      <c r="M1535" t="str">
        <f>_xlfn.XLOOKUP(C1535, Table2[Species],Table2[Sp. Name], "Code Not Found")</f>
        <v>saccharum</v>
      </c>
      <c r="N1535" t="str">
        <f>_xlfn.XLOOKUP(C1535,Table2[Species],Table2[Family],"Code Not Found")</f>
        <v>Sapindaceae</v>
      </c>
      <c r="O1535" t="str" cm="1">
        <f t="array" ref="O1535">_xlfn.IFS(F1535="","",F1535&lt;=5,"0 to 5",F1535&lt;=10,"5.1 to 10",F1535&lt;=20,"10 to 20", F1535&lt;= 40, "20 to 40", F1535 &lt;= 50, "40 to 50", F1535 &gt; 50, "&gt;50" )</f>
        <v>0 to 5</v>
      </c>
    </row>
    <row r="1536" spans="1:15" ht="14.4" x14ac:dyDescent="0.3">
      <c r="A1536" t="s">
        <v>293</v>
      </c>
      <c r="B1536" s="1">
        <v>46199</v>
      </c>
      <c r="C1536" t="s">
        <v>29</v>
      </c>
      <c r="D1536">
        <v>1401</v>
      </c>
      <c r="E1536">
        <v>1</v>
      </c>
      <c r="F1536">
        <v>1.9</v>
      </c>
      <c r="G1536" t="s">
        <v>47</v>
      </c>
      <c r="H1536" t="s">
        <v>322</v>
      </c>
      <c r="I1536" t="str">
        <f t="shared" si="26"/>
        <v>1401_1</v>
      </c>
      <c r="J1536" t="s">
        <v>294</v>
      </c>
      <c r="K1536" t="s">
        <v>19</v>
      </c>
      <c r="L1536" t="str">
        <f>_xlfn.XLOOKUP(C1536, Table2[Species],Table2[Genus], "Code Not Found")</f>
        <v>Sassafras</v>
      </c>
      <c r="M1536" t="str">
        <f>_xlfn.XLOOKUP(C1536, Table2[Species],Table2[Sp. Name], "Code Not Found")</f>
        <v>albidum</v>
      </c>
      <c r="N1536" t="str">
        <f>_xlfn.XLOOKUP(C1536,Table2[Species],Table2[Family],"Code Not Found")</f>
        <v>Lauraceae</v>
      </c>
      <c r="O1536" t="str" cm="1">
        <f t="array" ref="O1536">_xlfn.IFS(F1536="","",F1536&lt;=5,"0 to 5",F1536&lt;=10,"5.1 to 10",F1536&lt;=20,"10 to 20", F1536&lt;= 40, "20 to 40", F1536 &lt;= 50, "40 to 50", F1536 &gt; 50, "&gt;50" )</f>
        <v>0 to 5</v>
      </c>
    </row>
    <row r="1537" spans="1:15" ht="14.4" x14ac:dyDescent="0.3">
      <c r="A1537" t="s">
        <v>293</v>
      </c>
      <c r="B1537" s="1">
        <v>46199</v>
      </c>
      <c r="C1537" t="s">
        <v>16</v>
      </c>
      <c r="D1537">
        <v>1402</v>
      </c>
      <c r="E1537">
        <v>1</v>
      </c>
      <c r="F1537">
        <v>3.3</v>
      </c>
      <c r="G1537" t="s">
        <v>57</v>
      </c>
      <c r="H1537" t="s">
        <v>296</v>
      </c>
      <c r="I1537" t="str">
        <f t="shared" si="26"/>
        <v>1402_1</v>
      </c>
      <c r="J1537" t="s">
        <v>294</v>
      </c>
      <c r="K1537" t="s">
        <v>19</v>
      </c>
      <c r="L1537" t="str">
        <f>_xlfn.XLOOKUP(C1537, Table2[Species],Table2[Genus], "Code Not Found")</f>
        <v>Acer</v>
      </c>
      <c r="M1537" t="str">
        <f>_xlfn.XLOOKUP(C1537, Table2[Species],Table2[Sp. Name], "Code Not Found")</f>
        <v>saccharum</v>
      </c>
      <c r="N1537" t="str">
        <f>_xlfn.XLOOKUP(C1537,Table2[Species],Table2[Family],"Code Not Found")</f>
        <v>Sapindaceae</v>
      </c>
      <c r="O1537" t="str" cm="1">
        <f t="array" ref="O1537">_xlfn.IFS(F1537="","",F1537&lt;=5,"0 to 5",F1537&lt;=10,"5.1 to 10",F1537&lt;=20,"10 to 20", F1537&lt;= 40, "20 to 40", F1537 &lt;= 50, "40 to 50", F1537 &gt; 50, "&gt;50" )</f>
        <v>0 to 5</v>
      </c>
    </row>
    <row r="1538" spans="1:15" ht="14.4" x14ac:dyDescent="0.3">
      <c r="A1538" t="s">
        <v>293</v>
      </c>
      <c r="B1538" s="1">
        <v>46199</v>
      </c>
      <c r="C1538" t="s">
        <v>29</v>
      </c>
      <c r="D1538">
        <v>1403</v>
      </c>
      <c r="E1538">
        <v>1</v>
      </c>
      <c r="F1538">
        <v>1.6</v>
      </c>
      <c r="G1538" t="s">
        <v>57</v>
      </c>
      <c r="H1538" t="s">
        <v>322</v>
      </c>
      <c r="I1538" t="str">
        <f t="shared" si="26"/>
        <v>1403_1</v>
      </c>
      <c r="J1538" t="s">
        <v>294</v>
      </c>
      <c r="K1538" t="s">
        <v>19</v>
      </c>
      <c r="L1538" t="str">
        <f>_xlfn.XLOOKUP(C1538, Table2[Species],Table2[Genus], "Code Not Found")</f>
        <v>Sassafras</v>
      </c>
      <c r="M1538" t="str">
        <f>_xlfn.XLOOKUP(C1538, Table2[Species],Table2[Sp. Name], "Code Not Found")</f>
        <v>albidum</v>
      </c>
      <c r="N1538" t="str">
        <f>_xlfn.XLOOKUP(C1538,Table2[Species],Table2[Family],"Code Not Found")</f>
        <v>Lauraceae</v>
      </c>
      <c r="O1538" t="str" cm="1">
        <f t="array" ref="O1538">_xlfn.IFS(F1538="","",F1538&lt;=5,"0 to 5",F1538&lt;=10,"5.1 to 10",F1538&lt;=20,"10 to 20", F1538&lt;= 40, "20 to 40", F1538 &lt;= 50, "40 to 50", F1538 &gt; 50, "&gt;50" )</f>
        <v>0 to 5</v>
      </c>
    </row>
    <row r="1539" spans="1:15" ht="14.4" x14ac:dyDescent="0.3">
      <c r="A1539" t="s">
        <v>293</v>
      </c>
      <c r="B1539" s="1">
        <v>46199</v>
      </c>
      <c r="C1539" t="s">
        <v>29</v>
      </c>
      <c r="D1539">
        <v>1404</v>
      </c>
      <c r="E1539">
        <v>1</v>
      </c>
      <c r="F1539">
        <v>2.6</v>
      </c>
      <c r="G1539" t="s">
        <v>17</v>
      </c>
      <c r="I1539" t="str">
        <f t="shared" si="26"/>
        <v>1404_1</v>
      </c>
      <c r="J1539" t="s">
        <v>294</v>
      </c>
      <c r="K1539" t="s">
        <v>19</v>
      </c>
      <c r="L1539" t="str">
        <f>_xlfn.XLOOKUP(C1539, Table2[Species],Table2[Genus], "Code Not Found")</f>
        <v>Sassafras</v>
      </c>
      <c r="M1539" t="str">
        <f>_xlfn.XLOOKUP(C1539, Table2[Species],Table2[Sp. Name], "Code Not Found")</f>
        <v>albidum</v>
      </c>
      <c r="N1539" t="str">
        <f>_xlfn.XLOOKUP(C1539,Table2[Species],Table2[Family],"Code Not Found")</f>
        <v>Lauraceae</v>
      </c>
      <c r="O1539" t="str" cm="1">
        <f t="array" ref="O1539">_xlfn.IFS(F1539="","",F1539&lt;=5,"0 to 5",F1539&lt;=10,"5.1 to 10",F1539&lt;=20,"10 to 20", F1539&lt;= 40, "20 to 40", F1539 &lt;= 50, "40 to 50", F1539 &gt; 50, "&gt;50" )</f>
        <v>0 to 5</v>
      </c>
    </row>
    <row r="1540" spans="1:15" ht="14.4" x14ac:dyDescent="0.3">
      <c r="A1540" t="s">
        <v>293</v>
      </c>
      <c r="B1540" s="1">
        <v>46199</v>
      </c>
      <c r="C1540" t="s">
        <v>29</v>
      </c>
      <c r="D1540">
        <v>1405</v>
      </c>
      <c r="E1540">
        <v>1</v>
      </c>
      <c r="F1540">
        <v>1.2</v>
      </c>
      <c r="G1540" t="s">
        <v>57</v>
      </c>
      <c r="H1540" t="s">
        <v>322</v>
      </c>
      <c r="I1540" t="str">
        <f t="shared" si="26"/>
        <v>1405_1</v>
      </c>
      <c r="J1540" t="s">
        <v>294</v>
      </c>
      <c r="K1540" t="s">
        <v>19</v>
      </c>
      <c r="L1540" t="str">
        <f>_xlfn.XLOOKUP(C1540, Table2[Species],Table2[Genus], "Code Not Found")</f>
        <v>Sassafras</v>
      </c>
      <c r="M1540" t="str">
        <f>_xlfn.XLOOKUP(C1540, Table2[Species],Table2[Sp. Name], "Code Not Found")</f>
        <v>albidum</v>
      </c>
      <c r="N1540" t="str">
        <f>_xlfn.XLOOKUP(C1540,Table2[Species],Table2[Family],"Code Not Found")</f>
        <v>Lauraceae</v>
      </c>
      <c r="O1540" t="str" cm="1">
        <f t="array" ref="O1540">_xlfn.IFS(F1540="","",F1540&lt;=5,"0 to 5",F1540&lt;=10,"5.1 to 10",F1540&lt;=20,"10 to 20", F1540&lt;= 40, "20 to 40", F1540 &lt;= 50, "40 to 50", F1540 &gt; 50, "&gt;50" )</f>
        <v>0 to 5</v>
      </c>
    </row>
    <row r="1541" spans="1:15" ht="14.4" x14ac:dyDescent="0.3">
      <c r="A1541" t="s">
        <v>293</v>
      </c>
      <c r="B1541" s="1">
        <v>46199</v>
      </c>
      <c r="C1541" t="s">
        <v>29</v>
      </c>
      <c r="D1541">
        <v>1406</v>
      </c>
      <c r="E1541">
        <v>1</v>
      </c>
      <c r="F1541">
        <v>2.2000000000000002</v>
      </c>
      <c r="G1541" t="s">
        <v>17</v>
      </c>
      <c r="I1541" t="str">
        <f t="shared" si="26"/>
        <v>1406_1</v>
      </c>
      <c r="J1541" t="s">
        <v>294</v>
      </c>
      <c r="K1541" t="s">
        <v>19</v>
      </c>
      <c r="L1541" t="str">
        <f>_xlfn.XLOOKUP(C1541, Table2[Species],Table2[Genus], "Code Not Found")</f>
        <v>Sassafras</v>
      </c>
      <c r="M1541" t="str">
        <f>_xlfn.XLOOKUP(C1541, Table2[Species],Table2[Sp. Name], "Code Not Found")</f>
        <v>albidum</v>
      </c>
      <c r="N1541" t="str">
        <f>_xlfn.XLOOKUP(C1541,Table2[Species],Table2[Family],"Code Not Found")</f>
        <v>Lauraceae</v>
      </c>
      <c r="O1541" t="str" cm="1">
        <f t="array" ref="O1541">_xlfn.IFS(F1541="","",F1541&lt;=5,"0 to 5",F1541&lt;=10,"5.1 to 10",F1541&lt;=20,"10 to 20", F1541&lt;= 40, "20 to 40", F1541 &lt;= 50, "40 to 50", F1541 &gt; 50, "&gt;50" )</f>
        <v>0 to 5</v>
      </c>
    </row>
    <row r="1542" spans="1:15" ht="14.4" x14ac:dyDescent="0.3">
      <c r="A1542" t="s">
        <v>293</v>
      </c>
      <c r="B1542" s="1">
        <v>46199</v>
      </c>
      <c r="C1542" t="s">
        <v>29</v>
      </c>
      <c r="D1542">
        <v>1407</v>
      </c>
      <c r="E1542">
        <v>1</v>
      </c>
      <c r="F1542">
        <v>1.4</v>
      </c>
      <c r="G1542" t="s">
        <v>17</v>
      </c>
      <c r="I1542" t="str">
        <f t="shared" si="26"/>
        <v>1407_1</v>
      </c>
      <c r="J1542" t="s">
        <v>294</v>
      </c>
      <c r="K1542" t="s">
        <v>19</v>
      </c>
      <c r="L1542" t="str">
        <f>_xlfn.XLOOKUP(C1542, Table2[Species],Table2[Genus], "Code Not Found")</f>
        <v>Sassafras</v>
      </c>
      <c r="M1542" t="str">
        <f>_xlfn.XLOOKUP(C1542, Table2[Species],Table2[Sp. Name], "Code Not Found")</f>
        <v>albidum</v>
      </c>
      <c r="N1542" t="str">
        <f>_xlfn.XLOOKUP(C1542,Table2[Species],Table2[Family],"Code Not Found")</f>
        <v>Lauraceae</v>
      </c>
      <c r="O1542" t="str" cm="1">
        <f t="array" ref="O1542">_xlfn.IFS(F1542="","",F1542&lt;=5,"0 to 5",F1542&lt;=10,"5.1 to 10",F1542&lt;=20,"10 to 20", F1542&lt;= 40, "20 to 40", F1542 &lt;= 50, "40 to 50", F1542 &gt; 50, "&gt;50" )</f>
        <v>0 to 5</v>
      </c>
    </row>
    <row r="1543" spans="1:15" ht="14.4" x14ac:dyDescent="0.3">
      <c r="A1543" t="s">
        <v>293</v>
      </c>
      <c r="B1543" s="1">
        <v>46199</v>
      </c>
      <c r="C1543" t="s">
        <v>29</v>
      </c>
      <c r="D1543">
        <v>1408</v>
      </c>
      <c r="E1543">
        <v>1</v>
      </c>
      <c r="F1543">
        <v>1.1000000000000001</v>
      </c>
      <c r="G1543" t="s">
        <v>17</v>
      </c>
      <c r="I1543" t="str">
        <f t="shared" si="26"/>
        <v>1408_1</v>
      </c>
      <c r="J1543" t="s">
        <v>294</v>
      </c>
      <c r="K1543" t="s">
        <v>19</v>
      </c>
      <c r="L1543" t="str">
        <f>_xlfn.XLOOKUP(C1543, Table2[Species],Table2[Genus], "Code Not Found")</f>
        <v>Sassafras</v>
      </c>
      <c r="M1543" t="str">
        <f>_xlfn.XLOOKUP(C1543, Table2[Species],Table2[Sp. Name], "Code Not Found")</f>
        <v>albidum</v>
      </c>
      <c r="N1543" t="str">
        <f>_xlfn.XLOOKUP(C1543,Table2[Species],Table2[Family],"Code Not Found")</f>
        <v>Lauraceae</v>
      </c>
      <c r="O1543" t="str" cm="1">
        <f t="array" ref="O1543">_xlfn.IFS(F1543="","",F1543&lt;=5,"0 to 5",F1543&lt;=10,"5.1 to 10",F1543&lt;=20,"10 to 20", F1543&lt;= 40, "20 to 40", F1543 &lt;= 50, "40 to 50", F1543 &gt; 50, "&gt;50" )</f>
        <v>0 to 5</v>
      </c>
    </row>
    <row r="1544" spans="1:15" ht="14.4" x14ac:dyDescent="0.3">
      <c r="A1544" t="s">
        <v>293</v>
      </c>
      <c r="B1544" s="1">
        <v>46199</v>
      </c>
      <c r="C1544" t="s">
        <v>24</v>
      </c>
      <c r="D1544">
        <v>1409</v>
      </c>
      <c r="E1544">
        <v>1</v>
      </c>
      <c r="F1544">
        <v>43.6</v>
      </c>
      <c r="G1544" t="s">
        <v>17</v>
      </c>
      <c r="I1544" t="str">
        <f t="shared" si="26"/>
        <v>1409_1</v>
      </c>
      <c r="J1544" t="s">
        <v>294</v>
      </c>
      <c r="K1544" t="s">
        <v>19</v>
      </c>
      <c r="L1544" t="str">
        <f>_xlfn.XLOOKUP(C1544, Table2[Species],Table2[Genus], "Code Not Found")</f>
        <v>Lirodendron</v>
      </c>
      <c r="M1544" t="str">
        <f>_xlfn.XLOOKUP(C1544, Table2[Species],Table2[Sp. Name], "Code Not Found")</f>
        <v>tulipfera</v>
      </c>
      <c r="N1544" t="str">
        <f>_xlfn.XLOOKUP(C1544,Table2[Species],Table2[Family],"Code Not Found")</f>
        <v>Magnoliaceae</v>
      </c>
      <c r="O1544" t="str" cm="1">
        <f t="array" ref="O1544">_xlfn.IFS(F1544="","",F1544&lt;=5,"0 to 5",F1544&lt;=10,"5.1 to 10",F1544&lt;=20,"10 to 20", F1544&lt;= 40, "20 to 40", F1544 &lt;= 50, "40 to 50", F1544 &gt; 50, "&gt;50" )</f>
        <v>40 to 50</v>
      </c>
    </row>
    <row r="1545" spans="1:15" ht="14.4" x14ac:dyDescent="0.3">
      <c r="A1545" t="s">
        <v>293</v>
      </c>
      <c r="B1545" s="1">
        <v>46199</v>
      </c>
      <c r="C1545" t="s">
        <v>16</v>
      </c>
      <c r="D1545">
        <v>1410</v>
      </c>
      <c r="E1545">
        <v>1</v>
      </c>
      <c r="F1545">
        <v>3.9</v>
      </c>
      <c r="G1545" t="s">
        <v>242</v>
      </c>
      <c r="H1545" t="s">
        <v>99</v>
      </c>
      <c r="I1545" t="str">
        <f t="shared" si="26"/>
        <v>1410_1</v>
      </c>
      <c r="J1545" t="s">
        <v>294</v>
      </c>
      <c r="K1545" t="s">
        <v>19</v>
      </c>
      <c r="L1545" t="str">
        <f>_xlfn.XLOOKUP(C1545, Table2[Species],Table2[Genus], "Code Not Found")</f>
        <v>Acer</v>
      </c>
      <c r="M1545" t="str">
        <f>_xlfn.XLOOKUP(C1545, Table2[Species],Table2[Sp. Name], "Code Not Found")</f>
        <v>saccharum</v>
      </c>
      <c r="N1545" t="str">
        <f>_xlfn.XLOOKUP(C1545,Table2[Species],Table2[Family],"Code Not Found")</f>
        <v>Sapindaceae</v>
      </c>
      <c r="O1545" t="str" cm="1">
        <f t="array" ref="O1545">_xlfn.IFS(F1545="","",F1545&lt;=5,"0 to 5",F1545&lt;=10,"5.1 to 10",F1545&lt;=20,"10 to 20", F1545&lt;= 40, "20 to 40", F1545 &lt;= 50, "40 to 50", F1545 &gt; 50, "&gt;50" )</f>
        <v>0 to 5</v>
      </c>
    </row>
    <row r="1546" spans="1:15" ht="14.4" x14ac:dyDescent="0.3">
      <c r="A1546" t="s">
        <v>293</v>
      </c>
      <c r="B1546" s="1">
        <v>46199</v>
      </c>
      <c r="C1546" t="s">
        <v>16</v>
      </c>
      <c r="D1546">
        <v>1411</v>
      </c>
      <c r="E1546">
        <v>1</v>
      </c>
      <c r="F1546">
        <v>6.1</v>
      </c>
      <c r="G1546" t="s">
        <v>17</v>
      </c>
      <c r="H1546" t="s">
        <v>36</v>
      </c>
      <c r="I1546" t="str">
        <f t="shared" si="26"/>
        <v>1411_1</v>
      </c>
      <c r="J1546" t="s">
        <v>294</v>
      </c>
      <c r="K1546" t="s">
        <v>19</v>
      </c>
      <c r="L1546" t="str">
        <f>_xlfn.XLOOKUP(C1546, Table2[Species],Table2[Genus], "Code Not Found")</f>
        <v>Acer</v>
      </c>
      <c r="M1546" t="str">
        <f>_xlfn.XLOOKUP(C1546, Table2[Species],Table2[Sp. Name], "Code Not Found")</f>
        <v>saccharum</v>
      </c>
      <c r="N1546" t="str">
        <f>_xlfn.XLOOKUP(C1546,Table2[Species],Table2[Family],"Code Not Found")</f>
        <v>Sapindaceae</v>
      </c>
      <c r="O1546" t="str" cm="1">
        <f t="array" ref="O1546">_xlfn.IFS(F1546="","",F1546&lt;=5,"0 to 5",F1546&lt;=10,"5.1 to 10",F1546&lt;=20,"10 to 20", F1546&lt;= 40, "20 to 40", F1546 &lt;= 50, "40 to 50", F1546 &gt; 50, "&gt;50" )</f>
        <v>5.1 to 10</v>
      </c>
    </row>
    <row r="1547" spans="1:15" ht="14.4" x14ac:dyDescent="0.3">
      <c r="A1547" t="s">
        <v>293</v>
      </c>
      <c r="B1547" s="1">
        <v>46199</v>
      </c>
      <c r="C1547" t="s">
        <v>16</v>
      </c>
      <c r="D1547">
        <v>1412</v>
      </c>
      <c r="E1547">
        <v>1</v>
      </c>
      <c r="F1547">
        <v>9.5</v>
      </c>
      <c r="G1547" t="s">
        <v>17</v>
      </c>
      <c r="I1547" t="str">
        <f t="shared" si="26"/>
        <v>1412_1</v>
      </c>
      <c r="J1547" t="s">
        <v>294</v>
      </c>
      <c r="K1547" t="s">
        <v>19</v>
      </c>
      <c r="L1547" t="str">
        <f>_xlfn.XLOOKUP(C1547, Table2[Species],Table2[Genus], "Code Not Found")</f>
        <v>Acer</v>
      </c>
      <c r="M1547" t="str">
        <f>_xlfn.XLOOKUP(C1547, Table2[Species],Table2[Sp. Name], "Code Not Found")</f>
        <v>saccharum</v>
      </c>
      <c r="N1547" t="str">
        <f>_xlfn.XLOOKUP(C1547,Table2[Species],Table2[Family],"Code Not Found")</f>
        <v>Sapindaceae</v>
      </c>
      <c r="O1547" t="str" cm="1">
        <f t="array" ref="O1547">_xlfn.IFS(F1547="","",F1547&lt;=5,"0 to 5",F1547&lt;=10,"5.1 to 10",F1547&lt;=20,"10 to 20", F1547&lt;= 40, "20 to 40", F1547 &lt;= 50, "40 to 50", F1547 &gt; 50, "&gt;50" )</f>
        <v>5.1 to 10</v>
      </c>
    </row>
    <row r="1548" spans="1:15" ht="14.4" x14ac:dyDescent="0.3">
      <c r="A1548" t="s">
        <v>293</v>
      </c>
      <c r="B1548" s="1">
        <v>46199</v>
      </c>
      <c r="C1548" t="s">
        <v>29</v>
      </c>
      <c r="D1548">
        <v>1413</v>
      </c>
      <c r="E1548">
        <v>1</v>
      </c>
      <c r="F1548">
        <v>51.7</v>
      </c>
      <c r="G1548" t="s">
        <v>17</v>
      </c>
      <c r="I1548" t="str">
        <f t="shared" si="26"/>
        <v>1413_1</v>
      </c>
      <c r="J1548" t="s">
        <v>294</v>
      </c>
      <c r="K1548" t="s">
        <v>19</v>
      </c>
      <c r="L1548" t="str">
        <f>_xlfn.XLOOKUP(C1548, Table2[Species],Table2[Genus], "Code Not Found")</f>
        <v>Sassafras</v>
      </c>
      <c r="M1548" t="str">
        <f>_xlfn.XLOOKUP(C1548, Table2[Species],Table2[Sp. Name], "Code Not Found")</f>
        <v>albidum</v>
      </c>
      <c r="N1548" t="str">
        <f>_xlfn.XLOOKUP(C1548,Table2[Species],Table2[Family],"Code Not Found")</f>
        <v>Lauraceae</v>
      </c>
      <c r="O1548" t="str" cm="1">
        <f t="array" ref="O1548">_xlfn.IFS(F1548="","",F1548&lt;=5,"0 to 5",F1548&lt;=10,"5.1 to 10",F1548&lt;=20,"10 to 20", F1548&lt;= 40, "20 to 40", F1548 &lt;= 50, "40 to 50", F1548 &gt; 50, "&gt;50" )</f>
        <v>&gt;50</v>
      </c>
    </row>
    <row r="1549" spans="1:15" ht="14.4" x14ac:dyDescent="0.3">
      <c r="A1549" t="s">
        <v>293</v>
      </c>
      <c r="B1549" s="1">
        <v>46199</v>
      </c>
      <c r="C1549" t="s">
        <v>16</v>
      </c>
      <c r="D1549">
        <v>1414</v>
      </c>
      <c r="E1549">
        <v>1</v>
      </c>
      <c r="F1549">
        <v>3.4</v>
      </c>
      <c r="G1549" t="s">
        <v>88</v>
      </c>
      <c r="H1549" t="s">
        <v>100</v>
      </c>
      <c r="I1549" t="str">
        <f t="shared" si="26"/>
        <v>1414_1</v>
      </c>
      <c r="J1549" t="s">
        <v>294</v>
      </c>
      <c r="K1549" t="s">
        <v>19</v>
      </c>
      <c r="L1549" t="str">
        <f>_xlfn.XLOOKUP(C1549, Table2[Species],Table2[Genus], "Code Not Found")</f>
        <v>Acer</v>
      </c>
      <c r="M1549" t="str">
        <f>_xlfn.XLOOKUP(C1549, Table2[Species],Table2[Sp. Name], "Code Not Found")</f>
        <v>saccharum</v>
      </c>
      <c r="N1549" t="str">
        <f>_xlfn.XLOOKUP(C1549,Table2[Species],Table2[Family],"Code Not Found")</f>
        <v>Sapindaceae</v>
      </c>
      <c r="O1549" t="str" cm="1">
        <f t="array" ref="O1549">_xlfn.IFS(F1549="","",F1549&lt;=5,"0 to 5",F1549&lt;=10,"5.1 to 10",F1549&lt;=20,"10 to 20", F1549&lt;= 40, "20 to 40", F1549 &lt;= 50, "40 to 50", F1549 &gt; 50, "&gt;50" )</f>
        <v>0 to 5</v>
      </c>
    </row>
    <row r="1550" spans="1:15" ht="14.4" x14ac:dyDescent="0.3">
      <c r="A1550" t="s">
        <v>293</v>
      </c>
      <c r="B1550" s="1">
        <v>46199</v>
      </c>
      <c r="C1550" t="s">
        <v>16</v>
      </c>
      <c r="D1550">
        <v>1415</v>
      </c>
      <c r="E1550">
        <v>1</v>
      </c>
      <c r="F1550">
        <v>15</v>
      </c>
      <c r="G1550" t="s">
        <v>21</v>
      </c>
      <c r="I1550" t="str">
        <f t="shared" si="26"/>
        <v>1415_1</v>
      </c>
      <c r="J1550" t="s">
        <v>294</v>
      </c>
      <c r="K1550" t="s">
        <v>19</v>
      </c>
      <c r="L1550" t="str">
        <f>_xlfn.XLOOKUP(C1550, Table2[Species],Table2[Genus], "Code Not Found")</f>
        <v>Acer</v>
      </c>
      <c r="M1550" t="str">
        <f>_xlfn.XLOOKUP(C1550, Table2[Species],Table2[Sp. Name], "Code Not Found")</f>
        <v>saccharum</v>
      </c>
      <c r="N1550" t="str">
        <f>_xlfn.XLOOKUP(C1550,Table2[Species],Table2[Family],"Code Not Found")</f>
        <v>Sapindaceae</v>
      </c>
      <c r="O1550" t="str" cm="1">
        <f t="array" ref="O1550">_xlfn.IFS(F1550="","",F1550&lt;=5,"0 to 5",F1550&lt;=10,"5.1 to 10",F1550&lt;=20,"10 to 20", F1550&lt;= 40, "20 to 40", F1550 &lt;= 50, "40 to 50", F1550 &gt; 50, "&gt;50" )</f>
        <v>10 to 20</v>
      </c>
    </row>
    <row r="1551" spans="1:15" ht="14.4" x14ac:dyDescent="0.3">
      <c r="A1551" t="s">
        <v>293</v>
      </c>
      <c r="B1551" s="1">
        <v>46199</v>
      </c>
      <c r="C1551" t="s">
        <v>16</v>
      </c>
      <c r="D1551">
        <v>1416</v>
      </c>
      <c r="E1551">
        <v>1</v>
      </c>
      <c r="F1551">
        <v>5.0999999999999996</v>
      </c>
      <c r="G1551" t="s">
        <v>47</v>
      </c>
      <c r="I1551" t="str">
        <f t="shared" si="26"/>
        <v>1416_1</v>
      </c>
      <c r="J1551" t="s">
        <v>294</v>
      </c>
      <c r="K1551" t="s">
        <v>19</v>
      </c>
      <c r="L1551" t="str">
        <f>_xlfn.XLOOKUP(C1551, Table2[Species],Table2[Genus], "Code Not Found")</f>
        <v>Acer</v>
      </c>
      <c r="M1551" t="str">
        <f>_xlfn.XLOOKUP(C1551, Table2[Species],Table2[Sp. Name], "Code Not Found")</f>
        <v>saccharum</v>
      </c>
      <c r="N1551" t="str">
        <f>_xlfn.XLOOKUP(C1551,Table2[Species],Table2[Family],"Code Not Found")</f>
        <v>Sapindaceae</v>
      </c>
      <c r="O1551" t="str" cm="1">
        <f t="array" ref="O1551">_xlfn.IFS(F1551="","",F1551&lt;=5,"0 to 5",F1551&lt;=10,"5.1 to 10",F1551&lt;=20,"10 to 20", F1551&lt;= 40, "20 to 40", F1551 &lt;= 50, "40 to 50", F1551 &gt; 50, "&gt;50" )</f>
        <v>5.1 to 10</v>
      </c>
    </row>
    <row r="1552" spans="1:15" ht="14.4" x14ac:dyDescent="0.3">
      <c r="A1552" t="s">
        <v>293</v>
      </c>
      <c r="B1552" s="1">
        <v>46199</v>
      </c>
      <c r="C1552" t="s">
        <v>55</v>
      </c>
      <c r="D1552">
        <v>1417</v>
      </c>
      <c r="E1552">
        <v>1</v>
      </c>
      <c r="F1552">
        <v>80.900000000000006</v>
      </c>
      <c r="G1552" t="s">
        <v>17</v>
      </c>
      <c r="H1552" t="s">
        <v>36</v>
      </c>
      <c r="I1552" t="str">
        <f t="shared" si="26"/>
        <v>1417_1</v>
      </c>
      <c r="J1552" t="s">
        <v>294</v>
      </c>
      <c r="K1552" t="s">
        <v>19</v>
      </c>
      <c r="L1552" t="str">
        <f>_xlfn.XLOOKUP(C1552, Table2[Species],Table2[Genus], "Code Not Found")</f>
        <v>Magnolia</v>
      </c>
      <c r="M1552" t="str">
        <f>_xlfn.XLOOKUP(C1552, Table2[Species],Table2[Sp. Name], "Code Not Found")</f>
        <v>acuminata</v>
      </c>
      <c r="N1552" t="str">
        <f>_xlfn.XLOOKUP(C1552,Table2[Species],Table2[Family],"Code Not Found")</f>
        <v>Magnoliaceae</v>
      </c>
      <c r="O1552" t="str" cm="1">
        <f t="array" ref="O1552">_xlfn.IFS(F1552="","",F1552&lt;=5,"0 to 5",F1552&lt;=10,"5.1 to 10",F1552&lt;=20,"10 to 20", F1552&lt;= 40, "20 to 40", F1552 &lt;= 50, "40 to 50", F1552 &gt; 50, "&gt;50" )</f>
        <v>&gt;50</v>
      </c>
    </row>
    <row r="1553" spans="1:15" ht="14.4" x14ac:dyDescent="0.3">
      <c r="A1553" t="s">
        <v>293</v>
      </c>
      <c r="B1553" s="1">
        <v>46199</v>
      </c>
      <c r="C1553" t="s">
        <v>24</v>
      </c>
      <c r="D1553">
        <v>1418</v>
      </c>
      <c r="E1553">
        <v>1</v>
      </c>
      <c r="F1553">
        <v>42.2</v>
      </c>
      <c r="G1553" t="s">
        <v>17</v>
      </c>
      <c r="I1553" t="str">
        <f t="shared" si="26"/>
        <v>1418_1</v>
      </c>
      <c r="J1553" t="s">
        <v>294</v>
      </c>
      <c r="K1553" t="s">
        <v>19</v>
      </c>
      <c r="L1553" t="str">
        <f>_xlfn.XLOOKUP(C1553, Table2[Species],Table2[Genus], "Code Not Found")</f>
        <v>Lirodendron</v>
      </c>
      <c r="M1553" t="str">
        <f>_xlfn.XLOOKUP(C1553, Table2[Species],Table2[Sp. Name], "Code Not Found")</f>
        <v>tulipfera</v>
      </c>
      <c r="N1553" t="str">
        <f>_xlfn.XLOOKUP(C1553,Table2[Species],Table2[Family],"Code Not Found")</f>
        <v>Magnoliaceae</v>
      </c>
      <c r="O1553" t="str" cm="1">
        <f t="array" ref="O1553">_xlfn.IFS(F1553="","",F1553&lt;=5,"0 to 5",F1553&lt;=10,"5.1 to 10",F1553&lt;=20,"10 to 20", F1553&lt;= 40, "20 to 40", F1553 &lt;= 50, "40 to 50", F1553 &gt; 50, "&gt;50" )</f>
        <v>40 to 50</v>
      </c>
    </row>
    <row r="1554" spans="1:15" ht="14.4" x14ac:dyDescent="0.3">
      <c r="A1554" t="s">
        <v>293</v>
      </c>
      <c r="B1554" s="1">
        <v>46199</v>
      </c>
      <c r="C1554" t="s">
        <v>16</v>
      </c>
      <c r="D1554">
        <v>1419</v>
      </c>
      <c r="E1554">
        <v>1</v>
      </c>
      <c r="F1554">
        <v>4.2</v>
      </c>
      <c r="G1554" t="s">
        <v>34</v>
      </c>
      <c r="I1554" t="str">
        <f t="shared" si="26"/>
        <v>1419_1</v>
      </c>
      <c r="J1554" t="s">
        <v>294</v>
      </c>
      <c r="K1554" t="s">
        <v>19</v>
      </c>
      <c r="L1554" t="str">
        <f>_xlfn.XLOOKUP(C1554, Table2[Species],Table2[Genus], "Code Not Found")</f>
        <v>Acer</v>
      </c>
      <c r="M1554" t="str">
        <f>_xlfn.XLOOKUP(C1554, Table2[Species],Table2[Sp. Name], "Code Not Found")</f>
        <v>saccharum</v>
      </c>
      <c r="N1554" t="str">
        <f>_xlfn.XLOOKUP(C1554,Table2[Species],Table2[Family],"Code Not Found")</f>
        <v>Sapindaceae</v>
      </c>
      <c r="O1554" t="str" cm="1">
        <f t="array" ref="O1554">_xlfn.IFS(F1554="","",F1554&lt;=5,"0 to 5",F1554&lt;=10,"5.1 to 10",F1554&lt;=20,"10 to 20", F1554&lt;= 40, "20 to 40", F1554 &lt;= 50, "40 to 50", F1554 &gt; 50, "&gt;50" )</f>
        <v>0 to 5</v>
      </c>
    </row>
    <row r="1555" spans="1:15" ht="14.4" x14ac:dyDescent="0.3">
      <c r="A1555" t="s">
        <v>293</v>
      </c>
      <c r="B1555" s="1">
        <v>46199</v>
      </c>
      <c r="C1555" t="s">
        <v>16</v>
      </c>
      <c r="D1555">
        <v>1419</v>
      </c>
      <c r="E1555">
        <v>2</v>
      </c>
      <c r="F1555">
        <v>4.5999999999999996</v>
      </c>
      <c r="G1555" t="s">
        <v>34</v>
      </c>
      <c r="I1555" t="str">
        <f t="shared" si="26"/>
        <v>1419_2</v>
      </c>
      <c r="J1555" t="s">
        <v>294</v>
      </c>
      <c r="K1555" t="s">
        <v>19</v>
      </c>
      <c r="L1555" t="str">
        <f>_xlfn.XLOOKUP(C1555, Table2[Species],Table2[Genus], "Code Not Found")</f>
        <v>Acer</v>
      </c>
      <c r="M1555" t="str">
        <f>_xlfn.XLOOKUP(C1555, Table2[Species],Table2[Sp. Name], "Code Not Found")</f>
        <v>saccharum</v>
      </c>
      <c r="N1555" t="str">
        <f>_xlfn.XLOOKUP(C1555,Table2[Species],Table2[Family],"Code Not Found")</f>
        <v>Sapindaceae</v>
      </c>
      <c r="O1555" t="str" cm="1">
        <f t="array" ref="O1555">_xlfn.IFS(F1555="","",F1555&lt;=5,"0 to 5",F1555&lt;=10,"5.1 to 10",F1555&lt;=20,"10 to 20", F1555&lt;= 40, "20 to 40", F1555 &lt;= 50, "40 to 50", F1555 &gt; 50, "&gt;50" )</f>
        <v>0 to 5</v>
      </c>
    </row>
    <row r="1556" spans="1:15" ht="14.4" x14ac:dyDescent="0.3">
      <c r="A1556" t="s">
        <v>293</v>
      </c>
      <c r="B1556" s="1">
        <v>46199</v>
      </c>
      <c r="C1556" t="s">
        <v>16</v>
      </c>
      <c r="D1556">
        <v>1420</v>
      </c>
      <c r="E1556">
        <v>1</v>
      </c>
      <c r="F1556">
        <v>5.4</v>
      </c>
      <c r="G1556" t="s">
        <v>139</v>
      </c>
      <c r="H1556" t="s">
        <v>326</v>
      </c>
      <c r="I1556" t="str">
        <f t="shared" si="26"/>
        <v>1420_1</v>
      </c>
      <c r="J1556" t="s">
        <v>294</v>
      </c>
      <c r="K1556" t="s">
        <v>19</v>
      </c>
      <c r="L1556" t="str">
        <f>_xlfn.XLOOKUP(C1556, Table2[Species],Table2[Genus], "Code Not Found")</f>
        <v>Acer</v>
      </c>
      <c r="M1556" t="str">
        <f>_xlfn.XLOOKUP(C1556, Table2[Species],Table2[Sp. Name], "Code Not Found")</f>
        <v>saccharum</v>
      </c>
      <c r="N1556" t="str">
        <f>_xlfn.XLOOKUP(C1556,Table2[Species],Table2[Family],"Code Not Found")</f>
        <v>Sapindaceae</v>
      </c>
      <c r="O1556" t="str" cm="1">
        <f t="array" ref="O1556">_xlfn.IFS(F1556="","",F1556&lt;=5,"0 to 5",F1556&lt;=10,"5.1 to 10",F1556&lt;=20,"10 to 20", F1556&lt;= 40, "20 to 40", F1556 &lt;= 50, "40 to 50", F1556 &gt; 50, "&gt;50" )</f>
        <v>5.1 to 10</v>
      </c>
    </row>
    <row r="1557" spans="1:15" ht="14.4" x14ac:dyDescent="0.3">
      <c r="A1557" t="s">
        <v>293</v>
      </c>
      <c r="B1557" s="1">
        <v>46199</v>
      </c>
      <c r="C1557" t="s">
        <v>16</v>
      </c>
      <c r="D1557">
        <v>1421</v>
      </c>
      <c r="E1557">
        <v>1</v>
      </c>
      <c r="F1557">
        <v>7</v>
      </c>
      <c r="G1557" t="s">
        <v>17</v>
      </c>
      <c r="H1557" t="s">
        <v>36</v>
      </c>
      <c r="I1557" t="str">
        <f t="shared" si="26"/>
        <v>1421_1</v>
      </c>
      <c r="J1557" t="s">
        <v>294</v>
      </c>
      <c r="K1557" t="s">
        <v>19</v>
      </c>
      <c r="L1557" t="str">
        <f>_xlfn.XLOOKUP(C1557, Table2[Species],Table2[Genus], "Code Not Found")</f>
        <v>Acer</v>
      </c>
      <c r="M1557" t="str">
        <f>_xlfn.XLOOKUP(C1557, Table2[Species],Table2[Sp. Name], "Code Not Found")</f>
        <v>saccharum</v>
      </c>
      <c r="N1557" t="str">
        <f>_xlfn.XLOOKUP(C1557,Table2[Species],Table2[Family],"Code Not Found")</f>
        <v>Sapindaceae</v>
      </c>
      <c r="O1557" t="str" cm="1">
        <f t="array" ref="O1557">_xlfn.IFS(F1557="","",F1557&lt;=5,"0 to 5",F1557&lt;=10,"5.1 to 10",F1557&lt;=20,"10 to 20", F1557&lt;= 40, "20 to 40", F1557 &lt;= 50, "40 to 50", F1557 &gt; 50, "&gt;50" )</f>
        <v>5.1 to 10</v>
      </c>
    </row>
    <row r="1558" spans="1:15" ht="14.4" x14ac:dyDescent="0.3">
      <c r="A1558" t="s">
        <v>293</v>
      </c>
      <c r="B1558" s="1">
        <v>46199</v>
      </c>
      <c r="C1558" t="s">
        <v>16</v>
      </c>
      <c r="D1558">
        <v>1422</v>
      </c>
      <c r="E1558">
        <v>1</v>
      </c>
      <c r="F1558">
        <v>5.5</v>
      </c>
      <c r="G1558" t="s">
        <v>88</v>
      </c>
      <c r="H1558" t="s">
        <v>327</v>
      </c>
      <c r="I1558" t="str">
        <f t="shared" si="26"/>
        <v>1422_1</v>
      </c>
      <c r="J1558" t="s">
        <v>294</v>
      </c>
      <c r="K1558" t="s">
        <v>19</v>
      </c>
      <c r="L1558" t="str">
        <f>_xlfn.XLOOKUP(C1558, Table2[Species],Table2[Genus], "Code Not Found")</f>
        <v>Acer</v>
      </c>
      <c r="M1558" t="str">
        <f>_xlfn.XLOOKUP(C1558, Table2[Species],Table2[Sp. Name], "Code Not Found")</f>
        <v>saccharum</v>
      </c>
      <c r="N1558" t="str">
        <f>_xlfn.XLOOKUP(C1558,Table2[Species],Table2[Family],"Code Not Found")</f>
        <v>Sapindaceae</v>
      </c>
      <c r="O1558" t="str" cm="1">
        <f t="array" ref="O1558">_xlfn.IFS(F1558="","",F1558&lt;=5,"0 to 5",F1558&lt;=10,"5.1 to 10",F1558&lt;=20,"10 to 20", F1558&lt;= 40, "20 to 40", F1558 &lt;= 50, "40 to 50", F1558 &gt; 50, "&gt;50" )</f>
        <v>5.1 to 10</v>
      </c>
    </row>
    <row r="1559" spans="1:15" ht="14.4" x14ac:dyDescent="0.3">
      <c r="A1559" t="s">
        <v>293</v>
      </c>
      <c r="B1559" s="1">
        <v>46199</v>
      </c>
      <c r="C1559" t="s">
        <v>16</v>
      </c>
      <c r="D1559">
        <v>1423</v>
      </c>
      <c r="E1559">
        <v>1</v>
      </c>
      <c r="F1559">
        <v>2.1</v>
      </c>
      <c r="G1559" t="s">
        <v>17</v>
      </c>
      <c r="I1559" t="str">
        <f t="shared" si="26"/>
        <v>1423_1</v>
      </c>
      <c r="J1559" t="s">
        <v>294</v>
      </c>
      <c r="K1559" t="s">
        <v>19</v>
      </c>
      <c r="L1559" t="str">
        <f>_xlfn.XLOOKUP(C1559, Table2[Species],Table2[Genus], "Code Not Found")</f>
        <v>Acer</v>
      </c>
      <c r="M1559" t="str">
        <f>_xlfn.XLOOKUP(C1559, Table2[Species],Table2[Sp. Name], "Code Not Found")</f>
        <v>saccharum</v>
      </c>
      <c r="N1559" t="str">
        <f>_xlfn.XLOOKUP(C1559,Table2[Species],Table2[Family],"Code Not Found")</f>
        <v>Sapindaceae</v>
      </c>
      <c r="O1559" t="str" cm="1">
        <f t="array" ref="O1559">_xlfn.IFS(F1559="","",F1559&lt;=5,"0 to 5",F1559&lt;=10,"5.1 to 10",F1559&lt;=20,"10 to 20", F1559&lt;= 40, "20 to 40", F1559 &lt;= 50, "40 to 50", F1559 &gt; 50, "&gt;50" )</f>
        <v>0 to 5</v>
      </c>
    </row>
    <row r="1560" spans="1:15" ht="14.4" x14ac:dyDescent="0.3">
      <c r="A1560" t="s">
        <v>293</v>
      </c>
      <c r="B1560" s="1">
        <v>46199</v>
      </c>
      <c r="C1560" t="s">
        <v>22</v>
      </c>
      <c r="D1560">
        <v>1424</v>
      </c>
      <c r="E1560">
        <v>1</v>
      </c>
      <c r="F1560">
        <v>14.9</v>
      </c>
      <c r="G1560" t="s">
        <v>17</v>
      </c>
      <c r="H1560" t="s">
        <v>36</v>
      </c>
      <c r="I1560" t="str">
        <f t="shared" si="26"/>
        <v>1424_1</v>
      </c>
      <c r="J1560" t="s">
        <v>294</v>
      </c>
      <c r="K1560" t="s">
        <v>19</v>
      </c>
      <c r="L1560" t="str">
        <f>_xlfn.XLOOKUP(C1560, Table2[Species],Table2[Genus], "Code Not Found")</f>
        <v>Acer</v>
      </c>
      <c r="M1560" t="str">
        <f>_xlfn.XLOOKUP(C1560, Table2[Species],Table2[Sp. Name], "Code Not Found")</f>
        <v>rubrum</v>
      </c>
      <c r="N1560" t="str">
        <f>_xlfn.XLOOKUP(C1560,Table2[Species],Table2[Family],"Code Not Found")</f>
        <v>Sapindaceae</v>
      </c>
      <c r="O1560" t="str" cm="1">
        <f t="array" ref="O1560">_xlfn.IFS(F1560="","",F1560&lt;=5,"0 to 5",F1560&lt;=10,"5.1 to 10",F1560&lt;=20,"10 to 20", F1560&lt;= 40, "20 to 40", F1560 &lt;= 50, "40 to 50", F1560 &gt; 50, "&gt;50" )</f>
        <v>10 to 20</v>
      </c>
    </row>
    <row r="1561" spans="1:15" ht="14.4" x14ac:dyDescent="0.3">
      <c r="A1561" t="s">
        <v>293</v>
      </c>
      <c r="B1561" s="1">
        <v>46199</v>
      </c>
      <c r="C1561" t="s">
        <v>16</v>
      </c>
      <c r="D1561">
        <v>1425</v>
      </c>
      <c r="E1561">
        <v>1</v>
      </c>
      <c r="F1561">
        <v>8.3000000000000007</v>
      </c>
      <c r="G1561" t="s">
        <v>21</v>
      </c>
      <c r="I1561" t="str">
        <f t="shared" si="26"/>
        <v>1425_1</v>
      </c>
      <c r="J1561" t="s">
        <v>294</v>
      </c>
      <c r="K1561" t="s">
        <v>19</v>
      </c>
      <c r="L1561" t="str">
        <f>_xlfn.XLOOKUP(C1561, Table2[Species],Table2[Genus], "Code Not Found")</f>
        <v>Acer</v>
      </c>
      <c r="M1561" t="str">
        <f>_xlfn.XLOOKUP(C1561, Table2[Species],Table2[Sp. Name], "Code Not Found")</f>
        <v>saccharum</v>
      </c>
      <c r="N1561" t="str">
        <f>_xlfn.XLOOKUP(C1561,Table2[Species],Table2[Family],"Code Not Found")</f>
        <v>Sapindaceae</v>
      </c>
      <c r="O1561" t="str" cm="1">
        <f t="array" ref="O1561">_xlfn.IFS(F1561="","",F1561&lt;=5,"0 to 5",F1561&lt;=10,"5.1 to 10",F1561&lt;=20,"10 to 20", F1561&lt;= 40, "20 to 40", F1561 &lt;= 50, "40 to 50", F1561 &gt; 50, "&gt;50" )</f>
        <v>5.1 to 10</v>
      </c>
    </row>
    <row r="1562" spans="1:15" ht="14.4" x14ac:dyDescent="0.3">
      <c r="A1562" t="s">
        <v>293</v>
      </c>
      <c r="B1562" s="1">
        <v>46199</v>
      </c>
      <c r="C1562" t="s">
        <v>22</v>
      </c>
      <c r="D1562">
        <v>1426</v>
      </c>
      <c r="E1562">
        <v>1</v>
      </c>
      <c r="F1562">
        <v>8.4</v>
      </c>
      <c r="G1562" t="s">
        <v>17</v>
      </c>
      <c r="H1562" t="s">
        <v>328</v>
      </c>
      <c r="I1562" t="str">
        <f t="shared" si="26"/>
        <v>1426_1</v>
      </c>
      <c r="J1562" t="s">
        <v>294</v>
      </c>
      <c r="K1562" t="s">
        <v>19</v>
      </c>
      <c r="L1562" t="str">
        <f>_xlfn.XLOOKUP(C1562, Table2[Species],Table2[Genus], "Code Not Found")</f>
        <v>Acer</v>
      </c>
      <c r="M1562" t="str">
        <f>_xlfn.XLOOKUP(C1562, Table2[Species],Table2[Sp. Name], "Code Not Found")</f>
        <v>rubrum</v>
      </c>
      <c r="N1562" t="str">
        <f>_xlfn.XLOOKUP(C1562,Table2[Species],Table2[Family],"Code Not Found")</f>
        <v>Sapindaceae</v>
      </c>
      <c r="O1562" t="str" cm="1">
        <f t="array" ref="O1562">_xlfn.IFS(F1562="","",F1562&lt;=5,"0 to 5",F1562&lt;=10,"5.1 to 10",F1562&lt;=20,"10 to 20", F1562&lt;= 40, "20 to 40", F1562 &lt;= 50, "40 to 50", F1562 &gt; 50, "&gt;50" )</f>
        <v>5.1 to 10</v>
      </c>
    </row>
    <row r="1563" spans="1:15" ht="14.4" x14ac:dyDescent="0.3">
      <c r="A1563" t="s">
        <v>293</v>
      </c>
      <c r="B1563" s="1">
        <v>46199</v>
      </c>
      <c r="C1563" t="s">
        <v>16</v>
      </c>
      <c r="D1563">
        <v>1427</v>
      </c>
      <c r="E1563">
        <v>1</v>
      </c>
      <c r="F1563">
        <v>3.9</v>
      </c>
      <c r="G1563" t="s">
        <v>47</v>
      </c>
      <c r="H1563" t="s">
        <v>296</v>
      </c>
      <c r="I1563" t="str">
        <f t="shared" si="26"/>
        <v>1427_1</v>
      </c>
      <c r="J1563" t="s">
        <v>294</v>
      </c>
      <c r="K1563" t="s">
        <v>19</v>
      </c>
      <c r="L1563" t="str">
        <f>_xlfn.XLOOKUP(C1563, Table2[Species],Table2[Genus], "Code Not Found")</f>
        <v>Acer</v>
      </c>
      <c r="M1563" t="str">
        <f>_xlfn.XLOOKUP(C1563, Table2[Species],Table2[Sp. Name], "Code Not Found")</f>
        <v>saccharum</v>
      </c>
      <c r="N1563" t="str">
        <f>_xlfn.XLOOKUP(C1563,Table2[Species],Table2[Family],"Code Not Found")</f>
        <v>Sapindaceae</v>
      </c>
      <c r="O1563" t="str" cm="1">
        <f t="array" ref="O1563">_xlfn.IFS(F1563="","",F1563&lt;=5,"0 to 5",F1563&lt;=10,"5.1 to 10",F1563&lt;=20,"10 to 20", F1563&lt;= 40, "20 to 40", F1563 &lt;= 50, "40 to 50", F1563 &gt; 50, "&gt;50" )</f>
        <v>0 to 5</v>
      </c>
    </row>
    <row r="1564" spans="1:15" ht="14.4" x14ac:dyDescent="0.3">
      <c r="A1564" t="s">
        <v>293</v>
      </c>
      <c r="B1564" s="1">
        <v>46199</v>
      </c>
      <c r="C1564" t="s">
        <v>16</v>
      </c>
      <c r="D1564">
        <v>1428</v>
      </c>
      <c r="E1564">
        <v>1</v>
      </c>
      <c r="F1564">
        <v>8</v>
      </c>
      <c r="G1564" t="s">
        <v>21</v>
      </c>
      <c r="I1564" t="str">
        <f t="shared" si="26"/>
        <v>1428_1</v>
      </c>
      <c r="J1564" t="s">
        <v>294</v>
      </c>
      <c r="K1564" t="s">
        <v>19</v>
      </c>
      <c r="L1564" t="str">
        <f>_xlfn.XLOOKUP(C1564, Table2[Species],Table2[Genus], "Code Not Found")</f>
        <v>Acer</v>
      </c>
      <c r="M1564" t="str">
        <f>_xlfn.XLOOKUP(C1564, Table2[Species],Table2[Sp. Name], "Code Not Found")</f>
        <v>saccharum</v>
      </c>
      <c r="N1564" t="str">
        <f>_xlfn.XLOOKUP(C1564,Table2[Species],Table2[Family],"Code Not Found")</f>
        <v>Sapindaceae</v>
      </c>
      <c r="O1564" t="str" cm="1">
        <f t="array" ref="O1564">_xlfn.IFS(F1564="","",F1564&lt;=5,"0 to 5",F1564&lt;=10,"5.1 to 10",F1564&lt;=20,"10 to 20", F1564&lt;= 40, "20 to 40", F1564 &lt;= 50, "40 to 50", F1564 &gt; 50, "&gt;50" )</f>
        <v>5.1 to 10</v>
      </c>
    </row>
    <row r="1565" spans="1:15" ht="14.4" x14ac:dyDescent="0.3">
      <c r="A1565" t="s">
        <v>293</v>
      </c>
      <c r="B1565" s="1">
        <v>46199</v>
      </c>
      <c r="C1565" t="s">
        <v>64</v>
      </c>
      <c r="D1565">
        <v>1429</v>
      </c>
      <c r="E1565">
        <v>1</v>
      </c>
      <c r="F1565">
        <v>3.6</v>
      </c>
      <c r="G1565" t="s">
        <v>21</v>
      </c>
      <c r="I1565" t="str">
        <f t="shared" si="26"/>
        <v>1429_1</v>
      </c>
      <c r="J1565" t="s">
        <v>294</v>
      </c>
      <c r="K1565" t="s">
        <v>19</v>
      </c>
      <c r="L1565" t="str">
        <f>_xlfn.XLOOKUP(C1565, Table2[Species],Table2[Genus], "Code Not Found")</f>
        <v>Fagus</v>
      </c>
      <c r="M1565" t="str">
        <f>_xlfn.XLOOKUP(C1565, Table2[Species],Table2[Sp. Name], "Code Not Found")</f>
        <v>grandifolia</v>
      </c>
      <c r="N1565" t="str">
        <f>_xlfn.XLOOKUP(C1565,Table2[Species],Table2[Family],"Code Not Found")</f>
        <v>Fagaceae</v>
      </c>
      <c r="O1565" t="str" cm="1">
        <f t="array" ref="O1565">_xlfn.IFS(F1565="","",F1565&lt;=5,"0 to 5",F1565&lt;=10,"5.1 to 10",F1565&lt;=20,"10 to 20", F1565&lt;= 40, "20 to 40", F1565 &lt;= 50, "40 to 50", F1565 &gt; 50, "&gt;50" )</f>
        <v>0 to 5</v>
      </c>
    </row>
    <row r="1566" spans="1:15" ht="14.4" x14ac:dyDescent="0.3">
      <c r="A1566" t="s">
        <v>293</v>
      </c>
      <c r="B1566" s="1">
        <v>46199</v>
      </c>
      <c r="C1566" t="s">
        <v>16</v>
      </c>
      <c r="D1566">
        <v>1430</v>
      </c>
      <c r="E1566">
        <v>1</v>
      </c>
      <c r="F1566">
        <v>6.4</v>
      </c>
      <c r="G1566" t="s">
        <v>139</v>
      </c>
      <c r="H1566" t="s">
        <v>329</v>
      </c>
      <c r="I1566" t="str">
        <f t="shared" si="26"/>
        <v>1430_1</v>
      </c>
      <c r="J1566" t="s">
        <v>294</v>
      </c>
      <c r="K1566" t="s">
        <v>19</v>
      </c>
      <c r="L1566" t="str">
        <f>_xlfn.XLOOKUP(C1566, Table2[Species],Table2[Genus], "Code Not Found")</f>
        <v>Acer</v>
      </c>
      <c r="M1566" t="str">
        <f>_xlfn.XLOOKUP(C1566, Table2[Species],Table2[Sp. Name], "Code Not Found")</f>
        <v>saccharum</v>
      </c>
      <c r="N1566" t="str">
        <f>_xlfn.XLOOKUP(C1566,Table2[Species],Table2[Family],"Code Not Found")</f>
        <v>Sapindaceae</v>
      </c>
      <c r="O1566" t="str" cm="1">
        <f t="array" ref="O1566">_xlfn.IFS(F1566="","",F1566&lt;=5,"0 to 5",F1566&lt;=10,"5.1 to 10",F1566&lt;=20,"10 to 20", F1566&lt;= 40, "20 to 40", F1566 &lt;= 50, "40 to 50", F1566 &gt; 50, "&gt;50" )</f>
        <v>5.1 to 10</v>
      </c>
    </row>
    <row r="1567" spans="1:15" ht="14.4" x14ac:dyDescent="0.3">
      <c r="A1567" t="s">
        <v>293</v>
      </c>
      <c r="B1567" s="1">
        <v>46199</v>
      </c>
      <c r="C1567" t="s">
        <v>22</v>
      </c>
      <c r="D1567">
        <v>1431</v>
      </c>
      <c r="E1567">
        <v>1</v>
      </c>
      <c r="F1567">
        <v>36.9</v>
      </c>
      <c r="G1567" t="s">
        <v>21</v>
      </c>
      <c r="I1567" t="str">
        <f t="shared" si="26"/>
        <v>1431_1</v>
      </c>
      <c r="J1567" t="s">
        <v>294</v>
      </c>
      <c r="K1567" t="s">
        <v>19</v>
      </c>
      <c r="L1567" t="str">
        <f>_xlfn.XLOOKUP(C1567, Table2[Species],Table2[Genus], "Code Not Found")</f>
        <v>Acer</v>
      </c>
      <c r="M1567" t="str">
        <f>_xlfn.XLOOKUP(C1567, Table2[Species],Table2[Sp. Name], "Code Not Found")</f>
        <v>rubrum</v>
      </c>
      <c r="N1567" t="str">
        <f>_xlfn.XLOOKUP(C1567,Table2[Species],Table2[Family],"Code Not Found")</f>
        <v>Sapindaceae</v>
      </c>
      <c r="O1567" t="str" cm="1">
        <f t="array" ref="O1567">_xlfn.IFS(F1567="","",F1567&lt;=5,"0 to 5",F1567&lt;=10,"5.1 to 10",F1567&lt;=20,"10 to 20", F1567&lt;= 40, "20 to 40", F1567 &lt;= 50, "40 to 50", F1567 &gt; 50, "&gt;50" )</f>
        <v>20 to 40</v>
      </c>
    </row>
    <row r="1568" spans="1:15" ht="14.4" x14ac:dyDescent="0.3">
      <c r="A1568" t="s">
        <v>293</v>
      </c>
      <c r="B1568" s="1">
        <v>46199</v>
      </c>
      <c r="C1568" t="s">
        <v>16</v>
      </c>
      <c r="D1568">
        <v>1432</v>
      </c>
      <c r="E1568">
        <v>1</v>
      </c>
      <c r="F1568">
        <v>7</v>
      </c>
      <c r="G1568" t="s">
        <v>17</v>
      </c>
      <c r="H1568" t="s">
        <v>36</v>
      </c>
      <c r="I1568" t="str">
        <f t="shared" si="26"/>
        <v>1432_1</v>
      </c>
      <c r="J1568" t="s">
        <v>294</v>
      </c>
      <c r="K1568" t="s">
        <v>19</v>
      </c>
      <c r="L1568" t="str">
        <f>_xlfn.XLOOKUP(C1568, Table2[Species],Table2[Genus], "Code Not Found")</f>
        <v>Acer</v>
      </c>
      <c r="M1568" t="str">
        <f>_xlfn.XLOOKUP(C1568, Table2[Species],Table2[Sp. Name], "Code Not Found")</f>
        <v>saccharum</v>
      </c>
      <c r="N1568" t="str">
        <f>_xlfn.XLOOKUP(C1568,Table2[Species],Table2[Family],"Code Not Found")</f>
        <v>Sapindaceae</v>
      </c>
      <c r="O1568" t="str" cm="1">
        <f t="array" ref="O1568">_xlfn.IFS(F1568="","",F1568&lt;=5,"0 to 5",F1568&lt;=10,"5.1 to 10",F1568&lt;=20,"10 to 20", F1568&lt;= 40, "20 to 40", F1568 &lt;= 50, "40 to 50", F1568 &gt; 50, "&gt;50" )</f>
        <v>5.1 to 10</v>
      </c>
    </row>
    <row r="1569" spans="1:15" ht="14.4" x14ac:dyDescent="0.3">
      <c r="A1569" t="s">
        <v>293</v>
      </c>
      <c r="B1569" s="1">
        <v>46199</v>
      </c>
      <c r="C1569" t="s">
        <v>22</v>
      </c>
      <c r="D1569">
        <v>1433</v>
      </c>
      <c r="E1569">
        <v>1</v>
      </c>
      <c r="F1569">
        <v>25.7</v>
      </c>
      <c r="G1569" t="s">
        <v>17</v>
      </c>
      <c r="H1569" t="s">
        <v>36</v>
      </c>
      <c r="I1569" t="str">
        <f t="shared" si="26"/>
        <v>1433_1</v>
      </c>
      <c r="J1569" t="s">
        <v>294</v>
      </c>
      <c r="K1569" t="s">
        <v>19</v>
      </c>
      <c r="L1569" t="str">
        <f>_xlfn.XLOOKUP(C1569, Table2[Species],Table2[Genus], "Code Not Found")</f>
        <v>Acer</v>
      </c>
      <c r="M1569" t="str">
        <f>_xlfn.XLOOKUP(C1569, Table2[Species],Table2[Sp. Name], "Code Not Found")</f>
        <v>rubrum</v>
      </c>
      <c r="N1569" t="str">
        <f>_xlfn.XLOOKUP(C1569,Table2[Species],Table2[Family],"Code Not Found")</f>
        <v>Sapindaceae</v>
      </c>
      <c r="O1569" t="str" cm="1">
        <f t="array" ref="O1569">_xlfn.IFS(F1569="","",F1569&lt;=5,"0 to 5",F1569&lt;=10,"5.1 to 10",F1569&lt;=20,"10 to 20", F1569&lt;= 40, "20 to 40", F1569 &lt;= 50, "40 to 50", F1569 &gt; 50, "&gt;50" )</f>
        <v>20 to 40</v>
      </c>
    </row>
    <row r="1570" spans="1:15" ht="14.4" x14ac:dyDescent="0.3">
      <c r="A1570" t="s">
        <v>293</v>
      </c>
      <c r="B1570" s="1">
        <v>46199</v>
      </c>
      <c r="C1570" t="s">
        <v>22</v>
      </c>
      <c r="D1570">
        <v>1434</v>
      </c>
      <c r="E1570">
        <v>1</v>
      </c>
      <c r="F1570">
        <v>12.5</v>
      </c>
      <c r="G1570" t="s">
        <v>88</v>
      </c>
      <c r="H1570" t="s">
        <v>330</v>
      </c>
      <c r="I1570" t="str">
        <f t="shared" si="26"/>
        <v>1434_1</v>
      </c>
      <c r="J1570" t="s">
        <v>294</v>
      </c>
      <c r="K1570" t="s">
        <v>19</v>
      </c>
      <c r="L1570" t="str">
        <f>_xlfn.XLOOKUP(C1570, Table2[Species],Table2[Genus], "Code Not Found")</f>
        <v>Acer</v>
      </c>
      <c r="M1570" t="str">
        <f>_xlfn.XLOOKUP(C1570, Table2[Species],Table2[Sp. Name], "Code Not Found")</f>
        <v>rubrum</v>
      </c>
      <c r="N1570" t="str">
        <f>_xlfn.XLOOKUP(C1570,Table2[Species],Table2[Family],"Code Not Found")</f>
        <v>Sapindaceae</v>
      </c>
      <c r="O1570" t="str" cm="1">
        <f t="array" ref="O1570">_xlfn.IFS(F1570="","",F1570&lt;=5,"0 to 5",F1570&lt;=10,"5.1 to 10",F1570&lt;=20,"10 to 20", F1570&lt;= 40, "20 to 40", F1570 &lt;= 50, "40 to 50", F1570 &gt; 50, "&gt;50" )</f>
        <v>10 to 20</v>
      </c>
    </row>
    <row r="1571" spans="1:15" ht="14.4" x14ac:dyDescent="0.3">
      <c r="A1571" t="s">
        <v>293</v>
      </c>
      <c r="B1571" s="1">
        <v>46199</v>
      </c>
      <c r="C1571" t="s">
        <v>16</v>
      </c>
      <c r="D1571">
        <v>1435</v>
      </c>
      <c r="E1571">
        <v>1</v>
      </c>
      <c r="F1571">
        <v>3.1</v>
      </c>
      <c r="G1571" t="s">
        <v>17</v>
      </c>
      <c r="I1571" t="str">
        <f t="shared" ref="I1571:I1634" si="27">D1571&amp;"_"&amp;E1571</f>
        <v>1435_1</v>
      </c>
      <c r="J1571" t="s">
        <v>294</v>
      </c>
      <c r="K1571" t="s">
        <v>19</v>
      </c>
      <c r="L1571" t="str">
        <f>_xlfn.XLOOKUP(C1571, Table2[Species],Table2[Genus], "Code Not Found")</f>
        <v>Acer</v>
      </c>
      <c r="M1571" t="str">
        <f>_xlfn.XLOOKUP(C1571, Table2[Species],Table2[Sp. Name], "Code Not Found")</f>
        <v>saccharum</v>
      </c>
      <c r="N1571" t="str">
        <f>_xlfn.XLOOKUP(C1571,Table2[Species],Table2[Family],"Code Not Found")</f>
        <v>Sapindaceae</v>
      </c>
      <c r="O1571" t="str" cm="1">
        <f t="array" ref="O1571">_xlfn.IFS(F1571="","",F1571&lt;=5,"0 to 5",F1571&lt;=10,"5.1 to 10",F1571&lt;=20,"10 to 20", F1571&lt;= 40, "20 to 40", F1571 &lt;= 50, "40 to 50", F1571 &gt; 50, "&gt;50" )</f>
        <v>0 to 5</v>
      </c>
    </row>
    <row r="1572" spans="1:15" ht="14.4" x14ac:dyDescent="0.3">
      <c r="A1572" t="s">
        <v>293</v>
      </c>
      <c r="B1572" s="1">
        <v>46199</v>
      </c>
      <c r="C1572" t="s">
        <v>16</v>
      </c>
      <c r="D1572">
        <v>1436</v>
      </c>
      <c r="E1572">
        <v>1</v>
      </c>
      <c r="F1572">
        <v>4.2</v>
      </c>
      <c r="G1572" t="s">
        <v>88</v>
      </c>
      <c r="H1572" t="s">
        <v>99</v>
      </c>
      <c r="I1572" t="str">
        <f t="shared" si="27"/>
        <v>1436_1</v>
      </c>
      <c r="J1572" t="s">
        <v>294</v>
      </c>
      <c r="K1572" t="s">
        <v>19</v>
      </c>
      <c r="L1572" t="str">
        <f>_xlfn.XLOOKUP(C1572, Table2[Species],Table2[Genus], "Code Not Found")</f>
        <v>Acer</v>
      </c>
      <c r="M1572" t="str">
        <f>_xlfn.XLOOKUP(C1572, Table2[Species],Table2[Sp. Name], "Code Not Found")</f>
        <v>saccharum</v>
      </c>
      <c r="N1572" t="str">
        <f>_xlfn.XLOOKUP(C1572,Table2[Species],Table2[Family],"Code Not Found")</f>
        <v>Sapindaceae</v>
      </c>
      <c r="O1572" t="str" cm="1">
        <f t="array" ref="O1572">_xlfn.IFS(F1572="","",F1572&lt;=5,"0 to 5",F1572&lt;=10,"5.1 to 10",F1572&lt;=20,"10 to 20", F1572&lt;= 40, "20 to 40", F1572 &lt;= 50, "40 to 50", F1572 &gt; 50, "&gt;50" )</f>
        <v>0 to 5</v>
      </c>
    </row>
    <row r="1573" spans="1:15" ht="14.4" x14ac:dyDescent="0.3">
      <c r="A1573" t="s">
        <v>293</v>
      </c>
      <c r="B1573" s="1">
        <v>46199</v>
      </c>
      <c r="C1573" t="s">
        <v>16</v>
      </c>
      <c r="D1573">
        <v>1437</v>
      </c>
      <c r="E1573">
        <v>1</v>
      </c>
      <c r="F1573">
        <v>4</v>
      </c>
      <c r="G1573" t="s">
        <v>88</v>
      </c>
      <c r="H1573" t="s">
        <v>331</v>
      </c>
      <c r="I1573" t="str">
        <f t="shared" si="27"/>
        <v>1437_1</v>
      </c>
      <c r="J1573" t="s">
        <v>294</v>
      </c>
      <c r="K1573" t="s">
        <v>19</v>
      </c>
      <c r="L1573" t="str">
        <f>_xlfn.XLOOKUP(C1573, Table2[Species],Table2[Genus], "Code Not Found")</f>
        <v>Acer</v>
      </c>
      <c r="M1573" t="str">
        <f>_xlfn.XLOOKUP(C1573, Table2[Species],Table2[Sp. Name], "Code Not Found")</f>
        <v>saccharum</v>
      </c>
      <c r="N1573" t="str">
        <f>_xlfn.XLOOKUP(C1573,Table2[Species],Table2[Family],"Code Not Found")</f>
        <v>Sapindaceae</v>
      </c>
      <c r="O1573" t="str" cm="1">
        <f t="array" ref="O1573">_xlfn.IFS(F1573="","",F1573&lt;=5,"0 to 5",F1573&lt;=10,"5.1 to 10",F1573&lt;=20,"10 to 20", F1573&lt;= 40, "20 to 40", F1573 &lt;= 50, "40 to 50", F1573 &gt; 50, "&gt;50" )</f>
        <v>0 to 5</v>
      </c>
    </row>
    <row r="1574" spans="1:15" ht="14.4" x14ac:dyDescent="0.3">
      <c r="A1574" t="s">
        <v>293</v>
      </c>
      <c r="B1574" s="1">
        <v>46199</v>
      </c>
      <c r="C1574" t="s">
        <v>16</v>
      </c>
      <c r="D1574">
        <v>1438</v>
      </c>
      <c r="E1574">
        <v>1</v>
      </c>
      <c r="F1574">
        <v>5</v>
      </c>
      <c r="G1574" t="s">
        <v>21</v>
      </c>
      <c r="I1574" t="str">
        <f t="shared" si="27"/>
        <v>1438_1</v>
      </c>
      <c r="J1574" t="s">
        <v>294</v>
      </c>
      <c r="K1574" t="s">
        <v>19</v>
      </c>
      <c r="L1574" t="str">
        <f>_xlfn.XLOOKUP(C1574, Table2[Species],Table2[Genus], "Code Not Found")</f>
        <v>Acer</v>
      </c>
      <c r="M1574" t="str">
        <f>_xlfn.XLOOKUP(C1574, Table2[Species],Table2[Sp. Name], "Code Not Found")</f>
        <v>saccharum</v>
      </c>
      <c r="N1574" t="str">
        <f>_xlfn.XLOOKUP(C1574,Table2[Species],Table2[Family],"Code Not Found")</f>
        <v>Sapindaceae</v>
      </c>
      <c r="O1574" t="str" cm="1">
        <f t="array" ref="O1574">_xlfn.IFS(F1574="","",F1574&lt;=5,"0 to 5",F1574&lt;=10,"5.1 to 10",F1574&lt;=20,"10 to 20", F1574&lt;= 40, "20 to 40", F1574 &lt;= 50, "40 to 50", F1574 &gt; 50, "&gt;50" )</f>
        <v>0 to 5</v>
      </c>
    </row>
    <row r="1575" spans="1:15" ht="14.4" x14ac:dyDescent="0.3">
      <c r="A1575" t="s">
        <v>293</v>
      </c>
      <c r="B1575" s="1">
        <v>46199</v>
      </c>
      <c r="C1575" t="s">
        <v>55</v>
      </c>
      <c r="D1575">
        <v>1439</v>
      </c>
      <c r="E1575">
        <v>1</v>
      </c>
      <c r="F1575">
        <v>56.4</v>
      </c>
      <c r="G1575" t="s">
        <v>17</v>
      </c>
      <c r="H1575" t="s">
        <v>36</v>
      </c>
      <c r="I1575" t="str">
        <f t="shared" si="27"/>
        <v>1439_1</v>
      </c>
      <c r="J1575" t="s">
        <v>294</v>
      </c>
      <c r="K1575" t="s">
        <v>19</v>
      </c>
      <c r="L1575" t="str">
        <f>_xlfn.XLOOKUP(C1575, Table2[Species],Table2[Genus], "Code Not Found")</f>
        <v>Magnolia</v>
      </c>
      <c r="M1575" t="str">
        <f>_xlfn.XLOOKUP(C1575, Table2[Species],Table2[Sp. Name], "Code Not Found")</f>
        <v>acuminata</v>
      </c>
      <c r="N1575" t="str">
        <f>_xlfn.XLOOKUP(C1575,Table2[Species],Table2[Family],"Code Not Found")</f>
        <v>Magnoliaceae</v>
      </c>
      <c r="O1575" t="str" cm="1">
        <f t="array" ref="O1575">_xlfn.IFS(F1575="","",F1575&lt;=5,"0 to 5",F1575&lt;=10,"5.1 to 10",F1575&lt;=20,"10 to 20", F1575&lt;= 40, "20 to 40", F1575 &lt;= 50, "40 to 50", F1575 &gt; 50, "&gt;50" )</f>
        <v>&gt;50</v>
      </c>
    </row>
    <row r="1576" spans="1:15" ht="14.4" x14ac:dyDescent="0.3">
      <c r="A1576" t="s">
        <v>293</v>
      </c>
      <c r="B1576" s="1">
        <v>46199</v>
      </c>
      <c r="C1576" t="s">
        <v>16</v>
      </c>
      <c r="D1576">
        <v>1440</v>
      </c>
      <c r="E1576">
        <v>1</v>
      </c>
      <c r="F1576">
        <v>4.7</v>
      </c>
      <c r="G1576" t="s">
        <v>47</v>
      </c>
      <c r="I1576" t="str">
        <f t="shared" si="27"/>
        <v>1440_1</v>
      </c>
      <c r="J1576" t="s">
        <v>294</v>
      </c>
      <c r="K1576" t="s">
        <v>19</v>
      </c>
      <c r="L1576" t="str">
        <f>_xlfn.XLOOKUP(C1576, Table2[Species],Table2[Genus], "Code Not Found")</f>
        <v>Acer</v>
      </c>
      <c r="M1576" t="str">
        <f>_xlfn.XLOOKUP(C1576, Table2[Species],Table2[Sp. Name], "Code Not Found")</f>
        <v>saccharum</v>
      </c>
      <c r="N1576" t="str">
        <f>_xlfn.XLOOKUP(C1576,Table2[Species],Table2[Family],"Code Not Found")</f>
        <v>Sapindaceae</v>
      </c>
      <c r="O1576" t="str" cm="1">
        <f t="array" ref="O1576">_xlfn.IFS(F1576="","",F1576&lt;=5,"0 to 5",F1576&lt;=10,"5.1 to 10",F1576&lt;=20,"10 to 20", F1576&lt;= 40, "20 to 40", F1576 &lt;= 50, "40 to 50", F1576 &gt; 50, "&gt;50" )</f>
        <v>0 to 5</v>
      </c>
    </row>
    <row r="1577" spans="1:15" ht="14.4" x14ac:dyDescent="0.3">
      <c r="A1577" t="s">
        <v>293</v>
      </c>
      <c r="B1577" s="1">
        <v>46199</v>
      </c>
      <c r="C1577" t="s">
        <v>16</v>
      </c>
      <c r="D1577">
        <v>1441</v>
      </c>
      <c r="E1577">
        <v>1</v>
      </c>
      <c r="F1577">
        <v>1.7</v>
      </c>
      <c r="G1577" t="s">
        <v>30</v>
      </c>
      <c r="H1577" t="s">
        <v>100</v>
      </c>
      <c r="I1577" t="str">
        <f t="shared" si="27"/>
        <v>1441_1</v>
      </c>
      <c r="J1577" t="s">
        <v>294</v>
      </c>
      <c r="K1577" t="s">
        <v>19</v>
      </c>
      <c r="L1577" t="str">
        <f>_xlfn.XLOOKUP(C1577, Table2[Species],Table2[Genus], "Code Not Found")</f>
        <v>Acer</v>
      </c>
      <c r="M1577" t="str">
        <f>_xlfn.XLOOKUP(C1577, Table2[Species],Table2[Sp. Name], "Code Not Found")</f>
        <v>saccharum</v>
      </c>
      <c r="N1577" t="str">
        <f>_xlfn.XLOOKUP(C1577,Table2[Species],Table2[Family],"Code Not Found")</f>
        <v>Sapindaceae</v>
      </c>
      <c r="O1577" t="str" cm="1">
        <f t="array" ref="O1577">_xlfn.IFS(F1577="","",F1577&lt;=5,"0 to 5",F1577&lt;=10,"5.1 to 10",F1577&lt;=20,"10 to 20", F1577&lt;= 40, "20 to 40", F1577 &lt;= 50, "40 to 50", F1577 &gt; 50, "&gt;50" )</f>
        <v>0 to 5</v>
      </c>
    </row>
    <row r="1578" spans="1:15" ht="14.4" x14ac:dyDescent="0.3">
      <c r="A1578" t="s">
        <v>293</v>
      </c>
      <c r="B1578" s="1">
        <v>46199</v>
      </c>
      <c r="C1578" t="s">
        <v>16</v>
      </c>
      <c r="D1578">
        <v>1442</v>
      </c>
      <c r="E1578">
        <v>1</v>
      </c>
      <c r="F1578">
        <v>2.6</v>
      </c>
      <c r="G1578" t="s">
        <v>21</v>
      </c>
      <c r="I1578" t="str">
        <f t="shared" si="27"/>
        <v>1442_1</v>
      </c>
      <c r="J1578" t="s">
        <v>294</v>
      </c>
      <c r="K1578" t="s">
        <v>19</v>
      </c>
      <c r="L1578" t="str">
        <f>_xlfn.XLOOKUP(C1578, Table2[Species],Table2[Genus], "Code Not Found")</f>
        <v>Acer</v>
      </c>
      <c r="M1578" t="str">
        <f>_xlfn.XLOOKUP(C1578, Table2[Species],Table2[Sp. Name], "Code Not Found")</f>
        <v>saccharum</v>
      </c>
      <c r="N1578" t="str">
        <f>_xlfn.XLOOKUP(C1578,Table2[Species],Table2[Family],"Code Not Found")</f>
        <v>Sapindaceae</v>
      </c>
      <c r="O1578" t="str" cm="1">
        <f t="array" ref="O1578">_xlfn.IFS(F1578="","",F1578&lt;=5,"0 to 5",F1578&lt;=10,"5.1 to 10",F1578&lt;=20,"10 to 20", F1578&lt;= 40, "20 to 40", F1578 &lt;= 50, "40 to 50", F1578 &gt; 50, "&gt;50" )</f>
        <v>0 to 5</v>
      </c>
    </row>
    <row r="1579" spans="1:15" ht="14.4" x14ac:dyDescent="0.3">
      <c r="A1579" t="s">
        <v>293</v>
      </c>
      <c r="B1579" s="1">
        <v>46199</v>
      </c>
      <c r="C1579" t="s">
        <v>16</v>
      </c>
      <c r="D1579">
        <v>1443</v>
      </c>
      <c r="E1579">
        <v>1</v>
      </c>
      <c r="F1579">
        <v>5.9</v>
      </c>
      <c r="G1579" t="s">
        <v>17</v>
      </c>
      <c r="I1579" t="str">
        <f t="shared" si="27"/>
        <v>1443_1</v>
      </c>
      <c r="J1579" t="s">
        <v>294</v>
      </c>
      <c r="K1579" t="s">
        <v>19</v>
      </c>
      <c r="L1579" t="str">
        <f>_xlfn.XLOOKUP(C1579, Table2[Species],Table2[Genus], "Code Not Found")</f>
        <v>Acer</v>
      </c>
      <c r="M1579" t="str">
        <f>_xlfn.XLOOKUP(C1579, Table2[Species],Table2[Sp. Name], "Code Not Found")</f>
        <v>saccharum</v>
      </c>
      <c r="N1579" t="str">
        <f>_xlfn.XLOOKUP(C1579,Table2[Species],Table2[Family],"Code Not Found")</f>
        <v>Sapindaceae</v>
      </c>
      <c r="O1579" t="str" cm="1">
        <f t="array" ref="O1579">_xlfn.IFS(F1579="","",F1579&lt;=5,"0 to 5",F1579&lt;=10,"5.1 to 10",F1579&lt;=20,"10 to 20", F1579&lt;= 40, "20 to 40", F1579 &lt;= 50, "40 to 50", F1579 &gt; 50, "&gt;50" )</f>
        <v>5.1 to 10</v>
      </c>
    </row>
    <row r="1580" spans="1:15" ht="14.4" x14ac:dyDescent="0.3">
      <c r="A1580" t="s">
        <v>293</v>
      </c>
      <c r="B1580" s="1">
        <v>46199</v>
      </c>
      <c r="C1580" t="s">
        <v>16</v>
      </c>
      <c r="D1580">
        <v>1444</v>
      </c>
      <c r="E1580">
        <v>1</v>
      </c>
      <c r="F1580">
        <v>1.3</v>
      </c>
      <c r="G1580" t="s">
        <v>17</v>
      </c>
      <c r="H1580" t="s">
        <v>332</v>
      </c>
      <c r="I1580" t="str">
        <f t="shared" si="27"/>
        <v>1444_1</v>
      </c>
      <c r="J1580" t="s">
        <v>294</v>
      </c>
      <c r="K1580" t="s">
        <v>19</v>
      </c>
      <c r="L1580" t="str">
        <f>_xlfn.XLOOKUP(C1580, Table2[Species],Table2[Genus], "Code Not Found")</f>
        <v>Acer</v>
      </c>
      <c r="M1580" t="str">
        <f>_xlfn.XLOOKUP(C1580, Table2[Species],Table2[Sp. Name], "Code Not Found")</f>
        <v>saccharum</v>
      </c>
      <c r="N1580" t="str">
        <f>_xlfn.XLOOKUP(C1580,Table2[Species],Table2[Family],"Code Not Found")</f>
        <v>Sapindaceae</v>
      </c>
      <c r="O1580" t="str" cm="1">
        <f t="array" ref="O1580">_xlfn.IFS(F1580="","",F1580&lt;=5,"0 to 5",F1580&lt;=10,"5.1 to 10",F1580&lt;=20,"10 to 20", F1580&lt;= 40, "20 to 40", F1580 &lt;= 50, "40 to 50", F1580 &gt; 50, "&gt;50" )</f>
        <v>0 to 5</v>
      </c>
    </row>
    <row r="1581" spans="1:15" ht="14.4" x14ac:dyDescent="0.3">
      <c r="A1581" t="s">
        <v>293</v>
      </c>
      <c r="B1581" s="1">
        <v>46199</v>
      </c>
      <c r="C1581" t="s">
        <v>16</v>
      </c>
      <c r="D1581">
        <v>1445</v>
      </c>
      <c r="E1581">
        <v>1</v>
      </c>
      <c r="F1581">
        <v>2.1</v>
      </c>
      <c r="G1581" t="s">
        <v>17</v>
      </c>
      <c r="H1581" t="s">
        <v>36</v>
      </c>
      <c r="I1581" t="str">
        <f t="shared" si="27"/>
        <v>1445_1</v>
      </c>
      <c r="J1581" t="s">
        <v>294</v>
      </c>
      <c r="K1581" t="s">
        <v>19</v>
      </c>
      <c r="L1581" t="str">
        <f>_xlfn.XLOOKUP(C1581, Table2[Species],Table2[Genus], "Code Not Found")</f>
        <v>Acer</v>
      </c>
      <c r="M1581" t="str">
        <f>_xlfn.XLOOKUP(C1581, Table2[Species],Table2[Sp. Name], "Code Not Found")</f>
        <v>saccharum</v>
      </c>
      <c r="N1581" t="str">
        <f>_xlfn.XLOOKUP(C1581,Table2[Species],Table2[Family],"Code Not Found")</f>
        <v>Sapindaceae</v>
      </c>
      <c r="O1581" t="str" cm="1">
        <f t="array" ref="O1581">_xlfn.IFS(F1581="","",F1581&lt;=5,"0 to 5",F1581&lt;=10,"5.1 to 10",F1581&lt;=20,"10 to 20", F1581&lt;= 40, "20 to 40", F1581 &lt;= 50, "40 to 50", F1581 &gt; 50, "&gt;50" )</f>
        <v>0 to 5</v>
      </c>
    </row>
    <row r="1582" spans="1:15" ht="14.4" x14ac:dyDescent="0.3">
      <c r="A1582" t="s">
        <v>293</v>
      </c>
      <c r="B1582" s="1">
        <v>46199</v>
      </c>
      <c r="C1582" t="s">
        <v>22</v>
      </c>
      <c r="D1582">
        <v>1446</v>
      </c>
      <c r="E1582">
        <v>1</v>
      </c>
      <c r="F1582">
        <v>23.5</v>
      </c>
      <c r="G1582" t="s">
        <v>17</v>
      </c>
      <c r="I1582" t="str">
        <f t="shared" si="27"/>
        <v>1446_1</v>
      </c>
      <c r="J1582" t="s">
        <v>294</v>
      </c>
      <c r="K1582" t="s">
        <v>19</v>
      </c>
      <c r="L1582" t="str">
        <f>_xlfn.XLOOKUP(C1582, Table2[Species],Table2[Genus], "Code Not Found")</f>
        <v>Acer</v>
      </c>
      <c r="M1582" t="str">
        <f>_xlfn.XLOOKUP(C1582, Table2[Species],Table2[Sp. Name], "Code Not Found")</f>
        <v>rubrum</v>
      </c>
      <c r="N1582" t="str">
        <f>_xlfn.XLOOKUP(C1582,Table2[Species],Table2[Family],"Code Not Found")</f>
        <v>Sapindaceae</v>
      </c>
      <c r="O1582" t="str" cm="1">
        <f t="array" ref="O1582">_xlfn.IFS(F1582="","",F1582&lt;=5,"0 to 5",F1582&lt;=10,"5.1 to 10",F1582&lt;=20,"10 to 20", F1582&lt;= 40, "20 to 40", F1582 &lt;= 50, "40 to 50", F1582 &gt; 50, "&gt;50" )</f>
        <v>20 to 40</v>
      </c>
    </row>
    <row r="1583" spans="1:15" ht="14.4" x14ac:dyDescent="0.3">
      <c r="A1583" t="s">
        <v>293</v>
      </c>
      <c r="B1583" s="1">
        <v>46199</v>
      </c>
      <c r="C1583" t="s">
        <v>16</v>
      </c>
      <c r="D1583">
        <v>1447</v>
      </c>
      <c r="E1583">
        <v>1</v>
      </c>
      <c r="F1583">
        <v>4</v>
      </c>
      <c r="G1583" t="s">
        <v>88</v>
      </c>
      <c r="H1583" t="s">
        <v>133</v>
      </c>
      <c r="I1583" t="str">
        <f t="shared" si="27"/>
        <v>1447_1</v>
      </c>
      <c r="J1583" t="s">
        <v>294</v>
      </c>
      <c r="K1583" t="s">
        <v>19</v>
      </c>
      <c r="L1583" t="str">
        <f>_xlfn.XLOOKUP(C1583, Table2[Species],Table2[Genus], "Code Not Found")</f>
        <v>Acer</v>
      </c>
      <c r="M1583" t="str">
        <f>_xlfn.XLOOKUP(C1583, Table2[Species],Table2[Sp. Name], "Code Not Found")</f>
        <v>saccharum</v>
      </c>
      <c r="N1583" t="str">
        <f>_xlfn.XLOOKUP(C1583,Table2[Species],Table2[Family],"Code Not Found")</f>
        <v>Sapindaceae</v>
      </c>
      <c r="O1583" t="str" cm="1">
        <f t="array" ref="O1583">_xlfn.IFS(F1583="","",F1583&lt;=5,"0 to 5",F1583&lt;=10,"5.1 to 10",F1583&lt;=20,"10 to 20", F1583&lt;= 40, "20 to 40", F1583 &lt;= 50, "40 to 50", F1583 &gt; 50, "&gt;50" )</f>
        <v>0 to 5</v>
      </c>
    </row>
    <row r="1584" spans="1:15" ht="14.4" x14ac:dyDescent="0.3">
      <c r="A1584" t="s">
        <v>293</v>
      </c>
      <c r="B1584" s="1">
        <v>46199</v>
      </c>
      <c r="C1584" t="s">
        <v>16</v>
      </c>
      <c r="D1584">
        <v>1448</v>
      </c>
      <c r="E1584">
        <v>1</v>
      </c>
      <c r="F1584">
        <v>6.4</v>
      </c>
      <c r="G1584" t="s">
        <v>88</v>
      </c>
      <c r="H1584" t="s">
        <v>333</v>
      </c>
      <c r="I1584" t="str">
        <f t="shared" si="27"/>
        <v>1448_1</v>
      </c>
      <c r="J1584" t="s">
        <v>294</v>
      </c>
      <c r="K1584" t="s">
        <v>19</v>
      </c>
      <c r="L1584" t="str">
        <f>_xlfn.XLOOKUP(C1584, Table2[Species],Table2[Genus], "Code Not Found")</f>
        <v>Acer</v>
      </c>
      <c r="M1584" t="str">
        <f>_xlfn.XLOOKUP(C1584, Table2[Species],Table2[Sp. Name], "Code Not Found")</f>
        <v>saccharum</v>
      </c>
      <c r="N1584" t="str">
        <f>_xlfn.XLOOKUP(C1584,Table2[Species],Table2[Family],"Code Not Found")</f>
        <v>Sapindaceae</v>
      </c>
      <c r="O1584" t="str" cm="1">
        <f t="array" ref="O1584">_xlfn.IFS(F1584="","",F1584&lt;=5,"0 to 5",F1584&lt;=10,"5.1 to 10",F1584&lt;=20,"10 to 20", F1584&lt;= 40, "20 to 40", F1584 &lt;= 50, "40 to 50", F1584 &gt; 50, "&gt;50" )</f>
        <v>5.1 to 10</v>
      </c>
    </row>
    <row r="1585" spans="1:15" ht="14.4" x14ac:dyDescent="0.3">
      <c r="A1585" t="s">
        <v>293</v>
      </c>
      <c r="B1585" s="1">
        <v>46199</v>
      </c>
      <c r="C1585" t="s">
        <v>16</v>
      </c>
      <c r="D1585">
        <v>1449</v>
      </c>
      <c r="E1585">
        <v>1</v>
      </c>
      <c r="F1585">
        <v>1.9</v>
      </c>
      <c r="G1585" t="s">
        <v>334</v>
      </c>
      <c r="H1585" t="s">
        <v>99</v>
      </c>
      <c r="I1585" t="str">
        <f t="shared" si="27"/>
        <v>1449_1</v>
      </c>
      <c r="J1585" t="s">
        <v>294</v>
      </c>
      <c r="K1585" t="s">
        <v>19</v>
      </c>
      <c r="L1585" t="str">
        <f>_xlfn.XLOOKUP(C1585, Table2[Species],Table2[Genus], "Code Not Found")</f>
        <v>Acer</v>
      </c>
      <c r="M1585" t="str">
        <f>_xlfn.XLOOKUP(C1585, Table2[Species],Table2[Sp. Name], "Code Not Found")</f>
        <v>saccharum</v>
      </c>
      <c r="N1585" t="str">
        <f>_xlfn.XLOOKUP(C1585,Table2[Species],Table2[Family],"Code Not Found")</f>
        <v>Sapindaceae</v>
      </c>
      <c r="O1585" t="str" cm="1">
        <f t="array" ref="O1585">_xlfn.IFS(F1585="","",F1585&lt;=5,"0 to 5",F1585&lt;=10,"5.1 to 10",F1585&lt;=20,"10 to 20", F1585&lt;= 40, "20 to 40", F1585 &lt;= 50, "40 to 50", F1585 &gt; 50, "&gt;50" )</f>
        <v>0 to 5</v>
      </c>
    </row>
    <row r="1586" spans="1:15" ht="14.4" x14ac:dyDescent="0.3">
      <c r="A1586" t="s">
        <v>293</v>
      </c>
      <c r="B1586" s="1">
        <v>46199</v>
      </c>
      <c r="C1586" t="s">
        <v>16</v>
      </c>
      <c r="D1586">
        <v>1450</v>
      </c>
      <c r="E1586">
        <v>1</v>
      </c>
      <c r="F1586">
        <v>14.1</v>
      </c>
      <c r="G1586" t="s">
        <v>17</v>
      </c>
      <c r="I1586" t="str">
        <f t="shared" si="27"/>
        <v>1450_1</v>
      </c>
      <c r="J1586" t="s">
        <v>294</v>
      </c>
      <c r="K1586" t="s">
        <v>19</v>
      </c>
      <c r="L1586" t="str">
        <f>_xlfn.XLOOKUP(C1586, Table2[Species],Table2[Genus], "Code Not Found")</f>
        <v>Acer</v>
      </c>
      <c r="M1586" t="str">
        <f>_xlfn.XLOOKUP(C1586, Table2[Species],Table2[Sp. Name], "Code Not Found")</f>
        <v>saccharum</v>
      </c>
      <c r="N1586" t="str">
        <f>_xlfn.XLOOKUP(C1586,Table2[Species],Table2[Family],"Code Not Found")</f>
        <v>Sapindaceae</v>
      </c>
      <c r="O1586" t="str" cm="1">
        <f t="array" ref="O1586">_xlfn.IFS(F1586="","",F1586&lt;=5,"0 to 5",F1586&lt;=10,"5.1 to 10",F1586&lt;=20,"10 to 20", F1586&lt;= 40, "20 to 40", F1586 &lt;= 50, "40 to 50", F1586 &gt; 50, "&gt;50" )</f>
        <v>10 to 20</v>
      </c>
    </row>
    <row r="1587" spans="1:15" ht="14.4" x14ac:dyDescent="0.3">
      <c r="A1587" t="s">
        <v>293</v>
      </c>
      <c r="B1587" s="1">
        <v>46199</v>
      </c>
      <c r="C1587" t="s">
        <v>16</v>
      </c>
      <c r="D1587">
        <v>1451</v>
      </c>
      <c r="E1587">
        <v>1</v>
      </c>
      <c r="F1587">
        <v>4.0999999999999996</v>
      </c>
      <c r="G1587" t="s">
        <v>51</v>
      </c>
      <c r="I1587" t="str">
        <f t="shared" si="27"/>
        <v>1451_1</v>
      </c>
      <c r="J1587" t="s">
        <v>294</v>
      </c>
      <c r="K1587" t="s">
        <v>19</v>
      </c>
      <c r="L1587" t="str">
        <f>_xlfn.XLOOKUP(C1587, Table2[Species],Table2[Genus], "Code Not Found")</f>
        <v>Acer</v>
      </c>
      <c r="M1587" t="str">
        <f>_xlfn.XLOOKUP(C1587, Table2[Species],Table2[Sp. Name], "Code Not Found")</f>
        <v>saccharum</v>
      </c>
      <c r="N1587" t="str">
        <f>_xlfn.XLOOKUP(C1587,Table2[Species],Table2[Family],"Code Not Found")</f>
        <v>Sapindaceae</v>
      </c>
      <c r="O1587" t="str" cm="1">
        <f t="array" ref="O1587">_xlfn.IFS(F1587="","",F1587&lt;=5,"0 to 5",F1587&lt;=10,"5.1 to 10",F1587&lt;=20,"10 to 20", F1587&lt;= 40, "20 to 40", F1587 &lt;= 50, "40 to 50", F1587 &gt; 50, "&gt;50" )</f>
        <v>0 to 5</v>
      </c>
    </row>
    <row r="1588" spans="1:15" ht="14.4" x14ac:dyDescent="0.3">
      <c r="A1588" t="s">
        <v>293</v>
      </c>
      <c r="B1588" s="1">
        <v>46199</v>
      </c>
      <c r="C1588" t="s">
        <v>16</v>
      </c>
      <c r="D1588">
        <v>1452</v>
      </c>
      <c r="E1588">
        <v>1</v>
      </c>
      <c r="F1588">
        <v>3.4</v>
      </c>
      <c r="G1588" t="s">
        <v>30</v>
      </c>
      <c r="H1588" t="s">
        <v>99</v>
      </c>
      <c r="I1588" t="str">
        <f t="shared" si="27"/>
        <v>1452_1</v>
      </c>
      <c r="J1588" t="s">
        <v>294</v>
      </c>
      <c r="K1588" t="s">
        <v>19</v>
      </c>
      <c r="L1588" t="str">
        <f>_xlfn.XLOOKUP(C1588, Table2[Species],Table2[Genus], "Code Not Found")</f>
        <v>Acer</v>
      </c>
      <c r="M1588" t="str">
        <f>_xlfn.XLOOKUP(C1588, Table2[Species],Table2[Sp. Name], "Code Not Found")</f>
        <v>saccharum</v>
      </c>
      <c r="N1588" t="str">
        <f>_xlfn.XLOOKUP(C1588,Table2[Species],Table2[Family],"Code Not Found")</f>
        <v>Sapindaceae</v>
      </c>
      <c r="O1588" t="str" cm="1">
        <f t="array" ref="O1588">_xlfn.IFS(F1588="","",F1588&lt;=5,"0 to 5",F1588&lt;=10,"5.1 to 10",F1588&lt;=20,"10 to 20", F1588&lt;= 40, "20 to 40", F1588 &lt;= 50, "40 to 50", F1588 &gt; 50, "&gt;50" )</f>
        <v>0 to 5</v>
      </c>
    </row>
    <row r="1589" spans="1:15" ht="14.4" x14ac:dyDescent="0.3">
      <c r="A1589" t="s">
        <v>293</v>
      </c>
      <c r="B1589" s="1">
        <v>46199</v>
      </c>
      <c r="C1589" t="s">
        <v>16</v>
      </c>
      <c r="D1589">
        <v>1453</v>
      </c>
      <c r="E1589">
        <v>1</v>
      </c>
      <c r="F1589">
        <v>8.1</v>
      </c>
      <c r="G1589" t="s">
        <v>47</v>
      </c>
      <c r="H1589" t="s">
        <v>296</v>
      </c>
      <c r="I1589" t="str">
        <f t="shared" si="27"/>
        <v>1453_1</v>
      </c>
      <c r="J1589" t="s">
        <v>294</v>
      </c>
      <c r="K1589" t="s">
        <v>19</v>
      </c>
      <c r="L1589" t="str">
        <f>_xlfn.XLOOKUP(C1589, Table2[Species],Table2[Genus], "Code Not Found")</f>
        <v>Acer</v>
      </c>
      <c r="M1589" t="str">
        <f>_xlfn.XLOOKUP(C1589, Table2[Species],Table2[Sp. Name], "Code Not Found")</f>
        <v>saccharum</v>
      </c>
      <c r="N1589" t="str">
        <f>_xlfn.XLOOKUP(C1589,Table2[Species],Table2[Family],"Code Not Found")</f>
        <v>Sapindaceae</v>
      </c>
      <c r="O1589" t="str" cm="1">
        <f t="array" ref="O1589">_xlfn.IFS(F1589="","",F1589&lt;=5,"0 to 5",F1589&lt;=10,"5.1 to 10",F1589&lt;=20,"10 to 20", F1589&lt;= 40, "20 to 40", F1589 &lt;= 50, "40 to 50", F1589 &gt; 50, "&gt;50" )</f>
        <v>5.1 to 10</v>
      </c>
    </row>
    <row r="1590" spans="1:15" ht="14.4" x14ac:dyDescent="0.3">
      <c r="A1590" t="s">
        <v>293</v>
      </c>
      <c r="B1590" s="1">
        <v>46199</v>
      </c>
      <c r="C1590" t="s">
        <v>16</v>
      </c>
      <c r="D1590">
        <v>1454</v>
      </c>
      <c r="E1590">
        <v>1</v>
      </c>
      <c r="F1590">
        <v>1.7</v>
      </c>
      <c r="G1590" t="s">
        <v>32</v>
      </c>
      <c r="I1590" t="str">
        <f t="shared" si="27"/>
        <v>1454_1</v>
      </c>
      <c r="J1590" t="s">
        <v>294</v>
      </c>
      <c r="K1590" t="s">
        <v>19</v>
      </c>
      <c r="L1590" t="str">
        <f>_xlfn.XLOOKUP(C1590, Table2[Species],Table2[Genus], "Code Not Found")</f>
        <v>Acer</v>
      </c>
      <c r="M1590" t="str">
        <f>_xlfn.XLOOKUP(C1590, Table2[Species],Table2[Sp. Name], "Code Not Found")</f>
        <v>saccharum</v>
      </c>
      <c r="N1590" t="str">
        <f>_xlfn.XLOOKUP(C1590,Table2[Species],Table2[Family],"Code Not Found")</f>
        <v>Sapindaceae</v>
      </c>
      <c r="O1590" t="str" cm="1">
        <f t="array" ref="O1590">_xlfn.IFS(F1590="","",F1590&lt;=5,"0 to 5",F1590&lt;=10,"5.1 to 10",F1590&lt;=20,"10 to 20", F1590&lt;= 40, "20 to 40", F1590 &lt;= 50, "40 to 50", F1590 &gt; 50, "&gt;50" )</f>
        <v>0 to 5</v>
      </c>
    </row>
    <row r="1591" spans="1:15" ht="14.4" x14ac:dyDescent="0.3">
      <c r="A1591" t="s">
        <v>293</v>
      </c>
      <c r="B1591" s="1">
        <v>46199</v>
      </c>
      <c r="C1591" t="s">
        <v>16</v>
      </c>
      <c r="D1591">
        <v>1454</v>
      </c>
      <c r="E1591">
        <v>2</v>
      </c>
      <c r="F1591">
        <v>1.1000000000000001</v>
      </c>
      <c r="G1591" t="s">
        <v>32</v>
      </c>
      <c r="I1591" t="str">
        <f t="shared" si="27"/>
        <v>1454_2</v>
      </c>
      <c r="J1591" t="s">
        <v>294</v>
      </c>
      <c r="K1591" t="s">
        <v>19</v>
      </c>
      <c r="L1591" t="str">
        <f>_xlfn.XLOOKUP(C1591, Table2[Species],Table2[Genus], "Code Not Found")</f>
        <v>Acer</v>
      </c>
      <c r="M1591" t="str">
        <f>_xlfn.XLOOKUP(C1591, Table2[Species],Table2[Sp. Name], "Code Not Found")</f>
        <v>saccharum</v>
      </c>
      <c r="N1591" t="str">
        <f>_xlfn.XLOOKUP(C1591,Table2[Species],Table2[Family],"Code Not Found")</f>
        <v>Sapindaceae</v>
      </c>
      <c r="O1591" t="str" cm="1">
        <f t="array" ref="O1591">_xlfn.IFS(F1591="","",F1591&lt;=5,"0 to 5",F1591&lt;=10,"5.1 to 10",F1591&lt;=20,"10 to 20", F1591&lt;= 40, "20 to 40", F1591 &lt;= 50, "40 to 50", F1591 &gt; 50, "&gt;50" )</f>
        <v>0 to 5</v>
      </c>
    </row>
    <row r="1592" spans="1:15" ht="14.4" x14ac:dyDescent="0.3">
      <c r="A1592" t="s">
        <v>293</v>
      </c>
      <c r="B1592" s="1">
        <v>46199</v>
      </c>
      <c r="C1592" t="s">
        <v>24</v>
      </c>
      <c r="D1592">
        <v>1455</v>
      </c>
      <c r="E1592">
        <v>1</v>
      </c>
      <c r="F1592">
        <v>82</v>
      </c>
      <c r="G1592" t="s">
        <v>21</v>
      </c>
      <c r="I1592" t="str">
        <f t="shared" si="27"/>
        <v>1455_1</v>
      </c>
      <c r="J1592" t="s">
        <v>294</v>
      </c>
      <c r="K1592" t="s">
        <v>19</v>
      </c>
      <c r="L1592" t="str">
        <f>_xlfn.XLOOKUP(C1592, Table2[Species],Table2[Genus], "Code Not Found")</f>
        <v>Lirodendron</v>
      </c>
      <c r="M1592" t="str">
        <f>_xlfn.XLOOKUP(C1592, Table2[Species],Table2[Sp. Name], "Code Not Found")</f>
        <v>tulipfera</v>
      </c>
      <c r="N1592" t="str">
        <f>_xlfn.XLOOKUP(C1592,Table2[Species],Table2[Family],"Code Not Found")</f>
        <v>Magnoliaceae</v>
      </c>
      <c r="O1592" t="str" cm="1">
        <f t="array" ref="O1592">_xlfn.IFS(F1592="","",F1592&lt;=5,"0 to 5",F1592&lt;=10,"5.1 to 10",F1592&lt;=20,"10 to 20", F1592&lt;= 40, "20 to 40", F1592 &lt;= 50, "40 to 50", F1592 &gt; 50, "&gt;50" )</f>
        <v>&gt;50</v>
      </c>
    </row>
    <row r="1593" spans="1:15" ht="14.4" x14ac:dyDescent="0.3">
      <c r="A1593" t="s">
        <v>293</v>
      </c>
      <c r="B1593" s="1">
        <v>46199</v>
      </c>
      <c r="C1593" t="s">
        <v>16</v>
      </c>
      <c r="D1593">
        <v>1456</v>
      </c>
      <c r="E1593">
        <v>1</v>
      </c>
      <c r="F1593">
        <v>3.1</v>
      </c>
      <c r="G1593" t="s">
        <v>211</v>
      </c>
      <c r="I1593" t="str">
        <f t="shared" si="27"/>
        <v>1456_1</v>
      </c>
      <c r="J1593" t="s">
        <v>294</v>
      </c>
      <c r="K1593" t="s">
        <v>19</v>
      </c>
      <c r="L1593" t="str">
        <f>_xlfn.XLOOKUP(C1593, Table2[Species],Table2[Genus], "Code Not Found")</f>
        <v>Acer</v>
      </c>
      <c r="M1593" t="str">
        <f>_xlfn.XLOOKUP(C1593, Table2[Species],Table2[Sp. Name], "Code Not Found")</f>
        <v>saccharum</v>
      </c>
      <c r="N1593" t="str">
        <f>_xlfn.XLOOKUP(C1593,Table2[Species],Table2[Family],"Code Not Found")</f>
        <v>Sapindaceae</v>
      </c>
      <c r="O1593" t="str" cm="1">
        <f t="array" ref="O1593">_xlfn.IFS(F1593="","",F1593&lt;=5,"0 to 5",F1593&lt;=10,"5.1 to 10",F1593&lt;=20,"10 to 20", F1593&lt;= 40, "20 to 40", F1593 &lt;= 50, "40 to 50", F1593 &gt; 50, "&gt;50" )</f>
        <v>0 to 5</v>
      </c>
    </row>
    <row r="1594" spans="1:15" ht="14.4" x14ac:dyDescent="0.3">
      <c r="A1594" t="s">
        <v>293</v>
      </c>
      <c r="B1594" s="1">
        <v>46199</v>
      </c>
      <c r="C1594" t="s">
        <v>22</v>
      </c>
      <c r="D1594">
        <v>1457</v>
      </c>
      <c r="E1594">
        <v>1</v>
      </c>
      <c r="F1594">
        <v>4.3</v>
      </c>
      <c r="G1594" t="s">
        <v>21</v>
      </c>
      <c r="I1594" t="str">
        <f t="shared" si="27"/>
        <v>1457_1</v>
      </c>
      <c r="J1594" t="s">
        <v>294</v>
      </c>
      <c r="K1594" t="s">
        <v>19</v>
      </c>
      <c r="L1594" t="str">
        <f>_xlfn.XLOOKUP(C1594, Table2[Species],Table2[Genus], "Code Not Found")</f>
        <v>Acer</v>
      </c>
      <c r="M1594" t="str">
        <f>_xlfn.XLOOKUP(C1594, Table2[Species],Table2[Sp. Name], "Code Not Found")</f>
        <v>rubrum</v>
      </c>
      <c r="N1594" t="str">
        <f>_xlfn.XLOOKUP(C1594,Table2[Species],Table2[Family],"Code Not Found")</f>
        <v>Sapindaceae</v>
      </c>
      <c r="O1594" t="str" cm="1">
        <f t="array" ref="O1594">_xlfn.IFS(F1594="","",F1594&lt;=5,"0 to 5",F1594&lt;=10,"5.1 to 10",F1594&lt;=20,"10 to 20", F1594&lt;= 40, "20 to 40", F1594 &lt;= 50, "40 to 50", F1594 &gt; 50, "&gt;50" )</f>
        <v>0 to 5</v>
      </c>
    </row>
    <row r="1595" spans="1:15" ht="14.4" x14ac:dyDescent="0.3">
      <c r="A1595" t="s">
        <v>293</v>
      </c>
      <c r="B1595" s="1">
        <v>46199</v>
      </c>
      <c r="C1595" t="s">
        <v>22</v>
      </c>
      <c r="D1595">
        <v>1458</v>
      </c>
      <c r="E1595">
        <v>1</v>
      </c>
      <c r="F1595">
        <v>2.6</v>
      </c>
      <c r="G1595" t="s">
        <v>17</v>
      </c>
      <c r="I1595" t="str">
        <f t="shared" si="27"/>
        <v>1458_1</v>
      </c>
      <c r="J1595" t="s">
        <v>294</v>
      </c>
      <c r="K1595" t="s">
        <v>19</v>
      </c>
      <c r="L1595" t="str">
        <f>_xlfn.XLOOKUP(C1595, Table2[Species],Table2[Genus], "Code Not Found")</f>
        <v>Acer</v>
      </c>
      <c r="M1595" t="str">
        <f>_xlfn.XLOOKUP(C1595, Table2[Species],Table2[Sp. Name], "Code Not Found")</f>
        <v>rubrum</v>
      </c>
      <c r="N1595" t="str">
        <f>_xlfn.XLOOKUP(C1595,Table2[Species],Table2[Family],"Code Not Found")</f>
        <v>Sapindaceae</v>
      </c>
      <c r="O1595" t="str" cm="1">
        <f t="array" ref="O1595">_xlfn.IFS(F1595="","",F1595&lt;=5,"0 to 5",F1595&lt;=10,"5.1 to 10",F1595&lt;=20,"10 to 20", F1595&lt;= 40, "20 to 40", F1595 &lt;= 50, "40 to 50", F1595 &gt; 50, "&gt;50" )</f>
        <v>0 to 5</v>
      </c>
    </row>
    <row r="1596" spans="1:15" ht="14.4" x14ac:dyDescent="0.3">
      <c r="A1596" t="s">
        <v>293</v>
      </c>
      <c r="B1596" s="1">
        <v>46199</v>
      </c>
      <c r="C1596" t="s">
        <v>64</v>
      </c>
      <c r="D1596">
        <v>1459</v>
      </c>
      <c r="E1596">
        <v>1</v>
      </c>
      <c r="F1596">
        <v>1.3</v>
      </c>
      <c r="G1596" t="s">
        <v>21</v>
      </c>
      <c r="H1596" t="s">
        <v>215</v>
      </c>
      <c r="I1596" t="str">
        <f t="shared" si="27"/>
        <v>1459_1</v>
      </c>
      <c r="J1596" t="s">
        <v>294</v>
      </c>
      <c r="K1596" t="s">
        <v>19</v>
      </c>
      <c r="L1596" t="str">
        <f>_xlfn.XLOOKUP(C1596, Table2[Species],Table2[Genus], "Code Not Found")</f>
        <v>Fagus</v>
      </c>
      <c r="M1596" t="str">
        <f>_xlfn.XLOOKUP(C1596, Table2[Species],Table2[Sp. Name], "Code Not Found")</f>
        <v>grandifolia</v>
      </c>
      <c r="N1596" t="str">
        <f>_xlfn.XLOOKUP(C1596,Table2[Species],Table2[Family],"Code Not Found")</f>
        <v>Fagaceae</v>
      </c>
      <c r="O1596" t="str" cm="1">
        <f t="array" ref="O1596">_xlfn.IFS(F1596="","",F1596&lt;=5,"0 to 5",F1596&lt;=10,"5.1 to 10",F1596&lt;=20,"10 to 20", F1596&lt;= 40, "20 to 40", F1596 &lt;= 50, "40 to 50", F1596 &gt; 50, "&gt;50" )</f>
        <v>0 to 5</v>
      </c>
    </row>
    <row r="1597" spans="1:15" ht="14.4" x14ac:dyDescent="0.3">
      <c r="A1597" t="s">
        <v>293</v>
      </c>
      <c r="B1597" s="1">
        <v>46199</v>
      </c>
      <c r="C1597" t="s">
        <v>16</v>
      </c>
      <c r="D1597">
        <v>1460</v>
      </c>
      <c r="E1597">
        <v>1</v>
      </c>
      <c r="F1597">
        <v>6.9</v>
      </c>
      <c r="G1597" t="s">
        <v>17</v>
      </c>
      <c r="I1597" t="str">
        <f t="shared" si="27"/>
        <v>1460_1</v>
      </c>
      <c r="J1597" t="s">
        <v>294</v>
      </c>
      <c r="K1597" t="s">
        <v>19</v>
      </c>
      <c r="L1597" t="str">
        <f>_xlfn.XLOOKUP(C1597, Table2[Species],Table2[Genus], "Code Not Found")</f>
        <v>Acer</v>
      </c>
      <c r="M1597" t="str">
        <f>_xlfn.XLOOKUP(C1597, Table2[Species],Table2[Sp. Name], "Code Not Found")</f>
        <v>saccharum</v>
      </c>
      <c r="N1597" t="str">
        <f>_xlfn.XLOOKUP(C1597,Table2[Species],Table2[Family],"Code Not Found")</f>
        <v>Sapindaceae</v>
      </c>
      <c r="O1597" t="str" cm="1">
        <f t="array" ref="O1597">_xlfn.IFS(F1597="","",F1597&lt;=5,"0 to 5",F1597&lt;=10,"5.1 to 10",F1597&lt;=20,"10 to 20", F1597&lt;= 40, "20 to 40", F1597 &lt;= 50, "40 to 50", F1597 &gt; 50, "&gt;50" )</f>
        <v>5.1 to 10</v>
      </c>
    </row>
    <row r="1598" spans="1:15" ht="14.4" x14ac:dyDescent="0.3">
      <c r="A1598" t="s">
        <v>293</v>
      </c>
      <c r="B1598" s="1">
        <v>46199</v>
      </c>
      <c r="C1598" t="s">
        <v>16</v>
      </c>
      <c r="D1598">
        <v>1461</v>
      </c>
      <c r="E1598">
        <v>1</v>
      </c>
      <c r="F1598">
        <v>5.7</v>
      </c>
      <c r="G1598" t="s">
        <v>21</v>
      </c>
      <c r="I1598" t="str">
        <f t="shared" si="27"/>
        <v>1461_1</v>
      </c>
      <c r="J1598" t="s">
        <v>294</v>
      </c>
      <c r="K1598" t="s">
        <v>19</v>
      </c>
      <c r="L1598" t="str">
        <f>_xlfn.XLOOKUP(C1598, Table2[Species],Table2[Genus], "Code Not Found")</f>
        <v>Acer</v>
      </c>
      <c r="M1598" t="str">
        <f>_xlfn.XLOOKUP(C1598, Table2[Species],Table2[Sp. Name], "Code Not Found")</f>
        <v>saccharum</v>
      </c>
      <c r="N1598" t="str">
        <f>_xlfn.XLOOKUP(C1598,Table2[Species],Table2[Family],"Code Not Found")</f>
        <v>Sapindaceae</v>
      </c>
      <c r="O1598" t="str" cm="1">
        <f t="array" ref="O1598">_xlfn.IFS(F1598="","",F1598&lt;=5,"0 to 5",F1598&lt;=10,"5.1 to 10",F1598&lt;=20,"10 to 20", F1598&lt;= 40, "20 to 40", F1598 &lt;= 50, "40 to 50", F1598 &gt; 50, "&gt;50" )</f>
        <v>5.1 to 10</v>
      </c>
    </row>
    <row r="1599" spans="1:15" ht="14.4" x14ac:dyDescent="0.3">
      <c r="A1599" t="s">
        <v>293</v>
      </c>
      <c r="B1599" s="1">
        <v>46199</v>
      </c>
      <c r="C1599" t="s">
        <v>22</v>
      </c>
      <c r="D1599">
        <v>1462</v>
      </c>
      <c r="E1599">
        <v>1</v>
      </c>
      <c r="F1599">
        <v>49</v>
      </c>
      <c r="G1599" t="s">
        <v>21</v>
      </c>
      <c r="I1599" t="str">
        <f t="shared" si="27"/>
        <v>1462_1</v>
      </c>
      <c r="J1599" t="s">
        <v>294</v>
      </c>
      <c r="K1599" t="s">
        <v>19</v>
      </c>
      <c r="L1599" t="str">
        <f>_xlfn.XLOOKUP(C1599, Table2[Species],Table2[Genus], "Code Not Found")</f>
        <v>Acer</v>
      </c>
      <c r="M1599" t="str">
        <f>_xlfn.XLOOKUP(C1599, Table2[Species],Table2[Sp. Name], "Code Not Found")</f>
        <v>rubrum</v>
      </c>
      <c r="N1599" t="str">
        <f>_xlfn.XLOOKUP(C1599,Table2[Species],Table2[Family],"Code Not Found")</f>
        <v>Sapindaceae</v>
      </c>
      <c r="O1599" t="str" cm="1">
        <f t="array" ref="O1599">_xlfn.IFS(F1599="","",F1599&lt;=5,"0 to 5",F1599&lt;=10,"5.1 to 10",F1599&lt;=20,"10 to 20", F1599&lt;= 40, "20 to 40", F1599 &lt;= 50, "40 to 50", F1599 &gt; 50, "&gt;50" )</f>
        <v>40 to 50</v>
      </c>
    </row>
    <row r="1600" spans="1:15" ht="14.4" x14ac:dyDescent="0.3">
      <c r="A1600" t="s">
        <v>293</v>
      </c>
      <c r="B1600" s="1">
        <v>46199</v>
      </c>
      <c r="C1600" t="s">
        <v>16</v>
      </c>
      <c r="D1600">
        <v>1463</v>
      </c>
      <c r="E1600">
        <v>1</v>
      </c>
      <c r="F1600">
        <v>1.9</v>
      </c>
      <c r="G1600" t="s">
        <v>47</v>
      </c>
      <c r="H1600" t="s">
        <v>296</v>
      </c>
      <c r="I1600" t="str">
        <f t="shared" si="27"/>
        <v>1463_1</v>
      </c>
      <c r="J1600" t="s">
        <v>294</v>
      </c>
      <c r="K1600" t="s">
        <v>19</v>
      </c>
      <c r="L1600" t="str">
        <f>_xlfn.XLOOKUP(C1600, Table2[Species],Table2[Genus], "Code Not Found")</f>
        <v>Acer</v>
      </c>
      <c r="M1600" t="str">
        <f>_xlfn.XLOOKUP(C1600, Table2[Species],Table2[Sp. Name], "Code Not Found")</f>
        <v>saccharum</v>
      </c>
      <c r="N1600" t="str">
        <f>_xlfn.XLOOKUP(C1600,Table2[Species],Table2[Family],"Code Not Found")</f>
        <v>Sapindaceae</v>
      </c>
      <c r="O1600" t="str" cm="1">
        <f t="array" ref="O1600">_xlfn.IFS(F1600="","",F1600&lt;=5,"0 to 5",F1600&lt;=10,"5.1 to 10",F1600&lt;=20,"10 to 20", F1600&lt;= 40, "20 to 40", F1600 &lt;= 50, "40 to 50", F1600 &gt; 50, "&gt;50" )</f>
        <v>0 to 5</v>
      </c>
    </row>
    <row r="1601" spans="1:15" ht="14.4" x14ac:dyDescent="0.3">
      <c r="A1601" t="s">
        <v>293</v>
      </c>
      <c r="B1601" s="1">
        <v>46199</v>
      </c>
      <c r="C1601" t="s">
        <v>64</v>
      </c>
      <c r="D1601">
        <v>1464</v>
      </c>
      <c r="E1601">
        <v>1</v>
      </c>
      <c r="F1601">
        <v>3.3</v>
      </c>
      <c r="G1601" t="s">
        <v>88</v>
      </c>
      <c r="H1601" t="s">
        <v>335</v>
      </c>
      <c r="I1601" t="str">
        <f t="shared" si="27"/>
        <v>1464_1</v>
      </c>
      <c r="J1601" t="s">
        <v>294</v>
      </c>
      <c r="K1601" t="s">
        <v>19</v>
      </c>
      <c r="L1601" t="str">
        <f>_xlfn.XLOOKUP(C1601, Table2[Species],Table2[Genus], "Code Not Found")</f>
        <v>Fagus</v>
      </c>
      <c r="M1601" t="str">
        <f>_xlfn.XLOOKUP(C1601, Table2[Species],Table2[Sp. Name], "Code Not Found")</f>
        <v>grandifolia</v>
      </c>
      <c r="N1601" t="str">
        <f>_xlfn.XLOOKUP(C1601,Table2[Species],Table2[Family],"Code Not Found")</f>
        <v>Fagaceae</v>
      </c>
      <c r="O1601" t="str" cm="1">
        <f t="array" ref="O1601">_xlfn.IFS(F1601="","",F1601&lt;=5,"0 to 5",F1601&lt;=10,"5.1 to 10",F1601&lt;=20,"10 to 20", F1601&lt;= 40, "20 to 40", F1601 &lt;= 50, "40 to 50", F1601 &gt; 50, "&gt;50" )</f>
        <v>0 to 5</v>
      </c>
    </row>
    <row r="1602" spans="1:15" ht="14.4" x14ac:dyDescent="0.3">
      <c r="A1602" t="s">
        <v>293</v>
      </c>
      <c r="B1602" s="1">
        <v>46199</v>
      </c>
      <c r="C1602" t="s">
        <v>16</v>
      </c>
      <c r="D1602">
        <v>1465</v>
      </c>
      <c r="E1602">
        <v>1</v>
      </c>
      <c r="F1602">
        <v>2.6</v>
      </c>
      <c r="G1602" t="s">
        <v>17</v>
      </c>
      <c r="H1602" t="s">
        <v>36</v>
      </c>
      <c r="I1602" t="str">
        <f t="shared" si="27"/>
        <v>1465_1</v>
      </c>
      <c r="J1602" t="s">
        <v>294</v>
      </c>
      <c r="K1602" t="s">
        <v>19</v>
      </c>
      <c r="L1602" t="str">
        <f>_xlfn.XLOOKUP(C1602, Table2[Species],Table2[Genus], "Code Not Found")</f>
        <v>Acer</v>
      </c>
      <c r="M1602" t="str">
        <f>_xlfn.XLOOKUP(C1602, Table2[Species],Table2[Sp. Name], "Code Not Found")</f>
        <v>saccharum</v>
      </c>
      <c r="N1602" t="str">
        <f>_xlfn.XLOOKUP(C1602,Table2[Species],Table2[Family],"Code Not Found")</f>
        <v>Sapindaceae</v>
      </c>
      <c r="O1602" t="str" cm="1">
        <f t="array" ref="O1602">_xlfn.IFS(F1602="","",F1602&lt;=5,"0 to 5",F1602&lt;=10,"5.1 to 10",F1602&lt;=20,"10 to 20", F1602&lt;= 40, "20 to 40", F1602 &lt;= 50, "40 to 50", F1602 &gt; 50, "&gt;50" )</f>
        <v>0 to 5</v>
      </c>
    </row>
    <row r="1603" spans="1:15" ht="14.4" x14ac:dyDescent="0.3">
      <c r="A1603" t="s">
        <v>293</v>
      </c>
      <c r="B1603" s="1">
        <v>46199</v>
      </c>
      <c r="C1603" t="s">
        <v>22</v>
      </c>
      <c r="D1603">
        <v>1466</v>
      </c>
      <c r="E1603">
        <v>1</v>
      </c>
      <c r="F1603">
        <v>32.5</v>
      </c>
      <c r="G1603" t="s">
        <v>47</v>
      </c>
      <c r="I1603" t="str">
        <f t="shared" si="27"/>
        <v>1466_1</v>
      </c>
      <c r="J1603" t="s">
        <v>294</v>
      </c>
      <c r="K1603" t="s">
        <v>19</v>
      </c>
      <c r="L1603" t="str">
        <f>_xlfn.XLOOKUP(C1603, Table2[Species],Table2[Genus], "Code Not Found")</f>
        <v>Acer</v>
      </c>
      <c r="M1603" t="str">
        <f>_xlfn.XLOOKUP(C1603, Table2[Species],Table2[Sp. Name], "Code Not Found")</f>
        <v>rubrum</v>
      </c>
      <c r="N1603" t="str">
        <f>_xlfn.XLOOKUP(C1603,Table2[Species],Table2[Family],"Code Not Found")</f>
        <v>Sapindaceae</v>
      </c>
      <c r="O1603" t="str" cm="1">
        <f t="array" ref="O1603">_xlfn.IFS(F1603="","",F1603&lt;=5,"0 to 5",F1603&lt;=10,"5.1 to 10",F1603&lt;=20,"10 to 20", F1603&lt;= 40, "20 to 40", F1603 &lt;= 50, "40 to 50", F1603 &gt; 50, "&gt;50" )</f>
        <v>20 to 40</v>
      </c>
    </row>
    <row r="1604" spans="1:15" ht="14.4" x14ac:dyDescent="0.3">
      <c r="A1604" t="s">
        <v>293</v>
      </c>
      <c r="B1604" s="1">
        <v>46199</v>
      </c>
      <c r="C1604" t="s">
        <v>16</v>
      </c>
      <c r="D1604">
        <v>1467</v>
      </c>
      <c r="E1604">
        <v>1</v>
      </c>
      <c r="F1604">
        <v>2</v>
      </c>
      <c r="G1604" t="s">
        <v>17</v>
      </c>
      <c r="I1604" t="str">
        <f t="shared" si="27"/>
        <v>1467_1</v>
      </c>
      <c r="J1604" t="s">
        <v>294</v>
      </c>
      <c r="K1604" t="s">
        <v>19</v>
      </c>
      <c r="L1604" t="str">
        <f>_xlfn.XLOOKUP(C1604, Table2[Species],Table2[Genus], "Code Not Found")</f>
        <v>Acer</v>
      </c>
      <c r="M1604" t="str">
        <f>_xlfn.XLOOKUP(C1604, Table2[Species],Table2[Sp. Name], "Code Not Found")</f>
        <v>saccharum</v>
      </c>
      <c r="N1604" t="str">
        <f>_xlfn.XLOOKUP(C1604,Table2[Species],Table2[Family],"Code Not Found")</f>
        <v>Sapindaceae</v>
      </c>
      <c r="O1604" t="str" cm="1">
        <f t="array" ref="O1604">_xlfn.IFS(F1604="","",F1604&lt;=5,"0 to 5",F1604&lt;=10,"5.1 to 10",F1604&lt;=20,"10 to 20", F1604&lt;= 40, "20 to 40", F1604 &lt;= 50, "40 to 50", F1604 &gt; 50, "&gt;50" )</f>
        <v>0 to 5</v>
      </c>
    </row>
    <row r="1605" spans="1:15" ht="14.4" x14ac:dyDescent="0.3">
      <c r="A1605" t="s">
        <v>293</v>
      </c>
      <c r="B1605" s="1">
        <v>46199</v>
      </c>
      <c r="C1605" t="s">
        <v>16</v>
      </c>
      <c r="D1605">
        <v>1468</v>
      </c>
      <c r="E1605">
        <v>1</v>
      </c>
      <c r="F1605">
        <v>4</v>
      </c>
      <c r="G1605" t="s">
        <v>51</v>
      </c>
      <c r="H1605" t="s">
        <v>336</v>
      </c>
      <c r="I1605" t="str">
        <f t="shared" si="27"/>
        <v>1468_1</v>
      </c>
      <c r="J1605" t="s">
        <v>294</v>
      </c>
      <c r="K1605" t="s">
        <v>19</v>
      </c>
      <c r="L1605" t="str">
        <f>_xlfn.XLOOKUP(C1605, Table2[Species],Table2[Genus], "Code Not Found")</f>
        <v>Acer</v>
      </c>
      <c r="M1605" t="str">
        <f>_xlfn.XLOOKUP(C1605, Table2[Species],Table2[Sp. Name], "Code Not Found")</f>
        <v>saccharum</v>
      </c>
      <c r="N1605" t="str">
        <f>_xlfn.XLOOKUP(C1605,Table2[Species],Table2[Family],"Code Not Found")</f>
        <v>Sapindaceae</v>
      </c>
      <c r="O1605" t="str" cm="1">
        <f t="array" ref="O1605">_xlfn.IFS(F1605="","",F1605&lt;=5,"0 to 5",F1605&lt;=10,"5.1 to 10",F1605&lt;=20,"10 to 20", F1605&lt;= 40, "20 to 40", F1605 &lt;= 50, "40 to 50", F1605 &gt; 50, "&gt;50" )</f>
        <v>0 to 5</v>
      </c>
    </row>
    <row r="1606" spans="1:15" ht="14.4" x14ac:dyDescent="0.3">
      <c r="A1606" t="s">
        <v>293</v>
      </c>
      <c r="B1606" s="1">
        <v>46199</v>
      </c>
      <c r="C1606" t="s">
        <v>20</v>
      </c>
      <c r="D1606">
        <v>1469</v>
      </c>
      <c r="E1606">
        <v>1</v>
      </c>
      <c r="F1606">
        <v>7.3</v>
      </c>
      <c r="G1606" t="s">
        <v>139</v>
      </c>
      <c r="H1606" t="s">
        <v>337</v>
      </c>
      <c r="I1606" t="str">
        <f t="shared" si="27"/>
        <v>1469_1</v>
      </c>
      <c r="J1606" t="s">
        <v>294</v>
      </c>
      <c r="K1606" t="s">
        <v>19</v>
      </c>
      <c r="L1606" t="str">
        <f>_xlfn.XLOOKUP(C1606, Table2[Species],Table2[Genus], "Code Not Found")</f>
        <v>Prunus</v>
      </c>
      <c r="M1606" t="str">
        <f>_xlfn.XLOOKUP(C1606, Table2[Species],Table2[Sp. Name], "Code Not Found")</f>
        <v>serotina</v>
      </c>
      <c r="N1606" t="str">
        <f>_xlfn.XLOOKUP(C1606,Table2[Species],Table2[Family],"Code Not Found")</f>
        <v>Rosaceae</v>
      </c>
      <c r="O1606" t="str" cm="1">
        <f t="array" ref="O1606">_xlfn.IFS(F1606="","",F1606&lt;=5,"0 to 5",F1606&lt;=10,"5.1 to 10",F1606&lt;=20,"10 to 20", F1606&lt;= 40, "20 to 40", F1606 &lt;= 50, "40 to 50", F1606 &gt; 50, "&gt;50" )</f>
        <v>5.1 to 10</v>
      </c>
    </row>
    <row r="1607" spans="1:15" ht="14.4" x14ac:dyDescent="0.3">
      <c r="A1607" t="s">
        <v>293</v>
      </c>
      <c r="B1607" s="1">
        <v>46199</v>
      </c>
      <c r="C1607" t="s">
        <v>16</v>
      </c>
      <c r="D1607">
        <v>1470</v>
      </c>
      <c r="E1607">
        <v>1</v>
      </c>
      <c r="F1607">
        <v>5</v>
      </c>
      <c r="G1607" t="s">
        <v>21</v>
      </c>
      <c r="I1607" t="str">
        <f t="shared" si="27"/>
        <v>1470_1</v>
      </c>
      <c r="J1607" t="s">
        <v>294</v>
      </c>
      <c r="K1607" t="s">
        <v>19</v>
      </c>
      <c r="L1607" t="str">
        <f>_xlfn.XLOOKUP(C1607, Table2[Species],Table2[Genus], "Code Not Found")</f>
        <v>Acer</v>
      </c>
      <c r="M1607" t="str">
        <f>_xlfn.XLOOKUP(C1607, Table2[Species],Table2[Sp. Name], "Code Not Found")</f>
        <v>saccharum</v>
      </c>
      <c r="N1607" t="str">
        <f>_xlfn.XLOOKUP(C1607,Table2[Species],Table2[Family],"Code Not Found")</f>
        <v>Sapindaceae</v>
      </c>
      <c r="O1607" t="str" cm="1">
        <f t="array" ref="O1607">_xlfn.IFS(F1607="","",F1607&lt;=5,"0 to 5",F1607&lt;=10,"5.1 to 10",F1607&lt;=20,"10 to 20", F1607&lt;= 40, "20 to 40", F1607 &lt;= 50, "40 to 50", F1607 &gt; 50, "&gt;50" )</f>
        <v>0 to 5</v>
      </c>
    </row>
    <row r="1608" spans="1:15" ht="14.4" x14ac:dyDescent="0.3">
      <c r="A1608" t="s">
        <v>293</v>
      </c>
      <c r="B1608" s="1">
        <v>46199</v>
      </c>
      <c r="C1608" t="s">
        <v>16</v>
      </c>
      <c r="D1608">
        <v>1471</v>
      </c>
      <c r="E1608">
        <v>1</v>
      </c>
      <c r="F1608">
        <v>2.8</v>
      </c>
      <c r="G1608" t="s">
        <v>30</v>
      </c>
      <c r="H1608" t="s">
        <v>99</v>
      </c>
      <c r="I1608" t="str">
        <f t="shared" si="27"/>
        <v>1471_1</v>
      </c>
      <c r="J1608" t="s">
        <v>294</v>
      </c>
      <c r="K1608" t="s">
        <v>19</v>
      </c>
      <c r="L1608" t="str">
        <f>_xlfn.XLOOKUP(C1608, Table2[Species],Table2[Genus], "Code Not Found")</f>
        <v>Acer</v>
      </c>
      <c r="M1608" t="str">
        <f>_xlfn.XLOOKUP(C1608, Table2[Species],Table2[Sp. Name], "Code Not Found")</f>
        <v>saccharum</v>
      </c>
      <c r="N1608" t="str">
        <f>_xlfn.XLOOKUP(C1608,Table2[Species],Table2[Family],"Code Not Found")</f>
        <v>Sapindaceae</v>
      </c>
      <c r="O1608" t="str" cm="1">
        <f t="array" ref="O1608">_xlfn.IFS(F1608="","",F1608&lt;=5,"0 to 5",F1608&lt;=10,"5.1 to 10",F1608&lt;=20,"10 to 20", F1608&lt;= 40, "20 to 40", F1608 &lt;= 50, "40 to 50", F1608 &gt; 50, "&gt;50" )</f>
        <v>0 to 5</v>
      </c>
    </row>
    <row r="1609" spans="1:15" ht="14.4" x14ac:dyDescent="0.3">
      <c r="A1609" t="s">
        <v>293</v>
      </c>
      <c r="B1609" s="1">
        <v>46199</v>
      </c>
      <c r="C1609" t="s">
        <v>22</v>
      </c>
      <c r="D1609">
        <v>1472</v>
      </c>
      <c r="E1609">
        <v>1</v>
      </c>
      <c r="F1609">
        <v>5</v>
      </c>
      <c r="G1609" t="s">
        <v>17</v>
      </c>
      <c r="I1609" t="str">
        <f t="shared" si="27"/>
        <v>1472_1</v>
      </c>
      <c r="J1609" t="s">
        <v>294</v>
      </c>
      <c r="K1609" t="s">
        <v>19</v>
      </c>
      <c r="L1609" t="str">
        <f>_xlfn.XLOOKUP(C1609, Table2[Species],Table2[Genus], "Code Not Found")</f>
        <v>Acer</v>
      </c>
      <c r="M1609" t="str">
        <f>_xlfn.XLOOKUP(C1609, Table2[Species],Table2[Sp. Name], "Code Not Found")</f>
        <v>rubrum</v>
      </c>
      <c r="N1609" t="str">
        <f>_xlfn.XLOOKUP(C1609,Table2[Species],Table2[Family],"Code Not Found")</f>
        <v>Sapindaceae</v>
      </c>
      <c r="O1609" t="str" cm="1">
        <f t="array" ref="O1609">_xlfn.IFS(F1609="","",F1609&lt;=5,"0 to 5",F1609&lt;=10,"5.1 to 10",F1609&lt;=20,"10 to 20", F1609&lt;= 40, "20 to 40", F1609 &lt;= 50, "40 to 50", F1609 &gt; 50, "&gt;50" )</f>
        <v>0 to 5</v>
      </c>
    </row>
    <row r="1610" spans="1:15" ht="14.4" x14ac:dyDescent="0.3">
      <c r="A1610" t="s">
        <v>293</v>
      </c>
      <c r="B1610" s="1">
        <v>46199</v>
      </c>
      <c r="C1610" t="s">
        <v>16</v>
      </c>
      <c r="D1610">
        <v>1473</v>
      </c>
      <c r="E1610">
        <v>1</v>
      </c>
      <c r="F1610">
        <v>2.8</v>
      </c>
      <c r="G1610" t="s">
        <v>17</v>
      </c>
      <c r="H1610" t="s">
        <v>338</v>
      </c>
      <c r="I1610" t="str">
        <f t="shared" si="27"/>
        <v>1473_1</v>
      </c>
      <c r="J1610" t="s">
        <v>294</v>
      </c>
      <c r="K1610" t="s">
        <v>19</v>
      </c>
      <c r="L1610" t="str">
        <f>_xlfn.XLOOKUP(C1610, Table2[Species],Table2[Genus], "Code Not Found")</f>
        <v>Acer</v>
      </c>
      <c r="M1610" t="str">
        <f>_xlfn.XLOOKUP(C1610, Table2[Species],Table2[Sp. Name], "Code Not Found")</f>
        <v>saccharum</v>
      </c>
      <c r="N1610" t="str">
        <f>_xlfn.XLOOKUP(C1610,Table2[Species],Table2[Family],"Code Not Found")</f>
        <v>Sapindaceae</v>
      </c>
      <c r="O1610" t="str" cm="1">
        <f t="array" ref="O1610">_xlfn.IFS(F1610="","",F1610&lt;=5,"0 to 5",F1610&lt;=10,"5.1 to 10",F1610&lt;=20,"10 to 20", F1610&lt;= 40, "20 to 40", F1610 &lt;= 50, "40 to 50", F1610 &gt; 50, "&gt;50" )</f>
        <v>0 to 5</v>
      </c>
    </row>
    <row r="1611" spans="1:15" ht="14.4" x14ac:dyDescent="0.3">
      <c r="A1611" t="s">
        <v>293</v>
      </c>
      <c r="B1611" s="1">
        <v>46199</v>
      </c>
      <c r="C1611" t="s">
        <v>16</v>
      </c>
      <c r="D1611">
        <v>1474</v>
      </c>
      <c r="E1611">
        <v>1</v>
      </c>
      <c r="F1611">
        <v>52.8</v>
      </c>
      <c r="G1611" t="s">
        <v>139</v>
      </c>
      <c r="H1611" t="s">
        <v>99</v>
      </c>
      <c r="I1611" t="str">
        <f t="shared" si="27"/>
        <v>1474_1</v>
      </c>
      <c r="J1611" t="s">
        <v>294</v>
      </c>
      <c r="K1611" t="s">
        <v>19</v>
      </c>
      <c r="L1611" t="str">
        <f>_xlfn.XLOOKUP(C1611, Table2[Species],Table2[Genus], "Code Not Found")</f>
        <v>Acer</v>
      </c>
      <c r="M1611" t="str">
        <f>_xlfn.XLOOKUP(C1611, Table2[Species],Table2[Sp. Name], "Code Not Found")</f>
        <v>saccharum</v>
      </c>
      <c r="N1611" t="str">
        <f>_xlfn.XLOOKUP(C1611,Table2[Species],Table2[Family],"Code Not Found")</f>
        <v>Sapindaceae</v>
      </c>
      <c r="O1611" t="str" cm="1">
        <f t="array" ref="O1611">_xlfn.IFS(F1611="","",F1611&lt;=5,"0 to 5",F1611&lt;=10,"5.1 to 10",F1611&lt;=20,"10 to 20", F1611&lt;= 40, "20 to 40", F1611 &lt;= 50, "40 to 50", F1611 &gt; 50, "&gt;50" )</f>
        <v>&gt;50</v>
      </c>
    </row>
    <row r="1612" spans="1:15" ht="14.4" x14ac:dyDescent="0.3">
      <c r="A1612" t="s">
        <v>293</v>
      </c>
      <c r="B1612" s="1">
        <v>46199</v>
      </c>
      <c r="C1612" t="s">
        <v>55</v>
      </c>
      <c r="D1612">
        <v>1475</v>
      </c>
      <c r="E1612">
        <v>1</v>
      </c>
      <c r="F1612">
        <v>52.8</v>
      </c>
      <c r="G1612" t="s">
        <v>21</v>
      </c>
      <c r="I1612" t="str">
        <f t="shared" si="27"/>
        <v>1475_1</v>
      </c>
      <c r="J1612" t="s">
        <v>294</v>
      </c>
      <c r="K1612" t="s">
        <v>19</v>
      </c>
      <c r="L1612" t="str">
        <f>_xlfn.XLOOKUP(C1612, Table2[Species],Table2[Genus], "Code Not Found")</f>
        <v>Magnolia</v>
      </c>
      <c r="M1612" t="str">
        <f>_xlfn.XLOOKUP(C1612, Table2[Species],Table2[Sp. Name], "Code Not Found")</f>
        <v>acuminata</v>
      </c>
      <c r="N1612" t="str">
        <f>_xlfn.XLOOKUP(C1612,Table2[Species],Table2[Family],"Code Not Found")</f>
        <v>Magnoliaceae</v>
      </c>
      <c r="O1612" t="str" cm="1">
        <f t="array" ref="O1612">_xlfn.IFS(F1612="","",F1612&lt;=5,"0 to 5",F1612&lt;=10,"5.1 to 10",F1612&lt;=20,"10 to 20", F1612&lt;= 40, "20 to 40", F1612 &lt;= 50, "40 to 50", F1612 &gt; 50, "&gt;50" )</f>
        <v>&gt;50</v>
      </c>
    </row>
    <row r="1613" spans="1:15" ht="14.4" x14ac:dyDescent="0.3">
      <c r="A1613" t="s">
        <v>293</v>
      </c>
      <c r="B1613" s="1">
        <v>46199</v>
      </c>
      <c r="C1613" t="s">
        <v>312</v>
      </c>
      <c r="D1613">
        <v>1476</v>
      </c>
      <c r="E1613">
        <v>1</v>
      </c>
      <c r="F1613">
        <v>6.1</v>
      </c>
      <c r="G1613" t="s">
        <v>47</v>
      </c>
      <c r="I1613" t="str">
        <f t="shared" si="27"/>
        <v>1476_1</v>
      </c>
      <c r="J1613" t="s">
        <v>294</v>
      </c>
      <c r="K1613" t="s">
        <v>19</v>
      </c>
      <c r="L1613" t="str">
        <f>_xlfn.XLOOKUP(C1613, Table2[Species],Table2[Genus], "Code Not Found")</f>
        <v>Fraxinus</v>
      </c>
      <c r="M1613" t="str">
        <f>_xlfn.XLOOKUP(C1613, Table2[Species],Table2[Sp. Name], "Code Not Found")</f>
        <v>species</v>
      </c>
      <c r="N1613" t="str">
        <f>_xlfn.XLOOKUP(C1613,Table2[Species],Table2[Family],"Code Not Found")</f>
        <v>Oleaceae</v>
      </c>
      <c r="O1613" t="str" cm="1">
        <f t="array" ref="O1613">_xlfn.IFS(F1613="","",F1613&lt;=5,"0 to 5",F1613&lt;=10,"5.1 to 10",F1613&lt;=20,"10 to 20", F1613&lt;= 40, "20 to 40", F1613 &lt;= 50, "40 to 50", F1613 &gt; 50, "&gt;50" )</f>
        <v>5.1 to 10</v>
      </c>
    </row>
    <row r="1614" spans="1:15" ht="14.4" x14ac:dyDescent="0.3">
      <c r="A1614" t="s">
        <v>293</v>
      </c>
      <c r="B1614" s="1">
        <v>46199</v>
      </c>
      <c r="C1614" t="s">
        <v>16</v>
      </c>
      <c r="D1614">
        <v>1477</v>
      </c>
      <c r="E1614">
        <v>1</v>
      </c>
      <c r="F1614">
        <v>5.2</v>
      </c>
      <c r="G1614" t="s">
        <v>30</v>
      </c>
      <c r="H1614" t="s">
        <v>99</v>
      </c>
      <c r="I1614" t="str">
        <f t="shared" si="27"/>
        <v>1477_1</v>
      </c>
      <c r="J1614" t="s">
        <v>294</v>
      </c>
      <c r="K1614" t="s">
        <v>19</v>
      </c>
      <c r="L1614" t="str">
        <f>_xlfn.XLOOKUP(C1614, Table2[Species],Table2[Genus], "Code Not Found")</f>
        <v>Acer</v>
      </c>
      <c r="M1614" t="str">
        <f>_xlfn.XLOOKUP(C1614, Table2[Species],Table2[Sp. Name], "Code Not Found")</f>
        <v>saccharum</v>
      </c>
      <c r="N1614" t="str">
        <f>_xlfn.XLOOKUP(C1614,Table2[Species],Table2[Family],"Code Not Found")</f>
        <v>Sapindaceae</v>
      </c>
      <c r="O1614" t="str" cm="1">
        <f t="array" ref="O1614">_xlfn.IFS(F1614="","",F1614&lt;=5,"0 to 5",F1614&lt;=10,"5.1 to 10",F1614&lt;=20,"10 to 20", F1614&lt;= 40, "20 to 40", F1614 &lt;= 50, "40 to 50", F1614 &gt; 50, "&gt;50" )</f>
        <v>5.1 to 10</v>
      </c>
    </row>
    <row r="1615" spans="1:15" ht="14.4" x14ac:dyDescent="0.3">
      <c r="A1615" t="s">
        <v>293</v>
      </c>
      <c r="B1615" s="1">
        <v>46199</v>
      </c>
      <c r="C1615" t="s">
        <v>16</v>
      </c>
      <c r="D1615">
        <v>1478</v>
      </c>
      <c r="E1615">
        <v>1</v>
      </c>
      <c r="F1615">
        <v>6.8</v>
      </c>
      <c r="G1615" t="s">
        <v>30</v>
      </c>
      <c r="H1615" t="s">
        <v>99</v>
      </c>
      <c r="I1615" t="str">
        <f t="shared" si="27"/>
        <v>1478_1</v>
      </c>
      <c r="J1615" t="s">
        <v>294</v>
      </c>
      <c r="K1615" t="s">
        <v>19</v>
      </c>
      <c r="L1615" t="str">
        <f>_xlfn.XLOOKUP(C1615, Table2[Species],Table2[Genus], "Code Not Found")</f>
        <v>Acer</v>
      </c>
      <c r="M1615" t="str">
        <f>_xlfn.XLOOKUP(C1615, Table2[Species],Table2[Sp. Name], "Code Not Found")</f>
        <v>saccharum</v>
      </c>
      <c r="N1615" t="str">
        <f>_xlfn.XLOOKUP(C1615,Table2[Species],Table2[Family],"Code Not Found")</f>
        <v>Sapindaceae</v>
      </c>
      <c r="O1615" t="str" cm="1">
        <f t="array" ref="O1615">_xlfn.IFS(F1615="","",F1615&lt;=5,"0 to 5",F1615&lt;=10,"5.1 to 10",F1615&lt;=20,"10 to 20", F1615&lt;= 40, "20 to 40", F1615 &lt;= 50, "40 to 50", F1615 &gt; 50, "&gt;50" )</f>
        <v>5.1 to 10</v>
      </c>
    </row>
    <row r="1616" spans="1:15" ht="14.4" x14ac:dyDescent="0.3">
      <c r="A1616" t="s">
        <v>293</v>
      </c>
      <c r="B1616" s="1">
        <v>46199</v>
      </c>
      <c r="C1616" t="s">
        <v>16</v>
      </c>
      <c r="D1616">
        <v>1479</v>
      </c>
      <c r="E1616">
        <v>1</v>
      </c>
      <c r="F1616">
        <v>2.7</v>
      </c>
      <c r="G1616" t="s">
        <v>21</v>
      </c>
      <c r="I1616" t="str">
        <f t="shared" si="27"/>
        <v>1479_1</v>
      </c>
      <c r="J1616" t="s">
        <v>294</v>
      </c>
      <c r="K1616" t="s">
        <v>19</v>
      </c>
      <c r="L1616" t="str">
        <f>_xlfn.XLOOKUP(C1616, Table2[Species],Table2[Genus], "Code Not Found")</f>
        <v>Acer</v>
      </c>
      <c r="M1616" t="str">
        <f>_xlfn.XLOOKUP(C1616, Table2[Species],Table2[Sp. Name], "Code Not Found")</f>
        <v>saccharum</v>
      </c>
      <c r="N1616" t="str">
        <f>_xlfn.XLOOKUP(C1616,Table2[Species],Table2[Family],"Code Not Found")</f>
        <v>Sapindaceae</v>
      </c>
      <c r="O1616" t="str" cm="1">
        <f t="array" ref="O1616">_xlfn.IFS(F1616="","",F1616&lt;=5,"0 to 5",F1616&lt;=10,"5.1 to 10",F1616&lt;=20,"10 to 20", F1616&lt;= 40, "20 to 40", F1616 &lt;= 50, "40 to 50", F1616 &gt; 50, "&gt;50" )</f>
        <v>0 to 5</v>
      </c>
    </row>
    <row r="1617" spans="1:15" ht="14.4" x14ac:dyDescent="0.3">
      <c r="A1617" t="s">
        <v>293</v>
      </c>
      <c r="B1617" s="1">
        <v>46199</v>
      </c>
      <c r="C1617" t="s">
        <v>16</v>
      </c>
      <c r="D1617">
        <v>1480</v>
      </c>
      <c r="E1617">
        <v>1</v>
      </c>
      <c r="F1617">
        <v>4.2</v>
      </c>
      <c r="G1617" t="s">
        <v>17</v>
      </c>
      <c r="H1617" t="s">
        <v>36</v>
      </c>
      <c r="I1617" t="str">
        <f t="shared" si="27"/>
        <v>1480_1</v>
      </c>
      <c r="J1617" t="s">
        <v>294</v>
      </c>
      <c r="K1617" t="s">
        <v>19</v>
      </c>
      <c r="L1617" t="str">
        <f>_xlfn.XLOOKUP(C1617, Table2[Species],Table2[Genus], "Code Not Found")</f>
        <v>Acer</v>
      </c>
      <c r="M1617" t="str">
        <f>_xlfn.XLOOKUP(C1617, Table2[Species],Table2[Sp. Name], "Code Not Found")</f>
        <v>saccharum</v>
      </c>
      <c r="N1617" t="str">
        <f>_xlfn.XLOOKUP(C1617,Table2[Species],Table2[Family],"Code Not Found")</f>
        <v>Sapindaceae</v>
      </c>
      <c r="O1617" t="str" cm="1">
        <f t="array" ref="O1617">_xlfn.IFS(F1617="","",F1617&lt;=5,"0 to 5",F1617&lt;=10,"5.1 to 10",F1617&lt;=20,"10 to 20", F1617&lt;= 40, "20 to 40", F1617 &lt;= 50, "40 to 50", F1617 &gt; 50, "&gt;50" )</f>
        <v>0 to 5</v>
      </c>
    </row>
    <row r="1618" spans="1:15" ht="14.4" x14ac:dyDescent="0.3">
      <c r="A1618" t="s">
        <v>293</v>
      </c>
      <c r="B1618" s="1">
        <v>46199</v>
      </c>
      <c r="C1618" t="s">
        <v>16</v>
      </c>
      <c r="D1618">
        <v>1481</v>
      </c>
      <c r="E1618">
        <v>1</v>
      </c>
      <c r="F1618">
        <v>4.9000000000000004</v>
      </c>
      <c r="G1618" t="s">
        <v>88</v>
      </c>
      <c r="H1618" t="s">
        <v>133</v>
      </c>
      <c r="I1618" t="str">
        <f t="shared" si="27"/>
        <v>1481_1</v>
      </c>
      <c r="J1618" t="s">
        <v>294</v>
      </c>
      <c r="K1618" t="s">
        <v>19</v>
      </c>
      <c r="L1618" t="str">
        <f>_xlfn.XLOOKUP(C1618, Table2[Species],Table2[Genus], "Code Not Found")</f>
        <v>Acer</v>
      </c>
      <c r="M1618" t="str">
        <f>_xlfn.XLOOKUP(C1618, Table2[Species],Table2[Sp. Name], "Code Not Found")</f>
        <v>saccharum</v>
      </c>
      <c r="N1618" t="str">
        <f>_xlfn.XLOOKUP(C1618,Table2[Species],Table2[Family],"Code Not Found")</f>
        <v>Sapindaceae</v>
      </c>
      <c r="O1618" t="str" cm="1">
        <f t="array" ref="O1618">_xlfn.IFS(F1618="","",F1618&lt;=5,"0 to 5",F1618&lt;=10,"5.1 to 10",F1618&lt;=20,"10 to 20", F1618&lt;= 40, "20 to 40", F1618 &lt;= 50, "40 to 50", F1618 &gt; 50, "&gt;50" )</f>
        <v>0 to 5</v>
      </c>
    </row>
    <row r="1619" spans="1:15" ht="14.4" x14ac:dyDescent="0.3">
      <c r="A1619" t="s">
        <v>293</v>
      </c>
      <c r="B1619" s="1">
        <v>46199</v>
      </c>
      <c r="C1619" t="s">
        <v>16</v>
      </c>
      <c r="D1619">
        <v>1482</v>
      </c>
      <c r="E1619">
        <v>1</v>
      </c>
      <c r="F1619">
        <v>3.9</v>
      </c>
      <c r="G1619" t="s">
        <v>17</v>
      </c>
      <c r="H1619" t="s">
        <v>36</v>
      </c>
      <c r="I1619" t="str">
        <f t="shared" si="27"/>
        <v>1482_1</v>
      </c>
      <c r="J1619" t="s">
        <v>294</v>
      </c>
      <c r="K1619" t="s">
        <v>19</v>
      </c>
      <c r="L1619" t="str">
        <f>_xlfn.XLOOKUP(C1619, Table2[Species],Table2[Genus], "Code Not Found")</f>
        <v>Acer</v>
      </c>
      <c r="M1619" t="str">
        <f>_xlfn.XLOOKUP(C1619, Table2[Species],Table2[Sp. Name], "Code Not Found")</f>
        <v>saccharum</v>
      </c>
      <c r="N1619" t="str">
        <f>_xlfn.XLOOKUP(C1619,Table2[Species],Table2[Family],"Code Not Found")</f>
        <v>Sapindaceae</v>
      </c>
      <c r="O1619" t="str" cm="1">
        <f t="array" ref="O1619">_xlfn.IFS(F1619="","",F1619&lt;=5,"0 to 5",F1619&lt;=10,"5.1 to 10",F1619&lt;=20,"10 to 20", F1619&lt;= 40, "20 to 40", F1619 &lt;= 50, "40 to 50", F1619 &gt; 50, "&gt;50" )</f>
        <v>0 to 5</v>
      </c>
    </row>
    <row r="1620" spans="1:15" ht="14.4" x14ac:dyDescent="0.3">
      <c r="A1620" t="s">
        <v>293</v>
      </c>
      <c r="B1620" s="1">
        <v>46199</v>
      </c>
      <c r="C1620" t="s">
        <v>16</v>
      </c>
      <c r="D1620">
        <v>1483</v>
      </c>
      <c r="E1620">
        <v>1</v>
      </c>
      <c r="F1620">
        <v>20.7</v>
      </c>
      <c r="G1620" t="s">
        <v>17</v>
      </c>
      <c r="I1620" t="str">
        <f t="shared" si="27"/>
        <v>1483_1</v>
      </c>
      <c r="J1620" t="s">
        <v>294</v>
      </c>
      <c r="K1620" t="s">
        <v>19</v>
      </c>
      <c r="L1620" t="str">
        <f>_xlfn.XLOOKUP(C1620, Table2[Species],Table2[Genus], "Code Not Found")</f>
        <v>Acer</v>
      </c>
      <c r="M1620" t="str">
        <f>_xlfn.XLOOKUP(C1620, Table2[Species],Table2[Sp. Name], "Code Not Found")</f>
        <v>saccharum</v>
      </c>
      <c r="N1620" t="str">
        <f>_xlfn.XLOOKUP(C1620,Table2[Species],Table2[Family],"Code Not Found")</f>
        <v>Sapindaceae</v>
      </c>
      <c r="O1620" t="str" cm="1">
        <f t="array" ref="O1620">_xlfn.IFS(F1620="","",F1620&lt;=5,"0 to 5",F1620&lt;=10,"5.1 to 10",F1620&lt;=20,"10 to 20", F1620&lt;= 40, "20 to 40", F1620 &lt;= 50, "40 to 50", F1620 &gt; 50, "&gt;50" )</f>
        <v>20 to 40</v>
      </c>
    </row>
    <row r="1621" spans="1:15" ht="14.4" x14ac:dyDescent="0.3">
      <c r="A1621" t="s">
        <v>293</v>
      </c>
      <c r="B1621" s="1">
        <v>46199</v>
      </c>
      <c r="C1621" t="s">
        <v>16</v>
      </c>
      <c r="D1621">
        <v>1484</v>
      </c>
      <c r="E1621">
        <v>1</v>
      </c>
      <c r="F1621">
        <v>17.600000000000001</v>
      </c>
      <c r="G1621" t="s">
        <v>17</v>
      </c>
      <c r="I1621" t="str">
        <f t="shared" si="27"/>
        <v>1484_1</v>
      </c>
      <c r="J1621" t="s">
        <v>294</v>
      </c>
      <c r="K1621" t="s">
        <v>19</v>
      </c>
      <c r="L1621" t="str">
        <f>_xlfn.XLOOKUP(C1621, Table2[Species],Table2[Genus], "Code Not Found")</f>
        <v>Acer</v>
      </c>
      <c r="M1621" t="str">
        <f>_xlfn.XLOOKUP(C1621, Table2[Species],Table2[Sp. Name], "Code Not Found")</f>
        <v>saccharum</v>
      </c>
      <c r="N1621" t="str">
        <f>_xlfn.XLOOKUP(C1621,Table2[Species],Table2[Family],"Code Not Found")</f>
        <v>Sapindaceae</v>
      </c>
      <c r="O1621" t="str" cm="1">
        <f t="array" ref="O1621">_xlfn.IFS(F1621="","",F1621&lt;=5,"0 to 5",F1621&lt;=10,"5.1 to 10",F1621&lt;=20,"10 to 20", F1621&lt;= 40, "20 to 40", F1621 &lt;= 50, "40 to 50", F1621 &gt; 50, "&gt;50" )</f>
        <v>10 to 20</v>
      </c>
    </row>
    <row r="1622" spans="1:15" ht="14.4" x14ac:dyDescent="0.3">
      <c r="A1622" t="s">
        <v>293</v>
      </c>
      <c r="B1622" s="1">
        <v>46199</v>
      </c>
      <c r="C1622" t="s">
        <v>16</v>
      </c>
      <c r="D1622">
        <v>1485</v>
      </c>
      <c r="E1622">
        <v>1</v>
      </c>
      <c r="F1622">
        <v>4.2</v>
      </c>
      <c r="G1622" t="s">
        <v>17</v>
      </c>
      <c r="I1622" t="str">
        <f t="shared" si="27"/>
        <v>1485_1</v>
      </c>
      <c r="J1622" t="s">
        <v>294</v>
      </c>
      <c r="K1622" t="s">
        <v>19</v>
      </c>
      <c r="L1622" t="str">
        <f>_xlfn.XLOOKUP(C1622, Table2[Species],Table2[Genus], "Code Not Found")</f>
        <v>Acer</v>
      </c>
      <c r="M1622" t="str">
        <f>_xlfn.XLOOKUP(C1622, Table2[Species],Table2[Sp. Name], "Code Not Found")</f>
        <v>saccharum</v>
      </c>
      <c r="N1622" t="str">
        <f>_xlfn.XLOOKUP(C1622,Table2[Species],Table2[Family],"Code Not Found")</f>
        <v>Sapindaceae</v>
      </c>
      <c r="O1622" t="str" cm="1">
        <f t="array" ref="O1622">_xlfn.IFS(F1622="","",F1622&lt;=5,"0 to 5",F1622&lt;=10,"5.1 to 10",F1622&lt;=20,"10 to 20", F1622&lt;= 40, "20 to 40", F1622 &lt;= 50, "40 to 50", F1622 &gt; 50, "&gt;50" )</f>
        <v>0 to 5</v>
      </c>
    </row>
    <row r="1623" spans="1:15" ht="14.4" x14ac:dyDescent="0.3">
      <c r="A1623" t="s">
        <v>293</v>
      </c>
      <c r="B1623" s="1">
        <v>46199</v>
      </c>
      <c r="C1623" t="s">
        <v>16</v>
      </c>
      <c r="D1623">
        <v>1486</v>
      </c>
      <c r="E1623">
        <v>1</v>
      </c>
      <c r="F1623">
        <v>4.5999999999999996</v>
      </c>
      <c r="G1623" t="s">
        <v>21</v>
      </c>
      <c r="I1623" t="str">
        <f t="shared" si="27"/>
        <v>1486_1</v>
      </c>
      <c r="J1623" t="s">
        <v>294</v>
      </c>
      <c r="K1623" t="s">
        <v>19</v>
      </c>
      <c r="L1623" t="str">
        <f>_xlfn.XLOOKUP(C1623, Table2[Species],Table2[Genus], "Code Not Found")</f>
        <v>Acer</v>
      </c>
      <c r="M1623" t="str">
        <f>_xlfn.XLOOKUP(C1623, Table2[Species],Table2[Sp. Name], "Code Not Found")</f>
        <v>saccharum</v>
      </c>
      <c r="N1623" t="str">
        <f>_xlfn.XLOOKUP(C1623,Table2[Species],Table2[Family],"Code Not Found")</f>
        <v>Sapindaceae</v>
      </c>
      <c r="O1623" t="str" cm="1">
        <f t="array" ref="O1623">_xlfn.IFS(F1623="","",F1623&lt;=5,"0 to 5",F1623&lt;=10,"5.1 to 10",F1623&lt;=20,"10 to 20", F1623&lt;= 40, "20 to 40", F1623 &lt;= 50, "40 to 50", F1623 &gt; 50, "&gt;50" )</f>
        <v>0 to 5</v>
      </c>
    </row>
    <row r="1624" spans="1:15" ht="14.4" x14ac:dyDescent="0.3">
      <c r="A1624" t="s">
        <v>293</v>
      </c>
      <c r="B1624" s="1">
        <v>46199</v>
      </c>
      <c r="C1624" t="s">
        <v>16</v>
      </c>
      <c r="D1624">
        <v>1487</v>
      </c>
      <c r="E1624">
        <v>1</v>
      </c>
      <c r="F1624">
        <v>4.2</v>
      </c>
      <c r="G1624" t="s">
        <v>47</v>
      </c>
      <c r="H1624" t="s">
        <v>296</v>
      </c>
      <c r="I1624" t="str">
        <f t="shared" si="27"/>
        <v>1487_1</v>
      </c>
      <c r="J1624" t="s">
        <v>294</v>
      </c>
      <c r="K1624" t="s">
        <v>19</v>
      </c>
      <c r="L1624" t="str">
        <f>_xlfn.XLOOKUP(C1624, Table2[Species],Table2[Genus], "Code Not Found")</f>
        <v>Acer</v>
      </c>
      <c r="M1624" t="str">
        <f>_xlfn.XLOOKUP(C1624, Table2[Species],Table2[Sp. Name], "Code Not Found")</f>
        <v>saccharum</v>
      </c>
      <c r="N1624" t="str">
        <f>_xlfn.XLOOKUP(C1624,Table2[Species],Table2[Family],"Code Not Found")</f>
        <v>Sapindaceae</v>
      </c>
      <c r="O1624" t="str" cm="1">
        <f t="array" ref="O1624">_xlfn.IFS(F1624="","",F1624&lt;=5,"0 to 5",F1624&lt;=10,"5.1 to 10",F1624&lt;=20,"10 to 20", F1624&lt;= 40, "20 to 40", F1624 &lt;= 50, "40 to 50", F1624 &gt; 50, "&gt;50" )</f>
        <v>0 to 5</v>
      </c>
    </row>
    <row r="1625" spans="1:15" ht="14.4" x14ac:dyDescent="0.3">
      <c r="A1625" t="s">
        <v>293</v>
      </c>
      <c r="B1625" s="1">
        <v>46199</v>
      </c>
      <c r="C1625" t="s">
        <v>16</v>
      </c>
      <c r="D1625">
        <v>1488</v>
      </c>
      <c r="E1625">
        <v>1</v>
      </c>
      <c r="F1625">
        <v>10.6</v>
      </c>
      <c r="G1625" t="s">
        <v>21</v>
      </c>
      <c r="I1625" t="str">
        <f t="shared" si="27"/>
        <v>1488_1</v>
      </c>
      <c r="J1625" t="s">
        <v>294</v>
      </c>
      <c r="K1625" t="s">
        <v>19</v>
      </c>
      <c r="L1625" t="str">
        <f>_xlfn.XLOOKUP(C1625, Table2[Species],Table2[Genus], "Code Not Found")</f>
        <v>Acer</v>
      </c>
      <c r="M1625" t="str">
        <f>_xlfn.XLOOKUP(C1625, Table2[Species],Table2[Sp. Name], "Code Not Found")</f>
        <v>saccharum</v>
      </c>
      <c r="N1625" t="str">
        <f>_xlfn.XLOOKUP(C1625,Table2[Species],Table2[Family],"Code Not Found")</f>
        <v>Sapindaceae</v>
      </c>
      <c r="O1625" t="str" cm="1">
        <f t="array" ref="O1625">_xlfn.IFS(F1625="","",F1625&lt;=5,"0 to 5",F1625&lt;=10,"5.1 to 10",F1625&lt;=20,"10 to 20", F1625&lt;= 40, "20 to 40", F1625 &lt;= 50, "40 to 50", F1625 &gt; 50, "&gt;50" )</f>
        <v>10 to 20</v>
      </c>
    </row>
    <row r="1626" spans="1:15" ht="14.4" x14ac:dyDescent="0.3">
      <c r="A1626" t="s">
        <v>293</v>
      </c>
      <c r="B1626" s="1">
        <v>46199</v>
      </c>
      <c r="C1626" t="s">
        <v>16</v>
      </c>
      <c r="D1626">
        <v>1489</v>
      </c>
      <c r="E1626">
        <v>1</v>
      </c>
      <c r="F1626">
        <v>5.0999999999999996</v>
      </c>
      <c r="G1626" t="s">
        <v>21</v>
      </c>
      <c r="I1626" t="str">
        <f t="shared" si="27"/>
        <v>1489_1</v>
      </c>
      <c r="J1626" t="s">
        <v>294</v>
      </c>
      <c r="K1626" t="s">
        <v>19</v>
      </c>
      <c r="L1626" t="str">
        <f>_xlfn.XLOOKUP(C1626, Table2[Species],Table2[Genus], "Code Not Found")</f>
        <v>Acer</v>
      </c>
      <c r="M1626" t="str">
        <f>_xlfn.XLOOKUP(C1626, Table2[Species],Table2[Sp. Name], "Code Not Found")</f>
        <v>saccharum</v>
      </c>
      <c r="N1626" t="str">
        <f>_xlfn.XLOOKUP(C1626,Table2[Species],Table2[Family],"Code Not Found")</f>
        <v>Sapindaceae</v>
      </c>
      <c r="O1626" t="str" cm="1">
        <f t="array" ref="O1626">_xlfn.IFS(F1626="","",F1626&lt;=5,"0 to 5",F1626&lt;=10,"5.1 to 10",F1626&lt;=20,"10 to 20", F1626&lt;= 40, "20 to 40", F1626 &lt;= 50, "40 to 50", F1626 &gt; 50, "&gt;50" )</f>
        <v>5.1 to 10</v>
      </c>
    </row>
    <row r="1627" spans="1:15" ht="14.4" x14ac:dyDescent="0.3">
      <c r="A1627" t="s">
        <v>293</v>
      </c>
      <c r="B1627" s="1">
        <v>46199</v>
      </c>
      <c r="C1627" t="s">
        <v>16</v>
      </c>
      <c r="D1627">
        <v>1490</v>
      </c>
      <c r="E1627">
        <v>1</v>
      </c>
      <c r="F1627">
        <v>2.2999999999999998</v>
      </c>
      <c r="G1627" t="s">
        <v>47</v>
      </c>
      <c r="I1627" t="str">
        <f t="shared" si="27"/>
        <v>1490_1</v>
      </c>
      <c r="J1627" t="s">
        <v>294</v>
      </c>
      <c r="K1627" t="s">
        <v>19</v>
      </c>
      <c r="L1627" t="str">
        <f>_xlfn.XLOOKUP(C1627, Table2[Species],Table2[Genus], "Code Not Found")</f>
        <v>Acer</v>
      </c>
      <c r="M1627" t="str">
        <f>_xlfn.XLOOKUP(C1627, Table2[Species],Table2[Sp. Name], "Code Not Found")</f>
        <v>saccharum</v>
      </c>
      <c r="N1627" t="str">
        <f>_xlfn.XLOOKUP(C1627,Table2[Species],Table2[Family],"Code Not Found")</f>
        <v>Sapindaceae</v>
      </c>
      <c r="O1627" t="str" cm="1">
        <f t="array" ref="O1627">_xlfn.IFS(F1627="","",F1627&lt;=5,"0 to 5",F1627&lt;=10,"5.1 to 10",F1627&lt;=20,"10 to 20", F1627&lt;= 40, "20 to 40", F1627 &lt;= 50, "40 to 50", F1627 &gt; 50, "&gt;50" )</f>
        <v>0 to 5</v>
      </c>
    </row>
    <row r="1628" spans="1:15" ht="14.4" x14ac:dyDescent="0.3">
      <c r="A1628" t="s">
        <v>293</v>
      </c>
      <c r="B1628" s="1">
        <v>46199</v>
      </c>
      <c r="C1628" t="s">
        <v>20</v>
      </c>
      <c r="D1628">
        <v>1491</v>
      </c>
      <c r="E1628">
        <v>1</v>
      </c>
      <c r="F1628">
        <v>69.3</v>
      </c>
      <c r="G1628" t="s">
        <v>17</v>
      </c>
      <c r="I1628" t="str">
        <f t="shared" si="27"/>
        <v>1491_1</v>
      </c>
      <c r="J1628" t="s">
        <v>294</v>
      </c>
      <c r="K1628" t="s">
        <v>19</v>
      </c>
      <c r="L1628" t="str">
        <f>_xlfn.XLOOKUP(C1628, Table2[Species],Table2[Genus], "Code Not Found")</f>
        <v>Prunus</v>
      </c>
      <c r="M1628" t="str">
        <f>_xlfn.XLOOKUP(C1628, Table2[Species],Table2[Sp. Name], "Code Not Found")</f>
        <v>serotina</v>
      </c>
      <c r="N1628" t="str">
        <f>_xlfn.XLOOKUP(C1628,Table2[Species],Table2[Family],"Code Not Found")</f>
        <v>Rosaceae</v>
      </c>
      <c r="O1628" t="str" cm="1">
        <f t="array" ref="O1628">_xlfn.IFS(F1628="","",F1628&lt;=5,"0 to 5",F1628&lt;=10,"5.1 to 10",F1628&lt;=20,"10 to 20", F1628&lt;= 40, "20 to 40", F1628 &lt;= 50, "40 to 50", F1628 &gt; 50, "&gt;50" )</f>
        <v>&gt;50</v>
      </c>
    </row>
    <row r="1629" spans="1:15" ht="14.4" x14ac:dyDescent="0.3">
      <c r="A1629" t="s">
        <v>293</v>
      </c>
      <c r="B1629" s="1">
        <v>46199</v>
      </c>
      <c r="C1629" t="s">
        <v>64</v>
      </c>
      <c r="D1629">
        <v>1492</v>
      </c>
      <c r="E1629">
        <v>1</v>
      </c>
      <c r="F1629">
        <v>35</v>
      </c>
      <c r="G1629" t="s">
        <v>21</v>
      </c>
      <c r="I1629" t="str">
        <f t="shared" si="27"/>
        <v>1492_1</v>
      </c>
      <c r="J1629" t="s">
        <v>294</v>
      </c>
      <c r="K1629" t="s">
        <v>19</v>
      </c>
      <c r="L1629" t="str">
        <f>_xlfn.XLOOKUP(C1629, Table2[Species],Table2[Genus], "Code Not Found")</f>
        <v>Fagus</v>
      </c>
      <c r="M1629" t="str">
        <f>_xlfn.XLOOKUP(C1629, Table2[Species],Table2[Sp. Name], "Code Not Found")</f>
        <v>grandifolia</v>
      </c>
      <c r="N1629" t="str">
        <f>_xlfn.XLOOKUP(C1629,Table2[Species],Table2[Family],"Code Not Found")</f>
        <v>Fagaceae</v>
      </c>
      <c r="O1629" t="str" cm="1">
        <f t="array" ref="O1629">_xlfn.IFS(F1629="","",F1629&lt;=5,"0 to 5",F1629&lt;=10,"5.1 to 10",F1629&lt;=20,"10 to 20", F1629&lt;= 40, "20 to 40", F1629 &lt;= 50, "40 to 50", F1629 &gt; 50, "&gt;50" )</f>
        <v>20 to 40</v>
      </c>
    </row>
    <row r="1630" spans="1:15" ht="14.4" x14ac:dyDescent="0.3">
      <c r="A1630" t="s">
        <v>293</v>
      </c>
      <c r="B1630" s="1">
        <v>46199</v>
      </c>
      <c r="C1630" t="s">
        <v>16</v>
      </c>
      <c r="D1630">
        <v>1493</v>
      </c>
      <c r="E1630">
        <v>1</v>
      </c>
      <c r="F1630">
        <v>6.3</v>
      </c>
      <c r="G1630" t="s">
        <v>30</v>
      </c>
      <c r="H1630" t="s">
        <v>99</v>
      </c>
      <c r="I1630" t="str">
        <f t="shared" si="27"/>
        <v>1493_1</v>
      </c>
      <c r="J1630" t="s">
        <v>294</v>
      </c>
      <c r="K1630" t="s">
        <v>19</v>
      </c>
      <c r="L1630" t="str">
        <f>_xlfn.XLOOKUP(C1630, Table2[Species],Table2[Genus], "Code Not Found")</f>
        <v>Acer</v>
      </c>
      <c r="M1630" t="str">
        <f>_xlfn.XLOOKUP(C1630, Table2[Species],Table2[Sp. Name], "Code Not Found")</f>
        <v>saccharum</v>
      </c>
      <c r="N1630" t="str">
        <f>_xlfn.XLOOKUP(C1630,Table2[Species],Table2[Family],"Code Not Found")</f>
        <v>Sapindaceae</v>
      </c>
      <c r="O1630" t="str" cm="1">
        <f t="array" ref="O1630">_xlfn.IFS(F1630="","",F1630&lt;=5,"0 to 5",F1630&lt;=10,"5.1 to 10",F1630&lt;=20,"10 to 20", F1630&lt;= 40, "20 to 40", F1630 &lt;= 50, "40 to 50", F1630 &gt; 50, "&gt;50" )</f>
        <v>5.1 to 10</v>
      </c>
    </row>
    <row r="1631" spans="1:15" ht="14.4" x14ac:dyDescent="0.3">
      <c r="A1631" t="s">
        <v>293</v>
      </c>
      <c r="B1631" s="1">
        <v>46199</v>
      </c>
      <c r="C1631" t="s">
        <v>16</v>
      </c>
      <c r="D1631">
        <v>1494</v>
      </c>
      <c r="E1631">
        <v>1</v>
      </c>
      <c r="F1631">
        <v>4.3</v>
      </c>
      <c r="G1631" t="s">
        <v>21</v>
      </c>
      <c r="I1631" t="str">
        <f t="shared" si="27"/>
        <v>1494_1</v>
      </c>
      <c r="J1631" t="s">
        <v>294</v>
      </c>
      <c r="K1631" t="s">
        <v>19</v>
      </c>
      <c r="L1631" t="str">
        <f>_xlfn.XLOOKUP(C1631, Table2[Species],Table2[Genus], "Code Not Found")</f>
        <v>Acer</v>
      </c>
      <c r="M1631" t="str">
        <f>_xlfn.XLOOKUP(C1631, Table2[Species],Table2[Sp. Name], "Code Not Found")</f>
        <v>saccharum</v>
      </c>
      <c r="N1631" t="str">
        <f>_xlfn.XLOOKUP(C1631,Table2[Species],Table2[Family],"Code Not Found")</f>
        <v>Sapindaceae</v>
      </c>
      <c r="O1631" t="str" cm="1">
        <f t="array" ref="O1631">_xlfn.IFS(F1631="","",F1631&lt;=5,"0 to 5",F1631&lt;=10,"5.1 to 10",F1631&lt;=20,"10 to 20", F1631&lt;= 40, "20 to 40", F1631 &lt;= 50, "40 to 50", F1631 &gt; 50, "&gt;50" )</f>
        <v>0 to 5</v>
      </c>
    </row>
    <row r="1632" spans="1:15" ht="14.4" x14ac:dyDescent="0.3">
      <c r="A1632" t="s">
        <v>293</v>
      </c>
      <c r="B1632" s="1">
        <v>46199</v>
      </c>
      <c r="C1632" t="s">
        <v>16</v>
      </c>
      <c r="D1632">
        <v>1495</v>
      </c>
      <c r="E1632">
        <v>1</v>
      </c>
      <c r="F1632">
        <v>3.3</v>
      </c>
      <c r="G1632" t="s">
        <v>21</v>
      </c>
      <c r="I1632" t="str">
        <f t="shared" si="27"/>
        <v>1495_1</v>
      </c>
      <c r="J1632" t="s">
        <v>294</v>
      </c>
      <c r="K1632" t="s">
        <v>19</v>
      </c>
      <c r="L1632" t="str">
        <f>_xlfn.XLOOKUP(C1632, Table2[Species],Table2[Genus], "Code Not Found")</f>
        <v>Acer</v>
      </c>
      <c r="M1632" t="str">
        <f>_xlfn.XLOOKUP(C1632, Table2[Species],Table2[Sp. Name], "Code Not Found")</f>
        <v>saccharum</v>
      </c>
      <c r="N1632" t="str">
        <f>_xlfn.XLOOKUP(C1632,Table2[Species],Table2[Family],"Code Not Found")</f>
        <v>Sapindaceae</v>
      </c>
      <c r="O1632" t="str" cm="1">
        <f t="array" ref="O1632">_xlfn.IFS(F1632="","",F1632&lt;=5,"0 to 5",F1632&lt;=10,"5.1 to 10",F1632&lt;=20,"10 to 20", F1632&lt;= 40, "20 to 40", F1632 &lt;= 50, "40 to 50", F1632 &gt; 50, "&gt;50" )</f>
        <v>0 to 5</v>
      </c>
    </row>
    <row r="1633" spans="1:15" ht="14.4" x14ac:dyDescent="0.3">
      <c r="A1633" t="s">
        <v>293</v>
      </c>
      <c r="B1633" s="1">
        <v>46199</v>
      </c>
      <c r="C1633" t="s">
        <v>16</v>
      </c>
      <c r="D1633">
        <v>1496</v>
      </c>
      <c r="E1633">
        <v>1</v>
      </c>
      <c r="F1633">
        <v>12.3</v>
      </c>
      <c r="G1633" t="s">
        <v>17</v>
      </c>
      <c r="H1633" t="s">
        <v>36</v>
      </c>
      <c r="I1633" t="str">
        <f t="shared" si="27"/>
        <v>1496_1</v>
      </c>
      <c r="J1633" t="s">
        <v>294</v>
      </c>
      <c r="K1633" t="s">
        <v>19</v>
      </c>
      <c r="L1633" t="str">
        <f>_xlfn.XLOOKUP(C1633, Table2[Species],Table2[Genus], "Code Not Found")</f>
        <v>Acer</v>
      </c>
      <c r="M1633" t="str">
        <f>_xlfn.XLOOKUP(C1633, Table2[Species],Table2[Sp. Name], "Code Not Found")</f>
        <v>saccharum</v>
      </c>
      <c r="N1633" t="str">
        <f>_xlfn.XLOOKUP(C1633,Table2[Species],Table2[Family],"Code Not Found")</f>
        <v>Sapindaceae</v>
      </c>
      <c r="O1633" t="str" cm="1">
        <f t="array" ref="O1633">_xlfn.IFS(F1633="","",F1633&lt;=5,"0 to 5",F1633&lt;=10,"5.1 to 10",F1633&lt;=20,"10 to 20", F1633&lt;= 40, "20 to 40", F1633 &lt;= 50, "40 to 50", F1633 &gt; 50, "&gt;50" )</f>
        <v>10 to 20</v>
      </c>
    </row>
    <row r="1634" spans="1:15" ht="14.4" x14ac:dyDescent="0.3">
      <c r="A1634" t="s">
        <v>293</v>
      </c>
      <c r="B1634" s="1">
        <v>46199</v>
      </c>
      <c r="C1634" t="s">
        <v>29</v>
      </c>
      <c r="D1634">
        <v>1497</v>
      </c>
      <c r="E1634">
        <v>1</v>
      </c>
      <c r="F1634">
        <v>42.6</v>
      </c>
      <c r="G1634" t="s">
        <v>21</v>
      </c>
      <c r="I1634" t="str">
        <f t="shared" si="27"/>
        <v>1497_1</v>
      </c>
      <c r="J1634" t="s">
        <v>294</v>
      </c>
      <c r="K1634" t="s">
        <v>19</v>
      </c>
      <c r="L1634" t="str">
        <f>_xlfn.XLOOKUP(C1634, Table2[Species],Table2[Genus], "Code Not Found")</f>
        <v>Sassafras</v>
      </c>
      <c r="M1634" t="str">
        <f>_xlfn.XLOOKUP(C1634, Table2[Species],Table2[Sp. Name], "Code Not Found")</f>
        <v>albidum</v>
      </c>
      <c r="N1634" t="str">
        <f>_xlfn.XLOOKUP(C1634,Table2[Species],Table2[Family],"Code Not Found")</f>
        <v>Lauraceae</v>
      </c>
      <c r="O1634" t="str" cm="1">
        <f t="array" ref="O1634">_xlfn.IFS(F1634="","",F1634&lt;=5,"0 to 5",F1634&lt;=10,"5.1 to 10",F1634&lt;=20,"10 to 20", F1634&lt;= 40, "20 to 40", F1634 &lt;= 50, "40 to 50", F1634 &gt; 50, "&gt;50" )</f>
        <v>40 to 50</v>
      </c>
    </row>
    <row r="1635" spans="1:15" ht="14.4" x14ac:dyDescent="0.3">
      <c r="A1635" t="s">
        <v>293</v>
      </c>
      <c r="B1635" s="1">
        <v>46199</v>
      </c>
      <c r="C1635" t="s">
        <v>16</v>
      </c>
      <c r="D1635">
        <v>1498</v>
      </c>
      <c r="E1635">
        <v>1</v>
      </c>
      <c r="F1635">
        <v>14.8</v>
      </c>
      <c r="G1635" t="s">
        <v>32</v>
      </c>
      <c r="H1635" t="s">
        <v>339</v>
      </c>
      <c r="I1635" t="str">
        <f t="shared" ref="I1635:I1698" si="28">D1635&amp;"_"&amp;E1635</f>
        <v>1498_1</v>
      </c>
      <c r="J1635" t="s">
        <v>294</v>
      </c>
      <c r="K1635" t="s">
        <v>19</v>
      </c>
      <c r="L1635" t="str">
        <f>_xlfn.XLOOKUP(C1635, Table2[Species],Table2[Genus], "Code Not Found")</f>
        <v>Acer</v>
      </c>
      <c r="M1635" t="str">
        <f>_xlfn.XLOOKUP(C1635, Table2[Species],Table2[Sp. Name], "Code Not Found")</f>
        <v>saccharum</v>
      </c>
      <c r="N1635" t="str">
        <f>_xlfn.XLOOKUP(C1635,Table2[Species],Table2[Family],"Code Not Found")</f>
        <v>Sapindaceae</v>
      </c>
      <c r="O1635" t="str" cm="1">
        <f t="array" ref="O1635">_xlfn.IFS(F1635="","",F1635&lt;=5,"0 to 5",F1635&lt;=10,"5.1 to 10",F1635&lt;=20,"10 to 20", F1635&lt;= 40, "20 to 40", F1635 &lt;= 50, "40 to 50", F1635 &gt; 50, "&gt;50" )</f>
        <v>10 to 20</v>
      </c>
    </row>
    <row r="1636" spans="1:15" ht="14.4" x14ac:dyDescent="0.3">
      <c r="A1636" t="s">
        <v>293</v>
      </c>
      <c r="B1636" s="1">
        <v>46199</v>
      </c>
      <c r="C1636" t="s">
        <v>16</v>
      </c>
      <c r="D1636">
        <v>1498</v>
      </c>
      <c r="E1636">
        <v>2</v>
      </c>
      <c r="F1636">
        <v>4.5</v>
      </c>
      <c r="G1636" t="s">
        <v>34</v>
      </c>
      <c r="H1636" t="s">
        <v>339</v>
      </c>
      <c r="I1636" t="str">
        <f t="shared" si="28"/>
        <v>1498_2</v>
      </c>
      <c r="J1636" t="s">
        <v>294</v>
      </c>
      <c r="K1636" t="s">
        <v>19</v>
      </c>
      <c r="L1636" t="str">
        <f>_xlfn.XLOOKUP(C1636, Table2[Species],Table2[Genus], "Code Not Found")</f>
        <v>Acer</v>
      </c>
      <c r="M1636" t="str">
        <f>_xlfn.XLOOKUP(C1636, Table2[Species],Table2[Sp. Name], "Code Not Found")</f>
        <v>saccharum</v>
      </c>
      <c r="N1636" t="str">
        <f>_xlfn.XLOOKUP(C1636,Table2[Species],Table2[Family],"Code Not Found")</f>
        <v>Sapindaceae</v>
      </c>
      <c r="O1636" t="str" cm="1">
        <f t="array" ref="O1636">_xlfn.IFS(F1636="","",F1636&lt;=5,"0 to 5",F1636&lt;=10,"5.1 to 10",F1636&lt;=20,"10 to 20", F1636&lt;= 40, "20 to 40", F1636 &lt;= 50, "40 to 50", F1636 &gt; 50, "&gt;50" )</f>
        <v>0 to 5</v>
      </c>
    </row>
    <row r="1637" spans="1:15" ht="14.4" x14ac:dyDescent="0.3">
      <c r="A1637" t="s">
        <v>293</v>
      </c>
      <c r="B1637" s="1">
        <v>46199</v>
      </c>
      <c r="C1637" t="s">
        <v>16</v>
      </c>
      <c r="D1637">
        <v>1499</v>
      </c>
      <c r="E1637">
        <v>1</v>
      </c>
      <c r="F1637">
        <v>4</v>
      </c>
      <c r="G1637" t="s">
        <v>34</v>
      </c>
      <c r="H1637" t="s">
        <v>340</v>
      </c>
      <c r="I1637" t="str">
        <f t="shared" si="28"/>
        <v>1499_1</v>
      </c>
      <c r="J1637" t="s">
        <v>294</v>
      </c>
      <c r="K1637" t="s">
        <v>19</v>
      </c>
      <c r="L1637" t="str">
        <f>_xlfn.XLOOKUP(C1637, Table2[Species],Table2[Genus], "Code Not Found")</f>
        <v>Acer</v>
      </c>
      <c r="M1637" t="str">
        <f>_xlfn.XLOOKUP(C1637, Table2[Species],Table2[Sp. Name], "Code Not Found")</f>
        <v>saccharum</v>
      </c>
      <c r="N1637" t="str">
        <f>_xlfn.XLOOKUP(C1637,Table2[Species],Table2[Family],"Code Not Found")</f>
        <v>Sapindaceae</v>
      </c>
      <c r="O1637" t="str" cm="1">
        <f t="array" ref="O1637">_xlfn.IFS(F1637="","",F1637&lt;=5,"0 to 5",F1637&lt;=10,"5.1 to 10",F1637&lt;=20,"10 to 20", F1637&lt;= 40, "20 to 40", F1637 &lt;= 50, "40 to 50", F1637 &gt; 50, "&gt;50" )</f>
        <v>0 to 5</v>
      </c>
    </row>
    <row r="1638" spans="1:15" ht="14.4" x14ac:dyDescent="0.3">
      <c r="A1638" t="s">
        <v>293</v>
      </c>
      <c r="B1638" s="1">
        <v>46199</v>
      </c>
      <c r="C1638" t="s">
        <v>16</v>
      </c>
      <c r="D1638">
        <v>1499</v>
      </c>
      <c r="E1638">
        <v>2</v>
      </c>
      <c r="F1638">
        <v>1.2</v>
      </c>
      <c r="G1638" t="s">
        <v>34</v>
      </c>
      <c r="H1638" t="s">
        <v>340</v>
      </c>
      <c r="I1638" t="str">
        <f t="shared" si="28"/>
        <v>1499_2</v>
      </c>
      <c r="J1638" t="s">
        <v>294</v>
      </c>
      <c r="K1638" t="s">
        <v>19</v>
      </c>
      <c r="L1638" t="str">
        <f>_xlfn.XLOOKUP(C1638, Table2[Species],Table2[Genus], "Code Not Found")</f>
        <v>Acer</v>
      </c>
      <c r="M1638" t="str">
        <f>_xlfn.XLOOKUP(C1638, Table2[Species],Table2[Sp. Name], "Code Not Found")</f>
        <v>saccharum</v>
      </c>
      <c r="N1638" t="str">
        <f>_xlfn.XLOOKUP(C1638,Table2[Species],Table2[Family],"Code Not Found")</f>
        <v>Sapindaceae</v>
      </c>
      <c r="O1638" t="str" cm="1">
        <f t="array" ref="O1638">_xlfn.IFS(F1638="","",F1638&lt;=5,"0 to 5",F1638&lt;=10,"5.1 to 10",F1638&lt;=20,"10 to 20", F1638&lt;= 40, "20 to 40", F1638 &lt;= 50, "40 to 50", F1638 &gt; 50, "&gt;50" )</f>
        <v>0 to 5</v>
      </c>
    </row>
    <row r="1639" spans="1:15" ht="14.4" x14ac:dyDescent="0.3">
      <c r="A1639" t="s">
        <v>293</v>
      </c>
      <c r="B1639" s="1">
        <v>46199</v>
      </c>
      <c r="C1639" t="s">
        <v>16</v>
      </c>
      <c r="D1639">
        <v>1500</v>
      </c>
      <c r="E1639">
        <v>1</v>
      </c>
      <c r="F1639">
        <v>4.2</v>
      </c>
      <c r="G1639" t="s">
        <v>17</v>
      </c>
      <c r="I1639" t="str">
        <f t="shared" si="28"/>
        <v>1500_1</v>
      </c>
      <c r="J1639" t="s">
        <v>294</v>
      </c>
      <c r="K1639" t="s">
        <v>19</v>
      </c>
      <c r="L1639" t="str">
        <f>_xlfn.XLOOKUP(C1639, Table2[Species],Table2[Genus], "Code Not Found")</f>
        <v>Acer</v>
      </c>
      <c r="M1639" t="str">
        <f>_xlfn.XLOOKUP(C1639, Table2[Species],Table2[Sp. Name], "Code Not Found")</f>
        <v>saccharum</v>
      </c>
      <c r="N1639" t="str">
        <f>_xlfn.XLOOKUP(C1639,Table2[Species],Table2[Family],"Code Not Found")</f>
        <v>Sapindaceae</v>
      </c>
      <c r="O1639" t="str" cm="1">
        <f t="array" ref="O1639">_xlfn.IFS(F1639="","",F1639&lt;=5,"0 to 5",F1639&lt;=10,"5.1 to 10",F1639&lt;=20,"10 to 20", F1639&lt;= 40, "20 to 40", F1639 &lt;= 50, "40 to 50", F1639 &gt; 50, "&gt;50" )</f>
        <v>0 to 5</v>
      </c>
    </row>
    <row r="1640" spans="1:15" ht="14.4" x14ac:dyDescent="0.3">
      <c r="A1640" t="s">
        <v>293</v>
      </c>
      <c r="B1640" s="1">
        <v>46199</v>
      </c>
      <c r="C1640" t="s">
        <v>16</v>
      </c>
      <c r="D1640">
        <v>1501</v>
      </c>
      <c r="E1640">
        <v>1</v>
      </c>
      <c r="F1640">
        <v>7.5</v>
      </c>
      <c r="G1640" t="s">
        <v>88</v>
      </c>
      <c r="H1640" t="s">
        <v>287</v>
      </c>
      <c r="I1640" t="str">
        <f t="shared" si="28"/>
        <v>1501_1</v>
      </c>
      <c r="J1640" t="s">
        <v>294</v>
      </c>
      <c r="K1640" t="s">
        <v>19</v>
      </c>
      <c r="L1640" t="str">
        <f>_xlfn.XLOOKUP(C1640, Table2[Species],Table2[Genus], "Code Not Found")</f>
        <v>Acer</v>
      </c>
      <c r="M1640" t="str">
        <f>_xlfn.XLOOKUP(C1640, Table2[Species],Table2[Sp. Name], "Code Not Found")</f>
        <v>saccharum</v>
      </c>
      <c r="N1640" t="str">
        <f>_xlfn.XLOOKUP(C1640,Table2[Species],Table2[Family],"Code Not Found")</f>
        <v>Sapindaceae</v>
      </c>
      <c r="O1640" t="str" cm="1">
        <f t="array" ref="O1640">_xlfn.IFS(F1640="","",F1640&lt;=5,"0 to 5",F1640&lt;=10,"5.1 to 10",F1640&lt;=20,"10 to 20", F1640&lt;= 40, "20 to 40", F1640 &lt;= 50, "40 to 50", F1640 &gt; 50, "&gt;50" )</f>
        <v>5.1 to 10</v>
      </c>
    </row>
    <row r="1641" spans="1:15" ht="14.4" x14ac:dyDescent="0.3">
      <c r="A1641" t="s">
        <v>293</v>
      </c>
      <c r="B1641" s="1">
        <v>46199</v>
      </c>
      <c r="C1641" t="s">
        <v>16</v>
      </c>
      <c r="D1641">
        <v>1502</v>
      </c>
      <c r="E1641">
        <v>1</v>
      </c>
      <c r="F1641">
        <v>6.8</v>
      </c>
      <c r="G1641" t="s">
        <v>17</v>
      </c>
      <c r="I1641" t="str">
        <f t="shared" si="28"/>
        <v>1502_1</v>
      </c>
      <c r="J1641" t="s">
        <v>294</v>
      </c>
      <c r="K1641" t="s">
        <v>19</v>
      </c>
      <c r="L1641" t="str">
        <f>_xlfn.XLOOKUP(C1641, Table2[Species],Table2[Genus], "Code Not Found")</f>
        <v>Acer</v>
      </c>
      <c r="M1641" t="str">
        <f>_xlfn.XLOOKUP(C1641, Table2[Species],Table2[Sp. Name], "Code Not Found")</f>
        <v>saccharum</v>
      </c>
      <c r="N1641" t="str">
        <f>_xlfn.XLOOKUP(C1641,Table2[Species],Table2[Family],"Code Not Found")</f>
        <v>Sapindaceae</v>
      </c>
      <c r="O1641" t="str" cm="1">
        <f t="array" ref="O1641">_xlfn.IFS(F1641="","",F1641&lt;=5,"0 to 5",F1641&lt;=10,"5.1 to 10",F1641&lt;=20,"10 to 20", F1641&lt;= 40, "20 to 40", F1641 &lt;= 50, "40 to 50", F1641 &gt; 50, "&gt;50" )</f>
        <v>5.1 to 10</v>
      </c>
    </row>
    <row r="1642" spans="1:15" ht="14.4" x14ac:dyDescent="0.3">
      <c r="A1642" t="s">
        <v>293</v>
      </c>
      <c r="B1642" s="1">
        <v>46199</v>
      </c>
      <c r="C1642" t="s">
        <v>16</v>
      </c>
      <c r="D1642">
        <v>1503</v>
      </c>
      <c r="E1642">
        <v>1</v>
      </c>
      <c r="F1642">
        <v>2.1</v>
      </c>
      <c r="G1642" t="s">
        <v>341</v>
      </c>
      <c r="H1642" t="s">
        <v>342</v>
      </c>
      <c r="I1642" t="str">
        <f t="shared" si="28"/>
        <v>1503_1</v>
      </c>
      <c r="J1642" t="s">
        <v>294</v>
      </c>
      <c r="K1642" t="s">
        <v>19</v>
      </c>
      <c r="L1642" t="str">
        <f>_xlfn.XLOOKUP(C1642, Table2[Species],Table2[Genus], "Code Not Found")</f>
        <v>Acer</v>
      </c>
      <c r="M1642" t="str">
        <f>_xlfn.XLOOKUP(C1642, Table2[Species],Table2[Sp. Name], "Code Not Found")</f>
        <v>saccharum</v>
      </c>
      <c r="N1642" t="str">
        <f>_xlfn.XLOOKUP(C1642,Table2[Species],Table2[Family],"Code Not Found")</f>
        <v>Sapindaceae</v>
      </c>
      <c r="O1642" t="str" cm="1">
        <f t="array" ref="O1642">_xlfn.IFS(F1642="","",F1642&lt;=5,"0 to 5",F1642&lt;=10,"5.1 to 10",F1642&lt;=20,"10 to 20", F1642&lt;= 40, "20 to 40", F1642 &lt;= 50, "40 to 50", F1642 &gt; 50, "&gt;50" )</f>
        <v>0 to 5</v>
      </c>
    </row>
    <row r="1643" spans="1:15" ht="15" customHeight="1" x14ac:dyDescent="0.3">
      <c r="A1643" t="s">
        <v>293</v>
      </c>
      <c r="B1643" s="1">
        <v>46199</v>
      </c>
      <c r="C1643" t="s">
        <v>16</v>
      </c>
      <c r="D1643">
        <v>1504</v>
      </c>
      <c r="E1643">
        <v>1</v>
      </c>
      <c r="F1643">
        <v>47.2</v>
      </c>
      <c r="G1643" t="s">
        <v>17</v>
      </c>
      <c r="I1643" t="str">
        <f t="shared" si="28"/>
        <v>1504_1</v>
      </c>
      <c r="J1643" t="s">
        <v>294</v>
      </c>
      <c r="K1643" t="s">
        <v>19</v>
      </c>
      <c r="L1643" t="str">
        <f>_xlfn.XLOOKUP(C1643, Table2[Species],Table2[Genus], "Code Not Found")</f>
        <v>Acer</v>
      </c>
      <c r="M1643" t="str">
        <f>_xlfn.XLOOKUP(C1643, Table2[Species],Table2[Sp. Name], "Code Not Found")</f>
        <v>saccharum</v>
      </c>
      <c r="N1643" t="str">
        <f>_xlfn.XLOOKUP(C1643,Table2[Species],Table2[Family],"Code Not Found")</f>
        <v>Sapindaceae</v>
      </c>
      <c r="O1643" t="str" cm="1">
        <f t="array" ref="O1643">_xlfn.IFS(F1643="","",F1643&lt;=5,"0 to 5",F1643&lt;=10,"5.1 to 10",F1643&lt;=20,"10 to 20", F1643&lt;= 40, "20 to 40", F1643 &lt;= 50, "40 to 50", F1643 &gt; 50, "&gt;50" )</f>
        <v>40 to 50</v>
      </c>
    </row>
    <row r="1644" spans="1:15" ht="15" customHeight="1" x14ac:dyDescent="0.3">
      <c r="A1644" t="s">
        <v>293</v>
      </c>
      <c r="B1644" s="1">
        <v>46199</v>
      </c>
      <c r="C1644" t="s">
        <v>16</v>
      </c>
      <c r="D1644">
        <v>1505</v>
      </c>
      <c r="E1644">
        <v>1</v>
      </c>
      <c r="F1644">
        <v>4.9000000000000004</v>
      </c>
      <c r="G1644" t="s">
        <v>17</v>
      </c>
      <c r="I1644" t="str">
        <f t="shared" si="28"/>
        <v>1505_1</v>
      </c>
      <c r="J1644" t="s">
        <v>294</v>
      </c>
      <c r="K1644" t="s">
        <v>19</v>
      </c>
      <c r="L1644" t="str">
        <f>_xlfn.XLOOKUP(C1644, Table2[Species],Table2[Genus], "Code Not Found")</f>
        <v>Acer</v>
      </c>
      <c r="M1644" t="str">
        <f>_xlfn.XLOOKUP(C1644, Table2[Species],Table2[Sp. Name], "Code Not Found")</f>
        <v>saccharum</v>
      </c>
      <c r="N1644" t="str">
        <f>_xlfn.XLOOKUP(C1644,Table2[Species],Table2[Family],"Code Not Found")</f>
        <v>Sapindaceae</v>
      </c>
      <c r="O1644" t="str" cm="1">
        <f t="array" ref="O1644">_xlfn.IFS(F1644="","",F1644&lt;=5,"0 to 5",F1644&lt;=10,"5.1 to 10",F1644&lt;=20,"10 to 20", F1644&lt;= 40, "20 to 40", F1644 &lt;= 50, "40 to 50", F1644 &gt; 50, "&gt;50" )</f>
        <v>0 to 5</v>
      </c>
    </row>
    <row r="1645" spans="1:15" ht="15" customHeight="1" x14ac:dyDescent="0.3">
      <c r="A1645" t="s">
        <v>293</v>
      </c>
      <c r="B1645" s="1">
        <v>46199</v>
      </c>
      <c r="C1645" t="s">
        <v>16</v>
      </c>
      <c r="D1645">
        <v>1506</v>
      </c>
      <c r="E1645">
        <v>1</v>
      </c>
      <c r="F1645">
        <v>4.0999999999999996</v>
      </c>
      <c r="G1645" t="s">
        <v>17</v>
      </c>
      <c r="I1645" t="str">
        <f t="shared" si="28"/>
        <v>1506_1</v>
      </c>
      <c r="J1645" t="s">
        <v>294</v>
      </c>
      <c r="K1645" t="s">
        <v>19</v>
      </c>
      <c r="L1645" t="str">
        <f>_xlfn.XLOOKUP(C1645, Table2[Species],Table2[Genus], "Code Not Found")</f>
        <v>Acer</v>
      </c>
      <c r="M1645" t="str">
        <f>_xlfn.XLOOKUP(C1645, Table2[Species],Table2[Sp. Name], "Code Not Found")</f>
        <v>saccharum</v>
      </c>
      <c r="N1645" t="str">
        <f>_xlfn.XLOOKUP(C1645,Table2[Species],Table2[Family],"Code Not Found")</f>
        <v>Sapindaceae</v>
      </c>
      <c r="O1645" t="str" cm="1">
        <f t="array" ref="O1645">_xlfn.IFS(F1645="","",F1645&lt;=5,"0 to 5",F1645&lt;=10,"5.1 to 10",F1645&lt;=20,"10 to 20", F1645&lt;= 40, "20 to 40", F1645 &lt;= 50, "40 to 50", F1645 &gt; 50, "&gt;50" )</f>
        <v>0 to 5</v>
      </c>
    </row>
    <row r="1646" spans="1:15" ht="14.4" x14ac:dyDescent="0.3">
      <c r="A1646" t="s">
        <v>293</v>
      </c>
      <c r="B1646" s="1">
        <v>46199</v>
      </c>
      <c r="C1646" t="s">
        <v>16</v>
      </c>
      <c r="D1646">
        <v>1507</v>
      </c>
      <c r="E1646">
        <v>1</v>
      </c>
      <c r="F1646">
        <v>3.2</v>
      </c>
      <c r="G1646" t="s">
        <v>51</v>
      </c>
      <c r="I1646" t="str">
        <f t="shared" si="28"/>
        <v>1507_1</v>
      </c>
      <c r="J1646" t="s">
        <v>294</v>
      </c>
      <c r="K1646" t="s">
        <v>19</v>
      </c>
      <c r="L1646" t="str">
        <f>_xlfn.XLOOKUP(C1646, Table2[Species],Table2[Genus], "Code Not Found")</f>
        <v>Acer</v>
      </c>
      <c r="M1646" t="str">
        <f>_xlfn.XLOOKUP(C1646, Table2[Species],Table2[Sp. Name], "Code Not Found")</f>
        <v>saccharum</v>
      </c>
      <c r="N1646" t="str">
        <f>_xlfn.XLOOKUP(C1646,Table2[Species],Table2[Family],"Code Not Found")</f>
        <v>Sapindaceae</v>
      </c>
      <c r="O1646" t="str" cm="1">
        <f t="array" ref="O1646">_xlfn.IFS(F1646="","",F1646&lt;=5,"0 to 5",F1646&lt;=10,"5.1 to 10",F1646&lt;=20,"10 to 20", F1646&lt;= 40, "20 to 40", F1646 &lt;= 50, "40 to 50", F1646 &gt; 50, "&gt;50" )</f>
        <v>0 to 5</v>
      </c>
    </row>
    <row r="1647" spans="1:15" ht="15" customHeight="1" x14ac:dyDescent="0.3">
      <c r="A1647" t="s">
        <v>293</v>
      </c>
      <c r="B1647" s="1">
        <v>46199</v>
      </c>
      <c r="C1647" t="s">
        <v>16</v>
      </c>
      <c r="D1647">
        <v>1508</v>
      </c>
      <c r="E1647">
        <v>1</v>
      </c>
      <c r="F1647">
        <v>25.2</v>
      </c>
      <c r="G1647" t="s">
        <v>17</v>
      </c>
      <c r="I1647" t="str">
        <f t="shared" si="28"/>
        <v>1508_1</v>
      </c>
      <c r="J1647" t="s">
        <v>294</v>
      </c>
      <c r="K1647" t="s">
        <v>19</v>
      </c>
      <c r="L1647" t="str">
        <f>_xlfn.XLOOKUP(C1647, Table2[Species],Table2[Genus], "Code Not Found")</f>
        <v>Acer</v>
      </c>
      <c r="M1647" t="str">
        <f>_xlfn.XLOOKUP(C1647, Table2[Species],Table2[Sp. Name], "Code Not Found")</f>
        <v>saccharum</v>
      </c>
      <c r="N1647" t="str">
        <f>_xlfn.XLOOKUP(C1647,Table2[Species],Table2[Family],"Code Not Found")</f>
        <v>Sapindaceae</v>
      </c>
      <c r="O1647" t="str" cm="1">
        <f t="array" ref="O1647">_xlfn.IFS(F1647="","",F1647&lt;=5,"0 to 5",F1647&lt;=10,"5.1 to 10",F1647&lt;=20,"10 to 20", F1647&lt;= 40, "20 to 40", F1647 &lt;= 50, "40 to 50", F1647 &gt; 50, "&gt;50" )</f>
        <v>20 to 40</v>
      </c>
    </row>
    <row r="1648" spans="1:15" ht="15" customHeight="1" x14ac:dyDescent="0.3">
      <c r="A1648" t="s">
        <v>293</v>
      </c>
      <c r="B1648" s="1">
        <v>46199</v>
      </c>
      <c r="C1648" t="s">
        <v>22</v>
      </c>
      <c r="D1648">
        <v>1509</v>
      </c>
      <c r="E1648">
        <v>1</v>
      </c>
      <c r="F1648">
        <v>53.9</v>
      </c>
      <c r="G1648" t="s">
        <v>17</v>
      </c>
      <c r="H1648" t="s">
        <v>343</v>
      </c>
      <c r="I1648" t="str">
        <f t="shared" si="28"/>
        <v>1509_1</v>
      </c>
      <c r="J1648" t="s">
        <v>294</v>
      </c>
      <c r="K1648" t="s">
        <v>19</v>
      </c>
      <c r="L1648" t="str">
        <f>_xlfn.XLOOKUP(C1648, Table2[Species],Table2[Genus], "Code Not Found")</f>
        <v>Acer</v>
      </c>
      <c r="M1648" t="str">
        <f>_xlfn.XLOOKUP(C1648, Table2[Species],Table2[Sp. Name], "Code Not Found")</f>
        <v>rubrum</v>
      </c>
      <c r="N1648" t="str">
        <f>_xlfn.XLOOKUP(C1648,Table2[Species],Table2[Family],"Code Not Found")</f>
        <v>Sapindaceae</v>
      </c>
      <c r="O1648" t="str" cm="1">
        <f t="array" ref="O1648">_xlfn.IFS(F1648="","",F1648&lt;=5,"0 to 5",F1648&lt;=10,"5.1 to 10",F1648&lt;=20,"10 to 20", F1648&lt;= 40, "20 to 40", F1648 &lt;= 50, "40 to 50", F1648 &gt; 50, "&gt;50" )</f>
        <v>&gt;50</v>
      </c>
    </row>
    <row r="1649" spans="1:15" ht="15" customHeight="1" x14ac:dyDescent="0.3">
      <c r="A1649" t="s">
        <v>293</v>
      </c>
      <c r="B1649" s="1">
        <v>46199</v>
      </c>
      <c r="C1649" t="s">
        <v>22</v>
      </c>
      <c r="D1649">
        <v>1510</v>
      </c>
      <c r="E1649">
        <v>1</v>
      </c>
      <c r="F1649">
        <v>53.2</v>
      </c>
      <c r="G1649" t="s">
        <v>21</v>
      </c>
      <c r="I1649" t="str">
        <f t="shared" si="28"/>
        <v>1510_1</v>
      </c>
      <c r="J1649" t="s">
        <v>294</v>
      </c>
      <c r="K1649" t="s">
        <v>19</v>
      </c>
      <c r="L1649" t="str">
        <f>_xlfn.XLOOKUP(C1649, Table2[Species],Table2[Genus], "Code Not Found")</f>
        <v>Acer</v>
      </c>
      <c r="M1649" t="str">
        <f>_xlfn.XLOOKUP(C1649, Table2[Species],Table2[Sp. Name], "Code Not Found")</f>
        <v>rubrum</v>
      </c>
      <c r="N1649" t="str">
        <f>_xlfn.XLOOKUP(C1649,Table2[Species],Table2[Family],"Code Not Found")</f>
        <v>Sapindaceae</v>
      </c>
      <c r="O1649" t="str" cm="1">
        <f t="array" ref="O1649">_xlfn.IFS(F1649="","",F1649&lt;=5,"0 to 5",F1649&lt;=10,"5.1 to 10",F1649&lt;=20,"10 to 20", F1649&lt;= 40, "20 to 40", F1649 &lt;= 50, "40 to 50", F1649 &gt; 50, "&gt;50" )</f>
        <v>&gt;50</v>
      </c>
    </row>
    <row r="1650" spans="1:15" ht="15" customHeight="1" x14ac:dyDescent="0.3">
      <c r="A1650" t="s">
        <v>293</v>
      </c>
      <c r="B1650" s="1">
        <v>46199</v>
      </c>
      <c r="C1650" t="s">
        <v>16</v>
      </c>
      <c r="D1650">
        <v>1511</v>
      </c>
      <c r="E1650">
        <v>1</v>
      </c>
      <c r="F1650">
        <v>5.6</v>
      </c>
      <c r="G1650" t="s">
        <v>139</v>
      </c>
      <c r="H1650" t="s">
        <v>344</v>
      </c>
      <c r="I1650" t="str">
        <f t="shared" si="28"/>
        <v>1511_1</v>
      </c>
      <c r="J1650" t="s">
        <v>294</v>
      </c>
      <c r="K1650" t="s">
        <v>19</v>
      </c>
      <c r="L1650" t="str">
        <f>_xlfn.XLOOKUP(C1650, Table2[Species],Table2[Genus], "Code Not Found")</f>
        <v>Acer</v>
      </c>
      <c r="M1650" t="str">
        <f>_xlfn.XLOOKUP(C1650, Table2[Species],Table2[Sp. Name], "Code Not Found")</f>
        <v>saccharum</v>
      </c>
      <c r="N1650" t="str">
        <f>_xlfn.XLOOKUP(C1650,Table2[Species],Table2[Family],"Code Not Found")</f>
        <v>Sapindaceae</v>
      </c>
      <c r="O1650" t="str" cm="1">
        <f t="array" ref="O1650">_xlfn.IFS(F1650="","",F1650&lt;=5,"0 to 5",F1650&lt;=10,"5.1 to 10",F1650&lt;=20,"10 to 20", F1650&lt;= 40, "20 to 40", F1650 &lt;= 50, "40 to 50", F1650 &gt; 50, "&gt;50" )</f>
        <v>5.1 to 10</v>
      </c>
    </row>
    <row r="1651" spans="1:15" ht="15" customHeight="1" x14ac:dyDescent="0.3">
      <c r="A1651" t="s">
        <v>293</v>
      </c>
      <c r="B1651" s="1">
        <v>46199</v>
      </c>
      <c r="C1651" t="s">
        <v>16</v>
      </c>
      <c r="D1651">
        <v>1512</v>
      </c>
      <c r="E1651">
        <v>1</v>
      </c>
      <c r="F1651">
        <v>6</v>
      </c>
      <c r="G1651" t="s">
        <v>17</v>
      </c>
      <c r="I1651" t="str">
        <f t="shared" si="28"/>
        <v>1512_1</v>
      </c>
      <c r="J1651" t="s">
        <v>294</v>
      </c>
      <c r="K1651" t="s">
        <v>19</v>
      </c>
      <c r="L1651" t="str">
        <f>_xlfn.XLOOKUP(C1651, Table2[Species],Table2[Genus], "Code Not Found")</f>
        <v>Acer</v>
      </c>
      <c r="M1651" t="str">
        <f>_xlfn.XLOOKUP(C1651, Table2[Species],Table2[Sp. Name], "Code Not Found")</f>
        <v>saccharum</v>
      </c>
      <c r="N1651" t="str">
        <f>_xlfn.XLOOKUP(C1651,Table2[Species],Table2[Family],"Code Not Found")</f>
        <v>Sapindaceae</v>
      </c>
      <c r="O1651" t="str" cm="1">
        <f t="array" ref="O1651">_xlfn.IFS(F1651="","",F1651&lt;=5,"0 to 5",F1651&lt;=10,"5.1 to 10",F1651&lt;=20,"10 to 20", F1651&lt;= 40, "20 to 40", F1651 &lt;= 50, "40 to 50", F1651 &gt; 50, "&gt;50" )</f>
        <v>5.1 to 10</v>
      </c>
    </row>
    <row r="1652" spans="1:15" ht="15" customHeight="1" x14ac:dyDescent="0.3">
      <c r="A1652" t="s">
        <v>293</v>
      </c>
      <c r="B1652" s="1">
        <v>46199</v>
      </c>
      <c r="C1652" t="s">
        <v>16</v>
      </c>
      <c r="D1652">
        <v>1513</v>
      </c>
      <c r="E1652">
        <v>1</v>
      </c>
      <c r="F1652">
        <v>7.8</v>
      </c>
      <c r="G1652" t="s">
        <v>17</v>
      </c>
      <c r="I1652" t="str">
        <f t="shared" si="28"/>
        <v>1513_1</v>
      </c>
      <c r="J1652" t="s">
        <v>294</v>
      </c>
      <c r="K1652" t="s">
        <v>19</v>
      </c>
      <c r="L1652" t="str">
        <f>_xlfn.XLOOKUP(C1652, Table2[Species],Table2[Genus], "Code Not Found")</f>
        <v>Acer</v>
      </c>
      <c r="M1652" t="str">
        <f>_xlfn.XLOOKUP(C1652, Table2[Species],Table2[Sp. Name], "Code Not Found")</f>
        <v>saccharum</v>
      </c>
      <c r="N1652" t="str">
        <f>_xlfn.XLOOKUP(C1652,Table2[Species],Table2[Family],"Code Not Found")</f>
        <v>Sapindaceae</v>
      </c>
      <c r="O1652" t="str" cm="1">
        <f t="array" ref="O1652">_xlfn.IFS(F1652="","",F1652&lt;=5,"0 to 5",F1652&lt;=10,"5.1 to 10",F1652&lt;=20,"10 to 20", F1652&lt;= 40, "20 to 40", F1652 &lt;= 50, "40 to 50", F1652 &gt; 50, "&gt;50" )</f>
        <v>5.1 to 10</v>
      </c>
    </row>
    <row r="1653" spans="1:15" ht="15" customHeight="1" x14ac:dyDescent="0.3">
      <c r="A1653" t="s">
        <v>293</v>
      </c>
      <c r="B1653" s="1">
        <v>46199</v>
      </c>
      <c r="C1653" t="s">
        <v>16</v>
      </c>
      <c r="D1653">
        <v>1514</v>
      </c>
      <c r="E1653">
        <v>1</v>
      </c>
      <c r="F1653">
        <v>4.2</v>
      </c>
      <c r="G1653" t="s">
        <v>47</v>
      </c>
      <c r="H1653" t="s">
        <v>43</v>
      </c>
      <c r="I1653" t="str">
        <f t="shared" si="28"/>
        <v>1514_1</v>
      </c>
      <c r="J1653" t="s">
        <v>294</v>
      </c>
      <c r="K1653" t="s">
        <v>19</v>
      </c>
      <c r="L1653" t="str">
        <f>_xlfn.XLOOKUP(C1653, Table2[Species],Table2[Genus], "Code Not Found")</f>
        <v>Acer</v>
      </c>
      <c r="M1653" t="str">
        <f>_xlfn.XLOOKUP(C1653, Table2[Species],Table2[Sp. Name], "Code Not Found")</f>
        <v>saccharum</v>
      </c>
      <c r="N1653" t="str">
        <f>_xlfn.XLOOKUP(C1653,Table2[Species],Table2[Family],"Code Not Found")</f>
        <v>Sapindaceae</v>
      </c>
      <c r="O1653" t="str" cm="1">
        <f t="array" ref="O1653">_xlfn.IFS(F1653="","",F1653&lt;=5,"0 to 5",F1653&lt;=10,"5.1 to 10",F1653&lt;=20,"10 to 20", F1653&lt;= 40, "20 to 40", F1653 &lt;= 50, "40 to 50", F1653 &gt; 50, "&gt;50" )</f>
        <v>0 to 5</v>
      </c>
    </row>
    <row r="1654" spans="1:15" ht="15" customHeight="1" x14ac:dyDescent="0.3">
      <c r="A1654" t="s">
        <v>293</v>
      </c>
      <c r="B1654" s="1">
        <v>46199</v>
      </c>
      <c r="C1654" t="s">
        <v>16</v>
      </c>
      <c r="D1654">
        <v>1515</v>
      </c>
      <c r="E1654">
        <v>1</v>
      </c>
      <c r="F1654">
        <v>4.9000000000000004</v>
      </c>
      <c r="G1654" t="s">
        <v>93</v>
      </c>
      <c r="H1654" t="s">
        <v>43</v>
      </c>
      <c r="I1654" t="str">
        <f t="shared" si="28"/>
        <v>1515_1</v>
      </c>
      <c r="J1654" t="s">
        <v>294</v>
      </c>
      <c r="K1654" t="s">
        <v>19</v>
      </c>
      <c r="L1654" t="str">
        <f>_xlfn.XLOOKUP(C1654, Table2[Species],Table2[Genus], "Code Not Found")</f>
        <v>Acer</v>
      </c>
      <c r="M1654" t="str">
        <f>_xlfn.XLOOKUP(C1654, Table2[Species],Table2[Sp. Name], "Code Not Found")</f>
        <v>saccharum</v>
      </c>
      <c r="N1654" t="str">
        <f>_xlfn.XLOOKUP(C1654,Table2[Species],Table2[Family],"Code Not Found")</f>
        <v>Sapindaceae</v>
      </c>
      <c r="O1654" t="str" cm="1">
        <f t="array" ref="O1654">_xlfn.IFS(F1654="","",F1654&lt;=5,"0 to 5",F1654&lt;=10,"5.1 to 10",F1654&lt;=20,"10 to 20", F1654&lt;= 40, "20 to 40", F1654 &lt;= 50, "40 to 50", F1654 &gt; 50, "&gt;50" )</f>
        <v>0 to 5</v>
      </c>
    </row>
    <row r="1655" spans="1:15" ht="15" customHeight="1" x14ac:dyDescent="0.3">
      <c r="A1655" t="s">
        <v>293</v>
      </c>
      <c r="B1655" s="1">
        <v>46199</v>
      </c>
      <c r="C1655" t="s">
        <v>16</v>
      </c>
      <c r="D1655">
        <v>1515</v>
      </c>
      <c r="E1655">
        <v>2</v>
      </c>
      <c r="F1655">
        <v>3.2</v>
      </c>
      <c r="G1655" t="s">
        <v>93</v>
      </c>
      <c r="H1655" t="s">
        <v>43</v>
      </c>
      <c r="I1655" t="str">
        <f t="shared" si="28"/>
        <v>1515_2</v>
      </c>
      <c r="J1655" t="s">
        <v>294</v>
      </c>
      <c r="K1655" t="s">
        <v>19</v>
      </c>
      <c r="L1655" t="str">
        <f>_xlfn.XLOOKUP(C1655, Table2[Species],Table2[Genus], "Code Not Found")</f>
        <v>Acer</v>
      </c>
      <c r="M1655" t="str">
        <f>_xlfn.XLOOKUP(C1655, Table2[Species],Table2[Sp. Name], "Code Not Found")</f>
        <v>saccharum</v>
      </c>
      <c r="N1655" t="str">
        <f>_xlfn.XLOOKUP(C1655,Table2[Species],Table2[Family],"Code Not Found")</f>
        <v>Sapindaceae</v>
      </c>
      <c r="O1655" t="str" cm="1">
        <f t="array" ref="O1655">_xlfn.IFS(F1655="","",F1655&lt;=5,"0 to 5",F1655&lt;=10,"5.1 to 10",F1655&lt;=20,"10 to 20", F1655&lt;= 40, "20 to 40", F1655 &lt;= 50, "40 to 50", F1655 &gt; 50, "&gt;50" )</f>
        <v>0 to 5</v>
      </c>
    </row>
    <row r="1656" spans="1:15" ht="15" customHeight="1" x14ac:dyDescent="0.3">
      <c r="A1656" t="s">
        <v>293</v>
      </c>
      <c r="B1656" s="1">
        <v>46199</v>
      </c>
      <c r="C1656" t="s">
        <v>16</v>
      </c>
      <c r="D1656">
        <v>1515</v>
      </c>
      <c r="E1656">
        <v>3</v>
      </c>
      <c r="F1656">
        <v>1.8</v>
      </c>
      <c r="G1656" t="s">
        <v>93</v>
      </c>
      <c r="H1656" t="s">
        <v>43</v>
      </c>
      <c r="I1656" t="str">
        <f t="shared" si="28"/>
        <v>1515_3</v>
      </c>
      <c r="J1656" t="s">
        <v>294</v>
      </c>
      <c r="K1656" t="s">
        <v>19</v>
      </c>
      <c r="L1656" t="str">
        <f>_xlfn.XLOOKUP(C1656, Table2[Species],Table2[Genus], "Code Not Found")</f>
        <v>Acer</v>
      </c>
      <c r="M1656" t="str">
        <f>_xlfn.XLOOKUP(C1656, Table2[Species],Table2[Sp. Name], "Code Not Found")</f>
        <v>saccharum</v>
      </c>
      <c r="N1656" t="str">
        <f>_xlfn.XLOOKUP(C1656,Table2[Species],Table2[Family],"Code Not Found")</f>
        <v>Sapindaceae</v>
      </c>
      <c r="O1656" t="str" cm="1">
        <f t="array" ref="O1656">_xlfn.IFS(F1656="","",F1656&lt;=5,"0 to 5",F1656&lt;=10,"5.1 to 10",F1656&lt;=20,"10 to 20", F1656&lt;= 40, "20 to 40", F1656 &lt;= 50, "40 to 50", F1656 &gt; 50, "&gt;50" )</f>
        <v>0 to 5</v>
      </c>
    </row>
    <row r="1657" spans="1:15" ht="15" customHeight="1" x14ac:dyDescent="0.3">
      <c r="A1657" t="s">
        <v>293</v>
      </c>
      <c r="B1657" s="1">
        <v>46199</v>
      </c>
      <c r="C1657" t="s">
        <v>16</v>
      </c>
      <c r="D1657">
        <v>1515</v>
      </c>
      <c r="E1657">
        <v>4</v>
      </c>
      <c r="F1657">
        <v>1.3</v>
      </c>
      <c r="G1657" t="s">
        <v>93</v>
      </c>
      <c r="H1657" t="s">
        <v>43</v>
      </c>
      <c r="I1657" t="str">
        <f t="shared" si="28"/>
        <v>1515_4</v>
      </c>
      <c r="J1657" t="s">
        <v>294</v>
      </c>
      <c r="K1657" t="s">
        <v>19</v>
      </c>
      <c r="L1657" t="str">
        <f>_xlfn.XLOOKUP(C1657, Table2[Species],Table2[Genus], "Code Not Found")</f>
        <v>Acer</v>
      </c>
      <c r="M1657" t="str">
        <f>_xlfn.XLOOKUP(C1657, Table2[Species],Table2[Sp. Name], "Code Not Found")</f>
        <v>saccharum</v>
      </c>
      <c r="N1657" t="str">
        <f>_xlfn.XLOOKUP(C1657,Table2[Species],Table2[Family],"Code Not Found")</f>
        <v>Sapindaceae</v>
      </c>
      <c r="O1657" t="str" cm="1">
        <f t="array" ref="O1657">_xlfn.IFS(F1657="","",F1657&lt;=5,"0 to 5",F1657&lt;=10,"5.1 to 10",F1657&lt;=20,"10 to 20", F1657&lt;= 40, "20 to 40", F1657 &lt;= 50, "40 to 50", F1657 &gt; 50, "&gt;50" )</f>
        <v>0 to 5</v>
      </c>
    </row>
    <row r="1658" spans="1:15" ht="15" customHeight="1" x14ac:dyDescent="0.3">
      <c r="A1658" t="s">
        <v>293</v>
      </c>
      <c r="B1658" s="1">
        <v>46199</v>
      </c>
      <c r="C1658" t="s">
        <v>16</v>
      </c>
      <c r="D1658">
        <v>1516</v>
      </c>
      <c r="E1658">
        <v>1</v>
      </c>
      <c r="F1658">
        <v>8.3000000000000007</v>
      </c>
      <c r="G1658" t="s">
        <v>21</v>
      </c>
      <c r="I1658" t="str">
        <f t="shared" si="28"/>
        <v>1516_1</v>
      </c>
      <c r="J1658" t="s">
        <v>294</v>
      </c>
      <c r="K1658" t="s">
        <v>19</v>
      </c>
      <c r="L1658" t="str">
        <f>_xlfn.XLOOKUP(C1658, Table2[Species],Table2[Genus], "Code Not Found")</f>
        <v>Acer</v>
      </c>
      <c r="M1658" t="str">
        <f>_xlfn.XLOOKUP(C1658, Table2[Species],Table2[Sp. Name], "Code Not Found")</f>
        <v>saccharum</v>
      </c>
      <c r="N1658" t="str">
        <f>_xlfn.XLOOKUP(C1658,Table2[Species],Table2[Family],"Code Not Found")</f>
        <v>Sapindaceae</v>
      </c>
      <c r="O1658" t="str" cm="1">
        <f t="array" ref="O1658">_xlfn.IFS(F1658="","",F1658&lt;=5,"0 to 5",F1658&lt;=10,"5.1 to 10",F1658&lt;=20,"10 to 20", F1658&lt;= 40, "20 to 40", F1658 &lt;= 50, "40 to 50", F1658 &gt; 50, "&gt;50" )</f>
        <v>5.1 to 10</v>
      </c>
    </row>
    <row r="1659" spans="1:15" ht="15" customHeight="1" x14ac:dyDescent="0.3">
      <c r="A1659" t="s">
        <v>293</v>
      </c>
      <c r="B1659" s="1">
        <v>46199</v>
      </c>
      <c r="C1659" t="s">
        <v>22</v>
      </c>
      <c r="D1659">
        <v>1517</v>
      </c>
      <c r="E1659">
        <v>1</v>
      </c>
      <c r="F1659">
        <v>42.5</v>
      </c>
      <c r="G1659" t="s">
        <v>21</v>
      </c>
      <c r="I1659" t="str">
        <f t="shared" si="28"/>
        <v>1517_1</v>
      </c>
      <c r="J1659" t="s">
        <v>294</v>
      </c>
      <c r="K1659" t="s">
        <v>19</v>
      </c>
      <c r="L1659" t="str">
        <f>_xlfn.XLOOKUP(C1659, Table2[Species],Table2[Genus], "Code Not Found")</f>
        <v>Acer</v>
      </c>
      <c r="M1659" t="str">
        <f>_xlfn.XLOOKUP(C1659, Table2[Species],Table2[Sp. Name], "Code Not Found")</f>
        <v>rubrum</v>
      </c>
      <c r="N1659" t="str">
        <f>_xlfn.XLOOKUP(C1659,Table2[Species],Table2[Family],"Code Not Found")</f>
        <v>Sapindaceae</v>
      </c>
      <c r="O1659" t="str" cm="1">
        <f t="array" ref="O1659">_xlfn.IFS(F1659="","",F1659&lt;=5,"0 to 5",F1659&lt;=10,"5.1 to 10",F1659&lt;=20,"10 to 20", F1659&lt;= 40, "20 to 40", F1659 &lt;= 50, "40 to 50", F1659 &gt; 50, "&gt;50" )</f>
        <v>40 to 50</v>
      </c>
    </row>
    <row r="1660" spans="1:15" ht="15" customHeight="1" x14ac:dyDescent="0.3">
      <c r="A1660" t="s">
        <v>293</v>
      </c>
      <c r="B1660" s="1">
        <v>46199</v>
      </c>
      <c r="C1660" t="s">
        <v>16</v>
      </c>
      <c r="D1660">
        <v>1518</v>
      </c>
      <c r="E1660">
        <v>1</v>
      </c>
      <c r="F1660">
        <v>7.2</v>
      </c>
      <c r="G1660" t="s">
        <v>54</v>
      </c>
      <c r="H1660" t="s">
        <v>345</v>
      </c>
      <c r="I1660" t="str">
        <f t="shared" si="28"/>
        <v>1518_1</v>
      </c>
      <c r="J1660" t="s">
        <v>294</v>
      </c>
      <c r="K1660" t="s">
        <v>19</v>
      </c>
      <c r="L1660" t="str">
        <f>_xlfn.XLOOKUP(C1660, Table2[Species],Table2[Genus], "Code Not Found")</f>
        <v>Acer</v>
      </c>
      <c r="M1660" t="str">
        <f>_xlfn.XLOOKUP(C1660, Table2[Species],Table2[Sp. Name], "Code Not Found")</f>
        <v>saccharum</v>
      </c>
      <c r="N1660" t="str">
        <f>_xlfn.XLOOKUP(C1660,Table2[Species],Table2[Family],"Code Not Found")</f>
        <v>Sapindaceae</v>
      </c>
      <c r="O1660" t="str" cm="1">
        <f t="array" ref="O1660">_xlfn.IFS(F1660="","",F1660&lt;=5,"0 to 5",F1660&lt;=10,"5.1 to 10",F1660&lt;=20,"10 to 20", F1660&lt;= 40, "20 to 40", F1660 &lt;= 50, "40 to 50", F1660 &gt; 50, "&gt;50" )</f>
        <v>5.1 to 10</v>
      </c>
    </row>
    <row r="1661" spans="1:15" ht="15" customHeight="1" x14ac:dyDescent="0.3">
      <c r="A1661" t="s">
        <v>293</v>
      </c>
      <c r="B1661" s="1">
        <v>46199</v>
      </c>
      <c r="C1661" t="s">
        <v>22</v>
      </c>
      <c r="D1661">
        <v>1519</v>
      </c>
      <c r="E1661">
        <v>1</v>
      </c>
      <c r="F1661">
        <v>48.2</v>
      </c>
      <c r="G1661" t="s">
        <v>56</v>
      </c>
      <c r="H1661" t="s">
        <v>346</v>
      </c>
      <c r="I1661" t="str">
        <f t="shared" si="28"/>
        <v>1519_1</v>
      </c>
      <c r="J1661" t="s">
        <v>294</v>
      </c>
      <c r="K1661" t="s">
        <v>19</v>
      </c>
      <c r="L1661" t="str">
        <f>_xlfn.XLOOKUP(C1661, Table2[Species],Table2[Genus], "Code Not Found")</f>
        <v>Acer</v>
      </c>
      <c r="M1661" t="str">
        <f>_xlfn.XLOOKUP(C1661, Table2[Species],Table2[Sp. Name], "Code Not Found")</f>
        <v>rubrum</v>
      </c>
      <c r="N1661" t="str">
        <f>_xlfn.XLOOKUP(C1661,Table2[Species],Table2[Family],"Code Not Found")</f>
        <v>Sapindaceae</v>
      </c>
      <c r="O1661" t="str" cm="1">
        <f t="array" ref="O1661">_xlfn.IFS(F1661="","",F1661&lt;=5,"0 to 5",F1661&lt;=10,"5.1 to 10",F1661&lt;=20,"10 to 20", F1661&lt;= 40, "20 to 40", F1661 &lt;= 50, "40 to 50", F1661 &gt; 50, "&gt;50" )</f>
        <v>40 to 50</v>
      </c>
    </row>
    <row r="1662" spans="1:15" ht="15" customHeight="1" x14ac:dyDescent="0.3">
      <c r="A1662" t="s">
        <v>293</v>
      </c>
      <c r="B1662" s="1">
        <v>46199</v>
      </c>
      <c r="C1662" t="s">
        <v>64</v>
      </c>
      <c r="D1662">
        <v>1520</v>
      </c>
      <c r="E1662">
        <v>1</v>
      </c>
      <c r="F1662">
        <v>7.3</v>
      </c>
      <c r="G1662" t="s">
        <v>21</v>
      </c>
      <c r="I1662" t="str">
        <f t="shared" si="28"/>
        <v>1520_1</v>
      </c>
      <c r="J1662" t="s">
        <v>294</v>
      </c>
      <c r="K1662" t="s">
        <v>19</v>
      </c>
      <c r="L1662" t="str">
        <f>_xlfn.XLOOKUP(C1662, Table2[Species],Table2[Genus], "Code Not Found")</f>
        <v>Fagus</v>
      </c>
      <c r="M1662" t="str">
        <f>_xlfn.XLOOKUP(C1662, Table2[Species],Table2[Sp. Name], "Code Not Found")</f>
        <v>grandifolia</v>
      </c>
      <c r="N1662" t="str">
        <f>_xlfn.XLOOKUP(C1662,Table2[Species],Table2[Family],"Code Not Found")</f>
        <v>Fagaceae</v>
      </c>
      <c r="O1662" t="str" cm="1">
        <f t="array" ref="O1662">_xlfn.IFS(F1662="","",F1662&lt;=5,"0 to 5",F1662&lt;=10,"5.1 to 10",F1662&lt;=20,"10 to 20", F1662&lt;= 40, "20 to 40", F1662 &lt;= 50, "40 to 50", F1662 &gt; 50, "&gt;50" )</f>
        <v>5.1 to 10</v>
      </c>
    </row>
    <row r="1663" spans="1:15" ht="15" customHeight="1" x14ac:dyDescent="0.3">
      <c r="A1663" t="s">
        <v>293</v>
      </c>
      <c r="B1663" s="1">
        <v>46199</v>
      </c>
      <c r="C1663" t="s">
        <v>20</v>
      </c>
      <c r="D1663">
        <v>1521</v>
      </c>
      <c r="E1663">
        <v>1</v>
      </c>
      <c r="F1663">
        <v>71.599999999999994</v>
      </c>
      <c r="G1663" t="s">
        <v>21</v>
      </c>
      <c r="I1663" t="str">
        <f t="shared" si="28"/>
        <v>1521_1</v>
      </c>
      <c r="J1663" t="s">
        <v>294</v>
      </c>
      <c r="K1663" t="s">
        <v>19</v>
      </c>
      <c r="L1663" t="str">
        <f>_xlfn.XLOOKUP(C1663, Table2[Species],Table2[Genus], "Code Not Found")</f>
        <v>Prunus</v>
      </c>
      <c r="M1663" t="str">
        <f>_xlfn.XLOOKUP(C1663, Table2[Species],Table2[Sp. Name], "Code Not Found")</f>
        <v>serotina</v>
      </c>
      <c r="N1663" t="str">
        <f>_xlfn.XLOOKUP(C1663,Table2[Species],Table2[Family],"Code Not Found")</f>
        <v>Rosaceae</v>
      </c>
      <c r="O1663" t="str" cm="1">
        <f t="array" ref="O1663">_xlfn.IFS(F1663="","",F1663&lt;=5,"0 to 5",F1663&lt;=10,"5.1 to 10",F1663&lt;=20,"10 to 20", F1663&lt;= 40, "20 to 40", F1663 &lt;= 50, "40 to 50", F1663 &gt; 50, "&gt;50" )</f>
        <v>&gt;50</v>
      </c>
    </row>
    <row r="1664" spans="1:15" ht="15" customHeight="1" x14ac:dyDescent="0.3">
      <c r="A1664" t="s">
        <v>293</v>
      </c>
      <c r="B1664" s="1">
        <v>46199</v>
      </c>
      <c r="C1664" t="s">
        <v>16</v>
      </c>
      <c r="D1664">
        <v>1522</v>
      </c>
      <c r="E1664">
        <v>1</v>
      </c>
      <c r="F1664">
        <v>4.2</v>
      </c>
      <c r="G1664" t="s">
        <v>47</v>
      </c>
      <c r="H1664" t="s">
        <v>347</v>
      </c>
      <c r="I1664" t="str">
        <f t="shared" si="28"/>
        <v>1522_1</v>
      </c>
      <c r="J1664" t="s">
        <v>294</v>
      </c>
      <c r="K1664" t="s">
        <v>19</v>
      </c>
      <c r="L1664" t="str">
        <f>_xlfn.XLOOKUP(C1664, Table2[Species],Table2[Genus], "Code Not Found")</f>
        <v>Acer</v>
      </c>
      <c r="M1664" t="str">
        <f>_xlfn.XLOOKUP(C1664, Table2[Species],Table2[Sp. Name], "Code Not Found")</f>
        <v>saccharum</v>
      </c>
      <c r="N1664" t="str">
        <f>_xlfn.XLOOKUP(C1664,Table2[Species],Table2[Family],"Code Not Found")</f>
        <v>Sapindaceae</v>
      </c>
      <c r="O1664" t="str" cm="1">
        <f t="array" ref="O1664">_xlfn.IFS(F1664="","",F1664&lt;=5,"0 to 5",F1664&lt;=10,"5.1 to 10",F1664&lt;=20,"10 to 20", F1664&lt;= 40, "20 to 40", F1664 &lt;= 50, "40 to 50", F1664 &gt; 50, "&gt;50" )</f>
        <v>0 to 5</v>
      </c>
    </row>
    <row r="1665" spans="1:15" ht="15" customHeight="1" x14ac:dyDescent="0.3">
      <c r="A1665" t="s">
        <v>293</v>
      </c>
      <c r="B1665" s="1">
        <v>46199</v>
      </c>
      <c r="C1665" t="s">
        <v>16</v>
      </c>
      <c r="D1665">
        <v>1523</v>
      </c>
      <c r="E1665">
        <v>1</v>
      </c>
      <c r="F1665">
        <v>3.3</v>
      </c>
      <c r="G1665" t="s">
        <v>47</v>
      </c>
      <c r="H1665" t="s">
        <v>43</v>
      </c>
      <c r="I1665" t="str">
        <f t="shared" si="28"/>
        <v>1523_1</v>
      </c>
      <c r="J1665" t="s">
        <v>294</v>
      </c>
      <c r="K1665" t="s">
        <v>19</v>
      </c>
      <c r="L1665" t="str">
        <f>_xlfn.XLOOKUP(C1665, Table2[Species],Table2[Genus], "Code Not Found")</f>
        <v>Acer</v>
      </c>
      <c r="M1665" t="str">
        <f>_xlfn.XLOOKUP(C1665, Table2[Species],Table2[Sp. Name], "Code Not Found")</f>
        <v>saccharum</v>
      </c>
      <c r="N1665" t="str">
        <f>_xlfn.XLOOKUP(C1665,Table2[Species],Table2[Family],"Code Not Found")</f>
        <v>Sapindaceae</v>
      </c>
      <c r="O1665" t="str" cm="1">
        <f t="array" ref="O1665">_xlfn.IFS(F1665="","",F1665&lt;=5,"0 to 5",F1665&lt;=10,"5.1 to 10",F1665&lt;=20,"10 to 20", F1665&lt;= 40, "20 to 40", F1665 &lt;= 50, "40 to 50", F1665 &gt; 50, "&gt;50" )</f>
        <v>0 to 5</v>
      </c>
    </row>
    <row r="1666" spans="1:15" ht="15" customHeight="1" x14ac:dyDescent="0.3">
      <c r="A1666" t="s">
        <v>293</v>
      </c>
      <c r="B1666" s="1">
        <v>46199</v>
      </c>
      <c r="C1666" t="s">
        <v>64</v>
      </c>
      <c r="D1666">
        <v>1524</v>
      </c>
      <c r="E1666">
        <v>1</v>
      </c>
      <c r="F1666">
        <v>21.9</v>
      </c>
      <c r="G1666" t="s">
        <v>56</v>
      </c>
      <c r="I1666" t="str">
        <f t="shared" si="28"/>
        <v>1524_1</v>
      </c>
      <c r="J1666" t="s">
        <v>294</v>
      </c>
      <c r="K1666" t="s">
        <v>19</v>
      </c>
      <c r="L1666" t="str">
        <f>_xlfn.XLOOKUP(C1666, Table2[Species],Table2[Genus], "Code Not Found")</f>
        <v>Fagus</v>
      </c>
      <c r="M1666" t="str">
        <f>_xlfn.XLOOKUP(C1666, Table2[Species],Table2[Sp. Name], "Code Not Found")</f>
        <v>grandifolia</v>
      </c>
      <c r="N1666" t="str">
        <f>_xlfn.XLOOKUP(C1666,Table2[Species],Table2[Family],"Code Not Found")</f>
        <v>Fagaceae</v>
      </c>
      <c r="O1666" t="str" cm="1">
        <f t="array" ref="O1666">_xlfn.IFS(F1666="","",F1666&lt;=5,"0 to 5",F1666&lt;=10,"5.1 to 10",F1666&lt;=20,"10 to 20", F1666&lt;= 40, "20 to 40", F1666 &lt;= 50, "40 to 50", F1666 &gt; 50, "&gt;50" )</f>
        <v>20 to 40</v>
      </c>
    </row>
    <row r="1667" spans="1:15" ht="15" customHeight="1" x14ac:dyDescent="0.3">
      <c r="A1667" t="s">
        <v>293</v>
      </c>
      <c r="B1667" s="1">
        <v>46199</v>
      </c>
      <c r="C1667" t="s">
        <v>16</v>
      </c>
      <c r="D1667">
        <v>1525</v>
      </c>
      <c r="E1667">
        <v>1</v>
      </c>
      <c r="F1667">
        <v>4.0999999999999996</v>
      </c>
      <c r="G1667" t="s">
        <v>30</v>
      </c>
      <c r="H1667" t="s">
        <v>96</v>
      </c>
      <c r="I1667" t="str">
        <f t="shared" si="28"/>
        <v>1525_1</v>
      </c>
      <c r="J1667" t="s">
        <v>294</v>
      </c>
      <c r="K1667" t="s">
        <v>19</v>
      </c>
      <c r="L1667" t="str">
        <f>_xlfn.XLOOKUP(C1667, Table2[Species],Table2[Genus], "Code Not Found")</f>
        <v>Acer</v>
      </c>
      <c r="M1667" t="str">
        <f>_xlfn.XLOOKUP(C1667, Table2[Species],Table2[Sp. Name], "Code Not Found")</f>
        <v>saccharum</v>
      </c>
      <c r="N1667" t="str">
        <f>_xlfn.XLOOKUP(C1667,Table2[Species],Table2[Family],"Code Not Found")</f>
        <v>Sapindaceae</v>
      </c>
      <c r="O1667" t="str" cm="1">
        <f t="array" ref="O1667">_xlfn.IFS(F1667="","",F1667&lt;=5,"0 to 5",F1667&lt;=10,"5.1 to 10",F1667&lt;=20,"10 to 20", F1667&lt;= 40, "20 to 40", F1667 &lt;= 50, "40 to 50", F1667 &gt; 50, "&gt;50" )</f>
        <v>0 to 5</v>
      </c>
    </row>
    <row r="1668" spans="1:15" ht="15" customHeight="1" x14ac:dyDescent="0.3">
      <c r="A1668" t="s">
        <v>293</v>
      </c>
      <c r="B1668" s="1">
        <v>46199</v>
      </c>
      <c r="C1668" t="s">
        <v>16</v>
      </c>
      <c r="D1668">
        <v>1526</v>
      </c>
      <c r="E1668">
        <v>1</v>
      </c>
      <c r="F1668">
        <v>4.3</v>
      </c>
      <c r="G1668" t="s">
        <v>17</v>
      </c>
      <c r="I1668" t="str">
        <f t="shared" si="28"/>
        <v>1526_1</v>
      </c>
      <c r="J1668" t="s">
        <v>294</v>
      </c>
      <c r="K1668" t="s">
        <v>19</v>
      </c>
      <c r="L1668" t="str">
        <f>_xlfn.XLOOKUP(C1668, Table2[Species],Table2[Genus], "Code Not Found")</f>
        <v>Acer</v>
      </c>
      <c r="M1668" t="str">
        <f>_xlfn.XLOOKUP(C1668, Table2[Species],Table2[Sp. Name], "Code Not Found")</f>
        <v>saccharum</v>
      </c>
      <c r="N1668" t="str">
        <f>_xlfn.XLOOKUP(C1668,Table2[Species],Table2[Family],"Code Not Found")</f>
        <v>Sapindaceae</v>
      </c>
      <c r="O1668" t="str" cm="1">
        <f t="array" ref="O1668">_xlfn.IFS(F1668="","",F1668&lt;=5,"0 to 5",F1668&lt;=10,"5.1 to 10",F1668&lt;=20,"10 to 20", F1668&lt;= 40, "20 to 40", F1668 &lt;= 50, "40 to 50", F1668 &gt; 50, "&gt;50" )</f>
        <v>0 to 5</v>
      </c>
    </row>
    <row r="1669" spans="1:15" ht="15" customHeight="1" x14ac:dyDescent="0.3">
      <c r="A1669" t="s">
        <v>293</v>
      </c>
      <c r="B1669" s="1">
        <v>46199</v>
      </c>
      <c r="C1669" t="s">
        <v>16</v>
      </c>
      <c r="D1669">
        <v>1527</v>
      </c>
      <c r="E1669">
        <v>1</v>
      </c>
      <c r="F1669">
        <v>3.6</v>
      </c>
      <c r="G1669" t="s">
        <v>17</v>
      </c>
      <c r="I1669" t="str">
        <f t="shared" si="28"/>
        <v>1527_1</v>
      </c>
      <c r="J1669" t="s">
        <v>294</v>
      </c>
      <c r="K1669" t="s">
        <v>19</v>
      </c>
      <c r="L1669" t="str">
        <f>_xlfn.XLOOKUP(C1669, Table2[Species],Table2[Genus], "Code Not Found")</f>
        <v>Acer</v>
      </c>
      <c r="M1669" t="str">
        <f>_xlfn.XLOOKUP(C1669, Table2[Species],Table2[Sp. Name], "Code Not Found")</f>
        <v>saccharum</v>
      </c>
      <c r="N1669" t="str">
        <f>_xlfn.XLOOKUP(C1669,Table2[Species],Table2[Family],"Code Not Found")</f>
        <v>Sapindaceae</v>
      </c>
      <c r="O1669" t="str" cm="1">
        <f t="array" ref="O1669">_xlfn.IFS(F1669="","",F1669&lt;=5,"0 to 5",F1669&lt;=10,"5.1 to 10",F1669&lt;=20,"10 to 20", F1669&lt;= 40, "20 to 40", F1669 &lt;= 50, "40 to 50", F1669 &gt; 50, "&gt;50" )</f>
        <v>0 to 5</v>
      </c>
    </row>
    <row r="1670" spans="1:15" ht="15" customHeight="1" x14ac:dyDescent="0.3">
      <c r="A1670" t="s">
        <v>293</v>
      </c>
      <c r="B1670" s="1">
        <v>46199</v>
      </c>
      <c r="C1670" t="s">
        <v>22</v>
      </c>
      <c r="D1670">
        <v>1528</v>
      </c>
      <c r="E1670">
        <v>1</v>
      </c>
      <c r="F1670">
        <v>38.799999999999997</v>
      </c>
      <c r="G1670" t="s">
        <v>237</v>
      </c>
      <c r="H1670" t="s">
        <v>348</v>
      </c>
      <c r="I1670" t="str">
        <f t="shared" si="28"/>
        <v>1528_1</v>
      </c>
      <c r="J1670" t="s">
        <v>294</v>
      </c>
      <c r="K1670" t="s">
        <v>19</v>
      </c>
      <c r="L1670" t="str">
        <f>_xlfn.XLOOKUP(C1670, Table2[Species],Table2[Genus], "Code Not Found")</f>
        <v>Acer</v>
      </c>
      <c r="M1670" t="str">
        <f>_xlfn.XLOOKUP(C1670, Table2[Species],Table2[Sp. Name], "Code Not Found")</f>
        <v>rubrum</v>
      </c>
      <c r="N1670" t="str">
        <f>_xlfn.XLOOKUP(C1670,Table2[Species],Table2[Family],"Code Not Found")</f>
        <v>Sapindaceae</v>
      </c>
      <c r="O1670" t="str" cm="1">
        <f t="array" ref="O1670">_xlfn.IFS(F1670="","",F1670&lt;=5,"0 to 5",F1670&lt;=10,"5.1 to 10",F1670&lt;=20,"10 to 20", F1670&lt;= 40, "20 to 40", F1670 &lt;= 50, "40 to 50", F1670 &gt; 50, "&gt;50" )</f>
        <v>20 to 40</v>
      </c>
    </row>
    <row r="1671" spans="1:15" ht="15" customHeight="1" x14ac:dyDescent="0.3">
      <c r="A1671" t="s">
        <v>293</v>
      </c>
      <c r="B1671" s="1">
        <v>46199</v>
      </c>
      <c r="C1671" t="s">
        <v>64</v>
      </c>
      <c r="D1671">
        <v>1529</v>
      </c>
      <c r="E1671">
        <v>1</v>
      </c>
      <c r="F1671">
        <v>11.7</v>
      </c>
      <c r="G1671" t="s">
        <v>21</v>
      </c>
      <c r="I1671" t="str">
        <f t="shared" si="28"/>
        <v>1529_1</v>
      </c>
      <c r="J1671" t="s">
        <v>294</v>
      </c>
      <c r="K1671" t="s">
        <v>19</v>
      </c>
      <c r="L1671" t="str">
        <f>_xlfn.XLOOKUP(C1671, Table2[Species],Table2[Genus], "Code Not Found")</f>
        <v>Fagus</v>
      </c>
      <c r="M1671" t="str">
        <f>_xlfn.XLOOKUP(C1671, Table2[Species],Table2[Sp. Name], "Code Not Found")</f>
        <v>grandifolia</v>
      </c>
      <c r="N1671" t="str">
        <f>_xlfn.XLOOKUP(C1671,Table2[Species],Table2[Family],"Code Not Found")</f>
        <v>Fagaceae</v>
      </c>
      <c r="O1671" t="str" cm="1">
        <f t="array" ref="O1671">_xlfn.IFS(F1671="","",F1671&lt;=5,"0 to 5",F1671&lt;=10,"5.1 to 10",F1671&lt;=20,"10 to 20", F1671&lt;= 40, "20 to 40", F1671 &lt;= 50, "40 to 50", F1671 &gt; 50, "&gt;50" )</f>
        <v>10 to 20</v>
      </c>
    </row>
    <row r="1672" spans="1:15" ht="15" customHeight="1" x14ac:dyDescent="0.3">
      <c r="A1672" t="s">
        <v>293</v>
      </c>
      <c r="B1672" s="1">
        <v>46199</v>
      </c>
      <c r="C1672" t="s">
        <v>16</v>
      </c>
      <c r="D1672">
        <v>1530</v>
      </c>
      <c r="E1672">
        <v>1</v>
      </c>
      <c r="F1672">
        <v>1.8</v>
      </c>
      <c r="G1672" t="s">
        <v>47</v>
      </c>
      <c r="H1672" t="s">
        <v>43</v>
      </c>
      <c r="I1672" t="str">
        <f t="shared" si="28"/>
        <v>1530_1</v>
      </c>
      <c r="J1672" t="s">
        <v>294</v>
      </c>
      <c r="K1672" t="s">
        <v>19</v>
      </c>
      <c r="L1672" t="str">
        <f>_xlfn.XLOOKUP(C1672, Table2[Species],Table2[Genus], "Code Not Found")</f>
        <v>Acer</v>
      </c>
      <c r="M1672" t="str">
        <f>_xlfn.XLOOKUP(C1672, Table2[Species],Table2[Sp. Name], "Code Not Found")</f>
        <v>saccharum</v>
      </c>
      <c r="N1672" t="str">
        <f>_xlfn.XLOOKUP(C1672,Table2[Species],Table2[Family],"Code Not Found")</f>
        <v>Sapindaceae</v>
      </c>
      <c r="O1672" t="str" cm="1">
        <f t="array" ref="O1672">_xlfn.IFS(F1672="","",F1672&lt;=5,"0 to 5",F1672&lt;=10,"5.1 to 10",F1672&lt;=20,"10 to 20", F1672&lt;= 40, "20 to 40", F1672 &lt;= 50, "40 to 50", F1672 &gt; 50, "&gt;50" )</f>
        <v>0 to 5</v>
      </c>
    </row>
    <row r="1673" spans="1:15" ht="15" customHeight="1" x14ac:dyDescent="0.3">
      <c r="A1673" t="s">
        <v>293</v>
      </c>
      <c r="B1673" s="1">
        <v>46199</v>
      </c>
      <c r="C1673" t="s">
        <v>24</v>
      </c>
      <c r="D1673">
        <v>1531</v>
      </c>
      <c r="E1673">
        <v>1</v>
      </c>
      <c r="F1673">
        <v>62.7</v>
      </c>
      <c r="G1673" t="s">
        <v>21</v>
      </c>
      <c r="I1673" t="str">
        <f t="shared" si="28"/>
        <v>1531_1</v>
      </c>
      <c r="J1673" t="s">
        <v>294</v>
      </c>
      <c r="K1673" t="s">
        <v>19</v>
      </c>
      <c r="L1673" t="str">
        <f>_xlfn.XLOOKUP(C1673, Table2[Species],Table2[Genus], "Code Not Found")</f>
        <v>Lirodendron</v>
      </c>
      <c r="M1673" t="str">
        <f>_xlfn.XLOOKUP(C1673, Table2[Species],Table2[Sp. Name], "Code Not Found")</f>
        <v>tulipfera</v>
      </c>
      <c r="N1673" t="str">
        <f>_xlfn.XLOOKUP(C1673,Table2[Species],Table2[Family],"Code Not Found")</f>
        <v>Magnoliaceae</v>
      </c>
      <c r="O1673" t="str" cm="1">
        <f t="array" ref="O1673">_xlfn.IFS(F1673="","",F1673&lt;=5,"0 to 5",F1673&lt;=10,"5.1 to 10",F1673&lt;=20,"10 to 20", F1673&lt;= 40, "20 to 40", F1673 &lt;= 50, "40 to 50", F1673 &gt; 50, "&gt;50" )</f>
        <v>&gt;50</v>
      </c>
    </row>
    <row r="1674" spans="1:15" ht="15" customHeight="1" x14ac:dyDescent="0.3">
      <c r="A1674" t="s">
        <v>293</v>
      </c>
      <c r="B1674" s="1">
        <v>46199</v>
      </c>
      <c r="C1674" t="s">
        <v>16</v>
      </c>
      <c r="D1674">
        <v>1532</v>
      </c>
      <c r="E1674">
        <v>1</v>
      </c>
      <c r="F1674">
        <v>3.3</v>
      </c>
      <c r="G1674" t="s">
        <v>156</v>
      </c>
      <c r="H1674" t="s">
        <v>43</v>
      </c>
      <c r="I1674" t="str">
        <f t="shared" si="28"/>
        <v>1532_1</v>
      </c>
      <c r="J1674" t="s">
        <v>294</v>
      </c>
      <c r="K1674" t="s">
        <v>19</v>
      </c>
      <c r="L1674" t="str">
        <f>_xlfn.XLOOKUP(C1674, Table2[Species],Table2[Genus], "Code Not Found")</f>
        <v>Acer</v>
      </c>
      <c r="M1674" t="str">
        <f>_xlfn.XLOOKUP(C1674, Table2[Species],Table2[Sp. Name], "Code Not Found")</f>
        <v>saccharum</v>
      </c>
      <c r="N1674" t="str">
        <f>_xlfn.XLOOKUP(C1674,Table2[Species],Table2[Family],"Code Not Found")</f>
        <v>Sapindaceae</v>
      </c>
      <c r="O1674" t="str" cm="1">
        <f t="array" ref="O1674">_xlfn.IFS(F1674="","",F1674&lt;=5,"0 to 5",F1674&lt;=10,"5.1 to 10",F1674&lt;=20,"10 to 20", F1674&lt;= 40, "20 to 40", F1674 &lt;= 50, "40 to 50", F1674 &gt; 50, "&gt;50" )</f>
        <v>0 to 5</v>
      </c>
    </row>
    <row r="1675" spans="1:15" ht="15" customHeight="1" x14ac:dyDescent="0.3">
      <c r="A1675" t="s">
        <v>293</v>
      </c>
      <c r="B1675" s="1">
        <v>46199</v>
      </c>
      <c r="C1675" t="s">
        <v>16</v>
      </c>
      <c r="D1675">
        <v>1533</v>
      </c>
      <c r="E1675">
        <v>1</v>
      </c>
      <c r="F1675">
        <v>3.3</v>
      </c>
      <c r="G1675" t="s">
        <v>17</v>
      </c>
      <c r="H1675">
        <v>3</v>
      </c>
      <c r="I1675" t="str">
        <f t="shared" si="28"/>
        <v>1533_1</v>
      </c>
      <c r="J1675" t="s">
        <v>294</v>
      </c>
      <c r="K1675" t="s">
        <v>19</v>
      </c>
      <c r="L1675" t="str">
        <f>_xlfn.XLOOKUP(C1675, Table2[Species],Table2[Genus], "Code Not Found")</f>
        <v>Acer</v>
      </c>
      <c r="M1675" t="str">
        <f>_xlfn.XLOOKUP(C1675, Table2[Species],Table2[Sp. Name], "Code Not Found")</f>
        <v>saccharum</v>
      </c>
      <c r="N1675" t="str">
        <f>_xlfn.XLOOKUP(C1675,Table2[Species],Table2[Family],"Code Not Found")</f>
        <v>Sapindaceae</v>
      </c>
      <c r="O1675" t="str" cm="1">
        <f t="array" ref="O1675">_xlfn.IFS(F1675="","",F1675&lt;=5,"0 to 5",F1675&lt;=10,"5.1 to 10",F1675&lt;=20,"10 to 20", F1675&lt;= 40, "20 to 40", F1675 &lt;= 50, "40 to 50", F1675 &gt; 50, "&gt;50" )</f>
        <v>0 to 5</v>
      </c>
    </row>
    <row r="1676" spans="1:15" ht="15" customHeight="1" x14ac:dyDescent="0.3">
      <c r="A1676" t="s">
        <v>293</v>
      </c>
      <c r="B1676" s="1">
        <v>46199</v>
      </c>
      <c r="C1676" t="s">
        <v>16</v>
      </c>
      <c r="D1676">
        <v>1534</v>
      </c>
      <c r="E1676">
        <v>1</v>
      </c>
      <c r="F1676">
        <v>6.2</v>
      </c>
      <c r="G1676" t="s">
        <v>21</v>
      </c>
      <c r="I1676" t="str">
        <f t="shared" si="28"/>
        <v>1534_1</v>
      </c>
      <c r="J1676" t="s">
        <v>294</v>
      </c>
      <c r="K1676" t="s">
        <v>19</v>
      </c>
      <c r="L1676" t="str">
        <f>_xlfn.XLOOKUP(C1676, Table2[Species],Table2[Genus], "Code Not Found")</f>
        <v>Acer</v>
      </c>
      <c r="M1676" t="str">
        <f>_xlfn.XLOOKUP(C1676, Table2[Species],Table2[Sp. Name], "Code Not Found")</f>
        <v>saccharum</v>
      </c>
      <c r="N1676" t="str">
        <f>_xlfn.XLOOKUP(C1676,Table2[Species],Table2[Family],"Code Not Found")</f>
        <v>Sapindaceae</v>
      </c>
      <c r="O1676" t="str" cm="1">
        <f t="array" ref="O1676">_xlfn.IFS(F1676="","",F1676&lt;=5,"0 to 5",F1676&lt;=10,"5.1 to 10",F1676&lt;=20,"10 to 20", F1676&lt;= 40, "20 to 40", F1676 &lt;= 50, "40 to 50", F1676 &gt; 50, "&gt;50" )</f>
        <v>5.1 to 10</v>
      </c>
    </row>
    <row r="1677" spans="1:15" ht="15" customHeight="1" x14ac:dyDescent="0.3">
      <c r="A1677" t="s">
        <v>293</v>
      </c>
      <c r="B1677" s="1">
        <v>46199</v>
      </c>
      <c r="C1677" t="s">
        <v>16</v>
      </c>
      <c r="D1677">
        <v>1535</v>
      </c>
      <c r="E1677">
        <v>1</v>
      </c>
      <c r="F1677">
        <v>3.5</v>
      </c>
      <c r="G1677" t="s">
        <v>17</v>
      </c>
      <c r="I1677" t="str">
        <f t="shared" si="28"/>
        <v>1535_1</v>
      </c>
      <c r="J1677" t="s">
        <v>294</v>
      </c>
      <c r="K1677" t="s">
        <v>19</v>
      </c>
      <c r="L1677" t="str">
        <f>_xlfn.XLOOKUP(C1677, Table2[Species],Table2[Genus], "Code Not Found")</f>
        <v>Acer</v>
      </c>
      <c r="M1677" t="str">
        <f>_xlfn.XLOOKUP(C1677, Table2[Species],Table2[Sp. Name], "Code Not Found")</f>
        <v>saccharum</v>
      </c>
      <c r="N1677" t="str">
        <f>_xlfn.XLOOKUP(C1677,Table2[Species],Table2[Family],"Code Not Found")</f>
        <v>Sapindaceae</v>
      </c>
      <c r="O1677" t="str" cm="1">
        <f t="array" ref="O1677">_xlfn.IFS(F1677="","",F1677&lt;=5,"0 to 5",F1677&lt;=10,"5.1 to 10",F1677&lt;=20,"10 to 20", F1677&lt;= 40, "20 to 40", F1677 &lt;= 50, "40 to 50", F1677 &gt; 50, "&gt;50" )</f>
        <v>0 to 5</v>
      </c>
    </row>
    <row r="1678" spans="1:15" ht="15" customHeight="1" x14ac:dyDescent="0.3">
      <c r="A1678" t="s">
        <v>293</v>
      </c>
      <c r="B1678" s="1">
        <v>46199</v>
      </c>
      <c r="C1678" t="s">
        <v>22</v>
      </c>
      <c r="D1678">
        <v>1536</v>
      </c>
      <c r="E1678">
        <v>1</v>
      </c>
      <c r="F1678">
        <v>82.8</v>
      </c>
      <c r="G1678" t="s">
        <v>56</v>
      </c>
      <c r="H1678" t="s">
        <v>349</v>
      </c>
      <c r="I1678" t="str">
        <f t="shared" si="28"/>
        <v>1536_1</v>
      </c>
      <c r="J1678" t="s">
        <v>294</v>
      </c>
      <c r="K1678" t="s">
        <v>19</v>
      </c>
      <c r="L1678" t="str">
        <f>_xlfn.XLOOKUP(C1678, Table2[Species],Table2[Genus], "Code Not Found")</f>
        <v>Acer</v>
      </c>
      <c r="M1678" t="str">
        <f>_xlfn.XLOOKUP(C1678, Table2[Species],Table2[Sp. Name], "Code Not Found")</f>
        <v>rubrum</v>
      </c>
      <c r="N1678" t="str">
        <f>_xlfn.XLOOKUP(C1678,Table2[Species],Table2[Family],"Code Not Found")</f>
        <v>Sapindaceae</v>
      </c>
      <c r="O1678" t="str" cm="1">
        <f t="array" ref="O1678">_xlfn.IFS(F1678="","",F1678&lt;=5,"0 to 5",F1678&lt;=10,"5.1 to 10",F1678&lt;=20,"10 to 20", F1678&lt;= 40, "20 to 40", F1678 &lt;= 50, "40 to 50", F1678 &gt; 50, "&gt;50" )</f>
        <v>&gt;50</v>
      </c>
    </row>
    <row r="1679" spans="1:15" ht="15" customHeight="1" x14ac:dyDescent="0.3">
      <c r="A1679" t="s">
        <v>293</v>
      </c>
      <c r="B1679" s="1">
        <v>46199</v>
      </c>
      <c r="C1679" t="s">
        <v>59</v>
      </c>
      <c r="D1679">
        <v>1537</v>
      </c>
      <c r="E1679">
        <v>1</v>
      </c>
      <c r="F1679">
        <v>32.4</v>
      </c>
      <c r="G1679" t="s">
        <v>17</v>
      </c>
      <c r="I1679" t="str">
        <f t="shared" si="28"/>
        <v>1537_1</v>
      </c>
      <c r="J1679" t="s">
        <v>294</v>
      </c>
      <c r="K1679" t="s">
        <v>19</v>
      </c>
      <c r="L1679" t="str">
        <f>_xlfn.XLOOKUP(C1679, Table2[Species],Table2[Genus], "Code Not Found")</f>
        <v>Nyssa</v>
      </c>
      <c r="M1679" t="str">
        <f>_xlfn.XLOOKUP(C1679, Table2[Species],Table2[Sp. Name], "Code Not Found")</f>
        <v>sylvatica</v>
      </c>
      <c r="N1679" t="str">
        <f>_xlfn.XLOOKUP(C1679,Table2[Species],Table2[Family],"Code Not Found")</f>
        <v>Nyssaceae</v>
      </c>
      <c r="O1679" t="str" cm="1">
        <f t="array" ref="O1679">_xlfn.IFS(F1679="","",F1679&lt;=5,"0 to 5",F1679&lt;=10,"5.1 to 10",F1679&lt;=20,"10 to 20", F1679&lt;= 40, "20 to 40", F1679 &lt;= 50, "40 to 50", F1679 &gt; 50, "&gt;50" )</f>
        <v>20 to 40</v>
      </c>
    </row>
    <row r="1680" spans="1:15" ht="15" customHeight="1" x14ac:dyDescent="0.3">
      <c r="A1680" t="s">
        <v>293</v>
      </c>
      <c r="B1680" s="1">
        <v>46199</v>
      </c>
      <c r="C1680" t="s">
        <v>16</v>
      </c>
      <c r="D1680">
        <v>1538</v>
      </c>
      <c r="E1680">
        <v>1</v>
      </c>
      <c r="F1680">
        <v>10.4</v>
      </c>
      <c r="G1680" t="s">
        <v>21</v>
      </c>
      <c r="I1680" t="str">
        <f t="shared" si="28"/>
        <v>1538_1</v>
      </c>
      <c r="J1680" t="s">
        <v>294</v>
      </c>
      <c r="K1680" t="s">
        <v>19</v>
      </c>
      <c r="L1680" t="str">
        <f>_xlfn.XLOOKUP(C1680, Table2[Species],Table2[Genus], "Code Not Found")</f>
        <v>Acer</v>
      </c>
      <c r="M1680" t="str">
        <f>_xlfn.XLOOKUP(C1680, Table2[Species],Table2[Sp. Name], "Code Not Found")</f>
        <v>saccharum</v>
      </c>
      <c r="N1680" t="str">
        <f>_xlfn.XLOOKUP(C1680,Table2[Species],Table2[Family],"Code Not Found")</f>
        <v>Sapindaceae</v>
      </c>
      <c r="O1680" t="str" cm="1">
        <f t="array" ref="O1680">_xlfn.IFS(F1680="","",F1680&lt;=5,"0 to 5",F1680&lt;=10,"5.1 to 10",F1680&lt;=20,"10 to 20", F1680&lt;= 40, "20 to 40", F1680 &lt;= 50, "40 to 50", F1680 &gt; 50, "&gt;50" )</f>
        <v>10 to 20</v>
      </c>
    </row>
    <row r="1681" spans="1:15" ht="15" customHeight="1" x14ac:dyDescent="0.3">
      <c r="A1681" t="s">
        <v>293</v>
      </c>
      <c r="B1681" s="1">
        <v>46199</v>
      </c>
      <c r="C1681" t="s">
        <v>24</v>
      </c>
      <c r="D1681">
        <v>1539</v>
      </c>
      <c r="E1681">
        <v>1</v>
      </c>
      <c r="F1681">
        <v>79.2</v>
      </c>
      <c r="G1681" t="s">
        <v>21</v>
      </c>
      <c r="I1681" t="str">
        <f t="shared" si="28"/>
        <v>1539_1</v>
      </c>
      <c r="J1681" t="s">
        <v>294</v>
      </c>
      <c r="K1681" t="s">
        <v>19</v>
      </c>
      <c r="L1681" t="str">
        <f>_xlfn.XLOOKUP(C1681, Table2[Species],Table2[Genus], "Code Not Found")</f>
        <v>Lirodendron</v>
      </c>
      <c r="M1681" t="str">
        <f>_xlfn.XLOOKUP(C1681, Table2[Species],Table2[Sp. Name], "Code Not Found")</f>
        <v>tulipfera</v>
      </c>
      <c r="N1681" t="str">
        <f>_xlfn.XLOOKUP(C1681,Table2[Species],Table2[Family],"Code Not Found")</f>
        <v>Magnoliaceae</v>
      </c>
      <c r="O1681" t="str" cm="1">
        <f t="array" ref="O1681">_xlfn.IFS(F1681="","",F1681&lt;=5,"0 to 5",F1681&lt;=10,"5.1 to 10",F1681&lt;=20,"10 to 20", F1681&lt;= 40, "20 to 40", F1681 &lt;= 50, "40 to 50", F1681 &gt; 50, "&gt;50" )</f>
        <v>&gt;50</v>
      </c>
    </row>
    <row r="1682" spans="1:15" ht="15" customHeight="1" x14ac:dyDescent="0.3">
      <c r="A1682" t="s">
        <v>293</v>
      </c>
      <c r="B1682" s="1">
        <v>46199</v>
      </c>
      <c r="C1682" t="s">
        <v>16</v>
      </c>
      <c r="D1682">
        <v>1540</v>
      </c>
      <c r="E1682">
        <v>1</v>
      </c>
      <c r="F1682">
        <v>4.8</v>
      </c>
      <c r="G1682" t="s">
        <v>47</v>
      </c>
      <c r="H1682" t="s">
        <v>43</v>
      </c>
      <c r="I1682" t="str">
        <f t="shared" si="28"/>
        <v>1540_1</v>
      </c>
      <c r="J1682" t="s">
        <v>294</v>
      </c>
      <c r="K1682" t="s">
        <v>19</v>
      </c>
      <c r="L1682" t="str">
        <f>_xlfn.XLOOKUP(C1682, Table2[Species],Table2[Genus], "Code Not Found")</f>
        <v>Acer</v>
      </c>
      <c r="M1682" t="str">
        <f>_xlfn.XLOOKUP(C1682, Table2[Species],Table2[Sp. Name], "Code Not Found")</f>
        <v>saccharum</v>
      </c>
      <c r="N1682" t="str">
        <f>_xlfn.XLOOKUP(C1682,Table2[Species],Table2[Family],"Code Not Found")</f>
        <v>Sapindaceae</v>
      </c>
      <c r="O1682" t="str" cm="1">
        <f t="array" ref="O1682">_xlfn.IFS(F1682="","",F1682&lt;=5,"0 to 5",F1682&lt;=10,"5.1 to 10",F1682&lt;=20,"10 to 20", F1682&lt;= 40, "20 to 40", F1682 &lt;= 50, "40 to 50", F1682 &gt; 50, "&gt;50" )</f>
        <v>0 to 5</v>
      </c>
    </row>
    <row r="1683" spans="1:15" ht="15" customHeight="1" x14ac:dyDescent="0.3">
      <c r="A1683" t="s">
        <v>293</v>
      </c>
      <c r="B1683" s="1">
        <v>46199</v>
      </c>
      <c r="C1683" t="s">
        <v>16</v>
      </c>
      <c r="D1683">
        <v>1541</v>
      </c>
      <c r="E1683">
        <v>1</v>
      </c>
      <c r="F1683">
        <v>3.9</v>
      </c>
      <c r="G1683" t="s">
        <v>47</v>
      </c>
      <c r="H1683" t="s">
        <v>43</v>
      </c>
      <c r="I1683" t="str">
        <f t="shared" si="28"/>
        <v>1541_1</v>
      </c>
      <c r="J1683" t="s">
        <v>294</v>
      </c>
      <c r="K1683" t="s">
        <v>19</v>
      </c>
      <c r="L1683" t="str">
        <f>_xlfn.XLOOKUP(C1683, Table2[Species],Table2[Genus], "Code Not Found")</f>
        <v>Acer</v>
      </c>
      <c r="M1683" t="str">
        <f>_xlfn.XLOOKUP(C1683, Table2[Species],Table2[Sp. Name], "Code Not Found")</f>
        <v>saccharum</v>
      </c>
      <c r="N1683" t="str">
        <f>_xlfn.XLOOKUP(C1683,Table2[Species],Table2[Family],"Code Not Found")</f>
        <v>Sapindaceae</v>
      </c>
      <c r="O1683" t="str" cm="1">
        <f t="array" ref="O1683">_xlfn.IFS(F1683="","",F1683&lt;=5,"0 to 5",F1683&lt;=10,"5.1 to 10",F1683&lt;=20,"10 to 20", F1683&lt;= 40, "20 to 40", F1683 &lt;= 50, "40 to 50", F1683 &gt; 50, "&gt;50" )</f>
        <v>0 to 5</v>
      </c>
    </row>
    <row r="1684" spans="1:15" ht="15" customHeight="1" x14ac:dyDescent="0.3">
      <c r="A1684" t="s">
        <v>293</v>
      </c>
      <c r="B1684" s="1">
        <v>46199</v>
      </c>
      <c r="C1684" t="s">
        <v>16</v>
      </c>
      <c r="D1684">
        <v>1542</v>
      </c>
      <c r="E1684">
        <v>1</v>
      </c>
      <c r="F1684">
        <v>7.5</v>
      </c>
      <c r="G1684" t="s">
        <v>17</v>
      </c>
      <c r="I1684" t="str">
        <f t="shared" si="28"/>
        <v>1542_1</v>
      </c>
      <c r="J1684" t="s">
        <v>294</v>
      </c>
      <c r="K1684" t="s">
        <v>19</v>
      </c>
      <c r="L1684" t="str">
        <f>_xlfn.XLOOKUP(C1684, Table2[Species],Table2[Genus], "Code Not Found")</f>
        <v>Acer</v>
      </c>
      <c r="M1684" t="str">
        <f>_xlfn.XLOOKUP(C1684, Table2[Species],Table2[Sp. Name], "Code Not Found")</f>
        <v>saccharum</v>
      </c>
      <c r="N1684" t="str">
        <f>_xlfn.XLOOKUP(C1684,Table2[Species],Table2[Family],"Code Not Found")</f>
        <v>Sapindaceae</v>
      </c>
      <c r="O1684" t="str" cm="1">
        <f t="array" ref="O1684">_xlfn.IFS(F1684="","",F1684&lt;=5,"0 to 5",F1684&lt;=10,"5.1 to 10",F1684&lt;=20,"10 to 20", F1684&lt;= 40, "20 to 40", F1684 &lt;= 50, "40 to 50", F1684 &gt; 50, "&gt;50" )</f>
        <v>5.1 to 10</v>
      </c>
    </row>
    <row r="1685" spans="1:15" ht="15" customHeight="1" x14ac:dyDescent="0.3">
      <c r="A1685" t="s">
        <v>293</v>
      </c>
      <c r="B1685" s="1">
        <v>46199</v>
      </c>
      <c r="C1685" t="s">
        <v>64</v>
      </c>
      <c r="D1685">
        <v>1543</v>
      </c>
      <c r="E1685">
        <v>1</v>
      </c>
      <c r="F1685">
        <v>3.7</v>
      </c>
      <c r="G1685" t="s">
        <v>17</v>
      </c>
      <c r="I1685" t="str">
        <f t="shared" si="28"/>
        <v>1543_1</v>
      </c>
      <c r="J1685" t="s">
        <v>294</v>
      </c>
      <c r="K1685" t="s">
        <v>19</v>
      </c>
      <c r="L1685" t="str">
        <f>_xlfn.XLOOKUP(C1685, Table2[Species],Table2[Genus], "Code Not Found")</f>
        <v>Fagus</v>
      </c>
      <c r="M1685" t="str">
        <f>_xlfn.XLOOKUP(C1685, Table2[Species],Table2[Sp. Name], "Code Not Found")</f>
        <v>grandifolia</v>
      </c>
      <c r="N1685" t="str">
        <f>_xlfn.XLOOKUP(C1685,Table2[Species],Table2[Family],"Code Not Found")</f>
        <v>Fagaceae</v>
      </c>
      <c r="O1685" t="str" cm="1">
        <f t="array" ref="O1685">_xlfn.IFS(F1685="","",F1685&lt;=5,"0 to 5",F1685&lt;=10,"5.1 to 10",F1685&lt;=20,"10 to 20", F1685&lt;= 40, "20 to 40", F1685 &lt;= 50, "40 to 50", F1685 &gt; 50, "&gt;50" )</f>
        <v>0 to 5</v>
      </c>
    </row>
    <row r="1686" spans="1:15" ht="15" customHeight="1" x14ac:dyDescent="0.3">
      <c r="A1686" t="s">
        <v>293</v>
      </c>
      <c r="B1686" s="1">
        <v>46199</v>
      </c>
      <c r="C1686" t="s">
        <v>16</v>
      </c>
      <c r="D1686">
        <v>1544</v>
      </c>
      <c r="E1686">
        <v>1</v>
      </c>
      <c r="F1686">
        <v>5.2</v>
      </c>
      <c r="G1686" t="s">
        <v>17</v>
      </c>
      <c r="I1686" t="str">
        <f t="shared" si="28"/>
        <v>1544_1</v>
      </c>
      <c r="J1686" t="s">
        <v>294</v>
      </c>
      <c r="K1686" t="s">
        <v>19</v>
      </c>
      <c r="L1686" t="str">
        <f>_xlfn.XLOOKUP(C1686, Table2[Species],Table2[Genus], "Code Not Found")</f>
        <v>Acer</v>
      </c>
      <c r="M1686" t="str">
        <f>_xlfn.XLOOKUP(C1686, Table2[Species],Table2[Sp. Name], "Code Not Found")</f>
        <v>saccharum</v>
      </c>
      <c r="N1686" t="str">
        <f>_xlfn.XLOOKUP(C1686,Table2[Species],Table2[Family],"Code Not Found")</f>
        <v>Sapindaceae</v>
      </c>
      <c r="O1686" t="str" cm="1">
        <f t="array" ref="O1686">_xlfn.IFS(F1686="","",F1686&lt;=5,"0 to 5",F1686&lt;=10,"5.1 to 10",F1686&lt;=20,"10 to 20", F1686&lt;= 40, "20 to 40", F1686 &lt;= 50, "40 to 50", F1686 &gt; 50, "&gt;50" )</f>
        <v>5.1 to 10</v>
      </c>
    </row>
    <row r="1687" spans="1:15" ht="15" customHeight="1" x14ac:dyDescent="0.3">
      <c r="A1687" t="s">
        <v>293</v>
      </c>
      <c r="B1687" s="1">
        <v>46199</v>
      </c>
      <c r="C1687" t="s">
        <v>16</v>
      </c>
      <c r="D1687">
        <v>1545</v>
      </c>
      <c r="E1687">
        <v>1</v>
      </c>
      <c r="F1687">
        <v>3.1</v>
      </c>
      <c r="G1687" t="s">
        <v>17</v>
      </c>
      <c r="I1687" t="str">
        <f t="shared" si="28"/>
        <v>1545_1</v>
      </c>
      <c r="J1687" t="s">
        <v>294</v>
      </c>
      <c r="K1687" t="s">
        <v>19</v>
      </c>
      <c r="L1687" t="str">
        <f>_xlfn.XLOOKUP(C1687, Table2[Species],Table2[Genus], "Code Not Found")</f>
        <v>Acer</v>
      </c>
      <c r="M1687" t="str">
        <f>_xlfn.XLOOKUP(C1687, Table2[Species],Table2[Sp. Name], "Code Not Found")</f>
        <v>saccharum</v>
      </c>
      <c r="N1687" t="str">
        <f>_xlfn.XLOOKUP(C1687,Table2[Species],Table2[Family],"Code Not Found")</f>
        <v>Sapindaceae</v>
      </c>
      <c r="O1687" t="str" cm="1">
        <f t="array" ref="O1687">_xlfn.IFS(F1687="","",F1687&lt;=5,"0 to 5",F1687&lt;=10,"5.1 to 10",F1687&lt;=20,"10 to 20", F1687&lt;= 40, "20 to 40", F1687 &lt;= 50, "40 to 50", F1687 &gt; 50, "&gt;50" )</f>
        <v>0 to 5</v>
      </c>
    </row>
    <row r="1688" spans="1:15" ht="15" customHeight="1" x14ac:dyDescent="0.3">
      <c r="A1688" t="s">
        <v>293</v>
      </c>
      <c r="B1688" s="1">
        <v>46199</v>
      </c>
      <c r="C1688" t="s">
        <v>64</v>
      </c>
      <c r="D1688">
        <v>1546</v>
      </c>
      <c r="E1688">
        <v>1</v>
      </c>
      <c r="F1688">
        <v>55.6</v>
      </c>
      <c r="G1688" t="s">
        <v>34</v>
      </c>
      <c r="I1688" t="str">
        <f t="shared" si="28"/>
        <v>1546_1</v>
      </c>
      <c r="J1688" t="s">
        <v>294</v>
      </c>
      <c r="K1688" t="s">
        <v>19</v>
      </c>
      <c r="L1688" t="str">
        <f>_xlfn.XLOOKUP(C1688, Table2[Species],Table2[Genus], "Code Not Found")</f>
        <v>Fagus</v>
      </c>
      <c r="M1688" t="str">
        <f>_xlfn.XLOOKUP(C1688, Table2[Species],Table2[Sp. Name], "Code Not Found")</f>
        <v>grandifolia</v>
      </c>
      <c r="N1688" t="str">
        <f>_xlfn.XLOOKUP(C1688,Table2[Species],Table2[Family],"Code Not Found")</f>
        <v>Fagaceae</v>
      </c>
      <c r="O1688" t="str" cm="1">
        <f t="array" ref="O1688">_xlfn.IFS(F1688="","",F1688&lt;=5,"0 to 5",F1688&lt;=10,"5.1 to 10",F1688&lt;=20,"10 to 20", F1688&lt;= 40, "20 to 40", F1688 &lt;= 50, "40 to 50", F1688 &gt; 50, "&gt;50" )</f>
        <v>&gt;50</v>
      </c>
    </row>
    <row r="1689" spans="1:15" ht="15" customHeight="1" x14ac:dyDescent="0.3">
      <c r="A1689" t="s">
        <v>293</v>
      </c>
      <c r="B1689" s="1">
        <v>46199</v>
      </c>
      <c r="C1689" t="s">
        <v>64</v>
      </c>
      <c r="D1689">
        <v>1546</v>
      </c>
      <c r="E1689">
        <v>2</v>
      </c>
      <c r="F1689">
        <v>5.0999999999999996</v>
      </c>
      <c r="G1689" t="s">
        <v>32</v>
      </c>
      <c r="I1689" t="str">
        <f t="shared" si="28"/>
        <v>1546_2</v>
      </c>
      <c r="J1689" t="s">
        <v>294</v>
      </c>
      <c r="K1689" t="s">
        <v>19</v>
      </c>
      <c r="L1689" t="str">
        <f>_xlfn.XLOOKUP(C1689, Table2[Species],Table2[Genus], "Code Not Found")</f>
        <v>Fagus</v>
      </c>
      <c r="M1689" t="str">
        <f>_xlfn.XLOOKUP(C1689, Table2[Species],Table2[Sp. Name], "Code Not Found")</f>
        <v>grandifolia</v>
      </c>
      <c r="N1689" t="str">
        <f>_xlfn.XLOOKUP(C1689,Table2[Species],Table2[Family],"Code Not Found")</f>
        <v>Fagaceae</v>
      </c>
      <c r="O1689" t="str" cm="1">
        <f t="array" ref="O1689">_xlfn.IFS(F1689="","",F1689&lt;=5,"0 to 5",F1689&lt;=10,"5.1 to 10",F1689&lt;=20,"10 to 20", F1689&lt;= 40, "20 to 40", F1689 &lt;= 50, "40 to 50", F1689 &gt; 50, "&gt;50" )</f>
        <v>5.1 to 10</v>
      </c>
    </row>
    <row r="1690" spans="1:15" ht="15" customHeight="1" x14ac:dyDescent="0.3">
      <c r="A1690" t="s">
        <v>293</v>
      </c>
      <c r="B1690" s="1">
        <v>46199</v>
      </c>
      <c r="C1690" t="s">
        <v>64</v>
      </c>
      <c r="D1690">
        <v>1546</v>
      </c>
      <c r="E1690">
        <v>2.2000000000000002</v>
      </c>
      <c r="F1690">
        <v>2.2999999999999998</v>
      </c>
      <c r="G1690" t="s">
        <v>350</v>
      </c>
      <c r="H1690" t="s">
        <v>99</v>
      </c>
      <c r="I1690" t="str">
        <f t="shared" si="28"/>
        <v>1546_2.2</v>
      </c>
      <c r="J1690" t="s">
        <v>294</v>
      </c>
      <c r="K1690" t="s">
        <v>19</v>
      </c>
      <c r="L1690" t="str">
        <f>_xlfn.XLOOKUP(C1690, Table2[Species],Table2[Genus], "Code Not Found")</f>
        <v>Fagus</v>
      </c>
      <c r="M1690" t="str">
        <f>_xlfn.XLOOKUP(C1690, Table2[Species],Table2[Sp. Name], "Code Not Found")</f>
        <v>grandifolia</v>
      </c>
      <c r="N1690" t="str">
        <f>_xlfn.XLOOKUP(C1690,Table2[Species],Table2[Family],"Code Not Found")</f>
        <v>Fagaceae</v>
      </c>
      <c r="O1690" t="str" cm="1">
        <f t="array" ref="O1690">_xlfn.IFS(F1690="","",F1690&lt;=5,"0 to 5",F1690&lt;=10,"5.1 to 10",F1690&lt;=20,"10 to 20", F1690&lt;= 40, "20 to 40", F1690 &lt;= 50, "40 to 50", F1690 &gt; 50, "&gt;50" )</f>
        <v>0 to 5</v>
      </c>
    </row>
    <row r="1691" spans="1:15" ht="15" customHeight="1" x14ac:dyDescent="0.3">
      <c r="A1691" t="s">
        <v>293</v>
      </c>
      <c r="B1691" s="1">
        <v>46199</v>
      </c>
      <c r="C1691" t="s">
        <v>64</v>
      </c>
      <c r="D1691">
        <v>1546</v>
      </c>
      <c r="E1691">
        <v>3</v>
      </c>
      <c r="F1691">
        <v>1.4</v>
      </c>
      <c r="G1691" t="s">
        <v>32</v>
      </c>
      <c r="I1691" t="str">
        <f t="shared" si="28"/>
        <v>1546_3</v>
      </c>
      <c r="J1691" t="s">
        <v>294</v>
      </c>
      <c r="K1691" t="s">
        <v>19</v>
      </c>
      <c r="L1691" t="str">
        <f>_xlfn.XLOOKUP(C1691, Table2[Species],Table2[Genus], "Code Not Found")</f>
        <v>Fagus</v>
      </c>
      <c r="M1691" t="str">
        <f>_xlfn.XLOOKUP(C1691, Table2[Species],Table2[Sp. Name], "Code Not Found")</f>
        <v>grandifolia</v>
      </c>
      <c r="N1691" t="str">
        <f>_xlfn.XLOOKUP(C1691,Table2[Species],Table2[Family],"Code Not Found")</f>
        <v>Fagaceae</v>
      </c>
      <c r="O1691" t="str" cm="1">
        <f t="array" ref="O1691">_xlfn.IFS(F1691="","",F1691&lt;=5,"0 to 5",F1691&lt;=10,"5.1 to 10",F1691&lt;=20,"10 to 20", F1691&lt;= 40, "20 to 40", F1691 &lt;= 50, "40 to 50", F1691 &gt; 50, "&gt;50" )</f>
        <v>0 to 5</v>
      </c>
    </row>
    <row r="1692" spans="1:15" ht="15" customHeight="1" x14ac:dyDescent="0.3">
      <c r="A1692" t="s">
        <v>293</v>
      </c>
      <c r="B1692" s="1">
        <v>46199</v>
      </c>
      <c r="C1692" t="s">
        <v>64</v>
      </c>
      <c r="D1692">
        <v>1546</v>
      </c>
      <c r="E1692">
        <v>4</v>
      </c>
      <c r="F1692">
        <v>6.7</v>
      </c>
      <c r="G1692" t="s">
        <v>32</v>
      </c>
      <c r="I1692" t="str">
        <f t="shared" si="28"/>
        <v>1546_4</v>
      </c>
      <c r="J1692" t="s">
        <v>294</v>
      </c>
      <c r="K1692" t="s">
        <v>19</v>
      </c>
      <c r="L1692" t="str">
        <f>_xlfn.XLOOKUP(C1692, Table2[Species],Table2[Genus], "Code Not Found")</f>
        <v>Fagus</v>
      </c>
      <c r="M1692" t="str">
        <f>_xlfn.XLOOKUP(C1692, Table2[Species],Table2[Sp. Name], "Code Not Found")</f>
        <v>grandifolia</v>
      </c>
      <c r="N1692" t="str">
        <f>_xlfn.XLOOKUP(C1692,Table2[Species],Table2[Family],"Code Not Found")</f>
        <v>Fagaceae</v>
      </c>
      <c r="O1692" t="str" cm="1">
        <f t="array" ref="O1692">_xlfn.IFS(F1692="","",F1692&lt;=5,"0 to 5",F1692&lt;=10,"5.1 to 10",F1692&lt;=20,"10 to 20", F1692&lt;= 40, "20 to 40", F1692 &lt;= 50, "40 to 50", F1692 &gt; 50, "&gt;50" )</f>
        <v>5.1 to 10</v>
      </c>
    </row>
    <row r="1693" spans="1:15" ht="15" customHeight="1" x14ac:dyDescent="0.3">
      <c r="A1693" t="s">
        <v>293</v>
      </c>
      <c r="B1693" s="1">
        <v>46199</v>
      </c>
      <c r="C1693" t="s">
        <v>123</v>
      </c>
      <c r="D1693">
        <v>1547</v>
      </c>
      <c r="E1693">
        <v>1</v>
      </c>
      <c r="F1693">
        <v>66</v>
      </c>
      <c r="G1693" t="s">
        <v>17</v>
      </c>
      <c r="I1693" t="str">
        <f t="shared" si="28"/>
        <v>1547_1</v>
      </c>
      <c r="J1693" t="s">
        <v>294</v>
      </c>
      <c r="K1693" t="s">
        <v>19</v>
      </c>
      <c r="L1693" t="str">
        <f>_xlfn.XLOOKUP(C1693, Table2[Species],Table2[Genus], "Code Not Found")</f>
        <v>Quercus</v>
      </c>
      <c r="M1693" t="str">
        <f>_xlfn.XLOOKUP(C1693, Table2[Species],Table2[Sp. Name], "Code Not Found")</f>
        <v>rubra</v>
      </c>
      <c r="N1693" t="str">
        <f>_xlfn.XLOOKUP(C1693,Table2[Species],Table2[Family],"Code Not Found")</f>
        <v>Fagaceae</v>
      </c>
      <c r="O1693" t="str" cm="1">
        <f t="array" ref="O1693">_xlfn.IFS(F1693="","",F1693&lt;=5,"0 to 5",F1693&lt;=10,"5.1 to 10",F1693&lt;=20,"10 to 20", F1693&lt;= 40, "20 to 40", F1693 &lt;= 50, "40 to 50", F1693 &gt; 50, "&gt;50" )</f>
        <v>&gt;50</v>
      </c>
    </row>
    <row r="1694" spans="1:15" ht="15" customHeight="1" x14ac:dyDescent="0.3">
      <c r="A1694" t="s">
        <v>293</v>
      </c>
      <c r="B1694" s="1">
        <v>46199</v>
      </c>
      <c r="C1694" t="s">
        <v>16</v>
      </c>
      <c r="D1694">
        <v>1548</v>
      </c>
      <c r="E1694">
        <v>1</v>
      </c>
      <c r="F1694">
        <v>3.7</v>
      </c>
      <c r="G1694" t="s">
        <v>17</v>
      </c>
      <c r="I1694" t="str">
        <f t="shared" si="28"/>
        <v>1548_1</v>
      </c>
      <c r="J1694" t="s">
        <v>294</v>
      </c>
      <c r="K1694" t="s">
        <v>19</v>
      </c>
      <c r="L1694" t="str">
        <f>_xlfn.XLOOKUP(C1694, Table2[Species],Table2[Genus], "Code Not Found")</f>
        <v>Acer</v>
      </c>
      <c r="M1694" t="str">
        <f>_xlfn.XLOOKUP(C1694, Table2[Species],Table2[Sp. Name], "Code Not Found")</f>
        <v>saccharum</v>
      </c>
      <c r="N1694" t="str">
        <f>_xlfn.XLOOKUP(C1694,Table2[Species],Table2[Family],"Code Not Found")</f>
        <v>Sapindaceae</v>
      </c>
      <c r="O1694" t="str" cm="1">
        <f t="array" ref="O1694">_xlfn.IFS(F1694="","",F1694&lt;=5,"0 to 5",F1694&lt;=10,"5.1 to 10",F1694&lt;=20,"10 to 20", F1694&lt;= 40, "20 to 40", F1694 &lt;= 50, "40 to 50", F1694 &gt; 50, "&gt;50" )</f>
        <v>0 to 5</v>
      </c>
    </row>
    <row r="1695" spans="1:15" ht="15" customHeight="1" x14ac:dyDescent="0.3">
      <c r="A1695" t="s">
        <v>293</v>
      </c>
      <c r="B1695" s="1">
        <v>46199</v>
      </c>
      <c r="C1695" t="s">
        <v>16</v>
      </c>
      <c r="D1695">
        <v>1549</v>
      </c>
      <c r="E1695">
        <v>1</v>
      </c>
      <c r="F1695">
        <v>3.5</v>
      </c>
      <c r="G1695" t="s">
        <v>17</v>
      </c>
      <c r="I1695" t="str">
        <f t="shared" si="28"/>
        <v>1549_1</v>
      </c>
      <c r="J1695" t="s">
        <v>294</v>
      </c>
      <c r="K1695" t="s">
        <v>19</v>
      </c>
      <c r="L1695" t="str">
        <f>_xlfn.XLOOKUP(C1695, Table2[Species],Table2[Genus], "Code Not Found")</f>
        <v>Acer</v>
      </c>
      <c r="M1695" t="str">
        <f>_xlfn.XLOOKUP(C1695, Table2[Species],Table2[Sp. Name], "Code Not Found")</f>
        <v>saccharum</v>
      </c>
      <c r="N1695" t="str">
        <f>_xlfn.XLOOKUP(C1695,Table2[Species],Table2[Family],"Code Not Found")</f>
        <v>Sapindaceae</v>
      </c>
      <c r="O1695" t="str" cm="1">
        <f t="array" ref="O1695">_xlfn.IFS(F1695="","",F1695&lt;=5,"0 to 5",F1695&lt;=10,"5.1 to 10",F1695&lt;=20,"10 to 20", F1695&lt;= 40, "20 to 40", F1695 &lt;= 50, "40 to 50", F1695 &gt; 50, "&gt;50" )</f>
        <v>0 to 5</v>
      </c>
    </row>
    <row r="1696" spans="1:15" ht="15" customHeight="1" x14ac:dyDescent="0.3">
      <c r="A1696" t="s">
        <v>293</v>
      </c>
      <c r="B1696" s="1">
        <v>46199</v>
      </c>
      <c r="C1696" t="s">
        <v>22</v>
      </c>
      <c r="D1696">
        <v>1550</v>
      </c>
      <c r="E1696">
        <v>1</v>
      </c>
      <c r="F1696">
        <v>41.6</v>
      </c>
      <c r="G1696" t="s">
        <v>17</v>
      </c>
      <c r="I1696" t="str">
        <f t="shared" si="28"/>
        <v>1550_1</v>
      </c>
      <c r="J1696" t="s">
        <v>294</v>
      </c>
      <c r="K1696" t="s">
        <v>19</v>
      </c>
      <c r="L1696" t="str">
        <f>_xlfn.XLOOKUP(C1696, Table2[Species],Table2[Genus], "Code Not Found")</f>
        <v>Acer</v>
      </c>
      <c r="M1696" t="str">
        <f>_xlfn.XLOOKUP(C1696, Table2[Species],Table2[Sp. Name], "Code Not Found")</f>
        <v>rubrum</v>
      </c>
      <c r="N1696" t="str">
        <f>_xlfn.XLOOKUP(C1696,Table2[Species],Table2[Family],"Code Not Found")</f>
        <v>Sapindaceae</v>
      </c>
      <c r="O1696" t="str" cm="1">
        <f t="array" ref="O1696">_xlfn.IFS(F1696="","",F1696&lt;=5,"0 to 5",F1696&lt;=10,"5.1 to 10",F1696&lt;=20,"10 to 20", F1696&lt;= 40, "20 to 40", F1696 &lt;= 50, "40 to 50", F1696 &gt; 50, "&gt;50" )</f>
        <v>40 to 50</v>
      </c>
    </row>
    <row r="1697" spans="1:15" ht="15" customHeight="1" x14ac:dyDescent="0.3">
      <c r="A1697" t="s">
        <v>293</v>
      </c>
      <c r="B1697" s="1">
        <v>46199</v>
      </c>
      <c r="C1697" t="s">
        <v>22</v>
      </c>
      <c r="D1697">
        <v>1551</v>
      </c>
      <c r="E1697">
        <v>1</v>
      </c>
      <c r="F1697">
        <v>27.8</v>
      </c>
      <c r="G1697" t="s">
        <v>17</v>
      </c>
      <c r="I1697" t="str">
        <f t="shared" si="28"/>
        <v>1551_1</v>
      </c>
      <c r="J1697" t="s">
        <v>294</v>
      </c>
      <c r="K1697" t="s">
        <v>19</v>
      </c>
      <c r="L1697" t="str">
        <f>_xlfn.XLOOKUP(C1697, Table2[Species],Table2[Genus], "Code Not Found")</f>
        <v>Acer</v>
      </c>
      <c r="M1697" t="str">
        <f>_xlfn.XLOOKUP(C1697, Table2[Species],Table2[Sp. Name], "Code Not Found")</f>
        <v>rubrum</v>
      </c>
      <c r="N1697" t="str">
        <f>_xlfn.XLOOKUP(C1697,Table2[Species],Table2[Family],"Code Not Found")</f>
        <v>Sapindaceae</v>
      </c>
      <c r="O1697" t="str" cm="1">
        <f t="array" ref="O1697">_xlfn.IFS(F1697="","",F1697&lt;=5,"0 to 5",F1697&lt;=10,"5.1 to 10",F1697&lt;=20,"10 to 20", F1697&lt;= 40, "20 to 40", F1697 &lt;= 50, "40 to 50", F1697 &gt; 50, "&gt;50" )</f>
        <v>20 to 40</v>
      </c>
    </row>
    <row r="1698" spans="1:15" ht="15" customHeight="1" x14ac:dyDescent="0.3">
      <c r="A1698" t="s">
        <v>293</v>
      </c>
      <c r="B1698" s="1">
        <v>46199</v>
      </c>
      <c r="C1698" t="s">
        <v>16</v>
      </c>
      <c r="D1698">
        <v>1552</v>
      </c>
      <c r="E1698">
        <v>1</v>
      </c>
      <c r="F1698">
        <v>4.4000000000000004</v>
      </c>
      <c r="G1698" t="s">
        <v>17</v>
      </c>
      <c r="I1698" t="str">
        <f t="shared" si="28"/>
        <v>1552_1</v>
      </c>
      <c r="J1698" t="s">
        <v>294</v>
      </c>
      <c r="K1698" t="s">
        <v>19</v>
      </c>
      <c r="L1698" t="str">
        <f>_xlfn.XLOOKUP(C1698, Table2[Species],Table2[Genus], "Code Not Found")</f>
        <v>Acer</v>
      </c>
      <c r="M1698" t="str">
        <f>_xlfn.XLOOKUP(C1698, Table2[Species],Table2[Sp. Name], "Code Not Found")</f>
        <v>saccharum</v>
      </c>
      <c r="N1698" t="str">
        <f>_xlfn.XLOOKUP(C1698,Table2[Species],Table2[Family],"Code Not Found")</f>
        <v>Sapindaceae</v>
      </c>
      <c r="O1698" t="str" cm="1">
        <f t="array" ref="O1698">_xlfn.IFS(F1698="","",F1698&lt;=5,"0 to 5",F1698&lt;=10,"5.1 to 10",F1698&lt;=20,"10 to 20", F1698&lt;= 40, "20 to 40", F1698 &lt;= 50, "40 to 50", F1698 &gt; 50, "&gt;50" )</f>
        <v>0 to 5</v>
      </c>
    </row>
    <row r="1699" spans="1:15" ht="15" customHeight="1" x14ac:dyDescent="0.3">
      <c r="A1699" t="s">
        <v>293</v>
      </c>
      <c r="B1699" s="1">
        <v>46199</v>
      </c>
      <c r="C1699" t="s">
        <v>16</v>
      </c>
      <c r="D1699">
        <v>1553</v>
      </c>
      <c r="E1699">
        <v>1</v>
      </c>
      <c r="F1699">
        <v>1.3</v>
      </c>
      <c r="G1699" t="s">
        <v>88</v>
      </c>
      <c r="H1699" t="s">
        <v>99</v>
      </c>
      <c r="I1699" t="str">
        <f t="shared" ref="I1699:I1762" si="29">D1699&amp;"_"&amp;E1699</f>
        <v>1553_1</v>
      </c>
      <c r="J1699" t="s">
        <v>294</v>
      </c>
      <c r="K1699" t="s">
        <v>19</v>
      </c>
      <c r="L1699" t="str">
        <f>_xlfn.XLOOKUP(C1699, Table2[Species],Table2[Genus], "Code Not Found")</f>
        <v>Acer</v>
      </c>
      <c r="M1699" t="str">
        <f>_xlfn.XLOOKUP(C1699, Table2[Species],Table2[Sp. Name], "Code Not Found")</f>
        <v>saccharum</v>
      </c>
      <c r="N1699" t="str">
        <f>_xlfn.XLOOKUP(C1699,Table2[Species],Table2[Family],"Code Not Found")</f>
        <v>Sapindaceae</v>
      </c>
      <c r="O1699" t="str" cm="1">
        <f t="array" ref="O1699">_xlfn.IFS(F1699="","",F1699&lt;=5,"0 to 5",F1699&lt;=10,"5.1 to 10",F1699&lt;=20,"10 to 20", F1699&lt;= 40, "20 to 40", F1699 &lt;= 50, "40 to 50", F1699 &gt; 50, "&gt;50" )</f>
        <v>0 to 5</v>
      </c>
    </row>
    <row r="1700" spans="1:15" ht="15" customHeight="1" x14ac:dyDescent="0.3">
      <c r="A1700" t="s">
        <v>293</v>
      </c>
      <c r="B1700" s="1">
        <v>46199</v>
      </c>
      <c r="C1700" t="s">
        <v>16</v>
      </c>
      <c r="D1700">
        <v>1554</v>
      </c>
      <c r="E1700">
        <v>1</v>
      </c>
      <c r="F1700">
        <v>2.9</v>
      </c>
      <c r="G1700" t="s">
        <v>32</v>
      </c>
      <c r="I1700" t="str">
        <f t="shared" si="29"/>
        <v>1554_1</v>
      </c>
      <c r="J1700" t="s">
        <v>294</v>
      </c>
      <c r="K1700" t="s">
        <v>19</v>
      </c>
      <c r="L1700" t="str">
        <f>_xlfn.XLOOKUP(C1700, Table2[Species],Table2[Genus], "Code Not Found")</f>
        <v>Acer</v>
      </c>
      <c r="M1700" t="str">
        <f>_xlfn.XLOOKUP(C1700, Table2[Species],Table2[Sp. Name], "Code Not Found")</f>
        <v>saccharum</v>
      </c>
      <c r="N1700" t="str">
        <f>_xlfn.XLOOKUP(C1700,Table2[Species],Table2[Family],"Code Not Found")</f>
        <v>Sapindaceae</v>
      </c>
      <c r="O1700" t="str" cm="1">
        <f t="array" ref="O1700">_xlfn.IFS(F1700="","",F1700&lt;=5,"0 to 5",F1700&lt;=10,"5.1 to 10",F1700&lt;=20,"10 to 20", F1700&lt;= 40, "20 to 40", F1700 &lt;= 50, "40 to 50", F1700 &gt; 50, "&gt;50" )</f>
        <v>0 to 5</v>
      </c>
    </row>
    <row r="1701" spans="1:15" ht="15" customHeight="1" x14ac:dyDescent="0.3">
      <c r="A1701" t="s">
        <v>293</v>
      </c>
      <c r="B1701" s="1">
        <v>46199</v>
      </c>
      <c r="C1701" t="s">
        <v>16</v>
      </c>
      <c r="D1701">
        <v>1554</v>
      </c>
      <c r="E1701">
        <v>2</v>
      </c>
      <c r="F1701">
        <v>1.5</v>
      </c>
      <c r="G1701" t="s">
        <v>32</v>
      </c>
      <c r="I1701" t="str">
        <f t="shared" si="29"/>
        <v>1554_2</v>
      </c>
      <c r="J1701" t="s">
        <v>294</v>
      </c>
      <c r="K1701" t="s">
        <v>19</v>
      </c>
      <c r="L1701" t="str">
        <f>_xlfn.XLOOKUP(C1701, Table2[Species],Table2[Genus], "Code Not Found")</f>
        <v>Acer</v>
      </c>
      <c r="M1701" t="str">
        <f>_xlfn.XLOOKUP(C1701, Table2[Species],Table2[Sp. Name], "Code Not Found")</f>
        <v>saccharum</v>
      </c>
      <c r="N1701" t="str">
        <f>_xlfn.XLOOKUP(C1701,Table2[Species],Table2[Family],"Code Not Found")</f>
        <v>Sapindaceae</v>
      </c>
      <c r="O1701" t="str" cm="1">
        <f t="array" ref="O1701">_xlfn.IFS(F1701="","",F1701&lt;=5,"0 to 5",F1701&lt;=10,"5.1 to 10",F1701&lt;=20,"10 to 20", F1701&lt;= 40, "20 to 40", F1701 &lt;= 50, "40 to 50", F1701 &gt; 50, "&gt;50" )</f>
        <v>0 to 5</v>
      </c>
    </row>
    <row r="1702" spans="1:15" ht="15" customHeight="1" x14ac:dyDescent="0.3">
      <c r="A1702" t="s">
        <v>293</v>
      </c>
      <c r="B1702" s="1">
        <v>46199</v>
      </c>
      <c r="C1702" t="s">
        <v>24</v>
      </c>
      <c r="D1702">
        <v>1555</v>
      </c>
      <c r="E1702">
        <v>1</v>
      </c>
      <c r="F1702">
        <v>47.4</v>
      </c>
      <c r="G1702" t="s">
        <v>47</v>
      </c>
      <c r="H1702" t="s">
        <v>43</v>
      </c>
      <c r="I1702" t="str">
        <f t="shared" si="29"/>
        <v>1555_1</v>
      </c>
      <c r="J1702" t="s">
        <v>294</v>
      </c>
      <c r="K1702" t="s">
        <v>19</v>
      </c>
      <c r="L1702" t="str">
        <f>_xlfn.XLOOKUP(C1702, Table2[Species],Table2[Genus], "Code Not Found")</f>
        <v>Lirodendron</v>
      </c>
      <c r="M1702" t="str">
        <f>_xlfn.XLOOKUP(C1702, Table2[Species],Table2[Sp. Name], "Code Not Found")</f>
        <v>tulipfera</v>
      </c>
      <c r="N1702" t="str">
        <f>_xlfn.XLOOKUP(C1702,Table2[Species],Table2[Family],"Code Not Found")</f>
        <v>Magnoliaceae</v>
      </c>
      <c r="O1702" t="str" cm="1">
        <f t="array" ref="O1702">_xlfn.IFS(F1702="","",F1702&lt;=5,"0 to 5",F1702&lt;=10,"5.1 to 10",F1702&lt;=20,"10 to 20", F1702&lt;= 40, "20 to 40", F1702 &lt;= 50, "40 to 50", F1702 &gt; 50, "&gt;50" )</f>
        <v>40 to 50</v>
      </c>
    </row>
    <row r="1703" spans="1:15" ht="15" customHeight="1" x14ac:dyDescent="0.3">
      <c r="A1703" t="s">
        <v>351</v>
      </c>
      <c r="B1703" s="1">
        <v>46202</v>
      </c>
      <c r="C1703" t="s">
        <v>16</v>
      </c>
      <c r="D1703">
        <v>1558</v>
      </c>
      <c r="E1703">
        <v>1</v>
      </c>
      <c r="F1703">
        <v>4.8</v>
      </c>
      <c r="G1703" t="s">
        <v>30</v>
      </c>
      <c r="H1703" t="s">
        <v>352</v>
      </c>
      <c r="I1703" t="str">
        <f t="shared" si="29"/>
        <v>1558_1</v>
      </c>
      <c r="J1703" t="s">
        <v>241</v>
      </c>
      <c r="K1703" t="s">
        <v>179</v>
      </c>
      <c r="L1703" t="str">
        <f>_xlfn.XLOOKUP(C1703, Table2[Species],Table2[Genus], "Code Not Found")</f>
        <v>Acer</v>
      </c>
      <c r="M1703" t="str">
        <f>_xlfn.XLOOKUP(C1703, Table2[Species],Table2[Sp. Name], "Code Not Found")</f>
        <v>saccharum</v>
      </c>
      <c r="N1703" t="str">
        <f>_xlfn.XLOOKUP(C1703,Table2[Species],Table2[Family],"Code Not Found")</f>
        <v>Sapindaceae</v>
      </c>
      <c r="O1703" t="str" cm="1">
        <f t="array" ref="O1703">_xlfn.IFS(F1703="","",F1703&lt;=5,"0 to 5",F1703&lt;=10,"5.1 to 10",F1703&lt;=20,"10 to 20", F1703&lt;= 40, "20 to 40", F1703 &lt;= 50, "40 to 50", F1703 &gt; 50, "&gt;50" )</f>
        <v>0 to 5</v>
      </c>
    </row>
    <row r="1704" spans="1:15" ht="15" customHeight="1" x14ac:dyDescent="0.3">
      <c r="A1704" t="s">
        <v>351</v>
      </c>
      <c r="B1704" s="1">
        <v>46202</v>
      </c>
      <c r="C1704" t="s">
        <v>16</v>
      </c>
      <c r="D1704">
        <v>1559</v>
      </c>
      <c r="E1704">
        <v>1</v>
      </c>
      <c r="F1704">
        <v>7.4</v>
      </c>
      <c r="G1704" t="s">
        <v>30</v>
      </c>
      <c r="H1704" t="s">
        <v>244</v>
      </c>
      <c r="I1704" t="str">
        <f t="shared" si="29"/>
        <v>1559_1</v>
      </c>
      <c r="J1704" t="s">
        <v>241</v>
      </c>
      <c r="K1704" t="s">
        <v>179</v>
      </c>
      <c r="L1704" t="str">
        <f>_xlfn.XLOOKUP(C1704, Table2[Species],Table2[Genus], "Code Not Found")</f>
        <v>Acer</v>
      </c>
      <c r="M1704" t="str">
        <f>_xlfn.XLOOKUP(C1704, Table2[Species],Table2[Sp. Name], "Code Not Found")</f>
        <v>saccharum</v>
      </c>
      <c r="N1704" t="str">
        <f>_xlfn.XLOOKUP(C1704,Table2[Species],Table2[Family],"Code Not Found")</f>
        <v>Sapindaceae</v>
      </c>
      <c r="O1704" t="str" cm="1">
        <f t="array" ref="O1704">_xlfn.IFS(F1704="","",F1704&lt;=5,"0 to 5",F1704&lt;=10,"5.1 to 10",F1704&lt;=20,"10 to 20", F1704&lt;= 40, "20 to 40", F1704 &lt;= 50, "40 to 50", F1704 &gt; 50, "&gt;50" )</f>
        <v>5.1 to 10</v>
      </c>
    </row>
    <row r="1705" spans="1:15" ht="15" customHeight="1" x14ac:dyDescent="0.3">
      <c r="A1705" t="s">
        <v>351</v>
      </c>
      <c r="B1705" s="1">
        <v>46202</v>
      </c>
      <c r="C1705" t="s">
        <v>16</v>
      </c>
      <c r="D1705">
        <v>1560</v>
      </c>
      <c r="E1705">
        <v>1</v>
      </c>
      <c r="F1705">
        <v>18.2</v>
      </c>
      <c r="G1705" t="s">
        <v>30</v>
      </c>
      <c r="H1705" t="s">
        <v>244</v>
      </c>
      <c r="I1705" t="str">
        <f t="shared" si="29"/>
        <v>1560_1</v>
      </c>
      <c r="J1705" t="s">
        <v>241</v>
      </c>
      <c r="K1705" t="s">
        <v>179</v>
      </c>
      <c r="L1705" t="str">
        <f>_xlfn.XLOOKUP(C1705, Table2[Species],Table2[Genus], "Code Not Found")</f>
        <v>Acer</v>
      </c>
      <c r="M1705" t="str">
        <f>_xlfn.XLOOKUP(C1705, Table2[Species],Table2[Sp. Name], "Code Not Found")</f>
        <v>saccharum</v>
      </c>
      <c r="N1705" t="str">
        <f>_xlfn.XLOOKUP(C1705,Table2[Species],Table2[Family],"Code Not Found")</f>
        <v>Sapindaceae</v>
      </c>
      <c r="O1705" t="str" cm="1">
        <f t="array" ref="O1705">_xlfn.IFS(F1705="","",F1705&lt;=5,"0 to 5",F1705&lt;=10,"5.1 to 10",F1705&lt;=20,"10 to 20", F1705&lt;= 40, "20 to 40", F1705 &lt;= 50, "40 to 50", F1705 &gt; 50, "&gt;50" )</f>
        <v>10 to 20</v>
      </c>
    </row>
    <row r="1706" spans="1:15" ht="15" customHeight="1" x14ac:dyDescent="0.3">
      <c r="A1706" t="s">
        <v>351</v>
      </c>
      <c r="B1706" s="1">
        <v>46202</v>
      </c>
      <c r="C1706" t="s">
        <v>16</v>
      </c>
      <c r="D1706">
        <v>1561</v>
      </c>
      <c r="E1706">
        <v>1</v>
      </c>
      <c r="F1706">
        <v>11.3</v>
      </c>
      <c r="G1706" t="s">
        <v>17</v>
      </c>
      <c r="H1706" t="s">
        <v>36</v>
      </c>
      <c r="I1706" t="str">
        <f t="shared" si="29"/>
        <v>1561_1</v>
      </c>
      <c r="J1706" t="s">
        <v>241</v>
      </c>
      <c r="K1706" t="s">
        <v>179</v>
      </c>
      <c r="L1706" t="str">
        <f>_xlfn.XLOOKUP(C1706, Table2[Species],Table2[Genus], "Code Not Found")</f>
        <v>Acer</v>
      </c>
      <c r="M1706" t="str">
        <f>_xlfn.XLOOKUP(C1706, Table2[Species],Table2[Sp. Name], "Code Not Found")</f>
        <v>saccharum</v>
      </c>
      <c r="N1706" t="str">
        <f>_xlfn.XLOOKUP(C1706,Table2[Species],Table2[Family],"Code Not Found")</f>
        <v>Sapindaceae</v>
      </c>
      <c r="O1706" t="str" cm="1">
        <f t="array" ref="O1706">_xlfn.IFS(F1706="","",F1706&lt;=5,"0 to 5",F1706&lt;=10,"5.1 to 10",F1706&lt;=20,"10 to 20", F1706&lt;= 40, "20 to 40", F1706 &lt;= 50, "40 to 50", F1706 &gt; 50, "&gt;50" )</f>
        <v>10 to 20</v>
      </c>
    </row>
    <row r="1707" spans="1:15" ht="15" customHeight="1" x14ac:dyDescent="0.3">
      <c r="A1707" t="s">
        <v>351</v>
      </c>
      <c r="B1707" s="1">
        <v>46202</v>
      </c>
      <c r="C1707" t="s">
        <v>16</v>
      </c>
      <c r="D1707">
        <v>1562</v>
      </c>
      <c r="E1707">
        <v>1</v>
      </c>
      <c r="F1707">
        <v>2</v>
      </c>
      <c r="G1707" t="s">
        <v>21</v>
      </c>
      <c r="I1707" t="str">
        <f t="shared" si="29"/>
        <v>1562_1</v>
      </c>
      <c r="J1707" t="s">
        <v>241</v>
      </c>
      <c r="K1707" t="s">
        <v>179</v>
      </c>
      <c r="L1707" t="str">
        <f>_xlfn.XLOOKUP(C1707, Table2[Species],Table2[Genus], "Code Not Found")</f>
        <v>Acer</v>
      </c>
      <c r="M1707" t="str">
        <f>_xlfn.XLOOKUP(C1707, Table2[Species],Table2[Sp. Name], "Code Not Found")</f>
        <v>saccharum</v>
      </c>
      <c r="N1707" t="str">
        <f>_xlfn.XLOOKUP(C1707,Table2[Species],Table2[Family],"Code Not Found")</f>
        <v>Sapindaceae</v>
      </c>
      <c r="O1707" t="str" cm="1">
        <f t="array" ref="O1707">_xlfn.IFS(F1707="","",F1707&lt;=5,"0 to 5",F1707&lt;=10,"5.1 to 10",F1707&lt;=20,"10 to 20", F1707&lt;= 40, "20 to 40", F1707 &lt;= 50, "40 to 50", F1707 &gt; 50, "&gt;50" )</f>
        <v>0 to 5</v>
      </c>
    </row>
    <row r="1708" spans="1:15" ht="15" customHeight="1" x14ac:dyDescent="0.3">
      <c r="A1708" t="s">
        <v>351</v>
      </c>
      <c r="B1708" s="1">
        <v>46202</v>
      </c>
      <c r="C1708" t="s">
        <v>16</v>
      </c>
      <c r="D1708">
        <v>1563</v>
      </c>
      <c r="E1708">
        <v>1</v>
      </c>
      <c r="F1708">
        <v>8.6</v>
      </c>
      <c r="G1708" t="s">
        <v>17</v>
      </c>
      <c r="H1708" t="s">
        <v>353</v>
      </c>
      <c r="I1708" t="str">
        <f t="shared" si="29"/>
        <v>1563_1</v>
      </c>
      <c r="J1708" t="s">
        <v>241</v>
      </c>
      <c r="K1708" t="s">
        <v>179</v>
      </c>
      <c r="L1708" t="str">
        <f>_xlfn.XLOOKUP(C1708, Table2[Species],Table2[Genus], "Code Not Found")</f>
        <v>Acer</v>
      </c>
      <c r="M1708" t="str">
        <f>_xlfn.XLOOKUP(C1708, Table2[Species],Table2[Sp. Name], "Code Not Found")</f>
        <v>saccharum</v>
      </c>
      <c r="N1708" t="str">
        <f>_xlfn.XLOOKUP(C1708,Table2[Species],Table2[Family],"Code Not Found")</f>
        <v>Sapindaceae</v>
      </c>
      <c r="O1708" t="str" cm="1">
        <f t="array" ref="O1708">_xlfn.IFS(F1708="","",F1708&lt;=5,"0 to 5",F1708&lt;=10,"5.1 to 10",F1708&lt;=20,"10 to 20", F1708&lt;= 40, "20 to 40", F1708 &lt;= 50, "40 to 50", F1708 &gt; 50, "&gt;50" )</f>
        <v>5.1 to 10</v>
      </c>
    </row>
    <row r="1709" spans="1:15" ht="15" customHeight="1" x14ac:dyDescent="0.3">
      <c r="A1709" t="s">
        <v>351</v>
      </c>
      <c r="B1709" s="1">
        <v>46202</v>
      </c>
      <c r="C1709" t="s">
        <v>16</v>
      </c>
      <c r="D1709">
        <v>1564</v>
      </c>
      <c r="E1709">
        <v>1</v>
      </c>
      <c r="F1709">
        <v>10.7</v>
      </c>
      <c r="G1709" t="s">
        <v>17</v>
      </c>
      <c r="I1709" t="str">
        <f t="shared" si="29"/>
        <v>1564_1</v>
      </c>
      <c r="J1709" t="s">
        <v>241</v>
      </c>
      <c r="K1709" t="s">
        <v>179</v>
      </c>
      <c r="L1709" t="str">
        <f>_xlfn.XLOOKUP(C1709, Table2[Species],Table2[Genus], "Code Not Found")</f>
        <v>Acer</v>
      </c>
      <c r="M1709" t="str">
        <f>_xlfn.XLOOKUP(C1709, Table2[Species],Table2[Sp. Name], "Code Not Found")</f>
        <v>saccharum</v>
      </c>
      <c r="N1709" t="str">
        <f>_xlfn.XLOOKUP(C1709,Table2[Species],Table2[Family],"Code Not Found")</f>
        <v>Sapindaceae</v>
      </c>
      <c r="O1709" t="str" cm="1">
        <f t="array" ref="O1709">_xlfn.IFS(F1709="","",F1709&lt;=5,"0 to 5",F1709&lt;=10,"5.1 to 10",F1709&lt;=20,"10 to 20", F1709&lt;= 40, "20 to 40", F1709 &lt;= 50, "40 to 50", F1709 &gt; 50, "&gt;50" )</f>
        <v>10 to 20</v>
      </c>
    </row>
    <row r="1710" spans="1:15" ht="15" customHeight="1" x14ac:dyDescent="0.3">
      <c r="A1710" t="s">
        <v>351</v>
      </c>
      <c r="B1710" s="1">
        <v>46202</v>
      </c>
      <c r="C1710" t="s">
        <v>16</v>
      </c>
      <c r="D1710">
        <v>1565</v>
      </c>
      <c r="E1710">
        <v>1</v>
      </c>
      <c r="F1710">
        <v>9.8000000000000007</v>
      </c>
      <c r="G1710" t="s">
        <v>21</v>
      </c>
      <c r="I1710" t="str">
        <f t="shared" si="29"/>
        <v>1565_1</v>
      </c>
      <c r="J1710" t="s">
        <v>241</v>
      </c>
      <c r="K1710" t="s">
        <v>179</v>
      </c>
      <c r="L1710" t="str">
        <f>_xlfn.XLOOKUP(C1710, Table2[Species],Table2[Genus], "Code Not Found")</f>
        <v>Acer</v>
      </c>
      <c r="M1710" t="str">
        <f>_xlfn.XLOOKUP(C1710, Table2[Species],Table2[Sp. Name], "Code Not Found")</f>
        <v>saccharum</v>
      </c>
      <c r="N1710" t="str">
        <f>_xlfn.XLOOKUP(C1710,Table2[Species],Table2[Family],"Code Not Found")</f>
        <v>Sapindaceae</v>
      </c>
      <c r="O1710" t="str" cm="1">
        <f t="array" ref="O1710">_xlfn.IFS(F1710="","",F1710&lt;=5,"0 to 5",F1710&lt;=10,"5.1 to 10",F1710&lt;=20,"10 to 20", F1710&lt;= 40, "20 to 40", F1710 &lt;= 50, "40 to 50", F1710 &gt; 50, "&gt;50" )</f>
        <v>5.1 to 10</v>
      </c>
    </row>
    <row r="1711" spans="1:15" ht="15" customHeight="1" x14ac:dyDescent="0.3">
      <c r="A1711" t="s">
        <v>351</v>
      </c>
      <c r="B1711" s="1">
        <v>46202</v>
      </c>
      <c r="C1711" t="s">
        <v>64</v>
      </c>
      <c r="D1711">
        <v>1566</v>
      </c>
      <c r="E1711">
        <v>1</v>
      </c>
      <c r="F1711">
        <v>2.2000000000000002</v>
      </c>
      <c r="G1711" t="s">
        <v>17</v>
      </c>
      <c r="H1711" t="s">
        <v>354</v>
      </c>
      <c r="I1711" t="str">
        <f t="shared" si="29"/>
        <v>1566_1</v>
      </c>
      <c r="J1711" t="s">
        <v>241</v>
      </c>
      <c r="K1711" t="s">
        <v>179</v>
      </c>
      <c r="L1711" t="str">
        <f>_xlfn.XLOOKUP(C1711, Table2[Species],Table2[Genus], "Code Not Found")</f>
        <v>Fagus</v>
      </c>
      <c r="M1711" t="str">
        <f>_xlfn.XLOOKUP(C1711, Table2[Species],Table2[Sp. Name], "Code Not Found")</f>
        <v>grandifolia</v>
      </c>
      <c r="N1711" t="str">
        <f>_xlfn.XLOOKUP(C1711,Table2[Species],Table2[Family],"Code Not Found")</f>
        <v>Fagaceae</v>
      </c>
      <c r="O1711" t="str" cm="1">
        <f t="array" ref="O1711">_xlfn.IFS(F1711="","",F1711&lt;=5,"0 to 5",F1711&lt;=10,"5.1 to 10",F1711&lt;=20,"10 to 20", F1711&lt;= 40, "20 to 40", F1711 &lt;= 50, "40 to 50", F1711 &gt; 50, "&gt;50" )</f>
        <v>0 to 5</v>
      </c>
    </row>
    <row r="1712" spans="1:15" ht="15" customHeight="1" x14ac:dyDescent="0.3">
      <c r="A1712" t="s">
        <v>351</v>
      </c>
      <c r="B1712" s="1">
        <v>46202</v>
      </c>
      <c r="C1712" t="s">
        <v>16</v>
      </c>
      <c r="D1712">
        <v>1567</v>
      </c>
      <c r="E1712">
        <v>1</v>
      </c>
      <c r="F1712">
        <v>8.3000000000000007</v>
      </c>
      <c r="G1712" t="s">
        <v>94</v>
      </c>
      <c r="H1712" t="s">
        <v>355</v>
      </c>
      <c r="I1712" t="str">
        <f t="shared" si="29"/>
        <v>1567_1</v>
      </c>
      <c r="J1712" t="s">
        <v>241</v>
      </c>
      <c r="K1712" t="s">
        <v>179</v>
      </c>
      <c r="L1712" t="str">
        <f>_xlfn.XLOOKUP(C1712, Table2[Species],Table2[Genus], "Code Not Found")</f>
        <v>Acer</v>
      </c>
      <c r="M1712" t="str">
        <f>_xlfn.XLOOKUP(C1712, Table2[Species],Table2[Sp. Name], "Code Not Found")</f>
        <v>saccharum</v>
      </c>
      <c r="N1712" t="str">
        <f>_xlfn.XLOOKUP(C1712,Table2[Species],Table2[Family],"Code Not Found")</f>
        <v>Sapindaceae</v>
      </c>
      <c r="O1712" t="str" cm="1">
        <f t="array" ref="O1712">_xlfn.IFS(F1712="","",F1712&lt;=5,"0 to 5",F1712&lt;=10,"5.1 to 10",F1712&lt;=20,"10 to 20", F1712&lt;= 40, "20 to 40", F1712 &lt;= 50, "40 to 50", F1712 &gt; 50, "&gt;50" )</f>
        <v>5.1 to 10</v>
      </c>
    </row>
    <row r="1713" spans="1:15" ht="15" customHeight="1" x14ac:dyDescent="0.3">
      <c r="A1713" t="s">
        <v>351</v>
      </c>
      <c r="B1713" s="1">
        <v>46202</v>
      </c>
      <c r="C1713" t="s">
        <v>64</v>
      </c>
      <c r="D1713">
        <v>1568</v>
      </c>
      <c r="E1713">
        <v>1</v>
      </c>
      <c r="F1713">
        <v>1.5</v>
      </c>
      <c r="G1713" t="s">
        <v>17</v>
      </c>
      <c r="I1713" t="str">
        <f t="shared" si="29"/>
        <v>1568_1</v>
      </c>
      <c r="J1713" t="s">
        <v>241</v>
      </c>
      <c r="K1713" t="s">
        <v>179</v>
      </c>
      <c r="L1713" t="str">
        <f>_xlfn.XLOOKUP(C1713, Table2[Species],Table2[Genus], "Code Not Found")</f>
        <v>Fagus</v>
      </c>
      <c r="M1713" t="str">
        <f>_xlfn.XLOOKUP(C1713, Table2[Species],Table2[Sp. Name], "Code Not Found")</f>
        <v>grandifolia</v>
      </c>
      <c r="N1713" t="str">
        <f>_xlfn.XLOOKUP(C1713,Table2[Species],Table2[Family],"Code Not Found")</f>
        <v>Fagaceae</v>
      </c>
      <c r="O1713" t="str" cm="1">
        <f t="array" ref="O1713">_xlfn.IFS(F1713="","",F1713&lt;=5,"0 to 5",F1713&lt;=10,"5.1 to 10",F1713&lt;=20,"10 to 20", F1713&lt;= 40, "20 to 40", F1713 &lt;= 50, "40 to 50", F1713 &gt; 50, "&gt;50" )</f>
        <v>0 to 5</v>
      </c>
    </row>
    <row r="1714" spans="1:15" ht="15" customHeight="1" x14ac:dyDescent="0.3">
      <c r="A1714" t="s">
        <v>351</v>
      </c>
      <c r="B1714" s="1">
        <v>46202</v>
      </c>
      <c r="C1714" t="s">
        <v>16</v>
      </c>
      <c r="D1714">
        <v>1569</v>
      </c>
      <c r="E1714">
        <v>1</v>
      </c>
      <c r="F1714">
        <v>13</v>
      </c>
      <c r="G1714" t="s">
        <v>17</v>
      </c>
      <c r="I1714" t="str">
        <f t="shared" si="29"/>
        <v>1569_1</v>
      </c>
      <c r="J1714" t="s">
        <v>241</v>
      </c>
      <c r="K1714" t="s">
        <v>179</v>
      </c>
      <c r="L1714" t="str">
        <f>_xlfn.XLOOKUP(C1714, Table2[Species],Table2[Genus], "Code Not Found")</f>
        <v>Acer</v>
      </c>
      <c r="M1714" t="str">
        <f>_xlfn.XLOOKUP(C1714, Table2[Species],Table2[Sp. Name], "Code Not Found")</f>
        <v>saccharum</v>
      </c>
      <c r="N1714" t="str">
        <f>_xlfn.XLOOKUP(C1714,Table2[Species],Table2[Family],"Code Not Found")</f>
        <v>Sapindaceae</v>
      </c>
      <c r="O1714" t="str" cm="1">
        <f t="array" ref="O1714">_xlfn.IFS(F1714="","",F1714&lt;=5,"0 to 5",F1714&lt;=10,"5.1 to 10",F1714&lt;=20,"10 to 20", F1714&lt;= 40, "20 to 40", F1714 &lt;= 50, "40 to 50", F1714 &gt; 50, "&gt;50" )</f>
        <v>10 to 20</v>
      </c>
    </row>
    <row r="1715" spans="1:15" ht="15" customHeight="1" x14ac:dyDescent="0.3">
      <c r="A1715" t="s">
        <v>351</v>
      </c>
      <c r="B1715" s="1">
        <v>46202</v>
      </c>
      <c r="C1715" t="s">
        <v>55</v>
      </c>
      <c r="D1715">
        <v>1570</v>
      </c>
      <c r="E1715">
        <v>1</v>
      </c>
      <c r="F1715">
        <v>29</v>
      </c>
      <c r="G1715" t="s">
        <v>21</v>
      </c>
      <c r="I1715" t="str">
        <f t="shared" si="29"/>
        <v>1570_1</v>
      </c>
      <c r="J1715" t="s">
        <v>241</v>
      </c>
      <c r="K1715" t="s">
        <v>179</v>
      </c>
      <c r="L1715" t="str">
        <f>_xlfn.XLOOKUP(C1715, Table2[Species],Table2[Genus], "Code Not Found")</f>
        <v>Magnolia</v>
      </c>
      <c r="M1715" t="str">
        <f>_xlfn.XLOOKUP(C1715, Table2[Species],Table2[Sp. Name], "Code Not Found")</f>
        <v>acuminata</v>
      </c>
      <c r="N1715" t="str">
        <f>_xlfn.XLOOKUP(C1715,Table2[Species],Table2[Family],"Code Not Found")</f>
        <v>Magnoliaceae</v>
      </c>
      <c r="O1715" t="str" cm="1">
        <f t="array" ref="O1715">_xlfn.IFS(F1715="","",F1715&lt;=5,"0 to 5",F1715&lt;=10,"5.1 to 10",F1715&lt;=20,"10 to 20", F1715&lt;= 40, "20 to 40", F1715 &lt;= 50, "40 to 50", F1715 &gt; 50, "&gt;50" )</f>
        <v>20 to 40</v>
      </c>
    </row>
    <row r="1716" spans="1:15" ht="15" customHeight="1" x14ac:dyDescent="0.3">
      <c r="A1716" t="s">
        <v>351</v>
      </c>
      <c r="B1716" s="1">
        <v>46202</v>
      </c>
      <c r="C1716" t="s">
        <v>64</v>
      </c>
      <c r="D1716">
        <v>1571</v>
      </c>
      <c r="E1716">
        <v>1</v>
      </c>
      <c r="F1716">
        <v>2.4</v>
      </c>
      <c r="G1716" t="s">
        <v>94</v>
      </c>
      <c r="H1716" t="s">
        <v>356</v>
      </c>
      <c r="I1716" t="str">
        <f t="shared" si="29"/>
        <v>1571_1</v>
      </c>
      <c r="J1716" t="s">
        <v>241</v>
      </c>
      <c r="K1716" t="s">
        <v>179</v>
      </c>
      <c r="L1716" t="str">
        <f>_xlfn.XLOOKUP(C1716, Table2[Species],Table2[Genus], "Code Not Found")</f>
        <v>Fagus</v>
      </c>
      <c r="M1716" t="str">
        <f>_xlfn.XLOOKUP(C1716, Table2[Species],Table2[Sp. Name], "Code Not Found")</f>
        <v>grandifolia</v>
      </c>
      <c r="N1716" t="str">
        <f>_xlfn.XLOOKUP(C1716,Table2[Species],Table2[Family],"Code Not Found")</f>
        <v>Fagaceae</v>
      </c>
      <c r="O1716" t="str" cm="1">
        <f t="array" ref="O1716">_xlfn.IFS(F1716="","",F1716&lt;=5,"0 to 5",F1716&lt;=10,"5.1 to 10",F1716&lt;=20,"10 to 20", F1716&lt;= 40, "20 to 40", F1716 &lt;= 50, "40 to 50", F1716 &gt; 50, "&gt;50" )</f>
        <v>0 to 5</v>
      </c>
    </row>
    <row r="1717" spans="1:15" ht="15" customHeight="1" x14ac:dyDescent="0.3">
      <c r="A1717" t="s">
        <v>351</v>
      </c>
      <c r="B1717" s="1">
        <v>46202</v>
      </c>
      <c r="C1717" t="s">
        <v>16</v>
      </c>
      <c r="D1717">
        <v>1572</v>
      </c>
      <c r="E1717">
        <v>1</v>
      </c>
      <c r="F1717">
        <v>44.8</v>
      </c>
      <c r="G1717" t="s">
        <v>17</v>
      </c>
      <c r="I1717" t="str">
        <f t="shared" si="29"/>
        <v>1572_1</v>
      </c>
      <c r="J1717" t="s">
        <v>241</v>
      </c>
      <c r="K1717" t="s">
        <v>179</v>
      </c>
      <c r="L1717" t="str">
        <f>_xlfn.XLOOKUP(C1717, Table2[Species],Table2[Genus], "Code Not Found")</f>
        <v>Acer</v>
      </c>
      <c r="M1717" t="str">
        <f>_xlfn.XLOOKUP(C1717, Table2[Species],Table2[Sp. Name], "Code Not Found")</f>
        <v>saccharum</v>
      </c>
      <c r="N1717" t="str">
        <f>_xlfn.XLOOKUP(C1717,Table2[Species],Table2[Family],"Code Not Found")</f>
        <v>Sapindaceae</v>
      </c>
      <c r="O1717" t="str" cm="1">
        <f t="array" ref="O1717">_xlfn.IFS(F1717="","",F1717&lt;=5,"0 to 5",F1717&lt;=10,"5.1 to 10",F1717&lt;=20,"10 to 20", F1717&lt;= 40, "20 to 40", F1717 &lt;= 50, "40 to 50", F1717 &gt; 50, "&gt;50" )</f>
        <v>40 to 50</v>
      </c>
    </row>
    <row r="1718" spans="1:15" ht="15" customHeight="1" x14ac:dyDescent="0.3">
      <c r="A1718" t="s">
        <v>351</v>
      </c>
      <c r="B1718" s="1">
        <v>46202</v>
      </c>
      <c r="C1718" t="s">
        <v>24</v>
      </c>
      <c r="D1718">
        <v>1573</v>
      </c>
      <c r="E1718">
        <v>1</v>
      </c>
      <c r="F1718">
        <v>24.8</v>
      </c>
      <c r="G1718" t="s">
        <v>21</v>
      </c>
      <c r="I1718" t="str">
        <f t="shared" si="29"/>
        <v>1573_1</v>
      </c>
      <c r="J1718" t="s">
        <v>241</v>
      </c>
      <c r="K1718" t="s">
        <v>179</v>
      </c>
      <c r="L1718" t="str">
        <f>_xlfn.XLOOKUP(C1718, Table2[Species],Table2[Genus], "Code Not Found")</f>
        <v>Lirodendron</v>
      </c>
      <c r="M1718" t="str">
        <f>_xlfn.XLOOKUP(C1718, Table2[Species],Table2[Sp. Name], "Code Not Found")</f>
        <v>tulipfera</v>
      </c>
      <c r="N1718" t="str">
        <f>_xlfn.XLOOKUP(C1718,Table2[Species],Table2[Family],"Code Not Found")</f>
        <v>Magnoliaceae</v>
      </c>
      <c r="O1718" t="str" cm="1">
        <f t="array" ref="O1718">_xlfn.IFS(F1718="","",F1718&lt;=5,"0 to 5",F1718&lt;=10,"5.1 to 10",F1718&lt;=20,"10 to 20", F1718&lt;= 40, "20 to 40", F1718 &lt;= 50, "40 to 50", F1718 &gt; 50, "&gt;50" )</f>
        <v>20 to 40</v>
      </c>
    </row>
    <row r="1719" spans="1:15" ht="15" customHeight="1" x14ac:dyDescent="0.3">
      <c r="A1719" t="s">
        <v>351</v>
      </c>
      <c r="B1719" s="1">
        <v>46202</v>
      </c>
      <c r="C1719" t="s">
        <v>55</v>
      </c>
      <c r="D1719">
        <v>1574</v>
      </c>
      <c r="E1719">
        <v>1</v>
      </c>
      <c r="F1719">
        <v>18.5</v>
      </c>
      <c r="G1719" t="s">
        <v>47</v>
      </c>
      <c r="H1719" t="s">
        <v>357</v>
      </c>
      <c r="I1719" t="str">
        <f t="shared" si="29"/>
        <v>1574_1</v>
      </c>
      <c r="J1719" t="s">
        <v>241</v>
      </c>
      <c r="K1719" t="s">
        <v>179</v>
      </c>
      <c r="L1719" t="str">
        <f>_xlfn.XLOOKUP(C1719, Table2[Species],Table2[Genus], "Code Not Found")</f>
        <v>Magnolia</v>
      </c>
      <c r="M1719" t="str">
        <f>_xlfn.XLOOKUP(C1719, Table2[Species],Table2[Sp. Name], "Code Not Found")</f>
        <v>acuminata</v>
      </c>
      <c r="N1719" t="str">
        <f>_xlfn.XLOOKUP(C1719,Table2[Species],Table2[Family],"Code Not Found")</f>
        <v>Magnoliaceae</v>
      </c>
      <c r="O1719" t="str" cm="1">
        <f t="array" ref="O1719">_xlfn.IFS(F1719="","",F1719&lt;=5,"0 to 5",F1719&lt;=10,"5.1 to 10",F1719&lt;=20,"10 to 20", F1719&lt;= 40, "20 to 40", F1719 &lt;= 50, "40 to 50", F1719 &gt; 50, "&gt;50" )</f>
        <v>10 to 20</v>
      </c>
    </row>
    <row r="1720" spans="1:15" ht="15" customHeight="1" x14ac:dyDescent="0.3">
      <c r="A1720" t="s">
        <v>351</v>
      </c>
      <c r="B1720" s="1">
        <v>46202</v>
      </c>
      <c r="C1720" t="s">
        <v>16</v>
      </c>
      <c r="D1720">
        <v>1575</v>
      </c>
      <c r="E1720">
        <v>1</v>
      </c>
      <c r="F1720">
        <v>6.1</v>
      </c>
      <c r="G1720" t="s">
        <v>21</v>
      </c>
      <c r="I1720" t="str">
        <f t="shared" si="29"/>
        <v>1575_1</v>
      </c>
      <c r="J1720" t="s">
        <v>241</v>
      </c>
      <c r="K1720" t="s">
        <v>179</v>
      </c>
      <c r="L1720" t="str">
        <f>_xlfn.XLOOKUP(C1720, Table2[Species],Table2[Genus], "Code Not Found")</f>
        <v>Acer</v>
      </c>
      <c r="M1720" t="str">
        <f>_xlfn.XLOOKUP(C1720, Table2[Species],Table2[Sp. Name], "Code Not Found")</f>
        <v>saccharum</v>
      </c>
      <c r="N1720" t="str">
        <f>_xlfn.XLOOKUP(C1720,Table2[Species],Table2[Family],"Code Not Found")</f>
        <v>Sapindaceae</v>
      </c>
      <c r="O1720" t="str" cm="1">
        <f t="array" ref="O1720">_xlfn.IFS(F1720="","",F1720&lt;=5,"0 to 5",F1720&lt;=10,"5.1 to 10",F1720&lt;=20,"10 to 20", F1720&lt;= 40, "20 to 40", F1720 &lt;= 50, "40 to 50", F1720 &gt; 50, "&gt;50" )</f>
        <v>5.1 to 10</v>
      </c>
    </row>
    <row r="1721" spans="1:15" ht="15" customHeight="1" x14ac:dyDescent="0.3">
      <c r="A1721" t="s">
        <v>351</v>
      </c>
      <c r="B1721" s="1">
        <v>46202</v>
      </c>
      <c r="C1721" t="s">
        <v>24</v>
      </c>
      <c r="D1721">
        <v>1576</v>
      </c>
      <c r="E1721">
        <v>1</v>
      </c>
      <c r="F1721">
        <v>1.1000000000000001</v>
      </c>
      <c r="G1721" t="s">
        <v>139</v>
      </c>
      <c r="H1721" t="s">
        <v>358</v>
      </c>
      <c r="I1721" t="str">
        <f t="shared" si="29"/>
        <v>1576_1</v>
      </c>
      <c r="J1721" t="s">
        <v>241</v>
      </c>
      <c r="K1721" t="s">
        <v>179</v>
      </c>
      <c r="L1721" t="str">
        <f>_xlfn.XLOOKUP(C1721, Table2[Species],Table2[Genus], "Code Not Found")</f>
        <v>Lirodendron</v>
      </c>
      <c r="M1721" t="str">
        <f>_xlfn.XLOOKUP(C1721, Table2[Species],Table2[Sp. Name], "Code Not Found")</f>
        <v>tulipfera</v>
      </c>
      <c r="N1721" t="str">
        <f>_xlfn.XLOOKUP(C1721,Table2[Species],Table2[Family],"Code Not Found")</f>
        <v>Magnoliaceae</v>
      </c>
      <c r="O1721" t="str" cm="1">
        <f t="array" ref="O1721">_xlfn.IFS(F1721="","",F1721&lt;=5,"0 to 5",F1721&lt;=10,"5.1 to 10",F1721&lt;=20,"10 to 20", F1721&lt;= 40, "20 to 40", F1721 &lt;= 50, "40 to 50", F1721 &gt; 50, "&gt;50" )</f>
        <v>0 to 5</v>
      </c>
    </row>
    <row r="1722" spans="1:15" ht="15" customHeight="1" x14ac:dyDescent="0.3">
      <c r="A1722" t="s">
        <v>351</v>
      </c>
      <c r="B1722" s="1">
        <v>46202</v>
      </c>
      <c r="C1722" t="s">
        <v>24</v>
      </c>
      <c r="D1722">
        <v>1577</v>
      </c>
      <c r="E1722">
        <v>1</v>
      </c>
      <c r="F1722">
        <v>1.1000000000000001</v>
      </c>
      <c r="G1722" t="s">
        <v>359</v>
      </c>
      <c r="I1722" t="str">
        <f t="shared" si="29"/>
        <v>1577_1</v>
      </c>
      <c r="J1722" t="s">
        <v>241</v>
      </c>
      <c r="K1722" t="s">
        <v>179</v>
      </c>
      <c r="L1722" t="str">
        <f>_xlfn.XLOOKUP(C1722, Table2[Species],Table2[Genus], "Code Not Found")</f>
        <v>Lirodendron</v>
      </c>
      <c r="M1722" t="str">
        <f>_xlfn.XLOOKUP(C1722, Table2[Species],Table2[Sp. Name], "Code Not Found")</f>
        <v>tulipfera</v>
      </c>
      <c r="N1722" t="str">
        <f>_xlfn.XLOOKUP(C1722,Table2[Species],Table2[Family],"Code Not Found")</f>
        <v>Magnoliaceae</v>
      </c>
      <c r="O1722" t="str" cm="1">
        <f t="array" ref="O1722">_xlfn.IFS(F1722="","",F1722&lt;=5,"0 to 5",F1722&lt;=10,"5.1 to 10",F1722&lt;=20,"10 to 20", F1722&lt;= 40, "20 to 40", F1722 &lt;= 50, "40 to 50", F1722 &gt; 50, "&gt;50" )</f>
        <v>0 to 5</v>
      </c>
    </row>
    <row r="1723" spans="1:15" ht="15" customHeight="1" x14ac:dyDescent="0.3">
      <c r="A1723" t="s">
        <v>351</v>
      </c>
      <c r="B1723" s="1">
        <v>46202</v>
      </c>
      <c r="C1723" t="s">
        <v>24</v>
      </c>
      <c r="D1723">
        <v>1578</v>
      </c>
      <c r="E1723">
        <v>1</v>
      </c>
      <c r="F1723">
        <v>1.1000000000000001</v>
      </c>
      <c r="G1723" t="s">
        <v>139</v>
      </c>
      <c r="H1723" t="s">
        <v>360</v>
      </c>
      <c r="I1723" t="str">
        <f t="shared" si="29"/>
        <v>1578_1</v>
      </c>
      <c r="J1723" t="s">
        <v>241</v>
      </c>
      <c r="K1723" t="s">
        <v>179</v>
      </c>
      <c r="L1723" t="str">
        <f>_xlfn.XLOOKUP(C1723, Table2[Species],Table2[Genus], "Code Not Found")</f>
        <v>Lirodendron</v>
      </c>
      <c r="M1723" t="str">
        <f>_xlfn.XLOOKUP(C1723, Table2[Species],Table2[Sp. Name], "Code Not Found")</f>
        <v>tulipfera</v>
      </c>
      <c r="N1723" t="str">
        <f>_xlfn.XLOOKUP(C1723,Table2[Species],Table2[Family],"Code Not Found")</f>
        <v>Magnoliaceae</v>
      </c>
      <c r="O1723" t="str" cm="1">
        <f t="array" ref="O1723">_xlfn.IFS(F1723="","",F1723&lt;=5,"0 to 5",F1723&lt;=10,"5.1 to 10",F1723&lt;=20,"10 to 20", F1723&lt;= 40, "20 to 40", F1723 &lt;= 50, "40 to 50", F1723 &gt; 50, "&gt;50" )</f>
        <v>0 to 5</v>
      </c>
    </row>
    <row r="1724" spans="1:15" ht="15" customHeight="1" x14ac:dyDescent="0.3">
      <c r="A1724" t="s">
        <v>351</v>
      </c>
      <c r="B1724" s="1">
        <v>46202</v>
      </c>
      <c r="C1724" t="s">
        <v>24</v>
      </c>
      <c r="D1724">
        <v>1579</v>
      </c>
      <c r="E1724">
        <v>1</v>
      </c>
      <c r="F1724">
        <v>1</v>
      </c>
      <c r="G1724" t="s">
        <v>359</v>
      </c>
      <c r="I1724" t="str">
        <f t="shared" si="29"/>
        <v>1579_1</v>
      </c>
      <c r="J1724" t="s">
        <v>241</v>
      </c>
      <c r="K1724" t="s">
        <v>179</v>
      </c>
      <c r="L1724" t="str">
        <f>_xlfn.XLOOKUP(C1724, Table2[Species],Table2[Genus], "Code Not Found")</f>
        <v>Lirodendron</v>
      </c>
      <c r="M1724" t="str">
        <f>_xlfn.XLOOKUP(C1724, Table2[Species],Table2[Sp. Name], "Code Not Found")</f>
        <v>tulipfera</v>
      </c>
      <c r="N1724" t="str">
        <f>_xlfn.XLOOKUP(C1724,Table2[Species],Table2[Family],"Code Not Found")</f>
        <v>Magnoliaceae</v>
      </c>
      <c r="O1724" t="str" cm="1">
        <f t="array" ref="O1724">_xlfn.IFS(F1724="","",F1724&lt;=5,"0 to 5",F1724&lt;=10,"5.1 to 10",F1724&lt;=20,"10 to 20", F1724&lt;= 40, "20 to 40", F1724 &lt;= 50, "40 to 50", F1724 &gt; 50, "&gt;50" )</f>
        <v>0 to 5</v>
      </c>
    </row>
    <row r="1725" spans="1:15" ht="15" customHeight="1" x14ac:dyDescent="0.3">
      <c r="A1725" t="s">
        <v>351</v>
      </c>
      <c r="B1725" s="1">
        <v>46202</v>
      </c>
      <c r="C1725" t="s">
        <v>24</v>
      </c>
      <c r="D1725">
        <v>1580</v>
      </c>
      <c r="E1725">
        <v>1</v>
      </c>
      <c r="F1725">
        <v>1.2</v>
      </c>
      <c r="G1725" t="s">
        <v>359</v>
      </c>
      <c r="I1725" t="str">
        <f t="shared" si="29"/>
        <v>1580_1</v>
      </c>
      <c r="J1725" t="s">
        <v>241</v>
      </c>
      <c r="K1725" t="s">
        <v>179</v>
      </c>
      <c r="L1725" t="str">
        <f>_xlfn.XLOOKUP(C1725, Table2[Species],Table2[Genus], "Code Not Found")</f>
        <v>Lirodendron</v>
      </c>
      <c r="M1725" t="str">
        <f>_xlfn.XLOOKUP(C1725, Table2[Species],Table2[Sp. Name], "Code Not Found")</f>
        <v>tulipfera</v>
      </c>
      <c r="N1725" t="str">
        <f>_xlfn.XLOOKUP(C1725,Table2[Species],Table2[Family],"Code Not Found")</f>
        <v>Magnoliaceae</v>
      </c>
      <c r="O1725" t="str" cm="1">
        <f t="array" ref="O1725">_xlfn.IFS(F1725="","",F1725&lt;=5,"0 to 5",F1725&lt;=10,"5.1 to 10",F1725&lt;=20,"10 to 20", F1725&lt;= 40, "20 to 40", F1725 &lt;= 50, "40 to 50", F1725 &gt; 50, "&gt;50" )</f>
        <v>0 to 5</v>
      </c>
    </row>
    <row r="1726" spans="1:15" ht="15" customHeight="1" x14ac:dyDescent="0.3">
      <c r="A1726" t="s">
        <v>351</v>
      </c>
      <c r="B1726" s="1">
        <v>46202</v>
      </c>
      <c r="C1726" t="s">
        <v>24</v>
      </c>
      <c r="D1726">
        <v>1581</v>
      </c>
      <c r="E1726">
        <v>1</v>
      </c>
      <c r="F1726">
        <v>1.2</v>
      </c>
      <c r="G1726" t="s">
        <v>361</v>
      </c>
      <c r="H1726" t="s">
        <v>362</v>
      </c>
      <c r="I1726" t="str">
        <f t="shared" si="29"/>
        <v>1581_1</v>
      </c>
      <c r="J1726" t="s">
        <v>241</v>
      </c>
      <c r="K1726" t="s">
        <v>179</v>
      </c>
      <c r="L1726" t="str">
        <f>_xlfn.XLOOKUP(C1726, Table2[Species],Table2[Genus], "Code Not Found")</f>
        <v>Lirodendron</v>
      </c>
      <c r="M1726" t="str">
        <f>_xlfn.XLOOKUP(C1726, Table2[Species],Table2[Sp. Name], "Code Not Found")</f>
        <v>tulipfera</v>
      </c>
      <c r="N1726" t="str">
        <f>_xlfn.XLOOKUP(C1726,Table2[Species],Table2[Family],"Code Not Found")</f>
        <v>Magnoliaceae</v>
      </c>
      <c r="O1726" t="str" cm="1">
        <f t="array" ref="O1726">_xlfn.IFS(F1726="","",F1726&lt;=5,"0 to 5",F1726&lt;=10,"5.1 to 10",F1726&lt;=20,"10 to 20", F1726&lt;= 40, "20 to 40", F1726 &lt;= 50, "40 to 50", F1726 &gt; 50, "&gt;50" )</f>
        <v>0 to 5</v>
      </c>
    </row>
    <row r="1727" spans="1:15" ht="15" customHeight="1" x14ac:dyDescent="0.3">
      <c r="A1727" t="s">
        <v>351</v>
      </c>
      <c r="B1727" s="1">
        <v>46202</v>
      </c>
      <c r="C1727" t="s">
        <v>55</v>
      </c>
      <c r="D1727">
        <v>1582</v>
      </c>
      <c r="E1727">
        <v>1</v>
      </c>
      <c r="F1727">
        <v>17.399999999999999</v>
      </c>
      <c r="G1727" t="s">
        <v>47</v>
      </c>
      <c r="I1727" t="str">
        <f t="shared" si="29"/>
        <v>1582_1</v>
      </c>
      <c r="J1727" t="s">
        <v>241</v>
      </c>
      <c r="K1727" t="s">
        <v>179</v>
      </c>
      <c r="L1727" t="str">
        <f>_xlfn.XLOOKUP(C1727, Table2[Species],Table2[Genus], "Code Not Found")</f>
        <v>Magnolia</v>
      </c>
      <c r="M1727" t="str">
        <f>_xlfn.XLOOKUP(C1727, Table2[Species],Table2[Sp. Name], "Code Not Found")</f>
        <v>acuminata</v>
      </c>
      <c r="N1727" t="str">
        <f>_xlfn.XLOOKUP(C1727,Table2[Species],Table2[Family],"Code Not Found")</f>
        <v>Magnoliaceae</v>
      </c>
      <c r="O1727" t="str" cm="1">
        <f t="array" ref="O1727">_xlfn.IFS(F1727="","",F1727&lt;=5,"0 to 5",F1727&lt;=10,"5.1 to 10",F1727&lt;=20,"10 to 20", F1727&lt;= 40, "20 to 40", F1727 &lt;= 50, "40 to 50", F1727 &gt; 50, "&gt;50" )</f>
        <v>10 to 20</v>
      </c>
    </row>
    <row r="1728" spans="1:15" ht="15" customHeight="1" x14ac:dyDescent="0.3">
      <c r="A1728" t="s">
        <v>351</v>
      </c>
      <c r="B1728" s="1">
        <v>46202</v>
      </c>
      <c r="C1728" t="s">
        <v>24</v>
      </c>
      <c r="D1728">
        <v>1583</v>
      </c>
      <c r="E1728">
        <v>1</v>
      </c>
      <c r="F1728">
        <v>1.1000000000000001</v>
      </c>
      <c r="G1728" t="s">
        <v>359</v>
      </c>
      <c r="I1728" t="str">
        <f t="shared" si="29"/>
        <v>1583_1</v>
      </c>
      <c r="J1728" t="s">
        <v>241</v>
      </c>
      <c r="K1728" t="s">
        <v>179</v>
      </c>
      <c r="L1728" t="str">
        <f>_xlfn.XLOOKUP(C1728, Table2[Species],Table2[Genus], "Code Not Found")</f>
        <v>Lirodendron</v>
      </c>
      <c r="M1728" t="str">
        <f>_xlfn.XLOOKUP(C1728, Table2[Species],Table2[Sp. Name], "Code Not Found")</f>
        <v>tulipfera</v>
      </c>
      <c r="N1728" t="str">
        <f>_xlfn.XLOOKUP(C1728,Table2[Species],Table2[Family],"Code Not Found")</f>
        <v>Magnoliaceae</v>
      </c>
      <c r="O1728" t="str" cm="1">
        <f t="array" ref="O1728">_xlfn.IFS(F1728="","",F1728&lt;=5,"0 to 5",F1728&lt;=10,"5.1 to 10",F1728&lt;=20,"10 to 20", F1728&lt;= 40, "20 to 40", F1728 &lt;= 50, "40 to 50", F1728 &gt; 50, "&gt;50" )</f>
        <v>0 to 5</v>
      </c>
    </row>
    <row r="1729" spans="1:15" ht="15" customHeight="1" x14ac:dyDescent="0.3">
      <c r="A1729" t="s">
        <v>351</v>
      </c>
      <c r="B1729" s="1">
        <v>46202</v>
      </c>
      <c r="C1729" t="s">
        <v>64</v>
      </c>
      <c r="D1729">
        <v>1584</v>
      </c>
      <c r="E1729">
        <v>1</v>
      </c>
      <c r="F1729">
        <v>47.6</v>
      </c>
      <c r="G1729" t="s">
        <v>32</v>
      </c>
      <c r="H1729" t="s">
        <v>363</v>
      </c>
      <c r="I1729" t="str">
        <f t="shared" si="29"/>
        <v>1584_1</v>
      </c>
      <c r="J1729" t="s">
        <v>241</v>
      </c>
      <c r="K1729" t="s">
        <v>179</v>
      </c>
      <c r="L1729" t="str">
        <f>_xlfn.XLOOKUP(C1729, Table2[Species],Table2[Genus], "Code Not Found")</f>
        <v>Fagus</v>
      </c>
      <c r="M1729" t="str">
        <f>_xlfn.XLOOKUP(C1729, Table2[Species],Table2[Sp. Name], "Code Not Found")</f>
        <v>grandifolia</v>
      </c>
      <c r="N1729" t="str">
        <f>_xlfn.XLOOKUP(C1729,Table2[Species],Table2[Family],"Code Not Found")</f>
        <v>Fagaceae</v>
      </c>
      <c r="O1729" t="str" cm="1">
        <f t="array" ref="O1729">_xlfn.IFS(F1729="","",F1729&lt;=5,"0 to 5",F1729&lt;=10,"5.1 to 10",F1729&lt;=20,"10 to 20", F1729&lt;= 40, "20 to 40", F1729 &lt;= 50, "40 to 50", F1729 &gt; 50, "&gt;50" )</f>
        <v>40 to 50</v>
      </c>
    </row>
    <row r="1730" spans="1:15" ht="15" customHeight="1" x14ac:dyDescent="0.3">
      <c r="A1730" t="s">
        <v>351</v>
      </c>
      <c r="B1730" s="1">
        <v>46202</v>
      </c>
      <c r="C1730" t="s">
        <v>64</v>
      </c>
      <c r="D1730">
        <v>1584</v>
      </c>
      <c r="E1730">
        <v>2</v>
      </c>
      <c r="F1730">
        <v>3.9</v>
      </c>
      <c r="G1730" t="s">
        <v>34</v>
      </c>
      <c r="I1730" t="str">
        <f t="shared" si="29"/>
        <v>1584_2</v>
      </c>
      <c r="J1730" t="s">
        <v>241</v>
      </c>
      <c r="K1730" t="s">
        <v>179</v>
      </c>
      <c r="L1730" t="str">
        <f>_xlfn.XLOOKUP(C1730, Table2[Species],Table2[Genus], "Code Not Found")</f>
        <v>Fagus</v>
      </c>
      <c r="M1730" t="str">
        <f>_xlfn.XLOOKUP(C1730, Table2[Species],Table2[Sp. Name], "Code Not Found")</f>
        <v>grandifolia</v>
      </c>
      <c r="N1730" t="str">
        <f>_xlfn.XLOOKUP(C1730,Table2[Species],Table2[Family],"Code Not Found")</f>
        <v>Fagaceae</v>
      </c>
      <c r="O1730" t="str" cm="1">
        <f t="array" ref="O1730">_xlfn.IFS(F1730="","",F1730&lt;=5,"0 to 5",F1730&lt;=10,"5.1 to 10",F1730&lt;=20,"10 to 20", F1730&lt;= 40, "20 to 40", F1730 &lt;= 50, "40 to 50", F1730 &gt; 50, "&gt;50" )</f>
        <v>0 to 5</v>
      </c>
    </row>
    <row r="1731" spans="1:15" ht="15" customHeight="1" x14ac:dyDescent="0.3">
      <c r="A1731" t="s">
        <v>351</v>
      </c>
      <c r="B1731" s="1">
        <v>46202</v>
      </c>
      <c r="C1731" t="s">
        <v>64</v>
      </c>
      <c r="D1731">
        <v>1585</v>
      </c>
      <c r="E1731">
        <v>1</v>
      </c>
      <c r="F1731">
        <v>54.7</v>
      </c>
      <c r="G1731" t="s">
        <v>186</v>
      </c>
      <c r="H1731" t="s">
        <v>364</v>
      </c>
      <c r="I1731" t="str">
        <f t="shared" si="29"/>
        <v>1585_1</v>
      </c>
      <c r="J1731" t="s">
        <v>241</v>
      </c>
      <c r="K1731" t="s">
        <v>179</v>
      </c>
      <c r="L1731" t="str">
        <f>_xlfn.XLOOKUP(C1731, Table2[Species],Table2[Genus], "Code Not Found")</f>
        <v>Fagus</v>
      </c>
      <c r="M1731" t="str">
        <f>_xlfn.XLOOKUP(C1731, Table2[Species],Table2[Sp. Name], "Code Not Found")</f>
        <v>grandifolia</v>
      </c>
      <c r="N1731" t="str">
        <f>_xlfn.XLOOKUP(C1731,Table2[Species],Table2[Family],"Code Not Found")</f>
        <v>Fagaceae</v>
      </c>
      <c r="O1731" t="str" cm="1">
        <f t="array" ref="O1731">_xlfn.IFS(F1731="","",F1731&lt;=5,"0 to 5",F1731&lt;=10,"5.1 to 10",F1731&lt;=20,"10 to 20", F1731&lt;= 40, "20 to 40", F1731 &lt;= 50, "40 to 50", F1731 &gt; 50, "&gt;50" )</f>
        <v>&gt;50</v>
      </c>
    </row>
    <row r="1732" spans="1:15" ht="15" customHeight="1" x14ac:dyDescent="0.3">
      <c r="A1732" t="s">
        <v>351</v>
      </c>
      <c r="B1732" s="1">
        <v>46202</v>
      </c>
      <c r="C1732" t="s">
        <v>64</v>
      </c>
      <c r="D1732">
        <v>1585</v>
      </c>
      <c r="E1732">
        <v>2</v>
      </c>
      <c r="F1732">
        <v>11</v>
      </c>
      <c r="G1732" t="s">
        <v>141</v>
      </c>
      <c r="I1732" t="str">
        <f t="shared" si="29"/>
        <v>1585_2</v>
      </c>
      <c r="J1732" t="s">
        <v>241</v>
      </c>
      <c r="K1732" t="s">
        <v>179</v>
      </c>
      <c r="L1732" t="str">
        <f>_xlfn.XLOOKUP(C1732, Table2[Species],Table2[Genus], "Code Not Found")</f>
        <v>Fagus</v>
      </c>
      <c r="M1732" t="str">
        <f>_xlfn.XLOOKUP(C1732, Table2[Species],Table2[Sp. Name], "Code Not Found")</f>
        <v>grandifolia</v>
      </c>
      <c r="N1732" t="str">
        <f>_xlfn.XLOOKUP(C1732,Table2[Species],Table2[Family],"Code Not Found")</f>
        <v>Fagaceae</v>
      </c>
      <c r="O1732" t="str" cm="1">
        <f t="array" ref="O1732">_xlfn.IFS(F1732="","",F1732&lt;=5,"0 to 5",F1732&lt;=10,"5.1 to 10",F1732&lt;=20,"10 to 20", F1732&lt;= 40, "20 to 40", F1732 &lt;= 50, "40 to 50", F1732 &gt; 50, "&gt;50" )</f>
        <v>10 to 20</v>
      </c>
    </row>
    <row r="1733" spans="1:15" ht="15" customHeight="1" x14ac:dyDescent="0.3">
      <c r="A1733" t="s">
        <v>351</v>
      </c>
      <c r="B1733" s="1">
        <v>46202</v>
      </c>
      <c r="C1733" t="s">
        <v>16</v>
      </c>
      <c r="D1733">
        <v>1586</v>
      </c>
      <c r="E1733">
        <v>1</v>
      </c>
      <c r="F1733">
        <v>7.7</v>
      </c>
      <c r="G1733" t="s">
        <v>21</v>
      </c>
      <c r="I1733" t="str">
        <f t="shared" si="29"/>
        <v>1586_1</v>
      </c>
      <c r="J1733" t="s">
        <v>241</v>
      </c>
      <c r="K1733" t="s">
        <v>179</v>
      </c>
      <c r="L1733" t="str">
        <f>_xlfn.XLOOKUP(C1733, Table2[Species],Table2[Genus], "Code Not Found")</f>
        <v>Acer</v>
      </c>
      <c r="M1733" t="str">
        <f>_xlfn.XLOOKUP(C1733, Table2[Species],Table2[Sp. Name], "Code Not Found")</f>
        <v>saccharum</v>
      </c>
      <c r="N1733" t="str">
        <f>_xlfn.XLOOKUP(C1733,Table2[Species],Table2[Family],"Code Not Found")</f>
        <v>Sapindaceae</v>
      </c>
      <c r="O1733" t="str" cm="1">
        <f t="array" ref="O1733">_xlfn.IFS(F1733="","",F1733&lt;=5,"0 to 5",F1733&lt;=10,"5.1 to 10",F1733&lt;=20,"10 to 20", F1733&lt;= 40, "20 to 40", F1733 &lt;= 50, "40 to 50", F1733 &gt; 50, "&gt;50" )</f>
        <v>5.1 to 10</v>
      </c>
    </row>
    <row r="1734" spans="1:15" ht="15" customHeight="1" x14ac:dyDescent="0.3">
      <c r="A1734" t="s">
        <v>351</v>
      </c>
      <c r="B1734" s="1">
        <v>46202</v>
      </c>
      <c r="C1734" t="s">
        <v>24</v>
      </c>
      <c r="D1734">
        <v>1587</v>
      </c>
      <c r="E1734">
        <v>1</v>
      </c>
      <c r="F1734">
        <v>1.2</v>
      </c>
      <c r="G1734" t="s">
        <v>359</v>
      </c>
      <c r="I1734" t="str">
        <f t="shared" si="29"/>
        <v>1587_1</v>
      </c>
      <c r="J1734" t="s">
        <v>241</v>
      </c>
      <c r="K1734" t="s">
        <v>179</v>
      </c>
      <c r="L1734" t="str">
        <f>_xlfn.XLOOKUP(C1734, Table2[Species],Table2[Genus], "Code Not Found")</f>
        <v>Lirodendron</v>
      </c>
      <c r="M1734" t="str">
        <f>_xlfn.XLOOKUP(C1734, Table2[Species],Table2[Sp. Name], "Code Not Found")</f>
        <v>tulipfera</v>
      </c>
      <c r="N1734" t="str">
        <f>_xlfn.XLOOKUP(C1734,Table2[Species],Table2[Family],"Code Not Found")</f>
        <v>Magnoliaceae</v>
      </c>
      <c r="O1734" t="str" cm="1">
        <f t="array" ref="O1734">_xlfn.IFS(F1734="","",F1734&lt;=5,"0 to 5",F1734&lt;=10,"5.1 to 10",F1734&lt;=20,"10 to 20", F1734&lt;= 40, "20 to 40", F1734 &lt;= 50, "40 to 50", F1734 &gt; 50, "&gt;50" )</f>
        <v>0 to 5</v>
      </c>
    </row>
    <row r="1735" spans="1:15" ht="15" customHeight="1" x14ac:dyDescent="0.3">
      <c r="A1735" t="s">
        <v>351</v>
      </c>
      <c r="B1735" s="1">
        <v>46202</v>
      </c>
      <c r="C1735" t="s">
        <v>24</v>
      </c>
      <c r="D1735">
        <v>1588</v>
      </c>
      <c r="E1735">
        <v>1</v>
      </c>
      <c r="F1735">
        <v>1.4</v>
      </c>
      <c r="G1735" t="s">
        <v>359</v>
      </c>
      <c r="I1735" t="str">
        <f t="shared" si="29"/>
        <v>1588_1</v>
      </c>
      <c r="J1735" t="s">
        <v>241</v>
      </c>
      <c r="K1735" t="s">
        <v>179</v>
      </c>
      <c r="L1735" t="str">
        <f>_xlfn.XLOOKUP(C1735, Table2[Species],Table2[Genus], "Code Not Found")</f>
        <v>Lirodendron</v>
      </c>
      <c r="M1735" t="str">
        <f>_xlfn.XLOOKUP(C1735, Table2[Species],Table2[Sp. Name], "Code Not Found")</f>
        <v>tulipfera</v>
      </c>
      <c r="N1735" t="str">
        <f>_xlfn.XLOOKUP(C1735,Table2[Species],Table2[Family],"Code Not Found")</f>
        <v>Magnoliaceae</v>
      </c>
      <c r="O1735" t="str" cm="1">
        <f t="array" ref="O1735">_xlfn.IFS(F1735="","",F1735&lt;=5,"0 to 5",F1735&lt;=10,"5.1 to 10",F1735&lt;=20,"10 to 20", F1735&lt;= 40, "20 to 40", F1735 &lt;= 50, "40 to 50", F1735 &gt; 50, "&gt;50" )</f>
        <v>0 to 5</v>
      </c>
    </row>
    <row r="1736" spans="1:15" ht="15" customHeight="1" x14ac:dyDescent="0.3">
      <c r="A1736" t="s">
        <v>351</v>
      </c>
      <c r="B1736" s="1">
        <v>46202</v>
      </c>
      <c r="C1736" t="s">
        <v>64</v>
      </c>
      <c r="D1736">
        <v>1589</v>
      </c>
      <c r="E1736">
        <v>1</v>
      </c>
      <c r="F1736">
        <v>22.3</v>
      </c>
      <c r="G1736" t="s">
        <v>17</v>
      </c>
      <c r="H1736" t="s">
        <v>36</v>
      </c>
      <c r="I1736" t="str">
        <f t="shared" si="29"/>
        <v>1589_1</v>
      </c>
      <c r="J1736" t="s">
        <v>241</v>
      </c>
      <c r="K1736" t="s">
        <v>179</v>
      </c>
      <c r="L1736" t="str">
        <f>_xlfn.XLOOKUP(C1736, Table2[Species],Table2[Genus], "Code Not Found")</f>
        <v>Fagus</v>
      </c>
      <c r="M1736" t="str">
        <f>_xlfn.XLOOKUP(C1736, Table2[Species],Table2[Sp. Name], "Code Not Found")</f>
        <v>grandifolia</v>
      </c>
      <c r="N1736" t="str">
        <f>_xlfn.XLOOKUP(C1736,Table2[Species],Table2[Family],"Code Not Found")</f>
        <v>Fagaceae</v>
      </c>
      <c r="O1736" t="str" cm="1">
        <f t="array" ref="O1736">_xlfn.IFS(F1736="","",F1736&lt;=5,"0 to 5",F1736&lt;=10,"5.1 to 10",F1736&lt;=20,"10 to 20", F1736&lt;= 40, "20 to 40", F1736 &lt;= 50, "40 to 50", F1736 &gt; 50, "&gt;50" )</f>
        <v>20 to 40</v>
      </c>
    </row>
    <row r="1737" spans="1:15" ht="15" customHeight="1" x14ac:dyDescent="0.3">
      <c r="A1737" t="s">
        <v>351</v>
      </c>
      <c r="B1737" s="1">
        <v>46202</v>
      </c>
      <c r="C1737" t="s">
        <v>24</v>
      </c>
      <c r="D1737">
        <v>1590</v>
      </c>
      <c r="E1737">
        <v>1</v>
      </c>
      <c r="F1737">
        <v>1.1000000000000001</v>
      </c>
      <c r="G1737" t="s">
        <v>365</v>
      </c>
      <c r="H1737" t="s">
        <v>296</v>
      </c>
      <c r="I1737" t="str">
        <f t="shared" si="29"/>
        <v>1590_1</v>
      </c>
      <c r="J1737" t="s">
        <v>241</v>
      </c>
      <c r="K1737" t="s">
        <v>179</v>
      </c>
      <c r="L1737" t="str">
        <f>_xlfn.XLOOKUP(C1737, Table2[Species],Table2[Genus], "Code Not Found")</f>
        <v>Lirodendron</v>
      </c>
      <c r="M1737" t="str">
        <f>_xlfn.XLOOKUP(C1737, Table2[Species],Table2[Sp. Name], "Code Not Found")</f>
        <v>tulipfera</v>
      </c>
      <c r="N1737" t="str">
        <f>_xlfn.XLOOKUP(C1737,Table2[Species],Table2[Family],"Code Not Found")</f>
        <v>Magnoliaceae</v>
      </c>
      <c r="O1737" t="str" cm="1">
        <f t="array" ref="O1737">_xlfn.IFS(F1737="","",F1737&lt;=5,"0 to 5",F1737&lt;=10,"5.1 to 10",F1737&lt;=20,"10 to 20", F1737&lt;= 40, "20 to 40", F1737 &lt;= 50, "40 to 50", F1737 &gt; 50, "&gt;50" )</f>
        <v>0 to 5</v>
      </c>
    </row>
    <row r="1738" spans="1:15" ht="15" customHeight="1" x14ac:dyDescent="0.3">
      <c r="A1738" t="s">
        <v>351</v>
      </c>
      <c r="B1738" s="1">
        <v>46202</v>
      </c>
      <c r="C1738" t="s">
        <v>24</v>
      </c>
      <c r="D1738">
        <v>1591</v>
      </c>
      <c r="E1738">
        <v>1</v>
      </c>
      <c r="F1738">
        <v>1</v>
      </c>
      <c r="G1738" t="s">
        <v>359</v>
      </c>
      <c r="I1738" t="str">
        <f t="shared" si="29"/>
        <v>1591_1</v>
      </c>
      <c r="J1738" t="s">
        <v>241</v>
      </c>
      <c r="K1738" t="s">
        <v>179</v>
      </c>
      <c r="L1738" t="str">
        <f>_xlfn.XLOOKUP(C1738, Table2[Species],Table2[Genus], "Code Not Found")</f>
        <v>Lirodendron</v>
      </c>
      <c r="M1738" t="str">
        <f>_xlfn.XLOOKUP(C1738, Table2[Species],Table2[Sp. Name], "Code Not Found")</f>
        <v>tulipfera</v>
      </c>
      <c r="N1738" t="str">
        <f>_xlfn.XLOOKUP(C1738,Table2[Species],Table2[Family],"Code Not Found")</f>
        <v>Magnoliaceae</v>
      </c>
      <c r="O1738" t="str" cm="1">
        <f t="array" ref="O1738">_xlfn.IFS(F1738="","",F1738&lt;=5,"0 to 5",F1738&lt;=10,"5.1 to 10",F1738&lt;=20,"10 to 20", F1738&lt;= 40, "20 to 40", F1738 &lt;= 50, "40 to 50", F1738 &gt; 50, "&gt;50" )</f>
        <v>0 to 5</v>
      </c>
    </row>
    <row r="1739" spans="1:15" ht="15" customHeight="1" x14ac:dyDescent="0.3">
      <c r="A1739" t="s">
        <v>351</v>
      </c>
      <c r="B1739" s="1">
        <v>46202</v>
      </c>
      <c r="C1739" t="s">
        <v>24</v>
      </c>
      <c r="D1739">
        <v>1592</v>
      </c>
      <c r="E1739">
        <v>1</v>
      </c>
      <c r="F1739">
        <v>1.6</v>
      </c>
      <c r="G1739" t="s">
        <v>359</v>
      </c>
      <c r="I1739" t="str">
        <f t="shared" si="29"/>
        <v>1592_1</v>
      </c>
      <c r="J1739" t="s">
        <v>241</v>
      </c>
      <c r="K1739" t="s">
        <v>179</v>
      </c>
      <c r="L1739" t="str">
        <f>_xlfn.XLOOKUP(C1739, Table2[Species],Table2[Genus], "Code Not Found")</f>
        <v>Lirodendron</v>
      </c>
      <c r="M1739" t="str">
        <f>_xlfn.XLOOKUP(C1739, Table2[Species],Table2[Sp. Name], "Code Not Found")</f>
        <v>tulipfera</v>
      </c>
      <c r="N1739" t="str">
        <f>_xlfn.XLOOKUP(C1739,Table2[Species],Table2[Family],"Code Not Found")</f>
        <v>Magnoliaceae</v>
      </c>
      <c r="O1739" t="str" cm="1">
        <f t="array" ref="O1739">_xlfn.IFS(F1739="","",F1739&lt;=5,"0 to 5",F1739&lt;=10,"5.1 to 10",F1739&lt;=20,"10 to 20", F1739&lt;= 40, "20 to 40", F1739 &lt;= 50, "40 to 50", F1739 &gt; 50, "&gt;50" )</f>
        <v>0 to 5</v>
      </c>
    </row>
    <row r="1740" spans="1:15" ht="15" customHeight="1" x14ac:dyDescent="0.3">
      <c r="A1740" t="s">
        <v>351</v>
      </c>
      <c r="B1740" s="1">
        <v>46202</v>
      </c>
      <c r="C1740" t="s">
        <v>24</v>
      </c>
      <c r="D1740">
        <v>1593</v>
      </c>
      <c r="E1740">
        <v>1</v>
      </c>
      <c r="F1740">
        <v>1.1000000000000001</v>
      </c>
      <c r="G1740" t="s">
        <v>21</v>
      </c>
      <c r="I1740" t="str">
        <f t="shared" si="29"/>
        <v>1593_1</v>
      </c>
      <c r="J1740" t="s">
        <v>241</v>
      </c>
      <c r="K1740" t="s">
        <v>179</v>
      </c>
      <c r="L1740" t="str">
        <f>_xlfn.XLOOKUP(C1740, Table2[Species],Table2[Genus], "Code Not Found")</f>
        <v>Lirodendron</v>
      </c>
      <c r="M1740" t="str">
        <f>_xlfn.XLOOKUP(C1740, Table2[Species],Table2[Sp. Name], "Code Not Found")</f>
        <v>tulipfera</v>
      </c>
      <c r="N1740" t="str">
        <f>_xlfn.XLOOKUP(C1740,Table2[Species],Table2[Family],"Code Not Found")</f>
        <v>Magnoliaceae</v>
      </c>
      <c r="O1740" t="str" cm="1">
        <f t="array" ref="O1740">_xlfn.IFS(F1740="","",F1740&lt;=5,"0 to 5",F1740&lt;=10,"5.1 to 10",F1740&lt;=20,"10 to 20", F1740&lt;= 40, "20 to 40", F1740 &lt;= 50, "40 to 50", F1740 &gt; 50, "&gt;50" )</f>
        <v>0 to 5</v>
      </c>
    </row>
    <row r="1741" spans="1:15" ht="15" customHeight="1" x14ac:dyDescent="0.3">
      <c r="A1741" t="s">
        <v>351</v>
      </c>
      <c r="B1741" s="1">
        <v>46202</v>
      </c>
      <c r="C1741" t="s">
        <v>24</v>
      </c>
      <c r="D1741">
        <v>1594</v>
      </c>
      <c r="E1741">
        <v>1</v>
      </c>
      <c r="F1741">
        <v>1</v>
      </c>
      <c r="G1741" t="s">
        <v>47</v>
      </c>
      <c r="H1741" t="s">
        <v>366</v>
      </c>
      <c r="I1741" t="str">
        <f t="shared" si="29"/>
        <v>1594_1</v>
      </c>
      <c r="J1741" t="s">
        <v>241</v>
      </c>
      <c r="K1741" t="s">
        <v>179</v>
      </c>
      <c r="L1741" t="str">
        <f>_xlfn.XLOOKUP(C1741, Table2[Species],Table2[Genus], "Code Not Found")</f>
        <v>Lirodendron</v>
      </c>
      <c r="M1741" t="str">
        <f>_xlfn.XLOOKUP(C1741, Table2[Species],Table2[Sp. Name], "Code Not Found")</f>
        <v>tulipfera</v>
      </c>
      <c r="N1741" t="str">
        <f>_xlfn.XLOOKUP(C1741,Table2[Species],Table2[Family],"Code Not Found")</f>
        <v>Magnoliaceae</v>
      </c>
      <c r="O1741" t="str" cm="1">
        <f t="array" ref="O1741">_xlfn.IFS(F1741="","",F1741&lt;=5,"0 to 5",F1741&lt;=10,"5.1 to 10",F1741&lt;=20,"10 to 20", F1741&lt;= 40, "20 to 40", F1741 &lt;= 50, "40 to 50", F1741 &gt; 50, "&gt;50" )</f>
        <v>0 to 5</v>
      </c>
    </row>
    <row r="1742" spans="1:15" ht="15" customHeight="1" x14ac:dyDescent="0.3">
      <c r="A1742" t="s">
        <v>351</v>
      </c>
      <c r="B1742" s="1">
        <v>46202</v>
      </c>
      <c r="C1742" t="s">
        <v>24</v>
      </c>
      <c r="D1742">
        <v>1595</v>
      </c>
      <c r="E1742">
        <v>1</v>
      </c>
      <c r="F1742">
        <v>1.1000000000000001</v>
      </c>
      <c r="G1742" t="s">
        <v>17</v>
      </c>
      <c r="H1742" t="s">
        <v>367</v>
      </c>
      <c r="I1742" t="str">
        <f t="shared" si="29"/>
        <v>1595_1</v>
      </c>
      <c r="J1742" t="s">
        <v>241</v>
      </c>
      <c r="K1742" t="s">
        <v>179</v>
      </c>
      <c r="L1742" t="str">
        <f>_xlfn.XLOOKUP(C1742, Table2[Species],Table2[Genus], "Code Not Found")</f>
        <v>Lirodendron</v>
      </c>
      <c r="M1742" t="str">
        <f>_xlfn.XLOOKUP(C1742, Table2[Species],Table2[Sp. Name], "Code Not Found")</f>
        <v>tulipfera</v>
      </c>
      <c r="N1742" t="str">
        <f>_xlfn.XLOOKUP(C1742,Table2[Species],Table2[Family],"Code Not Found")</f>
        <v>Magnoliaceae</v>
      </c>
      <c r="O1742" t="str" cm="1">
        <f t="array" ref="O1742">_xlfn.IFS(F1742="","",F1742&lt;=5,"0 to 5",F1742&lt;=10,"5.1 to 10",F1742&lt;=20,"10 to 20", F1742&lt;= 40, "20 to 40", F1742 &lt;= 50, "40 to 50", F1742 &gt; 50, "&gt;50" )</f>
        <v>0 to 5</v>
      </c>
    </row>
    <row r="1743" spans="1:15" ht="15" customHeight="1" x14ac:dyDescent="0.3">
      <c r="A1743" t="s">
        <v>351</v>
      </c>
      <c r="B1743" s="1">
        <v>46202</v>
      </c>
      <c r="C1743" t="s">
        <v>24</v>
      </c>
      <c r="D1743">
        <v>1596</v>
      </c>
      <c r="E1743">
        <v>1</v>
      </c>
      <c r="F1743">
        <v>1.2</v>
      </c>
      <c r="G1743" t="s">
        <v>21</v>
      </c>
      <c r="H1743" t="s">
        <v>367</v>
      </c>
      <c r="I1743" t="str">
        <f t="shared" si="29"/>
        <v>1596_1</v>
      </c>
      <c r="J1743" t="s">
        <v>241</v>
      </c>
      <c r="K1743" t="s">
        <v>179</v>
      </c>
      <c r="L1743" t="str">
        <f>_xlfn.XLOOKUP(C1743, Table2[Species],Table2[Genus], "Code Not Found")</f>
        <v>Lirodendron</v>
      </c>
      <c r="M1743" t="str">
        <f>_xlfn.XLOOKUP(C1743, Table2[Species],Table2[Sp. Name], "Code Not Found")</f>
        <v>tulipfera</v>
      </c>
      <c r="N1743" t="str">
        <f>_xlfn.XLOOKUP(C1743,Table2[Species],Table2[Family],"Code Not Found")</f>
        <v>Magnoliaceae</v>
      </c>
      <c r="O1743" t="str" cm="1">
        <f t="array" ref="O1743">_xlfn.IFS(F1743="","",F1743&lt;=5,"0 to 5",F1743&lt;=10,"5.1 to 10",F1743&lt;=20,"10 to 20", F1743&lt;= 40, "20 to 40", F1743 &lt;= 50, "40 to 50", F1743 &gt; 50, "&gt;50" )</f>
        <v>0 to 5</v>
      </c>
    </row>
    <row r="1744" spans="1:15" ht="15" customHeight="1" x14ac:dyDescent="0.3">
      <c r="A1744" t="s">
        <v>351</v>
      </c>
      <c r="B1744" s="1">
        <v>46202</v>
      </c>
      <c r="C1744" t="s">
        <v>24</v>
      </c>
      <c r="D1744">
        <v>1597</v>
      </c>
      <c r="E1744">
        <v>1</v>
      </c>
      <c r="F1744">
        <v>1.2</v>
      </c>
      <c r="G1744" t="s">
        <v>21</v>
      </c>
      <c r="H1744" t="s">
        <v>367</v>
      </c>
      <c r="I1744" t="str">
        <f t="shared" si="29"/>
        <v>1597_1</v>
      </c>
      <c r="J1744" t="s">
        <v>241</v>
      </c>
      <c r="K1744" t="s">
        <v>179</v>
      </c>
      <c r="L1744" t="str">
        <f>_xlfn.XLOOKUP(C1744, Table2[Species],Table2[Genus], "Code Not Found")</f>
        <v>Lirodendron</v>
      </c>
      <c r="M1744" t="str">
        <f>_xlfn.XLOOKUP(C1744, Table2[Species],Table2[Sp. Name], "Code Not Found")</f>
        <v>tulipfera</v>
      </c>
      <c r="N1744" t="str">
        <f>_xlfn.XLOOKUP(C1744,Table2[Species],Table2[Family],"Code Not Found")</f>
        <v>Magnoliaceae</v>
      </c>
      <c r="O1744" t="str" cm="1">
        <f t="array" ref="O1744">_xlfn.IFS(F1744="","",F1744&lt;=5,"0 to 5",F1744&lt;=10,"5.1 to 10",F1744&lt;=20,"10 to 20", F1744&lt;= 40, "20 to 40", F1744 &lt;= 50, "40 to 50", F1744 &gt; 50, "&gt;50" )</f>
        <v>0 to 5</v>
      </c>
    </row>
    <row r="1745" spans="1:15" ht="15" customHeight="1" x14ac:dyDescent="0.3">
      <c r="A1745" t="s">
        <v>351</v>
      </c>
      <c r="B1745" s="1">
        <v>46202</v>
      </c>
      <c r="C1745" t="s">
        <v>24</v>
      </c>
      <c r="D1745">
        <v>1598</v>
      </c>
      <c r="E1745">
        <v>1</v>
      </c>
      <c r="F1745">
        <v>2.2000000000000002</v>
      </c>
      <c r="G1745" t="s">
        <v>21</v>
      </c>
      <c r="H1745" t="s">
        <v>367</v>
      </c>
      <c r="I1745" t="str">
        <f t="shared" si="29"/>
        <v>1598_1</v>
      </c>
      <c r="J1745" t="s">
        <v>241</v>
      </c>
      <c r="K1745" t="s">
        <v>179</v>
      </c>
      <c r="L1745" t="str">
        <f>_xlfn.XLOOKUP(C1745, Table2[Species],Table2[Genus], "Code Not Found")</f>
        <v>Lirodendron</v>
      </c>
      <c r="M1745" t="str">
        <f>_xlfn.XLOOKUP(C1745, Table2[Species],Table2[Sp. Name], "Code Not Found")</f>
        <v>tulipfera</v>
      </c>
      <c r="N1745" t="str">
        <f>_xlfn.XLOOKUP(C1745,Table2[Species],Table2[Family],"Code Not Found")</f>
        <v>Magnoliaceae</v>
      </c>
      <c r="O1745" t="str" cm="1">
        <f t="array" ref="O1745">_xlfn.IFS(F1745="","",F1745&lt;=5,"0 to 5",F1745&lt;=10,"5.1 to 10",F1745&lt;=20,"10 to 20", F1745&lt;= 40, "20 to 40", F1745 &lt;= 50, "40 to 50", F1745 &gt; 50, "&gt;50" )</f>
        <v>0 to 5</v>
      </c>
    </row>
    <row r="1746" spans="1:15" ht="15" customHeight="1" x14ac:dyDescent="0.3">
      <c r="A1746" t="s">
        <v>351</v>
      </c>
      <c r="B1746" s="1">
        <v>46202</v>
      </c>
      <c r="C1746" t="s">
        <v>24</v>
      </c>
      <c r="D1746">
        <v>1599</v>
      </c>
      <c r="E1746">
        <v>1</v>
      </c>
      <c r="F1746">
        <v>1.1000000000000001</v>
      </c>
      <c r="G1746" t="s">
        <v>21</v>
      </c>
      <c r="H1746" t="s">
        <v>367</v>
      </c>
      <c r="I1746" t="str">
        <f t="shared" si="29"/>
        <v>1599_1</v>
      </c>
      <c r="J1746" t="s">
        <v>241</v>
      </c>
      <c r="K1746" t="s">
        <v>179</v>
      </c>
      <c r="L1746" t="str">
        <f>_xlfn.XLOOKUP(C1746, Table2[Species],Table2[Genus], "Code Not Found")</f>
        <v>Lirodendron</v>
      </c>
      <c r="M1746" t="str">
        <f>_xlfn.XLOOKUP(C1746, Table2[Species],Table2[Sp. Name], "Code Not Found")</f>
        <v>tulipfera</v>
      </c>
      <c r="N1746" t="str">
        <f>_xlfn.XLOOKUP(C1746,Table2[Species],Table2[Family],"Code Not Found")</f>
        <v>Magnoliaceae</v>
      </c>
      <c r="O1746" t="str" cm="1">
        <f t="array" ref="O1746">_xlfn.IFS(F1746="","",F1746&lt;=5,"0 to 5",F1746&lt;=10,"5.1 to 10",F1746&lt;=20,"10 to 20", F1746&lt;= 40, "20 to 40", F1746 &lt;= 50, "40 to 50", F1746 &gt; 50, "&gt;50" )</f>
        <v>0 to 5</v>
      </c>
    </row>
    <row r="1747" spans="1:15" ht="15" customHeight="1" x14ac:dyDescent="0.3">
      <c r="A1747" t="s">
        <v>351</v>
      </c>
      <c r="B1747" s="1">
        <v>46202</v>
      </c>
      <c r="C1747" t="s">
        <v>24</v>
      </c>
      <c r="D1747">
        <v>1600</v>
      </c>
      <c r="E1747">
        <v>1</v>
      </c>
      <c r="F1747">
        <v>1.2</v>
      </c>
      <c r="G1747" t="s">
        <v>21</v>
      </c>
      <c r="H1747" t="s">
        <v>367</v>
      </c>
      <c r="I1747" t="str">
        <f t="shared" si="29"/>
        <v>1600_1</v>
      </c>
      <c r="J1747" t="s">
        <v>241</v>
      </c>
      <c r="K1747" t="s">
        <v>179</v>
      </c>
      <c r="L1747" t="str">
        <f>_xlfn.XLOOKUP(C1747, Table2[Species],Table2[Genus], "Code Not Found")</f>
        <v>Lirodendron</v>
      </c>
      <c r="M1747" t="str">
        <f>_xlfn.XLOOKUP(C1747, Table2[Species],Table2[Sp. Name], "Code Not Found")</f>
        <v>tulipfera</v>
      </c>
      <c r="N1747" t="str">
        <f>_xlfn.XLOOKUP(C1747,Table2[Species],Table2[Family],"Code Not Found")</f>
        <v>Magnoliaceae</v>
      </c>
      <c r="O1747" t="str" cm="1">
        <f t="array" ref="O1747">_xlfn.IFS(F1747="","",F1747&lt;=5,"0 to 5",F1747&lt;=10,"5.1 to 10",F1747&lt;=20,"10 to 20", F1747&lt;= 40, "20 to 40", F1747 &lt;= 50, "40 to 50", F1747 &gt; 50, "&gt;50" )</f>
        <v>0 to 5</v>
      </c>
    </row>
    <row r="1748" spans="1:15" ht="15" customHeight="1" x14ac:dyDescent="0.3">
      <c r="A1748" t="s">
        <v>351</v>
      </c>
      <c r="B1748" s="1">
        <v>46202</v>
      </c>
      <c r="C1748" t="s">
        <v>24</v>
      </c>
      <c r="D1748">
        <v>1601</v>
      </c>
      <c r="E1748">
        <v>1</v>
      </c>
      <c r="F1748">
        <v>1.3</v>
      </c>
      <c r="G1748" t="s">
        <v>359</v>
      </c>
      <c r="I1748" t="str">
        <f t="shared" si="29"/>
        <v>1601_1</v>
      </c>
      <c r="J1748" t="s">
        <v>241</v>
      </c>
      <c r="K1748" t="s">
        <v>179</v>
      </c>
      <c r="L1748" t="str">
        <f>_xlfn.XLOOKUP(C1748, Table2[Species],Table2[Genus], "Code Not Found")</f>
        <v>Lirodendron</v>
      </c>
      <c r="M1748" t="str">
        <f>_xlfn.XLOOKUP(C1748, Table2[Species],Table2[Sp. Name], "Code Not Found")</f>
        <v>tulipfera</v>
      </c>
      <c r="N1748" t="str">
        <f>_xlfn.XLOOKUP(C1748,Table2[Species],Table2[Family],"Code Not Found")</f>
        <v>Magnoliaceae</v>
      </c>
      <c r="O1748" t="str" cm="1">
        <f t="array" ref="O1748">_xlfn.IFS(F1748="","",F1748&lt;=5,"0 to 5",F1748&lt;=10,"5.1 to 10",F1748&lt;=20,"10 to 20", F1748&lt;= 40, "20 to 40", F1748 &lt;= 50, "40 to 50", F1748 &gt; 50, "&gt;50" )</f>
        <v>0 to 5</v>
      </c>
    </row>
    <row r="1749" spans="1:15" ht="15" customHeight="1" x14ac:dyDescent="0.3">
      <c r="A1749" t="s">
        <v>351</v>
      </c>
      <c r="B1749" s="1">
        <v>46202</v>
      </c>
      <c r="C1749" t="s">
        <v>24</v>
      </c>
      <c r="D1749">
        <v>1602</v>
      </c>
      <c r="E1749">
        <v>1</v>
      </c>
      <c r="F1749">
        <v>1.3</v>
      </c>
      <c r="G1749" t="s">
        <v>359</v>
      </c>
      <c r="I1749" t="str">
        <f t="shared" si="29"/>
        <v>1602_1</v>
      </c>
      <c r="J1749" t="s">
        <v>241</v>
      </c>
      <c r="K1749" t="s">
        <v>179</v>
      </c>
      <c r="L1749" t="str">
        <f>_xlfn.XLOOKUP(C1749, Table2[Species],Table2[Genus], "Code Not Found")</f>
        <v>Lirodendron</v>
      </c>
      <c r="M1749" t="str">
        <f>_xlfn.XLOOKUP(C1749, Table2[Species],Table2[Sp. Name], "Code Not Found")</f>
        <v>tulipfera</v>
      </c>
      <c r="N1749" t="str">
        <f>_xlfn.XLOOKUP(C1749,Table2[Species],Table2[Family],"Code Not Found")</f>
        <v>Magnoliaceae</v>
      </c>
      <c r="O1749" t="str" cm="1">
        <f t="array" ref="O1749">_xlfn.IFS(F1749="","",F1749&lt;=5,"0 to 5",F1749&lt;=10,"5.1 to 10",F1749&lt;=20,"10 to 20", F1749&lt;= 40, "20 to 40", F1749 &lt;= 50, "40 to 50", F1749 &gt; 50, "&gt;50" )</f>
        <v>0 to 5</v>
      </c>
    </row>
    <row r="1750" spans="1:15" ht="15" customHeight="1" x14ac:dyDescent="0.3">
      <c r="A1750" t="s">
        <v>351</v>
      </c>
      <c r="B1750" s="1">
        <v>46202</v>
      </c>
      <c r="C1750" t="s">
        <v>24</v>
      </c>
      <c r="D1750">
        <v>1603</v>
      </c>
      <c r="E1750">
        <v>1</v>
      </c>
      <c r="F1750">
        <v>1.5</v>
      </c>
      <c r="G1750" t="s">
        <v>359</v>
      </c>
      <c r="I1750" t="str">
        <f t="shared" si="29"/>
        <v>1603_1</v>
      </c>
      <c r="J1750" t="s">
        <v>241</v>
      </c>
      <c r="K1750" t="s">
        <v>179</v>
      </c>
      <c r="L1750" t="str">
        <f>_xlfn.XLOOKUP(C1750, Table2[Species],Table2[Genus], "Code Not Found")</f>
        <v>Lirodendron</v>
      </c>
      <c r="M1750" t="str">
        <f>_xlfn.XLOOKUP(C1750, Table2[Species],Table2[Sp. Name], "Code Not Found")</f>
        <v>tulipfera</v>
      </c>
      <c r="N1750" t="str">
        <f>_xlfn.XLOOKUP(C1750,Table2[Species],Table2[Family],"Code Not Found")</f>
        <v>Magnoliaceae</v>
      </c>
      <c r="O1750" t="str" cm="1">
        <f t="array" ref="O1750">_xlfn.IFS(F1750="","",F1750&lt;=5,"0 to 5",F1750&lt;=10,"5.1 to 10",F1750&lt;=20,"10 to 20", F1750&lt;= 40, "20 to 40", F1750 &lt;= 50, "40 to 50", F1750 &gt; 50, "&gt;50" )</f>
        <v>0 to 5</v>
      </c>
    </row>
    <row r="1751" spans="1:15" ht="15" customHeight="1" x14ac:dyDescent="0.3">
      <c r="A1751" t="s">
        <v>351</v>
      </c>
      <c r="B1751" s="1">
        <v>46202</v>
      </c>
      <c r="C1751" t="s">
        <v>24</v>
      </c>
      <c r="D1751">
        <v>1604</v>
      </c>
      <c r="E1751">
        <v>1</v>
      </c>
      <c r="F1751">
        <v>1.3</v>
      </c>
      <c r="G1751" t="s">
        <v>359</v>
      </c>
      <c r="I1751" t="str">
        <f t="shared" si="29"/>
        <v>1604_1</v>
      </c>
      <c r="J1751" t="s">
        <v>241</v>
      </c>
      <c r="K1751" t="s">
        <v>179</v>
      </c>
      <c r="L1751" t="str">
        <f>_xlfn.XLOOKUP(C1751, Table2[Species],Table2[Genus], "Code Not Found")</f>
        <v>Lirodendron</v>
      </c>
      <c r="M1751" t="str">
        <f>_xlfn.XLOOKUP(C1751, Table2[Species],Table2[Sp. Name], "Code Not Found")</f>
        <v>tulipfera</v>
      </c>
      <c r="N1751" t="str">
        <f>_xlfn.XLOOKUP(C1751,Table2[Species],Table2[Family],"Code Not Found")</f>
        <v>Magnoliaceae</v>
      </c>
      <c r="O1751" t="str" cm="1">
        <f t="array" ref="O1751">_xlfn.IFS(F1751="","",F1751&lt;=5,"0 to 5",F1751&lt;=10,"5.1 to 10",F1751&lt;=20,"10 to 20", F1751&lt;= 40, "20 to 40", F1751 &lt;= 50, "40 to 50", F1751 &gt; 50, "&gt;50" )</f>
        <v>0 to 5</v>
      </c>
    </row>
    <row r="1752" spans="1:15" ht="15" customHeight="1" x14ac:dyDescent="0.3">
      <c r="A1752" t="s">
        <v>351</v>
      </c>
      <c r="B1752" s="1">
        <v>46202</v>
      </c>
      <c r="C1752" t="s">
        <v>24</v>
      </c>
      <c r="D1752">
        <v>1605</v>
      </c>
      <c r="E1752">
        <v>1</v>
      </c>
      <c r="F1752">
        <v>1.1000000000000001</v>
      </c>
      <c r="G1752" t="s">
        <v>359</v>
      </c>
      <c r="I1752" t="str">
        <f t="shared" si="29"/>
        <v>1605_1</v>
      </c>
      <c r="J1752" t="s">
        <v>241</v>
      </c>
      <c r="K1752" t="s">
        <v>179</v>
      </c>
      <c r="L1752" t="str">
        <f>_xlfn.XLOOKUP(C1752, Table2[Species],Table2[Genus], "Code Not Found")</f>
        <v>Lirodendron</v>
      </c>
      <c r="M1752" t="str">
        <f>_xlfn.XLOOKUP(C1752, Table2[Species],Table2[Sp. Name], "Code Not Found")</f>
        <v>tulipfera</v>
      </c>
      <c r="N1752" t="str">
        <f>_xlfn.XLOOKUP(C1752,Table2[Species],Table2[Family],"Code Not Found")</f>
        <v>Magnoliaceae</v>
      </c>
      <c r="O1752" t="str" cm="1">
        <f t="array" ref="O1752">_xlfn.IFS(F1752="","",F1752&lt;=5,"0 to 5",F1752&lt;=10,"5.1 to 10",F1752&lt;=20,"10 to 20", F1752&lt;= 40, "20 to 40", F1752 &lt;= 50, "40 to 50", F1752 &gt; 50, "&gt;50" )</f>
        <v>0 to 5</v>
      </c>
    </row>
    <row r="1753" spans="1:15" ht="15" customHeight="1" x14ac:dyDescent="0.3">
      <c r="A1753" t="s">
        <v>351</v>
      </c>
      <c r="B1753" s="1">
        <v>46202</v>
      </c>
      <c r="C1753" t="s">
        <v>24</v>
      </c>
      <c r="D1753">
        <v>1606</v>
      </c>
      <c r="E1753">
        <v>1</v>
      </c>
      <c r="F1753">
        <v>1.4</v>
      </c>
      <c r="G1753" t="s">
        <v>359</v>
      </c>
      <c r="I1753" t="str">
        <f t="shared" si="29"/>
        <v>1606_1</v>
      </c>
      <c r="J1753" t="s">
        <v>241</v>
      </c>
      <c r="K1753" t="s">
        <v>179</v>
      </c>
      <c r="L1753" t="str">
        <f>_xlfn.XLOOKUP(C1753, Table2[Species],Table2[Genus], "Code Not Found")</f>
        <v>Lirodendron</v>
      </c>
      <c r="M1753" t="str">
        <f>_xlfn.XLOOKUP(C1753, Table2[Species],Table2[Sp. Name], "Code Not Found")</f>
        <v>tulipfera</v>
      </c>
      <c r="N1753" t="str">
        <f>_xlfn.XLOOKUP(C1753,Table2[Species],Table2[Family],"Code Not Found")</f>
        <v>Magnoliaceae</v>
      </c>
      <c r="O1753" t="str" cm="1">
        <f t="array" ref="O1753">_xlfn.IFS(F1753="","",F1753&lt;=5,"0 to 5",F1753&lt;=10,"5.1 to 10",F1753&lt;=20,"10 to 20", F1753&lt;= 40, "20 to 40", F1753 &lt;= 50, "40 to 50", F1753 &gt; 50, "&gt;50" )</f>
        <v>0 to 5</v>
      </c>
    </row>
    <row r="1754" spans="1:15" ht="15" customHeight="1" x14ac:dyDescent="0.3">
      <c r="A1754" t="s">
        <v>351</v>
      </c>
      <c r="B1754" s="1">
        <v>46202</v>
      </c>
      <c r="C1754" t="s">
        <v>24</v>
      </c>
      <c r="D1754">
        <v>1607</v>
      </c>
      <c r="E1754">
        <v>1</v>
      </c>
      <c r="F1754">
        <v>1.1000000000000001</v>
      </c>
      <c r="G1754" t="s">
        <v>359</v>
      </c>
      <c r="I1754" t="str">
        <f t="shared" si="29"/>
        <v>1607_1</v>
      </c>
      <c r="J1754" t="s">
        <v>241</v>
      </c>
      <c r="K1754" t="s">
        <v>179</v>
      </c>
      <c r="L1754" t="str">
        <f>_xlfn.XLOOKUP(C1754, Table2[Species],Table2[Genus], "Code Not Found")</f>
        <v>Lirodendron</v>
      </c>
      <c r="M1754" t="str">
        <f>_xlfn.XLOOKUP(C1754, Table2[Species],Table2[Sp. Name], "Code Not Found")</f>
        <v>tulipfera</v>
      </c>
      <c r="N1754" t="str">
        <f>_xlfn.XLOOKUP(C1754,Table2[Species],Table2[Family],"Code Not Found")</f>
        <v>Magnoliaceae</v>
      </c>
      <c r="O1754" t="str" cm="1">
        <f t="array" ref="O1754">_xlfn.IFS(F1754="","",F1754&lt;=5,"0 to 5",F1754&lt;=10,"5.1 to 10",F1754&lt;=20,"10 to 20", F1754&lt;= 40, "20 to 40", F1754 &lt;= 50, "40 to 50", F1754 &gt; 50, "&gt;50" )</f>
        <v>0 to 5</v>
      </c>
    </row>
    <row r="1755" spans="1:15" ht="15" customHeight="1" x14ac:dyDescent="0.3">
      <c r="A1755" t="s">
        <v>351</v>
      </c>
      <c r="B1755" s="1">
        <v>46202</v>
      </c>
      <c r="C1755" t="s">
        <v>24</v>
      </c>
      <c r="D1755">
        <v>1608</v>
      </c>
      <c r="E1755">
        <v>1</v>
      </c>
      <c r="F1755">
        <v>1.1000000000000001</v>
      </c>
      <c r="G1755" t="s">
        <v>359</v>
      </c>
      <c r="I1755" t="str">
        <f t="shared" si="29"/>
        <v>1608_1</v>
      </c>
      <c r="J1755" t="s">
        <v>241</v>
      </c>
      <c r="K1755" t="s">
        <v>179</v>
      </c>
      <c r="L1755" t="str">
        <f>_xlfn.XLOOKUP(C1755, Table2[Species],Table2[Genus], "Code Not Found")</f>
        <v>Lirodendron</v>
      </c>
      <c r="M1755" t="str">
        <f>_xlfn.XLOOKUP(C1755, Table2[Species],Table2[Sp. Name], "Code Not Found")</f>
        <v>tulipfera</v>
      </c>
      <c r="N1755" t="str">
        <f>_xlfn.XLOOKUP(C1755,Table2[Species],Table2[Family],"Code Not Found")</f>
        <v>Magnoliaceae</v>
      </c>
      <c r="O1755" t="str" cm="1">
        <f t="array" ref="O1755">_xlfn.IFS(F1755="","",F1755&lt;=5,"0 to 5",F1755&lt;=10,"5.1 to 10",F1755&lt;=20,"10 to 20", F1755&lt;= 40, "20 to 40", F1755 &lt;= 50, "40 to 50", F1755 &gt; 50, "&gt;50" )</f>
        <v>0 to 5</v>
      </c>
    </row>
    <row r="1756" spans="1:15" ht="15" customHeight="1" x14ac:dyDescent="0.3">
      <c r="A1756" t="s">
        <v>351</v>
      </c>
      <c r="B1756" s="1">
        <v>46202</v>
      </c>
      <c r="C1756" t="s">
        <v>24</v>
      </c>
      <c r="D1756">
        <v>1609</v>
      </c>
      <c r="E1756">
        <v>1</v>
      </c>
      <c r="F1756">
        <v>1.6</v>
      </c>
      <c r="G1756" t="s">
        <v>359</v>
      </c>
      <c r="I1756" t="str">
        <f t="shared" si="29"/>
        <v>1609_1</v>
      </c>
      <c r="J1756" t="s">
        <v>241</v>
      </c>
      <c r="K1756" t="s">
        <v>179</v>
      </c>
      <c r="L1756" t="str">
        <f>_xlfn.XLOOKUP(C1756, Table2[Species],Table2[Genus], "Code Not Found")</f>
        <v>Lirodendron</v>
      </c>
      <c r="M1756" t="str">
        <f>_xlfn.XLOOKUP(C1756, Table2[Species],Table2[Sp. Name], "Code Not Found")</f>
        <v>tulipfera</v>
      </c>
      <c r="N1756" t="str">
        <f>_xlfn.XLOOKUP(C1756,Table2[Species],Table2[Family],"Code Not Found")</f>
        <v>Magnoliaceae</v>
      </c>
      <c r="O1756" t="str" cm="1">
        <f t="array" ref="O1756">_xlfn.IFS(F1756="","",F1756&lt;=5,"0 to 5",F1756&lt;=10,"5.1 to 10",F1756&lt;=20,"10 to 20", F1756&lt;= 40, "20 to 40", F1756 &lt;= 50, "40 to 50", F1756 &gt; 50, "&gt;50" )</f>
        <v>0 to 5</v>
      </c>
    </row>
    <row r="1757" spans="1:15" ht="15" customHeight="1" x14ac:dyDescent="0.3">
      <c r="A1757" t="s">
        <v>351</v>
      </c>
      <c r="B1757" s="1">
        <v>46202</v>
      </c>
      <c r="C1757" t="s">
        <v>24</v>
      </c>
      <c r="D1757">
        <v>1610</v>
      </c>
      <c r="E1757">
        <v>1</v>
      </c>
      <c r="F1757">
        <v>1.1000000000000001</v>
      </c>
      <c r="G1757" t="s">
        <v>368</v>
      </c>
      <c r="I1757" t="str">
        <f t="shared" si="29"/>
        <v>1610_1</v>
      </c>
      <c r="J1757" t="s">
        <v>241</v>
      </c>
      <c r="K1757" t="s">
        <v>179</v>
      </c>
      <c r="L1757" t="str">
        <f>_xlfn.XLOOKUP(C1757, Table2[Species],Table2[Genus], "Code Not Found")</f>
        <v>Lirodendron</v>
      </c>
      <c r="M1757" t="str">
        <f>_xlfn.XLOOKUP(C1757, Table2[Species],Table2[Sp. Name], "Code Not Found")</f>
        <v>tulipfera</v>
      </c>
      <c r="N1757" t="str">
        <f>_xlfn.XLOOKUP(C1757,Table2[Species],Table2[Family],"Code Not Found")</f>
        <v>Magnoliaceae</v>
      </c>
      <c r="O1757" t="str" cm="1">
        <f t="array" ref="O1757">_xlfn.IFS(F1757="","",F1757&lt;=5,"0 to 5",F1757&lt;=10,"5.1 to 10",F1757&lt;=20,"10 to 20", F1757&lt;= 40, "20 to 40", F1757 &lt;= 50, "40 to 50", F1757 &gt; 50, "&gt;50" )</f>
        <v>0 to 5</v>
      </c>
    </row>
    <row r="1758" spans="1:15" ht="15" customHeight="1" x14ac:dyDescent="0.3">
      <c r="A1758" t="s">
        <v>351</v>
      </c>
      <c r="B1758" s="1">
        <v>46202</v>
      </c>
      <c r="C1758" t="s">
        <v>24</v>
      </c>
      <c r="D1758">
        <v>1611</v>
      </c>
      <c r="E1758">
        <v>1</v>
      </c>
      <c r="F1758">
        <v>2</v>
      </c>
      <c r="G1758" t="s">
        <v>30</v>
      </c>
      <c r="H1758" t="s">
        <v>369</v>
      </c>
      <c r="I1758" t="str">
        <f t="shared" si="29"/>
        <v>1611_1</v>
      </c>
      <c r="J1758" t="s">
        <v>241</v>
      </c>
      <c r="K1758" t="s">
        <v>179</v>
      </c>
      <c r="L1758" t="str">
        <f>_xlfn.XLOOKUP(C1758, Table2[Species],Table2[Genus], "Code Not Found")</f>
        <v>Lirodendron</v>
      </c>
      <c r="M1758" t="str">
        <f>_xlfn.XLOOKUP(C1758, Table2[Species],Table2[Sp. Name], "Code Not Found")</f>
        <v>tulipfera</v>
      </c>
      <c r="N1758" t="str">
        <f>_xlfn.XLOOKUP(C1758,Table2[Species],Table2[Family],"Code Not Found")</f>
        <v>Magnoliaceae</v>
      </c>
      <c r="O1758" t="str" cm="1">
        <f t="array" ref="O1758">_xlfn.IFS(F1758="","",F1758&lt;=5,"0 to 5",F1758&lt;=10,"5.1 to 10",F1758&lt;=20,"10 to 20", F1758&lt;= 40, "20 to 40", F1758 &lt;= 50, "40 to 50", F1758 &gt; 50, "&gt;50" )</f>
        <v>0 to 5</v>
      </c>
    </row>
    <row r="1759" spans="1:15" ht="15" customHeight="1" x14ac:dyDescent="0.3">
      <c r="A1759" t="s">
        <v>351</v>
      </c>
      <c r="B1759" s="1">
        <v>46202</v>
      </c>
      <c r="C1759" t="s">
        <v>24</v>
      </c>
      <c r="D1759">
        <v>1612</v>
      </c>
      <c r="E1759">
        <v>1</v>
      </c>
      <c r="F1759">
        <v>1.6</v>
      </c>
      <c r="G1759" t="s">
        <v>370</v>
      </c>
      <c r="I1759" t="str">
        <f t="shared" si="29"/>
        <v>1612_1</v>
      </c>
      <c r="J1759" t="s">
        <v>241</v>
      </c>
      <c r="K1759" t="s">
        <v>179</v>
      </c>
      <c r="L1759" t="str">
        <f>_xlfn.XLOOKUP(C1759, Table2[Species],Table2[Genus], "Code Not Found")</f>
        <v>Lirodendron</v>
      </c>
      <c r="M1759" t="str">
        <f>_xlfn.XLOOKUP(C1759, Table2[Species],Table2[Sp. Name], "Code Not Found")</f>
        <v>tulipfera</v>
      </c>
      <c r="N1759" t="str">
        <f>_xlfn.XLOOKUP(C1759,Table2[Species],Table2[Family],"Code Not Found")</f>
        <v>Magnoliaceae</v>
      </c>
      <c r="O1759" t="str" cm="1">
        <f t="array" ref="O1759">_xlfn.IFS(F1759="","",F1759&lt;=5,"0 to 5",F1759&lt;=10,"5.1 to 10",F1759&lt;=20,"10 to 20", F1759&lt;= 40, "20 to 40", F1759 &lt;= 50, "40 to 50", F1759 &gt; 50, "&gt;50" )</f>
        <v>0 to 5</v>
      </c>
    </row>
    <row r="1760" spans="1:15" ht="15" customHeight="1" x14ac:dyDescent="0.3">
      <c r="A1760" t="s">
        <v>351</v>
      </c>
      <c r="B1760" s="1">
        <v>46202</v>
      </c>
      <c r="C1760" t="s">
        <v>24</v>
      </c>
      <c r="D1760">
        <v>1612</v>
      </c>
      <c r="E1760">
        <v>2</v>
      </c>
      <c r="F1760">
        <v>1.2</v>
      </c>
      <c r="G1760" t="s">
        <v>371</v>
      </c>
      <c r="I1760" t="str">
        <f t="shared" si="29"/>
        <v>1612_2</v>
      </c>
      <c r="J1760" t="s">
        <v>241</v>
      </c>
      <c r="K1760" t="s">
        <v>179</v>
      </c>
      <c r="L1760" t="str">
        <f>_xlfn.XLOOKUP(C1760, Table2[Species],Table2[Genus], "Code Not Found")</f>
        <v>Lirodendron</v>
      </c>
      <c r="M1760" t="str">
        <f>_xlfn.XLOOKUP(C1760, Table2[Species],Table2[Sp. Name], "Code Not Found")</f>
        <v>tulipfera</v>
      </c>
      <c r="N1760" t="str">
        <f>_xlfn.XLOOKUP(C1760,Table2[Species],Table2[Family],"Code Not Found")</f>
        <v>Magnoliaceae</v>
      </c>
      <c r="O1760" t="str" cm="1">
        <f t="array" ref="O1760">_xlfn.IFS(F1760="","",F1760&lt;=5,"0 to 5",F1760&lt;=10,"5.1 to 10",F1760&lt;=20,"10 to 20", F1760&lt;= 40, "20 to 40", F1760 &lt;= 50, "40 to 50", F1760 &gt; 50, "&gt;50" )</f>
        <v>0 to 5</v>
      </c>
    </row>
    <row r="1761" spans="1:15" ht="15" customHeight="1" x14ac:dyDescent="0.3">
      <c r="A1761" t="s">
        <v>351</v>
      </c>
      <c r="B1761" s="1">
        <v>46202</v>
      </c>
      <c r="C1761" t="s">
        <v>24</v>
      </c>
      <c r="D1761">
        <v>1613</v>
      </c>
      <c r="E1761">
        <v>1</v>
      </c>
      <c r="F1761">
        <v>1.3</v>
      </c>
      <c r="G1761" t="s">
        <v>359</v>
      </c>
      <c r="I1761" t="str">
        <f t="shared" si="29"/>
        <v>1613_1</v>
      </c>
      <c r="J1761" t="s">
        <v>241</v>
      </c>
      <c r="K1761" t="s">
        <v>179</v>
      </c>
      <c r="L1761" t="str">
        <f>_xlfn.XLOOKUP(C1761, Table2[Species],Table2[Genus], "Code Not Found")</f>
        <v>Lirodendron</v>
      </c>
      <c r="M1761" t="str">
        <f>_xlfn.XLOOKUP(C1761, Table2[Species],Table2[Sp. Name], "Code Not Found")</f>
        <v>tulipfera</v>
      </c>
      <c r="N1761" t="str">
        <f>_xlfn.XLOOKUP(C1761,Table2[Species],Table2[Family],"Code Not Found")</f>
        <v>Magnoliaceae</v>
      </c>
      <c r="O1761" t="str" cm="1">
        <f t="array" ref="O1761">_xlfn.IFS(F1761="","",F1761&lt;=5,"0 to 5",F1761&lt;=10,"5.1 to 10",F1761&lt;=20,"10 to 20", F1761&lt;= 40, "20 to 40", F1761 &lt;= 50, "40 to 50", F1761 &gt; 50, "&gt;50" )</f>
        <v>0 to 5</v>
      </c>
    </row>
    <row r="1762" spans="1:15" ht="15" customHeight="1" x14ac:dyDescent="0.3">
      <c r="A1762" t="s">
        <v>351</v>
      </c>
      <c r="B1762" s="1">
        <v>46202</v>
      </c>
      <c r="C1762" t="s">
        <v>24</v>
      </c>
      <c r="D1762">
        <v>1614</v>
      </c>
      <c r="E1762">
        <v>1</v>
      </c>
      <c r="F1762">
        <v>2</v>
      </c>
      <c r="G1762" t="s">
        <v>359</v>
      </c>
      <c r="I1762" t="str">
        <f t="shared" si="29"/>
        <v>1614_1</v>
      </c>
      <c r="J1762" t="s">
        <v>241</v>
      </c>
      <c r="K1762" t="s">
        <v>179</v>
      </c>
      <c r="L1762" t="str">
        <f>_xlfn.XLOOKUP(C1762, Table2[Species],Table2[Genus], "Code Not Found")</f>
        <v>Lirodendron</v>
      </c>
      <c r="M1762" t="str">
        <f>_xlfn.XLOOKUP(C1762, Table2[Species],Table2[Sp. Name], "Code Not Found")</f>
        <v>tulipfera</v>
      </c>
      <c r="N1762" t="str">
        <f>_xlfn.XLOOKUP(C1762,Table2[Species],Table2[Family],"Code Not Found")</f>
        <v>Magnoliaceae</v>
      </c>
      <c r="O1762" t="str" cm="1">
        <f t="array" ref="O1762">_xlfn.IFS(F1762="","",F1762&lt;=5,"0 to 5",F1762&lt;=10,"5.1 to 10",F1762&lt;=20,"10 to 20", F1762&lt;= 40, "20 to 40", F1762 &lt;= 50, "40 to 50", F1762 &gt; 50, "&gt;50" )</f>
        <v>0 to 5</v>
      </c>
    </row>
    <row r="1763" spans="1:15" ht="15" customHeight="1" x14ac:dyDescent="0.3">
      <c r="A1763" t="s">
        <v>351</v>
      </c>
      <c r="B1763" s="1">
        <v>46202</v>
      </c>
      <c r="C1763" t="s">
        <v>24</v>
      </c>
      <c r="D1763">
        <v>1615</v>
      </c>
      <c r="E1763">
        <v>1</v>
      </c>
      <c r="F1763">
        <v>1.8</v>
      </c>
      <c r="G1763" t="s">
        <v>21</v>
      </c>
      <c r="I1763" t="str">
        <f t="shared" ref="I1763:I1826" si="30">D1763&amp;"_"&amp;E1763</f>
        <v>1615_1</v>
      </c>
      <c r="J1763" t="s">
        <v>241</v>
      </c>
      <c r="K1763" t="s">
        <v>179</v>
      </c>
      <c r="L1763" t="str">
        <f>_xlfn.XLOOKUP(C1763, Table2[Species],Table2[Genus], "Code Not Found")</f>
        <v>Lirodendron</v>
      </c>
      <c r="M1763" t="str">
        <f>_xlfn.XLOOKUP(C1763, Table2[Species],Table2[Sp. Name], "Code Not Found")</f>
        <v>tulipfera</v>
      </c>
      <c r="N1763" t="str">
        <f>_xlfn.XLOOKUP(C1763,Table2[Species],Table2[Family],"Code Not Found")</f>
        <v>Magnoliaceae</v>
      </c>
      <c r="O1763" t="str" cm="1">
        <f t="array" ref="O1763">_xlfn.IFS(F1763="","",F1763&lt;=5,"0 to 5",F1763&lt;=10,"5.1 to 10",F1763&lt;=20,"10 to 20", F1763&lt;= 40, "20 to 40", F1763 &lt;= 50, "40 to 50", F1763 &gt; 50, "&gt;50" )</f>
        <v>0 to 5</v>
      </c>
    </row>
    <row r="1764" spans="1:15" ht="15" customHeight="1" x14ac:dyDescent="0.3">
      <c r="A1764" t="s">
        <v>351</v>
      </c>
      <c r="B1764" s="1">
        <v>46202</v>
      </c>
      <c r="C1764" t="s">
        <v>24</v>
      </c>
      <c r="D1764">
        <v>1616</v>
      </c>
      <c r="E1764">
        <v>1</v>
      </c>
      <c r="F1764">
        <v>1.6</v>
      </c>
      <c r="G1764" t="s">
        <v>32</v>
      </c>
      <c r="I1764" t="str">
        <f t="shared" si="30"/>
        <v>1616_1</v>
      </c>
      <c r="J1764" t="s">
        <v>241</v>
      </c>
      <c r="K1764" t="s">
        <v>179</v>
      </c>
      <c r="L1764" t="str">
        <f>_xlfn.XLOOKUP(C1764, Table2[Species],Table2[Genus], "Code Not Found")</f>
        <v>Lirodendron</v>
      </c>
      <c r="M1764" t="str">
        <f>_xlfn.XLOOKUP(C1764, Table2[Species],Table2[Sp. Name], "Code Not Found")</f>
        <v>tulipfera</v>
      </c>
      <c r="N1764" t="str">
        <f>_xlfn.XLOOKUP(C1764,Table2[Species],Table2[Family],"Code Not Found")</f>
        <v>Magnoliaceae</v>
      </c>
      <c r="O1764" t="str" cm="1">
        <f t="array" ref="O1764">_xlfn.IFS(F1764="","",F1764&lt;=5,"0 to 5",F1764&lt;=10,"5.1 to 10",F1764&lt;=20,"10 to 20", F1764&lt;= 40, "20 to 40", F1764 &lt;= 50, "40 to 50", F1764 &gt; 50, "&gt;50" )</f>
        <v>0 to 5</v>
      </c>
    </row>
    <row r="1765" spans="1:15" ht="15" customHeight="1" x14ac:dyDescent="0.3">
      <c r="A1765" t="s">
        <v>351</v>
      </c>
      <c r="B1765" s="1">
        <v>46202</v>
      </c>
      <c r="C1765" t="s">
        <v>24</v>
      </c>
      <c r="D1765">
        <v>1616</v>
      </c>
      <c r="E1765">
        <v>2</v>
      </c>
      <c r="F1765">
        <v>1.2</v>
      </c>
      <c r="G1765" t="s">
        <v>32</v>
      </c>
      <c r="I1765" t="str">
        <f t="shared" si="30"/>
        <v>1616_2</v>
      </c>
      <c r="J1765" t="s">
        <v>241</v>
      </c>
      <c r="K1765" t="s">
        <v>179</v>
      </c>
      <c r="L1765" t="str">
        <f>_xlfn.XLOOKUP(C1765, Table2[Species],Table2[Genus], "Code Not Found")</f>
        <v>Lirodendron</v>
      </c>
      <c r="M1765" t="str">
        <f>_xlfn.XLOOKUP(C1765, Table2[Species],Table2[Sp. Name], "Code Not Found")</f>
        <v>tulipfera</v>
      </c>
      <c r="N1765" t="str">
        <f>_xlfn.XLOOKUP(C1765,Table2[Species],Table2[Family],"Code Not Found")</f>
        <v>Magnoliaceae</v>
      </c>
      <c r="O1765" t="str" cm="1">
        <f t="array" ref="O1765">_xlfn.IFS(F1765="","",F1765&lt;=5,"0 to 5",F1765&lt;=10,"5.1 to 10",F1765&lt;=20,"10 to 20", F1765&lt;= 40, "20 to 40", F1765 &lt;= 50, "40 to 50", F1765 &gt; 50, "&gt;50" )</f>
        <v>0 to 5</v>
      </c>
    </row>
    <row r="1766" spans="1:15" ht="15" customHeight="1" x14ac:dyDescent="0.3">
      <c r="A1766" t="s">
        <v>351</v>
      </c>
      <c r="B1766" s="1">
        <v>46202</v>
      </c>
      <c r="C1766" t="s">
        <v>24</v>
      </c>
      <c r="D1766">
        <v>1617</v>
      </c>
      <c r="E1766">
        <v>1</v>
      </c>
      <c r="F1766">
        <v>1.1000000000000001</v>
      </c>
      <c r="G1766" t="s">
        <v>359</v>
      </c>
      <c r="I1766" t="str">
        <f t="shared" si="30"/>
        <v>1617_1</v>
      </c>
      <c r="J1766" t="s">
        <v>241</v>
      </c>
      <c r="K1766" t="s">
        <v>179</v>
      </c>
      <c r="L1766" t="str">
        <f>_xlfn.XLOOKUP(C1766, Table2[Species],Table2[Genus], "Code Not Found")</f>
        <v>Lirodendron</v>
      </c>
      <c r="M1766" t="str">
        <f>_xlfn.XLOOKUP(C1766, Table2[Species],Table2[Sp. Name], "Code Not Found")</f>
        <v>tulipfera</v>
      </c>
      <c r="N1766" t="str">
        <f>_xlfn.XLOOKUP(C1766,Table2[Species],Table2[Family],"Code Not Found")</f>
        <v>Magnoliaceae</v>
      </c>
      <c r="O1766" t="str" cm="1">
        <f t="array" ref="O1766">_xlfn.IFS(F1766="","",F1766&lt;=5,"0 to 5",F1766&lt;=10,"5.1 to 10",F1766&lt;=20,"10 to 20", F1766&lt;= 40, "20 to 40", F1766 &lt;= 50, "40 to 50", F1766 &gt; 50, "&gt;50" )</f>
        <v>0 to 5</v>
      </c>
    </row>
    <row r="1767" spans="1:15" ht="15" customHeight="1" x14ac:dyDescent="0.3">
      <c r="A1767" t="s">
        <v>351</v>
      </c>
      <c r="B1767" s="1">
        <v>46202</v>
      </c>
      <c r="C1767" t="s">
        <v>24</v>
      </c>
      <c r="D1767">
        <v>1618</v>
      </c>
      <c r="E1767">
        <v>1</v>
      </c>
      <c r="F1767">
        <v>2.2000000000000002</v>
      </c>
      <c r="G1767" t="s">
        <v>359</v>
      </c>
      <c r="I1767" t="str">
        <f t="shared" si="30"/>
        <v>1618_1</v>
      </c>
      <c r="J1767" t="s">
        <v>241</v>
      </c>
      <c r="K1767" t="s">
        <v>179</v>
      </c>
      <c r="L1767" t="str">
        <f>_xlfn.XLOOKUP(C1767, Table2[Species],Table2[Genus], "Code Not Found")</f>
        <v>Lirodendron</v>
      </c>
      <c r="M1767" t="str">
        <f>_xlfn.XLOOKUP(C1767, Table2[Species],Table2[Sp. Name], "Code Not Found")</f>
        <v>tulipfera</v>
      </c>
      <c r="N1767" t="str">
        <f>_xlfn.XLOOKUP(C1767,Table2[Species],Table2[Family],"Code Not Found")</f>
        <v>Magnoliaceae</v>
      </c>
      <c r="O1767" t="str" cm="1">
        <f t="array" ref="O1767">_xlfn.IFS(F1767="","",F1767&lt;=5,"0 to 5",F1767&lt;=10,"5.1 to 10",F1767&lt;=20,"10 to 20", F1767&lt;= 40, "20 to 40", F1767 &lt;= 50, "40 to 50", F1767 &gt; 50, "&gt;50" )</f>
        <v>0 to 5</v>
      </c>
    </row>
    <row r="1768" spans="1:15" ht="15" customHeight="1" x14ac:dyDescent="0.3">
      <c r="A1768" t="s">
        <v>351</v>
      </c>
      <c r="B1768" s="1">
        <v>46202</v>
      </c>
      <c r="C1768" t="s">
        <v>24</v>
      </c>
      <c r="D1768">
        <v>1619</v>
      </c>
      <c r="E1768">
        <v>1</v>
      </c>
      <c r="F1768">
        <v>1.3</v>
      </c>
      <c r="G1768" t="s">
        <v>359</v>
      </c>
      <c r="I1768" t="str">
        <f t="shared" si="30"/>
        <v>1619_1</v>
      </c>
      <c r="J1768" t="s">
        <v>241</v>
      </c>
      <c r="K1768" t="s">
        <v>179</v>
      </c>
      <c r="L1768" t="str">
        <f>_xlfn.XLOOKUP(C1768, Table2[Species],Table2[Genus], "Code Not Found")</f>
        <v>Lirodendron</v>
      </c>
      <c r="M1768" t="str">
        <f>_xlfn.XLOOKUP(C1768, Table2[Species],Table2[Sp. Name], "Code Not Found")</f>
        <v>tulipfera</v>
      </c>
      <c r="N1768" t="str">
        <f>_xlfn.XLOOKUP(C1768,Table2[Species],Table2[Family],"Code Not Found")</f>
        <v>Magnoliaceae</v>
      </c>
      <c r="O1768" t="str" cm="1">
        <f t="array" ref="O1768">_xlfn.IFS(F1768="","",F1768&lt;=5,"0 to 5",F1768&lt;=10,"5.1 to 10",F1768&lt;=20,"10 to 20", F1768&lt;= 40, "20 to 40", F1768 &lt;= 50, "40 to 50", F1768 &gt; 50, "&gt;50" )</f>
        <v>0 to 5</v>
      </c>
    </row>
    <row r="1769" spans="1:15" ht="15" customHeight="1" x14ac:dyDescent="0.3">
      <c r="A1769" t="s">
        <v>351</v>
      </c>
      <c r="B1769" s="1">
        <v>46202</v>
      </c>
      <c r="C1769" t="s">
        <v>24</v>
      </c>
      <c r="D1769">
        <v>1620</v>
      </c>
      <c r="E1769">
        <v>1</v>
      </c>
      <c r="F1769">
        <v>1.3</v>
      </c>
      <c r="G1769" t="s">
        <v>359</v>
      </c>
      <c r="I1769" t="str">
        <f t="shared" si="30"/>
        <v>1620_1</v>
      </c>
      <c r="J1769" t="s">
        <v>241</v>
      </c>
      <c r="K1769" t="s">
        <v>179</v>
      </c>
      <c r="L1769" t="str">
        <f>_xlfn.XLOOKUP(C1769, Table2[Species],Table2[Genus], "Code Not Found")</f>
        <v>Lirodendron</v>
      </c>
      <c r="M1769" t="str">
        <f>_xlfn.XLOOKUP(C1769, Table2[Species],Table2[Sp. Name], "Code Not Found")</f>
        <v>tulipfera</v>
      </c>
      <c r="N1769" t="str">
        <f>_xlfn.XLOOKUP(C1769,Table2[Species],Table2[Family],"Code Not Found")</f>
        <v>Magnoliaceae</v>
      </c>
      <c r="O1769" t="str" cm="1">
        <f t="array" ref="O1769">_xlfn.IFS(F1769="","",F1769&lt;=5,"0 to 5",F1769&lt;=10,"5.1 to 10",F1769&lt;=20,"10 to 20", F1769&lt;= 40, "20 to 40", F1769 &lt;= 50, "40 to 50", F1769 &gt; 50, "&gt;50" )</f>
        <v>0 to 5</v>
      </c>
    </row>
    <row r="1770" spans="1:15" ht="15" customHeight="1" x14ac:dyDescent="0.3">
      <c r="A1770" t="s">
        <v>351</v>
      </c>
      <c r="B1770" s="1">
        <v>46202</v>
      </c>
      <c r="C1770" t="s">
        <v>24</v>
      </c>
      <c r="D1770">
        <v>1621</v>
      </c>
      <c r="E1770">
        <v>1</v>
      </c>
      <c r="F1770">
        <v>1.1000000000000001</v>
      </c>
      <c r="G1770" t="s">
        <v>21</v>
      </c>
      <c r="I1770" t="str">
        <f t="shared" si="30"/>
        <v>1621_1</v>
      </c>
      <c r="J1770" t="s">
        <v>241</v>
      </c>
      <c r="K1770" t="s">
        <v>179</v>
      </c>
      <c r="L1770" t="str">
        <f>_xlfn.XLOOKUP(C1770, Table2[Species],Table2[Genus], "Code Not Found")</f>
        <v>Lirodendron</v>
      </c>
      <c r="M1770" t="str">
        <f>_xlfn.XLOOKUP(C1770, Table2[Species],Table2[Sp. Name], "Code Not Found")</f>
        <v>tulipfera</v>
      </c>
      <c r="N1770" t="str">
        <f>_xlfn.XLOOKUP(C1770,Table2[Species],Table2[Family],"Code Not Found")</f>
        <v>Magnoliaceae</v>
      </c>
      <c r="O1770" t="str" cm="1">
        <f t="array" ref="O1770">_xlfn.IFS(F1770="","",F1770&lt;=5,"0 to 5",F1770&lt;=10,"5.1 to 10",F1770&lt;=20,"10 to 20", F1770&lt;= 40, "20 to 40", F1770 &lt;= 50, "40 to 50", F1770 &gt; 50, "&gt;50" )</f>
        <v>0 to 5</v>
      </c>
    </row>
    <row r="1771" spans="1:15" ht="15" customHeight="1" x14ac:dyDescent="0.3">
      <c r="A1771" t="s">
        <v>351</v>
      </c>
      <c r="B1771" s="1">
        <v>46202</v>
      </c>
      <c r="C1771" t="s">
        <v>24</v>
      </c>
      <c r="D1771">
        <v>1622</v>
      </c>
      <c r="E1771">
        <v>1</v>
      </c>
      <c r="F1771">
        <v>1.7</v>
      </c>
      <c r="G1771" t="s">
        <v>359</v>
      </c>
      <c r="I1771" t="str">
        <f t="shared" si="30"/>
        <v>1622_1</v>
      </c>
      <c r="J1771" t="s">
        <v>241</v>
      </c>
      <c r="K1771" t="s">
        <v>179</v>
      </c>
      <c r="L1771" t="str">
        <f>_xlfn.XLOOKUP(C1771, Table2[Species],Table2[Genus], "Code Not Found")</f>
        <v>Lirodendron</v>
      </c>
      <c r="M1771" t="str">
        <f>_xlfn.XLOOKUP(C1771, Table2[Species],Table2[Sp. Name], "Code Not Found")</f>
        <v>tulipfera</v>
      </c>
      <c r="N1771" t="str">
        <f>_xlfn.XLOOKUP(C1771,Table2[Species],Table2[Family],"Code Not Found")</f>
        <v>Magnoliaceae</v>
      </c>
      <c r="O1771" t="str" cm="1">
        <f t="array" ref="O1771">_xlfn.IFS(F1771="","",F1771&lt;=5,"0 to 5",F1771&lt;=10,"5.1 to 10",F1771&lt;=20,"10 to 20", F1771&lt;= 40, "20 to 40", F1771 &lt;= 50, "40 to 50", F1771 &gt; 50, "&gt;50" )</f>
        <v>0 to 5</v>
      </c>
    </row>
    <row r="1772" spans="1:15" ht="15" customHeight="1" x14ac:dyDescent="0.3">
      <c r="A1772" t="s">
        <v>351</v>
      </c>
      <c r="B1772" s="1">
        <v>46202</v>
      </c>
      <c r="C1772" t="s">
        <v>24</v>
      </c>
      <c r="D1772">
        <v>1623</v>
      </c>
      <c r="E1772">
        <v>1</v>
      </c>
      <c r="F1772">
        <v>1.3</v>
      </c>
      <c r="G1772" t="s">
        <v>359</v>
      </c>
      <c r="I1772" t="str">
        <f t="shared" si="30"/>
        <v>1623_1</v>
      </c>
      <c r="J1772" t="s">
        <v>241</v>
      </c>
      <c r="K1772" t="s">
        <v>179</v>
      </c>
      <c r="L1772" t="str">
        <f>_xlfn.XLOOKUP(C1772, Table2[Species],Table2[Genus], "Code Not Found")</f>
        <v>Lirodendron</v>
      </c>
      <c r="M1772" t="str">
        <f>_xlfn.XLOOKUP(C1772, Table2[Species],Table2[Sp. Name], "Code Not Found")</f>
        <v>tulipfera</v>
      </c>
      <c r="N1772" t="str">
        <f>_xlfn.XLOOKUP(C1772,Table2[Species],Table2[Family],"Code Not Found")</f>
        <v>Magnoliaceae</v>
      </c>
      <c r="O1772" t="str" cm="1">
        <f t="array" ref="O1772">_xlfn.IFS(F1772="","",F1772&lt;=5,"0 to 5",F1772&lt;=10,"5.1 to 10",F1772&lt;=20,"10 to 20", F1772&lt;= 40, "20 to 40", F1772 &lt;= 50, "40 to 50", F1772 &gt; 50, "&gt;50" )</f>
        <v>0 to 5</v>
      </c>
    </row>
    <row r="1773" spans="1:15" ht="15" customHeight="1" x14ac:dyDescent="0.3">
      <c r="A1773" t="s">
        <v>351</v>
      </c>
      <c r="B1773" s="1">
        <v>46202</v>
      </c>
      <c r="C1773" t="s">
        <v>24</v>
      </c>
      <c r="D1773">
        <v>1624</v>
      </c>
      <c r="E1773">
        <v>1</v>
      </c>
      <c r="F1773">
        <v>1.2</v>
      </c>
      <c r="G1773" t="s">
        <v>359</v>
      </c>
      <c r="I1773" t="str">
        <f t="shared" si="30"/>
        <v>1624_1</v>
      </c>
      <c r="J1773" t="s">
        <v>241</v>
      </c>
      <c r="K1773" t="s">
        <v>179</v>
      </c>
      <c r="L1773" t="str">
        <f>_xlfn.XLOOKUP(C1773, Table2[Species],Table2[Genus], "Code Not Found")</f>
        <v>Lirodendron</v>
      </c>
      <c r="M1773" t="str">
        <f>_xlfn.XLOOKUP(C1773, Table2[Species],Table2[Sp. Name], "Code Not Found")</f>
        <v>tulipfera</v>
      </c>
      <c r="N1773" t="str">
        <f>_xlfn.XLOOKUP(C1773,Table2[Species],Table2[Family],"Code Not Found")</f>
        <v>Magnoliaceae</v>
      </c>
      <c r="O1773" t="str" cm="1">
        <f t="array" ref="O1773">_xlfn.IFS(F1773="","",F1773&lt;=5,"0 to 5",F1773&lt;=10,"5.1 to 10",F1773&lt;=20,"10 to 20", F1773&lt;= 40, "20 to 40", F1773 &lt;= 50, "40 to 50", F1773 &gt; 50, "&gt;50" )</f>
        <v>0 to 5</v>
      </c>
    </row>
    <row r="1774" spans="1:15" ht="15" customHeight="1" x14ac:dyDescent="0.3">
      <c r="A1774" t="s">
        <v>351</v>
      </c>
      <c r="B1774" s="1">
        <v>46202</v>
      </c>
      <c r="C1774" t="s">
        <v>24</v>
      </c>
      <c r="D1774">
        <v>1625</v>
      </c>
      <c r="E1774">
        <v>1</v>
      </c>
      <c r="F1774">
        <v>1.2</v>
      </c>
      <c r="G1774" t="s">
        <v>359</v>
      </c>
      <c r="I1774" t="str">
        <f t="shared" si="30"/>
        <v>1625_1</v>
      </c>
      <c r="J1774" t="s">
        <v>241</v>
      </c>
      <c r="K1774" t="s">
        <v>179</v>
      </c>
      <c r="L1774" t="str">
        <f>_xlfn.XLOOKUP(C1774, Table2[Species],Table2[Genus], "Code Not Found")</f>
        <v>Lirodendron</v>
      </c>
      <c r="M1774" t="str">
        <f>_xlfn.XLOOKUP(C1774, Table2[Species],Table2[Sp. Name], "Code Not Found")</f>
        <v>tulipfera</v>
      </c>
      <c r="N1774" t="str">
        <f>_xlfn.XLOOKUP(C1774,Table2[Species],Table2[Family],"Code Not Found")</f>
        <v>Magnoliaceae</v>
      </c>
      <c r="O1774" t="str" cm="1">
        <f t="array" ref="O1774">_xlfn.IFS(F1774="","",F1774&lt;=5,"0 to 5",F1774&lt;=10,"5.1 to 10",F1774&lt;=20,"10 to 20", F1774&lt;= 40, "20 to 40", F1774 &lt;= 50, "40 to 50", F1774 &gt; 50, "&gt;50" )</f>
        <v>0 to 5</v>
      </c>
    </row>
    <row r="1775" spans="1:15" ht="15" customHeight="1" x14ac:dyDescent="0.3">
      <c r="A1775" t="s">
        <v>351</v>
      </c>
      <c r="B1775" s="1">
        <v>46202</v>
      </c>
      <c r="C1775" t="s">
        <v>24</v>
      </c>
      <c r="D1775">
        <v>1626</v>
      </c>
      <c r="E1775">
        <v>1</v>
      </c>
      <c r="F1775">
        <v>1.6</v>
      </c>
      <c r="G1775" t="s">
        <v>30</v>
      </c>
      <c r="H1775" t="s">
        <v>372</v>
      </c>
      <c r="I1775" t="str">
        <f t="shared" si="30"/>
        <v>1626_1</v>
      </c>
      <c r="J1775" t="s">
        <v>241</v>
      </c>
      <c r="K1775" t="s">
        <v>179</v>
      </c>
      <c r="L1775" t="str">
        <f>_xlfn.XLOOKUP(C1775, Table2[Species],Table2[Genus], "Code Not Found")</f>
        <v>Lirodendron</v>
      </c>
      <c r="M1775" t="str">
        <f>_xlfn.XLOOKUP(C1775, Table2[Species],Table2[Sp. Name], "Code Not Found")</f>
        <v>tulipfera</v>
      </c>
      <c r="N1775" t="str">
        <f>_xlfn.XLOOKUP(C1775,Table2[Species],Table2[Family],"Code Not Found")</f>
        <v>Magnoliaceae</v>
      </c>
      <c r="O1775" t="str" cm="1">
        <f t="array" ref="O1775">_xlfn.IFS(F1775="","",F1775&lt;=5,"0 to 5",F1775&lt;=10,"5.1 to 10",F1775&lt;=20,"10 to 20", F1775&lt;= 40, "20 to 40", F1775 &lt;= 50, "40 to 50", F1775 &gt; 50, "&gt;50" )</f>
        <v>0 to 5</v>
      </c>
    </row>
    <row r="1776" spans="1:15" ht="15" customHeight="1" x14ac:dyDescent="0.3">
      <c r="A1776" t="s">
        <v>351</v>
      </c>
      <c r="B1776" s="1">
        <v>46202</v>
      </c>
      <c r="C1776" t="s">
        <v>24</v>
      </c>
      <c r="D1776">
        <v>1627</v>
      </c>
      <c r="E1776">
        <v>1</v>
      </c>
      <c r="F1776">
        <v>1.5</v>
      </c>
      <c r="G1776" t="s">
        <v>359</v>
      </c>
      <c r="I1776" t="str">
        <f t="shared" si="30"/>
        <v>1627_1</v>
      </c>
      <c r="J1776" t="s">
        <v>241</v>
      </c>
      <c r="K1776" t="s">
        <v>179</v>
      </c>
      <c r="L1776" t="str">
        <f>_xlfn.XLOOKUP(C1776, Table2[Species],Table2[Genus], "Code Not Found")</f>
        <v>Lirodendron</v>
      </c>
      <c r="M1776" t="str">
        <f>_xlfn.XLOOKUP(C1776, Table2[Species],Table2[Sp. Name], "Code Not Found")</f>
        <v>tulipfera</v>
      </c>
      <c r="N1776" t="str">
        <f>_xlfn.XLOOKUP(C1776,Table2[Species],Table2[Family],"Code Not Found")</f>
        <v>Magnoliaceae</v>
      </c>
      <c r="O1776" t="str" cm="1">
        <f t="array" ref="O1776">_xlfn.IFS(F1776="","",F1776&lt;=5,"0 to 5",F1776&lt;=10,"5.1 to 10",F1776&lt;=20,"10 to 20", F1776&lt;= 40, "20 to 40", F1776 &lt;= 50, "40 to 50", F1776 &gt; 50, "&gt;50" )</f>
        <v>0 to 5</v>
      </c>
    </row>
    <row r="1777" spans="1:15" ht="15" customHeight="1" x14ac:dyDescent="0.3">
      <c r="A1777" t="s">
        <v>351</v>
      </c>
      <c r="B1777" s="1">
        <v>46202</v>
      </c>
      <c r="C1777" t="s">
        <v>24</v>
      </c>
      <c r="D1777">
        <v>1628</v>
      </c>
      <c r="E1777">
        <v>1</v>
      </c>
      <c r="F1777">
        <v>1.6</v>
      </c>
      <c r="G1777" t="s">
        <v>359</v>
      </c>
      <c r="I1777" t="str">
        <f t="shared" si="30"/>
        <v>1628_1</v>
      </c>
      <c r="J1777" t="s">
        <v>241</v>
      </c>
      <c r="K1777" t="s">
        <v>179</v>
      </c>
      <c r="L1777" t="str">
        <f>_xlfn.XLOOKUP(C1777, Table2[Species],Table2[Genus], "Code Not Found")</f>
        <v>Lirodendron</v>
      </c>
      <c r="M1777" t="str">
        <f>_xlfn.XLOOKUP(C1777, Table2[Species],Table2[Sp. Name], "Code Not Found")</f>
        <v>tulipfera</v>
      </c>
      <c r="N1777" t="str">
        <f>_xlfn.XLOOKUP(C1777,Table2[Species],Table2[Family],"Code Not Found")</f>
        <v>Magnoliaceae</v>
      </c>
      <c r="O1777" t="str" cm="1">
        <f t="array" ref="O1777">_xlfn.IFS(F1777="","",F1777&lt;=5,"0 to 5",F1777&lt;=10,"5.1 to 10",F1777&lt;=20,"10 to 20", F1777&lt;= 40, "20 to 40", F1777 &lt;= 50, "40 to 50", F1777 &gt; 50, "&gt;50" )</f>
        <v>0 to 5</v>
      </c>
    </row>
    <row r="1778" spans="1:15" ht="15" customHeight="1" x14ac:dyDescent="0.3">
      <c r="A1778" t="s">
        <v>351</v>
      </c>
      <c r="B1778" s="1">
        <v>46202</v>
      </c>
      <c r="C1778" t="s">
        <v>24</v>
      </c>
      <c r="D1778">
        <v>1629</v>
      </c>
      <c r="E1778">
        <v>1</v>
      </c>
      <c r="F1778">
        <v>1</v>
      </c>
      <c r="G1778" t="s">
        <v>359</v>
      </c>
      <c r="I1778" t="str">
        <f t="shared" si="30"/>
        <v>1629_1</v>
      </c>
      <c r="J1778" t="s">
        <v>241</v>
      </c>
      <c r="K1778" t="s">
        <v>179</v>
      </c>
      <c r="L1778" t="str">
        <f>_xlfn.XLOOKUP(C1778, Table2[Species],Table2[Genus], "Code Not Found")</f>
        <v>Lirodendron</v>
      </c>
      <c r="M1778" t="str">
        <f>_xlfn.XLOOKUP(C1778, Table2[Species],Table2[Sp. Name], "Code Not Found")</f>
        <v>tulipfera</v>
      </c>
      <c r="N1778" t="str">
        <f>_xlfn.XLOOKUP(C1778,Table2[Species],Table2[Family],"Code Not Found")</f>
        <v>Magnoliaceae</v>
      </c>
      <c r="O1778" t="str" cm="1">
        <f t="array" ref="O1778">_xlfn.IFS(F1778="","",F1778&lt;=5,"0 to 5",F1778&lt;=10,"5.1 to 10",F1778&lt;=20,"10 to 20", F1778&lt;= 40, "20 to 40", F1778 &lt;= 50, "40 to 50", F1778 &gt; 50, "&gt;50" )</f>
        <v>0 to 5</v>
      </c>
    </row>
    <row r="1779" spans="1:15" ht="15" customHeight="1" x14ac:dyDescent="0.3">
      <c r="A1779" t="s">
        <v>351</v>
      </c>
      <c r="B1779" s="1">
        <v>46202</v>
      </c>
      <c r="C1779" t="s">
        <v>24</v>
      </c>
      <c r="D1779">
        <v>1630</v>
      </c>
      <c r="E1779">
        <v>1</v>
      </c>
      <c r="F1779">
        <v>1.1000000000000001</v>
      </c>
      <c r="G1779" t="s">
        <v>359</v>
      </c>
      <c r="I1779" t="str">
        <f t="shared" si="30"/>
        <v>1630_1</v>
      </c>
      <c r="J1779" t="s">
        <v>241</v>
      </c>
      <c r="K1779" t="s">
        <v>179</v>
      </c>
      <c r="L1779" t="str">
        <f>_xlfn.XLOOKUP(C1779, Table2[Species],Table2[Genus], "Code Not Found")</f>
        <v>Lirodendron</v>
      </c>
      <c r="M1779" t="str">
        <f>_xlfn.XLOOKUP(C1779, Table2[Species],Table2[Sp. Name], "Code Not Found")</f>
        <v>tulipfera</v>
      </c>
      <c r="N1779" t="str">
        <f>_xlfn.XLOOKUP(C1779,Table2[Species],Table2[Family],"Code Not Found")</f>
        <v>Magnoliaceae</v>
      </c>
      <c r="O1779" t="str" cm="1">
        <f t="array" ref="O1779">_xlfn.IFS(F1779="","",F1779&lt;=5,"0 to 5",F1779&lt;=10,"5.1 to 10",F1779&lt;=20,"10 to 20", F1779&lt;= 40, "20 to 40", F1779 &lt;= 50, "40 to 50", F1779 &gt; 50, "&gt;50" )</f>
        <v>0 to 5</v>
      </c>
    </row>
    <row r="1780" spans="1:15" ht="15" customHeight="1" x14ac:dyDescent="0.3">
      <c r="A1780" t="s">
        <v>351</v>
      </c>
      <c r="B1780" s="1">
        <v>46202</v>
      </c>
      <c r="C1780" t="s">
        <v>24</v>
      </c>
      <c r="D1780">
        <v>1631</v>
      </c>
      <c r="E1780">
        <v>1</v>
      </c>
      <c r="F1780">
        <v>1.7</v>
      </c>
      <c r="G1780" t="s">
        <v>359</v>
      </c>
      <c r="I1780" t="str">
        <f t="shared" si="30"/>
        <v>1631_1</v>
      </c>
      <c r="J1780" t="s">
        <v>241</v>
      </c>
      <c r="K1780" t="s">
        <v>179</v>
      </c>
      <c r="L1780" t="str">
        <f>_xlfn.XLOOKUP(C1780, Table2[Species],Table2[Genus], "Code Not Found")</f>
        <v>Lirodendron</v>
      </c>
      <c r="M1780" t="str">
        <f>_xlfn.XLOOKUP(C1780, Table2[Species],Table2[Sp. Name], "Code Not Found")</f>
        <v>tulipfera</v>
      </c>
      <c r="N1780" t="str">
        <f>_xlfn.XLOOKUP(C1780,Table2[Species],Table2[Family],"Code Not Found")</f>
        <v>Magnoliaceae</v>
      </c>
      <c r="O1780" t="str" cm="1">
        <f t="array" ref="O1780">_xlfn.IFS(F1780="","",F1780&lt;=5,"0 to 5",F1780&lt;=10,"5.1 to 10",F1780&lt;=20,"10 to 20", F1780&lt;= 40, "20 to 40", F1780 &lt;= 50, "40 to 50", F1780 &gt; 50, "&gt;50" )</f>
        <v>0 to 5</v>
      </c>
    </row>
    <row r="1781" spans="1:15" ht="15" customHeight="1" x14ac:dyDescent="0.3">
      <c r="A1781" t="s">
        <v>351</v>
      </c>
      <c r="B1781" s="1">
        <v>46202</v>
      </c>
      <c r="C1781" t="s">
        <v>24</v>
      </c>
      <c r="D1781">
        <v>1632</v>
      </c>
      <c r="E1781">
        <v>1</v>
      </c>
      <c r="F1781">
        <v>1.3</v>
      </c>
      <c r="G1781" t="s">
        <v>359</v>
      </c>
      <c r="I1781" t="str">
        <f t="shared" si="30"/>
        <v>1632_1</v>
      </c>
      <c r="J1781" t="s">
        <v>241</v>
      </c>
      <c r="K1781" t="s">
        <v>179</v>
      </c>
      <c r="L1781" t="str">
        <f>_xlfn.XLOOKUP(C1781, Table2[Species],Table2[Genus], "Code Not Found")</f>
        <v>Lirodendron</v>
      </c>
      <c r="M1781" t="str">
        <f>_xlfn.XLOOKUP(C1781, Table2[Species],Table2[Sp. Name], "Code Not Found")</f>
        <v>tulipfera</v>
      </c>
      <c r="N1781" t="str">
        <f>_xlfn.XLOOKUP(C1781,Table2[Species],Table2[Family],"Code Not Found")</f>
        <v>Magnoliaceae</v>
      </c>
      <c r="O1781" t="str" cm="1">
        <f t="array" ref="O1781">_xlfn.IFS(F1781="","",F1781&lt;=5,"0 to 5",F1781&lt;=10,"5.1 to 10",F1781&lt;=20,"10 to 20", F1781&lt;= 40, "20 to 40", F1781 &lt;= 50, "40 to 50", F1781 &gt; 50, "&gt;50" )</f>
        <v>0 to 5</v>
      </c>
    </row>
    <row r="1782" spans="1:15" ht="15" customHeight="1" x14ac:dyDescent="0.3">
      <c r="A1782" t="s">
        <v>351</v>
      </c>
      <c r="B1782" s="1">
        <v>46202</v>
      </c>
      <c r="C1782" t="s">
        <v>24</v>
      </c>
      <c r="D1782">
        <v>1633</v>
      </c>
      <c r="E1782">
        <v>1</v>
      </c>
      <c r="F1782">
        <v>1.3</v>
      </c>
      <c r="G1782" t="s">
        <v>359</v>
      </c>
      <c r="I1782" t="str">
        <f t="shared" si="30"/>
        <v>1633_1</v>
      </c>
      <c r="J1782" t="s">
        <v>241</v>
      </c>
      <c r="K1782" t="s">
        <v>179</v>
      </c>
      <c r="L1782" t="str">
        <f>_xlfn.XLOOKUP(C1782, Table2[Species],Table2[Genus], "Code Not Found")</f>
        <v>Lirodendron</v>
      </c>
      <c r="M1782" t="str">
        <f>_xlfn.XLOOKUP(C1782, Table2[Species],Table2[Sp. Name], "Code Not Found")</f>
        <v>tulipfera</v>
      </c>
      <c r="N1782" t="str">
        <f>_xlfn.XLOOKUP(C1782,Table2[Species],Table2[Family],"Code Not Found")</f>
        <v>Magnoliaceae</v>
      </c>
      <c r="O1782" t="str" cm="1">
        <f t="array" ref="O1782">_xlfn.IFS(F1782="","",F1782&lt;=5,"0 to 5",F1782&lt;=10,"5.1 to 10",F1782&lt;=20,"10 to 20", F1782&lt;= 40, "20 to 40", F1782 &lt;= 50, "40 to 50", F1782 &gt; 50, "&gt;50" )</f>
        <v>0 to 5</v>
      </c>
    </row>
    <row r="1783" spans="1:15" ht="15" customHeight="1" x14ac:dyDescent="0.3">
      <c r="A1783" t="s">
        <v>351</v>
      </c>
      <c r="B1783" s="1">
        <v>46202</v>
      </c>
      <c r="C1783" t="s">
        <v>24</v>
      </c>
      <c r="D1783">
        <v>1634</v>
      </c>
      <c r="E1783">
        <v>1</v>
      </c>
      <c r="F1783">
        <v>1.4</v>
      </c>
      <c r="G1783" t="s">
        <v>359</v>
      </c>
      <c r="I1783" t="str">
        <f t="shared" si="30"/>
        <v>1634_1</v>
      </c>
      <c r="J1783" t="s">
        <v>241</v>
      </c>
      <c r="K1783" t="s">
        <v>179</v>
      </c>
      <c r="L1783" t="str">
        <f>_xlfn.XLOOKUP(C1783, Table2[Species],Table2[Genus], "Code Not Found")</f>
        <v>Lirodendron</v>
      </c>
      <c r="M1783" t="str">
        <f>_xlfn.XLOOKUP(C1783, Table2[Species],Table2[Sp. Name], "Code Not Found")</f>
        <v>tulipfera</v>
      </c>
      <c r="N1783" t="str">
        <f>_xlfn.XLOOKUP(C1783,Table2[Species],Table2[Family],"Code Not Found")</f>
        <v>Magnoliaceae</v>
      </c>
      <c r="O1783" t="str" cm="1">
        <f t="array" ref="O1783">_xlfn.IFS(F1783="","",F1783&lt;=5,"0 to 5",F1783&lt;=10,"5.1 to 10",F1783&lt;=20,"10 to 20", F1783&lt;= 40, "20 to 40", F1783 &lt;= 50, "40 to 50", F1783 &gt; 50, "&gt;50" )</f>
        <v>0 to 5</v>
      </c>
    </row>
    <row r="1784" spans="1:15" ht="15" customHeight="1" x14ac:dyDescent="0.3">
      <c r="A1784" t="s">
        <v>351</v>
      </c>
      <c r="B1784" s="1">
        <v>46202</v>
      </c>
      <c r="C1784" t="s">
        <v>24</v>
      </c>
      <c r="D1784">
        <v>1635</v>
      </c>
      <c r="E1784">
        <v>1</v>
      </c>
      <c r="F1784">
        <v>1.5</v>
      </c>
      <c r="G1784" t="s">
        <v>359</v>
      </c>
      <c r="I1784" t="str">
        <f t="shared" si="30"/>
        <v>1635_1</v>
      </c>
      <c r="J1784" t="s">
        <v>241</v>
      </c>
      <c r="K1784" t="s">
        <v>179</v>
      </c>
      <c r="L1784" t="str">
        <f>_xlfn.XLOOKUP(C1784, Table2[Species],Table2[Genus], "Code Not Found")</f>
        <v>Lirodendron</v>
      </c>
      <c r="M1784" t="str">
        <f>_xlfn.XLOOKUP(C1784, Table2[Species],Table2[Sp. Name], "Code Not Found")</f>
        <v>tulipfera</v>
      </c>
      <c r="N1784" t="str">
        <f>_xlfn.XLOOKUP(C1784,Table2[Species],Table2[Family],"Code Not Found")</f>
        <v>Magnoliaceae</v>
      </c>
      <c r="O1784" t="str" cm="1">
        <f t="array" ref="O1784">_xlfn.IFS(F1784="","",F1784&lt;=5,"0 to 5",F1784&lt;=10,"5.1 to 10",F1784&lt;=20,"10 to 20", F1784&lt;= 40, "20 to 40", F1784 &lt;= 50, "40 to 50", F1784 &gt; 50, "&gt;50" )</f>
        <v>0 to 5</v>
      </c>
    </row>
    <row r="1785" spans="1:15" ht="15" customHeight="1" x14ac:dyDescent="0.3">
      <c r="A1785" t="s">
        <v>351</v>
      </c>
      <c r="B1785" s="1">
        <v>46202</v>
      </c>
      <c r="C1785" t="s">
        <v>24</v>
      </c>
      <c r="D1785">
        <v>1636</v>
      </c>
      <c r="E1785">
        <v>1</v>
      </c>
      <c r="F1785">
        <v>1.2</v>
      </c>
      <c r="G1785" t="s">
        <v>359</v>
      </c>
      <c r="I1785" t="str">
        <f t="shared" si="30"/>
        <v>1636_1</v>
      </c>
      <c r="J1785" t="s">
        <v>241</v>
      </c>
      <c r="K1785" t="s">
        <v>179</v>
      </c>
      <c r="L1785" t="str">
        <f>_xlfn.XLOOKUP(C1785, Table2[Species],Table2[Genus], "Code Not Found")</f>
        <v>Lirodendron</v>
      </c>
      <c r="M1785" t="str">
        <f>_xlfn.XLOOKUP(C1785, Table2[Species],Table2[Sp. Name], "Code Not Found")</f>
        <v>tulipfera</v>
      </c>
      <c r="N1785" t="str">
        <f>_xlfn.XLOOKUP(C1785,Table2[Species],Table2[Family],"Code Not Found")</f>
        <v>Magnoliaceae</v>
      </c>
      <c r="O1785" t="str" cm="1">
        <f t="array" ref="O1785">_xlfn.IFS(F1785="","",F1785&lt;=5,"0 to 5",F1785&lt;=10,"5.1 to 10",F1785&lt;=20,"10 to 20", F1785&lt;= 40, "20 to 40", F1785 &lt;= 50, "40 to 50", F1785 &gt; 50, "&gt;50" )</f>
        <v>0 to 5</v>
      </c>
    </row>
    <row r="1786" spans="1:15" ht="15" customHeight="1" x14ac:dyDescent="0.3">
      <c r="A1786" t="s">
        <v>351</v>
      </c>
      <c r="B1786" s="1">
        <v>46202</v>
      </c>
      <c r="C1786" t="s">
        <v>24</v>
      </c>
      <c r="D1786">
        <v>1637</v>
      </c>
      <c r="E1786">
        <v>1</v>
      </c>
      <c r="F1786">
        <v>1.3</v>
      </c>
      <c r="G1786" t="s">
        <v>359</v>
      </c>
      <c r="I1786" t="str">
        <f t="shared" si="30"/>
        <v>1637_1</v>
      </c>
      <c r="J1786" t="s">
        <v>241</v>
      </c>
      <c r="K1786" t="s">
        <v>179</v>
      </c>
      <c r="L1786" t="str">
        <f>_xlfn.XLOOKUP(C1786, Table2[Species],Table2[Genus], "Code Not Found")</f>
        <v>Lirodendron</v>
      </c>
      <c r="M1786" t="str">
        <f>_xlfn.XLOOKUP(C1786, Table2[Species],Table2[Sp. Name], "Code Not Found")</f>
        <v>tulipfera</v>
      </c>
      <c r="N1786" t="str">
        <f>_xlfn.XLOOKUP(C1786,Table2[Species],Table2[Family],"Code Not Found")</f>
        <v>Magnoliaceae</v>
      </c>
      <c r="O1786" t="str" cm="1">
        <f t="array" ref="O1786">_xlfn.IFS(F1786="","",F1786&lt;=5,"0 to 5",F1786&lt;=10,"5.1 to 10",F1786&lt;=20,"10 to 20", F1786&lt;= 40, "20 to 40", F1786 &lt;= 50, "40 to 50", F1786 &gt; 50, "&gt;50" )</f>
        <v>0 to 5</v>
      </c>
    </row>
    <row r="1787" spans="1:15" ht="15" customHeight="1" x14ac:dyDescent="0.3">
      <c r="A1787" t="s">
        <v>351</v>
      </c>
      <c r="B1787" s="1">
        <v>46202</v>
      </c>
      <c r="C1787" t="s">
        <v>24</v>
      </c>
      <c r="D1787">
        <v>1638</v>
      </c>
      <c r="E1787">
        <v>1</v>
      </c>
      <c r="F1787">
        <v>1.9</v>
      </c>
      <c r="G1787" t="s">
        <v>359</v>
      </c>
      <c r="I1787" t="str">
        <f t="shared" si="30"/>
        <v>1638_1</v>
      </c>
      <c r="J1787" t="s">
        <v>241</v>
      </c>
      <c r="K1787" t="s">
        <v>179</v>
      </c>
      <c r="L1787" t="str">
        <f>_xlfn.XLOOKUP(C1787, Table2[Species],Table2[Genus], "Code Not Found")</f>
        <v>Lirodendron</v>
      </c>
      <c r="M1787" t="str">
        <f>_xlfn.XLOOKUP(C1787, Table2[Species],Table2[Sp. Name], "Code Not Found")</f>
        <v>tulipfera</v>
      </c>
      <c r="N1787" t="str">
        <f>_xlfn.XLOOKUP(C1787,Table2[Species],Table2[Family],"Code Not Found")</f>
        <v>Magnoliaceae</v>
      </c>
      <c r="O1787" t="str" cm="1">
        <f t="array" ref="O1787">_xlfn.IFS(F1787="","",F1787&lt;=5,"0 to 5",F1787&lt;=10,"5.1 to 10",F1787&lt;=20,"10 to 20", F1787&lt;= 40, "20 to 40", F1787 &lt;= 50, "40 to 50", F1787 &gt; 50, "&gt;50" )</f>
        <v>0 to 5</v>
      </c>
    </row>
    <row r="1788" spans="1:15" ht="15" customHeight="1" x14ac:dyDescent="0.3">
      <c r="A1788" t="s">
        <v>351</v>
      </c>
      <c r="B1788" s="1">
        <v>46202</v>
      </c>
      <c r="C1788" t="s">
        <v>24</v>
      </c>
      <c r="D1788">
        <v>1639</v>
      </c>
      <c r="E1788">
        <v>1</v>
      </c>
      <c r="F1788">
        <v>1.3</v>
      </c>
      <c r="G1788" t="s">
        <v>359</v>
      </c>
      <c r="I1788" t="str">
        <f t="shared" si="30"/>
        <v>1639_1</v>
      </c>
      <c r="J1788" t="s">
        <v>241</v>
      </c>
      <c r="K1788" t="s">
        <v>179</v>
      </c>
      <c r="L1788" t="str">
        <f>_xlfn.XLOOKUP(C1788, Table2[Species],Table2[Genus], "Code Not Found")</f>
        <v>Lirodendron</v>
      </c>
      <c r="M1788" t="str">
        <f>_xlfn.XLOOKUP(C1788, Table2[Species],Table2[Sp. Name], "Code Not Found")</f>
        <v>tulipfera</v>
      </c>
      <c r="N1788" t="str">
        <f>_xlfn.XLOOKUP(C1788,Table2[Species],Table2[Family],"Code Not Found")</f>
        <v>Magnoliaceae</v>
      </c>
      <c r="O1788" t="str" cm="1">
        <f t="array" ref="O1788">_xlfn.IFS(F1788="","",F1788&lt;=5,"0 to 5",F1788&lt;=10,"5.1 to 10",F1788&lt;=20,"10 to 20", F1788&lt;= 40, "20 to 40", F1788 &lt;= 50, "40 to 50", F1788 &gt; 50, "&gt;50" )</f>
        <v>0 to 5</v>
      </c>
    </row>
    <row r="1789" spans="1:15" ht="15" customHeight="1" x14ac:dyDescent="0.3">
      <c r="A1789" t="s">
        <v>351</v>
      </c>
      <c r="B1789" s="1">
        <v>46202</v>
      </c>
      <c r="C1789" t="s">
        <v>24</v>
      </c>
      <c r="D1789">
        <v>1640</v>
      </c>
      <c r="E1789">
        <v>1</v>
      </c>
      <c r="F1789">
        <v>1.6</v>
      </c>
      <c r="G1789" t="s">
        <v>359</v>
      </c>
      <c r="I1789" t="str">
        <f t="shared" si="30"/>
        <v>1640_1</v>
      </c>
      <c r="J1789" t="s">
        <v>241</v>
      </c>
      <c r="K1789" t="s">
        <v>179</v>
      </c>
      <c r="L1789" t="str">
        <f>_xlfn.XLOOKUP(C1789, Table2[Species],Table2[Genus], "Code Not Found")</f>
        <v>Lirodendron</v>
      </c>
      <c r="M1789" t="str">
        <f>_xlfn.XLOOKUP(C1789, Table2[Species],Table2[Sp. Name], "Code Not Found")</f>
        <v>tulipfera</v>
      </c>
      <c r="N1789" t="str">
        <f>_xlfn.XLOOKUP(C1789,Table2[Species],Table2[Family],"Code Not Found")</f>
        <v>Magnoliaceae</v>
      </c>
      <c r="O1789" t="str" cm="1">
        <f t="array" ref="O1789">_xlfn.IFS(F1789="","",F1789&lt;=5,"0 to 5",F1789&lt;=10,"5.1 to 10",F1789&lt;=20,"10 to 20", F1789&lt;= 40, "20 to 40", F1789 &lt;= 50, "40 to 50", F1789 &gt; 50, "&gt;50" )</f>
        <v>0 to 5</v>
      </c>
    </row>
    <row r="1790" spans="1:15" ht="15" customHeight="1" x14ac:dyDescent="0.3">
      <c r="A1790" t="s">
        <v>351</v>
      </c>
      <c r="B1790" s="1">
        <v>46202</v>
      </c>
      <c r="C1790" t="s">
        <v>16</v>
      </c>
      <c r="D1790">
        <v>1641</v>
      </c>
      <c r="E1790">
        <v>1</v>
      </c>
      <c r="F1790">
        <v>50.4</v>
      </c>
      <c r="G1790" t="s">
        <v>21</v>
      </c>
      <c r="I1790" t="str">
        <f t="shared" si="30"/>
        <v>1641_1</v>
      </c>
      <c r="J1790" t="s">
        <v>241</v>
      </c>
      <c r="K1790" t="s">
        <v>179</v>
      </c>
      <c r="L1790" t="str">
        <f>_xlfn.XLOOKUP(C1790, Table2[Species],Table2[Genus], "Code Not Found")</f>
        <v>Acer</v>
      </c>
      <c r="M1790" t="str">
        <f>_xlfn.XLOOKUP(C1790, Table2[Species],Table2[Sp. Name], "Code Not Found")</f>
        <v>saccharum</v>
      </c>
      <c r="N1790" t="str">
        <f>_xlfn.XLOOKUP(C1790,Table2[Species],Table2[Family],"Code Not Found")</f>
        <v>Sapindaceae</v>
      </c>
      <c r="O1790" t="str" cm="1">
        <f t="array" ref="O1790">_xlfn.IFS(F1790="","",F1790&lt;=5,"0 to 5",F1790&lt;=10,"5.1 to 10",F1790&lt;=20,"10 to 20", F1790&lt;= 40, "20 to 40", F1790 &lt;= 50, "40 to 50", F1790 &gt; 50, "&gt;50" )</f>
        <v>&gt;50</v>
      </c>
    </row>
    <row r="1791" spans="1:15" ht="15" customHeight="1" x14ac:dyDescent="0.3">
      <c r="A1791" t="s">
        <v>351</v>
      </c>
      <c r="B1791" s="1">
        <v>46202</v>
      </c>
      <c r="C1791" t="s">
        <v>24</v>
      </c>
      <c r="D1791">
        <v>1642</v>
      </c>
      <c r="E1791">
        <v>1</v>
      </c>
      <c r="F1791">
        <v>1.6</v>
      </c>
      <c r="G1791" t="s">
        <v>359</v>
      </c>
      <c r="I1791" t="str">
        <f t="shared" si="30"/>
        <v>1642_1</v>
      </c>
      <c r="J1791" t="s">
        <v>241</v>
      </c>
      <c r="K1791" t="s">
        <v>179</v>
      </c>
      <c r="L1791" t="str">
        <f>_xlfn.XLOOKUP(C1791, Table2[Species],Table2[Genus], "Code Not Found")</f>
        <v>Lirodendron</v>
      </c>
      <c r="M1791" t="str">
        <f>_xlfn.XLOOKUP(C1791, Table2[Species],Table2[Sp. Name], "Code Not Found")</f>
        <v>tulipfera</v>
      </c>
      <c r="N1791" t="str">
        <f>_xlfn.XLOOKUP(C1791,Table2[Species],Table2[Family],"Code Not Found")</f>
        <v>Magnoliaceae</v>
      </c>
      <c r="O1791" t="str" cm="1">
        <f t="array" ref="O1791">_xlfn.IFS(F1791="","",F1791&lt;=5,"0 to 5",F1791&lt;=10,"5.1 to 10",F1791&lt;=20,"10 to 20", F1791&lt;= 40, "20 to 40", F1791 &lt;= 50, "40 to 50", F1791 &gt; 50, "&gt;50" )</f>
        <v>0 to 5</v>
      </c>
    </row>
    <row r="1792" spans="1:15" ht="15" customHeight="1" x14ac:dyDescent="0.3">
      <c r="A1792" t="s">
        <v>351</v>
      </c>
      <c r="B1792" s="1">
        <v>46202</v>
      </c>
      <c r="C1792" t="s">
        <v>24</v>
      </c>
      <c r="D1792">
        <v>1643</v>
      </c>
      <c r="E1792">
        <v>1</v>
      </c>
      <c r="F1792">
        <v>1.3</v>
      </c>
      <c r="G1792" t="s">
        <v>359</v>
      </c>
      <c r="I1792" t="str">
        <f t="shared" si="30"/>
        <v>1643_1</v>
      </c>
      <c r="J1792" t="s">
        <v>241</v>
      </c>
      <c r="K1792" t="s">
        <v>179</v>
      </c>
      <c r="L1792" t="str">
        <f>_xlfn.XLOOKUP(C1792, Table2[Species],Table2[Genus], "Code Not Found")</f>
        <v>Lirodendron</v>
      </c>
      <c r="M1792" t="str">
        <f>_xlfn.XLOOKUP(C1792, Table2[Species],Table2[Sp. Name], "Code Not Found")</f>
        <v>tulipfera</v>
      </c>
      <c r="N1792" t="str">
        <f>_xlfn.XLOOKUP(C1792,Table2[Species],Table2[Family],"Code Not Found")</f>
        <v>Magnoliaceae</v>
      </c>
      <c r="O1792" t="str" cm="1">
        <f t="array" ref="O1792">_xlfn.IFS(F1792="","",F1792&lt;=5,"0 to 5",F1792&lt;=10,"5.1 to 10",F1792&lt;=20,"10 to 20", F1792&lt;= 40, "20 to 40", F1792 &lt;= 50, "40 to 50", F1792 &gt; 50, "&gt;50" )</f>
        <v>0 to 5</v>
      </c>
    </row>
    <row r="1793" spans="1:15" ht="15" customHeight="1" x14ac:dyDescent="0.3">
      <c r="A1793" t="s">
        <v>351</v>
      </c>
      <c r="B1793" s="1">
        <v>46202</v>
      </c>
      <c r="C1793" t="s">
        <v>24</v>
      </c>
      <c r="D1793">
        <v>1644</v>
      </c>
      <c r="E1793">
        <v>1</v>
      </c>
      <c r="F1793">
        <v>1.2</v>
      </c>
      <c r="G1793" t="s">
        <v>368</v>
      </c>
      <c r="I1793" t="str">
        <f t="shared" si="30"/>
        <v>1644_1</v>
      </c>
      <c r="J1793" t="s">
        <v>241</v>
      </c>
      <c r="K1793" t="s">
        <v>179</v>
      </c>
      <c r="L1793" t="str">
        <f>_xlfn.XLOOKUP(C1793, Table2[Species],Table2[Genus], "Code Not Found")</f>
        <v>Lirodendron</v>
      </c>
      <c r="M1793" t="str">
        <f>_xlfn.XLOOKUP(C1793, Table2[Species],Table2[Sp. Name], "Code Not Found")</f>
        <v>tulipfera</v>
      </c>
      <c r="N1793" t="str">
        <f>_xlfn.XLOOKUP(C1793,Table2[Species],Table2[Family],"Code Not Found")</f>
        <v>Magnoliaceae</v>
      </c>
      <c r="O1793" t="str" cm="1">
        <f t="array" ref="O1793">_xlfn.IFS(F1793="","",F1793&lt;=5,"0 to 5",F1793&lt;=10,"5.1 to 10",F1793&lt;=20,"10 to 20", F1793&lt;= 40, "20 to 40", F1793 &lt;= 50, "40 to 50", F1793 &gt; 50, "&gt;50" )</f>
        <v>0 to 5</v>
      </c>
    </row>
    <row r="1794" spans="1:15" ht="15" customHeight="1" x14ac:dyDescent="0.3">
      <c r="A1794" t="s">
        <v>351</v>
      </c>
      <c r="B1794" s="1">
        <v>46202</v>
      </c>
      <c r="C1794" t="s">
        <v>24</v>
      </c>
      <c r="D1794">
        <v>1645</v>
      </c>
      <c r="E1794">
        <v>1</v>
      </c>
      <c r="F1794">
        <v>1.1000000000000001</v>
      </c>
      <c r="G1794" t="s">
        <v>359</v>
      </c>
      <c r="I1794" t="str">
        <f t="shared" si="30"/>
        <v>1645_1</v>
      </c>
      <c r="J1794" t="s">
        <v>241</v>
      </c>
      <c r="K1794" t="s">
        <v>179</v>
      </c>
      <c r="L1794" t="str">
        <f>_xlfn.XLOOKUP(C1794, Table2[Species],Table2[Genus], "Code Not Found")</f>
        <v>Lirodendron</v>
      </c>
      <c r="M1794" t="str">
        <f>_xlfn.XLOOKUP(C1794, Table2[Species],Table2[Sp. Name], "Code Not Found")</f>
        <v>tulipfera</v>
      </c>
      <c r="N1794" t="str">
        <f>_xlfn.XLOOKUP(C1794,Table2[Species],Table2[Family],"Code Not Found")</f>
        <v>Magnoliaceae</v>
      </c>
      <c r="O1794" t="str" cm="1">
        <f t="array" ref="O1794">_xlfn.IFS(F1794="","",F1794&lt;=5,"0 to 5",F1794&lt;=10,"5.1 to 10",F1794&lt;=20,"10 to 20", F1794&lt;= 40, "20 to 40", F1794 &lt;= 50, "40 to 50", F1794 &gt; 50, "&gt;50" )</f>
        <v>0 to 5</v>
      </c>
    </row>
    <row r="1795" spans="1:15" ht="15" customHeight="1" x14ac:dyDescent="0.3">
      <c r="A1795" t="s">
        <v>351</v>
      </c>
      <c r="B1795" s="1">
        <v>46202</v>
      </c>
      <c r="C1795" t="s">
        <v>24</v>
      </c>
      <c r="D1795">
        <v>1646</v>
      </c>
      <c r="E1795">
        <v>1</v>
      </c>
      <c r="F1795">
        <v>1.1000000000000001</v>
      </c>
      <c r="G1795" t="s">
        <v>21</v>
      </c>
      <c r="I1795" t="str">
        <f t="shared" si="30"/>
        <v>1646_1</v>
      </c>
      <c r="J1795" t="s">
        <v>241</v>
      </c>
      <c r="K1795" t="s">
        <v>179</v>
      </c>
      <c r="L1795" t="str">
        <f>_xlfn.XLOOKUP(C1795, Table2[Species],Table2[Genus], "Code Not Found")</f>
        <v>Lirodendron</v>
      </c>
      <c r="M1795" t="str">
        <f>_xlfn.XLOOKUP(C1795, Table2[Species],Table2[Sp. Name], "Code Not Found")</f>
        <v>tulipfera</v>
      </c>
      <c r="N1795" t="str">
        <f>_xlfn.XLOOKUP(C1795,Table2[Species],Table2[Family],"Code Not Found")</f>
        <v>Magnoliaceae</v>
      </c>
      <c r="O1795" t="str" cm="1">
        <f t="array" ref="O1795">_xlfn.IFS(F1795="","",F1795&lt;=5,"0 to 5",F1795&lt;=10,"5.1 to 10",F1795&lt;=20,"10 to 20", F1795&lt;= 40, "20 to 40", F1795 &lt;= 50, "40 to 50", F1795 &gt; 50, "&gt;50" )</f>
        <v>0 to 5</v>
      </c>
    </row>
    <row r="1796" spans="1:15" ht="15" customHeight="1" x14ac:dyDescent="0.3">
      <c r="A1796" t="s">
        <v>351</v>
      </c>
      <c r="B1796" s="1">
        <v>46202</v>
      </c>
      <c r="C1796" t="s">
        <v>16</v>
      </c>
      <c r="D1796">
        <v>1647</v>
      </c>
      <c r="E1796">
        <v>1</v>
      </c>
      <c r="F1796">
        <v>65.8</v>
      </c>
      <c r="G1796" t="s">
        <v>17</v>
      </c>
      <c r="I1796" t="str">
        <f t="shared" si="30"/>
        <v>1647_1</v>
      </c>
      <c r="J1796" t="s">
        <v>241</v>
      </c>
      <c r="K1796" t="s">
        <v>179</v>
      </c>
      <c r="L1796" t="str">
        <f>_xlfn.XLOOKUP(C1796, Table2[Species],Table2[Genus], "Code Not Found")</f>
        <v>Acer</v>
      </c>
      <c r="M1796" t="str">
        <f>_xlfn.XLOOKUP(C1796, Table2[Species],Table2[Sp. Name], "Code Not Found")</f>
        <v>saccharum</v>
      </c>
      <c r="N1796" t="str">
        <f>_xlfn.XLOOKUP(C1796,Table2[Species],Table2[Family],"Code Not Found")</f>
        <v>Sapindaceae</v>
      </c>
      <c r="O1796" t="str" cm="1">
        <f t="array" ref="O1796">_xlfn.IFS(F1796="","",F1796&lt;=5,"0 to 5",F1796&lt;=10,"5.1 to 10",F1796&lt;=20,"10 to 20", F1796&lt;= 40, "20 to 40", F1796 &lt;= 50, "40 to 50", F1796 &gt; 50, "&gt;50" )</f>
        <v>&gt;50</v>
      </c>
    </row>
    <row r="1797" spans="1:15" ht="15" customHeight="1" x14ac:dyDescent="0.3">
      <c r="A1797" t="s">
        <v>351</v>
      </c>
      <c r="B1797" s="1">
        <v>46202</v>
      </c>
      <c r="C1797" t="s">
        <v>64</v>
      </c>
      <c r="D1797">
        <v>1648</v>
      </c>
      <c r="E1797">
        <v>1</v>
      </c>
      <c r="F1797">
        <v>10.4</v>
      </c>
      <c r="G1797" t="s">
        <v>21</v>
      </c>
      <c r="H1797" t="s">
        <v>373</v>
      </c>
      <c r="I1797" t="str">
        <f t="shared" si="30"/>
        <v>1648_1</v>
      </c>
      <c r="J1797" t="s">
        <v>241</v>
      </c>
      <c r="K1797" t="s">
        <v>179</v>
      </c>
      <c r="L1797" t="str">
        <f>_xlfn.XLOOKUP(C1797, Table2[Species],Table2[Genus], "Code Not Found")</f>
        <v>Fagus</v>
      </c>
      <c r="M1797" t="str">
        <f>_xlfn.XLOOKUP(C1797, Table2[Species],Table2[Sp. Name], "Code Not Found")</f>
        <v>grandifolia</v>
      </c>
      <c r="N1797" t="str">
        <f>_xlfn.XLOOKUP(C1797,Table2[Species],Table2[Family],"Code Not Found")</f>
        <v>Fagaceae</v>
      </c>
      <c r="O1797" t="str" cm="1">
        <f t="array" ref="O1797">_xlfn.IFS(F1797="","",F1797&lt;=5,"0 to 5",F1797&lt;=10,"5.1 to 10",F1797&lt;=20,"10 to 20", F1797&lt;= 40, "20 to 40", F1797 &lt;= 50, "40 to 50", F1797 &gt; 50, "&gt;50" )</f>
        <v>10 to 20</v>
      </c>
    </row>
    <row r="1798" spans="1:15" ht="15" customHeight="1" x14ac:dyDescent="0.3">
      <c r="A1798" t="s">
        <v>351</v>
      </c>
      <c r="B1798" s="1">
        <v>46202</v>
      </c>
      <c r="C1798" t="s">
        <v>24</v>
      </c>
      <c r="D1798">
        <v>1649</v>
      </c>
      <c r="E1798">
        <v>1</v>
      </c>
      <c r="F1798">
        <v>1.1000000000000001</v>
      </c>
      <c r="G1798" t="s">
        <v>359</v>
      </c>
      <c r="I1798" t="str">
        <f t="shared" si="30"/>
        <v>1649_1</v>
      </c>
      <c r="J1798" t="s">
        <v>241</v>
      </c>
      <c r="K1798" t="s">
        <v>179</v>
      </c>
      <c r="L1798" t="str">
        <f>_xlfn.XLOOKUP(C1798, Table2[Species],Table2[Genus], "Code Not Found")</f>
        <v>Lirodendron</v>
      </c>
      <c r="M1798" t="str">
        <f>_xlfn.XLOOKUP(C1798, Table2[Species],Table2[Sp. Name], "Code Not Found")</f>
        <v>tulipfera</v>
      </c>
      <c r="N1798" t="str">
        <f>_xlfn.XLOOKUP(C1798,Table2[Species],Table2[Family],"Code Not Found")</f>
        <v>Magnoliaceae</v>
      </c>
      <c r="O1798" t="str" cm="1">
        <f t="array" ref="O1798">_xlfn.IFS(F1798="","",F1798&lt;=5,"0 to 5",F1798&lt;=10,"5.1 to 10",F1798&lt;=20,"10 to 20", F1798&lt;= 40, "20 to 40", F1798 &lt;= 50, "40 to 50", F1798 &gt; 50, "&gt;50" )</f>
        <v>0 to 5</v>
      </c>
    </row>
    <row r="1799" spans="1:15" ht="15" customHeight="1" x14ac:dyDescent="0.3">
      <c r="A1799" t="s">
        <v>351</v>
      </c>
      <c r="B1799" s="1">
        <v>46202</v>
      </c>
      <c r="C1799" t="s">
        <v>24</v>
      </c>
      <c r="D1799">
        <v>1650</v>
      </c>
      <c r="E1799">
        <v>1</v>
      </c>
      <c r="F1799">
        <v>1.4</v>
      </c>
      <c r="G1799" t="s">
        <v>359</v>
      </c>
      <c r="I1799" t="str">
        <f t="shared" si="30"/>
        <v>1650_1</v>
      </c>
      <c r="J1799" t="s">
        <v>241</v>
      </c>
      <c r="K1799" t="s">
        <v>179</v>
      </c>
      <c r="L1799" t="str">
        <f>_xlfn.XLOOKUP(C1799, Table2[Species],Table2[Genus], "Code Not Found")</f>
        <v>Lirodendron</v>
      </c>
      <c r="M1799" t="str">
        <f>_xlfn.XLOOKUP(C1799, Table2[Species],Table2[Sp. Name], "Code Not Found")</f>
        <v>tulipfera</v>
      </c>
      <c r="N1799" t="str">
        <f>_xlfn.XLOOKUP(C1799,Table2[Species],Table2[Family],"Code Not Found")</f>
        <v>Magnoliaceae</v>
      </c>
      <c r="O1799" t="str" cm="1">
        <f t="array" ref="O1799">_xlfn.IFS(F1799="","",F1799&lt;=5,"0 to 5",F1799&lt;=10,"5.1 to 10",F1799&lt;=20,"10 to 20", F1799&lt;= 40, "20 to 40", F1799 &lt;= 50, "40 to 50", F1799 &gt; 50, "&gt;50" )</f>
        <v>0 to 5</v>
      </c>
    </row>
    <row r="1800" spans="1:15" ht="15" customHeight="1" x14ac:dyDescent="0.3">
      <c r="A1800" t="s">
        <v>351</v>
      </c>
      <c r="B1800" s="1">
        <v>46202</v>
      </c>
      <c r="C1800" t="s">
        <v>24</v>
      </c>
      <c r="D1800">
        <v>1651</v>
      </c>
      <c r="E1800">
        <v>1</v>
      </c>
      <c r="F1800">
        <v>1.4</v>
      </c>
      <c r="G1800" t="s">
        <v>359</v>
      </c>
      <c r="I1800" t="str">
        <f t="shared" si="30"/>
        <v>1651_1</v>
      </c>
      <c r="J1800" t="s">
        <v>241</v>
      </c>
      <c r="K1800" t="s">
        <v>179</v>
      </c>
      <c r="L1800" t="str">
        <f>_xlfn.XLOOKUP(C1800, Table2[Species],Table2[Genus], "Code Not Found")</f>
        <v>Lirodendron</v>
      </c>
      <c r="M1800" t="str">
        <f>_xlfn.XLOOKUP(C1800, Table2[Species],Table2[Sp. Name], "Code Not Found")</f>
        <v>tulipfera</v>
      </c>
      <c r="N1800" t="str">
        <f>_xlfn.XLOOKUP(C1800,Table2[Species],Table2[Family],"Code Not Found")</f>
        <v>Magnoliaceae</v>
      </c>
      <c r="O1800" t="str" cm="1">
        <f t="array" ref="O1800">_xlfn.IFS(F1800="","",F1800&lt;=5,"0 to 5",F1800&lt;=10,"5.1 to 10",F1800&lt;=20,"10 to 20", F1800&lt;= 40, "20 to 40", F1800 &lt;= 50, "40 to 50", F1800 &gt; 50, "&gt;50" )</f>
        <v>0 to 5</v>
      </c>
    </row>
    <row r="1801" spans="1:15" ht="15" customHeight="1" x14ac:dyDescent="0.3">
      <c r="A1801" t="s">
        <v>351</v>
      </c>
      <c r="B1801" s="1">
        <v>46202</v>
      </c>
      <c r="C1801" t="s">
        <v>24</v>
      </c>
      <c r="D1801">
        <v>1652</v>
      </c>
      <c r="E1801">
        <v>1</v>
      </c>
      <c r="F1801">
        <v>1.6</v>
      </c>
      <c r="G1801" t="s">
        <v>32</v>
      </c>
      <c r="I1801" t="str">
        <f t="shared" si="30"/>
        <v>1652_1</v>
      </c>
      <c r="J1801" t="s">
        <v>241</v>
      </c>
      <c r="K1801" t="s">
        <v>179</v>
      </c>
      <c r="L1801" t="str">
        <f>_xlfn.XLOOKUP(C1801, Table2[Species],Table2[Genus], "Code Not Found")</f>
        <v>Lirodendron</v>
      </c>
      <c r="M1801" t="str">
        <f>_xlfn.XLOOKUP(C1801, Table2[Species],Table2[Sp. Name], "Code Not Found")</f>
        <v>tulipfera</v>
      </c>
      <c r="N1801" t="str">
        <f>_xlfn.XLOOKUP(C1801,Table2[Species],Table2[Family],"Code Not Found")</f>
        <v>Magnoliaceae</v>
      </c>
      <c r="O1801" t="str" cm="1">
        <f t="array" ref="O1801">_xlfn.IFS(F1801="","",F1801&lt;=5,"0 to 5",F1801&lt;=10,"5.1 to 10",F1801&lt;=20,"10 to 20", F1801&lt;= 40, "20 to 40", F1801 &lt;= 50, "40 to 50", F1801 &gt; 50, "&gt;50" )</f>
        <v>0 to 5</v>
      </c>
    </row>
    <row r="1802" spans="1:15" ht="15" customHeight="1" x14ac:dyDescent="0.3">
      <c r="A1802" t="s">
        <v>351</v>
      </c>
      <c r="B1802" s="1">
        <v>46202</v>
      </c>
      <c r="C1802" t="s">
        <v>24</v>
      </c>
      <c r="D1802">
        <v>1652</v>
      </c>
      <c r="E1802">
        <v>2</v>
      </c>
      <c r="F1802">
        <v>1.2</v>
      </c>
      <c r="G1802" t="s">
        <v>32</v>
      </c>
      <c r="H1802" t="s">
        <v>296</v>
      </c>
      <c r="I1802" t="str">
        <f t="shared" si="30"/>
        <v>1652_2</v>
      </c>
      <c r="J1802" t="s">
        <v>241</v>
      </c>
      <c r="K1802" t="s">
        <v>179</v>
      </c>
      <c r="L1802" t="str">
        <f>_xlfn.XLOOKUP(C1802, Table2[Species],Table2[Genus], "Code Not Found")</f>
        <v>Lirodendron</v>
      </c>
      <c r="M1802" t="str">
        <f>_xlfn.XLOOKUP(C1802, Table2[Species],Table2[Sp. Name], "Code Not Found")</f>
        <v>tulipfera</v>
      </c>
      <c r="N1802" t="str">
        <f>_xlfn.XLOOKUP(C1802,Table2[Species],Table2[Family],"Code Not Found")</f>
        <v>Magnoliaceae</v>
      </c>
      <c r="O1802" t="str" cm="1">
        <f t="array" ref="O1802">_xlfn.IFS(F1802="","",F1802&lt;=5,"0 to 5",F1802&lt;=10,"5.1 to 10",F1802&lt;=20,"10 to 20", F1802&lt;= 40, "20 to 40", F1802 &lt;= 50, "40 to 50", F1802 &gt; 50, "&gt;50" )</f>
        <v>0 to 5</v>
      </c>
    </row>
    <row r="1803" spans="1:15" ht="15" customHeight="1" x14ac:dyDescent="0.3">
      <c r="A1803" t="s">
        <v>351</v>
      </c>
      <c r="B1803" s="1">
        <v>46202</v>
      </c>
      <c r="C1803" t="s">
        <v>24</v>
      </c>
      <c r="D1803">
        <v>1653</v>
      </c>
      <c r="E1803">
        <v>1</v>
      </c>
      <c r="F1803">
        <v>1.4</v>
      </c>
      <c r="G1803" t="s">
        <v>359</v>
      </c>
      <c r="I1803" t="str">
        <f t="shared" si="30"/>
        <v>1653_1</v>
      </c>
      <c r="J1803" t="s">
        <v>241</v>
      </c>
      <c r="K1803" t="s">
        <v>179</v>
      </c>
      <c r="L1803" t="str">
        <f>_xlfn.XLOOKUP(C1803, Table2[Species],Table2[Genus], "Code Not Found")</f>
        <v>Lirodendron</v>
      </c>
      <c r="M1803" t="str">
        <f>_xlfn.XLOOKUP(C1803, Table2[Species],Table2[Sp. Name], "Code Not Found")</f>
        <v>tulipfera</v>
      </c>
      <c r="N1803" t="str">
        <f>_xlfn.XLOOKUP(C1803,Table2[Species],Table2[Family],"Code Not Found")</f>
        <v>Magnoliaceae</v>
      </c>
      <c r="O1803" t="str" cm="1">
        <f t="array" ref="O1803">_xlfn.IFS(F1803="","",F1803&lt;=5,"0 to 5",F1803&lt;=10,"5.1 to 10",F1803&lt;=20,"10 to 20", F1803&lt;= 40, "20 to 40", F1803 &lt;= 50, "40 to 50", F1803 &gt; 50, "&gt;50" )</f>
        <v>0 to 5</v>
      </c>
    </row>
    <row r="1804" spans="1:15" ht="15" customHeight="1" x14ac:dyDescent="0.3">
      <c r="A1804" t="s">
        <v>351</v>
      </c>
      <c r="B1804" s="1">
        <v>46202</v>
      </c>
      <c r="C1804" t="s">
        <v>24</v>
      </c>
      <c r="D1804">
        <v>1654</v>
      </c>
      <c r="E1804">
        <v>1</v>
      </c>
      <c r="F1804">
        <v>1.6</v>
      </c>
      <c r="G1804" t="s">
        <v>359</v>
      </c>
      <c r="I1804" t="str">
        <f t="shared" si="30"/>
        <v>1654_1</v>
      </c>
      <c r="J1804" t="s">
        <v>241</v>
      </c>
      <c r="K1804" t="s">
        <v>179</v>
      </c>
      <c r="L1804" t="str">
        <f>_xlfn.XLOOKUP(C1804, Table2[Species],Table2[Genus], "Code Not Found")</f>
        <v>Lirodendron</v>
      </c>
      <c r="M1804" t="str">
        <f>_xlfn.XLOOKUP(C1804, Table2[Species],Table2[Sp. Name], "Code Not Found")</f>
        <v>tulipfera</v>
      </c>
      <c r="N1804" t="str">
        <f>_xlfn.XLOOKUP(C1804,Table2[Species],Table2[Family],"Code Not Found")</f>
        <v>Magnoliaceae</v>
      </c>
      <c r="O1804" t="str" cm="1">
        <f t="array" ref="O1804">_xlfn.IFS(F1804="","",F1804&lt;=5,"0 to 5",F1804&lt;=10,"5.1 to 10",F1804&lt;=20,"10 to 20", F1804&lt;= 40, "20 to 40", F1804 &lt;= 50, "40 to 50", F1804 &gt; 50, "&gt;50" )</f>
        <v>0 to 5</v>
      </c>
    </row>
    <row r="1805" spans="1:15" ht="15" customHeight="1" x14ac:dyDescent="0.3">
      <c r="A1805" t="s">
        <v>351</v>
      </c>
      <c r="B1805" s="1">
        <v>46202</v>
      </c>
      <c r="C1805" t="s">
        <v>24</v>
      </c>
      <c r="D1805">
        <v>1655</v>
      </c>
      <c r="E1805">
        <v>1</v>
      </c>
      <c r="F1805">
        <v>1.2</v>
      </c>
      <c r="G1805" t="s">
        <v>359</v>
      </c>
      <c r="I1805" t="str">
        <f t="shared" si="30"/>
        <v>1655_1</v>
      </c>
      <c r="J1805" t="s">
        <v>241</v>
      </c>
      <c r="K1805" t="s">
        <v>179</v>
      </c>
      <c r="L1805" t="str">
        <f>_xlfn.XLOOKUP(C1805, Table2[Species],Table2[Genus], "Code Not Found")</f>
        <v>Lirodendron</v>
      </c>
      <c r="M1805" t="str">
        <f>_xlfn.XLOOKUP(C1805, Table2[Species],Table2[Sp. Name], "Code Not Found")</f>
        <v>tulipfera</v>
      </c>
      <c r="N1805" t="str">
        <f>_xlfn.XLOOKUP(C1805,Table2[Species],Table2[Family],"Code Not Found")</f>
        <v>Magnoliaceae</v>
      </c>
      <c r="O1805" t="str" cm="1">
        <f t="array" ref="O1805">_xlfn.IFS(F1805="","",F1805&lt;=5,"0 to 5",F1805&lt;=10,"5.1 to 10",F1805&lt;=20,"10 to 20", F1805&lt;= 40, "20 to 40", F1805 &lt;= 50, "40 to 50", F1805 &gt; 50, "&gt;50" )</f>
        <v>0 to 5</v>
      </c>
    </row>
    <row r="1806" spans="1:15" ht="15" customHeight="1" x14ac:dyDescent="0.3">
      <c r="A1806" t="s">
        <v>351</v>
      </c>
      <c r="B1806" s="1">
        <v>46202</v>
      </c>
      <c r="C1806" t="s">
        <v>24</v>
      </c>
      <c r="D1806">
        <v>1656</v>
      </c>
      <c r="E1806">
        <v>1</v>
      </c>
      <c r="F1806">
        <v>1.1000000000000001</v>
      </c>
      <c r="G1806" t="s">
        <v>30</v>
      </c>
      <c r="H1806" t="s">
        <v>374</v>
      </c>
      <c r="I1806" t="str">
        <f t="shared" si="30"/>
        <v>1656_1</v>
      </c>
      <c r="J1806" t="s">
        <v>241</v>
      </c>
      <c r="K1806" t="s">
        <v>179</v>
      </c>
      <c r="L1806" t="str">
        <f>_xlfn.XLOOKUP(C1806, Table2[Species],Table2[Genus], "Code Not Found")</f>
        <v>Lirodendron</v>
      </c>
      <c r="M1806" t="str">
        <f>_xlfn.XLOOKUP(C1806, Table2[Species],Table2[Sp. Name], "Code Not Found")</f>
        <v>tulipfera</v>
      </c>
      <c r="N1806" t="str">
        <f>_xlfn.XLOOKUP(C1806,Table2[Species],Table2[Family],"Code Not Found")</f>
        <v>Magnoliaceae</v>
      </c>
      <c r="O1806" t="str" cm="1">
        <f t="array" ref="O1806">_xlfn.IFS(F1806="","",F1806&lt;=5,"0 to 5",F1806&lt;=10,"5.1 to 10",F1806&lt;=20,"10 to 20", F1806&lt;= 40, "20 to 40", F1806 &lt;= 50, "40 to 50", F1806 &gt; 50, "&gt;50" )</f>
        <v>0 to 5</v>
      </c>
    </row>
    <row r="1807" spans="1:15" ht="15" customHeight="1" x14ac:dyDescent="0.3">
      <c r="A1807" t="s">
        <v>351</v>
      </c>
      <c r="B1807" s="1">
        <v>46202</v>
      </c>
      <c r="C1807" t="s">
        <v>24</v>
      </c>
      <c r="D1807">
        <v>1657</v>
      </c>
      <c r="E1807">
        <v>1</v>
      </c>
      <c r="F1807">
        <v>1.6</v>
      </c>
      <c r="G1807" t="s">
        <v>359</v>
      </c>
      <c r="I1807" t="str">
        <f t="shared" si="30"/>
        <v>1657_1</v>
      </c>
      <c r="J1807" t="s">
        <v>241</v>
      </c>
      <c r="K1807" t="s">
        <v>179</v>
      </c>
      <c r="L1807" t="str">
        <f>_xlfn.XLOOKUP(C1807, Table2[Species],Table2[Genus], "Code Not Found")</f>
        <v>Lirodendron</v>
      </c>
      <c r="M1807" t="str">
        <f>_xlfn.XLOOKUP(C1807, Table2[Species],Table2[Sp. Name], "Code Not Found")</f>
        <v>tulipfera</v>
      </c>
      <c r="N1807" t="str">
        <f>_xlfn.XLOOKUP(C1807,Table2[Species],Table2[Family],"Code Not Found")</f>
        <v>Magnoliaceae</v>
      </c>
      <c r="O1807" t="str" cm="1">
        <f t="array" ref="O1807">_xlfn.IFS(F1807="","",F1807&lt;=5,"0 to 5",F1807&lt;=10,"5.1 to 10",F1807&lt;=20,"10 to 20", F1807&lt;= 40, "20 to 40", F1807 &lt;= 50, "40 to 50", F1807 &gt; 50, "&gt;50" )</f>
        <v>0 to 5</v>
      </c>
    </row>
    <row r="1808" spans="1:15" ht="15" customHeight="1" x14ac:dyDescent="0.3">
      <c r="A1808" t="s">
        <v>351</v>
      </c>
      <c r="B1808" s="1">
        <v>46202</v>
      </c>
      <c r="C1808" t="s">
        <v>24</v>
      </c>
      <c r="D1808">
        <v>1658</v>
      </c>
      <c r="E1808">
        <v>1</v>
      </c>
      <c r="F1808">
        <v>1.5</v>
      </c>
      <c r="G1808" t="s">
        <v>359</v>
      </c>
      <c r="I1808" t="str">
        <f t="shared" si="30"/>
        <v>1658_1</v>
      </c>
      <c r="J1808" t="s">
        <v>241</v>
      </c>
      <c r="K1808" t="s">
        <v>179</v>
      </c>
      <c r="L1808" t="str">
        <f>_xlfn.XLOOKUP(C1808, Table2[Species],Table2[Genus], "Code Not Found")</f>
        <v>Lirodendron</v>
      </c>
      <c r="M1808" t="str">
        <f>_xlfn.XLOOKUP(C1808, Table2[Species],Table2[Sp. Name], "Code Not Found")</f>
        <v>tulipfera</v>
      </c>
      <c r="N1808" t="str">
        <f>_xlfn.XLOOKUP(C1808,Table2[Species],Table2[Family],"Code Not Found")</f>
        <v>Magnoliaceae</v>
      </c>
      <c r="O1808" t="str" cm="1">
        <f t="array" ref="O1808">_xlfn.IFS(F1808="","",F1808&lt;=5,"0 to 5",F1808&lt;=10,"5.1 to 10",F1808&lt;=20,"10 to 20", F1808&lt;= 40, "20 to 40", F1808 &lt;= 50, "40 to 50", F1808 &gt; 50, "&gt;50" )</f>
        <v>0 to 5</v>
      </c>
    </row>
    <row r="1809" spans="1:15" ht="15" customHeight="1" x14ac:dyDescent="0.3">
      <c r="A1809" t="s">
        <v>351</v>
      </c>
      <c r="B1809" s="1">
        <v>46202</v>
      </c>
      <c r="C1809" t="s">
        <v>24</v>
      </c>
      <c r="D1809">
        <v>1659</v>
      </c>
      <c r="E1809">
        <v>1</v>
      </c>
      <c r="F1809">
        <v>1.2</v>
      </c>
      <c r="G1809" t="s">
        <v>359</v>
      </c>
      <c r="I1809" t="str">
        <f t="shared" si="30"/>
        <v>1659_1</v>
      </c>
      <c r="J1809" t="s">
        <v>241</v>
      </c>
      <c r="K1809" t="s">
        <v>179</v>
      </c>
      <c r="L1809" t="str">
        <f>_xlfn.XLOOKUP(C1809, Table2[Species],Table2[Genus], "Code Not Found")</f>
        <v>Lirodendron</v>
      </c>
      <c r="M1809" t="str">
        <f>_xlfn.XLOOKUP(C1809, Table2[Species],Table2[Sp. Name], "Code Not Found")</f>
        <v>tulipfera</v>
      </c>
      <c r="N1809" t="str">
        <f>_xlfn.XLOOKUP(C1809,Table2[Species],Table2[Family],"Code Not Found")</f>
        <v>Magnoliaceae</v>
      </c>
      <c r="O1809" t="str" cm="1">
        <f t="array" ref="O1809">_xlfn.IFS(F1809="","",F1809&lt;=5,"0 to 5",F1809&lt;=10,"5.1 to 10",F1809&lt;=20,"10 to 20", F1809&lt;= 40, "20 to 40", F1809 &lt;= 50, "40 to 50", F1809 &gt; 50, "&gt;50" )</f>
        <v>0 to 5</v>
      </c>
    </row>
    <row r="1810" spans="1:15" ht="15" customHeight="1" x14ac:dyDescent="0.3">
      <c r="A1810" t="s">
        <v>351</v>
      </c>
      <c r="B1810" s="1">
        <v>46202</v>
      </c>
      <c r="C1810" t="s">
        <v>64</v>
      </c>
      <c r="D1810">
        <v>1660</v>
      </c>
      <c r="E1810">
        <v>1</v>
      </c>
      <c r="F1810">
        <v>59.6</v>
      </c>
      <c r="G1810" t="s">
        <v>21</v>
      </c>
      <c r="H1810" t="s">
        <v>375</v>
      </c>
      <c r="I1810" t="str">
        <f t="shared" si="30"/>
        <v>1660_1</v>
      </c>
      <c r="J1810" t="s">
        <v>241</v>
      </c>
      <c r="K1810" t="s">
        <v>179</v>
      </c>
      <c r="L1810" t="str">
        <f>_xlfn.XLOOKUP(C1810, Table2[Species],Table2[Genus], "Code Not Found")</f>
        <v>Fagus</v>
      </c>
      <c r="M1810" t="str">
        <f>_xlfn.XLOOKUP(C1810, Table2[Species],Table2[Sp. Name], "Code Not Found")</f>
        <v>grandifolia</v>
      </c>
      <c r="N1810" t="str">
        <f>_xlfn.XLOOKUP(C1810,Table2[Species],Table2[Family],"Code Not Found")</f>
        <v>Fagaceae</v>
      </c>
      <c r="O1810" t="str" cm="1">
        <f t="array" ref="O1810">_xlfn.IFS(F1810="","",F1810&lt;=5,"0 to 5",F1810&lt;=10,"5.1 to 10",F1810&lt;=20,"10 to 20", F1810&lt;= 40, "20 to 40", F1810 &lt;= 50, "40 to 50", F1810 &gt; 50, "&gt;50" )</f>
        <v>&gt;50</v>
      </c>
    </row>
    <row r="1811" spans="1:15" ht="15" customHeight="1" x14ac:dyDescent="0.3">
      <c r="A1811" t="s">
        <v>351</v>
      </c>
      <c r="B1811" s="1">
        <v>46202</v>
      </c>
      <c r="C1811" t="s">
        <v>24</v>
      </c>
      <c r="D1811">
        <v>1661</v>
      </c>
      <c r="E1811">
        <v>1</v>
      </c>
      <c r="F1811">
        <v>1.4</v>
      </c>
      <c r="G1811" t="s">
        <v>365</v>
      </c>
      <c r="I1811" t="str">
        <f t="shared" si="30"/>
        <v>1661_1</v>
      </c>
      <c r="J1811" t="s">
        <v>241</v>
      </c>
      <c r="K1811" t="s">
        <v>179</v>
      </c>
      <c r="L1811" t="str">
        <f>_xlfn.XLOOKUP(C1811, Table2[Species],Table2[Genus], "Code Not Found")</f>
        <v>Lirodendron</v>
      </c>
      <c r="M1811" t="str">
        <f>_xlfn.XLOOKUP(C1811, Table2[Species],Table2[Sp. Name], "Code Not Found")</f>
        <v>tulipfera</v>
      </c>
      <c r="N1811" t="str">
        <f>_xlfn.XLOOKUP(C1811,Table2[Species],Table2[Family],"Code Not Found")</f>
        <v>Magnoliaceae</v>
      </c>
      <c r="O1811" t="str" cm="1">
        <f t="array" ref="O1811">_xlfn.IFS(F1811="","",F1811&lt;=5,"0 to 5",F1811&lt;=10,"5.1 to 10",F1811&lt;=20,"10 to 20", F1811&lt;= 40, "20 to 40", F1811 &lt;= 50, "40 to 50", F1811 &gt; 50, "&gt;50" )</f>
        <v>0 to 5</v>
      </c>
    </row>
    <row r="1812" spans="1:15" ht="15" customHeight="1" x14ac:dyDescent="0.3">
      <c r="A1812" t="s">
        <v>351</v>
      </c>
      <c r="B1812" s="1">
        <v>46202</v>
      </c>
      <c r="C1812" t="s">
        <v>24</v>
      </c>
      <c r="D1812">
        <v>1662</v>
      </c>
      <c r="E1812">
        <v>1</v>
      </c>
      <c r="F1812">
        <v>1.3</v>
      </c>
      <c r="G1812" t="s">
        <v>30</v>
      </c>
      <c r="H1812" t="s">
        <v>374</v>
      </c>
      <c r="I1812" t="str">
        <f t="shared" si="30"/>
        <v>1662_1</v>
      </c>
      <c r="J1812" t="s">
        <v>241</v>
      </c>
      <c r="K1812" t="s">
        <v>179</v>
      </c>
      <c r="L1812" t="str">
        <f>_xlfn.XLOOKUP(C1812, Table2[Species],Table2[Genus], "Code Not Found")</f>
        <v>Lirodendron</v>
      </c>
      <c r="M1812" t="str">
        <f>_xlfn.XLOOKUP(C1812, Table2[Species],Table2[Sp. Name], "Code Not Found")</f>
        <v>tulipfera</v>
      </c>
      <c r="N1812" t="str">
        <f>_xlfn.XLOOKUP(C1812,Table2[Species],Table2[Family],"Code Not Found")</f>
        <v>Magnoliaceae</v>
      </c>
      <c r="O1812" t="str" cm="1">
        <f t="array" ref="O1812">_xlfn.IFS(F1812="","",F1812&lt;=5,"0 to 5",F1812&lt;=10,"5.1 to 10",F1812&lt;=20,"10 to 20", F1812&lt;= 40, "20 to 40", F1812 &lt;= 50, "40 to 50", F1812 &gt; 50, "&gt;50" )</f>
        <v>0 to 5</v>
      </c>
    </row>
    <row r="1813" spans="1:15" ht="15" customHeight="1" x14ac:dyDescent="0.3">
      <c r="A1813" t="s">
        <v>351</v>
      </c>
      <c r="B1813" s="1">
        <v>46202</v>
      </c>
      <c r="C1813" t="s">
        <v>24</v>
      </c>
      <c r="D1813">
        <v>1663</v>
      </c>
      <c r="E1813">
        <v>1</v>
      </c>
      <c r="F1813">
        <v>1.2</v>
      </c>
      <c r="G1813" t="s">
        <v>359</v>
      </c>
      <c r="I1813" t="str">
        <f t="shared" si="30"/>
        <v>1663_1</v>
      </c>
      <c r="J1813" t="s">
        <v>241</v>
      </c>
      <c r="K1813" t="s">
        <v>179</v>
      </c>
      <c r="L1813" t="str">
        <f>_xlfn.XLOOKUP(C1813, Table2[Species],Table2[Genus], "Code Not Found")</f>
        <v>Lirodendron</v>
      </c>
      <c r="M1813" t="str">
        <f>_xlfn.XLOOKUP(C1813, Table2[Species],Table2[Sp. Name], "Code Not Found")</f>
        <v>tulipfera</v>
      </c>
      <c r="N1813" t="str">
        <f>_xlfn.XLOOKUP(C1813,Table2[Species],Table2[Family],"Code Not Found")</f>
        <v>Magnoliaceae</v>
      </c>
      <c r="O1813" t="str" cm="1">
        <f t="array" ref="O1813">_xlfn.IFS(F1813="","",F1813&lt;=5,"0 to 5",F1813&lt;=10,"5.1 to 10",F1813&lt;=20,"10 to 20", F1813&lt;= 40, "20 to 40", F1813 &lt;= 50, "40 to 50", F1813 &gt; 50, "&gt;50" )</f>
        <v>0 to 5</v>
      </c>
    </row>
    <row r="1814" spans="1:15" ht="15" customHeight="1" x14ac:dyDescent="0.3">
      <c r="A1814" t="s">
        <v>351</v>
      </c>
      <c r="B1814" s="1">
        <v>46202</v>
      </c>
      <c r="C1814" t="s">
        <v>24</v>
      </c>
      <c r="D1814">
        <v>1664</v>
      </c>
      <c r="E1814">
        <v>1</v>
      </c>
      <c r="F1814">
        <v>1.1000000000000001</v>
      </c>
      <c r="G1814" t="s">
        <v>365</v>
      </c>
      <c r="H1814" t="s">
        <v>296</v>
      </c>
      <c r="I1814" t="str">
        <f t="shared" si="30"/>
        <v>1664_1</v>
      </c>
      <c r="J1814" t="s">
        <v>241</v>
      </c>
      <c r="K1814" t="s">
        <v>179</v>
      </c>
      <c r="L1814" t="str">
        <f>_xlfn.XLOOKUP(C1814, Table2[Species],Table2[Genus], "Code Not Found")</f>
        <v>Lirodendron</v>
      </c>
      <c r="M1814" t="str">
        <f>_xlfn.XLOOKUP(C1814, Table2[Species],Table2[Sp. Name], "Code Not Found")</f>
        <v>tulipfera</v>
      </c>
      <c r="N1814" t="str">
        <f>_xlfn.XLOOKUP(C1814,Table2[Species],Table2[Family],"Code Not Found")</f>
        <v>Magnoliaceae</v>
      </c>
      <c r="O1814" t="str" cm="1">
        <f t="array" ref="O1814">_xlfn.IFS(F1814="","",F1814&lt;=5,"0 to 5",F1814&lt;=10,"5.1 to 10",F1814&lt;=20,"10 to 20", F1814&lt;= 40, "20 to 40", F1814 &lt;= 50, "40 to 50", F1814 &gt; 50, "&gt;50" )</f>
        <v>0 to 5</v>
      </c>
    </row>
    <row r="1815" spans="1:15" ht="15" customHeight="1" x14ac:dyDescent="0.3">
      <c r="A1815" t="s">
        <v>351</v>
      </c>
      <c r="B1815" s="1">
        <v>46202</v>
      </c>
      <c r="C1815" t="s">
        <v>24</v>
      </c>
      <c r="D1815">
        <v>1665</v>
      </c>
      <c r="E1815">
        <v>1</v>
      </c>
      <c r="F1815">
        <v>2</v>
      </c>
      <c r="G1815" t="s">
        <v>376</v>
      </c>
      <c r="H1815" t="s">
        <v>377</v>
      </c>
      <c r="I1815" t="str">
        <f t="shared" si="30"/>
        <v>1665_1</v>
      </c>
      <c r="J1815" t="s">
        <v>241</v>
      </c>
      <c r="K1815" t="s">
        <v>179</v>
      </c>
      <c r="L1815" t="str">
        <f>_xlfn.XLOOKUP(C1815, Table2[Species],Table2[Genus], "Code Not Found")</f>
        <v>Lirodendron</v>
      </c>
      <c r="M1815" t="str">
        <f>_xlfn.XLOOKUP(C1815, Table2[Species],Table2[Sp. Name], "Code Not Found")</f>
        <v>tulipfera</v>
      </c>
      <c r="N1815" t="str">
        <f>_xlfn.XLOOKUP(C1815,Table2[Species],Table2[Family],"Code Not Found")</f>
        <v>Magnoliaceae</v>
      </c>
      <c r="O1815" t="str" cm="1">
        <f t="array" ref="O1815">_xlfn.IFS(F1815="","",F1815&lt;=5,"0 to 5",F1815&lt;=10,"5.1 to 10",F1815&lt;=20,"10 to 20", F1815&lt;= 40, "20 to 40", F1815 &lt;= 50, "40 to 50", F1815 &gt; 50, "&gt;50" )</f>
        <v>0 to 5</v>
      </c>
    </row>
    <row r="1816" spans="1:15" ht="15" customHeight="1" x14ac:dyDescent="0.3">
      <c r="A1816" t="s">
        <v>351</v>
      </c>
      <c r="B1816" s="1">
        <v>46202</v>
      </c>
      <c r="C1816" t="s">
        <v>64</v>
      </c>
      <c r="D1816">
        <v>1666</v>
      </c>
      <c r="E1816">
        <v>1</v>
      </c>
      <c r="F1816">
        <v>41.3</v>
      </c>
      <c r="G1816" t="s">
        <v>103</v>
      </c>
      <c r="H1816" t="s">
        <v>378</v>
      </c>
      <c r="I1816" t="str">
        <f t="shared" si="30"/>
        <v>1666_1</v>
      </c>
      <c r="J1816" t="s">
        <v>241</v>
      </c>
      <c r="K1816" t="s">
        <v>179</v>
      </c>
      <c r="L1816" t="str">
        <f>_xlfn.XLOOKUP(C1816, Table2[Species],Table2[Genus], "Code Not Found")</f>
        <v>Fagus</v>
      </c>
      <c r="M1816" t="str">
        <f>_xlfn.XLOOKUP(C1816, Table2[Species],Table2[Sp. Name], "Code Not Found")</f>
        <v>grandifolia</v>
      </c>
      <c r="N1816" t="str">
        <f>_xlfn.XLOOKUP(C1816,Table2[Species],Table2[Family],"Code Not Found")</f>
        <v>Fagaceae</v>
      </c>
      <c r="O1816" t="str" cm="1">
        <f t="array" ref="O1816">_xlfn.IFS(F1816="","",F1816&lt;=5,"0 to 5",F1816&lt;=10,"5.1 to 10",F1816&lt;=20,"10 to 20", F1816&lt;= 40, "20 to 40", F1816 &lt;= 50, "40 to 50", F1816 &gt; 50, "&gt;50" )</f>
        <v>40 to 50</v>
      </c>
    </row>
    <row r="1817" spans="1:15" ht="15" customHeight="1" x14ac:dyDescent="0.3">
      <c r="A1817" t="s">
        <v>351</v>
      </c>
      <c r="B1817" s="1">
        <v>46202</v>
      </c>
      <c r="C1817" t="s">
        <v>24</v>
      </c>
      <c r="D1817">
        <v>1667</v>
      </c>
      <c r="E1817">
        <v>1</v>
      </c>
      <c r="F1817">
        <v>1.3</v>
      </c>
      <c r="G1817" t="s">
        <v>376</v>
      </c>
      <c r="H1817" t="s">
        <v>372</v>
      </c>
      <c r="I1817" t="str">
        <f t="shared" si="30"/>
        <v>1667_1</v>
      </c>
      <c r="J1817" t="s">
        <v>241</v>
      </c>
      <c r="K1817" t="s">
        <v>179</v>
      </c>
      <c r="L1817" t="str">
        <f>_xlfn.XLOOKUP(C1817, Table2[Species],Table2[Genus], "Code Not Found")</f>
        <v>Lirodendron</v>
      </c>
      <c r="M1817" t="str">
        <f>_xlfn.XLOOKUP(C1817, Table2[Species],Table2[Sp. Name], "Code Not Found")</f>
        <v>tulipfera</v>
      </c>
      <c r="N1817" t="str">
        <f>_xlfn.XLOOKUP(C1817,Table2[Species],Table2[Family],"Code Not Found")</f>
        <v>Magnoliaceae</v>
      </c>
      <c r="O1817" t="str" cm="1">
        <f t="array" ref="O1817">_xlfn.IFS(F1817="","",F1817&lt;=5,"0 to 5",F1817&lt;=10,"5.1 to 10",F1817&lt;=20,"10 to 20", F1817&lt;= 40, "20 to 40", F1817 &lt;= 50, "40 to 50", F1817 &gt; 50, "&gt;50" )</f>
        <v>0 to 5</v>
      </c>
    </row>
    <row r="1818" spans="1:15" ht="15" customHeight="1" x14ac:dyDescent="0.3">
      <c r="A1818" t="s">
        <v>351</v>
      </c>
      <c r="B1818" s="1">
        <v>46202</v>
      </c>
      <c r="C1818" t="s">
        <v>24</v>
      </c>
      <c r="D1818">
        <v>1668</v>
      </c>
      <c r="E1818">
        <v>1</v>
      </c>
      <c r="F1818">
        <v>1.5</v>
      </c>
      <c r="G1818" t="s">
        <v>359</v>
      </c>
      <c r="I1818" t="str">
        <f t="shared" si="30"/>
        <v>1668_1</v>
      </c>
      <c r="J1818" t="s">
        <v>241</v>
      </c>
      <c r="K1818" t="s">
        <v>179</v>
      </c>
      <c r="L1818" t="str">
        <f>_xlfn.XLOOKUP(C1818, Table2[Species],Table2[Genus], "Code Not Found")</f>
        <v>Lirodendron</v>
      </c>
      <c r="M1818" t="str">
        <f>_xlfn.XLOOKUP(C1818, Table2[Species],Table2[Sp. Name], "Code Not Found")</f>
        <v>tulipfera</v>
      </c>
      <c r="N1818" t="str">
        <f>_xlfn.XLOOKUP(C1818,Table2[Species],Table2[Family],"Code Not Found")</f>
        <v>Magnoliaceae</v>
      </c>
      <c r="O1818" t="str" cm="1">
        <f t="array" ref="O1818">_xlfn.IFS(F1818="","",F1818&lt;=5,"0 to 5",F1818&lt;=10,"5.1 to 10",F1818&lt;=20,"10 to 20", F1818&lt;= 40, "20 to 40", F1818 &lt;= 50, "40 to 50", F1818 &gt; 50, "&gt;50" )</f>
        <v>0 to 5</v>
      </c>
    </row>
    <row r="1819" spans="1:15" ht="15" customHeight="1" x14ac:dyDescent="0.3">
      <c r="A1819" t="s">
        <v>351</v>
      </c>
      <c r="B1819" s="1">
        <v>46202</v>
      </c>
      <c r="C1819" t="s">
        <v>24</v>
      </c>
      <c r="D1819">
        <v>1669</v>
      </c>
      <c r="E1819">
        <v>1</v>
      </c>
      <c r="F1819">
        <v>1.1000000000000001</v>
      </c>
      <c r="G1819" t="s">
        <v>359</v>
      </c>
      <c r="I1819" t="str">
        <f t="shared" si="30"/>
        <v>1669_1</v>
      </c>
      <c r="J1819" t="s">
        <v>241</v>
      </c>
      <c r="K1819" t="s">
        <v>179</v>
      </c>
      <c r="L1819" t="str">
        <f>_xlfn.XLOOKUP(C1819, Table2[Species],Table2[Genus], "Code Not Found")</f>
        <v>Lirodendron</v>
      </c>
      <c r="M1819" t="str">
        <f>_xlfn.XLOOKUP(C1819, Table2[Species],Table2[Sp. Name], "Code Not Found")</f>
        <v>tulipfera</v>
      </c>
      <c r="N1819" t="str">
        <f>_xlfn.XLOOKUP(C1819,Table2[Species],Table2[Family],"Code Not Found")</f>
        <v>Magnoliaceae</v>
      </c>
      <c r="O1819" t="str" cm="1">
        <f t="array" ref="O1819">_xlfn.IFS(F1819="","",F1819&lt;=5,"0 to 5",F1819&lt;=10,"5.1 to 10",F1819&lt;=20,"10 to 20", F1819&lt;= 40, "20 to 40", F1819 &lt;= 50, "40 to 50", F1819 &gt; 50, "&gt;50" )</f>
        <v>0 to 5</v>
      </c>
    </row>
    <row r="1820" spans="1:15" ht="15" customHeight="1" x14ac:dyDescent="0.3">
      <c r="A1820" t="s">
        <v>351</v>
      </c>
      <c r="B1820" s="1">
        <v>46202</v>
      </c>
      <c r="C1820" t="s">
        <v>24</v>
      </c>
      <c r="D1820">
        <v>1670</v>
      </c>
      <c r="E1820">
        <v>1</v>
      </c>
      <c r="F1820">
        <v>1.1000000000000001</v>
      </c>
      <c r="G1820" t="s">
        <v>359</v>
      </c>
      <c r="I1820" t="str">
        <f t="shared" si="30"/>
        <v>1670_1</v>
      </c>
      <c r="J1820" t="s">
        <v>241</v>
      </c>
      <c r="K1820" t="s">
        <v>179</v>
      </c>
      <c r="L1820" t="str">
        <f>_xlfn.XLOOKUP(C1820, Table2[Species],Table2[Genus], "Code Not Found")</f>
        <v>Lirodendron</v>
      </c>
      <c r="M1820" t="str">
        <f>_xlfn.XLOOKUP(C1820, Table2[Species],Table2[Sp. Name], "Code Not Found")</f>
        <v>tulipfera</v>
      </c>
      <c r="N1820" t="str">
        <f>_xlfn.XLOOKUP(C1820,Table2[Species],Table2[Family],"Code Not Found")</f>
        <v>Magnoliaceae</v>
      </c>
      <c r="O1820" t="str" cm="1">
        <f t="array" ref="O1820">_xlfn.IFS(F1820="","",F1820&lt;=5,"0 to 5",F1820&lt;=10,"5.1 to 10",F1820&lt;=20,"10 to 20", F1820&lt;= 40, "20 to 40", F1820 &lt;= 50, "40 to 50", F1820 &gt; 50, "&gt;50" )</f>
        <v>0 to 5</v>
      </c>
    </row>
    <row r="1821" spans="1:15" ht="15" customHeight="1" x14ac:dyDescent="0.3">
      <c r="A1821" t="s">
        <v>351</v>
      </c>
      <c r="B1821" s="1">
        <v>46202</v>
      </c>
      <c r="C1821" t="s">
        <v>64</v>
      </c>
      <c r="D1821">
        <v>1671</v>
      </c>
      <c r="E1821">
        <v>1</v>
      </c>
      <c r="F1821">
        <v>1.2</v>
      </c>
      <c r="G1821" t="s">
        <v>21</v>
      </c>
      <c r="H1821" t="s">
        <v>379</v>
      </c>
      <c r="I1821" t="str">
        <f t="shared" si="30"/>
        <v>1671_1</v>
      </c>
      <c r="J1821" t="s">
        <v>241</v>
      </c>
      <c r="K1821" t="s">
        <v>179</v>
      </c>
      <c r="L1821" t="str">
        <f>_xlfn.XLOOKUP(C1821, Table2[Species],Table2[Genus], "Code Not Found")</f>
        <v>Fagus</v>
      </c>
      <c r="M1821" t="str">
        <f>_xlfn.XLOOKUP(C1821, Table2[Species],Table2[Sp. Name], "Code Not Found")</f>
        <v>grandifolia</v>
      </c>
      <c r="N1821" t="str">
        <f>_xlfn.XLOOKUP(C1821,Table2[Species],Table2[Family],"Code Not Found")</f>
        <v>Fagaceae</v>
      </c>
      <c r="O1821" t="str" cm="1">
        <f t="array" ref="O1821">_xlfn.IFS(F1821="","",F1821&lt;=5,"0 to 5",F1821&lt;=10,"5.1 to 10",F1821&lt;=20,"10 to 20", F1821&lt;= 40, "20 to 40", F1821 &lt;= 50, "40 to 50", F1821 &gt; 50, "&gt;50" )</f>
        <v>0 to 5</v>
      </c>
    </row>
    <row r="1822" spans="1:15" ht="15" customHeight="1" x14ac:dyDescent="0.3">
      <c r="A1822" t="s">
        <v>351</v>
      </c>
      <c r="B1822" s="1">
        <v>46202</v>
      </c>
      <c r="C1822" t="s">
        <v>16</v>
      </c>
      <c r="D1822">
        <v>1672</v>
      </c>
      <c r="E1822">
        <v>1</v>
      </c>
      <c r="F1822">
        <v>14.6</v>
      </c>
      <c r="G1822" t="s">
        <v>30</v>
      </c>
      <c r="H1822" t="s">
        <v>380</v>
      </c>
      <c r="I1822" t="str">
        <f t="shared" si="30"/>
        <v>1672_1</v>
      </c>
      <c r="J1822" t="s">
        <v>241</v>
      </c>
      <c r="K1822" t="s">
        <v>179</v>
      </c>
      <c r="L1822" t="str">
        <f>_xlfn.XLOOKUP(C1822, Table2[Species],Table2[Genus], "Code Not Found")</f>
        <v>Acer</v>
      </c>
      <c r="M1822" t="str">
        <f>_xlfn.XLOOKUP(C1822, Table2[Species],Table2[Sp. Name], "Code Not Found")</f>
        <v>saccharum</v>
      </c>
      <c r="N1822" t="str">
        <f>_xlfn.XLOOKUP(C1822,Table2[Species],Table2[Family],"Code Not Found")</f>
        <v>Sapindaceae</v>
      </c>
      <c r="O1822" t="str" cm="1">
        <f t="array" ref="O1822">_xlfn.IFS(F1822="","",F1822&lt;=5,"0 to 5",F1822&lt;=10,"5.1 to 10",F1822&lt;=20,"10 to 20", F1822&lt;= 40, "20 to 40", F1822 &lt;= 50, "40 to 50", F1822 &gt; 50, "&gt;50" )</f>
        <v>10 to 20</v>
      </c>
    </row>
    <row r="1823" spans="1:15" ht="15" customHeight="1" x14ac:dyDescent="0.3">
      <c r="A1823" t="s">
        <v>351</v>
      </c>
      <c r="B1823" s="1">
        <v>46202</v>
      </c>
      <c r="C1823" t="s">
        <v>16</v>
      </c>
      <c r="D1823">
        <v>1673</v>
      </c>
      <c r="E1823">
        <v>1</v>
      </c>
      <c r="F1823">
        <v>4.5</v>
      </c>
      <c r="G1823" t="s">
        <v>17</v>
      </c>
      <c r="H1823" t="s">
        <v>36</v>
      </c>
      <c r="I1823" t="str">
        <f t="shared" si="30"/>
        <v>1673_1</v>
      </c>
      <c r="J1823" t="s">
        <v>241</v>
      </c>
      <c r="K1823" t="s">
        <v>179</v>
      </c>
      <c r="L1823" t="str">
        <f>_xlfn.XLOOKUP(C1823, Table2[Species],Table2[Genus], "Code Not Found")</f>
        <v>Acer</v>
      </c>
      <c r="M1823" t="str">
        <f>_xlfn.XLOOKUP(C1823, Table2[Species],Table2[Sp. Name], "Code Not Found")</f>
        <v>saccharum</v>
      </c>
      <c r="N1823" t="str">
        <f>_xlfn.XLOOKUP(C1823,Table2[Species],Table2[Family],"Code Not Found")</f>
        <v>Sapindaceae</v>
      </c>
      <c r="O1823" t="str" cm="1">
        <f t="array" ref="O1823">_xlfn.IFS(F1823="","",F1823&lt;=5,"0 to 5",F1823&lt;=10,"5.1 to 10",F1823&lt;=20,"10 to 20", F1823&lt;= 40, "20 to 40", F1823 &lt;= 50, "40 to 50", F1823 &gt; 50, "&gt;50" )</f>
        <v>0 to 5</v>
      </c>
    </row>
    <row r="1824" spans="1:15" ht="15" customHeight="1" x14ac:dyDescent="0.3">
      <c r="A1824" t="s">
        <v>351</v>
      </c>
      <c r="B1824" s="1">
        <v>46202</v>
      </c>
      <c r="C1824" t="s">
        <v>16</v>
      </c>
      <c r="D1824">
        <v>1674</v>
      </c>
      <c r="E1824">
        <v>1</v>
      </c>
      <c r="F1824">
        <v>3.5</v>
      </c>
      <c r="G1824" t="s">
        <v>17</v>
      </c>
      <c r="I1824" t="str">
        <f t="shared" si="30"/>
        <v>1674_1</v>
      </c>
      <c r="J1824" t="s">
        <v>241</v>
      </c>
      <c r="K1824" t="s">
        <v>179</v>
      </c>
      <c r="L1824" t="str">
        <f>_xlfn.XLOOKUP(C1824, Table2[Species],Table2[Genus], "Code Not Found")</f>
        <v>Acer</v>
      </c>
      <c r="M1824" t="str">
        <f>_xlfn.XLOOKUP(C1824, Table2[Species],Table2[Sp. Name], "Code Not Found")</f>
        <v>saccharum</v>
      </c>
      <c r="N1824" t="str">
        <f>_xlfn.XLOOKUP(C1824,Table2[Species],Table2[Family],"Code Not Found")</f>
        <v>Sapindaceae</v>
      </c>
      <c r="O1824" t="str" cm="1">
        <f t="array" ref="O1824">_xlfn.IFS(F1824="","",F1824&lt;=5,"0 to 5",F1824&lt;=10,"5.1 to 10",F1824&lt;=20,"10 to 20", F1824&lt;= 40, "20 to 40", F1824 &lt;= 50, "40 to 50", F1824 &gt; 50, "&gt;50" )</f>
        <v>0 to 5</v>
      </c>
    </row>
    <row r="1825" spans="1:15" ht="15" customHeight="1" x14ac:dyDescent="0.3">
      <c r="A1825" t="s">
        <v>351</v>
      </c>
      <c r="B1825" s="1">
        <v>46202</v>
      </c>
      <c r="C1825" t="s">
        <v>55</v>
      </c>
      <c r="D1825">
        <v>1675</v>
      </c>
      <c r="E1825">
        <v>1</v>
      </c>
      <c r="F1825">
        <v>30.8</v>
      </c>
      <c r="G1825" t="s">
        <v>17</v>
      </c>
      <c r="I1825" t="str">
        <f t="shared" si="30"/>
        <v>1675_1</v>
      </c>
      <c r="J1825" t="s">
        <v>241</v>
      </c>
      <c r="K1825" t="s">
        <v>179</v>
      </c>
      <c r="L1825" t="str">
        <f>_xlfn.XLOOKUP(C1825, Table2[Species],Table2[Genus], "Code Not Found")</f>
        <v>Magnolia</v>
      </c>
      <c r="M1825" t="str">
        <f>_xlfn.XLOOKUP(C1825, Table2[Species],Table2[Sp. Name], "Code Not Found")</f>
        <v>acuminata</v>
      </c>
      <c r="N1825" t="str">
        <f>_xlfn.XLOOKUP(C1825,Table2[Species],Table2[Family],"Code Not Found")</f>
        <v>Magnoliaceae</v>
      </c>
      <c r="O1825" t="str" cm="1">
        <f t="array" ref="O1825">_xlfn.IFS(F1825="","",F1825&lt;=5,"0 to 5",F1825&lt;=10,"5.1 to 10",F1825&lt;=20,"10 to 20", F1825&lt;= 40, "20 to 40", F1825 &lt;= 50, "40 to 50", F1825 &gt; 50, "&gt;50" )</f>
        <v>20 to 40</v>
      </c>
    </row>
    <row r="1826" spans="1:15" ht="15" customHeight="1" x14ac:dyDescent="0.3">
      <c r="A1826" t="s">
        <v>351</v>
      </c>
      <c r="B1826" s="1">
        <v>46202</v>
      </c>
      <c r="C1826" t="s">
        <v>24</v>
      </c>
      <c r="D1826">
        <v>1676</v>
      </c>
      <c r="E1826">
        <v>1</v>
      </c>
      <c r="F1826">
        <v>35.299999999999997</v>
      </c>
      <c r="G1826" t="s">
        <v>17</v>
      </c>
      <c r="I1826" t="str">
        <f t="shared" si="30"/>
        <v>1676_1</v>
      </c>
      <c r="J1826" t="s">
        <v>241</v>
      </c>
      <c r="K1826" t="s">
        <v>179</v>
      </c>
      <c r="L1826" t="str">
        <f>_xlfn.XLOOKUP(C1826, Table2[Species],Table2[Genus], "Code Not Found")</f>
        <v>Lirodendron</v>
      </c>
      <c r="M1826" t="str">
        <f>_xlfn.XLOOKUP(C1826, Table2[Species],Table2[Sp. Name], "Code Not Found")</f>
        <v>tulipfera</v>
      </c>
      <c r="N1826" t="str">
        <f>_xlfn.XLOOKUP(C1826,Table2[Species],Table2[Family],"Code Not Found")</f>
        <v>Magnoliaceae</v>
      </c>
      <c r="O1826" t="str" cm="1">
        <f t="array" ref="O1826">_xlfn.IFS(F1826="","",F1826&lt;=5,"0 to 5",F1826&lt;=10,"5.1 to 10",F1826&lt;=20,"10 to 20", F1826&lt;= 40, "20 to 40", F1826 &lt;= 50, "40 to 50", F1826 &gt; 50, "&gt;50" )</f>
        <v>20 to 40</v>
      </c>
    </row>
    <row r="1827" spans="1:15" ht="15" customHeight="1" x14ac:dyDescent="0.3">
      <c r="A1827" t="s">
        <v>351</v>
      </c>
      <c r="B1827" s="1">
        <v>46202</v>
      </c>
      <c r="C1827" t="s">
        <v>16</v>
      </c>
      <c r="D1827">
        <v>1677</v>
      </c>
      <c r="E1827">
        <v>1</v>
      </c>
      <c r="F1827">
        <v>2.5</v>
      </c>
      <c r="G1827" t="s">
        <v>381</v>
      </c>
      <c r="H1827" t="s">
        <v>382</v>
      </c>
      <c r="I1827" t="str">
        <f t="shared" ref="I1827:I1890" si="31">D1827&amp;"_"&amp;E1827</f>
        <v>1677_1</v>
      </c>
      <c r="J1827" t="s">
        <v>241</v>
      </c>
      <c r="K1827" t="s">
        <v>179</v>
      </c>
      <c r="L1827" t="str">
        <f>_xlfn.XLOOKUP(C1827, Table2[Species],Table2[Genus], "Code Not Found")</f>
        <v>Acer</v>
      </c>
      <c r="M1827" t="str">
        <f>_xlfn.XLOOKUP(C1827, Table2[Species],Table2[Sp. Name], "Code Not Found")</f>
        <v>saccharum</v>
      </c>
      <c r="N1827" t="str">
        <f>_xlfn.XLOOKUP(C1827,Table2[Species],Table2[Family],"Code Not Found")</f>
        <v>Sapindaceae</v>
      </c>
      <c r="O1827" t="str" cm="1">
        <f t="array" ref="O1827">_xlfn.IFS(F1827="","",F1827&lt;=5,"0 to 5",F1827&lt;=10,"5.1 to 10",F1827&lt;=20,"10 to 20", F1827&lt;= 40, "20 to 40", F1827 &lt;= 50, "40 to 50", F1827 &gt; 50, "&gt;50" )</f>
        <v>0 to 5</v>
      </c>
    </row>
    <row r="1828" spans="1:15" ht="15" customHeight="1" x14ac:dyDescent="0.3">
      <c r="A1828" t="s">
        <v>351</v>
      </c>
      <c r="B1828" s="1">
        <v>46202</v>
      </c>
      <c r="C1828" t="s">
        <v>24</v>
      </c>
      <c r="D1828">
        <v>1678</v>
      </c>
      <c r="E1828">
        <v>1</v>
      </c>
      <c r="F1828">
        <v>22.7</v>
      </c>
      <c r="G1828" t="s">
        <v>21</v>
      </c>
      <c r="I1828" t="str">
        <f t="shared" si="31"/>
        <v>1678_1</v>
      </c>
      <c r="J1828" t="s">
        <v>241</v>
      </c>
      <c r="K1828" t="s">
        <v>179</v>
      </c>
      <c r="L1828" t="str">
        <f>_xlfn.XLOOKUP(C1828, Table2[Species],Table2[Genus], "Code Not Found")</f>
        <v>Lirodendron</v>
      </c>
      <c r="M1828" t="str">
        <f>_xlfn.XLOOKUP(C1828, Table2[Species],Table2[Sp. Name], "Code Not Found")</f>
        <v>tulipfera</v>
      </c>
      <c r="N1828" t="str">
        <f>_xlfn.XLOOKUP(C1828,Table2[Species],Table2[Family],"Code Not Found")</f>
        <v>Magnoliaceae</v>
      </c>
      <c r="O1828" t="str" cm="1">
        <f t="array" ref="O1828">_xlfn.IFS(F1828="","",F1828&lt;=5,"0 to 5",F1828&lt;=10,"5.1 to 10",F1828&lt;=20,"10 to 20", F1828&lt;= 40, "20 to 40", F1828 &lt;= 50, "40 to 50", F1828 &gt; 50, "&gt;50" )</f>
        <v>20 to 40</v>
      </c>
    </row>
    <row r="1829" spans="1:15" ht="15" customHeight="1" x14ac:dyDescent="0.3">
      <c r="A1829" t="s">
        <v>351</v>
      </c>
      <c r="B1829" s="1">
        <v>46202</v>
      </c>
      <c r="C1829" t="s">
        <v>16</v>
      </c>
      <c r="D1829">
        <v>1679</v>
      </c>
      <c r="E1829">
        <v>1</v>
      </c>
      <c r="F1829">
        <v>3.2</v>
      </c>
      <c r="G1829" t="s">
        <v>368</v>
      </c>
      <c r="I1829" t="str">
        <f t="shared" si="31"/>
        <v>1679_1</v>
      </c>
      <c r="J1829" t="s">
        <v>241</v>
      </c>
      <c r="K1829" t="s">
        <v>179</v>
      </c>
      <c r="L1829" t="str">
        <f>_xlfn.XLOOKUP(C1829, Table2[Species],Table2[Genus], "Code Not Found")</f>
        <v>Acer</v>
      </c>
      <c r="M1829" t="str">
        <f>_xlfn.XLOOKUP(C1829, Table2[Species],Table2[Sp. Name], "Code Not Found")</f>
        <v>saccharum</v>
      </c>
      <c r="N1829" t="str">
        <f>_xlfn.XLOOKUP(C1829,Table2[Species],Table2[Family],"Code Not Found")</f>
        <v>Sapindaceae</v>
      </c>
      <c r="O1829" t="str" cm="1">
        <f t="array" ref="O1829">_xlfn.IFS(F1829="","",F1829&lt;=5,"0 to 5",F1829&lt;=10,"5.1 to 10",F1829&lt;=20,"10 to 20", F1829&lt;= 40, "20 to 40", F1829 &lt;= 50, "40 to 50", F1829 &gt; 50, "&gt;50" )</f>
        <v>0 to 5</v>
      </c>
    </row>
    <row r="1830" spans="1:15" ht="15" customHeight="1" x14ac:dyDescent="0.3">
      <c r="A1830" t="s">
        <v>351</v>
      </c>
      <c r="B1830" s="1">
        <v>46202</v>
      </c>
      <c r="C1830" t="s">
        <v>16</v>
      </c>
      <c r="D1830">
        <v>1680</v>
      </c>
      <c r="E1830">
        <v>1</v>
      </c>
      <c r="F1830">
        <v>10.7</v>
      </c>
      <c r="G1830" t="s">
        <v>21</v>
      </c>
      <c r="I1830" t="str">
        <f t="shared" si="31"/>
        <v>1680_1</v>
      </c>
      <c r="J1830" t="s">
        <v>241</v>
      </c>
      <c r="K1830" t="s">
        <v>179</v>
      </c>
      <c r="L1830" t="str">
        <f>_xlfn.XLOOKUP(C1830, Table2[Species],Table2[Genus], "Code Not Found")</f>
        <v>Acer</v>
      </c>
      <c r="M1830" t="str">
        <f>_xlfn.XLOOKUP(C1830, Table2[Species],Table2[Sp. Name], "Code Not Found")</f>
        <v>saccharum</v>
      </c>
      <c r="N1830" t="str">
        <f>_xlfn.XLOOKUP(C1830,Table2[Species],Table2[Family],"Code Not Found")</f>
        <v>Sapindaceae</v>
      </c>
      <c r="O1830" t="str" cm="1">
        <f t="array" ref="O1830">_xlfn.IFS(F1830="","",F1830&lt;=5,"0 to 5",F1830&lt;=10,"5.1 to 10",F1830&lt;=20,"10 to 20", F1830&lt;= 40, "20 to 40", F1830 &lt;= 50, "40 to 50", F1830 &gt; 50, "&gt;50" )</f>
        <v>10 to 20</v>
      </c>
    </row>
    <row r="1831" spans="1:15" ht="15" customHeight="1" x14ac:dyDescent="0.3">
      <c r="A1831" t="s">
        <v>351</v>
      </c>
      <c r="B1831" s="1">
        <v>46202</v>
      </c>
      <c r="C1831" t="s">
        <v>16</v>
      </c>
      <c r="D1831">
        <v>1681</v>
      </c>
      <c r="E1831">
        <v>1</v>
      </c>
      <c r="F1831">
        <v>11.2</v>
      </c>
      <c r="G1831" t="s">
        <v>17</v>
      </c>
      <c r="H1831" t="s">
        <v>36</v>
      </c>
      <c r="I1831" t="str">
        <f t="shared" si="31"/>
        <v>1681_1</v>
      </c>
      <c r="J1831" t="s">
        <v>241</v>
      </c>
      <c r="K1831" t="s">
        <v>179</v>
      </c>
      <c r="L1831" t="str">
        <f>_xlfn.XLOOKUP(C1831, Table2[Species],Table2[Genus], "Code Not Found")</f>
        <v>Acer</v>
      </c>
      <c r="M1831" t="str">
        <f>_xlfn.XLOOKUP(C1831, Table2[Species],Table2[Sp. Name], "Code Not Found")</f>
        <v>saccharum</v>
      </c>
      <c r="N1831" t="str">
        <f>_xlfn.XLOOKUP(C1831,Table2[Species],Table2[Family],"Code Not Found")</f>
        <v>Sapindaceae</v>
      </c>
      <c r="O1831" t="str" cm="1">
        <f t="array" ref="O1831">_xlfn.IFS(F1831="","",F1831&lt;=5,"0 to 5",F1831&lt;=10,"5.1 to 10",F1831&lt;=20,"10 to 20", F1831&lt;= 40, "20 to 40", F1831 &lt;= 50, "40 to 50", F1831 &gt; 50, "&gt;50" )</f>
        <v>10 to 20</v>
      </c>
    </row>
    <row r="1832" spans="1:15" ht="15" customHeight="1" x14ac:dyDescent="0.3">
      <c r="A1832" t="s">
        <v>351</v>
      </c>
      <c r="B1832" s="1">
        <v>46202</v>
      </c>
      <c r="C1832" t="s">
        <v>16</v>
      </c>
      <c r="D1832">
        <v>1682</v>
      </c>
      <c r="E1832">
        <v>1</v>
      </c>
      <c r="F1832">
        <v>6.5</v>
      </c>
      <c r="G1832" t="s">
        <v>17</v>
      </c>
      <c r="H1832" t="s">
        <v>36</v>
      </c>
      <c r="I1832" t="str">
        <f t="shared" si="31"/>
        <v>1682_1</v>
      </c>
      <c r="J1832" t="s">
        <v>241</v>
      </c>
      <c r="K1832" t="s">
        <v>179</v>
      </c>
      <c r="L1832" t="str">
        <f>_xlfn.XLOOKUP(C1832, Table2[Species],Table2[Genus], "Code Not Found")</f>
        <v>Acer</v>
      </c>
      <c r="M1832" t="str">
        <f>_xlfn.XLOOKUP(C1832, Table2[Species],Table2[Sp. Name], "Code Not Found")</f>
        <v>saccharum</v>
      </c>
      <c r="N1832" t="str">
        <f>_xlfn.XLOOKUP(C1832,Table2[Species],Table2[Family],"Code Not Found")</f>
        <v>Sapindaceae</v>
      </c>
      <c r="O1832" t="str" cm="1">
        <f t="array" ref="O1832">_xlfn.IFS(F1832="","",F1832&lt;=5,"0 to 5",F1832&lt;=10,"5.1 to 10",F1832&lt;=20,"10 to 20", F1832&lt;= 40, "20 to 40", F1832 &lt;= 50, "40 to 50", F1832 &gt; 50, "&gt;50" )</f>
        <v>5.1 to 10</v>
      </c>
    </row>
    <row r="1833" spans="1:15" ht="15" customHeight="1" x14ac:dyDescent="0.3">
      <c r="A1833" t="s">
        <v>351</v>
      </c>
      <c r="B1833" s="1">
        <v>46202</v>
      </c>
      <c r="C1833" t="s">
        <v>64</v>
      </c>
      <c r="D1833">
        <v>1683</v>
      </c>
      <c r="E1833">
        <v>1</v>
      </c>
      <c r="F1833">
        <v>71</v>
      </c>
      <c r="G1833" t="s">
        <v>32</v>
      </c>
      <c r="I1833" t="str">
        <f t="shared" si="31"/>
        <v>1683_1</v>
      </c>
      <c r="J1833" t="s">
        <v>241</v>
      </c>
      <c r="K1833" t="s">
        <v>179</v>
      </c>
      <c r="L1833" t="str">
        <f>_xlfn.XLOOKUP(C1833, Table2[Species],Table2[Genus], "Code Not Found")</f>
        <v>Fagus</v>
      </c>
      <c r="M1833" t="str">
        <f>_xlfn.XLOOKUP(C1833, Table2[Species],Table2[Sp. Name], "Code Not Found")</f>
        <v>grandifolia</v>
      </c>
      <c r="N1833" t="str">
        <f>_xlfn.XLOOKUP(C1833,Table2[Species],Table2[Family],"Code Not Found")</f>
        <v>Fagaceae</v>
      </c>
      <c r="O1833" t="str" cm="1">
        <f t="array" ref="O1833">_xlfn.IFS(F1833="","",F1833&lt;=5,"0 to 5",F1833&lt;=10,"5.1 to 10",F1833&lt;=20,"10 to 20", F1833&lt;= 40, "20 to 40", F1833 &lt;= 50, "40 to 50", F1833 &gt; 50, "&gt;50" )</f>
        <v>&gt;50</v>
      </c>
    </row>
    <row r="1834" spans="1:15" ht="15" customHeight="1" x14ac:dyDescent="0.3">
      <c r="A1834" t="s">
        <v>351</v>
      </c>
      <c r="B1834" s="1">
        <v>46202</v>
      </c>
      <c r="C1834" t="s">
        <v>64</v>
      </c>
      <c r="D1834">
        <v>1683</v>
      </c>
      <c r="E1834">
        <v>2</v>
      </c>
      <c r="F1834">
        <v>2.2999999999999998</v>
      </c>
      <c r="G1834" t="s">
        <v>34</v>
      </c>
      <c r="I1834" t="str">
        <f t="shared" si="31"/>
        <v>1683_2</v>
      </c>
      <c r="J1834" t="s">
        <v>241</v>
      </c>
      <c r="K1834" t="s">
        <v>179</v>
      </c>
      <c r="L1834" t="str">
        <f>_xlfn.XLOOKUP(C1834, Table2[Species],Table2[Genus], "Code Not Found")</f>
        <v>Fagus</v>
      </c>
      <c r="M1834" t="str">
        <f>_xlfn.XLOOKUP(C1834, Table2[Species],Table2[Sp. Name], "Code Not Found")</f>
        <v>grandifolia</v>
      </c>
      <c r="N1834" t="str">
        <f>_xlfn.XLOOKUP(C1834,Table2[Species],Table2[Family],"Code Not Found")</f>
        <v>Fagaceae</v>
      </c>
      <c r="O1834" t="str" cm="1">
        <f t="array" ref="O1834">_xlfn.IFS(F1834="","",F1834&lt;=5,"0 to 5",F1834&lt;=10,"5.1 to 10",F1834&lt;=20,"10 to 20", F1834&lt;= 40, "20 to 40", F1834 &lt;= 50, "40 to 50", F1834 &gt; 50, "&gt;50" )</f>
        <v>0 to 5</v>
      </c>
    </row>
    <row r="1835" spans="1:15" ht="15" customHeight="1" x14ac:dyDescent="0.3">
      <c r="A1835" t="s">
        <v>351</v>
      </c>
      <c r="B1835" s="1">
        <v>46202</v>
      </c>
      <c r="C1835" t="s">
        <v>64</v>
      </c>
      <c r="D1835">
        <v>1683</v>
      </c>
      <c r="E1835">
        <v>3.1</v>
      </c>
      <c r="F1835">
        <v>1.1000000000000001</v>
      </c>
      <c r="G1835" t="s">
        <v>34</v>
      </c>
      <c r="I1835" t="str">
        <f t="shared" si="31"/>
        <v>1683_3.1</v>
      </c>
      <c r="J1835" t="s">
        <v>241</v>
      </c>
      <c r="K1835" t="s">
        <v>179</v>
      </c>
      <c r="L1835" t="str">
        <f>_xlfn.XLOOKUP(C1835, Table2[Species],Table2[Genus], "Code Not Found")</f>
        <v>Fagus</v>
      </c>
      <c r="M1835" t="str">
        <f>_xlfn.XLOOKUP(C1835, Table2[Species],Table2[Sp. Name], "Code Not Found")</f>
        <v>grandifolia</v>
      </c>
      <c r="N1835" t="str">
        <f>_xlfn.XLOOKUP(C1835,Table2[Species],Table2[Family],"Code Not Found")</f>
        <v>Fagaceae</v>
      </c>
      <c r="O1835" t="str" cm="1">
        <f t="array" ref="O1835">_xlfn.IFS(F1835="","",F1835&lt;=5,"0 to 5",F1835&lt;=10,"5.1 to 10",F1835&lt;=20,"10 to 20", F1835&lt;= 40, "20 to 40", F1835 &lt;= 50, "40 to 50", F1835 &gt; 50, "&gt;50" )</f>
        <v>0 to 5</v>
      </c>
    </row>
    <row r="1836" spans="1:15" ht="15" customHeight="1" x14ac:dyDescent="0.3">
      <c r="A1836" t="s">
        <v>351</v>
      </c>
      <c r="B1836" s="1">
        <v>46202</v>
      </c>
      <c r="C1836" t="s">
        <v>64</v>
      </c>
      <c r="D1836">
        <v>1683</v>
      </c>
      <c r="E1836">
        <v>3.2</v>
      </c>
      <c r="F1836">
        <v>1</v>
      </c>
      <c r="G1836" t="s">
        <v>34</v>
      </c>
      <c r="H1836" t="s">
        <v>174</v>
      </c>
      <c r="I1836" t="str">
        <f t="shared" si="31"/>
        <v>1683_3.2</v>
      </c>
      <c r="J1836" t="s">
        <v>241</v>
      </c>
      <c r="K1836" t="s">
        <v>179</v>
      </c>
      <c r="L1836" t="str">
        <f>_xlfn.XLOOKUP(C1836, Table2[Species],Table2[Genus], "Code Not Found")</f>
        <v>Fagus</v>
      </c>
      <c r="M1836" t="str">
        <f>_xlfn.XLOOKUP(C1836, Table2[Species],Table2[Sp. Name], "Code Not Found")</f>
        <v>grandifolia</v>
      </c>
      <c r="N1836" t="str">
        <f>_xlfn.XLOOKUP(C1836,Table2[Species],Table2[Family],"Code Not Found")</f>
        <v>Fagaceae</v>
      </c>
      <c r="O1836" t="str" cm="1">
        <f t="array" ref="O1836">_xlfn.IFS(F1836="","",F1836&lt;=5,"0 to 5",F1836&lt;=10,"5.1 to 10",F1836&lt;=20,"10 to 20", F1836&lt;= 40, "20 to 40", F1836 &lt;= 50, "40 to 50", F1836 &gt; 50, "&gt;50" )</f>
        <v>0 to 5</v>
      </c>
    </row>
    <row r="1837" spans="1:15" ht="15" customHeight="1" x14ac:dyDescent="0.3">
      <c r="A1837" t="s">
        <v>351</v>
      </c>
      <c r="B1837" s="1">
        <v>46203</v>
      </c>
      <c r="C1837" t="s">
        <v>64</v>
      </c>
      <c r="D1837">
        <v>1684</v>
      </c>
      <c r="E1837">
        <v>1</v>
      </c>
      <c r="F1837">
        <v>9.6999999999999993</v>
      </c>
      <c r="G1837" t="s">
        <v>103</v>
      </c>
      <c r="H1837" t="s">
        <v>297</v>
      </c>
      <c r="I1837" t="str">
        <f t="shared" si="31"/>
        <v>1684_1</v>
      </c>
      <c r="J1837" t="s">
        <v>241</v>
      </c>
      <c r="K1837" t="s">
        <v>179</v>
      </c>
      <c r="L1837" t="str">
        <f>_xlfn.XLOOKUP(C1837, Table2[Species],Table2[Genus], "Code Not Found")</f>
        <v>Fagus</v>
      </c>
      <c r="M1837" t="str">
        <f>_xlfn.XLOOKUP(C1837, Table2[Species],Table2[Sp. Name], "Code Not Found")</f>
        <v>grandifolia</v>
      </c>
      <c r="N1837" t="str">
        <f>_xlfn.XLOOKUP(C1837,Table2[Species],Table2[Family],"Code Not Found")</f>
        <v>Fagaceae</v>
      </c>
      <c r="O1837" t="str" cm="1">
        <f t="array" ref="O1837">_xlfn.IFS(F1837="","",F1837&lt;=5,"0 to 5",F1837&lt;=10,"5.1 to 10",F1837&lt;=20,"10 to 20", F1837&lt;= 40, "20 to 40", F1837 &lt;= 50, "40 to 50", F1837 &gt; 50, "&gt;50" )</f>
        <v>5.1 to 10</v>
      </c>
    </row>
    <row r="1838" spans="1:15" ht="15" customHeight="1" x14ac:dyDescent="0.3">
      <c r="A1838" t="s">
        <v>351</v>
      </c>
      <c r="B1838" s="1">
        <v>46203</v>
      </c>
      <c r="C1838" t="s">
        <v>64</v>
      </c>
      <c r="D1838">
        <v>1685</v>
      </c>
      <c r="E1838">
        <v>1</v>
      </c>
      <c r="F1838">
        <v>7</v>
      </c>
      <c r="G1838" t="s">
        <v>94</v>
      </c>
      <c r="H1838" t="s">
        <v>383</v>
      </c>
      <c r="I1838" t="str">
        <f t="shared" si="31"/>
        <v>1685_1</v>
      </c>
      <c r="J1838" t="s">
        <v>241</v>
      </c>
      <c r="K1838" t="s">
        <v>179</v>
      </c>
      <c r="L1838" t="str">
        <f>_xlfn.XLOOKUP(C1838, Table2[Species],Table2[Genus], "Code Not Found")</f>
        <v>Fagus</v>
      </c>
      <c r="M1838" t="str">
        <f>_xlfn.XLOOKUP(C1838, Table2[Species],Table2[Sp. Name], "Code Not Found")</f>
        <v>grandifolia</v>
      </c>
      <c r="N1838" t="str">
        <f>_xlfn.XLOOKUP(C1838,Table2[Species],Table2[Family],"Code Not Found")</f>
        <v>Fagaceae</v>
      </c>
      <c r="O1838" t="str" cm="1">
        <f t="array" ref="O1838">_xlfn.IFS(F1838="","",F1838&lt;=5,"0 to 5",F1838&lt;=10,"5.1 to 10",F1838&lt;=20,"10 to 20", F1838&lt;= 40, "20 to 40", F1838 &lt;= 50, "40 to 50", F1838 &gt; 50, "&gt;50" )</f>
        <v>5.1 to 10</v>
      </c>
    </row>
    <row r="1839" spans="1:15" ht="15" customHeight="1" x14ac:dyDescent="0.3">
      <c r="A1839" t="s">
        <v>351</v>
      </c>
      <c r="B1839" s="1">
        <v>46203</v>
      </c>
      <c r="C1839" t="s">
        <v>64</v>
      </c>
      <c r="D1839">
        <v>1686</v>
      </c>
      <c r="E1839">
        <v>1</v>
      </c>
      <c r="F1839">
        <v>7.9</v>
      </c>
      <c r="G1839" t="s">
        <v>368</v>
      </c>
      <c r="H1839" t="s">
        <v>297</v>
      </c>
      <c r="I1839" t="str">
        <f t="shared" si="31"/>
        <v>1686_1</v>
      </c>
      <c r="J1839" t="s">
        <v>241</v>
      </c>
      <c r="K1839" t="s">
        <v>179</v>
      </c>
      <c r="L1839" t="str">
        <f>_xlfn.XLOOKUP(C1839, Table2[Species],Table2[Genus], "Code Not Found")</f>
        <v>Fagus</v>
      </c>
      <c r="M1839" t="str">
        <f>_xlfn.XLOOKUP(C1839, Table2[Species],Table2[Sp. Name], "Code Not Found")</f>
        <v>grandifolia</v>
      </c>
      <c r="N1839" t="str">
        <f>_xlfn.XLOOKUP(C1839,Table2[Species],Table2[Family],"Code Not Found")</f>
        <v>Fagaceae</v>
      </c>
      <c r="O1839" t="str" cm="1">
        <f t="array" ref="O1839">_xlfn.IFS(F1839="","",F1839&lt;=5,"0 to 5",F1839&lt;=10,"5.1 to 10",F1839&lt;=20,"10 to 20", F1839&lt;= 40, "20 to 40", F1839 &lt;= 50, "40 to 50", F1839 &gt; 50, "&gt;50" )</f>
        <v>5.1 to 10</v>
      </c>
    </row>
    <row r="1840" spans="1:15" ht="15" customHeight="1" x14ac:dyDescent="0.3">
      <c r="A1840" t="s">
        <v>351</v>
      </c>
      <c r="B1840" s="1">
        <v>46203</v>
      </c>
      <c r="C1840" t="s">
        <v>64</v>
      </c>
      <c r="D1840">
        <v>1687</v>
      </c>
      <c r="E1840">
        <v>1</v>
      </c>
      <c r="F1840">
        <v>13.3</v>
      </c>
      <c r="G1840" t="s">
        <v>384</v>
      </c>
      <c r="H1840" t="s">
        <v>385</v>
      </c>
      <c r="I1840" t="str">
        <f t="shared" si="31"/>
        <v>1687_1</v>
      </c>
      <c r="J1840" t="s">
        <v>241</v>
      </c>
      <c r="K1840" t="s">
        <v>179</v>
      </c>
      <c r="L1840" t="str">
        <f>_xlfn.XLOOKUP(C1840, Table2[Species],Table2[Genus], "Code Not Found")</f>
        <v>Fagus</v>
      </c>
      <c r="M1840" t="str">
        <f>_xlfn.XLOOKUP(C1840, Table2[Species],Table2[Sp. Name], "Code Not Found")</f>
        <v>grandifolia</v>
      </c>
      <c r="N1840" t="str">
        <f>_xlfn.XLOOKUP(C1840,Table2[Species],Table2[Family],"Code Not Found")</f>
        <v>Fagaceae</v>
      </c>
      <c r="O1840" t="str" cm="1">
        <f t="array" ref="O1840">_xlfn.IFS(F1840="","",F1840&lt;=5,"0 to 5",F1840&lt;=10,"5.1 to 10",F1840&lt;=20,"10 to 20", F1840&lt;= 40, "20 to 40", F1840 &lt;= 50, "40 to 50", F1840 &gt; 50, "&gt;50" )</f>
        <v>10 to 20</v>
      </c>
    </row>
    <row r="1841" spans="1:15" ht="15" customHeight="1" x14ac:dyDescent="0.3">
      <c r="A1841" t="s">
        <v>351</v>
      </c>
      <c r="B1841" s="1">
        <v>46203</v>
      </c>
      <c r="C1841" t="s">
        <v>16</v>
      </c>
      <c r="D1841">
        <v>1688</v>
      </c>
      <c r="E1841">
        <v>1</v>
      </c>
      <c r="F1841">
        <v>8.6</v>
      </c>
      <c r="G1841" t="s">
        <v>17</v>
      </c>
      <c r="I1841" t="str">
        <f t="shared" si="31"/>
        <v>1688_1</v>
      </c>
      <c r="J1841" t="s">
        <v>241</v>
      </c>
      <c r="K1841" t="s">
        <v>179</v>
      </c>
      <c r="L1841" t="str">
        <f>_xlfn.XLOOKUP(C1841, Table2[Species],Table2[Genus], "Code Not Found")</f>
        <v>Acer</v>
      </c>
      <c r="M1841" t="str">
        <f>_xlfn.XLOOKUP(C1841, Table2[Species],Table2[Sp. Name], "Code Not Found")</f>
        <v>saccharum</v>
      </c>
      <c r="N1841" t="str">
        <f>_xlfn.XLOOKUP(C1841,Table2[Species],Table2[Family],"Code Not Found")</f>
        <v>Sapindaceae</v>
      </c>
      <c r="O1841" t="str" cm="1">
        <f t="array" ref="O1841">_xlfn.IFS(F1841="","",F1841&lt;=5,"0 to 5",F1841&lt;=10,"5.1 to 10",F1841&lt;=20,"10 to 20", F1841&lt;= 40, "20 to 40", F1841 &lt;= 50, "40 to 50", F1841 &gt; 50, "&gt;50" )</f>
        <v>5.1 to 10</v>
      </c>
    </row>
    <row r="1842" spans="1:15" ht="15" customHeight="1" x14ac:dyDescent="0.3">
      <c r="A1842" t="s">
        <v>351</v>
      </c>
      <c r="B1842" s="1">
        <v>46203</v>
      </c>
      <c r="C1842" t="s">
        <v>16</v>
      </c>
      <c r="D1842">
        <v>1689</v>
      </c>
      <c r="E1842">
        <v>1</v>
      </c>
      <c r="F1842">
        <v>7.2</v>
      </c>
      <c r="G1842" t="s">
        <v>47</v>
      </c>
      <c r="I1842" t="str">
        <f t="shared" si="31"/>
        <v>1689_1</v>
      </c>
      <c r="J1842" t="s">
        <v>241</v>
      </c>
      <c r="K1842" t="s">
        <v>179</v>
      </c>
      <c r="L1842" t="str">
        <f>_xlfn.XLOOKUP(C1842, Table2[Species],Table2[Genus], "Code Not Found")</f>
        <v>Acer</v>
      </c>
      <c r="M1842" t="str">
        <f>_xlfn.XLOOKUP(C1842, Table2[Species],Table2[Sp. Name], "Code Not Found")</f>
        <v>saccharum</v>
      </c>
      <c r="N1842" t="str">
        <f>_xlfn.XLOOKUP(C1842,Table2[Species],Table2[Family],"Code Not Found")</f>
        <v>Sapindaceae</v>
      </c>
      <c r="O1842" t="str" cm="1">
        <f t="array" ref="O1842">_xlfn.IFS(F1842="","",F1842&lt;=5,"0 to 5",F1842&lt;=10,"5.1 to 10",F1842&lt;=20,"10 to 20", F1842&lt;= 40, "20 to 40", F1842 &lt;= 50, "40 to 50", F1842 &gt; 50, "&gt;50" )</f>
        <v>5.1 to 10</v>
      </c>
    </row>
    <row r="1843" spans="1:15" ht="15" customHeight="1" x14ac:dyDescent="0.3">
      <c r="A1843" t="s">
        <v>351</v>
      </c>
      <c r="B1843" s="1">
        <v>46203</v>
      </c>
      <c r="C1843" t="s">
        <v>16</v>
      </c>
      <c r="D1843">
        <v>1690</v>
      </c>
      <c r="E1843">
        <v>1</v>
      </c>
      <c r="F1843">
        <v>4.4000000000000004</v>
      </c>
      <c r="G1843" t="s">
        <v>139</v>
      </c>
      <c r="H1843" t="s">
        <v>386</v>
      </c>
      <c r="I1843" t="str">
        <f t="shared" si="31"/>
        <v>1690_1</v>
      </c>
      <c r="J1843" t="s">
        <v>241</v>
      </c>
      <c r="K1843" t="s">
        <v>179</v>
      </c>
      <c r="L1843" t="str">
        <f>_xlfn.XLOOKUP(C1843, Table2[Species],Table2[Genus], "Code Not Found")</f>
        <v>Acer</v>
      </c>
      <c r="M1843" t="str">
        <f>_xlfn.XLOOKUP(C1843, Table2[Species],Table2[Sp. Name], "Code Not Found")</f>
        <v>saccharum</v>
      </c>
      <c r="N1843" t="str">
        <f>_xlfn.XLOOKUP(C1843,Table2[Species],Table2[Family],"Code Not Found")</f>
        <v>Sapindaceae</v>
      </c>
      <c r="O1843" t="str" cm="1">
        <f t="array" ref="O1843">_xlfn.IFS(F1843="","",F1843&lt;=5,"0 to 5",F1843&lt;=10,"5.1 to 10",F1843&lt;=20,"10 to 20", F1843&lt;= 40, "20 to 40", F1843 &lt;= 50, "40 to 50", F1843 &gt; 50, "&gt;50" )</f>
        <v>0 to 5</v>
      </c>
    </row>
    <row r="1844" spans="1:15" ht="15" customHeight="1" x14ac:dyDescent="0.3">
      <c r="A1844" t="s">
        <v>351</v>
      </c>
      <c r="B1844" s="1">
        <v>46203</v>
      </c>
      <c r="C1844" t="s">
        <v>16</v>
      </c>
      <c r="D1844">
        <v>1691</v>
      </c>
      <c r="E1844">
        <v>1</v>
      </c>
      <c r="F1844">
        <v>17.7</v>
      </c>
      <c r="G1844" t="s">
        <v>21</v>
      </c>
      <c r="I1844" t="str">
        <f t="shared" si="31"/>
        <v>1691_1</v>
      </c>
      <c r="J1844" t="s">
        <v>241</v>
      </c>
      <c r="K1844" t="s">
        <v>179</v>
      </c>
      <c r="L1844" t="str">
        <f>_xlfn.XLOOKUP(C1844, Table2[Species],Table2[Genus], "Code Not Found")</f>
        <v>Acer</v>
      </c>
      <c r="M1844" t="str">
        <f>_xlfn.XLOOKUP(C1844, Table2[Species],Table2[Sp. Name], "Code Not Found")</f>
        <v>saccharum</v>
      </c>
      <c r="N1844" t="str">
        <f>_xlfn.XLOOKUP(C1844,Table2[Species],Table2[Family],"Code Not Found")</f>
        <v>Sapindaceae</v>
      </c>
      <c r="O1844" t="str" cm="1">
        <f t="array" ref="O1844">_xlfn.IFS(F1844="","",F1844&lt;=5,"0 to 5",F1844&lt;=10,"5.1 to 10",F1844&lt;=20,"10 to 20", F1844&lt;= 40, "20 to 40", F1844 &lt;= 50, "40 to 50", F1844 &gt; 50, "&gt;50" )</f>
        <v>10 to 20</v>
      </c>
    </row>
    <row r="1845" spans="1:15" ht="15" customHeight="1" x14ac:dyDescent="0.3">
      <c r="A1845" t="s">
        <v>351</v>
      </c>
      <c r="B1845" s="1">
        <v>46203</v>
      </c>
      <c r="C1845" t="s">
        <v>16</v>
      </c>
      <c r="D1845">
        <v>1692</v>
      </c>
      <c r="E1845">
        <v>1</v>
      </c>
      <c r="F1845">
        <v>22.6</v>
      </c>
      <c r="G1845" t="s">
        <v>17</v>
      </c>
      <c r="H1845" t="s">
        <v>36</v>
      </c>
      <c r="I1845" t="str">
        <f t="shared" si="31"/>
        <v>1692_1</v>
      </c>
      <c r="J1845" t="s">
        <v>241</v>
      </c>
      <c r="K1845" t="s">
        <v>179</v>
      </c>
      <c r="L1845" t="str">
        <f>_xlfn.XLOOKUP(C1845, Table2[Species],Table2[Genus], "Code Not Found")</f>
        <v>Acer</v>
      </c>
      <c r="M1845" t="str">
        <f>_xlfn.XLOOKUP(C1845, Table2[Species],Table2[Sp. Name], "Code Not Found")</f>
        <v>saccharum</v>
      </c>
      <c r="N1845" t="str">
        <f>_xlfn.XLOOKUP(C1845,Table2[Species],Table2[Family],"Code Not Found")</f>
        <v>Sapindaceae</v>
      </c>
      <c r="O1845" t="str" cm="1">
        <f t="array" ref="O1845">_xlfn.IFS(F1845="","",F1845&lt;=5,"0 to 5",F1845&lt;=10,"5.1 to 10",F1845&lt;=20,"10 to 20", F1845&lt;= 40, "20 to 40", F1845 &lt;= 50, "40 to 50", F1845 &gt; 50, "&gt;50" )</f>
        <v>20 to 40</v>
      </c>
    </row>
    <row r="1846" spans="1:15" ht="15" customHeight="1" x14ac:dyDescent="0.3">
      <c r="A1846" t="s">
        <v>351</v>
      </c>
      <c r="B1846" s="1">
        <v>46203</v>
      </c>
      <c r="C1846" t="s">
        <v>16</v>
      </c>
      <c r="D1846">
        <v>1693</v>
      </c>
      <c r="E1846">
        <v>1</v>
      </c>
      <c r="F1846">
        <v>3</v>
      </c>
      <c r="G1846" t="s">
        <v>47</v>
      </c>
      <c r="I1846" t="str">
        <f t="shared" si="31"/>
        <v>1693_1</v>
      </c>
      <c r="J1846" t="s">
        <v>241</v>
      </c>
      <c r="K1846" t="s">
        <v>179</v>
      </c>
      <c r="L1846" t="str">
        <f>_xlfn.XLOOKUP(C1846, Table2[Species],Table2[Genus], "Code Not Found")</f>
        <v>Acer</v>
      </c>
      <c r="M1846" t="str">
        <f>_xlfn.XLOOKUP(C1846, Table2[Species],Table2[Sp. Name], "Code Not Found")</f>
        <v>saccharum</v>
      </c>
      <c r="N1846" t="str">
        <f>_xlfn.XLOOKUP(C1846,Table2[Species],Table2[Family],"Code Not Found")</f>
        <v>Sapindaceae</v>
      </c>
      <c r="O1846" t="str" cm="1">
        <f t="array" ref="O1846">_xlfn.IFS(F1846="","",F1846&lt;=5,"0 to 5",F1846&lt;=10,"5.1 to 10",F1846&lt;=20,"10 to 20", F1846&lt;= 40, "20 to 40", F1846 &lt;= 50, "40 to 50", F1846 &gt; 50, "&gt;50" )</f>
        <v>0 to 5</v>
      </c>
    </row>
    <row r="1847" spans="1:15" ht="15" customHeight="1" x14ac:dyDescent="0.3">
      <c r="A1847" t="s">
        <v>351</v>
      </c>
      <c r="B1847" s="1">
        <v>46203</v>
      </c>
      <c r="C1847" t="s">
        <v>55</v>
      </c>
      <c r="D1847">
        <v>1694</v>
      </c>
      <c r="E1847">
        <v>1</v>
      </c>
      <c r="F1847">
        <v>11.9</v>
      </c>
      <c r="G1847" t="s">
        <v>139</v>
      </c>
      <c r="H1847" t="s">
        <v>326</v>
      </c>
      <c r="I1847" t="str">
        <f t="shared" si="31"/>
        <v>1694_1</v>
      </c>
      <c r="J1847" t="s">
        <v>241</v>
      </c>
      <c r="K1847" t="s">
        <v>179</v>
      </c>
      <c r="L1847" t="str">
        <f>_xlfn.XLOOKUP(C1847, Table2[Species],Table2[Genus], "Code Not Found")</f>
        <v>Magnolia</v>
      </c>
      <c r="M1847" t="str">
        <f>_xlfn.XLOOKUP(C1847, Table2[Species],Table2[Sp. Name], "Code Not Found")</f>
        <v>acuminata</v>
      </c>
      <c r="N1847" t="str">
        <f>_xlfn.XLOOKUP(C1847,Table2[Species],Table2[Family],"Code Not Found")</f>
        <v>Magnoliaceae</v>
      </c>
      <c r="O1847" t="str" cm="1">
        <f t="array" ref="O1847">_xlfn.IFS(F1847="","",F1847&lt;=5,"0 to 5",F1847&lt;=10,"5.1 to 10",F1847&lt;=20,"10 to 20", F1847&lt;= 40, "20 to 40", F1847 &lt;= 50, "40 to 50", F1847 &gt; 50, "&gt;50" )</f>
        <v>10 to 20</v>
      </c>
    </row>
    <row r="1848" spans="1:15" ht="15" customHeight="1" x14ac:dyDescent="0.3">
      <c r="A1848" t="s">
        <v>351</v>
      </c>
      <c r="B1848" s="1">
        <v>46203</v>
      </c>
      <c r="C1848" t="s">
        <v>16</v>
      </c>
      <c r="D1848">
        <v>1695</v>
      </c>
      <c r="E1848">
        <v>1</v>
      </c>
      <c r="F1848">
        <v>7.9</v>
      </c>
      <c r="G1848" t="s">
        <v>17</v>
      </c>
      <c r="I1848" t="str">
        <f t="shared" si="31"/>
        <v>1695_1</v>
      </c>
      <c r="J1848" t="s">
        <v>241</v>
      </c>
      <c r="K1848" t="s">
        <v>179</v>
      </c>
      <c r="L1848" t="str">
        <f>_xlfn.XLOOKUP(C1848, Table2[Species],Table2[Genus], "Code Not Found")</f>
        <v>Acer</v>
      </c>
      <c r="M1848" t="str">
        <f>_xlfn.XLOOKUP(C1848, Table2[Species],Table2[Sp. Name], "Code Not Found")</f>
        <v>saccharum</v>
      </c>
      <c r="N1848" t="str">
        <f>_xlfn.XLOOKUP(C1848,Table2[Species],Table2[Family],"Code Not Found")</f>
        <v>Sapindaceae</v>
      </c>
      <c r="O1848" t="str" cm="1">
        <f t="array" ref="O1848">_xlfn.IFS(F1848="","",F1848&lt;=5,"0 to 5",F1848&lt;=10,"5.1 to 10",F1848&lt;=20,"10 to 20", F1848&lt;= 40, "20 to 40", F1848 &lt;= 50, "40 to 50", F1848 &gt; 50, "&gt;50" )</f>
        <v>5.1 to 10</v>
      </c>
    </row>
    <row r="1849" spans="1:15" ht="15" customHeight="1" x14ac:dyDescent="0.3">
      <c r="A1849" t="s">
        <v>351</v>
      </c>
      <c r="B1849" s="1">
        <v>46203</v>
      </c>
      <c r="C1849" t="s">
        <v>16</v>
      </c>
      <c r="D1849">
        <v>1696</v>
      </c>
      <c r="E1849">
        <v>1</v>
      </c>
      <c r="F1849">
        <v>16.399999999999999</v>
      </c>
      <c r="G1849" t="s">
        <v>56</v>
      </c>
      <c r="H1849" t="s">
        <v>387</v>
      </c>
      <c r="I1849" t="str">
        <f t="shared" si="31"/>
        <v>1696_1</v>
      </c>
      <c r="J1849" t="s">
        <v>241</v>
      </c>
      <c r="K1849" t="s">
        <v>179</v>
      </c>
      <c r="L1849" t="str">
        <f>_xlfn.XLOOKUP(C1849, Table2[Species],Table2[Genus], "Code Not Found")</f>
        <v>Acer</v>
      </c>
      <c r="M1849" t="str">
        <f>_xlfn.XLOOKUP(C1849, Table2[Species],Table2[Sp. Name], "Code Not Found")</f>
        <v>saccharum</v>
      </c>
      <c r="N1849" t="str">
        <f>_xlfn.XLOOKUP(C1849,Table2[Species],Table2[Family],"Code Not Found")</f>
        <v>Sapindaceae</v>
      </c>
      <c r="O1849" t="str" cm="1">
        <f t="array" ref="O1849">_xlfn.IFS(F1849="","",F1849&lt;=5,"0 to 5",F1849&lt;=10,"5.1 to 10",F1849&lt;=20,"10 to 20", F1849&lt;= 40, "20 to 40", F1849 &lt;= 50, "40 to 50", F1849 &gt; 50, "&gt;50" )</f>
        <v>10 to 20</v>
      </c>
    </row>
    <row r="1850" spans="1:15" ht="15" customHeight="1" x14ac:dyDescent="0.3">
      <c r="A1850" t="s">
        <v>351</v>
      </c>
      <c r="B1850" s="1">
        <v>46203</v>
      </c>
      <c r="C1850" t="s">
        <v>16</v>
      </c>
      <c r="D1850">
        <v>1697</v>
      </c>
      <c r="E1850">
        <v>1</v>
      </c>
      <c r="F1850">
        <v>2</v>
      </c>
      <c r="G1850" t="s">
        <v>21</v>
      </c>
      <c r="I1850" t="str">
        <f t="shared" si="31"/>
        <v>1697_1</v>
      </c>
      <c r="J1850" t="s">
        <v>241</v>
      </c>
      <c r="K1850" t="s">
        <v>179</v>
      </c>
      <c r="L1850" t="str">
        <f>_xlfn.XLOOKUP(C1850, Table2[Species],Table2[Genus], "Code Not Found")</f>
        <v>Acer</v>
      </c>
      <c r="M1850" t="str">
        <f>_xlfn.XLOOKUP(C1850, Table2[Species],Table2[Sp. Name], "Code Not Found")</f>
        <v>saccharum</v>
      </c>
      <c r="N1850" t="str">
        <f>_xlfn.XLOOKUP(C1850,Table2[Species],Table2[Family],"Code Not Found")</f>
        <v>Sapindaceae</v>
      </c>
      <c r="O1850" t="str" cm="1">
        <f t="array" ref="O1850">_xlfn.IFS(F1850="","",F1850&lt;=5,"0 to 5",F1850&lt;=10,"5.1 to 10",F1850&lt;=20,"10 to 20", F1850&lt;= 40, "20 to 40", F1850 &lt;= 50, "40 to 50", F1850 &gt; 50, "&gt;50" )</f>
        <v>0 to 5</v>
      </c>
    </row>
    <row r="1851" spans="1:15" ht="15" customHeight="1" x14ac:dyDescent="0.3">
      <c r="A1851" t="s">
        <v>351</v>
      </c>
      <c r="B1851" s="1">
        <v>46203</v>
      </c>
      <c r="C1851" t="s">
        <v>24</v>
      </c>
      <c r="D1851">
        <v>1698</v>
      </c>
      <c r="E1851">
        <v>1</v>
      </c>
      <c r="F1851">
        <v>1</v>
      </c>
      <c r="G1851" t="s">
        <v>359</v>
      </c>
      <c r="I1851" t="str">
        <f t="shared" si="31"/>
        <v>1698_1</v>
      </c>
      <c r="J1851" t="s">
        <v>241</v>
      </c>
      <c r="K1851" t="s">
        <v>179</v>
      </c>
      <c r="L1851" t="str">
        <f>_xlfn.XLOOKUP(C1851, Table2[Species],Table2[Genus], "Code Not Found")</f>
        <v>Lirodendron</v>
      </c>
      <c r="M1851" t="str">
        <f>_xlfn.XLOOKUP(C1851, Table2[Species],Table2[Sp. Name], "Code Not Found")</f>
        <v>tulipfera</v>
      </c>
      <c r="N1851" t="str">
        <f>_xlfn.XLOOKUP(C1851,Table2[Species],Table2[Family],"Code Not Found")</f>
        <v>Magnoliaceae</v>
      </c>
      <c r="O1851" t="str" cm="1">
        <f t="array" ref="O1851">_xlfn.IFS(F1851="","",F1851&lt;=5,"0 to 5",F1851&lt;=10,"5.1 to 10",F1851&lt;=20,"10 to 20", F1851&lt;= 40, "20 to 40", F1851 &lt;= 50, "40 to 50", F1851 &gt; 50, "&gt;50" )</f>
        <v>0 to 5</v>
      </c>
    </row>
    <row r="1852" spans="1:15" ht="15" customHeight="1" x14ac:dyDescent="0.3">
      <c r="A1852" t="s">
        <v>351</v>
      </c>
      <c r="B1852" s="1">
        <v>46203</v>
      </c>
      <c r="C1852" t="s">
        <v>24</v>
      </c>
      <c r="D1852">
        <v>1699</v>
      </c>
      <c r="E1852">
        <v>1</v>
      </c>
      <c r="F1852">
        <v>1.2</v>
      </c>
      <c r="G1852" t="s">
        <v>21</v>
      </c>
      <c r="I1852" t="str">
        <f t="shared" si="31"/>
        <v>1699_1</v>
      </c>
      <c r="J1852" t="s">
        <v>241</v>
      </c>
      <c r="K1852" t="s">
        <v>179</v>
      </c>
      <c r="L1852" t="str">
        <f>_xlfn.XLOOKUP(C1852, Table2[Species],Table2[Genus], "Code Not Found")</f>
        <v>Lirodendron</v>
      </c>
      <c r="M1852" t="str">
        <f>_xlfn.XLOOKUP(C1852, Table2[Species],Table2[Sp. Name], "Code Not Found")</f>
        <v>tulipfera</v>
      </c>
      <c r="N1852" t="str">
        <f>_xlfn.XLOOKUP(C1852,Table2[Species],Table2[Family],"Code Not Found")</f>
        <v>Magnoliaceae</v>
      </c>
      <c r="O1852" t="str" cm="1">
        <f t="array" ref="O1852">_xlfn.IFS(F1852="","",F1852&lt;=5,"0 to 5",F1852&lt;=10,"5.1 to 10",F1852&lt;=20,"10 to 20", F1852&lt;= 40, "20 to 40", F1852 &lt;= 50, "40 to 50", F1852 &gt; 50, "&gt;50" )</f>
        <v>0 to 5</v>
      </c>
    </row>
    <row r="1853" spans="1:15" ht="15" customHeight="1" x14ac:dyDescent="0.3">
      <c r="A1853" t="s">
        <v>351</v>
      </c>
      <c r="B1853" s="1">
        <v>46203</v>
      </c>
      <c r="C1853" t="s">
        <v>24</v>
      </c>
      <c r="D1853">
        <v>1700</v>
      </c>
      <c r="E1853">
        <v>1</v>
      </c>
      <c r="F1853">
        <v>1.2</v>
      </c>
      <c r="G1853" t="s">
        <v>32</v>
      </c>
      <c r="H1853" t="s">
        <v>92</v>
      </c>
      <c r="I1853" t="str">
        <f t="shared" si="31"/>
        <v>1700_1</v>
      </c>
      <c r="J1853" t="s">
        <v>241</v>
      </c>
      <c r="K1853" t="s">
        <v>179</v>
      </c>
      <c r="L1853" t="str">
        <f>_xlfn.XLOOKUP(C1853, Table2[Species],Table2[Genus], "Code Not Found")</f>
        <v>Lirodendron</v>
      </c>
      <c r="M1853" t="str">
        <f>_xlfn.XLOOKUP(C1853, Table2[Species],Table2[Sp. Name], "Code Not Found")</f>
        <v>tulipfera</v>
      </c>
      <c r="N1853" t="str">
        <f>_xlfn.XLOOKUP(C1853,Table2[Species],Table2[Family],"Code Not Found")</f>
        <v>Magnoliaceae</v>
      </c>
      <c r="O1853" t="str" cm="1">
        <f t="array" ref="O1853">_xlfn.IFS(F1853="","",F1853&lt;=5,"0 to 5",F1853&lt;=10,"5.1 to 10",F1853&lt;=20,"10 to 20", F1853&lt;= 40, "20 to 40", F1853 &lt;= 50, "40 to 50", F1853 &gt; 50, "&gt;50" )</f>
        <v>0 to 5</v>
      </c>
    </row>
    <row r="1854" spans="1:15" ht="15" customHeight="1" x14ac:dyDescent="0.3">
      <c r="A1854" t="s">
        <v>351</v>
      </c>
      <c r="B1854" s="1">
        <v>46203</v>
      </c>
      <c r="C1854" t="s">
        <v>24</v>
      </c>
      <c r="D1854">
        <v>1700</v>
      </c>
      <c r="E1854">
        <v>2</v>
      </c>
      <c r="F1854">
        <v>1</v>
      </c>
      <c r="G1854" t="s">
        <v>370</v>
      </c>
      <c r="H1854" t="s">
        <v>296</v>
      </c>
      <c r="I1854" t="str">
        <f t="shared" si="31"/>
        <v>1700_2</v>
      </c>
      <c r="J1854" t="s">
        <v>241</v>
      </c>
      <c r="K1854" t="s">
        <v>179</v>
      </c>
      <c r="L1854" t="str">
        <f>_xlfn.XLOOKUP(C1854, Table2[Species],Table2[Genus], "Code Not Found")</f>
        <v>Lirodendron</v>
      </c>
      <c r="M1854" t="str">
        <f>_xlfn.XLOOKUP(C1854, Table2[Species],Table2[Sp. Name], "Code Not Found")</f>
        <v>tulipfera</v>
      </c>
      <c r="N1854" t="str">
        <f>_xlfn.XLOOKUP(C1854,Table2[Species],Table2[Family],"Code Not Found")</f>
        <v>Magnoliaceae</v>
      </c>
      <c r="O1854" t="str" cm="1">
        <f t="array" ref="O1854">_xlfn.IFS(F1854="","",F1854&lt;=5,"0 to 5",F1854&lt;=10,"5.1 to 10",F1854&lt;=20,"10 to 20", F1854&lt;= 40, "20 to 40", F1854 &lt;= 50, "40 to 50", F1854 &gt; 50, "&gt;50" )</f>
        <v>0 to 5</v>
      </c>
    </row>
    <row r="1855" spans="1:15" ht="15" customHeight="1" x14ac:dyDescent="0.3">
      <c r="A1855" t="s">
        <v>351</v>
      </c>
      <c r="B1855" s="1">
        <v>46203</v>
      </c>
      <c r="C1855" t="s">
        <v>16</v>
      </c>
      <c r="D1855">
        <v>1701</v>
      </c>
      <c r="E1855">
        <v>1</v>
      </c>
      <c r="F1855">
        <v>5.9</v>
      </c>
      <c r="G1855" t="s">
        <v>388</v>
      </c>
      <c r="H1855" t="s">
        <v>244</v>
      </c>
      <c r="I1855" t="str">
        <f t="shared" si="31"/>
        <v>1701_1</v>
      </c>
      <c r="J1855" t="s">
        <v>241</v>
      </c>
      <c r="K1855" t="s">
        <v>179</v>
      </c>
      <c r="L1855" t="str">
        <f>_xlfn.XLOOKUP(C1855, Table2[Species],Table2[Genus], "Code Not Found")</f>
        <v>Acer</v>
      </c>
      <c r="M1855" t="str">
        <f>_xlfn.XLOOKUP(C1855, Table2[Species],Table2[Sp. Name], "Code Not Found")</f>
        <v>saccharum</v>
      </c>
      <c r="N1855" t="str">
        <f>_xlfn.XLOOKUP(C1855,Table2[Species],Table2[Family],"Code Not Found")</f>
        <v>Sapindaceae</v>
      </c>
      <c r="O1855" t="str" cm="1">
        <f t="array" ref="O1855">_xlfn.IFS(F1855="","",F1855&lt;=5,"0 to 5",F1855&lt;=10,"5.1 to 10",F1855&lt;=20,"10 to 20", F1855&lt;= 40, "20 to 40", F1855 &lt;= 50, "40 to 50", F1855 &gt; 50, "&gt;50" )</f>
        <v>5.1 to 10</v>
      </c>
    </row>
    <row r="1856" spans="1:15" ht="15" customHeight="1" x14ac:dyDescent="0.3">
      <c r="A1856" t="s">
        <v>351</v>
      </c>
      <c r="B1856" s="1">
        <v>46203</v>
      </c>
      <c r="C1856" t="s">
        <v>24</v>
      </c>
      <c r="D1856">
        <v>1702</v>
      </c>
      <c r="E1856">
        <v>1</v>
      </c>
      <c r="F1856">
        <v>1.5</v>
      </c>
      <c r="G1856" t="s">
        <v>376</v>
      </c>
      <c r="H1856" t="s">
        <v>389</v>
      </c>
      <c r="I1856" t="str">
        <f t="shared" si="31"/>
        <v>1702_1</v>
      </c>
      <c r="J1856" t="s">
        <v>241</v>
      </c>
      <c r="K1856" t="s">
        <v>179</v>
      </c>
      <c r="L1856" t="str">
        <f>_xlfn.XLOOKUP(C1856, Table2[Species],Table2[Genus], "Code Not Found")</f>
        <v>Lirodendron</v>
      </c>
      <c r="M1856" t="str">
        <f>_xlfn.XLOOKUP(C1856, Table2[Species],Table2[Sp. Name], "Code Not Found")</f>
        <v>tulipfera</v>
      </c>
      <c r="N1856" t="str">
        <f>_xlfn.XLOOKUP(C1856,Table2[Species],Table2[Family],"Code Not Found")</f>
        <v>Magnoliaceae</v>
      </c>
      <c r="O1856" t="str" cm="1">
        <f t="array" ref="O1856">_xlfn.IFS(F1856="","",F1856&lt;=5,"0 to 5",F1856&lt;=10,"5.1 to 10",F1856&lt;=20,"10 to 20", F1856&lt;= 40, "20 to 40", F1856 &lt;= 50, "40 to 50", F1856 &gt; 50, "&gt;50" )</f>
        <v>0 to 5</v>
      </c>
    </row>
    <row r="1857" spans="1:15" ht="15" customHeight="1" x14ac:dyDescent="0.3">
      <c r="A1857" t="s">
        <v>351</v>
      </c>
      <c r="B1857" s="1">
        <v>46203</v>
      </c>
      <c r="C1857" t="s">
        <v>24</v>
      </c>
      <c r="D1857">
        <v>1703</v>
      </c>
      <c r="E1857">
        <v>1</v>
      </c>
      <c r="F1857">
        <v>1</v>
      </c>
      <c r="G1857" t="s">
        <v>368</v>
      </c>
      <c r="I1857" t="str">
        <f t="shared" si="31"/>
        <v>1703_1</v>
      </c>
      <c r="J1857" t="s">
        <v>241</v>
      </c>
      <c r="K1857" t="s">
        <v>179</v>
      </c>
      <c r="L1857" t="str">
        <f>_xlfn.XLOOKUP(C1857, Table2[Species],Table2[Genus], "Code Not Found")</f>
        <v>Lirodendron</v>
      </c>
      <c r="M1857" t="str">
        <f>_xlfn.XLOOKUP(C1857, Table2[Species],Table2[Sp. Name], "Code Not Found")</f>
        <v>tulipfera</v>
      </c>
      <c r="N1857" t="str">
        <f>_xlfn.XLOOKUP(C1857,Table2[Species],Table2[Family],"Code Not Found")</f>
        <v>Magnoliaceae</v>
      </c>
      <c r="O1857" t="str" cm="1">
        <f t="array" ref="O1857">_xlfn.IFS(F1857="","",F1857&lt;=5,"0 to 5",F1857&lt;=10,"5.1 to 10",F1857&lt;=20,"10 to 20", F1857&lt;= 40, "20 to 40", F1857 &lt;= 50, "40 to 50", F1857 &gt; 50, "&gt;50" )</f>
        <v>0 to 5</v>
      </c>
    </row>
    <row r="1858" spans="1:15" ht="15" customHeight="1" x14ac:dyDescent="0.3">
      <c r="A1858" t="s">
        <v>351</v>
      </c>
      <c r="B1858" s="1">
        <v>46203</v>
      </c>
      <c r="C1858" t="s">
        <v>16</v>
      </c>
      <c r="D1858">
        <v>1704</v>
      </c>
      <c r="E1858">
        <v>1</v>
      </c>
      <c r="F1858">
        <v>10.3</v>
      </c>
      <c r="G1858" t="s">
        <v>21</v>
      </c>
      <c r="I1858" t="str">
        <f t="shared" si="31"/>
        <v>1704_1</v>
      </c>
      <c r="J1858" t="s">
        <v>241</v>
      </c>
      <c r="K1858" t="s">
        <v>179</v>
      </c>
      <c r="L1858" t="str">
        <f>_xlfn.XLOOKUP(C1858, Table2[Species],Table2[Genus], "Code Not Found")</f>
        <v>Acer</v>
      </c>
      <c r="M1858" t="str">
        <f>_xlfn.XLOOKUP(C1858, Table2[Species],Table2[Sp. Name], "Code Not Found")</f>
        <v>saccharum</v>
      </c>
      <c r="N1858" t="str">
        <f>_xlfn.XLOOKUP(C1858,Table2[Species],Table2[Family],"Code Not Found")</f>
        <v>Sapindaceae</v>
      </c>
      <c r="O1858" t="str" cm="1">
        <f t="array" ref="O1858">_xlfn.IFS(F1858="","",F1858&lt;=5,"0 to 5",F1858&lt;=10,"5.1 to 10",F1858&lt;=20,"10 to 20", F1858&lt;= 40, "20 to 40", F1858 &lt;= 50, "40 to 50", F1858 &gt; 50, "&gt;50" )</f>
        <v>10 to 20</v>
      </c>
    </row>
    <row r="1859" spans="1:15" ht="15" customHeight="1" x14ac:dyDescent="0.3">
      <c r="A1859" t="s">
        <v>351</v>
      </c>
      <c r="B1859" s="1">
        <v>46203</v>
      </c>
      <c r="C1859" t="s">
        <v>16</v>
      </c>
      <c r="D1859">
        <v>1705</v>
      </c>
      <c r="E1859">
        <v>1</v>
      </c>
      <c r="F1859">
        <v>13.8</v>
      </c>
      <c r="G1859" t="s">
        <v>17</v>
      </c>
      <c r="I1859" t="str">
        <f t="shared" si="31"/>
        <v>1705_1</v>
      </c>
      <c r="J1859" t="s">
        <v>241</v>
      </c>
      <c r="K1859" t="s">
        <v>179</v>
      </c>
      <c r="L1859" t="str">
        <f>_xlfn.XLOOKUP(C1859, Table2[Species],Table2[Genus], "Code Not Found")</f>
        <v>Acer</v>
      </c>
      <c r="M1859" t="str">
        <f>_xlfn.XLOOKUP(C1859, Table2[Species],Table2[Sp. Name], "Code Not Found")</f>
        <v>saccharum</v>
      </c>
      <c r="N1859" t="str">
        <f>_xlfn.XLOOKUP(C1859,Table2[Species],Table2[Family],"Code Not Found")</f>
        <v>Sapindaceae</v>
      </c>
      <c r="O1859" t="str" cm="1">
        <f t="array" ref="O1859">_xlfn.IFS(F1859="","",F1859&lt;=5,"0 to 5",F1859&lt;=10,"5.1 to 10",F1859&lt;=20,"10 to 20", F1859&lt;= 40, "20 to 40", F1859 &lt;= 50, "40 to 50", F1859 &gt; 50, "&gt;50" )</f>
        <v>10 to 20</v>
      </c>
    </row>
    <row r="1860" spans="1:15" ht="15" customHeight="1" x14ac:dyDescent="0.3">
      <c r="A1860" t="s">
        <v>351</v>
      </c>
      <c r="B1860" s="1">
        <v>46203</v>
      </c>
      <c r="C1860" t="s">
        <v>16</v>
      </c>
      <c r="D1860">
        <v>1706</v>
      </c>
      <c r="E1860">
        <v>1</v>
      </c>
      <c r="F1860">
        <v>5.7</v>
      </c>
      <c r="G1860" t="s">
        <v>17</v>
      </c>
      <c r="I1860" t="str">
        <f t="shared" si="31"/>
        <v>1706_1</v>
      </c>
      <c r="J1860" t="s">
        <v>241</v>
      </c>
      <c r="K1860" t="s">
        <v>179</v>
      </c>
      <c r="L1860" t="str">
        <f>_xlfn.XLOOKUP(C1860, Table2[Species],Table2[Genus], "Code Not Found")</f>
        <v>Acer</v>
      </c>
      <c r="M1860" t="str">
        <f>_xlfn.XLOOKUP(C1860, Table2[Species],Table2[Sp. Name], "Code Not Found")</f>
        <v>saccharum</v>
      </c>
      <c r="N1860" t="str">
        <f>_xlfn.XLOOKUP(C1860,Table2[Species],Table2[Family],"Code Not Found")</f>
        <v>Sapindaceae</v>
      </c>
      <c r="O1860" t="str" cm="1">
        <f t="array" ref="O1860">_xlfn.IFS(F1860="","",F1860&lt;=5,"0 to 5",F1860&lt;=10,"5.1 to 10",F1860&lt;=20,"10 to 20", F1860&lt;= 40, "20 to 40", F1860 &lt;= 50, "40 to 50", F1860 &gt; 50, "&gt;50" )</f>
        <v>5.1 to 10</v>
      </c>
    </row>
    <row r="1861" spans="1:15" ht="15" customHeight="1" x14ac:dyDescent="0.3">
      <c r="A1861" t="s">
        <v>351</v>
      </c>
      <c r="B1861" s="1">
        <v>46203</v>
      </c>
      <c r="C1861" t="s">
        <v>16</v>
      </c>
      <c r="D1861">
        <v>1707</v>
      </c>
      <c r="E1861">
        <v>1</v>
      </c>
      <c r="F1861">
        <v>16.5</v>
      </c>
      <c r="G1861" t="s">
        <v>376</v>
      </c>
      <c r="H1861" t="s">
        <v>390</v>
      </c>
      <c r="I1861" t="str">
        <f t="shared" si="31"/>
        <v>1707_1</v>
      </c>
      <c r="J1861" t="s">
        <v>241</v>
      </c>
      <c r="K1861" t="s">
        <v>179</v>
      </c>
      <c r="L1861" t="str">
        <f>_xlfn.XLOOKUP(C1861, Table2[Species],Table2[Genus], "Code Not Found")</f>
        <v>Acer</v>
      </c>
      <c r="M1861" t="str">
        <f>_xlfn.XLOOKUP(C1861, Table2[Species],Table2[Sp. Name], "Code Not Found")</f>
        <v>saccharum</v>
      </c>
      <c r="N1861" t="str">
        <f>_xlfn.XLOOKUP(C1861,Table2[Species],Table2[Family],"Code Not Found")</f>
        <v>Sapindaceae</v>
      </c>
      <c r="O1861" t="str" cm="1">
        <f t="array" ref="O1861">_xlfn.IFS(F1861="","",F1861&lt;=5,"0 to 5",F1861&lt;=10,"5.1 to 10",F1861&lt;=20,"10 to 20", F1861&lt;= 40, "20 to 40", F1861 &lt;= 50, "40 to 50", F1861 &gt; 50, "&gt;50" )</f>
        <v>10 to 20</v>
      </c>
    </row>
    <row r="1862" spans="1:15" ht="15" customHeight="1" x14ac:dyDescent="0.3">
      <c r="A1862" t="s">
        <v>351</v>
      </c>
      <c r="B1862" s="1">
        <v>46203</v>
      </c>
      <c r="C1862" t="s">
        <v>64</v>
      </c>
      <c r="D1862">
        <v>1708</v>
      </c>
      <c r="E1862">
        <v>1</v>
      </c>
      <c r="F1862">
        <v>16.3</v>
      </c>
      <c r="G1862" t="s">
        <v>17</v>
      </c>
      <c r="H1862" t="s">
        <v>391</v>
      </c>
      <c r="I1862" t="str">
        <f t="shared" si="31"/>
        <v>1708_1</v>
      </c>
      <c r="J1862" t="s">
        <v>241</v>
      </c>
      <c r="K1862" t="s">
        <v>179</v>
      </c>
      <c r="L1862" t="str">
        <f>_xlfn.XLOOKUP(C1862, Table2[Species],Table2[Genus], "Code Not Found")</f>
        <v>Fagus</v>
      </c>
      <c r="M1862" t="str">
        <f>_xlfn.XLOOKUP(C1862, Table2[Species],Table2[Sp. Name], "Code Not Found")</f>
        <v>grandifolia</v>
      </c>
      <c r="N1862" t="str">
        <f>_xlfn.XLOOKUP(C1862,Table2[Species],Table2[Family],"Code Not Found")</f>
        <v>Fagaceae</v>
      </c>
      <c r="O1862" t="str" cm="1">
        <f t="array" ref="O1862">_xlfn.IFS(F1862="","",F1862&lt;=5,"0 to 5",F1862&lt;=10,"5.1 to 10",F1862&lt;=20,"10 to 20", F1862&lt;= 40, "20 to 40", F1862 &lt;= 50, "40 to 50", F1862 &gt; 50, "&gt;50" )</f>
        <v>10 to 20</v>
      </c>
    </row>
    <row r="1863" spans="1:15" ht="15" customHeight="1" x14ac:dyDescent="0.3">
      <c r="A1863" t="s">
        <v>351</v>
      </c>
      <c r="B1863" s="1">
        <v>46203</v>
      </c>
      <c r="C1863" t="s">
        <v>16</v>
      </c>
      <c r="D1863">
        <v>1709</v>
      </c>
      <c r="E1863">
        <v>1</v>
      </c>
      <c r="F1863">
        <v>10</v>
      </c>
      <c r="G1863" t="s">
        <v>47</v>
      </c>
      <c r="I1863" t="str">
        <f t="shared" si="31"/>
        <v>1709_1</v>
      </c>
      <c r="J1863" t="s">
        <v>241</v>
      </c>
      <c r="K1863" t="s">
        <v>179</v>
      </c>
      <c r="L1863" t="str">
        <f>_xlfn.XLOOKUP(C1863, Table2[Species],Table2[Genus], "Code Not Found")</f>
        <v>Acer</v>
      </c>
      <c r="M1863" t="str">
        <f>_xlfn.XLOOKUP(C1863, Table2[Species],Table2[Sp. Name], "Code Not Found")</f>
        <v>saccharum</v>
      </c>
      <c r="N1863" t="str">
        <f>_xlfn.XLOOKUP(C1863,Table2[Species],Table2[Family],"Code Not Found")</f>
        <v>Sapindaceae</v>
      </c>
      <c r="O1863" t="str" cm="1">
        <f t="array" ref="O1863">_xlfn.IFS(F1863="","",F1863&lt;=5,"0 to 5",F1863&lt;=10,"5.1 to 10",F1863&lt;=20,"10 to 20", F1863&lt;= 40, "20 to 40", F1863 &lt;= 50, "40 to 50", F1863 &gt; 50, "&gt;50" )</f>
        <v>5.1 to 10</v>
      </c>
    </row>
    <row r="1864" spans="1:15" ht="15" customHeight="1" x14ac:dyDescent="0.3">
      <c r="A1864" t="s">
        <v>351</v>
      </c>
      <c r="B1864" s="1">
        <v>46203</v>
      </c>
      <c r="C1864" t="s">
        <v>16</v>
      </c>
      <c r="D1864">
        <v>1710</v>
      </c>
      <c r="E1864">
        <v>1</v>
      </c>
      <c r="F1864">
        <v>26</v>
      </c>
      <c r="G1864" t="s">
        <v>30</v>
      </c>
      <c r="H1864" t="s">
        <v>392</v>
      </c>
      <c r="I1864" t="str">
        <f t="shared" si="31"/>
        <v>1710_1</v>
      </c>
      <c r="J1864" t="s">
        <v>241</v>
      </c>
      <c r="K1864" t="s">
        <v>179</v>
      </c>
      <c r="L1864" t="str">
        <f>_xlfn.XLOOKUP(C1864, Table2[Species],Table2[Genus], "Code Not Found")</f>
        <v>Acer</v>
      </c>
      <c r="M1864" t="str">
        <f>_xlfn.XLOOKUP(C1864, Table2[Species],Table2[Sp. Name], "Code Not Found")</f>
        <v>saccharum</v>
      </c>
      <c r="N1864" t="str">
        <f>_xlfn.XLOOKUP(C1864,Table2[Species],Table2[Family],"Code Not Found")</f>
        <v>Sapindaceae</v>
      </c>
      <c r="O1864" t="str" cm="1">
        <f t="array" ref="O1864">_xlfn.IFS(F1864="","",F1864&lt;=5,"0 to 5",F1864&lt;=10,"5.1 to 10",F1864&lt;=20,"10 to 20", F1864&lt;= 40, "20 to 40", F1864 &lt;= 50, "40 to 50", F1864 &gt; 50, "&gt;50" )</f>
        <v>20 to 40</v>
      </c>
    </row>
    <row r="1865" spans="1:15" ht="15" customHeight="1" x14ac:dyDescent="0.3">
      <c r="A1865" t="s">
        <v>351</v>
      </c>
      <c r="B1865" s="1">
        <v>46203</v>
      </c>
      <c r="C1865" t="s">
        <v>64</v>
      </c>
      <c r="D1865">
        <v>1711</v>
      </c>
      <c r="E1865">
        <v>1</v>
      </c>
      <c r="F1865">
        <v>11</v>
      </c>
      <c r="G1865" t="s">
        <v>94</v>
      </c>
      <c r="H1865" t="s">
        <v>158</v>
      </c>
      <c r="I1865" t="str">
        <f t="shared" si="31"/>
        <v>1711_1</v>
      </c>
      <c r="J1865" t="s">
        <v>241</v>
      </c>
      <c r="K1865" t="s">
        <v>179</v>
      </c>
      <c r="L1865" t="str">
        <f>_xlfn.XLOOKUP(C1865, Table2[Species],Table2[Genus], "Code Not Found")</f>
        <v>Fagus</v>
      </c>
      <c r="M1865" t="str">
        <f>_xlfn.XLOOKUP(C1865, Table2[Species],Table2[Sp. Name], "Code Not Found")</f>
        <v>grandifolia</v>
      </c>
      <c r="N1865" t="str">
        <f>_xlfn.XLOOKUP(C1865,Table2[Species],Table2[Family],"Code Not Found")</f>
        <v>Fagaceae</v>
      </c>
      <c r="O1865" t="str" cm="1">
        <f t="array" ref="O1865">_xlfn.IFS(F1865="","",F1865&lt;=5,"0 to 5",F1865&lt;=10,"5.1 to 10",F1865&lt;=20,"10 to 20", F1865&lt;= 40, "20 to 40", F1865 &lt;= 50, "40 to 50", F1865 &gt; 50, "&gt;50" )</f>
        <v>10 to 20</v>
      </c>
    </row>
    <row r="1866" spans="1:15" ht="15" customHeight="1" x14ac:dyDescent="0.3">
      <c r="A1866" t="s">
        <v>351</v>
      </c>
      <c r="B1866" s="1">
        <v>46203</v>
      </c>
      <c r="C1866" t="s">
        <v>64</v>
      </c>
      <c r="D1866">
        <v>1712</v>
      </c>
      <c r="E1866">
        <v>1</v>
      </c>
      <c r="F1866">
        <v>20.9</v>
      </c>
      <c r="G1866" t="s">
        <v>21</v>
      </c>
      <c r="I1866" t="str">
        <f t="shared" si="31"/>
        <v>1712_1</v>
      </c>
      <c r="J1866" t="s">
        <v>241</v>
      </c>
      <c r="K1866" t="s">
        <v>179</v>
      </c>
      <c r="L1866" t="str">
        <f>_xlfn.XLOOKUP(C1866, Table2[Species],Table2[Genus], "Code Not Found")</f>
        <v>Fagus</v>
      </c>
      <c r="M1866" t="str">
        <f>_xlfn.XLOOKUP(C1866, Table2[Species],Table2[Sp. Name], "Code Not Found")</f>
        <v>grandifolia</v>
      </c>
      <c r="N1866" t="str">
        <f>_xlfn.XLOOKUP(C1866,Table2[Species],Table2[Family],"Code Not Found")</f>
        <v>Fagaceae</v>
      </c>
      <c r="O1866" t="str" cm="1">
        <f t="array" ref="O1866">_xlfn.IFS(F1866="","",F1866&lt;=5,"0 to 5",F1866&lt;=10,"5.1 to 10",F1866&lt;=20,"10 to 20", F1866&lt;= 40, "20 to 40", F1866 &lt;= 50, "40 to 50", F1866 &gt; 50, "&gt;50" )</f>
        <v>20 to 40</v>
      </c>
    </row>
    <row r="1867" spans="1:15" ht="15" customHeight="1" x14ac:dyDescent="0.3">
      <c r="A1867" t="s">
        <v>351</v>
      </c>
      <c r="B1867" s="1">
        <v>46203</v>
      </c>
      <c r="C1867" t="s">
        <v>16</v>
      </c>
      <c r="D1867">
        <v>1713</v>
      </c>
      <c r="E1867">
        <v>1</v>
      </c>
      <c r="F1867">
        <v>10.5</v>
      </c>
      <c r="G1867" t="s">
        <v>17</v>
      </c>
      <c r="I1867" t="str">
        <f t="shared" si="31"/>
        <v>1713_1</v>
      </c>
      <c r="J1867" t="s">
        <v>241</v>
      </c>
      <c r="K1867" t="s">
        <v>179</v>
      </c>
      <c r="L1867" t="str">
        <f>_xlfn.XLOOKUP(C1867, Table2[Species],Table2[Genus], "Code Not Found")</f>
        <v>Acer</v>
      </c>
      <c r="M1867" t="str">
        <f>_xlfn.XLOOKUP(C1867, Table2[Species],Table2[Sp. Name], "Code Not Found")</f>
        <v>saccharum</v>
      </c>
      <c r="N1867" t="str">
        <f>_xlfn.XLOOKUP(C1867,Table2[Species],Table2[Family],"Code Not Found")</f>
        <v>Sapindaceae</v>
      </c>
      <c r="O1867" t="str" cm="1">
        <f t="array" ref="O1867">_xlfn.IFS(F1867="","",F1867&lt;=5,"0 to 5",F1867&lt;=10,"5.1 to 10",F1867&lt;=20,"10 to 20", F1867&lt;= 40, "20 to 40", F1867 &lt;= 50, "40 to 50", F1867 &gt; 50, "&gt;50" )</f>
        <v>10 to 20</v>
      </c>
    </row>
    <row r="1868" spans="1:15" ht="15" customHeight="1" x14ac:dyDescent="0.3">
      <c r="A1868" t="s">
        <v>351</v>
      </c>
      <c r="B1868" s="1">
        <v>46203</v>
      </c>
      <c r="C1868" t="s">
        <v>16</v>
      </c>
      <c r="D1868">
        <v>1714</v>
      </c>
      <c r="E1868">
        <v>1</v>
      </c>
      <c r="F1868">
        <v>13.5</v>
      </c>
      <c r="G1868" t="s">
        <v>21</v>
      </c>
      <c r="I1868" t="str">
        <f t="shared" si="31"/>
        <v>1714_1</v>
      </c>
      <c r="J1868" t="s">
        <v>241</v>
      </c>
      <c r="K1868" t="s">
        <v>179</v>
      </c>
      <c r="L1868" t="str">
        <f>_xlfn.XLOOKUP(C1868, Table2[Species],Table2[Genus], "Code Not Found")</f>
        <v>Acer</v>
      </c>
      <c r="M1868" t="str">
        <f>_xlfn.XLOOKUP(C1868, Table2[Species],Table2[Sp. Name], "Code Not Found")</f>
        <v>saccharum</v>
      </c>
      <c r="N1868" t="str">
        <f>_xlfn.XLOOKUP(C1868,Table2[Species],Table2[Family],"Code Not Found")</f>
        <v>Sapindaceae</v>
      </c>
      <c r="O1868" t="str" cm="1">
        <f t="array" ref="O1868">_xlfn.IFS(F1868="","",F1868&lt;=5,"0 to 5",F1868&lt;=10,"5.1 to 10",F1868&lt;=20,"10 to 20", F1868&lt;= 40, "20 to 40", F1868 &lt;= 50, "40 to 50", F1868 &gt; 50, "&gt;50" )</f>
        <v>10 to 20</v>
      </c>
    </row>
    <row r="1869" spans="1:15" ht="15" customHeight="1" x14ac:dyDescent="0.3">
      <c r="A1869" t="s">
        <v>351</v>
      </c>
      <c r="B1869" s="1">
        <v>46203</v>
      </c>
      <c r="C1869" t="s">
        <v>16</v>
      </c>
      <c r="D1869">
        <v>1715</v>
      </c>
      <c r="E1869">
        <v>1</v>
      </c>
      <c r="F1869">
        <v>6.5</v>
      </c>
      <c r="G1869" t="s">
        <v>139</v>
      </c>
      <c r="H1869" t="s">
        <v>393</v>
      </c>
      <c r="I1869" t="str">
        <f t="shared" si="31"/>
        <v>1715_1</v>
      </c>
      <c r="J1869" t="s">
        <v>241</v>
      </c>
      <c r="K1869" t="s">
        <v>179</v>
      </c>
      <c r="L1869" t="str">
        <f>_xlfn.XLOOKUP(C1869, Table2[Species],Table2[Genus], "Code Not Found")</f>
        <v>Acer</v>
      </c>
      <c r="M1869" t="str">
        <f>_xlfn.XLOOKUP(C1869, Table2[Species],Table2[Sp. Name], "Code Not Found")</f>
        <v>saccharum</v>
      </c>
      <c r="N1869" t="str">
        <f>_xlfn.XLOOKUP(C1869,Table2[Species],Table2[Family],"Code Not Found")</f>
        <v>Sapindaceae</v>
      </c>
      <c r="O1869" t="str" cm="1">
        <f t="array" ref="O1869">_xlfn.IFS(F1869="","",F1869&lt;=5,"0 to 5",F1869&lt;=10,"5.1 to 10",F1869&lt;=20,"10 to 20", F1869&lt;= 40, "20 to 40", F1869 &lt;= 50, "40 to 50", F1869 &gt; 50, "&gt;50" )</f>
        <v>5.1 to 10</v>
      </c>
    </row>
    <row r="1870" spans="1:15" ht="15" customHeight="1" x14ac:dyDescent="0.3">
      <c r="A1870" t="s">
        <v>351</v>
      </c>
      <c r="B1870" s="1">
        <v>46203</v>
      </c>
      <c r="C1870" t="s">
        <v>16</v>
      </c>
      <c r="D1870">
        <v>1716</v>
      </c>
      <c r="E1870">
        <v>1</v>
      </c>
      <c r="F1870">
        <v>14.4</v>
      </c>
      <c r="G1870" t="s">
        <v>17</v>
      </c>
      <c r="I1870" t="str">
        <f t="shared" si="31"/>
        <v>1716_1</v>
      </c>
      <c r="J1870" t="s">
        <v>241</v>
      </c>
      <c r="K1870" t="s">
        <v>179</v>
      </c>
      <c r="L1870" t="str">
        <f>_xlfn.XLOOKUP(C1870, Table2[Species],Table2[Genus], "Code Not Found")</f>
        <v>Acer</v>
      </c>
      <c r="M1870" t="str">
        <f>_xlfn.XLOOKUP(C1870, Table2[Species],Table2[Sp. Name], "Code Not Found")</f>
        <v>saccharum</v>
      </c>
      <c r="N1870" t="str">
        <f>_xlfn.XLOOKUP(C1870,Table2[Species],Table2[Family],"Code Not Found")</f>
        <v>Sapindaceae</v>
      </c>
      <c r="O1870" t="str" cm="1">
        <f t="array" ref="O1870">_xlfn.IFS(F1870="","",F1870&lt;=5,"0 to 5",F1870&lt;=10,"5.1 to 10",F1870&lt;=20,"10 to 20", F1870&lt;= 40, "20 to 40", F1870 &lt;= 50, "40 to 50", F1870 &gt; 50, "&gt;50" )</f>
        <v>10 to 20</v>
      </c>
    </row>
    <row r="1871" spans="1:15" ht="15" customHeight="1" x14ac:dyDescent="0.3">
      <c r="A1871" t="s">
        <v>351</v>
      </c>
      <c r="B1871" s="1">
        <v>46203</v>
      </c>
      <c r="C1871" t="s">
        <v>16</v>
      </c>
      <c r="D1871">
        <v>1717</v>
      </c>
      <c r="E1871">
        <v>1</v>
      </c>
      <c r="F1871">
        <v>6.4</v>
      </c>
      <c r="G1871" t="s">
        <v>47</v>
      </c>
      <c r="I1871" t="str">
        <f t="shared" si="31"/>
        <v>1717_1</v>
      </c>
      <c r="J1871" t="s">
        <v>241</v>
      </c>
      <c r="K1871" t="s">
        <v>179</v>
      </c>
      <c r="L1871" t="str">
        <f>_xlfn.XLOOKUP(C1871, Table2[Species],Table2[Genus], "Code Not Found")</f>
        <v>Acer</v>
      </c>
      <c r="M1871" t="str">
        <f>_xlfn.XLOOKUP(C1871, Table2[Species],Table2[Sp. Name], "Code Not Found")</f>
        <v>saccharum</v>
      </c>
      <c r="N1871" t="str">
        <f>_xlfn.XLOOKUP(C1871,Table2[Species],Table2[Family],"Code Not Found")</f>
        <v>Sapindaceae</v>
      </c>
      <c r="O1871" t="str" cm="1">
        <f t="array" ref="O1871">_xlfn.IFS(F1871="","",F1871&lt;=5,"0 to 5",F1871&lt;=10,"5.1 to 10",F1871&lt;=20,"10 to 20", F1871&lt;= 40, "20 to 40", F1871 &lt;= 50, "40 to 50", F1871 &gt; 50, "&gt;50" )</f>
        <v>5.1 to 10</v>
      </c>
    </row>
    <row r="1872" spans="1:15" ht="15" customHeight="1" x14ac:dyDescent="0.3">
      <c r="A1872" t="s">
        <v>351</v>
      </c>
      <c r="B1872" s="1">
        <v>46203</v>
      </c>
      <c r="C1872" t="s">
        <v>64</v>
      </c>
      <c r="D1872">
        <v>1718</v>
      </c>
      <c r="E1872">
        <v>1</v>
      </c>
      <c r="F1872">
        <v>7.7</v>
      </c>
      <c r="G1872" t="s">
        <v>21</v>
      </c>
      <c r="H1872" t="s">
        <v>297</v>
      </c>
      <c r="I1872" t="str">
        <f t="shared" si="31"/>
        <v>1718_1</v>
      </c>
      <c r="J1872" t="s">
        <v>241</v>
      </c>
      <c r="K1872" t="s">
        <v>179</v>
      </c>
      <c r="L1872" t="str">
        <f>_xlfn.XLOOKUP(C1872, Table2[Species],Table2[Genus], "Code Not Found")</f>
        <v>Fagus</v>
      </c>
      <c r="M1872" t="str">
        <f>_xlfn.XLOOKUP(C1872, Table2[Species],Table2[Sp. Name], "Code Not Found")</f>
        <v>grandifolia</v>
      </c>
      <c r="N1872" t="str">
        <f>_xlfn.XLOOKUP(C1872,Table2[Species],Table2[Family],"Code Not Found")</f>
        <v>Fagaceae</v>
      </c>
      <c r="O1872" t="str" cm="1">
        <f t="array" ref="O1872">_xlfn.IFS(F1872="","",F1872&lt;=5,"0 to 5",F1872&lt;=10,"5.1 to 10",F1872&lt;=20,"10 to 20", F1872&lt;= 40, "20 to 40", F1872 &lt;= 50, "40 to 50", F1872 &gt; 50, "&gt;50" )</f>
        <v>5.1 to 10</v>
      </c>
    </row>
    <row r="1873" spans="1:15" ht="15" customHeight="1" x14ac:dyDescent="0.3">
      <c r="A1873" t="s">
        <v>351</v>
      </c>
      <c r="B1873" s="1">
        <v>46203</v>
      </c>
      <c r="C1873" t="s">
        <v>64</v>
      </c>
      <c r="D1873">
        <v>1719</v>
      </c>
      <c r="E1873">
        <v>1</v>
      </c>
      <c r="F1873">
        <v>11.9</v>
      </c>
      <c r="G1873" t="s">
        <v>21</v>
      </c>
      <c r="I1873" t="str">
        <f t="shared" si="31"/>
        <v>1719_1</v>
      </c>
      <c r="J1873" t="s">
        <v>241</v>
      </c>
      <c r="K1873" t="s">
        <v>179</v>
      </c>
      <c r="L1873" t="str">
        <f>_xlfn.XLOOKUP(C1873, Table2[Species],Table2[Genus], "Code Not Found")</f>
        <v>Fagus</v>
      </c>
      <c r="M1873" t="str">
        <f>_xlfn.XLOOKUP(C1873, Table2[Species],Table2[Sp. Name], "Code Not Found")</f>
        <v>grandifolia</v>
      </c>
      <c r="N1873" t="str">
        <f>_xlfn.XLOOKUP(C1873,Table2[Species],Table2[Family],"Code Not Found")</f>
        <v>Fagaceae</v>
      </c>
      <c r="O1873" t="str" cm="1">
        <f t="array" ref="O1873">_xlfn.IFS(F1873="","",F1873&lt;=5,"0 to 5",F1873&lt;=10,"5.1 to 10",F1873&lt;=20,"10 to 20", F1873&lt;= 40, "20 to 40", F1873 &lt;= 50, "40 to 50", F1873 &gt; 50, "&gt;50" )</f>
        <v>10 to 20</v>
      </c>
    </row>
    <row r="1874" spans="1:15" ht="15" customHeight="1" x14ac:dyDescent="0.3">
      <c r="A1874" t="s">
        <v>351</v>
      </c>
      <c r="B1874" s="1">
        <v>46203</v>
      </c>
      <c r="C1874" t="s">
        <v>64</v>
      </c>
      <c r="D1874">
        <v>1720</v>
      </c>
      <c r="E1874">
        <v>1</v>
      </c>
      <c r="F1874">
        <v>64.3</v>
      </c>
      <c r="G1874" t="s">
        <v>21</v>
      </c>
      <c r="I1874" t="str">
        <f t="shared" si="31"/>
        <v>1720_1</v>
      </c>
      <c r="J1874" t="s">
        <v>241</v>
      </c>
      <c r="K1874" t="s">
        <v>179</v>
      </c>
      <c r="L1874" t="str">
        <f>_xlfn.XLOOKUP(C1874, Table2[Species],Table2[Genus], "Code Not Found")</f>
        <v>Fagus</v>
      </c>
      <c r="M1874" t="str">
        <f>_xlfn.XLOOKUP(C1874, Table2[Species],Table2[Sp. Name], "Code Not Found")</f>
        <v>grandifolia</v>
      </c>
      <c r="N1874" t="str">
        <f>_xlfn.XLOOKUP(C1874,Table2[Species],Table2[Family],"Code Not Found")</f>
        <v>Fagaceae</v>
      </c>
      <c r="O1874" t="str" cm="1">
        <f t="array" ref="O1874">_xlfn.IFS(F1874="","",F1874&lt;=5,"0 to 5",F1874&lt;=10,"5.1 to 10",F1874&lt;=20,"10 to 20", F1874&lt;= 40, "20 to 40", F1874 &lt;= 50, "40 to 50", F1874 &gt; 50, "&gt;50" )</f>
        <v>&gt;50</v>
      </c>
    </row>
    <row r="1875" spans="1:15" ht="15" customHeight="1" x14ac:dyDescent="0.3">
      <c r="A1875" t="s">
        <v>351</v>
      </c>
      <c r="B1875" s="1">
        <v>46203</v>
      </c>
      <c r="C1875" t="s">
        <v>64</v>
      </c>
      <c r="D1875">
        <v>1721</v>
      </c>
      <c r="E1875">
        <v>1</v>
      </c>
      <c r="F1875">
        <v>6.4</v>
      </c>
      <c r="G1875" t="s">
        <v>30</v>
      </c>
      <c r="H1875" t="s">
        <v>394</v>
      </c>
      <c r="I1875" t="str">
        <f t="shared" si="31"/>
        <v>1721_1</v>
      </c>
      <c r="J1875" t="s">
        <v>241</v>
      </c>
      <c r="K1875" t="s">
        <v>179</v>
      </c>
      <c r="L1875" t="str">
        <f>_xlfn.XLOOKUP(C1875, Table2[Species],Table2[Genus], "Code Not Found")</f>
        <v>Fagus</v>
      </c>
      <c r="M1875" t="str">
        <f>_xlfn.XLOOKUP(C1875, Table2[Species],Table2[Sp. Name], "Code Not Found")</f>
        <v>grandifolia</v>
      </c>
      <c r="N1875" t="str">
        <f>_xlfn.XLOOKUP(C1875,Table2[Species],Table2[Family],"Code Not Found")</f>
        <v>Fagaceae</v>
      </c>
      <c r="O1875" t="str" cm="1">
        <f t="array" ref="O1875">_xlfn.IFS(F1875="","",F1875&lt;=5,"0 to 5",F1875&lt;=10,"5.1 to 10",F1875&lt;=20,"10 to 20", F1875&lt;= 40, "20 to 40", F1875 &lt;= 50, "40 to 50", F1875 &gt; 50, "&gt;50" )</f>
        <v>5.1 to 10</v>
      </c>
    </row>
    <row r="1876" spans="1:15" ht="15" customHeight="1" x14ac:dyDescent="0.3">
      <c r="A1876" t="s">
        <v>351</v>
      </c>
      <c r="B1876" s="1">
        <v>46203</v>
      </c>
      <c r="C1876" t="s">
        <v>16</v>
      </c>
      <c r="D1876">
        <v>1722</v>
      </c>
      <c r="E1876">
        <v>1</v>
      </c>
      <c r="F1876">
        <v>6.4</v>
      </c>
      <c r="G1876" t="s">
        <v>51</v>
      </c>
      <c r="H1876" t="s">
        <v>395</v>
      </c>
      <c r="I1876" t="str">
        <f t="shared" si="31"/>
        <v>1722_1</v>
      </c>
      <c r="J1876" t="s">
        <v>241</v>
      </c>
      <c r="K1876" t="s">
        <v>179</v>
      </c>
      <c r="L1876" t="str">
        <f>_xlfn.XLOOKUP(C1876, Table2[Species],Table2[Genus], "Code Not Found")</f>
        <v>Acer</v>
      </c>
      <c r="M1876" t="str">
        <f>_xlfn.XLOOKUP(C1876, Table2[Species],Table2[Sp. Name], "Code Not Found")</f>
        <v>saccharum</v>
      </c>
      <c r="N1876" t="str">
        <f>_xlfn.XLOOKUP(C1876,Table2[Species],Table2[Family],"Code Not Found")</f>
        <v>Sapindaceae</v>
      </c>
      <c r="O1876" t="str" cm="1">
        <f t="array" ref="O1876">_xlfn.IFS(F1876="","",F1876&lt;=5,"0 to 5",F1876&lt;=10,"5.1 to 10",F1876&lt;=20,"10 to 20", F1876&lt;= 40, "20 to 40", F1876 &lt;= 50, "40 to 50", F1876 &gt; 50, "&gt;50" )</f>
        <v>5.1 to 10</v>
      </c>
    </row>
    <row r="1877" spans="1:15" ht="15" customHeight="1" x14ac:dyDescent="0.3">
      <c r="A1877" t="s">
        <v>351</v>
      </c>
      <c r="B1877" s="1">
        <v>46203</v>
      </c>
      <c r="C1877" t="s">
        <v>16</v>
      </c>
      <c r="D1877">
        <v>1723</v>
      </c>
      <c r="E1877">
        <v>1</v>
      </c>
      <c r="F1877">
        <v>17</v>
      </c>
      <c r="G1877" t="s">
        <v>17</v>
      </c>
      <c r="H1877" t="s">
        <v>36</v>
      </c>
      <c r="I1877" t="str">
        <f t="shared" si="31"/>
        <v>1723_1</v>
      </c>
      <c r="J1877" t="s">
        <v>241</v>
      </c>
      <c r="K1877" t="s">
        <v>179</v>
      </c>
      <c r="L1877" t="str">
        <f>_xlfn.XLOOKUP(C1877, Table2[Species],Table2[Genus], "Code Not Found")</f>
        <v>Acer</v>
      </c>
      <c r="M1877" t="str">
        <f>_xlfn.XLOOKUP(C1877, Table2[Species],Table2[Sp. Name], "Code Not Found")</f>
        <v>saccharum</v>
      </c>
      <c r="N1877" t="str">
        <f>_xlfn.XLOOKUP(C1877,Table2[Species],Table2[Family],"Code Not Found")</f>
        <v>Sapindaceae</v>
      </c>
      <c r="O1877" t="str" cm="1">
        <f t="array" ref="O1877">_xlfn.IFS(F1877="","",F1877&lt;=5,"0 to 5",F1877&lt;=10,"5.1 to 10",F1877&lt;=20,"10 to 20", F1877&lt;= 40, "20 to 40", F1877 &lt;= 50, "40 to 50", F1877 &gt; 50, "&gt;50" )</f>
        <v>10 to 20</v>
      </c>
    </row>
    <row r="1878" spans="1:15" ht="15" customHeight="1" x14ac:dyDescent="0.3">
      <c r="A1878" t="s">
        <v>351</v>
      </c>
      <c r="B1878" s="1">
        <v>46203</v>
      </c>
      <c r="C1878" t="s">
        <v>16</v>
      </c>
      <c r="D1878">
        <v>1724</v>
      </c>
      <c r="E1878">
        <v>1</v>
      </c>
      <c r="F1878">
        <v>7.5</v>
      </c>
      <c r="G1878" t="s">
        <v>88</v>
      </c>
      <c r="H1878" t="s">
        <v>234</v>
      </c>
      <c r="I1878" t="str">
        <f t="shared" si="31"/>
        <v>1724_1</v>
      </c>
      <c r="J1878" t="s">
        <v>241</v>
      </c>
      <c r="K1878" t="s">
        <v>179</v>
      </c>
      <c r="L1878" t="str">
        <f>_xlfn.XLOOKUP(C1878, Table2[Species],Table2[Genus], "Code Not Found")</f>
        <v>Acer</v>
      </c>
      <c r="M1878" t="str">
        <f>_xlfn.XLOOKUP(C1878, Table2[Species],Table2[Sp. Name], "Code Not Found")</f>
        <v>saccharum</v>
      </c>
      <c r="N1878" t="str">
        <f>_xlfn.XLOOKUP(C1878,Table2[Species],Table2[Family],"Code Not Found")</f>
        <v>Sapindaceae</v>
      </c>
      <c r="O1878" t="str" cm="1">
        <f t="array" ref="O1878">_xlfn.IFS(F1878="","",F1878&lt;=5,"0 to 5",F1878&lt;=10,"5.1 to 10",F1878&lt;=20,"10 to 20", F1878&lt;= 40, "20 to 40", F1878 &lt;= 50, "40 to 50", F1878 &gt; 50, "&gt;50" )</f>
        <v>5.1 to 10</v>
      </c>
    </row>
    <row r="1879" spans="1:15" ht="15" customHeight="1" x14ac:dyDescent="0.3">
      <c r="A1879" t="s">
        <v>351</v>
      </c>
      <c r="B1879" s="1">
        <v>46203</v>
      </c>
      <c r="C1879" t="s">
        <v>64</v>
      </c>
      <c r="D1879">
        <v>1725</v>
      </c>
      <c r="E1879">
        <v>1</v>
      </c>
      <c r="F1879">
        <v>77.5</v>
      </c>
      <c r="G1879" t="s">
        <v>17</v>
      </c>
      <c r="I1879" t="str">
        <f t="shared" si="31"/>
        <v>1725_1</v>
      </c>
      <c r="J1879" t="s">
        <v>241</v>
      </c>
      <c r="K1879" t="s">
        <v>179</v>
      </c>
      <c r="L1879" t="str">
        <f>_xlfn.XLOOKUP(C1879, Table2[Species],Table2[Genus], "Code Not Found")</f>
        <v>Fagus</v>
      </c>
      <c r="M1879" t="str">
        <f>_xlfn.XLOOKUP(C1879, Table2[Species],Table2[Sp. Name], "Code Not Found")</f>
        <v>grandifolia</v>
      </c>
      <c r="N1879" t="str">
        <f>_xlfn.XLOOKUP(C1879,Table2[Species],Table2[Family],"Code Not Found")</f>
        <v>Fagaceae</v>
      </c>
      <c r="O1879" t="str" cm="1">
        <f t="array" ref="O1879">_xlfn.IFS(F1879="","",F1879&lt;=5,"0 to 5",F1879&lt;=10,"5.1 to 10",F1879&lt;=20,"10 to 20", F1879&lt;= 40, "20 to 40", F1879 &lt;= 50, "40 to 50", F1879 &gt; 50, "&gt;50" )</f>
        <v>&gt;50</v>
      </c>
    </row>
    <row r="1880" spans="1:15" ht="15" customHeight="1" x14ac:dyDescent="0.3">
      <c r="A1880" t="s">
        <v>351</v>
      </c>
      <c r="B1880" s="1">
        <v>46203</v>
      </c>
      <c r="C1880" t="s">
        <v>64</v>
      </c>
      <c r="D1880">
        <v>1726</v>
      </c>
      <c r="E1880">
        <v>1</v>
      </c>
      <c r="F1880">
        <v>8.3000000000000007</v>
      </c>
      <c r="G1880" t="s">
        <v>30</v>
      </c>
      <c r="H1880" t="s">
        <v>396</v>
      </c>
      <c r="I1880" t="str">
        <f t="shared" si="31"/>
        <v>1726_1</v>
      </c>
      <c r="J1880" t="s">
        <v>241</v>
      </c>
      <c r="K1880" t="s">
        <v>179</v>
      </c>
      <c r="L1880" t="str">
        <f>_xlfn.XLOOKUP(C1880, Table2[Species],Table2[Genus], "Code Not Found")</f>
        <v>Fagus</v>
      </c>
      <c r="M1880" t="str">
        <f>_xlfn.XLOOKUP(C1880, Table2[Species],Table2[Sp. Name], "Code Not Found")</f>
        <v>grandifolia</v>
      </c>
      <c r="N1880" t="str">
        <f>_xlfn.XLOOKUP(C1880,Table2[Species],Table2[Family],"Code Not Found")</f>
        <v>Fagaceae</v>
      </c>
      <c r="O1880" t="str" cm="1">
        <f t="array" ref="O1880">_xlfn.IFS(F1880="","",F1880&lt;=5,"0 to 5",F1880&lt;=10,"5.1 to 10",F1880&lt;=20,"10 to 20", F1880&lt;= 40, "20 to 40", F1880 &lt;= 50, "40 to 50", F1880 &gt; 50, "&gt;50" )</f>
        <v>5.1 to 10</v>
      </c>
    </row>
    <row r="1881" spans="1:15" ht="15" customHeight="1" x14ac:dyDescent="0.3">
      <c r="A1881" t="s">
        <v>351</v>
      </c>
      <c r="B1881" s="1">
        <v>46203</v>
      </c>
      <c r="C1881" t="s">
        <v>16</v>
      </c>
      <c r="D1881">
        <v>1727</v>
      </c>
      <c r="E1881">
        <v>1</v>
      </c>
      <c r="F1881">
        <v>5.2</v>
      </c>
      <c r="G1881" t="s">
        <v>32</v>
      </c>
      <c r="I1881" t="str">
        <f t="shared" si="31"/>
        <v>1727_1</v>
      </c>
      <c r="J1881" t="s">
        <v>241</v>
      </c>
      <c r="K1881" t="s">
        <v>179</v>
      </c>
      <c r="L1881" t="str">
        <f>_xlfn.XLOOKUP(C1881, Table2[Species],Table2[Genus], "Code Not Found")</f>
        <v>Acer</v>
      </c>
      <c r="M1881" t="str">
        <f>_xlfn.XLOOKUP(C1881, Table2[Species],Table2[Sp. Name], "Code Not Found")</f>
        <v>saccharum</v>
      </c>
      <c r="N1881" t="str">
        <f>_xlfn.XLOOKUP(C1881,Table2[Species],Table2[Family],"Code Not Found")</f>
        <v>Sapindaceae</v>
      </c>
      <c r="O1881" t="str" cm="1">
        <f t="array" ref="O1881">_xlfn.IFS(F1881="","",F1881&lt;=5,"0 to 5",F1881&lt;=10,"5.1 to 10",F1881&lt;=20,"10 to 20", F1881&lt;= 40, "20 to 40", F1881 &lt;= 50, "40 to 50", F1881 &gt; 50, "&gt;50" )</f>
        <v>5.1 to 10</v>
      </c>
    </row>
    <row r="1882" spans="1:15" ht="15" customHeight="1" x14ac:dyDescent="0.3">
      <c r="A1882" t="s">
        <v>351</v>
      </c>
      <c r="B1882" s="1">
        <v>46203</v>
      </c>
      <c r="C1882" t="s">
        <v>16</v>
      </c>
      <c r="D1882">
        <v>1727</v>
      </c>
      <c r="E1882">
        <v>2</v>
      </c>
      <c r="F1882">
        <v>1.2</v>
      </c>
      <c r="G1882" t="s">
        <v>32</v>
      </c>
      <c r="I1882" t="str">
        <f t="shared" si="31"/>
        <v>1727_2</v>
      </c>
      <c r="J1882" t="s">
        <v>241</v>
      </c>
      <c r="K1882" t="s">
        <v>179</v>
      </c>
      <c r="L1882" t="str">
        <f>_xlfn.XLOOKUP(C1882, Table2[Species],Table2[Genus], "Code Not Found")</f>
        <v>Acer</v>
      </c>
      <c r="M1882" t="str">
        <f>_xlfn.XLOOKUP(C1882, Table2[Species],Table2[Sp. Name], "Code Not Found")</f>
        <v>saccharum</v>
      </c>
      <c r="N1882" t="str">
        <f>_xlfn.XLOOKUP(C1882,Table2[Species],Table2[Family],"Code Not Found")</f>
        <v>Sapindaceae</v>
      </c>
      <c r="O1882" t="str" cm="1">
        <f t="array" ref="O1882">_xlfn.IFS(F1882="","",F1882&lt;=5,"0 to 5",F1882&lt;=10,"5.1 to 10",F1882&lt;=20,"10 to 20", F1882&lt;= 40, "20 to 40", F1882 &lt;= 50, "40 to 50", F1882 &gt; 50, "&gt;50" )</f>
        <v>0 to 5</v>
      </c>
    </row>
    <row r="1883" spans="1:15" ht="15" customHeight="1" x14ac:dyDescent="0.3">
      <c r="A1883" t="s">
        <v>351</v>
      </c>
      <c r="B1883" s="1">
        <v>46203</v>
      </c>
      <c r="C1883" t="s">
        <v>16</v>
      </c>
      <c r="D1883">
        <v>1728</v>
      </c>
      <c r="E1883">
        <v>1</v>
      </c>
      <c r="F1883">
        <v>9.3000000000000007</v>
      </c>
      <c r="G1883" t="s">
        <v>47</v>
      </c>
      <c r="H1883" t="s">
        <v>296</v>
      </c>
      <c r="I1883" t="str">
        <f t="shared" si="31"/>
        <v>1728_1</v>
      </c>
      <c r="J1883" t="s">
        <v>241</v>
      </c>
      <c r="K1883" t="s">
        <v>179</v>
      </c>
      <c r="L1883" t="str">
        <f>_xlfn.XLOOKUP(C1883, Table2[Species],Table2[Genus], "Code Not Found")</f>
        <v>Acer</v>
      </c>
      <c r="M1883" t="str">
        <f>_xlfn.XLOOKUP(C1883, Table2[Species],Table2[Sp. Name], "Code Not Found")</f>
        <v>saccharum</v>
      </c>
      <c r="N1883" t="str">
        <f>_xlfn.XLOOKUP(C1883,Table2[Species],Table2[Family],"Code Not Found")</f>
        <v>Sapindaceae</v>
      </c>
      <c r="O1883" t="str" cm="1">
        <f t="array" ref="O1883">_xlfn.IFS(F1883="","",F1883&lt;=5,"0 to 5",F1883&lt;=10,"5.1 to 10",F1883&lt;=20,"10 to 20", F1883&lt;= 40, "20 to 40", F1883 &lt;= 50, "40 to 50", F1883 &gt; 50, "&gt;50" )</f>
        <v>5.1 to 10</v>
      </c>
    </row>
    <row r="1884" spans="1:15" ht="15" customHeight="1" x14ac:dyDescent="0.3">
      <c r="A1884" t="s">
        <v>351</v>
      </c>
      <c r="B1884" s="1">
        <v>46203</v>
      </c>
      <c r="C1884" t="s">
        <v>16</v>
      </c>
      <c r="D1884">
        <v>1729</v>
      </c>
      <c r="E1884">
        <v>1</v>
      </c>
      <c r="F1884">
        <v>7.2</v>
      </c>
      <c r="G1884" t="s">
        <v>51</v>
      </c>
      <c r="I1884" t="str">
        <f t="shared" si="31"/>
        <v>1729_1</v>
      </c>
      <c r="J1884" t="s">
        <v>241</v>
      </c>
      <c r="K1884" t="s">
        <v>179</v>
      </c>
      <c r="L1884" t="str">
        <f>_xlfn.XLOOKUP(C1884, Table2[Species],Table2[Genus], "Code Not Found")</f>
        <v>Acer</v>
      </c>
      <c r="M1884" t="str">
        <f>_xlfn.XLOOKUP(C1884, Table2[Species],Table2[Sp. Name], "Code Not Found")</f>
        <v>saccharum</v>
      </c>
      <c r="N1884" t="str">
        <f>_xlfn.XLOOKUP(C1884,Table2[Species],Table2[Family],"Code Not Found")</f>
        <v>Sapindaceae</v>
      </c>
      <c r="O1884" t="str" cm="1">
        <f t="array" ref="O1884">_xlfn.IFS(F1884="","",F1884&lt;=5,"0 to 5",F1884&lt;=10,"5.1 to 10",F1884&lt;=20,"10 to 20", F1884&lt;= 40, "20 to 40", F1884 &lt;= 50, "40 to 50", F1884 &gt; 50, "&gt;50" )</f>
        <v>5.1 to 10</v>
      </c>
    </row>
    <row r="1885" spans="1:15" ht="15" customHeight="1" x14ac:dyDescent="0.3">
      <c r="A1885" t="s">
        <v>351</v>
      </c>
      <c r="B1885" s="1">
        <v>46203</v>
      </c>
      <c r="C1885" t="s">
        <v>64</v>
      </c>
      <c r="D1885">
        <v>1730</v>
      </c>
      <c r="E1885">
        <v>1</v>
      </c>
      <c r="F1885">
        <v>4.8</v>
      </c>
      <c r="G1885" t="s">
        <v>32</v>
      </c>
      <c r="I1885" t="str">
        <f t="shared" si="31"/>
        <v>1730_1</v>
      </c>
      <c r="J1885" t="s">
        <v>241</v>
      </c>
      <c r="K1885" t="s">
        <v>179</v>
      </c>
      <c r="L1885" t="str">
        <f>_xlfn.XLOOKUP(C1885, Table2[Species],Table2[Genus], "Code Not Found")</f>
        <v>Fagus</v>
      </c>
      <c r="M1885" t="str">
        <f>_xlfn.XLOOKUP(C1885, Table2[Species],Table2[Sp. Name], "Code Not Found")</f>
        <v>grandifolia</v>
      </c>
      <c r="N1885" t="str">
        <f>_xlfn.XLOOKUP(C1885,Table2[Species],Table2[Family],"Code Not Found")</f>
        <v>Fagaceae</v>
      </c>
      <c r="O1885" t="str" cm="1">
        <f t="array" ref="O1885">_xlfn.IFS(F1885="","",F1885&lt;=5,"0 to 5",F1885&lt;=10,"5.1 to 10",F1885&lt;=20,"10 to 20", F1885&lt;= 40, "20 to 40", F1885 &lt;= 50, "40 to 50", F1885 &gt; 50, "&gt;50" )</f>
        <v>0 to 5</v>
      </c>
    </row>
    <row r="1886" spans="1:15" ht="15" customHeight="1" x14ac:dyDescent="0.3">
      <c r="A1886" t="s">
        <v>351</v>
      </c>
      <c r="B1886" s="1">
        <v>46203</v>
      </c>
      <c r="C1886" t="s">
        <v>64</v>
      </c>
      <c r="D1886">
        <v>1730</v>
      </c>
      <c r="E1886">
        <v>2</v>
      </c>
      <c r="F1886">
        <v>3.3</v>
      </c>
      <c r="G1886" t="s">
        <v>32</v>
      </c>
      <c r="I1886" t="str">
        <f t="shared" si="31"/>
        <v>1730_2</v>
      </c>
      <c r="J1886" t="s">
        <v>241</v>
      </c>
      <c r="K1886" t="s">
        <v>179</v>
      </c>
      <c r="L1886" t="str">
        <f>_xlfn.XLOOKUP(C1886, Table2[Species],Table2[Genus], "Code Not Found")</f>
        <v>Fagus</v>
      </c>
      <c r="M1886" t="str">
        <f>_xlfn.XLOOKUP(C1886, Table2[Species],Table2[Sp. Name], "Code Not Found")</f>
        <v>grandifolia</v>
      </c>
      <c r="N1886" t="str">
        <f>_xlfn.XLOOKUP(C1886,Table2[Species],Table2[Family],"Code Not Found")</f>
        <v>Fagaceae</v>
      </c>
      <c r="O1886" t="str" cm="1">
        <f t="array" ref="O1886">_xlfn.IFS(F1886="","",F1886&lt;=5,"0 to 5",F1886&lt;=10,"5.1 to 10",F1886&lt;=20,"10 to 20", F1886&lt;= 40, "20 to 40", F1886 &lt;= 50, "40 to 50", F1886 &gt; 50, "&gt;50" )</f>
        <v>0 to 5</v>
      </c>
    </row>
    <row r="1887" spans="1:15" ht="15" customHeight="1" x14ac:dyDescent="0.3">
      <c r="A1887" t="s">
        <v>351</v>
      </c>
      <c r="B1887" s="1">
        <v>46203</v>
      </c>
      <c r="C1887" t="s">
        <v>16</v>
      </c>
      <c r="D1887">
        <v>1731</v>
      </c>
      <c r="E1887">
        <v>1</v>
      </c>
      <c r="F1887">
        <v>2.8</v>
      </c>
      <c r="G1887" t="s">
        <v>17</v>
      </c>
      <c r="I1887" t="str">
        <f t="shared" si="31"/>
        <v>1731_1</v>
      </c>
      <c r="J1887" t="s">
        <v>241</v>
      </c>
      <c r="K1887" t="s">
        <v>179</v>
      </c>
      <c r="L1887" t="str">
        <f>_xlfn.XLOOKUP(C1887, Table2[Species],Table2[Genus], "Code Not Found")</f>
        <v>Acer</v>
      </c>
      <c r="M1887" t="str">
        <f>_xlfn.XLOOKUP(C1887, Table2[Species],Table2[Sp. Name], "Code Not Found")</f>
        <v>saccharum</v>
      </c>
      <c r="N1887" t="str">
        <f>_xlfn.XLOOKUP(C1887,Table2[Species],Table2[Family],"Code Not Found")</f>
        <v>Sapindaceae</v>
      </c>
      <c r="O1887" t="str" cm="1">
        <f t="array" ref="O1887">_xlfn.IFS(F1887="","",F1887&lt;=5,"0 to 5",F1887&lt;=10,"5.1 to 10",F1887&lt;=20,"10 to 20", F1887&lt;= 40, "20 to 40", F1887 &lt;= 50, "40 to 50", F1887 &gt; 50, "&gt;50" )</f>
        <v>0 to 5</v>
      </c>
    </row>
    <row r="1888" spans="1:15" ht="15" customHeight="1" x14ac:dyDescent="0.3">
      <c r="A1888" t="s">
        <v>351</v>
      </c>
      <c r="B1888" s="1">
        <v>46203</v>
      </c>
      <c r="C1888" t="s">
        <v>16</v>
      </c>
      <c r="D1888">
        <v>1732</v>
      </c>
      <c r="E1888">
        <v>1</v>
      </c>
      <c r="F1888">
        <v>6.7</v>
      </c>
      <c r="G1888" t="s">
        <v>17</v>
      </c>
      <c r="I1888" t="str">
        <f t="shared" si="31"/>
        <v>1732_1</v>
      </c>
      <c r="J1888" t="s">
        <v>241</v>
      </c>
      <c r="K1888" t="s">
        <v>179</v>
      </c>
      <c r="L1888" t="str">
        <f>_xlfn.XLOOKUP(C1888, Table2[Species],Table2[Genus], "Code Not Found")</f>
        <v>Acer</v>
      </c>
      <c r="M1888" t="str">
        <f>_xlfn.XLOOKUP(C1888, Table2[Species],Table2[Sp. Name], "Code Not Found")</f>
        <v>saccharum</v>
      </c>
      <c r="N1888" t="str">
        <f>_xlfn.XLOOKUP(C1888,Table2[Species],Table2[Family],"Code Not Found")</f>
        <v>Sapindaceae</v>
      </c>
      <c r="O1888" t="str" cm="1">
        <f t="array" ref="O1888">_xlfn.IFS(F1888="","",F1888&lt;=5,"0 to 5",F1888&lt;=10,"5.1 to 10",F1888&lt;=20,"10 to 20", F1888&lt;= 40, "20 to 40", F1888 &lt;= 50, "40 to 50", F1888 &gt; 50, "&gt;50" )</f>
        <v>5.1 to 10</v>
      </c>
    </row>
    <row r="1889" spans="1:15" ht="15" customHeight="1" x14ac:dyDescent="0.3">
      <c r="A1889" t="s">
        <v>351</v>
      </c>
      <c r="B1889" s="1">
        <v>46203</v>
      </c>
      <c r="C1889" t="s">
        <v>16</v>
      </c>
      <c r="D1889">
        <v>1733</v>
      </c>
      <c r="E1889">
        <v>1</v>
      </c>
      <c r="F1889">
        <v>5.5</v>
      </c>
      <c r="G1889" t="s">
        <v>47</v>
      </c>
      <c r="H1889" t="s">
        <v>296</v>
      </c>
      <c r="I1889" t="str">
        <f t="shared" si="31"/>
        <v>1733_1</v>
      </c>
      <c r="J1889" t="s">
        <v>241</v>
      </c>
      <c r="K1889" t="s">
        <v>179</v>
      </c>
      <c r="L1889" t="str">
        <f>_xlfn.XLOOKUP(C1889, Table2[Species],Table2[Genus], "Code Not Found")</f>
        <v>Acer</v>
      </c>
      <c r="M1889" t="str">
        <f>_xlfn.XLOOKUP(C1889, Table2[Species],Table2[Sp. Name], "Code Not Found")</f>
        <v>saccharum</v>
      </c>
      <c r="N1889" t="str">
        <f>_xlfn.XLOOKUP(C1889,Table2[Species],Table2[Family],"Code Not Found")</f>
        <v>Sapindaceae</v>
      </c>
      <c r="O1889" t="str" cm="1">
        <f t="array" ref="O1889">_xlfn.IFS(F1889="","",F1889&lt;=5,"0 to 5",F1889&lt;=10,"5.1 to 10",F1889&lt;=20,"10 to 20", F1889&lt;= 40, "20 to 40", F1889 &lt;= 50, "40 to 50", F1889 &gt; 50, "&gt;50" )</f>
        <v>5.1 to 10</v>
      </c>
    </row>
    <row r="1890" spans="1:15" ht="15" customHeight="1" x14ac:dyDescent="0.3">
      <c r="A1890" t="s">
        <v>351</v>
      </c>
      <c r="B1890" s="1">
        <v>46203</v>
      </c>
      <c r="C1890" t="s">
        <v>64</v>
      </c>
      <c r="D1890">
        <v>1734</v>
      </c>
      <c r="E1890">
        <v>1</v>
      </c>
      <c r="F1890">
        <v>6.6</v>
      </c>
      <c r="G1890" t="s">
        <v>47</v>
      </c>
      <c r="H1890" t="s">
        <v>296</v>
      </c>
      <c r="I1890" t="str">
        <f t="shared" si="31"/>
        <v>1734_1</v>
      </c>
      <c r="J1890" t="s">
        <v>241</v>
      </c>
      <c r="K1890" t="s">
        <v>179</v>
      </c>
      <c r="L1890" t="str">
        <f>_xlfn.XLOOKUP(C1890, Table2[Species],Table2[Genus], "Code Not Found")</f>
        <v>Fagus</v>
      </c>
      <c r="M1890" t="str">
        <f>_xlfn.XLOOKUP(C1890, Table2[Species],Table2[Sp. Name], "Code Not Found")</f>
        <v>grandifolia</v>
      </c>
      <c r="N1890" t="str">
        <f>_xlfn.XLOOKUP(C1890,Table2[Species],Table2[Family],"Code Not Found")</f>
        <v>Fagaceae</v>
      </c>
      <c r="O1890" t="str" cm="1">
        <f t="array" ref="O1890">_xlfn.IFS(F1890="","",F1890&lt;=5,"0 to 5",F1890&lt;=10,"5.1 to 10",F1890&lt;=20,"10 to 20", F1890&lt;= 40, "20 to 40", F1890 &lt;= 50, "40 to 50", F1890 &gt; 50, "&gt;50" )</f>
        <v>5.1 to 10</v>
      </c>
    </row>
    <row r="1891" spans="1:15" ht="15" customHeight="1" x14ac:dyDescent="0.3">
      <c r="A1891" t="s">
        <v>351</v>
      </c>
      <c r="B1891" s="1">
        <v>46203</v>
      </c>
      <c r="C1891" t="s">
        <v>64</v>
      </c>
      <c r="D1891">
        <v>1735</v>
      </c>
      <c r="E1891">
        <v>1</v>
      </c>
      <c r="F1891">
        <v>8.6999999999999993</v>
      </c>
      <c r="G1891" t="s">
        <v>17</v>
      </c>
      <c r="I1891" t="str">
        <f t="shared" ref="I1891:I1954" si="32">D1891&amp;"_"&amp;E1891</f>
        <v>1735_1</v>
      </c>
      <c r="J1891" t="s">
        <v>241</v>
      </c>
      <c r="K1891" t="s">
        <v>179</v>
      </c>
      <c r="L1891" t="str">
        <f>_xlfn.XLOOKUP(C1891, Table2[Species],Table2[Genus], "Code Not Found")</f>
        <v>Fagus</v>
      </c>
      <c r="M1891" t="str">
        <f>_xlfn.XLOOKUP(C1891, Table2[Species],Table2[Sp. Name], "Code Not Found")</f>
        <v>grandifolia</v>
      </c>
      <c r="N1891" t="str">
        <f>_xlfn.XLOOKUP(C1891,Table2[Species],Table2[Family],"Code Not Found")</f>
        <v>Fagaceae</v>
      </c>
      <c r="O1891" t="str" cm="1">
        <f t="array" ref="O1891">_xlfn.IFS(F1891="","",F1891&lt;=5,"0 to 5",F1891&lt;=10,"5.1 to 10",F1891&lt;=20,"10 to 20", F1891&lt;= 40, "20 to 40", F1891 &lt;= 50, "40 to 50", F1891 &gt; 50, "&gt;50" )</f>
        <v>5.1 to 10</v>
      </c>
    </row>
    <row r="1892" spans="1:15" ht="15" customHeight="1" x14ac:dyDescent="0.3">
      <c r="A1892" t="s">
        <v>351</v>
      </c>
      <c r="B1892" s="1">
        <v>46203</v>
      </c>
      <c r="C1892" t="s">
        <v>16</v>
      </c>
      <c r="D1892">
        <v>1736</v>
      </c>
      <c r="E1892">
        <v>1</v>
      </c>
      <c r="F1892">
        <v>12.1</v>
      </c>
      <c r="G1892" t="s">
        <v>17</v>
      </c>
      <c r="I1892" t="str">
        <f t="shared" si="32"/>
        <v>1736_1</v>
      </c>
      <c r="J1892" t="s">
        <v>241</v>
      </c>
      <c r="K1892" t="s">
        <v>179</v>
      </c>
      <c r="L1892" t="str">
        <f>_xlfn.XLOOKUP(C1892, Table2[Species],Table2[Genus], "Code Not Found")</f>
        <v>Acer</v>
      </c>
      <c r="M1892" t="str">
        <f>_xlfn.XLOOKUP(C1892, Table2[Species],Table2[Sp. Name], "Code Not Found")</f>
        <v>saccharum</v>
      </c>
      <c r="N1892" t="str">
        <f>_xlfn.XLOOKUP(C1892,Table2[Species],Table2[Family],"Code Not Found")</f>
        <v>Sapindaceae</v>
      </c>
      <c r="O1892" t="str" cm="1">
        <f t="array" ref="O1892">_xlfn.IFS(F1892="","",F1892&lt;=5,"0 to 5",F1892&lt;=10,"5.1 to 10",F1892&lt;=20,"10 to 20", F1892&lt;= 40, "20 to 40", F1892 &lt;= 50, "40 to 50", F1892 &gt; 50, "&gt;50" )</f>
        <v>10 to 20</v>
      </c>
    </row>
    <row r="1893" spans="1:15" ht="15" customHeight="1" x14ac:dyDescent="0.3">
      <c r="A1893" t="s">
        <v>351</v>
      </c>
      <c r="B1893" s="1">
        <v>46203</v>
      </c>
      <c r="C1893" t="s">
        <v>64</v>
      </c>
      <c r="D1893">
        <v>1737</v>
      </c>
      <c r="E1893">
        <v>1</v>
      </c>
      <c r="F1893">
        <v>67.099999999999994</v>
      </c>
      <c r="G1893" t="s">
        <v>32</v>
      </c>
      <c r="H1893" t="s">
        <v>397</v>
      </c>
      <c r="I1893" t="str">
        <f t="shared" si="32"/>
        <v>1737_1</v>
      </c>
      <c r="J1893" t="s">
        <v>241</v>
      </c>
      <c r="K1893" t="s">
        <v>179</v>
      </c>
      <c r="L1893" t="str">
        <f>_xlfn.XLOOKUP(C1893, Table2[Species],Table2[Genus], "Code Not Found")</f>
        <v>Fagus</v>
      </c>
      <c r="M1893" t="str">
        <f>_xlfn.XLOOKUP(C1893, Table2[Species],Table2[Sp. Name], "Code Not Found")</f>
        <v>grandifolia</v>
      </c>
      <c r="N1893" t="str">
        <f>_xlfn.XLOOKUP(C1893,Table2[Species],Table2[Family],"Code Not Found")</f>
        <v>Fagaceae</v>
      </c>
      <c r="O1893" t="str" cm="1">
        <f t="array" ref="O1893">_xlfn.IFS(F1893="","",F1893&lt;=5,"0 to 5",F1893&lt;=10,"5.1 to 10",F1893&lt;=20,"10 to 20", F1893&lt;= 40, "20 to 40", F1893 &lt;= 50, "40 to 50", F1893 &gt; 50, "&gt;50" )</f>
        <v>&gt;50</v>
      </c>
    </row>
    <row r="1894" spans="1:15" ht="15" customHeight="1" x14ac:dyDescent="0.3">
      <c r="A1894" t="s">
        <v>351</v>
      </c>
      <c r="B1894" s="1">
        <v>46203</v>
      </c>
      <c r="C1894" t="s">
        <v>64</v>
      </c>
      <c r="D1894">
        <v>1737</v>
      </c>
      <c r="E1894">
        <v>2</v>
      </c>
      <c r="F1894">
        <v>4.8</v>
      </c>
      <c r="G1894" t="s">
        <v>32</v>
      </c>
      <c r="I1894" t="str">
        <f t="shared" si="32"/>
        <v>1737_2</v>
      </c>
      <c r="J1894" t="s">
        <v>241</v>
      </c>
      <c r="K1894" t="s">
        <v>179</v>
      </c>
      <c r="L1894" t="str">
        <f>_xlfn.XLOOKUP(C1894, Table2[Species],Table2[Genus], "Code Not Found")</f>
        <v>Fagus</v>
      </c>
      <c r="M1894" t="str">
        <f>_xlfn.XLOOKUP(C1894, Table2[Species],Table2[Sp. Name], "Code Not Found")</f>
        <v>grandifolia</v>
      </c>
      <c r="N1894" t="str">
        <f>_xlfn.XLOOKUP(C1894,Table2[Species],Table2[Family],"Code Not Found")</f>
        <v>Fagaceae</v>
      </c>
      <c r="O1894" t="str" cm="1">
        <f t="array" ref="O1894">_xlfn.IFS(F1894="","",F1894&lt;=5,"0 to 5",F1894&lt;=10,"5.1 to 10",F1894&lt;=20,"10 to 20", F1894&lt;= 40, "20 to 40", F1894 &lt;= 50, "40 to 50", F1894 &gt; 50, "&gt;50" )</f>
        <v>0 to 5</v>
      </c>
    </row>
    <row r="1895" spans="1:15" ht="15" customHeight="1" x14ac:dyDescent="0.3">
      <c r="A1895" t="s">
        <v>351</v>
      </c>
      <c r="B1895" s="1">
        <v>46203</v>
      </c>
      <c r="C1895" t="s">
        <v>16</v>
      </c>
      <c r="D1895">
        <v>1738</v>
      </c>
      <c r="E1895">
        <v>1</v>
      </c>
      <c r="F1895">
        <v>38.299999999999997</v>
      </c>
      <c r="G1895" t="s">
        <v>17</v>
      </c>
      <c r="I1895" t="str">
        <f t="shared" si="32"/>
        <v>1738_1</v>
      </c>
      <c r="J1895" t="s">
        <v>241</v>
      </c>
      <c r="K1895" t="s">
        <v>179</v>
      </c>
      <c r="L1895" t="str">
        <f>_xlfn.XLOOKUP(C1895, Table2[Species],Table2[Genus], "Code Not Found")</f>
        <v>Acer</v>
      </c>
      <c r="M1895" t="str">
        <f>_xlfn.XLOOKUP(C1895, Table2[Species],Table2[Sp. Name], "Code Not Found")</f>
        <v>saccharum</v>
      </c>
      <c r="N1895" t="str">
        <f>_xlfn.XLOOKUP(C1895,Table2[Species],Table2[Family],"Code Not Found")</f>
        <v>Sapindaceae</v>
      </c>
      <c r="O1895" t="str" cm="1">
        <f t="array" ref="O1895">_xlfn.IFS(F1895="","",F1895&lt;=5,"0 to 5",F1895&lt;=10,"5.1 to 10",F1895&lt;=20,"10 to 20", F1895&lt;= 40, "20 to 40", F1895 &lt;= 50, "40 to 50", F1895 &gt; 50, "&gt;50" )</f>
        <v>20 to 40</v>
      </c>
    </row>
    <row r="1896" spans="1:15" ht="15" customHeight="1" x14ac:dyDescent="0.3">
      <c r="A1896" t="s">
        <v>351</v>
      </c>
      <c r="B1896" s="1">
        <v>46203</v>
      </c>
      <c r="C1896" t="s">
        <v>24</v>
      </c>
      <c r="D1896">
        <v>1739</v>
      </c>
      <c r="E1896">
        <v>1</v>
      </c>
      <c r="F1896">
        <v>1.1000000000000001</v>
      </c>
      <c r="G1896" t="s">
        <v>359</v>
      </c>
      <c r="I1896" t="str">
        <f t="shared" si="32"/>
        <v>1739_1</v>
      </c>
      <c r="J1896" t="s">
        <v>241</v>
      </c>
      <c r="K1896" t="s">
        <v>179</v>
      </c>
      <c r="L1896" t="str">
        <f>_xlfn.XLOOKUP(C1896, Table2[Species],Table2[Genus], "Code Not Found")</f>
        <v>Lirodendron</v>
      </c>
      <c r="M1896" t="str">
        <f>_xlfn.XLOOKUP(C1896, Table2[Species],Table2[Sp. Name], "Code Not Found")</f>
        <v>tulipfera</v>
      </c>
      <c r="N1896" t="str">
        <f>_xlfn.XLOOKUP(C1896,Table2[Species],Table2[Family],"Code Not Found")</f>
        <v>Magnoliaceae</v>
      </c>
      <c r="O1896" t="str" cm="1">
        <f t="array" ref="O1896">_xlfn.IFS(F1896="","",F1896&lt;=5,"0 to 5",F1896&lt;=10,"5.1 to 10",F1896&lt;=20,"10 to 20", F1896&lt;= 40, "20 to 40", F1896 &lt;= 50, "40 to 50", F1896 &gt; 50, "&gt;50" )</f>
        <v>0 to 5</v>
      </c>
    </row>
    <row r="1897" spans="1:15" ht="15" customHeight="1" x14ac:dyDescent="0.3">
      <c r="A1897" t="s">
        <v>351</v>
      </c>
      <c r="B1897" s="1">
        <v>46203</v>
      </c>
      <c r="C1897" t="s">
        <v>24</v>
      </c>
      <c r="D1897">
        <v>1740</v>
      </c>
      <c r="E1897">
        <v>1</v>
      </c>
      <c r="F1897">
        <v>1.2</v>
      </c>
      <c r="G1897" t="s">
        <v>359</v>
      </c>
      <c r="I1897" t="str">
        <f t="shared" si="32"/>
        <v>1740_1</v>
      </c>
      <c r="J1897" t="s">
        <v>241</v>
      </c>
      <c r="K1897" t="s">
        <v>179</v>
      </c>
      <c r="L1897" t="str">
        <f>_xlfn.XLOOKUP(C1897, Table2[Species],Table2[Genus], "Code Not Found")</f>
        <v>Lirodendron</v>
      </c>
      <c r="M1897" t="str">
        <f>_xlfn.XLOOKUP(C1897, Table2[Species],Table2[Sp. Name], "Code Not Found")</f>
        <v>tulipfera</v>
      </c>
      <c r="N1897" t="str">
        <f>_xlfn.XLOOKUP(C1897,Table2[Species],Table2[Family],"Code Not Found")</f>
        <v>Magnoliaceae</v>
      </c>
      <c r="O1897" t="str" cm="1">
        <f t="array" ref="O1897">_xlfn.IFS(F1897="","",F1897&lt;=5,"0 to 5",F1897&lt;=10,"5.1 to 10",F1897&lt;=20,"10 to 20", F1897&lt;= 40, "20 to 40", F1897 &lt;= 50, "40 to 50", F1897 &gt; 50, "&gt;50" )</f>
        <v>0 to 5</v>
      </c>
    </row>
    <row r="1898" spans="1:15" ht="15" customHeight="1" x14ac:dyDescent="0.3">
      <c r="A1898" t="s">
        <v>351</v>
      </c>
      <c r="B1898" s="1">
        <v>46203</v>
      </c>
      <c r="C1898" t="s">
        <v>24</v>
      </c>
      <c r="D1898">
        <v>1741</v>
      </c>
      <c r="E1898">
        <v>1</v>
      </c>
      <c r="F1898">
        <v>1.1000000000000001</v>
      </c>
      <c r="G1898" t="s">
        <v>359</v>
      </c>
      <c r="I1898" t="str">
        <f t="shared" si="32"/>
        <v>1741_1</v>
      </c>
      <c r="J1898" t="s">
        <v>241</v>
      </c>
      <c r="K1898" t="s">
        <v>179</v>
      </c>
      <c r="L1898" t="str">
        <f>_xlfn.XLOOKUP(C1898, Table2[Species],Table2[Genus], "Code Not Found")</f>
        <v>Lirodendron</v>
      </c>
      <c r="M1898" t="str">
        <f>_xlfn.XLOOKUP(C1898, Table2[Species],Table2[Sp. Name], "Code Not Found")</f>
        <v>tulipfera</v>
      </c>
      <c r="N1898" t="str">
        <f>_xlfn.XLOOKUP(C1898,Table2[Species],Table2[Family],"Code Not Found")</f>
        <v>Magnoliaceae</v>
      </c>
      <c r="O1898" t="str" cm="1">
        <f t="array" ref="O1898">_xlfn.IFS(F1898="","",F1898&lt;=5,"0 to 5",F1898&lt;=10,"5.1 to 10",F1898&lt;=20,"10 to 20", F1898&lt;= 40, "20 to 40", F1898 &lt;= 50, "40 to 50", F1898 &gt; 50, "&gt;50" )</f>
        <v>0 to 5</v>
      </c>
    </row>
    <row r="1899" spans="1:15" ht="15" customHeight="1" x14ac:dyDescent="0.3">
      <c r="A1899" t="s">
        <v>351</v>
      </c>
      <c r="B1899" s="1">
        <v>46203</v>
      </c>
      <c r="C1899" t="s">
        <v>24</v>
      </c>
      <c r="D1899">
        <v>1742</v>
      </c>
      <c r="E1899">
        <v>1</v>
      </c>
      <c r="F1899">
        <v>1.1000000000000001</v>
      </c>
      <c r="G1899" t="s">
        <v>359</v>
      </c>
      <c r="I1899" t="str">
        <f t="shared" si="32"/>
        <v>1742_1</v>
      </c>
      <c r="J1899" t="s">
        <v>241</v>
      </c>
      <c r="K1899" t="s">
        <v>179</v>
      </c>
      <c r="L1899" t="str">
        <f>_xlfn.XLOOKUP(C1899, Table2[Species],Table2[Genus], "Code Not Found")</f>
        <v>Lirodendron</v>
      </c>
      <c r="M1899" t="str">
        <f>_xlfn.XLOOKUP(C1899, Table2[Species],Table2[Sp. Name], "Code Not Found")</f>
        <v>tulipfera</v>
      </c>
      <c r="N1899" t="str">
        <f>_xlfn.XLOOKUP(C1899,Table2[Species],Table2[Family],"Code Not Found")</f>
        <v>Magnoliaceae</v>
      </c>
      <c r="O1899" t="str" cm="1">
        <f t="array" ref="O1899">_xlfn.IFS(F1899="","",F1899&lt;=5,"0 to 5",F1899&lt;=10,"5.1 to 10",F1899&lt;=20,"10 to 20", F1899&lt;= 40, "20 to 40", F1899 &lt;= 50, "40 to 50", F1899 &gt; 50, "&gt;50" )</f>
        <v>0 to 5</v>
      </c>
    </row>
    <row r="1900" spans="1:15" ht="15" customHeight="1" x14ac:dyDescent="0.3">
      <c r="A1900" t="s">
        <v>351</v>
      </c>
      <c r="B1900" s="1">
        <v>46203</v>
      </c>
      <c r="C1900" t="s">
        <v>24</v>
      </c>
      <c r="D1900">
        <v>1743</v>
      </c>
      <c r="E1900">
        <v>1</v>
      </c>
      <c r="F1900">
        <v>1.3</v>
      </c>
      <c r="G1900" t="s">
        <v>398</v>
      </c>
      <c r="I1900" t="str">
        <f t="shared" si="32"/>
        <v>1743_1</v>
      </c>
      <c r="J1900" t="s">
        <v>241</v>
      </c>
      <c r="K1900" t="s">
        <v>179</v>
      </c>
      <c r="L1900" t="str">
        <f>_xlfn.XLOOKUP(C1900, Table2[Species],Table2[Genus], "Code Not Found")</f>
        <v>Lirodendron</v>
      </c>
      <c r="M1900" t="str">
        <f>_xlfn.XLOOKUP(C1900, Table2[Species],Table2[Sp. Name], "Code Not Found")</f>
        <v>tulipfera</v>
      </c>
      <c r="N1900" t="str">
        <f>_xlfn.XLOOKUP(C1900,Table2[Species],Table2[Family],"Code Not Found")</f>
        <v>Magnoliaceae</v>
      </c>
      <c r="O1900" t="str" cm="1">
        <f t="array" ref="O1900">_xlfn.IFS(F1900="","",F1900&lt;=5,"0 to 5",F1900&lt;=10,"5.1 to 10",F1900&lt;=20,"10 to 20", F1900&lt;= 40, "20 to 40", F1900 &lt;= 50, "40 to 50", F1900 &gt; 50, "&gt;50" )</f>
        <v>0 to 5</v>
      </c>
    </row>
    <row r="1901" spans="1:15" ht="15" customHeight="1" x14ac:dyDescent="0.3">
      <c r="A1901" t="s">
        <v>351</v>
      </c>
      <c r="B1901" s="1">
        <v>46203</v>
      </c>
      <c r="C1901" t="s">
        <v>24</v>
      </c>
      <c r="D1901">
        <v>1743</v>
      </c>
      <c r="E1901">
        <v>2</v>
      </c>
      <c r="F1901">
        <v>1.1000000000000001</v>
      </c>
      <c r="G1901" t="s">
        <v>398</v>
      </c>
      <c r="I1901" t="str">
        <f t="shared" si="32"/>
        <v>1743_2</v>
      </c>
      <c r="J1901" t="s">
        <v>241</v>
      </c>
      <c r="K1901" t="s">
        <v>179</v>
      </c>
      <c r="L1901" t="str">
        <f>_xlfn.XLOOKUP(C1901, Table2[Species],Table2[Genus], "Code Not Found")</f>
        <v>Lirodendron</v>
      </c>
      <c r="M1901" t="str">
        <f>_xlfn.XLOOKUP(C1901, Table2[Species],Table2[Sp. Name], "Code Not Found")</f>
        <v>tulipfera</v>
      </c>
      <c r="N1901" t="str">
        <f>_xlfn.XLOOKUP(C1901,Table2[Species],Table2[Family],"Code Not Found")</f>
        <v>Magnoliaceae</v>
      </c>
      <c r="O1901" t="str" cm="1">
        <f t="array" ref="O1901">_xlfn.IFS(F1901="","",F1901&lt;=5,"0 to 5",F1901&lt;=10,"5.1 to 10",F1901&lt;=20,"10 to 20", F1901&lt;= 40, "20 to 40", F1901 &lt;= 50, "40 to 50", F1901 &gt; 50, "&gt;50" )</f>
        <v>0 to 5</v>
      </c>
    </row>
    <row r="1902" spans="1:15" ht="15" customHeight="1" x14ac:dyDescent="0.3">
      <c r="A1902" t="s">
        <v>351</v>
      </c>
      <c r="B1902" s="1">
        <v>46203</v>
      </c>
      <c r="C1902" t="s">
        <v>16</v>
      </c>
      <c r="D1902">
        <v>1744</v>
      </c>
      <c r="E1902">
        <v>1</v>
      </c>
      <c r="F1902">
        <v>4.8</v>
      </c>
      <c r="G1902" t="s">
        <v>47</v>
      </c>
      <c r="H1902" t="s">
        <v>296</v>
      </c>
      <c r="I1902" t="str">
        <f t="shared" si="32"/>
        <v>1744_1</v>
      </c>
      <c r="J1902" t="s">
        <v>241</v>
      </c>
      <c r="K1902" t="s">
        <v>179</v>
      </c>
      <c r="L1902" t="str">
        <f>_xlfn.XLOOKUP(C1902, Table2[Species],Table2[Genus], "Code Not Found")</f>
        <v>Acer</v>
      </c>
      <c r="M1902" t="str">
        <f>_xlfn.XLOOKUP(C1902, Table2[Species],Table2[Sp. Name], "Code Not Found")</f>
        <v>saccharum</v>
      </c>
      <c r="N1902" t="str">
        <f>_xlfn.XLOOKUP(C1902,Table2[Species],Table2[Family],"Code Not Found")</f>
        <v>Sapindaceae</v>
      </c>
      <c r="O1902" t="str" cm="1">
        <f t="array" ref="O1902">_xlfn.IFS(F1902="","",F1902&lt;=5,"0 to 5",F1902&lt;=10,"5.1 to 10",F1902&lt;=20,"10 to 20", F1902&lt;= 40, "20 to 40", F1902 &lt;= 50, "40 to 50", F1902 &gt; 50, "&gt;50" )</f>
        <v>0 to 5</v>
      </c>
    </row>
    <row r="1903" spans="1:15" ht="15" customHeight="1" x14ac:dyDescent="0.3">
      <c r="A1903" t="s">
        <v>351</v>
      </c>
      <c r="B1903" s="1">
        <v>46203</v>
      </c>
      <c r="C1903" t="s">
        <v>64</v>
      </c>
      <c r="D1903">
        <v>1745</v>
      </c>
      <c r="E1903">
        <v>1</v>
      </c>
      <c r="F1903">
        <v>9.6</v>
      </c>
      <c r="G1903" t="s">
        <v>17</v>
      </c>
      <c r="H1903" t="s">
        <v>399</v>
      </c>
      <c r="I1903" t="str">
        <f t="shared" si="32"/>
        <v>1745_1</v>
      </c>
      <c r="J1903" t="s">
        <v>241</v>
      </c>
      <c r="K1903" t="s">
        <v>179</v>
      </c>
      <c r="L1903" t="str">
        <f>_xlfn.XLOOKUP(C1903, Table2[Species],Table2[Genus], "Code Not Found")</f>
        <v>Fagus</v>
      </c>
      <c r="M1903" t="str">
        <f>_xlfn.XLOOKUP(C1903, Table2[Species],Table2[Sp. Name], "Code Not Found")</f>
        <v>grandifolia</v>
      </c>
      <c r="N1903" t="str">
        <f>_xlfn.XLOOKUP(C1903,Table2[Species],Table2[Family],"Code Not Found")</f>
        <v>Fagaceae</v>
      </c>
      <c r="O1903" t="str" cm="1">
        <f t="array" ref="O1903">_xlfn.IFS(F1903="","",F1903&lt;=5,"0 to 5",F1903&lt;=10,"5.1 to 10",F1903&lt;=20,"10 to 20", F1903&lt;= 40, "20 to 40", F1903 &lt;= 50, "40 to 50", F1903 &gt; 50, "&gt;50" )</f>
        <v>5.1 to 10</v>
      </c>
    </row>
    <row r="1904" spans="1:15" ht="15" customHeight="1" x14ac:dyDescent="0.3">
      <c r="A1904" t="s">
        <v>351</v>
      </c>
      <c r="B1904" s="1">
        <v>46203</v>
      </c>
      <c r="C1904" t="s">
        <v>64</v>
      </c>
      <c r="D1904">
        <v>1746</v>
      </c>
      <c r="E1904">
        <v>1</v>
      </c>
      <c r="F1904">
        <v>7.7</v>
      </c>
      <c r="G1904" t="s">
        <v>17</v>
      </c>
      <c r="I1904" t="str">
        <f t="shared" si="32"/>
        <v>1746_1</v>
      </c>
      <c r="J1904" t="s">
        <v>241</v>
      </c>
      <c r="K1904" t="s">
        <v>179</v>
      </c>
      <c r="L1904" t="str">
        <f>_xlfn.XLOOKUP(C1904, Table2[Species],Table2[Genus], "Code Not Found")</f>
        <v>Fagus</v>
      </c>
      <c r="M1904" t="str">
        <f>_xlfn.XLOOKUP(C1904, Table2[Species],Table2[Sp. Name], "Code Not Found")</f>
        <v>grandifolia</v>
      </c>
      <c r="N1904" t="str">
        <f>_xlfn.XLOOKUP(C1904,Table2[Species],Table2[Family],"Code Not Found")</f>
        <v>Fagaceae</v>
      </c>
      <c r="O1904" t="str" cm="1">
        <f t="array" ref="O1904">_xlfn.IFS(F1904="","",F1904&lt;=5,"0 to 5",F1904&lt;=10,"5.1 to 10",F1904&lt;=20,"10 to 20", F1904&lt;= 40, "20 to 40", F1904 &lt;= 50, "40 to 50", F1904 &gt; 50, "&gt;50" )</f>
        <v>5.1 to 10</v>
      </c>
    </row>
    <row r="1905" spans="1:15" ht="15" customHeight="1" x14ac:dyDescent="0.3">
      <c r="A1905" t="s">
        <v>351</v>
      </c>
      <c r="B1905" s="1">
        <v>46203</v>
      </c>
      <c r="C1905" t="s">
        <v>55</v>
      </c>
      <c r="D1905">
        <v>1747</v>
      </c>
      <c r="E1905">
        <v>1</v>
      </c>
      <c r="F1905">
        <v>5.6</v>
      </c>
      <c r="G1905" t="s">
        <v>47</v>
      </c>
      <c r="I1905" t="str">
        <f t="shared" si="32"/>
        <v>1747_1</v>
      </c>
      <c r="J1905" t="s">
        <v>241</v>
      </c>
      <c r="K1905" t="s">
        <v>179</v>
      </c>
      <c r="L1905" t="str">
        <f>_xlfn.XLOOKUP(C1905, Table2[Species],Table2[Genus], "Code Not Found")</f>
        <v>Magnolia</v>
      </c>
      <c r="M1905" t="str">
        <f>_xlfn.XLOOKUP(C1905, Table2[Species],Table2[Sp. Name], "Code Not Found")</f>
        <v>acuminata</v>
      </c>
      <c r="N1905" t="str">
        <f>_xlfn.XLOOKUP(C1905,Table2[Species],Table2[Family],"Code Not Found")</f>
        <v>Magnoliaceae</v>
      </c>
      <c r="O1905" t="str" cm="1">
        <f t="array" ref="O1905">_xlfn.IFS(F1905="","",F1905&lt;=5,"0 to 5",F1905&lt;=10,"5.1 to 10",F1905&lt;=20,"10 to 20", F1905&lt;= 40, "20 to 40", F1905 &lt;= 50, "40 to 50", F1905 &gt; 50, "&gt;50" )</f>
        <v>5.1 to 10</v>
      </c>
    </row>
    <row r="1906" spans="1:15" ht="15" customHeight="1" x14ac:dyDescent="0.3">
      <c r="A1906" t="s">
        <v>351</v>
      </c>
      <c r="B1906" s="1">
        <v>46203</v>
      </c>
      <c r="C1906" t="s">
        <v>117</v>
      </c>
      <c r="D1906">
        <v>1748</v>
      </c>
      <c r="E1906">
        <v>1</v>
      </c>
      <c r="F1906">
        <v>4.4000000000000004</v>
      </c>
      <c r="G1906" t="s">
        <v>17</v>
      </c>
      <c r="I1906" t="str">
        <f t="shared" si="32"/>
        <v>1748_1</v>
      </c>
      <c r="J1906" t="s">
        <v>241</v>
      </c>
      <c r="K1906" t="s">
        <v>179</v>
      </c>
      <c r="L1906" t="str">
        <f>_xlfn.XLOOKUP(C1906, Table2[Species],Table2[Genus], "Code Not Found")</f>
        <v>Ostrya</v>
      </c>
      <c r="M1906" t="str">
        <f>_xlfn.XLOOKUP(C1906, Table2[Species],Table2[Sp. Name], "Code Not Found")</f>
        <v>viginiana</v>
      </c>
      <c r="N1906" t="str">
        <f>_xlfn.XLOOKUP(C1906,Table2[Species],Table2[Family],"Code Not Found")</f>
        <v>Betulaceae</v>
      </c>
      <c r="O1906" t="str" cm="1">
        <f t="array" ref="O1906">_xlfn.IFS(F1906="","",F1906&lt;=5,"0 to 5",F1906&lt;=10,"5.1 to 10",F1906&lt;=20,"10 to 20", F1906&lt;= 40, "20 to 40", F1906 &lt;= 50, "40 to 50", F1906 &gt; 50, "&gt;50" )</f>
        <v>0 to 5</v>
      </c>
    </row>
    <row r="1907" spans="1:15" ht="15" customHeight="1" x14ac:dyDescent="0.3">
      <c r="A1907" t="s">
        <v>351</v>
      </c>
      <c r="B1907" s="1">
        <v>46203</v>
      </c>
      <c r="C1907" t="s">
        <v>64</v>
      </c>
      <c r="D1907">
        <v>1749</v>
      </c>
      <c r="E1907">
        <v>1</v>
      </c>
      <c r="F1907">
        <v>1.7</v>
      </c>
      <c r="G1907" t="s">
        <v>359</v>
      </c>
      <c r="H1907" t="s">
        <v>400</v>
      </c>
      <c r="I1907" t="str">
        <f t="shared" si="32"/>
        <v>1749_1</v>
      </c>
      <c r="J1907" t="s">
        <v>241</v>
      </c>
      <c r="K1907" t="s">
        <v>179</v>
      </c>
      <c r="L1907" t="str">
        <f>_xlfn.XLOOKUP(C1907, Table2[Species],Table2[Genus], "Code Not Found")</f>
        <v>Fagus</v>
      </c>
      <c r="M1907" t="str">
        <f>_xlfn.XLOOKUP(C1907, Table2[Species],Table2[Sp. Name], "Code Not Found")</f>
        <v>grandifolia</v>
      </c>
      <c r="N1907" t="str">
        <f>_xlfn.XLOOKUP(C1907,Table2[Species],Table2[Family],"Code Not Found")</f>
        <v>Fagaceae</v>
      </c>
      <c r="O1907" t="str" cm="1">
        <f t="array" ref="O1907">_xlfn.IFS(F1907="","",F1907&lt;=5,"0 to 5",F1907&lt;=10,"5.1 to 10",F1907&lt;=20,"10 to 20", F1907&lt;= 40, "20 to 40", F1907 &lt;= 50, "40 to 50", F1907 &gt; 50, "&gt;50" )</f>
        <v>0 to 5</v>
      </c>
    </row>
    <row r="1908" spans="1:15" ht="15" customHeight="1" x14ac:dyDescent="0.3">
      <c r="A1908" t="s">
        <v>351</v>
      </c>
      <c r="B1908" s="1">
        <v>46203</v>
      </c>
      <c r="C1908" t="s">
        <v>64</v>
      </c>
      <c r="D1908">
        <v>1750</v>
      </c>
      <c r="E1908">
        <v>1</v>
      </c>
      <c r="F1908">
        <v>1.1000000000000001</v>
      </c>
      <c r="G1908" t="s">
        <v>32</v>
      </c>
      <c r="I1908" t="str">
        <f t="shared" si="32"/>
        <v>1750_1</v>
      </c>
      <c r="J1908" t="s">
        <v>241</v>
      </c>
      <c r="K1908" t="s">
        <v>179</v>
      </c>
      <c r="L1908" t="str">
        <f>_xlfn.XLOOKUP(C1908, Table2[Species],Table2[Genus], "Code Not Found")</f>
        <v>Fagus</v>
      </c>
      <c r="M1908" t="str">
        <f>_xlfn.XLOOKUP(C1908, Table2[Species],Table2[Sp. Name], "Code Not Found")</f>
        <v>grandifolia</v>
      </c>
      <c r="N1908" t="str">
        <f>_xlfn.XLOOKUP(C1908,Table2[Species],Table2[Family],"Code Not Found")</f>
        <v>Fagaceae</v>
      </c>
      <c r="O1908" t="str" cm="1">
        <f t="array" ref="O1908">_xlfn.IFS(F1908="","",F1908&lt;=5,"0 to 5",F1908&lt;=10,"5.1 to 10",F1908&lt;=20,"10 to 20", F1908&lt;= 40, "20 to 40", F1908 &lt;= 50, "40 to 50", F1908 &gt; 50, "&gt;50" )</f>
        <v>0 to 5</v>
      </c>
    </row>
    <row r="1909" spans="1:15" ht="15" customHeight="1" x14ac:dyDescent="0.3">
      <c r="A1909" t="s">
        <v>351</v>
      </c>
      <c r="B1909" s="1">
        <v>46203</v>
      </c>
      <c r="C1909" t="s">
        <v>64</v>
      </c>
      <c r="D1909">
        <v>1750</v>
      </c>
      <c r="E1909">
        <v>2</v>
      </c>
      <c r="F1909">
        <v>1</v>
      </c>
      <c r="G1909" t="s">
        <v>32</v>
      </c>
      <c r="I1909" t="str">
        <f t="shared" si="32"/>
        <v>1750_2</v>
      </c>
      <c r="J1909" t="s">
        <v>241</v>
      </c>
      <c r="K1909" t="s">
        <v>179</v>
      </c>
      <c r="L1909" t="str">
        <f>_xlfn.XLOOKUP(C1909, Table2[Species],Table2[Genus], "Code Not Found")</f>
        <v>Fagus</v>
      </c>
      <c r="M1909" t="str">
        <f>_xlfn.XLOOKUP(C1909, Table2[Species],Table2[Sp. Name], "Code Not Found")</f>
        <v>grandifolia</v>
      </c>
      <c r="N1909" t="str">
        <f>_xlfn.XLOOKUP(C1909,Table2[Species],Table2[Family],"Code Not Found")</f>
        <v>Fagaceae</v>
      </c>
      <c r="O1909" t="str" cm="1">
        <f t="array" ref="O1909">_xlfn.IFS(F1909="","",F1909&lt;=5,"0 to 5",F1909&lt;=10,"5.1 to 10",F1909&lt;=20,"10 to 20", F1909&lt;= 40, "20 to 40", F1909 &lt;= 50, "40 to 50", F1909 &gt; 50, "&gt;50" )</f>
        <v>0 to 5</v>
      </c>
    </row>
    <row r="1910" spans="1:15" ht="15" customHeight="1" x14ac:dyDescent="0.3">
      <c r="A1910" t="s">
        <v>351</v>
      </c>
      <c r="B1910" s="1">
        <v>46203</v>
      </c>
      <c r="C1910" t="s">
        <v>64</v>
      </c>
      <c r="D1910">
        <v>1751</v>
      </c>
      <c r="E1910">
        <v>1</v>
      </c>
      <c r="F1910">
        <v>84.8</v>
      </c>
      <c r="G1910" t="s">
        <v>401</v>
      </c>
      <c r="H1910" t="s">
        <v>402</v>
      </c>
      <c r="I1910" t="str">
        <f t="shared" si="32"/>
        <v>1751_1</v>
      </c>
      <c r="J1910" t="s">
        <v>241</v>
      </c>
      <c r="K1910" t="s">
        <v>179</v>
      </c>
      <c r="L1910" t="str">
        <f>_xlfn.XLOOKUP(C1910, Table2[Species],Table2[Genus], "Code Not Found")</f>
        <v>Fagus</v>
      </c>
      <c r="M1910" t="str">
        <f>_xlfn.XLOOKUP(C1910, Table2[Species],Table2[Sp. Name], "Code Not Found")</f>
        <v>grandifolia</v>
      </c>
      <c r="N1910" t="str">
        <f>_xlfn.XLOOKUP(C1910,Table2[Species],Table2[Family],"Code Not Found")</f>
        <v>Fagaceae</v>
      </c>
      <c r="O1910" t="str" cm="1">
        <f t="array" ref="O1910">_xlfn.IFS(F1910="","",F1910&lt;=5,"0 to 5",F1910&lt;=10,"5.1 to 10",F1910&lt;=20,"10 to 20", F1910&lt;= 40, "20 to 40", F1910 &lt;= 50, "40 to 50", F1910 &gt; 50, "&gt;50" )</f>
        <v>&gt;50</v>
      </c>
    </row>
    <row r="1911" spans="1:15" ht="15" customHeight="1" x14ac:dyDescent="0.3">
      <c r="A1911" t="s">
        <v>351</v>
      </c>
      <c r="B1911" s="1">
        <v>46203</v>
      </c>
      <c r="C1911" t="s">
        <v>64</v>
      </c>
      <c r="D1911">
        <v>1751</v>
      </c>
      <c r="E1911">
        <v>2</v>
      </c>
      <c r="F1911">
        <v>1.1000000000000001</v>
      </c>
      <c r="G1911" t="s">
        <v>401</v>
      </c>
      <c r="H1911" t="s">
        <v>403</v>
      </c>
      <c r="I1911" t="str">
        <f t="shared" si="32"/>
        <v>1751_2</v>
      </c>
      <c r="J1911" t="s">
        <v>241</v>
      </c>
      <c r="K1911" t="s">
        <v>179</v>
      </c>
      <c r="L1911" t="str">
        <f>_xlfn.XLOOKUP(C1911, Table2[Species],Table2[Genus], "Code Not Found")</f>
        <v>Fagus</v>
      </c>
      <c r="M1911" t="str">
        <f>_xlfn.XLOOKUP(C1911, Table2[Species],Table2[Sp. Name], "Code Not Found")</f>
        <v>grandifolia</v>
      </c>
      <c r="N1911" t="str">
        <f>_xlfn.XLOOKUP(C1911,Table2[Species],Table2[Family],"Code Not Found")</f>
        <v>Fagaceae</v>
      </c>
      <c r="O1911" t="str" cm="1">
        <f t="array" ref="O1911">_xlfn.IFS(F1911="","",F1911&lt;=5,"0 to 5",F1911&lt;=10,"5.1 to 10",F1911&lt;=20,"10 to 20", F1911&lt;= 40, "20 to 40", F1911 &lt;= 50, "40 to 50", F1911 &gt; 50, "&gt;50" )</f>
        <v>0 to 5</v>
      </c>
    </row>
    <row r="1912" spans="1:15" ht="15" customHeight="1" x14ac:dyDescent="0.3">
      <c r="A1912" t="s">
        <v>351</v>
      </c>
      <c r="B1912" s="1">
        <v>46203</v>
      </c>
      <c r="C1912" t="s">
        <v>16</v>
      </c>
      <c r="D1912">
        <v>1752</v>
      </c>
      <c r="E1912">
        <v>1</v>
      </c>
      <c r="F1912">
        <v>8.1</v>
      </c>
      <c r="G1912" t="s">
        <v>34</v>
      </c>
      <c r="I1912" t="str">
        <f t="shared" si="32"/>
        <v>1752_1</v>
      </c>
      <c r="J1912" t="s">
        <v>241</v>
      </c>
      <c r="K1912" t="s">
        <v>179</v>
      </c>
      <c r="L1912" t="str">
        <f>_xlfn.XLOOKUP(C1912, Table2[Species],Table2[Genus], "Code Not Found")</f>
        <v>Acer</v>
      </c>
      <c r="M1912" t="str">
        <f>_xlfn.XLOOKUP(C1912, Table2[Species],Table2[Sp. Name], "Code Not Found")</f>
        <v>saccharum</v>
      </c>
      <c r="N1912" t="str">
        <f>_xlfn.XLOOKUP(C1912,Table2[Species],Table2[Family],"Code Not Found")</f>
        <v>Sapindaceae</v>
      </c>
      <c r="O1912" t="str" cm="1">
        <f t="array" ref="O1912">_xlfn.IFS(F1912="","",F1912&lt;=5,"0 to 5",F1912&lt;=10,"5.1 to 10",F1912&lt;=20,"10 to 20", F1912&lt;= 40, "20 to 40", F1912 &lt;= 50, "40 to 50", F1912 &gt; 50, "&gt;50" )</f>
        <v>5.1 to 10</v>
      </c>
    </row>
    <row r="1913" spans="1:15" ht="15" customHeight="1" x14ac:dyDescent="0.3">
      <c r="A1913" t="s">
        <v>351</v>
      </c>
      <c r="B1913" s="1">
        <v>46203</v>
      </c>
      <c r="C1913" t="s">
        <v>16</v>
      </c>
      <c r="D1913">
        <v>1752</v>
      </c>
      <c r="E1913">
        <v>2</v>
      </c>
      <c r="F1913">
        <v>2.1</v>
      </c>
      <c r="G1913" t="s">
        <v>34</v>
      </c>
      <c r="I1913" t="str">
        <f t="shared" si="32"/>
        <v>1752_2</v>
      </c>
      <c r="J1913" t="s">
        <v>241</v>
      </c>
      <c r="K1913" t="s">
        <v>179</v>
      </c>
      <c r="L1913" t="str">
        <f>_xlfn.XLOOKUP(C1913, Table2[Species],Table2[Genus], "Code Not Found")</f>
        <v>Acer</v>
      </c>
      <c r="M1913" t="str">
        <f>_xlfn.XLOOKUP(C1913, Table2[Species],Table2[Sp. Name], "Code Not Found")</f>
        <v>saccharum</v>
      </c>
      <c r="N1913" t="str">
        <f>_xlfn.XLOOKUP(C1913,Table2[Species],Table2[Family],"Code Not Found")</f>
        <v>Sapindaceae</v>
      </c>
      <c r="O1913" t="str" cm="1">
        <f t="array" ref="O1913">_xlfn.IFS(F1913="","",F1913&lt;=5,"0 to 5",F1913&lt;=10,"5.1 to 10",F1913&lt;=20,"10 to 20", F1913&lt;= 40, "20 to 40", F1913 &lt;= 50, "40 to 50", F1913 &gt; 50, "&gt;50" )</f>
        <v>0 to 5</v>
      </c>
    </row>
    <row r="1914" spans="1:15" ht="15" customHeight="1" x14ac:dyDescent="0.3">
      <c r="A1914" t="s">
        <v>351</v>
      </c>
      <c r="B1914" s="1">
        <v>46203</v>
      </c>
      <c r="C1914" t="s">
        <v>16</v>
      </c>
      <c r="D1914">
        <v>1753</v>
      </c>
      <c r="E1914">
        <v>1</v>
      </c>
      <c r="F1914">
        <v>12.1</v>
      </c>
      <c r="G1914" t="s">
        <v>17</v>
      </c>
      <c r="I1914" t="str">
        <f t="shared" si="32"/>
        <v>1753_1</v>
      </c>
      <c r="J1914" t="s">
        <v>241</v>
      </c>
      <c r="K1914" t="s">
        <v>179</v>
      </c>
      <c r="L1914" t="str">
        <f>_xlfn.XLOOKUP(C1914, Table2[Species],Table2[Genus], "Code Not Found")</f>
        <v>Acer</v>
      </c>
      <c r="M1914" t="str">
        <f>_xlfn.XLOOKUP(C1914, Table2[Species],Table2[Sp. Name], "Code Not Found")</f>
        <v>saccharum</v>
      </c>
      <c r="N1914" t="str">
        <f>_xlfn.XLOOKUP(C1914,Table2[Species],Table2[Family],"Code Not Found")</f>
        <v>Sapindaceae</v>
      </c>
      <c r="O1914" t="str" cm="1">
        <f t="array" ref="O1914">_xlfn.IFS(F1914="","",F1914&lt;=5,"0 to 5",F1914&lt;=10,"5.1 to 10",F1914&lt;=20,"10 to 20", F1914&lt;= 40, "20 to 40", F1914 &lt;= 50, "40 to 50", F1914 &gt; 50, "&gt;50" )</f>
        <v>10 to 20</v>
      </c>
    </row>
    <row r="1915" spans="1:15" ht="15" customHeight="1" x14ac:dyDescent="0.3">
      <c r="A1915" t="s">
        <v>351</v>
      </c>
      <c r="B1915" s="1">
        <v>46203</v>
      </c>
      <c r="C1915" t="s">
        <v>16</v>
      </c>
      <c r="D1915">
        <v>1754</v>
      </c>
      <c r="E1915">
        <v>1</v>
      </c>
      <c r="F1915">
        <v>7.9</v>
      </c>
      <c r="G1915" t="s">
        <v>17</v>
      </c>
      <c r="I1915" t="str">
        <f t="shared" si="32"/>
        <v>1754_1</v>
      </c>
      <c r="J1915" t="s">
        <v>241</v>
      </c>
      <c r="K1915" t="s">
        <v>179</v>
      </c>
      <c r="L1915" t="str">
        <f>_xlfn.XLOOKUP(C1915, Table2[Species],Table2[Genus], "Code Not Found")</f>
        <v>Acer</v>
      </c>
      <c r="M1915" t="str">
        <f>_xlfn.XLOOKUP(C1915, Table2[Species],Table2[Sp. Name], "Code Not Found")</f>
        <v>saccharum</v>
      </c>
      <c r="N1915" t="str">
        <f>_xlfn.XLOOKUP(C1915,Table2[Species],Table2[Family],"Code Not Found")</f>
        <v>Sapindaceae</v>
      </c>
      <c r="O1915" t="str" cm="1">
        <f t="array" ref="O1915">_xlfn.IFS(F1915="","",F1915&lt;=5,"0 to 5",F1915&lt;=10,"5.1 to 10",F1915&lt;=20,"10 to 20", F1915&lt;= 40, "20 to 40", F1915 &lt;= 50, "40 to 50", F1915 &gt; 50, "&gt;50" )</f>
        <v>5.1 to 10</v>
      </c>
    </row>
    <row r="1916" spans="1:15" ht="15" customHeight="1" x14ac:dyDescent="0.3">
      <c r="A1916" t="s">
        <v>351</v>
      </c>
      <c r="B1916" s="1">
        <v>46203</v>
      </c>
      <c r="C1916" t="s">
        <v>64</v>
      </c>
      <c r="D1916">
        <v>1755</v>
      </c>
      <c r="E1916">
        <v>1</v>
      </c>
      <c r="F1916">
        <v>14.9</v>
      </c>
      <c r="G1916" t="s">
        <v>17</v>
      </c>
      <c r="H1916" t="s">
        <v>404</v>
      </c>
      <c r="I1916" t="str">
        <f t="shared" si="32"/>
        <v>1755_1</v>
      </c>
      <c r="J1916" t="s">
        <v>241</v>
      </c>
      <c r="K1916" t="s">
        <v>179</v>
      </c>
      <c r="L1916" t="str">
        <f>_xlfn.XLOOKUP(C1916, Table2[Species],Table2[Genus], "Code Not Found")</f>
        <v>Fagus</v>
      </c>
      <c r="M1916" t="str">
        <f>_xlfn.XLOOKUP(C1916, Table2[Species],Table2[Sp. Name], "Code Not Found")</f>
        <v>grandifolia</v>
      </c>
      <c r="N1916" t="str">
        <f>_xlfn.XLOOKUP(C1916,Table2[Species],Table2[Family],"Code Not Found")</f>
        <v>Fagaceae</v>
      </c>
      <c r="O1916" t="str" cm="1">
        <f t="array" ref="O1916">_xlfn.IFS(F1916="","",F1916&lt;=5,"0 to 5",F1916&lt;=10,"5.1 to 10",F1916&lt;=20,"10 to 20", F1916&lt;= 40, "20 to 40", F1916 &lt;= 50, "40 to 50", F1916 &gt; 50, "&gt;50" )</f>
        <v>10 to 20</v>
      </c>
    </row>
    <row r="1917" spans="1:15" ht="15" customHeight="1" x14ac:dyDescent="0.3">
      <c r="A1917" t="s">
        <v>351</v>
      </c>
      <c r="B1917" s="1">
        <v>46203</v>
      </c>
      <c r="C1917" t="s">
        <v>64</v>
      </c>
      <c r="D1917">
        <v>1756</v>
      </c>
      <c r="E1917">
        <v>1</v>
      </c>
      <c r="F1917">
        <v>13.9</v>
      </c>
      <c r="G1917" t="s">
        <v>21</v>
      </c>
      <c r="H1917" t="s">
        <v>405</v>
      </c>
      <c r="I1917" t="str">
        <f t="shared" si="32"/>
        <v>1756_1</v>
      </c>
      <c r="J1917" t="s">
        <v>241</v>
      </c>
      <c r="K1917" t="s">
        <v>179</v>
      </c>
      <c r="L1917" t="str">
        <f>_xlfn.XLOOKUP(C1917, Table2[Species],Table2[Genus], "Code Not Found")</f>
        <v>Fagus</v>
      </c>
      <c r="M1917" t="str">
        <f>_xlfn.XLOOKUP(C1917, Table2[Species],Table2[Sp. Name], "Code Not Found")</f>
        <v>grandifolia</v>
      </c>
      <c r="N1917" t="str">
        <f>_xlfn.XLOOKUP(C1917,Table2[Species],Table2[Family],"Code Not Found")</f>
        <v>Fagaceae</v>
      </c>
      <c r="O1917" t="str" cm="1">
        <f t="array" ref="O1917">_xlfn.IFS(F1917="","",F1917&lt;=5,"0 to 5",F1917&lt;=10,"5.1 to 10",F1917&lt;=20,"10 to 20", F1917&lt;= 40, "20 to 40", F1917 &lt;= 50, "40 to 50", F1917 &gt; 50, "&gt;50" )</f>
        <v>10 to 20</v>
      </c>
    </row>
    <row r="1918" spans="1:15" ht="15" customHeight="1" x14ac:dyDescent="0.3">
      <c r="A1918" t="s">
        <v>351</v>
      </c>
      <c r="B1918" s="1">
        <v>46203</v>
      </c>
      <c r="C1918" t="s">
        <v>16</v>
      </c>
      <c r="D1918">
        <v>1757</v>
      </c>
      <c r="E1918">
        <v>1</v>
      </c>
      <c r="F1918">
        <v>13.5</v>
      </c>
      <c r="G1918" t="s">
        <v>21</v>
      </c>
      <c r="I1918" t="str">
        <f t="shared" si="32"/>
        <v>1757_1</v>
      </c>
      <c r="J1918" t="s">
        <v>241</v>
      </c>
      <c r="K1918" t="s">
        <v>179</v>
      </c>
      <c r="L1918" t="str">
        <f>_xlfn.XLOOKUP(C1918, Table2[Species],Table2[Genus], "Code Not Found")</f>
        <v>Acer</v>
      </c>
      <c r="M1918" t="str">
        <f>_xlfn.XLOOKUP(C1918, Table2[Species],Table2[Sp. Name], "Code Not Found")</f>
        <v>saccharum</v>
      </c>
      <c r="N1918" t="str">
        <f>_xlfn.XLOOKUP(C1918,Table2[Species],Table2[Family],"Code Not Found")</f>
        <v>Sapindaceae</v>
      </c>
      <c r="O1918" t="str" cm="1">
        <f t="array" ref="O1918">_xlfn.IFS(F1918="","",F1918&lt;=5,"0 to 5",F1918&lt;=10,"5.1 to 10",F1918&lt;=20,"10 to 20", F1918&lt;= 40, "20 to 40", F1918 &lt;= 50, "40 to 50", F1918 &gt; 50, "&gt;50" )</f>
        <v>10 to 20</v>
      </c>
    </row>
    <row r="1919" spans="1:15" ht="15" customHeight="1" x14ac:dyDescent="0.3">
      <c r="A1919" t="s">
        <v>351</v>
      </c>
      <c r="B1919" s="1">
        <v>46203</v>
      </c>
      <c r="C1919" t="s">
        <v>16</v>
      </c>
      <c r="D1919">
        <v>1758</v>
      </c>
      <c r="E1919">
        <v>1</v>
      </c>
      <c r="F1919">
        <v>9.1999999999999993</v>
      </c>
      <c r="G1919" t="s">
        <v>17</v>
      </c>
      <c r="I1919" t="str">
        <f t="shared" si="32"/>
        <v>1758_1</v>
      </c>
      <c r="J1919" t="s">
        <v>241</v>
      </c>
      <c r="K1919" t="s">
        <v>179</v>
      </c>
      <c r="L1919" t="str">
        <f>_xlfn.XLOOKUP(C1919, Table2[Species],Table2[Genus], "Code Not Found")</f>
        <v>Acer</v>
      </c>
      <c r="M1919" t="str">
        <f>_xlfn.XLOOKUP(C1919, Table2[Species],Table2[Sp. Name], "Code Not Found")</f>
        <v>saccharum</v>
      </c>
      <c r="N1919" t="str">
        <f>_xlfn.XLOOKUP(C1919,Table2[Species],Table2[Family],"Code Not Found")</f>
        <v>Sapindaceae</v>
      </c>
      <c r="O1919" t="str" cm="1">
        <f t="array" ref="O1919">_xlfn.IFS(F1919="","",F1919&lt;=5,"0 to 5",F1919&lt;=10,"5.1 to 10",F1919&lt;=20,"10 to 20", F1919&lt;= 40, "20 to 40", F1919 &lt;= 50, "40 to 50", F1919 &gt; 50, "&gt;50" )</f>
        <v>5.1 to 10</v>
      </c>
    </row>
    <row r="1920" spans="1:15" ht="15" customHeight="1" x14ac:dyDescent="0.3">
      <c r="A1920" t="s">
        <v>351</v>
      </c>
      <c r="B1920" s="1">
        <v>46203</v>
      </c>
      <c r="C1920" t="s">
        <v>64</v>
      </c>
      <c r="D1920">
        <v>1759</v>
      </c>
      <c r="E1920">
        <v>1</v>
      </c>
      <c r="F1920">
        <v>71.599999999999994</v>
      </c>
      <c r="G1920" t="s">
        <v>17</v>
      </c>
      <c r="H1920" t="s">
        <v>406</v>
      </c>
      <c r="I1920" t="str">
        <f t="shared" si="32"/>
        <v>1759_1</v>
      </c>
      <c r="J1920" t="s">
        <v>241</v>
      </c>
      <c r="K1920" t="s">
        <v>179</v>
      </c>
      <c r="L1920" t="str">
        <f>_xlfn.XLOOKUP(C1920, Table2[Species],Table2[Genus], "Code Not Found")</f>
        <v>Fagus</v>
      </c>
      <c r="M1920" t="str">
        <f>_xlfn.XLOOKUP(C1920, Table2[Species],Table2[Sp. Name], "Code Not Found")</f>
        <v>grandifolia</v>
      </c>
      <c r="N1920" t="str">
        <f>_xlfn.XLOOKUP(C1920,Table2[Species],Table2[Family],"Code Not Found")</f>
        <v>Fagaceae</v>
      </c>
      <c r="O1920" t="str" cm="1">
        <f t="array" ref="O1920">_xlfn.IFS(F1920="","",F1920&lt;=5,"0 to 5",F1920&lt;=10,"5.1 to 10",F1920&lt;=20,"10 to 20", F1920&lt;= 40, "20 to 40", F1920 &lt;= 50, "40 to 50", F1920 &gt; 50, "&gt;50" )</f>
        <v>&gt;50</v>
      </c>
    </row>
    <row r="1921" spans="1:15" ht="15" customHeight="1" x14ac:dyDescent="0.3">
      <c r="A1921" t="s">
        <v>351</v>
      </c>
      <c r="B1921" s="1">
        <v>46203</v>
      </c>
      <c r="C1921" t="s">
        <v>16</v>
      </c>
      <c r="D1921">
        <v>1760</v>
      </c>
      <c r="E1921">
        <v>1</v>
      </c>
      <c r="F1921">
        <v>12.1</v>
      </c>
      <c r="G1921" t="s">
        <v>30</v>
      </c>
      <c r="H1921" t="s">
        <v>99</v>
      </c>
      <c r="I1921" t="str">
        <f t="shared" si="32"/>
        <v>1760_1</v>
      </c>
      <c r="J1921" t="s">
        <v>241</v>
      </c>
      <c r="K1921" t="s">
        <v>179</v>
      </c>
      <c r="L1921" t="str">
        <f>_xlfn.XLOOKUP(C1921, Table2[Species],Table2[Genus], "Code Not Found")</f>
        <v>Acer</v>
      </c>
      <c r="M1921" t="str">
        <f>_xlfn.XLOOKUP(C1921, Table2[Species],Table2[Sp. Name], "Code Not Found")</f>
        <v>saccharum</v>
      </c>
      <c r="N1921" t="str">
        <f>_xlfn.XLOOKUP(C1921,Table2[Species],Table2[Family],"Code Not Found")</f>
        <v>Sapindaceae</v>
      </c>
      <c r="O1921" t="str" cm="1">
        <f t="array" ref="O1921">_xlfn.IFS(F1921="","",F1921&lt;=5,"0 to 5",F1921&lt;=10,"5.1 to 10",F1921&lt;=20,"10 to 20", F1921&lt;= 40, "20 to 40", F1921 &lt;= 50, "40 to 50", F1921 &gt; 50, "&gt;50" )</f>
        <v>10 to 20</v>
      </c>
    </row>
    <row r="1922" spans="1:15" s="21" customFormat="1" ht="15" customHeight="1" x14ac:dyDescent="0.3">
      <c r="A1922" s="21" t="s">
        <v>351</v>
      </c>
      <c r="B1922" s="22">
        <v>46203</v>
      </c>
      <c r="C1922" s="21" t="s">
        <v>64</v>
      </c>
      <c r="D1922" s="21">
        <v>0</v>
      </c>
      <c r="E1922" s="21">
        <v>1</v>
      </c>
      <c r="F1922" s="21">
        <v>6.3</v>
      </c>
      <c r="G1922" s="21" t="s">
        <v>47</v>
      </c>
      <c r="H1922" s="21" t="s">
        <v>407</v>
      </c>
      <c r="I1922" s="21" t="str">
        <f t="shared" si="32"/>
        <v>0_1</v>
      </c>
      <c r="J1922" s="21" t="s">
        <v>241</v>
      </c>
      <c r="K1922" s="21" t="s">
        <v>179</v>
      </c>
      <c r="L1922" s="21" t="str">
        <f>_xlfn.XLOOKUP(C1922, Table2[Species],Table2[Genus], "Code Not Found")</f>
        <v>Fagus</v>
      </c>
      <c r="M1922" s="21" t="str">
        <f>_xlfn.XLOOKUP(C1922, Table2[Species],Table2[Sp. Name], "Code Not Found")</f>
        <v>grandifolia</v>
      </c>
      <c r="N1922" s="21" t="str">
        <f>_xlfn.XLOOKUP(C1922,Table2[Species],Table2[Family],"Code Not Found")</f>
        <v>Fagaceae</v>
      </c>
      <c r="O1922" t="str" cm="1">
        <f t="array" ref="O1922">_xlfn.IFS(F1922="","",F1922&lt;=5,"0 to 5",F1922&lt;=10,"5.1 to 10",F1922&lt;=20,"10 to 20", F1922&lt;= 40, "20 to 40", F1922 &lt;= 50, "40 to 50", F1922 &gt; 50, "&gt;50" )</f>
        <v>5.1 to 10</v>
      </c>
    </row>
    <row r="1923" spans="1:15" ht="15" customHeight="1" x14ac:dyDescent="0.3">
      <c r="A1923" t="s">
        <v>351</v>
      </c>
      <c r="B1923" s="1">
        <v>46203</v>
      </c>
      <c r="C1923" t="s">
        <v>64</v>
      </c>
      <c r="D1923">
        <v>1761</v>
      </c>
      <c r="E1923">
        <v>1</v>
      </c>
      <c r="F1923">
        <v>2.8</v>
      </c>
      <c r="G1923" t="s">
        <v>17</v>
      </c>
      <c r="I1923" t="str">
        <f t="shared" si="32"/>
        <v>1761_1</v>
      </c>
      <c r="J1923" t="s">
        <v>241</v>
      </c>
      <c r="K1923" t="s">
        <v>179</v>
      </c>
      <c r="L1923" t="str">
        <f>_xlfn.XLOOKUP(C1923, Table2[Species],Table2[Genus], "Code Not Found")</f>
        <v>Fagus</v>
      </c>
      <c r="M1923" t="str">
        <f>_xlfn.XLOOKUP(C1923, Table2[Species],Table2[Sp. Name], "Code Not Found")</f>
        <v>grandifolia</v>
      </c>
      <c r="N1923" t="str">
        <f>_xlfn.XLOOKUP(C1923,Table2[Species],Table2[Family],"Code Not Found")</f>
        <v>Fagaceae</v>
      </c>
      <c r="O1923" t="str" cm="1">
        <f t="array" ref="O1923">_xlfn.IFS(F1923="","",F1923&lt;=5,"0 to 5",F1923&lt;=10,"5.1 to 10",F1923&lt;=20,"10 to 20", F1923&lt;= 40, "20 to 40", F1923 &lt;= 50, "40 to 50", F1923 &gt; 50, "&gt;50" )</f>
        <v>0 to 5</v>
      </c>
    </row>
    <row r="1924" spans="1:15" ht="15" customHeight="1" x14ac:dyDescent="0.3">
      <c r="A1924" t="s">
        <v>351</v>
      </c>
      <c r="B1924" s="1">
        <v>46203</v>
      </c>
      <c r="C1924" t="s">
        <v>16</v>
      </c>
      <c r="D1924">
        <v>1762</v>
      </c>
      <c r="E1924">
        <v>1</v>
      </c>
      <c r="F1924">
        <v>8</v>
      </c>
      <c r="G1924" t="s">
        <v>17</v>
      </c>
      <c r="I1924" t="str">
        <f t="shared" si="32"/>
        <v>1762_1</v>
      </c>
      <c r="J1924" t="s">
        <v>241</v>
      </c>
      <c r="K1924" t="s">
        <v>179</v>
      </c>
      <c r="L1924" t="str">
        <f>_xlfn.XLOOKUP(C1924, Table2[Species],Table2[Genus], "Code Not Found")</f>
        <v>Acer</v>
      </c>
      <c r="M1924" t="str">
        <f>_xlfn.XLOOKUP(C1924, Table2[Species],Table2[Sp. Name], "Code Not Found")</f>
        <v>saccharum</v>
      </c>
      <c r="N1924" t="str">
        <f>_xlfn.XLOOKUP(C1924,Table2[Species],Table2[Family],"Code Not Found")</f>
        <v>Sapindaceae</v>
      </c>
      <c r="O1924" t="str" cm="1">
        <f t="array" ref="O1924">_xlfn.IFS(F1924="","",F1924&lt;=5,"0 to 5",F1924&lt;=10,"5.1 to 10",F1924&lt;=20,"10 to 20", F1924&lt;= 40, "20 to 40", F1924 &lt;= 50, "40 to 50", F1924 &gt; 50, "&gt;50" )</f>
        <v>5.1 to 10</v>
      </c>
    </row>
    <row r="1925" spans="1:15" ht="15" customHeight="1" x14ac:dyDescent="0.3">
      <c r="A1925" t="s">
        <v>351</v>
      </c>
      <c r="B1925" s="1">
        <v>46203</v>
      </c>
      <c r="C1925" t="s">
        <v>16</v>
      </c>
      <c r="D1925">
        <v>1763</v>
      </c>
      <c r="E1925">
        <v>1</v>
      </c>
      <c r="F1925">
        <v>9.9</v>
      </c>
      <c r="G1925" t="s">
        <v>17</v>
      </c>
      <c r="I1925" t="str">
        <f t="shared" si="32"/>
        <v>1763_1</v>
      </c>
      <c r="J1925" t="s">
        <v>241</v>
      </c>
      <c r="K1925" t="s">
        <v>179</v>
      </c>
      <c r="L1925" t="str">
        <f>_xlfn.XLOOKUP(C1925, Table2[Species],Table2[Genus], "Code Not Found")</f>
        <v>Acer</v>
      </c>
      <c r="M1925" t="str">
        <f>_xlfn.XLOOKUP(C1925, Table2[Species],Table2[Sp. Name], "Code Not Found")</f>
        <v>saccharum</v>
      </c>
      <c r="N1925" t="str">
        <f>_xlfn.XLOOKUP(C1925,Table2[Species],Table2[Family],"Code Not Found")</f>
        <v>Sapindaceae</v>
      </c>
      <c r="O1925" t="str" cm="1">
        <f t="array" ref="O1925">_xlfn.IFS(F1925="","",F1925&lt;=5,"0 to 5",F1925&lt;=10,"5.1 to 10",F1925&lt;=20,"10 to 20", F1925&lt;= 40, "20 to 40", F1925 &lt;= 50, "40 to 50", F1925 &gt; 50, "&gt;50" )</f>
        <v>5.1 to 10</v>
      </c>
    </row>
    <row r="1926" spans="1:15" ht="15" customHeight="1" x14ac:dyDescent="0.3">
      <c r="A1926" t="s">
        <v>351</v>
      </c>
      <c r="B1926" s="1">
        <v>46203</v>
      </c>
      <c r="C1926" t="s">
        <v>16</v>
      </c>
      <c r="D1926">
        <v>1764</v>
      </c>
      <c r="E1926">
        <v>1</v>
      </c>
      <c r="F1926">
        <v>9.8000000000000007</v>
      </c>
      <c r="G1926" t="s">
        <v>54</v>
      </c>
      <c r="I1926" t="str">
        <f t="shared" si="32"/>
        <v>1764_1</v>
      </c>
      <c r="J1926" t="s">
        <v>241</v>
      </c>
      <c r="K1926" t="s">
        <v>179</v>
      </c>
      <c r="L1926" t="str">
        <f>_xlfn.XLOOKUP(C1926, Table2[Species],Table2[Genus], "Code Not Found")</f>
        <v>Acer</v>
      </c>
      <c r="M1926" t="str">
        <f>_xlfn.XLOOKUP(C1926, Table2[Species],Table2[Sp. Name], "Code Not Found")</f>
        <v>saccharum</v>
      </c>
      <c r="N1926" t="str">
        <f>_xlfn.XLOOKUP(C1926,Table2[Species],Table2[Family],"Code Not Found")</f>
        <v>Sapindaceae</v>
      </c>
      <c r="O1926" t="str" cm="1">
        <f t="array" ref="O1926">_xlfn.IFS(F1926="","",F1926&lt;=5,"0 to 5",F1926&lt;=10,"5.1 to 10",F1926&lt;=20,"10 to 20", F1926&lt;= 40, "20 to 40", F1926 &lt;= 50, "40 to 50", F1926 &gt; 50, "&gt;50" )</f>
        <v>5.1 to 10</v>
      </c>
    </row>
    <row r="1927" spans="1:15" ht="15" customHeight="1" x14ac:dyDescent="0.3">
      <c r="A1927" t="s">
        <v>351</v>
      </c>
      <c r="B1927" s="1">
        <v>46203</v>
      </c>
      <c r="C1927" t="s">
        <v>24</v>
      </c>
      <c r="D1927">
        <v>1765</v>
      </c>
      <c r="E1927">
        <v>1</v>
      </c>
      <c r="F1927">
        <v>88.6</v>
      </c>
      <c r="G1927" t="s">
        <v>21</v>
      </c>
      <c r="I1927" t="str">
        <f t="shared" si="32"/>
        <v>1765_1</v>
      </c>
      <c r="J1927" t="s">
        <v>241</v>
      </c>
      <c r="K1927" t="s">
        <v>179</v>
      </c>
      <c r="L1927" t="str">
        <f>_xlfn.XLOOKUP(C1927, Table2[Species],Table2[Genus], "Code Not Found")</f>
        <v>Lirodendron</v>
      </c>
      <c r="M1927" t="str">
        <f>_xlfn.XLOOKUP(C1927, Table2[Species],Table2[Sp. Name], "Code Not Found")</f>
        <v>tulipfera</v>
      </c>
      <c r="N1927" t="str">
        <f>_xlfn.XLOOKUP(C1927,Table2[Species],Table2[Family],"Code Not Found")</f>
        <v>Magnoliaceae</v>
      </c>
      <c r="O1927" t="str" cm="1">
        <f t="array" ref="O1927">_xlfn.IFS(F1927="","",F1927&lt;=5,"0 to 5",F1927&lt;=10,"5.1 to 10",F1927&lt;=20,"10 to 20", F1927&lt;= 40, "20 to 40", F1927 &lt;= 50, "40 to 50", F1927 &gt; 50, "&gt;50" )</f>
        <v>&gt;50</v>
      </c>
    </row>
    <row r="1928" spans="1:15" ht="15" customHeight="1" x14ac:dyDescent="0.3">
      <c r="A1928" t="s">
        <v>351</v>
      </c>
      <c r="B1928" s="1">
        <v>46203</v>
      </c>
      <c r="C1928" t="s">
        <v>16</v>
      </c>
      <c r="D1928">
        <v>1766</v>
      </c>
      <c r="E1928">
        <v>1</v>
      </c>
      <c r="F1928">
        <v>9.3000000000000007</v>
      </c>
      <c r="G1928" t="s">
        <v>38</v>
      </c>
      <c r="I1928" t="str">
        <f t="shared" si="32"/>
        <v>1766_1</v>
      </c>
      <c r="J1928" t="s">
        <v>241</v>
      </c>
      <c r="K1928" t="s">
        <v>179</v>
      </c>
      <c r="L1928" t="str">
        <f>_xlfn.XLOOKUP(C1928, Table2[Species],Table2[Genus], "Code Not Found")</f>
        <v>Acer</v>
      </c>
      <c r="M1928" t="str">
        <f>_xlfn.XLOOKUP(C1928, Table2[Species],Table2[Sp. Name], "Code Not Found")</f>
        <v>saccharum</v>
      </c>
      <c r="N1928" t="str">
        <f>_xlfn.XLOOKUP(C1928,Table2[Species],Table2[Family],"Code Not Found")</f>
        <v>Sapindaceae</v>
      </c>
      <c r="O1928" t="str" cm="1">
        <f t="array" ref="O1928">_xlfn.IFS(F1928="","",F1928&lt;=5,"0 to 5",F1928&lt;=10,"5.1 to 10",F1928&lt;=20,"10 to 20", F1928&lt;= 40, "20 to 40", F1928 &lt;= 50, "40 to 50", F1928 &gt; 50, "&gt;50" )</f>
        <v>5.1 to 10</v>
      </c>
    </row>
    <row r="1929" spans="1:15" ht="15" customHeight="1" x14ac:dyDescent="0.3">
      <c r="A1929" t="s">
        <v>351</v>
      </c>
      <c r="B1929" s="1">
        <v>46203</v>
      </c>
      <c r="C1929" t="s">
        <v>16</v>
      </c>
      <c r="D1929">
        <v>1767</v>
      </c>
      <c r="E1929">
        <v>1</v>
      </c>
      <c r="F1929">
        <v>21.1</v>
      </c>
      <c r="G1929" t="s">
        <v>21</v>
      </c>
      <c r="I1929" t="str">
        <f t="shared" si="32"/>
        <v>1767_1</v>
      </c>
      <c r="J1929" t="s">
        <v>241</v>
      </c>
      <c r="K1929" t="s">
        <v>179</v>
      </c>
      <c r="L1929" t="str">
        <f>_xlfn.XLOOKUP(C1929, Table2[Species],Table2[Genus], "Code Not Found")</f>
        <v>Acer</v>
      </c>
      <c r="M1929" t="str">
        <f>_xlfn.XLOOKUP(C1929, Table2[Species],Table2[Sp. Name], "Code Not Found")</f>
        <v>saccharum</v>
      </c>
      <c r="N1929" t="str">
        <f>_xlfn.XLOOKUP(C1929,Table2[Species],Table2[Family],"Code Not Found")</f>
        <v>Sapindaceae</v>
      </c>
      <c r="O1929" t="str" cm="1">
        <f t="array" ref="O1929">_xlfn.IFS(F1929="","",F1929&lt;=5,"0 to 5",F1929&lt;=10,"5.1 to 10",F1929&lt;=20,"10 to 20", F1929&lt;= 40, "20 to 40", F1929 &lt;= 50, "40 to 50", F1929 &gt; 50, "&gt;50" )</f>
        <v>20 to 40</v>
      </c>
    </row>
    <row r="1930" spans="1:15" ht="15" customHeight="1" x14ac:dyDescent="0.3">
      <c r="A1930" t="s">
        <v>351</v>
      </c>
      <c r="B1930" s="1">
        <v>46203</v>
      </c>
      <c r="C1930" t="s">
        <v>16</v>
      </c>
      <c r="D1930">
        <v>1768</v>
      </c>
      <c r="E1930">
        <v>1</v>
      </c>
      <c r="F1930">
        <v>9</v>
      </c>
      <c r="G1930" t="s">
        <v>17</v>
      </c>
      <c r="I1930" t="str">
        <f t="shared" si="32"/>
        <v>1768_1</v>
      </c>
      <c r="J1930" t="s">
        <v>241</v>
      </c>
      <c r="K1930" t="s">
        <v>179</v>
      </c>
      <c r="L1930" t="str">
        <f>_xlfn.XLOOKUP(C1930, Table2[Species],Table2[Genus], "Code Not Found")</f>
        <v>Acer</v>
      </c>
      <c r="M1930" t="str">
        <f>_xlfn.XLOOKUP(C1930, Table2[Species],Table2[Sp. Name], "Code Not Found")</f>
        <v>saccharum</v>
      </c>
      <c r="N1930" t="str">
        <f>_xlfn.XLOOKUP(C1930,Table2[Species],Table2[Family],"Code Not Found")</f>
        <v>Sapindaceae</v>
      </c>
      <c r="O1930" t="str" cm="1">
        <f t="array" ref="O1930">_xlfn.IFS(F1930="","",F1930&lt;=5,"0 to 5",F1930&lt;=10,"5.1 to 10",F1930&lt;=20,"10 to 20", F1930&lt;= 40, "20 to 40", F1930 &lt;= 50, "40 to 50", F1930 &gt; 50, "&gt;50" )</f>
        <v>5.1 to 10</v>
      </c>
    </row>
    <row r="1931" spans="1:15" ht="15" customHeight="1" x14ac:dyDescent="0.3">
      <c r="A1931" t="s">
        <v>351</v>
      </c>
      <c r="B1931" s="1">
        <v>46203</v>
      </c>
      <c r="C1931" t="s">
        <v>64</v>
      </c>
      <c r="D1931">
        <v>1769</v>
      </c>
      <c r="E1931">
        <v>1</v>
      </c>
      <c r="F1931">
        <v>19.600000000000001</v>
      </c>
      <c r="G1931" t="s">
        <v>17</v>
      </c>
      <c r="I1931" t="str">
        <f t="shared" si="32"/>
        <v>1769_1</v>
      </c>
      <c r="J1931" t="s">
        <v>241</v>
      </c>
      <c r="K1931" t="s">
        <v>179</v>
      </c>
      <c r="L1931" t="str">
        <f>_xlfn.XLOOKUP(C1931, Table2[Species],Table2[Genus], "Code Not Found")</f>
        <v>Fagus</v>
      </c>
      <c r="M1931" t="str">
        <f>_xlfn.XLOOKUP(C1931, Table2[Species],Table2[Sp. Name], "Code Not Found")</f>
        <v>grandifolia</v>
      </c>
      <c r="N1931" t="str">
        <f>_xlfn.XLOOKUP(C1931,Table2[Species],Table2[Family],"Code Not Found")</f>
        <v>Fagaceae</v>
      </c>
      <c r="O1931" t="str" cm="1">
        <f t="array" ref="O1931">_xlfn.IFS(F1931="","",F1931&lt;=5,"0 to 5",F1931&lt;=10,"5.1 to 10",F1931&lt;=20,"10 to 20", F1931&lt;= 40, "20 to 40", F1931 &lt;= 50, "40 to 50", F1931 &gt; 50, "&gt;50" )</f>
        <v>10 to 20</v>
      </c>
    </row>
    <row r="1932" spans="1:15" ht="15" customHeight="1" x14ac:dyDescent="0.3">
      <c r="A1932" t="s">
        <v>351</v>
      </c>
      <c r="B1932" s="1">
        <v>46203</v>
      </c>
      <c r="C1932" t="s">
        <v>16</v>
      </c>
      <c r="D1932">
        <v>1770</v>
      </c>
      <c r="E1932">
        <v>1</v>
      </c>
      <c r="F1932">
        <v>17.100000000000001</v>
      </c>
      <c r="G1932" t="s">
        <v>17</v>
      </c>
      <c r="I1932" t="str">
        <f t="shared" si="32"/>
        <v>1770_1</v>
      </c>
      <c r="J1932" t="s">
        <v>241</v>
      </c>
      <c r="K1932" t="s">
        <v>179</v>
      </c>
      <c r="L1932" t="str">
        <f>_xlfn.XLOOKUP(C1932, Table2[Species],Table2[Genus], "Code Not Found")</f>
        <v>Acer</v>
      </c>
      <c r="M1932" t="str">
        <f>_xlfn.XLOOKUP(C1932, Table2[Species],Table2[Sp. Name], "Code Not Found")</f>
        <v>saccharum</v>
      </c>
      <c r="N1932" t="str">
        <f>_xlfn.XLOOKUP(C1932,Table2[Species],Table2[Family],"Code Not Found")</f>
        <v>Sapindaceae</v>
      </c>
      <c r="O1932" t="str" cm="1">
        <f t="array" ref="O1932">_xlfn.IFS(F1932="","",F1932&lt;=5,"0 to 5",F1932&lt;=10,"5.1 to 10",F1932&lt;=20,"10 to 20", F1932&lt;= 40, "20 to 40", F1932 &lt;= 50, "40 to 50", F1932 &gt; 50, "&gt;50" )</f>
        <v>10 to 20</v>
      </c>
    </row>
    <row r="1933" spans="1:15" ht="15" customHeight="1" x14ac:dyDescent="0.3">
      <c r="A1933" t="s">
        <v>351</v>
      </c>
      <c r="B1933" s="1">
        <v>46203</v>
      </c>
      <c r="C1933" t="s">
        <v>16</v>
      </c>
      <c r="D1933">
        <v>1771</v>
      </c>
      <c r="E1933">
        <v>1</v>
      </c>
      <c r="F1933">
        <v>3.2</v>
      </c>
      <c r="G1933" t="s">
        <v>17</v>
      </c>
      <c r="I1933" t="str">
        <f t="shared" si="32"/>
        <v>1771_1</v>
      </c>
      <c r="J1933" t="s">
        <v>241</v>
      </c>
      <c r="K1933" t="s">
        <v>179</v>
      </c>
      <c r="L1933" t="str">
        <f>_xlfn.XLOOKUP(C1933, Table2[Species],Table2[Genus], "Code Not Found")</f>
        <v>Acer</v>
      </c>
      <c r="M1933" t="str">
        <f>_xlfn.XLOOKUP(C1933, Table2[Species],Table2[Sp. Name], "Code Not Found")</f>
        <v>saccharum</v>
      </c>
      <c r="N1933" t="str">
        <f>_xlfn.XLOOKUP(C1933,Table2[Species],Table2[Family],"Code Not Found")</f>
        <v>Sapindaceae</v>
      </c>
      <c r="O1933" t="str" cm="1">
        <f t="array" ref="O1933">_xlfn.IFS(F1933="","",F1933&lt;=5,"0 to 5",F1933&lt;=10,"5.1 to 10",F1933&lt;=20,"10 to 20", F1933&lt;= 40, "20 to 40", F1933 &lt;= 50, "40 to 50", F1933 &gt; 50, "&gt;50" )</f>
        <v>0 to 5</v>
      </c>
    </row>
    <row r="1934" spans="1:15" ht="15" customHeight="1" x14ac:dyDescent="0.3">
      <c r="A1934" t="s">
        <v>351</v>
      </c>
      <c r="B1934" s="1">
        <v>46203</v>
      </c>
      <c r="C1934" t="s">
        <v>24</v>
      </c>
      <c r="D1934">
        <v>1772</v>
      </c>
      <c r="E1934">
        <v>1</v>
      </c>
      <c r="F1934">
        <v>1.1000000000000001</v>
      </c>
      <c r="G1934" t="s">
        <v>359</v>
      </c>
      <c r="I1934" t="str">
        <f t="shared" si="32"/>
        <v>1772_1</v>
      </c>
      <c r="J1934" t="s">
        <v>241</v>
      </c>
      <c r="K1934" t="s">
        <v>179</v>
      </c>
      <c r="L1934" t="str">
        <f>_xlfn.XLOOKUP(C1934, Table2[Species],Table2[Genus], "Code Not Found")</f>
        <v>Lirodendron</v>
      </c>
      <c r="M1934" t="str">
        <f>_xlfn.XLOOKUP(C1934, Table2[Species],Table2[Sp. Name], "Code Not Found")</f>
        <v>tulipfera</v>
      </c>
      <c r="N1934" t="str">
        <f>_xlfn.XLOOKUP(C1934,Table2[Species],Table2[Family],"Code Not Found")</f>
        <v>Magnoliaceae</v>
      </c>
      <c r="O1934" t="str" cm="1">
        <f t="array" ref="O1934">_xlfn.IFS(F1934="","",F1934&lt;=5,"0 to 5",F1934&lt;=10,"5.1 to 10",F1934&lt;=20,"10 to 20", F1934&lt;= 40, "20 to 40", F1934 &lt;= 50, "40 to 50", F1934 &gt; 50, "&gt;50" )</f>
        <v>0 to 5</v>
      </c>
    </row>
    <row r="1935" spans="1:15" ht="15" customHeight="1" x14ac:dyDescent="0.3">
      <c r="A1935" t="s">
        <v>351</v>
      </c>
      <c r="B1935" s="1">
        <v>46203</v>
      </c>
      <c r="C1935" t="s">
        <v>16</v>
      </c>
      <c r="D1935">
        <v>1773</v>
      </c>
      <c r="E1935">
        <v>1</v>
      </c>
      <c r="F1935">
        <v>37</v>
      </c>
      <c r="G1935" t="s">
        <v>21</v>
      </c>
      <c r="I1935" t="str">
        <f t="shared" si="32"/>
        <v>1773_1</v>
      </c>
      <c r="J1935" t="s">
        <v>241</v>
      </c>
      <c r="K1935" t="s">
        <v>179</v>
      </c>
      <c r="L1935" t="str">
        <f>_xlfn.XLOOKUP(C1935, Table2[Species],Table2[Genus], "Code Not Found")</f>
        <v>Acer</v>
      </c>
      <c r="M1935" t="str">
        <f>_xlfn.XLOOKUP(C1935, Table2[Species],Table2[Sp. Name], "Code Not Found")</f>
        <v>saccharum</v>
      </c>
      <c r="N1935" t="str">
        <f>_xlfn.XLOOKUP(C1935,Table2[Species],Table2[Family],"Code Not Found")</f>
        <v>Sapindaceae</v>
      </c>
      <c r="O1935" t="str" cm="1">
        <f t="array" ref="O1935">_xlfn.IFS(F1935="","",F1935&lt;=5,"0 to 5",F1935&lt;=10,"5.1 to 10",F1935&lt;=20,"10 to 20", F1935&lt;= 40, "20 to 40", F1935 &lt;= 50, "40 to 50", F1935 &gt; 50, "&gt;50" )</f>
        <v>20 to 40</v>
      </c>
    </row>
    <row r="1936" spans="1:15" ht="15" customHeight="1" x14ac:dyDescent="0.3">
      <c r="A1936" t="s">
        <v>351</v>
      </c>
      <c r="B1936" s="1">
        <v>46203</v>
      </c>
      <c r="C1936" t="s">
        <v>64</v>
      </c>
      <c r="D1936">
        <v>1774</v>
      </c>
      <c r="E1936">
        <v>1</v>
      </c>
      <c r="F1936">
        <v>2</v>
      </c>
      <c r="G1936" t="s">
        <v>17</v>
      </c>
      <c r="H1936" t="s">
        <v>408</v>
      </c>
      <c r="I1936" t="str">
        <f t="shared" si="32"/>
        <v>1774_1</v>
      </c>
      <c r="J1936" t="s">
        <v>241</v>
      </c>
      <c r="K1936" t="s">
        <v>179</v>
      </c>
      <c r="L1936" t="str">
        <f>_xlfn.XLOOKUP(C1936, Table2[Species],Table2[Genus], "Code Not Found")</f>
        <v>Fagus</v>
      </c>
      <c r="M1936" t="str">
        <f>_xlfn.XLOOKUP(C1936, Table2[Species],Table2[Sp. Name], "Code Not Found")</f>
        <v>grandifolia</v>
      </c>
      <c r="N1936" t="str">
        <f>_xlfn.XLOOKUP(C1936,Table2[Species],Table2[Family],"Code Not Found")</f>
        <v>Fagaceae</v>
      </c>
      <c r="O1936" t="str" cm="1">
        <f t="array" ref="O1936">_xlfn.IFS(F1936="","",F1936&lt;=5,"0 to 5",F1936&lt;=10,"5.1 to 10",F1936&lt;=20,"10 to 20", F1936&lt;= 40, "20 to 40", F1936 &lt;= 50, "40 to 50", F1936 &gt; 50, "&gt;50" )</f>
        <v>0 to 5</v>
      </c>
    </row>
    <row r="1937" spans="1:15" ht="15" customHeight="1" x14ac:dyDescent="0.3">
      <c r="A1937" t="s">
        <v>351</v>
      </c>
      <c r="B1937" s="1">
        <v>46203</v>
      </c>
      <c r="C1937" t="s">
        <v>24</v>
      </c>
      <c r="D1937">
        <v>1775</v>
      </c>
      <c r="E1937">
        <v>1</v>
      </c>
      <c r="F1937">
        <v>1.1000000000000001</v>
      </c>
      <c r="G1937" t="s">
        <v>359</v>
      </c>
      <c r="I1937" t="str">
        <f t="shared" si="32"/>
        <v>1775_1</v>
      </c>
      <c r="J1937" t="s">
        <v>241</v>
      </c>
      <c r="K1937" t="s">
        <v>179</v>
      </c>
      <c r="L1937" t="str">
        <f>_xlfn.XLOOKUP(C1937, Table2[Species],Table2[Genus], "Code Not Found")</f>
        <v>Lirodendron</v>
      </c>
      <c r="M1937" t="str">
        <f>_xlfn.XLOOKUP(C1937, Table2[Species],Table2[Sp. Name], "Code Not Found")</f>
        <v>tulipfera</v>
      </c>
      <c r="N1937" t="str">
        <f>_xlfn.XLOOKUP(C1937,Table2[Species],Table2[Family],"Code Not Found")</f>
        <v>Magnoliaceae</v>
      </c>
      <c r="O1937" t="str" cm="1">
        <f t="array" ref="O1937">_xlfn.IFS(F1937="","",F1937&lt;=5,"0 to 5",F1937&lt;=10,"5.1 to 10",F1937&lt;=20,"10 to 20", F1937&lt;= 40, "20 to 40", F1937 &lt;= 50, "40 to 50", F1937 &gt; 50, "&gt;50" )</f>
        <v>0 to 5</v>
      </c>
    </row>
    <row r="1938" spans="1:15" ht="15" customHeight="1" x14ac:dyDescent="0.3">
      <c r="A1938" t="s">
        <v>351</v>
      </c>
      <c r="B1938" s="1">
        <v>46203</v>
      </c>
      <c r="C1938" t="s">
        <v>24</v>
      </c>
      <c r="D1938">
        <v>1776</v>
      </c>
      <c r="E1938">
        <v>1</v>
      </c>
      <c r="F1938">
        <v>1.1000000000000001</v>
      </c>
      <c r="G1938" t="s">
        <v>359</v>
      </c>
      <c r="I1938" t="str">
        <f t="shared" si="32"/>
        <v>1776_1</v>
      </c>
      <c r="J1938" t="s">
        <v>241</v>
      </c>
      <c r="K1938" t="s">
        <v>179</v>
      </c>
      <c r="L1938" t="str">
        <f>_xlfn.XLOOKUP(C1938, Table2[Species],Table2[Genus], "Code Not Found")</f>
        <v>Lirodendron</v>
      </c>
      <c r="M1938" t="str">
        <f>_xlfn.XLOOKUP(C1938, Table2[Species],Table2[Sp. Name], "Code Not Found")</f>
        <v>tulipfera</v>
      </c>
      <c r="N1938" t="str">
        <f>_xlfn.XLOOKUP(C1938,Table2[Species],Table2[Family],"Code Not Found")</f>
        <v>Magnoliaceae</v>
      </c>
      <c r="O1938" t="str" cm="1">
        <f t="array" ref="O1938">_xlfn.IFS(F1938="","",F1938&lt;=5,"0 to 5",F1938&lt;=10,"5.1 to 10",F1938&lt;=20,"10 to 20", F1938&lt;= 40, "20 to 40", F1938 &lt;= 50, "40 to 50", F1938 &gt; 50, "&gt;50" )</f>
        <v>0 to 5</v>
      </c>
    </row>
    <row r="1939" spans="1:15" ht="15" customHeight="1" x14ac:dyDescent="0.3">
      <c r="A1939" t="s">
        <v>351</v>
      </c>
      <c r="B1939" s="1">
        <v>46203</v>
      </c>
      <c r="C1939" t="s">
        <v>24</v>
      </c>
      <c r="D1939">
        <v>1777</v>
      </c>
      <c r="E1939">
        <v>1</v>
      </c>
      <c r="F1939">
        <v>1.3</v>
      </c>
      <c r="G1939" t="s">
        <v>359</v>
      </c>
      <c r="I1939" t="str">
        <f t="shared" si="32"/>
        <v>1777_1</v>
      </c>
      <c r="J1939" t="s">
        <v>241</v>
      </c>
      <c r="K1939" t="s">
        <v>179</v>
      </c>
      <c r="L1939" t="str">
        <f>_xlfn.XLOOKUP(C1939, Table2[Species],Table2[Genus], "Code Not Found")</f>
        <v>Lirodendron</v>
      </c>
      <c r="M1939" t="str">
        <f>_xlfn.XLOOKUP(C1939, Table2[Species],Table2[Sp. Name], "Code Not Found")</f>
        <v>tulipfera</v>
      </c>
      <c r="N1939" t="str">
        <f>_xlfn.XLOOKUP(C1939,Table2[Species],Table2[Family],"Code Not Found")</f>
        <v>Magnoliaceae</v>
      </c>
      <c r="O1939" t="str" cm="1">
        <f t="array" ref="O1939">_xlfn.IFS(F1939="","",F1939&lt;=5,"0 to 5",F1939&lt;=10,"5.1 to 10",F1939&lt;=20,"10 to 20", F1939&lt;= 40, "20 to 40", F1939 &lt;= 50, "40 to 50", F1939 &gt; 50, "&gt;50" )</f>
        <v>0 to 5</v>
      </c>
    </row>
    <row r="1940" spans="1:15" ht="15" customHeight="1" x14ac:dyDescent="0.3">
      <c r="A1940" t="s">
        <v>351</v>
      </c>
      <c r="B1940" s="1">
        <v>46203</v>
      </c>
      <c r="C1940" t="s">
        <v>16</v>
      </c>
      <c r="D1940">
        <v>1778</v>
      </c>
      <c r="E1940">
        <v>1</v>
      </c>
      <c r="F1940">
        <v>9.3000000000000007</v>
      </c>
      <c r="G1940" t="s">
        <v>21</v>
      </c>
      <c r="I1940" t="str">
        <f t="shared" si="32"/>
        <v>1778_1</v>
      </c>
      <c r="J1940" t="s">
        <v>241</v>
      </c>
      <c r="K1940" t="s">
        <v>179</v>
      </c>
      <c r="L1940" t="str">
        <f>_xlfn.XLOOKUP(C1940, Table2[Species],Table2[Genus], "Code Not Found")</f>
        <v>Acer</v>
      </c>
      <c r="M1940" t="str">
        <f>_xlfn.XLOOKUP(C1940, Table2[Species],Table2[Sp. Name], "Code Not Found")</f>
        <v>saccharum</v>
      </c>
      <c r="N1940" t="str">
        <f>_xlfn.XLOOKUP(C1940,Table2[Species],Table2[Family],"Code Not Found")</f>
        <v>Sapindaceae</v>
      </c>
      <c r="O1940" t="str" cm="1">
        <f t="array" ref="O1940">_xlfn.IFS(F1940="","",F1940&lt;=5,"0 to 5",F1940&lt;=10,"5.1 to 10",F1940&lt;=20,"10 to 20", F1940&lt;= 40, "20 to 40", F1940 &lt;= 50, "40 to 50", F1940 &gt; 50, "&gt;50" )</f>
        <v>5.1 to 10</v>
      </c>
    </row>
    <row r="1941" spans="1:15" ht="15" customHeight="1" x14ac:dyDescent="0.3">
      <c r="A1941" t="s">
        <v>351</v>
      </c>
      <c r="B1941" s="1">
        <v>46203</v>
      </c>
      <c r="C1941" t="s">
        <v>24</v>
      </c>
      <c r="D1941">
        <v>1779</v>
      </c>
      <c r="E1941">
        <v>1</v>
      </c>
      <c r="F1941">
        <v>1.5</v>
      </c>
      <c r="G1941" t="s">
        <v>359</v>
      </c>
      <c r="I1941" t="str">
        <f t="shared" si="32"/>
        <v>1779_1</v>
      </c>
      <c r="J1941" t="s">
        <v>241</v>
      </c>
      <c r="K1941" t="s">
        <v>179</v>
      </c>
      <c r="L1941" t="str">
        <f>_xlfn.XLOOKUP(C1941, Table2[Species],Table2[Genus], "Code Not Found")</f>
        <v>Lirodendron</v>
      </c>
      <c r="M1941" t="str">
        <f>_xlfn.XLOOKUP(C1941, Table2[Species],Table2[Sp. Name], "Code Not Found")</f>
        <v>tulipfera</v>
      </c>
      <c r="N1941" t="str">
        <f>_xlfn.XLOOKUP(C1941,Table2[Species],Table2[Family],"Code Not Found")</f>
        <v>Magnoliaceae</v>
      </c>
      <c r="O1941" t="str" cm="1">
        <f t="array" ref="O1941">_xlfn.IFS(F1941="","",F1941&lt;=5,"0 to 5",F1941&lt;=10,"5.1 to 10",F1941&lt;=20,"10 to 20", F1941&lt;= 40, "20 to 40", F1941 &lt;= 50, "40 to 50", F1941 &gt; 50, "&gt;50" )</f>
        <v>0 to 5</v>
      </c>
    </row>
    <row r="1942" spans="1:15" ht="15" customHeight="1" x14ac:dyDescent="0.3">
      <c r="A1942" t="s">
        <v>351</v>
      </c>
      <c r="B1942" s="1">
        <v>46203</v>
      </c>
      <c r="C1942" t="s">
        <v>24</v>
      </c>
      <c r="D1942">
        <v>1780</v>
      </c>
      <c r="E1942">
        <v>1</v>
      </c>
      <c r="F1942">
        <v>1.5</v>
      </c>
      <c r="G1942" t="s">
        <v>359</v>
      </c>
      <c r="I1942" t="str">
        <f t="shared" si="32"/>
        <v>1780_1</v>
      </c>
      <c r="J1942" t="s">
        <v>241</v>
      </c>
      <c r="K1942" t="s">
        <v>179</v>
      </c>
      <c r="L1942" t="str">
        <f>_xlfn.XLOOKUP(C1942, Table2[Species],Table2[Genus], "Code Not Found")</f>
        <v>Lirodendron</v>
      </c>
      <c r="M1942" t="str">
        <f>_xlfn.XLOOKUP(C1942, Table2[Species],Table2[Sp. Name], "Code Not Found")</f>
        <v>tulipfera</v>
      </c>
      <c r="N1942" t="str">
        <f>_xlfn.XLOOKUP(C1942,Table2[Species],Table2[Family],"Code Not Found")</f>
        <v>Magnoliaceae</v>
      </c>
      <c r="O1942" t="str" cm="1">
        <f t="array" ref="O1942">_xlfn.IFS(F1942="","",F1942&lt;=5,"0 to 5",F1942&lt;=10,"5.1 to 10",F1942&lt;=20,"10 to 20", F1942&lt;= 40, "20 to 40", F1942 &lt;= 50, "40 to 50", F1942 &gt; 50, "&gt;50" )</f>
        <v>0 to 5</v>
      </c>
    </row>
    <row r="1943" spans="1:15" ht="15" customHeight="1" x14ac:dyDescent="0.3">
      <c r="A1943" t="s">
        <v>351</v>
      </c>
      <c r="B1943" s="1">
        <v>46203</v>
      </c>
      <c r="C1943" t="s">
        <v>24</v>
      </c>
      <c r="D1943">
        <v>1781</v>
      </c>
      <c r="E1943">
        <v>1</v>
      </c>
      <c r="F1943">
        <v>1.3</v>
      </c>
      <c r="G1943" t="s">
        <v>409</v>
      </c>
      <c r="I1943" t="str">
        <f t="shared" si="32"/>
        <v>1781_1</v>
      </c>
      <c r="J1943" t="s">
        <v>241</v>
      </c>
      <c r="K1943" t="s">
        <v>179</v>
      </c>
      <c r="L1943" t="str">
        <f>_xlfn.XLOOKUP(C1943, Table2[Species],Table2[Genus], "Code Not Found")</f>
        <v>Lirodendron</v>
      </c>
      <c r="M1943" t="str">
        <f>_xlfn.XLOOKUP(C1943, Table2[Species],Table2[Sp. Name], "Code Not Found")</f>
        <v>tulipfera</v>
      </c>
      <c r="N1943" t="str">
        <f>_xlfn.XLOOKUP(C1943,Table2[Species],Table2[Family],"Code Not Found")</f>
        <v>Magnoliaceae</v>
      </c>
      <c r="O1943" t="str" cm="1">
        <f t="array" ref="O1943">_xlfn.IFS(F1943="","",F1943&lt;=5,"0 to 5",F1943&lt;=10,"5.1 to 10",F1943&lt;=20,"10 to 20", F1943&lt;= 40, "20 to 40", F1943 &lt;= 50, "40 to 50", F1943 &gt; 50, "&gt;50" )</f>
        <v>0 to 5</v>
      </c>
    </row>
    <row r="1944" spans="1:15" ht="15" customHeight="1" x14ac:dyDescent="0.3">
      <c r="A1944" t="s">
        <v>351</v>
      </c>
      <c r="B1944" s="1">
        <v>46203</v>
      </c>
      <c r="C1944" t="s">
        <v>24</v>
      </c>
      <c r="D1944">
        <v>1782</v>
      </c>
      <c r="E1944">
        <v>1</v>
      </c>
      <c r="F1944">
        <v>1.4</v>
      </c>
      <c r="G1944" t="s">
        <v>359</v>
      </c>
      <c r="I1944" t="str">
        <f t="shared" si="32"/>
        <v>1782_1</v>
      </c>
      <c r="J1944" t="s">
        <v>241</v>
      </c>
      <c r="K1944" t="s">
        <v>179</v>
      </c>
      <c r="L1944" t="str">
        <f>_xlfn.XLOOKUP(C1944, Table2[Species],Table2[Genus], "Code Not Found")</f>
        <v>Lirodendron</v>
      </c>
      <c r="M1944" t="str">
        <f>_xlfn.XLOOKUP(C1944, Table2[Species],Table2[Sp. Name], "Code Not Found")</f>
        <v>tulipfera</v>
      </c>
      <c r="N1944" t="str">
        <f>_xlfn.XLOOKUP(C1944,Table2[Species],Table2[Family],"Code Not Found")</f>
        <v>Magnoliaceae</v>
      </c>
      <c r="O1944" t="str" cm="1">
        <f t="array" ref="O1944">_xlfn.IFS(F1944="","",F1944&lt;=5,"0 to 5",F1944&lt;=10,"5.1 to 10",F1944&lt;=20,"10 to 20", F1944&lt;= 40, "20 to 40", F1944 &lt;= 50, "40 to 50", F1944 &gt; 50, "&gt;50" )</f>
        <v>0 to 5</v>
      </c>
    </row>
    <row r="1945" spans="1:15" ht="15" customHeight="1" x14ac:dyDescent="0.3">
      <c r="A1945" t="s">
        <v>351</v>
      </c>
      <c r="B1945" s="1">
        <v>46203</v>
      </c>
      <c r="C1945" t="s">
        <v>24</v>
      </c>
      <c r="D1945">
        <v>1783</v>
      </c>
      <c r="E1945">
        <v>1</v>
      </c>
      <c r="F1945">
        <v>1.6</v>
      </c>
      <c r="G1945" t="s">
        <v>359</v>
      </c>
      <c r="I1945" t="str">
        <f t="shared" si="32"/>
        <v>1783_1</v>
      </c>
      <c r="J1945" t="s">
        <v>241</v>
      </c>
      <c r="K1945" t="s">
        <v>179</v>
      </c>
      <c r="L1945" t="str">
        <f>_xlfn.XLOOKUP(C1945, Table2[Species],Table2[Genus], "Code Not Found")</f>
        <v>Lirodendron</v>
      </c>
      <c r="M1945" t="str">
        <f>_xlfn.XLOOKUP(C1945, Table2[Species],Table2[Sp. Name], "Code Not Found")</f>
        <v>tulipfera</v>
      </c>
      <c r="N1945" t="str">
        <f>_xlfn.XLOOKUP(C1945,Table2[Species],Table2[Family],"Code Not Found")</f>
        <v>Magnoliaceae</v>
      </c>
      <c r="O1945" t="str" cm="1">
        <f t="array" ref="O1945">_xlfn.IFS(F1945="","",F1945&lt;=5,"0 to 5",F1945&lt;=10,"5.1 to 10",F1945&lt;=20,"10 to 20", F1945&lt;= 40, "20 to 40", F1945 &lt;= 50, "40 to 50", F1945 &gt; 50, "&gt;50" )</f>
        <v>0 to 5</v>
      </c>
    </row>
    <row r="1946" spans="1:15" ht="15" customHeight="1" x14ac:dyDescent="0.3">
      <c r="A1946" t="s">
        <v>351</v>
      </c>
      <c r="B1946" s="1">
        <v>46203</v>
      </c>
      <c r="C1946" t="s">
        <v>24</v>
      </c>
      <c r="D1946">
        <v>1784</v>
      </c>
      <c r="E1946">
        <v>1</v>
      </c>
      <c r="F1946">
        <v>1.5</v>
      </c>
      <c r="G1946" t="s">
        <v>359</v>
      </c>
      <c r="I1946" t="str">
        <f t="shared" si="32"/>
        <v>1784_1</v>
      </c>
      <c r="J1946" t="s">
        <v>241</v>
      </c>
      <c r="K1946" t="s">
        <v>179</v>
      </c>
      <c r="L1946" t="str">
        <f>_xlfn.XLOOKUP(C1946, Table2[Species],Table2[Genus], "Code Not Found")</f>
        <v>Lirodendron</v>
      </c>
      <c r="M1946" t="str">
        <f>_xlfn.XLOOKUP(C1946, Table2[Species],Table2[Sp. Name], "Code Not Found")</f>
        <v>tulipfera</v>
      </c>
      <c r="N1946" t="str">
        <f>_xlfn.XLOOKUP(C1946,Table2[Species],Table2[Family],"Code Not Found")</f>
        <v>Magnoliaceae</v>
      </c>
      <c r="O1946" t="str" cm="1">
        <f t="array" ref="O1946">_xlfn.IFS(F1946="","",F1946&lt;=5,"0 to 5",F1946&lt;=10,"5.1 to 10",F1946&lt;=20,"10 to 20", F1946&lt;= 40, "20 to 40", F1946 &lt;= 50, "40 to 50", F1946 &gt; 50, "&gt;50" )</f>
        <v>0 to 5</v>
      </c>
    </row>
    <row r="1947" spans="1:15" ht="15" customHeight="1" x14ac:dyDescent="0.3">
      <c r="A1947" t="s">
        <v>351</v>
      </c>
      <c r="B1947" s="1">
        <v>46203</v>
      </c>
      <c r="C1947" t="s">
        <v>24</v>
      </c>
      <c r="D1947">
        <v>1785</v>
      </c>
      <c r="E1947">
        <v>1</v>
      </c>
      <c r="F1947">
        <v>1.1000000000000001</v>
      </c>
      <c r="G1947" t="s">
        <v>359</v>
      </c>
      <c r="I1947" t="str">
        <f t="shared" si="32"/>
        <v>1785_1</v>
      </c>
      <c r="J1947" t="s">
        <v>241</v>
      </c>
      <c r="K1947" t="s">
        <v>179</v>
      </c>
      <c r="L1947" t="str">
        <f>_xlfn.XLOOKUP(C1947, Table2[Species],Table2[Genus], "Code Not Found")</f>
        <v>Lirodendron</v>
      </c>
      <c r="M1947" t="str">
        <f>_xlfn.XLOOKUP(C1947, Table2[Species],Table2[Sp. Name], "Code Not Found")</f>
        <v>tulipfera</v>
      </c>
      <c r="N1947" t="str">
        <f>_xlfn.XLOOKUP(C1947,Table2[Species],Table2[Family],"Code Not Found")</f>
        <v>Magnoliaceae</v>
      </c>
      <c r="O1947" t="str" cm="1">
        <f t="array" ref="O1947">_xlfn.IFS(F1947="","",F1947&lt;=5,"0 to 5",F1947&lt;=10,"5.1 to 10",F1947&lt;=20,"10 to 20", F1947&lt;= 40, "20 to 40", F1947 &lt;= 50, "40 to 50", F1947 &gt; 50, "&gt;50" )</f>
        <v>0 to 5</v>
      </c>
    </row>
    <row r="1948" spans="1:15" ht="15" customHeight="1" x14ac:dyDescent="0.3">
      <c r="A1948" t="s">
        <v>351</v>
      </c>
      <c r="B1948" s="1">
        <v>46203</v>
      </c>
      <c r="C1948" t="s">
        <v>24</v>
      </c>
      <c r="D1948">
        <v>1786</v>
      </c>
      <c r="E1948">
        <v>1</v>
      </c>
      <c r="F1948">
        <v>1.2</v>
      </c>
      <c r="G1948" t="s">
        <v>359</v>
      </c>
      <c r="I1948" t="str">
        <f t="shared" si="32"/>
        <v>1786_1</v>
      </c>
      <c r="J1948" t="s">
        <v>241</v>
      </c>
      <c r="K1948" t="s">
        <v>179</v>
      </c>
      <c r="L1948" t="str">
        <f>_xlfn.XLOOKUP(C1948, Table2[Species],Table2[Genus], "Code Not Found")</f>
        <v>Lirodendron</v>
      </c>
      <c r="M1948" t="str">
        <f>_xlfn.XLOOKUP(C1948, Table2[Species],Table2[Sp. Name], "Code Not Found")</f>
        <v>tulipfera</v>
      </c>
      <c r="N1948" t="str">
        <f>_xlfn.XLOOKUP(C1948,Table2[Species],Table2[Family],"Code Not Found")</f>
        <v>Magnoliaceae</v>
      </c>
      <c r="O1948" t="str" cm="1">
        <f t="array" ref="O1948">_xlfn.IFS(F1948="","",F1948&lt;=5,"0 to 5",F1948&lt;=10,"5.1 to 10",F1948&lt;=20,"10 to 20", F1948&lt;= 40, "20 to 40", F1948 &lt;= 50, "40 to 50", F1948 &gt; 50, "&gt;50" )</f>
        <v>0 to 5</v>
      </c>
    </row>
    <row r="1949" spans="1:15" ht="15" customHeight="1" x14ac:dyDescent="0.3">
      <c r="A1949" t="s">
        <v>351</v>
      </c>
      <c r="B1949" s="1">
        <v>46203</v>
      </c>
      <c r="C1949" t="s">
        <v>24</v>
      </c>
      <c r="D1949">
        <v>1787</v>
      </c>
      <c r="E1949">
        <v>1</v>
      </c>
      <c r="F1949">
        <v>1.5</v>
      </c>
      <c r="G1949" t="s">
        <v>359</v>
      </c>
      <c r="I1949" t="str">
        <f t="shared" si="32"/>
        <v>1787_1</v>
      </c>
      <c r="J1949" t="s">
        <v>241</v>
      </c>
      <c r="K1949" t="s">
        <v>179</v>
      </c>
      <c r="L1949" t="str">
        <f>_xlfn.XLOOKUP(C1949, Table2[Species],Table2[Genus], "Code Not Found")</f>
        <v>Lirodendron</v>
      </c>
      <c r="M1949" t="str">
        <f>_xlfn.XLOOKUP(C1949, Table2[Species],Table2[Sp. Name], "Code Not Found")</f>
        <v>tulipfera</v>
      </c>
      <c r="N1949" t="str">
        <f>_xlfn.XLOOKUP(C1949,Table2[Species],Table2[Family],"Code Not Found")</f>
        <v>Magnoliaceae</v>
      </c>
      <c r="O1949" t="str" cm="1">
        <f t="array" ref="O1949">_xlfn.IFS(F1949="","",F1949&lt;=5,"0 to 5",F1949&lt;=10,"5.1 to 10",F1949&lt;=20,"10 to 20", F1949&lt;= 40, "20 to 40", F1949 &lt;= 50, "40 to 50", F1949 &gt; 50, "&gt;50" )</f>
        <v>0 to 5</v>
      </c>
    </row>
    <row r="1950" spans="1:15" ht="15" customHeight="1" x14ac:dyDescent="0.3">
      <c r="A1950" t="s">
        <v>351</v>
      </c>
      <c r="B1950" s="1">
        <v>46203</v>
      </c>
      <c r="C1950" t="s">
        <v>24</v>
      </c>
      <c r="D1950">
        <v>1788</v>
      </c>
      <c r="E1950">
        <v>1</v>
      </c>
      <c r="F1950">
        <v>1.3</v>
      </c>
      <c r="G1950" t="s">
        <v>359</v>
      </c>
      <c r="I1950" t="str">
        <f t="shared" si="32"/>
        <v>1788_1</v>
      </c>
      <c r="J1950" t="s">
        <v>241</v>
      </c>
      <c r="K1950" t="s">
        <v>179</v>
      </c>
      <c r="L1950" t="str">
        <f>_xlfn.XLOOKUP(C1950, Table2[Species],Table2[Genus], "Code Not Found")</f>
        <v>Lirodendron</v>
      </c>
      <c r="M1950" t="str">
        <f>_xlfn.XLOOKUP(C1950, Table2[Species],Table2[Sp. Name], "Code Not Found")</f>
        <v>tulipfera</v>
      </c>
      <c r="N1950" t="str">
        <f>_xlfn.XLOOKUP(C1950,Table2[Species],Table2[Family],"Code Not Found")</f>
        <v>Magnoliaceae</v>
      </c>
      <c r="O1950" t="str" cm="1">
        <f t="array" ref="O1950">_xlfn.IFS(F1950="","",F1950&lt;=5,"0 to 5",F1950&lt;=10,"5.1 to 10",F1950&lt;=20,"10 to 20", F1950&lt;= 40, "20 to 40", F1950 &lt;= 50, "40 to 50", F1950 &gt; 50, "&gt;50" )</f>
        <v>0 to 5</v>
      </c>
    </row>
    <row r="1951" spans="1:15" ht="15" customHeight="1" x14ac:dyDescent="0.3">
      <c r="A1951" t="s">
        <v>351</v>
      </c>
      <c r="B1951" s="1">
        <v>46203</v>
      </c>
      <c r="C1951" t="s">
        <v>24</v>
      </c>
      <c r="D1951">
        <v>1789</v>
      </c>
      <c r="E1951">
        <v>1</v>
      </c>
      <c r="F1951">
        <v>1.3</v>
      </c>
      <c r="G1951" t="s">
        <v>359</v>
      </c>
      <c r="I1951" t="str">
        <f t="shared" si="32"/>
        <v>1789_1</v>
      </c>
      <c r="J1951" t="s">
        <v>241</v>
      </c>
      <c r="K1951" t="s">
        <v>179</v>
      </c>
      <c r="L1951" t="str">
        <f>_xlfn.XLOOKUP(C1951, Table2[Species],Table2[Genus], "Code Not Found")</f>
        <v>Lirodendron</v>
      </c>
      <c r="M1951" t="str">
        <f>_xlfn.XLOOKUP(C1951, Table2[Species],Table2[Sp. Name], "Code Not Found")</f>
        <v>tulipfera</v>
      </c>
      <c r="N1951" t="str">
        <f>_xlfn.XLOOKUP(C1951,Table2[Species],Table2[Family],"Code Not Found")</f>
        <v>Magnoliaceae</v>
      </c>
      <c r="O1951" t="str" cm="1">
        <f t="array" ref="O1951">_xlfn.IFS(F1951="","",F1951&lt;=5,"0 to 5",F1951&lt;=10,"5.1 to 10",F1951&lt;=20,"10 to 20", F1951&lt;= 40, "20 to 40", F1951 &lt;= 50, "40 to 50", F1951 &gt; 50, "&gt;50" )</f>
        <v>0 to 5</v>
      </c>
    </row>
    <row r="1952" spans="1:15" ht="15" customHeight="1" x14ac:dyDescent="0.3">
      <c r="A1952" t="s">
        <v>351</v>
      </c>
      <c r="B1952" s="1">
        <v>46203</v>
      </c>
      <c r="C1952" t="s">
        <v>24</v>
      </c>
      <c r="D1952">
        <v>1790</v>
      </c>
      <c r="E1952">
        <v>1</v>
      </c>
      <c r="F1952">
        <v>1.3</v>
      </c>
      <c r="G1952" t="s">
        <v>359</v>
      </c>
      <c r="I1952" t="str">
        <f t="shared" si="32"/>
        <v>1790_1</v>
      </c>
      <c r="J1952" t="s">
        <v>241</v>
      </c>
      <c r="K1952" t="s">
        <v>179</v>
      </c>
      <c r="L1952" t="str">
        <f>_xlfn.XLOOKUP(C1952, Table2[Species],Table2[Genus], "Code Not Found")</f>
        <v>Lirodendron</v>
      </c>
      <c r="M1952" t="str">
        <f>_xlfn.XLOOKUP(C1952, Table2[Species],Table2[Sp. Name], "Code Not Found")</f>
        <v>tulipfera</v>
      </c>
      <c r="N1952" t="str">
        <f>_xlfn.XLOOKUP(C1952,Table2[Species],Table2[Family],"Code Not Found")</f>
        <v>Magnoliaceae</v>
      </c>
      <c r="O1952" t="str" cm="1">
        <f t="array" ref="O1952">_xlfn.IFS(F1952="","",F1952&lt;=5,"0 to 5",F1952&lt;=10,"5.1 to 10",F1952&lt;=20,"10 to 20", F1952&lt;= 40, "20 to 40", F1952 &lt;= 50, "40 to 50", F1952 &gt; 50, "&gt;50" )</f>
        <v>0 to 5</v>
      </c>
    </row>
    <row r="1953" spans="1:15" ht="15" customHeight="1" x14ac:dyDescent="0.3">
      <c r="A1953" t="s">
        <v>351</v>
      </c>
      <c r="B1953" s="1">
        <v>46203</v>
      </c>
      <c r="C1953" t="s">
        <v>24</v>
      </c>
      <c r="D1953">
        <v>1791</v>
      </c>
      <c r="E1953">
        <v>1</v>
      </c>
      <c r="F1953">
        <v>1</v>
      </c>
      <c r="G1953" t="s">
        <v>359</v>
      </c>
      <c r="I1953" t="str">
        <f t="shared" si="32"/>
        <v>1791_1</v>
      </c>
      <c r="J1953" t="s">
        <v>241</v>
      </c>
      <c r="K1953" t="s">
        <v>179</v>
      </c>
      <c r="L1953" t="str">
        <f>_xlfn.XLOOKUP(C1953, Table2[Species],Table2[Genus], "Code Not Found")</f>
        <v>Lirodendron</v>
      </c>
      <c r="M1953" t="str">
        <f>_xlfn.XLOOKUP(C1953, Table2[Species],Table2[Sp. Name], "Code Not Found")</f>
        <v>tulipfera</v>
      </c>
      <c r="N1953" t="str">
        <f>_xlfn.XLOOKUP(C1953,Table2[Species],Table2[Family],"Code Not Found")</f>
        <v>Magnoliaceae</v>
      </c>
      <c r="O1953" t="str" cm="1">
        <f t="array" ref="O1953">_xlfn.IFS(F1953="","",F1953&lt;=5,"0 to 5",F1953&lt;=10,"5.1 to 10",F1953&lt;=20,"10 to 20", F1953&lt;= 40, "20 to 40", F1953 &lt;= 50, "40 to 50", F1953 &gt; 50, "&gt;50" )</f>
        <v>0 to 5</v>
      </c>
    </row>
    <row r="1954" spans="1:15" ht="15" customHeight="1" x14ac:dyDescent="0.3">
      <c r="A1954" t="s">
        <v>351</v>
      </c>
      <c r="B1954" s="1">
        <v>46203</v>
      </c>
      <c r="C1954" t="s">
        <v>24</v>
      </c>
      <c r="D1954">
        <v>1792</v>
      </c>
      <c r="E1954">
        <v>1</v>
      </c>
      <c r="F1954">
        <v>1</v>
      </c>
      <c r="G1954" t="s">
        <v>47</v>
      </c>
      <c r="H1954" t="s">
        <v>296</v>
      </c>
      <c r="I1954" t="str">
        <f t="shared" si="32"/>
        <v>1792_1</v>
      </c>
      <c r="J1954" t="s">
        <v>241</v>
      </c>
      <c r="K1954" t="s">
        <v>179</v>
      </c>
      <c r="L1954" t="str">
        <f>_xlfn.XLOOKUP(C1954, Table2[Species],Table2[Genus], "Code Not Found")</f>
        <v>Lirodendron</v>
      </c>
      <c r="M1954" t="str">
        <f>_xlfn.XLOOKUP(C1954, Table2[Species],Table2[Sp. Name], "Code Not Found")</f>
        <v>tulipfera</v>
      </c>
      <c r="N1954" t="str">
        <f>_xlfn.XLOOKUP(C1954,Table2[Species],Table2[Family],"Code Not Found")</f>
        <v>Magnoliaceae</v>
      </c>
      <c r="O1954" t="str" cm="1">
        <f t="array" ref="O1954">_xlfn.IFS(F1954="","",F1954&lt;=5,"0 to 5",F1954&lt;=10,"5.1 to 10",F1954&lt;=20,"10 to 20", F1954&lt;= 40, "20 to 40", F1954 &lt;= 50, "40 to 50", F1954 &gt; 50, "&gt;50" )</f>
        <v>0 to 5</v>
      </c>
    </row>
    <row r="1955" spans="1:15" ht="15" customHeight="1" x14ac:dyDescent="0.3">
      <c r="A1955" t="s">
        <v>351</v>
      </c>
      <c r="B1955" s="1">
        <v>46203</v>
      </c>
      <c r="C1955" t="s">
        <v>64</v>
      </c>
      <c r="D1955">
        <v>1793</v>
      </c>
      <c r="E1955">
        <v>1</v>
      </c>
      <c r="F1955">
        <v>27.4</v>
      </c>
      <c r="G1955" t="s">
        <v>21</v>
      </c>
      <c r="I1955" t="str">
        <f t="shared" ref="I1955:I2018" si="33">D1955&amp;"_"&amp;E1955</f>
        <v>1793_1</v>
      </c>
      <c r="J1955" t="s">
        <v>241</v>
      </c>
      <c r="K1955" t="s">
        <v>179</v>
      </c>
      <c r="L1955" t="str">
        <f>_xlfn.XLOOKUP(C1955, Table2[Species],Table2[Genus], "Code Not Found")</f>
        <v>Fagus</v>
      </c>
      <c r="M1955" t="str">
        <f>_xlfn.XLOOKUP(C1955, Table2[Species],Table2[Sp. Name], "Code Not Found")</f>
        <v>grandifolia</v>
      </c>
      <c r="N1955" t="str">
        <f>_xlfn.XLOOKUP(C1955,Table2[Species],Table2[Family],"Code Not Found")</f>
        <v>Fagaceae</v>
      </c>
      <c r="O1955" t="str" cm="1">
        <f t="array" ref="O1955">_xlfn.IFS(F1955="","",F1955&lt;=5,"0 to 5",F1955&lt;=10,"5.1 to 10",F1955&lt;=20,"10 to 20", F1955&lt;= 40, "20 to 40", F1955 &lt;= 50, "40 to 50", F1955 &gt; 50, "&gt;50" )</f>
        <v>20 to 40</v>
      </c>
    </row>
    <row r="1956" spans="1:15" ht="15" customHeight="1" x14ac:dyDescent="0.3">
      <c r="A1956" t="s">
        <v>351</v>
      </c>
      <c r="B1956" s="1">
        <v>46203</v>
      </c>
      <c r="C1956" t="s">
        <v>55</v>
      </c>
      <c r="D1956">
        <v>1794</v>
      </c>
      <c r="E1956">
        <v>1</v>
      </c>
      <c r="F1956">
        <v>1.2</v>
      </c>
      <c r="G1956" t="s">
        <v>359</v>
      </c>
      <c r="I1956" t="str">
        <f t="shared" si="33"/>
        <v>1794_1</v>
      </c>
      <c r="J1956" t="s">
        <v>241</v>
      </c>
      <c r="K1956" t="s">
        <v>179</v>
      </c>
      <c r="L1956" t="str">
        <f>_xlfn.XLOOKUP(C1956, Table2[Species],Table2[Genus], "Code Not Found")</f>
        <v>Magnolia</v>
      </c>
      <c r="M1956" t="str">
        <f>_xlfn.XLOOKUP(C1956, Table2[Species],Table2[Sp. Name], "Code Not Found")</f>
        <v>acuminata</v>
      </c>
      <c r="N1956" t="str">
        <f>_xlfn.XLOOKUP(C1956,Table2[Species],Table2[Family],"Code Not Found")</f>
        <v>Magnoliaceae</v>
      </c>
      <c r="O1956" t="str" cm="1">
        <f t="array" ref="O1956">_xlfn.IFS(F1956="","",F1956&lt;=5,"0 to 5",F1956&lt;=10,"5.1 to 10",F1956&lt;=20,"10 to 20", F1956&lt;= 40, "20 to 40", F1956 &lt;= 50, "40 to 50", F1956 &gt; 50, "&gt;50" )</f>
        <v>0 to 5</v>
      </c>
    </row>
    <row r="1957" spans="1:15" ht="15" customHeight="1" x14ac:dyDescent="0.3">
      <c r="A1957" t="s">
        <v>351</v>
      </c>
      <c r="B1957" s="1">
        <v>46203</v>
      </c>
      <c r="C1957" t="s">
        <v>24</v>
      </c>
      <c r="D1957">
        <v>1795</v>
      </c>
      <c r="E1957">
        <v>1</v>
      </c>
      <c r="F1957">
        <v>1</v>
      </c>
      <c r="G1957" t="s">
        <v>359</v>
      </c>
      <c r="I1957" t="str">
        <f t="shared" si="33"/>
        <v>1795_1</v>
      </c>
      <c r="J1957" t="s">
        <v>241</v>
      </c>
      <c r="K1957" t="s">
        <v>179</v>
      </c>
      <c r="L1957" t="str">
        <f>_xlfn.XLOOKUP(C1957, Table2[Species],Table2[Genus], "Code Not Found")</f>
        <v>Lirodendron</v>
      </c>
      <c r="M1957" t="str">
        <f>_xlfn.XLOOKUP(C1957, Table2[Species],Table2[Sp. Name], "Code Not Found")</f>
        <v>tulipfera</v>
      </c>
      <c r="N1957" t="str">
        <f>_xlfn.XLOOKUP(C1957,Table2[Species],Table2[Family],"Code Not Found")</f>
        <v>Magnoliaceae</v>
      </c>
      <c r="O1957" t="str" cm="1">
        <f t="array" ref="O1957">_xlfn.IFS(F1957="","",F1957&lt;=5,"0 to 5",F1957&lt;=10,"5.1 to 10",F1957&lt;=20,"10 to 20", F1957&lt;= 40, "20 to 40", F1957 &lt;= 50, "40 to 50", F1957 &gt; 50, "&gt;50" )</f>
        <v>0 to 5</v>
      </c>
    </row>
    <row r="1958" spans="1:15" ht="15" customHeight="1" x14ac:dyDescent="0.3">
      <c r="A1958" t="s">
        <v>351</v>
      </c>
      <c r="B1958" s="1">
        <v>46203</v>
      </c>
      <c r="C1958" t="s">
        <v>24</v>
      </c>
      <c r="D1958">
        <v>1796</v>
      </c>
      <c r="E1958">
        <v>1</v>
      </c>
      <c r="F1958">
        <v>1.1000000000000001</v>
      </c>
      <c r="G1958" t="s">
        <v>409</v>
      </c>
      <c r="I1958" t="str">
        <f t="shared" si="33"/>
        <v>1796_1</v>
      </c>
      <c r="J1958" t="s">
        <v>241</v>
      </c>
      <c r="K1958" t="s">
        <v>179</v>
      </c>
      <c r="L1958" t="str">
        <f>_xlfn.XLOOKUP(C1958, Table2[Species],Table2[Genus], "Code Not Found")</f>
        <v>Lirodendron</v>
      </c>
      <c r="M1958" t="str">
        <f>_xlfn.XLOOKUP(C1958, Table2[Species],Table2[Sp. Name], "Code Not Found")</f>
        <v>tulipfera</v>
      </c>
      <c r="N1958" t="str">
        <f>_xlfn.XLOOKUP(C1958,Table2[Species],Table2[Family],"Code Not Found")</f>
        <v>Magnoliaceae</v>
      </c>
      <c r="O1958" t="str" cm="1">
        <f t="array" ref="O1958">_xlfn.IFS(F1958="","",F1958&lt;=5,"0 to 5",F1958&lt;=10,"5.1 to 10",F1958&lt;=20,"10 to 20", F1958&lt;= 40, "20 to 40", F1958 &lt;= 50, "40 to 50", F1958 &gt; 50, "&gt;50" )</f>
        <v>0 to 5</v>
      </c>
    </row>
    <row r="1959" spans="1:15" ht="15" customHeight="1" x14ac:dyDescent="0.3">
      <c r="A1959" t="s">
        <v>351</v>
      </c>
      <c r="B1959" s="1">
        <v>46203</v>
      </c>
      <c r="C1959" t="s">
        <v>24</v>
      </c>
      <c r="D1959">
        <v>1797</v>
      </c>
      <c r="E1959">
        <v>1</v>
      </c>
      <c r="F1959">
        <v>1.2</v>
      </c>
      <c r="G1959" t="s">
        <v>409</v>
      </c>
      <c r="I1959" t="str">
        <f t="shared" si="33"/>
        <v>1797_1</v>
      </c>
      <c r="J1959" t="s">
        <v>241</v>
      </c>
      <c r="K1959" t="s">
        <v>179</v>
      </c>
      <c r="L1959" t="str">
        <f>_xlfn.XLOOKUP(C1959, Table2[Species],Table2[Genus], "Code Not Found")</f>
        <v>Lirodendron</v>
      </c>
      <c r="M1959" t="str">
        <f>_xlfn.XLOOKUP(C1959, Table2[Species],Table2[Sp. Name], "Code Not Found")</f>
        <v>tulipfera</v>
      </c>
      <c r="N1959" t="str">
        <f>_xlfn.XLOOKUP(C1959,Table2[Species],Table2[Family],"Code Not Found")</f>
        <v>Magnoliaceae</v>
      </c>
      <c r="O1959" t="str" cm="1">
        <f t="array" ref="O1959">_xlfn.IFS(F1959="","",F1959&lt;=5,"0 to 5",F1959&lt;=10,"5.1 to 10",F1959&lt;=20,"10 to 20", F1959&lt;= 40, "20 to 40", F1959 &lt;= 50, "40 to 50", F1959 &gt; 50, "&gt;50" )</f>
        <v>0 to 5</v>
      </c>
    </row>
    <row r="1960" spans="1:15" ht="15" customHeight="1" x14ac:dyDescent="0.3">
      <c r="A1960" t="s">
        <v>351</v>
      </c>
      <c r="B1960" s="1">
        <v>46203</v>
      </c>
      <c r="C1960" t="s">
        <v>64</v>
      </c>
      <c r="D1960">
        <v>1798</v>
      </c>
      <c r="E1960">
        <v>1</v>
      </c>
      <c r="F1960">
        <v>7</v>
      </c>
      <c r="G1960" t="s">
        <v>17</v>
      </c>
      <c r="H1960" t="s">
        <v>408</v>
      </c>
      <c r="I1960" t="str">
        <f t="shared" si="33"/>
        <v>1798_1</v>
      </c>
      <c r="J1960" t="s">
        <v>241</v>
      </c>
      <c r="K1960" t="s">
        <v>179</v>
      </c>
      <c r="L1960" t="str">
        <f>_xlfn.XLOOKUP(C1960, Table2[Species],Table2[Genus], "Code Not Found")</f>
        <v>Fagus</v>
      </c>
      <c r="M1960" t="str">
        <f>_xlfn.XLOOKUP(C1960, Table2[Species],Table2[Sp. Name], "Code Not Found")</f>
        <v>grandifolia</v>
      </c>
      <c r="N1960" t="str">
        <f>_xlfn.XLOOKUP(C1960,Table2[Species],Table2[Family],"Code Not Found")</f>
        <v>Fagaceae</v>
      </c>
      <c r="O1960" t="str" cm="1">
        <f t="array" ref="O1960">_xlfn.IFS(F1960="","",F1960&lt;=5,"0 to 5",F1960&lt;=10,"5.1 to 10",F1960&lt;=20,"10 to 20", F1960&lt;= 40, "20 to 40", F1960 &lt;= 50, "40 to 50", F1960 &gt; 50, "&gt;50" )</f>
        <v>5.1 to 10</v>
      </c>
    </row>
    <row r="1961" spans="1:15" ht="15" customHeight="1" x14ac:dyDescent="0.3">
      <c r="A1961" t="s">
        <v>351</v>
      </c>
      <c r="B1961" s="1">
        <v>46203</v>
      </c>
      <c r="C1961" t="s">
        <v>16</v>
      </c>
      <c r="D1961">
        <v>1799</v>
      </c>
      <c r="E1961">
        <v>1</v>
      </c>
      <c r="F1961" t="s">
        <v>848</v>
      </c>
      <c r="G1961" t="s">
        <v>359</v>
      </c>
      <c r="H1961" t="s">
        <v>296</v>
      </c>
      <c r="I1961" t="str">
        <f t="shared" si="33"/>
        <v>1799_1</v>
      </c>
      <c r="J1961" t="s">
        <v>241</v>
      </c>
      <c r="K1961" t="s">
        <v>179</v>
      </c>
      <c r="L1961" t="str">
        <f>_xlfn.XLOOKUP(C1961, Table2[Species],Table2[Genus], "Code Not Found")</f>
        <v>Acer</v>
      </c>
      <c r="M1961" t="str">
        <f>_xlfn.XLOOKUP(C1961, Table2[Species],Table2[Sp. Name], "Code Not Found")</f>
        <v>saccharum</v>
      </c>
      <c r="N1961" t="str">
        <f>_xlfn.XLOOKUP(C1961,Table2[Species],Table2[Family],"Code Not Found")</f>
        <v>Sapindaceae</v>
      </c>
      <c r="O1961" t="str" cm="1">
        <f t="array" ref="O1961">_xlfn.IFS(F1961="","",F1961&lt;=5,"0 to 5",F1961&lt;=10,"5.1 to 10",F1961&lt;=20,"10 to 20", F1961&lt;= 40, "20 to 40", F1961 &lt;= 50, "40 to 50", F1961 &gt; 50, "&gt;50" )</f>
        <v>&gt;50</v>
      </c>
    </row>
    <row r="1962" spans="1:15" ht="15" customHeight="1" x14ac:dyDescent="0.3">
      <c r="A1962" t="s">
        <v>351</v>
      </c>
      <c r="B1962" s="1">
        <v>46203</v>
      </c>
      <c r="C1962" t="s">
        <v>24</v>
      </c>
      <c r="D1962">
        <v>1800</v>
      </c>
      <c r="E1962">
        <v>1</v>
      </c>
      <c r="F1962">
        <v>39</v>
      </c>
      <c r="G1962" t="s">
        <v>21</v>
      </c>
      <c r="I1962" t="str">
        <f t="shared" si="33"/>
        <v>1800_1</v>
      </c>
      <c r="J1962" t="s">
        <v>241</v>
      </c>
      <c r="K1962" t="s">
        <v>179</v>
      </c>
      <c r="L1962" t="str">
        <f>_xlfn.XLOOKUP(C1962, Table2[Species],Table2[Genus], "Code Not Found")</f>
        <v>Lirodendron</v>
      </c>
      <c r="M1962" t="str">
        <f>_xlfn.XLOOKUP(C1962, Table2[Species],Table2[Sp. Name], "Code Not Found")</f>
        <v>tulipfera</v>
      </c>
      <c r="N1962" t="str">
        <f>_xlfn.XLOOKUP(C1962,Table2[Species],Table2[Family],"Code Not Found")</f>
        <v>Magnoliaceae</v>
      </c>
      <c r="O1962" t="str" cm="1">
        <f t="array" ref="O1962">_xlfn.IFS(F1962="","",F1962&lt;=5,"0 to 5",F1962&lt;=10,"5.1 to 10",F1962&lt;=20,"10 to 20", F1962&lt;= 40, "20 to 40", F1962 &lt;= 50, "40 to 50", F1962 &gt; 50, "&gt;50" )</f>
        <v>20 to 40</v>
      </c>
    </row>
    <row r="1963" spans="1:15" ht="15" customHeight="1" x14ac:dyDescent="0.3">
      <c r="A1963" t="s">
        <v>351</v>
      </c>
      <c r="B1963" s="1">
        <v>46204</v>
      </c>
      <c r="C1963" t="s">
        <v>16</v>
      </c>
      <c r="D1963">
        <v>1801</v>
      </c>
      <c r="E1963">
        <v>1</v>
      </c>
      <c r="F1963">
        <v>7.2</v>
      </c>
      <c r="G1963" t="s">
        <v>30</v>
      </c>
      <c r="H1963" t="s">
        <v>377</v>
      </c>
      <c r="I1963" t="str">
        <f t="shared" si="33"/>
        <v>1801_1</v>
      </c>
      <c r="J1963" t="s">
        <v>241</v>
      </c>
      <c r="K1963" t="s">
        <v>179</v>
      </c>
      <c r="L1963" t="str">
        <f>_xlfn.XLOOKUP(C1963, Table2[Species],Table2[Genus], "Code Not Found")</f>
        <v>Acer</v>
      </c>
      <c r="M1963" t="str">
        <f>_xlfn.XLOOKUP(C1963, Table2[Species],Table2[Sp. Name], "Code Not Found")</f>
        <v>saccharum</v>
      </c>
      <c r="N1963" t="str">
        <f>_xlfn.XLOOKUP(C1963,Table2[Species],Table2[Family],"Code Not Found")</f>
        <v>Sapindaceae</v>
      </c>
      <c r="O1963" t="str" cm="1">
        <f t="array" ref="O1963">_xlfn.IFS(F1963="","",F1963&lt;=5,"0 to 5",F1963&lt;=10,"5.1 to 10",F1963&lt;=20,"10 to 20", F1963&lt;= 40, "20 to 40", F1963 &lt;= 50, "40 to 50", F1963 &gt; 50, "&gt;50" )</f>
        <v>5.1 to 10</v>
      </c>
    </row>
    <row r="1964" spans="1:15" ht="15" customHeight="1" x14ac:dyDescent="0.3">
      <c r="A1964" t="s">
        <v>351</v>
      </c>
      <c r="B1964" s="1">
        <v>46204</v>
      </c>
      <c r="C1964" t="s">
        <v>24</v>
      </c>
      <c r="D1964">
        <v>1802</v>
      </c>
      <c r="E1964">
        <v>1</v>
      </c>
      <c r="F1964">
        <v>1.2</v>
      </c>
      <c r="G1964" t="s">
        <v>359</v>
      </c>
      <c r="I1964" t="str">
        <f t="shared" si="33"/>
        <v>1802_1</v>
      </c>
      <c r="J1964" t="s">
        <v>241</v>
      </c>
      <c r="K1964" t="s">
        <v>179</v>
      </c>
      <c r="L1964" t="str">
        <f>_xlfn.XLOOKUP(C1964, Table2[Species],Table2[Genus], "Code Not Found")</f>
        <v>Lirodendron</v>
      </c>
      <c r="M1964" t="str">
        <f>_xlfn.XLOOKUP(C1964, Table2[Species],Table2[Sp. Name], "Code Not Found")</f>
        <v>tulipfera</v>
      </c>
      <c r="N1964" t="str">
        <f>_xlfn.XLOOKUP(C1964,Table2[Species],Table2[Family],"Code Not Found")</f>
        <v>Magnoliaceae</v>
      </c>
      <c r="O1964" t="str" cm="1">
        <f t="array" ref="O1964">_xlfn.IFS(F1964="","",F1964&lt;=5,"0 to 5",F1964&lt;=10,"5.1 to 10",F1964&lt;=20,"10 to 20", F1964&lt;= 40, "20 to 40", F1964 &lt;= 50, "40 to 50", F1964 &gt; 50, "&gt;50" )</f>
        <v>0 to 5</v>
      </c>
    </row>
    <row r="1965" spans="1:15" ht="15" customHeight="1" x14ac:dyDescent="0.3">
      <c r="A1965" t="s">
        <v>351</v>
      </c>
      <c r="B1965" s="1">
        <v>46204</v>
      </c>
      <c r="C1965" t="s">
        <v>24</v>
      </c>
      <c r="D1965">
        <v>1803</v>
      </c>
      <c r="E1965">
        <v>1</v>
      </c>
      <c r="F1965">
        <v>1</v>
      </c>
      <c r="G1965" t="s">
        <v>359</v>
      </c>
      <c r="I1965" t="str">
        <f t="shared" si="33"/>
        <v>1803_1</v>
      </c>
      <c r="J1965" t="s">
        <v>241</v>
      </c>
      <c r="K1965" t="s">
        <v>179</v>
      </c>
      <c r="L1965" t="str">
        <f>_xlfn.XLOOKUP(C1965, Table2[Species],Table2[Genus], "Code Not Found")</f>
        <v>Lirodendron</v>
      </c>
      <c r="M1965" t="str">
        <f>_xlfn.XLOOKUP(C1965, Table2[Species],Table2[Sp. Name], "Code Not Found")</f>
        <v>tulipfera</v>
      </c>
      <c r="N1965" t="str">
        <f>_xlfn.XLOOKUP(C1965,Table2[Species],Table2[Family],"Code Not Found")</f>
        <v>Magnoliaceae</v>
      </c>
      <c r="O1965" t="str" cm="1">
        <f t="array" ref="O1965">_xlfn.IFS(F1965="","",F1965&lt;=5,"0 to 5",F1965&lt;=10,"5.1 to 10",F1965&lt;=20,"10 to 20", F1965&lt;= 40, "20 to 40", F1965 &lt;= 50, "40 to 50", F1965 &gt; 50, "&gt;50" )</f>
        <v>0 to 5</v>
      </c>
    </row>
    <row r="1966" spans="1:15" ht="15" customHeight="1" x14ac:dyDescent="0.3">
      <c r="A1966" t="s">
        <v>351</v>
      </c>
      <c r="B1966" s="1">
        <v>46204</v>
      </c>
      <c r="C1966" t="s">
        <v>24</v>
      </c>
      <c r="D1966">
        <v>1804</v>
      </c>
      <c r="E1966">
        <v>1</v>
      </c>
      <c r="F1966">
        <v>1.3</v>
      </c>
      <c r="G1966" t="s">
        <v>359</v>
      </c>
      <c r="I1966" t="str">
        <f t="shared" si="33"/>
        <v>1804_1</v>
      </c>
      <c r="J1966" t="s">
        <v>241</v>
      </c>
      <c r="K1966" t="s">
        <v>179</v>
      </c>
      <c r="L1966" t="str">
        <f>_xlfn.XLOOKUP(C1966, Table2[Species],Table2[Genus], "Code Not Found")</f>
        <v>Lirodendron</v>
      </c>
      <c r="M1966" t="str">
        <f>_xlfn.XLOOKUP(C1966, Table2[Species],Table2[Sp. Name], "Code Not Found")</f>
        <v>tulipfera</v>
      </c>
      <c r="N1966" t="str">
        <f>_xlfn.XLOOKUP(C1966,Table2[Species],Table2[Family],"Code Not Found")</f>
        <v>Magnoliaceae</v>
      </c>
      <c r="O1966" t="str" cm="1">
        <f t="array" ref="O1966">_xlfn.IFS(F1966="","",F1966&lt;=5,"0 to 5",F1966&lt;=10,"5.1 to 10",F1966&lt;=20,"10 to 20", F1966&lt;= 40, "20 to 40", F1966 &lt;= 50, "40 to 50", F1966 &gt; 50, "&gt;50" )</f>
        <v>0 to 5</v>
      </c>
    </row>
    <row r="1967" spans="1:15" ht="15" customHeight="1" x14ac:dyDescent="0.3">
      <c r="A1967" t="s">
        <v>351</v>
      </c>
      <c r="B1967" s="1">
        <v>46204</v>
      </c>
      <c r="C1967" t="s">
        <v>24</v>
      </c>
      <c r="D1967">
        <v>1805</v>
      </c>
      <c r="E1967">
        <v>1</v>
      </c>
      <c r="F1967">
        <v>1.2</v>
      </c>
      <c r="G1967" t="s">
        <v>359</v>
      </c>
      <c r="I1967" t="str">
        <f t="shared" si="33"/>
        <v>1805_1</v>
      </c>
      <c r="J1967" t="s">
        <v>241</v>
      </c>
      <c r="K1967" t="s">
        <v>179</v>
      </c>
      <c r="L1967" t="str">
        <f>_xlfn.XLOOKUP(C1967, Table2[Species],Table2[Genus], "Code Not Found")</f>
        <v>Lirodendron</v>
      </c>
      <c r="M1967" t="str">
        <f>_xlfn.XLOOKUP(C1967, Table2[Species],Table2[Sp. Name], "Code Not Found")</f>
        <v>tulipfera</v>
      </c>
      <c r="N1967" t="str">
        <f>_xlfn.XLOOKUP(C1967,Table2[Species],Table2[Family],"Code Not Found")</f>
        <v>Magnoliaceae</v>
      </c>
      <c r="O1967" t="str" cm="1">
        <f t="array" ref="O1967">_xlfn.IFS(F1967="","",F1967&lt;=5,"0 to 5",F1967&lt;=10,"5.1 to 10",F1967&lt;=20,"10 to 20", F1967&lt;= 40, "20 to 40", F1967 &lt;= 50, "40 to 50", F1967 &gt; 50, "&gt;50" )</f>
        <v>0 to 5</v>
      </c>
    </row>
    <row r="1968" spans="1:15" ht="15" customHeight="1" x14ac:dyDescent="0.3">
      <c r="A1968" t="s">
        <v>351</v>
      </c>
      <c r="B1968" s="1">
        <v>46204</v>
      </c>
      <c r="C1968" t="s">
        <v>24</v>
      </c>
      <c r="D1968">
        <v>1806</v>
      </c>
      <c r="E1968">
        <v>1</v>
      </c>
      <c r="F1968">
        <v>1.1000000000000001</v>
      </c>
      <c r="G1968" t="s">
        <v>359</v>
      </c>
      <c r="I1968" t="str">
        <f t="shared" si="33"/>
        <v>1806_1</v>
      </c>
      <c r="J1968" t="s">
        <v>241</v>
      </c>
      <c r="K1968" t="s">
        <v>179</v>
      </c>
      <c r="L1968" t="str">
        <f>_xlfn.XLOOKUP(C1968, Table2[Species],Table2[Genus], "Code Not Found")</f>
        <v>Lirodendron</v>
      </c>
      <c r="M1968" t="str">
        <f>_xlfn.XLOOKUP(C1968, Table2[Species],Table2[Sp. Name], "Code Not Found")</f>
        <v>tulipfera</v>
      </c>
      <c r="N1968" t="str">
        <f>_xlfn.XLOOKUP(C1968,Table2[Species],Table2[Family],"Code Not Found")</f>
        <v>Magnoliaceae</v>
      </c>
      <c r="O1968" t="str" cm="1">
        <f t="array" ref="O1968">_xlfn.IFS(F1968="","",F1968&lt;=5,"0 to 5",F1968&lt;=10,"5.1 to 10",F1968&lt;=20,"10 to 20", F1968&lt;= 40, "20 to 40", F1968 &lt;= 50, "40 to 50", F1968 &gt; 50, "&gt;50" )</f>
        <v>0 to 5</v>
      </c>
    </row>
    <row r="1969" spans="1:15" ht="15" customHeight="1" x14ac:dyDescent="0.3">
      <c r="A1969" t="s">
        <v>351</v>
      </c>
      <c r="B1969" s="1">
        <v>46204</v>
      </c>
      <c r="C1969" t="s">
        <v>64</v>
      </c>
      <c r="D1969">
        <v>1807</v>
      </c>
      <c r="E1969">
        <v>1</v>
      </c>
      <c r="F1969">
        <v>1.5</v>
      </c>
      <c r="G1969" t="s">
        <v>47</v>
      </c>
      <c r="H1969" t="s">
        <v>410</v>
      </c>
      <c r="I1969" t="str">
        <f t="shared" si="33"/>
        <v>1807_1</v>
      </c>
      <c r="J1969" t="s">
        <v>241</v>
      </c>
      <c r="K1969" t="s">
        <v>179</v>
      </c>
      <c r="L1969" t="str">
        <f>_xlfn.XLOOKUP(C1969, Table2[Species],Table2[Genus], "Code Not Found")</f>
        <v>Fagus</v>
      </c>
      <c r="M1969" t="str">
        <f>_xlfn.XLOOKUP(C1969, Table2[Species],Table2[Sp. Name], "Code Not Found")</f>
        <v>grandifolia</v>
      </c>
      <c r="N1969" t="str">
        <f>_xlfn.XLOOKUP(C1969,Table2[Species],Table2[Family],"Code Not Found")</f>
        <v>Fagaceae</v>
      </c>
      <c r="O1969" t="str" cm="1">
        <f t="array" ref="O1969">_xlfn.IFS(F1969="","",F1969&lt;=5,"0 to 5",F1969&lt;=10,"5.1 to 10",F1969&lt;=20,"10 to 20", F1969&lt;= 40, "20 to 40", F1969 &lt;= 50, "40 to 50", F1969 &gt; 50, "&gt;50" )</f>
        <v>0 to 5</v>
      </c>
    </row>
    <row r="1970" spans="1:15" ht="15" customHeight="1" x14ac:dyDescent="0.3">
      <c r="A1970" t="s">
        <v>351</v>
      </c>
      <c r="B1970" s="1">
        <v>46204</v>
      </c>
      <c r="C1970" t="s">
        <v>24</v>
      </c>
      <c r="D1970">
        <v>1808</v>
      </c>
      <c r="E1970">
        <v>1</v>
      </c>
      <c r="F1970">
        <v>1.6</v>
      </c>
      <c r="G1970" t="s">
        <v>359</v>
      </c>
      <c r="I1970" t="str">
        <f t="shared" si="33"/>
        <v>1808_1</v>
      </c>
      <c r="J1970" t="s">
        <v>241</v>
      </c>
      <c r="K1970" t="s">
        <v>179</v>
      </c>
      <c r="L1970" t="str">
        <f>_xlfn.XLOOKUP(C1970, Table2[Species],Table2[Genus], "Code Not Found")</f>
        <v>Lirodendron</v>
      </c>
      <c r="M1970" t="str">
        <f>_xlfn.XLOOKUP(C1970, Table2[Species],Table2[Sp. Name], "Code Not Found")</f>
        <v>tulipfera</v>
      </c>
      <c r="N1970" t="str">
        <f>_xlfn.XLOOKUP(C1970,Table2[Species],Table2[Family],"Code Not Found")</f>
        <v>Magnoliaceae</v>
      </c>
      <c r="O1970" t="str" cm="1">
        <f t="array" ref="O1970">_xlfn.IFS(F1970="","",F1970&lt;=5,"0 to 5",F1970&lt;=10,"5.1 to 10",F1970&lt;=20,"10 to 20", F1970&lt;= 40, "20 to 40", F1970 &lt;= 50, "40 to 50", F1970 &gt; 50, "&gt;50" )</f>
        <v>0 to 5</v>
      </c>
    </row>
    <row r="1971" spans="1:15" ht="15" customHeight="1" x14ac:dyDescent="0.3">
      <c r="A1971" t="s">
        <v>351</v>
      </c>
      <c r="B1971" s="1">
        <v>46204</v>
      </c>
      <c r="C1971" t="s">
        <v>24</v>
      </c>
      <c r="D1971">
        <v>1809</v>
      </c>
      <c r="E1971">
        <v>1</v>
      </c>
      <c r="F1971">
        <v>1.3</v>
      </c>
      <c r="G1971" t="s">
        <v>359</v>
      </c>
      <c r="H1971" t="s">
        <v>411</v>
      </c>
      <c r="I1971" t="str">
        <f t="shared" si="33"/>
        <v>1809_1</v>
      </c>
      <c r="J1971" t="s">
        <v>241</v>
      </c>
      <c r="K1971" t="s">
        <v>179</v>
      </c>
      <c r="L1971" t="str">
        <f>_xlfn.XLOOKUP(C1971, Table2[Species],Table2[Genus], "Code Not Found")</f>
        <v>Lirodendron</v>
      </c>
      <c r="M1971" t="str">
        <f>_xlfn.XLOOKUP(C1971, Table2[Species],Table2[Sp. Name], "Code Not Found")</f>
        <v>tulipfera</v>
      </c>
      <c r="N1971" t="str">
        <f>_xlfn.XLOOKUP(C1971,Table2[Species],Table2[Family],"Code Not Found")</f>
        <v>Magnoliaceae</v>
      </c>
      <c r="O1971" t="str" cm="1">
        <f t="array" ref="O1971">_xlfn.IFS(F1971="","",F1971&lt;=5,"0 to 5",F1971&lt;=10,"5.1 to 10",F1971&lt;=20,"10 to 20", F1971&lt;= 40, "20 to 40", F1971 &lt;= 50, "40 to 50", F1971 &gt; 50, "&gt;50" )</f>
        <v>0 to 5</v>
      </c>
    </row>
    <row r="1972" spans="1:15" ht="15" customHeight="1" x14ac:dyDescent="0.3">
      <c r="A1972" t="s">
        <v>351</v>
      </c>
      <c r="B1972" s="1">
        <v>46204</v>
      </c>
      <c r="C1972" t="s">
        <v>24</v>
      </c>
      <c r="D1972">
        <v>1810</v>
      </c>
      <c r="E1972">
        <v>1</v>
      </c>
      <c r="F1972">
        <v>1</v>
      </c>
      <c r="G1972" t="s">
        <v>359</v>
      </c>
      <c r="I1972" t="str">
        <f t="shared" si="33"/>
        <v>1810_1</v>
      </c>
      <c r="J1972" t="s">
        <v>241</v>
      </c>
      <c r="K1972" t="s">
        <v>179</v>
      </c>
      <c r="L1972" t="str">
        <f>_xlfn.XLOOKUP(C1972, Table2[Species],Table2[Genus], "Code Not Found")</f>
        <v>Lirodendron</v>
      </c>
      <c r="M1972" t="str">
        <f>_xlfn.XLOOKUP(C1972, Table2[Species],Table2[Sp. Name], "Code Not Found")</f>
        <v>tulipfera</v>
      </c>
      <c r="N1972" t="str">
        <f>_xlfn.XLOOKUP(C1972,Table2[Species],Table2[Family],"Code Not Found")</f>
        <v>Magnoliaceae</v>
      </c>
      <c r="O1972" t="str" cm="1">
        <f t="array" ref="O1972">_xlfn.IFS(F1972="","",F1972&lt;=5,"0 to 5",F1972&lt;=10,"5.1 to 10",F1972&lt;=20,"10 to 20", F1972&lt;= 40, "20 to 40", F1972 &lt;= 50, "40 to 50", F1972 &gt; 50, "&gt;50" )</f>
        <v>0 to 5</v>
      </c>
    </row>
    <row r="1973" spans="1:15" ht="15" customHeight="1" x14ac:dyDescent="0.3">
      <c r="A1973" t="s">
        <v>351</v>
      </c>
      <c r="B1973" s="1">
        <v>46204</v>
      </c>
      <c r="C1973" t="s">
        <v>24</v>
      </c>
      <c r="D1973">
        <v>1811</v>
      </c>
      <c r="E1973">
        <v>1</v>
      </c>
      <c r="F1973">
        <v>1.4</v>
      </c>
      <c r="G1973" t="s">
        <v>21</v>
      </c>
      <c r="I1973" t="str">
        <f t="shared" si="33"/>
        <v>1811_1</v>
      </c>
      <c r="J1973" t="s">
        <v>241</v>
      </c>
      <c r="K1973" t="s">
        <v>179</v>
      </c>
      <c r="L1973" t="str">
        <f>_xlfn.XLOOKUP(C1973, Table2[Species],Table2[Genus], "Code Not Found")</f>
        <v>Lirodendron</v>
      </c>
      <c r="M1973" t="str">
        <f>_xlfn.XLOOKUP(C1973, Table2[Species],Table2[Sp. Name], "Code Not Found")</f>
        <v>tulipfera</v>
      </c>
      <c r="N1973" t="str">
        <f>_xlfn.XLOOKUP(C1973,Table2[Species],Table2[Family],"Code Not Found")</f>
        <v>Magnoliaceae</v>
      </c>
      <c r="O1973" t="str" cm="1">
        <f t="array" ref="O1973">_xlfn.IFS(F1973="","",F1973&lt;=5,"0 to 5",F1973&lt;=10,"5.1 to 10",F1973&lt;=20,"10 to 20", F1973&lt;= 40, "20 to 40", F1973 &lt;= 50, "40 to 50", F1973 &gt; 50, "&gt;50" )</f>
        <v>0 to 5</v>
      </c>
    </row>
    <row r="1974" spans="1:15" ht="15" customHeight="1" x14ac:dyDescent="0.3">
      <c r="A1974" t="s">
        <v>351</v>
      </c>
      <c r="B1974" s="1">
        <v>46204</v>
      </c>
      <c r="C1974" t="s">
        <v>24</v>
      </c>
      <c r="D1974">
        <v>1812</v>
      </c>
      <c r="E1974">
        <v>1</v>
      </c>
      <c r="F1974">
        <v>1.2</v>
      </c>
      <c r="G1974" t="s">
        <v>368</v>
      </c>
      <c r="I1974" t="str">
        <f t="shared" si="33"/>
        <v>1812_1</v>
      </c>
      <c r="J1974" t="s">
        <v>241</v>
      </c>
      <c r="K1974" t="s">
        <v>179</v>
      </c>
      <c r="L1974" t="str">
        <f>_xlfn.XLOOKUP(C1974, Table2[Species],Table2[Genus], "Code Not Found")</f>
        <v>Lirodendron</v>
      </c>
      <c r="M1974" t="str">
        <f>_xlfn.XLOOKUP(C1974, Table2[Species],Table2[Sp. Name], "Code Not Found")</f>
        <v>tulipfera</v>
      </c>
      <c r="N1974" t="str">
        <f>_xlfn.XLOOKUP(C1974,Table2[Species],Table2[Family],"Code Not Found")</f>
        <v>Magnoliaceae</v>
      </c>
      <c r="O1974" t="str" cm="1">
        <f t="array" ref="O1974">_xlfn.IFS(F1974="","",F1974&lt;=5,"0 to 5",F1974&lt;=10,"5.1 to 10",F1974&lt;=20,"10 to 20", F1974&lt;= 40, "20 to 40", F1974 &lt;= 50, "40 to 50", F1974 &gt; 50, "&gt;50" )</f>
        <v>0 to 5</v>
      </c>
    </row>
    <row r="1975" spans="1:15" ht="15" customHeight="1" x14ac:dyDescent="0.3">
      <c r="A1975" t="s">
        <v>351</v>
      </c>
      <c r="B1975" s="1">
        <v>46204</v>
      </c>
      <c r="C1975" t="s">
        <v>24</v>
      </c>
      <c r="D1975">
        <v>1813</v>
      </c>
      <c r="E1975">
        <v>1</v>
      </c>
      <c r="F1975">
        <v>1.2</v>
      </c>
      <c r="G1975" t="s">
        <v>21</v>
      </c>
      <c r="I1975" t="str">
        <f t="shared" si="33"/>
        <v>1813_1</v>
      </c>
      <c r="J1975" t="s">
        <v>241</v>
      </c>
      <c r="K1975" t="s">
        <v>179</v>
      </c>
      <c r="L1975" t="str">
        <f>_xlfn.XLOOKUP(C1975, Table2[Species],Table2[Genus], "Code Not Found")</f>
        <v>Lirodendron</v>
      </c>
      <c r="M1975" t="str">
        <f>_xlfn.XLOOKUP(C1975, Table2[Species],Table2[Sp. Name], "Code Not Found")</f>
        <v>tulipfera</v>
      </c>
      <c r="N1975" t="str">
        <f>_xlfn.XLOOKUP(C1975,Table2[Species],Table2[Family],"Code Not Found")</f>
        <v>Magnoliaceae</v>
      </c>
      <c r="O1975" t="str" cm="1">
        <f t="array" ref="O1975">_xlfn.IFS(F1975="","",F1975&lt;=5,"0 to 5",F1975&lt;=10,"5.1 to 10",F1975&lt;=20,"10 to 20", F1975&lt;= 40, "20 to 40", F1975 &lt;= 50, "40 to 50", F1975 &gt; 50, "&gt;50" )</f>
        <v>0 to 5</v>
      </c>
    </row>
    <row r="1976" spans="1:15" ht="15" customHeight="1" x14ac:dyDescent="0.3">
      <c r="A1976" t="s">
        <v>351</v>
      </c>
      <c r="B1976" s="1">
        <v>46204</v>
      </c>
      <c r="C1976" t="s">
        <v>24</v>
      </c>
      <c r="D1976">
        <v>1814</v>
      </c>
      <c r="E1976">
        <v>1</v>
      </c>
      <c r="F1976">
        <v>1.2</v>
      </c>
      <c r="G1976" t="s">
        <v>30</v>
      </c>
      <c r="H1976" t="s">
        <v>377</v>
      </c>
      <c r="I1976" t="str">
        <f t="shared" si="33"/>
        <v>1814_1</v>
      </c>
      <c r="J1976" t="s">
        <v>241</v>
      </c>
      <c r="K1976" t="s">
        <v>179</v>
      </c>
      <c r="L1976" t="str">
        <f>_xlfn.XLOOKUP(C1976, Table2[Species],Table2[Genus], "Code Not Found")</f>
        <v>Lirodendron</v>
      </c>
      <c r="M1976" t="str">
        <f>_xlfn.XLOOKUP(C1976, Table2[Species],Table2[Sp. Name], "Code Not Found")</f>
        <v>tulipfera</v>
      </c>
      <c r="N1976" t="str">
        <f>_xlfn.XLOOKUP(C1976,Table2[Species],Table2[Family],"Code Not Found")</f>
        <v>Magnoliaceae</v>
      </c>
      <c r="O1976" t="str" cm="1">
        <f t="array" ref="O1976">_xlfn.IFS(F1976="","",F1976&lt;=5,"0 to 5",F1976&lt;=10,"5.1 to 10",F1976&lt;=20,"10 to 20", F1976&lt;= 40, "20 to 40", F1976 &lt;= 50, "40 to 50", F1976 &gt; 50, "&gt;50" )</f>
        <v>0 to 5</v>
      </c>
    </row>
    <row r="1977" spans="1:15" ht="15" customHeight="1" x14ac:dyDescent="0.3">
      <c r="A1977" t="s">
        <v>351</v>
      </c>
      <c r="B1977" s="1">
        <v>46204</v>
      </c>
      <c r="C1977" t="s">
        <v>24</v>
      </c>
      <c r="D1977">
        <v>1815</v>
      </c>
      <c r="E1977">
        <v>1</v>
      </c>
      <c r="F1977">
        <v>1.2</v>
      </c>
      <c r="G1977" t="s">
        <v>21</v>
      </c>
      <c r="I1977" t="str">
        <f t="shared" si="33"/>
        <v>1815_1</v>
      </c>
      <c r="J1977" t="s">
        <v>241</v>
      </c>
      <c r="K1977" t="s">
        <v>179</v>
      </c>
      <c r="L1977" t="str">
        <f>_xlfn.XLOOKUP(C1977, Table2[Species],Table2[Genus], "Code Not Found")</f>
        <v>Lirodendron</v>
      </c>
      <c r="M1977" t="str">
        <f>_xlfn.XLOOKUP(C1977, Table2[Species],Table2[Sp. Name], "Code Not Found")</f>
        <v>tulipfera</v>
      </c>
      <c r="N1977" t="str">
        <f>_xlfn.XLOOKUP(C1977,Table2[Species],Table2[Family],"Code Not Found")</f>
        <v>Magnoliaceae</v>
      </c>
      <c r="O1977" t="str" cm="1">
        <f t="array" ref="O1977">_xlfn.IFS(F1977="","",F1977&lt;=5,"0 to 5",F1977&lt;=10,"5.1 to 10",F1977&lt;=20,"10 to 20", F1977&lt;= 40, "20 to 40", F1977 &lt;= 50, "40 to 50", F1977 &gt; 50, "&gt;50" )</f>
        <v>0 to 5</v>
      </c>
    </row>
    <row r="1978" spans="1:15" ht="15" customHeight="1" x14ac:dyDescent="0.3">
      <c r="A1978" t="s">
        <v>351</v>
      </c>
      <c r="B1978" s="1">
        <v>46204</v>
      </c>
      <c r="C1978" t="s">
        <v>24</v>
      </c>
      <c r="D1978">
        <v>1816</v>
      </c>
      <c r="E1978">
        <v>1</v>
      </c>
      <c r="F1978">
        <v>1.3</v>
      </c>
      <c r="G1978" t="s">
        <v>412</v>
      </c>
      <c r="H1978" t="s">
        <v>372</v>
      </c>
      <c r="I1978" t="str">
        <f t="shared" si="33"/>
        <v>1816_1</v>
      </c>
      <c r="J1978" t="s">
        <v>241</v>
      </c>
      <c r="K1978" t="s">
        <v>179</v>
      </c>
      <c r="L1978" t="str">
        <f>_xlfn.XLOOKUP(C1978, Table2[Species],Table2[Genus], "Code Not Found")</f>
        <v>Lirodendron</v>
      </c>
      <c r="M1978" t="str">
        <f>_xlfn.XLOOKUP(C1978, Table2[Species],Table2[Sp. Name], "Code Not Found")</f>
        <v>tulipfera</v>
      </c>
      <c r="N1978" t="str">
        <f>_xlfn.XLOOKUP(C1978,Table2[Species],Table2[Family],"Code Not Found")</f>
        <v>Magnoliaceae</v>
      </c>
      <c r="O1978" t="str" cm="1">
        <f t="array" ref="O1978">_xlfn.IFS(F1978="","",F1978&lt;=5,"0 to 5",F1978&lt;=10,"5.1 to 10",F1978&lt;=20,"10 to 20", F1978&lt;= 40, "20 to 40", F1978 &lt;= 50, "40 to 50", F1978 &gt; 50, "&gt;50" )</f>
        <v>0 to 5</v>
      </c>
    </row>
    <row r="1979" spans="1:15" ht="15" customHeight="1" x14ac:dyDescent="0.3">
      <c r="A1979" t="s">
        <v>351</v>
      </c>
      <c r="B1979" s="1">
        <v>46204</v>
      </c>
      <c r="C1979" t="s">
        <v>64</v>
      </c>
      <c r="D1979">
        <v>1817</v>
      </c>
      <c r="E1979">
        <v>1</v>
      </c>
      <c r="F1979">
        <v>2.4</v>
      </c>
      <c r="G1979" t="s">
        <v>413</v>
      </c>
      <c r="H1979" t="s">
        <v>414</v>
      </c>
      <c r="I1979" t="str">
        <f t="shared" si="33"/>
        <v>1817_1</v>
      </c>
      <c r="J1979" t="s">
        <v>241</v>
      </c>
      <c r="K1979" t="s">
        <v>179</v>
      </c>
      <c r="L1979" t="str">
        <f>_xlfn.XLOOKUP(C1979, Table2[Species],Table2[Genus], "Code Not Found")</f>
        <v>Fagus</v>
      </c>
      <c r="M1979" t="str">
        <f>_xlfn.XLOOKUP(C1979, Table2[Species],Table2[Sp. Name], "Code Not Found")</f>
        <v>grandifolia</v>
      </c>
      <c r="N1979" t="str">
        <f>_xlfn.XLOOKUP(C1979,Table2[Species],Table2[Family],"Code Not Found")</f>
        <v>Fagaceae</v>
      </c>
      <c r="O1979" t="str" cm="1">
        <f t="array" ref="O1979">_xlfn.IFS(F1979="","",F1979&lt;=5,"0 to 5",F1979&lt;=10,"5.1 to 10",F1979&lt;=20,"10 to 20", F1979&lt;= 40, "20 to 40", F1979 &lt;= 50, "40 to 50", F1979 &gt; 50, "&gt;50" )</f>
        <v>0 to 5</v>
      </c>
    </row>
    <row r="1980" spans="1:15" ht="15" customHeight="1" x14ac:dyDescent="0.3">
      <c r="A1980" t="s">
        <v>351</v>
      </c>
      <c r="B1980" s="1">
        <v>46204</v>
      </c>
      <c r="C1980" t="s">
        <v>24</v>
      </c>
      <c r="D1980">
        <v>1818</v>
      </c>
      <c r="E1980">
        <v>1</v>
      </c>
      <c r="F1980">
        <v>1.2</v>
      </c>
      <c r="G1980" t="s">
        <v>413</v>
      </c>
      <c r="I1980" t="str">
        <f t="shared" si="33"/>
        <v>1818_1</v>
      </c>
      <c r="J1980" t="s">
        <v>241</v>
      </c>
      <c r="K1980" t="s">
        <v>179</v>
      </c>
      <c r="L1980" t="str">
        <f>_xlfn.XLOOKUP(C1980, Table2[Species],Table2[Genus], "Code Not Found")</f>
        <v>Lirodendron</v>
      </c>
      <c r="M1980" t="str">
        <f>_xlfn.XLOOKUP(C1980, Table2[Species],Table2[Sp. Name], "Code Not Found")</f>
        <v>tulipfera</v>
      </c>
      <c r="N1980" t="str">
        <f>_xlfn.XLOOKUP(C1980,Table2[Species],Table2[Family],"Code Not Found")</f>
        <v>Magnoliaceae</v>
      </c>
      <c r="O1980" t="str" cm="1">
        <f t="array" ref="O1980">_xlfn.IFS(F1980="","",F1980&lt;=5,"0 to 5",F1980&lt;=10,"5.1 to 10",F1980&lt;=20,"10 to 20", F1980&lt;= 40, "20 to 40", F1980 &lt;= 50, "40 to 50", F1980 &gt; 50, "&gt;50" )</f>
        <v>0 to 5</v>
      </c>
    </row>
    <row r="1981" spans="1:15" ht="15" customHeight="1" x14ac:dyDescent="0.3">
      <c r="A1981" t="s">
        <v>351</v>
      </c>
      <c r="B1981" s="1">
        <v>46204</v>
      </c>
      <c r="C1981" t="s">
        <v>24</v>
      </c>
      <c r="D1981">
        <v>1819</v>
      </c>
      <c r="E1981">
        <v>1</v>
      </c>
      <c r="F1981">
        <v>1.3</v>
      </c>
      <c r="G1981" t="s">
        <v>359</v>
      </c>
      <c r="I1981" t="str">
        <f t="shared" si="33"/>
        <v>1819_1</v>
      </c>
      <c r="J1981" t="s">
        <v>241</v>
      </c>
      <c r="K1981" t="s">
        <v>179</v>
      </c>
      <c r="L1981" t="str">
        <f>_xlfn.XLOOKUP(C1981, Table2[Species],Table2[Genus], "Code Not Found")</f>
        <v>Lirodendron</v>
      </c>
      <c r="M1981" t="str">
        <f>_xlfn.XLOOKUP(C1981, Table2[Species],Table2[Sp. Name], "Code Not Found")</f>
        <v>tulipfera</v>
      </c>
      <c r="N1981" t="str">
        <f>_xlfn.XLOOKUP(C1981,Table2[Species],Table2[Family],"Code Not Found")</f>
        <v>Magnoliaceae</v>
      </c>
      <c r="O1981" t="str" cm="1">
        <f t="array" ref="O1981">_xlfn.IFS(F1981="","",F1981&lt;=5,"0 to 5",F1981&lt;=10,"5.1 to 10",F1981&lt;=20,"10 to 20", F1981&lt;= 40, "20 to 40", F1981 &lt;= 50, "40 to 50", F1981 &gt; 50, "&gt;50" )</f>
        <v>0 to 5</v>
      </c>
    </row>
    <row r="1982" spans="1:15" ht="15" customHeight="1" x14ac:dyDescent="0.3">
      <c r="A1982" t="s">
        <v>351</v>
      </c>
      <c r="B1982" s="1">
        <v>46204</v>
      </c>
      <c r="C1982" t="s">
        <v>415</v>
      </c>
      <c r="D1982">
        <v>1820</v>
      </c>
      <c r="E1982">
        <v>1</v>
      </c>
      <c r="F1982">
        <v>1.1000000000000001</v>
      </c>
      <c r="G1982" t="s">
        <v>416</v>
      </c>
      <c r="H1982" t="s">
        <v>296</v>
      </c>
      <c r="I1982" t="str">
        <f t="shared" si="33"/>
        <v>1820_1</v>
      </c>
      <c r="J1982" t="s">
        <v>241</v>
      </c>
      <c r="K1982" t="s">
        <v>179</v>
      </c>
      <c r="L1982" t="str">
        <f>_xlfn.XLOOKUP(C1982, Table2[Species],Table2[Genus], "Code Not Found")</f>
        <v>Fraxinus</v>
      </c>
      <c r="M1982" t="str">
        <f>_xlfn.XLOOKUP(C1982, Table2[Species],Table2[Sp. Name], "Code Not Found")</f>
        <v>pennsylvanica</v>
      </c>
      <c r="N1982" t="str">
        <f>_xlfn.XLOOKUP(C1982,Table2[Species],Table2[Family],"Code Not Found")</f>
        <v>Oleaceae</v>
      </c>
      <c r="O1982" t="str" cm="1">
        <f t="array" ref="O1982">_xlfn.IFS(F1982="","",F1982&lt;=5,"0 to 5",F1982&lt;=10,"5.1 to 10",F1982&lt;=20,"10 to 20", F1982&lt;= 40, "20 to 40", F1982 &lt;= 50, "40 to 50", F1982 &gt; 50, "&gt;50" )</f>
        <v>0 to 5</v>
      </c>
    </row>
    <row r="1983" spans="1:15" ht="15" customHeight="1" x14ac:dyDescent="0.3">
      <c r="A1983" t="s">
        <v>351</v>
      </c>
      <c r="B1983" s="1">
        <v>46204</v>
      </c>
      <c r="C1983" t="s">
        <v>16</v>
      </c>
      <c r="D1983">
        <v>1821</v>
      </c>
      <c r="E1983">
        <v>1</v>
      </c>
      <c r="F1983">
        <v>6.1</v>
      </c>
      <c r="G1983" t="s">
        <v>417</v>
      </c>
      <c r="H1983" t="s">
        <v>418</v>
      </c>
      <c r="I1983" t="str">
        <f t="shared" si="33"/>
        <v>1821_1</v>
      </c>
      <c r="J1983" t="s">
        <v>241</v>
      </c>
      <c r="K1983" t="s">
        <v>179</v>
      </c>
      <c r="L1983" t="str">
        <f>_xlfn.XLOOKUP(C1983, Table2[Species],Table2[Genus], "Code Not Found")</f>
        <v>Acer</v>
      </c>
      <c r="M1983" t="str">
        <f>_xlfn.XLOOKUP(C1983, Table2[Species],Table2[Sp. Name], "Code Not Found")</f>
        <v>saccharum</v>
      </c>
      <c r="N1983" t="str">
        <f>_xlfn.XLOOKUP(C1983,Table2[Species],Table2[Family],"Code Not Found")</f>
        <v>Sapindaceae</v>
      </c>
      <c r="O1983" t="str" cm="1">
        <f t="array" ref="O1983">_xlfn.IFS(F1983="","",F1983&lt;=5,"0 to 5",F1983&lt;=10,"5.1 to 10",F1983&lt;=20,"10 to 20", F1983&lt;= 40, "20 to 40", F1983 &lt;= 50, "40 to 50", F1983 &gt; 50, "&gt;50" )</f>
        <v>5.1 to 10</v>
      </c>
    </row>
    <row r="1984" spans="1:15" ht="15" customHeight="1" x14ac:dyDescent="0.3">
      <c r="A1984" t="s">
        <v>351</v>
      </c>
      <c r="B1984" s="1">
        <v>46204</v>
      </c>
      <c r="C1984" t="s">
        <v>16</v>
      </c>
      <c r="D1984">
        <v>1822</v>
      </c>
      <c r="E1984">
        <v>1</v>
      </c>
      <c r="F1984">
        <v>10.7</v>
      </c>
      <c r="G1984" t="s">
        <v>17</v>
      </c>
      <c r="I1984" t="str">
        <f t="shared" si="33"/>
        <v>1822_1</v>
      </c>
      <c r="J1984" t="s">
        <v>241</v>
      </c>
      <c r="K1984" t="s">
        <v>179</v>
      </c>
      <c r="L1984" t="str">
        <f>_xlfn.XLOOKUP(C1984, Table2[Species],Table2[Genus], "Code Not Found")</f>
        <v>Acer</v>
      </c>
      <c r="M1984" t="str">
        <f>_xlfn.XLOOKUP(C1984, Table2[Species],Table2[Sp. Name], "Code Not Found")</f>
        <v>saccharum</v>
      </c>
      <c r="N1984" t="str">
        <f>_xlfn.XLOOKUP(C1984,Table2[Species],Table2[Family],"Code Not Found")</f>
        <v>Sapindaceae</v>
      </c>
      <c r="O1984" t="str" cm="1">
        <f t="array" ref="O1984">_xlfn.IFS(F1984="","",F1984&lt;=5,"0 to 5",F1984&lt;=10,"5.1 to 10",F1984&lt;=20,"10 to 20", F1984&lt;= 40, "20 to 40", F1984 &lt;= 50, "40 to 50", F1984 &gt; 50, "&gt;50" )</f>
        <v>10 to 20</v>
      </c>
    </row>
    <row r="1985" spans="1:15" ht="15" customHeight="1" x14ac:dyDescent="0.3">
      <c r="A1985" t="s">
        <v>351</v>
      </c>
      <c r="B1985" s="1">
        <v>46204</v>
      </c>
      <c r="C1985" t="s">
        <v>16</v>
      </c>
      <c r="D1985">
        <v>1823</v>
      </c>
      <c r="E1985">
        <v>1</v>
      </c>
      <c r="F1985">
        <v>9.9</v>
      </c>
      <c r="G1985" t="s">
        <v>47</v>
      </c>
      <c r="H1985" t="s">
        <v>347</v>
      </c>
      <c r="I1985" t="str">
        <f t="shared" si="33"/>
        <v>1823_1</v>
      </c>
      <c r="J1985" t="s">
        <v>241</v>
      </c>
      <c r="K1985" t="s">
        <v>179</v>
      </c>
      <c r="L1985" t="str">
        <f>_xlfn.XLOOKUP(C1985, Table2[Species],Table2[Genus], "Code Not Found")</f>
        <v>Acer</v>
      </c>
      <c r="M1985" t="str">
        <f>_xlfn.XLOOKUP(C1985, Table2[Species],Table2[Sp. Name], "Code Not Found")</f>
        <v>saccharum</v>
      </c>
      <c r="N1985" t="str">
        <f>_xlfn.XLOOKUP(C1985,Table2[Species],Table2[Family],"Code Not Found")</f>
        <v>Sapindaceae</v>
      </c>
      <c r="O1985" t="str" cm="1">
        <f t="array" ref="O1985">_xlfn.IFS(F1985="","",F1985&lt;=5,"0 to 5",F1985&lt;=10,"5.1 to 10",F1985&lt;=20,"10 to 20", F1985&lt;= 40, "20 to 40", F1985 &lt;= 50, "40 to 50", F1985 &gt; 50, "&gt;50" )</f>
        <v>5.1 to 10</v>
      </c>
    </row>
    <row r="1986" spans="1:15" ht="15" customHeight="1" x14ac:dyDescent="0.3">
      <c r="A1986" t="s">
        <v>351</v>
      </c>
      <c r="B1986" s="1">
        <v>46204</v>
      </c>
      <c r="C1986" t="s">
        <v>64</v>
      </c>
      <c r="D1986">
        <v>1824</v>
      </c>
      <c r="E1986">
        <v>1</v>
      </c>
      <c r="F1986">
        <v>6.3</v>
      </c>
      <c r="G1986" t="s">
        <v>17</v>
      </c>
      <c r="I1986" t="str">
        <f t="shared" si="33"/>
        <v>1824_1</v>
      </c>
      <c r="J1986" t="s">
        <v>241</v>
      </c>
      <c r="K1986" t="s">
        <v>179</v>
      </c>
      <c r="L1986" t="str">
        <f>_xlfn.XLOOKUP(C1986, Table2[Species],Table2[Genus], "Code Not Found")</f>
        <v>Fagus</v>
      </c>
      <c r="M1986" t="str">
        <f>_xlfn.XLOOKUP(C1986, Table2[Species],Table2[Sp. Name], "Code Not Found")</f>
        <v>grandifolia</v>
      </c>
      <c r="N1986" t="str">
        <f>_xlfn.XLOOKUP(C1986,Table2[Species],Table2[Family],"Code Not Found")</f>
        <v>Fagaceae</v>
      </c>
      <c r="O1986" t="str" cm="1">
        <f t="array" ref="O1986">_xlfn.IFS(F1986="","",F1986&lt;=5,"0 to 5",F1986&lt;=10,"5.1 to 10",F1986&lt;=20,"10 to 20", F1986&lt;= 40, "20 to 40", F1986 &lt;= 50, "40 to 50", F1986 &gt; 50, "&gt;50" )</f>
        <v>5.1 to 10</v>
      </c>
    </row>
    <row r="1987" spans="1:15" ht="15" customHeight="1" x14ac:dyDescent="0.3">
      <c r="A1987" t="s">
        <v>351</v>
      </c>
      <c r="B1987" s="1">
        <v>46204</v>
      </c>
      <c r="C1987" t="s">
        <v>16</v>
      </c>
      <c r="D1987">
        <v>1825</v>
      </c>
      <c r="E1987">
        <v>1</v>
      </c>
      <c r="F1987">
        <v>10.4</v>
      </c>
      <c r="G1987" t="s">
        <v>21</v>
      </c>
      <c r="I1987" t="str">
        <f t="shared" si="33"/>
        <v>1825_1</v>
      </c>
      <c r="J1987" t="s">
        <v>241</v>
      </c>
      <c r="K1987" t="s">
        <v>179</v>
      </c>
      <c r="L1987" t="str">
        <f>_xlfn.XLOOKUP(C1987, Table2[Species],Table2[Genus], "Code Not Found")</f>
        <v>Acer</v>
      </c>
      <c r="M1987" t="str">
        <f>_xlfn.XLOOKUP(C1987, Table2[Species],Table2[Sp. Name], "Code Not Found")</f>
        <v>saccharum</v>
      </c>
      <c r="N1987" t="str">
        <f>_xlfn.XLOOKUP(C1987,Table2[Species],Table2[Family],"Code Not Found")</f>
        <v>Sapindaceae</v>
      </c>
      <c r="O1987" t="str" cm="1">
        <f t="array" ref="O1987">_xlfn.IFS(F1987="","",F1987&lt;=5,"0 to 5",F1987&lt;=10,"5.1 to 10",F1987&lt;=20,"10 to 20", F1987&lt;= 40, "20 to 40", F1987 &lt;= 50, "40 to 50", F1987 &gt; 50, "&gt;50" )</f>
        <v>10 to 20</v>
      </c>
    </row>
    <row r="1988" spans="1:15" ht="15" customHeight="1" x14ac:dyDescent="0.3">
      <c r="A1988" t="s">
        <v>351</v>
      </c>
      <c r="B1988" s="1">
        <v>46204</v>
      </c>
      <c r="C1988" t="s">
        <v>64</v>
      </c>
      <c r="D1988">
        <v>1826</v>
      </c>
      <c r="E1988">
        <v>1</v>
      </c>
      <c r="F1988">
        <v>7.9</v>
      </c>
      <c r="G1988" t="s">
        <v>17</v>
      </c>
      <c r="I1988" t="str">
        <f t="shared" si="33"/>
        <v>1826_1</v>
      </c>
      <c r="J1988" t="s">
        <v>241</v>
      </c>
      <c r="K1988" t="s">
        <v>179</v>
      </c>
      <c r="L1988" t="str">
        <f>_xlfn.XLOOKUP(C1988, Table2[Species],Table2[Genus], "Code Not Found")</f>
        <v>Fagus</v>
      </c>
      <c r="M1988" t="str">
        <f>_xlfn.XLOOKUP(C1988, Table2[Species],Table2[Sp. Name], "Code Not Found")</f>
        <v>grandifolia</v>
      </c>
      <c r="N1988" t="str">
        <f>_xlfn.XLOOKUP(C1988,Table2[Species],Table2[Family],"Code Not Found")</f>
        <v>Fagaceae</v>
      </c>
      <c r="O1988" t="str" cm="1">
        <f t="array" ref="O1988">_xlfn.IFS(F1988="","",F1988&lt;=5,"0 to 5",F1988&lt;=10,"5.1 to 10",F1988&lt;=20,"10 to 20", F1988&lt;= 40, "20 to 40", F1988 &lt;= 50, "40 to 50", F1988 &gt; 50, "&gt;50" )</f>
        <v>5.1 to 10</v>
      </c>
    </row>
    <row r="1989" spans="1:15" ht="15" customHeight="1" x14ac:dyDescent="0.3">
      <c r="A1989" t="s">
        <v>351</v>
      </c>
      <c r="B1989" s="1">
        <v>46204</v>
      </c>
      <c r="C1989" t="s">
        <v>24</v>
      </c>
      <c r="D1989">
        <v>1827</v>
      </c>
      <c r="E1989">
        <v>1</v>
      </c>
      <c r="F1989">
        <v>1.8</v>
      </c>
      <c r="G1989" t="s">
        <v>416</v>
      </c>
      <c r="H1989" t="s">
        <v>419</v>
      </c>
      <c r="I1989" t="str">
        <f t="shared" si="33"/>
        <v>1827_1</v>
      </c>
      <c r="J1989" t="s">
        <v>241</v>
      </c>
      <c r="K1989" t="s">
        <v>179</v>
      </c>
      <c r="L1989" t="str">
        <f>_xlfn.XLOOKUP(C1989, Table2[Species],Table2[Genus], "Code Not Found")</f>
        <v>Lirodendron</v>
      </c>
      <c r="M1989" t="str">
        <f>_xlfn.XLOOKUP(C1989, Table2[Species],Table2[Sp. Name], "Code Not Found")</f>
        <v>tulipfera</v>
      </c>
      <c r="N1989" t="str">
        <f>_xlfn.XLOOKUP(C1989,Table2[Species],Table2[Family],"Code Not Found")</f>
        <v>Magnoliaceae</v>
      </c>
      <c r="O1989" t="str" cm="1">
        <f t="array" ref="O1989">_xlfn.IFS(F1989="","",F1989&lt;=5,"0 to 5",F1989&lt;=10,"5.1 to 10",F1989&lt;=20,"10 to 20", F1989&lt;= 40, "20 to 40", F1989 &lt;= 50, "40 to 50", F1989 &gt; 50, "&gt;50" )</f>
        <v>0 to 5</v>
      </c>
    </row>
    <row r="1990" spans="1:15" ht="15" customHeight="1" x14ac:dyDescent="0.3">
      <c r="A1990" t="s">
        <v>351</v>
      </c>
      <c r="B1990" s="1">
        <v>46204</v>
      </c>
      <c r="C1990" t="s">
        <v>24</v>
      </c>
      <c r="D1990">
        <v>1828</v>
      </c>
      <c r="E1990">
        <v>1</v>
      </c>
      <c r="F1990">
        <v>1.3</v>
      </c>
      <c r="G1990" t="s">
        <v>359</v>
      </c>
      <c r="I1990" t="str">
        <f t="shared" si="33"/>
        <v>1828_1</v>
      </c>
      <c r="J1990" t="s">
        <v>241</v>
      </c>
      <c r="K1990" t="s">
        <v>179</v>
      </c>
      <c r="L1990" t="str">
        <f>_xlfn.XLOOKUP(C1990, Table2[Species],Table2[Genus], "Code Not Found")</f>
        <v>Lirodendron</v>
      </c>
      <c r="M1990" t="str">
        <f>_xlfn.XLOOKUP(C1990, Table2[Species],Table2[Sp. Name], "Code Not Found")</f>
        <v>tulipfera</v>
      </c>
      <c r="N1990" t="str">
        <f>_xlfn.XLOOKUP(C1990,Table2[Species],Table2[Family],"Code Not Found")</f>
        <v>Magnoliaceae</v>
      </c>
      <c r="O1990" t="str" cm="1">
        <f t="array" ref="O1990">_xlfn.IFS(F1990="","",F1990&lt;=5,"0 to 5",F1990&lt;=10,"5.1 to 10",F1990&lt;=20,"10 to 20", F1990&lt;= 40, "20 to 40", F1990 &lt;= 50, "40 to 50", F1990 &gt; 50, "&gt;50" )</f>
        <v>0 to 5</v>
      </c>
    </row>
    <row r="1991" spans="1:15" ht="15" customHeight="1" x14ac:dyDescent="0.3">
      <c r="A1991" t="s">
        <v>351</v>
      </c>
      <c r="B1991" s="1">
        <v>46204</v>
      </c>
      <c r="C1991" t="s">
        <v>24</v>
      </c>
      <c r="D1991">
        <v>1829</v>
      </c>
      <c r="E1991">
        <v>1</v>
      </c>
      <c r="F1991">
        <v>1.2</v>
      </c>
      <c r="G1991" t="s">
        <v>416</v>
      </c>
      <c r="H1991" t="s">
        <v>296</v>
      </c>
      <c r="I1991" t="str">
        <f t="shared" si="33"/>
        <v>1829_1</v>
      </c>
      <c r="J1991" t="s">
        <v>241</v>
      </c>
      <c r="K1991" t="s">
        <v>179</v>
      </c>
      <c r="L1991" t="str">
        <f>_xlfn.XLOOKUP(C1991, Table2[Species],Table2[Genus], "Code Not Found")</f>
        <v>Lirodendron</v>
      </c>
      <c r="M1991" t="str">
        <f>_xlfn.XLOOKUP(C1991, Table2[Species],Table2[Sp. Name], "Code Not Found")</f>
        <v>tulipfera</v>
      </c>
      <c r="N1991" t="str">
        <f>_xlfn.XLOOKUP(C1991,Table2[Species],Table2[Family],"Code Not Found")</f>
        <v>Magnoliaceae</v>
      </c>
      <c r="O1991" t="str" cm="1">
        <f t="array" ref="O1991">_xlfn.IFS(F1991="","",F1991&lt;=5,"0 to 5",F1991&lt;=10,"5.1 to 10",F1991&lt;=20,"10 to 20", F1991&lt;= 40, "20 to 40", F1991 &lt;= 50, "40 to 50", F1991 &gt; 50, "&gt;50" )</f>
        <v>0 to 5</v>
      </c>
    </row>
    <row r="1992" spans="1:15" ht="15" customHeight="1" x14ac:dyDescent="0.3">
      <c r="A1992" t="s">
        <v>351</v>
      </c>
      <c r="B1992" s="1">
        <v>46204</v>
      </c>
      <c r="C1992" t="s">
        <v>24</v>
      </c>
      <c r="D1992">
        <v>1830</v>
      </c>
      <c r="E1992">
        <v>1</v>
      </c>
      <c r="F1992">
        <v>1.5</v>
      </c>
      <c r="G1992" t="s">
        <v>412</v>
      </c>
      <c r="H1992" t="s">
        <v>377</v>
      </c>
      <c r="I1992" t="str">
        <f t="shared" si="33"/>
        <v>1830_1</v>
      </c>
      <c r="J1992" t="s">
        <v>241</v>
      </c>
      <c r="K1992" t="s">
        <v>179</v>
      </c>
      <c r="L1992" t="str">
        <f>_xlfn.XLOOKUP(C1992, Table2[Species],Table2[Genus], "Code Not Found")</f>
        <v>Lirodendron</v>
      </c>
      <c r="M1992" t="str">
        <f>_xlfn.XLOOKUP(C1992, Table2[Species],Table2[Sp. Name], "Code Not Found")</f>
        <v>tulipfera</v>
      </c>
      <c r="N1992" t="str">
        <f>_xlfn.XLOOKUP(C1992,Table2[Species],Table2[Family],"Code Not Found")</f>
        <v>Magnoliaceae</v>
      </c>
      <c r="O1992" t="str" cm="1">
        <f t="array" ref="O1992">_xlfn.IFS(F1992="","",F1992&lt;=5,"0 to 5",F1992&lt;=10,"5.1 to 10",F1992&lt;=20,"10 to 20", F1992&lt;= 40, "20 to 40", F1992 &lt;= 50, "40 to 50", F1992 &gt; 50, "&gt;50" )</f>
        <v>0 to 5</v>
      </c>
    </row>
    <row r="1993" spans="1:15" ht="15" customHeight="1" x14ac:dyDescent="0.3">
      <c r="A1993" t="s">
        <v>351</v>
      </c>
      <c r="B1993" s="1">
        <v>46204</v>
      </c>
      <c r="C1993" t="s">
        <v>24</v>
      </c>
      <c r="D1993">
        <v>1831</v>
      </c>
      <c r="E1993">
        <v>1</v>
      </c>
      <c r="F1993">
        <v>1.1000000000000001</v>
      </c>
      <c r="G1993" t="s">
        <v>359</v>
      </c>
      <c r="I1993" t="str">
        <f t="shared" si="33"/>
        <v>1831_1</v>
      </c>
      <c r="J1993" t="s">
        <v>241</v>
      </c>
      <c r="K1993" t="s">
        <v>179</v>
      </c>
      <c r="L1993" t="str">
        <f>_xlfn.XLOOKUP(C1993, Table2[Species],Table2[Genus], "Code Not Found")</f>
        <v>Lirodendron</v>
      </c>
      <c r="M1993" t="str">
        <f>_xlfn.XLOOKUP(C1993, Table2[Species],Table2[Sp. Name], "Code Not Found")</f>
        <v>tulipfera</v>
      </c>
      <c r="N1993" t="str">
        <f>_xlfn.XLOOKUP(C1993,Table2[Species],Table2[Family],"Code Not Found")</f>
        <v>Magnoliaceae</v>
      </c>
      <c r="O1993" t="str" cm="1">
        <f t="array" ref="O1993">_xlfn.IFS(F1993="","",F1993&lt;=5,"0 to 5",F1993&lt;=10,"5.1 to 10",F1993&lt;=20,"10 to 20", F1993&lt;= 40, "20 to 40", F1993 &lt;= 50, "40 to 50", F1993 &gt; 50, "&gt;50" )</f>
        <v>0 to 5</v>
      </c>
    </row>
    <row r="1994" spans="1:15" ht="15" customHeight="1" x14ac:dyDescent="0.3">
      <c r="A1994" t="s">
        <v>351</v>
      </c>
      <c r="B1994" s="1">
        <v>46204</v>
      </c>
      <c r="C1994" t="s">
        <v>24</v>
      </c>
      <c r="D1994">
        <v>1832</v>
      </c>
      <c r="E1994">
        <v>1</v>
      </c>
      <c r="F1994">
        <v>1</v>
      </c>
      <c r="G1994" t="s">
        <v>413</v>
      </c>
      <c r="I1994" t="str">
        <f t="shared" si="33"/>
        <v>1832_1</v>
      </c>
      <c r="J1994" t="s">
        <v>241</v>
      </c>
      <c r="K1994" t="s">
        <v>179</v>
      </c>
      <c r="L1994" t="str">
        <f>_xlfn.XLOOKUP(C1994, Table2[Species],Table2[Genus], "Code Not Found")</f>
        <v>Lirodendron</v>
      </c>
      <c r="M1994" t="str">
        <f>_xlfn.XLOOKUP(C1994, Table2[Species],Table2[Sp. Name], "Code Not Found")</f>
        <v>tulipfera</v>
      </c>
      <c r="N1994" t="str">
        <f>_xlfn.XLOOKUP(C1994,Table2[Species],Table2[Family],"Code Not Found")</f>
        <v>Magnoliaceae</v>
      </c>
      <c r="O1994" t="str" cm="1">
        <f t="array" ref="O1994">_xlfn.IFS(F1994="","",F1994&lt;=5,"0 to 5",F1994&lt;=10,"5.1 to 10",F1994&lt;=20,"10 to 20", F1994&lt;= 40, "20 to 40", F1994 &lt;= 50, "40 to 50", F1994 &gt; 50, "&gt;50" )</f>
        <v>0 to 5</v>
      </c>
    </row>
    <row r="1995" spans="1:15" ht="15" customHeight="1" x14ac:dyDescent="0.3">
      <c r="A1995" t="s">
        <v>351</v>
      </c>
      <c r="B1995" s="1">
        <v>46204</v>
      </c>
      <c r="C1995" t="s">
        <v>16</v>
      </c>
      <c r="D1995">
        <v>1833</v>
      </c>
      <c r="E1995">
        <v>1</v>
      </c>
      <c r="F1995">
        <v>5.6</v>
      </c>
      <c r="G1995" t="s">
        <v>420</v>
      </c>
      <c r="H1995" t="s">
        <v>421</v>
      </c>
      <c r="I1995" t="str">
        <f t="shared" si="33"/>
        <v>1833_1</v>
      </c>
      <c r="J1995" t="s">
        <v>241</v>
      </c>
      <c r="K1995" t="s">
        <v>179</v>
      </c>
      <c r="L1995" t="str">
        <f>_xlfn.XLOOKUP(C1995, Table2[Species],Table2[Genus], "Code Not Found")</f>
        <v>Acer</v>
      </c>
      <c r="M1995" t="str">
        <f>_xlfn.XLOOKUP(C1995, Table2[Species],Table2[Sp. Name], "Code Not Found")</f>
        <v>saccharum</v>
      </c>
      <c r="N1995" t="str">
        <f>_xlfn.XLOOKUP(C1995,Table2[Species],Table2[Family],"Code Not Found")</f>
        <v>Sapindaceae</v>
      </c>
      <c r="O1995" t="str" cm="1">
        <f t="array" ref="O1995">_xlfn.IFS(F1995="","",F1995&lt;=5,"0 to 5",F1995&lt;=10,"5.1 to 10",F1995&lt;=20,"10 to 20", F1995&lt;= 40, "20 to 40", F1995 &lt;= 50, "40 to 50", F1995 &gt; 50, "&gt;50" )</f>
        <v>5.1 to 10</v>
      </c>
    </row>
    <row r="1996" spans="1:15" ht="15" customHeight="1" x14ac:dyDescent="0.3">
      <c r="A1996" t="s">
        <v>351</v>
      </c>
      <c r="B1996" s="1">
        <v>46204</v>
      </c>
      <c r="C1996" t="s">
        <v>16</v>
      </c>
      <c r="D1996">
        <v>1834</v>
      </c>
      <c r="E1996">
        <v>1</v>
      </c>
      <c r="F1996">
        <v>5.7</v>
      </c>
      <c r="G1996" t="s">
        <v>17</v>
      </c>
      <c r="I1996" t="str">
        <f t="shared" si="33"/>
        <v>1834_1</v>
      </c>
      <c r="J1996" t="s">
        <v>241</v>
      </c>
      <c r="K1996" t="s">
        <v>179</v>
      </c>
      <c r="L1996" t="str">
        <f>_xlfn.XLOOKUP(C1996, Table2[Species],Table2[Genus], "Code Not Found")</f>
        <v>Acer</v>
      </c>
      <c r="M1996" t="str">
        <f>_xlfn.XLOOKUP(C1996, Table2[Species],Table2[Sp. Name], "Code Not Found")</f>
        <v>saccharum</v>
      </c>
      <c r="N1996" t="str">
        <f>_xlfn.XLOOKUP(C1996,Table2[Species],Table2[Family],"Code Not Found")</f>
        <v>Sapindaceae</v>
      </c>
      <c r="O1996" t="str" cm="1">
        <f t="array" ref="O1996">_xlfn.IFS(F1996="","",F1996&lt;=5,"0 to 5",F1996&lt;=10,"5.1 to 10",F1996&lt;=20,"10 to 20", F1996&lt;= 40, "20 to 40", F1996 &lt;= 50, "40 to 50", F1996 &gt; 50, "&gt;50" )</f>
        <v>5.1 to 10</v>
      </c>
    </row>
    <row r="1997" spans="1:15" ht="15" customHeight="1" x14ac:dyDescent="0.3">
      <c r="A1997" t="s">
        <v>351</v>
      </c>
      <c r="B1997" s="1">
        <v>46204</v>
      </c>
      <c r="C1997" t="s">
        <v>16</v>
      </c>
      <c r="D1997">
        <v>1835</v>
      </c>
      <c r="E1997">
        <v>1</v>
      </c>
      <c r="F1997">
        <v>7.3</v>
      </c>
      <c r="G1997" t="s">
        <v>17</v>
      </c>
      <c r="I1997" t="str">
        <f t="shared" si="33"/>
        <v>1835_1</v>
      </c>
      <c r="J1997" t="s">
        <v>241</v>
      </c>
      <c r="K1997" t="s">
        <v>179</v>
      </c>
      <c r="L1997" t="str">
        <f>_xlfn.XLOOKUP(C1997, Table2[Species],Table2[Genus], "Code Not Found")</f>
        <v>Acer</v>
      </c>
      <c r="M1997" t="str">
        <f>_xlfn.XLOOKUP(C1997, Table2[Species],Table2[Sp. Name], "Code Not Found")</f>
        <v>saccharum</v>
      </c>
      <c r="N1997" t="str">
        <f>_xlfn.XLOOKUP(C1997,Table2[Species],Table2[Family],"Code Not Found")</f>
        <v>Sapindaceae</v>
      </c>
      <c r="O1997" t="str" cm="1">
        <f t="array" ref="O1997">_xlfn.IFS(F1997="","",F1997&lt;=5,"0 to 5",F1997&lt;=10,"5.1 to 10",F1997&lt;=20,"10 to 20", F1997&lt;= 40, "20 to 40", F1997 &lt;= 50, "40 to 50", F1997 &gt; 50, "&gt;50" )</f>
        <v>5.1 to 10</v>
      </c>
    </row>
    <row r="1998" spans="1:15" ht="15" customHeight="1" x14ac:dyDescent="0.3">
      <c r="A1998" t="s">
        <v>351</v>
      </c>
      <c r="B1998" s="1">
        <v>46204</v>
      </c>
      <c r="C1998" t="s">
        <v>64</v>
      </c>
      <c r="D1998">
        <v>1836</v>
      </c>
      <c r="E1998">
        <v>1</v>
      </c>
      <c r="F1998">
        <v>1.9</v>
      </c>
      <c r="G1998" t="s">
        <v>422</v>
      </c>
      <c r="H1998" t="s">
        <v>423</v>
      </c>
      <c r="I1998" t="str">
        <f t="shared" si="33"/>
        <v>1836_1</v>
      </c>
      <c r="J1998" t="s">
        <v>241</v>
      </c>
      <c r="K1998" t="s">
        <v>179</v>
      </c>
      <c r="L1998" t="str">
        <f>_xlfn.XLOOKUP(C1998, Table2[Species],Table2[Genus], "Code Not Found")</f>
        <v>Fagus</v>
      </c>
      <c r="M1998" t="str">
        <f>_xlfn.XLOOKUP(C1998, Table2[Species],Table2[Sp. Name], "Code Not Found")</f>
        <v>grandifolia</v>
      </c>
      <c r="N1998" t="str">
        <f>_xlfn.XLOOKUP(C1998,Table2[Species],Table2[Family],"Code Not Found")</f>
        <v>Fagaceae</v>
      </c>
      <c r="O1998" t="str" cm="1">
        <f t="array" ref="O1998">_xlfn.IFS(F1998="","",F1998&lt;=5,"0 to 5",F1998&lt;=10,"5.1 to 10",F1998&lt;=20,"10 to 20", F1998&lt;= 40, "20 to 40", F1998 &lt;= 50, "40 to 50", F1998 &gt; 50, "&gt;50" )</f>
        <v>0 to 5</v>
      </c>
    </row>
    <row r="1999" spans="1:15" ht="15" customHeight="1" x14ac:dyDescent="0.3">
      <c r="A1999" t="s">
        <v>351</v>
      </c>
      <c r="B1999" s="1">
        <v>46204</v>
      </c>
      <c r="C1999" t="s">
        <v>64</v>
      </c>
      <c r="D1999">
        <v>1836</v>
      </c>
      <c r="E1999">
        <v>2</v>
      </c>
      <c r="F1999">
        <v>1.1000000000000001</v>
      </c>
      <c r="G1999" t="s">
        <v>422</v>
      </c>
      <c r="H1999" t="s">
        <v>423</v>
      </c>
      <c r="I1999" t="str">
        <f t="shared" si="33"/>
        <v>1836_2</v>
      </c>
      <c r="J1999" t="s">
        <v>241</v>
      </c>
      <c r="K1999" t="s">
        <v>179</v>
      </c>
      <c r="L1999" t="str">
        <f>_xlfn.XLOOKUP(C1999, Table2[Species],Table2[Genus], "Code Not Found")</f>
        <v>Fagus</v>
      </c>
      <c r="M1999" t="str">
        <f>_xlfn.XLOOKUP(C1999, Table2[Species],Table2[Sp. Name], "Code Not Found")</f>
        <v>grandifolia</v>
      </c>
      <c r="N1999" t="str">
        <f>_xlfn.XLOOKUP(C1999,Table2[Species],Table2[Family],"Code Not Found")</f>
        <v>Fagaceae</v>
      </c>
      <c r="O1999" t="str" cm="1">
        <f t="array" ref="O1999">_xlfn.IFS(F1999="","",F1999&lt;=5,"0 to 5",F1999&lt;=10,"5.1 to 10",F1999&lt;=20,"10 to 20", F1999&lt;= 40, "20 to 40", F1999 &lt;= 50, "40 to 50", F1999 &gt; 50, "&gt;50" )</f>
        <v>0 to 5</v>
      </c>
    </row>
    <row r="2000" spans="1:15" ht="15" customHeight="1" x14ac:dyDescent="0.3">
      <c r="A2000" t="s">
        <v>351</v>
      </c>
      <c r="B2000" s="1">
        <v>46204</v>
      </c>
      <c r="C2000" t="s">
        <v>64</v>
      </c>
      <c r="D2000">
        <v>1837</v>
      </c>
      <c r="E2000">
        <v>1</v>
      </c>
      <c r="F2000">
        <v>1.1000000000000001</v>
      </c>
      <c r="G2000" t="s">
        <v>17</v>
      </c>
      <c r="H2000" t="s">
        <v>424</v>
      </c>
      <c r="I2000" t="str">
        <f t="shared" si="33"/>
        <v>1837_1</v>
      </c>
      <c r="J2000" t="s">
        <v>241</v>
      </c>
      <c r="K2000" t="s">
        <v>179</v>
      </c>
      <c r="L2000" t="str">
        <f>_xlfn.XLOOKUP(C2000, Table2[Species],Table2[Genus], "Code Not Found")</f>
        <v>Fagus</v>
      </c>
      <c r="M2000" t="str">
        <f>_xlfn.XLOOKUP(C2000, Table2[Species],Table2[Sp. Name], "Code Not Found")</f>
        <v>grandifolia</v>
      </c>
      <c r="N2000" t="str">
        <f>_xlfn.XLOOKUP(C2000,Table2[Species],Table2[Family],"Code Not Found")</f>
        <v>Fagaceae</v>
      </c>
      <c r="O2000" t="str" cm="1">
        <f t="array" ref="O2000">_xlfn.IFS(F2000="","",F2000&lt;=5,"0 to 5",F2000&lt;=10,"5.1 to 10",F2000&lt;=20,"10 to 20", F2000&lt;= 40, "20 to 40", F2000 &lt;= 50, "40 to 50", F2000 &gt; 50, "&gt;50" )</f>
        <v>0 to 5</v>
      </c>
    </row>
    <row r="2001" spans="1:15" ht="15" customHeight="1" x14ac:dyDescent="0.3">
      <c r="A2001" t="s">
        <v>351</v>
      </c>
      <c r="B2001" s="1">
        <v>46204</v>
      </c>
      <c r="C2001" t="s">
        <v>16</v>
      </c>
      <c r="D2001">
        <v>1838</v>
      </c>
      <c r="E2001">
        <v>1</v>
      </c>
      <c r="F2001">
        <v>10.199999999999999</v>
      </c>
      <c r="G2001" t="s">
        <v>17</v>
      </c>
      <c r="I2001" t="str">
        <f t="shared" si="33"/>
        <v>1838_1</v>
      </c>
      <c r="J2001" t="s">
        <v>241</v>
      </c>
      <c r="K2001" t="s">
        <v>179</v>
      </c>
      <c r="L2001" t="str">
        <f>_xlfn.XLOOKUP(C2001, Table2[Species],Table2[Genus], "Code Not Found")</f>
        <v>Acer</v>
      </c>
      <c r="M2001" t="str">
        <f>_xlfn.XLOOKUP(C2001, Table2[Species],Table2[Sp. Name], "Code Not Found")</f>
        <v>saccharum</v>
      </c>
      <c r="N2001" t="str">
        <f>_xlfn.XLOOKUP(C2001,Table2[Species],Table2[Family],"Code Not Found")</f>
        <v>Sapindaceae</v>
      </c>
      <c r="O2001" t="str" cm="1">
        <f t="array" ref="O2001">_xlfn.IFS(F2001="","",F2001&lt;=5,"0 to 5",F2001&lt;=10,"5.1 to 10",F2001&lt;=20,"10 to 20", F2001&lt;= 40, "20 to 40", F2001 &lt;= 50, "40 to 50", F2001 &gt; 50, "&gt;50" )</f>
        <v>10 to 20</v>
      </c>
    </row>
    <row r="2002" spans="1:15" ht="15" customHeight="1" x14ac:dyDescent="0.3">
      <c r="A2002" t="s">
        <v>351</v>
      </c>
      <c r="B2002" s="1">
        <v>46204</v>
      </c>
      <c r="C2002" t="s">
        <v>16</v>
      </c>
      <c r="D2002">
        <v>1839</v>
      </c>
      <c r="E2002">
        <v>1</v>
      </c>
      <c r="F2002">
        <v>2.9</v>
      </c>
      <c r="G2002" t="s">
        <v>17</v>
      </c>
      <c r="I2002" t="str">
        <f t="shared" si="33"/>
        <v>1839_1</v>
      </c>
      <c r="J2002" t="s">
        <v>241</v>
      </c>
      <c r="K2002" t="s">
        <v>179</v>
      </c>
      <c r="L2002" t="str">
        <f>_xlfn.XLOOKUP(C2002, Table2[Species],Table2[Genus], "Code Not Found")</f>
        <v>Acer</v>
      </c>
      <c r="M2002" t="str">
        <f>_xlfn.XLOOKUP(C2002, Table2[Species],Table2[Sp. Name], "Code Not Found")</f>
        <v>saccharum</v>
      </c>
      <c r="N2002" t="str">
        <f>_xlfn.XLOOKUP(C2002,Table2[Species],Table2[Family],"Code Not Found")</f>
        <v>Sapindaceae</v>
      </c>
      <c r="O2002" t="str" cm="1">
        <f t="array" ref="O2002">_xlfn.IFS(F2002="","",F2002&lt;=5,"0 to 5",F2002&lt;=10,"5.1 to 10",F2002&lt;=20,"10 to 20", F2002&lt;= 40, "20 to 40", F2002 &lt;= 50, "40 to 50", F2002 &gt; 50, "&gt;50" )</f>
        <v>0 to 5</v>
      </c>
    </row>
    <row r="2003" spans="1:15" ht="15" customHeight="1" x14ac:dyDescent="0.3">
      <c r="A2003" t="s">
        <v>351</v>
      </c>
      <c r="B2003" s="1">
        <v>46204</v>
      </c>
      <c r="C2003" t="s">
        <v>64</v>
      </c>
      <c r="D2003">
        <v>1840</v>
      </c>
      <c r="E2003">
        <v>1</v>
      </c>
      <c r="F2003">
        <v>10.8</v>
      </c>
      <c r="G2003" t="s">
        <v>21</v>
      </c>
      <c r="I2003" t="str">
        <f t="shared" si="33"/>
        <v>1840_1</v>
      </c>
      <c r="J2003" t="s">
        <v>241</v>
      </c>
      <c r="K2003" t="s">
        <v>179</v>
      </c>
      <c r="L2003" t="str">
        <f>_xlfn.XLOOKUP(C2003, Table2[Species],Table2[Genus], "Code Not Found")</f>
        <v>Fagus</v>
      </c>
      <c r="M2003" t="str">
        <f>_xlfn.XLOOKUP(C2003, Table2[Species],Table2[Sp. Name], "Code Not Found")</f>
        <v>grandifolia</v>
      </c>
      <c r="N2003" t="str">
        <f>_xlfn.XLOOKUP(C2003,Table2[Species],Table2[Family],"Code Not Found")</f>
        <v>Fagaceae</v>
      </c>
      <c r="O2003" t="str" cm="1">
        <f t="array" ref="O2003">_xlfn.IFS(F2003="","",F2003&lt;=5,"0 to 5",F2003&lt;=10,"5.1 to 10",F2003&lt;=20,"10 to 20", F2003&lt;= 40, "20 to 40", F2003 &lt;= 50, "40 to 50", F2003 &gt; 50, "&gt;50" )</f>
        <v>10 to 20</v>
      </c>
    </row>
    <row r="2004" spans="1:15" ht="15" customHeight="1" x14ac:dyDescent="0.3">
      <c r="A2004" t="s">
        <v>351</v>
      </c>
      <c r="B2004" s="1">
        <v>46204</v>
      </c>
      <c r="C2004" t="s">
        <v>24</v>
      </c>
      <c r="D2004">
        <v>1841</v>
      </c>
      <c r="E2004">
        <v>1</v>
      </c>
      <c r="F2004">
        <v>4.9000000000000004</v>
      </c>
      <c r="G2004" t="s">
        <v>268</v>
      </c>
      <c r="H2004" t="s">
        <v>425</v>
      </c>
      <c r="I2004" t="str">
        <f t="shared" si="33"/>
        <v>1841_1</v>
      </c>
      <c r="J2004" t="s">
        <v>241</v>
      </c>
      <c r="K2004" t="s">
        <v>179</v>
      </c>
      <c r="L2004" t="str">
        <f>_xlfn.XLOOKUP(C2004, Table2[Species],Table2[Genus], "Code Not Found")</f>
        <v>Lirodendron</v>
      </c>
      <c r="M2004" t="str">
        <f>_xlfn.XLOOKUP(C2004, Table2[Species],Table2[Sp. Name], "Code Not Found")</f>
        <v>tulipfera</v>
      </c>
      <c r="N2004" t="str">
        <f>_xlfn.XLOOKUP(C2004,Table2[Species],Table2[Family],"Code Not Found")</f>
        <v>Magnoliaceae</v>
      </c>
      <c r="O2004" t="str" cm="1">
        <f t="array" ref="O2004">_xlfn.IFS(F2004="","",F2004&lt;=5,"0 to 5",F2004&lt;=10,"5.1 to 10",F2004&lt;=20,"10 to 20", F2004&lt;= 40, "20 to 40", F2004 &lt;= 50, "40 to 50", F2004 &gt; 50, "&gt;50" )</f>
        <v>0 to 5</v>
      </c>
    </row>
    <row r="2005" spans="1:15" ht="15" customHeight="1" x14ac:dyDescent="0.3">
      <c r="A2005" t="s">
        <v>351</v>
      </c>
      <c r="B2005" s="1">
        <v>46204</v>
      </c>
      <c r="C2005" t="s">
        <v>24</v>
      </c>
      <c r="D2005">
        <v>1841</v>
      </c>
      <c r="E2005">
        <v>2</v>
      </c>
      <c r="F2005">
        <v>2</v>
      </c>
      <c r="G2005" t="s">
        <v>268</v>
      </c>
      <c r="H2005" t="s">
        <v>296</v>
      </c>
      <c r="I2005" t="str">
        <f t="shared" si="33"/>
        <v>1841_2</v>
      </c>
      <c r="J2005" t="s">
        <v>241</v>
      </c>
      <c r="K2005" t="s">
        <v>179</v>
      </c>
      <c r="L2005" t="str">
        <f>_xlfn.XLOOKUP(C2005, Table2[Species],Table2[Genus], "Code Not Found")</f>
        <v>Lirodendron</v>
      </c>
      <c r="M2005" t="str">
        <f>_xlfn.XLOOKUP(C2005, Table2[Species],Table2[Sp. Name], "Code Not Found")</f>
        <v>tulipfera</v>
      </c>
      <c r="N2005" t="str">
        <f>_xlfn.XLOOKUP(C2005,Table2[Species],Table2[Family],"Code Not Found")</f>
        <v>Magnoliaceae</v>
      </c>
      <c r="O2005" t="str" cm="1">
        <f t="array" ref="O2005">_xlfn.IFS(F2005="","",F2005&lt;=5,"0 to 5",F2005&lt;=10,"5.1 to 10",F2005&lt;=20,"10 to 20", F2005&lt;= 40, "20 to 40", F2005 &lt;= 50, "40 to 50", F2005 &gt; 50, "&gt;50" )</f>
        <v>0 to 5</v>
      </c>
    </row>
    <row r="2006" spans="1:15" ht="15" customHeight="1" x14ac:dyDescent="0.3">
      <c r="A2006" t="s">
        <v>351</v>
      </c>
      <c r="B2006" s="1">
        <v>46204</v>
      </c>
      <c r="C2006" t="s">
        <v>24</v>
      </c>
      <c r="D2006">
        <v>1842</v>
      </c>
      <c r="E2006">
        <v>1</v>
      </c>
      <c r="F2006">
        <v>78.8</v>
      </c>
      <c r="G2006" t="s">
        <v>21</v>
      </c>
      <c r="I2006" t="str">
        <f t="shared" si="33"/>
        <v>1842_1</v>
      </c>
      <c r="J2006" t="s">
        <v>241</v>
      </c>
      <c r="K2006" t="s">
        <v>179</v>
      </c>
      <c r="L2006" t="str">
        <f>_xlfn.XLOOKUP(C2006, Table2[Species],Table2[Genus], "Code Not Found")</f>
        <v>Lirodendron</v>
      </c>
      <c r="M2006" t="str">
        <f>_xlfn.XLOOKUP(C2006, Table2[Species],Table2[Sp. Name], "Code Not Found")</f>
        <v>tulipfera</v>
      </c>
      <c r="N2006" t="str">
        <f>_xlfn.XLOOKUP(C2006,Table2[Species],Table2[Family],"Code Not Found")</f>
        <v>Magnoliaceae</v>
      </c>
      <c r="O2006" t="str" cm="1">
        <f t="array" ref="O2006">_xlfn.IFS(F2006="","",F2006&lt;=5,"0 to 5",F2006&lt;=10,"5.1 to 10",F2006&lt;=20,"10 to 20", F2006&lt;= 40, "20 to 40", F2006 &lt;= 50, "40 to 50", F2006 &gt; 50, "&gt;50" )</f>
        <v>&gt;50</v>
      </c>
    </row>
    <row r="2007" spans="1:15" ht="15" customHeight="1" x14ac:dyDescent="0.3">
      <c r="A2007" t="s">
        <v>351</v>
      </c>
      <c r="B2007" s="1">
        <v>46204</v>
      </c>
      <c r="C2007" t="s">
        <v>16</v>
      </c>
      <c r="D2007">
        <v>1843</v>
      </c>
      <c r="E2007">
        <v>1</v>
      </c>
      <c r="F2007">
        <v>6.4</v>
      </c>
      <c r="G2007" t="s">
        <v>17</v>
      </c>
      <c r="I2007" t="str">
        <f t="shared" si="33"/>
        <v>1843_1</v>
      </c>
      <c r="J2007" t="s">
        <v>241</v>
      </c>
      <c r="K2007" t="s">
        <v>179</v>
      </c>
      <c r="L2007" t="str">
        <f>_xlfn.XLOOKUP(C2007, Table2[Species],Table2[Genus], "Code Not Found")</f>
        <v>Acer</v>
      </c>
      <c r="M2007" t="str">
        <f>_xlfn.XLOOKUP(C2007, Table2[Species],Table2[Sp. Name], "Code Not Found")</f>
        <v>saccharum</v>
      </c>
      <c r="N2007" t="str">
        <f>_xlfn.XLOOKUP(C2007,Table2[Species],Table2[Family],"Code Not Found")</f>
        <v>Sapindaceae</v>
      </c>
      <c r="O2007" t="str" cm="1">
        <f t="array" ref="O2007">_xlfn.IFS(F2007="","",F2007&lt;=5,"0 to 5",F2007&lt;=10,"5.1 to 10",F2007&lt;=20,"10 to 20", F2007&lt;= 40, "20 to 40", F2007 &lt;= 50, "40 to 50", F2007 &gt; 50, "&gt;50" )</f>
        <v>5.1 to 10</v>
      </c>
    </row>
    <row r="2008" spans="1:15" ht="15" customHeight="1" x14ac:dyDescent="0.3">
      <c r="A2008" t="s">
        <v>351</v>
      </c>
      <c r="B2008" s="1">
        <v>46204</v>
      </c>
      <c r="C2008" t="s">
        <v>64</v>
      </c>
      <c r="D2008">
        <v>1844</v>
      </c>
      <c r="E2008">
        <v>1</v>
      </c>
      <c r="F2008">
        <v>49.7</v>
      </c>
      <c r="G2008" t="s">
        <v>21</v>
      </c>
      <c r="I2008" t="str">
        <f t="shared" si="33"/>
        <v>1844_1</v>
      </c>
      <c r="J2008" t="s">
        <v>241</v>
      </c>
      <c r="K2008" t="s">
        <v>179</v>
      </c>
      <c r="L2008" t="str">
        <f>_xlfn.XLOOKUP(C2008, Table2[Species],Table2[Genus], "Code Not Found")</f>
        <v>Fagus</v>
      </c>
      <c r="M2008" t="str">
        <f>_xlfn.XLOOKUP(C2008, Table2[Species],Table2[Sp. Name], "Code Not Found")</f>
        <v>grandifolia</v>
      </c>
      <c r="N2008" t="str">
        <f>_xlfn.XLOOKUP(C2008,Table2[Species],Table2[Family],"Code Not Found")</f>
        <v>Fagaceae</v>
      </c>
      <c r="O2008" t="str" cm="1">
        <f t="array" ref="O2008">_xlfn.IFS(F2008="","",F2008&lt;=5,"0 to 5",F2008&lt;=10,"5.1 to 10",F2008&lt;=20,"10 to 20", F2008&lt;= 40, "20 to 40", F2008 &lt;= 50, "40 to 50", F2008 &gt; 50, "&gt;50" )</f>
        <v>40 to 50</v>
      </c>
    </row>
    <row r="2009" spans="1:15" ht="15" customHeight="1" x14ac:dyDescent="0.3">
      <c r="A2009" t="s">
        <v>351</v>
      </c>
      <c r="B2009" s="1">
        <v>46204</v>
      </c>
      <c r="C2009" t="s">
        <v>16</v>
      </c>
      <c r="D2009">
        <v>1845</v>
      </c>
      <c r="E2009">
        <v>1</v>
      </c>
      <c r="F2009">
        <v>5.2</v>
      </c>
      <c r="G2009" t="s">
        <v>17</v>
      </c>
      <c r="I2009" t="str">
        <f t="shared" si="33"/>
        <v>1845_1</v>
      </c>
      <c r="J2009" t="s">
        <v>241</v>
      </c>
      <c r="K2009" t="s">
        <v>179</v>
      </c>
      <c r="L2009" t="str">
        <f>_xlfn.XLOOKUP(C2009, Table2[Species],Table2[Genus], "Code Not Found")</f>
        <v>Acer</v>
      </c>
      <c r="M2009" t="str">
        <f>_xlfn.XLOOKUP(C2009, Table2[Species],Table2[Sp. Name], "Code Not Found")</f>
        <v>saccharum</v>
      </c>
      <c r="N2009" t="str">
        <f>_xlfn.XLOOKUP(C2009,Table2[Species],Table2[Family],"Code Not Found")</f>
        <v>Sapindaceae</v>
      </c>
      <c r="O2009" t="str" cm="1">
        <f t="array" ref="O2009">_xlfn.IFS(F2009="","",F2009&lt;=5,"0 to 5",F2009&lt;=10,"5.1 to 10",F2009&lt;=20,"10 to 20", F2009&lt;= 40, "20 to 40", F2009 &lt;= 50, "40 to 50", F2009 &gt; 50, "&gt;50" )</f>
        <v>5.1 to 10</v>
      </c>
    </row>
    <row r="2010" spans="1:15" ht="15" customHeight="1" x14ac:dyDescent="0.3">
      <c r="A2010" t="s">
        <v>351</v>
      </c>
      <c r="B2010" s="1">
        <v>46204</v>
      </c>
      <c r="C2010" t="s">
        <v>64</v>
      </c>
      <c r="D2010">
        <v>1846</v>
      </c>
      <c r="E2010">
        <v>1</v>
      </c>
      <c r="F2010">
        <v>53.8</v>
      </c>
      <c r="G2010" t="s">
        <v>17</v>
      </c>
      <c r="I2010" t="str">
        <f t="shared" si="33"/>
        <v>1846_1</v>
      </c>
      <c r="J2010" t="s">
        <v>241</v>
      </c>
      <c r="K2010" t="s">
        <v>179</v>
      </c>
      <c r="L2010" t="str">
        <f>_xlfn.XLOOKUP(C2010, Table2[Species],Table2[Genus], "Code Not Found")</f>
        <v>Fagus</v>
      </c>
      <c r="M2010" t="str">
        <f>_xlfn.XLOOKUP(C2010, Table2[Species],Table2[Sp. Name], "Code Not Found")</f>
        <v>grandifolia</v>
      </c>
      <c r="N2010" t="str">
        <f>_xlfn.XLOOKUP(C2010,Table2[Species],Table2[Family],"Code Not Found")</f>
        <v>Fagaceae</v>
      </c>
      <c r="O2010" t="str" cm="1">
        <f t="array" ref="O2010">_xlfn.IFS(F2010="","",F2010&lt;=5,"0 to 5",F2010&lt;=10,"5.1 to 10",F2010&lt;=20,"10 to 20", F2010&lt;= 40, "20 to 40", F2010 &lt;= 50, "40 to 50", F2010 &gt; 50, "&gt;50" )</f>
        <v>&gt;50</v>
      </c>
    </row>
    <row r="2011" spans="1:15" ht="15" customHeight="1" x14ac:dyDescent="0.3">
      <c r="A2011" t="s">
        <v>351</v>
      </c>
      <c r="B2011" s="1">
        <v>46204</v>
      </c>
      <c r="C2011" t="s">
        <v>16</v>
      </c>
      <c r="D2011">
        <v>1847</v>
      </c>
      <c r="E2011">
        <v>1</v>
      </c>
      <c r="F2011">
        <v>2.9</v>
      </c>
      <c r="G2011" t="s">
        <v>17</v>
      </c>
      <c r="I2011" t="str">
        <f t="shared" si="33"/>
        <v>1847_1</v>
      </c>
      <c r="J2011" t="s">
        <v>241</v>
      </c>
      <c r="K2011" t="s">
        <v>179</v>
      </c>
      <c r="L2011" t="str">
        <f>_xlfn.XLOOKUP(C2011, Table2[Species],Table2[Genus], "Code Not Found")</f>
        <v>Acer</v>
      </c>
      <c r="M2011" t="str">
        <f>_xlfn.XLOOKUP(C2011, Table2[Species],Table2[Sp. Name], "Code Not Found")</f>
        <v>saccharum</v>
      </c>
      <c r="N2011" t="str">
        <f>_xlfn.XLOOKUP(C2011,Table2[Species],Table2[Family],"Code Not Found")</f>
        <v>Sapindaceae</v>
      </c>
      <c r="O2011" t="str" cm="1">
        <f t="array" ref="O2011">_xlfn.IFS(F2011="","",F2011&lt;=5,"0 to 5",F2011&lt;=10,"5.1 to 10",F2011&lt;=20,"10 to 20", F2011&lt;= 40, "20 to 40", F2011 &lt;= 50, "40 to 50", F2011 &gt; 50, "&gt;50" )</f>
        <v>0 to 5</v>
      </c>
    </row>
    <row r="2012" spans="1:15" ht="15" customHeight="1" x14ac:dyDescent="0.3">
      <c r="A2012" t="s">
        <v>351</v>
      </c>
      <c r="B2012" s="1">
        <v>46204</v>
      </c>
      <c r="C2012" t="s">
        <v>16</v>
      </c>
      <c r="D2012">
        <v>1848</v>
      </c>
      <c r="E2012">
        <v>1</v>
      </c>
      <c r="F2012">
        <v>6.3</v>
      </c>
      <c r="G2012" t="s">
        <v>17</v>
      </c>
      <c r="I2012" t="str">
        <f t="shared" si="33"/>
        <v>1848_1</v>
      </c>
      <c r="J2012" t="s">
        <v>241</v>
      </c>
      <c r="K2012" t="s">
        <v>179</v>
      </c>
      <c r="L2012" t="str">
        <f>_xlfn.XLOOKUP(C2012, Table2[Species],Table2[Genus], "Code Not Found")</f>
        <v>Acer</v>
      </c>
      <c r="M2012" t="str">
        <f>_xlfn.XLOOKUP(C2012, Table2[Species],Table2[Sp. Name], "Code Not Found")</f>
        <v>saccharum</v>
      </c>
      <c r="N2012" t="str">
        <f>_xlfn.XLOOKUP(C2012,Table2[Species],Table2[Family],"Code Not Found")</f>
        <v>Sapindaceae</v>
      </c>
      <c r="O2012" t="str" cm="1">
        <f t="array" ref="O2012">_xlfn.IFS(F2012="","",F2012&lt;=5,"0 to 5",F2012&lt;=10,"5.1 to 10",F2012&lt;=20,"10 to 20", F2012&lt;= 40, "20 to 40", F2012 &lt;= 50, "40 to 50", F2012 &gt; 50, "&gt;50" )</f>
        <v>5.1 to 10</v>
      </c>
    </row>
    <row r="2013" spans="1:15" ht="15" customHeight="1" x14ac:dyDescent="0.3">
      <c r="A2013" t="s">
        <v>351</v>
      </c>
      <c r="B2013" s="1">
        <v>46204</v>
      </c>
      <c r="C2013" t="s">
        <v>16</v>
      </c>
      <c r="D2013">
        <v>1849</v>
      </c>
      <c r="E2013">
        <v>1</v>
      </c>
      <c r="F2013">
        <v>6</v>
      </c>
      <c r="G2013" t="s">
        <v>47</v>
      </c>
      <c r="I2013" t="str">
        <f t="shared" si="33"/>
        <v>1849_1</v>
      </c>
      <c r="J2013" t="s">
        <v>241</v>
      </c>
      <c r="K2013" t="s">
        <v>179</v>
      </c>
      <c r="L2013" t="str">
        <f>_xlfn.XLOOKUP(C2013, Table2[Species],Table2[Genus], "Code Not Found")</f>
        <v>Acer</v>
      </c>
      <c r="M2013" t="str">
        <f>_xlfn.XLOOKUP(C2013, Table2[Species],Table2[Sp. Name], "Code Not Found")</f>
        <v>saccharum</v>
      </c>
      <c r="N2013" t="str">
        <f>_xlfn.XLOOKUP(C2013,Table2[Species],Table2[Family],"Code Not Found")</f>
        <v>Sapindaceae</v>
      </c>
      <c r="O2013" t="str" cm="1">
        <f t="array" ref="O2013">_xlfn.IFS(F2013="","",F2013&lt;=5,"0 to 5",F2013&lt;=10,"5.1 to 10",F2013&lt;=20,"10 to 20", F2013&lt;= 40, "20 to 40", F2013 &lt;= 50, "40 to 50", F2013 &gt; 50, "&gt;50" )</f>
        <v>5.1 to 10</v>
      </c>
    </row>
    <row r="2014" spans="1:15" ht="15" customHeight="1" x14ac:dyDescent="0.3">
      <c r="A2014" t="s">
        <v>351</v>
      </c>
      <c r="B2014" s="1">
        <v>46204</v>
      </c>
      <c r="C2014" t="s">
        <v>16</v>
      </c>
      <c r="D2014">
        <v>1850</v>
      </c>
      <c r="E2014">
        <v>1</v>
      </c>
      <c r="F2014">
        <v>2.4</v>
      </c>
      <c r="G2014" t="s">
        <v>38</v>
      </c>
      <c r="I2014" t="str">
        <f t="shared" si="33"/>
        <v>1850_1</v>
      </c>
      <c r="J2014" t="s">
        <v>241</v>
      </c>
      <c r="K2014" t="s">
        <v>179</v>
      </c>
      <c r="L2014" t="str">
        <f>_xlfn.XLOOKUP(C2014, Table2[Species],Table2[Genus], "Code Not Found")</f>
        <v>Acer</v>
      </c>
      <c r="M2014" t="str">
        <f>_xlfn.XLOOKUP(C2014, Table2[Species],Table2[Sp. Name], "Code Not Found")</f>
        <v>saccharum</v>
      </c>
      <c r="N2014" t="str">
        <f>_xlfn.XLOOKUP(C2014,Table2[Species],Table2[Family],"Code Not Found")</f>
        <v>Sapindaceae</v>
      </c>
      <c r="O2014" t="str" cm="1">
        <f t="array" ref="O2014">_xlfn.IFS(F2014="","",F2014&lt;=5,"0 to 5",F2014&lt;=10,"5.1 to 10",F2014&lt;=20,"10 to 20", F2014&lt;= 40, "20 to 40", F2014 &lt;= 50, "40 to 50", F2014 &gt; 50, "&gt;50" )</f>
        <v>0 to 5</v>
      </c>
    </row>
    <row r="2015" spans="1:15" ht="15" customHeight="1" x14ac:dyDescent="0.3">
      <c r="A2015" t="s">
        <v>351</v>
      </c>
      <c r="B2015" s="1">
        <v>46204</v>
      </c>
      <c r="C2015" t="s">
        <v>16</v>
      </c>
      <c r="D2015">
        <v>1851</v>
      </c>
      <c r="E2015">
        <v>1</v>
      </c>
      <c r="F2015">
        <v>14.2</v>
      </c>
      <c r="G2015" t="s">
        <v>17</v>
      </c>
      <c r="I2015" t="str">
        <f t="shared" si="33"/>
        <v>1851_1</v>
      </c>
      <c r="J2015" t="s">
        <v>241</v>
      </c>
      <c r="K2015" t="s">
        <v>179</v>
      </c>
      <c r="L2015" t="str">
        <f>_xlfn.XLOOKUP(C2015, Table2[Species],Table2[Genus], "Code Not Found")</f>
        <v>Acer</v>
      </c>
      <c r="M2015" t="str">
        <f>_xlfn.XLOOKUP(C2015, Table2[Species],Table2[Sp. Name], "Code Not Found")</f>
        <v>saccharum</v>
      </c>
      <c r="N2015" t="str">
        <f>_xlfn.XLOOKUP(C2015,Table2[Species],Table2[Family],"Code Not Found")</f>
        <v>Sapindaceae</v>
      </c>
      <c r="O2015" t="str" cm="1">
        <f t="array" ref="O2015">_xlfn.IFS(F2015="","",F2015&lt;=5,"0 to 5",F2015&lt;=10,"5.1 to 10",F2015&lt;=20,"10 to 20", F2015&lt;= 40, "20 to 40", F2015 &lt;= 50, "40 to 50", F2015 &gt; 50, "&gt;50" )</f>
        <v>10 to 20</v>
      </c>
    </row>
    <row r="2016" spans="1:15" ht="15" customHeight="1" x14ac:dyDescent="0.3">
      <c r="A2016" t="s">
        <v>351</v>
      </c>
      <c r="B2016" s="1">
        <v>46204</v>
      </c>
      <c r="C2016" t="s">
        <v>16</v>
      </c>
      <c r="D2016">
        <v>1852</v>
      </c>
      <c r="E2016">
        <v>1</v>
      </c>
      <c r="F2016">
        <v>1.8</v>
      </c>
      <c r="G2016" t="s">
        <v>47</v>
      </c>
      <c r="I2016" t="str">
        <f t="shared" si="33"/>
        <v>1852_1</v>
      </c>
      <c r="J2016" t="s">
        <v>241</v>
      </c>
      <c r="K2016" t="s">
        <v>179</v>
      </c>
      <c r="L2016" t="str">
        <f>_xlfn.XLOOKUP(C2016, Table2[Species],Table2[Genus], "Code Not Found")</f>
        <v>Acer</v>
      </c>
      <c r="M2016" t="str">
        <f>_xlfn.XLOOKUP(C2016, Table2[Species],Table2[Sp. Name], "Code Not Found")</f>
        <v>saccharum</v>
      </c>
      <c r="N2016" t="str">
        <f>_xlfn.XLOOKUP(C2016,Table2[Species],Table2[Family],"Code Not Found")</f>
        <v>Sapindaceae</v>
      </c>
      <c r="O2016" t="str" cm="1">
        <f t="array" ref="O2016">_xlfn.IFS(F2016="","",F2016&lt;=5,"0 to 5",F2016&lt;=10,"5.1 to 10",F2016&lt;=20,"10 to 20", F2016&lt;= 40, "20 to 40", F2016 &lt;= 50, "40 to 50", F2016 &gt; 50, "&gt;50" )</f>
        <v>0 to 5</v>
      </c>
    </row>
    <row r="2017" spans="1:15" ht="15" customHeight="1" x14ac:dyDescent="0.3">
      <c r="A2017" t="s">
        <v>351</v>
      </c>
      <c r="B2017" s="1">
        <v>46204</v>
      </c>
      <c r="C2017" t="s">
        <v>16</v>
      </c>
      <c r="D2017">
        <v>1853</v>
      </c>
      <c r="E2017">
        <v>1</v>
      </c>
      <c r="F2017">
        <v>2.4</v>
      </c>
      <c r="G2017" t="s">
        <v>17</v>
      </c>
      <c r="I2017" t="str">
        <f t="shared" si="33"/>
        <v>1853_1</v>
      </c>
      <c r="J2017" t="s">
        <v>241</v>
      </c>
      <c r="K2017" t="s">
        <v>179</v>
      </c>
      <c r="L2017" t="str">
        <f>_xlfn.XLOOKUP(C2017, Table2[Species],Table2[Genus], "Code Not Found")</f>
        <v>Acer</v>
      </c>
      <c r="M2017" t="str">
        <f>_xlfn.XLOOKUP(C2017, Table2[Species],Table2[Sp. Name], "Code Not Found")</f>
        <v>saccharum</v>
      </c>
      <c r="N2017" t="str">
        <f>_xlfn.XLOOKUP(C2017,Table2[Species],Table2[Family],"Code Not Found")</f>
        <v>Sapindaceae</v>
      </c>
      <c r="O2017" t="str" cm="1">
        <f t="array" ref="O2017">_xlfn.IFS(F2017="","",F2017&lt;=5,"0 to 5",F2017&lt;=10,"5.1 to 10",F2017&lt;=20,"10 to 20", F2017&lt;= 40, "20 to 40", F2017 &lt;= 50, "40 to 50", F2017 &gt; 50, "&gt;50" )</f>
        <v>0 to 5</v>
      </c>
    </row>
    <row r="2018" spans="1:15" ht="15" customHeight="1" x14ac:dyDescent="0.3">
      <c r="A2018" t="s">
        <v>351</v>
      </c>
      <c r="B2018" s="1">
        <v>46204</v>
      </c>
      <c r="C2018" t="s">
        <v>16</v>
      </c>
      <c r="D2018">
        <v>1854</v>
      </c>
      <c r="E2018">
        <v>1</v>
      </c>
      <c r="F2018">
        <v>42.1</v>
      </c>
      <c r="G2018" t="s">
        <v>51</v>
      </c>
      <c r="H2018" t="s">
        <v>426</v>
      </c>
      <c r="I2018" t="str">
        <f t="shared" si="33"/>
        <v>1854_1</v>
      </c>
      <c r="J2018" t="s">
        <v>241</v>
      </c>
      <c r="K2018" t="s">
        <v>179</v>
      </c>
      <c r="L2018" t="str">
        <f>_xlfn.XLOOKUP(C2018, Table2[Species],Table2[Genus], "Code Not Found")</f>
        <v>Acer</v>
      </c>
      <c r="M2018" t="str">
        <f>_xlfn.XLOOKUP(C2018, Table2[Species],Table2[Sp. Name], "Code Not Found")</f>
        <v>saccharum</v>
      </c>
      <c r="N2018" t="str">
        <f>_xlfn.XLOOKUP(C2018,Table2[Species],Table2[Family],"Code Not Found")</f>
        <v>Sapindaceae</v>
      </c>
      <c r="O2018" t="str" cm="1">
        <f t="array" ref="O2018">_xlfn.IFS(F2018="","",F2018&lt;=5,"0 to 5",F2018&lt;=10,"5.1 to 10",F2018&lt;=20,"10 to 20", F2018&lt;= 40, "20 to 40", F2018 &lt;= 50, "40 to 50", F2018 &gt; 50, "&gt;50" )</f>
        <v>40 to 50</v>
      </c>
    </row>
    <row r="2019" spans="1:15" ht="15" customHeight="1" x14ac:dyDescent="0.3">
      <c r="A2019" t="s">
        <v>427</v>
      </c>
      <c r="B2019" s="1">
        <v>46210</v>
      </c>
      <c r="C2019" t="s">
        <v>55</v>
      </c>
      <c r="D2019">
        <v>1855</v>
      </c>
      <c r="E2019">
        <v>1</v>
      </c>
      <c r="F2019">
        <v>10.4</v>
      </c>
      <c r="G2019" t="s">
        <v>17</v>
      </c>
      <c r="I2019" t="str">
        <f t="shared" ref="I2019:I2082" si="34">D2019&amp;"_"&amp;E2019</f>
        <v>1855_1</v>
      </c>
      <c r="J2019" t="s">
        <v>428</v>
      </c>
      <c r="K2019" t="s">
        <v>429</v>
      </c>
      <c r="L2019" t="str">
        <f>_xlfn.XLOOKUP(C2019, Table2[Species],Table2[Genus], "Code Not Found")</f>
        <v>Magnolia</v>
      </c>
      <c r="M2019" t="str">
        <f>_xlfn.XLOOKUP(C2019, Table2[Species],Table2[Sp. Name], "Code Not Found")</f>
        <v>acuminata</v>
      </c>
      <c r="N2019" t="str">
        <f>_xlfn.XLOOKUP(C2019,Table2[Species],Table2[Family],"Code Not Found")</f>
        <v>Magnoliaceae</v>
      </c>
      <c r="O2019" t="str" cm="1">
        <f t="array" ref="O2019">_xlfn.IFS(F2019="","",F2019&lt;=5,"0 to 5",F2019&lt;=10,"5.1 to 10",F2019&lt;=20,"10 to 20", F2019&lt;= 40, "20 to 40", F2019 &lt;= 50, "40 to 50", F2019 &gt; 50, "&gt;50" )</f>
        <v>10 to 20</v>
      </c>
    </row>
    <row r="2020" spans="1:15" ht="15" customHeight="1" x14ac:dyDescent="0.3">
      <c r="A2020" t="s">
        <v>427</v>
      </c>
      <c r="B2020" s="1">
        <v>46210</v>
      </c>
      <c r="C2020" t="s">
        <v>430</v>
      </c>
      <c r="D2020">
        <v>1856</v>
      </c>
      <c r="E2020">
        <v>1</v>
      </c>
      <c r="F2020">
        <v>47.9</v>
      </c>
      <c r="G2020" t="s">
        <v>21</v>
      </c>
      <c r="I2020" t="str">
        <f t="shared" si="34"/>
        <v>1856_1</v>
      </c>
      <c r="J2020" t="s">
        <v>428</v>
      </c>
      <c r="K2020" t="s">
        <v>429</v>
      </c>
      <c r="L2020" t="str">
        <f>_xlfn.XLOOKUP(C2020, Table2[Species],Table2[Genus], "Code Not Found")</f>
        <v>Tsuga</v>
      </c>
      <c r="M2020" t="str">
        <f>_xlfn.XLOOKUP(C2020, Table2[Species],Table2[Sp. Name], "Code Not Found")</f>
        <v>canadensis</v>
      </c>
      <c r="N2020" t="str">
        <f>_xlfn.XLOOKUP(C2020,Table2[Species],Table2[Family],"Code Not Found")</f>
        <v>Pinaceae</v>
      </c>
      <c r="O2020" t="str" cm="1">
        <f t="array" ref="O2020">_xlfn.IFS(F2020="","",F2020&lt;=5,"0 to 5",F2020&lt;=10,"5.1 to 10",F2020&lt;=20,"10 to 20", F2020&lt;= 40, "20 to 40", F2020 &lt;= 50, "40 to 50", F2020 &gt; 50, "&gt;50" )</f>
        <v>40 to 50</v>
      </c>
    </row>
    <row r="2021" spans="1:15" ht="15" customHeight="1" x14ac:dyDescent="0.3">
      <c r="A2021" t="s">
        <v>427</v>
      </c>
      <c r="B2021" s="1">
        <v>46210</v>
      </c>
      <c r="C2021" t="s">
        <v>64</v>
      </c>
      <c r="D2021">
        <v>1857</v>
      </c>
      <c r="E2021">
        <v>1</v>
      </c>
      <c r="F2021">
        <v>7.3</v>
      </c>
      <c r="G2021" t="s">
        <v>21</v>
      </c>
      <c r="I2021" t="str">
        <f t="shared" si="34"/>
        <v>1857_1</v>
      </c>
      <c r="J2021" t="s">
        <v>428</v>
      </c>
      <c r="K2021" t="s">
        <v>429</v>
      </c>
      <c r="L2021" t="str">
        <f>_xlfn.XLOOKUP(C2021, Table2[Species],Table2[Genus], "Code Not Found")</f>
        <v>Fagus</v>
      </c>
      <c r="M2021" t="str">
        <f>_xlfn.XLOOKUP(C2021, Table2[Species],Table2[Sp. Name], "Code Not Found")</f>
        <v>grandifolia</v>
      </c>
      <c r="N2021" t="str">
        <f>_xlfn.XLOOKUP(C2021,Table2[Species],Table2[Family],"Code Not Found")</f>
        <v>Fagaceae</v>
      </c>
      <c r="O2021" t="str" cm="1">
        <f t="array" ref="O2021">_xlfn.IFS(F2021="","",F2021&lt;=5,"0 to 5",F2021&lt;=10,"5.1 to 10",F2021&lt;=20,"10 to 20", F2021&lt;= 40, "20 to 40", F2021 &lt;= 50, "40 to 50", F2021 &gt; 50, "&gt;50" )</f>
        <v>5.1 to 10</v>
      </c>
    </row>
    <row r="2022" spans="1:15" ht="15" customHeight="1" x14ac:dyDescent="0.3">
      <c r="A2022" t="s">
        <v>427</v>
      </c>
      <c r="B2022" s="1">
        <v>46210</v>
      </c>
      <c r="C2022" t="s">
        <v>430</v>
      </c>
      <c r="D2022">
        <v>1858</v>
      </c>
      <c r="E2022">
        <v>1</v>
      </c>
      <c r="F2022">
        <v>51.8</v>
      </c>
      <c r="G2022" t="s">
        <v>56</v>
      </c>
      <c r="H2022" t="s">
        <v>346</v>
      </c>
      <c r="I2022" t="str">
        <f t="shared" si="34"/>
        <v>1858_1</v>
      </c>
      <c r="J2022" t="s">
        <v>428</v>
      </c>
      <c r="K2022" t="s">
        <v>429</v>
      </c>
      <c r="L2022" t="str">
        <f>_xlfn.XLOOKUP(C2022, Table2[Species],Table2[Genus], "Code Not Found")</f>
        <v>Tsuga</v>
      </c>
      <c r="M2022" t="str">
        <f>_xlfn.XLOOKUP(C2022, Table2[Species],Table2[Sp. Name], "Code Not Found")</f>
        <v>canadensis</v>
      </c>
      <c r="N2022" t="str">
        <f>_xlfn.XLOOKUP(C2022,Table2[Species],Table2[Family],"Code Not Found")</f>
        <v>Pinaceae</v>
      </c>
      <c r="O2022" t="str" cm="1">
        <f t="array" ref="O2022">_xlfn.IFS(F2022="","",F2022&lt;=5,"0 to 5",F2022&lt;=10,"5.1 to 10",F2022&lt;=20,"10 to 20", F2022&lt;= 40, "20 to 40", F2022 &lt;= 50, "40 to 50", F2022 &gt; 50, "&gt;50" )</f>
        <v>&gt;50</v>
      </c>
    </row>
    <row r="2023" spans="1:15" ht="15" customHeight="1" x14ac:dyDescent="0.3">
      <c r="A2023" t="s">
        <v>427</v>
      </c>
      <c r="B2023" s="1">
        <v>46210</v>
      </c>
      <c r="C2023" t="s">
        <v>430</v>
      </c>
      <c r="D2023">
        <v>1859</v>
      </c>
      <c r="E2023">
        <v>1</v>
      </c>
      <c r="F2023">
        <v>4.5</v>
      </c>
      <c r="G2023" t="s">
        <v>88</v>
      </c>
      <c r="H2023" t="s">
        <v>431</v>
      </c>
      <c r="I2023" t="str">
        <f t="shared" si="34"/>
        <v>1859_1</v>
      </c>
      <c r="J2023" t="s">
        <v>428</v>
      </c>
      <c r="K2023" t="s">
        <v>429</v>
      </c>
      <c r="L2023" t="str">
        <f>_xlfn.XLOOKUP(C2023, Table2[Species],Table2[Genus], "Code Not Found")</f>
        <v>Tsuga</v>
      </c>
      <c r="M2023" t="str">
        <f>_xlfn.XLOOKUP(C2023, Table2[Species],Table2[Sp. Name], "Code Not Found")</f>
        <v>canadensis</v>
      </c>
      <c r="N2023" t="str">
        <f>_xlfn.XLOOKUP(C2023,Table2[Species],Table2[Family],"Code Not Found")</f>
        <v>Pinaceae</v>
      </c>
      <c r="O2023" t="str" cm="1">
        <f t="array" ref="O2023">_xlfn.IFS(F2023="","",F2023&lt;=5,"0 to 5",F2023&lt;=10,"5.1 to 10",F2023&lt;=20,"10 to 20", F2023&lt;= 40, "20 to 40", F2023 &lt;= 50, "40 to 50", F2023 &gt; 50, "&gt;50" )</f>
        <v>0 to 5</v>
      </c>
    </row>
    <row r="2024" spans="1:15" ht="15" customHeight="1" x14ac:dyDescent="0.3">
      <c r="A2024" t="s">
        <v>427</v>
      </c>
      <c r="B2024" s="1">
        <v>46210</v>
      </c>
      <c r="C2024" t="s">
        <v>430</v>
      </c>
      <c r="D2024">
        <v>1860</v>
      </c>
      <c r="E2024">
        <v>1</v>
      </c>
      <c r="F2024">
        <v>2.5</v>
      </c>
      <c r="G2024" t="s">
        <v>17</v>
      </c>
      <c r="H2024" t="s">
        <v>332</v>
      </c>
      <c r="I2024" t="str">
        <f t="shared" si="34"/>
        <v>1860_1</v>
      </c>
      <c r="J2024" t="s">
        <v>428</v>
      </c>
      <c r="K2024" t="s">
        <v>429</v>
      </c>
      <c r="L2024" t="str">
        <f>_xlfn.XLOOKUP(C2024, Table2[Species],Table2[Genus], "Code Not Found")</f>
        <v>Tsuga</v>
      </c>
      <c r="M2024" t="str">
        <f>_xlfn.XLOOKUP(C2024, Table2[Species],Table2[Sp. Name], "Code Not Found")</f>
        <v>canadensis</v>
      </c>
      <c r="N2024" t="str">
        <f>_xlfn.XLOOKUP(C2024,Table2[Species],Table2[Family],"Code Not Found")</f>
        <v>Pinaceae</v>
      </c>
      <c r="O2024" t="str" cm="1">
        <f t="array" ref="O2024">_xlfn.IFS(F2024="","",F2024&lt;=5,"0 to 5",F2024&lt;=10,"5.1 to 10",F2024&lt;=20,"10 to 20", F2024&lt;= 40, "20 to 40", F2024 &lt;= 50, "40 to 50", F2024 &gt; 50, "&gt;50" )</f>
        <v>0 to 5</v>
      </c>
    </row>
    <row r="2025" spans="1:15" ht="15" customHeight="1" x14ac:dyDescent="0.3">
      <c r="A2025" t="s">
        <v>427</v>
      </c>
      <c r="B2025" s="1">
        <v>46210</v>
      </c>
      <c r="C2025" t="s">
        <v>430</v>
      </c>
      <c r="D2025">
        <v>1861</v>
      </c>
      <c r="E2025">
        <v>1</v>
      </c>
      <c r="F2025">
        <v>5.9</v>
      </c>
      <c r="G2025" t="s">
        <v>88</v>
      </c>
      <c r="H2025" t="s">
        <v>432</v>
      </c>
      <c r="I2025" t="str">
        <f t="shared" si="34"/>
        <v>1861_1</v>
      </c>
      <c r="J2025" t="s">
        <v>428</v>
      </c>
      <c r="K2025" t="s">
        <v>429</v>
      </c>
      <c r="L2025" t="str">
        <f>_xlfn.XLOOKUP(C2025, Table2[Species],Table2[Genus], "Code Not Found")</f>
        <v>Tsuga</v>
      </c>
      <c r="M2025" t="str">
        <f>_xlfn.XLOOKUP(C2025, Table2[Species],Table2[Sp. Name], "Code Not Found")</f>
        <v>canadensis</v>
      </c>
      <c r="N2025" t="str">
        <f>_xlfn.XLOOKUP(C2025,Table2[Species],Table2[Family],"Code Not Found")</f>
        <v>Pinaceae</v>
      </c>
      <c r="O2025" t="str" cm="1">
        <f t="array" ref="O2025">_xlfn.IFS(F2025="","",F2025&lt;=5,"0 to 5",F2025&lt;=10,"5.1 to 10",F2025&lt;=20,"10 to 20", F2025&lt;= 40, "20 to 40", F2025 &lt;= 50, "40 to 50", F2025 &gt; 50, "&gt;50" )</f>
        <v>5.1 to 10</v>
      </c>
    </row>
    <row r="2026" spans="1:15" ht="15" customHeight="1" x14ac:dyDescent="0.3">
      <c r="A2026" t="s">
        <v>427</v>
      </c>
      <c r="B2026" s="1">
        <v>46210</v>
      </c>
      <c r="C2026" t="s">
        <v>430</v>
      </c>
      <c r="D2026">
        <v>1862</v>
      </c>
      <c r="E2026">
        <v>1</v>
      </c>
      <c r="F2026">
        <v>13.5</v>
      </c>
      <c r="G2026" t="s">
        <v>17</v>
      </c>
      <c r="I2026" t="str">
        <f t="shared" si="34"/>
        <v>1862_1</v>
      </c>
      <c r="J2026" t="s">
        <v>428</v>
      </c>
      <c r="K2026" t="s">
        <v>429</v>
      </c>
      <c r="L2026" t="str">
        <f>_xlfn.XLOOKUP(C2026, Table2[Species],Table2[Genus], "Code Not Found")</f>
        <v>Tsuga</v>
      </c>
      <c r="M2026" t="str">
        <f>_xlfn.XLOOKUP(C2026, Table2[Species],Table2[Sp. Name], "Code Not Found")</f>
        <v>canadensis</v>
      </c>
      <c r="N2026" t="str">
        <f>_xlfn.XLOOKUP(C2026,Table2[Species],Table2[Family],"Code Not Found")</f>
        <v>Pinaceae</v>
      </c>
      <c r="O2026" t="str" cm="1">
        <f t="array" ref="O2026">_xlfn.IFS(F2026="","",F2026&lt;=5,"0 to 5",F2026&lt;=10,"5.1 to 10",F2026&lt;=20,"10 to 20", F2026&lt;= 40, "20 to 40", F2026 &lt;= 50, "40 to 50", F2026 &gt; 50, "&gt;50" )</f>
        <v>10 to 20</v>
      </c>
    </row>
    <row r="2027" spans="1:15" ht="15" customHeight="1" x14ac:dyDescent="0.3">
      <c r="A2027" t="s">
        <v>427</v>
      </c>
      <c r="B2027" s="1">
        <v>46210</v>
      </c>
      <c r="C2027" t="s">
        <v>64</v>
      </c>
      <c r="D2027">
        <v>1863</v>
      </c>
      <c r="E2027">
        <v>1</v>
      </c>
      <c r="F2027">
        <v>5.5</v>
      </c>
      <c r="G2027" t="s">
        <v>30</v>
      </c>
      <c r="H2027" t="s">
        <v>433</v>
      </c>
      <c r="I2027" t="str">
        <f t="shared" si="34"/>
        <v>1863_1</v>
      </c>
      <c r="J2027" t="s">
        <v>428</v>
      </c>
      <c r="K2027" t="s">
        <v>429</v>
      </c>
      <c r="L2027" t="str">
        <f>_xlfn.XLOOKUP(C2027, Table2[Species],Table2[Genus], "Code Not Found")</f>
        <v>Fagus</v>
      </c>
      <c r="M2027" t="str">
        <f>_xlfn.XLOOKUP(C2027, Table2[Species],Table2[Sp. Name], "Code Not Found")</f>
        <v>grandifolia</v>
      </c>
      <c r="N2027" t="str">
        <f>_xlfn.XLOOKUP(C2027,Table2[Species],Table2[Family],"Code Not Found")</f>
        <v>Fagaceae</v>
      </c>
      <c r="O2027" t="str" cm="1">
        <f t="array" ref="O2027">_xlfn.IFS(F2027="","",F2027&lt;=5,"0 to 5",F2027&lt;=10,"5.1 to 10",F2027&lt;=20,"10 to 20", F2027&lt;= 40, "20 to 40", F2027 &lt;= 50, "40 to 50", F2027 &gt; 50, "&gt;50" )</f>
        <v>5.1 to 10</v>
      </c>
    </row>
    <row r="2028" spans="1:15" ht="15" customHeight="1" x14ac:dyDescent="0.3">
      <c r="A2028" t="s">
        <v>427</v>
      </c>
      <c r="B2028" s="1">
        <v>46210</v>
      </c>
      <c r="C2028" t="s">
        <v>24</v>
      </c>
      <c r="D2028">
        <v>1864</v>
      </c>
      <c r="E2028">
        <v>1</v>
      </c>
      <c r="F2028">
        <v>94</v>
      </c>
      <c r="G2028" t="s">
        <v>21</v>
      </c>
      <c r="H2028" t="s">
        <v>434</v>
      </c>
      <c r="I2028" t="str">
        <f t="shared" si="34"/>
        <v>1864_1</v>
      </c>
      <c r="J2028" t="s">
        <v>428</v>
      </c>
      <c r="K2028" t="s">
        <v>429</v>
      </c>
      <c r="L2028" t="str">
        <f>_xlfn.XLOOKUP(C2028, Table2[Species],Table2[Genus], "Code Not Found")</f>
        <v>Lirodendron</v>
      </c>
      <c r="M2028" t="str">
        <f>_xlfn.XLOOKUP(C2028, Table2[Species],Table2[Sp. Name], "Code Not Found")</f>
        <v>tulipfera</v>
      </c>
      <c r="N2028" t="str">
        <f>_xlfn.XLOOKUP(C2028,Table2[Species],Table2[Family],"Code Not Found")</f>
        <v>Magnoliaceae</v>
      </c>
      <c r="O2028" t="str" cm="1">
        <f t="array" ref="O2028">_xlfn.IFS(F2028="","",F2028&lt;=5,"0 to 5",F2028&lt;=10,"5.1 to 10",F2028&lt;=20,"10 to 20", F2028&lt;= 40, "20 to 40", F2028 &lt;= 50, "40 to 50", F2028 &gt; 50, "&gt;50" )</f>
        <v>&gt;50</v>
      </c>
    </row>
    <row r="2029" spans="1:15" ht="15" customHeight="1" x14ac:dyDescent="0.3">
      <c r="A2029" t="s">
        <v>427</v>
      </c>
      <c r="B2029" s="1">
        <v>46210</v>
      </c>
      <c r="C2029" t="s">
        <v>59</v>
      </c>
      <c r="D2029">
        <v>1865</v>
      </c>
      <c r="E2029">
        <v>1</v>
      </c>
      <c r="F2029">
        <v>4.3</v>
      </c>
      <c r="G2029" t="s">
        <v>47</v>
      </c>
      <c r="H2029" t="s">
        <v>296</v>
      </c>
      <c r="I2029" t="str">
        <f t="shared" si="34"/>
        <v>1865_1</v>
      </c>
      <c r="J2029" t="s">
        <v>428</v>
      </c>
      <c r="K2029" t="s">
        <v>429</v>
      </c>
      <c r="L2029" t="str">
        <f>_xlfn.XLOOKUP(C2029, Table2[Species],Table2[Genus], "Code Not Found")</f>
        <v>Nyssa</v>
      </c>
      <c r="M2029" t="str">
        <f>_xlfn.XLOOKUP(C2029, Table2[Species],Table2[Sp. Name], "Code Not Found")</f>
        <v>sylvatica</v>
      </c>
      <c r="N2029" t="str">
        <f>_xlfn.XLOOKUP(C2029,Table2[Species],Table2[Family],"Code Not Found")</f>
        <v>Nyssaceae</v>
      </c>
      <c r="O2029" t="str" cm="1">
        <f t="array" ref="O2029">_xlfn.IFS(F2029="","",F2029&lt;=5,"0 to 5",F2029&lt;=10,"5.1 to 10",F2029&lt;=20,"10 to 20", F2029&lt;= 40, "20 to 40", F2029 &lt;= 50, "40 to 50", F2029 &gt; 50, "&gt;50" )</f>
        <v>0 to 5</v>
      </c>
    </row>
    <row r="2030" spans="1:15" ht="15" customHeight="1" x14ac:dyDescent="0.3">
      <c r="A2030" t="s">
        <v>427</v>
      </c>
      <c r="B2030" s="1">
        <v>46210</v>
      </c>
      <c r="C2030" t="s">
        <v>64</v>
      </c>
      <c r="D2030">
        <v>1866</v>
      </c>
      <c r="E2030">
        <v>1</v>
      </c>
      <c r="F2030">
        <v>4.2</v>
      </c>
      <c r="G2030" t="s">
        <v>17</v>
      </c>
      <c r="H2030" t="s">
        <v>36</v>
      </c>
      <c r="I2030" t="str">
        <f t="shared" si="34"/>
        <v>1866_1</v>
      </c>
      <c r="J2030" t="s">
        <v>428</v>
      </c>
      <c r="K2030" t="s">
        <v>429</v>
      </c>
      <c r="L2030" t="str">
        <f>_xlfn.XLOOKUP(C2030, Table2[Species],Table2[Genus], "Code Not Found")</f>
        <v>Fagus</v>
      </c>
      <c r="M2030" t="str">
        <f>_xlfn.XLOOKUP(C2030, Table2[Species],Table2[Sp. Name], "Code Not Found")</f>
        <v>grandifolia</v>
      </c>
      <c r="N2030" t="str">
        <f>_xlfn.XLOOKUP(C2030,Table2[Species],Table2[Family],"Code Not Found")</f>
        <v>Fagaceae</v>
      </c>
      <c r="O2030" t="str" cm="1">
        <f t="array" ref="O2030">_xlfn.IFS(F2030="","",F2030&lt;=5,"0 to 5",F2030&lt;=10,"5.1 to 10",F2030&lt;=20,"10 to 20", F2030&lt;= 40, "20 to 40", F2030 &lt;= 50, "40 to 50", F2030 &gt; 50, "&gt;50" )</f>
        <v>0 to 5</v>
      </c>
    </row>
    <row r="2031" spans="1:15" ht="15" customHeight="1" x14ac:dyDescent="0.3">
      <c r="A2031" t="s">
        <v>427</v>
      </c>
      <c r="B2031" s="1">
        <v>46210</v>
      </c>
      <c r="C2031" t="s">
        <v>430</v>
      </c>
      <c r="D2031">
        <v>1867</v>
      </c>
      <c r="E2031">
        <v>1</v>
      </c>
      <c r="F2031">
        <v>57.4</v>
      </c>
      <c r="G2031" t="s">
        <v>17</v>
      </c>
      <c r="H2031" t="s">
        <v>36</v>
      </c>
      <c r="I2031" t="str">
        <f t="shared" si="34"/>
        <v>1867_1</v>
      </c>
      <c r="J2031" t="s">
        <v>428</v>
      </c>
      <c r="K2031" t="s">
        <v>429</v>
      </c>
      <c r="L2031" t="str">
        <f>_xlfn.XLOOKUP(C2031, Table2[Species],Table2[Genus], "Code Not Found")</f>
        <v>Tsuga</v>
      </c>
      <c r="M2031" t="str">
        <f>_xlfn.XLOOKUP(C2031, Table2[Species],Table2[Sp. Name], "Code Not Found")</f>
        <v>canadensis</v>
      </c>
      <c r="N2031" t="str">
        <f>_xlfn.XLOOKUP(C2031,Table2[Species],Table2[Family],"Code Not Found")</f>
        <v>Pinaceae</v>
      </c>
      <c r="O2031" t="str" cm="1">
        <f t="array" ref="O2031">_xlfn.IFS(F2031="","",F2031&lt;=5,"0 to 5",F2031&lt;=10,"5.1 to 10",F2031&lt;=20,"10 to 20", F2031&lt;= 40, "20 to 40", F2031 &lt;= 50, "40 to 50", F2031 &gt; 50, "&gt;50" )</f>
        <v>&gt;50</v>
      </c>
    </row>
    <row r="2032" spans="1:15" ht="15" customHeight="1" x14ac:dyDescent="0.3">
      <c r="A2032" t="s">
        <v>427</v>
      </c>
      <c r="B2032" s="1">
        <v>46210</v>
      </c>
      <c r="C2032" t="s">
        <v>64</v>
      </c>
      <c r="D2032">
        <v>1868</v>
      </c>
      <c r="E2032">
        <v>1</v>
      </c>
      <c r="F2032">
        <v>6.5</v>
      </c>
      <c r="G2032" t="s">
        <v>30</v>
      </c>
      <c r="H2032" t="s">
        <v>262</v>
      </c>
      <c r="I2032" t="str">
        <f t="shared" si="34"/>
        <v>1868_1</v>
      </c>
      <c r="J2032" t="s">
        <v>428</v>
      </c>
      <c r="K2032" t="s">
        <v>429</v>
      </c>
      <c r="L2032" t="str">
        <f>_xlfn.XLOOKUP(C2032, Table2[Species],Table2[Genus], "Code Not Found")</f>
        <v>Fagus</v>
      </c>
      <c r="M2032" t="str">
        <f>_xlfn.XLOOKUP(C2032, Table2[Species],Table2[Sp. Name], "Code Not Found")</f>
        <v>grandifolia</v>
      </c>
      <c r="N2032" t="str">
        <f>_xlfn.XLOOKUP(C2032,Table2[Species],Table2[Family],"Code Not Found")</f>
        <v>Fagaceae</v>
      </c>
      <c r="O2032" t="str" cm="1">
        <f t="array" ref="O2032">_xlfn.IFS(F2032="","",F2032&lt;=5,"0 to 5",F2032&lt;=10,"5.1 to 10",F2032&lt;=20,"10 to 20", F2032&lt;= 40, "20 to 40", F2032 &lt;= 50, "40 to 50", F2032 &gt; 50, "&gt;50" )</f>
        <v>5.1 to 10</v>
      </c>
    </row>
    <row r="2033" spans="1:15" ht="15" customHeight="1" x14ac:dyDescent="0.3">
      <c r="A2033" t="s">
        <v>427</v>
      </c>
      <c r="B2033" s="1">
        <v>46210</v>
      </c>
      <c r="C2033" t="s">
        <v>64</v>
      </c>
      <c r="D2033">
        <v>1869</v>
      </c>
      <c r="E2033">
        <v>1</v>
      </c>
      <c r="F2033">
        <v>4.0999999999999996</v>
      </c>
      <c r="G2033" t="s">
        <v>21</v>
      </c>
      <c r="I2033" t="str">
        <f t="shared" si="34"/>
        <v>1869_1</v>
      </c>
      <c r="J2033" t="s">
        <v>428</v>
      </c>
      <c r="K2033" t="s">
        <v>429</v>
      </c>
      <c r="L2033" t="str">
        <f>_xlfn.XLOOKUP(C2033, Table2[Species],Table2[Genus], "Code Not Found")</f>
        <v>Fagus</v>
      </c>
      <c r="M2033" t="str">
        <f>_xlfn.XLOOKUP(C2033, Table2[Species],Table2[Sp. Name], "Code Not Found")</f>
        <v>grandifolia</v>
      </c>
      <c r="N2033" t="str">
        <f>_xlfn.XLOOKUP(C2033,Table2[Species],Table2[Family],"Code Not Found")</f>
        <v>Fagaceae</v>
      </c>
      <c r="O2033" t="str" cm="1">
        <f t="array" ref="O2033">_xlfn.IFS(F2033="","",F2033&lt;=5,"0 to 5",F2033&lt;=10,"5.1 to 10",F2033&lt;=20,"10 to 20", F2033&lt;= 40, "20 to 40", F2033 &lt;= 50, "40 to 50", F2033 &gt; 50, "&gt;50" )</f>
        <v>0 to 5</v>
      </c>
    </row>
    <row r="2034" spans="1:15" ht="15" customHeight="1" x14ac:dyDescent="0.3">
      <c r="A2034" t="s">
        <v>427</v>
      </c>
      <c r="B2034" s="1">
        <v>46210</v>
      </c>
      <c r="C2034" t="s">
        <v>64</v>
      </c>
      <c r="D2034">
        <v>1870</v>
      </c>
      <c r="E2034">
        <v>1</v>
      </c>
      <c r="F2034">
        <v>3.6</v>
      </c>
      <c r="G2034" t="s">
        <v>21</v>
      </c>
      <c r="I2034" t="str">
        <f t="shared" si="34"/>
        <v>1870_1</v>
      </c>
      <c r="J2034" t="s">
        <v>428</v>
      </c>
      <c r="K2034" t="s">
        <v>429</v>
      </c>
      <c r="L2034" t="str">
        <f>_xlfn.XLOOKUP(C2034, Table2[Species],Table2[Genus], "Code Not Found")</f>
        <v>Fagus</v>
      </c>
      <c r="M2034" t="str">
        <f>_xlfn.XLOOKUP(C2034, Table2[Species],Table2[Sp. Name], "Code Not Found")</f>
        <v>grandifolia</v>
      </c>
      <c r="N2034" t="str">
        <f>_xlfn.XLOOKUP(C2034,Table2[Species],Table2[Family],"Code Not Found")</f>
        <v>Fagaceae</v>
      </c>
      <c r="O2034" t="str" cm="1">
        <f t="array" ref="O2034">_xlfn.IFS(F2034="","",F2034&lt;=5,"0 to 5",F2034&lt;=10,"5.1 to 10",F2034&lt;=20,"10 to 20", F2034&lt;= 40, "20 to 40", F2034 &lt;= 50, "40 to 50", F2034 &gt; 50, "&gt;50" )</f>
        <v>0 to 5</v>
      </c>
    </row>
    <row r="2035" spans="1:15" ht="15" customHeight="1" x14ac:dyDescent="0.3">
      <c r="A2035" t="s">
        <v>427</v>
      </c>
      <c r="B2035" s="1">
        <v>46210</v>
      </c>
      <c r="C2035" t="s">
        <v>64</v>
      </c>
      <c r="D2035">
        <v>1871</v>
      </c>
      <c r="E2035">
        <v>1</v>
      </c>
      <c r="F2035">
        <v>5.2</v>
      </c>
      <c r="G2035" t="s">
        <v>17</v>
      </c>
      <c r="H2035" t="s">
        <v>36</v>
      </c>
      <c r="I2035" t="str">
        <f t="shared" si="34"/>
        <v>1871_1</v>
      </c>
      <c r="J2035" t="s">
        <v>428</v>
      </c>
      <c r="K2035" t="s">
        <v>429</v>
      </c>
      <c r="L2035" t="str">
        <f>_xlfn.XLOOKUP(C2035, Table2[Species],Table2[Genus], "Code Not Found")</f>
        <v>Fagus</v>
      </c>
      <c r="M2035" t="str">
        <f>_xlfn.XLOOKUP(C2035, Table2[Species],Table2[Sp. Name], "Code Not Found")</f>
        <v>grandifolia</v>
      </c>
      <c r="N2035" t="str">
        <f>_xlfn.XLOOKUP(C2035,Table2[Species],Table2[Family],"Code Not Found")</f>
        <v>Fagaceae</v>
      </c>
      <c r="O2035" t="str" cm="1">
        <f t="array" ref="O2035">_xlfn.IFS(F2035="","",F2035&lt;=5,"0 to 5",F2035&lt;=10,"5.1 to 10",F2035&lt;=20,"10 to 20", F2035&lt;= 40, "20 to 40", F2035 &lt;= 50, "40 to 50", F2035 &gt; 50, "&gt;50" )</f>
        <v>5.1 to 10</v>
      </c>
    </row>
    <row r="2036" spans="1:15" ht="15" customHeight="1" x14ac:dyDescent="0.3">
      <c r="A2036" t="s">
        <v>427</v>
      </c>
      <c r="B2036" s="1">
        <v>46210</v>
      </c>
      <c r="C2036" t="s">
        <v>430</v>
      </c>
      <c r="D2036">
        <v>1872</v>
      </c>
      <c r="E2036">
        <v>1</v>
      </c>
      <c r="F2036">
        <v>11.7</v>
      </c>
      <c r="G2036" t="s">
        <v>17</v>
      </c>
      <c r="H2036" t="s">
        <v>435</v>
      </c>
      <c r="I2036" t="str">
        <f t="shared" si="34"/>
        <v>1872_1</v>
      </c>
      <c r="J2036" t="s">
        <v>428</v>
      </c>
      <c r="K2036" t="s">
        <v>429</v>
      </c>
      <c r="L2036" t="str">
        <f>_xlfn.XLOOKUP(C2036, Table2[Species],Table2[Genus], "Code Not Found")</f>
        <v>Tsuga</v>
      </c>
      <c r="M2036" t="str">
        <f>_xlfn.XLOOKUP(C2036, Table2[Species],Table2[Sp. Name], "Code Not Found")</f>
        <v>canadensis</v>
      </c>
      <c r="N2036" t="str">
        <f>_xlfn.XLOOKUP(C2036,Table2[Species],Table2[Family],"Code Not Found")</f>
        <v>Pinaceae</v>
      </c>
      <c r="O2036" t="str" cm="1">
        <f t="array" ref="O2036">_xlfn.IFS(F2036="","",F2036&lt;=5,"0 to 5",F2036&lt;=10,"5.1 to 10",F2036&lt;=20,"10 to 20", F2036&lt;= 40, "20 to 40", F2036 &lt;= 50, "40 to 50", F2036 &gt; 50, "&gt;50" )</f>
        <v>10 to 20</v>
      </c>
    </row>
    <row r="2037" spans="1:15" ht="15" customHeight="1" x14ac:dyDescent="0.3">
      <c r="A2037" t="s">
        <v>427</v>
      </c>
      <c r="B2037" s="1">
        <v>46210</v>
      </c>
      <c r="C2037" t="s">
        <v>64</v>
      </c>
      <c r="D2037">
        <v>1873</v>
      </c>
      <c r="E2037">
        <v>1</v>
      </c>
      <c r="F2037">
        <v>57.3</v>
      </c>
      <c r="G2037" t="s">
        <v>32</v>
      </c>
      <c r="I2037" t="str">
        <f t="shared" si="34"/>
        <v>1873_1</v>
      </c>
      <c r="J2037" t="s">
        <v>428</v>
      </c>
      <c r="K2037" t="s">
        <v>429</v>
      </c>
      <c r="L2037" t="str">
        <f>_xlfn.XLOOKUP(C2037, Table2[Species],Table2[Genus], "Code Not Found")</f>
        <v>Fagus</v>
      </c>
      <c r="M2037" t="str">
        <f>_xlfn.XLOOKUP(C2037, Table2[Species],Table2[Sp. Name], "Code Not Found")</f>
        <v>grandifolia</v>
      </c>
      <c r="N2037" t="str">
        <f>_xlfn.XLOOKUP(C2037,Table2[Species],Table2[Family],"Code Not Found")</f>
        <v>Fagaceae</v>
      </c>
      <c r="O2037" t="str" cm="1">
        <f t="array" ref="O2037">_xlfn.IFS(F2037="","",F2037&lt;=5,"0 to 5",F2037&lt;=10,"5.1 to 10",F2037&lt;=20,"10 to 20", F2037&lt;= 40, "20 to 40", F2037 &lt;= 50, "40 to 50", F2037 &gt; 50, "&gt;50" )</f>
        <v>&gt;50</v>
      </c>
    </row>
    <row r="2038" spans="1:15" ht="15" customHeight="1" x14ac:dyDescent="0.3">
      <c r="A2038" t="s">
        <v>427</v>
      </c>
      <c r="B2038" s="1">
        <v>46210</v>
      </c>
      <c r="C2038" t="s">
        <v>64</v>
      </c>
      <c r="D2038">
        <v>1873</v>
      </c>
      <c r="E2038">
        <v>2</v>
      </c>
      <c r="F2038">
        <v>4.4000000000000004</v>
      </c>
      <c r="G2038" t="s">
        <v>32</v>
      </c>
      <c r="I2038" t="str">
        <f t="shared" si="34"/>
        <v>1873_2</v>
      </c>
      <c r="J2038" t="s">
        <v>428</v>
      </c>
      <c r="K2038" t="s">
        <v>429</v>
      </c>
      <c r="L2038" t="str">
        <f>_xlfn.XLOOKUP(C2038, Table2[Species],Table2[Genus], "Code Not Found")</f>
        <v>Fagus</v>
      </c>
      <c r="M2038" t="str">
        <f>_xlfn.XLOOKUP(C2038, Table2[Species],Table2[Sp. Name], "Code Not Found")</f>
        <v>grandifolia</v>
      </c>
      <c r="N2038" t="str">
        <f>_xlfn.XLOOKUP(C2038,Table2[Species],Table2[Family],"Code Not Found")</f>
        <v>Fagaceae</v>
      </c>
      <c r="O2038" t="str" cm="1">
        <f t="array" ref="O2038">_xlfn.IFS(F2038="","",F2038&lt;=5,"0 to 5",F2038&lt;=10,"5.1 to 10",F2038&lt;=20,"10 to 20", F2038&lt;= 40, "20 to 40", F2038 &lt;= 50, "40 to 50", F2038 &gt; 50, "&gt;50" )</f>
        <v>0 to 5</v>
      </c>
    </row>
    <row r="2039" spans="1:15" ht="15" customHeight="1" x14ac:dyDescent="0.3">
      <c r="A2039" t="s">
        <v>427</v>
      </c>
      <c r="B2039" s="1">
        <v>46210</v>
      </c>
      <c r="C2039" t="s">
        <v>64</v>
      </c>
      <c r="D2039">
        <v>1873</v>
      </c>
      <c r="E2039">
        <v>3</v>
      </c>
      <c r="F2039">
        <v>3</v>
      </c>
      <c r="G2039" t="s">
        <v>61</v>
      </c>
      <c r="H2039" t="s">
        <v>436</v>
      </c>
      <c r="I2039" t="str">
        <f t="shared" si="34"/>
        <v>1873_3</v>
      </c>
      <c r="J2039" t="s">
        <v>428</v>
      </c>
      <c r="K2039" t="s">
        <v>429</v>
      </c>
      <c r="L2039" t="str">
        <f>_xlfn.XLOOKUP(C2039, Table2[Species],Table2[Genus], "Code Not Found")</f>
        <v>Fagus</v>
      </c>
      <c r="M2039" t="str">
        <f>_xlfn.XLOOKUP(C2039, Table2[Species],Table2[Sp. Name], "Code Not Found")</f>
        <v>grandifolia</v>
      </c>
      <c r="N2039" t="str">
        <f>_xlfn.XLOOKUP(C2039,Table2[Species],Table2[Family],"Code Not Found")</f>
        <v>Fagaceae</v>
      </c>
      <c r="O2039" t="str" cm="1">
        <f t="array" ref="O2039">_xlfn.IFS(F2039="","",F2039&lt;=5,"0 to 5",F2039&lt;=10,"5.1 to 10",F2039&lt;=20,"10 to 20", F2039&lt;= 40, "20 to 40", F2039 &lt;= 50, "40 to 50", F2039 &gt; 50, "&gt;50" )</f>
        <v>0 to 5</v>
      </c>
    </row>
    <row r="2040" spans="1:15" ht="15" customHeight="1" x14ac:dyDescent="0.3">
      <c r="A2040" t="s">
        <v>427</v>
      </c>
      <c r="B2040" s="1">
        <v>46210</v>
      </c>
      <c r="C2040" t="s">
        <v>430</v>
      </c>
      <c r="D2040">
        <v>1874</v>
      </c>
      <c r="E2040">
        <v>1</v>
      </c>
      <c r="F2040">
        <v>39</v>
      </c>
      <c r="G2040" t="s">
        <v>17</v>
      </c>
      <c r="I2040" t="str">
        <f t="shared" si="34"/>
        <v>1874_1</v>
      </c>
      <c r="J2040" t="s">
        <v>428</v>
      </c>
      <c r="K2040" t="s">
        <v>429</v>
      </c>
      <c r="L2040" t="str">
        <f>_xlfn.XLOOKUP(C2040, Table2[Species],Table2[Genus], "Code Not Found")</f>
        <v>Tsuga</v>
      </c>
      <c r="M2040" t="str">
        <f>_xlfn.XLOOKUP(C2040, Table2[Species],Table2[Sp. Name], "Code Not Found")</f>
        <v>canadensis</v>
      </c>
      <c r="N2040" t="str">
        <f>_xlfn.XLOOKUP(C2040,Table2[Species],Table2[Family],"Code Not Found")</f>
        <v>Pinaceae</v>
      </c>
      <c r="O2040" t="str" cm="1">
        <f t="array" ref="O2040">_xlfn.IFS(F2040="","",F2040&lt;=5,"0 to 5",F2040&lt;=10,"5.1 to 10",F2040&lt;=20,"10 to 20", F2040&lt;= 40, "20 to 40", F2040 &lt;= 50, "40 to 50", F2040 &gt; 50, "&gt;50" )</f>
        <v>20 to 40</v>
      </c>
    </row>
    <row r="2041" spans="1:15" ht="15" customHeight="1" x14ac:dyDescent="0.3">
      <c r="A2041" t="s">
        <v>427</v>
      </c>
      <c r="B2041" s="1">
        <v>46210</v>
      </c>
      <c r="C2041" t="s">
        <v>64</v>
      </c>
      <c r="D2041">
        <v>1875</v>
      </c>
      <c r="E2041">
        <v>1</v>
      </c>
      <c r="F2041">
        <v>1.7</v>
      </c>
      <c r="G2041" t="s">
        <v>138</v>
      </c>
      <c r="I2041" t="str">
        <f t="shared" si="34"/>
        <v>1875_1</v>
      </c>
      <c r="J2041" t="s">
        <v>428</v>
      </c>
      <c r="K2041" t="s">
        <v>429</v>
      </c>
      <c r="L2041" t="str">
        <f>_xlfn.XLOOKUP(C2041, Table2[Species],Table2[Genus], "Code Not Found")</f>
        <v>Fagus</v>
      </c>
      <c r="M2041" t="str">
        <f>_xlfn.XLOOKUP(C2041, Table2[Species],Table2[Sp. Name], "Code Not Found")</f>
        <v>grandifolia</v>
      </c>
      <c r="N2041" t="str">
        <f>_xlfn.XLOOKUP(C2041,Table2[Species],Table2[Family],"Code Not Found")</f>
        <v>Fagaceae</v>
      </c>
      <c r="O2041" t="str" cm="1">
        <f t="array" ref="O2041">_xlfn.IFS(F2041="","",F2041&lt;=5,"0 to 5",F2041&lt;=10,"5.1 to 10",F2041&lt;=20,"10 to 20", F2041&lt;= 40, "20 to 40", F2041 &lt;= 50, "40 to 50", F2041 &gt; 50, "&gt;50" )</f>
        <v>0 to 5</v>
      </c>
    </row>
    <row r="2042" spans="1:15" ht="15" customHeight="1" x14ac:dyDescent="0.3">
      <c r="A2042" t="s">
        <v>427</v>
      </c>
      <c r="B2042" s="1">
        <v>46210</v>
      </c>
      <c r="C2042" t="s">
        <v>55</v>
      </c>
      <c r="D2042">
        <v>1876</v>
      </c>
      <c r="E2042">
        <v>1</v>
      </c>
      <c r="F2042">
        <v>27.2</v>
      </c>
      <c r="G2042" t="s">
        <v>88</v>
      </c>
      <c r="H2042" t="s">
        <v>437</v>
      </c>
      <c r="I2042" t="str">
        <f t="shared" si="34"/>
        <v>1876_1</v>
      </c>
      <c r="J2042" t="s">
        <v>428</v>
      </c>
      <c r="K2042" t="s">
        <v>429</v>
      </c>
      <c r="L2042" t="str">
        <f>_xlfn.XLOOKUP(C2042, Table2[Species],Table2[Genus], "Code Not Found")</f>
        <v>Magnolia</v>
      </c>
      <c r="M2042" t="str">
        <f>_xlfn.XLOOKUP(C2042, Table2[Species],Table2[Sp. Name], "Code Not Found")</f>
        <v>acuminata</v>
      </c>
      <c r="N2042" t="str">
        <f>_xlfn.XLOOKUP(C2042,Table2[Species],Table2[Family],"Code Not Found")</f>
        <v>Magnoliaceae</v>
      </c>
      <c r="O2042" t="str" cm="1">
        <f t="array" ref="O2042">_xlfn.IFS(F2042="","",F2042&lt;=5,"0 to 5",F2042&lt;=10,"5.1 to 10",F2042&lt;=20,"10 to 20", F2042&lt;= 40, "20 to 40", F2042 &lt;= 50, "40 to 50", F2042 &gt; 50, "&gt;50" )</f>
        <v>20 to 40</v>
      </c>
    </row>
    <row r="2043" spans="1:15" ht="15" customHeight="1" x14ac:dyDescent="0.3">
      <c r="A2043" t="s">
        <v>427</v>
      </c>
      <c r="B2043" s="1">
        <v>46210</v>
      </c>
      <c r="C2043" t="s">
        <v>430</v>
      </c>
      <c r="D2043">
        <v>1877</v>
      </c>
      <c r="E2043">
        <v>1</v>
      </c>
      <c r="F2043">
        <v>21.4</v>
      </c>
      <c r="G2043" t="s">
        <v>104</v>
      </c>
      <c r="H2043" t="s">
        <v>438</v>
      </c>
      <c r="I2043" t="str">
        <f t="shared" si="34"/>
        <v>1877_1</v>
      </c>
      <c r="J2043" t="s">
        <v>428</v>
      </c>
      <c r="K2043" t="s">
        <v>429</v>
      </c>
      <c r="L2043" t="str">
        <f>_xlfn.XLOOKUP(C2043, Table2[Species],Table2[Genus], "Code Not Found")</f>
        <v>Tsuga</v>
      </c>
      <c r="M2043" t="str">
        <f>_xlfn.XLOOKUP(C2043, Table2[Species],Table2[Sp. Name], "Code Not Found")</f>
        <v>canadensis</v>
      </c>
      <c r="N2043" t="str">
        <f>_xlfn.XLOOKUP(C2043,Table2[Species],Table2[Family],"Code Not Found")</f>
        <v>Pinaceae</v>
      </c>
      <c r="O2043" t="str" cm="1">
        <f t="array" ref="O2043">_xlfn.IFS(F2043="","",F2043&lt;=5,"0 to 5",F2043&lt;=10,"5.1 to 10",F2043&lt;=20,"10 to 20", F2043&lt;= 40, "20 to 40", F2043 &lt;= 50, "40 to 50", F2043 &gt; 50, "&gt;50" )</f>
        <v>20 to 40</v>
      </c>
    </row>
    <row r="2044" spans="1:15" ht="15" customHeight="1" x14ac:dyDescent="0.3">
      <c r="A2044" t="s">
        <v>427</v>
      </c>
      <c r="B2044" s="1">
        <v>46210</v>
      </c>
      <c r="C2044" t="s">
        <v>430</v>
      </c>
      <c r="D2044">
        <v>1878</v>
      </c>
      <c r="E2044">
        <v>1</v>
      </c>
      <c r="F2044">
        <v>13.3</v>
      </c>
      <c r="G2044" t="s">
        <v>88</v>
      </c>
      <c r="H2044" t="s">
        <v>439</v>
      </c>
      <c r="I2044" t="str">
        <f t="shared" si="34"/>
        <v>1878_1</v>
      </c>
      <c r="J2044" t="s">
        <v>428</v>
      </c>
      <c r="K2044" t="s">
        <v>429</v>
      </c>
      <c r="L2044" t="str">
        <f>_xlfn.XLOOKUP(C2044, Table2[Species],Table2[Genus], "Code Not Found")</f>
        <v>Tsuga</v>
      </c>
      <c r="M2044" t="str">
        <f>_xlfn.XLOOKUP(C2044, Table2[Species],Table2[Sp. Name], "Code Not Found")</f>
        <v>canadensis</v>
      </c>
      <c r="N2044" t="str">
        <f>_xlfn.XLOOKUP(C2044,Table2[Species],Table2[Family],"Code Not Found")</f>
        <v>Pinaceae</v>
      </c>
      <c r="O2044" t="str" cm="1">
        <f t="array" ref="O2044">_xlfn.IFS(F2044="","",F2044&lt;=5,"0 to 5",F2044&lt;=10,"5.1 to 10",F2044&lt;=20,"10 to 20", F2044&lt;= 40, "20 to 40", F2044 &lt;= 50, "40 to 50", F2044 &gt; 50, "&gt;50" )</f>
        <v>10 to 20</v>
      </c>
    </row>
    <row r="2045" spans="1:15" ht="15" customHeight="1" x14ac:dyDescent="0.3">
      <c r="A2045" t="s">
        <v>427</v>
      </c>
      <c r="B2045" s="1">
        <v>46210</v>
      </c>
      <c r="C2045" t="s">
        <v>430</v>
      </c>
      <c r="D2045">
        <v>1879</v>
      </c>
      <c r="E2045">
        <v>1</v>
      </c>
      <c r="F2045">
        <v>16.3</v>
      </c>
      <c r="G2045" t="s">
        <v>47</v>
      </c>
      <c r="H2045" t="s">
        <v>440</v>
      </c>
      <c r="I2045" t="str">
        <f t="shared" si="34"/>
        <v>1879_1</v>
      </c>
      <c r="J2045" t="s">
        <v>428</v>
      </c>
      <c r="K2045" t="s">
        <v>429</v>
      </c>
      <c r="L2045" t="str">
        <f>_xlfn.XLOOKUP(C2045, Table2[Species],Table2[Genus], "Code Not Found")</f>
        <v>Tsuga</v>
      </c>
      <c r="M2045" t="str">
        <f>_xlfn.XLOOKUP(C2045, Table2[Species],Table2[Sp. Name], "Code Not Found")</f>
        <v>canadensis</v>
      </c>
      <c r="N2045" t="str">
        <f>_xlfn.XLOOKUP(C2045,Table2[Species],Table2[Family],"Code Not Found")</f>
        <v>Pinaceae</v>
      </c>
      <c r="O2045" t="str" cm="1">
        <f t="array" ref="O2045">_xlfn.IFS(F2045="","",F2045&lt;=5,"0 to 5",F2045&lt;=10,"5.1 to 10",F2045&lt;=20,"10 to 20", F2045&lt;= 40, "20 to 40", F2045 &lt;= 50, "40 to 50", F2045 &gt; 50, "&gt;50" )</f>
        <v>10 to 20</v>
      </c>
    </row>
    <row r="2046" spans="1:15" ht="15" customHeight="1" x14ac:dyDescent="0.3">
      <c r="A2046" t="s">
        <v>427</v>
      </c>
      <c r="B2046" s="1">
        <v>46210</v>
      </c>
      <c r="C2046" t="s">
        <v>430</v>
      </c>
      <c r="D2046">
        <v>1880</v>
      </c>
      <c r="E2046">
        <v>1</v>
      </c>
      <c r="F2046">
        <v>22.5</v>
      </c>
      <c r="G2046" t="s">
        <v>21</v>
      </c>
      <c r="I2046" t="str">
        <f t="shared" si="34"/>
        <v>1880_1</v>
      </c>
      <c r="J2046" t="s">
        <v>428</v>
      </c>
      <c r="K2046" t="s">
        <v>429</v>
      </c>
      <c r="L2046" t="str">
        <f>_xlfn.XLOOKUP(C2046, Table2[Species],Table2[Genus], "Code Not Found")</f>
        <v>Tsuga</v>
      </c>
      <c r="M2046" t="str">
        <f>_xlfn.XLOOKUP(C2046, Table2[Species],Table2[Sp. Name], "Code Not Found")</f>
        <v>canadensis</v>
      </c>
      <c r="N2046" t="str">
        <f>_xlfn.XLOOKUP(C2046,Table2[Species],Table2[Family],"Code Not Found")</f>
        <v>Pinaceae</v>
      </c>
      <c r="O2046" t="str" cm="1">
        <f t="array" ref="O2046">_xlfn.IFS(F2046="","",F2046&lt;=5,"0 to 5",F2046&lt;=10,"5.1 to 10",F2046&lt;=20,"10 to 20", F2046&lt;= 40, "20 to 40", F2046 &lt;= 50, "40 to 50", F2046 &gt; 50, "&gt;50" )</f>
        <v>20 to 40</v>
      </c>
    </row>
    <row r="2047" spans="1:15" ht="15" customHeight="1" x14ac:dyDescent="0.3">
      <c r="A2047" t="s">
        <v>427</v>
      </c>
      <c r="B2047" s="1">
        <v>46210</v>
      </c>
      <c r="C2047" t="s">
        <v>24</v>
      </c>
      <c r="D2047">
        <v>1881</v>
      </c>
      <c r="E2047">
        <v>1</v>
      </c>
      <c r="F2047">
        <v>20.399999999999999</v>
      </c>
      <c r="G2047" t="s">
        <v>17</v>
      </c>
      <c r="I2047" t="str">
        <f t="shared" si="34"/>
        <v>1881_1</v>
      </c>
      <c r="J2047" t="s">
        <v>428</v>
      </c>
      <c r="K2047" t="s">
        <v>429</v>
      </c>
      <c r="L2047" t="str">
        <f>_xlfn.XLOOKUP(C2047, Table2[Species],Table2[Genus], "Code Not Found")</f>
        <v>Lirodendron</v>
      </c>
      <c r="M2047" t="str">
        <f>_xlfn.XLOOKUP(C2047, Table2[Species],Table2[Sp. Name], "Code Not Found")</f>
        <v>tulipfera</v>
      </c>
      <c r="N2047" t="str">
        <f>_xlfn.XLOOKUP(C2047,Table2[Species],Table2[Family],"Code Not Found")</f>
        <v>Magnoliaceae</v>
      </c>
      <c r="O2047" t="str" cm="1">
        <f t="array" ref="O2047">_xlfn.IFS(F2047="","",F2047&lt;=5,"0 to 5",F2047&lt;=10,"5.1 to 10",F2047&lt;=20,"10 to 20", F2047&lt;= 40, "20 to 40", F2047 &lt;= 50, "40 to 50", F2047 &gt; 50, "&gt;50" )</f>
        <v>20 to 40</v>
      </c>
    </row>
    <row r="2048" spans="1:15" ht="15" customHeight="1" x14ac:dyDescent="0.3">
      <c r="A2048" t="s">
        <v>427</v>
      </c>
      <c r="B2048" s="1">
        <v>46210</v>
      </c>
      <c r="C2048" t="s">
        <v>22</v>
      </c>
      <c r="D2048">
        <v>1882</v>
      </c>
      <c r="E2048">
        <v>1</v>
      </c>
      <c r="F2048">
        <v>6.7</v>
      </c>
      <c r="G2048" t="s">
        <v>139</v>
      </c>
      <c r="H2048" t="s">
        <v>441</v>
      </c>
      <c r="I2048" t="str">
        <f t="shared" si="34"/>
        <v>1882_1</v>
      </c>
      <c r="J2048" t="s">
        <v>428</v>
      </c>
      <c r="K2048" t="s">
        <v>429</v>
      </c>
      <c r="L2048" t="str">
        <f>_xlfn.XLOOKUP(C2048, Table2[Species],Table2[Genus], "Code Not Found")</f>
        <v>Acer</v>
      </c>
      <c r="M2048" t="str">
        <f>_xlfn.XLOOKUP(C2048, Table2[Species],Table2[Sp. Name], "Code Not Found")</f>
        <v>rubrum</v>
      </c>
      <c r="N2048" t="str">
        <f>_xlfn.XLOOKUP(C2048,Table2[Species],Table2[Family],"Code Not Found")</f>
        <v>Sapindaceae</v>
      </c>
      <c r="O2048" t="str" cm="1">
        <f t="array" ref="O2048">_xlfn.IFS(F2048="","",F2048&lt;=5,"0 to 5",F2048&lt;=10,"5.1 to 10",F2048&lt;=20,"10 to 20", F2048&lt;= 40, "20 to 40", F2048 &lt;= 50, "40 to 50", F2048 &gt; 50, "&gt;50" )</f>
        <v>5.1 to 10</v>
      </c>
    </row>
    <row r="2049" spans="1:15" ht="15" customHeight="1" x14ac:dyDescent="0.3">
      <c r="A2049" t="s">
        <v>427</v>
      </c>
      <c r="B2049" s="1">
        <v>46210</v>
      </c>
      <c r="C2049" t="s">
        <v>22</v>
      </c>
      <c r="D2049">
        <v>1883</v>
      </c>
      <c r="E2049">
        <v>1</v>
      </c>
      <c r="F2049">
        <v>5.6</v>
      </c>
      <c r="G2049" t="s">
        <v>280</v>
      </c>
      <c r="H2049" t="s">
        <v>442</v>
      </c>
      <c r="I2049" t="str">
        <f t="shared" si="34"/>
        <v>1883_1</v>
      </c>
      <c r="J2049" t="s">
        <v>428</v>
      </c>
      <c r="K2049" t="s">
        <v>429</v>
      </c>
      <c r="L2049" t="str">
        <f>_xlfn.XLOOKUP(C2049, Table2[Species],Table2[Genus], "Code Not Found")</f>
        <v>Acer</v>
      </c>
      <c r="M2049" t="str">
        <f>_xlfn.XLOOKUP(C2049, Table2[Species],Table2[Sp. Name], "Code Not Found")</f>
        <v>rubrum</v>
      </c>
      <c r="N2049" t="str">
        <f>_xlfn.XLOOKUP(C2049,Table2[Species],Table2[Family],"Code Not Found")</f>
        <v>Sapindaceae</v>
      </c>
      <c r="O2049" t="str" cm="1">
        <f t="array" ref="O2049">_xlfn.IFS(F2049="","",F2049&lt;=5,"0 to 5",F2049&lt;=10,"5.1 to 10",F2049&lt;=20,"10 to 20", F2049&lt;= 40, "20 to 40", F2049 &lt;= 50, "40 to 50", F2049 &gt; 50, "&gt;50" )</f>
        <v>5.1 to 10</v>
      </c>
    </row>
    <row r="2050" spans="1:15" ht="15" customHeight="1" x14ac:dyDescent="0.3">
      <c r="A2050" t="s">
        <v>427</v>
      </c>
      <c r="B2050" s="1">
        <v>46210</v>
      </c>
      <c r="C2050" t="s">
        <v>16</v>
      </c>
      <c r="D2050">
        <v>1884</v>
      </c>
      <c r="E2050">
        <v>1</v>
      </c>
      <c r="F2050">
        <v>2.6</v>
      </c>
      <c r="G2050" t="s">
        <v>211</v>
      </c>
      <c r="I2050" t="str">
        <f t="shared" si="34"/>
        <v>1884_1</v>
      </c>
      <c r="J2050" t="s">
        <v>428</v>
      </c>
      <c r="K2050" t="s">
        <v>429</v>
      </c>
      <c r="L2050" t="str">
        <f>_xlfn.XLOOKUP(C2050, Table2[Species],Table2[Genus], "Code Not Found")</f>
        <v>Acer</v>
      </c>
      <c r="M2050" t="str">
        <f>_xlfn.XLOOKUP(C2050, Table2[Species],Table2[Sp. Name], "Code Not Found")</f>
        <v>saccharum</v>
      </c>
      <c r="N2050" t="str">
        <f>_xlfn.XLOOKUP(C2050,Table2[Species],Table2[Family],"Code Not Found")</f>
        <v>Sapindaceae</v>
      </c>
      <c r="O2050" t="str" cm="1">
        <f t="array" ref="O2050">_xlfn.IFS(F2050="","",F2050&lt;=5,"0 to 5",F2050&lt;=10,"5.1 to 10",F2050&lt;=20,"10 to 20", F2050&lt;= 40, "20 to 40", F2050 &lt;= 50, "40 to 50", F2050 &gt; 50, "&gt;50" )</f>
        <v>0 to 5</v>
      </c>
    </row>
    <row r="2051" spans="1:15" ht="15" customHeight="1" x14ac:dyDescent="0.3">
      <c r="A2051" t="s">
        <v>427</v>
      </c>
      <c r="B2051" s="1">
        <v>46210</v>
      </c>
      <c r="C2051" t="s">
        <v>22</v>
      </c>
      <c r="D2051">
        <v>1885</v>
      </c>
      <c r="E2051">
        <v>1</v>
      </c>
      <c r="F2051">
        <v>35.1</v>
      </c>
      <c r="G2051" t="s">
        <v>237</v>
      </c>
      <c r="H2051" t="s">
        <v>443</v>
      </c>
      <c r="I2051" t="str">
        <f t="shared" si="34"/>
        <v>1885_1</v>
      </c>
      <c r="J2051" t="s">
        <v>428</v>
      </c>
      <c r="K2051" t="s">
        <v>429</v>
      </c>
      <c r="L2051" t="str">
        <f>_xlfn.XLOOKUP(C2051, Table2[Species],Table2[Genus], "Code Not Found")</f>
        <v>Acer</v>
      </c>
      <c r="M2051" t="str">
        <f>_xlfn.XLOOKUP(C2051, Table2[Species],Table2[Sp. Name], "Code Not Found")</f>
        <v>rubrum</v>
      </c>
      <c r="N2051" t="str">
        <f>_xlfn.XLOOKUP(C2051,Table2[Species],Table2[Family],"Code Not Found")</f>
        <v>Sapindaceae</v>
      </c>
      <c r="O2051" t="str" cm="1">
        <f t="array" ref="O2051">_xlfn.IFS(F2051="","",F2051&lt;=5,"0 to 5",F2051&lt;=10,"5.1 to 10",F2051&lt;=20,"10 to 20", F2051&lt;= 40, "20 to 40", F2051 &lt;= 50, "40 to 50", F2051 &gt; 50, "&gt;50" )</f>
        <v>20 to 40</v>
      </c>
    </row>
    <row r="2052" spans="1:15" ht="15" customHeight="1" x14ac:dyDescent="0.3">
      <c r="A2052" t="s">
        <v>427</v>
      </c>
      <c r="B2052" s="1">
        <v>46210</v>
      </c>
      <c r="C2052" t="s">
        <v>16</v>
      </c>
      <c r="D2052">
        <v>1886</v>
      </c>
      <c r="E2052">
        <v>1</v>
      </c>
      <c r="F2052">
        <v>3.3</v>
      </c>
      <c r="G2052" t="s">
        <v>444</v>
      </c>
      <c r="H2052" t="s">
        <v>445</v>
      </c>
      <c r="I2052" t="str">
        <f t="shared" si="34"/>
        <v>1886_1</v>
      </c>
      <c r="J2052" t="s">
        <v>428</v>
      </c>
      <c r="K2052" t="s">
        <v>429</v>
      </c>
      <c r="L2052" t="str">
        <f>_xlfn.XLOOKUP(C2052, Table2[Species],Table2[Genus], "Code Not Found")</f>
        <v>Acer</v>
      </c>
      <c r="M2052" t="str">
        <f>_xlfn.XLOOKUP(C2052, Table2[Species],Table2[Sp. Name], "Code Not Found")</f>
        <v>saccharum</v>
      </c>
      <c r="N2052" t="str">
        <f>_xlfn.XLOOKUP(C2052,Table2[Species],Table2[Family],"Code Not Found")</f>
        <v>Sapindaceae</v>
      </c>
      <c r="O2052" t="str" cm="1">
        <f t="array" ref="O2052">_xlfn.IFS(F2052="","",F2052&lt;=5,"0 to 5",F2052&lt;=10,"5.1 to 10",F2052&lt;=20,"10 to 20", F2052&lt;= 40, "20 to 40", F2052 &lt;= 50, "40 to 50", F2052 &gt; 50, "&gt;50" )</f>
        <v>0 to 5</v>
      </c>
    </row>
    <row r="2053" spans="1:15" ht="15" customHeight="1" x14ac:dyDescent="0.3">
      <c r="A2053" t="s">
        <v>427</v>
      </c>
      <c r="B2053" s="1">
        <v>46210</v>
      </c>
      <c r="C2053" t="s">
        <v>16</v>
      </c>
      <c r="D2053">
        <v>1887</v>
      </c>
      <c r="E2053">
        <v>1</v>
      </c>
      <c r="F2053">
        <v>3.6</v>
      </c>
      <c r="G2053" t="s">
        <v>139</v>
      </c>
      <c r="H2053" t="s">
        <v>446</v>
      </c>
      <c r="I2053" t="str">
        <f t="shared" si="34"/>
        <v>1887_1</v>
      </c>
      <c r="J2053" t="s">
        <v>428</v>
      </c>
      <c r="K2053" t="s">
        <v>429</v>
      </c>
      <c r="L2053" t="str">
        <f>_xlfn.XLOOKUP(C2053, Table2[Species],Table2[Genus], "Code Not Found")</f>
        <v>Acer</v>
      </c>
      <c r="M2053" t="str">
        <f>_xlfn.XLOOKUP(C2053, Table2[Species],Table2[Sp. Name], "Code Not Found")</f>
        <v>saccharum</v>
      </c>
      <c r="N2053" t="str">
        <f>_xlfn.XLOOKUP(C2053,Table2[Species],Table2[Family],"Code Not Found")</f>
        <v>Sapindaceae</v>
      </c>
      <c r="O2053" t="str" cm="1">
        <f t="array" ref="O2053">_xlfn.IFS(F2053="","",F2053&lt;=5,"0 to 5",F2053&lt;=10,"5.1 to 10",F2053&lt;=20,"10 to 20", F2053&lt;= 40, "20 to 40", F2053 &lt;= 50, "40 to 50", F2053 &gt; 50, "&gt;50" )</f>
        <v>0 to 5</v>
      </c>
    </row>
    <row r="2054" spans="1:15" ht="15" customHeight="1" x14ac:dyDescent="0.3">
      <c r="A2054" t="s">
        <v>427</v>
      </c>
      <c r="B2054" s="1">
        <v>46210</v>
      </c>
      <c r="C2054" t="s">
        <v>16</v>
      </c>
      <c r="D2054">
        <v>1888</v>
      </c>
      <c r="E2054">
        <v>1</v>
      </c>
      <c r="F2054">
        <v>5</v>
      </c>
      <c r="G2054" t="s">
        <v>69</v>
      </c>
      <c r="H2054" t="s">
        <v>296</v>
      </c>
      <c r="I2054" t="str">
        <f t="shared" si="34"/>
        <v>1888_1</v>
      </c>
      <c r="J2054" t="s">
        <v>428</v>
      </c>
      <c r="K2054" t="s">
        <v>429</v>
      </c>
      <c r="L2054" t="str">
        <f>_xlfn.XLOOKUP(C2054, Table2[Species],Table2[Genus], "Code Not Found")</f>
        <v>Acer</v>
      </c>
      <c r="M2054" t="str">
        <f>_xlfn.XLOOKUP(C2054, Table2[Species],Table2[Sp. Name], "Code Not Found")</f>
        <v>saccharum</v>
      </c>
      <c r="N2054" t="str">
        <f>_xlfn.XLOOKUP(C2054,Table2[Species],Table2[Family],"Code Not Found")</f>
        <v>Sapindaceae</v>
      </c>
      <c r="O2054" t="str" cm="1">
        <f t="array" ref="O2054">_xlfn.IFS(F2054="","",F2054&lt;=5,"0 to 5",F2054&lt;=10,"5.1 to 10",F2054&lt;=20,"10 to 20", F2054&lt;= 40, "20 to 40", F2054 &lt;= 50, "40 to 50", F2054 &gt; 50, "&gt;50" )</f>
        <v>0 to 5</v>
      </c>
    </row>
    <row r="2055" spans="1:15" ht="15" customHeight="1" x14ac:dyDescent="0.3">
      <c r="A2055" t="s">
        <v>427</v>
      </c>
      <c r="B2055" s="1">
        <v>46210</v>
      </c>
      <c r="C2055" t="s">
        <v>22</v>
      </c>
      <c r="D2055">
        <v>1889</v>
      </c>
      <c r="E2055">
        <v>1</v>
      </c>
      <c r="F2055">
        <v>11.7</v>
      </c>
      <c r="G2055" t="s">
        <v>17</v>
      </c>
      <c r="I2055" t="str">
        <f t="shared" si="34"/>
        <v>1889_1</v>
      </c>
      <c r="J2055" t="s">
        <v>428</v>
      </c>
      <c r="K2055" t="s">
        <v>429</v>
      </c>
      <c r="L2055" t="str">
        <f>_xlfn.XLOOKUP(C2055, Table2[Species],Table2[Genus], "Code Not Found")</f>
        <v>Acer</v>
      </c>
      <c r="M2055" t="str">
        <f>_xlfn.XLOOKUP(C2055, Table2[Species],Table2[Sp. Name], "Code Not Found")</f>
        <v>rubrum</v>
      </c>
      <c r="N2055" t="str">
        <f>_xlfn.XLOOKUP(C2055,Table2[Species],Table2[Family],"Code Not Found")</f>
        <v>Sapindaceae</v>
      </c>
      <c r="O2055" t="str" cm="1">
        <f t="array" ref="O2055">_xlfn.IFS(F2055="","",F2055&lt;=5,"0 to 5",F2055&lt;=10,"5.1 to 10",F2055&lt;=20,"10 to 20", F2055&lt;= 40, "20 to 40", F2055 &lt;= 50, "40 to 50", F2055 &gt; 50, "&gt;50" )</f>
        <v>10 to 20</v>
      </c>
    </row>
    <row r="2056" spans="1:15" ht="15" customHeight="1" x14ac:dyDescent="0.3">
      <c r="A2056" t="s">
        <v>427</v>
      </c>
      <c r="B2056" s="1">
        <v>46210</v>
      </c>
      <c r="C2056" t="s">
        <v>22</v>
      </c>
      <c r="D2056">
        <v>1890</v>
      </c>
      <c r="E2056">
        <v>1</v>
      </c>
      <c r="F2056">
        <v>6.5</v>
      </c>
      <c r="G2056" t="s">
        <v>93</v>
      </c>
      <c r="H2056" t="s">
        <v>296</v>
      </c>
      <c r="I2056" t="str">
        <f t="shared" si="34"/>
        <v>1890_1</v>
      </c>
      <c r="J2056" t="s">
        <v>428</v>
      </c>
      <c r="K2056" t="s">
        <v>429</v>
      </c>
      <c r="L2056" t="str">
        <f>_xlfn.XLOOKUP(C2056, Table2[Species],Table2[Genus], "Code Not Found")</f>
        <v>Acer</v>
      </c>
      <c r="M2056" t="str">
        <f>_xlfn.XLOOKUP(C2056, Table2[Species],Table2[Sp. Name], "Code Not Found")</f>
        <v>rubrum</v>
      </c>
      <c r="N2056" t="str">
        <f>_xlfn.XLOOKUP(C2056,Table2[Species],Table2[Family],"Code Not Found")</f>
        <v>Sapindaceae</v>
      </c>
      <c r="O2056" t="str" cm="1">
        <f t="array" ref="O2056">_xlfn.IFS(F2056="","",F2056&lt;=5,"0 to 5",F2056&lt;=10,"5.1 to 10",F2056&lt;=20,"10 to 20", F2056&lt;= 40, "20 to 40", F2056 &lt;= 50, "40 to 50", F2056 &gt; 50, "&gt;50" )</f>
        <v>5.1 to 10</v>
      </c>
    </row>
    <row r="2057" spans="1:15" ht="15" customHeight="1" x14ac:dyDescent="0.3">
      <c r="A2057" t="s">
        <v>427</v>
      </c>
      <c r="B2057" s="1">
        <v>46210</v>
      </c>
      <c r="C2057" t="s">
        <v>22</v>
      </c>
      <c r="D2057">
        <v>1890</v>
      </c>
      <c r="E2057">
        <v>2</v>
      </c>
      <c r="F2057">
        <v>4.8</v>
      </c>
      <c r="G2057" t="s">
        <v>93</v>
      </c>
      <c r="H2057" t="s">
        <v>296</v>
      </c>
      <c r="I2057" t="str">
        <f t="shared" si="34"/>
        <v>1890_2</v>
      </c>
      <c r="J2057" t="s">
        <v>428</v>
      </c>
      <c r="K2057" t="s">
        <v>429</v>
      </c>
      <c r="L2057" t="str">
        <f>_xlfn.XLOOKUP(C2057, Table2[Species],Table2[Genus], "Code Not Found")</f>
        <v>Acer</v>
      </c>
      <c r="M2057" t="str">
        <f>_xlfn.XLOOKUP(C2057, Table2[Species],Table2[Sp. Name], "Code Not Found")</f>
        <v>rubrum</v>
      </c>
      <c r="N2057" t="str">
        <f>_xlfn.XLOOKUP(C2057,Table2[Species],Table2[Family],"Code Not Found")</f>
        <v>Sapindaceae</v>
      </c>
      <c r="O2057" t="str" cm="1">
        <f t="array" ref="O2057">_xlfn.IFS(F2057="","",F2057&lt;=5,"0 to 5",F2057&lt;=10,"5.1 to 10",F2057&lt;=20,"10 to 20", F2057&lt;= 40, "20 to 40", F2057 &lt;= 50, "40 to 50", F2057 &gt; 50, "&gt;50" )</f>
        <v>0 to 5</v>
      </c>
    </row>
    <row r="2058" spans="1:15" ht="15" customHeight="1" x14ac:dyDescent="0.3">
      <c r="A2058" t="s">
        <v>427</v>
      </c>
      <c r="B2058" s="1">
        <v>46210</v>
      </c>
      <c r="C2058" t="s">
        <v>16</v>
      </c>
      <c r="D2058">
        <v>1891</v>
      </c>
      <c r="E2058">
        <v>1</v>
      </c>
      <c r="F2058">
        <v>4.8</v>
      </c>
      <c r="G2058" t="s">
        <v>17</v>
      </c>
      <c r="H2058" t="s">
        <v>36</v>
      </c>
      <c r="I2058" t="str">
        <f t="shared" si="34"/>
        <v>1891_1</v>
      </c>
      <c r="J2058" t="s">
        <v>428</v>
      </c>
      <c r="K2058" t="s">
        <v>429</v>
      </c>
      <c r="L2058" t="str">
        <f>_xlfn.XLOOKUP(C2058, Table2[Species],Table2[Genus], "Code Not Found")</f>
        <v>Acer</v>
      </c>
      <c r="M2058" t="str">
        <f>_xlfn.XLOOKUP(C2058, Table2[Species],Table2[Sp. Name], "Code Not Found")</f>
        <v>saccharum</v>
      </c>
      <c r="N2058" t="str">
        <f>_xlfn.XLOOKUP(C2058,Table2[Species],Table2[Family],"Code Not Found")</f>
        <v>Sapindaceae</v>
      </c>
      <c r="O2058" t="str" cm="1">
        <f t="array" ref="O2058">_xlfn.IFS(F2058="","",F2058&lt;=5,"0 to 5",F2058&lt;=10,"5.1 to 10",F2058&lt;=20,"10 to 20", F2058&lt;= 40, "20 to 40", F2058 &lt;= 50, "40 to 50", F2058 &gt; 50, "&gt;50" )</f>
        <v>0 to 5</v>
      </c>
    </row>
    <row r="2059" spans="1:15" ht="15" customHeight="1" x14ac:dyDescent="0.3">
      <c r="A2059" t="s">
        <v>427</v>
      </c>
      <c r="B2059" s="1">
        <v>46210</v>
      </c>
      <c r="C2059" t="s">
        <v>16</v>
      </c>
      <c r="D2059">
        <v>1892</v>
      </c>
      <c r="E2059">
        <v>1</v>
      </c>
      <c r="F2059">
        <v>2.6</v>
      </c>
      <c r="G2059" t="s">
        <v>139</v>
      </c>
      <c r="H2059" t="s">
        <v>244</v>
      </c>
      <c r="I2059" t="str">
        <f t="shared" si="34"/>
        <v>1892_1</v>
      </c>
      <c r="J2059" t="s">
        <v>428</v>
      </c>
      <c r="K2059" t="s">
        <v>429</v>
      </c>
      <c r="L2059" t="str">
        <f>_xlfn.XLOOKUP(C2059, Table2[Species],Table2[Genus], "Code Not Found")</f>
        <v>Acer</v>
      </c>
      <c r="M2059" t="str">
        <f>_xlfn.XLOOKUP(C2059, Table2[Species],Table2[Sp. Name], "Code Not Found")</f>
        <v>saccharum</v>
      </c>
      <c r="N2059" t="str">
        <f>_xlfn.XLOOKUP(C2059,Table2[Species],Table2[Family],"Code Not Found")</f>
        <v>Sapindaceae</v>
      </c>
      <c r="O2059" t="str" cm="1">
        <f t="array" ref="O2059">_xlfn.IFS(F2059="","",F2059&lt;=5,"0 to 5",F2059&lt;=10,"5.1 to 10",F2059&lt;=20,"10 to 20", F2059&lt;= 40, "20 to 40", F2059 &lt;= 50, "40 to 50", F2059 &gt; 50, "&gt;50" )</f>
        <v>0 to 5</v>
      </c>
    </row>
    <row r="2060" spans="1:15" ht="15" customHeight="1" x14ac:dyDescent="0.3">
      <c r="A2060" t="s">
        <v>427</v>
      </c>
      <c r="B2060" s="1">
        <v>46210</v>
      </c>
      <c r="C2060" t="s">
        <v>24</v>
      </c>
      <c r="D2060">
        <v>1893</v>
      </c>
      <c r="E2060">
        <v>1</v>
      </c>
      <c r="F2060">
        <v>13.8</v>
      </c>
      <c r="G2060" t="s">
        <v>17</v>
      </c>
      <c r="H2060" t="s">
        <v>447</v>
      </c>
      <c r="I2060" t="str">
        <f t="shared" si="34"/>
        <v>1893_1</v>
      </c>
      <c r="J2060" t="s">
        <v>428</v>
      </c>
      <c r="K2060" t="s">
        <v>429</v>
      </c>
      <c r="L2060" t="str">
        <f>_xlfn.XLOOKUP(C2060, Table2[Species],Table2[Genus], "Code Not Found")</f>
        <v>Lirodendron</v>
      </c>
      <c r="M2060" t="str">
        <f>_xlfn.XLOOKUP(C2060, Table2[Species],Table2[Sp. Name], "Code Not Found")</f>
        <v>tulipfera</v>
      </c>
      <c r="N2060" t="str">
        <f>_xlfn.XLOOKUP(C2060,Table2[Species],Table2[Family],"Code Not Found")</f>
        <v>Magnoliaceae</v>
      </c>
      <c r="O2060" t="str" cm="1">
        <f t="array" ref="O2060">_xlfn.IFS(F2060="","",F2060&lt;=5,"0 to 5",F2060&lt;=10,"5.1 to 10",F2060&lt;=20,"10 to 20", F2060&lt;= 40, "20 to 40", F2060 &lt;= 50, "40 to 50", F2060 &gt; 50, "&gt;50" )</f>
        <v>10 to 20</v>
      </c>
    </row>
    <row r="2061" spans="1:15" ht="15" customHeight="1" x14ac:dyDescent="0.3">
      <c r="A2061" t="s">
        <v>427</v>
      </c>
      <c r="B2061" s="1">
        <v>46210</v>
      </c>
      <c r="C2061" t="s">
        <v>64</v>
      </c>
      <c r="D2061">
        <v>1894</v>
      </c>
      <c r="E2061">
        <v>1</v>
      </c>
      <c r="F2061">
        <v>1.3</v>
      </c>
      <c r="G2061" t="s">
        <v>47</v>
      </c>
      <c r="H2061" t="s">
        <v>435</v>
      </c>
      <c r="I2061" t="str">
        <f t="shared" si="34"/>
        <v>1894_1</v>
      </c>
      <c r="J2061" t="s">
        <v>428</v>
      </c>
      <c r="K2061" t="s">
        <v>429</v>
      </c>
      <c r="L2061" t="str">
        <f>_xlfn.XLOOKUP(C2061, Table2[Species],Table2[Genus], "Code Not Found")</f>
        <v>Fagus</v>
      </c>
      <c r="M2061" t="str">
        <f>_xlfn.XLOOKUP(C2061, Table2[Species],Table2[Sp. Name], "Code Not Found")</f>
        <v>grandifolia</v>
      </c>
      <c r="N2061" t="str">
        <f>_xlfn.XLOOKUP(C2061,Table2[Species],Table2[Family],"Code Not Found")</f>
        <v>Fagaceae</v>
      </c>
      <c r="O2061" t="str" cm="1">
        <f t="array" ref="O2061">_xlfn.IFS(F2061="","",F2061&lt;=5,"0 to 5",F2061&lt;=10,"5.1 to 10",F2061&lt;=20,"10 to 20", F2061&lt;= 40, "20 to 40", F2061 &lt;= 50, "40 to 50", F2061 &gt; 50, "&gt;50" )</f>
        <v>0 to 5</v>
      </c>
    </row>
    <row r="2062" spans="1:15" ht="15" customHeight="1" x14ac:dyDescent="0.3">
      <c r="A2062" t="s">
        <v>427</v>
      </c>
      <c r="B2062" s="1">
        <v>46210</v>
      </c>
      <c r="C2062" t="s">
        <v>64</v>
      </c>
      <c r="D2062">
        <v>1895</v>
      </c>
      <c r="E2062">
        <v>1</v>
      </c>
      <c r="F2062">
        <v>1</v>
      </c>
      <c r="G2062" t="s">
        <v>21</v>
      </c>
      <c r="H2062" t="s">
        <v>448</v>
      </c>
      <c r="I2062" t="str">
        <f t="shared" si="34"/>
        <v>1895_1</v>
      </c>
      <c r="J2062" t="s">
        <v>428</v>
      </c>
      <c r="K2062" t="s">
        <v>429</v>
      </c>
      <c r="L2062" t="str">
        <f>_xlfn.XLOOKUP(C2062, Table2[Species],Table2[Genus], "Code Not Found")</f>
        <v>Fagus</v>
      </c>
      <c r="M2062" t="str">
        <f>_xlfn.XLOOKUP(C2062, Table2[Species],Table2[Sp. Name], "Code Not Found")</f>
        <v>grandifolia</v>
      </c>
      <c r="N2062" t="str">
        <f>_xlfn.XLOOKUP(C2062,Table2[Species],Table2[Family],"Code Not Found")</f>
        <v>Fagaceae</v>
      </c>
      <c r="O2062" t="str" cm="1">
        <f t="array" ref="O2062">_xlfn.IFS(F2062="","",F2062&lt;=5,"0 to 5",F2062&lt;=10,"5.1 to 10",F2062&lt;=20,"10 to 20", F2062&lt;= 40, "20 to 40", F2062 &lt;= 50, "40 to 50", F2062 &gt; 50, "&gt;50" )</f>
        <v>0 to 5</v>
      </c>
    </row>
    <row r="2063" spans="1:15" ht="15" customHeight="1" x14ac:dyDescent="0.3">
      <c r="A2063" t="s">
        <v>427</v>
      </c>
      <c r="B2063" s="1">
        <v>46210</v>
      </c>
      <c r="C2063" t="s">
        <v>64</v>
      </c>
      <c r="D2063">
        <v>1896</v>
      </c>
      <c r="E2063">
        <v>1</v>
      </c>
      <c r="F2063">
        <v>1.1000000000000001</v>
      </c>
      <c r="G2063" t="s">
        <v>17</v>
      </c>
      <c r="H2063" t="s">
        <v>359</v>
      </c>
      <c r="I2063" t="str">
        <f t="shared" si="34"/>
        <v>1896_1</v>
      </c>
      <c r="J2063" t="s">
        <v>428</v>
      </c>
      <c r="K2063" t="s">
        <v>429</v>
      </c>
      <c r="L2063" t="str">
        <f>_xlfn.XLOOKUP(C2063, Table2[Species],Table2[Genus], "Code Not Found")</f>
        <v>Fagus</v>
      </c>
      <c r="M2063" t="str">
        <f>_xlfn.XLOOKUP(C2063, Table2[Species],Table2[Sp. Name], "Code Not Found")</f>
        <v>grandifolia</v>
      </c>
      <c r="N2063" t="str">
        <f>_xlfn.XLOOKUP(C2063,Table2[Species],Table2[Family],"Code Not Found")</f>
        <v>Fagaceae</v>
      </c>
      <c r="O2063" t="str" cm="1">
        <f t="array" ref="O2063">_xlfn.IFS(F2063="","",F2063&lt;=5,"0 to 5",F2063&lt;=10,"5.1 to 10",F2063&lt;=20,"10 to 20", F2063&lt;= 40, "20 to 40", F2063 &lt;= 50, "40 to 50", F2063 &gt; 50, "&gt;50" )</f>
        <v>0 to 5</v>
      </c>
    </row>
    <row r="2064" spans="1:15" ht="15" customHeight="1" x14ac:dyDescent="0.3">
      <c r="A2064" t="s">
        <v>427</v>
      </c>
      <c r="B2064" s="1">
        <v>46210</v>
      </c>
      <c r="C2064" t="s">
        <v>16</v>
      </c>
      <c r="D2064">
        <v>1897</v>
      </c>
      <c r="E2064">
        <v>1</v>
      </c>
      <c r="F2064">
        <v>12.5</v>
      </c>
      <c r="G2064" t="s">
        <v>17</v>
      </c>
      <c r="I2064" t="str">
        <f t="shared" si="34"/>
        <v>1897_1</v>
      </c>
      <c r="J2064" t="s">
        <v>428</v>
      </c>
      <c r="K2064" t="s">
        <v>429</v>
      </c>
      <c r="L2064" t="str">
        <f>_xlfn.XLOOKUP(C2064, Table2[Species],Table2[Genus], "Code Not Found")</f>
        <v>Acer</v>
      </c>
      <c r="M2064" t="str">
        <f>_xlfn.XLOOKUP(C2064, Table2[Species],Table2[Sp. Name], "Code Not Found")</f>
        <v>saccharum</v>
      </c>
      <c r="N2064" t="str">
        <f>_xlfn.XLOOKUP(C2064,Table2[Species],Table2[Family],"Code Not Found")</f>
        <v>Sapindaceae</v>
      </c>
      <c r="O2064" t="str" cm="1">
        <f t="array" ref="O2064">_xlfn.IFS(F2064="","",F2064&lt;=5,"0 to 5",F2064&lt;=10,"5.1 to 10",F2064&lt;=20,"10 to 20", F2064&lt;= 40, "20 to 40", F2064 &lt;= 50, "40 to 50", F2064 &gt; 50, "&gt;50" )</f>
        <v>10 to 20</v>
      </c>
    </row>
    <row r="2065" spans="1:15" ht="15" customHeight="1" x14ac:dyDescent="0.3">
      <c r="A2065" t="s">
        <v>427</v>
      </c>
      <c r="B2065" s="1">
        <v>46210</v>
      </c>
      <c r="C2065" t="s">
        <v>16</v>
      </c>
      <c r="D2065">
        <v>1898</v>
      </c>
      <c r="E2065">
        <v>1</v>
      </c>
      <c r="F2065">
        <v>9.6999999999999993</v>
      </c>
      <c r="G2065" t="s">
        <v>94</v>
      </c>
      <c r="H2065" t="s">
        <v>449</v>
      </c>
      <c r="I2065" t="str">
        <f t="shared" si="34"/>
        <v>1898_1</v>
      </c>
      <c r="J2065" t="s">
        <v>428</v>
      </c>
      <c r="K2065" t="s">
        <v>429</v>
      </c>
      <c r="L2065" t="str">
        <f>_xlfn.XLOOKUP(C2065, Table2[Species],Table2[Genus], "Code Not Found")</f>
        <v>Acer</v>
      </c>
      <c r="M2065" t="str">
        <f>_xlfn.XLOOKUP(C2065, Table2[Species],Table2[Sp. Name], "Code Not Found")</f>
        <v>saccharum</v>
      </c>
      <c r="N2065" t="str">
        <f>_xlfn.XLOOKUP(C2065,Table2[Species],Table2[Family],"Code Not Found")</f>
        <v>Sapindaceae</v>
      </c>
      <c r="O2065" t="str" cm="1">
        <f t="array" ref="O2065">_xlfn.IFS(F2065="","",F2065&lt;=5,"0 to 5",F2065&lt;=10,"5.1 to 10",F2065&lt;=20,"10 to 20", F2065&lt;= 40, "20 to 40", F2065 &lt;= 50, "40 to 50", F2065 &gt; 50, "&gt;50" )</f>
        <v>5.1 to 10</v>
      </c>
    </row>
    <row r="2066" spans="1:15" ht="15" customHeight="1" x14ac:dyDescent="0.3">
      <c r="A2066" t="s">
        <v>427</v>
      </c>
      <c r="B2066" s="1">
        <v>46210</v>
      </c>
      <c r="C2066" t="s">
        <v>64</v>
      </c>
      <c r="D2066">
        <v>1899</v>
      </c>
      <c r="E2066">
        <v>1</v>
      </c>
      <c r="F2066">
        <v>1.2</v>
      </c>
      <c r="G2066" t="s">
        <v>17</v>
      </c>
      <c r="H2066" t="s">
        <v>359</v>
      </c>
      <c r="I2066" t="str">
        <f t="shared" si="34"/>
        <v>1899_1</v>
      </c>
      <c r="J2066" t="s">
        <v>428</v>
      </c>
      <c r="K2066" t="s">
        <v>429</v>
      </c>
      <c r="L2066" t="str">
        <f>_xlfn.XLOOKUP(C2066, Table2[Species],Table2[Genus], "Code Not Found")</f>
        <v>Fagus</v>
      </c>
      <c r="M2066" t="str">
        <f>_xlfn.XLOOKUP(C2066, Table2[Species],Table2[Sp. Name], "Code Not Found")</f>
        <v>grandifolia</v>
      </c>
      <c r="N2066" t="str">
        <f>_xlfn.XLOOKUP(C2066,Table2[Species],Table2[Family],"Code Not Found")</f>
        <v>Fagaceae</v>
      </c>
      <c r="O2066" t="str" cm="1">
        <f t="array" ref="O2066">_xlfn.IFS(F2066="","",F2066&lt;=5,"0 to 5",F2066&lt;=10,"5.1 to 10",F2066&lt;=20,"10 to 20", F2066&lt;= 40, "20 to 40", F2066 &lt;= 50, "40 to 50", F2066 &gt; 50, "&gt;50" )</f>
        <v>0 to 5</v>
      </c>
    </row>
    <row r="2067" spans="1:15" ht="15" customHeight="1" x14ac:dyDescent="0.3">
      <c r="A2067" t="s">
        <v>427</v>
      </c>
      <c r="B2067" s="1">
        <v>46210</v>
      </c>
      <c r="C2067" t="s">
        <v>16</v>
      </c>
      <c r="D2067">
        <v>1900</v>
      </c>
      <c r="E2067">
        <v>1</v>
      </c>
      <c r="F2067">
        <v>7.9</v>
      </c>
      <c r="G2067" t="s">
        <v>17</v>
      </c>
      <c r="H2067" t="s">
        <v>330</v>
      </c>
      <c r="I2067" t="str">
        <f t="shared" si="34"/>
        <v>1900_1</v>
      </c>
      <c r="J2067" t="s">
        <v>428</v>
      </c>
      <c r="K2067" t="s">
        <v>429</v>
      </c>
      <c r="L2067" t="str">
        <f>_xlfn.XLOOKUP(C2067, Table2[Species],Table2[Genus], "Code Not Found")</f>
        <v>Acer</v>
      </c>
      <c r="M2067" t="str">
        <f>_xlfn.XLOOKUP(C2067, Table2[Species],Table2[Sp. Name], "Code Not Found")</f>
        <v>saccharum</v>
      </c>
      <c r="N2067" t="str">
        <f>_xlfn.XLOOKUP(C2067,Table2[Species],Table2[Family],"Code Not Found")</f>
        <v>Sapindaceae</v>
      </c>
      <c r="O2067" t="str" cm="1">
        <f t="array" ref="O2067">_xlfn.IFS(F2067="","",F2067&lt;=5,"0 to 5",F2067&lt;=10,"5.1 to 10",F2067&lt;=20,"10 to 20", F2067&lt;= 40, "20 to 40", F2067 &lt;= 50, "40 to 50", F2067 &gt; 50, "&gt;50" )</f>
        <v>5.1 to 10</v>
      </c>
    </row>
    <row r="2068" spans="1:15" ht="15" customHeight="1" x14ac:dyDescent="0.3">
      <c r="A2068" t="s">
        <v>427</v>
      </c>
      <c r="B2068" s="1">
        <v>46210</v>
      </c>
      <c r="C2068" t="s">
        <v>22</v>
      </c>
      <c r="D2068">
        <v>1901</v>
      </c>
      <c r="E2068">
        <v>1</v>
      </c>
      <c r="F2068">
        <v>7.5</v>
      </c>
      <c r="G2068" t="s">
        <v>17</v>
      </c>
      <c r="H2068" s="6" t="s">
        <v>450</v>
      </c>
      <c r="I2068" t="str">
        <f t="shared" si="34"/>
        <v>1901_1</v>
      </c>
      <c r="J2068" t="s">
        <v>428</v>
      </c>
      <c r="K2068" t="s">
        <v>429</v>
      </c>
      <c r="L2068" t="str">
        <f>_xlfn.XLOOKUP(C2068, Table2[Species],Table2[Genus], "Code Not Found")</f>
        <v>Acer</v>
      </c>
      <c r="M2068" t="str">
        <f>_xlfn.XLOOKUP(C2068, Table2[Species],Table2[Sp. Name], "Code Not Found")</f>
        <v>rubrum</v>
      </c>
      <c r="N2068" t="str">
        <f>_xlfn.XLOOKUP(C2068,Table2[Species],Table2[Family],"Code Not Found")</f>
        <v>Sapindaceae</v>
      </c>
      <c r="O2068" t="str" cm="1">
        <f t="array" ref="O2068">_xlfn.IFS(F2068="","",F2068&lt;=5,"0 to 5",F2068&lt;=10,"5.1 to 10",F2068&lt;=20,"10 to 20", F2068&lt;= 40, "20 to 40", F2068 &lt;= 50, "40 to 50", F2068 &gt; 50, "&gt;50" )</f>
        <v>5.1 to 10</v>
      </c>
    </row>
    <row r="2069" spans="1:15" ht="15" customHeight="1" x14ac:dyDescent="0.3">
      <c r="A2069" t="s">
        <v>427</v>
      </c>
      <c r="B2069" s="1">
        <v>46210</v>
      </c>
      <c r="C2069" t="s">
        <v>22</v>
      </c>
      <c r="D2069">
        <v>1902</v>
      </c>
      <c r="E2069">
        <v>1</v>
      </c>
      <c r="F2069">
        <v>10.6</v>
      </c>
      <c r="G2069" t="s">
        <v>21</v>
      </c>
      <c r="I2069" t="str">
        <f t="shared" si="34"/>
        <v>1902_1</v>
      </c>
      <c r="J2069" t="s">
        <v>428</v>
      </c>
      <c r="K2069" t="s">
        <v>429</v>
      </c>
      <c r="L2069" t="str">
        <f>_xlfn.XLOOKUP(C2069, Table2[Species],Table2[Genus], "Code Not Found")</f>
        <v>Acer</v>
      </c>
      <c r="M2069" t="str">
        <f>_xlfn.XLOOKUP(C2069, Table2[Species],Table2[Sp. Name], "Code Not Found")</f>
        <v>rubrum</v>
      </c>
      <c r="N2069" t="str">
        <f>_xlfn.XLOOKUP(C2069,Table2[Species],Table2[Family],"Code Not Found")</f>
        <v>Sapindaceae</v>
      </c>
      <c r="O2069" t="str" cm="1">
        <f t="array" ref="O2069">_xlfn.IFS(F2069="","",F2069&lt;=5,"0 to 5",F2069&lt;=10,"5.1 to 10",F2069&lt;=20,"10 to 20", F2069&lt;= 40, "20 to 40", F2069 &lt;= 50, "40 to 50", F2069 &gt; 50, "&gt;50" )</f>
        <v>10 to 20</v>
      </c>
    </row>
    <row r="2070" spans="1:15" ht="15" customHeight="1" x14ac:dyDescent="0.3">
      <c r="A2070" t="s">
        <v>427</v>
      </c>
      <c r="B2070" s="1">
        <v>46210</v>
      </c>
      <c r="C2070" t="s">
        <v>24</v>
      </c>
      <c r="D2070">
        <v>1903</v>
      </c>
      <c r="E2070">
        <v>1</v>
      </c>
      <c r="F2070">
        <v>12.9</v>
      </c>
      <c r="G2070" t="s">
        <v>71</v>
      </c>
      <c r="H2070" t="s">
        <v>451</v>
      </c>
      <c r="I2070" t="str">
        <f t="shared" si="34"/>
        <v>1903_1</v>
      </c>
      <c r="J2070" t="s">
        <v>428</v>
      </c>
      <c r="K2070" t="s">
        <v>429</v>
      </c>
      <c r="L2070" t="str">
        <f>_xlfn.XLOOKUP(C2070, Table2[Species],Table2[Genus], "Code Not Found")</f>
        <v>Lirodendron</v>
      </c>
      <c r="M2070" t="str">
        <f>_xlfn.XLOOKUP(C2070, Table2[Species],Table2[Sp. Name], "Code Not Found")</f>
        <v>tulipfera</v>
      </c>
      <c r="N2070" t="str">
        <f>_xlfn.XLOOKUP(C2070,Table2[Species],Table2[Family],"Code Not Found")</f>
        <v>Magnoliaceae</v>
      </c>
      <c r="O2070" t="str" cm="1">
        <f t="array" ref="O2070">_xlfn.IFS(F2070="","",F2070&lt;=5,"0 to 5",F2070&lt;=10,"5.1 to 10",F2070&lt;=20,"10 to 20", F2070&lt;= 40, "20 to 40", F2070 &lt;= 50, "40 to 50", F2070 &gt; 50, "&gt;50" )</f>
        <v>10 to 20</v>
      </c>
    </row>
    <row r="2071" spans="1:15" ht="15" customHeight="1" x14ac:dyDescent="0.3">
      <c r="A2071" t="s">
        <v>427</v>
      </c>
      <c r="B2071" s="1">
        <v>46210</v>
      </c>
      <c r="C2071" t="s">
        <v>24</v>
      </c>
      <c r="D2071">
        <v>1904</v>
      </c>
      <c r="E2071">
        <v>1</v>
      </c>
      <c r="F2071">
        <v>13.7</v>
      </c>
      <c r="G2071" t="s">
        <v>83</v>
      </c>
      <c r="H2071" t="s">
        <v>452</v>
      </c>
      <c r="I2071" t="str">
        <f t="shared" si="34"/>
        <v>1904_1</v>
      </c>
      <c r="J2071" t="s">
        <v>428</v>
      </c>
      <c r="K2071" t="s">
        <v>429</v>
      </c>
      <c r="L2071" t="str">
        <f>_xlfn.XLOOKUP(C2071, Table2[Species],Table2[Genus], "Code Not Found")</f>
        <v>Lirodendron</v>
      </c>
      <c r="M2071" t="str">
        <f>_xlfn.XLOOKUP(C2071, Table2[Species],Table2[Sp. Name], "Code Not Found")</f>
        <v>tulipfera</v>
      </c>
      <c r="N2071" t="str">
        <f>_xlfn.XLOOKUP(C2071,Table2[Species],Table2[Family],"Code Not Found")</f>
        <v>Magnoliaceae</v>
      </c>
      <c r="O2071" t="str" cm="1">
        <f t="array" ref="O2071">_xlfn.IFS(F2071="","",F2071&lt;=5,"0 to 5",F2071&lt;=10,"5.1 to 10",F2071&lt;=20,"10 to 20", F2071&lt;= 40, "20 to 40", F2071 &lt;= 50, "40 to 50", F2071 &gt; 50, "&gt;50" )</f>
        <v>10 to 20</v>
      </c>
    </row>
    <row r="2072" spans="1:15" ht="15" customHeight="1" x14ac:dyDescent="0.3">
      <c r="A2072" t="s">
        <v>427</v>
      </c>
      <c r="B2072" s="1">
        <v>46210</v>
      </c>
      <c r="C2072" t="s">
        <v>22</v>
      </c>
      <c r="D2072">
        <v>1905</v>
      </c>
      <c r="E2072">
        <v>1</v>
      </c>
      <c r="F2072">
        <v>19.600000000000001</v>
      </c>
      <c r="G2072" t="s">
        <v>47</v>
      </c>
      <c r="H2072" t="s">
        <v>440</v>
      </c>
      <c r="I2072" t="str">
        <f t="shared" si="34"/>
        <v>1905_1</v>
      </c>
      <c r="J2072" t="s">
        <v>428</v>
      </c>
      <c r="K2072" t="s">
        <v>429</v>
      </c>
      <c r="L2072" t="str">
        <f>_xlfn.XLOOKUP(C2072, Table2[Species],Table2[Genus], "Code Not Found")</f>
        <v>Acer</v>
      </c>
      <c r="M2072" t="str">
        <f>_xlfn.XLOOKUP(C2072, Table2[Species],Table2[Sp. Name], "Code Not Found")</f>
        <v>rubrum</v>
      </c>
      <c r="N2072" t="str">
        <f>_xlfn.XLOOKUP(C2072,Table2[Species],Table2[Family],"Code Not Found")</f>
        <v>Sapindaceae</v>
      </c>
      <c r="O2072" t="str" cm="1">
        <f t="array" ref="O2072">_xlfn.IFS(F2072="","",F2072&lt;=5,"0 to 5",F2072&lt;=10,"5.1 to 10",F2072&lt;=20,"10 to 20", F2072&lt;= 40, "20 to 40", F2072 &lt;= 50, "40 to 50", F2072 &gt; 50, "&gt;50" )</f>
        <v>10 to 20</v>
      </c>
    </row>
    <row r="2073" spans="1:15" ht="15" customHeight="1" x14ac:dyDescent="0.3">
      <c r="A2073" t="s">
        <v>427</v>
      </c>
      <c r="B2073" s="1">
        <v>46210</v>
      </c>
      <c r="C2073" t="s">
        <v>22</v>
      </c>
      <c r="D2073">
        <v>1906</v>
      </c>
      <c r="E2073">
        <v>1</v>
      </c>
      <c r="F2073">
        <v>12</v>
      </c>
      <c r="G2073" t="s">
        <v>453</v>
      </c>
      <c r="H2073" t="s">
        <v>454</v>
      </c>
      <c r="I2073" t="str">
        <f t="shared" si="34"/>
        <v>1906_1</v>
      </c>
      <c r="J2073" t="s">
        <v>428</v>
      </c>
      <c r="K2073" t="s">
        <v>429</v>
      </c>
      <c r="L2073" t="str">
        <f>_xlfn.XLOOKUP(C2073, Table2[Species],Table2[Genus], "Code Not Found")</f>
        <v>Acer</v>
      </c>
      <c r="M2073" t="str">
        <f>_xlfn.XLOOKUP(C2073, Table2[Species],Table2[Sp. Name], "Code Not Found")</f>
        <v>rubrum</v>
      </c>
      <c r="N2073" t="str">
        <f>_xlfn.XLOOKUP(C2073,Table2[Species],Table2[Family],"Code Not Found")</f>
        <v>Sapindaceae</v>
      </c>
      <c r="O2073" t="str" cm="1">
        <f t="array" ref="O2073">_xlfn.IFS(F2073="","",F2073&lt;=5,"0 to 5",F2073&lt;=10,"5.1 to 10",F2073&lt;=20,"10 to 20", F2073&lt;= 40, "20 to 40", F2073 &lt;= 50, "40 to 50", F2073 &gt; 50, "&gt;50" )</f>
        <v>10 to 20</v>
      </c>
    </row>
    <row r="2074" spans="1:15" ht="15" customHeight="1" x14ac:dyDescent="0.3">
      <c r="A2074" t="s">
        <v>427</v>
      </c>
      <c r="B2074" s="1">
        <v>46210</v>
      </c>
      <c r="C2074" t="s">
        <v>24</v>
      </c>
      <c r="D2074">
        <v>1907</v>
      </c>
      <c r="E2074">
        <v>1</v>
      </c>
      <c r="F2074">
        <v>2</v>
      </c>
      <c r="G2074" t="s">
        <v>17</v>
      </c>
      <c r="H2074" t="s">
        <v>455</v>
      </c>
      <c r="I2074" t="str">
        <f t="shared" si="34"/>
        <v>1907_1</v>
      </c>
      <c r="J2074" t="s">
        <v>428</v>
      </c>
      <c r="K2074" t="s">
        <v>429</v>
      </c>
      <c r="L2074" t="str">
        <f>_xlfn.XLOOKUP(C2074, Table2[Species],Table2[Genus], "Code Not Found")</f>
        <v>Lirodendron</v>
      </c>
      <c r="M2074" t="str">
        <f>_xlfn.XLOOKUP(C2074, Table2[Species],Table2[Sp. Name], "Code Not Found")</f>
        <v>tulipfera</v>
      </c>
      <c r="N2074" t="str">
        <f>_xlfn.XLOOKUP(C2074,Table2[Species],Table2[Family],"Code Not Found")</f>
        <v>Magnoliaceae</v>
      </c>
      <c r="O2074" t="str" cm="1">
        <f t="array" ref="O2074">_xlfn.IFS(F2074="","",F2074&lt;=5,"0 to 5",F2074&lt;=10,"5.1 to 10",F2074&lt;=20,"10 to 20", F2074&lt;= 40, "20 to 40", F2074 &lt;= 50, "40 to 50", F2074 &gt; 50, "&gt;50" )</f>
        <v>0 to 5</v>
      </c>
    </row>
    <row r="2075" spans="1:15" ht="15" customHeight="1" x14ac:dyDescent="0.3">
      <c r="A2075" t="s">
        <v>427</v>
      </c>
      <c r="B2075" s="1">
        <v>46210</v>
      </c>
      <c r="C2075" t="s">
        <v>16</v>
      </c>
      <c r="D2075">
        <v>1908</v>
      </c>
      <c r="E2075">
        <v>1</v>
      </c>
      <c r="F2075">
        <v>5.3</v>
      </c>
      <c r="G2075" t="s">
        <v>47</v>
      </c>
      <c r="H2075" t="s">
        <v>296</v>
      </c>
      <c r="I2075" t="str">
        <f t="shared" si="34"/>
        <v>1908_1</v>
      </c>
      <c r="J2075" t="s">
        <v>428</v>
      </c>
      <c r="K2075" t="s">
        <v>429</v>
      </c>
      <c r="L2075" t="str">
        <f>_xlfn.XLOOKUP(C2075, Table2[Species],Table2[Genus], "Code Not Found")</f>
        <v>Acer</v>
      </c>
      <c r="M2075" t="str">
        <f>_xlfn.XLOOKUP(C2075, Table2[Species],Table2[Sp. Name], "Code Not Found")</f>
        <v>saccharum</v>
      </c>
      <c r="N2075" t="str">
        <f>_xlfn.XLOOKUP(C2075,Table2[Species],Table2[Family],"Code Not Found")</f>
        <v>Sapindaceae</v>
      </c>
      <c r="O2075" t="str" cm="1">
        <f t="array" ref="O2075">_xlfn.IFS(F2075="","",F2075&lt;=5,"0 to 5",F2075&lt;=10,"5.1 to 10",F2075&lt;=20,"10 to 20", F2075&lt;= 40, "20 to 40", F2075 &lt;= 50, "40 to 50", F2075 &gt; 50, "&gt;50" )</f>
        <v>5.1 to 10</v>
      </c>
    </row>
    <row r="2076" spans="1:15" ht="15" customHeight="1" x14ac:dyDescent="0.3">
      <c r="A2076" t="s">
        <v>427</v>
      </c>
      <c r="B2076" s="1">
        <v>46210</v>
      </c>
      <c r="C2076" t="s">
        <v>16</v>
      </c>
      <c r="D2076">
        <v>1909</v>
      </c>
      <c r="E2076">
        <v>1</v>
      </c>
      <c r="F2076">
        <v>3</v>
      </c>
      <c r="G2076" t="s">
        <v>17</v>
      </c>
      <c r="I2076" t="str">
        <f t="shared" si="34"/>
        <v>1909_1</v>
      </c>
      <c r="J2076" t="s">
        <v>428</v>
      </c>
      <c r="K2076" t="s">
        <v>429</v>
      </c>
      <c r="L2076" t="str">
        <f>_xlfn.XLOOKUP(C2076, Table2[Species],Table2[Genus], "Code Not Found")</f>
        <v>Acer</v>
      </c>
      <c r="M2076" t="str">
        <f>_xlfn.XLOOKUP(C2076, Table2[Species],Table2[Sp. Name], "Code Not Found")</f>
        <v>saccharum</v>
      </c>
      <c r="N2076" t="str">
        <f>_xlfn.XLOOKUP(C2076,Table2[Species],Table2[Family],"Code Not Found")</f>
        <v>Sapindaceae</v>
      </c>
      <c r="O2076" t="str" cm="1">
        <f t="array" ref="O2076">_xlfn.IFS(F2076="","",F2076&lt;=5,"0 to 5",F2076&lt;=10,"5.1 to 10",F2076&lt;=20,"10 to 20", F2076&lt;= 40, "20 to 40", F2076 &lt;= 50, "40 to 50", F2076 &gt; 50, "&gt;50" )</f>
        <v>0 to 5</v>
      </c>
    </row>
    <row r="2077" spans="1:15" ht="15" customHeight="1" x14ac:dyDescent="0.3">
      <c r="A2077" t="s">
        <v>427</v>
      </c>
      <c r="B2077" s="1">
        <v>46210</v>
      </c>
      <c r="C2077" t="s">
        <v>64</v>
      </c>
      <c r="D2077">
        <v>1910</v>
      </c>
      <c r="E2077">
        <v>1</v>
      </c>
      <c r="F2077">
        <v>13.9</v>
      </c>
      <c r="G2077" t="s">
        <v>21</v>
      </c>
      <c r="I2077" t="str">
        <f t="shared" si="34"/>
        <v>1910_1</v>
      </c>
      <c r="J2077" t="s">
        <v>428</v>
      </c>
      <c r="K2077" t="s">
        <v>429</v>
      </c>
      <c r="L2077" t="str">
        <f>_xlfn.XLOOKUP(C2077, Table2[Species],Table2[Genus], "Code Not Found")</f>
        <v>Fagus</v>
      </c>
      <c r="M2077" t="str">
        <f>_xlfn.XLOOKUP(C2077, Table2[Species],Table2[Sp. Name], "Code Not Found")</f>
        <v>grandifolia</v>
      </c>
      <c r="N2077" t="str">
        <f>_xlfn.XLOOKUP(C2077,Table2[Species],Table2[Family],"Code Not Found")</f>
        <v>Fagaceae</v>
      </c>
      <c r="O2077" t="str" cm="1">
        <f t="array" ref="O2077">_xlfn.IFS(F2077="","",F2077&lt;=5,"0 to 5",F2077&lt;=10,"5.1 to 10",F2077&lt;=20,"10 to 20", F2077&lt;= 40, "20 to 40", F2077 &lt;= 50, "40 to 50", F2077 &gt; 50, "&gt;50" )</f>
        <v>10 to 20</v>
      </c>
    </row>
    <row r="2078" spans="1:15" ht="15" customHeight="1" x14ac:dyDescent="0.3">
      <c r="A2078" t="s">
        <v>427</v>
      </c>
      <c r="B2078" s="1">
        <v>46210</v>
      </c>
      <c r="C2078" t="s">
        <v>64</v>
      </c>
      <c r="D2078">
        <v>1911</v>
      </c>
      <c r="E2078">
        <v>1</v>
      </c>
      <c r="F2078">
        <v>7.4</v>
      </c>
      <c r="G2078" t="s">
        <v>17</v>
      </c>
      <c r="I2078" t="str">
        <f t="shared" si="34"/>
        <v>1911_1</v>
      </c>
      <c r="J2078" t="s">
        <v>428</v>
      </c>
      <c r="K2078" t="s">
        <v>429</v>
      </c>
      <c r="L2078" t="str">
        <f>_xlfn.XLOOKUP(C2078, Table2[Species],Table2[Genus], "Code Not Found")</f>
        <v>Fagus</v>
      </c>
      <c r="M2078" t="str">
        <f>_xlfn.XLOOKUP(C2078, Table2[Species],Table2[Sp. Name], "Code Not Found")</f>
        <v>grandifolia</v>
      </c>
      <c r="N2078" t="str">
        <f>_xlfn.XLOOKUP(C2078,Table2[Species],Table2[Family],"Code Not Found")</f>
        <v>Fagaceae</v>
      </c>
      <c r="O2078" t="str" cm="1">
        <f t="array" ref="O2078">_xlfn.IFS(F2078="","",F2078&lt;=5,"0 to 5",F2078&lt;=10,"5.1 to 10",F2078&lt;=20,"10 to 20", F2078&lt;= 40, "20 to 40", F2078 &lt;= 50, "40 to 50", F2078 &gt; 50, "&gt;50" )</f>
        <v>5.1 to 10</v>
      </c>
    </row>
    <row r="2079" spans="1:15" ht="15" customHeight="1" x14ac:dyDescent="0.3">
      <c r="A2079" t="s">
        <v>427</v>
      </c>
      <c r="B2079" s="1">
        <v>46210</v>
      </c>
      <c r="C2079" t="s">
        <v>430</v>
      </c>
      <c r="D2079">
        <v>1912</v>
      </c>
      <c r="E2079">
        <v>1</v>
      </c>
      <c r="F2079">
        <v>5</v>
      </c>
      <c r="G2079" t="s">
        <v>17</v>
      </c>
      <c r="H2079" t="s">
        <v>435</v>
      </c>
      <c r="I2079" t="str">
        <f t="shared" si="34"/>
        <v>1912_1</v>
      </c>
      <c r="J2079" t="s">
        <v>428</v>
      </c>
      <c r="K2079" t="s">
        <v>429</v>
      </c>
      <c r="L2079" t="str">
        <f>_xlfn.XLOOKUP(C2079, Table2[Species],Table2[Genus], "Code Not Found")</f>
        <v>Tsuga</v>
      </c>
      <c r="M2079" t="str">
        <f>_xlfn.XLOOKUP(C2079, Table2[Species],Table2[Sp. Name], "Code Not Found")</f>
        <v>canadensis</v>
      </c>
      <c r="N2079" t="str">
        <f>_xlfn.XLOOKUP(C2079,Table2[Species],Table2[Family],"Code Not Found")</f>
        <v>Pinaceae</v>
      </c>
      <c r="O2079" t="str" cm="1">
        <f t="array" ref="O2079">_xlfn.IFS(F2079="","",F2079&lt;=5,"0 to 5",F2079&lt;=10,"5.1 to 10",F2079&lt;=20,"10 to 20", F2079&lt;= 40, "20 to 40", F2079 &lt;= 50, "40 to 50", F2079 &gt; 50, "&gt;50" )</f>
        <v>0 to 5</v>
      </c>
    </row>
    <row r="2080" spans="1:15" ht="15" customHeight="1" x14ac:dyDescent="0.3">
      <c r="A2080" t="s">
        <v>427</v>
      </c>
      <c r="B2080" s="1">
        <v>46210</v>
      </c>
      <c r="C2080" t="s">
        <v>64</v>
      </c>
      <c r="D2080">
        <v>1913</v>
      </c>
      <c r="E2080">
        <v>1</v>
      </c>
      <c r="F2080">
        <v>6</v>
      </c>
      <c r="G2080" t="s">
        <v>47</v>
      </c>
      <c r="H2080" t="s">
        <v>456</v>
      </c>
      <c r="I2080" t="str">
        <f t="shared" si="34"/>
        <v>1913_1</v>
      </c>
      <c r="J2080" t="s">
        <v>428</v>
      </c>
      <c r="K2080" t="s">
        <v>429</v>
      </c>
      <c r="L2080" t="str">
        <f>_xlfn.XLOOKUP(C2080, Table2[Species],Table2[Genus], "Code Not Found")</f>
        <v>Fagus</v>
      </c>
      <c r="M2080" t="str">
        <f>_xlfn.XLOOKUP(C2080, Table2[Species],Table2[Sp. Name], "Code Not Found")</f>
        <v>grandifolia</v>
      </c>
      <c r="N2080" t="str">
        <f>_xlfn.XLOOKUP(C2080,Table2[Species],Table2[Family],"Code Not Found")</f>
        <v>Fagaceae</v>
      </c>
      <c r="O2080" t="str" cm="1">
        <f t="array" ref="O2080">_xlfn.IFS(F2080="","",F2080&lt;=5,"0 to 5",F2080&lt;=10,"5.1 to 10",F2080&lt;=20,"10 to 20", F2080&lt;= 40, "20 to 40", F2080 &lt;= 50, "40 to 50", F2080 &gt; 50, "&gt;50" )</f>
        <v>5.1 to 10</v>
      </c>
    </row>
    <row r="2081" spans="1:15" ht="15" customHeight="1" x14ac:dyDescent="0.3">
      <c r="A2081" t="s">
        <v>427</v>
      </c>
      <c r="B2081" s="1">
        <v>46210</v>
      </c>
      <c r="C2081" t="s">
        <v>64</v>
      </c>
      <c r="D2081">
        <v>1914</v>
      </c>
      <c r="E2081">
        <v>1</v>
      </c>
      <c r="F2081">
        <v>7.3</v>
      </c>
      <c r="G2081" t="s">
        <v>88</v>
      </c>
      <c r="H2081" t="s">
        <v>234</v>
      </c>
      <c r="I2081" t="str">
        <f t="shared" si="34"/>
        <v>1914_1</v>
      </c>
      <c r="J2081" t="s">
        <v>428</v>
      </c>
      <c r="K2081" t="s">
        <v>429</v>
      </c>
      <c r="L2081" t="str">
        <f>_xlfn.XLOOKUP(C2081, Table2[Species],Table2[Genus], "Code Not Found")</f>
        <v>Fagus</v>
      </c>
      <c r="M2081" t="str">
        <f>_xlfn.XLOOKUP(C2081, Table2[Species],Table2[Sp. Name], "Code Not Found")</f>
        <v>grandifolia</v>
      </c>
      <c r="N2081" t="str">
        <f>_xlfn.XLOOKUP(C2081,Table2[Species],Table2[Family],"Code Not Found")</f>
        <v>Fagaceae</v>
      </c>
      <c r="O2081" t="str" cm="1">
        <f t="array" ref="O2081">_xlfn.IFS(F2081="","",F2081&lt;=5,"0 to 5",F2081&lt;=10,"5.1 to 10",F2081&lt;=20,"10 to 20", F2081&lt;= 40, "20 to 40", F2081 &lt;= 50, "40 to 50", F2081 &gt; 50, "&gt;50" )</f>
        <v>5.1 to 10</v>
      </c>
    </row>
    <row r="2082" spans="1:15" ht="15" customHeight="1" x14ac:dyDescent="0.3">
      <c r="A2082" t="s">
        <v>427</v>
      </c>
      <c r="B2082" s="1">
        <v>46210</v>
      </c>
      <c r="C2082" t="s">
        <v>64</v>
      </c>
      <c r="D2082">
        <v>1915</v>
      </c>
      <c r="E2082">
        <v>1</v>
      </c>
      <c r="F2082">
        <v>5.9</v>
      </c>
      <c r="G2082" t="s">
        <v>17</v>
      </c>
      <c r="H2082" t="s">
        <v>36</v>
      </c>
      <c r="I2082" t="str">
        <f t="shared" si="34"/>
        <v>1915_1</v>
      </c>
      <c r="J2082" t="s">
        <v>428</v>
      </c>
      <c r="K2082" t="s">
        <v>429</v>
      </c>
      <c r="L2082" t="str">
        <f>_xlfn.XLOOKUP(C2082, Table2[Species],Table2[Genus], "Code Not Found")</f>
        <v>Fagus</v>
      </c>
      <c r="M2082" t="str">
        <f>_xlfn.XLOOKUP(C2082, Table2[Species],Table2[Sp. Name], "Code Not Found")</f>
        <v>grandifolia</v>
      </c>
      <c r="N2082" t="str">
        <f>_xlfn.XLOOKUP(C2082,Table2[Species],Table2[Family],"Code Not Found")</f>
        <v>Fagaceae</v>
      </c>
      <c r="O2082" t="str" cm="1">
        <f t="array" ref="O2082">_xlfn.IFS(F2082="","",F2082&lt;=5,"0 to 5",F2082&lt;=10,"5.1 to 10",F2082&lt;=20,"10 to 20", F2082&lt;= 40, "20 to 40", F2082 &lt;= 50, "40 to 50", F2082 &gt; 50, "&gt;50" )</f>
        <v>5.1 to 10</v>
      </c>
    </row>
    <row r="2083" spans="1:15" ht="15" customHeight="1" x14ac:dyDescent="0.3">
      <c r="A2083" t="s">
        <v>427</v>
      </c>
      <c r="B2083" s="1">
        <v>46210</v>
      </c>
      <c r="C2083" t="s">
        <v>123</v>
      </c>
      <c r="D2083">
        <v>1916</v>
      </c>
      <c r="E2083">
        <v>1</v>
      </c>
      <c r="F2083">
        <v>25.9</v>
      </c>
      <c r="G2083" t="s">
        <v>17</v>
      </c>
      <c r="I2083" t="str">
        <f t="shared" ref="I2083:I2146" si="35">D2083&amp;"_"&amp;E2083</f>
        <v>1916_1</v>
      </c>
      <c r="J2083" t="s">
        <v>428</v>
      </c>
      <c r="K2083" t="s">
        <v>429</v>
      </c>
      <c r="L2083" t="str">
        <f>_xlfn.XLOOKUP(C2083, Table2[Species],Table2[Genus], "Code Not Found")</f>
        <v>Quercus</v>
      </c>
      <c r="M2083" t="str">
        <f>_xlfn.XLOOKUP(C2083, Table2[Species],Table2[Sp. Name], "Code Not Found")</f>
        <v>rubra</v>
      </c>
      <c r="N2083" t="str">
        <f>_xlfn.XLOOKUP(C2083,Table2[Species],Table2[Family],"Code Not Found")</f>
        <v>Fagaceae</v>
      </c>
      <c r="O2083" t="str" cm="1">
        <f t="array" ref="O2083">_xlfn.IFS(F2083="","",F2083&lt;=5,"0 to 5",F2083&lt;=10,"5.1 to 10",F2083&lt;=20,"10 to 20", F2083&lt;= 40, "20 to 40", F2083 &lt;= 50, "40 to 50", F2083 &gt; 50, "&gt;50" )</f>
        <v>20 to 40</v>
      </c>
    </row>
    <row r="2084" spans="1:15" ht="15" customHeight="1" x14ac:dyDescent="0.3">
      <c r="A2084" t="s">
        <v>427</v>
      </c>
      <c r="B2084" s="1">
        <v>46210</v>
      </c>
      <c r="C2084" t="s">
        <v>16</v>
      </c>
      <c r="D2084">
        <v>1917</v>
      </c>
      <c r="E2084">
        <v>1</v>
      </c>
      <c r="F2084">
        <v>9.3000000000000007</v>
      </c>
      <c r="G2084" t="s">
        <v>47</v>
      </c>
      <c r="H2084" t="s">
        <v>296</v>
      </c>
      <c r="I2084" t="str">
        <f t="shared" si="35"/>
        <v>1917_1</v>
      </c>
      <c r="J2084" t="s">
        <v>428</v>
      </c>
      <c r="K2084" t="s">
        <v>429</v>
      </c>
      <c r="L2084" t="str">
        <f>_xlfn.XLOOKUP(C2084, Table2[Species],Table2[Genus], "Code Not Found")</f>
        <v>Acer</v>
      </c>
      <c r="M2084" t="str">
        <f>_xlfn.XLOOKUP(C2084, Table2[Species],Table2[Sp. Name], "Code Not Found")</f>
        <v>saccharum</v>
      </c>
      <c r="N2084" t="str">
        <f>_xlfn.XLOOKUP(C2084,Table2[Species],Table2[Family],"Code Not Found")</f>
        <v>Sapindaceae</v>
      </c>
      <c r="O2084" t="str" cm="1">
        <f t="array" ref="O2084">_xlfn.IFS(F2084="","",F2084&lt;=5,"0 to 5",F2084&lt;=10,"5.1 to 10",F2084&lt;=20,"10 to 20", F2084&lt;= 40, "20 to 40", F2084 &lt;= 50, "40 to 50", F2084 &gt; 50, "&gt;50" )</f>
        <v>5.1 to 10</v>
      </c>
    </row>
    <row r="2085" spans="1:15" ht="15" customHeight="1" x14ac:dyDescent="0.3">
      <c r="A2085" t="s">
        <v>427</v>
      </c>
      <c r="B2085" s="1">
        <v>46210</v>
      </c>
      <c r="C2085" t="s">
        <v>64</v>
      </c>
      <c r="D2085">
        <v>1918</v>
      </c>
      <c r="E2085">
        <v>1</v>
      </c>
      <c r="F2085">
        <v>15.7</v>
      </c>
      <c r="G2085" t="s">
        <v>21</v>
      </c>
      <c r="I2085" t="str">
        <f t="shared" si="35"/>
        <v>1918_1</v>
      </c>
      <c r="J2085" t="s">
        <v>428</v>
      </c>
      <c r="K2085" t="s">
        <v>429</v>
      </c>
      <c r="L2085" t="str">
        <f>_xlfn.XLOOKUP(C2085, Table2[Species],Table2[Genus], "Code Not Found")</f>
        <v>Fagus</v>
      </c>
      <c r="M2085" t="str">
        <f>_xlfn.XLOOKUP(C2085, Table2[Species],Table2[Sp. Name], "Code Not Found")</f>
        <v>grandifolia</v>
      </c>
      <c r="N2085" t="str">
        <f>_xlfn.XLOOKUP(C2085,Table2[Species],Table2[Family],"Code Not Found")</f>
        <v>Fagaceae</v>
      </c>
      <c r="O2085" t="str" cm="1">
        <f t="array" ref="O2085">_xlfn.IFS(F2085="","",F2085&lt;=5,"0 to 5",F2085&lt;=10,"5.1 to 10",F2085&lt;=20,"10 to 20", F2085&lt;= 40, "20 to 40", F2085 &lt;= 50, "40 to 50", F2085 &gt; 50, "&gt;50" )</f>
        <v>10 to 20</v>
      </c>
    </row>
    <row r="2086" spans="1:15" ht="15" customHeight="1" x14ac:dyDescent="0.3">
      <c r="A2086" t="s">
        <v>427</v>
      </c>
      <c r="B2086" s="1">
        <v>46210</v>
      </c>
      <c r="C2086" t="s">
        <v>55</v>
      </c>
      <c r="D2086">
        <v>1919</v>
      </c>
      <c r="E2086">
        <v>1</v>
      </c>
      <c r="F2086">
        <v>28.5</v>
      </c>
      <c r="G2086" t="s">
        <v>21</v>
      </c>
      <c r="I2086" t="str">
        <f t="shared" si="35"/>
        <v>1919_1</v>
      </c>
      <c r="J2086" t="s">
        <v>428</v>
      </c>
      <c r="K2086" t="s">
        <v>429</v>
      </c>
      <c r="L2086" t="str">
        <f>_xlfn.XLOOKUP(C2086, Table2[Species],Table2[Genus], "Code Not Found")</f>
        <v>Magnolia</v>
      </c>
      <c r="M2086" t="str">
        <f>_xlfn.XLOOKUP(C2086, Table2[Species],Table2[Sp. Name], "Code Not Found")</f>
        <v>acuminata</v>
      </c>
      <c r="N2086" t="str">
        <f>_xlfn.XLOOKUP(C2086,Table2[Species],Table2[Family],"Code Not Found")</f>
        <v>Magnoliaceae</v>
      </c>
      <c r="O2086" t="str" cm="1">
        <f t="array" ref="O2086">_xlfn.IFS(F2086="","",F2086&lt;=5,"0 to 5",F2086&lt;=10,"5.1 to 10",F2086&lt;=20,"10 to 20", F2086&lt;= 40, "20 to 40", F2086 &lt;= 50, "40 to 50", F2086 &gt; 50, "&gt;50" )</f>
        <v>20 to 40</v>
      </c>
    </row>
    <row r="2087" spans="1:15" ht="15" customHeight="1" x14ac:dyDescent="0.3">
      <c r="A2087" t="s">
        <v>427</v>
      </c>
      <c r="B2087" s="1">
        <v>46210</v>
      </c>
      <c r="C2087" t="s">
        <v>430</v>
      </c>
      <c r="D2087">
        <v>1920</v>
      </c>
      <c r="E2087">
        <v>1</v>
      </c>
      <c r="F2087">
        <v>17.2</v>
      </c>
      <c r="G2087" t="s">
        <v>88</v>
      </c>
      <c r="H2087" t="s">
        <v>305</v>
      </c>
      <c r="I2087" t="str">
        <f t="shared" si="35"/>
        <v>1920_1</v>
      </c>
      <c r="J2087" t="s">
        <v>428</v>
      </c>
      <c r="K2087" t="s">
        <v>429</v>
      </c>
      <c r="L2087" t="str">
        <f>_xlfn.XLOOKUP(C2087, Table2[Species],Table2[Genus], "Code Not Found")</f>
        <v>Tsuga</v>
      </c>
      <c r="M2087" t="str">
        <f>_xlfn.XLOOKUP(C2087, Table2[Species],Table2[Sp. Name], "Code Not Found")</f>
        <v>canadensis</v>
      </c>
      <c r="N2087" t="str">
        <f>_xlfn.XLOOKUP(C2087,Table2[Species],Table2[Family],"Code Not Found")</f>
        <v>Pinaceae</v>
      </c>
      <c r="O2087" t="str" cm="1">
        <f t="array" ref="O2087">_xlfn.IFS(F2087="","",F2087&lt;=5,"0 to 5",F2087&lt;=10,"5.1 to 10",F2087&lt;=20,"10 to 20", F2087&lt;= 40, "20 to 40", F2087 &lt;= 50, "40 to 50", F2087 &gt; 50, "&gt;50" )</f>
        <v>10 to 20</v>
      </c>
    </row>
    <row r="2088" spans="1:15" ht="15" customHeight="1" x14ac:dyDescent="0.3">
      <c r="A2088" t="s">
        <v>427</v>
      </c>
      <c r="B2088" s="1">
        <v>46210</v>
      </c>
      <c r="C2088" t="s">
        <v>430</v>
      </c>
      <c r="D2088">
        <v>1921</v>
      </c>
      <c r="E2088">
        <v>1</v>
      </c>
      <c r="F2088">
        <v>22.6</v>
      </c>
      <c r="G2088" t="s">
        <v>17</v>
      </c>
      <c r="I2088" t="str">
        <f t="shared" si="35"/>
        <v>1921_1</v>
      </c>
      <c r="J2088" t="s">
        <v>428</v>
      </c>
      <c r="K2088" t="s">
        <v>429</v>
      </c>
      <c r="L2088" t="str">
        <f>_xlfn.XLOOKUP(C2088, Table2[Species],Table2[Genus], "Code Not Found")</f>
        <v>Tsuga</v>
      </c>
      <c r="M2088" t="str">
        <f>_xlfn.XLOOKUP(C2088, Table2[Species],Table2[Sp. Name], "Code Not Found")</f>
        <v>canadensis</v>
      </c>
      <c r="N2088" t="str">
        <f>_xlfn.XLOOKUP(C2088,Table2[Species],Table2[Family],"Code Not Found")</f>
        <v>Pinaceae</v>
      </c>
      <c r="O2088" t="str" cm="1">
        <f t="array" ref="O2088">_xlfn.IFS(F2088="","",F2088&lt;=5,"0 to 5",F2088&lt;=10,"5.1 to 10",F2088&lt;=20,"10 to 20", F2088&lt;= 40, "20 to 40", F2088 &lt;= 50, "40 to 50", F2088 &gt; 50, "&gt;50" )</f>
        <v>20 to 40</v>
      </c>
    </row>
    <row r="2089" spans="1:15" ht="15" customHeight="1" x14ac:dyDescent="0.3">
      <c r="A2089" t="s">
        <v>427</v>
      </c>
      <c r="B2089" s="1">
        <v>46210</v>
      </c>
      <c r="C2089" t="s">
        <v>430</v>
      </c>
      <c r="D2089">
        <v>1922</v>
      </c>
      <c r="E2089">
        <v>1</v>
      </c>
      <c r="F2089">
        <v>7.2</v>
      </c>
      <c r="G2089" t="s">
        <v>88</v>
      </c>
      <c r="H2089" t="s">
        <v>457</v>
      </c>
      <c r="I2089" t="str">
        <f t="shared" si="35"/>
        <v>1922_1</v>
      </c>
      <c r="J2089" t="s">
        <v>428</v>
      </c>
      <c r="K2089" t="s">
        <v>429</v>
      </c>
      <c r="L2089" t="str">
        <f>_xlfn.XLOOKUP(C2089, Table2[Species],Table2[Genus], "Code Not Found")</f>
        <v>Tsuga</v>
      </c>
      <c r="M2089" t="str">
        <f>_xlfn.XLOOKUP(C2089, Table2[Species],Table2[Sp. Name], "Code Not Found")</f>
        <v>canadensis</v>
      </c>
      <c r="N2089" t="str">
        <f>_xlfn.XLOOKUP(C2089,Table2[Species],Table2[Family],"Code Not Found")</f>
        <v>Pinaceae</v>
      </c>
      <c r="O2089" t="str" cm="1">
        <f t="array" ref="O2089">_xlfn.IFS(F2089="","",F2089&lt;=5,"0 to 5",F2089&lt;=10,"5.1 to 10",F2089&lt;=20,"10 to 20", F2089&lt;= 40, "20 to 40", F2089 &lt;= 50, "40 to 50", F2089 &gt; 50, "&gt;50" )</f>
        <v>5.1 to 10</v>
      </c>
    </row>
    <row r="2090" spans="1:15" ht="15" customHeight="1" x14ac:dyDescent="0.3">
      <c r="A2090" t="s">
        <v>427</v>
      </c>
      <c r="B2090" s="1">
        <v>46210</v>
      </c>
      <c r="C2090" t="s">
        <v>430</v>
      </c>
      <c r="D2090">
        <v>1923</v>
      </c>
      <c r="E2090">
        <v>1</v>
      </c>
      <c r="F2090">
        <v>25.5</v>
      </c>
      <c r="G2090" t="s">
        <v>47</v>
      </c>
      <c r="I2090" t="str">
        <f t="shared" si="35"/>
        <v>1923_1</v>
      </c>
      <c r="J2090" t="s">
        <v>428</v>
      </c>
      <c r="K2090" t="s">
        <v>429</v>
      </c>
      <c r="L2090" t="str">
        <f>_xlfn.XLOOKUP(C2090, Table2[Species],Table2[Genus], "Code Not Found")</f>
        <v>Tsuga</v>
      </c>
      <c r="M2090" t="str">
        <f>_xlfn.XLOOKUP(C2090, Table2[Species],Table2[Sp. Name], "Code Not Found")</f>
        <v>canadensis</v>
      </c>
      <c r="N2090" t="str">
        <f>_xlfn.XLOOKUP(C2090,Table2[Species],Table2[Family],"Code Not Found")</f>
        <v>Pinaceae</v>
      </c>
      <c r="O2090" t="str" cm="1">
        <f t="array" ref="O2090">_xlfn.IFS(F2090="","",F2090&lt;=5,"0 to 5",F2090&lt;=10,"5.1 to 10",F2090&lt;=20,"10 to 20", F2090&lt;= 40, "20 to 40", F2090 &lt;= 50, "40 to 50", F2090 &gt; 50, "&gt;50" )</f>
        <v>20 to 40</v>
      </c>
    </row>
    <row r="2091" spans="1:15" ht="15" customHeight="1" x14ac:dyDescent="0.3">
      <c r="A2091" t="s">
        <v>427</v>
      </c>
      <c r="B2091" s="1">
        <v>46210</v>
      </c>
      <c r="C2091" t="s">
        <v>430</v>
      </c>
      <c r="D2091">
        <v>1924</v>
      </c>
      <c r="E2091">
        <v>1</v>
      </c>
      <c r="F2091">
        <v>17.899999999999999</v>
      </c>
      <c r="G2091" t="s">
        <v>17</v>
      </c>
      <c r="H2091" t="s">
        <v>36</v>
      </c>
      <c r="I2091" t="str">
        <f t="shared" si="35"/>
        <v>1924_1</v>
      </c>
      <c r="J2091" t="s">
        <v>428</v>
      </c>
      <c r="K2091" t="s">
        <v>429</v>
      </c>
      <c r="L2091" t="str">
        <f>_xlfn.XLOOKUP(C2091, Table2[Species],Table2[Genus], "Code Not Found")</f>
        <v>Tsuga</v>
      </c>
      <c r="M2091" t="str">
        <f>_xlfn.XLOOKUP(C2091, Table2[Species],Table2[Sp. Name], "Code Not Found")</f>
        <v>canadensis</v>
      </c>
      <c r="N2091" t="str">
        <f>_xlfn.XLOOKUP(C2091,Table2[Species],Table2[Family],"Code Not Found")</f>
        <v>Pinaceae</v>
      </c>
      <c r="O2091" t="str" cm="1">
        <f t="array" ref="O2091">_xlfn.IFS(F2091="","",F2091&lt;=5,"0 to 5",F2091&lt;=10,"5.1 to 10",F2091&lt;=20,"10 to 20", F2091&lt;= 40, "20 to 40", F2091 &lt;= 50, "40 to 50", F2091 &gt; 50, "&gt;50" )</f>
        <v>10 to 20</v>
      </c>
    </row>
    <row r="2092" spans="1:15" ht="15" customHeight="1" x14ac:dyDescent="0.3">
      <c r="A2092" t="s">
        <v>427</v>
      </c>
      <c r="B2092" s="1">
        <v>46210</v>
      </c>
      <c r="C2092" t="s">
        <v>55</v>
      </c>
      <c r="D2092">
        <v>1925</v>
      </c>
      <c r="E2092">
        <v>1</v>
      </c>
      <c r="F2092">
        <v>48.8</v>
      </c>
      <c r="G2092" t="s">
        <v>21</v>
      </c>
      <c r="I2092" t="str">
        <f t="shared" si="35"/>
        <v>1925_1</v>
      </c>
      <c r="J2092" t="s">
        <v>428</v>
      </c>
      <c r="K2092" t="s">
        <v>429</v>
      </c>
      <c r="L2092" t="str">
        <f>_xlfn.XLOOKUP(C2092, Table2[Species],Table2[Genus], "Code Not Found")</f>
        <v>Magnolia</v>
      </c>
      <c r="M2092" t="str">
        <f>_xlfn.XLOOKUP(C2092, Table2[Species],Table2[Sp. Name], "Code Not Found")</f>
        <v>acuminata</v>
      </c>
      <c r="N2092" t="str">
        <f>_xlfn.XLOOKUP(C2092,Table2[Species],Table2[Family],"Code Not Found")</f>
        <v>Magnoliaceae</v>
      </c>
      <c r="O2092" t="str" cm="1">
        <f t="array" ref="O2092">_xlfn.IFS(F2092="","",F2092&lt;=5,"0 to 5",F2092&lt;=10,"5.1 to 10",F2092&lt;=20,"10 to 20", F2092&lt;= 40, "20 to 40", F2092 &lt;= 50, "40 to 50", F2092 &gt; 50, "&gt;50" )</f>
        <v>40 to 50</v>
      </c>
    </row>
    <row r="2093" spans="1:15" ht="15" customHeight="1" x14ac:dyDescent="0.3">
      <c r="A2093" t="s">
        <v>427</v>
      </c>
      <c r="B2093" s="1">
        <v>46210</v>
      </c>
      <c r="C2093" t="s">
        <v>118</v>
      </c>
      <c r="D2093">
        <v>1926</v>
      </c>
      <c r="E2093">
        <v>1</v>
      </c>
      <c r="F2093">
        <v>101.3</v>
      </c>
      <c r="G2093" t="s">
        <v>17</v>
      </c>
      <c r="I2093" t="str">
        <f t="shared" si="35"/>
        <v>1926_1</v>
      </c>
      <c r="J2093" t="s">
        <v>428</v>
      </c>
      <c r="K2093" t="s">
        <v>429</v>
      </c>
      <c r="L2093" t="str">
        <f>_xlfn.XLOOKUP(C2093, Table2[Species],Table2[Genus], "Code Not Found")</f>
        <v>Quercus</v>
      </c>
      <c r="M2093" t="str">
        <f>_xlfn.XLOOKUP(C2093, Table2[Species],Table2[Sp. Name], "Code Not Found")</f>
        <v>montana</v>
      </c>
      <c r="N2093" t="str">
        <f>_xlfn.XLOOKUP(C2093,Table2[Species],Table2[Family],"Code Not Found")</f>
        <v>Fagaceae</v>
      </c>
      <c r="O2093" t="str" cm="1">
        <f t="array" ref="O2093">_xlfn.IFS(F2093="","",F2093&lt;=5,"0 to 5",F2093&lt;=10,"5.1 to 10",F2093&lt;=20,"10 to 20", F2093&lt;= 40, "20 to 40", F2093 &lt;= 50, "40 to 50", F2093 &gt; 50, "&gt;50" )</f>
        <v>&gt;50</v>
      </c>
    </row>
    <row r="2094" spans="1:15" ht="15" customHeight="1" x14ac:dyDescent="0.3">
      <c r="A2094" t="s">
        <v>427</v>
      </c>
      <c r="B2094" s="1">
        <v>46210</v>
      </c>
      <c r="C2094" t="s">
        <v>430</v>
      </c>
      <c r="D2094">
        <v>1927</v>
      </c>
      <c r="E2094">
        <v>1</v>
      </c>
      <c r="F2094">
        <v>13.4</v>
      </c>
      <c r="G2094" t="s">
        <v>21</v>
      </c>
      <c r="I2094" t="str">
        <f t="shared" si="35"/>
        <v>1927_1</v>
      </c>
      <c r="J2094" t="s">
        <v>428</v>
      </c>
      <c r="K2094" t="s">
        <v>429</v>
      </c>
      <c r="L2094" t="str">
        <f>_xlfn.XLOOKUP(C2094, Table2[Species],Table2[Genus], "Code Not Found")</f>
        <v>Tsuga</v>
      </c>
      <c r="M2094" t="str">
        <f>_xlfn.XLOOKUP(C2094, Table2[Species],Table2[Sp. Name], "Code Not Found")</f>
        <v>canadensis</v>
      </c>
      <c r="N2094" t="str">
        <f>_xlfn.XLOOKUP(C2094,Table2[Species],Table2[Family],"Code Not Found")</f>
        <v>Pinaceae</v>
      </c>
      <c r="O2094" t="str" cm="1">
        <f t="array" ref="O2094">_xlfn.IFS(F2094="","",F2094&lt;=5,"0 to 5",F2094&lt;=10,"5.1 to 10",F2094&lt;=20,"10 to 20", F2094&lt;= 40, "20 to 40", F2094 &lt;= 50, "40 to 50", F2094 &gt; 50, "&gt;50" )</f>
        <v>10 to 20</v>
      </c>
    </row>
    <row r="2095" spans="1:15" ht="15" customHeight="1" x14ac:dyDescent="0.3">
      <c r="A2095" t="s">
        <v>427</v>
      </c>
      <c r="B2095" s="1">
        <v>46210</v>
      </c>
      <c r="C2095" t="s">
        <v>59</v>
      </c>
      <c r="D2095">
        <v>1928</v>
      </c>
      <c r="E2095">
        <v>1</v>
      </c>
      <c r="F2095">
        <v>80.2</v>
      </c>
      <c r="G2095" t="s">
        <v>21</v>
      </c>
      <c r="I2095" t="str">
        <f t="shared" si="35"/>
        <v>1928_1</v>
      </c>
      <c r="J2095" t="s">
        <v>428</v>
      </c>
      <c r="K2095" t="s">
        <v>429</v>
      </c>
      <c r="L2095" t="str">
        <f>_xlfn.XLOOKUP(C2095, Table2[Species],Table2[Genus], "Code Not Found")</f>
        <v>Nyssa</v>
      </c>
      <c r="M2095" t="str">
        <f>_xlfn.XLOOKUP(C2095, Table2[Species],Table2[Sp. Name], "Code Not Found")</f>
        <v>sylvatica</v>
      </c>
      <c r="N2095" t="str">
        <f>_xlfn.XLOOKUP(C2095,Table2[Species],Table2[Family],"Code Not Found")</f>
        <v>Nyssaceae</v>
      </c>
      <c r="O2095" t="str" cm="1">
        <f t="array" ref="O2095">_xlfn.IFS(F2095="","",F2095&lt;=5,"0 to 5",F2095&lt;=10,"5.1 to 10",F2095&lt;=20,"10 to 20", F2095&lt;= 40, "20 to 40", F2095 &lt;= 50, "40 to 50", F2095 &gt; 50, "&gt;50" )</f>
        <v>&gt;50</v>
      </c>
    </row>
    <row r="2096" spans="1:15" ht="15" customHeight="1" x14ac:dyDescent="0.3">
      <c r="A2096" t="s">
        <v>427</v>
      </c>
      <c r="B2096" s="1">
        <v>46210</v>
      </c>
      <c r="C2096" t="s">
        <v>430</v>
      </c>
      <c r="D2096">
        <v>1929</v>
      </c>
      <c r="E2096">
        <v>1</v>
      </c>
      <c r="F2096">
        <v>49.3</v>
      </c>
      <c r="G2096" t="s">
        <v>17</v>
      </c>
      <c r="I2096" t="str">
        <f t="shared" si="35"/>
        <v>1929_1</v>
      </c>
      <c r="J2096" t="s">
        <v>428</v>
      </c>
      <c r="K2096" t="s">
        <v>429</v>
      </c>
      <c r="L2096" t="str">
        <f>_xlfn.XLOOKUP(C2096, Table2[Species],Table2[Genus], "Code Not Found")</f>
        <v>Tsuga</v>
      </c>
      <c r="M2096" t="str">
        <f>_xlfn.XLOOKUP(C2096, Table2[Species],Table2[Sp. Name], "Code Not Found")</f>
        <v>canadensis</v>
      </c>
      <c r="N2096" t="str">
        <f>_xlfn.XLOOKUP(C2096,Table2[Species],Table2[Family],"Code Not Found")</f>
        <v>Pinaceae</v>
      </c>
      <c r="O2096" t="str" cm="1">
        <f t="array" ref="O2096">_xlfn.IFS(F2096="","",F2096&lt;=5,"0 to 5",F2096&lt;=10,"5.1 to 10",F2096&lt;=20,"10 to 20", F2096&lt;= 40, "20 to 40", F2096 &lt;= 50, "40 to 50", F2096 &gt; 50, "&gt;50" )</f>
        <v>40 to 50</v>
      </c>
    </row>
    <row r="2097" spans="1:15" ht="15" customHeight="1" x14ac:dyDescent="0.3">
      <c r="A2097" t="s">
        <v>427</v>
      </c>
      <c r="B2097" s="1">
        <v>46210</v>
      </c>
      <c r="C2097" t="s">
        <v>430</v>
      </c>
      <c r="D2097">
        <v>1930</v>
      </c>
      <c r="E2097">
        <v>1</v>
      </c>
      <c r="F2097">
        <v>9.5</v>
      </c>
      <c r="G2097" t="s">
        <v>47</v>
      </c>
      <c r="H2097" t="s">
        <v>357</v>
      </c>
      <c r="I2097" t="str">
        <f t="shared" si="35"/>
        <v>1930_1</v>
      </c>
      <c r="J2097" t="s">
        <v>428</v>
      </c>
      <c r="K2097" t="s">
        <v>429</v>
      </c>
      <c r="L2097" t="str">
        <f>_xlfn.XLOOKUP(C2097, Table2[Species],Table2[Genus], "Code Not Found")</f>
        <v>Tsuga</v>
      </c>
      <c r="M2097" t="str">
        <f>_xlfn.XLOOKUP(C2097, Table2[Species],Table2[Sp. Name], "Code Not Found")</f>
        <v>canadensis</v>
      </c>
      <c r="N2097" t="str">
        <f>_xlfn.XLOOKUP(C2097,Table2[Species],Table2[Family],"Code Not Found")</f>
        <v>Pinaceae</v>
      </c>
      <c r="O2097" t="str" cm="1">
        <f t="array" ref="O2097">_xlfn.IFS(F2097="","",F2097&lt;=5,"0 to 5",F2097&lt;=10,"5.1 to 10",F2097&lt;=20,"10 to 20", F2097&lt;= 40, "20 to 40", F2097 &lt;= 50, "40 to 50", F2097 &gt; 50, "&gt;50" )</f>
        <v>5.1 to 10</v>
      </c>
    </row>
    <row r="2098" spans="1:15" ht="15" customHeight="1" x14ac:dyDescent="0.3">
      <c r="A2098" t="s">
        <v>427</v>
      </c>
      <c r="B2098" s="1">
        <v>46210</v>
      </c>
      <c r="C2098" t="s">
        <v>430</v>
      </c>
      <c r="D2098">
        <v>1931</v>
      </c>
      <c r="E2098">
        <v>1</v>
      </c>
      <c r="F2098">
        <v>8.1</v>
      </c>
      <c r="G2098" t="s">
        <v>21</v>
      </c>
      <c r="I2098" t="str">
        <f t="shared" si="35"/>
        <v>1931_1</v>
      </c>
      <c r="J2098" t="s">
        <v>428</v>
      </c>
      <c r="K2098" t="s">
        <v>429</v>
      </c>
      <c r="L2098" t="str">
        <f>_xlfn.XLOOKUP(C2098, Table2[Species],Table2[Genus], "Code Not Found")</f>
        <v>Tsuga</v>
      </c>
      <c r="M2098" t="str">
        <f>_xlfn.XLOOKUP(C2098, Table2[Species],Table2[Sp. Name], "Code Not Found")</f>
        <v>canadensis</v>
      </c>
      <c r="N2098" t="str">
        <f>_xlfn.XLOOKUP(C2098,Table2[Species],Table2[Family],"Code Not Found")</f>
        <v>Pinaceae</v>
      </c>
      <c r="O2098" t="str" cm="1">
        <f t="array" ref="O2098">_xlfn.IFS(F2098="","",F2098&lt;=5,"0 to 5",F2098&lt;=10,"5.1 to 10",F2098&lt;=20,"10 to 20", F2098&lt;= 40, "20 to 40", F2098 &lt;= 50, "40 to 50", F2098 &gt; 50, "&gt;50" )</f>
        <v>5.1 to 10</v>
      </c>
    </row>
    <row r="2099" spans="1:15" ht="15" customHeight="1" x14ac:dyDescent="0.3">
      <c r="A2099" t="s">
        <v>427</v>
      </c>
      <c r="B2099" s="1">
        <v>46210</v>
      </c>
      <c r="C2099" t="s">
        <v>430</v>
      </c>
      <c r="D2099">
        <v>1932</v>
      </c>
      <c r="E2099">
        <v>1</v>
      </c>
      <c r="F2099">
        <v>8.9</v>
      </c>
      <c r="G2099" t="s">
        <v>17</v>
      </c>
      <c r="I2099" t="str">
        <f t="shared" si="35"/>
        <v>1932_1</v>
      </c>
      <c r="J2099" t="s">
        <v>428</v>
      </c>
      <c r="K2099" t="s">
        <v>429</v>
      </c>
      <c r="L2099" t="str">
        <f>_xlfn.XLOOKUP(C2099, Table2[Species],Table2[Genus], "Code Not Found")</f>
        <v>Tsuga</v>
      </c>
      <c r="M2099" t="str">
        <f>_xlfn.XLOOKUP(C2099, Table2[Species],Table2[Sp. Name], "Code Not Found")</f>
        <v>canadensis</v>
      </c>
      <c r="N2099" t="str">
        <f>_xlfn.XLOOKUP(C2099,Table2[Species],Table2[Family],"Code Not Found")</f>
        <v>Pinaceae</v>
      </c>
      <c r="O2099" t="str" cm="1">
        <f t="array" ref="O2099">_xlfn.IFS(F2099="","",F2099&lt;=5,"0 to 5",F2099&lt;=10,"5.1 to 10",F2099&lt;=20,"10 to 20", F2099&lt;= 40, "20 to 40", F2099 &lt;= 50, "40 to 50", F2099 &gt; 50, "&gt;50" )</f>
        <v>5.1 to 10</v>
      </c>
    </row>
    <row r="2100" spans="1:15" ht="15" customHeight="1" x14ac:dyDescent="0.3">
      <c r="A2100" t="s">
        <v>427</v>
      </c>
      <c r="B2100" s="1">
        <v>46210</v>
      </c>
      <c r="C2100" t="s">
        <v>430</v>
      </c>
      <c r="D2100">
        <v>1933</v>
      </c>
      <c r="E2100">
        <v>1</v>
      </c>
      <c r="F2100">
        <v>11.3</v>
      </c>
      <c r="G2100" t="s">
        <v>21</v>
      </c>
      <c r="I2100" t="str">
        <f t="shared" si="35"/>
        <v>1933_1</v>
      </c>
      <c r="J2100" t="s">
        <v>428</v>
      </c>
      <c r="K2100" t="s">
        <v>429</v>
      </c>
      <c r="L2100" t="str">
        <f>_xlfn.XLOOKUP(C2100, Table2[Species],Table2[Genus], "Code Not Found")</f>
        <v>Tsuga</v>
      </c>
      <c r="M2100" t="str">
        <f>_xlfn.XLOOKUP(C2100, Table2[Species],Table2[Sp. Name], "Code Not Found")</f>
        <v>canadensis</v>
      </c>
      <c r="N2100" t="str">
        <f>_xlfn.XLOOKUP(C2100,Table2[Species],Table2[Family],"Code Not Found")</f>
        <v>Pinaceae</v>
      </c>
      <c r="O2100" t="str" cm="1">
        <f t="array" ref="O2100">_xlfn.IFS(F2100="","",F2100&lt;=5,"0 to 5",F2100&lt;=10,"5.1 to 10",F2100&lt;=20,"10 to 20", F2100&lt;= 40, "20 to 40", F2100 &lt;= 50, "40 to 50", F2100 &gt; 50, "&gt;50" )</f>
        <v>10 to 20</v>
      </c>
    </row>
    <row r="2101" spans="1:15" ht="15" customHeight="1" x14ac:dyDescent="0.3">
      <c r="A2101" t="s">
        <v>427</v>
      </c>
      <c r="B2101" s="1">
        <v>46210</v>
      </c>
      <c r="C2101" t="s">
        <v>430</v>
      </c>
      <c r="D2101">
        <v>1934</v>
      </c>
      <c r="E2101">
        <v>1</v>
      </c>
      <c r="F2101">
        <v>7</v>
      </c>
      <c r="G2101" t="s">
        <v>17</v>
      </c>
      <c r="I2101" t="str">
        <f t="shared" si="35"/>
        <v>1934_1</v>
      </c>
      <c r="J2101" t="s">
        <v>428</v>
      </c>
      <c r="K2101" t="s">
        <v>429</v>
      </c>
      <c r="L2101" t="str">
        <f>_xlfn.XLOOKUP(C2101, Table2[Species],Table2[Genus], "Code Not Found")</f>
        <v>Tsuga</v>
      </c>
      <c r="M2101" t="str">
        <f>_xlfn.XLOOKUP(C2101, Table2[Species],Table2[Sp. Name], "Code Not Found")</f>
        <v>canadensis</v>
      </c>
      <c r="N2101" t="str">
        <f>_xlfn.XLOOKUP(C2101,Table2[Species],Table2[Family],"Code Not Found")</f>
        <v>Pinaceae</v>
      </c>
      <c r="O2101" t="str" cm="1">
        <f t="array" ref="O2101">_xlfn.IFS(F2101="","",F2101&lt;=5,"0 to 5",F2101&lt;=10,"5.1 to 10",F2101&lt;=20,"10 to 20", F2101&lt;= 40, "20 to 40", F2101 &lt;= 50, "40 to 50", F2101 &gt; 50, "&gt;50" )</f>
        <v>5.1 to 10</v>
      </c>
    </row>
    <row r="2102" spans="1:15" ht="15" customHeight="1" x14ac:dyDescent="0.3">
      <c r="A2102" t="s">
        <v>427</v>
      </c>
      <c r="B2102" s="1">
        <v>46210</v>
      </c>
      <c r="C2102" t="s">
        <v>430</v>
      </c>
      <c r="D2102">
        <v>1935</v>
      </c>
      <c r="E2102">
        <v>1</v>
      </c>
      <c r="F2102">
        <v>8.6</v>
      </c>
      <c r="G2102" t="s">
        <v>17</v>
      </c>
      <c r="H2102" t="s">
        <v>36</v>
      </c>
      <c r="I2102" t="str">
        <f t="shared" si="35"/>
        <v>1935_1</v>
      </c>
      <c r="J2102" t="s">
        <v>428</v>
      </c>
      <c r="K2102" t="s">
        <v>429</v>
      </c>
      <c r="L2102" t="str">
        <f>_xlfn.XLOOKUP(C2102, Table2[Species],Table2[Genus], "Code Not Found")</f>
        <v>Tsuga</v>
      </c>
      <c r="M2102" t="str">
        <f>_xlfn.XLOOKUP(C2102, Table2[Species],Table2[Sp. Name], "Code Not Found")</f>
        <v>canadensis</v>
      </c>
      <c r="N2102" t="str">
        <f>_xlfn.XLOOKUP(C2102,Table2[Species],Table2[Family],"Code Not Found")</f>
        <v>Pinaceae</v>
      </c>
      <c r="O2102" t="str" cm="1">
        <f t="array" ref="O2102">_xlfn.IFS(F2102="","",F2102&lt;=5,"0 to 5",F2102&lt;=10,"5.1 to 10",F2102&lt;=20,"10 to 20", F2102&lt;= 40, "20 to 40", F2102 &lt;= 50, "40 to 50", F2102 &gt; 50, "&gt;50" )</f>
        <v>5.1 to 10</v>
      </c>
    </row>
    <row r="2103" spans="1:15" ht="15" customHeight="1" x14ac:dyDescent="0.3">
      <c r="A2103" t="s">
        <v>427</v>
      </c>
      <c r="B2103" s="1">
        <v>46210</v>
      </c>
      <c r="C2103" t="s">
        <v>430</v>
      </c>
      <c r="D2103">
        <v>1936</v>
      </c>
      <c r="E2103">
        <v>1</v>
      </c>
      <c r="F2103">
        <v>2.7</v>
      </c>
      <c r="G2103" t="s">
        <v>88</v>
      </c>
      <c r="H2103" t="s">
        <v>305</v>
      </c>
      <c r="I2103" t="str">
        <f t="shared" si="35"/>
        <v>1936_1</v>
      </c>
      <c r="J2103" t="s">
        <v>428</v>
      </c>
      <c r="K2103" t="s">
        <v>429</v>
      </c>
      <c r="L2103" t="str">
        <f>_xlfn.XLOOKUP(C2103, Table2[Species],Table2[Genus], "Code Not Found")</f>
        <v>Tsuga</v>
      </c>
      <c r="M2103" t="str">
        <f>_xlfn.XLOOKUP(C2103, Table2[Species],Table2[Sp. Name], "Code Not Found")</f>
        <v>canadensis</v>
      </c>
      <c r="N2103" t="str">
        <f>_xlfn.XLOOKUP(C2103,Table2[Species],Table2[Family],"Code Not Found")</f>
        <v>Pinaceae</v>
      </c>
      <c r="O2103" t="str" cm="1">
        <f t="array" ref="O2103">_xlfn.IFS(F2103="","",F2103&lt;=5,"0 to 5",F2103&lt;=10,"5.1 to 10",F2103&lt;=20,"10 to 20", F2103&lt;= 40, "20 to 40", F2103 &lt;= 50, "40 to 50", F2103 &gt; 50, "&gt;50" )</f>
        <v>0 to 5</v>
      </c>
    </row>
    <row r="2104" spans="1:15" ht="15" customHeight="1" x14ac:dyDescent="0.3">
      <c r="A2104" t="s">
        <v>427</v>
      </c>
      <c r="B2104" s="1">
        <v>46210</v>
      </c>
      <c r="C2104" t="s">
        <v>430</v>
      </c>
      <c r="D2104">
        <v>1937</v>
      </c>
      <c r="E2104">
        <v>1</v>
      </c>
      <c r="F2104">
        <v>42.9</v>
      </c>
      <c r="G2104" t="s">
        <v>21</v>
      </c>
      <c r="I2104" t="str">
        <f t="shared" si="35"/>
        <v>1937_1</v>
      </c>
      <c r="J2104" t="s">
        <v>428</v>
      </c>
      <c r="K2104" t="s">
        <v>429</v>
      </c>
      <c r="L2104" t="str">
        <f>_xlfn.XLOOKUP(C2104, Table2[Species],Table2[Genus], "Code Not Found")</f>
        <v>Tsuga</v>
      </c>
      <c r="M2104" t="str">
        <f>_xlfn.XLOOKUP(C2104, Table2[Species],Table2[Sp. Name], "Code Not Found")</f>
        <v>canadensis</v>
      </c>
      <c r="N2104" t="str">
        <f>_xlfn.XLOOKUP(C2104,Table2[Species],Table2[Family],"Code Not Found")</f>
        <v>Pinaceae</v>
      </c>
      <c r="O2104" t="str" cm="1">
        <f t="array" ref="O2104">_xlfn.IFS(F2104="","",F2104&lt;=5,"0 to 5",F2104&lt;=10,"5.1 to 10",F2104&lt;=20,"10 to 20", F2104&lt;= 40, "20 to 40", F2104 &lt;= 50, "40 to 50", F2104 &gt; 50, "&gt;50" )</f>
        <v>40 to 50</v>
      </c>
    </row>
    <row r="2105" spans="1:15" ht="15" customHeight="1" x14ac:dyDescent="0.3">
      <c r="A2105" t="s">
        <v>427</v>
      </c>
      <c r="B2105" s="1">
        <v>46210</v>
      </c>
      <c r="C2105" t="s">
        <v>430</v>
      </c>
      <c r="D2105">
        <v>1938</v>
      </c>
      <c r="E2105">
        <v>1</v>
      </c>
      <c r="F2105">
        <v>48.7</v>
      </c>
      <c r="G2105" t="s">
        <v>17</v>
      </c>
      <c r="H2105" t="s">
        <v>36</v>
      </c>
      <c r="I2105" t="str">
        <f t="shared" si="35"/>
        <v>1938_1</v>
      </c>
      <c r="J2105" t="s">
        <v>428</v>
      </c>
      <c r="K2105" t="s">
        <v>429</v>
      </c>
      <c r="L2105" t="str">
        <f>_xlfn.XLOOKUP(C2105, Table2[Species],Table2[Genus], "Code Not Found")</f>
        <v>Tsuga</v>
      </c>
      <c r="M2105" t="str">
        <f>_xlfn.XLOOKUP(C2105, Table2[Species],Table2[Sp. Name], "Code Not Found")</f>
        <v>canadensis</v>
      </c>
      <c r="N2105" t="str">
        <f>_xlfn.XLOOKUP(C2105,Table2[Species],Table2[Family],"Code Not Found")</f>
        <v>Pinaceae</v>
      </c>
      <c r="O2105" t="str" cm="1">
        <f t="array" ref="O2105">_xlfn.IFS(F2105="","",F2105&lt;=5,"0 to 5",F2105&lt;=10,"5.1 to 10",F2105&lt;=20,"10 to 20", F2105&lt;= 40, "20 to 40", F2105 &lt;= 50, "40 to 50", F2105 &gt; 50, "&gt;50" )</f>
        <v>40 to 50</v>
      </c>
    </row>
    <row r="2106" spans="1:15" ht="15" customHeight="1" x14ac:dyDescent="0.3">
      <c r="A2106" t="s">
        <v>427</v>
      </c>
      <c r="B2106" s="1">
        <v>46210</v>
      </c>
      <c r="C2106" t="s">
        <v>430</v>
      </c>
      <c r="D2106">
        <v>1939</v>
      </c>
      <c r="E2106">
        <v>1</v>
      </c>
      <c r="F2106">
        <v>54.1</v>
      </c>
      <c r="G2106" t="s">
        <v>21</v>
      </c>
      <c r="I2106" t="str">
        <f t="shared" si="35"/>
        <v>1939_1</v>
      </c>
      <c r="J2106" t="s">
        <v>428</v>
      </c>
      <c r="K2106" t="s">
        <v>429</v>
      </c>
      <c r="L2106" t="str">
        <f>_xlfn.XLOOKUP(C2106, Table2[Species],Table2[Genus], "Code Not Found")</f>
        <v>Tsuga</v>
      </c>
      <c r="M2106" t="str">
        <f>_xlfn.XLOOKUP(C2106, Table2[Species],Table2[Sp. Name], "Code Not Found")</f>
        <v>canadensis</v>
      </c>
      <c r="N2106" t="str">
        <f>_xlfn.XLOOKUP(C2106,Table2[Species],Table2[Family],"Code Not Found")</f>
        <v>Pinaceae</v>
      </c>
      <c r="O2106" t="str" cm="1">
        <f t="array" ref="O2106">_xlfn.IFS(F2106="","",F2106&lt;=5,"0 to 5",F2106&lt;=10,"5.1 to 10",F2106&lt;=20,"10 to 20", F2106&lt;= 40, "20 to 40", F2106 &lt;= 50, "40 to 50", F2106 &gt; 50, "&gt;50" )</f>
        <v>&gt;50</v>
      </c>
    </row>
    <row r="2107" spans="1:15" ht="15" customHeight="1" x14ac:dyDescent="0.3">
      <c r="A2107" t="s">
        <v>427</v>
      </c>
      <c r="B2107" s="1">
        <v>46210</v>
      </c>
      <c r="C2107" t="s">
        <v>430</v>
      </c>
      <c r="D2107">
        <v>1940</v>
      </c>
      <c r="E2107">
        <v>1</v>
      </c>
      <c r="F2107">
        <v>3.7</v>
      </c>
      <c r="G2107" t="s">
        <v>17</v>
      </c>
      <c r="I2107" t="str">
        <f t="shared" si="35"/>
        <v>1940_1</v>
      </c>
      <c r="J2107" t="s">
        <v>428</v>
      </c>
      <c r="K2107" t="s">
        <v>429</v>
      </c>
      <c r="L2107" t="str">
        <f>_xlfn.XLOOKUP(C2107, Table2[Species],Table2[Genus], "Code Not Found")</f>
        <v>Tsuga</v>
      </c>
      <c r="M2107" t="str">
        <f>_xlfn.XLOOKUP(C2107, Table2[Species],Table2[Sp. Name], "Code Not Found")</f>
        <v>canadensis</v>
      </c>
      <c r="N2107" t="str">
        <f>_xlfn.XLOOKUP(C2107,Table2[Species],Table2[Family],"Code Not Found")</f>
        <v>Pinaceae</v>
      </c>
      <c r="O2107" t="str" cm="1">
        <f t="array" ref="O2107">_xlfn.IFS(F2107="","",F2107&lt;=5,"0 to 5",F2107&lt;=10,"5.1 to 10",F2107&lt;=20,"10 to 20", F2107&lt;= 40, "20 to 40", F2107 &lt;= 50, "40 to 50", F2107 &gt; 50, "&gt;50" )</f>
        <v>0 to 5</v>
      </c>
    </row>
    <row r="2108" spans="1:15" ht="15" customHeight="1" x14ac:dyDescent="0.3">
      <c r="A2108" t="s">
        <v>427</v>
      </c>
      <c r="B2108" s="1">
        <v>46210</v>
      </c>
      <c r="C2108" t="s">
        <v>430</v>
      </c>
      <c r="D2108">
        <v>1941</v>
      </c>
      <c r="E2108">
        <v>1</v>
      </c>
      <c r="F2108">
        <v>11.1</v>
      </c>
      <c r="G2108" t="s">
        <v>30</v>
      </c>
      <c r="H2108" t="s">
        <v>458</v>
      </c>
      <c r="I2108" t="str">
        <f t="shared" si="35"/>
        <v>1941_1</v>
      </c>
      <c r="J2108" t="s">
        <v>428</v>
      </c>
      <c r="K2108" t="s">
        <v>429</v>
      </c>
      <c r="L2108" t="str">
        <f>_xlfn.XLOOKUP(C2108, Table2[Species],Table2[Genus], "Code Not Found")</f>
        <v>Tsuga</v>
      </c>
      <c r="M2108" t="str">
        <f>_xlfn.XLOOKUP(C2108, Table2[Species],Table2[Sp. Name], "Code Not Found")</f>
        <v>canadensis</v>
      </c>
      <c r="N2108" t="str">
        <f>_xlfn.XLOOKUP(C2108,Table2[Species],Table2[Family],"Code Not Found")</f>
        <v>Pinaceae</v>
      </c>
      <c r="O2108" t="str" cm="1">
        <f t="array" ref="O2108">_xlfn.IFS(F2108="","",F2108&lt;=5,"0 to 5",F2108&lt;=10,"5.1 to 10",F2108&lt;=20,"10 to 20", F2108&lt;= 40, "20 to 40", F2108 &lt;= 50, "40 to 50", F2108 &gt; 50, "&gt;50" )</f>
        <v>10 to 20</v>
      </c>
    </row>
    <row r="2109" spans="1:15" ht="15" customHeight="1" x14ac:dyDescent="0.3">
      <c r="A2109" t="s">
        <v>427</v>
      </c>
      <c r="B2109" s="1">
        <v>46210</v>
      </c>
      <c r="C2109" t="s">
        <v>22</v>
      </c>
      <c r="D2109">
        <v>1942</v>
      </c>
      <c r="E2109">
        <v>1</v>
      </c>
      <c r="F2109">
        <v>21.5</v>
      </c>
      <c r="G2109" t="s">
        <v>21</v>
      </c>
      <c r="I2109" t="str">
        <f t="shared" si="35"/>
        <v>1942_1</v>
      </c>
      <c r="J2109" t="s">
        <v>428</v>
      </c>
      <c r="K2109" t="s">
        <v>429</v>
      </c>
      <c r="L2109" t="str">
        <f>_xlfn.XLOOKUP(C2109, Table2[Species],Table2[Genus], "Code Not Found")</f>
        <v>Acer</v>
      </c>
      <c r="M2109" t="str">
        <f>_xlfn.XLOOKUP(C2109, Table2[Species],Table2[Sp. Name], "Code Not Found")</f>
        <v>rubrum</v>
      </c>
      <c r="N2109" t="str">
        <f>_xlfn.XLOOKUP(C2109,Table2[Species],Table2[Family],"Code Not Found")</f>
        <v>Sapindaceae</v>
      </c>
      <c r="O2109" t="str" cm="1">
        <f t="array" ref="O2109">_xlfn.IFS(F2109="","",F2109&lt;=5,"0 to 5",F2109&lt;=10,"5.1 to 10",F2109&lt;=20,"10 to 20", F2109&lt;= 40, "20 to 40", F2109 &lt;= 50, "40 to 50", F2109 &gt; 50, "&gt;50" )</f>
        <v>20 to 40</v>
      </c>
    </row>
    <row r="2110" spans="1:15" ht="15" customHeight="1" x14ac:dyDescent="0.3">
      <c r="A2110" t="s">
        <v>427</v>
      </c>
      <c r="B2110" s="1">
        <v>46210</v>
      </c>
      <c r="C2110" t="s">
        <v>430</v>
      </c>
      <c r="D2110">
        <v>1943</v>
      </c>
      <c r="E2110">
        <v>1</v>
      </c>
      <c r="F2110">
        <v>16.3</v>
      </c>
      <c r="G2110" t="s">
        <v>17</v>
      </c>
      <c r="I2110" t="str">
        <f t="shared" si="35"/>
        <v>1943_1</v>
      </c>
      <c r="J2110" t="s">
        <v>428</v>
      </c>
      <c r="K2110" t="s">
        <v>429</v>
      </c>
      <c r="L2110" t="str">
        <f>_xlfn.XLOOKUP(C2110, Table2[Species],Table2[Genus], "Code Not Found")</f>
        <v>Tsuga</v>
      </c>
      <c r="M2110" t="str">
        <f>_xlfn.XLOOKUP(C2110, Table2[Species],Table2[Sp. Name], "Code Not Found")</f>
        <v>canadensis</v>
      </c>
      <c r="N2110" t="str">
        <f>_xlfn.XLOOKUP(C2110,Table2[Species],Table2[Family],"Code Not Found")</f>
        <v>Pinaceae</v>
      </c>
      <c r="O2110" t="str" cm="1">
        <f t="array" ref="O2110">_xlfn.IFS(F2110="","",F2110&lt;=5,"0 to 5",F2110&lt;=10,"5.1 to 10",F2110&lt;=20,"10 to 20", F2110&lt;= 40, "20 to 40", F2110 &lt;= 50, "40 to 50", F2110 &gt; 50, "&gt;50" )</f>
        <v>10 to 20</v>
      </c>
    </row>
    <row r="2111" spans="1:15" ht="15" customHeight="1" x14ac:dyDescent="0.3">
      <c r="A2111" t="s">
        <v>427</v>
      </c>
      <c r="B2111" s="1">
        <v>46210</v>
      </c>
      <c r="C2111" t="s">
        <v>430</v>
      </c>
      <c r="D2111">
        <v>1944</v>
      </c>
      <c r="E2111">
        <v>1</v>
      </c>
      <c r="F2111">
        <v>11.5</v>
      </c>
      <c r="G2111" t="s">
        <v>17</v>
      </c>
      <c r="I2111" t="str">
        <f t="shared" si="35"/>
        <v>1944_1</v>
      </c>
      <c r="J2111" t="s">
        <v>428</v>
      </c>
      <c r="K2111" t="s">
        <v>429</v>
      </c>
      <c r="L2111" t="str">
        <f>_xlfn.XLOOKUP(C2111, Table2[Species],Table2[Genus], "Code Not Found")</f>
        <v>Tsuga</v>
      </c>
      <c r="M2111" t="str">
        <f>_xlfn.XLOOKUP(C2111, Table2[Species],Table2[Sp. Name], "Code Not Found")</f>
        <v>canadensis</v>
      </c>
      <c r="N2111" t="str">
        <f>_xlfn.XLOOKUP(C2111,Table2[Species],Table2[Family],"Code Not Found")</f>
        <v>Pinaceae</v>
      </c>
      <c r="O2111" t="str" cm="1">
        <f t="array" ref="O2111">_xlfn.IFS(F2111="","",F2111&lt;=5,"0 to 5",F2111&lt;=10,"5.1 to 10",F2111&lt;=20,"10 to 20", F2111&lt;= 40, "20 to 40", F2111 &lt;= 50, "40 to 50", F2111 &gt; 50, "&gt;50" )</f>
        <v>10 to 20</v>
      </c>
    </row>
    <row r="2112" spans="1:15" ht="15" customHeight="1" x14ac:dyDescent="0.3">
      <c r="A2112" t="s">
        <v>427</v>
      </c>
      <c r="B2112" s="1">
        <v>46210</v>
      </c>
      <c r="C2112" t="s">
        <v>430</v>
      </c>
      <c r="D2112">
        <v>1945</v>
      </c>
      <c r="E2112">
        <v>1</v>
      </c>
      <c r="F2112">
        <v>59</v>
      </c>
      <c r="G2112" t="s">
        <v>21</v>
      </c>
      <c r="I2112" t="str">
        <f t="shared" si="35"/>
        <v>1945_1</v>
      </c>
      <c r="J2112" t="s">
        <v>428</v>
      </c>
      <c r="K2112" t="s">
        <v>429</v>
      </c>
      <c r="L2112" t="str">
        <f>_xlfn.XLOOKUP(C2112, Table2[Species],Table2[Genus], "Code Not Found")</f>
        <v>Tsuga</v>
      </c>
      <c r="M2112" t="str">
        <f>_xlfn.XLOOKUP(C2112, Table2[Species],Table2[Sp. Name], "Code Not Found")</f>
        <v>canadensis</v>
      </c>
      <c r="N2112" t="str">
        <f>_xlfn.XLOOKUP(C2112,Table2[Species],Table2[Family],"Code Not Found")</f>
        <v>Pinaceae</v>
      </c>
      <c r="O2112" t="str" cm="1">
        <f t="array" ref="O2112">_xlfn.IFS(F2112="","",F2112&lt;=5,"0 to 5",F2112&lt;=10,"5.1 to 10",F2112&lt;=20,"10 to 20", F2112&lt;= 40, "20 to 40", F2112 &lt;= 50, "40 to 50", F2112 &gt; 50, "&gt;50" )</f>
        <v>&gt;50</v>
      </c>
    </row>
    <row r="2113" spans="1:15" ht="15" customHeight="1" x14ac:dyDescent="0.3">
      <c r="A2113" t="s">
        <v>427</v>
      </c>
      <c r="B2113" s="1">
        <v>46210</v>
      </c>
      <c r="C2113" t="s">
        <v>16</v>
      </c>
      <c r="D2113">
        <v>1946</v>
      </c>
      <c r="E2113">
        <v>1</v>
      </c>
      <c r="F2113">
        <v>5.4</v>
      </c>
      <c r="G2113" t="s">
        <v>30</v>
      </c>
      <c r="H2113" t="s">
        <v>459</v>
      </c>
      <c r="I2113" t="str">
        <f t="shared" si="35"/>
        <v>1946_1</v>
      </c>
      <c r="J2113" t="s">
        <v>428</v>
      </c>
      <c r="K2113" t="s">
        <v>429</v>
      </c>
      <c r="L2113" t="str">
        <f>_xlfn.XLOOKUP(C2113, Table2[Species],Table2[Genus], "Code Not Found")</f>
        <v>Acer</v>
      </c>
      <c r="M2113" t="str">
        <f>_xlfn.XLOOKUP(C2113, Table2[Species],Table2[Sp. Name], "Code Not Found")</f>
        <v>saccharum</v>
      </c>
      <c r="N2113" t="str">
        <f>_xlfn.XLOOKUP(C2113,Table2[Species],Table2[Family],"Code Not Found")</f>
        <v>Sapindaceae</v>
      </c>
      <c r="O2113" t="str" cm="1">
        <f t="array" ref="O2113">_xlfn.IFS(F2113="","",F2113&lt;=5,"0 to 5",F2113&lt;=10,"5.1 to 10",F2113&lt;=20,"10 to 20", F2113&lt;= 40, "20 to 40", F2113 &lt;= 50, "40 to 50", F2113 &gt; 50, "&gt;50" )</f>
        <v>5.1 to 10</v>
      </c>
    </row>
    <row r="2114" spans="1:15" ht="15" customHeight="1" x14ac:dyDescent="0.3">
      <c r="A2114" t="s">
        <v>427</v>
      </c>
      <c r="B2114" s="1">
        <v>46210</v>
      </c>
      <c r="C2114" t="s">
        <v>64</v>
      </c>
      <c r="D2114">
        <v>1947</v>
      </c>
      <c r="E2114">
        <v>1</v>
      </c>
      <c r="F2114">
        <v>1.7</v>
      </c>
      <c r="G2114" t="s">
        <v>47</v>
      </c>
      <c r="I2114" t="str">
        <f t="shared" si="35"/>
        <v>1947_1</v>
      </c>
      <c r="J2114" t="s">
        <v>428</v>
      </c>
      <c r="K2114" t="s">
        <v>429</v>
      </c>
      <c r="L2114" t="str">
        <f>_xlfn.XLOOKUP(C2114, Table2[Species],Table2[Genus], "Code Not Found")</f>
        <v>Fagus</v>
      </c>
      <c r="M2114" t="str">
        <f>_xlfn.XLOOKUP(C2114, Table2[Species],Table2[Sp. Name], "Code Not Found")</f>
        <v>grandifolia</v>
      </c>
      <c r="N2114" t="str">
        <f>_xlfn.XLOOKUP(C2114,Table2[Species],Table2[Family],"Code Not Found")</f>
        <v>Fagaceae</v>
      </c>
      <c r="O2114" t="str" cm="1">
        <f t="array" ref="O2114">_xlfn.IFS(F2114="","",F2114&lt;=5,"0 to 5",F2114&lt;=10,"5.1 to 10",F2114&lt;=20,"10 to 20", F2114&lt;= 40, "20 to 40", F2114 &lt;= 50, "40 to 50", F2114 &gt; 50, "&gt;50" )</f>
        <v>0 to 5</v>
      </c>
    </row>
    <row r="2115" spans="1:15" ht="15" customHeight="1" x14ac:dyDescent="0.3">
      <c r="A2115" t="s">
        <v>427</v>
      </c>
      <c r="B2115" s="1">
        <v>46210</v>
      </c>
      <c r="C2115" t="s">
        <v>64</v>
      </c>
      <c r="D2115">
        <v>1948</v>
      </c>
      <c r="E2115">
        <v>1</v>
      </c>
      <c r="F2115">
        <v>4.4000000000000004</v>
      </c>
      <c r="G2115" t="s">
        <v>21</v>
      </c>
      <c r="I2115" t="str">
        <f t="shared" si="35"/>
        <v>1948_1</v>
      </c>
      <c r="J2115" t="s">
        <v>428</v>
      </c>
      <c r="K2115" t="s">
        <v>429</v>
      </c>
      <c r="L2115" t="str">
        <f>_xlfn.XLOOKUP(C2115, Table2[Species],Table2[Genus], "Code Not Found")</f>
        <v>Fagus</v>
      </c>
      <c r="M2115" t="str">
        <f>_xlfn.XLOOKUP(C2115, Table2[Species],Table2[Sp. Name], "Code Not Found")</f>
        <v>grandifolia</v>
      </c>
      <c r="N2115" t="str">
        <f>_xlfn.XLOOKUP(C2115,Table2[Species],Table2[Family],"Code Not Found")</f>
        <v>Fagaceae</v>
      </c>
      <c r="O2115" t="str" cm="1">
        <f t="array" ref="O2115">_xlfn.IFS(F2115="","",F2115&lt;=5,"0 to 5",F2115&lt;=10,"5.1 to 10",F2115&lt;=20,"10 to 20", F2115&lt;= 40, "20 to 40", F2115 &lt;= 50, "40 to 50", F2115 &gt; 50, "&gt;50" )</f>
        <v>0 to 5</v>
      </c>
    </row>
    <row r="2116" spans="1:15" ht="15" customHeight="1" x14ac:dyDescent="0.3">
      <c r="A2116" t="s">
        <v>427</v>
      </c>
      <c r="B2116" s="1">
        <v>46210</v>
      </c>
      <c r="C2116" t="s">
        <v>64</v>
      </c>
      <c r="D2116">
        <v>1949</v>
      </c>
      <c r="E2116">
        <v>1</v>
      </c>
      <c r="F2116">
        <v>3.6</v>
      </c>
      <c r="G2116" t="s">
        <v>21</v>
      </c>
      <c r="I2116" t="str">
        <f t="shared" si="35"/>
        <v>1949_1</v>
      </c>
      <c r="J2116" t="s">
        <v>428</v>
      </c>
      <c r="K2116" t="s">
        <v>429</v>
      </c>
      <c r="L2116" t="str">
        <f>_xlfn.XLOOKUP(C2116, Table2[Species],Table2[Genus], "Code Not Found")</f>
        <v>Fagus</v>
      </c>
      <c r="M2116" t="str">
        <f>_xlfn.XLOOKUP(C2116, Table2[Species],Table2[Sp. Name], "Code Not Found")</f>
        <v>grandifolia</v>
      </c>
      <c r="N2116" t="str">
        <f>_xlfn.XLOOKUP(C2116,Table2[Species],Table2[Family],"Code Not Found")</f>
        <v>Fagaceae</v>
      </c>
      <c r="O2116" t="str" cm="1">
        <f t="array" ref="O2116">_xlfn.IFS(F2116="","",F2116&lt;=5,"0 to 5",F2116&lt;=10,"5.1 to 10",F2116&lt;=20,"10 to 20", F2116&lt;= 40, "20 to 40", F2116 &lt;= 50, "40 to 50", F2116 &gt; 50, "&gt;50" )</f>
        <v>0 to 5</v>
      </c>
    </row>
    <row r="2117" spans="1:15" ht="15" customHeight="1" x14ac:dyDescent="0.3">
      <c r="A2117" t="s">
        <v>427</v>
      </c>
      <c r="B2117" s="1">
        <v>46210</v>
      </c>
      <c r="C2117" t="s">
        <v>16</v>
      </c>
      <c r="D2117">
        <v>1950</v>
      </c>
      <c r="E2117">
        <v>1</v>
      </c>
      <c r="F2117">
        <v>2.1</v>
      </c>
      <c r="G2117" t="s">
        <v>88</v>
      </c>
      <c r="I2117" t="str">
        <f t="shared" si="35"/>
        <v>1950_1</v>
      </c>
      <c r="J2117" t="s">
        <v>428</v>
      </c>
      <c r="K2117" t="s">
        <v>429</v>
      </c>
      <c r="L2117" t="str">
        <f>_xlfn.XLOOKUP(C2117, Table2[Species],Table2[Genus], "Code Not Found")</f>
        <v>Acer</v>
      </c>
      <c r="M2117" t="str">
        <f>_xlfn.XLOOKUP(C2117, Table2[Species],Table2[Sp. Name], "Code Not Found")</f>
        <v>saccharum</v>
      </c>
      <c r="N2117" t="str">
        <f>_xlfn.XLOOKUP(C2117,Table2[Species],Table2[Family],"Code Not Found")</f>
        <v>Sapindaceae</v>
      </c>
      <c r="O2117" t="str" cm="1">
        <f t="array" ref="O2117">_xlfn.IFS(F2117="","",F2117&lt;=5,"0 to 5",F2117&lt;=10,"5.1 to 10",F2117&lt;=20,"10 to 20", F2117&lt;= 40, "20 to 40", F2117 &lt;= 50, "40 to 50", F2117 &gt; 50, "&gt;50" )</f>
        <v>0 to 5</v>
      </c>
    </row>
    <row r="2118" spans="1:15" ht="15" customHeight="1" x14ac:dyDescent="0.3">
      <c r="A2118" t="s">
        <v>427</v>
      </c>
      <c r="B2118" s="1">
        <v>46210</v>
      </c>
      <c r="C2118" t="s">
        <v>430</v>
      </c>
      <c r="D2118">
        <v>1951</v>
      </c>
      <c r="E2118">
        <v>1</v>
      </c>
      <c r="F2118">
        <v>11</v>
      </c>
      <c r="G2118" t="s">
        <v>21</v>
      </c>
      <c r="I2118" t="str">
        <f t="shared" si="35"/>
        <v>1951_1</v>
      </c>
      <c r="J2118" t="s">
        <v>428</v>
      </c>
      <c r="K2118" t="s">
        <v>429</v>
      </c>
      <c r="L2118" t="str">
        <f>_xlfn.XLOOKUP(C2118, Table2[Species],Table2[Genus], "Code Not Found")</f>
        <v>Tsuga</v>
      </c>
      <c r="M2118" t="str">
        <f>_xlfn.XLOOKUP(C2118, Table2[Species],Table2[Sp. Name], "Code Not Found")</f>
        <v>canadensis</v>
      </c>
      <c r="N2118" t="str">
        <f>_xlfn.XLOOKUP(C2118,Table2[Species],Table2[Family],"Code Not Found")</f>
        <v>Pinaceae</v>
      </c>
      <c r="O2118" t="str" cm="1">
        <f t="array" ref="O2118">_xlfn.IFS(F2118="","",F2118&lt;=5,"0 to 5",F2118&lt;=10,"5.1 to 10",F2118&lt;=20,"10 to 20", F2118&lt;= 40, "20 to 40", F2118 &lt;= 50, "40 to 50", F2118 &gt; 50, "&gt;50" )</f>
        <v>10 to 20</v>
      </c>
    </row>
    <row r="2119" spans="1:15" ht="15" customHeight="1" x14ac:dyDescent="0.3">
      <c r="A2119" t="s">
        <v>427</v>
      </c>
      <c r="B2119" s="1">
        <v>46210</v>
      </c>
      <c r="C2119" t="s">
        <v>430</v>
      </c>
      <c r="D2119">
        <v>1952</v>
      </c>
      <c r="E2119">
        <v>1</v>
      </c>
      <c r="F2119">
        <v>11.1</v>
      </c>
      <c r="G2119" t="s">
        <v>17</v>
      </c>
      <c r="I2119" t="str">
        <f t="shared" si="35"/>
        <v>1952_1</v>
      </c>
      <c r="J2119" t="s">
        <v>428</v>
      </c>
      <c r="K2119" t="s">
        <v>429</v>
      </c>
      <c r="L2119" t="str">
        <f>_xlfn.XLOOKUP(C2119, Table2[Species],Table2[Genus], "Code Not Found")</f>
        <v>Tsuga</v>
      </c>
      <c r="M2119" t="str">
        <f>_xlfn.XLOOKUP(C2119, Table2[Species],Table2[Sp. Name], "Code Not Found")</f>
        <v>canadensis</v>
      </c>
      <c r="N2119" t="str">
        <f>_xlfn.XLOOKUP(C2119,Table2[Species],Table2[Family],"Code Not Found")</f>
        <v>Pinaceae</v>
      </c>
      <c r="O2119" t="str" cm="1">
        <f t="array" ref="O2119">_xlfn.IFS(F2119="","",F2119&lt;=5,"0 to 5",F2119&lt;=10,"5.1 to 10",F2119&lt;=20,"10 to 20", F2119&lt;= 40, "20 to 40", F2119 &lt;= 50, "40 to 50", F2119 &gt; 50, "&gt;50" )</f>
        <v>10 to 20</v>
      </c>
    </row>
    <row r="2120" spans="1:15" ht="15" customHeight="1" x14ac:dyDescent="0.3">
      <c r="A2120" t="s">
        <v>427</v>
      </c>
      <c r="B2120" s="1">
        <v>46210</v>
      </c>
      <c r="C2120" t="s">
        <v>430</v>
      </c>
      <c r="D2120">
        <v>1953</v>
      </c>
      <c r="E2120">
        <v>1</v>
      </c>
      <c r="F2120">
        <v>14.1</v>
      </c>
      <c r="G2120" t="s">
        <v>381</v>
      </c>
      <c r="H2120" t="s">
        <v>432</v>
      </c>
      <c r="I2120" t="str">
        <f t="shared" si="35"/>
        <v>1953_1</v>
      </c>
      <c r="J2120" t="s">
        <v>428</v>
      </c>
      <c r="K2120" t="s">
        <v>429</v>
      </c>
      <c r="L2120" t="str">
        <f>_xlfn.XLOOKUP(C2120, Table2[Species],Table2[Genus], "Code Not Found")</f>
        <v>Tsuga</v>
      </c>
      <c r="M2120" t="str">
        <f>_xlfn.XLOOKUP(C2120, Table2[Species],Table2[Sp. Name], "Code Not Found")</f>
        <v>canadensis</v>
      </c>
      <c r="N2120" t="str">
        <f>_xlfn.XLOOKUP(C2120,Table2[Species],Table2[Family],"Code Not Found")</f>
        <v>Pinaceae</v>
      </c>
      <c r="O2120" t="str" cm="1">
        <f t="array" ref="O2120">_xlfn.IFS(F2120="","",F2120&lt;=5,"0 to 5",F2120&lt;=10,"5.1 to 10",F2120&lt;=20,"10 to 20", F2120&lt;= 40, "20 to 40", F2120 &lt;= 50, "40 to 50", F2120 &gt; 50, "&gt;50" )</f>
        <v>10 to 20</v>
      </c>
    </row>
    <row r="2121" spans="1:15" ht="15" customHeight="1" x14ac:dyDescent="0.3">
      <c r="A2121" t="s">
        <v>427</v>
      </c>
      <c r="B2121" s="1">
        <v>46210</v>
      </c>
      <c r="C2121" t="s">
        <v>430</v>
      </c>
      <c r="D2121">
        <v>1954</v>
      </c>
      <c r="E2121">
        <v>1</v>
      </c>
      <c r="F2121">
        <v>11.6</v>
      </c>
      <c r="G2121" t="s">
        <v>21</v>
      </c>
      <c r="I2121" t="str">
        <f t="shared" si="35"/>
        <v>1954_1</v>
      </c>
      <c r="J2121" t="s">
        <v>428</v>
      </c>
      <c r="K2121" t="s">
        <v>429</v>
      </c>
      <c r="L2121" t="str">
        <f>_xlfn.XLOOKUP(C2121, Table2[Species],Table2[Genus], "Code Not Found")</f>
        <v>Tsuga</v>
      </c>
      <c r="M2121" t="str">
        <f>_xlfn.XLOOKUP(C2121, Table2[Species],Table2[Sp. Name], "Code Not Found")</f>
        <v>canadensis</v>
      </c>
      <c r="N2121" t="str">
        <f>_xlfn.XLOOKUP(C2121,Table2[Species],Table2[Family],"Code Not Found")</f>
        <v>Pinaceae</v>
      </c>
      <c r="O2121" t="str" cm="1">
        <f t="array" ref="O2121">_xlfn.IFS(F2121="","",F2121&lt;=5,"0 to 5",F2121&lt;=10,"5.1 to 10",F2121&lt;=20,"10 to 20", F2121&lt;= 40, "20 to 40", F2121 &lt;= 50, "40 to 50", F2121 &gt; 50, "&gt;50" )</f>
        <v>10 to 20</v>
      </c>
    </row>
    <row r="2122" spans="1:15" ht="15" customHeight="1" x14ac:dyDescent="0.3">
      <c r="A2122" t="s">
        <v>427</v>
      </c>
      <c r="B2122" s="1">
        <v>46210</v>
      </c>
      <c r="C2122" t="s">
        <v>430</v>
      </c>
      <c r="D2122">
        <v>1955</v>
      </c>
      <c r="E2122">
        <v>1</v>
      </c>
      <c r="F2122">
        <v>21.2</v>
      </c>
      <c r="G2122" t="s">
        <v>17</v>
      </c>
      <c r="I2122" t="str">
        <f t="shared" si="35"/>
        <v>1955_1</v>
      </c>
      <c r="J2122" t="s">
        <v>428</v>
      </c>
      <c r="K2122" t="s">
        <v>429</v>
      </c>
      <c r="L2122" t="str">
        <f>_xlfn.XLOOKUP(C2122, Table2[Species],Table2[Genus], "Code Not Found")</f>
        <v>Tsuga</v>
      </c>
      <c r="M2122" t="str">
        <f>_xlfn.XLOOKUP(C2122, Table2[Species],Table2[Sp. Name], "Code Not Found")</f>
        <v>canadensis</v>
      </c>
      <c r="N2122" t="str">
        <f>_xlfn.XLOOKUP(C2122,Table2[Species],Table2[Family],"Code Not Found")</f>
        <v>Pinaceae</v>
      </c>
      <c r="O2122" t="str" cm="1">
        <f t="array" ref="O2122">_xlfn.IFS(F2122="","",F2122&lt;=5,"0 to 5",F2122&lt;=10,"5.1 to 10",F2122&lt;=20,"10 to 20", F2122&lt;= 40, "20 to 40", F2122 &lt;= 50, "40 to 50", F2122 &gt; 50, "&gt;50" )</f>
        <v>20 to 40</v>
      </c>
    </row>
    <row r="2123" spans="1:15" ht="15" customHeight="1" x14ac:dyDescent="0.3">
      <c r="A2123" t="s">
        <v>427</v>
      </c>
      <c r="B2123" s="1">
        <v>46210</v>
      </c>
      <c r="C2123" t="s">
        <v>24</v>
      </c>
      <c r="D2123">
        <v>1956</v>
      </c>
      <c r="E2123">
        <v>1</v>
      </c>
      <c r="F2123">
        <v>23.6</v>
      </c>
      <c r="G2123" t="s">
        <v>47</v>
      </c>
      <c r="I2123" t="str">
        <f t="shared" si="35"/>
        <v>1956_1</v>
      </c>
      <c r="J2123" t="s">
        <v>428</v>
      </c>
      <c r="K2123" t="s">
        <v>429</v>
      </c>
      <c r="L2123" t="str">
        <f>_xlfn.XLOOKUP(C2123, Table2[Species],Table2[Genus], "Code Not Found")</f>
        <v>Lirodendron</v>
      </c>
      <c r="M2123" t="str">
        <f>_xlfn.XLOOKUP(C2123, Table2[Species],Table2[Sp. Name], "Code Not Found")</f>
        <v>tulipfera</v>
      </c>
      <c r="N2123" t="str">
        <f>_xlfn.XLOOKUP(C2123,Table2[Species],Table2[Family],"Code Not Found")</f>
        <v>Magnoliaceae</v>
      </c>
      <c r="O2123" t="str" cm="1">
        <f t="array" ref="O2123">_xlfn.IFS(F2123="","",F2123&lt;=5,"0 to 5",F2123&lt;=10,"5.1 to 10",F2123&lt;=20,"10 to 20", F2123&lt;= 40, "20 to 40", F2123 &lt;= 50, "40 to 50", F2123 &gt; 50, "&gt;50" )</f>
        <v>20 to 40</v>
      </c>
    </row>
    <row r="2124" spans="1:15" ht="15" customHeight="1" x14ac:dyDescent="0.3">
      <c r="A2124" t="s">
        <v>427</v>
      </c>
      <c r="B2124" s="1">
        <v>46210</v>
      </c>
      <c r="C2124" t="s">
        <v>430</v>
      </c>
      <c r="D2124">
        <v>1957</v>
      </c>
      <c r="E2124">
        <v>1</v>
      </c>
      <c r="F2124">
        <v>12.6</v>
      </c>
      <c r="G2124" t="s">
        <v>17</v>
      </c>
      <c r="H2124" t="s">
        <v>460</v>
      </c>
      <c r="I2124" t="str">
        <f t="shared" si="35"/>
        <v>1957_1</v>
      </c>
      <c r="J2124" t="s">
        <v>428</v>
      </c>
      <c r="K2124" t="s">
        <v>429</v>
      </c>
      <c r="L2124" t="str">
        <f>_xlfn.XLOOKUP(C2124, Table2[Species],Table2[Genus], "Code Not Found")</f>
        <v>Tsuga</v>
      </c>
      <c r="M2124" t="str">
        <f>_xlfn.XLOOKUP(C2124, Table2[Species],Table2[Sp. Name], "Code Not Found")</f>
        <v>canadensis</v>
      </c>
      <c r="N2124" t="str">
        <f>_xlfn.XLOOKUP(C2124,Table2[Species],Table2[Family],"Code Not Found")</f>
        <v>Pinaceae</v>
      </c>
      <c r="O2124" t="str" cm="1">
        <f t="array" ref="O2124">_xlfn.IFS(F2124="","",F2124&lt;=5,"0 to 5",F2124&lt;=10,"5.1 to 10",F2124&lt;=20,"10 to 20", F2124&lt;= 40, "20 to 40", F2124 &lt;= 50, "40 to 50", F2124 &gt; 50, "&gt;50" )</f>
        <v>10 to 20</v>
      </c>
    </row>
    <row r="2125" spans="1:15" ht="15" customHeight="1" x14ac:dyDescent="0.3">
      <c r="A2125" t="s">
        <v>427</v>
      </c>
      <c r="B2125" s="1">
        <v>46210</v>
      </c>
      <c r="C2125" t="s">
        <v>430</v>
      </c>
      <c r="D2125">
        <v>1958</v>
      </c>
      <c r="E2125">
        <v>1</v>
      </c>
      <c r="F2125">
        <v>9.6</v>
      </c>
      <c r="G2125" t="s">
        <v>461</v>
      </c>
      <c r="H2125" t="s">
        <v>462</v>
      </c>
      <c r="I2125" t="str">
        <f t="shared" si="35"/>
        <v>1958_1</v>
      </c>
      <c r="J2125" t="s">
        <v>428</v>
      </c>
      <c r="K2125" t="s">
        <v>429</v>
      </c>
      <c r="L2125" t="str">
        <f>_xlfn.XLOOKUP(C2125, Table2[Species],Table2[Genus], "Code Not Found")</f>
        <v>Tsuga</v>
      </c>
      <c r="M2125" t="str">
        <f>_xlfn.XLOOKUP(C2125, Table2[Species],Table2[Sp. Name], "Code Not Found")</f>
        <v>canadensis</v>
      </c>
      <c r="N2125" t="str">
        <f>_xlfn.XLOOKUP(C2125,Table2[Species],Table2[Family],"Code Not Found")</f>
        <v>Pinaceae</v>
      </c>
      <c r="O2125" t="str" cm="1">
        <f t="array" ref="O2125">_xlfn.IFS(F2125="","",F2125&lt;=5,"0 to 5",F2125&lt;=10,"5.1 to 10",F2125&lt;=20,"10 to 20", F2125&lt;= 40, "20 to 40", F2125 &lt;= 50, "40 to 50", F2125 &gt; 50, "&gt;50" )</f>
        <v>5.1 to 10</v>
      </c>
    </row>
    <row r="2126" spans="1:15" ht="15" customHeight="1" x14ac:dyDescent="0.3">
      <c r="A2126" t="s">
        <v>427</v>
      </c>
      <c r="B2126" s="1">
        <v>46210</v>
      </c>
      <c r="C2126" t="s">
        <v>430</v>
      </c>
      <c r="D2126">
        <v>1958</v>
      </c>
      <c r="E2126">
        <v>2</v>
      </c>
      <c r="F2126">
        <v>7.9</v>
      </c>
      <c r="G2126" t="s">
        <v>463</v>
      </c>
      <c r="I2126" t="str">
        <f t="shared" si="35"/>
        <v>1958_2</v>
      </c>
      <c r="J2126" t="s">
        <v>428</v>
      </c>
      <c r="K2126" t="s">
        <v>429</v>
      </c>
      <c r="L2126" t="str">
        <f>_xlfn.XLOOKUP(C2126, Table2[Species],Table2[Genus], "Code Not Found")</f>
        <v>Tsuga</v>
      </c>
      <c r="M2126" t="str">
        <f>_xlfn.XLOOKUP(C2126, Table2[Species],Table2[Sp. Name], "Code Not Found")</f>
        <v>canadensis</v>
      </c>
      <c r="N2126" t="str">
        <f>_xlfn.XLOOKUP(C2126,Table2[Species],Table2[Family],"Code Not Found")</f>
        <v>Pinaceae</v>
      </c>
      <c r="O2126" t="str" cm="1">
        <f t="array" ref="O2126">_xlfn.IFS(F2126="","",F2126&lt;=5,"0 to 5",F2126&lt;=10,"5.1 to 10",F2126&lt;=20,"10 to 20", F2126&lt;= 40, "20 to 40", F2126 &lt;= 50, "40 to 50", F2126 &gt; 50, "&gt;50" )</f>
        <v>5.1 to 10</v>
      </c>
    </row>
    <row r="2127" spans="1:15" ht="15" customHeight="1" x14ac:dyDescent="0.3">
      <c r="A2127" t="s">
        <v>427</v>
      </c>
      <c r="B2127" s="1">
        <v>46210</v>
      </c>
      <c r="C2127" t="s">
        <v>22</v>
      </c>
      <c r="D2127">
        <v>1959</v>
      </c>
      <c r="E2127">
        <v>1</v>
      </c>
      <c r="F2127">
        <v>6</v>
      </c>
      <c r="G2127" t="s">
        <v>47</v>
      </c>
      <c r="I2127" t="str">
        <f t="shared" si="35"/>
        <v>1959_1</v>
      </c>
      <c r="J2127" t="s">
        <v>428</v>
      </c>
      <c r="K2127" t="s">
        <v>429</v>
      </c>
      <c r="L2127" t="str">
        <f>_xlfn.XLOOKUP(C2127, Table2[Species],Table2[Genus], "Code Not Found")</f>
        <v>Acer</v>
      </c>
      <c r="M2127" t="str">
        <f>_xlfn.XLOOKUP(C2127, Table2[Species],Table2[Sp. Name], "Code Not Found")</f>
        <v>rubrum</v>
      </c>
      <c r="N2127" t="str">
        <f>_xlfn.XLOOKUP(C2127,Table2[Species],Table2[Family],"Code Not Found")</f>
        <v>Sapindaceae</v>
      </c>
      <c r="O2127" t="str" cm="1">
        <f t="array" ref="O2127">_xlfn.IFS(F2127="","",F2127&lt;=5,"0 to 5",F2127&lt;=10,"5.1 to 10",F2127&lt;=20,"10 to 20", F2127&lt;= 40, "20 to 40", F2127 &lt;= 50, "40 to 50", F2127 &gt; 50, "&gt;50" )</f>
        <v>5.1 to 10</v>
      </c>
    </row>
    <row r="2128" spans="1:15" ht="15" customHeight="1" x14ac:dyDescent="0.3">
      <c r="A2128" t="s">
        <v>427</v>
      </c>
      <c r="B2128" s="1">
        <v>46210</v>
      </c>
      <c r="C2128" t="s">
        <v>64</v>
      </c>
      <c r="D2128">
        <v>1960</v>
      </c>
      <c r="E2128">
        <v>1</v>
      </c>
      <c r="F2128">
        <v>5.4</v>
      </c>
      <c r="G2128" t="s">
        <v>17</v>
      </c>
      <c r="I2128" t="str">
        <f t="shared" si="35"/>
        <v>1960_1</v>
      </c>
      <c r="J2128" t="s">
        <v>428</v>
      </c>
      <c r="K2128" t="s">
        <v>429</v>
      </c>
      <c r="L2128" t="str">
        <f>_xlfn.XLOOKUP(C2128, Table2[Species],Table2[Genus], "Code Not Found")</f>
        <v>Fagus</v>
      </c>
      <c r="M2128" t="str">
        <f>_xlfn.XLOOKUP(C2128, Table2[Species],Table2[Sp. Name], "Code Not Found")</f>
        <v>grandifolia</v>
      </c>
      <c r="N2128" t="str">
        <f>_xlfn.XLOOKUP(C2128,Table2[Species],Table2[Family],"Code Not Found")</f>
        <v>Fagaceae</v>
      </c>
      <c r="O2128" t="str" cm="1">
        <f t="array" ref="O2128">_xlfn.IFS(F2128="","",F2128&lt;=5,"0 to 5",F2128&lt;=10,"5.1 to 10",F2128&lt;=20,"10 to 20", F2128&lt;= 40, "20 to 40", F2128 &lt;= 50, "40 to 50", F2128 &gt; 50, "&gt;50" )</f>
        <v>5.1 to 10</v>
      </c>
    </row>
    <row r="2129" spans="1:15" ht="15" customHeight="1" x14ac:dyDescent="0.3">
      <c r="A2129" t="s">
        <v>427</v>
      </c>
      <c r="B2129" s="1">
        <v>46210</v>
      </c>
      <c r="C2129" t="s">
        <v>22</v>
      </c>
      <c r="D2129">
        <v>1961</v>
      </c>
      <c r="E2129">
        <v>1</v>
      </c>
      <c r="F2129">
        <v>8.4</v>
      </c>
      <c r="G2129" t="s">
        <v>17</v>
      </c>
      <c r="H2129" t="s">
        <v>36</v>
      </c>
      <c r="I2129" t="str">
        <f t="shared" si="35"/>
        <v>1961_1</v>
      </c>
      <c r="J2129" t="s">
        <v>428</v>
      </c>
      <c r="K2129" t="s">
        <v>429</v>
      </c>
      <c r="L2129" t="str">
        <f>_xlfn.XLOOKUP(C2129, Table2[Species],Table2[Genus], "Code Not Found")</f>
        <v>Acer</v>
      </c>
      <c r="M2129" t="str">
        <f>_xlfn.XLOOKUP(C2129, Table2[Species],Table2[Sp. Name], "Code Not Found")</f>
        <v>rubrum</v>
      </c>
      <c r="N2129" t="str">
        <f>_xlfn.XLOOKUP(C2129,Table2[Species],Table2[Family],"Code Not Found")</f>
        <v>Sapindaceae</v>
      </c>
      <c r="O2129" t="str" cm="1">
        <f t="array" ref="O2129">_xlfn.IFS(F2129="","",F2129&lt;=5,"0 to 5",F2129&lt;=10,"5.1 to 10",F2129&lt;=20,"10 to 20", F2129&lt;= 40, "20 to 40", F2129 &lt;= 50, "40 to 50", F2129 &gt; 50, "&gt;50" )</f>
        <v>5.1 to 10</v>
      </c>
    </row>
    <row r="2130" spans="1:15" ht="15" customHeight="1" x14ac:dyDescent="0.3">
      <c r="A2130" t="s">
        <v>427</v>
      </c>
      <c r="B2130" s="1">
        <v>46210</v>
      </c>
      <c r="C2130" t="s">
        <v>22</v>
      </c>
      <c r="D2130">
        <v>1962</v>
      </c>
      <c r="E2130">
        <v>1</v>
      </c>
      <c r="F2130">
        <v>2.4</v>
      </c>
      <c r="G2130" t="s">
        <v>30</v>
      </c>
      <c r="H2130" t="s">
        <v>99</v>
      </c>
      <c r="I2130" t="str">
        <f t="shared" si="35"/>
        <v>1962_1</v>
      </c>
      <c r="J2130" t="s">
        <v>428</v>
      </c>
      <c r="K2130" t="s">
        <v>429</v>
      </c>
      <c r="L2130" t="str">
        <f>_xlfn.XLOOKUP(C2130, Table2[Species],Table2[Genus], "Code Not Found")</f>
        <v>Acer</v>
      </c>
      <c r="M2130" t="str">
        <f>_xlfn.XLOOKUP(C2130, Table2[Species],Table2[Sp. Name], "Code Not Found")</f>
        <v>rubrum</v>
      </c>
      <c r="N2130" t="str">
        <f>_xlfn.XLOOKUP(C2130,Table2[Species],Table2[Family],"Code Not Found")</f>
        <v>Sapindaceae</v>
      </c>
      <c r="O2130" t="str" cm="1">
        <f t="array" ref="O2130">_xlfn.IFS(F2130="","",F2130&lt;=5,"0 to 5",F2130&lt;=10,"5.1 to 10",F2130&lt;=20,"10 to 20", F2130&lt;= 40, "20 to 40", F2130 &lt;= 50, "40 to 50", F2130 &gt; 50, "&gt;50" )</f>
        <v>0 to 5</v>
      </c>
    </row>
    <row r="2131" spans="1:15" ht="15" customHeight="1" x14ac:dyDescent="0.3">
      <c r="A2131" t="s">
        <v>427</v>
      </c>
      <c r="B2131" s="1">
        <v>46210</v>
      </c>
      <c r="C2131" t="s">
        <v>16</v>
      </c>
      <c r="D2131">
        <v>1963</v>
      </c>
      <c r="E2131">
        <v>1</v>
      </c>
      <c r="F2131">
        <v>2.2999999999999998</v>
      </c>
      <c r="G2131" t="s">
        <v>47</v>
      </c>
      <c r="I2131" t="str">
        <f t="shared" si="35"/>
        <v>1963_1</v>
      </c>
      <c r="J2131" t="s">
        <v>428</v>
      </c>
      <c r="K2131" t="s">
        <v>429</v>
      </c>
      <c r="L2131" t="str">
        <f>_xlfn.XLOOKUP(C2131, Table2[Species],Table2[Genus], "Code Not Found")</f>
        <v>Acer</v>
      </c>
      <c r="M2131" t="str">
        <f>_xlfn.XLOOKUP(C2131, Table2[Species],Table2[Sp. Name], "Code Not Found")</f>
        <v>saccharum</v>
      </c>
      <c r="N2131" t="str">
        <f>_xlfn.XLOOKUP(C2131,Table2[Species],Table2[Family],"Code Not Found")</f>
        <v>Sapindaceae</v>
      </c>
      <c r="O2131" t="str" cm="1">
        <f t="array" ref="O2131">_xlfn.IFS(F2131="","",F2131&lt;=5,"0 to 5",F2131&lt;=10,"5.1 to 10",F2131&lt;=20,"10 to 20", F2131&lt;= 40, "20 to 40", F2131 &lt;= 50, "40 to 50", F2131 &gt; 50, "&gt;50" )</f>
        <v>0 to 5</v>
      </c>
    </row>
    <row r="2132" spans="1:15" ht="15" customHeight="1" x14ac:dyDescent="0.3">
      <c r="A2132" t="s">
        <v>427</v>
      </c>
      <c r="B2132" s="1">
        <v>46210</v>
      </c>
      <c r="C2132" t="s">
        <v>16</v>
      </c>
      <c r="D2132">
        <v>1964</v>
      </c>
      <c r="E2132">
        <v>1</v>
      </c>
      <c r="F2132">
        <v>1.9</v>
      </c>
      <c r="G2132" t="s">
        <v>47</v>
      </c>
      <c r="H2132" t="s">
        <v>296</v>
      </c>
      <c r="I2132" t="str">
        <f t="shared" si="35"/>
        <v>1964_1</v>
      </c>
      <c r="J2132" t="s">
        <v>428</v>
      </c>
      <c r="K2132" t="s">
        <v>429</v>
      </c>
      <c r="L2132" t="str">
        <f>_xlfn.XLOOKUP(C2132, Table2[Species],Table2[Genus], "Code Not Found")</f>
        <v>Acer</v>
      </c>
      <c r="M2132" t="str">
        <f>_xlfn.XLOOKUP(C2132, Table2[Species],Table2[Sp. Name], "Code Not Found")</f>
        <v>saccharum</v>
      </c>
      <c r="N2132" t="str">
        <f>_xlfn.XLOOKUP(C2132,Table2[Species],Table2[Family],"Code Not Found")</f>
        <v>Sapindaceae</v>
      </c>
      <c r="O2132" t="str" cm="1">
        <f t="array" ref="O2132">_xlfn.IFS(F2132="","",F2132&lt;=5,"0 to 5",F2132&lt;=10,"5.1 to 10",F2132&lt;=20,"10 to 20", F2132&lt;= 40, "20 to 40", F2132 &lt;= 50, "40 to 50", F2132 &gt; 50, "&gt;50" )</f>
        <v>0 to 5</v>
      </c>
    </row>
    <row r="2133" spans="1:15" ht="15" customHeight="1" x14ac:dyDescent="0.3">
      <c r="A2133" t="s">
        <v>427</v>
      </c>
      <c r="B2133" s="1">
        <v>46210</v>
      </c>
      <c r="C2133" t="s">
        <v>22</v>
      </c>
      <c r="D2133">
        <v>1965</v>
      </c>
      <c r="E2133">
        <v>1</v>
      </c>
      <c r="F2133">
        <v>6</v>
      </c>
      <c r="G2133" t="s">
        <v>47</v>
      </c>
      <c r="H2133" t="s">
        <v>296</v>
      </c>
      <c r="I2133" t="str">
        <f t="shared" si="35"/>
        <v>1965_1</v>
      </c>
      <c r="J2133" t="s">
        <v>428</v>
      </c>
      <c r="K2133" t="s">
        <v>429</v>
      </c>
      <c r="L2133" t="str">
        <f>_xlfn.XLOOKUP(C2133, Table2[Species],Table2[Genus], "Code Not Found")</f>
        <v>Acer</v>
      </c>
      <c r="M2133" t="str">
        <f>_xlfn.XLOOKUP(C2133, Table2[Species],Table2[Sp. Name], "Code Not Found")</f>
        <v>rubrum</v>
      </c>
      <c r="N2133" t="str">
        <f>_xlfn.XLOOKUP(C2133,Table2[Species],Table2[Family],"Code Not Found")</f>
        <v>Sapindaceae</v>
      </c>
      <c r="O2133" t="str" cm="1">
        <f t="array" ref="O2133">_xlfn.IFS(F2133="","",F2133&lt;=5,"0 to 5",F2133&lt;=10,"5.1 to 10",F2133&lt;=20,"10 to 20", F2133&lt;= 40, "20 to 40", F2133 &lt;= 50, "40 to 50", F2133 &gt; 50, "&gt;50" )</f>
        <v>5.1 to 10</v>
      </c>
    </row>
    <row r="2134" spans="1:15" ht="15" customHeight="1" x14ac:dyDescent="0.3">
      <c r="A2134" t="s">
        <v>427</v>
      </c>
      <c r="B2134" s="1">
        <v>46210</v>
      </c>
      <c r="C2134" t="s">
        <v>16</v>
      </c>
      <c r="D2134">
        <v>1966</v>
      </c>
      <c r="E2134">
        <v>1</v>
      </c>
      <c r="F2134">
        <v>5.9</v>
      </c>
      <c r="G2134" t="s">
        <v>88</v>
      </c>
      <c r="H2134" t="s">
        <v>100</v>
      </c>
      <c r="I2134" t="str">
        <f t="shared" si="35"/>
        <v>1966_1</v>
      </c>
      <c r="J2134" t="s">
        <v>428</v>
      </c>
      <c r="K2134" t="s">
        <v>429</v>
      </c>
      <c r="L2134" t="str">
        <f>_xlfn.XLOOKUP(C2134, Table2[Species],Table2[Genus], "Code Not Found")</f>
        <v>Acer</v>
      </c>
      <c r="M2134" t="str">
        <f>_xlfn.XLOOKUP(C2134, Table2[Species],Table2[Sp. Name], "Code Not Found")</f>
        <v>saccharum</v>
      </c>
      <c r="N2134" t="str">
        <f>_xlfn.XLOOKUP(C2134,Table2[Species],Table2[Family],"Code Not Found")</f>
        <v>Sapindaceae</v>
      </c>
      <c r="O2134" t="str" cm="1">
        <f t="array" ref="O2134">_xlfn.IFS(F2134="","",F2134&lt;=5,"0 to 5",F2134&lt;=10,"5.1 to 10",F2134&lt;=20,"10 to 20", F2134&lt;= 40, "20 to 40", F2134 &lt;= 50, "40 to 50", F2134 &gt; 50, "&gt;50" )</f>
        <v>5.1 to 10</v>
      </c>
    </row>
    <row r="2135" spans="1:15" ht="15" customHeight="1" x14ac:dyDescent="0.3">
      <c r="A2135" t="s">
        <v>427</v>
      </c>
      <c r="B2135" s="1">
        <v>46210</v>
      </c>
      <c r="C2135" t="s">
        <v>430</v>
      </c>
      <c r="D2135">
        <v>1967</v>
      </c>
      <c r="E2135">
        <v>1</v>
      </c>
      <c r="F2135">
        <v>14.5</v>
      </c>
      <c r="G2135" t="s">
        <v>47</v>
      </c>
      <c r="I2135" t="str">
        <f t="shared" si="35"/>
        <v>1967_1</v>
      </c>
      <c r="J2135" t="s">
        <v>428</v>
      </c>
      <c r="K2135" t="s">
        <v>429</v>
      </c>
      <c r="L2135" t="str">
        <f>_xlfn.XLOOKUP(C2135, Table2[Species],Table2[Genus], "Code Not Found")</f>
        <v>Tsuga</v>
      </c>
      <c r="M2135" t="str">
        <f>_xlfn.XLOOKUP(C2135, Table2[Species],Table2[Sp. Name], "Code Not Found")</f>
        <v>canadensis</v>
      </c>
      <c r="N2135" t="str">
        <f>_xlfn.XLOOKUP(C2135,Table2[Species],Table2[Family],"Code Not Found")</f>
        <v>Pinaceae</v>
      </c>
      <c r="O2135" t="str" cm="1">
        <f t="array" ref="O2135">_xlfn.IFS(F2135="","",F2135&lt;=5,"0 to 5",F2135&lt;=10,"5.1 to 10",F2135&lt;=20,"10 to 20", F2135&lt;= 40, "20 to 40", F2135 &lt;= 50, "40 to 50", F2135 &gt; 50, "&gt;50" )</f>
        <v>10 to 20</v>
      </c>
    </row>
    <row r="2136" spans="1:15" ht="15" customHeight="1" x14ac:dyDescent="0.3">
      <c r="A2136" t="s">
        <v>427</v>
      </c>
      <c r="B2136" s="1">
        <v>46210</v>
      </c>
      <c r="C2136" t="s">
        <v>16</v>
      </c>
      <c r="D2136">
        <v>1968</v>
      </c>
      <c r="E2136">
        <v>1</v>
      </c>
      <c r="F2136">
        <v>6.5</v>
      </c>
      <c r="G2136" t="s">
        <v>17</v>
      </c>
      <c r="I2136" t="str">
        <f t="shared" si="35"/>
        <v>1968_1</v>
      </c>
      <c r="J2136" t="s">
        <v>428</v>
      </c>
      <c r="K2136" t="s">
        <v>429</v>
      </c>
      <c r="L2136" t="str">
        <f>_xlfn.XLOOKUP(C2136, Table2[Species],Table2[Genus], "Code Not Found")</f>
        <v>Acer</v>
      </c>
      <c r="M2136" t="str">
        <f>_xlfn.XLOOKUP(C2136, Table2[Species],Table2[Sp. Name], "Code Not Found")</f>
        <v>saccharum</v>
      </c>
      <c r="N2136" t="str">
        <f>_xlfn.XLOOKUP(C2136,Table2[Species],Table2[Family],"Code Not Found")</f>
        <v>Sapindaceae</v>
      </c>
      <c r="O2136" t="str" cm="1">
        <f t="array" ref="O2136">_xlfn.IFS(F2136="","",F2136&lt;=5,"0 to 5",F2136&lt;=10,"5.1 to 10",F2136&lt;=20,"10 to 20", F2136&lt;= 40, "20 to 40", F2136 &lt;= 50, "40 to 50", F2136 &gt; 50, "&gt;50" )</f>
        <v>5.1 to 10</v>
      </c>
    </row>
    <row r="2137" spans="1:15" ht="15" customHeight="1" x14ac:dyDescent="0.3">
      <c r="A2137" t="s">
        <v>427</v>
      </c>
      <c r="B2137" s="1">
        <v>46210</v>
      </c>
      <c r="C2137" t="s">
        <v>64</v>
      </c>
      <c r="D2137">
        <v>1969</v>
      </c>
      <c r="E2137">
        <v>1</v>
      </c>
      <c r="F2137">
        <v>2.2999999999999998</v>
      </c>
      <c r="G2137" t="s">
        <v>47</v>
      </c>
      <c r="I2137" t="str">
        <f t="shared" si="35"/>
        <v>1969_1</v>
      </c>
      <c r="J2137" t="s">
        <v>428</v>
      </c>
      <c r="K2137" t="s">
        <v>429</v>
      </c>
      <c r="L2137" t="str">
        <f>_xlfn.XLOOKUP(C2137, Table2[Species],Table2[Genus], "Code Not Found")</f>
        <v>Fagus</v>
      </c>
      <c r="M2137" t="str">
        <f>_xlfn.XLOOKUP(C2137, Table2[Species],Table2[Sp. Name], "Code Not Found")</f>
        <v>grandifolia</v>
      </c>
      <c r="N2137" t="str">
        <f>_xlfn.XLOOKUP(C2137,Table2[Species],Table2[Family],"Code Not Found")</f>
        <v>Fagaceae</v>
      </c>
      <c r="O2137" t="str" cm="1">
        <f t="array" ref="O2137">_xlfn.IFS(F2137="","",F2137&lt;=5,"0 to 5",F2137&lt;=10,"5.1 to 10",F2137&lt;=20,"10 to 20", F2137&lt;= 40, "20 to 40", F2137 &lt;= 50, "40 to 50", F2137 &gt; 50, "&gt;50" )</f>
        <v>0 to 5</v>
      </c>
    </row>
    <row r="2138" spans="1:15" ht="15" customHeight="1" x14ac:dyDescent="0.3">
      <c r="A2138" t="s">
        <v>427</v>
      </c>
      <c r="B2138" s="1">
        <v>46210</v>
      </c>
      <c r="C2138" t="s">
        <v>16</v>
      </c>
      <c r="D2138">
        <v>1970</v>
      </c>
      <c r="E2138">
        <v>1</v>
      </c>
      <c r="F2138">
        <v>5.8</v>
      </c>
      <c r="G2138" t="s">
        <v>17</v>
      </c>
      <c r="I2138" t="str">
        <f t="shared" si="35"/>
        <v>1970_1</v>
      </c>
      <c r="J2138" t="s">
        <v>428</v>
      </c>
      <c r="K2138" t="s">
        <v>429</v>
      </c>
      <c r="L2138" t="str">
        <f>_xlfn.XLOOKUP(C2138, Table2[Species],Table2[Genus], "Code Not Found")</f>
        <v>Acer</v>
      </c>
      <c r="M2138" t="str">
        <f>_xlfn.XLOOKUP(C2138, Table2[Species],Table2[Sp. Name], "Code Not Found")</f>
        <v>saccharum</v>
      </c>
      <c r="N2138" t="str">
        <f>_xlfn.XLOOKUP(C2138,Table2[Species],Table2[Family],"Code Not Found")</f>
        <v>Sapindaceae</v>
      </c>
      <c r="O2138" t="str" cm="1">
        <f t="array" ref="O2138">_xlfn.IFS(F2138="","",F2138&lt;=5,"0 to 5",F2138&lt;=10,"5.1 to 10",F2138&lt;=20,"10 to 20", F2138&lt;= 40, "20 to 40", F2138 &lt;= 50, "40 to 50", F2138 &gt; 50, "&gt;50" )</f>
        <v>5.1 to 10</v>
      </c>
    </row>
    <row r="2139" spans="1:15" ht="15" customHeight="1" x14ac:dyDescent="0.3">
      <c r="A2139" t="s">
        <v>427</v>
      </c>
      <c r="B2139" s="1">
        <v>46210</v>
      </c>
      <c r="C2139" t="s">
        <v>16</v>
      </c>
      <c r="D2139">
        <v>1971</v>
      </c>
      <c r="E2139">
        <v>1</v>
      </c>
      <c r="F2139">
        <v>7.2</v>
      </c>
      <c r="G2139" t="s">
        <v>47</v>
      </c>
      <c r="I2139" t="str">
        <f t="shared" si="35"/>
        <v>1971_1</v>
      </c>
      <c r="J2139" t="s">
        <v>428</v>
      </c>
      <c r="K2139" t="s">
        <v>429</v>
      </c>
      <c r="L2139" t="str">
        <f>_xlfn.XLOOKUP(C2139, Table2[Species],Table2[Genus], "Code Not Found")</f>
        <v>Acer</v>
      </c>
      <c r="M2139" t="str">
        <f>_xlfn.XLOOKUP(C2139, Table2[Species],Table2[Sp. Name], "Code Not Found")</f>
        <v>saccharum</v>
      </c>
      <c r="N2139" t="str">
        <f>_xlfn.XLOOKUP(C2139,Table2[Species],Table2[Family],"Code Not Found")</f>
        <v>Sapindaceae</v>
      </c>
      <c r="O2139" t="str" cm="1">
        <f t="array" ref="O2139">_xlfn.IFS(F2139="","",F2139&lt;=5,"0 to 5",F2139&lt;=10,"5.1 to 10",F2139&lt;=20,"10 to 20", F2139&lt;= 40, "20 to 40", F2139 &lt;= 50, "40 to 50", F2139 &gt; 50, "&gt;50" )</f>
        <v>5.1 to 10</v>
      </c>
    </row>
    <row r="2140" spans="1:15" ht="15" customHeight="1" x14ac:dyDescent="0.3">
      <c r="A2140" t="s">
        <v>427</v>
      </c>
      <c r="B2140" s="1">
        <v>46210</v>
      </c>
      <c r="C2140" t="s">
        <v>16</v>
      </c>
      <c r="D2140">
        <v>1972</v>
      </c>
      <c r="E2140">
        <v>1</v>
      </c>
      <c r="F2140">
        <v>2.1</v>
      </c>
      <c r="G2140" t="s">
        <v>17</v>
      </c>
      <c r="I2140" t="str">
        <f t="shared" si="35"/>
        <v>1972_1</v>
      </c>
      <c r="J2140" t="s">
        <v>428</v>
      </c>
      <c r="K2140" t="s">
        <v>429</v>
      </c>
      <c r="L2140" t="str">
        <f>_xlfn.XLOOKUP(C2140, Table2[Species],Table2[Genus], "Code Not Found")</f>
        <v>Acer</v>
      </c>
      <c r="M2140" t="str">
        <f>_xlfn.XLOOKUP(C2140, Table2[Species],Table2[Sp. Name], "Code Not Found")</f>
        <v>saccharum</v>
      </c>
      <c r="N2140" t="str">
        <f>_xlfn.XLOOKUP(C2140,Table2[Species],Table2[Family],"Code Not Found")</f>
        <v>Sapindaceae</v>
      </c>
      <c r="O2140" t="str" cm="1">
        <f t="array" ref="O2140">_xlfn.IFS(F2140="","",F2140&lt;=5,"0 to 5",F2140&lt;=10,"5.1 to 10",F2140&lt;=20,"10 to 20", F2140&lt;= 40, "20 to 40", F2140 &lt;= 50, "40 to 50", F2140 &gt; 50, "&gt;50" )</f>
        <v>0 to 5</v>
      </c>
    </row>
    <row r="2141" spans="1:15" ht="15" customHeight="1" x14ac:dyDescent="0.3">
      <c r="A2141" t="s">
        <v>427</v>
      </c>
      <c r="B2141" s="1">
        <v>46210</v>
      </c>
      <c r="C2141" t="s">
        <v>16</v>
      </c>
      <c r="D2141">
        <v>1973</v>
      </c>
      <c r="E2141">
        <v>1</v>
      </c>
      <c r="F2141">
        <v>6.5</v>
      </c>
      <c r="G2141" t="s">
        <v>47</v>
      </c>
      <c r="H2141" t="s">
        <v>464</v>
      </c>
      <c r="I2141" t="str">
        <f t="shared" si="35"/>
        <v>1973_1</v>
      </c>
      <c r="J2141" t="s">
        <v>428</v>
      </c>
      <c r="K2141" t="s">
        <v>429</v>
      </c>
      <c r="L2141" t="str">
        <f>_xlfn.XLOOKUP(C2141, Table2[Species],Table2[Genus], "Code Not Found")</f>
        <v>Acer</v>
      </c>
      <c r="M2141" t="str">
        <f>_xlfn.XLOOKUP(C2141, Table2[Species],Table2[Sp. Name], "Code Not Found")</f>
        <v>saccharum</v>
      </c>
      <c r="N2141" t="str">
        <f>_xlfn.XLOOKUP(C2141,Table2[Species],Table2[Family],"Code Not Found")</f>
        <v>Sapindaceae</v>
      </c>
      <c r="O2141" t="str" cm="1">
        <f t="array" ref="O2141">_xlfn.IFS(F2141="","",F2141&lt;=5,"0 to 5",F2141&lt;=10,"5.1 to 10",F2141&lt;=20,"10 to 20", F2141&lt;= 40, "20 to 40", F2141 &lt;= 50, "40 to 50", F2141 &gt; 50, "&gt;50" )</f>
        <v>5.1 to 10</v>
      </c>
    </row>
    <row r="2142" spans="1:15" ht="15" customHeight="1" x14ac:dyDescent="0.3">
      <c r="A2142" t="s">
        <v>427</v>
      </c>
      <c r="B2142" s="1">
        <v>46210</v>
      </c>
      <c r="C2142" t="s">
        <v>16</v>
      </c>
      <c r="D2142">
        <v>1974</v>
      </c>
      <c r="E2142">
        <v>1</v>
      </c>
      <c r="F2142">
        <v>4.0999999999999996</v>
      </c>
      <c r="G2142" t="s">
        <v>17</v>
      </c>
      <c r="I2142" t="str">
        <f t="shared" si="35"/>
        <v>1974_1</v>
      </c>
      <c r="J2142" t="s">
        <v>428</v>
      </c>
      <c r="K2142" t="s">
        <v>429</v>
      </c>
      <c r="L2142" t="str">
        <f>_xlfn.XLOOKUP(C2142, Table2[Species],Table2[Genus], "Code Not Found")</f>
        <v>Acer</v>
      </c>
      <c r="M2142" t="str">
        <f>_xlfn.XLOOKUP(C2142, Table2[Species],Table2[Sp. Name], "Code Not Found")</f>
        <v>saccharum</v>
      </c>
      <c r="N2142" t="str">
        <f>_xlfn.XLOOKUP(C2142,Table2[Species],Table2[Family],"Code Not Found")</f>
        <v>Sapindaceae</v>
      </c>
      <c r="O2142" t="str" cm="1">
        <f t="array" ref="O2142">_xlfn.IFS(F2142="","",F2142&lt;=5,"0 to 5",F2142&lt;=10,"5.1 to 10",F2142&lt;=20,"10 to 20", F2142&lt;= 40, "20 to 40", F2142 &lt;= 50, "40 to 50", F2142 &gt; 50, "&gt;50" )</f>
        <v>0 to 5</v>
      </c>
    </row>
    <row r="2143" spans="1:15" ht="15" customHeight="1" x14ac:dyDescent="0.3">
      <c r="A2143" t="s">
        <v>427</v>
      </c>
      <c r="B2143" s="1">
        <v>46210</v>
      </c>
      <c r="C2143" t="s">
        <v>20</v>
      </c>
      <c r="D2143">
        <v>1975</v>
      </c>
      <c r="E2143">
        <v>1</v>
      </c>
      <c r="F2143">
        <v>4.9000000000000004</v>
      </c>
      <c r="G2143" t="s">
        <v>17</v>
      </c>
      <c r="H2143" t="s">
        <v>435</v>
      </c>
      <c r="I2143" t="str">
        <f t="shared" si="35"/>
        <v>1975_1</v>
      </c>
      <c r="J2143" t="s">
        <v>428</v>
      </c>
      <c r="K2143" t="s">
        <v>429</v>
      </c>
      <c r="L2143" t="str">
        <f>_xlfn.XLOOKUP(C2143, Table2[Species],Table2[Genus], "Code Not Found")</f>
        <v>Prunus</v>
      </c>
      <c r="M2143" t="str">
        <f>_xlfn.XLOOKUP(C2143, Table2[Species],Table2[Sp. Name], "Code Not Found")</f>
        <v>serotina</v>
      </c>
      <c r="N2143" t="str">
        <f>_xlfn.XLOOKUP(C2143,Table2[Species],Table2[Family],"Code Not Found")</f>
        <v>Rosaceae</v>
      </c>
      <c r="O2143" t="str" cm="1">
        <f t="array" ref="O2143">_xlfn.IFS(F2143="","",F2143&lt;=5,"0 to 5",F2143&lt;=10,"5.1 to 10",F2143&lt;=20,"10 to 20", F2143&lt;= 40, "20 to 40", F2143 &lt;= 50, "40 to 50", F2143 &gt; 50, "&gt;50" )</f>
        <v>0 to 5</v>
      </c>
    </row>
    <row r="2144" spans="1:15" ht="15" customHeight="1" x14ac:dyDescent="0.3">
      <c r="A2144" t="s">
        <v>427</v>
      </c>
      <c r="B2144" s="1">
        <v>46210</v>
      </c>
      <c r="C2144" t="s">
        <v>22</v>
      </c>
      <c r="D2144">
        <v>1976</v>
      </c>
      <c r="E2144">
        <v>1</v>
      </c>
      <c r="F2144">
        <v>35.299999999999997</v>
      </c>
      <c r="G2144" t="s">
        <v>56</v>
      </c>
      <c r="H2144" t="s">
        <v>465</v>
      </c>
      <c r="I2144" t="str">
        <f t="shared" si="35"/>
        <v>1976_1</v>
      </c>
      <c r="J2144" t="s">
        <v>428</v>
      </c>
      <c r="K2144" t="s">
        <v>429</v>
      </c>
      <c r="L2144" t="str">
        <f>_xlfn.XLOOKUP(C2144, Table2[Species],Table2[Genus], "Code Not Found")</f>
        <v>Acer</v>
      </c>
      <c r="M2144" t="str">
        <f>_xlfn.XLOOKUP(C2144, Table2[Species],Table2[Sp. Name], "Code Not Found")</f>
        <v>rubrum</v>
      </c>
      <c r="N2144" t="str">
        <f>_xlfn.XLOOKUP(C2144,Table2[Species],Table2[Family],"Code Not Found")</f>
        <v>Sapindaceae</v>
      </c>
      <c r="O2144" t="str" cm="1">
        <f t="array" ref="O2144">_xlfn.IFS(F2144="","",F2144&lt;=5,"0 to 5",F2144&lt;=10,"5.1 to 10",F2144&lt;=20,"10 to 20", F2144&lt;= 40, "20 to 40", F2144 &lt;= 50, "40 to 50", F2144 &gt; 50, "&gt;50" )</f>
        <v>20 to 40</v>
      </c>
    </row>
    <row r="2145" spans="1:15" ht="15" customHeight="1" x14ac:dyDescent="0.3">
      <c r="A2145" t="s">
        <v>427</v>
      </c>
      <c r="B2145" s="1">
        <v>46210</v>
      </c>
      <c r="C2145" t="s">
        <v>16</v>
      </c>
      <c r="D2145">
        <v>1977</v>
      </c>
      <c r="E2145">
        <v>1</v>
      </c>
      <c r="F2145">
        <v>5.0999999999999996</v>
      </c>
      <c r="G2145" t="s">
        <v>21</v>
      </c>
      <c r="I2145" t="str">
        <f t="shared" si="35"/>
        <v>1977_1</v>
      </c>
      <c r="J2145" t="s">
        <v>428</v>
      </c>
      <c r="K2145" t="s">
        <v>429</v>
      </c>
      <c r="L2145" t="str">
        <f>_xlfn.XLOOKUP(C2145, Table2[Species],Table2[Genus], "Code Not Found")</f>
        <v>Acer</v>
      </c>
      <c r="M2145" t="str">
        <f>_xlfn.XLOOKUP(C2145, Table2[Species],Table2[Sp. Name], "Code Not Found")</f>
        <v>saccharum</v>
      </c>
      <c r="N2145" t="str">
        <f>_xlfn.XLOOKUP(C2145,Table2[Species],Table2[Family],"Code Not Found")</f>
        <v>Sapindaceae</v>
      </c>
      <c r="O2145" t="str" cm="1">
        <f t="array" ref="O2145">_xlfn.IFS(F2145="","",F2145&lt;=5,"0 to 5",F2145&lt;=10,"5.1 to 10",F2145&lt;=20,"10 to 20", F2145&lt;= 40, "20 to 40", F2145 &lt;= 50, "40 to 50", F2145 &gt; 50, "&gt;50" )</f>
        <v>5.1 to 10</v>
      </c>
    </row>
    <row r="2146" spans="1:15" ht="15" customHeight="1" x14ac:dyDescent="0.3">
      <c r="A2146" t="s">
        <v>427</v>
      </c>
      <c r="B2146" s="1">
        <v>46210</v>
      </c>
      <c r="C2146" t="s">
        <v>16</v>
      </c>
      <c r="D2146">
        <v>1978</v>
      </c>
      <c r="E2146">
        <v>1</v>
      </c>
      <c r="F2146">
        <v>36.4</v>
      </c>
      <c r="G2146" t="s">
        <v>17</v>
      </c>
      <c r="I2146" t="str">
        <f t="shared" si="35"/>
        <v>1978_1</v>
      </c>
      <c r="J2146" t="s">
        <v>428</v>
      </c>
      <c r="K2146" t="s">
        <v>429</v>
      </c>
      <c r="L2146" t="str">
        <f>_xlfn.XLOOKUP(C2146, Table2[Species],Table2[Genus], "Code Not Found")</f>
        <v>Acer</v>
      </c>
      <c r="M2146" t="str">
        <f>_xlfn.XLOOKUP(C2146, Table2[Species],Table2[Sp. Name], "Code Not Found")</f>
        <v>saccharum</v>
      </c>
      <c r="N2146" t="str">
        <f>_xlfn.XLOOKUP(C2146,Table2[Species],Table2[Family],"Code Not Found")</f>
        <v>Sapindaceae</v>
      </c>
      <c r="O2146" t="str" cm="1">
        <f t="array" ref="O2146">_xlfn.IFS(F2146="","",F2146&lt;=5,"0 to 5",F2146&lt;=10,"5.1 to 10",F2146&lt;=20,"10 to 20", F2146&lt;= 40, "20 to 40", F2146 &lt;= 50, "40 to 50", F2146 &gt; 50, "&gt;50" )</f>
        <v>20 to 40</v>
      </c>
    </row>
    <row r="2147" spans="1:15" ht="15" customHeight="1" x14ac:dyDescent="0.3">
      <c r="A2147" t="s">
        <v>427</v>
      </c>
      <c r="B2147" s="1">
        <v>46210</v>
      </c>
      <c r="C2147" t="s">
        <v>64</v>
      </c>
      <c r="D2147">
        <v>1979</v>
      </c>
      <c r="E2147">
        <v>1</v>
      </c>
      <c r="F2147">
        <v>3.6</v>
      </c>
      <c r="G2147" t="s">
        <v>30</v>
      </c>
      <c r="H2147" t="s">
        <v>100</v>
      </c>
      <c r="I2147" t="str">
        <f t="shared" ref="I2147:I2155" si="36">D2147&amp;"_"&amp;E2147</f>
        <v>1979_1</v>
      </c>
      <c r="J2147" t="s">
        <v>428</v>
      </c>
      <c r="K2147" t="s">
        <v>429</v>
      </c>
      <c r="L2147" t="str">
        <f>_xlfn.XLOOKUP(C2147, Table2[Species],Table2[Genus], "Code Not Found")</f>
        <v>Fagus</v>
      </c>
      <c r="M2147" t="str">
        <f>_xlfn.XLOOKUP(C2147, Table2[Species],Table2[Sp. Name], "Code Not Found")</f>
        <v>grandifolia</v>
      </c>
      <c r="N2147" t="str">
        <f>_xlfn.XLOOKUP(C2147,Table2[Species],Table2[Family],"Code Not Found")</f>
        <v>Fagaceae</v>
      </c>
      <c r="O2147" t="str" cm="1">
        <f t="array" ref="O2147">_xlfn.IFS(F2147="","",F2147&lt;=5,"0 to 5",F2147&lt;=10,"5.1 to 10",F2147&lt;=20,"10 to 20", F2147&lt;= 40, "20 to 40", F2147 &lt;= 50, "40 to 50", F2147 &gt; 50, "&gt;50" )</f>
        <v>0 to 5</v>
      </c>
    </row>
    <row r="2148" spans="1:15" ht="15" customHeight="1" x14ac:dyDescent="0.3">
      <c r="A2148" t="s">
        <v>427</v>
      </c>
      <c r="B2148" s="1">
        <v>46210</v>
      </c>
      <c r="C2148" t="s">
        <v>64</v>
      </c>
      <c r="D2148">
        <v>1980</v>
      </c>
      <c r="E2148">
        <v>1</v>
      </c>
      <c r="F2148">
        <v>3</v>
      </c>
      <c r="G2148" t="s">
        <v>17</v>
      </c>
      <c r="H2148" t="s">
        <v>466</v>
      </c>
      <c r="I2148" t="str">
        <f t="shared" si="36"/>
        <v>1980_1</v>
      </c>
      <c r="J2148" t="s">
        <v>428</v>
      </c>
      <c r="K2148" t="s">
        <v>429</v>
      </c>
      <c r="L2148" t="str">
        <f>_xlfn.XLOOKUP(C2148, Table2[Species],Table2[Genus], "Code Not Found")</f>
        <v>Fagus</v>
      </c>
      <c r="M2148" t="str">
        <f>_xlfn.XLOOKUP(C2148, Table2[Species],Table2[Sp. Name], "Code Not Found")</f>
        <v>grandifolia</v>
      </c>
      <c r="N2148" t="str">
        <f>_xlfn.XLOOKUP(C2148,Table2[Species],Table2[Family],"Code Not Found")</f>
        <v>Fagaceae</v>
      </c>
      <c r="O2148" t="str" cm="1">
        <f t="array" ref="O2148">_xlfn.IFS(F2148="","",F2148&lt;=5,"0 to 5",F2148&lt;=10,"5.1 to 10",F2148&lt;=20,"10 to 20", F2148&lt;= 40, "20 to 40", F2148 &lt;= 50, "40 to 50", F2148 &gt; 50, "&gt;50" )</f>
        <v>0 to 5</v>
      </c>
    </row>
    <row r="2149" spans="1:15" ht="15" customHeight="1" x14ac:dyDescent="0.3">
      <c r="A2149" t="s">
        <v>427</v>
      </c>
      <c r="B2149" s="1">
        <v>46210</v>
      </c>
      <c r="C2149" t="s">
        <v>64</v>
      </c>
      <c r="D2149">
        <v>1981</v>
      </c>
      <c r="E2149">
        <v>1</v>
      </c>
      <c r="F2149">
        <v>7.9</v>
      </c>
      <c r="G2149" t="s">
        <v>17</v>
      </c>
      <c r="I2149" t="str">
        <f t="shared" si="36"/>
        <v>1981_1</v>
      </c>
      <c r="J2149" t="s">
        <v>428</v>
      </c>
      <c r="K2149" t="s">
        <v>429</v>
      </c>
      <c r="L2149" t="str">
        <f>_xlfn.XLOOKUP(C2149, Table2[Species],Table2[Genus], "Code Not Found")</f>
        <v>Fagus</v>
      </c>
      <c r="M2149" t="str">
        <f>_xlfn.XLOOKUP(C2149, Table2[Species],Table2[Sp. Name], "Code Not Found")</f>
        <v>grandifolia</v>
      </c>
      <c r="N2149" t="str">
        <f>_xlfn.XLOOKUP(C2149,Table2[Species],Table2[Family],"Code Not Found")</f>
        <v>Fagaceae</v>
      </c>
      <c r="O2149" t="str" cm="1">
        <f t="array" ref="O2149">_xlfn.IFS(F2149="","",F2149&lt;=5,"0 to 5",F2149&lt;=10,"5.1 to 10",F2149&lt;=20,"10 to 20", F2149&lt;= 40, "20 to 40", F2149 &lt;= 50, "40 to 50", F2149 &gt; 50, "&gt;50" )</f>
        <v>5.1 to 10</v>
      </c>
    </row>
    <row r="2150" spans="1:15" ht="15" customHeight="1" x14ac:dyDescent="0.3">
      <c r="A2150" t="s">
        <v>427</v>
      </c>
      <c r="B2150" s="1">
        <v>46210</v>
      </c>
      <c r="C2150" t="s">
        <v>64</v>
      </c>
      <c r="D2150">
        <v>1982</v>
      </c>
      <c r="E2150">
        <v>1</v>
      </c>
      <c r="F2150">
        <v>2.2000000000000002</v>
      </c>
      <c r="G2150" t="s">
        <v>47</v>
      </c>
      <c r="H2150" t="s">
        <v>467</v>
      </c>
      <c r="I2150" t="str">
        <f t="shared" si="36"/>
        <v>1982_1</v>
      </c>
      <c r="J2150" t="s">
        <v>428</v>
      </c>
      <c r="K2150" t="s">
        <v>429</v>
      </c>
      <c r="L2150" t="str">
        <f>_xlfn.XLOOKUP(C2150, Table2[Species],Table2[Genus], "Code Not Found")</f>
        <v>Fagus</v>
      </c>
      <c r="M2150" t="str">
        <f>_xlfn.XLOOKUP(C2150, Table2[Species],Table2[Sp. Name], "Code Not Found")</f>
        <v>grandifolia</v>
      </c>
      <c r="N2150" t="str">
        <f>_xlfn.XLOOKUP(C2150,Table2[Species],Table2[Family],"Code Not Found")</f>
        <v>Fagaceae</v>
      </c>
      <c r="O2150" t="str" cm="1">
        <f t="array" ref="O2150">_xlfn.IFS(F2150="","",F2150&lt;=5,"0 to 5",F2150&lt;=10,"5.1 to 10",F2150&lt;=20,"10 to 20", F2150&lt;= 40, "20 to 40", F2150 &lt;= 50, "40 to 50", F2150 &gt; 50, "&gt;50" )</f>
        <v>0 to 5</v>
      </c>
    </row>
    <row r="2151" spans="1:15" ht="15" customHeight="1" x14ac:dyDescent="0.3">
      <c r="A2151" t="s">
        <v>427</v>
      </c>
      <c r="B2151" s="1">
        <v>46210</v>
      </c>
      <c r="C2151" t="s">
        <v>430</v>
      </c>
      <c r="D2151">
        <v>1983</v>
      </c>
      <c r="E2151">
        <v>1</v>
      </c>
      <c r="F2151">
        <v>79.2</v>
      </c>
      <c r="G2151" t="s">
        <v>21</v>
      </c>
      <c r="I2151" t="str">
        <f t="shared" si="36"/>
        <v>1983_1</v>
      </c>
      <c r="J2151" t="s">
        <v>428</v>
      </c>
      <c r="K2151" t="s">
        <v>429</v>
      </c>
      <c r="L2151" t="str">
        <f>_xlfn.XLOOKUP(C2151, Table2[Species],Table2[Genus], "Code Not Found")</f>
        <v>Tsuga</v>
      </c>
      <c r="M2151" t="str">
        <f>_xlfn.XLOOKUP(C2151, Table2[Species],Table2[Sp. Name], "Code Not Found")</f>
        <v>canadensis</v>
      </c>
      <c r="N2151" t="str">
        <f>_xlfn.XLOOKUP(C2151,Table2[Species],Table2[Family],"Code Not Found")</f>
        <v>Pinaceae</v>
      </c>
      <c r="O2151" t="str" cm="1">
        <f t="array" ref="O2151">_xlfn.IFS(F2151="","",F2151&lt;=5,"0 to 5",F2151&lt;=10,"5.1 to 10",F2151&lt;=20,"10 to 20", F2151&lt;= 40, "20 to 40", F2151 &lt;= 50, "40 to 50", F2151 &gt; 50, "&gt;50" )</f>
        <v>&gt;50</v>
      </c>
    </row>
    <row r="2152" spans="1:15" ht="15" customHeight="1" x14ac:dyDescent="0.3">
      <c r="A2152" t="s">
        <v>427</v>
      </c>
      <c r="B2152" s="1">
        <v>46210</v>
      </c>
      <c r="C2152" t="s">
        <v>430</v>
      </c>
      <c r="D2152">
        <v>1984</v>
      </c>
      <c r="E2152">
        <v>1</v>
      </c>
      <c r="F2152">
        <v>20</v>
      </c>
      <c r="G2152" t="s">
        <v>17</v>
      </c>
      <c r="H2152" t="s">
        <v>468</v>
      </c>
      <c r="I2152" t="str">
        <f t="shared" si="36"/>
        <v>1984_1</v>
      </c>
      <c r="J2152" t="s">
        <v>428</v>
      </c>
      <c r="K2152" t="s">
        <v>429</v>
      </c>
      <c r="L2152" t="str">
        <f>_xlfn.XLOOKUP(C2152, Table2[Species],Table2[Genus], "Code Not Found")</f>
        <v>Tsuga</v>
      </c>
      <c r="M2152" t="str">
        <f>_xlfn.XLOOKUP(C2152, Table2[Species],Table2[Sp. Name], "Code Not Found")</f>
        <v>canadensis</v>
      </c>
      <c r="N2152" t="str">
        <f>_xlfn.XLOOKUP(C2152,Table2[Species],Table2[Family],"Code Not Found")</f>
        <v>Pinaceae</v>
      </c>
      <c r="O2152" t="str" cm="1">
        <f t="array" ref="O2152">_xlfn.IFS(F2152="","",F2152&lt;=5,"0 to 5",F2152&lt;=10,"5.1 to 10",F2152&lt;=20,"10 to 20", F2152&lt;= 40, "20 to 40", F2152 &lt;= 50, "40 to 50", F2152 &gt; 50, "&gt;50" )</f>
        <v>10 to 20</v>
      </c>
    </row>
    <row r="2153" spans="1:15" ht="15" customHeight="1" x14ac:dyDescent="0.3">
      <c r="A2153" t="s">
        <v>427</v>
      </c>
      <c r="B2153" s="1">
        <v>46210</v>
      </c>
      <c r="C2153" t="s">
        <v>430</v>
      </c>
      <c r="D2153">
        <v>1985</v>
      </c>
      <c r="E2153">
        <v>1</v>
      </c>
      <c r="F2153">
        <v>28.6</v>
      </c>
      <c r="G2153" t="s">
        <v>17</v>
      </c>
      <c r="I2153" t="str">
        <f t="shared" si="36"/>
        <v>1985_1</v>
      </c>
      <c r="J2153" t="s">
        <v>428</v>
      </c>
      <c r="K2153" t="s">
        <v>429</v>
      </c>
      <c r="L2153" t="str">
        <f>_xlfn.XLOOKUP(C2153, Table2[Species],Table2[Genus], "Code Not Found")</f>
        <v>Tsuga</v>
      </c>
      <c r="M2153" t="str">
        <f>_xlfn.XLOOKUP(C2153, Table2[Species],Table2[Sp. Name], "Code Not Found")</f>
        <v>canadensis</v>
      </c>
      <c r="N2153" t="str">
        <f>_xlfn.XLOOKUP(C2153,Table2[Species],Table2[Family],"Code Not Found")</f>
        <v>Pinaceae</v>
      </c>
      <c r="O2153" t="str" cm="1">
        <f t="array" ref="O2153">_xlfn.IFS(F2153="","",F2153&lt;=5,"0 to 5",F2153&lt;=10,"5.1 to 10",F2153&lt;=20,"10 to 20", F2153&lt;= 40, "20 to 40", F2153 &lt;= 50, "40 to 50", F2153 &gt; 50, "&gt;50" )</f>
        <v>20 to 40</v>
      </c>
    </row>
    <row r="2154" spans="1:15" ht="15" customHeight="1" x14ac:dyDescent="0.3">
      <c r="A2154" t="s">
        <v>427</v>
      </c>
      <c r="B2154" s="1">
        <v>46210</v>
      </c>
      <c r="C2154" t="s">
        <v>16</v>
      </c>
      <c r="D2154">
        <v>1986</v>
      </c>
      <c r="E2154">
        <v>1</v>
      </c>
      <c r="F2154">
        <v>2.6</v>
      </c>
      <c r="G2154" t="s">
        <v>47</v>
      </c>
      <c r="H2154" t="s">
        <v>467</v>
      </c>
      <c r="I2154" t="str">
        <f t="shared" si="36"/>
        <v>1986_1</v>
      </c>
      <c r="J2154" t="s">
        <v>428</v>
      </c>
      <c r="K2154" t="s">
        <v>429</v>
      </c>
      <c r="L2154" t="str">
        <f>_xlfn.XLOOKUP(C2154, Table2[Species],Table2[Genus], "Code Not Found")</f>
        <v>Acer</v>
      </c>
      <c r="M2154" t="str">
        <f>_xlfn.XLOOKUP(C2154, Table2[Species],Table2[Sp. Name], "Code Not Found")</f>
        <v>saccharum</v>
      </c>
      <c r="N2154" t="str">
        <f>_xlfn.XLOOKUP(C2154,Table2[Species],Table2[Family],"Code Not Found")</f>
        <v>Sapindaceae</v>
      </c>
      <c r="O2154" t="str" cm="1">
        <f t="array" ref="O2154">_xlfn.IFS(F2154="","",F2154&lt;=5,"0 to 5",F2154&lt;=10,"5.1 to 10",F2154&lt;=20,"10 to 20", F2154&lt;= 40, "20 to 40", F2154 &lt;= 50, "40 to 50", F2154 &gt; 50, "&gt;50" )</f>
        <v>0 to 5</v>
      </c>
    </row>
    <row r="2155" spans="1:15" ht="15" customHeight="1" x14ac:dyDescent="0.3">
      <c r="A2155" t="s">
        <v>427</v>
      </c>
      <c r="B2155" s="1">
        <v>46210</v>
      </c>
      <c r="C2155" t="s">
        <v>64</v>
      </c>
      <c r="D2155">
        <v>1987</v>
      </c>
      <c r="E2155">
        <v>1</v>
      </c>
      <c r="F2155">
        <v>6.7</v>
      </c>
      <c r="G2155" t="s">
        <v>469</v>
      </c>
      <c r="H2155" t="s">
        <v>467</v>
      </c>
      <c r="I2155" t="str">
        <f t="shared" si="36"/>
        <v>1987_1</v>
      </c>
      <c r="J2155" t="s">
        <v>428</v>
      </c>
      <c r="K2155" t="s">
        <v>429</v>
      </c>
      <c r="L2155" t="str">
        <f>_xlfn.XLOOKUP(C2155, Table2[Species],Table2[Genus], "Code Not Found")</f>
        <v>Fagus</v>
      </c>
      <c r="M2155" t="str">
        <f>_xlfn.XLOOKUP(C2155, Table2[Species],Table2[Sp. Name], "Code Not Found")</f>
        <v>grandifolia</v>
      </c>
      <c r="N2155" t="str">
        <f>_xlfn.XLOOKUP(C2155,Table2[Species],Table2[Family],"Code Not Found")</f>
        <v>Fagaceae</v>
      </c>
      <c r="O2155" t="str" cm="1">
        <f t="array" ref="O2155">_xlfn.IFS(F2155="","",F2155&lt;=5,"0 to 5",F2155&lt;=10,"5.1 to 10",F2155&lt;=20,"10 to 20", F2155&lt;= 40, "20 to 40", F2155 &lt;= 50, "40 to 50", F2155 &gt; 50, "&gt;50" )</f>
        <v>5.1 to 10</v>
      </c>
    </row>
    <row r="2156" spans="1:15" ht="15" customHeight="1" x14ac:dyDescent="0.3">
      <c r="A2156" t="s">
        <v>427</v>
      </c>
      <c r="B2156" s="1">
        <v>46210</v>
      </c>
      <c r="C2156" t="s">
        <v>64</v>
      </c>
      <c r="D2156">
        <v>1987</v>
      </c>
      <c r="E2156">
        <v>2</v>
      </c>
      <c r="F2156">
        <v>4.3</v>
      </c>
      <c r="G2156" t="s">
        <v>463</v>
      </c>
      <c r="I2156" t="str">
        <f>D2156&amp;"_"&amp;E2156</f>
        <v>1987_2</v>
      </c>
      <c r="J2156" t="s">
        <v>428</v>
      </c>
      <c r="K2156" t="s">
        <v>429</v>
      </c>
      <c r="L2156" t="str">
        <f>_xlfn.XLOOKUP(C2156, Table2[Species],Table2[Genus], "Code Not Found")</f>
        <v>Fagus</v>
      </c>
      <c r="M2156" t="str">
        <f>_xlfn.XLOOKUP(C2156, Table2[Species],Table2[Sp. Name], "Code Not Found")</f>
        <v>grandifolia</v>
      </c>
      <c r="N2156" t="str">
        <f>_xlfn.XLOOKUP(C2156,Table2[Species],Table2[Family],"Code Not Found")</f>
        <v>Fagaceae</v>
      </c>
      <c r="O2156" t="str" cm="1">
        <f t="array" ref="O2156">_xlfn.IFS(F2156="","",F2156&lt;=5,"0 to 5",F2156&lt;=10,"5.1 to 10",F2156&lt;=20,"10 to 20", F2156&lt;= 40, "20 to 40", F2156 &lt;= 50, "40 to 50", F2156 &gt; 50, "&gt;50" )</f>
        <v>0 to 5</v>
      </c>
    </row>
    <row r="2157" spans="1:15" ht="15" customHeight="1" x14ac:dyDescent="0.3">
      <c r="A2157" t="s">
        <v>427</v>
      </c>
      <c r="B2157" s="1">
        <v>46210</v>
      </c>
      <c r="C2157" t="s">
        <v>64</v>
      </c>
      <c r="D2157">
        <v>1987</v>
      </c>
      <c r="E2157">
        <v>3</v>
      </c>
      <c r="F2157">
        <v>3</v>
      </c>
      <c r="G2157" t="s">
        <v>469</v>
      </c>
      <c r="I2157" t="str">
        <f>D2157&amp;"_"&amp;E2157</f>
        <v>1987_3</v>
      </c>
      <c r="J2157" t="s">
        <v>428</v>
      </c>
      <c r="K2157" t="s">
        <v>429</v>
      </c>
      <c r="L2157" t="str">
        <f>_xlfn.XLOOKUP(C2157, Table2[Species],Table2[Genus], "Code Not Found")</f>
        <v>Fagus</v>
      </c>
      <c r="M2157" t="str">
        <f>_xlfn.XLOOKUP(C2157, Table2[Species],Table2[Sp. Name], "Code Not Found")</f>
        <v>grandifolia</v>
      </c>
      <c r="N2157" t="str">
        <f>_xlfn.XLOOKUP(C2157,Table2[Species],Table2[Family],"Code Not Found")</f>
        <v>Fagaceae</v>
      </c>
      <c r="O2157" t="str" cm="1">
        <f t="array" ref="O2157">_xlfn.IFS(F2157="","",F2157&lt;=5,"0 to 5",F2157&lt;=10,"5.1 to 10",F2157&lt;=20,"10 to 20", F2157&lt;= 40, "20 to 40", F2157 &lt;= 50, "40 to 50", F2157 &gt; 50, "&gt;50" )</f>
        <v>0 to 5</v>
      </c>
    </row>
    <row r="2158" spans="1:15" ht="15" customHeight="1" x14ac:dyDescent="0.3">
      <c r="A2158" t="s">
        <v>427</v>
      </c>
      <c r="B2158" s="1">
        <v>46210</v>
      </c>
      <c r="C2158" t="s">
        <v>16</v>
      </c>
      <c r="D2158">
        <v>1988</v>
      </c>
      <c r="E2158">
        <v>1</v>
      </c>
      <c r="F2158">
        <v>5.6</v>
      </c>
      <c r="G2158" t="s">
        <v>17</v>
      </c>
      <c r="I2158" t="str">
        <f>D2158&amp;"_"&amp;E2158</f>
        <v>1988_1</v>
      </c>
      <c r="J2158" t="s">
        <v>428</v>
      </c>
      <c r="K2158" t="s">
        <v>429</v>
      </c>
      <c r="L2158" t="str">
        <f>_xlfn.XLOOKUP(C2158, Table2[Species],Table2[Genus], "Code Not Found")</f>
        <v>Acer</v>
      </c>
      <c r="M2158" t="str">
        <f>_xlfn.XLOOKUP(C2158, Table2[Species],Table2[Sp. Name], "Code Not Found")</f>
        <v>saccharum</v>
      </c>
      <c r="N2158" t="str">
        <f>_xlfn.XLOOKUP(C2158,Table2[Species],Table2[Family],"Code Not Found")</f>
        <v>Sapindaceae</v>
      </c>
      <c r="O2158" t="str" cm="1">
        <f t="array" ref="O2158">_xlfn.IFS(F2158="","",F2158&lt;=5,"0 to 5",F2158&lt;=10,"5.1 to 10",F2158&lt;=20,"10 to 20", F2158&lt;= 40, "20 to 40", F2158 &lt;= 50, "40 to 50", F2158 &gt; 50, "&gt;50" )</f>
        <v>5.1 to 10</v>
      </c>
    </row>
    <row r="2159" spans="1:15" ht="15" customHeight="1" x14ac:dyDescent="0.3">
      <c r="A2159" t="s">
        <v>427</v>
      </c>
      <c r="B2159" s="1">
        <v>46210</v>
      </c>
      <c r="C2159" t="s">
        <v>64</v>
      </c>
      <c r="D2159">
        <v>1989</v>
      </c>
      <c r="E2159">
        <v>1</v>
      </c>
      <c r="F2159">
        <v>19</v>
      </c>
      <c r="G2159" t="s">
        <v>17</v>
      </c>
      <c r="H2159" t="s">
        <v>470</v>
      </c>
      <c r="I2159" t="str">
        <f>D2159&amp;"_"&amp;E2159</f>
        <v>1989_1</v>
      </c>
      <c r="J2159" t="s">
        <v>428</v>
      </c>
      <c r="K2159" t="s">
        <v>429</v>
      </c>
      <c r="L2159" t="str">
        <f>_xlfn.XLOOKUP(C2159, Table2[Species],Table2[Genus], "Code Not Found")</f>
        <v>Fagus</v>
      </c>
      <c r="M2159" t="str">
        <f>_xlfn.XLOOKUP(C2159, Table2[Species],Table2[Sp. Name], "Code Not Found")</f>
        <v>grandifolia</v>
      </c>
      <c r="N2159" t="str">
        <f>_xlfn.XLOOKUP(C2159,Table2[Species],Table2[Family],"Code Not Found")</f>
        <v>Fagaceae</v>
      </c>
      <c r="O2159" t="str" cm="1">
        <f t="array" ref="O2159">_xlfn.IFS(F2159="","",F2159&lt;=5,"0 to 5",F2159&lt;=10,"5.1 to 10",F2159&lt;=20,"10 to 20", F2159&lt;= 40, "20 to 40", F2159 &lt;= 50, "40 to 50", F2159 &gt; 50, "&gt;50" )</f>
        <v>10 to 20</v>
      </c>
    </row>
    <row r="2160" spans="1:15" ht="15" customHeight="1" x14ac:dyDescent="0.3">
      <c r="A2160" t="s">
        <v>427</v>
      </c>
      <c r="B2160" s="1">
        <v>46210</v>
      </c>
      <c r="C2160" t="s">
        <v>64</v>
      </c>
      <c r="D2160">
        <v>1990</v>
      </c>
      <c r="E2160">
        <v>1</v>
      </c>
      <c r="F2160">
        <v>6.1</v>
      </c>
      <c r="G2160" t="s">
        <v>17</v>
      </c>
      <c r="I2160" t="str">
        <f t="shared" ref="I2160:I2223" si="37">D2160&amp;"_"&amp;E2160</f>
        <v>1990_1</v>
      </c>
      <c r="J2160" t="s">
        <v>428</v>
      </c>
      <c r="K2160" t="s">
        <v>429</v>
      </c>
      <c r="L2160" t="str">
        <f>_xlfn.XLOOKUP(C2160, Table2[Species],Table2[Genus], "Code Not Found")</f>
        <v>Fagus</v>
      </c>
      <c r="M2160" t="str">
        <f>_xlfn.XLOOKUP(C2160, Table2[Species],Table2[Sp. Name], "Code Not Found")</f>
        <v>grandifolia</v>
      </c>
      <c r="N2160" t="str">
        <f>_xlfn.XLOOKUP(C2160,Table2[Species],Table2[Family],"Code Not Found")</f>
        <v>Fagaceae</v>
      </c>
      <c r="O2160" t="str" cm="1">
        <f t="array" ref="O2160">_xlfn.IFS(F2160="","",F2160&lt;=5,"0 to 5",F2160&lt;=10,"5.1 to 10",F2160&lt;=20,"10 to 20", F2160&lt;= 40, "20 to 40", F2160 &lt;= 50, "40 to 50", F2160 &gt; 50, "&gt;50" )</f>
        <v>5.1 to 10</v>
      </c>
    </row>
    <row r="2161" spans="1:15" ht="15" customHeight="1" x14ac:dyDescent="0.3">
      <c r="A2161" t="s">
        <v>427</v>
      </c>
      <c r="B2161" s="1">
        <v>46210</v>
      </c>
      <c r="C2161" t="s">
        <v>64</v>
      </c>
      <c r="D2161">
        <v>1991</v>
      </c>
      <c r="E2161">
        <v>1</v>
      </c>
      <c r="F2161">
        <v>5.7</v>
      </c>
      <c r="G2161" t="s">
        <v>471</v>
      </c>
      <c r="H2161" t="s">
        <v>435</v>
      </c>
      <c r="I2161" t="str">
        <f t="shared" si="37"/>
        <v>1991_1</v>
      </c>
      <c r="J2161" t="s">
        <v>428</v>
      </c>
      <c r="K2161" t="s">
        <v>429</v>
      </c>
      <c r="L2161" t="str">
        <f>_xlfn.XLOOKUP(C2161, Table2[Species],Table2[Genus], "Code Not Found")</f>
        <v>Fagus</v>
      </c>
      <c r="M2161" t="str">
        <f>_xlfn.XLOOKUP(C2161, Table2[Species],Table2[Sp. Name], "Code Not Found")</f>
        <v>grandifolia</v>
      </c>
      <c r="N2161" t="str">
        <f>_xlfn.XLOOKUP(C2161,Table2[Species],Table2[Family],"Code Not Found")</f>
        <v>Fagaceae</v>
      </c>
      <c r="O2161" t="str" cm="1">
        <f t="array" ref="O2161">_xlfn.IFS(F2161="","",F2161&lt;=5,"0 to 5",F2161&lt;=10,"5.1 to 10",F2161&lt;=20,"10 to 20", F2161&lt;= 40, "20 to 40", F2161 &lt;= 50, "40 to 50", F2161 &gt; 50, "&gt;50" )</f>
        <v>5.1 to 10</v>
      </c>
    </row>
    <row r="2162" spans="1:15" ht="15" customHeight="1" x14ac:dyDescent="0.3">
      <c r="A2162" t="s">
        <v>427</v>
      </c>
      <c r="B2162" s="1">
        <v>46211</v>
      </c>
      <c r="C2162" t="s">
        <v>64</v>
      </c>
      <c r="D2162">
        <v>1992</v>
      </c>
      <c r="E2162">
        <v>1</v>
      </c>
      <c r="F2162">
        <v>3.7</v>
      </c>
      <c r="G2162" t="s">
        <v>17</v>
      </c>
      <c r="H2162" t="s">
        <v>472</v>
      </c>
      <c r="I2162" t="str">
        <f t="shared" si="37"/>
        <v>1992_1</v>
      </c>
      <c r="J2162" t="s">
        <v>428</v>
      </c>
      <c r="K2162" t="s">
        <v>429</v>
      </c>
      <c r="L2162" t="str">
        <f>_xlfn.XLOOKUP(C2162, Table2[Species],Table2[Genus], "Code Not Found")</f>
        <v>Fagus</v>
      </c>
      <c r="M2162" t="str">
        <f>_xlfn.XLOOKUP(C2162, Table2[Species],Table2[Sp. Name], "Code Not Found")</f>
        <v>grandifolia</v>
      </c>
      <c r="N2162" t="str">
        <f>_xlfn.XLOOKUP(C2162,Table2[Species],Table2[Family],"Code Not Found")</f>
        <v>Fagaceae</v>
      </c>
      <c r="O2162" t="str" cm="1">
        <f t="array" ref="O2162">_xlfn.IFS(F2162="","",F2162&lt;=5,"0 to 5",F2162&lt;=10,"5.1 to 10",F2162&lt;=20,"10 to 20", F2162&lt;= 40, "20 to 40", F2162 &lt;= 50, "40 to 50", F2162 &gt; 50, "&gt;50" )</f>
        <v>0 to 5</v>
      </c>
    </row>
    <row r="2163" spans="1:15" ht="15" customHeight="1" x14ac:dyDescent="0.3">
      <c r="A2163" t="s">
        <v>427</v>
      </c>
      <c r="B2163" s="1">
        <v>46211</v>
      </c>
      <c r="C2163" t="s">
        <v>64</v>
      </c>
      <c r="D2163">
        <v>1993</v>
      </c>
      <c r="E2163">
        <v>1</v>
      </c>
      <c r="F2163">
        <v>7.9</v>
      </c>
      <c r="G2163" t="s">
        <v>381</v>
      </c>
      <c r="H2163" t="s">
        <v>473</v>
      </c>
      <c r="I2163" t="str">
        <f t="shared" si="37"/>
        <v>1993_1</v>
      </c>
      <c r="J2163" t="s">
        <v>428</v>
      </c>
      <c r="K2163" t="s">
        <v>429</v>
      </c>
      <c r="L2163" t="str">
        <f>_xlfn.XLOOKUP(C2163, Table2[Species],Table2[Genus], "Code Not Found")</f>
        <v>Fagus</v>
      </c>
      <c r="M2163" t="str">
        <f>_xlfn.XLOOKUP(C2163, Table2[Species],Table2[Sp. Name], "Code Not Found")</f>
        <v>grandifolia</v>
      </c>
      <c r="N2163" t="str">
        <f>_xlfn.XLOOKUP(C2163,Table2[Species],Table2[Family],"Code Not Found")</f>
        <v>Fagaceae</v>
      </c>
      <c r="O2163" t="str" cm="1">
        <f t="array" ref="O2163">_xlfn.IFS(F2163="","",F2163&lt;=5,"0 to 5",F2163&lt;=10,"5.1 to 10",F2163&lt;=20,"10 to 20", F2163&lt;= 40, "20 to 40", F2163 &lt;= 50, "40 to 50", F2163 &gt; 50, "&gt;50" )</f>
        <v>5.1 to 10</v>
      </c>
    </row>
    <row r="2164" spans="1:15" ht="15" customHeight="1" x14ac:dyDescent="0.3">
      <c r="A2164" t="s">
        <v>427</v>
      </c>
      <c r="B2164" s="1">
        <v>46211</v>
      </c>
      <c r="C2164" t="s">
        <v>430</v>
      </c>
      <c r="D2164">
        <v>1994</v>
      </c>
      <c r="E2164">
        <v>1</v>
      </c>
      <c r="F2164">
        <v>24.6</v>
      </c>
      <c r="G2164" t="s">
        <v>21</v>
      </c>
      <c r="I2164" t="str">
        <f t="shared" si="37"/>
        <v>1994_1</v>
      </c>
      <c r="J2164" t="s">
        <v>428</v>
      </c>
      <c r="K2164" t="s">
        <v>429</v>
      </c>
      <c r="L2164" t="str">
        <f>_xlfn.XLOOKUP(C2164, Table2[Species],Table2[Genus], "Code Not Found")</f>
        <v>Tsuga</v>
      </c>
      <c r="M2164" t="str">
        <f>_xlfn.XLOOKUP(C2164, Table2[Species],Table2[Sp. Name], "Code Not Found")</f>
        <v>canadensis</v>
      </c>
      <c r="N2164" t="str">
        <f>_xlfn.XLOOKUP(C2164,Table2[Species],Table2[Family],"Code Not Found")</f>
        <v>Pinaceae</v>
      </c>
      <c r="O2164" t="str" cm="1">
        <f t="array" ref="O2164">_xlfn.IFS(F2164="","",F2164&lt;=5,"0 to 5",F2164&lt;=10,"5.1 to 10",F2164&lt;=20,"10 to 20", F2164&lt;= 40, "20 to 40", F2164 &lt;= 50, "40 to 50", F2164 &gt; 50, "&gt;50" )</f>
        <v>20 to 40</v>
      </c>
    </row>
    <row r="2165" spans="1:15" ht="15" customHeight="1" x14ac:dyDescent="0.3">
      <c r="A2165" t="s">
        <v>427</v>
      </c>
      <c r="B2165" s="1">
        <v>46211</v>
      </c>
      <c r="C2165" t="s">
        <v>16</v>
      </c>
      <c r="D2165">
        <v>1995</v>
      </c>
      <c r="E2165">
        <v>1</v>
      </c>
      <c r="F2165">
        <v>3.5</v>
      </c>
      <c r="G2165" t="s">
        <v>21</v>
      </c>
      <c r="I2165" t="str">
        <f t="shared" si="37"/>
        <v>1995_1</v>
      </c>
      <c r="J2165" t="s">
        <v>428</v>
      </c>
      <c r="K2165" t="s">
        <v>429</v>
      </c>
      <c r="L2165" t="str">
        <f>_xlfn.XLOOKUP(C2165, Table2[Species],Table2[Genus], "Code Not Found")</f>
        <v>Acer</v>
      </c>
      <c r="M2165" t="str">
        <f>_xlfn.XLOOKUP(C2165, Table2[Species],Table2[Sp. Name], "Code Not Found")</f>
        <v>saccharum</v>
      </c>
      <c r="N2165" t="str">
        <f>_xlfn.XLOOKUP(C2165,Table2[Species],Table2[Family],"Code Not Found")</f>
        <v>Sapindaceae</v>
      </c>
      <c r="O2165" t="str" cm="1">
        <f t="array" ref="O2165">_xlfn.IFS(F2165="","",F2165&lt;=5,"0 to 5",F2165&lt;=10,"5.1 to 10",F2165&lt;=20,"10 to 20", F2165&lt;= 40, "20 to 40", F2165 &lt;= 50, "40 to 50", F2165 &gt; 50, "&gt;50" )</f>
        <v>0 to 5</v>
      </c>
    </row>
    <row r="2166" spans="1:15" ht="15" customHeight="1" x14ac:dyDescent="0.3">
      <c r="A2166" t="s">
        <v>427</v>
      </c>
      <c r="B2166" s="1">
        <v>46211</v>
      </c>
      <c r="C2166" t="s">
        <v>64</v>
      </c>
      <c r="D2166">
        <v>1996</v>
      </c>
      <c r="E2166">
        <v>1</v>
      </c>
      <c r="F2166">
        <v>6.9</v>
      </c>
      <c r="G2166" t="s">
        <v>359</v>
      </c>
      <c r="I2166" t="str">
        <f t="shared" si="37"/>
        <v>1996_1</v>
      </c>
      <c r="J2166" t="s">
        <v>428</v>
      </c>
      <c r="K2166" t="s">
        <v>429</v>
      </c>
      <c r="L2166" t="str">
        <f>_xlfn.XLOOKUP(C2166, Table2[Species],Table2[Genus], "Code Not Found")</f>
        <v>Fagus</v>
      </c>
      <c r="M2166" t="str">
        <f>_xlfn.XLOOKUP(C2166, Table2[Species],Table2[Sp. Name], "Code Not Found")</f>
        <v>grandifolia</v>
      </c>
      <c r="N2166" t="str">
        <f>_xlfn.XLOOKUP(C2166,Table2[Species],Table2[Family],"Code Not Found")</f>
        <v>Fagaceae</v>
      </c>
      <c r="O2166" t="str" cm="1">
        <f t="array" ref="O2166">_xlfn.IFS(F2166="","",F2166&lt;=5,"0 to 5",F2166&lt;=10,"5.1 to 10",F2166&lt;=20,"10 to 20", F2166&lt;= 40, "20 to 40", F2166 &lt;= 50, "40 to 50", F2166 &gt; 50, "&gt;50" )</f>
        <v>5.1 to 10</v>
      </c>
    </row>
    <row r="2167" spans="1:15" ht="15" customHeight="1" x14ac:dyDescent="0.3">
      <c r="A2167" t="s">
        <v>427</v>
      </c>
      <c r="B2167" s="1">
        <v>46211</v>
      </c>
      <c r="C2167" t="s">
        <v>430</v>
      </c>
      <c r="D2167">
        <v>1997</v>
      </c>
      <c r="E2167">
        <v>1</v>
      </c>
      <c r="F2167">
        <v>5.5</v>
      </c>
      <c r="G2167" t="s">
        <v>474</v>
      </c>
      <c r="H2167" t="s">
        <v>435</v>
      </c>
      <c r="I2167" t="str">
        <f t="shared" si="37"/>
        <v>1997_1</v>
      </c>
      <c r="J2167" t="s">
        <v>428</v>
      </c>
      <c r="K2167" t="s">
        <v>429</v>
      </c>
      <c r="L2167" t="str">
        <f>_xlfn.XLOOKUP(C2167, Table2[Species],Table2[Genus], "Code Not Found")</f>
        <v>Tsuga</v>
      </c>
      <c r="M2167" t="str">
        <f>_xlfn.XLOOKUP(C2167, Table2[Species],Table2[Sp. Name], "Code Not Found")</f>
        <v>canadensis</v>
      </c>
      <c r="N2167" t="str">
        <f>_xlfn.XLOOKUP(C2167,Table2[Species],Table2[Family],"Code Not Found")</f>
        <v>Pinaceae</v>
      </c>
      <c r="O2167" t="str" cm="1">
        <f t="array" ref="O2167">_xlfn.IFS(F2167="","",F2167&lt;=5,"0 to 5",F2167&lt;=10,"5.1 to 10",F2167&lt;=20,"10 to 20", F2167&lt;= 40, "20 to 40", F2167 &lt;= 50, "40 to 50", F2167 &gt; 50, "&gt;50" )</f>
        <v>5.1 to 10</v>
      </c>
    </row>
    <row r="2168" spans="1:15" ht="15" customHeight="1" x14ac:dyDescent="0.3">
      <c r="A2168" t="s">
        <v>427</v>
      </c>
      <c r="B2168" s="1">
        <v>46211</v>
      </c>
      <c r="C2168" t="s">
        <v>430</v>
      </c>
      <c r="D2168">
        <v>1998</v>
      </c>
      <c r="E2168">
        <v>1</v>
      </c>
      <c r="F2168">
        <v>31.8</v>
      </c>
      <c r="G2168" t="s">
        <v>17</v>
      </c>
      <c r="I2168" t="str">
        <f t="shared" si="37"/>
        <v>1998_1</v>
      </c>
      <c r="J2168" t="s">
        <v>428</v>
      </c>
      <c r="K2168" t="s">
        <v>429</v>
      </c>
      <c r="L2168" t="str">
        <f>_xlfn.XLOOKUP(C2168, Table2[Species],Table2[Genus], "Code Not Found")</f>
        <v>Tsuga</v>
      </c>
      <c r="M2168" t="str">
        <f>_xlfn.XLOOKUP(C2168, Table2[Species],Table2[Sp. Name], "Code Not Found")</f>
        <v>canadensis</v>
      </c>
      <c r="N2168" t="str">
        <f>_xlfn.XLOOKUP(C2168,Table2[Species],Table2[Family],"Code Not Found")</f>
        <v>Pinaceae</v>
      </c>
      <c r="O2168" t="str" cm="1">
        <f t="array" ref="O2168">_xlfn.IFS(F2168="","",F2168&lt;=5,"0 to 5",F2168&lt;=10,"5.1 to 10",F2168&lt;=20,"10 to 20", F2168&lt;= 40, "20 to 40", F2168 &lt;= 50, "40 to 50", F2168 &gt; 50, "&gt;50" )</f>
        <v>20 to 40</v>
      </c>
    </row>
    <row r="2169" spans="1:15" ht="15" customHeight="1" x14ac:dyDescent="0.3">
      <c r="A2169" t="s">
        <v>427</v>
      </c>
      <c r="B2169" s="1">
        <v>46211</v>
      </c>
      <c r="C2169" t="s">
        <v>64</v>
      </c>
      <c r="D2169">
        <v>1999</v>
      </c>
      <c r="E2169">
        <v>1</v>
      </c>
      <c r="F2169">
        <v>6.9</v>
      </c>
      <c r="G2169" t="s">
        <v>30</v>
      </c>
      <c r="H2169" t="s">
        <v>262</v>
      </c>
      <c r="I2169" t="str">
        <f t="shared" si="37"/>
        <v>1999_1</v>
      </c>
      <c r="J2169" t="s">
        <v>428</v>
      </c>
      <c r="K2169" t="s">
        <v>429</v>
      </c>
      <c r="L2169" t="str">
        <f>_xlfn.XLOOKUP(C2169, Table2[Species],Table2[Genus], "Code Not Found")</f>
        <v>Fagus</v>
      </c>
      <c r="M2169" t="str">
        <f>_xlfn.XLOOKUP(C2169, Table2[Species],Table2[Sp. Name], "Code Not Found")</f>
        <v>grandifolia</v>
      </c>
      <c r="N2169" t="str">
        <f>_xlfn.XLOOKUP(C2169,Table2[Species],Table2[Family],"Code Not Found")</f>
        <v>Fagaceae</v>
      </c>
      <c r="O2169" t="str" cm="1">
        <f t="array" ref="O2169">_xlfn.IFS(F2169="","",F2169&lt;=5,"0 to 5",F2169&lt;=10,"5.1 to 10",F2169&lt;=20,"10 to 20", F2169&lt;= 40, "20 to 40", F2169 &lt;= 50, "40 to 50", F2169 &gt; 50, "&gt;50" )</f>
        <v>5.1 to 10</v>
      </c>
    </row>
    <row r="2170" spans="1:15" ht="15" customHeight="1" x14ac:dyDescent="0.3">
      <c r="A2170" t="s">
        <v>427</v>
      </c>
      <c r="B2170" s="1">
        <v>46211</v>
      </c>
      <c r="C2170" t="s">
        <v>64</v>
      </c>
      <c r="D2170">
        <v>2000</v>
      </c>
      <c r="E2170">
        <v>1</v>
      </c>
      <c r="F2170">
        <v>4.5</v>
      </c>
      <c r="G2170" t="s">
        <v>17</v>
      </c>
      <c r="I2170" t="str">
        <f t="shared" si="37"/>
        <v>2000_1</v>
      </c>
      <c r="J2170" t="s">
        <v>428</v>
      </c>
      <c r="K2170" t="s">
        <v>429</v>
      </c>
      <c r="L2170" t="str">
        <f>_xlfn.XLOOKUP(C2170, Table2[Species],Table2[Genus], "Code Not Found")</f>
        <v>Fagus</v>
      </c>
      <c r="M2170" t="str">
        <f>_xlfn.XLOOKUP(C2170, Table2[Species],Table2[Sp. Name], "Code Not Found")</f>
        <v>grandifolia</v>
      </c>
      <c r="N2170" t="str">
        <f>_xlfn.XLOOKUP(C2170,Table2[Species],Table2[Family],"Code Not Found")</f>
        <v>Fagaceae</v>
      </c>
      <c r="O2170" t="str" cm="1">
        <f t="array" ref="O2170">_xlfn.IFS(F2170="","",F2170&lt;=5,"0 to 5",F2170&lt;=10,"5.1 to 10",F2170&lt;=20,"10 to 20", F2170&lt;= 40, "20 to 40", F2170 &lt;= 50, "40 to 50", F2170 &gt; 50, "&gt;50" )</f>
        <v>0 to 5</v>
      </c>
    </row>
    <row r="2171" spans="1:15" ht="15" customHeight="1" x14ac:dyDescent="0.3">
      <c r="A2171" t="s">
        <v>427</v>
      </c>
      <c r="B2171" s="1">
        <v>46211</v>
      </c>
      <c r="C2171" t="s">
        <v>430</v>
      </c>
      <c r="D2171">
        <v>2001</v>
      </c>
      <c r="E2171">
        <v>1</v>
      </c>
      <c r="F2171">
        <v>50.9</v>
      </c>
      <c r="G2171" t="s">
        <v>17</v>
      </c>
      <c r="I2171" t="str">
        <f t="shared" si="37"/>
        <v>2001_1</v>
      </c>
      <c r="J2171" t="s">
        <v>428</v>
      </c>
      <c r="K2171" t="s">
        <v>429</v>
      </c>
      <c r="L2171" t="str">
        <f>_xlfn.XLOOKUP(C2171, Table2[Species],Table2[Genus], "Code Not Found")</f>
        <v>Tsuga</v>
      </c>
      <c r="M2171" t="str">
        <f>_xlfn.XLOOKUP(C2171, Table2[Species],Table2[Sp. Name], "Code Not Found")</f>
        <v>canadensis</v>
      </c>
      <c r="N2171" t="str">
        <f>_xlfn.XLOOKUP(C2171,Table2[Species],Table2[Family],"Code Not Found")</f>
        <v>Pinaceae</v>
      </c>
      <c r="O2171" t="str" cm="1">
        <f t="array" ref="O2171">_xlfn.IFS(F2171="","",F2171&lt;=5,"0 to 5",F2171&lt;=10,"5.1 to 10",F2171&lt;=20,"10 to 20", F2171&lt;= 40, "20 to 40", F2171 &lt;= 50, "40 to 50", F2171 &gt; 50, "&gt;50" )</f>
        <v>&gt;50</v>
      </c>
    </row>
    <row r="2172" spans="1:15" ht="15" customHeight="1" x14ac:dyDescent="0.3">
      <c r="A2172" t="s">
        <v>427</v>
      </c>
      <c r="B2172" s="1">
        <v>46211</v>
      </c>
      <c r="C2172" t="s">
        <v>64</v>
      </c>
      <c r="D2172">
        <v>2002</v>
      </c>
      <c r="E2172">
        <v>1</v>
      </c>
      <c r="F2172">
        <v>4.5</v>
      </c>
      <c r="G2172" t="s">
        <v>17</v>
      </c>
      <c r="I2172" t="str">
        <f t="shared" si="37"/>
        <v>2002_1</v>
      </c>
      <c r="J2172" t="s">
        <v>428</v>
      </c>
      <c r="K2172" t="s">
        <v>429</v>
      </c>
      <c r="L2172" t="str">
        <f>_xlfn.XLOOKUP(C2172, Table2[Species],Table2[Genus], "Code Not Found")</f>
        <v>Fagus</v>
      </c>
      <c r="M2172" t="str">
        <f>_xlfn.XLOOKUP(C2172, Table2[Species],Table2[Sp. Name], "Code Not Found")</f>
        <v>grandifolia</v>
      </c>
      <c r="N2172" t="str">
        <f>_xlfn.XLOOKUP(C2172,Table2[Species],Table2[Family],"Code Not Found")</f>
        <v>Fagaceae</v>
      </c>
      <c r="O2172" t="str" cm="1">
        <f t="array" ref="O2172">_xlfn.IFS(F2172="","",F2172&lt;=5,"0 to 5",F2172&lt;=10,"5.1 to 10",F2172&lt;=20,"10 to 20", F2172&lt;= 40, "20 to 40", F2172 &lt;= 50, "40 to 50", F2172 &gt; 50, "&gt;50" )</f>
        <v>0 to 5</v>
      </c>
    </row>
    <row r="2173" spans="1:15" ht="15" customHeight="1" x14ac:dyDescent="0.3">
      <c r="A2173" t="s">
        <v>427</v>
      </c>
      <c r="B2173" s="1">
        <v>46211</v>
      </c>
      <c r="C2173" t="s">
        <v>64</v>
      </c>
      <c r="D2173">
        <v>2003</v>
      </c>
      <c r="E2173">
        <v>1</v>
      </c>
      <c r="F2173">
        <v>3.2</v>
      </c>
      <c r="G2173" t="s">
        <v>47</v>
      </c>
      <c r="H2173" t="s">
        <v>464</v>
      </c>
      <c r="I2173" t="str">
        <f t="shared" si="37"/>
        <v>2003_1</v>
      </c>
      <c r="J2173" t="s">
        <v>428</v>
      </c>
      <c r="K2173" t="s">
        <v>429</v>
      </c>
      <c r="L2173" t="str">
        <f>_xlfn.XLOOKUP(C2173, Table2[Species],Table2[Genus], "Code Not Found")</f>
        <v>Fagus</v>
      </c>
      <c r="M2173" t="str">
        <f>_xlfn.XLOOKUP(C2173, Table2[Species],Table2[Sp. Name], "Code Not Found")</f>
        <v>grandifolia</v>
      </c>
      <c r="N2173" t="str">
        <f>_xlfn.XLOOKUP(C2173,Table2[Species],Table2[Family],"Code Not Found")</f>
        <v>Fagaceae</v>
      </c>
      <c r="O2173" t="str" cm="1">
        <f t="array" ref="O2173">_xlfn.IFS(F2173="","",F2173&lt;=5,"0 to 5",F2173&lt;=10,"5.1 to 10",F2173&lt;=20,"10 to 20", F2173&lt;= 40, "20 to 40", F2173 &lt;= 50, "40 to 50", F2173 &gt; 50, "&gt;50" )</f>
        <v>0 to 5</v>
      </c>
    </row>
    <row r="2174" spans="1:15" ht="15" customHeight="1" x14ac:dyDescent="0.3">
      <c r="A2174" t="s">
        <v>427</v>
      </c>
      <c r="B2174" s="1">
        <v>46211</v>
      </c>
      <c r="C2174" t="s">
        <v>118</v>
      </c>
      <c r="D2174">
        <v>2004</v>
      </c>
      <c r="E2174">
        <v>1</v>
      </c>
      <c r="F2174">
        <v>90</v>
      </c>
      <c r="G2174" t="s">
        <v>17</v>
      </c>
      <c r="I2174" t="str">
        <f t="shared" si="37"/>
        <v>2004_1</v>
      </c>
      <c r="J2174" t="s">
        <v>428</v>
      </c>
      <c r="K2174" t="s">
        <v>429</v>
      </c>
      <c r="L2174" t="str">
        <f>_xlfn.XLOOKUP(C2174, Table2[Species],Table2[Genus], "Code Not Found")</f>
        <v>Quercus</v>
      </c>
      <c r="M2174" t="str">
        <f>_xlfn.XLOOKUP(C2174, Table2[Species],Table2[Sp. Name], "Code Not Found")</f>
        <v>montana</v>
      </c>
      <c r="N2174" t="str">
        <f>_xlfn.XLOOKUP(C2174,Table2[Species],Table2[Family],"Code Not Found")</f>
        <v>Fagaceae</v>
      </c>
      <c r="O2174" t="str" cm="1">
        <f t="array" ref="O2174">_xlfn.IFS(F2174="","",F2174&lt;=5,"0 to 5",F2174&lt;=10,"5.1 to 10",F2174&lt;=20,"10 to 20", F2174&lt;= 40, "20 to 40", F2174 &lt;= 50, "40 to 50", F2174 &gt; 50, "&gt;50" )</f>
        <v>&gt;50</v>
      </c>
    </row>
    <row r="2175" spans="1:15" ht="15" customHeight="1" x14ac:dyDescent="0.3">
      <c r="A2175" t="s">
        <v>427</v>
      </c>
      <c r="B2175" s="1">
        <v>46211</v>
      </c>
      <c r="C2175" t="s">
        <v>430</v>
      </c>
      <c r="D2175">
        <v>2005</v>
      </c>
      <c r="E2175">
        <v>1</v>
      </c>
      <c r="F2175">
        <v>32.5</v>
      </c>
      <c r="G2175" t="s">
        <v>103</v>
      </c>
      <c r="H2175" t="s">
        <v>475</v>
      </c>
      <c r="I2175" t="str">
        <f t="shared" si="37"/>
        <v>2005_1</v>
      </c>
      <c r="J2175" t="s">
        <v>428</v>
      </c>
      <c r="K2175" t="s">
        <v>429</v>
      </c>
      <c r="L2175" t="str">
        <f>_xlfn.XLOOKUP(C2175, Table2[Species],Table2[Genus], "Code Not Found")</f>
        <v>Tsuga</v>
      </c>
      <c r="M2175" t="str">
        <f>_xlfn.XLOOKUP(C2175, Table2[Species],Table2[Sp. Name], "Code Not Found")</f>
        <v>canadensis</v>
      </c>
      <c r="N2175" t="str">
        <f>_xlfn.XLOOKUP(C2175,Table2[Species],Table2[Family],"Code Not Found")</f>
        <v>Pinaceae</v>
      </c>
      <c r="O2175" t="str" cm="1">
        <f t="array" ref="O2175">_xlfn.IFS(F2175="","",F2175&lt;=5,"0 to 5",F2175&lt;=10,"5.1 to 10",F2175&lt;=20,"10 to 20", F2175&lt;= 40, "20 to 40", F2175 &lt;= 50, "40 to 50", F2175 &gt; 50, "&gt;50" )</f>
        <v>20 to 40</v>
      </c>
    </row>
    <row r="2176" spans="1:15" ht="15" customHeight="1" x14ac:dyDescent="0.3">
      <c r="A2176" t="s">
        <v>427</v>
      </c>
      <c r="B2176" s="1">
        <v>46211</v>
      </c>
      <c r="C2176" t="s">
        <v>430</v>
      </c>
      <c r="D2176">
        <v>2006</v>
      </c>
      <c r="E2176">
        <v>1</v>
      </c>
      <c r="F2176">
        <v>62.2</v>
      </c>
      <c r="G2176" t="s">
        <v>17</v>
      </c>
      <c r="I2176" t="str">
        <f t="shared" si="37"/>
        <v>2006_1</v>
      </c>
      <c r="J2176" t="s">
        <v>428</v>
      </c>
      <c r="K2176" t="s">
        <v>429</v>
      </c>
      <c r="L2176" t="str">
        <f>_xlfn.XLOOKUP(C2176, Table2[Species],Table2[Genus], "Code Not Found")</f>
        <v>Tsuga</v>
      </c>
      <c r="M2176" t="str">
        <f>_xlfn.XLOOKUP(C2176, Table2[Species],Table2[Sp. Name], "Code Not Found")</f>
        <v>canadensis</v>
      </c>
      <c r="N2176" t="str">
        <f>_xlfn.XLOOKUP(C2176,Table2[Species],Table2[Family],"Code Not Found")</f>
        <v>Pinaceae</v>
      </c>
      <c r="O2176" t="str" cm="1">
        <f t="array" ref="O2176">_xlfn.IFS(F2176="","",F2176&lt;=5,"0 to 5",F2176&lt;=10,"5.1 to 10",F2176&lt;=20,"10 to 20", F2176&lt;= 40, "20 to 40", F2176 &lt;= 50, "40 to 50", F2176 &gt; 50, "&gt;50" )</f>
        <v>&gt;50</v>
      </c>
    </row>
    <row r="2177" spans="1:15" ht="15" customHeight="1" x14ac:dyDescent="0.3">
      <c r="A2177" t="s">
        <v>427</v>
      </c>
      <c r="B2177" s="1">
        <v>46211</v>
      </c>
      <c r="C2177" t="s">
        <v>64</v>
      </c>
      <c r="D2177">
        <v>2007</v>
      </c>
      <c r="E2177">
        <v>1</v>
      </c>
      <c r="F2177">
        <v>4.0999999999999996</v>
      </c>
      <c r="G2177" t="s">
        <v>30</v>
      </c>
      <c r="H2177" t="s">
        <v>99</v>
      </c>
      <c r="I2177" t="str">
        <f t="shared" si="37"/>
        <v>2007_1</v>
      </c>
      <c r="J2177" t="s">
        <v>428</v>
      </c>
      <c r="K2177" t="s">
        <v>429</v>
      </c>
      <c r="L2177" t="str">
        <f>_xlfn.XLOOKUP(C2177, Table2[Species],Table2[Genus], "Code Not Found")</f>
        <v>Fagus</v>
      </c>
      <c r="M2177" t="str">
        <f>_xlfn.XLOOKUP(C2177, Table2[Species],Table2[Sp. Name], "Code Not Found")</f>
        <v>grandifolia</v>
      </c>
      <c r="N2177" t="str">
        <f>_xlfn.XLOOKUP(C2177,Table2[Species],Table2[Family],"Code Not Found")</f>
        <v>Fagaceae</v>
      </c>
      <c r="O2177" t="str" cm="1">
        <f t="array" ref="O2177">_xlfn.IFS(F2177="","",F2177&lt;=5,"0 to 5",F2177&lt;=10,"5.1 to 10",F2177&lt;=20,"10 to 20", F2177&lt;= 40, "20 to 40", F2177 &lt;= 50, "40 to 50", F2177 &gt; 50, "&gt;50" )</f>
        <v>0 to 5</v>
      </c>
    </row>
    <row r="2178" spans="1:15" ht="15" customHeight="1" x14ac:dyDescent="0.3">
      <c r="A2178" t="s">
        <v>427</v>
      </c>
      <c r="B2178" s="1">
        <v>46211</v>
      </c>
      <c r="C2178" t="s">
        <v>64</v>
      </c>
      <c r="D2178">
        <v>2008</v>
      </c>
      <c r="E2178">
        <v>1</v>
      </c>
      <c r="F2178">
        <v>5</v>
      </c>
      <c r="G2178" t="s">
        <v>476</v>
      </c>
      <c r="H2178" t="s">
        <v>130</v>
      </c>
      <c r="I2178" t="str">
        <f t="shared" si="37"/>
        <v>2008_1</v>
      </c>
      <c r="J2178" t="s">
        <v>428</v>
      </c>
      <c r="K2178" t="s">
        <v>429</v>
      </c>
      <c r="L2178" t="str">
        <f>_xlfn.XLOOKUP(C2178, Table2[Species],Table2[Genus], "Code Not Found")</f>
        <v>Fagus</v>
      </c>
      <c r="M2178" t="str">
        <f>_xlfn.XLOOKUP(C2178, Table2[Species],Table2[Sp. Name], "Code Not Found")</f>
        <v>grandifolia</v>
      </c>
      <c r="N2178" t="str">
        <f>_xlfn.XLOOKUP(C2178,Table2[Species],Table2[Family],"Code Not Found")</f>
        <v>Fagaceae</v>
      </c>
      <c r="O2178" t="str" cm="1">
        <f t="array" ref="O2178">_xlfn.IFS(F2178="","",F2178&lt;=5,"0 to 5",F2178&lt;=10,"5.1 to 10",F2178&lt;=20,"10 to 20", F2178&lt;= 40, "20 to 40", F2178 &lt;= 50, "40 to 50", F2178 &gt; 50, "&gt;50" )</f>
        <v>0 to 5</v>
      </c>
    </row>
    <row r="2179" spans="1:15" ht="15" customHeight="1" x14ac:dyDescent="0.3">
      <c r="A2179" t="s">
        <v>427</v>
      </c>
      <c r="B2179" s="1">
        <v>46211</v>
      </c>
      <c r="C2179" t="s">
        <v>64</v>
      </c>
      <c r="D2179">
        <v>2008</v>
      </c>
      <c r="E2179">
        <v>2</v>
      </c>
      <c r="F2179">
        <v>3</v>
      </c>
      <c r="G2179" t="s">
        <v>93</v>
      </c>
      <c r="H2179" t="s">
        <v>467</v>
      </c>
      <c r="I2179" t="str">
        <f t="shared" si="37"/>
        <v>2008_2</v>
      </c>
      <c r="J2179" t="s">
        <v>428</v>
      </c>
      <c r="K2179" t="s">
        <v>429</v>
      </c>
      <c r="L2179" t="str">
        <f>_xlfn.XLOOKUP(C2179, Table2[Species],Table2[Genus], "Code Not Found")</f>
        <v>Fagus</v>
      </c>
      <c r="M2179" t="str">
        <f>_xlfn.XLOOKUP(C2179, Table2[Species],Table2[Sp. Name], "Code Not Found")</f>
        <v>grandifolia</v>
      </c>
      <c r="N2179" t="str">
        <f>_xlfn.XLOOKUP(C2179,Table2[Species],Table2[Family],"Code Not Found")</f>
        <v>Fagaceae</v>
      </c>
      <c r="O2179" t="str" cm="1">
        <f t="array" ref="O2179">_xlfn.IFS(F2179="","",F2179&lt;=5,"0 to 5",F2179&lt;=10,"5.1 to 10",F2179&lt;=20,"10 to 20", F2179&lt;= 40, "20 to 40", F2179 &lt;= 50, "40 to 50", F2179 &gt; 50, "&gt;50" )</f>
        <v>0 to 5</v>
      </c>
    </row>
    <row r="2180" spans="1:15" ht="15" customHeight="1" x14ac:dyDescent="0.3">
      <c r="A2180" t="s">
        <v>427</v>
      </c>
      <c r="B2180" s="1">
        <v>46211</v>
      </c>
      <c r="C2180" t="s">
        <v>64</v>
      </c>
      <c r="D2180">
        <v>2009</v>
      </c>
      <c r="E2180">
        <v>1</v>
      </c>
      <c r="F2180">
        <v>3.4</v>
      </c>
      <c r="G2180" t="s">
        <v>463</v>
      </c>
      <c r="I2180" t="str">
        <f t="shared" si="37"/>
        <v>2009_1</v>
      </c>
      <c r="J2180" t="s">
        <v>428</v>
      </c>
      <c r="K2180" t="s">
        <v>429</v>
      </c>
      <c r="L2180" t="str">
        <f>_xlfn.XLOOKUP(C2180, Table2[Species],Table2[Genus], "Code Not Found")</f>
        <v>Fagus</v>
      </c>
      <c r="M2180" t="str">
        <f>_xlfn.XLOOKUP(C2180, Table2[Species],Table2[Sp. Name], "Code Not Found")</f>
        <v>grandifolia</v>
      </c>
      <c r="N2180" t="str">
        <f>_xlfn.XLOOKUP(C2180,Table2[Species],Table2[Family],"Code Not Found")</f>
        <v>Fagaceae</v>
      </c>
      <c r="O2180" t="str" cm="1">
        <f t="array" ref="O2180">_xlfn.IFS(F2180="","",F2180&lt;=5,"0 to 5",F2180&lt;=10,"5.1 to 10",F2180&lt;=20,"10 to 20", F2180&lt;= 40, "20 to 40", F2180 &lt;= 50, "40 to 50", F2180 &gt; 50, "&gt;50" )</f>
        <v>0 to 5</v>
      </c>
    </row>
    <row r="2181" spans="1:15" ht="15" customHeight="1" x14ac:dyDescent="0.3">
      <c r="A2181" t="s">
        <v>427</v>
      </c>
      <c r="B2181" s="1">
        <v>46211</v>
      </c>
      <c r="C2181" t="s">
        <v>64</v>
      </c>
      <c r="D2181">
        <v>2009</v>
      </c>
      <c r="E2181">
        <v>2</v>
      </c>
      <c r="F2181">
        <v>1.9</v>
      </c>
      <c r="G2181" t="s">
        <v>477</v>
      </c>
      <c r="H2181" t="s">
        <v>467</v>
      </c>
      <c r="I2181" t="str">
        <f t="shared" si="37"/>
        <v>2009_2</v>
      </c>
      <c r="J2181" t="s">
        <v>428</v>
      </c>
      <c r="K2181" t="s">
        <v>429</v>
      </c>
      <c r="L2181" t="str">
        <f>_xlfn.XLOOKUP(C2181, Table2[Species],Table2[Genus], "Code Not Found")</f>
        <v>Fagus</v>
      </c>
      <c r="M2181" t="str">
        <f>_xlfn.XLOOKUP(C2181, Table2[Species],Table2[Sp. Name], "Code Not Found")</f>
        <v>grandifolia</v>
      </c>
      <c r="N2181" t="str">
        <f>_xlfn.XLOOKUP(C2181,Table2[Species],Table2[Family],"Code Not Found")</f>
        <v>Fagaceae</v>
      </c>
      <c r="O2181" t="str" cm="1">
        <f t="array" ref="O2181">_xlfn.IFS(F2181="","",F2181&lt;=5,"0 to 5",F2181&lt;=10,"5.1 to 10",F2181&lt;=20,"10 to 20", F2181&lt;= 40, "20 to 40", F2181 &lt;= 50, "40 to 50", F2181 &gt; 50, "&gt;50" )</f>
        <v>0 to 5</v>
      </c>
    </row>
    <row r="2182" spans="1:15" ht="15" customHeight="1" x14ac:dyDescent="0.3">
      <c r="A2182" t="s">
        <v>427</v>
      </c>
      <c r="B2182" s="1">
        <v>46211</v>
      </c>
      <c r="C2182" t="s">
        <v>16</v>
      </c>
      <c r="D2182">
        <v>2010</v>
      </c>
      <c r="E2182">
        <v>1</v>
      </c>
      <c r="F2182">
        <v>5.3</v>
      </c>
      <c r="G2182" t="s">
        <v>47</v>
      </c>
      <c r="I2182" t="str">
        <f t="shared" si="37"/>
        <v>2010_1</v>
      </c>
      <c r="J2182" t="s">
        <v>428</v>
      </c>
      <c r="K2182" t="s">
        <v>429</v>
      </c>
      <c r="L2182" t="str">
        <f>_xlfn.XLOOKUP(C2182, Table2[Species],Table2[Genus], "Code Not Found")</f>
        <v>Acer</v>
      </c>
      <c r="M2182" t="str">
        <f>_xlfn.XLOOKUP(C2182, Table2[Species],Table2[Sp. Name], "Code Not Found")</f>
        <v>saccharum</v>
      </c>
      <c r="N2182" t="str">
        <f>_xlfn.XLOOKUP(C2182,Table2[Species],Table2[Family],"Code Not Found")</f>
        <v>Sapindaceae</v>
      </c>
      <c r="O2182" t="str" cm="1">
        <f t="array" ref="O2182">_xlfn.IFS(F2182="","",F2182&lt;=5,"0 to 5",F2182&lt;=10,"5.1 to 10",F2182&lt;=20,"10 to 20", F2182&lt;= 40, "20 to 40", F2182 &lt;= 50, "40 to 50", F2182 &gt; 50, "&gt;50" )</f>
        <v>5.1 to 10</v>
      </c>
    </row>
    <row r="2183" spans="1:15" ht="15" customHeight="1" x14ac:dyDescent="0.3">
      <c r="A2183" t="s">
        <v>427</v>
      </c>
      <c r="B2183" s="1">
        <v>46211</v>
      </c>
      <c r="C2183" t="s">
        <v>22</v>
      </c>
      <c r="D2183">
        <v>2011</v>
      </c>
      <c r="E2183">
        <v>1</v>
      </c>
      <c r="F2183">
        <v>59.2</v>
      </c>
      <c r="G2183" t="s">
        <v>420</v>
      </c>
      <c r="H2183" t="s">
        <v>36</v>
      </c>
      <c r="I2183" t="str">
        <f t="shared" si="37"/>
        <v>2011_1</v>
      </c>
      <c r="J2183" t="s">
        <v>428</v>
      </c>
      <c r="K2183" t="s">
        <v>429</v>
      </c>
      <c r="L2183" t="str">
        <f>_xlfn.XLOOKUP(C2183, Table2[Species],Table2[Genus], "Code Not Found")</f>
        <v>Acer</v>
      </c>
      <c r="M2183" t="str">
        <f>_xlfn.XLOOKUP(C2183, Table2[Species],Table2[Sp. Name], "Code Not Found")</f>
        <v>rubrum</v>
      </c>
      <c r="N2183" t="str">
        <f>_xlfn.XLOOKUP(C2183,Table2[Species],Table2[Family],"Code Not Found")</f>
        <v>Sapindaceae</v>
      </c>
      <c r="O2183" t="str" cm="1">
        <f t="array" ref="O2183">_xlfn.IFS(F2183="","",F2183&lt;=5,"0 to 5",F2183&lt;=10,"5.1 to 10",F2183&lt;=20,"10 to 20", F2183&lt;= 40, "20 to 40", F2183 &lt;= 50, "40 to 50", F2183 &gt; 50, "&gt;50" )</f>
        <v>&gt;50</v>
      </c>
    </row>
    <row r="2184" spans="1:15" ht="15" customHeight="1" x14ac:dyDescent="0.3">
      <c r="A2184" t="s">
        <v>427</v>
      </c>
      <c r="B2184" s="1">
        <v>46211</v>
      </c>
      <c r="C2184" t="s">
        <v>55</v>
      </c>
      <c r="D2184">
        <v>2012</v>
      </c>
      <c r="E2184">
        <v>1</v>
      </c>
      <c r="F2184">
        <v>22</v>
      </c>
      <c r="G2184" t="s">
        <v>17</v>
      </c>
      <c r="I2184" t="str">
        <f t="shared" si="37"/>
        <v>2012_1</v>
      </c>
      <c r="J2184" t="s">
        <v>428</v>
      </c>
      <c r="K2184" t="s">
        <v>429</v>
      </c>
      <c r="L2184" t="str">
        <f>_xlfn.XLOOKUP(C2184, Table2[Species],Table2[Genus], "Code Not Found")</f>
        <v>Magnolia</v>
      </c>
      <c r="M2184" t="str">
        <f>_xlfn.XLOOKUP(C2184, Table2[Species],Table2[Sp. Name], "Code Not Found")</f>
        <v>acuminata</v>
      </c>
      <c r="N2184" t="str">
        <f>_xlfn.XLOOKUP(C2184,Table2[Species],Table2[Family],"Code Not Found")</f>
        <v>Magnoliaceae</v>
      </c>
      <c r="O2184" t="str" cm="1">
        <f t="array" ref="O2184">_xlfn.IFS(F2184="","",F2184&lt;=5,"0 to 5",F2184&lt;=10,"5.1 to 10",F2184&lt;=20,"10 to 20", F2184&lt;= 40, "20 to 40", F2184 &lt;= 50, "40 to 50", F2184 &gt; 50, "&gt;50" )</f>
        <v>20 to 40</v>
      </c>
    </row>
    <row r="2185" spans="1:15" ht="15" customHeight="1" x14ac:dyDescent="0.3">
      <c r="A2185" t="s">
        <v>427</v>
      </c>
      <c r="B2185" s="1">
        <v>46211</v>
      </c>
      <c r="C2185" t="s">
        <v>430</v>
      </c>
      <c r="D2185">
        <v>2013</v>
      </c>
      <c r="E2185">
        <v>1</v>
      </c>
      <c r="F2185">
        <v>6.3</v>
      </c>
      <c r="G2185" t="s">
        <v>381</v>
      </c>
      <c r="H2185" t="s">
        <v>478</v>
      </c>
      <c r="I2185" t="str">
        <f t="shared" si="37"/>
        <v>2013_1</v>
      </c>
      <c r="J2185" t="s">
        <v>428</v>
      </c>
      <c r="K2185" t="s">
        <v>429</v>
      </c>
      <c r="L2185" t="str">
        <f>_xlfn.XLOOKUP(C2185, Table2[Species],Table2[Genus], "Code Not Found")</f>
        <v>Tsuga</v>
      </c>
      <c r="M2185" t="str">
        <f>_xlfn.XLOOKUP(C2185, Table2[Species],Table2[Sp. Name], "Code Not Found")</f>
        <v>canadensis</v>
      </c>
      <c r="N2185" t="str">
        <f>_xlfn.XLOOKUP(C2185,Table2[Species],Table2[Family],"Code Not Found")</f>
        <v>Pinaceae</v>
      </c>
      <c r="O2185" t="str" cm="1">
        <f t="array" ref="O2185">_xlfn.IFS(F2185="","",F2185&lt;=5,"0 to 5",F2185&lt;=10,"5.1 to 10",F2185&lt;=20,"10 to 20", F2185&lt;= 40, "20 to 40", F2185 &lt;= 50, "40 to 50", F2185 &gt; 50, "&gt;50" )</f>
        <v>5.1 to 10</v>
      </c>
    </row>
    <row r="2186" spans="1:15" ht="15" customHeight="1" x14ac:dyDescent="0.3">
      <c r="A2186" t="s">
        <v>427</v>
      </c>
      <c r="B2186" s="1">
        <v>46211</v>
      </c>
      <c r="C2186" t="s">
        <v>430</v>
      </c>
      <c r="D2186">
        <v>2014</v>
      </c>
      <c r="E2186">
        <v>1</v>
      </c>
      <c r="F2186">
        <v>17.600000000000001</v>
      </c>
      <c r="G2186" t="s">
        <v>17</v>
      </c>
      <c r="I2186" t="str">
        <f t="shared" si="37"/>
        <v>2014_1</v>
      </c>
      <c r="J2186" t="s">
        <v>428</v>
      </c>
      <c r="K2186" t="s">
        <v>429</v>
      </c>
      <c r="L2186" t="str">
        <f>_xlfn.XLOOKUP(C2186, Table2[Species],Table2[Genus], "Code Not Found")</f>
        <v>Tsuga</v>
      </c>
      <c r="M2186" t="str">
        <f>_xlfn.XLOOKUP(C2186, Table2[Species],Table2[Sp. Name], "Code Not Found")</f>
        <v>canadensis</v>
      </c>
      <c r="N2186" t="str">
        <f>_xlfn.XLOOKUP(C2186,Table2[Species],Table2[Family],"Code Not Found")</f>
        <v>Pinaceae</v>
      </c>
      <c r="O2186" t="str" cm="1">
        <f t="array" ref="O2186">_xlfn.IFS(F2186="","",F2186&lt;=5,"0 to 5",F2186&lt;=10,"5.1 to 10",F2186&lt;=20,"10 to 20", F2186&lt;= 40, "20 to 40", F2186 &lt;= 50, "40 to 50", F2186 &gt; 50, "&gt;50" )</f>
        <v>10 to 20</v>
      </c>
    </row>
    <row r="2187" spans="1:15" ht="15" customHeight="1" x14ac:dyDescent="0.3">
      <c r="A2187" t="s">
        <v>427</v>
      </c>
      <c r="B2187" s="1">
        <v>46211</v>
      </c>
      <c r="C2187" t="s">
        <v>22</v>
      </c>
      <c r="D2187">
        <v>2015</v>
      </c>
      <c r="E2187">
        <v>1</v>
      </c>
      <c r="F2187">
        <v>42.9</v>
      </c>
      <c r="G2187" t="s">
        <v>21</v>
      </c>
      <c r="I2187" t="str">
        <f t="shared" si="37"/>
        <v>2015_1</v>
      </c>
      <c r="J2187" t="s">
        <v>428</v>
      </c>
      <c r="K2187" t="s">
        <v>429</v>
      </c>
      <c r="L2187" t="str">
        <f>_xlfn.XLOOKUP(C2187, Table2[Species],Table2[Genus], "Code Not Found")</f>
        <v>Acer</v>
      </c>
      <c r="M2187" t="str">
        <f>_xlfn.XLOOKUP(C2187, Table2[Species],Table2[Sp. Name], "Code Not Found")</f>
        <v>rubrum</v>
      </c>
      <c r="N2187" t="str">
        <f>_xlfn.XLOOKUP(C2187,Table2[Species],Table2[Family],"Code Not Found")</f>
        <v>Sapindaceae</v>
      </c>
      <c r="O2187" t="str" cm="1">
        <f t="array" ref="O2187">_xlfn.IFS(F2187="","",F2187&lt;=5,"0 to 5",F2187&lt;=10,"5.1 to 10",F2187&lt;=20,"10 to 20", F2187&lt;= 40, "20 to 40", F2187 &lt;= 50, "40 to 50", F2187 &gt; 50, "&gt;50" )</f>
        <v>40 to 50</v>
      </c>
    </row>
    <row r="2188" spans="1:15" ht="15" customHeight="1" x14ac:dyDescent="0.3">
      <c r="A2188" t="s">
        <v>427</v>
      </c>
      <c r="B2188" s="1">
        <v>46211</v>
      </c>
      <c r="C2188" t="s">
        <v>430</v>
      </c>
      <c r="D2188">
        <v>2016</v>
      </c>
      <c r="E2188">
        <v>1</v>
      </c>
      <c r="F2188">
        <v>6.9</v>
      </c>
      <c r="G2188" t="s">
        <v>17</v>
      </c>
      <c r="I2188" t="str">
        <f t="shared" si="37"/>
        <v>2016_1</v>
      </c>
      <c r="J2188" t="s">
        <v>428</v>
      </c>
      <c r="K2188" t="s">
        <v>429</v>
      </c>
      <c r="L2188" t="str">
        <f>_xlfn.XLOOKUP(C2188, Table2[Species],Table2[Genus], "Code Not Found")</f>
        <v>Tsuga</v>
      </c>
      <c r="M2188" t="str">
        <f>_xlfn.XLOOKUP(C2188, Table2[Species],Table2[Sp. Name], "Code Not Found")</f>
        <v>canadensis</v>
      </c>
      <c r="N2188" t="str">
        <f>_xlfn.XLOOKUP(C2188,Table2[Species],Table2[Family],"Code Not Found")</f>
        <v>Pinaceae</v>
      </c>
      <c r="O2188" t="str" cm="1">
        <f t="array" ref="O2188">_xlfn.IFS(F2188="","",F2188&lt;=5,"0 to 5",F2188&lt;=10,"5.1 to 10",F2188&lt;=20,"10 to 20", F2188&lt;= 40, "20 to 40", F2188 &lt;= 50, "40 to 50", F2188 &gt; 50, "&gt;50" )</f>
        <v>5.1 to 10</v>
      </c>
    </row>
    <row r="2189" spans="1:15" ht="15" customHeight="1" x14ac:dyDescent="0.3">
      <c r="A2189" t="s">
        <v>427</v>
      </c>
      <c r="B2189" s="1">
        <v>46211</v>
      </c>
      <c r="C2189" t="s">
        <v>430</v>
      </c>
      <c r="D2189">
        <v>2017</v>
      </c>
      <c r="E2189">
        <v>1</v>
      </c>
      <c r="F2189">
        <v>8.1999999999999993</v>
      </c>
      <c r="G2189" t="s">
        <v>17</v>
      </c>
      <c r="H2189" t="s">
        <v>479</v>
      </c>
      <c r="I2189" t="str">
        <f t="shared" si="37"/>
        <v>2017_1</v>
      </c>
      <c r="J2189" t="s">
        <v>428</v>
      </c>
      <c r="K2189" t="s">
        <v>429</v>
      </c>
      <c r="L2189" t="str">
        <f>_xlfn.XLOOKUP(C2189, Table2[Species],Table2[Genus], "Code Not Found")</f>
        <v>Tsuga</v>
      </c>
      <c r="M2189" t="str">
        <f>_xlfn.XLOOKUP(C2189, Table2[Species],Table2[Sp. Name], "Code Not Found")</f>
        <v>canadensis</v>
      </c>
      <c r="N2189" t="str">
        <f>_xlfn.XLOOKUP(C2189,Table2[Species],Table2[Family],"Code Not Found")</f>
        <v>Pinaceae</v>
      </c>
      <c r="O2189" t="str" cm="1">
        <f t="array" ref="O2189">_xlfn.IFS(F2189="","",F2189&lt;=5,"0 to 5",F2189&lt;=10,"5.1 to 10",F2189&lt;=20,"10 to 20", F2189&lt;= 40, "20 to 40", F2189 &lt;= 50, "40 to 50", F2189 &gt; 50, "&gt;50" )</f>
        <v>5.1 to 10</v>
      </c>
    </row>
    <row r="2190" spans="1:15" ht="15" customHeight="1" x14ac:dyDescent="0.3">
      <c r="A2190" t="s">
        <v>427</v>
      </c>
      <c r="B2190" s="1">
        <v>46211</v>
      </c>
      <c r="C2190" t="s">
        <v>430</v>
      </c>
      <c r="D2190">
        <v>2018</v>
      </c>
      <c r="E2190">
        <v>1</v>
      </c>
      <c r="F2190">
        <v>5.0999999999999996</v>
      </c>
      <c r="G2190" t="s">
        <v>17</v>
      </c>
      <c r="I2190" t="str">
        <f t="shared" si="37"/>
        <v>2018_1</v>
      </c>
      <c r="J2190" t="s">
        <v>428</v>
      </c>
      <c r="K2190" t="s">
        <v>429</v>
      </c>
      <c r="L2190" t="str">
        <f>_xlfn.XLOOKUP(C2190, Table2[Species],Table2[Genus], "Code Not Found")</f>
        <v>Tsuga</v>
      </c>
      <c r="M2190" t="str">
        <f>_xlfn.XLOOKUP(C2190, Table2[Species],Table2[Sp. Name], "Code Not Found")</f>
        <v>canadensis</v>
      </c>
      <c r="N2190" t="str">
        <f>_xlfn.XLOOKUP(C2190,Table2[Species],Table2[Family],"Code Not Found")</f>
        <v>Pinaceae</v>
      </c>
      <c r="O2190" t="str" cm="1">
        <f t="array" ref="O2190">_xlfn.IFS(F2190="","",F2190&lt;=5,"0 to 5",F2190&lt;=10,"5.1 to 10",F2190&lt;=20,"10 to 20", F2190&lt;= 40, "20 to 40", F2190 &lt;= 50, "40 to 50", F2190 &gt; 50, "&gt;50" )</f>
        <v>5.1 to 10</v>
      </c>
    </row>
    <row r="2191" spans="1:15" ht="15" customHeight="1" x14ac:dyDescent="0.3">
      <c r="A2191" t="s">
        <v>427</v>
      </c>
      <c r="B2191" s="1">
        <v>46211</v>
      </c>
      <c r="C2191" t="s">
        <v>430</v>
      </c>
      <c r="D2191">
        <v>2019</v>
      </c>
      <c r="E2191">
        <v>1</v>
      </c>
      <c r="F2191">
        <v>12.9</v>
      </c>
      <c r="G2191" t="s">
        <v>381</v>
      </c>
      <c r="I2191" t="str">
        <f t="shared" si="37"/>
        <v>2019_1</v>
      </c>
      <c r="J2191" t="s">
        <v>428</v>
      </c>
      <c r="K2191" t="s">
        <v>429</v>
      </c>
      <c r="L2191" t="str">
        <f>_xlfn.XLOOKUP(C2191, Table2[Species],Table2[Genus], "Code Not Found")</f>
        <v>Tsuga</v>
      </c>
      <c r="M2191" t="str">
        <f>_xlfn.XLOOKUP(C2191, Table2[Species],Table2[Sp. Name], "Code Not Found")</f>
        <v>canadensis</v>
      </c>
      <c r="N2191" t="str">
        <f>_xlfn.XLOOKUP(C2191,Table2[Species],Table2[Family],"Code Not Found")</f>
        <v>Pinaceae</v>
      </c>
      <c r="O2191" t="str" cm="1">
        <f t="array" ref="O2191">_xlfn.IFS(F2191="","",F2191&lt;=5,"0 to 5",F2191&lt;=10,"5.1 to 10",F2191&lt;=20,"10 to 20", F2191&lt;= 40, "20 to 40", F2191 &lt;= 50, "40 to 50", F2191 &gt; 50, "&gt;50" )</f>
        <v>10 to 20</v>
      </c>
    </row>
    <row r="2192" spans="1:15" ht="15" customHeight="1" x14ac:dyDescent="0.3">
      <c r="A2192" t="s">
        <v>427</v>
      </c>
      <c r="B2192" s="1">
        <v>46211</v>
      </c>
      <c r="C2192" t="s">
        <v>430</v>
      </c>
      <c r="D2192">
        <v>2020</v>
      </c>
      <c r="E2192">
        <v>1</v>
      </c>
      <c r="F2192">
        <v>9.5</v>
      </c>
      <c r="G2192" t="s">
        <v>17</v>
      </c>
      <c r="I2192" t="str">
        <f t="shared" si="37"/>
        <v>2020_1</v>
      </c>
      <c r="J2192" t="s">
        <v>428</v>
      </c>
      <c r="K2192" t="s">
        <v>429</v>
      </c>
      <c r="L2192" t="str">
        <f>_xlfn.XLOOKUP(C2192, Table2[Species],Table2[Genus], "Code Not Found")</f>
        <v>Tsuga</v>
      </c>
      <c r="M2192" t="str">
        <f>_xlfn.XLOOKUP(C2192, Table2[Species],Table2[Sp. Name], "Code Not Found")</f>
        <v>canadensis</v>
      </c>
      <c r="N2192" t="str">
        <f>_xlfn.XLOOKUP(C2192,Table2[Species],Table2[Family],"Code Not Found")</f>
        <v>Pinaceae</v>
      </c>
      <c r="O2192" t="str" cm="1">
        <f t="array" ref="O2192">_xlfn.IFS(F2192="","",F2192&lt;=5,"0 to 5",F2192&lt;=10,"5.1 to 10",F2192&lt;=20,"10 to 20", F2192&lt;= 40, "20 to 40", F2192 &lt;= 50, "40 to 50", F2192 &gt; 50, "&gt;50" )</f>
        <v>5.1 to 10</v>
      </c>
    </row>
    <row r="2193" spans="1:15" ht="15" customHeight="1" x14ac:dyDescent="0.3">
      <c r="A2193" t="s">
        <v>427</v>
      </c>
      <c r="B2193" s="1">
        <v>46211</v>
      </c>
      <c r="C2193" t="s">
        <v>430</v>
      </c>
      <c r="D2193">
        <v>2021</v>
      </c>
      <c r="E2193">
        <v>1</v>
      </c>
      <c r="F2193">
        <v>16.899999999999999</v>
      </c>
      <c r="G2193" t="s">
        <v>17</v>
      </c>
      <c r="I2193" t="str">
        <f t="shared" si="37"/>
        <v>2021_1</v>
      </c>
      <c r="J2193" t="s">
        <v>428</v>
      </c>
      <c r="K2193" t="s">
        <v>429</v>
      </c>
      <c r="L2193" t="str">
        <f>_xlfn.XLOOKUP(C2193, Table2[Species],Table2[Genus], "Code Not Found")</f>
        <v>Tsuga</v>
      </c>
      <c r="M2193" t="str">
        <f>_xlfn.XLOOKUP(C2193, Table2[Species],Table2[Sp. Name], "Code Not Found")</f>
        <v>canadensis</v>
      </c>
      <c r="N2193" t="str">
        <f>_xlfn.XLOOKUP(C2193,Table2[Species],Table2[Family],"Code Not Found")</f>
        <v>Pinaceae</v>
      </c>
      <c r="O2193" t="str" cm="1">
        <f t="array" ref="O2193">_xlfn.IFS(F2193="","",F2193&lt;=5,"0 to 5",F2193&lt;=10,"5.1 to 10",F2193&lt;=20,"10 to 20", F2193&lt;= 40, "20 to 40", F2193 &lt;= 50, "40 to 50", F2193 &gt; 50, "&gt;50" )</f>
        <v>10 to 20</v>
      </c>
    </row>
    <row r="2194" spans="1:15" ht="15" customHeight="1" x14ac:dyDescent="0.3">
      <c r="A2194" t="s">
        <v>427</v>
      </c>
      <c r="B2194" s="1">
        <v>46211</v>
      </c>
      <c r="C2194" t="s">
        <v>430</v>
      </c>
      <c r="D2194">
        <v>2022</v>
      </c>
      <c r="E2194">
        <v>1</v>
      </c>
      <c r="F2194">
        <v>14.8</v>
      </c>
      <c r="G2194" t="s">
        <v>17</v>
      </c>
      <c r="I2194" t="str">
        <f t="shared" si="37"/>
        <v>2022_1</v>
      </c>
      <c r="J2194" t="s">
        <v>428</v>
      </c>
      <c r="K2194" t="s">
        <v>429</v>
      </c>
      <c r="L2194" t="str">
        <f>_xlfn.XLOOKUP(C2194, Table2[Species],Table2[Genus], "Code Not Found")</f>
        <v>Tsuga</v>
      </c>
      <c r="M2194" t="str">
        <f>_xlfn.XLOOKUP(C2194, Table2[Species],Table2[Sp. Name], "Code Not Found")</f>
        <v>canadensis</v>
      </c>
      <c r="N2194" t="str">
        <f>_xlfn.XLOOKUP(C2194,Table2[Species],Table2[Family],"Code Not Found")</f>
        <v>Pinaceae</v>
      </c>
      <c r="O2194" t="str" cm="1">
        <f t="array" ref="O2194">_xlfn.IFS(F2194="","",F2194&lt;=5,"0 to 5",F2194&lt;=10,"5.1 to 10",F2194&lt;=20,"10 to 20", F2194&lt;= 40, "20 to 40", F2194 &lt;= 50, "40 to 50", F2194 &gt; 50, "&gt;50" )</f>
        <v>10 to 20</v>
      </c>
    </row>
    <row r="2195" spans="1:15" ht="15" customHeight="1" x14ac:dyDescent="0.3">
      <c r="A2195" t="s">
        <v>427</v>
      </c>
      <c r="B2195" s="1">
        <v>46211</v>
      </c>
      <c r="C2195" t="s">
        <v>430</v>
      </c>
      <c r="D2195">
        <v>2023</v>
      </c>
      <c r="E2195">
        <v>1</v>
      </c>
      <c r="F2195">
        <v>6.5</v>
      </c>
      <c r="G2195" t="s">
        <v>17</v>
      </c>
      <c r="H2195" t="s">
        <v>479</v>
      </c>
      <c r="I2195" t="str">
        <f t="shared" si="37"/>
        <v>2023_1</v>
      </c>
      <c r="J2195" t="s">
        <v>428</v>
      </c>
      <c r="K2195" t="s">
        <v>429</v>
      </c>
      <c r="L2195" t="str">
        <f>_xlfn.XLOOKUP(C2195, Table2[Species],Table2[Genus], "Code Not Found")</f>
        <v>Tsuga</v>
      </c>
      <c r="M2195" t="str">
        <f>_xlfn.XLOOKUP(C2195, Table2[Species],Table2[Sp. Name], "Code Not Found")</f>
        <v>canadensis</v>
      </c>
      <c r="N2195" t="str">
        <f>_xlfn.XLOOKUP(C2195,Table2[Species],Table2[Family],"Code Not Found")</f>
        <v>Pinaceae</v>
      </c>
      <c r="O2195" t="str" cm="1">
        <f t="array" ref="O2195">_xlfn.IFS(F2195="","",F2195&lt;=5,"0 to 5",F2195&lt;=10,"5.1 to 10",F2195&lt;=20,"10 to 20", F2195&lt;= 40, "20 to 40", F2195 &lt;= 50, "40 to 50", F2195 &gt; 50, "&gt;50" )</f>
        <v>5.1 to 10</v>
      </c>
    </row>
    <row r="2196" spans="1:15" ht="15" customHeight="1" x14ac:dyDescent="0.3">
      <c r="A2196" t="s">
        <v>427</v>
      </c>
      <c r="B2196" s="1">
        <v>46211</v>
      </c>
      <c r="C2196" t="s">
        <v>22</v>
      </c>
      <c r="D2196">
        <v>2024</v>
      </c>
      <c r="E2196">
        <v>1</v>
      </c>
      <c r="F2196">
        <v>19.5</v>
      </c>
      <c r="G2196" t="s">
        <v>21</v>
      </c>
      <c r="I2196" t="str">
        <f t="shared" si="37"/>
        <v>2024_1</v>
      </c>
      <c r="J2196" t="s">
        <v>428</v>
      </c>
      <c r="K2196" t="s">
        <v>429</v>
      </c>
      <c r="L2196" t="str">
        <f>_xlfn.XLOOKUP(C2196, Table2[Species],Table2[Genus], "Code Not Found")</f>
        <v>Acer</v>
      </c>
      <c r="M2196" t="str">
        <f>_xlfn.XLOOKUP(C2196, Table2[Species],Table2[Sp. Name], "Code Not Found")</f>
        <v>rubrum</v>
      </c>
      <c r="N2196" t="str">
        <f>_xlfn.XLOOKUP(C2196,Table2[Species],Table2[Family],"Code Not Found")</f>
        <v>Sapindaceae</v>
      </c>
      <c r="O2196" t="str" cm="1">
        <f t="array" ref="O2196">_xlfn.IFS(F2196="","",F2196&lt;=5,"0 to 5",F2196&lt;=10,"5.1 to 10",F2196&lt;=20,"10 to 20", F2196&lt;= 40, "20 to 40", F2196 &lt;= 50, "40 to 50", F2196 &gt; 50, "&gt;50" )</f>
        <v>10 to 20</v>
      </c>
    </row>
    <row r="2197" spans="1:15" ht="15" customHeight="1" x14ac:dyDescent="0.3">
      <c r="A2197" t="s">
        <v>427</v>
      </c>
      <c r="B2197" s="1">
        <v>46211</v>
      </c>
      <c r="C2197" t="s">
        <v>430</v>
      </c>
      <c r="D2197">
        <v>2025</v>
      </c>
      <c r="E2197">
        <v>1</v>
      </c>
      <c r="F2197">
        <v>6.1</v>
      </c>
      <c r="G2197" t="s">
        <v>17</v>
      </c>
      <c r="H2197" t="s">
        <v>479</v>
      </c>
      <c r="I2197" t="str">
        <f t="shared" si="37"/>
        <v>2025_1</v>
      </c>
      <c r="J2197" t="s">
        <v>428</v>
      </c>
      <c r="K2197" t="s">
        <v>429</v>
      </c>
      <c r="L2197" t="str">
        <f>_xlfn.XLOOKUP(C2197, Table2[Species],Table2[Genus], "Code Not Found")</f>
        <v>Tsuga</v>
      </c>
      <c r="M2197" t="str">
        <f>_xlfn.XLOOKUP(C2197, Table2[Species],Table2[Sp. Name], "Code Not Found")</f>
        <v>canadensis</v>
      </c>
      <c r="N2197" t="str">
        <f>_xlfn.XLOOKUP(C2197,Table2[Species],Table2[Family],"Code Not Found")</f>
        <v>Pinaceae</v>
      </c>
      <c r="O2197" t="str" cm="1">
        <f t="array" ref="O2197">_xlfn.IFS(F2197="","",F2197&lt;=5,"0 to 5",F2197&lt;=10,"5.1 to 10",F2197&lt;=20,"10 to 20", F2197&lt;= 40, "20 to 40", F2197 &lt;= 50, "40 to 50", F2197 &gt; 50, "&gt;50" )</f>
        <v>5.1 to 10</v>
      </c>
    </row>
    <row r="2198" spans="1:15" ht="15" customHeight="1" x14ac:dyDescent="0.3">
      <c r="A2198" t="s">
        <v>427</v>
      </c>
      <c r="B2198" s="1">
        <v>46211</v>
      </c>
      <c r="C2198" t="s">
        <v>430</v>
      </c>
      <c r="D2198">
        <v>2026</v>
      </c>
      <c r="E2198">
        <v>1</v>
      </c>
      <c r="F2198">
        <v>10.9</v>
      </c>
      <c r="G2198" t="s">
        <v>17</v>
      </c>
      <c r="I2198" t="str">
        <f t="shared" si="37"/>
        <v>2026_1</v>
      </c>
      <c r="J2198" t="s">
        <v>428</v>
      </c>
      <c r="K2198" t="s">
        <v>429</v>
      </c>
      <c r="L2198" t="str">
        <f>_xlfn.XLOOKUP(C2198, Table2[Species],Table2[Genus], "Code Not Found")</f>
        <v>Tsuga</v>
      </c>
      <c r="M2198" t="str">
        <f>_xlfn.XLOOKUP(C2198, Table2[Species],Table2[Sp. Name], "Code Not Found")</f>
        <v>canadensis</v>
      </c>
      <c r="N2198" t="str">
        <f>_xlfn.XLOOKUP(C2198,Table2[Species],Table2[Family],"Code Not Found")</f>
        <v>Pinaceae</v>
      </c>
      <c r="O2198" t="str" cm="1">
        <f t="array" ref="O2198">_xlfn.IFS(F2198="","",F2198&lt;=5,"0 to 5",F2198&lt;=10,"5.1 to 10",F2198&lt;=20,"10 to 20", F2198&lt;= 40, "20 to 40", F2198 &lt;= 50, "40 to 50", F2198 &gt; 50, "&gt;50" )</f>
        <v>10 to 20</v>
      </c>
    </row>
    <row r="2199" spans="1:15" ht="15" customHeight="1" x14ac:dyDescent="0.3">
      <c r="A2199" t="s">
        <v>427</v>
      </c>
      <c r="B2199" s="1">
        <v>46211</v>
      </c>
      <c r="C2199" t="s">
        <v>123</v>
      </c>
      <c r="D2199">
        <v>2027</v>
      </c>
      <c r="E2199">
        <v>1</v>
      </c>
      <c r="F2199">
        <v>66.8</v>
      </c>
      <c r="G2199" t="s">
        <v>480</v>
      </c>
      <c r="H2199" t="s">
        <v>481</v>
      </c>
      <c r="I2199" t="str">
        <f t="shared" si="37"/>
        <v>2027_1</v>
      </c>
      <c r="J2199" t="s">
        <v>428</v>
      </c>
      <c r="K2199" t="s">
        <v>429</v>
      </c>
      <c r="L2199" t="str">
        <f>_xlfn.XLOOKUP(C2199, Table2[Species],Table2[Genus], "Code Not Found")</f>
        <v>Quercus</v>
      </c>
      <c r="M2199" t="str">
        <f>_xlfn.XLOOKUP(C2199, Table2[Species],Table2[Sp. Name], "Code Not Found")</f>
        <v>rubra</v>
      </c>
      <c r="N2199" t="str">
        <f>_xlfn.XLOOKUP(C2199,Table2[Species],Table2[Family],"Code Not Found")</f>
        <v>Fagaceae</v>
      </c>
      <c r="O2199" t="str" cm="1">
        <f t="array" ref="O2199">_xlfn.IFS(F2199="","",F2199&lt;=5,"0 to 5",F2199&lt;=10,"5.1 to 10",F2199&lt;=20,"10 to 20", F2199&lt;= 40, "20 to 40", F2199 &lt;= 50, "40 to 50", F2199 &gt; 50, "&gt;50" )</f>
        <v>&gt;50</v>
      </c>
    </row>
    <row r="2200" spans="1:15" ht="15" customHeight="1" x14ac:dyDescent="0.3">
      <c r="A2200" t="s">
        <v>427</v>
      </c>
      <c r="B2200" s="1">
        <v>46211</v>
      </c>
      <c r="C2200" t="s">
        <v>430</v>
      </c>
      <c r="D2200">
        <v>2028</v>
      </c>
      <c r="E2200">
        <v>1</v>
      </c>
      <c r="F2200">
        <v>8.4</v>
      </c>
      <c r="G2200" t="s">
        <v>17</v>
      </c>
      <c r="I2200" t="str">
        <f t="shared" si="37"/>
        <v>2028_1</v>
      </c>
      <c r="J2200" t="s">
        <v>428</v>
      </c>
      <c r="K2200" t="s">
        <v>429</v>
      </c>
      <c r="L2200" t="str">
        <f>_xlfn.XLOOKUP(C2200, Table2[Species],Table2[Genus], "Code Not Found")</f>
        <v>Tsuga</v>
      </c>
      <c r="M2200" t="str">
        <f>_xlfn.XLOOKUP(C2200, Table2[Species],Table2[Sp. Name], "Code Not Found")</f>
        <v>canadensis</v>
      </c>
      <c r="N2200" t="str">
        <f>_xlfn.XLOOKUP(C2200,Table2[Species],Table2[Family],"Code Not Found")</f>
        <v>Pinaceae</v>
      </c>
      <c r="O2200" t="str" cm="1">
        <f t="array" ref="O2200">_xlfn.IFS(F2200="","",F2200&lt;=5,"0 to 5",F2200&lt;=10,"5.1 to 10",F2200&lt;=20,"10 to 20", F2200&lt;= 40, "20 to 40", F2200 &lt;= 50, "40 to 50", F2200 &gt; 50, "&gt;50" )</f>
        <v>5.1 to 10</v>
      </c>
    </row>
    <row r="2201" spans="1:15" ht="15" customHeight="1" x14ac:dyDescent="0.3">
      <c r="A2201" t="s">
        <v>427</v>
      </c>
      <c r="B2201" s="1">
        <v>46211</v>
      </c>
      <c r="C2201" t="s">
        <v>118</v>
      </c>
      <c r="D2201">
        <v>2029</v>
      </c>
      <c r="E2201">
        <v>1</v>
      </c>
      <c r="F2201">
        <v>81.099999999999994</v>
      </c>
      <c r="G2201" t="s">
        <v>17</v>
      </c>
      <c r="H2201" t="s">
        <v>482</v>
      </c>
      <c r="I2201" t="str">
        <f t="shared" si="37"/>
        <v>2029_1</v>
      </c>
      <c r="J2201" t="s">
        <v>428</v>
      </c>
      <c r="K2201" t="s">
        <v>429</v>
      </c>
      <c r="L2201" t="str">
        <f>_xlfn.XLOOKUP(C2201, Table2[Species],Table2[Genus], "Code Not Found")</f>
        <v>Quercus</v>
      </c>
      <c r="M2201" t="str">
        <f>_xlfn.XLOOKUP(C2201, Table2[Species],Table2[Sp. Name], "Code Not Found")</f>
        <v>montana</v>
      </c>
      <c r="N2201" t="str">
        <f>_xlfn.XLOOKUP(C2201,Table2[Species],Table2[Family],"Code Not Found")</f>
        <v>Fagaceae</v>
      </c>
      <c r="O2201" t="str" cm="1">
        <f t="array" ref="O2201">_xlfn.IFS(F2201="","",F2201&lt;=5,"0 to 5",F2201&lt;=10,"5.1 to 10",F2201&lt;=20,"10 to 20", F2201&lt;= 40, "20 to 40", F2201 &lt;= 50, "40 to 50", F2201 &gt; 50, "&gt;50" )</f>
        <v>&gt;50</v>
      </c>
    </row>
    <row r="2202" spans="1:15" ht="15" customHeight="1" x14ac:dyDescent="0.3">
      <c r="A2202" t="s">
        <v>427</v>
      </c>
      <c r="B2202" s="1">
        <v>46211</v>
      </c>
      <c r="C2202" t="s">
        <v>64</v>
      </c>
      <c r="D2202">
        <v>2030</v>
      </c>
      <c r="E2202">
        <v>1</v>
      </c>
      <c r="F2202">
        <v>4.5999999999999996</v>
      </c>
      <c r="G2202" t="s">
        <v>17</v>
      </c>
      <c r="I2202" t="str">
        <f t="shared" si="37"/>
        <v>2030_1</v>
      </c>
      <c r="J2202" t="s">
        <v>428</v>
      </c>
      <c r="K2202" t="s">
        <v>429</v>
      </c>
      <c r="L2202" t="str">
        <f>_xlfn.XLOOKUP(C2202, Table2[Species],Table2[Genus], "Code Not Found")</f>
        <v>Fagus</v>
      </c>
      <c r="M2202" t="str">
        <f>_xlfn.XLOOKUP(C2202, Table2[Species],Table2[Sp. Name], "Code Not Found")</f>
        <v>grandifolia</v>
      </c>
      <c r="N2202" t="str">
        <f>_xlfn.XLOOKUP(C2202,Table2[Species],Table2[Family],"Code Not Found")</f>
        <v>Fagaceae</v>
      </c>
      <c r="O2202" t="str" cm="1">
        <f t="array" ref="O2202">_xlfn.IFS(F2202="","",F2202&lt;=5,"0 to 5",F2202&lt;=10,"5.1 to 10",F2202&lt;=20,"10 to 20", F2202&lt;= 40, "20 to 40", F2202 &lt;= 50, "40 to 50", F2202 &gt; 50, "&gt;50" )</f>
        <v>0 to 5</v>
      </c>
    </row>
    <row r="2203" spans="1:15" ht="15" customHeight="1" x14ac:dyDescent="0.3">
      <c r="A2203" t="s">
        <v>427</v>
      </c>
      <c r="B2203" s="1">
        <v>46211</v>
      </c>
      <c r="C2203" t="s">
        <v>430</v>
      </c>
      <c r="D2203">
        <v>2031</v>
      </c>
      <c r="E2203">
        <v>1</v>
      </c>
      <c r="F2203">
        <v>8.5</v>
      </c>
      <c r="G2203" t="s">
        <v>17</v>
      </c>
      <c r="H2203" t="s">
        <v>479</v>
      </c>
      <c r="I2203" t="str">
        <f t="shared" si="37"/>
        <v>2031_1</v>
      </c>
      <c r="J2203" t="s">
        <v>428</v>
      </c>
      <c r="K2203" t="s">
        <v>429</v>
      </c>
      <c r="L2203" t="str">
        <f>_xlfn.XLOOKUP(C2203, Table2[Species],Table2[Genus], "Code Not Found")</f>
        <v>Tsuga</v>
      </c>
      <c r="M2203" t="str">
        <f>_xlfn.XLOOKUP(C2203, Table2[Species],Table2[Sp. Name], "Code Not Found")</f>
        <v>canadensis</v>
      </c>
      <c r="N2203" t="str">
        <f>_xlfn.XLOOKUP(C2203,Table2[Species],Table2[Family],"Code Not Found")</f>
        <v>Pinaceae</v>
      </c>
      <c r="O2203" t="str" cm="1">
        <f t="array" ref="O2203">_xlfn.IFS(F2203="","",F2203&lt;=5,"0 to 5",F2203&lt;=10,"5.1 to 10",F2203&lt;=20,"10 to 20", F2203&lt;= 40, "20 to 40", F2203 &lt;= 50, "40 to 50", F2203 &gt; 50, "&gt;50" )</f>
        <v>5.1 to 10</v>
      </c>
    </row>
    <row r="2204" spans="1:15" ht="15" customHeight="1" x14ac:dyDescent="0.3">
      <c r="A2204" t="s">
        <v>427</v>
      </c>
      <c r="B2204" s="1">
        <v>46211</v>
      </c>
      <c r="C2204" t="s">
        <v>430</v>
      </c>
      <c r="D2204">
        <v>2032</v>
      </c>
      <c r="E2204">
        <v>1</v>
      </c>
      <c r="F2204">
        <v>7.9</v>
      </c>
      <c r="G2204" t="s">
        <v>17</v>
      </c>
      <c r="I2204" t="str">
        <f t="shared" si="37"/>
        <v>2032_1</v>
      </c>
      <c r="J2204" t="s">
        <v>428</v>
      </c>
      <c r="K2204" t="s">
        <v>429</v>
      </c>
      <c r="L2204" t="str">
        <f>_xlfn.XLOOKUP(C2204, Table2[Species],Table2[Genus], "Code Not Found")</f>
        <v>Tsuga</v>
      </c>
      <c r="M2204" t="str">
        <f>_xlfn.XLOOKUP(C2204, Table2[Species],Table2[Sp. Name], "Code Not Found")</f>
        <v>canadensis</v>
      </c>
      <c r="N2204" t="str">
        <f>_xlfn.XLOOKUP(C2204,Table2[Species],Table2[Family],"Code Not Found")</f>
        <v>Pinaceae</v>
      </c>
      <c r="O2204" t="str" cm="1">
        <f t="array" ref="O2204">_xlfn.IFS(F2204="","",F2204&lt;=5,"0 to 5",F2204&lt;=10,"5.1 to 10",F2204&lt;=20,"10 to 20", F2204&lt;= 40, "20 to 40", F2204 &lt;= 50, "40 to 50", F2204 &gt; 50, "&gt;50" )</f>
        <v>5.1 to 10</v>
      </c>
    </row>
    <row r="2205" spans="1:15" ht="15" customHeight="1" x14ac:dyDescent="0.3">
      <c r="A2205" t="s">
        <v>427</v>
      </c>
      <c r="B2205" s="1">
        <v>46211</v>
      </c>
      <c r="C2205" t="s">
        <v>430</v>
      </c>
      <c r="D2205">
        <v>2033</v>
      </c>
      <c r="E2205">
        <v>1</v>
      </c>
      <c r="F2205">
        <v>7.1</v>
      </c>
      <c r="G2205" t="s">
        <v>17</v>
      </c>
      <c r="I2205" t="str">
        <f t="shared" si="37"/>
        <v>2033_1</v>
      </c>
      <c r="J2205" t="s">
        <v>428</v>
      </c>
      <c r="K2205" t="s">
        <v>429</v>
      </c>
      <c r="L2205" t="str">
        <f>_xlfn.XLOOKUP(C2205, Table2[Species],Table2[Genus], "Code Not Found")</f>
        <v>Tsuga</v>
      </c>
      <c r="M2205" t="str">
        <f>_xlfn.XLOOKUP(C2205, Table2[Species],Table2[Sp. Name], "Code Not Found")</f>
        <v>canadensis</v>
      </c>
      <c r="N2205" t="str">
        <f>_xlfn.XLOOKUP(C2205,Table2[Species],Table2[Family],"Code Not Found")</f>
        <v>Pinaceae</v>
      </c>
      <c r="O2205" t="str" cm="1">
        <f t="array" ref="O2205">_xlfn.IFS(F2205="","",F2205&lt;=5,"0 to 5",F2205&lt;=10,"5.1 to 10",F2205&lt;=20,"10 to 20", F2205&lt;= 40, "20 to 40", F2205 &lt;= 50, "40 to 50", F2205 &gt; 50, "&gt;50" )</f>
        <v>5.1 to 10</v>
      </c>
    </row>
    <row r="2206" spans="1:15" ht="15" customHeight="1" x14ac:dyDescent="0.3">
      <c r="A2206" t="s">
        <v>427</v>
      </c>
      <c r="B2206" s="1">
        <v>46211</v>
      </c>
      <c r="C2206" t="s">
        <v>430</v>
      </c>
      <c r="D2206">
        <v>2034</v>
      </c>
      <c r="E2206">
        <v>1</v>
      </c>
      <c r="F2206">
        <v>4.0999999999999996</v>
      </c>
      <c r="G2206" t="s">
        <v>17</v>
      </c>
      <c r="I2206" t="str">
        <f t="shared" si="37"/>
        <v>2034_1</v>
      </c>
      <c r="J2206" t="s">
        <v>428</v>
      </c>
      <c r="K2206" t="s">
        <v>429</v>
      </c>
      <c r="L2206" t="str">
        <f>_xlfn.XLOOKUP(C2206, Table2[Species],Table2[Genus], "Code Not Found")</f>
        <v>Tsuga</v>
      </c>
      <c r="M2206" t="str">
        <f>_xlfn.XLOOKUP(C2206, Table2[Species],Table2[Sp. Name], "Code Not Found")</f>
        <v>canadensis</v>
      </c>
      <c r="N2206" t="str">
        <f>_xlfn.XLOOKUP(C2206,Table2[Species],Table2[Family],"Code Not Found")</f>
        <v>Pinaceae</v>
      </c>
      <c r="O2206" t="str" cm="1">
        <f t="array" ref="O2206">_xlfn.IFS(F2206="","",F2206&lt;=5,"0 to 5",F2206&lt;=10,"5.1 to 10",F2206&lt;=20,"10 to 20", F2206&lt;= 40, "20 to 40", F2206 &lt;= 50, "40 to 50", F2206 &gt; 50, "&gt;50" )</f>
        <v>0 to 5</v>
      </c>
    </row>
    <row r="2207" spans="1:15" ht="15" customHeight="1" x14ac:dyDescent="0.3">
      <c r="A2207" t="s">
        <v>427</v>
      </c>
      <c r="B2207" s="1">
        <v>46211</v>
      </c>
      <c r="C2207" t="s">
        <v>430</v>
      </c>
      <c r="D2207">
        <v>2035</v>
      </c>
      <c r="E2207">
        <v>1</v>
      </c>
      <c r="F2207">
        <v>9.3000000000000007</v>
      </c>
      <c r="G2207" t="s">
        <v>17</v>
      </c>
      <c r="H2207" t="s">
        <v>483</v>
      </c>
      <c r="I2207" t="str">
        <f t="shared" si="37"/>
        <v>2035_1</v>
      </c>
      <c r="J2207" t="s">
        <v>428</v>
      </c>
      <c r="K2207" t="s">
        <v>429</v>
      </c>
      <c r="L2207" t="str">
        <f>_xlfn.XLOOKUP(C2207, Table2[Species],Table2[Genus], "Code Not Found")</f>
        <v>Tsuga</v>
      </c>
      <c r="M2207" t="str">
        <f>_xlfn.XLOOKUP(C2207, Table2[Species],Table2[Sp. Name], "Code Not Found")</f>
        <v>canadensis</v>
      </c>
      <c r="N2207" t="str">
        <f>_xlfn.XLOOKUP(C2207,Table2[Species],Table2[Family],"Code Not Found")</f>
        <v>Pinaceae</v>
      </c>
      <c r="O2207" t="str" cm="1">
        <f t="array" ref="O2207">_xlfn.IFS(F2207="","",F2207&lt;=5,"0 to 5",F2207&lt;=10,"5.1 to 10",F2207&lt;=20,"10 to 20", F2207&lt;= 40, "20 to 40", F2207 &lt;= 50, "40 to 50", F2207 &gt; 50, "&gt;50" )</f>
        <v>5.1 to 10</v>
      </c>
    </row>
    <row r="2208" spans="1:15" ht="15" customHeight="1" x14ac:dyDescent="0.3">
      <c r="A2208" t="s">
        <v>427</v>
      </c>
      <c r="B2208" s="1">
        <v>46211</v>
      </c>
      <c r="C2208" t="s">
        <v>430</v>
      </c>
      <c r="D2208">
        <v>2036</v>
      </c>
      <c r="E2208">
        <v>1</v>
      </c>
      <c r="F2208">
        <v>12.5</v>
      </c>
      <c r="G2208" t="s">
        <v>17</v>
      </c>
      <c r="I2208" t="str">
        <f t="shared" si="37"/>
        <v>2036_1</v>
      </c>
      <c r="J2208" t="s">
        <v>428</v>
      </c>
      <c r="K2208" t="s">
        <v>429</v>
      </c>
      <c r="L2208" t="str">
        <f>_xlfn.XLOOKUP(C2208, Table2[Species],Table2[Genus], "Code Not Found")</f>
        <v>Tsuga</v>
      </c>
      <c r="M2208" t="str">
        <f>_xlfn.XLOOKUP(C2208, Table2[Species],Table2[Sp. Name], "Code Not Found")</f>
        <v>canadensis</v>
      </c>
      <c r="N2208" t="str">
        <f>_xlfn.XLOOKUP(C2208,Table2[Species],Table2[Family],"Code Not Found")</f>
        <v>Pinaceae</v>
      </c>
      <c r="O2208" t="str" cm="1">
        <f t="array" ref="O2208">_xlfn.IFS(F2208="","",F2208&lt;=5,"0 to 5",F2208&lt;=10,"5.1 to 10",F2208&lt;=20,"10 to 20", F2208&lt;= 40, "20 to 40", F2208 &lt;= 50, "40 to 50", F2208 &gt; 50, "&gt;50" )</f>
        <v>10 to 20</v>
      </c>
    </row>
    <row r="2209" spans="1:15" ht="15" customHeight="1" x14ac:dyDescent="0.3">
      <c r="A2209" t="s">
        <v>427</v>
      </c>
      <c r="B2209" s="1">
        <v>46211</v>
      </c>
      <c r="C2209" t="s">
        <v>430</v>
      </c>
      <c r="D2209">
        <v>2037</v>
      </c>
      <c r="E2209">
        <v>1</v>
      </c>
      <c r="F2209">
        <v>5.7</v>
      </c>
      <c r="G2209" t="s">
        <v>381</v>
      </c>
      <c r="H2209" t="s">
        <v>484</v>
      </c>
      <c r="I2209" t="str">
        <f t="shared" si="37"/>
        <v>2037_1</v>
      </c>
      <c r="J2209" t="s">
        <v>428</v>
      </c>
      <c r="K2209" t="s">
        <v>429</v>
      </c>
      <c r="L2209" t="str">
        <f>_xlfn.XLOOKUP(C2209, Table2[Species],Table2[Genus], "Code Not Found")</f>
        <v>Tsuga</v>
      </c>
      <c r="M2209" t="str">
        <f>_xlfn.XLOOKUP(C2209, Table2[Species],Table2[Sp. Name], "Code Not Found")</f>
        <v>canadensis</v>
      </c>
      <c r="N2209" t="str">
        <f>_xlfn.XLOOKUP(C2209,Table2[Species],Table2[Family],"Code Not Found")</f>
        <v>Pinaceae</v>
      </c>
      <c r="O2209" t="str" cm="1">
        <f t="array" ref="O2209">_xlfn.IFS(F2209="","",F2209&lt;=5,"0 to 5",F2209&lt;=10,"5.1 to 10",F2209&lt;=20,"10 to 20", F2209&lt;= 40, "20 to 40", F2209 &lt;= 50, "40 to 50", F2209 &gt; 50, "&gt;50" )</f>
        <v>5.1 to 10</v>
      </c>
    </row>
    <row r="2210" spans="1:15" ht="15" customHeight="1" x14ac:dyDescent="0.3">
      <c r="A2210" t="s">
        <v>427</v>
      </c>
      <c r="B2210" s="1">
        <v>46211</v>
      </c>
      <c r="C2210" t="s">
        <v>430</v>
      </c>
      <c r="D2210">
        <v>2038</v>
      </c>
      <c r="E2210">
        <v>1</v>
      </c>
      <c r="F2210">
        <v>8</v>
      </c>
      <c r="G2210" t="s">
        <v>104</v>
      </c>
      <c r="H2210" t="s">
        <v>99</v>
      </c>
      <c r="I2210" t="str">
        <f t="shared" si="37"/>
        <v>2038_1</v>
      </c>
      <c r="J2210" t="s">
        <v>428</v>
      </c>
      <c r="K2210" t="s">
        <v>429</v>
      </c>
      <c r="L2210" t="str">
        <f>_xlfn.XLOOKUP(C2210, Table2[Species],Table2[Genus], "Code Not Found")</f>
        <v>Tsuga</v>
      </c>
      <c r="M2210" t="str">
        <f>_xlfn.XLOOKUP(C2210, Table2[Species],Table2[Sp. Name], "Code Not Found")</f>
        <v>canadensis</v>
      </c>
      <c r="N2210" t="str">
        <f>_xlfn.XLOOKUP(C2210,Table2[Species],Table2[Family],"Code Not Found")</f>
        <v>Pinaceae</v>
      </c>
      <c r="O2210" t="str" cm="1">
        <f t="array" ref="O2210">_xlfn.IFS(F2210="","",F2210&lt;=5,"0 to 5",F2210&lt;=10,"5.1 to 10",F2210&lt;=20,"10 to 20", F2210&lt;= 40, "20 to 40", F2210 &lt;= 50, "40 to 50", F2210 &gt; 50, "&gt;50" )</f>
        <v>5.1 to 10</v>
      </c>
    </row>
    <row r="2211" spans="1:15" ht="15" customHeight="1" x14ac:dyDescent="0.3">
      <c r="A2211" t="s">
        <v>427</v>
      </c>
      <c r="B2211" s="1">
        <v>46211</v>
      </c>
      <c r="C2211" t="s">
        <v>118</v>
      </c>
      <c r="D2211">
        <v>2039</v>
      </c>
      <c r="E2211">
        <v>1</v>
      </c>
      <c r="F2211">
        <v>79.2</v>
      </c>
      <c r="G2211" t="s">
        <v>21</v>
      </c>
      <c r="I2211" t="str">
        <f t="shared" si="37"/>
        <v>2039_1</v>
      </c>
      <c r="J2211" t="s">
        <v>428</v>
      </c>
      <c r="K2211" t="s">
        <v>429</v>
      </c>
      <c r="L2211" t="str">
        <f>_xlfn.XLOOKUP(C2211, Table2[Species],Table2[Genus], "Code Not Found")</f>
        <v>Quercus</v>
      </c>
      <c r="M2211" t="str">
        <f>_xlfn.XLOOKUP(C2211, Table2[Species],Table2[Sp. Name], "Code Not Found")</f>
        <v>montana</v>
      </c>
      <c r="N2211" t="str">
        <f>_xlfn.XLOOKUP(C2211,Table2[Species],Table2[Family],"Code Not Found")</f>
        <v>Fagaceae</v>
      </c>
      <c r="O2211" t="str" cm="1">
        <f t="array" ref="O2211">_xlfn.IFS(F2211="","",F2211&lt;=5,"0 to 5",F2211&lt;=10,"5.1 to 10",F2211&lt;=20,"10 to 20", F2211&lt;= 40, "20 to 40", F2211 &lt;= 50, "40 to 50", F2211 &gt; 50, "&gt;50" )</f>
        <v>&gt;50</v>
      </c>
    </row>
    <row r="2212" spans="1:15" ht="15" customHeight="1" x14ac:dyDescent="0.3">
      <c r="A2212" t="s">
        <v>427</v>
      </c>
      <c r="B2212" s="1">
        <v>46211</v>
      </c>
      <c r="C2212" t="s">
        <v>64</v>
      </c>
      <c r="D2212">
        <v>2040</v>
      </c>
      <c r="E2212">
        <v>1</v>
      </c>
      <c r="F2212">
        <v>3.6</v>
      </c>
      <c r="G2212" t="s">
        <v>17</v>
      </c>
      <c r="I2212" t="str">
        <f t="shared" si="37"/>
        <v>2040_1</v>
      </c>
      <c r="J2212" t="s">
        <v>428</v>
      </c>
      <c r="K2212" t="s">
        <v>429</v>
      </c>
      <c r="L2212" t="str">
        <f>_xlfn.XLOOKUP(C2212, Table2[Species],Table2[Genus], "Code Not Found")</f>
        <v>Fagus</v>
      </c>
      <c r="M2212" t="str">
        <f>_xlfn.XLOOKUP(C2212, Table2[Species],Table2[Sp. Name], "Code Not Found")</f>
        <v>grandifolia</v>
      </c>
      <c r="N2212" t="str">
        <f>_xlfn.XLOOKUP(C2212,Table2[Species],Table2[Family],"Code Not Found")</f>
        <v>Fagaceae</v>
      </c>
      <c r="O2212" t="str" cm="1">
        <f t="array" ref="O2212">_xlfn.IFS(F2212="","",F2212&lt;=5,"0 to 5",F2212&lt;=10,"5.1 to 10",F2212&lt;=20,"10 to 20", F2212&lt;= 40, "20 to 40", F2212 &lt;= 50, "40 to 50", F2212 &gt; 50, "&gt;50" )</f>
        <v>0 to 5</v>
      </c>
    </row>
    <row r="2213" spans="1:15" ht="15" customHeight="1" x14ac:dyDescent="0.3">
      <c r="A2213" t="s">
        <v>427</v>
      </c>
      <c r="B2213" s="1">
        <v>46211</v>
      </c>
      <c r="C2213" t="s">
        <v>118</v>
      </c>
      <c r="D2213">
        <v>2041</v>
      </c>
      <c r="E2213">
        <v>1</v>
      </c>
      <c r="F2213">
        <v>92.3</v>
      </c>
      <c r="G2213" t="s">
        <v>17</v>
      </c>
      <c r="H2213" t="s">
        <v>485</v>
      </c>
      <c r="I2213" t="str">
        <f t="shared" si="37"/>
        <v>2041_1</v>
      </c>
      <c r="J2213" t="s">
        <v>428</v>
      </c>
      <c r="K2213" t="s">
        <v>429</v>
      </c>
      <c r="L2213" t="str">
        <f>_xlfn.XLOOKUP(C2213, Table2[Species],Table2[Genus], "Code Not Found")</f>
        <v>Quercus</v>
      </c>
      <c r="M2213" t="str">
        <f>_xlfn.XLOOKUP(C2213, Table2[Species],Table2[Sp. Name], "Code Not Found")</f>
        <v>montana</v>
      </c>
      <c r="N2213" t="str">
        <f>_xlfn.XLOOKUP(C2213,Table2[Species],Table2[Family],"Code Not Found")</f>
        <v>Fagaceae</v>
      </c>
      <c r="O2213" t="str" cm="1">
        <f t="array" ref="O2213">_xlfn.IFS(F2213="","",F2213&lt;=5,"0 to 5",F2213&lt;=10,"5.1 to 10",F2213&lt;=20,"10 to 20", F2213&lt;= 40, "20 to 40", F2213 &lt;= 50, "40 to 50", F2213 &gt; 50, "&gt;50" )</f>
        <v>&gt;50</v>
      </c>
    </row>
    <row r="2214" spans="1:15" ht="15" customHeight="1" x14ac:dyDescent="0.3">
      <c r="A2214" t="s">
        <v>427</v>
      </c>
      <c r="B2214" s="1">
        <v>46211</v>
      </c>
      <c r="C2214" t="s">
        <v>64</v>
      </c>
      <c r="D2214">
        <v>2042</v>
      </c>
      <c r="E2214">
        <v>1</v>
      </c>
      <c r="F2214">
        <v>4.9000000000000004</v>
      </c>
      <c r="G2214" t="s">
        <v>88</v>
      </c>
      <c r="H2214" t="s">
        <v>96</v>
      </c>
      <c r="I2214" t="str">
        <f t="shared" si="37"/>
        <v>2042_1</v>
      </c>
      <c r="J2214" t="s">
        <v>428</v>
      </c>
      <c r="K2214" t="s">
        <v>429</v>
      </c>
      <c r="L2214" t="str">
        <f>_xlfn.XLOOKUP(C2214, Table2[Species],Table2[Genus], "Code Not Found")</f>
        <v>Fagus</v>
      </c>
      <c r="M2214" t="str">
        <f>_xlfn.XLOOKUP(C2214, Table2[Species],Table2[Sp. Name], "Code Not Found")</f>
        <v>grandifolia</v>
      </c>
      <c r="N2214" t="str">
        <f>_xlfn.XLOOKUP(C2214,Table2[Species],Table2[Family],"Code Not Found")</f>
        <v>Fagaceae</v>
      </c>
      <c r="O2214" t="str" cm="1">
        <f t="array" ref="O2214">_xlfn.IFS(F2214="","",F2214&lt;=5,"0 to 5",F2214&lt;=10,"5.1 to 10",F2214&lt;=20,"10 to 20", F2214&lt;= 40, "20 to 40", F2214 &lt;= 50, "40 to 50", F2214 &gt; 50, "&gt;50" )</f>
        <v>0 to 5</v>
      </c>
    </row>
    <row r="2215" spans="1:15" ht="15" customHeight="1" x14ac:dyDescent="0.3">
      <c r="A2215" t="s">
        <v>427</v>
      </c>
      <c r="B2215" s="1">
        <v>46211</v>
      </c>
      <c r="C2215" t="s">
        <v>430</v>
      </c>
      <c r="D2215">
        <v>2043</v>
      </c>
      <c r="E2215">
        <v>1</v>
      </c>
      <c r="F2215">
        <v>17.2</v>
      </c>
      <c r="G2215" t="s">
        <v>47</v>
      </c>
      <c r="I2215" t="str">
        <f t="shared" si="37"/>
        <v>2043_1</v>
      </c>
      <c r="J2215" t="s">
        <v>428</v>
      </c>
      <c r="K2215" t="s">
        <v>429</v>
      </c>
      <c r="L2215" t="str">
        <f>_xlfn.XLOOKUP(C2215, Table2[Species],Table2[Genus], "Code Not Found")</f>
        <v>Tsuga</v>
      </c>
      <c r="M2215" t="str">
        <f>_xlfn.XLOOKUP(C2215, Table2[Species],Table2[Sp. Name], "Code Not Found")</f>
        <v>canadensis</v>
      </c>
      <c r="N2215" t="str">
        <f>_xlfn.XLOOKUP(C2215,Table2[Species],Table2[Family],"Code Not Found")</f>
        <v>Pinaceae</v>
      </c>
      <c r="O2215" t="str" cm="1">
        <f t="array" ref="O2215">_xlfn.IFS(F2215="","",F2215&lt;=5,"0 to 5",F2215&lt;=10,"5.1 to 10",F2215&lt;=20,"10 to 20", F2215&lt;= 40, "20 to 40", F2215 &lt;= 50, "40 to 50", F2215 &gt; 50, "&gt;50" )</f>
        <v>10 to 20</v>
      </c>
    </row>
    <row r="2216" spans="1:15" ht="15" customHeight="1" x14ac:dyDescent="0.3">
      <c r="A2216" t="s">
        <v>427</v>
      </c>
      <c r="B2216" s="1">
        <v>46211</v>
      </c>
      <c r="C2216" t="s">
        <v>430</v>
      </c>
      <c r="D2216">
        <v>2044</v>
      </c>
      <c r="E2216">
        <v>1</v>
      </c>
      <c r="F2216">
        <v>6.1</v>
      </c>
      <c r="G2216" t="s">
        <v>88</v>
      </c>
      <c r="H2216" t="s">
        <v>100</v>
      </c>
      <c r="I2216" t="str">
        <f t="shared" si="37"/>
        <v>2044_1</v>
      </c>
      <c r="J2216" t="s">
        <v>428</v>
      </c>
      <c r="K2216" t="s">
        <v>429</v>
      </c>
      <c r="L2216" t="str">
        <f>_xlfn.XLOOKUP(C2216, Table2[Species],Table2[Genus], "Code Not Found")</f>
        <v>Tsuga</v>
      </c>
      <c r="M2216" t="str">
        <f>_xlfn.XLOOKUP(C2216, Table2[Species],Table2[Sp. Name], "Code Not Found")</f>
        <v>canadensis</v>
      </c>
      <c r="N2216" t="str">
        <f>_xlfn.XLOOKUP(C2216,Table2[Species],Table2[Family],"Code Not Found")</f>
        <v>Pinaceae</v>
      </c>
      <c r="O2216" t="str" cm="1">
        <f t="array" ref="O2216">_xlfn.IFS(F2216="","",F2216&lt;=5,"0 to 5",F2216&lt;=10,"5.1 to 10",F2216&lt;=20,"10 to 20", F2216&lt;= 40, "20 to 40", F2216 &lt;= 50, "40 to 50", F2216 &gt; 50, "&gt;50" )</f>
        <v>5.1 to 10</v>
      </c>
    </row>
    <row r="2217" spans="1:15" ht="15" customHeight="1" x14ac:dyDescent="0.3">
      <c r="A2217" t="s">
        <v>427</v>
      </c>
      <c r="B2217" s="1">
        <v>46211</v>
      </c>
      <c r="C2217" t="s">
        <v>430</v>
      </c>
      <c r="D2217">
        <v>2045</v>
      </c>
      <c r="E2217">
        <v>1</v>
      </c>
      <c r="F2217">
        <v>7.7</v>
      </c>
      <c r="G2217" t="s">
        <v>47</v>
      </c>
      <c r="I2217" t="str">
        <f t="shared" si="37"/>
        <v>2045_1</v>
      </c>
      <c r="J2217" t="s">
        <v>428</v>
      </c>
      <c r="K2217" t="s">
        <v>429</v>
      </c>
      <c r="L2217" t="str">
        <f>_xlfn.XLOOKUP(C2217, Table2[Species],Table2[Genus], "Code Not Found")</f>
        <v>Tsuga</v>
      </c>
      <c r="M2217" t="str">
        <f>_xlfn.XLOOKUP(C2217, Table2[Species],Table2[Sp. Name], "Code Not Found")</f>
        <v>canadensis</v>
      </c>
      <c r="N2217" t="str">
        <f>_xlfn.XLOOKUP(C2217,Table2[Species],Table2[Family],"Code Not Found")</f>
        <v>Pinaceae</v>
      </c>
      <c r="O2217" t="str" cm="1">
        <f t="array" ref="O2217">_xlfn.IFS(F2217="","",F2217&lt;=5,"0 to 5",F2217&lt;=10,"5.1 to 10",F2217&lt;=20,"10 to 20", F2217&lt;= 40, "20 to 40", F2217 &lt;= 50, "40 to 50", F2217 &gt; 50, "&gt;50" )</f>
        <v>5.1 to 10</v>
      </c>
    </row>
    <row r="2218" spans="1:15" ht="15" customHeight="1" x14ac:dyDescent="0.3">
      <c r="A2218" t="s">
        <v>427</v>
      </c>
      <c r="B2218" s="1">
        <v>46211</v>
      </c>
      <c r="C2218" t="s">
        <v>64</v>
      </c>
      <c r="D2218">
        <v>2046</v>
      </c>
      <c r="E2218">
        <v>1</v>
      </c>
      <c r="F2218">
        <v>7.3</v>
      </c>
      <c r="G2218" t="s">
        <v>21</v>
      </c>
      <c r="I2218" t="str">
        <f t="shared" si="37"/>
        <v>2046_1</v>
      </c>
      <c r="J2218" t="s">
        <v>428</v>
      </c>
      <c r="K2218" t="s">
        <v>429</v>
      </c>
      <c r="L2218" t="str">
        <f>_xlfn.XLOOKUP(C2218, Table2[Species],Table2[Genus], "Code Not Found")</f>
        <v>Fagus</v>
      </c>
      <c r="M2218" t="str">
        <f>_xlfn.XLOOKUP(C2218, Table2[Species],Table2[Sp. Name], "Code Not Found")</f>
        <v>grandifolia</v>
      </c>
      <c r="N2218" t="str">
        <f>_xlfn.XLOOKUP(C2218,Table2[Species],Table2[Family],"Code Not Found")</f>
        <v>Fagaceae</v>
      </c>
      <c r="O2218" t="str" cm="1">
        <f t="array" ref="O2218">_xlfn.IFS(F2218="","",F2218&lt;=5,"0 to 5",F2218&lt;=10,"5.1 to 10",F2218&lt;=20,"10 to 20", F2218&lt;= 40, "20 to 40", F2218 &lt;= 50, "40 to 50", F2218 &gt; 50, "&gt;50" )</f>
        <v>5.1 to 10</v>
      </c>
    </row>
    <row r="2219" spans="1:15" ht="15" customHeight="1" x14ac:dyDescent="0.3">
      <c r="A2219" t="s">
        <v>427</v>
      </c>
      <c r="B2219" s="1">
        <v>46211</v>
      </c>
      <c r="C2219" t="s">
        <v>430</v>
      </c>
      <c r="D2219">
        <v>2047</v>
      </c>
      <c r="E2219">
        <v>1</v>
      </c>
      <c r="F2219">
        <v>7.8</v>
      </c>
      <c r="G2219" t="s">
        <v>381</v>
      </c>
      <c r="I2219" t="str">
        <f t="shared" si="37"/>
        <v>2047_1</v>
      </c>
      <c r="J2219" t="s">
        <v>428</v>
      </c>
      <c r="K2219" t="s">
        <v>429</v>
      </c>
      <c r="L2219" t="str">
        <f>_xlfn.XLOOKUP(C2219, Table2[Species],Table2[Genus], "Code Not Found")</f>
        <v>Tsuga</v>
      </c>
      <c r="M2219" t="str">
        <f>_xlfn.XLOOKUP(C2219, Table2[Species],Table2[Sp. Name], "Code Not Found")</f>
        <v>canadensis</v>
      </c>
      <c r="N2219" t="str">
        <f>_xlfn.XLOOKUP(C2219,Table2[Species],Table2[Family],"Code Not Found")</f>
        <v>Pinaceae</v>
      </c>
      <c r="O2219" t="str" cm="1">
        <f t="array" ref="O2219">_xlfn.IFS(F2219="","",F2219&lt;=5,"0 to 5",F2219&lt;=10,"5.1 to 10",F2219&lt;=20,"10 to 20", F2219&lt;= 40, "20 to 40", F2219 &lt;= 50, "40 to 50", F2219 &gt; 50, "&gt;50" )</f>
        <v>5.1 to 10</v>
      </c>
    </row>
    <row r="2220" spans="1:15" ht="15" customHeight="1" x14ac:dyDescent="0.3">
      <c r="A2220" t="s">
        <v>427</v>
      </c>
      <c r="B2220" s="1">
        <v>46211</v>
      </c>
      <c r="C2220" t="s">
        <v>430</v>
      </c>
      <c r="D2220">
        <v>2048</v>
      </c>
      <c r="E2220">
        <v>1</v>
      </c>
      <c r="F2220">
        <v>11</v>
      </c>
      <c r="G2220" t="s">
        <v>47</v>
      </c>
      <c r="H2220" t="s">
        <v>467</v>
      </c>
      <c r="I2220" t="str">
        <f t="shared" si="37"/>
        <v>2048_1</v>
      </c>
      <c r="J2220" t="s">
        <v>428</v>
      </c>
      <c r="K2220" t="s">
        <v>429</v>
      </c>
      <c r="L2220" t="str">
        <f>_xlfn.XLOOKUP(C2220, Table2[Species],Table2[Genus], "Code Not Found")</f>
        <v>Tsuga</v>
      </c>
      <c r="M2220" t="str">
        <f>_xlfn.XLOOKUP(C2220, Table2[Species],Table2[Sp. Name], "Code Not Found")</f>
        <v>canadensis</v>
      </c>
      <c r="N2220" t="str">
        <f>_xlfn.XLOOKUP(C2220,Table2[Species],Table2[Family],"Code Not Found")</f>
        <v>Pinaceae</v>
      </c>
      <c r="O2220" t="str" cm="1">
        <f t="array" ref="O2220">_xlfn.IFS(F2220="","",F2220&lt;=5,"0 to 5",F2220&lt;=10,"5.1 to 10",F2220&lt;=20,"10 to 20", F2220&lt;= 40, "20 to 40", F2220 &lt;= 50, "40 to 50", F2220 &gt; 50, "&gt;50" )</f>
        <v>10 to 20</v>
      </c>
    </row>
    <row r="2221" spans="1:15" ht="15" customHeight="1" x14ac:dyDescent="0.3">
      <c r="A2221" t="s">
        <v>427</v>
      </c>
      <c r="B2221" s="1">
        <v>46211</v>
      </c>
      <c r="C2221" t="s">
        <v>430</v>
      </c>
      <c r="D2221">
        <v>2049</v>
      </c>
      <c r="E2221">
        <v>1</v>
      </c>
      <c r="F2221">
        <v>9.6999999999999993</v>
      </c>
      <c r="G2221" t="s">
        <v>17</v>
      </c>
      <c r="H2221" t="s">
        <v>36</v>
      </c>
      <c r="I2221" t="str">
        <f t="shared" si="37"/>
        <v>2049_1</v>
      </c>
      <c r="J2221" t="s">
        <v>428</v>
      </c>
      <c r="K2221" t="s">
        <v>429</v>
      </c>
      <c r="L2221" t="str">
        <f>_xlfn.XLOOKUP(C2221, Table2[Species],Table2[Genus], "Code Not Found")</f>
        <v>Tsuga</v>
      </c>
      <c r="M2221" t="str">
        <f>_xlfn.XLOOKUP(C2221, Table2[Species],Table2[Sp. Name], "Code Not Found")</f>
        <v>canadensis</v>
      </c>
      <c r="N2221" t="str">
        <f>_xlfn.XLOOKUP(C2221,Table2[Species],Table2[Family],"Code Not Found")</f>
        <v>Pinaceae</v>
      </c>
      <c r="O2221" t="str" cm="1">
        <f t="array" ref="O2221">_xlfn.IFS(F2221="","",F2221&lt;=5,"0 to 5",F2221&lt;=10,"5.1 to 10",F2221&lt;=20,"10 to 20", F2221&lt;= 40, "20 to 40", F2221 &lt;= 50, "40 to 50", F2221 &gt; 50, "&gt;50" )</f>
        <v>5.1 to 10</v>
      </c>
    </row>
    <row r="2222" spans="1:15" ht="15" customHeight="1" x14ac:dyDescent="0.3">
      <c r="A2222" t="s">
        <v>427</v>
      </c>
      <c r="B2222" s="1">
        <v>46211</v>
      </c>
      <c r="C2222" t="s">
        <v>430</v>
      </c>
      <c r="D2222">
        <v>2050</v>
      </c>
      <c r="E2222">
        <v>1</v>
      </c>
      <c r="F2222">
        <v>3.6</v>
      </c>
      <c r="G2222" t="s">
        <v>17</v>
      </c>
      <c r="I2222" t="str">
        <f t="shared" si="37"/>
        <v>2050_1</v>
      </c>
      <c r="J2222" t="s">
        <v>428</v>
      </c>
      <c r="K2222" t="s">
        <v>429</v>
      </c>
      <c r="L2222" t="str">
        <f>_xlfn.XLOOKUP(C2222, Table2[Species],Table2[Genus], "Code Not Found")</f>
        <v>Tsuga</v>
      </c>
      <c r="M2222" t="str">
        <f>_xlfn.XLOOKUP(C2222, Table2[Species],Table2[Sp. Name], "Code Not Found")</f>
        <v>canadensis</v>
      </c>
      <c r="N2222" t="str">
        <f>_xlfn.XLOOKUP(C2222,Table2[Species],Table2[Family],"Code Not Found")</f>
        <v>Pinaceae</v>
      </c>
      <c r="O2222" t="str" cm="1">
        <f t="array" ref="O2222">_xlfn.IFS(F2222="","",F2222&lt;=5,"0 to 5",F2222&lt;=10,"5.1 to 10",F2222&lt;=20,"10 to 20", F2222&lt;= 40, "20 to 40", F2222 &lt;= 50, "40 to 50", F2222 &gt; 50, "&gt;50" )</f>
        <v>0 to 5</v>
      </c>
    </row>
    <row r="2223" spans="1:15" ht="15" customHeight="1" x14ac:dyDescent="0.3">
      <c r="A2223" t="s">
        <v>427</v>
      </c>
      <c r="B2223" s="1">
        <v>46211</v>
      </c>
      <c r="C2223" t="s">
        <v>430</v>
      </c>
      <c r="D2223">
        <v>2051</v>
      </c>
      <c r="E2223">
        <v>1</v>
      </c>
      <c r="F2223">
        <v>17.2</v>
      </c>
      <c r="G2223" t="s">
        <v>21</v>
      </c>
      <c r="I2223" t="str">
        <f t="shared" si="37"/>
        <v>2051_1</v>
      </c>
      <c r="J2223" t="s">
        <v>428</v>
      </c>
      <c r="K2223" t="s">
        <v>429</v>
      </c>
      <c r="L2223" t="str">
        <f>_xlfn.XLOOKUP(C2223, Table2[Species],Table2[Genus], "Code Not Found")</f>
        <v>Tsuga</v>
      </c>
      <c r="M2223" t="str">
        <f>_xlfn.XLOOKUP(C2223, Table2[Species],Table2[Sp. Name], "Code Not Found")</f>
        <v>canadensis</v>
      </c>
      <c r="N2223" t="str">
        <f>_xlfn.XLOOKUP(C2223,Table2[Species],Table2[Family],"Code Not Found")</f>
        <v>Pinaceae</v>
      </c>
      <c r="O2223" t="str" cm="1">
        <f t="array" ref="O2223">_xlfn.IFS(F2223="","",F2223&lt;=5,"0 to 5",F2223&lt;=10,"5.1 to 10",F2223&lt;=20,"10 to 20", F2223&lt;= 40, "20 to 40", F2223 &lt;= 50, "40 to 50", F2223 &gt; 50, "&gt;50" )</f>
        <v>10 to 20</v>
      </c>
    </row>
    <row r="2224" spans="1:15" ht="15" customHeight="1" x14ac:dyDescent="0.3">
      <c r="A2224" t="s">
        <v>427</v>
      </c>
      <c r="B2224" s="1">
        <v>46211</v>
      </c>
      <c r="C2224" t="s">
        <v>22</v>
      </c>
      <c r="D2224">
        <v>2052</v>
      </c>
      <c r="E2224">
        <v>1</v>
      </c>
      <c r="F2224">
        <v>36.700000000000003</v>
      </c>
      <c r="G2224" t="s">
        <v>21</v>
      </c>
      <c r="I2224" t="str">
        <f t="shared" ref="I2224:I2287" si="38">D2224&amp;"_"&amp;E2224</f>
        <v>2052_1</v>
      </c>
      <c r="J2224" t="s">
        <v>428</v>
      </c>
      <c r="K2224" t="s">
        <v>429</v>
      </c>
      <c r="L2224" t="str">
        <f>_xlfn.XLOOKUP(C2224, Table2[Species],Table2[Genus], "Code Not Found")</f>
        <v>Acer</v>
      </c>
      <c r="M2224" t="str">
        <f>_xlfn.XLOOKUP(C2224, Table2[Species],Table2[Sp. Name], "Code Not Found")</f>
        <v>rubrum</v>
      </c>
      <c r="N2224" t="str">
        <f>_xlfn.XLOOKUP(C2224,Table2[Species],Table2[Family],"Code Not Found")</f>
        <v>Sapindaceae</v>
      </c>
      <c r="O2224" t="str" cm="1">
        <f t="array" ref="O2224">_xlfn.IFS(F2224="","",F2224&lt;=5,"0 to 5",F2224&lt;=10,"5.1 to 10",F2224&lt;=20,"10 to 20", F2224&lt;= 40, "20 to 40", F2224 &lt;= 50, "40 to 50", F2224 &gt; 50, "&gt;50" )</f>
        <v>20 to 40</v>
      </c>
    </row>
    <row r="2225" spans="1:15" ht="15" customHeight="1" x14ac:dyDescent="0.3">
      <c r="A2225" t="s">
        <v>427</v>
      </c>
      <c r="B2225" s="1">
        <v>46211</v>
      </c>
      <c r="C2225" t="s">
        <v>430</v>
      </c>
      <c r="D2225">
        <v>2053</v>
      </c>
      <c r="E2225">
        <v>1</v>
      </c>
      <c r="F2225">
        <v>30</v>
      </c>
      <c r="G2225" t="s">
        <v>17</v>
      </c>
      <c r="I2225" t="str">
        <f t="shared" si="38"/>
        <v>2053_1</v>
      </c>
      <c r="J2225" t="s">
        <v>428</v>
      </c>
      <c r="K2225" t="s">
        <v>429</v>
      </c>
      <c r="L2225" t="str">
        <f>_xlfn.XLOOKUP(C2225, Table2[Species],Table2[Genus], "Code Not Found")</f>
        <v>Tsuga</v>
      </c>
      <c r="M2225" t="str">
        <f>_xlfn.XLOOKUP(C2225, Table2[Species],Table2[Sp. Name], "Code Not Found")</f>
        <v>canadensis</v>
      </c>
      <c r="N2225" t="str">
        <f>_xlfn.XLOOKUP(C2225,Table2[Species],Table2[Family],"Code Not Found")</f>
        <v>Pinaceae</v>
      </c>
      <c r="O2225" t="str" cm="1">
        <f t="array" ref="O2225">_xlfn.IFS(F2225="","",F2225&lt;=5,"0 to 5",F2225&lt;=10,"5.1 to 10",F2225&lt;=20,"10 to 20", F2225&lt;= 40, "20 to 40", F2225 &lt;= 50, "40 to 50", F2225 &gt; 50, "&gt;50" )</f>
        <v>20 to 40</v>
      </c>
    </row>
    <row r="2226" spans="1:15" ht="15" customHeight="1" x14ac:dyDescent="0.3">
      <c r="A2226" t="s">
        <v>427</v>
      </c>
      <c r="B2226" s="1">
        <v>46211</v>
      </c>
      <c r="C2226" t="s">
        <v>22</v>
      </c>
      <c r="D2226">
        <v>2054</v>
      </c>
      <c r="E2226">
        <v>1</v>
      </c>
      <c r="F2226">
        <v>56.6</v>
      </c>
      <c r="G2226" t="s">
        <v>21</v>
      </c>
      <c r="I2226" t="str">
        <f t="shared" si="38"/>
        <v>2054_1</v>
      </c>
      <c r="J2226" t="s">
        <v>428</v>
      </c>
      <c r="K2226" t="s">
        <v>429</v>
      </c>
      <c r="L2226" t="str">
        <f>_xlfn.XLOOKUP(C2226, Table2[Species],Table2[Genus], "Code Not Found")</f>
        <v>Acer</v>
      </c>
      <c r="M2226" t="str">
        <f>_xlfn.XLOOKUP(C2226, Table2[Species],Table2[Sp. Name], "Code Not Found")</f>
        <v>rubrum</v>
      </c>
      <c r="N2226" t="str">
        <f>_xlfn.XLOOKUP(C2226,Table2[Species],Table2[Family],"Code Not Found")</f>
        <v>Sapindaceae</v>
      </c>
      <c r="O2226" t="str" cm="1">
        <f t="array" ref="O2226">_xlfn.IFS(F2226="","",F2226&lt;=5,"0 to 5",F2226&lt;=10,"5.1 to 10",F2226&lt;=20,"10 to 20", F2226&lt;= 40, "20 to 40", F2226 &lt;= 50, "40 to 50", F2226 &gt; 50, "&gt;50" )</f>
        <v>&gt;50</v>
      </c>
    </row>
    <row r="2227" spans="1:15" ht="15" customHeight="1" x14ac:dyDescent="0.3">
      <c r="A2227" t="s">
        <v>427</v>
      </c>
      <c r="B2227" s="1">
        <v>46211</v>
      </c>
      <c r="C2227" t="s">
        <v>430</v>
      </c>
      <c r="D2227">
        <v>2055</v>
      </c>
      <c r="E2227">
        <v>1</v>
      </c>
      <c r="F2227">
        <v>15.8</v>
      </c>
      <c r="G2227" t="s">
        <v>17</v>
      </c>
      <c r="I2227" t="str">
        <f t="shared" si="38"/>
        <v>2055_1</v>
      </c>
      <c r="J2227" t="s">
        <v>428</v>
      </c>
      <c r="K2227" t="s">
        <v>429</v>
      </c>
      <c r="L2227" t="str">
        <f>_xlfn.XLOOKUP(C2227, Table2[Species],Table2[Genus], "Code Not Found")</f>
        <v>Tsuga</v>
      </c>
      <c r="M2227" t="str">
        <f>_xlfn.XLOOKUP(C2227, Table2[Species],Table2[Sp. Name], "Code Not Found")</f>
        <v>canadensis</v>
      </c>
      <c r="N2227" t="str">
        <f>_xlfn.XLOOKUP(C2227,Table2[Species],Table2[Family],"Code Not Found")</f>
        <v>Pinaceae</v>
      </c>
      <c r="O2227" t="str" cm="1">
        <f t="array" ref="O2227">_xlfn.IFS(F2227="","",F2227&lt;=5,"0 to 5",F2227&lt;=10,"5.1 to 10",F2227&lt;=20,"10 to 20", F2227&lt;= 40, "20 to 40", F2227 &lt;= 50, "40 to 50", F2227 &gt; 50, "&gt;50" )</f>
        <v>10 to 20</v>
      </c>
    </row>
    <row r="2228" spans="1:15" ht="15" customHeight="1" x14ac:dyDescent="0.3">
      <c r="A2228" t="s">
        <v>427</v>
      </c>
      <c r="B2228" s="1">
        <v>46211</v>
      </c>
      <c r="C2228" t="s">
        <v>22</v>
      </c>
      <c r="D2228">
        <v>2056</v>
      </c>
      <c r="E2228">
        <v>1</v>
      </c>
      <c r="F2228">
        <v>35.9</v>
      </c>
      <c r="G2228" t="s">
        <v>56</v>
      </c>
      <c r="H2228" t="s">
        <v>486</v>
      </c>
      <c r="I2228" t="str">
        <f t="shared" si="38"/>
        <v>2056_1</v>
      </c>
      <c r="J2228" t="s">
        <v>428</v>
      </c>
      <c r="K2228" t="s">
        <v>429</v>
      </c>
      <c r="L2228" t="str">
        <f>_xlfn.XLOOKUP(C2228, Table2[Species],Table2[Genus], "Code Not Found")</f>
        <v>Acer</v>
      </c>
      <c r="M2228" t="str">
        <f>_xlfn.XLOOKUP(C2228, Table2[Species],Table2[Sp. Name], "Code Not Found")</f>
        <v>rubrum</v>
      </c>
      <c r="N2228" t="str">
        <f>_xlfn.XLOOKUP(C2228,Table2[Species],Table2[Family],"Code Not Found")</f>
        <v>Sapindaceae</v>
      </c>
      <c r="O2228" t="str" cm="1">
        <f t="array" ref="O2228">_xlfn.IFS(F2228="","",F2228&lt;=5,"0 to 5",F2228&lt;=10,"5.1 to 10",F2228&lt;=20,"10 to 20", F2228&lt;= 40, "20 to 40", F2228 &lt;= 50, "40 to 50", F2228 &gt; 50, "&gt;50" )</f>
        <v>20 to 40</v>
      </c>
    </row>
    <row r="2229" spans="1:15" ht="15" customHeight="1" x14ac:dyDescent="0.3">
      <c r="A2229" t="s">
        <v>427</v>
      </c>
      <c r="B2229" s="1">
        <v>46211</v>
      </c>
      <c r="C2229" t="s">
        <v>430</v>
      </c>
      <c r="D2229">
        <v>2057</v>
      </c>
      <c r="E2229">
        <v>1</v>
      </c>
      <c r="F2229">
        <v>18</v>
      </c>
      <c r="G2229" t="s">
        <v>17</v>
      </c>
      <c r="H2229" t="s">
        <v>487</v>
      </c>
      <c r="I2229" t="str">
        <f t="shared" si="38"/>
        <v>2057_1</v>
      </c>
      <c r="J2229" t="s">
        <v>428</v>
      </c>
      <c r="K2229" t="s">
        <v>429</v>
      </c>
      <c r="L2229" t="str">
        <f>_xlfn.XLOOKUP(C2229, Table2[Species],Table2[Genus], "Code Not Found")</f>
        <v>Tsuga</v>
      </c>
      <c r="M2229" t="str">
        <f>_xlfn.XLOOKUP(C2229, Table2[Species],Table2[Sp. Name], "Code Not Found")</f>
        <v>canadensis</v>
      </c>
      <c r="N2229" t="str">
        <f>_xlfn.XLOOKUP(C2229,Table2[Species],Table2[Family],"Code Not Found")</f>
        <v>Pinaceae</v>
      </c>
      <c r="O2229" t="str" cm="1">
        <f t="array" ref="O2229">_xlfn.IFS(F2229="","",F2229&lt;=5,"0 to 5",F2229&lt;=10,"5.1 to 10",F2229&lt;=20,"10 to 20", F2229&lt;= 40, "20 to 40", F2229 &lt;= 50, "40 to 50", F2229 &gt; 50, "&gt;50" )</f>
        <v>10 to 20</v>
      </c>
    </row>
    <row r="2230" spans="1:15" ht="15" customHeight="1" x14ac:dyDescent="0.3">
      <c r="A2230" t="s">
        <v>427</v>
      </c>
      <c r="B2230" s="1">
        <v>46211</v>
      </c>
      <c r="C2230" t="s">
        <v>64</v>
      </c>
      <c r="D2230">
        <v>2058</v>
      </c>
      <c r="E2230">
        <v>1</v>
      </c>
      <c r="F2230">
        <v>4.5999999999999996</v>
      </c>
      <c r="G2230" t="s">
        <v>17</v>
      </c>
      <c r="H2230" t="s">
        <v>488</v>
      </c>
      <c r="I2230" t="str">
        <f t="shared" si="38"/>
        <v>2058_1</v>
      </c>
      <c r="J2230" t="s">
        <v>428</v>
      </c>
      <c r="K2230" t="s">
        <v>429</v>
      </c>
      <c r="L2230" t="str">
        <f>_xlfn.XLOOKUP(C2230, Table2[Species],Table2[Genus], "Code Not Found")</f>
        <v>Fagus</v>
      </c>
      <c r="M2230" t="str">
        <f>_xlfn.XLOOKUP(C2230, Table2[Species],Table2[Sp. Name], "Code Not Found")</f>
        <v>grandifolia</v>
      </c>
      <c r="N2230" t="str">
        <f>_xlfn.XLOOKUP(C2230,Table2[Species],Table2[Family],"Code Not Found")</f>
        <v>Fagaceae</v>
      </c>
      <c r="O2230" t="str" cm="1">
        <f t="array" ref="O2230">_xlfn.IFS(F2230="","",F2230&lt;=5,"0 to 5",F2230&lt;=10,"5.1 to 10",F2230&lt;=20,"10 to 20", F2230&lt;= 40, "20 to 40", F2230 &lt;= 50, "40 to 50", F2230 &gt; 50, "&gt;50" )</f>
        <v>0 to 5</v>
      </c>
    </row>
    <row r="2231" spans="1:15" ht="15" customHeight="1" x14ac:dyDescent="0.3">
      <c r="A2231" t="s">
        <v>427</v>
      </c>
      <c r="B2231" s="1">
        <v>46211</v>
      </c>
      <c r="C2231" t="s">
        <v>64</v>
      </c>
      <c r="D2231">
        <v>2059</v>
      </c>
      <c r="E2231">
        <v>1</v>
      </c>
      <c r="F2231">
        <v>2.4</v>
      </c>
      <c r="G2231" t="s">
        <v>47</v>
      </c>
      <c r="H2231" t="s">
        <v>296</v>
      </c>
      <c r="I2231" t="str">
        <f t="shared" si="38"/>
        <v>2059_1</v>
      </c>
      <c r="J2231" t="s">
        <v>428</v>
      </c>
      <c r="K2231" t="s">
        <v>429</v>
      </c>
      <c r="L2231" t="str">
        <f>_xlfn.XLOOKUP(C2231, Table2[Species],Table2[Genus], "Code Not Found")</f>
        <v>Fagus</v>
      </c>
      <c r="M2231" t="str">
        <f>_xlfn.XLOOKUP(C2231, Table2[Species],Table2[Sp. Name], "Code Not Found")</f>
        <v>grandifolia</v>
      </c>
      <c r="N2231" t="str">
        <f>_xlfn.XLOOKUP(C2231,Table2[Species],Table2[Family],"Code Not Found")</f>
        <v>Fagaceae</v>
      </c>
      <c r="O2231" t="str" cm="1">
        <f t="array" ref="O2231">_xlfn.IFS(F2231="","",F2231&lt;=5,"0 to 5",F2231&lt;=10,"5.1 to 10",F2231&lt;=20,"10 to 20", F2231&lt;= 40, "20 to 40", F2231 &lt;= 50, "40 to 50", F2231 &gt; 50, "&gt;50" )</f>
        <v>0 to 5</v>
      </c>
    </row>
    <row r="2232" spans="1:15" ht="15" customHeight="1" x14ac:dyDescent="0.3">
      <c r="A2232" t="s">
        <v>427</v>
      </c>
      <c r="B2232" s="1">
        <v>46211</v>
      </c>
      <c r="C2232" t="s">
        <v>64</v>
      </c>
      <c r="D2232">
        <v>2060</v>
      </c>
      <c r="E2232">
        <v>1</v>
      </c>
      <c r="F2232">
        <v>1.5</v>
      </c>
      <c r="G2232" t="s">
        <v>38</v>
      </c>
      <c r="H2232" t="s">
        <v>489</v>
      </c>
      <c r="I2232" t="str">
        <f t="shared" si="38"/>
        <v>2060_1</v>
      </c>
      <c r="J2232" t="s">
        <v>428</v>
      </c>
      <c r="K2232" t="s">
        <v>429</v>
      </c>
      <c r="L2232" t="str">
        <f>_xlfn.XLOOKUP(C2232, Table2[Species],Table2[Genus], "Code Not Found")</f>
        <v>Fagus</v>
      </c>
      <c r="M2232" t="str">
        <f>_xlfn.XLOOKUP(C2232, Table2[Species],Table2[Sp. Name], "Code Not Found")</f>
        <v>grandifolia</v>
      </c>
      <c r="N2232" t="str">
        <f>_xlfn.XLOOKUP(C2232,Table2[Species],Table2[Family],"Code Not Found")</f>
        <v>Fagaceae</v>
      </c>
      <c r="O2232" t="str" cm="1">
        <f t="array" ref="O2232">_xlfn.IFS(F2232="","",F2232&lt;=5,"0 to 5",F2232&lt;=10,"5.1 to 10",F2232&lt;=20,"10 to 20", F2232&lt;= 40, "20 to 40", F2232 &lt;= 50, "40 to 50", F2232 &gt; 50, "&gt;50" )</f>
        <v>0 to 5</v>
      </c>
    </row>
    <row r="2233" spans="1:15" ht="15" customHeight="1" x14ac:dyDescent="0.3">
      <c r="A2233" t="s">
        <v>427</v>
      </c>
      <c r="B2233" s="1">
        <v>46211</v>
      </c>
      <c r="C2233" t="s">
        <v>64</v>
      </c>
      <c r="D2233">
        <v>2061</v>
      </c>
      <c r="E2233">
        <v>1</v>
      </c>
      <c r="F2233">
        <v>3.1</v>
      </c>
      <c r="G2233" t="s">
        <v>47</v>
      </c>
      <c r="H2233" t="s">
        <v>467</v>
      </c>
      <c r="I2233" t="str">
        <f t="shared" si="38"/>
        <v>2061_1</v>
      </c>
      <c r="J2233" t="s">
        <v>428</v>
      </c>
      <c r="K2233" t="s">
        <v>429</v>
      </c>
      <c r="L2233" t="str">
        <f>_xlfn.XLOOKUP(C2233, Table2[Species],Table2[Genus], "Code Not Found")</f>
        <v>Fagus</v>
      </c>
      <c r="M2233" t="str">
        <f>_xlfn.XLOOKUP(C2233, Table2[Species],Table2[Sp. Name], "Code Not Found")</f>
        <v>grandifolia</v>
      </c>
      <c r="N2233" t="str">
        <f>_xlfn.XLOOKUP(C2233,Table2[Species],Table2[Family],"Code Not Found")</f>
        <v>Fagaceae</v>
      </c>
      <c r="O2233" t="str" cm="1">
        <f t="array" ref="O2233">_xlfn.IFS(F2233="","",F2233&lt;=5,"0 to 5",F2233&lt;=10,"5.1 to 10",F2233&lt;=20,"10 to 20", F2233&lt;= 40, "20 to 40", F2233 &lt;= 50, "40 to 50", F2233 &gt; 50, "&gt;50" )</f>
        <v>0 to 5</v>
      </c>
    </row>
    <row r="2234" spans="1:15" ht="15" customHeight="1" x14ac:dyDescent="0.3">
      <c r="A2234" t="s">
        <v>427</v>
      </c>
      <c r="B2234" s="1">
        <v>46211</v>
      </c>
      <c r="C2234" t="s">
        <v>64</v>
      </c>
      <c r="D2234">
        <v>2062</v>
      </c>
      <c r="E2234">
        <v>1</v>
      </c>
      <c r="F2234">
        <v>5.5</v>
      </c>
      <c r="G2234" t="s">
        <v>17</v>
      </c>
      <c r="I2234" t="str">
        <f t="shared" si="38"/>
        <v>2062_1</v>
      </c>
      <c r="J2234" t="s">
        <v>428</v>
      </c>
      <c r="K2234" t="s">
        <v>429</v>
      </c>
      <c r="L2234" t="str">
        <f>_xlfn.XLOOKUP(C2234, Table2[Species],Table2[Genus], "Code Not Found")</f>
        <v>Fagus</v>
      </c>
      <c r="M2234" t="str">
        <f>_xlfn.XLOOKUP(C2234, Table2[Species],Table2[Sp. Name], "Code Not Found")</f>
        <v>grandifolia</v>
      </c>
      <c r="N2234" t="str">
        <f>_xlfn.XLOOKUP(C2234,Table2[Species],Table2[Family],"Code Not Found")</f>
        <v>Fagaceae</v>
      </c>
      <c r="O2234" t="str" cm="1">
        <f t="array" ref="O2234">_xlfn.IFS(F2234="","",F2234&lt;=5,"0 to 5",F2234&lt;=10,"5.1 to 10",F2234&lt;=20,"10 to 20", F2234&lt;= 40, "20 to 40", F2234 &lt;= 50, "40 to 50", F2234 &gt; 50, "&gt;50" )</f>
        <v>5.1 to 10</v>
      </c>
    </row>
    <row r="2235" spans="1:15" ht="15" customHeight="1" x14ac:dyDescent="0.3">
      <c r="A2235" t="s">
        <v>427</v>
      </c>
      <c r="B2235" s="1">
        <v>46211</v>
      </c>
      <c r="C2235" t="s">
        <v>64</v>
      </c>
      <c r="D2235">
        <v>2063</v>
      </c>
      <c r="E2235">
        <v>1</v>
      </c>
      <c r="F2235">
        <v>17</v>
      </c>
      <c r="G2235" t="s">
        <v>490</v>
      </c>
      <c r="H2235" t="s">
        <v>491</v>
      </c>
      <c r="I2235" t="str">
        <f t="shared" si="38"/>
        <v>2063_1</v>
      </c>
      <c r="J2235" t="s">
        <v>428</v>
      </c>
      <c r="K2235" t="s">
        <v>429</v>
      </c>
      <c r="L2235" t="str">
        <f>_xlfn.XLOOKUP(C2235, Table2[Species],Table2[Genus], "Code Not Found")</f>
        <v>Fagus</v>
      </c>
      <c r="M2235" t="str">
        <f>_xlfn.XLOOKUP(C2235, Table2[Species],Table2[Sp. Name], "Code Not Found")</f>
        <v>grandifolia</v>
      </c>
      <c r="N2235" t="str">
        <f>_xlfn.XLOOKUP(C2235,Table2[Species],Table2[Family],"Code Not Found")</f>
        <v>Fagaceae</v>
      </c>
      <c r="O2235" t="str" cm="1">
        <f t="array" ref="O2235">_xlfn.IFS(F2235="","",F2235&lt;=5,"0 to 5",F2235&lt;=10,"5.1 to 10",F2235&lt;=20,"10 to 20", F2235&lt;= 40, "20 to 40", F2235 &lt;= 50, "40 to 50", F2235 &gt; 50, "&gt;50" )</f>
        <v>10 to 20</v>
      </c>
    </row>
    <row r="2236" spans="1:15" ht="15" customHeight="1" x14ac:dyDescent="0.3">
      <c r="A2236" t="s">
        <v>427</v>
      </c>
      <c r="B2236" s="1">
        <v>46211</v>
      </c>
      <c r="C2236" t="s">
        <v>64</v>
      </c>
      <c r="D2236">
        <v>2064</v>
      </c>
      <c r="E2236">
        <v>1</v>
      </c>
      <c r="F2236">
        <v>3.2</v>
      </c>
      <c r="G2236" t="s">
        <v>17</v>
      </c>
      <c r="I2236" t="str">
        <f t="shared" si="38"/>
        <v>2064_1</v>
      </c>
      <c r="J2236" t="s">
        <v>428</v>
      </c>
      <c r="K2236" t="s">
        <v>429</v>
      </c>
      <c r="L2236" t="str">
        <f>_xlfn.XLOOKUP(C2236, Table2[Species],Table2[Genus], "Code Not Found")</f>
        <v>Fagus</v>
      </c>
      <c r="M2236" t="str">
        <f>_xlfn.XLOOKUP(C2236, Table2[Species],Table2[Sp. Name], "Code Not Found")</f>
        <v>grandifolia</v>
      </c>
      <c r="N2236" t="str">
        <f>_xlfn.XLOOKUP(C2236,Table2[Species],Table2[Family],"Code Not Found")</f>
        <v>Fagaceae</v>
      </c>
      <c r="O2236" t="str" cm="1">
        <f t="array" ref="O2236">_xlfn.IFS(F2236="","",F2236&lt;=5,"0 to 5",F2236&lt;=10,"5.1 to 10",F2236&lt;=20,"10 to 20", F2236&lt;= 40, "20 to 40", F2236 &lt;= 50, "40 to 50", F2236 &gt; 50, "&gt;50" )</f>
        <v>0 to 5</v>
      </c>
    </row>
    <row r="2237" spans="1:15" ht="15" customHeight="1" x14ac:dyDescent="0.3">
      <c r="A2237" t="s">
        <v>427</v>
      </c>
      <c r="B2237" s="1">
        <v>46211</v>
      </c>
      <c r="C2237" t="s">
        <v>64</v>
      </c>
      <c r="D2237">
        <v>2065</v>
      </c>
      <c r="E2237">
        <v>1</v>
      </c>
      <c r="F2237">
        <v>71.8</v>
      </c>
      <c r="G2237" t="s">
        <v>32</v>
      </c>
      <c r="I2237" t="str">
        <f t="shared" si="38"/>
        <v>2065_1</v>
      </c>
      <c r="J2237" t="s">
        <v>428</v>
      </c>
      <c r="K2237" t="s">
        <v>429</v>
      </c>
      <c r="L2237" t="str">
        <f>_xlfn.XLOOKUP(C2237, Table2[Species],Table2[Genus], "Code Not Found")</f>
        <v>Fagus</v>
      </c>
      <c r="M2237" t="str">
        <f>_xlfn.XLOOKUP(C2237, Table2[Species],Table2[Sp. Name], "Code Not Found")</f>
        <v>grandifolia</v>
      </c>
      <c r="N2237" t="str">
        <f>_xlfn.XLOOKUP(C2237,Table2[Species],Table2[Family],"Code Not Found")</f>
        <v>Fagaceae</v>
      </c>
      <c r="O2237" t="str" cm="1">
        <f t="array" ref="O2237">_xlfn.IFS(F2237="","",F2237&lt;=5,"0 to 5",F2237&lt;=10,"5.1 to 10",F2237&lt;=20,"10 to 20", F2237&lt;= 40, "20 to 40", F2237 &lt;= 50, "40 to 50", F2237 &gt; 50, "&gt;50" )</f>
        <v>&gt;50</v>
      </c>
    </row>
    <row r="2238" spans="1:15" ht="15" customHeight="1" x14ac:dyDescent="0.3">
      <c r="A2238" t="s">
        <v>427</v>
      </c>
      <c r="B2238" s="1">
        <v>46211</v>
      </c>
      <c r="C2238" t="s">
        <v>64</v>
      </c>
      <c r="D2238">
        <v>2065</v>
      </c>
      <c r="E2238">
        <v>2</v>
      </c>
      <c r="F2238">
        <v>6.8</v>
      </c>
      <c r="G2238" t="s">
        <v>476</v>
      </c>
      <c r="H2238" t="s">
        <v>492</v>
      </c>
      <c r="I2238" t="str">
        <f t="shared" si="38"/>
        <v>2065_2</v>
      </c>
      <c r="J2238" t="s">
        <v>428</v>
      </c>
      <c r="K2238" t="s">
        <v>429</v>
      </c>
      <c r="L2238" t="str">
        <f>_xlfn.XLOOKUP(C2238, Table2[Species],Table2[Genus], "Code Not Found")</f>
        <v>Fagus</v>
      </c>
      <c r="M2238" t="str">
        <f>_xlfn.XLOOKUP(C2238, Table2[Species],Table2[Sp. Name], "Code Not Found")</f>
        <v>grandifolia</v>
      </c>
      <c r="N2238" t="str">
        <f>_xlfn.XLOOKUP(C2238,Table2[Species],Table2[Family],"Code Not Found")</f>
        <v>Fagaceae</v>
      </c>
      <c r="O2238" t="str" cm="1">
        <f t="array" ref="O2238">_xlfn.IFS(F2238="","",F2238&lt;=5,"0 to 5",F2238&lt;=10,"5.1 to 10",F2238&lt;=20,"10 to 20", F2238&lt;= 40, "20 to 40", F2238 &lt;= 50, "40 to 50", F2238 &gt; 50, "&gt;50" )</f>
        <v>5.1 to 10</v>
      </c>
    </row>
    <row r="2239" spans="1:15" ht="15" customHeight="1" x14ac:dyDescent="0.3">
      <c r="A2239" t="s">
        <v>427</v>
      </c>
      <c r="B2239" s="1">
        <v>46211</v>
      </c>
      <c r="C2239" t="s">
        <v>64</v>
      </c>
      <c r="D2239">
        <v>2065</v>
      </c>
      <c r="E2239">
        <v>3</v>
      </c>
      <c r="F2239">
        <v>5.4</v>
      </c>
      <c r="G2239" t="s">
        <v>463</v>
      </c>
      <c r="H2239" t="s">
        <v>435</v>
      </c>
      <c r="I2239" t="str">
        <f t="shared" si="38"/>
        <v>2065_3</v>
      </c>
      <c r="J2239" t="s">
        <v>428</v>
      </c>
      <c r="K2239" t="s">
        <v>429</v>
      </c>
      <c r="L2239" t="str">
        <f>_xlfn.XLOOKUP(C2239, Table2[Species],Table2[Genus], "Code Not Found")</f>
        <v>Fagus</v>
      </c>
      <c r="M2239" t="str">
        <f>_xlfn.XLOOKUP(C2239, Table2[Species],Table2[Sp. Name], "Code Not Found")</f>
        <v>grandifolia</v>
      </c>
      <c r="N2239" t="str">
        <f>_xlfn.XLOOKUP(C2239,Table2[Species],Table2[Family],"Code Not Found")</f>
        <v>Fagaceae</v>
      </c>
      <c r="O2239" t="str" cm="1">
        <f t="array" ref="O2239">_xlfn.IFS(F2239="","",F2239&lt;=5,"0 to 5",F2239&lt;=10,"5.1 to 10",F2239&lt;=20,"10 to 20", F2239&lt;= 40, "20 to 40", F2239 &lt;= 50, "40 to 50", F2239 &gt; 50, "&gt;50" )</f>
        <v>5.1 to 10</v>
      </c>
    </row>
    <row r="2240" spans="1:15" ht="15" customHeight="1" x14ac:dyDescent="0.3">
      <c r="A2240" t="s">
        <v>427</v>
      </c>
      <c r="B2240" s="1">
        <v>46211</v>
      </c>
      <c r="C2240" t="s">
        <v>64</v>
      </c>
      <c r="D2240">
        <v>2065</v>
      </c>
      <c r="E2240">
        <v>4</v>
      </c>
      <c r="F2240">
        <v>3.5</v>
      </c>
      <c r="G2240" t="s">
        <v>461</v>
      </c>
      <c r="H2240" t="s">
        <v>493</v>
      </c>
      <c r="I2240" t="str">
        <f t="shared" si="38"/>
        <v>2065_4</v>
      </c>
      <c r="J2240" t="s">
        <v>428</v>
      </c>
      <c r="K2240" t="s">
        <v>429</v>
      </c>
      <c r="L2240" t="str">
        <f>_xlfn.XLOOKUP(C2240, Table2[Species],Table2[Genus], "Code Not Found")</f>
        <v>Fagus</v>
      </c>
      <c r="M2240" t="str">
        <f>_xlfn.XLOOKUP(C2240, Table2[Species],Table2[Sp. Name], "Code Not Found")</f>
        <v>grandifolia</v>
      </c>
      <c r="N2240" t="str">
        <f>_xlfn.XLOOKUP(C2240,Table2[Species],Table2[Family],"Code Not Found")</f>
        <v>Fagaceae</v>
      </c>
      <c r="O2240" t="str" cm="1">
        <f t="array" ref="O2240">_xlfn.IFS(F2240="","",F2240&lt;=5,"0 to 5",F2240&lt;=10,"5.1 to 10",F2240&lt;=20,"10 to 20", F2240&lt;= 40, "20 to 40", F2240 &lt;= 50, "40 to 50", F2240 &gt; 50, "&gt;50" )</f>
        <v>0 to 5</v>
      </c>
    </row>
    <row r="2241" spans="1:15" ht="15" customHeight="1" x14ac:dyDescent="0.3">
      <c r="A2241" t="s">
        <v>427</v>
      </c>
      <c r="B2241" s="1">
        <v>46211</v>
      </c>
      <c r="C2241" t="s">
        <v>64</v>
      </c>
      <c r="D2241">
        <v>2065</v>
      </c>
      <c r="E2241">
        <v>5</v>
      </c>
      <c r="F2241">
        <v>2.7</v>
      </c>
      <c r="G2241" t="s">
        <v>494</v>
      </c>
      <c r="H2241" t="s">
        <v>492</v>
      </c>
      <c r="I2241" t="str">
        <f t="shared" si="38"/>
        <v>2065_5</v>
      </c>
      <c r="J2241" t="s">
        <v>428</v>
      </c>
      <c r="K2241" t="s">
        <v>429</v>
      </c>
      <c r="L2241" t="str">
        <f>_xlfn.XLOOKUP(C2241, Table2[Species],Table2[Genus], "Code Not Found")</f>
        <v>Fagus</v>
      </c>
      <c r="M2241" t="str">
        <f>_xlfn.XLOOKUP(C2241, Table2[Species],Table2[Sp. Name], "Code Not Found")</f>
        <v>grandifolia</v>
      </c>
      <c r="N2241" t="str">
        <f>_xlfn.XLOOKUP(C2241,Table2[Species],Table2[Family],"Code Not Found")</f>
        <v>Fagaceae</v>
      </c>
      <c r="O2241" t="str" cm="1">
        <f t="array" ref="O2241">_xlfn.IFS(F2241="","",F2241&lt;=5,"0 to 5",F2241&lt;=10,"5.1 to 10",F2241&lt;=20,"10 to 20", F2241&lt;= 40, "20 to 40", F2241 &lt;= 50, "40 to 50", F2241 &gt; 50, "&gt;50" )</f>
        <v>0 to 5</v>
      </c>
    </row>
    <row r="2242" spans="1:15" ht="15" customHeight="1" x14ac:dyDescent="0.3">
      <c r="A2242" t="s">
        <v>427</v>
      </c>
      <c r="B2242" s="1">
        <v>46211</v>
      </c>
      <c r="C2242" t="s">
        <v>64</v>
      </c>
      <c r="D2242">
        <v>2065</v>
      </c>
      <c r="E2242">
        <v>6</v>
      </c>
      <c r="F2242">
        <v>6.8</v>
      </c>
      <c r="G2242" t="s">
        <v>461</v>
      </c>
      <c r="H2242" t="s">
        <v>36</v>
      </c>
      <c r="I2242" t="str">
        <f t="shared" si="38"/>
        <v>2065_6</v>
      </c>
      <c r="J2242" t="s">
        <v>428</v>
      </c>
      <c r="K2242" t="s">
        <v>429</v>
      </c>
      <c r="L2242" t="str">
        <f>_xlfn.XLOOKUP(C2242, Table2[Species],Table2[Genus], "Code Not Found")</f>
        <v>Fagus</v>
      </c>
      <c r="M2242" t="str">
        <f>_xlfn.XLOOKUP(C2242, Table2[Species],Table2[Sp. Name], "Code Not Found")</f>
        <v>grandifolia</v>
      </c>
      <c r="N2242" t="str">
        <f>_xlfn.XLOOKUP(C2242,Table2[Species],Table2[Family],"Code Not Found")</f>
        <v>Fagaceae</v>
      </c>
      <c r="O2242" t="str" cm="1">
        <f t="array" ref="O2242">_xlfn.IFS(F2242="","",F2242&lt;=5,"0 to 5",F2242&lt;=10,"5.1 to 10",F2242&lt;=20,"10 to 20", F2242&lt;= 40, "20 to 40", F2242 &lt;= 50, "40 to 50", F2242 &gt; 50, "&gt;50" )</f>
        <v>5.1 to 10</v>
      </c>
    </row>
    <row r="2243" spans="1:15" ht="15" customHeight="1" x14ac:dyDescent="0.3">
      <c r="A2243" t="s">
        <v>427</v>
      </c>
      <c r="B2243" s="1">
        <v>46211</v>
      </c>
      <c r="C2243" t="s">
        <v>64</v>
      </c>
      <c r="D2243">
        <v>2066</v>
      </c>
      <c r="E2243">
        <v>1</v>
      </c>
      <c r="F2243">
        <v>3.7</v>
      </c>
      <c r="G2243" t="s">
        <v>21</v>
      </c>
      <c r="H2243" t="s">
        <v>495</v>
      </c>
      <c r="I2243" t="str">
        <f t="shared" si="38"/>
        <v>2066_1</v>
      </c>
      <c r="J2243" t="s">
        <v>428</v>
      </c>
      <c r="K2243" t="s">
        <v>429</v>
      </c>
      <c r="L2243" t="str">
        <f>_xlfn.XLOOKUP(C2243, Table2[Species],Table2[Genus], "Code Not Found")</f>
        <v>Fagus</v>
      </c>
      <c r="M2243" t="str">
        <f>_xlfn.XLOOKUP(C2243, Table2[Species],Table2[Sp. Name], "Code Not Found")</f>
        <v>grandifolia</v>
      </c>
      <c r="N2243" t="str">
        <f>_xlfn.XLOOKUP(C2243,Table2[Species],Table2[Family],"Code Not Found")</f>
        <v>Fagaceae</v>
      </c>
      <c r="O2243" t="str" cm="1">
        <f t="array" ref="O2243">_xlfn.IFS(F2243="","",F2243&lt;=5,"0 to 5",F2243&lt;=10,"5.1 to 10",F2243&lt;=20,"10 to 20", F2243&lt;= 40, "20 to 40", F2243 &lt;= 50, "40 to 50", F2243 &gt; 50, "&gt;50" )</f>
        <v>0 to 5</v>
      </c>
    </row>
    <row r="2244" spans="1:15" ht="15" customHeight="1" x14ac:dyDescent="0.3">
      <c r="A2244" t="s">
        <v>427</v>
      </c>
      <c r="B2244" s="1">
        <v>46211</v>
      </c>
      <c r="C2244" t="s">
        <v>22</v>
      </c>
      <c r="D2244">
        <v>2067</v>
      </c>
      <c r="E2244">
        <v>1</v>
      </c>
      <c r="F2244">
        <v>12.6</v>
      </c>
      <c r="G2244" t="s">
        <v>21</v>
      </c>
      <c r="I2244" t="str">
        <f t="shared" si="38"/>
        <v>2067_1</v>
      </c>
      <c r="J2244" t="s">
        <v>428</v>
      </c>
      <c r="K2244" t="s">
        <v>429</v>
      </c>
      <c r="L2244" t="str">
        <f>_xlfn.XLOOKUP(C2244, Table2[Species],Table2[Genus], "Code Not Found")</f>
        <v>Acer</v>
      </c>
      <c r="M2244" t="str">
        <f>_xlfn.XLOOKUP(C2244, Table2[Species],Table2[Sp. Name], "Code Not Found")</f>
        <v>rubrum</v>
      </c>
      <c r="N2244" t="str">
        <f>_xlfn.XLOOKUP(C2244,Table2[Species],Table2[Family],"Code Not Found")</f>
        <v>Sapindaceae</v>
      </c>
      <c r="O2244" t="str" cm="1">
        <f t="array" ref="O2244">_xlfn.IFS(F2244="","",F2244&lt;=5,"0 to 5",F2244&lt;=10,"5.1 to 10",F2244&lt;=20,"10 to 20", F2244&lt;= 40, "20 to 40", F2244 &lt;= 50, "40 to 50", F2244 &gt; 50, "&gt;50" )</f>
        <v>10 to 20</v>
      </c>
    </row>
    <row r="2245" spans="1:15" ht="15" customHeight="1" x14ac:dyDescent="0.3">
      <c r="A2245" t="s">
        <v>427</v>
      </c>
      <c r="B2245" s="1">
        <v>46211</v>
      </c>
      <c r="C2245" t="s">
        <v>64</v>
      </c>
      <c r="D2245">
        <v>2068</v>
      </c>
      <c r="E2245">
        <v>1</v>
      </c>
      <c r="F2245">
        <v>8.6999999999999993</v>
      </c>
      <c r="G2245" t="s">
        <v>47</v>
      </c>
      <c r="I2245" t="str">
        <f t="shared" si="38"/>
        <v>2068_1</v>
      </c>
      <c r="J2245" t="s">
        <v>428</v>
      </c>
      <c r="K2245" t="s">
        <v>429</v>
      </c>
      <c r="L2245" t="str">
        <f>_xlfn.XLOOKUP(C2245, Table2[Species],Table2[Genus], "Code Not Found")</f>
        <v>Fagus</v>
      </c>
      <c r="M2245" t="str">
        <f>_xlfn.XLOOKUP(C2245, Table2[Species],Table2[Sp. Name], "Code Not Found")</f>
        <v>grandifolia</v>
      </c>
      <c r="N2245" t="str">
        <f>_xlfn.XLOOKUP(C2245,Table2[Species],Table2[Family],"Code Not Found")</f>
        <v>Fagaceae</v>
      </c>
      <c r="O2245" t="str" cm="1">
        <f t="array" ref="O2245">_xlfn.IFS(F2245="","",F2245&lt;=5,"0 to 5",F2245&lt;=10,"5.1 to 10",F2245&lt;=20,"10 to 20", F2245&lt;= 40, "20 to 40", F2245 &lt;= 50, "40 to 50", F2245 &gt; 50, "&gt;50" )</f>
        <v>5.1 to 10</v>
      </c>
    </row>
    <row r="2246" spans="1:15" ht="15" customHeight="1" x14ac:dyDescent="0.3">
      <c r="A2246" t="s">
        <v>427</v>
      </c>
      <c r="B2246" s="1">
        <v>46211</v>
      </c>
      <c r="C2246" t="s">
        <v>64</v>
      </c>
      <c r="D2246">
        <v>2069</v>
      </c>
      <c r="E2246">
        <v>1</v>
      </c>
      <c r="F2246">
        <v>7.7</v>
      </c>
      <c r="G2246" t="s">
        <v>21</v>
      </c>
      <c r="I2246" t="str">
        <f t="shared" si="38"/>
        <v>2069_1</v>
      </c>
      <c r="J2246" t="s">
        <v>428</v>
      </c>
      <c r="K2246" t="s">
        <v>429</v>
      </c>
      <c r="L2246" t="str">
        <f>_xlfn.XLOOKUP(C2246, Table2[Species],Table2[Genus], "Code Not Found")</f>
        <v>Fagus</v>
      </c>
      <c r="M2246" t="str">
        <f>_xlfn.XLOOKUP(C2246, Table2[Species],Table2[Sp. Name], "Code Not Found")</f>
        <v>grandifolia</v>
      </c>
      <c r="N2246" t="str">
        <f>_xlfn.XLOOKUP(C2246,Table2[Species],Table2[Family],"Code Not Found")</f>
        <v>Fagaceae</v>
      </c>
      <c r="O2246" t="str" cm="1">
        <f t="array" ref="O2246">_xlfn.IFS(F2246="","",F2246&lt;=5,"0 to 5",F2246&lt;=10,"5.1 to 10",F2246&lt;=20,"10 to 20", F2246&lt;= 40, "20 to 40", F2246 &lt;= 50, "40 to 50", F2246 &gt; 50, "&gt;50" )</f>
        <v>5.1 to 10</v>
      </c>
    </row>
    <row r="2247" spans="1:15" ht="15" customHeight="1" x14ac:dyDescent="0.3">
      <c r="A2247" t="s">
        <v>427</v>
      </c>
      <c r="B2247" s="1">
        <v>46211</v>
      </c>
      <c r="C2247" t="s">
        <v>430</v>
      </c>
      <c r="D2247">
        <v>2070</v>
      </c>
      <c r="E2247">
        <v>1</v>
      </c>
      <c r="F2247">
        <v>29.8</v>
      </c>
      <c r="G2247" t="s">
        <v>17</v>
      </c>
      <c r="I2247" t="str">
        <f t="shared" si="38"/>
        <v>2070_1</v>
      </c>
      <c r="J2247" t="s">
        <v>428</v>
      </c>
      <c r="K2247" t="s">
        <v>429</v>
      </c>
      <c r="L2247" t="str">
        <f>_xlfn.XLOOKUP(C2247, Table2[Species],Table2[Genus], "Code Not Found")</f>
        <v>Tsuga</v>
      </c>
      <c r="M2247" t="str">
        <f>_xlfn.XLOOKUP(C2247, Table2[Species],Table2[Sp. Name], "Code Not Found")</f>
        <v>canadensis</v>
      </c>
      <c r="N2247" t="str">
        <f>_xlfn.XLOOKUP(C2247,Table2[Species],Table2[Family],"Code Not Found")</f>
        <v>Pinaceae</v>
      </c>
      <c r="O2247" t="str" cm="1">
        <f t="array" ref="O2247">_xlfn.IFS(F2247="","",F2247&lt;=5,"0 to 5",F2247&lt;=10,"5.1 to 10",F2247&lt;=20,"10 to 20", F2247&lt;= 40, "20 to 40", F2247 &lt;= 50, "40 to 50", F2247 &gt; 50, "&gt;50" )</f>
        <v>20 to 40</v>
      </c>
    </row>
    <row r="2248" spans="1:15" ht="15" customHeight="1" x14ac:dyDescent="0.3">
      <c r="A2248" t="s">
        <v>427</v>
      </c>
      <c r="B2248" s="1">
        <v>46211</v>
      </c>
      <c r="C2248" t="s">
        <v>430</v>
      </c>
      <c r="D2248">
        <v>2071</v>
      </c>
      <c r="E2248">
        <v>1</v>
      </c>
      <c r="F2248">
        <v>7.2</v>
      </c>
      <c r="G2248" t="s">
        <v>47</v>
      </c>
      <c r="I2248" t="str">
        <f t="shared" si="38"/>
        <v>2071_1</v>
      </c>
      <c r="J2248" t="s">
        <v>428</v>
      </c>
      <c r="K2248" t="s">
        <v>429</v>
      </c>
      <c r="L2248" t="str">
        <f>_xlfn.XLOOKUP(C2248, Table2[Species],Table2[Genus], "Code Not Found")</f>
        <v>Tsuga</v>
      </c>
      <c r="M2248" t="str">
        <f>_xlfn.XLOOKUP(C2248, Table2[Species],Table2[Sp. Name], "Code Not Found")</f>
        <v>canadensis</v>
      </c>
      <c r="N2248" t="str">
        <f>_xlfn.XLOOKUP(C2248,Table2[Species],Table2[Family],"Code Not Found")</f>
        <v>Pinaceae</v>
      </c>
      <c r="O2248" t="str" cm="1">
        <f t="array" ref="O2248">_xlfn.IFS(F2248="","",F2248&lt;=5,"0 to 5",F2248&lt;=10,"5.1 to 10",F2248&lt;=20,"10 to 20", F2248&lt;= 40, "20 to 40", F2248 &lt;= 50, "40 to 50", F2248 &gt; 50, "&gt;50" )</f>
        <v>5.1 to 10</v>
      </c>
    </row>
    <row r="2249" spans="1:15" ht="15" customHeight="1" x14ac:dyDescent="0.3">
      <c r="A2249" t="s">
        <v>427</v>
      </c>
      <c r="B2249" s="1">
        <v>46211</v>
      </c>
      <c r="C2249" t="s">
        <v>16</v>
      </c>
      <c r="D2249">
        <v>2072</v>
      </c>
      <c r="E2249">
        <v>1</v>
      </c>
      <c r="F2249">
        <v>4.2</v>
      </c>
      <c r="G2249" t="s">
        <v>47</v>
      </c>
      <c r="H2249" t="s">
        <v>488</v>
      </c>
      <c r="I2249" t="str">
        <f t="shared" si="38"/>
        <v>2072_1</v>
      </c>
      <c r="J2249" t="s">
        <v>428</v>
      </c>
      <c r="K2249" t="s">
        <v>429</v>
      </c>
      <c r="L2249" t="str">
        <f>_xlfn.XLOOKUP(C2249, Table2[Species],Table2[Genus], "Code Not Found")</f>
        <v>Acer</v>
      </c>
      <c r="M2249" t="str">
        <f>_xlfn.XLOOKUP(C2249, Table2[Species],Table2[Sp. Name], "Code Not Found")</f>
        <v>saccharum</v>
      </c>
      <c r="N2249" t="str">
        <f>_xlfn.XLOOKUP(C2249,Table2[Species],Table2[Family],"Code Not Found")</f>
        <v>Sapindaceae</v>
      </c>
      <c r="O2249" t="str" cm="1">
        <f t="array" ref="O2249">_xlfn.IFS(F2249="","",F2249&lt;=5,"0 to 5",F2249&lt;=10,"5.1 to 10",F2249&lt;=20,"10 to 20", F2249&lt;= 40, "20 to 40", F2249 &lt;= 50, "40 to 50", F2249 &gt; 50, "&gt;50" )</f>
        <v>0 to 5</v>
      </c>
    </row>
    <row r="2250" spans="1:15" ht="15" customHeight="1" x14ac:dyDescent="0.3">
      <c r="A2250" t="s">
        <v>427</v>
      </c>
      <c r="B2250" s="1">
        <v>46211</v>
      </c>
      <c r="C2250" t="s">
        <v>64</v>
      </c>
      <c r="D2250">
        <v>2073</v>
      </c>
      <c r="E2250">
        <v>1</v>
      </c>
      <c r="F2250">
        <v>4</v>
      </c>
      <c r="G2250" t="s">
        <v>17</v>
      </c>
      <c r="I2250" t="str">
        <f t="shared" si="38"/>
        <v>2073_1</v>
      </c>
      <c r="J2250" t="s">
        <v>428</v>
      </c>
      <c r="K2250" t="s">
        <v>429</v>
      </c>
      <c r="L2250" t="str">
        <f>_xlfn.XLOOKUP(C2250, Table2[Species],Table2[Genus], "Code Not Found")</f>
        <v>Fagus</v>
      </c>
      <c r="M2250" t="str">
        <f>_xlfn.XLOOKUP(C2250, Table2[Species],Table2[Sp. Name], "Code Not Found")</f>
        <v>grandifolia</v>
      </c>
      <c r="N2250" t="str">
        <f>_xlfn.XLOOKUP(C2250,Table2[Species],Table2[Family],"Code Not Found")</f>
        <v>Fagaceae</v>
      </c>
      <c r="O2250" t="str" cm="1">
        <f t="array" ref="O2250">_xlfn.IFS(F2250="","",F2250&lt;=5,"0 to 5",F2250&lt;=10,"5.1 to 10",F2250&lt;=20,"10 to 20", F2250&lt;= 40, "20 to 40", F2250 &lt;= 50, "40 to 50", F2250 &gt; 50, "&gt;50" )</f>
        <v>0 to 5</v>
      </c>
    </row>
    <row r="2251" spans="1:15" ht="15" customHeight="1" x14ac:dyDescent="0.3">
      <c r="A2251" t="s">
        <v>427</v>
      </c>
      <c r="B2251" s="1">
        <v>46211</v>
      </c>
      <c r="C2251" t="s">
        <v>430</v>
      </c>
      <c r="D2251">
        <v>2074</v>
      </c>
      <c r="E2251">
        <v>1</v>
      </c>
      <c r="F2251">
        <v>12.3</v>
      </c>
      <c r="G2251" t="s">
        <v>17</v>
      </c>
      <c r="H2251" t="s">
        <v>496</v>
      </c>
      <c r="I2251" t="str">
        <f t="shared" si="38"/>
        <v>2074_1</v>
      </c>
      <c r="J2251" t="s">
        <v>428</v>
      </c>
      <c r="K2251" t="s">
        <v>429</v>
      </c>
      <c r="L2251" t="str">
        <f>_xlfn.XLOOKUP(C2251, Table2[Species],Table2[Genus], "Code Not Found")</f>
        <v>Tsuga</v>
      </c>
      <c r="M2251" t="str">
        <f>_xlfn.XLOOKUP(C2251, Table2[Species],Table2[Sp. Name], "Code Not Found")</f>
        <v>canadensis</v>
      </c>
      <c r="N2251" t="str">
        <f>_xlfn.XLOOKUP(C2251,Table2[Species],Table2[Family],"Code Not Found")</f>
        <v>Pinaceae</v>
      </c>
      <c r="O2251" t="str" cm="1">
        <f t="array" ref="O2251">_xlfn.IFS(F2251="","",F2251&lt;=5,"0 to 5",F2251&lt;=10,"5.1 to 10",F2251&lt;=20,"10 to 20", F2251&lt;= 40, "20 to 40", F2251 &lt;= 50, "40 to 50", F2251 &gt; 50, "&gt;50" )</f>
        <v>10 to 20</v>
      </c>
    </row>
    <row r="2252" spans="1:15" ht="15" customHeight="1" x14ac:dyDescent="0.3">
      <c r="A2252" t="s">
        <v>427</v>
      </c>
      <c r="B2252" s="1">
        <v>46211</v>
      </c>
      <c r="C2252" t="s">
        <v>64</v>
      </c>
      <c r="D2252">
        <v>2075</v>
      </c>
      <c r="E2252">
        <v>1</v>
      </c>
      <c r="F2252">
        <v>7</v>
      </c>
      <c r="G2252" t="s">
        <v>17</v>
      </c>
      <c r="I2252" t="str">
        <f t="shared" si="38"/>
        <v>2075_1</v>
      </c>
      <c r="J2252" t="s">
        <v>428</v>
      </c>
      <c r="K2252" t="s">
        <v>429</v>
      </c>
      <c r="L2252" t="str">
        <f>_xlfn.XLOOKUP(C2252, Table2[Species],Table2[Genus], "Code Not Found")</f>
        <v>Fagus</v>
      </c>
      <c r="M2252" t="str">
        <f>_xlfn.XLOOKUP(C2252, Table2[Species],Table2[Sp. Name], "Code Not Found")</f>
        <v>grandifolia</v>
      </c>
      <c r="N2252" t="str">
        <f>_xlfn.XLOOKUP(C2252,Table2[Species],Table2[Family],"Code Not Found")</f>
        <v>Fagaceae</v>
      </c>
      <c r="O2252" t="str" cm="1">
        <f t="array" ref="O2252">_xlfn.IFS(F2252="","",F2252&lt;=5,"0 to 5",F2252&lt;=10,"5.1 to 10",F2252&lt;=20,"10 to 20", F2252&lt;= 40, "20 to 40", F2252 &lt;= 50, "40 to 50", F2252 &gt; 50, "&gt;50" )</f>
        <v>5.1 to 10</v>
      </c>
    </row>
    <row r="2253" spans="1:15" ht="15" customHeight="1" x14ac:dyDescent="0.3">
      <c r="A2253" t="s">
        <v>427</v>
      </c>
      <c r="B2253" s="1">
        <v>46211</v>
      </c>
      <c r="C2253" t="s">
        <v>64</v>
      </c>
      <c r="D2253">
        <v>2076</v>
      </c>
      <c r="E2253">
        <v>1</v>
      </c>
      <c r="F2253">
        <v>11.4</v>
      </c>
      <c r="G2253" t="s">
        <v>47</v>
      </c>
      <c r="H2253" t="s">
        <v>497</v>
      </c>
      <c r="I2253" t="str">
        <f t="shared" si="38"/>
        <v>2076_1</v>
      </c>
      <c r="J2253" t="s">
        <v>428</v>
      </c>
      <c r="K2253" t="s">
        <v>429</v>
      </c>
      <c r="L2253" t="str">
        <f>_xlfn.XLOOKUP(C2253, Table2[Species],Table2[Genus], "Code Not Found")</f>
        <v>Fagus</v>
      </c>
      <c r="M2253" t="str">
        <f>_xlfn.XLOOKUP(C2253, Table2[Species],Table2[Sp. Name], "Code Not Found")</f>
        <v>grandifolia</v>
      </c>
      <c r="N2253" t="str">
        <f>_xlfn.XLOOKUP(C2253,Table2[Species],Table2[Family],"Code Not Found")</f>
        <v>Fagaceae</v>
      </c>
      <c r="O2253" t="str" cm="1">
        <f t="array" ref="O2253">_xlfn.IFS(F2253="","",F2253&lt;=5,"0 to 5",F2253&lt;=10,"5.1 to 10",F2253&lt;=20,"10 to 20", F2253&lt;= 40, "20 to 40", F2253 &lt;= 50, "40 to 50", F2253 &gt; 50, "&gt;50" )</f>
        <v>10 to 20</v>
      </c>
    </row>
    <row r="2254" spans="1:15" ht="15" customHeight="1" x14ac:dyDescent="0.3">
      <c r="A2254" t="s">
        <v>427</v>
      </c>
      <c r="B2254" s="1">
        <v>46211</v>
      </c>
      <c r="C2254" t="s">
        <v>430</v>
      </c>
      <c r="D2254">
        <v>2077</v>
      </c>
      <c r="E2254">
        <v>1</v>
      </c>
      <c r="F2254">
        <v>18.5</v>
      </c>
      <c r="G2254" t="s">
        <v>54</v>
      </c>
      <c r="I2254" t="str">
        <f t="shared" si="38"/>
        <v>2077_1</v>
      </c>
      <c r="J2254" t="s">
        <v>428</v>
      </c>
      <c r="K2254" t="s">
        <v>429</v>
      </c>
      <c r="L2254" t="str">
        <f>_xlfn.XLOOKUP(C2254, Table2[Species],Table2[Genus], "Code Not Found")</f>
        <v>Tsuga</v>
      </c>
      <c r="M2254" t="str">
        <f>_xlfn.XLOOKUP(C2254, Table2[Species],Table2[Sp. Name], "Code Not Found")</f>
        <v>canadensis</v>
      </c>
      <c r="N2254" t="str">
        <f>_xlfn.XLOOKUP(C2254,Table2[Species],Table2[Family],"Code Not Found")</f>
        <v>Pinaceae</v>
      </c>
      <c r="O2254" t="str" cm="1">
        <f t="array" ref="O2254">_xlfn.IFS(F2254="","",F2254&lt;=5,"0 to 5",F2254&lt;=10,"5.1 to 10",F2254&lt;=20,"10 to 20", F2254&lt;= 40, "20 to 40", F2254 &lt;= 50, "40 to 50", F2254 &gt; 50, "&gt;50" )</f>
        <v>10 to 20</v>
      </c>
    </row>
    <row r="2255" spans="1:15" ht="15" customHeight="1" x14ac:dyDescent="0.3">
      <c r="A2255" t="s">
        <v>427</v>
      </c>
      <c r="B2255" s="1">
        <v>46211</v>
      </c>
      <c r="C2255" t="s">
        <v>430</v>
      </c>
      <c r="D2255">
        <v>2078</v>
      </c>
      <c r="E2255">
        <v>1</v>
      </c>
      <c r="F2255">
        <v>18</v>
      </c>
      <c r="G2255" t="s">
        <v>54</v>
      </c>
      <c r="I2255" t="str">
        <f t="shared" si="38"/>
        <v>2078_1</v>
      </c>
      <c r="J2255" t="s">
        <v>428</v>
      </c>
      <c r="K2255" t="s">
        <v>429</v>
      </c>
      <c r="L2255" t="str">
        <f>_xlfn.XLOOKUP(C2255, Table2[Species],Table2[Genus], "Code Not Found")</f>
        <v>Tsuga</v>
      </c>
      <c r="M2255" t="str">
        <f>_xlfn.XLOOKUP(C2255, Table2[Species],Table2[Sp. Name], "Code Not Found")</f>
        <v>canadensis</v>
      </c>
      <c r="N2255" t="str">
        <f>_xlfn.XLOOKUP(C2255,Table2[Species],Table2[Family],"Code Not Found")</f>
        <v>Pinaceae</v>
      </c>
      <c r="O2255" t="str" cm="1">
        <f t="array" ref="O2255">_xlfn.IFS(F2255="","",F2255&lt;=5,"0 to 5",F2255&lt;=10,"5.1 to 10",F2255&lt;=20,"10 to 20", F2255&lt;= 40, "20 to 40", F2255 &lt;= 50, "40 to 50", F2255 &gt; 50, "&gt;50" )</f>
        <v>10 to 20</v>
      </c>
    </row>
    <row r="2256" spans="1:15" ht="15" customHeight="1" x14ac:dyDescent="0.3">
      <c r="A2256" t="s">
        <v>498</v>
      </c>
      <c r="B2256" s="1">
        <v>46211</v>
      </c>
      <c r="C2256" t="s">
        <v>430</v>
      </c>
      <c r="D2256">
        <v>2079</v>
      </c>
      <c r="E2256">
        <v>1</v>
      </c>
      <c r="F2256">
        <v>7.9</v>
      </c>
      <c r="G2256" t="s">
        <v>17</v>
      </c>
      <c r="H2256" t="s">
        <v>435</v>
      </c>
      <c r="I2256" t="str">
        <f t="shared" si="38"/>
        <v>2079_1</v>
      </c>
      <c r="J2256" t="s">
        <v>428</v>
      </c>
      <c r="K2256" t="s">
        <v>429</v>
      </c>
      <c r="L2256" t="str">
        <f>_xlfn.XLOOKUP(C2256, Table2[Species],Table2[Genus], "Code Not Found")</f>
        <v>Tsuga</v>
      </c>
      <c r="M2256" t="str">
        <f>_xlfn.XLOOKUP(C2256, Table2[Species],Table2[Sp. Name], "Code Not Found")</f>
        <v>canadensis</v>
      </c>
      <c r="N2256" t="str">
        <f>_xlfn.XLOOKUP(C2256,Table2[Species],Table2[Family],"Code Not Found")</f>
        <v>Pinaceae</v>
      </c>
      <c r="O2256" t="str" cm="1">
        <f t="array" ref="O2256">_xlfn.IFS(F2256="","",F2256&lt;=5,"0 to 5",F2256&lt;=10,"5.1 to 10",F2256&lt;=20,"10 to 20", F2256&lt;= 40, "20 to 40", F2256 &lt;= 50, "40 to 50", F2256 &gt; 50, "&gt;50" )</f>
        <v>5.1 to 10</v>
      </c>
    </row>
    <row r="2257" spans="1:15" ht="15" customHeight="1" x14ac:dyDescent="0.3">
      <c r="A2257" t="s">
        <v>498</v>
      </c>
      <c r="B2257" s="1">
        <v>46211</v>
      </c>
      <c r="C2257" t="s">
        <v>430</v>
      </c>
      <c r="D2257">
        <v>2080</v>
      </c>
      <c r="E2257">
        <v>1</v>
      </c>
      <c r="F2257">
        <v>28</v>
      </c>
      <c r="G2257" t="s">
        <v>21</v>
      </c>
      <c r="I2257" t="str">
        <f t="shared" si="38"/>
        <v>2080_1</v>
      </c>
      <c r="J2257" t="s">
        <v>428</v>
      </c>
      <c r="K2257" t="s">
        <v>429</v>
      </c>
      <c r="L2257" t="str">
        <f>_xlfn.XLOOKUP(C2257, Table2[Species],Table2[Genus], "Code Not Found")</f>
        <v>Tsuga</v>
      </c>
      <c r="M2257" t="str">
        <f>_xlfn.XLOOKUP(C2257, Table2[Species],Table2[Sp. Name], "Code Not Found")</f>
        <v>canadensis</v>
      </c>
      <c r="N2257" t="str">
        <f>_xlfn.XLOOKUP(C2257,Table2[Species],Table2[Family],"Code Not Found")</f>
        <v>Pinaceae</v>
      </c>
      <c r="O2257" t="str" cm="1">
        <f t="array" ref="O2257">_xlfn.IFS(F2257="","",F2257&lt;=5,"0 to 5",F2257&lt;=10,"5.1 to 10",F2257&lt;=20,"10 to 20", F2257&lt;= 40, "20 to 40", F2257 &lt;= 50, "40 to 50", F2257 &gt; 50, "&gt;50" )</f>
        <v>20 to 40</v>
      </c>
    </row>
    <row r="2258" spans="1:15" ht="15" customHeight="1" x14ac:dyDescent="0.3">
      <c r="A2258" t="s">
        <v>498</v>
      </c>
      <c r="B2258" s="1">
        <v>46211</v>
      </c>
      <c r="C2258" t="s">
        <v>430</v>
      </c>
      <c r="D2258">
        <v>2081</v>
      </c>
      <c r="E2258">
        <v>1</v>
      </c>
      <c r="F2258">
        <v>13.9</v>
      </c>
      <c r="G2258" t="s">
        <v>47</v>
      </c>
      <c r="H2258" t="s">
        <v>467</v>
      </c>
      <c r="I2258" t="str">
        <f t="shared" si="38"/>
        <v>2081_1</v>
      </c>
      <c r="J2258" t="s">
        <v>428</v>
      </c>
      <c r="K2258" t="s">
        <v>429</v>
      </c>
      <c r="L2258" t="str">
        <f>_xlfn.XLOOKUP(C2258, Table2[Species],Table2[Genus], "Code Not Found")</f>
        <v>Tsuga</v>
      </c>
      <c r="M2258" t="str">
        <f>_xlfn.XLOOKUP(C2258, Table2[Species],Table2[Sp. Name], "Code Not Found")</f>
        <v>canadensis</v>
      </c>
      <c r="N2258" t="str">
        <f>_xlfn.XLOOKUP(C2258,Table2[Species],Table2[Family],"Code Not Found")</f>
        <v>Pinaceae</v>
      </c>
      <c r="O2258" t="str" cm="1">
        <f t="array" ref="O2258">_xlfn.IFS(F2258="","",F2258&lt;=5,"0 to 5",F2258&lt;=10,"5.1 to 10",F2258&lt;=20,"10 to 20", F2258&lt;= 40, "20 to 40", F2258 &lt;= 50, "40 to 50", F2258 &gt; 50, "&gt;50" )</f>
        <v>10 to 20</v>
      </c>
    </row>
    <row r="2259" spans="1:15" ht="15" customHeight="1" x14ac:dyDescent="0.3">
      <c r="A2259" t="s">
        <v>498</v>
      </c>
      <c r="B2259" s="1">
        <v>46211</v>
      </c>
      <c r="C2259" t="s">
        <v>430</v>
      </c>
      <c r="D2259">
        <v>2082</v>
      </c>
      <c r="E2259">
        <v>1</v>
      </c>
      <c r="F2259">
        <v>9.5</v>
      </c>
      <c r="G2259" t="s">
        <v>17</v>
      </c>
      <c r="H2259" t="s">
        <v>499</v>
      </c>
      <c r="I2259" t="str">
        <f t="shared" si="38"/>
        <v>2082_1</v>
      </c>
      <c r="J2259" t="s">
        <v>428</v>
      </c>
      <c r="K2259" t="s">
        <v>429</v>
      </c>
      <c r="L2259" t="str">
        <f>_xlfn.XLOOKUP(C2259, Table2[Species],Table2[Genus], "Code Not Found")</f>
        <v>Tsuga</v>
      </c>
      <c r="M2259" t="str">
        <f>_xlfn.XLOOKUP(C2259, Table2[Species],Table2[Sp. Name], "Code Not Found")</f>
        <v>canadensis</v>
      </c>
      <c r="N2259" t="str">
        <f>_xlfn.XLOOKUP(C2259,Table2[Species],Table2[Family],"Code Not Found")</f>
        <v>Pinaceae</v>
      </c>
      <c r="O2259" t="str" cm="1">
        <f t="array" ref="O2259">_xlfn.IFS(F2259="","",F2259&lt;=5,"0 to 5",F2259&lt;=10,"5.1 to 10",F2259&lt;=20,"10 to 20", F2259&lt;= 40, "20 to 40", F2259 &lt;= 50, "40 to 50", F2259 &gt; 50, "&gt;50" )</f>
        <v>5.1 to 10</v>
      </c>
    </row>
    <row r="2260" spans="1:15" ht="15" customHeight="1" x14ac:dyDescent="0.3">
      <c r="A2260" t="s">
        <v>498</v>
      </c>
      <c r="B2260" s="1">
        <v>46211</v>
      </c>
      <c r="C2260" t="s">
        <v>430</v>
      </c>
      <c r="D2260">
        <v>2083</v>
      </c>
      <c r="E2260">
        <v>1</v>
      </c>
      <c r="F2260">
        <v>19.2</v>
      </c>
      <c r="G2260" t="s">
        <v>17</v>
      </c>
      <c r="I2260" t="str">
        <f t="shared" si="38"/>
        <v>2083_1</v>
      </c>
      <c r="J2260" t="s">
        <v>428</v>
      </c>
      <c r="K2260" t="s">
        <v>429</v>
      </c>
      <c r="L2260" t="str">
        <f>_xlfn.XLOOKUP(C2260, Table2[Species],Table2[Genus], "Code Not Found")</f>
        <v>Tsuga</v>
      </c>
      <c r="M2260" t="str">
        <f>_xlfn.XLOOKUP(C2260, Table2[Species],Table2[Sp. Name], "Code Not Found")</f>
        <v>canadensis</v>
      </c>
      <c r="N2260" t="str">
        <f>_xlfn.XLOOKUP(C2260,Table2[Species],Table2[Family],"Code Not Found")</f>
        <v>Pinaceae</v>
      </c>
      <c r="O2260" t="str" cm="1">
        <f t="array" ref="O2260">_xlfn.IFS(F2260="","",F2260&lt;=5,"0 to 5",F2260&lt;=10,"5.1 to 10",F2260&lt;=20,"10 to 20", F2260&lt;= 40, "20 to 40", F2260 &lt;= 50, "40 to 50", F2260 &gt; 50, "&gt;50" )</f>
        <v>10 to 20</v>
      </c>
    </row>
    <row r="2261" spans="1:15" ht="15" customHeight="1" x14ac:dyDescent="0.3">
      <c r="A2261" t="s">
        <v>498</v>
      </c>
      <c r="B2261" s="1">
        <v>46211</v>
      </c>
      <c r="C2261" t="s">
        <v>430</v>
      </c>
      <c r="D2261">
        <v>2084</v>
      </c>
      <c r="E2261">
        <v>1</v>
      </c>
      <c r="F2261">
        <v>22.6</v>
      </c>
      <c r="G2261" t="s">
        <v>17</v>
      </c>
      <c r="H2261" t="s">
        <v>36</v>
      </c>
      <c r="I2261" t="str">
        <f t="shared" si="38"/>
        <v>2084_1</v>
      </c>
      <c r="J2261" t="s">
        <v>428</v>
      </c>
      <c r="K2261" t="s">
        <v>429</v>
      </c>
      <c r="L2261" t="str">
        <f>_xlfn.XLOOKUP(C2261, Table2[Species],Table2[Genus], "Code Not Found")</f>
        <v>Tsuga</v>
      </c>
      <c r="M2261" t="str">
        <f>_xlfn.XLOOKUP(C2261, Table2[Species],Table2[Sp. Name], "Code Not Found")</f>
        <v>canadensis</v>
      </c>
      <c r="N2261" t="str">
        <f>_xlfn.XLOOKUP(C2261,Table2[Species],Table2[Family],"Code Not Found")</f>
        <v>Pinaceae</v>
      </c>
      <c r="O2261" t="str" cm="1">
        <f t="array" ref="O2261">_xlfn.IFS(F2261="","",F2261&lt;=5,"0 to 5",F2261&lt;=10,"5.1 to 10",F2261&lt;=20,"10 to 20", F2261&lt;= 40, "20 to 40", F2261 &lt;= 50, "40 to 50", F2261 &gt; 50, "&gt;50" )</f>
        <v>20 to 40</v>
      </c>
    </row>
    <row r="2262" spans="1:15" ht="15" customHeight="1" x14ac:dyDescent="0.3">
      <c r="A2262" t="s">
        <v>498</v>
      </c>
      <c r="B2262" s="1">
        <v>46211</v>
      </c>
      <c r="C2262" t="s">
        <v>430</v>
      </c>
      <c r="D2262">
        <v>2085</v>
      </c>
      <c r="E2262">
        <v>1</v>
      </c>
      <c r="F2262">
        <v>15.7</v>
      </c>
      <c r="G2262" t="s">
        <v>17</v>
      </c>
      <c r="I2262" t="str">
        <f t="shared" si="38"/>
        <v>2085_1</v>
      </c>
      <c r="J2262" t="s">
        <v>428</v>
      </c>
      <c r="K2262" t="s">
        <v>429</v>
      </c>
      <c r="L2262" t="str">
        <f>_xlfn.XLOOKUP(C2262, Table2[Species],Table2[Genus], "Code Not Found")</f>
        <v>Tsuga</v>
      </c>
      <c r="M2262" t="str">
        <f>_xlfn.XLOOKUP(C2262, Table2[Species],Table2[Sp. Name], "Code Not Found")</f>
        <v>canadensis</v>
      </c>
      <c r="N2262" t="str">
        <f>_xlfn.XLOOKUP(C2262,Table2[Species],Table2[Family],"Code Not Found")</f>
        <v>Pinaceae</v>
      </c>
      <c r="O2262" t="str" cm="1">
        <f t="array" ref="O2262">_xlfn.IFS(F2262="","",F2262&lt;=5,"0 to 5",F2262&lt;=10,"5.1 to 10",F2262&lt;=20,"10 to 20", F2262&lt;= 40, "20 to 40", F2262 &lt;= 50, "40 to 50", F2262 &gt; 50, "&gt;50" )</f>
        <v>10 to 20</v>
      </c>
    </row>
    <row r="2263" spans="1:15" ht="15" customHeight="1" x14ac:dyDescent="0.3">
      <c r="A2263" t="s">
        <v>498</v>
      </c>
      <c r="B2263" s="1">
        <v>46211</v>
      </c>
      <c r="C2263" t="s">
        <v>430</v>
      </c>
      <c r="D2263">
        <v>2086</v>
      </c>
      <c r="E2263">
        <v>1</v>
      </c>
      <c r="F2263">
        <v>26.2</v>
      </c>
      <c r="G2263" t="s">
        <v>17</v>
      </c>
      <c r="I2263" t="str">
        <f t="shared" si="38"/>
        <v>2086_1</v>
      </c>
      <c r="J2263" t="s">
        <v>428</v>
      </c>
      <c r="K2263" t="s">
        <v>429</v>
      </c>
      <c r="L2263" t="str">
        <f>_xlfn.XLOOKUP(C2263, Table2[Species],Table2[Genus], "Code Not Found")</f>
        <v>Tsuga</v>
      </c>
      <c r="M2263" t="str">
        <f>_xlfn.XLOOKUP(C2263, Table2[Species],Table2[Sp. Name], "Code Not Found")</f>
        <v>canadensis</v>
      </c>
      <c r="N2263" t="str">
        <f>_xlfn.XLOOKUP(C2263,Table2[Species],Table2[Family],"Code Not Found")</f>
        <v>Pinaceae</v>
      </c>
      <c r="O2263" t="str" cm="1">
        <f t="array" ref="O2263">_xlfn.IFS(F2263="","",F2263&lt;=5,"0 to 5",F2263&lt;=10,"5.1 to 10",F2263&lt;=20,"10 to 20", F2263&lt;= 40, "20 to 40", F2263 &lt;= 50, "40 to 50", F2263 &gt; 50, "&gt;50" )</f>
        <v>20 to 40</v>
      </c>
    </row>
    <row r="2264" spans="1:15" ht="15" customHeight="1" x14ac:dyDescent="0.3">
      <c r="A2264" t="s">
        <v>498</v>
      </c>
      <c r="B2264" s="1">
        <v>46211</v>
      </c>
      <c r="C2264" t="s">
        <v>430</v>
      </c>
      <c r="D2264">
        <v>2087</v>
      </c>
      <c r="E2264">
        <v>1</v>
      </c>
      <c r="F2264">
        <v>20.6</v>
      </c>
      <c r="G2264" t="s">
        <v>17</v>
      </c>
      <c r="I2264" t="str">
        <f t="shared" si="38"/>
        <v>2087_1</v>
      </c>
      <c r="J2264" t="s">
        <v>428</v>
      </c>
      <c r="K2264" t="s">
        <v>429</v>
      </c>
      <c r="L2264" t="str">
        <f>_xlfn.XLOOKUP(C2264, Table2[Species],Table2[Genus], "Code Not Found")</f>
        <v>Tsuga</v>
      </c>
      <c r="M2264" t="str">
        <f>_xlfn.XLOOKUP(C2264, Table2[Species],Table2[Sp. Name], "Code Not Found")</f>
        <v>canadensis</v>
      </c>
      <c r="N2264" t="str">
        <f>_xlfn.XLOOKUP(C2264,Table2[Species],Table2[Family],"Code Not Found")</f>
        <v>Pinaceae</v>
      </c>
      <c r="O2264" t="str" cm="1">
        <f t="array" ref="O2264">_xlfn.IFS(F2264="","",F2264&lt;=5,"0 to 5",F2264&lt;=10,"5.1 to 10",F2264&lt;=20,"10 to 20", F2264&lt;= 40, "20 to 40", F2264 &lt;= 50, "40 to 50", F2264 &gt; 50, "&gt;50" )</f>
        <v>20 to 40</v>
      </c>
    </row>
    <row r="2265" spans="1:15" ht="15" customHeight="1" x14ac:dyDescent="0.3">
      <c r="A2265" t="s">
        <v>498</v>
      </c>
      <c r="B2265" s="1">
        <v>46211</v>
      </c>
      <c r="C2265" t="s">
        <v>64</v>
      </c>
      <c r="D2265">
        <v>2088</v>
      </c>
      <c r="E2265">
        <v>1</v>
      </c>
      <c r="F2265">
        <v>4.4000000000000004</v>
      </c>
      <c r="G2265" t="s">
        <v>21</v>
      </c>
      <c r="I2265" t="str">
        <f t="shared" si="38"/>
        <v>2088_1</v>
      </c>
      <c r="J2265" t="s">
        <v>428</v>
      </c>
      <c r="K2265" t="s">
        <v>429</v>
      </c>
      <c r="L2265" t="str">
        <f>_xlfn.XLOOKUP(C2265, Table2[Species],Table2[Genus], "Code Not Found")</f>
        <v>Fagus</v>
      </c>
      <c r="M2265" t="str">
        <f>_xlfn.XLOOKUP(C2265, Table2[Species],Table2[Sp. Name], "Code Not Found")</f>
        <v>grandifolia</v>
      </c>
      <c r="N2265" t="str">
        <f>_xlfn.XLOOKUP(C2265,Table2[Species],Table2[Family],"Code Not Found")</f>
        <v>Fagaceae</v>
      </c>
      <c r="O2265" t="str" cm="1">
        <f t="array" ref="O2265">_xlfn.IFS(F2265="","",F2265&lt;=5,"0 to 5",F2265&lt;=10,"5.1 to 10",F2265&lt;=20,"10 to 20", F2265&lt;= 40, "20 to 40", F2265 &lt;= 50, "40 to 50", F2265 &gt; 50, "&gt;50" )</f>
        <v>0 to 5</v>
      </c>
    </row>
    <row r="2266" spans="1:15" ht="15" customHeight="1" x14ac:dyDescent="0.3">
      <c r="A2266" t="s">
        <v>498</v>
      </c>
      <c r="B2266" s="1">
        <v>46211</v>
      </c>
      <c r="C2266" t="s">
        <v>430</v>
      </c>
      <c r="D2266">
        <v>2089</v>
      </c>
      <c r="E2266">
        <v>1</v>
      </c>
      <c r="F2266">
        <v>19.600000000000001</v>
      </c>
      <c r="G2266" t="s">
        <v>21</v>
      </c>
      <c r="I2266" t="str">
        <f t="shared" si="38"/>
        <v>2089_1</v>
      </c>
      <c r="J2266" t="s">
        <v>428</v>
      </c>
      <c r="K2266" t="s">
        <v>429</v>
      </c>
      <c r="L2266" t="str">
        <f>_xlfn.XLOOKUP(C2266, Table2[Species],Table2[Genus], "Code Not Found")</f>
        <v>Tsuga</v>
      </c>
      <c r="M2266" t="str">
        <f>_xlfn.XLOOKUP(C2266, Table2[Species],Table2[Sp. Name], "Code Not Found")</f>
        <v>canadensis</v>
      </c>
      <c r="N2266" t="str">
        <f>_xlfn.XLOOKUP(C2266,Table2[Species],Table2[Family],"Code Not Found")</f>
        <v>Pinaceae</v>
      </c>
      <c r="O2266" t="str" cm="1">
        <f t="array" ref="O2266">_xlfn.IFS(F2266="","",F2266&lt;=5,"0 to 5",F2266&lt;=10,"5.1 to 10",F2266&lt;=20,"10 to 20", F2266&lt;= 40, "20 to 40", F2266 &lt;= 50, "40 to 50", F2266 &gt; 50, "&gt;50" )</f>
        <v>10 to 20</v>
      </c>
    </row>
    <row r="2267" spans="1:15" ht="15" customHeight="1" x14ac:dyDescent="0.3">
      <c r="A2267" t="s">
        <v>498</v>
      </c>
      <c r="B2267" s="1">
        <v>46211</v>
      </c>
      <c r="C2267" t="s">
        <v>430</v>
      </c>
      <c r="D2267">
        <v>2090</v>
      </c>
      <c r="E2267">
        <v>1</v>
      </c>
      <c r="F2267">
        <v>5.8</v>
      </c>
      <c r="G2267" t="s">
        <v>17</v>
      </c>
      <c r="I2267" t="str">
        <f t="shared" si="38"/>
        <v>2090_1</v>
      </c>
      <c r="J2267" t="s">
        <v>428</v>
      </c>
      <c r="K2267" t="s">
        <v>429</v>
      </c>
      <c r="L2267" t="str">
        <f>_xlfn.XLOOKUP(C2267, Table2[Species],Table2[Genus], "Code Not Found")</f>
        <v>Tsuga</v>
      </c>
      <c r="M2267" t="str">
        <f>_xlfn.XLOOKUP(C2267, Table2[Species],Table2[Sp. Name], "Code Not Found")</f>
        <v>canadensis</v>
      </c>
      <c r="N2267" t="str">
        <f>_xlfn.XLOOKUP(C2267,Table2[Species],Table2[Family],"Code Not Found")</f>
        <v>Pinaceae</v>
      </c>
      <c r="O2267" t="str" cm="1">
        <f t="array" ref="O2267">_xlfn.IFS(F2267="","",F2267&lt;=5,"0 to 5",F2267&lt;=10,"5.1 to 10",F2267&lt;=20,"10 to 20", F2267&lt;= 40, "20 to 40", F2267 &lt;= 50, "40 to 50", F2267 &gt; 50, "&gt;50" )</f>
        <v>5.1 to 10</v>
      </c>
    </row>
    <row r="2268" spans="1:15" ht="15" customHeight="1" x14ac:dyDescent="0.3">
      <c r="A2268" t="s">
        <v>498</v>
      </c>
      <c r="B2268" s="1">
        <v>46211</v>
      </c>
      <c r="C2268" t="s">
        <v>64</v>
      </c>
      <c r="D2268">
        <v>2091</v>
      </c>
      <c r="E2268">
        <v>1</v>
      </c>
      <c r="F2268">
        <v>1.4</v>
      </c>
      <c r="G2268" t="s">
        <v>94</v>
      </c>
      <c r="H2268" t="s">
        <v>432</v>
      </c>
      <c r="I2268" t="str">
        <f t="shared" si="38"/>
        <v>2091_1</v>
      </c>
      <c r="J2268" t="s">
        <v>428</v>
      </c>
      <c r="K2268" t="s">
        <v>429</v>
      </c>
      <c r="L2268" t="str">
        <f>_xlfn.XLOOKUP(C2268, Table2[Species],Table2[Genus], "Code Not Found")</f>
        <v>Fagus</v>
      </c>
      <c r="M2268" t="str">
        <f>_xlfn.XLOOKUP(C2268, Table2[Species],Table2[Sp. Name], "Code Not Found")</f>
        <v>grandifolia</v>
      </c>
      <c r="N2268" t="str">
        <f>_xlfn.XLOOKUP(C2268,Table2[Species],Table2[Family],"Code Not Found")</f>
        <v>Fagaceae</v>
      </c>
      <c r="O2268" t="str" cm="1">
        <f t="array" ref="O2268">_xlfn.IFS(F2268="","",F2268&lt;=5,"0 to 5",F2268&lt;=10,"5.1 to 10",F2268&lt;=20,"10 to 20", F2268&lt;= 40, "20 to 40", F2268 &lt;= 50, "40 to 50", F2268 &gt; 50, "&gt;50" )</f>
        <v>0 to 5</v>
      </c>
    </row>
    <row r="2269" spans="1:15" ht="15" customHeight="1" x14ac:dyDescent="0.3">
      <c r="A2269" t="s">
        <v>498</v>
      </c>
      <c r="B2269" s="1">
        <v>46211</v>
      </c>
      <c r="C2269" t="s">
        <v>64</v>
      </c>
      <c r="D2269">
        <v>2092</v>
      </c>
      <c r="E2269">
        <v>1</v>
      </c>
      <c r="F2269">
        <v>5.2</v>
      </c>
      <c r="G2269" t="s">
        <v>21</v>
      </c>
      <c r="I2269" t="str">
        <f t="shared" si="38"/>
        <v>2092_1</v>
      </c>
      <c r="J2269" t="s">
        <v>428</v>
      </c>
      <c r="K2269" t="s">
        <v>429</v>
      </c>
      <c r="L2269" t="str">
        <f>_xlfn.XLOOKUP(C2269, Table2[Species],Table2[Genus], "Code Not Found")</f>
        <v>Fagus</v>
      </c>
      <c r="M2269" t="str">
        <f>_xlfn.XLOOKUP(C2269, Table2[Species],Table2[Sp. Name], "Code Not Found")</f>
        <v>grandifolia</v>
      </c>
      <c r="N2269" t="str">
        <f>_xlfn.XLOOKUP(C2269,Table2[Species],Table2[Family],"Code Not Found")</f>
        <v>Fagaceae</v>
      </c>
      <c r="O2269" t="str" cm="1">
        <f t="array" ref="O2269">_xlfn.IFS(F2269="","",F2269&lt;=5,"0 to 5",F2269&lt;=10,"5.1 to 10",F2269&lt;=20,"10 to 20", F2269&lt;= 40, "20 to 40", F2269 &lt;= 50, "40 to 50", F2269 &gt; 50, "&gt;50" )</f>
        <v>5.1 to 10</v>
      </c>
    </row>
    <row r="2270" spans="1:15" ht="15" customHeight="1" x14ac:dyDescent="0.3">
      <c r="A2270" t="s">
        <v>498</v>
      </c>
      <c r="B2270" s="1">
        <v>46211</v>
      </c>
      <c r="C2270" t="s">
        <v>64</v>
      </c>
      <c r="D2270">
        <v>2093</v>
      </c>
      <c r="E2270">
        <v>1</v>
      </c>
      <c r="F2270">
        <v>2</v>
      </c>
      <c r="G2270" t="s">
        <v>21</v>
      </c>
      <c r="I2270" t="str">
        <f t="shared" si="38"/>
        <v>2093_1</v>
      </c>
      <c r="J2270" t="s">
        <v>428</v>
      </c>
      <c r="K2270" t="s">
        <v>429</v>
      </c>
      <c r="L2270" t="str">
        <f>_xlfn.XLOOKUP(C2270, Table2[Species],Table2[Genus], "Code Not Found")</f>
        <v>Fagus</v>
      </c>
      <c r="M2270" t="str">
        <f>_xlfn.XLOOKUP(C2270, Table2[Species],Table2[Sp. Name], "Code Not Found")</f>
        <v>grandifolia</v>
      </c>
      <c r="N2270" t="str">
        <f>_xlfn.XLOOKUP(C2270,Table2[Species],Table2[Family],"Code Not Found")</f>
        <v>Fagaceae</v>
      </c>
      <c r="O2270" t="str" cm="1">
        <f t="array" ref="O2270">_xlfn.IFS(F2270="","",F2270&lt;=5,"0 to 5",F2270&lt;=10,"5.1 to 10",F2270&lt;=20,"10 to 20", F2270&lt;= 40, "20 to 40", F2270 &lt;= 50, "40 to 50", F2270 &gt; 50, "&gt;50" )</f>
        <v>0 to 5</v>
      </c>
    </row>
    <row r="2271" spans="1:15" ht="15" customHeight="1" x14ac:dyDescent="0.3">
      <c r="A2271" t="s">
        <v>498</v>
      </c>
      <c r="B2271" s="1">
        <v>46211</v>
      </c>
      <c r="C2271" t="s">
        <v>64</v>
      </c>
      <c r="D2271">
        <v>2094</v>
      </c>
      <c r="E2271">
        <v>1</v>
      </c>
      <c r="F2271">
        <v>3.2</v>
      </c>
      <c r="G2271" t="s">
        <v>21</v>
      </c>
      <c r="I2271" t="str">
        <f t="shared" si="38"/>
        <v>2094_1</v>
      </c>
      <c r="J2271" t="s">
        <v>428</v>
      </c>
      <c r="K2271" t="s">
        <v>429</v>
      </c>
      <c r="L2271" t="str">
        <f>_xlfn.XLOOKUP(C2271, Table2[Species],Table2[Genus], "Code Not Found")</f>
        <v>Fagus</v>
      </c>
      <c r="M2271" t="str">
        <f>_xlfn.XLOOKUP(C2271, Table2[Species],Table2[Sp. Name], "Code Not Found")</f>
        <v>grandifolia</v>
      </c>
      <c r="N2271" t="str">
        <f>_xlfn.XLOOKUP(C2271,Table2[Species],Table2[Family],"Code Not Found")</f>
        <v>Fagaceae</v>
      </c>
      <c r="O2271" t="str" cm="1">
        <f t="array" ref="O2271">_xlfn.IFS(F2271="","",F2271&lt;=5,"0 to 5",F2271&lt;=10,"5.1 to 10",F2271&lt;=20,"10 to 20", F2271&lt;= 40, "20 to 40", F2271 &lt;= 50, "40 to 50", F2271 &gt; 50, "&gt;50" )</f>
        <v>0 to 5</v>
      </c>
    </row>
    <row r="2272" spans="1:15" ht="15" customHeight="1" x14ac:dyDescent="0.3">
      <c r="A2272" t="s">
        <v>498</v>
      </c>
      <c r="B2272" s="1">
        <v>46211</v>
      </c>
      <c r="C2272" t="s">
        <v>22</v>
      </c>
      <c r="D2272">
        <v>2095</v>
      </c>
      <c r="E2272">
        <v>1</v>
      </c>
      <c r="F2272">
        <v>24.6</v>
      </c>
      <c r="G2272" t="s">
        <v>21</v>
      </c>
      <c r="I2272" t="str">
        <f t="shared" si="38"/>
        <v>2095_1</v>
      </c>
      <c r="J2272" t="s">
        <v>428</v>
      </c>
      <c r="K2272" t="s">
        <v>429</v>
      </c>
      <c r="L2272" t="str">
        <f>_xlfn.XLOOKUP(C2272, Table2[Species],Table2[Genus], "Code Not Found")</f>
        <v>Acer</v>
      </c>
      <c r="M2272" t="str">
        <f>_xlfn.XLOOKUP(C2272, Table2[Species],Table2[Sp. Name], "Code Not Found")</f>
        <v>rubrum</v>
      </c>
      <c r="N2272" t="str">
        <f>_xlfn.XLOOKUP(C2272,Table2[Species],Table2[Family],"Code Not Found")</f>
        <v>Sapindaceae</v>
      </c>
      <c r="O2272" t="str" cm="1">
        <f t="array" ref="O2272">_xlfn.IFS(F2272="","",F2272&lt;=5,"0 to 5",F2272&lt;=10,"5.1 to 10",F2272&lt;=20,"10 to 20", F2272&lt;= 40, "20 to 40", F2272 &lt;= 50, "40 to 50", F2272 &gt; 50, "&gt;50" )</f>
        <v>20 to 40</v>
      </c>
    </row>
    <row r="2273" spans="1:15" ht="15" customHeight="1" x14ac:dyDescent="0.3">
      <c r="A2273" t="s">
        <v>498</v>
      </c>
      <c r="B2273" s="1">
        <v>46211</v>
      </c>
      <c r="C2273" t="s">
        <v>180</v>
      </c>
      <c r="D2273">
        <v>2096</v>
      </c>
      <c r="E2273">
        <v>1</v>
      </c>
      <c r="F2273">
        <v>19.2</v>
      </c>
      <c r="G2273" t="s">
        <v>21</v>
      </c>
      <c r="I2273" t="str">
        <f t="shared" si="38"/>
        <v>2096_1</v>
      </c>
      <c r="J2273" t="s">
        <v>428</v>
      </c>
      <c r="K2273" t="s">
        <v>429</v>
      </c>
      <c r="L2273" t="str">
        <f>_xlfn.XLOOKUP(C2273, Table2[Species],Table2[Genus], "Code Not Found")</f>
        <v>Tilia</v>
      </c>
      <c r="M2273" t="str">
        <f>_xlfn.XLOOKUP(C2273, Table2[Species],Table2[Sp. Name], "Code Not Found")</f>
        <v>americana</v>
      </c>
      <c r="N2273" t="str">
        <f>_xlfn.XLOOKUP(C2273,Table2[Species],Table2[Family],"Code Not Found")</f>
        <v>Malvaceae</v>
      </c>
      <c r="O2273" t="str" cm="1">
        <f t="array" ref="O2273">_xlfn.IFS(F2273="","",F2273&lt;=5,"0 to 5",F2273&lt;=10,"5.1 to 10",F2273&lt;=20,"10 to 20", F2273&lt;= 40, "20 to 40", F2273 &lt;= 50, "40 to 50", F2273 &gt; 50, "&gt;50" )</f>
        <v>10 to 20</v>
      </c>
    </row>
    <row r="2274" spans="1:15" ht="15" customHeight="1" x14ac:dyDescent="0.3">
      <c r="A2274" t="s">
        <v>498</v>
      </c>
      <c r="B2274" s="1">
        <v>46211</v>
      </c>
      <c r="C2274" t="s">
        <v>415</v>
      </c>
      <c r="D2274">
        <v>2097</v>
      </c>
      <c r="E2274">
        <v>1</v>
      </c>
      <c r="F2274">
        <v>1.4</v>
      </c>
      <c r="G2274" t="s">
        <v>47</v>
      </c>
      <c r="H2274" t="s">
        <v>467</v>
      </c>
      <c r="I2274" t="str">
        <f t="shared" si="38"/>
        <v>2097_1</v>
      </c>
      <c r="J2274" t="s">
        <v>428</v>
      </c>
      <c r="K2274" t="s">
        <v>429</v>
      </c>
      <c r="L2274" t="str">
        <f>_xlfn.XLOOKUP(C2274, Table2[Species],Table2[Genus], "Code Not Found")</f>
        <v>Fraxinus</v>
      </c>
      <c r="M2274" t="str">
        <f>_xlfn.XLOOKUP(C2274, Table2[Species],Table2[Sp. Name], "Code Not Found")</f>
        <v>pennsylvanica</v>
      </c>
      <c r="N2274" t="str">
        <f>_xlfn.XLOOKUP(C2274,Table2[Species],Table2[Family],"Code Not Found")</f>
        <v>Oleaceae</v>
      </c>
      <c r="O2274" t="str" cm="1">
        <f t="array" ref="O2274">_xlfn.IFS(F2274="","",F2274&lt;=5,"0 to 5",F2274&lt;=10,"5.1 to 10",F2274&lt;=20,"10 to 20", F2274&lt;= 40, "20 to 40", F2274 &lt;= 50, "40 to 50", F2274 &gt; 50, "&gt;50" )</f>
        <v>0 to 5</v>
      </c>
    </row>
    <row r="2275" spans="1:15" ht="15" customHeight="1" x14ac:dyDescent="0.3">
      <c r="A2275" t="s">
        <v>498</v>
      </c>
      <c r="B2275" s="1">
        <v>46211</v>
      </c>
      <c r="C2275" t="s">
        <v>117</v>
      </c>
      <c r="D2275">
        <v>2098</v>
      </c>
      <c r="E2275">
        <v>1</v>
      </c>
      <c r="F2275">
        <v>8.1</v>
      </c>
      <c r="G2275" t="s">
        <v>469</v>
      </c>
      <c r="I2275" t="str">
        <f t="shared" si="38"/>
        <v>2098_1</v>
      </c>
      <c r="J2275" t="s">
        <v>428</v>
      </c>
      <c r="K2275" t="s">
        <v>429</v>
      </c>
      <c r="L2275" t="str">
        <f>_xlfn.XLOOKUP(C2275, Table2[Species],Table2[Genus], "Code Not Found")</f>
        <v>Ostrya</v>
      </c>
      <c r="M2275" t="str">
        <f>_xlfn.XLOOKUP(C2275, Table2[Species],Table2[Sp. Name], "Code Not Found")</f>
        <v>viginiana</v>
      </c>
      <c r="N2275" t="str">
        <f>_xlfn.XLOOKUP(C2275,Table2[Species],Table2[Family],"Code Not Found")</f>
        <v>Betulaceae</v>
      </c>
      <c r="O2275" t="str" cm="1">
        <f t="array" ref="O2275">_xlfn.IFS(F2275="","",F2275&lt;=5,"0 to 5",F2275&lt;=10,"5.1 to 10",F2275&lt;=20,"10 to 20", F2275&lt;= 40, "20 to 40", F2275 &lt;= 50, "40 to 50", F2275 &gt; 50, "&gt;50" )</f>
        <v>5.1 to 10</v>
      </c>
    </row>
    <row r="2276" spans="1:15" ht="15" customHeight="1" x14ac:dyDescent="0.3">
      <c r="A2276" t="s">
        <v>498</v>
      </c>
      <c r="B2276" s="1">
        <v>46212</v>
      </c>
      <c r="C2276" t="s">
        <v>117</v>
      </c>
      <c r="D2276">
        <v>2098</v>
      </c>
      <c r="E2276">
        <v>2</v>
      </c>
      <c r="F2276">
        <v>2.4</v>
      </c>
      <c r="G2276" t="s">
        <v>32</v>
      </c>
      <c r="I2276" t="str">
        <f t="shared" si="38"/>
        <v>2098_2</v>
      </c>
      <c r="J2276" t="s">
        <v>428</v>
      </c>
      <c r="K2276" t="s">
        <v>429</v>
      </c>
      <c r="L2276" t="str">
        <f>_xlfn.XLOOKUP(C2276, Table2[Species],Table2[Genus], "Code Not Found")</f>
        <v>Ostrya</v>
      </c>
      <c r="M2276" t="str">
        <f>_xlfn.XLOOKUP(C2276, Table2[Species],Table2[Sp. Name], "Code Not Found")</f>
        <v>viginiana</v>
      </c>
      <c r="N2276" t="str">
        <f>_xlfn.XLOOKUP(C2276,Table2[Species],Table2[Family],"Code Not Found")</f>
        <v>Betulaceae</v>
      </c>
      <c r="O2276" t="str" cm="1">
        <f t="array" ref="O2276">_xlfn.IFS(F2276="","",F2276&lt;=5,"0 to 5",F2276&lt;=10,"5.1 to 10",F2276&lt;=20,"10 to 20", F2276&lt;= 40, "20 to 40", F2276 &lt;= 50, "40 to 50", F2276 &gt; 50, "&gt;50" )</f>
        <v>0 to 5</v>
      </c>
    </row>
    <row r="2277" spans="1:15" ht="15" customHeight="1" x14ac:dyDescent="0.3">
      <c r="A2277" t="s">
        <v>498</v>
      </c>
      <c r="B2277" s="1">
        <v>46211</v>
      </c>
      <c r="C2277" t="s">
        <v>430</v>
      </c>
      <c r="D2277">
        <v>2099</v>
      </c>
      <c r="E2277">
        <v>1</v>
      </c>
      <c r="F2277">
        <v>38.700000000000003</v>
      </c>
      <c r="G2277" t="s">
        <v>21</v>
      </c>
      <c r="I2277" t="str">
        <f t="shared" si="38"/>
        <v>2099_1</v>
      </c>
      <c r="J2277" t="s">
        <v>428</v>
      </c>
      <c r="K2277" t="s">
        <v>429</v>
      </c>
      <c r="L2277" t="str">
        <f>_xlfn.XLOOKUP(C2277, Table2[Species],Table2[Genus], "Code Not Found")</f>
        <v>Tsuga</v>
      </c>
      <c r="M2277" t="str">
        <f>_xlfn.XLOOKUP(C2277, Table2[Species],Table2[Sp. Name], "Code Not Found")</f>
        <v>canadensis</v>
      </c>
      <c r="N2277" t="str">
        <f>_xlfn.XLOOKUP(C2277,Table2[Species],Table2[Family],"Code Not Found")</f>
        <v>Pinaceae</v>
      </c>
      <c r="O2277" t="str" cm="1">
        <f t="array" ref="O2277">_xlfn.IFS(F2277="","",F2277&lt;=5,"0 to 5",F2277&lt;=10,"5.1 to 10",F2277&lt;=20,"10 to 20", F2277&lt;= 40, "20 to 40", F2277 &lt;= 50, "40 to 50", F2277 &gt; 50, "&gt;50" )</f>
        <v>20 to 40</v>
      </c>
    </row>
    <row r="2278" spans="1:15" ht="15" customHeight="1" x14ac:dyDescent="0.3">
      <c r="A2278" t="s">
        <v>498</v>
      </c>
      <c r="B2278" s="1">
        <v>46211</v>
      </c>
      <c r="C2278" t="s">
        <v>24</v>
      </c>
      <c r="D2278">
        <v>2100</v>
      </c>
      <c r="E2278">
        <v>1</v>
      </c>
      <c r="F2278">
        <v>68.8</v>
      </c>
      <c r="G2278" t="s">
        <v>21</v>
      </c>
      <c r="H2278" t="s">
        <v>500</v>
      </c>
      <c r="I2278" t="str">
        <f t="shared" si="38"/>
        <v>2100_1</v>
      </c>
      <c r="J2278" t="s">
        <v>428</v>
      </c>
      <c r="K2278" t="s">
        <v>429</v>
      </c>
      <c r="L2278" t="str">
        <f>_xlfn.XLOOKUP(C2278, Table2[Species],Table2[Genus], "Code Not Found")</f>
        <v>Lirodendron</v>
      </c>
      <c r="M2278" t="str">
        <f>_xlfn.XLOOKUP(C2278, Table2[Species],Table2[Sp. Name], "Code Not Found")</f>
        <v>tulipfera</v>
      </c>
      <c r="N2278" t="str">
        <f>_xlfn.XLOOKUP(C2278,Table2[Species],Table2[Family],"Code Not Found")</f>
        <v>Magnoliaceae</v>
      </c>
      <c r="O2278" t="str" cm="1">
        <f t="array" ref="O2278">_xlfn.IFS(F2278="","",F2278&lt;=5,"0 to 5",F2278&lt;=10,"5.1 to 10",F2278&lt;=20,"10 to 20", F2278&lt;= 40, "20 to 40", F2278 &lt;= 50, "40 to 50", F2278 &gt; 50, "&gt;50" )</f>
        <v>&gt;50</v>
      </c>
    </row>
    <row r="2279" spans="1:15" ht="15" customHeight="1" x14ac:dyDescent="0.3">
      <c r="A2279" t="s">
        <v>498</v>
      </c>
      <c r="B2279" s="1">
        <v>46211</v>
      </c>
      <c r="C2279" t="s">
        <v>16</v>
      </c>
      <c r="D2279">
        <v>2101</v>
      </c>
      <c r="E2279">
        <v>1</v>
      </c>
      <c r="F2279">
        <v>15.1</v>
      </c>
      <c r="G2279" t="s">
        <v>21</v>
      </c>
      <c r="I2279" t="str">
        <f t="shared" si="38"/>
        <v>2101_1</v>
      </c>
      <c r="J2279" t="s">
        <v>428</v>
      </c>
      <c r="K2279" t="s">
        <v>429</v>
      </c>
      <c r="L2279" t="str">
        <f>_xlfn.XLOOKUP(C2279, Table2[Species],Table2[Genus], "Code Not Found")</f>
        <v>Acer</v>
      </c>
      <c r="M2279" t="str">
        <f>_xlfn.XLOOKUP(C2279, Table2[Species],Table2[Sp. Name], "Code Not Found")</f>
        <v>saccharum</v>
      </c>
      <c r="N2279" t="str">
        <f>_xlfn.XLOOKUP(C2279,Table2[Species],Table2[Family],"Code Not Found")</f>
        <v>Sapindaceae</v>
      </c>
      <c r="O2279" t="str" cm="1">
        <f t="array" ref="O2279">_xlfn.IFS(F2279="","",F2279&lt;=5,"0 to 5",F2279&lt;=10,"5.1 to 10",F2279&lt;=20,"10 to 20", F2279&lt;= 40, "20 to 40", F2279 &lt;= 50, "40 to 50", F2279 &gt; 50, "&gt;50" )</f>
        <v>10 to 20</v>
      </c>
    </row>
    <row r="2280" spans="1:15" ht="15" customHeight="1" x14ac:dyDescent="0.3">
      <c r="A2280" t="s">
        <v>498</v>
      </c>
      <c r="B2280" s="1">
        <v>46211</v>
      </c>
      <c r="C2280" t="s">
        <v>235</v>
      </c>
      <c r="D2280">
        <v>2102</v>
      </c>
      <c r="E2280">
        <v>1</v>
      </c>
      <c r="F2280">
        <v>6</v>
      </c>
      <c r="G2280" t="s">
        <v>47</v>
      </c>
      <c r="I2280" t="str">
        <f t="shared" si="38"/>
        <v>2102_1</v>
      </c>
      <c r="J2280" t="s">
        <v>428</v>
      </c>
      <c r="K2280" t="s">
        <v>429</v>
      </c>
      <c r="L2280" t="str">
        <f>_xlfn.XLOOKUP(C2280, Table2[Species],Table2[Genus], "Code Not Found")</f>
        <v>Carpinus</v>
      </c>
      <c r="M2280" t="str">
        <f>_xlfn.XLOOKUP(C2280, Table2[Species],Table2[Sp. Name], "Code Not Found")</f>
        <v>caroliniana</v>
      </c>
      <c r="N2280" t="str">
        <f>_xlfn.XLOOKUP(C2280,Table2[Species],Table2[Family],"Code Not Found")</f>
        <v>Betulaceae</v>
      </c>
      <c r="O2280" t="str" cm="1">
        <f t="array" ref="O2280">_xlfn.IFS(F2280="","",F2280&lt;=5,"0 to 5",F2280&lt;=10,"5.1 to 10",F2280&lt;=20,"10 to 20", F2280&lt;= 40, "20 to 40", F2280 &lt;= 50, "40 to 50", F2280 &gt; 50, "&gt;50" )</f>
        <v>5.1 to 10</v>
      </c>
    </row>
    <row r="2281" spans="1:15" ht="15" customHeight="1" x14ac:dyDescent="0.3">
      <c r="A2281" t="s">
        <v>498</v>
      </c>
      <c r="B2281" s="1">
        <v>46211</v>
      </c>
      <c r="C2281" t="s">
        <v>64</v>
      </c>
      <c r="D2281">
        <v>2103</v>
      </c>
      <c r="E2281">
        <v>1</v>
      </c>
      <c r="F2281">
        <v>4.9000000000000004</v>
      </c>
      <c r="G2281" t="s">
        <v>21</v>
      </c>
      <c r="I2281" t="str">
        <f t="shared" si="38"/>
        <v>2103_1</v>
      </c>
      <c r="J2281" t="s">
        <v>428</v>
      </c>
      <c r="K2281" t="s">
        <v>429</v>
      </c>
      <c r="L2281" t="str">
        <f>_xlfn.XLOOKUP(C2281, Table2[Species],Table2[Genus], "Code Not Found")</f>
        <v>Fagus</v>
      </c>
      <c r="M2281" t="str">
        <f>_xlfn.XLOOKUP(C2281, Table2[Species],Table2[Sp. Name], "Code Not Found")</f>
        <v>grandifolia</v>
      </c>
      <c r="N2281" t="str">
        <f>_xlfn.XLOOKUP(C2281,Table2[Species],Table2[Family],"Code Not Found")</f>
        <v>Fagaceae</v>
      </c>
      <c r="O2281" t="str" cm="1">
        <f t="array" ref="O2281">_xlfn.IFS(F2281="","",F2281&lt;=5,"0 to 5",F2281&lt;=10,"5.1 to 10",F2281&lt;=20,"10 to 20", F2281&lt;= 40, "20 to 40", F2281 &lt;= 50, "40 to 50", F2281 &gt; 50, "&gt;50" )</f>
        <v>0 to 5</v>
      </c>
    </row>
    <row r="2282" spans="1:15" ht="15" customHeight="1" x14ac:dyDescent="0.3">
      <c r="A2282" t="s">
        <v>498</v>
      </c>
      <c r="B2282" s="1">
        <v>46211</v>
      </c>
      <c r="C2282" t="s">
        <v>430</v>
      </c>
      <c r="D2282">
        <v>2104</v>
      </c>
      <c r="E2282">
        <v>1</v>
      </c>
      <c r="F2282">
        <v>12.2</v>
      </c>
      <c r="G2282" t="s">
        <v>17</v>
      </c>
      <c r="I2282" t="str">
        <f t="shared" si="38"/>
        <v>2104_1</v>
      </c>
      <c r="J2282" t="s">
        <v>428</v>
      </c>
      <c r="K2282" t="s">
        <v>429</v>
      </c>
      <c r="L2282" t="str">
        <f>_xlfn.XLOOKUP(C2282, Table2[Species],Table2[Genus], "Code Not Found")</f>
        <v>Tsuga</v>
      </c>
      <c r="M2282" t="str">
        <f>_xlfn.XLOOKUP(C2282, Table2[Species],Table2[Sp. Name], "Code Not Found")</f>
        <v>canadensis</v>
      </c>
      <c r="N2282" t="str">
        <f>_xlfn.XLOOKUP(C2282,Table2[Species],Table2[Family],"Code Not Found")</f>
        <v>Pinaceae</v>
      </c>
      <c r="O2282" t="str" cm="1">
        <f t="array" ref="O2282">_xlfn.IFS(F2282="","",F2282&lt;=5,"0 to 5",F2282&lt;=10,"5.1 to 10",F2282&lt;=20,"10 to 20", F2282&lt;= 40, "20 to 40", F2282 &lt;= 50, "40 to 50", F2282 &gt; 50, "&gt;50" )</f>
        <v>10 to 20</v>
      </c>
    </row>
    <row r="2283" spans="1:15" ht="15" customHeight="1" x14ac:dyDescent="0.3">
      <c r="A2283" t="s">
        <v>498</v>
      </c>
      <c r="B2283" s="1">
        <v>46211</v>
      </c>
      <c r="C2283" t="s">
        <v>64</v>
      </c>
      <c r="D2283">
        <v>2105</v>
      </c>
      <c r="E2283">
        <v>1</v>
      </c>
      <c r="F2283">
        <v>2.2999999999999998</v>
      </c>
      <c r="G2283" t="s">
        <v>21</v>
      </c>
      <c r="I2283" t="str">
        <f t="shared" si="38"/>
        <v>2105_1</v>
      </c>
      <c r="J2283" t="s">
        <v>428</v>
      </c>
      <c r="K2283" t="s">
        <v>429</v>
      </c>
      <c r="L2283" t="str">
        <f>_xlfn.XLOOKUP(C2283, Table2[Species],Table2[Genus], "Code Not Found")</f>
        <v>Fagus</v>
      </c>
      <c r="M2283" t="str">
        <f>_xlfn.XLOOKUP(C2283, Table2[Species],Table2[Sp. Name], "Code Not Found")</f>
        <v>grandifolia</v>
      </c>
      <c r="N2283" t="str">
        <f>_xlfn.XLOOKUP(C2283,Table2[Species],Table2[Family],"Code Not Found")</f>
        <v>Fagaceae</v>
      </c>
      <c r="O2283" t="str" cm="1">
        <f t="array" ref="O2283">_xlfn.IFS(F2283="","",F2283&lt;=5,"0 to 5",F2283&lt;=10,"5.1 to 10",F2283&lt;=20,"10 to 20", F2283&lt;= 40, "20 to 40", F2283 &lt;= 50, "40 to 50", F2283 &gt; 50, "&gt;50" )</f>
        <v>0 to 5</v>
      </c>
    </row>
    <row r="2284" spans="1:15" ht="15" customHeight="1" x14ac:dyDescent="0.3">
      <c r="A2284" t="s">
        <v>498</v>
      </c>
      <c r="B2284" s="1">
        <v>46211</v>
      </c>
      <c r="C2284" t="s">
        <v>55</v>
      </c>
      <c r="D2284">
        <v>2106</v>
      </c>
      <c r="E2284">
        <v>1</v>
      </c>
      <c r="F2284">
        <v>1</v>
      </c>
      <c r="G2284" t="s">
        <v>501</v>
      </c>
      <c r="H2284" t="s">
        <v>467</v>
      </c>
      <c r="I2284" t="str">
        <f t="shared" si="38"/>
        <v>2106_1</v>
      </c>
      <c r="J2284" t="s">
        <v>428</v>
      </c>
      <c r="K2284" t="s">
        <v>429</v>
      </c>
      <c r="L2284" t="str">
        <f>_xlfn.XLOOKUP(C2284, Table2[Species],Table2[Genus], "Code Not Found")</f>
        <v>Magnolia</v>
      </c>
      <c r="M2284" t="str">
        <f>_xlfn.XLOOKUP(C2284, Table2[Species],Table2[Sp. Name], "Code Not Found")</f>
        <v>acuminata</v>
      </c>
      <c r="N2284" t="str">
        <f>_xlfn.XLOOKUP(C2284,Table2[Species],Table2[Family],"Code Not Found")</f>
        <v>Magnoliaceae</v>
      </c>
      <c r="O2284" t="str" cm="1">
        <f t="array" ref="O2284">_xlfn.IFS(F2284="","",F2284&lt;=5,"0 to 5",F2284&lt;=10,"5.1 to 10",F2284&lt;=20,"10 to 20", F2284&lt;= 40, "20 to 40", F2284 &lt;= 50, "40 to 50", F2284 &gt; 50, "&gt;50" )</f>
        <v>0 to 5</v>
      </c>
    </row>
    <row r="2285" spans="1:15" ht="15" customHeight="1" x14ac:dyDescent="0.3">
      <c r="A2285" t="s">
        <v>498</v>
      </c>
      <c r="B2285" s="1">
        <v>46211</v>
      </c>
      <c r="C2285" t="s">
        <v>430</v>
      </c>
      <c r="D2285">
        <v>2107</v>
      </c>
      <c r="E2285">
        <v>1</v>
      </c>
      <c r="F2285">
        <v>41</v>
      </c>
      <c r="G2285" t="s">
        <v>21</v>
      </c>
      <c r="I2285" t="str">
        <f t="shared" si="38"/>
        <v>2107_1</v>
      </c>
      <c r="J2285" t="s">
        <v>428</v>
      </c>
      <c r="K2285" t="s">
        <v>429</v>
      </c>
      <c r="L2285" t="str">
        <f>_xlfn.XLOOKUP(C2285, Table2[Species],Table2[Genus], "Code Not Found")</f>
        <v>Tsuga</v>
      </c>
      <c r="M2285" t="str">
        <f>_xlfn.XLOOKUP(C2285, Table2[Species],Table2[Sp. Name], "Code Not Found")</f>
        <v>canadensis</v>
      </c>
      <c r="N2285" t="str">
        <f>_xlfn.XLOOKUP(C2285,Table2[Species],Table2[Family],"Code Not Found")</f>
        <v>Pinaceae</v>
      </c>
      <c r="O2285" t="str" cm="1">
        <f t="array" ref="O2285">_xlfn.IFS(F2285="","",F2285&lt;=5,"0 to 5",F2285&lt;=10,"5.1 to 10",F2285&lt;=20,"10 to 20", F2285&lt;= 40, "20 to 40", F2285 &lt;= 50, "40 to 50", F2285 &gt; 50, "&gt;50" )</f>
        <v>40 to 50</v>
      </c>
    </row>
    <row r="2286" spans="1:15" ht="15" customHeight="1" x14ac:dyDescent="0.3">
      <c r="A2286" t="s">
        <v>498</v>
      </c>
      <c r="B2286" s="1">
        <v>46211</v>
      </c>
      <c r="C2286" t="s">
        <v>187</v>
      </c>
      <c r="D2286">
        <v>2108</v>
      </c>
      <c r="E2286">
        <v>1</v>
      </c>
      <c r="F2286">
        <v>32</v>
      </c>
      <c r="G2286" t="s">
        <v>21</v>
      </c>
      <c r="I2286" t="str">
        <f t="shared" si="38"/>
        <v>2108_1</v>
      </c>
      <c r="J2286" t="s">
        <v>428</v>
      </c>
      <c r="K2286" t="s">
        <v>429</v>
      </c>
      <c r="L2286" t="str">
        <f>_xlfn.XLOOKUP(C2286, Table2[Species],Table2[Genus], "Code Not Found")</f>
        <v>Carya</v>
      </c>
      <c r="M2286" t="str">
        <f>_xlfn.XLOOKUP(C2286, Table2[Species],Table2[Sp. Name], "Code Not Found")</f>
        <v>cordiformis</v>
      </c>
      <c r="N2286" t="str">
        <f>_xlfn.XLOOKUP(C2286,Table2[Species],Table2[Family],"Code Not Found")</f>
        <v>Juglandaceae</v>
      </c>
      <c r="O2286" t="str" cm="1">
        <f t="array" ref="O2286">_xlfn.IFS(F2286="","",F2286&lt;=5,"0 to 5",F2286&lt;=10,"5.1 to 10",F2286&lt;=20,"10 to 20", F2286&lt;= 40, "20 to 40", F2286 &lt;= 50, "40 to 50", F2286 &gt; 50, "&gt;50" )</f>
        <v>20 to 40</v>
      </c>
    </row>
    <row r="2287" spans="1:15" ht="15" customHeight="1" x14ac:dyDescent="0.3">
      <c r="A2287" t="s">
        <v>498</v>
      </c>
      <c r="B2287" s="1">
        <v>46211</v>
      </c>
      <c r="C2287" t="s">
        <v>64</v>
      </c>
      <c r="D2287">
        <v>2109</v>
      </c>
      <c r="E2287">
        <v>1</v>
      </c>
      <c r="F2287">
        <v>3.9</v>
      </c>
      <c r="G2287" t="s">
        <v>17</v>
      </c>
      <c r="H2287" t="s">
        <v>359</v>
      </c>
      <c r="I2287" t="str">
        <f t="shared" si="38"/>
        <v>2109_1</v>
      </c>
      <c r="J2287" t="s">
        <v>428</v>
      </c>
      <c r="K2287" t="s">
        <v>429</v>
      </c>
      <c r="L2287" t="str">
        <f>_xlfn.XLOOKUP(C2287, Table2[Species],Table2[Genus], "Code Not Found")</f>
        <v>Fagus</v>
      </c>
      <c r="M2287" t="str">
        <f>_xlfn.XLOOKUP(C2287, Table2[Species],Table2[Sp. Name], "Code Not Found")</f>
        <v>grandifolia</v>
      </c>
      <c r="N2287" t="str">
        <f>_xlfn.XLOOKUP(C2287,Table2[Species],Table2[Family],"Code Not Found")</f>
        <v>Fagaceae</v>
      </c>
      <c r="O2287" t="str" cm="1">
        <f t="array" ref="O2287">_xlfn.IFS(F2287="","",F2287&lt;=5,"0 to 5",F2287&lt;=10,"5.1 to 10",F2287&lt;=20,"10 to 20", F2287&lt;= 40, "20 to 40", F2287 &lt;= 50, "40 to 50", F2287 &gt; 50, "&gt;50" )</f>
        <v>0 to 5</v>
      </c>
    </row>
    <row r="2288" spans="1:15" ht="15" customHeight="1" x14ac:dyDescent="0.3">
      <c r="A2288" t="s">
        <v>498</v>
      </c>
      <c r="B2288" s="1">
        <v>46211</v>
      </c>
      <c r="C2288" t="s">
        <v>64</v>
      </c>
      <c r="D2288">
        <v>2110</v>
      </c>
      <c r="E2288">
        <v>1</v>
      </c>
      <c r="F2288">
        <v>4.9000000000000004</v>
      </c>
      <c r="G2288" t="s">
        <v>47</v>
      </c>
      <c r="H2288" t="s">
        <v>357</v>
      </c>
      <c r="I2288" t="str">
        <f t="shared" ref="I2288:I2351" si="39">D2288&amp;"_"&amp;E2288</f>
        <v>2110_1</v>
      </c>
      <c r="J2288" t="s">
        <v>428</v>
      </c>
      <c r="K2288" t="s">
        <v>429</v>
      </c>
      <c r="L2288" t="str">
        <f>_xlfn.XLOOKUP(C2288, Table2[Species],Table2[Genus], "Code Not Found")</f>
        <v>Fagus</v>
      </c>
      <c r="M2288" t="str">
        <f>_xlfn.XLOOKUP(C2288, Table2[Species],Table2[Sp. Name], "Code Not Found")</f>
        <v>grandifolia</v>
      </c>
      <c r="N2288" t="str">
        <f>_xlfn.XLOOKUP(C2288,Table2[Species],Table2[Family],"Code Not Found")</f>
        <v>Fagaceae</v>
      </c>
      <c r="O2288" t="str" cm="1">
        <f t="array" ref="O2288">_xlfn.IFS(F2288="","",F2288&lt;=5,"0 to 5",F2288&lt;=10,"5.1 to 10",F2288&lt;=20,"10 to 20", F2288&lt;= 40, "20 to 40", F2288 &lt;= 50, "40 to 50", F2288 &gt; 50, "&gt;50" )</f>
        <v>0 to 5</v>
      </c>
    </row>
    <row r="2289" spans="1:15" ht="15" customHeight="1" x14ac:dyDescent="0.3">
      <c r="A2289" t="s">
        <v>498</v>
      </c>
      <c r="B2289" s="1">
        <v>46211</v>
      </c>
      <c r="C2289" t="s">
        <v>64</v>
      </c>
      <c r="D2289">
        <v>2111</v>
      </c>
      <c r="E2289">
        <v>1</v>
      </c>
      <c r="F2289">
        <v>4.3</v>
      </c>
      <c r="G2289" t="s">
        <v>88</v>
      </c>
      <c r="H2289" t="s">
        <v>262</v>
      </c>
      <c r="I2289" t="str">
        <f t="shared" si="39"/>
        <v>2111_1</v>
      </c>
      <c r="J2289" t="s">
        <v>428</v>
      </c>
      <c r="K2289" t="s">
        <v>429</v>
      </c>
      <c r="L2289" t="str">
        <f>_xlfn.XLOOKUP(C2289, Table2[Species],Table2[Genus], "Code Not Found")</f>
        <v>Fagus</v>
      </c>
      <c r="M2289" t="str">
        <f>_xlfn.XLOOKUP(C2289, Table2[Species],Table2[Sp. Name], "Code Not Found")</f>
        <v>grandifolia</v>
      </c>
      <c r="N2289" t="str">
        <f>_xlfn.XLOOKUP(C2289,Table2[Species],Table2[Family],"Code Not Found")</f>
        <v>Fagaceae</v>
      </c>
      <c r="O2289" t="str" cm="1">
        <f t="array" ref="O2289">_xlfn.IFS(F2289="","",F2289&lt;=5,"0 to 5",F2289&lt;=10,"5.1 to 10",F2289&lt;=20,"10 to 20", F2289&lt;= 40, "20 to 40", F2289 &lt;= 50, "40 to 50", F2289 &gt; 50, "&gt;50" )</f>
        <v>0 to 5</v>
      </c>
    </row>
    <row r="2290" spans="1:15" ht="15" customHeight="1" x14ac:dyDescent="0.3">
      <c r="A2290" t="s">
        <v>498</v>
      </c>
      <c r="B2290" s="1">
        <v>46211</v>
      </c>
      <c r="C2290" t="s">
        <v>64</v>
      </c>
      <c r="D2290">
        <v>2112</v>
      </c>
      <c r="E2290">
        <v>1</v>
      </c>
      <c r="F2290">
        <v>1.1000000000000001</v>
      </c>
      <c r="G2290" t="s">
        <v>365</v>
      </c>
      <c r="I2290" t="str">
        <f t="shared" si="39"/>
        <v>2112_1</v>
      </c>
      <c r="J2290" t="s">
        <v>428</v>
      </c>
      <c r="K2290" t="s">
        <v>429</v>
      </c>
      <c r="L2290" t="str">
        <f>_xlfn.XLOOKUP(C2290, Table2[Species],Table2[Genus], "Code Not Found")</f>
        <v>Fagus</v>
      </c>
      <c r="M2290" t="str">
        <f>_xlfn.XLOOKUP(C2290, Table2[Species],Table2[Sp. Name], "Code Not Found")</f>
        <v>grandifolia</v>
      </c>
      <c r="N2290" t="str">
        <f>_xlfn.XLOOKUP(C2290,Table2[Species],Table2[Family],"Code Not Found")</f>
        <v>Fagaceae</v>
      </c>
      <c r="O2290" t="str" cm="1">
        <f t="array" ref="O2290">_xlfn.IFS(F2290="","",F2290&lt;=5,"0 to 5",F2290&lt;=10,"5.1 to 10",F2290&lt;=20,"10 to 20", F2290&lt;= 40, "20 to 40", F2290 &lt;= 50, "40 to 50", F2290 &gt; 50, "&gt;50" )</f>
        <v>0 to 5</v>
      </c>
    </row>
    <row r="2291" spans="1:15" ht="15" customHeight="1" x14ac:dyDescent="0.3">
      <c r="A2291" t="s">
        <v>498</v>
      </c>
      <c r="B2291" s="1">
        <v>46211</v>
      </c>
      <c r="C2291" t="s">
        <v>16</v>
      </c>
      <c r="D2291">
        <v>2113</v>
      </c>
      <c r="E2291">
        <v>1</v>
      </c>
      <c r="F2291">
        <v>10.7</v>
      </c>
      <c r="G2291" t="s">
        <v>30</v>
      </c>
      <c r="H2291" t="s">
        <v>262</v>
      </c>
      <c r="I2291" t="str">
        <f t="shared" si="39"/>
        <v>2113_1</v>
      </c>
      <c r="J2291" t="s">
        <v>428</v>
      </c>
      <c r="K2291" t="s">
        <v>429</v>
      </c>
      <c r="L2291" t="str">
        <f>_xlfn.XLOOKUP(C2291, Table2[Species],Table2[Genus], "Code Not Found")</f>
        <v>Acer</v>
      </c>
      <c r="M2291" t="str">
        <f>_xlfn.XLOOKUP(C2291, Table2[Species],Table2[Sp. Name], "Code Not Found")</f>
        <v>saccharum</v>
      </c>
      <c r="N2291" t="str">
        <f>_xlfn.XLOOKUP(C2291,Table2[Species],Table2[Family],"Code Not Found")</f>
        <v>Sapindaceae</v>
      </c>
      <c r="O2291" t="str" cm="1">
        <f t="array" ref="O2291">_xlfn.IFS(F2291="","",F2291&lt;=5,"0 to 5",F2291&lt;=10,"5.1 to 10",F2291&lt;=20,"10 to 20", F2291&lt;= 40, "20 to 40", F2291 &lt;= 50, "40 to 50", F2291 &gt; 50, "&gt;50" )</f>
        <v>10 to 20</v>
      </c>
    </row>
    <row r="2292" spans="1:15" ht="15" customHeight="1" x14ac:dyDescent="0.3">
      <c r="A2292" t="s">
        <v>498</v>
      </c>
      <c r="B2292" s="1">
        <v>46211</v>
      </c>
      <c r="C2292" t="s">
        <v>64</v>
      </c>
      <c r="D2292">
        <v>2114</v>
      </c>
      <c r="E2292">
        <v>1</v>
      </c>
      <c r="F2292">
        <v>6.2</v>
      </c>
      <c r="G2292" t="s">
        <v>21</v>
      </c>
      <c r="I2292" t="str">
        <f t="shared" si="39"/>
        <v>2114_1</v>
      </c>
      <c r="J2292" t="s">
        <v>428</v>
      </c>
      <c r="K2292" t="s">
        <v>429</v>
      </c>
      <c r="L2292" t="str">
        <f>_xlfn.XLOOKUP(C2292, Table2[Species],Table2[Genus], "Code Not Found")</f>
        <v>Fagus</v>
      </c>
      <c r="M2292" t="str">
        <f>_xlfn.XLOOKUP(C2292, Table2[Species],Table2[Sp. Name], "Code Not Found")</f>
        <v>grandifolia</v>
      </c>
      <c r="N2292" t="str">
        <f>_xlfn.XLOOKUP(C2292,Table2[Species],Table2[Family],"Code Not Found")</f>
        <v>Fagaceae</v>
      </c>
      <c r="O2292" t="str" cm="1">
        <f t="array" ref="O2292">_xlfn.IFS(F2292="","",F2292&lt;=5,"0 to 5",F2292&lt;=10,"5.1 to 10",F2292&lt;=20,"10 to 20", F2292&lt;= 40, "20 to 40", F2292 &lt;= 50, "40 to 50", F2292 &gt; 50, "&gt;50" )</f>
        <v>5.1 to 10</v>
      </c>
    </row>
    <row r="2293" spans="1:15" ht="15" customHeight="1" x14ac:dyDescent="0.3">
      <c r="A2293" t="s">
        <v>498</v>
      </c>
      <c r="B2293" s="1">
        <v>46211</v>
      </c>
      <c r="C2293" t="s">
        <v>64</v>
      </c>
      <c r="D2293">
        <v>2115</v>
      </c>
      <c r="E2293">
        <v>1</v>
      </c>
      <c r="F2293">
        <v>5.8</v>
      </c>
      <c r="G2293" t="s">
        <v>21</v>
      </c>
      <c r="I2293" t="str">
        <f t="shared" si="39"/>
        <v>2115_1</v>
      </c>
      <c r="J2293" t="s">
        <v>428</v>
      </c>
      <c r="K2293" t="s">
        <v>429</v>
      </c>
      <c r="L2293" t="str">
        <f>_xlfn.XLOOKUP(C2293, Table2[Species],Table2[Genus], "Code Not Found")</f>
        <v>Fagus</v>
      </c>
      <c r="M2293" t="str">
        <f>_xlfn.XLOOKUP(C2293, Table2[Species],Table2[Sp. Name], "Code Not Found")</f>
        <v>grandifolia</v>
      </c>
      <c r="N2293" t="str">
        <f>_xlfn.XLOOKUP(C2293,Table2[Species],Table2[Family],"Code Not Found")</f>
        <v>Fagaceae</v>
      </c>
      <c r="O2293" t="str" cm="1">
        <f t="array" ref="O2293">_xlfn.IFS(F2293="","",F2293&lt;=5,"0 to 5",F2293&lt;=10,"5.1 to 10",F2293&lt;=20,"10 to 20", F2293&lt;= 40, "20 to 40", F2293 &lt;= 50, "40 to 50", F2293 &gt; 50, "&gt;50" )</f>
        <v>5.1 to 10</v>
      </c>
    </row>
    <row r="2294" spans="1:15" ht="15" customHeight="1" x14ac:dyDescent="0.3">
      <c r="A2294" t="s">
        <v>498</v>
      </c>
      <c r="B2294" s="1">
        <v>46211</v>
      </c>
      <c r="C2294" t="s">
        <v>64</v>
      </c>
      <c r="D2294">
        <v>2116</v>
      </c>
      <c r="E2294">
        <v>1</v>
      </c>
      <c r="F2294">
        <v>4.4000000000000004</v>
      </c>
      <c r="G2294" t="s">
        <v>94</v>
      </c>
      <c r="H2294" t="s">
        <v>377</v>
      </c>
      <c r="I2294" t="str">
        <f t="shared" si="39"/>
        <v>2116_1</v>
      </c>
      <c r="J2294" t="s">
        <v>428</v>
      </c>
      <c r="K2294" t="s">
        <v>429</v>
      </c>
      <c r="L2294" t="str">
        <f>_xlfn.XLOOKUP(C2294, Table2[Species],Table2[Genus], "Code Not Found")</f>
        <v>Fagus</v>
      </c>
      <c r="M2294" t="str">
        <f>_xlfn.XLOOKUP(C2294, Table2[Species],Table2[Sp. Name], "Code Not Found")</f>
        <v>grandifolia</v>
      </c>
      <c r="N2294" t="str">
        <f>_xlfn.XLOOKUP(C2294,Table2[Species],Table2[Family],"Code Not Found")</f>
        <v>Fagaceae</v>
      </c>
      <c r="O2294" t="str" cm="1">
        <f t="array" ref="O2294">_xlfn.IFS(F2294="","",F2294&lt;=5,"0 to 5",F2294&lt;=10,"5.1 to 10",F2294&lt;=20,"10 to 20", F2294&lt;= 40, "20 to 40", F2294 &lt;= 50, "40 to 50", F2294 &gt; 50, "&gt;50" )</f>
        <v>0 to 5</v>
      </c>
    </row>
    <row r="2295" spans="1:15" ht="15" customHeight="1" x14ac:dyDescent="0.3">
      <c r="A2295" t="s">
        <v>498</v>
      </c>
      <c r="B2295" s="1">
        <v>46211</v>
      </c>
      <c r="C2295" t="s">
        <v>16</v>
      </c>
      <c r="D2295">
        <v>2117</v>
      </c>
      <c r="E2295">
        <v>1</v>
      </c>
      <c r="F2295">
        <v>2.9</v>
      </c>
      <c r="G2295" t="s">
        <v>30</v>
      </c>
      <c r="H2295" t="s">
        <v>262</v>
      </c>
      <c r="I2295" t="str">
        <f t="shared" si="39"/>
        <v>2117_1</v>
      </c>
      <c r="J2295" t="s">
        <v>428</v>
      </c>
      <c r="K2295" t="s">
        <v>429</v>
      </c>
      <c r="L2295" t="str">
        <f>_xlfn.XLOOKUP(C2295, Table2[Species],Table2[Genus], "Code Not Found")</f>
        <v>Acer</v>
      </c>
      <c r="M2295" t="str">
        <f>_xlfn.XLOOKUP(C2295, Table2[Species],Table2[Sp. Name], "Code Not Found")</f>
        <v>saccharum</v>
      </c>
      <c r="N2295" t="str">
        <f>_xlfn.XLOOKUP(C2295,Table2[Species],Table2[Family],"Code Not Found")</f>
        <v>Sapindaceae</v>
      </c>
      <c r="O2295" t="str" cm="1">
        <f t="array" ref="O2295">_xlfn.IFS(F2295="","",F2295&lt;=5,"0 to 5",F2295&lt;=10,"5.1 to 10",F2295&lt;=20,"10 to 20", F2295&lt;= 40, "20 to 40", F2295 &lt;= 50, "40 to 50", F2295 &gt; 50, "&gt;50" )</f>
        <v>0 to 5</v>
      </c>
    </row>
    <row r="2296" spans="1:15" ht="15" customHeight="1" x14ac:dyDescent="0.3">
      <c r="A2296" t="s">
        <v>498</v>
      </c>
      <c r="B2296" s="1">
        <v>46211</v>
      </c>
      <c r="C2296" t="s">
        <v>430</v>
      </c>
      <c r="D2296">
        <v>2118</v>
      </c>
      <c r="E2296">
        <v>1</v>
      </c>
      <c r="F2296">
        <v>6.1</v>
      </c>
      <c r="G2296" t="s">
        <v>381</v>
      </c>
      <c r="H2296" t="s">
        <v>99</v>
      </c>
      <c r="I2296" t="str">
        <f t="shared" si="39"/>
        <v>2118_1</v>
      </c>
      <c r="J2296" t="s">
        <v>428</v>
      </c>
      <c r="K2296" t="s">
        <v>429</v>
      </c>
      <c r="L2296" t="str">
        <f>_xlfn.XLOOKUP(C2296, Table2[Species],Table2[Genus], "Code Not Found")</f>
        <v>Tsuga</v>
      </c>
      <c r="M2296" t="str">
        <f>_xlfn.XLOOKUP(C2296, Table2[Species],Table2[Sp. Name], "Code Not Found")</f>
        <v>canadensis</v>
      </c>
      <c r="N2296" t="str">
        <f>_xlfn.XLOOKUP(C2296,Table2[Species],Table2[Family],"Code Not Found")</f>
        <v>Pinaceae</v>
      </c>
      <c r="O2296" t="str" cm="1">
        <f t="array" ref="O2296">_xlfn.IFS(F2296="","",F2296&lt;=5,"0 to 5",F2296&lt;=10,"5.1 to 10",F2296&lt;=20,"10 to 20", F2296&lt;= 40, "20 to 40", F2296 &lt;= 50, "40 to 50", F2296 &gt; 50, "&gt;50" )</f>
        <v>5.1 to 10</v>
      </c>
    </row>
    <row r="2297" spans="1:15" ht="15" customHeight="1" x14ac:dyDescent="0.3">
      <c r="A2297" t="s">
        <v>498</v>
      </c>
      <c r="B2297" s="1">
        <v>46211</v>
      </c>
      <c r="C2297" t="s">
        <v>430</v>
      </c>
      <c r="D2297">
        <v>2119</v>
      </c>
      <c r="E2297">
        <v>1</v>
      </c>
      <c r="F2297">
        <v>10.1</v>
      </c>
      <c r="G2297" t="s">
        <v>17</v>
      </c>
      <c r="I2297" t="str">
        <f t="shared" si="39"/>
        <v>2119_1</v>
      </c>
      <c r="J2297" t="s">
        <v>428</v>
      </c>
      <c r="K2297" t="s">
        <v>429</v>
      </c>
      <c r="L2297" t="str">
        <f>_xlfn.XLOOKUP(C2297, Table2[Species],Table2[Genus], "Code Not Found")</f>
        <v>Tsuga</v>
      </c>
      <c r="M2297" t="str">
        <f>_xlfn.XLOOKUP(C2297, Table2[Species],Table2[Sp. Name], "Code Not Found")</f>
        <v>canadensis</v>
      </c>
      <c r="N2297" t="str">
        <f>_xlfn.XLOOKUP(C2297,Table2[Species],Table2[Family],"Code Not Found")</f>
        <v>Pinaceae</v>
      </c>
      <c r="O2297" t="str" cm="1">
        <f t="array" ref="O2297">_xlfn.IFS(F2297="","",F2297&lt;=5,"0 to 5",F2297&lt;=10,"5.1 to 10",F2297&lt;=20,"10 to 20", F2297&lt;= 40, "20 to 40", F2297 &lt;= 50, "40 to 50", F2297 &gt; 50, "&gt;50" )</f>
        <v>10 to 20</v>
      </c>
    </row>
    <row r="2298" spans="1:15" ht="15" customHeight="1" x14ac:dyDescent="0.3">
      <c r="A2298" t="s">
        <v>498</v>
      </c>
      <c r="B2298" s="1">
        <v>46211</v>
      </c>
      <c r="C2298" t="s">
        <v>430</v>
      </c>
      <c r="D2298">
        <v>2120</v>
      </c>
      <c r="E2298">
        <v>1</v>
      </c>
      <c r="F2298">
        <v>21</v>
      </c>
      <c r="G2298" t="s">
        <v>21</v>
      </c>
      <c r="I2298" t="str">
        <f t="shared" si="39"/>
        <v>2120_1</v>
      </c>
      <c r="J2298" t="s">
        <v>428</v>
      </c>
      <c r="K2298" t="s">
        <v>429</v>
      </c>
      <c r="L2298" t="str">
        <f>_xlfn.XLOOKUP(C2298, Table2[Species],Table2[Genus], "Code Not Found")</f>
        <v>Tsuga</v>
      </c>
      <c r="M2298" t="str">
        <f>_xlfn.XLOOKUP(C2298, Table2[Species],Table2[Sp. Name], "Code Not Found")</f>
        <v>canadensis</v>
      </c>
      <c r="N2298" t="str">
        <f>_xlfn.XLOOKUP(C2298,Table2[Species],Table2[Family],"Code Not Found")</f>
        <v>Pinaceae</v>
      </c>
      <c r="O2298" t="str" cm="1">
        <f t="array" ref="O2298">_xlfn.IFS(F2298="","",F2298&lt;=5,"0 to 5",F2298&lt;=10,"5.1 to 10",F2298&lt;=20,"10 to 20", F2298&lt;= 40, "20 to 40", F2298 &lt;= 50, "40 to 50", F2298 &gt; 50, "&gt;50" )</f>
        <v>20 to 40</v>
      </c>
    </row>
    <row r="2299" spans="1:15" ht="15" customHeight="1" x14ac:dyDescent="0.3">
      <c r="A2299" t="s">
        <v>498</v>
      </c>
      <c r="B2299" s="1">
        <v>46211</v>
      </c>
      <c r="C2299" t="s">
        <v>430</v>
      </c>
      <c r="D2299">
        <v>2121</v>
      </c>
      <c r="E2299">
        <v>1</v>
      </c>
      <c r="F2299">
        <v>3.3</v>
      </c>
      <c r="G2299" t="s">
        <v>88</v>
      </c>
      <c r="H2299" t="s">
        <v>305</v>
      </c>
      <c r="I2299" t="str">
        <f t="shared" si="39"/>
        <v>2121_1</v>
      </c>
      <c r="J2299" t="s">
        <v>428</v>
      </c>
      <c r="K2299" t="s">
        <v>429</v>
      </c>
      <c r="L2299" t="str">
        <f>_xlfn.XLOOKUP(C2299, Table2[Species],Table2[Genus], "Code Not Found")</f>
        <v>Tsuga</v>
      </c>
      <c r="M2299" t="str">
        <f>_xlfn.XLOOKUP(C2299, Table2[Species],Table2[Sp. Name], "Code Not Found")</f>
        <v>canadensis</v>
      </c>
      <c r="N2299" t="str">
        <f>_xlfn.XLOOKUP(C2299,Table2[Species],Table2[Family],"Code Not Found")</f>
        <v>Pinaceae</v>
      </c>
      <c r="O2299" t="str" cm="1">
        <f t="array" ref="O2299">_xlfn.IFS(F2299="","",F2299&lt;=5,"0 to 5",F2299&lt;=10,"5.1 to 10",F2299&lt;=20,"10 to 20", F2299&lt;= 40, "20 to 40", F2299 &lt;= 50, "40 to 50", F2299 &gt; 50, "&gt;50" )</f>
        <v>0 to 5</v>
      </c>
    </row>
    <row r="2300" spans="1:15" ht="15" customHeight="1" x14ac:dyDescent="0.3">
      <c r="A2300" t="s">
        <v>498</v>
      </c>
      <c r="B2300" s="1">
        <v>46211</v>
      </c>
      <c r="C2300" t="s">
        <v>16</v>
      </c>
      <c r="D2300">
        <v>2122</v>
      </c>
      <c r="E2300">
        <v>1</v>
      </c>
      <c r="F2300">
        <v>63.3</v>
      </c>
      <c r="G2300" t="s">
        <v>56</v>
      </c>
      <c r="I2300" t="str">
        <f t="shared" si="39"/>
        <v>2122_1</v>
      </c>
      <c r="J2300" t="s">
        <v>428</v>
      </c>
      <c r="K2300" t="s">
        <v>429</v>
      </c>
      <c r="L2300" t="str">
        <f>_xlfn.XLOOKUP(C2300, Table2[Species],Table2[Genus], "Code Not Found")</f>
        <v>Acer</v>
      </c>
      <c r="M2300" t="str">
        <f>_xlfn.XLOOKUP(C2300, Table2[Species],Table2[Sp. Name], "Code Not Found")</f>
        <v>saccharum</v>
      </c>
      <c r="N2300" t="str">
        <f>_xlfn.XLOOKUP(C2300,Table2[Species],Table2[Family],"Code Not Found")</f>
        <v>Sapindaceae</v>
      </c>
      <c r="O2300" t="str" cm="1">
        <f t="array" ref="O2300">_xlfn.IFS(F2300="","",F2300&lt;=5,"0 to 5",F2300&lt;=10,"5.1 to 10",F2300&lt;=20,"10 to 20", F2300&lt;= 40, "20 to 40", F2300 &lt;= 50, "40 to 50", F2300 &gt; 50, "&gt;50" )</f>
        <v>&gt;50</v>
      </c>
    </row>
    <row r="2301" spans="1:15" ht="15" customHeight="1" x14ac:dyDescent="0.3">
      <c r="A2301" t="s">
        <v>498</v>
      </c>
      <c r="B2301" s="1">
        <v>46211</v>
      </c>
      <c r="C2301" t="s">
        <v>430</v>
      </c>
      <c r="D2301">
        <v>2123</v>
      </c>
      <c r="E2301">
        <v>1</v>
      </c>
      <c r="F2301">
        <v>16.2</v>
      </c>
      <c r="G2301" t="s">
        <v>88</v>
      </c>
      <c r="H2301" t="s">
        <v>262</v>
      </c>
      <c r="I2301" t="str">
        <f t="shared" si="39"/>
        <v>2123_1</v>
      </c>
      <c r="J2301" t="s">
        <v>428</v>
      </c>
      <c r="K2301" t="s">
        <v>429</v>
      </c>
      <c r="L2301" t="str">
        <f>_xlfn.XLOOKUP(C2301, Table2[Species],Table2[Genus], "Code Not Found")</f>
        <v>Tsuga</v>
      </c>
      <c r="M2301" t="str">
        <f>_xlfn.XLOOKUP(C2301, Table2[Species],Table2[Sp. Name], "Code Not Found")</f>
        <v>canadensis</v>
      </c>
      <c r="N2301" t="str">
        <f>_xlfn.XLOOKUP(C2301,Table2[Species],Table2[Family],"Code Not Found")</f>
        <v>Pinaceae</v>
      </c>
      <c r="O2301" t="str" cm="1">
        <f t="array" ref="O2301">_xlfn.IFS(F2301="","",F2301&lt;=5,"0 to 5",F2301&lt;=10,"5.1 to 10",F2301&lt;=20,"10 to 20", F2301&lt;= 40, "20 to 40", F2301 &lt;= 50, "40 to 50", F2301 &gt; 50, "&gt;50" )</f>
        <v>10 to 20</v>
      </c>
    </row>
    <row r="2302" spans="1:15" ht="15" customHeight="1" x14ac:dyDescent="0.3">
      <c r="A2302" t="s">
        <v>498</v>
      </c>
      <c r="B2302" s="1">
        <v>46211</v>
      </c>
      <c r="C2302" t="s">
        <v>430</v>
      </c>
      <c r="D2302">
        <v>2124</v>
      </c>
      <c r="E2302">
        <v>1</v>
      </c>
      <c r="F2302">
        <v>8.8000000000000007</v>
      </c>
      <c r="G2302" t="s">
        <v>381</v>
      </c>
      <c r="H2302" t="s">
        <v>492</v>
      </c>
      <c r="I2302" t="str">
        <f t="shared" si="39"/>
        <v>2124_1</v>
      </c>
      <c r="J2302" t="s">
        <v>428</v>
      </c>
      <c r="K2302" t="s">
        <v>429</v>
      </c>
      <c r="L2302" t="str">
        <f>_xlfn.XLOOKUP(C2302, Table2[Species],Table2[Genus], "Code Not Found")</f>
        <v>Tsuga</v>
      </c>
      <c r="M2302" t="str">
        <f>_xlfn.XLOOKUP(C2302, Table2[Species],Table2[Sp. Name], "Code Not Found")</f>
        <v>canadensis</v>
      </c>
      <c r="N2302" t="str">
        <f>_xlfn.XLOOKUP(C2302,Table2[Species],Table2[Family],"Code Not Found")</f>
        <v>Pinaceae</v>
      </c>
      <c r="O2302" t="str" cm="1">
        <f t="array" ref="O2302">_xlfn.IFS(F2302="","",F2302&lt;=5,"0 to 5",F2302&lt;=10,"5.1 to 10",F2302&lt;=20,"10 to 20", F2302&lt;= 40, "20 to 40", F2302 &lt;= 50, "40 to 50", F2302 &gt; 50, "&gt;50" )</f>
        <v>5.1 to 10</v>
      </c>
    </row>
    <row r="2303" spans="1:15" ht="15" customHeight="1" x14ac:dyDescent="0.3">
      <c r="A2303" t="s">
        <v>498</v>
      </c>
      <c r="B2303" s="1">
        <v>46211</v>
      </c>
      <c r="C2303" t="s">
        <v>430</v>
      </c>
      <c r="D2303">
        <v>2125</v>
      </c>
      <c r="E2303">
        <v>1</v>
      </c>
      <c r="F2303">
        <v>14.3</v>
      </c>
      <c r="G2303" t="s">
        <v>47</v>
      </c>
      <c r="H2303" t="s">
        <v>502</v>
      </c>
      <c r="I2303" t="str">
        <f t="shared" si="39"/>
        <v>2125_1</v>
      </c>
      <c r="J2303" t="s">
        <v>428</v>
      </c>
      <c r="K2303" t="s">
        <v>429</v>
      </c>
      <c r="L2303" t="str">
        <f>_xlfn.XLOOKUP(C2303, Table2[Species],Table2[Genus], "Code Not Found")</f>
        <v>Tsuga</v>
      </c>
      <c r="M2303" t="str">
        <f>_xlfn.XLOOKUP(C2303, Table2[Species],Table2[Sp. Name], "Code Not Found")</f>
        <v>canadensis</v>
      </c>
      <c r="N2303" t="str">
        <f>_xlfn.XLOOKUP(C2303,Table2[Species],Table2[Family],"Code Not Found")</f>
        <v>Pinaceae</v>
      </c>
      <c r="O2303" t="str" cm="1">
        <f t="array" ref="O2303">_xlfn.IFS(F2303="","",F2303&lt;=5,"0 to 5",F2303&lt;=10,"5.1 to 10",F2303&lt;=20,"10 to 20", F2303&lt;= 40, "20 to 40", F2303 &lt;= 50, "40 to 50", F2303 &gt; 50, "&gt;50" )</f>
        <v>10 to 20</v>
      </c>
    </row>
    <row r="2304" spans="1:15" ht="15" customHeight="1" x14ac:dyDescent="0.3">
      <c r="A2304" t="s">
        <v>498</v>
      </c>
      <c r="B2304" s="1">
        <v>46211</v>
      </c>
      <c r="C2304" t="s">
        <v>16</v>
      </c>
      <c r="D2304">
        <v>2126</v>
      </c>
      <c r="E2304">
        <v>1</v>
      </c>
      <c r="F2304">
        <v>35.5</v>
      </c>
      <c r="G2304" t="s">
        <v>21</v>
      </c>
      <c r="I2304" t="str">
        <f t="shared" si="39"/>
        <v>2126_1</v>
      </c>
      <c r="J2304" t="s">
        <v>428</v>
      </c>
      <c r="K2304" t="s">
        <v>429</v>
      </c>
      <c r="L2304" t="str">
        <f>_xlfn.XLOOKUP(C2304, Table2[Species],Table2[Genus], "Code Not Found")</f>
        <v>Acer</v>
      </c>
      <c r="M2304" t="str">
        <f>_xlfn.XLOOKUP(C2304, Table2[Species],Table2[Sp. Name], "Code Not Found")</f>
        <v>saccharum</v>
      </c>
      <c r="N2304" t="str">
        <f>_xlfn.XLOOKUP(C2304,Table2[Species],Table2[Family],"Code Not Found")</f>
        <v>Sapindaceae</v>
      </c>
      <c r="O2304" t="str" cm="1">
        <f t="array" ref="O2304">_xlfn.IFS(F2304="","",F2304&lt;=5,"0 to 5",F2304&lt;=10,"5.1 to 10",F2304&lt;=20,"10 to 20", F2304&lt;= 40, "20 to 40", F2304 &lt;= 50, "40 to 50", F2304 &gt; 50, "&gt;50" )</f>
        <v>20 to 40</v>
      </c>
    </row>
    <row r="2305" spans="1:15" ht="15" customHeight="1" x14ac:dyDescent="0.3">
      <c r="A2305" t="s">
        <v>498</v>
      </c>
      <c r="B2305" s="1">
        <v>46211</v>
      </c>
      <c r="C2305" t="s">
        <v>64</v>
      </c>
      <c r="D2305">
        <v>2127</v>
      </c>
      <c r="E2305">
        <v>1</v>
      </c>
      <c r="F2305">
        <v>1.2</v>
      </c>
      <c r="G2305" t="s">
        <v>47</v>
      </c>
      <c r="H2305" t="s">
        <v>467</v>
      </c>
      <c r="I2305" t="str">
        <f t="shared" si="39"/>
        <v>2127_1</v>
      </c>
      <c r="J2305" t="s">
        <v>428</v>
      </c>
      <c r="K2305" t="s">
        <v>429</v>
      </c>
      <c r="L2305" t="str">
        <f>_xlfn.XLOOKUP(C2305, Table2[Species],Table2[Genus], "Code Not Found")</f>
        <v>Fagus</v>
      </c>
      <c r="M2305" t="str">
        <f>_xlfn.XLOOKUP(C2305, Table2[Species],Table2[Sp. Name], "Code Not Found")</f>
        <v>grandifolia</v>
      </c>
      <c r="N2305" t="str">
        <f>_xlfn.XLOOKUP(C2305,Table2[Species],Table2[Family],"Code Not Found")</f>
        <v>Fagaceae</v>
      </c>
      <c r="O2305" t="str" cm="1">
        <f t="array" ref="O2305">_xlfn.IFS(F2305="","",F2305&lt;=5,"0 to 5",F2305&lt;=10,"5.1 to 10",F2305&lt;=20,"10 to 20", F2305&lt;= 40, "20 to 40", F2305 &lt;= 50, "40 to 50", F2305 &gt; 50, "&gt;50" )</f>
        <v>0 to 5</v>
      </c>
    </row>
    <row r="2306" spans="1:15" ht="15" customHeight="1" x14ac:dyDescent="0.3">
      <c r="A2306" t="s">
        <v>498</v>
      </c>
      <c r="B2306" s="1">
        <v>46211</v>
      </c>
      <c r="C2306" t="s">
        <v>430</v>
      </c>
      <c r="D2306">
        <v>2128</v>
      </c>
      <c r="E2306">
        <v>1</v>
      </c>
      <c r="F2306">
        <v>22.8</v>
      </c>
      <c r="G2306" t="s">
        <v>17</v>
      </c>
      <c r="I2306" t="str">
        <f t="shared" si="39"/>
        <v>2128_1</v>
      </c>
      <c r="J2306" t="s">
        <v>428</v>
      </c>
      <c r="K2306" t="s">
        <v>429</v>
      </c>
      <c r="L2306" t="str">
        <f>_xlfn.XLOOKUP(C2306, Table2[Species],Table2[Genus], "Code Not Found")</f>
        <v>Tsuga</v>
      </c>
      <c r="M2306" t="str">
        <f>_xlfn.XLOOKUP(C2306, Table2[Species],Table2[Sp. Name], "Code Not Found")</f>
        <v>canadensis</v>
      </c>
      <c r="N2306" t="str">
        <f>_xlfn.XLOOKUP(C2306,Table2[Species],Table2[Family],"Code Not Found")</f>
        <v>Pinaceae</v>
      </c>
      <c r="O2306" t="str" cm="1">
        <f t="array" ref="O2306">_xlfn.IFS(F2306="","",F2306&lt;=5,"0 to 5",F2306&lt;=10,"5.1 to 10",F2306&lt;=20,"10 to 20", F2306&lt;= 40, "20 to 40", F2306 &lt;= 50, "40 to 50", F2306 &gt; 50, "&gt;50" )</f>
        <v>20 to 40</v>
      </c>
    </row>
    <row r="2307" spans="1:15" ht="15" customHeight="1" x14ac:dyDescent="0.3">
      <c r="A2307" t="s">
        <v>498</v>
      </c>
      <c r="B2307" s="1">
        <v>46211</v>
      </c>
      <c r="C2307" t="s">
        <v>16</v>
      </c>
      <c r="D2307">
        <v>2129</v>
      </c>
      <c r="E2307">
        <v>1</v>
      </c>
      <c r="F2307">
        <v>44.1</v>
      </c>
      <c r="G2307" t="s">
        <v>21</v>
      </c>
      <c r="I2307" t="str">
        <f t="shared" si="39"/>
        <v>2129_1</v>
      </c>
      <c r="J2307" t="s">
        <v>428</v>
      </c>
      <c r="K2307" t="s">
        <v>429</v>
      </c>
      <c r="L2307" t="str">
        <f>_xlfn.XLOOKUP(C2307, Table2[Species],Table2[Genus], "Code Not Found")</f>
        <v>Acer</v>
      </c>
      <c r="M2307" t="str">
        <f>_xlfn.XLOOKUP(C2307, Table2[Species],Table2[Sp. Name], "Code Not Found")</f>
        <v>saccharum</v>
      </c>
      <c r="N2307" t="str">
        <f>_xlfn.XLOOKUP(C2307,Table2[Species],Table2[Family],"Code Not Found")</f>
        <v>Sapindaceae</v>
      </c>
      <c r="O2307" t="str" cm="1">
        <f t="array" ref="O2307">_xlfn.IFS(F2307="","",F2307&lt;=5,"0 to 5",F2307&lt;=10,"5.1 to 10",F2307&lt;=20,"10 to 20", F2307&lt;= 40, "20 to 40", F2307 &lt;= 50, "40 to 50", F2307 &gt; 50, "&gt;50" )</f>
        <v>40 to 50</v>
      </c>
    </row>
    <row r="2308" spans="1:15" ht="15" customHeight="1" x14ac:dyDescent="0.3">
      <c r="A2308" t="s">
        <v>498</v>
      </c>
      <c r="B2308" s="1">
        <v>46211</v>
      </c>
      <c r="C2308" t="s">
        <v>16</v>
      </c>
      <c r="D2308">
        <v>2130</v>
      </c>
      <c r="E2308">
        <v>1</v>
      </c>
      <c r="F2308">
        <v>6.9</v>
      </c>
      <c r="G2308" t="s">
        <v>56</v>
      </c>
      <c r="I2308" t="str">
        <f t="shared" si="39"/>
        <v>2130_1</v>
      </c>
      <c r="J2308" t="s">
        <v>428</v>
      </c>
      <c r="K2308" t="s">
        <v>429</v>
      </c>
      <c r="L2308" t="str">
        <f>_xlfn.XLOOKUP(C2308, Table2[Species],Table2[Genus], "Code Not Found")</f>
        <v>Acer</v>
      </c>
      <c r="M2308" t="str">
        <f>_xlfn.XLOOKUP(C2308, Table2[Species],Table2[Sp. Name], "Code Not Found")</f>
        <v>saccharum</v>
      </c>
      <c r="N2308" t="str">
        <f>_xlfn.XLOOKUP(C2308,Table2[Species],Table2[Family],"Code Not Found")</f>
        <v>Sapindaceae</v>
      </c>
      <c r="O2308" t="str" cm="1">
        <f t="array" ref="O2308">_xlfn.IFS(F2308="","",F2308&lt;=5,"0 to 5",F2308&lt;=10,"5.1 to 10",F2308&lt;=20,"10 to 20", F2308&lt;= 40, "20 to 40", F2308 &lt;= 50, "40 to 50", F2308 &gt; 50, "&gt;50" )</f>
        <v>5.1 to 10</v>
      </c>
    </row>
    <row r="2309" spans="1:15" ht="15" customHeight="1" x14ac:dyDescent="0.3">
      <c r="A2309" t="s">
        <v>498</v>
      </c>
      <c r="B2309" s="1">
        <v>46211</v>
      </c>
      <c r="C2309" t="s">
        <v>64</v>
      </c>
      <c r="D2309">
        <v>2131</v>
      </c>
      <c r="E2309">
        <v>1</v>
      </c>
      <c r="F2309">
        <v>4.4000000000000004</v>
      </c>
      <c r="G2309" t="s">
        <v>21</v>
      </c>
      <c r="I2309" t="str">
        <f t="shared" si="39"/>
        <v>2131_1</v>
      </c>
      <c r="J2309" t="s">
        <v>428</v>
      </c>
      <c r="K2309" t="s">
        <v>429</v>
      </c>
      <c r="L2309" t="str">
        <f>_xlfn.XLOOKUP(C2309, Table2[Species],Table2[Genus], "Code Not Found")</f>
        <v>Fagus</v>
      </c>
      <c r="M2309" t="str">
        <f>_xlfn.XLOOKUP(C2309, Table2[Species],Table2[Sp. Name], "Code Not Found")</f>
        <v>grandifolia</v>
      </c>
      <c r="N2309" t="str">
        <f>_xlfn.XLOOKUP(C2309,Table2[Species],Table2[Family],"Code Not Found")</f>
        <v>Fagaceae</v>
      </c>
      <c r="O2309" t="str" cm="1">
        <f t="array" ref="O2309">_xlfn.IFS(F2309="","",F2309&lt;=5,"0 to 5",F2309&lt;=10,"5.1 to 10",F2309&lt;=20,"10 to 20", F2309&lt;= 40, "20 to 40", F2309 &lt;= 50, "40 to 50", F2309 &gt; 50, "&gt;50" )</f>
        <v>0 to 5</v>
      </c>
    </row>
    <row r="2310" spans="1:15" ht="15" customHeight="1" x14ac:dyDescent="0.3">
      <c r="A2310" t="s">
        <v>498</v>
      </c>
      <c r="B2310" s="1">
        <v>46211</v>
      </c>
      <c r="C2310" t="s">
        <v>64</v>
      </c>
      <c r="D2310">
        <v>2132</v>
      </c>
      <c r="E2310">
        <v>1</v>
      </c>
      <c r="F2310">
        <v>1.8</v>
      </c>
      <c r="G2310" t="s">
        <v>503</v>
      </c>
      <c r="I2310" t="str">
        <f t="shared" si="39"/>
        <v>2132_1</v>
      </c>
      <c r="J2310" t="s">
        <v>428</v>
      </c>
      <c r="K2310" t="s">
        <v>429</v>
      </c>
      <c r="L2310" t="str">
        <f>_xlfn.XLOOKUP(C2310, Table2[Species],Table2[Genus], "Code Not Found")</f>
        <v>Fagus</v>
      </c>
      <c r="M2310" t="str">
        <f>_xlfn.XLOOKUP(C2310, Table2[Species],Table2[Sp. Name], "Code Not Found")</f>
        <v>grandifolia</v>
      </c>
      <c r="N2310" t="str">
        <f>_xlfn.XLOOKUP(C2310,Table2[Species],Table2[Family],"Code Not Found")</f>
        <v>Fagaceae</v>
      </c>
      <c r="O2310" t="str" cm="1">
        <f t="array" ref="O2310">_xlfn.IFS(F2310="","",F2310&lt;=5,"0 to 5",F2310&lt;=10,"5.1 to 10",F2310&lt;=20,"10 to 20", F2310&lt;= 40, "20 to 40", F2310 &lt;= 50, "40 to 50", F2310 &gt; 50, "&gt;50" )</f>
        <v>0 to 5</v>
      </c>
    </row>
    <row r="2311" spans="1:15" ht="15" customHeight="1" x14ac:dyDescent="0.3">
      <c r="A2311" t="s">
        <v>498</v>
      </c>
      <c r="B2311" s="1">
        <v>46211</v>
      </c>
      <c r="C2311" t="s">
        <v>64</v>
      </c>
      <c r="D2311">
        <v>2132</v>
      </c>
      <c r="E2311">
        <v>2</v>
      </c>
      <c r="F2311">
        <v>1.3</v>
      </c>
      <c r="G2311" t="s">
        <v>503</v>
      </c>
      <c r="I2311" t="str">
        <f t="shared" si="39"/>
        <v>2132_2</v>
      </c>
      <c r="J2311" t="s">
        <v>428</v>
      </c>
      <c r="K2311" t="s">
        <v>429</v>
      </c>
      <c r="L2311" t="str">
        <f>_xlfn.XLOOKUP(C2311, Table2[Species],Table2[Genus], "Code Not Found")</f>
        <v>Fagus</v>
      </c>
      <c r="M2311" t="str">
        <f>_xlfn.XLOOKUP(C2311, Table2[Species],Table2[Sp. Name], "Code Not Found")</f>
        <v>grandifolia</v>
      </c>
      <c r="N2311" t="str">
        <f>_xlfn.XLOOKUP(C2311,Table2[Species],Table2[Family],"Code Not Found")</f>
        <v>Fagaceae</v>
      </c>
      <c r="O2311" t="str" cm="1">
        <f t="array" ref="O2311">_xlfn.IFS(F2311="","",F2311&lt;=5,"0 to 5",F2311&lt;=10,"5.1 to 10",F2311&lt;=20,"10 to 20", F2311&lt;= 40, "20 to 40", F2311 &lt;= 50, "40 to 50", F2311 &gt; 50, "&gt;50" )</f>
        <v>0 to 5</v>
      </c>
    </row>
    <row r="2312" spans="1:15" ht="15" customHeight="1" x14ac:dyDescent="0.3">
      <c r="A2312" t="s">
        <v>498</v>
      </c>
      <c r="B2312" s="1">
        <v>46211</v>
      </c>
      <c r="C2312" t="s">
        <v>64</v>
      </c>
      <c r="D2312">
        <v>2133</v>
      </c>
      <c r="E2312">
        <v>1</v>
      </c>
      <c r="F2312">
        <v>5.9</v>
      </c>
      <c r="G2312" t="s">
        <v>21</v>
      </c>
      <c r="I2312" t="str">
        <f t="shared" si="39"/>
        <v>2133_1</v>
      </c>
      <c r="J2312" t="s">
        <v>428</v>
      </c>
      <c r="K2312" t="s">
        <v>429</v>
      </c>
      <c r="L2312" t="str">
        <f>_xlfn.XLOOKUP(C2312, Table2[Species],Table2[Genus], "Code Not Found")</f>
        <v>Fagus</v>
      </c>
      <c r="M2312" t="str">
        <f>_xlfn.XLOOKUP(C2312, Table2[Species],Table2[Sp. Name], "Code Not Found")</f>
        <v>grandifolia</v>
      </c>
      <c r="N2312" t="str">
        <f>_xlfn.XLOOKUP(C2312,Table2[Species],Table2[Family],"Code Not Found")</f>
        <v>Fagaceae</v>
      </c>
      <c r="O2312" t="str" cm="1">
        <f t="array" ref="O2312">_xlfn.IFS(F2312="","",F2312&lt;=5,"0 to 5",F2312&lt;=10,"5.1 to 10",F2312&lt;=20,"10 to 20", F2312&lt;= 40, "20 to 40", F2312 &lt;= 50, "40 to 50", F2312 &gt; 50, "&gt;50" )</f>
        <v>5.1 to 10</v>
      </c>
    </row>
    <row r="2313" spans="1:15" ht="15" customHeight="1" x14ac:dyDescent="0.3">
      <c r="A2313" t="s">
        <v>498</v>
      </c>
      <c r="B2313" s="1">
        <v>46211</v>
      </c>
      <c r="C2313" t="s">
        <v>64</v>
      </c>
      <c r="D2313">
        <v>2134</v>
      </c>
      <c r="E2313">
        <v>1</v>
      </c>
      <c r="F2313">
        <v>1.6</v>
      </c>
      <c r="G2313" t="s">
        <v>21</v>
      </c>
      <c r="I2313" t="str">
        <f t="shared" si="39"/>
        <v>2134_1</v>
      </c>
      <c r="J2313" t="s">
        <v>428</v>
      </c>
      <c r="K2313" t="s">
        <v>429</v>
      </c>
      <c r="L2313" t="str">
        <f>_xlfn.XLOOKUP(C2313, Table2[Species],Table2[Genus], "Code Not Found")</f>
        <v>Fagus</v>
      </c>
      <c r="M2313" t="str">
        <f>_xlfn.XLOOKUP(C2313, Table2[Species],Table2[Sp. Name], "Code Not Found")</f>
        <v>grandifolia</v>
      </c>
      <c r="N2313" t="str">
        <f>_xlfn.XLOOKUP(C2313,Table2[Species],Table2[Family],"Code Not Found")</f>
        <v>Fagaceae</v>
      </c>
      <c r="O2313" t="str" cm="1">
        <f t="array" ref="O2313">_xlfn.IFS(F2313="","",F2313&lt;=5,"0 to 5",F2313&lt;=10,"5.1 to 10",F2313&lt;=20,"10 to 20", F2313&lt;= 40, "20 to 40", F2313 &lt;= 50, "40 to 50", F2313 &gt; 50, "&gt;50" )</f>
        <v>0 to 5</v>
      </c>
    </row>
    <row r="2314" spans="1:15" ht="15" customHeight="1" x14ac:dyDescent="0.3">
      <c r="A2314" t="s">
        <v>498</v>
      </c>
      <c r="B2314" s="1">
        <v>46211</v>
      </c>
      <c r="C2314" t="s">
        <v>64</v>
      </c>
      <c r="D2314">
        <v>2135</v>
      </c>
      <c r="E2314">
        <v>1</v>
      </c>
      <c r="F2314">
        <v>2</v>
      </c>
      <c r="G2314" t="s">
        <v>139</v>
      </c>
      <c r="H2314" t="s">
        <v>504</v>
      </c>
      <c r="I2314" t="str">
        <f t="shared" si="39"/>
        <v>2135_1</v>
      </c>
      <c r="J2314" t="s">
        <v>428</v>
      </c>
      <c r="K2314" t="s">
        <v>429</v>
      </c>
      <c r="L2314" t="str">
        <f>_xlfn.XLOOKUP(C2314, Table2[Species],Table2[Genus], "Code Not Found")</f>
        <v>Fagus</v>
      </c>
      <c r="M2314" t="str">
        <f>_xlfn.XLOOKUP(C2314, Table2[Species],Table2[Sp. Name], "Code Not Found")</f>
        <v>grandifolia</v>
      </c>
      <c r="N2314" t="str">
        <f>_xlfn.XLOOKUP(C2314,Table2[Species],Table2[Family],"Code Not Found")</f>
        <v>Fagaceae</v>
      </c>
      <c r="O2314" t="str" cm="1">
        <f t="array" ref="O2314">_xlfn.IFS(F2314="","",F2314&lt;=5,"0 to 5",F2314&lt;=10,"5.1 to 10",F2314&lt;=20,"10 to 20", F2314&lt;= 40, "20 to 40", F2314 &lt;= 50, "40 to 50", F2314 &gt; 50, "&gt;50" )</f>
        <v>0 to 5</v>
      </c>
    </row>
    <row r="2315" spans="1:15" ht="15" customHeight="1" x14ac:dyDescent="0.3">
      <c r="A2315" t="s">
        <v>498</v>
      </c>
      <c r="B2315" s="1">
        <v>46211</v>
      </c>
      <c r="C2315" t="s">
        <v>16</v>
      </c>
      <c r="D2315">
        <v>2136</v>
      </c>
      <c r="E2315">
        <v>1</v>
      </c>
      <c r="F2315">
        <v>59.2</v>
      </c>
      <c r="G2315" t="s">
        <v>480</v>
      </c>
      <c r="I2315" t="str">
        <f t="shared" si="39"/>
        <v>2136_1</v>
      </c>
      <c r="J2315" t="s">
        <v>428</v>
      </c>
      <c r="K2315" t="s">
        <v>429</v>
      </c>
      <c r="L2315" t="str">
        <f>_xlfn.XLOOKUP(C2315, Table2[Species],Table2[Genus], "Code Not Found")</f>
        <v>Acer</v>
      </c>
      <c r="M2315" t="str">
        <f>_xlfn.XLOOKUP(C2315, Table2[Species],Table2[Sp. Name], "Code Not Found")</f>
        <v>saccharum</v>
      </c>
      <c r="N2315" t="str">
        <f>_xlfn.XLOOKUP(C2315,Table2[Species],Table2[Family],"Code Not Found")</f>
        <v>Sapindaceae</v>
      </c>
      <c r="O2315" t="str" cm="1">
        <f t="array" ref="O2315">_xlfn.IFS(F2315="","",F2315&lt;=5,"0 to 5",F2315&lt;=10,"5.1 to 10",F2315&lt;=20,"10 to 20", F2315&lt;= 40, "20 to 40", F2315 &lt;= 50, "40 to 50", F2315 &gt; 50, "&gt;50" )</f>
        <v>&gt;50</v>
      </c>
    </row>
    <row r="2316" spans="1:15" ht="15" customHeight="1" x14ac:dyDescent="0.3">
      <c r="A2316" t="s">
        <v>498</v>
      </c>
      <c r="B2316" s="1">
        <v>46211</v>
      </c>
      <c r="C2316" t="s">
        <v>64</v>
      </c>
      <c r="D2316">
        <v>2137</v>
      </c>
      <c r="E2316">
        <v>1</v>
      </c>
      <c r="F2316">
        <v>2.5</v>
      </c>
      <c r="G2316" t="s">
        <v>21</v>
      </c>
      <c r="I2316" t="str">
        <f t="shared" si="39"/>
        <v>2137_1</v>
      </c>
      <c r="J2316" t="s">
        <v>428</v>
      </c>
      <c r="K2316" t="s">
        <v>429</v>
      </c>
      <c r="L2316" t="str">
        <f>_xlfn.XLOOKUP(C2316, Table2[Species],Table2[Genus], "Code Not Found")</f>
        <v>Fagus</v>
      </c>
      <c r="M2316" t="str">
        <f>_xlfn.XLOOKUP(C2316, Table2[Species],Table2[Sp. Name], "Code Not Found")</f>
        <v>grandifolia</v>
      </c>
      <c r="N2316" t="str">
        <f>_xlfn.XLOOKUP(C2316,Table2[Species],Table2[Family],"Code Not Found")</f>
        <v>Fagaceae</v>
      </c>
      <c r="O2316" t="str" cm="1">
        <f t="array" ref="O2316">_xlfn.IFS(F2316="","",F2316&lt;=5,"0 to 5",F2316&lt;=10,"5.1 to 10",F2316&lt;=20,"10 to 20", F2316&lt;= 40, "20 to 40", F2316 &lt;= 50, "40 to 50", F2316 &gt; 50, "&gt;50" )</f>
        <v>0 to 5</v>
      </c>
    </row>
    <row r="2317" spans="1:15" ht="15" customHeight="1" x14ac:dyDescent="0.3">
      <c r="A2317" t="s">
        <v>498</v>
      </c>
      <c r="B2317" s="1">
        <v>46211</v>
      </c>
      <c r="C2317" t="s">
        <v>64</v>
      </c>
      <c r="D2317">
        <v>2138</v>
      </c>
      <c r="E2317">
        <v>1</v>
      </c>
      <c r="F2317">
        <v>1.3</v>
      </c>
      <c r="G2317" t="s">
        <v>359</v>
      </c>
      <c r="I2317" t="str">
        <f t="shared" si="39"/>
        <v>2138_1</v>
      </c>
      <c r="J2317" t="s">
        <v>428</v>
      </c>
      <c r="K2317" t="s">
        <v>429</v>
      </c>
      <c r="L2317" t="str">
        <f>_xlfn.XLOOKUP(C2317, Table2[Species],Table2[Genus], "Code Not Found")</f>
        <v>Fagus</v>
      </c>
      <c r="M2317" t="str">
        <f>_xlfn.XLOOKUP(C2317, Table2[Species],Table2[Sp. Name], "Code Not Found")</f>
        <v>grandifolia</v>
      </c>
      <c r="N2317" t="str">
        <f>_xlfn.XLOOKUP(C2317,Table2[Species],Table2[Family],"Code Not Found")</f>
        <v>Fagaceae</v>
      </c>
      <c r="O2317" t="str" cm="1">
        <f t="array" ref="O2317">_xlfn.IFS(F2317="","",F2317&lt;=5,"0 to 5",F2317&lt;=10,"5.1 to 10",F2317&lt;=20,"10 to 20", F2317&lt;= 40, "20 to 40", F2317 &lt;= 50, "40 to 50", F2317 &gt; 50, "&gt;50" )</f>
        <v>0 to 5</v>
      </c>
    </row>
    <row r="2318" spans="1:15" ht="15" customHeight="1" x14ac:dyDescent="0.3">
      <c r="A2318" t="s">
        <v>498</v>
      </c>
      <c r="B2318" s="1">
        <v>46211</v>
      </c>
      <c r="C2318" t="s">
        <v>64</v>
      </c>
      <c r="D2318">
        <v>2139</v>
      </c>
      <c r="E2318">
        <v>1</v>
      </c>
      <c r="F2318">
        <v>1.5</v>
      </c>
      <c r="G2318" t="s">
        <v>88</v>
      </c>
      <c r="H2318" t="s">
        <v>432</v>
      </c>
      <c r="I2318" t="str">
        <f t="shared" si="39"/>
        <v>2139_1</v>
      </c>
      <c r="J2318" t="s">
        <v>428</v>
      </c>
      <c r="K2318" t="s">
        <v>429</v>
      </c>
      <c r="L2318" t="str">
        <f>_xlfn.XLOOKUP(C2318, Table2[Species],Table2[Genus], "Code Not Found")</f>
        <v>Fagus</v>
      </c>
      <c r="M2318" t="str">
        <f>_xlfn.XLOOKUP(C2318, Table2[Species],Table2[Sp. Name], "Code Not Found")</f>
        <v>grandifolia</v>
      </c>
      <c r="N2318" t="str">
        <f>_xlfn.XLOOKUP(C2318,Table2[Species],Table2[Family],"Code Not Found")</f>
        <v>Fagaceae</v>
      </c>
      <c r="O2318" t="str" cm="1">
        <f t="array" ref="O2318">_xlfn.IFS(F2318="","",F2318&lt;=5,"0 to 5",F2318&lt;=10,"5.1 to 10",F2318&lt;=20,"10 to 20", F2318&lt;= 40, "20 to 40", F2318 &lt;= 50, "40 to 50", F2318 &gt; 50, "&gt;50" )</f>
        <v>0 to 5</v>
      </c>
    </row>
    <row r="2319" spans="1:15" ht="15" customHeight="1" x14ac:dyDescent="0.3">
      <c r="A2319" t="s">
        <v>498</v>
      </c>
      <c r="B2319" s="1">
        <v>46211</v>
      </c>
      <c r="C2319" t="s">
        <v>16</v>
      </c>
      <c r="D2319">
        <v>2140</v>
      </c>
      <c r="E2319">
        <v>1</v>
      </c>
      <c r="F2319">
        <v>9</v>
      </c>
      <c r="G2319" t="s">
        <v>17</v>
      </c>
      <c r="I2319" t="str">
        <f t="shared" si="39"/>
        <v>2140_1</v>
      </c>
      <c r="J2319" t="s">
        <v>428</v>
      </c>
      <c r="K2319" t="s">
        <v>429</v>
      </c>
      <c r="L2319" t="str">
        <f>_xlfn.XLOOKUP(C2319, Table2[Species],Table2[Genus], "Code Not Found")</f>
        <v>Acer</v>
      </c>
      <c r="M2319" t="str">
        <f>_xlfn.XLOOKUP(C2319, Table2[Species],Table2[Sp. Name], "Code Not Found")</f>
        <v>saccharum</v>
      </c>
      <c r="N2319" t="str">
        <f>_xlfn.XLOOKUP(C2319,Table2[Species],Table2[Family],"Code Not Found")</f>
        <v>Sapindaceae</v>
      </c>
      <c r="O2319" t="str" cm="1">
        <f t="array" ref="O2319">_xlfn.IFS(F2319="","",F2319&lt;=5,"0 to 5",F2319&lt;=10,"5.1 to 10",F2319&lt;=20,"10 to 20", F2319&lt;= 40, "20 to 40", F2319 &lt;= 50, "40 to 50", F2319 &gt; 50, "&gt;50" )</f>
        <v>5.1 to 10</v>
      </c>
    </row>
    <row r="2320" spans="1:15" ht="15" customHeight="1" x14ac:dyDescent="0.3">
      <c r="A2320" t="s">
        <v>498</v>
      </c>
      <c r="B2320" s="1">
        <v>46211</v>
      </c>
      <c r="C2320" t="s">
        <v>20</v>
      </c>
      <c r="D2320">
        <v>2141</v>
      </c>
      <c r="E2320">
        <v>1</v>
      </c>
      <c r="F2320">
        <v>54.7</v>
      </c>
      <c r="G2320" t="s">
        <v>17</v>
      </c>
      <c r="H2320" t="s">
        <v>36</v>
      </c>
      <c r="I2320" t="str">
        <f t="shared" si="39"/>
        <v>2141_1</v>
      </c>
      <c r="J2320" t="s">
        <v>428</v>
      </c>
      <c r="K2320" t="s">
        <v>429</v>
      </c>
      <c r="L2320" t="str">
        <f>_xlfn.XLOOKUP(C2320, Table2[Species],Table2[Genus], "Code Not Found")</f>
        <v>Prunus</v>
      </c>
      <c r="M2320" t="str">
        <f>_xlfn.XLOOKUP(C2320, Table2[Species],Table2[Sp. Name], "Code Not Found")</f>
        <v>serotina</v>
      </c>
      <c r="N2320" t="str">
        <f>_xlfn.XLOOKUP(C2320,Table2[Species],Table2[Family],"Code Not Found")</f>
        <v>Rosaceae</v>
      </c>
      <c r="O2320" t="str" cm="1">
        <f t="array" ref="O2320">_xlfn.IFS(F2320="","",F2320&lt;=5,"0 to 5",F2320&lt;=10,"5.1 to 10",F2320&lt;=20,"10 to 20", F2320&lt;= 40, "20 to 40", F2320 &lt;= 50, "40 to 50", F2320 &gt; 50, "&gt;50" )</f>
        <v>&gt;50</v>
      </c>
    </row>
    <row r="2321" spans="1:15" ht="15" customHeight="1" x14ac:dyDescent="0.3">
      <c r="A2321" t="s">
        <v>498</v>
      </c>
      <c r="B2321" s="1">
        <v>46211</v>
      </c>
      <c r="C2321" t="s">
        <v>64</v>
      </c>
      <c r="D2321">
        <v>2142</v>
      </c>
      <c r="E2321">
        <v>1</v>
      </c>
      <c r="F2321">
        <v>2.7</v>
      </c>
      <c r="G2321" t="s">
        <v>94</v>
      </c>
      <c r="H2321" t="s">
        <v>99</v>
      </c>
      <c r="I2321" t="str">
        <f t="shared" si="39"/>
        <v>2142_1</v>
      </c>
      <c r="J2321" t="s">
        <v>428</v>
      </c>
      <c r="K2321" t="s">
        <v>429</v>
      </c>
      <c r="L2321" t="str">
        <f>_xlfn.XLOOKUP(C2321, Table2[Species],Table2[Genus], "Code Not Found")</f>
        <v>Fagus</v>
      </c>
      <c r="M2321" t="str">
        <f>_xlfn.XLOOKUP(C2321, Table2[Species],Table2[Sp. Name], "Code Not Found")</f>
        <v>grandifolia</v>
      </c>
      <c r="N2321" t="str">
        <f>_xlfn.XLOOKUP(C2321,Table2[Species],Table2[Family],"Code Not Found")</f>
        <v>Fagaceae</v>
      </c>
      <c r="O2321" t="str" cm="1">
        <f t="array" ref="O2321">_xlfn.IFS(F2321="","",F2321&lt;=5,"0 to 5",F2321&lt;=10,"5.1 to 10",F2321&lt;=20,"10 to 20", F2321&lt;= 40, "20 to 40", F2321 &lt;= 50, "40 to 50", F2321 &gt; 50, "&gt;50" )</f>
        <v>0 to 5</v>
      </c>
    </row>
    <row r="2322" spans="1:15" ht="15" customHeight="1" x14ac:dyDescent="0.3">
      <c r="A2322" t="s">
        <v>498</v>
      </c>
      <c r="B2322" s="1">
        <v>46211</v>
      </c>
      <c r="C2322" t="s">
        <v>16</v>
      </c>
      <c r="D2322">
        <v>2143</v>
      </c>
      <c r="E2322">
        <v>1</v>
      </c>
      <c r="F2322">
        <v>7.1</v>
      </c>
      <c r="G2322" t="s">
        <v>88</v>
      </c>
      <c r="H2322" t="s">
        <v>439</v>
      </c>
      <c r="I2322" t="str">
        <f t="shared" si="39"/>
        <v>2143_1</v>
      </c>
      <c r="J2322" t="s">
        <v>428</v>
      </c>
      <c r="K2322" t="s">
        <v>429</v>
      </c>
      <c r="L2322" t="str">
        <f>_xlfn.XLOOKUP(C2322, Table2[Species],Table2[Genus], "Code Not Found")</f>
        <v>Acer</v>
      </c>
      <c r="M2322" t="str">
        <f>_xlfn.XLOOKUP(C2322, Table2[Species],Table2[Sp. Name], "Code Not Found")</f>
        <v>saccharum</v>
      </c>
      <c r="N2322" t="str">
        <f>_xlfn.XLOOKUP(C2322,Table2[Species],Table2[Family],"Code Not Found")</f>
        <v>Sapindaceae</v>
      </c>
      <c r="O2322" t="str" cm="1">
        <f t="array" ref="O2322">_xlfn.IFS(F2322="","",F2322&lt;=5,"0 to 5",F2322&lt;=10,"5.1 to 10",F2322&lt;=20,"10 to 20", F2322&lt;= 40, "20 to 40", F2322 &lt;= 50, "40 to 50", F2322 &gt; 50, "&gt;50" )</f>
        <v>5.1 to 10</v>
      </c>
    </row>
    <row r="2323" spans="1:15" ht="15" customHeight="1" x14ac:dyDescent="0.3">
      <c r="A2323" t="s">
        <v>498</v>
      </c>
      <c r="B2323" s="1">
        <v>46211</v>
      </c>
      <c r="C2323" t="s">
        <v>64</v>
      </c>
      <c r="D2323">
        <v>2144</v>
      </c>
      <c r="E2323">
        <v>1</v>
      </c>
      <c r="F2323">
        <v>5.0999999999999996</v>
      </c>
      <c r="G2323" t="s">
        <v>359</v>
      </c>
      <c r="I2323" t="str">
        <f t="shared" si="39"/>
        <v>2144_1</v>
      </c>
      <c r="J2323" t="s">
        <v>428</v>
      </c>
      <c r="K2323" t="s">
        <v>429</v>
      </c>
      <c r="L2323" t="str">
        <f>_xlfn.XLOOKUP(C2323, Table2[Species],Table2[Genus], "Code Not Found")</f>
        <v>Fagus</v>
      </c>
      <c r="M2323" t="str">
        <f>_xlfn.XLOOKUP(C2323, Table2[Species],Table2[Sp. Name], "Code Not Found")</f>
        <v>grandifolia</v>
      </c>
      <c r="N2323" t="str">
        <f>_xlfn.XLOOKUP(C2323,Table2[Species],Table2[Family],"Code Not Found")</f>
        <v>Fagaceae</v>
      </c>
      <c r="O2323" t="str" cm="1">
        <f t="array" ref="O2323">_xlfn.IFS(F2323="","",F2323&lt;=5,"0 to 5",F2323&lt;=10,"5.1 to 10",F2323&lt;=20,"10 to 20", F2323&lt;= 40, "20 to 40", F2323 &lt;= 50, "40 to 50", F2323 &gt; 50, "&gt;50" )</f>
        <v>5.1 to 10</v>
      </c>
    </row>
    <row r="2324" spans="1:15" ht="15" customHeight="1" x14ac:dyDescent="0.3">
      <c r="A2324" t="s">
        <v>498</v>
      </c>
      <c r="B2324" s="1">
        <v>46211</v>
      </c>
      <c r="C2324" t="s">
        <v>20</v>
      </c>
      <c r="D2324">
        <v>2145</v>
      </c>
      <c r="E2324">
        <v>1</v>
      </c>
      <c r="F2324">
        <v>66</v>
      </c>
      <c r="G2324" t="s">
        <v>21</v>
      </c>
      <c r="I2324" t="str">
        <f t="shared" si="39"/>
        <v>2145_1</v>
      </c>
      <c r="J2324" t="s">
        <v>428</v>
      </c>
      <c r="K2324" t="s">
        <v>429</v>
      </c>
      <c r="L2324" t="str">
        <f>_xlfn.XLOOKUP(C2324, Table2[Species],Table2[Genus], "Code Not Found")</f>
        <v>Prunus</v>
      </c>
      <c r="M2324" t="str">
        <f>_xlfn.XLOOKUP(C2324, Table2[Species],Table2[Sp. Name], "Code Not Found")</f>
        <v>serotina</v>
      </c>
      <c r="N2324" t="str">
        <f>_xlfn.XLOOKUP(C2324,Table2[Species],Table2[Family],"Code Not Found")</f>
        <v>Rosaceae</v>
      </c>
      <c r="O2324" t="str" cm="1">
        <f t="array" ref="O2324">_xlfn.IFS(F2324="","",F2324&lt;=5,"0 to 5",F2324&lt;=10,"5.1 to 10",F2324&lt;=20,"10 to 20", F2324&lt;= 40, "20 to 40", F2324 &lt;= 50, "40 to 50", F2324 &gt; 50, "&gt;50" )</f>
        <v>&gt;50</v>
      </c>
    </row>
    <row r="2325" spans="1:15" ht="15" customHeight="1" x14ac:dyDescent="0.3">
      <c r="A2325" t="s">
        <v>498</v>
      </c>
      <c r="B2325" s="1">
        <v>46211</v>
      </c>
      <c r="C2325" t="s">
        <v>64</v>
      </c>
      <c r="D2325">
        <v>2146</v>
      </c>
      <c r="E2325">
        <v>1</v>
      </c>
      <c r="F2325">
        <v>4.0999999999999996</v>
      </c>
      <c r="G2325" t="s">
        <v>21</v>
      </c>
      <c r="I2325" t="str">
        <f t="shared" si="39"/>
        <v>2146_1</v>
      </c>
      <c r="J2325" t="s">
        <v>428</v>
      </c>
      <c r="K2325" t="s">
        <v>429</v>
      </c>
      <c r="L2325" t="str">
        <f>_xlfn.XLOOKUP(C2325, Table2[Species],Table2[Genus], "Code Not Found")</f>
        <v>Fagus</v>
      </c>
      <c r="M2325" t="str">
        <f>_xlfn.XLOOKUP(C2325, Table2[Species],Table2[Sp. Name], "Code Not Found")</f>
        <v>grandifolia</v>
      </c>
      <c r="N2325" t="str">
        <f>_xlfn.XLOOKUP(C2325,Table2[Species],Table2[Family],"Code Not Found")</f>
        <v>Fagaceae</v>
      </c>
      <c r="O2325" t="str" cm="1">
        <f t="array" ref="O2325">_xlfn.IFS(F2325="","",F2325&lt;=5,"0 to 5",F2325&lt;=10,"5.1 to 10",F2325&lt;=20,"10 to 20", F2325&lt;= 40, "20 to 40", F2325 &lt;= 50, "40 to 50", F2325 &gt; 50, "&gt;50" )</f>
        <v>0 to 5</v>
      </c>
    </row>
    <row r="2326" spans="1:15" ht="15" customHeight="1" x14ac:dyDescent="0.3">
      <c r="A2326" t="s">
        <v>498</v>
      </c>
      <c r="B2326" s="1">
        <v>46211</v>
      </c>
      <c r="C2326" t="s">
        <v>22</v>
      </c>
      <c r="D2326">
        <v>2147</v>
      </c>
      <c r="E2326">
        <v>1</v>
      </c>
      <c r="F2326">
        <v>37.4</v>
      </c>
      <c r="G2326" t="s">
        <v>17</v>
      </c>
      <c r="H2326" t="s">
        <v>36</v>
      </c>
      <c r="I2326" t="str">
        <f t="shared" si="39"/>
        <v>2147_1</v>
      </c>
      <c r="J2326" t="s">
        <v>428</v>
      </c>
      <c r="K2326" t="s">
        <v>429</v>
      </c>
      <c r="L2326" t="str">
        <f>_xlfn.XLOOKUP(C2326, Table2[Species],Table2[Genus], "Code Not Found")</f>
        <v>Acer</v>
      </c>
      <c r="M2326" t="str">
        <f>_xlfn.XLOOKUP(C2326, Table2[Species],Table2[Sp. Name], "Code Not Found")</f>
        <v>rubrum</v>
      </c>
      <c r="N2326" t="str">
        <f>_xlfn.XLOOKUP(C2326,Table2[Species],Table2[Family],"Code Not Found")</f>
        <v>Sapindaceae</v>
      </c>
      <c r="O2326" t="str" cm="1">
        <f t="array" ref="O2326">_xlfn.IFS(F2326="","",F2326&lt;=5,"0 to 5",F2326&lt;=10,"5.1 to 10",F2326&lt;=20,"10 to 20", F2326&lt;= 40, "20 to 40", F2326 &lt;= 50, "40 to 50", F2326 &gt; 50, "&gt;50" )</f>
        <v>20 to 40</v>
      </c>
    </row>
    <row r="2327" spans="1:15" ht="15" customHeight="1" x14ac:dyDescent="0.3">
      <c r="A2327" t="s">
        <v>498</v>
      </c>
      <c r="B2327" s="1">
        <v>46211</v>
      </c>
      <c r="C2327" t="s">
        <v>430</v>
      </c>
      <c r="D2327">
        <v>2148</v>
      </c>
      <c r="E2327">
        <v>1</v>
      </c>
      <c r="F2327">
        <v>10.8</v>
      </c>
      <c r="G2327" t="s">
        <v>505</v>
      </c>
      <c r="H2327" t="s">
        <v>99</v>
      </c>
      <c r="I2327" t="str">
        <f t="shared" si="39"/>
        <v>2148_1</v>
      </c>
      <c r="J2327" t="s">
        <v>428</v>
      </c>
      <c r="K2327" t="s">
        <v>429</v>
      </c>
      <c r="L2327" t="str">
        <f>_xlfn.XLOOKUP(C2327, Table2[Species],Table2[Genus], "Code Not Found")</f>
        <v>Tsuga</v>
      </c>
      <c r="M2327" t="str">
        <f>_xlfn.XLOOKUP(C2327, Table2[Species],Table2[Sp. Name], "Code Not Found")</f>
        <v>canadensis</v>
      </c>
      <c r="N2327" t="str">
        <f>_xlfn.XLOOKUP(C2327,Table2[Species],Table2[Family],"Code Not Found")</f>
        <v>Pinaceae</v>
      </c>
      <c r="O2327" t="str" cm="1">
        <f t="array" ref="O2327">_xlfn.IFS(F2327="","",F2327&lt;=5,"0 to 5",F2327&lt;=10,"5.1 to 10",F2327&lt;=20,"10 to 20", F2327&lt;= 40, "20 to 40", F2327 &lt;= 50, "40 to 50", F2327 &gt; 50, "&gt;50" )</f>
        <v>10 to 20</v>
      </c>
    </row>
    <row r="2328" spans="1:15" ht="15" customHeight="1" x14ac:dyDescent="0.3">
      <c r="A2328" t="s">
        <v>498</v>
      </c>
      <c r="B2328" s="1">
        <v>46211</v>
      </c>
      <c r="C2328" t="s">
        <v>430</v>
      </c>
      <c r="D2328">
        <v>2149</v>
      </c>
      <c r="E2328">
        <v>1</v>
      </c>
      <c r="F2328">
        <v>6.5</v>
      </c>
      <c r="G2328" t="s">
        <v>17</v>
      </c>
      <c r="I2328" t="str">
        <f t="shared" si="39"/>
        <v>2149_1</v>
      </c>
      <c r="J2328" t="s">
        <v>428</v>
      </c>
      <c r="K2328" t="s">
        <v>429</v>
      </c>
      <c r="L2328" t="str">
        <f>_xlfn.XLOOKUP(C2328, Table2[Species],Table2[Genus], "Code Not Found")</f>
        <v>Tsuga</v>
      </c>
      <c r="M2328" t="str">
        <f>_xlfn.XLOOKUP(C2328, Table2[Species],Table2[Sp. Name], "Code Not Found")</f>
        <v>canadensis</v>
      </c>
      <c r="N2328" t="str">
        <f>_xlfn.XLOOKUP(C2328,Table2[Species],Table2[Family],"Code Not Found")</f>
        <v>Pinaceae</v>
      </c>
      <c r="O2328" t="str" cm="1">
        <f t="array" ref="O2328">_xlfn.IFS(F2328="","",F2328&lt;=5,"0 to 5",F2328&lt;=10,"5.1 to 10",F2328&lt;=20,"10 to 20", F2328&lt;= 40, "20 to 40", F2328 &lt;= 50, "40 to 50", F2328 &gt; 50, "&gt;50" )</f>
        <v>5.1 to 10</v>
      </c>
    </row>
    <row r="2329" spans="1:15" ht="15" customHeight="1" x14ac:dyDescent="0.3">
      <c r="A2329" t="s">
        <v>498</v>
      </c>
      <c r="B2329" s="1">
        <v>46211</v>
      </c>
      <c r="C2329" t="s">
        <v>64</v>
      </c>
      <c r="D2329">
        <v>2150</v>
      </c>
      <c r="E2329">
        <v>1</v>
      </c>
      <c r="F2329">
        <v>6.8</v>
      </c>
      <c r="G2329" t="s">
        <v>359</v>
      </c>
      <c r="I2329" t="str">
        <f t="shared" si="39"/>
        <v>2150_1</v>
      </c>
      <c r="J2329" t="s">
        <v>428</v>
      </c>
      <c r="K2329" t="s">
        <v>429</v>
      </c>
      <c r="L2329" t="str">
        <f>_xlfn.XLOOKUP(C2329, Table2[Species],Table2[Genus], "Code Not Found")</f>
        <v>Fagus</v>
      </c>
      <c r="M2329" t="str">
        <f>_xlfn.XLOOKUP(C2329, Table2[Species],Table2[Sp. Name], "Code Not Found")</f>
        <v>grandifolia</v>
      </c>
      <c r="N2329" t="str">
        <f>_xlfn.XLOOKUP(C2329,Table2[Species],Table2[Family],"Code Not Found")</f>
        <v>Fagaceae</v>
      </c>
      <c r="O2329" t="str" cm="1">
        <f t="array" ref="O2329">_xlfn.IFS(F2329="","",F2329&lt;=5,"0 to 5",F2329&lt;=10,"5.1 to 10",F2329&lt;=20,"10 to 20", F2329&lt;= 40, "20 to 40", F2329 &lt;= 50, "40 to 50", F2329 &gt; 50, "&gt;50" )</f>
        <v>5.1 to 10</v>
      </c>
    </row>
    <row r="2330" spans="1:15" ht="15" customHeight="1" x14ac:dyDescent="0.3">
      <c r="A2330" t="s">
        <v>498</v>
      </c>
      <c r="B2330" s="1">
        <v>46211</v>
      </c>
      <c r="C2330" t="s">
        <v>22</v>
      </c>
      <c r="D2330">
        <v>2151</v>
      </c>
      <c r="E2330">
        <v>1</v>
      </c>
      <c r="F2330">
        <v>14.3</v>
      </c>
      <c r="G2330" t="s">
        <v>30</v>
      </c>
      <c r="H2330" t="s">
        <v>262</v>
      </c>
      <c r="I2330" t="str">
        <f t="shared" si="39"/>
        <v>2151_1</v>
      </c>
      <c r="J2330" t="s">
        <v>428</v>
      </c>
      <c r="K2330" t="s">
        <v>429</v>
      </c>
      <c r="L2330" t="str">
        <f>_xlfn.XLOOKUP(C2330, Table2[Species],Table2[Genus], "Code Not Found")</f>
        <v>Acer</v>
      </c>
      <c r="M2330" t="str">
        <f>_xlfn.XLOOKUP(C2330, Table2[Species],Table2[Sp. Name], "Code Not Found")</f>
        <v>rubrum</v>
      </c>
      <c r="N2330" t="str">
        <f>_xlfn.XLOOKUP(C2330,Table2[Species],Table2[Family],"Code Not Found")</f>
        <v>Sapindaceae</v>
      </c>
      <c r="O2330" t="str" cm="1">
        <f t="array" ref="O2330">_xlfn.IFS(F2330="","",F2330&lt;=5,"0 to 5",F2330&lt;=10,"5.1 to 10",F2330&lt;=20,"10 to 20", F2330&lt;= 40, "20 to 40", F2330 &lt;= 50, "40 to 50", F2330 &gt; 50, "&gt;50" )</f>
        <v>10 to 20</v>
      </c>
    </row>
    <row r="2331" spans="1:15" ht="15" customHeight="1" x14ac:dyDescent="0.3">
      <c r="A2331" t="s">
        <v>498</v>
      </c>
      <c r="B2331" s="1">
        <v>46211</v>
      </c>
      <c r="C2331" t="s">
        <v>430</v>
      </c>
      <c r="D2331">
        <v>2152</v>
      </c>
      <c r="E2331">
        <v>1</v>
      </c>
      <c r="F2331">
        <v>13.7</v>
      </c>
      <c r="G2331" t="s">
        <v>94</v>
      </c>
      <c r="H2331" t="s">
        <v>506</v>
      </c>
      <c r="I2331" t="str">
        <f t="shared" si="39"/>
        <v>2152_1</v>
      </c>
      <c r="J2331" t="s">
        <v>428</v>
      </c>
      <c r="K2331" t="s">
        <v>429</v>
      </c>
      <c r="L2331" t="str">
        <f>_xlfn.XLOOKUP(C2331, Table2[Species],Table2[Genus], "Code Not Found")</f>
        <v>Tsuga</v>
      </c>
      <c r="M2331" t="str">
        <f>_xlfn.XLOOKUP(C2331, Table2[Species],Table2[Sp. Name], "Code Not Found")</f>
        <v>canadensis</v>
      </c>
      <c r="N2331" t="str">
        <f>_xlfn.XLOOKUP(C2331,Table2[Species],Table2[Family],"Code Not Found")</f>
        <v>Pinaceae</v>
      </c>
      <c r="O2331" t="str" cm="1">
        <f t="array" ref="O2331">_xlfn.IFS(F2331="","",F2331&lt;=5,"0 to 5",F2331&lt;=10,"5.1 to 10",F2331&lt;=20,"10 to 20", F2331&lt;= 40, "20 to 40", F2331 &lt;= 50, "40 to 50", F2331 &gt; 50, "&gt;50" )</f>
        <v>10 to 20</v>
      </c>
    </row>
    <row r="2332" spans="1:15" ht="15" customHeight="1" x14ac:dyDescent="0.3">
      <c r="A2332" t="s">
        <v>498</v>
      </c>
      <c r="B2332" s="1">
        <v>46211</v>
      </c>
      <c r="C2332" t="s">
        <v>430</v>
      </c>
      <c r="D2332">
        <v>2153</v>
      </c>
      <c r="E2332">
        <v>1</v>
      </c>
      <c r="F2332">
        <v>10.6</v>
      </c>
      <c r="G2332" t="s">
        <v>17</v>
      </c>
      <c r="H2332" t="s">
        <v>36</v>
      </c>
      <c r="I2332" t="str">
        <f t="shared" si="39"/>
        <v>2153_1</v>
      </c>
      <c r="J2332" t="s">
        <v>428</v>
      </c>
      <c r="K2332" t="s">
        <v>429</v>
      </c>
      <c r="L2332" t="str">
        <f>_xlfn.XLOOKUP(C2332, Table2[Species],Table2[Genus], "Code Not Found")</f>
        <v>Tsuga</v>
      </c>
      <c r="M2332" t="str">
        <f>_xlfn.XLOOKUP(C2332, Table2[Species],Table2[Sp. Name], "Code Not Found")</f>
        <v>canadensis</v>
      </c>
      <c r="N2332" t="str">
        <f>_xlfn.XLOOKUP(C2332,Table2[Species],Table2[Family],"Code Not Found")</f>
        <v>Pinaceae</v>
      </c>
      <c r="O2332" t="str" cm="1">
        <f t="array" ref="O2332">_xlfn.IFS(F2332="","",F2332&lt;=5,"0 to 5",F2332&lt;=10,"5.1 to 10",F2332&lt;=20,"10 to 20", F2332&lt;= 40, "20 to 40", F2332 &lt;= 50, "40 to 50", F2332 &gt; 50, "&gt;50" )</f>
        <v>10 to 20</v>
      </c>
    </row>
    <row r="2333" spans="1:15" ht="15" customHeight="1" x14ac:dyDescent="0.3">
      <c r="A2333" t="s">
        <v>498</v>
      </c>
      <c r="B2333" s="1">
        <v>46211</v>
      </c>
      <c r="C2333" t="s">
        <v>430</v>
      </c>
      <c r="D2333">
        <v>2154</v>
      </c>
      <c r="E2333">
        <v>1</v>
      </c>
      <c r="F2333">
        <v>13.2</v>
      </c>
      <c r="G2333" t="s">
        <v>132</v>
      </c>
      <c r="H2333" t="s">
        <v>99</v>
      </c>
      <c r="I2333" t="str">
        <f t="shared" si="39"/>
        <v>2154_1</v>
      </c>
      <c r="J2333" t="s">
        <v>428</v>
      </c>
      <c r="K2333" t="s">
        <v>429</v>
      </c>
      <c r="L2333" t="str">
        <f>_xlfn.XLOOKUP(C2333, Table2[Species],Table2[Genus], "Code Not Found")</f>
        <v>Tsuga</v>
      </c>
      <c r="M2333" t="str">
        <f>_xlfn.XLOOKUP(C2333, Table2[Species],Table2[Sp. Name], "Code Not Found")</f>
        <v>canadensis</v>
      </c>
      <c r="N2333" t="str">
        <f>_xlfn.XLOOKUP(C2333,Table2[Species],Table2[Family],"Code Not Found")</f>
        <v>Pinaceae</v>
      </c>
      <c r="O2333" t="str" cm="1">
        <f t="array" ref="O2333">_xlfn.IFS(F2333="","",F2333&lt;=5,"0 to 5",F2333&lt;=10,"5.1 to 10",F2333&lt;=20,"10 to 20", F2333&lt;= 40, "20 to 40", F2333 &lt;= 50, "40 to 50", F2333 &gt; 50, "&gt;50" )</f>
        <v>10 to 20</v>
      </c>
    </row>
    <row r="2334" spans="1:15" ht="15" customHeight="1" x14ac:dyDescent="0.3">
      <c r="A2334" t="s">
        <v>498</v>
      </c>
      <c r="B2334" s="1">
        <v>46211</v>
      </c>
      <c r="C2334" t="s">
        <v>430</v>
      </c>
      <c r="D2334">
        <v>2154</v>
      </c>
      <c r="E2334">
        <v>2</v>
      </c>
      <c r="F2334">
        <v>7.4</v>
      </c>
      <c r="G2334" t="s">
        <v>132</v>
      </c>
      <c r="H2334" t="s">
        <v>99</v>
      </c>
      <c r="I2334" t="str">
        <f t="shared" si="39"/>
        <v>2154_2</v>
      </c>
      <c r="J2334" t="s">
        <v>428</v>
      </c>
      <c r="K2334" t="s">
        <v>429</v>
      </c>
      <c r="L2334" t="str">
        <f>_xlfn.XLOOKUP(C2334, Table2[Species],Table2[Genus], "Code Not Found")</f>
        <v>Tsuga</v>
      </c>
      <c r="M2334" t="str">
        <f>_xlfn.XLOOKUP(C2334, Table2[Species],Table2[Sp. Name], "Code Not Found")</f>
        <v>canadensis</v>
      </c>
      <c r="N2334" t="str">
        <f>_xlfn.XLOOKUP(C2334,Table2[Species],Table2[Family],"Code Not Found")</f>
        <v>Pinaceae</v>
      </c>
      <c r="O2334" t="str" cm="1">
        <f t="array" ref="O2334">_xlfn.IFS(F2334="","",F2334&lt;=5,"0 to 5",F2334&lt;=10,"5.1 to 10",F2334&lt;=20,"10 to 20", F2334&lt;= 40, "20 to 40", F2334 &lt;= 50, "40 to 50", F2334 &gt; 50, "&gt;50" )</f>
        <v>5.1 to 10</v>
      </c>
    </row>
    <row r="2335" spans="1:15" ht="15" customHeight="1" x14ac:dyDescent="0.3">
      <c r="A2335" t="s">
        <v>498</v>
      </c>
      <c r="B2335" s="1">
        <v>46211</v>
      </c>
      <c r="C2335" t="s">
        <v>430</v>
      </c>
      <c r="D2335">
        <v>2155</v>
      </c>
      <c r="E2335">
        <v>1</v>
      </c>
      <c r="F2335">
        <v>7</v>
      </c>
      <c r="G2335" t="s">
        <v>17</v>
      </c>
      <c r="I2335" t="str">
        <f t="shared" si="39"/>
        <v>2155_1</v>
      </c>
      <c r="J2335" t="s">
        <v>428</v>
      </c>
      <c r="K2335" t="s">
        <v>429</v>
      </c>
      <c r="L2335" t="str">
        <f>_xlfn.XLOOKUP(C2335, Table2[Species],Table2[Genus], "Code Not Found")</f>
        <v>Tsuga</v>
      </c>
      <c r="M2335" t="str">
        <f>_xlfn.XLOOKUP(C2335, Table2[Species],Table2[Sp. Name], "Code Not Found")</f>
        <v>canadensis</v>
      </c>
      <c r="N2335" t="str">
        <f>_xlfn.XLOOKUP(C2335,Table2[Species],Table2[Family],"Code Not Found")</f>
        <v>Pinaceae</v>
      </c>
      <c r="O2335" t="str" cm="1">
        <f t="array" ref="O2335">_xlfn.IFS(F2335="","",F2335&lt;=5,"0 to 5",F2335&lt;=10,"5.1 to 10",F2335&lt;=20,"10 to 20", F2335&lt;= 40, "20 to 40", F2335 &lt;= 50, "40 to 50", F2335 &gt; 50, "&gt;50" )</f>
        <v>5.1 to 10</v>
      </c>
    </row>
    <row r="2336" spans="1:15" ht="15" customHeight="1" x14ac:dyDescent="0.3">
      <c r="A2336" t="s">
        <v>498</v>
      </c>
      <c r="B2336" s="1">
        <v>46211</v>
      </c>
      <c r="C2336" t="s">
        <v>430</v>
      </c>
      <c r="D2336">
        <v>2156</v>
      </c>
      <c r="E2336">
        <v>1</v>
      </c>
      <c r="F2336">
        <v>23.6</v>
      </c>
      <c r="G2336" t="s">
        <v>17</v>
      </c>
      <c r="H2336" t="s">
        <v>36</v>
      </c>
      <c r="I2336" t="str">
        <f t="shared" si="39"/>
        <v>2156_1</v>
      </c>
      <c r="J2336" t="s">
        <v>428</v>
      </c>
      <c r="K2336" t="s">
        <v>429</v>
      </c>
      <c r="L2336" t="str">
        <f>_xlfn.XLOOKUP(C2336, Table2[Species],Table2[Genus], "Code Not Found")</f>
        <v>Tsuga</v>
      </c>
      <c r="M2336" t="str">
        <f>_xlfn.XLOOKUP(C2336, Table2[Species],Table2[Sp. Name], "Code Not Found")</f>
        <v>canadensis</v>
      </c>
      <c r="N2336" t="str">
        <f>_xlfn.XLOOKUP(C2336,Table2[Species],Table2[Family],"Code Not Found")</f>
        <v>Pinaceae</v>
      </c>
      <c r="O2336" t="str" cm="1">
        <f t="array" ref="O2336">_xlfn.IFS(F2336="","",F2336&lt;=5,"0 to 5",F2336&lt;=10,"5.1 to 10",F2336&lt;=20,"10 to 20", F2336&lt;= 40, "20 to 40", F2336 &lt;= 50, "40 to 50", F2336 &gt; 50, "&gt;50" )</f>
        <v>20 to 40</v>
      </c>
    </row>
    <row r="2337" spans="1:15" ht="15" customHeight="1" x14ac:dyDescent="0.3">
      <c r="A2337" t="s">
        <v>498</v>
      </c>
      <c r="B2337" s="1">
        <v>46211</v>
      </c>
      <c r="C2337" t="s">
        <v>64</v>
      </c>
      <c r="D2337">
        <v>2157</v>
      </c>
      <c r="E2337">
        <v>1</v>
      </c>
      <c r="F2337">
        <v>54.3</v>
      </c>
      <c r="G2337" t="s">
        <v>21</v>
      </c>
      <c r="H2337" t="s">
        <v>297</v>
      </c>
      <c r="I2337" t="str">
        <f t="shared" si="39"/>
        <v>2157_1</v>
      </c>
      <c r="J2337" t="s">
        <v>428</v>
      </c>
      <c r="K2337" t="s">
        <v>429</v>
      </c>
      <c r="L2337" t="str">
        <f>_xlfn.XLOOKUP(C2337, Table2[Species],Table2[Genus], "Code Not Found")</f>
        <v>Fagus</v>
      </c>
      <c r="M2337" t="str">
        <f>_xlfn.XLOOKUP(C2337, Table2[Species],Table2[Sp. Name], "Code Not Found")</f>
        <v>grandifolia</v>
      </c>
      <c r="N2337" t="str">
        <f>_xlfn.XLOOKUP(C2337,Table2[Species],Table2[Family],"Code Not Found")</f>
        <v>Fagaceae</v>
      </c>
      <c r="O2337" t="str" cm="1">
        <f t="array" ref="O2337">_xlfn.IFS(F2337="","",F2337&lt;=5,"0 to 5",F2337&lt;=10,"5.1 to 10",F2337&lt;=20,"10 to 20", F2337&lt;= 40, "20 to 40", F2337 &lt;= 50, "40 to 50", F2337 &gt; 50, "&gt;50" )</f>
        <v>&gt;50</v>
      </c>
    </row>
    <row r="2338" spans="1:15" ht="15" customHeight="1" x14ac:dyDescent="0.3">
      <c r="A2338" t="s">
        <v>498</v>
      </c>
      <c r="B2338" s="1">
        <v>46211</v>
      </c>
      <c r="C2338" t="s">
        <v>16</v>
      </c>
      <c r="D2338">
        <v>2158</v>
      </c>
      <c r="E2338">
        <v>1</v>
      </c>
      <c r="F2338">
        <v>47.5</v>
      </c>
      <c r="G2338" t="s">
        <v>21</v>
      </c>
      <c r="I2338" t="str">
        <f t="shared" si="39"/>
        <v>2158_1</v>
      </c>
      <c r="J2338" t="s">
        <v>428</v>
      </c>
      <c r="K2338" t="s">
        <v>429</v>
      </c>
      <c r="L2338" t="str">
        <f>_xlfn.XLOOKUP(C2338, Table2[Species],Table2[Genus], "Code Not Found")</f>
        <v>Acer</v>
      </c>
      <c r="M2338" t="str">
        <f>_xlfn.XLOOKUP(C2338, Table2[Species],Table2[Sp. Name], "Code Not Found")</f>
        <v>saccharum</v>
      </c>
      <c r="N2338" t="str">
        <f>_xlfn.XLOOKUP(C2338,Table2[Species],Table2[Family],"Code Not Found")</f>
        <v>Sapindaceae</v>
      </c>
      <c r="O2338" t="str" cm="1">
        <f t="array" ref="O2338">_xlfn.IFS(F2338="","",F2338&lt;=5,"0 to 5",F2338&lt;=10,"5.1 to 10",F2338&lt;=20,"10 to 20", F2338&lt;= 40, "20 to 40", F2338 &lt;= 50, "40 to 50", F2338 &gt; 50, "&gt;50" )</f>
        <v>40 to 50</v>
      </c>
    </row>
    <row r="2339" spans="1:15" ht="15" customHeight="1" x14ac:dyDescent="0.3">
      <c r="A2339" t="s">
        <v>498</v>
      </c>
      <c r="B2339" s="1">
        <v>46211</v>
      </c>
      <c r="C2339" t="s">
        <v>430</v>
      </c>
      <c r="D2339">
        <v>2159</v>
      </c>
      <c r="E2339">
        <v>1</v>
      </c>
      <c r="F2339">
        <v>14.4</v>
      </c>
      <c r="G2339" t="s">
        <v>17</v>
      </c>
      <c r="I2339" t="str">
        <f t="shared" si="39"/>
        <v>2159_1</v>
      </c>
      <c r="J2339" t="s">
        <v>428</v>
      </c>
      <c r="K2339" t="s">
        <v>429</v>
      </c>
      <c r="L2339" t="str">
        <f>_xlfn.XLOOKUP(C2339, Table2[Species],Table2[Genus], "Code Not Found")</f>
        <v>Tsuga</v>
      </c>
      <c r="M2339" t="str">
        <f>_xlfn.XLOOKUP(C2339, Table2[Species],Table2[Sp. Name], "Code Not Found")</f>
        <v>canadensis</v>
      </c>
      <c r="N2339" t="str">
        <f>_xlfn.XLOOKUP(C2339,Table2[Species],Table2[Family],"Code Not Found")</f>
        <v>Pinaceae</v>
      </c>
      <c r="O2339" t="str" cm="1">
        <f t="array" ref="O2339">_xlfn.IFS(F2339="","",F2339&lt;=5,"0 to 5",F2339&lt;=10,"5.1 to 10",F2339&lt;=20,"10 to 20", F2339&lt;= 40, "20 to 40", F2339 &lt;= 50, "40 to 50", F2339 &gt; 50, "&gt;50" )</f>
        <v>10 to 20</v>
      </c>
    </row>
    <row r="2340" spans="1:15" ht="15" customHeight="1" x14ac:dyDescent="0.3">
      <c r="A2340" t="s">
        <v>498</v>
      </c>
      <c r="B2340" s="1">
        <v>46211</v>
      </c>
      <c r="C2340" t="s">
        <v>430</v>
      </c>
      <c r="D2340">
        <v>2160</v>
      </c>
      <c r="E2340">
        <v>1</v>
      </c>
      <c r="F2340">
        <v>13.6</v>
      </c>
      <c r="G2340" t="s">
        <v>17</v>
      </c>
      <c r="I2340" t="str">
        <f t="shared" si="39"/>
        <v>2160_1</v>
      </c>
      <c r="J2340" t="s">
        <v>428</v>
      </c>
      <c r="K2340" t="s">
        <v>429</v>
      </c>
      <c r="L2340" t="str">
        <f>_xlfn.XLOOKUP(C2340, Table2[Species],Table2[Genus], "Code Not Found")</f>
        <v>Tsuga</v>
      </c>
      <c r="M2340" t="str">
        <f>_xlfn.XLOOKUP(C2340, Table2[Species],Table2[Sp. Name], "Code Not Found")</f>
        <v>canadensis</v>
      </c>
      <c r="N2340" t="str">
        <f>_xlfn.XLOOKUP(C2340,Table2[Species],Table2[Family],"Code Not Found")</f>
        <v>Pinaceae</v>
      </c>
      <c r="O2340" t="str" cm="1">
        <f t="array" ref="O2340">_xlfn.IFS(F2340="","",F2340&lt;=5,"0 to 5",F2340&lt;=10,"5.1 to 10",F2340&lt;=20,"10 to 20", F2340&lt;= 40, "20 to 40", F2340 &lt;= 50, "40 to 50", F2340 &gt; 50, "&gt;50" )</f>
        <v>10 to 20</v>
      </c>
    </row>
    <row r="2341" spans="1:15" ht="15" customHeight="1" x14ac:dyDescent="0.3">
      <c r="A2341" t="s">
        <v>498</v>
      </c>
      <c r="B2341" s="1">
        <v>46211</v>
      </c>
      <c r="C2341" t="s">
        <v>22</v>
      </c>
      <c r="D2341">
        <v>2161</v>
      </c>
      <c r="E2341">
        <v>1</v>
      </c>
      <c r="F2341">
        <v>58.8</v>
      </c>
      <c r="G2341" t="s">
        <v>17</v>
      </c>
      <c r="I2341" t="str">
        <f t="shared" si="39"/>
        <v>2161_1</v>
      </c>
      <c r="J2341" t="s">
        <v>428</v>
      </c>
      <c r="K2341" t="s">
        <v>429</v>
      </c>
      <c r="L2341" t="str">
        <f>_xlfn.XLOOKUP(C2341, Table2[Species],Table2[Genus], "Code Not Found")</f>
        <v>Acer</v>
      </c>
      <c r="M2341" t="str">
        <f>_xlfn.XLOOKUP(C2341, Table2[Species],Table2[Sp. Name], "Code Not Found")</f>
        <v>rubrum</v>
      </c>
      <c r="N2341" t="str">
        <f>_xlfn.XLOOKUP(C2341,Table2[Species],Table2[Family],"Code Not Found")</f>
        <v>Sapindaceae</v>
      </c>
      <c r="O2341" t="str" cm="1">
        <f t="array" ref="O2341">_xlfn.IFS(F2341="","",F2341&lt;=5,"0 to 5",F2341&lt;=10,"5.1 to 10",F2341&lt;=20,"10 to 20", F2341&lt;= 40, "20 to 40", F2341 &lt;= 50, "40 to 50", F2341 &gt; 50, "&gt;50" )</f>
        <v>&gt;50</v>
      </c>
    </row>
    <row r="2342" spans="1:15" ht="15" customHeight="1" x14ac:dyDescent="0.3">
      <c r="A2342" t="s">
        <v>498</v>
      </c>
      <c r="B2342" s="1">
        <v>46211</v>
      </c>
      <c r="C2342" t="s">
        <v>64</v>
      </c>
      <c r="D2342">
        <v>2162</v>
      </c>
      <c r="E2342">
        <v>1</v>
      </c>
      <c r="F2342">
        <v>6.8</v>
      </c>
      <c r="G2342" t="s">
        <v>21</v>
      </c>
      <c r="I2342" t="str">
        <f t="shared" si="39"/>
        <v>2162_1</v>
      </c>
      <c r="J2342" t="s">
        <v>428</v>
      </c>
      <c r="K2342" t="s">
        <v>429</v>
      </c>
      <c r="L2342" t="str">
        <f>_xlfn.XLOOKUP(C2342, Table2[Species],Table2[Genus], "Code Not Found")</f>
        <v>Fagus</v>
      </c>
      <c r="M2342" t="str">
        <f>_xlfn.XLOOKUP(C2342, Table2[Species],Table2[Sp. Name], "Code Not Found")</f>
        <v>grandifolia</v>
      </c>
      <c r="N2342" t="str">
        <f>_xlfn.XLOOKUP(C2342,Table2[Species],Table2[Family],"Code Not Found")</f>
        <v>Fagaceae</v>
      </c>
      <c r="O2342" t="str" cm="1">
        <f t="array" ref="O2342">_xlfn.IFS(F2342="","",F2342&lt;=5,"0 to 5",F2342&lt;=10,"5.1 to 10",F2342&lt;=20,"10 to 20", F2342&lt;= 40, "20 to 40", F2342 &lt;= 50, "40 to 50", F2342 &gt; 50, "&gt;50" )</f>
        <v>5.1 to 10</v>
      </c>
    </row>
    <row r="2343" spans="1:15" ht="15" customHeight="1" x14ac:dyDescent="0.3">
      <c r="A2343" t="s">
        <v>498</v>
      </c>
      <c r="B2343" s="1">
        <v>46211</v>
      </c>
      <c r="C2343" t="s">
        <v>430</v>
      </c>
      <c r="D2343">
        <v>2163</v>
      </c>
      <c r="E2343">
        <v>1</v>
      </c>
      <c r="F2343">
        <v>16.7</v>
      </c>
      <c r="G2343" t="s">
        <v>17</v>
      </c>
      <c r="I2343" t="str">
        <f t="shared" si="39"/>
        <v>2163_1</v>
      </c>
      <c r="J2343" t="s">
        <v>428</v>
      </c>
      <c r="K2343" t="s">
        <v>429</v>
      </c>
      <c r="L2343" t="str">
        <f>_xlfn.XLOOKUP(C2343, Table2[Species],Table2[Genus], "Code Not Found")</f>
        <v>Tsuga</v>
      </c>
      <c r="M2343" t="str">
        <f>_xlfn.XLOOKUP(C2343, Table2[Species],Table2[Sp. Name], "Code Not Found")</f>
        <v>canadensis</v>
      </c>
      <c r="N2343" t="str">
        <f>_xlfn.XLOOKUP(C2343,Table2[Species],Table2[Family],"Code Not Found")</f>
        <v>Pinaceae</v>
      </c>
      <c r="O2343" t="str" cm="1">
        <f t="array" ref="O2343">_xlfn.IFS(F2343="","",F2343&lt;=5,"0 to 5",F2343&lt;=10,"5.1 to 10",F2343&lt;=20,"10 to 20", F2343&lt;= 40, "20 to 40", F2343 &lt;= 50, "40 to 50", F2343 &gt; 50, "&gt;50" )</f>
        <v>10 to 20</v>
      </c>
    </row>
    <row r="2344" spans="1:15" ht="15" customHeight="1" x14ac:dyDescent="0.3">
      <c r="A2344" t="s">
        <v>498</v>
      </c>
      <c r="B2344" s="1">
        <v>46211</v>
      </c>
      <c r="C2344" t="s">
        <v>430</v>
      </c>
      <c r="D2344">
        <v>2164</v>
      </c>
      <c r="E2344">
        <v>1</v>
      </c>
      <c r="F2344">
        <v>18.600000000000001</v>
      </c>
      <c r="G2344" t="s">
        <v>17</v>
      </c>
      <c r="I2344" t="str">
        <f t="shared" si="39"/>
        <v>2164_1</v>
      </c>
      <c r="J2344" t="s">
        <v>428</v>
      </c>
      <c r="K2344" t="s">
        <v>429</v>
      </c>
      <c r="L2344" t="str">
        <f>_xlfn.XLOOKUP(C2344, Table2[Species],Table2[Genus], "Code Not Found")</f>
        <v>Tsuga</v>
      </c>
      <c r="M2344" t="str">
        <f>_xlfn.XLOOKUP(C2344, Table2[Species],Table2[Sp. Name], "Code Not Found")</f>
        <v>canadensis</v>
      </c>
      <c r="N2344" t="str">
        <f>_xlfn.XLOOKUP(C2344,Table2[Species],Table2[Family],"Code Not Found")</f>
        <v>Pinaceae</v>
      </c>
      <c r="O2344" t="str" cm="1">
        <f t="array" ref="O2344">_xlfn.IFS(F2344="","",F2344&lt;=5,"0 to 5",F2344&lt;=10,"5.1 to 10",F2344&lt;=20,"10 to 20", F2344&lt;= 40, "20 to 40", F2344 &lt;= 50, "40 to 50", F2344 &gt; 50, "&gt;50" )</f>
        <v>10 to 20</v>
      </c>
    </row>
    <row r="2345" spans="1:15" ht="15" customHeight="1" x14ac:dyDescent="0.3">
      <c r="A2345" t="s">
        <v>498</v>
      </c>
      <c r="B2345" s="1">
        <v>46211</v>
      </c>
      <c r="C2345" t="s">
        <v>430</v>
      </c>
      <c r="D2345">
        <v>2165</v>
      </c>
      <c r="E2345">
        <v>1</v>
      </c>
      <c r="F2345">
        <v>7.3</v>
      </c>
      <c r="G2345" t="s">
        <v>17</v>
      </c>
      <c r="H2345" t="s">
        <v>435</v>
      </c>
      <c r="I2345" t="str">
        <f t="shared" si="39"/>
        <v>2165_1</v>
      </c>
      <c r="J2345" t="s">
        <v>428</v>
      </c>
      <c r="K2345" t="s">
        <v>429</v>
      </c>
      <c r="L2345" t="str">
        <f>_xlfn.XLOOKUP(C2345, Table2[Species],Table2[Genus], "Code Not Found")</f>
        <v>Tsuga</v>
      </c>
      <c r="M2345" t="str">
        <f>_xlfn.XLOOKUP(C2345, Table2[Species],Table2[Sp. Name], "Code Not Found")</f>
        <v>canadensis</v>
      </c>
      <c r="N2345" t="str">
        <f>_xlfn.XLOOKUP(C2345,Table2[Species],Table2[Family],"Code Not Found")</f>
        <v>Pinaceae</v>
      </c>
      <c r="O2345" t="str" cm="1">
        <f t="array" ref="O2345">_xlfn.IFS(F2345="","",F2345&lt;=5,"0 to 5",F2345&lt;=10,"5.1 to 10",F2345&lt;=20,"10 to 20", F2345&lt;= 40, "20 to 40", F2345 &lt;= 50, "40 to 50", F2345 &gt; 50, "&gt;50" )</f>
        <v>5.1 to 10</v>
      </c>
    </row>
    <row r="2346" spans="1:15" ht="15" customHeight="1" x14ac:dyDescent="0.3">
      <c r="A2346" t="s">
        <v>498</v>
      </c>
      <c r="B2346" s="1">
        <v>46211</v>
      </c>
      <c r="C2346" t="s">
        <v>430</v>
      </c>
      <c r="D2346">
        <v>2166</v>
      </c>
      <c r="E2346">
        <v>1</v>
      </c>
      <c r="F2346">
        <v>11.4</v>
      </c>
      <c r="G2346" t="s">
        <v>30</v>
      </c>
      <c r="H2346" t="s">
        <v>377</v>
      </c>
      <c r="I2346" t="str">
        <f t="shared" si="39"/>
        <v>2166_1</v>
      </c>
      <c r="J2346" t="s">
        <v>428</v>
      </c>
      <c r="K2346" t="s">
        <v>429</v>
      </c>
      <c r="L2346" t="str">
        <f>_xlfn.XLOOKUP(C2346, Table2[Species],Table2[Genus], "Code Not Found")</f>
        <v>Tsuga</v>
      </c>
      <c r="M2346" t="str">
        <f>_xlfn.XLOOKUP(C2346, Table2[Species],Table2[Sp. Name], "Code Not Found")</f>
        <v>canadensis</v>
      </c>
      <c r="N2346" t="str">
        <f>_xlfn.XLOOKUP(C2346,Table2[Species],Table2[Family],"Code Not Found")</f>
        <v>Pinaceae</v>
      </c>
      <c r="O2346" t="str" cm="1">
        <f t="array" ref="O2346">_xlfn.IFS(F2346="","",F2346&lt;=5,"0 to 5",F2346&lt;=10,"5.1 to 10",F2346&lt;=20,"10 to 20", F2346&lt;= 40, "20 to 40", F2346 &lt;= 50, "40 to 50", F2346 &gt; 50, "&gt;50" )</f>
        <v>10 to 20</v>
      </c>
    </row>
    <row r="2347" spans="1:15" ht="15" customHeight="1" x14ac:dyDescent="0.3">
      <c r="A2347" t="s">
        <v>498</v>
      </c>
      <c r="B2347" s="1">
        <v>46211</v>
      </c>
      <c r="C2347" t="s">
        <v>430</v>
      </c>
      <c r="D2347">
        <v>2167</v>
      </c>
      <c r="E2347">
        <v>1</v>
      </c>
      <c r="F2347">
        <v>8.3000000000000007</v>
      </c>
      <c r="G2347" t="s">
        <v>21</v>
      </c>
      <c r="I2347" t="str">
        <f t="shared" si="39"/>
        <v>2167_1</v>
      </c>
      <c r="J2347" t="s">
        <v>428</v>
      </c>
      <c r="K2347" t="s">
        <v>429</v>
      </c>
      <c r="L2347" t="str">
        <f>_xlfn.XLOOKUP(C2347, Table2[Species],Table2[Genus], "Code Not Found")</f>
        <v>Tsuga</v>
      </c>
      <c r="M2347" t="str">
        <f>_xlfn.XLOOKUP(C2347, Table2[Species],Table2[Sp. Name], "Code Not Found")</f>
        <v>canadensis</v>
      </c>
      <c r="N2347" t="str">
        <f>_xlfn.XLOOKUP(C2347,Table2[Species],Table2[Family],"Code Not Found")</f>
        <v>Pinaceae</v>
      </c>
      <c r="O2347" t="str" cm="1">
        <f t="array" ref="O2347">_xlfn.IFS(F2347="","",F2347&lt;=5,"0 to 5",F2347&lt;=10,"5.1 to 10",F2347&lt;=20,"10 to 20", F2347&lt;= 40, "20 to 40", F2347 &lt;= 50, "40 to 50", F2347 &gt; 50, "&gt;50" )</f>
        <v>5.1 to 10</v>
      </c>
    </row>
    <row r="2348" spans="1:15" ht="15" customHeight="1" x14ac:dyDescent="0.3">
      <c r="A2348" t="s">
        <v>498</v>
      </c>
      <c r="B2348" s="1">
        <v>46211</v>
      </c>
      <c r="C2348" t="s">
        <v>64</v>
      </c>
      <c r="D2348">
        <v>2168</v>
      </c>
      <c r="E2348">
        <v>1</v>
      </c>
      <c r="F2348">
        <v>46.7</v>
      </c>
      <c r="G2348" t="s">
        <v>507</v>
      </c>
      <c r="H2348" t="s">
        <v>500</v>
      </c>
      <c r="I2348" t="str">
        <f t="shared" si="39"/>
        <v>2168_1</v>
      </c>
      <c r="J2348" t="s">
        <v>428</v>
      </c>
      <c r="K2348" t="s">
        <v>429</v>
      </c>
      <c r="L2348" t="str">
        <f>_xlfn.XLOOKUP(C2348, Table2[Species],Table2[Genus], "Code Not Found")</f>
        <v>Fagus</v>
      </c>
      <c r="M2348" t="str">
        <f>_xlfn.XLOOKUP(C2348, Table2[Species],Table2[Sp. Name], "Code Not Found")</f>
        <v>grandifolia</v>
      </c>
      <c r="N2348" t="str">
        <f>_xlfn.XLOOKUP(C2348,Table2[Species],Table2[Family],"Code Not Found")</f>
        <v>Fagaceae</v>
      </c>
      <c r="O2348" t="str" cm="1">
        <f t="array" ref="O2348">_xlfn.IFS(F2348="","",F2348&lt;=5,"0 to 5",F2348&lt;=10,"5.1 to 10",F2348&lt;=20,"10 to 20", F2348&lt;= 40, "20 to 40", F2348 &lt;= 50, "40 to 50", F2348 &gt; 50, "&gt;50" )</f>
        <v>40 to 50</v>
      </c>
    </row>
    <row r="2349" spans="1:15" ht="15" customHeight="1" x14ac:dyDescent="0.3">
      <c r="A2349" t="s">
        <v>498</v>
      </c>
      <c r="B2349" s="1">
        <v>46211</v>
      </c>
      <c r="C2349" t="s">
        <v>64</v>
      </c>
      <c r="D2349">
        <v>2168</v>
      </c>
      <c r="E2349">
        <v>2</v>
      </c>
      <c r="F2349">
        <v>27.6</v>
      </c>
      <c r="G2349" t="s">
        <v>401</v>
      </c>
      <c r="I2349" t="str">
        <f t="shared" si="39"/>
        <v>2168_2</v>
      </c>
      <c r="J2349" t="s">
        <v>428</v>
      </c>
      <c r="K2349" t="s">
        <v>429</v>
      </c>
      <c r="L2349" t="str">
        <f>_xlfn.XLOOKUP(C2349, Table2[Species],Table2[Genus], "Code Not Found")</f>
        <v>Fagus</v>
      </c>
      <c r="M2349" t="str">
        <f>_xlfn.XLOOKUP(C2349, Table2[Species],Table2[Sp. Name], "Code Not Found")</f>
        <v>grandifolia</v>
      </c>
      <c r="N2349" t="str">
        <f>_xlfn.XLOOKUP(C2349,Table2[Species],Table2[Family],"Code Not Found")</f>
        <v>Fagaceae</v>
      </c>
      <c r="O2349" t="str" cm="1">
        <f t="array" ref="O2349">_xlfn.IFS(F2349="","",F2349&lt;=5,"0 to 5",F2349&lt;=10,"5.1 to 10",F2349&lt;=20,"10 to 20", F2349&lt;= 40, "20 to 40", F2349 &lt;= 50, "40 to 50", F2349 &gt; 50, "&gt;50" )</f>
        <v>20 to 40</v>
      </c>
    </row>
    <row r="2350" spans="1:15" ht="15" customHeight="1" x14ac:dyDescent="0.3">
      <c r="A2350" t="s">
        <v>498</v>
      </c>
      <c r="B2350" s="1">
        <v>46211</v>
      </c>
      <c r="C2350" t="s">
        <v>430</v>
      </c>
      <c r="D2350">
        <v>2169</v>
      </c>
      <c r="E2350">
        <v>1</v>
      </c>
      <c r="F2350">
        <v>6.5</v>
      </c>
      <c r="G2350" t="s">
        <v>30</v>
      </c>
      <c r="H2350" t="s">
        <v>305</v>
      </c>
      <c r="I2350" t="str">
        <f t="shared" si="39"/>
        <v>2169_1</v>
      </c>
      <c r="J2350" t="s">
        <v>428</v>
      </c>
      <c r="K2350" t="s">
        <v>429</v>
      </c>
      <c r="L2350" t="str">
        <f>_xlfn.XLOOKUP(C2350, Table2[Species],Table2[Genus], "Code Not Found")</f>
        <v>Tsuga</v>
      </c>
      <c r="M2350" t="str">
        <f>_xlfn.XLOOKUP(C2350, Table2[Species],Table2[Sp. Name], "Code Not Found")</f>
        <v>canadensis</v>
      </c>
      <c r="N2350" t="str">
        <f>_xlfn.XLOOKUP(C2350,Table2[Species],Table2[Family],"Code Not Found")</f>
        <v>Pinaceae</v>
      </c>
      <c r="O2350" t="str" cm="1">
        <f t="array" ref="O2350">_xlfn.IFS(F2350="","",F2350&lt;=5,"0 to 5",F2350&lt;=10,"5.1 to 10",F2350&lt;=20,"10 to 20", F2350&lt;= 40, "20 to 40", F2350 &lt;= 50, "40 to 50", F2350 &gt; 50, "&gt;50" )</f>
        <v>5.1 to 10</v>
      </c>
    </row>
    <row r="2351" spans="1:15" ht="15" customHeight="1" x14ac:dyDescent="0.3">
      <c r="A2351" t="s">
        <v>498</v>
      </c>
      <c r="B2351" s="1">
        <v>46211</v>
      </c>
      <c r="C2351" t="s">
        <v>64</v>
      </c>
      <c r="D2351">
        <v>2170</v>
      </c>
      <c r="E2351">
        <v>1</v>
      </c>
      <c r="F2351">
        <v>4.5999999999999996</v>
      </c>
      <c r="G2351" t="s">
        <v>17</v>
      </c>
      <c r="I2351" t="str">
        <f t="shared" si="39"/>
        <v>2170_1</v>
      </c>
      <c r="J2351" t="s">
        <v>428</v>
      </c>
      <c r="K2351" t="s">
        <v>429</v>
      </c>
      <c r="L2351" t="str">
        <f>_xlfn.XLOOKUP(C2351, Table2[Species],Table2[Genus], "Code Not Found")</f>
        <v>Fagus</v>
      </c>
      <c r="M2351" t="str">
        <f>_xlfn.XLOOKUP(C2351, Table2[Species],Table2[Sp. Name], "Code Not Found")</f>
        <v>grandifolia</v>
      </c>
      <c r="N2351" t="str">
        <f>_xlfn.XLOOKUP(C2351,Table2[Species],Table2[Family],"Code Not Found")</f>
        <v>Fagaceae</v>
      </c>
      <c r="O2351" t="str" cm="1">
        <f t="array" ref="O2351">_xlfn.IFS(F2351="","",F2351&lt;=5,"0 to 5",F2351&lt;=10,"5.1 to 10",F2351&lt;=20,"10 to 20", F2351&lt;= 40, "20 to 40", F2351 &lt;= 50, "40 to 50", F2351 &gt; 50, "&gt;50" )</f>
        <v>0 to 5</v>
      </c>
    </row>
    <row r="2352" spans="1:15" ht="15" customHeight="1" x14ac:dyDescent="0.3">
      <c r="A2352" t="s">
        <v>498</v>
      </c>
      <c r="B2352" s="1">
        <v>46211</v>
      </c>
      <c r="C2352" t="s">
        <v>430</v>
      </c>
      <c r="D2352">
        <v>2171</v>
      </c>
      <c r="E2352">
        <v>1</v>
      </c>
      <c r="F2352">
        <v>9.1</v>
      </c>
      <c r="G2352" t="s">
        <v>17</v>
      </c>
      <c r="H2352" t="s">
        <v>435</v>
      </c>
      <c r="I2352" t="str">
        <f t="shared" ref="I2352:I2415" si="40">D2352&amp;"_"&amp;E2352</f>
        <v>2171_1</v>
      </c>
      <c r="J2352" t="s">
        <v>428</v>
      </c>
      <c r="K2352" t="s">
        <v>429</v>
      </c>
      <c r="L2352" t="str">
        <f>_xlfn.XLOOKUP(C2352, Table2[Species],Table2[Genus], "Code Not Found")</f>
        <v>Tsuga</v>
      </c>
      <c r="M2352" t="str">
        <f>_xlfn.XLOOKUP(C2352, Table2[Species],Table2[Sp. Name], "Code Not Found")</f>
        <v>canadensis</v>
      </c>
      <c r="N2352" t="str">
        <f>_xlfn.XLOOKUP(C2352,Table2[Species],Table2[Family],"Code Not Found")</f>
        <v>Pinaceae</v>
      </c>
      <c r="O2352" t="str" cm="1">
        <f t="array" ref="O2352">_xlfn.IFS(F2352="","",F2352&lt;=5,"0 to 5",F2352&lt;=10,"5.1 to 10",F2352&lt;=20,"10 to 20", F2352&lt;= 40, "20 to 40", F2352 &lt;= 50, "40 to 50", F2352 &gt; 50, "&gt;50" )</f>
        <v>5.1 to 10</v>
      </c>
    </row>
    <row r="2353" spans="1:15" ht="15" customHeight="1" x14ac:dyDescent="0.3">
      <c r="A2353" t="s">
        <v>498</v>
      </c>
      <c r="B2353" s="1">
        <v>46211</v>
      </c>
      <c r="C2353" t="s">
        <v>430</v>
      </c>
      <c r="D2353">
        <v>2172</v>
      </c>
      <c r="E2353">
        <v>1</v>
      </c>
      <c r="F2353">
        <v>6.6</v>
      </c>
      <c r="G2353" t="s">
        <v>268</v>
      </c>
      <c r="I2353" t="str">
        <f t="shared" si="40"/>
        <v>2172_1</v>
      </c>
      <c r="J2353" t="s">
        <v>428</v>
      </c>
      <c r="K2353" t="s">
        <v>429</v>
      </c>
      <c r="L2353" t="str">
        <f>_xlfn.XLOOKUP(C2353, Table2[Species],Table2[Genus], "Code Not Found")</f>
        <v>Tsuga</v>
      </c>
      <c r="M2353" t="str">
        <f>_xlfn.XLOOKUP(C2353, Table2[Species],Table2[Sp. Name], "Code Not Found")</f>
        <v>canadensis</v>
      </c>
      <c r="N2353" t="str">
        <f>_xlfn.XLOOKUP(C2353,Table2[Species],Table2[Family],"Code Not Found")</f>
        <v>Pinaceae</v>
      </c>
      <c r="O2353" t="str" cm="1">
        <f t="array" ref="O2353">_xlfn.IFS(F2353="","",F2353&lt;=5,"0 to 5",F2353&lt;=10,"5.1 to 10",F2353&lt;=20,"10 to 20", F2353&lt;= 40, "20 to 40", F2353 &lt;= 50, "40 to 50", F2353 &gt; 50, "&gt;50" )</f>
        <v>5.1 to 10</v>
      </c>
    </row>
    <row r="2354" spans="1:15" ht="15" customHeight="1" x14ac:dyDescent="0.3">
      <c r="A2354" t="s">
        <v>498</v>
      </c>
      <c r="B2354" s="1">
        <v>46211</v>
      </c>
      <c r="C2354" t="s">
        <v>430</v>
      </c>
      <c r="D2354">
        <v>2172</v>
      </c>
      <c r="E2354">
        <v>2</v>
      </c>
      <c r="F2354">
        <v>6</v>
      </c>
      <c r="G2354" t="s">
        <v>268</v>
      </c>
      <c r="I2354" t="str">
        <f t="shared" si="40"/>
        <v>2172_2</v>
      </c>
      <c r="J2354" t="s">
        <v>428</v>
      </c>
      <c r="K2354" t="s">
        <v>429</v>
      </c>
      <c r="L2354" t="str">
        <f>_xlfn.XLOOKUP(C2354, Table2[Species],Table2[Genus], "Code Not Found")</f>
        <v>Tsuga</v>
      </c>
      <c r="M2354" t="str">
        <f>_xlfn.XLOOKUP(C2354, Table2[Species],Table2[Sp. Name], "Code Not Found")</f>
        <v>canadensis</v>
      </c>
      <c r="N2354" t="str">
        <f>_xlfn.XLOOKUP(C2354,Table2[Species],Table2[Family],"Code Not Found")</f>
        <v>Pinaceae</v>
      </c>
      <c r="O2354" t="str" cm="1">
        <f t="array" ref="O2354">_xlfn.IFS(F2354="","",F2354&lt;=5,"0 to 5",F2354&lt;=10,"5.1 to 10",F2354&lt;=20,"10 to 20", F2354&lt;= 40, "20 to 40", F2354 &lt;= 50, "40 to 50", F2354 &gt; 50, "&gt;50" )</f>
        <v>5.1 to 10</v>
      </c>
    </row>
    <row r="2355" spans="1:15" ht="15" customHeight="1" x14ac:dyDescent="0.3">
      <c r="A2355" t="s">
        <v>498</v>
      </c>
      <c r="B2355" s="1">
        <v>46211</v>
      </c>
      <c r="C2355" t="s">
        <v>64</v>
      </c>
      <c r="D2355">
        <v>2173</v>
      </c>
      <c r="E2355">
        <v>1</v>
      </c>
      <c r="F2355">
        <v>5.6</v>
      </c>
      <c r="G2355" t="s">
        <v>17</v>
      </c>
      <c r="I2355" t="str">
        <f t="shared" si="40"/>
        <v>2173_1</v>
      </c>
      <c r="J2355" t="s">
        <v>428</v>
      </c>
      <c r="K2355" t="s">
        <v>429</v>
      </c>
      <c r="L2355" t="str">
        <f>_xlfn.XLOOKUP(C2355, Table2[Species],Table2[Genus], "Code Not Found")</f>
        <v>Fagus</v>
      </c>
      <c r="M2355" t="str">
        <f>_xlfn.XLOOKUP(C2355, Table2[Species],Table2[Sp. Name], "Code Not Found")</f>
        <v>grandifolia</v>
      </c>
      <c r="N2355" t="str">
        <f>_xlfn.XLOOKUP(C2355,Table2[Species],Table2[Family],"Code Not Found")</f>
        <v>Fagaceae</v>
      </c>
      <c r="O2355" t="str" cm="1">
        <f t="array" ref="O2355">_xlfn.IFS(F2355="","",F2355&lt;=5,"0 to 5",F2355&lt;=10,"5.1 to 10",F2355&lt;=20,"10 to 20", F2355&lt;= 40, "20 to 40", F2355 &lt;= 50, "40 to 50", F2355 &gt; 50, "&gt;50" )</f>
        <v>5.1 to 10</v>
      </c>
    </row>
    <row r="2356" spans="1:15" ht="15" customHeight="1" x14ac:dyDescent="0.3">
      <c r="A2356" t="s">
        <v>498</v>
      </c>
      <c r="B2356" s="1">
        <v>46211</v>
      </c>
      <c r="C2356" t="s">
        <v>430</v>
      </c>
      <c r="D2356">
        <v>2174</v>
      </c>
      <c r="E2356">
        <v>1</v>
      </c>
      <c r="F2356">
        <v>9.1999999999999993</v>
      </c>
      <c r="G2356" t="s">
        <v>88</v>
      </c>
      <c r="H2356" t="s">
        <v>99</v>
      </c>
      <c r="I2356" t="str">
        <f t="shared" si="40"/>
        <v>2174_1</v>
      </c>
      <c r="J2356" t="s">
        <v>428</v>
      </c>
      <c r="K2356" t="s">
        <v>429</v>
      </c>
      <c r="L2356" t="str">
        <f>_xlfn.XLOOKUP(C2356, Table2[Species],Table2[Genus], "Code Not Found")</f>
        <v>Tsuga</v>
      </c>
      <c r="M2356" t="str">
        <f>_xlfn.XLOOKUP(C2356, Table2[Species],Table2[Sp. Name], "Code Not Found")</f>
        <v>canadensis</v>
      </c>
      <c r="N2356" t="str">
        <f>_xlfn.XLOOKUP(C2356,Table2[Species],Table2[Family],"Code Not Found")</f>
        <v>Pinaceae</v>
      </c>
      <c r="O2356" t="str" cm="1">
        <f t="array" ref="O2356">_xlfn.IFS(F2356="","",F2356&lt;=5,"0 to 5",F2356&lt;=10,"5.1 to 10",F2356&lt;=20,"10 to 20", F2356&lt;= 40, "20 to 40", F2356 &lt;= 50, "40 to 50", F2356 &gt; 50, "&gt;50" )</f>
        <v>5.1 to 10</v>
      </c>
    </row>
    <row r="2357" spans="1:15" ht="15" customHeight="1" x14ac:dyDescent="0.3">
      <c r="A2357" t="s">
        <v>498</v>
      </c>
      <c r="B2357" s="1">
        <v>46211</v>
      </c>
      <c r="C2357" t="s">
        <v>430</v>
      </c>
      <c r="D2357">
        <v>2175</v>
      </c>
      <c r="E2357">
        <v>1</v>
      </c>
      <c r="F2357">
        <v>14.3</v>
      </c>
      <c r="G2357" t="s">
        <v>47</v>
      </c>
      <c r="H2357" t="s">
        <v>296</v>
      </c>
      <c r="I2357" t="str">
        <f t="shared" si="40"/>
        <v>2175_1</v>
      </c>
      <c r="J2357" t="s">
        <v>428</v>
      </c>
      <c r="K2357" t="s">
        <v>429</v>
      </c>
      <c r="L2357" t="str">
        <f>_xlfn.XLOOKUP(C2357, Table2[Species],Table2[Genus], "Code Not Found")</f>
        <v>Tsuga</v>
      </c>
      <c r="M2357" t="str">
        <f>_xlfn.XLOOKUP(C2357, Table2[Species],Table2[Sp. Name], "Code Not Found")</f>
        <v>canadensis</v>
      </c>
      <c r="N2357" t="str">
        <f>_xlfn.XLOOKUP(C2357,Table2[Species],Table2[Family],"Code Not Found")</f>
        <v>Pinaceae</v>
      </c>
      <c r="O2357" t="str" cm="1">
        <f t="array" ref="O2357">_xlfn.IFS(F2357="","",F2357&lt;=5,"0 to 5",F2357&lt;=10,"5.1 to 10",F2357&lt;=20,"10 to 20", F2357&lt;= 40, "20 to 40", F2357 &lt;= 50, "40 to 50", F2357 &gt; 50, "&gt;50" )</f>
        <v>10 to 20</v>
      </c>
    </row>
    <row r="2358" spans="1:15" ht="15" customHeight="1" x14ac:dyDescent="0.3">
      <c r="A2358" t="s">
        <v>498</v>
      </c>
      <c r="B2358" s="1">
        <v>46211</v>
      </c>
      <c r="C2358" t="s">
        <v>430</v>
      </c>
      <c r="D2358">
        <v>2176</v>
      </c>
      <c r="E2358">
        <v>1</v>
      </c>
      <c r="F2358">
        <v>9.6999999999999993</v>
      </c>
      <c r="G2358" t="s">
        <v>17</v>
      </c>
      <c r="H2358" t="s">
        <v>36</v>
      </c>
      <c r="I2358" t="str">
        <f t="shared" si="40"/>
        <v>2176_1</v>
      </c>
      <c r="J2358" t="s">
        <v>428</v>
      </c>
      <c r="K2358" t="s">
        <v>429</v>
      </c>
      <c r="L2358" t="str">
        <f>_xlfn.XLOOKUP(C2358, Table2[Species],Table2[Genus], "Code Not Found")</f>
        <v>Tsuga</v>
      </c>
      <c r="M2358" t="str">
        <f>_xlfn.XLOOKUP(C2358, Table2[Species],Table2[Sp. Name], "Code Not Found")</f>
        <v>canadensis</v>
      </c>
      <c r="N2358" t="str">
        <f>_xlfn.XLOOKUP(C2358,Table2[Species],Table2[Family],"Code Not Found")</f>
        <v>Pinaceae</v>
      </c>
      <c r="O2358" t="str" cm="1">
        <f t="array" ref="O2358">_xlfn.IFS(F2358="","",F2358&lt;=5,"0 to 5",F2358&lt;=10,"5.1 to 10",F2358&lt;=20,"10 to 20", F2358&lt;= 40, "20 to 40", F2358 &lt;= 50, "40 to 50", F2358 &gt; 50, "&gt;50" )</f>
        <v>5.1 to 10</v>
      </c>
    </row>
    <row r="2359" spans="1:15" ht="15" customHeight="1" x14ac:dyDescent="0.3">
      <c r="A2359" t="s">
        <v>498</v>
      </c>
      <c r="B2359" s="1">
        <v>46211</v>
      </c>
      <c r="C2359" t="s">
        <v>430</v>
      </c>
      <c r="D2359">
        <v>2177</v>
      </c>
      <c r="E2359">
        <v>1</v>
      </c>
      <c r="F2359">
        <v>6.6</v>
      </c>
      <c r="G2359" t="s">
        <v>17</v>
      </c>
      <c r="H2359" t="s">
        <v>435</v>
      </c>
      <c r="I2359" t="str">
        <f t="shared" si="40"/>
        <v>2177_1</v>
      </c>
      <c r="J2359" t="s">
        <v>428</v>
      </c>
      <c r="K2359" t="s">
        <v>429</v>
      </c>
      <c r="L2359" t="str">
        <f>_xlfn.XLOOKUP(C2359, Table2[Species],Table2[Genus], "Code Not Found")</f>
        <v>Tsuga</v>
      </c>
      <c r="M2359" t="str">
        <f>_xlfn.XLOOKUP(C2359, Table2[Species],Table2[Sp. Name], "Code Not Found")</f>
        <v>canadensis</v>
      </c>
      <c r="N2359" t="str">
        <f>_xlfn.XLOOKUP(C2359,Table2[Species],Table2[Family],"Code Not Found")</f>
        <v>Pinaceae</v>
      </c>
      <c r="O2359" t="str" cm="1">
        <f t="array" ref="O2359">_xlfn.IFS(F2359="","",F2359&lt;=5,"0 to 5",F2359&lt;=10,"5.1 to 10",F2359&lt;=20,"10 to 20", F2359&lt;= 40, "20 to 40", F2359 &lt;= 50, "40 to 50", F2359 &gt; 50, "&gt;50" )</f>
        <v>5.1 to 10</v>
      </c>
    </row>
    <row r="2360" spans="1:15" ht="15" customHeight="1" x14ac:dyDescent="0.3">
      <c r="A2360" t="s">
        <v>498</v>
      </c>
      <c r="B2360" s="1">
        <v>46211</v>
      </c>
      <c r="C2360" t="s">
        <v>430</v>
      </c>
      <c r="D2360">
        <v>2178</v>
      </c>
      <c r="E2360">
        <v>1</v>
      </c>
      <c r="F2360">
        <v>9.6999999999999993</v>
      </c>
      <c r="G2360" t="s">
        <v>47</v>
      </c>
      <c r="I2360" t="str">
        <f t="shared" si="40"/>
        <v>2178_1</v>
      </c>
      <c r="J2360" t="s">
        <v>428</v>
      </c>
      <c r="K2360" t="s">
        <v>429</v>
      </c>
      <c r="L2360" t="str">
        <f>_xlfn.XLOOKUP(C2360, Table2[Species],Table2[Genus], "Code Not Found")</f>
        <v>Tsuga</v>
      </c>
      <c r="M2360" t="str">
        <f>_xlfn.XLOOKUP(C2360, Table2[Species],Table2[Sp. Name], "Code Not Found")</f>
        <v>canadensis</v>
      </c>
      <c r="N2360" t="str">
        <f>_xlfn.XLOOKUP(C2360,Table2[Species],Table2[Family],"Code Not Found")</f>
        <v>Pinaceae</v>
      </c>
      <c r="O2360" t="str" cm="1">
        <f t="array" ref="O2360">_xlfn.IFS(F2360="","",F2360&lt;=5,"0 to 5",F2360&lt;=10,"5.1 to 10",F2360&lt;=20,"10 to 20", F2360&lt;= 40, "20 to 40", F2360 &lt;= 50, "40 to 50", F2360 &gt; 50, "&gt;50" )</f>
        <v>5.1 to 10</v>
      </c>
    </row>
    <row r="2361" spans="1:15" ht="15" customHeight="1" x14ac:dyDescent="0.3">
      <c r="A2361" t="s">
        <v>498</v>
      </c>
      <c r="B2361" s="1">
        <v>46211</v>
      </c>
      <c r="C2361" t="s">
        <v>24</v>
      </c>
      <c r="D2361">
        <v>2179</v>
      </c>
      <c r="E2361">
        <v>1</v>
      </c>
      <c r="F2361">
        <v>80.3</v>
      </c>
      <c r="G2361" t="s">
        <v>21</v>
      </c>
      <c r="I2361" t="str">
        <f t="shared" si="40"/>
        <v>2179_1</v>
      </c>
      <c r="J2361" t="s">
        <v>428</v>
      </c>
      <c r="K2361" t="s">
        <v>429</v>
      </c>
      <c r="L2361" t="str">
        <f>_xlfn.XLOOKUP(C2361, Table2[Species],Table2[Genus], "Code Not Found")</f>
        <v>Lirodendron</v>
      </c>
      <c r="M2361" t="str">
        <f>_xlfn.XLOOKUP(C2361, Table2[Species],Table2[Sp. Name], "Code Not Found")</f>
        <v>tulipfera</v>
      </c>
      <c r="N2361" t="str">
        <f>_xlfn.XLOOKUP(C2361,Table2[Species],Table2[Family],"Code Not Found")</f>
        <v>Magnoliaceae</v>
      </c>
      <c r="O2361" t="str" cm="1">
        <f t="array" ref="O2361">_xlfn.IFS(F2361="","",F2361&lt;=5,"0 to 5",F2361&lt;=10,"5.1 to 10",F2361&lt;=20,"10 to 20", F2361&lt;= 40, "20 to 40", F2361 &lt;= 50, "40 to 50", F2361 &gt; 50, "&gt;50" )</f>
        <v>&gt;50</v>
      </c>
    </row>
    <row r="2362" spans="1:15" ht="15" customHeight="1" x14ac:dyDescent="0.3">
      <c r="A2362" t="s">
        <v>498</v>
      </c>
      <c r="B2362" s="1">
        <v>46211</v>
      </c>
      <c r="C2362" t="s">
        <v>430</v>
      </c>
      <c r="D2362">
        <v>2180</v>
      </c>
      <c r="E2362">
        <v>1</v>
      </c>
      <c r="F2362">
        <v>14.8</v>
      </c>
      <c r="G2362" t="s">
        <v>17</v>
      </c>
      <c r="I2362" t="str">
        <f t="shared" si="40"/>
        <v>2180_1</v>
      </c>
      <c r="J2362" t="s">
        <v>428</v>
      </c>
      <c r="K2362" t="s">
        <v>429</v>
      </c>
      <c r="L2362" t="str">
        <f>_xlfn.XLOOKUP(C2362, Table2[Species],Table2[Genus], "Code Not Found")</f>
        <v>Tsuga</v>
      </c>
      <c r="M2362" t="str">
        <f>_xlfn.XLOOKUP(C2362, Table2[Species],Table2[Sp. Name], "Code Not Found")</f>
        <v>canadensis</v>
      </c>
      <c r="N2362" t="str">
        <f>_xlfn.XLOOKUP(C2362,Table2[Species],Table2[Family],"Code Not Found")</f>
        <v>Pinaceae</v>
      </c>
      <c r="O2362" t="str" cm="1">
        <f t="array" ref="O2362">_xlfn.IFS(F2362="","",F2362&lt;=5,"0 to 5",F2362&lt;=10,"5.1 to 10",F2362&lt;=20,"10 to 20", F2362&lt;= 40, "20 to 40", F2362 &lt;= 50, "40 to 50", F2362 &gt; 50, "&gt;50" )</f>
        <v>10 to 20</v>
      </c>
    </row>
    <row r="2363" spans="1:15" ht="15" customHeight="1" x14ac:dyDescent="0.3">
      <c r="A2363" t="s">
        <v>498</v>
      </c>
      <c r="B2363" s="1">
        <v>46211</v>
      </c>
      <c r="C2363" t="s">
        <v>430</v>
      </c>
      <c r="D2363">
        <v>2181</v>
      </c>
      <c r="E2363">
        <v>1</v>
      </c>
      <c r="F2363">
        <v>13.9</v>
      </c>
      <c r="G2363" t="s">
        <v>21</v>
      </c>
      <c r="H2363" t="s">
        <v>508</v>
      </c>
      <c r="I2363" t="str">
        <f t="shared" si="40"/>
        <v>2181_1</v>
      </c>
      <c r="J2363" t="s">
        <v>428</v>
      </c>
      <c r="K2363" t="s">
        <v>429</v>
      </c>
      <c r="L2363" t="str">
        <f>_xlfn.XLOOKUP(C2363, Table2[Species],Table2[Genus], "Code Not Found")</f>
        <v>Tsuga</v>
      </c>
      <c r="M2363" t="str">
        <f>_xlfn.XLOOKUP(C2363, Table2[Species],Table2[Sp. Name], "Code Not Found")</f>
        <v>canadensis</v>
      </c>
      <c r="N2363" t="str">
        <f>_xlfn.XLOOKUP(C2363,Table2[Species],Table2[Family],"Code Not Found")</f>
        <v>Pinaceae</v>
      </c>
      <c r="O2363" t="str" cm="1">
        <f t="array" ref="O2363">_xlfn.IFS(F2363="","",F2363&lt;=5,"0 to 5",F2363&lt;=10,"5.1 to 10",F2363&lt;=20,"10 to 20", F2363&lt;= 40, "20 to 40", F2363 &lt;= 50, "40 to 50", F2363 &gt; 50, "&gt;50" )</f>
        <v>10 to 20</v>
      </c>
    </row>
    <row r="2364" spans="1:15" ht="15" customHeight="1" x14ac:dyDescent="0.3">
      <c r="A2364" t="s">
        <v>498</v>
      </c>
      <c r="B2364" s="1">
        <v>46211</v>
      </c>
      <c r="C2364" t="s">
        <v>430</v>
      </c>
      <c r="D2364">
        <v>2182</v>
      </c>
      <c r="E2364">
        <v>1</v>
      </c>
      <c r="F2364">
        <v>6.5</v>
      </c>
      <c r="G2364" t="s">
        <v>17</v>
      </c>
      <c r="H2364" t="s">
        <v>36</v>
      </c>
      <c r="I2364" t="str">
        <f t="shared" si="40"/>
        <v>2182_1</v>
      </c>
      <c r="J2364" t="s">
        <v>428</v>
      </c>
      <c r="K2364" t="s">
        <v>429</v>
      </c>
      <c r="L2364" t="str">
        <f>_xlfn.XLOOKUP(C2364, Table2[Species],Table2[Genus], "Code Not Found")</f>
        <v>Tsuga</v>
      </c>
      <c r="M2364" t="str">
        <f>_xlfn.XLOOKUP(C2364, Table2[Species],Table2[Sp. Name], "Code Not Found")</f>
        <v>canadensis</v>
      </c>
      <c r="N2364" t="str">
        <f>_xlfn.XLOOKUP(C2364,Table2[Species],Table2[Family],"Code Not Found")</f>
        <v>Pinaceae</v>
      </c>
      <c r="O2364" t="str" cm="1">
        <f t="array" ref="O2364">_xlfn.IFS(F2364="","",F2364&lt;=5,"0 to 5",F2364&lt;=10,"5.1 to 10",F2364&lt;=20,"10 to 20", F2364&lt;= 40, "20 to 40", F2364 &lt;= 50, "40 to 50", F2364 &gt; 50, "&gt;50" )</f>
        <v>5.1 to 10</v>
      </c>
    </row>
    <row r="2365" spans="1:15" ht="15" customHeight="1" x14ac:dyDescent="0.3">
      <c r="A2365" t="s">
        <v>498</v>
      </c>
      <c r="B2365" s="1">
        <v>46211</v>
      </c>
      <c r="C2365" t="s">
        <v>430</v>
      </c>
      <c r="D2365">
        <v>2183</v>
      </c>
      <c r="E2365">
        <v>1</v>
      </c>
      <c r="F2365">
        <v>12.4</v>
      </c>
      <c r="G2365" t="s">
        <v>17</v>
      </c>
      <c r="I2365" t="str">
        <f t="shared" si="40"/>
        <v>2183_1</v>
      </c>
      <c r="J2365" t="s">
        <v>428</v>
      </c>
      <c r="K2365" t="s">
        <v>429</v>
      </c>
      <c r="L2365" t="str">
        <f>_xlfn.XLOOKUP(C2365, Table2[Species],Table2[Genus], "Code Not Found")</f>
        <v>Tsuga</v>
      </c>
      <c r="M2365" t="str">
        <f>_xlfn.XLOOKUP(C2365, Table2[Species],Table2[Sp. Name], "Code Not Found")</f>
        <v>canadensis</v>
      </c>
      <c r="N2365" t="str">
        <f>_xlfn.XLOOKUP(C2365,Table2[Species],Table2[Family],"Code Not Found")</f>
        <v>Pinaceae</v>
      </c>
      <c r="O2365" t="str" cm="1">
        <f t="array" ref="O2365">_xlfn.IFS(F2365="","",F2365&lt;=5,"0 to 5",F2365&lt;=10,"5.1 to 10",F2365&lt;=20,"10 to 20", F2365&lt;= 40, "20 to 40", F2365 &lt;= 50, "40 to 50", F2365 &gt; 50, "&gt;50" )</f>
        <v>10 to 20</v>
      </c>
    </row>
    <row r="2366" spans="1:15" ht="15" customHeight="1" x14ac:dyDescent="0.3">
      <c r="A2366" t="s">
        <v>498</v>
      </c>
      <c r="B2366" s="1">
        <v>46211</v>
      </c>
      <c r="C2366" t="s">
        <v>16</v>
      </c>
      <c r="D2366">
        <v>2184</v>
      </c>
      <c r="E2366">
        <v>1</v>
      </c>
      <c r="F2366">
        <v>5</v>
      </c>
      <c r="G2366" t="s">
        <v>17</v>
      </c>
      <c r="I2366" t="str">
        <f t="shared" si="40"/>
        <v>2184_1</v>
      </c>
      <c r="J2366" t="s">
        <v>428</v>
      </c>
      <c r="K2366" t="s">
        <v>429</v>
      </c>
      <c r="L2366" t="str">
        <f>_xlfn.XLOOKUP(C2366, Table2[Species],Table2[Genus], "Code Not Found")</f>
        <v>Acer</v>
      </c>
      <c r="M2366" t="str">
        <f>_xlfn.XLOOKUP(C2366, Table2[Species],Table2[Sp. Name], "Code Not Found")</f>
        <v>saccharum</v>
      </c>
      <c r="N2366" t="str">
        <f>_xlfn.XLOOKUP(C2366,Table2[Species],Table2[Family],"Code Not Found")</f>
        <v>Sapindaceae</v>
      </c>
      <c r="O2366" t="str" cm="1">
        <f t="array" ref="O2366">_xlfn.IFS(F2366="","",F2366&lt;=5,"0 to 5",F2366&lt;=10,"5.1 to 10",F2366&lt;=20,"10 to 20", F2366&lt;= 40, "20 to 40", F2366 &lt;= 50, "40 to 50", F2366 &gt; 50, "&gt;50" )</f>
        <v>0 to 5</v>
      </c>
    </row>
    <row r="2367" spans="1:15" ht="15" customHeight="1" x14ac:dyDescent="0.3">
      <c r="A2367" t="s">
        <v>498</v>
      </c>
      <c r="B2367" s="1">
        <v>46211</v>
      </c>
      <c r="C2367" t="s">
        <v>22</v>
      </c>
      <c r="D2367">
        <v>2185</v>
      </c>
      <c r="E2367">
        <v>1</v>
      </c>
      <c r="F2367">
        <v>22.8</v>
      </c>
      <c r="G2367" t="s">
        <v>509</v>
      </c>
      <c r="H2367" t="s">
        <v>36</v>
      </c>
      <c r="I2367" t="str">
        <f t="shared" si="40"/>
        <v>2185_1</v>
      </c>
      <c r="J2367" t="s">
        <v>428</v>
      </c>
      <c r="K2367" t="s">
        <v>429</v>
      </c>
      <c r="L2367" t="str">
        <f>_xlfn.XLOOKUP(C2367, Table2[Species],Table2[Genus], "Code Not Found")</f>
        <v>Acer</v>
      </c>
      <c r="M2367" t="str">
        <f>_xlfn.XLOOKUP(C2367, Table2[Species],Table2[Sp. Name], "Code Not Found")</f>
        <v>rubrum</v>
      </c>
      <c r="N2367" t="str">
        <f>_xlfn.XLOOKUP(C2367,Table2[Species],Table2[Family],"Code Not Found")</f>
        <v>Sapindaceae</v>
      </c>
      <c r="O2367" t="str" cm="1">
        <f t="array" ref="O2367">_xlfn.IFS(F2367="","",F2367&lt;=5,"0 to 5",F2367&lt;=10,"5.1 to 10",F2367&lt;=20,"10 to 20", F2367&lt;= 40, "20 to 40", F2367 &lt;= 50, "40 to 50", F2367 &gt; 50, "&gt;50" )</f>
        <v>20 to 40</v>
      </c>
    </row>
    <row r="2368" spans="1:15" ht="15" customHeight="1" x14ac:dyDescent="0.3">
      <c r="A2368" t="s">
        <v>498</v>
      </c>
      <c r="B2368" s="1">
        <v>46211</v>
      </c>
      <c r="C2368" t="s">
        <v>430</v>
      </c>
      <c r="D2368">
        <v>2186</v>
      </c>
      <c r="E2368">
        <v>1</v>
      </c>
      <c r="F2368">
        <v>9.1999999999999993</v>
      </c>
      <c r="G2368" t="s">
        <v>139</v>
      </c>
      <c r="H2368" t="s">
        <v>121</v>
      </c>
      <c r="I2368" t="str">
        <f t="shared" si="40"/>
        <v>2186_1</v>
      </c>
      <c r="J2368" t="s">
        <v>428</v>
      </c>
      <c r="K2368" t="s">
        <v>429</v>
      </c>
      <c r="L2368" t="str">
        <f>_xlfn.XLOOKUP(C2368, Table2[Species],Table2[Genus], "Code Not Found")</f>
        <v>Tsuga</v>
      </c>
      <c r="M2368" t="str">
        <f>_xlfn.XLOOKUP(C2368, Table2[Species],Table2[Sp. Name], "Code Not Found")</f>
        <v>canadensis</v>
      </c>
      <c r="N2368" t="str">
        <f>_xlfn.XLOOKUP(C2368,Table2[Species],Table2[Family],"Code Not Found")</f>
        <v>Pinaceae</v>
      </c>
      <c r="O2368" t="str" cm="1">
        <f t="array" ref="O2368">_xlfn.IFS(F2368="","",F2368&lt;=5,"0 to 5",F2368&lt;=10,"5.1 to 10",F2368&lt;=20,"10 to 20", F2368&lt;= 40, "20 to 40", F2368 &lt;= 50, "40 to 50", F2368 &gt; 50, "&gt;50" )</f>
        <v>5.1 to 10</v>
      </c>
    </row>
    <row r="2369" spans="1:15" ht="15" customHeight="1" x14ac:dyDescent="0.3">
      <c r="A2369" t="s">
        <v>498</v>
      </c>
      <c r="B2369" s="1">
        <v>46211</v>
      </c>
      <c r="C2369" t="s">
        <v>430</v>
      </c>
      <c r="D2369">
        <v>2187</v>
      </c>
      <c r="E2369">
        <v>1</v>
      </c>
      <c r="F2369">
        <v>5.5</v>
      </c>
      <c r="G2369" t="s">
        <v>17</v>
      </c>
      <c r="I2369" t="str">
        <f t="shared" si="40"/>
        <v>2187_1</v>
      </c>
      <c r="J2369" t="s">
        <v>428</v>
      </c>
      <c r="K2369" t="s">
        <v>429</v>
      </c>
      <c r="L2369" t="str">
        <f>_xlfn.XLOOKUP(C2369, Table2[Species],Table2[Genus], "Code Not Found")</f>
        <v>Tsuga</v>
      </c>
      <c r="M2369" t="str">
        <f>_xlfn.XLOOKUP(C2369, Table2[Species],Table2[Sp. Name], "Code Not Found")</f>
        <v>canadensis</v>
      </c>
      <c r="N2369" t="str">
        <f>_xlfn.XLOOKUP(C2369,Table2[Species],Table2[Family],"Code Not Found")</f>
        <v>Pinaceae</v>
      </c>
      <c r="O2369" t="str" cm="1">
        <f t="array" ref="O2369">_xlfn.IFS(F2369="","",F2369&lt;=5,"0 to 5",F2369&lt;=10,"5.1 to 10",F2369&lt;=20,"10 to 20", F2369&lt;= 40, "20 to 40", F2369 &lt;= 50, "40 to 50", F2369 &gt; 50, "&gt;50" )</f>
        <v>5.1 to 10</v>
      </c>
    </row>
    <row r="2370" spans="1:15" ht="15" customHeight="1" x14ac:dyDescent="0.3">
      <c r="A2370" t="s">
        <v>498</v>
      </c>
      <c r="B2370" s="1">
        <v>46211</v>
      </c>
      <c r="C2370" t="s">
        <v>430</v>
      </c>
      <c r="D2370">
        <v>2188</v>
      </c>
      <c r="E2370">
        <v>1</v>
      </c>
      <c r="F2370">
        <v>16.3</v>
      </c>
      <c r="G2370" t="s">
        <v>17</v>
      </c>
      <c r="I2370" t="str">
        <f t="shared" si="40"/>
        <v>2188_1</v>
      </c>
      <c r="J2370" t="s">
        <v>428</v>
      </c>
      <c r="K2370" t="s">
        <v>429</v>
      </c>
      <c r="L2370" t="str">
        <f>_xlfn.XLOOKUP(C2370, Table2[Species],Table2[Genus], "Code Not Found")</f>
        <v>Tsuga</v>
      </c>
      <c r="M2370" t="str">
        <f>_xlfn.XLOOKUP(C2370, Table2[Species],Table2[Sp. Name], "Code Not Found")</f>
        <v>canadensis</v>
      </c>
      <c r="N2370" t="str">
        <f>_xlfn.XLOOKUP(C2370,Table2[Species],Table2[Family],"Code Not Found")</f>
        <v>Pinaceae</v>
      </c>
      <c r="O2370" t="str" cm="1">
        <f t="array" ref="O2370">_xlfn.IFS(F2370="","",F2370&lt;=5,"0 to 5",F2370&lt;=10,"5.1 to 10",F2370&lt;=20,"10 to 20", F2370&lt;= 40, "20 to 40", F2370 &lt;= 50, "40 to 50", F2370 &gt; 50, "&gt;50" )</f>
        <v>10 to 20</v>
      </c>
    </row>
    <row r="2371" spans="1:15" ht="15" customHeight="1" x14ac:dyDescent="0.3">
      <c r="A2371" t="s">
        <v>498</v>
      </c>
      <c r="B2371" s="1">
        <v>46211</v>
      </c>
      <c r="C2371" t="s">
        <v>430</v>
      </c>
      <c r="D2371">
        <v>2189</v>
      </c>
      <c r="E2371">
        <v>1</v>
      </c>
      <c r="F2371">
        <v>14.3</v>
      </c>
      <c r="G2371" t="s">
        <v>509</v>
      </c>
      <c r="I2371" t="str">
        <f t="shared" si="40"/>
        <v>2189_1</v>
      </c>
      <c r="J2371" t="s">
        <v>428</v>
      </c>
      <c r="K2371" t="s">
        <v>429</v>
      </c>
      <c r="L2371" t="str">
        <f>_xlfn.XLOOKUP(C2371, Table2[Species],Table2[Genus], "Code Not Found")</f>
        <v>Tsuga</v>
      </c>
      <c r="M2371" t="str">
        <f>_xlfn.XLOOKUP(C2371, Table2[Species],Table2[Sp. Name], "Code Not Found")</f>
        <v>canadensis</v>
      </c>
      <c r="N2371" t="str">
        <f>_xlfn.XLOOKUP(C2371,Table2[Species],Table2[Family],"Code Not Found")</f>
        <v>Pinaceae</v>
      </c>
      <c r="O2371" t="str" cm="1">
        <f t="array" ref="O2371">_xlfn.IFS(F2371="","",F2371&lt;=5,"0 to 5",F2371&lt;=10,"5.1 to 10",F2371&lt;=20,"10 to 20", F2371&lt;= 40, "20 to 40", F2371 &lt;= 50, "40 to 50", F2371 &gt; 50, "&gt;50" )</f>
        <v>10 to 20</v>
      </c>
    </row>
    <row r="2372" spans="1:15" ht="15" customHeight="1" x14ac:dyDescent="0.3">
      <c r="A2372" t="s">
        <v>498</v>
      </c>
      <c r="B2372" s="1">
        <v>46211</v>
      </c>
      <c r="C2372" t="s">
        <v>20</v>
      </c>
      <c r="D2372">
        <v>2190</v>
      </c>
      <c r="E2372">
        <v>1</v>
      </c>
      <c r="F2372">
        <v>72.2</v>
      </c>
      <c r="G2372" t="s">
        <v>21</v>
      </c>
      <c r="I2372" t="str">
        <f t="shared" si="40"/>
        <v>2190_1</v>
      </c>
      <c r="J2372" t="s">
        <v>428</v>
      </c>
      <c r="K2372" t="s">
        <v>429</v>
      </c>
      <c r="L2372" t="str">
        <f>_xlfn.XLOOKUP(C2372, Table2[Species],Table2[Genus], "Code Not Found")</f>
        <v>Prunus</v>
      </c>
      <c r="M2372" t="str">
        <f>_xlfn.XLOOKUP(C2372, Table2[Species],Table2[Sp. Name], "Code Not Found")</f>
        <v>serotina</v>
      </c>
      <c r="N2372" t="str">
        <f>_xlfn.XLOOKUP(C2372,Table2[Species],Table2[Family],"Code Not Found")</f>
        <v>Rosaceae</v>
      </c>
      <c r="O2372" t="str" cm="1">
        <f t="array" ref="O2372">_xlfn.IFS(F2372="","",F2372&lt;=5,"0 to 5",F2372&lt;=10,"5.1 to 10",F2372&lt;=20,"10 to 20", F2372&lt;= 40, "20 to 40", F2372 &lt;= 50, "40 to 50", F2372 &gt; 50, "&gt;50" )</f>
        <v>&gt;50</v>
      </c>
    </row>
    <row r="2373" spans="1:15" ht="15" customHeight="1" x14ac:dyDescent="0.3">
      <c r="A2373" t="s">
        <v>498</v>
      </c>
      <c r="B2373" s="1">
        <v>46211</v>
      </c>
      <c r="C2373" t="s">
        <v>430</v>
      </c>
      <c r="D2373">
        <v>2191</v>
      </c>
      <c r="E2373">
        <v>1</v>
      </c>
      <c r="F2373">
        <v>7.3</v>
      </c>
      <c r="G2373" t="s">
        <v>509</v>
      </c>
      <c r="I2373" t="str">
        <f t="shared" si="40"/>
        <v>2191_1</v>
      </c>
      <c r="J2373" t="s">
        <v>428</v>
      </c>
      <c r="K2373" t="s">
        <v>429</v>
      </c>
      <c r="L2373" t="str">
        <f>_xlfn.XLOOKUP(C2373, Table2[Species],Table2[Genus], "Code Not Found")</f>
        <v>Tsuga</v>
      </c>
      <c r="M2373" t="str">
        <f>_xlfn.XLOOKUP(C2373, Table2[Species],Table2[Sp. Name], "Code Not Found")</f>
        <v>canadensis</v>
      </c>
      <c r="N2373" t="str">
        <f>_xlfn.XLOOKUP(C2373,Table2[Species],Table2[Family],"Code Not Found")</f>
        <v>Pinaceae</v>
      </c>
      <c r="O2373" t="str" cm="1">
        <f t="array" ref="O2373">_xlfn.IFS(F2373="","",F2373&lt;=5,"0 to 5",F2373&lt;=10,"5.1 to 10",F2373&lt;=20,"10 to 20", F2373&lt;= 40, "20 to 40", F2373 &lt;= 50, "40 to 50", F2373 &gt; 50, "&gt;50" )</f>
        <v>5.1 to 10</v>
      </c>
    </row>
    <row r="2374" spans="1:15" ht="15" customHeight="1" x14ac:dyDescent="0.3">
      <c r="A2374" t="s">
        <v>498</v>
      </c>
      <c r="B2374" s="1">
        <v>46211</v>
      </c>
      <c r="C2374" t="s">
        <v>430</v>
      </c>
      <c r="D2374">
        <v>2192</v>
      </c>
      <c r="E2374">
        <v>1</v>
      </c>
      <c r="F2374">
        <v>11.6</v>
      </c>
      <c r="G2374" t="s">
        <v>17</v>
      </c>
      <c r="I2374" t="str">
        <f t="shared" si="40"/>
        <v>2192_1</v>
      </c>
      <c r="J2374" t="s">
        <v>428</v>
      </c>
      <c r="K2374" t="s">
        <v>429</v>
      </c>
      <c r="L2374" t="str">
        <f>_xlfn.XLOOKUP(C2374, Table2[Species],Table2[Genus], "Code Not Found")</f>
        <v>Tsuga</v>
      </c>
      <c r="M2374" t="str">
        <f>_xlfn.XLOOKUP(C2374, Table2[Species],Table2[Sp. Name], "Code Not Found")</f>
        <v>canadensis</v>
      </c>
      <c r="N2374" t="str">
        <f>_xlfn.XLOOKUP(C2374,Table2[Species],Table2[Family],"Code Not Found")</f>
        <v>Pinaceae</v>
      </c>
      <c r="O2374" t="str" cm="1">
        <f t="array" ref="O2374">_xlfn.IFS(F2374="","",F2374&lt;=5,"0 to 5",F2374&lt;=10,"5.1 to 10",F2374&lt;=20,"10 to 20", F2374&lt;= 40, "20 to 40", F2374 &lt;= 50, "40 to 50", F2374 &gt; 50, "&gt;50" )</f>
        <v>10 to 20</v>
      </c>
    </row>
    <row r="2375" spans="1:15" ht="15" customHeight="1" x14ac:dyDescent="0.3">
      <c r="A2375" t="s">
        <v>498</v>
      </c>
      <c r="B2375" s="1">
        <v>46211</v>
      </c>
      <c r="C2375" t="s">
        <v>64</v>
      </c>
      <c r="D2375">
        <v>2193</v>
      </c>
      <c r="E2375">
        <v>1</v>
      </c>
      <c r="F2375">
        <v>1.6</v>
      </c>
      <c r="G2375" t="s">
        <v>30</v>
      </c>
      <c r="H2375" t="s">
        <v>234</v>
      </c>
      <c r="I2375" t="str">
        <f t="shared" si="40"/>
        <v>2193_1</v>
      </c>
      <c r="J2375" t="s">
        <v>428</v>
      </c>
      <c r="K2375" t="s">
        <v>429</v>
      </c>
      <c r="L2375" t="str">
        <f>_xlfn.XLOOKUP(C2375, Table2[Species],Table2[Genus], "Code Not Found")</f>
        <v>Fagus</v>
      </c>
      <c r="M2375" t="str">
        <f>_xlfn.XLOOKUP(C2375, Table2[Species],Table2[Sp. Name], "Code Not Found")</f>
        <v>grandifolia</v>
      </c>
      <c r="N2375" t="str">
        <f>_xlfn.XLOOKUP(C2375,Table2[Species],Table2[Family],"Code Not Found")</f>
        <v>Fagaceae</v>
      </c>
      <c r="O2375" t="str" cm="1">
        <f t="array" ref="O2375">_xlfn.IFS(F2375="","",F2375&lt;=5,"0 to 5",F2375&lt;=10,"5.1 to 10",F2375&lt;=20,"10 to 20", F2375&lt;= 40, "20 to 40", F2375 &lt;= 50, "40 to 50", F2375 &gt; 50, "&gt;50" )</f>
        <v>0 to 5</v>
      </c>
    </row>
    <row r="2376" spans="1:15" ht="15" customHeight="1" x14ac:dyDescent="0.3">
      <c r="A2376" t="s">
        <v>498</v>
      </c>
      <c r="B2376" s="1">
        <v>46211</v>
      </c>
      <c r="C2376" t="s">
        <v>64</v>
      </c>
      <c r="D2376">
        <v>2194</v>
      </c>
      <c r="E2376">
        <v>1</v>
      </c>
      <c r="F2376">
        <v>3</v>
      </c>
      <c r="G2376" t="s">
        <v>510</v>
      </c>
      <c r="I2376" t="str">
        <f t="shared" si="40"/>
        <v>2194_1</v>
      </c>
      <c r="J2376" t="s">
        <v>428</v>
      </c>
      <c r="K2376" t="s">
        <v>429</v>
      </c>
      <c r="L2376" t="str">
        <f>_xlfn.XLOOKUP(C2376, Table2[Species],Table2[Genus], "Code Not Found")</f>
        <v>Fagus</v>
      </c>
      <c r="M2376" t="str">
        <f>_xlfn.XLOOKUP(C2376, Table2[Species],Table2[Sp. Name], "Code Not Found")</f>
        <v>grandifolia</v>
      </c>
      <c r="N2376" t="str">
        <f>_xlfn.XLOOKUP(C2376,Table2[Species],Table2[Family],"Code Not Found")</f>
        <v>Fagaceae</v>
      </c>
      <c r="O2376" t="str" cm="1">
        <f t="array" ref="O2376">_xlfn.IFS(F2376="","",F2376&lt;=5,"0 to 5",F2376&lt;=10,"5.1 to 10",F2376&lt;=20,"10 to 20", F2376&lt;= 40, "20 to 40", F2376 &lt;= 50, "40 to 50", F2376 &gt; 50, "&gt;50" )</f>
        <v>0 to 5</v>
      </c>
    </row>
    <row r="2377" spans="1:15" ht="15" customHeight="1" x14ac:dyDescent="0.3">
      <c r="A2377" t="s">
        <v>498</v>
      </c>
      <c r="B2377" s="1">
        <v>46211</v>
      </c>
      <c r="C2377" t="s">
        <v>64</v>
      </c>
      <c r="D2377">
        <v>2195</v>
      </c>
      <c r="E2377">
        <v>1</v>
      </c>
      <c r="F2377">
        <v>1.6</v>
      </c>
      <c r="G2377" t="s">
        <v>368</v>
      </c>
      <c r="I2377" t="str">
        <f t="shared" si="40"/>
        <v>2195_1</v>
      </c>
      <c r="J2377" t="s">
        <v>428</v>
      </c>
      <c r="K2377" t="s">
        <v>429</v>
      </c>
      <c r="L2377" t="str">
        <f>_xlfn.XLOOKUP(C2377, Table2[Species],Table2[Genus], "Code Not Found")</f>
        <v>Fagus</v>
      </c>
      <c r="M2377" t="str">
        <f>_xlfn.XLOOKUP(C2377, Table2[Species],Table2[Sp. Name], "Code Not Found")</f>
        <v>grandifolia</v>
      </c>
      <c r="N2377" t="str">
        <f>_xlfn.XLOOKUP(C2377,Table2[Species],Table2[Family],"Code Not Found")</f>
        <v>Fagaceae</v>
      </c>
      <c r="O2377" t="str" cm="1">
        <f t="array" ref="O2377">_xlfn.IFS(F2377="","",F2377&lt;=5,"0 to 5",F2377&lt;=10,"5.1 to 10",F2377&lt;=20,"10 to 20", F2377&lt;= 40, "20 to 40", F2377 &lt;= 50, "40 to 50", F2377 &gt; 50, "&gt;50" )</f>
        <v>0 to 5</v>
      </c>
    </row>
    <row r="2378" spans="1:15" ht="15" customHeight="1" x14ac:dyDescent="0.3">
      <c r="A2378" t="s">
        <v>498</v>
      </c>
      <c r="B2378" s="1">
        <v>46211</v>
      </c>
      <c r="C2378" t="s">
        <v>430</v>
      </c>
      <c r="D2378">
        <v>2196</v>
      </c>
      <c r="E2378">
        <v>1</v>
      </c>
      <c r="F2378">
        <v>10.199999999999999</v>
      </c>
      <c r="G2378" t="s">
        <v>509</v>
      </c>
      <c r="I2378" t="str">
        <f t="shared" si="40"/>
        <v>2196_1</v>
      </c>
      <c r="J2378" t="s">
        <v>428</v>
      </c>
      <c r="K2378" t="s">
        <v>429</v>
      </c>
      <c r="L2378" t="str">
        <f>_xlfn.XLOOKUP(C2378, Table2[Species],Table2[Genus], "Code Not Found")</f>
        <v>Tsuga</v>
      </c>
      <c r="M2378" t="str">
        <f>_xlfn.XLOOKUP(C2378, Table2[Species],Table2[Sp. Name], "Code Not Found")</f>
        <v>canadensis</v>
      </c>
      <c r="N2378" t="str">
        <f>_xlfn.XLOOKUP(C2378,Table2[Species],Table2[Family],"Code Not Found")</f>
        <v>Pinaceae</v>
      </c>
      <c r="O2378" t="str" cm="1">
        <f t="array" ref="O2378">_xlfn.IFS(F2378="","",F2378&lt;=5,"0 to 5",F2378&lt;=10,"5.1 to 10",F2378&lt;=20,"10 to 20", F2378&lt;= 40, "20 to 40", F2378 &lt;= 50, "40 to 50", F2378 &gt; 50, "&gt;50" )</f>
        <v>10 to 20</v>
      </c>
    </row>
    <row r="2379" spans="1:15" ht="15" customHeight="1" x14ac:dyDescent="0.3">
      <c r="A2379" t="s">
        <v>498</v>
      </c>
      <c r="B2379" s="1">
        <v>46211</v>
      </c>
      <c r="C2379" t="s">
        <v>64</v>
      </c>
      <c r="D2379">
        <v>2197</v>
      </c>
      <c r="E2379">
        <v>1</v>
      </c>
      <c r="F2379">
        <v>3.8</v>
      </c>
      <c r="G2379" t="s">
        <v>21</v>
      </c>
      <c r="I2379" t="str">
        <f t="shared" si="40"/>
        <v>2197_1</v>
      </c>
      <c r="J2379" t="s">
        <v>428</v>
      </c>
      <c r="K2379" t="s">
        <v>429</v>
      </c>
      <c r="L2379" t="str">
        <f>_xlfn.XLOOKUP(C2379, Table2[Species],Table2[Genus], "Code Not Found")</f>
        <v>Fagus</v>
      </c>
      <c r="M2379" t="str">
        <f>_xlfn.XLOOKUP(C2379, Table2[Species],Table2[Sp. Name], "Code Not Found")</f>
        <v>grandifolia</v>
      </c>
      <c r="N2379" t="str">
        <f>_xlfn.XLOOKUP(C2379,Table2[Species],Table2[Family],"Code Not Found")</f>
        <v>Fagaceae</v>
      </c>
      <c r="O2379" t="str" cm="1">
        <f t="array" ref="O2379">_xlfn.IFS(F2379="","",F2379&lt;=5,"0 to 5",F2379&lt;=10,"5.1 to 10",F2379&lt;=20,"10 to 20", F2379&lt;= 40, "20 to 40", F2379 &lt;= 50, "40 to 50", F2379 &gt; 50, "&gt;50" )</f>
        <v>0 to 5</v>
      </c>
    </row>
    <row r="2380" spans="1:15" ht="15" customHeight="1" x14ac:dyDescent="0.3">
      <c r="A2380" t="s">
        <v>498</v>
      </c>
      <c r="B2380" s="1">
        <v>46211</v>
      </c>
      <c r="C2380" t="s">
        <v>22</v>
      </c>
      <c r="D2380">
        <v>2198</v>
      </c>
      <c r="E2380">
        <v>1</v>
      </c>
      <c r="F2380">
        <v>27</v>
      </c>
      <c r="G2380" t="s">
        <v>21</v>
      </c>
      <c r="I2380" t="str">
        <f t="shared" si="40"/>
        <v>2198_1</v>
      </c>
      <c r="J2380" t="s">
        <v>428</v>
      </c>
      <c r="K2380" t="s">
        <v>429</v>
      </c>
      <c r="L2380" t="str">
        <f>_xlfn.XLOOKUP(C2380, Table2[Species],Table2[Genus], "Code Not Found")</f>
        <v>Acer</v>
      </c>
      <c r="M2380" t="str">
        <f>_xlfn.XLOOKUP(C2380, Table2[Species],Table2[Sp. Name], "Code Not Found")</f>
        <v>rubrum</v>
      </c>
      <c r="N2380" t="str">
        <f>_xlfn.XLOOKUP(C2380,Table2[Species],Table2[Family],"Code Not Found")</f>
        <v>Sapindaceae</v>
      </c>
      <c r="O2380" t="str" cm="1">
        <f t="array" ref="O2380">_xlfn.IFS(F2380="","",F2380&lt;=5,"0 to 5",F2380&lt;=10,"5.1 to 10",F2380&lt;=20,"10 to 20", F2380&lt;= 40, "20 to 40", F2380 &lt;= 50, "40 to 50", F2380 &gt; 50, "&gt;50" )</f>
        <v>20 to 40</v>
      </c>
    </row>
    <row r="2381" spans="1:15" ht="15" customHeight="1" x14ac:dyDescent="0.3">
      <c r="A2381" t="s">
        <v>498</v>
      </c>
      <c r="B2381" s="1">
        <v>46211</v>
      </c>
      <c r="C2381" t="s">
        <v>64</v>
      </c>
      <c r="D2381">
        <v>2199</v>
      </c>
      <c r="E2381">
        <v>1</v>
      </c>
      <c r="F2381">
        <v>1.3</v>
      </c>
      <c r="G2381" t="s">
        <v>381</v>
      </c>
      <c r="H2381" t="s">
        <v>305</v>
      </c>
      <c r="I2381" t="str">
        <f t="shared" si="40"/>
        <v>2199_1</v>
      </c>
      <c r="J2381" t="s">
        <v>428</v>
      </c>
      <c r="K2381" t="s">
        <v>429</v>
      </c>
      <c r="L2381" t="str">
        <f>_xlfn.XLOOKUP(C2381, Table2[Species],Table2[Genus], "Code Not Found")</f>
        <v>Fagus</v>
      </c>
      <c r="M2381" t="str">
        <f>_xlfn.XLOOKUP(C2381, Table2[Species],Table2[Sp. Name], "Code Not Found")</f>
        <v>grandifolia</v>
      </c>
      <c r="N2381" t="str">
        <f>_xlfn.XLOOKUP(C2381,Table2[Species],Table2[Family],"Code Not Found")</f>
        <v>Fagaceae</v>
      </c>
      <c r="O2381" t="str" cm="1">
        <f t="array" ref="O2381">_xlfn.IFS(F2381="","",F2381&lt;=5,"0 to 5",F2381&lt;=10,"5.1 to 10",F2381&lt;=20,"10 to 20", F2381&lt;= 40, "20 to 40", F2381 &lt;= 50, "40 to 50", F2381 &gt; 50, "&gt;50" )</f>
        <v>0 to 5</v>
      </c>
    </row>
    <row r="2382" spans="1:15" ht="15" customHeight="1" x14ac:dyDescent="0.3">
      <c r="A2382" t="s">
        <v>498</v>
      </c>
      <c r="B2382" s="1">
        <v>46211</v>
      </c>
      <c r="C2382" t="s">
        <v>64</v>
      </c>
      <c r="D2382">
        <v>2200</v>
      </c>
      <c r="E2382">
        <v>1</v>
      </c>
      <c r="F2382">
        <v>4.4000000000000004</v>
      </c>
      <c r="G2382" t="s">
        <v>21</v>
      </c>
      <c r="H2382" t="s">
        <v>500</v>
      </c>
      <c r="I2382" t="str">
        <f t="shared" si="40"/>
        <v>2200_1</v>
      </c>
      <c r="J2382" t="s">
        <v>428</v>
      </c>
      <c r="K2382" t="s">
        <v>429</v>
      </c>
      <c r="L2382" t="str">
        <f>_xlfn.XLOOKUP(C2382, Table2[Species],Table2[Genus], "Code Not Found")</f>
        <v>Fagus</v>
      </c>
      <c r="M2382" t="str">
        <f>_xlfn.XLOOKUP(C2382, Table2[Species],Table2[Sp. Name], "Code Not Found")</f>
        <v>grandifolia</v>
      </c>
      <c r="N2382" t="str">
        <f>_xlfn.XLOOKUP(C2382,Table2[Species],Table2[Family],"Code Not Found")</f>
        <v>Fagaceae</v>
      </c>
      <c r="O2382" t="str" cm="1">
        <f t="array" ref="O2382">_xlfn.IFS(F2382="","",F2382&lt;=5,"0 to 5",F2382&lt;=10,"5.1 to 10",F2382&lt;=20,"10 to 20", F2382&lt;= 40, "20 to 40", F2382 &lt;= 50, "40 to 50", F2382 &gt; 50, "&gt;50" )</f>
        <v>0 to 5</v>
      </c>
    </row>
    <row r="2383" spans="1:15" ht="15" customHeight="1" x14ac:dyDescent="0.3">
      <c r="A2383" t="s">
        <v>498</v>
      </c>
      <c r="B2383" s="1">
        <v>46211</v>
      </c>
      <c r="C2383" t="s">
        <v>64</v>
      </c>
      <c r="D2383">
        <v>2201</v>
      </c>
      <c r="E2383">
        <v>1</v>
      </c>
      <c r="F2383">
        <v>12.8</v>
      </c>
      <c r="G2383" t="s">
        <v>21</v>
      </c>
      <c r="I2383" t="str">
        <f t="shared" si="40"/>
        <v>2201_1</v>
      </c>
      <c r="J2383" t="s">
        <v>428</v>
      </c>
      <c r="K2383" t="s">
        <v>429</v>
      </c>
      <c r="L2383" t="str">
        <f>_xlfn.XLOOKUP(C2383, Table2[Species],Table2[Genus], "Code Not Found")</f>
        <v>Fagus</v>
      </c>
      <c r="M2383" t="str">
        <f>_xlfn.XLOOKUP(C2383, Table2[Species],Table2[Sp. Name], "Code Not Found")</f>
        <v>grandifolia</v>
      </c>
      <c r="N2383" t="str">
        <f>_xlfn.XLOOKUP(C2383,Table2[Species],Table2[Family],"Code Not Found")</f>
        <v>Fagaceae</v>
      </c>
      <c r="O2383" t="str" cm="1">
        <f t="array" ref="O2383">_xlfn.IFS(F2383="","",F2383&lt;=5,"0 to 5",F2383&lt;=10,"5.1 to 10",F2383&lt;=20,"10 to 20", F2383&lt;= 40, "20 to 40", F2383 &lt;= 50, "40 to 50", F2383 &gt; 50, "&gt;50" )</f>
        <v>10 to 20</v>
      </c>
    </row>
    <row r="2384" spans="1:15" ht="15" customHeight="1" x14ac:dyDescent="0.3">
      <c r="A2384" t="s">
        <v>498</v>
      </c>
      <c r="B2384" s="1">
        <v>46211</v>
      </c>
      <c r="C2384" t="s">
        <v>64</v>
      </c>
      <c r="D2384">
        <v>2202</v>
      </c>
      <c r="E2384">
        <v>1</v>
      </c>
      <c r="F2384">
        <v>5.8</v>
      </c>
      <c r="G2384" t="s">
        <v>21</v>
      </c>
      <c r="I2384" t="str">
        <f t="shared" si="40"/>
        <v>2202_1</v>
      </c>
      <c r="J2384" t="s">
        <v>428</v>
      </c>
      <c r="K2384" t="s">
        <v>429</v>
      </c>
      <c r="L2384" t="str">
        <f>_xlfn.XLOOKUP(C2384, Table2[Species],Table2[Genus], "Code Not Found")</f>
        <v>Fagus</v>
      </c>
      <c r="M2384" t="str">
        <f>_xlfn.XLOOKUP(C2384, Table2[Species],Table2[Sp. Name], "Code Not Found")</f>
        <v>grandifolia</v>
      </c>
      <c r="N2384" t="str">
        <f>_xlfn.XLOOKUP(C2384,Table2[Species],Table2[Family],"Code Not Found")</f>
        <v>Fagaceae</v>
      </c>
      <c r="O2384" t="str" cm="1">
        <f t="array" ref="O2384">_xlfn.IFS(F2384="","",F2384&lt;=5,"0 to 5",F2384&lt;=10,"5.1 to 10",F2384&lt;=20,"10 to 20", F2384&lt;= 40, "20 to 40", F2384 &lt;= 50, "40 to 50", F2384 &gt; 50, "&gt;50" )</f>
        <v>5.1 to 10</v>
      </c>
    </row>
    <row r="2385" spans="1:15" ht="15" customHeight="1" x14ac:dyDescent="0.3">
      <c r="A2385" t="s">
        <v>498</v>
      </c>
      <c r="B2385" s="1">
        <v>46211</v>
      </c>
      <c r="C2385" t="s">
        <v>64</v>
      </c>
      <c r="D2385">
        <v>2203</v>
      </c>
      <c r="E2385">
        <v>1</v>
      </c>
      <c r="F2385">
        <v>7.4</v>
      </c>
      <c r="G2385" t="s">
        <v>17</v>
      </c>
      <c r="H2385" t="s">
        <v>36</v>
      </c>
      <c r="I2385" t="str">
        <f t="shared" si="40"/>
        <v>2203_1</v>
      </c>
      <c r="J2385" t="s">
        <v>428</v>
      </c>
      <c r="K2385" t="s">
        <v>429</v>
      </c>
      <c r="L2385" t="str">
        <f>_xlfn.XLOOKUP(C2385, Table2[Species],Table2[Genus], "Code Not Found")</f>
        <v>Fagus</v>
      </c>
      <c r="M2385" t="str">
        <f>_xlfn.XLOOKUP(C2385, Table2[Species],Table2[Sp. Name], "Code Not Found")</f>
        <v>grandifolia</v>
      </c>
      <c r="N2385" t="str">
        <f>_xlfn.XLOOKUP(C2385,Table2[Species],Table2[Family],"Code Not Found")</f>
        <v>Fagaceae</v>
      </c>
      <c r="O2385" t="str" cm="1">
        <f t="array" ref="O2385">_xlfn.IFS(F2385="","",F2385&lt;=5,"0 to 5",F2385&lt;=10,"5.1 to 10",F2385&lt;=20,"10 to 20", F2385&lt;= 40, "20 to 40", F2385 &lt;= 50, "40 to 50", F2385 &gt; 50, "&gt;50" )</f>
        <v>5.1 to 10</v>
      </c>
    </row>
    <row r="2386" spans="1:15" ht="15" customHeight="1" x14ac:dyDescent="0.3">
      <c r="A2386" t="s">
        <v>498</v>
      </c>
      <c r="B2386" s="1">
        <v>46211</v>
      </c>
      <c r="C2386" t="s">
        <v>16</v>
      </c>
      <c r="D2386">
        <v>2204</v>
      </c>
      <c r="E2386">
        <v>1</v>
      </c>
      <c r="F2386">
        <v>56</v>
      </c>
      <c r="G2386" t="s">
        <v>56</v>
      </c>
      <c r="H2386" t="s">
        <v>511</v>
      </c>
      <c r="I2386" t="str">
        <f t="shared" si="40"/>
        <v>2204_1</v>
      </c>
      <c r="J2386" t="s">
        <v>428</v>
      </c>
      <c r="K2386" t="s">
        <v>429</v>
      </c>
      <c r="L2386" t="str">
        <f>_xlfn.XLOOKUP(C2386, Table2[Species],Table2[Genus], "Code Not Found")</f>
        <v>Acer</v>
      </c>
      <c r="M2386" t="str">
        <f>_xlfn.XLOOKUP(C2386, Table2[Species],Table2[Sp. Name], "Code Not Found")</f>
        <v>saccharum</v>
      </c>
      <c r="N2386" t="str">
        <f>_xlfn.XLOOKUP(C2386,Table2[Species],Table2[Family],"Code Not Found")</f>
        <v>Sapindaceae</v>
      </c>
      <c r="O2386" t="str" cm="1">
        <f t="array" ref="O2386">_xlfn.IFS(F2386="","",F2386&lt;=5,"0 to 5",F2386&lt;=10,"5.1 to 10",F2386&lt;=20,"10 to 20", F2386&lt;= 40, "20 to 40", F2386 &lt;= 50, "40 to 50", F2386 &gt; 50, "&gt;50" )</f>
        <v>&gt;50</v>
      </c>
    </row>
    <row r="2387" spans="1:15" ht="15" customHeight="1" x14ac:dyDescent="0.3">
      <c r="A2387" t="s">
        <v>498</v>
      </c>
      <c r="B2387" s="1">
        <v>46211</v>
      </c>
      <c r="C2387" t="s">
        <v>64</v>
      </c>
      <c r="D2387">
        <v>2205</v>
      </c>
      <c r="E2387">
        <v>1</v>
      </c>
      <c r="F2387">
        <v>5.3</v>
      </c>
      <c r="G2387" t="s">
        <v>21</v>
      </c>
      <c r="I2387" t="str">
        <f t="shared" si="40"/>
        <v>2205_1</v>
      </c>
      <c r="J2387" t="s">
        <v>428</v>
      </c>
      <c r="K2387" t="s">
        <v>429</v>
      </c>
      <c r="L2387" t="str">
        <f>_xlfn.XLOOKUP(C2387, Table2[Species],Table2[Genus], "Code Not Found")</f>
        <v>Fagus</v>
      </c>
      <c r="M2387" t="str">
        <f>_xlfn.XLOOKUP(C2387, Table2[Species],Table2[Sp. Name], "Code Not Found")</f>
        <v>grandifolia</v>
      </c>
      <c r="N2387" t="str">
        <f>_xlfn.XLOOKUP(C2387,Table2[Species],Table2[Family],"Code Not Found")</f>
        <v>Fagaceae</v>
      </c>
      <c r="O2387" t="str" cm="1">
        <f t="array" ref="O2387">_xlfn.IFS(F2387="","",F2387&lt;=5,"0 to 5",F2387&lt;=10,"5.1 to 10",F2387&lt;=20,"10 to 20", F2387&lt;= 40, "20 to 40", F2387 &lt;= 50, "40 to 50", F2387 &gt; 50, "&gt;50" )</f>
        <v>5.1 to 10</v>
      </c>
    </row>
    <row r="2388" spans="1:15" ht="15" customHeight="1" x14ac:dyDescent="0.3">
      <c r="A2388" t="s">
        <v>498</v>
      </c>
      <c r="B2388" s="1">
        <v>46211</v>
      </c>
      <c r="C2388" t="s">
        <v>430</v>
      </c>
      <c r="D2388">
        <v>2206</v>
      </c>
      <c r="E2388">
        <v>1</v>
      </c>
      <c r="F2388">
        <v>11.6</v>
      </c>
      <c r="G2388" t="s">
        <v>21</v>
      </c>
      <c r="H2388" t="s">
        <v>500</v>
      </c>
      <c r="I2388" t="str">
        <f t="shared" si="40"/>
        <v>2206_1</v>
      </c>
      <c r="J2388" t="s">
        <v>428</v>
      </c>
      <c r="K2388" t="s">
        <v>429</v>
      </c>
      <c r="L2388" t="str">
        <f>_xlfn.XLOOKUP(C2388, Table2[Species],Table2[Genus], "Code Not Found")</f>
        <v>Tsuga</v>
      </c>
      <c r="M2388" t="str">
        <f>_xlfn.XLOOKUP(C2388, Table2[Species],Table2[Sp. Name], "Code Not Found")</f>
        <v>canadensis</v>
      </c>
      <c r="N2388" t="str">
        <f>_xlfn.XLOOKUP(C2388,Table2[Species],Table2[Family],"Code Not Found")</f>
        <v>Pinaceae</v>
      </c>
      <c r="O2388" t="str" cm="1">
        <f t="array" ref="O2388">_xlfn.IFS(F2388="","",F2388&lt;=5,"0 to 5",F2388&lt;=10,"5.1 to 10",F2388&lt;=20,"10 to 20", F2388&lt;= 40, "20 to 40", F2388 &lt;= 50, "40 to 50", F2388 &gt; 50, "&gt;50" )</f>
        <v>10 to 20</v>
      </c>
    </row>
    <row r="2389" spans="1:15" ht="15" customHeight="1" x14ac:dyDescent="0.3">
      <c r="A2389" t="s">
        <v>498</v>
      </c>
      <c r="B2389" s="1">
        <v>46211</v>
      </c>
      <c r="C2389" t="s">
        <v>64</v>
      </c>
      <c r="D2389">
        <v>2207</v>
      </c>
      <c r="E2389">
        <v>1</v>
      </c>
      <c r="F2389">
        <v>3.6</v>
      </c>
      <c r="G2389" t="s">
        <v>21</v>
      </c>
      <c r="I2389" t="str">
        <f t="shared" si="40"/>
        <v>2207_1</v>
      </c>
      <c r="J2389" t="s">
        <v>428</v>
      </c>
      <c r="K2389" t="s">
        <v>429</v>
      </c>
      <c r="L2389" t="str">
        <f>_xlfn.XLOOKUP(C2389, Table2[Species],Table2[Genus], "Code Not Found")</f>
        <v>Fagus</v>
      </c>
      <c r="M2389" t="str">
        <f>_xlfn.XLOOKUP(C2389, Table2[Species],Table2[Sp. Name], "Code Not Found")</f>
        <v>grandifolia</v>
      </c>
      <c r="N2389" t="str">
        <f>_xlfn.XLOOKUP(C2389,Table2[Species],Table2[Family],"Code Not Found")</f>
        <v>Fagaceae</v>
      </c>
      <c r="O2389" t="str" cm="1">
        <f t="array" ref="O2389">_xlfn.IFS(F2389="","",F2389&lt;=5,"0 to 5",F2389&lt;=10,"5.1 to 10",F2389&lt;=20,"10 to 20", F2389&lt;= 40, "20 to 40", F2389 &lt;= 50, "40 to 50", F2389 &gt; 50, "&gt;50" )</f>
        <v>0 to 5</v>
      </c>
    </row>
    <row r="2390" spans="1:15" ht="15" customHeight="1" x14ac:dyDescent="0.3">
      <c r="A2390" t="s">
        <v>498</v>
      </c>
      <c r="B2390" s="1">
        <v>46211</v>
      </c>
      <c r="C2390" t="s">
        <v>64</v>
      </c>
      <c r="D2390">
        <v>2208</v>
      </c>
      <c r="E2390">
        <v>1</v>
      </c>
      <c r="F2390">
        <v>5.6</v>
      </c>
      <c r="G2390" t="s">
        <v>359</v>
      </c>
      <c r="I2390" t="str">
        <f t="shared" si="40"/>
        <v>2208_1</v>
      </c>
      <c r="J2390" t="s">
        <v>428</v>
      </c>
      <c r="K2390" t="s">
        <v>429</v>
      </c>
      <c r="L2390" t="str">
        <f>_xlfn.XLOOKUP(C2390, Table2[Species],Table2[Genus], "Code Not Found")</f>
        <v>Fagus</v>
      </c>
      <c r="M2390" t="str">
        <f>_xlfn.XLOOKUP(C2390, Table2[Species],Table2[Sp. Name], "Code Not Found")</f>
        <v>grandifolia</v>
      </c>
      <c r="N2390" t="str">
        <f>_xlfn.XLOOKUP(C2390,Table2[Species],Table2[Family],"Code Not Found")</f>
        <v>Fagaceae</v>
      </c>
      <c r="O2390" t="str" cm="1">
        <f t="array" ref="O2390">_xlfn.IFS(F2390="","",F2390&lt;=5,"0 to 5",F2390&lt;=10,"5.1 to 10",F2390&lt;=20,"10 to 20", F2390&lt;= 40, "20 to 40", F2390 &lt;= 50, "40 to 50", F2390 &gt; 50, "&gt;50" )</f>
        <v>5.1 to 10</v>
      </c>
    </row>
    <row r="2391" spans="1:15" ht="15" customHeight="1" x14ac:dyDescent="0.3">
      <c r="A2391" t="s">
        <v>498</v>
      </c>
      <c r="B2391" s="1">
        <v>46211</v>
      </c>
      <c r="C2391" t="s">
        <v>216</v>
      </c>
      <c r="D2391">
        <v>2209</v>
      </c>
      <c r="E2391">
        <v>1</v>
      </c>
      <c r="F2391">
        <v>1.8</v>
      </c>
      <c r="G2391" t="s">
        <v>469</v>
      </c>
      <c r="H2391" t="s">
        <v>296</v>
      </c>
      <c r="I2391" t="str">
        <f t="shared" si="40"/>
        <v>2209_1</v>
      </c>
      <c r="J2391" t="s">
        <v>428</v>
      </c>
      <c r="K2391" t="s">
        <v>429</v>
      </c>
      <c r="L2391" t="str">
        <f>_xlfn.XLOOKUP(C2391, Table2[Species],Table2[Genus], "Code Not Found")</f>
        <v>Crataegus</v>
      </c>
      <c r="M2391" t="str">
        <f>_xlfn.XLOOKUP(C2391, Table2[Species],Table2[Sp. Name], "Code Not Found")</f>
        <v>species</v>
      </c>
      <c r="N2391" t="str">
        <f>_xlfn.XLOOKUP(C2391,Table2[Species],Table2[Family],"Code Not Found")</f>
        <v>Rosaceae</v>
      </c>
      <c r="O2391" t="str" cm="1">
        <f t="array" ref="O2391">_xlfn.IFS(F2391="","",F2391&lt;=5,"0 to 5",F2391&lt;=10,"5.1 to 10",F2391&lt;=20,"10 to 20", F2391&lt;= 40, "20 to 40", F2391 &lt;= 50, "40 to 50", F2391 &gt; 50, "&gt;50" )</f>
        <v>0 to 5</v>
      </c>
    </row>
    <row r="2392" spans="1:15" ht="15" customHeight="1" x14ac:dyDescent="0.3">
      <c r="A2392" t="s">
        <v>498</v>
      </c>
      <c r="B2392" s="1">
        <v>46211</v>
      </c>
      <c r="C2392" t="s">
        <v>216</v>
      </c>
      <c r="D2392">
        <v>2209</v>
      </c>
      <c r="E2392">
        <v>2</v>
      </c>
      <c r="F2392">
        <v>1.2</v>
      </c>
      <c r="G2392" t="s">
        <v>469</v>
      </c>
      <c r="H2392" t="s">
        <v>296</v>
      </c>
      <c r="I2392" t="str">
        <f t="shared" si="40"/>
        <v>2209_2</v>
      </c>
      <c r="J2392" t="s">
        <v>428</v>
      </c>
      <c r="K2392" t="s">
        <v>429</v>
      </c>
      <c r="L2392" t="str">
        <f>_xlfn.XLOOKUP(C2392, Table2[Species],Table2[Genus], "Code Not Found")</f>
        <v>Crataegus</v>
      </c>
      <c r="M2392" t="str">
        <f>_xlfn.XLOOKUP(C2392, Table2[Species],Table2[Sp. Name], "Code Not Found")</f>
        <v>species</v>
      </c>
      <c r="N2392" t="str">
        <f>_xlfn.XLOOKUP(C2392,Table2[Species],Table2[Family],"Code Not Found")</f>
        <v>Rosaceae</v>
      </c>
      <c r="O2392" t="str" cm="1">
        <f t="array" ref="O2392">_xlfn.IFS(F2392="","",F2392&lt;=5,"0 to 5",F2392&lt;=10,"5.1 to 10",F2392&lt;=20,"10 to 20", F2392&lt;= 40, "20 to 40", F2392 &lt;= 50, "40 to 50", F2392 &gt; 50, "&gt;50" )</f>
        <v>0 to 5</v>
      </c>
    </row>
    <row r="2393" spans="1:15" ht="15" customHeight="1" x14ac:dyDescent="0.3">
      <c r="A2393" t="s">
        <v>498</v>
      </c>
      <c r="B2393" s="1">
        <v>46211</v>
      </c>
      <c r="C2393" t="s">
        <v>64</v>
      </c>
      <c r="D2393">
        <v>2210</v>
      </c>
      <c r="E2393">
        <v>1</v>
      </c>
      <c r="F2393">
        <v>2.6</v>
      </c>
      <c r="G2393" t="s">
        <v>17</v>
      </c>
      <c r="H2393" t="s">
        <v>512</v>
      </c>
      <c r="I2393" t="str">
        <f t="shared" si="40"/>
        <v>2210_1</v>
      </c>
      <c r="J2393" t="s">
        <v>428</v>
      </c>
      <c r="K2393" t="s">
        <v>429</v>
      </c>
      <c r="L2393" t="str">
        <f>_xlfn.XLOOKUP(C2393, Table2[Species],Table2[Genus], "Code Not Found")</f>
        <v>Fagus</v>
      </c>
      <c r="M2393" t="str">
        <f>_xlfn.XLOOKUP(C2393, Table2[Species],Table2[Sp. Name], "Code Not Found")</f>
        <v>grandifolia</v>
      </c>
      <c r="N2393" t="str">
        <f>_xlfn.XLOOKUP(C2393,Table2[Species],Table2[Family],"Code Not Found")</f>
        <v>Fagaceae</v>
      </c>
      <c r="O2393" t="str" cm="1">
        <f t="array" ref="O2393">_xlfn.IFS(F2393="","",F2393&lt;=5,"0 to 5",F2393&lt;=10,"5.1 to 10",F2393&lt;=20,"10 to 20", F2393&lt;= 40, "20 to 40", F2393 &lt;= 50, "40 to 50", F2393 &gt; 50, "&gt;50" )</f>
        <v>0 to 5</v>
      </c>
    </row>
    <row r="2394" spans="1:15" ht="15" customHeight="1" x14ac:dyDescent="0.3">
      <c r="A2394" t="s">
        <v>498</v>
      </c>
      <c r="B2394" s="1">
        <v>46211</v>
      </c>
      <c r="C2394" t="s">
        <v>513</v>
      </c>
      <c r="D2394">
        <v>2211</v>
      </c>
      <c r="E2394">
        <v>1</v>
      </c>
      <c r="F2394">
        <v>35.700000000000003</v>
      </c>
      <c r="G2394" t="s">
        <v>32</v>
      </c>
      <c r="I2394" t="str">
        <f t="shared" si="40"/>
        <v>2211_1</v>
      </c>
      <c r="J2394" t="s">
        <v>428</v>
      </c>
      <c r="K2394" t="s">
        <v>429</v>
      </c>
      <c r="L2394" t="str">
        <f>_xlfn.XLOOKUP(C2394, Table2[Species],Table2[Genus], "Code Not Found")</f>
        <v>Aesculus</v>
      </c>
      <c r="M2394" t="str">
        <f>_xlfn.XLOOKUP(C2394, Table2[Species],Table2[Sp. Name], "Code Not Found")</f>
        <v>glabra</v>
      </c>
      <c r="N2394" t="str">
        <f>_xlfn.XLOOKUP(C2394,Table2[Species],Table2[Family],"Code Not Found")</f>
        <v>Sapindaceae</v>
      </c>
      <c r="O2394" t="str" cm="1">
        <f t="array" ref="O2394">_xlfn.IFS(F2394="","",F2394&lt;=5,"0 to 5",F2394&lt;=10,"5.1 to 10",F2394&lt;=20,"10 to 20", F2394&lt;= 40, "20 to 40", F2394 &lt;= 50, "40 to 50", F2394 &gt; 50, "&gt;50" )</f>
        <v>20 to 40</v>
      </c>
    </row>
    <row r="2395" spans="1:15" ht="15" customHeight="1" x14ac:dyDescent="0.3">
      <c r="A2395" t="s">
        <v>498</v>
      </c>
      <c r="B2395" s="1">
        <v>46211</v>
      </c>
      <c r="C2395" t="s">
        <v>513</v>
      </c>
      <c r="D2395">
        <v>2211</v>
      </c>
      <c r="E2395">
        <v>2</v>
      </c>
      <c r="F2395">
        <v>14.7</v>
      </c>
      <c r="G2395" t="s">
        <v>32</v>
      </c>
      <c r="I2395" t="str">
        <f t="shared" si="40"/>
        <v>2211_2</v>
      </c>
      <c r="J2395" t="s">
        <v>428</v>
      </c>
      <c r="K2395" t="s">
        <v>429</v>
      </c>
      <c r="L2395" t="str">
        <f>_xlfn.XLOOKUP(C2395, Table2[Species],Table2[Genus], "Code Not Found")</f>
        <v>Aesculus</v>
      </c>
      <c r="M2395" t="str">
        <f>_xlfn.XLOOKUP(C2395, Table2[Species],Table2[Sp. Name], "Code Not Found")</f>
        <v>glabra</v>
      </c>
      <c r="N2395" t="str">
        <f>_xlfn.XLOOKUP(C2395,Table2[Species],Table2[Family],"Code Not Found")</f>
        <v>Sapindaceae</v>
      </c>
      <c r="O2395" t="str" cm="1">
        <f t="array" ref="O2395">_xlfn.IFS(F2395="","",F2395&lt;=5,"0 to 5",F2395&lt;=10,"5.1 to 10",F2395&lt;=20,"10 to 20", F2395&lt;= 40, "20 to 40", F2395 &lt;= 50, "40 to 50", F2395 &gt; 50, "&gt;50" )</f>
        <v>10 to 20</v>
      </c>
    </row>
    <row r="2396" spans="1:15" ht="15" customHeight="1" x14ac:dyDescent="0.3">
      <c r="A2396" t="s">
        <v>498</v>
      </c>
      <c r="B2396" s="1">
        <v>46211</v>
      </c>
      <c r="C2396" t="s">
        <v>64</v>
      </c>
      <c r="D2396">
        <v>2212</v>
      </c>
      <c r="E2396">
        <v>1</v>
      </c>
      <c r="F2396">
        <v>3.2</v>
      </c>
      <c r="G2396" t="s">
        <v>359</v>
      </c>
      <c r="H2396" t="s">
        <v>500</v>
      </c>
      <c r="I2396" t="str">
        <f t="shared" si="40"/>
        <v>2212_1</v>
      </c>
      <c r="J2396" t="s">
        <v>428</v>
      </c>
      <c r="K2396" t="s">
        <v>429</v>
      </c>
      <c r="L2396" t="str">
        <f>_xlfn.XLOOKUP(C2396, Table2[Species],Table2[Genus], "Code Not Found")</f>
        <v>Fagus</v>
      </c>
      <c r="M2396" t="str">
        <f>_xlfn.XLOOKUP(C2396, Table2[Species],Table2[Sp. Name], "Code Not Found")</f>
        <v>grandifolia</v>
      </c>
      <c r="N2396" t="str">
        <f>_xlfn.XLOOKUP(C2396,Table2[Species],Table2[Family],"Code Not Found")</f>
        <v>Fagaceae</v>
      </c>
      <c r="O2396" t="str" cm="1">
        <f t="array" ref="O2396">_xlfn.IFS(F2396="","",F2396&lt;=5,"0 to 5",F2396&lt;=10,"5.1 to 10",F2396&lt;=20,"10 to 20", F2396&lt;= 40, "20 to 40", F2396 &lt;= 50, "40 to 50", F2396 &gt; 50, "&gt;50" )</f>
        <v>0 to 5</v>
      </c>
    </row>
    <row r="2397" spans="1:15" ht="15" customHeight="1" x14ac:dyDescent="0.3">
      <c r="A2397" t="s">
        <v>498</v>
      </c>
      <c r="B2397" s="1">
        <v>46211</v>
      </c>
      <c r="C2397" t="s">
        <v>430</v>
      </c>
      <c r="D2397">
        <v>2213</v>
      </c>
      <c r="E2397">
        <v>1</v>
      </c>
      <c r="F2397">
        <v>12.5</v>
      </c>
      <c r="G2397" t="s">
        <v>21</v>
      </c>
      <c r="I2397" t="str">
        <f t="shared" si="40"/>
        <v>2213_1</v>
      </c>
      <c r="J2397" t="s">
        <v>428</v>
      </c>
      <c r="K2397" t="s">
        <v>429</v>
      </c>
      <c r="L2397" t="str">
        <f>_xlfn.XLOOKUP(C2397, Table2[Species],Table2[Genus], "Code Not Found")</f>
        <v>Tsuga</v>
      </c>
      <c r="M2397" t="str">
        <f>_xlfn.XLOOKUP(C2397, Table2[Species],Table2[Sp. Name], "Code Not Found")</f>
        <v>canadensis</v>
      </c>
      <c r="N2397" t="str">
        <f>_xlfn.XLOOKUP(C2397,Table2[Species],Table2[Family],"Code Not Found")</f>
        <v>Pinaceae</v>
      </c>
      <c r="O2397" t="str" cm="1">
        <f t="array" ref="O2397">_xlfn.IFS(F2397="","",F2397&lt;=5,"0 to 5",F2397&lt;=10,"5.1 to 10",F2397&lt;=20,"10 to 20", F2397&lt;= 40, "20 to 40", F2397 &lt;= 50, "40 to 50", F2397 &gt; 50, "&gt;50" )</f>
        <v>10 to 20</v>
      </c>
    </row>
    <row r="2398" spans="1:15" ht="15" customHeight="1" x14ac:dyDescent="0.3">
      <c r="A2398" t="s">
        <v>498</v>
      </c>
      <c r="B2398" s="1">
        <v>46211</v>
      </c>
      <c r="C2398" t="s">
        <v>430</v>
      </c>
      <c r="D2398">
        <v>2214</v>
      </c>
      <c r="E2398">
        <v>1</v>
      </c>
      <c r="F2398">
        <v>6.4</v>
      </c>
      <c r="G2398" t="s">
        <v>30</v>
      </c>
      <c r="H2398" t="s">
        <v>514</v>
      </c>
      <c r="I2398" t="str">
        <f t="shared" si="40"/>
        <v>2214_1</v>
      </c>
      <c r="J2398" t="s">
        <v>428</v>
      </c>
      <c r="K2398" t="s">
        <v>429</v>
      </c>
      <c r="L2398" t="str">
        <f>_xlfn.XLOOKUP(C2398, Table2[Species],Table2[Genus], "Code Not Found")</f>
        <v>Tsuga</v>
      </c>
      <c r="M2398" t="str">
        <f>_xlfn.XLOOKUP(C2398, Table2[Species],Table2[Sp. Name], "Code Not Found")</f>
        <v>canadensis</v>
      </c>
      <c r="N2398" t="str">
        <f>_xlfn.XLOOKUP(C2398,Table2[Species],Table2[Family],"Code Not Found")</f>
        <v>Pinaceae</v>
      </c>
      <c r="O2398" t="str" cm="1">
        <f t="array" ref="O2398">_xlfn.IFS(F2398="","",F2398&lt;=5,"0 to 5",F2398&lt;=10,"5.1 to 10",F2398&lt;=20,"10 to 20", F2398&lt;= 40, "20 to 40", F2398 &lt;= 50, "40 to 50", F2398 &gt; 50, "&gt;50" )</f>
        <v>5.1 to 10</v>
      </c>
    </row>
    <row r="2399" spans="1:15" ht="15" customHeight="1" x14ac:dyDescent="0.3">
      <c r="A2399" t="s">
        <v>498</v>
      </c>
      <c r="B2399" s="1">
        <v>46212</v>
      </c>
      <c r="C2399" t="s">
        <v>430</v>
      </c>
      <c r="D2399">
        <v>2215</v>
      </c>
      <c r="E2399">
        <v>1</v>
      </c>
      <c r="F2399">
        <v>10</v>
      </c>
      <c r="G2399" t="s">
        <v>47</v>
      </c>
      <c r="H2399" t="s">
        <v>296</v>
      </c>
      <c r="I2399" t="str">
        <f t="shared" si="40"/>
        <v>2215_1</v>
      </c>
      <c r="J2399" t="s">
        <v>428</v>
      </c>
      <c r="K2399" t="s">
        <v>429</v>
      </c>
      <c r="L2399" t="str">
        <f>_xlfn.XLOOKUP(C2399, Table2[Species],Table2[Genus], "Code Not Found")</f>
        <v>Tsuga</v>
      </c>
      <c r="M2399" t="str">
        <f>_xlfn.XLOOKUP(C2399, Table2[Species],Table2[Sp. Name], "Code Not Found")</f>
        <v>canadensis</v>
      </c>
      <c r="N2399" t="str">
        <f>_xlfn.XLOOKUP(C2399,Table2[Species],Table2[Family],"Code Not Found")</f>
        <v>Pinaceae</v>
      </c>
      <c r="O2399" t="str" cm="1">
        <f t="array" ref="O2399">_xlfn.IFS(F2399="","",F2399&lt;=5,"0 to 5",F2399&lt;=10,"5.1 to 10",F2399&lt;=20,"10 to 20", F2399&lt;= 40, "20 to 40", F2399 &lt;= 50, "40 to 50", F2399 &gt; 50, "&gt;50" )</f>
        <v>5.1 to 10</v>
      </c>
    </row>
    <row r="2400" spans="1:15" ht="15" customHeight="1" x14ac:dyDescent="0.3">
      <c r="A2400" t="s">
        <v>498</v>
      </c>
      <c r="B2400" s="1">
        <v>46211</v>
      </c>
      <c r="C2400" t="s">
        <v>64</v>
      </c>
      <c r="D2400">
        <v>2216</v>
      </c>
      <c r="E2400">
        <v>1</v>
      </c>
      <c r="F2400">
        <v>2.7</v>
      </c>
      <c r="G2400" t="s">
        <v>359</v>
      </c>
      <c r="H2400" t="s">
        <v>500</v>
      </c>
      <c r="I2400" t="str">
        <f t="shared" si="40"/>
        <v>2216_1</v>
      </c>
      <c r="J2400" t="s">
        <v>428</v>
      </c>
      <c r="K2400" t="s">
        <v>429</v>
      </c>
      <c r="L2400" t="str">
        <f>_xlfn.XLOOKUP(C2400, Table2[Species],Table2[Genus], "Code Not Found")</f>
        <v>Fagus</v>
      </c>
      <c r="M2400" t="str">
        <f>_xlfn.XLOOKUP(C2400, Table2[Species],Table2[Sp. Name], "Code Not Found")</f>
        <v>grandifolia</v>
      </c>
      <c r="N2400" t="str">
        <f>_xlfn.XLOOKUP(C2400,Table2[Species],Table2[Family],"Code Not Found")</f>
        <v>Fagaceae</v>
      </c>
      <c r="O2400" t="str" cm="1">
        <f t="array" ref="O2400">_xlfn.IFS(F2400="","",F2400&lt;=5,"0 to 5",F2400&lt;=10,"5.1 to 10",F2400&lt;=20,"10 to 20", F2400&lt;= 40, "20 to 40", F2400 &lt;= 50, "40 to 50", F2400 &gt; 50, "&gt;50" )</f>
        <v>0 to 5</v>
      </c>
    </row>
    <row r="2401" spans="1:15" ht="15" customHeight="1" x14ac:dyDescent="0.3">
      <c r="A2401" t="s">
        <v>498</v>
      </c>
      <c r="B2401" s="1">
        <v>46212</v>
      </c>
      <c r="C2401" t="s">
        <v>64</v>
      </c>
      <c r="D2401">
        <v>2217</v>
      </c>
      <c r="E2401">
        <v>1</v>
      </c>
      <c r="F2401">
        <v>49.7</v>
      </c>
      <c r="G2401" t="s">
        <v>21</v>
      </c>
      <c r="I2401" t="str">
        <f t="shared" si="40"/>
        <v>2217_1</v>
      </c>
      <c r="J2401" t="s">
        <v>428</v>
      </c>
      <c r="K2401" t="s">
        <v>429</v>
      </c>
      <c r="L2401" t="str">
        <f>_xlfn.XLOOKUP(C2401, Table2[Species],Table2[Genus], "Code Not Found")</f>
        <v>Fagus</v>
      </c>
      <c r="M2401" t="str">
        <f>_xlfn.XLOOKUP(C2401, Table2[Species],Table2[Sp. Name], "Code Not Found")</f>
        <v>grandifolia</v>
      </c>
      <c r="N2401" t="str">
        <f>_xlfn.XLOOKUP(C2401,Table2[Species],Table2[Family],"Code Not Found")</f>
        <v>Fagaceae</v>
      </c>
      <c r="O2401" t="str" cm="1">
        <f t="array" ref="O2401">_xlfn.IFS(F2401="","",F2401&lt;=5,"0 to 5",F2401&lt;=10,"5.1 to 10",F2401&lt;=20,"10 to 20", F2401&lt;= 40, "20 to 40", F2401 &lt;= 50, "40 to 50", F2401 &gt; 50, "&gt;50" )</f>
        <v>40 to 50</v>
      </c>
    </row>
    <row r="2402" spans="1:15" ht="15" customHeight="1" x14ac:dyDescent="0.3">
      <c r="A2402" t="s">
        <v>498</v>
      </c>
      <c r="B2402" s="1">
        <v>46211</v>
      </c>
      <c r="C2402" t="s">
        <v>430</v>
      </c>
      <c r="D2402">
        <v>2218</v>
      </c>
      <c r="E2402">
        <v>1</v>
      </c>
      <c r="F2402">
        <v>10</v>
      </c>
      <c r="G2402" t="s">
        <v>21</v>
      </c>
      <c r="H2402" t="s">
        <v>500</v>
      </c>
      <c r="I2402" t="str">
        <f t="shared" si="40"/>
        <v>2218_1</v>
      </c>
      <c r="J2402" t="s">
        <v>428</v>
      </c>
      <c r="K2402" t="s">
        <v>429</v>
      </c>
      <c r="L2402" t="str">
        <f>_xlfn.XLOOKUP(C2402, Table2[Species],Table2[Genus], "Code Not Found")</f>
        <v>Tsuga</v>
      </c>
      <c r="M2402" t="str">
        <f>_xlfn.XLOOKUP(C2402, Table2[Species],Table2[Sp. Name], "Code Not Found")</f>
        <v>canadensis</v>
      </c>
      <c r="N2402" t="str">
        <f>_xlfn.XLOOKUP(C2402,Table2[Species],Table2[Family],"Code Not Found")</f>
        <v>Pinaceae</v>
      </c>
      <c r="O2402" t="str" cm="1">
        <f t="array" ref="O2402">_xlfn.IFS(F2402="","",F2402&lt;=5,"0 to 5",F2402&lt;=10,"5.1 to 10",F2402&lt;=20,"10 to 20", F2402&lt;= 40, "20 to 40", F2402 &lt;= 50, "40 to 50", F2402 &gt; 50, "&gt;50" )</f>
        <v>5.1 to 10</v>
      </c>
    </row>
    <row r="2403" spans="1:15" ht="15" customHeight="1" x14ac:dyDescent="0.3">
      <c r="A2403" t="s">
        <v>498</v>
      </c>
      <c r="B2403" s="1">
        <v>46212</v>
      </c>
      <c r="C2403" t="s">
        <v>20</v>
      </c>
      <c r="D2403">
        <v>2219</v>
      </c>
      <c r="E2403">
        <v>1</v>
      </c>
      <c r="F2403">
        <v>76.400000000000006</v>
      </c>
      <c r="G2403" t="s">
        <v>515</v>
      </c>
      <c r="H2403" t="s">
        <v>516</v>
      </c>
      <c r="I2403" t="str">
        <f t="shared" si="40"/>
        <v>2219_1</v>
      </c>
      <c r="J2403" t="s">
        <v>428</v>
      </c>
      <c r="K2403" t="s">
        <v>429</v>
      </c>
      <c r="L2403" t="str">
        <f>_xlfn.XLOOKUP(C2403, Table2[Species],Table2[Genus], "Code Not Found")</f>
        <v>Prunus</v>
      </c>
      <c r="M2403" t="str">
        <f>_xlfn.XLOOKUP(C2403, Table2[Species],Table2[Sp. Name], "Code Not Found")</f>
        <v>serotina</v>
      </c>
      <c r="N2403" t="str">
        <f>_xlfn.XLOOKUP(C2403,Table2[Species],Table2[Family],"Code Not Found")</f>
        <v>Rosaceae</v>
      </c>
      <c r="O2403" t="str" cm="1">
        <f t="array" ref="O2403">_xlfn.IFS(F2403="","",F2403&lt;=5,"0 to 5",F2403&lt;=10,"5.1 to 10",F2403&lt;=20,"10 to 20", F2403&lt;= 40, "20 to 40", F2403 &lt;= 50, "40 to 50", F2403 &gt; 50, "&gt;50" )</f>
        <v>&gt;50</v>
      </c>
    </row>
    <row r="2404" spans="1:15" ht="15" customHeight="1" x14ac:dyDescent="0.3">
      <c r="A2404" t="s">
        <v>498</v>
      </c>
      <c r="B2404" s="1">
        <v>46211</v>
      </c>
      <c r="C2404" t="s">
        <v>64</v>
      </c>
      <c r="D2404">
        <v>2220</v>
      </c>
      <c r="E2404">
        <v>1</v>
      </c>
      <c r="F2404">
        <v>9.1</v>
      </c>
      <c r="G2404" t="s">
        <v>359</v>
      </c>
      <c r="H2404" t="s">
        <v>500</v>
      </c>
      <c r="I2404" t="str">
        <f t="shared" si="40"/>
        <v>2220_1</v>
      </c>
      <c r="J2404" t="s">
        <v>428</v>
      </c>
      <c r="K2404" t="s">
        <v>429</v>
      </c>
      <c r="L2404" t="str">
        <f>_xlfn.XLOOKUP(C2404, Table2[Species],Table2[Genus], "Code Not Found")</f>
        <v>Fagus</v>
      </c>
      <c r="M2404" t="str">
        <f>_xlfn.XLOOKUP(C2404, Table2[Species],Table2[Sp. Name], "Code Not Found")</f>
        <v>grandifolia</v>
      </c>
      <c r="N2404" t="str">
        <f>_xlfn.XLOOKUP(C2404,Table2[Species],Table2[Family],"Code Not Found")</f>
        <v>Fagaceae</v>
      </c>
      <c r="O2404" t="str" cm="1">
        <f t="array" ref="O2404">_xlfn.IFS(F2404="","",F2404&lt;=5,"0 to 5",F2404&lt;=10,"5.1 to 10",F2404&lt;=20,"10 to 20", F2404&lt;= 40, "20 to 40", F2404 &lt;= 50, "40 to 50", F2404 &gt; 50, "&gt;50" )</f>
        <v>5.1 to 10</v>
      </c>
    </row>
    <row r="2405" spans="1:15" ht="15" customHeight="1" x14ac:dyDescent="0.3">
      <c r="A2405" t="s">
        <v>498</v>
      </c>
      <c r="B2405" s="1">
        <v>46212</v>
      </c>
      <c r="C2405" t="s">
        <v>64</v>
      </c>
      <c r="D2405">
        <v>2221</v>
      </c>
      <c r="E2405">
        <v>1</v>
      </c>
      <c r="F2405">
        <v>10</v>
      </c>
      <c r="G2405" t="s">
        <v>21</v>
      </c>
      <c r="I2405" t="str">
        <f t="shared" si="40"/>
        <v>2221_1</v>
      </c>
      <c r="J2405" t="s">
        <v>428</v>
      </c>
      <c r="K2405" t="s">
        <v>429</v>
      </c>
      <c r="L2405" t="str">
        <f>_xlfn.XLOOKUP(C2405, Table2[Species],Table2[Genus], "Code Not Found")</f>
        <v>Fagus</v>
      </c>
      <c r="M2405" t="str">
        <f>_xlfn.XLOOKUP(C2405, Table2[Species],Table2[Sp. Name], "Code Not Found")</f>
        <v>grandifolia</v>
      </c>
      <c r="N2405" t="str">
        <f>_xlfn.XLOOKUP(C2405,Table2[Species],Table2[Family],"Code Not Found")</f>
        <v>Fagaceae</v>
      </c>
      <c r="O2405" t="str" cm="1">
        <f t="array" ref="O2405">_xlfn.IFS(F2405="","",F2405&lt;=5,"0 to 5",F2405&lt;=10,"5.1 to 10",F2405&lt;=20,"10 to 20", F2405&lt;= 40, "20 to 40", F2405 &lt;= 50, "40 to 50", F2405 &gt; 50, "&gt;50" )</f>
        <v>5.1 to 10</v>
      </c>
    </row>
    <row r="2406" spans="1:15" ht="15" customHeight="1" x14ac:dyDescent="0.3">
      <c r="A2406" t="s">
        <v>498</v>
      </c>
      <c r="B2406" s="1">
        <v>46211</v>
      </c>
      <c r="C2406" t="s">
        <v>16</v>
      </c>
      <c r="D2406">
        <v>2222</v>
      </c>
      <c r="E2406">
        <v>1</v>
      </c>
      <c r="F2406">
        <v>11.3</v>
      </c>
      <c r="G2406" t="s">
        <v>56</v>
      </c>
      <c r="H2406" t="s">
        <v>500</v>
      </c>
      <c r="I2406" t="str">
        <f t="shared" si="40"/>
        <v>2222_1</v>
      </c>
      <c r="J2406" t="s">
        <v>428</v>
      </c>
      <c r="K2406" t="s">
        <v>429</v>
      </c>
      <c r="L2406" t="str">
        <f>_xlfn.XLOOKUP(C2406, Table2[Species],Table2[Genus], "Code Not Found")</f>
        <v>Acer</v>
      </c>
      <c r="M2406" t="str">
        <f>_xlfn.XLOOKUP(C2406, Table2[Species],Table2[Sp. Name], "Code Not Found")</f>
        <v>saccharum</v>
      </c>
      <c r="N2406" t="str">
        <f>_xlfn.XLOOKUP(C2406,Table2[Species],Table2[Family],"Code Not Found")</f>
        <v>Sapindaceae</v>
      </c>
      <c r="O2406" t="str" cm="1">
        <f t="array" ref="O2406">_xlfn.IFS(F2406="","",F2406&lt;=5,"0 to 5",F2406&lt;=10,"5.1 to 10",F2406&lt;=20,"10 to 20", F2406&lt;= 40, "20 to 40", F2406 &lt;= 50, "40 to 50", F2406 &gt; 50, "&gt;50" )</f>
        <v>10 to 20</v>
      </c>
    </row>
    <row r="2407" spans="1:15" ht="15" customHeight="1" x14ac:dyDescent="0.3">
      <c r="A2407" t="s">
        <v>498</v>
      </c>
      <c r="B2407" s="1">
        <v>46212</v>
      </c>
      <c r="C2407" t="s">
        <v>16</v>
      </c>
      <c r="D2407">
        <v>2223</v>
      </c>
      <c r="E2407">
        <v>1</v>
      </c>
      <c r="F2407">
        <v>24.2</v>
      </c>
      <c r="G2407" t="s">
        <v>21</v>
      </c>
      <c r="I2407" t="str">
        <f t="shared" si="40"/>
        <v>2223_1</v>
      </c>
      <c r="J2407" t="s">
        <v>428</v>
      </c>
      <c r="K2407" t="s">
        <v>429</v>
      </c>
      <c r="L2407" t="str">
        <f>_xlfn.XLOOKUP(C2407, Table2[Species],Table2[Genus], "Code Not Found")</f>
        <v>Acer</v>
      </c>
      <c r="M2407" t="str">
        <f>_xlfn.XLOOKUP(C2407, Table2[Species],Table2[Sp. Name], "Code Not Found")</f>
        <v>saccharum</v>
      </c>
      <c r="N2407" t="str">
        <f>_xlfn.XLOOKUP(C2407,Table2[Species],Table2[Family],"Code Not Found")</f>
        <v>Sapindaceae</v>
      </c>
      <c r="O2407" t="str" cm="1">
        <f t="array" ref="O2407">_xlfn.IFS(F2407="","",F2407&lt;=5,"0 to 5",F2407&lt;=10,"5.1 to 10",F2407&lt;=20,"10 to 20", F2407&lt;= 40, "20 to 40", F2407 &lt;= 50, "40 to 50", F2407 &gt; 50, "&gt;50" )</f>
        <v>20 to 40</v>
      </c>
    </row>
    <row r="2408" spans="1:15" ht="15" customHeight="1" x14ac:dyDescent="0.3">
      <c r="A2408" t="s">
        <v>498</v>
      </c>
      <c r="B2408" s="1">
        <v>46211</v>
      </c>
      <c r="C2408" t="s">
        <v>430</v>
      </c>
      <c r="D2408">
        <v>2224</v>
      </c>
      <c r="E2408">
        <v>1</v>
      </c>
      <c r="F2408">
        <v>11.1</v>
      </c>
      <c r="G2408" t="s">
        <v>17</v>
      </c>
      <c r="H2408" t="s">
        <v>500</v>
      </c>
      <c r="I2408" t="str">
        <f t="shared" si="40"/>
        <v>2224_1</v>
      </c>
      <c r="J2408" t="s">
        <v>428</v>
      </c>
      <c r="K2408" t="s">
        <v>429</v>
      </c>
      <c r="L2408" t="str">
        <f>_xlfn.XLOOKUP(C2408, Table2[Species],Table2[Genus], "Code Not Found")</f>
        <v>Tsuga</v>
      </c>
      <c r="M2408" t="str">
        <f>_xlfn.XLOOKUP(C2408, Table2[Species],Table2[Sp. Name], "Code Not Found")</f>
        <v>canadensis</v>
      </c>
      <c r="N2408" t="str">
        <f>_xlfn.XLOOKUP(C2408,Table2[Species],Table2[Family],"Code Not Found")</f>
        <v>Pinaceae</v>
      </c>
      <c r="O2408" t="str" cm="1">
        <f t="array" ref="O2408">_xlfn.IFS(F2408="","",F2408&lt;=5,"0 to 5",F2408&lt;=10,"5.1 to 10",F2408&lt;=20,"10 to 20", F2408&lt;= 40, "20 to 40", F2408 &lt;= 50, "40 to 50", F2408 &gt; 50, "&gt;50" )</f>
        <v>10 to 20</v>
      </c>
    </row>
    <row r="2409" spans="1:15" ht="15" customHeight="1" x14ac:dyDescent="0.3">
      <c r="A2409" t="s">
        <v>498</v>
      </c>
      <c r="B2409" s="1">
        <v>46212</v>
      </c>
      <c r="C2409" t="s">
        <v>16</v>
      </c>
      <c r="D2409">
        <v>2225</v>
      </c>
      <c r="E2409">
        <v>1</v>
      </c>
      <c r="F2409">
        <v>26.3</v>
      </c>
      <c r="G2409" t="s">
        <v>21</v>
      </c>
      <c r="I2409" t="str">
        <f t="shared" si="40"/>
        <v>2225_1</v>
      </c>
      <c r="J2409" t="s">
        <v>428</v>
      </c>
      <c r="K2409" t="s">
        <v>429</v>
      </c>
      <c r="L2409" t="str">
        <f>_xlfn.XLOOKUP(C2409, Table2[Species],Table2[Genus], "Code Not Found")</f>
        <v>Acer</v>
      </c>
      <c r="M2409" t="str">
        <f>_xlfn.XLOOKUP(C2409, Table2[Species],Table2[Sp. Name], "Code Not Found")</f>
        <v>saccharum</v>
      </c>
      <c r="N2409" t="str">
        <f>_xlfn.XLOOKUP(C2409,Table2[Species],Table2[Family],"Code Not Found")</f>
        <v>Sapindaceae</v>
      </c>
      <c r="O2409" t="str" cm="1">
        <f t="array" ref="O2409">_xlfn.IFS(F2409="","",F2409&lt;=5,"0 to 5",F2409&lt;=10,"5.1 to 10",F2409&lt;=20,"10 to 20", F2409&lt;= 40, "20 to 40", F2409 &lt;= 50, "40 to 50", F2409 &gt; 50, "&gt;50" )</f>
        <v>20 to 40</v>
      </c>
    </row>
    <row r="2410" spans="1:15" ht="15" customHeight="1" x14ac:dyDescent="0.3">
      <c r="A2410" t="s">
        <v>498</v>
      </c>
      <c r="B2410" s="1">
        <v>46211</v>
      </c>
      <c r="C2410" t="s">
        <v>64</v>
      </c>
      <c r="D2410">
        <v>2226</v>
      </c>
      <c r="E2410">
        <v>1</v>
      </c>
      <c r="F2410">
        <v>3.4</v>
      </c>
      <c r="G2410" t="s">
        <v>21</v>
      </c>
      <c r="H2410" t="s">
        <v>500</v>
      </c>
      <c r="I2410" t="str">
        <f t="shared" si="40"/>
        <v>2226_1</v>
      </c>
      <c r="J2410" t="s">
        <v>428</v>
      </c>
      <c r="K2410" t="s">
        <v>429</v>
      </c>
      <c r="L2410" t="str">
        <f>_xlfn.XLOOKUP(C2410, Table2[Species],Table2[Genus], "Code Not Found")</f>
        <v>Fagus</v>
      </c>
      <c r="M2410" t="str">
        <f>_xlfn.XLOOKUP(C2410, Table2[Species],Table2[Sp. Name], "Code Not Found")</f>
        <v>grandifolia</v>
      </c>
      <c r="N2410" t="str">
        <f>_xlfn.XLOOKUP(C2410,Table2[Species],Table2[Family],"Code Not Found")</f>
        <v>Fagaceae</v>
      </c>
      <c r="O2410" t="str" cm="1">
        <f t="array" ref="O2410">_xlfn.IFS(F2410="","",F2410&lt;=5,"0 to 5",F2410&lt;=10,"5.1 to 10",F2410&lt;=20,"10 to 20", F2410&lt;= 40, "20 to 40", F2410 &lt;= 50, "40 to 50", F2410 &gt; 50, "&gt;50" )</f>
        <v>0 to 5</v>
      </c>
    </row>
    <row r="2411" spans="1:15" ht="15" customHeight="1" x14ac:dyDescent="0.3">
      <c r="A2411" t="s">
        <v>498</v>
      </c>
      <c r="B2411" s="1">
        <v>46212</v>
      </c>
      <c r="C2411" t="s">
        <v>16</v>
      </c>
      <c r="D2411">
        <v>2227</v>
      </c>
      <c r="E2411">
        <v>1</v>
      </c>
      <c r="F2411">
        <v>10</v>
      </c>
      <c r="G2411" t="s">
        <v>21</v>
      </c>
      <c r="I2411" t="str">
        <f t="shared" si="40"/>
        <v>2227_1</v>
      </c>
      <c r="J2411" t="s">
        <v>428</v>
      </c>
      <c r="K2411" t="s">
        <v>429</v>
      </c>
      <c r="L2411" t="str">
        <f>_xlfn.XLOOKUP(C2411, Table2[Species],Table2[Genus], "Code Not Found")</f>
        <v>Acer</v>
      </c>
      <c r="M2411" t="str">
        <f>_xlfn.XLOOKUP(C2411, Table2[Species],Table2[Sp. Name], "Code Not Found")</f>
        <v>saccharum</v>
      </c>
      <c r="N2411" t="str">
        <f>_xlfn.XLOOKUP(C2411,Table2[Species],Table2[Family],"Code Not Found")</f>
        <v>Sapindaceae</v>
      </c>
      <c r="O2411" t="str" cm="1">
        <f t="array" ref="O2411">_xlfn.IFS(F2411="","",F2411&lt;=5,"0 to 5",F2411&lt;=10,"5.1 to 10",F2411&lt;=20,"10 to 20", F2411&lt;= 40, "20 to 40", F2411 &lt;= 50, "40 to 50", F2411 &gt; 50, "&gt;50" )</f>
        <v>5.1 to 10</v>
      </c>
    </row>
    <row r="2412" spans="1:15" ht="15" customHeight="1" x14ac:dyDescent="0.3">
      <c r="A2412" t="s">
        <v>498</v>
      </c>
      <c r="B2412" s="1">
        <v>46211</v>
      </c>
      <c r="C2412" t="s">
        <v>187</v>
      </c>
      <c r="D2412">
        <v>2228</v>
      </c>
      <c r="E2412">
        <v>1</v>
      </c>
      <c r="F2412">
        <v>29.1</v>
      </c>
      <c r="G2412" t="s">
        <v>21</v>
      </c>
      <c r="H2412" t="s">
        <v>500</v>
      </c>
      <c r="I2412" t="str">
        <f t="shared" si="40"/>
        <v>2228_1</v>
      </c>
      <c r="J2412" t="s">
        <v>428</v>
      </c>
      <c r="K2412" t="s">
        <v>429</v>
      </c>
      <c r="L2412" t="str">
        <f>_xlfn.XLOOKUP(C2412, Table2[Species],Table2[Genus], "Code Not Found")</f>
        <v>Carya</v>
      </c>
      <c r="M2412" t="str">
        <f>_xlfn.XLOOKUP(C2412, Table2[Species],Table2[Sp. Name], "Code Not Found")</f>
        <v>cordiformis</v>
      </c>
      <c r="N2412" t="str">
        <f>_xlfn.XLOOKUP(C2412,Table2[Species],Table2[Family],"Code Not Found")</f>
        <v>Juglandaceae</v>
      </c>
      <c r="O2412" t="str" cm="1">
        <f t="array" ref="O2412">_xlfn.IFS(F2412="","",F2412&lt;=5,"0 to 5",F2412&lt;=10,"5.1 to 10",F2412&lt;=20,"10 to 20", F2412&lt;= 40, "20 to 40", F2412 &lt;= 50, "40 to 50", F2412 &gt; 50, "&gt;50" )</f>
        <v>20 to 40</v>
      </c>
    </row>
    <row r="2413" spans="1:15" ht="15" customHeight="1" x14ac:dyDescent="0.3">
      <c r="A2413" t="s">
        <v>498</v>
      </c>
      <c r="B2413" s="1">
        <v>46212</v>
      </c>
      <c r="C2413" t="s">
        <v>187</v>
      </c>
      <c r="D2413">
        <v>2229</v>
      </c>
      <c r="E2413">
        <v>1</v>
      </c>
      <c r="F2413">
        <v>39.200000000000003</v>
      </c>
      <c r="G2413" t="s">
        <v>21</v>
      </c>
      <c r="I2413" t="str">
        <f t="shared" si="40"/>
        <v>2229_1</v>
      </c>
      <c r="J2413" t="s">
        <v>428</v>
      </c>
      <c r="K2413" t="s">
        <v>429</v>
      </c>
      <c r="L2413" t="str">
        <f>_xlfn.XLOOKUP(C2413, Table2[Species],Table2[Genus], "Code Not Found")</f>
        <v>Carya</v>
      </c>
      <c r="M2413" t="str">
        <f>_xlfn.XLOOKUP(C2413, Table2[Species],Table2[Sp. Name], "Code Not Found")</f>
        <v>cordiformis</v>
      </c>
      <c r="N2413" t="str">
        <f>_xlfn.XLOOKUP(C2413,Table2[Species],Table2[Family],"Code Not Found")</f>
        <v>Juglandaceae</v>
      </c>
      <c r="O2413" t="str" cm="1">
        <f t="array" ref="O2413">_xlfn.IFS(F2413="","",F2413&lt;=5,"0 to 5",F2413&lt;=10,"5.1 to 10",F2413&lt;=20,"10 to 20", F2413&lt;= 40, "20 to 40", F2413 &lt;= 50, "40 to 50", F2413 &gt; 50, "&gt;50" )</f>
        <v>20 to 40</v>
      </c>
    </row>
    <row r="2414" spans="1:15" ht="15" customHeight="1" x14ac:dyDescent="0.3">
      <c r="A2414" t="s">
        <v>498</v>
      </c>
      <c r="B2414" s="1">
        <v>46211</v>
      </c>
      <c r="C2414" t="s">
        <v>430</v>
      </c>
      <c r="D2414">
        <v>2230</v>
      </c>
      <c r="E2414">
        <v>1</v>
      </c>
      <c r="F2414">
        <v>6.9</v>
      </c>
      <c r="G2414" t="s">
        <v>509</v>
      </c>
      <c r="I2414" t="str">
        <f t="shared" si="40"/>
        <v>2230_1</v>
      </c>
      <c r="J2414" t="s">
        <v>428</v>
      </c>
      <c r="K2414" t="s">
        <v>429</v>
      </c>
      <c r="L2414" t="str">
        <f>_xlfn.XLOOKUP(C2414, Table2[Species],Table2[Genus], "Code Not Found")</f>
        <v>Tsuga</v>
      </c>
      <c r="M2414" t="str">
        <f>_xlfn.XLOOKUP(C2414, Table2[Species],Table2[Sp. Name], "Code Not Found")</f>
        <v>canadensis</v>
      </c>
      <c r="N2414" t="str">
        <f>_xlfn.XLOOKUP(C2414,Table2[Species],Table2[Family],"Code Not Found")</f>
        <v>Pinaceae</v>
      </c>
      <c r="O2414" t="str" cm="1">
        <f t="array" ref="O2414">_xlfn.IFS(F2414="","",F2414&lt;=5,"0 to 5",F2414&lt;=10,"5.1 to 10",F2414&lt;=20,"10 to 20", F2414&lt;= 40, "20 to 40", F2414 &lt;= 50, "40 to 50", F2414 &gt; 50, "&gt;50" )</f>
        <v>5.1 to 10</v>
      </c>
    </row>
    <row r="2415" spans="1:15" ht="15" customHeight="1" x14ac:dyDescent="0.3">
      <c r="A2415" t="s">
        <v>498</v>
      </c>
      <c r="B2415" s="1">
        <v>46212</v>
      </c>
      <c r="C2415" t="s">
        <v>430</v>
      </c>
      <c r="D2415">
        <v>2231</v>
      </c>
      <c r="E2415">
        <v>1</v>
      </c>
      <c r="F2415">
        <v>20.8</v>
      </c>
      <c r="G2415" t="s">
        <v>21</v>
      </c>
      <c r="I2415" t="str">
        <f t="shared" si="40"/>
        <v>2231_1</v>
      </c>
      <c r="J2415" t="s">
        <v>428</v>
      </c>
      <c r="K2415" t="s">
        <v>429</v>
      </c>
      <c r="L2415" t="str">
        <f>_xlfn.XLOOKUP(C2415, Table2[Species],Table2[Genus], "Code Not Found")</f>
        <v>Tsuga</v>
      </c>
      <c r="M2415" t="str">
        <f>_xlfn.XLOOKUP(C2415, Table2[Species],Table2[Sp. Name], "Code Not Found")</f>
        <v>canadensis</v>
      </c>
      <c r="N2415" t="str">
        <f>_xlfn.XLOOKUP(C2415,Table2[Species],Table2[Family],"Code Not Found")</f>
        <v>Pinaceae</v>
      </c>
      <c r="O2415" t="str" cm="1">
        <f t="array" ref="O2415">_xlfn.IFS(F2415="","",F2415&lt;=5,"0 to 5",F2415&lt;=10,"5.1 to 10",F2415&lt;=20,"10 to 20", F2415&lt;= 40, "20 to 40", F2415 &lt;= 50, "40 to 50", F2415 &gt; 50, "&gt;50" )</f>
        <v>20 to 40</v>
      </c>
    </row>
    <row r="2416" spans="1:15" ht="15" customHeight="1" x14ac:dyDescent="0.3">
      <c r="A2416" t="s">
        <v>498</v>
      </c>
      <c r="B2416" s="1">
        <v>46211</v>
      </c>
      <c r="C2416" t="s">
        <v>430</v>
      </c>
      <c r="D2416">
        <v>2232</v>
      </c>
      <c r="E2416">
        <v>1</v>
      </c>
      <c r="F2416">
        <v>3.1</v>
      </c>
      <c r="G2416" t="s">
        <v>17</v>
      </c>
      <c r="I2416" t="str">
        <f t="shared" ref="I2416:I2479" si="41">D2416&amp;"_"&amp;E2416</f>
        <v>2232_1</v>
      </c>
      <c r="J2416" t="s">
        <v>428</v>
      </c>
      <c r="K2416" t="s">
        <v>429</v>
      </c>
      <c r="L2416" t="str">
        <f>_xlfn.XLOOKUP(C2416, Table2[Species],Table2[Genus], "Code Not Found")</f>
        <v>Tsuga</v>
      </c>
      <c r="M2416" t="str">
        <f>_xlfn.XLOOKUP(C2416, Table2[Species],Table2[Sp. Name], "Code Not Found")</f>
        <v>canadensis</v>
      </c>
      <c r="N2416" t="str">
        <f>_xlfn.XLOOKUP(C2416,Table2[Species],Table2[Family],"Code Not Found")</f>
        <v>Pinaceae</v>
      </c>
      <c r="O2416" t="str" cm="1">
        <f t="array" ref="O2416">_xlfn.IFS(F2416="","",F2416&lt;=5,"0 to 5",F2416&lt;=10,"5.1 to 10",F2416&lt;=20,"10 to 20", F2416&lt;= 40, "20 to 40", F2416 &lt;= 50, "40 to 50", F2416 &gt; 50, "&gt;50" )</f>
        <v>0 to 5</v>
      </c>
    </row>
    <row r="2417" spans="1:15" ht="15" customHeight="1" x14ac:dyDescent="0.3">
      <c r="A2417" t="s">
        <v>498</v>
      </c>
      <c r="B2417" s="1">
        <v>46212</v>
      </c>
      <c r="C2417" t="s">
        <v>430</v>
      </c>
      <c r="D2417">
        <v>2233</v>
      </c>
      <c r="E2417">
        <v>1</v>
      </c>
      <c r="F2417">
        <v>14.7</v>
      </c>
      <c r="G2417" t="s">
        <v>47</v>
      </c>
      <c r="I2417" t="str">
        <f t="shared" si="41"/>
        <v>2233_1</v>
      </c>
      <c r="J2417" t="s">
        <v>428</v>
      </c>
      <c r="K2417" t="s">
        <v>429</v>
      </c>
      <c r="L2417" t="str">
        <f>_xlfn.XLOOKUP(C2417, Table2[Species],Table2[Genus], "Code Not Found")</f>
        <v>Tsuga</v>
      </c>
      <c r="M2417" t="str">
        <f>_xlfn.XLOOKUP(C2417, Table2[Species],Table2[Sp. Name], "Code Not Found")</f>
        <v>canadensis</v>
      </c>
      <c r="N2417" t="str">
        <f>_xlfn.XLOOKUP(C2417,Table2[Species],Table2[Family],"Code Not Found")</f>
        <v>Pinaceae</v>
      </c>
      <c r="O2417" t="str" cm="1">
        <f t="array" ref="O2417">_xlfn.IFS(F2417="","",F2417&lt;=5,"0 to 5",F2417&lt;=10,"5.1 to 10",F2417&lt;=20,"10 to 20", F2417&lt;= 40, "20 to 40", F2417 &lt;= 50, "40 to 50", F2417 &gt; 50, "&gt;50" )</f>
        <v>10 to 20</v>
      </c>
    </row>
    <row r="2418" spans="1:15" ht="15" customHeight="1" x14ac:dyDescent="0.3">
      <c r="A2418" t="s">
        <v>498</v>
      </c>
      <c r="B2418" s="1">
        <v>46211</v>
      </c>
      <c r="C2418" t="s">
        <v>430</v>
      </c>
      <c r="D2418">
        <v>2234</v>
      </c>
      <c r="E2418">
        <v>1</v>
      </c>
      <c r="F2418">
        <v>6.9</v>
      </c>
      <c r="G2418" t="s">
        <v>509</v>
      </c>
      <c r="I2418" t="str">
        <f t="shared" si="41"/>
        <v>2234_1</v>
      </c>
      <c r="J2418" t="s">
        <v>428</v>
      </c>
      <c r="K2418" t="s">
        <v>429</v>
      </c>
      <c r="L2418" t="str">
        <f>_xlfn.XLOOKUP(C2418, Table2[Species],Table2[Genus], "Code Not Found")</f>
        <v>Tsuga</v>
      </c>
      <c r="M2418" t="str">
        <f>_xlfn.XLOOKUP(C2418, Table2[Species],Table2[Sp. Name], "Code Not Found")</f>
        <v>canadensis</v>
      </c>
      <c r="N2418" t="str">
        <f>_xlfn.XLOOKUP(C2418,Table2[Species],Table2[Family],"Code Not Found")</f>
        <v>Pinaceae</v>
      </c>
      <c r="O2418" t="str" cm="1">
        <f t="array" ref="O2418">_xlfn.IFS(F2418="","",F2418&lt;=5,"0 to 5",F2418&lt;=10,"5.1 to 10",F2418&lt;=20,"10 to 20", F2418&lt;= 40, "20 to 40", F2418 &lt;= 50, "40 to 50", F2418 &gt; 50, "&gt;50" )</f>
        <v>5.1 to 10</v>
      </c>
    </row>
    <row r="2419" spans="1:15" ht="15" customHeight="1" x14ac:dyDescent="0.3">
      <c r="A2419" t="s">
        <v>498</v>
      </c>
      <c r="B2419" s="1">
        <v>46212</v>
      </c>
      <c r="C2419" t="s">
        <v>430</v>
      </c>
      <c r="D2419">
        <v>2235</v>
      </c>
      <c r="E2419">
        <v>1</v>
      </c>
      <c r="F2419">
        <v>9.1</v>
      </c>
      <c r="G2419" t="s">
        <v>17</v>
      </c>
      <c r="I2419" t="str">
        <f t="shared" si="41"/>
        <v>2235_1</v>
      </c>
      <c r="J2419" t="s">
        <v>428</v>
      </c>
      <c r="K2419" t="s">
        <v>429</v>
      </c>
      <c r="L2419" t="str">
        <f>_xlfn.XLOOKUP(C2419, Table2[Species],Table2[Genus], "Code Not Found")</f>
        <v>Tsuga</v>
      </c>
      <c r="M2419" t="str">
        <f>_xlfn.XLOOKUP(C2419, Table2[Species],Table2[Sp. Name], "Code Not Found")</f>
        <v>canadensis</v>
      </c>
      <c r="N2419" t="str">
        <f>_xlfn.XLOOKUP(C2419,Table2[Species],Table2[Family],"Code Not Found")</f>
        <v>Pinaceae</v>
      </c>
      <c r="O2419" t="str" cm="1">
        <f t="array" ref="O2419">_xlfn.IFS(F2419="","",F2419&lt;=5,"0 to 5",F2419&lt;=10,"5.1 to 10",F2419&lt;=20,"10 to 20", F2419&lt;= 40, "20 to 40", F2419 &lt;= 50, "40 to 50", F2419 &gt; 50, "&gt;50" )</f>
        <v>5.1 to 10</v>
      </c>
    </row>
    <row r="2420" spans="1:15" ht="15" customHeight="1" x14ac:dyDescent="0.3">
      <c r="A2420" t="s">
        <v>498</v>
      </c>
      <c r="B2420" s="1">
        <v>46211</v>
      </c>
      <c r="C2420" t="s">
        <v>430</v>
      </c>
      <c r="D2420">
        <v>2236</v>
      </c>
      <c r="E2420">
        <v>1</v>
      </c>
      <c r="F2420">
        <v>15.9</v>
      </c>
      <c r="G2420" t="s">
        <v>21</v>
      </c>
      <c r="H2420" t="s">
        <v>500</v>
      </c>
      <c r="I2420" t="str">
        <f t="shared" si="41"/>
        <v>2236_1</v>
      </c>
      <c r="J2420" t="s">
        <v>428</v>
      </c>
      <c r="K2420" t="s">
        <v>429</v>
      </c>
      <c r="L2420" t="str">
        <f>_xlfn.XLOOKUP(C2420, Table2[Species],Table2[Genus], "Code Not Found")</f>
        <v>Tsuga</v>
      </c>
      <c r="M2420" t="str">
        <f>_xlfn.XLOOKUP(C2420, Table2[Species],Table2[Sp. Name], "Code Not Found")</f>
        <v>canadensis</v>
      </c>
      <c r="N2420" t="str">
        <f>_xlfn.XLOOKUP(C2420,Table2[Species],Table2[Family],"Code Not Found")</f>
        <v>Pinaceae</v>
      </c>
      <c r="O2420" t="str" cm="1">
        <f t="array" ref="O2420">_xlfn.IFS(F2420="","",F2420&lt;=5,"0 to 5",F2420&lt;=10,"5.1 to 10",F2420&lt;=20,"10 to 20", F2420&lt;= 40, "20 to 40", F2420 &lt;= 50, "40 to 50", F2420 &gt; 50, "&gt;50" )</f>
        <v>10 to 20</v>
      </c>
    </row>
    <row r="2421" spans="1:15" ht="15" customHeight="1" x14ac:dyDescent="0.3">
      <c r="A2421" t="s">
        <v>498</v>
      </c>
      <c r="B2421" s="1">
        <v>46212</v>
      </c>
      <c r="C2421" t="s">
        <v>430</v>
      </c>
      <c r="D2421">
        <v>2237</v>
      </c>
      <c r="E2421">
        <v>1</v>
      </c>
      <c r="F2421">
        <v>12.9</v>
      </c>
      <c r="G2421" t="s">
        <v>509</v>
      </c>
      <c r="I2421" t="str">
        <f t="shared" si="41"/>
        <v>2237_1</v>
      </c>
      <c r="J2421" t="s">
        <v>428</v>
      </c>
      <c r="K2421" t="s">
        <v>429</v>
      </c>
      <c r="L2421" t="str">
        <f>_xlfn.XLOOKUP(C2421, Table2[Species],Table2[Genus], "Code Not Found")</f>
        <v>Tsuga</v>
      </c>
      <c r="M2421" t="str">
        <f>_xlfn.XLOOKUP(C2421, Table2[Species],Table2[Sp. Name], "Code Not Found")</f>
        <v>canadensis</v>
      </c>
      <c r="N2421" t="str">
        <f>_xlfn.XLOOKUP(C2421,Table2[Species],Table2[Family],"Code Not Found")</f>
        <v>Pinaceae</v>
      </c>
      <c r="O2421" t="str" cm="1">
        <f t="array" ref="O2421">_xlfn.IFS(F2421="","",F2421&lt;=5,"0 to 5",F2421&lt;=10,"5.1 to 10",F2421&lt;=20,"10 to 20", F2421&lt;= 40, "20 to 40", F2421 &lt;= 50, "40 to 50", F2421 &gt; 50, "&gt;50" )</f>
        <v>10 to 20</v>
      </c>
    </row>
    <row r="2422" spans="1:15" ht="15" customHeight="1" x14ac:dyDescent="0.3">
      <c r="A2422" t="s">
        <v>498</v>
      </c>
      <c r="B2422" s="1">
        <v>46211</v>
      </c>
      <c r="C2422" t="s">
        <v>430</v>
      </c>
      <c r="D2422">
        <v>2238</v>
      </c>
      <c r="E2422">
        <v>1</v>
      </c>
      <c r="F2422">
        <v>21.7</v>
      </c>
      <c r="G2422" t="s">
        <v>21</v>
      </c>
      <c r="I2422" t="str">
        <f t="shared" si="41"/>
        <v>2238_1</v>
      </c>
      <c r="J2422" t="s">
        <v>428</v>
      </c>
      <c r="K2422" t="s">
        <v>429</v>
      </c>
      <c r="L2422" t="str">
        <f>_xlfn.XLOOKUP(C2422, Table2[Species],Table2[Genus], "Code Not Found")</f>
        <v>Tsuga</v>
      </c>
      <c r="M2422" t="str">
        <f>_xlfn.XLOOKUP(C2422, Table2[Species],Table2[Sp. Name], "Code Not Found")</f>
        <v>canadensis</v>
      </c>
      <c r="N2422" t="str">
        <f>_xlfn.XLOOKUP(C2422,Table2[Species],Table2[Family],"Code Not Found")</f>
        <v>Pinaceae</v>
      </c>
      <c r="O2422" t="str" cm="1">
        <f t="array" ref="O2422">_xlfn.IFS(F2422="","",F2422&lt;=5,"0 to 5",F2422&lt;=10,"5.1 to 10",F2422&lt;=20,"10 to 20", F2422&lt;= 40, "20 to 40", F2422 &lt;= 50, "40 to 50", F2422 &gt; 50, "&gt;50" )</f>
        <v>20 to 40</v>
      </c>
    </row>
    <row r="2423" spans="1:15" ht="15" customHeight="1" x14ac:dyDescent="0.3">
      <c r="A2423" t="s">
        <v>498</v>
      </c>
      <c r="B2423" s="1">
        <v>46212</v>
      </c>
      <c r="C2423" t="s">
        <v>430</v>
      </c>
      <c r="D2423">
        <v>2239</v>
      </c>
      <c r="E2423">
        <v>1</v>
      </c>
      <c r="F2423">
        <v>11.7</v>
      </c>
      <c r="G2423" t="s">
        <v>17</v>
      </c>
      <c r="I2423" t="str">
        <f t="shared" si="41"/>
        <v>2239_1</v>
      </c>
      <c r="J2423" t="s">
        <v>428</v>
      </c>
      <c r="K2423" t="s">
        <v>429</v>
      </c>
      <c r="L2423" t="str">
        <f>_xlfn.XLOOKUP(C2423, Table2[Species],Table2[Genus], "Code Not Found")</f>
        <v>Tsuga</v>
      </c>
      <c r="M2423" t="str">
        <f>_xlfn.XLOOKUP(C2423, Table2[Species],Table2[Sp. Name], "Code Not Found")</f>
        <v>canadensis</v>
      </c>
      <c r="N2423" t="str">
        <f>_xlfn.XLOOKUP(C2423,Table2[Species],Table2[Family],"Code Not Found")</f>
        <v>Pinaceae</v>
      </c>
      <c r="O2423" t="str" cm="1">
        <f t="array" ref="O2423">_xlfn.IFS(F2423="","",F2423&lt;=5,"0 to 5",F2423&lt;=10,"5.1 to 10",F2423&lt;=20,"10 to 20", F2423&lt;= 40, "20 to 40", F2423 &lt;= 50, "40 to 50", F2423 &gt; 50, "&gt;50" )</f>
        <v>10 to 20</v>
      </c>
    </row>
    <row r="2424" spans="1:15" ht="15" customHeight="1" x14ac:dyDescent="0.3">
      <c r="A2424" t="s">
        <v>498</v>
      </c>
      <c r="B2424" s="1">
        <v>46211</v>
      </c>
      <c r="C2424" t="s">
        <v>430</v>
      </c>
      <c r="D2424">
        <v>2240</v>
      </c>
      <c r="E2424">
        <v>1</v>
      </c>
      <c r="F2424">
        <v>3.5</v>
      </c>
      <c r="G2424" t="s">
        <v>21</v>
      </c>
      <c r="H2424" t="s">
        <v>500</v>
      </c>
      <c r="I2424" t="str">
        <f t="shared" si="41"/>
        <v>2240_1</v>
      </c>
      <c r="J2424" t="s">
        <v>428</v>
      </c>
      <c r="K2424" t="s">
        <v>429</v>
      </c>
      <c r="L2424" t="str">
        <f>_xlfn.XLOOKUP(C2424, Table2[Species],Table2[Genus], "Code Not Found")</f>
        <v>Tsuga</v>
      </c>
      <c r="M2424" t="str">
        <f>_xlfn.XLOOKUP(C2424, Table2[Species],Table2[Sp. Name], "Code Not Found")</f>
        <v>canadensis</v>
      </c>
      <c r="N2424" t="str">
        <f>_xlfn.XLOOKUP(C2424,Table2[Species],Table2[Family],"Code Not Found")</f>
        <v>Pinaceae</v>
      </c>
      <c r="O2424" t="str" cm="1">
        <f t="array" ref="O2424">_xlfn.IFS(F2424="","",F2424&lt;=5,"0 to 5",F2424&lt;=10,"5.1 to 10",F2424&lt;=20,"10 to 20", F2424&lt;= 40, "20 to 40", F2424 &lt;= 50, "40 to 50", F2424 &gt; 50, "&gt;50" )</f>
        <v>0 to 5</v>
      </c>
    </row>
    <row r="2425" spans="1:15" ht="15" customHeight="1" x14ac:dyDescent="0.3">
      <c r="A2425" t="s">
        <v>498</v>
      </c>
      <c r="B2425" s="1">
        <v>46212</v>
      </c>
      <c r="C2425" t="s">
        <v>430</v>
      </c>
      <c r="D2425">
        <v>2241</v>
      </c>
      <c r="E2425">
        <v>1</v>
      </c>
      <c r="F2425">
        <v>4.8</v>
      </c>
      <c r="G2425" t="s">
        <v>17</v>
      </c>
      <c r="I2425" t="str">
        <f t="shared" si="41"/>
        <v>2241_1</v>
      </c>
      <c r="J2425" t="s">
        <v>428</v>
      </c>
      <c r="K2425" t="s">
        <v>429</v>
      </c>
      <c r="L2425" t="str">
        <f>_xlfn.XLOOKUP(C2425, Table2[Species],Table2[Genus], "Code Not Found")</f>
        <v>Tsuga</v>
      </c>
      <c r="M2425" t="str">
        <f>_xlfn.XLOOKUP(C2425, Table2[Species],Table2[Sp. Name], "Code Not Found")</f>
        <v>canadensis</v>
      </c>
      <c r="N2425" t="str">
        <f>_xlfn.XLOOKUP(C2425,Table2[Species],Table2[Family],"Code Not Found")</f>
        <v>Pinaceae</v>
      </c>
      <c r="O2425" t="str" cm="1">
        <f t="array" ref="O2425">_xlfn.IFS(F2425="","",F2425&lt;=5,"0 to 5",F2425&lt;=10,"5.1 to 10",F2425&lt;=20,"10 to 20", F2425&lt;= 40, "20 to 40", F2425 &lt;= 50, "40 to 50", F2425 &gt; 50, "&gt;50" )</f>
        <v>0 to 5</v>
      </c>
    </row>
    <row r="2426" spans="1:15" ht="15" customHeight="1" x14ac:dyDescent="0.3">
      <c r="A2426" t="s">
        <v>498</v>
      </c>
      <c r="B2426" s="1">
        <v>46211</v>
      </c>
      <c r="C2426" t="s">
        <v>430</v>
      </c>
      <c r="D2426">
        <v>2242</v>
      </c>
      <c r="E2426">
        <v>1</v>
      </c>
      <c r="F2426">
        <v>11.1</v>
      </c>
      <c r="G2426" t="s">
        <v>47</v>
      </c>
      <c r="H2426" t="s">
        <v>357</v>
      </c>
      <c r="I2426" t="str">
        <f t="shared" si="41"/>
        <v>2242_1</v>
      </c>
      <c r="J2426" t="s">
        <v>428</v>
      </c>
      <c r="K2426" t="s">
        <v>429</v>
      </c>
      <c r="L2426" t="str">
        <f>_xlfn.XLOOKUP(C2426, Table2[Species],Table2[Genus], "Code Not Found")</f>
        <v>Tsuga</v>
      </c>
      <c r="M2426" t="str">
        <f>_xlfn.XLOOKUP(C2426, Table2[Species],Table2[Sp. Name], "Code Not Found")</f>
        <v>canadensis</v>
      </c>
      <c r="N2426" t="str">
        <f>_xlfn.XLOOKUP(C2426,Table2[Species],Table2[Family],"Code Not Found")</f>
        <v>Pinaceae</v>
      </c>
      <c r="O2426" t="str" cm="1">
        <f t="array" ref="O2426">_xlfn.IFS(F2426="","",F2426&lt;=5,"0 to 5",F2426&lt;=10,"5.1 to 10",F2426&lt;=20,"10 to 20", F2426&lt;= 40, "20 to 40", F2426 &lt;= 50, "40 to 50", F2426 &gt; 50, "&gt;50" )</f>
        <v>10 to 20</v>
      </c>
    </row>
    <row r="2427" spans="1:15" ht="15" customHeight="1" x14ac:dyDescent="0.3">
      <c r="A2427" t="s">
        <v>498</v>
      </c>
      <c r="B2427" s="1">
        <v>46212</v>
      </c>
      <c r="C2427" t="s">
        <v>64</v>
      </c>
      <c r="D2427">
        <v>2243</v>
      </c>
      <c r="E2427">
        <v>1</v>
      </c>
      <c r="F2427">
        <v>4.8</v>
      </c>
      <c r="G2427" t="s">
        <v>47</v>
      </c>
      <c r="H2427" t="s">
        <v>357</v>
      </c>
      <c r="I2427" t="str">
        <f t="shared" si="41"/>
        <v>2243_1</v>
      </c>
      <c r="J2427" t="s">
        <v>428</v>
      </c>
      <c r="K2427" t="s">
        <v>429</v>
      </c>
      <c r="L2427" t="str">
        <f>_xlfn.XLOOKUP(C2427, Table2[Species],Table2[Genus], "Code Not Found")</f>
        <v>Fagus</v>
      </c>
      <c r="M2427" t="str">
        <f>_xlfn.XLOOKUP(C2427, Table2[Species],Table2[Sp. Name], "Code Not Found")</f>
        <v>grandifolia</v>
      </c>
      <c r="N2427" t="str">
        <f>_xlfn.XLOOKUP(C2427,Table2[Species],Table2[Family],"Code Not Found")</f>
        <v>Fagaceae</v>
      </c>
      <c r="O2427" t="str" cm="1">
        <f t="array" ref="O2427">_xlfn.IFS(F2427="","",F2427&lt;=5,"0 to 5",F2427&lt;=10,"5.1 to 10",F2427&lt;=20,"10 to 20", F2427&lt;= 40, "20 to 40", F2427 &lt;= 50, "40 to 50", F2427 &gt; 50, "&gt;50" )</f>
        <v>0 to 5</v>
      </c>
    </row>
    <row r="2428" spans="1:15" ht="15" customHeight="1" x14ac:dyDescent="0.3">
      <c r="A2428" t="s">
        <v>498</v>
      </c>
      <c r="B2428" s="1">
        <v>46211</v>
      </c>
      <c r="C2428" t="s">
        <v>16</v>
      </c>
      <c r="D2428">
        <v>2244</v>
      </c>
      <c r="E2428">
        <v>1</v>
      </c>
      <c r="F2428">
        <v>30.8</v>
      </c>
      <c r="G2428" t="s">
        <v>21</v>
      </c>
      <c r="H2428" t="s">
        <v>500</v>
      </c>
      <c r="I2428" t="str">
        <f t="shared" si="41"/>
        <v>2244_1</v>
      </c>
      <c r="J2428" t="s">
        <v>428</v>
      </c>
      <c r="K2428" t="s">
        <v>429</v>
      </c>
      <c r="L2428" t="str">
        <f>_xlfn.XLOOKUP(C2428, Table2[Species],Table2[Genus], "Code Not Found")</f>
        <v>Acer</v>
      </c>
      <c r="M2428" t="str">
        <f>_xlfn.XLOOKUP(C2428, Table2[Species],Table2[Sp. Name], "Code Not Found")</f>
        <v>saccharum</v>
      </c>
      <c r="N2428" t="str">
        <f>_xlfn.XLOOKUP(C2428,Table2[Species],Table2[Family],"Code Not Found")</f>
        <v>Sapindaceae</v>
      </c>
      <c r="O2428" t="str" cm="1">
        <f t="array" ref="O2428">_xlfn.IFS(F2428="","",F2428&lt;=5,"0 to 5",F2428&lt;=10,"5.1 to 10",F2428&lt;=20,"10 to 20", F2428&lt;= 40, "20 to 40", F2428 &lt;= 50, "40 to 50", F2428 &gt; 50, "&gt;50" )</f>
        <v>20 to 40</v>
      </c>
    </row>
    <row r="2429" spans="1:15" ht="15" customHeight="1" x14ac:dyDescent="0.3">
      <c r="A2429" t="s">
        <v>498</v>
      </c>
      <c r="B2429" s="1">
        <v>46212</v>
      </c>
      <c r="C2429" t="s">
        <v>430</v>
      </c>
      <c r="D2429">
        <v>2245</v>
      </c>
      <c r="E2429">
        <v>1</v>
      </c>
      <c r="F2429">
        <v>16.3</v>
      </c>
      <c r="G2429" t="s">
        <v>17</v>
      </c>
      <c r="I2429" t="str">
        <f t="shared" si="41"/>
        <v>2245_1</v>
      </c>
      <c r="J2429" t="s">
        <v>428</v>
      </c>
      <c r="K2429" t="s">
        <v>429</v>
      </c>
      <c r="L2429" t="str">
        <f>_xlfn.XLOOKUP(C2429, Table2[Species],Table2[Genus], "Code Not Found")</f>
        <v>Tsuga</v>
      </c>
      <c r="M2429" t="str">
        <f>_xlfn.XLOOKUP(C2429, Table2[Species],Table2[Sp. Name], "Code Not Found")</f>
        <v>canadensis</v>
      </c>
      <c r="N2429" t="str">
        <f>_xlfn.XLOOKUP(C2429,Table2[Species],Table2[Family],"Code Not Found")</f>
        <v>Pinaceae</v>
      </c>
      <c r="O2429" t="str" cm="1">
        <f t="array" ref="O2429">_xlfn.IFS(F2429="","",F2429&lt;=5,"0 to 5",F2429&lt;=10,"5.1 to 10",F2429&lt;=20,"10 to 20", F2429&lt;= 40, "20 to 40", F2429 &lt;= 50, "40 to 50", F2429 &gt; 50, "&gt;50" )</f>
        <v>10 to 20</v>
      </c>
    </row>
    <row r="2430" spans="1:15" ht="15" customHeight="1" x14ac:dyDescent="0.3">
      <c r="A2430" t="s">
        <v>498</v>
      </c>
      <c r="B2430" s="1">
        <v>46211</v>
      </c>
      <c r="C2430" t="s">
        <v>16</v>
      </c>
      <c r="D2430">
        <v>2246</v>
      </c>
      <c r="E2430">
        <v>1</v>
      </c>
      <c r="F2430">
        <v>23.7</v>
      </c>
      <c r="G2430" t="s">
        <v>463</v>
      </c>
      <c r="H2430" t="s">
        <v>517</v>
      </c>
      <c r="I2430" t="str">
        <f t="shared" si="41"/>
        <v>2246_1</v>
      </c>
      <c r="J2430" t="s">
        <v>428</v>
      </c>
      <c r="K2430" t="s">
        <v>429</v>
      </c>
      <c r="L2430" t="str">
        <f>_xlfn.XLOOKUP(C2430, Table2[Species],Table2[Genus], "Code Not Found")</f>
        <v>Acer</v>
      </c>
      <c r="M2430" t="str">
        <f>_xlfn.XLOOKUP(C2430, Table2[Species],Table2[Sp. Name], "Code Not Found")</f>
        <v>saccharum</v>
      </c>
      <c r="N2430" t="str">
        <f>_xlfn.XLOOKUP(C2430,Table2[Species],Table2[Family],"Code Not Found")</f>
        <v>Sapindaceae</v>
      </c>
      <c r="O2430" t="str" cm="1">
        <f t="array" ref="O2430">_xlfn.IFS(F2430="","",F2430&lt;=5,"0 to 5",F2430&lt;=10,"5.1 to 10",F2430&lt;=20,"10 to 20", F2430&lt;= 40, "20 to 40", F2430 &lt;= 50, "40 to 50", F2430 &gt; 50, "&gt;50" )</f>
        <v>20 to 40</v>
      </c>
    </row>
    <row r="2431" spans="1:15" ht="15" customHeight="1" x14ac:dyDescent="0.3">
      <c r="A2431" t="s">
        <v>498</v>
      </c>
      <c r="B2431" s="1">
        <v>46211</v>
      </c>
      <c r="C2431" t="s">
        <v>16</v>
      </c>
      <c r="D2431">
        <v>2246</v>
      </c>
      <c r="E2431">
        <v>2</v>
      </c>
      <c r="F2431">
        <v>15.3</v>
      </c>
      <c r="G2431" t="s">
        <v>34</v>
      </c>
      <c r="H2431" t="s">
        <v>36</v>
      </c>
      <c r="I2431" t="str">
        <f t="shared" si="41"/>
        <v>2246_2</v>
      </c>
      <c r="J2431" t="s">
        <v>428</v>
      </c>
      <c r="K2431" t="s">
        <v>429</v>
      </c>
      <c r="L2431" t="str">
        <f>_xlfn.XLOOKUP(C2431, Table2[Species],Table2[Genus], "Code Not Found")</f>
        <v>Acer</v>
      </c>
      <c r="M2431" t="str">
        <f>_xlfn.XLOOKUP(C2431, Table2[Species],Table2[Sp. Name], "Code Not Found")</f>
        <v>saccharum</v>
      </c>
      <c r="N2431" t="str">
        <f>_xlfn.XLOOKUP(C2431,Table2[Species],Table2[Family],"Code Not Found")</f>
        <v>Sapindaceae</v>
      </c>
      <c r="O2431" t="str" cm="1">
        <f t="array" ref="O2431">_xlfn.IFS(F2431="","",F2431&lt;=5,"0 to 5",F2431&lt;=10,"5.1 to 10",F2431&lt;=20,"10 to 20", F2431&lt;= 40, "20 to 40", F2431 &lt;= 50, "40 to 50", F2431 &gt; 50, "&gt;50" )</f>
        <v>10 to 20</v>
      </c>
    </row>
    <row r="2432" spans="1:15" ht="15" customHeight="1" x14ac:dyDescent="0.3">
      <c r="A2432" t="s">
        <v>498</v>
      </c>
      <c r="B2432" s="1">
        <v>46212</v>
      </c>
      <c r="C2432" t="s">
        <v>20</v>
      </c>
      <c r="D2432">
        <v>2247</v>
      </c>
      <c r="E2432">
        <v>1</v>
      </c>
      <c r="F2432">
        <v>57.2</v>
      </c>
      <c r="G2432" t="s">
        <v>518</v>
      </c>
      <c r="H2432" t="s">
        <v>519</v>
      </c>
      <c r="I2432" t="str">
        <f t="shared" si="41"/>
        <v>2247_1</v>
      </c>
      <c r="J2432" t="s">
        <v>428</v>
      </c>
      <c r="K2432" t="s">
        <v>429</v>
      </c>
      <c r="L2432" t="str">
        <f>_xlfn.XLOOKUP(C2432, Table2[Species],Table2[Genus], "Code Not Found")</f>
        <v>Prunus</v>
      </c>
      <c r="M2432" t="str">
        <f>_xlfn.XLOOKUP(C2432, Table2[Species],Table2[Sp. Name], "Code Not Found")</f>
        <v>serotina</v>
      </c>
      <c r="N2432" t="str">
        <f>_xlfn.XLOOKUP(C2432,Table2[Species],Table2[Family],"Code Not Found")</f>
        <v>Rosaceae</v>
      </c>
      <c r="O2432" t="str" cm="1">
        <f t="array" ref="O2432">_xlfn.IFS(F2432="","",F2432&lt;=5,"0 to 5",F2432&lt;=10,"5.1 to 10",F2432&lt;=20,"10 to 20", F2432&lt;= 40, "20 to 40", F2432 &lt;= 50, "40 to 50", F2432 &gt; 50, "&gt;50" )</f>
        <v>&gt;50</v>
      </c>
    </row>
    <row r="2433" spans="1:15" ht="15" customHeight="1" x14ac:dyDescent="0.3">
      <c r="A2433" t="s">
        <v>498</v>
      </c>
      <c r="B2433" s="1">
        <v>46211</v>
      </c>
      <c r="C2433" t="s">
        <v>430</v>
      </c>
      <c r="D2433">
        <v>2248</v>
      </c>
      <c r="E2433">
        <v>1</v>
      </c>
      <c r="F2433">
        <v>6</v>
      </c>
      <c r="G2433" t="s">
        <v>509</v>
      </c>
      <c r="H2433" t="s">
        <v>36</v>
      </c>
      <c r="I2433" t="str">
        <f t="shared" si="41"/>
        <v>2248_1</v>
      </c>
      <c r="J2433" t="s">
        <v>428</v>
      </c>
      <c r="K2433" t="s">
        <v>429</v>
      </c>
      <c r="L2433" t="str">
        <f>_xlfn.XLOOKUP(C2433, Table2[Species],Table2[Genus], "Code Not Found")</f>
        <v>Tsuga</v>
      </c>
      <c r="M2433" t="str">
        <f>_xlfn.XLOOKUP(C2433, Table2[Species],Table2[Sp. Name], "Code Not Found")</f>
        <v>canadensis</v>
      </c>
      <c r="N2433" t="str">
        <f>_xlfn.XLOOKUP(C2433,Table2[Species],Table2[Family],"Code Not Found")</f>
        <v>Pinaceae</v>
      </c>
      <c r="O2433" t="str" cm="1">
        <f t="array" ref="O2433">_xlfn.IFS(F2433="","",F2433&lt;=5,"0 to 5",F2433&lt;=10,"5.1 to 10",F2433&lt;=20,"10 to 20", F2433&lt;= 40, "20 to 40", F2433 &lt;= 50, "40 to 50", F2433 &gt; 50, "&gt;50" )</f>
        <v>5.1 to 10</v>
      </c>
    </row>
    <row r="2434" spans="1:15" ht="15" customHeight="1" x14ac:dyDescent="0.3">
      <c r="A2434" t="s">
        <v>498</v>
      </c>
      <c r="B2434" s="1">
        <v>46212</v>
      </c>
      <c r="C2434" t="s">
        <v>430</v>
      </c>
      <c r="D2434">
        <v>2249</v>
      </c>
      <c r="E2434">
        <v>1</v>
      </c>
      <c r="F2434">
        <v>3.6</v>
      </c>
      <c r="G2434" t="s">
        <v>17</v>
      </c>
      <c r="I2434" t="str">
        <f t="shared" si="41"/>
        <v>2249_1</v>
      </c>
      <c r="J2434" t="s">
        <v>428</v>
      </c>
      <c r="K2434" t="s">
        <v>429</v>
      </c>
      <c r="L2434" t="str">
        <f>_xlfn.XLOOKUP(C2434, Table2[Species],Table2[Genus], "Code Not Found")</f>
        <v>Tsuga</v>
      </c>
      <c r="M2434" t="str">
        <f>_xlfn.XLOOKUP(C2434, Table2[Species],Table2[Sp. Name], "Code Not Found")</f>
        <v>canadensis</v>
      </c>
      <c r="N2434" t="str">
        <f>_xlfn.XLOOKUP(C2434,Table2[Species],Table2[Family],"Code Not Found")</f>
        <v>Pinaceae</v>
      </c>
      <c r="O2434" t="str" cm="1">
        <f t="array" ref="O2434">_xlfn.IFS(F2434="","",F2434&lt;=5,"0 to 5",F2434&lt;=10,"5.1 to 10",F2434&lt;=20,"10 to 20", F2434&lt;= 40, "20 to 40", F2434 &lt;= 50, "40 to 50", F2434 &gt; 50, "&gt;50" )</f>
        <v>0 to 5</v>
      </c>
    </row>
    <row r="2435" spans="1:15" ht="15" customHeight="1" x14ac:dyDescent="0.3">
      <c r="A2435" t="s">
        <v>498</v>
      </c>
      <c r="B2435" s="1">
        <v>46211</v>
      </c>
      <c r="C2435" t="s">
        <v>430</v>
      </c>
      <c r="D2435">
        <v>2250</v>
      </c>
      <c r="E2435">
        <v>1</v>
      </c>
      <c r="F2435">
        <v>14.2</v>
      </c>
      <c r="G2435" t="s">
        <v>21</v>
      </c>
      <c r="I2435" t="str">
        <f t="shared" si="41"/>
        <v>2250_1</v>
      </c>
      <c r="J2435" t="s">
        <v>428</v>
      </c>
      <c r="K2435" t="s">
        <v>429</v>
      </c>
      <c r="L2435" t="str">
        <f>_xlfn.XLOOKUP(C2435, Table2[Species],Table2[Genus], "Code Not Found")</f>
        <v>Tsuga</v>
      </c>
      <c r="M2435" t="str">
        <f>_xlfn.XLOOKUP(C2435, Table2[Species],Table2[Sp. Name], "Code Not Found")</f>
        <v>canadensis</v>
      </c>
      <c r="N2435" t="str">
        <f>_xlfn.XLOOKUP(C2435,Table2[Species],Table2[Family],"Code Not Found")</f>
        <v>Pinaceae</v>
      </c>
      <c r="O2435" t="str" cm="1">
        <f t="array" ref="O2435">_xlfn.IFS(F2435="","",F2435&lt;=5,"0 to 5",F2435&lt;=10,"5.1 to 10",F2435&lt;=20,"10 to 20", F2435&lt;= 40, "20 to 40", F2435 &lt;= 50, "40 to 50", F2435 &gt; 50, "&gt;50" )</f>
        <v>10 to 20</v>
      </c>
    </row>
    <row r="2436" spans="1:15" ht="15" customHeight="1" x14ac:dyDescent="0.3">
      <c r="A2436" t="s">
        <v>498</v>
      </c>
      <c r="B2436" s="1">
        <v>46212</v>
      </c>
      <c r="C2436" t="s">
        <v>430</v>
      </c>
      <c r="D2436">
        <v>2251</v>
      </c>
      <c r="E2436">
        <v>1</v>
      </c>
      <c r="F2436">
        <v>13.8</v>
      </c>
      <c r="G2436" t="s">
        <v>509</v>
      </c>
      <c r="I2436" t="str">
        <f t="shared" si="41"/>
        <v>2251_1</v>
      </c>
      <c r="J2436" t="s">
        <v>428</v>
      </c>
      <c r="K2436" t="s">
        <v>429</v>
      </c>
      <c r="L2436" t="str">
        <f>_xlfn.XLOOKUP(C2436, Table2[Species],Table2[Genus], "Code Not Found")</f>
        <v>Tsuga</v>
      </c>
      <c r="M2436" t="str">
        <f>_xlfn.XLOOKUP(C2436, Table2[Species],Table2[Sp. Name], "Code Not Found")</f>
        <v>canadensis</v>
      </c>
      <c r="N2436" t="str">
        <f>_xlfn.XLOOKUP(C2436,Table2[Species],Table2[Family],"Code Not Found")</f>
        <v>Pinaceae</v>
      </c>
      <c r="O2436" t="str" cm="1">
        <f t="array" ref="O2436">_xlfn.IFS(F2436="","",F2436&lt;=5,"0 to 5",F2436&lt;=10,"5.1 to 10",F2436&lt;=20,"10 to 20", F2436&lt;= 40, "20 to 40", F2436 &lt;= 50, "40 to 50", F2436 &gt; 50, "&gt;50" )</f>
        <v>10 to 20</v>
      </c>
    </row>
    <row r="2437" spans="1:15" ht="15" customHeight="1" x14ac:dyDescent="0.3">
      <c r="A2437" t="s">
        <v>498</v>
      </c>
      <c r="B2437" s="1">
        <v>46211</v>
      </c>
      <c r="C2437" t="s">
        <v>430</v>
      </c>
      <c r="D2437">
        <v>2252</v>
      </c>
      <c r="E2437">
        <v>1</v>
      </c>
      <c r="F2437">
        <v>10.6</v>
      </c>
      <c r="G2437" t="s">
        <v>47</v>
      </c>
      <c r="H2437" t="s">
        <v>500</v>
      </c>
      <c r="I2437" t="str">
        <f t="shared" si="41"/>
        <v>2252_1</v>
      </c>
      <c r="J2437" t="s">
        <v>428</v>
      </c>
      <c r="K2437" t="s">
        <v>429</v>
      </c>
      <c r="L2437" t="str">
        <f>_xlfn.XLOOKUP(C2437, Table2[Species],Table2[Genus], "Code Not Found")</f>
        <v>Tsuga</v>
      </c>
      <c r="M2437" t="str">
        <f>_xlfn.XLOOKUP(C2437, Table2[Species],Table2[Sp. Name], "Code Not Found")</f>
        <v>canadensis</v>
      </c>
      <c r="N2437" t="str">
        <f>_xlfn.XLOOKUP(C2437,Table2[Species],Table2[Family],"Code Not Found")</f>
        <v>Pinaceae</v>
      </c>
      <c r="O2437" t="str" cm="1">
        <f t="array" ref="O2437">_xlfn.IFS(F2437="","",F2437&lt;=5,"0 to 5",F2437&lt;=10,"5.1 to 10",F2437&lt;=20,"10 to 20", F2437&lt;= 40, "20 to 40", F2437 &lt;= 50, "40 to 50", F2437 &gt; 50, "&gt;50" )</f>
        <v>10 to 20</v>
      </c>
    </row>
    <row r="2438" spans="1:15" ht="15" customHeight="1" x14ac:dyDescent="0.3">
      <c r="A2438" t="s">
        <v>498</v>
      </c>
      <c r="B2438" s="1">
        <v>46212</v>
      </c>
      <c r="C2438" t="s">
        <v>430</v>
      </c>
      <c r="D2438">
        <v>2253</v>
      </c>
      <c r="E2438">
        <v>1</v>
      </c>
      <c r="F2438">
        <v>17.7</v>
      </c>
      <c r="G2438" t="s">
        <v>47</v>
      </c>
      <c r="I2438" t="str">
        <f t="shared" si="41"/>
        <v>2253_1</v>
      </c>
      <c r="J2438" t="s">
        <v>428</v>
      </c>
      <c r="K2438" t="s">
        <v>429</v>
      </c>
      <c r="L2438" t="str">
        <f>_xlfn.XLOOKUP(C2438, Table2[Species],Table2[Genus], "Code Not Found")</f>
        <v>Tsuga</v>
      </c>
      <c r="M2438" t="str">
        <f>_xlfn.XLOOKUP(C2438, Table2[Species],Table2[Sp. Name], "Code Not Found")</f>
        <v>canadensis</v>
      </c>
      <c r="N2438" t="str">
        <f>_xlfn.XLOOKUP(C2438,Table2[Species],Table2[Family],"Code Not Found")</f>
        <v>Pinaceae</v>
      </c>
      <c r="O2438" t="str" cm="1">
        <f t="array" ref="O2438">_xlfn.IFS(F2438="","",F2438&lt;=5,"0 to 5",F2438&lt;=10,"5.1 to 10",F2438&lt;=20,"10 to 20", F2438&lt;= 40, "20 to 40", F2438 &lt;= 50, "40 to 50", F2438 &gt; 50, "&gt;50" )</f>
        <v>10 to 20</v>
      </c>
    </row>
    <row r="2439" spans="1:15" ht="15" customHeight="1" x14ac:dyDescent="0.3">
      <c r="A2439" t="s">
        <v>498</v>
      </c>
      <c r="B2439" s="1">
        <v>46211</v>
      </c>
      <c r="C2439" t="s">
        <v>430</v>
      </c>
      <c r="D2439">
        <v>2254</v>
      </c>
      <c r="E2439">
        <v>1</v>
      </c>
      <c r="F2439">
        <v>16.399999999999999</v>
      </c>
      <c r="G2439" t="s">
        <v>509</v>
      </c>
      <c r="H2439" t="s">
        <v>36</v>
      </c>
      <c r="I2439" t="str">
        <f t="shared" si="41"/>
        <v>2254_1</v>
      </c>
      <c r="J2439" t="s">
        <v>428</v>
      </c>
      <c r="K2439" t="s">
        <v>429</v>
      </c>
      <c r="L2439" t="str">
        <f>_xlfn.XLOOKUP(C2439, Table2[Species],Table2[Genus], "Code Not Found")</f>
        <v>Tsuga</v>
      </c>
      <c r="M2439" t="str">
        <f>_xlfn.XLOOKUP(C2439, Table2[Species],Table2[Sp. Name], "Code Not Found")</f>
        <v>canadensis</v>
      </c>
      <c r="N2439" t="str">
        <f>_xlfn.XLOOKUP(C2439,Table2[Species],Table2[Family],"Code Not Found")</f>
        <v>Pinaceae</v>
      </c>
      <c r="O2439" t="str" cm="1">
        <f t="array" ref="O2439">_xlfn.IFS(F2439="","",F2439&lt;=5,"0 to 5",F2439&lt;=10,"5.1 to 10",F2439&lt;=20,"10 to 20", F2439&lt;= 40, "20 to 40", F2439 &lt;= 50, "40 to 50", F2439 &gt; 50, "&gt;50" )</f>
        <v>10 to 20</v>
      </c>
    </row>
    <row r="2440" spans="1:15" ht="15" customHeight="1" x14ac:dyDescent="0.3">
      <c r="A2440" t="s">
        <v>498</v>
      </c>
      <c r="B2440" s="1">
        <v>46212</v>
      </c>
      <c r="C2440" t="s">
        <v>430</v>
      </c>
      <c r="D2440">
        <v>2255</v>
      </c>
      <c r="E2440">
        <v>1</v>
      </c>
      <c r="F2440">
        <v>9.1999999999999993</v>
      </c>
      <c r="G2440" t="s">
        <v>47</v>
      </c>
      <c r="I2440" t="str">
        <f t="shared" si="41"/>
        <v>2255_1</v>
      </c>
      <c r="J2440" t="s">
        <v>428</v>
      </c>
      <c r="K2440" t="s">
        <v>429</v>
      </c>
      <c r="L2440" t="str">
        <f>_xlfn.XLOOKUP(C2440, Table2[Species],Table2[Genus], "Code Not Found")</f>
        <v>Tsuga</v>
      </c>
      <c r="M2440" t="str">
        <f>_xlfn.XLOOKUP(C2440, Table2[Species],Table2[Sp. Name], "Code Not Found")</f>
        <v>canadensis</v>
      </c>
      <c r="N2440" t="str">
        <f>_xlfn.XLOOKUP(C2440,Table2[Species],Table2[Family],"Code Not Found")</f>
        <v>Pinaceae</v>
      </c>
      <c r="O2440" t="str" cm="1">
        <f t="array" ref="O2440">_xlfn.IFS(F2440="","",F2440&lt;=5,"0 to 5",F2440&lt;=10,"5.1 to 10",F2440&lt;=20,"10 to 20", F2440&lt;= 40, "20 to 40", F2440 &lt;= 50, "40 to 50", F2440 &gt; 50, "&gt;50" )</f>
        <v>5.1 to 10</v>
      </c>
    </row>
    <row r="2441" spans="1:15" ht="15" customHeight="1" x14ac:dyDescent="0.3">
      <c r="A2441" t="s">
        <v>498</v>
      </c>
      <c r="B2441" s="1">
        <v>46211</v>
      </c>
      <c r="C2441" t="s">
        <v>430</v>
      </c>
      <c r="D2441">
        <v>2256</v>
      </c>
      <c r="E2441">
        <v>1</v>
      </c>
      <c r="F2441">
        <v>9.8000000000000007</v>
      </c>
      <c r="G2441" t="s">
        <v>509</v>
      </c>
      <c r="I2441" t="str">
        <f t="shared" si="41"/>
        <v>2256_1</v>
      </c>
      <c r="J2441" t="s">
        <v>428</v>
      </c>
      <c r="K2441" t="s">
        <v>429</v>
      </c>
      <c r="L2441" t="str">
        <f>_xlfn.XLOOKUP(C2441, Table2[Species],Table2[Genus], "Code Not Found")</f>
        <v>Tsuga</v>
      </c>
      <c r="M2441" t="str">
        <f>_xlfn.XLOOKUP(C2441, Table2[Species],Table2[Sp. Name], "Code Not Found")</f>
        <v>canadensis</v>
      </c>
      <c r="N2441" t="str">
        <f>_xlfn.XLOOKUP(C2441,Table2[Species],Table2[Family],"Code Not Found")</f>
        <v>Pinaceae</v>
      </c>
      <c r="O2441" t="str" cm="1">
        <f t="array" ref="O2441">_xlfn.IFS(F2441="","",F2441&lt;=5,"0 to 5",F2441&lt;=10,"5.1 to 10",F2441&lt;=20,"10 to 20", F2441&lt;= 40, "20 to 40", F2441 &lt;= 50, "40 to 50", F2441 &gt; 50, "&gt;50" )</f>
        <v>5.1 to 10</v>
      </c>
    </row>
    <row r="2442" spans="1:15" ht="15" customHeight="1" x14ac:dyDescent="0.3">
      <c r="A2442" t="s">
        <v>498</v>
      </c>
      <c r="B2442" s="1">
        <v>46212</v>
      </c>
      <c r="C2442" t="s">
        <v>430</v>
      </c>
      <c r="D2442">
        <v>2257</v>
      </c>
      <c r="E2442">
        <v>1</v>
      </c>
      <c r="F2442">
        <v>7</v>
      </c>
      <c r="G2442" t="s">
        <v>509</v>
      </c>
      <c r="I2442" t="str">
        <f t="shared" si="41"/>
        <v>2257_1</v>
      </c>
      <c r="J2442" t="s">
        <v>428</v>
      </c>
      <c r="K2442" t="s">
        <v>429</v>
      </c>
      <c r="L2442" t="str">
        <f>_xlfn.XLOOKUP(C2442, Table2[Species],Table2[Genus], "Code Not Found")</f>
        <v>Tsuga</v>
      </c>
      <c r="M2442" t="str">
        <f>_xlfn.XLOOKUP(C2442, Table2[Species],Table2[Sp. Name], "Code Not Found")</f>
        <v>canadensis</v>
      </c>
      <c r="N2442" t="str">
        <f>_xlfn.XLOOKUP(C2442,Table2[Species],Table2[Family],"Code Not Found")</f>
        <v>Pinaceae</v>
      </c>
      <c r="O2442" t="str" cm="1">
        <f t="array" ref="O2442">_xlfn.IFS(F2442="","",F2442&lt;=5,"0 to 5",F2442&lt;=10,"5.1 to 10",F2442&lt;=20,"10 to 20", F2442&lt;= 40, "20 to 40", F2442 &lt;= 50, "40 to 50", F2442 &gt; 50, "&gt;50" )</f>
        <v>5.1 to 10</v>
      </c>
    </row>
    <row r="2443" spans="1:15" ht="15" customHeight="1" x14ac:dyDescent="0.3">
      <c r="A2443" t="s">
        <v>498</v>
      </c>
      <c r="B2443" s="1">
        <v>46211</v>
      </c>
      <c r="C2443" t="s">
        <v>430</v>
      </c>
      <c r="D2443">
        <v>2258</v>
      </c>
      <c r="E2443">
        <v>1</v>
      </c>
      <c r="F2443">
        <v>13.5</v>
      </c>
      <c r="G2443" t="s">
        <v>509</v>
      </c>
      <c r="I2443" t="str">
        <f t="shared" si="41"/>
        <v>2258_1</v>
      </c>
      <c r="J2443" t="s">
        <v>428</v>
      </c>
      <c r="K2443" t="s">
        <v>429</v>
      </c>
      <c r="L2443" t="str">
        <f>_xlfn.XLOOKUP(C2443, Table2[Species],Table2[Genus], "Code Not Found")</f>
        <v>Tsuga</v>
      </c>
      <c r="M2443" t="str">
        <f>_xlfn.XLOOKUP(C2443, Table2[Species],Table2[Sp. Name], "Code Not Found")</f>
        <v>canadensis</v>
      </c>
      <c r="N2443" t="str">
        <f>_xlfn.XLOOKUP(C2443,Table2[Species],Table2[Family],"Code Not Found")</f>
        <v>Pinaceae</v>
      </c>
      <c r="O2443" t="str" cm="1">
        <f t="array" ref="O2443">_xlfn.IFS(F2443="","",F2443&lt;=5,"0 to 5",F2443&lt;=10,"5.1 to 10",F2443&lt;=20,"10 to 20", F2443&lt;= 40, "20 to 40", F2443 &lt;= 50, "40 to 50", F2443 &gt; 50, "&gt;50" )</f>
        <v>10 to 20</v>
      </c>
    </row>
    <row r="2444" spans="1:15" ht="15" customHeight="1" x14ac:dyDescent="0.3">
      <c r="A2444" t="s">
        <v>498</v>
      </c>
      <c r="B2444" s="1">
        <v>46212</v>
      </c>
      <c r="C2444" t="s">
        <v>123</v>
      </c>
      <c r="D2444">
        <v>2259</v>
      </c>
      <c r="E2444">
        <v>1</v>
      </c>
      <c r="F2444">
        <v>87.7</v>
      </c>
      <c r="G2444" t="s">
        <v>420</v>
      </c>
      <c r="H2444" t="s">
        <v>520</v>
      </c>
      <c r="I2444" t="str">
        <f t="shared" si="41"/>
        <v>2259_1</v>
      </c>
      <c r="J2444" t="s">
        <v>428</v>
      </c>
      <c r="K2444" t="s">
        <v>429</v>
      </c>
      <c r="L2444" t="str">
        <f>_xlfn.XLOOKUP(C2444, Table2[Species],Table2[Genus], "Code Not Found")</f>
        <v>Quercus</v>
      </c>
      <c r="M2444" t="str">
        <f>_xlfn.XLOOKUP(C2444, Table2[Species],Table2[Sp. Name], "Code Not Found")</f>
        <v>rubra</v>
      </c>
      <c r="N2444" t="str">
        <f>_xlfn.XLOOKUP(C2444,Table2[Species],Table2[Family],"Code Not Found")</f>
        <v>Fagaceae</v>
      </c>
      <c r="O2444" t="str" cm="1">
        <f t="array" ref="O2444">_xlfn.IFS(F2444="","",F2444&lt;=5,"0 to 5",F2444&lt;=10,"5.1 to 10",F2444&lt;=20,"10 to 20", F2444&lt;= 40, "20 to 40", F2444 &lt;= 50, "40 to 50", F2444 &gt; 50, "&gt;50" )</f>
        <v>&gt;50</v>
      </c>
    </row>
    <row r="2445" spans="1:15" ht="15" customHeight="1" x14ac:dyDescent="0.3">
      <c r="A2445" t="s">
        <v>498</v>
      </c>
      <c r="B2445" s="1">
        <v>46211</v>
      </c>
      <c r="C2445" t="s">
        <v>430</v>
      </c>
      <c r="D2445">
        <v>2260</v>
      </c>
      <c r="E2445">
        <v>1</v>
      </c>
      <c r="F2445">
        <v>13.6</v>
      </c>
      <c r="G2445" t="s">
        <v>17</v>
      </c>
      <c r="H2445" t="s">
        <v>500</v>
      </c>
      <c r="I2445" t="str">
        <f t="shared" si="41"/>
        <v>2260_1</v>
      </c>
      <c r="J2445" t="s">
        <v>428</v>
      </c>
      <c r="K2445" t="s">
        <v>429</v>
      </c>
      <c r="L2445" t="str">
        <f>_xlfn.XLOOKUP(C2445, Table2[Species],Table2[Genus], "Code Not Found")</f>
        <v>Tsuga</v>
      </c>
      <c r="M2445" t="str">
        <f>_xlfn.XLOOKUP(C2445, Table2[Species],Table2[Sp. Name], "Code Not Found")</f>
        <v>canadensis</v>
      </c>
      <c r="N2445" t="str">
        <f>_xlfn.XLOOKUP(C2445,Table2[Species],Table2[Family],"Code Not Found")</f>
        <v>Pinaceae</v>
      </c>
      <c r="O2445" t="str" cm="1">
        <f t="array" ref="O2445">_xlfn.IFS(F2445="","",F2445&lt;=5,"0 to 5",F2445&lt;=10,"5.1 to 10",F2445&lt;=20,"10 to 20", F2445&lt;= 40, "20 to 40", F2445 &lt;= 50, "40 to 50", F2445 &gt; 50, "&gt;50" )</f>
        <v>10 to 20</v>
      </c>
    </row>
    <row r="2446" spans="1:15" ht="15" customHeight="1" x14ac:dyDescent="0.3">
      <c r="A2446" t="s">
        <v>498</v>
      </c>
      <c r="B2446" s="1">
        <v>46212</v>
      </c>
      <c r="C2446" t="s">
        <v>430</v>
      </c>
      <c r="D2446">
        <v>2261</v>
      </c>
      <c r="E2446">
        <v>21</v>
      </c>
      <c r="F2446" t="s">
        <v>17</v>
      </c>
      <c r="I2446" t="str">
        <f t="shared" si="41"/>
        <v>2261_21</v>
      </c>
      <c r="J2446" t="s">
        <v>428</v>
      </c>
      <c r="K2446" t="s">
        <v>429</v>
      </c>
      <c r="L2446" t="str">
        <f>_xlfn.XLOOKUP(C2446, Table2[Species],Table2[Genus], "Code Not Found")</f>
        <v>Tsuga</v>
      </c>
      <c r="M2446" t="str">
        <f>_xlfn.XLOOKUP(C2446, Table2[Species],Table2[Sp. Name], "Code Not Found")</f>
        <v>canadensis</v>
      </c>
      <c r="N2446" t="str">
        <f>_xlfn.XLOOKUP(C2446,Table2[Species],Table2[Family],"Code Not Found")</f>
        <v>Pinaceae</v>
      </c>
      <c r="O2446" t="str" cm="1">
        <f t="array" ref="O2446">_xlfn.IFS(F2446="","",F2446&lt;=5,"0 to 5",F2446&lt;=10,"5.1 to 10",F2446&lt;=20,"10 to 20", F2446&lt;= 40, "20 to 40", F2446 &lt;= 50, "40 to 50", F2446 &gt; 50, "&gt;50" )</f>
        <v>&gt;50</v>
      </c>
    </row>
    <row r="2447" spans="1:15" ht="15" customHeight="1" x14ac:dyDescent="0.3">
      <c r="A2447" t="s">
        <v>498</v>
      </c>
      <c r="B2447" s="1">
        <v>46211</v>
      </c>
      <c r="C2447" t="s">
        <v>430</v>
      </c>
      <c r="D2447">
        <v>2262</v>
      </c>
      <c r="E2447">
        <v>1</v>
      </c>
      <c r="F2447">
        <v>17.399999999999999</v>
      </c>
      <c r="G2447" t="s">
        <v>17</v>
      </c>
      <c r="H2447" t="s">
        <v>521</v>
      </c>
      <c r="I2447" t="str">
        <f t="shared" si="41"/>
        <v>2262_1</v>
      </c>
      <c r="J2447" t="s">
        <v>428</v>
      </c>
      <c r="K2447" t="s">
        <v>429</v>
      </c>
      <c r="L2447" t="str">
        <f>_xlfn.XLOOKUP(C2447, Table2[Species],Table2[Genus], "Code Not Found")</f>
        <v>Tsuga</v>
      </c>
      <c r="M2447" t="str">
        <f>_xlfn.XLOOKUP(C2447, Table2[Species],Table2[Sp. Name], "Code Not Found")</f>
        <v>canadensis</v>
      </c>
      <c r="N2447" t="str">
        <f>_xlfn.XLOOKUP(C2447,Table2[Species],Table2[Family],"Code Not Found")</f>
        <v>Pinaceae</v>
      </c>
      <c r="O2447" t="str" cm="1">
        <f t="array" ref="O2447">_xlfn.IFS(F2447="","",F2447&lt;=5,"0 to 5",F2447&lt;=10,"5.1 to 10",F2447&lt;=20,"10 to 20", F2447&lt;= 40, "20 to 40", F2447 &lt;= 50, "40 to 50", F2447 &gt; 50, "&gt;50" )</f>
        <v>10 to 20</v>
      </c>
    </row>
    <row r="2448" spans="1:15" ht="15" customHeight="1" x14ac:dyDescent="0.3">
      <c r="A2448" t="s">
        <v>498</v>
      </c>
      <c r="B2448" s="1">
        <v>46212</v>
      </c>
      <c r="C2448" t="s">
        <v>430</v>
      </c>
      <c r="D2448">
        <v>2263</v>
      </c>
      <c r="E2448">
        <v>1</v>
      </c>
      <c r="F2448">
        <v>23.6</v>
      </c>
      <c r="G2448" t="s">
        <v>21</v>
      </c>
      <c r="I2448" t="str">
        <f t="shared" si="41"/>
        <v>2263_1</v>
      </c>
      <c r="J2448" t="s">
        <v>428</v>
      </c>
      <c r="K2448" t="s">
        <v>429</v>
      </c>
      <c r="L2448" t="str">
        <f>_xlfn.XLOOKUP(C2448, Table2[Species],Table2[Genus], "Code Not Found")</f>
        <v>Tsuga</v>
      </c>
      <c r="M2448" t="str">
        <f>_xlfn.XLOOKUP(C2448, Table2[Species],Table2[Sp. Name], "Code Not Found")</f>
        <v>canadensis</v>
      </c>
      <c r="N2448" t="str">
        <f>_xlfn.XLOOKUP(C2448,Table2[Species],Table2[Family],"Code Not Found")</f>
        <v>Pinaceae</v>
      </c>
      <c r="O2448" t="str" cm="1">
        <f t="array" ref="O2448">_xlfn.IFS(F2448="","",F2448&lt;=5,"0 to 5",F2448&lt;=10,"5.1 to 10",F2448&lt;=20,"10 to 20", F2448&lt;= 40, "20 to 40", F2448 &lt;= 50, "40 to 50", F2448 &gt; 50, "&gt;50" )</f>
        <v>20 to 40</v>
      </c>
    </row>
    <row r="2449" spans="1:15" ht="15" customHeight="1" x14ac:dyDescent="0.3">
      <c r="A2449" t="s">
        <v>498</v>
      </c>
      <c r="B2449" s="1">
        <v>46211</v>
      </c>
      <c r="C2449" t="s">
        <v>22</v>
      </c>
      <c r="D2449">
        <v>2264</v>
      </c>
      <c r="E2449">
        <v>1</v>
      </c>
      <c r="F2449">
        <v>127.3</v>
      </c>
      <c r="G2449" t="s">
        <v>56</v>
      </c>
      <c r="H2449" t="s">
        <v>522</v>
      </c>
      <c r="I2449" t="str">
        <f t="shared" si="41"/>
        <v>2264_1</v>
      </c>
      <c r="J2449" t="s">
        <v>428</v>
      </c>
      <c r="K2449" t="s">
        <v>429</v>
      </c>
      <c r="L2449" t="str">
        <f>_xlfn.XLOOKUP(C2449, Table2[Species],Table2[Genus], "Code Not Found")</f>
        <v>Acer</v>
      </c>
      <c r="M2449" t="str">
        <f>_xlfn.XLOOKUP(C2449, Table2[Species],Table2[Sp. Name], "Code Not Found")</f>
        <v>rubrum</v>
      </c>
      <c r="N2449" t="str">
        <f>_xlfn.XLOOKUP(C2449,Table2[Species],Table2[Family],"Code Not Found")</f>
        <v>Sapindaceae</v>
      </c>
      <c r="O2449" t="str" cm="1">
        <f t="array" ref="O2449">_xlfn.IFS(F2449="","",F2449&lt;=5,"0 to 5",F2449&lt;=10,"5.1 to 10",F2449&lt;=20,"10 to 20", F2449&lt;= 40, "20 to 40", F2449 &lt;= 50, "40 to 50", F2449 &gt; 50, "&gt;50" )</f>
        <v>&gt;50</v>
      </c>
    </row>
    <row r="2450" spans="1:15" ht="15" customHeight="1" x14ac:dyDescent="0.3">
      <c r="A2450" t="s">
        <v>498</v>
      </c>
      <c r="B2450" s="1">
        <v>46212</v>
      </c>
      <c r="C2450" t="s">
        <v>430</v>
      </c>
      <c r="D2450">
        <v>2265</v>
      </c>
      <c r="E2450">
        <v>1</v>
      </c>
      <c r="F2450">
        <v>12.5</v>
      </c>
      <c r="G2450" t="s">
        <v>509</v>
      </c>
      <c r="I2450" t="str">
        <f t="shared" si="41"/>
        <v>2265_1</v>
      </c>
      <c r="J2450" t="s">
        <v>428</v>
      </c>
      <c r="K2450" t="s">
        <v>429</v>
      </c>
      <c r="L2450" t="str">
        <f>_xlfn.XLOOKUP(C2450, Table2[Species],Table2[Genus], "Code Not Found")</f>
        <v>Tsuga</v>
      </c>
      <c r="M2450" t="str">
        <f>_xlfn.XLOOKUP(C2450, Table2[Species],Table2[Sp. Name], "Code Not Found")</f>
        <v>canadensis</v>
      </c>
      <c r="N2450" t="str">
        <f>_xlfn.XLOOKUP(C2450,Table2[Species],Table2[Family],"Code Not Found")</f>
        <v>Pinaceae</v>
      </c>
      <c r="O2450" t="str" cm="1">
        <f t="array" ref="O2450">_xlfn.IFS(F2450="","",F2450&lt;=5,"0 to 5",F2450&lt;=10,"5.1 to 10",F2450&lt;=20,"10 to 20", F2450&lt;= 40, "20 to 40", F2450 &lt;= 50, "40 to 50", F2450 &gt; 50, "&gt;50" )</f>
        <v>10 to 20</v>
      </c>
    </row>
    <row r="2451" spans="1:15" ht="15" customHeight="1" x14ac:dyDescent="0.3">
      <c r="A2451" t="s">
        <v>498</v>
      </c>
      <c r="B2451" s="1">
        <v>46212</v>
      </c>
      <c r="C2451" t="s">
        <v>430</v>
      </c>
      <c r="D2451">
        <v>2266</v>
      </c>
      <c r="E2451">
        <v>1</v>
      </c>
      <c r="F2451">
        <v>10.3</v>
      </c>
      <c r="G2451" t="s">
        <v>21</v>
      </c>
      <c r="H2451" t="s">
        <v>500</v>
      </c>
      <c r="I2451" t="str">
        <f t="shared" si="41"/>
        <v>2266_1</v>
      </c>
      <c r="J2451" t="s">
        <v>428</v>
      </c>
      <c r="K2451" t="s">
        <v>429</v>
      </c>
      <c r="L2451" t="str">
        <f>_xlfn.XLOOKUP(C2451, Table2[Species],Table2[Genus], "Code Not Found")</f>
        <v>Tsuga</v>
      </c>
      <c r="M2451" t="str">
        <f>_xlfn.XLOOKUP(C2451, Table2[Species],Table2[Sp. Name], "Code Not Found")</f>
        <v>canadensis</v>
      </c>
      <c r="N2451" t="str">
        <f>_xlfn.XLOOKUP(C2451,Table2[Species],Table2[Family],"Code Not Found")</f>
        <v>Pinaceae</v>
      </c>
      <c r="O2451" t="str" cm="1">
        <f t="array" ref="O2451">_xlfn.IFS(F2451="","",F2451&lt;=5,"0 to 5",F2451&lt;=10,"5.1 to 10",F2451&lt;=20,"10 to 20", F2451&lt;= 40, "20 to 40", F2451 &lt;= 50, "40 to 50", F2451 &gt; 50, "&gt;50" )</f>
        <v>10 to 20</v>
      </c>
    </row>
    <row r="2452" spans="1:15" ht="15" customHeight="1" x14ac:dyDescent="0.3">
      <c r="A2452" t="s">
        <v>498</v>
      </c>
      <c r="B2452" s="1">
        <v>46212</v>
      </c>
      <c r="C2452" t="s">
        <v>430</v>
      </c>
      <c r="D2452">
        <v>2267</v>
      </c>
      <c r="E2452">
        <v>1</v>
      </c>
      <c r="F2452">
        <v>5.4</v>
      </c>
      <c r="G2452" t="s">
        <v>17</v>
      </c>
      <c r="I2452" t="str">
        <f t="shared" si="41"/>
        <v>2267_1</v>
      </c>
      <c r="J2452" t="s">
        <v>428</v>
      </c>
      <c r="K2452" t="s">
        <v>429</v>
      </c>
      <c r="L2452" t="str">
        <f>_xlfn.XLOOKUP(C2452, Table2[Species],Table2[Genus], "Code Not Found")</f>
        <v>Tsuga</v>
      </c>
      <c r="M2452" t="str">
        <f>_xlfn.XLOOKUP(C2452, Table2[Species],Table2[Sp. Name], "Code Not Found")</f>
        <v>canadensis</v>
      </c>
      <c r="N2452" t="str">
        <f>_xlfn.XLOOKUP(C2452,Table2[Species],Table2[Family],"Code Not Found")</f>
        <v>Pinaceae</v>
      </c>
      <c r="O2452" t="str" cm="1">
        <f t="array" ref="O2452">_xlfn.IFS(F2452="","",F2452&lt;=5,"0 to 5",F2452&lt;=10,"5.1 to 10",F2452&lt;=20,"10 to 20", F2452&lt;= 40, "20 to 40", F2452 &lt;= 50, "40 to 50", F2452 &gt; 50, "&gt;50" )</f>
        <v>5.1 to 10</v>
      </c>
    </row>
    <row r="2453" spans="1:15" ht="15" customHeight="1" x14ac:dyDescent="0.3">
      <c r="A2453" t="s">
        <v>498</v>
      </c>
      <c r="B2453" s="1">
        <v>46212</v>
      </c>
      <c r="C2453" t="s">
        <v>430</v>
      </c>
      <c r="D2453">
        <v>2268</v>
      </c>
      <c r="E2453">
        <v>1</v>
      </c>
      <c r="F2453">
        <v>9.4</v>
      </c>
      <c r="G2453" t="s">
        <v>509</v>
      </c>
      <c r="H2453" t="s">
        <v>521</v>
      </c>
      <c r="I2453" t="str">
        <f t="shared" si="41"/>
        <v>2268_1</v>
      </c>
      <c r="J2453" t="s">
        <v>428</v>
      </c>
      <c r="K2453" t="s">
        <v>429</v>
      </c>
      <c r="L2453" t="str">
        <f>_xlfn.XLOOKUP(C2453, Table2[Species],Table2[Genus], "Code Not Found")</f>
        <v>Tsuga</v>
      </c>
      <c r="M2453" t="str">
        <f>_xlfn.XLOOKUP(C2453, Table2[Species],Table2[Sp. Name], "Code Not Found")</f>
        <v>canadensis</v>
      </c>
      <c r="N2453" t="str">
        <f>_xlfn.XLOOKUP(C2453,Table2[Species],Table2[Family],"Code Not Found")</f>
        <v>Pinaceae</v>
      </c>
      <c r="O2453" t="str" cm="1">
        <f t="array" ref="O2453">_xlfn.IFS(F2453="","",F2453&lt;=5,"0 to 5",F2453&lt;=10,"5.1 to 10",F2453&lt;=20,"10 to 20", F2453&lt;= 40, "20 to 40", F2453 &lt;= 50, "40 to 50", F2453 &gt; 50, "&gt;50" )</f>
        <v>5.1 to 10</v>
      </c>
    </row>
    <row r="2454" spans="1:15" ht="15" customHeight="1" x14ac:dyDescent="0.3">
      <c r="A2454" t="s">
        <v>498</v>
      </c>
      <c r="B2454" s="1">
        <v>46212</v>
      </c>
      <c r="C2454" t="s">
        <v>430</v>
      </c>
      <c r="D2454">
        <v>2269</v>
      </c>
      <c r="E2454">
        <v>1</v>
      </c>
      <c r="F2454">
        <v>7.4</v>
      </c>
      <c r="G2454" t="s">
        <v>47</v>
      </c>
      <c r="I2454" t="str">
        <f t="shared" si="41"/>
        <v>2269_1</v>
      </c>
      <c r="J2454" t="s">
        <v>428</v>
      </c>
      <c r="K2454" t="s">
        <v>429</v>
      </c>
      <c r="L2454" t="str">
        <f>_xlfn.XLOOKUP(C2454, Table2[Species],Table2[Genus], "Code Not Found")</f>
        <v>Tsuga</v>
      </c>
      <c r="M2454" t="str">
        <f>_xlfn.XLOOKUP(C2454, Table2[Species],Table2[Sp. Name], "Code Not Found")</f>
        <v>canadensis</v>
      </c>
      <c r="N2454" t="str">
        <f>_xlfn.XLOOKUP(C2454,Table2[Species],Table2[Family],"Code Not Found")</f>
        <v>Pinaceae</v>
      </c>
      <c r="O2454" t="str" cm="1">
        <f t="array" ref="O2454">_xlfn.IFS(F2454="","",F2454&lt;=5,"0 to 5",F2454&lt;=10,"5.1 to 10",F2454&lt;=20,"10 to 20", F2454&lt;= 40, "20 to 40", F2454 &lt;= 50, "40 to 50", F2454 &gt; 50, "&gt;50" )</f>
        <v>5.1 to 10</v>
      </c>
    </row>
    <row r="2455" spans="1:15" ht="15" customHeight="1" x14ac:dyDescent="0.3">
      <c r="A2455" t="s">
        <v>498</v>
      </c>
      <c r="B2455" s="1">
        <v>46212</v>
      </c>
      <c r="C2455" t="s">
        <v>430</v>
      </c>
      <c r="D2455">
        <v>2270</v>
      </c>
      <c r="E2455">
        <v>1</v>
      </c>
      <c r="F2455">
        <v>22.2</v>
      </c>
      <c r="G2455" t="s">
        <v>21</v>
      </c>
      <c r="H2455" t="s">
        <v>500</v>
      </c>
      <c r="I2455" t="str">
        <f t="shared" si="41"/>
        <v>2270_1</v>
      </c>
      <c r="J2455" t="s">
        <v>428</v>
      </c>
      <c r="K2455" t="s">
        <v>429</v>
      </c>
      <c r="L2455" t="str">
        <f>_xlfn.XLOOKUP(C2455, Table2[Species],Table2[Genus], "Code Not Found")</f>
        <v>Tsuga</v>
      </c>
      <c r="M2455" t="str">
        <f>_xlfn.XLOOKUP(C2455, Table2[Species],Table2[Sp. Name], "Code Not Found")</f>
        <v>canadensis</v>
      </c>
      <c r="N2455" t="str">
        <f>_xlfn.XLOOKUP(C2455,Table2[Species],Table2[Family],"Code Not Found")</f>
        <v>Pinaceae</v>
      </c>
      <c r="O2455" t="str" cm="1">
        <f t="array" ref="O2455">_xlfn.IFS(F2455="","",F2455&lt;=5,"0 to 5",F2455&lt;=10,"5.1 to 10",F2455&lt;=20,"10 to 20", F2455&lt;= 40, "20 to 40", F2455 &lt;= 50, "40 to 50", F2455 &gt; 50, "&gt;50" )</f>
        <v>20 to 40</v>
      </c>
    </row>
    <row r="2456" spans="1:15" ht="15" customHeight="1" x14ac:dyDescent="0.3">
      <c r="A2456" t="s">
        <v>498</v>
      </c>
      <c r="B2456" s="1">
        <v>46212</v>
      </c>
      <c r="C2456" t="s">
        <v>64</v>
      </c>
      <c r="D2456">
        <v>2271</v>
      </c>
      <c r="E2456">
        <v>1</v>
      </c>
      <c r="F2456">
        <v>25.7</v>
      </c>
      <c r="G2456" t="s">
        <v>21</v>
      </c>
      <c r="I2456" t="str">
        <f t="shared" si="41"/>
        <v>2271_1</v>
      </c>
      <c r="J2456" t="s">
        <v>428</v>
      </c>
      <c r="K2456" t="s">
        <v>429</v>
      </c>
      <c r="L2456" t="str">
        <f>_xlfn.XLOOKUP(C2456, Table2[Species],Table2[Genus], "Code Not Found")</f>
        <v>Fagus</v>
      </c>
      <c r="M2456" t="str">
        <f>_xlfn.XLOOKUP(C2456, Table2[Species],Table2[Sp. Name], "Code Not Found")</f>
        <v>grandifolia</v>
      </c>
      <c r="N2456" t="str">
        <f>_xlfn.XLOOKUP(C2456,Table2[Species],Table2[Family],"Code Not Found")</f>
        <v>Fagaceae</v>
      </c>
      <c r="O2456" t="str" cm="1">
        <f t="array" ref="O2456">_xlfn.IFS(F2456="","",F2456&lt;=5,"0 to 5",F2456&lt;=10,"5.1 to 10",F2456&lt;=20,"10 to 20", F2456&lt;= 40, "20 to 40", F2456 &lt;= 50, "40 to 50", F2456 &gt; 50, "&gt;50" )</f>
        <v>20 to 40</v>
      </c>
    </row>
    <row r="2457" spans="1:15" ht="15" customHeight="1" x14ac:dyDescent="0.3">
      <c r="A2457" t="s">
        <v>498</v>
      </c>
      <c r="B2457" s="1">
        <v>46212</v>
      </c>
      <c r="C2457" t="s">
        <v>16</v>
      </c>
      <c r="D2457">
        <v>2272</v>
      </c>
      <c r="E2457">
        <v>1</v>
      </c>
      <c r="F2457">
        <v>21.1</v>
      </c>
      <c r="G2457" t="s">
        <v>21</v>
      </c>
      <c r="H2457" t="s">
        <v>523</v>
      </c>
      <c r="I2457" t="str">
        <f t="shared" si="41"/>
        <v>2272_1</v>
      </c>
      <c r="J2457" t="s">
        <v>428</v>
      </c>
      <c r="K2457" t="s">
        <v>429</v>
      </c>
      <c r="L2457" t="str">
        <f>_xlfn.XLOOKUP(C2457, Table2[Species],Table2[Genus], "Code Not Found")</f>
        <v>Acer</v>
      </c>
      <c r="M2457" t="str">
        <f>_xlfn.XLOOKUP(C2457, Table2[Species],Table2[Sp. Name], "Code Not Found")</f>
        <v>saccharum</v>
      </c>
      <c r="N2457" t="str">
        <f>_xlfn.XLOOKUP(C2457,Table2[Species],Table2[Family],"Code Not Found")</f>
        <v>Sapindaceae</v>
      </c>
      <c r="O2457" t="str" cm="1">
        <f t="array" ref="O2457">_xlfn.IFS(F2457="","",F2457&lt;=5,"0 to 5",F2457&lt;=10,"5.1 to 10",F2457&lt;=20,"10 to 20", F2457&lt;= 40, "20 to 40", F2457 &lt;= 50, "40 to 50", F2457 &gt; 50, "&gt;50" )</f>
        <v>20 to 40</v>
      </c>
    </row>
    <row r="2458" spans="1:15" ht="15" customHeight="1" x14ac:dyDescent="0.3">
      <c r="A2458" t="s">
        <v>498</v>
      </c>
      <c r="B2458" s="1">
        <v>46212</v>
      </c>
      <c r="C2458" t="s">
        <v>430</v>
      </c>
      <c r="D2458">
        <v>2273</v>
      </c>
      <c r="E2458">
        <v>1</v>
      </c>
      <c r="F2458">
        <v>6.8</v>
      </c>
      <c r="G2458" t="s">
        <v>509</v>
      </c>
      <c r="I2458" t="str">
        <f t="shared" si="41"/>
        <v>2273_1</v>
      </c>
      <c r="J2458" t="s">
        <v>428</v>
      </c>
      <c r="K2458" t="s">
        <v>429</v>
      </c>
      <c r="L2458" t="str">
        <f>_xlfn.XLOOKUP(C2458, Table2[Species],Table2[Genus], "Code Not Found")</f>
        <v>Tsuga</v>
      </c>
      <c r="M2458" t="str">
        <f>_xlfn.XLOOKUP(C2458, Table2[Species],Table2[Sp. Name], "Code Not Found")</f>
        <v>canadensis</v>
      </c>
      <c r="N2458" t="str">
        <f>_xlfn.XLOOKUP(C2458,Table2[Species],Table2[Family],"Code Not Found")</f>
        <v>Pinaceae</v>
      </c>
      <c r="O2458" t="str" cm="1">
        <f t="array" ref="O2458">_xlfn.IFS(F2458="","",F2458&lt;=5,"0 to 5",F2458&lt;=10,"5.1 to 10",F2458&lt;=20,"10 to 20", F2458&lt;= 40, "20 to 40", F2458 &lt;= 50, "40 to 50", F2458 &gt; 50, "&gt;50" )</f>
        <v>5.1 to 10</v>
      </c>
    </row>
    <row r="2459" spans="1:15" ht="15" customHeight="1" x14ac:dyDescent="0.3">
      <c r="A2459" t="s">
        <v>498</v>
      </c>
      <c r="B2459" s="1">
        <v>46212</v>
      </c>
      <c r="C2459" t="s">
        <v>430</v>
      </c>
      <c r="D2459">
        <v>2274</v>
      </c>
      <c r="E2459">
        <v>1</v>
      </c>
      <c r="F2459">
        <v>16.3</v>
      </c>
      <c r="G2459" t="s">
        <v>88</v>
      </c>
      <c r="H2459" t="s">
        <v>99</v>
      </c>
      <c r="I2459" t="str">
        <f t="shared" si="41"/>
        <v>2274_1</v>
      </c>
      <c r="J2459" t="s">
        <v>428</v>
      </c>
      <c r="K2459" t="s">
        <v>429</v>
      </c>
      <c r="L2459" t="str">
        <f>_xlfn.XLOOKUP(C2459, Table2[Species],Table2[Genus], "Code Not Found")</f>
        <v>Tsuga</v>
      </c>
      <c r="M2459" t="str">
        <f>_xlfn.XLOOKUP(C2459, Table2[Species],Table2[Sp. Name], "Code Not Found")</f>
        <v>canadensis</v>
      </c>
      <c r="N2459" t="str">
        <f>_xlfn.XLOOKUP(C2459,Table2[Species],Table2[Family],"Code Not Found")</f>
        <v>Pinaceae</v>
      </c>
      <c r="O2459" t="str" cm="1">
        <f t="array" ref="O2459">_xlfn.IFS(F2459="","",F2459&lt;=5,"0 to 5",F2459&lt;=10,"5.1 to 10",F2459&lt;=20,"10 to 20", F2459&lt;= 40, "20 to 40", F2459 &lt;= 50, "40 to 50", F2459 &gt; 50, "&gt;50" )</f>
        <v>10 to 20</v>
      </c>
    </row>
    <row r="2460" spans="1:15" ht="15" customHeight="1" x14ac:dyDescent="0.3">
      <c r="A2460" t="s">
        <v>498</v>
      </c>
      <c r="B2460" s="1">
        <v>46212</v>
      </c>
      <c r="C2460" t="s">
        <v>430</v>
      </c>
      <c r="D2460">
        <v>2275</v>
      </c>
      <c r="E2460">
        <v>1</v>
      </c>
      <c r="F2460">
        <v>8.1999999999999993</v>
      </c>
      <c r="G2460" t="s">
        <v>21</v>
      </c>
      <c r="I2460" t="str">
        <f t="shared" si="41"/>
        <v>2275_1</v>
      </c>
      <c r="J2460" t="s">
        <v>428</v>
      </c>
      <c r="K2460" t="s">
        <v>429</v>
      </c>
      <c r="L2460" t="str">
        <f>_xlfn.XLOOKUP(C2460, Table2[Species],Table2[Genus], "Code Not Found")</f>
        <v>Tsuga</v>
      </c>
      <c r="M2460" t="str">
        <f>_xlfn.XLOOKUP(C2460, Table2[Species],Table2[Sp. Name], "Code Not Found")</f>
        <v>canadensis</v>
      </c>
      <c r="N2460" t="str">
        <f>_xlfn.XLOOKUP(C2460,Table2[Species],Table2[Family],"Code Not Found")</f>
        <v>Pinaceae</v>
      </c>
      <c r="O2460" t="str" cm="1">
        <f t="array" ref="O2460">_xlfn.IFS(F2460="","",F2460&lt;=5,"0 to 5",F2460&lt;=10,"5.1 to 10",F2460&lt;=20,"10 to 20", F2460&lt;= 40, "20 to 40", F2460 &lt;= 50, "40 to 50", F2460 &gt; 50, "&gt;50" )</f>
        <v>5.1 to 10</v>
      </c>
    </row>
    <row r="2461" spans="1:15" ht="15" customHeight="1" x14ac:dyDescent="0.3">
      <c r="A2461" t="s">
        <v>498</v>
      </c>
      <c r="B2461" s="1">
        <v>46212</v>
      </c>
      <c r="C2461" t="s">
        <v>430</v>
      </c>
      <c r="D2461">
        <v>2276</v>
      </c>
      <c r="E2461">
        <v>1</v>
      </c>
      <c r="F2461">
        <v>8.1999999999999993</v>
      </c>
      <c r="G2461" t="s">
        <v>509</v>
      </c>
      <c r="I2461" t="str">
        <f t="shared" si="41"/>
        <v>2276_1</v>
      </c>
      <c r="J2461" t="s">
        <v>428</v>
      </c>
      <c r="K2461" t="s">
        <v>429</v>
      </c>
      <c r="L2461" t="str">
        <f>_xlfn.XLOOKUP(C2461, Table2[Species],Table2[Genus], "Code Not Found")</f>
        <v>Tsuga</v>
      </c>
      <c r="M2461" t="str">
        <f>_xlfn.XLOOKUP(C2461, Table2[Species],Table2[Sp. Name], "Code Not Found")</f>
        <v>canadensis</v>
      </c>
      <c r="N2461" t="str">
        <f>_xlfn.XLOOKUP(C2461,Table2[Species],Table2[Family],"Code Not Found")</f>
        <v>Pinaceae</v>
      </c>
      <c r="O2461" t="str" cm="1">
        <f t="array" ref="O2461">_xlfn.IFS(F2461="","",F2461&lt;=5,"0 to 5",F2461&lt;=10,"5.1 to 10",F2461&lt;=20,"10 to 20", F2461&lt;= 40, "20 to 40", F2461 &lt;= 50, "40 to 50", F2461 &gt; 50, "&gt;50" )</f>
        <v>5.1 to 10</v>
      </c>
    </row>
    <row r="2462" spans="1:15" ht="15" customHeight="1" x14ac:dyDescent="0.3">
      <c r="A2462" t="s">
        <v>498</v>
      </c>
      <c r="B2462" s="1">
        <v>46212</v>
      </c>
      <c r="C2462" t="s">
        <v>430</v>
      </c>
      <c r="D2462">
        <v>2277</v>
      </c>
      <c r="E2462">
        <v>1</v>
      </c>
      <c r="F2462">
        <v>9.3000000000000007</v>
      </c>
      <c r="G2462" t="s">
        <v>17</v>
      </c>
      <c r="I2462" t="str">
        <f t="shared" si="41"/>
        <v>2277_1</v>
      </c>
      <c r="J2462" t="s">
        <v>428</v>
      </c>
      <c r="K2462" t="s">
        <v>429</v>
      </c>
      <c r="L2462" t="str">
        <f>_xlfn.XLOOKUP(C2462, Table2[Species],Table2[Genus], "Code Not Found")</f>
        <v>Tsuga</v>
      </c>
      <c r="M2462" t="str">
        <f>_xlfn.XLOOKUP(C2462, Table2[Species],Table2[Sp. Name], "Code Not Found")</f>
        <v>canadensis</v>
      </c>
      <c r="N2462" t="str">
        <f>_xlfn.XLOOKUP(C2462,Table2[Species],Table2[Family],"Code Not Found")</f>
        <v>Pinaceae</v>
      </c>
      <c r="O2462" t="str" cm="1">
        <f t="array" ref="O2462">_xlfn.IFS(F2462="","",F2462&lt;=5,"0 to 5",F2462&lt;=10,"5.1 to 10",F2462&lt;=20,"10 to 20", F2462&lt;= 40, "20 to 40", F2462 &lt;= 50, "40 to 50", F2462 &gt; 50, "&gt;50" )</f>
        <v>5.1 to 10</v>
      </c>
    </row>
    <row r="2463" spans="1:15" ht="15" customHeight="1" x14ac:dyDescent="0.3">
      <c r="A2463" t="s">
        <v>498</v>
      </c>
      <c r="B2463" s="1">
        <v>46212</v>
      </c>
      <c r="C2463" t="s">
        <v>430</v>
      </c>
      <c r="D2463">
        <v>2278</v>
      </c>
      <c r="E2463">
        <v>1</v>
      </c>
      <c r="F2463">
        <v>14.6</v>
      </c>
      <c r="G2463" t="s">
        <v>509</v>
      </c>
      <c r="I2463" t="str">
        <f t="shared" si="41"/>
        <v>2278_1</v>
      </c>
      <c r="J2463" t="s">
        <v>428</v>
      </c>
      <c r="K2463" t="s">
        <v>429</v>
      </c>
      <c r="L2463" t="str">
        <f>_xlfn.XLOOKUP(C2463, Table2[Species],Table2[Genus], "Code Not Found")</f>
        <v>Tsuga</v>
      </c>
      <c r="M2463" t="str">
        <f>_xlfn.XLOOKUP(C2463, Table2[Species],Table2[Sp. Name], "Code Not Found")</f>
        <v>canadensis</v>
      </c>
      <c r="N2463" t="str">
        <f>_xlfn.XLOOKUP(C2463,Table2[Species],Table2[Family],"Code Not Found")</f>
        <v>Pinaceae</v>
      </c>
      <c r="O2463" t="str" cm="1">
        <f t="array" ref="O2463">_xlfn.IFS(F2463="","",F2463&lt;=5,"0 to 5",F2463&lt;=10,"5.1 to 10",F2463&lt;=20,"10 to 20", F2463&lt;= 40, "20 to 40", F2463 &lt;= 50, "40 to 50", F2463 &gt; 50, "&gt;50" )</f>
        <v>10 to 20</v>
      </c>
    </row>
    <row r="2464" spans="1:15" ht="15" customHeight="1" x14ac:dyDescent="0.3">
      <c r="A2464" t="s">
        <v>498</v>
      </c>
      <c r="B2464" s="1">
        <v>46212</v>
      </c>
      <c r="C2464" t="s">
        <v>430</v>
      </c>
      <c r="D2464">
        <v>2279</v>
      </c>
      <c r="E2464">
        <v>1</v>
      </c>
      <c r="F2464">
        <v>8</v>
      </c>
      <c r="G2464" t="s">
        <v>17</v>
      </c>
      <c r="I2464" t="str">
        <f t="shared" si="41"/>
        <v>2279_1</v>
      </c>
      <c r="J2464" t="s">
        <v>428</v>
      </c>
      <c r="K2464" t="s">
        <v>429</v>
      </c>
      <c r="L2464" t="str">
        <f>_xlfn.XLOOKUP(C2464, Table2[Species],Table2[Genus], "Code Not Found")</f>
        <v>Tsuga</v>
      </c>
      <c r="M2464" t="str">
        <f>_xlfn.XLOOKUP(C2464, Table2[Species],Table2[Sp. Name], "Code Not Found")</f>
        <v>canadensis</v>
      </c>
      <c r="N2464" t="str">
        <f>_xlfn.XLOOKUP(C2464,Table2[Species],Table2[Family],"Code Not Found")</f>
        <v>Pinaceae</v>
      </c>
      <c r="O2464" t="str" cm="1">
        <f t="array" ref="O2464">_xlfn.IFS(F2464="","",F2464&lt;=5,"0 to 5",F2464&lt;=10,"5.1 to 10",F2464&lt;=20,"10 to 20", F2464&lt;= 40, "20 to 40", F2464 &lt;= 50, "40 to 50", F2464 &gt; 50, "&gt;50" )</f>
        <v>5.1 to 10</v>
      </c>
    </row>
    <row r="2465" spans="1:15" ht="15" customHeight="1" x14ac:dyDescent="0.3">
      <c r="A2465" t="s">
        <v>498</v>
      </c>
      <c r="B2465" s="1">
        <v>46212</v>
      </c>
      <c r="C2465" t="s">
        <v>430</v>
      </c>
      <c r="D2465">
        <v>2280</v>
      </c>
      <c r="E2465">
        <v>1</v>
      </c>
      <c r="F2465">
        <v>5</v>
      </c>
      <c r="G2465" t="s">
        <v>88</v>
      </c>
      <c r="H2465" t="s">
        <v>524</v>
      </c>
      <c r="I2465" t="str">
        <f t="shared" si="41"/>
        <v>2280_1</v>
      </c>
      <c r="J2465" t="s">
        <v>428</v>
      </c>
      <c r="K2465" t="s">
        <v>429</v>
      </c>
      <c r="L2465" t="str">
        <f>_xlfn.XLOOKUP(C2465, Table2[Species],Table2[Genus], "Code Not Found")</f>
        <v>Tsuga</v>
      </c>
      <c r="M2465" t="str">
        <f>_xlfn.XLOOKUP(C2465, Table2[Species],Table2[Sp. Name], "Code Not Found")</f>
        <v>canadensis</v>
      </c>
      <c r="N2465" t="str">
        <f>_xlfn.XLOOKUP(C2465,Table2[Species],Table2[Family],"Code Not Found")</f>
        <v>Pinaceae</v>
      </c>
      <c r="O2465" t="str" cm="1">
        <f t="array" ref="O2465">_xlfn.IFS(F2465="","",F2465&lt;=5,"0 to 5",F2465&lt;=10,"5.1 to 10",F2465&lt;=20,"10 to 20", F2465&lt;= 40, "20 to 40", F2465 &lt;= 50, "40 to 50", F2465 &gt; 50, "&gt;50" )</f>
        <v>0 to 5</v>
      </c>
    </row>
    <row r="2466" spans="1:15" ht="15" customHeight="1" x14ac:dyDescent="0.3">
      <c r="A2466" t="s">
        <v>498</v>
      </c>
      <c r="B2466" s="1">
        <v>46212</v>
      </c>
      <c r="C2466" t="s">
        <v>430</v>
      </c>
      <c r="D2466">
        <v>2281</v>
      </c>
      <c r="E2466">
        <v>1</v>
      </c>
      <c r="F2466">
        <v>9.1</v>
      </c>
      <c r="G2466" t="s">
        <v>47</v>
      </c>
      <c r="H2466" t="s">
        <v>296</v>
      </c>
      <c r="I2466" t="str">
        <f t="shared" si="41"/>
        <v>2281_1</v>
      </c>
      <c r="J2466" t="s">
        <v>428</v>
      </c>
      <c r="K2466" t="s">
        <v>429</v>
      </c>
      <c r="L2466" t="str">
        <f>_xlfn.XLOOKUP(C2466, Table2[Species],Table2[Genus], "Code Not Found")</f>
        <v>Tsuga</v>
      </c>
      <c r="M2466" t="str">
        <f>_xlfn.XLOOKUP(C2466, Table2[Species],Table2[Sp. Name], "Code Not Found")</f>
        <v>canadensis</v>
      </c>
      <c r="N2466" t="str">
        <f>_xlfn.XLOOKUP(C2466,Table2[Species],Table2[Family],"Code Not Found")</f>
        <v>Pinaceae</v>
      </c>
      <c r="O2466" t="str" cm="1">
        <f t="array" ref="O2466">_xlfn.IFS(F2466="","",F2466&lt;=5,"0 to 5",F2466&lt;=10,"5.1 to 10",F2466&lt;=20,"10 to 20", F2466&lt;= 40, "20 to 40", F2466 &lt;= 50, "40 to 50", F2466 &gt; 50, "&gt;50" )</f>
        <v>5.1 to 10</v>
      </c>
    </row>
    <row r="2467" spans="1:15" ht="15" customHeight="1" x14ac:dyDescent="0.3">
      <c r="A2467" t="s">
        <v>498</v>
      </c>
      <c r="B2467" s="1">
        <v>46212</v>
      </c>
      <c r="C2467" t="s">
        <v>123</v>
      </c>
      <c r="D2467">
        <v>2282</v>
      </c>
      <c r="E2467">
        <v>1</v>
      </c>
      <c r="F2467">
        <v>74.8</v>
      </c>
      <c r="G2467" t="s">
        <v>56</v>
      </c>
      <c r="I2467" t="str">
        <f t="shared" si="41"/>
        <v>2282_1</v>
      </c>
      <c r="J2467" t="s">
        <v>428</v>
      </c>
      <c r="K2467" t="s">
        <v>429</v>
      </c>
      <c r="L2467" t="str">
        <f>_xlfn.XLOOKUP(C2467, Table2[Species],Table2[Genus], "Code Not Found")</f>
        <v>Quercus</v>
      </c>
      <c r="M2467" t="str">
        <f>_xlfn.XLOOKUP(C2467, Table2[Species],Table2[Sp. Name], "Code Not Found")</f>
        <v>rubra</v>
      </c>
      <c r="N2467" t="str">
        <f>_xlfn.XLOOKUP(C2467,Table2[Species],Table2[Family],"Code Not Found")</f>
        <v>Fagaceae</v>
      </c>
      <c r="O2467" t="str" cm="1">
        <f t="array" ref="O2467">_xlfn.IFS(F2467="","",F2467&lt;=5,"0 to 5",F2467&lt;=10,"5.1 to 10",F2467&lt;=20,"10 to 20", F2467&lt;= 40, "20 to 40", F2467 &lt;= 50, "40 to 50", F2467 &gt; 50, "&gt;50" )</f>
        <v>&gt;50</v>
      </c>
    </row>
    <row r="2468" spans="1:15" ht="15" customHeight="1" x14ac:dyDescent="0.3">
      <c r="A2468" t="s">
        <v>498</v>
      </c>
      <c r="B2468" s="1">
        <v>46212</v>
      </c>
      <c r="C2468" t="s">
        <v>430</v>
      </c>
      <c r="D2468">
        <v>2283</v>
      </c>
      <c r="E2468">
        <v>1</v>
      </c>
      <c r="F2468">
        <v>6</v>
      </c>
      <c r="G2468" t="s">
        <v>17</v>
      </c>
      <c r="I2468" t="str">
        <f t="shared" si="41"/>
        <v>2283_1</v>
      </c>
      <c r="J2468" t="s">
        <v>428</v>
      </c>
      <c r="K2468" t="s">
        <v>429</v>
      </c>
      <c r="L2468" t="str">
        <f>_xlfn.XLOOKUP(C2468, Table2[Species],Table2[Genus], "Code Not Found")</f>
        <v>Tsuga</v>
      </c>
      <c r="M2468" t="str">
        <f>_xlfn.XLOOKUP(C2468, Table2[Species],Table2[Sp. Name], "Code Not Found")</f>
        <v>canadensis</v>
      </c>
      <c r="N2468" t="str">
        <f>_xlfn.XLOOKUP(C2468,Table2[Species],Table2[Family],"Code Not Found")</f>
        <v>Pinaceae</v>
      </c>
      <c r="O2468" t="str" cm="1">
        <f t="array" ref="O2468">_xlfn.IFS(F2468="","",F2468&lt;=5,"0 to 5",F2468&lt;=10,"5.1 to 10",F2468&lt;=20,"10 to 20", F2468&lt;= 40, "20 to 40", F2468 &lt;= 50, "40 to 50", F2468 &gt; 50, "&gt;50" )</f>
        <v>5.1 to 10</v>
      </c>
    </row>
    <row r="2469" spans="1:15" ht="15" customHeight="1" x14ac:dyDescent="0.3">
      <c r="A2469" t="s">
        <v>498</v>
      </c>
      <c r="B2469" s="1">
        <v>46212</v>
      </c>
      <c r="C2469" t="s">
        <v>430</v>
      </c>
      <c r="D2469">
        <v>2284</v>
      </c>
      <c r="E2469">
        <v>1</v>
      </c>
      <c r="F2469">
        <v>14</v>
      </c>
      <c r="G2469" t="s">
        <v>88</v>
      </c>
      <c r="H2469" t="s">
        <v>524</v>
      </c>
      <c r="I2469" t="str">
        <f t="shared" si="41"/>
        <v>2284_1</v>
      </c>
      <c r="J2469" t="s">
        <v>428</v>
      </c>
      <c r="K2469" t="s">
        <v>429</v>
      </c>
      <c r="L2469" t="str">
        <f>_xlfn.XLOOKUP(C2469, Table2[Species],Table2[Genus], "Code Not Found")</f>
        <v>Tsuga</v>
      </c>
      <c r="M2469" t="str">
        <f>_xlfn.XLOOKUP(C2469, Table2[Species],Table2[Sp. Name], "Code Not Found")</f>
        <v>canadensis</v>
      </c>
      <c r="N2469" t="str">
        <f>_xlfn.XLOOKUP(C2469,Table2[Species],Table2[Family],"Code Not Found")</f>
        <v>Pinaceae</v>
      </c>
      <c r="O2469" t="str" cm="1">
        <f t="array" ref="O2469">_xlfn.IFS(F2469="","",F2469&lt;=5,"0 to 5",F2469&lt;=10,"5.1 to 10",F2469&lt;=20,"10 to 20", F2469&lt;= 40, "20 to 40", F2469 &lt;= 50, "40 to 50", F2469 &gt; 50, "&gt;50" )</f>
        <v>10 to 20</v>
      </c>
    </row>
    <row r="2470" spans="1:15" ht="15" customHeight="1" x14ac:dyDescent="0.3">
      <c r="A2470" t="s">
        <v>498</v>
      </c>
      <c r="B2470" s="1">
        <v>46212</v>
      </c>
      <c r="C2470" t="s">
        <v>430</v>
      </c>
      <c r="D2470">
        <v>2285</v>
      </c>
      <c r="E2470">
        <v>1</v>
      </c>
      <c r="F2470">
        <v>8</v>
      </c>
      <c r="G2470" t="s">
        <v>17</v>
      </c>
      <c r="I2470" t="str">
        <f t="shared" si="41"/>
        <v>2285_1</v>
      </c>
      <c r="J2470" t="s">
        <v>428</v>
      </c>
      <c r="K2470" t="s">
        <v>429</v>
      </c>
      <c r="L2470" t="str">
        <f>_xlfn.XLOOKUP(C2470, Table2[Species],Table2[Genus], "Code Not Found")</f>
        <v>Tsuga</v>
      </c>
      <c r="M2470" t="str">
        <f>_xlfn.XLOOKUP(C2470, Table2[Species],Table2[Sp. Name], "Code Not Found")</f>
        <v>canadensis</v>
      </c>
      <c r="N2470" t="str">
        <f>_xlfn.XLOOKUP(C2470,Table2[Species],Table2[Family],"Code Not Found")</f>
        <v>Pinaceae</v>
      </c>
      <c r="O2470" t="str" cm="1">
        <f t="array" ref="O2470">_xlfn.IFS(F2470="","",F2470&lt;=5,"0 to 5",F2470&lt;=10,"5.1 to 10",F2470&lt;=20,"10 to 20", F2470&lt;= 40, "20 to 40", F2470 &lt;= 50, "40 to 50", F2470 &gt; 50, "&gt;50" )</f>
        <v>5.1 to 10</v>
      </c>
    </row>
    <row r="2471" spans="1:15" ht="15" customHeight="1" x14ac:dyDescent="0.3">
      <c r="A2471" t="s">
        <v>498</v>
      </c>
      <c r="B2471" s="1">
        <v>46212</v>
      </c>
      <c r="C2471" t="s">
        <v>64</v>
      </c>
      <c r="D2471">
        <v>2286</v>
      </c>
      <c r="E2471">
        <v>1</v>
      </c>
      <c r="F2471">
        <v>16.8</v>
      </c>
      <c r="G2471" t="s">
        <v>21</v>
      </c>
      <c r="I2471" t="str">
        <f t="shared" si="41"/>
        <v>2286_1</v>
      </c>
      <c r="J2471" t="s">
        <v>428</v>
      </c>
      <c r="K2471" t="s">
        <v>429</v>
      </c>
      <c r="L2471" t="str">
        <f>_xlfn.XLOOKUP(C2471, Table2[Species],Table2[Genus], "Code Not Found")</f>
        <v>Fagus</v>
      </c>
      <c r="M2471" t="str">
        <f>_xlfn.XLOOKUP(C2471, Table2[Species],Table2[Sp. Name], "Code Not Found")</f>
        <v>grandifolia</v>
      </c>
      <c r="N2471" t="str">
        <f>_xlfn.XLOOKUP(C2471,Table2[Species],Table2[Family],"Code Not Found")</f>
        <v>Fagaceae</v>
      </c>
      <c r="O2471" t="str" cm="1">
        <f t="array" ref="O2471">_xlfn.IFS(F2471="","",F2471&lt;=5,"0 to 5",F2471&lt;=10,"5.1 to 10",F2471&lt;=20,"10 to 20", F2471&lt;= 40, "20 to 40", F2471 &lt;= 50, "40 to 50", F2471 &gt; 50, "&gt;50" )</f>
        <v>10 to 20</v>
      </c>
    </row>
    <row r="2472" spans="1:15" ht="15" customHeight="1" x14ac:dyDescent="0.3">
      <c r="A2472" t="s">
        <v>498</v>
      </c>
      <c r="B2472" s="1">
        <v>46212</v>
      </c>
      <c r="C2472" t="s">
        <v>430</v>
      </c>
      <c r="D2472">
        <v>2287</v>
      </c>
      <c r="E2472">
        <v>1</v>
      </c>
      <c r="F2472">
        <v>6.2</v>
      </c>
      <c r="G2472" t="s">
        <v>17</v>
      </c>
      <c r="I2472" t="str">
        <f t="shared" si="41"/>
        <v>2287_1</v>
      </c>
      <c r="J2472" t="s">
        <v>428</v>
      </c>
      <c r="K2472" t="s">
        <v>429</v>
      </c>
      <c r="L2472" t="str">
        <f>_xlfn.XLOOKUP(C2472, Table2[Species],Table2[Genus], "Code Not Found")</f>
        <v>Tsuga</v>
      </c>
      <c r="M2472" t="str">
        <f>_xlfn.XLOOKUP(C2472, Table2[Species],Table2[Sp. Name], "Code Not Found")</f>
        <v>canadensis</v>
      </c>
      <c r="N2472" t="str">
        <f>_xlfn.XLOOKUP(C2472,Table2[Species],Table2[Family],"Code Not Found")</f>
        <v>Pinaceae</v>
      </c>
      <c r="O2472" t="str" cm="1">
        <f t="array" ref="O2472">_xlfn.IFS(F2472="","",F2472&lt;=5,"0 to 5",F2472&lt;=10,"5.1 to 10",F2472&lt;=20,"10 to 20", F2472&lt;= 40, "20 to 40", F2472 &lt;= 50, "40 to 50", F2472 &gt; 50, "&gt;50" )</f>
        <v>5.1 to 10</v>
      </c>
    </row>
    <row r="2473" spans="1:15" ht="15" customHeight="1" x14ac:dyDescent="0.3">
      <c r="A2473" t="s">
        <v>498</v>
      </c>
      <c r="B2473" s="1">
        <v>46212</v>
      </c>
      <c r="C2473" t="s">
        <v>430</v>
      </c>
      <c r="D2473">
        <v>2288</v>
      </c>
      <c r="E2473">
        <v>1</v>
      </c>
      <c r="F2473">
        <v>6.4</v>
      </c>
      <c r="G2473" t="s">
        <v>21</v>
      </c>
      <c r="H2473" t="s">
        <v>500</v>
      </c>
      <c r="I2473" t="str">
        <f t="shared" si="41"/>
        <v>2288_1</v>
      </c>
      <c r="J2473" t="s">
        <v>428</v>
      </c>
      <c r="K2473" t="s">
        <v>429</v>
      </c>
      <c r="L2473" t="str">
        <f>_xlfn.XLOOKUP(C2473, Table2[Species],Table2[Genus], "Code Not Found")</f>
        <v>Tsuga</v>
      </c>
      <c r="M2473" t="str">
        <f>_xlfn.XLOOKUP(C2473, Table2[Species],Table2[Sp. Name], "Code Not Found")</f>
        <v>canadensis</v>
      </c>
      <c r="N2473" t="str">
        <f>_xlfn.XLOOKUP(C2473,Table2[Species],Table2[Family],"Code Not Found")</f>
        <v>Pinaceae</v>
      </c>
      <c r="O2473" t="str" cm="1">
        <f t="array" ref="O2473">_xlfn.IFS(F2473="","",F2473&lt;=5,"0 to 5",F2473&lt;=10,"5.1 to 10",F2473&lt;=20,"10 to 20", F2473&lt;= 40, "20 to 40", F2473 &lt;= 50, "40 to 50", F2473 &gt; 50, "&gt;50" )</f>
        <v>5.1 to 10</v>
      </c>
    </row>
    <row r="2474" spans="1:15" ht="15" customHeight="1" x14ac:dyDescent="0.3">
      <c r="A2474" t="s">
        <v>498</v>
      </c>
      <c r="B2474" s="1">
        <v>46212</v>
      </c>
      <c r="C2474" t="s">
        <v>430</v>
      </c>
      <c r="D2474">
        <v>2289</v>
      </c>
      <c r="E2474">
        <v>1</v>
      </c>
      <c r="F2474">
        <v>12.2</v>
      </c>
      <c r="G2474" t="s">
        <v>17</v>
      </c>
      <c r="I2474" t="str">
        <f t="shared" si="41"/>
        <v>2289_1</v>
      </c>
      <c r="J2474" t="s">
        <v>428</v>
      </c>
      <c r="K2474" t="s">
        <v>429</v>
      </c>
      <c r="L2474" t="str">
        <f>_xlfn.XLOOKUP(C2474, Table2[Species],Table2[Genus], "Code Not Found")</f>
        <v>Tsuga</v>
      </c>
      <c r="M2474" t="str">
        <f>_xlfn.XLOOKUP(C2474, Table2[Species],Table2[Sp. Name], "Code Not Found")</f>
        <v>canadensis</v>
      </c>
      <c r="N2474" t="str">
        <f>_xlfn.XLOOKUP(C2474,Table2[Species],Table2[Family],"Code Not Found")</f>
        <v>Pinaceae</v>
      </c>
      <c r="O2474" t="str" cm="1">
        <f t="array" ref="O2474">_xlfn.IFS(F2474="","",F2474&lt;=5,"0 to 5",F2474&lt;=10,"5.1 to 10",F2474&lt;=20,"10 to 20", F2474&lt;= 40, "20 to 40", F2474 &lt;= 50, "40 to 50", F2474 &gt; 50, "&gt;50" )</f>
        <v>10 to 20</v>
      </c>
    </row>
    <row r="2475" spans="1:15" ht="15" customHeight="1" x14ac:dyDescent="0.3">
      <c r="A2475" t="s">
        <v>498</v>
      </c>
      <c r="B2475" s="1">
        <v>46212</v>
      </c>
      <c r="C2475" t="s">
        <v>123</v>
      </c>
      <c r="D2475">
        <v>2290</v>
      </c>
      <c r="E2475">
        <v>1</v>
      </c>
      <c r="F2475">
        <v>86.9</v>
      </c>
      <c r="G2475" t="s">
        <v>17</v>
      </c>
      <c r="I2475" t="str">
        <f t="shared" si="41"/>
        <v>2290_1</v>
      </c>
      <c r="J2475" t="s">
        <v>428</v>
      </c>
      <c r="K2475" t="s">
        <v>429</v>
      </c>
      <c r="L2475" t="str">
        <f>_xlfn.XLOOKUP(C2475, Table2[Species],Table2[Genus], "Code Not Found")</f>
        <v>Quercus</v>
      </c>
      <c r="M2475" t="str">
        <f>_xlfn.XLOOKUP(C2475, Table2[Species],Table2[Sp. Name], "Code Not Found")</f>
        <v>rubra</v>
      </c>
      <c r="N2475" t="str">
        <f>_xlfn.XLOOKUP(C2475,Table2[Species],Table2[Family],"Code Not Found")</f>
        <v>Fagaceae</v>
      </c>
      <c r="O2475" t="str" cm="1">
        <f t="array" ref="O2475">_xlfn.IFS(F2475="","",F2475&lt;=5,"0 to 5",F2475&lt;=10,"5.1 to 10",F2475&lt;=20,"10 to 20", F2475&lt;= 40, "20 to 40", F2475 &lt;= 50, "40 to 50", F2475 &gt; 50, "&gt;50" )</f>
        <v>&gt;50</v>
      </c>
    </row>
    <row r="2476" spans="1:15" ht="15" customHeight="1" x14ac:dyDescent="0.3">
      <c r="A2476" t="s">
        <v>498</v>
      </c>
      <c r="B2476" s="1">
        <v>46212</v>
      </c>
      <c r="C2476" t="s">
        <v>430</v>
      </c>
      <c r="D2476">
        <v>2291</v>
      </c>
      <c r="E2476">
        <v>1</v>
      </c>
      <c r="F2476">
        <v>8.6999999999999993</v>
      </c>
      <c r="G2476" t="s">
        <v>509</v>
      </c>
      <c r="I2476" t="str">
        <f t="shared" si="41"/>
        <v>2291_1</v>
      </c>
      <c r="J2476" t="s">
        <v>428</v>
      </c>
      <c r="K2476" t="s">
        <v>429</v>
      </c>
      <c r="L2476" t="str">
        <f>_xlfn.XLOOKUP(C2476, Table2[Species],Table2[Genus], "Code Not Found")</f>
        <v>Tsuga</v>
      </c>
      <c r="M2476" t="str">
        <f>_xlfn.XLOOKUP(C2476, Table2[Species],Table2[Sp. Name], "Code Not Found")</f>
        <v>canadensis</v>
      </c>
      <c r="N2476" t="str">
        <f>_xlfn.XLOOKUP(C2476,Table2[Species],Table2[Family],"Code Not Found")</f>
        <v>Pinaceae</v>
      </c>
      <c r="O2476" t="str" cm="1">
        <f t="array" ref="O2476">_xlfn.IFS(F2476="","",F2476&lt;=5,"0 to 5",F2476&lt;=10,"5.1 to 10",F2476&lt;=20,"10 to 20", F2476&lt;= 40, "20 to 40", F2476 &lt;= 50, "40 to 50", F2476 &gt; 50, "&gt;50" )</f>
        <v>5.1 to 10</v>
      </c>
    </row>
    <row r="2477" spans="1:15" ht="15" customHeight="1" x14ac:dyDescent="0.3">
      <c r="A2477" t="s">
        <v>498</v>
      </c>
      <c r="B2477" s="1">
        <v>46212</v>
      </c>
      <c r="C2477" t="s">
        <v>16</v>
      </c>
      <c r="D2477">
        <v>2292</v>
      </c>
      <c r="E2477">
        <v>1</v>
      </c>
      <c r="F2477">
        <v>4.7</v>
      </c>
      <c r="G2477" t="s">
        <v>21</v>
      </c>
      <c r="I2477" t="str">
        <f t="shared" si="41"/>
        <v>2292_1</v>
      </c>
      <c r="J2477" t="s">
        <v>428</v>
      </c>
      <c r="K2477" t="s">
        <v>429</v>
      </c>
      <c r="L2477" t="str">
        <f>_xlfn.XLOOKUP(C2477, Table2[Species],Table2[Genus], "Code Not Found")</f>
        <v>Acer</v>
      </c>
      <c r="M2477" t="str">
        <f>_xlfn.XLOOKUP(C2477, Table2[Species],Table2[Sp. Name], "Code Not Found")</f>
        <v>saccharum</v>
      </c>
      <c r="N2477" t="str">
        <f>_xlfn.XLOOKUP(C2477,Table2[Species],Table2[Family],"Code Not Found")</f>
        <v>Sapindaceae</v>
      </c>
      <c r="O2477" t="str" cm="1">
        <f t="array" ref="O2477">_xlfn.IFS(F2477="","",F2477&lt;=5,"0 to 5",F2477&lt;=10,"5.1 to 10",F2477&lt;=20,"10 to 20", F2477&lt;= 40, "20 to 40", F2477 &lt;= 50, "40 to 50", F2477 &gt; 50, "&gt;50" )</f>
        <v>0 to 5</v>
      </c>
    </row>
    <row r="2478" spans="1:15" ht="15" customHeight="1" x14ac:dyDescent="0.3">
      <c r="A2478" t="s">
        <v>498</v>
      </c>
      <c r="B2478" s="1">
        <v>46212</v>
      </c>
      <c r="C2478" t="s">
        <v>16</v>
      </c>
      <c r="D2478">
        <v>2293</v>
      </c>
      <c r="E2478">
        <v>1</v>
      </c>
      <c r="F2478">
        <v>24.2</v>
      </c>
      <c r="G2478" t="s">
        <v>17</v>
      </c>
      <c r="I2478" t="str">
        <f t="shared" si="41"/>
        <v>2293_1</v>
      </c>
      <c r="J2478" t="s">
        <v>428</v>
      </c>
      <c r="K2478" t="s">
        <v>429</v>
      </c>
      <c r="L2478" t="str">
        <f>_xlfn.XLOOKUP(C2478, Table2[Species],Table2[Genus], "Code Not Found")</f>
        <v>Acer</v>
      </c>
      <c r="M2478" t="str">
        <f>_xlfn.XLOOKUP(C2478, Table2[Species],Table2[Sp. Name], "Code Not Found")</f>
        <v>saccharum</v>
      </c>
      <c r="N2478" t="str">
        <f>_xlfn.XLOOKUP(C2478,Table2[Species],Table2[Family],"Code Not Found")</f>
        <v>Sapindaceae</v>
      </c>
      <c r="O2478" t="str" cm="1">
        <f t="array" ref="O2478">_xlfn.IFS(F2478="","",F2478&lt;=5,"0 to 5",F2478&lt;=10,"5.1 to 10",F2478&lt;=20,"10 to 20", F2478&lt;= 40, "20 to 40", F2478 &lt;= 50, "40 to 50", F2478 &gt; 50, "&gt;50" )</f>
        <v>20 to 40</v>
      </c>
    </row>
    <row r="2479" spans="1:15" ht="15" customHeight="1" x14ac:dyDescent="0.3">
      <c r="A2479" t="s">
        <v>498</v>
      </c>
      <c r="B2479" s="1">
        <v>46212</v>
      </c>
      <c r="C2479" t="s">
        <v>64</v>
      </c>
      <c r="D2479">
        <v>2294</v>
      </c>
      <c r="E2479">
        <v>1</v>
      </c>
      <c r="F2479">
        <v>5.7</v>
      </c>
      <c r="G2479" t="s">
        <v>409</v>
      </c>
      <c r="I2479" t="str">
        <f t="shared" si="41"/>
        <v>2294_1</v>
      </c>
      <c r="J2479" t="s">
        <v>428</v>
      </c>
      <c r="K2479" t="s">
        <v>429</v>
      </c>
      <c r="L2479" t="str">
        <f>_xlfn.XLOOKUP(C2479, Table2[Species],Table2[Genus], "Code Not Found")</f>
        <v>Fagus</v>
      </c>
      <c r="M2479" t="str">
        <f>_xlfn.XLOOKUP(C2479, Table2[Species],Table2[Sp. Name], "Code Not Found")</f>
        <v>grandifolia</v>
      </c>
      <c r="N2479" t="str">
        <f>_xlfn.XLOOKUP(C2479,Table2[Species],Table2[Family],"Code Not Found")</f>
        <v>Fagaceae</v>
      </c>
      <c r="O2479" t="str" cm="1">
        <f t="array" ref="O2479">_xlfn.IFS(F2479="","",F2479&lt;=5,"0 to 5",F2479&lt;=10,"5.1 to 10",F2479&lt;=20,"10 to 20", F2479&lt;= 40, "20 to 40", F2479 &lt;= 50, "40 to 50", F2479 &gt; 50, "&gt;50" )</f>
        <v>5.1 to 10</v>
      </c>
    </row>
    <row r="2480" spans="1:15" ht="15" customHeight="1" x14ac:dyDescent="0.3">
      <c r="A2480" t="s">
        <v>498</v>
      </c>
      <c r="B2480" s="1">
        <v>46212</v>
      </c>
      <c r="C2480" t="s">
        <v>16</v>
      </c>
      <c r="D2480">
        <v>2295</v>
      </c>
      <c r="E2480">
        <v>1</v>
      </c>
      <c r="F2480">
        <v>23.6</v>
      </c>
      <c r="G2480" t="s">
        <v>21</v>
      </c>
      <c r="I2480" t="str">
        <f t="shared" ref="I2480:I2543" si="42">D2480&amp;"_"&amp;E2480</f>
        <v>2295_1</v>
      </c>
      <c r="J2480" t="s">
        <v>428</v>
      </c>
      <c r="K2480" t="s">
        <v>429</v>
      </c>
      <c r="L2480" t="str">
        <f>_xlfn.XLOOKUP(C2480, Table2[Species],Table2[Genus], "Code Not Found")</f>
        <v>Acer</v>
      </c>
      <c r="M2480" t="str">
        <f>_xlfn.XLOOKUP(C2480, Table2[Species],Table2[Sp. Name], "Code Not Found")</f>
        <v>saccharum</v>
      </c>
      <c r="N2480" t="str">
        <f>_xlfn.XLOOKUP(C2480,Table2[Species],Table2[Family],"Code Not Found")</f>
        <v>Sapindaceae</v>
      </c>
      <c r="O2480" t="str" cm="1">
        <f t="array" ref="O2480">_xlfn.IFS(F2480="","",F2480&lt;=5,"0 to 5",F2480&lt;=10,"5.1 to 10",F2480&lt;=20,"10 to 20", F2480&lt;= 40, "20 to 40", F2480 &lt;= 50, "40 to 50", F2480 &gt; 50, "&gt;50" )</f>
        <v>20 to 40</v>
      </c>
    </row>
    <row r="2481" spans="1:15" ht="15" customHeight="1" x14ac:dyDescent="0.3">
      <c r="A2481" t="s">
        <v>498</v>
      </c>
      <c r="B2481" s="1">
        <v>46212</v>
      </c>
      <c r="C2481" t="s">
        <v>430</v>
      </c>
      <c r="D2481">
        <v>2296</v>
      </c>
      <c r="E2481">
        <v>1</v>
      </c>
      <c r="F2481">
        <v>10.3</v>
      </c>
      <c r="G2481" t="s">
        <v>525</v>
      </c>
      <c r="H2481" t="s">
        <v>99</v>
      </c>
      <c r="I2481" t="str">
        <f t="shared" si="42"/>
        <v>2296_1</v>
      </c>
      <c r="J2481" t="s">
        <v>428</v>
      </c>
      <c r="K2481" t="s">
        <v>429</v>
      </c>
      <c r="L2481" t="str">
        <f>_xlfn.XLOOKUP(C2481, Table2[Species],Table2[Genus], "Code Not Found")</f>
        <v>Tsuga</v>
      </c>
      <c r="M2481" t="str">
        <f>_xlfn.XLOOKUP(C2481, Table2[Species],Table2[Sp. Name], "Code Not Found")</f>
        <v>canadensis</v>
      </c>
      <c r="N2481" t="str">
        <f>_xlfn.XLOOKUP(C2481,Table2[Species],Table2[Family],"Code Not Found")</f>
        <v>Pinaceae</v>
      </c>
      <c r="O2481" t="str" cm="1">
        <f t="array" ref="O2481">_xlfn.IFS(F2481="","",F2481&lt;=5,"0 to 5",F2481&lt;=10,"5.1 to 10",F2481&lt;=20,"10 to 20", F2481&lt;= 40, "20 to 40", F2481 &lt;= 50, "40 to 50", F2481 &gt; 50, "&gt;50" )</f>
        <v>10 to 20</v>
      </c>
    </row>
    <row r="2482" spans="1:15" ht="15" customHeight="1" x14ac:dyDescent="0.3">
      <c r="A2482" t="s">
        <v>498</v>
      </c>
      <c r="B2482" s="1">
        <v>46212</v>
      </c>
      <c r="C2482" t="s">
        <v>16</v>
      </c>
      <c r="D2482">
        <v>2297</v>
      </c>
      <c r="E2482">
        <v>1</v>
      </c>
      <c r="F2482">
        <v>22.8</v>
      </c>
      <c r="G2482" t="s">
        <v>21</v>
      </c>
      <c r="I2482" t="str">
        <f t="shared" si="42"/>
        <v>2297_1</v>
      </c>
      <c r="J2482" t="s">
        <v>428</v>
      </c>
      <c r="K2482" t="s">
        <v>429</v>
      </c>
      <c r="L2482" t="str">
        <f>_xlfn.XLOOKUP(C2482, Table2[Species],Table2[Genus], "Code Not Found")</f>
        <v>Acer</v>
      </c>
      <c r="M2482" t="str">
        <f>_xlfn.XLOOKUP(C2482, Table2[Species],Table2[Sp. Name], "Code Not Found")</f>
        <v>saccharum</v>
      </c>
      <c r="N2482" t="str">
        <f>_xlfn.XLOOKUP(C2482,Table2[Species],Table2[Family],"Code Not Found")</f>
        <v>Sapindaceae</v>
      </c>
      <c r="O2482" t="str" cm="1">
        <f t="array" ref="O2482">_xlfn.IFS(F2482="","",F2482&lt;=5,"0 to 5",F2482&lt;=10,"5.1 to 10",F2482&lt;=20,"10 to 20", F2482&lt;= 40, "20 to 40", F2482 &lt;= 50, "40 to 50", F2482 &gt; 50, "&gt;50" )</f>
        <v>20 to 40</v>
      </c>
    </row>
    <row r="2483" spans="1:15" ht="15" customHeight="1" x14ac:dyDescent="0.3">
      <c r="A2483" t="s">
        <v>498</v>
      </c>
      <c r="B2483" s="1">
        <v>46212</v>
      </c>
      <c r="C2483" t="s">
        <v>187</v>
      </c>
      <c r="D2483">
        <v>2298</v>
      </c>
      <c r="E2483">
        <v>1</v>
      </c>
      <c r="F2483">
        <v>46.1</v>
      </c>
      <c r="G2483" t="s">
        <v>21</v>
      </c>
      <c r="H2483" t="s">
        <v>500</v>
      </c>
      <c r="I2483" t="str">
        <f t="shared" si="42"/>
        <v>2298_1</v>
      </c>
      <c r="J2483" t="s">
        <v>428</v>
      </c>
      <c r="K2483" t="s">
        <v>429</v>
      </c>
      <c r="L2483" t="str">
        <f>_xlfn.XLOOKUP(C2483, Table2[Species],Table2[Genus], "Code Not Found")</f>
        <v>Carya</v>
      </c>
      <c r="M2483" t="str">
        <f>_xlfn.XLOOKUP(C2483, Table2[Species],Table2[Sp. Name], "Code Not Found")</f>
        <v>cordiformis</v>
      </c>
      <c r="N2483" t="str">
        <f>_xlfn.XLOOKUP(C2483,Table2[Species],Table2[Family],"Code Not Found")</f>
        <v>Juglandaceae</v>
      </c>
      <c r="O2483" t="str" cm="1">
        <f t="array" ref="O2483">_xlfn.IFS(F2483="","",F2483&lt;=5,"0 to 5",F2483&lt;=10,"5.1 to 10",F2483&lt;=20,"10 to 20", F2483&lt;= 40, "20 to 40", F2483 &lt;= 50, "40 to 50", F2483 &gt; 50, "&gt;50" )</f>
        <v>40 to 50</v>
      </c>
    </row>
    <row r="2484" spans="1:15" ht="15" customHeight="1" x14ac:dyDescent="0.3">
      <c r="A2484" t="s">
        <v>498</v>
      </c>
      <c r="B2484" s="1">
        <v>46212</v>
      </c>
      <c r="C2484" t="s">
        <v>235</v>
      </c>
      <c r="D2484">
        <v>2299</v>
      </c>
      <c r="E2484">
        <v>1</v>
      </c>
      <c r="F2484">
        <v>1.2</v>
      </c>
      <c r="G2484" t="s">
        <v>526</v>
      </c>
      <c r="H2484" t="s">
        <v>527</v>
      </c>
      <c r="I2484" t="str">
        <f t="shared" si="42"/>
        <v>2299_1</v>
      </c>
      <c r="J2484" t="s">
        <v>428</v>
      </c>
      <c r="K2484" t="s">
        <v>429</v>
      </c>
      <c r="L2484" t="str">
        <f>_xlfn.XLOOKUP(C2484, Table2[Species],Table2[Genus], "Code Not Found")</f>
        <v>Carpinus</v>
      </c>
      <c r="M2484" t="str">
        <f>_xlfn.XLOOKUP(C2484, Table2[Species],Table2[Sp. Name], "Code Not Found")</f>
        <v>caroliniana</v>
      </c>
      <c r="N2484" t="str">
        <f>_xlfn.XLOOKUP(C2484,Table2[Species],Table2[Family],"Code Not Found")</f>
        <v>Betulaceae</v>
      </c>
      <c r="O2484" t="str" cm="1">
        <f t="array" ref="O2484">_xlfn.IFS(F2484="","",F2484&lt;=5,"0 to 5",F2484&lt;=10,"5.1 to 10",F2484&lt;=20,"10 to 20", F2484&lt;= 40, "20 to 40", F2484 &lt;= 50, "40 to 50", F2484 &gt; 50, "&gt;50" )</f>
        <v>0 to 5</v>
      </c>
    </row>
    <row r="2485" spans="1:15" ht="15" customHeight="1" x14ac:dyDescent="0.3">
      <c r="A2485" t="s">
        <v>498</v>
      </c>
      <c r="B2485" s="1">
        <v>46212</v>
      </c>
      <c r="C2485" t="s">
        <v>64</v>
      </c>
      <c r="D2485">
        <v>2300</v>
      </c>
      <c r="E2485">
        <v>1</v>
      </c>
      <c r="F2485">
        <v>2.9</v>
      </c>
      <c r="G2485" t="s">
        <v>359</v>
      </c>
      <c r="H2485" t="s">
        <v>500</v>
      </c>
      <c r="I2485" t="str">
        <f t="shared" si="42"/>
        <v>2300_1</v>
      </c>
      <c r="J2485" t="s">
        <v>428</v>
      </c>
      <c r="K2485" t="s">
        <v>429</v>
      </c>
      <c r="L2485" t="str">
        <f>_xlfn.XLOOKUP(C2485, Table2[Species],Table2[Genus], "Code Not Found")</f>
        <v>Fagus</v>
      </c>
      <c r="M2485" t="str">
        <f>_xlfn.XLOOKUP(C2485, Table2[Species],Table2[Sp. Name], "Code Not Found")</f>
        <v>grandifolia</v>
      </c>
      <c r="N2485" t="str">
        <f>_xlfn.XLOOKUP(C2485,Table2[Species],Table2[Family],"Code Not Found")</f>
        <v>Fagaceae</v>
      </c>
      <c r="O2485" t="str" cm="1">
        <f t="array" ref="O2485">_xlfn.IFS(F2485="","",F2485&lt;=5,"0 to 5",F2485&lt;=10,"5.1 to 10",F2485&lt;=20,"10 to 20", F2485&lt;= 40, "20 to 40", F2485 &lt;= 50, "40 to 50", F2485 &gt; 50, "&gt;50" )</f>
        <v>0 to 5</v>
      </c>
    </row>
    <row r="2486" spans="1:15" ht="15" customHeight="1" x14ac:dyDescent="0.3">
      <c r="A2486" t="s">
        <v>498</v>
      </c>
      <c r="B2486" s="1">
        <v>46212</v>
      </c>
      <c r="C2486" t="s">
        <v>430</v>
      </c>
      <c r="D2486">
        <v>2301</v>
      </c>
      <c r="E2486">
        <v>1</v>
      </c>
      <c r="F2486">
        <v>10.6</v>
      </c>
      <c r="G2486" t="s">
        <v>17</v>
      </c>
      <c r="I2486" t="str">
        <f t="shared" si="42"/>
        <v>2301_1</v>
      </c>
      <c r="J2486" t="s">
        <v>428</v>
      </c>
      <c r="K2486" t="s">
        <v>429</v>
      </c>
      <c r="L2486" t="str">
        <f>_xlfn.XLOOKUP(C2486, Table2[Species],Table2[Genus], "Code Not Found")</f>
        <v>Tsuga</v>
      </c>
      <c r="M2486" t="str">
        <f>_xlfn.XLOOKUP(C2486, Table2[Species],Table2[Sp. Name], "Code Not Found")</f>
        <v>canadensis</v>
      </c>
      <c r="N2486" t="str">
        <f>_xlfn.XLOOKUP(C2486,Table2[Species],Table2[Family],"Code Not Found")</f>
        <v>Pinaceae</v>
      </c>
      <c r="O2486" t="str" cm="1">
        <f t="array" ref="O2486">_xlfn.IFS(F2486="","",F2486&lt;=5,"0 to 5",F2486&lt;=10,"5.1 to 10",F2486&lt;=20,"10 to 20", F2486&lt;= 40, "20 to 40", F2486 &lt;= 50, "40 to 50", F2486 &gt; 50, "&gt;50" )</f>
        <v>10 to 20</v>
      </c>
    </row>
    <row r="2487" spans="1:15" ht="15" customHeight="1" x14ac:dyDescent="0.3">
      <c r="A2487" t="s">
        <v>498</v>
      </c>
      <c r="B2487" s="1">
        <v>46212</v>
      </c>
      <c r="C2487" t="s">
        <v>16</v>
      </c>
      <c r="D2487">
        <v>2302</v>
      </c>
      <c r="E2487">
        <v>1</v>
      </c>
      <c r="F2487">
        <v>17.2</v>
      </c>
      <c r="G2487" t="s">
        <v>21</v>
      </c>
      <c r="H2487" t="s">
        <v>500</v>
      </c>
      <c r="I2487" t="str">
        <f t="shared" si="42"/>
        <v>2302_1</v>
      </c>
      <c r="J2487" t="s">
        <v>428</v>
      </c>
      <c r="K2487" t="s">
        <v>429</v>
      </c>
      <c r="L2487" t="str">
        <f>_xlfn.XLOOKUP(C2487, Table2[Species],Table2[Genus], "Code Not Found")</f>
        <v>Acer</v>
      </c>
      <c r="M2487" t="str">
        <f>_xlfn.XLOOKUP(C2487, Table2[Species],Table2[Sp. Name], "Code Not Found")</f>
        <v>saccharum</v>
      </c>
      <c r="N2487" t="str">
        <f>_xlfn.XLOOKUP(C2487,Table2[Species],Table2[Family],"Code Not Found")</f>
        <v>Sapindaceae</v>
      </c>
      <c r="O2487" t="str" cm="1">
        <f t="array" ref="O2487">_xlfn.IFS(F2487="","",F2487&lt;=5,"0 to 5",F2487&lt;=10,"5.1 to 10",F2487&lt;=20,"10 to 20", F2487&lt;= 40, "20 to 40", F2487 &lt;= 50, "40 to 50", F2487 &gt; 50, "&gt;50" )</f>
        <v>10 to 20</v>
      </c>
    </row>
    <row r="2488" spans="1:15" ht="15" customHeight="1" x14ac:dyDescent="0.3">
      <c r="A2488" t="s">
        <v>498</v>
      </c>
      <c r="B2488" s="1">
        <v>46212</v>
      </c>
      <c r="C2488" t="s">
        <v>123</v>
      </c>
      <c r="D2488">
        <v>2303</v>
      </c>
      <c r="E2488">
        <v>1</v>
      </c>
      <c r="F2488">
        <v>52.1</v>
      </c>
      <c r="G2488" t="s">
        <v>21</v>
      </c>
      <c r="H2488" t="s">
        <v>500</v>
      </c>
      <c r="I2488" t="str">
        <f t="shared" si="42"/>
        <v>2303_1</v>
      </c>
      <c r="J2488" t="s">
        <v>428</v>
      </c>
      <c r="K2488" t="s">
        <v>429</v>
      </c>
      <c r="L2488" t="str">
        <f>_xlfn.XLOOKUP(C2488, Table2[Species],Table2[Genus], "Code Not Found")</f>
        <v>Quercus</v>
      </c>
      <c r="M2488" t="str">
        <f>_xlfn.XLOOKUP(C2488, Table2[Species],Table2[Sp. Name], "Code Not Found")</f>
        <v>rubra</v>
      </c>
      <c r="N2488" t="str">
        <f>_xlfn.XLOOKUP(C2488,Table2[Species],Table2[Family],"Code Not Found")</f>
        <v>Fagaceae</v>
      </c>
      <c r="O2488" t="str" cm="1">
        <f t="array" ref="O2488">_xlfn.IFS(F2488="","",F2488&lt;=5,"0 to 5",F2488&lt;=10,"5.1 to 10",F2488&lt;=20,"10 to 20", F2488&lt;= 40, "20 to 40", F2488 &lt;= 50, "40 to 50", F2488 &gt; 50, "&gt;50" )</f>
        <v>&gt;50</v>
      </c>
    </row>
    <row r="2489" spans="1:15" ht="15" customHeight="1" x14ac:dyDescent="0.3">
      <c r="A2489" t="s">
        <v>498</v>
      </c>
      <c r="B2489" s="1">
        <v>46212</v>
      </c>
      <c r="C2489" t="s">
        <v>16</v>
      </c>
      <c r="D2489">
        <v>2304</v>
      </c>
      <c r="E2489">
        <v>1</v>
      </c>
      <c r="F2489">
        <v>1.3</v>
      </c>
      <c r="G2489" t="s">
        <v>17</v>
      </c>
      <c r="H2489" t="s">
        <v>528</v>
      </c>
      <c r="I2489" t="str">
        <f t="shared" si="42"/>
        <v>2304_1</v>
      </c>
      <c r="J2489" t="s">
        <v>428</v>
      </c>
      <c r="K2489" t="s">
        <v>429</v>
      </c>
      <c r="L2489" t="str">
        <f>_xlfn.XLOOKUP(C2489, Table2[Species],Table2[Genus], "Code Not Found")</f>
        <v>Acer</v>
      </c>
      <c r="M2489" t="str">
        <f>_xlfn.XLOOKUP(C2489, Table2[Species],Table2[Sp. Name], "Code Not Found")</f>
        <v>saccharum</v>
      </c>
      <c r="N2489" t="str">
        <f>_xlfn.XLOOKUP(C2489,Table2[Species],Table2[Family],"Code Not Found")</f>
        <v>Sapindaceae</v>
      </c>
      <c r="O2489" t="str" cm="1">
        <f t="array" ref="O2489">_xlfn.IFS(F2489="","",F2489&lt;=5,"0 to 5",F2489&lt;=10,"5.1 to 10",F2489&lt;=20,"10 to 20", F2489&lt;= 40, "20 to 40", F2489 &lt;= 50, "40 to 50", F2489 &gt; 50, "&gt;50" )</f>
        <v>0 to 5</v>
      </c>
    </row>
    <row r="2490" spans="1:15" ht="15" customHeight="1" x14ac:dyDescent="0.3">
      <c r="A2490" t="s">
        <v>498</v>
      </c>
      <c r="B2490" s="1">
        <v>46212</v>
      </c>
      <c r="C2490" t="s">
        <v>16</v>
      </c>
      <c r="D2490">
        <v>2305</v>
      </c>
      <c r="E2490">
        <v>1</v>
      </c>
      <c r="F2490">
        <v>1.5</v>
      </c>
      <c r="G2490" t="s">
        <v>21</v>
      </c>
      <c r="I2490" t="str">
        <f t="shared" si="42"/>
        <v>2305_1</v>
      </c>
      <c r="J2490" t="s">
        <v>428</v>
      </c>
      <c r="K2490" t="s">
        <v>429</v>
      </c>
      <c r="L2490" t="str">
        <f>_xlfn.XLOOKUP(C2490, Table2[Species],Table2[Genus], "Code Not Found")</f>
        <v>Acer</v>
      </c>
      <c r="M2490" t="str">
        <f>_xlfn.XLOOKUP(C2490, Table2[Species],Table2[Sp. Name], "Code Not Found")</f>
        <v>saccharum</v>
      </c>
      <c r="N2490" t="str">
        <f>_xlfn.XLOOKUP(C2490,Table2[Species],Table2[Family],"Code Not Found")</f>
        <v>Sapindaceae</v>
      </c>
      <c r="O2490" t="str" cm="1">
        <f t="array" ref="O2490">_xlfn.IFS(F2490="","",F2490&lt;=5,"0 to 5",F2490&lt;=10,"5.1 to 10",F2490&lt;=20,"10 to 20", F2490&lt;= 40, "20 to 40", F2490 &lt;= 50, "40 to 50", F2490 &gt; 50, "&gt;50" )</f>
        <v>0 to 5</v>
      </c>
    </row>
    <row r="2491" spans="1:15" ht="15" customHeight="1" x14ac:dyDescent="0.3">
      <c r="A2491" t="s">
        <v>498</v>
      </c>
      <c r="B2491" s="1">
        <v>46212</v>
      </c>
      <c r="C2491" t="s">
        <v>117</v>
      </c>
      <c r="D2491">
        <v>2306</v>
      </c>
      <c r="E2491">
        <v>1</v>
      </c>
      <c r="F2491">
        <v>1.5</v>
      </c>
      <c r="G2491" t="s">
        <v>359</v>
      </c>
      <c r="H2491" t="s">
        <v>500</v>
      </c>
      <c r="I2491" t="str">
        <f t="shared" si="42"/>
        <v>2306_1</v>
      </c>
      <c r="J2491" t="s">
        <v>428</v>
      </c>
      <c r="K2491" t="s">
        <v>429</v>
      </c>
      <c r="L2491" t="str">
        <f>_xlfn.XLOOKUP(C2491, Table2[Species],Table2[Genus], "Code Not Found")</f>
        <v>Ostrya</v>
      </c>
      <c r="M2491" t="str">
        <f>_xlfn.XLOOKUP(C2491, Table2[Species],Table2[Sp. Name], "Code Not Found")</f>
        <v>viginiana</v>
      </c>
      <c r="N2491" t="str">
        <f>_xlfn.XLOOKUP(C2491,Table2[Species],Table2[Family],"Code Not Found")</f>
        <v>Betulaceae</v>
      </c>
      <c r="O2491" t="str" cm="1">
        <f t="array" ref="O2491">_xlfn.IFS(F2491="","",F2491&lt;=5,"0 to 5",F2491&lt;=10,"5.1 to 10",F2491&lt;=20,"10 to 20", F2491&lt;= 40, "20 to 40", F2491 &lt;= 50, "40 to 50", F2491 &gt; 50, "&gt;50" )</f>
        <v>0 to 5</v>
      </c>
    </row>
    <row r="2492" spans="1:15" ht="15" customHeight="1" x14ac:dyDescent="0.3">
      <c r="A2492" t="s">
        <v>498</v>
      </c>
      <c r="B2492" s="1">
        <v>46212</v>
      </c>
      <c r="C2492" t="s">
        <v>64</v>
      </c>
      <c r="D2492">
        <v>2307</v>
      </c>
      <c r="E2492">
        <v>1</v>
      </c>
      <c r="F2492">
        <v>3.2</v>
      </c>
      <c r="G2492" t="s">
        <v>268</v>
      </c>
      <c r="H2492" t="s">
        <v>500</v>
      </c>
      <c r="I2492" t="str">
        <f t="shared" si="42"/>
        <v>2307_1</v>
      </c>
      <c r="J2492" t="s">
        <v>428</v>
      </c>
      <c r="K2492" t="s">
        <v>429</v>
      </c>
      <c r="L2492" t="str">
        <f>_xlfn.XLOOKUP(C2492, Table2[Species],Table2[Genus], "Code Not Found")</f>
        <v>Fagus</v>
      </c>
      <c r="M2492" t="str">
        <f>_xlfn.XLOOKUP(C2492, Table2[Species],Table2[Sp. Name], "Code Not Found")</f>
        <v>grandifolia</v>
      </c>
      <c r="N2492" t="str">
        <f>_xlfn.XLOOKUP(C2492,Table2[Species],Table2[Family],"Code Not Found")</f>
        <v>Fagaceae</v>
      </c>
      <c r="O2492" t="str" cm="1">
        <f t="array" ref="O2492">_xlfn.IFS(F2492="","",F2492&lt;=5,"0 to 5",F2492&lt;=10,"5.1 to 10",F2492&lt;=20,"10 to 20", F2492&lt;= 40, "20 to 40", F2492 &lt;= 50, "40 to 50", F2492 &gt; 50, "&gt;50" )</f>
        <v>0 to 5</v>
      </c>
    </row>
    <row r="2493" spans="1:15" ht="15" customHeight="1" x14ac:dyDescent="0.3">
      <c r="A2493" t="s">
        <v>498</v>
      </c>
      <c r="B2493" s="1">
        <v>46212</v>
      </c>
      <c r="C2493" t="s">
        <v>64</v>
      </c>
      <c r="D2493">
        <v>2307</v>
      </c>
      <c r="E2493">
        <v>2</v>
      </c>
      <c r="F2493">
        <v>1.5</v>
      </c>
      <c r="G2493" t="s">
        <v>529</v>
      </c>
      <c r="H2493" t="s">
        <v>99</v>
      </c>
      <c r="I2493" t="str">
        <f t="shared" si="42"/>
        <v>2307_2</v>
      </c>
      <c r="J2493" t="s">
        <v>428</v>
      </c>
      <c r="K2493" t="s">
        <v>429</v>
      </c>
      <c r="L2493" t="str">
        <f>_xlfn.XLOOKUP(C2493, Table2[Species],Table2[Genus], "Code Not Found")</f>
        <v>Fagus</v>
      </c>
      <c r="M2493" t="str">
        <f>_xlfn.XLOOKUP(C2493, Table2[Species],Table2[Sp. Name], "Code Not Found")</f>
        <v>grandifolia</v>
      </c>
      <c r="N2493" t="str">
        <f>_xlfn.XLOOKUP(C2493,Table2[Species],Table2[Family],"Code Not Found")</f>
        <v>Fagaceae</v>
      </c>
      <c r="O2493" t="str" cm="1">
        <f t="array" ref="O2493">_xlfn.IFS(F2493="","",F2493&lt;=5,"0 to 5",F2493&lt;=10,"5.1 to 10",F2493&lt;=20,"10 to 20", F2493&lt;= 40, "20 to 40", F2493 &lt;= 50, "40 to 50", F2493 &gt; 50, "&gt;50" )</f>
        <v>0 to 5</v>
      </c>
    </row>
    <row r="2494" spans="1:15" ht="15" customHeight="1" x14ac:dyDescent="0.3">
      <c r="A2494" t="s">
        <v>498</v>
      </c>
      <c r="B2494" s="1">
        <v>46212</v>
      </c>
      <c r="C2494" t="s">
        <v>64</v>
      </c>
      <c r="D2494">
        <v>2308</v>
      </c>
      <c r="E2494">
        <v>1</v>
      </c>
      <c r="F2494">
        <v>6</v>
      </c>
      <c r="G2494" t="s">
        <v>17</v>
      </c>
      <c r="H2494" t="s">
        <v>500</v>
      </c>
      <c r="I2494" t="str">
        <f t="shared" si="42"/>
        <v>2308_1</v>
      </c>
      <c r="J2494" t="s">
        <v>428</v>
      </c>
      <c r="K2494" t="s">
        <v>429</v>
      </c>
      <c r="L2494" t="str">
        <f>_xlfn.XLOOKUP(C2494, Table2[Species],Table2[Genus], "Code Not Found")</f>
        <v>Fagus</v>
      </c>
      <c r="M2494" t="str">
        <f>_xlfn.XLOOKUP(C2494, Table2[Species],Table2[Sp. Name], "Code Not Found")</f>
        <v>grandifolia</v>
      </c>
      <c r="N2494" t="str">
        <f>_xlfn.XLOOKUP(C2494,Table2[Species],Table2[Family],"Code Not Found")</f>
        <v>Fagaceae</v>
      </c>
      <c r="O2494" t="str" cm="1">
        <f t="array" ref="O2494">_xlfn.IFS(F2494="","",F2494&lt;=5,"0 to 5",F2494&lt;=10,"5.1 to 10",F2494&lt;=20,"10 to 20", F2494&lt;= 40, "20 to 40", F2494 &lt;= 50, "40 to 50", F2494 &gt; 50, "&gt;50" )</f>
        <v>5.1 to 10</v>
      </c>
    </row>
    <row r="2495" spans="1:15" ht="15" customHeight="1" x14ac:dyDescent="0.3">
      <c r="A2495" t="s">
        <v>498</v>
      </c>
      <c r="B2495" s="1">
        <v>46212</v>
      </c>
      <c r="C2495" t="s">
        <v>64</v>
      </c>
      <c r="D2495">
        <v>2309</v>
      </c>
      <c r="E2495">
        <v>1</v>
      </c>
      <c r="F2495">
        <v>10.8</v>
      </c>
      <c r="G2495" t="s">
        <v>21</v>
      </c>
      <c r="H2495" t="s">
        <v>500</v>
      </c>
      <c r="I2495" t="str">
        <f t="shared" si="42"/>
        <v>2309_1</v>
      </c>
      <c r="J2495" t="s">
        <v>428</v>
      </c>
      <c r="K2495" t="s">
        <v>429</v>
      </c>
      <c r="L2495" t="str">
        <f>_xlfn.XLOOKUP(C2495, Table2[Species],Table2[Genus], "Code Not Found")</f>
        <v>Fagus</v>
      </c>
      <c r="M2495" t="str">
        <f>_xlfn.XLOOKUP(C2495, Table2[Species],Table2[Sp. Name], "Code Not Found")</f>
        <v>grandifolia</v>
      </c>
      <c r="N2495" t="str">
        <f>_xlfn.XLOOKUP(C2495,Table2[Species],Table2[Family],"Code Not Found")</f>
        <v>Fagaceae</v>
      </c>
      <c r="O2495" t="str" cm="1">
        <f t="array" ref="O2495">_xlfn.IFS(F2495="","",F2495&lt;=5,"0 to 5",F2495&lt;=10,"5.1 to 10",F2495&lt;=20,"10 to 20", F2495&lt;= 40, "20 to 40", F2495 &lt;= 50, "40 to 50", F2495 &gt; 50, "&gt;50" )</f>
        <v>10 to 20</v>
      </c>
    </row>
    <row r="2496" spans="1:15" ht="15" customHeight="1" x14ac:dyDescent="0.3">
      <c r="A2496" t="s">
        <v>498</v>
      </c>
      <c r="B2496" s="1">
        <v>46212</v>
      </c>
      <c r="C2496" t="s">
        <v>64</v>
      </c>
      <c r="D2496">
        <v>2310</v>
      </c>
      <c r="E2496">
        <v>1</v>
      </c>
      <c r="F2496">
        <v>1.8</v>
      </c>
      <c r="G2496" t="s">
        <v>530</v>
      </c>
      <c r="H2496" t="s">
        <v>99</v>
      </c>
      <c r="I2496" t="str">
        <f t="shared" si="42"/>
        <v>2310_1</v>
      </c>
      <c r="J2496" t="s">
        <v>428</v>
      </c>
      <c r="K2496" t="s">
        <v>429</v>
      </c>
      <c r="L2496" t="str">
        <f>_xlfn.XLOOKUP(C2496, Table2[Species],Table2[Genus], "Code Not Found")</f>
        <v>Fagus</v>
      </c>
      <c r="M2496" t="str">
        <f>_xlfn.XLOOKUP(C2496, Table2[Species],Table2[Sp. Name], "Code Not Found")</f>
        <v>grandifolia</v>
      </c>
      <c r="N2496" t="str">
        <f>_xlfn.XLOOKUP(C2496,Table2[Species],Table2[Family],"Code Not Found")</f>
        <v>Fagaceae</v>
      </c>
      <c r="O2496" t="str" cm="1">
        <f t="array" ref="O2496">_xlfn.IFS(F2496="","",F2496&lt;=5,"0 to 5",F2496&lt;=10,"5.1 to 10",F2496&lt;=20,"10 to 20", F2496&lt;= 40, "20 to 40", F2496 &lt;= 50, "40 to 50", F2496 &gt; 50, "&gt;50" )</f>
        <v>0 to 5</v>
      </c>
    </row>
    <row r="2497" spans="1:15" ht="15" customHeight="1" x14ac:dyDescent="0.3">
      <c r="A2497" t="s">
        <v>498</v>
      </c>
      <c r="B2497" s="1">
        <v>46212</v>
      </c>
      <c r="C2497" t="s">
        <v>123</v>
      </c>
      <c r="D2497">
        <v>2311</v>
      </c>
      <c r="E2497">
        <v>1</v>
      </c>
      <c r="F2497">
        <v>47.8</v>
      </c>
      <c r="G2497" t="s">
        <v>17</v>
      </c>
      <c r="H2497" t="s">
        <v>500</v>
      </c>
      <c r="I2497" t="str">
        <f t="shared" si="42"/>
        <v>2311_1</v>
      </c>
      <c r="J2497" t="s">
        <v>428</v>
      </c>
      <c r="K2497" t="s">
        <v>429</v>
      </c>
      <c r="L2497" t="str">
        <f>_xlfn.XLOOKUP(C2497, Table2[Species],Table2[Genus], "Code Not Found")</f>
        <v>Quercus</v>
      </c>
      <c r="M2497" t="str">
        <f>_xlfn.XLOOKUP(C2497, Table2[Species],Table2[Sp. Name], "Code Not Found")</f>
        <v>rubra</v>
      </c>
      <c r="N2497" t="str">
        <f>_xlfn.XLOOKUP(C2497,Table2[Species],Table2[Family],"Code Not Found")</f>
        <v>Fagaceae</v>
      </c>
      <c r="O2497" t="str" cm="1">
        <f t="array" ref="O2497">_xlfn.IFS(F2497="","",F2497&lt;=5,"0 to 5",F2497&lt;=10,"5.1 to 10",F2497&lt;=20,"10 to 20", F2497&lt;= 40, "20 to 40", F2497 &lt;= 50, "40 to 50", F2497 &gt; 50, "&gt;50" )</f>
        <v>40 to 50</v>
      </c>
    </row>
    <row r="2498" spans="1:15" ht="15" customHeight="1" x14ac:dyDescent="0.3">
      <c r="A2498" t="s">
        <v>498</v>
      </c>
      <c r="B2498" s="1">
        <v>46212</v>
      </c>
      <c r="C2498" t="s">
        <v>55</v>
      </c>
      <c r="D2498">
        <v>2312</v>
      </c>
      <c r="E2498">
        <v>1</v>
      </c>
      <c r="F2498">
        <v>29.2</v>
      </c>
      <c r="G2498" t="s">
        <v>21</v>
      </c>
      <c r="H2498" t="s">
        <v>500</v>
      </c>
      <c r="I2498" t="str">
        <f t="shared" si="42"/>
        <v>2312_1</v>
      </c>
      <c r="J2498" t="s">
        <v>428</v>
      </c>
      <c r="K2498" t="s">
        <v>429</v>
      </c>
      <c r="L2498" t="str">
        <f>_xlfn.XLOOKUP(C2498, Table2[Species],Table2[Genus], "Code Not Found")</f>
        <v>Magnolia</v>
      </c>
      <c r="M2498" t="str">
        <f>_xlfn.XLOOKUP(C2498, Table2[Species],Table2[Sp. Name], "Code Not Found")</f>
        <v>acuminata</v>
      </c>
      <c r="N2498" t="str">
        <f>_xlfn.XLOOKUP(C2498,Table2[Species],Table2[Family],"Code Not Found")</f>
        <v>Magnoliaceae</v>
      </c>
      <c r="O2498" t="str" cm="1">
        <f t="array" ref="O2498">_xlfn.IFS(F2498="","",F2498&lt;=5,"0 to 5",F2498&lt;=10,"5.1 to 10",F2498&lt;=20,"10 to 20", F2498&lt;= 40, "20 to 40", F2498 &lt;= 50, "40 to 50", F2498 &gt; 50, "&gt;50" )</f>
        <v>20 to 40</v>
      </c>
    </row>
    <row r="2499" spans="1:15" ht="15" customHeight="1" x14ac:dyDescent="0.3">
      <c r="A2499" t="s">
        <v>498</v>
      </c>
      <c r="B2499" s="1">
        <v>46212</v>
      </c>
      <c r="C2499" t="s">
        <v>430</v>
      </c>
      <c r="D2499">
        <v>2313</v>
      </c>
      <c r="E2499">
        <v>1</v>
      </c>
      <c r="F2499">
        <v>11.6</v>
      </c>
      <c r="G2499" t="s">
        <v>88</v>
      </c>
      <c r="H2499" t="s">
        <v>524</v>
      </c>
      <c r="I2499" t="str">
        <f t="shared" si="42"/>
        <v>2313_1</v>
      </c>
      <c r="J2499" t="s">
        <v>428</v>
      </c>
      <c r="K2499" t="s">
        <v>429</v>
      </c>
      <c r="L2499" t="str">
        <f>_xlfn.XLOOKUP(C2499, Table2[Species],Table2[Genus], "Code Not Found")</f>
        <v>Tsuga</v>
      </c>
      <c r="M2499" t="str">
        <f>_xlfn.XLOOKUP(C2499, Table2[Species],Table2[Sp. Name], "Code Not Found")</f>
        <v>canadensis</v>
      </c>
      <c r="N2499" t="str">
        <f>_xlfn.XLOOKUP(C2499,Table2[Species],Table2[Family],"Code Not Found")</f>
        <v>Pinaceae</v>
      </c>
      <c r="O2499" t="str" cm="1">
        <f t="array" ref="O2499">_xlfn.IFS(F2499="","",F2499&lt;=5,"0 to 5",F2499&lt;=10,"5.1 to 10",F2499&lt;=20,"10 to 20", F2499&lt;= 40, "20 to 40", F2499 &lt;= 50, "40 to 50", F2499 &gt; 50, "&gt;50" )</f>
        <v>10 to 20</v>
      </c>
    </row>
    <row r="2500" spans="1:15" ht="15" customHeight="1" x14ac:dyDescent="0.3">
      <c r="A2500" t="s">
        <v>498</v>
      </c>
      <c r="B2500" s="1">
        <v>46212</v>
      </c>
      <c r="C2500" t="s">
        <v>430</v>
      </c>
      <c r="D2500">
        <v>2314</v>
      </c>
      <c r="E2500">
        <v>1</v>
      </c>
      <c r="F2500">
        <v>18.5</v>
      </c>
      <c r="G2500" t="s">
        <v>17</v>
      </c>
      <c r="I2500" t="str">
        <f t="shared" si="42"/>
        <v>2314_1</v>
      </c>
      <c r="J2500" t="s">
        <v>428</v>
      </c>
      <c r="K2500" t="s">
        <v>429</v>
      </c>
      <c r="L2500" t="str">
        <f>_xlfn.XLOOKUP(C2500, Table2[Species],Table2[Genus], "Code Not Found")</f>
        <v>Tsuga</v>
      </c>
      <c r="M2500" t="str">
        <f>_xlfn.XLOOKUP(C2500, Table2[Species],Table2[Sp. Name], "Code Not Found")</f>
        <v>canadensis</v>
      </c>
      <c r="N2500" t="str">
        <f>_xlfn.XLOOKUP(C2500,Table2[Species],Table2[Family],"Code Not Found")</f>
        <v>Pinaceae</v>
      </c>
      <c r="O2500" t="str" cm="1">
        <f t="array" ref="O2500">_xlfn.IFS(F2500="","",F2500&lt;=5,"0 to 5",F2500&lt;=10,"5.1 to 10",F2500&lt;=20,"10 to 20", F2500&lt;= 40, "20 to 40", F2500 &lt;= 50, "40 to 50", F2500 &gt; 50, "&gt;50" )</f>
        <v>10 to 20</v>
      </c>
    </row>
    <row r="2501" spans="1:15" ht="15" customHeight="1" x14ac:dyDescent="0.3">
      <c r="A2501" t="s">
        <v>498</v>
      </c>
      <c r="B2501" s="1">
        <v>46212</v>
      </c>
      <c r="C2501" t="s">
        <v>64</v>
      </c>
      <c r="D2501">
        <v>2315</v>
      </c>
      <c r="E2501">
        <v>1</v>
      </c>
      <c r="F2501">
        <v>10.199999999999999</v>
      </c>
      <c r="G2501" t="s">
        <v>30</v>
      </c>
      <c r="H2501" t="s">
        <v>99</v>
      </c>
      <c r="I2501" t="str">
        <f t="shared" si="42"/>
        <v>2315_1</v>
      </c>
      <c r="J2501" t="s">
        <v>428</v>
      </c>
      <c r="K2501" t="s">
        <v>429</v>
      </c>
      <c r="L2501" t="str">
        <f>_xlfn.XLOOKUP(C2501, Table2[Species],Table2[Genus], "Code Not Found")</f>
        <v>Fagus</v>
      </c>
      <c r="M2501" t="str">
        <f>_xlfn.XLOOKUP(C2501, Table2[Species],Table2[Sp. Name], "Code Not Found")</f>
        <v>grandifolia</v>
      </c>
      <c r="N2501" t="str">
        <f>_xlfn.XLOOKUP(C2501,Table2[Species],Table2[Family],"Code Not Found")</f>
        <v>Fagaceae</v>
      </c>
      <c r="O2501" t="str" cm="1">
        <f t="array" ref="O2501">_xlfn.IFS(F2501="","",F2501&lt;=5,"0 to 5",F2501&lt;=10,"5.1 to 10",F2501&lt;=20,"10 to 20", F2501&lt;= 40, "20 to 40", F2501 &lt;= 50, "40 to 50", F2501 &gt; 50, "&gt;50" )</f>
        <v>10 to 20</v>
      </c>
    </row>
    <row r="2502" spans="1:15" ht="15" customHeight="1" x14ac:dyDescent="0.3">
      <c r="A2502" t="s">
        <v>498</v>
      </c>
      <c r="B2502" s="1">
        <v>46212</v>
      </c>
      <c r="C2502" t="s">
        <v>59</v>
      </c>
      <c r="D2502">
        <v>2316</v>
      </c>
      <c r="E2502">
        <v>1</v>
      </c>
      <c r="F2502">
        <v>27.2</v>
      </c>
      <c r="G2502" t="s">
        <v>21</v>
      </c>
      <c r="I2502" t="str">
        <f t="shared" si="42"/>
        <v>2316_1</v>
      </c>
      <c r="J2502" t="s">
        <v>428</v>
      </c>
      <c r="K2502" t="s">
        <v>429</v>
      </c>
      <c r="L2502" t="str">
        <f>_xlfn.XLOOKUP(C2502, Table2[Species],Table2[Genus], "Code Not Found")</f>
        <v>Nyssa</v>
      </c>
      <c r="M2502" t="str">
        <f>_xlfn.XLOOKUP(C2502, Table2[Species],Table2[Sp. Name], "Code Not Found")</f>
        <v>sylvatica</v>
      </c>
      <c r="N2502" t="str">
        <f>_xlfn.XLOOKUP(C2502,Table2[Species],Table2[Family],"Code Not Found")</f>
        <v>Nyssaceae</v>
      </c>
      <c r="O2502" t="str" cm="1">
        <f t="array" ref="O2502">_xlfn.IFS(F2502="","",F2502&lt;=5,"0 to 5",F2502&lt;=10,"5.1 to 10",F2502&lt;=20,"10 to 20", F2502&lt;= 40, "20 to 40", F2502 &lt;= 50, "40 to 50", F2502 &gt; 50, "&gt;50" )</f>
        <v>20 to 40</v>
      </c>
    </row>
    <row r="2503" spans="1:15" ht="15" customHeight="1" x14ac:dyDescent="0.3">
      <c r="A2503" t="s">
        <v>498</v>
      </c>
      <c r="B2503" s="1">
        <v>46212</v>
      </c>
      <c r="C2503" t="s">
        <v>235</v>
      </c>
      <c r="D2503">
        <v>2317</v>
      </c>
      <c r="E2503">
        <v>1</v>
      </c>
      <c r="F2503">
        <v>3</v>
      </c>
      <c r="G2503" t="s">
        <v>57</v>
      </c>
      <c r="H2503" t="s">
        <v>467</v>
      </c>
      <c r="I2503" t="str">
        <f t="shared" si="42"/>
        <v>2317_1</v>
      </c>
      <c r="J2503" t="s">
        <v>428</v>
      </c>
      <c r="K2503" t="s">
        <v>429</v>
      </c>
      <c r="L2503" t="str">
        <f>_xlfn.XLOOKUP(C2503, Table2[Species],Table2[Genus], "Code Not Found")</f>
        <v>Carpinus</v>
      </c>
      <c r="M2503" t="str">
        <f>_xlfn.XLOOKUP(C2503, Table2[Species],Table2[Sp. Name], "Code Not Found")</f>
        <v>caroliniana</v>
      </c>
      <c r="N2503" t="str">
        <f>_xlfn.XLOOKUP(C2503,Table2[Species],Table2[Family],"Code Not Found")</f>
        <v>Betulaceae</v>
      </c>
      <c r="O2503" t="str" cm="1">
        <f t="array" ref="O2503">_xlfn.IFS(F2503="","",F2503&lt;=5,"0 to 5",F2503&lt;=10,"5.1 to 10",F2503&lt;=20,"10 to 20", F2503&lt;= 40, "20 to 40", F2503 &lt;= 50, "40 to 50", F2503 &gt; 50, "&gt;50" )</f>
        <v>0 to 5</v>
      </c>
    </row>
    <row r="2504" spans="1:15" ht="15" customHeight="1" x14ac:dyDescent="0.3">
      <c r="A2504" t="s">
        <v>498</v>
      </c>
      <c r="B2504" s="1">
        <v>46212</v>
      </c>
      <c r="C2504" t="s">
        <v>64</v>
      </c>
      <c r="D2504">
        <v>2318</v>
      </c>
      <c r="E2504">
        <v>1</v>
      </c>
      <c r="F2504">
        <v>4.7</v>
      </c>
      <c r="G2504" t="s">
        <v>531</v>
      </c>
      <c r="H2504" t="s">
        <v>99</v>
      </c>
      <c r="I2504" t="str">
        <f t="shared" si="42"/>
        <v>2318_1</v>
      </c>
      <c r="J2504" t="s">
        <v>428</v>
      </c>
      <c r="K2504" t="s">
        <v>429</v>
      </c>
      <c r="L2504" t="str">
        <f>_xlfn.XLOOKUP(C2504, Table2[Species],Table2[Genus], "Code Not Found")</f>
        <v>Fagus</v>
      </c>
      <c r="M2504" t="str">
        <f>_xlfn.XLOOKUP(C2504, Table2[Species],Table2[Sp. Name], "Code Not Found")</f>
        <v>grandifolia</v>
      </c>
      <c r="N2504" t="str">
        <f>_xlfn.XLOOKUP(C2504,Table2[Species],Table2[Family],"Code Not Found")</f>
        <v>Fagaceae</v>
      </c>
      <c r="O2504" t="str" cm="1">
        <f t="array" ref="O2504">_xlfn.IFS(F2504="","",F2504&lt;=5,"0 to 5",F2504&lt;=10,"5.1 to 10",F2504&lt;=20,"10 to 20", F2504&lt;= 40, "20 to 40", F2504 &lt;= 50, "40 to 50", F2504 &gt; 50, "&gt;50" )</f>
        <v>0 to 5</v>
      </c>
    </row>
    <row r="2505" spans="1:15" ht="15" customHeight="1" x14ac:dyDescent="0.3">
      <c r="A2505" t="s">
        <v>532</v>
      </c>
      <c r="B2505" s="1">
        <v>46213</v>
      </c>
      <c r="C2505" t="s">
        <v>64</v>
      </c>
      <c r="D2505">
        <v>2319</v>
      </c>
      <c r="E2505">
        <v>1</v>
      </c>
      <c r="F2505">
        <v>18.5</v>
      </c>
      <c r="G2505" t="s">
        <v>21</v>
      </c>
      <c r="I2505" t="str">
        <f t="shared" si="42"/>
        <v>2319_1</v>
      </c>
      <c r="J2505" t="s">
        <v>533</v>
      </c>
      <c r="K2505" t="s">
        <v>429</v>
      </c>
      <c r="L2505" t="str">
        <f>_xlfn.XLOOKUP(C2505, Table2[Species],Table2[Genus], "Code Not Found")</f>
        <v>Fagus</v>
      </c>
      <c r="M2505" t="str">
        <f>_xlfn.XLOOKUP(C2505, Table2[Species],Table2[Sp. Name], "Code Not Found")</f>
        <v>grandifolia</v>
      </c>
      <c r="N2505" t="str">
        <f>_xlfn.XLOOKUP(C2505,Table2[Species],Table2[Family],"Code Not Found")</f>
        <v>Fagaceae</v>
      </c>
      <c r="O2505" t="str" cm="1">
        <f t="array" ref="O2505">_xlfn.IFS(F2505="","",F2505&lt;=5,"0 to 5",F2505&lt;=10,"5.1 to 10",F2505&lt;=20,"10 to 20", F2505&lt;= 40, "20 to 40", F2505 &lt;= 50, "40 to 50", F2505 &gt; 50, "&gt;50" )</f>
        <v>10 to 20</v>
      </c>
    </row>
    <row r="2506" spans="1:15" ht="15" customHeight="1" x14ac:dyDescent="0.3">
      <c r="A2506" t="s">
        <v>532</v>
      </c>
      <c r="B2506" s="1">
        <v>46213</v>
      </c>
      <c r="C2506" t="s">
        <v>430</v>
      </c>
      <c r="D2506">
        <v>2320</v>
      </c>
      <c r="E2506">
        <v>1</v>
      </c>
      <c r="F2506">
        <v>8.5</v>
      </c>
      <c r="G2506" t="s">
        <v>47</v>
      </c>
      <c r="I2506" t="str">
        <f t="shared" si="42"/>
        <v>2320_1</v>
      </c>
      <c r="J2506" t="s">
        <v>533</v>
      </c>
      <c r="K2506" t="s">
        <v>429</v>
      </c>
      <c r="L2506" t="str">
        <f>_xlfn.XLOOKUP(C2506, Table2[Species],Table2[Genus], "Code Not Found")</f>
        <v>Tsuga</v>
      </c>
      <c r="M2506" t="str">
        <f>_xlfn.XLOOKUP(C2506, Table2[Species],Table2[Sp. Name], "Code Not Found")</f>
        <v>canadensis</v>
      </c>
      <c r="N2506" t="str">
        <f>_xlfn.XLOOKUP(C2506,Table2[Species],Table2[Family],"Code Not Found")</f>
        <v>Pinaceae</v>
      </c>
      <c r="O2506" t="str" cm="1">
        <f t="array" ref="O2506">_xlfn.IFS(F2506="","",F2506&lt;=5,"0 to 5",F2506&lt;=10,"5.1 to 10",F2506&lt;=20,"10 to 20", F2506&lt;= 40, "20 to 40", F2506 &lt;= 50, "40 to 50", F2506 &gt; 50, "&gt;50" )</f>
        <v>5.1 to 10</v>
      </c>
    </row>
    <row r="2507" spans="1:15" ht="15" customHeight="1" x14ac:dyDescent="0.3">
      <c r="A2507" t="s">
        <v>532</v>
      </c>
      <c r="B2507" s="1">
        <v>46213</v>
      </c>
      <c r="C2507" t="s">
        <v>430</v>
      </c>
      <c r="D2507">
        <v>2321</v>
      </c>
      <c r="E2507">
        <v>1</v>
      </c>
      <c r="F2507">
        <v>21.8</v>
      </c>
      <c r="G2507" t="s">
        <v>21</v>
      </c>
      <c r="I2507" t="str">
        <f t="shared" si="42"/>
        <v>2321_1</v>
      </c>
      <c r="J2507" t="s">
        <v>533</v>
      </c>
      <c r="K2507" t="s">
        <v>429</v>
      </c>
      <c r="L2507" t="str">
        <f>_xlfn.XLOOKUP(C2507, Table2[Species],Table2[Genus], "Code Not Found")</f>
        <v>Tsuga</v>
      </c>
      <c r="M2507" t="str">
        <f>_xlfn.XLOOKUP(C2507, Table2[Species],Table2[Sp. Name], "Code Not Found")</f>
        <v>canadensis</v>
      </c>
      <c r="N2507" t="str">
        <f>_xlfn.XLOOKUP(C2507,Table2[Species],Table2[Family],"Code Not Found")</f>
        <v>Pinaceae</v>
      </c>
      <c r="O2507" t="str" cm="1">
        <f t="array" ref="O2507">_xlfn.IFS(F2507="","",F2507&lt;=5,"0 to 5",F2507&lt;=10,"5.1 to 10",F2507&lt;=20,"10 to 20", F2507&lt;= 40, "20 to 40", F2507 &lt;= 50, "40 to 50", F2507 &gt; 50, "&gt;50" )</f>
        <v>20 to 40</v>
      </c>
    </row>
    <row r="2508" spans="1:15" ht="15" customHeight="1" x14ac:dyDescent="0.3">
      <c r="A2508" t="s">
        <v>532</v>
      </c>
      <c r="B2508" s="1">
        <v>46213</v>
      </c>
      <c r="C2508" t="s">
        <v>64</v>
      </c>
      <c r="D2508">
        <v>2322</v>
      </c>
      <c r="E2508">
        <v>1</v>
      </c>
      <c r="F2508">
        <v>4</v>
      </c>
      <c r="G2508" t="s">
        <v>21</v>
      </c>
      <c r="I2508" t="str">
        <f t="shared" si="42"/>
        <v>2322_1</v>
      </c>
      <c r="J2508" t="s">
        <v>533</v>
      </c>
      <c r="K2508" t="s">
        <v>429</v>
      </c>
      <c r="L2508" t="str">
        <f>_xlfn.XLOOKUP(C2508, Table2[Species],Table2[Genus], "Code Not Found")</f>
        <v>Fagus</v>
      </c>
      <c r="M2508" t="str">
        <f>_xlfn.XLOOKUP(C2508, Table2[Species],Table2[Sp. Name], "Code Not Found")</f>
        <v>grandifolia</v>
      </c>
      <c r="N2508" t="str">
        <f>_xlfn.XLOOKUP(C2508,Table2[Species],Table2[Family],"Code Not Found")</f>
        <v>Fagaceae</v>
      </c>
      <c r="O2508" t="str" cm="1">
        <f t="array" ref="O2508">_xlfn.IFS(F2508="","",F2508&lt;=5,"0 to 5",F2508&lt;=10,"5.1 to 10",F2508&lt;=20,"10 to 20", F2508&lt;= 40, "20 to 40", F2508 &lt;= 50, "40 to 50", F2508 &gt; 50, "&gt;50" )</f>
        <v>0 to 5</v>
      </c>
    </row>
    <row r="2509" spans="1:15" ht="15" customHeight="1" x14ac:dyDescent="0.3">
      <c r="A2509" t="s">
        <v>532</v>
      </c>
      <c r="B2509" s="1">
        <v>46213</v>
      </c>
      <c r="C2509" t="s">
        <v>64</v>
      </c>
      <c r="D2509">
        <v>2323</v>
      </c>
      <c r="E2509">
        <v>1</v>
      </c>
      <c r="F2509">
        <v>2.2999999999999998</v>
      </c>
      <c r="G2509" t="s">
        <v>17</v>
      </c>
      <c r="I2509" t="str">
        <f t="shared" si="42"/>
        <v>2323_1</v>
      </c>
      <c r="J2509" t="s">
        <v>533</v>
      </c>
      <c r="K2509" t="s">
        <v>429</v>
      </c>
      <c r="L2509" t="str">
        <f>_xlfn.XLOOKUP(C2509, Table2[Species],Table2[Genus], "Code Not Found")</f>
        <v>Fagus</v>
      </c>
      <c r="M2509" t="str">
        <f>_xlfn.XLOOKUP(C2509, Table2[Species],Table2[Sp. Name], "Code Not Found")</f>
        <v>grandifolia</v>
      </c>
      <c r="N2509" t="str">
        <f>_xlfn.XLOOKUP(C2509,Table2[Species],Table2[Family],"Code Not Found")</f>
        <v>Fagaceae</v>
      </c>
      <c r="O2509" t="str" cm="1">
        <f t="array" ref="O2509">_xlfn.IFS(F2509="","",F2509&lt;=5,"0 to 5",F2509&lt;=10,"5.1 to 10",F2509&lt;=20,"10 to 20", F2509&lt;= 40, "20 to 40", F2509 &lt;= 50, "40 to 50", F2509 &gt; 50, "&gt;50" )</f>
        <v>0 to 5</v>
      </c>
    </row>
    <row r="2510" spans="1:15" ht="15" customHeight="1" x14ac:dyDescent="0.3">
      <c r="A2510" t="s">
        <v>532</v>
      </c>
      <c r="B2510" s="1">
        <v>46213</v>
      </c>
      <c r="C2510" t="s">
        <v>430</v>
      </c>
      <c r="D2510">
        <v>2324</v>
      </c>
      <c r="E2510">
        <v>1</v>
      </c>
      <c r="F2510">
        <v>8.3000000000000007</v>
      </c>
      <c r="G2510" t="s">
        <v>17</v>
      </c>
      <c r="I2510" t="str">
        <f t="shared" si="42"/>
        <v>2324_1</v>
      </c>
      <c r="J2510" t="s">
        <v>533</v>
      </c>
      <c r="K2510" t="s">
        <v>429</v>
      </c>
      <c r="L2510" t="str">
        <f>_xlfn.XLOOKUP(C2510, Table2[Species],Table2[Genus], "Code Not Found")</f>
        <v>Tsuga</v>
      </c>
      <c r="M2510" t="str">
        <f>_xlfn.XLOOKUP(C2510, Table2[Species],Table2[Sp. Name], "Code Not Found")</f>
        <v>canadensis</v>
      </c>
      <c r="N2510" t="str">
        <f>_xlfn.XLOOKUP(C2510,Table2[Species],Table2[Family],"Code Not Found")</f>
        <v>Pinaceae</v>
      </c>
      <c r="O2510" t="str" cm="1">
        <f t="array" ref="O2510">_xlfn.IFS(F2510="","",F2510&lt;=5,"0 to 5",F2510&lt;=10,"5.1 to 10",F2510&lt;=20,"10 to 20", F2510&lt;= 40, "20 to 40", F2510 &lt;= 50, "40 to 50", F2510 &gt; 50, "&gt;50" )</f>
        <v>5.1 to 10</v>
      </c>
    </row>
    <row r="2511" spans="1:15" ht="15" customHeight="1" x14ac:dyDescent="0.3">
      <c r="A2511" t="s">
        <v>532</v>
      </c>
      <c r="B2511" s="1">
        <v>46213</v>
      </c>
      <c r="C2511" t="s">
        <v>64</v>
      </c>
      <c r="D2511">
        <v>2325</v>
      </c>
      <c r="E2511">
        <v>1</v>
      </c>
      <c r="F2511">
        <v>56.1</v>
      </c>
      <c r="G2511" t="s">
        <v>32</v>
      </c>
      <c r="I2511" t="str">
        <f t="shared" si="42"/>
        <v>2325_1</v>
      </c>
      <c r="J2511" t="s">
        <v>533</v>
      </c>
      <c r="K2511" t="s">
        <v>429</v>
      </c>
      <c r="L2511" t="str">
        <f>_xlfn.XLOOKUP(C2511, Table2[Species],Table2[Genus], "Code Not Found")</f>
        <v>Fagus</v>
      </c>
      <c r="M2511" t="str">
        <f>_xlfn.XLOOKUP(C2511, Table2[Species],Table2[Sp. Name], "Code Not Found")</f>
        <v>grandifolia</v>
      </c>
      <c r="N2511" t="str">
        <f>_xlfn.XLOOKUP(C2511,Table2[Species],Table2[Family],"Code Not Found")</f>
        <v>Fagaceae</v>
      </c>
      <c r="O2511" t="str" cm="1">
        <f t="array" ref="O2511">_xlfn.IFS(F2511="","",F2511&lt;=5,"0 to 5",F2511&lt;=10,"5.1 to 10",F2511&lt;=20,"10 to 20", F2511&lt;= 40, "20 to 40", F2511 &lt;= 50, "40 to 50", F2511 &gt; 50, "&gt;50" )</f>
        <v>&gt;50</v>
      </c>
    </row>
    <row r="2512" spans="1:15" ht="15" customHeight="1" x14ac:dyDescent="0.3">
      <c r="A2512" t="s">
        <v>532</v>
      </c>
      <c r="B2512" s="1">
        <v>46213</v>
      </c>
      <c r="C2512" t="s">
        <v>64</v>
      </c>
      <c r="D2512">
        <v>2325</v>
      </c>
      <c r="E2512">
        <v>2</v>
      </c>
      <c r="F2512">
        <v>4.2</v>
      </c>
      <c r="G2512" t="s">
        <v>32</v>
      </c>
      <c r="H2512" t="s">
        <v>464</v>
      </c>
      <c r="I2512" t="str">
        <f t="shared" si="42"/>
        <v>2325_2</v>
      </c>
      <c r="J2512" t="s">
        <v>533</v>
      </c>
      <c r="K2512" t="s">
        <v>429</v>
      </c>
      <c r="L2512" t="str">
        <f>_xlfn.XLOOKUP(C2512, Table2[Species],Table2[Genus], "Code Not Found")</f>
        <v>Fagus</v>
      </c>
      <c r="M2512" t="str">
        <f>_xlfn.XLOOKUP(C2512, Table2[Species],Table2[Sp. Name], "Code Not Found")</f>
        <v>grandifolia</v>
      </c>
      <c r="N2512" t="str">
        <f>_xlfn.XLOOKUP(C2512,Table2[Species],Table2[Family],"Code Not Found")</f>
        <v>Fagaceae</v>
      </c>
      <c r="O2512" t="str" cm="1">
        <f t="array" ref="O2512">_xlfn.IFS(F2512="","",F2512&lt;=5,"0 to 5",F2512&lt;=10,"5.1 to 10",F2512&lt;=20,"10 to 20", F2512&lt;= 40, "20 to 40", F2512 &lt;= 50, "40 to 50", F2512 &gt; 50, "&gt;50" )</f>
        <v>0 to 5</v>
      </c>
    </row>
    <row r="2513" spans="1:15" ht="15" customHeight="1" x14ac:dyDescent="0.3">
      <c r="A2513" t="s">
        <v>532</v>
      </c>
      <c r="B2513" s="1">
        <v>46213</v>
      </c>
      <c r="C2513" t="s">
        <v>64</v>
      </c>
      <c r="D2513">
        <v>2325</v>
      </c>
      <c r="E2513">
        <v>3</v>
      </c>
      <c r="F2513">
        <v>3.9</v>
      </c>
      <c r="G2513" t="s">
        <v>32</v>
      </c>
      <c r="H2513" t="s">
        <v>464</v>
      </c>
      <c r="I2513" t="str">
        <f t="shared" si="42"/>
        <v>2325_3</v>
      </c>
      <c r="J2513" t="s">
        <v>533</v>
      </c>
      <c r="K2513" t="s">
        <v>429</v>
      </c>
      <c r="L2513" t="str">
        <f>_xlfn.XLOOKUP(C2513, Table2[Species],Table2[Genus], "Code Not Found")</f>
        <v>Fagus</v>
      </c>
      <c r="M2513" t="str">
        <f>_xlfn.XLOOKUP(C2513, Table2[Species],Table2[Sp. Name], "Code Not Found")</f>
        <v>grandifolia</v>
      </c>
      <c r="N2513" t="str">
        <f>_xlfn.XLOOKUP(C2513,Table2[Species],Table2[Family],"Code Not Found")</f>
        <v>Fagaceae</v>
      </c>
      <c r="O2513" t="str" cm="1">
        <f t="array" ref="O2513">_xlfn.IFS(F2513="","",F2513&lt;=5,"0 to 5",F2513&lt;=10,"5.1 to 10",F2513&lt;=20,"10 to 20", F2513&lt;= 40, "20 to 40", F2513 &lt;= 50, "40 to 50", F2513 &gt; 50, "&gt;50" )</f>
        <v>0 to 5</v>
      </c>
    </row>
    <row r="2514" spans="1:15" ht="15" customHeight="1" x14ac:dyDescent="0.3">
      <c r="A2514" t="s">
        <v>532</v>
      </c>
      <c r="B2514" s="1">
        <v>46213</v>
      </c>
      <c r="C2514" t="s">
        <v>64</v>
      </c>
      <c r="D2514">
        <v>2325</v>
      </c>
      <c r="E2514">
        <v>4</v>
      </c>
      <c r="F2514">
        <v>3.5</v>
      </c>
      <c r="G2514" t="s">
        <v>463</v>
      </c>
      <c r="H2514" t="s">
        <v>464</v>
      </c>
      <c r="I2514" t="str">
        <f t="shared" si="42"/>
        <v>2325_4</v>
      </c>
      <c r="J2514" t="s">
        <v>533</v>
      </c>
      <c r="K2514" t="s">
        <v>429</v>
      </c>
      <c r="L2514" t="str">
        <f>_xlfn.XLOOKUP(C2514, Table2[Species],Table2[Genus], "Code Not Found")</f>
        <v>Fagus</v>
      </c>
      <c r="M2514" t="str">
        <f>_xlfn.XLOOKUP(C2514, Table2[Species],Table2[Sp. Name], "Code Not Found")</f>
        <v>grandifolia</v>
      </c>
      <c r="N2514" t="str">
        <f>_xlfn.XLOOKUP(C2514,Table2[Species],Table2[Family],"Code Not Found")</f>
        <v>Fagaceae</v>
      </c>
      <c r="O2514" t="str" cm="1">
        <f t="array" ref="O2514">_xlfn.IFS(F2514="","",F2514&lt;=5,"0 to 5",F2514&lt;=10,"5.1 to 10",F2514&lt;=20,"10 to 20", F2514&lt;= 40, "20 to 40", F2514 &lt;= 50, "40 to 50", F2514 &gt; 50, "&gt;50" )</f>
        <v>0 to 5</v>
      </c>
    </row>
    <row r="2515" spans="1:15" ht="15" customHeight="1" x14ac:dyDescent="0.3">
      <c r="A2515" t="s">
        <v>532</v>
      </c>
      <c r="B2515" s="1">
        <v>46213</v>
      </c>
      <c r="C2515" t="s">
        <v>64</v>
      </c>
      <c r="D2515">
        <v>2325</v>
      </c>
      <c r="E2515">
        <v>5</v>
      </c>
      <c r="F2515">
        <v>2</v>
      </c>
      <c r="G2515" t="s">
        <v>32</v>
      </c>
      <c r="H2515" t="s">
        <v>464</v>
      </c>
      <c r="I2515" t="str">
        <f t="shared" si="42"/>
        <v>2325_5</v>
      </c>
      <c r="J2515" t="s">
        <v>533</v>
      </c>
      <c r="K2515" t="s">
        <v>429</v>
      </c>
      <c r="L2515" t="str">
        <f>_xlfn.XLOOKUP(C2515, Table2[Species],Table2[Genus], "Code Not Found")</f>
        <v>Fagus</v>
      </c>
      <c r="M2515" t="str">
        <f>_xlfn.XLOOKUP(C2515, Table2[Species],Table2[Sp. Name], "Code Not Found")</f>
        <v>grandifolia</v>
      </c>
      <c r="N2515" t="str">
        <f>_xlfn.XLOOKUP(C2515,Table2[Species],Table2[Family],"Code Not Found")</f>
        <v>Fagaceae</v>
      </c>
      <c r="O2515" t="str" cm="1">
        <f t="array" ref="O2515">_xlfn.IFS(F2515="","",F2515&lt;=5,"0 to 5",F2515&lt;=10,"5.1 to 10",F2515&lt;=20,"10 to 20", F2515&lt;= 40, "20 to 40", F2515 &lt;= 50, "40 to 50", F2515 &gt; 50, "&gt;50" )</f>
        <v>0 to 5</v>
      </c>
    </row>
    <row r="2516" spans="1:15" ht="15" customHeight="1" x14ac:dyDescent="0.3">
      <c r="A2516" t="s">
        <v>532</v>
      </c>
      <c r="B2516" s="1">
        <v>46213</v>
      </c>
      <c r="C2516" t="s">
        <v>64</v>
      </c>
      <c r="D2516">
        <v>2325</v>
      </c>
      <c r="E2516">
        <v>6</v>
      </c>
      <c r="F2516">
        <v>1.6</v>
      </c>
      <c r="G2516" t="s">
        <v>32</v>
      </c>
      <c r="H2516" t="s">
        <v>464</v>
      </c>
      <c r="I2516" t="str">
        <f t="shared" si="42"/>
        <v>2325_6</v>
      </c>
      <c r="J2516" t="s">
        <v>533</v>
      </c>
      <c r="K2516" t="s">
        <v>429</v>
      </c>
      <c r="L2516" t="str">
        <f>_xlfn.XLOOKUP(C2516, Table2[Species],Table2[Genus], "Code Not Found")</f>
        <v>Fagus</v>
      </c>
      <c r="M2516" t="str">
        <f>_xlfn.XLOOKUP(C2516, Table2[Species],Table2[Sp. Name], "Code Not Found")</f>
        <v>grandifolia</v>
      </c>
      <c r="N2516" t="str">
        <f>_xlfn.XLOOKUP(C2516,Table2[Species],Table2[Family],"Code Not Found")</f>
        <v>Fagaceae</v>
      </c>
      <c r="O2516" t="str" cm="1">
        <f t="array" ref="O2516">_xlfn.IFS(F2516="","",F2516&lt;=5,"0 to 5",F2516&lt;=10,"5.1 to 10",F2516&lt;=20,"10 to 20", F2516&lt;= 40, "20 to 40", F2516 &lt;= 50, "40 to 50", F2516 &gt; 50, "&gt;50" )</f>
        <v>0 to 5</v>
      </c>
    </row>
    <row r="2517" spans="1:15" ht="15" customHeight="1" x14ac:dyDescent="0.3">
      <c r="A2517" t="s">
        <v>532</v>
      </c>
      <c r="B2517" s="1">
        <v>46213</v>
      </c>
      <c r="C2517" t="s">
        <v>64</v>
      </c>
      <c r="D2517">
        <v>2326</v>
      </c>
      <c r="E2517">
        <v>1</v>
      </c>
      <c r="F2517">
        <v>2.6</v>
      </c>
      <c r="G2517" t="s">
        <v>21</v>
      </c>
      <c r="I2517" t="str">
        <f t="shared" si="42"/>
        <v>2326_1</v>
      </c>
      <c r="J2517" t="s">
        <v>533</v>
      </c>
      <c r="K2517" t="s">
        <v>429</v>
      </c>
      <c r="L2517" t="str">
        <f>_xlfn.XLOOKUP(C2517, Table2[Species],Table2[Genus], "Code Not Found")</f>
        <v>Fagus</v>
      </c>
      <c r="M2517" t="str">
        <f>_xlfn.XLOOKUP(C2517, Table2[Species],Table2[Sp. Name], "Code Not Found")</f>
        <v>grandifolia</v>
      </c>
      <c r="N2517" t="str">
        <f>_xlfn.XLOOKUP(C2517,Table2[Species],Table2[Family],"Code Not Found")</f>
        <v>Fagaceae</v>
      </c>
      <c r="O2517" t="str" cm="1">
        <f t="array" ref="O2517">_xlfn.IFS(F2517="","",F2517&lt;=5,"0 to 5",F2517&lt;=10,"5.1 to 10",F2517&lt;=20,"10 to 20", F2517&lt;= 40, "20 to 40", F2517 &lt;= 50, "40 to 50", F2517 &gt; 50, "&gt;50" )</f>
        <v>0 to 5</v>
      </c>
    </row>
    <row r="2518" spans="1:15" ht="15" customHeight="1" x14ac:dyDescent="0.3">
      <c r="A2518" t="s">
        <v>532</v>
      </c>
      <c r="B2518" s="1">
        <v>46213</v>
      </c>
      <c r="C2518" t="s">
        <v>430</v>
      </c>
      <c r="D2518">
        <v>2327</v>
      </c>
      <c r="E2518">
        <v>1</v>
      </c>
      <c r="F2518">
        <v>18.600000000000001</v>
      </c>
      <c r="G2518" t="s">
        <v>21</v>
      </c>
      <c r="I2518" t="str">
        <f t="shared" si="42"/>
        <v>2327_1</v>
      </c>
      <c r="J2518" t="s">
        <v>533</v>
      </c>
      <c r="K2518" t="s">
        <v>429</v>
      </c>
      <c r="L2518" t="str">
        <f>_xlfn.XLOOKUP(C2518, Table2[Species],Table2[Genus], "Code Not Found")</f>
        <v>Tsuga</v>
      </c>
      <c r="M2518" t="str">
        <f>_xlfn.XLOOKUP(C2518, Table2[Species],Table2[Sp. Name], "Code Not Found")</f>
        <v>canadensis</v>
      </c>
      <c r="N2518" t="str">
        <f>_xlfn.XLOOKUP(C2518,Table2[Species],Table2[Family],"Code Not Found")</f>
        <v>Pinaceae</v>
      </c>
      <c r="O2518" t="str" cm="1">
        <f t="array" ref="O2518">_xlfn.IFS(F2518="","",F2518&lt;=5,"0 to 5",F2518&lt;=10,"5.1 to 10",F2518&lt;=20,"10 to 20", F2518&lt;= 40, "20 to 40", F2518 &lt;= 50, "40 to 50", F2518 &gt; 50, "&gt;50" )</f>
        <v>10 to 20</v>
      </c>
    </row>
    <row r="2519" spans="1:15" ht="15" customHeight="1" x14ac:dyDescent="0.3">
      <c r="A2519" t="s">
        <v>532</v>
      </c>
      <c r="B2519" s="1">
        <v>46213</v>
      </c>
      <c r="C2519" t="s">
        <v>64</v>
      </c>
      <c r="D2519">
        <v>2328</v>
      </c>
      <c r="E2519">
        <v>1</v>
      </c>
      <c r="F2519">
        <v>19.899999999999999</v>
      </c>
      <c r="G2519" t="s">
        <v>21</v>
      </c>
      <c r="I2519" t="str">
        <f t="shared" si="42"/>
        <v>2328_1</v>
      </c>
      <c r="J2519" t="s">
        <v>533</v>
      </c>
      <c r="K2519" t="s">
        <v>429</v>
      </c>
      <c r="L2519" t="str">
        <f>_xlfn.XLOOKUP(C2519, Table2[Species],Table2[Genus], "Code Not Found")</f>
        <v>Fagus</v>
      </c>
      <c r="M2519" t="str">
        <f>_xlfn.XLOOKUP(C2519, Table2[Species],Table2[Sp. Name], "Code Not Found")</f>
        <v>grandifolia</v>
      </c>
      <c r="N2519" t="str">
        <f>_xlfn.XLOOKUP(C2519,Table2[Species],Table2[Family],"Code Not Found")</f>
        <v>Fagaceae</v>
      </c>
      <c r="O2519" t="str" cm="1">
        <f t="array" ref="O2519">_xlfn.IFS(F2519="","",F2519&lt;=5,"0 to 5",F2519&lt;=10,"5.1 to 10",F2519&lt;=20,"10 to 20", F2519&lt;= 40, "20 to 40", F2519 &lt;= 50, "40 to 50", F2519 &gt; 50, "&gt;50" )</f>
        <v>10 to 20</v>
      </c>
    </row>
    <row r="2520" spans="1:15" ht="15" customHeight="1" x14ac:dyDescent="0.3">
      <c r="A2520" t="s">
        <v>532</v>
      </c>
      <c r="B2520" s="1">
        <v>46213</v>
      </c>
      <c r="C2520" t="s">
        <v>64</v>
      </c>
      <c r="D2520">
        <v>2329</v>
      </c>
      <c r="E2520">
        <v>1</v>
      </c>
      <c r="F2520">
        <v>1.3</v>
      </c>
      <c r="G2520" t="s">
        <v>17</v>
      </c>
      <c r="H2520" t="s">
        <v>534</v>
      </c>
      <c r="I2520" t="str">
        <f t="shared" si="42"/>
        <v>2329_1</v>
      </c>
      <c r="J2520" t="s">
        <v>533</v>
      </c>
      <c r="K2520" t="s">
        <v>429</v>
      </c>
      <c r="L2520" t="str">
        <f>_xlfn.XLOOKUP(C2520, Table2[Species],Table2[Genus], "Code Not Found")</f>
        <v>Fagus</v>
      </c>
      <c r="M2520" t="str">
        <f>_xlfn.XLOOKUP(C2520, Table2[Species],Table2[Sp. Name], "Code Not Found")</f>
        <v>grandifolia</v>
      </c>
      <c r="N2520" t="str">
        <f>_xlfn.XLOOKUP(C2520,Table2[Species],Table2[Family],"Code Not Found")</f>
        <v>Fagaceae</v>
      </c>
      <c r="O2520" t="str" cm="1">
        <f t="array" ref="O2520">_xlfn.IFS(F2520="","",F2520&lt;=5,"0 to 5",F2520&lt;=10,"5.1 to 10",F2520&lt;=20,"10 to 20", F2520&lt;= 40, "20 to 40", F2520 &lt;= 50, "40 to 50", F2520 &gt; 50, "&gt;50" )</f>
        <v>0 to 5</v>
      </c>
    </row>
    <row r="2521" spans="1:15" ht="15" customHeight="1" x14ac:dyDescent="0.3">
      <c r="A2521" t="s">
        <v>532</v>
      </c>
      <c r="B2521" s="1">
        <v>46213</v>
      </c>
      <c r="C2521" t="s">
        <v>430</v>
      </c>
      <c r="D2521">
        <v>2330</v>
      </c>
      <c r="E2521">
        <v>1</v>
      </c>
      <c r="F2521">
        <v>14.4</v>
      </c>
      <c r="G2521" t="s">
        <v>17</v>
      </c>
      <c r="I2521" t="str">
        <f t="shared" si="42"/>
        <v>2330_1</v>
      </c>
      <c r="J2521" t="s">
        <v>533</v>
      </c>
      <c r="K2521" t="s">
        <v>429</v>
      </c>
      <c r="L2521" t="str">
        <f>_xlfn.XLOOKUP(C2521, Table2[Species],Table2[Genus], "Code Not Found")</f>
        <v>Tsuga</v>
      </c>
      <c r="M2521" t="str">
        <f>_xlfn.XLOOKUP(C2521, Table2[Species],Table2[Sp. Name], "Code Not Found")</f>
        <v>canadensis</v>
      </c>
      <c r="N2521" t="str">
        <f>_xlfn.XLOOKUP(C2521,Table2[Species],Table2[Family],"Code Not Found")</f>
        <v>Pinaceae</v>
      </c>
      <c r="O2521" t="str" cm="1">
        <f t="array" ref="O2521">_xlfn.IFS(F2521="","",F2521&lt;=5,"0 to 5",F2521&lt;=10,"5.1 to 10",F2521&lt;=20,"10 to 20", F2521&lt;= 40, "20 to 40", F2521 &lt;= 50, "40 to 50", F2521 &gt; 50, "&gt;50" )</f>
        <v>10 to 20</v>
      </c>
    </row>
    <row r="2522" spans="1:15" ht="15" customHeight="1" x14ac:dyDescent="0.3">
      <c r="A2522" t="s">
        <v>532</v>
      </c>
      <c r="B2522" s="1">
        <v>46213</v>
      </c>
      <c r="C2522" t="s">
        <v>430</v>
      </c>
      <c r="D2522">
        <v>2331</v>
      </c>
      <c r="E2522">
        <v>1</v>
      </c>
      <c r="F2522">
        <v>10.199999999999999</v>
      </c>
      <c r="G2522" t="s">
        <v>47</v>
      </c>
      <c r="H2522" t="s">
        <v>347</v>
      </c>
      <c r="I2522" t="str">
        <f t="shared" si="42"/>
        <v>2331_1</v>
      </c>
      <c r="J2522" t="s">
        <v>533</v>
      </c>
      <c r="K2522" t="s">
        <v>429</v>
      </c>
      <c r="L2522" t="str">
        <f>_xlfn.XLOOKUP(C2522, Table2[Species],Table2[Genus], "Code Not Found")</f>
        <v>Tsuga</v>
      </c>
      <c r="M2522" t="str">
        <f>_xlfn.XLOOKUP(C2522, Table2[Species],Table2[Sp. Name], "Code Not Found")</f>
        <v>canadensis</v>
      </c>
      <c r="N2522" t="str">
        <f>_xlfn.XLOOKUP(C2522,Table2[Species],Table2[Family],"Code Not Found")</f>
        <v>Pinaceae</v>
      </c>
      <c r="O2522" t="str" cm="1">
        <f t="array" ref="O2522">_xlfn.IFS(F2522="","",F2522&lt;=5,"0 to 5",F2522&lt;=10,"5.1 to 10",F2522&lt;=20,"10 to 20", F2522&lt;= 40, "20 to 40", F2522 &lt;= 50, "40 to 50", F2522 &gt; 50, "&gt;50" )</f>
        <v>10 to 20</v>
      </c>
    </row>
    <row r="2523" spans="1:15" ht="15" customHeight="1" x14ac:dyDescent="0.3">
      <c r="A2523" t="s">
        <v>532</v>
      </c>
      <c r="B2523" s="1">
        <v>46213</v>
      </c>
      <c r="C2523" t="s">
        <v>430</v>
      </c>
      <c r="D2523">
        <v>2332</v>
      </c>
      <c r="E2523">
        <v>1</v>
      </c>
      <c r="F2523">
        <v>14.2</v>
      </c>
      <c r="G2523" t="s">
        <v>47</v>
      </c>
      <c r="H2523" t="s">
        <v>347</v>
      </c>
      <c r="I2523" t="str">
        <f t="shared" si="42"/>
        <v>2332_1</v>
      </c>
      <c r="J2523" t="s">
        <v>533</v>
      </c>
      <c r="K2523" t="s">
        <v>429</v>
      </c>
      <c r="L2523" t="str">
        <f>_xlfn.XLOOKUP(C2523, Table2[Species],Table2[Genus], "Code Not Found")</f>
        <v>Tsuga</v>
      </c>
      <c r="M2523" t="str">
        <f>_xlfn.XLOOKUP(C2523, Table2[Species],Table2[Sp. Name], "Code Not Found")</f>
        <v>canadensis</v>
      </c>
      <c r="N2523" t="str">
        <f>_xlfn.XLOOKUP(C2523,Table2[Species],Table2[Family],"Code Not Found")</f>
        <v>Pinaceae</v>
      </c>
      <c r="O2523" t="str" cm="1">
        <f t="array" ref="O2523">_xlfn.IFS(F2523="","",F2523&lt;=5,"0 to 5",F2523&lt;=10,"5.1 to 10",F2523&lt;=20,"10 to 20", F2523&lt;= 40, "20 to 40", F2523 &lt;= 50, "40 to 50", F2523 &gt; 50, "&gt;50" )</f>
        <v>10 to 20</v>
      </c>
    </row>
    <row r="2524" spans="1:15" ht="15" customHeight="1" x14ac:dyDescent="0.3">
      <c r="A2524" t="s">
        <v>532</v>
      </c>
      <c r="B2524" s="1">
        <v>46213</v>
      </c>
      <c r="C2524" t="s">
        <v>430</v>
      </c>
      <c r="D2524">
        <v>2333</v>
      </c>
      <c r="E2524">
        <v>1</v>
      </c>
      <c r="F2524">
        <v>10.1</v>
      </c>
      <c r="G2524" t="s">
        <v>17</v>
      </c>
      <c r="I2524" t="str">
        <f t="shared" si="42"/>
        <v>2333_1</v>
      </c>
      <c r="J2524" t="s">
        <v>533</v>
      </c>
      <c r="K2524" t="s">
        <v>429</v>
      </c>
      <c r="L2524" t="str">
        <f>_xlfn.XLOOKUP(C2524, Table2[Species],Table2[Genus], "Code Not Found")</f>
        <v>Tsuga</v>
      </c>
      <c r="M2524" t="str">
        <f>_xlfn.XLOOKUP(C2524, Table2[Species],Table2[Sp. Name], "Code Not Found")</f>
        <v>canadensis</v>
      </c>
      <c r="N2524" t="str">
        <f>_xlfn.XLOOKUP(C2524,Table2[Species],Table2[Family],"Code Not Found")</f>
        <v>Pinaceae</v>
      </c>
      <c r="O2524" t="str" cm="1">
        <f t="array" ref="O2524">_xlfn.IFS(F2524="","",F2524&lt;=5,"0 to 5",F2524&lt;=10,"5.1 to 10",F2524&lt;=20,"10 to 20", F2524&lt;= 40, "20 to 40", F2524 &lt;= 50, "40 to 50", F2524 &gt; 50, "&gt;50" )</f>
        <v>10 to 20</v>
      </c>
    </row>
    <row r="2525" spans="1:15" ht="15" customHeight="1" x14ac:dyDescent="0.3">
      <c r="A2525" t="s">
        <v>532</v>
      </c>
      <c r="B2525" s="1">
        <v>46213</v>
      </c>
      <c r="C2525" t="s">
        <v>430</v>
      </c>
      <c r="D2525">
        <v>2334</v>
      </c>
      <c r="E2525">
        <v>1</v>
      </c>
      <c r="F2525">
        <v>4.5</v>
      </c>
      <c r="G2525" t="s">
        <v>47</v>
      </c>
      <c r="H2525" t="s">
        <v>347</v>
      </c>
      <c r="I2525" t="str">
        <f t="shared" si="42"/>
        <v>2334_1</v>
      </c>
      <c r="J2525" t="s">
        <v>533</v>
      </c>
      <c r="K2525" t="s">
        <v>429</v>
      </c>
      <c r="L2525" t="str">
        <f>_xlfn.XLOOKUP(C2525, Table2[Species],Table2[Genus], "Code Not Found")</f>
        <v>Tsuga</v>
      </c>
      <c r="M2525" t="str">
        <f>_xlfn.XLOOKUP(C2525, Table2[Species],Table2[Sp. Name], "Code Not Found")</f>
        <v>canadensis</v>
      </c>
      <c r="N2525" t="str">
        <f>_xlfn.XLOOKUP(C2525,Table2[Species],Table2[Family],"Code Not Found")</f>
        <v>Pinaceae</v>
      </c>
      <c r="O2525" t="str" cm="1">
        <f t="array" ref="O2525">_xlfn.IFS(F2525="","",F2525&lt;=5,"0 to 5",F2525&lt;=10,"5.1 to 10",F2525&lt;=20,"10 to 20", F2525&lt;= 40, "20 to 40", F2525 &lt;= 50, "40 to 50", F2525 &gt; 50, "&gt;50" )</f>
        <v>0 to 5</v>
      </c>
    </row>
    <row r="2526" spans="1:15" ht="15" customHeight="1" x14ac:dyDescent="0.3">
      <c r="A2526" t="s">
        <v>532</v>
      </c>
      <c r="B2526" s="1">
        <v>46213</v>
      </c>
      <c r="C2526" t="s">
        <v>430</v>
      </c>
      <c r="D2526">
        <v>2335</v>
      </c>
      <c r="E2526">
        <v>1</v>
      </c>
      <c r="F2526">
        <v>2.4</v>
      </c>
      <c r="G2526" t="s">
        <v>17</v>
      </c>
      <c r="H2526" t="s">
        <v>535</v>
      </c>
      <c r="I2526" t="str">
        <f t="shared" si="42"/>
        <v>2335_1</v>
      </c>
      <c r="J2526" t="s">
        <v>533</v>
      </c>
      <c r="K2526" t="s">
        <v>429</v>
      </c>
      <c r="L2526" t="str">
        <f>_xlfn.XLOOKUP(C2526, Table2[Species],Table2[Genus], "Code Not Found")</f>
        <v>Tsuga</v>
      </c>
      <c r="M2526" t="str">
        <f>_xlfn.XLOOKUP(C2526, Table2[Species],Table2[Sp. Name], "Code Not Found")</f>
        <v>canadensis</v>
      </c>
      <c r="N2526" t="str">
        <f>_xlfn.XLOOKUP(C2526,Table2[Species],Table2[Family],"Code Not Found")</f>
        <v>Pinaceae</v>
      </c>
      <c r="O2526" t="str" cm="1">
        <f t="array" ref="O2526">_xlfn.IFS(F2526="","",F2526&lt;=5,"0 to 5",F2526&lt;=10,"5.1 to 10",F2526&lt;=20,"10 to 20", F2526&lt;= 40, "20 to 40", F2526 &lt;= 50, "40 to 50", F2526 &gt; 50, "&gt;50" )</f>
        <v>0 to 5</v>
      </c>
    </row>
    <row r="2527" spans="1:15" ht="15" customHeight="1" x14ac:dyDescent="0.3">
      <c r="A2527" s="21" t="s">
        <v>532</v>
      </c>
      <c r="B2527" s="22">
        <v>46213</v>
      </c>
      <c r="C2527" s="21"/>
      <c r="D2527" s="21">
        <v>2336</v>
      </c>
      <c r="E2527" s="21"/>
      <c r="F2527" s="21"/>
      <c r="G2527" s="21"/>
      <c r="H2527" s="21" t="s">
        <v>626</v>
      </c>
      <c r="I2527" t="str">
        <f t="shared" si="42"/>
        <v>2336_</v>
      </c>
      <c r="J2527" t="s">
        <v>533</v>
      </c>
      <c r="K2527" t="s">
        <v>429</v>
      </c>
      <c r="L2527" t="str">
        <f>_xlfn.XLOOKUP(C2527, Table2[Species],Table2[Genus], "Code Not Found")</f>
        <v>Code Not Found</v>
      </c>
      <c r="M2527" t="str">
        <f>_xlfn.XLOOKUP(C2527, Table2[Species],Table2[Sp. Name], "Code Not Found")</f>
        <v>Code Not Found</v>
      </c>
      <c r="N2527" t="str">
        <f>_xlfn.XLOOKUP(C2527,Table2[Species],Table2[Family],"Code Not Found")</f>
        <v>Code Not Found</v>
      </c>
      <c r="O2527" t="str" cm="1">
        <f t="array" ref="O2527">_xlfn.IFS(F2527="","",F2527&lt;=5,"0 to 5",F2527&lt;=10,"5.1 to 10",F2527&lt;=20,"10 to 20", F2527&lt;= 40, "20 to 40", F2527 &lt;= 50, "40 to 50", F2527 &gt; 50, "&gt;50" )</f>
        <v/>
      </c>
    </row>
    <row r="2528" spans="1:15" ht="15" customHeight="1" x14ac:dyDescent="0.3">
      <c r="A2528" t="s">
        <v>532</v>
      </c>
      <c r="B2528" s="1">
        <v>46213</v>
      </c>
      <c r="C2528" t="s">
        <v>430</v>
      </c>
      <c r="D2528">
        <v>2337</v>
      </c>
      <c r="E2528">
        <v>1</v>
      </c>
      <c r="F2528">
        <v>15.6</v>
      </c>
      <c r="G2528" t="s">
        <v>21</v>
      </c>
      <c r="I2528" t="str">
        <f t="shared" si="42"/>
        <v>2337_1</v>
      </c>
      <c r="J2528" t="s">
        <v>533</v>
      </c>
      <c r="K2528" t="s">
        <v>429</v>
      </c>
      <c r="L2528" t="str">
        <f>_xlfn.XLOOKUP(C2528, Table2[Species],Table2[Genus], "Code Not Found")</f>
        <v>Tsuga</v>
      </c>
      <c r="M2528" t="str">
        <f>_xlfn.XLOOKUP(C2528, Table2[Species],Table2[Sp. Name], "Code Not Found")</f>
        <v>canadensis</v>
      </c>
      <c r="N2528" t="str">
        <f>_xlfn.XLOOKUP(C2528,Table2[Species],Table2[Family],"Code Not Found")</f>
        <v>Pinaceae</v>
      </c>
      <c r="O2528" t="str" cm="1">
        <f t="array" ref="O2528">_xlfn.IFS(F2528="","",F2528&lt;=5,"0 to 5",F2528&lt;=10,"5.1 to 10",F2528&lt;=20,"10 to 20", F2528&lt;= 40, "20 to 40", F2528 &lt;= 50, "40 to 50", F2528 &gt; 50, "&gt;50" )</f>
        <v>10 to 20</v>
      </c>
    </row>
    <row r="2529" spans="1:15" ht="15" customHeight="1" x14ac:dyDescent="0.3">
      <c r="A2529" t="s">
        <v>532</v>
      </c>
      <c r="B2529" s="1">
        <v>46213</v>
      </c>
      <c r="C2529" t="s">
        <v>430</v>
      </c>
      <c r="D2529">
        <v>2338</v>
      </c>
      <c r="E2529">
        <v>1</v>
      </c>
      <c r="F2529">
        <v>27.3</v>
      </c>
      <c r="G2529" t="s">
        <v>17</v>
      </c>
      <c r="I2529" t="str">
        <f t="shared" si="42"/>
        <v>2338_1</v>
      </c>
      <c r="J2529" t="s">
        <v>533</v>
      </c>
      <c r="K2529" t="s">
        <v>429</v>
      </c>
      <c r="L2529" t="str">
        <f>_xlfn.XLOOKUP(C2529, Table2[Species],Table2[Genus], "Code Not Found")</f>
        <v>Tsuga</v>
      </c>
      <c r="M2529" t="str">
        <f>_xlfn.XLOOKUP(C2529, Table2[Species],Table2[Sp. Name], "Code Not Found")</f>
        <v>canadensis</v>
      </c>
      <c r="N2529" t="str">
        <f>_xlfn.XLOOKUP(C2529,Table2[Species],Table2[Family],"Code Not Found")</f>
        <v>Pinaceae</v>
      </c>
      <c r="O2529" t="str" cm="1">
        <f t="array" ref="O2529">_xlfn.IFS(F2529="","",F2529&lt;=5,"0 to 5",F2529&lt;=10,"5.1 to 10",F2529&lt;=20,"10 to 20", F2529&lt;= 40, "20 to 40", F2529 &lt;= 50, "40 to 50", F2529 &gt; 50, "&gt;50" )</f>
        <v>20 to 40</v>
      </c>
    </row>
    <row r="2530" spans="1:15" ht="15" customHeight="1" x14ac:dyDescent="0.3">
      <c r="A2530" t="s">
        <v>532</v>
      </c>
      <c r="B2530" s="1">
        <v>46213</v>
      </c>
      <c r="C2530" t="s">
        <v>430</v>
      </c>
      <c r="D2530">
        <v>2339</v>
      </c>
      <c r="E2530">
        <v>1</v>
      </c>
      <c r="F2530">
        <v>7.1</v>
      </c>
      <c r="G2530" t="s">
        <v>474</v>
      </c>
      <c r="H2530" t="s">
        <v>536</v>
      </c>
      <c r="I2530" t="str">
        <f t="shared" si="42"/>
        <v>2339_1</v>
      </c>
      <c r="J2530" t="s">
        <v>533</v>
      </c>
      <c r="K2530" t="s">
        <v>429</v>
      </c>
      <c r="L2530" t="str">
        <f>_xlfn.XLOOKUP(C2530, Table2[Species],Table2[Genus], "Code Not Found")</f>
        <v>Tsuga</v>
      </c>
      <c r="M2530" t="str">
        <f>_xlfn.XLOOKUP(C2530, Table2[Species],Table2[Sp. Name], "Code Not Found")</f>
        <v>canadensis</v>
      </c>
      <c r="N2530" t="str">
        <f>_xlfn.XLOOKUP(C2530,Table2[Species],Table2[Family],"Code Not Found")</f>
        <v>Pinaceae</v>
      </c>
      <c r="O2530" t="str" cm="1">
        <f t="array" ref="O2530">_xlfn.IFS(F2530="","",F2530&lt;=5,"0 to 5",F2530&lt;=10,"5.1 to 10",F2530&lt;=20,"10 to 20", F2530&lt;= 40, "20 to 40", F2530 &lt;= 50, "40 to 50", F2530 &gt; 50, "&gt;50" )</f>
        <v>5.1 to 10</v>
      </c>
    </row>
    <row r="2531" spans="1:15" ht="15" customHeight="1" x14ac:dyDescent="0.3">
      <c r="A2531" t="s">
        <v>532</v>
      </c>
      <c r="B2531" s="1">
        <v>46213</v>
      </c>
      <c r="C2531" t="s">
        <v>64</v>
      </c>
      <c r="D2531">
        <v>2340</v>
      </c>
      <c r="E2531">
        <v>1</v>
      </c>
      <c r="F2531">
        <v>57</v>
      </c>
      <c r="G2531" t="s">
        <v>21</v>
      </c>
      <c r="I2531" t="str">
        <f t="shared" si="42"/>
        <v>2340_1</v>
      </c>
      <c r="J2531" t="s">
        <v>533</v>
      </c>
      <c r="K2531" t="s">
        <v>429</v>
      </c>
      <c r="L2531" t="str">
        <f>_xlfn.XLOOKUP(C2531, Table2[Species],Table2[Genus], "Code Not Found")</f>
        <v>Fagus</v>
      </c>
      <c r="M2531" t="str">
        <f>_xlfn.XLOOKUP(C2531, Table2[Species],Table2[Sp. Name], "Code Not Found")</f>
        <v>grandifolia</v>
      </c>
      <c r="N2531" t="str">
        <f>_xlfn.XLOOKUP(C2531,Table2[Species],Table2[Family],"Code Not Found")</f>
        <v>Fagaceae</v>
      </c>
      <c r="O2531" t="str" cm="1">
        <f t="array" ref="O2531">_xlfn.IFS(F2531="","",F2531&lt;=5,"0 to 5",F2531&lt;=10,"5.1 to 10",F2531&lt;=20,"10 to 20", F2531&lt;= 40, "20 to 40", F2531 &lt;= 50, "40 to 50", F2531 &gt; 50, "&gt;50" )</f>
        <v>&gt;50</v>
      </c>
    </row>
    <row r="2532" spans="1:15" ht="15" customHeight="1" x14ac:dyDescent="0.3">
      <c r="A2532" t="s">
        <v>532</v>
      </c>
      <c r="B2532" s="1">
        <v>46213</v>
      </c>
      <c r="C2532" t="s">
        <v>430</v>
      </c>
      <c r="D2532">
        <v>2341</v>
      </c>
      <c r="E2532">
        <v>1</v>
      </c>
      <c r="F2532">
        <v>13.2</v>
      </c>
      <c r="G2532" t="s">
        <v>537</v>
      </c>
      <c r="H2532" t="s">
        <v>347</v>
      </c>
      <c r="I2532" t="str">
        <f t="shared" si="42"/>
        <v>2341_1</v>
      </c>
      <c r="J2532" t="s">
        <v>533</v>
      </c>
      <c r="K2532" t="s">
        <v>429</v>
      </c>
      <c r="L2532" t="str">
        <f>_xlfn.XLOOKUP(C2532, Table2[Species],Table2[Genus], "Code Not Found")</f>
        <v>Tsuga</v>
      </c>
      <c r="M2532" t="str">
        <f>_xlfn.XLOOKUP(C2532, Table2[Species],Table2[Sp. Name], "Code Not Found")</f>
        <v>canadensis</v>
      </c>
      <c r="N2532" t="str">
        <f>_xlfn.XLOOKUP(C2532,Table2[Species],Table2[Family],"Code Not Found")</f>
        <v>Pinaceae</v>
      </c>
      <c r="O2532" t="str" cm="1">
        <f t="array" ref="O2532">_xlfn.IFS(F2532="","",F2532&lt;=5,"0 to 5",F2532&lt;=10,"5.1 to 10",F2532&lt;=20,"10 to 20", F2532&lt;= 40, "20 to 40", F2532 &lt;= 50, "40 to 50", F2532 &gt; 50, "&gt;50" )</f>
        <v>10 to 20</v>
      </c>
    </row>
    <row r="2533" spans="1:15" ht="15" customHeight="1" x14ac:dyDescent="0.3">
      <c r="A2533" t="s">
        <v>532</v>
      </c>
      <c r="B2533" s="1">
        <v>46213</v>
      </c>
      <c r="C2533" t="s">
        <v>430</v>
      </c>
      <c r="D2533">
        <v>2342</v>
      </c>
      <c r="E2533">
        <v>1</v>
      </c>
      <c r="F2533">
        <v>19.899999999999999</v>
      </c>
      <c r="G2533" t="s">
        <v>537</v>
      </c>
      <c r="H2533" t="s">
        <v>347</v>
      </c>
      <c r="I2533" t="str">
        <f t="shared" si="42"/>
        <v>2342_1</v>
      </c>
      <c r="J2533" t="s">
        <v>533</v>
      </c>
      <c r="K2533" t="s">
        <v>429</v>
      </c>
      <c r="L2533" t="str">
        <f>_xlfn.XLOOKUP(C2533, Table2[Species],Table2[Genus], "Code Not Found")</f>
        <v>Tsuga</v>
      </c>
      <c r="M2533" t="str">
        <f>_xlfn.XLOOKUP(C2533, Table2[Species],Table2[Sp. Name], "Code Not Found")</f>
        <v>canadensis</v>
      </c>
      <c r="N2533" t="str">
        <f>_xlfn.XLOOKUP(C2533,Table2[Species],Table2[Family],"Code Not Found")</f>
        <v>Pinaceae</v>
      </c>
      <c r="O2533" t="str" cm="1">
        <f t="array" ref="O2533">_xlfn.IFS(F2533="","",F2533&lt;=5,"0 to 5",F2533&lt;=10,"5.1 to 10",F2533&lt;=20,"10 to 20", F2533&lt;= 40, "20 to 40", F2533 &lt;= 50, "40 to 50", F2533 &gt; 50, "&gt;50" )</f>
        <v>10 to 20</v>
      </c>
    </row>
    <row r="2534" spans="1:15" ht="15" customHeight="1" x14ac:dyDescent="0.3">
      <c r="A2534" t="s">
        <v>532</v>
      </c>
      <c r="B2534" s="1">
        <v>46213</v>
      </c>
      <c r="C2534" t="s">
        <v>64</v>
      </c>
      <c r="D2534">
        <v>2343</v>
      </c>
      <c r="E2534">
        <v>1</v>
      </c>
      <c r="F2534">
        <v>67.400000000000006</v>
      </c>
      <c r="G2534" t="s">
        <v>17</v>
      </c>
      <c r="H2534" t="s">
        <v>538</v>
      </c>
      <c r="I2534" t="str">
        <f t="shared" si="42"/>
        <v>2343_1</v>
      </c>
      <c r="J2534" t="s">
        <v>533</v>
      </c>
      <c r="K2534" t="s">
        <v>429</v>
      </c>
      <c r="L2534" t="str">
        <f>_xlfn.XLOOKUP(C2534, Table2[Species],Table2[Genus], "Code Not Found")</f>
        <v>Fagus</v>
      </c>
      <c r="M2534" t="str">
        <f>_xlfn.XLOOKUP(C2534, Table2[Species],Table2[Sp. Name], "Code Not Found")</f>
        <v>grandifolia</v>
      </c>
      <c r="N2534" t="str">
        <f>_xlfn.XLOOKUP(C2534,Table2[Species],Table2[Family],"Code Not Found")</f>
        <v>Fagaceae</v>
      </c>
      <c r="O2534" t="str" cm="1">
        <f t="array" ref="O2534">_xlfn.IFS(F2534="","",F2534&lt;=5,"0 to 5",F2534&lt;=10,"5.1 to 10",F2534&lt;=20,"10 to 20", F2534&lt;= 40, "20 to 40", F2534 &lt;= 50, "40 to 50", F2534 &gt; 50, "&gt;50" )</f>
        <v>&gt;50</v>
      </c>
    </row>
    <row r="2535" spans="1:15" ht="15" customHeight="1" x14ac:dyDescent="0.3">
      <c r="A2535" t="s">
        <v>532</v>
      </c>
      <c r="B2535" s="1">
        <v>46213</v>
      </c>
      <c r="C2535" t="s">
        <v>430</v>
      </c>
      <c r="D2535">
        <v>2344</v>
      </c>
      <c r="E2535">
        <v>1</v>
      </c>
      <c r="F2535">
        <v>13</v>
      </c>
      <c r="G2535" t="s">
        <v>537</v>
      </c>
      <c r="H2535" t="s">
        <v>347</v>
      </c>
      <c r="I2535" t="str">
        <f t="shared" si="42"/>
        <v>2344_1</v>
      </c>
      <c r="J2535" t="s">
        <v>533</v>
      </c>
      <c r="K2535" t="s">
        <v>429</v>
      </c>
      <c r="L2535" t="str">
        <f>_xlfn.XLOOKUP(C2535, Table2[Species],Table2[Genus], "Code Not Found")</f>
        <v>Tsuga</v>
      </c>
      <c r="M2535" t="str">
        <f>_xlfn.XLOOKUP(C2535, Table2[Species],Table2[Sp. Name], "Code Not Found")</f>
        <v>canadensis</v>
      </c>
      <c r="N2535" t="str">
        <f>_xlfn.XLOOKUP(C2535,Table2[Species],Table2[Family],"Code Not Found")</f>
        <v>Pinaceae</v>
      </c>
      <c r="O2535" t="str" cm="1">
        <f t="array" ref="O2535">_xlfn.IFS(F2535="","",F2535&lt;=5,"0 to 5",F2535&lt;=10,"5.1 to 10",F2535&lt;=20,"10 to 20", F2535&lt;= 40, "20 to 40", F2535 &lt;= 50, "40 to 50", F2535 &gt; 50, "&gt;50" )</f>
        <v>10 to 20</v>
      </c>
    </row>
    <row r="2536" spans="1:15" ht="15" customHeight="1" x14ac:dyDescent="0.3">
      <c r="A2536" t="s">
        <v>532</v>
      </c>
      <c r="B2536" s="1">
        <v>46213</v>
      </c>
      <c r="C2536" t="s">
        <v>430</v>
      </c>
      <c r="D2536">
        <v>2345</v>
      </c>
      <c r="E2536">
        <v>1</v>
      </c>
      <c r="F2536">
        <v>12.4</v>
      </c>
      <c r="G2536" t="s">
        <v>537</v>
      </c>
      <c r="H2536" t="s">
        <v>347</v>
      </c>
      <c r="I2536" t="str">
        <f t="shared" si="42"/>
        <v>2345_1</v>
      </c>
      <c r="J2536" t="s">
        <v>533</v>
      </c>
      <c r="K2536" t="s">
        <v>429</v>
      </c>
      <c r="L2536" t="str">
        <f>_xlfn.XLOOKUP(C2536, Table2[Species],Table2[Genus], "Code Not Found")</f>
        <v>Tsuga</v>
      </c>
      <c r="M2536" t="str">
        <f>_xlfn.XLOOKUP(C2536, Table2[Species],Table2[Sp. Name], "Code Not Found")</f>
        <v>canadensis</v>
      </c>
      <c r="N2536" t="str">
        <f>_xlfn.XLOOKUP(C2536,Table2[Species],Table2[Family],"Code Not Found")</f>
        <v>Pinaceae</v>
      </c>
      <c r="O2536" t="str" cm="1">
        <f t="array" ref="O2536">_xlfn.IFS(F2536="","",F2536&lt;=5,"0 to 5",F2536&lt;=10,"5.1 to 10",F2536&lt;=20,"10 to 20", F2536&lt;= 40, "20 to 40", F2536 &lt;= 50, "40 to 50", F2536 &gt; 50, "&gt;50" )</f>
        <v>10 to 20</v>
      </c>
    </row>
    <row r="2537" spans="1:15" ht="15" customHeight="1" x14ac:dyDescent="0.3">
      <c r="A2537" t="s">
        <v>532</v>
      </c>
      <c r="B2537" s="1">
        <v>46213</v>
      </c>
      <c r="C2537" t="s">
        <v>430</v>
      </c>
      <c r="D2537">
        <v>2346</v>
      </c>
      <c r="E2537">
        <v>1</v>
      </c>
      <c r="F2537">
        <v>15.2</v>
      </c>
      <c r="G2537" t="s">
        <v>381</v>
      </c>
      <c r="H2537" t="s">
        <v>377</v>
      </c>
      <c r="I2537" t="str">
        <f t="shared" si="42"/>
        <v>2346_1</v>
      </c>
      <c r="J2537" t="s">
        <v>533</v>
      </c>
      <c r="K2537" t="s">
        <v>429</v>
      </c>
      <c r="L2537" t="str">
        <f>_xlfn.XLOOKUP(C2537, Table2[Species],Table2[Genus], "Code Not Found")</f>
        <v>Tsuga</v>
      </c>
      <c r="M2537" t="str">
        <f>_xlfn.XLOOKUP(C2537, Table2[Species],Table2[Sp. Name], "Code Not Found")</f>
        <v>canadensis</v>
      </c>
      <c r="N2537" t="str">
        <f>_xlfn.XLOOKUP(C2537,Table2[Species],Table2[Family],"Code Not Found")</f>
        <v>Pinaceae</v>
      </c>
      <c r="O2537" t="str" cm="1">
        <f t="array" ref="O2537">_xlfn.IFS(F2537="","",F2537&lt;=5,"0 to 5",F2537&lt;=10,"5.1 to 10",F2537&lt;=20,"10 to 20", F2537&lt;= 40, "20 to 40", F2537 &lt;= 50, "40 to 50", F2537 &gt; 50, "&gt;50" )</f>
        <v>10 to 20</v>
      </c>
    </row>
    <row r="2538" spans="1:15" ht="15" customHeight="1" x14ac:dyDescent="0.3">
      <c r="A2538" t="s">
        <v>532</v>
      </c>
      <c r="B2538" s="1">
        <v>46213</v>
      </c>
      <c r="C2538" t="s">
        <v>430</v>
      </c>
      <c r="D2538">
        <v>2347</v>
      </c>
      <c r="E2538">
        <v>1</v>
      </c>
      <c r="F2538">
        <v>8.6999999999999993</v>
      </c>
      <c r="G2538" t="s">
        <v>17</v>
      </c>
      <c r="I2538" t="str">
        <f t="shared" si="42"/>
        <v>2347_1</v>
      </c>
      <c r="J2538" t="s">
        <v>533</v>
      </c>
      <c r="K2538" t="s">
        <v>429</v>
      </c>
      <c r="L2538" t="str">
        <f>_xlfn.XLOOKUP(C2538, Table2[Species],Table2[Genus], "Code Not Found")</f>
        <v>Tsuga</v>
      </c>
      <c r="M2538" t="str">
        <f>_xlfn.XLOOKUP(C2538, Table2[Species],Table2[Sp. Name], "Code Not Found")</f>
        <v>canadensis</v>
      </c>
      <c r="N2538" t="str">
        <f>_xlfn.XLOOKUP(C2538,Table2[Species],Table2[Family],"Code Not Found")</f>
        <v>Pinaceae</v>
      </c>
      <c r="O2538" t="str" cm="1">
        <f t="array" ref="O2538">_xlfn.IFS(F2538="","",F2538&lt;=5,"0 to 5",F2538&lt;=10,"5.1 to 10",F2538&lt;=20,"10 to 20", F2538&lt;= 40, "20 to 40", F2538 &lt;= 50, "40 to 50", F2538 &gt; 50, "&gt;50" )</f>
        <v>5.1 to 10</v>
      </c>
    </row>
    <row r="2539" spans="1:15" ht="15" customHeight="1" x14ac:dyDescent="0.3">
      <c r="A2539" t="s">
        <v>532</v>
      </c>
      <c r="B2539" s="1">
        <v>46213</v>
      </c>
      <c r="C2539" t="s">
        <v>430</v>
      </c>
      <c r="D2539">
        <v>2348</v>
      </c>
      <c r="E2539">
        <v>1</v>
      </c>
      <c r="F2539">
        <v>8.4</v>
      </c>
      <c r="G2539" t="s">
        <v>537</v>
      </c>
      <c r="H2539" t="s">
        <v>347</v>
      </c>
      <c r="I2539" t="str">
        <f t="shared" si="42"/>
        <v>2348_1</v>
      </c>
      <c r="J2539" t="s">
        <v>533</v>
      </c>
      <c r="K2539" t="s">
        <v>429</v>
      </c>
      <c r="L2539" t="str">
        <f>_xlfn.XLOOKUP(C2539, Table2[Species],Table2[Genus], "Code Not Found")</f>
        <v>Tsuga</v>
      </c>
      <c r="M2539" t="str">
        <f>_xlfn.XLOOKUP(C2539, Table2[Species],Table2[Sp. Name], "Code Not Found")</f>
        <v>canadensis</v>
      </c>
      <c r="N2539" t="str">
        <f>_xlfn.XLOOKUP(C2539,Table2[Species],Table2[Family],"Code Not Found")</f>
        <v>Pinaceae</v>
      </c>
      <c r="O2539" t="str" cm="1">
        <f t="array" ref="O2539">_xlfn.IFS(F2539="","",F2539&lt;=5,"0 to 5",F2539&lt;=10,"5.1 to 10",F2539&lt;=20,"10 to 20", F2539&lt;= 40, "20 to 40", F2539 &lt;= 50, "40 to 50", F2539 &gt; 50, "&gt;50" )</f>
        <v>5.1 to 10</v>
      </c>
    </row>
    <row r="2540" spans="1:15" ht="15" customHeight="1" x14ac:dyDescent="0.3">
      <c r="A2540" t="s">
        <v>532</v>
      </c>
      <c r="B2540" s="1">
        <v>46213</v>
      </c>
      <c r="C2540" t="s">
        <v>430</v>
      </c>
      <c r="D2540">
        <v>2349</v>
      </c>
      <c r="E2540">
        <v>1</v>
      </c>
      <c r="F2540">
        <v>26.5</v>
      </c>
      <c r="G2540" t="s">
        <v>21</v>
      </c>
      <c r="I2540" t="str">
        <f t="shared" si="42"/>
        <v>2349_1</v>
      </c>
      <c r="J2540" t="s">
        <v>533</v>
      </c>
      <c r="K2540" t="s">
        <v>429</v>
      </c>
      <c r="L2540" t="str">
        <f>_xlfn.XLOOKUP(C2540, Table2[Species],Table2[Genus], "Code Not Found")</f>
        <v>Tsuga</v>
      </c>
      <c r="M2540" t="str">
        <f>_xlfn.XLOOKUP(C2540, Table2[Species],Table2[Sp. Name], "Code Not Found")</f>
        <v>canadensis</v>
      </c>
      <c r="N2540" t="str">
        <f>_xlfn.XLOOKUP(C2540,Table2[Species],Table2[Family],"Code Not Found")</f>
        <v>Pinaceae</v>
      </c>
      <c r="O2540" t="str" cm="1">
        <f t="array" ref="O2540">_xlfn.IFS(F2540="","",F2540&lt;=5,"0 to 5",F2540&lt;=10,"5.1 to 10",F2540&lt;=20,"10 to 20", F2540&lt;= 40, "20 to 40", F2540 &lt;= 50, "40 to 50", F2540 &gt; 50, "&gt;50" )</f>
        <v>20 to 40</v>
      </c>
    </row>
    <row r="2541" spans="1:15" ht="15" customHeight="1" x14ac:dyDescent="0.3">
      <c r="A2541" t="s">
        <v>532</v>
      </c>
      <c r="B2541" s="1">
        <v>46213</v>
      </c>
      <c r="C2541" t="s">
        <v>430</v>
      </c>
      <c r="D2541">
        <v>2350</v>
      </c>
      <c r="E2541">
        <v>1</v>
      </c>
      <c r="F2541">
        <v>14.1</v>
      </c>
      <c r="G2541" t="s">
        <v>17</v>
      </c>
      <c r="I2541" t="str">
        <f t="shared" si="42"/>
        <v>2350_1</v>
      </c>
      <c r="J2541" t="s">
        <v>533</v>
      </c>
      <c r="K2541" t="s">
        <v>429</v>
      </c>
      <c r="L2541" t="str">
        <f>_xlfn.XLOOKUP(C2541, Table2[Species],Table2[Genus], "Code Not Found")</f>
        <v>Tsuga</v>
      </c>
      <c r="M2541" t="str">
        <f>_xlfn.XLOOKUP(C2541, Table2[Species],Table2[Sp. Name], "Code Not Found")</f>
        <v>canadensis</v>
      </c>
      <c r="N2541" t="str">
        <f>_xlfn.XLOOKUP(C2541,Table2[Species],Table2[Family],"Code Not Found")</f>
        <v>Pinaceae</v>
      </c>
      <c r="O2541" t="str" cm="1">
        <f t="array" ref="O2541">_xlfn.IFS(F2541="","",F2541&lt;=5,"0 to 5",F2541&lt;=10,"5.1 to 10",F2541&lt;=20,"10 to 20", F2541&lt;= 40, "20 to 40", F2541 &lt;= 50, "40 to 50", F2541 &gt; 50, "&gt;50" )</f>
        <v>10 to 20</v>
      </c>
    </row>
    <row r="2542" spans="1:15" ht="15" customHeight="1" x14ac:dyDescent="0.3">
      <c r="A2542" t="s">
        <v>532</v>
      </c>
      <c r="B2542" s="1">
        <v>46213</v>
      </c>
      <c r="C2542" t="s">
        <v>430</v>
      </c>
      <c r="D2542">
        <v>2351</v>
      </c>
      <c r="E2542">
        <v>1</v>
      </c>
      <c r="F2542">
        <v>14.6</v>
      </c>
      <c r="G2542" t="s">
        <v>21</v>
      </c>
      <c r="I2542" t="str">
        <f t="shared" si="42"/>
        <v>2351_1</v>
      </c>
      <c r="J2542" t="s">
        <v>533</v>
      </c>
      <c r="K2542" t="s">
        <v>429</v>
      </c>
      <c r="L2542" t="str">
        <f>_xlfn.XLOOKUP(C2542, Table2[Species],Table2[Genus], "Code Not Found")</f>
        <v>Tsuga</v>
      </c>
      <c r="M2542" t="str">
        <f>_xlfn.XLOOKUP(C2542, Table2[Species],Table2[Sp. Name], "Code Not Found")</f>
        <v>canadensis</v>
      </c>
      <c r="N2542" t="str">
        <f>_xlfn.XLOOKUP(C2542,Table2[Species],Table2[Family],"Code Not Found")</f>
        <v>Pinaceae</v>
      </c>
      <c r="O2542" t="str" cm="1">
        <f t="array" ref="O2542">_xlfn.IFS(F2542="","",F2542&lt;=5,"0 to 5",F2542&lt;=10,"5.1 to 10",F2542&lt;=20,"10 to 20", F2542&lt;= 40, "20 to 40", F2542 &lt;= 50, "40 to 50", F2542 &gt; 50, "&gt;50" )</f>
        <v>10 to 20</v>
      </c>
    </row>
    <row r="2543" spans="1:15" ht="15" customHeight="1" x14ac:dyDescent="0.3">
      <c r="A2543" t="s">
        <v>532</v>
      </c>
      <c r="B2543" s="1">
        <v>46213</v>
      </c>
      <c r="C2543" t="s">
        <v>430</v>
      </c>
      <c r="D2543">
        <v>2352</v>
      </c>
      <c r="E2543">
        <v>1</v>
      </c>
      <c r="F2543">
        <v>31</v>
      </c>
      <c r="G2543" t="s">
        <v>21</v>
      </c>
      <c r="I2543" t="str">
        <f t="shared" si="42"/>
        <v>2352_1</v>
      </c>
      <c r="J2543" t="s">
        <v>533</v>
      </c>
      <c r="K2543" t="s">
        <v>429</v>
      </c>
      <c r="L2543" t="str">
        <f>_xlfn.XLOOKUP(C2543, Table2[Species],Table2[Genus], "Code Not Found")</f>
        <v>Tsuga</v>
      </c>
      <c r="M2543" t="str">
        <f>_xlfn.XLOOKUP(C2543, Table2[Species],Table2[Sp. Name], "Code Not Found")</f>
        <v>canadensis</v>
      </c>
      <c r="N2543" t="str">
        <f>_xlfn.XLOOKUP(C2543,Table2[Species],Table2[Family],"Code Not Found")</f>
        <v>Pinaceae</v>
      </c>
      <c r="O2543" t="str" cm="1">
        <f t="array" ref="O2543">_xlfn.IFS(F2543="","",F2543&lt;=5,"0 to 5",F2543&lt;=10,"5.1 to 10",F2543&lt;=20,"10 to 20", F2543&lt;= 40, "20 to 40", F2543 &lt;= 50, "40 to 50", F2543 &gt; 50, "&gt;50" )</f>
        <v>20 to 40</v>
      </c>
    </row>
    <row r="2544" spans="1:15" ht="15" customHeight="1" x14ac:dyDescent="0.3">
      <c r="A2544" t="s">
        <v>532</v>
      </c>
      <c r="B2544" s="1">
        <v>46213</v>
      </c>
      <c r="C2544" t="s">
        <v>430</v>
      </c>
      <c r="D2544">
        <v>2353</v>
      </c>
      <c r="E2544">
        <v>1</v>
      </c>
      <c r="F2544">
        <v>11.2</v>
      </c>
      <c r="G2544" t="s">
        <v>17</v>
      </c>
      <c r="H2544" t="s">
        <v>539</v>
      </c>
      <c r="I2544" t="str">
        <f t="shared" ref="I2544:I2607" si="43">D2544&amp;"_"&amp;E2544</f>
        <v>2353_1</v>
      </c>
      <c r="J2544" t="s">
        <v>533</v>
      </c>
      <c r="K2544" t="s">
        <v>429</v>
      </c>
      <c r="L2544" t="str">
        <f>_xlfn.XLOOKUP(C2544, Table2[Species],Table2[Genus], "Code Not Found")</f>
        <v>Tsuga</v>
      </c>
      <c r="M2544" t="str">
        <f>_xlfn.XLOOKUP(C2544, Table2[Species],Table2[Sp. Name], "Code Not Found")</f>
        <v>canadensis</v>
      </c>
      <c r="N2544" t="str">
        <f>_xlfn.XLOOKUP(C2544,Table2[Species],Table2[Family],"Code Not Found")</f>
        <v>Pinaceae</v>
      </c>
      <c r="O2544" t="str" cm="1">
        <f t="array" ref="O2544">_xlfn.IFS(F2544="","",F2544&lt;=5,"0 to 5",F2544&lt;=10,"5.1 to 10",F2544&lt;=20,"10 to 20", F2544&lt;= 40, "20 to 40", F2544 &lt;= 50, "40 to 50", F2544 &gt; 50, "&gt;50" )</f>
        <v>10 to 20</v>
      </c>
    </row>
    <row r="2545" spans="1:15" ht="15" customHeight="1" x14ac:dyDescent="0.3">
      <c r="A2545" t="s">
        <v>532</v>
      </c>
      <c r="B2545" s="1">
        <v>46213</v>
      </c>
      <c r="C2545" t="s">
        <v>430</v>
      </c>
      <c r="D2545">
        <v>2354</v>
      </c>
      <c r="E2545">
        <v>1</v>
      </c>
      <c r="F2545">
        <v>31.8</v>
      </c>
      <c r="G2545" t="s">
        <v>21</v>
      </c>
      <c r="I2545" t="str">
        <f t="shared" si="43"/>
        <v>2354_1</v>
      </c>
      <c r="J2545" t="s">
        <v>533</v>
      </c>
      <c r="K2545" t="s">
        <v>429</v>
      </c>
      <c r="L2545" t="str">
        <f>_xlfn.XLOOKUP(C2545, Table2[Species],Table2[Genus], "Code Not Found")</f>
        <v>Tsuga</v>
      </c>
      <c r="M2545" t="str">
        <f>_xlfn.XLOOKUP(C2545, Table2[Species],Table2[Sp. Name], "Code Not Found")</f>
        <v>canadensis</v>
      </c>
      <c r="N2545" t="str">
        <f>_xlfn.XLOOKUP(C2545,Table2[Species],Table2[Family],"Code Not Found")</f>
        <v>Pinaceae</v>
      </c>
      <c r="O2545" t="str" cm="1">
        <f t="array" ref="O2545">_xlfn.IFS(F2545="","",F2545&lt;=5,"0 to 5",F2545&lt;=10,"5.1 to 10",F2545&lt;=20,"10 to 20", F2545&lt;= 40, "20 to 40", F2545 &lt;= 50, "40 to 50", F2545 &gt; 50, "&gt;50" )</f>
        <v>20 to 40</v>
      </c>
    </row>
    <row r="2546" spans="1:15" ht="15" customHeight="1" x14ac:dyDescent="0.3">
      <c r="A2546" t="s">
        <v>532</v>
      </c>
      <c r="B2546" s="1">
        <v>46213</v>
      </c>
      <c r="C2546" t="s">
        <v>430</v>
      </c>
      <c r="D2546">
        <v>2355</v>
      </c>
      <c r="E2546">
        <v>1</v>
      </c>
      <c r="F2546">
        <v>21</v>
      </c>
      <c r="G2546" t="s">
        <v>21</v>
      </c>
      <c r="I2546" t="str">
        <f t="shared" si="43"/>
        <v>2355_1</v>
      </c>
      <c r="J2546" t="s">
        <v>533</v>
      </c>
      <c r="K2546" t="s">
        <v>429</v>
      </c>
      <c r="L2546" t="str">
        <f>_xlfn.XLOOKUP(C2546, Table2[Species],Table2[Genus], "Code Not Found")</f>
        <v>Tsuga</v>
      </c>
      <c r="M2546" t="str">
        <f>_xlfn.XLOOKUP(C2546, Table2[Species],Table2[Sp. Name], "Code Not Found")</f>
        <v>canadensis</v>
      </c>
      <c r="N2546" t="str">
        <f>_xlfn.XLOOKUP(C2546,Table2[Species],Table2[Family],"Code Not Found")</f>
        <v>Pinaceae</v>
      </c>
      <c r="O2546" t="str" cm="1">
        <f t="array" ref="O2546">_xlfn.IFS(F2546="","",F2546&lt;=5,"0 to 5",F2546&lt;=10,"5.1 to 10",F2546&lt;=20,"10 to 20", F2546&lt;= 40, "20 to 40", F2546 &lt;= 50, "40 to 50", F2546 &gt; 50, "&gt;50" )</f>
        <v>20 to 40</v>
      </c>
    </row>
    <row r="2547" spans="1:15" ht="15" customHeight="1" x14ac:dyDescent="0.3">
      <c r="A2547" t="s">
        <v>532</v>
      </c>
      <c r="B2547" s="1">
        <v>46213</v>
      </c>
      <c r="C2547" t="s">
        <v>64</v>
      </c>
      <c r="D2547">
        <v>2356</v>
      </c>
      <c r="E2547">
        <v>1</v>
      </c>
      <c r="F2547">
        <v>27.6</v>
      </c>
      <c r="G2547" t="s">
        <v>17</v>
      </c>
      <c r="I2547" t="str">
        <f t="shared" si="43"/>
        <v>2356_1</v>
      </c>
      <c r="J2547" t="s">
        <v>533</v>
      </c>
      <c r="K2547" t="s">
        <v>429</v>
      </c>
      <c r="L2547" t="str">
        <f>_xlfn.XLOOKUP(C2547, Table2[Species],Table2[Genus], "Code Not Found")</f>
        <v>Fagus</v>
      </c>
      <c r="M2547" t="str">
        <f>_xlfn.XLOOKUP(C2547, Table2[Species],Table2[Sp. Name], "Code Not Found")</f>
        <v>grandifolia</v>
      </c>
      <c r="N2547" t="str">
        <f>_xlfn.XLOOKUP(C2547,Table2[Species],Table2[Family],"Code Not Found")</f>
        <v>Fagaceae</v>
      </c>
      <c r="O2547" t="str" cm="1">
        <f t="array" ref="O2547">_xlfn.IFS(F2547="","",F2547&lt;=5,"0 to 5",F2547&lt;=10,"5.1 to 10",F2547&lt;=20,"10 to 20", F2547&lt;= 40, "20 to 40", F2547 &lt;= 50, "40 to 50", F2547 &gt; 50, "&gt;50" )</f>
        <v>20 to 40</v>
      </c>
    </row>
    <row r="2548" spans="1:15" ht="15" customHeight="1" x14ac:dyDescent="0.3">
      <c r="A2548" t="s">
        <v>532</v>
      </c>
      <c r="B2548" s="1">
        <v>46213</v>
      </c>
      <c r="C2548" t="s">
        <v>430</v>
      </c>
      <c r="D2548">
        <v>2357</v>
      </c>
      <c r="E2548">
        <v>1</v>
      </c>
      <c r="F2548">
        <v>35</v>
      </c>
      <c r="G2548" t="s">
        <v>17</v>
      </c>
      <c r="I2548" t="str">
        <f t="shared" si="43"/>
        <v>2357_1</v>
      </c>
      <c r="J2548" t="s">
        <v>533</v>
      </c>
      <c r="K2548" t="s">
        <v>429</v>
      </c>
      <c r="L2548" t="str">
        <f>_xlfn.XLOOKUP(C2548, Table2[Species],Table2[Genus], "Code Not Found")</f>
        <v>Tsuga</v>
      </c>
      <c r="M2548" t="str">
        <f>_xlfn.XLOOKUP(C2548, Table2[Species],Table2[Sp. Name], "Code Not Found")</f>
        <v>canadensis</v>
      </c>
      <c r="N2548" t="str">
        <f>_xlfn.XLOOKUP(C2548,Table2[Species],Table2[Family],"Code Not Found")</f>
        <v>Pinaceae</v>
      </c>
      <c r="O2548" t="str" cm="1">
        <f t="array" ref="O2548">_xlfn.IFS(F2548="","",F2548&lt;=5,"0 to 5",F2548&lt;=10,"5.1 to 10",F2548&lt;=20,"10 to 20", F2548&lt;= 40, "20 to 40", F2548 &lt;= 50, "40 to 50", F2548 &gt; 50, "&gt;50" )</f>
        <v>20 to 40</v>
      </c>
    </row>
    <row r="2549" spans="1:15" ht="15" customHeight="1" x14ac:dyDescent="0.3">
      <c r="A2549" t="s">
        <v>532</v>
      </c>
      <c r="B2549" s="1">
        <v>46213</v>
      </c>
      <c r="C2549" t="s">
        <v>430</v>
      </c>
      <c r="D2549">
        <v>2358</v>
      </c>
      <c r="E2549">
        <v>1</v>
      </c>
      <c r="F2549">
        <v>8.1999999999999993</v>
      </c>
      <c r="G2549" t="s">
        <v>47</v>
      </c>
      <c r="H2549" t="s">
        <v>296</v>
      </c>
      <c r="I2549" t="str">
        <f t="shared" si="43"/>
        <v>2358_1</v>
      </c>
      <c r="J2549" t="s">
        <v>533</v>
      </c>
      <c r="K2549" t="s">
        <v>429</v>
      </c>
      <c r="L2549" t="str">
        <f>_xlfn.XLOOKUP(C2549, Table2[Species],Table2[Genus], "Code Not Found")</f>
        <v>Tsuga</v>
      </c>
      <c r="M2549" t="str">
        <f>_xlfn.XLOOKUP(C2549, Table2[Species],Table2[Sp. Name], "Code Not Found")</f>
        <v>canadensis</v>
      </c>
      <c r="N2549" t="str">
        <f>_xlfn.XLOOKUP(C2549,Table2[Species],Table2[Family],"Code Not Found")</f>
        <v>Pinaceae</v>
      </c>
      <c r="O2549" t="str" cm="1">
        <f t="array" ref="O2549">_xlfn.IFS(F2549="","",F2549&lt;=5,"0 to 5",F2549&lt;=10,"5.1 to 10",F2549&lt;=20,"10 to 20", F2549&lt;= 40, "20 to 40", F2549 &lt;= 50, "40 to 50", F2549 &gt; 50, "&gt;50" )</f>
        <v>5.1 to 10</v>
      </c>
    </row>
    <row r="2550" spans="1:15" ht="15" customHeight="1" x14ac:dyDescent="0.3">
      <c r="A2550" t="s">
        <v>532</v>
      </c>
      <c r="B2550" s="1">
        <v>46213</v>
      </c>
      <c r="C2550" t="s">
        <v>22</v>
      </c>
      <c r="D2550">
        <v>2359</v>
      </c>
      <c r="E2550">
        <v>1</v>
      </c>
      <c r="F2550">
        <v>29.4</v>
      </c>
      <c r="G2550" t="s">
        <v>17</v>
      </c>
      <c r="I2550" t="str">
        <f t="shared" si="43"/>
        <v>2359_1</v>
      </c>
      <c r="J2550" t="s">
        <v>533</v>
      </c>
      <c r="K2550" t="s">
        <v>429</v>
      </c>
      <c r="L2550" t="str">
        <f>_xlfn.XLOOKUP(C2550, Table2[Species],Table2[Genus], "Code Not Found")</f>
        <v>Acer</v>
      </c>
      <c r="M2550" t="str">
        <f>_xlfn.XLOOKUP(C2550, Table2[Species],Table2[Sp. Name], "Code Not Found")</f>
        <v>rubrum</v>
      </c>
      <c r="N2550" t="str">
        <f>_xlfn.XLOOKUP(C2550,Table2[Species],Table2[Family],"Code Not Found")</f>
        <v>Sapindaceae</v>
      </c>
      <c r="O2550" t="str" cm="1">
        <f t="array" ref="O2550">_xlfn.IFS(F2550="","",F2550&lt;=5,"0 to 5",F2550&lt;=10,"5.1 to 10",F2550&lt;=20,"10 to 20", F2550&lt;= 40, "20 to 40", F2550 &lt;= 50, "40 to 50", F2550 &gt; 50, "&gt;50" )</f>
        <v>20 to 40</v>
      </c>
    </row>
    <row r="2551" spans="1:15" ht="15" customHeight="1" x14ac:dyDescent="0.3">
      <c r="A2551" t="s">
        <v>532</v>
      </c>
      <c r="B2551" s="1">
        <v>46213</v>
      </c>
      <c r="C2551" t="s">
        <v>16</v>
      </c>
      <c r="D2551">
        <v>2360</v>
      </c>
      <c r="E2551">
        <v>1</v>
      </c>
      <c r="F2551">
        <v>2.5</v>
      </c>
      <c r="G2551" t="s">
        <v>540</v>
      </c>
      <c r="H2551" t="s">
        <v>296</v>
      </c>
      <c r="I2551" t="str">
        <f t="shared" si="43"/>
        <v>2360_1</v>
      </c>
      <c r="J2551" t="s">
        <v>533</v>
      </c>
      <c r="K2551" t="s">
        <v>429</v>
      </c>
      <c r="L2551" t="str">
        <f>_xlfn.XLOOKUP(C2551, Table2[Species],Table2[Genus], "Code Not Found")</f>
        <v>Acer</v>
      </c>
      <c r="M2551" t="str">
        <f>_xlfn.XLOOKUP(C2551, Table2[Species],Table2[Sp. Name], "Code Not Found")</f>
        <v>saccharum</v>
      </c>
      <c r="N2551" t="str">
        <f>_xlfn.XLOOKUP(C2551,Table2[Species],Table2[Family],"Code Not Found")</f>
        <v>Sapindaceae</v>
      </c>
      <c r="O2551" t="str" cm="1">
        <f t="array" ref="O2551">_xlfn.IFS(F2551="","",F2551&lt;=5,"0 to 5",F2551&lt;=10,"5.1 to 10",F2551&lt;=20,"10 to 20", F2551&lt;= 40, "20 to 40", F2551 &lt;= 50, "40 to 50", F2551 &gt; 50, "&gt;50" )</f>
        <v>0 to 5</v>
      </c>
    </row>
    <row r="2552" spans="1:15" ht="15" customHeight="1" x14ac:dyDescent="0.3">
      <c r="A2552" t="s">
        <v>532</v>
      </c>
      <c r="B2552" s="1">
        <v>46213</v>
      </c>
      <c r="C2552" t="s">
        <v>16</v>
      </c>
      <c r="D2552">
        <v>2360</v>
      </c>
      <c r="E2552">
        <v>2</v>
      </c>
      <c r="F2552">
        <v>1.7</v>
      </c>
      <c r="G2552" t="s">
        <v>541</v>
      </c>
      <c r="H2552" t="s">
        <v>296</v>
      </c>
      <c r="I2552" t="str">
        <f t="shared" si="43"/>
        <v>2360_2</v>
      </c>
      <c r="J2552" t="s">
        <v>533</v>
      </c>
      <c r="K2552" t="s">
        <v>429</v>
      </c>
      <c r="L2552" t="str">
        <f>_xlfn.XLOOKUP(C2552, Table2[Species],Table2[Genus], "Code Not Found")</f>
        <v>Acer</v>
      </c>
      <c r="M2552" t="str">
        <f>_xlfn.XLOOKUP(C2552, Table2[Species],Table2[Sp. Name], "Code Not Found")</f>
        <v>saccharum</v>
      </c>
      <c r="N2552" t="str">
        <f>_xlfn.XLOOKUP(C2552,Table2[Species],Table2[Family],"Code Not Found")</f>
        <v>Sapindaceae</v>
      </c>
      <c r="O2552" t="str" cm="1">
        <f t="array" ref="O2552">_xlfn.IFS(F2552="","",F2552&lt;=5,"0 to 5",F2552&lt;=10,"5.1 to 10",F2552&lt;=20,"10 to 20", F2552&lt;= 40, "20 to 40", F2552 &lt;= 50, "40 to 50", F2552 &gt; 50, "&gt;50" )</f>
        <v>0 to 5</v>
      </c>
    </row>
    <row r="2553" spans="1:15" ht="15" customHeight="1" x14ac:dyDescent="0.3">
      <c r="A2553" t="s">
        <v>532</v>
      </c>
      <c r="B2553" s="1">
        <v>46213</v>
      </c>
      <c r="C2553" t="s">
        <v>123</v>
      </c>
      <c r="D2553">
        <v>2361</v>
      </c>
      <c r="E2553">
        <v>1</v>
      </c>
      <c r="F2553">
        <v>82.3</v>
      </c>
      <c r="G2553" t="s">
        <v>21</v>
      </c>
      <c r="I2553" t="str">
        <f t="shared" si="43"/>
        <v>2361_1</v>
      </c>
      <c r="J2553" t="s">
        <v>533</v>
      </c>
      <c r="K2553" t="s">
        <v>429</v>
      </c>
      <c r="L2553" t="str">
        <f>_xlfn.XLOOKUP(C2553, Table2[Species],Table2[Genus], "Code Not Found")</f>
        <v>Quercus</v>
      </c>
      <c r="M2553" t="str">
        <f>_xlfn.XLOOKUP(C2553, Table2[Species],Table2[Sp. Name], "Code Not Found")</f>
        <v>rubra</v>
      </c>
      <c r="N2553" t="str">
        <f>_xlfn.XLOOKUP(C2553,Table2[Species],Table2[Family],"Code Not Found")</f>
        <v>Fagaceae</v>
      </c>
      <c r="O2553" t="str" cm="1">
        <f t="array" ref="O2553">_xlfn.IFS(F2553="","",F2553&lt;=5,"0 to 5",F2553&lt;=10,"5.1 to 10",F2553&lt;=20,"10 to 20", F2553&lt;= 40, "20 to 40", F2553 &lt;= 50, "40 to 50", F2553 &gt; 50, "&gt;50" )</f>
        <v>&gt;50</v>
      </c>
    </row>
    <row r="2554" spans="1:15" ht="15" customHeight="1" x14ac:dyDescent="0.3">
      <c r="A2554" t="s">
        <v>532</v>
      </c>
      <c r="B2554" s="1">
        <v>46213</v>
      </c>
      <c r="C2554" t="s">
        <v>430</v>
      </c>
      <c r="D2554">
        <v>2362</v>
      </c>
      <c r="E2554">
        <v>1</v>
      </c>
      <c r="F2554">
        <v>34</v>
      </c>
      <c r="G2554" t="s">
        <v>21</v>
      </c>
      <c r="I2554" t="str">
        <f t="shared" si="43"/>
        <v>2362_1</v>
      </c>
      <c r="J2554" t="s">
        <v>533</v>
      </c>
      <c r="K2554" t="s">
        <v>429</v>
      </c>
      <c r="L2554" t="str">
        <f>_xlfn.XLOOKUP(C2554, Table2[Species],Table2[Genus], "Code Not Found")</f>
        <v>Tsuga</v>
      </c>
      <c r="M2554" t="str">
        <f>_xlfn.XLOOKUP(C2554, Table2[Species],Table2[Sp. Name], "Code Not Found")</f>
        <v>canadensis</v>
      </c>
      <c r="N2554" t="str">
        <f>_xlfn.XLOOKUP(C2554,Table2[Species],Table2[Family],"Code Not Found")</f>
        <v>Pinaceae</v>
      </c>
      <c r="O2554" t="str" cm="1">
        <f t="array" ref="O2554">_xlfn.IFS(F2554="","",F2554&lt;=5,"0 to 5",F2554&lt;=10,"5.1 to 10",F2554&lt;=20,"10 to 20", F2554&lt;= 40, "20 to 40", F2554 &lt;= 50, "40 to 50", F2554 &gt; 50, "&gt;50" )</f>
        <v>20 to 40</v>
      </c>
    </row>
    <row r="2555" spans="1:15" ht="15" customHeight="1" x14ac:dyDescent="0.3">
      <c r="A2555" t="s">
        <v>532</v>
      </c>
      <c r="B2555" s="1">
        <v>46213</v>
      </c>
      <c r="C2555" t="s">
        <v>16</v>
      </c>
      <c r="D2555">
        <v>2363</v>
      </c>
      <c r="E2555">
        <v>1</v>
      </c>
      <c r="F2555">
        <v>11.6</v>
      </c>
      <c r="G2555" t="s">
        <v>47</v>
      </c>
      <c r="H2555" t="s">
        <v>296</v>
      </c>
      <c r="I2555" t="str">
        <f t="shared" si="43"/>
        <v>2363_1</v>
      </c>
      <c r="J2555" t="s">
        <v>533</v>
      </c>
      <c r="K2555" t="s">
        <v>429</v>
      </c>
      <c r="L2555" t="str">
        <f>_xlfn.XLOOKUP(C2555, Table2[Species],Table2[Genus], "Code Not Found")</f>
        <v>Acer</v>
      </c>
      <c r="M2555" t="str">
        <f>_xlfn.XLOOKUP(C2555, Table2[Species],Table2[Sp. Name], "Code Not Found")</f>
        <v>saccharum</v>
      </c>
      <c r="N2555" t="str">
        <f>_xlfn.XLOOKUP(C2555,Table2[Species],Table2[Family],"Code Not Found")</f>
        <v>Sapindaceae</v>
      </c>
      <c r="O2555" t="str" cm="1">
        <f t="array" ref="O2555">_xlfn.IFS(F2555="","",F2555&lt;=5,"0 to 5",F2555&lt;=10,"5.1 to 10",F2555&lt;=20,"10 to 20", F2555&lt;= 40, "20 to 40", F2555 &lt;= 50, "40 to 50", F2555 &gt; 50, "&gt;50" )</f>
        <v>10 to 20</v>
      </c>
    </row>
    <row r="2556" spans="1:15" ht="15" customHeight="1" x14ac:dyDescent="0.3">
      <c r="A2556" t="s">
        <v>532</v>
      </c>
      <c r="B2556" s="1">
        <v>46213</v>
      </c>
      <c r="C2556" t="s">
        <v>430</v>
      </c>
      <c r="D2556">
        <v>2364</v>
      </c>
      <c r="E2556">
        <v>1</v>
      </c>
      <c r="F2556">
        <v>11.7</v>
      </c>
      <c r="G2556" t="s">
        <v>21</v>
      </c>
      <c r="I2556" t="str">
        <f t="shared" si="43"/>
        <v>2364_1</v>
      </c>
      <c r="J2556" t="s">
        <v>533</v>
      </c>
      <c r="K2556" t="s">
        <v>429</v>
      </c>
      <c r="L2556" t="str">
        <f>_xlfn.XLOOKUP(C2556, Table2[Species],Table2[Genus], "Code Not Found")</f>
        <v>Tsuga</v>
      </c>
      <c r="M2556" t="str">
        <f>_xlfn.XLOOKUP(C2556, Table2[Species],Table2[Sp. Name], "Code Not Found")</f>
        <v>canadensis</v>
      </c>
      <c r="N2556" t="str">
        <f>_xlfn.XLOOKUP(C2556,Table2[Species],Table2[Family],"Code Not Found")</f>
        <v>Pinaceae</v>
      </c>
      <c r="O2556" t="str" cm="1">
        <f t="array" ref="O2556">_xlfn.IFS(F2556="","",F2556&lt;=5,"0 to 5",F2556&lt;=10,"5.1 to 10",F2556&lt;=20,"10 to 20", F2556&lt;= 40, "20 to 40", F2556 &lt;= 50, "40 to 50", F2556 &gt; 50, "&gt;50" )</f>
        <v>10 to 20</v>
      </c>
    </row>
    <row r="2557" spans="1:15" ht="15" customHeight="1" x14ac:dyDescent="0.3">
      <c r="A2557" t="s">
        <v>532</v>
      </c>
      <c r="B2557" s="1">
        <v>46213</v>
      </c>
      <c r="C2557" t="s">
        <v>430</v>
      </c>
      <c r="D2557">
        <v>2365</v>
      </c>
      <c r="E2557">
        <v>1</v>
      </c>
      <c r="F2557">
        <v>13.4</v>
      </c>
      <c r="G2557" t="s">
        <v>103</v>
      </c>
      <c r="I2557" t="str">
        <f t="shared" si="43"/>
        <v>2365_1</v>
      </c>
      <c r="J2557" t="s">
        <v>533</v>
      </c>
      <c r="K2557" t="s">
        <v>429</v>
      </c>
      <c r="L2557" t="str">
        <f>_xlfn.XLOOKUP(C2557, Table2[Species],Table2[Genus], "Code Not Found")</f>
        <v>Tsuga</v>
      </c>
      <c r="M2557" t="str">
        <f>_xlfn.XLOOKUP(C2557, Table2[Species],Table2[Sp. Name], "Code Not Found")</f>
        <v>canadensis</v>
      </c>
      <c r="N2557" t="str">
        <f>_xlfn.XLOOKUP(C2557,Table2[Species],Table2[Family],"Code Not Found")</f>
        <v>Pinaceae</v>
      </c>
      <c r="O2557" t="str" cm="1">
        <f t="array" ref="O2557">_xlfn.IFS(F2557="","",F2557&lt;=5,"0 to 5",F2557&lt;=10,"5.1 to 10",F2557&lt;=20,"10 to 20", F2557&lt;= 40, "20 to 40", F2557 &lt;= 50, "40 to 50", F2557 &gt; 50, "&gt;50" )</f>
        <v>10 to 20</v>
      </c>
    </row>
    <row r="2558" spans="1:15" ht="15" customHeight="1" x14ac:dyDescent="0.3">
      <c r="A2558" t="s">
        <v>532</v>
      </c>
      <c r="B2558" s="1">
        <v>46213</v>
      </c>
      <c r="C2558" t="s">
        <v>22</v>
      </c>
      <c r="D2558">
        <v>2366</v>
      </c>
      <c r="E2558">
        <v>1</v>
      </c>
      <c r="F2558">
        <v>7.2</v>
      </c>
      <c r="G2558" t="s">
        <v>17</v>
      </c>
      <c r="I2558" t="str">
        <f t="shared" si="43"/>
        <v>2366_1</v>
      </c>
      <c r="J2558" t="s">
        <v>533</v>
      </c>
      <c r="K2558" t="s">
        <v>429</v>
      </c>
      <c r="L2558" t="str">
        <f>_xlfn.XLOOKUP(C2558, Table2[Species],Table2[Genus], "Code Not Found")</f>
        <v>Acer</v>
      </c>
      <c r="M2558" t="str">
        <f>_xlfn.XLOOKUP(C2558, Table2[Species],Table2[Sp. Name], "Code Not Found")</f>
        <v>rubrum</v>
      </c>
      <c r="N2558" t="str">
        <f>_xlfn.XLOOKUP(C2558,Table2[Species],Table2[Family],"Code Not Found")</f>
        <v>Sapindaceae</v>
      </c>
      <c r="O2558" t="str" cm="1">
        <f t="array" ref="O2558">_xlfn.IFS(F2558="","",F2558&lt;=5,"0 to 5",F2558&lt;=10,"5.1 to 10",F2558&lt;=20,"10 to 20", F2558&lt;= 40, "20 to 40", F2558 &lt;= 50, "40 to 50", F2558 &gt; 50, "&gt;50" )</f>
        <v>5.1 to 10</v>
      </c>
    </row>
    <row r="2559" spans="1:15" ht="15" customHeight="1" x14ac:dyDescent="0.3">
      <c r="A2559" t="s">
        <v>532</v>
      </c>
      <c r="B2559" s="1">
        <v>46213</v>
      </c>
      <c r="C2559" t="s">
        <v>16</v>
      </c>
      <c r="D2559">
        <v>2367</v>
      </c>
      <c r="E2559">
        <v>1</v>
      </c>
      <c r="F2559">
        <v>7</v>
      </c>
      <c r="G2559" t="s">
        <v>21</v>
      </c>
      <c r="I2559" t="str">
        <f t="shared" si="43"/>
        <v>2367_1</v>
      </c>
      <c r="J2559" t="s">
        <v>533</v>
      </c>
      <c r="K2559" t="s">
        <v>429</v>
      </c>
      <c r="L2559" t="str">
        <f>_xlfn.XLOOKUP(C2559, Table2[Species],Table2[Genus], "Code Not Found")</f>
        <v>Acer</v>
      </c>
      <c r="M2559" t="str">
        <f>_xlfn.XLOOKUP(C2559, Table2[Species],Table2[Sp. Name], "Code Not Found")</f>
        <v>saccharum</v>
      </c>
      <c r="N2559" t="str">
        <f>_xlfn.XLOOKUP(C2559,Table2[Species],Table2[Family],"Code Not Found")</f>
        <v>Sapindaceae</v>
      </c>
      <c r="O2559" t="str" cm="1">
        <f t="array" ref="O2559">_xlfn.IFS(F2559="","",F2559&lt;=5,"0 to 5",F2559&lt;=10,"5.1 to 10",F2559&lt;=20,"10 to 20", F2559&lt;= 40, "20 to 40", F2559 &lt;= 50, "40 to 50", F2559 &gt; 50, "&gt;50" )</f>
        <v>5.1 to 10</v>
      </c>
    </row>
    <row r="2560" spans="1:15" ht="15" customHeight="1" x14ac:dyDescent="0.3">
      <c r="A2560" t="s">
        <v>532</v>
      </c>
      <c r="B2560" s="1">
        <v>46213</v>
      </c>
      <c r="C2560" t="s">
        <v>430</v>
      </c>
      <c r="D2560">
        <v>2368</v>
      </c>
      <c r="E2560">
        <v>1</v>
      </c>
      <c r="F2560">
        <v>11.8</v>
      </c>
      <c r="G2560" t="s">
        <v>21</v>
      </c>
      <c r="I2560" t="str">
        <f t="shared" si="43"/>
        <v>2368_1</v>
      </c>
      <c r="J2560" t="s">
        <v>533</v>
      </c>
      <c r="K2560" t="s">
        <v>429</v>
      </c>
      <c r="L2560" t="str">
        <f>_xlfn.XLOOKUP(C2560, Table2[Species],Table2[Genus], "Code Not Found")</f>
        <v>Tsuga</v>
      </c>
      <c r="M2560" t="str">
        <f>_xlfn.XLOOKUP(C2560, Table2[Species],Table2[Sp. Name], "Code Not Found")</f>
        <v>canadensis</v>
      </c>
      <c r="N2560" t="str">
        <f>_xlfn.XLOOKUP(C2560,Table2[Species],Table2[Family],"Code Not Found")</f>
        <v>Pinaceae</v>
      </c>
      <c r="O2560" t="str" cm="1">
        <f t="array" ref="O2560">_xlfn.IFS(F2560="","",F2560&lt;=5,"0 to 5",F2560&lt;=10,"5.1 to 10",F2560&lt;=20,"10 to 20", F2560&lt;= 40, "20 to 40", F2560 &lt;= 50, "40 to 50", F2560 &gt; 50, "&gt;50" )</f>
        <v>10 to 20</v>
      </c>
    </row>
    <row r="2561" spans="1:15" ht="15" customHeight="1" x14ac:dyDescent="0.3">
      <c r="A2561" t="s">
        <v>532</v>
      </c>
      <c r="B2561" s="1">
        <v>46213</v>
      </c>
      <c r="C2561" t="s">
        <v>64</v>
      </c>
      <c r="D2561">
        <v>2369</v>
      </c>
      <c r="E2561">
        <v>1</v>
      </c>
      <c r="F2561">
        <v>9.6999999999999993</v>
      </c>
      <c r="G2561" t="s">
        <v>69</v>
      </c>
      <c r="I2561" t="str">
        <f t="shared" si="43"/>
        <v>2369_1</v>
      </c>
      <c r="J2561" t="s">
        <v>533</v>
      </c>
      <c r="K2561" t="s">
        <v>429</v>
      </c>
      <c r="L2561" t="str">
        <f>_xlfn.XLOOKUP(C2561, Table2[Species],Table2[Genus], "Code Not Found")</f>
        <v>Fagus</v>
      </c>
      <c r="M2561" t="str">
        <f>_xlfn.XLOOKUP(C2561, Table2[Species],Table2[Sp. Name], "Code Not Found")</f>
        <v>grandifolia</v>
      </c>
      <c r="N2561" t="str">
        <f>_xlfn.XLOOKUP(C2561,Table2[Species],Table2[Family],"Code Not Found")</f>
        <v>Fagaceae</v>
      </c>
      <c r="O2561" t="str" cm="1">
        <f t="array" ref="O2561">_xlfn.IFS(F2561="","",F2561&lt;=5,"0 to 5",F2561&lt;=10,"5.1 to 10",F2561&lt;=20,"10 to 20", F2561&lt;= 40, "20 to 40", F2561 &lt;= 50, "40 to 50", F2561 &gt; 50, "&gt;50" )</f>
        <v>5.1 to 10</v>
      </c>
    </row>
    <row r="2562" spans="1:15" ht="15" customHeight="1" x14ac:dyDescent="0.3">
      <c r="A2562" t="s">
        <v>532</v>
      </c>
      <c r="B2562" s="1">
        <v>46213</v>
      </c>
      <c r="C2562" t="s">
        <v>430</v>
      </c>
      <c r="D2562">
        <v>2370</v>
      </c>
      <c r="E2562">
        <v>1</v>
      </c>
      <c r="F2562">
        <v>14.2</v>
      </c>
      <c r="G2562" t="s">
        <v>17</v>
      </c>
      <c r="I2562" t="str">
        <f t="shared" si="43"/>
        <v>2370_1</v>
      </c>
      <c r="J2562" t="s">
        <v>533</v>
      </c>
      <c r="K2562" t="s">
        <v>429</v>
      </c>
      <c r="L2562" t="str">
        <f>_xlfn.XLOOKUP(C2562, Table2[Species],Table2[Genus], "Code Not Found")</f>
        <v>Tsuga</v>
      </c>
      <c r="M2562" t="str">
        <f>_xlfn.XLOOKUP(C2562, Table2[Species],Table2[Sp. Name], "Code Not Found")</f>
        <v>canadensis</v>
      </c>
      <c r="N2562" t="str">
        <f>_xlfn.XLOOKUP(C2562,Table2[Species],Table2[Family],"Code Not Found")</f>
        <v>Pinaceae</v>
      </c>
      <c r="O2562" t="str" cm="1">
        <f t="array" ref="O2562">_xlfn.IFS(F2562="","",F2562&lt;=5,"0 to 5",F2562&lt;=10,"5.1 to 10",F2562&lt;=20,"10 to 20", F2562&lt;= 40, "20 to 40", F2562 &lt;= 50, "40 to 50", F2562 &gt; 50, "&gt;50" )</f>
        <v>10 to 20</v>
      </c>
    </row>
    <row r="2563" spans="1:15" ht="15" customHeight="1" x14ac:dyDescent="0.3">
      <c r="A2563" t="s">
        <v>532</v>
      </c>
      <c r="B2563" s="1">
        <v>46213</v>
      </c>
      <c r="C2563" t="s">
        <v>430</v>
      </c>
      <c r="D2563">
        <v>2371</v>
      </c>
      <c r="E2563">
        <v>1</v>
      </c>
      <c r="F2563">
        <v>19.2</v>
      </c>
      <c r="G2563" t="s">
        <v>17</v>
      </c>
      <c r="I2563" t="str">
        <f t="shared" si="43"/>
        <v>2371_1</v>
      </c>
      <c r="J2563" t="s">
        <v>533</v>
      </c>
      <c r="K2563" t="s">
        <v>429</v>
      </c>
      <c r="L2563" t="str">
        <f>_xlfn.XLOOKUP(C2563, Table2[Species],Table2[Genus], "Code Not Found")</f>
        <v>Tsuga</v>
      </c>
      <c r="M2563" t="str">
        <f>_xlfn.XLOOKUP(C2563, Table2[Species],Table2[Sp. Name], "Code Not Found")</f>
        <v>canadensis</v>
      </c>
      <c r="N2563" t="str">
        <f>_xlfn.XLOOKUP(C2563,Table2[Species],Table2[Family],"Code Not Found")</f>
        <v>Pinaceae</v>
      </c>
      <c r="O2563" t="str" cm="1">
        <f t="array" ref="O2563">_xlfn.IFS(F2563="","",F2563&lt;=5,"0 to 5",F2563&lt;=10,"5.1 to 10",F2563&lt;=20,"10 to 20", F2563&lt;= 40, "20 to 40", F2563 &lt;= 50, "40 to 50", F2563 &gt; 50, "&gt;50" )</f>
        <v>10 to 20</v>
      </c>
    </row>
    <row r="2564" spans="1:15" ht="15" customHeight="1" x14ac:dyDescent="0.3">
      <c r="A2564" t="s">
        <v>532</v>
      </c>
      <c r="B2564" s="1">
        <v>46213</v>
      </c>
      <c r="C2564" t="s">
        <v>117</v>
      </c>
      <c r="D2564">
        <v>2372</v>
      </c>
      <c r="E2564">
        <v>1</v>
      </c>
      <c r="F2564">
        <v>2.1</v>
      </c>
      <c r="G2564" t="s">
        <v>17</v>
      </c>
      <c r="I2564" t="str">
        <f t="shared" si="43"/>
        <v>2372_1</v>
      </c>
      <c r="J2564" t="s">
        <v>533</v>
      </c>
      <c r="K2564" t="s">
        <v>429</v>
      </c>
      <c r="L2564" t="str">
        <f>_xlfn.XLOOKUP(C2564, Table2[Species],Table2[Genus], "Code Not Found")</f>
        <v>Ostrya</v>
      </c>
      <c r="M2564" t="str">
        <f>_xlfn.XLOOKUP(C2564, Table2[Species],Table2[Sp. Name], "Code Not Found")</f>
        <v>viginiana</v>
      </c>
      <c r="N2564" t="str">
        <f>_xlfn.XLOOKUP(C2564,Table2[Species],Table2[Family],"Code Not Found")</f>
        <v>Betulaceae</v>
      </c>
      <c r="O2564" t="str" cm="1">
        <f t="array" ref="O2564">_xlfn.IFS(F2564="","",F2564&lt;=5,"0 to 5",F2564&lt;=10,"5.1 to 10",F2564&lt;=20,"10 to 20", F2564&lt;= 40, "20 to 40", F2564 &lt;= 50, "40 to 50", F2564 &gt; 50, "&gt;50" )</f>
        <v>0 to 5</v>
      </c>
    </row>
    <row r="2565" spans="1:15" ht="15" customHeight="1" x14ac:dyDescent="0.3">
      <c r="A2565" t="s">
        <v>532</v>
      </c>
      <c r="B2565" s="1">
        <v>46213</v>
      </c>
      <c r="C2565" t="s">
        <v>16</v>
      </c>
      <c r="D2565">
        <v>2373</v>
      </c>
      <c r="E2565">
        <v>1</v>
      </c>
      <c r="F2565">
        <v>2.7</v>
      </c>
      <c r="G2565" t="s">
        <v>17</v>
      </c>
      <c r="I2565" t="str">
        <f t="shared" si="43"/>
        <v>2373_1</v>
      </c>
      <c r="J2565" t="s">
        <v>533</v>
      </c>
      <c r="K2565" t="s">
        <v>429</v>
      </c>
      <c r="L2565" t="str">
        <f>_xlfn.XLOOKUP(C2565, Table2[Species],Table2[Genus], "Code Not Found")</f>
        <v>Acer</v>
      </c>
      <c r="M2565" t="str">
        <f>_xlfn.XLOOKUP(C2565, Table2[Species],Table2[Sp. Name], "Code Not Found")</f>
        <v>saccharum</v>
      </c>
      <c r="N2565" t="str">
        <f>_xlfn.XLOOKUP(C2565,Table2[Species],Table2[Family],"Code Not Found")</f>
        <v>Sapindaceae</v>
      </c>
      <c r="O2565" t="str" cm="1">
        <f t="array" ref="O2565">_xlfn.IFS(F2565="","",F2565&lt;=5,"0 to 5",F2565&lt;=10,"5.1 to 10",F2565&lt;=20,"10 to 20", F2565&lt;= 40, "20 to 40", F2565 &lt;= 50, "40 to 50", F2565 &gt; 50, "&gt;50" )</f>
        <v>0 to 5</v>
      </c>
    </row>
    <row r="2566" spans="1:15" ht="15" customHeight="1" x14ac:dyDescent="0.3">
      <c r="A2566" t="s">
        <v>532</v>
      </c>
      <c r="B2566" s="1">
        <v>46213</v>
      </c>
      <c r="C2566" t="s">
        <v>117</v>
      </c>
      <c r="D2566">
        <v>2374</v>
      </c>
      <c r="E2566">
        <v>1</v>
      </c>
      <c r="F2566">
        <v>7.9</v>
      </c>
      <c r="G2566" t="s">
        <v>69</v>
      </c>
      <c r="I2566" t="str">
        <f t="shared" si="43"/>
        <v>2374_1</v>
      </c>
      <c r="J2566" t="s">
        <v>533</v>
      </c>
      <c r="K2566" t="s">
        <v>429</v>
      </c>
      <c r="L2566" t="str">
        <f>_xlfn.XLOOKUP(C2566, Table2[Species],Table2[Genus], "Code Not Found")</f>
        <v>Ostrya</v>
      </c>
      <c r="M2566" t="str">
        <f>_xlfn.XLOOKUP(C2566, Table2[Species],Table2[Sp. Name], "Code Not Found")</f>
        <v>viginiana</v>
      </c>
      <c r="N2566" t="str">
        <f>_xlfn.XLOOKUP(C2566,Table2[Species],Table2[Family],"Code Not Found")</f>
        <v>Betulaceae</v>
      </c>
      <c r="O2566" t="str" cm="1">
        <f t="array" ref="O2566">_xlfn.IFS(F2566="","",F2566&lt;=5,"0 to 5",F2566&lt;=10,"5.1 to 10",F2566&lt;=20,"10 to 20", F2566&lt;= 40, "20 to 40", F2566 &lt;= 50, "40 to 50", F2566 &gt; 50, "&gt;50" )</f>
        <v>5.1 to 10</v>
      </c>
    </row>
    <row r="2567" spans="1:15" ht="15" customHeight="1" x14ac:dyDescent="0.3">
      <c r="A2567" t="s">
        <v>532</v>
      </c>
      <c r="B2567" s="1">
        <v>46213</v>
      </c>
      <c r="C2567" t="s">
        <v>16</v>
      </c>
      <c r="D2567">
        <v>2375</v>
      </c>
      <c r="E2567">
        <v>1</v>
      </c>
      <c r="F2567">
        <v>5.2</v>
      </c>
      <c r="G2567" t="s">
        <v>17</v>
      </c>
      <c r="I2567" t="str">
        <f t="shared" si="43"/>
        <v>2375_1</v>
      </c>
      <c r="J2567" t="s">
        <v>533</v>
      </c>
      <c r="K2567" t="s">
        <v>429</v>
      </c>
      <c r="L2567" t="str">
        <f>_xlfn.XLOOKUP(C2567, Table2[Species],Table2[Genus], "Code Not Found")</f>
        <v>Acer</v>
      </c>
      <c r="M2567" t="str">
        <f>_xlfn.XLOOKUP(C2567, Table2[Species],Table2[Sp. Name], "Code Not Found")</f>
        <v>saccharum</v>
      </c>
      <c r="N2567" t="str">
        <f>_xlfn.XLOOKUP(C2567,Table2[Species],Table2[Family],"Code Not Found")</f>
        <v>Sapindaceae</v>
      </c>
      <c r="O2567" t="str" cm="1">
        <f t="array" ref="O2567">_xlfn.IFS(F2567="","",F2567&lt;=5,"0 to 5",F2567&lt;=10,"5.1 to 10",F2567&lt;=20,"10 to 20", F2567&lt;= 40, "20 to 40", F2567 &lt;= 50, "40 to 50", F2567 &gt; 50, "&gt;50" )</f>
        <v>5.1 to 10</v>
      </c>
    </row>
    <row r="2568" spans="1:15" ht="15" customHeight="1" x14ac:dyDescent="0.3">
      <c r="A2568" t="s">
        <v>532</v>
      </c>
      <c r="B2568" s="1">
        <v>46213</v>
      </c>
      <c r="C2568" t="s">
        <v>430</v>
      </c>
      <c r="D2568">
        <v>2376</v>
      </c>
      <c r="E2568">
        <v>1</v>
      </c>
      <c r="F2568">
        <v>12.9</v>
      </c>
      <c r="G2568" t="s">
        <v>69</v>
      </c>
      <c r="I2568" t="str">
        <f t="shared" si="43"/>
        <v>2376_1</v>
      </c>
      <c r="J2568" t="s">
        <v>533</v>
      </c>
      <c r="K2568" t="s">
        <v>429</v>
      </c>
      <c r="L2568" t="str">
        <f>_xlfn.XLOOKUP(C2568, Table2[Species],Table2[Genus], "Code Not Found")</f>
        <v>Tsuga</v>
      </c>
      <c r="M2568" t="str">
        <f>_xlfn.XLOOKUP(C2568, Table2[Species],Table2[Sp. Name], "Code Not Found")</f>
        <v>canadensis</v>
      </c>
      <c r="N2568" t="str">
        <f>_xlfn.XLOOKUP(C2568,Table2[Species],Table2[Family],"Code Not Found")</f>
        <v>Pinaceae</v>
      </c>
      <c r="O2568" t="str" cm="1">
        <f t="array" ref="O2568">_xlfn.IFS(F2568="","",F2568&lt;=5,"0 to 5",F2568&lt;=10,"5.1 to 10",F2568&lt;=20,"10 to 20", F2568&lt;= 40, "20 to 40", F2568 &lt;= 50, "40 to 50", F2568 &gt; 50, "&gt;50" )</f>
        <v>10 to 20</v>
      </c>
    </row>
    <row r="2569" spans="1:15" ht="15" customHeight="1" x14ac:dyDescent="0.3">
      <c r="A2569" t="s">
        <v>532</v>
      </c>
      <c r="B2569" s="1">
        <v>46213</v>
      </c>
      <c r="C2569" t="s">
        <v>430</v>
      </c>
      <c r="D2569">
        <v>2377</v>
      </c>
      <c r="E2569">
        <v>1</v>
      </c>
      <c r="F2569">
        <v>20.6</v>
      </c>
      <c r="G2569" t="s">
        <v>69</v>
      </c>
      <c r="I2569" t="str">
        <f t="shared" si="43"/>
        <v>2377_1</v>
      </c>
      <c r="J2569" t="s">
        <v>533</v>
      </c>
      <c r="K2569" t="s">
        <v>429</v>
      </c>
      <c r="L2569" t="str">
        <f>_xlfn.XLOOKUP(C2569, Table2[Species],Table2[Genus], "Code Not Found")</f>
        <v>Tsuga</v>
      </c>
      <c r="M2569" t="str">
        <f>_xlfn.XLOOKUP(C2569, Table2[Species],Table2[Sp. Name], "Code Not Found")</f>
        <v>canadensis</v>
      </c>
      <c r="N2569" t="str">
        <f>_xlfn.XLOOKUP(C2569,Table2[Species],Table2[Family],"Code Not Found")</f>
        <v>Pinaceae</v>
      </c>
      <c r="O2569" t="str" cm="1">
        <f t="array" ref="O2569">_xlfn.IFS(F2569="","",F2569&lt;=5,"0 to 5",F2569&lt;=10,"5.1 to 10",F2569&lt;=20,"10 to 20", F2569&lt;= 40, "20 to 40", F2569 &lt;= 50, "40 to 50", F2569 &gt; 50, "&gt;50" )</f>
        <v>20 to 40</v>
      </c>
    </row>
    <row r="2570" spans="1:15" ht="15" customHeight="1" x14ac:dyDescent="0.3">
      <c r="A2570" t="s">
        <v>532</v>
      </c>
      <c r="B2570" s="1">
        <v>46213</v>
      </c>
      <c r="C2570" t="s">
        <v>430</v>
      </c>
      <c r="D2570">
        <v>2378</v>
      </c>
      <c r="E2570">
        <v>1</v>
      </c>
      <c r="F2570">
        <v>8.8000000000000007</v>
      </c>
      <c r="G2570" t="s">
        <v>17</v>
      </c>
      <c r="I2570" t="str">
        <f t="shared" si="43"/>
        <v>2378_1</v>
      </c>
      <c r="J2570" t="s">
        <v>533</v>
      </c>
      <c r="K2570" t="s">
        <v>429</v>
      </c>
      <c r="L2570" t="str">
        <f>_xlfn.XLOOKUP(C2570, Table2[Species],Table2[Genus], "Code Not Found")</f>
        <v>Tsuga</v>
      </c>
      <c r="M2570" t="str">
        <f>_xlfn.XLOOKUP(C2570, Table2[Species],Table2[Sp. Name], "Code Not Found")</f>
        <v>canadensis</v>
      </c>
      <c r="N2570" t="str">
        <f>_xlfn.XLOOKUP(C2570,Table2[Species],Table2[Family],"Code Not Found")</f>
        <v>Pinaceae</v>
      </c>
      <c r="O2570" t="str" cm="1">
        <f t="array" ref="O2570">_xlfn.IFS(F2570="","",F2570&lt;=5,"0 to 5",F2570&lt;=10,"5.1 to 10",F2570&lt;=20,"10 to 20", F2570&lt;= 40, "20 to 40", F2570 &lt;= 50, "40 to 50", F2570 &gt; 50, "&gt;50" )</f>
        <v>5.1 to 10</v>
      </c>
    </row>
    <row r="2571" spans="1:15" ht="15" customHeight="1" x14ac:dyDescent="0.3">
      <c r="A2571" t="s">
        <v>532</v>
      </c>
      <c r="B2571" s="1">
        <v>46213</v>
      </c>
      <c r="C2571" t="s">
        <v>430</v>
      </c>
      <c r="D2571">
        <v>2379</v>
      </c>
      <c r="E2571">
        <v>1</v>
      </c>
      <c r="F2571">
        <v>21.2</v>
      </c>
      <c r="G2571" t="s">
        <v>21</v>
      </c>
      <c r="I2571" t="str">
        <f t="shared" si="43"/>
        <v>2379_1</v>
      </c>
      <c r="J2571" t="s">
        <v>533</v>
      </c>
      <c r="K2571" t="s">
        <v>429</v>
      </c>
      <c r="L2571" t="str">
        <f>_xlfn.XLOOKUP(C2571, Table2[Species],Table2[Genus], "Code Not Found")</f>
        <v>Tsuga</v>
      </c>
      <c r="M2571" t="str">
        <f>_xlfn.XLOOKUP(C2571, Table2[Species],Table2[Sp. Name], "Code Not Found")</f>
        <v>canadensis</v>
      </c>
      <c r="N2571" t="str">
        <f>_xlfn.XLOOKUP(C2571,Table2[Species],Table2[Family],"Code Not Found")</f>
        <v>Pinaceae</v>
      </c>
      <c r="O2571" t="str" cm="1">
        <f t="array" ref="O2571">_xlfn.IFS(F2571="","",F2571&lt;=5,"0 to 5",F2571&lt;=10,"5.1 to 10",F2571&lt;=20,"10 to 20", F2571&lt;= 40, "20 to 40", F2571 &lt;= 50, "40 to 50", F2571 &gt; 50, "&gt;50" )</f>
        <v>20 to 40</v>
      </c>
    </row>
    <row r="2572" spans="1:15" ht="15" customHeight="1" x14ac:dyDescent="0.3">
      <c r="A2572" t="s">
        <v>532</v>
      </c>
      <c r="B2572" s="1">
        <v>46213</v>
      </c>
      <c r="C2572" t="s">
        <v>16</v>
      </c>
      <c r="D2572">
        <v>2380</v>
      </c>
      <c r="E2572">
        <v>1</v>
      </c>
      <c r="F2572">
        <v>20.6</v>
      </c>
      <c r="G2572" t="s">
        <v>21</v>
      </c>
      <c r="I2572" t="str">
        <f t="shared" si="43"/>
        <v>2380_1</v>
      </c>
      <c r="J2572" t="s">
        <v>533</v>
      </c>
      <c r="K2572" t="s">
        <v>429</v>
      </c>
      <c r="L2572" t="str">
        <f>_xlfn.XLOOKUP(C2572, Table2[Species],Table2[Genus], "Code Not Found")</f>
        <v>Acer</v>
      </c>
      <c r="M2572" t="str">
        <f>_xlfn.XLOOKUP(C2572, Table2[Species],Table2[Sp. Name], "Code Not Found")</f>
        <v>saccharum</v>
      </c>
      <c r="N2572" t="str">
        <f>_xlfn.XLOOKUP(C2572,Table2[Species],Table2[Family],"Code Not Found")</f>
        <v>Sapindaceae</v>
      </c>
      <c r="O2572" t="str" cm="1">
        <f t="array" ref="O2572">_xlfn.IFS(F2572="","",F2572&lt;=5,"0 to 5",F2572&lt;=10,"5.1 to 10",F2572&lt;=20,"10 to 20", F2572&lt;= 40, "20 to 40", F2572 &lt;= 50, "40 to 50", F2572 &gt; 50, "&gt;50" )</f>
        <v>20 to 40</v>
      </c>
    </row>
    <row r="2573" spans="1:15" ht="15" customHeight="1" x14ac:dyDescent="0.3">
      <c r="A2573" t="s">
        <v>532</v>
      </c>
      <c r="B2573" s="1">
        <v>46213</v>
      </c>
      <c r="C2573" t="s">
        <v>64</v>
      </c>
      <c r="D2573">
        <v>2381</v>
      </c>
      <c r="E2573">
        <v>1</v>
      </c>
      <c r="F2573">
        <v>18.399999999999999</v>
      </c>
      <c r="G2573" t="s">
        <v>21</v>
      </c>
      <c r="H2573" t="s">
        <v>538</v>
      </c>
      <c r="I2573" t="str">
        <f t="shared" si="43"/>
        <v>2381_1</v>
      </c>
      <c r="J2573" t="s">
        <v>533</v>
      </c>
      <c r="K2573" t="s">
        <v>429</v>
      </c>
      <c r="L2573" t="str">
        <f>_xlfn.XLOOKUP(C2573, Table2[Species],Table2[Genus], "Code Not Found")</f>
        <v>Fagus</v>
      </c>
      <c r="M2573" t="str">
        <f>_xlfn.XLOOKUP(C2573, Table2[Species],Table2[Sp. Name], "Code Not Found")</f>
        <v>grandifolia</v>
      </c>
      <c r="N2573" t="str">
        <f>_xlfn.XLOOKUP(C2573,Table2[Species],Table2[Family],"Code Not Found")</f>
        <v>Fagaceae</v>
      </c>
      <c r="O2573" t="str" cm="1">
        <f t="array" ref="O2573">_xlfn.IFS(F2573="","",F2573&lt;=5,"0 to 5",F2573&lt;=10,"5.1 to 10",F2573&lt;=20,"10 to 20", F2573&lt;= 40, "20 to 40", F2573 &lt;= 50, "40 to 50", F2573 &gt; 50, "&gt;50" )</f>
        <v>10 to 20</v>
      </c>
    </row>
    <row r="2574" spans="1:15" ht="15" customHeight="1" x14ac:dyDescent="0.3">
      <c r="A2574" t="s">
        <v>532</v>
      </c>
      <c r="B2574" s="1">
        <v>46213</v>
      </c>
      <c r="C2574" t="s">
        <v>430</v>
      </c>
      <c r="D2574">
        <v>2382</v>
      </c>
      <c r="E2574">
        <v>1</v>
      </c>
      <c r="F2574">
        <v>23.7</v>
      </c>
      <c r="G2574" t="s">
        <v>30</v>
      </c>
      <c r="H2574" t="s">
        <v>99</v>
      </c>
      <c r="I2574" t="str">
        <f t="shared" si="43"/>
        <v>2382_1</v>
      </c>
      <c r="J2574" t="s">
        <v>533</v>
      </c>
      <c r="K2574" t="s">
        <v>429</v>
      </c>
      <c r="L2574" t="str">
        <f>_xlfn.XLOOKUP(C2574, Table2[Species],Table2[Genus], "Code Not Found")</f>
        <v>Tsuga</v>
      </c>
      <c r="M2574" t="str">
        <f>_xlfn.XLOOKUP(C2574, Table2[Species],Table2[Sp. Name], "Code Not Found")</f>
        <v>canadensis</v>
      </c>
      <c r="N2574" t="str">
        <f>_xlfn.XLOOKUP(C2574,Table2[Species],Table2[Family],"Code Not Found")</f>
        <v>Pinaceae</v>
      </c>
      <c r="O2574" t="str" cm="1">
        <f t="array" ref="O2574">_xlfn.IFS(F2574="","",F2574&lt;=5,"0 to 5",F2574&lt;=10,"5.1 to 10",F2574&lt;=20,"10 to 20", F2574&lt;= 40, "20 to 40", F2574 &lt;= 50, "40 to 50", F2574 &gt; 50, "&gt;50" )</f>
        <v>20 to 40</v>
      </c>
    </row>
    <row r="2575" spans="1:15" ht="15" customHeight="1" x14ac:dyDescent="0.3">
      <c r="A2575" t="s">
        <v>532</v>
      </c>
      <c r="B2575" s="1">
        <v>46213</v>
      </c>
      <c r="C2575" t="s">
        <v>64</v>
      </c>
      <c r="D2575">
        <v>2383</v>
      </c>
      <c r="E2575">
        <v>1</v>
      </c>
      <c r="F2575">
        <v>10.9</v>
      </c>
      <c r="G2575" t="s">
        <v>17</v>
      </c>
      <c r="H2575" t="s">
        <v>542</v>
      </c>
      <c r="I2575" t="str">
        <f t="shared" si="43"/>
        <v>2383_1</v>
      </c>
      <c r="J2575" t="s">
        <v>533</v>
      </c>
      <c r="K2575" t="s">
        <v>429</v>
      </c>
      <c r="L2575" t="str">
        <f>_xlfn.XLOOKUP(C2575, Table2[Species],Table2[Genus], "Code Not Found")</f>
        <v>Fagus</v>
      </c>
      <c r="M2575" t="str">
        <f>_xlfn.XLOOKUP(C2575, Table2[Species],Table2[Sp. Name], "Code Not Found")</f>
        <v>grandifolia</v>
      </c>
      <c r="N2575" t="str">
        <f>_xlfn.XLOOKUP(C2575,Table2[Species],Table2[Family],"Code Not Found")</f>
        <v>Fagaceae</v>
      </c>
      <c r="O2575" t="str" cm="1">
        <f t="array" ref="O2575">_xlfn.IFS(F2575="","",F2575&lt;=5,"0 to 5",F2575&lt;=10,"5.1 to 10",F2575&lt;=20,"10 to 20", F2575&lt;= 40, "20 to 40", F2575 &lt;= 50, "40 to 50", F2575 &gt; 50, "&gt;50" )</f>
        <v>10 to 20</v>
      </c>
    </row>
    <row r="2576" spans="1:15" ht="15" customHeight="1" x14ac:dyDescent="0.3">
      <c r="A2576" t="s">
        <v>532</v>
      </c>
      <c r="B2576" s="1">
        <v>46216</v>
      </c>
      <c r="C2576" t="s">
        <v>22</v>
      </c>
      <c r="D2576">
        <v>2384</v>
      </c>
      <c r="E2576">
        <v>1</v>
      </c>
      <c r="F2576">
        <v>29.6</v>
      </c>
      <c r="G2576" t="s">
        <v>17</v>
      </c>
      <c r="I2576" t="str">
        <f t="shared" si="43"/>
        <v>2384_1</v>
      </c>
      <c r="J2576" t="s">
        <v>533</v>
      </c>
      <c r="K2576" t="s">
        <v>429</v>
      </c>
      <c r="L2576" t="str">
        <f>_xlfn.XLOOKUP(C2576, Table2[Species],Table2[Genus], "Code Not Found")</f>
        <v>Acer</v>
      </c>
      <c r="M2576" t="str">
        <f>_xlfn.XLOOKUP(C2576, Table2[Species],Table2[Sp. Name], "Code Not Found")</f>
        <v>rubrum</v>
      </c>
      <c r="N2576" t="str">
        <f>_xlfn.XLOOKUP(C2576,Table2[Species],Table2[Family],"Code Not Found")</f>
        <v>Sapindaceae</v>
      </c>
      <c r="O2576" t="str" cm="1">
        <f t="array" ref="O2576">_xlfn.IFS(F2576="","",F2576&lt;=5,"0 to 5",F2576&lt;=10,"5.1 to 10",F2576&lt;=20,"10 to 20", F2576&lt;= 40, "20 to 40", F2576 &lt;= 50, "40 to 50", F2576 &gt; 50, "&gt;50" )</f>
        <v>20 to 40</v>
      </c>
    </row>
    <row r="2577" spans="1:15" ht="15" customHeight="1" x14ac:dyDescent="0.3">
      <c r="A2577" t="s">
        <v>532</v>
      </c>
      <c r="B2577" s="1">
        <v>46216</v>
      </c>
      <c r="C2577" t="s">
        <v>20</v>
      </c>
      <c r="D2577">
        <v>2385</v>
      </c>
      <c r="E2577">
        <v>1</v>
      </c>
      <c r="F2577">
        <v>61.2</v>
      </c>
      <c r="G2577" t="s">
        <v>17</v>
      </c>
      <c r="I2577" t="str">
        <f t="shared" si="43"/>
        <v>2385_1</v>
      </c>
      <c r="J2577" t="s">
        <v>533</v>
      </c>
      <c r="K2577" t="s">
        <v>429</v>
      </c>
      <c r="L2577" t="str">
        <f>_xlfn.XLOOKUP(C2577, Table2[Species],Table2[Genus], "Code Not Found")</f>
        <v>Prunus</v>
      </c>
      <c r="M2577" t="str">
        <f>_xlfn.XLOOKUP(C2577, Table2[Species],Table2[Sp. Name], "Code Not Found")</f>
        <v>serotina</v>
      </c>
      <c r="N2577" t="str">
        <f>_xlfn.XLOOKUP(C2577,Table2[Species],Table2[Family],"Code Not Found")</f>
        <v>Rosaceae</v>
      </c>
      <c r="O2577" t="str" cm="1">
        <f t="array" ref="O2577">_xlfn.IFS(F2577="","",F2577&lt;=5,"0 to 5",F2577&lt;=10,"5.1 to 10",F2577&lt;=20,"10 to 20", F2577&lt;= 40, "20 to 40", F2577 &lt;= 50, "40 to 50", F2577 &gt; 50, "&gt;50" )</f>
        <v>&gt;50</v>
      </c>
    </row>
    <row r="2578" spans="1:15" ht="15" customHeight="1" x14ac:dyDescent="0.3">
      <c r="A2578" t="s">
        <v>532</v>
      </c>
      <c r="B2578" s="1">
        <v>46216</v>
      </c>
      <c r="C2578" t="s">
        <v>543</v>
      </c>
      <c r="D2578">
        <v>2386</v>
      </c>
      <c r="E2578">
        <v>1</v>
      </c>
      <c r="F2578">
        <v>27.3</v>
      </c>
      <c r="G2578" t="s">
        <v>17</v>
      </c>
      <c r="I2578" t="str">
        <f t="shared" si="43"/>
        <v>2386_1</v>
      </c>
      <c r="J2578" t="s">
        <v>533</v>
      </c>
      <c r="K2578" t="s">
        <v>429</v>
      </c>
      <c r="L2578" t="str">
        <f>_xlfn.XLOOKUP(C2578, Table2[Species],Table2[Genus], "Code Not Found")</f>
        <v>Betula</v>
      </c>
      <c r="M2578" t="str">
        <f>_xlfn.XLOOKUP(C2578, Table2[Species],Table2[Sp. Name], "Code Not Found")</f>
        <v>alleghaniensis</v>
      </c>
      <c r="N2578" t="str">
        <f>_xlfn.XLOOKUP(C2578,Table2[Species],Table2[Family],"Code Not Found")</f>
        <v>Betulaceae</v>
      </c>
      <c r="O2578" t="str" cm="1">
        <f t="array" ref="O2578">_xlfn.IFS(F2578="","",F2578&lt;=5,"0 to 5",F2578&lt;=10,"5.1 to 10",F2578&lt;=20,"10 to 20", F2578&lt;= 40, "20 to 40", F2578 &lt;= 50, "40 to 50", F2578 &gt; 50, "&gt;50" )</f>
        <v>20 to 40</v>
      </c>
    </row>
    <row r="2579" spans="1:15" ht="15" customHeight="1" x14ac:dyDescent="0.3">
      <c r="A2579" t="s">
        <v>532</v>
      </c>
      <c r="B2579" s="1">
        <v>46216</v>
      </c>
      <c r="C2579" t="s">
        <v>430</v>
      </c>
      <c r="D2579">
        <v>2387</v>
      </c>
      <c r="E2579">
        <v>1</v>
      </c>
      <c r="F2579">
        <v>13.9</v>
      </c>
      <c r="G2579" t="s">
        <v>17</v>
      </c>
      <c r="I2579" t="str">
        <f t="shared" si="43"/>
        <v>2387_1</v>
      </c>
      <c r="J2579" t="s">
        <v>533</v>
      </c>
      <c r="K2579" t="s">
        <v>429</v>
      </c>
      <c r="L2579" t="str">
        <f>_xlfn.XLOOKUP(C2579, Table2[Species],Table2[Genus], "Code Not Found")</f>
        <v>Tsuga</v>
      </c>
      <c r="M2579" t="str">
        <f>_xlfn.XLOOKUP(C2579, Table2[Species],Table2[Sp. Name], "Code Not Found")</f>
        <v>canadensis</v>
      </c>
      <c r="N2579" t="str">
        <f>_xlfn.XLOOKUP(C2579,Table2[Species],Table2[Family],"Code Not Found")</f>
        <v>Pinaceae</v>
      </c>
      <c r="O2579" t="str" cm="1">
        <f t="array" ref="O2579">_xlfn.IFS(F2579="","",F2579&lt;=5,"0 to 5",F2579&lt;=10,"5.1 to 10",F2579&lt;=20,"10 to 20", F2579&lt;= 40, "20 to 40", F2579 &lt;= 50, "40 to 50", F2579 &gt; 50, "&gt;50" )</f>
        <v>10 to 20</v>
      </c>
    </row>
    <row r="2580" spans="1:15" ht="15" customHeight="1" x14ac:dyDescent="0.3">
      <c r="A2580" t="s">
        <v>532</v>
      </c>
      <c r="B2580" s="1">
        <v>46216</v>
      </c>
      <c r="C2580" t="s">
        <v>430</v>
      </c>
      <c r="D2580">
        <v>2388</v>
      </c>
      <c r="E2580">
        <v>1</v>
      </c>
      <c r="F2580">
        <v>6.6</v>
      </c>
      <c r="G2580" t="s">
        <v>17</v>
      </c>
      <c r="I2580" t="str">
        <f t="shared" si="43"/>
        <v>2388_1</v>
      </c>
      <c r="J2580" t="s">
        <v>533</v>
      </c>
      <c r="K2580" t="s">
        <v>429</v>
      </c>
      <c r="L2580" t="str">
        <f>_xlfn.XLOOKUP(C2580, Table2[Species],Table2[Genus], "Code Not Found")</f>
        <v>Tsuga</v>
      </c>
      <c r="M2580" t="str">
        <f>_xlfn.XLOOKUP(C2580, Table2[Species],Table2[Sp. Name], "Code Not Found")</f>
        <v>canadensis</v>
      </c>
      <c r="N2580" t="str">
        <f>_xlfn.XLOOKUP(C2580,Table2[Species],Table2[Family],"Code Not Found")</f>
        <v>Pinaceae</v>
      </c>
      <c r="O2580" t="str" cm="1">
        <f t="array" ref="O2580">_xlfn.IFS(F2580="","",F2580&lt;=5,"0 to 5",F2580&lt;=10,"5.1 to 10",F2580&lt;=20,"10 to 20", F2580&lt;= 40, "20 to 40", F2580 &lt;= 50, "40 to 50", F2580 &gt; 50, "&gt;50" )</f>
        <v>5.1 to 10</v>
      </c>
    </row>
    <row r="2581" spans="1:15" ht="15" customHeight="1" x14ac:dyDescent="0.3">
      <c r="A2581" t="s">
        <v>532</v>
      </c>
      <c r="B2581" s="1">
        <v>46216</v>
      </c>
      <c r="C2581" t="s">
        <v>430</v>
      </c>
      <c r="D2581">
        <v>2389</v>
      </c>
      <c r="E2581">
        <v>1</v>
      </c>
      <c r="F2581">
        <v>28.6</v>
      </c>
      <c r="G2581" t="s">
        <v>17</v>
      </c>
      <c r="I2581" t="str">
        <f t="shared" si="43"/>
        <v>2389_1</v>
      </c>
      <c r="J2581" t="s">
        <v>533</v>
      </c>
      <c r="K2581" t="s">
        <v>429</v>
      </c>
      <c r="L2581" t="str">
        <f>_xlfn.XLOOKUP(C2581, Table2[Species],Table2[Genus], "Code Not Found")</f>
        <v>Tsuga</v>
      </c>
      <c r="M2581" t="str">
        <f>_xlfn.XLOOKUP(C2581, Table2[Species],Table2[Sp. Name], "Code Not Found")</f>
        <v>canadensis</v>
      </c>
      <c r="N2581" t="str">
        <f>_xlfn.XLOOKUP(C2581,Table2[Species],Table2[Family],"Code Not Found")</f>
        <v>Pinaceae</v>
      </c>
      <c r="O2581" t="str" cm="1">
        <f t="array" ref="O2581">_xlfn.IFS(F2581="","",F2581&lt;=5,"0 to 5",F2581&lt;=10,"5.1 to 10",F2581&lt;=20,"10 to 20", F2581&lt;= 40, "20 to 40", F2581 &lt;= 50, "40 to 50", F2581 &gt; 50, "&gt;50" )</f>
        <v>20 to 40</v>
      </c>
    </row>
    <row r="2582" spans="1:15" ht="15" customHeight="1" x14ac:dyDescent="0.3">
      <c r="A2582" t="s">
        <v>532</v>
      </c>
      <c r="B2582" s="1">
        <v>46216</v>
      </c>
      <c r="C2582" t="s">
        <v>123</v>
      </c>
      <c r="D2582">
        <v>2390</v>
      </c>
      <c r="E2582">
        <v>1</v>
      </c>
      <c r="F2582">
        <v>55.4</v>
      </c>
      <c r="G2582" t="s">
        <v>17</v>
      </c>
      <c r="I2582" t="str">
        <f t="shared" si="43"/>
        <v>2390_1</v>
      </c>
      <c r="J2582" t="s">
        <v>533</v>
      </c>
      <c r="K2582" t="s">
        <v>429</v>
      </c>
      <c r="L2582" t="str">
        <f>_xlfn.XLOOKUP(C2582, Table2[Species],Table2[Genus], "Code Not Found")</f>
        <v>Quercus</v>
      </c>
      <c r="M2582" t="str">
        <f>_xlfn.XLOOKUP(C2582, Table2[Species],Table2[Sp. Name], "Code Not Found")</f>
        <v>rubra</v>
      </c>
      <c r="N2582" t="str">
        <f>_xlfn.XLOOKUP(C2582,Table2[Species],Table2[Family],"Code Not Found")</f>
        <v>Fagaceae</v>
      </c>
      <c r="O2582" t="str" cm="1">
        <f t="array" ref="O2582">_xlfn.IFS(F2582="","",F2582&lt;=5,"0 to 5",F2582&lt;=10,"5.1 to 10",F2582&lt;=20,"10 to 20", F2582&lt;= 40, "20 to 40", F2582 &lt;= 50, "40 to 50", F2582 &gt; 50, "&gt;50" )</f>
        <v>&gt;50</v>
      </c>
    </row>
    <row r="2583" spans="1:15" ht="15" customHeight="1" x14ac:dyDescent="0.3">
      <c r="A2583" t="s">
        <v>532</v>
      </c>
      <c r="B2583" s="1">
        <v>46216</v>
      </c>
      <c r="C2583" t="s">
        <v>430</v>
      </c>
      <c r="D2583">
        <v>2391</v>
      </c>
      <c r="E2583">
        <v>1</v>
      </c>
      <c r="F2583">
        <v>10.6</v>
      </c>
      <c r="G2583" t="s">
        <v>17</v>
      </c>
      <c r="I2583" t="str">
        <f t="shared" si="43"/>
        <v>2391_1</v>
      </c>
      <c r="J2583" t="s">
        <v>533</v>
      </c>
      <c r="K2583" t="s">
        <v>429</v>
      </c>
      <c r="L2583" t="str">
        <f>_xlfn.XLOOKUP(C2583, Table2[Species],Table2[Genus], "Code Not Found")</f>
        <v>Tsuga</v>
      </c>
      <c r="M2583" t="str">
        <f>_xlfn.XLOOKUP(C2583, Table2[Species],Table2[Sp. Name], "Code Not Found")</f>
        <v>canadensis</v>
      </c>
      <c r="N2583" t="str">
        <f>_xlfn.XLOOKUP(C2583,Table2[Species],Table2[Family],"Code Not Found")</f>
        <v>Pinaceae</v>
      </c>
      <c r="O2583" t="str" cm="1">
        <f t="array" ref="O2583">_xlfn.IFS(F2583="","",F2583&lt;=5,"0 to 5",F2583&lt;=10,"5.1 to 10",F2583&lt;=20,"10 to 20", F2583&lt;= 40, "20 to 40", F2583 &lt;= 50, "40 to 50", F2583 &gt; 50, "&gt;50" )</f>
        <v>10 to 20</v>
      </c>
    </row>
    <row r="2584" spans="1:15" ht="15" customHeight="1" x14ac:dyDescent="0.3">
      <c r="A2584" t="s">
        <v>532</v>
      </c>
      <c r="B2584" s="1">
        <v>46216</v>
      </c>
      <c r="C2584" t="s">
        <v>430</v>
      </c>
      <c r="D2584">
        <v>2392</v>
      </c>
      <c r="E2584">
        <v>1</v>
      </c>
      <c r="F2584">
        <v>7.6</v>
      </c>
      <c r="G2584" t="s">
        <v>69</v>
      </c>
      <c r="I2584" t="str">
        <f t="shared" si="43"/>
        <v>2392_1</v>
      </c>
      <c r="J2584" t="s">
        <v>533</v>
      </c>
      <c r="K2584" t="s">
        <v>429</v>
      </c>
      <c r="L2584" t="str">
        <f>_xlfn.XLOOKUP(C2584, Table2[Species],Table2[Genus], "Code Not Found")</f>
        <v>Tsuga</v>
      </c>
      <c r="M2584" t="str">
        <f>_xlfn.XLOOKUP(C2584, Table2[Species],Table2[Sp. Name], "Code Not Found")</f>
        <v>canadensis</v>
      </c>
      <c r="N2584" t="str">
        <f>_xlfn.XLOOKUP(C2584,Table2[Species],Table2[Family],"Code Not Found")</f>
        <v>Pinaceae</v>
      </c>
      <c r="O2584" t="str" cm="1">
        <f t="array" ref="O2584">_xlfn.IFS(F2584="","",F2584&lt;=5,"0 to 5",F2584&lt;=10,"5.1 to 10",F2584&lt;=20,"10 to 20", F2584&lt;= 40, "20 to 40", F2584 &lt;= 50, "40 to 50", F2584 &gt; 50, "&gt;50" )</f>
        <v>5.1 to 10</v>
      </c>
    </row>
    <row r="2585" spans="1:15" ht="15" customHeight="1" x14ac:dyDescent="0.3">
      <c r="A2585" t="s">
        <v>532</v>
      </c>
      <c r="B2585" s="1">
        <v>46216</v>
      </c>
      <c r="C2585" t="s">
        <v>123</v>
      </c>
      <c r="D2585">
        <v>2393</v>
      </c>
      <c r="E2585">
        <v>1</v>
      </c>
      <c r="F2585">
        <v>65.400000000000006</v>
      </c>
      <c r="G2585" t="s">
        <v>17</v>
      </c>
      <c r="I2585" t="str">
        <f t="shared" si="43"/>
        <v>2393_1</v>
      </c>
      <c r="J2585" t="s">
        <v>533</v>
      </c>
      <c r="K2585" t="s">
        <v>429</v>
      </c>
      <c r="L2585" t="str">
        <f>_xlfn.XLOOKUP(C2585, Table2[Species],Table2[Genus], "Code Not Found")</f>
        <v>Quercus</v>
      </c>
      <c r="M2585" t="str">
        <f>_xlfn.XLOOKUP(C2585, Table2[Species],Table2[Sp. Name], "Code Not Found")</f>
        <v>rubra</v>
      </c>
      <c r="N2585" t="str">
        <f>_xlfn.XLOOKUP(C2585,Table2[Species],Table2[Family],"Code Not Found")</f>
        <v>Fagaceae</v>
      </c>
      <c r="O2585" t="str" cm="1">
        <f t="array" ref="O2585">_xlfn.IFS(F2585="","",F2585&lt;=5,"0 to 5",F2585&lt;=10,"5.1 to 10",F2585&lt;=20,"10 to 20", F2585&lt;= 40, "20 to 40", F2585 &lt;= 50, "40 to 50", F2585 &gt; 50, "&gt;50" )</f>
        <v>&gt;50</v>
      </c>
    </row>
    <row r="2586" spans="1:15" ht="15" customHeight="1" x14ac:dyDescent="0.3">
      <c r="A2586" t="s">
        <v>532</v>
      </c>
      <c r="B2586" s="1">
        <v>46216</v>
      </c>
      <c r="C2586" t="s">
        <v>16</v>
      </c>
      <c r="D2586">
        <v>2394</v>
      </c>
      <c r="E2586">
        <v>1</v>
      </c>
      <c r="F2586">
        <v>15.1</v>
      </c>
      <c r="G2586" t="s">
        <v>17</v>
      </c>
      <c r="I2586" t="str">
        <f t="shared" si="43"/>
        <v>2394_1</v>
      </c>
      <c r="J2586" t="s">
        <v>533</v>
      </c>
      <c r="K2586" t="s">
        <v>429</v>
      </c>
      <c r="L2586" t="str">
        <f>_xlfn.XLOOKUP(C2586, Table2[Species],Table2[Genus], "Code Not Found")</f>
        <v>Acer</v>
      </c>
      <c r="M2586" t="str">
        <f>_xlfn.XLOOKUP(C2586, Table2[Species],Table2[Sp. Name], "Code Not Found")</f>
        <v>saccharum</v>
      </c>
      <c r="N2586" t="str">
        <f>_xlfn.XLOOKUP(C2586,Table2[Species],Table2[Family],"Code Not Found")</f>
        <v>Sapindaceae</v>
      </c>
      <c r="O2586" t="str" cm="1">
        <f t="array" ref="O2586">_xlfn.IFS(F2586="","",F2586&lt;=5,"0 to 5",F2586&lt;=10,"5.1 to 10",F2586&lt;=20,"10 to 20", F2586&lt;= 40, "20 to 40", F2586 &lt;= 50, "40 to 50", F2586 &gt; 50, "&gt;50" )</f>
        <v>10 to 20</v>
      </c>
    </row>
    <row r="2587" spans="1:15" ht="15" customHeight="1" x14ac:dyDescent="0.3">
      <c r="A2587" t="s">
        <v>532</v>
      </c>
      <c r="B2587" s="1">
        <v>46216</v>
      </c>
      <c r="C2587" t="s">
        <v>16</v>
      </c>
      <c r="D2587">
        <v>2395</v>
      </c>
      <c r="E2587">
        <v>1</v>
      </c>
      <c r="F2587">
        <v>9.6999999999999993</v>
      </c>
      <c r="G2587" t="s">
        <v>17</v>
      </c>
      <c r="I2587" t="str">
        <f t="shared" si="43"/>
        <v>2395_1</v>
      </c>
      <c r="J2587" t="s">
        <v>533</v>
      </c>
      <c r="K2587" t="s">
        <v>429</v>
      </c>
      <c r="L2587" t="str">
        <f>_xlfn.XLOOKUP(C2587, Table2[Species],Table2[Genus], "Code Not Found")</f>
        <v>Acer</v>
      </c>
      <c r="M2587" t="str">
        <f>_xlfn.XLOOKUP(C2587, Table2[Species],Table2[Sp. Name], "Code Not Found")</f>
        <v>saccharum</v>
      </c>
      <c r="N2587" t="str">
        <f>_xlfn.XLOOKUP(C2587,Table2[Species],Table2[Family],"Code Not Found")</f>
        <v>Sapindaceae</v>
      </c>
      <c r="O2587" t="str" cm="1">
        <f t="array" ref="O2587">_xlfn.IFS(F2587="","",F2587&lt;=5,"0 to 5",F2587&lt;=10,"5.1 to 10",F2587&lt;=20,"10 to 20", F2587&lt;= 40, "20 to 40", F2587 &lt;= 50, "40 to 50", F2587 &gt; 50, "&gt;50" )</f>
        <v>5.1 to 10</v>
      </c>
    </row>
    <row r="2588" spans="1:15" ht="15" customHeight="1" x14ac:dyDescent="0.3">
      <c r="A2588" t="s">
        <v>532</v>
      </c>
      <c r="B2588" s="1">
        <v>46216</v>
      </c>
      <c r="C2588" t="s">
        <v>117</v>
      </c>
      <c r="D2588">
        <v>2396</v>
      </c>
      <c r="E2588">
        <v>1</v>
      </c>
      <c r="F2588">
        <v>8.9</v>
      </c>
      <c r="G2588" t="s">
        <v>57</v>
      </c>
      <c r="I2588" t="str">
        <f t="shared" si="43"/>
        <v>2396_1</v>
      </c>
      <c r="J2588" t="s">
        <v>533</v>
      </c>
      <c r="K2588" t="s">
        <v>429</v>
      </c>
      <c r="L2588" t="str">
        <f>_xlfn.XLOOKUP(C2588, Table2[Species],Table2[Genus], "Code Not Found")</f>
        <v>Ostrya</v>
      </c>
      <c r="M2588" t="str">
        <f>_xlfn.XLOOKUP(C2588, Table2[Species],Table2[Sp. Name], "Code Not Found")</f>
        <v>viginiana</v>
      </c>
      <c r="N2588" t="str">
        <f>_xlfn.XLOOKUP(C2588,Table2[Species],Table2[Family],"Code Not Found")</f>
        <v>Betulaceae</v>
      </c>
      <c r="O2588" t="str" cm="1">
        <f t="array" ref="O2588">_xlfn.IFS(F2588="","",F2588&lt;=5,"0 to 5",F2588&lt;=10,"5.1 to 10",F2588&lt;=20,"10 to 20", F2588&lt;= 40, "20 to 40", F2588 &lt;= 50, "40 to 50", F2588 &gt; 50, "&gt;50" )</f>
        <v>5.1 to 10</v>
      </c>
    </row>
    <row r="2589" spans="1:15" ht="15" customHeight="1" x14ac:dyDescent="0.3">
      <c r="A2589" t="s">
        <v>532</v>
      </c>
      <c r="B2589" s="1">
        <v>46216</v>
      </c>
      <c r="C2589" t="s">
        <v>16</v>
      </c>
      <c r="D2589">
        <v>2397</v>
      </c>
      <c r="E2589">
        <v>1</v>
      </c>
      <c r="F2589">
        <v>6.9</v>
      </c>
      <c r="G2589" t="s">
        <v>21</v>
      </c>
      <c r="I2589" t="str">
        <f t="shared" si="43"/>
        <v>2397_1</v>
      </c>
      <c r="J2589" t="s">
        <v>533</v>
      </c>
      <c r="K2589" t="s">
        <v>429</v>
      </c>
      <c r="L2589" t="str">
        <f>_xlfn.XLOOKUP(C2589, Table2[Species],Table2[Genus], "Code Not Found")</f>
        <v>Acer</v>
      </c>
      <c r="M2589" t="str">
        <f>_xlfn.XLOOKUP(C2589, Table2[Species],Table2[Sp. Name], "Code Not Found")</f>
        <v>saccharum</v>
      </c>
      <c r="N2589" t="str">
        <f>_xlfn.XLOOKUP(C2589,Table2[Species],Table2[Family],"Code Not Found")</f>
        <v>Sapindaceae</v>
      </c>
      <c r="O2589" t="str" cm="1">
        <f t="array" ref="O2589">_xlfn.IFS(F2589="","",F2589&lt;=5,"0 to 5",F2589&lt;=10,"5.1 to 10",F2589&lt;=20,"10 to 20", F2589&lt;= 40, "20 to 40", F2589 &lt;= 50, "40 to 50", F2589 &gt; 50, "&gt;50" )</f>
        <v>5.1 to 10</v>
      </c>
    </row>
    <row r="2590" spans="1:15" ht="15" customHeight="1" x14ac:dyDescent="0.3">
      <c r="A2590" t="s">
        <v>532</v>
      </c>
      <c r="B2590" s="1">
        <v>46216</v>
      </c>
      <c r="C2590" t="s">
        <v>123</v>
      </c>
      <c r="D2590">
        <v>2398</v>
      </c>
      <c r="E2590">
        <v>1</v>
      </c>
      <c r="F2590">
        <v>77.2</v>
      </c>
      <c r="G2590" t="s">
        <v>17</v>
      </c>
      <c r="I2590" t="str">
        <f t="shared" si="43"/>
        <v>2398_1</v>
      </c>
      <c r="J2590" t="s">
        <v>533</v>
      </c>
      <c r="K2590" t="s">
        <v>429</v>
      </c>
      <c r="L2590" t="str">
        <f>_xlfn.XLOOKUP(C2590, Table2[Species],Table2[Genus], "Code Not Found")</f>
        <v>Quercus</v>
      </c>
      <c r="M2590" t="str">
        <f>_xlfn.XLOOKUP(C2590, Table2[Species],Table2[Sp. Name], "Code Not Found")</f>
        <v>rubra</v>
      </c>
      <c r="N2590" t="str">
        <f>_xlfn.XLOOKUP(C2590,Table2[Species],Table2[Family],"Code Not Found")</f>
        <v>Fagaceae</v>
      </c>
      <c r="O2590" t="str" cm="1">
        <f t="array" ref="O2590">_xlfn.IFS(F2590="","",F2590&lt;=5,"0 to 5",F2590&lt;=10,"5.1 to 10",F2590&lt;=20,"10 to 20", F2590&lt;= 40, "20 to 40", F2590 &lt;= 50, "40 to 50", F2590 &gt; 50, "&gt;50" )</f>
        <v>&gt;50</v>
      </c>
    </row>
    <row r="2591" spans="1:15" ht="15" customHeight="1" x14ac:dyDescent="0.3">
      <c r="A2591" t="s">
        <v>532</v>
      </c>
      <c r="B2591" s="1">
        <v>46216</v>
      </c>
      <c r="C2591" t="s">
        <v>123</v>
      </c>
      <c r="D2591">
        <v>2399</v>
      </c>
      <c r="E2591">
        <v>1</v>
      </c>
      <c r="F2591">
        <v>58.6</v>
      </c>
      <c r="G2591" t="s">
        <v>17</v>
      </c>
      <c r="I2591" t="str">
        <f t="shared" si="43"/>
        <v>2399_1</v>
      </c>
      <c r="J2591" t="s">
        <v>533</v>
      </c>
      <c r="K2591" t="s">
        <v>429</v>
      </c>
      <c r="L2591" t="str">
        <f>_xlfn.XLOOKUP(C2591, Table2[Species],Table2[Genus], "Code Not Found")</f>
        <v>Quercus</v>
      </c>
      <c r="M2591" t="str">
        <f>_xlfn.XLOOKUP(C2591, Table2[Species],Table2[Sp. Name], "Code Not Found")</f>
        <v>rubra</v>
      </c>
      <c r="N2591" t="str">
        <f>_xlfn.XLOOKUP(C2591,Table2[Species],Table2[Family],"Code Not Found")</f>
        <v>Fagaceae</v>
      </c>
      <c r="O2591" t="str" cm="1">
        <f t="array" ref="O2591">_xlfn.IFS(F2591="","",F2591&lt;=5,"0 to 5",F2591&lt;=10,"5.1 to 10",F2591&lt;=20,"10 to 20", F2591&lt;= 40, "20 to 40", F2591 &lt;= 50, "40 to 50", F2591 &gt; 50, "&gt;50" )</f>
        <v>&gt;50</v>
      </c>
    </row>
    <row r="2592" spans="1:15" ht="15" customHeight="1" x14ac:dyDescent="0.3">
      <c r="A2592" t="s">
        <v>532</v>
      </c>
      <c r="B2592" s="1">
        <v>46216</v>
      </c>
      <c r="C2592" t="s">
        <v>123</v>
      </c>
      <c r="D2592">
        <v>2400</v>
      </c>
      <c r="E2592">
        <v>1</v>
      </c>
      <c r="F2592">
        <v>52.5</v>
      </c>
      <c r="G2592" t="s">
        <v>51</v>
      </c>
      <c r="H2592" t="s">
        <v>544</v>
      </c>
      <c r="I2592" t="str">
        <f t="shared" si="43"/>
        <v>2400_1</v>
      </c>
      <c r="J2592" t="s">
        <v>533</v>
      </c>
      <c r="K2592" t="s">
        <v>429</v>
      </c>
      <c r="L2592" t="str">
        <f>_xlfn.XLOOKUP(C2592, Table2[Species],Table2[Genus], "Code Not Found")</f>
        <v>Quercus</v>
      </c>
      <c r="M2592" t="str">
        <f>_xlfn.XLOOKUP(C2592, Table2[Species],Table2[Sp. Name], "Code Not Found")</f>
        <v>rubra</v>
      </c>
      <c r="N2592" t="str">
        <f>_xlfn.XLOOKUP(C2592,Table2[Species],Table2[Family],"Code Not Found")</f>
        <v>Fagaceae</v>
      </c>
      <c r="O2592" t="str" cm="1">
        <f t="array" ref="O2592">_xlfn.IFS(F2592="","",F2592&lt;=5,"0 to 5",F2592&lt;=10,"5.1 to 10",F2592&lt;=20,"10 to 20", F2592&lt;= 40, "20 to 40", F2592 &lt;= 50, "40 to 50", F2592 &gt; 50, "&gt;50" )</f>
        <v>&gt;50</v>
      </c>
    </row>
    <row r="2593" spans="1:15" ht="15" customHeight="1" x14ac:dyDescent="0.3">
      <c r="A2593" t="s">
        <v>532</v>
      </c>
      <c r="B2593" s="1">
        <v>46216</v>
      </c>
      <c r="C2593" t="s">
        <v>180</v>
      </c>
      <c r="D2593">
        <v>2401</v>
      </c>
      <c r="E2593">
        <v>1</v>
      </c>
      <c r="F2593">
        <v>6.9</v>
      </c>
      <c r="G2593" t="s">
        <v>57</v>
      </c>
      <c r="H2593" t="s">
        <v>296</v>
      </c>
      <c r="I2593" t="str">
        <f t="shared" si="43"/>
        <v>2401_1</v>
      </c>
      <c r="J2593" t="s">
        <v>533</v>
      </c>
      <c r="K2593" t="s">
        <v>429</v>
      </c>
      <c r="L2593" t="str">
        <f>_xlfn.XLOOKUP(C2593, Table2[Species],Table2[Genus], "Code Not Found")</f>
        <v>Tilia</v>
      </c>
      <c r="M2593" t="str">
        <f>_xlfn.XLOOKUP(C2593, Table2[Species],Table2[Sp. Name], "Code Not Found")</f>
        <v>americana</v>
      </c>
      <c r="N2593" t="str">
        <f>_xlfn.XLOOKUP(C2593,Table2[Species],Table2[Family],"Code Not Found")</f>
        <v>Malvaceae</v>
      </c>
      <c r="O2593" t="str" cm="1">
        <f t="array" ref="O2593">_xlfn.IFS(F2593="","",F2593&lt;=5,"0 to 5",F2593&lt;=10,"5.1 to 10",F2593&lt;=20,"10 to 20", F2593&lt;= 40, "20 to 40", F2593 &lt;= 50, "40 to 50", F2593 &gt; 50, "&gt;50" )</f>
        <v>5.1 to 10</v>
      </c>
    </row>
    <row r="2594" spans="1:15" ht="15" customHeight="1" x14ac:dyDescent="0.3">
      <c r="A2594" t="s">
        <v>532</v>
      </c>
      <c r="B2594" s="1">
        <v>46216</v>
      </c>
      <c r="C2594" t="s">
        <v>545</v>
      </c>
      <c r="D2594">
        <v>2402</v>
      </c>
      <c r="E2594">
        <v>1</v>
      </c>
      <c r="F2594">
        <v>4.3</v>
      </c>
      <c r="G2594" t="s">
        <v>38</v>
      </c>
      <c r="H2594" t="s">
        <v>546</v>
      </c>
      <c r="I2594" t="str">
        <f t="shared" si="43"/>
        <v>2402_1</v>
      </c>
      <c r="J2594" t="s">
        <v>533</v>
      </c>
      <c r="K2594" t="s">
        <v>429</v>
      </c>
      <c r="L2594" t="str">
        <f>_xlfn.XLOOKUP(C2594, Table2[Species],Table2[Genus], "Code Not Found")</f>
        <v>Ulmus</v>
      </c>
      <c r="M2594" t="str">
        <f>_xlfn.XLOOKUP(C2594, Table2[Species],Table2[Sp. Name], "Code Not Found")</f>
        <v>americana</v>
      </c>
      <c r="N2594" t="str">
        <f>_xlfn.XLOOKUP(C2594,Table2[Species],Table2[Family],"Code Not Found")</f>
        <v>Ulmaceae</v>
      </c>
      <c r="O2594" t="str" cm="1">
        <f t="array" ref="O2594">_xlfn.IFS(F2594="","",F2594&lt;=5,"0 to 5",F2594&lt;=10,"5.1 to 10",F2594&lt;=20,"10 to 20", F2594&lt;= 40, "20 to 40", F2594 &lt;= 50, "40 to 50", F2594 &gt; 50, "&gt;50" )</f>
        <v>0 to 5</v>
      </c>
    </row>
    <row r="2595" spans="1:15" ht="15" customHeight="1" x14ac:dyDescent="0.3">
      <c r="A2595" t="s">
        <v>532</v>
      </c>
      <c r="B2595" s="1">
        <v>46216</v>
      </c>
      <c r="C2595" t="s">
        <v>16</v>
      </c>
      <c r="D2595">
        <v>2403</v>
      </c>
      <c r="E2595">
        <v>1</v>
      </c>
      <c r="F2595">
        <v>4.7</v>
      </c>
      <c r="G2595" t="s">
        <v>17</v>
      </c>
      <c r="I2595" t="str">
        <f t="shared" si="43"/>
        <v>2403_1</v>
      </c>
      <c r="J2595" t="s">
        <v>533</v>
      </c>
      <c r="K2595" t="s">
        <v>429</v>
      </c>
      <c r="L2595" t="str">
        <f>_xlfn.XLOOKUP(C2595, Table2[Species],Table2[Genus], "Code Not Found")</f>
        <v>Acer</v>
      </c>
      <c r="M2595" t="str">
        <f>_xlfn.XLOOKUP(C2595, Table2[Species],Table2[Sp. Name], "Code Not Found")</f>
        <v>saccharum</v>
      </c>
      <c r="N2595" t="str">
        <f>_xlfn.XLOOKUP(C2595,Table2[Species],Table2[Family],"Code Not Found")</f>
        <v>Sapindaceae</v>
      </c>
      <c r="O2595" t="str" cm="1">
        <f t="array" ref="O2595">_xlfn.IFS(F2595="","",F2595&lt;=5,"0 to 5",F2595&lt;=10,"5.1 to 10",F2595&lt;=20,"10 to 20", F2595&lt;= 40, "20 to 40", F2595 &lt;= 50, "40 to 50", F2595 &gt; 50, "&gt;50" )</f>
        <v>0 to 5</v>
      </c>
    </row>
    <row r="2596" spans="1:15" ht="15" customHeight="1" x14ac:dyDescent="0.3">
      <c r="A2596" t="s">
        <v>532</v>
      </c>
      <c r="B2596" s="1">
        <v>46216</v>
      </c>
      <c r="C2596" t="s">
        <v>64</v>
      </c>
      <c r="D2596">
        <v>2404</v>
      </c>
      <c r="E2596">
        <v>1</v>
      </c>
      <c r="F2596">
        <v>3.6</v>
      </c>
      <c r="G2596" t="s">
        <v>17</v>
      </c>
      <c r="I2596" t="str">
        <f t="shared" si="43"/>
        <v>2404_1</v>
      </c>
      <c r="J2596" t="s">
        <v>533</v>
      </c>
      <c r="K2596" t="s">
        <v>429</v>
      </c>
      <c r="L2596" t="str">
        <f>_xlfn.XLOOKUP(C2596, Table2[Species],Table2[Genus], "Code Not Found")</f>
        <v>Fagus</v>
      </c>
      <c r="M2596" t="str">
        <f>_xlfn.XLOOKUP(C2596, Table2[Species],Table2[Sp. Name], "Code Not Found")</f>
        <v>grandifolia</v>
      </c>
      <c r="N2596" t="str">
        <f>_xlfn.XLOOKUP(C2596,Table2[Species],Table2[Family],"Code Not Found")</f>
        <v>Fagaceae</v>
      </c>
      <c r="O2596" t="str" cm="1">
        <f t="array" ref="O2596">_xlfn.IFS(F2596="","",F2596&lt;=5,"0 to 5",F2596&lt;=10,"5.1 to 10",F2596&lt;=20,"10 to 20", F2596&lt;= 40, "20 to 40", F2596 &lt;= 50, "40 to 50", F2596 &gt; 50, "&gt;50" )</f>
        <v>0 to 5</v>
      </c>
    </row>
    <row r="2597" spans="1:15" ht="15" customHeight="1" x14ac:dyDescent="0.3">
      <c r="A2597" t="s">
        <v>532</v>
      </c>
      <c r="B2597" s="1">
        <v>46216</v>
      </c>
      <c r="C2597" t="s">
        <v>235</v>
      </c>
      <c r="D2597">
        <v>2405</v>
      </c>
      <c r="E2597">
        <v>1</v>
      </c>
      <c r="F2597">
        <v>4.2</v>
      </c>
      <c r="G2597" t="s">
        <v>17</v>
      </c>
      <c r="I2597" t="str">
        <f t="shared" si="43"/>
        <v>2405_1</v>
      </c>
      <c r="J2597" t="s">
        <v>533</v>
      </c>
      <c r="K2597" t="s">
        <v>429</v>
      </c>
      <c r="L2597" t="str">
        <f>_xlfn.XLOOKUP(C2597, Table2[Species],Table2[Genus], "Code Not Found")</f>
        <v>Carpinus</v>
      </c>
      <c r="M2597" t="str">
        <f>_xlfn.XLOOKUP(C2597, Table2[Species],Table2[Sp. Name], "Code Not Found")</f>
        <v>caroliniana</v>
      </c>
      <c r="N2597" t="str">
        <f>_xlfn.XLOOKUP(C2597,Table2[Species],Table2[Family],"Code Not Found")</f>
        <v>Betulaceae</v>
      </c>
      <c r="O2597" t="str" cm="1">
        <f t="array" ref="O2597">_xlfn.IFS(F2597="","",F2597&lt;=5,"0 to 5",F2597&lt;=10,"5.1 to 10",F2597&lt;=20,"10 to 20", F2597&lt;= 40, "20 to 40", F2597 &lt;= 50, "40 to 50", F2597 &gt; 50, "&gt;50" )</f>
        <v>0 to 5</v>
      </c>
    </row>
    <row r="2598" spans="1:15" ht="15" customHeight="1" x14ac:dyDescent="0.3">
      <c r="A2598" t="s">
        <v>532</v>
      </c>
      <c r="B2598" s="1">
        <v>46216</v>
      </c>
      <c r="C2598" t="s">
        <v>22</v>
      </c>
      <c r="D2598">
        <v>2406</v>
      </c>
      <c r="E2598">
        <v>1</v>
      </c>
      <c r="F2598">
        <v>6.4</v>
      </c>
      <c r="G2598" t="s">
        <v>17</v>
      </c>
      <c r="I2598" t="str">
        <f t="shared" si="43"/>
        <v>2406_1</v>
      </c>
      <c r="J2598" t="s">
        <v>533</v>
      </c>
      <c r="K2598" t="s">
        <v>429</v>
      </c>
      <c r="L2598" t="str">
        <f>_xlfn.XLOOKUP(C2598, Table2[Species],Table2[Genus], "Code Not Found")</f>
        <v>Acer</v>
      </c>
      <c r="M2598" t="str">
        <f>_xlfn.XLOOKUP(C2598, Table2[Species],Table2[Sp. Name], "Code Not Found")</f>
        <v>rubrum</v>
      </c>
      <c r="N2598" t="str">
        <f>_xlfn.XLOOKUP(C2598,Table2[Species],Table2[Family],"Code Not Found")</f>
        <v>Sapindaceae</v>
      </c>
      <c r="O2598" t="str" cm="1">
        <f t="array" ref="O2598">_xlfn.IFS(F2598="","",F2598&lt;=5,"0 to 5",F2598&lt;=10,"5.1 to 10",F2598&lt;=20,"10 to 20", F2598&lt;= 40, "20 to 40", F2598 &lt;= 50, "40 to 50", F2598 &gt; 50, "&gt;50" )</f>
        <v>5.1 to 10</v>
      </c>
    </row>
    <row r="2599" spans="1:15" ht="15" customHeight="1" x14ac:dyDescent="0.3">
      <c r="A2599" t="s">
        <v>532</v>
      </c>
      <c r="B2599" s="1">
        <v>46216</v>
      </c>
      <c r="C2599" t="s">
        <v>187</v>
      </c>
      <c r="D2599">
        <v>2407</v>
      </c>
      <c r="E2599">
        <v>1</v>
      </c>
      <c r="F2599">
        <v>53.9</v>
      </c>
      <c r="G2599" t="s">
        <v>17</v>
      </c>
      <c r="I2599" t="str">
        <f t="shared" si="43"/>
        <v>2407_1</v>
      </c>
      <c r="J2599" t="s">
        <v>533</v>
      </c>
      <c r="K2599" t="s">
        <v>429</v>
      </c>
      <c r="L2599" t="str">
        <f>_xlfn.XLOOKUP(C2599, Table2[Species],Table2[Genus], "Code Not Found")</f>
        <v>Carya</v>
      </c>
      <c r="M2599" t="str">
        <f>_xlfn.XLOOKUP(C2599, Table2[Species],Table2[Sp. Name], "Code Not Found")</f>
        <v>cordiformis</v>
      </c>
      <c r="N2599" t="str">
        <f>_xlfn.XLOOKUP(C2599,Table2[Species],Table2[Family],"Code Not Found")</f>
        <v>Juglandaceae</v>
      </c>
      <c r="O2599" t="str" cm="1">
        <f t="array" ref="O2599">_xlfn.IFS(F2599="","",F2599&lt;=5,"0 to 5",F2599&lt;=10,"5.1 to 10",F2599&lt;=20,"10 to 20", F2599&lt;= 40, "20 to 40", F2599 &lt;= 50, "40 to 50", F2599 &gt; 50, "&gt;50" )</f>
        <v>&gt;50</v>
      </c>
    </row>
    <row r="2600" spans="1:15" ht="15" customHeight="1" x14ac:dyDescent="0.3">
      <c r="A2600" t="s">
        <v>532</v>
      </c>
      <c r="B2600" s="1">
        <v>46216</v>
      </c>
      <c r="C2600" t="s">
        <v>64</v>
      </c>
      <c r="D2600">
        <v>2408</v>
      </c>
      <c r="E2600">
        <v>1</v>
      </c>
      <c r="F2600">
        <v>6.4</v>
      </c>
      <c r="G2600" t="s">
        <v>17</v>
      </c>
      <c r="H2600" t="s">
        <v>547</v>
      </c>
      <c r="I2600" t="str">
        <f t="shared" si="43"/>
        <v>2408_1</v>
      </c>
      <c r="J2600" t="s">
        <v>533</v>
      </c>
      <c r="K2600" t="s">
        <v>429</v>
      </c>
      <c r="L2600" t="str">
        <f>_xlfn.XLOOKUP(C2600, Table2[Species],Table2[Genus], "Code Not Found")</f>
        <v>Fagus</v>
      </c>
      <c r="M2600" t="str">
        <f>_xlfn.XLOOKUP(C2600, Table2[Species],Table2[Sp. Name], "Code Not Found")</f>
        <v>grandifolia</v>
      </c>
      <c r="N2600" t="str">
        <f>_xlfn.XLOOKUP(C2600,Table2[Species],Table2[Family],"Code Not Found")</f>
        <v>Fagaceae</v>
      </c>
      <c r="O2600" t="str" cm="1">
        <f t="array" ref="O2600">_xlfn.IFS(F2600="","",F2600&lt;=5,"0 to 5",F2600&lt;=10,"5.1 to 10",F2600&lt;=20,"10 to 20", F2600&lt;= 40, "20 to 40", F2600 &lt;= 50, "40 to 50", F2600 &gt; 50, "&gt;50" )</f>
        <v>5.1 to 10</v>
      </c>
    </row>
    <row r="2601" spans="1:15" ht="15" customHeight="1" x14ac:dyDescent="0.3">
      <c r="A2601" t="s">
        <v>532</v>
      </c>
      <c r="B2601" s="1">
        <v>46216</v>
      </c>
      <c r="C2601" t="s">
        <v>117</v>
      </c>
      <c r="D2601">
        <v>2409</v>
      </c>
      <c r="E2601">
        <v>1</v>
      </c>
      <c r="F2601">
        <v>5.9</v>
      </c>
      <c r="G2601" t="s">
        <v>57</v>
      </c>
      <c r="I2601" t="str">
        <f t="shared" si="43"/>
        <v>2409_1</v>
      </c>
      <c r="J2601" t="s">
        <v>533</v>
      </c>
      <c r="K2601" t="s">
        <v>429</v>
      </c>
      <c r="L2601" t="str">
        <f>_xlfn.XLOOKUP(C2601, Table2[Species],Table2[Genus], "Code Not Found")</f>
        <v>Ostrya</v>
      </c>
      <c r="M2601" t="str">
        <f>_xlfn.XLOOKUP(C2601, Table2[Species],Table2[Sp. Name], "Code Not Found")</f>
        <v>viginiana</v>
      </c>
      <c r="N2601" t="str">
        <f>_xlfn.XLOOKUP(C2601,Table2[Species],Table2[Family],"Code Not Found")</f>
        <v>Betulaceae</v>
      </c>
      <c r="O2601" t="str" cm="1">
        <f t="array" ref="O2601">_xlfn.IFS(F2601="","",F2601&lt;=5,"0 to 5",F2601&lt;=10,"5.1 to 10",F2601&lt;=20,"10 to 20", F2601&lt;= 40, "20 to 40", F2601 &lt;= 50, "40 to 50", F2601 &gt; 50, "&gt;50" )</f>
        <v>5.1 to 10</v>
      </c>
    </row>
    <row r="2602" spans="1:15" ht="15" customHeight="1" x14ac:dyDescent="0.3">
      <c r="A2602" t="s">
        <v>532</v>
      </c>
      <c r="B2602" s="1">
        <v>46216</v>
      </c>
      <c r="C2602" t="s">
        <v>187</v>
      </c>
      <c r="D2602">
        <v>2410</v>
      </c>
      <c r="E2602">
        <v>1</v>
      </c>
      <c r="F2602">
        <v>33.4</v>
      </c>
      <c r="G2602" t="s">
        <v>17</v>
      </c>
      <c r="I2602" t="str">
        <f t="shared" si="43"/>
        <v>2410_1</v>
      </c>
      <c r="J2602" t="s">
        <v>533</v>
      </c>
      <c r="K2602" t="s">
        <v>429</v>
      </c>
      <c r="L2602" t="str">
        <f>_xlfn.XLOOKUP(C2602, Table2[Species],Table2[Genus], "Code Not Found")</f>
        <v>Carya</v>
      </c>
      <c r="M2602" t="str">
        <f>_xlfn.XLOOKUP(C2602, Table2[Species],Table2[Sp. Name], "Code Not Found")</f>
        <v>cordiformis</v>
      </c>
      <c r="N2602" t="str">
        <f>_xlfn.XLOOKUP(C2602,Table2[Species],Table2[Family],"Code Not Found")</f>
        <v>Juglandaceae</v>
      </c>
      <c r="O2602" t="str" cm="1">
        <f t="array" ref="O2602">_xlfn.IFS(F2602="","",F2602&lt;=5,"0 to 5",F2602&lt;=10,"5.1 to 10",F2602&lt;=20,"10 to 20", F2602&lt;= 40, "20 to 40", F2602 &lt;= 50, "40 to 50", F2602 &gt; 50, "&gt;50" )</f>
        <v>20 to 40</v>
      </c>
    </row>
    <row r="2603" spans="1:15" ht="15" customHeight="1" x14ac:dyDescent="0.3">
      <c r="A2603" t="s">
        <v>532</v>
      </c>
      <c r="B2603" s="1">
        <v>46217</v>
      </c>
      <c r="C2603" t="s">
        <v>235</v>
      </c>
      <c r="D2603">
        <v>2411</v>
      </c>
      <c r="E2603">
        <v>1</v>
      </c>
      <c r="F2603">
        <v>7.4</v>
      </c>
      <c r="G2603" t="s">
        <v>17</v>
      </c>
      <c r="H2603" t="s">
        <v>548</v>
      </c>
      <c r="I2603" t="str">
        <f t="shared" si="43"/>
        <v>2411_1</v>
      </c>
      <c r="J2603" t="s">
        <v>533</v>
      </c>
      <c r="K2603" t="s">
        <v>429</v>
      </c>
      <c r="L2603" t="str">
        <f>_xlfn.XLOOKUP(C2603, Table2[Species],Table2[Genus], "Code Not Found")</f>
        <v>Carpinus</v>
      </c>
      <c r="M2603" t="str">
        <f>_xlfn.XLOOKUP(C2603, Table2[Species],Table2[Sp. Name], "Code Not Found")</f>
        <v>caroliniana</v>
      </c>
      <c r="N2603" t="str">
        <f>_xlfn.XLOOKUP(C2603,Table2[Species],Table2[Family],"Code Not Found")</f>
        <v>Betulaceae</v>
      </c>
      <c r="O2603" t="str" cm="1">
        <f t="array" ref="O2603">_xlfn.IFS(F2603="","",F2603&lt;=5,"0 to 5",F2603&lt;=10,"5.1 to 10",F2603&lt;=20,"10 to 20", F2603&lt;= 40, "20 to 40", F2603 &lt;= 50, "40 to 50", F2603 &gt; 50, "&gt;50" )</f>
        <v>5.1 to 10</v>
      </c>
    </row>
    <row r="2604" spans="1:15" ht="15" customHeight="1" x14ac:dyDescent="0.3">
      <c r="A2604" t="s">
        <v>532</v>
      </c>
      <c r="B2604" s="1">
        <v>46217</v>
      </c>
      <c r="C2604" t="s">
        <v>64</v>
      </c>
      <c r="D2604">
        <v>2412</v>
      </c>
      <c r="E2604">
        <v>1</v>
      </c>
      <c r="F2604">
        <v>1.4</v>
      </c>
      <c r="G2604" t="s">
        <v>47</v>
      </c>
      <c r="H2604" t="s">
        <v>448</v>
      </c>
      <c r="I2604" t="str">
        <f t="shared" si="43"/>
        <v>2412_1</v>
      </c>
      <c r="J2604" t="s">
        <v>533</v>
      </c>
      <c r="K2604" t="s">
        <v>429</v>
      </c>
      <c r="L2604" t="str">
        <f>_xlfn.XLOOKUP(C2604, Table2[Species],Table2[Genus], "Code Not Found")</f>
        <v>Fagus</v>
      </c>
      <c r="M2604" t="str">
        <f>_xlfn.XLOOKUP(C2604, Table2[Species],Table2[Sp. Name], "Code Not Found")</f>
        <v>grandifolia</v>
      </c>
      <c r="N2604" t="str">
        <f>_xlfn.XLOOKUP(C2604,Table2[Species],Table2[Family],"Code Not Found")</f>
        <v>Fagaceae</v>
      </c>
      <c r="O2604" t="str" cm="1">
        <f t="array" ref="O2604">_xlfn.IFS(F2604="","",F2604&lt;=5,"0 to 5",F2604&lt;=10,"5.1 to 10",F2604&lt;=20,"10 to 20", F2604&lt;= 40, "20 to 40", F2604 &lt;= 50, "40 to 50", F2604 &gt; 50, "&gt;50" )</f>
        <v>0 to 5</v>
      </c>
    </row>
    <row r="2605" spans="1:15" ht="15" customHeight="1" x14ac:dyDescent="0.3">
      <c r="A2605" t="s">
        <v>532</v>
      </c>
      <c r="B2605" s="1">
        <v>46217</v>
      </c>
      <c r="C2605" t="s">
        <v>64</v>
      </c>
      <c r="D2605">
        <v>2413</v>
      </c>
      <c r="E2605">
        <v>1</v>
      </c>
      <c r="F2605">
        <v>1.5</v>
      </c>
      <c r="G2605" t="s">
        <v>47</v>
      </c>
      <c r="H2605" t="s">
        <v>548</v>
      </c>
      <c r="I2605" t="str">
        <f t="shared" si="43"/>
        <v>2413_1</v>
      </c>
      <c r="J2605" t="s">
        <v>533</v>
      </c>
      <c r="K2605" t="s">
        <v>429</v>
      </c>
      <c r="L2605" t="str">
        <f>_xlfn.XLOOKUP(C2605, Table2[Species],Table2[Genus], "Code Not Found")</f>
        <v>Fagus</v>
      </c>
      <c r="M2605" t="str">
        <f>_xlfn.XLOOKUP(C2605, Table2[Species],Table2[Sp. Name], "Code Not Found")</f>
        <v>grandifolia</v>
      </c>
      <c r="N2605" t="str">
        <f>_xlfn.XLOOKUP(C2605,Table2[Species],Table2[Family],"Code Not Found")</f>
        <v>Fagaceae</v>
      </c>
      <c r="O2605" t="str" cm="1">
        <f t="array" ref="O2605">_xlfn.IFS(F2605="","",F2605&lt;=5,"0 to 5",F2605&lt;=10,"5.1 to 10",F2605&lt;=20,"10 to 20", F2605&lt;= 40, "20 to 40", F2605 &lt;= 50, "40 to 50", F2605 &gt; 50, "&gt;50" )</f>
        <v>0 to 5</v>
      </c>
    </row>
    <row r="2606" spans="1:15" ht="15" customHeight="1" x14ac:dyDescent="0.3">
      <c r="A2606" t="s">
        <v>532</v>
      </c>
      <c r="B2606" s="1">
        <v>46217</v>
      </c>
      <c r="C2606" t="s">
        <v>22</v>
      </c>
      <c r="D2606">
        <v>2414</v>
      </c>
      <c r="E2606">
        <v>1</v>
      </c>
      <c r="F2606">
        <v>9.9</v>
      </c>
      <c r="G2606" t="s">
        <v>47</v>
      </c>
      <c r="I2606" t="str">
        <f t="shared" si="43"/>
        <v>2414_1</v>
      </c>
      <c r="J2606" t="s">
        <v>533</v>
      </c>
      <c r="K2606" t="s">
        <v>429</v>
      </c>
      <c r="L2606" t="str">
        <f>_xlfn.XLOOKUP(C2606, Table2[Species],Table2[Genus], "Code Not Found")</f>
        <v>Acer</v>
      </c>
      <c r="M2606" t="str">
        <f>_xlfn.XLOOKUP(C2606, Table2[Species],Table2[Sp. Name], "Code Not Found")</f>
        <v>rubrum</v>
      </c>
      <c r="N2606" t="str">
        <f>_xlfn.XLOOKUP(C2606,Table2[Species],Table2[Family],"Code Not Found")</f>
        <v>Sapindaceae</v>
      </c>
      <c r="O2606" t="str" cm="1">
        <f t="array" ref="O2606">_xlfn.IFS(F2606="","",F2606&lt;=5,"0 to 5",F2606&lt;=10,"5.1 to 10",F2606&lt;=20,"10 to 20", F2606&lt;= 40, "20 to 40", F2606 &lt;= 50, "40 to 50", F2606 &gt; 50, "&gt;50" )</f>
        <v>5.1 to 10</v>
      </c>
    </row>
    <row r="2607" spans="1:15" ht="15" customHeight="1" x14ac:dyDescent="0.3">
      <c r="A2607" t="s">
        <v>532</v>
      </c>
      <c r="B2607" s="1">
        <v>46217</v>
      </c>
      <c r="C2607" t="s">
        <v>16</v>
      </c>
      <c r="D2607">
        <v>2415</v>
      </c>
      <c r="E2607">
        <v>1</v>
      </c>
      <c r="F2607">
        <v>3.6</v>
      </c>
      <c r="G2607" t="s">
        <v>17</v>
      </c>
      <c r="H2607" t="s">
        <v>548</v>
      </c>
      <c r="I2607" t="str">
        <f t="shared" si="43"/>
        <v>2415_1</v>
      </c>
      <c r="J2607" t="s">
        <v>533</v>
      </c>
      <c r="K2607" t="s">
        <v>429</v>
      </c>
      <c r="L2607" t="str">
        <f>_xlfn.XLOOKUP(C2607, Table2[Species],Table2[Genus], "Code Not Found")</f>
        <v>Acer</v>
      </c>
      <c r="M2607" t="str">
        <f>_xlfn.XLOOKUP(C2607, Table2[Species],Table2[Sp. Name], "Code Not Found")</f>
        <v>saccharum</v>
      </c>
      <c r="N2607" t="str">
        <f>_xlfn.XLOOKUP(C2607,Table2[Species],Table2[Family],"Code Not Found")</f>
        <v>Sapindaceae</v>
      </c>
      <c r="O2607" t="str" cm="1">
        <f t="array" ref="O2607">_xlfn.IFS(F2607="","",F2607&lt;=5,"0 to 5",F2607&lt;=10,"5.1 to 10",F2607&lt;=20,"10 to 20", F2607&lt;= 40, "20 to 40", F2607 &lt;= 50, "40 to 50", F2607 &gt; 50, "&gt;50" )</f>
        <v>0 to 5</v>
      </c>
    </row>
    <row r="2608" spans="1:15" ht="15" customHeight="1" x14ac:dyDescent="0.3">
      <c r="A2608" t="s">
        <v>532</v>
      </c>
      <c r="B2608" s="1">
        <v>46217</v>
      </c>
      <c r="C2608" t="s">
        <v>16</v>
      </c>
      <c r="D2608">
        <v>2416</v>
      </c>
      <c r="E2608">
        <v>1</v>
      </c>
      <c r="F2608">
        <v>10.3</v>
      </c>
      <c r="G2608" t="s">
        <v>21</v>
      </c>
      <c r="I2608" t="str">
        <f t="shared" ref="I2608:I2671" si="44">D2608&amp;"_"&amp;E2608</f>
        <v>2416_1</v>
      </c>
      <c r="J2608" t="s">
        <v>533</v>
      </c>
      <c r="K2608" t="s">
        <v>429</v>
      </c>
      <c r="L2608" t="str">
        <f>_xlfn.XLOOKUP(C2608, Table2[Species],Table2[Genus], "Code Not Found")</f>
        <v>Acer</v>
      </c>
      <c r="M2608" t="str">
        <f>_xlfn.XLOOKUP(C2608, Table2[Species],Table2[Sp. Name], "Code Not Found")</f>
        <v>saccharum</v>
      </c>
      <c r="N2608" t="str">
        <f>_xlfn.XLOOKUP(C2608,Table2[Species],Table2[Family],"Code Not Found")</f>
        <v>Sapindaceae</v>
      </c>
      <c r="O2608" t="str" cm="1">
        <f t="array" ref="O2608">_xlfn.IFS(F2608="","",F2608&lt;=5,"0 to 5",F2608&lt;=10,"5.1 to 10",F2608&lt;=20,"10 to 20", F2608&lt;= 40, "20 to 40", F2608 &lt;= 50, "40 to 50", F2608 &gt; 50, "&gt;50" )</f>
        <v>10 to 20</v>
      </c>
    </row>
    <row r="2609" spans="1:15" ht="15" customHeight="1" x14ac:dyDescent="0.3">
      <c r="A2609" s="21" t="s">
        <v>532</v>
      </c>
      <c r="B2609" s="22">
        <v>46217</v>
      </c>
      <c r="C2609" s="21" t="s">
        <v>430</v>
      </c>
      <c r="D2609" s="21">
        <v>2417</v>
      </c>
      <c r="E2609" s="21">
        <v>1</v>
      </c>
      <c r="F2609" s="21" t="s">
        <v>849</v>
      </c>
      <c r="G2609" s="21" t="s">
        <v>17</v>
      </c>
      <c r="H2609" s="21" t="s">
        <v>36</v>
      </c>
      <c r="I2609" s="21" t="str">
        <f t="shared" si="44"/>
        <v>2417_1</v>
      </c>
      <c r="J2609" s="21" t="s">
        <v>533</v>
      </c>
      <c r="K2609" s="21" t="s">
        <v>429</v>
      </c>
      <c r="L2609" s="21" t="str">
        <f>_xlfn.XLOOKUP(C2609, Table2[Species],Table2[Genus], "Code Not Found")</f>
        <v>Tsuga</v>
      </c>
      <c r="M2609" s="21" t="str">
        <f>_xlfn.XLOOKUP(C2609, Table2[Species],Table2[Sp. Name], "Code Not Found")</f>
        <v>canadensis</v>
      </c>
      <c r="N2609" s="21" t="str">
        <f>_xlfn.XLOOKUP(C2609,Table2[Species],Table2[Family],"Code Not Found")</f>
        <v>Pinaceae</v>
      </c>
      <c r="O2609" s="21" t="str" cm="1">
        <f t="array" ref="O2609">_xlfn.IFS(F2609="","",F2609&lt;=5,"0 to 5",F2609&lt;=10,"5.1 to 10",F2609&lt;=20,"10 to 20", F2609&lt;= 40, "20 to 40", F2609 &lt;= 50, "40 to 50", F2609 &gt; 50, "&gt;50" )</f>
        <v>&gt;50</v>
      </c>
    </row>
    <row r="2610" spans="1:15" ht="15" customHeight="1" x14ac:dyDescent="0.3">
      <c r="A2610" t="s">
        <v>532</v>
      </c>
      <c r="B2610" s="1">
        <v>46217</v>
      </c>
      <c r="C2610" t="s">
        <v>235</v>
      </c>
      <c r="D2610">
        <v>2418</v>
      </c>
      <c r="E2610">
        <v>1</v>
      </c>
      <c r="F2610">
        <v>6.6</v>
      </c>
      <c r="G2610" t="s">
        <v>104</v>
      </c>
      <c r="H2610" t="s">
        <v>244</v>
      </c>
      <c r="I2610" t="str">
        <f t="shared" si="44"/>
        <v>2418_1</v>
      </c>
      <c r="J2610" t="s">
        <v>533</v>
      </c>
      <c r="K2610" t="s">
        <v>429</v>
      </c>
      <c r="L2610" t="str">
        <f>_xlfn.XLOOKUP(C2610, Table2[Species],Table2[Genus], "Code Not Found")</f>
        <v>Carpinus</v>
      </c>
      <c r="M2610" t="str">
        <f>_xlfn.XLOOKUP(C2610, Table2[Species],Table2[Sp. Name], "Code Not Found")</f>
        <v>caroliniana</v>
      </c>
      <c r="N2610" t="str">
        <f>_xlfn.XLOOKUP(C2610,Table2[Species],Table2[Family],"Code Not Found")</f>
        <v>Betulaceae</v>
      </c>
      <c r="O2610" t="str" cm="1">
        <f t="array" ref="O2610">_xlfn.IFS(F2610="","",F2610&lt;=5,"0 to 5",F2610&lt;=10,"5.1 to 10",F2610&lt;=20,"10 to 20", F2610&lt;= 40, "20 to 40", F2610 &lt;= 50, "40 to 50", F2610 &gt; 50, "&gt;50" )</f>
        <v>5.1 to 10</v>
      </c>
    </row>
    <row r="2611" spans="1:15" ht="15" customHeight="1" x14ac:dyDescent="0.3">
      <c r="A2611" t="s">
        <v>532</v>
      </c>
      <c r="B2611" s="1">
        <v>46217</v>
      </c>
      <c r="C2611" t="s">
        <v>235</v>
      </c>
      <c r="D2611">
        <v>2419</v>
      </c>
      <c r="E2611">
        <v>1</v>
      </c>
      <c r="F2611">
        <v>8.1999999999999993</v>
      </c>
      <c r="G2611" t="s">
        <v>476</v>
      </c>
      <c r="H2611" t="s">
        <v>549</v>
      </c>
      <c r="I2611" t="str">
        <f t="shared" si="44"/>
        <v>2419_1</v>
      </c>
      <c r="J2611" t="s">
        <v>533</v>
      </c>
      <c r="K2611" t="s">
        <v>429</v>
      </c>
      <c r="L2611" t="str">
        <f>_xlfn.XLOOKUP(C2611, Table2[Species],Table2[Genus], "Code Not Found")</f>
        <v>Carpinus</v>
      </c>
      <c r="M2611" t="str">
        <f>_xlfn.XLOOKUP(C2611, Table2[Species],Table2[Sp. Name], "Code Not Found")</f>
        <v>caroliniana</v>
      </c>
      <c r="N2611" t="str">
        <f>_xlfn.XLOOKUP(C2611,Table2[Species],Table2[Family],"Code Not Found")</f>
        <v>Betulaceae</v>
      </c>
      <c r="O2611" t="str" cm="1">
        <f t="array" ref="O2611">_xlfn.IFS(F2611="","",F2611&lt;=5,"0 to 5",F2611&lt;=10,"5.1 to 10",F2611&lt;=20,"10 to 20", F2611&lt;= 40, "20 to 40", F2611 &lt;= 50, "40 to 50", F2611 &gt; 50, "&gt;50" )</f>
        <v>5.1 to 10</v>
      </c>
    </row>
    <row r="2612" spans="1:15" ht="15" customHeight="1" x14ac:dyDescent="0.3">
      <c r="A2612" t="s">
        <v>532</v>
      </c>
      <c r="B2612" s="1">
        <v>46217</v>
      </c>
      <c r="C2612" t="s">
        <v>235</v>
      </c>
      <c r="D2612">
        <v>2419</v>
      </c>
      <c r="E2612">
        <v>2</v>
      </c>
      <c r="F2612">
        <v>3.9</v>
      </c>
      <c r="G2612" t="s">
        <v>32</v>
      </c>
      <c r="I2612" t="str">
        <f t="shared" si="44"/>
        <v>2419_2</v>
      </c>
      <c r="J2612" t="s">
        <v>533</v>
      </c>
      <c r="K2612" t="s">
        <v>429</v>
      </c>
      <c r="L2612" t="str">
        <f>_xlfn.XLOOKUP(C2612, Table2[Species],Table2[Genus], "Code Not Found")</f>
        <v>Carpinus</v>
      </c>
      <c r="M2612" t="str">
        <f>_xlfn.XLOOKUP(C2612, Table2[Species],Table2[Sp. Name], "Code Not Found")</f>
        <v>caroliniana</v>
      </c>
      <c r="N2612" t="str">
        <f>_xlfn.XLOOKUP(C2612,Table2[Species],Table2[Family],"Code Not Found")</f>
        <v>Betulaceae</v>
      </c>
      <c r="O2612" t="str" cm="1">
        <f t="array" ref="O2612">_xlfn.IFS(F2612="","",F2612&lt;=5,"0 to 5",F2612&lt;=10,"5.1 to 10",F2612&lt;=20,"10 to 20", F2612&lt;= 40, "20 to 40", F2612 &lt;= 50, "40 to 50", F2612 &gt; 50, "&gt;50" )</f>
        <v>0 to 5</v>
      </c>
    </row>
    <row r="2613" spans="1:15" ht="15" customHeight="1" x14ac:dyDescent="0.3">
      <c r="A2613" t="s">
        <v>532</v>
      </c>
      <c r="B2613" s="1">
        <v>46217</v>
      </c>
      <c r="C2613" t="s">
        <v>235</v>
      </c>
      <c r="D2613">
        <v>2419</v>
      </c>
      <c r="E2613">
        <v>3</v>
      </c>
      <c r="F2613">
        <v>1.6</v>
      </c>
      <c r="G2613" t="s">
        <v>32</v>
      </c>
      <c r="I2613" t="str">
        <f t="shared" si="44"/>
        <v>2419_3</v>
      </c>
      <c r="J2613" t="s">
        <v>533</v>
      </c>
      <c r="K2613" t="s">
        <v>429</v>
      </c>
      <c r="L2613" t="str">
        <f>_xlfn.XLOOKUP(C2613, Table2[Species],Table2[Genus], "Code Not Found")</f>
        <v>Carpinus</v>
      </c>
      <c r="M2613" t="str">
        <f>_xlfn.XLOOKUP(C2613, Table2[Species],Table2[Sp. Name], "Code Not Found")</f>
        <v>caroliniana</v>
      </c>
      <c r="N2613" t="str">
        <f>_xlfn.XLOOKUP(C2613,Table2[Species],Table2[Family],"Code Not Found")</f>
        <v>Betulaceae</v>
      </c>
      <c r="O2613" t="str" cm="1">
        <f t="array" ref="O2613">_xlfn.IFS(F2613="","",F2613&lt;=5,"0 to 5",F2613&lt;=10,"5.1 to 10",F2613&lt;=20,"10 to 20", F2613&lt;= 40, "20 to 40", F2613 &lt;= 50, "40 to 50", F2613 &gt; 50, "&gt;50" )</f>
        <v>0 to 5</v>
      </c>
    </row>
    <row r="2614" spans="1:15" ht="15" customHeight="1" x14ac:dyDescent="0.3">
      <c r="A2614" t="s">
        <v>532</v>
      </c>
      <c r="B2614" s="1">
        <v>46217</v>
      </c>
      <c r="C2614" t="s">
        <v>117</v>
      </c>
      <c r="D2614">
        <v>2420</v>
      </c>
      <c r="E2614">
        <v>1</v>
      </c>
      <c r="F2614">
        <v>8</v>
      </c>
      <c r="G2614" t="s">
        <v>17</v>
      </c>
      <c r="I2614" t="str">
        <f t="shared" si="44"/>
        <v>2420_1</v>
      </c>
      <c r="J2614" t="s">
        <v>533</v>
      </c>
      <c r="K2614" t="s">
        <v>429</v>
      </c>
      <c r="L2614" t="str">
        <f>_xlfn.XLOOKUP(C2614, Table2[Species],Table2[Genus], "Code Not Found")</f>
        <v>Ostrya</v>
      </c>
      <c r="M2614" t="str">
        <f>_xlfn.XLOOKUP(C2614, Table2[Species],Table2[Sp. Name], "Code Not Found")</f>
        <v>viginiana</v>
      </c>
      <c r="N2614" t="str">
        <f>_xlfn.XLOOKUP(C2614,Table2[Species],Table2[Family],"Code Not Found")</f>
        <v>Betulaceae</v>
      </c>
      <c r="O2614" t="str" cm="1">
        <f t="array" ref="O2614">_xlfn.IFS(F2614="","",F2614&lt;=5,"0 to 5",F2614&lt;=10,"5.1 to 10",F2614&lt;=20,"10 to 20", F2614&lt;= 40, "20 to 40", F2614 &lt;= 50, "40 to 50", F2614 &gt; 50, "&gt;50" )</f>
        <v>5.1 to 10</v>
      </c>
    </row>
    <row r="2615" spans="1:15" ht="15" customHeight="1" x14ac:dyDescent="0.3">
      <c r="A2615" t="s">
        <v>532</v>
      </c>
      <c r="B2615" s="1">
        <v>46217</v>
      </c>
      <c r="C2615" t="s">
        <v>235</v>
      </c>
      <c r="D2615">
        <v>2421</v>
      </c>
      <c r="E2615">
        <v>1</v>
      </c>
      <c r="F2615">
        <v>6.3</v>
      </c>
      <c r="G2615" t="s">
        <v>47</v>
      </c>
      <c r="H2615" t="s">
        <v>296</v>
      </c>
      <c r="I2615" t="str">
        <f t="shared" si="44"/>
        <v>2421_1</v>
      </c>
      <c r="J2615" t="s">
        <v>533</v>
      </c>
      <c r="K2615" t="s">
        <v>429</v>
      </c>
      <c r="L2615" t="str">
        <f>_xlfn.XLOOKUP(C2615, Table2[Species],Table2[Genus], "Code Not Found")</f>
        <v>Carpinus</v>
      </c>
      <c r="M2615" t="str">
        <f>_xlfn.XLOOKUP(C2615, Table2[Species],Table2[Sp. Name], "Code Not Found")</f>
        <v>caroliniana</v>
      </c>
      <c r="N2615" t="str">
        <f>_xlfn.XLOOKUP(C2615,Table2[Species],Table2[Family],"Code Not Found")</f>
        <v>Betulaceae</v>
      </c>
      <c r="O2615" t="str" cm="1">
        <f t="array" ref="O2615">_xlfn.IFS(F2615="","",F2615&lt;=5,"0 to 5",F2615&lt;=10,"5.1 to 10",F2615&lt;=20,"10 to 20", F2615&lt;= 40, "20 to 40", F2615 &lt;= 50, "40 to 50", F2615 &gt; 50, "&gt;50" )</f>
        <v>5.1 to 10</v>
      </c>
    </row>
    <row r="2616" spans="1:15" ht="15" customHeight="1" x14ac:dyDescent="0.3">
      <c r="A2616" t="s">
        <v>532</v>
      </c>
      <c r="B2616" s="1">
        <v>46217</v>
      </c>
      <c r="C2616" t="s">
        <v>64</v>
      </c>
      <c r="D2616">
        <v>2422</v>
      </c>
      <c r="E2616">
        <v>1</v>
      </c>
      <c r="F2616">
        <v>5</v>
      </c>
      <c r="G2616" t="s">
        <v>56</v>
      </c>
      <c r="H2616" t="s">
        <v>87</v>
      </c>
      <c r="I2616" t="str">
        <f t="shared" si="44"/>
        <v>2422_1</v>
      </c>
      <c r="J2616" t="s">
        <v>533</v>
      </c>
      <c r="K2616" t="s">
        <v>429</v>
      </c>
      <c r="L2616" t="str">
        <f>_xlfn.XLOOKUP(C2616, Table2[Species],Table2[Genus], "Code Not Found")</f>
        <v>Fagus</v>
      </c>
      <c r="M2616" t="str">
        <f>_xlfn.XLOOKUP(C2616, Table2[Species],Table2[Sp. Name], "Code Not Found")</f>
        <v>grandifolia</v>
      </c>
      <c r="N2616" t="str">
        <f>_xlfn.XLOOKUP(C2616,Table2[Species],Table2[Family],"Code Not Found")</f>
        <v>Fagaceae</v>
      </c>
      <c r="O2616" t="str" cm="1">
        <f t="array" ref="O2616">_xlfn.IFS(F2616="","",F2616&lt;=5,"0 to 5",F2616&lt;=10,"5.1 to 10",F2616&lt;=20,"10 to 20", F2616&lt;= 40, "20 to 40", F2616 &lt;= 50, "40 to 50", F2616 &gt; 50, "&gt;50" )</f>
        <v>0 to 5</v>
      </c>
    </row>
    <row r="2617" spans="1:15" ht="15" customHeight="1" x14ac:dyDescent="0.3">
      <c r="A2617" t="s">
        <v>532</v>
      </c>
      <c r="B2617" s="1">
        <v>46217</v>
      </c>
      <c r="C2617" t="s">
        <v>24</v>
      </c>
      <c r="D2617">
        <v>2423</v>
      </c>
      <c r="E2617">
        <v>1</v>
      </c>
      <c r="F2617">
        <v>1.3</v>
      </c>
      <c r="G2617" t="s">
        <v>365</v>
      </c>
      <c r="H2617" t="s">
        <v>296</v>
      </c>
      <c r="I2617" t="str">
        <f t="shared" si="44"/>
        <v>2423_1</v>
      </c>
      <c r="J2617" t="s">
        <v>533</v>
      </c>
      <c r="K2617" t="s">
        <v>429</v>
      </c>
      <c r="L2617" t="str">
        <f>_xlfn.XLOOKUP(C2617, Table2[Species],Table2[Genus], "Code Not Found")</f>
        <v>Lirodendron</v>
      </c>
      <c r="M2617" t="str">
        <f>_xlfn.XLOOKUP(C2617, Table2[Species],Table2[Sp. Name], "Code Not Found")</f>
        <v>tulipfera</v>
      </c>
      <c r="N2617" t="str">
        <f>_xlfn.XLOOKUP(C2617,Table2[Species],Table2[Family],"Code Not Found")</f>
        <v>Magnoliaceae</v>
      </c>
      <c r="O2617" t="str" cm="1">
        <f t="array" ref="O2617">_xlfn.IFS(F2617="","",F2617&lt;=5,"0 to 5",F2617&lt;=10,"5.1 to 10",F2617&lt;=20,"10 to 20", F2617&lt;= 40, "20 to 40", F2617 &lt;= 50, "40 to 50", F2617 &gt; 50, "&gt;50" )</f>
        <v>0 to 5</v>
      </c>
    </row>
    <row r="2618" spans="1:15" ht="15" customHeight="1" x14ac:dyDescent="0.3">
      <c r="A2618" t="s">
        <v>532</v>
      </c>
      <c r="B2618" s="1">
        <v>46217</v>
      </c>
      <c r="C2618" t="s">
        <v>415</v>
      </c>
      <c r="D2618">
        <v>2424</v>
      </c>
      <c r="E2618">
        <v>1</v>
      </c>
      <c r="F2618">
        <v>1.1000000000000001</v>
      </c>
      <c r="G2618" t="s">
        <v>47</v>
      </c>
      <c r="I2618" t="str">
        <f t="shared" si="44"/>
        <v>2424_1</v>
      </c>
      <c r="J2618" t="s">
        <v>533</v>
      </c>
      <c r="K2618" t="s">
        <v>429</v>
      </c>
      <c r="L2618" t="str">
        <f>_xlfn.XLOOKUP(C2618, Table2[Species],Table2[Genus], "Code Not Found")</f>
        <v>Fraxinus</v>
      </c>
      <c r="M2618" t="str">
        <f>_xlfn.XLOOKUP(C2618, Table2[Species],Table2[Sp. Name], "Code Not Found")</f>
        <v>pennsylvanica</v>
      </c>
      <c r="N2618" t="str">
        <f>_xlfn.XLOOKUP(C2618,Table2[Species],Table2[Family],"Code Not Found")</f>
        <v>Oleaceae</v>
      </c>
      <c r="O2618" t="str" cm="1">
        <f t="array" ref="O2618">_xlfn.IFS(F2618="","",F2618&lt;=5,"0 to 5",F2618&lt;=10,"5.1 to 10",F2618&lt;=20,"10 to 20", F2618&lt;= 40, "20 to 40", F2618 &lt;= 50, "40 to 50", F2618 &gt; 50, "&gt;50" )</f>
        <v>0 to 5</v>
      </c>
    </row>
    <row r="2619" spans="1:15" ht="15" customHeight="1" x14ac:dyDescent="0.3">
      <c r="A2619" t="s">
        <v>532</v>
      </c>
      <c r="B2619" s="1">
        <v>46217</v>
      </c>
      <c r="C2619" t="s">
        <v>123</v>
      </c>
      <c r="D2619">
        <v>2425</v>
      </c>
      <c r="E2619">
        <v>1</v>
      </c>
      <c r="F2619">
        <v>80.7</v>
      </c>
      <c r="G2619" t="s">
        <v>17</v>
      </c>
      <c r="I2619" t="str">
        <f t="shared" si="44"/>
        <v>2425_1</v>
      </c>
      <c r="J2619" t="s">
        <v>533</v>
      </c>
      <c r="K2619" t="s">
        <v>429</v>
      </c>
      <c r="L2619" t="str">
        <f>_xlfn.XLOOKUP(C2619, Table2[Species],Table2[Genus], "Code Not Found")</f>
        <v>Quercus</v>
      </c>
      <c r="M2619" t="str">
        <f>_xlfn.XLOOKUP(C2619, Table2[Species],Table2[Sp. Name], "Code Not Found")</f>
        <v>rubra</v>
      </c>
      <c r="N2619" t="str">
        <f>_xlfn.XLOOKUP(C2619,Table2[Species],Table2[Family],"Code Not Found")</f>
        <v>Fagaceae</v>
      </c>
      <c r="O2619" t="str" cm="1">
        <f t="array" ref="O2619">_xlfn.IFS(F2619="","",F2619&lt;=5,"0 to 5",F2619&lt;=10,"5.1 to 10",F2619&lt;=20,"10 to 20", F2619&lt;= 40, "20 to 40", F2619 &lt;= 50, "40 to 50", F2619 &gt; 50, "&gt;50" )</f>
        <v>&gt;50</v>
      </c>
    </row>
    <row r="2620" spans="1:15" s="21" customFormat="1" ht="15" customHeight="1" x14ac:dyDescent="0.3">
      <c r="A2620" s="21" t="s">
        <v>532</v>
      </c>
      <c r="B2620" s="22">
        <v>46217</v>
      </c>
      <c r="C2620" s="21" t="s">
        <v>64</v>
      </c>
      <c r="E2620" s="21">
        <v>1</v>
      </c>
      <c r="F2620" s="21">
        <v>6.7</v>
      </c>
      <c r="G2620" s="21" t="s">
        <v>550</v>
      </c>
      <c r="H2620" s="21" t="s">
        <v>551</v>
      </c>
      <c r="I2620" s="21" t="str">
        <f t="shared" si="44"/>
        <v>_1</v>
      </c>
      <c r="J2620" s="21" t="s">
        <v>533</v>
      </c>
      <c r="K2620" s="21" t="s">
        <v>429</v>
      </c>
      <c r="L2620" s="21" t="str">
        <f>_xlfn.XLOOKUP(C2620, Table2[Species],Table2[Genus], "Code Not Found")</f>
        <v>Fagus</v>
      </c>
      <c r="M2620" s="21" t="str">
        <f>_xlfn.XLOOKUP(C2620, Table2[Species],Table2[Sp. Name], "Code Not Found")</f>
        <v>grandifolia</v>
      </c>
      <c r="N2620" s="21" t="str">
        <f>_xlfn.XLOOKUP(C2620,Table2[Species],Table2[Family],"Code Not Found")</f>
        <v>Fagaceae</v>
      </c>
      <c r="O2620" s="21" t="str" cm="1">
        <f t="array" ref="O2620">_xlfn.IFS(F2620="","",F2620&lt;=5,"0 to 5",F2620&lt;=10,"5.1 to 10",F2620&lt;=20,"10 to 20", F2620&lt;= 40, "20 to 40", F2620 &lt;= 50, "40 to 50", F2620 &gt; 50, "&gt;50" )</f>
        <v>5.1 to 10</v>
      </c>
    </row>
    <row r="2621" spans="1:15" ht="15" customHeight="1" x14ac:dyDescent="0.3">
      <c r="A2621" t="s">
        <v>532</v>
      </c>
      <c r="B2621" s="1">
        <v>46217</v>
      </c>
      <c r="C2621" t="s">
        <v>235</v>
      </c>
      <c r="D2621">
        <v>2427</v>
      </c>
      <c r="E2621">
        <v>1</v>
      </c>
      <c r="F2621">
        <v>5.9</v>
      </c>
      <c r="G2621" t="s">
        <v>47</v>
      </c>
      <c r="H2621" t="s">
        <v>296</v>
      </c>
      <c r="I2621" t="str">
        <f t="shared" si="44"/>
        <v>2427_1</v>
      </c>
      <c r="J2621" t="s">
        <v>533</v>
      </c>
      <c r="K2621" t="s">
        <v>429</v>
      </c>
      <c r="L2621" t="str">
        <f>_xlfn.XLOOKUP(C2621, Table2[Species],Table2[Genus], "Code Not Found")</f>
        <v>Carpinus</v>
      </c>
      <c r="M2621" t="str">
        <f>_xlfn.XLOOKUP(C2621, Table2[Species],Table2[Sp. Name], "Code Not Found")</f>
        <v>caroliniana</v>
      </c>
      <c r="N2621" t="str">
        <f>_xlfn.XLOOKUP(C2621,Table2[Species],Table2[Family],"Code Not Found")</f>
        <v>Betulaceae</v>
      </c>
      <c r="O2621" t="str" cm="1">
        <f t="array" ref="O2621">_xlfn.IFS(F2621="","",F2621&lt;=5,"0 to 5",F2621&lt;=10,"5.1 to 10",F2621&lt;=20,"10 to 20", F2621&lt;= 40, "20 to 40", F2621 &lt;= 50, "40 to 50", F2621 &gt; 50, "&gt;50" )</f>
        <v>5.1 to 10</v>
      </c>
    </row>
    <row r="2622" spans="1:15" ht="15" customHeight="1" x14ac:dyDescent="0.3">
      <c r="A2622" t="s">
        <v>532</v>
      </c>
      <c r="B2622" s="1">
        <v>46217</v>
      </c>
      <c r="C2622" t="s">
        <v>235</v>
      </c>
      <c r="D2622">
        <v>2428</v>
      </c>
      <c r="E2622">
        <v>1</v>
      </c>
      <c r="F2622">
        <v>5.9</v>
      </c>
      <c r="G2622" t="s">
        <v>17</v>
      </c>
      <c r="I2622" t="str">
        <f t="shared" si="44"/>
        <v>2428_1</v>
      </c>
      <c r="J2622" t="s">
        <v>533</v>
      </c>
      <c r="K2622" t="s">
        <v>429</v>
      </c>
      <c r="L2622" t="str">
        <f>_xlfn.XLOOKUP(C2622, Table2[Species],Table2[Genus], "Code Not Found")</f>
        <v>Carpinus</v>
      </c>
      <c r="M2622" t="str">
        <f>_xlfn.XLOOKUP(C2622, Table2[Species],Table2[Sp. Name], "Code Not Found")</f>
        <v>caroliniana</v>
      </c>
      <c r="N2622" t="str">
        <f>_xlfn.XLOOKUP(C2622,Table2[Species],Table2[Family],"Code Not Found")</f>
        <v>Betulaceae</v>
      </c>
      <c r="O2622" t="str" cm="1">
        <f t="array" ref="O2622">_xlfn.IFS(F2622="","",F2622&lt;=5,"0 to 5",F2622&lt;=10,"5.1 to 10",F2622&lt;=20,"10 to 20", F2622&lt;= 40, "20 to 40", F2622 &lt;= 50, "40 to 50", F2622 &gt; 50, "&gt;50" )</f>
        <v>5.1 to 10</v>
      </c>
    </row>
    <row r="2623" spans="1:15" ht="15" customHeight="1" x14ac:dyDescent="0.3">
      <c r="A2623" t="s">
        <v>532</v>
      </c>
      <c r="B2623" s="1">
        <v>46217</v>
      </c>
      <c r="C2623" t="s">
        <v>24</v>
      </c>
      <c r="D2623">
        <v>2429</v>
      </c>
      <c r="E2623">
        <v>1</v>
      </c>
      <c r="F2623">
        <v>19.399999999999999</v>
      </c>
      <c r="G2623" t="s">
        <v>47</v>
      </c>
      <c r="H2623" t="s">
        <v>347</v>
      </c>
      <c r="I2623" t="str">
        <f t="shared" si="44"/>
        <v>2429_1</v>
      </c>
      <c r="J2623" t="s">
        <v>533</v>
      </c>
      <c r="K2623" t="s">
        <v>429</v>
      </c>
      <c r="L2623" t="str">
        <f>_xlfn.XLOOKUP(C2623, Table2[Species],Table2[Genus], "Code Not Found")</f>
        <v>Lirodendron</v>
      </c>
      <c r="M2623" t="str">
        <f>_xlfn.XLOOKUP(C2623, Table2[Species],Table2[Sp. Name], "Code Not Found")</f>
        <v>tulipfera</v>
      </c>
      <c r="N2623" t="str">
        <f>_xlfn.XLOOKUP(C2623,Table2[Species],Table2[Family],"Code Not Found")</f>
        <v>Magnoliaceae</v>
      </c>
      <c r="O2623" t="str" cm="1">
        <f t="array" ref="O2623">_xlfn.IFS(F2623="","",F2623&lt;=5,"0 to 5",F2623&lt;=10,"5.1 to 10",F2623&lt;=20,"10 to 20", F2623&lt;= 40, "20 to 40", F2623 &lt;= 50, "40 to 50", F2623 &gt; 50, "&gt;50" )</f>
        <v>10 to 20</v>
      </c>
    </row>
    <row r="2624" spans="1:15" ht="15" customHeight="1" x14ac:dyDescent="0.3">
      <c r="A2624" t="s">
        <v>532</v>
      </c>
      <c r="B2624" s="1">
        <v>46217</v>
      </c>
      <c r="C2624" t="s">
        <v>64</v>
      </c>
      <c r="D2624">
        <v>2430</v>
      </c>
      <c r="E2624">
        <v>1</v>
      </c>
      <c r="F2624">
        <v>12.1</v>
      </c>
      <c r="G2624" t="s">
        <v>21</v>
      </c>
      <c r="H2624" t="s">
        <v>552</v>
      </c>
      <c r="I2624" t="str">
        <f t="shared" si="44"/>
        <v>2430_1</v>
      </c>
      <c r="J2624" t="s">
        <v>533</v>
      </c>
      <c r="K2624" t="s">
        <v>429</v>
      </c>
      <c r="L2624" t="str">
        <f>_xlfn.XLOOKUP(C2624, Table2[Species],Table2[Genus], "Code Not Found")</f>
        <v>Fagus</v>
      </c>
      <c r="M2624" t="str">
        <f>_xlfn.XLOOKUP(C2624, Table2[Species],Table2[Sp. Name], "Code Not Found")</f>
        <v>grandifolia</v>
      </c>
      <c r="N2624" t="str">
        <f>_xlfn.XLOOKUP(C2624,Table2[Species],Table2[Family],"Code Not Found")</f>
        <v>Fagaceae</v>
      </c>
      <c r="O2624" t="str" cm="1">
        <f t="array" ref="O2624">_xlfn.IFS(F2624="","",F2624&lt;=5,"0 to 5",F2624&lt;=10,"5.1 to 10",F2624&lt;=20,"10 to 20", F2624&lt;= 40, "20 to 40", F2624 &lt;= 50, "40 to 50", F2624 &gt; 50, "&gt;50" )</f>
        <v>10 to 20</v>
      </c>
    </row>
    <row r="2625" spans="1:15" ht="15" customHeight="1" x14ac:dyDescent="0.3">
      <c r="A2625" t="s">
        <v>532</v>
      </c>
      <c r="B2625" s="1">
        <v>46217</v>
      </c>
      <c r="C2625" t="s">
        <v>64</v>
      </c>
      <c r="D2625">
        <v>2431</v>
      </c>
      <c r="E2625">
        <v>1</v>
      </c>
      <c r="F2625">
        <v>3.8</v>
      </c>
      <c r="G2625" t="s">
        <v>476</v>
      </c>
      <c r="H2625" t="s">
        <v>553</v>
      </c>
      <c r="I2625" t="str">
        <f t="shared" si="44"/>
        <v>2431_1</v>
      </c>
      <c r="J2625" t="s">
        <v>533</v>
      </c>
      <c r="K2625" t="s">
        <v>429</v>
      </c>
      <c r="L2625" t="str">
        <f>_xlfn.XLOOKUP(C2625, Table2[Species],Table2[Genus], "Code Not Found")</f>
        <v>Fagus</v>
      </c>
      <c r="M2625" t="str">
        <f>_xlfn.XLOOKUP(C2625, Table2[Species],Table2[Sp. Name], "Code Not Found")</f>
        <v>grandifolia</v>
      </c>
      <c r="N2625" t="str">
        <f>_xlfn.XLOOKUP(C2625,Table2[Species],Table2[Family],"Code Not Found")</f>
        <v>Fagaceae</v>
      </c>
      <c r="O2625" t="str" cm="1">
        <f t="array" ref="O2625">_xlfn.IFS(F2625="","",F2625&lt;=5,"0 to 5",F2625&lt;=10,"5.1 to 10",F2625&lt;=20,"10 to 20", F2625&lt;= 40, "20 to 40", F2625 &lt;= 50, "40 to 50", F2625 &gt; 50, "&gt;50" )</f>
        <v>0 to 5</v>
      </c>
    </row>
    <row r="2626" spans="1:15" ht="15" customHeight="1" x14ac:dyDescent="0.3">
      <c r="A2626" t="s">
        <v>532</v>
      </c>
      <c r="B2626" s="1">
        <v>46217</v>
      </c>
      <c r="C2626" t="s">
        <v>64</v>
      </c>
      <c r="D2626">
        <v>2431</v>
      </c>
      <c r="E2626">
        <v>2</v>
      </c>
      <c r="F2626">
        <v>1.6</v>
      </c>
      <c r="G2626" t="s">
        <v>476</v>
      </c>
      <c r="H2626" t="s">
        <v>554</v>
      </c>
      <c r="I2626" t="str">
        <f t="shared" si="44"/>
        <v>2431_2</v>
      </c>
      <c r="J2626" t="s">
        <v>533</v>
      </c>
      <c r="K2626" t="s">
        <v>429</v>
      </c>
      <c r="L2626" t="str">
        <f>_xlfn.XLOOKUP(C2626, Table2[Species],Table2[Genus], "Code Not Found")</f>
        <v>Fagus</v>
      </c>
      <c r="M2626" t="str">
        <f>_xlfn.XLOOKUP(C2626, Table2[Species],Table2[Sp. Name], "Code Not Found")</f>
        <v>grandifolia</v>
      </c>
      <c r="N2626" t="str">
        <f>_xlfn.XLOOKUP(C2626,Table2[Species],Table2[Family],"Code Not Found")</f>
        <v>Fagaceae</v>
      </c>
      <c r="O2626" t="str" cm="1">
        <f t="array" ref="O2626">_xlfn.IFS(F2626="","",F2626&lt;=5,"0 to 5",F2626&lt;=10,"5.1 to 10",F2626&lt;=20,"10 to 20", F2626&lt;= 40, "20 to 40", F2626 &lt;= 50, "40 to 50", F2626 &gt; 50, "&gt;50" )</f>
        <v>0 to 5</v>
      </c>
    </row>
    <row r="2627" spans="1:15" ht="15" customHeight="1" x14ac:dyDescent="0.3">
      <c r="A2627" t="s">
        <v>532</v>
      </c>
      <c r="B2627" s="1">
        <v>46217</v>
      </c>
      <c r="C2627" t="s">
        <v>235</v>
      </c>
      <c r="D2627">
        <v>2432</v>
      </c>
      <c r="E2627">
        <v>1</v>
      </c>
      <c r="F2627">
        <v>6.2</v>
      </c>
      <c r="G2627" t="s">
        <v>21</v>
      </c>
      <c r="I2627" t="str">
        <f t="shared" si="44"/>
        <v>2432_1</v>
      </c>
      <c r="J2627" t="s">
        <v>533</v>
      </c>
      <c r="K2627" t="s">
        <v>429</v>
      </c>
      <c r="L2627" t="str">
        <f>_xlfn.XLOOKUP(C2627, Table2[Species],Table2[Genus], "Code Not Found")</f>
        <v>Carpinus</v>
      </c>
      <c r="M2627" t="str">
        <f>_xlfn.XLOOKUP(C2627, Table2[Species],Table2[Sp. Name], "Code Not Found")</f>
        <v>caroliniana</v>
      </c>
      <c r="N2627" t="str">
        <f>_xlfn.XLOOKUP(C2627,Table2[Species],Table2[Family],"Code Not Found")</f>
        <v>Betulaceae</v>
      </c>
      <c r="O2627" t="str" cm="1">
        <f t="array" ref="O2627">_xlfn.IFS(F2627="","",F2627&lt;=5,"0 to 5",F2627&lt;=10,"5.1 to 10",F2627&lt;=20,"10 to 20", F2627&lt;= 40, "20 to 40", F2627 &lt;= 50, "40 to 50", F2627 &gt; 50, "&gt;50" )</f>
        <v>5.1 to 10</v>
      </c>
    </row>
    <row r="2628" spans="1:15" ht="15" customHeight="1" x14ac:dyDescent="0.3">
      <c r="A2628" t="s">
        <v>532</v>
      </c>
      <c r="B2628" s="1">
        <v>46217</v>
      </c>
      <c r="C2628" t="s">
        <v>22</v>
      </c>
      <c r="D2628">
        <v>2433</v>
      </c>
      <c r="E2628">
        <v>1</v>
      </c>
      <c r="F2628">
        <v>19</v>
      </c>
      <c r="G2628" t="s">
        <v>21</v>
      </c>
      <c r="I2628" t="str">
        <f t="shared" si="44"/>
        <v>2433_1</v>
      </c>
      <c r="J2628" t="s">
        <v>533</v>
      </c>
      <c r="K2628" t="s">
        <v>429</v>
      </c>
      <c r="L2628" t="str">
        <f>_xlfn.XLOOKUP(C2628, Table2[Species],Table2[Genus], "Code Not Found")</f>
        <v>Acer</v>
      </c>
      <c r="M2628" t="str">
        <f>_xlfn.XLOOKUP(C2628, Table2[Species],Table2[Sp. Name], "Code Not Found")</f>
        <v>rubrum</v>
      </c>
      <c r="N2628" t="str">
        <f>_xlfn.XLOOKUP(C2628,Table2[Species],Table2[Family],"Code Not Found")</f>
        <v>Sapindaceae</v>
      </c>
      <c r="O2628" t="str" cm="1">
        <f t="array" ref="O2628">_xlfn.IFS(F2628="","",F2628&lt;=5,"0 to 5",F2628&lt;=10,"5.1 to 10",F2628&lt;=20,"10 to 20", F2628&lt;= 40, "20 to 40", F2628 &lt;= 50, "40 to 50", F2628 &gt; 50, "&gt;50" )</f>
        <v>10 to 20</v>
      </c>
    </row>
    <row r="2629" spans="1:15" ht="15" customHeight="1" x14ac:dyDescent="0.3">
      <c r="A2629" t="s">
        <v>532</v>
      </c>
      <c r="B2629" s="1">
        <v>46217</v>
      </c>
      <c r="C2629" t="s">
        <v>235</v>
      </c>
      <c r="D2629">
        <v>2434</v>
      </c>
      <c r="E2629">
        <v>1</v>
      </c>
      <c r="F2629">
        <v>8.1</v>
      </c>
      <c r="G2629" t="s">
        <v>88</v>
      </c>
      <c r="H2629" t="s">
        <v>244</v>
      </c>
      <c r="I2629" t="str">
        <f t="shared" si="44"/>
        <v>2434_1</v>
      </c>
      <c r="J2629" t="s">
        <v>533</v>
      </c>
      <c r="K2629" t="s">
        <v>429</v>
      </c>
      <c r="L2629" t="str">
        <f>_xlfn.XLOOKUP(C2629, Table2[Species],Table2[Genus], "Code Not Found")</f>
        <v>Carpinus</v>
      </c>
      <c r="M2629" t="str">
        <f>_xlfn.XLOOKUP(C2629, Table2[Species],Table2[Sp. Name], "Code Not Found")</f>
        <v>caroliniana</v>
      </c>
      <c r="N2629" t="str">
        <f>_xlfn.XLOOKUP(C2629,Table2[Species],Table2[Family],"Code Not Found")</f>
        <v>Betulaceae</v>
      </c>
      <c r="O2629" t="str" cm="1">
        <f t="array" ref="O2629">_xlfn.IFS(F2629="","",F2629&lt;=5,"0 to 5",F2629&lt;=10,"5.1 to 10",F2629&lt;=20,"10 to 20", F2629&lt;= 40, "20 to 40", F2629 &lt;= 50, "40 to 50", F2629 &gt; 50, "&gt;50" )</f>
        <v>5.1 to 10</v>
      </c>
    </row>
    <row r="2630" spans="1:15" ht="15" customHeight="1" x14ac:dyDescent="0.3">
      <c r="A2630" t="s">
        <v>532</v>
      </c>
      <c r="B2630" s="1">
        <v>46217</v>
      </c>
      <c r="C2630" t="s">
        <v>22</v>
      </c>
      <c r="D2630">
        <v>2435</v>
      </c>
      <c r="E2630">
        <v>1</v>
      </c>
      <c r="F2630">
        <v>34.6</v>
      </c>
      <c r="G2630" t="s">
        <v>56</v>
      </c>
      <c r="H2630" t="s">
        <v>555</v>
      </c>
      <c r="I2630" t="str">
        <f t="shared" si="44"/>
        <v>2435_1</v>
      </c>
      <c r="J2630" t="s">
        <v>533</v>
      </c>
      <c r="K2630" t="s">
        <v>429</v>
      </c>
      <c r="L2630" t="str">
        <f>_xlfn.XLOOKUP(C2630, Table2[Species],Table2[Genus], "Code Not Found")</f>
        <v>Acer</v>
      </c>
      <c r="M2630" t="str">
        <f>_xlfn.XLOOKUP(C2630, Table2[Species],Table2[Sp. Name], "Code Not Found")</f>
        <v>rubrum</v>
      </c>
      <c r="N2630" t="str">
        <f>_xlfn.XLOOKUP(C2630,Table2[Species],Table2[Family],"Code Not Found")</f>
        <v>Sapindaceae</v>
      </c>
      <c r="O2630" t="str" cm="1">
        <f t="array" ref="O2630">_xlfn.IFS(F2630="","",F2630&lt;=5,"0 to 5",F2630&lt;=10,"5.1 to 10",F2630&lt;=20,"10 to 20", F2630&lt;= 40, "20 to 40", F2630 &lt;= 50, "40 to 50", F2630 &gt; 50, "&gt;50" )</f>
        <v>20 to 40</v>
      </c>
    </row>
    <row r="2631" spans="1:15" ht="15" customHeight="1" x14ac:dyDescent="0.3">
      <c r="A2631" t="s">
        <v>532</v>
      </c>
      <c r="B2631" s="1">
        <v>46217</v>
      </c>
      <c r="C2631" t="s">
        <v>22</v>
      </c>
      <c r="D2631">
        <v>2436</v>
      </c>
      <c r="E2631">
        <v>1</v>
      </c>
      <c r="F2631">
        <v>26.9</v>
      </c>
      <c r="G2631" t="s">
        <v>17</v>
      </c>
      <c r="H2631" t="s">
        <v>36</v>
      </c>
      <c r="I2631" t="str">
        <f t="shared" si="44"/>
        <v>2436_1</v>
      </c>
      <c r="J2631" t="s">
        <v>533</v>
      </c>
      <c r="K2631" t="s">
        <v>429</v>
      </c>
      <c r="L2631" t="str">
        <f>_xlfn.XLOOKUP(C2631, Table2[Species],Table2[Genus], "Code Not Found")</f>
        <v>Acer</v>
      </c>
      <c r="M2631" t="str">
        <f>_xlfn.XLOOKUP(C2631, Table2[Species],Table2[Sp. Name], "Code Not Found")</f>
        <v>rubrum</v>
      </c>
      <c r="N2631" t="str">
        <f>_xlfn.XLOOKUP(C2631,Table2[Species],Table2[Family],"Code Not Found")</f>
        <v>Sapindaceae</v>
      </c>
      <c r="O2631" t="str" cm="1">
        <f t="array" ref="O2631">_xlfn.IFS(F2631="","",F2631&lt;=5,"0 to 5",F2631&lt;=10,"5.1 to 10",F2631&lt;=20,"10 to 20", F2631&lt;= 40, "20 to 40", F2631 &lt;= 50, "40 to 50", F2631 &gt; 50, "&gt;50" )</f>
        <v>20 to 40</v>
      </c>
    </row>
    <row r="2632" spans="1:15" ht="15" customHeight="1" x14ac:dyDescent="0.3">
      <c r="A2632" t="s">
        <v>532</v>
      </c>
      <c r="B2632" s="1">
        <v>46217</v>
      </c>
      <c r="C2632" t="s">
        <v>64</v>
      </c>
      <c r="D2632">
        <v>2437</v>
      </c>
      <c r="E2632">
        <v>1</v>
      </c>
      <c r="F2632">
        <v>2.2999999999999998</v>
      </c>
      <c r="G2632" t="s">
        <v>47</v>
      </c>
      <c r="H2632" t="s">
        <v>296</v>
      </c>
      <c r="I2632" t="str">
        <f t="shared" si="44"/>
        <v>2437_1</v>
      </c>
      <c r="J2632" t="s">
        <v>533</v>
      </c>
      <c r="K2632" t="s">
        <v>429</v>
      </c>
      <c r="L2632" t="str">
        <f>_xlfn.XLOOKUP(C2632, Table2[Species],Table2[Genus], "Code Not Found")</f>
        <v>Fagus</v>
      </c>
      <c r="M2632" t="str">
        <f>_xlfn.XLOOKUP(C2632, Table2[Species],Table2[Sp. Name], "Code Not Found")</f>
        <v>grandifolia</v>
      </c>
      <c r="N2632" t="str">
        <f>_xlfn.XLOOKUP(C2632,Table2[Species],Table2[Family],"Code Not Found")</f>
        <v>Fagaceae</v>
      </c>
      <c r="O2632" t="str" cm="1">
        <f t="array" ref="O2632">_xlfn.IFS(F2632="","",F2632&lt;=5,"0 to 5",F2632&lt;=10,"5.1 to 10",F2632&lt;=20,"10 to 20", F2632&lt;= 40, "20 to 40", F2632 &lt;= 50, "40 to 50", F2632 &gt; 50, "&gt;50" )</f>
        <v>0 to 5</v>
      </c>
    </row>
    <row r="2633" spans="1:15" ht="15" customHeight="1" x14ac:dyDescent="0.3">
      <c r="A2633" t="s">
        <v>532</v>
      </c>
      <c r="B2633" s="1">
        <v>46217</v>
      </c>
      <c r="C2633" t="s">
        <v>235</v>
      </c>
      <c r="D2633">
        <v>2438</v>
      </c>
      <c r="E2633">
        <v>4.9000000000000004</v>
      </c>
      <c r="F2633" t="s">
        <v>17</v>
      </c>
      <c r="I2633" t="str">
        <f t="shared" si="44"/>
        <v>2438_4.9</v>
      </c>
      <c r="J2633" t="s">
        <v>533</v>
      </c>
      <c r="K2633" t="s">
        <v>429</v>
      </c>
      <c r="L2633" t="str">
        <f>_xlfn.XLOOKUP(C2633, Table2[Species],Table2[Genus], "Code Not Found")</f>
        <v>Carpinus</v>
      </c>
      <c r="M2633" t="str">
        <f>_xlfn.XLOOKUP(C2633, Table2[Species],Table2[Sp. Name], "Code Not Found")</f>
        <v>caroliniana</v>
      </c>
      <c r="N2633" t="str">
        <f>_xlfn.XLOOKUP(C2633,Table2[Species],Table2[Family],"Code Not Found")</f>
        <v>Betulaceae</v>
      </c>
      <c r="O2633" t="str" cm="1">
        <f t="array" ref="O2633">_xlfn.IFS(F2633="","",F2633&lt;=5,"0 to 5",F2633&lt;=10,"5.1 to 10",F2633&lt;=20,"10 to 20", F2633&lt;= 40, "20 to 40", F2633 &lt;= 50, "40 to 50", F2633 &gt; 50, "&gt;50" )</f>
        <v>&gt;50</v>
      </c>
    </row>
    <row r="2634" spans="1:15" ht="15" customHeight="1" x14ac:dyDescent="0.3">
      <c r="A2634" t="s">
        <v>532</v>
      </c>
      <c r="B2634" s="1">
        <v>46217</v>
      </c>
      <c r="C2634" t="s">
        <v>64</v>
      </c>
      <c r="D2634">
        <v>2439</v>
      </c>
      <c r="E2634">
        <v>1</v>
      </c>
      <c r="F2634">
        <v>2.9</v>
      </c>
      <c r="G2634" t="s">
        <v>47</v>
      </c>
      <c r="H2634" t="s">
        <v>296</v>
      </c>
      <c r="I2634" t="str">
        <f t="shared" si="44"/>
        <v>2439_1</v>
      </c>
      <c r="J2634" t="s">
        <v>533</v>
      </c>
      <c r="K2634" t="s">
        <v>429</v>
      </c>
      <c r="L2634" t="str">
        <f>_xlfn.XLOOKUP(C2634, Table2[Species],Table2[Genus], "Code Not Found")</f>
        <v>Fagus</v>
      </c>
      <c r="M2634" t="str">
        <f>_xlfn.XLOOKUP(C2634, Table2[Species],Table2[Sp. Name], "Code Not Found")</f>
        <v>grandifolia</v>
      </c>
      <c r="N2634" t="str">
        <f>_xlfn.XLOOKUP(C2634,Table2[Species],Table2[Family],"Code Not Found")</f>
        <v>Fagaceae</v>
      </c>
      <c r="O2634" t="str" cm="1">
        <f t="array" ref="O2634">_xlfn.IFS(F2634="","",F2634&lt;=5,"0 to 5",F2634&lt;=10,"5.1 to 10",F2634&lt;=20,"10 to 20", F2634&lt;= 40, "20 to 40", F2634 &lt;= 50, "40 to 50", F2634 &gt; 50, "&gt;50" )</f>
        <v>0 to 5</v>
      </c>
    </row>
    <row r="2635" spans="1:15" ht="15" customHeight="1" x14ac:dyDescent="0.3">
      <c r="A2635" t="s">
        <v>532</v>
      </c>
      <c r="B2635" s="1">
        <v>46217</v>
      </c>
      <c r="C2635" t="s">
        <v>22</v>
      </c>
      <c r="D2635">
        <v>2440</v>
      </c>
      <c r="E2635">
        <v>1</v>
      </c>
      <c r="F2635">
        <v>41.8</v>
      </c>
      <c r="G2635" t="s">
        <v>21</v>
      </c>
      <c r="I2635" t="str">
        <f t="shared" si="44"/>
        <v>2440_1</v>
      </c>
      <c r="J2635" t="s">
        <v>533</v>
      </c>
      <c r="K2635" t="s">
        <v>429</v>
      </c>
      <c r="L2635" t="str">
        <f>_xlfn.XLOOKUP(C2635, Table2[Species],Table2[Genus], "Code Not Found")</f>
        <v>Acer</v>
      </c>
      <c r="M2635" t="str">
        <f>_xlfn.XLOOKUP(C2635, Table2[Species],Table2[Sp. Name], "Code Not Found")</f>
        <v>rubrum</v>
      </c>
      <c r="N2635" t="str">
        <f>_xlfn.XLOOKUP(C2635,Table2[Species],Table2[Family],"Code Not Found")</f>
        <v>Sapindaceae</v>
      </c>
      <c r="O2635" t="str" cm="1">
        <f t="array" ref="O2635">_xlfn.IFS(F2635="","",F2635&lt;=5,"0 to 5",F2635&lt;=10,"5.1 to 10",F2635&lt;=20,"10 to 20", F2635&lt;= 40, "20 to 40", F2635 &lt;= 50, "40 to 50", F2635 &gt; 50, "&gt;50" )</f>
        <v>40 to 50</v>
      </c>
    </row>
    <row r="2636" spans="1:15" ht="15" customHeight="1" x14ac:dyDescent="0.3">
      <c r="A2636" t="s">
        <v>532</v>
      </c>
      <c r="B2636" s="1">
        <v>46217</v>
      </c>
      <c r="C2636" t="s">
        <v>22</v>
      </c>
      <c r="D2636">
        <v>2441</v>
      </c>
      <c r="E2636">
        <v>1</v>
      </c>
      <c r="F2636">
        <v>32.299999999999997</v>
      </c>
      <c r="G2636" t="s">
        <v>21</v>
      </c>
      <c r="I2636" t="str">
        <f t="shared" si="44"/>
        <v>2441_1</v>
      </c>
      <c r="J2636" t="s">
        <v>533</v>
      </c>
      <c r="K2636" t="s">
        <v>429</v>
      </c>
      <c r="L2636" t="str">
        <f>_xlfn.XLOOKUP(C2636, Table2[Species],Table2[Genus], "Code Not Found")</f>
        <v>Acer</v>
      </c>
      <c r="M2636" t="str">
        <f>_xlfn.XLOOKUP(C2636, Table2[Species],Table2[Sp. Name], "Code Not Found")</f>
        <v>rubrum</v>
      </c>
      <c r="N2636" t="str">
        <f>_xlfn.XLOOKUP(C2636,Table2[Species],Table2[Family],"Code Not Found")</f>
        <v>Sapindaceae</v>
      </c>
      <c r="O2636" t="str" cm="1">
        <f t="array" ref="O2636">_xlfn.IFS(F2636="","",F2636&lt;=5,"0 to 5",F2636&lt;=10,"5.1 to 10",F2636&lt;=20,"10 to 20", F2636&lt;= 40, "20 to 40", F2636 &lt;= 50, "40 to 50", F2636 &gt; 50, "&gt;50" )</f>
        <v>20 to 40</v>
      </c>
    </row>
    <row r="2637" spans="1:15" ht="15" customHeight="1" x14ac:dyDescent="0.3">
      <c r="A2637" t="s">
        <v>532</v>
      </c>
      <c r="B2637" s="1">
        <v>46217</v>
      </c>
      <c r="C2637" t="s">
        <v>64</v>
      </c>
      <c r="D2637">
        <v>2442</v>
      </c>
      <c r="E2637">
        <v>1</v>
      </c>
      <c r="F2637">
        <v>6.9</v>
      </c>
      <c r="G2637" t="s">
        <v>21</v>
      </c>
      <c r="I2637" t="str">
        <f t="shared" si="44"/>
        <v>2442_1</v>
      </c>
      <c r="J2637" t="s">
        <v>533</v>
      </c>
      <c r="K2637" t="s">
        <v>429</v>
      </c>
      <c r="L2637" t="str">
        <f>_xlfn.XLOOKUP(C2637, Table2[Species],Table2[Genus], "Code Not Found")</f>
        <v>Fagus</v>
      </c>
      <c r="M2637" t="str">
        <f>_xlfn.XLOOKUP(C2637, Table2[Species],Table2[Sp. Name], "Code Not Found")</f>
        <v>grandifolia</v>
      </c>
      <c r="N2637" t="str">
        <f>_xlfn.XLOOKUP(C2637,Table2[Species],Table2[Family],"Code Not Found")</f>
        <v>Fagaceae</v>
      </c>
      <c r="O2637" t="str" cm="1">
        <f t="array" ref="O2637">_xlfn.IFS(F2637="","",F2637&lt;=5,"0 to 5",F2637&lt;=10,"5.1 to 10",F2637&lt;=20,"10 to 20", F2637&lt;= 40, "20 to 40", F2637 &lt;= 50, "40 to 50", F2637 &gt; 50, "&gt;50" )</f>
        <v>5.1 to 10</v>
      </c>
    </row>
    <row r="2638" spans="1:15" ht="15" customHeight="1" x14ac:dyDescent="0.3">
      <c r="A2638" t="s">
        <v>532</v>
      </c>
      <c r="B2638" s="1">
        <v>46217</v>
      </c>
      <c r="C2638" t="s">
        <v>64</v>
      </c>
      <c r="D2638">
        <v>2443</v>
      </c>
      <c r="E2638">
        <v>1</v>
      </c>
      <c r="F2638">
        <v>2.2999999999999998</v>
      </c>
      <c r="G2638" t="s">
        <v>47</v>
      </c>
      <c r="H2638" t="s">
        <v>347</v>
      </c>
      <c r="I2638" t="str">
        <f t="shared" si="44"/>
        <v>2443_1</v>
      </c>
      <c r="J2638" t="s">
        <v>533</v>
      </c>
      <c r="K2638" t="s">
        <v>429</v>
      </c>
      <c r="L2638" t="str">
        <f>_xlfn.XLOOKUP(C2638, Table2[Species],Table2[Genus], "Code Not Found")</f>
        <v>Fagus</v>
      </c>
      <c r="M2638" t="str">
        <f>_xlfn.XLOOKUP(C2638, Table2[Species],Table2[Sp. Name], "Code Not Found")</f>
        <v>grandifolia</v>
      </c>
      <c r="N2638" t="str">
        <f>_xlfn.XLOOKUP(C2638,Table2[Species],Table2[Family],"Code Not Found")</f>
        <v>Fagaceae</v>
      </c>
      <c r="O2638" t="str" cm="1">
        <f t="array" ref="O2638">_xlfn.IFS(F2638="","",F2638&lt;=5,"0 to 5",F2638&lt;=10,"5.1 to 10",F2638&lt;=20,"10 to 20", F2638&lt;= 40, "20 to 40", F2638 &lt;= 50, "40 to 50", F2638 &gt; 50, "&gt;50" )</f>
        <v>0 to 5</v>
      </c>
    </row>
    <row r="2639" spans="1:15" ht="15" customHeight="1" x14ac:dyDescent="0.3">
      <c r="A2639" t="s">
        <v>532</v>
      </c>
      <c r="B2639" s="1">
        <v>46217</v>
      </c>
      <c r="C2639" t="s">
        <v>545</v>
      </c>
      <c r="D2639">
        <v>2444</v>
      </c>
      <c r="E2639">
        <v>1</v>
      </c>
      <c r="F2639">
        <v>11.1</v>
      </c>
      <c r="G2639" t="s">
        <v>17</v>
      </c>
      <c r="H2639" t="s">
        <v>556</v>
      </c>
      <c r="I2639" t="str">
        <f t="shared" si="44"/>
        <v>2444_1</v>
      </c>
      <c r="J2639" t="s">
        <v>533</v>
      </c>
      <c r="K2639" t="s">
        <v>429</v>
      </c>
      <c r="L2639" t="str">
        <f>_xlfn.XLOOKUP(C2639, Table2[Species],Table2[Genus], "Code Not Found")</f>
        <v>Ulmus</v>
      </c>
      <c r="M2639" t="str">
        <f>_xlfn.XLOOKUP(C2639, Table2[Species],Table2[Sp. Name], "Code Not Found")</f>
        <v>americana</v>
      </c>
      <c r="N2639" t="str">
        <f>_xlfn.XLOOKUP(C2639,Table2[Species],Table2[Family],"Code Not Found")</f>
        <v>Ulmaceae</v>
      </c>
      <c r="O2639" t="str" cm="1">
        <f t="array" ref="O2639">_xlfn.IFS(F2639="","",F2639&lt;=5,"0 to 5",F2639&lt;=10,"5.1 to 10",F2639&lt;=20,"10 to 20", F2639&lt;= 40, "20 to 40", F2639 &lt;= 50, "40 to 50", F2639 &gt; 50, "&gt;50" )</f>
        <v>10 to 20</v>
      </c>
    </row>
    <row r="2640" spans="1:15" ht="15" customHeight="1" x14ac:dyDescent="0.3">
      <c r="A2640" t="s">
        <v>532</v>
      </c>
      <c r="B2640" s="1">
        <v>46217</v>
      </c>
      <c r="C2640" t="s">
        <v>235</v>
      </c>
      <c r="D2640">
        <v>2445</v>
      </c>
      <c r="E2640">
        <v>1</v>
      </c>
      <c r="F2640">
        <v>4.5</v>
      </c>
      <c r="G2640" t="s">
        <v>557</v>
      </c>
      <c r="H2640" t="s">
        <v>296</v>
      </c>
      <c r="I2640" t="str">
        <f t="shared" si="44"/>
        <v>2445_1</v>
      </c>
      <c r="J2640" t="s">
        <v>533</v>
      </c>
      <c r="K2640" t="s">
        <v>429</v>
      </c>
      <c r="L2640" t="str">
        <f>_xlfn.XLOOKUP(C2640, Table2[Species],Table2[Genus], "Code Not Found")</f>
        <v>Carpinus</v>
      </c>
      <c r="M2640" t="str">
        <f>_xlfn.XLOOKUP(C2640, Table2[Species],Table2[Sp. Name], "Code Not Found")</f>
        <v>caroliniana</v>
      </c>
      <c r="N2640" t="str">
        <f>_xlfn.XLOOKUP(C2640,Table2[Species],Table2[Family],"Code Not Found")</f>
        <v>Betulaceae</v>
      </c>
      <c r="O2640" t="str" cm="1">
        <f t="array" ref="O2640">_xlfn.IFS(F2640="","",F2640&lt;=5,"0 to 5",F2640&lt;=10,"5.1 to 10",F2640&lt;=20,"10 to 20", F2640&lt;= 40, "20 to 40", F2640 &lt;= 50, "40 to 50", F2640 &gt; 50, "&gt;50" )</f>
        <v>0 to 5</v>
      </c>
    </row>
    <row r="2641" spans="1:15" ht="15" customHeight="1" x14ac:dyDescent="0.3">
      <c r="A2641" t="s">
        <v>532</v>
      </c>
      <c r="B2641" s="1">
        <v>46217</v>
      </c>
      <c r="C2641" t="s">
        <v>64</v>
      </c>
      <c r="D2641">
        <v>2446</v>
      </c>
      <c r="E2641">
        <v>1</v>
      </c>
      <c r="F2641">
        <v>2.6</v>
      </c>
      <c r="G2641" t="s">
        <v>47</v>
      </c>
      <c r="H2641" t="s">
        <v>464</v>
      </c>
      <c r="I2641" t="str">
        <f t="shared" si="44"/>
        <v>2446_1</v>
      </c>
      <c r="J2641" t="s">
        <v>533</v>
      </c>
      <c r="K2641" t="s">
        <v>429</v>
      </c>
      <c r="L2641" t="str">
        <f>_xlfn.XLOOKUP(C2641, Table2[Species],Table2[Genus], "Code Not Found")</f>
        <v>Fagus</v>
      </c>
      <c r="M2641" t="str">
        <f>_xlfn.XLOOKUP(C2641, Table2[Species],Table2[Sp. Name], "Code Not Found")</f>
        <v>grandifolia</v>
      </c>
      <c r="N2641" t="str">
        <f>_xlfn.XLOOKUP(C2641,Table2[Species],Table2[Family],"Code Not Found")</f>
        <v>Fagaceae</v>
      </c>
      <c r="O2641" t="str" cm="1">
        <f t="array" ref="O2641">_xlfn.IFS(F2641="","",F2641&lt;=5,"0 to 5",F2641&lt;=10,"5.1 to 10",F2641&lt;=20,"10 to 20", F2641&lt;= 40, "20 to 40", F2641 &lt;= 50, "40 to 50", F2641 &gt; 50, "&gt;50" )</f>
        <v>0 to 5</v>
      </c>
    </row>
    <row r="2642" spans="1:15" ht="15" customHeight="1" x14ac:dyDescent="0.3">
      <c r="A2642" t="s">
        <v>532</v>
      </c>
      <c r="B2642" s="1">
        <v>46217</v>
      </c>
      <c r="C2642" t="s">
        <v>22</v>
      </c>
      <c r="D2642">
        <v>2447</v>
      </c>
      <c r="E2642">
        <v>1</v>
      </c>
      <c r="F2642">
        <v>24.4</v>
      </c>
      <c r="G2642" t="s">
        <v>21</v>
      </c>
      <c r="I2642" t="str">
        <f t="shared" si="44"/>
        <v>2447_1</v>
      </c>
      <c r="J2642" t="s">
        <v>533</v>
      </c>
      <c r="K2642" t="s">
        <v>429</v>
      </c>
      <c r="L2642" t="str">
        <f>_xlfn.XLOOKUP(C2642, Table2[Species],Table2[Genus], "Code Not Found")</f>
        <v>Acer</v>
      </c>
      <c r="M2642" t="str">
        <f>_xlfn.XLOOKUP(C2642, Table2[Species],Table2[Sp. Name], "Code Not Found")</f>
        <v>rubrum</v>
      </c>
      <c r="N2642" t="str">
        <f>_xlfn.XLOOKUP(C2642,Table2[Species],Table2[Family],"Code Not Found")</f>
        <v>Sapindaceae</v>
      </c>
      <c r="O2642" t="str" cm="1">
        <f t="array" ref="O2642">_xlfn.IFS(F2642="","",F2642&lt;=5,"0 to 5",F2642&lt;=10,"5.1 to 10",F2642&lt;=20,"10 to 20", F2642&lt;= 40, "20 to 40", F2642 &lt;= 50, "40 to 50", F2642 &gt; 50, "&gt;50" )</f>
        <v>20 to 40</v>
      </c>
    </row>
    <row r="2643" spans="1:15" ht="15" customHeight="1" x14ac:dyDescent="0.3">
      <c r="A2643" t="s">
        <v>532</v>
      </c>
      <c r="B2643" s="1">
        <v>46217</v>
      </c>
      <c r="C2643" t="s">
        <v>22</v>
      </c>
      <c r="D2643">
        <v>2448</v>
      </c>
      <c r="E2643">
        <v>1</v>
      </c>
      <c r="F2643">
        <v>24.5</v>
      </c>
      <c r="G2643" t="s">
        <v>21</v>
      </c>
      <c r="I2643" t="str">
        <f t="shared" si="44"/>
        <v>2448_1</v>
      </c>
      <c r="J2643" t="s">
        <v>533</v>
      </c>
      <c r="K2643" t="s">
        <v>429</v>
      </c>
      <c r="L2643" t="str">
        <f>_xlfn.XLOOKUP(C2643, Table2[Species],Table2[Genus], "Code Not Found")</f>
        <v>Acer</v>
      </c>
      <c r="M2643" t="str">
        <f>_xlfn.XLOOKUP(C2643, Table2[Species],Table2[Sp. Name], "Code Not Found")</f>
        <v>rubrum</v>
      </c>
      <c r="N2643" t="str">
        <f>_xlfn.XLOOKUP(C2643,Table2[Species],Table2[Family],"Code Not Found")</f>
        <v>Sapindaceae</v>
      </c>
      <c r="O2643" t="str" cm="1">
        <f t="array" ref="O2643">_xlfn.IFS(F2643="","",F2643&lt;=5,"0 to 5",F2643&lt;=10,"5.1 to 10",F2643&lt;=20,"10 to 20", F2643&lt;= 40, "20 to 40", F2643 &lt;= 50, "40 to 50", F2643 &gt; 50, "&gt;50" )</f>
        <v>20 to 40</v>
      </c>
    </row>
    <row r="2644" spans="1:15" ht="15" customHeight="1" x14ac:dyDescent="0.3">
      <c r="A2644" t="s">
        <v>532</v>
      </c>
      <c r="B2644" s="1">
        <v>46217</v>
      </c>
      <c r="C2644" t="s">
        <v>117</v>
      </c>
      <c r="D2644">
        <v>2449</v>
      </c>
      <c r="E2644">
        <v>1</v>
      </c>
      <c r="F2644">
        <v>4.5</v>
      </c>
      <c r="G2644" t="s">
        <v>47</v>
      </c>
      <c r="H2644" t="s">
        <v>296</v>
      </c>
      <c r="I2644" t="str">
        <f t="shared" si="44"/>
        <v>2449_1</v>
      </c>
      <c r="J2644" t="s">
        <v>533</v>
      </c>
      <c r="K2644" t="s">
        <v>429</v>
      </c>
      <c r="L2644" t="str">
        <f>_xlfn.XLOOKUP(C2644, Table2[Species],Table2[Genus], "Code Not Found")</f>
        <v>Ostrya</v>
      </c>
      <c r="M2644" t="str">
        <f>_xlfn.XLOOKUP(C2644, Table2[Species],Table2[Sp. Name], "Code Not Found")</f>
        <v>viginiana</v>
      </c>
      <c r="N2644" t="str">
        <f>_xlfn.XLOOKUP(C2644,Table2[Species],Table2[Family],"Code Not Found")</f>
        <v>Betulaceae</v>
      </c>
      <c r="O2644" t="str" cm="1">
        <f t="array" ref="O2644">_xlfn.IFS(F2644="","",F2644&lt;=5,"0 to 5",F2644&lt;=10,"5.1 to 10",F2644&lt;=20,"10 to 20", F2644&lt;= 40, "20 to 40", F2644 &lt;= 50, "40 to 50", F2644 &gt; 50, "&gt;50" )</f>
        <v>0 to 5</v>
      </c>
    </row>
    <row r="2645" spans="1:15" ht="15" customHeight="1" x14ac:dyDescent="0.3">
      <c r="A2645" t="s">
        <v>532</v>
      </c>
      <c r="B2645" s="1">
        <v>46217</v>
      </c>
      <c r="C2645" t="s">
        <v>22</v>
      </c>
      <c r="D2645">
        <v>2450</v>
      </c>
      <c r="E2645">
        <v>1</v>
      </c>
      <c r="F2645">
        <v>13.9</v>
      </c>
      <c r="G2645" t="s">
        <v>30</v>
      </c>
      <c r="H2645" t="s">
        <v>558</v>
      </c>
      <c r="I2645" t="str">
        <f t="shared" si="44"/>
        <v>2450_1</v>
      </c>
      <c r="J2645" t="s">
        <v>533</v>
      </c>
      <c r="K2645" t="s">
        <v>429</v>
      </c>
      <c r="L2645" t="str">
        <f>_xlfn.XLOOKUP(C2645, Table2[Species],Table2[Genus], "Code Not Found")</f>
        <v>Acer</v>
      </c>
      <c r="M2645" t="str">
        <f>_xlfn.XLOOKUP(C2645, Table2[Species],Table2[Sp. Name], "Code Not Found")</f>
        <v>rubrum</v>
      </c>
      <c r="N2645" t="str">
        <f>_xlfn.XLOOKUP(C2645,Table2[Species],Table2[Family],"Code Not Found")</f>
        <v>Sapindaceae</v>
      </c>
      <c r="O2645" t="str" cm="1">
        <f t="array" ref="O2645">_xlfn.IFS(F2645="","",F2645&lt;=5,"0 to 5",F2645&lt;=10,"5.1 to 10",F2645&lt;=20,"10 to 20", F2645&lt;= 40, "20 to 40", F2645 &lt;= 50, "40 to 50", F2645 &gt; 50, "&gt;50" )</f>
        <v>10 to 20</v>
      </c>
    </row>
    <row r="2646" spans="1:15" ht="15" customHeight="1" x14ac:dyDescent="0.3">
      <c r="A2646" t="s">
        <v>532</v>
      </c>
      <c r="B2646" s="1">
        <v>46217</v>
      </c>
      <c r="C2646" t="s">
        <v>22</v>
      </c>
      <c r="D2646">
        <v>2451</v>
      </c>
      <c r="E2646">
        <v>1</v>
      </c>
      <c r="F2646">
        <v>37.4</v>
      </c>
      <c r="G2646" t="s">
        <v>56</v>
      </c>
      <c r="H2646" t="s">
        <v>559</v>
      </c>
      <c r="I2646" t="str">
        <f t="shared" si="44"/>
        <v>2451_1</v>
      </c>
      <c r="J2646" t="s">
        <v>533</v>
      </c>
      <c r="K2646" t="s">
        <v>429</v>
      </c>
      <c r="L2646" t="str">
        <f>_xlfn.XLOOKUP(C2646, Table2[Species],Table2[Genus], "Code Not Found")</f>
        <v>Acer</v>
      </c>
      <c r="M2646" t="str">
        <f>_xlfn.XLOOKUP(C2646, Table2[Species],Table2[Sp. Name], "Code Not Found")</f>
        <v>rubrum</v>
      </c>
      <c r="N2646" t="str">
        <f>_xlfn.XLOOKUP(C2646,Table2[Species],Table2[Family],"Code Not Found")</f>
        <v>Sapindaceae</v>
      </c>
      <c r="O2646" t="str" cm="1">
        <f t="array" ref="O2646">_xlfn.IFS(F2646="","",F2646&lt;=5,"0 to 5",F2646&lt;=10,"5.1 to 10",F2646&lt;=20,"10 to 20", F2646&lt;= 40, "20 to 40", F2646 &lt;= 50, "40 to 50", F2646 &gt; 50, "&gt;50" )</f>
        <v>20 to 40</v>
      </c>
    </row>
    <row r="2647" spans="1:15" ht="15" customHeight="1" x14ac:dyDescent="0.3">
      <c r="A2647" t="s">
        <v>532</v>
      </c>
      <c r="B2647" s="1">
        <v>46217</v>
      </c>
      <c r="C2647" t="s">
        <v>22</v>
      </c>
      <c r="D2647">
        <v>2452</v>
      </c>
      <c r="E2647">
        <v>1</v>
      </c>
      <c r="F2647">
        <v>23.9</v>
      </c>
      <c r="G2647" t="s">
        <v>21</v>
      </c>
      <c r="I2647" t="str">
        <f t="shared" si="44"/>
        <v>2452_1</v>
      </c>
      <c r="J2647" t="s">
        <v>533</v>
      </c>
      <c r="K2647" t="s">
        <v>429</v>
      </c>
      <c r="L2647" t="str">
        <f>_xlfn.XLOOKUP(C2647, Table2[Species],Table2[Genus], "Code Not Found")</f>
        <v>Acer</v>
      </c>
      <c r="M2647" t="str">
        <f>_xlfn.XLOOKUP(C2647, Table2[Species],Table2[Sp. Name], "Code Not Found")</f>
        <v>rubrum</v>
      </c>
      <c r="N2647" t="str">
        <f>_xlfn.XLOOKUP(C2647,Table2[Species],Table2[Family],"Code Not Found")</f>
        <v>Sapindaceae</v>
      </c>
      <c r="O2647" t="str" cm="1">
        <f t="array" ref="O2647">_xlfn.IFS(F2647="","",F2647&lt;=5,"0 to 5",F2647&lt;=10,"5.1 to 10",F2647&lt;=20,"10 to 20", F2647&lt;= 40, "20 to 40", F2647 &lt;= 50, "40 to 50", F2647 &gt; 50, "&gt;50" )</f>
        <v>20 to 40</v>
      </c>
    </row>
    <row r="2648" spans="1:15" ht="15" customHeight="1" x14ac:dyDescent="0.3">
      <c r="A2648" t="s">
        <v>532</v>
      </c>
      <c r="B2648" s="1">
        <v>46217</v>
      </c>
      <c r="C2648" t="s">
        <v>64</v>
      </c>
      <c r="D2648">
        <v>2453</v>
      </c>
      <c r="E2648">
        <v>1</v>
      </c>
      <c r="F2648">
        <v>5.0999999999999996</v>
      </c>
      <c r="G2648" t="s">
        <v>471</v>
      </c>
      <c r="I2648" t="str">
        <f t="shared" si="44"/>
        <v>2453_1</v>
      </c>
      <c r="J2648" t="s">
        <v>533</v>
      </c>
      <c r="K2648" t="s">
        <v>429</v>
      </c>
      <c r="L2648" t="str">
        <f>_xlfn.XLOOKUP(C2648, Table2[Species],Table2[Genus], "Code Not Found")</f>
        <v>Fagus</v>
      </c>
      <c r="M2648" t="str">
        <f>_xlfn.XLOOKUP(C2648, Table2[Species],Table2[Sp. Name], "Code Not Found")</f>
        <v>grandifolia</v>
      </c>
      <c r="N2648" t="str">
        <f>_xlfn.XLOOKUP(C2648,Table2[Species],Table2[Family],"Code Not Found")</f>
        <v>Fagaceae</v>
      </c>
      <c r="O2648" t="str" cm="1">
        <f t="array" ref="O2648">_xlfn.IFS(F2648="","",F2648&lt;=5,"0 to 5",F2648&lt;=10,"5.1 to 10",F2648&lt;=20,"10 to 20", F2648&lt;= 40, "20 to 40", F2648 &lt;= 50, "40 to 50", F2648 &gt; 50, "&gt;50" )</f>
        <v>5.1 to 10</v>
      </c>
    </row>
    <row r="2649" spans="1:15" ht="15" customHeight="1" x14ac:dyDescent="0.3">
      <c r="A2649" t="s">
        <v>532</v>
      </c>
      <c r="B2649" s="1">
        <v>46217</v>
      </c>
      <c r="C2649" t="s">
        <v>22</v>
      </c>
      <c r="D2649">
        <v>2454</v>
      </c>
      <c r="E2649">
        <v>1</v>
      </c>
      <c r="F2649">
        <v>21.2</v>
      </c>
      <c r="G2649" t="s">
        <v>21</v>
      </c>
      <c r="I2649" t="str">
        <f t="shared" si="44"/>
        <v>2454_1</v>
      </c>
      <c r="J2649" t="s">
        <v>533</v>
      </c>
      <c r="K2649" t="s">
        <v>429</v>
      </c>
      <c r="L2649" t="str">
        <f>_xlfn.XLOOKUP(C2649, Table2[Species],Table2[Genus], "Code Not Found")</f>
        <v>Acer</v>
      </c>
      <c r="M2649" t="str">
        <f>_xlfn.XLOOKUP(C2649, Table2[Species],Table2[Sp. Name], "Code Not Found")</f>
        <v>rubrum</v>
      </c>
      <c r="N2649" t="str">
        <f>_xlfn.XLOOKUP(C2649,Table2[Species],Table2[Family],"Code Not Found")</f>
        <v>Sapindaceae</v>
      </c>
      <c r="O2649" t="str" cm="1">
        <f t="array" ref="O2649">_xlfn.IFS(F2649="","",F2649&lt;=5,"0 to 5",F2649&lt;=10,"5.1 to 10",F2649&lt;=20,"10 to 20", F2649&lt;= 40, "20 to 40", F2649 &lt;= 50, "40 to 50", F2649 &gt; 50, "&gt;50" )</f>
        <v>20 to 40</v>
      </c>
    </row>
    <row r="2650" spans="1:15" ht="15" customHeight="1" x14ac:dyDescent="0.3">
      <c r="A2650" t="s">
        <v>532</v>
      </c>
      <c r="B2650" s="1">
        <v>46217</v>
      </c>
      <c r="C2650" t="s">
        <v>64</v>
      </c>
      <c r="D2650">
        <v>2455</v>
      </c>
      <c r="E2650">
        <v>1</v>
      </c>
      <c r="F2650">
        <v>3.3</v>
      </c>
      <c r="G2650" t="s">
        <v>47</v>
      </c>
      <c r="H2650" t="s">
        <v>560</v>
      </c>
      <c r="I2650" t="str">
        <f t="shared" si="44"/>
        <v>2455_1</v>
      </c>
      <c r="J2650" t="s">
        <v>533</v>
      </c>
      <c r="K2650" t="s">
        <v>429</v>
      </c>
      <c r="L2650" t="str">
        <f>_xlfn.XLOOKUP(C2650, Table2[Species],Table2[Genus], "Code Not Found")</f>
        <v>Fagus</v>
      </c>
      <c r="M2650" t="str">
        <f>_xlfn.XLOOKUP(C2650, Table2[Species],Table2[Sp. Name], "Code Not Found")</f>
        <v>grandifolia</v>
      </c>
      <c r="N2650" t="str">
        <f>_xlfn.XLOOKUP(C2650,Table2[Species],Table2[Family],"Code Not Found")</f>
        <v>Fagaceae</v>
      </c>
      <c r="O2650" t="str" cm="1">
        <f t="array" ref="O2650">_xlfn.IFS(F2650="","",F2650&lt;=5,"0 to 5",F2650&lt;=10,"5.1 to 10",F2650&lt;=20,"10 to 20", F2650&lt;= 40, "20 to 40", F2650 &lt;= 50, "40 to 50", F2650 &gt; 50, "&gt;50" )</f>
        <v>0 to 5</v>
      </c>
    </row>
    <row r="2651" spans="1:15" ht="15" customHeight="1" x14ac:dyDescent="0.3">
      <c r="A2651" t="s">
        <v>532</v>
      </c>
      <c r="B2651" s="1">
        <v>46217</v>
      </c>
      <c r="C2651" t="s">
        <v>545</v>
      </c>
      <c r="D2651">
        <v>2456</v>
      </c>
      <c r="E2651">
        <v>1</v>
      </c>
      <c r="F2651">
        <v>11.9</v>
      </c>
      <c r="G2651" t="s">
        <v>21</v>
      </c>
      <c r="I2651" t="str">
        <f t="shared" si="44"/>
        <v>2456_1</v>
      </c>
      <c r="J2651" t="s">
        <v>533</v>
      </c>
      <c r="K2651" t="s">
        <v>429</v>
      </c>
      <c r="L2651" t="str">
        <f>_xlfn.XLOOKUP(C2651, Table2[Species],Table2[Genus], "Code Not Found")</f>
        <v>Ulmus</v>
      </c>
      <c r="M2651" t="str">
        <f>_xlfn.XLOOKUP(C2651, Table2[Species],Table2[Sp. Name], "Code Not Found")</f>
        <v>americana</v>
      </c>
      <c r="N2651" t="str">
        <f>_xlfn.XLOOKUP(C2651,Table2[Species],Table2[Family],"Code Not Found")</f>
        <v>Ulmaceae</v>
      </c>
      <c r="O2651" t="str" cm="1">
        <f t="array" ref="O2651">_xlfn.IFS(F2651="","",F2651&lt;=5,"0 to 5",F2651&lt;=10,"5.1 to 10",F2651&lt;=20,"10 to 20", F2651&lt;= 40, "20 to 40", F2651 &lt;= 50, "40 to 50", F2651 &gt; 50, "&gt;50" )</f>
        <v>10 to 20</v>
      </c>
    </row>
    <row r="2652" spans="1:15" ht="15" customHeight="1" x14ac:dyDescent="0.3">
      <c r="A2652" t="s">
        <v>532</v>
      </c>
      <c r="B2652" s="1">
        <v>46217</v>
      </c>
      <c r="C2652" t="s">
        <v>16</v>
      </c>
      <c r="D2652">
        <v>2457</v>
      </c>
      <c r="E2652">
        <v>1</v>
      </c>
      <c r="F2652">
        <v>8</v>
      </c>
      <c r="G2652" t="s">
        <v>17</v>
      </c>
      <c r="I2652" t="str">
        <f t="shared" si="44"/>
        <v>2457_1</v>
      </c>
      <c r="J2652" t="s">
        <v>533</v>
      </c>
      <c r="K2652" t="s">
        <v>429</v>
      </c>
      <c r="L2652" t="str">
        <f>_xlfn.XLOOKUP(C2652, Table2[Species],Table2[Genus], "Code Not Found")</f>
        <v>Acer</v>
      </c>
      <c r="M2652" t="str">
        <f>_xlfn.XLOOKUP(C2652, Table2[Species],Table2[Sp. Name], "Code Not Found")</f>
        <v>saccharum</v>
      </c>
      <c r="N2652" t="str">
        <f>_xlfn.XLOOKUP(C2652,Table2[Species],Table2[Family],"Code Not Found")</f>
        <v>Sapindaceae</v>
      </c>
      <c r="O2652" t="str" cm="1">
        <f t="array" ref="O2652">_xlfn.IFS(F2652="","",F2652&lt;=5,"0 to 5",F2652&lt;=10,"5.1 to 10",F2652&lt;=20,"10 to 20", F2652&lt;= 40, "20 to 40", F2652 &lt;= 50, "40 to 50", F2652 &gt; 50, "&gt;50" )</f>
        <v>5.1 to 10</v>
      </c>
    </row>
    <row r="2653" spans="1:15" ht="15" customHeight="1" x14ac:dyDescent="0.3">
      <c r="A2653" t="s">
        <v>532</v>
      </c>
      <c r="B2653" s="1">
        <v>46217</v>
      </c>
      <c r="C2653" t="s">
        <v>22</v>
      </c>
      <c r="D2653">
        <v>2458</v>
      </c>
      <c r="E2653">
        <v>1</v>
      </c>
      <c r="F2653">
        <v>14.7</v>
      </c>
      <c r="G2653" t="s">
        <v>21</v>
      </c>
      <c r="H2653" t="s">
        <v>297</v>
      </c>
      <c r="I2653" t="str">
        <f t="shared" si="44"/>
        <v>2458_1</v>
      </c>
      <c r="J2653" t="s">
        <v>533</v>
      </c>
      <c r="K2653" t="s">
        <v>429</v>
      </c>
      <c r="L2653" t="str">
        <f>_xlfn.XLOOKUP(C2653, Table2[Species],Table2[Genus], "Code Not Found")</f>
        <v>Acer</v>
      </c>
      <c r="M2653" t="str">
        <f>_xlfn.XLOOKUP(C2653, Table2[Species],Table2[Sp. Name], "Code Not Found")</f>
        <v>rubrum</v>
      </c>
      <c r="N2653" t="str">
        <f>_xlfn.XLOOKUP(C2653,Table2[Species],Table2[Family],"Code Not Found")</f>
        <v>Sapindaceae</v>
      </c>
      <c r="O2653" t="str" cm="1">
        <f t="array" ref="O2653">_xlfn.IFS(F2653="","",F2653&lt;=5,"0 to 5",F2653&lt;=10,"5.1 to 10",F2653&lt;=20,"10 to 20", F2653&lt;= 40, "20 to 40", F2653 &lt;= 50, "40 to 50", F2653 &gt; 50, "&gt;50" )</f>
        <v>10 to 20</v>
      </c>
    </row>
    <row r="2654" spans="1:15" ht="15" customHeight="1" x14ac:dyDescent="0.3">
      <c r="A2654" t="s">
        <v>532</v>
      </c>
      <c r="B2654" s="1">
        <v>46217</v>
      </c>
      <c r="C2654" t="s">
        <v>16</v>
      </c>
      <c r="D2654">
        <v>2459</v>
      </c>
      <c r="E2654">
        <v>1</v>
      </c>
      <c r="F2654">
        <v>2.2999999999999998</v>
      </c>
      <c r="G2654" t="s">
        <v>17</v>
      </c>
      <c r="I2654" t="str">
        <f t="shared" si="44"/>
        <v>2459_1</v>
      </c>
      <c r="J2654" t="s">
        <v>533</v>
      </c>
      <c r="K2654" t="s">
        <v>429</v>
      </c>
      <c r="L2654" t="str">
        <f>_xlfn.XLOOKUP(C2654, Table2[Species],Table2[Genus], "Code Not Found")</f>
        <v>Acer</v>
      </c>
      <c r="M2654" t="str">
        <f>_xlfn.XLOOKUP(C2654, Table2[Species],Table2[Sp. Name], "Code Not Found")</f>
        <v>saccharum</v>
      </c>
      <c r="N2654" t="str">
        <f>_xlfn.XLOOKUP(C2654,Table2[Species],Table2[Family],"Code Not Found")</f>
        <v>Sapindaceae</v>
      </c>
      <c r="O2654" t="str" cm="1">
        <f t="array" ref="O2654">_xlfn.IFS(F2654="","",F2654&lt;=5,"0 to 5",F2654&lt;=10,"5.1 to 10",F2654&lt;=20,"10 to 20", F2654&lt;= 40, "20 to 40", F2654 &lt;= 50, "40 to 50", F2654 &gt; 50, "&gt;50" )</f>
        <v>0 to 5</v>
      </c>
    </row>
    <row r="2655" spans="1:15" ht="15" customHeight="1" x14ac:dyDescent="0.3">
      <c r="A2655" t="s">
        <v>532</v>
      </c>
      <c r="B2655" s="1">
        <v>46217</v>
      </c>
      <c r="C2655" t="s">
        <v>16</v>
      </c>
      <c r="D2655">
        <v>2460</v>
      </c>
      <c r="E2655">
        <v>1</v>
      </c>
      <c r="F2655">
        <v>22.3</v>
      </c>
      <c r="G2655" t="s">
        <v>21</v>
      </c>
      <c r="I2655" t="str">
        <f t="shared" si="44"/>
        <v>2460_1</v>
      </c>
      <c r="J2655" t="s">
        <v>533</v>
      </c>
      <c r="K2655" t="s">
        <v>429</v>
      </c>
      <c r="L2655" t="str">
        <f>_xlfn.XLOOKUP(C2655, Table2[Species],Table2[Genus], "Code Not Found")</f>
        <v>Acer</v>
      </c>
      <c r="M2655" t="str">
        <f>_xlfn.XLOOKUP(C2655, Table2[Species],Table2[Sp. Name], "Code Not Found")</f>
        <v>saccharum</v>
      </c>
      <c r="N2655" t="str">
        <f>_xlfn.XLOOKUP(C2655,Table2[Species],Table2[Family],"Code Not Found")</f>
        <v>Sapindaceae</v>
      </c>
      <c r="O2655" t="str" cm="1">
        <f t="array" ref="O2655">_xlfn.IFS(F2655="","",F2655&lt;=5,"0 to 5",F2655&lt;=10,"5.1 to 10",F2655&lt;=20,"10 to 20", F2655&lt;= 40, "20 to 40", F2655 &lt;= 50, "40 to 50", F2655 &gt; 50, "&gt;50" )</f>
        <v>20 to 40</v>
      </c>
    </row>
    <row r="2656" spans="1:15" ht="15" customHeight="1" x14ac:dyDescent="0.3">
      <c r="A2656" t="s">
        <v>532</v>
      </c>
      <c r="B2656" s="1">
        <v>46217</v>
      </c>
      <c r="C2656" t="s">
        <v>64</v>
      </c>
      <c r="D2656">
        <v>2461</v>
      </c>
      <c r="E2656">
        <v>1</v>
      </c>
      <c r="F2656">
        <v>5.3</v>
      </c>
      <c r="G2656" t="s">
        <v>104</v>
      </c>
      <c r="H2656" t="s">
        <v>561</v>
      </c>
      <c r="I2656" t="str">
        <f t="shared" si="44"/>
        <v>2461_1</v>
      </c>
      <c r="J2656" t="s">
        <v>533</v>
      </c>
      <c r="K2656" t="s">
        <v>429</v>
      </c>
      <c r="L2656" t="str">
        <f>_xlfn.XLOOKUP(C2656, Table2[Species],Table2[Genus], "Code Not Found")</f>
        <v>Fagus</v>
      </c>
      <c r="M2656" t="str">
        <f>_xlfn.XLOOKUP(C2656, Table2[Species],Table2[Sp. Name], "Code Not Found")</f>
        <v>grandifolia</v>
      </c>
      <c r="N2656" t="str">
        <f>_xlfn.XLOOKUP(C2656,Table2[Species],Table2[Family],"Code Not Found")</f>
        <v>Fagaceae</v>
      </c>
      <c r="O2656" t="str" cm="1">
        <f t="array" ref="O2656">_xlfn.IFS(F2656="","",F2656&lt;=5,"0 to 5",F2656&lt;=10,"5.1 to 10",F2656&lt;=20,"10 to 20", F2656&lt;= 40, "20 to 40", F2656 &lt;= 50, "40 to 50", F2656 &gt; 50, "&gt;50" )</f>
        <v>5.1 to 10</v>
      </c>
    </row>
    <row r="2657" spans="1:15" ht="15" customHeight="1" x14ac:dyDescent="0.3">
      <c r="A2657" t="s">
        <v>532</v>
      </c>
      <c r="B2657" s="1">
        <v>46217</v>
      </c>
      <c r="C2657" t="s">
        <v>64</v>
      </c>
      <c r="D2657">
        <v>2462</v>
      </c>
      <c r="E2657">
        <v>1</v>
      </c>
      <c r="F2657">
        <v>2.2000000000000002</v>
      </c>
      <c r="G2657" t="s">
        <v>17</v>
      </c>
      <c r="I2657" t="str">
        <f t="shared" si="44"/>
        <v>2462_1</v>
      </c>
      <c r="J2657" t="s">
        <v>533</v>
      </c>
      <c r="K2657" t="s">
        <v>429</v>
      </c>
      <c r="L2657" t="str">
        <f>_xlfn.XLOOKUP(C2657, Table2[Species],Table2[Genus], "Code Not Found")</f>
        <v>Fagus</v>
      </c>
      <c r="M2657" t="str">
        <f>_xlfn.XLOOKUP(C2657, Table2[Species],Table2[Sp. Name], "Code Not Found")</f>
        <v>grandifolia</v>
      </c>
      <c r="N2657" t="str">
        <f>_xlfn.XLOOKUP(C2657,Table2[Species],Table2[Family],"Code Not Found")</f>
        <v>Fagaceae</v>
      </c>
      <c r="O2657" t="str" cm="1">
        <f t="array" ref="O2657">_xlfn.IFS(F2657="","",F2657&lt;=5,"0 to 5",F2657&lt;=10,"5.1 to 10",F2657&lt;=20,"10 to 20", F2657&lt;= 40, "20 to 40", F2657 &lt;= 50, "40 to 50", F2657 &gt; 50, "&gt;50" )</f>
        <v>0 to 5</v>
      </c>
    </row>
    <row r="2658" spans="1:15" ht="15" customHeight="1" x14ac:dyDescent="0.3">
      <c r="A2658" t="s">
        <v>532</v>
      </c>
      <c r="B2658" s="1">
        <v>46217</v>
      </c>
      <c r="C2658" t="s">
        <v>16</v>
      </c>
      <c r="D2658">
        <v>2463</v>
      </c>
      <c r="E2658">
        <v>1</v>
      </c>
      <c r="F2658">
        <v>14.1</v>
      </c>
      <c r="G2658" t="s">
        <v>17</v>
      </c>
      <c r="I2658" t="str">
        <f t="shared" si="44"/>
        <v>2463_1</v>
      </c>
      <c r="J2658" t="s">
        <v>533</v>
      </c>
      <c r="K2658" t="s">
        <v>429</v>
      </c>
      <c r="L2658" t="str">
        <f>_xlfn.XLOOKUP(C2658, Table2[Species],Table2[Genus], "Code Not Found")</f>
        <v>Acer</v>
      </c>
      <c r="M2658" t="str">
        <f>_xlfn.XLOOKUP(C2658, Table2[Species],Table2[Sp. Name], "Code Not Found")</f>
        <v>saccharum</v>
      </c>
      <c r="N2658" t="str">
        <f>_xlfn.XLOOKUP(C2658,Table2[Species],Table2[Family],"Code Not Found")</f>
        <v>Sapindaceae</v>
      </c>
      <c r="O2658" t="str" cm="1">
        <f t="array" ref="O2658">_xlfn.IFS(F2658="","",F2658&lt;=5,"0 to 5",F2658&lt;=10,"5.1 to 10",F2658&lt;=20,"10 to 20", F2658&lt;= 40, "20 to 40", F2658 &lt;= 50, "40 to 50", F2658 &gt; 50, "&gt;50" )</f>
        <v>10 to 20</v>
      </c>
    </row>
    <row r="2659" spans="1:15" ht="15" customHeight="1" x14ac:dyDescent="0.3">
      <c r="A2659" t="s">
        <v>532</v>
      </c>
      <c r="B2659" s="1">
        <v>46217</v>
      </c>
      <c r="C2659" t="s">
        <v>430</v>
      </c>
      <c r="D2659">
        <v>2464</v>
      </c>
      <c r="E2659">
        <v>1</v>
      </c>
      <c r="F2659">
        <v>26.1</v>
      </c>
      <c r="G2659" t="s">
        <v>17</v>
      </c>
      <c r="H2659" t="s">
        <v>36</v>
      </c>
      <c r="I2659" t="str">
        <f t="shared" si="44"/>
        <v>2464_1</v>
      </c>
      <c r="J2659" t="s">
        <v>533</v>
      </c>
      <c r="K2659" t="s">
        <v>429</v>
      </c>
      <c r="L2659" t="str">
        <f>_xlfn.XLOOKUP(C2659, Table2[Species],Table2[Genus], "Code Not Found")</f>
        <v>Tsuga</v>
      </c>
      <c r="M2659" t="str">
        <f>_xlfn.XLOOKUP(C2659, Table2[Species],Table2[Sp. Name], "Code Not Found")</f>
        <v>canadensis</v>
      </c>
      <c r="N2659" t="str">
        <f>_xlfn.XLOOKUP(C2659,Table2[Species],Table2[Family],"Code Not Found")</f>
        <v>Pinaceae</v>
      </c>
      <c r="O2659" t="str" cm="1">
        <f t="array" ref="O2659">_xlfn.IFS(F2659="","",F2659&lt;=5,"0 to 5",F2659&lt;=10,"5.1 to 10",F2659&lt;=20,"10 to 20", F2659&lt;= 40, "20 to 40", F2659 &lt;= 50, "40 to 50", F2659 &gt; 50, "&gt;50" )</f>
        <v>20 to 40</v>
      </c>
    </row>
    <row r="2660" spans="1:15" ht="15" customHeight="1" x14ac:dyDescent="0.3">
      <c r="A2660" t="s">
        <v>532</v>
      </c>
      <c r="B2660" s="1">
        <v>46217</v>
      </c>
      <c r="C2660" t="s">
        <v>430</v>
      </c>
      <c r="D2660">
        <v>2465</v>
      </c>
      <c r="E2660">
        <v>1</v>
      </c>
      <c r="F2660">
        <v>18.600000000000001</v>
      </c>
      <c r="G2660" t="s">
        <v>17</v>
      </c>
      <c r="I2660" t="str">
        <f t="shared" si="44"/>
        <v>2465_1</v>
      </c>
      <c r="J2660" t="s">
        <v>533</v>
      </c>
      <c r="K2660" t="s">
        <v>429</v>
      </c>
      <c r="L2660" t="str">
        <f>_xlfn.XLOOKUP(C2660, Table2[Species],Table2[Genus], "Code Not Found")</f>
        <v>Tsuga</v>
      </c>
      <c r="M2660" t="str">
        <f>_xlfn.XLOOKUP(C2660, Table2[Species],Table2[Sp. Name], "Code Not Found")</f>
        <v>canadensis</v>
      </c>
      <c r="N2660" t="str">
        <f>_xlfn.XLOOKUP(C2660,Table2[Species],Table2[Family],"Code Not Found")</f>
        <v>Pinaceae</v>
      </c>
      <c r="O2660" t="str" cm="1">
        <f t="array" ref="O2660">_xlfn.IFS(F2660="","",F2660&lt;=5,"0 to 5",F2660&lt;=10,"5.1 to 10",F2660&lt;=20,"10 to 20", F2660&lt;= 40, "20 to 40", F2660 &lt;= 50, "40 to 50", F2660 &gt; 50, "&gt;50" )</f>
        <v>10 to 20</v>
      </c>
    </row>
    <row r="2661" spans="1:15" ht="15" customHeight="1" x14ac:dyDescent="0.3">
      <c r="A2661" t="s">
        <v>532</v>
      </c>
      <c r="B2661" s="1">
        <v>46217</v>
      </c>
      <c r="C2661" t="s">
        <v>430</v>
      </c>
      <c r="D2661">
        <v>2466</v>
      </c>
      <c r="E2661">
        <v>1</v>
      </c>
      <c r="F2661">
        <v>14.1</v>
      </c>
      <c r="G2661" t="s">
        <v>17</v>
      </c>
      <c r="I2661" t="str">
        <f t="shared" si="44"/>
        <v>2466_1</v>
      </c>
      <c r="J2661" t="s">
        <v>533</v>
      </c>
      <c r="K2661" t="s">
        <v>429</v>
      </c>
      <c r="L2661" t="str">
        <f>_xlfn.XLOOKUP(C2661, Table2[Species],Table2[Genus], "Code Not Found")</f>
        <v>Tsuga</v>
      </c>
      <c r="M2661" t="str">
        <f>_xlfn.XLOOKUP(C2661, Table2[Species],Table2[Sp. Name], "Code Not Found")</f>
        <v>canadensis</v>
      </c>
      <c r="N2661" t="str">
        <f>_xlfn.XLOOKUP(C2661,Table2[Species],Table2[Family],"Code Not Found")</f>
        <v>Pinaceae</v>
      </c>
      <c r="O2661" t="str" cm="1">
        <f t="array" ref="O2661">_xlfn.IFS(F2661="","",F2661&lt;=5,"0 to 5",F2661&lt;=10,"5.1 to 10",F2661&lt;=20,"10 to 20", F2661&lt;= 40, "20 to 40", F2661 &lt;= 50, "40 to 50", F2661 &gt; 50, "&gt;50" )</f>
        <v>10 to 20</v>
      </c>
    </row>
    <row r="2662" spans="1:15" ht="15" customHeight="1" x14ac:dyDescent="0.3">
      <c r="A2662" t="s">
        <v>532</v>
      </c>
      <c r="B2662" s="1">
        <v>46217</v>
      </c>
      <c r="C2662" t="s">
        <v>430</v>
      </c>
      <c r="D2662">
        <v>2467</v>
      </c>
      <c r="E2662">
        <v>1</v>
      </c>
      <c r="F2662">
        <v>7.8</v>
      </c>
      <c r="G2662" t="s">
        <v>69</v>
      </c>
      <c r="H2662" t="s">
        <v>296</v>
      </c>
      <c r="I2662" t="str">
        <f t="shared" si="44"/>
        <v>2467_1</v>
      </c>
      <c r="J2662" t="s">
        <v>533</v>
      </c>
      <c r="K2662" t="s">
        <v>429</v>
      </c>
      <c r="L2662" t="str">
        <f>_xlfn.XLOOKUP(C2662, Table2[Species],Table2[Genus], "Code Not Found")</f>
        <v>Tsuga</v>
      </c>
      <c r="M2662" t="str">
        <f>_xlfn.XLOOKUP(C2662, Table2[Species],Table2[Sp. Name], "Code Not Found")</f>
        <v>canadensis</v>
      </c>
      <c r="N2662" t="str">
        <f>_xlfn.XLOOKUP(C2662,Table2[Species],Table2[Family],"Code Not Found")</f>
        <v>Pinaceae</v>
      </c>
      <c r="O2662" t="str" cm="1">
        <f t="array" ref="O2662">_xlfn.IFS(F2662="","",F2662&lt;=5,"0 to 5",F2662&lt;=10,"5.1 to 10",F2662&lt;=20,"10 to 20", F2662&lt;= 40, "20 to 40", F2662 &lt;= 50, "40 to 50", F2662 &gt; 50, "&gt;50" )</f>
        <v>5.1 to 10</v>
      </c>
    </row>
    <row r="2663" spans="1:15" ht="15" customHeight="1" x14ac:dyDescent="0.3">
      <c r="A2663" t="s">
        <v>532</v>
      </c>
      <c r="B2663" s="1">
        <v>46217</v>
      </c>
      <c r="C2663" t="s">
        <v>430</v>
      </c>
      <c r="D2663">
        <v>2468</v>
      </c>
      <c r="E2663">
        <v>1</v>
      </c>
      <c r="F2663">
        <v>22.3</v>
      </c>
      <c r="G2663" t="s">
        <v>17</v>
      </c>
      <c r="I2663" t="str">
        <f t="shared" si="44"/>
        <v>2468_1</v>
      </c>
      <c r="J2663" t="s">
        <v>533</v>
      </c>
      <c r="K2663" t="s">
        <v>429</v>
      </c>
      <c r="L2663" t="str">
        <f>_xlfn.XLOOKUP(C2663, Table2[Species],Table2[Genus], "Code Not Found")</f>
        <v>Tsuga</v>
      </c>
      <c r="M2663" t="str">
        <f>_xlfn.XLOOKUP(C2663, Table2[Species],Table2[Sp. Name], "Code Not Found")</f>
        <v>canadensis</v>
      </c>
      <c r="N2663" t="str">
        <f>_xlfn.XLOOKUP(C2663,Table2[Species],Table2[Family],"Code Not Found")</f>
        <v>Pinaceae</v>
      </c>
      <c r="O2663" t="str" cm="1">
        <f t="array" ref="O2663">_xlfn.IFS(F2663="","",F2663&lt;=5,"0 to 5",F2663&lt;=10,"5.1 to 10",F2663&lt;=20,"10 to 20", F2663&lt;= 40, "20 to 40", F2663 &lt;= 50, "40 to 50", F2663 &gt; 50, "&gt;50" )</f>
        <v>20 to 40</v>
      </c>
    </row>
    <row r="2664" spans="1:15" ht="15" customHeight="1" x14ac:dyDescent="0.3">
      <c r="A2664" t="s">
        <v>532</v>
      </c>
      <c r="B2664" s="1">
        <v>46217</v>
      </c>
      <c r="C2664" t="s">
        <v>430</v>
      </c>
      <c r="D2664">
        <v>2469</v>
      </c>
      <c r="E2664">
        <v>1</v>
      </c>
      <c r="F2664">
        <v>19.899999999999999</v>
      </c>
      <c r="G2664" t="s">
        <v>17</v>
      </c>
      <c r="H2664" t="s">
        <v>562</v>
      </c>
      <c r="I2664" t="str">
        <f t="shared" si="44"/>
        <v>2469_1</v>
      </c>
      <c r="J2664" t="s">
        <v>533</v>
      </c>
      <c r="K2664" t="s">
        <v>429</v>
      </c>
      <c r="L2664" t="str">
        <f>_xlfn.XLOOKUP(C2664, Table2[Species],Table2[Genus], "Code Not Found")</f>
        <v>Tsuga</v>
      </c>
      <c r="M2664" t="str">
        <f>_xlfn.XLOOKUP(C2664, Table2[Species],Table2[Sp. Name], "Code Not Found")</f>
        <v>canadensis</v>
      </c>
      <c r="N2664" t="str">
        <f>_xlfn.XLOOKUP(C2664,Table2[Species],Table2[Family],"Code Not Found")</f>
        <v>Pinaceae</v>
      </c>
      <c r="O2664" t="str" cm="1">
        <f t="array" ref="O2664">_xlfn.IFS(F2664="","",F2664&lt;=5,"0 to 5",F2664&lt;=10,"5.1 to 10",F2664&lt;=20,"10 to 20", F2664&lt;= 40, "20 to 40", F2664 &lt;= 50, "40 to 50", F2664 &gt; 50, "&gt;50" )</f>
        <v>10 to 20</v>
      </c>
    </row>
    <row r="2665" spans="1:15" ht="15" customHeight="1" x14ac:dyDescent="0.3">
      <c r="A2665" t="s">
        <v>532</v>
      </c>
      <c r="B2665" s="1">
        <v>46217</v>
      </c>
      <c r="C2665" t="s">
        <v>430</v>
      </c>
      <c r="D2665">
        <v>2470</v>
      </c>
      <c r="E2665">
        <v>1</v>
      </c>
      <c r="F2665">
        <v>29.5</v>
      </c>
      <c r="G2665" t="s">
        <v>17</v>
      </c>
      <c r="I2665" t="str">
        <f t="shared" si="44"/>
        <v>2470_1</v>
      </c>
      <c r="J2665" t="s">
        <v>533</v>
      </c>
      <c r="K2665" t="s">
        <v>429</v>
      </c>
      <c r="L2665" t="str">
        <f>_xlfn.XLOOKUP(C2665, Table2[Species],Table2[Genus], "Code Not Found")</f>
        <v>Tsuga</v>
      </c>
      <c r="M2665" t="str">
        <f>_xlfn.XLOOKUP(C2665, Table2[Species],Table2[Sp. Name], "Code Not Found")</f>
        <v>canadensis</v>
      </c>
      <c r="N2665" t="str">
        <f>_xlfn.XLOOKUP(C2665,Table2[Species],Table2[Family],"Code Not Found")</f>
        <v>Pinaceae</v>
      </c>
      <c r="O2665" t="str" cm="1">
        <f t="array" ref="O2665">_xlfn.IFS(F2665="","",F2665&lt;=5,"0 to 5",F2665&lt;=10,"5.1 to 10",F2665&lt;=20,"10 to 20", F2665&lt;= 40, "20 to 40", F2665 &lt;= 50, "40 to 50", F2665 &gt; 50, "&gt;50" )</f>
        <v>20 to 40</v>
      </c>
    </row>
    <row r="2666" spans="1:15" ht="15" customHeight="1" x14ac:dyDescent="0.3">
      <c r="A2666" t="s">
        <v>532</v>
      </c>
      <c r="B2666" s="1">
        <v>46217</v>
      </c>
      <c r="C2666" t="s">
        <v>430</v>
      </c>
      <c r="D2666">
        <v>2471</v>
      </c>
      <c r="E2666">
        <v>1</v>
      </c>
      <c r="F2666">
        <v>13.9</v>
      </c>
      <c r="G2666" t="s">
        <v>17</v>
      </c>
      <c r="I2666" t="str">
        <f t="shared" si="44"/>
        <v>2471_1</v>
      </c>
      <c r="J2666" t="s">
        <v>533</v>
      </c>
      <c r="K2666" t="s">
        <v>429</v>
      </c>
      <c r="L2666" t="str">
        <f>_xlfn.XLOOKUP(C2666, Table2[Species],Table2[Genus], "Code Not Found")</f>
        <v>Tsuga</v>
      </c>
      <c r="M2666" t="str">
        <f>_xlfn.XLOOKUP(C2666, Table2[Species],Table2[Sp. Name], "Code Not Found")</f>
        <v>canadensis</v>
      </c>
      <c r="N2666" t="str">
        <f>_xlfn.XLOOKUP(C2666,Table2[Species],Table2[Family],"Code Not Found")</f>
        <v>Pinaceae</v>
      </c>
      <c r="O2666" t="str" cm="1">
        <f t="array" ref="O2666">_xlfn.IFS(F2666="","",F2666&lt;=5,"0 to 5",F2666&lt;=10,"5.1 to 10",F2666&lt;=20,"10 to 20", F2666&lt;= 40, "20 to 40", F2666 &lt;= 50, "40 to 50", F2666 &gt; 50, "&gt;50" )</f>
        <v>10 to 20</v>
      </c>
    </row>
    <row r="2667" spans="1:15" ht="15" customHeight="1" x14ac:dyDescent="0.3">
      <c r="A2667" t="s">
        <v>532</v>
      </c>
      <c r="B2667" s="1">
        <v>46217</v>
      </c>
      <c r="C2667" t="s">
        <v>430</v>
      </c>
      <c r="D2667">
        <v>2472</v>
      </c>
      <c r="E2667">
        <v>1</v>
      </c>
      <c r="F2667">
        <v>44.8</v>
      </c>
      <c r="G2667" t="s">
        <v>17</v>
      </c>
      <c r="H2667" t="s">
        <v>36</v>
      </c>
      <c r="I2667" t="str">
        <f t="shared" si="44"/>
        <v>2472_1</v>
      </c>
      <c r="J2667" t="s">
        <v>533</v>
      </c>
      <c r="K2667" t="s">
        <v>429</v>
      </c>
      <c r="L2667" t="str">
        <f>_xlfn.XLOOKUP(C2667, Table2[Species],Table2[Genus], "Code Not Found")</f>
        <v>Tsuga</v>
      </c>
      <c r="M2667" t="str">
        <f>_xlfn.XLOOKUP(C2667, Table2[Species],Table2[Sp. Name], "Code Not Found")</f>
        <v>canadensis</v>
      </c>
      <c r="N2667" t="str">
        <f>_xlfn.XLOOKUP(C2667,Table2[Species],Table2[Family],"Code Not Found")</f>
        <v>Pinaceae</v>
      </c>
      <c r="O2667" t="str" cm="1">
        <f t="array" ref="O2667">_xlfn.IFS(F2667="","",F2667&lt;=5,"0 to 5",F2667&lt;=10,"5.1 to 10",F2667&lt;=20,"10 to 20", F2667&lt;= 40, "20 to 40", F2667 &lt;= 50, "40 to 50", F2667 &gt; 50, "&gt;50" )</f>
        <v>40 to 50</v>
      </c>
    </row>
    <row r="2668" spans="1:15" ht="15" customHeight="1" x14ac:dyDescent="0.3">
      <c r="A2668" t="s">
        <v>532</v>
      </c>
      <c r="B2668" s="1">
        <v>46217</v>
      </c>
      <c r="C2668" t="s">
        <v>430</v>
      </c>
      <c r="D2668">
        <v>2473</v>
      </c>
      <c r="E2668">
        <v>1</v>
      </c>
      <c r="F2668">
        <v>28.4</v>
      </c>
      <c r="I2668" t="str">
        <f t="shared" si="44"/>
        <v>2473_1</v>
      </c>
      <c r="J2668" t="s">
        <v>533</v>
      </c>
      <c r="K2668" t="s">
        <v>429</v>
      </c>
      <c r="L2668" t="str">
        <f>_xlfn.XLOOKUP(C2668, Table2[Species],Table2[Genus], "Code Not Found")</f>
        <v>Tsuga</v>
      </c>
      <c r="M2668" t="str">
        <f>_xlfn.XLOOKUP(C2668, Table2[Species],Table2[Sp. Name], "Code Not Found")</f>
        <v>canadensis</v>
      </c>
      <c r="N2668" t="str">
        <f>_xlfn.XLOOKUP(C2668,Table2[Species],Table2[Family],"Code Not Found")</f>
        <v>Pinaceae</v>
      </c>
      <c r="O2668" t="str" cm="1">
        <f t="array" ref="O2668">_xlfn.IFS(F2668="","",F2668&lt;=5,"0 to 5",F2668&lt;=10,"5.1 to 10",F2668&lt;=20,"10 to 20", F2668&lt;= 40, "20 to 40", F2668 &lt;= 50, "40 to 50", F2668 &gt; 50, "&gt;50" )</f>
        <v>20 to 40</v>
      </c>
    </row>
    <row r="2669" spans="1:15" ht="15" customHeight="1" x14ac:dyDescent="0.3">
      <c r="A2669" t="s">
        <v>532</v>
      </c>
      <c r="B2669" s="1">
        <v>46217</v>
      </c>
      <c r="C2669" t="s">
        <v>430</v>
      </c>
      <c r="D2669">
        <v>2474</v>
      </c>
      <c r="E2669">
        <v>1</v>
      </c>
      <c r="F2669">
        <v>24.4</v>
      </c>
      <c r="G2669" t="s">
        <v>17</v>
      </c>
      <c r="H2669" t="s">
        <v>36</v>
      </c>
      <c r="I2669" t="str">
        <f t="shared" si="44"/>
        <v>2474_1</v>
      </c>
      <c r="J2669" t="s">
        <v>533</v>
      </c>
      <c r="K2669" t="s">
        <v>429</v>
      </c>
      <c r="L2669" t="str">
        <f>_xlfn.XLOOKUP(C2669, Table2[Species],Table2[Genus], "Code Not Found")</f>
        <v>Tsuga</v>
      </c>
      <c r="M2669" t="str">
        <f>_xlfn.XLOOKUP(C2669, Table2[Species],Table2[Sp. Name], "Code Not Found")</f>
        <v>canadensis</v>
      </c>
      <c r="N2669" t="str">
        <f>_xlfn.XLOOKUP(C2669,Table2[Species],Table2[Family],"Code Not Found")</f>
        <v>Pinaceae</v>
      </c>
      <c r="O2669" t="str" cm="1">
        <f t="array" ref="O2669">_xlfn.IFS(F2669="","",F2669&lt;=5,"0 to 5",F2669&lt;=10,"5.1 to 10",F2669&lt;=20,"10 to 20", F2669&lt;= 40, "20 to 40", F2669 &lt;= 50, "40 to 50", F2669 &gt; 50, "&gt;50" )</f>
        <v>20 to 40</v>
      </c>
    </row>
    <row r="2670" spans="1:15" ht="15" customHeight="1" x14ac:dyDescent="0.3">
      <c r="A2670" t="s">
        <v>532</v>
      </c>
      <c r="B2670" s="1">
        <v>46217</v>
      </c>
      <c r="C2670" t="s">
        <v>430</v>
      </c>
      <c r="D2670">
        <v>2475</v>
      </c>
      <c r="E2670">
        <v>1</v>
      </c>
      <c r="F2670">
        <v>23.9</v>
      </c>
      <c r="G2670" t="s">
        <v>17</v>
      </c>
      <c r="I2670" t="str">
        <f t="shared" si="44"/>
        <v>2475_1</v>
      </c>
      <c r="J2670" t="s">
        <v>533</v>
      </c>
      <c r="K2670" t="s">
        <v>429</v>
      </c>
      <c r="L2670" t="str">
        <f>_xlfn.XLOOKUP(C2670, Table2[Species],Table2[Genus], "Code Not Found")</f>
        <v>Tsuga</v>
      </c>
      <c r="M2670" t="str">
        <f>_xlfn.XLOOKUP(C2670, Table2[Species],Table2[Sp. Name], "Code Not Found")</f>
        <v>canadensis</v>
      </c>
      <c r="N2670" t="str">
        <f>_xlfn.XLOOKUP(C2670,Table2[Species],Table2[Family],"Code Not Found")</f>
        <v>Pinaceae</v>
      </c>
      <c r="O2670" t="str" cm="1">
        <f t="array" ref="O2670">_xlfn.IFS(F2670="","",F2670&lt;=5,"0 to 5",F2670&lt;=10,"5.1 to 10",F2670&lt;=20,"10 to 20", F2670&lt;= 40, "20 to 40", F2670 &lt;= 50, "40 to 50", F2670 &gt; 50, "&gt;50" )</f>
        <v>20 to 40</v>
      </c>
    </row>
    <row r="2671" spans="1:15" ht="15" customHeight="1" x14ac:dyDescent="0.3">
      <c r="A2671" t="s">
        <v>532</v>
      </c>
      <c r="B2671" s="1">
        <v>46217</v>
      </c>
      <c r="C2671" t="s">
        <v>430</v>
      </c>
      <c r="D2671">
        <v>2476</v>
      </c>
      <c r="E2671">
        <v>1</v>
      </c>
      <c r="F2671">
        <v>17</v>
      </c>
      <c r="G2671" t="s">
        <v>21</v>
      </c>
      <c r="I2671" t="str">
        <f t="shared" si="44"/>
        <v>2476_1</v>
      </c>
      <c r="J2671" t="s">
        <v>533</v>
      </c>
      <c r="K2671" t="s">
        <v>429</v>
      </c>
      <c r="L2671" t="str">
        <f>_xlfn.XLOOKUP(C2671, Table2[Species],Table2[Genus], "Code Not Found")</f>
        <v>Tsuga</v>
      </c>
      <c r="M2671" t="str">
        <f>_xlfn.XLOOKUP(C2671, Table2[Species],Table2[Sp. Name], "Code Not Found")</f>
        <v>canadensis</v>
      </c>
      <c r="N2671" t="str">
        <f>_xlfn.XLOOKUP(C2671,Table2[Species],Table2[Family],"Code Not Found")</f>
        <v>Pinaceae</v>
      </c>
      <c r="O2671" t="str" cm="1">
        <f t="array" ref="O2671">_xlfn.IFS(F2671="","",F2671&lt;=5,"0 to 5",F2671&lt;=10,"5.1 to 10",F2671&lt;=20,"10 to 20", F2671&lt;= 40, "20 to 40", F2671 &lt;= 50, "40 to 50", F2671 &gt; 50, "&gt;50" )</f>
        <v>10 to 20</v>
      </c>
    </row>
    <row r="2672" spans="1:15" ht="15" customHeight="1" x14ac:dyDescent="0.3">
      <c r="A2672" t="s">
        <v>532</v>
      </c>
      <c r="B2672" s="1">
        <v>46217</v>
      </c>
      <c r="C2672" t="s">
        <v>430</v>
      </c>
      <c r="D2672">
        <v>2477</v>
      </c>
      <c r="E2672">
        <v>1</v>
      </c>
      <c r="F2672">
        <v>26</v>
      </c>
      <c r="G2672" t="s">
        <v>17</v>
      </c>
      <c r="I2672" t="str">
        <f t="shared" ref="I2672:I2718" si="45">D2672&amp;"_"&amp;E2672</f>
        <v>2477_1</v>
      </c>
      <c r="J2672" t="s">
        <v>533</v>
      </c>
      <c r="K2672" t="s">
        <v>429</v>
      </c>
      <c r="L2672" t="str">
        <f>_xlfn.XLOOKUP(C2672, Table2[Species],Table2[Genus], "Code Not Found")</f>
        <v>Tsuga</v>
      </c>
      <c r="M2672" t="str">
        <f>_xlfn.XLOOKUP(C2672, Table2[Species],Table2[Sp. Name], "Code Not Found")</f>
        <v>canadensis</v>
      </c>
      <c r="N2672" t="str">
        <f>_xlfn.XLOOKUP(C2672,Table2[Species],Table2[Family],"Code Not Found")</f>
        <v>Pinaceae</v>
      </c>
      <c r="O2672" t="str" cm="1">
        <f t="array" ref="O2672">_xlfn.IFS(F2672="","",F2672&lt;=5,"0 to 5",F2672&lt;=10,"5.1 to 10",F2672&lt;=20,"10 to 20", F2672&lt;= 40, "20 to 40", F2672 &lt;= 50, "40 to 50", F2672 &gt; 50, "&gt;50" )</f>
        <v>20 to 40</v>
      </c>
    </row>
    <row r="2673" spans="1:15" ht="15" customHeight="1" x14ac:dyDescent="0.3">
      <c r="A2673" t="s">
        <v>532</v>
      </c>
      <c r="B2673" s="1">
        <v>46217</v>
      </c>
      <c r="C2673" t="s">
        <v>430</v>
      </c>
      <c r="D2673">
        <v>2478</v>
      </c>
      <c r="E2673">
        <v>1</v>
      </c>
      <c r="F2673">
        <v>22.7</v>
      </c>
      <c r="G2673" t="s">
        <v>34</v>
      </c>
      <c r="I2673" t="str">
        <f t="shared" si="45"/>
        <v>2478_1</v>
      </c>
      <c r="J2673" t="s">
        <v>533</v>
      </c>
      <c r="K2673" t="s">
        <v>429</v>
      </c>
      <c r="L2673" t="str">
        <f>_xlfn.XLOOKUP(C2673, Table2[Species],Table2[Genus], "Code Not Found")</f>
        <v>Tsuga</v>
      </c>
      <c r="M2673" t="str">
        <f>_xlfn.XLOOKUP(C2673, Table2[Species],Table2[Sp. Name], "Code Not Found")</f>
        <v>canadensis</v>
      </c>
      <c r="N2673" t="str">
        <f>_xlfn.XLOOKUP(C2673,Table2[Species],Table2[Family],"Code Not Found")</f>
        <v>Pinaceae</v>
      </c>
      <c r="O2673" t="str" cm="1">
        <f t="array" ref="O2673">_xlfn.IFS(F2673="","",F2673&lt;=5,"0 to 5",F2673&lt;=10,"5.1 to 10",F2673&lt;=20,"10 to 20", F2673&lt;= 40, "20 to 40", F2673 &lt;= 50, "40 to 50", F2673 &gt; 50, "&gt;50" )</f>
        <v>20 to 40</v>
      </c>
    </row>
    <row r="2674" spans="1:15" ht="15" customHeight="1" x14ac:dyDescent="0.3">
      <c r="A2674" t="s">
        <v>532</v>
      </c>
      <c r="B2674" s="1">
        <v>46217</v>
      </c>
      <c r="C2674" t="s">
        <v>430</v>
      </c>
      <c r="D2674">
        <v>2478</v>
      </c>
      <c r="E2674">
        <v>2</v>
      </c>
      <c r="F2674">
        <v>9.1</v>
      </c>
      <c r="G2674" t="s">
        <v>34</v>
      </c>
      <c r="I2674" t="str">
        <f t="shared" si="45"/>
        <v>2478_2</v>
      </c>
      <c r="J2674" t="s">
        <v>533</v>
      </c>
      <c r="K2674" t="s">
        <v>429</v>
      </c>
      <c r="L2674" t="str">
        <f>_xlfn.XLOOKUP(C2674, Table2[Species],Table2[Genus], "Code Not Found")</f>
        <v>Tsuga</v>
      </c>
      <c r="M2674" t="str">
        <f>_xlfn.XLOOKUP(C2674, Table2[Species],Table2[Sp. Name], "Code Not Found")</f>
        <v>canadensis</v>
      </c>
      <c r="N2674" t="str">
        <f>_xlfn.XLOOKUP(C2674,Table2[Species],Table2[Family],"Code Not Found")</f>
        <v>Pinaceae</v>
      </c>
      <c r="O2674" t="str" cm="1">
        <f t="array" ref="O2674">_xlfn.IFS(F2674="","",F2674&lt;=5,"0 to 5",F2674&lt;=10,"5.1 to 10",F2674&lt;=20,"10 to 20", F2674&lt;= 40, "20 to 40", F2674 &lt;= 50, "40 to 50", F2674 &gt; 50, "&gt;50" )</f>
        <v>5.1 to 10</v>
      </c>
    </row>
    <row r="2675" spans="1:15" ht="15" customHeight="1" x14ac:dyDescent="0.3">
      <c r="A2675" t="s">
        <v>532</v>
      </c>
      <c r="B2675" s="1">
        <v>46217</v>
      </c>
      <c r="C2675" t="s">
        <v>430</v>
      </c>
      <c r="D2675">
        <v>2479</v>
      </c>
      <c r="E2675">
        <v>1</v>
      </c>
      <c r="F2675">
        <v>23.4</v>
      </c>
      <c r="G2675" t="s">
        <v>17</v>
      </c>
      <c r="I2675" t="str">
        <f t="shared" si="45"/>
        <v>2479_1</v>
      </c>
      <c r="J2675" t="s">
        <v>533</v>
      </c>
      <c r="K2675" t="s">
        <v>429</v>
      </c>
      <c r="L2675" t="str">
        <f>_xlfn.XLOOKUP(C2675, Table2[Species],Table2[Genus], "Code Not Found")</f>
        <v>Tsuga</v>
      </c>
      <c r="M2675" t="str">
        <f>_xlfn.XLOOKUP(C2675, Table2[Species],Table2[Sp. Name], "Code Not Found")</f>
        <v>canadensis</v>
      </c>
      <c r="N2675" t="str">
        <f>_xlfn.XLOOKUP(C2675,Table2[Species],Table2[Family],"Code Not Found")</f>
        <v>Pinaceae</v>
      </c>
      <c r="O2675" t="str" cm="1">
        <f t="array" ref="O2675">_xlfn.IFS(F2675="","",F2675&lt;=5,"0 to 5",F2675&lt;=10,"5.1 to 10",F2675&lt;=20,"10 to 20", F2675&lt;= 40, "20 to 40", F2675 &lt;= 50, "40 to 50", F2675 &gt; 50, "&gt;50" )</f>
        <v>20 to 40</v>
      </c>
    </row>
    <row r="2676" spans="1:15" ht="15" customHeight="1" x14ac:dyDescent="0.3">
      <c r="A2676" t="s">
        <v>532</v>
      </c>
      <c r="B2676" s="1">
        <v>46217</v>
      </c>
      <c r="C2676" t="s">
        <v>430</v>
      </c>
      <c r="D2676">
        <v>2480</v>
      </c>
      <c r="E2676">
        <v>1</v>
      </c>
      <c r="F2676">
        <v>27.9</v>
      </c>
      <c r="G2676" t="s">
        <v>17</v>
      </c>
      <c r="H2676" t="s">
        <v>36</v>
      </c>
      <c r="I2676" t="str">
        <f t="shared" si="45"/>
        <v>2480_1</v>
      </c>
      <c r="J2676" t="s">
        <v>533</v>
      </c>
      <c r="K2676" t="s">
        <v>429</v>
      </c>
      <c r="L2676" t="str">
        <f>_xlfn.XLOOKUP(C2676, Table2[Species],Table2[Genus], "Code Not Found")</f>
        <v>Tsuga</v>
      </c>
      <c r="M2676" t="str">
        <f>_xlfn.XLOOKUP(C2676, Table2[Species],Table2[Sp. Name], "Code Not Found")</f>
        <v>canadensis</v>
      </c>
      <c r="N2676" t="str">
        <f>_xlfn.XLOOKUP(C2676,Table2[Species],Table2[Family],"Code Not Found")</f>
        <v>Pinaceae</v>
      </c>
      <c r="O2676" t="str" cm="1">
        <f t="array" ref="O2676">_xlfn.IFS(F2676="","",F2676&lt;=5,"0 to 5",F2676&lt;=10,"5.1 to 10",F2676&lt;=20,"10 to 20", F2676&lt;= 40, "20 to 40", F2676 &lt;= 50, "40 to 50", F2676 &gt; 50, "&gt;50" )</f>
        <v>20 to 40</v>
      </c>
    </row>
    <row r="2677" spans="1:15" ht="15" customHeight="1" x14ac:dyDescent="0.3">
      <c r="A2677" t="s">
        <v>532</v>
      </c>
      <c r="B2677" s="1">
        <v>46217</v>
      </c>
      <c r="C2677" t="s">
        <v>430</v>
      </c>
      <c r="D2677">
        <v>2481</v>
      </c>
      <c r="E2677">
        <v>1</v>
      </c>
      <c r="F2677">
        <v>14.1</v>
      </c>
      <c r="G2677" t="s">
        <v>381</v>
      </c>
      <c r="H2677" t="s">
        <v>377</v>
      </c>
      <c r="I2677" t="str">
        <f t="shared" si="45"/>
        <v>2481_1</v>
      </c>
      <c r="J2677" t="s">
        <v>533</v>
      </c>
      <c r="K2677" t="s">
        <v>429</v>
      </c>
      <c r="L2677" t="str">
        <f>_xlfn.XLOOKUP(C2677, Table2[Species],Table2[Genus], "Code Not Found")</f>
        <v>Tsuga</v>
      </c>
      <c r="M2677" t="str">
        <f>_xlfn.XLOOKUP(C2677, Table2[Species],Table2[Sp. Name], "Code Not Found")</f>
        <v>canadensis</v>
      </c>
      <c r="N2677" t="str">
        <f>_xlfn.XLOOKUP(C2677,Table2[Species],Table2[Family],"Code Not Found")</f>
        <v>Pinaceae</v>
      </c>
      <c r="O2677" t="str" cm="1">
        <f t="array" ref="O2677">_xlfn.IFS(F2677="","",F2677&lt;=5,"0 to 5",F2677&lt;=10,"5.1 to 10",F2677&lt;=20,"10 to 20", F2677&lt;= 40, "20 to 40", F2677 &lt;= 50, "40 to 50", F2677 &gt; 50, "&gt;50" )</f>
        <v>10 to 20</v>
      </c>
    </row>
    <row r="2678" spans="1:15" ht="15" customHeight="1" x14ac:dyDescent="0.3">
      <c r="A2678" t="s">
        <v>532</v>
      </c>
      <c r="B2678" s="1">
        <v>46217</v>
      </c>
      <c r="C2678" t="s">
        <v>430</v>
      </c>
      <c r="D2678">
        <v>2482</v>
      </c>
      <c r="E2678">
        <v>1</v>
      </c>
      <c r="F2678">
        <v>14.8</v>
      </c>
      <c r="G2678" t="s">
        <v>537</v>
      </c>
      <c r="H2678" t="s">
        <v>36</v>
      </c>
      <c r="I2678" t="str">
        <f t="shared" si="45"/>
        <v>2482_1</v>
      </c>
      <c r="J2678" t="s">
        <v>533</v>
      </c>
      <c r="K2678" t="s">
        <v>429</v>
      </c>
      <c r="L2678" t="str">
        <f>_xlfn.XLOOKUP(C2678, Table2[Species],Table2[Genus], "Code Not Found")</f>
        <v>Tsuga</v>
      </c>
      <c r="M2678" t="str">
        <f>_xlfn.XLOOKUP(C2678, Table2[Species],Table2[Sp. Name], "Code Not Found")</f>
        <v>canadensis</v>
      </c>
      <c r="N2678" t="str">
        <f>_xlfn.XLOOKUP(C2678,Table2[Species],Table2[Family],"Code Not Found")</f>
        <v>Pinaceae</v>
      </c>
      <c r="O2678" t="str" cm="1">
        <f t="array" ref="O2678">_xlfn.IFS(F2678="","",F2678&lt;=5,"0 to 5",F2678&lt;=10,"5.1 to 10",F2678&lt;=20,"10 to 20", F2678&lt;= 40, "20 to 40", F2678 &lt;= 50, "40 to 50", F2678 &gt; 50, "&gt;50" )</f>
        <v>10 to 20</v>
      </c>
    </row>
    <row r="2679" spans="1:15" ht="15" customHeight="1" x14ac:dyDescent="0.3">
      <c r="A2679" t="s">
        <v>532</v>
      </c>
      <c r="B2679" s="1">
        <v>46217</v>
      </c>
      <c r="C2679" t="s">
        <v>430</v>
      </c>
      <c r="D2679">
        <v>2483</v>
      </c>
      <c r="E2679">
        <v>1</v>
      </c>
      <c r="F2679">
        <v>10.8</v>
      </c>
      <c r="G2679" t="s">
        <v>17</v>
      </c>
      <c r="I2679" t="str">
        <f t="shared" si="45"/>
        <v>2483_1</v>
      </c>
      <c r="J2679" t="s">
        <v>533</v>
      </c>
      <c r="K2679" t="s">
        <v>429</v>
      </c>
      <c r="L2679" t="str">
        <f>_xlfn.XLOOKUP(C2679, Table2[Species],Table2[Genus], "Code Not Found")</f>
        <v>Tsuga</v>
      </c>
      <c r="M2679" t="str">
        <f>_xlfn.XLOOKUP(C2679, Table2[Species],Table2[Sp. Name], "Code Not Found")</f>
        <v>canadensis</v>
      </c>
      <c r="N2679" t="str">
        <f>_xlfn.XLOOKUP(C2679,Table2[Species],Table2[Family],"Code Not Found")</f>
        <v>Pinaceae</v>
      </c>
      <c r="O2679" t="str" cm="1">
        <f t="array" ref="O2679">_xlfn.IFS(F2679="","",F2679&lt;=5,"0 to 5",F2679&lt;=10,"5.1 to 10",F2679&lt;=20,"10 to 20", F2679&lt;= 40, "20 to 40", F2679 &lt;= 50, "40 to 50", F2679 &gt; 50, "&gt;50" )</f>
        <v>10 to 20</v>
      </c>
    </row>
    <row r="2680" spans="1:15" ht="15" customHeight="1" x14ac:dyDescent="0.3">
      <c r="A2680" t="s">
        <v>532</v>
      </c>
      <c r="B2680" s="1">
        <v>46217</v>
      </c>
      <c r="C2680" t="s">
        <v>430</v>
      </c>
      <c r="D2680">
        <v>2484</v>
      </c>
      <c r="E2680">
        <v>1</v>
      </c>
      <c r="F2680">
        <v>13.4</v>
      </c>
      <c r="G2680" t="s">
        <v>21</v>
      </c>
      <c r="I2680" t="str">
        <f t="shared" si="45"/>
        <v>2484_1</v>
      </c>
      <c r="J2680" t="s">
        <v>533</v>
      </c>
      <c r="K2680" t="s">
        <v>429</v>
      </c>
      <c r="L2680" t="str">
        <f>_xlfn.XLOOKUP(C2680, Table2[Species],Table2[Genus], "Code Not Found")</f>
        <v>Tsuga</v>
      </c>
      <c r="M2680" t="str">
        <f>_xlfn.XLOOKUP(C2680, Table2[Species],Table2[Sp. Name], "Code Not Found")</f>
        <v>canadensis</v>
      </c>
      <c r="N2680" t="str">
        <f>_xlfn.XLOOKUP(C2680,Table2[Species],Table2[Family],"Code Not Found")</f>
        <v>Pinaceae</v>
      </c>
      <c r="O2680" t="str" cm="1">
        <f t="array" ref="O2680">_xlfn.IFS(F2680="","",F2680&lt;=5,"0 to 5",F2680&lt;=10,"5.1 to 10",F2680&lt;=20,"10 to 20", F2680&lt;= 40, "20 to 40", F2680 &lt;= 50, "40 to 50", F2680 &gt; 50, "&gt;50" )</f>
        <v>10 to 20</v>
      </c>
    </row>
    <row r="2681" spans="1:15" ht="15" customHeight="1" x14ac:dyDescent="0.3">
      <c r="A2681" t="s">
        <v>532</v>
      </c>
      <c r="B2681" s="1">
        <v>46217</v>
      </c>
      <c r="C2681" t="s">
        <v>430</v>
      </c>
      <c r="D2681">
        <v>2485</v>
      </c>
      <c r="E2681">
        <v>1</v>
      </c>
      <c r="F2681">
        <v>16</v>
      </c>
      <c r="G2681" t="s">
        <v>17</v>
      </c>
      <c r="I2681" t="str">
        <f t="shared" si="45"/>
        <v>2485_1</v>
      </c>
      <c r="J2681" t="s">
        <v>533</v>
      </c>
      <c r="K2681" t="s">
        <v>429</v>
      </c>
      <c r="L2681" t="str">
        <f>_xlfn.XLOOKUP(C2681, Table2[Species],Table2[Genus], "Code Not Found")</f>
        <v>Tsuga</v>
      </c>
      <c r="M2681" t="str">
        <f>_xlfn.XLOOKUP(C2681, Table2[Species],Table2[Sp. Name], "Code Not Found")</f>
        <v>canadensis</v>
      </c>
      <c r="N2681" t="str">
        <f>_xlfn.XLOOKUP(C2681,Table2[Species],Table2[Family],"Code Not Found")</f>
        <v>Pinaceae</v>
      </c>
      <c r="O2681" t="str" cm="1">
        <f t="array" ref="O2681">_xlfn.IFS(F2681="","",F2681&lt;=5,"0 to 5",F2681&lt;=10,"5.1 to 10",F2681&lt;=20,"10 to 20", F2681&lt;= 40, "20 to 40", F2681 &lt;= 50, "40 to 50", F2681 &gt; 50, "&gt;50" )</f>
        <v>10 to 20</v>
      </c>
    </row>
    <row r="2682" spans="1:15" ht="15" customHeight="1" x14ac:dyDescent="0.3">
      <c r="A2682" t="s">
        <v>532</v>
      </c>
      <c r="B2682" s="1">
        <v>46217</v>
      </c>
      <c r="C2682" t="s">
        <v>430</v>
      </c>
      <c r="D2682">
        <v>2486</v>
      </c>
      <c r="E2682">
        <v>1</v>
      </c>
      <c r="F2682">
        <v>23.5</v>
      </c>
      <c r="G2682" t="s">
        <v>32</v>
      </c>
      <c r="I2682" t="str">
        <f t="shared" si="45"/>
        <v>2486_1</v>
      </c>
      <c r="J2682" t="s">
        <v>533</v>
      </c>
      <c r="K2682" t="s">
        <v>429</v>
      </c>
      <c r="L2682" t="str">
        <f>_xlfn.XLOOKUP(C2682, Table2[Species],Table2[Genus], "Code Not Found")</f>
        <v>Tsuga</v>
      </c>
      <c r="M2682" t="str">
        <f>_xlfn.XLOOKUP(C2682, Table2[Species],Table2[Sp. Name], "Code Not Found")</f>
        <v>canadensis</v>
      </c>
      <c r="N2682" t="str">
        <f>_xlfn.XLOOKUP(C2682,Table2[Species],Table2[Family],"Code Not Found")</f>
        <v>Pinaceae</v>
      </c>
      <c r="O2682" t="str" cm="1">
        <f t="array" ref="O2682">_xlfn.IFS(F2682="","",F2682&lt;=5,"0 to 5",F2682&lt;=10,"5.1 to 10",F2682&lt;=20,"10 to 20", F2682&lt;= 40, "20 to 40", F2682 &lt;= 50, "40 to 50", F2682 &gt; 50, "&gt;50" )</f>
        <v>20 to 40</v>
      </c>
    </row>
    <row r="2683" spans="1:15" ht="15" customHeight="1" x14ac:dyDescent="0.3">
      <c r="A2683" t="s">
        <v>532</v>
      </c>
      <c r="B2683" s="1">
        <v>46217</v>
      </c>
      <c r="C2683" t="s">
        <v>430</v>
      </c>
      <c r="D2683">
        <v>2486</v>
      </c>
      <c r="E2683">
        <v>2</v>
      </c>
      <c r="F2683">
        <v>14.3</v>
      </c>
      <c r="G2683" t="s">
        <v>34</v>
      </c>
      <c r="I2683" t="str">
        <f t="shared" si="45"/>
        <v>2486_2</v>
      </c>
      <c r="J2683" t="s">
        <v>533</v>
      </c>
      <c r="K2683" t="s">
        <v>429</v>
      </c>
      <c r="L2683" t="str">
        <f>_xlfn.XLOOKUP(C2683, Table2[Species],Table2[Genus], "Code Not Found")</f>
        <v>Tsuga</v>
      </c>
      <c r="M2683" t="str">
        <f>_xlfn.XLOOKUP(C2683, Table2[Species],Table2[Sp. Name], "Code Not Found")</f>
        <v>canadensis</v>
      </c>
      <c r="N2683" t="str">
        <f>_xlfn.XLOOKUP(C2683,Table2[Species],Table2[Family],"Code Not Found")</f>
        <v>Pinaceae</v>
      </c>
      <c r="O2683" t="str" cm="1">
        <f t="array" ref="O2683">_xlfn.IFS(F2683="","",F2683&lt;=5,"0 to 5",F2683&lt;=10,"5.1 to 10",F2683&lt;=20,"10 to 20", F2683&lt;= 40, "20 to 40", F2683 &lt;= 50, "40 to 50", F2683 &gt; 50, "&gt;50" )</f>
        <v>10 to 20</v>
      </c>
    </row>
    <row r="2684" spans="1:15" ht="15" customHeight="1" x14ac:dyDescent="0.3">
      <c r="A2684" t="s">
        <v>532</v>
      </c>
      <c r="B2684" s="1">
        <v>46217</v>
      </c>
      <c r="C2684" t="s">
        <v>430</v>
      </c>
      <c r="D2684">
        <v>2486</v>
      </c>
      <c r="E2684">
        <v>3</v>
      </c>
      <c r="F2684">
        <v>12.9</v>
      </c>
      <c r="G2684" t="s">
        <v>34</v>
      </c>
      <c r="I2684" t="str">
        <f t="shared" si="45"/>
        <v>2486_3</v>
      </c>
      <c r="J2684" t="s">
        <v>533</v>
      </c>
      <c r="K2684" t="s">
        <v>429</v>
      </c>
      <c r="L2684" t="str">
        <f>_xlfn.XLOOKUP(C2684, Table2[Species],Table2[Genus], "Code Not Found")</f>
        <v>Tsuga</v>
      </c>
      <c r="M2684" t="str">
        <f>_xlfn.XLOOKUP(C2684, Table2[Species],Table2[Sp. Name], "Code Not Found")</f>
        <v>canadensis</v>
      </c>
      <c r="N2684" t="str">
        <f>_xlfn.XLOOKUP(C2684,Table2[Species],Table2[Family],"Code Not Found")</f>
        <v>Pinaceae</v>
      </c>
      <c r="O2684" t="str" cm="1">
        <f t="array" ref="O2684">_xlfn.IFS(F2684="","",F2684&lt;=5,"0 to 5",F2684&lt;=10,"5.1 to 10",F2684&lt;=20,"10 to 20", F2684&lt;= 40, "20 to 40", F2684 &lt;= 50, "40 to 50", F2684 &gt; 50, "&gt;50" )</f>
        <v>10 to 20</v>
      </c>
    </row>
    <row r="2685" spans="1:15" ht="15" customHeight="1" x14ac:dyDescent="0.3">
      <c r="A2685" t="s">
        <v>532</v>
      </c>
      <c r="B2685" s="1">
        <v>46217</v>
      </c>
      <c r="C2685" t="s">
        <v>430</v>
      </c>
      <c r="D2685">
        <v>2487</v>
      </c>
      <c r="E2685">
        <v>1</v>
      </c>
      <c r="F2685">
        <v>15.4</v>
      </c>
      <c r="G2685" t="s">
        <v>17</v>
      </c>
      <c r="I2685" t="str">
        <f t="shared" si="45"/>
        <v>2487_1</v>
      </c>
      <c r="J2685" t="s">
        <v>533</v>
      </c>
      <c r="K2685" t="s">
        <v>429</v>
      </c>
      <c r="L2685" t="str">
        <f>_xlfn.XLOOKUP(C2685, Table2[Species],Table2[Genus], "Code Not Found")</f>
        <v>Tsuga</v>
      </c>
      <c r="M2685" t="str">
        <f>_xlfn.XLOOKUP(C2685, Table2[Species],Table2[Sp. Name], "Code Not Found")</f>
        <v>canadensis</v>
      </c>
      <c r="N2685" t="str">
        <f>_xlfn.XLOOKUP(C2685,Table2[Species],Table2[Family],"Code Not Found")</f>
        <v>Pinaceae</v>
      </c>
      <c r="O2685" t="str" cm="1">
        <f t="array" ref="O2685">_xlfn.IFS(F2685="","",F2685&lt;=5,"0 to 5",F2685&lt;=10,"5.1 to 10",F2685&lt;=20,"10 to 20", F2685&lt;= 40, "20 to 40", F2685 &lt;= 50, "40 to 50", F2685 &gt; 50, "&gt;50" )</f>
        <v>10 to 20</v>
      </c>
    </row>
    <row r="2686" spans="1:15" ht="15" customHeight="1" x14ac:dyDescent="0.3">
      <c r="A2686" t="s">
        <v>532</v>
      </c>
      <c r="B2686" s="1">
        <v>46217</v>
      </c>
      <c r="C2686" t="s">
        <v>430</v>
      </c>
      <c r="D2686">
        <v>2488</v>
      </c>
      <c r="E2686">
        <v>1</v>
      </c>
      <c r="F2686">
        <v>29.4</v>
      </c>
      <c r="G2686" t="s">
        <v>17</v>
      </c>
      <c r="I2686" t="str">
        <f t="shared" si="45"/>
        <v>2488_1</v>
      </c>
      <c r="J2686" t="s">
        <v>533</v>
      </c>
      <c r="K2686" t="s">
        <v>429</v>
      </c>
      <c r="L2686" t="str">
        <f>_xlfn.XLOOKUP(C2686, Table2[Species],Table2[Genus], "Code Not Found")</f>
        <v>Tsuga</v>
      </c>
      <c r="M2686" t="str">
        <f>_xlfn.XLOOKUP(C2686, Table2[Species],Table2[Sp. Name], "Code Not Found")</f>
        <v>canadensis</v>
      </c>
      <c r="N2686" t="str">
        <f>_xlfn.XLOOKUP(C2686,Table2[Species],Table2[Family],"Code Not Found")</f>
        <v>Pinaceae</v>
      </c>
      <c r="O2686" t="str" cm="1">
        <f t="array" ref="O2686">_xlfn.IFS(F2686="","",F2686&lt;=5,"0 to 5",F2686&lt;=10,"5.1 to 10",F2686&lt;=20,"10 to 20", F2686&lt;= 40, "20 to 40", F2686 &lt;= 50, "40 to 50", F2686 &gt; 50, "&gt;50" )</f>
        <v>20 to 40</v>
      </c>
    </row>
    <row r="2687" spans="1:15" ht="15" customHeight="1" x14ac:dyDescent="0.3">
      <c r="A2687" t="s">
        <v>532</v>
      </c>
      <c r="B2687" s="1">
        <v>46217</v>
      </c>
      <c r="C2687" t="s">
        <v>22</v>
      </c>
      <c r="D2687">
        <v>2489</v>
      </c>
      <c r="E2687">
        <v>1</v>
      </c>
      <c r="F2687">
        <v>5.7</v>
      </c>
      <c r="G2687" t="s">
        <v>17</v>
      </c>
      <c r="I2687" t="str">
        <f t="shared" si="45"/>
        <v>2489_1</v>
      </c>
      <c r="J2687" t="s">
        <v>533</v>
      </c>
      <c r="K2687" t="s">
        <v>429</v>
      </c>
      <c r="L2687" t="str">
        <f>_xlfn.XLOOKUP(C2687, Table2[Species],Table2[Genus], "Code Not Found")</f>
        <v>Acer</v>
      </c>
      <c r="M2687" t="str">
        <f>_xlfn.XLOOKUP(C2687, Table2[Species],Table2[Sp. Name], "Code Not Found")</f>
        <v>rubrum</v>
      </c>
      <c r="N2687" t="str">
        <f>_xlfn.XLOOKUP(C2687,Table2[Species],Table2[Family],"Code Not Found")</f>
        <v>Sapindaceae</v>
      </c>
      <c r="O2687" t="str" cm="1">
        <f t="array" ref="O2687">_xlfn.IFS(F2687="","",F2687&lt;=5,"0 to 5",F2687&lt;=10,"5.1 to 10",F2687&lt;=20,"10 to 20", F2687&lt;= 40, "20 to 40", F2687 &lt;= 50, "40 to 50", F2687 &gt; 50, "&gt;50" )</f>
        <v>5.1 to 10</v>
      </c>
    </row>
    <row r="2688" spans="1:15" ht="15" customHeight="1" x14ac:dyDescent="0.3">
      <c r="A2688" t="s">
        <v>532</v>
      </c>
      <c r="B2688" s="1">
        <v>46217</v>
      </c>
      <c r="C2688" t="s">
        <v>123</v>
      </c>
      <c r="D2688">
        <v>2490</v>
      </c>
      <c r="E2688">
        <v>1</v>
      </c>
      <c r="F2688">
        <v>66.8</v>
      </c>
      <c r="G2688" t="s">
        <v>17</v>
      </c>
      <c r="H2688" t="s">
        <v>36</v>
      </c>
      <c r="I2688" t="str">
        <f t="shared" si="45"/>
        <v>2490_1</v>
      </c>
      <c r="J2688" t="s">
        <v>533</v>
      </c>
      <c r="K2688" t="s">
        <v>429</v>
      </c>
      <c r="L2688" t="str">
        <f>_xlfn.XLOOKUP(C2688, Table2[Species],Table2[Genus], "Code Not Found")</f>
        <v>Quercus</v>
      </c>
      <c r="M2688" t="str">
        <f>_xlfn.XLOOKUP(C2688, Table2[Species],Table2[Sp. Name], "Code Not Found")</f>
        <v>rubra</v>
      </c>
      <c r="N2688" t="str">
        <f>_xlfn.XLOOKUP(C2688,Table2[Species],Table2[Family],"Code Not Found")</f>
        <v>Fagaceae</v>
      </c>
      <c r="O2688" t="str" cm="1">
        <f t="array" ref="O2688">_xlfn.IFS(F2688="","",F2688&lt;=5,"0 to 5",F2688&lt;=10,"5.1 to 10",F2688&lt;=20,"10 to 20", F2688&lt;= 40, "20 to 40", F2688 &lt;= 50, "40 to 50", F2688 &gt; 50, "&gt;50" )</f>
        <v>&gt;50</v>
      </c>
    </row>
    <row r="2689" spans="1:15" ht="15" customHeight="1" x14ac:dyDescent="0.3">
      <c r="A2689" t="s">
        <v>532</v>
      </c>
      <c r="B2689" s="1">
        <v>46217</v>
      </c>
      <c r="C2689" t="s">
        <v>22</v>
      </c>
      <c r="D2689">
        <v>2491</v>
      </c>
      <c r="E2689">
        <v>1</v>
      </c>
      <c r="F2689">
        <v>42.6</v>
      </c>
      <c r="G2689" t="s">
        <v>21</v>
      </c>
      <c r="I2689" t="str">
        <f t="shared" si="45"/>
        <v>2491_1</v>
      </c>
      <c r="J2689" t="s">
        <v>533</v>
      </c>
      <c r="K2689" t="s">
        <v>429</v>
      </c>
      <c r="L2689" t="str">
        <f>_xlfn.XLOOKUP(C2689, Table2[Species],Table2[Genus], "Code Not Found")</f>
        <v>Acer</v>
      </c>
      <c r="M2689" t="str">
        <f>_xlfn.XLOOKUP(C2689, Table2[Species],Table2[Sp. Name], "Code Not Found")</f>
        <v>rubrum</v>
      </c>
      <c r="N2689" t="str">
        <f>_xlfn.XLOOKUP(C2689,Table2[Species],Table2[Family],"Code Not Found")</f>
        <v>Sapindaceae</v>
      </c>
      <c r="O2689" t="str" cm="1">
        <f t="array" ref="O2689">_xlfn.IFS(F2689="","",F2689&lt;=5,"0 to 5",F2689&lt;=10,"5.1 to 10",F2689&lt;=20,"10 to 20", F2689&lt;= 40, "20 to 40", F2689 &lt;= 50, "40 to 50", F2689 &gt; 50, "&gt;50" )</f>
        <v>40 to 50</v>
      </c>
    </row>
    <row r="2690" spans="1:15" ht="15" customHeight="1" x14ac:dyDescent="0.3">
      <c r="A2690" t="s">
        <v>532</v>
      </c>
      <c r="B2690" s="1">
        <v>46217</v>
      </c>
      <c r="C2690" t="s">
        <v>22</v>
      </c>
      <c r="D2690">
        <v>2492</v>
      </c>
      <c r="E2690">
        <v>1</v>
      </c>
      <c r="F2690">
        <v>20.8</v>
      </c>
      <c r="G2690" t="s">
        <v>21</v>
      </c>
      <c r="I2690" t="str">
        <f t="shared" si="45"/>
        <v>2492_1</v>
      </c>
      <c r="J2690" t="s">
        <v>533</v>
      </c>
      <c r="K2690" t="s">
        <v>429</v>
      </c>
      <c r="L2690" t="str">
        <f>_xlfn.XLOOKUP(C2690, Table2[Species],Table2[Genus], "Code Not Found")</f>
        <v>Acer</v>
      </c>
      <c r="M2690" t="str">
        <f>_xlfn.XLOOKUP(C2690, Table2[Species],Table2[Sp. Name], "Code Not Found")</f>
        <v>rubrum</v>
      </c>
      <c r="N2690" t="str">
        <f>_xlfn.XLOOKUP(C2690,Table2[Species],Table2[Family],"Code Not Found")</f>
        <v>Sapindaceae</v>
      </c>
      <c r="O2690" t="str" cm="1">
        <f t="array" ref="O2690">_xlfn.IFS(F2690="","",F2690&lt;=5,"0 to 5",F2690&lt;=10,"5.1 to 10",F2690&lt;=20,"10 to 20", F2690&lt;= 40, "20 to 40", F2690 &lt;= 50, "40 to 50", F2690 &gt; 50, "&gt;50" )</f>
        <v>20 to 40</v>
      </c>
    </row>
    <row r="2691" spans="1:15" ht="15" customHeight="1" x14ac:dyDescent="0.3">
      <c r="A2691" t="s">
        <v>532</v>
      </c>
      <c r="B2691" s="1">
        <v>46217</v>
      </c>
      <c r="C2691" t="s">
        <v>22</v>
      </c>
      <c r="D2691">
        <v>2493</v>
      </c>
      <c r="E2691">
        <v>1</v>
      </c>
      <c r="F2691">
        <v>17.2</v>
      </c>
      <c r="G2691" t="s">
        <v>17</v>
      </c>
      <c r="I2691" t="str">
        <f t="shared" si="45"/>
        <v>2493_1</v>
      </c>
      <c r="J2691" t="s">
        <v>533</v>
      </c>
      <c r="K2691" t="s">
        <v>429</v>
      </c>
      <c r="L2691" t="str">
        <f>_xlfn.XLOOKUP(C2691, Table2[Species],Table2[Genus], "Code Not Found")</f>
        <v>Acer</v>
      </c>
      <c r="M2691" t="str">
        <f>_xlfn.XLOOKUP(C2691, Table2[Species],Table2[Sp. Name], "Code Not Found")</f>
        <v>rubrum</v>
      </c>
      <c r="N2691" t="str">
        <f>_xlfn.XLOOKUP(C2691,Table2[Species],Table2[Family],"Code Not Found")</f>
        <v>Sapindaceae</v>
      </c>
      <c r="O2691" t="str" cm="1">
        <f t="array" ref="O2691">_xlfn.IFS(F2691="","",F2691&lt;=5,"0 to 5",F2691&lt;=10,"5.1 to 10",F2691&lt;=20,"10 to 20", F2691&lt;= 40, "20 to 40", F2691 &lt;= 50, "40 to 50", F2691 &gt; 50, "&gt;50" )</f>
        <v>10 to 20</v>
      </c>
    </row>
    <row r="2692" spans="1:15" ht="15" customHeight="1" x14ac:dyDescent="0.3">
      <c r="A2692" t="s">
        <v>532</v>
      </c>
      <c r="B2692" s="1">
        <v>46217</v>
      </c>
      <c r="C2692" t="s">
        <v>22</v>
      </c>
      <c r="D2692">
        <v>2494</v>
      </c>
      <c r="E2692">
        <v>1</v>
      </c>
      <c r="F2692">
        <v>35.1</v>
      </c>
      <c r="G2692" t="s">
        <v>56</v>
      </c>
      <c r="I2692" t="str">
        <f t="shared" si="45"/>
        <v>2494_1</v>
      </c>
      <c r="J2692" t="s">
        <v>533</v>
      </c>
      <c r="K2692" t="s">
        <v>429</v>
      </c>
      <c r="L2692" t="str">
        <f>_xlfn.XLOOKUP(C2692, Table2[Species],Table2[Genus], "Code Not Found")</f>
        <v>Acer</v>
      </c>
      <c r="M2692" t="str">
        <f>_xlfn.XLOOKUP(C2692, Table2[Species],Table2[Sp. Name], "Code Not Found")</f>
        <v>rubrum</v>
      </c>
      <c r="N2692" t="str">
        <f>_xlfn.XLOOKUP(C2692,Table2[Species],Table2[Family],"Code Not Found")</f>
        <v>Sapindaceae</v>
      </c>
      <c r="O2692" t="str" cm="1">
        <f t="array" ref="O2692">_xlfn.IFS(F2692="","",F2692&lt;=5,"0 to 5",F2692&lt;=10,"5.1 to 10",F2692&lt;=20,"10 to 20", F2692&lt;= 40, "20 to 40", F2692 &lt;= 50, "40 to 50", F2692 &gt; 50, "&gt;50" )</f>
        <v>20 to 40</v>
      </c>
    </row>
    <row r="2693" spans="1:15" ht="15" customHeight="1" x14ac:dyDescent="0.3">
      <c r="A2693" t="s">
        <v>532</v>
      </c>
      <c r="B2693" s="1">
        <v>46217</v>
      </c>
      <c r="C2693" t="s">
        <v>22</v>
      </c>
      <c r="D2693">
        <v>2495</v>
      </c>
      <c r="E2693">
        <v>1</v>
      </c>
      <c r="F2693">
        <v>27.1</v>
      </c>
      <c r="G2693" t="s">
        <v>21</v>
      </c>
      <c r="I2693" t="str">
        <f t="shared" si="45"/>
        <v>2495_1</v>
      </c>
      <c r="J2693" t="s">
        <v>533</v>
      </c>
      <c r="K2693" t="s">
        <v>429</v>
      </c>
      <c r="L2693" t="str">
        <f>_xlfn.XLOOKUP(C2693, Table2[Species],Table2[Genus], "Code Not Found")</f>
        <v>Acer</v>
      </c>
      <c r="M2693" t="str">
        <f>_xlfn.XLOOKUP(C2693, Table2[Species],Table2[Sp. Name], "Code Not Found")</f>
        <v>rubrum</v>
      </c>
      <c r="N2693" t="str">
        <f>_xlfn.XLOOKUP(C2693,Table2[Species],Table2[Family],"Code Not Found")</f>
        <v>Sapindaceae</v>
      </c>
      <c r="O2693" t="str" cm="1">
        <f t="array" ref="O2693">_xlfn.IFS(F2693="","",F2693&lt;=5,"0 to 5",F2693&lt;=10,"5.1 to 10",F2693&lt;=20,"10 to 20", F2693&lt;= 40, "20 to 40", F2693 &lt;= 50, "40 to 50", F2693 &gt; 50, "&gt;50" )</f>
        <v>20 to 40</v>
      </c>
    </row>
    <row r="2694" spans="1:15" ht="15" customHeight="1" x14ac:dyDescent="0.3">
      <c r="A2694" t="s">
        <v>532</v>
      </c>
      <c r="B2694" s="1">
        <v>46217</v>
      </c>
      <c r="C2694" t="s">
        <v>430</v>
      </c>
      <c r="D2694">
        <v>2496</v>
      </c>
      <c r="E2694">
        <v>1</v>
      </c>
      <c r="F2694">
        <v>12.5</v>
      </c>
      <c r="G2694" t="s">
        <v>17</v>
      </c>
      <c r="I2694" t="str">
        <f t="shared" si="45"/>
        <v>2496_1</v>
      </c>
      <c r="J2694" t="s">
        <v>533</v>
      </c>
      <c r="K2694" t="s">
        <v>429</v>
      </c>
      <c r="L2694" t="str">
        <f>_xlfn.XLOOKUP(C2694, Table2[Species],Table2[Genus], "Code Not Found")</f>
        <v>Tsuga</v>
      </c>
      <c r="M2694" t="str">
        <f>_xlfn.XLOOKUP(C2694, Table2[Species],Table2[Sp. Name], "Code Not Found")</f>
        <v>canadensis</v>
      </c>
      <c r="N2694" t="str">
        <f>_xlfn.XLOOKUP(C2694,Table2[Species],Table2[Family],"Code Not Found")</f>
        <v>Pinaceae</v>
      </c>
      <c r="O2694" t="str" cm="1">
        <f t="array" ref="O2694">_xlfn.IFS(F2694="","",F2694&lt;=5,"0 to 5",F2694&lt;=10,"5.1 to 10",F2694&lt;=20,"10 to 20", F2694&lt;= 40, "20 to 40", F2694 &lt;= 50, "40 to 50", F2694 &gt; 50, "&gt;50" )</f>
        <v>10 to 20</v>
      </c>
    </row>
    <row r="2695" spans="1:15" ht="15" customHeight="1" x14ac:dyDescent="0.3">
      <c r="A2695" t="s">
        <v>532</v>
      </c>
      <c r="B2695" s="1">
        <v>46217</v>
      </c>
      <c r="C2695" t="s">
        <v>430</v>
      </c>
      <c r="D2695">
        <v>2497</v>
      </c>
      <c r="E2695">
        <v>1</v>
      </c>
      <c r="F2695">
        <v>16.8</v>
      </c>
      <c r="G2695" t="s">
        <v>17</v>
      </c>
      <c r="I2695" t="str">
        <f t="shared" si="45"/>
        <v>2497_1</v>
      </c>
      <c r="J2695" t="s">
        <v>533</v>
      </c>
      <c r="K2695" t="s">
        <v>429</v>
      </c>
      <c r="L2695" t="str">
        <f>_xlfn.XLOOKUP(C2695, Table2[Species],Table2[Genus], "Code Not Found")</f>
        <v>Tsuga</v>
      </c>
      <c r="M2695" t="str">
        <f>_xlfn.XLOOKUP(C2695, Table2[Species],Table2[Sp. Name], "Code Not Found")</f>
        <v>canadensis</v>
      </c>
      <c r="N2695" t="str">
        <f>_xlfn.XLOOKUP(C2695,Table2[Species],Table2[Family],"Code Not Found")</f>
        <v>Pinaceae</v>
      </c>
      <c r="O2695" t="str" cm="1">
        <f t="array" ref="O2695">_xlfn.IFS(F2695="","",F2695&lt;=5,"0 to 5",F2695&lt;=10,"5.1 to 10",F2695&lt;=20,"10 to 20", F2695&lt;= 40, "20 to 40", F2695 &lt;= 50, "40 to 50", F2695 &gt; 50, "&gt;50" )</f>
        <v>10 to 20</v>
      </c>
    </row>
    <row r="2696" spans="1:15" ht="15" customHeight="1" x14ac:dyDescent="0.3">
      <c r="A2696" t="s">
        <v>532</v>
      </c>
      <c r="B2696" s="1">
        <v>46217</v>
      </c>
      <c r="C2696" t="s">
        <v>22</v>
      </c>
      <c r="D2696">
        <v>2498</v>
      </c>
      <c r="E2696">
        <v>1</v>
      </c>
      <c r="F2696">
        <v>15</v>
      </c>
      <c r="G2696" t="s">
        <v>21</v>
      </c>
      <c r="I2696" t="str">
        <f t="shared" si="45"/>
        <v>2498_1</v>
      </c>
      <c r="J2696" t="s">
        <v>533</v>
      </c>
      <c r="K2696" t="s">
        <v>429</v>
      </c>
      <c r="L2696" t="str">
        <f>_xlfn.XLOOKUP(C2696, Table2[Species],Table2[Genus], "Code Not Found")</f>
        <v>Acer</v>
      </c>
      <c r="M2696" t="str">
        <f>_xlfn.XLOOKUP(C2696, Table2[Species],Table2[Sp. Name], "Code Not Found")</f>
        <v>rubrum</v>
      </c>
      <c r="N2696" t="str">
        <f>_xlfn.XLOOKUP(C2696,Table2[Species],Table2[Family],"Code Not Found")</f>
        <v>Sapindaceae</v>
      </c>
      <c r="O2696" t="str" cm="1">
        <f t="array" ref="O2696">_xlfn.IFS(F2696="","",F2696&lt;=5,"0 to 5",F2696&lt;=10,"5.1 to 10",F2696&lt;=20,"10 to 20", F2696&lt;= 40, "20 to 40", F2696 &lt;= 50, "40 to 50", F2696 &gt; 50, "&gt;50" )</f>
        <v>10 to 20</v>
      </c>
    </row>
    <row r="2697" spans="1:15" ht="15" customHeight="1" x14ac:dyDescent="0.3">
      <c r="A2697" t="s">
        <v>532</v>
      </c>
      <c r="B2697" s="1">
        <v>46217</v>
      </c>
      <c r="C2697" t="s">
        <v>430</v>
      </c>
      <c r="D2697">
        <v>2499</v>
      </c>
      <c r="E2697">
        <v>1</v>
      </c>
      <c r="F2697">
        <v>15.4</v>
      </c>
      <c r="G2697" t="s">
        <v>537</v>
      </c>
      <c r="H2697" t="s">
        <v>296</v>
      </c>
      <c r="I2697" t="str">
        <f t="shared" si="45"/>
        <v>2499_1</v>
      </c>
      <c r="J2697" t="s">
        <v>533</v>
      </c>
      <c r="K2697" t="s">
        <v>429</v>
      </c>
      <c r="L2697" t="str">
        <f>_xlfn.XLOOKUP(C2697, Table2[Species],Table2[Genus], "Code Not Found")</f>
        <v>Tsuga</v>
      </c>
      <c r="M2697" t="str">
        <f>_xlfn.XLOOKUP(C2697, Table2[Species],Table2[Sp. Name], "Code Not Found")</f>
        <v>canadensis</v>
      </c>
      <c r="N2697" t="str">
        <f>_xlfn.XLOOKUP(C2697,Table2[Species],Table2[Family],"Code Not Found")</f>
        <v>Pinaceae</v>
      </c>
      <c r="O2697" t="str" cm="1">
        <f t="array" ref="O2697">_xlfn.IFS(F2697="","",F2697&lt;=5,"0 to 5",F2697&lt;=10,"5.1 to 10",F2697&lt;=20,"10 to 20", F2697&lt;= 40, "20 to 40", F2697 &lt;= 50, "40 to 50", F2697 &gt; 50, "&gt;50" )</f>
        <v>10 to 20</v>
      </c>
    </row>
    <row r="2698" spans="1:15" ht="15" customHeight="1" x14ac:dyDescent="0.3">
      <c r="A2698" t="s">
        <v>532</v>
      </c>
      <c r="B2698" s="1">
        <v>46217</v>
      </c>
      <c r="C2698" t="s">
        <v>430</v>
      </c>
      <c r="D2698">
        <v>2500</v>
      </c>
      <c r="E2698">
        <v>1</v>
      </c>
      <c r="F2698">
        <v>15.6</v>
      </c>
      <c r="G2698" t="s">
        <v>17</v>
      </c>
      <c r="I2698" t="str">
        <f t="shared" si="45"/>
        <v>2500_1</v>
      </c>
      <c r="J2698" t="s">
        <v>533</v>
      </c>
      <c r="K2698" t="s">
        <v>429</v>
      </c>
      <c r="L2698" t="str">
        <f>_xlfn.XLOOKUP(C2698, Table2[Species],Table2[Genus], "Code Not Found")</f>
        <v>Tsuga</v>
      </c>
      <c r="M2698" t="str">
        <f>_xlfn.XLOOKUP(C2698, Table2[Species],Table2[Sp. Name], "Code Not Found")</f>
        <v>canadensis</v>
      </c>
      <c r="N2698" t="str">
        <f>_xlfn.XLOOKUP(C2698,Table2[Species],Table2[Family],"Code Not Found")</f>
        <v>Pinaceae</v>
      </c>
      <c r="O2698" t="str" cm="1">
        <f t="array" ref="O2698">_xlfn.IFS(F2698="","",F2698&lt;=5,"0 to 5",F2698&lt;=10,"5.1 to 10",F2698&lt;=20,"10 to 20", F2698&lt;= 40, "20 to 40", F2698 &lt;= 50, "40 to 50", F2698 &gt; 50, "&gt;50" )</f>
        <v>10 to 20</v>
      </c>
    </row>
    <row r="2699" spans="1:15" ht="15" customHeight="1" x14ac:dyDescent="0.3">
      <c r="A2699" t="s">
        <v>532</v>
      </c>
      <c r="B2699" s="1">
        <v>46217</v>
      </c>
      <c r="C2699" t="s">
        <v>16</v>
      </c>
      <c r="D2699">
        <v>2501</v>
      </c>
      <c r="E2699">
        <v>1</v>
      </c>
      <c r="F2699">
        <v>7.4</v>
      </c>
      <c r="G2699" t="s">
        <v>17</v>
      </c>
      <c r="I2699" t="str">
        <f t="shared" si="45"/>
        <v>2501_1</v>
      </c>
      <c r="J2699" t="s">
        <v>533</v>
      </c>
      <c r="K2699" t="s">
        <v>429</v>
      </c>
      <c r="L2699" t="str">
        <f>_xlfn.XLOOKUP(C2699, Table2[Species],Table2[Genus], "Code Not Found")</f>
        <v>Acer</v>
      </c>
      <c r="M2699" t="str">
        <f>_xlfn.XLOOKUP(C2699, Table2[Species],Table2[Sp. Name], "Code Not Found")</f>
        <v>saccharum</v>
      </c>
      <c r="N2699" t="str">
        <f>_xlfn.XLOOKUP(C2699,Table2[Species],Table2[Family],"Code Not Found")</f>
        <v>Sapindaceae</v>
      </c>
      <c r="O2699" t="str" cm="1">
        <f t="array" ref="O2699">_xlfn.IFS(F2699="","",F2699&lt;=5,"0 to 5",F2699&lt;=10,"5.1 to 10",F2699&lt;=20,"10 to 20", F2699&lt;= 40, "20 to 40", F2699 &lt;= 50, "40 to 50", F2699 &gt; 50, "&gt;50" )</f>
        <v>5.1 to 10</v>
      </c>
    </row>
    <row r="2700" spans="1:15" ht="15" customHeight="1" x14ac:dyDescent="0.3">
      <c r="A2700" t="s">
        <v>532</v>
      </c>
      <c r="B2700" s="1">
        <v>46217</v>
      </c>
      <c r="C2700" t="s">
        <v>430</v>
      </c>
      <c r="D2700">
        <v>2502</v>
      </c>
      <c r="E2700">
        <v>1</v>
      </c>
      <c r="F2700">
        <v>13.1</v>
      </c>
      <c r="G2700" t="s">
        <v>17</v>
      </c>
      <c r="H2700" t="s">
        <v>563</v>
      </c>
      <c r="I2700" t="str">
        <f t="shared" si="45"/>
        <v>2502_1</v>
      </c>
      <c r="J2700" t="s">
        <v>533</v>
      </c>
      <c r="K2700" t="s">
        <v>429</v>
      </c>
      <c r="L2700" t="str">
        <f>_xlfn.XLOOKUP(C2700, Table2[Species],Table2[Genus], "Code Not Found")</f>
        <v>Tsuga</v>
      </c>
      <c r="M2700" t="str">
        <f>_xlfn.XLOOKUP(C2700, Table2[Species],Table2[Sp. Name], "Code Not Found")</f>
        <v>canadensis</v>
      </c>
      <c r="N2700" t="str">
        <f>_xlfn.XLOOKUP(C2700,Table2[Species],Table2[Family],"Code Not Found")</f>
        <v>Pinaceae</v>
      </c>
      <c r="O2700" t="str" cm="1">
        <f t="array" ref="O2700">_xlfn.IFS(F2700="","",F2700&lt;=5,"0 to 5",F2700&lt;=10,"5.1 to 10",F2700&lt;=20,"10 to 20", F2700&lt;= 40, "20 to 40", F2700 &lt;= 50, "40 to 50", F2700 &gt; 50, "&gt;50" )</f>
        <v>10 to 20</v>
      </c>
    </row>
    <row r="2701" spans="1:15" ht="15" customHeight="1" x14ac:dyDescent="0.3">
      <c r="A2701" t="s">
        <v>532</v>
      </c>
      <c r="B2701" s="1">
        <v>46217</v>
      </c>
      <c r="C2701" t="s">
        <v>22</v>
      </c>
      <c r="D2701">
        <v>2503</v>
      </c>
      <c r="E2701">
        <v>1</v>
      </c>
      <c r="F2701">
        <v>41.8</v>
      </c>
      <c r="G2701" t="s">
        <v>21</v>
      </c>
      <c r="I2701" t="str">
        <f t="shared" si="45"/>
        <v>2503_1</v>
      </c>
      <c r="J2701" t="s">
        <v>533</v>
      </c>
      <c r="K2701" t="s">
        <v>429</v>
      </c>
      <c r="L2701" t="str">
        <f>_xlfn.XLOOKUP(C2701, Table2[Species],Table2[Genus], "Code Not Found")</f>
        <v>Acer</v>
      </c>
      <c r="M2701" t="str">
        <f>_xlfn.XLOOKUP(C2701, Table2[Species],Table2[Sp. Name], "Code Not Found")</f>
        <v>rubrum</v>
      </c>
      <c r="N2701" t="str">
        <f>_xlfn.XLOOKUP(C2701,Table2[Species],Table2[Family],"Code Not Found")</f>
        <v>Sapindaceae</v>
      </c>
      <c r="O2701" t="str" cm="1">
        <f t="array" ref="O2701">_xlfn.IFS(F2701="","",F2701&lt;=5,"0 to 5",F2701&lt;=10,"5.1 to 10",F2701&lt;=20,"10 to 20", F2701&lt;= 40, "20 to 40", F2701 &lt;= 50, "40 to 50", F2701 &gt; 50, "&gt;50" )</f>
        <v>40 to 50</v>
      </c>
    </row>
    <row r="2702" spans="1:15" ht="15" customHeight="1" x14ac:dyDescent="0.3">
      <c r="A2702" t="s">
        <v>532</v>
      </c>
      <c r="B2702" s="1">
        <v>46217</v>
      </c>
      <c r="C2702" t="s">
        <v>22</v>
      </c>
      <c r="D2702">
        <v>2504</v>
      </c>
      <c r="E2702">
        <v>1</v>
      </c>
      <c r="F2702">
        <v>17.3</v>
      </c>
      <c r="G2702" t="s">
        <v>21</v>
      </c>
      <c r="I2702" t="str">
        <f t="shared" si="45"/>
        <v>2504_1</v>
      </c>
      <c r="J2702" t="s">
        <v>533</v>
      </c>
      <c r="K2702" t="s">
        <v>429</v>
      </c>
      <c r="L2702" t="str">
        <f>_xlfn.XLOOKUP(C2702, Table2[Species],Table2[Genus], "Code Not Found")</f>
        <v>Acer</v>
      </c>
      <c r="M2702" t="str">
        <f>_xlfn.XLOOKUP(C2702, Table2[Species],Table2[Sp. Name], "Code Not Found")</f>
        <v>rubrum</v>
      </c>
      <c r="N2702" t="str">
        <f>_xlfn.XLOOKUP(C2702,Table2[Species],Table2[Family],"Code Not Found")</f>
        <v>Sapindaceae</v>
      </c>
      <c r="O2702" t="str" cm="1">
        <f t="array" ref="O2702">_xlfn.IFS(F2702="","",F2702&lt;=5,"0 to 5",F2702&lt;=10,"5.1 to 10",F2702&lt;=20,"10 to 20", F2702&lt;= 40, "20 to 40", F2702 &lt;= 50, "40 to 50", F2702 &gt; 50, "&gt;50" )</f>
        <v>10 to 20</v>
      </c>
    </row>
    <row r="2703" spans="1:15" ht="15" customHeight="1" x14ac:dyDescent="0.3">
      <c r="A2703" t="s">
        <v>532</v>
      </c>
      <c r="B2703" s="1">
        <v>46217</v>
      </c>
      <c r="C2703" t="s">
        <v>430</v>
      </c>
      <c r="D2703">
        <v>2505</v>
      </c>
      <c r="E2703">
        <v>1</v>
      </c>
      <c r="F2703">
        <v>16.100000000000001</v>
      </c>
      <c r="G2703" t="s">
        <v>47</v>
      </c>
      <c r="H2703" t="s">
        <v>347</v>
      </c>
      <c r="I2703" t="str">
        <f t="shared" si="45"/>
        <v>2505_1</v>
      </c>
      <c r="J2703" t="s">
        <v>533</v>
      </c>
      <c r="K2703" t="s">
        <v>429</v>
      </c>
      <c r="L2703" t="str">
        <f>_xlfn.XLOOKUP(C2703, Table2[Species],Table2[Genus], "Code Not Found")</f>
        <v>Tsuga</v>
      </c>
      <c r="M2703" t="str">
        <f>_xlfn.XLOOKUP(C2703, Table2[Species],Table2[Sp. Name], "Code Not Found")</f>
        <v>canadensis</v>
      </c>
      <c r="N2703" t="str">
        <f>_xlfn.XLOOKUP(C2703,Table2[Species],Table2[Family],"Code Not Found")</f>
        <v>Pinaceae</v>
      </c>
      <c r="O2703" t="str" cm="1">
        <f t="array" ref="O2703">_xlfn.IFS(F2703="","",F2703&lt;=5,"0 to 5",F2703&lt;=10,"5.1 to 10",F2703&lt;=20,"10 to 20", F2703&lt;= 40, "20 to 40", F2703 &lt;= 50, "40 to 50", F2703 &gt; 50, "&gt;50" )</f>
        <v>10 to 20</v>
      </c>
    </row>
    <row r="2704" spans="1:15" ht="15" customHeight="1" x14ac:dyDescent="0.3">
      <c r="A2704" t="s">
        <v>532</v>
      </c>
      <c r="B2704" s="1">
        <v>46217</v>
      </c>
      <c r="C2704" t="s">
        <v>22</v>
      </c>
      <c r="D2704">
        <v>2506</v>
      </c>
      <c r="E2704">
        <v>1</v>
      </c>
      <c r="F2704">
        <v>14.8</v>
      </c>
      <c r="G2704" t="s">
        <v>21</v>
      </c>
      <c r="I2704" t="str">
        <f t="shared" si="45"/>
        <v>2506_1</v>
      </c>
      <c r="J2704" t="s">
        <v>533</v>
      </c>
      <c r="K2704" t="s">
        <v>429</v>
      </c>
      <c r="L2704" t="str">
        <f>_xlfn.XLOOKUP(C2704, Table2[Species],Table2[Genus], "Code Not Found")</f>
        <v>Acer</v>
      </c>
      <c r="M2704" t="str">
        <f>_xlfn.XLOOKUP(C2704, Table2[Species],Table2[Sp. Name], "Code Not Found")</f>
        <v>rubrum</v>
      </c>
      <c r="N2704" t="str">
        <f>_xlfn.XLOOKUP(C2704,Table2[Species],Table2[Family],"Code Not Found")</f>
        <v>Sapindaceae</v>
      </c>
      <c r="O2704" t="str" cm="1">
        <f t="array" ref="O2704">_xlfn.IFS(F2704="","",F2704&lt;=5,"0 to 5",F2704&lt;=10,"5.1 to 10",F2704&lt;=20,"10 to 20", F2704&lt;= 40, "20 to 40", F2704 &lt;= 50, "40 to 50", F2704 &gt; 50, "&gt;50" )</f>
        <v>10 to 20</v>
      </c>
    </row>
    <row r="2705" spans="1:15" ht="15" customHeight="1" x14ac:dyDescent="0.3">
      <c r="A2705" t="s">
        <v>532</v>
      </c>
      <c r="B2705" s="1">
        <v>46217</v>
      </c>
      <c r="C2705" t="s">
        <v>22</v>
      </c>
      <c r="D2705">
        <v>2507</v>
      </c>
      <c r="E2705">
        <v>1</v>
      </c>
      <c r="F2705">
        <v>15.9</v>
      </c>
      <c r="G2705" t="s">
        <v>17</v>
      </c>
      <c r="I2705" t="str">
        <f t="shared" si="45"/>
        <v>2507_1</v>
      </c>
      <c r="J2705" t="s">
        <v>533</v>
      </c>
      <c r="K2705" t="s">
        <v>429</v>
      </c>
      <c r="L2705" t="str">
        <f>_xlfn.XLOOKUP(C2705, Table2[Species],Table2[Genus], "Code Not Found")</f>
        <v>Acer</v>
      </c>
      <c r="M2705" t="str">
        <f>_xlfn.XLOOKUP(C2705, Table2[Species],Table2[Sp. Name], "Code Not Found")</f>
        <v>rubrum</v>
      </c>
      <c r="N2705" t="str">
        <f>_xlfn.XLOOKUP(C2705,Table2[Species],Table2[Family],"Code Not Found")</f>
        <v>Sapindaceae</v>
      </c>
      <c r="O2705" t="str" cm="1">
        <f t="array" ref="O2705">_xlfn.IFS(F2705="","",F2705&lt;=5,"0 to 5",F2705&lt;=10,"5.1 to 10",F2705&lt;=20,"10 to 20", F2705&lt;= 40, "20 to 40", F2705 &lt;= 50, "40 to 50", F2705 &gt; 50, "&gt;50" )</f>
        <v>10 to 20</v>
      </c>
    </row>
    <row r="2706" spans="1:15" ht="15" customHeight="1" x14ac:dyDescent="0.3">
      <c r="A2706" t="s">
        <v>532</v>
      </c>
      <c r="B2706" s="1">
        <v>46217</v>
      </c>
      <c r="C2706" t="s">
        <v>415</v>
      </c>
      <c r="D2706">
        <v>2508</v>
      </c>
      <c r="E2706">
        <v>1</v>
      </c>
      <c r="F2706">
        <v>1.6</v>
      </c>
      <c r="G2706" t="s">
        <v>138</v>
      </c>
      <c r="I2706" t="str">
        <f t="shared" si="45"/>
        <v>2508_1</v>
      </c>
      <c r="J2706" t="s">
        <v>533</v>
      </c>
      <c r="K2706" t="s">
        <v>429</v>
      </c>
      <c r="L2706" t="str">
        <f>_xlfn.XLOOKUP(C2706, Table2[Species],Table2[Genus], "Code Not Found")</f>
        <v>Fraxinus</v>
      </c>
      <c r="M2706" t="str">
        <f>_xlfn.XLOOKUP(C2706, Table2[Species],Table2[Sp. Name], "Code Not Found")</f>
        <v>pennsylvanica</v>
      </c>
      <c r="N2706" t="str">
        <f>_xlfn.XLOOKUP(C2706,Table2[Species],Table2[Family],"Code Not Found")</f>
        <v>Oleaceae</v>
      </c>
      <c r="O2706" t="str" cm="1">
        <f t="array" ref="O2706">_xlfn.IFS(F2706="","",F2706&lt;=5,"0 to 5",F2706&lt;=10,"5.1 to 10",F2706&lt;=20,"10 to 20", F2706&lt;= 40, "20 to 40", F2706 &lt;= 50, "40 to 50", F2706 &gt; 50, "&gt;50" )</f>
        <v>0 to 5</v>
      </c>
    </row>
    <row r="2707" spans="1:15" ht="15" customHeight="1" x14ac:dyDescent="0.3">
      <c r="A2707" t="s">
        <v>532</v>
      </c>
      <c r="B2707" s="1">
        <v>46217</v>
      </c>
      <c r="C2707" t="s">
        <v>415</v>
      </c>
      <c r="D2707">
        <v>2509</v>
      </c>
      <c r="E2707">
        <v>1</v>
      </c>
      <c r="F2707">
        <v>1.2</v>
      </c>
      <c r="G2707" t="s">
        <v>365</v>
      </c>
      <c r="H2707" t="s">
        <v>296</v>
      </c>
      <c r="I2707" t="str">
        <f t="shared" si="45"/>
        <v>2509_1</v>
      </c>
      <c r="J2707" t="s">
        <v>533</v>
      </c>
      <c r="K2707" t="s">
        <v>429</v>
      </c>
      <c r="L2707" t="str">
        <f>_xlfn.XLOOKUP(C2707, Table2[Species],Table2[Genus], "Code Not Found")</f>
        <v>Fraxinus</v>
      </c>
      <c r="M2707" t="str">
        <f>_xlfn.XLOOKUP(C2707, Table2[Species],Table2[Sp. Name], "Code Not Found")</f>
        <v>pennsylvanica</v>
      </c>
      <c r="N2707" t="str">
        <f>_xlfn.XLOOKUP(C2707,Table2[Species],Table2[Family],"Code Not Found")</f>
        <v>Oleaceae</v>
      </c>
      <c r="O2707" t="str" cm="1">
        <f t="array" ref="O2707">_xlfn.IFS(F2707="","",F2707&lt;=5,"0 to 5",F2707&lt;=10,"5.1 to 10",F2707&lt;=20,"10 to 20", F2707&lt;= 40, "20 to 40", F2707 &lt;= 50, "40 to 50", F2707 &gt; 50, "&gt;50" )</f>
        <v>0 to 5</v>
      </c>
    </row>
    <row r="2708" spans="1:15" ht="15" customHeight="1" x14ac:dyDescent="0.3">
      <c r="A2708" t="s">
        <v>532</v>
      </c>
      <c r="B2708" s="1">
        <v>46217</v>
      </c>
      <c r="C2708" t="s">
        <v>235</v>
      </c>
      <c r="D2708">
        <v>2510</v>
      </c>
      <c r="E2708">
        <v>1</v>
      </c>
      <c r="F2708">
        <v>7.7</v>
      </c>
      <c r="G2708" t="s">
        <v>54</v>
      </c>
      <c r="I2708" t="str">
        <f t="shared" si="45"/>
        <v>2510_1</v>
      </c>
      <c r="J2708" t="s">
        <v>533</v>
      </c>
      <c r="K2708" t="s">
        <v>429</v>
      </c>
      <c r="L2708" t="str">
        <f>_xlfn.XLOOKUP(C2708, Table2[Species],Table2[Genus], "Code Not Found")</f>
        <v>Carpinus</v>
      </c>
      <c r="M2708" t="str">
        <f>_xlfn.XLOOKUP(C2708, Table2[Species],Table2[Sp. Name], "Code Not Found")</f>
        <v>caroliniana</v>
      </c>
      <c r="N2708" t="str">
        <f>_xlfn.XLOOKUP(C2708,Table2[Species],Table2[Family],"Code Not Found")</f>
        <v>Betulaceae</v>
      </c>
      <c r="O2708" t="str" cm="1">
        <f t="array" ref="O2708">_xlfn.IFS(F2708="","",F2708&lt;=5,"0 to 5",F2708&lt;=10,"5.1 to 10",F2708&lt;=20,"10 to 20", F2708&lt;= 40, "20 to 40", F2708 &lt;= 50, "40 to 50", F2708 &gt; 50, "&gt;50" )</f>
        <v>5.1 to 10</v>
      </c>
    </row>
    <row r="2709" spans="1:15" ht="15" customHeight="1" x14ac:dyDescent="0.3">
      <c r="A2709" t="s">
        <v>532</v>
      </c>
      <c r="B2709" s="1">
        <v>46217</v>
      </c>
      <c r="C2709" t="s">
        <v>415</v>
      </c>
      <c r="D2709">
        <v>2511</v>
      </c>
      <c r="E2709">
        <v>1</v>
      </c>
      <c r="F2709">
        <v>2.6</v>
      </c>
      <c r="G2709" t="s">
        <v>365</v>
      </c>
      <c r="H2709" t="s">
        <v>296</v>
      </c>
      <c r="I2709" t="str">
        <f t="shared" si="45"/>
        <v>2511_1</v>
      </c>
      <c r="J2709" t="s">
        <v>533</v>
      </c>
      <c r="K2709" t="s">
        <v>429</v>
      </c>
      <c r="L2709" t="str">
        <f>_xlfn.XLOOKUP(C2709, Table2[Species],Table2[Genus], "Code Not Found")</f>
        <v>Fraxinus</v>
      </c>
      <c r="M2709" t="str">
        <f>_xlfn.XLOOKUP(C2709, Table2[Species],Table2[Sp. Name], "Code Not Found")</f>
        <v>pennsylvanica</v>
      </c>
      <c r="N2709" t="str">
        <f>_xlfn.XLOOKUP(C2709,Table2[Species],Table2[Family],"Code Not Found")</f>
        <v>Oleaceae</v>
      </c>
      <c r="O2709" t="str" cm="1">
        <f t="array" ref="O2709">_xlfn.IFS(F2709="","",F2709&lt;=5,"0 to 5",F2709&lt;=10,"5.1 to 10",F2709&lt;=20,"10 to 20", F2709&lt;= 40, "20 to 40", F2709 &lt;= 50, "40 to 50", F2709 &gt; 50, "&gt;50" )</f>
        <v>0 to 5</v>
      </c>
    </row>
    <row r="2710" spans="1:15" ht="15" customHeight="1" x14ac:dyDescent="0.3">
      <c r="A2710" t="s">
        <v>532</v>
      </c>
      <c r="B2710" s="1">
        <v>46217</v>
      </c>
      <c r="C2710" t="s">
        <v>235</v>
      </c>
      <c r="D2710">
        <v>2512</v>
      </c>
      <c r="E2710">
        <v>1</v>
      </c>
      <c r="F2710">
        <v>8.1</v>
      </c>
      <c r="G2710" t="s">
        <v>94</v>
      </c>
      <c r="H2710" t="s">
        <v>234</v>
      </c>
      <c r="I2710" t="str">
        <f t="shared" si="45"/>
        <v>2512_1</v>
      </c>
      <c r="J2710" t="s">
        <v>533</v>
      </c>
      <c r="K2710" t="s">
        <v>429</v>
      </c>
      <c r="L2710" t="str">
        <f>_xlfn.XLOOKUP(C2710, Table2[Species],Table2[Genus], "Code Not Found")</f>
        <v>Carpinus</v>
      </c>
      <c r="M2710" t="str">
        <f>_xlfn.XLOOKUP(C2710, Table2[Species],Table2[Sp. Name], "Code Not Found")</f>
        <v>caroliniana</v>
      </c>
      <c r="N2710" t="str">
        <f>_xlfn.XLOOKUP(C2710,Table2[Species],Table2[Family],"Code Not Found")</f>
        <v>Betulaceae</v>
      </c>
      <c r="O2710" t="str" cm="1">
        <f t="array" ref="O2710">_xlfn.IFS(F2710="","",F2710&lt;=5,"0 to 5",F2710&lt;=10,"5.1 to 10",F2710&lt;=20,"10 to 20", F2710&lt;= 40, "20 to 40", F2710 &lt;= 50, "40 to 50", F2710 &gt; 50, "&gt;50" )</f>
        <v>5.1 to 10</v>
      </c>
    </row>
    <row r="2711" spans="1:15" ht="15" customHeight="1" x14ac:dyDescent="0.3">
      <c r="A2711" t="s">
        <v>532</v>
      </c>
      <c r="B2711" s="1">
        <v>46217</v>
      </c>
      <c r="C2711" t="s">
        <v>415</v>
      </c>
      <c r="D2711">
        <v>2513</v>
      </c>
      <c r="E2711">
        <v>1</v>
      </c>
      <c r="F2711">
        <v>2.2000000000000002</v>
      </c>
      <c r="G2711" t="s">
        <v>365</v>
      </c>
      <c r="H2711" t="s">
        <v>296</v>
      </c>
      <c r="I2711" t="str">
        <f t="shared" si="45"/>
        <v>2513_1</v>
      </c>
      <c r="J2711" t="s">
        <v>533</v>
      </c>
      <c r="K2711" t="s">
        <v>429</v>
      </c>
      <c r="L2711" t="str">
        <f>_xlfn.XLOOKUP(C2711, Table2[Species],Table2[Genus], "Code Not Found")</f>
        <v>Fraxinus</v>
      </c>
      <c r="M2711" t="str">
        <f>_xlfn.XLOOKUP(C2711, Table2[Species],Table2[Sp. Name], "Code Not Found")</f>
        <v>pennsylvanica</v>
      </c>
      <c r="N2711" t="str">
        <f>_xlfn.XLOOKUP(C2711,Table2[Species],Table2[Family],"Code Not Found")</f>
        <v>Oleaceae</v>
      </c>
      <c r="O2711" t="str" cm="1">
        <f t="array" ref="O2711">_xlfn.IFS(F2711="","",F2711&lt;=5,"0 to 5",F2711&lt;=10,"5.1 to 10",F2711&lt;=20,"10 to 20", F2711&lt;= 40, "20 to 40", F2711 &lt;= 50, "40 to 50", F2711 &gt; 50, "&gt;50" )</f>
        <v>0 to 5</v>
      </c>
    </row>
    <row r="2712" spans="1:15" ht="15" customHeight="1" x14ac:dyDescent="0.3">
      <c r="A2712" t="s">
        <v>532</v>
      </c>
      <c r="B2712" s="1">
        <v>46217</v>
      </c>
      <c r="C2712" t="s">
        <v>187</v>
      </c>
      <c r="D2712">
        <v>2514</v>
      </c>
      <c r="E2712">
        <v>1</v>
      </c>
      <c r="F2712">
        <v>4.0999999999999996</v>
      </c>
      <c r="G2712" t="s">
        <v>47</v>
      </c>
      <c r="I2712" t="str">
        <f t="shared" si="45"/>
        <v>2514_1</v>
      </c>
      <c r="J2712" t="s">
        <v>533</v>
      </c>
      <c r="K2712" t="s">
        <v>429</v>
      </c>
      <c r="L2712" t="str">
        <f>_xlfn.XLOOKUP(C2712, Table2[Species],Table2[Genus], "Code Not Found")</f>
        <v>Carya</v>
      </c>
      <c r="M2712" t="str">
        <f>_xlfn.XLOOKUP(C2712, Table2[Species],Table2[Sp. Name], "Code Not Found")</f>
        <v>cordiformis</v>
      </c>
      <c r="N2712" t="str">
        <f>_xlfn.XLOOKUP(C2712,Table2[Species],Table2[Family],"Code Not Found")</f>
        <v>Juglandaceae</v>
      </c>
      <c r="O2712" t="str" cm="1">
        <f t="array" ref="O2712">_xlfn.IFS(F2712="","",F2712&lt;=5,"0 to 5",F2712&lt;=10,"5.1 to 10",F2712&lt;=20,"10 to 20", F2712&lt;= 40, "20 to 40", F2712 &lt;= 50, "40 to 50", F2712 &gt; 50, "&gt;50" )</f>
        <v>0 to 5</v>
      </c>
    </row>
    <row r="2713" spans="1:15" ht="15" customHeight="1" x14ac:dyDescent="0.3">
      <c r="A2713" t="s">
        <v>532</v>
      </c>
      <c r="B2713" s="1">
        <v>46217</v>
      </c>
      <c r="C2713" t="s">
        <v>415</v>
      </c>
      <c r="D2713">
        <v>2515</v>
      </c>
      <c r="E2713">
        <v>1</v>
      </c>
      <c r="F2713">
        <v>1.7</v>
      </c>
      <c r="G2713" t="s">
        <v>564</v>
      </c>
      <c r="H2713" t="s">
        <v>296</v>
      </c>
      <c r="I2713" t="str">
        <f t="shared" si="45"/>
        <v>2515_1</v>
      </c>
      <c r="J2713" t="s">
        <v>533</v>
      </c>
      <c r="K2713" t="s">
        <v>429</v>
      </c>
      <c r="L2713" t="str">
        <f>_xlfn.XLOOKUP(C2713, Table2[Species],Table2[Genus], "Code Not Found")</f>
        <v>Fraxinus</v>
      </c>
      <c r="M2713" t="str">
        <f>_xlfn.XLOOKUP(C2713, Table2[Species],Table2[Sp. Name], "Code Not Found")</f>
        <v>pennsylvanica</v>
      </c>
      <c r="N2713" t="str">
        <f>_xlfn.XLOOKUP(C2713,Table2[Species],Table2[Family],"Code Not Found")</f>
        <v>Oleaceae</v>
      </c>
      <c r="O2713" t="str" cm="1">
        <f t="array" ref="O2713">_xlfn.IFS(F2713="","",F2713&lt;=5,"0 to 5",F2713&lt;=10,"5.1 to 10",F2713&lt;=20,"10 to 20", F2713&lt;= 40, "20 to 40", F2713 &lt;= 50, "40 to 50", F2713 &gt; 50, "&gt;50" )</f>
        <v>0 to 5</v>
      </c>
    </row>
    <row r="2714" spans="1:15" ht="15" customHeight="1" x14ac:dyDescent="0.3">
      <c r="A2714" t="s">
        <v>532</v>
      </c>
      <c r="B2714" s="1">
        <v>46217</v>
      </c>
      <c r="C2714" t="s">
        <v>545</v>
      </c>
      <c r="D2714">
        <v>2516</v>
      </c>
      <c r="E2714">
        <v>1</v>
      </c>
      <c r="F2714">
        <v>11.3</v>
      </c>
      <c r="G2714" t="s">
        <v>47</v>
      </c>
      <c r="H2714" t="s">
        <v>296</v>
      </c>
      <c r="I2714" t="str">
        <f t="shared" si="45"/>
        <v>2516_1</v>
      </c>
      <c r="J2714" t="s">
        <v>533</v>
      </c>
      <c r="K2714" t="s">
        <v>429</v>
      </c>
      <c r="L2714" t="str">
        <f>_xlfn.XLOOKUP(C2714, Table2[Species],Table2[Genus], "Code Not Found")</f>
        <v>Ulmus</v>
      </c>
      <c r="M2714" t="str">
        <f>_xlfn.XLOOKUP(C2714, Table2[Species],Table2[Sp. Name], "Code Not Found")</f>
        <v>americana</v>
      </c>
      <c r="N2714" t="str">
        <f>_xlfn.XLOOKUP(C2714,Table2[Species],Table2[Family],"Code Not Found")</f>
        <v>Ulmaceae</v>
      </c>
      <c r="O2714" t="str" cm="1">
        <f t="array" ref="O2714">_xlfn.IFS(F2714="","",F2714&lt;=5,"0 to 5",F2714&lt;=10,"5.1 to 10",F2714&lt;=20,"10 to 20", F2714&lt;= 40, "20 to 40", F2714 &lt;= 50, "40 to 50", F2714 &gt; 50, "&gt;50" )</f>
        <v>10 to 20</v>
      </c>
    </row>
    <row r="2715" spans="1:15" ht="15" customHeight="1" x14ac:dyDescent="0.3">
      <c r="A2715" t="s">
        <v>532</v>
      </c>
      <c r="B2715" s="1">
        <v>46217</v>
      </c>
      <c r="C2715" t="s">
        <v>22</v>
      </c>
      <c r="D2715">
        <v>2517</v>
      </c>
      <c r="E2715">
        <v>1</v>
      </c>
      <c r="F2715">
        <v>36.4</v>
      </c>
      <c r="G2715" t="s">
        <v>30</v>
      </c>
      <c r="H2715" t="s">
        <v>565</v>
      </c>
      <c r="I2715" t="str">
        <f t="shared" si="45"/>
        <v>2517_1</v>
      </c>
      <c r="J2715" t="s">
        <v>533</v>
      </c>
      <c r="K2715" t="s">
        <v>429</v>
      </c>
      <c r="L2715" t="str">
        <f>_xlfn.XLOOKUP(C2715, Table2[Species],Table2[Genus], "Code Not Found")</f>
        <v>Acer</v>
      </c>
      <c r="M2715" t="str">
        <f>_xlfn.XLOOKUP(C2715, Table2[Species],Table2[Sp. Name], "Code Not Found")</f>
        <v>rubrum</v>
      </c>
      <c r="N2715" t="str">
        <f>_xlfn.XLOOKUP(C2715,Table2[Species],Table2[Family],"Code Not Found")</f>
        <v>Sapindaceae</v>
      </c>
      <c r="O2715" t="str" cm="1">
        <f t="array" ref="O2715">_xlfn.IFS(F2715="","",F2715&lt;=5,"0 to 5",F2715&lt;=10,"5.1 to 10",F2715&lt;=20,"10 to 20", F2715&lt;= 40, "20 to 40", F2715 &lt;= 50, "40 to 50", F2715 &gt; 50, "&gt;50" )</f>
        <v>20 to 40</v>
      </c>
    </row>
    <row r="2716" spans="1:15" ht="15" customHeight="1" x14ac:dyDescent="0.3">
      <c r="A2716" t="s">
        <v>532</v>
      </c>
      <c r="B2716" s="1">
        <v>46217</v>
      </c>
      <c r="C2716" t="s">
        <v>545</v>
      </c>
      <c r="D2716">
        <v>2518</v>
      </c>
      <c r="E2716">
        <v>1</v>
      </c>
      <c r="F2716">
        <v>7.6</v>
      </c>
      <c r="G2716" t="s">
        <v>17</v>
      </c>
      <c r="H2716" t="s">
        <v>36</v>
      </c>
      <c r="I2716" t="str">
        <f t="shared" si="45"/>
        <v>2518_1</v>
      </c>
      <c r="J2716" t="s">
        <v>533</v>
      </c>
      <c r="K2716" t="s">
        <v>429</v>
      </c>
      <c r="L2716" t="str">
        <f>_xlfn.XLOOKUP(C2716, Table2[Species],Table2[Genus], "Code Not Found")</f>
        <v>Ulmus</v>
      </c>
      <c r="M2716" t="str">
        <f>_xlfn.XLOOKUP(C2716, Table2[Species],Table2[Sp. Name], "Code Not Found")</f>
        <v>americana</v>
      </c>
      <c r="N2716" t="str">
        <f>_xlfn.XLOOKUP(C2716,Table2[Species],Table2[Family],"Code Not Found")</f>
        <v>Ulmaceae</v>
      </c>
      <c r="O2716" t="str" cm="1">
        <f t="array" ref="O2716">_xlfn.IFS(F2716="","",F2716&lt;=5,"0 to 5",F2716&lt;=10,"5.1 to 10",F2716&lt;=20,"10 to 20", F2716&lt;= 40, "20 to 40", F2716 &lt;= 50, "40 to 50", F2716 &gt; 50, "&gt;50" )</f>
        <v>5.1 to 10</v>
      </c>
    </row>
    <row r="2717" spans="1:15" ht="15" customHeight="1" x14ac:dyDescent="0.3">
      <c r="A2717" t="s">
        <v>532</v>
      </c>
      <c r="B2717" s="1">
        <v>46217</v>
      </c>
      <c r="C2717" t="s">
        <v>545</v>
      </c>
      <c r="D2717">
        <v>2519</v>
      </c>
      <c r="E2717">
        <v>1</v>
      </c>
      <c r="F2717">
        <v>9.8000000000000007</v>
      </c>
      <c r="G2717" t="s">
        <v>17</v>
      </c>
      <c r="I2717" t="str">
        <f t="shared" si="45"/>
        <v>2519_1</v>
      </c>
      <c r="J2717" t="s">
        <v>533</v>
      </c>
      <c r="K2717" t="s">
        <v>429</v>
      </c>
      <c r="L2717" t="str">
        <f>_xlfn.XLOOKUP(C2717, Table2[Species],Table2[Genus], "Code Not Found")</f>
        <v>Ulmus</v>
      </c>
      <c r="M2717" t="str">
        <f>_xlfn.XLOOKUP(C2717, Table2[Species],Table2[Sp. Name], "Code Not Found")</f>
        <v>americana</v>
      </c>
      <c r="N2717" t="str">
        <f>_xlfn.XLOOKUP(C2717,Table2[Species],Table2[Family],"Code Not Found")</f>
        <v>Ulmaceae</v>
      </c>
      <c r="O2717" t="str" cm="1">
        <f t="array" ref="O2717">_xlfn.IFS(F2717="","",F2717&lt;=5,"0 to 5",F2717&lt;=10,"5.1 to 10",F2717&lt;=20,"10 to 20", F2717&lt;= 40, "20 to 40", F2717 &lt;= 50, "40 to 50", F2717 &gt; 50, "&gt;50" )</f>
        <v>5.1 to 10</v>
      </c>
    </row>
    <row r="2718" spans="1:15" ht="15" customHeight="1" x14ac:dyDescent="0.3">
      <c r="A2718" t="s">
        <v>532</v>
      </c>
      <c r="B2718" s="1">
        <v>46217</v>
      </c>
      <c r="C2718" t="s">
        <v>22</v>
      </c>
      <c r="D2718">
        <v>2520</v>
      </c>
      <c r="E2718">
        <v>1</v>
      </c>
      <c r="F2718">
        <v>18.100000000000001</v>
      </c>
      <c r="G2718" t="s">
        <v>21</v>
      </c>
      <c r="I2718" t="str">
        <f t="shared" si="45"/>
        <v>2520_1</v>
      </c>
      <c r="J2718" t="s">
        <v>533</v>
      </c>
      <c r="K2718" t="s">
        <v>429</v>
      </c>
      <c r="L2718" t="str">
        <f>_xlfn.XLOOKUP(C2718, Table2[Species],Table2[Genus], "Code Not Found")</f>
        <v>Acer</v>
      </c>
      <c r="M2718" t="str">
        <f>_xlfn.XLOOKUP(C2718, Table2[Species],Table2[Sp. Name], "Code Not Found")</f>
        <v>rubrum</v>
      </c>
      <c r="N2718" t="str">
        <f>_xlfn.XLOOKUP(C2718,Table2[Species],Table2[Family],"Code Not Found")</f>
        <v>Sapindaceae</v>
      </c>
      <c r="O2718" t="str" cm="1">
        <f t="array" ref="O2718">_xlfn.IFS(F2718="","",F2718&lt;=5,"0 to 5",F2718&lt;=10,"5.1 to 10",F2718&lt;=20,"10 to 20", F2718&lt;= 40, "20 to 40", F2718 &lt;= 50, "40 to 50", F2718 &gt; 50, "&gt;50" )</f>
        <v>10 to 20</v>
      </c>
    </row>
    <row r="2719" spans="1:15" ht="15" customHeight="1" x14ac:dyDescent="0.3">
      <c r="A2719" t="s">
        <v>532</v>
      </c>
      <c r="B2719" s="1">
        <v>46217</v>
      </c>
      <c r="C2719" t="s">
        <v>16</v>
      </c>
      <c r="D2719">
        <v>2521</v>
      </c>
      <c r="E2719">
        <v>1</v>
      </c>
      <c r="F2719">
        <v>8.1999999999999993</v>
      </c>
      <c r="G2719" t="s">
        <v>17</v>
      </c>
      <c r="I2719" t="str">
        <f>D2719&amp;"_"&amp;E2719</f>
        <v>2521_1</v>
      </c>
      <c r="J2719" t="s">
        <v>533</v>
      </c>
      <c r="K2719" t="s">
        <v>429</v>
      </c>
      <c r="L2719" t="str">
        <f>_xlfn.XLOOKUP(C2719, Table2[Species],Table2[Genus], "Code Not Found")</f>
        <v>Acer</v>
      </c>
      <c r="M2719" t="str">
        <f>_xlfn.XLOOKUP(C2719, Table2[Species],Table2[Sp. Name], "Code Not Found")</f>
        <v>saccharum</v>
      </c>
      <c r="N2719" t="str">
        <f>_xlfn.XLOOKUP(C2719,Table2[Species],Table2[Family],"Code Not Found")</f>
        <v>Sapindaceae</v>
      </c>
      <c r="O2719" t="str" cm="1">
        <f t="array" ref="O2719">_xlfn.IFS(F2719="","",F2719&lt;=5,"0 to 5",F2719&lt;=10,"5.1 to 10",F2719&lt;=20,"10 to 20", F2719&lt;= 40, "20 to 40", F2719 &lt;= 50, "40 to 50", F2719 &gt; 50, "&gt;50" )</f>
        <v>5.1 to 10</v>
      </c>
    </row>
    <row r="2720" spans="1:15" ht="15" customHeight="1" x14ac:dyDescent="0.3">
      <c r="A2720" t="s">
        <v>566</v>
      </c>
      <c r="B2720" s="1">
        <v>46217</v>
      </c>
      <c r="C2720" t="s">
        <v>16</v>
      </c>
      <c r="D2720">
        <v>2522</v>
      </c>
      <c r="E2720">
        <v>1</v>
      </c>
      <c r="F2720">
        <v>4.5</v>
      </c>
      <c r="G2720" t="s">
        <v>47</v>
      </c>
      <c r="I2720" t="str">
        <f>D2720&amp;"_"&amp;E2720</f>
        <v>2522_1</v>
      </c>
      <c r="J2720" t="s">
        <v>533</v>
      </c>
      <c r="K2720" t="s">
        <v>115</v>
      </c>
      <c r="L2720" t="str">
        <f>_xlfn.XLOOKUP(C2720, Table2[Species],Table2[Genus], "Code Not Found")</f>
        <v>Acer</v>
      </c>
      <c r="M2720" t="str">
        <f>_xlfn.XLOOKUP(C2720, Table2[Species],Table2[Sp. Name], "Code Not Found")</f>
        <v>saccharum</v>
      </c>
      <c r="N2720" t="str">
        <f>_xlfn.XLOOKUP(C2720,Table2[Species],Table2[Family],"Code Not Found")</f>
        <v>Sapindaceae</v>
      </c>
      <c r="O2720" t="str" cm="1">
        <f t="array" ref="O2720">_xlfn.IFS(F2720="","",F2720&lt;=5,"0 to 5",F2720&lt;=10,"5.1 to 10",F2720&lt;=20,"10 to 20", F2720&lt;= 40, "20 to 40", F2720 &lt;= 50, "40 to 50", F2720 &gt; 50, "&gt;50" )</f>
        <v>0 to 5</v>
      </c>
    </row>
    <row r="2721" spans="1:15" ht="15" customHeight="1" x14ac:dyDescent="0.3">
      <c r="A2721" t="s">
        <v>566</v>
      </c>
      <c r="B2721" s="1">
        <v>46217</v>
      </c>
      <c r="C2721" t="s">
        <v>16</v>
      </c>
      <c r="D2721">
        <v>2523</v>
      </c>
      <c r="E2721">
        <v>1</v>
      </c>
      <c r="F2721">
        <v>5.3</v>
      </c>
      <c r="G2721" t="s">
        <v>17</v>
      </c>
      <c r="I2721" t="str">
        <f t="shared" ref="I2721:I2784" si="46">D2721&amp;"_"&amp;E2721</f>
        <v>2523_1</v>
      </c>
      <c r="J2721" t="s">
        <v>533</v>
      </c>
      <c r="K2721" t="s">
        <v>115</v>
      </c>
      <c r="L2721" t="str">
        <f>_xlfn.XLOOKUP(C2721, Table2[Species],Table2[Genus], "Code Not Found")</f>
        <v>Acer</v>
      </c>
      <c r="M2721" t="str">
        <f>_xlfn.XLOOKUP(C2721, Table2[Species],Table2[Sp. Name], "Code Not Found")</f>
        <v>saccharum</v>
      </c>
      <c r="N2721" t="str">
        <f>_xlfn.XLOOKUP(C2721,Table2[Species],Table2[Family],"Code Not Found")</f>
        <v>Sapindaceae</v>
      </c>
      <c r="O2721" t="str" cm="1">
        <f t="array" ref="O2721">_xlfn.IFS(F2721="","",F2721&lt;=5,"0 to 5",F2721&lt;=10,"5.1 to 10",F2721&lt;=20,"10 to 20", F2721&lt;= 40, "20 to 40", F2721 &lt;= 50, "40 to 50", F2721 &gt; 50, "&gt;50" )</f>
        <v>5.1 to 10</v>
      </c>
    </row>
    <row r="2722" spans="1:15" ht="15" customHeight="1" x14ac:dyDescent="0.3">
      <c r="A2722" t="s">
        <v>566</v>
      </c>
      <c r="B2722" s="1">
        <v>46217</v>
      </c>
      <c r="C2722" t="s">
        <v>16</v>
      </c>
      <c r="D2722">
        <v>2524</v>
      </c>
      <c r="E2722">
        <v>1</v>
      </c>
      <c r="F2722">
        <v>7.1</v>
      </c>
      <c r="G2722" t="s">
        <v>17</v>
      </c>
      <c r="I2722" t="str">
        <f t="shared" si="46"/>
        <v>2524_1</v>
      </c>
      <c r="J2722" t="s">
        <v>533</v>
      </c>
      <c r="K2722" t="s">
        <v>115</v>
      </c>
      <c r="L2722" t="str">
        <f>_xlfn.XLOOKUP(C2722, Table2[Species],Table2[Genus], "Code Not Found")</f>
        <v>Acer</v>
      </c>
      <c r="M2722" t="str">
        <f>_xlfn.XLOOKUP(C2722, Table2[Species],Table2[Sp. Name], "Code Not Found")</f>
        <v>saccharum</v>
      </c>
      <c r="N2722" t="str">
        <f>_xlfn.XLOOKUP(C2722,Table2[Species],Table2[Family],"Code Not Found")</f>
        <v>Sapindaceae</v>
      </c>
      <c r="O2722" t="str" cm="1">
        <f t="array" ref="O2722">_xlfn.IFS(F2722="","",F2722&lt;=5,"0 to 5",F2722&lt;=10,"5.1 to 10",F2722&lt;=20,"10 to 20", F2722&lt;= 40, "20 to 40", F2722 &lt;= 50, "40 to 50", F2722 &gt; 50, "&gt;50" )</f>
        <v>5.1 to 10</v>
      </c>
    </row>
    <row r="2723" spans="1:15" ht="15" customHeight="1" x14ac:dyDescent="0.3">
      <c r="A2723" t="s">
        <v>566</v>
      </c>
      <c r="B2723" s="1">
        <v>46217</v>
      </c>
      <c r="C2723" t="s">
        <v>16</v>
      </c>
      <c r="D2723">
        <v>2525</v>
      </c>
      <c r="E2723">
        <v>1</v>
      </c>
      <c r="F2723">
        <v>13.3</v>
      </c>
      <c r="G2723" t="s">
        <v>21</v>
      </c>
      <c r="I2723" t="str">
        <f t="shared" si="46"/>
        <v>2525_1</v>
      </c>
      <c r="J2723" t="s">
        <v>533</v>
      </c>
      <c r="K2723" t="s">
        <v>115</v>
      </c>
      <c r="L2723" t="str">
        <f>_xlfn.XLOOKUP(C2723, Table2[Species],Table2[Genus], "Code Not Found")</f>
        <v>Acer</v>
      </c>
      <c r="M2723" t="str">
        <f>_xlfn.XLOOKUP(C2723, Table2[Species],Table2[Sp. Name], "Code Not Found")</f>
        <v>saccharum</v>
      </c>
      <c r="N2723" t="str">
        <f>_xlfn.XLOOKUP(C2723,Table2[Species],Table2[Family],"Code Not Found")</f>
        <v>Sapindaceae</v>
      </c>
      <c r="O2723" t="str" cm="1">
        <f t="array" ref="O2723">_xlfn.IFS(F2723="","",F2723&lt;=5,"0 to 5",F2723&lt;=10,"5.1 to 10",F2723&lt;=20,"10 to 20", F2723&lt;= 40, "20 to 40", F2723 &lt;= 50, "40 to 50", F2723 &gt; 50, "&gt;50" )</f>
        <v>10 to 20</v>
      </c>
    </row>
    <row r="2724" spans="1:15" ht="15" customHeight="1" x14ac:dyDescent="0.3">
      <c r="A2724" t="s">
        <v>566</v>
      </c>
      <c r="B2724" s="1">
        <v>46217</v>
      </c>
      <c r="C2724" t="s">
        <v>16</v>
      </c>
      <c r="D2724">
        <v>2526</v>
      </c>
      <c r="E2724">
        <v>1</v>
      </c>
      <c r="F2724">
        <v>5.0999999999999996</v>
      </c>
      <c r="G2724" t="s">
        <v>88</v>
      </c>
      <c r="H2724" t="s">
        <v>99</v>
      </c>
      <c r="I2724" t="str">
        <f t="shared" si="46"/>
        <v>2526_1</v>
      </c>
      <c r="J2724" t="s">
        <v>533</v>
      </c>
      <c r="K2724" t="s">
        <v>115</v>
      </c>
      <c r="L2724" t="str">
        <f>_xlfn.XLOOKUP(C2724, Table2[Species],Table2[Genus], "Code Not Found")</f>
        <v>Acer</v>
      </c>
      <c r="M2724" t="str">
        <f>_xlfn.XLOOKUP(C2724, Table2[Species],Table2[Sp. Name], "Code Not Found")</f>
        <v>saccharum</v>
      </c>
      <c r="N2724" t="str">
        <f>_xlfn.XLOOKUP(C2724,Table2[Species],Table2[Family],"Code Not Found")</f>
        <v>Sapindaceae</v>
      </c>
      <c r="O2724" t="str" cm="1">
        <f t="array" ref="O2724">_xlfn.IFS(F2724="","",F2724&lt;=5,"0 to 5",F2724&lt;=10,"5.1 to 10",F2724&lt;=20,"10 to 20", F2724&lt;= 40, "20 to 40", F2724 &lt;= 50, "40 to 50", F2724 &gt; 50, "&gt;50" )</f>
        <v>5.1 to 10</v>
      </c>
    </row>
    <row r="2725" spans="1:15" ht="15" customHeight="1" x14ac:dyDescent="0.3">
      <c r="A2725" t="s">
        <v>566</v>
      </c>
      <c r="B2725" s="1">
        <v>46217</v>
      </c>
      <c r="C2725" t="s">
        <v>16</v>
      </c>
      <c r="D2725">
        <v>2527</v>
      </c>
      <c r="E2725">
        <v>1</v>
      </c>
      <c r="F2725">
        <v>13</v>
      </c>
      <c r="G2725" t="s">
        <v>47</v>
      </c>
      <c r="H2725" t="s">
        <v>347</v>
      </c>
      <c r="I2725" t="str">
        <f t="shared" si="46"/>
        <v>2527_1</v>
      </c>
      <c r="J2725" t="s">
        <v>533</v>
      </c>
      <c r="K2725" t="s">
        <v>115</v>
      </c>
      <c r="L2725" t="str">
        <f>_xlfn.XLOOKUP(C2725, Table2[Species],Table2[Genus], "Code Not Found")</f>
        <v>Acer</v>
      </c>
      <c r="M2725" t="str">
        <f>_xlfn.XLOOKUP(C2725, Table2[Species],Table2[Sp. Name], "Code Not Found")</f>
        <v>saccharum</v>
      </c>
      <c r="N2725" t="str">
        <f>_xlfn.XLOOKUP(C2725,Table2[Species],Table2[Family],"Code Not Found")</f>
        <v>Sapindaceae</v>
      </c>
      <c r="O2725" t="str" cm="1">
        <f t="array" ref="O2725">_xlfn.IFS(F2725="","",F2725&lt;=5,"0 to 5",F2725&lt;=10,"5.1 to 10",F2725&lt;=20,"10 to 20", F2725&lt;= 40, "20 to 40", F2725 &lt;= 50, "40 to 50", F2725 &gt; 50, "&gt;50" )</f>
        <v>10 to 20</v>
      </c>
    </row>
    <row r="2726" spans="1:15" ht="15" customHeight="1" x14ac:dyDescent="0.3">
      <c r="A2726" t="s">
        <v>566</v>
      </c>
      <c r="B2726" s="1">
        <v>46217</v>
      </c>
      <c r="C2726" t="s">
        <v>16</v>
      </c>
      <c r="D2726">
        <v>2528</v>
      </c>
      <c r="E2726">
        <v>1</v>
      </c>
      <c r="F2726">
        <v>26</v>
      </c>
      <c r="G2726" t="s">
        <v>21</v>
      </c>
      <c r="I2726" t="str">
        <f t="shared" si="46"/>
        <v>2528_1</v>
      </c>
      <c r="J2726" t="s">
        <v>533</v>
      </c>
      <c r="K2726" t="s">
        <v>115</v>
      </c>
      <c r="L2726" t="str">
        <f>_xlfn.XLOOKUP(C2726, Table2[Species],Table2[Genus], "Code Not Found")</f>
        <v>Acer</v>
      </c>
      <c r="M2726" t="str">
        <f>_xlfn.XLOOKUP(C2726, Table2[Species],Table2[Sp. Name], "Code Not Found")</f>
        <v>saccharum</v>
      </c>
      <c r="N2726" t="str">
        <f>_xlfn.XLOOKUP(C2726,Table2[Species],Table2[Family],"Code Not Found")</f>
        <v>Sapindaceae</v>
      </c>
      <c r="O2726" t="str" cm="1">
        <f t="array" ref="O2726">_xlfn.IFS(F2726="","",F2726&lt;=5,"0 to 5",F2726&lt;=10,"5.1 to 10",F2726&lt;=20,"10 to 20", F2726&lt;= 40, "20 to 40", F2726 &lt;= 50, "40 to 50", F2726 &gt; 50, "&gt;50" )</f>
        <v>20 to 40</v>
      </c>
    </row>
    <row r="2727" spans="1:15" ht="15" customHeight="1" x14ac:dyDescent="0.3">
      <c r="A2727" t="s">
        <v>566</v>
      </c>
      <c r="B2727" s="1">
        <v>46217</v>
      </c>
      <c r="C2727" t="s">
        <v>16</v>
      </c>
      <c r="D2727">
        <v>2529</v>
      </c>
      <c r="E2727">
        <v>1</v>
      </c>
      <c r="F2727">
        <v>6.2</v>
      </c>
      <c r="G2727" t="s">
        <v>21</v>
      </c>
      <c r="I2727" t="str">
        <f t="shared" si="46"/>
        <v>2529_1</v>
      </c>
      <c r="J2727" t="s">
        <v>533</v>
      </c>
      <c r="K2727" t="s">
        <v>115</v>
      </c>
      <c r="L2727" t="str">
        <f>_xlfn.XLOOKUP(C2727, Table2[Species],Table2[Genus], "Code Not Found")</f>
        <v>Acer</v>
      </c>
      <c r="M2727" t="str">
        <f>_xlfn.XLOOKUP(C2727, Table2[Species],Table2[Sp. Name], "Code Not Found")</f>
        <v>saccharum</v>
      </c>
      <c r="N2727" t="str">
        <f>_xlfn.XLOOKUP(C2727,Table2[Species],Table2[Family],"Code Not Found")</f>
        <v>Sapindaceae</v>
      </c>
      <c r="O2727" t="str" cm="1">
        <f t="array" ref="O2727">_xlfn.IFS(F2727="","",F2727&lt;=5,"0 to 5",F2727&lt;=10,"5.1 to 10",F2727&lt;=20,"10 to 20", F2727&lt;= 40, "20 to 40", F2727 &lt;= 50, "40 to 50", F2727 &gt; 50, "&gt;50" )</f>
        <v>5.1 to 10</v>
      </c>
    </row>
    <row r="2728" spans="1:15" ht="15" customHeight="1" x14ac:dyDescent="0.3">
      <c r="A2728" t="s">
        <v>566</v>
      </c>
      <c r="B2728" s="1">
        <v>46217</v>
      </c>
      <c r="C2728" t="s">
        <v>16</v>
      </c>
      <c r="D2728">
        <v>2530</v>
      </c>
      <c r="E2728">
        <v>1</v>
      </c>
      <c r="F2728">
        <v>6.9</v>
      </c>
      <c r="G2728" t="s">
        <v>139</v>
      </c>
      <c r="H2728" t="s">
        <v>561</v>
      </c>
      <c r="I2728" t="str">
        <f t="shared" si="46"/>
        <v>2530_1</v>
      </c>
      <c r="J2728" t="s">
        <v>533</v>
      </c>
      <c r="K2728" t="s">
        <v>115</v>
      </c>
      <c r="L2728" t="str">
        <f>_xlfn.XLOOKUP(C2728, Table2[Species],Table2[Genus], "Code Not Found")</f>
        <v>Acer</v>
      </c>
      <c r="M2728" t="str">
        <f>_xlfn.XLOOKUP(C2728, Table2[Species],Table2[Sp. Name], "Code Not Found")</f>
        <v>saccharum</v>
      </c>
      <c r="N2728" t="str">
        <f>_xlfn.XLOOKUP(C2728,Table2[Species],Table2[Family],"Code Not Found")</f>
        <v>Sapindaceae</v>
      </c>
      <c r="O2728" t="str" cm="1">
        <f t="array" ref="O2728">_xlfn.IFS(F2728="","",F2728&lt;=5,"0 to 5",F2728&lt;=10,"5.1 to 10",F2728&lt;=20,"10 to 20", F2728&lt;= 40, "20 to 40", F2728 &lt;= 50, "40 to 50", F2728 &gt; 50, "&gt;50" )</f>
        <v>5.1 to 10</v>
      </c>
    </row>
    <row r="2729" spans="1:15" ht="15" customHeight="1" x14ac:dyDescent="0.3">
      <c r="A2729" t="s">
        <v>566</v>
      </c>
      <c r="B2729" s="1">
        <v>46217</v>
      </c>
      <c r="C2729" t="s">
        <v>22</v>
      </c>
      <c r="D2729">
        <v>2531</v>
      </c>
      <c r="E2729">
        <v>1</v>
      </c>
      <c r="F2729">
        <v>36.1</v>
      </c>
      <c r="G2729" t="s">
        <v>21</v>
      </c>
      <c r="I2729" t="str">
        <f t="shared" si="46"/>
        <v>2531_1</v>
      </c>
      <c r="J2729" t="s">
        <v>533</v>
      </c>
      <c r="K2729" t="s">
        <v>115</v>
      </c>
      <c r="L2729" t="str">
        <f>_xlfn.XLOOKUP(C2729, Table2[Species],Table2[Genus], "Code Not Found")</f>
        <v>Acer</v>
      </c>
      <c r="M2729" t="str">
        <f>_xlfn.XLOOKUP(C2729, Table2[Species],Table2[Sp. Name], "Code Not Found")</f>
        <v>rubrum</v>
      </c>
      <c r="N2729" t="str">
        <f>_xlfn.XLOOKUP(C2729,Table2[Species],Table2[Family],"Code Not Found")</f>
        <v>Sapindaceae</v>
      </c>
      <c r="O2729" t="str" cm="1">
        <f t="array" ref="O2729">_xlfn.IFS(F2729="","",F2729&lt;=5,"0 to 5",F2729&lt;=10,"5.1 to 10",F2729&lt;=20,"10 to 20", F2729&lt;= 40, "20 to 40", F2729 &lt;= 50, "40 to 50", F2729 &gt; 50, "&gt;50" )</f>
        <v>20 to 40</v>
      </c>
    </row>
    <row r="2730" spans="1:15" ht="15" customHeight="1" x14ac:dyDescent="0.3">
      <c r="A2730" t="s">
        <v>566</v>
      </c>
      <c r="B2730" s="1">
        <v>46217</v>
      </c>
      <c r="C2730" t="s">
        <v>16</v>
      </c>
      <c r="D2730">
        <v>2532</v>
      </c>
      <c r="E2730">
        <v>1</v>
      </c>
      <c r="F2730">
        <v>10.9</v>
      </c>
      <c r="G2730" t="s">
        <v>17</v>
      </c>
      <c r="I2730" t="str">
        <f t="shared" si="46"/>
        <v>2532_1</v>
      </c>
      <c r="J2730" t="s">
        <v>533</v>
      </c>
      <c r="K2730" t="s">
        <v>115</v>
      </c>
      <c r="L2730" t="str">
        <f>_xlfn.XLOOKUP(C2730, Table2[Species],Table2[Genus], "Code Not Found")</f>
        <v>Acer</v>
      </c>
      <c r="M2730" t="str">
        <f>_xlfn.XLOOKUP(C2730, Table2[Species],Table2[Sp. Name], "Code Not Found")</f>
        <v>saccharum</v>
      </c>
      <c r="N2730" t="str">
        <f>_xlfn.XLOOKUP(C2730,Table2[Species],Table2[Family],"Code Not Found")</f>
        <v>Sapindaceae</v>
      </c>
      <c r="O2730" t="str" cm="1">
        <f t="array" ref="O2730">_xlfn.IFS(F2730="","",F2730&lt;=5,"0 to 5",F2730&lt;=10,"5.1 to 10",F2730&lt;=20,"10 to 20", F2730&lt;= 40, "20 to 40", F2730 &lt;= 50, "40 to 50", F2730 &gt; 50, "&gt;50" )</f>
        <v>10 to 20</v>
      </c>
    </row>
    <row r="2731" spans="1:15" ht="15" customHeight="1" x14ac:dyDescent="0.3">
      <c r="A2731" t="s">
        <v>566</v>
      </c>
      <c r="B2731" s="1">
        <v>46217</v>
      </c>
      <c r="C2731" t="s">
        <v>16</v>
      </c>
      <c r="D2731">
        <v>2533</v>
      </c>
      <c r="E2731">
        <v>1</v>
      </c>
      <c r="F2731">
        <v>4.2</v>
      </c>
      <c r="G2731" t="s">
        <v>47</v>
      </c>
      <c r="H2731" t="s">
        <v>347</v>
      </c>
      <c r="I2731" t="str">
        <f t="shared" si="46"/>
        <v>2533_1</v>
      </c>
      <c r="J2731" t="s">
        <v>533</v>
      </c>
      <c r="K2731" t="s">
        <v>115</v>
      </c>
      <c r="L2731" t="str">
        <f>_xlfn.XLOOKUP(C2731, Table2[Species],Table2[Genus], "Code Not Found")</f>
        <v>Acer</v>
      </c>
      <c r="M2731" t="str">
        <f>_xlfn.XLOOKUP(C2731, Table2[Species],Table2[Sp. Name], "Code Not Found")</f>
        <v>saccharum</v>
      </c>
      <c r="N2731" t="str">
        <f>_xlfn.XLOOKUP(C2731,Table2[Species],Table2[Family],"Code Not Found")</f>
        <v>Sapindaceae</v>
      </c>
      <c r="O2731" t="str" cm="1">
        <f t="array" ref="O2731">_xlfn.IFS(F2731="","",F2731&lt;=5,"0 to 5",F2731&lt;=10,"5.1 to 10",F2731&lt;=20,"10 to 20", F2731&lt;= 40, "20 to 40", F2731 &lt;= 50, "40 to 50", F2731 &gt; 50, "&gt;50" )</f>
        <v>0 to 5</v>
      </c>
    </row>
    <row r="2732" spans="1:15" ht="15" customHeight="1" x14ac:dyDescent="0.3">
      <c r="A2732" t="s">
        <v>566</v>
      </c>
      <c r="B2732" s="1">
        <v>46217</v>
      </c>
      <c r="C2732" t="s">
        <v>16</v>
      </c>
      <c r="D2732">
        <v>2534</v>
      </c>
      <c r="E2732">
        <v>1</v>
      </c>
      <c r="F2732">
        <v>29.1</v>
      </c>
      <c r="G2732" t="s">
        <v>17</v>
      </c>
      <c r="I2732" t="str">
        <f t="shared" si="46"/>
        <v>2534_1</v>
      </c>
      <c r="J2732" t="s">
        <v>533</v>
      </c>
      <c r="K2732" t="s">
        <v>115</v>
      </c>
      <c r="L2732" t="str">
        <f>_xlfn.XLOOKUP(C2732, Table2[Species],Table2[Genus], "Code Not Found")</f>
        <v>Acer</v>
      </c>
      <c r="M2732" t="str">
        <f>_xlfn.XLOOKUP(C2732, Table2[Species],Table2[Sp. Name], "Code Not Found")</f>
        <v>saccharum</v>
      </c>
      <c r="N2732" t="str">
        <f>_xlfn.XLOOKUP(C2732,Table2[Species],Table2[Family],"Code Not Found")</f>
        <v>Sapindaceae</v>
      </c>
      <c r="O2732" t="str" cm="1">
        <f t="array" ref="O2732">_xlfn.IFS(F2732="","",F2732&lt;=5,"0 to 5",F2732&lt;=10,"5.1 to 10",F2732&lt;=20,"10 to 20", F2732&lt;= 40, "20 to 40", F2732 &lt;= 50, "40 to 50", F2732 &gt; 50, "&gt;50" )</f>
        <v>20 to 40</v>
      </c>
    </row>
    <row r="2733" spans="1:15" ht="15" customHeight="1" x14ac:dyDescent="0.3">
      <c r="A2733" t="s">
        <v>566</v>
      </c>
      <c r="B2733" s="1">
        <v>46217</v>
      </c>
      <c r="C2733" t="s">
        <v>16</v>
      </c>
      <c r="D2733">
        <v>2535</v>
      </c>
      <c r="E2733">
        <v>1</v>
      </c>
      <c r="F2733">
        <v>13.2</v>
      </c>
      <c r="G2733" t="s">
        <v>17</v>
      </c>
      <c r="I2733" t="str">
        <f t="shared" si="46"/>
        <v>2535_1</v>
      </c>
      <c r="J2733" t="s">
        <v>533</v>
      </c>
      <c r="K2733" t="s">
        <v>115</v>
      </c>
      <c r="L2733" t="str">
        <f>_xlfn.XLOOKUP(C2733, Table2[Species],Table2[Genus], "Code Not Found")</f>
        <v>Acer</v>
      </c>
      <c r="M2733" t="str">
        <f>_xlfn.XLOOKUP(C2733, Table2[Species],Table2[Sp. Name], "Code Not Found")</f>
        <v>saccharum</v>
      </c>
      <c r="N2733" t="str">
        <f>_xlfn.XLOOKUP(C2733,Table2[Species],Table2[Family],"Code Not Found")</f>
        <v>Sapindaceae</v>
      </c>
      <c r="O2733" t="str" cm="1">
        <f t="array" ref="O2733">_xlfn.IFS(F2733="","",F2733&lt;=5,"0 to 5",F2733&lt;=10,"5.1 to 10",F2733&lt;=20,"10 to 20", F2733&lt;= 40, "20 to 40", F2733 &lt;= 50, "40 to 50", F2733 &gt; 50, "&gt;50" )</f>
        <v>10 to 20</v>
      </c>
    </row>
    <row r="2734" spans="1:15" ht="15" customHeight="1" x14ac:dyDescent="0.3">
      <c r="A2734" t="s">
        <v>566</v>
      </c>
      <c r="B2734" s="1">
        <v>46217</v>
      </c>
      <c r="C2734" t="s">
        <v>16</v>
      </c>
      <c r="D2734">
        <v>2536</v>
      </c>
      <c r="E2734">
        <v>1</v>
      </c>
      <c r="F2734">
        <v>4.3</v>
      </c>
      <c r="G2734" t="s">
        <v>17</v>
      </c>
      <c r="H2734" t="s">
        <v>36</v>
      </c>
      <c r="I2734" t="str">
        <f t="shared" si="46"/>
        <v>2536_1</v>
      </c>
      <c r="J2734" t="s">
        <v>533</v>
      </c>
      <c r="K2734" t="s">
        <v>115</v>
      </c>
      <c r="L2734" t="str">
        <f>_xlfn.XLOOKUP(C2734, Table2[Species],Table2[Genus], "Code Not Found")</f>
        <v>Acer</v>
      </c>
      <c r="M2734" t="str">
        <f>_xlfn.XLOOKUP(C2734, Table2[Species],Table2[Sp. Name], "Code Not Found")</f>
        <v>saccharum</v>
      </c>
      <c r="N2734" t="str">
        <f>_xlfn.XLOOKUP(C2734,Table2[Species],Table2[Family],"Code Not Found")</f>
        <v>Sapindaceae</v>
      </c>
      <c r="O2734" t="str" cm="1">
        <f t="array" ref="O2734">_xlfn.IFS(F2734="","",F2734&lt;=5,"0 to 5",F2734&lt;=10,"5.1 to 10",F2734&lt;=20,"10 to 20", F2734&lt;= 40, "20 to 40", F2734 &lt;= 50, "40 to 50", F2734 &gt; 50, "&gt;50" )</f>
        <v>0 to 5</v>
      </c>
    </row>
    <row r="2735" spans="1:15" ht="15" customHeight="1" x14ac:dyDescent="0.3">
      <c r="A2735" t="s">
        <v>566</v>
      </c>
      <c r="B2735" s="1">
        <v>46217</v>
      </c>
      <c r="C2735" t="s">
        <v>16</v>
      </c>
      <c r="D2735">
        <v>2537</v>
      </c>
      <c r="E2735">
        <v>1</v>
      </c>
      <c r="F2735">
        <v>26.9</v>
      </c>
      <c r="G2735" t="s">
        <v>420</v>
      </c>
      <c r="H2735" t="s">
        <v>544</v>
      </c>
      <c r="I2735" t="str">
        <f t="shared" si="46"/>
        <v>2537_1</v>
      </c>
      <c r="J2735" t="s">
        <v>533</v>
      </c>
      <c r="K2735" t="s">
        <v>115</v>
      </c>
      <c r="L2735" t="str">
        <f>_xlfn.XLOOKUP(C2735, Table2[Species],Table2[Genus], "Code Not Found")</f>
        <v>Acer</v>
      </c>
      <c r="M2735" t="str">
        <f>_xlfn.XLOOKUP(C2735, Table2[Species],Table2[Sp. Name], "Code Not Found")</f>
        <v>saccharum</v>
      </c>
      <c r="N2735" t="str">
        <f>_xlfn.XLOOKUP(C2735,Table2[Species],Table2[Family],"Code Not Found")</f>
        <v>Sapindaceae</v>
      </c>
      <c r="O2735" t="str" cm="1">
        <f t="array" ref="O2735">_xlfn.IFS(F2735="","",F2735&lt;=5,"0 to 5",F2735&lt;=10,"5.1 to 10",F2735&lt;=20,"10 to 20", F2735&lt;= 40, "20 to 40", F2735 &lt;= 50, "40 to 50", F2735 &gt; 50, "&gt;50" )</f>
        <v>20 to 40</v>
      </c>
    </row>
    <row r="2736" spans="1:15" ht="15" customHeight="1" x14ac:dyDescent="0.3">
      <c r="A2736" t="s">
        <v>566</v>
      </c>
      <c r="B2736" s="1">
        <v>46217</v>
      </c>
      <c r="C2736" t="s">
        <v>22</v>
      </c>
      <c r="D2736">
        <v>2538</v>
      </c>
      <c r="E2736">
        <v>1</v>
      </c>
      <c r="F2736">
        <v>25.1</v>
      </c>
      <c r="G2736" t="s">
        <v>21</v>
      </c>
      <c r="I2736" t="str">
        <f t="shared" si="46"/>
        <v>2538_1</v>
      </c>
      <c r="J2736" t="s">
        <v>533</v>
      </c>
      <c r="K2736" t="s">
        <v>115</v>
      </c>
      <c r="L2736" t="str">
        <f>_xlfn.XLOOKUP(C2736, Table2[Species],Table2[Genus], "Code Not Found")</f>
        <v>Acer</v>
      </c>
      <c r="M2736" t="str">
        <f>_xlfn.XLOOKUP(C2736, Table2[Species],Table2[Sp. Name], "Code Not Found")</f>
        <v>rubrum</v>
      </c>
      <c r="N2736" t="str">
        <f>_xlfn.XLOOKUP(C2736,Table2[Species],Table2[Family],"Code Not Found")</f>
        <v>Sapindaceae</v>
      </c>
      <c r="O2736" t="str" cm="1">
        <f t="array" ref="O2736">_xlfn.IFS(F2736="","",F2736&lt;=5,"0 to 5",F2736&lt;=10,"5.1 to 10",F2736&lt;=20,"10 to 20", F2736&lt;= 40, "20 to 40", F2736 &lt;= 50, "40 to 50", F2736 &gt; 50, "&gt;50" )</f>
        <v>20 to 40</v>
      </c>
    </row>
    <row r="2737" spans="1:15" ht="15" customHeight="1" x14ac:dyDescent="0.3">
      <c r="A2737" t="s">
        <v>566</v>
      </c>
      <c r="B2737" s="1">
        <v>46217</v>
      </c>
      <c r="C2737" t="s">
        <v>16</v>
      </c>
      <c r="D2737">
        <v>2539</v>
      </c>
      <c r="E2737">
        <v>1</v>
      </c>
      <c r="F2737">
        <v>8.8000000000000007</v>
      </c>
      <c r="G2737" t="s">
        <v>505</v>
      </c>
      <c r="H2737" t="s">
        <v>567</v>
      </c>
      <c r="I2737" t="str">
        <f t="shared" si="46"/>
        <v>2539_1</v>
      </c>
      <c r="J2737" t="s">
        <v>533</v>
      </c>
      <c r="K2737" t="s">
        <v>115</v>
      </c>
      <c r="L2737" t="str">
        <f>_xlfn.XLOOKUP(C2737, Table2[Species],Table2[Genus], "Code Not Found")</f>
        <v>Acer</v>
      </c>
      <c r="M2737" t="str">
        <f>_xlfn.XLOOKUP(C2737, Table2[Species],Table2[Sp. Name], "Code Not Found")</f>
        <v>saccharum</v>
      </c>
      <c r="N2737" t="str">
        <f>_xlfn.XLOOKUP(C2737,Table2[Species],Table2[Family],"Code Not Found")</f>
        <v>Sapindaceae</v>
      </c>
      <c r="O2737" t="str" cm="1">
        <f t="array" ref="O2737">_xlfn.IFS(F2737="","",F2737&lt;=5,"0 to 5",F2737&lt;=10,"5.1 to 10",F2737&lt;=20,"10 to 20", F2737&lt;= 40, "20 to 40", F2737 &lt;= 50, "40 to 50", F2737 &gt; 50, "&gt;50" )</f>
        <v>5.1 to 10</v>
      </c>
    </row>
    <row r="2738" spans="1:15" ht="15" customHeight="1" x14ac:dyDescent="0.3">
      <c r="A2738" t="s">
        <v>566</v>
      </c>
      <c r="B2738" s="1">
        <v>46217</v>
      </c>
      <c r="C2738" t="s">
        <v>16</v>
      </c>
      <c r="D2738">
        <v>2540</v>
      </c>
      <c r="E2738">
        <v>1</v>
      </c>
      <c r="F2738">
        <v>3.5</v>
      </c>
      <c r="G2738" t="s">
        <v>47</v>
      </c>
      <c r="H2738" t="s">
        <v>357</v>
      </c>
      <c r="I2738" t="str">
        <f t="shared" si="46"/>
        <v>2540_1</v>
      </c>
      <c r="J2738" t="s">
        <v>533</v>
      </c>
      <c r="K2738" t="s">
        <v>115</v>
      </c>
      <c r="L2738" t="str">
        <f>_xlfn.XLOOKUP(C2738, Table2[Species],Table2[Genus], "Code Not Found")</f>
        <v>Acer</v>
      </c>
      <c r="M2738" t="str">
        <f>_xlfn.XLOOKUP(C2738, Table2[Species],Table2[Sp. Name], "Code Not Found")</f>
        <v>saccharum</v>
      </c>
      <c r="N2738" t="str">
        <f>_xlfn.XLOOKUP(C2738,Table2[Species],Table2[Family],"Code Not Found")</f>
        <v>Sapindaceae</v>
      </c>
      <c r="O2738" t="str" cm="1">
        <f t="array" ref="O2738">_xlfn.IFS(F2738="","",F2738&lt;=5,"0 to 5",F2738&lt;=10,"5.1 to 10",F2738&lt;=20,"10 to 20", F2738&lt;= 40, "20 to 40", F2738 &lt;= 50, "40 to 50", F2738 &gt; 50, "&gt;50" )</f>
        <v>0 to 5</v>
      </c>
    </row>
    <row r="2739" spans="1:15" ht="15" customHeight="1" x14ac:dyDescent="0.3">
      <c r="A2739" t="s">
        <v>566</v>
      </c>
      <c r="B2739" s="1">
        <v>46217</v>
      </c>
      <c r="C2739" t="s">
        <v>16</v>
      </c>
      <c r="D2739">
        <v>2541</v>
      </c>
      <c r="E2739">
        <v>1</v>
      </c>
      <c r="F2739">
        <v>5.2</v>
      </c>
      <c r="G2739" t="s">
        <v>47</v>
      </c>
      <c r="H2739" t="s">
        <v>347</v>
      </c>
      <c r="I2739" t="str">
        <f t="shared" si="46"/>
        <v>2541_1</v>
      </c>
      <c r="J2739" t="s">
        <v>533</v>
      </c>
      <c r="K2739" t="s">
        <v>115</v>
      </c>
      <c r="L2739" t="str">
        <f>_xlfn.XLOOKUP(C2739, Table2[Species],Table2[Genus], "Code Not Found")</f>
        <v>Acer</v>
      </c>
      <c r="M2739" t="str">
        <f>_xlfn.XLOOKUP(C2739, Table2[Species],Table2[Sp. Name], "Code Not Found")</f>
        <v>saccharum</v>
      </c>
      <c r="N2739" t="str">
        <f>_xlfn.XLOOKUP(C2739,Table2[Species],Table2[Family],"Code Not Found")</f>
        <v>Sapindaceae</v>
      </c>
      <c r="O2739" t="str" cm="1">
        <f t="array" ref="O2739">_xlfn.IFS(F2739="","",F2739&lt;=5,"0 to 5",F2739&lt;=10,"5.1 to 10",F2739&lt;=20,"10 to 20", F2739&lt;= 40, "20 to 40", F2739 &lt;= 50, "40 to 50", F2739 &gt; 50, "&gt;50" )</f>
        <v>5.1 to 10</v>
      </c>
    </row>
    <row r="2740" spans="1:15" ht="15" customHeight="1" x14ac:dyDescent="0.3">
      <c r="A2740" t="s">
        <v>566</v>
      </c>
      <c r="B2740" s="1">
        <v>46217</v>
      </c>
      <c r="C2740" t="s">
        <v>16</v>
      </c>
      <c r="D2740">
        <v>2542</v>
      </c>
      <c r="E2740">
        <v>1</v>
      </c>
      <c r="F2740">
        <v>7.5</v>
      </c>
      <c r="G2740" t="s">
        <v>47</v>
      </c>
      <c r="H2740" t="s">
        <v>568</v>
      </c>
      <c r="I2740" t="str">
        <f t="shared" si="46"/>
        <v>2542_1</v>
      </c>
      <c r="J2740" t="s">
        <v>533</v>
      </c>
      <c r="K2740" t="s">
        <v>115</v>
      </c>
      <c r="L2740" t="str">
        <f>_xlfn.XLOOKUP(C2740, Table2[Species],Table2[Genus], "Code Not Found")</f>
        <v>Acer</v>
      </c>
      <c r="M2740" t="str">
        <f>_xlfn.XLOOKUP(C2740, Table2[Species],Table2[Sp. Name], "Code Not Found")</f>
        <v>saccharum</v>
      </c>
      <c r="N2740" t="str">
        <f>_xlfn.XLOOKUP(C2740,Table2[Species],Table2[Family],"Code Not Found")</f>
        <v>Sapindaceae</v>
      </c>
      <c r="O2740" t="str" cm="1">
        <f t="array" ref="O2740">_xlfn.IFS(F2740="","",F2740&lt;=5,"0 to 5",F2740&lt;=10,"5.1 to 10",F2740&lt;=20,"10 to 20", F2740&lt;= 40, "20 to 40", F2740 &lt;= 50, "40 to 50", F2740 &gt; 50, "&gt;50" )</f>
        <v>5.1 to 10</v>
      </c>
    </row>
    <row r="2741" spans="1:15" ht="15" customHeight="1" x14ac:dyDescent="0.3">
      <c r="A2741" t="s">
        <v>566</v>
      </c>
      <c r="B2741" s="1">
        <v>46217</v>
      </c>
      <c r="C2741" t="s">
        <v>16</v>
      </c>
      <c r="D2741">
        <v>2543</v>
      </c>
      <c r="E2741">
        <v>1</v>
      </c>
      <c r="F2741">
        <v>3</v>
      </c>
      <c r="G2741" t="s">
        <v>47</v>
      </c>
      <c r="H2741" t="s">
        <v>347</v>
      </c>
      <c r="I2741" t="str">
        <f t="shared" si="46"/>
        <v>2543_1</v>
      </c>
      <c r="J2741" t="s">
        <v>533</v>
      </c>
      <c r="K2741" t="s">
        <v>115</v>
      </c>
      <c r="L2741" t="str">
        <f>_xlfn.XLOOKUP(C2741, Table2[Species],Table2[Genus], "Code Not Found")</f>
        <v>Acer</v>
      </c>
      <c r="M2741" t="str">
        <f>_xlfn.XLOOKUP(C2741, Table2[Species],Table2[Sp. Name], "Code Not Found")</f>
        <v>saccharum</v>
      </c>
      <c r="N2741" t="str">
        <f>_xlfn.XLOOKUP(C2741,Table2[Species],Table2[Family],"Code Not Found")</f>
        <v>Sapindaceae</v>
      </c>
      <c r="O2741" t="str" cm="1">
        <f t="array" ref="O2741">_xlfn.IFS(F2741="","",F2741&lt;=5,"0 to 5",F2741&lt;=10,"5.1 to 10",F2741&lt;=20,"10 to 20", F2741&lt;= 40, "20 to 40", F2741 &lt;= 50, "40 to 50", F2741 &gt; 50, "&gt;50" )</f>
        <v>0 to 5</v>
      </c>
    </row>
    <row r="2742" spans="1:15" ht="15" customHeight="1" x14ac:dyDescent="0.3">
      <c r="A2742" t="s">
        <v>566</v>
      </c>
      <c r="B2742" s="1">
        <v>46217</v>
      </c>
      <c r="C2742" t="s">
        <v>22</v>
      </c>
      <c r="D2742">
        <v>2544</v>
      </c>
      <c r="E2742">
        <v>1</v>
      </c>
      <c r="F2742">
        <v>33.799999999999997</v>
      </c>
      <c r="G2742" t="s">
        <v>21</v>
      </c>
      <c r="I2742" t="str">
        <f t="shared" si="46"/>
        <v>2544_1</v>
      </c>
      <c r="J2742" t="s">
        <v>533</v>
      </c>
      <c r="K2742" t="s">
        <v>115</v>
      </c>
      <c r="L2742" t="str">
        <f>_xlfn.XLOOKUP(C2742, Table2[Species],Table2[Genus], "Code Not Found")</f>
        <v>Acer</v>
      </c>
      <c r="M2742" t="str">
        <f>_xlfn.XLOOKUP(C2742, Table2[Species],Table2[Sp. Name], "Code Not Found")</f>
        <v>rubrum</v>
      </c>
      <c r="N2742" t="str">
        <f>_xlfn.XLOOKUP(C2742,Table2[Species],Table2[Family],"Code Not Found")</f>
        <v>Sapindaceae</v>
      </c>
      <c r="O2742" t="str" cm="1">
        <f t="array" ref="O2742">_xlfn.IFS(F2742="","",F2742&lt;=5,"0 to 5",F2742&lt;=10,"5.1 to 10",F2742&lt;=20,"10 to 20", F2742&lt;= 40, "20 to 40", F2742 &lt;= 50, "40 to 50", F2742 &gt; 50, "&gt;50" )</f>
        <v>20 to 40</v>
      </c>
    </row>
    <row r="2743" spans="1:15" ht="15" customHeight="1" x14ac:dyDescent="0.3">
      <c r="A2743" t="s">
        <v>566</v>
      </c>
      <c r="B2743" s="1">
        <v>46217</v>
      </c>
      <c r="C2743" t="s">
        <v>16</v>
      </c>
      <c r="D2743">
        <v>2545</v>
      </c>
      <c r="E2743">
        <v>1</v>
      </c>
      <c r="F2743">
        <v>13.2</v>
      </c>
      <c r="G2743" t="s">
        <v>17</v>
      </c>
      <c r="I2743" t="str">
        <f t="shared" si="46"/>
        <v>2545_1</v>
      </c>
      <c r="J2743" t="s">
        <v>533</v>
      </c>
      <c r="K2743" t="s">
        <v>115</v>
      </c>
      <c r="L2743" t="str">
        <f>_xlfn.XLOOKUP(C2743, Table2[Species],Table2[Genus], "Code Not Found")</f>
        <v>Acer</v>
      </c>
      <c r="M2743" t="str">
        <f>_xlfn.XLOOKUP(C2743, Table2[Species],Table2[Sp. Name], "Code Not Found")</f>
        <v>saccharum</v>
      </c>
      <c r="N2743" t="str">
        <f>_xlfn.XLOOKUP(C2743,Table2[Species],Table2[Family],"Code Not Found")</f>
        <v>Sapindaceae</v>
      </c>
      <c r="O2743" t="str" cm="1">
        <f t="array" ref="O2743">_xlfn.IFS(F2743="","",F2743&lt;=5,"0 to 5",F2743&lt;=10,"5.1 to 10",F2743&lt;=20,"10 to 20", F2743&lt;= 40, "20 to 40", F2743 &lt;= 50, "40 to 50", F2743 &gt; 50, "&gt;50" )</f>
        <v>10 to 20</v>
      </c>
    </row>
    <row r="2744" spans="1:15" ht="15" customHeight="1" x14ac:dyDescent="0.3">
      <c r="A2744" t="s">
        <v>566</v>
      </c>
      <c r="B2744" s="1">
        <v>46217</v>
      </c>
      <c r="C2744" t="s">
        <v>16</v>
      </c>
      <c r="D2744">
        <v>2546</v>
      </c>
      <c r="E2744">
        <v>1</v>
      </c>
      <c r="F2744">
        <v>9.1999999999999993</v>
      </c>
      <c r="G2744" t="s">
        <v>88</v>
      </c>
      <c r="H2744" t="s">
        <v>569</v>
      </c>
      <c r="I2744" t="str">
        <f t="shared" si="46"/>
        <v>2546_1</v>
      </c>
      <c r="J2744" t="s">
        <v>533</v>
      </c>
      <c r="K2744" t="s">
        <v>115</v>
      </c>
      <c r="L2744" t="str">
        <f>_xlfn.XLOOKUP(C2744, Table2[Species],Table2[Genus], "Code Not Found")</f>
        <v>Acer</v>
      </c>
      <c r="M2744" t="str">
        <f>_xlfn.XLOOKUP(C2744, Table2[Species],Table2[Sp. Name], "Code Not Found")</f>
        <v>saccharum</v>
      </c>
      <c r="N2744" t="str">
        <f>_xlfn.XLOOKUP(C2744,Table2[Species],Table2[Family],"Code Not Found")</f>
        <v>Sapindaceae</v>
      </c>
      <c r="O2744" t="str" cm="1">
        <f t="array" ref="O2744">_xlfn.IFS(F2744="","",F2744&lt;=5,"0 to 5",F2744&lt;=10,"5.1 to 10",F2744&lt;=20,"10 to 20", F2744&lt;= 40, "20 to 40", F2744 &lt;= 50, "40 to 50", F2744 &gt; 50, "&gt;50" )</f>
        <v>5.1 to 10</v>
      </c>
    </row>
    <row r="2745" spans="1:15" ht="15" customHeight="1" x14ac:dyDescent="0.3">
      <c r="A2745" t="s">
        <v>566</v>
      </c>
      <c r="B2745" s="1">
        <v>46217</v>
      </c>
      <c r="C2745" t="s">
        <v>16</v>
      </c>
      <c r="D2745">
        <v>2547</v>
      </c>
      <c r="E2745">
        <v>1</v>
      </c>
      <c r="F2745">
        <v>7.1</v>
      </c>
      <c r="G2745" t="s">
        <v>17</v>
      </c>
      <c r="H2745" t="s">
        <v>36</v>
      </c>
      <c r="I2745" t="str">
        <f t="shared" si="46"/>
        <v>2547_1</v>
      </c>
      <c r="J2745" t="s">
        <v>533</v>
      </c>
      <c r="K2745" t="s">
        <v>115</v>
      </c>
      <c r="L2745" t="str">
        <f>_xlfn.XLOOKUP(C2745, Table2[Species],Table2[Genus], "Code Not Found")</f>
        <v>Acer</v>
      </c>
      <c r="M2745" t="str">
        <f>_xlfn.XLOOKUP(C2745, Table2[Species],Table2[Sp. Name], "Code Not Found")</f>
        <v>saccharum</v>
      </c>
      <c r="N2745" t="str">
        <f>_xlfn.XLOOKUP(C2745,Table2[Species],Table2[Family],"Code Not Found")</f>
        <v>Sapindaceae</v>
      </c>
      <c r="O2745" t="str" cm="1">
        <f t="array" ref="O2745">_xlfn.IFS(F2745="","",F2745&lt;=5,"0 to 5",F2745&lt;=10,"5.1 to 10",F2745&lt;=20,"10 to 20", F2745&lt;= 40, "20 to 40", F2745 &lt;= 50, "40 to 50", F2745 &gt; 50, "&gt;50" )</f>
        <v>5.1 to 10</v>
      </c>
    </row>
    <row r="2746" spans="1:15" ht="15" customHeight="1" x14ac:dyDescent="0.3">
      <c r="A2746" t="s">
        <v>566</v>
      </c>
      <c r="B2746" s="1">
        <v>46217</v>
      </c>
      <c r="C2746" t="s">
        <v>22</v>
      </c>
      <c r="D2746">
        <v>2548</v>
      </c>
      <c r="E2746">
        <v>1</v>
      </c>
      <c r="F2746">
        <v>45.6</v>
      </c>
      <c r="G2746" t="s">
        <v>21</v>
      </c>
      <c r="I2746" t="str">
        <f t="shared" si="46"/>
        <v>2548_1</v>
      </c>
      <c r="J2746" t="s">
        <v>533</v>
      </c>
      <c r="K2746" t="s">
        <v>115</v>
      </c>
      <c r="L2746" t="str">
        <f>_xlfn.XLOOKUP(C2746, Table2[Species],Table2[Genus], "Code Not Found")</f>
        <v>Acer</v>
      </c>
      <c r="M2746" t="str">
        <f>_xlfn.XLOOKUP(C2746, Table2[Species],Table2[Sp. Name], "Code Not Found")</f>
        <v>rubrum</v>
      </c>
      <c r="N2746" t="str">
        <f>_xlfn.XLOOKUP(C2746,Table2[Species],Table2[Family],"Code Not Found")</f>
        <v>Sapindaceae</v>
      </c>
      <c r="O2746" t="str" cm="1">
        <f t="array" ref="O2746">_xlfn.IFS(F2746="","",F2746&lt;=5,"0 to 5",F2746&lt;=10,"5.1 to 10",F2746&lt;=20,"10 to 20", F2746&lt;= 40, "20 to 40", F2746 &lt;= 50, "40 to 50", F2746 &gt; 50, "&gt;50" )</f>
        <v>40 to 50</v>
      </c>
    </row>
    <row r="2747" spans="1:15" ht="15" customHeight="1" x14ac:dyDescent="0.3">
      <c r="A2747" t="s">
        <v>566</v>
      </c>
      <c r="B2747" s="1">
        <v>46217</v>
      </c>
      <c r="C2747" t="s">
        <v>16</v>
      </c>
      <c r="D2747">
        <v>2549</v>
      </c>
      <c r="E2747">
        <v>1</v>
      </c>
      <c r="F2747">
        <v>8.5</v>
      </c>
      <c r="G2747" t="s">
        <v>537</v>
      </c>
      <c r="H2747" t="s">
        <v>347</v>
      </c>
      <c r="I2747" t="str">
        <f t="shared" si="46"/>
        <v>2549_1</v>
      </c>
      <c r="J2747" t="s">
        <v>533</v>
      </c>
      <c r="K2747" t="s">
        <v>115</v>
      </c>
      <c r="L2747" t="str">
        <f>_xlfn.XLOOKUP(C2747, Table2[Species],Table2[Genus], "Code Not Found")</f>
        <v>Acer</v>
      </c>
      <c r="M2747" t="str">
        <f>_xlfn.XLOOKUP(C2747, Table2[Species],Table2[Sp. Name], "Code Not Found")</f>
        <v>saccharum</v>
      </c>
      <c r="N2747" t="str">
        <f>_xlfn.XLOOKUP(C2747,Table2[Species],Table2[Family],"Code Not Found")</f>
        <v>Sapindaceae</v>
      </c>
      <c r="O2747" t="str" cm="1">
        <f t="array" ref="O2747">_xlfn.IFS(F2747="","",F2747&lt;=5,"0 to 5",F2747&lt;=10,"5.1 to 10",F2747&lt;=20,"10 to 20", F2747&lt;= 40, "20 to 40", F2747 &lt;= 50, "40 to 50", F2747 &gt; 50, "&gt;50" )</f>
        <v>5.1 to 10</v>
      </c>
    </row>
    <row r="2748" spans="1:15" ht="15" customHeight="1" x14ac:dyDescent="0.3">
      <c r="A2748" t="s">
        <v>566</v>
      </c>
      <c r="B2748" s="1">
        <v>46217</v>
      </c>
      <c r="C2748" t="s">
        <v>16</v>
      </c>
      <c r="D2748">
        <v>2550</v>
      </c>
      <c r="E2748">
        <v>1</v>
      </c>
      <c r="F2748">
        <v>13.6</v>
      </c>
      <c r="G2748" t="s">
        <v>47</v>
      </c>
      <c r="H2748" t="s">
        <v>568</v>
      </c>
      <c r="I2748" t="str">
        <f t="shared" si="46"/>
        <v>2550_1</v>
      </c>
      <c r="J2748" t="s">
        <v>533</v>
      </c>
      <c r="K2748" t="s">
        <v>115</v>
      </c>
      <c r="L2748" t="str">
        <f>_xlfn.XLOOKUP(C2748, Table2[Species],Table2[Genus], "Code Not Found")</f>
        <v>Acer</v>
      </c>
      <c r="M2748" t="str">
        <f>_xlfn.XLOOKUP(C2748, Table2[Species],Table2[Sp. Name], "Code Not Found")</f>
        <v>saccharum</v>
      </c>
      <c r="N2748" t="str">
        <f>_xlfn.XLOOKUP(C2748,Table2[Species],Table2[Family],"Code Not Found")</f>
        <v>Sapindaceae</v>
      </c>
      <c r="O2748" t="str" cm="1">
        <f t="array" ref="O2748">_xlfn.IFS(F2748="","",F2748&lt;=5,"0 to 5",F2748&lt;=10,"5.1 to 10",F2748&lt;=20,"10 to 20", F2748&lt;= 40, "20 to 40", F2748 &lt;= 50, "40 to 50", F2748 &gt; 50, "&gt;50" )</f>
        <v>10 to 20</v>
      </c>
    </row>
    <row r="2749" spans="1:15" ht="15" customHeight="1" x14ac:dyDescent="0.3">
      <c r="A2749" t="s">
        <v>566</v>
      </c>
      <c r="B2749" s="1">
        <v>46217</v>
      </c>
      <c r="C2749" t="s">
        <v>123</v>
      </c>
      <c r="D2749">
        <v>2551</v>
      </c>
      <c r="E2749">
        <v>1</v>
      </c>
      <c r="F2749">
        <v>57</v>
      </c>
      <c r="G2749" t="s">
        <v>21</v>
      </c>
      <c r="I2749" t="str">
        <f t="shared" si="46"/>
        <v>2551_1</v>
      </c>
      <c r="J2749" t="s">
        <v>533</v>
      </c>
      <c r="K2749" t="s">
        <v>115</v>
      </c>
      <c r="L2749" t="str">
        <f>_xlfn.XLOOKUP(C2749, Table2[Species],Table2[Genus], "Code Not Found")</f>
        <v>Quercus</v>
      </c>
      <c r="M2749" t="str">
        <f>_xlfn.XLOOKUP(C2749, Table2[Species],Table2[Sp. Name], "Code Not Found")</f>
        <v>rubra</v>
      </c>
      <c r="N2749" t="str">
        <f>_xlfn.XLOOKUP(C2749,Table2[Species],Table2[Family],"Code Not Found")</f>
        <v>Fagaceae</v>
      </c>
      <c r="O2749" t="str" cm="1">
        <f t="array" ref="O2749">_xlfn.IFS(F2749="","",F2749&lt;=5,"0 to 5",F2749&lt;=10,"5.1 to 10",F2749&lt;=20,"10 to 20", F2749&lt;= 40, "20 to 40", F2749 &lt;= 50, "40 to 50", F2749 &gt; 50, "&gt;50" )</f>
        <v>&gt;50</v>
      </c>
    </row>
    <row r="2750" spans="1:15" ht="15" customHeight="1" x14ac:dyDescent="0.3">
      <c r="A2750" t="s">
        <v>566</v>
      </c>
      <c r="B2750" s="1">
        <v>46217</v>
      </c>
      <c r="C2750" t="s">
        <v>16</v>
      </c>
      <c r="D2750">
        <v>2552</v>
      </c>
      <c r="E2750">
        <v>1</v>
      </c>
      <c r="F2750">
        <v>3.6</v>
      </c>
      <c r="G2750" t="s">
        <v>211</v>
      </c>
      <c r="H2750" t="s">
        <v>568</v>
      </c>
      <c r="I2750" t="str">
        <f t="shared" si="46"/>
        <v>2552_1</v>
      </c>
      <c r="J2750" t="s">
        <v>533</v>
      </c>
      <c r="K2750" t="s">
        <v>115</v>
      </c>
      <c r="L2750" t="str">
        <f>_xlfn.XLOOKUP(C2750, Table2[Species],Table2[Genus], "Code Not Found")</f>
        <v>Acer</v>
      </c>
      <c r="M2750" t="str">
        <f>_xlfn.XLOOKUP(C2750, Table2[Species],Table2[Sp. Name], "Code Not Found")</f>
        <v>saccharum</v>
      </c>
      <c r="N2750" t="str">
        <f>_xlfn.XLOOKUP(C2750,Table2[Species],Table2[Family],"Code Not Found")</f>
        <v>Sapindaceae</v>
      </c>
      <c r="O2750" t="str" cm="1">
        <f t="array" ref="O2750">_xlfn.IFS(F2750="","",F2750&lt;=5,"0 to 5",F2750&lt;=10,"5.1 to 10",F2750&lt;=20,"10 to 20", F2750&lt;= 40, "20 to 40", F2750 &lt;= 50, "40 to 50", F2750 &gt; 50, "&gt;50" )</f>
        <v>0 to 5</v>
      </c>
    </row>
    <row r="2751" spans="1:15" ht="15" customHeight="1" x14ac:dyDescent="0.3">
      <c r="A2751" t="s">
        <v>566</v>
      </c>
      <c r="B2751" s="1">
        <v>46217</v>
      </c>
      <c r="C2751" t="s">
        <v>16</v>
      </c>
      <c r="D2751">
        <v>2553</v>
      </c>
      <c r="E2751">
        <v>1</v>
      </c>
      <c r="F2751">
        <v>17.100000000000001</v>
      </c>
      <c r="G2751" t="s">
        <v>56</v>
      </c>
      <c r="H2751" t="s">
        <v>570</v>
      </c>
      <c r="I2751" t="str">
        <f t="shared" si="46"/>
        <v>2553_1</v>
      </c>
      <c r="J2751" t="s">
        <v>533</v>
      </c>
      <c r="K2751" t="s">
        <v>115</v>
      </c>
      <c r="L2751" t="str">
        <f>_xlfn.XLOOKUP(C2751, Table2[Species],Table2[Genus], "Code Not Found")</f>
        <v>Acer</v>
      </c>
      <c r="M2751" t="str">
        <f>_xlfn.XLOOKUP(C2751, Table2[Species],Table2[Sp. Name], "Code Not Found")</f>
        <v>saccharum</v>
      </c>
      <c r="N2751" t="str">
        <f>_xlfn.XLOOKUP(C2751,Table2[Species],Table2[Family],"Code Not Found")</f>
        <v>Sapindaceae</v>
      </c>
      <c r="O2751" t="str" cm="1">
        <f t="array" ref="O2751">_xlfn.IFS(F2751="","",F2751&lt;=5,"0 to 5",F2751&lt;=10,"5.1 to 10",F2751&lt;=20,"10 to 20", F2751&lt;= 40, "20 to 40", F2751 &lt;= 50, "40 to 50", F2751 &gt; 50, "&gt;50" )</f>
        <v>10 to 20</v>
      </c>
    </row>
    <row r="2752" spans="1:15" ht="15" customHeight="1" x14ac:dyDescent="0.3">
      <c r="A2752" t="s">
        <v>566</v>
      </c>
      <c r="B2752" s="1">
        <v>46217</v>
      </c>
      <c r="C2752" t="s">
        <v>22</v>
      </c>
      <c r="D2752">
        <v>2554</v>
      </c>
      <c r="E2752">
        <v>1</v>
      </c>
      <c r="F2752">
        <v>48.7</v>
      </c>
      <c r="G2752" t="s">
        <v>21</v>
      </c>
      <c r="I2752" t="str">
        <f t="shared" si="46"/>
        <v>2554_1</v>
      </c>
      <c r="J2752" t="s">
        <v>533</v>
      </c>
      <c r="K2752" t="s">
        <v>115</v>
      </c>
      <c r="L2752" t="str">
        <f>_xlfn.XLOOKUP(C2752, Table2[Species],Table2[Genus], "Code Not Found")</f>
        <v>Acer</v>
      </c>
      <c r="M2752" t="str">
        <f>_xlfn.XLOOKUP(C2752, Table2[Species],Table2[Sp. Name], "Code Not Found")</f>
        <v>rubrum</v>
      </c>
      <c r="N2752" t="str">
        <f>_xlfn.XLOOKUP(C2752,Table2[Species],Table2[Family],"Code Not Found")</f>
        <v>Sapindaceae</v>
      </c>
      <c r="O2752" t="str" cm="1">
        <f t="array" ref="O2752">_xlfn.IFS(F2752="","",F2752&lt;=5,"0 to 5",F2752&lt;=10,"5.1 to 10",F2752&lt;=20,"10 to 20", F2752&lt;= 40, "20 to 40", F2752 &lt;= 50, "40 to 50", F2752 &gt; 50, "&gt;50" )</f>
        <v>40 to 50</v>
      </c>
    </row>
    <row r="2753" spans="1:15" ht="15" customHeight="1" x14ac:dyDescent="0.3">
      <c r="A2753" t="s">
        <v>566</v>
      </c>
      <c r="B2753" s="1">
        <v>46217</v>
      </c>
      <c r="C2753" t="s">
        <v>16</v>
      </c>
      <c r="D2753">
        <v>2555</v>
      </c>
      <c r="E2753">
        <v>1</v>
      </c>
      <c r="F2753">
        <v>2.8</v>
      </c>
      <c r="G2753" t="s">
        <v>17</v>
      </c>
      <c r="H2753" t="s">
        <v>571</v>
      </c>
      <c r="I2753" t="str">
        <f t="shared" si="46"/>
        <v>2555_1</v>
      </c>
      <c r="J2753" t="s">
        <v>533</v>
      </c>
      <c r="K2753" t="s">
        <v>115</v>
      </c>
      <c r="L2753" t="str">
        <f>_xlfn.XLOOKUP(C2753, Table2[Species],Table2[Genus], "Code Not Found")</f>
        <v>Acer</v>
      </c>
      <c r="M2753" t="str">
        <f>_xlfn.XLOOKUP(C2753, Table2[Species],Table2[Sp. Name], "Code Not Found")</f>
        <v>saccharum</v>
      </c>
      <c r="N2753" t="str">
        <f>_xlfn.XLOOKUP(C2753,Table2[Species],Table2[Family],"Code Not Found")</f>
        <v>Sapindaceae</v>
      </c>
      <c r="O2753" t="str" cm="1">
        <f t="array" ref="O2753">_xlfn.IFS(F2753="","",F2753&lt;=5,"0 to 5",F2753&lt;=10,"5.1 to 10",F2753&lt;=20,"10 to 20", F2753&lt;= 40, "20 to 40", F2753 &lt;= 50, "40 to 50", F2753 &gt; 50, "&gt;50" )</f>
        <v>0 to 5</v>
      </c>
    </row>
    <row r="2754" spans="1:15" ht="15" customHeight="1" x14ac:dyDescent="0.3">
      <c r="A2754" t="s">
        <v>566</v>
      </c>
      <c r="B2754" s="1">
        <v>46217</v>
      </c>
      <c r="C2754" t="s">
        <v>16</v>
      </c>
      <c r="D2754">
        <v>2556</v>
      </c>
      <c r="E2754">
        <v>1</v>
      </c>
      <c r="F2754">
        <v>5.4</v>
      </c>
      <c r="G2754" t="s">
        <v>17</v>
      </c>
      <c r="I2754" t="str">
        <f t="shared" si="46"/>
        <v>2556_1</v>
      </c>
      <c r="J2754" t="s">
        <v>533</v>
      </c>
      <c r="K2754" t="s">
        <v>115</v>
      </c>
      <c r="L2754" t="str">
        <f>_xlfn.XLOOKUP(C2754, Table2[Species],Table2[Genus], "Code Not Found")</f>
        <v>Acer</v>
      </c>
      <c r="M2754" t="str">
        <f>_xlfn.XLOOKUP(C2754, Table2[Species],Table2[Sp. Name], "Code Not Found")</f>
        <v>saccharum</v>
      </c>
      <c r="N2754" t="str">
        <f>_xlfn.XLOOKUP(C2754,Table2[Species],Table2[Family],"Code Not Found")</f>
        <v>Sapindaceae</v>
      </c>
      <c r="O2754" t="str" cm="1">
        <f t="array" ref="O2754">_xlfn.IFS(F2754="","",F2754&lt;=5,"0 to 5",F2754&lt;=10,"5.1 to 10",F2754&lt;=20,"10 to 20", F2754&lt;= 40, "20 to 40", F2754 &lt;= 50, "40 to 50", F2754 &gt; 50, "&gt;50" )</f>
        <v>5.1 to 10</v>
      </c>
    </row>
    <row r="2755" spans="1:15" ht="15" customHeight="1" x14ac:dyDescent="0.3">
      <c r="A2755" t="s">
        <v>566</v>
      </c>
      <c r="B2755" s="1">
        <v>46217</v>
      </c>
      <c r="C2755" t="s">
        <v>16</v>
      </c>
      <c r="D2755">
        <v>2557</v>
      </c>
      <c r="E2755">
        <v>1</v>
      </c>
      <c r="F2755">
        <v>5.4</v>
      </c>
      <c r="G2755" t="s">
        <v>17</v>
      </c>
      <c r="I2755" t="str">
        <f t="shared" si="46"/>
        <v>2557_1</v>
      </c>
      <c r="J2755" t="s">
        <v>533</v>
      </c>
      <c r="K2755" t="s">
        <v>115</v>
      </c>
      <c r="L2755" t="str">
        <f>_xlfn.XLOOKUP(C2755, Table2[Species],Table2[Genus], "Code Not Found")</f>
        <v>Acer</v>
      </c>
      <c r="M2755" t="str">
        <f>_xlfn.XLOOKUP(C2755, Table2[Species],Table2[Sp. Name], "Code Not Found")</f>
        <v>saccharum</v>
      </c>
      <c r="N2755" t="str">
        <f>_xlfn.XLOOKUP(C2755,Table2[Species],Table2[Family],"Code Not Found")</f>
        <v>Sapindaceae</v>
      </c>
      <c r="O2755" t="str" cm="1">
        <f t="array" ref="O2755">_xlfn.IFS(F2755="","",F2755&lt;=5,"0 to 5",F2755&lt;=10,"5.1 to 10",F2755&lt;=20,"10 to 20", F2755&lt;= 40, "20 to 40", F2755 &lt;= 50, "40 to 50", F2755 &gt; 50, "&gt;50" )</f>
        <v>5.1 to 10</v>
      </c>
    </row>
    <row r="2756" spans="1:15" ht="15" customHeight="1" x14ac:dyDescent="0.3">
      <c r="A2756" t="s">
        <v>566</v>
      </c>
      <c r="B2756" s="1">
        <v>46217</v>
      </c>
      <c r="C2756" t="s">
        <v>16</v>
      </c>
      <c r="D2756">
        <v>2558</v>
      </c>
      <c r="E2756">
        <v>1</v>
      </c>
      <c r="F2756">
        <v>27.8</v>
      </c>
      <c r="G2756" t="s">
        <v>21</v>
      </c>
      <c r="I2756" t="str">
        <f t="shared" si="46"/>
        <v>2558_1</v>
      </c>
      <c r="J2756" t="s">
        <v>533</v>
      </c>
      <c r="K2756" t="s">
        <v>115</v>
      </c>
      <c r="L2756" t="str">
        <f>_xlfn.XLOOKUP(C2756, Table2[Species],Table2[Genus], "Code Not Found")</f>
        <v>Acer</v>
      </c>
      <c r="M2756" t="str">
        <f>_xlfn.XLOOKUP(C2756, Table2[Species],Table2[Sp. Name], "Code Not Found")</f>
        <v>saccharum</v>
      </c>
      <c r="N2756" t="str">
        <f>_xlfn.XLOOKUP(C2756,Table2[Species],Table2[Family],"Code Not Found")</f>
        <v>Sapindaceae</v>
      </c>
      <c r="O2756" t="str" cm="1">
        <f t="array" ref="O2756">_xlfn.IFS(F2756="","",F2756&lt;=5,"0 to 5",F2756&lt;=10,"5.1 to 10",F2756&lt;=20,"10 to 20", F2756&lt;= 40, "20 to 40", F2756 &lt;= 50, "40 to 50", F2756 &gt; 50, "&gt;50" )</f>
        <v>20 to 40</v>
      </c>
    </row>
    <row r="2757" spans="1:15" ht="15" customHeight="1" x14ac:dyDescent="0.3">
      <c r="A2757" t="s">
        <v>566</v>
      </c>
      <c r="B2757" s="1">
        <v>46217</v>
      </c>
      <c r="C2757" t="s">
        <v>16</v>
      </c>
      <c r="D2757">
        <v>2559</v>
      </c>
      <c r="E2757">
        <v>1</v>
      </c>
      <c r="F2757">
        <v>34.9</v>
      </c>
      <c r="G2757" t="s">
        <v>56</v>
      </c>
      <c r="H2757" t="s">
        <v>544</v>
      </c>
      <c r="I2757" t="str">
        <f t="shared" si="46"/>
        <v>2559_1</v>
      </c>
      <c r="J2757" t="s">
        <v>533</v>
      </c>
      <c r="K2757" t="s">
        <v>115</v>
      </c>
      <c r="L2757" t="str">
        <f>_xlfn.XLOOKUP(C2757, Table2[Species],Table2[Genus], "Code Not Found")</f>
        <v>Acer</v>
      </c>
      <c r="M2757" t="str">
        <f>_xlfn.XLOOKUP(C2757, Table2[Species],Table2[Sp. Name], "Code Not Found")</f>
        <v>saccharum</v>
      </c>
      <c r="N2757" t="str">
        <f>_xlfn.XLOOKUP(C2757,Table2[Species],Table2[Family],"Code Not Found")</f>
        <v>Sapindaceae</v>
      </c>
      <c r="O2757" t="str" cm="1">
        <f t="array" ref="O2757">_xlfn.IFS(F2757="","",F2757&lt;=5,"0 to 5",F2757&lt;=10,"5.1 to 10",F2757&lt;=20,"10 to 20", F2757&lt;= 40, "20 to 40", F2757 &lt;= 50, "40 to 50", F2757 &gt; 50, "&gt;50" )</f>
        <v>20 to 40</v>
      </c>
    </row>
    <row r="2758" spans="1:15" ht="15" customHeight="1" x14ac:dyDescent="0.3">
      <c r="A2758" t="s">
        <v>566</v>
      </c>
      <c r="B2758" s="1">
        <v>46217</v>
      </c>
      <c r="C2758" t="s">
        <v>16</v>
      </c>
      <c r="D2758">
        <v>2560</v>
      </c>
      <c r="E2758">
        <v>1</v>
      </c>
      <c r="F2758">
        <v>35.700000000000003</v>
      </c>
      <c r="G2758" t="s">
        <v>17</v>
      </c>
      <c r="I2758" t="str">
        <f t="shared" si="46"/>
        <v>2560_1</v>
      </c>
      <c r="J2758" t="s">
        <v>533</v>
      </c>
      <c r="K2758" t="s">
        <v>115</v>
      </c>
      <c r="L2758" t="str">
        <f>_xlfn.XLOOKUP(C2758, Table2[Species],Table2[Genus], "Code Not Found")</f>
        <v>Acer</v>
      </c>
      <c r="M2758" t="str">
        <f>_xlfn.XLOOKUP(C2758, Table2[Species],Table2[Sp. Name], "Code Not Found")</f>
        <v>saccharum</v>
      </c>
      <c r="N2758" t="str">
        <f>_xlfn.XLOOKUP(C2758,Table2[Species],Table2[Family],"Code Not Found")</f>
        <v>Sapindaceae</v>
      </c>
      <c r="O2758" t="str" cm="1">
        <f t="array" ref="O2758">_xlfn.IFS(F2758="","",F2758&lt;=5,"0 to 5",F2758&lt;=10,"5.1 to 10",F2758&lt;=20,"10 to 20", F2758&lt;= 40, "20 to 40", F2758 &lt;= 50, "40 to 50", F2758 &gt; 50, "&gt;50" )</f>
        <v>20 to 40</v>
      </c>
    </row>
    <row r="2759" spans="1:15" ht="15" customHeight="1" x14ac:dyDescent="0.3">
      <c r="A2759" t="s">
        <v>566</v>
      </c>
      <c r="B2759" s="1">
        <v>46217</v>
      </c>
      <c r="C2759" t="s">
        <v>16</v>
      </c>
      <c r="D2759">
        <v>2561</v>
      </c>
      <c r="E2759">
        <v>1</v>
      </c>
      <c r="F2759">
        <v>12.9</v>
      </c>
      <c r="G2759" t="s">
        <v>17</v>
      </c>
      <c r="I2759" t="str">
        <f t="shared" si="46"/>
        <v>2561_1</v>
      </c>
      <c r="J2759" t="s">
        <v>533</v>
      </c>
      <c r="K2759" t="s">
        <v>115</v>
      </c>
      <c r="L2759" t="str">
        <f>_xlfn.XLOOKUP(C2759, Table2[Species],Table2[Genus], "Code Not Found")</f>
        <v>Acer</v>
      </c>
      <c r="M2759" t="str">
        <f>_xlfn.XLOOKUP(C2759, Table2[Species],Table2[Sp. Name], "Code Not Found")</f>
        <v>saccharum</v>
      </c>
      <c r="N2759" t="str">
        <f>_xlfn.XLOOKUP(C2759,Table2[Species],Table2[Family],"Code Not Found")</f>
        <v>Sapindaceae</v>
      </c>
      <c r="O2759" t="str" cm="1">
        <f t="array" ref="O2759">_xlfn.IFS(F2759="","",F2759&lt;=5,"0 to 5",F2759&lt;=10,"5.1 to 10",F2759&lt;=20,"10 to 20", F2759&lt;= 40, "20 to 40", F2759 &lt;= 50, "40 to 50", F2759 &gt; 50, "&gt;50" )</f>
        <v>10 to 20</v>
      </c>
    </row>
    <row r="2760" spans="1:15" ht="15" customHeight="1" x14ac:dyDescent="0.3">
      <c r="A2760" t="s">
        <v>566</v>
      </c>
      <c r="B2760" s="1">
        <v>46217</v>
      </c>
      <c r="C2760" t="s">
        <v>16</v>
      </c>
      <c r="D2760">
        <v>2562</v>
      </c>
      <c r="E2760">
        <v>1</v>
      </c>
      <c r="F2760">
        <v>9.6999999999999993</v>
      </c>
      <c r="G2760" t="s">
        <v>21</v>
      </c>
      <c r="I2760" t="str">
        <f t="shared" si="46"/>
        <v>2562_1</v>
      </c>
      <c r="J2760" t="s">
        <v>533</v>
      </c>
      <c r="K2760" t="s">
        <v>115</v>
      </c>
      <c r="L2760" t="str">
        <f>_xlfn.XLOOKUP(C2760, Table2[Species],Table2[Genus], "Code Not Found")</f>
        <v>Acer</v>
      </c>
      <c r="M2760" t="str">
        <f>_xlfn.XLOOKUP(C2760, Table2[Species],Table2[Sp. Name], "Code Not Found")</f>
        <v>saccharum</v>
      </c>
      <c r="N2760" t="str">
        <f>_xlfn.XLOOKUP(C2760,Table2[Species],Table2[Family],"Code Not Found")</f>
        <v>Sapindaceae</v>
      </c>
      <c r="O2760" t="str" cm="1">
        <f t="array" ref="O2760">_xlfn.IFS(F2760="","",F2760&lt;=5,"0 to 5",F2760&lt;=10,"5.1 to 10",F2760&lt;=20,"10 to 20", F2760&lt;= 40, "20 to 40", F2760 &lt;= 50, "40 to 50", F2760 &gt; 50, "&gt;50" )</f>
        <v>5.1 to 10</v>
      </c>
    </row>
    <row r="2761" spans="1:15" ht="15" customHeight="1" x14ac:dyDescent="0.3">
      <c r="A2761" t="s">
        <v>566</v>
      </c>
      <c r="B2761" s="1">
        <v>46217</v>
      </c>
      <c r="C2761" t="s">
        <v>16</v>
      </c>
      <c r="D2761">
        <v>2563</v>
      </c>
      <c r="E2761">
        <v>1</v>
      </c>
      <c r="F2761">
        <v>16</v>
      </c>
      <c r="G2761" t="s">
        <v>17</v>
      </c>
      <c r="I2761" t="str">
        <f t="shared" si="46"/>
        <v>2563_1</v>
      </c>
      <c r="J2761" t="s">
        <v>533</v>
      </c>
      <c r="K2761" t="s">
        <v>115</v>
      </c>
      <c r="L2761" t="str">
        <f>_xlfn.XLOOKUP(C2761, Table2[Species],Table2[Genus], "Code Not Found")</f>
        <v>Acer</v>
      </c>
      <c r="M2761" t="str">
        <f>_xlfn.XLOOKUP(C2761, Table2[Species],Table2[Sp. Name], "Code Not Found")</f>
        <v>saccharum</v>
      </c>
      <c r="N2761" t="str">
        <f>_xlfn.XLOOKUP(C2761,Table2[Species],Table2[Family],"Code Not Found")</f>
        <v>Sapindaceae</v>
      </c>
      <c r="O2761" t="str" cm="1">
        <f t="array" ref="O2761">_xlfn.IFS(F2761="","",F2761&lt;=5,"0 to 5",F2761&lt;=10,"5.1 to 10",F2761&lt;=20,"10 to 20", F2761&lt;= 40, "20 to 40", F2761 &lt;= 50, "40 to 50", F2761 &gt; 50, "&gt;50" )</f>
        <v>10 to 20</v>
      </c>
    </row>
    <row r="2762" spans="1:15" ht="15" customHeight="1" x14ac:dyDescent="0.3">
      <c r="A2762" t="s">
        <v>566</v>
      </c>
      <c r="B2762" s="1">
        <v>46217</v>
      </c>
      <c r="C2762" t="s">
        <v>16</v>
      </c>
      <c r="D2762">
        <v>2564</v>
      </c>
      <c r="E2762">
        <v>1</v>
      </c>
      <c r="F2762">
        <v>7.2</v>
      </c>
      <c r="G2762" t="s">
        <v>17</v>
      </c>
      <c r="I2762" t="str">
        <f t="shared" si="46"/>
        <v>2564_1</v>
      </c>
      <c r="J2762" t="s">
        <v>533</v>
      </c>
      <c r="K2762" t="s">
        <v>115</v>
      </c>
      <c r="L2762" t="str">
        <f>_xlfn.XLOOKUP(C2762, Table2[Species],Table2[Genus], "Code Not Found")</f>
        <v>Acer</v>
      </c>
      <c r="M2762" t="str">
        <f>_xlfn.XLOOKUP(C2762, Table2[Species],Table2[Sp. Name], "Code Not Found")</f>
        <v>saccharum</v>
      </c>
      <c r="N2762" t="str">
        <f>_xlfn.XLOOKUP(C2762,Table2[Species],Table2[Family],"Code Not Found")</f>
        <v>Sapindaceae</v>
      </c>
      <c r="O2762" t="str" cm="1">
        <f t="array" ref="O2762">_xlfn.IFS(F2762="","",F2762&lt;=5,"0 to 5",F2762&lt;=10,"5.1 to 10",F2762&lt;=20,"10 to 20", F2762&lt;= 40, "20 to 40", F2762 &lt;= 50, "40 to 50", F2762 &gt; 50, "&gt;50" )</f>
        <v>5.1 to 10</v>
      </c>
    </row>
    <row r="2763" spans="1:15" ht="15" customHeight="1" x14ac:dyDescent="0.3">
      <c r="A2763" t="s">
        <v>566</v>
      </c>
      <c r="B2763" s="1">
        <v>46217</v>
      </c>
      <c r="C2763" t="s">
        <v>16</v>
      </c>
      <c r="D2763">
        <v>2565</v>
      </c>
      <c r="E2763">
        <v>1</v>
      </c>
      <c r="F2763">
        <v>17</v>
      </c>
      <c r="G2763" t="s">
        <v>17</v>
      </c>
      <c r="I2763" t="str">
        <f t="shared" si="46"/>
        <v>2565_1</v>
      </c>
      <c r="J2763" t="s">
        <v>533</v>
      </c>
      <c r="K2763" t="s">
        <v>115</v>
      </c>
      <c r="L2763" t="str">
        <f>_xlfn.XLOOKUP(C2763, Table2[Species],Table2[Genus], "Code Not Found")</f>
        <v>Acer</v>
      </c>
      <c r="M2763" t="str">
        <f>_xlfn.XLOOKUP(C2763, Table2[Species],Table2[Sp. Name], "Code Not Found")</f>
        <v>saccharum</v>
      </c>
      <c r="N2763" t="str">
        <f>_xlfn.XLOOKUP(C2763,Table2[Species],Table2[Family],"Code Not Found")</f>
        <v>Sapindaceae</v>
      </c>
      <c r="O2763" t="str" cm="1">
        <f t="array" ref="O2763">_xlfn.IFS(F2763="","",F2763&lt;=5,"0 to 5",F2763&lt;=10,"5.1 to 10",F2763&lt;=20,"10 to 20", F2763&lt;= 40, "20 to 40", F2763 &lt;= 50, "40 to 50", F2763 &gt; 50, "&gt;50" )</f>
        <v>10 to 20</v>
      </c>
    </row>
    <row r="2764" spans="1:15" ht="15" customHeight="1" x14ac:dyDescent="0.3">
      <c r="A2764" t="s">
        <v>566</v>
      </c>
      <c r="B2764" s="1">
        <v>46217</v>
      </c>
      <c r="C2764" t="s">
        <v>16</v>
      </c>
      <c r="D2764">
        <v>2566</v>
      </c>
      <c r="E2764">
        <v>1</v>
      </c>
      <c r="F2764">
        <v>25</v>
      </c>
      <c r="G2764" t="s">
        <v>21</v>
      </c>
      <c r="I2764" t="str">
        <f t="shared" si="46"/>
        <v>2566_1</v>
      </c>
      <c r="J2764" t="s">
        <v>533</v>
      </c>
      <c r="K2764" t="s">
        <v>115</v>
      </c>
      <c r="L2764" t="str">
        <f>_xlfn.XLOOKUP(C2764, Table2[Species],Table2[Genus], "Code Not Found")</f>
        <v>Acer</v>
      </c>
      <c r="M2764" t="str">
        <f>_xlfn.XLOOKUP(C2764, Table2[Species],Table2[Sp. Name], "Code Not Found")</f>
        <v>saccharum</v>
      </c>
      <c r="N2764" t="str">
        <f>_xlfn.XLOOKUP(C2764,Table2[Species],Table2[Family],"Code Not Found")</f>
        <v>Sapindaceae</v>
      </c>
      <c r="O2764" t="str" cm="1">
        <f t="array" ref="O2764">_xlfn.IFS(F2764="","",F2764&lt;=5,"0 to 5",F2764&lt;=10,"5.1 to 10",F2764&lt;=20,"10 to 20", F2764&lt;= 40, "20 to 40", F2764 &lt;= 50, "40 to 50", F2764 &gt; 50, "&gt;50" )</f>
        <v>20 to 40</v>
      </c>
    </row>
    <row r="2765" spans="1:15" ht="15" customHeight="1" x14ac:dyDescent="0.3">
      <c r="A2765" t="s">
        <v>566</v>
      </c>
      <c r="B2765" s="1">
        <v>46217</v>
      </c>
      <c r="C2765" t="s">
        <v>16</v>
      </c>
      <c r="D2765">
        <v>2567</v>
      </c>
      <c r="E2765">
        <v>1</v>
      </c>
      <c r="F2765">
        <v>27.4</v>
      </c>
      <c r="G2765" t="s">
        <v>17</v>
      </c>
      <c r="I2765" t="str">
        <f t="shared" si="46"/>
        <v>2567_1</v>
      </c>
      <c r="J2765" t="s">
        <v>533</v>
      </c>
      <c r="K2765" t="s">
        <v>115</v>
      </c>
      <c r="L2765" t="str">
        <f>_xlfn.XLOOKUP(C2765, Table2[Species],Table2[Genus], "Code Not Found")</f>
        <v>Acer</v>
      </c>
      <c r="M2765" t="str">
        <f>_xlfn.XLOOKUP(C2765, Table2[Species],Table2[Sp. Name], "Code Not Found")</f>
        <v>saccharum</v>
      </c>
      <c r="N2765" t="str">
        <f>_xlfn.XLOOKUP(C2765,Table2[Species],Table2[Family],"Code Not Found")</f>
        <v>Sapindaceae</v>
      </c>
      <c r="O2765" t="str" cm="1">
        <f t="array" ref="O2765">_xlfn.IFS(F2765="","",F2765&lt;=5,"0 to 5",F2765&lt;=10,"5.1 to 10",F2765&lt;=20,"10 to 20", F2765&lt;= 40, "20 to 40", F2765 &lt;= 50, "40 to 50", F2765 &gt; 50, "&gt;50" )</f>
        <v>20 to 40</v>
      </c>
    </row>
    <row r="2766" spans="1:15" ht="15" customHeight="1" x14ac:dyDescent="0.3">
      <c r="A2766" t="s">
        <v>566</v>
      </c>
      <c r="B2766" s="1">
        <v>46217</v>
      </c>
      <c r="C2766" t="s">
        <v>16</v>
      </c>
      <c r="D2766">
        <v>2568</v>
      </c>
      <c r="E2766">
        <v>1</v>
      </c>
      <c r="F2766">
        <v>12.1</v>
      </c>
      <c r="G2766" t="s">
        <v>21</v>
      </c>
      <c r="I2766" t="str">
        <f t="shared" si="46"/>
        <v>2568_1</v>
      </c>
      <c r="J2766" t="s">
        <v>533</v>
      </c>
      <c r="K2766" t="s">
        <v>115</v>
      </c>
      <c r="L2766" t="str">
        <f>_xlfn.XLOOKUP(C2766, Table2[Species],Table2[Genus], "Code Not Found")</f>
        <v>Acer</v>
      </c>
      <c r="M2766" t="str">
        <f>_xlfn.XLOOKUP(C2766, Table2[Species],Table2[Sp. Name], "Code Not Found")</f>
        <v>saccharum</v>
      </c>
      <c r="N2766" t="str">
        <f>_xlfn.XLOOKUP(C2766,Table2[Species],Table2[Family],"Code Not Found")</f>
        <v>Sapindaceae</v>
      </c>
      <c r="O2766" t="str" cm="1">
        <f t="array" ref="O2766">_xlfn.IFS(F2766="","",F2766&lt;=5,"0 to 5",F2766&lt;=10,"5.1 to 10",F2766&lt;=20,"10 to 20", F2766&lt;= 40, "20 to 40", F2766 &lt;= 50, "40 to 50", F2766 &gt; 50, "&gt;50" )</f>
        <v>10 to 20</v>
      </c>
    </row>
    <row r="2767" spans="1:15" ht="15" customHeight="1" x14ac:dyDescent="0.3">
      <c r="A2767" t="s">
        <v>566</v>
      </c>
      <c r="B2767" s="1">
        <v>46217</v>
      </c>
      <c r="C2767" t="s">
        <v>22</v>
      </c>
      <c r="D2767">
        <v>2569</v>
      </c>
      <c r="E2767">
        <v>1</v>
      </c>
      <c r="F2767">
        <v>43.3</v>
      </c>
      <c r="G2767" t="s">
        <v>17</v>
      </c>
      <c r="I2767" t="str">
        <f t="shared" si="46"/>
        <v>2569_1</v>
      </c>
      <c r="J2767" t="s">
        <v>533</v>
      </c>
      <c r="K2767" t="s">
        <v>115</v>
      </c>
      <c r="L2767" t="str">
        <f>_xlfn.XLOOKUP(C2767, Table2[Species],Table2[Genus], "Code Not Found")</f>
        <v>Acer</v>
      </c>
      <c r="M2767" t="str">
        <f>_xlfn.XLOOKUP(C2767, Table2[Species],Table2[Sp. Name], "Code Not Found")</f>
        <v>rubrum</v>
      </c>
      <c r="N2767" t="str">
        <f>_xlfn.XLOOKUP(C2767,Table2[Species],Table2[Family],"Code Not Found")</f>
        <v>Sapindaceae</v>
      </c>
      <c r="O2767" t="str" cm="1">
        <f t="array" ref="O2767">_xlfn.IFS(F2767="","",F2767&lt;=5,"0 to 5",F2767&lt;=10,"5.1 to 10",F2767&lt;=20,"10 to 20", F2767&lt;= 40, "20 to 40", F2767 &lt;= 50, "40 to 50", F2767 &gt; 50, "&gt;50" )</f>
        <v>40 to 50</v>
      </c>
    </row>
    <row r="2768" spans="1:15" ht="15" customHeight="1" x14ac:dyDescent="0.3">
      <c r="A2768" t="s">
        <v>566</v>
      </c>
      <c r="B2768" s="1">
        <v>46217</v>
      </c>
      <c r="C2768" t="s">
        <v>572</v>
      </c>
      <c r="D2768">
        <v>2570</v>
      </c>
      <c r="E2768">
        <v>1</v>
      </c>
      <c r="F2768">
        <v>24.3</v>
      </c>
      <c r="G2768" t="s">
        <v>21</v>
      </c>
      <c r="I2768" t="str">
        <f t="shared" si="46"/>
        <v>2570_1</v>
      </c>
      <c r="J2768" t="s">
        <v>533</v>
      </c>
      <c r="K2768" t="s">
        <v>115</v>
      </c>
      <c r="L2768" t="str">
        <f>_xlfn.XLOOKUP(C2768, Table2[Species],Table2[Genus], "Code Not Found")</f>
        <v>Carya</v>
      </c>
      <c r="M2768" t="str">
        <f>_xlfn.XLOOKUP(C2768, Table2[Species],Table2[Sp. Name], "Code Not Found")</f>
        <v>ovata</v>
      </c>
      <c r="N2768" t="str">
        <f>_xlfn.XLOOKUP(C2768,Table2[Species],Table2[Family],"Code Not Found")</f>
        <v>Juglandaceae</v>
      </c>
      <c r="O2768" t="str" cm="1">
        <f t="array" ref="O2768">_xlfn.IFS(F2768="","",F2768&lt;=5,"0 to 5",F2768&lt;=10,"5.1 to 10",F2768&lt;=20,"10 to 20", F2768&lt;= 40, "20 to 40", F2768 &lt;= 50, "40 to 50", F2768 &gt; 50, "&gt;50" )</f>
        <v>20 to 40</v>
      </c>
    </row>
    <row r="2769" spans="1:15" ht="15" customHeight="1" x14ac:dyDescent="0.3">
      <c r="A2769" t="s">
        <v>566</v>
      </c>
      <c r="B2769" s="1">
        <v>46217</v>
      </c>
      <c r="C2769" t="s">
        <v>22</v>
      </c>
      <c r="D2769">
        <v>2571</v>
      </c>
      <c r="E2769">
        <v>1</v>
      </c>
      <c r="F2769">
        <v>40</v>
      </c>
      <c r="G2769" t="s">
        <v>21</v>
      </c>
      <c r="I2769" t="str">
        <f t="shared" si="46"/>
        <v>2571_1</v>
      </c>
      <c r="J2769" t="s">
        <v>533</v>
      </c>
      <c r="K2769" t="s">
        <v>115</v>
      </c>
      <c r="L2769" t="str">
        <f>_xlfn.XLOOKUP(C2769, Table2[Species],Table2[Genus], "Code Not Found")</f>
        <v>Acer</v>
      </c>
      <c r="M2769" t="str">
        <f>_xlfn.XLOOKUP(C2769, Table2[Species],Table2[Sp. Name], "Code Not Found")</f>
        <v>rubrum</v>
      </c>
      <c r="N2769" t="str">
        <f>_xlfn.XLOOKUP(C2769,Table2[Species],Table2[Family],"Code Not Found")</f>
        <v>Sapindaceae</v>
      </c>
      <c r="O2769" t="str" cm="1">
        <f t="array" ref="O2769">_xlfn.IFS(F2769="","",F2769&lt;=5,"0 to 5",F2769&lt;=10,"5.1 to 10",F2769&lt;=20,"10 to 20", F2769&lt;= 40, "20 to 40", F2769 &lt;= 50, "40 to 50", F2769 &gt; 50, "&gt;50" )</f>
        <v>20 to 40</v>
      </c>
    </row>
    <row r="2770" spans="1:15" ht="15" customHeight="1" x14ac:dyDescent="0.3">
      <c r="A2770" t="s">
        <v>566</v>
      </c>
      <c r="B2770" s="1">
        <v>46217</v>
      </c>
      <c r="C2770" t="s">
        <v>16</v>
      </c>
      <c r="D2770">
        <v>2572</v>
      </c>
      <c r="E2770">
        <v>1</v>
      </c>
      <c r="F2770">
        <v>6.7</v>
      </c>
      <c r="G2770" t="s">
        <v>17</v>
      </c>
      <c r="H2770" t="s">
        <v>36</v>
      </c>
      <c r="I2770" t="str">
        <f t="shared" si="46"/>
        <v>2572_1</v>
      </c>
      <c r="J2770" t="s">
        <v>533</v>
      </c>
      <c r="K2770" t="s">
        <v>115</v>
      </c>
      <c r="L2770" t="str">
        <f>_xlfn.XLOOKUP(C2770, Table2[Species],Table2[Genus], "Code Not Found")</f>
        <v>Acer</v>
      </c>
      <c r="M2770" t="str">
        <f>_xlfn.XLOOKUP(C2770, Table2[Species],Table2[Sp. Name], "Code Not Found")</f>
        <v>saccharum</v>
      </c>
      <c r="N2770" t="str">
        <f>_xlfn.XLOOKUP(C2770,Table2[Species],Table2[Family],"Code Not Found")</f>
        <v>Sapindaceae</v>
      </c>
      <c r="O2770" t="str" cm="1">
        <f t="array" ref="O2770">_xlfn.IFS(F2770="","",F2770&lt;=5,"0 to 5",F2770&lt;=10,"5.1 to 10",F2770&lt;=20,"10 to 20", F2770&lt;= 40, "20 to 40", F2770 &lt;= 50, "40 to 50", F2770 &gt; 50, "&gt;50" )</f>
        <v>5.1 to 10</v>
      </c>
    </row>
    <row r="2771" spans="1:15" ht="15" customHeight="1" x14ac:dyDescent="0.3">
      <c r="A2771" t="s">
        <v>566</v>
      </c>
      <c r="B2771" s="1">
        <v>46217</v>
      </c>
      <c r="C2771" t="s">
        <v>16</v>
      </c>
      <c r="D2771">
        <v>2573</v>
      </c>
      <c r="E2771">
        <v>1</v>
      </c>
      <c r="F2771">
        <v>24.9</v>
      </c>
      <c r="G2771" t="s">
        <v>573</v>
      </c>
      <c r="H2771" t="s">
        <v>347</v>
      </c>
      <c r="I2771" t="str">
        <f t="shared" si="46"/>
        <v>2573_1</v>
      </c>
      <c r="J2771" t="s">
        <v>533</v>
      </c>
      <c r="K2771" t="s">
        <v>115</v>
      </c>
      <c r="L2771" t="str">
        <f>_xlfn.XLOOKUP(C2771, Table2[Species],Table2[Genus], "Code Not Found")</f>
        <v>Acer</v>
      </c>
      <c r="M2771" t="str">
        <f>_xlfn.XLOOKUP(C2771, Table2[Species],Table2[Sp. Name], "Code Not Found")</f>
        <v>saccharum</v>
      </c>
      <c r="N2771" t="str">
        <f>_xlfn.XLOOKUP(C2771,Table2[Species],Table2[Family],"Code Not Found")</f>
        <v>Sapindaceae</v>
      </c>
      <c r="O2771" t="str" cm="1">
        <f t="array" ref="O2771">_xlfn.IFS(F2771="","",F2771&lt;=5,"0 to 5",F2771&lt;=10,"5.1 to 10",F2771&lt;=20,"10 to 20", F2771&lt;= 40, "20 to 40", F2771 &lt;= 50, "40 to 50", F2771 &gt; 50, "&gt;50" )</f>
        <v>20 to 40</v>
      </c>
    </row>
    <row r="2772" spans="1:15" ht="15" customHeight="1" x14ac:dyDescent="0.3">
      <c r="A2772" t="s">
        <v>566</v>
      </c>
      <c r="B2772" s="1">
        <v>46217</v>
      </c>
      <c r="C2772" t="s">
        <v>16</v>
      </c>
      <c r="D2772">
        <v>2574</v>
      </c>
      <c r="E2772">
        <v>1</v>
      </c>
      <c r="F2772">
        <v>10.7</v>
      </c>
      <c r="G2772" t="s">
        <v>21</v>
      </c>
      <c r="I2772" t="str">
        <f t="shared" si="46"/>
        <v>2574_1</v>
      </c>
      <c r="J2772" t="s">
        <v>533</v>
      </c>
      <c r="K2772" t="s">
        <v>115</v>
      </c>
      <c r="L2772" t="str">
        <f>_xlfn.XLOOKUP(C2772, Table2[Species],Table2[Genus], "Code Not Found")</f>
        <v>Acer</v>
      </c>
      <c r="M2772" t="str">
        <f>_xlfn.XLOOKUP(C2772, Table2[Species],Table2[Sp. Name], "Code Not Found")</f>
        <v>saccharum</v>
      </c>
      <c r="N2772" t="str">
        <f>_xlfn.XLOOKUP(C2772,Table2[Species],Table2[Family],"Code Not Found")</f>
        <v>Sapindaceae</v>
      </c>
      <c r="O2772" t="str" cm="1">
        <f t="array" ref="O2772">_xlfn.IFS(F2772="","",F2772&lt;=5,"0 to 5",F2772&lt;=10,"5.1 to 10",F2772&lt;=20,"10 to 20", F2772&lt;= 40, "20 to 40", F2772 &lt;= 50, "40 to 50", F2772 &gt; 50, "&gt;50" )</f>
        <v>10 to 20</v>
      </c>
    </row>
    <row r="2773" spans="1:15" ht="15" customHeight="1" x14ac:dyDescent="0.3">
      <c r="A2773" t="s">
        <v>566</v>
      </c>
      <c r="B2773" s="1">
        <v>46217</v>
      </c>
      <c r="C2773" t="s">
        <v>16</v>
      </c>
      <c r="D2773">
        <v>2575</v>
      </c>
      <c r="E2773">
        <v>1</v>
      </c>
      <c r="F2773">
        <v>7.4</v>
      </c>
      <c r="G2773" t="s">
        <v>17</v>
      </c>
      <c r="I2773" t="str">
        <f t="shared" si="46"/>
        <v>2575_1</v>
      </c>
      <c r="J2773" t="s">
        <v>533</v>
      </c>
      <c r="K2773" t="s">
        <v>115</v>
      </c>
      <c r="L2773" t="str">
        <f>_xlfn.XLOOKUP(C2773, Table2[Species],Table2[Genus], "Code Not Found")</f>
        <v>Acer</v>
      </c>
      <c r="M2773" t="str">
        <f>_xlfn.XLOOKUP(C2773, Table2[Species],Table2[Sp. Name], "Code Not Found")</f>
        <v>saccharum</v>
      </c>
      <c r="N2773" t="str">
        <f>_xlfn.XLOOKUP(C2773,Table2[Species],Table2[Family],"Code Not Found")</f>
        <v>Sapindaceae</v>
      </c>
      <c r="O2773" t="str" cm="1">
        <f t="array" ref="O2773">_xlfn.IFS(F2773="","",F2773&lt;=5,"0 to 5",F2773&lt;=10,"5.1 to 10",F2773&lt;=20,"10 to 20", F2773&lt;= 40, "20 to 40", F2773 &lt;= 50, "40 to 50", F2773 &gt; 50, "&gt;50" )</f>
        <v>5.1 to 10</v>
      </c>
    </row>
    <row r="2774" spans="1:15" ht="15" customHeight="1" x14ac:dyDescent="0.3">
      <c r="A2774" t="s">
        <v>566</v>
      </c>
      <c r="B2774" s="1">
        <v>46217</v>
      </c>
      <c r="C2774" t="s">
        <v>16</v>
      </c>
      <c r="D2774">
        <v>2576</v>
      </c>
      <c r="E2774">
        <v>1</v>
      </c>
      <c r="F2774">
        <v>6.6</v>
      </c>
      <c r="G2774" t="s">
        <v>56</v>
      </c>
      <c r="I2774" t="str">
        <f t="shared" si="46"/>
        <v>2576_1</v>
      </c>
      <c r="J2774" t="s">
        <v>533</v>
      </c>
      <c r="K2774" t="s">
        <v>115</v>
      </c>
      <c r="L2774" t="str">
        <f>_xlfn.XLOOKUP(C2774, Table2[Species],Table2[Genus], "Code Not Found")</f>
        <v>Acer</v>
      </c>
      <c r="M2774" t="str">
        <f>_xlfn.XLOOKUP(C2774, Table2[Species],Table2[Sp. Name], "Code Not Found")</f>
        <v>saccharum</v>
      </c>
      <c r="N2774" t="str">
        <f>_xlfn.XLOOKUP(C2774,Table2[Species],Table2[Family],"Code Not Found")</f>
        <v>Sapindaceae</v>
      </c>
      <c r="O2774" t="str" cm="1">
        <f t="array" ref="O2774">_xlfn.IFS(F2774="","",F2774&lt;=5,"0 to 5",F2774&lt;=10,"5.1 to 10",F2774&lt;=20,"10 to 20", F2774&lt;= 40, "20 to 40", F2774 &lt;= 50, "40 to 50", F2774 &gt; 50, "&gt;50" )</f>
        <v>5.1 to 10</v>
      </c>
    </row>
    <row r="2775" spans="1:15" ht="15" customHeight="1" x14ac:dyDescent="0.3">
      <c r="A2775" t="s">
        <v>566</v>
      </c>
      <c r="B2775" s="1">
        <v>46217</v>
      </c>
      <c r="C2775" t="s">
        <v>16</v>
      </c>
      <c r="D2775">
        <v>2577</v>
      </c>
      <c r="E2775">
        <v>1</v>
      </c>
      <c r="F2775">
        <v>3.3</v>
      </c>
      <c r="G2775" t="s">
        <v>574</v>
      </c>
      <c r="H2775" t="s">
        <v>575</v>
      </c>
      <c r="I2775" t="str">
        <f t="shared" si="46"/>
        <v>2577_1</v>
      </c>
      <c r="J2775" t="s">
        <v>533</v>
      </c>
      <c r="K2775" t="s">
        <v>115</v>
      </c>
      <c r="L2775" t="str">
        <f>_xlfn.XLOOKUP(C2775, Table2[Species],Table2[Genus], "Code Not Found")</f>
        <v>Acer</v>
      </c>
      <c r="M2775" t="str">
        <f>_xlfn.XLOOKUP(C2775, Table2[Species],Table2[Sp. Name], "Code Not Found")</f>
        <v>saccharum</v>
      </c>
      <c r="N2775" t="str">
        <f>_xlfn.XLOOKUP(C2775,Table2[Species],Table2[Family],"Code Not Found")</f>
        <v>Sapindaceae</v>
      </c>
      <c r="O2775" t="str" cm="1">
        <f t="array" ref="O2775">_xlfn.IFS(F2775="","",F2775&lt;=5,"0 to 5",F2775&lt;=10,"5.1 to 10",F2775&lt;=20,"10 to 20", F2775&lt;= 40, "20 to 40", F2775 &lt;= 50, "40 to 50", F2775 &gt; 50, "&gt;50" )</f>
        <v>0 to 5</v>
      </c>
    </row>
    <row r="2776" spans="1:15" ht="15" customHeight="1" x14ac:dyDescent="0.3">
      <c r="A2776" t="s">
        <v>566</v>
      </c>
      <c r="B2776" s="1">
        <v>46217</v>
      </c>
      <c r="C2776" t="s">
        <v>123</v>
      </c>
      <c r="D2776">
        <v>2578</v>
      </c>
      <c r="E2776">
        <v>1</v>
      </c>
      <c r="F2776">
        <v>71.3</v>
      </c>
      <c r="G2776" t="s">
        <v>21</v>
      </c>
      <c r="I2776" t="str">
        <f t="shared" si="46"/>
        <v>2578_1</v>
      </c>
      <c r="J2776" t="s">
        <v>533</v>
      </c>
      <c r="K2776" t="s">
        <v>115</v>
      </c>
      <c r="L2776" t="str">
        <f>_xlfn.XLOOKUP(C2776, Table2[Species],Table2[Genus], "Code Not Found")</f>
        <v>Quercus</v>
      </c>
      <c r="M2776" t="str">
        <f>_xlfn.XLOOKUP(C2776, Table2[Species],Table2[Sp. Name], "Code Not Found")</f>
        <v>rubra</v>
      </c>
      <c r="N2776" t="str">
        <f>_xlfn.XLOOKUP(C2776,Table2[Species],Table2[Family],"Code Not Found")</f>
        <v>Fagaceae</v>
      </c>
      <c r="O2776" t="str" cm="1">
        <f t="array" ref="O2776">_xlfn.IFS(F2776="","",F2776&lt;=5,"0 to 5",F2776&lt;=10,"5.1 to 10",F2776&lt;=20,"10 to 20", F2776&lt;= 40, "20 to 40", F2776 &lt;= 50, "40 to 50", F2776 &gt; 50, "&gt;50" )</f>
        <v>&gt;50</v>
      </c>
    </row>
    <row r="2777" spans="1:15" ht="15" customHeight="1" x14ac:dyDescent="0.3">
      <c r="A2777" t="s">
        <v>566</v>
      </c>
      <c r="B2777" s="1">
        <v>46217</v>
      </c>
      <c r="C2777" t="s">
        <v>16</v>
      </c>
      <c r="D2777">
        <v>2579</v>
      </c>
      <c r="E2777">
        <v>1</v>
      </c>
      <c r="F2777">
        <v>3.9</v>
      </c>
      <c r="G2777" t="s">
        <v>17</v>
      </c>
      <c r="I2777" t="str">
        <f t="shared" si="46"/>
        <v>2579_1</v>
      </c>
      <c r="J2777" t="s">
        <v>533</v>
      </c>
      <c r="K2777" t="s">
        <v>115</v>
      </c>
      <c r="L2777" t="str">
        <f>_xlfn.XLOOKUP(C2777, Table2[Species],Table2[Genus], "Code Not Found")</f>
        <v>Acer</v>
      </c>
      <c r="M2777" t="str">
        <f>_xlfn.XLOOKUP(C2777, Table2[Species],Table2[Sp. Name], "Code Not Found")</f>
        <v>saccharum</v>
      </c>
      <c r="N2777" t="str">
        <f>_xlfn.XLOOKUP(C2777,Table2[Species],Table2[Family],"Code Not Found")</f>
        <v>Sapindaceae</v>
      </c>
      <c r="O2777" t="str" cm="1">
        <f t="array" ref="O2777">_xlfn.IFS(F2777="","",F2777&lt;=5,"0 to 5",F2777&lt;=10,"5.1 to 10",F2777&lt;=20,"10 to 20", F2777&lt;= 40, "20 to 40", F2777 &lt;= 50, "40 to 50", F2777 &gt; 50, "&gt;50" )</f>
        <v>0 to 5</v>
      </c>
    </row>
    <row r="2778" spans="1:15" ht="15" customHeight="1" x14ac:dyDescent="0.3">
      <c r="A2778" t="s">
        <v>566</v>
      </c>
      <c r="B2778" s="1">
        <v>46217</v>
      </c>
      <c r="C2778" t="s">
        <v>16</v>
      </c>
      <c r="D2778">
        <v>2580</v>
      </c>
      <c r="E2778">
        <v>1</v>
      </c>
      <c r="F2778">
        <v>10.6</v>
      </c>
      <c r="G2778" t="s">
        <v>21</v>
      </c>
      <c r="I2778" t="str">
        <f t="shared" si="46"/>
        <v>2580_1</v>
      </c>
      <c r="J2778" t="s">
        <v>533</v>
      </c>
      <c r="K2778" t="s">
        <v>115</v>
      </c>
      <c r="L2778" t="str">
        <f>_xlfn.XLOOKUP(C2778, Table2[Species],Table2[Genus], "Code Not Found")</f>
        <v>Acer</v>
      </c>
      <c r="M2778" t="str">
        <f>_xlfn.XLOOKUP(C2778, Table2[Species],Table2[Sp. Name], "Code Not Found")</f>
        <v>saccharum</v>
      </c>
      <c r="N2778" t="str">
        <f>_xlfn.XLOOKUP(C2778,Table2[Species],Table2[Family],"Code Not Found")</f>
        <v>Sapindaceae</v>
      </c>
      <c r="O2778" t="str" cm="1">
        <f t="array" ref="O2778">_xlfn.IFS(F2778="","",F2778&lt;=5,"0 to 5",F2778&lt;=10,"5.1 to 10",F2778&lt;=20,"10 to 20", F2778&lt;= 40, "20 to 40", F2778 &lt;= 50, "40 to 50", F2778 &gt; 50, "&gt;50" )</f>
        <v>10 to 20</v>
      </c>
    </row>
    <row r="2779" spans="1:15" ht="15" customHeight="1" x14ac:dyDescent="0.3">
      <c r="A2779" t="s">
        <v>566</v>
      </c>
      <c r="B2779" s="1">
        <v>46217</v>
      </c>
      <c r="C2779" t="s">
        <v>16</v>
      </c>
      <c r="D2779">
        <v>2581</v>
      </c>
      <c r="E2779">
        <v>1</v>
      </c>
      <c r="F2779">
        <v>25.4</v>
      </c>
      <c r="G2779" t="s">
        <v>17</v>
      </c>
      <c r="I2779" t="str">
        <f t="shared" si="46"/>
        <v>2581_1</v>
      </c>
      <c r="J2779" t="s">
        <v>533</v>
      </c>
      <c r="K2779" t="s">
        <v>115</v>
      </c>
      <c r="L2779" t="str">
        <f>_xlfn.XLOOKUP(C2779, Table2[Species],Table2[Genus], "Code Not Found")</f>
        <v>Acer</v>
      </c>
      <c r="M2779" t="str">
        <f>_xlfn.XLOOKUP(C2779, Table2[Species],Table2[Sp. Name], "Code Not Found")</f>
        <v>saccharum</v>
      </c>
      <c r="N2779" t="str">
        <f>_xlfn.XLOOKUP(C2779,Table2[Species],Table2[Family],"Code Not Found")</f>
        <v>Sapindaceae</v>
      </c>
      <c r="O2779" t="str" cm="1">
        <f t="array" ref="O2779">_xlfn.IFS(F2779="","",F2779&lt;=5,"0 to 5",F2779&lt;=10,"5.1 to 10",F2779&lt;=20,"10 to 20", F2779&lt;= 40, "20 to 40", F2779 &lt;= 50, "40 to 50", F2779 &gt; 50, "&gt;50" )</f>
        <v>20 to 40</v>
      </c>
    </row>
    <row r="2780" spans="1:15" ht="15" customHeight="1" x14ac:dyDescent="0.3">
      <c r="A2780" t="s">
        <v>566</v>
      </c>
      <c r="B2780" s="1">
        <v>46217</v>
      </c>
      <c r="C2780" t="s">
        <v>16</v>
      </c>
      <c r="D2780">
        <v>2582</v>
      </c>
      <c r="E2780">
        <v>1</v>
      </c>
      <c r="F2780">
        <v>9.9</v>
      </c>
      <c r="G2780" t="s">
        <v>30</v>
      </c>
      <c r="H2780" t="s">
        <v>99</v>
      </c>
      <c r="I2780" t="str">
        <f t="shared" si="46"/>
        <v>2582_1</v>
      </c>
      <c r="J2780" t="s">
        <v>533</v>
      </c>
      <c r="K2780" t="s">
        <v>115</v>
      </c>
      <c r="L2780" t="str">
        <f>_xlfn.XLOOKUP(C2780, Table2[Species],Table2[Genus], "Code Not Found")</f>
        <v>Acer</v>
      </c>
      <c r="M2780" t="str">
        <f>_xlfn.XLOOKUP(C2780, Table2[Species],Table2[Sp. Name], "Code Not Found")</f>
        <v>saccharum</v>
      </c>
      <c r="N2780" t="str">
        <f>_xlfn.XLOOKUP(C2780,Table2[Species],Table2[Family],"Code Not Found")</f>
        <v>Sapindaceae</v>
      </c>
      <c r="O2780" t="str" cm="1">
        <f t="array" ref="O2780">_xlfn.IFS(F2780="","",F2780&lt;=5,"0 to 5",F2780&lt;=10,"5.1 to 10",F2780&lt;=20,"10 to 20", F2780&lt;= 40, "20 to 40", F2780 &lt;= 50, "40 to 50", F2780 &gt; 50, "&gt;50" )</f>
        <v>5.1 to 10</v>
      </c>
    </row>
    <row r="2781" spans="1:15" ht="15" customHeight="1" x14ac:dyDescent="0.3">
      <c r="A2781" t="s">
        <v>566</v>
      </c>
      <c r="B2781" s="1">
        <v>46217</v>
      </c>
      <c r="C2781" t="s">
        <v>16</v>
      </c>
      <c r="D2781">
        <v>2583</v>
      </c>
      <c r="E2781">
        <v>1</v>
      </c>
      <c r="F2781">
        <v>38</v>
      </c>
      <c r="G2781" t="s">
        <v>17</v>
      </c>
      <c r="I2781" t="str">
        <f t="shared" si="46"/>
        <v>2583_1</v>
      </c>
      <c r="J2781" t="s">
        <v>533</v>
      </c>
      <c r="K2781" t="s">
        <v>115</v>
      </c>
      <c r="L2781" t="str">
        <f>_xlfn.XLOOKUP(C2781, Table2[Species],Table2[Genus], "Code Not Found")</f>
        <v>Acer</v>
      </c>
      <c r="M2781" t="str">
        <f>_xlfn.XLOOKUP(C2781, Table2[Species],Table2[Sp. Name], "Code Not Found")</f>
        <v>saccharum</v>
      </c>
      <c r="N2781" t="str">
        <f>_xlfn.XLOOKUP(C2781,Table2[Species],Table2[Family],"Code Not Found")</f>
        <v>Sapindaceae</v>
      </c>
      <c r="O2781" t="str" cm="1">
        <f t="array" ref="O2781">_xlfn.IFS(F2781="","",F2781&lt;=5,"0 to 5",F2781&lt;=10,"5.1 to 10",F2781&lt;=20,"10 to 20", F2781&lt;= 40, "20 to 40", F2781 &lt;= 50, "40 to 50", F2781 &gt; 50, "&gt;50" )</f>
        <v>20 to 40</v>
      </c>
    </row>
    <row r="2782" spans="1:15" ht="15" customHeight="1" x14ac:dyDescent="0.3">
      <c r="A2782" t="s">
        <v>566</v>
      </c>
      <c r="B2782" s="1">
        <v>46217</v>
      </c>
      <c r="C2782" t="s">
        <v>117</v>
      </c>
      <c r="D2782">
        <v>2584</v>
      </c>
      <c r="E2782">
        <v>1</v>
      </c>
      <c r="F2782">
        <v>3.4</v>
      </c>
      <c r="G2782" t="s">
        <v>21</v>
      </c>
      <c r="I2782" t="str">
        <f t="shared" si="46"/>
        <v>2584_1</v>
      </c>
      <c r="J2782" t="s">
        <v>533</v>
      </c>
      <c r="K2782" t="s">
        <v>115</v>
      </c>
      <c r="L2782" t="str">
        <f>_xlfn.XLOOKUP(C2782, Table2[Species],Table2[Genus], "Code Not Found")</f>
        <v>Ostrya</v>
      </c>
      <c r="M2782" t="str">
        <f>_xlfn.XLOOKUP(C2782, Table2[Species],Table2[Sp. Name], "Code Not Found")</f>
        <v>viginiana</v>
      </c>
      <c r="N2782" t="str">
        <f>_xlfn.XLOOKUP(C2782,Table2[Species],Table2[Family],"Code Not Found")</f>
        <v>Betulaceae</v>
      </c>
      <c r="O2782" t="str" cm="1">
        <f t="array" ref="O2782">_xlfn.IFS(F2782="","",F2782&lt;=5,"0 to 5",F2782&lt;=10,"5.1 to 10",F2782&lt;=20,"10 to 20", F2782&lt;= 40, "20 to 40", F2782 &lt;= 50, "40 to 50", F2782 &gt; 50, "&gt;50" )</f>
        <v>0 to 5</v>
      </c>
    </row>
    <row r="2783" spans="1:15" ht="15" customHeight="1" x14ac:dyDescent="0.3">
      <c r="A2783" t="s">
        <v>566</v>
      </c>
      <c r="B2783" s="1">
        <v>46217</v>
      </c>
      <c r="C2783" t="s">
        <v>16</v>
      </c>
      <c r="D2783">
        <v>2585</v>
      </c>
      <c r="E2783">
        <v>1</v>
      </c>
      <c r="F2783">
        <v>4.5999999999999996</v>
      </c>
      <c r="G2783" t="s">
        <v>47</v>
      </c>
      <c r="H2783" t="s">
        <v>296</v>
      </c>
      <c r="I2783" t="str">
        <f t="shared" si="46"/>
        <v>2585_1</v>
      </c>
      <c r="J2783" t="s">
        <v>533</v>
      </c>
      <c r="K2783" t="s">
        <v>115</v>
      </c>
      <c r="L2783" t="str">
        <f>_xlfn.XLOOKUP(C2783, Table2[Species],Table2[Genus], "Code Not Found")</f>
        <v>Acer</v>
      </c>
      <c r="M2783" t="str">
        <f>_xlfn.XLOOKUP(C2783, Table2[Species],Table2[Sp. Name], "Code Not Found")</f>
        <v>saccharum</v>
      </c>
      <c r="N2783" t="str">
        <f>_xlfn.XLOOKUP(C2783,Table2[Species],Table2[Family],"Code Not Found")</f>
        <v>Sapindaceae</v>
      </c>
      <c r="O2783" t="str" cm="1">
        <f t="array" ref="O2783">_xlfn.IFS(F2783="","",F2783&lt;=5,"0 to 5",F2783&lt;=10,"5.1 to 10",F2783&lt;=20,"10 to 20", F2783&lt;= 40, "20 to 40", F2783 &lt;= 50, "40 to 50", F2783 &gt; 50, "&gt;50" )</f>
        <v>0 to 5</v>
      </c>
    </row>
    <row r="2784" spans="1:15" ht="15" customHeight="1" x14ac:dyDescent="0.3">
      <c r="A2784" t="s">
        <v>566</v>
      </c>
      <c r="B2784" s="1">
        <v>46217</v>
      </c>
      <c r="C2784" t="s">
        <v>16</v>
      </c>
      <c r="D2784">
        <v>2586</v>
      </c>
      <c r="E2784">
        <v>1</v>
      </c>
      <c r="F2784">
        <v>9.5</v>
      </c>
      <c r="G2784" t="s">
        <v>17</v>
      </c>
      <c r="H2784" t="s">
        <v>36</v>
      </c>
      <c r="I2784" t="str">
        <f t="shared" si="46"/>
        <v>2586_1</v>
      </c>
      <c r="J2784" t="s">
        <v>533</v>
      </c>
      <c r="K2784" t="s">
        <v>115</v>
      </c>
      <c r="L2784" t="str">
        <f>_xlfn.XLOOKUP(C2784, Table2[Species],Table2[Genus], "Code Not Found")</f>
        <v>Acer</v>
      </c>
      <c r="M2784" t="str">
        <f>_xlfn.XLOOKUP(C2784, Table2[Species],Table2[Sp. Name], "Code Not Found")</f>
        <v>saccharum</v>
      </c>
      <c r="N2784" t="str">
        <f>_xlfn.XLOOKUP(C2784,Table2[Species],Table2[Family],"Code Not Found")</f>
        <v>Sapindaceae</v>
      </c>
      <c r="O2784" t="str" cm="1">
        <f t="array" ref="O2784">_xlfn.IFS(F2784="","",F2784&lt;=5,"0 to 5",F2784&lt;=10,"5.1 to 10",F2784&lt;=20,"10 to 20", F2784&lt;= 40, "20 to 40", F2784 &lt;= 50, "40 to 50", F2784 &gt; 50, "&gt;50" )</f>
        <v>5.1 to 10</v>
      </c>
    </row>
    <row r="2785" spans="1:15" ht="15" customHeight="1" x14ac:dyDescent="0.3">
      <c r="A2785" t="s">
        <v>566</v>
      </c>
      <c r="B2785" s="1">
        <v>46217</v>
      </c>
      <c r="C2785" t="s">
        <v>572</v>
      </c>
      <c r="D2785">
        <v>2587</v>
      </c>
      <c r="E2785">
        <v>1</v>
      </c>
      <c r="F2785">
        <v>18.7</v>
      </c>
      <c r="G2785" t="s">
        <v>17</v>
      </c>
      <c r="I2785" t="str">
        <f t="shared" ref="I2785:I2848" si="47">D2785&amp;"_"&amp;E2785</f>
        <v>2587_1</v>
      </c>
      <c r="J2785" t="s">
        <v>533</v>
      </c>
      <c r="K2785" t="s">
        <v>115</v>
      </c>
      <c r="L2785" t="str">
        <f>_xlfn.XLOOKUP(C2785, Table2[Species],Table2[Genus], "Code Not Found")</f>
        <v>Carya</v>
      </c>
      <c r="M2785" t="str">
        <f>_xlfn.XLOOKUP(C2785, Table2[Species],Table2[Sp. Name], "Code Not Found")</f>
        <v>ovata</v>
      </c>
      <c r="N2785" t="str">
        <f>_xlfn.XLOOKUP(C2785,Table2[Species],Table2[Family],"Code Not Found")</f>
        <v>Juglandaceae</v>
      </c>
      <c r="O2785" t="str" cm="1">
        <f t="array" ref="O2785">_xlfn.IFS(F2785="","",F2785&lt;=5,"0 to 5",F2785&lt;=10,"5.1 to 10",F2785&lt;=20,"10 to 20", F2785&lt;= 40, "20 to 40", F2785 &lt;= 50, "40 to 50", F2785 &gt; 50, "&gt;50" )</f>
        <v>10 to 20</v>
      </c>
    </row>
    <row r="2786" spans="1:15" ht="15" customHeight="1" x14ac:dyDescent="0.3">
      <c r="A2786" t="s">
        <v>566</v>
      </c>
      <c r="B2786" s="1">
        <v>46217</v>
      </c>
      <c r="C2786" t="s">
        <v>16</v>
      </c>
      <c r="D2786">
        <v>2588</v>
      </c>
      <c r="E2786">
        <v>1</v>
      </c>
      <c r="F2786">
        <v>8.8000000000000007</v>
      </c>
      <c r="G2786" t="s">
        <v>21</v>
      </c>
      <c r="I2786" t="str">
        <f t="shared" si="47"/>
        <v>2588_1</v>
      </c>
      <c r="J2786" t="s">
        <v>533</v>
      </c>
      <c r="K2786" t="s">
        <v>115</v>
      </c>
      <c r="L2786" t="str">
        <f>_xlfn.XLOOKUP(C2786, Table2[Species],Table2[Genus], "Code Not Found")</f>
        <v>Acer</v>
      </c>
      <c r="M2786" t="str">
        <f>_xlfn.XLOOKUP(C2786, Table2[Species],Table2[Sp. Name], "Code Not Found")</f>
        <v>saccharum</v>
      </c>
      <c r="N2786" t="str">
        <f>_xlfn.XLOOKUP(C2786,Table2[Species],Table2[Family],"Code Not Found")</f>
        <v>Sapindaceae</v>
      </c>
      <c r="O2786" t="str" cm="1">
        <f t="array" ref="O2786">_xlfn.IFS(F2786="","",F2786&lt;=5,"0 to 5",F2786&lt;=10,"5.1 to 10",F2786&lt;=20,"10 to 20", F2786&lt;= 40, "20 to 40", F2786 &lt;= 50, "40 to 50", F2786 &gt; 50, "&gt;50" )</f>
        <v>5.1 to 10</v>
      </c>
    </row>
    <row r="2787" spans="1:15" ht="15" customHeight="1" x14ac:dyDescent="0.3">
      <c r="A2787" t="s">
        <v>566</v>
      </c>
      <c r="B2787" s="1">
        <v>46217</v>
      </c>
      <c r="C2787" t="s">
        <v>16</v>
      </c>
      <c r="D2787">
        <v>2589</v>
      </c>
      <c r="E2787">
        <v>1</v>
      </c>
      <c r="F2787">
        <v>3</v>
      </c>
      <c r="G2787" t="s">
        <v>47</v>
      </c>
      <c r="H2787" t="s">
        <v>296</v>
      </c>
      <c r="I2787" t="str">
        <f t="shared" si="47"/>
        <v>2589_1</v>
      </c>
      <c r="J2787" t="s">
        <v>533</v>
      </c>
      <c r="K2787" t="s">
        <v>115</v>
      </c>
      <c r="L2787" t="str">
        <f>_xlfn.XLOOKUP(C2787, Table2[Species],Table2[Genus], "Code Not Found")</f>
        <v>Acer</v>
      </c>
      <c r="M2787" t="str">
        <f>_xlfn.XLOOKUP(C2787, Table2[Species],Table2[Sp. Name], "Code Not Found")</f>
        <v>saccharum</v>
      </c>
      <c r="N2787" t="str">
        <f>_xlfn.XLOOKUP(C2787,Table2[Species],Table2[Family],"Code Not Found")</f>
        <v>Sapindaceae</v>
      </c>
      <c r="O2787" t="str" cm="1">
        <f t="array" ref="O2787">_xlfn.IFS(F2787="","",F2787&lt;=5,"0 to 5",F2787&lt;=10,"5.1 to 10",F2787&lt;=20,"10 to 20", F2787&lt;= 40, "20 to 40", F2787 &lt;= 50, "40 to 50", F2787 &gt; 50, "&gt;50" )</f>
        <v>0 to 5</v>
      </c>
    </row>
    <row r="2788" spans="1:15" ht="15" customHeight="1" x14ac:dyDescent="0.3">
      <c r="A2788" t="s">
        <v>566</v>
      </c>
      <c r="B2788" s="1">
        <v>46217</v>
      </c>
      <c r="C2788" t="s">
        <v>16</v>
      </c>
      <c r="D2788">
        <v>2590</v>
      </c>
      <c r="E2788">
        <v>1</v>
      </c>
      <c r="F2788">
        <v>4.5</v>
      </c>
      <c r="G2788" t="s">
        <v>21</v>
      </c>
      <c r="I2788" t="str">
        <f t="shared" si="47"/>
        <v>2590_1</v>
      </c>
      <c r="J2788" t="s">
        <v>533</v>
      </c>
      <c r="K2788" t="s">
        <v>115</v>
      </c>
      <c r="L2788" t="str">
        <f>_xlfn.XLOOKUP(C2788, Table2[Species],Table2[Genus], "Code Not Found")</f>
        <v>Acer</v>
      </c>
      <c r="M2788" t="str">
        <f>_xlfn.XLOOKUP(C2788, Table2[Species],Table2[Sp. Name], "Code Not Found")</f>
        <v>saccharum</v>
      </c>
      <c r="N2788" t="str">
        <f>_xlfn.XLOOKUP(C2788,Table2[Species],Table2[Family],"Code Not Found")</f>
        <v>Sapindaceae</v>
      </c>
      <c r="O2788" t="str" cm="1">
        <f t="array" ref="O2788">_xlfn.IFS(F2788="","",F2788&lt;=5,"0 to 5",F2788&lt;=10,"5.1 to 10",F2788&lt;=20,"10 to 20", F2788&lt;= 40, "20 to 40", F2788 &lt;= 50, "40 to 50", F2788 &gt; 50, "&gt;50" )</f>
        <v>0 to 5</v>
      </c>
    </row>
    <row r="2789" spans="1:15" ht="15" customHeight="1" x14ac:dyDescent="0.3">
      <c r="A2789" t="s">
        <v>566</v>
      </c>
      <c r="B2789" s="1">
        <v>46217</v>
      </c>
      <c r="C2789" t="s">
        <v>572</v>
      </c>
      <c r="D2789">
        <v>2591</v>
      </c>
      <c r="E2789">
        <v>1</v>
      </c>
      <c r="F2789">
        <v>21.3</v>
      </c>
      <c r="G2789" t="s">
        <v>17</v>
      </c>
      <c r="I2789" t="str">
        <f t="shared" si="47"/>
        <v>2591_1</v>
      </c>
      <c r="J2789" t="s">
        <v>533</v>
      </c>
      <c r="K2789" t="s">
        <v>115</v>
      </c>
      <c r="L2789" t="str">
        <f>_xlfn.XLOOKUP(C2789, Table2[Species],Table2[Genus], "Code Not Found")</f>
        <v>Carya</v>
      </c>
      <c r="M2789" t="str">
        <f>_xlfn.XLOOKUP(C2789, Table2[Species],Table2[Sp. Name], "Code Not Found")</f>
        <v>ovata</v>
      </c>
      <c r="N2789" t="str">
        <f>_xlfn.XLOOKUP(C2789,Table2[Species],Table2[Family],"Code Not Found")</f>
        <v>Juglandaceae</v>
      </c>
      <c r="O2789" t="str" cm="1">
        <f t="array" ref="O2789">_xlfn.IFS(F2789="","",F2789&lt;=5,"0 to 5",F2789&lt;=10,"5.1 to 10",F2789&lt;=20,"10 to 20", F2789&lt;= 40, "20 to 40", F2789 &lt;= 50, "40 to 50", F2789 &gt; 50, "&gt;50" )</f>
        <v>20 to 40</v>
      </c>
    </row>
    <row r="2790" spans="1:15" ht="15" customHeight="1" x14ac:dyDescent="0.3">
      <c r="A2790" t="s">
        <v>566</v>
      </c>
      <c r="B2790" s="1">
        <v>46217</v>
      </c>
      <c r="C2790" t="s">
        <v>16</v>
      </c>
      <c r="D2790">
        <v>2592</v>
      </c>
      <c r="E2790">
        <v>1</v>
      </c>
      <c r="F2790">
        <v>5.6</v>
      </c>
      <c r="G2790" t="s">
        <v>30</v>
      </c>
      <c r="H2790" t="s">
        <v>99</v>
      </c>
      <c r="I2790" t="str">
        <f t="shared" si="47"/>
        <v>2592_1</v>
      </c>
      <c r="J2790" t="s">
        <v>533</v>
      </c>
      <c r="K2790" t="s">
        <v>115</v>
      </c>
      <c r="L2790" t="str">
        <f>_xlfn.XLOOKUP(C2790, Table2[Species],Table2[Genus], "Code Not Found")</f>
        <v>Acer</v>
      </c>
      <c r="M2790" t="str">
        <f>_xlfn.XLOOKUP(C2790, Table2[Species],Table2[Sp. Name], "Code Not Found")</f>
        <v>saccharum</v>
      </c>
      <c r="N2790" t="str">
        <f>_xlfn.XLOOKUP(C2790,Table2[Species],Table2[Family],"Code Not Found")</f>
        <v>Sapindaceae</v>
      </c>
      <c r="O2790" t="str" cm="1">
        <f t="array" ref="O2790">_xlfn.IFS(F2790="","",F2790&lt;=5,"0 to 5",F2790&lt;=10,"5.1 to 10",F2790&lt;=20,"10 to 20", F2790&lt;= 40, "20 to 40", F2790 &lt;= 50, "40 to 50", F2790 &gt; 50, "&gt;50" )</f>
        <v>5.1 to 10</v>
      </c>
    </row>
    <row r="2791" spans="1:15" ht="15" customHeight="1" x14ac:dyDescent="0.3">
      <c r="A2791" t="s">
        <v>566</v>
      </c>
      <c r="B2791" s="1">
        <v>46217</v>
      </c>
      <c r="C2791" t="s">
        <v>572</v>
      </c>
      <c r="D2791">
        <v>2593</v>
      </c>
      <c r="E2791">
        <v>1</v>
      </c>
      <c r="F2791">
        <v>27.8</v>
      </c>
      <c r="G2791" t="s">
        <v>21</v>
      </c>
      <c r="I2791" t="str">
        <f t="shared" si="47"/>
        <v>2593_1</v>
      </c>
      <c r="J2791" t="s">
        <v>533</v>
      </c>
      <c r="K2791" t="s">
        <v>115</v>
      </c>
      <c r="L2791" t="str">
        <f>_xlfn.XLOOKUP(C2791, Table2[Species],Table2[Genus], "Code Not Found")</f>
        <v>Carya</v>
      </c>
      <c r="M2791" t="str">
        <f>_xlfn.XLOOKUP(C2791, Table2[Species],Table2[Sp. Name], "Code Not Found")</f>
        <v>ovata</v>
      </c>
      <c r="N2791" t="str">
        <f>_xlfn.XLOOKUP(C2791,Table2[Species],Table2[Family],"Code Not Found")</f>
        <v>Juglandaceae</v>
      </c>
      <c r="O2791" t="str" cm="1">
        <f t="array" ref="O2791">_xlfn.IFS(F2791="","",F2791&lt;=5,"0 to 5",F2791&lt;=10,"5.1 to 10",F2791&lt;=20,"10 to 20", F2791&lt;= 40, "20 to 40", F2791 &lt;= 50, "40 to 50", F2791 &gt; 50, "&gt;50" )</f>
        <v>20 to 40</v>
      </c>
    </row>
    <row r="2792" spans="1:15" ht="15" customHeight="1" x14ac:dyDescent="0.3">
      <c r="A2792" t="s">
        <v>566</v>
      </c>
      <c r="B2792" s="1">
        <v>46217</v>
      </c>
      <c r="C2792" t="s">
        <v>16</v>
      </c>
      <c r="D2792">
        <v>2594</v>
      </c>
      <c r="E2792">
        <v>1</v>
      </c>
      <c r="F2792">
        <v>13.6</v>
      </c>
      <c r="G2792" t="s">
        <v>17</v>
      </c>
      <c r="H2792" t="s">
        <v>36</v>
      </c>
      <c r="I2792" t="str">
        <f t="shared" si="47"/>
        <v>2594_1</v>
      </c>
      <c r="J2792" t="s">
        <v>533</v>
      </c>
      <c r="K2792" t="s">
        <v>115</v>
      </c>
      <c r="L2792" t="str">
        <f>_xlfn.XLOOKUP(C2792, Table2[Species],Table2[Genus], "Code Not Found")</f>
        <v>Acer</v>
      </c>
      <c r="M2792" t="str">
        <f>_xlfn.XLOOKUP(C2792, Table2[Species],Table2[Sp. Name], "Code Not Found")</f>
        <v>saccharum</v>
      </c>
      <c r="N2792" t="str">
        <f>_xlfn.XLOOKUP(C2792,Table2[Species],Table2[Family],"Code Not Found")</f>
        <v>Sapindaceae</v>
      </c>
      <c r="O2792" t="str" cm="1">
        <f t="array" ref="O2792">_xlfn.IFS(F2792="","",F2792&lt;=5,"0 to 5",F2792&lt;=10,"5.1 to 10",F2792&lt;=20,"10 to 20", F2792&lt;= 40, "20 to 40", F2792 &lt;= 50, "40 to 50", F2792 &gt; 50, "&gt;50" )</f>
        <v>10 to 20</v>
      </c>
    </row>
    <row r="2793" spans="1:15" ht="15" customHeight="1" x14ac:dyDescent="0.3">
      <c r="A2793" t="s">
        <v>566</v>
      </c>
      <c r="B2793" s="1">
        <v>46217</v>
      </c>
      <c r="C2793" t="s">
        <v>16</v>
      </c>
      <c r="D2793">
        <v>2595</v>
      </c>
      <c r="E2793">
        <v>1</v>
      </c>
      <c r="F2793">
        <v>12.7</v>
      </c>
      <c r="G2793" t="s">
        <v>21</v>
      </c>
      <c r="I2793" t="str">
        <f t="shared" si="47"/>
        <v>2595_1</v>
      </c>
      <c r="J2793" t="s">
        <v>533</v>
      </c>
      <c r="K2793" t="s">
        <v>115</v>
      </c>
      <c r="L2793" t="str">
        <f>_xlfn.XLOOKUP(C2793, Table2[Species],Table2[Genus], "Code Not Found")</f>
        <v>Acer</v>
      </c>
      <c r="M2793" t="str">
        <f>_xlfn.XLOOKUP(C2793, Table2[Species],Table2[Sp. Name], "Code Not Found")</f>
        <v>saccharum</v>
      </c>
      <c r="N2793" t="str">
        <f>_xlfn.XLOOKUP(C2793,Table2[Species],Table2[Family],"Code Not Found")</f>
        <v>Sapindaceae</v>
      </c>
      <c r="O2793" t="str" cm="1">
        <f t="array" ref="O2793">_xlfn.IFS(F2793="","",F2793&lt;=5,"0 to 5",F2793&lt;=10,"5.1 to 10",F2793&lt;=20,"10 to 20", F2793&lt;= 40, "20 to 40", F2793 &lt;= 50, "40 to 50", F2793 &gt; 50, "&gt;50" )</f>
        <v>10 to 20</v>
      </c>
    </row>
    <row r="2794" spans="1:15" ht="15" customHeight="1" x14ac:dyDescent="0.3">
      <c r="A2794" t="s">
        <v>566</v>
      </c>
      <c r="B2794" s="1">
        <v>46217</v>
      </c>
      <c r="C2794" t="s">
        <v>129</v>
      </c>
      <c r="D2794">
        <v>2596</v>
      </c>
      <c r="E2794">
        <v>1</v>
      </c>
      <c r="F2794">
        <v>35.700000000000003</v>
      </c>
      <c r="G2794" t="s">
        <v>21</v>
      </c>
      <c r="I2794" t="str">
        <f t="shared" si="47"/>
        <v>2596_1</v>
      </c>
      <c r="J2794" t="s">
        <v>533</v>
      </c>
      <c r="K2794" t="s">
        <v>115</v>
      </c>
      <c r="L2794" t="str">
        <f>_xlfn.XLOOKUP(C2794, Table2[Species],Table2[Genus], "Code Not Found")</f>
        <v>Quercus</v>
      </c>
      <c r="M2794" t="str">
        <f>_xlfn.XLOOKUP(C2794, Table2[Species],Table2[Sp. Name], "Code Not Found")</f>
        <v>alba</v>
      </c>
      <c r="N2794" t="str">
        <f>_xlfn.XLOOKUP(C2794,Table2[Species],Table2[Family],"Code Not Found")</f>
        <v>Fagaceae</v>
      </c>
      <c r="O2794" t="str" cm="1">
        <f t="array" ref="O2794">_xlfn.IFS(F2794="","",F2794&lt;=5,"0 to 5",F2794&lt;=10,"5.1 to 10",F2794&lt;=20,"10 to 20", F2794&lt;= 40, "20 to 40", F2794 &lt;= 50, "40 to 50", F2794 &gt; 50, "&gt;50" )</f>
        <v>20 to 40</v>
      </c>
    </row>
    <row r="2795" spans="1:15" ht="15" customHeight="1" x14ac:dyDescent="0.3">
      <c r="A2795" t="s">
        <v>566</v>
      </c>
      <c r="B2795" s="1">
        <v>46217</v>
      </c>
      <c r="C2795" t="s">
        <v>16</v>
      </c>
      <c r="D2795">
        <v>2597</v>
      </c>
      <c r="E2795">
        <v>1</v>
      </c>
      <c r="F2795">
        <v>31.9</v>
      </c>
      <c r="G2795" t="s">
        <v>17</v>
      </c>
      <c r="I2795" t="str">
        <f t="shared" si="47"/>
        <v>2597_1</v>
      </c>
      <c r="J2795" t="s">
        <v>533</v>
      </c>
      <c r="K2795" t="s">
        <v>115</v>
      </c>
      <c r="L2795" t="str">
        <f>_xlfn.XLOOKUP(C2795, Table2[Species],Table2[Genus], "Code Not Found")</f>
        <v>Acer</v>
      </c>
      <c r="M2795" t="str">
        <f>_xlfn.XLOOKUP(C2795, Table2[Species],Table2[Sp. Name], "Code Not Found")</f>
        <v>saccharum</v>
      </c>
      <c r="N2795" t="str">
        <f>_xlfn.XLOOKUP(C2795,Table2[Species],Table2[Family],"Code Not Found")</f>
        <v>Sapindaceae</v>
      </c>
      <c r="O2795" t="str" cm="1">
        <f t="array" ref="O2795">_xlfn.IFS(F2795="","",F2795&lt;=5,"0 to 5",F2795&lt;=10,"5.1 to 10",F2795&lt;=20,"10 to 20", F2795&lt;= 40, "20 to 40", F2795 &lt;= 50, "40 to 50", F2795 &gt; 50, "&gt;50" )</f>
        <v>20 to 40</v>
      </c>
    </row>
    <row r="2796" spans="1:15" ht="15" customHeight="1" x14ac:dyDescent="0.3">
      <c r="A2796" t="s">
        <v>566</v>
      </c>
      <c r="B2796" s="1">
        <v>46217</v>
      </c>
      <c r="C2796" t="s">
        <v>16</v>
      </c>
      <c r="D2796">
        <v>2598</v>
      </c>
      <c r="E2796">
        <v>1</v>
      </c>
      <c r="F2796">
        <v>5</v>
      </c>
      <c r="G2796" t="s">
        <v>21</v>
      </c>
      <c r="I2796" t="str">
        <f t="shared" si="47"/>
        <v>2598_1</v>
      </c>
      <c r="J2796" t="s">
        <v>533</v>
      </c>
      <c r="K2796" t="s">
        <v>115</v>
      </c>
      <c r="L2796" t="str">
        <f>_xlfn.XLOOKUP(C2796, Table2[Species],Table2[Genus], "Code Not Found")</f>
        <v>Acer</v>
      </c>
      <c r="M2796" t="str">
        <f>_xlfn.XLOOKUP(C2796, Table2[Species],Table2[Sp. Name], "Code Not Found")</f>
        <v>saccharum</v>
      </c>
      <c r="N2796" t="str">
        <f>_xlfn.XLOOKUP(C2796,Table2[Species],Table2[Family],"Code Not Found")</f>
        <v>Sapindaceae</v>
      </c>
      <c r="O2796" t="str" cm="1">
        <f t="array" ref="O2796">_xlfn.IFS(F2796="","",F2796&lt;=5,"0 to 5",F2796&lt;=10,"5.1 to 10",F2796&lt;=20,"10 to 20", F2796&lt;= 40, "20 to 40", F2796 &lt;= 50, "40 to 50", F2796 &gt; 50, "&gt;50" )</f>
        <v>0 to 5</v>
      </c>
    </row>
    <row r="2797" spans="1:15" ht="15" customHeight="1" x14ac:dyDescent="0.3">
      <c r="A2797" t="s">
        <v>566</v>
      </c>
      <c r="B2797" s="1">
        <v>46217</v>
      </c>
      <c r="C2797" t="s">
        <v>16</v>
      </c>
      <c r="D2797">
        <v>2599</v>
      </c>
      <c r="E2797">
        <v>1</v>
      </c>
      <c r="F2797">
        <v>6.9</v>
      </c>
      <c r="G2797" t="s">
        <v>21</v>
      </c>
      <c r="I2797" t="str">
        <f t="shared" si="47"/>
        <v>2599_1</v>
      </c>
      <c r="J2797" t="s">
        <v>533</v>
      </c>
      <c r="K2797" t="s">
        <v>115</v>
      </c>
      <c r="L2797" t="str">
        <f>_xlfn.XLOOKUP(C2797, Table2[Species],Table2[Genus], "Code Not Found")</f>
        <v>Acer</v>
      </c>
      <c r="M2797" t="str">
        <f>_xlfn.XLOOKUP(C2797, Table2[Species],Table2[Sp. Name], "Code Not Found")</f>
        <v>saccharum</v>
      </c>
      <c r="N2797" t="str">
        <f>_xlfn.XLOOKUP(C2797,Table2[Species],Table2[Family],"Code Not Found")</f>
        <v>Sapindaceae</v>
      </c>
      <c r="O2797" t="str" cm="1">
        <f t="array" ref="O2797">_xlfn.IFS(F2797="","",F2797&lt;=5,"0 to 5",F2797&lt;=10,"5.1 to 10",F2797&lt;=20,"10 to 20", F2797&lt;= 40, "20 to 40", F2797 &lt;= 50, "40 to 50", F2797 &gt; 50, "&gt;50" )</f>
        <v>5.1 to 10</v>
      </c>
    </row>
    <row r="2798" spans="1:15" ht="15" customHeight="1" x14ac:dyDescent="0.3">
      <c r="A2798" t="s">
        <v>566</v>
      </c>
      <c r="B2798" s="1">
        <v>46217</v>
      </c>
      <c r="C2798" t="s">
        <v>572</v>
      </c>
      <c r="D2798">
        <v>2600</v>
      </c>
      <c r="E2798">
        <v>1</v>
      </c>
      <c r="F2798">
        <v>22.1</v>
      </c>
      <c r="G2798" t="s">
        <v>21</v>
      </c>
      <c r="I2798" t="str">
        <f t="shared" si="47"/>
        <v>2600_1</v>
      </c>
      <c r="J2798" t="s">
        <v>533</v>
      </c>
      <c r="K2798" t="s">
        <v>115</v>
      </c>
      <c r="L2798" t="str">
        <f>_xlfn.XLOOKUP(C2798, Table2[Species],Table2[Genus], "Code Not Found")</f>
        <v>Carya</v>
      </c>
      <c r="M2798" t="str">
        <f>_xlfn.XLOOKUP(C2798, Table2[Species],Table2[Sp. Name], "Code Not Found")</f>
        <v>ovata</v>
      </c>
      <c r="N2798" t="str">
        <f>_xlfn.XLOOKUP(C2798,Table2[Species],Table2[Family],"Code Not Found")</f>
        <v>Juglandaceae</v>
      </c>
      <c r="O2798" t="str" cm="1">
        <f t="array" ref="O2798">_xlfn.IFS(F2798="","",F2798&lt;=5,"0 to 5",F2798&lt;=10,"5.1 to 10",F2798&lt;=20,"10 to 20", F2798&lt;= 40, "20 to 40", F2798 &lt;= 50, "40 to 50", F2798 &gt; 50, "&gt;50" )</f>
        <v>20 to 40</v>
      </c>
    </row>
    <row r="2799" spans="1:15" ht="15" customHeight="1" x14ac:dyDescent="0.3">
      <c r="A2799" t="s">
        <v>566</v>
      </c>
      <c r="B2799" s="1">
        <v>46218</v>
      </c>
      <c r="C2799" t="s">
        <v>16</v>
      </c>
      <c r="D2799">
        <v>2601</v>
      </c>
      <c r="E2799">
        <v>1</v>
      </c>
      <c r="F2799">
        <v>14.9</v>
      </c>
      <c r="G2799" t="s">
        <v>17</v>
      </c>
      <c r="I2799" t="str">
        <f t="shared" si="47"/>
        <v>2601_1</v>
      </c>
      <c r="J2799" t="s">
        <v>533</v>
      </c>
      <c r="K2799" t="s">
        <v>115</v>
      </c>
      <c r="L2799" t="str">
        <f>_xlfn.XLOOKUP(C2799, Table2[Species],Table2[Genus], "Code Not Found")</f>
        <v>Acer</v>
      </c>
      <c r="M2799" t="str">
        <f>_xlfn.XLOOKUP(C2799, Table2[Species],Table2[Sp. Name], "Code Not Found")</f>
        <v>saccharum</v>
      </c>
      <c r="N2799" t="str">
        <f>_xlfn.XLOOKUP(C2799,Table2[Species],Table2[Family],"Code Not Found")</f>
        <v>Sapindaceae</v>
      </c>
      <c r="O2799" t="str" cm="1">
        <f t="array" ref="O2799">_xlfn.IFS(F2799="","",F2799&lt;=5,"0 to 5",F2799&lt;=10,"5.1 to 10",F2799&lt;=20,"10 to 20", F2799&lt;= 40, "20 to 40", F2799 &lt;= 50, "40 to 50", F2799 &gt; 50, "&gt;50" )</f>
        <v>10 to 20</v>
      </c>
    </row>
    <row r="2800" spans="1:15" ht="15" customHeight="1" x14ac:dyDescent="0.3">
      <c r="A2800" t="s">
        <v>566</v>
      </c>
      <c r="B2800" s="1">
        <v>46218</v>
      </c>
      <c r="C2800" t="s">
        <v>572</v>
      </c>
      <c r="D2800">
        <v>2602</v>
      </c>
      <c r="E2800">
        <v>1</v>
      </c>
      <c r="F2800">
        <v>24.8</v>
      </c>
      <c r="G2800" t="s">
        <v>21</v>
      </c>
      <c r="I2800" t="str">
        <f t="shared" si="47"/>
        <v>2602_1</v>
      </c>
      <c r="J2800" t="s">
        <v>533</v>
      </c>
      <c r="K2800" t="s">
        <v>115</v>
      </c>
      <c r="L2800" t="str">
        <f>_xlfn.XLOOKUP(C2800, Table2[Species],Table2[Genus], "Code Not Found")</f>
        <v>Carya</v>
      </c>
      <c r="M2800" t="str">
        <f>_xlfn.XLOOKUP(C2800, Table2[Species],Table2[Sp. Name], "Code Not Found")</f>
        <v>ovata</v>
      </c>
      <c r="N2800" t="str">
        <f>_xlfn.XLOOKUP(C2800,Table2[Species],Table2[Family],"Code Not Found")</f>
        <v>Juglandaceae</v>
      </c>
      <c r="O2800" t="str" cm="1">
        <f t="array" ref="O2800">_xlfn.IFS(F2800="","",F2800&lt;=5,"0 to 5",F2800&lt;=10,"5.1 to 10",F2800&lt;=20,"10 to 20", F2800&lt;= 40, "20 to 40", F2800 &lt;= 50, "40 to 50", F2800 &gt; 50, "&gt;50" )</f>
        <v>20 to 40</v>
      </c>
    </row>
    <row r="2801" spans="1:15" ht="15" customHeight="1" x14ac:dyDescent="0.3">
      <c r="A2801" t="s">
        <v>566</v>
      </c>
      <c r="B2801" s="1">
        <v>46218</v>
      </c>
      <c r="C2801" t="s">
        <v>16</v>
      </c>
      <c r="D2801">
        <v>2603</v>
      </c>
      <c r="E2801">
        <v>1</v>
      </c>
      <c r="F2801">
        <v>2.2000000000000002</v>
      </c>
      <c r="G2801" t="s">
        <v>47</v>
      </c>
      <c r="H2801" t="s">
        <v>296</v>
      </c>
      <c r="I2801" t="str">
        <f t="shared" si="47"/>
        <v>2603_1</v>
      </c>
      <c r="J2801" t="s">
        <v>533</v>
      </c>
      <c r="K2801" t="s">
        <v>115</v>
      </c>
      <c r="L2801" t="str">
        <f>_xlfn.XLOOKUP(C2801, Table2[Species],Table2[Genus], "Code Not Found")</f>
        <v>Acer</v>
      </c>
      <c r="M2801" t="str">
        <f>_xlfn.XLOOKUP(C2801, Table2[Species],Table2[Sp. Name], "Code Not Found")</f>
        <v>saccharum</v>
      </c>
      <c r="N2801" t="str">
        <f>_xlfn.XLOOKUP(C2801,Table2[Species],Table2[Family],"Code Not Found")</f>
        <v>Sapindaceae</v>
      </c>
      <c r="O2801" t="str" cm="1">
        <f t="array" ref="O2801">_xlfn.IFS(F2801="","",F2801&lt;=5,"0 to 5",F2801&lt;=10,"5.1 to 10",F2801&lt;=20,"10 to 20", F2801&lt;= 40, "20 to 40", F2801 &lt;= 50, "40 to 50", F2801 &gt; 50, "&gt;50" )</f>
        <v>0 to 5</v>
      </c>
    </row>
    <row r="2802" spans="1:15" ht="15" customHeight="1" x14ac:dyDescent="0.3">
      <c r="A2802" t="s">
        <v>566</v>
      </c>
      <c r="B2802" s="1">
        <v>46218</v>
      </c>
      <c r="C2802" t="s">
        <v>16</v>
      </c>
      <c r="D2802">
        <v>2604</v>
      </c>
      <c r="E2802">
        <v>1</v>
      </c>
      <c r="F2802">
        <v>14.1</v>
      </c>
      <c r="G2802" t="s">
        <v>47</v>
      </c>
      <c r="I2802" t="str">
        <f t="shared" si="47"/>
        <v>2604_1</v>
      </c>
      <c r="J2802" t="s">
        <v>533</v>
      </c>
      <c r="K2802" t="s">
        <v>115</v>
      </c>
      <c r="L2802" t="str">
        <f>_xlfn.XLOOKUP(C2802, Table2[Species],Table2[Genus], "Code Not Found")</f>
        <v>Acer</v>
      </c>
      <c r="M2802" t="str">
        <f>_xlfn.XLOOKUP(C2802, Table2[Species],Table2[Sp. Name], "Code Not Found")</f>
        <v>saccharum</v>
      </c>
      <c r="N2802" t="str">
        <f>_xlfn.XLOOKUP(C2802,Table2[Species],Table2[Family],"Code Not Found")</f>
        <v>Sapindaceae</v>
      </c>
      <c r="O2802" t="str" cm="1">
        <f t="array" ref="O2802">_xlfn.IFS(F2802="","",F2802&lt;=5,"0 to 5",F2802&lt;=10,"5.1 to 10",F2802&lt;=20,"10 to 20", F2802&lt;= 40, "20 to 40", F2802 &lt;= 50, "40 to 50", F2802 &gt; 50, "&gt;50" )</f>
        <v>10 to 20</v>
      </c>
    </row>
    <row r="2803" spans="1:15" ht="15" customHeight="1" x14ac:dyDescent="0.3">
      <c r="A2803" t="s">
        <v>566</v>
      </c>
      <c r="B2803" s="1">
        <v>46218</v>
      </c>
      <c r="C2803" t="s">
        <v>187</v>
      </c>
      <c r="D2803">
        <v>2605</v>
      </c>
      <c r="E2803">
        <v>1</v>
      </c>
      <c r="F2803">
        <v>20.399999999999999</v>
      </c>
      <c r="G2803" t="s">
        <v>21</v>
      </c>
      <c r="I2803" t="str">
        <f t="shared" si="47"/>
        <v>2605_1</v>
      </c>
      <c r="J2803" t="s">
        <v>533</v>
      </c>
      <c r="K2803" t="s">
        <v>115</v>
      </c>
      <c r="L2803" t="str">
        <f>_xlfn.XLOOKUP(C2803, Table2[Species],Table2[Genus], "Code Not Found")</f>
        <v>Carya</v>
      </c>
      <c r="M2803" t="str">
        <f>_xlfn.XLOOKUP(C2803, Table2[Species],Table2[Sp. Name], "Code Not Found")</f>
        <v>cordiformis</v>
      </c>
      <c r="N2803" t="str">
        <f>_xlfn.XLOOKUP(C2803,Table2[Species],Table2[Family],"Code Not Found")</f>
        <v>Juglandaceae</v>
      </c>
      <c r="O2803" t="str" cm="1">
        <f t="array" ref="O2803">_xlfn.IFS(F2803="","",F2803&lt;=5,"0 to 5",F2803&lt;=10,"5.1 to 10",F2803&lt;=20,"10 to 20", F2803&lt;= 40, "20 to 40", F2803 &lt;= 50, "40 to 50", F2803 &gt; 50, "&gt;50" )</f>
        <v>20 to 40</v>
      </c>
    </row>
    <row r="2804" spans="1:15" ht="15" customHeight="1" x14ac:dyDescent="0.3">
      <c r="A2804" t="s">
        <v>566</v>
      </c>
      <c r="B2804" s="1">
        <v>46218</v>
      </c>
      <c r="C2804" t="s">
        <v>16</v>
      </c>
      <c r="D2804">
        <v>2606</v>
      </c>
      <c r="E2804">
        <v>1</v>
      </c>
      <c r="F2804">
        <v>3.3</v>
      </c>
      <c r="G2804" t="s">
        <v>47</v>
      </c>
      <c r="I2804" t="str">
        <f t="shared" si="47"/>
        <v>2606_1</v>
      </c>
      <c r="J2804" t="s">
        <v>533</v>
      </c>
      <c r="K2804" t="s">
        <v>115</v>
      </c>
      <c r="L2804" t="str">
        <f>_xlfn.XLOOKUP(C2804, Table2[Species],Table2[Genus], "Code Not Found")</f>
        <v>Acer</v>
      </c>
      <c r="M2804" t="str">
        <f>_xlfn.XLOOKUP(C2804, Table2[Species],Table2[Sp. Name], "Code Not Found")</f>
        <v>saccharum</v>
      </c>
      <c r="N2804" t="str">
        <f>_xlfn.XLOOKUP(C2804,Table2[Species],Table2[Family],"Code Not Found")</f>
        <v>Sapindaceae</v>
      </c>
      <c r="O2804" t="str" cm="1">
        <f t="array" ref="O2804">_xlfn.IFS(F2804="","",F2804&lt;=5,"0 to 5",F2804&lt;=10,"5.1 to 10",F2804&lt;=20,"10 to 20", F2804&lt;= 40, "20 to 40", F2804 &lt;= 50, "40 to 50", F2804 &gt; 50, "&gt;50" )</f>
        <v>0 to 5</v>
      </c>
    </row>
    <row r="2805" spans="1:15" ht="15" customHeight="1" x14ac:dyDescent="0.3">
      <c r="A2805" t="s">
        <v>566</v>
      </c>
      <c r="B2805" s="1">
        <v>46218</v>
      </c>
      <c r="C2805" t="s">
        <v>123</v>
      </c>
      <c r="D2805">
        <v>2607</v>
      </c>
      <c r="E2805">
        <v>1</v>
      </c>
      <c r="F2805">
        <v>50.5</v>
      </c>
      <c r="G2805" t="s">
        <v>21</v>
      </c>
      <c r="I2805" t="str">
        <f t="shared" si="47"/>
        <v>2607_1</v>
      </c>
      <c r="J2805" t="s">
        <v>533</v>
      </c>
      <c r="K2805" t="s">
        <v>115</v>
      </c>
      <c r="L2805" t="str">
        <f>_xlfn.XLOOKUP(C2805, Table2[Species],Table2[Genus], "Code Not Found")</f>
        <v>Quercus</v>
      </c>
      <c r="M2805" t="str">
        <f>_xlfn.XLOOKUP(C2805, Table2[Species],Table2[Sp. Name], "Code Not Found")</f>
        <v>rubra</v>
      </c>
      <c r="N2805" t="str">
        <f>_xlfn.XLOOKUP(C2805,Table2[Species],Table2[Family],"Code Not Found")</f>
        <v>Fagaceae</v>
      </c>
      <c r="O2805" t="str" cm="1">
        <f t="array" ref="O2805">_xlfn.IFS(F2805="","",F2805&lt;=5,"0 to 5",F2805&lt;=10,"5.1 to 10",F2805&lt;=20,"10 to 20", F2805&lt;= 40, "20 to 40", F2805 &lt;= 50, "40 to 50", F2805 &gt; 50, "&gt;50" )</f>
        <v>&gt;50</v>
      </c>
    </row>
    <row r="2806" spans="1:15" ht="15" customHeight="1" x14ac:dyDescent="0.3">
      <c r="A2806" t="s">
        <v>566</v>
      </c>
      <c r="B2806" s="1">
        <v>46218</v>
      </c>
      <c r="C2806" t="s">
        <v>16</v>
      </c>
      <c r="D2806">
        <v>2608</v>
      </c>
      <c r="E2806">
        <v>1</v>
      </c>
      <c r="F2806">
        <v>3.9</v>
      </c>
      <c r="G2806" t="s">
        <v>17</v>
      </c>
      <c r="I2806" t="str">
        <f t="shared" si="47"/>
        <v>2608_1</v>
      </c>
      <c r="J2806" t="s">
        <v>533</v>
      </c>
      <c r="K2806" t="s">
        <v>115</v>
      </c>
      <c r="L2806" t="str">
        <f>_xlfn.XLOOKUP(C2806, Table2[Species],Table2[Genus], "Code Not Found")</f>
        <v>Acer</v>
      </c>
      <c r="M2806" t="str">
        <f>_xlfn.XLOOKUP(C2806, Table2[Species],Table2[Sp. Name], "Code Not Found")</f>
        <v>saccharum</v>
      </c>
      <c r="N2806" t="str">
        <f>_xlfn.XLOOKUP(C2806,Table2[Species],Table2[Family],"Code Not Found")</f>
        <v>Sapindaceae</v>
      </c>
      <c r="O2806" t="str" cm="1">
        <f t="array" ref="O2806">_xlfn.IFS(F2806="","",F2806&lt;=5,"0 to 5",F2806&lt;=10,"5.1 to 10",F2806&lt;=20,"10 to 20", F2806&lt;= 40, "20 to 40", F2806 &lt;= 50, "40 to 50", F2806 &gt; 50, "&gt;50" )</f>
        <v>0 to 5</v>
      </c>
    </row>
    <row r="2807" spans="1:15" ht="15" customHeight="1" x14ac:dyDescent="0.3">
      <c r="A2807" t="s">
        <v>566</v>
      </c>
      <c r="B2807" s="1">
        <v>46218</v>
      </c>
      <c r="C2807" t="s">
        <v>16</v>
      </c>
      <c r="D2807">
        <v>2609</v>
      </c>
      <c r="E2807">
        <v>1</v>
      </c>
      <c r="F2807">
        <v>7.9</v>
      </c>
      <c r="G2807" t="s">
        <v>17</v>
      </c>
      <c r="H2807" t="s">
        <v>36</v>
      </c>
      <c r="I2807" t="str">
        <f t="shared" si="47"/>
        <v>2609_1</v>
      </c>
      <c r="J2807" t="s">
        <v>533</v>
      </c>
      <c r="K2807" t="s">
        <v>115</v>
      </c>
      <c r="L2807" t="str">
        <f>_xlfn.XLOOKUP(C2807, Table2[Species],Table2[Genus], "Code Not Found")</f>
        <v>Acer</v>
      </c>
      <c r="M2807" t="str">
        <f>_xlfn.XLOOKUP(C2807, Table2[Species],Table2[Sp. Name], "Code Not Found")</f>
        <v>saccharum</v>
      </c>
      <c r="N2807" t="str">
        <f>_xlfn.XLOOKUP(C2807,Table2[Species],Table2[Family],"Code Not Found")</f>
        <v>Sapindaceae</v>
      </c>
      <c r="O2807" t="str" cm="1">
        <f t="array" ref="O2807">_xlfn.IFS(F2807="","",F2807&lt;=5,"0 to 5",F2807&lt;=10,"5.1 to 10",F2807&lt;=20,"10 to 20", F2807&lt;= 40, "20 to 40", F2807 &lt;= 50, "40 to 50", F2807 &gt; 50, "&gt;50" )</f>
        <v>5.1 to 10</v>
      </c>
    </row>
    <row r="2808" spans="1:15" ht="15" customHeight="1" x14ac:dyDescent="0.3">
      <c r="A2808" t="s">
        <v>566</v>
      </c>
      <c r="B2808" s="1">
        <v>46218</v>
      </c>
      <c r="C2808" t="s">
        <v>16</v>
      </c>
      <c r="D2808">
        <v>2610</v>
      </c>
      <c r="E2808">
        <v>1</v>
      </c>
      <c r="F2808">
        <v>6</v>
      </c>
      <c r="G2808" t="s">
        <v>47</v>
      </c>
      <c r="I2808" t="str">
        <f t="shared" si="47"/>
        <v>2610_1</v>
      </c>
      <c r="J2808" t="s">
        <v>533</v>
      </c>
      <c r="K2808" t="s">
        <v>115</v>
      </c>
      <c r="L2808" t="str">
        <f>_xlfn.XLOOKUP(C2808, Table2[Species],Table2[Genus], "Code Not Found")</f>
        <v>Acer</v>
      </c>
      <c r="M2808" t="str">
        <f>_xlfn.XLOOKUP(C2808, Table2[Species],Table2[Sp. Name], "Code Not Found")</f>
        <v>saccharum</v>
      </c>
      <c r="N2808" t="str">
        <f>_xlfn.XLOOKUP(C2808,Table2[Species],Table2[Family],"Code Not Found")</f>
        <v>Sapindaceae</v>
      </c>
      <c r="O2808" t="str" cm="1">
        <f t="array" ref="O2808">_xlfn.IFS(F2808="","",F2808&lt;=5,"0 to 5",F2808&lt;=10,"5.1 to 10",F2808&lt;=20,"10 to 20", F2808&lt;= 40, "20 to 40", F2808 &lt;= 50, "40 to 50", F2808 &gt; 50, "&gt;50" )</f>
        <v>5.1 to 10</v>
      </c>
    </row>
    <row r="2809" spans="1:15" ht="15" customHeight="1" x14ac:dyDescent="0.3">
      <c r="A2809" t="s">
        <v>566</v>
      </c>
      <c r="B2809" s="1">
        <v>46218</v>
      </c>
      <c r="C2809" t="s">
        <v>216</v>
      </c>
      <c r="D2809">
        <v>2611</v>
      </c>
      <c r="E2809">
        <v>1</v>
      </c>
      <c r="F2809">
        <v>2.2000000000000002</v>
      </c>
      <c r="G2809" t="s">
        <v>505</v>
      </c>
      <c r="H2809" t="s">
        <v>576</v>
      </c>
      <c r="I2809" t="str">
        <f t="shared" si="47"/>
        <v>2611_1</v>
      </c>
      <c r="J2809" t="s">
        <v>533</v>
      </c>
      <c r="K2809" t="s">
        <v>115</v>
      </c>
      <c r="L2809" t="str">
        <f>_xlfn.XLOOKUP(C2809, Table2[Species],Table2[Genus], "Code Not Found")</f>
        <v>Crataegus</v>
      </c>
      <c r="M2809" t="str">
        <f>_xlfn.XLOOKUP(C2809, Table2[Species],Table2[Sp. Name], "Code Not Found")</f>
        <v>species</v>
      </c>
      <c r="N2809" t="str">
        <f>_xlfn.XLOOKUP(C2809,Table2[Species],Table2[Family],"Code Not Found")</f>
        <v>Rosaceae</v>
      </c>
      <c r="O2809" t="str" cm="1">
        <f t="array" ref="O2809">_xlfn.IFS(F2809="","",F2809&lt;=5,"0 to 5",F2809&lt;=10,"5.1 to 10",F2809&lt;=20,"10 to 20", F2809&lt;= 40, "20 to 40", F2809 &lt;= 50, "40 to 50", F2809 &gt; 50, "&gt;50" )</f>
        <v>0 to 5</v>
      </c>
    </row>
    <row r="2810" spans="1:15" ht="15" customHeight="1" x14ac:dyDescent="0.3">
      <c r="A2810" t="s">
        <v>566</v>
      </c>
      <c r="B2810" s="1">
        <v>46218</v>
      </c>
      <c r="C2810" t="s">
        <v>572</v>
      </c>
      <c r="D2810">
        <v>2612</v>
      </c>
      <c r="E2810">
        <v>1</v>
      </c>
      <c r="F2810">
        <v>15.9</v>
      </c>
      <c r="G2810" t="s">
        <v>21</v>
      </c>
      <c r="I2810" t="str">
        <f t="shared" si="47"/>
        <v>2612_1</v>
      </c>
      <c r="J2810" t="s">
        <v>533</v>
      </c>
      <c r="K2810" t="s">
        <v>115</v>
      </c>
      <c r="L2810" t="str">
        <f>_xlfn.XLOOKUP(C2810, Table2[Species],Table2[Genus], "Code Not Found")</f>
        <v>Carya</v>
      </c>
      <c r="M2810" t="str">
        <f>_xlfn.XLOOKUP(C2810, Table2[Species],Table2[Sp. Name], "Code Not Found")</f>
        <v>ovata</v>
      </c>
      <c r="N2810" t="str">
        <f>_xlfn.XLOOKUP(C2810,Table2[Species],Table2[Family],"Code Not Found")</f>
        <v>Juglandaceae</v>
      </c>
      <c r="O2810" t="str" cm="1">
        <f t="array" ref="O2810">_xlfn.IFS(F2810="","",F2810&lt;=5,"0 to 5",F2810&lt;=10,"5.1 to 10",F2810&lt;=20,"10 to 20", F2810&lt;= 40, "20 to 40", F2810 &lt;= 50, "40 to 50", F2810 &gt; 50, "&gt;50" )</f>
        <v>10 to 20</v>
      </c>
    </row>
    <row r="2811" spans="1:15" ht="15" customHeight="1" x14ac:dyDescent="0.3">
      <c r="A2811" t="s">
        <v>566</v>
      </c>
      <c r="B2811" s="1">
        <v>46218</v>
      </c>
      <c r="C2811" t="s">
        <v>16</v>
      </c>
      <c r="D2811">
        <v>2613</v>
      </c>
      <c r="E2811">
        <v>1</v>
      </c>
      <c r="F2811">
        <v>5.5</v>
      </c>
      <c r="G2811" t="s">
        <v>17</v>
      </c>
      <c r="I2811" t="str">
        <f t="shared" si="47"/>
        <v>2613_1</v>
      </c>
      <c r="J2811" t="s">
        <v>533</v>
      </c>
      <c r="K2811" t="s">
        <v>115</v>
      </c>
      <c r="L2811" t="str">
        <f>_xlfn.XLOOKUP(C2811, Table2[Species],Table2[Genus], "Code Not Found")</f>
        <v>Acer</v>
      </c>
      <c r="M2811" t="str">
        <f>_xlfn.XLOOKUP(C2811, Table2[Species],Table2[Sp. Name], "Code Not Found")</f>
        <v>saccharum</v>
      </c>
      <c r="N2811" t="str">
        <f>_xlfn.XLOOKUP(C2811,Table2[Species],Table2[Family],"Code Not Found")</f>
        <v>Sapindaceae</v>
      </c>
      <c r="O2811" t="str" cm="1">
        <f t="array" ref="O2811">_xlfn.IFS(F2811="","",F2811&lt;=5,"0 to 5",F2811&lt;=10,"5.1 to 10",F2811&lt;=20,"10 to 20", F2811&lt;= 40, "20 to 40", F2811 &lt;= 50, "40 to 50", F2811 &gt; 50, "&gt;50" )</f>
        <v>5.1 to 10</v>
      </c>
    </row>
    <row r="2812" spans="1:15" ht="15" customHeight="1" x14ac:dyDescent="0.3">
      <c r="A2812" t="s">
        <v>566</v>
      </c>
      <c r="B2812" s="1">
        <v>46218</v>
      </c>
      <c r="C2812" t="s">
        <v>16</v>
      </c>
      <c r="D2812">
        <v>2614</v>
      </c>
      <c r="E2812">
        <v>1</v>
      </c>
      <c r="F2812">
        <v>5.2</v>
      </c>
      <c r="G2812" t="s">
        <v>30</v>
      </c>
      <c r="H2812" t="s">
        <v>99</v>
      </c>
      <c r="I2812" t="str">
        <f t="shared" si="47"/>
        <v>2614_1</v>
      </c>
      <c r="J2812" t="s">
        <v>533</v>
      </c>
      <c r="K2812" t="s">
        <v>115</v>
      </c>
      <c r="L2812" t="str">
        <f>_xlfn.XLOOKUP(C2812, Table2[Species],Table2[Genus], "Code Not Found")</f>
        <v>Acer</v>
      </c>
      <c r="M2812" t="str">
        <f>_xlfn.XLOOKUP(C2812, Table2[Species],Table2[Sp. Name], "Code Not Found")</f>
        <v>saccharum</v>
      </c>
      <c r="N2812" t="str">
        <f>_xlfn.XLOOKUP(C2812,Table2[Species],Table2[Family],"Code Not Found")</f>
        <v>Sapindaceae</v>
      </c>
      <c r="O2812" t="str" cm="1">
        <f t="array" ref="O2812">_xlfn.IFS(F2812="","",F2812&lt;=5,"0 to 5",F2812&lt;=10,"5.1 to 10",F2812&lt;=20,"10 to 20", F2812&lt;= 40, "20 to 40", F2812 &lt;= 50, "40 to 50", F2812 &gt; 50, "&gt;50" )</f>
        <v>5.1 to 10</v>
      </c>
    </row>
    <row r="2813" spans="1:15" ht="15" customHeight="1" x14ac:dyDescent="0.3">
      <c r="A2813" t="s">
        <v>566</v>
      </c>
      <c r="B2813" s="1">
        <v>46218</v>
      </c>
      <c r="C2813" t="s">
        <v>16</v>
      </c>
      <c r="D2813">
        <v>2615</v>
      </c>
      <c r="E2813">
        <v>1</v>
      </c>
      <c r="F2813">
        <v>4.4000000000000004</v>
      </c>
      <c r="G2813" t="s">
        <v>577</v>
      </c>
      <c r="H2813" t="s">
        <v>296</v>
      </c>
      <c r="I2813" t="str">
        <f t="shared" si="47"/>
        <v>2615_1</v>
      </c>
      <c r="J2813" t="s">
        <v>533</v>
      </c>
      <c r="K2813" t="s">
        <v>115</v>
      </c>
      <c r="L2813" t="str">
        <f>_xlfn.XLOOKUP(C2813, Table2[Species],Table2[Genus], "Code Not Found")</f>
        <v>Acer</v>
      </c>
      <c r="M2813" t="str">
        <f>_xlfn.XLOOKUP(C2813, Table2[Species],Table2[Sp. Name], "Code Not Found")</f>
        <v>saccharum</v>
      </c>
      <c r="N2813" t="str">
        <f>_xlfn.XLOOKUP(C2813,Table2[Species],Table2[Family],"Code Not Found")</f>
        <v>Sapindaceae</v>
      </c>
      <c r="O2813" t="str" cm="1">
        <f t="array" ref="O2813">_xlfn.IFS(F2813="","",F2813&lt;=5,"0 to 5",F2813&lt;=10,"5.1 to 10",F2813&lt;=20,"10 to 20", F2813&lt;= 40, "20 to 40", F2813 &lt;= 50, "40 to 50", F2813 &gt; 50, "&gt;50" )</f>
        <v>0 to 5</v>
      </c>
    </row>
    <row r="2814" spans="1:15" ht="15" customHeight="1" x14ac:dyDescent="0.3">
      <c r="A2814" t="s">
        <v>566</v>
      </c>
      <c r="B2814" s="1">
        <v>46218</v>
      </c>
      <c r="C2814" t="s">
        <v>16</v>
      </c>
      <c r="D2814">
        <v>2616</v>
      </c>
      <c r="E2814">
        <v>1</v>
      </c>
      <c r="F2814">
        <v>25.5</v>
      </c>
      <c r="G2814" t="s">
        <v>17</v>
      </c>
      <c r="H2814" t="s">
        <v>36</v>
      </c>
      <c r="I2814" t="str">
        <f t="shared" si="47"/>
        <v>2616_1</v>
      </c>
      <c r="J2814" t="s">
        <v>533</v>
      </c>
      <c r="K2814" t="s">
        <v>115</v>
      </c>
      <c r="L2814" t="str">
        <f>_xlfn.XLOOKUP(C2814, Table2[Species],Table2[Genus], "Code Not Found")</f>
        <v>Acer</v>
      </c>
      <c r="M2814" t="str">
        <f>_xlfn.XLOOKUP(C2814, Table2[Species],Table2[Sp. Name], "Code Not Found")</f>
        <v>saccharum</v>
      </c>
      <c r="N2814" t="str">
        <f>_xlfn.XLOOKUP(C2814,Table2[Species],Table2[Family],"Code Not Found")</f>
        <v>Sapindaceae</v>
      </c>
      <c r="O2814" t="str" cm="1">
        <f t="array" ref="O2814">_xlfn.IFS(F2814="","",F2814&lt;=5,"0 to 5",F2814&lt;=10,"5.1 to 10",F2814&lt;=20,"10 to 20", F2814&lt;= 40, "20 to 40", F2814 &lt;= 50, "40 to 50", F2814 &gt; 50, "&gt;50" )</f>
        <v>20 to 40</v>
      </c>
    </row>
    <row r="2815" spans="1:15" ht="15" customHeight="1" x14ac:dyDescent="0.3">
      <c r="A2815" t="s">
        <v>566</v>
      </c>
      <c r="B2815" s="1">
        <v>46218</v>
      </c>
      <c r="C2815" t="s">
        <v>16</v>
      </c>
      <c r="D2815">
        <v>2617</v>
      </c>
      <c r="E2815">
        <v>1</v>
      </c>
      <c r="F2815">
        <v>6.7</v>
      </c>
      <c r="G2815" t="s">
        <v>381</v>
      </c>
      <c r="H2815" t="s">
        <v>578</v>
      </c>
      <c r="I2815" t="str">
        <f t="shared" si="47"/>
        <v>2617_1</v>
      </c>
      <c r="J2815" t="s">
        <v>533</v>
      </c>
      <c r="K2815" t="s">
        <v>115</v>
      </c>
      <c r="L2815" t="str">
        <f>_xlfn.XLOOKUP(C2815, Table2[Species],Table2[Genus], "Code Not Found")</f>
        <v>Acer</v>
      </c>
      <c r="M2815" t="str">
        <f>_xlfn.XLOOKUP(C2815, Table2[Species],Table2[Sp. Name], "Code Not Found")</f>
        <v>saccharum</v>
      </c>
      <c r="N2815" t="str">
        <f>_xlfn.XLOOKUP(C2815,Table2[Species],Table2[Family],"Code Not Found")</f>
        <v>Sapindaceae</v>
      </c>
      <c r="O2815" t="str" cm="1">
        <f t="array" ref="O2815">_xlfn.IFS(F2815="","",F2815&lt;=5,"0 to 5",F2815&lt;=10,"5.1 to 10",F2815&lt;=20,"10 to 20", F2815&lt;= 40, "20 to 40", F2815 &lt;= 50, "40 to 50", F2815 &gt; 50, "&gt;50" )</f>
        <v>5.1 to 10</v>
      </c>
    </row>
    <row r="2816" spans="1:15" ht="15" customHeight="1" x14ac:dyDescent="0.3">
      <c r="A2816" t="s">
        <v>566</v>
      </c>
      <c r="B2816" s="1">
        <v>46218</v>
      </c>
      <c r="C2816" t="s">
        <v>16</v>
      </c>
      <c r="D2816">
        <v>2618</v>
      </c>
      <c r="E2816">
        <v>1</v>
      </c>
      <c r="F2816">
        <v>7.2</v>
      </c>
      <c r="G2816" t="s">
        <v>17</v>
      </c>
      <c r="H2816" t="s">
        <v>36</v>
      </c>
      <c r="I2816" t="str">
        <f t="shared" si="47"/>
        <v>2618_1</v>
      </c>
      <c r="J2816" t="s">
        <v>533</v>
      </c>
      <c r="K2816" t="s">
        <v>115</v>
      </c>
      <c r="L2816" t="str">
        <f>_xlfn.XLOOKUP(C2816, Table2[Species],Table2[Genus], "Code Not Found")</f>
        <v>Acer</v>
      </c>
      <c r="M2816" t="str">
        <f>_xlfn.XLOOKUP(C2816, Table2[Species],Table2[Sp. Name], "Code Not Found")</f>
        <v>saccharum</v>
      </c>
      <c r="N2816" t="str">
        <f>_xlfn.XLOOKUP(C2816,Table2[Species],Table2[Family],"Code Not Found")</f>
        <v>Sapindaceae</v>
      </c>
      <c r="O2816" t="str" cm="1">
        <f t="array" ref="O2816">_xlfn.IFS(F2816="","",F2816&lt;=5,"0 to 5",F2816&lt;=10,"5.1 to 10",F2816&lt;=20,"10 to 20", F2816&lt;= 40, "20 to 40", F2816 &lt;= 50, "40 to 50", F2816 &gt; 50, "&gt;50" )</f>
        <v>5.1 to 10</v>
      </c>
    </row>
    <row r="2817" spans="1:15" ht="15" customHeight="1" x14ac:dyDescent="0.3">
      <c r="A2817" t="s">
        <v>566</v>
      </c>
      <c r="B2817" s="1">
        <v>46218</v>
      </c>
      <c r="C2817" t="s">
        <v>572</v>
      </c>
      <c r="D2817">
        <v>2619</v>
      </c>
      <c r="E2817">
        <v>1</v>
      </c>
      <c r="F2817">
        <v>6.7</v>
      </c>
      <c r="G2817" t="s">
        <v>537</v>
      </c>
      <c r="H2817" t="s">
        <v>347</v>
      </c>
      <c r="I2817" t="str">
        <f t="shared" si="47"/>
        <v>2619_1</v>
      </c>
      <c r="J2817" t="s">
        <v>533</v>
      </c>
      <c r="K2817" t="s">
        <v>115</v>
      </c>
      <c r="L2817" t="str">
        <f>_xlfn.XLOOKUP(C2817, Table2[Species],Table2[Genus], "Code Not Found")</f>
        <v>Carya</v>
      </c>
      <c r="M2817" t="str">
        <f>_xlfn.XLOOKUP(C2817, Table2[Species],Table2[Sp. Name], "Code Not Found")</f>
        <v>ovata</v>
      </c>
      <c r="N2817" t="str">
        <f>_xlfn.XLOOKUP(C2817,Table2[Species],Table2[Family],"Code Not Found")</f>
        <v>Juglandaceae</v>
      </c>
      <c r="O2817" t="str" cm="1">
        <f t="array" ref="O2817">_xlfn.IFS(F2817="","",F2817&lt;=5,"0 to 5",F2817&lt;=10,"5.1 to 10",F2817&lt;=20,"10 to 20", F2817&lt;= 40, "20 to 40", F2817 &lt;= 50, "40 to 50", F2817 &gt; 50, "&gt;50" )</f>
        <v>5.1 to 10</v>
      </c>
    </row>
    <row r="2818" spans="1:15" ht="15" customHeight="1" x14ac:dyDescent="0.3">
      <c r="A2818" t="s">
        <v>566</v>
      </c>
      <c r="B2818" s="1">
        <v>46218</v>
      </c>
      <c r="C2818" t="s">
        <v>16</v>
      </c>
      <c r="D2818">
        <v>2620</v>
      </c>
      <c r="E2818">
        <v>1</v>
      </c>
      <c r="F2818">
        <v>2.2000000000000002</v>
      </c>
      <c r="G2818" t="s">
        <v>47</v>
      </c>
      <c r="I2818" t="str">
        <f t="shared" si="47"/>
        <v>2620_1</v>
      </c>
      <c r="J2818" t="s">
        <v>533</v>
      </c>
      <c r="K2818" t="s">
        <v>115</v>
      </c>
      <c r="L2818" t="str">
        <f>_xlfn.XLOOKUP(C2818, Table2[Species],Table2[Genus], "Code Not Found")</f>
        <v>Acer</v>
      </c>
      <c r="M2818" t="str">
        <f>_xlfn.XLOOKUP(C2818, Table2[Species],Table2[Sp. Name], "Code Not Found")</f>
        <v>saccharum</v>
      </c>
      <c r="N2818" t="str">
        <f>_xlfn.XLOOKUP(C2818,Table2[Species],Table2[Family],"Code Not Found")</f>
        <v>Sapindaceae</v>
      </c>
      <c r="O2818" t="str" cm="1">
        <f t="array" ref="O2818">_xlfn.IFS(F2818="","",F2818&lt;=5,"0 to 5",F2818&lt;=10,"5.1 to 10",F2818&lt;=20,"10 to 20", F2818&lt;= 40, "20 to 40", F2818 &lt;= 50, "40 to 50", F2818 &gt; 50, "&gt;50" )</f>
        <v>0 to 5</v>
      </c>
    </row>
    <row r="2819" spans="1:15" ht="15" customHeight="1" x14ac:dyDescent="0.3">
      <c r="A2819" t="s">
        <v>566</v>
      </c>
      <c r="B2819" s="1">
        <v>46218</v>
      </c>
      <c r="C2819" t="s">
        <v>16</v>
      </c>
      <c r="D2819">
        <v>2621</v>
      </c>
      <c r="E2819">
        <v>1</v>
      </c>
      <c r="F2819">
        <v>4.4000000000000004</v>
      </c>
      <c r="G2819" t="s">
        <v>577</v>
      </c>
      <c r="H2819" t="s">
        <v>579</v>
      </c>
      <c r="I2819" t="str">
        <f t="shared" si="47"/>
        <v>2621_1</v>
      </c>
      <c r="J2819" t="s">
        <v>533</v>
      </c>
      <c r="K2819" t="s">
        <v>115</v>
      </c>
      <c r="L2819" t="str">
        <f>_xlfn.XLOOKUP(C2819, Table2[Species],Table2[Genus], "Code Not Found")</f>
        <v>Acer</v>
      </c>
      <c r="M2819" t="str">
        <f>_xlfn.XLOOKUP(C2819, Table2[Species],Table2[Sp. Name], "Code Not Found")</f>
        <v>saccharum</v>
      </c>
      <c r="N2819" t="str">
        <f>_xlfn.XLOOKUP(C2819,Table2[Species],Table2[Family],"Code Not Found")</f>
        <v>Sapindaceae</v>
      </c>
      <c r="O2819" t="str" cm="1">
        <f t="array" ref="O2819">_xlfn.IFS(F2819="","",F2819&lt;=5,"0 to 5",F2819&lt;=10,"5.1 to 10",F2819&lt;=20,"10 to 20", F2819&lt;= 40, "20 to 40", F2819 &lt;= 50, "40 to 50", F2819 &gt; 50, "&gt;50" )</f>
        <v>0 to 5</v>
      </c>
    </row>
    <row r="2820" spans="1:15" ht="15" customHeight="1" x14ac:dyDescent="0.3">
      <c r="A2820" t="s">
        <v>566</v>
      </c>
      <c r="B2820" s="1">
        <v>46218</v>
      </c>
      <c r="C2820" t="s">
        <v>117</v>
      </c>
      <c r="D2820">
        <v>2622</v>
      </c>
      <c r="E2820">
        <v>1</v>
      </c>
      <c r="F2820">
        <v>7.9</v>
      </c>
      <c r="G2820" t="s">
        <v>21</v>
      </c>
      <c r="I2820" t="str">
        <f t="shared" si="47"/>
        <v>2622_1</v>
      </c>
      <c r="J2820" t="s">
        <v>533</v>
      </c>
      <c r="K2820" t="s">
        <v>115</v>
      </c>
      <c r="L2820" t="str">
        <f>_xlfn.XLOOKUP(C2820, Table2[Species],Table2[Genus], "Code Not Found")</f>
        <v>Ostrya</v>
      </c>
      <c r="M2820" t="str">
        <f>_xlfn.XLOOKUP(C2820, Table2[Species],Table2[Sp. Name], "Code Not Found")</f>
        <v>viginiana</v>
      </c>
      <c r="N2820" t="str">
        <f>_xlfn.XLOOKUP(C2820,Table2[Species],Table2[Family],"Code Not Found")</f>
        <v>Betulaceae</v>
      </c>
      <c r="O2820" t="str" cm="1">
        <f t="array" ref="O2820">_xlfn.IFS(F2820="","",F2820&lt;=5,"0 to 5",F2820&lt;=10,"5.1 to 10",F2820&lt;=20,"10 to 20", F2820&lt;= 40, "20 to 40", F2820 &lt;= 50, "40 to 50", F2820 &gt; 50, "&gt;50" )</f>
        <v>5.1 to 10</v>
      </c>
    </row>
    <row r="2821" spans="1:15" ht="15" customHeight="1" x14ac:dyDescent="0.3">
      <c r="A2821" t="s">
        <v>566</v>
      </c>
      <c r="B2821" s="1">
        <v>46218</v>
      </c>
      <c r="C2821" t="s">
        <v>16</v>
      </c>
      <c r="D2821">
        <v>2623</v>
      </c>
      <c r="E2821">
        <v>1</v>
      </c>
      <c r="F2821">
        <v>3.4</v>
      </c>
      <c r="G2821" t="s">
        <v>505</v>
      </c>
      <c r="H2821" t="s">
        <v>576</v>
      </c>
      <c r="I2821" t="str">
        <f t="shared" si="47"/>
        <v>2623_1</v>
      </c>
      <c r="J2821" t="s">
        <v>533</v>
      </c>
      <c r="K2821" t="s">
        <v>115</v>
      </c>
      <c r="L2821" t="str">
        <f>_xlfn.XLOOKUP(C2821, Table2[Species],Table2[Genus], "Code Not Found")</f>
        <v>Acer</v>
      </c>
      <c r="M2821" t="str">
        <f>_xlfn.XLOOKUP(C2821, Table2[Species],Table2[Sp. Name], "Code Not Found")</f>
        <v>saccharum</v>
      </c>
      <c r="N2821" t="str">
        <f>_xlfn.XLOOKUP(C2821,Table2[Species],Table2[Family],"Code Not Found")</f>
        <v>Sapindaceae</v>
      </c>
      <c r="O2821" t="str" cm="1">
        <f t="array" ref="O2821">_xlfn.IFS(F2821="","",F2821&lt;=5,"0 to 5",F2821&lt;=10,"5.1 to 10",F2821&lt;=20,"10 to 20", F2821&lt;= 40, "20 to 40", F2821 &lt;= 50, "40 to 50", F2821 &gt; 50, "&gt;50" )</f>
        <v>0 to 5</v>
      </c>
    </row>
    <row r="2822" spans="1:15" ht="15" customHeight="1" x14ac:dyDescent="0.3">
      <c r="A2822" t="s">
        <v>566</v>
      </c>
      <c r="B2822" s="1">
        <v>46218</v>
      </c>
      <c r="C2822" t="s">
        <v>16</v>
      </c>
      <c r="D2822">
        <v>2624</v>
      </c>
      <c r="E2822">
        <v>1</v>
      </c>
      <c r="F2822">
        <v>4</v>
      </c>
      <c r="G2822" t="s">
        <v>17</v>
      </c>
      <c r="I2822" t="str">
        <f t="shared" si="47"/>
        <v>2624_1</v>
      </c>
      <c r="J2822" t="s">
        <v>533</v>
      </c>
      <c r="K2822" t="s">
        <v>115</v>
      </c>
      <c r="L2822" t="str">
        <f>_xlfn.XLOOKUP(C2822, Table2[Species],Table2[Genus], "Code Not Found")</f>
        <v>Acer</v>
      </c>
      <c r="M2822" t="str">
        <f>_xlfn.XLOOKUP(C2822, Table2[Species],Table2[Sp. Name], "Code Not Found")</f>
        <v>saccharum</v>
      </c>
      <c r="N2822" t="str">
        <f>_xlfn.XLOOKUP(C2822,Table2[Species],Table2[Family],"Code Not Found")</f>
        <v>Sapindaceae</v>
      </c>
      <c r="O2822" t="str" cm="1">
        <f t="array" ref="O2822">_xlfn.IFS(F2822="","",F2822&lt;=5,"0 to 5",F2822&lt;=10,"5.1 to 10",F2822&lt;=20,"10 to 20", F2822&lt;= 40, "20 to 40", F2822 &lt;= 50, "40 to 50", F2822 &gt; 50, "&gt;50" )</f>
        <v>0 to 5</v>
      </c>
    </row>
    <row r="2823" spans="1:15" ht="15" customHeight="1" x14ac:dyDescent="0.3">
      <c r="A2823" t="s">
        <v>566</v>
      </c>
      <c r="B2823" s="1">
        <v>46218</v>
      </c>
      <c r="C2823" t="s">
        <v>572</v>
      </c>
      <c r="D2823">
        <v>2625</v>
      </c>
      <c r="E2823">
        <v>1</v>
      </c>
      <c r="F2823">
        <v>15.1</v>
      </c>
      <c r="G2823" t="s">
        <v>17</v>
      </c>
      <c r="I2823" t="str">
        <f t="shared" si="47"/>
        <v>2625_1</v>
      </c>
      <c r="J2823" t="s">
        <v>533</v>
      </c>
      <c r="K2823" t="s">
        <v>115</v>
      </c>
      <c r="L2823" t="str">
        <f>_xlfn.XLOOKUP(C2823, Table2[Species],Table2[Genus], "Code Not Found")</f>
        <v>Carya</v>
      </c>
      <c r="M2823" t="str">
        <f>_xlfn.XLOOKUP(C2823, Table2[Species],Table2[Sp. Name], "Code Not Found")</f>
        <v>ovata</v>
      </c>
      <c r="N2823" t="str">
        <f>_xlfn.XLOOKUP(C2823,Table2[Species],Table2[Family],"Code Not Found")</f>
        <v>Juglandaceae</v>
      </c>
      <c r="O2823" t="str" cm="1">
        <f t="array" ref="O2823">_xlfn.IFS(F2823="","",F2823&lt;=5,"0 to 5",F2823&lt;=10,"5.1 to 10",F2823&lt;=20,"10 to 20", F2823&lt;= 40, "20 to 40", F2823 &lt;= 50, "40 to 50", F2823 &gt; 50, "&gt;50" )</f>
        <v>10 to 20</v>
      </c>
    </row>
    <row r="2824" spans="1:15" ht="15" customHeight="1" x14ac:dyDescent="0.3">
      <c r="A2824" t="s">
        <v>566</v>
      </c>
      <c r="B2824" s="1">
        <v>46218</v>
      </c>
      <c r="C2824" t="s">
        <v>16</v>
      </c>
      <c r="D2824">
        <v>2626</v>
      </c>
      <c r="E2824">
        <v>1</v>
      </c>
      <c r="F2824">
        <v>4.0999999999999996</v>
      </c>
      <c r="G2824" t="s">
        <v>30</v>
      </c>
      <c r="H2824" t="s">
        <v>99</v>
      </c>
      <c r="I2824" t="str">
        <f t="shared" si="47"/>
        <v>2626_1</v>
      </c>
      <c r="J2824" t="s">
        <v>533</v>
      </c>
      <c r="K2824" t="s">
        <v>115</v>
      </c>
      <c r="L2824" t="str">
        <f>_xlfn.XLOOKUP(C2824, Table2[Species],Table2[Genus], "Code Not Found")</f>
        <v>Acer</v>
      </c>
      <c r="M2824" t="str">
        <f>_xlfn.XLOOKUP(C2824, Table2[Species],Table2[Sp. Name], "Code Not Found")</f>
        <v>saccharum</v>
      </c>
      <c r="N2824" t="str">
        <f>_xlfn.XLOOKUP(C2824,Table2[Species],Table2[Family],"Code Not Found")</f>
        <v>Sapindaceae</v>
      </c>
      <c r="O2824" t="str" cm="1">
        <f t="array" ref="O2824">_xlfn.IFS(F2824="","",F2824&lt;=5,"0 to 5",F2824&lt;=10,"5.1 to 10",F2824&lt;=20,"10 to 20", F2824&lt;= 40, "20 to 40", F2824 &lt;= 50, "40 to 50", F2824 &gt; 50, "&gt;50" )</f>
        <v>0 to 5</v>
      </c>
    </row>
    <row r="2825" spans="1:15" ht="15" customHeight="1" x14ac:dyDescent="0.3">
      <c r="A2825" t="s">
        <v>566</v>
      </c>
      <c r="B2825" s="1">
        <v>46218</v>
      </c>
      <c r="C2825" t="s">
        <v>64</v>
      </c>
      <c r="D2825">
        <v>2627</v>
      </c>
      <c r="E2825">
        <v>1</v>
      </c>
      <c r="F2825">
        <v>6.2</v>
      </c>
      <c r="G2825" t="s">
        <v>17</v>
      </c>
      <c r="H2825" t="s">
        <v>580</v>
      </c>
      <c r="I2825" t="str">
        <f t="shared" si="47"/>
        <v>2627_1</v>
      </c>
      <c r="J2825" t="s">
        <v>533</v>
      </c>
      <c r="K2825" t="s">
        <v>115</v>
      </c>
      <c r="L2825" t="str">
        <f>_xlfn.XLOOKUP(C2825, Table2[Species],Table2[Genus], "Code Not Found")</f>
        <v>Fagus</v>
      </c>
      <c r="M2825" t="str">
        <f>_xlfn.XLOOKUP(C2825, Table2[Species],Table2[Sp. Name], "Code Not Found")</f>
        <v>grandifolia</v>
      </c>
      <c r="N2825" t="str">
        <f>_xlfn.XLOOKUP(C2825,Table2[Species],Table2[Family],"Code Not Found")</f>
        <v>Fagaceae</v>
      </c>
      <c r="O2825" t="str" cm="1">
        <f t="array" ref="O2825">_xlfn.IFS(F2825="","",F2825&lt;=5,"0 to 5",F2825&lt;=10,"5.1 to 10",F2825&lt;=20,"10 to 20", F2825&lt;= 40, "20 to 40", F2825 &lt;= 50, "40 to 50", F2825 &gt; 50, "&gt;50" )</f>
        <v>5.1 to 10</v>
      </c>
    </row>
    <row r="2826" spans="1:15" ht="15" customHeight="1" x14ac:dyDescent="0.3">
      <c r="A2826" t="s">
        <v>566</v>
      </c>
      <c r="B2826" s="1">
        <v>46218</v>
      </c>
      <c r="C2826" t="s">
        <v>16</v>
      </c>
      <c r="D2826">
        <v>2628</v>
      </c>
      <c r="E2826">
        <v>1</v>
      </c>
      <c r="F2826">
        <v>2.8</v>
      </c>
      <c r="G2826" t="s">
        <v>47</v>
      </c>
      <c r="H2826" t="s">
        <v>500</v>
      </c>
      <c r="I2826" t="str">
        <f t="shared" si="47"/>
        <v>2628_1</v>
      </c>
      <c r="J2826" t="s">
        <v>533</v>
      </c>
      <c r="K2826" t="s">
        <v>115</v>
      </c>
      <c r="L2826" t="str">
        <f>_xlfn.XLOOKUP(C2826, Table2[Species],Table2[Genus], "Code Not Found")</f>
        <v>Acer</v>
      </c>
      <c r="M2826" t="str">
        <f>_xlfn.XLOOKUP(C2826, Table2[Species],Table2[Sp. Name], "Code Not Found")</f>
        <v>saccharum</v>
      </c>
      <c r="N2826" t="str">
        <f>_xlfn.XLOOKUP(C2826,Table2[Species],Table2[Family],"Code Not Found")</f>
        <v>Sapindaceae</v>
      </c>
      <c r="O2826" t="str" cm="1">
        <f t="array" ref="O2826">_xlfn.IFS(F2826="","",F2826&lt;=5,"0 to 5",F2826&lt;=10,"5.1 to 10",F2826&lt;=20,"10 to 20", F2826&lt;= 40, "20 to 40", F2826 &lt;= 50, "40 to 50", F2826 &gt; 50, "&gt;50" )</f>
        <v>0 to 5</v>
      </c>
    </row>
    <row r="2827" spans="1:15" ht="15" customHeight="1" x14ac:dyDescent="0.3">
      <c r="A2827" t="s">
        <v>566</v>
      </c>
      <c r="B2827" s="1">
        <v>46218</v>
      </c>
      <c r="C2827" t="s">
        <v>22</v>
      </c>
      <c r="D2827">
        <v>2629</v>
      </c>
      <c r="E2827">
        <v>1</v>
      </c>
      <c r="F2827">
        <v>12.5</v>
      </c>
      <c r="G2827" t="s">
        <v>17</v>
      </c>
      <c r="I2827" t="str">
        <f t="shared" si="47"/>
        <v>2629_1</v>
      </c>
      <c r="J2827" t="s">
        <v>533</v>
      </c>
      <c r="K2827" t="s">
        <v>115</v>
      </c>
      <c r="L2827" t="str">
        <f>_xlfn.XLOOKUP(C2827, Table2[Species],Table2[Genus], "Code Not Found")</f>
        <v>Acer</v>
      </c>
      <c r="M2827" t="str">
        <f>_xlfn.XLOOKUP(C2827, Table2[Species],Table2[Sp. Name], "Code Not Found")</f>
        <v>rubrum</v>
      </c>
      <c r="N2827" t="str">
        <f>_xlfn.XLOOKUP(C2827,Table2[Species],Table2[Family],"Code Not Found")</f>
        <v>Sapindaceae</v>
      </c>
      <c r="O2827" t="str" cm="1">
        <f t="array" ref="O2827">_xlfn.IFS(F2827="","",F2827&lt;=5,"0 to 5",F2827&lt;=10,"5.1 to 10",F2827&lt;=20,"10 to 20", F2827&lt;= 40, "20 to 40", F2827 &lt;= 50, "40 to 50", F2827 &gt; 50, "&gt;50" )</f>
        <v>10 to 20</v>
      </c>
    </row>
    <row r="2828" spans="1:15" ht="15" customHeight="1" x14ac:dyDescent="0.3">
      <c r="A2828" t="s">
        <v>566</v>
      </c>
      <c r="B2828" s="1">
        <v>46218</v>
      </c>
      <c r="C2828" t="s">
        <v>16</v>
      </c>
      <c r="D2828">
        <v>2630</v>
      </c>
      <c r="E2828">
        <v>1</v>
      </c>
      <c r="F2828">
        <v>4</v>
      </c>
      <c r="G2828" t="s">
        <v>21</v>
      </c>
      <c r="H2828" t="s">
        <v>500</v>
      </c>
      <c r="I2828" t="str">
        <f t="shared" si="47"/>
        <v>2630_1</v>
      </c>
      <c r="J2828" t="s">
        <v>533</v>
      </c>
      <c r="K2828" t="s">
        <v>115</v>
      </c>
      <c r="L2828" t="str">
        <f>_xlfn.XLOOKUP(C2828, Table2[Species],Table2[Genus], "Code Not Found")</f>
        <v>Acer</v>
      </c>
      <c r="M2828" t="str">
        <f>_xlfn.XLOOKUP(C2828, Table2[Species],Table2[Sp. Name], "Code Not Found")</f>
        <v>saccharum</v>
      </c>
      <c r="N2828" t="str">
        <f>_xlfn.XLOOKUP(C2828,Table2[Species],Table2[Family],"Code Not Found")</f>
        <v>Sapindaceae</v>
      </c>
      <c r="O2828" t="str" cm="1">
        <f t="array" ref="O2828">_xlfn.IFS(F2828="","",F2828&lt;=5,"0 to 5",F2828&lt;=10,"5.1 to 10",F2828&lt;=20,"10 to 20", F2828&lt;= 40, "20 to 40", F2828 &lt;= 50, "40 to 50", F2828 &gt; 50, "&gt;50" )</f>
        <v>0 to 5</v>
      </c>
    </row>
    <row r="2829" spans="1:15" ht="15" customHeight="1" x14ac:dyDescent="0.3">
      <c r="A2829" t="s">
        <v>566</v>
      </c>
      <c r="B2829" s="1">
        <v>46218</v>
      </c>
      <c r="C2829" t="s">
        <v>16</v>
      </c>
      <c r="D2829">
        <v>2631</v>
      </c>
      <c r="E2829">
        <v>1</v>
      </c>
      <c r="F2829">
        <v>28.7</v>
      </c>
      <c r="G2829" t="s">
        <v>21</v>
      </c>
      <c r="I2829" t="str">
        <f t="shared" si="47"/>
        <v>2631_1</v>
      </c>
      <c r="J2829" t="s">
        <v>533</v>
      </c>
      <c r="K2829" t="s">
        <v>115</v>
      </c>
      <c r="L2829" t="str">
        <f>_xlfn.XLOOKUP(C2829, Table2[Species],Table2[Genus], "Code Not Found")</f>
        <v>Acer</v>
      </c>
      <c r="M2829" t="str">
        <f>_xlfn.XLOOKUP(C2829, Table2[Species],Table2[Sp. Name], "Code Not Found")</f>
        <v>saccharum</v>
      </c>
      <c r="N2829" t="str">
        <f>_xlfn.XLOOKUP(C2829,Table2[Species],Table2[Family],"Code Not Found")</f>
        <v>Sapindaceae</v>
      </c>
      <c r="O2829" t="str" cm="1">
        <f t="array" ref="O2829">_xlfn.IFS(F2829="","",F2829&lt;=5,"0 to 5",F2829&lt;=10,"5.1 to 10",F2829&lt;=20,"10 to 20", F2829&lt;= 40, "20 to 40", F2829 &lt;= 50, "40 to 50", F2829 &gt; 50, "&gt;50" )</f>
        <v>20 to 40</v>
      </c>
    </row>
    <row r="2830" spans="1:15" ht="15" customHeight="1" x14ac:dyDescent="0.3">
      <c r="A2830" t="s">
        <v>566</v>
      </c>
      <c r="B2830" s="1">
        <v>46218</v>
      </c>
      <c r="C2830" t="s">
        <v>16</v>
      </c>
      <c r="D2830">
        <v>2632</v>
      </c>
      <c r="E2830">
        <v>1</v>
      </c>
      <c r="F2830">
        <v>12.1</v>
      </c>
      <c r="G2830" t="s">
        <v>47</v>
      </c>
      <c r="H2830" t="s">
        <v>500</v>
      </c>
      <c r="I2830" t="str">
        <f t="shared" si="47"/>
        <v>2632_1</v>
      </c>
      <c r="J2830" t="s">
        <v>533</v>
      </c>
      <c r="K2830" t="s">
        <v>115</v>
      </c>
      <c r="L2830" t="str">
        <f>_xlfn.XLOOKUP(C2830, Table2[Species],Table2[Genus], "Code Not Found")</f>
        <v>Acer</v>
      </c>
      <c r="M2830" t="str">
        <f>_xlfn.XLOOKUP(C2830, Table2[Species],Table2[Sp. Name], "Code Not Found")</f>
        <v>saccharum</v>
      </c>
      <c r="N2830" t="str">
        <f>_xlfn.XLOOKUP(C2830,Table2[Species],Table2[Family],"Code Not Found")</f>
        <v>Sapindaceae</v>
      </c>
      <c r="O2830" t="str" cm="1">
        <f t="array" ref="O2830">_xlfn.IFS(F2830="","",F2830&lt;=5,"0 to 5",F2830&lt;=10,"5.1 to 10",F2830&lt;=20,"10 to 20", F2830&lt;= 40, "20 to 40", F2830 &lt;= 50, "40 to 50", F2830 &gt; 50, "&gt;50" )</f>
        <v>10 to 20</v>
      </c>
    </row>
    <row r="2831" spans="1:15" ht="15" customHeight="1" x14ac:dyDescent="0.3">
      <c r="A2831" t="s">
        <v>566</v>
      </c>
      <c r="B2831" s="1">
        <v>46218</v>
      </c>
      <c r="C2831" t="s">
        <v>16</v>
      </c>
      <c r="D2831">
        <v>2633</v>
      </c>
      <c r="E2831">
        <v>1</v>
      </c>
      <c r="F2831">
        <v>16.2</v>
      </c>
      <c r="G2831" t="s">
        <v>21</v>
      </c>
      <c r="I2831" t="str">
        <f t="shared" si="47"/>
        <v>2633_1</v>
      </c>
      <c r="J2831" t="s">
        <v>533</v>
      </c>
      <c r="K2831" t="s">
        <v>115</v>
      </c>
      <c r="L2831" t="str">
        <f>_xlfn.XLOOKUP(C2831, Table2[Species],Table2[Genus], "Code Not Found")</f>
        <v>Acer</v>
      </c>
      <c r="M2831" t="str">
        <f>_xlfn.XLOOKUP(C2831, Table2[Species],Table2[Sp. Name], "Code Not Found")</f>
        <v>saccharum</v>
      </c>
      <c r="N2831" t="str">
        <f>_xlfn.XLOOKUP(C2831,Table2[Species],Table2[Family],"Code Not Found")</f>
        <v>Sapindaceae</v>
      </c>
      <c r="O2831" t="str" cm="1">
        <f t="array" ref="O2831">_xlfn.IFS(F2831="","",F2831&lt;=5,"0 to 5",F2831&lt;=10,"5.1 to 10",F2831&lt;=20,"10 to 20", F2831&lt;= 40, "20 to 40", F2831 &lt;= 50, "40 to 50", F2831 &gt; 50, "&gt;50" )</f>
        <v>10 to 20</v>
      </c>
    </row>
    <row r="2832" spans="1:15" ht="15" customHeight="1" x14ac:dyDescent="0.3">
      <c r="A2832" t="s">
        <v>566</v>
      </c>
      <c r="B2832" s="1">
        <v>46218</v>
      </c>
      <c r="C2832" t="s">
        <v>123</v>
      </c>
      <c r="D2832">
        <v>2634</v>
      </c>
      <c r="E2832">
        <v>1</v>
      </c>
      <c r="F2832">
        <v>74.099999999999994</v>
      </c>
      <c r="G2832" t="s">
        <v>17</v>
      </c>
      <c r="I2832" t="str">
        <f t="shared" si="47"/>
        <v>2634_1</v>
      </c>
      <c r="J2832" t="s">
        <v>533</v>
      </c>
      <c r="K2832" t="s">
        <v>115</v>
      </c>
      <c r="L2832" t="str">
        <f>_xlfn.XLOOKUP(C2832, Table2[Species],Table2[Genus], "Code Not Found")</f>
        <v>Quercus</v>
      </c>
      <c r="M2832" t="str">
        <f>_xlfn.XLOOKUP(C2832, Table2[Species],Table2[Sp. Name], "Code Not Found")</f>
        <v>rubra</v>
      </c>
      <c r="N2832" t="str">
        <f>_xlfn.XLOOKUP(C2832,Table2[Species],Table2[Family],"Code Not Found")</f>
        <v>Fagaceae</v>
      </c>
      <c r="O2832" t="str" cm="1">
        <f t="array" ref="O2832">_xlfn.IFS(F2832="","",F2832&lt;=5,"0 to 5",F2832&lt;=10,"5.1 to 10",F2832&lt;=20,"10 to 20", F2832&lt;= 40, "20 to 40", F2832 &lt;= 50, "40 to 50", F2832 &gt; 50, "&gt;50" )</f>
        <v>&gt;50</v>
      </c>
    </row>
    <row r="2833" spans="1:15" ht="15" customHeight="1" x14ac:dyDescent="0.3">
      <c r="A2833" t="s">
        <v>566</v>
      </c>
      <c r="B2833" s="1">
        <v>46218</v>
      </c>
      <c r="C2833" t="s">
        <v>123</v>
      </c>
      <c r="D2833">
        <v>2635</v>
      </c>
      <c r="E2833">
        <v>1</v>
      </c>
      <c r="F2833">
        <v>46.3</v>
      </c>
      <c r="G2833" t="s">
        <v>17</v>
      </c>
      <c r="I2833" t="str">
        <f t="shared" si="47"/>
        <v>2635_1</v>
      </c>
      <c r="J2833" t="s">
        <v>533</v>
      </c>
      <c r="K2833" t="s">
        <v>115</v>
      </c>
      <c r="L2833" t="str">
        <f>_xlfn.XLOOKUP(C2833, Table2[Species],Table2[Genus], "Code Not Found")</f>
        <v>Quercus</v>
      </c>
      <c r="M2833" t="str">
        <f>_xlfn.XLOOKUP(C2833, Table2[Species],Table2[Sp. Name], "Code Not Found")</f>
        <v>rubra</v>
      </c>
      <c r="N2833" t="str">
        <f>_xlfn.XLOOKUP(C2833,Table2[Species],Table2[Family],"Code Not Found")</f>
        <v>Fagaceae</v>
      </c>
      <c r="O2833" t="str" cm="1">
        <f t="array" ref="O2833">_xlfn.IFS(F2833="","",F2833&lt;=5,"0 to 5",F2833&lt;=10,"5.1 to 10",F2833&lt;=20,"10 to 20", F2833&lt;= 40, "20 to 40", F2833 &lt;= 50, "40 to 50", F2833 &gt; 50, "&gt;50" )</f>
        <v>40 to 50</v>
      </c>
    </row>
    <row r="2834" spans="1:15" ht="15" customHeight="1" x14ac:dyDescent="0.3">
      <c r="A2834" t="s">
        <v>566</v>
      </c>
      <c r="B2834" s="1">
        <v>46218</v>
      </c>
      <c r="C2834" t="s">
        <v>16</v>
      </c>
      <c r="D2834">
        <v>2636</v>
      </c>
      <c r="E2834">
        <v>1</v>
      </c>
      <c r="F2834">
        <v>4.5999999999999996</v>
      </c>
      <c r="G2834" t="s">
        <v>88</v>
      </c>
      <c r="H2834" t="s">
        <v>524</v>
      </c>
      <c r="I2834" t="str">
        <f t="shared" si="47"/>
        <v>2636_1</v>
      </c>
      <c r="J2834" t="s">
        <v>533</v>
      </c>
      <c r="K2834" t="s">
        <v>115</v>
      </c>
      <c r="L2834" t="str">
        <f>_xlfn.XLOOKUP(C2834, Table2[Species],Table2[Genus], "Code Not Found")</f>
        <v>Acer</v>
      </c>
      <c r="M2834" t="str">
        <f>_xlfn.XLOOKUP(C2834, Table2[Species],Table2[Sp. Name], "Code Not Found")</f>
        <v>saccharum</v>
      </c>
      <c r="N2834" t="str">
        <f>_xlfn.XLOOKUP(C2834,Table2[Species],Table2[Family],"Code Not Found")</f>
        <v>Sapindaceae</v>
      </c>
      <c r="O2834" t="str" cm="1">
        <f t="array" ref="O2834">_xlfn.IFS(F2834="","",F2834&lt;=5,"0 to 5",F2834&lt;=10,"5.1 to 10",F2834&lt;=20,"10 to 20", F2834&lt;= 40, "20 to 40", F2834 &lt;= 50, "40 to 50", F2834 &gt; 50, "&gt;50" )</f>
        <v>0 to 5</v>
      </c>
    </row>
    <row r="2835" spans="1:15" ht="15" customHeight="1" x14ac:dyDescent="0.3">
      <c r="A2835" t="s">
        <v>566</v>
      </c>
      <c r="B2835" s="1">
        <v>46218</v>
      </c>
      <c r="C2835" t="s">
        <v>16</v>
      </c>
      <c r="D2835">
        <v>2637</v>
      </c>
      <c r="E2835">
        <v>1</v>
      </c>
      <c r="F2835">
        <v>5.4</v>
      </c>
      <c r="G2835" t="s">
        <v>17</v>
      </c>
      <c r="I2835" t="str">
        <f t="shared" si="47"/>
        <v>2637_1</v>
      </c>
      <c r="J2835" t="s">
        <v>533</v>
      </c>
      <c r="K2835" t="s">
        <v>115</v>
      </c>
      <c r="L2835" t="str">
        <f>_xlfn.XLOOKUP(C2835, Table2[Species],Table2[Genus], "Code Not Found")</f>
        <v>Acer</v>
      </c>
      <c r="M2835" t="str">
        <f>_xlfn.XLOOKUP(C2835, Table2[Species],Table2[Sp. Name], "Code Not Found")</f>
        <v>saccharum</v>
      </c>
      <c r="N2835" t="str">
        <f>_xlfn.XLOOKUP(C2835,Table2[Species],Table2[Family],"Code Not Found")</f>
        <v>Sapindaceae</v>
      </c>
      <c r="O2835" t="str" cm="1">
        <f t="array" ref="O2835">_xlfn.IFS(F2835="","",F2835&lt;=5,"0 to 5",F2835&lt;=10,"5.1 to 10",F2835&lt;=20,"10 to 20", F2835&lt;= 40, "20 to 40", F2835 &lt;= 50, "40 to 50", F2835 &gt; 50, "&gt;50" )</f>
        <v>5.1 to 10</v>
      </c>
    </row>
    <row r="2836" spans="1:15" ht="15" customHeight="1" x14ac:dyDescent="0.3">
      <c r="A2836" t="s">
        <v>566</v>
      </c>
      <c r="B2836" s="1">
        <v>46218</v>
      </c>
      <c r="C2836" t="s">
        <v>22</v>
      </c>
      <c r="D2836">
        <v>2638</v>
      </c>
      <c r="E2836">
        <v>1</v>
      </c>
      <c r="F2836">
        <v>47.8</v>
      </c>
      <c r="G2836" t="s">
        <v>21</v>
      </c>
      <c r="I2836" t="str">
        <f t="shared" si="47"/>
        <v>2638_1</v>
      </c>
      <c r="J2836" t="s">
        <v>533</v>
      </c>
      <c r="K2836" t="s">
        <v>115</v>
      </c>
      <c r="L2836" t="str">
        <f>_xlfn.XLOOKUP(C2836, Table2[Species],Table2[Genus], "Code Not Found")</f>
        <v>Acer</v>
      </c>
      <c r="M2836" t="str">
        <f>_xlfn.XLOOKUP(C2836, Table2[Species],Table2[Sp. Name], "Code Not Found")</f>
        <v>rubrum</v>
      </c>
      <c r="N2836" t="str">
        <f>_xlfn.XLOOKUP(C2836,Table2[Species],Table2[Family],"Code Not Found")</f>
        <v>Sapindaceae</v>
      </c>
      <c r="O2836" t="str" cm="1">
        <f t="array" ref="O2836">_xlfn.IFS(F2836="","",F2836&lt;=5,"0 to 5",F2836&lt;=10,"5.1 to 10",F2836&lt;=20,"10 to 20", F2836&lt;= 40, "20 to 40", F2836 &lt;= 50, "40 to 50", F2836 &gt; 50, "&gt;50" )</f>
        <v>40 to 50</v>
      </c>
    </row>
    <row r="2837" spans="1:15" ht="15" customHeight="1" x14ac:dyDescent="0.3">
      <c r="A2837" t="s">
        <v>566</v>
      </c>
      <c r="B2837" s="1">
        <v>46218</v>
      </c>
      <c r="C2837" t="s">
        <v>123</v>
      </c>
      <c r="D2837">
        <v>2639</v>
      </c>
      <c r="E2837">
        <v>1</v>
      </c>
      <c r="F2837">
        <v>39</v>
      </c>
      <c r="G2837" t="s">
        <v>17</v>
      </c>
      <c r="I2837" t="str">
        <f t="shared" si="47"/>
        <v>2639_1</v>
      </c>
      <c r="J2837" t="s">
        <v>533</v>
      </c>
      <c r="K2837" t="s">
        <v>115</v>
      </c>
      <c r="L2837" t="str">
        <f>_xlfn.XLOOKUP(C2837, Table2[Species],Table2[Genus], "Code Not Found")</f>
        <v>Quercus</v>
      </c>
      <c r="M2837" t="str">
        <f>_xlfn.XLOOKUP(C2837, Table2[Species],Table2[Sp. Name], "Code Not Found")</f>
        <v>rubra</v>
      </c>
      <c r="N2837" t="str">
        <f>_xlfn.XLOOKUP(C2837,Table2[Species],Table2[Family],"Code Not Found")</f>
        <v>Fagaceae</v>
      </c>
      <c r="O2837" t="str" cm="1">
        <f t="array" ref="O2837">_xlfn.IFS(F2837="","",F2837&lt;=5,"0 to 5",F2837&lt;=10,"5.1 to 10",F2837&lt;=20,"10 to 20", F2837&lt;= 40, "20 to 40", F2837 &lt;= 50, "40 to 50", F2837 &gt; 50, "&gt;50" )</f>
        <v>20 to 40</v>
      </c>
    </row>
    <row r="2838" spans="1:15" ht="15" customHeight="1" x14ac:dyDescent="0.3">
      <c r="A2838" t="s">
        <v>566</v>
      </c>
      <c r="B2838" s="1">
        <v>46218</v>
      </c>
      <c r="C2838" t="s">
        <v>22</v>
      </c>
      <c r="D2838">
        <v>2640</v>
      </c>
      <c r="E2838">
        <v>1</v>
      </c>
      <c r="F2838">
        <v>43.9</v>
      </c>
      <c r="G2838" t="s">
        <v>21</v>
      </c>
      <c r="I2838" t="str">
        <f t="shared" si="47"/>
        <v>2640_1</v>
      </c>
      <c r="J2838" t="s">
        <v>533</v>
      </c>
      <c r="K2838" t="s">
        <v>115</v>
      </c>
      <c r="L2838" t="str">
        <f>_xlfn.XLOOKUP(C2838, Table2[Species],Table2[Genus], "Code Not Found")</f>
        <v>Acer</v>
      </c>
      <c r="M2838" t="str">
        <f>_xlfn.XLOOKUP(C2838, Table2[Species],Table2[Sp. Name], "Code Not Found")</f>
        <v>rubrum</v>
      </c>
      <c r="N2838" t="str">
        <f>_xlfn.XLOOKUP(C2838,Table2[Species],Table2[Family],"Code Not Found")</f>
        <v>Sapindaceae</v>
      </c>
      <c r="O2838" t="str" cm="1">
        <f t="array" ref="O2838">_xlfn.IFS(F2838="","",F2838&lt;=5,"0 to 5",F2838&lt;=10,"5.1 to 10",F2838&lt;=20,"10 to 20", F2838&lt;= 40, "20 to 40", F2838 &lt;= 50, "40 to 50", F2838 &gt; 50, "&gt;50" )</f>
        <v>40 to 50</v>
      </c>
    </row>
    <row r="2839" spans="1:15" ht="15" customHeight="1" x14ac:dyDescent="0.3">
      <c r="A2839" t="s">
        <v>566</v>
      </c>
      <c r="B2839" s="1">
        <v>46218</v>
      </c>
      <c r="C2839" t="s">
        <v>16</v>
      </c>
      <c r="D2839">
        <v>2641</v>
      </c>
      <c r="E2839">
        <v>1</v>
      </c>
      <c r="F2839">
        <v>14.4</v>
      </c>
      <c r="G2839" t="s">
        <v>17</v>
      </c>
      <c r="I2839" t="str">
        <f t="shared" si="47"/>
        <v>2641_1</v>
      </c>
      <c r="J2839" t="s">
        <v>533</v>
      </c>
      <c r="K2839" t="s">
        <v>115</v>
      </c>
      <c r="L2839" t="str">
        <f>_xlfn.XLOOKUP(C2839, Table2[Species],Table2[Genus], "Code Not Found")</f>
        <v>Acer</v>
      </c>
      <c r="M2839" t="str">
        <f>_xlfn.XLOOKUP(C2839, Table2[Species],Table2[Sp. Name], "Code Not Found")</f>
        <v>saccharum</v>
      </c>
      <c r="N2839" t="str">
        <f>_xlfn.XLOOKUP(C2839,Table2[Species],Table2[Family],"Code Not Found")</f>
        <v>Sapindaceae</v>
      </c>
      <c r="O2839" t="str" cm="1">
        <f t="array" ref="O2839">_xlfn.IFS(F2839="","",F2839&lt;=5,"0 to 5",F2839&lt;=10,"5.1 to 10",F2839&lt;=20,"10 to 20", F2839&lt;= 40, "20 to 40", F2839 &lt;= 50, "40 to 50", F2839 &gt; 50, "&gt;50" )</f>
        <v>10 to 20</v>
      </c>
    </row>
    <row r="2840" spans="1:15" ht="15" customHeight="1" x14ac:dyDescent="0.3">
      <c r="A2840" t="s">
        <v>566</v>
      </c>
      <c r="B2840" s="1">
        <v>46218</v>
      </c>
      <c r="C2840" t="s">
        <v>16</v>
      </c>
      <c r="D2840">
        <v>2642</v>
      </c>
      <c r="E2840">
        <v>1</v>
      </c>
      <c r="F2840">
        <v>10.199999999999999</v>
      </c>
      <c r="G2840" t="s">
        <v>21</v>
      </c>
      <c r="I2840" t="str">
        <f t="shared" si="47"/>
        <v>2642_1</v>
      </c>
      <c r="J2840" t="s">
        <v>533</v>
      </c>
      <c r="K2840" t="s">
        <v>115</v>
      </c>
      <c r="L2840" t="str">
        <f>_xlfn.XLOOKUP(C2840, Table2[Species],Table2[Genus], "Code Not Found")</f>
        <v>Acer</v>
      </c>
      <c r="M2840" t="str">
        <f>_xlfn.XLOOKUP(C2840, Table2[Species],Table2[Sp. Name], "Code Not Found")</f>
        <v>saccharum</v>
      </c>
      <c r="N2840" t="str">
        <f>_xlfn.XLOOKUP(C2840,Table2[Species],Table2[Family],"Code Not Found")</f>
        <v>Sapindaceae</v>
      </c>
      <c r="O2840" t="str" cm="1">
        <f t="array" ref="O2840">_xlfn.IFS(F2840="","",F2840&lt;=5,"0 to 5",F2840&lt;=10,"5.1 to 10",F2840&lt;=20,"10 to 20", F2840&lt;= 40, "20 to 40", F2840 &lt;= 50, "40 to 50", F2840 &gt; 50, "&gt;50" )</f>
        <v>10 to 20</v>
      </c>
    </row>
    <row r="2841" spans="1:15" ht="15" customHeight="1" x14ac:dyDescent="0.3">
      <c r="A2841" t="s">
        <v>566</v>
      </c>
      <c r="B2841" s="1">
        <v>46218</v>
      </c>
      <c r="C2841" t="s">
        <v>16</v>
      </c>
      <c r="D2841">
        <v>2643</v>
      </c>
      <c r="E2841">
        <v>1</v>
      </c>
      <c r="F2841">
        <v>4.9000000000000004</v>
      </c>
      <c r="G2841" t="s">
        <v>537</v>
      </c>
      <c r="H2841" t="s">
        <v>296</v>
      </c>
      <c r="I2841" t="str">
        <f t="shared" si="47"/>
        <v>2643_1</v>
      </c>
      <c r="J2841" t="s">
        <v>533</v>
      </c>
      <c r="K2841" t="s">
        <v>115</v>
      </c>
      <c r="L2841" t="str">
        <f>_xlfn.XLOOKUP(C2841, Table2[Species],Table2[Genus], "Code Not Found")</f>
        <v>Acer</v>
      </c>
      <c r="M2841" t="str">
        <f>_xlfn.XLOOKUP(C2841, Table2[Species],Table2[Sp. Name], "Code Not Found")</f>
        <v>saccharum</v>
      </c>
      <c r="N2841" t="str">
        <f>_xlfn.XLOOKUP(C2841,Table2[Species],Table2[Family],"Code Not Found")</f>
        <v>Sapindaceae</v>
      </c>
      <c r="O2841" t="str" cm="1">
        <f t="array" ref="O2841">_xlfn.IFS(F2841="","",F2841&lt;=5,"0 to 5",F2841&lt;=10,"5.1 to 10",F2841&lt;=20,"10 to 20", F2841&lt;= 40, "20 to 40", F2841 &lt;= 50, "40 to 50", F2841 &gt; 50, "&gt;50" )</f>
        <v>0 to 5</v>
      </c>
    </row>
    <row r="2842" spans="1:15" ht="15" customHeight="1" x14ac:dyDescent="0.3">
      <c r="A2842" t="s">
        <v>566</v>
      </c>
      <c r="B2842" s="1">
        <v>46218</v>
      </c>
      <c r="C2842" t="s">
        <v>16</v>
      </c>
      <c r="D2842">
        <v>2644</v>
      </c>
      <c r="E2842">
        <v>1</v>
      </c>
      <c r="F2842">
        <v>43.8</v>
      </c>
      <c r="G2842" t="s">
        <v>21</v>
      </c>
      <c r="I2842" t="str">
        <f t="shared" si="47"/>
        <v>2644_1</v>
      </c>
      <c r="J2842" t="s">
        <v>533</v>
      </c>
      <c r="K2842" t="s">
        <v>115</v>
      </c>
      <c r="L2842" t="str">
        <f>_xlfn.XLOOKUP(C2842, Table2[Species],Table2[Genus], "Code Not Found")</f>
        <v>Acer</v>
      </c>
      <c r="M2842" t="str">
        <f>_xlfn.XLOOKUP(C2842, Table2[Species],Table2[Sp. Name], "Code Not Found")</f>
        <v>saccharum</v>
      </c>
      <c r="N2842" t="str">
        <f>_xlfn.XLOOKUP(C2842,Table2[Species],Table2[Family],"Code Not Found")</f>
        <v>Sapindaceae</v>
      </c>
      <c r="O2842" t="str" cm="1">
        <f t="array" ref="O2842">_xlfn.IFS(F2842="","",F2842&lt;=5,"0 to 5",F2842&lt;=10,"5.1 to 10",F2842&lt;=20,"10 to 20", F2842&lt;= 40, "20 to 40", F2842 &lt;= 50, "40 to 50", F2842 &gt; 50, "&gt;50" )</f>
        <v>40 to 50</v>
      </c>
    </row>
    <row r="2843" spans="1:15" ht="15" customHeight="1" x14ac:dyDescent="0.3">
      <c r="A2843" t="s">
        <v>566</v>
      </c>
      <c r="B2843" s="1">
        <v>46218</v>
      </c>
      <c r="C2843" t="s">
        <v>16</v>
      </c>
      <c r="D2843">
        <v>2645</v>
      </c>
      <c r="E2843">
        <v>1</v>
      </c>
      <c r="F2843">
        <v>11.1</v>
      </c>
      <c r="G2843" t="s">
        <v>381</v>
      </c>
      <c r="H2843" t="s">
        <v>581</v>
      </c>
      <c r="I2843" t="str">
        <f t="shared" si="47"/>
        <v>2645_1</v>
      </c>
      <c r="J2843" t="s">
        <v>533</v>
      </c>
      <c r="K2843" t="s">
        <v>115</v>
      </c>
      <c r="L2843" t="str">
        <f>_xlfn.XLOOKUP(C2843, Table2[Species],Table2[Genus], "Code Not Found")</f>
        <v>Acer</v>
      </c>
      <c r="M2843" t="str">
        <f>_xlfn.XLOOKUP(C2843, Table2[Species],Table2[Sp. Name], "Code Not Found")</f>
        <v>saccharum</v>
      </c>
      <c r="N2843" t="str">
        <f>_xlfn.XLOOKUP(C2843,Table2[Species],Table2[Family],"Code Not Found")</f>
        <v>Sapindaceae</v>
      </c>
      <c r="O2843" t="str" cm="1">
        <f t="array" ref="O2843">_xlfn.IFS(F2843="","",F2843&lt;=5,"0 to 5",F2843&lt;=10,"5.1 to 10",F2843&lt;=20,"10 to 20", F2843&lt;= 40, "20 to 40", F2843 &lt;= 50, "40 to 50", F2843 &gt; 50, "&gt;50" )</f>
        <v>10 to 20</v>
      </c>
    </row>
    <row r="2844" spans="1:15" ht="15" customHeight="1" x14ac:dyDescent="0.3">
      <c r="A2844" t="s">
        <v>566</v>
      </c>
      <c r="B2844" s="1">
        <v>46218</v>
      </c>
      <c r="C2844" t="s">
        <v>129</v>
      </c>
      <c r="D2844">
        <v>2646</v>
      </c>
      <c r="E2844">
        <v>1</v>
      </c>
      <c r="F2844">
        <v>74.400000000000006</v>
      </c>
      <c r="G2844" t="s">
        <v>56</v>
      </c>
      <c r="H2844" t="s">
        <v>582</v>
      </c>
      <c r="I2844" t="str">
        <f t="shared" si="47"/>
        <v>2646_1</v>
      </c>
      <c r="J2844" t="s">
        <v>533</v>
      </c>
      <c r="K2844" t="s">
        <v>115</v>
      </c>
      <c r="L2844" t="str">
        <f>_xlfn.XLOOKUP(C2844, Table2[Species],Table2[Genus], "Code Not Found")</f>
        <v>Quercus</v>
      </c>
      <c r="M2844" t="str">
        <f>_xlfn.XLOOKUP(C2844, Table2[Species],Table2[Sp. Name], "Code Not Found")</f>
        <v>alba</v>
      </c>
      <c r="N2844" t="str">
        <f>_xlfn.XLOOKUP(C2844,Table2[Species],Table2[Family],"Code Not Found")</f>
        <v>Fagaceae</v>
      </c>
      <c r="O2844" t="str" cm="1">
        <f t="array" ref="O2844">_xlfn.IFS(F2844="","",F2844&lt;=5,"0 to 5",F2844&lt;=10,"5.1 to 10",F2844&lt;=20,"10 to 20", F2844&lt;= 40, "20 to 40", F2844 &lt;= 50, "40 to 50", F2844 &gt; 50, "&gt;50" )</f>
        <v>&gt;50</v>
      </c>
    </row>
    <row r="2845" spans="1:15" ht="15" customHeight="1" x14ac:dyDescent="0.3">
      <c r="A2845" t="s">
        <v>566</v>
      </c>
      <c r="B2845" s="1">
        <v>46218</v>
      </c>
      <c r="C2845" t="s">
        <v>16</v>
      </c>
      <c r="D2845">
        <v>2647</v>
      </c>
      <c r="E2845">
        <v>1</v>
      </c>
      <c r="F2845">
        <v>8.6</v>
      </c>
      <c r="G2845" t="s">
        <v>47</v>
      </c>
      <c r="H2845" t="s">
        <v>347</v>
      </c>
      <c r="I2845" t="str">
        <f t="shared" si="47"/>
        <v>2647_1</v>
      </c>
      <c r="J2845" t="s">
        <v>533</v>
      </c>
      <c r="K2845" t="s">
        <v>115</v>
      </c>
      <c r="L2845" t="str">
        <f>_xlfn.XLOOKUP(C2845, Table2[Species],Table2[Genus], "Code Not Found")</f>
        <v>Acer</v>
      </c>
      <c r="M2845" t="str">
        <f>_xlfn.XLOOKUP(C2845, Table2[Species],Table2[Sp. Name], "Code Not Found")</f>
        <v>saccharum</v>
      </c>
      <c r="N2845" t="str">
        <f>_xlfn.XLOOKUP(C2845,Table2[Species],Table2[Family],"Code Not Found")</f>
        <v>Sapindaceae</v>
      </c>
      <c r="O2845" t="str" cm="1">
        <f t="array" ref="O2845">_xlfn.IFS(F2845="","",F2845&lt;=5,"0 to 5",F2845&lt;=10,"5.1 to 10",F2845&lt;=20,"10 to 20", F2845&lt;= 40, "20 to 40", F2845 &lt;= 50, "40 to 50", F2845 &gt; 50, "&gt;50" )</f>
        <v>5.1 to 10</v>
      </c>
    </row>
    <row r="2846" spans="1:15" ht="15" customHeight="1" x14ac:dyDescent="0.3">
      <c r="A2846" t="s">
        <v>566</v>
      </c>
      <c r="B2846" s="1">
        <v>46218</v>
      </c>
      <c r="C2846" t="s">
        <v>16</v>
      </c>
      <c r="D2846">
        <v>2648</v>
      </c>
      <c r="E2846">
        <v>1</v>
      </c>
      <c r="F2846">
        <v>3.3</v>
      </c>
      <c r="G2846" t="s">
        <v>47</v>
      </c>
      <c r="I2846" t="str">
        <f t="shared" si="47"/>
        <v>2648_1</v>
      </c>
      <c r="J2846" t="s">
        <v>533</v>
      </c>
      <c r="K2846" t="s">
        <v>115</v>
      </c>
      <c r="L2846" t="str">
        <f>_xlfn.XLOOKUP(C2846, Table2[Species],Table2[Genus], "Code Not Found")</f>
        <v>Acer</v>
      </c>
      <c r="M2846" t="str">
        <f>_xlfn.XLOOKUP(C2846, Table2[Species],Table2[Sp. Name], "Code Not Found")</f>
        <v>saccharum</v>
      </c>
      <c r="N2846" t="str">
        <f>_xlfn.XLOOKUP(C2846,Table2[Species],Table2[Family],"Code Not Found")</f>
        <v>Sapindaceae</v>
      </c>
      <c r="O2846" t="str" cm="1">
        <f t="array" ref="O2846">_xlfn.IFS(F2846="","",F2846&lt;=5,"0 to 5",F2846&lt;=10,"5.1 to 10",F2846&lt;=20,"10 to 20", F2846&lt;= 40, "20 to 40", F2846 &lt;= 50, "40 to 50", F2846 &gt; 50, "&gt;50" )</f>
        <v>0 to 5</v>
      </c>
    </row>
    <row r="2847" spans="1:15" ht="15" customHeight="1" x14ac:dyDescent="0.3">
      <c r="A2847" t="s">
        <v>566</v>
      </c>
      <c r="B2847" s="1">
        <v>46218</v>
      </c>
      <c r="C2847" t="s">
        <v>572</v>
      </c>
      <c r="D2847">
        <v>2649</v>
      </c>
      <c r="E2847">
        <v>1</v>
      </c>
      <c r="F2847">
        <v>14.6</v>
      </c>
      <c r="G2847" t="s">
        <v>17</v>
      </c>
      <c r="I2847" t="str">
        <f t="shared" si="47"/>
        <v>2649_1</v>
      </c>
      <c r="J2847" t="s">
        <v>533</v>
      </c>
      <c r="K2847" t="s">
        <v>115</v>
      </c>
      <c r="L2847" t="str">
        <f>_xlfn.XLOOKUP(C2847, Table2[Species],Table2[Genus], "Code Not Found")</f>
        <v>Carya</v>
      </c>
      <c r="M2847" t="str">
        <f>_xlfn.XLOOKUP(C2847, Table2[Species],Table2[Sp. Name], "Code Not Found")</f>
        <v>ovata</v>
      </c>
      <c r="N2847" t="str">
        <f>_xlfn.XLOOKUP(C2847,Table2[Species],Table2[Family],"Code Not Found")</f>
        <v>Juglandaceae</v>
      </c>
      <c r="O2847" t="str" cm="1">
        <f t="array" ref="O2847">_xlfn.IFS(F2847="","",F2847&lt;=5,"0 to 5",F2847&lt;=10,"5.1 to 10",F2847&lt;=20,"10 to 20", F2847&lt;= 40, "20 to 40", F2847 &lt;= 50, "40 to 50", F2847 &gt; 50, "&gt;50" )</f>
        <v>10 to 20</v>
      </c>
    </row>
    <row r="2848" spans="1:15" ht="15" customHeight="1" x14ac:dyDescent="0.3">
      <c r="A2848" t="s">
        <v>566</v>
      </c>
      <c r="B2848" s="1">
        <v>46218</v>
      </c>
      <c r="C2848" t="s">
        <v>16</v>
      </c>
      <c r="D2848">
        <v>2650</v>
      </c>
      <c r="E2848">
        <v>1</v>
      </c>
      <c r="F2848">
        <v>4</v>
      </c>
      <c r="G2848" t="s">
        <v>30</v>
      </c>
      <c r="H2848" t="s">
        <v>99</v>
      </c>
      <c r="I2848" t="str">
        <f t="shared" si="47"/>
        <v>2650_1</v>
      </c>
      <c r="J2848" t="s">
        <v>533</v>
      </c>
      <c r="K2848" t="s">
        <v>115</v>
      </c>
      <c r="L2848" t="str">
        <f>_xlfn.XLOOKUP(C2848, Table2[Species],Table2[Genus], "Code Not Found")</f>
        <v>Acer</v>
      </c>
      <c r="M2848" t="str">
        <f>_xlfn.XLOOKUP(C2848, Table2[Species],Table2[Sp. Name], "Code Not Found")</f>
        <v>saccharum</v>
      </c>
      <c r="N2848" t="str">
        <f>_xlfn.XLOOKUP(C2848,Table2[Species],Table2[Family],"Code Not Found")</f>
        <v>Sapindaceae</v>
      </c>
      <c r="O2848" t="str" cm="1">
        <f t="array" ref="O2848">_xlfn.IFS(F2848="","",F2848&lt;=5,"0 to 5",F2848&lt;=10,"5.1 to 10",F2848&lt;=20,"10 to 20", F2848&lt;= 40, "20 to 40", F2848 &lt;= 50, "40 to 50", F2848 &gt; 50, "&gt;50" )</f>
        <v>0 to 5</v>
      </c>
    </row>
    <row r="2849" spans="1:15" ht="15" customHeight="1" x14ac:dyDescent="0.3">
      <c r="A2849" t="s">
        <v>566</v>
      </c>
      <c r="B2849" s="1">
        <v>46218</v>
      </c>
      <c r="C2849" t="s">
        <v>16</v>
      </c>
      <c r="D2849">
        <v>2651</v>
      </c>
      <c r="E2849">
        <v>1</v>
      </c>
      <c r="F2849">
        <v>4.4000000000000004</v>
      </c>
      <c r="G2849" t="s">
        <v>17</v>
      </c>
      <c r="I2849" t="str">
        <f t="shared" ref="I2849:I2883" si="48">D2849&amp;"_"&amp;E2849</f>
        <v>2651_1</v>
      </c>
      <c r="J2849" t="s">
        <v>533</v>
      </c>
      <c r="K2849" t="s">
        <v>115</v>
      </c>
      <c r="L2849" t="str">
        <f>_xlfn.XLOOKUP(C2849, Table2[Species],Table2[Genus], "Code Not Found")</f>
        <v>Acer</v>
      </c>
      <c r="M2849" t="str">
        <f>_xlfn.XLOOKUP(C2849, Table2[Species],Table2[Sp. Name], "Code Not Found")</f>
        <v>saccharum</v>
      </c>
      <c r="N2849" t="str">
        <f>_xlfn.XLOOKUP(C2849,Table2[Species],Table2[Family],"Code Not Found")</f>
        <v>Sapindaceae</v>
      </c>
      <c r="O2849" t="str" cm="1">
        <f t="array" ref="O2849">_xlfn.IFS(F2849="","",F2849&lt;=5,"0 to 5",F2849&lt;=10,"5.1 to 10",F2849&lt;=20,"10 to 20", F2849&lt;= 40, "20 to 40", F2849 &lt;= 50, "40 to 50", F2849 &gt; 50, "&gt;50" )</f>
        <v>0 to 5</v>
      </c>
    </row>
    <row r="2850" spans="1:15" ht="15" customHeight="1" x14ac:dyDescent="0.3">
      <c r="A2850" t="s">
        <v>566</v>
      </c>
      <c r="B2850" s="1">
        <v>46218</v>
      </c>
      <c r="C2850" t="s">
        <v>20</v>
      </c>
      <c r="D2850">
        <v>2652</v>
      </c>
      <c r="E2850">
        <v>1</v>
      </c>
      <c r="F2850">
        <v>15.1</v>
      </c>
      <c r="G2850" t="s">
        <v>17</v>
      </c>
      <c r="H2850" t="s">
        <v>36</v>
      </c>
      <c r="I2850" t="str">
        <f t="shared" si="48"/>
        <v>2652_1</v>
      </c>
      <c r="J2850" t="s">
        <v>533</v>
      </c>
      <c r="K2850" t="s">
        <v>115</v>
      </c>
      <c r="L2850" t="str">
        <f>_xlfn.XLOOKUP(C2850, Table2[Species],Table2[Genus], "Code Not Found")</f>
        <v>Prunus</v>
      </c>
      <c r="M2850" t="str">
        <f>_xlfn.XLOOKUP(C2850, Table2[Species],Table2[Sp. Name], "Code Not Found")</f>
        <v>serotina</v>
      </c>
      <c r="N2850" t="str">
        <f>_xlfn.XLOOKUP(C2850,Table2[Species],Table2[Family],"Code Not Found")</f>
        <v>Rosaceae</v>
      </c>
      <c r="O2850" t="str" cm="1">
        <f t="array" ref="O2850">_xlfn.IFS(F2850="","",F2850&lt;=5,"0 to 5",F2850&lt;=10,"5.1 to 10",F2850&lt;=20,"10 to 20", F2850&lt;= 40, "20 to 40", F2850 &lt;= 50, "40 to 50", F2850 &gt; 50, "&gt;50" )</f>
        <v>10 to 20</v>
      </c>
    </row>
    <row r="2851" spans="1:15" ht="15" customHeight="1" x14ac:dyDescent="0.3">
      <c r="A2851" t="s">
        <v>566</v>
      </c>
      <c r="B2851" s="1">
        <v>46218</v>
      </c>
      <c r="C2851" t="s">
        <v>16</v>
      </c>
      <c r="D2851">
        <v>2653</v>
      </c>
      <c r="E2851">
        <v>1</v>
      </c>
      <c r="F2851">
        <v>10.199999999999999</v>
      </c>
      <c r="G2851" t="s">
        <v>17</v>
      </c>
      <c r="I2851" t="str">
        <f t="shared" si="48"/>
        <v>2653_1</v>
      </c>
      <c r="J2851" t="s">
        <v>533</v>
      </c>
      <c r="K2851" t="s">
        <v>115</v>
      </c>
      <c r="L2851" t="str">
        <f>_xlfn.XLOOKUP(C2851, Table2[Species],Table2[Genus], "Code Not Found")</f>
        <v>Acer</v>
      </c>
      <c r="M2851" t="str">
        <f>_xlfn.XLOOKUP(C2851, Table2[Species],Table2[Sp. Name], "Code Not Found")</f>
        <v>saccharum</v>
      </c>
      <c r="N2851" t="str">
        <f>_xlfn.XLOOKUP(C2851,Table2[Species],Table2[Family],"Code Not Found")</f>
        <v>Sapindaceae</v>
      </c>
      <c r="O2851" t="str" cm="1">
        <f t="array" ref="O2851">_xlfn.IFS(F2851="","",F2851&lt;=5,"0 to 5",F2851&lt;=10,"5.1 to 10",F2851&lt;=20,"10 to 20", F2851&lt;= 40, "20 to 40", F2851 &lt;= 50, "40 to 50", F2851 &gt; 50, "&gt;50" )</f>
        <v>10 to 20</v>
      </c>
    </row>
    <row r="2852" spans="1:15" ht="15" customHeight="1" x14ac:dyDescent="0.3">
      <c r="A2852" t="s">
        <v>566</v>
      </c>
      <c r="B2852" s="1">
        <v>46218</v>
      </c>
      <c r="C2852" t="s">
        <v>16</v>
      </c>
      <c r="D2852">
        <v>2654</v>
      </c>
      <c r="E2852">
        <v>1</v>
      </c>
      <c r="F2852">
        <v>8.1</v>
      </c>
      <c r="G2852" t="s">
        <v>21</v>
      </c>
      <c r="I2852" t="str">
        <f t="shared" si="48"/>
        <v>2654_1</v>
      </c>
      <c r="J2852" t="s">
        <v>533</v>
      </c>
      <c r="K2852" t="s">
        <v>115</v>
      </c>
      <c r="L2852" t="str">
        <f>_xlfn.XLOOKUP(C2852, Table2[Species],Table2[Genus], "Code Not Found")</f>
        <v>Acer</v>
      </c>
      <c r="M2852" t="str">
        <f>_xlfn.XLOOKUP(C2852, Table2[Species],Table2[Sp. Name], "Code Not Found")</f>
        <v>saccharum</v>
      </c>
      <c r="N2852" t="str">
        <f>_xlfn.XLOOKUP(C2852,Table2[Species],Table2[Family],"Code Not Found")</f>
        <v>Sapindaceae</v>
      </c>
      <c r="O2852" t="str" cm="1">
        <f t="array" ref="O2852">_xlfn.IFS(F2852="","",F2852&lt;=5,"0 to 5",F2852&lt;=10,"5.1 to 10",F2852&lt;=20,"10 to 20", F2852&lt;= 40, "20 to 40", F2852 &lt;= 50, "40 to 50", F2852 &gt; 50, "&gt;50" )</f>
        <v>5.1 to 10</v>
      </c>
    </row>
    <row r="2853" spans="1:15" ht="15" customHeight="1" x14ac:dyDescent="0.3">
      <c r="A2853" t="s">
        <v>566</v>
      </c>
      <c r="B2853" s="1">
        <v>46218</v>
      </c>
      <c r="C2853" t="s">
        <v>16</v>
      </c>
      <c r="D2853">
        <v>2655</v>
      </c>
      <c r="E2853">
        <v>1</v>
      </c>
      <c r="F2853">
        <v>7.1</v>
      </c>
      <c r="G2853" t="s">
        <v>17</v>
      </c>
      <c r="I2853" t="str">
        <f t="shared" si="48"/>
        <v>2655_1</v>
      </c>
      <c r="J2853" t="s">
        <v>533</v>
      </c>
      <c r="K2853" t="s">
        <v>115</v>
      </c>
      <c r="L2853" t="str">
        <f>_xlfn.XLOOKUP(C2853, Table2[Species],Table2[Genus], "Code Not Found")</f>
        <v>Acer</v>
      </c>
      <c r="M2853" t="str">
        <f>_xlfn.XLOOKUP(C2853, Table2[Species],Table2[Sp. Name], "Code Not Found")</f>
        <v>saccharum</v>
      </c>
      <c r="N2853" t="str">
        <f>_xlfn.XLOOKUP(C2853,Table2[Species],Table2[Family],"Code Not Found")</f>
        <v>Sapindaceae</v>
      </c>
      <c r="O2853" t="str" cm="1">
        <f t="array" ref="O2853">_xlfn.IFS(F2853="","",F2853&lt;=5,"0 to 5",F2853&lt;=10,"5.1 to 10",F2853&lt;=20,"10 to 20", F2853&lt;= 40, "20 to 40", F2853 &lt;= 50, "40 to 50", F2853 &gt; 50, "&gt;50" )</f>
        <v>5.1 to 10</v>
      </c>
    </row>
    <row r="2854" spans="1:15" ht="15" customHeight="1" x14ac:dyDescent="0.3">
      <c r="A2854" t="s">
        <v>566</v>
      </c>
      <c r="B2854" s="1">
        <v>46218</v>
      </c>
      <c r="C2854" t="s">
        <v>129</v>
      </c>
      <c r="D2854">
        <v>2656</v>
      </c>
      <c r="E2854">
        <v>1</v>
      </c>
      <c r="F2854">
        <v>33.299999999999997</v>
      </c>
      <c r="G2854" t="s">
        <v>21</v>
      </c>
      <c r="I2854" t="str">
        <f t="shared" si="48"/>
        <v>2656_1</v>
      </c>
      <c r="J2854" t="s">
        <v>533</v>
      </c>
      <c r="K2854" t="s">
        <v>115</v>
      </c>
      <c r="L2854" t="str">
        <f>_xlfn.XLOOKUP(C2854, Table2[Species],Table2[Genus], "Code Not Found")</f>
        <v>Quercus</v>
      </c>
      <c r="M2854" t="str">
        <f>_xlfn.XLOOKUP(C2854, Table2[Species],Table2[Sp. Name], "Code Not Found")</f>
        <v>alba</v>
      </c>
      <c r="N2854" t="str">
        <f>_xlfn.XLOOKUP(C2854,Table2[Species],Table2[Family],"Code Not Found")</f>
        <v>Fagaceae</v>
      </c>
      <c r="O2854" t="str" cm="1">
        <f t="array" ref="O2854">_xlfn.IFS(F2854="","",F2854&lt;=5,"0 to 5",F2854&lt;=10,"5.1 to 10",F2854&lt;=20,"10 to 20", F2854&lt;= 40, "20 to 40", F2854 &lt;= 50, "40 to 50", F2854 &gt; 50, "&gt;50" )</f>
        <v>20 to 40</v>
      </c>
    </row>
    <row r="2855" spans="1:15" ht="15" customHeight="1" x14ac:dyDescent="0.3">
      <c r="A2855" t="s">
        <v>566</v>
      </c>
      <c r="B2855" s="1">
        <v>46218</v>
      </c>
      <c r="C2855" t="s">
        <v>16</v>
      </c>
      <c r="D2855">
        <v>2657</v>
      </c>
      <c r="E2855">
        <v>1</v>
      </c>
      <c r="F2855">
        <v>9.3000000000000007</v>
      </c>
      <c r="G2855" t="s">
        <v>17</v>
      </c>
      <c r="I2855" t="str">
        <f t="shared" si="48"/>
        <v>2657_1</v>
      </c>
      <c r="J2855" t="s">
        <v>533</v>
      </c>
      <c r="K2855" t="s">
        <v>115</v>
      </c>
      <c r="L2855" t="str">
        <f>_xlfn.XLOOKUP(C2855, Table2[Species],Table2[Genus], "Code Not Found")</f>
        <v>Acer</v>
      </c>
      <c r="M2855" t="str">
        <f>_xlfn.XLOOKUP(C2855, Table2[Species],Table2[Sp. Name], "Code Not Found")</f>
        <v>saccharum</v>
      </c>
      <c r="N2855" t="str">
        <f>_xlfn.XLOOKUP(C2855,Table2[Species],Table2[Family],"Code Not Found")</f>
        <v>Sapindaceae</v>
      </c>
      <c r="O2855" t="str" cm="1">
        <f t="array" ref="O2855">_xlfn.IFS(F2855="","",F2855&lt;=5,"0 to 5",F2855&lt;=10,"5.1 to 10",F2855&lt;=20,"10 to 20", F2855&lt;= 40, "20 to 40", F2855 &lt;= 50, "40 to 50", F2855 &gt; 50, "&gt;50" )</f>
        <v>5.1 to 10</v>
      </c>
    </row>
    <row r="2856" spans="1:15" ht="15" customHeight="1" x14ac:dyDescent="0.3">
      <c r="A2856" t="s">
        <v>566</v>
      </c>
      <c r="B2856" s="1">
        <v>46218</v>
      </c>
      <c r="C2856" t="s">
        <v>123</v>
      </c>
      <c r="D2856">
        <v>2658</v>
      </c>
      <c r="E2856">
        <v>1</v>
      </c>
      <c r="F2856">
        <v>55.5</v>
      </c>
      <c r="G2856" t="s">
        <v>21</v>
      </c>
      <c r="H2856" t="s">
        <v>500</v>
      </c>
      <c r="I2856" t="str">
        <f t="shared" si="48"/>
        <v>2658_1</v>
      </c>
      <c r="J2856" t="s">
        <v>533</v>
      </c>
      <c r="K2856" t="s">
        <v>115</v>
      </c>
      <c r="L2856" t="str">
        <f>_xlfn.XLOOKUP(C2856, Table2[Species],Table2[Genus], "Code Not Found")</f>
        <v>Quercus</v>
      </c>
      <c r="M2856" t="str">
        <f>_xlfn.XLOOKUP(C2856, Table2[Species],Table2[Sp. Name], "Code Not Found")</f>
        <v>rubra</v>
      </c>
      <c r="N2856" t="str">
        <f>_xlfn.XLOOKUP(C2856,Table2[Species],Table2[Family],"Code Not Found")</f>
        <v>Fagaceae</v>
      </c>
      <c r="O2856" t="str" cm="1">
        <f t="array" ref="O2856">_xlfn.IFS(F2856="","",F2856&lt;=5,"0 to 5",F2856&lt;=10,"5.1 to 10",F2856&lt;=20,"10 to 20", F2856&lt;= 40, "20 to 40", F2856 &lt;= 50, "40 to 50", F2856 &gt; 50, "&gt;50" )</f>
        <v>&gt;50</v>
      </c>
    </row>
    <row r="2857" spans="1:15" ht="15" customHeight="1" x14ac:dyDescent="0.3">
      <c r="A2857" t="s">
        <v>566</v>
      </c>
      <c r="B2857" s="1">
        <v>46218</v>
      </c>
      <c r="C2857" t="s">
        <v>16</v>
      </c>
      <c r="D2857">
        <v>2659</v>
      </c>
      <c r="E2857">
        <v>1</v>
      </c>
      <c r="F2857">
        <v>8.3000000000000007</v>
      </c>
      <c r="G2857" t="s">
        <v>17</v>
      </c>
      <c r="I2857" t="str">
        <f t="shared" si="48"/>
        <v>2659_1</v>
      </c>
      <c r="J2857" t="s">
        <v>533</v>
      </c>
      <c r="K2857" t="s">
        <v>115</v>
      </c>
      <c r="L2857" t="str">
        <f>_xlfn.XLOOKUP(C2857, Table2[Species],Table2[Genus], "Code Not Found")</f>
        <v>Acer</v>
      </c>
      <c r="M2857" t="str">
        <f>_xlfn.XLOOKUP(C2857, Table2[Species],Table2[Sp. Name], "Code Not Found")</f>
        <v>saccharum</v>
      </c>
      <c r="N2857" t="str">
        <f>_xlfn.XLOOKUP(C2857,Table2[Species],Table2[Family],"Code Not Found")</f>
        <v>Sapindaceae</v>
      </c>
      <c r="O2857" t="str" cm="1">
        <f t="array" ref="O2857">_xlfn.IFS(F2857="","",F2857&lt;=5,"0 to 5",F2857&lt;=10,"5.1 to 10",F2857&lt;=20,"10 to 20", F2857&lt;= 40, "20 to 40", F2857 &lt;= 50, "40 to 50", F2857 &gt; 50, "&gt;50" )</f>
        <v>5.1 to 10</v>
      </c>
    </row>
    <row r="2858" spans="1:15" ht="15" customHeight="1" x14ac:dyDescent="0.3">
      <c r="A2858" t="s">
        <v>566</v>
      </c>
      <c r="B2858" s="1">
        <v>46218</v>
      </c>
      <c r="C2858" t="s">
        <v>16</v>
      </c>
      <c r="D2858">
        <v>2660</v>
      </c>
      <c r="E2858">
        <v>1</v>
      </c>
      <c r="F2858">
        <v>5</v>
      </c>
      <c r="G2858" t="s">
        <v>21</v>
      </c>
      <c r="I2858" t="str">
        <f t="shared" si="48"/>
        <v>2660_1</v>
      </c>
      <c r="J2858" t="s">
        <v>533</v>
      </c>
      <c r="K2858" t="s">
        <v>115</v>
      </c>
      <c r="L2858" t="str">
        <f>_xlfn.XLOOKUP(C2858, Table2[Species],Table2[Genus], "Code Not Found")</f>
        <v>Acer</v>
      </c>
      <c r="M2858" t="str">
        <f>_xlfn.XLOOKUP(C2858, Table2[Species],Table2[Sp. Name], "Code Not Found")</f>
        <v>saccharum</v>
      </c>
      <c r="N2858" t="str">
        <f>_xlfn.XLOOKUP(C2858,Table2[Species],Table2[Family],"Code Not Found")</f>
        <v>Sapindaceae</v>
      </c>
      <c r="O2858" t="str" cm="1">
        <f t="array" ref="O2858">_xlfn.IFS(F2858="","",F2858&lt;=5,"0 to 5",F2858&lt;=10,"5.1 to 10",F2858&lt;=20,"10 to 20", F2858&lt;= 40, "20 to 40", F2858 &lt;= 50, "40 to 50", F2858 &gt; 50, "&gt;50" )</f>
        <v>0 to 5</v>
      </c>
    </row>
    <row r="2859" spans="1:15" ht="15" customHeight="1" x14ac:dyDescent="0.3">
      <c r="A2859" t="s">
        <v>566</v>
      </c>
      <c r="B2859" s="1">
        <v>46218</v>
      </c>
      <c r="C2859" t="s">
        <v>123</v>
      </c>
      <c r="D2859">
        <v>2661</v>
      </c>
      <c r="E2859">
        <v>1</v>
      </c>
      <c r="F2859">
        <v>61.5</v>
      </c>
      <c r="G2859" t="s">
        <v>17</v>
      </c>
      <c r="I2859" t="str">
        <f t="shared" si="48"/>
        <v>2661_1</v>
      </c>
      <c r="J2859" t="s">
        <v>533</v>
      </c>
      <c r="K2859" t="s">
        <v>115</v>
      </c>
      <c r="L2859" t="str">
        <f>_xlfn.XLOOKUP(C2859, Table2[Species],Table2[Genus], "Code Not Found")</f>
        <v>Quercus</v>
      </c>
      <c r="M2859" t="str">
        <f>_xlfn.XLOOKUP(C2859, Table2[Species],Table2[Sp. Name], "Code Not Found")</f>
        <v>rubra</v>
      </c>
      <c r="N2859" t="str">
        <f>_xlfn.XLOOKUP(C2859,Table2[Species],Table2[Family],"Code Not Found")</f>
        <v>Fagaceae</v>
      </c>
      <c r="O2859" t="str" cm="1">
        <f t="array" ref="O2859">_xlfn.IFS(F2859="","",F2859&lt;=5,"0 to 5",F2859&lt;=10,"5.1 to 10",F2859&lt;=20,"10 to 20", F2859&lt;= 40, "20 to 40", F2859 &lt;= 50, "40 to 50", F2859 &gt; 50, "&gt;50" )</f>
        <v>&gt;50</v>
      </c>
    </row>
    <row r="2860" spans="1:15" ht="15" customHeight="1" x14ac:dyDescent="0.3">
      <c r="A2860" t="s">
        <v>566</v>
      </c>
      <c r="B2860" s="1">
        <v>46218</v>
      </c>
      <c r="C2860" t="s">
        <v>16</v>
      </c>
      <c r="D2860">
        <v>2662</v>
      </c>
      <c r="E2860">
        <v>1</v>
      </c>
      <c r="F2860">
        <v>5.5</v>
      </c>
      <c r="G2860" t="s">
        <v>30</v>
      </c>
      <c r="H2860" t="s">
        <v>583</v>
      </c>
      <c r="I2860" t="str">
        <f t="shared" si="48"/>
        <v>2662_1</v>
      </c>
      <c r="J2860" t="s">
        <v>533</v>
      </c>
      <c r="K2860" t="s">
        <v>115</v>
      </c>
      <c r="L2860" t="str">
        <f>_xlfn.XLOOKUP(C2860, Table2[Species],Table2[Genus], "Code Not Found")</f>
        <v>Acer</v>
      </c>
      <c r="M2860" t="str">
        <f>_xlfn.XLOOKUP(C2860, Table2[Species],Table2[Sp. Name], "Code Not Found")</f>
        <v>saccharum</v>
      </c>
      <c r="N2860" t="str">
        <f>_xlfn.XLOOKUP(C2860,Table2[Species],Table2[Family],"Code Not Found")</f>
        <v>Sapindaceae</v>
      </c>
      <c r="O2860" t="str" cm="1">
        <f t="array" ref="O2860">_xlfn.IFS(F2860="","",F2860&lt;=5,"0 to 5",F2860&lt;=10,"5.1 to 10",F2860&lt;=20,"10 to 20", F2860&lt;= 40, "20 to 40", F2860 &lt;= 50, "40 to 50", F2860 &gt; 50, "&gt;50" )</f>
        <v>5.1 to 10</v>
      </c>
    </row>
    <row r="2861" spans="1:15" ht="15" customHeight="1" x14ac:dyDescent="0.3">
      <c r="A2861" t="s">
        <v>566</v>
      </c>
      <c r="B2861" s="1">
        <v>46218</v>
      </c>
      <c r="C2861" t="s">
        <v>123</v>
      </c>
      <c r="D2861">
        <v>2663</v>
      </c>
      <c r="E2861">
        <v>1</v>
      </c>
      <c r="F2861">
        <v>16.8</v>
      </c>
      <c r="G2861" t="s">
        <v>573</v>
      </c>
      <c r="I2861" t="str">
        <f t="shared" si="48"/>
        <v>2663_1</v>
      </c>
      <c r="J2861" t="s">
        <v>533</v>
      </c>
      <c r="K2861" t="s">
        <v>115</v>
      </c>
      <c r="L2861" t="str">
        <f>_xlfn.XLOOKUP(C2861, Table2[Species],Table2[Genus], "Code Not Found")</f>
        <v>Quercus</v>
      </c>
      <c r="M2861" t="str">
        <f>_xlfn.XLOOKUP(C2861, Table2[Species],Table2[Sp. Name], "Code Not Found")</f>
        <v>rubra</v>
      </c>
      <c r="N2861" t="str">
        <f>_xlfn.XLOOKUP(C2861,Table2[Species],Table2[Family],"Code Not Found")</f>
        <v>Fagaceae</v>
      </c>
      <c r="O2861" t="str" cm="1">
        <f t="array" ref="O2861">_xlfn.IFS(F2861="","",F2861&lt;=5,"0 to 5",F2861&lt;=10,"5.1 to 10",F2861&lt;=20,"10 to 20", F2861&lt;= 40, "20 to 40", F2861 &lt;= 50, "40 to 50", F2861 &gt; 50, "&gt;50" )</f>
        <v>10 to 20</v>
      </c>
    </row>
    <row r="2862" spans="1:15" ht="15" customHeight="1" x14ac:dyDescent="0.3">
      <c r="A2862" t="s">
        <v>566</v>
      </c>
      <c r="B2862" s="1">
        <v>46218</v>
      </c>
      <c r="C2862" t="s">
        <v>180</v>
      </c>
      <c r="D2862">
        <v>2664</v>
      </c>
      <c r="E2862">
        <v>1</v>
      </c>
      <c r="F2862">
        <v>7.9</v>
      </c>
      <c r="G2862" t="s">
        <v>21</v>
      </c>
      <c r="H2862" t="s">
        <v>584</v>
      </c>
      <c r="I2862" t="str">
        <f t="shared" si="48"/>
        <v>2664_1</v>
      </c>
      <c r="J2862" t="s">
        <v>533</v>
      </c>
      <c r="K2862" t="s">
        <v>115</v>
      </c>
      <c r="L2862" t="str">
        <f>_xlfn.XLOOKUP(C2862, Table2[Species],Table2[Genus], "Code Not Found")</f>
        <v>Tilia</v>
      </c>
      <c r="M2862" t="str">
        <f>_xlfn.XLOOKUP(C2862, Table2[Species],Table2[Sp. Name], "Code Not Found")</f>
        <v>americana</v>
      </c>
      <c r="N2862" t="str">
        <f>_xlfn.XLOOKUP(C2862,Table2[Species],Table2[Family],"Code Not Found")</f>
        <v>Malvaceae</v>
      </c>
      <c r="O2862" t="str" cm="1">
        <f t="array" ref="O2862">_xlfn.IFS(F2862="","",F2862&lt;=5,"0 to 5",F2862&lt;=10,"5.1 to 10",F2862&lt;=20,"10 to 20", F2862&lt;= 40, "20 to 40", F2862 &lt;= 50, "40 to 50", F2862 &gt; 50, "&gt;50" )</f>
        <v>5.1 to 10</v>
      </c>
    </row>
    <row r="2863" spans="1:15" ht="15" customHeight="1" x14ac:dyDescent="0.3">
      <c r="A2863" t="s">
        <v>566</v>
      </c>
      <c r="B2863" s="1">
        <v>46218</v>
      </c>
      <c r="C2863" t="s">
        <v>16</v>
      </c>
      <c r="D2863">
        <v>2665</v>
      </c>
      <c r="E2863">
        <v>1</v>
      </c>
      <c r="F2863">
        <v>5</v>
      </c>
      <c r="G2863" t="s">
        <v>17</v>
      </c>
      <c r="I2863" t="str">
        <f t="shared" si="48"/>
        <v>2665_1</v>
      </c>
      <c r="J2863" t="s">
        <v>533</v>
      </c>
      <c r="K2863" t="s">
        <v>115</v>
      </c>
      <c r="L2863" t="str">
        <f>_xlfn.XLOOKUP(C2863, Table2[Species],Table2[Genus], "Code Not Found")</f>
        <v>Acer</v>
      </c>
      <c r="M2863" t="str">
        <f>_xlfn.XLOOKUP(C2863, Table2[Species],Table2[Sp. Name], "Code Not Found")</f>
        <v>saccharum</v>
      </c>
      <c r="N2863" t="str">
        <f>_xlfn.XLOOKUP(C2863,Table2[Species],Table2[Family],"Code Not Found")</f>
        <v>Sapindaceae</v>
      </c>
      <c r="O2863" t="str" cm="1">
        <f t="array" ref="O2863">_xlfn.IFS(F2863="","",F2863&lt;=5,"0 to 5",F2863&lt;=10,"5.1 to 10",F2863&lt;=20,"10 to 20", F2863&lt;= 40, "20 to 40", F2863 &lt;= 50, "40 to 50", F2863 &gt; 50, "&gt;50" )</f>
        <v>0 to 5</v>
      </c>
    </row>
    <row r="2864" spans="1:15" ht="15" customHeight="1" x14ac:dyDescent="0.3">
      <c r="A2864" t="s">
        <v>566</v>
      </c>
      <c r="B2864" s="1">
        <v>46218</v>
      </c>
      <c r="C2864" t="s">
        <v>16</v>
      </c>
      <c r="D2864">
        <v>2666</v>
      </c>
      <c r="E2864">
        <v>1</v>
      </c>
      <c r="F2864">
        <v>4.4000000000000004</v>
      </c>
      <c r="G2864" t="s">
        <v>17</v>
      </c>
      <c r="I2864" t="str">
        <f t="shared" si="48"/>
        <v>2666_1</v>
      </c>
      <c r="J2864" t="s">
        <v>533</v>
      </c>
      <c r="K2864" t="s">
        <v>115</v>
      </c>
      <c r="L2864" t="str">
        <f>_xlfn.XLOOKUP(C2864, Table2[Species],Table2[Genus], "Code Not Found")</f>
        <v>Acer</v>
      </c>
      <c r="M2864" t="str">
        <f>_xlfn.XLOOKUP(C2864, Table2[Species],Table2[Sp. Name], "Code Not Found")</f>
        <v>saccharum</v>
      </c>
      <c r="N2864" t="str">
        <f>_xlfn.XLOOKUP(C2864,Table2[Species],Table2[Family],"Code Not Found")</f>
        <v>Sapindaceae</v>
      </c>
      <c r="O2864" t="str" cm="1">
        <f t="array" ref="O2864">_xlfn.IFS(F2864="","",F2864&lt;=5,"0 to 5",F2864&lt;=10,"5.1 to 10",F2864&lt;=20,"10 to 20", F2864&lt;= 40, "20 to 40", F2864 &lt;= 50, "40 to 50", F2864 &gt; 50, "&gt;50" )</f>
        <v>0 to 5</v>
      </c>
    </row>
    <row r="2865" spans="1:15" ht="15" customHeight="1" x14ac:dyDescent="0.3">
      <c r="A2865" t="s">
        <v>566</v>
      </c>
      <c r="B2865" s="1">
        <v>46218</v>
      </c>
      <c r="C2865" t="s">
        <v>16</v>
      </c>
      <c r="D2865">
        <v>2667</v>
      </c>
      <c r="E2865">
        <v>1</v>
      </c>
      <c r="F2865">
        <v>5.6</v>
      </c>
      <c r="G2865" t="s">
        <v>17</v>
      </c>
      <c r="I2865" t="str">
        <f t="shared" si="48"/>
        <v>2667_1</v>
      </c>
      <c r="J2865" t="s">
        <v>533</v>
      </c>
      <c r="K2865" t="s">
        <v>115</v>
      </c>
      <c r="L2865" t="str">
        <f>_xlfn.XLOOKUP(C2865, Table2[Species],Table2[Genus], "Code Not Found")</f>
        <v>Acer</v>
      </c>
      <c r="M2865" t="str">
        <f>_xlfn.XLOOKUP(C2865, Table2[Species],Table2[Sp. Name], "Code Not Found")</f>
        <v>saccharum</v>
      </c>
      <c r="N2865" t="str">
        <f>_xlfn.XLOOKUP(C2865,Table2[Species],Table2[Family],"Code Not Found")</f>
        <v>Sapindaceae</v>
      </c>
      <c r="O2865" t="str" cm="1">
        <f t="array" ref="O2865">_xlfn.IFS(F2865="","",F2865&lt;=5,"0 to 5",F2865&lt;=10,"5.1 to 10",F2865&lt;=20,"10 to 20", F2865&lt;= 40, "20 to 40", F2865 &lt;= 50, "40 to 50", F2865 &gt; 50, "&gt;50" )</f>
        <v>5.1 to 10</v>
      </c>
    </row>
    <row r="2866" spans="1:15" ht="15" customHeight="1" x14ac:dyDescent="0.3">
      <c r="A2866" t="s">
        <v>566</v>
      </c>
      <c r="B2866" s="1">
        <v>46218</v>
      </c>
      <c r="C2866" t="s">
        <v>572</v>
      </c>
      <c r="D2866">
        <v>2668</v>
      </c>
      <c r="E2866">
        <v>1</v>
      </c>
      <c r="F2866">
        <v>65.2</v>
      </c>
      <c r="G2866" t="s">
        <v>103</v>
      </c>
      <c r="H2866" t="s">
        <v>585</v>
      </c>
      <c r="I2866" t="str">
        <f t="shared" si="48"/>
        <v>2668_1</v>
      </c>
      <c r="J2866" t="s">
        <v>533</v>
      </c>
      <c r="K2866" t="s">
        <v>115</v>
      </c>
      <c r="L2866" t="str">
        <f>_xlfn.XLOOKUP(C2866, Table2[Species],Table2[Genus], "Code Not Found")</f>
        <v>Carya</v>
      </c>
      <c r="M2866" t="str">
        <f>_xlfn.XLOOKUP(C2866, Table2[Species],Table2[Sp. Name], "Code Not Found")</f>
        <v>ovata</v>
      </c>
      <c r="N2866" t="str">
        <f>_xlfn.XLOOKUP(C2866,Table2[Species],Table2[Family],"Code Not Found")</f>
        <v>Juglandaceae</v>
      </c>
      <c r="O2866" t="str" cm="1">
        <f t="array" ref="O2866">_xlfn.IFS(F2866="","",F2866&lt;=5,"0 to 5",F2866&lt;=10,"5.1 to 10",F2866&lt;=20,"10 to 20", F2866&lt;= 40, "20 to 40", F2866 &lt;= 50, "40 to 50", F2866 &gt; 50, "&gt;50" )</f>
        <v>&gt;50</v>
      </c>
    </row>
    <row r="2867" spans="1:15" ht="15" customHeight="1" x14ac:dyDescent="0.3">
      <c r="A2867" t="s">
        <v>566</v>
      </c>
      <c r="B2867" s="1">
        <v>46218</v>
      </c>
      <c r="C2867" t="s">
        <v>16</v>
      </c>
      <c r="D2867">
        <v>2669</v>
      </c>
      <c r="E2867">
        <v>1</v>
      </c>
      <c r="F2867">
        <v>14.6</v>
      </c>
      <c r="G2867" t="s">
        <v>21</v>
      </c>
      <c r="I2867" t="str">
        <f t="shared" si="48"/>
        <v>2669_1</v>
      </c>
      <c r="J2867" t="s">
        <v>533</v>
      </c>
      <c r="K2867" t="s">
        <v>115</v>
      </c>
      <c r="L2867" t="str">
        <f>_xlfn.XLOOKUP(C2867, Table2[Species],Table2[Genus], "Code Not Found")</f>
        <v>Acer</v>
      </c>
      <c r="M2867" t="str">
        <f>_xlfn.XLOOKUP(C2867, Table2[Species],Table2[Sp. Name], "Code Not Found")</f>
        <v>saccharum</v>
      </c>
      <c r="N2867" t="str">
        <f>_xlfn.XLOOKUP(C2867,Table2[Species],Table2[Family],"Code Not Found")</f>
        <v>Sapindaceae</v>
      </c>
      <c r="O2867" t="str" cm="1">
        <f t="array" ref="O2867">_xlfn.IFS(F2867="","",F2867&lt;=5,"0 to 5",F2867&lt;=10,"5.1 to 10",F2867&lt;=20,"10 to 20", F2867&lt;= 40, "20 to 40", F2867 &lt;= 50, "40 to 50", F2867 &gt; 50, "&gt;50" )</f>
        <v>10 to 20</v>
      </c>
    </row>
    <row r="2868" spans="1:15" ht="15" customHeight="1" x14ac:dyDescent="0.3">
      <c r="A2868" t="s">
        <v>566</v>
      </c>
      <c r="B2868" s="1">
        <v>46218</v>
      </c>
      <c r="C2868" t="s">
        <v>235</v>
      </c>
      <c r="D2868">
        <v>2670</v>
      </c>
      <c r="E2868">
        <v>1</v>
      </c>
      <c r="F2868">
        <v>3.8</v>
      </c>
      <c r="G2868" t="s">
        <v>139</v>
      </c>
      <c r="H2868" t="s">
        <v>99</v>
      </c>
      <c r="I2868" t="str">
        <f t="shared" si="48"/>
        <v>2670_1</v>
      </c>
      <c r="J2868" t="s">
        <v>533</v>
      </c>
      <c r="K2868" t="s">
        <v>115</v>
      </c>
      <c r="L2868" t="str">
        <f>_xlfn.XLOOKUP(C2868, Table2[Species],Table2[Genus], "Code Not Found")</f>
        <v>Carpinus</v>
      </c>
      <c r="M2868" t="str">
        <f>_xlfn.XLOOKUP(C2868, Table2[Species],Table2[Sp. Name], "Code Not Found")</f>
        <v>caroliniana</v>
      </c>
      <c r="N2868" t="str">
        <f>_xlfn.XLOOKUP(C2868,Table2[Species],Table2[Family],"Code Not Found")</f>
        <v>Betulaceae</v>
      </c>
      <c r="O2868" t="str" cm="1">
        <f t="array" ref="O2868">_xlfn.IFS(F2868="","",F2868&lt;=5,"0 to 5",F2868&lt;=10,"5.1 to 10",F2868&lt;=20,"10 to 20", F2868&lt;= 40, "20 to 40", F2868 &lt;= 50, "40 to 50", F2868 &gt; 50, "&gt;50" )</f>
        <v>0 to 5</v>
      </c>
    </row>
    <row r="2869" spans="1:15" ht="15" customHeight="1" x14ac:dyDescent="0.3">
      <c r="A2869" t="s">
        <v>566</v>
      </c>
      <c r="B2869" s="1">
        <v>46218</v>
      </c>
      <c r="C2869" t="s">
        <v>64</v>
      </c>
      <c r="D2869">
        <v>2671</v>
      </c>
      <c r="E2869">
        <v>1</v>
      </c>
      <c r="F2869">
        <v>5.3</v>
      </c>
      <c r="G2869" t="s">
        <v>474</v>
      </c>
      <c r="I2869" t="str">
        <f t="shared" si="48"/>
        <v>2671_1</v>
      </c>
      <c r="J2869" t="s">
        <v>533</v>
      </c>
      <c r="K2869" t="s">
        <v>115</v>
      </c>
      <c r="L2869" t="str">
        <f>_xlfn.XLOOKUP(C2869, Table2[Species],Table2[Genus], "Code Not Found")</f>
        <v>Fagus</v>
      </c>
      <c r="M2869" t="str">
        <f>_xlfn.XLOOKUP(C2869, Table2[Species],Table2[Sp. Name], "Code Not Found")</f>
        <v>grandifolia</v>
      </c>
      <c r="N2869" t="str">
        <f>_xlfn.XLOOKUP(C2869,Table2[Species],Table2[Family],"Code Not Found")</f>
        <v>Fagaceae</v>
      </c>
      <c r="O2869" t="str" cm="1">
        <f t="array" ref="O2869">_xlfn.IFS(F2869="","",F2869&lt;=5,"0 to 5",F2869&lt;=10,"5.1 to 10",F2869&lt;=20,"10 to 20", F2869&lt;= 40, "20 to 40", F2869 &lt;= 50, "40 to 50", F2869 &gt; 50, "&gt;50" )</f>
        <v>5.1 to 10</v>
      </c>
    </row>
    <row r="2870" spans="1:15" ht="15" customHeight="1" x14ac:dyDescent="0.3">
      <c r="A2870" t="s">
        <v>566</v>
      </c>
      <c r="B2870" s="1">
        <v>46218</v>
      </c>
      <c r="C2870" t="s">
        <v>16</v>
      </c>
      <c r="D2870">
        <v>2672</v>
      </c>
      <c r="E2870">
        <v>1</v>
      </c>
      <c r="F2870">
        <v>5.9</v>
      </c>
      <c r="G2870" t="s">
        <v>21</v>
      </c>
      <c r="I2870" t="str">
        <f t="shared" si="48"/>
        <v>2672_1</v>
      </c>
      <c r="J2870" t="s">
        <v>533</v>
      </c>
      <c r="K2870" t="s">
        <v>115</v>
      </c>
      <c r="L2870" t="str">
        <f>_xlfn.XLOOKUP(C2870, Table2[Species],Table2[Genus], "Code Not Found")</f>
        <v>Acer</v>
      </c>
      <c r="M2870" t="str">
        <f>_xlfn.XLOOKUP(C2870, Table2[Species],Table2[Sp. Name], "Code Not Found")</f>
        <v>saccharum</v>
      </c>
      <c r="N2870" t="str">
        <f>_xlfn.XLOOKUP(C2870,Table2[Species],Table2[Family],"Code Not Found")</f>
        <v>Sapindaceae</v>
      </c>
      <c r="O2870" t="str" cm="1">
        <f t="array" ref="O2870">_xlfn.IFS(F2870="","",F2870&lt;=5,"0 to 5",F2870&lt;=10,"5.1 to 10",F2870&lt;=20,"10 to 20", F2870&lt;= 40, "20 to 40", F2870 &lt;= 50, "40 to 50", F2870 &gt; 50, "&gt;50" )</f>
        <v>5.1 to 10</v>
      </c>
    </row>
    <row r="2871" spans="1:15" ht="15" customHeight="1" x14ac:dyDescent="0.3">
      <c r="A2871" t="s">
        <v>566</v>
      </c>
      <c r="B2871" s="1">
        <v>46218</v>
      </c>
      <c r="C2871" t="s">
        <v>16</v>
      </c>
      <c r="D2871">
        <v>2673</v>
      </c>
      <c r="E2871">
        <v>1</v>
      </c>
      <c r="F2871">
        <v>3.5</v>
      </c>
      <c r="G2871" t="s">
        <v>17</v>
      </c>
      <c r="I2871" t="str">
        <f t="shared" si="48"/>
        <v>2673_1</v>
      </c>
      <c r="J2871" t="s">
        <v>533</v>
      </c>
      <c r="K2871" t="s">
        <v>115</v>
      </c>
      <c r="L2871" t="str">
        <f>_xlfn.XLOOKUP(C2871, Table2[Species],Table2[Genus], "Code Not Found")</f>
        <v>Acer</v>
      </c>
      <c r="M2871" t="str">
        <f>_xlfn.XLOOKUP(C2871, Table2[Species],Table2[Sp. Name], "Code Not Found")</f>
        <v>saccharum</v>
      </c>
      <c r="N2871" t="str">
        <f>_xlfn.XLOOKUP(C2871,Table2[Species],Table2[Family],"Code Not Found")</f>
        <v>Sapindaceae</v>
      </c>
      <c r="O2871" t="str" cm="1">
        <f t="array" ref="O2871">_xlfn.IFS(F2871="","",F2871&lt;=5,"0 to 5",F2871&lt;=10,"5.1 to 10",F2871&lt;=20,"10 to 20", F2871&lt;= 40, "20 to 40", F2871 &lt;= 50, "40 to 50", F2871 &gt; 50, "&gt;50" )</f>
        <v>0 to 5</v>
      </c>
    </row>
    <row r="2872" spans="1:15" ht="15" customHeight="1" x14ac:dyDescent="0.3">
      <c r="A2872" t="s">
        <v>566</v>
      </c>
      <c r="B2872" s="1">
        <v>46218</v>
      </c>
      <c r="C2872" t="s">
        <v>16</v>
      </c>
      <c r="D2872">
        <v>2674</v>
      </c>
      <c r="E2872">
        <v>1</v>
      </c>
      <c r="F2872">
        <v>10.4</v>
      </c>
      <c r="G2872" t="s">
        <v>56</v>
      </c>
      <c r="I2872" t="str">
        <f t="shared" si="48"/>
        <v>2674_1</v>
      </c>
      <c r="J2872" t="s">
        <v>533</v>
      </c>
      <c r="K2872" t="s">
        <v>115</v>
      </c>
      <c r="L2872" t="str">
        <f>_xlfn.XLOOKUP(C2872, Table2[Species],Table2[Genus], "Code Not Found")</f>
        <v>Acer</v>
      </c>
      <c r="M2872" t="str">
        <f>_xlfn.XLOOKUP(C2872, Table2[Species],Table2[Sp. Name], "Code Not Found")</f>
        <v>saccharum</v>
      </c>
      <c r="N2872" t="str">
        <f>_xlfn.XLOOKUP(C2872,Table2[Species],Table2[Family],"Code Not Found")</f>
        <v>Sapindaceae</v>
      </c>
      <c r="O2872" t="str" cm="1">
        <f t="array" ref="O2872">_xlfn.IFS(F2872="","",F2872&lt;=5,"0 to 5",F2872&lt;=10,"5.1 to 10",F2872&lt;=20,"10 to 20", F2872&lt;= 40, "20 to 40", F2872 &lt;= 50, "40 to 50", F2872 &gt; 50, "&gt;50" )</f>
        <v>10 to 20</v>
      </c>
    </row>
    <row r="2873" spans="1:15" ht="15" customHeight="1" x14ac:dyDescent="0.3">
      <c r="A2873" t="s">
        <v>566</v>
      </c>
      <c r="B2873" s="1">
        <v>46218</v>
      </c>
      <c r="C2873" t="s">
        <v>117</v>
      </c>
      <c r="D2873">
        <v>2675</v>
      </c>
      <c r="E2873">
        <v>1</v>
      </c>
      <c r="F2873">
        <v>6.9</v>
      </c>
      <c r="G2873" t="s">
        <v>21</v>
      </c>
      <c r="I2873" t="str">
        <f t="shared" si="48"/>
        <v>2675_1</v>
      </c>
      <c r="J2873" t="s">
        <v>533</v>
      </c>
      <c r="K2873" t="s">
        <v>115</v>
      </c>
      <c r="L2873" t="str">
        <f>_xlfn.XLOOKUP(C2873, Table2[Species],Table2[Genus], "Code Not Found")</f>
        <v>Ostrya</v>
      </c>
      <c r="M2873" t="str">
        <f>_xlfn.XLOOKUP(C2873, Table2[Species],Table2[Sp. Name], "Code Not Found")</f>
        <v>viginiana</v>
      </c>
      <c r="N2873" t="str">
        <f>_xlfn.XLOOKUP(C2873,Table2[Species],Table2[Family],"Code Not Found")</f>
        <v>Betulaceae</v>
      </c>
      <c r="O2873" t="str" cm="1">
        <f t="array" ref="O2873">_xlfn.IFS(F2873="","",F2873&lt;=5,"0 to 5",F2873&lt;=10,"5.1 to 10",F2873&lt;=20,"10 to 20", F2873&lt;= 40, "20 to 40", F2873 &lt;= 50, "40 to 50", F2873 &gt; 50, "&gt;50" )</f>
        <v>5.1 to 10</v>
      </c>
    </row>
    <row r="2874" spans="1:15" ht="15" customHeight="1" x14ac:dyDescent="0.3">
      <c r="A2874" t="s">
        <v>566</v>
      </c>
      <c r="B2874" s="1">
        <v>46218</v>
      </c>
      <c r="C2874" t="s">
        <v>16</v>
      </c>
      <c r="D2874">
        <v>2676</v>
      </c>
      <c r="E2874">
        <v>1</v>
      </c>
      <c r="F2874">
        <v>5.8</v>
      </c>
      <c r="G2874" t="s">
        <v>30</v>
      </c>
      <c r="H2874" t="s">
        <v>96</v>
      </c>
      <c r="I2874" t="str">
        <f t="shared" si="48"/>
        <v>2676_1</v>
      </c>
      <c r="J2874" t="s">
        <v>533</v>
      </c>
      <c r="K2874" t="s">
        <v>115</v>
      </c>
      <c r="L2874" t="str">
        <f>_xlfn.XLOOKUP(C2874, Table2[Species],Table2[Genus], "Code Not Found")</f>
        <v>Acer</v>
      </c>
      <c r="M2874" t="str">
        <f>_xlfn.XLOOKUP(C2874, Table2[Species],Table2[Sp. Name], "Code Not Found")</f>
        <v>saccharum</v>
      </c>
      <c r="N2874" t="str">
        <f>_xlfn.XLOOKUP(C2874,Table2[Species],Table2[Family],"Code Not Found")</f>
        <v>Sapindaceae</v>
      </c>
      <c r="O2874" t="str" cm="1">
        <f t="array" ref="O2874">_xlfn.IFS(F2874="","",F2874&lt;=5,"0 to 5",F2874&lt;=10,"5.1 to 10",F2874&lt;=20,"10 to 20", F2874&lt;= 40, "20 to 40", F2874 &lt;= 50, "40 to 50", F2874 &gt; 50, "&gt;50" )</f>
        <v>5.1 to 10</v>
      </c>
    </row>
    <row r="2875" spans="1:15" ht="15" customHeight="1" x14ac:dyDescent="0.3">
      <c r="A2875" t="s">
        <v>566</v>
      </c>
      <c r="B2875" s="1">
        <v>46218</v>
      </c>
      <c r="C2875" t="s">
        <v>16</v>
      </c>
      <c r="D2875">
        <v>2677</v>
      </c>
      <c r="E2875">
        <v>1</v>
      </c>
      <c r="F2875">
        <v>21.9</v>
      </c>
      <c r="G2875" t="s">
        <v>56</v>
      </c>
      <c r="H2875" t="s">
        <v>586</v>
      </c>
      <c r="I2875" t="str">
        <f t="shared" si="48"/>
        <v>2677_1</v>
      </c>
      <c r="J2875" t="s">
        <v>533</v>
      </c>
      <c r="K2875" t="s">
        <v>115</v>
      </c>
      <c r="L2875" t="str">
        <f>_xlfn.XLOOKUP(C2875, Table2[Species],Table2[Genus], "Code Not Found")</f>
        <v>Acer</v>
      </c>
      <c r="M2875" t="str">
        <f>_xlfn.XLOOKUP(C2875, Table2[Species],Table2[Sp. Name], "Code Not Found")</f>
        <v>saccharum</v>
      </c>
      <c r="N2875" t="str">
        <f>_xlfn.XLOOKUP(C2875,Table2[Species],Table2[Family],"Code Not Found")</f>
        <v>Sapindaceae</v>
      </c>
      <c r="O2875" t="str" cm="1">
        <f t="array" ref="O2875">_xlfn.IFS(F2875="","",F2875&lt;=5,"0 to 5",F2875&lt;=10,"5.1 to 10",F2875&lt;=20,"10 to 20", F2875&lt;= 40, "20 to 40", F2875 &lt;= 50, "40 to 50", F2875 &gt; 50, "&gt;50" )</f>
        <v>20 to 40</v>
      </c>
    </row>
    <row r="2876" spans="1:15" ht="15" customHeight="1" x14ac:dyDescent="0.3">
      <c r="A2876" t="s">
        <v>566</v>
      </c>
      <c r="B2876" s="1">
        <v>46218</v>
      </c>
      <c r="C2876" t="s">
        <v>16</v>
      </c>
      <c r="D2876">
        <v>2678</v>
      </c>
      <c r="E2876">
        <v>1</v>
      </c>
      <c r="F2876">
        <v>7.1</v>
      </c>
      <c r="G2876" t="s">
        <v>139</v>
      </c>
      <c r="H2876" t="s">
        <v>96</v>
      </c>
      <c r="I2876" t="str">
        <f t="shared" si="48"/>
        <v>2678_1</v>
      </c>
      <c r="J2876" t="s">
        <v>533</v>
      </c>
      <c r="K2876" t="s">
        <v>115</v>
      </c>
      <c r="L2876" t="str">
        <f>_xlfn.XLOOKUP(C2876, Table2[Species],Table2[Genus], "Code Not Found")</f>
        <v>Acer</v>
      </c>
      <c r="M2876" t="str">
        <f>_xlfn.XLOOKUP(C2876, Table2[Species],Table2[Sp. Name], "Code Not Found")</f>
        <v>saccharum</v>
      </c>
      <c r="N2876" t="str">
        <f>_xlfn.XLOOKUP(C2876,Table2[Species],Table2[Family],"Code Not Found")</f>
        <v>Sapindaceae</v>
      </c>
      <c r="O2876" t="str" cm="1">
        <f t="array" ref="O2876">_xlfn.IFS(F2876="","",F2876&lt;=5,"0 to 5",F2876&lt;=10,"5.1 to 10",F2876&lt;=20,"10 to 20", F2876&lt;= 40, "20 to 40", F2876 &lt;= 50, "40 to 50", F2876 &gt; 50, "&gt;50" )</f>
        <v>5.1 to 10</v>
      </c>
    </row>
    <row r="2877" spans="1:15" ht="15" customHeight="1" x14ac:dyDescent="0.3">
      <c r="A2877" t="s">
        <v>566</v>
      </c>
      <c r="B2877" s="1">
        <v>46218</v>
      </c>
      <c r="C2877" t="s">
        <v>572</v>
      </c>
      <c r="D2877">
        <v>2679</v>
      </c>
      <c r="E2877">
        <v>1</v>
      </c>
      <c r="F2877">
        <v>30.8</v>
      </c>
      <c r="G2877" t="s">
        <v>17</v>
      </c>
      <c r="I2877" t="str">
        <f t="shared" si="48"/>
        <v>2679_1</v>
      </c>
      <c r="J2877" t="s">
        <v>533</v>
      </c>
      <c r="K2877" t="s">
        <v>115</v>
      </c>
      <c r="L2877" t="str">
        <f>_xlfn.XLOOKUP(C2877, Table2[Species],Table2[Genus], "Code Not Found")</f>
        <v>Carya</v>
      </c>
      <c r="M2877" t="str">
        <f>_xlfn.XLOOKUP(C2877, Table2[Species],Table2[Sp. Name], "Code Not Found")</f>
        <v>ovata</v>
      </c>
      <c r="N2877" t="str">
        <f>_xlfn.XLOOKUP(C2877,Table2[Species],Table2[Family],"Code Not Found")</f>
        <v>Juglandaceae</v>
      </c>
      <c r="O2877" t="str" cm="1">
        <f t="array" ref="O2877">_xlfn.IFS(F2877="","",F2877&lt;=5,"0 to 5",F2877&lt;=10,"5.1 to 10",F2877&lt;=20,"10 to 20", F2877&lt;= 40, "20 to 40", F2877 &lt;= 50, "40 to 50", F2877 &gt; 50, "&gt;50" )</f>
        <v>20 to 40</v>
      </c>
    </row>
    <row r="2878" spans="1:15" ht="15" customHeight="1" x14ac:dyDescent="0.3">
      <c r="A2878" t="s">
        <v>566</v>
      </c>
      <c r="B2878" s="1">
        <v>46218</v>
      </c>
      <c r="C2878" t="s">
        <v>16</v>
      </c>
      <c r="D2878">
        <v>2680</v>
      </c>
      <c r="E2878">
        <v>1</v>
      </c>
      <c r="F2878">
        <v>8.6</v>
      </c>
      <c r="G2878" t="s">
        <v>21</v>
      </c>
      <c r="I2878" t="str">
        <f t="shared" si="48"/>
        <v>2680_1</v>
      </c>
      <c r="J2878" t="s">
        <v>533</v>
      </c>
      <c r="K2878" t="s">
        <v>115</v>
      </c>
      <c r="L2878" t="str">
        <f>_xlfn.XLOOKUP(C2878, Table2[Species],Table2[Genus], "Code Not Found")</f>
        <v>Acer</v>
      </c>
      <c r="M2878" t="str">
        <f>_xlfn.XLOOKUP(C2878, Table2[Species],Table2[Sp. Name], "Code Not Found")</f>
        <v>saccharum</v>
      </c>
      <c r="N2878" t="str">
        <f>_xlfn.XLOOKUP(C2878,Table2[Species],Table2[Family],"Code Not Found")</f>
        <v>Sapindaceae</v>
      </c>
      <c r="O2878" t="str" cm="1">
        <f t="array" ref="O2878">_xlfn.IFS(F2878="","",F2878&lt;=5,"0 to 5",F2878&lt;=10,"5.1 to 10",F2878&lt;=20,"10 to 20", F2878&lt;= 40, "20 to 40", F2878 &lt;= 50, "40 to 50", F2878 &gt; 50, "&gt;50" )</f>
        <v>5.1 to 10</v>
      </c>
    </row>
    <row r="2879" spans="1:15" ht="15" customHeight="1" x14ac:dyDescent="0.3">
      <c r="A2879" t="s">
        <v>566</v>
      </c>
      <c r="B2879" s="1">
        <v>46218</v>
      </c>
      <c r="C2879" t="s">
        <v>16</v>
      </c>
      <c r="D2879">
        <v>2681</v>
      </c>
      <c r="E2879">
        <v>1</v>
      </c>
      <c r="F2879">
        <v>10</v>
      </c>
      <c r="G2879" t="s">
        <v>47</v>
      </c>
      <c r="H2879" t="s">
        <v>587</v>
      </c>
      <c r="I2879" t="str">
        <f t="shared" si="48"/>
        <v>2681_1</v>
      </c>
      <c r="J2879" t="s">
        <v>533</v>
      </c>
      <c r="K2879" t="s">
        <v>115</v>
      </c>
      <c r="L2879" t="str">
        <f>_xlfn.XLOOKUP(C2879, Table2[Species],Table2[Genus], "Code Not Found")</f>
        <v>Acer</v>
      </c>
      <c r="M2879" t="str">
        <f>_xlfn.XLOOKUP(C2879, Table2[Species],Table2[Sp. Name], "Code Not Found")</f>
        <v>saccharum</v>
      </c>
      <c r="N2879" t="str">
        <f>_xlfn.XLOOKUP(C2879,Table2[Species],Table2[Family],"Code Not Found")</f>
        <v>Sapindaceae</v>
      </c>
      <c r="O2879" t="str" cm="1">
        <f t="array" ref="O2879">_xlfn.IFS(F2879="","",F2879&lt;=5,"0 to 5",F2879&lt;=10,"5.1 to 10",F2879&lt;=20,"10 to 20", F2879&lt;= 40, "20 to 40", F2879 &lt;= 50, "40 to 50", F2879 &gt; 50, "&gt;50" )</f>
        <v>5.1 to 10</v>
      </c>
    </row>
    <row r="2880" spans="1:15" ht="15" customHeight="1" x14ac:dyDescent="0.3">
      <c r="A2880" t="s">
        <v>566</v>
      </c>
      <c r="B2880" s="1">
        <v>46218</v>
      </c>
      <c r="C2880" t="s">
        <v>16</v>
      </c>
      <c r="D2880">
        <v>2682</v>
      </c>
      <c r="E2880">
        <v>1</v>
      </c>
      <c r="F2880">
        <v>3</v>
      </c>
      <c r="G2880" t="s">
        <v>47</v>
      </c>
      <c r="I2880" t="str">
        <f t="shared" si="48"/>
        <v>2682_1</v>
      </c>
      <c r="J2880" t="s">
        <v>533</v>
      </c>
      <c r="K2880" t="s">
        <v>115</v>
      </c>
      <c r="L2880" t="str">
        <f>_xlfn.XLOOKUP(C2880, Table2[Species],Table2[Genus], "Code Not Found")</f>
        <v>Acer</v>
      </c>
      <c r="M2880" t="str">
        <f>_xlfn.XLOOKUP(C2880, Table2[Species],Table2[Sp. Name], "Code Not Found")</f>
        <v>saccharum</v>
      </c>
      <c r="N2880" t="str">
        <f>_xlfn.XLOOKUP(C2880,Table2[Species],Table2[Family],"Code Not Found")</f>
        <v>Sapindaceae</v>
      </c>
      <c r="O2880" t="str" cm="1">
        <f t="array" ref="O2880">_xlfn.IFS(F2880="","",F2880&lt;=5,"0 to 5",F2880&lt;=10,"5.1 to 10",F2880&lt;=20,"10 to 20", F2880&lt;= 40, "20 to 40", F2880 &lt;= 50, "40 to 50", F2880 &gt; 50, "&gt;50" )</f>
        <v>0 to 5</v>
      </c>
    </row>
    <row r="2881" spans="1:15" ht="15" customHeight="1" x14ac:dyDescent="0.3">
      <c r="A2881" t="s">
        <v>566</v>
      </c>
      <c r="B2881" s="1">
        <v>46218</v>
      </c>
      <c r="C2881" t="s">
        <v>572</v>
      </c>
      <c r="D2881">
        <v>2683</v>
      </c>
      <c r="E2881">
        <v>1</v>
      </c>
      <c r="F2881">
        <v>10.5</v>
      </c>
      <c r="G2881" t="s">
        <v>21</v>
      </c>
      <c r="I2881" t="str">
        <f t="shared" si="48"/>
        <v>2683_1</v>
      </c>
      <c r="J2881" t="s">
        <v>533</v>
      </c>
      <c r="K2881" t="s">
        <v>115</v>
      </c>
      <c r="L2881" t="str">
        <f>_xlfn.XLOOKUP(C2881, Table2[Species],Table2[Genus], "Code Not Found")</f>
        <v>Carya</v>
      </c>
      <c r="M2881" t="str">
        <f>_xlfn.XLOOKUP(C2881, Table2[Species],Table2[Sp. Name], "Code Not Found")</f>
        <v>ovata</v>
      </c>
      <c r="N2881" t="str">
        <f>_xlfn.XLOOKUP(C2881,Table2[Species],Table2[Family],"Code Not Found")</f>
        <v>Juglandaceae</v>
      </c>
      <c r="O2881" t="str" cm="1">
        <f t="array" ref="O2881">_xlfn.IFS(F2881="","",F2881&lt;=5,"0 to 5",F2881&lt;=10,"5.1 to 10",F2881&lt;=20,"10 to 20", F2881&lt;= 40, "20 to 40", F2881 &lt;= 50, "40 to 50", F2881 &gt; 50, "&gt;50" )</f>
        <v>10 to 20</v>
      </c>
    </row>
    <row r="2882" spans="1:15" ht="15" customHeight="1" x14ac:dyDescent="0.3">
      <c r="A2882" t="s">
        <v>566</v>
      </c>
      <c r="B2882" s="1">
        <v>46218</v>
      </c>
      <c r="C2882" t="s">
        <v>16</v>
      </c>
      <c r="D2882">
        <v>2684</v>
      </c>
      <c r="E2882">
        <v>1</v>
      </c>
      <c r="F2882">
        <v>7.7</v>
      </c>
      <c r="G2882" t="s">
        <v>138</v>
      </c>
      <c r="I2882" t="str">
        <f t="shared" si="48"/>
        <v>2684_1</v>
      </c>
      <c r="J2882" t="s">
        <v>533</v>
      </c>
      <c r="K2882" t="s">
        <v>115</v>
      </c>
      <c r="L2882" t="str">
        <f>_xlfn.XLOOKUP(C2882, Table2[Species],Table2[Genus], "Code Not Found")</f>
        <v>Acer</v>
      </c>
      <c r="M2882" t="str">
        <f>_xlfn.XLOOKUP(C2882, Table2[Species],Table2[Sp. Name], "Code Not Found")</f>
        <v>saccharum</v>
      </c>
      <c r="N2882" t="str">
        <f>_xlfn.XLOOKUP(C2882,Table2[Species],Table2[Family],"Code Not Found")</f>
        <v>Sapindaceae</v>
      </c>
      <c r="O2882" t="str" cm="1">
        <f t="array" ref="O2882">_xlfn.IFS(F2882="","",F2882&lt;=5,"0 to 5",F2882&lt;=10,"5.1 to 10",F2882&lt;=20,"10 to 20", F2882&lt;= 40, "20 to 40", F2882 &lt;= 50, "40 to 50", F2882 &gt; 50, "&gt;50" )</f>
        <v>5.1 to 10</v>
      </c>
    </row>
    <row r="2883" spans="1:15" ht="15" customHeight="1" x14ac:dyDescent="0.3">
      <c r="A2883" t="s">
        <v>566</v>
      </c>
      <c r="B2883" s="1">
        <v>46218</v>
      </c>
      <c r="C2883" t="s">
        <v>124</v>
      </c>
      <c r="D2883">
        <v>2685</v>
      </c>
      <c r="E2883">
        <v>1</v>
      </c>
      <c r="F2883">
        <v>6.1</v>
      </c>
      <c r="G2883" t="s">
        <v>469</v>
      </c>
      <c r="H2883" t="s">
        <v>296</v>
      </c>
      <c r="I2883" t="str">
        <f t="shared" si="48"/>
        <v>2685_1</v>
      </c>
      <c r="J2883" t="s">
        <v>533</v>
      </c>
      <c r="K2883" t="s">
        <v>115</v>
      </c>
      <c r="L2883" t="str">
        <f>_xlfn.XLOOKUP(C2883, Table2[Species],Table2[Genus], "Code Not Found")</f>
        <v>Amelanchier</v>
      </c>
      <c r="M2883" t="str">
        <f>_xlfn.XLOOKUP(C2883, Table2[Species],Table2[Sp. Name], "Code Not Found")</f>
        <v>arborea</v>
      </c>
      <c r="N2883" t="str">
        <f>_xlfn.XLOOKUP(C2883,Table2[Species],Table2[Family],"Code Not Found")</f>
        <v>Rosaceae</v>
      </c>
      <c r="O2883" t="str" cm="1">
        <f t="array" ref="O2883">_xlfn.IFS(F2883="","",F2883&lt;=5,"0 to 5",F2883&lt;=10,"5.1 to 10",F2883&lt;=20,"10 to 20", F2883&lt;= 40, "20 to 40", F2883 &lt;= 50, "40 to 50", F2883 &gt; 50, "&gt;50" )</f>
        <v>5.1 to 10</v>
      </c>
    </row>
    <row r="2884" spans="1:15" ht="15" customHeight="1" x14ac:dyDescent="0.3">
      <c r="A2884" t="s">
        <v>566</v>
      </c>
      <c r="B2884" s="1">
        <v>46219</v>
      </c>
      <c r="C2884" t="s">
        <v>124</v>
      </c>
      <c r="D2884">
        <v>2685</v>
      </c>
      <c r="E2884">
        <v>2</v>
      </c>
      <c r="F2884">
        <v>2.8</v>
      </c>
      <c r="G2884" t="s">
        <v>469</v>
      </c>
      <c r="H2884" t="s">
        <v>296</v>
      </c>
      <c r="I2884" t="str">
        <f>D2884&amp;"_"&amp;E2884</f>
        <v>2685_2</v>
      </c>
      <c r="J2884" t="s">
        <v>533</v>
      </c>
      <c r="K2884" t="s">
        <v>115</v>
      </c>
      <c r="L2884" t="str">
        <f>_xlfn.XLOOKUP(C2884, Table2[Species],Table2[Genus], "Code Not Found")</f>
        <v>Amelanchier</v>
      </c>
      <c r="M2884" t="str">
        <f>_xlfn.XLOOKUP(C2884, Table2[Species],Table2[Sp. Name], "Code Not Found")</f>
        <v>arborea</v>
      </c>
      <c r="N2884" t="str">
        <f>_xlfn.XLOOKUP(C2884,Table2[Species],Table2[Family],"Code Not Found")</f>
        <v>Rosaceae</v>
      </c>
      <c r="O2884" t="str" cm="1">
        <f t="array" ref="O2884">_xlfn.IFS(F2884="","",F2884&lt;=5,"0 to 5",F2884&lt;=10,"5.1 to 10",F2884&lt;=20,"10 to 20", F2884&lt;= 40, "20 to 40", F2884 &lt;= 50, "40 to 50", F2884 &gt; 50, "&gt;50" )</f>
        <v>0 to 5</v>
      </c>
    </row>
    <row r="2885" spans="1:15" ht="15" customHeight="1" x14ac:dyDescent="0.3">
      <c r="A2885" t="s">
        <v>566</v>
      </c>
      <c r="B2885" s="1">
        <v>46218</v>
      </c>
      <c r="C2885" t="s">
        <v>16</v>
      </c>
      <c r="D2885">
        <v>2686</v>
      </c>
      <c r="E2885">
        <v>1</v>
      </c>
      <c r="F2885">
        <v>15.2</v>
      </c>
      <c r="G2885" t="s">
        <v>21</v>
      </c>
      <c r="I2885" t="str">
        <f t="shared" ref="I2885:I2901" si="49">D2885&amp;"_"&amp;E2885</f>
        <v>2686_1</v>
      </c>
      <c r="J2885" t="s">
        <v>533</v>
      </c>
      <c r="K2885" t="s">
        <v>115</v>
      </c>
      <c r="L2885" t="str">
        <f>_xlfn.XLOOKUP(C2885, Table2[Species],Table2[Genus], "Code Not Found")</f>
        <v>Acer</v>
      </c>
      <c r="M2885" t="str">
        <f>_xlfn.XLOOKUP(C2885, Table2[Species],Table2[Sp. Name], "Code Not Found")</f>
        <v>saccharum</v>
      </c>
      <c r="N2885" t="str">
        <f>_xlfn.XLOOKUP(C2885,Table2[Species],Table2[Family],"Code Not Found")</f>
        <v>Sapindaceae</v>
      </c>
      <c r="O2885" t="str" cm="1">
        <f t="array" ref="O2885">_xlfn.IFS(F2885="","",F2885&lt;=5,"0 to 5",F2885&lt;=10,"5.1 to 10",F2885&lt;=20,"10 to 20", F2885&lt;= 40, "20 to 40", F2885 &lt;= 50, "40 to 50", F2885 &gt; 50, "&gt;50" )</f>
        <v>10 to 20</v>
      </c>
    </row>
    <row r="2886" spans="1:15" ht="15" customHeight="1" x14ac:dyDescent="0.3">
      <c r="A2886" t="s">
        <v>566</v>
      </c>
      <c r="B2886" s="1">
        <v>46218</v>
      </c>
      <c r="C2886" t="s">
        <v>124</v>
      </c>
      <c r="D2886">
        <v>2687</v>
      </c>
      <c r="E2886">
        <v>1</v>
      </c>
      <c r="F2886">
        <v>3.4</v>
      </c>
      <c r="G2886" t="s">
        <v>47</v>
      </c>
      <c r="H2886" t="s">
        <v>588</v>
      </c>
      <c r="I2886" t="str">
        <f t="shared" si="49"/>
        <v>2687_1</v>
      </c>
      <c r="J2886" t="s">
        <v>533</v>
      </c>
      <c r="K2886" t="s">
        <v>115</v>
      </c>
      <c r="L2886" t="str">
        <f>_xlfn.XLOOKUP(C2886, Table2[Species],Table2[Genus], "Code Not Found")</f>
        <v>Amelanchier</v>
      </c>
      <c r="M2886" t="str">
        <f>_xlfn.XLOOKUP(C2886, Table2[Species],Table2[Sp. Name], "Code Not Found")</f>
        <v>arborea</v>
      </c>
      <c r="N2886" t="str">
        <f>_xlfn.XLOOKUP(C2886,Table2[Species],Table2[Family],"Code Not Found")</f>
        <v>Rosaceae</v>
      </c>
      <c r="O2886" t="str" cm="1">
        <f t="array" ref="O2886">_xlfn.IFS(F2886="","",F2886&lt;=5,"0 to 5",F2886&lt;=10,"5.1 to 10",F2886&lt;=20,"10 to 20", F2886&lt;= 40, "20 to 40", F2886 &lt;= 50, "40 to 50", F2886 &gt; 50, "&gt;50" )</f>
        <v>0 to 5</v>
      </c>
    </row>
    <row r="2887" spans="1:15" ht="15" customHeight="1" x14ac:dyDescent="0.3">
      <c r="A2887" t="s">
        <v>566</v>
      </c>
      <c r="B2887" s="1">
        <v>46218</v>
      </c>
      <c r="C2887" t="s">
        <v>16</v>
      </c>
      <c r="D2887">
        <v>2688</v>
      </c>
      <c r="E2887">
        <v>1</v>
      </c>
      <c r="F2887">
        <v>4.7</v>
      </c>
      <c r="G2887" t="s">
        <v>21</v>
      </c>
      <c r="I2887" t="str">
        <f t="shared" si="49"/>
        <v>2688_1</v>
      </c>
      <c r="J2887" t="s">
        <v>533</v>
      </c>
      <c r="K2887" t="s">
        <v>115</v>
      </c>
      <c r="L2887" t="str">
        <f>_xlfn.XLOOKUP(C2887, Table2[Species],Table2[Genus], "Code Not Found")</f>
        <v>Acer</v>
      </c>
      <c r="M2887" t="str">
        <f>_xlfn.XLOOKUP(C2887, Table2[Species],Table2[Sp. Name], "Code Not Found")</f>
        <v>saccharum</v>
      </c>
      <c r="N2887" t="str">
        <f>_xlfn.XLOOKUP(C2887,Table2[Species],Table2[Family],"Code Not Found")</f>
        <v>Sapindaceae</v>
      </c>
      <c r="O2887" t="str" cm="1">
        <f t="array" ref="O2887">_xlfn.IFS(F2887="","",F2887&lt;=5,"0 to 5",F2887&lt;=10,"5.1 to 10",F2887&lt;=20,"10 to 20", F2887&lt;= 40, "20 to 40", F2887 &lt;= 50, "40 to 50", F2887 &gt; 50, "&gt;50" )</f>
        <v>0 to 5</v>
      </c>
    </row>
    <row r="2888" spans="1:15" ht="15" customHeight="1" x14ac:dyDescent="0.3">
      <c r="A2888" t="s">
        <v>566</v>
      </c>
      <c r="B2888" s="1">
        <v>46218</v>
      </c>
      <c r="C2888" t="s">
        <v>16</v>
      </c>
      <c r="D2888">
        <v>2689</v>
      </c>
      <c r="E2888">
        <v>1</v>
      </c>
      <c r="F2888">
        <v>5.7</v>
      </c>
      <c r="G2888" t="s">
        <v>47</v>
      </c>
      <c r="H2888" t="s">
        <v>296</v>
      </c>
      <c r="I2888" t="str">
        <f t="shared" si="49"/>
        <v>2689_1</v>
      </c>
      <c r="J2888" t="s">
        <v>533</v>
      </c>
      <c r="K2888" t="s">
        <v>115</v>
      </c>
      <c r="L2888" t="str">
        <f>_xlfn.XLOOKUP(C2888, Table2[Species],Table2[Genus], "Code Not Found")</f>
        <v>Acer</v>
      </c>
      <c r="M2888" t="str">
        <f>_xlfn.XLOOKUP(C2888, Table2[Species],Table2[Sp. Name], "Code Not Found")</f>
        <v>saccharum</v>
      </c>
      <c r="N2888" t="str">
        <f>_xlfn.XLOOKUP(C2888,Table2[Species],Table2[Family],"Code Not Found")</f>
        <v>Sapindaceae</v>
      </c>
      <c r="O2888" t="str" cm="1">
        <f t="array" ref="O2888">_xlfn.IFS(F2888="","",F2888&lt;=5,"0 to 5",F2888&lt;=10,"5.1 to 10",F2888&lt;=20,"10 to 20", F2888&lt;= 40, "20 to 40", F2888 &lt;= 50, "40 to 50", F2888 &gt; 50, "&gt;50" )</f>
        <v>5.1 to 10</v>
      </c>
    </row>
    <row r="2889" spans="1:15" ht="15" customHeight="1" x14ac:dyDescent="0.3">
      <c r="A2889" t="s">
        <v>566</v>
      </c>
      <c r="B2889" s="1">
        <v>46218</v>
      </c>
      <c r="C2889" t="s">
        <v>16</v>
      </c>
      <c r="D2889">
        <v>2690</v>
      </c>
      <c r="E2889">
        <v>1</v>
      </c>
      <c r="F2889">
        <v>2.1</v>
      </c>
      <c r="G2889" t="s">
        <v>17</v>
      </c>
      <c r="I2889" t="str">
        <f t="shared" si="49"/>
        <v>2690_1</v>
      </c>
      <c r="J2889" t="s">
        <v>533</v>
      </c>
      <c r="K2889" t="s">
        <v>115</v>
      </c>
      <c r="L2889" t="str">
        <f>_xlfn.XLOOKUP(C2889, Table2[Species],Table2[Genus], "Code Not Found")</f>
        <v>Acer</v>
      </c>
      <c r="M2889" t="str">
        <f>_xlfn.XLOOKUP(C2889, Table2[Species],Table2[Sp. Name], "Code Not Found")</f>
        <v>saccharum</v>
      </c>
      <c r="N2889" t="str">
        <f>_xlfn.XLOOKUP(C2889,Table2[Species],Table2[Family],"Code Not Found")</f>
        <v>Sapindaceae</v>
      </c>
      <c r="O2889" t="str" cm="1">
        <f t="array" ref="O2889">_xlfn.IFS(F2889="","",F2889&lt;=5,"0 to 5",F2889&lt;=10,"5.1 to 10",F2889&lt;=20,"10 to 20", F2889&lt;= 40, "20 to 40", F2889 &lt;= 50, "40 to 50", F2889 &gt; 50, "&gt;50" )</f>
        <v>0 to 5</v>
      </c>
    </row>
    <row r="2890" spans="1:15" ht="15" customHeight="1" x14ac:dyDescent="0.3">
      <c r="A2890" t="s">
        <v>566</v>
      </c>
      <c r="B2890" s="1">
        <v>46218</v>
      </c>
      <c r="C2890" t="s">
        <v>572</v>
      </c>
      <c r="D2890">
        <v>2691</v>
      </c>
      <c r="E2890">
        <v>1</v>
      </c>
      <c r="F2890">
        <v>20</v>
      </c>
      <c r="G2890" t="s">
        <v>381</v>
      </c>
      <c r="H2890" t="s">
        <v>99</v>
      </c>
      <c r="I2890" t="str">
        <f t="shared" si="49"/>
        <v>2691_1</v>
      </c>
      <c r="J2890" t="s">
        <v>533</v>
      </c>
      <c r="K2890" t="s">
        <v>115</v>
      </c>
      <c r="L2890" t="str">
        <f>_xlfn.XLOOKUP(C2890, Table2[Species],Table2[Genus], "Code Not Found")</f>
        <v>Carya</v>
      </c>
      <c r="M2890" t="str">
        <f>_xlfn.XLOOKUP(C2890, Table2[Species],Table2[Sp. Name], "Code Not Found")</f>
        <v>ovata</v>
      </c>
      <c r="N2890" t="str">
        <f>_xlfn.XLOOKUP(C2890,Table2[Species],Table2[Family],"Code Not Found")</f>
        <v>Juglandaceae</v>
      </c>
      <c r="O2890" t="str" cm="1">
        <f t="array" ref="O2890">_xlfn.IFS(F2890="","",F2890&lt;=5,"0 to 5",F2890&lt;=10,"5.1 to 10",F2890&lt;=20,"10 to 20", F2890&lt;= 40, "20 to 40", F2890 &lt;= 50, "40 to 50", F2890 &gt; 50, "&gt;50" )</f>
        <v>10 to 20</v>
      </c>
    </row>
    <row r="2891" spans="1:15" ht="15" customHeight="1" x14ac:dyDescent="0.3">
      <c r="A2891" t="s">
        <v>566</v>
      </c>
      <c r="B2891" s="1">
        <v>46218</v>
      </c>
      <c r="C2891" t="s">
        <v>572</v>
      </c>
      <c r="D2891">
        <v>2692</v>
      </c>
      <c r="E2891">
        <v>1</v>
      </c>
      <c r="F2891">
        <v>48.9</v>
      </c>
      <c r="G2891" t="s">
        <v>30</v>
      </c>
      <c r="H2891" t="s">
        <v>99</v>
      </c>
      <c r="I2891" t="str">
        <f t="shared" si="49"/>
        <v>2692_1</v>
      </c>
      <c r="J2891" t="s">
        <v>533</v>
      </c>
      <c r="K2891" t="s">
        <v>115</v>
      </c>
      <c r="L2891" t="str">
        <f>_xlfn.XLOOKUP(C2891, Table2[Species],Table2[Genus], "Code Not Found")</f>
        <v>Carya</v>
      </c>
      <c r="M2891" t="str">
        <f>_xlfn.XLOOKUP(C2891, Table2[Species],Table2[Sp. Name], "Code Not Found")</f>
        <v>ovata</v>
      </c>
      <c r="N2891" t="str">
        <f>_xlfn.XLOOKUP(C2891,Table2[Species],Table2[Family],"Code Not Found")</f>
        <v>Juglandaceae</v>
      </c>
      <c r="O2891" t="str" cm="1">
        <f t="array" ref="O2891">_xlfn.IFS(F2891="","",F2891&lt;=5,"0 to 5",F2891&lt;=10,"5.1 to 10",F2891&lt;=20,"10 to 20", F2891&lt;= 40, "20 to 40", F2891 &lt;= 50, "40 to 50", F2891 &gt; 50, "&gt;50" )</f>
        <v>40 to 50</v>
      </c>
    </row>
    <row r="2892" spans="1:15" ht="15" customHeight="1" x14ac:dyDescent="0.3">
      <c r="A2892" t="s">
        <v>566</v>
      </c>
      <c r="B2892" s="1">
        <v>46218</v>
      </c>
      <c r="C2892" t="s">
        <v>16</v>
      </c>
      <c r="D2892">
        <v>2693</v>
      </c>
      <c r="E2892">
        <v>1</v>
      </c>
      <c r="F2892">
        <v>3.1</v>
      </c>
      <c r="G2892" t="s">
        <v>17</v>
      </c>
      <c r="I2892" t="str">
        <f t="shared" si="49"/>
        <v>2693_1</v>
      </c>
      <c r="J2892" t="s">
        <v>533</v>
      </c>
      <c r="K2892" t="s">
        <v>115</v>
      </c>
      <c r="L2892" t="str">
        <f>_xlfn.XLOOKUP(C2892, Table2[Species],Table2[Genus], "Code Not Found")</f>
        <v>Acer</v>
      </c>
      <c r="M2892" t="str">
        <f>_xlfn.XLOOKUP(C2892, Table2[Species],Table2[Sp. Name], "Code Not Found")</f>
        <v>saccharum</v>
      </c>
      <c r="N2892" t="str">
        <f>_xlfn.XLOOKUP(C2892,Table2[Species],Table2[Family],"Code Not Found")</f>
        <v>Sapindaceae</v>
      </c>
      <c r="O2892" t="str" cm="1">
        <f t="array" ref="O2892">_xlfn.IFS(F2892="","",F2892&lt;=5,"0 to 5",F2892&lt;=10,"5.1 to 10",F2892&lt;=20,"10 to 20", F2892&lt;= 40, "20 to 40", F2892 &lt;= 50, "40 to 50", F2892 &gt; 50, "&gt;50" )</f>
        <v>0 to 5</v>
      </c>
    </row>
    <row r="2893" spans="1:15" ht="15" customHeight="1" x14ac:dyDescent="0.3">
      <c r="A2893" t="s">
        <v>566</v>
      </c>
      <c r="B2893" s="1">
        <v>46218</v>
      </c>
      <c r="C2893" t="s">
        <v>16</v>
      </c>
      <c r="D2893">
        <v>2694</v>
      </c>
      <c r="E2893">
        <v>1</v>
      </c>
      <c r="F2893">
        <v>6.1</v>
      </c>
      <c r="G2893" t="s">
        <v>51</v>
      </c>
      <c r="H2893" t="s">
        <v>36</v>
      </c>
      <c r="I2893" t="str">
        <f t="shared" si="49"/>
        <v>2694_1</v>
      </c>
      <c r="J2893" t="s">
        <v>533</v>
      </c>
      <c r="K2893" t="s">
        <v>115</v>
      </c>
      <c r="L2893" t="str">
        <f>_xlfn.XLOOKUP(C2893, Table2[Species],Table2[Genus], "Code Not Found")</f>
        <v>Acer</v>
      </c>
      <c r="M2893" t="str">
        <f>_xlfn.XLOOKUP(C2893, Table2[Species],Table2[Sp. Name], "Code Not Found")</f>
        <v>saccharum</v>
      </c>
      <c r="N2893" t="str">
        <f>_xlfn.XLOOKUP(C2893,Table2[Species],Table2[Family],"Code Not Found")</f>
        <v>Sapindaceae</v>
      </c>
      <c r="O2893" t="str" cm="1">
        <f t="array" ref="O2893">_xlfn.IFS(F2893="","",F2893&lt;=5,"0 to 5",F2893&lt;=10,"5.1 to 10",F2893&lt;=20,"10 to 20", F2893&lt;= 40, "20 to 40", F2893 &lt;= 50, "40 to 50", F2893 &gt; 50, "&gt;50" )</f>
        <v>5.1 to 10</v>
      </c>
    </row>
    <row r="2894" spans="1:15" ht="15" customHeight="1" x14ac:dyDescent="0.3">
      <c r="A2894" t="s">
        <v>566</v>
      </c>
      <c r="B2894" s="1">
        <v>46218</v>
      </c>
      <c r="C2894" t="s">
        <v>16</v>
      </c>
      <c r="D2894">
        <v>2695</v>
      </c>
      <c r="E2894">
        <v>1</v>
      </c>
      <c r="F2894">
        <v>4.2</v>
      </c>
      <c r="G2894" t="s">
        <v>17</v>
      </c>
      <c r="I2894" t="str">
        <f t="shared" si="49"/>
        <v>2695_1</v>
      </c>
      <c r="J2894" t="s">
        <v>533</v>
      </c>
      <c r="K2894" t="s">
        <v>115</v>
      </c>
      <c r="L2894" t="str">
        <f>_xlfn.XLOOKUP(C2894, Table2[Species],Table2[Genus], "Code Not Found")</f>
        <v>Acer</v>
      </c>
      <c r="M2894" t="str">
        <f>_xlfn.XLOOKUP(C2894, Table2[Species],Table2[Sp. Name], "Code Not Found")</f>
        <v>saccharum</v>
      </c>
      <c r="N2894" t="str">
        <f>_xlfn.XLOOKUP(C2894,Table2[Species],Table2[Family],"Code Not Found")</f>
        <v>Sapindaceae</v>
      </c>
      <c r="O2894" t="str" cm="1">
        <f t="array" ref="O2894">_xlfn.IFS(F2894="","",F2894&lt;=5,"0 to 5",F2894&lt;=10,"5.1 to 10",F2894&lt;=20,"10 to 20", F2894&lt;= 40, "20 to 40", F2894 &lt;= 50, "40 to 50", F2894 &gt; 50, "&gt;50" )</f>
        <v>0 to 5</v>
      </c>
    </row>
    <row r="2895" spans="1:15" ht="15" customHeight="1" x14ac:dyDescent="0.3">
      <c r="A2895" t="s">
        <v>566</v>
      </c>
      <c r="B2895" s="1">
        <v>46218</v>
      </c>
      <c r="C2895" t="s">
        <v>117</v>
      </c>
      <c r="D2895">
        <v>2696</v>
      </c>
      <c r="E2895">
        <v>1</v>
      </c>
      <c r="F2895">
        <v>7</v>
      </c>
      <c r="G2895" t="s">
        <v>17</v>
      </c>
      <c r="I2895" t="str">
        <f t="shared" si="49"/>
        <v>2696_1</v>
      </c>
      <c r="J2895" t="s">
        <v>533</v>
      </c>
      <c r="K2895" t="s">
        <v>115</v>
      </c>
      <c r="L2895" t="str">
        <f>_xlfn.XLOOKUP(C2895, Table2[Species],Table2[Genus], "Code Not Found")</f>
        <v>Ostrya</v>
      </c>
      <c r="M2895" t="str">
        <f>_xlfn.XLOOKUP(C2895, Table2[Species],Table2[Sp. Name], "Code Not Found")</f>
        <v>viginiana</v>
      </c>
      <c r="N2895" t="str">
        <f>_xlfn.XLOOKUP(C2895,Table2[Species],Table2[Family],"Code Not Found")</f>
        <v>Betulaceae</v>
      </c>
      <c r="O2895" t="str" cm="1">
        <f t="array" ref="O2895">_xlfn.IFS(F2895="","",F2895&lt;=5,"0 to 5",F2895&lt;=10,"5.1 to 10",F2895&lt;=20,"10 to 20", F2895&lt;= 40, "20 to 40", F2895 &lt;= 50, "40 to 50", F2895 &gt; 50, "&gt;50" )</f>
        <v>5.1 to 10</v>
      </c>
    </row>
    <row r="2896" spans="1:15" ht="15" customHeight="1" x14ac:dyDescent="0.3">
      <c r="A2896" t="s">
        <v>566</v>
      </c>
      <c r="B2896" s="1">
        <v>46218</v>
      </c>
      <c r="C2896" t="s">
        <v>16</v>
      </c>
      <c r="D2896">
        <v>2697</v>
      </c>
      <c r="E2896">
        <v>1</v>
      </c>
      <c r="F2896">
        <v>4.3</v>
      </c>
      <c r="G2896" t="s">
        <v>17</v>
      </c>
      <c r="I2896" t="str">
        <f t="shared" si="49"/>
        <v>2697_1</v>
      </c>
      <c r="J2896" t="s">
        <v>533</v>
      </c>
      <c r="K2896" t="s">
        <v>115</v>
      </c>
      <c r="L2896" t="str">
        <f>_xlfn.XLOOKUP(C2896, Table2[Species],Table2[Genus], "Code Not Found")</f>
        <v>Acer</v>
      </c>
      <c r="M2896" t="str">
        <f>_xlfn.XLOOKUP(C2896, Table2[Species],Table2[Sp. Name], "Code Not Found")</f>
        <v>saccharum</v>
      </c>
      <c r="N2896" t="str">
        <f>_xlfn.XLOOKUP(C2896,Table2[Species],Table2[Family],"Code Not Found")</f>
        <v>Sapindaceae</v>
      </c>
      <c r="O2896" t="str" cm="1">
        <f t="array" ref="O2896">_xlfn.IFS(F2896="","",F2896&lt;=5,"0 to 5",F2896&lt;=10,"5.1 to 10",F2896&lt;=20,"10 to 20", F2896&lt;= 40, "20 to 40", F2896 &lt;= 50, "40 to 50", F2896 &gt; 50, "&gt;50" )</f>
        <v>0 to 5</v>
      </c>
    </row>
    <row r="2897" spans="1:15" ht="15" customHeight="1" x14ac:dyDescent="0.3">
      <c r="A2897" t="s">
        <v>566</v>
      </c>
      <c r="B2897" s="1">
        <v>46218</v>
      </c>
      <c r="C2897" t="s">
        <v>572</v>
      </c>
      <c r="D2897">
        <v>2698</v>
      </c>
      <c r="E2897">
        <v>1</v>
      </c>
      <c r="F2897">
        <v>61.4</v>
      </c>
      <c r="G2897" t="s">
        <v>21</v>
      </c>
      <c r="I2897" t="str">
        <f t="shared" si="49"/>
        <v>2698_1</v>
      </c>
      <c r="J2897" t="s">
        <v>533</v>
      </c>
      <c r="K2897" t="s">
        <v>115</v>
      </c>
      <c r="L2897" t="str">
        <f>_xlfn.XLOOKUP(C2897, Table2[Species],Table2[Genus], "Code Not Found")</f>
        <v>Carya</v>
      </c>
      <c r="M2897" t="str">
        <f>_xlfn.XLOOKUP(C2897, Table2[Species],Table2[Sp. Name], "Code Not Found")</f>
        <v>ovata</v>
      </c>
      <c r="N2897" t="str">
        <f>_xlfn.XLOOKUP(C2897,Table2[Species],Table2[Family],"Code Not Found")</f>
        <v>Juglandaceae</v>
      </c>
      <c r="O2897" t="str" cm="1">
        <f t="array" ref="O2897">_xlfn.IFS(F2897="","",F2897&lt;=5,"0 to 5",F2897&lt;=10,"5.1 to 10",F2897&lt;=20,"10 to 20", F2897&lt;= 40, "20 to 40", F2897 &lt;= 50, "40 to 50", F2897 &gt; 50, "&gt;50" )</f>
        <v>&gt;50</v>
      </c>
    </row>
    <row r="2898" spans="1:15" ht="15" customHeight="1" x14ac:dyDescent="0.3">
      <c r="A2898" t="s">
        <v>566</v>
      </c>
      <c r="B2898" s="1">
        <v>46218</v>
      </c>
      <c r="C2898" t="s">
        <v>16</v>
      </c>
      <c r="D2898">
        <v>2699</v>
      </c>
      <c r="E2898">
        <v>1</v>
      </c>
      <c r="F2898">
        <v>2.2000000000000002</v>
      </c>
      <c r="G2898" t="s">
        <v>589</v>
      </c>
      <c r="H2898" t="s">
        <v>590</v>
      </c>
      <c r="I2898" t="str">
        <f t="shared" si="49"/>
        <v>2699_1</v>
      </c>
      <c r="J2898" t="s">
        <v>533</v>
      </c>
      <c r="K2898" t="s">
        <v>115</v>
      </c>
      <c r="L2898" t="str">
        <f>_xlfn.XLOOKUP(C2898, Table2[Species],Table2[Genus], "Code Not Found")</f>
        <v>Acer</v>
      </c>
      <c r="M2898" t="str">
        <f>_xlfn.XLOOKUP(C2898, Table2[Species],Table2[Sp. Name], "Code Not Found")</f>
        <v>saccharum</v>
      </c>
      <c r="N2898" t="str">
        <f>_xlfn.XLOOKUP(C2898,Table2[Species],Table2[Family],"Code Not Found")</f>
        <v>Sapindaceae</v>
      </c>
      <c r="O2898" t="str" cm="1">
        <f t="array" ref="O2898">_xlfn.IFS(F2898="","",F2898&lt;=5,"0 to 5",F2898&lt;=10,"5.1 to 10",F2898&lt;=20,"10 to 20", F2898&lt;= 40, "20 to 40", F2898 &lt;= 50, "40 to 50", F2898 &gt; 50, "&gt;50" )</f>
        <v>0 to 5</v>
      </c>
    </row>
    <row r="2899" spans="1:15" ht="15" customHeight="1" x14ac:dyDescent="0.3">
      <c r="A2899" t="s">
        <v>566</v>
      </c>
      <c r="B2899" s="1">
        <v>46218</v>
      </c>
      <c r="C2899" t="s">
        <v>16</v>
      </c>
      <c r="D2899">
        <v>2700</v>
      </c>
      <c r="E2899">
        <v>1</v>
      </c>
      <c r="F2899">
        <v>7.7</v>
      </c>
      <c r="G2899" t="s">
        <v>56</v>
      </c>
      <c r="I2899" t="str">
        <f t="shared" si="49"/>
        <v>2700_1</v>
      </c>
      <c r="J2899" t="s">
        <v>533</v>
      </c>
      <c r="K2899" t="s">
        <v>115</v>
      </c>
      <c r="L2899" t="str">
        <f>_xlfn.XLOOKUP(C2899, Table2[Species],Table2[Genus], "Code Not Found")</f>
        <v>Acer</v>
      </c>
      <c r="M2899" t="str">
        <f>_xlfn.XLOOKUP(C2899, Table2[Species],Table2[Sp. Name], "Code Not Found")</f>
        <v>saccharum</v>
      </c>
      <c r="N2899" t="str">
        <f>_xlfn.XLOOKUP(C2899,Table2[Species],Table2[Family],"Code Not Found")</f>
        <v>Sapindaceae</v>
      </c>
      <c r="O2899" t="str" cm="1">
        <f t="array" ref="O2899">_xlfn.IFS(F2899="","",F2899&lt;=5,"0 to 5",F2899&lt;=10,"5.1 to 10",F2899&lt;=20,"10 to 20", F2899&lt;= 40, "20 to 40", F2899 &lt;= 50, "40 to 50", F2899 &gt; 50, "&gt;50" )</f>
        <v>5.1 to 10</v>
      </c>
    </row>
    <row r="2900" spans="1:15" ht="15" customHeight="1" x14ac:dyDescent="0.3">
      <c r="A2900" t="s">
        <v>566</v>
      </c>
      <c r="B2900" s="1">
        <v>46218</v>
      </c>
      <c r="C2900" t="s">
        <v>16</v>
      </c>
      <c r="D2900">
        <v>2701</v>
      </c>
      <c r="E2900">
        <v>1</v>
      </c>
      <c r="F2900">
        <v>2.2000000000000002</v>
      </c>
      <c r="G2900" t="s">
        <v>591</v>
      </c>
      <c r="H2900" t="s">
        <v>592</v>
      </c>
      <c r="I2900" t="str">
        <f t="shared" si="49"/>
        <v>2701_1</v>
      </c>
      <c r="J2900" t="s">
        <v>533</v>
      </c>
      <c r="K2900" t="s">
        <v>115</v>
      </c>
      <c r="L2900" t="str">
        <f>_xlfn.XLOOKUP(C2900, Table2[Species],Table2[Genus], "Code Not Found")</f>
        <v>Acer</v>
      </c>
      <c r="M2900" t="str">
        <f>_xlfn.XLOOKUP(C2900, Table2[Species],Table2[Sp. Name], "Code Not Found")</f>
        <v>saccharum</v>
      </c>
      <c r="N2900" t="str">
        <f>_xlfn.XLOOKUP(C2900,Table2[Species],Table2[Family],"Code Not Found")</f>
        <v>Sapindaceae</v>
      </c>
      <c r="O2900" t="str" cm="1">
        <f t="array" ref="O2900">_xlfn.IFS(F2900="","",F2900&lt;=5,"0 to 5",F2900&lt;=10,"5.1 to 10",F2900&lt;=20,"10 to 20", F2900&lt;= 40, "20 to 40", F2900 &lt;= 50, "40 to 50", F2900 &gt; 50, "&gt;50" )</f>
        <v>0 to 5</v>
      </c>
    </row>
    <row r="2901" spans="1:15" ht="15" customHeight="1" x14ac:dyDescent="0.3">
      <c r="A2901" t="s">
        <v>566</v>
      </c>
      <c r="B2901" s="1">
        <v>46218</v>
      </c>
      <c r="C2901" t="s">
        <v>16</v>
      </c>
      <c r="D2901">
        <v>2702</v>
      </c>
      <c r="E2901">
        <v>1</v>
      </c>
      <c r="F2901">
        <v>5.9</v>
      </c>
      <c r="G2901" t="s">
        <v>21</v>
      </c>
      <c r="I2901" t="str">
        <f t="shared" si="49"/>
        <v>2702_1</v>
      </c>
      <c r="J2901" t="s">
        <v>533</v>
      </c>
      <c r="K2901" t="s">
        <v>115</v>
      </c>
      <c r="L2901" t="str">
        <f>_xlfn.XLOOKUP(C2901, Table2[Species],Table2[Genus], "Code Not Found")</f>
        <v>Acer</v>
      </c>
      <c r="M2901" t="str">
        <f>_xlfn.XLOOKUP(C2901, Table2[Species],Table2[Sp. Name], "Code Not Found")</f>
        <v>saccharum</v>
      </c>
      <c r="N2901" t="str">
        <f>_xlfn.XLOOKUP(C2901,Table2[Species],Table2[Family],"Code Not Found")</f>
        <v>Sapindaceae</v>
      </c>
      <c r="O2901" t="str" cm="1">
        <f t="array" ref="O2901">_xlfn.IFS(F2901="","",F2901&lt;=5,"0 to 5",F2901&lt;=10,"5.1 to 10",F2901&lt;=20,"10 to 20", F2901&lt;= 40, "20 to 40", F2901 &lt;= 50, "40 to 50", F2901 &gt; 50, "&gt;50" )</f>
        <v>5.1 to 10</v>
      </c>
    </row>
    <row r="2902" spans="1:15" ht="15" customHeight="1" x14ac:dyDescent="0.3">
      <c r="A2902" t="s">
        <v>566</v>
      </c>
      <c r="B2902" s="1">
        <v>46218</v>
      </c>
      <c r="C2902" t="s">
        <v>16</v>
      </c>
      <c r="D2902">
        <v>2703</v>
      </c>
      <c r="E2902">
        <v>1</v>
      </c>
      <c r="F2902">
        <v>2.5</v>
      </c>
      <c r="G2902" t="s">
        <v>47</v>
      </c>
      <c r="H2902" t="s">
        <v>296</v>
      </c>
      <c r="I2902" t="str">
        <f>D2902&amp;"_"&amp;E2902</f>
        <v>2703_1</v>
      </c>
      <c r="J2902" t="s">
        <v>533</v>
      </c>
      <c r="K2902" t="s">
        <v>115</v>
      </c>
      <c r="L2902" t="str">
        <f>_xlfn.XLOOKUP(C2902, Table2[Species],Table2[Genus], "Code Not Found")</f>
        <v>Acer</v>
      </c>
      <c r="M2902" t="str">
        <f>_xlfn.XLOOKUP(C2902, Table2[Species],Table2[Sp. Name], "Code Not Found")</f>
        <v>saccharum</v>
      </c>
      <c r="N2902" t="str">
        <f>_xlfn.XLOOKUP(C2902,Table2[Species],Table2[Family],"Code Not Found")</f>
        <v>Sapindaceae</v>
      </c>
      <c r="O2902" t="str" cm="1">
        <f t="array" ref="O2902">_xlfn.IFS(F2902="","",F2902&lt;=5,"0 to 5",F2902&lt;=10,"5.1 to 10",F2902&lt;=20,"10 to 20", F2902&lt;= 40, "20 to 40", F2902 &lt;= 50, "40 to 50", F2902 &gt; 50, "&gt;50" )</f>
        <v>0 to 5</v>
      </c>
    </row>
    <row r="2903" spans="1:15" ht="15" customHeight="1" x14ac:dyDescent="0.3">
      <c r="A2903" t="s">
        <v>566</v>
      </c>
      <c r="B2903" s="1">
        <v>46218</v>
      </c>
      <c r="C2903" t="s">
        <v>16</v>
      </c>
      <c r="D2903">
        <v>2704</v>
      </c>
      <c r="E2903">
        <v>1</v>
      </c>
      <c r="F2903">
        <v>5.2</v>
      </c>
      <c r="G2903" t="s">
        <v>21</v>
      </c>
      <c r="I2903" t="str">
        <f>D2903&amp;"_"&amp;E2903</f>
        <v>2704_1</v>
      </c>
      <c r="J2903" t="s">
        <v>533</v>
      </c>
      <c r="K2903" t="s">
        <v>115</v>
      </c>
      <c r="L2903" t="str">
        <f>_xlfn.XLOOKUP(C2903, Table2[Species],Table2[Genus], "Code Not Found")</f>
        <v>Acer</v>
      </c>
      <c r="M2903" t="str">
        <f>_xlfn.XLOOKUP(C2903, Table2[Species],Table2[Sp. Name], "Code Not Found")</f>
        <v>saccharum</v>
      </c>
      <c r="N2903" t="str">
        <f>_xlfn.XLOOKUP(C2903,Table2[Species],Table2[Family],"Code Not Found")</f>
        <v>Sapindaceae</v>
      </c>
      <c r="O2903" t="str" cm="1">
        <f t="array" ref="O2903">_xlfn.IFS(F2903="","",F2903&lt;=5,"0 to 5",F2903&lt;=10,"5.1 to 10",F2903&lt;=20,"10 to 20", F2903&lt;= 40, "20 to 40", F2903 &lt;= 50, "40 to 50", F2903 &gt; 50, "&gt;50" )</f>
        <v>5.1 to 10</v>
      </c>
    </row>
    <row r="2904" spans="1:15" ht="15" customHeight="1" x14ac:dyDescent="0.3">
      <c r="A2904" t="s">
        <v>566</v>
      </c>
      <c r="B2904" s="1">
        <v>46218</v>
      </c>
      <c r="C2904" t="s">
        <v>129</v>
      </c>
      <c r="D2904">
        <v>2705</v>
      </c>
      <c r="E2904">
        <v>1</v>
      </c>
      <c r="F2904">
        <v>21.8</v>
      </c>
      <c r="G2904" t="s">
        <v>17</v>
      </c>
      <c r="I2904" t="str">
        <f t="shared" ref="I2904:I2967" si="50">D2904&amp;"_"&amp;E2904</f>
        <v>2705_1</v>
      </c>
      <c r="J2904" t="s">
        <v>533</v>
      </c>
      <c r="K2904" t="s">
        <v>115</v>
      </c>
      <c r="L2904" t="str">
        <f>_xlfn.XLOOKUP(C2904, Table2[Species],Table2[Genus], "Code Not Found")</f>
        <v>Quercus</v>
      </c>
      <c r="M2904" t="str">
        <f>_xlfn.XLOOKUP(C2904, Table2[Species],Table2[Sp. Name], "Code Not Found")</f>
        <v>alba</v>
      </c>
      <c r="N2904" t="str">
        <f>_xlfn.XLOOKUP(C2904,Table2[Species],Table2[Family],"Code Not Found")</f>
        <v>Fagaceae</v>
      </c>
      <c r="O2904" t="str" cm="1">
        <f t="array" ref="O2904">_xlfn.IFS(F2904="","",F2904&lt;=5,"0 to 5",F2904&lt;=10,"5.1 to 10",F2904&lt;=20,"10 to 20", F2904&lt;= 40, "20 to 40", F2904 &lt;= 50, "40 to 50", F2904 &gt; 50, "&gt;50" )</f>
        <v>20 to 40</v>
      </c>
    </row>
    <row r="2905" spans="1:15" ht="15" customHeight="1" x14ac:dyDescent="0.3">
      <c r="A2905" t="s">
        <v>566</v>
      </c>
      <c r="B2905" s="1">
        <v>46218</v>
      </c>
      <c r="C2905" t="s">
        <v>16</v>
      </c>
      <c r="D2905">
        <v>2706</v>
      </c>
      <c r="E2905">
        <v>1</v>
      </c>
      <c r="F2905">
        <v>6.2</v>
      </c>
      <c r="G2905" t="s">
        <v>17</v>
      </c>
      <c r="I2905" t="str">
        <f t="shared" si="50"/>
        <v>2706_1</v>
      </c>
      <c r="J2905" t="s">
        <v>533</v>
      </c>
      <c r="K2905" t="s">
        <v>115</v>
      </c>
      <c r="L2905" t="str">
        <f>_xlfn.XLOOKUP(C2905, Table2[Species],Table2[Genus], "Code Not Found")</f>
        <v>Acer</v>
      </c>
      <c r="M2905" t="str">
        <f>_xlfn.XLOOKUP(C2905, Table2[Species],Table2[Sp. Name], "Code Not Found")</f>
        <v>saccharum</v>
      </c>
      <c r="N2905" t="str">
        <f>_xlfn.XLOOKUP(C2905,Table2[Species],Table2[Family],"Code Not Found")</f>
        <v>Sapindaceae</v>
      </c>
      <c r="O2905" t="str" cm="1">
        <f t="array" ref="O2905">_xlfn.IFS(F2905="","",F2905&lt;=5,"0 to 5",F2905&lt;=10,"5.1 to 10",F2905&lt;=20,"10 to 20", F2905&lt;= 40, "20 to 40", F2905 &lt;= 50, "40 to 50", F2905 &gt; 50, "&gt;50" )</f>
        <v>5.1 to 10</v>
      </c>
    </row>
    <row r="2906" spans="1:15" ht="15" customHeight="1" x14ac:dyDescent="0.3">
      <c r="A2906" t="s">
        <v>566</v>
      </c>
      <c r="B2906" s="1">
        <v>46218</v>
      </c>
      <c r="C2906" t="s">
        <v>16</v>
      </c>
      <c r="D2906">
        <v>2707</v>
      </c>
      <c r="E2906">
        <v>1</v>
      </c>
      <c r="F2906">
        <v>4</v>
      </c>
      <c r="G2906" t="s">
        <v>17</v>
      </c>
      <c r="I2906" t="str">
        <f t="shared" si="50"/>
        <v>2707_1</v>
      </c>
      <c r="J2906" t="s">
        <v>533</v>
      </c>
      <c r="K2906" t="s">
        <v>115</v>
      </c>
      <c r="L2906" t="str">
        <f>_xlfn.XLOOKUP(C2906, Table2[Species],Table2[Genus], "Code Not Found")</f>
        <v>Acer</v>
      </c>
      <c r="M2906" t="str">
        <f>_xlfn.XLOOKUP(C2906, Table2[Species],Table2[Sp. Name], "Code Not Found")</f>
        <v>saccharum</v>
      </c>
      <c r="N2906" t="str">
        <f>_xlfn.XLOOKUP(C2906,Table2[Species],Table2[Family],"Code Not Found")</f>
        <v>Sapindaceae</v>
      </c>
      <c r="O2906" t="str" cm="1">
        <f t="array" ref="O2906">_xlfn.IFS(F2906="","",F2906&lt;=5,"0 to 5",F2906&lt;=10,"5.1 to 10",F2906&lt;=20,"10 to 20", F2906&lt;= 40, "20 to 40", F2906 &lt;= 50, "40 to 50", F2906 &gt; 50, "&gt;50" )</f>
        <v>0 to 5</v>
      </c>
    </row>
    <row r="2907" spans="1:15" ht="15" customHeight="1" x14ac:dyDescent="0.3">
      <c r="A2907" t="s">
        <v>566</v>
      </c>
      <c r="B2907" s="1">
        <v>46218</v>
      </c>
      <c r="C2907" t="s">
        <v>16</v>
      </c>
      <c r="D2907">
        <v>2708</v>
      </c>
      <c r="E2907">
        <v>1</v>
      </c>
      <c r="F2907">
        <v>4.3</v>
      </c>
      <c r="G2907" t="s">
        <v>30</v>
      </c>
      <c r="H2907" t="s">
        <v>99</v>
      </c>
      <c r="I2907" t="str">
        <f t="shared" si="50"/>
        <v>2708_1</v>
      </c>
      <c r="J2907" t="s">
        <v>533</v>
      </c>
      <c r="K2907" t="s">
        <v>115</v>
      </c>
      <c r="L2907" t="str">
        <f>_xlfn.XLOOKUP(C2907, Table2[Species],Table2[Genus], "Code Not Found")</f>
        <v>Acer</v>
      </c>
      <c r="M2907" t="str">
        <f>_xlfn.XLOOKUP(C2907, Table2[Species],Table2[Sp. Name], "Code Not Found")</f>
        <v>saccharum</v>
      </c>
      <c r="N2907" t="str">
        <f>_xlfn.XLOOKUP(C2907,Table2[Species],Table2[Family],"Code Not Found")</f>
        <v>Sapindaceae</v>
      </c>
      <c r="O2907" t="str" cm="1">
        <f t="array" ref="O2907">_xlfn.IFS(F2907="","",F2907&lt;=5,"0 to 5",F2907&lt;=10,"5.1 to 10",F2907&lt;=20,"10 to 20", F2907&lt;= 40, "20 to 40", F2907 &lt;= 50, "40 to 50", F2907 &gt; 50, "&gt;50" )</f>
        <v>0 to 5</v>
      </c>
    </row>
    <row r="2908" spans="1:15" ht="15" customHeight="1" x14ac:dyDescent="0.3">
      <c r="A2908" t="s">
        <v>566</v>
      </c>
      <c r="B2908" s="1">
        <v>46218</v>
      </c>
      <c r="C2908" t="s">
        <v>16</v>
      </c>
      <c r="D2908">
        <v>2709</v>
      </c>
      <c r="E2908">
        <v>1</v>
      </c>
      <c r="F2908">
        <v>6.4</v>
      </c>
      <c r="G2908" t="s">
        <v>47</v>
      </c>
      <c r="H2908" t="s">
        <v>296</v>
      </c>
      <c r="I2908" t="str">
        <f t="shared" si="50"/>
        <v>2709_1</v>
      </c>
      <c r="J2908" t="s">
        <v>533</v>
      </c>
      <c r="K2908" t="s">
        <v>115</v>
      </c>
      <c r="L2908" t="str">
        <f>_xlfn.XLOOKUP(C2908, Table2[Species],Table2[Genus], "Code Not Found")</f>
        <v>Acer</v>
      </c>
      <c r="M2908" t="str">
        <f>_xlfn.XLOOKUP(C2908, Table2[Species],Table2[Sp. Name], "Code Not Found")</f>
        <v>saccharum</v>
      </c>
      <c r="N2908" t="str">
        <f>_xlfn.XLOOKUP(C2908,Table2[Species],Table2[Family],"Code Not Found")</f>
        <v>Sapindaceae</v>
      </c>
      <c r="O2908" t="str" cm="1">
        <f t="array" ref="O2908">_xlfn.IFS(F2908="","",F2908&lt;=5,"0 to 5",F2908&lt;=10,"5.1 to 10",F2908&lt;=20,"10 to 20", F2908&lt;= 40, "20 to 40", F2908 &lt;= 50, "40 to 50", F2908 &gt; 50, "&gt;50" )</f>
        <v>5.1 to 10</v>
      </c>
    </row>
    <row r="2909" spans="1:15" ht="15" customHeight="1" x14ac:dyDescent="0.3">
      <c r="A2909" t="s">
        <v>566</v>
      </c>
      <c r="B2909" s="1">
        <v>46218</v>
      </c>
      <c r="C2909" t="s">
        <v>123</v>
      </c>
      <c r="D2909">
        <v>2710</v>
      </c>
      <c r="E2909">
        <v>1</v>
      </c>
      <c r="F2909">
        <v>29.4</v>
      </c>
      <c r="G2909" t="s">
        <v>17</v>
      </c>
      <c r="I2909" t="str">
        <f t="shared" si="50"/>
        <v>2710_1</v>
      </c>
      <c r="J2909" t="s">
        <v>533</v>
      </c>
      <c r="K2909" t="s">
        <v>115</v>
      </c>
      <c r="L2909" t="str">
        <f>_xlfn.XLOOKUP(C2909, Table2[Species],Table2[Genus], "Code Not Found")</f>
        <v>Quercus</v>
      </c>
      <c r="M2909" t="str">
        <f>_xlfn.XLOOKUP(C2909, Table2[Species],Table2[Sp. Name], "Code Not Found")</f>
        <v>rubra</v>
      </c>
      <c r="N2909" t="str">
        <f>_xlfn.XLOOKUP(C2909,Table2[Species],Table2[Family],"Code Not Found")</f>
        <v>Fagaceae</v>
      </c>
      <c r="O2909" t="str" cm="1">
        <f t="array" ref="O2909">_xlfn.IFS(F2909="","",F2909&lt;=5,"0 to 5",F2909&lt;=10,"5.1 to 10",F2909&lt;=20,"10 to 20", F2909&lt;= 40, "20 to 40", F2909 &lt;= 50, "40 to 50", F2909 &gt; 50, "&gt;50" )</f>
        <v>20 to 40</v>
      </c>
    </row>
    <row r="2910" spans="1:15" ht="15" customHeight="1" x14ac:dyDescent="0.3">
      <c r="A2910" t="s">
        <v>566</v>
      </c>
      <c r="B2910" s="1">
        <v>46218</v>
      </c>
      <c r="C2910" t="s">
        <v>16</v>
      </c>
      <c r="D2910">
        <v>2711</v>
      </c>
      <c r="E2910">
        <v>1</v>
      </c>
      <c r="F2910">
        <v>3.8</v>
      </c>
      <c r="G2910" t="s">
        <v>21</v>
      </c>
      <c r="I2910" t="str">
        <f t="shared" si="50"/>
        <v>2711_1</v>
      </c>
      <c r="J2910" t="s">
        <v>533</v>
      </c>
      <c r="K2910" t="s">
        <v>115</v>
      </c>
      <c r="L2910" t="str">
        <f>_xlfn.XLOOKUP(C2910, Table2[Species],Table2[Genus], "Code Not Found")</f>
        <v>Acer</v>
      </c>
      <c r="M2910" t="str">
        <f>_xlfn.XLOOKUP(C2910, Table2[Species],Table2[Sp. Name], "Code Not Found")</f>
        <v>saccharum</v>
      </c>
      <c r="N2910" t="str">
        <f>_xlfn.XLOOKUP(C2910,Table2[Species],Table2[Family],"Code Not Found")</f>
        <v>Sapindaceae</v>
      </c>
      <c r="O2910" t="str" cm="1">
        <f t="array" ref="O2910">_xlfn.IFS(F2910="","",F2910&lt;=5,"0 to 5",F2910&lt;=10,"5.1 to 10",F2910&lt;=20,"10 to 20", F2910&lt;= 40, "20 to 40", F2910 &lt;= 50, "40 to 50", F2910 &gt; 50, "&gt;50" )</f>
        <v>0 to 5</v>
      </c>
    </row>
    <row r="2911" spans="1:15" ht="15" customHeight="1" x14ac:dyDescent="0.3">
      <c r="A2911" t="s">
        <v>566</v>
      </c>
      <c r="B2911" s="1">
        <v>46218</v>
      </c>
      <c r="C2911" t="s">
        <v>117</v>
      </c>
      <c r="D2911">
        <v>2712</v>
      </c>
      <c r="E2911">
        <v>1</v>
      </c>
      <c r="F2911">
        <v>11.7</v>
      </c>
      <c r="G2911" t="s">
        <v>21</v>
      </c>
      <c r="I2911" t="str">
        <f t="shared" si="50"/>
        <v>2712_1</v>
      </c>
      <c r="J2911" t="s">
        <v>533</v>
      </c>
      <c r="K2911" t="s">
        <v>115</v>
      </c>
      <c r="L2911" t="str">
        <f>_xlfn.XLOOKUP(C2911, Table2[Species],Table2[Genus], "Code Not Found")</f>
        <v>Ostrya</v>
      </c>
      <c r="M2911" t="str">
        <f>_xlfn.XLOOKUP(C2911, Table2[Species],Table2[Sp. Name], "Code Not Found")</f>
        <v>viginiana</v>
      </c>
      <c r="N2911" t="str">
        <f>_xlfn.XLOOKUP(C2911,Table2[Species],Table2[Family],"Code Not Found")</f>
        <v>Betulaceae</v>
      </c>
      <c r="O2911" t="str" cm="1">
        <f t="array" ref="O2911">_xlfn.IFS(F2911="","",F2911&lt;=5,"0 to 5",F2911&lt;=10,"5.1 to 10",F2911&lt;=20,"10 to 20", F2911&lt;= 40, "20 to 40", F2911 &lt;= 50, "40 to 50", F2911 &gt; 50, "&gt;50" )</f>
        <v>10 to 20</v>
      </c>
    </row>
    <row r="2912" spans="1:15" ht="15" customHeight="1" x14ac:dyDescent="0.3">
      <c r="A2912" t="s">
        <v>566</v>
      </c>
      <c r="B2912" s="1">
        <v>46218</v>
      </c>
      <c r="C2912" t="s">
        <v>123</v>
      </c>
      <c r="D2912">
        <v>2713</v>
      </c>
      <c r="E2912">
        <v>1</v>
      </c>
      <c r="F2912">
        <v>65.900000000000006</v>
      </c>
      <c r="G2912" t="s">
        <v>17</v>
      </c>
      <c r="I2912" t="str">
        <f t="shared" si="50"/>
        <v>2713_1</v>
      </c>
      <c r="J2912" t="s">
        <v>533</v>
      </c>
      <c r="K2912" t="s">
        <v>115</v>
      </c>
      <c r="L2912" t="str">
        <f>_xlfn.XLOOKUP(C2912, Table2[Species],Table2[Genus], "Code Not Found")</f>
        <v>Quercus</v>
      </c>
      <c r="M2912" t="str">
        <f>_xlfn.XLOOKUP(C2912, Table2[Species],Table2[Sp. Name], "Code Not Found")</f>
        <v>rubra</v>
      </c>
      <c r="N2912" t="str">
        <f>_xlfn.XLOOKUP(C2912,Table2[Species],Table2[Family],"Code Not Found")</f>
        <v>Fagaceae</v>
      </c>
      <c r="O2912" t="str" cm="1">
        <f t="array" ref="O2912">_xlfn.IFS(F2912="","",F2912&lt;=5,"0 to 5",F2912&lt;=10,"5.1 to 10",F2912&lt;=20,"10 to 20", F2912&lt;= 40, "20 to 40", F2912 &lt;= 50, "40 to 50", F2912 &gt; 50, "&gt;50" )</f>
        <v>&gt;50</v>
      </c>
    </row>
    <row r="2913" spans="1:15" ht="15" customHeight="1" x14ac:dyDescent="0.3">
      <c r="A2913" t="s">
        <v>566</v>
      </c>
      <c r="B2913" s="1">
        <v>46218</v>
      </c>
      <c r="C2913" t="s">
        <v>16</v>
      </c>
      <c r="D2913">
        <v>2714</v>
      </c>
      <c r="E2913">
        <v>1</v>
      </c>
      <c r="F2913">
        <v>4.5999999999999996</v>
      </c>
      <c r="G2913" t="s">
        <v>47</v>
      </c>
      <c r="I2913" t="str">
        <f t="shared" si="50"/>
        <v>2714_1</v>
      </c>
      <c r="J2913" t="s">
        <v>533</v>
      </c>
      <c r="K2913" t="s">
        <v>115</v>
      </c>
      <c r="L2913" t="str">
        <f>_xlfn.XLOOKUP(C2913, Table2[Species],Table2[Genus], "Code Not Found")</f>
        <v>Acer</v>
      </c>
      <c r="M2913" t="str">
        <f>_xlfn.XLOOKUP(C2913, Table2[Species],Table2[Sp. Name], "Code Not Found")</f>
        <v>saccharum</v>
      </c>
      <c r="N2913" t="str">
        <f>_xlfn.XLOOKUP(C2913,Table2[Species],Table2[Family],"Code Not Found")</f>
        <v>Sapindaceae</v>
      </c>
      <c r="O2913" t="str" cm="1">
        <f t="array" ref="O2913">_xlfn.IFS(F2913="","",F2913&lt;=5,"0 to 5",F2913&lt;=10,"5.1 to 10",F2913&lt;=20,"10 to 20", F2913&lt;= 40, "20 to 40", F2913 &lt;= 50, "40 to 50", F2913 &gt; 50, "&gt;50" )</f>
        <v>0 to 5</v>
      </c>
    </row>
    <row r="2914" spans="1:15" ht="15" customHeight="1" x14ac:dyDescent="0.3">
      <c r="A2914" t="s">
        <v>566</v>
      </c>
      <c r="B2914" s="1">
        <v>46218</v>
      </c>
      <c r="C2914" t="s">
        <v>129</v>
      </c>
      <c r="D2914">
        <v>2715</v>
      </c>
      <c r="E2914">
        <v>1</v>
      </c>
      <c r="F2914">
        <v>21.6</v>
      </c>
      <c r="G2914" t="s">
        <v>17</v>
      </c>
      <c r="I2914" t="str">
        <f t="shared" si="50"/>
        <v>2715_1</v>
      </c>
      <c r="J2914" t="s">
        <v>533</v>
      </c>
      <c r="K2914" t="s">
        <v>115</v>
      </c>
      <c r="L2914" t="str">
        <f>_xlfn.XLOOKUP(C2914, Table2[Species],Table2[Genus], "Code Not Found")</f>
        <v>Quercus</v>
      </c>
      <c r="M2914" t="str">
        <f>_xlfn.XLOOKUP(C2914, Table2[Species],Table2[Sp. Name], "Code Not Found")</f>
        <v>alba</v>
      </c>
      <c r="N2914" t="str">
        <f>_xlfn.XLOOKUP(C2914,Table2[Species],Table2[Family],"Code Not Found")</f>
        <v>Fagaceae</v>
      </c>
      <c r="O2914" t="str" cm="1">
        <f t="array" ref="O2914">_xlfn.IFS(F2914="","",F2914&lt;=5,"0 to 5",F2914&lt;=10,"5.1 to 10",F2914&lt;=20,"10 to 20", F2914&lt;= 40, "20 to 40", F2914 &lt;= 50, "40 to 50", F2914 &gt; 50, "&gt;50" )</f>
        <v>20 to 40</v>
      </c>
    </row>
    <row r="2915" spans="1:15" ht="15" customHeight="1" x14ac:dyDescent="0.3">
      <c r="A2915" t="s">
        <v>566</v>
      </c>
      <c r="B2915" s="1">
        <v>46218</v>
      </c>
      <c r="C2915" t="s">
        <v>16</v>
      </c>
      <c r="D2915">
        <v>2716</v>
      </c>
      <c r="E2915">
        <v>1</v>
      </c>
      <c r="F2915">
        <v>8.4</v>
      </c>
      <c r="G2915" t="s">
        <v>17</v>
      </c>
      <c r="H2915" t="s">
        <v>36</v>
      </c>
      <c r="I2915" t="str">
        <f t="shared" si="50"/>
        <v>2716_1</v>
      </c>
      <c r="J2915" t="s">
        <v>533</v>
      </c>
      <c r="K2915" t="s">
        <v>115</v>
      </c>
      <c r="L2915" t="str">
        <f>_xlfn.XLOOKUP(C2915, Table2[Species],Table2[Genus], "Code Not Found")</f>
        <v>Acer</v>
      </c>
      <c r="M2915" t="str">
        <f>_xlfn.XLOOKUP(C2915, Table2[Species],Table2[Sp. Name], "Code Not Found")</f>
        <v>saccharum</v>
      </c>
      <c r="N2915" t="str">
        <f>_xlfn.XLOOKUP(C2915,Table2[Species],Table2[Family],"Code Not Found")</f>
        <v>Sapindaceae</v>
      </c>
      <c r="O2915" t="str" cm="1">
        <f t="array" ref="O2915">_xlfn.IFS(F2915="","",F2915&lt;=5,"0 to 5",F2915&lt;=10,"5.1 to 10",F2915&lt;=20,"10 to 20", F2915&lt;= 40, "20 to 40", F2915 &lt;= 50, "40 to 50", F2915 &gt; 50, "&gt;50" )</f>
        <v>5.1 to 10</v>
      </c>
    </row>
    <row r="2916" spans="1:15" ht="15" customHeight="1" x14ac:dyDescent="0.3">
      <c r="A2916" t="s">
        <v>566</v>
      </c>
      <c r="B2916" s="1">
        <v>46218</v>
      </c>
      <c r="C2916" t="s">
        <v>22</v>
      </c>
      <c r="D2916">
        <v>2717</v>
      </c>
      <c r="E2916">
        <v>1</v>
      </c>
      <c r="F2916">
        <v>29.8</v>
      </c>
      <c r="G2916" t="s">
        <v>17</v>
      </c>
      <c r="I2916" t="str">
        <f t="shared" si="50"/>
        <v>2717_1</v>
      </c>
      <c r="J2916" t="s">
        <v>533</v>
      </c>
      <c r="K2916" t="s">
        <v>115</v>
      </c>
      <c r="L2916" t="str">
        <f>_xlfn.XLOOKUP(C2916, Table2[Species],Table2[Genus], "Code Not Found")</f>
        <v>Acer</v>
      </c>
      <c r="M2916" t="str">
        <f>_xlfn.XLOOKUP(C2916, Table2[Species],Table2[Sp. Name], "Code Not Found")</f>
        <v>rubrum</v>
      </c>
      <c r="N2916" t="str">
        <f>_xlfn.XLOOKUP(C2916,Table2[Species],Table2[Family],"Code Not Found")</f>
        <v>Sapindaceae</v>
      </c>
      <c r="O2916" t="str" cm="1">
        <f t="array" ref="O2916">_xlfn.IFS(F2916="","",F2916&lt;=5,"0 to 5",F2916&lt;=10,"5.1 to 10",F2916&lt;=20,"10 to 20", F2916&lt;= 40, "20 to 40", F2916 &lt;= 50, "40 to 50", F2916 &gt; 50, "&gt;50" )</f>
        <v>20 to 40</v>
      </c>
    </row>
    <row r="2917" spans="1:15" ht="15" customHeight="1" x14ac:dyDescent="0.3">
      <c r="A2917" t="s">
        <v>566</v>
      </c>
      <c r="B2917" s="1">
        <v>46218</v>
      </c>
      <c r="C2917" t="s">
        <v>16</v>
      </c>
      <c r="D2917">
        <v>2718</v>
      </c>
      <c r="E2917">
        <v>1</v>
      </c>
      <c r="F2917">
        <v>20.8</v>
      </c>
      <c r="G2917" t="s">
        <v>30</v>
      </c>
      <c r="H2917" t="s">
        <v>99</v>
      </c>
      <c r="I2917" t="str">
        <f t="shared" si="50"/>
        <v>2718_1</v>
      </c>
      <c r="J2917" t="s">
        <v>533</v>
      </c>
      <c r="K2917" t="s">
        <v>115</v>
      </c>
      <c r="L2917" t="str">
        <f>_xlfn.XLOOKUP(C2917, Table2[Species],Table2[Genus], "Code Not Found")</f>
        <v>Acer</v>
      </c>
      <c r="M2917" t="str">
        <f>_xlfn.XLOOKUP(C2917, Table2[Species],Table2[Sp. Name], "Code Not Found")</f>
        <v>saccharum</v>
      </c>
      <c r="N2917" t="str">
        <f>_xlfn.XLOOKUP(C2917,Table2[Species],Table2[Family],"Code Not Found")</f>
        <v>Sapindaceae</v>
      </c>
      <c r="O2917" t="str" cm="1">
        <f t="array" ref="O2917">_xlfn.IFS(F2917="","",F2917&lt;=5,"0 to 5",F2917&lt;=10,"5.1 to 10",F2917&lt;=20,"10 to 20", F2917&lt;= 40, "20 to 40", F2917 &lt;= 50, "40 to 50", F2917 &gt; 50, "&gt;50" )</f>
        <v>20 to 40</v>
      </c>
    </row>
    <row r="2918" spans="1:15" ht="15" customHeight="1" x14ac:dyDescent="0.3">
      <c r="A2918" t="s">
        <v>566</v>
      </c>
      <c r="B2918" s="1">
        <v>46218</v>
      </c>
      <c r="C2918" t="s">
        <v>16</v>
      </c>
      <c r="D2918">
        <v>2719</v>
      </c>
      <c r="E2918">
        <v>1</v>
      </c>
      <c r="F2918">
        <v>18.100000000000001</v>
      </c>
      <c r="G2918" t="s">
        <v>21</v>
      </c>
      <c r="I2918" t="str">
        <f t="shared" si="50"/>
        <v>2719_1</v>
      </c>
      <c r="J2918" t="s">
        <v>533</v>
      </c>
      <c r="K2918" t="s">
        <v>115</v>
      </c>
      <c r="L2918" t="str">
        <f>_xlfn.XLOOKUP(C2918, Table2[Species],Table2[Genus], "Code Not Found")</f>
        <v>Acer</v>
      </c>
      <c r="M2918" t="str">
        <f>_xlfn.XLOOKUP(C2918, Table2[Species],Table2[Sp. Name], "Code Not Found")</f>
        <v>saccharum</v>
      </c>
      <c r="N2918" t="str">
        <f>_xlfn.XLOOKUP(C2918,Table2[Species],Table2[Family],"Code Not Found")</f>
        <v>Sapindaceae</v>
      </c>
      <c r="O2918" t="str" cm="1">
        <f t="array" ref="O2918">_xlfn.IFS(F2918="","",F2918&lt;=5,"0 to 5",F2918&lt;=10,"5.1 to 10",F2918&lt;=20,"10 to 20", F2918&lt;= 40, "20 to 40", F2918 &lt;= 50, "40 to 50", F2918 &gt; 50, "&gt;50" )</f>
        <v>10 to 20</v>
      </c>
    </row>
    <row r="2919" spans="1:15" ht="15" customHeight="1" x14ac:dyDescent="0.3">
      <c r="A2919" t="s">
        <v>566</v>
      </c>
      <c r="B2919" s="1">
        <v>46218</v>
      </c>
      <c r="C2919" t="s">
        <v>16</v>
      </c>
      <c r="D2919">
        <v>2720</v>
      </c>
      <c r="E2919">
        <v>1</v>
      </c>
      <c r="F2919">
        <v>23.8</v>
      </c>
      <c r="G2919" t="s">
        <v>30</v>
      </c>
      <c r="H2919" t="s">
        <v>121</v>
      </c>
      <c r="I2919" t="str">
        <f t="shared" si="50"/>
        <v>2720_1</v>
      </c>
      <c r="J2919" t="s">
        <v>533</v>
      </c>
      <c r="K2919" t="s">
        <v>115</v>
      </c>
      <c r="L2919" t="str">
        <f>_xlfn.XLOOKUP(C2919, Table2[Species],Table2[Genus], "Code Not Found")</f>
        <v>Acer</v>
      </c>
      <c r="M2919" t="str">
        <f>_xlfn.XLOOKUP(C2919, Table2[Species],Table2[Sp. Name], "Code Not Found")</f>
        <v>saccharum</v>
      </c>
      <c r="N2919" t="str">
        <f>_xlfn.XLOOKUP(C2919,Table2[Species],Table2[Family],"Code Not Found")</f>
        <v>Sapindaceae</v>
      </c>
      <c r="O2919" t="str" cm="1">
        <f t="array" ref="O2919">_xlfn.IFS(F2919="","",F2919&lt;=5,"0 to 5",F2919&lt;=10,"5.1 to 10",F2919&lt;=20,"10 to 20", F2919&lt;= 40, "20 to 40", F2919 &lt;= 50, "40 to 50", F2919 &gt; 50, "&gt;50" )</f>
        <v>20 to 40</v>
      </c>
    </row>
    <row r="2920" spans="1:15" ht="15" customHeight="1" x14ac:dyDescent="0.3">
      <c r="A2920" t="s">
        <v>566</v>
      </c>
      <c r="B2920" s="1">
        <v>46218</v>
      </c>
      <c r="C2920" t="s">
        <v>16</v>
      </c>
      <c r="D2920">
        <v>2721</v>
      </c>
      <c r="E2920">
        <v>1</v>
      </c>
      <c r="F2920">
        <v>9.1</v>
      </c>
      <c r="G2920" t="s">
        <v>17</v>
      </c>
      <c r="I2920" t="str">
        <f t="shared" si="50"/>
        <v>2721_1</v>
      </c>
      <c r="J2920" t="s">
        <v>533</v>
      </c>
      <c r="K2920" t="s">
        <v>115</v>
      </c>
      <c r="L2920" t="str">
        <f>_xlfn.XLOOKUP(C2920, Table2[Species],Table2[Genus], "Code Not Found")</f>
        <v>Acer</v>
      </c>
      <c r="M2920" t="str">
        <f>_xlfn.XLOOKUP(C2920, Table2[Species],Table2[Sp. Name], "Code Not Found")</f>
        <v>saccharum</v>
      </c>
      <c r="N2920" t="str">
        <f>_xlfn.XLOOKUP(C2920,Table2[Species],Table2[Family],"Code Not Found")</f>
        <v>Sapindaceae</v>
      </c>
      <c r="O2920" t="str" cm="1">
        <f t="array" ref="O2920">_xlfn.IFS(F2920="","",F2920&lt;=5,"0 to 5",F2920&lt;=10,"5.1 to 10",F2920&lt;=20,"10 to 20", F2920&lt;= 40, "20 to 40", F2920 &lt;= 50, "40 to 50", F2920 &gt; 50, "&gt;50" )</f>
        <v>5.1 to 10</v>
      </c>
    </row>
    <row r="2921" spans="1:15" ht="15" customHeight="1" x14ac:dyDescent="0.3">
      <c r="A2921" t="s">
        <v>566</v>
      </c>
      <c r="B2921" s="1">
        <v>46218</v>
      </c>
      <c r="C2921" t="s">
        <v>29</v>
      </c>
      <c r="D2921">
        <v>2722</v>
      </c>
      <c r="E2921">
        <v>1</v>
      </c>
      <c r="F2921">
        <v>33.4</v>
      </c>
      <c r="G2921" t="s">
        <v>17</v>
      </c>
      <c r="I2921" t="str">
        <f t="shared" si="50"/>
        <v>2722_1</v>
      </c>
      <c r="J2921" t="s">
        <v>533</v>
      </c>
      <c r="K2921" t="s">
        <v>115</v>
      </c>
      <c r="L2921" t="str">
        <f>_xlfn.XLOOKUP(C2921, Table2[Species],Table2[Genus], "Code Not Found")</f>
        <v>Sassafras</v>
      </c>
      <c r="M2921" t="str">
        <f>_xlfn.XLOOKUP(C2921, Table2[Species],Table2[Sp. Name], "Code Not Found")</f>
        <v>albidum</v>
      </c>
      <c r="N2921" t="str">
        <f>_xlfn.XLOOKUP(C2921,Table2[Species],Table2[Family],"Code Not Found")</f>
        <v>Lauraceae</v>
      </c>
      <c r="O2921" t="str" cm="1">
        <f t="array" ref="O2921">_xlfn.IFS(F2921="","",F2921&lt;=5,"0 to 5",F2921&lt;=10,"5.1 to 10",F2921&lt;=20,"10 to 20", F2921&lt;= 40, "20 to 40", F2921 &lt;= 50, "40 to 50", F2921 &gt; 50, "&gt;50" )</f>
        <v>20 to 40</v>
      </c>
    </row>
    <row r="2922" spans="1:15" ht="15" customHeight="1" x14ac:dyDescent="0.3">
      <c r="A2922" t="s">
        <v>566</v>
      </c>
      <c r="B2922" s="1">
        <v>46218</v>
      </c>
      <c r="C2922" t="s">
        <v>29</v>
      </c>
      <c r="D2922">
        <v>2723</v>
      </c>
      <c r="E2922">
        <v>1</v>
      </c>
      <c r="F2922">
        <v>36</v>
      </c>
      <c r="G2922" t="s">
        <v>17</v>
      </c>
      <c r="I2922" t="str">
        <f t="shared" si="50"/>
        <v>2723_1</v>
      </c>
      <c r="J2922" t="s">
        <v>533</v>
      </c>
      <c r="K2922" t="s">
        <v>115</v>
      </c>
      <c r="L2922" t="str">
        <f>_xlfn.XLOOKUP(C2922, Table2[Species],Table2[Genus], "Code Not Found")</f>
        <v>Sassafras</v>
      </c>
      <c r="M2922" t="str">
        <f>_xlfn.XLOOKUP(C2922, Table2[Species],Table2[Sp. Name], "Code Not Found")</f>
        <v>albidum</v>
      </c>
      <c r="N2922" t="str">
        <f>_xlfn.XLOOKUP(C2922,Table2[Species],Table2[Family],"Code Not Found")</f>
        <v>Lauraceae</v>
      </c>
      <c r="O2922" t="str" cm="1">
        <f t="array" ref="O2922">_xlfn.IFS(F2922="","",F2922&lt;=5,"0 to 5",F2922&lt;=10,"5.1 to 10",F2922&lt;=20,"10 to 20", F2922&lt;= 40, "20 to 40", F2922 &lt;= 50, "40 to 50", F2922 &gt; 50, "&gt;50" )</f>
        <v>20 to 40</v>
      </c>
    </row>
    <row r="2923" spans="1:15" ht="15" customHeight="1" x14ac:dyDescent="0.3">
      <c r="A2923" t="s">
        <v>566</v>
      </c>
      <c r="B2923" s="1">
        <v>46218</v>
      </c>
      <c r="C2923" t="s">
        <v>16</v>
      </c>
      <c r="D2923">
        <v>2724</v>
      </c>
      <c r="E2923">
        <v>1</v>
      </c>
      <c r="F2923">
        <v>6.8</v>
      </c>
      <c r="G2923" t="s">
        <v>71</v>
      </c>
      <c r="I2923" t="str">
        <f t="shared" si="50"/>
        <v>2724_1</v>
      </c>
      <c r="J2923" t="s">
        <v>533</v>
      </c>
      <c r="K2923" t="s">
        <v>115</v>
      </c>
      <c r="L2923" t="str">
        <f>_xlfn.XLOOKUP(C2923, Table2[Species],Table2[Genus], "Code Not Found")</f>
        <v>Acer</v>
      </c>
      <c r="M2923" t="str">
        <f>_xlfn.XLOOKUP(C2923, Table2[Species],Table2[Sp. Name], "Code Not Found")</f>
        <v>saccharum</v>
      </c>
      <c r="N2923" t="str">
        <f>_xlfn.XLOOKUP(C2923,Table2[Species],Table2[Family],"Code Not Found")</f>
        <v>Sapindaceae</v>
      </c>
      <c r="O2923" t="str" cm="1">
        <f t="array" ref="O2923">_xlfn.IFS(F2923="","",F2923&lt;=5,"0 to 5",F2923&lt;=10,"5.1 to 10",F2923&lt;=20,"10 to 20", F2923&lt;= 40, "20 to 40", F2923 &lt;= 50, "40 to 50", F2923 &gt; 50, "&gt;50" )</f>
        <v>5.1 to 10</v>
      </c>
    </row>
    <row r="2924" spans="1:15" ht="15" customHeight="1" x14ac:dyDescent="0.3">
      <c r="A2924" t="s">
        <v>593</v>
      </c>
      <c r="B2924" s="1">
        <v>46218</v>
      </c>
      <c r="C2924" t="s">
        <v>16</v>
      </c>
      <c r="D2924">
        <v>2725</v>
      </c>
      <c r="E2924">
        <v>1</v>
      </c>
      <c r="F2924">
        <v>3.8</v>
      </c>
      <c r="G2924" t="s">
        <v>21</v>
      </c>
      <c r="I2924" t="str">
        <f t="shared" si="50"/>
        <v>2725_1</v>
      </c>
      <c r="J2924" t="s">
        <v>533</v>
      </c>
      <c r="K2924" t="s">
        <v>115</v>
      </c>
      <c r="L2924" t="str">
        <f>_xlfn.XLOOKUP(C2924, Table2[Species],Table2[Genus], "Code Not Found")</f>
        <v>Acer</v>
      </c>
      <c r="M2924" t="str">
        <f>_xlfn.XLOOKUP(C2924, Table2[Species],Table2[Sp. Name], "Code Not Found")</f>
        <v>saccharum</v>
      </c>
      <c r="N2924" t="str">
        <f>_xlfn.XLOOKUP(C2924,Table2[Species],Table2[Family],"Code Not Found")</f>
        <v>Sapindaceae</v>
      </c>
      <c r="O2924" t="str" cm="1">
        <f t="array" ref="O2924">_xlfn.IFS(F2924="","",F2924&lt;=5,"0 to 5",F2924&lt;=10,"5.1 to 10",F2924&lt;=20,"10 to 20", F2924&lt;= 40, "20 to 40", F2924 &lt;= 50, "40 to 50", F2924 &gt; 50, "&gt;50" )</f>
        <v>0 to 5</v>
      </c>
    </row>
    <row r="2925" spans="1:15" ht="15" customHeight="1" x14ac:dyDescent="0.3">
      <c r="A2925" t="s">
        <v>593</v>
      </c>
      <c r="B2925" s="1">
        <v>46218</v>
      </c>
      <c r="C2925" t="s">
        <v>16</v>
      </c>
      <c r="D2925">
        <v>2726</v>
      </c>
      <c r="E2925">
        <v>1</v>
      </c>
      <c r="F2925">
        <v>5.5</v>
      </c>
      <c r="G2925" t="s">
        <v>56</v>
      </c>
      <c r="I2925" t="str">
        <f t="shared" si="50"/>
        <v>2726_1</v>
      </c>
      <c r="J2925" t="s">
        <v>533</v>
      </c>
      <c r="K2925" t="s">
        <v>115</v>
      </c>
      <c r="L2925" t="str">
        <f>_xlfn.XLOOKUP(C2925, Table2[Species],Table2[Genus], "Code Not Found")</f>
        <v>Acer</v>
      </c>
      <c r="M2925" t="str">
        <f>_xlfn.XLOOKUP(C2925, Table2[Species],Table2[Sp. Name], "Code Not Found")</f>
        <v>saccharum</v>
      </c>
      <c r="N2925" t="str">
        <f>_xlfn.XLOOKUP(C2925,Table2[Species],Table2[Family],"Code Not Found")</f>
        <v>Sapindaceae</v>
      </c>
      <c r="O2925" t="str" cm="1">
        <f t="array" ref="O2925">_xlfn.IFS(F2925="","",F2925&lt;=5,"0 to 5",F2925&lt;=10,"5.1 to 10",F2925&lt;=20,"10 to 20", F2925&lt;= 40, "20 to 40", F2925 &lt;= 50, "40 to 50", F2925 &gt; 50, "&gt;50" )</f>
        <v>5.1 to 10</v>
      </c>
    </row>
    <row r="2926" spans="1:15" ht="15" customHeight="1" x14ac:dyDescent="0.3">
      <c r="A2926" t="s">
        <v>593</v>
      </c>
      <c r="B2926" s="1">
        <v>46218</v>
      </c>
      <c r="C2926" t="s">
        <v>16</v>
      </c>
      <c r="D2926">
        <v>2727</v>
      </c>
      <c r="E2926">
        <v>1</v>
      </c>
      <c r="F2926">
        <v>7.6</v>
      </c>
      <c r="G2926" t="s">
        <v>21</v>
      </c>
      <c r="I2926" t="str">
        <f t="shared" si="50"/>
        <v>2727_1</v>
      </c>
      <c r="J2926" t="s">
        <v>533</v>
      </c>
      <c r="K2926" t="s">
        <v>115</v>
      </c>
      <c r="L2926" t="str">
        <f>_xlfn.XLOOKUP(C2926, Table2[Species],Table2[Genus], "Code Not Found")</f>
        <v>Acer</v>
      </c>
      <c r="M2926" t="str">
        <f>_xlfn.XLOOKUP(C2926, Table2[Species],Table2[Sp. Name], "Code Not Found")</f>
        <v>saccharum</v>
      </c>
      <c r="N2926" t="str">
        <f>_xlfn.XLOOKUP(C2926,Table2[Species],Table2[Family],"Code Not Found")</f>
        <v>Sapindaceae</v>
      </c>
      <c r="O2926" t="str" cm="1">
        <f t="array" ref="O2926">_xlfn.IFS(F2926="","",F2926&lt;=5,"0 to 5",F2926&lt;=10,"5.1 to 10",F2926&lt;=20,"10 to 20", F2926&lt;= 40, "20 to 40", F2926 &lt;= 50, "40 to 50", F2926 &gt; 50, "&gt;50" )</f>
        <v>5.1 to 10</v>
      </c>
    </row>
    <row r="2927" spans="1:15" ht="15" customHeight="1" x14ac:dyDescent="0.3">
      <c r="A2927" t="s">
        <v>593</v>
      </c>
      <c r="B2927" s="1">
        <v>46218</v>
      </c>
      <c r="C2927" t="s">
        <v>16</v>
      </c>
      <c r="D2927">
        <v>2728</v>
      </c>
      <c r="E2927">
        <v>1</v>
      </c>
      <c r="F2927">
        <v>4.7</v>
      </c>
      <c r="G2927" t="s">
        <v>47</v>
      </c>
      <c r="H2927" t="s">
        <v>296</v>
      </c>
      <c r="I2927" t="str">
        <f t="shared" si="50"/>
        <v>2728_1</v>
      </c>
      <c r="J2927" t="s">
        <v>533</v>
      </c>
      <c r="K2927" t="s">
        <v>115</v>
      </c>
      <c r="L2927" t="str">
        <f>_xlfn.XLOOKUP(C2927, Table2[Species],Table2[Genus], "Code Not Found")</f>
        <v>Acer</v>
      </c>
      <c r="M2927" t="str">
        <f>_xlfn.XLOOKUP(C2927, Table2[Species],Table2[Sp. Name], "Code Not Found")</f>
        <v>saccharum</v>
      </c>
      <c r="N2927" t="str">
        <f>_xlfn.XLOOKUP(C2927,Table2[Species],Table2[Family],"Code Not Found")</f>
        <v>Sapindaceae</v>
      </c>
      <c r="O2927" t="str" cm="1">
        <f t="array" ref="O2927">_xlfn.IFS(F2927="","",F2927&lt;=5,"0 to 5",F2927&lt;=10,"5.1 to 10",F2927&lt;=20,"10 to 20", F2927&lt;= 40, "20 to 40", F2927 &lt;= 50, "40 to 50", F2927 &gt; 50, "&gt;50" )</f>
        <v>0 to 5</v>
      </c>
    </row>
    <row r="2928" spans="1:15" ht="15" customHeight="1" x14ac:dyDescent="0.3">
      <c r="A2928" t="s">
        <v>593</v>
      </c>
      <c r="B2928" s="1">
        <v>46218</v>
      </c>
      <c r="C2928" t="s">
        <v>16</v>
      </c>
      <c r="D2928">
        <v>2729</v>
      </c>
      <c r="E2928">
        <v>1</v>
      </c>
      <c r="F2928">
        <v>1.6</v>
      </c>
      <c r="G2928" t="s">
        <v>17</v>
      </c>
      <c r="I2928" t="str">
        <f t="shared" si="50"/>
        <v>2729_1</v>
      </c>
      <c r="J2928" t="s">
        <v>533</v>
      </c>
      <c r="K2928" t="s">
        <v>115</v>
      </c>
      <c r="L2928" t="str">
        <f>_xlfn.XLOOKUP(C2928, Table2[Species],Table2[Genus], "Code Not Found")</f>
        <v>Acer</v>
      </c>
      <c r="M2928" t="str">
        <f>_xlfn.XLOOKUP(C2928, Table2[Species],Table2[Sp. Name], "Code Not Found")</f>
        <v>saccharum</v>
      </c>
      <c r="N2928" t="str">
        <f>_xlfn.XLOOKUP(C2928,Table2[Species],Table2[Family],"Code Not Found")</f>
        <v>Sapindaceae</v>
      </c>
      <c r="O2928" t="str" cm="1">
        <f t="array" ref="O2928">_xlfn.IFS(F2928="","",F2928&lt;=5,"0 to 5",F2928&lt;=10,"5.1 to 10",F2928&lt;=20,"10 to 20", F2928&lt;= 40, "20 to 40", F2928 &lt;= 50, "40 to 50", F2928 &gt; 50, "&gt;50" )</f>
        <v>0 to 5</v>
      </c>
    </row>
    <row r="2929" spans="1:15" ht="15" customHeight="1" x14ac:dyDescent="0.3">
      <c r="A2929" t="s">
        <v>593</v>
      </c>
      <c r="B2929" s="1">
        <v>46218</v>
      </c>
      <c r="C2929" t="s">
        <v>16</v>
      </c>
      <c r="D2929">
        <v>2730</v>
      </c>
      <c r="E2929">
        <v>1</v>
      </c>
      <c r="F2929">
        <v>2.2999999999999998</v>
      </c>
      <c r="G2929" t="s">
        <v>47</v>
      </c>
      <c r="H2929" t="s">
        <v>296</v>
      </c>
      <c r="I2929" t="str">
        <f t="shared" si="50"/>
        <v>2730_1</v>
      </c>
      <c r="J2929" t="s">
        <v>533</v>
      </c>
      <c r="K2929" t="s">
        <v>115</v>
      </c>
      <c r="L2929" t="str">
        <f>_xlfn.XLOOKUP(C2929, Table2[Species],Table2[Genus], "Code Not Found")</f>
        <v>Acer</v>
      </c>
      <c r="M2929" t="str">
        <f>_xlfn.XLOOKUP(C2929, Table2[Species],Table2[Sp. Name], "Code Not Found")</f>
        <v>saccharum</v>
      </c>
      <c r="N2929" t="str">
        <f>_xlfn.XLOOKUP(C2929,Table2[Species],Table2[Family],"Code Not Found")</f>
        <v>Sapindaceae</v>
      </c>
      <c r="O2929" t="str" cm="1">
        <f t="array" ref="O2929">_xlfn.IFS(F2929="","",F2929&lt;=5,"0 to 5",F2929&lt;=10,"5.1 to 10",F2929&lt;=20,"10 to 20", F2929&lt;= 40, "20 to 40", F2929 &lt;= 50, "40 to 50", F2929 &gt; 50, "&gt;50" )</f>
        <v>0 to 5</v>
      </c>
    </row>
    <row r="2930" spans="1:15" ht="15" customHeight="1" x14ac:dyDescent="0.3">
      <c r="A2930" t="s">
        <v>593</v>
      </c>
      <c r="B2930" s="1">
        <v>46218</v>
      </c>
      <c r="C2930" t="s">
        <v>16</v>
      </c>
      <c r="D2930">
        <v>2731</v>
      </c>
      <c r="E2930">
        <v>1</v>
      </c>
      <c r="F2930">
        <v>23.5</v>
      </c>
      <c r="G2930" t="s">
        <v>21</v>
      </c>
      <c r="I2930" t="str">
        <f t="shared" si="50"/>
        <v>2731_1</v>
      </c>
      <c r="J2930" t="s">
        <v>533</v>
      </c>
      <c r="K2930" t="s">
        <v>115</v>
      </c>
      <c r="L2930" t="str">
        <f>_xlfn.XLOOKUP(C2930, Table2[Species],Table2[Genus], "Code Not Found")</f>
        <v>Acer</v>
      </c>
      <c r="M2930" t="str">
        <f>_xlfn.XLOOKUP(C2930, Table2[Species],Table2[Sp. Name], "Code Not Found")</f>
        <v>saccharum</v>
      </c>
      <c r="N2930" t="str">
        <f>_xlfn.XLOOKUP(C2930,Table2[Species],Table2[Family],"Code Not Found")</f>
        <v>Sapindaceae</v>
      </c>
      <c r="O2930" t="str" cm="1">
        <f t="array" ref="O2930">_xlfn.IFS(F2930="","",F2930&lt;=5,"0 to 5",F2930&lt;=10,"5.1 to 10",F2930&lt;=20,"10 to 20", F2930&lt;= 40, "20 to 40", F2930 &lt;= 50, "40 to 50", F2930 &gt; 50, "&gt;50" )</f>
        <v>20 to 40</v>
      </c>
    </row>
    <row r="2931" spans="1:15" ht="15" customHeight="1" x14ac:dyDescent="0.3">
      <c r="A2931" t="s">
        <v>593</v>
      </c>
      <c r="B2931" s="1">
        <v>46218</v>
      </c>
      <c r="C2931" t="s">
        <v>16</v>
      </c>
      <c r="D2931">
        <v>2732</v>
      </c>
      <c r="E2931">
        <v>1</v>
      </c>
      <c r="F2931">
        <v>4.5999999999999996</v>
      </c>
      <c r="G2931" t="s">
        <v>21</v>
      </c>
      <c r="I2931" t="str">
        <f t="shared" si="50"/>
        <v>2732_1</v>
      </c>
      <c r="J2931" t="s">
        <v>533</v>
      </c>
      <c r="K2931" t="s">
        <v>115</v>
      </c>
      <c r="L2931" t="str">
        <f>_xlfn.XLOOKUP(C2931, Table2[Species],Table2[Genus], "Code Not Found")</f>
        <v>Acer</v>
      </c>
      <c r="M2931" t="str">
        <f>_xlfn.XLOOKUP(C2931, Table2[Species],Table2[Sp. Name], "Code Not Found")</f>
        <v>saccharum</v>
      </c>
      <c r="N2931" t="str">
        <f>_xlfn.XLOOKUP(C2931,Table2[Species],Table2[Family],"Code Not Found")</f>
        <v>Sapindaceae</v>
      </c>
      <c r="O2931" t="str" cm="1">
        <f t="array" ref="O2931">_xlfn.IFS(F2931="","",F2931&lt;=5,"0 to 5",F2931&lt;=10,"5.1 to 10",F2931&lt;=20,"10 to 20", F2931&lt;= 40, "20 to 40", F2931 &lt;= 50, "40 to 50", F2931 &gt; 50, "&gt;50" )</f>
        <v>0 to 5</v>
      </c>
    </row>
    <row r="2932" spans="1:15" ht="15" customHeight="1" x14ac:dyDescent="0.3">
      <c r="A2932" t="s">
        <v>593</v>
      </c>
      <c r="B2932" s="1">
        <v>46218</v>
      </c>
      <c r="C2932" t="s">
        <v>16</v>
      </c>
      <c r="D2932">
        <v>2733</v>
      </c>
      <c r="E2932">
        <v>1</v>
      </c>
      <c r="F2932">
        <v>3.4</v>
      </c>
      <c r="G2932" t="s">
        <v>17</v>
      </c>
      <c r="I2932" t="str">
        <f t="shared" si="50"/>
        <v>2733_1</v>
      </c>
      <c r="J2932" t="s">
        <v>533</v>
      </c>
      <c r="K2932" t="s">
        <v>115</v>
      </c>
      <c r="L2932" t="str">
        <f>_xlfn.XLOOKUP(C2932, Table2[Species],Table2[Genus], "Code Not Found")</f>
        <v>Acer</v>
      </c>
      <c r="M2932" t="str">
        <f>_xlfn.XLOOKUP(C2932, Table2[Species],Table2[Sp. Name], "Code Not Found")</f>
        <v>saccharum</v>
      </c>
      <c r="N2932" t="str">
        <f>_xlfn.XLOOKUP(C2932,Table2[Species],Table2[Family],"Code Not Found")</f>
        <v>Sapindaceae</v>
      </c>
      <c r="O2932" t="str" cm="1">
        <f t="array" ref="O2932">_xlfn.IFS(F2932="","",F2932&lt;=5,"0 to 5",F2932&lt;=10,"5.1 to 10",F2932&lt;=20,"10 to 20", F2932&lt;= 40, "20 to 40", F2932 &lt;= 50, "40 to 50", F2932 &gt; 50, "&gt;50" )</f>
        <v>0 to 5</v>
      </c>
    </row>
    <row r="2933" spans="1:15" ht="15" customHeight="1" x14ac:dyDescent="0.3">
      <c r="A2933" t="s">
        <v>593</v>
      </c>
      <c r="B2933" s="1">
        <v>46218</v>
      </c>
      <c r="C2933" t="s">
        <v>16</v>
      </c>
      <c r="D2933">
        <v>2734</v>
      </c>
      <c r="E2933">
        <v>1</v>
      </c>
      <c r="F2933">
        <v>64.099999999999994</v>
      </c>
      <c r="G2933" t="s">
        <v>56</v>
      </c>
      <c r="I2933" t="str">
        <f t="shared" si="50"/>
        <v>2734_1</v>
      </c>
      <c r="J2933" t="s">
        <v>533</v>
      </c>
      <c r="K2933" t="s">
        <v>115</v>
      </c>
      <c r="L2933" t="str">
        <f>_xlfn.XLOOKUP(C2933, Table2[Species],Table2[Genus], "Code Not Found")</f>
        <v>Acer</v>
      </c>
      <c r="M2933" t="str">
        <f>_xlfn.XLOOKUP(C2933, Table2[Species],Table2[Sp. Name], "Code Not Found")</f>
        <v>saccharum</v>
      </c>
      <c r="N2933" t="str">
        <f>_xlfn.XLOOKUP(C2933,Table2[Species],Table2[Family],"Code Not Found")</f>
        <v>Sapindaceae</v>
      </c>
      <c r="O2933" t="str" cm="1">
        <f t="array" ref="O2933">_xlfn.IFS(F2933="","",F2933&lt;=5,"0 to 5",F2933&lt;=10,"5.1 to 10",F2933&lt;=20,"10 to 20", F2933&lt;= 40, "20 to 40", F2933 &lt;= 50, "40 to 50", F2933 &gt; 50, "&gt;50" )</f>
        <v>&gt;50</v>
      </c>
    </row>
    <row r="2934" spans="1:15" ht="15" customHeight="1" x14ac:dyDescent="0.3">
      <c r="A2934" t="s">
        <v>593</v>
      </c>
      <c r="B2934" s="1">
        <v>46218</v>
      </c>
      <c r="C2934" t="s">
        <v>16</v>
      </c>
      <c r="D2934">
        <v>2735</v>
      </c>
      <c r="E2934">
        <v>1</v>
      </c>
      <c r="F2934">
        <v>10.9</v>
      </c>
      <c r="G2934" t="s">
        <v>17</v>
      </c>
      <c r="I2934" t="str">
        <f t="shared" si="50"/>
        <v>2735_1</v>
      </c>
      <c r="J2934" t="s">
        <v>533</v>
      </c>
      <c r="K2934" t="s">
        <v>115</v>
      </c>
      <c r="L2934" t="str">
        <f>_xlfn.XLOOKUP(C2934, Table2[Species],Table2[Genus], "Code Not Found")</f>
        <v>Acer</v>
      </c>
      <c r="M2934" t="str">
        <f>_xlfn.XLOOKUP(C2934, Table2[Species],Table2[Sp. Name], "Code Not Found")</f>
        <v>saccharum</v>
      </c>
      <c r="N2934" t="str">
        <f>_xlfn.XLOOKUP(C2934,Table2[Species],Table2[Family],"Code Not Found")</f>
        <v>Sapindaceae</v>
      </c>
      <c r="O2934" t="str" cm="1">
        <f t="array" ref="O2934">_xlfn.IFS(F2934="","",F2934&lt;=5,"0 to 5",F2934&lt;=10,"5.1 to 10",F2934&lt;=20,"10 to 20", F2934&lt;= 40, "20 to 40", F2934 &lt;= 50, "40 to 50", F2934 &gt; 50, "&gt;50" )</f>
        <v>10 to 20</v>
      </c>
    </row>
    <row r="2935" spans="1:15" ht="15" customHeight="1" x14ac:dyDescent="0.3">
      <c r="A2935" t="s">
        <v>593</v>
      </c>
      <c r="B2935" s="1">
        <v>46218</v>
      </c>
      <c r="C2935" t="s">
        <v>16</v>
      </c>
      <c r="D2935">
        <v>2736</v>
      </c>
      <c r="E2935">
        <v>1</v>
      </c>
      <c r="F2935">
        <v>15.3</v>
      </c>
      <c r="G2935" t="s">
        <v>21</v>
      </c>
      <c r="I2935" t="str">
        <f t="shared" si="50"/>
        <v>2736_1</v>
      </c>
      <c r="J2935" t="s">
        <v>533</v>
      </c>
      <c r="K2935" t="s">
        <v>115</v>
      </c>
      <c r="L2935" t="str">
        <f>_xlfn.XLOOKUP(C2935, Table2[Species],Table2[Genus], "Code Not Found")</f>
        <v>Acer</v>
      </c>
      <c r="M2935" t="str">
        <f>_xlfn.XLOOKUP(C2935, Table2[Species],Table2[Sp. Name], "Code Not Found")</f>
        <v>saccharum</v>
      </c>
      <c r="N2935" t="str">
        <f>_xlfn.XLOOKUP(C2935,Table2[Species],Table2[Family],"Code Not Found")</f>
        <v>Sapindaceae</v>
      </c>
      <c r="O2935" t="str" cm="1">
        <f t="array" ref="O2935">_xlfn.IFS(F2935="","",F2935&lt;=5,"0 to 5",F2935&lt;=10,"5.1 to 10",F2935&lt;=20,"10 to 20", F2935&lt;= 40, "20 to 40", F2935 &lt;= 50, "40 to 50", F2935 &gt; 50, "&gt;50" )</f>
        <v>10 to 20</v>
      </c>
    </row>
    <row r="2936" spans="1:15" ht="15" customHeight="1" x14ac:dyDescent="0.3">
      <c r="A2936" t="s">
        <v>593</v>
      </c>
      <c r="B2936" s="1">
        <v>46218</v>
      </c>
      <c r="C2936" t="s">
        <v>16</v>
      </c>
      <c r="D2936">
        <v>2737</v>
      </c>
      <c r="E2936">
        <v>1</v>
      </c>
      <c r="F2936">
        <v>5.9</v>
      </c>
      <c r="G2936" t="s">
        <v>139</v>
      </c>
      <c r="H2936" t="s">
        <v>594</v>
      </c>
      <c r="I2936" t="str">
        <f t="shared" si="50"/>
        <v>2737_1</v>
      </c>
      <c r="J2936" t="s">
        <v>533</v>
      </c>
      <c r="K2936" t="s">
        <v>115</v>
      </c>
      <c r="L2936" t="str">
        <f>_xlfn.XLOOKUP(C2936, Table2[Species],Table2[Genus], "Code Not Found")</f>
        <v>Acer</v>
      </c>
      <c r="M2936" t="str">
        <f>_xlfn.XLOOKUP(C2936, Table2[Species],Table2[Sp. Name], "Code Not Found")</f>
        <v>saccharum</v>
      </c>
      <c r="N2936" t="str">
        <f>_xlfn.XLOOKUP(C2936,Table2[Species],Table2[Family],"Code Not Found")</f>
        <v>Sapindaceae</v>
      </c>
      <c r="O2936" t="str" cm="1">
        <f t="array" ref="O2936">_xlfn.IFS(F2936="","",F2936&lt;=5,"0 to 5",F2936&lt;=10,"5.1 to 10",F2936&lt;=20,"10 to 20", F2936&lt;= 40, "20 to 40", F2936 &lt;= 50, "40 to 50", F2936 &gt; 50, "&gt;50" )</f>
        <v>5.1 to 10</v>
      </c>
    </row>
    <row r="2937" spans="1:15" ht="15" customHeight="1" x14ac:dyDescent="0.3">
      <c r="A2937" t="s">
        <v>593</v>
      </c>
      <c r="B2937" s="1">
        <v>46218</v>
      </c>
      <c r="C2937" t="s">
        <v>16</v>
      </c>
      <c r="D2937">
        <v>2738</v>
      </c>
      <c r="E2937">
        <v>1</v>
      </c>
      <c r="F2937">
        <v>11.8</v>
      </c>
      <c r="G2937" t="s">
        <v>17</v>
      </c>
      <c r="H2937" t="s">
        <v>36</v>
      </c>
      <c r="I2937" t="str">
        <f t="shared" si="50"/>
        <v>2738_1</v>
      </c>
      <c r="J2937" t="s">
        <v>533</v>
      </c>
      <c r="K2937" t="s">
        <v>115</v>
      </c>
      <c r="L2937" t="str">
        <f>_xlfn.XLOOKUP(C2937, Table2[Species],Table2[Genus], "Code Not Found")</f>
        <v>Acer</v>
      </c>
      <c r="M2937" t="str">
        <f>_xlfn.XLOOKUP(C2937, Table2[Species],Table2[Sp. Name], "Code Not Found")</f>
        <v>saccharum</v>
      </c>
      <c r="N2937" t="str">
        <f>_xlfn.XLOOKUP(C2937,Table2[Species],Table2[Family],"Code Not Found")</f>
        <v>Sapindaceae</v>
      </c>
      <c r="O2937" t="str" cm="1">
        <f t="array" ref="O2937">_xlfn.IFS(F2937="","",F2937&lt;=5,"0 to 5",F2937&lt;=10,"5.1 to 10",F2937&lt;=20,"10 to 20", F2937&lt;= 40, "20 to 40", F2937 &lt;= 50, "40 to 50", F2937 &gt; 50, "&gt;50" )</f>
        <v>10 to 20</v>
      </c>
    </row>
    <row r="2938" spans="1:15" ht="15" customHeight="1" x14ac:dyDescent="0.3">
      <c r="A2938" t="s">
        <v>593</v>
      </c>
      <c r="B2938" s="1">
        <v>46218</v>
      </c>
      <c r="C2938" t="s">
        <v>55</v>
      </c>
      <c r="D2938">
        <v>2739</v>
      </c>
      <c r="E2938">
        <v>1</v>
      </c>
      <c r="F2938">
        <v>26.6</v>
      </c>
      <c r="G2938" t="s">
        <v>21</v>
      </c>
      <c r="I2938" t="str">
        <f t="shared" si="50"/>
        <v>2739_1</v>
      </c>
      <c r="J2938" t="s">
        <v>533</v>
      </c>
      <c r="K2938" t="s">
        <v>115</v>
      </c>
      <c r="L2938" t="str">
        <f>_xlfn.XLOOKUP(C2938, Table2[Species],Table2[Genus], "Code Not Found")</f>
        <v>Magnolia</v>
      </c>
      <c r="M2938" t="str">
        <f>_xlfn.XLOOKUP(C2938, Table2[Species],Table2[Sp. Name], "Code Not Found")</f>
        <v>acuminata</v>
      </c>
      <c r="N2938" t="str">
        <f>_xlfn.XLOOKUP(C2938,Table2[Species],Table2[Family],"Code Not Found")</f>
        <v>Magnoliaceae</v>
      </c>
      <c r="O2938" t="str" cm="1">
        <f t="array" ref="O2938">_xlfn.IFS(F2938="","",F2938&lt;=5,"0 to 5",F2938&lt;=10,"5.1 to 10",F2938&lt;=20,"10 to 20", F2938&lt;= 40, "20 to 40", F2938 &lt;= 50, "40 to 50", F2938 &gt; 50, "&gt;50" )</f>
        <v>20 to 40</v>
      </c>
    </row>
    <row r="2939" spans="1:15" ht="15" customHeight="1" x14ac:dyDescent="0.3">
      <c r="A2939" t="s">
        <v>593</v>
      </c>
      <c r="B2939" s="1">
        <v>46218</v>
      </c>
      <c r="C2939" t="s">
        <v>16</v>
      </c>
      <c r="D2939">
        <v>2740</v>
      </c>
      <c r="E2939">
        <v>1</v>
      </c>
      <c r="F2939">
        <v>7.1</v>
      </c>
      <c r="G2939" t="s">
        <v>21</v>
      </c>
      <c r="I2939" t="str">
        <f t="shared" si="50"/>
        <v>2740_1</v>
      </c>
      <c r="J2939" t="s">
        <v>533</v>
      </c>
      <c r="K2939" t="s">
        <v>115</v>
      </c>
      <c r="L2939" t="str">
        <f>_xlfn.XLOOKUP(C2939, Table2[Species],Table2[Genus], "Code Not Found")</f>
        <v>Acer</v>
      </c>
      <c r="M2939" t="str">
        <f>_xlfn.XLOOKUP(C2939, Table2[Species],Table2[Sp. Name], "Code Not Found")</f>
        <v>saccharum</v>
      </c>
      <c r="N2939" t="str">
        <f>_xlfn.XLOOKUP(C2939,Table2[Species],Table2[Family],"Code Not Found")</f>
        <v>Sapindaceae</v>
      </c>
      <c r="O2939" t="str" cm="1">
        <f t="array" ref="O2939">_xlfn.IFS(F2939="","",F2939&lt;=5,"0 to 5",F2939&lt;=10,"5.1 to 10",F2939&lt;=20,"10 to 20", F2939&lt;= 40, "20 to 40", F2939 &lt;= 50, "40 to 50", F2939 &gt; 50, "&gt;50" )</f>
        <v>5.1 to 10</v>
      </c>
    </row>
    <row r="2940" spans="1:15" ht="15" customHeight="1" x14ac:dyDescent="0.3">
      <c r="A2940" t="s">
        <v>593</v>
      </c>
      <c r="B2940" s="1">
        <v>46218</v>
      </c>
      <c r="C2940" t="s">
        <v>16</v>
      </c>
      <c r="D2940">
        <v>2741</v>
      </c>
      <c r="E2940">
        <v>1</v>
      </c>
      <c r="F2940">
        <v>46.7</v>
      </c>
      <c r="G2940" t="s">
        <v>17</v>
      </c>
      <c r="I2940" t="str">
        <f t="shared" si="50"/>
        <v>2741_1</v>
      </c>
      <c r="J2940" t="s">
        <v>533</v>
      </c>
      <c r="K2940" t="s">
        <v>115</v>
      </c>
      <c r="L2940" t="str">
        <f>_xlfn.XLOOKUP(C2940, Table2[Species],Table2[Genus], "Code Not Found")</f>
        <v>Acer</v>
      </c>
      <c r="M2940" t="str">
        <f>_xlfn.XLOOKUP(C2940, Table2[Species],Table2[Sp. Name], "Code Not Found")</f>
        <v>saccharum</v>
      </c>
      <c r="N2940" t="str">
        <f>_xlfn.XLOOKUP(C2940,Table2[Species],Table2[Family],"Code Not Found")</f>
        <v>Sapindaceae</v>
      </c>
      <c r="O2940" t="str" cm="1">
        <f t="array" ref="O2940">_xlfn.IFS(F2940="","",F2940&lt;=5,"0 to 5",F2940&lt;=10,"5.1 to 10",F2940&lt;=20,"10 to 20", F2940&lt;= 40, "20 to 40", F2940 &lt;= 50, "40 to 50", F2940 &gt; 50, "&gt;50" )</f>
        <v>40 to 50</v>
      </c>
    </row>
    <row r="2941" spans="1:15" ht="15" customHeight="1" x14ac:dyDescent="0.3">
      <c r="A2941" t="s">
        <v>593</v>
      </c>
      <c r="B2941" s="1">
        <v>46218</v>
      </c>
      <c r="C2941" t="s">
        <v>16</v>
      </c>
      <c r="D2941">
        <v>2742</v>
      </c>
      <c r="E2941">
        <v>1</v>
      </c>
      <c r="F2941">
        <v>4.5</v>
      </c>
      <c r="G2941" t="s">
        <v>139</v>
      </c>
      <c r="H2941" t="s">
        <v>595</v>
      </c>
      <c r="I2941" t="str">
        <f t="shared" si="50"/>
        <v>2742_1</v>
      </c>
      <c r="J2941" t="s">
        <v>533</v>
      </c>
      <c r="K2941" t="s">
        <v>115</v>
      </c>
      <c r="L2941" t="str">
        <f>_xlfn.XLOOKUP(C2941, Table2[Species],Table2[Genus], "Code Not Found")</f>
        <v>Acer</v>
      </c>
      <c r="M2941" t="str">
        <f>_xlfn.XLOOKUP(C2941, Table2[Species],Table2[Sp. Name], "Code Not Found")</f>
        <v>saccharum</v>
      </c>
      <c r="N2941" t="str">
        <f>_xlfn.XLOOKUP(C2941,Table2[Species],Table2[Family],"Code Not Found")</f>
        <v>Sapindaceae</v>
      </c>
      <c r="O2941" t="str" cm="1">
        <f t="array" ref="O2941">_xlfn.IFS(F2941="","",F2941&lt;=5,"0 to 5",F2941&lt;=10,"5.1 to 10",F2941&lt;=20,"10 to 20", F2941&lt;= 40, "20 to 40", F2941 &lt;= 50, "40 to 50", F2941 &gt; 50, "&gt;50" )</f>
        <v>0 to 5</v>
      </c>
    </row>
    <row r="2942" spans="1:15" ht="15" customHeight="1" x14ac:dyDescent="0.3">
      <c r="A2942" t="s">
        <v>593</v>
      </c>
      <c r="B2942" s="1">
        <v>46218</v>
      </c>
      <c r="C2942" t="s">
        <v>16</v>
      </c>
      <c r="D2942">
        <v>2743</v>
      </c>
      <c r="E2942">
        <v>1</v>
      </c>
      <c r="F2942">
        <v>13</v>
      </c>
      <c r="G2942" t="s">
        <v>47</v>
      </c>
      <c r="H2942" t="s">
        <v>322</v>
      </c>
      <c r="I2942" t="str">
        <f t="shared" si="50"/>
        <v>2743_1</v>
      </c>
      <c r="J2942" t="s">
        <v>533</v>
      </c>
      <c r="K2942" t="s">
        <v>115</v>
      </c>
      <c r="L2942" t="str">
        <f>_xlfn.XLOOKUP(C2942, Table2[Species],Table2[Genus], "Code Not Found")</f>
        <v>Acer</v>
      </c>
      <c r="M2942" t="str">
        <f>_xlfn.XLOOKUP(C2942, Table2[Species],Table2[Sp. Name], "Code Not Found")</f>
        <v>saccharum</v>
      </c>
      <c r="N2942" t="str">
        <f>_xlfn.XLOOKUP(C2942,Table2[Species],Table2[Family],"Code Not Found")</f>
        <v>Sapindaceae</v>
      </c>
      <c r="O2942" t="str" cm="1">
        <f t="array" ref="O2942">_xlfn.IFS(F2942="","",F2942&lt;=5,"0 to 5",F2942&lt;=10,"5.1 to 10",F2942&lt;=20,"10 to 20", F2942&lt;= 40, "20 to 40", F2942 &lt;= 50, "40 to 50", F2942 &gt; 50, "&gt;50" )</f>
        <v>10 to 20</v>
      </c>
    </row>
    <row r="2943" spans="1:15" ht="15" customHeight="1" x14ac:dyDescent="0.3">
      <c r="A2943" t="s">
        <v>593</v>
      </c>
      <c r="B2943" s="1">
        <v>46218</v>
      </c>
      <c r="C2943" t="s">
        <v>16</v>
      </c>
      <c r="D2943">
        <v>2744</v>
      </c>
      <c r="E2943">
        <v>1</v>
      </c>
      <c r="F2943">
        <v>5.2</v>
      </c>
      <c r="G2943" t="s">
        <v>21</v>
      </c>
      <c r="I2943" t="str">
        <f t="shared" si="50"/>
        <v>2744_1</v>
      </c>
      <c r="J2943" t="s">
        <v>533</v>
      </c>
      <c r="K2943" t="s">
        <v>115</v>
      </c>
      <c r="L2943" t="str">
        <f>_xlfn.XLOOKUP(C2943, Table2[Species],Table2[Genus], "Code Not Found")</f>
        <v>Acer</v>
      </c>
      <c r="M2943" t="str">
        <f>_xlfn.XLOOKUP(C2943, Table2[Species],Table2[Sp. Name], "Code Not Found")</f>
        <v>saccharum</v>
      </c>
      <c r="N2943" t="str">
        <f>_xlfn.XLOOKUP(C2943,Table2[Species],Table2[Family],"Code Not Found")</f>
        <v>Sapindaceae</v>
      </c>
      <c r="O2943" t="str" cm="1">
        <f t="array" ref="O2943">_xlfn.IFS(F2943="","",F2943&lt;=5,"0 to 5",F2943&lt;=10,"5.1 to 10",F2943&lt;=20,"10 to 20", F2943&lt;= 40, "20 to 40", F2943 &lt;= 50, "40 to 50", F2943 &gt; 50, "&gt;50" )</f>
        <v>5.1 to 10</v>
      </c>
    </row>
    <row r="2944" spans="1:15" ht="15" customHeight="1" x14ac:dyDescent="0.3">
      <c r="A2944" t="s">
        <v>593</v>
      </c>
      <c r="B2944" s="1">
        <v>46218</v>
      </c>
      <c r="C2944" t="s">
        <v>16</v>
      </c>
      <c r="D2944">
        <v>2745</v>
      </c>
      <c r="E2944">
        <v>1</v>
      </c>
      <c r="F2944">
        <v>3</v>
      </c>
      <c r="G2944" t="s">
        <v>21</v>
      </c>
      <c r="I2944" t="str">
        <f t="shared" si="50"/>
        <v>2745_1</v>
      </c>
      <c r="J2944" t="s">
        <v>533</v>
      </c>
      <c r="K2944" t="s">
        <v>115</v>
      </c>
      <c r="L2944" t="str">
        <f>_xlfn.XLOOKUP(C2944, Table2[Species],Table2[Genus], "Code Not Found")</f>
        <v>Acer</v>
      </c>
      <c r="M2944" t="str">
        <f>_xlfn.XLOOKUP(C2944, Table2[Species],Table2[Sp. Name], "Code Not Found")</f>
        <v>saccharum</v>
      </c>
      <c r="N2944" t="str">
        <f>_xlfn.XLOOKUP(C2944,Table2[Species],Table2[Family],"Code Not Found")</f>
        <v>Sapindaceae</v>
      </c>
      <c r="O2944" t="str" cm="1">
        <f t="array" ref="O2944">_xlfn.IFS(F2944="","",F2944&lt;=5,"0 to 5",F2944&lt;=10,"5.1 to 10",F2944&lt;=20,"10 to 20", F2944&lt;= 40, "20 to 40", F2944 &lt;= 50, "40 to 50", F2944 &gt; 50, "&gt;50" )</f>
        <v>0 to 5</v>
      </c>
    </row>
    <row r="2945" spans="1:15" ht="15" customHeight="1" x14ac:dyDescent="0.3">
      <c r="A2945" t="s">
        <v>593</v>
      </c>
      <c r="B2945" s="1">
        <v>46218</v>
      </c>
      <c r="C2945" t="s">
        <v>16</v>
      </c>
      <c r="D2945">
        <v>2746</v>
      </c>
      <c r="E2945">
        <v>1</v>
      </c>
      <c r="F2945">
        <v>5.5</v>
      </c>
      <c r="G2945" t="s">
        <v>47</v>
      </c>
      <c r="I2945" t="str">
        <f t="shared" si="50"/>
        <v>2746_1</v>
      </c>
      <c r="J2945" t="s">
        <v>533</v>
      </c>
      <c r="K2945" t="s">
        <v>115</v>
      </c>
      <c r="L2945" t="str">
        <f>_xlfn.XLOOKUP(C2945, Table2[Species],Table2[Genus], "Code Not Found")</f>
        <v>Acer</v>
      </c>
      <c r="M2945" t="str">
        <f>_xlfn.XLOOKUP(C2945, Table2[Species],Table2[Sp. Name], "Code Not Found")</f>
        <v>saccharum</v>
      </c>
      <c r="N2945" t="str">
        <f>_xlfn.XLOOKUP(C2945,Table2[Species],Table2[Family],"Code Not Found")</f>
        <v>Sapindaceae</v>
      </c>
      <c r="O2945" t="str" cm="1">
        <f t="array" ref="O2945">_xlfn.IFS(F2945="","",F2945&lt;=5,"0 to 5",F2945&lt;=10,"5.1 to 10",F2945&lt;=20,"10 to 20", F2945&lt;= 40, "20 to 40", F2945 &lt;= 50, "40 to 50", F2945 &gt; 50, "&gt;50" )</f>
        <v>5.1 to 10</v>
      </c>
    </row>
    <row r="2946" spans="1:15" ht="15" customHeight="1" x14ac:dyDescent="0.3">
      <c r="A2946" t="s">
        <v>593</v>
      </c>
      <c r="B2946" s="1">
        <v>46218</v>
      </c>
      <c r="C2946" t="s">
        <v>16</v>
      </c>
      <c r="D2946">
        <v>2747</v>
      </c>
      <c r="E2946">
        <v>1</v>
      </c>
      <c r="F2946">
        <v>1.8</v>
      </c>
      <c r="G2946" t="s">
        <v>17</v>
      </c>
      <c r="I2946" t="str">
        <f t="shared" si="50"/>
        <v>2747_1</v>
      </c>
      <c r="J2946" t="s">
        <v>533</v>
      </c>
      <c r="K2946" t="s">
        <v>115</v>
      </c>
      <c r="L2946" t="str">
        <f>_xlfn.XLOOKUP(C2946, Table2[Species],Table2[Genus], "Code Not Found")</f>
        <v>Acer</v>
      </c>
      <c r="M2946" t="str">
        <f>_xlfn.XLOOKUP(C2946, Table2[Species],Table2[Sp. Name], "Code Not Found")</f>
        <v>saccharum</v>
      </c>
      <c r="N2946" t="str">
        <f>_xlfn.XLOOKUP(C2946,Table2[Species],Table2[Family],"Code Not Found")</f>
        <v>Sapindaceae</v>
      </c>
      <c r="O2946" t="str" cm="1">
        <f t="array" ref="O2946">_xlfn.IFS(F2946="","",F2946&lt;=5,"0 to 5",F2946&lt;=10,"5.1 to 10",F2946&lt;=20,"10 to 20", F2946&lt;= 40, "20 to 40", F2946 &lt;= 50, "40 to 50", F2946 &gt; 50, "&gt;50" )</f>
        <v>0 to 5</v>
      </c>
    </row>
    <row r="2947" spans="1:15" ht="15" customHeight="1" x14ac:dyDescent="0.3">
      <c r="A2947" t="s">
        <v>593</v>
      </c>
      <c r="B2947" s="1">
        <v>46218</v>
      </c>
      <c r="C2947" t="s">
        <v>430</v>
      </c>
      <c r="D2947">
        <v>2748</v>
      </c>
      <c r="E2947">
        <v>1</v>
      </c>
      <c r="F2947">
        <v>34</v>
      </c>
      <c r="G2947" t="s">
        <v>57</v>
      </c>
      <c r="H2947" t="s">
        <v>500</v>
      </c>
      <c r="I2947" t="str">
        <f t="shared" si="50"/>
        <v>2748_1</v>
      </c>
      <c r="J2947" t="s">
        <v>533</v>
      </c>
      <c r="K2947" t="s">
        <v>115</v>
      </c>
      <c r="L2947" t="str">
        <f>_xlfn.XLOOKUP(C2947, Table2[Species],Table2[Genus], "Code Not Found")</f>
        <v>Tsuga</v>
      </c>
      <c r="M2947" t="str">
        <f>_xlfn.XLOOKUP(C2947, Table2[Species],Table2[Sp. Name], "Code Not Found")</f>
        <v>canadensis</v>
      </c>
      <c r="N2947" t="str">
        <f>_xlfn.XLOOKUP(C2947,Table2[Species],Table2[Family],"Code Not Found")</f>
        <v>Pinaceae</v>
      </c>
      <c r="O2947" t="str" cm="1">
        <f t="array" ref="O2947">_xlfn.IFS(F2947="","",F2947&lt;=5,"0 to 5",F2947&lt;=10,"5.1 to 10",F2947&lt;=20,"10 to 20", F2947&lt;= 40, "20 to 40", F2947 &lt;= 50, "40 to 50", F2947 &gt; 50, "&gt;50" )</f>
        <v>20 to 40</v>
      </c>
    </row>
    <row r="2948" spans="1:15" ht="15" customHeight="1" x14ac:dyDescent="0.3">
      <c r="A2948" t="s">
        <v>593</v>
      </c>
      <c r="B2948" s="1">
        <v>46218</v>
      </c>
      <c r="C2948" t="s">
        <v>16</v>
      </c>
      <c r="D2948">
        <v>2749</v>
      </c>
      <c r="E2948">
        <v>1</v>
      </c>
      <c r="F2948">
        <v>22.6</v>
      </c>
      <c r="G2948" t="s">
        <v>17</v>
      </c>
      <c r="I2948" t="str">
        <f t="shared" si="50"/>
        <v>2749_1</v>
      </c>
      <c r="J2948" t="s">
        <v>533</v>
      </c>
      <c r="K2948" t="s">
        <v>115</v>
      </c>
      <c r="L2948" t="str">
        <f>_xlfn.XLOOKUP(C2948, Table2[Species],Table2[Genus], "Code Not Found")</f>
        <v>Acer</v>
      </c>
      <c r="M2948" t="str">
        <f>_xlfn.XLOOKUP(C2948, Table2[Species],Table2[Sp. Name], "Code Not Found")</f>
        <v>saccharum</v>
      </c>
      <c r="N2948" t="str">
        <f>_xlfn.XLOOKUP(C2948,Table2[Species],Table2[Family],"Code Not Found")</f>
        <v>Sapindaceae</v>
      </c>
      <c r="O2948" t="str" cm="1">
        <f t="array" ref="O2948">_xlfn.IFS(F2948="","",F2948&lt;=5,"0 to 5",F2948&lt;=10,"5.1 to 10",F2948&lt;=20,"10 to 20", F2948&lt;= 40, "20 to 40", F2948 &lt;= 50, "40 to 50", F2948 &gt; 50, "&gt;50" )</f>
        <v>20 to 40</v>
      </c>
    </row>
    <row r="2949" spans="1:15" ht="15" customHeight="1" x14ac:dyDescent="0.3">
      <c r="A2949" t="s">
        <v>593</v>
      </c>
      <c r="B2949" s="1">
        <v>46218</v>
      </c>
      <c r="C2949" t="s">
        <v>16</v>
      </c>
      <c r="D2949">
        <v>2750</v>
      </c>
      <c r="E2949">
        <v>1</v>
      </c>
      <c r="F2949">
        <v>4.0999999999999996</v>
      </c>
      <c r="G2949" t="s">
        <v>21</v>
      </c>
      <c r="I2949" t="str">
        <f t="shared" si="50"/>
        <v>2750_1</v>
      </c>
      <c r="J2949" t="s">
        <v>533</v>
      </c>
      <c r="K2949" t="s">
        <v>115</v>
      </c>
      <c r="L2949" t="str">
        <f>_xlfn.XLOOKUP(C2949, Table2[Species],Table2[Genus], "Code Not Found")</f>
        <v>Acer</v>
      </c>
      <c r="M2949" t="str">
        <f>_xlfn.XLOOKUP(C2949, Table2[Species],Table2[Sp. Name], "Code Not Found")</f>
        <v>saccharum</v>
      </c>
      <c r="N2949" t="str">
        <f>_xlfn.XLOOKUP(C2949,Table2[Species],Table2[Family],"Code Not Found")</f>
        <v>Sapindaceae</v>
      </c>
      <c r="O2949" t="str" cm="1">
        <f t="array" ref="O2949">_xlfn.IFS(F2949="","",F2949&lt;=5,"0 to 5",F2949&lt;=10,"5.1 to 10",F2949&lt;=20,"10 to 20", F2949&lt;= 40, "20 to 40", F2949 &lt;= 50, "40 to 50", F2949 &gt; 50, "&gt;50" )</f>
        <v>0 to 5</v>
      </c>
    </row>
    <row r="2950" spans="1:15" ht="15" customHeight="1" x14ac:dyDescent="0.3">
      <c r="A2950" t="s">
        <v>593</v>
      </c>
      <c r="B2950" s="1">
        <v>46218</v>
      </c>
      <c r="C2950" t="s">
        <v>16</v>
      </c>
      <c r="D2950">
        <v>2751</v>
      </c>
      <c r="E2950">
        <v>1</v>
      </c>
      <c r="F2950">
        <v>4.9000000000000004</v>
      </c>
      <c r="G2950" t="s">
        <v>17</v>
      </c>
      <c r="I2950" t="str">
        <f t="shared" si="50"/>
        <v>2751_1</v>
      </c>
      <c r="J2950" t="s">
        <v>533</v>
      </c>
      <c r="K2950" t="s">
        <v>115</v>
      </c>
      <c r="L2950" t="str">
        <f>_xlfn.XLOOKUP(C2950, Table2[Species],Table2[Genus], "Code Not Found")</f>
        <v>Acer</v>
      </c>
      <c r="M2950" t="str">
        <f>_xlfn.XLOOKUP(C2950, Table2[Species],Table2[Sp. Name], "Code Not Found")</f>
        <v>saccharum</v>
      </c>
      <c r="N2950" t="str">
        <f>_xlfn.XLOOKUP(C2950,Table2[Species],Table2[Family],"Code Not Found")</f>
        <v>Sapindaceae</v>
      </c>
      <c r="O2950" t="str" cm="1">
        <f t="array" ref="O2950">_xlfn.IFS(F2950="","",F2950&lt;=5,"0 to 5",F2950&lt;=10,"5.1 to 10",F2950&lt;=20,"10 to 20", F2950&lt;= 40, "20 to 40", F2950 &lt;= 50, "40 to 50", F2950 &gt; 50, "&gt;50" )</f>
        <v>0 to 5</v>
      </c>
    </row>
    <row r="2951" spans="1:15" ht="15" customHeight="1" x14ac:dyDescent="0.3">
      <c r="A2951" t="s">
        <v>593</v>
      </c>
      <c r="B2951" s="1">
        <v>46218</v>
      </c>
      <c r="C2951" t="s">
        <v>16</v>
      </c>
      <c r="D2951">
        <v>2752</v>
      </c>
      <c r="E2951">
        <v>1</v>
      </c>
      <c r="F2951">
        <v>5.3</v>
      </c>
      <c r="G2951" t="s">
        <v>47</v>
      </c>
      <c r="I2951" t="str">
        <f t="shared" si="50"/>
        <v>2752_1</v>
      </c>
      <c r="J2951" t="s">
        <v>533</v>
      </c>
      <c r="K2951" t="s">
        <v>115</v>
      </c>
      <c r="L2951" t="str">
        <f>_xlfn.XLOOKUP(C2951, Table2[Species],Table2[Genus], "Code Not Found")</f>
        <v>Acer</v>
      </c>
      <c r="M2951" t="str">
        <f>_xlfn.XLOOKUP(C2951, Table2[Species],Table2[Sp. Name], "Code Not Found")</f>
        <v>saccharum</v>
      </c>
      <c r="N2951" t="str">
        <f>_xlfn.XLOOKUP(C2951,Table2[Species],Table2[Family],"Code Not Found")</f>
        <v>Sapindaceae</v>
      </c>
      <c r="O2951" t="str" cm="1">
        <f t="array" ref="O2951">_xlfn.IFS(F2951="","",F2951&lt;=5,"0 to 5",F2951&lt;=10,"5.1 to 10",F2951&lt;=20,"10 to 20", F2951&lt;= 40, "20 to 40", F2951 &lt;= 50, "40 to 50", F2951 &gt; 50, "&gt;50" )</f>
        <v>5.1 to 10</v>
      </c>
    </row>
    <row r="2952" spans="1:15" ht="15" customHeight="1" x14ac:dyDescent="0.3">
      <c r="A2952" t="s">
        <v>593</v>
      </c>
      <c r="B2952" s="1">
        <v>46218</v>
      </c>
      <c r="C2952" t="s">
        <v>16</v>
      </c>
      <c r="D2952">
        <v>2753</v>
      </c>
      <c r="E2952">
        <v>1</v>
      </c>
      <c r="F2952">
        <v>4.9000000000000004</v>
      </c>
      <c r="G2952" t="s">
        <v>17</v>
      </c>
      <c r="I2952" t="str">
        <f t="shared" si="50"/>
        <v>2753_1</v>
      </c>
      <c r="J2952" t="s">
        <v>533</v>
      </c>
      <c r="K2952" t="s">
        <v>115</v>
      </c>
      <c r="L2952" t="str">
        <f>_xlfn.XLOOKUP(C2952, Table2[Species],Table2[Genus], "Code Not Found")</f>
        <v>Acer</v>
      </c>
      <c r="M2952" t="str">
        <f>_xlfn.XLOOKUP(C2952, Table2[Species],Table2[Sp. Name], "Code Not Found")</f>
        <v>saccharum</v>
      </c>
      <c r="N2952" t="str">
        <f>_xlfn.XLOOKUP(C2952,Table2[Species],Table2[Family],"Code Not Found")</f>
        <v>Sapindaceae</v>
      </c>
      <c r="O2952" t="str" cm="1">
        <f t="array" ref="O2952">_xlfn.IFS(F2952="","",F2952&lt;=5,"0 to 5",F2952&lt;=10,"5.1 to 10",F2952&lt;=20,"10 to 20", F2952&lt;= 40, "20 to 40", F2952 &lt;= 50, "40 to 50", F2952 &gt; 50, "&gt;50" )</f>
        <v>0 to 5</v>
      </c>
    </row>
    <row r="2953" spans="1:15" ht="15" customHeight="1" x14ac:dyDescent="0.3">
      <c r="A2953" t="s">
        <v>593</v>
      </c>
      <c r="B2953" s="1">
        <v>46218</v>
      </c>
      <c r="C2953" t="s">
        <v>16</v>
      </c>
      <c r="D2953">
        <v>2754</v>
      </c>
      <c r="E2953">
        <v>1</v>
      </c>
      <c r="F2953">
        <v>14.4</v>
      </c>
      <c r="G2953" t="s">
        <v>21</v>
      </c>
      <c r="I2953" t="str">
        <f t="shared" si="50"/>
        <v>2754_1</v>
      </c>
      <c r="J2953" t="s">
        <v>533</v>
      </c>
      <c r="K2953" t="s">
        <v>115</v>
      </c>
      <c r="L2953" t="str">
        <f>_xlfn.XLOOKUP(C2953, Table2[Species],Table2[Genus], "Code Not Found")</f>
        <v>Acer</v>
      </c>
      <c r="M2953" t="str">
        <f>_xlfn.XLOOKUP(C2953, Table2[Species],Table2[Sp. Name], "Code Not Found")</f>
        <v>saccharum</v>
      </c>
      <c r="N2953" t="str">
        <f>_xlfn.XLOOKUP(C2953,Table2[Species],Table2[Family],"Code Not Found")</f>
        <v>Sapindaceae</v>
      </c>
      <c r="O2953" t="str" cm="1">
        <f t="array" ref="O2953">_xlfn.IFS(F2953="","",F2953&lt;=5,"0 to 5",F2953&lt;=10,"5.1 to 10",F2953&lt;=20,"10 to 20", F2953&lt;= 40, "20 to 40", F2953 &lt;= 50, "40 to 50", F2953 &gt; 50, "&gt;50" )</f>
        <v>10 to 20</v>
      </c>
    </row>
    <row r="2954" spans="1:15" ht="15" customHeight="1" x14ac:dyDescent="0.3">
      <c r="A2954" t="s">
        <v>593</v>
      </c>
      <c r="B2954" s="1">
        <v>46218</v>
      </c>
      <c r="C2954" t="s">
        <v>16</v>
      </c>
      <c r="D2954">
        <v>2755</v>
      </c>
      <c r="E2954">
        <v>1</v>
      </c>
      <c r="F2954">
        <v>2.8</v>
      </c>
      <c r="G2954" t="s">
        <v>47</v>
      </c>
      <c r="H2954" t="s">
        <v>43</v>
      </c>
      <c r="I2954" t="str">
        <f t="shared" si="50"/>
        <v>2755_1</v>
      </c>
      <c r="J2954" t="s">
        <v>533</v>
      </c>
      <c r="K2954" t="s">
        <v>115</v>
      </c>
      <c r="L2954" t="str">
        <f>_xlfn.XLOOKUP(C2954, Table2[Species],Table2[Genus], "Code Not Found")</f>
        <v>Acer</v>
      </c>
      <c r="M2954" t="str">
        <f>_xlfn.XLOOKUP(C2954, Table2[Species],Table2[Sp. Name], "Code Not Found")</f>
        <v>saccharum</v>
      </c>
      <c r="N2954" t="str">
        <f>_xlfn.XLOOKUP(C2954,Table2[Species],Table2[Family],"Code Not Found")</f>
        <v>Sapindaceae</v>
      </c>
      <c r="O2954" t="str" cm="1">
        <f t="array" ref="O2954">_xlfn.IFS(F2954="","",F2954&lt;=5,"0 to 5",F2954&lt;=10,"5.1 to 10",F2954&lt;=20,"10 to 20", F2954&lt;= 40, "20 to 40", F2954 &lt;= 50, "40 to 50", F2954 &gt; 50, "&gt;50" )</f>
        <v>0 to 5</v>
      </c>
    </row>
    <row r="2955" spans="1:15" ht="15" customHeight="1" x14ac:dyDescent="0.3">
      <c r="A2955" t="s">
        <v>593</v>
      </c>
      <c r="B2955" s="1">
        <v>46218</v>
      </c>
      <c r="C2955" t="s">
        <v>16</v>
      </c>
      <c r="D2955">
        <v>2756</v>
      </c>
      <c r="E2955">
        <v>1</v>
      </c>
      <c r="F2955">
        <v>42.7</v>
      </c>
      <c r="G2955" t="s">
        <v>21</v>
      </c>
      <c r="I2955" t="str">
        <f t="shared" si="50"/>
        <v>2756_1</v>
      </c>
      <c r="J2955" t="s">
        <v>533</v>
      </c>
      <c r="K2955" t="s">
        <v>115</v>
      </c>
      <c r="L2955" t="str">
        <f>_xlfn.XLOOKUP(C2955, Table2[Species],Table2[Genus], "Code Not Found")</f>
        <v>Acer</v>
      </c>
      <c r="M2955" t="str">
        <f>_xlfn.XLOOKUP(C2955, Table2[Species],Table2[Sp. Name], "Code Not Found")</f>
        <v>saccharum</v>
      </c>
      <c r="N2955" t="str">
        <f>_xlfn.XLOOKUP(C2955,Table2[Species],Table2[Family],"Code Not Found")</f>
        <v>Sapindaceae</v>
      </c>
      <c r="O2955" t="str" cm="1">
        <f t="array" ref="O2955">_xlfn.IFS(F2955="","",F2955&lt;=5,"0 to 5",F2955&lt;=10,"5.1 to 10",F2955&lt;=20,"10 to 20", F2955&lt;= 40, "20 to 40", F2955 &lt;= 50, "40 to 50", F2955 &gt; 50, "&gt;50" )</f>
        <v>40 to 50</v>
      </c>
    </row>
    <row r="2956" spans="1:15" ht="15" customHeight="1" x14ac:dyDescent="0.3">
      <c r="A2956" t="s">
        <v>593</v>
      </c>
      <c r="B2956" s="1">
        <v>46218</v>
      </c>
      <c r="C2956" t="s">
        <v>16</v>
      </c>
      <c r="D2956">
        <v>2757</v>
      </c>
      <c r="E2956">
        <v>1</v>
      </c>
      <c r="F2956">
        <v>2.2000000000000002</v>
      </c>
      <c r="G2956" t="s">
        <v>17</v>
      </c>
      <c r="I2956" t="str">
        <f t="shared" si="50"/>
        <v>2757_1</v>
      </c>
      <c r="J2956" t="s">
        <v>533</v>
      </c>
      <c r="K2956" t="s">
        <v>115</v>
      </c>
      <c r="L2956" t="str">
        <f>_xlfn.XLOOKUP(C2956, Table2[Species],Table2[Genus], "Code Not Found")</f>
        <v>Acer</v>
      </c>
      <c r="M2956" t="str">
        <f>_xlfn.XLOOKUP(C2956, Table2[Species],Table2[Sp. Name], "Code Not Found")</f>
        <v>saccharum</v>
      </c>
      <c r="N2956" t="str">
        <f>_xlfn.XLOOKUP(C2956,Table2[Species],Table2[Family],"Code Not Found")</f>
        <v>Sapindaceae</v>
      </c>
      <c r="O2956" t="str" cm="1">
        <f t="array" ref="O2956">_xlfn.IFS(F2956="","",F2956&lt;=5,"0 to 5",F2956&lt;=10,"5.1 to 10",F2956&lt;=20,"10 to 20", F2956&lt;= 40, "20 to 40", F2956 &lt;= 50, "40 to 50", F2956 &gt; 50, "&gt;50" )</f>
        <v>0 to 5</v>
      </c>
    </row>
    <row r="2957" spans="1:15" ht="15" customHeight="1" x14ac:dyDescent="0.3">
      <c r="A2957" t="s">
        <v>593</v>
      </c>
      <c r="B2957" s="1">
        <v>46218</v>
      </c>
      <c r="C2957" t="s">
        <v>16</v>
      </c>
      <c r="D2957">
        <v>2758</v>
      </c>
      <c r="E2957">
        <v>1</v>
      </c>
      <c r="F2957">
        <v>2.7</v>
      </c>
      <c r="G2957" t="s">
        <v>57</v>
      </c>
      <c r="H2957" t="s">
        <v>296</v>
      </c>
      <c r="I2957" t="str">
        <f t="shared" si="50"/>
        <v>2758_1</v>
      </c>
      <c r="J2957" t="s">
        <v>533</v>
      </c>
      <c r="K2957" t="s">
        <v>115</v>
      </c>
      <c r="L2957" t="str">
        <f>_xlfn.XLOOKUP(C2957, Table2[Species],Table2[Genus], "Code Not Found")</f>
        <v>Acer</v>
      </c>
      <c r="M2957" t="str">
        <f>_xlfn.XLOOKUP(C2957, Table2[Species],Table2[Sp. Name], "Code Not Found")</f>
        <v>saccharum</v>
      </c>
      <c r="N2957" t="str">
        <f>_xlfn.XLOOKUP(C2957,Table2[Species],Table2[Family],"Code Not Found")</f>
        <v>Sapindaceae</v>
      </c>
      <c r="O2957" t="str" cm="1">
        <f t="array" ref="O2957">_xlfn.IFS(F2957="","",F2957&lt;=5,"0 to 5",F2957&lt;=10,"5.1 to 10",F2957&lt;=20,"10 to 20", F2957&lt;= 40, "20 to 40", F2957 &lt;= 50, "40 to 50", F2957 &gt; 50, "&gt;50" )</f>
        <v>0 to 5</v>
      </c>
    </row>
    <row r="2958" spans="1:15" ht="15" customHeight="1" x14ac:dyDescent="0.3">
      <c r="A2958" t="s">
        <v>593</v>
      </c>
      <c r="B2958" s="1">
        <v>46218</v>
      </c>
      <c r="C2958" t="s">
        <v>16</v>
      </c>
      <c r="D2958">
        <v>2759</v>
      </c>
      <c r="E2958">
        <v>1</v>
      </c>
      <c r="F2958">
        <v>3.5</v>
      </c>
      <c r="G2958" t="s">
        <v>139</v>
      </c>
      <c r="H2958" t="s">
        <v>596</v>
      </c>
      <c r="I2958" t="str">
        <f t="shared" si="50"/>
        <v>2759_1</v>
      </c>
      <c r="J2958" t="s">
        <v>533</v>
      </c>
      <c r="K2958" t="s">
        <v>115</v>
      </c>
      <c r="L2958" t="str">
        <f>_xlfn.XLOOKUP(C2958, Table2[Species],Table2[Genus], "Code Not Found")</f>
        <v>Acer</v>
      </c>
      <c r="M2958" t="str">
        <f>_xlfn.XLOOKUP(C2958, Table2[Species],Table2[Sp. Name], "Code Not Found")</f>
        <v>saccharum</v>
      </c>
      <c r="N2958" t="str">
        <f>_xlfn.XLOOKUP(C2958,Table2[Species],Table2[Family],"Code Not Found")</f>
        <v>Sapindaceae</v>
      </c>
      <c r="O2958" t="str" cm="1">
        <f t="array" ref="O2958">_xlfn.IFS(F2958="","",F2958&lt;=5,"0 to 5",F2958&lt;=10,"5.1 to 10",F2958&lt;=20,"10 to 20", F2958&lt;= 40, "20 to 40", F2958 &lt;= 50, "40 to 50", F2958 &gt; 50, "&gt;50" )</f>
        <v>0 to 5</v>
      </c>
    </row>
    <row r="2959" spans="1:15" ht="15" customHeight="1" x14ac:dyDescent="0.3">
      <c r="A2959" t="s">
        <v>593</v>
      </c>
      <c r="B2959" s="1">
        <v>46218</v>
      </c>
      <c r="C2959" t="s">
        <v>16</v>
      </c>
      <c r="D2959">
        <v>2760</v>
      </c>
      <c r="E2959">
        <v>1</v>
      </c>
      <c r="F2959">
        <v>5.5</v>
      </c>
      <c r="G2959" t="s">
        <v>30</v>
      </c>
      <c r="H2959" t="s">
        <v>99</v>
      </c>
      <c r="I2959" t="str">
        <f t="shared" si="50"/>
        <v>2760_1</v>
      </c>
      <c r="J2959" t="s">
        <v>533</v>
      </c>
      <c r="K2959" t="s">
        <v>115</v>
      </c>
      <c r="L2959" t="str">
        <f>_xlfn.XLOOKUP(C2959, Table2[Species],Table2[Genus], "Code Not Found")</f>
        <v>Acer</v>
      </c>
      <c r="M2959" t="str">
        <f>_xlfn.XLOOKUP(C2959, Table2[Species],Table2[Sp. Name], "Code Not Found")</f>
        <v>saccharum</v>
      </c>
      <c r="N2959" t="str">
        <f>_xlfn.XLOOKUP(C2959,Table2[Species],Table2[Family],"Code Not Found")</f>
        <v>Sapindaceae</v>
      </c>
      <c r="O2959" t="str" cm="1">
        <f t="array" ref="O2959">_xlfn.IFS(F2959="","",F2959&lt;=5,"0 to 5",F2959&lt;=10,"5.1 to 10",F2959&lt;=20,"10 to 20", F2959&lt;= 40, "20 to 40", F2959 &lt;= 50, "40 to 50", F2959 &gt; 50, "&gt;50" )</f>
        <v>5.1 to 10</v>
      </c>
    </row>
    <row r="2960" spans="1:15" ht="15" customHeight="1" x14ac:dyDescent="0.3">
      <c r="A2960" t="s">
        <v>593</v>
      </c>
      <c r="B2960" s="1">
        <v>46218</v>
      </c>
      <c r="C2960" t="s">
        <v>16</v>
      </c>
      <c r="D2960">
        <v>2761</v>
      </c>
      <c r="E2960">
        <v>1</v>
      </c>
      <c r="F2960">
        <v>3.7</v>
      </c>
      <c r="G2960" t="s">
        <v>139</v>
      </c>
      <c r="H2960" t="s">
        <v>597</v>
      </c>
      <c r="I2960" t="str">
        <f t="shared" si="50"/>
        <v>2761_1</v>
      </c>
      <c r="J2960" t="s">
        <v>533</v>
      </c>
      <c r="K2960" t="s">
        <v>115</v>
      </c>
      <c r="L2960" t="str">
        <f>_xlfn.XLOOKUP(C2960, Table2[Species],Table2[Genus], "Code Not Found")</f>
        <v>Acer</v>
      </c>
      <c r="M2960" t="str">
        <f>_xlfn.XLOOKUP(C2960, Table2[Species],Table2[Sp. Name], "Code Not Found")</f>
        <v>saccharum</v>
      </c>
      <c r="N2960" t="str">
        <f>_xlfn.XLOOKUP(C2960,Table2[Species],Table2[Family],"Code Not Found")</f>
        <v>Sapindaceae</v>
      </c>
      <c r="O2960" t="str" cm="1">
        <f t="array" ref="O2960">_xlfn.IFS(F2960="","",F2960&lt;=5,"0 to 5",F2960&lt;=10,"5.1 to 10",F2960&lt;=20,"10 to 20", F2960&lt;= 40, "20 to 40", F2960 &lt;= 50, "40 to 50", F2960 &gt; 50, "&gt;50" )</f>
        <v>0 to 5</v>
      </c>
    </row>
    <row r="2961" spans="1:15" ht="15" customHeight="1" x14ac:dyDescent="0.3">
      <c r="A2961" t="s">
        <v>593</v>
      </c>
      <c r="B2961" s="1">
        <v>46218</v>
      </c>
      <c r="C2961" t="s">
        <v>123</v>
      </c>
      <c r="D2961">
        <v>2762</v>
      </c>
      <c r="E2961">
        <v>1</v>
      </c>
      <c r="F2961">
        <v>73.400000000000006</v>
      </c>
      <c r="G2961" t="s">
        <v>56</v>
      </c>
      <c r="I2961" t="str">
        <f t="shared" si="50"/>
        <v>2762_1</v>
      </c>
      <c r="J2961" t="s">
        <v>533</v>
      </c>
      <c r="K2961" t="s">
        <v>115</v>
      </c>
      <c r="L2961" t="str">
        <f>_xlfn.XLOOKUP(C2961, Table2[Species],Table2[Genus], "Code Not Found")</f>
        <v>Quercus</v>
      </c>
      <c r="M2961" t="str">
        <f>_xlfn.XLOOKUP(C2961, Table2[Species],Table2[Sp. Name], "Code Not Found")</f>
        <v>rubra</v>
      </c>
      <c r="N2961" t="str">
        <f>_xlfn.XLOOKUP(C2961,Table2[Species],Table2[Family],"Code Not Found")</f>
        <v>Fagaceae</v>
      </c>
      <c r="O2961" t="str" cm="1">
        <f t="array" ref="O2961">_xlfn.IFS(F2961="","",F2961&lt;=5,"0 to 5",F2961&lt;=10,"5.1 to 10",F2961&lt;=20,"10 to 20", F2961&lt;= 40, "20 to 40", F2961 &lt;= 50, "40 to 50", F2961 &gt; 50, "&gt;50" )</f>
        <v>&gt;50</v>
      </c>
    </row>
    <row r="2962" spans="1:15" ht="15" customHeight="1" x14ac:dyDescent="0.3">
      <c r="A2962" t="s">
        <v>593</v>
      </c>
      <c r="B2962" s="1">
        <v>46218</v>
      </c>
      <c r="C2962" t="s">
        <v>16</v>
      </c>
      <c r="D2962">
        <v>2763</v>
      </c>
      <c r="E2962">
        <v>1</v>
      </c>
      <c r="F2962">
        <v>17.2</v>
      </c>
      <c r="G2962" t="s">
        <v>21</v>
      </c>
      <c r="I2962" t="str">
        <f t="shared" si="50"/>
        <v>2763_1</v>
      </c>
      <c r="J2962" t="s">
        <v>533</v>
      </c>
      <c r="K2962" t="s">
        <v>115</v>
      </c>
      <c r="L2962" t="str">
        <f>_xlfn.XLOOKUP(C2962, Table2[Species],Table2[Genus], "Code Not Found")</f>
        <v>Acer</v>
      </c>
      <c r="M2962" t="str">
        <f>_xlfn.XLOOKUP(C2962, Table2[Species],Table2[Sp. Name], "Code Not Found")</f>
        <v>saccharum</v>
      </c>
      <c r="N2962" t="str">
        <f>_xlfn.XLOOKUP(C2962,Table2[Species],Table2[Family],"Code Not Found")</f>
        <v>Sapindaceae</v>
      </c>
      <c r="O2962" t="str" cm="1">
        <f t="array" ref="O2962">_xlfn.IFS(F2962="","",F2962&lt;=5,"0 to 5",F2962&lt;=10,"5.1 to 10",F2962&lt;=20,"10 to 20", F2962&lt;= 40, "20 to 40", F2962 &lt;= 50, "40 to 50", F2962 &gt; 50, "&gt;50" )</f>
        <v>10 to 20</v>
      </c>
    </row>
    <row r="2963" spans="1:15" ht="15" customHeight="1" x14ac:dyDescent="0.3">
      <c r="A2963" t="s">
        <v>593</v>
      </c>
      <c r="B2963" s="1">
        <v>46218</v>
      </c>
      <c r="C2963" t="s">
        <v>16</v>
      </c>
      <c r="D2963">
        <v>2764</v>
      </c>
      <c r="E2963">
        <v>1</v>
      </c>
      <c r="F2963">
        <v>1.6</v>
      </c>
      <c r="G2963" t="s">
        <v>17</v>
      </c>
      <c r="H2963" t="s">
        <v>296</v>
      </c>
      <c r="I2963" t="str">
        <f t="shared" si="50"/>
        <v>2764_1</v>
      </c>
      <c r="J2963" t="s">
        <v>533</v>
      </c>
      <c r="K2963" t="s">
        <v>115</v>
      </c>
      <c r="L2963" t="str">
        <f>_xlfn.XLOOKUP(C2963, Table2[Species],Table2[Genus], "Code Not Found")</f>
        <v>Acer</v>
      </c>
      <c r="M2963" t="str">
        <f>_xlfn.XLOOKUP(C2963, Table2[Species],Table2[Sp. Name], "Code Not Found")</f>
        <v>saccharum</v>
      </c>
      <c r="N2963" t="str">
        <f>_xlfn.XLOOKUP(C2963,Table2[Species],Table2[Family],"Code Not Found")</f>
        <v>Sapindaceae</v>
      </c>
      <c r="O2963" t="str" cm="1">
        <f t="array" ref="O2963">_xlfn.IFS(F2963="","",F2963&lt;=5,"0 to 5",F2963&lt;=10,"5.1 to 10",F2963&lt;=20,"10 to 20", F2963&lt;= 40, "20 to 40", F2963 &lt;= 50, "40 to 50", F2963 &gt; 50, "&gt;50" )</f>
        <v>0 to 5</v>
      </c>
    </row>
    <row r="2964" spans="1:15" ht="15" customHeight="1" x14ac:dyDescent="0.3">
      <c r="A2964" t="s">
        <v>593</v>
      </c>
      <c r="B2964" s="1">
        <v>46218</v>
      </c>
      <c r="C2964" t="s">
        <v>16</v>
      </c>
      <c r="D2964">
        <v>2765</v>
      </c>
      <c r="E2964">
        <v>1</v>
      </c>
      <c r="F2964">
        <v>28.1</v>
      </c>
      <c r="G2964" t="s">
        <v>17</v>
      </c>
      <c r="I2964" t="str">
        <f t="shared" si="50"/>
        <v>2765_1</v>
      </c>
      <c r="J2964" t="s">
        <v>533</v>
      </c>
      <c r="K2964" t="s">
        <v>115</v>
      </c>
      <c r="L2964" t="str">
        <f>_xlfn.XLOOKUP(C2964, Table2[Species],Table2[Genus], "Code Not Found")</f>
        <v>Acer</v>
      </c>
      <c r="M2964" t="str">
        <f>_xlfn.XLOOKUP(C2964, Table2[Species],Table2[Sp. Name], "Code Not Found")</f>
        <v>saccharum</v>
      </c>
      <c r="N2964" t="str">
        <f>_xlfn.XLOOKUP(C2964,Table2[Species],Table2[Family],"Code Not Found")</f>
        <v>Sapindaceae</v>
      </c>
      <c r="O2964" t="str" cm="1">
        <f t="array" ref="O2964">_xlfn.IFS(F2964="","",F2964&lt;=5,"0 to 5",F2964&lt;=10,"5.1 to 10",F2964&lt;=20,"10 to 20", F2964&lt;= 40, "20 to 40", F2964 &lt;= 50, "40 to 50", F2964 &gt; 50, "&gt;50" )</f>
        <v>20 to 40</v>
      </c>
    </row>
    <row r="2965" spans="1:15" ht="15" customHeight="1" x14ac:dyDescent="0.3">
      <c r="A2965" t="s">
        <v>593</v>
      </c>
      <c r="B2965" s="1">
        <v>46218</v>
      </c>
      <c r="C2965" t="s">
        <v>16</v>
      </c>
      <c r="D2965">
        <v>2766</v>
      </c>
      <c r="E2965">
        <v>1</v>
      </c>
      <c r="F2965">
        <v>13</v>
      </c>
      <c r="G2965" t="s">
        <v>51</v>
      </c>
      <c r="I2965" t="str">
        <f t="shared" si="50"/>
        <v>2766_1</v>
      </c>
      <c r="J2965" t="s">
        <v>533</v>
      </c>
      <c r="K2965" t="s">
        <v>115</v>
      </c>
      <c r="L2965" t="str">
        <f>_xlfn.XLOOKUP(C2965, Table2[Species],Table2[Genus], "Code Not Found")</f>
        <v>Acer</v>
      </c>
      <c r="M2965" t="str">
        <f>_xlfn.XLOOKUP(C2965, Table2[Species],Table2[Sp. Name], "Code Not Found")</f>
        <v>saccharum</v>
      </c>
      <c r="N2965" t="str">
        <f>_xlfn.XLOOKUP(C2965,Table2[Species],Table2[Family],"Code Not Found")</f>
        <v>Sapindaceae</v>
      </c>
      <c r="O2965" t="str" cm="1">
        <f t="array" ref="O2965">_xlfn.IFS(F2965="","",F2965&lt;=5,"0 to 5",F2965&lt;=10,"5.1 to 10",F2965&lt;=20,"10 to 20", F2965&lt;= 40, "20 to 40", F2965 &lt;= 50, "40 to 50", F2965 &gt; 50, "&gt;50" )</f>
        <v>10 to 20</v>
      </c>
    </row>
    <row r="2966" spans="1:15" ht="15" customHeight="1" x14ac:dyDescent="0.3">
      <c r="A2966" t="s">
        <v>593</v>
      </c>
      <c r="B2966" s="1">
        <v>46218</v>
      </c>
      <c r="C2966" t="s">
        <v>16</v>
      </c>
      <c r="D2966">
        <v>2767</v>
      </c>
      <c r="E2966">
        <v>1</v>
      </c>
      <c r="F2966">
        <v>36.299999999999997</v>
      </c>
      <c r="G2966" t="s">
        <v>51</v>
      </c>
      <c r="I2966" t="str">
        <f t="shared" si="50"/>
        <v>2767_1</v>
      </c>
      <c r="J2966" t="s">
        <v>533</v>
      </c>
      <c r="K2966" t="s">
        <v>115</v>
      </c>
      <c r="L2966" t="str">
        <f>_xlfn.XLOOKUP(C2966, Table2[Species],Table2[Genus], "Code Not Found")</f>
        <v>Acer</v>
      </c>
      <c r="M2966" t="str">
        <f>_xlfn.XLOOKUP(C2966, Table2[Species],Table2[Sp. Name], "Code Not Found")</f>
        <v>saccharum</v>
      </c>
      <c r="N2966" t="str">
        <f>_xlfn.XLOOKUP(C2966,Table2[Species],Table2[Family],"Code Not Found")</f>
        <v>Sapindaceae</v>
      </c>
      <c r="O2966" t="str" cm="1">
        <f t="array" ref="O2966">_xlfn.IFS(F2966="","",F2966&lt;=5,"0 to 5",F2966&lt;=10,"5.1 to 10",F2966&lt;=20,"10 to 20", F2966&lt;= 40, "20 to 40", F2966 &lt;= 50, "40 to 50", F2966 &gt; 50, "&gt;50" )</f>
        <v>20 to 40</v>
      </c>
    </row>
    <row r="2967" spans="1:15" ht="15" customHeight="1" x14ac:dyDescent="0.3">
      <c r="A2967" t="s">
        <v>593</v>
      </c>
      <c r="B2967" s="1">
        <v>46218</v>
      </c>
      <c r="C2967" t="s">
        <v>16</v>
      </c>
      <c r="D2967">
        <v>2768</v>
      </c>
      <c r="E2967">
        <v>1</v>
      </c>
      <c r="F2967">
        <v>37.1</v>
      </c>
      <c r="G2967" t="s">
        <v>17</v>
      </c>
      <c r="I2967" t="str">
        <f t="shared" si="50"/>
        <v>2768_1</v>
      </c>
      <c r="J2967" t="s">
        <v>533</v>
      </c>
      <c r="K2967" t="s">
        <v>115</v>
      </c>
      <c r="L2967" t="str">
        <f>_xlfn.XLOOKUP(C2967, Table2[Species],Table2[Genus], "Code Not Found")</f>
        <v>Acer</v>
      </c>
      <c r="M2967" t="str">
        <f>_xlfn.XLOOKUP(C2967, Table2[Species],Table2[Sp. Name], "Code Not Found")</f>
        <v>saccharum</v>
      </c>
      <c r="N2967" t="str">
        <f>_xlfn.XLOOKUP(C2967,Table2[Species],Table2[Family],"Code Not Found")</f>
        <v>Sapindaceae</v>
      </c>
      <c r="O2967" t="str" cm="1">
        <f t="array" ref="O2967">_xlfn.IFS(F2967="","",F2967&lt;=5,"0 to 5",F2967&lt;=10,"5.1 to 10",F2967&lt;=20,"10 to 20", F2967&lt;= 40, "20 to 40", F2967 &lt;= 50, "40 to 50", F2967 &gt; 50, "&gt;50" )</f>
        <v>20 to 40</v>
      </c>
    </row>
    <row r="2968" spans="1:15" ht="15" customHeight="1" x14ac:dyDescent="0.3">
      <c r="A2968" t="s">
        <v>593</v>
      </c>
      <c r="B2968" s="1">
        <v>46218</v>
      </c>
      <c r="C2968" t="s">
        <v>16</v>
      </c>
      <c r="D2968">
        <v>2769</v>
      </c>
      <c r="E2968">
        <v>1</v>
      </c>
      <c r="F2968">
        <v>12.5</v>
      </c>
      <c r="G2968" t="s">
        <v>17</v>
      </c>
      <c r="I2968" t="str">
        <f t="shared" ref="I2968:I2994" si="51">D2968&amp;"_"&amp;E2968</f>
        <v>2769_1</v>
      </c>
      <c r="J2968" t="s">
        <v>533</v>
      </c>
      <c r="K2968" t="s">
        <v>115</v>
      </c>
      <c r="L2968" t="str">
        <f>_xlfn.XLOOKUP(C2968, Table2[Species],Table2[Genus], "Code Not Found")</f>
        <v>Acer</v>
      </c>
      <c r="M2968" t="str">
        <f>_xlfn.XLOOKUP(C2968, Table2[Species],Table2[Sp. Name], "Code Not Found")</f>
        <v>saccharum</v>
      </c>
      <c r="N2968" t="str">
        <f>_xlfn.XLOOKUP(C2968,Table2[Species],Table2[Family],"Code Not Found")</f>
        <v>Sapindaceae</v>
      </c>
      <c r="O2968" t="str" cm="1">
        <f t="array" ref="O2968">_xlfn.IFS(F2968="","",F2968&lt;=5,"0 to 5",F2968&lt;=10,"5.1 to 10",F2968&lt;=20,"10 to 20", F2968&lt;= 40, "20 to 40", F2968 &lt;= 50, "40 to 50", F2968 &gt; 50, "&gt;50" )</f>
        <v>10 to 20</v>
      </c>
    </row>
    <row r="2969" spans="1:15" ht="15" customHeight="1" x14ac:dyDescent="0.3">
      <c r="A2969" t="s">
        <v>593</v>
      </c>
      <c r="B2969" s="1">
        <v>46218</v>
      </c>
      <c r="C2969" t="s">
        <v>16</v>
      </c>
      <c r="D2969">
        <v>2770</v>
      </c>
      <c r="E2969">
        <v>1</v>
      </c>
      <c r="F2969">
        <v>11.3</v>
      </c>
      <c r="G2969" t="s">
        <v>21</v>
      </c>
      <c r="I2969" t="str">
        <f t="shared" si="51"/>
        <v>2770_1</v>
      </c>
      <c r="J2969" t="s">
        <v>533</v>
      </c>
      <c r="K2969" t="s">
        <v>115</v>
      </c>
      <c r="L2969" t="str">
        <f>_xlfn.XLOOKUP(C2969, Table2[Species],Table2[Genus], "Code Not Found")</f>
        <v>Acer</v>
      </c>
      <c r="M2969" t="str">
        <f>_xlfn.XLOOKUP(C2969, Table2[Species],Table2[Sp. Name], "Code Not Found")</f>
        <v>saccharum</v>
      </c>
      <c r="N2969" t="str">
        <f>_xlfn.XLOOKUP(C2969,Table2[Species],Table2[Family],"Code Not Found")</f>
        <v>Sapindaceae</v>
      </c>
      <c r="O2969" t="str" cm="1">
        <f t="array" ref="O2969">_xlfn.IFS(F2969="","",F2969&lt;=5,"0 to 5",F2969&lt;=10,"5.1 to 10",F2969&lt;=20,"10 to 20", F2969&lt;= 40, "20 to 40", F2969 &lt;= 50, "40 to 50", F2969 &gt; 50, "&gt;50" )</f>
        <v>10 to 20</v>
      </c>
    </row>
    <row r="2970" spans="1:15" ht="15" customHeight="1" x14ac:dyDescent="0.3">
      <c r="A2970" t="s">
        <v>593</v>
      </c>
      <c r="B2970" s="1">
        <v>46218</v>
      </c>
      <c r="C2970" t="s">
        <v>16</v>
      </c>
      <c r="D2970">
        <v>2771</v>
      </c>
      <c r="E2970">
        <v>1</v>
      </c>
      <c r="F2970">
        <v>47</v>
      </c>
      <c r="G2970" t="s">
        <v>17</v>
      </c>
      <c r="I2970" t="str">
        <f t="shared" si="51"/>
        <v>2771_1</v>
      </c>
      <c r="J2970" t="s">
        <v>533</v>
      </c>
      <c r="K2970" t="s">
        <v>115</v>
      </c>
      <c r="L2970" t="str">
        <f>_xlfn.XLOOKUP(C2970, Table2[Species],Table2[Genus], "Code Not Found")</f>
        <v>Acer</v>
      </c>
      <c r="M2970" t="str">
        <f>_xlfn.XLOOKUP(C2970, Table2[Species],Table2[Sp. Name], "Code Not Found")</f>
        <v>saccharum</v>
      </c>
      <c r="N2970" t="str">
        <f>_xlfn.XLOOKUP(C2970,Table2[Species],Table2[Family],"Code Not Found")</f>
        <v>Sapindaceae</v>
      </c>
      <c r="O2970" t="str" cm="1">
        <f t="array" ref="O2970">_xlfn.IFS(F2970="","",F2970&lt;=5,"0 to 5",F2970&lt;=10,"5.1 to 10",F2970&lt;=20,"10 to 20", F2970&lt;= 40, "20 to 40", F2970 &lt;= 50, "40 to 50", F2970 &gt; 50, "&gt;50" )</f>
        <v>40 to 50</v>
      </c>
    </row>
    <row r="2971" spans="1:15" ht="15" customHeight="1" x14ac:dyDescent="0.3">
      <c r="A2971" t="s">
        <v>593</v>
      </c>
      <c r="B2971" s="1">
        <v>46218</v>
      </c>
      <c r="C2971" t="s">
        <v>16</v>
      </c>
      <c r="D2971">
        <v>2772</v>
      </c>
      <c r="E2971">
        <v>1</v>
      </c>
      <c r="F2971">
        <v>2.6</v>
      </c>
      <c r="G2971" t="s">
        <v>21</v>
      </c>
      <c r="I2971" t="str">
        <f t="shared" si="51"/>
        <v>2772_1</v>
      </c>
      <c r="J2971" t="s">
        <v>533</v>
      </c>
      <c r="K2971" t="s">
        <v>115</v>
      </c>
      <c r="L2971" t="str">
        <f>_xlfn.XLOOKUP(C2971, Table2[Species],Table2[Genus], "Code Not Found")</f>
        <v>Acer</v>
      </c>
      <c r="M2971" t="str">
        <f>_xlfn.XLOOKUP(C2971, Table2[Species],Table2[Sp. Name], "Code Not Found")</f>
        <v>saccharum</v>
      </c>
      <c r="N2971" t="str">
        <f>_xlfn.XLOOKUP(C2971,Table2[Species],Table2[Family],"Code Not Found")</f>
        <v>Sapindaceae</v>
      </c>
      <c r="O2971" t="str" cm="1">
        <f t="array" ref="O2971">_xlfn.IFS(F2971="","",F2971&lt;=5,"0 to 5",F2971&lt;=10,"5.1 to 10",F2971&lt;=20,"10 to 20", F2971&lt;= 40, "20 to 40", F2971 &lt;= 50, "40 to 50", F2971 &gt; 50, "&gt;50" )</f>
        <v>0 to 5</v>
      </c>
    </row>
    <row r="2972" spans="1:15" ht="15" customHeight="1" x14ac:dyDescent="0.3">
      <c r="A2972" t="s">
        <v>593</v>
      </c>
      <c r="B2972" s="1">
        <v>46218</v>
      </c>
      <c r="C2972" t="s">
        <v>16</v>
      </c>
      <c r="D2972">
        <v>2773</v>
      </c>
      <c r="E2972">
        <v>1</v>
      </c>
      <c r="F2972">
        <v>2.5</v>
      </c>
      <c r="G2972" t="s">
        <v>17</v>
      </c>
      <c r="I2972" t="str">
        <f t="shared" si="51"/>
        <v>2773_1</v>
      </c>
      <c r="J2972" t="s">
        <v>533</v>
      </c>
      <c r="K2972" t="s">
        <v>115</v>
      </c>
      <c r="L2972" t="str">
        <f>_xlfn.XLOOKUP(C2972, Table2[Species],Table2[Genus], "Code Not Found")</f>
        <v>Acer</v>
      </c>
      <c r="M2972" t="str">
        <f>_xlfn.XLOOKUP(C2972, Table2[Species],Table2[Sp. Name], "Code Not Found")</f>
        <v>saccharum</v>
      </c>
      <c r="N2972" t="str">
        <f>_xlfn.XLOOKUP(C2972,Table2[Species],Table2[Family],"Code Not Found")</f>
        <v>Sapindaceae</v>
      </c>
      <c r="O2972" t="str" cm="1">
        <f t="array" ref="O2972">_xlfn.IFS(F2972="","",F2972&lt;=5,"0 to 5",F2972&lt;=10,"5.1 to 10",F2972&lt;=20,"10 to 20", F2972&lt;= 40, "20 to 40", F2972 &lt;= 50, "40 to 50", F2972 &gt; 50, "&gt;50" )</f>
        <v>0 to 5</v>
      </c>
    </row>
    <row r="2973" spans="1:15" ht="15" customHeight="1" x14ac:dyDescent="0.3">
      <c r="A2973" t="s">
        <v>593</v>
      </c>
      <c r="B2973" s="1">
        <v>46218</v>
      </c>
      <c r="C2973" t="s">
        <v>16</v>
      </c>
      <c r="D2973">
        <v>2774</v>
      </c>
      <c r="E2973">
        <v>1</v>
      </c>
      <c r="F2973">
        <v>3.8</v>
      </c>
      <c r="G2973" t="s">
        <v>21</v>
      </c>
      <c r="I2973" t="str">
        <f t="shared" si="51"/>
        <v>2774_1</v>
      </c>
      <c r="J2973" t="s">
        <v>533</v>
      </c>
      <c r="K2973" t="s">
        <v>115</v>
      </c>
      <c r="L2973" t="str">
        <f>_xlfn.XLOOKUP(C2973, Table2[Species],Table2[Genus], "Code Not Found")</f>
        <v>Acer</v>
      </c>
      <c r="M2973" t="str">
        <f>_xlfn.XLOOKUP(C2973, Table2[Species],Table2[Sp. Name], "Code Not Found")</f>
        <v>saccharum</v>
      </c>
      <c r="N2973" t="str">
        <f>_xlfn.XLOOKUP(C2973,Table2[Species],Table2[Family],"Code Not Found")</f>
        <v>Sapindaceae</v>
      </c>
      <c r="O2973" t="str" cm="1">
        <f t="array" ref="O2973">_xlfn.IFS(F2973="","",F2973&lt;=5,"0 to 5",F2973&lt;=10,"5.1 to 10",F2973&lt;=20,"10 to 20", F2973&lt;= 40, "20 to 40", F2973 &lt;= 50, "40 to 50", F2973 &gt; 50, "&gt;50" )</f>
        <v>0 to 5</v>
      </c>
    </row>
    <row r="2974" spans="1:15" ht="15" customHeight="1" x14ac:dyDescent="0.3">
      <c r="A2974" t="s">
        <v>593</v>
      </c>
      <c r="B2974" s="1">
        <v>46218</v>
      </c>
      <c r="C2974" t="s">
        <v>16</v>
      </c>
      <c r="D2974">
        <v>2775</v>
      </c>
      <c r="E2974">
        <v>1</v>
      </c>
      <c r="F2974">
        <v>8.6</v>
      </c>
      <c r="G2974" t="s">
        <v>17</v>
      </c>
      <c r="I2974" t="str">
        <f t="shared" si="51"/>
        <v>2775_1</v>
      </c>
      <c r="J2974" t="s">
        <v>533</v>
      </c>
      <c r="K2974" t="s">
        <v>115</v>
      </c>
      <c r="L2974" t="str">
        <f>_xlfn.XLOOKUP(C2974, Table2[Species],Table2[Genus], "Code Not Found")</f>
        <v>Acer</v>
      </c>
      <c r="M2974" t="str">
        <f>_xlfn.XLOOKUP(C2974, Table2[Species],Table2[Sp. Name], "Code Not Found")</f>
        <v>saccharum</v>
      </c>
      <c r="N2974" t="str">
        <f>_xlfn.XLOOKUP(C2974,Table2[Species],Table2[Family],"Code Not Found")</f>
        <v>Sapindaceae</v>
      </c>
      <c r="O2974" t="str" cm="1">
        <f t="array" ref="O2974">_xlfn.IFS(F2974="","",F2974&lt;=5,"0 to 5",F2974&lt;=10,"5.1 to 10",F2974&lt;=20,"10 to 20", F2974&lt;= 40, "20 to 40", F2974 &lt;= 50, "40 to 50", F2974 &gt; 50, "&gt;50" )</f>
        <v>5.1 to 10</v>
      </c>
    </row>
    <row r="2975" spans="1:15" ht="15" customHeight="1" x14ac:dyDescent="0.3">
      <c r="A2975" t="s">
        <v>593</v>
      </c>
      <c r="B2975" s="1">
        <v>46218</v>
      </c>
      <c r="C2975" t="s">
        <v>16</v>
      </c>
      <c r="D2975">
        <v>2776</v>
      </c>
      <c r="E2975">
        <v>1</v>
      </c>
      <c r="F2975">
        <v>3.9</v>
      </c>
      <c r="G2975" t="s">
        <v>21</v>
      </c>
      <c r="I2975" t="str">
        <f t="shared" si="51"/>
        <v>2776_1</v>
      </c>
      <c r="J2975" t="s">
        <v>533</v>
      </c>
      <c r="K2975" t="s">
        <v>115</v>
      </c>
      <c r="L2975" t="str">
        <f>_xlfn.XLOOKUP(C2975, Table2[Species],Table2[Genus], "Code Not Found")</f>
        <v>Acer</v>
      </c>
      <c r="M2975" t="str">
        <f>_xlfn.XLOOKUP(C2975, Table2[Species],Table2[Sp. Name], "Code Not Found")</f>
        <v>saccharum</v>
      </c>
      <c r="N2975" t="str">
        <f>_xlfn.XLOOKUP(C2975,Table2[Species],Table2[Family],"Code Not Found")</f>
        <v>Sapindaceae</v>
      </c>
      <c r="O2975" t="str" cm="1">
        <f t="array" ref="O2975">_xlfn.IFS(F2975="","",F2975&lt;=5,"0 to 5",F2975&lt;=10,"5.1 to 10",F2975&lt;=20,"10 to 20", F2975&lt;= 40, "20 to 40", F2975 &lt;= 50, "40 to 50", F2975 &gt; 50, "&gt;50" )</f>
        <v>0 to 5</v>
      </c>
    </row>
    <row r="2976" spans="1:15" ht="15" customHeight="1" x14ac:dyDescent="0.3">
      <c r="A2976" t="s">
        <v>593</v>
      </c>
      <c r="B2976" s="1">
        <v>46218</v>
      </c>
      <c r="C2976" t="s">
        <v>16</v>
      </c>
      <c r="D2976">
        <v>2777</v>
      </c>
      <c r="E2976">
        <v>1</v>
      </c>
      <c r="F2976">
        <v>2.2999999999999998</v>
      </c>
      <c r="G2976" t="s">
        <v>17</v>
      </c>
      <c r="I2976" t="str">
        <f t="shared" si="51"/>
        <v>2777_1</v>
      </c>
      <c r="J2976" t="s">
        <v>533</v>
      </c>
      <c r="K2976" t="s">
        <v>115</v>
      </c>
      <c r="L2976" t="str">
        <f>_xlfn.XLOOKUP(C2976, Table2[Species],Table2[Genus], "Code Not Found")</f>
        <v>Acer</v>
      </c>
      <c r="M2976" t="str">
        <f>_xlfn.XLOOKUP(C2976, Table2[Species],Table2[Sp. Name], "Code Not Found")</f>
        <v>saccharum</v>
      </c>
      <c r="N2976" t="str">
        <f>_xlfn.XLOOKUP(C2976,Table2[Species],Table2[Family],"Code Not Found")</f>
        <v>Sapindaceae</v>
      </c>
      <c r="O2976" t="str" cm="1">
        <f t="array" ref="O2976">_xlfn.IFS(F2976="","",F2976&lt;=5,"0 to 5",F2976&lt;=10,"5.1 to 10",F2976&lt;=20,"10 to 20", F2976&lt;= 40, "20 to 40", F2976 &lt;= 50, "40 to 50", F2976 &gt; 50, "&gt;50" )</f>
        <v>0 to 5</v>
      </c>
    </row>
    <row r="2977" spans="1:15" ht="15" customHeight="1" x14ac:dyDescent="0.3">
      <c r="A2977" t="s">
        <v>593</v>
      </c>
      <c r="B2977" s="1">
        <v>46218</v>
      </c>
      <c r="C2977" t="s">
        <v>16</v>
      </c>
      <c r="D2977">
        <v>2778</v>
      </c>
      <c r="E2977">
        <v>1</v>
      </c>
      <c r="F2977">
        <v>4.8</v>
      </c>
      <c r="G2977" t="s">
        <v>30</v>
      </c>
      <c r="H2977" t="s">
        <v>99</v>
      </c>
      <c r="I2977" t="str">
        <f t="shared" si="51"/>
        <v>2778_1</v>
      </c>
      <c r="J2977" t="s">
        <v>533</v>
      </c>
      <c r="K2977" t="s">
        <v>115</v>
      </c>
      <c r="L2977" t="str">
        <f>_xlfn.XLOOKUP(C2977, Table2[Species],Table2[Genus], "Code Not Found")</f>
        <v>Acer</v>
      </c>
      <c r="M2977" t="str">
        <f>_xlfn.XLOOKUP(C2977, Table2[Species],Table2[Sp. Name], "Code Not Found")</f>
        <v>saccharum</v>
      </c>
      <c r="N2977" t="str">
        <f>_xlfn.XLOOKUP(C2977,Table2[Species],Table2[Family],"Code Not Found")</f>
        <v>Sapindaceae</v>
      </c>
      <c r="O2977" t="str" cm="1">
        <f t="array" ref="O2977">_xlfn.IFS(F2977="","",F2977&lt;=5,"0 to 5",F2977&lt;=10,"5.1 to 10",F2977&lt;=20,"10 to 20", F2977&lt;= 40, "20 to 40", F2977 &lt;= 50, "40 to 50", F2977 &gt; 50, "&gt;50" )</f>
        <v>0 to 5</v>
      </c>
    </row>
    <row r="2978" spans="1:15" ht="15" customHeight="1" x14ac:dyDescent="0.3">
      <c r="A2978" t="s">
        <v>593</v>
      </c>
      <c r="B2978" s="1">
        <v>46218</v>
      </c>
      <c r="C2978" t="s">
        <v>16</v>
      </c>
      <c r="D2978">
        <v>2779</v>
      </c>
      <c r="E2978">
        <v>1</v>
      </c>
      <c r="F2978">
        <v>11.3</v>
      </c>
      <c r="G2978" t="s">
        <v>17</v>
      </c>
      <c r="I2978" t="str">
        <f t="shared" si="51"/>
        <v>2779_1</v>
      </c>
      <c r="J2978" t="s">
        <v>533</v>
      </c>
      <c r="K2978" t="s">
        <v>115</v>
      </c>
      <c r="L2978" t="str">
        <f>_xlfn.XLOOKUP(C2978, Table2[Species],Table2[Genus], "Code Not Found")</f>
        <v>Acer</v>
      </c>
      <c r="M2978" t="str">
        <f>_xlfn.XLOOKUP(C2978, Table2[Species],Table2[Sp. Name], "Code Not Found")</f>
        <v>saccharum</v>
      </c>
      <c r="N2978" t="str">
        <f>_xlfn.XLOOKUP(C2978,Table2[Species],Table2[Family],"Code Not Found")</f>
        <v>Sapindaceae</v>
      </c>
      <c r="O2978" t="str" cm="1">
        <f t="array" ref="O2978">_xlfn.IFS(F2978="","",F2978&lt;=5,"0 to 5",F2978&lt;=10,"5.1 to 10",F2978&lt;=20,"10 to 20", F2978&lt;= 40, "20 to 40", F2978 &lt;= 50, "40 to 50", F2978 &gt; 50, "&gt;50" )</f>
        <v>10 to 20</v>
      </c>
    </row>
    <row r="2979" spans="1:15" ht="15" customHeight="1" x14ac:dyDescent="0.3">
      <c r="A2979" t="s">
        <v>593</v>
      </c>
      <c r="B2979" s="1">
        <v>46218</v>
      </c>
      <c r="C2979" t="s">
        <v>16</v>
      </c>
      <c r="D2979">
        <v>2780</v>
      </c>
      <c r="E2979">
        <v>1</v>
      </c>
      <c r="F2979">
        <v>2.8</v>
      </c>
      <c r="G2979" t="s">
        <v>30</v>
      </c>
      <c r="H2979" t="s">
        <v>100</v>
      </c>
      <c r="I2979" t="str">
        <f t="shared" si="51"/>
        <v>2780_1</v>
      </c>
      <c r="J2979" t="s">
        <v>533</v>
      </c>
      <c r="K2979" t="s">
        <v>115</v>
      </c>
      <c r="L2979" t="str">
        <f>_xlfn.XLOOKUP(C2979, Table2[Species],Table2[Genus], "Code Not Found")</f>
        <v>Acer</v>
      </c>
      <c r="M2979" t="str">
        <f>_xlfn.XLOOKUP(C2979, Table2[Species],Table2[Sp. Name], "Code Not Found")</f>
        <v>saccharum</v>
      </c>
      <c r="N2979" t="str">
        <f>_xlfn.XLOOKUP(C2979,Table2[Species],Table2[Family],"Code Not Found")</f>
        <v>Sapindaceae</v>
      </c>
      <c r="O2979" t="str" cm="1">
        <f t="array" ref="O2979">_xlfn.IFS(F2979="","",F2979&lt;=5,"0 to 5",F2979&lt;=10,"5.1 to 10",F2979&lt;=20,"10 to 20", F2979&lt;= 40, "20 to 40", F2979 &lt;= 50, "40 to 50", F2979 &gt; 50, "&gt;50" )</f>
        <v>0 to 5</v>
      </c>
    </row>
    <row r="2980" spans="1:15" ht="15" customHeight="1" x14ac:dyDescent="0.3">
      <c r="A2980" t="s">
        <v>593</v>
      </c>
      <c r="B2980" s="1">
        <v>46218</v>
      </c>
      <c r="C2980" t="s">
        <v>16</v>
      </c>
      <c r="D2980">
        <v>2781</v>
      </c>
      <c r="E2980">
        <v>1</v>
      </c>
      <c r="F2980">
        <v>4.3</v>
      </c>
      <c r="G2980" t="s">
        <v>88</v>
      </c>
      <c r="H2980" t="s">
        <v>99</v>
      </c>
      <c r="I2980" t="str">
        <f t="shared" si="51"/>
        <v>2781_1</v>
      </c>
      <c r="J2980" t="s">
        <v>533</v>
      </c>
      <c r="K2980" t="s">
        <v>115</v>
      </c>
      <c r="L2980" t="str">
        <f>_xlfn.XLOOKUP(C2980, Table2[Species],Table2[Genus], "Code Not Found")</f>
        <v>Acer</v>
      </c>
      <c r="M2980" t="str">
        <f>_xlfn.XLOOKUP(C2980, Table2[Species],Table2[Sp. Name], "Code Not Found")</f>
        <v>saccharum</v>
      </c>
      <c r="N2980" t="str">
        <f>_xlfn.XLOOKUP(C2980,Table2[Species],Table2[Family],"Code Not Found")</f>
        <v>Sapindaceae</v>
      </c>
      <c r="O2980" t="str" cm="1">
        <f t="array" ref="O2980">_xlfn.IFS(F2980="","",F2980&lt;=5,"0 to 5",F2980&lt;=10,"5.1 to 10",F2980&lt;=20,"10 to 20", F2980&lt;= 40, "20 to 40", F2980 &lt;= 50, "40 to 50", F2980 &gt; 50, "&gt;50" )</f>
        <v>0 to 5</v>
      </c>
    </row>
    <row r="2981" spans="1:15" ht="15" customHeight="1" x14ac:dyDescent="0.3">
      <c r="A2981" t="s">
        <v>593</v>
      </c>
      <c r="B2981" s="1">
        <v>46218</v>
      </c>
      <c r="C2981" t="s">
        <v>16</v>
      </c>
      <c r="D2981">
        <v>2782</v>
      </c>
      <c r="E2981">
        <v>1</v>
      </c>
      <c r="F2981">
        <v>11.5</v>
      </c>
      <c r="G2981" t="s">
        <v>21</v>
      </c>
      <c r="I2981" t="str">
        <f t="shared" si="51"/>
        <v>2782_1</v>
      </c>
      <c r="J2981" t="s">
        <v>533</v>
      </c>
      <c r="K2981" t="s">
        <v>115</v>
      </c>
      <c r="L2981" t="str">
        <f>_xlfn.XLOOKUP(C2981, Table2[Species],Table2[Genus], "Code Not Found")</f>
        <v>Acer</v>
      </c>
      <c r="M2981" t="str">
        <f>_xlfn.XLOOKUP(C2981, Table2[Species],Table2[Sp. Name], "Code Not Found")</f>
        <v>saccharum</v>
      </c>
      <c r="N2981" t="str">
        <f>_xlfn.XLOOKUP(C2981,Table2[Species],Table2[Family],"Code Not Found")</f>
        <v>Sapindaceae</v>
      </c>
      <c r="O2981" t="str" cm="1">
        <f t="array" ref="O2981">_xlfn.IFS(F2981="","",F2981&lt;=5,"0 to 5",F2981&lt;=10,"5.1 to 10",F2981&lt;=20,"10 to 20", F2981&lt;= 40, "20 to 40", F2981 &lt;= 50, "40 to 50", F2981 &gt; 50, "&gt;50" )</f>
        <v>10 to 20</v>
      </c>
    </row>
    <row r="2982" spans="1:15" ht="15" customHeight="1" x14ac:dyDescent="0.3">
      <c r="A2982" t="s">
        <v>593</v>
      </c>
      <c r="B2982" s="1">
        <v>46218</v>
      </c>
      <c r="C2982" t="s">
        <v>16</v>
      </c>
      <c r="D2982">
        <v>2783</v>
      </c>
      <c r="E2982">
        <v>1</v>
      </c>
      <c r="F2982">
        <v>4.5999999999999996</v>
      </c>
      <c r="G2982" t="s">
        <v>17</v>
      </c>
      <c r="I2982" t="str">
        <f t="shared" si="51"/>
        <v>2783_1</v>
      </c>
      <c r="J2982" t="s">
        <v>533</v>
      </c>
      <c r="K2982" t="s">
        <v>115</v>
      </c>
      <c r="L2982" t="str">
        <f>_xlfn.XLOOKUP(C2982, Table2[Species],Table2[Genus], "Code Not Found")</f>
        <v>Acer</v>
      </c>
      <c r="M2982" t="str">
        <f>_xlfn.XLOOKUP(C2982, Table2[Species],Table2[Sp. Name], "Code Not Found")</f>
        <v>saccharum</v>
      </c>
      <c r="N2982" t="str">
        <f>_xlfn.XLOOKUP(C2982,Table2[Species],Table2[Family],"Code Not Found")</f>
        <v>Sapindaceae</v>
      </c>
      <c r="O2982" t="str" cm="1">
        <f t="array" ref="O2982">_xlfn.IFS(F2982="","",F2982&lt;=5,"0 to 5",F2982&lt;=10,"5.1 to 10",F2982&lt;=20,"10 to 20", F2982&lt;= 40, "20 to 40", F2982 &lt;= 50, "40 to 50", F2982 &gt; 50, "&gt;50" )</f>
        <v>0 to 5</v>
      </c>
    </row>
    <row r="2983" spans="1:15" ht="15" customHeight="1" x14ac:dyDescent="0.3">
      <c r="A2983" t="s">
        <v>593</v>
      </c>
      <c r="B2983" s="1">
        <v>46218</v>
      </c>
      <c r="C2983" t="s">
        <v>16</v>
      </c>
      <c r="D2983">
        <v>2784</v>
      </c>
      <c r="E2983">
        <v>1</v>
      </c>
      <c r="F2983">
        <v>7.2</v>
      </c>
      <c r="G2983" t="s">
        <v>21</v>
      </c>
      <c r="I2983" t="str">
        <f t="shared" si="51"/>
        <v>2784_1</v>
      </c>
      <c r="J2983" t="s">
        <v>533</v>
      </c>
      <c r="K2983" t="s">
        <v>115</v>
      </c>
      <c r="L2983" t="str">
        <f>_xlfn.XLOOKUP(C2983, Table2[Species],Table2[Genus], "Code Not Found")</f>
        <v>Acer</v>
      </c>
      <c r="M2983" t="str">
        <f>_xlfn.XLOOKUP(C2983, Table2[Species],Table2[Sp. Name], "Code Not Found")</f>
        <v>saccharum</v>
      </c>
      <c r="N2983" t="str">
        <f>_xlfn.XLOOKUP(C2983,Table2[Species],Table2[Family],"Code Not Found")</f>
        <v>Sapindaceae</v>
      </c>
      <c r="O2983" t="str" cm="1">
        <f t="array" ref="O2983">_xlfn.IFS(F2983="","",F2983&lt;=5,"0 to 5",F2983&lt;=10,"5.1 to 10",F2983&lt;=20,"10 to 20", F2983&lt;= 40, "20 to 40", F2983 &lt;= 50, "40 to 50", F2983 &gt; 50, "&gt;50" )</f>
        <v>5.1 to 10</v>
      </c>
    </row>
    <row r="2984" spans="1:15" ht="15" customHeight="1" x14ac:dyDescent="0.3">
      <c r="A2984" t="s">
        <v>593</v>
      </c>
      <c r="B2984" s="1">
        <v>46218</v>
      </c>
      <c r="C2984" t="s">
        <v>16</v>
      </c>
      <c r="D2984">
        <v>2785</v>
      </c>
      <c r="E2984">
        <v>1</v>
      </c>
      <c r="F2984">
        <v>3.9</v>
      </c>
      <c r="G2984" t="s">
        <v>88</v>
      </c>
      <c r="H2984" t="s">
        <v>100</v>
      </c>
      <c r="I2984" t="str">
        <f t="shared" si="51"/>
        <v>2785_1</v>
      </c>
      <c r="J2984" t="s">
        <v>533</v>
      </c>
      <c r="K2984" t="s">
        <v>115</v>
      </c>
      <c r="L2984" t="str">
        <f>_xlfn.XLOOKUP(C2984, Table2[Species],Table2[Genus], "Code Not Found")</f>
        <v>Acer</v>
      </c>
      <c r="M2984" t="str">
        <f>_xlfn.XLOOKUP(C2984, Table2[Species],Table2[Sp. Name], "Code Not Found")</f>
        <v>saccharum</v>
      </c>
      <c r="N2984" t="str">
        <f>_xlfn.XLOOKUP(C2984,Table2[Species],Table2[Family],"Code Not Found")</f>
        <v>Sapindaceae</v>
      </c>
      <c r="O2984" t="str" cm="1">
        <f t="array" ref="O2984">_xlfn.IFS(F2984="","",F2984&lt;=5,"0 to 5",F2984&lt;=10,"5.1 to 10",F2984&lt;=20,"10 to 20", F2984&lt;= 40, "20 to 40", F2984 &lt;= 50, "40 to 50", F2984 &gt; 50, "&gt;50" )</f>
        <v>0 to 5</v>
      </c>
    </row>
    <row r="2985" spans="1:15" ht="15" customHeight="1" x14ac:dyDescent="0.3">
      <c r="A2985" t="s">
        <v>593</v>
      </c>
      <c r="B2985" s="1">
        <v>46218</v>
      </c>
      <c r="C2985" t="s">
        <v>22</v>
      </c>
      <c r="D2985">
        <v>2786</v>
      </c>
      <c r="E2985">
        <v>1</v>
      </c>
      <c r="F2985">
        <v>18</v>
      </c>
      <c r="G2985" t="s">
        <v>21</v>
      </c>
      <c r="I2985" t="str">
        <f t="shared" si="51"/>
        <v>2786_1</v>
      </c>
      <c r="J2985" t="s">
        <v>533</v>
      </c>
      <c r="K2985" t="s">
        <v>115</v>
      </c>
      <c r="L2985" t="str">
        <f>_xlfn.XLOOKUP(C2985, Table2[Species],Table2[Genus], "Code Not Found")</f>
        <v>Acer</v>
      </c>
      <c r="M2985" t="str">
        <f>_xlfn.XLOOKUP(C2985, Table2[Species],Table2[Sp. Name], "Code Not Found")</f>
        <v>rubrum</v>
      </c>
      <c r="N2985" t="str">
        <f>_xlfn.XLOOKUP(C2985,Table2[Species],Table2[Family],"Code Not Found")</f>
        <v>Sapindaceae</v>
      </c>
      <c r="O2985" t="str" cm="1">
        <f t="array" ref="O2985">_xlfn.IFS(F2985="","",F2985&lt;=5,"0 to 5",F2985&lt;=10,"5.1 to 10",F2985&lt;=20,"10 to 20", F2985&lt;= 40, "20 to 40", F2985 &lt;= 50, "40 to 50", F2985 &gt; 50, "&gt;50" )</f>
        <v>10 to 20</v>
      </c>
    </row>
    <row r="2986" spans="1:15" ht="15" customHeight="1" x14ac:dyDescent="0.3">
      <c r="A2986" t="s">
        <v>593</v>
      </c>
      <c r="B2986" s="1">
        <v>46218</v>
      </c>
      <c r="C2986" t="s">
        <v>16</v>
      </c>
      <c r="D2986">
        <v>2787</v>
      </c>
      <c r="E2986">
        <v>1</v>
      </c>
      <c r="F2986">
        <v>3.9</v>
      </c>
      <c r="G2986" t="s">
        <v>17</v>
      </c>
      <c r="I2986" t="str">
        <f t="shared" si="51"/>
        <v>2787_1</v>
      </c>
      <c r="J2986" t="s">
        <v>533</v>
      </c>
      <c r="K2986" t="s">
        <v>115</v>
      </c>
      <c r="L2986" t="str">
        <f>_xlfn.XLOOKUP(C2986, Table2[Species],Table2[Genus], "Code Not Found")</f>
        <v>Acer</v>
      </c>
      <c r="M2986" t="str">
        <f>_xlfn.XLOOKUP(C2986, Table2[Species],Table2[Sp. Name], "Code Not Found")</f>
        <v>saccharum</v>
      </c>
      <c r="N2986" t="str">
        <f>_xlfn.XLOOKUP(C2986,Table2[Species],Table2[Family],"Code Not Found")</f>
        <v>Sapindaceae</v>
      </c>
      <c r="O2986" t="str" cm="1">
        <f t="array" ref="O2986">_xlfn.IFS(F2986="","",F2986&lt;=5,"0 to 5",F2986&lt;=10,"5.1 to 10",F2986&lt;=20,"10 to 20", F2986&lt;= 40, "20 to 40", F2986 &lt;= 50, "40 to 50", F2986 &gt; 50, "&gt;50" )</f>
        <v>0 to 5</v>
      </c>
    </row>
    <row r="2987" spans="1:15" ht="15" customHeight="1" x14ac:dyDescent="0.3">
      <c r="A2987" t="s">
        <v>593</v>
      </c>
      <c r="B2987" s="1">
        <v>46218</v>
      </c>
      <c r="C2987" t="s">
        <v>22</v>
      </c>
      <c r="D2987">
        <v>2788</v>
      </c>
      <c r="E2987">
        <v>1</v>
      </c>
      <c r="F2987">
        <v>32.6</v>
      </c>
      <c r="G2987" t="s">
        <v>21</v>
      </c>
      <c r="I2987" t="str">
        <f t="shared" si="51"/>
        <v>2788_1</v>
      </c>
      <c r="J2987" t="s">
        <v>533</v>
      </c>
      <c r="K2987" t="s">
        <v>115</v>
      </c>
      <c r="L2987" t="str">
        <f>_xlfn.XLOOKUP(C2987, Table2[Species],Table2[Genus], "Code Not Found")</f>
        <v>Acer</v>
      </c>
      <c r="M2987" t="str">
        <f>_xlfn.XLOOKUP(C2987, Table2[Species],Table2[Sp. Name], "Code Not Found")</f>
        <v>rubrum</v>
      </c>
      <c r="N2987" t="str">
        <f>_xlfn.XLOOKUP(C2987,Table2[Species],Table2[Family],"Code Not Found")</f>
        <v>Sapindaceae</v>
      </c>
      <c r="O2987" t="str" cm="1">
        <f t="array" ref="O2987">_xlfn.IFS(F2987="","",F2987&lt;=5,"0 to 5",F2987&lt;=10,"5.1 to 10",F2987&lt;=20,"10 to 20", F2987&lt;= 40, "20 to 40", F2987 &lt;= 50, "40 to 50", F2987 &gt; 50, "&gt;50" )</f>
        <v>20 to 40</v>
      </c>
    </row>
    <row r="2988" spans="1:15" ht="15" customHeight="1" x14ac:dyDescent="0.3">
      <c r="A2988" t="s">
        <v>593</v>
      </c>
      <c r="B2988" s="1">
        <v>46218</v>
      </c>
      <c r="C2988" t="s">
        <v>16</v>
      </c>
      <c r="D2988">
        <v>2789</v>
      </c>
      <c r="E2988">
        <v>1</v>
      </c>
      <c r="F2988">
        <v>3.7</v>
      </c>
      <c r="G2988" t="s">
        <v>17</v>
      </c>
      <c r="I2988" t="str">
        <f t="shared" si="51"/>
        <v>2789_1</v>
      </c>
      <c r="J2988" t="s">
        <v>533</v>
      </c>
      <c r="K2988" t="s">
        <v>115</v>
      </c>
      <c r="L2988" t="str">
        <f>_xlfn.XLOOKUP(C2988, Table2[Species],Table2[Genus], "Code Not Found")</f>
        <v>Acer</v>
      </c>
      <c r="M2988" t="str">
        <f>_xlfn.XLOOKUP(C2988, Table2[Species],Table2[Sp. Name], "Code Not Found")</f>
        <v>saccharum</v>
      </c>
      <c r="N2988" t="str">
        <f>_xlfn.XLOOKUP(C2988,Table2[Species],Table2[Family],"Code Not Found")</f>
        <v>Sapindaceae</v>
      </c>
      <c r="O2988" t="str" cm="1">
        <f t="array" ref="O2988">_xlfn.IFS(F2988="","",F2988&lt;=5,"0 to 5",F2988&lt;=10,"5.1 to 10",F2988&lt;=20,"10 to 20", F2988&lt;= 40, "20 to 40", F2988 &lt;= 50, "40 to 50", F2988 &gt; 50, "&gt;50" )</f>
        <v>0 to 5</v>
      </c>
    </row>
    <row r="2989" spans="1:15" ht="15" customHeight="1" x14ac:dyDescent="0.3">
      <c r="A2989" t="s">
        <v>593</v>
      </c>
      <c r="B2989" s="1">
        <v>46218</v>
      </c>
      <c r="C2989" t="s">
        <v>16</v>
      </c>
      <c r="D2989">
        <v>2790</v>
      </c>
      <c r="E2989">
        <v>1</v>
      </c>
      <c r="F2989">
        <v>2.8</v>
      </c>
      <c r="G2989" t="s">
        <v>21</v>
      </c>
      <c r="I2989" t="str">
        <f t="shared" si="51"/>
        <v>2790_1</v>
      </c>
      <c r="J2989" t="s">
        <v>533</v>
      </c>
      <c r="K2989" t="s">
        <v>115</v>
      </c>
      <c r="L2989" t="str">
        <f>_xlfn.XLOOKUP(C2989, Table2[Species],Table2[Genus], "Code Not Found")</f>
        <v>Acer</v>
      </c>
      <c r="M2989" t="str">
        <f>_xlfn.XLOOKUP(C2989, Table2[Species],Table2[Sp. Name], "Code Not Found")</f>
        <v>saccharum</v>
      </c>
      <c r="N2989" t="str">
        <f>_xlfn.XLOOKUP(C2989,Table2[Species],Table2[Family],"Code Not Found")</f>
        <v>Sapindaceae</v>
      </c>
      <c r="O2989" t="str" cm="1">
        <f t="array" ref="O2989">_xlfn.IFS(F2989="","",F2989&lt;=5,"0 to 5",F2989&lt;=10,"5.1 to 10",F2989&lt;=20,"10 to 20", F2989&lt;= 40, "20 to 40", F2989 &lt;= 50, "40 to 50", F2989 &gt; 50, "&gt;50" )</f>
        <v>0 to 5</v>
      </c>
    </row>
    <row r="2990" spans="1:15" ht="15" customHeight="1" x14ac:dyDescent="0.3">
      <c r="A2990" t="s">
        <v>593</v>
      </c>
      <c r="B2990" s="1">
        <v>46218</v>
      </c>
      <c r="C2990" t="s">
        <v>16</v>
      </c>
      <c r="D2990">
        <v>2791</v>
      </c>
      <c r="E2990">
        <v>1</v>
      </c>
      <c r="F2990">
        <v>2.1</v>
      </c>
      <c r="G2990" t="s">
        <v>17</v>
      </c>
      <c r="I2990" t="str">
        <f t="shared" si="51"/>
        <v>2791_1</v>
      </c>
      <c r="J2990" t="s">
        <v>533</v>
      </c>
      <c r="K2990" t="s">
        <v>115</v>
      </c>
      <c r="L2990" t="str">
        <f>_xlfn.XLOOKUP(C2990, Table2[Species],Table2[Genus], "Code Not Found")</f>
        <v>Acer</v>
      </c>
      <c r="M2990" t="str">
        <f>_xlfn.XLOOKUP(C2990, Table2[Species],Table2[Sp. Name], "Code Not Found")</f>
        <v>saccharum</v>
      </c>
      <c r="N2990" t="str">
        <f>_xlfn.XLOOKUP(C2990,Table2[Species],Table2[Family],"Code Not Found")</f>
        <v>Sapindaceae</v>
      </c>
      <c r="O2990" t="str" cm="1">
        <f t="array" ref="O2990">_xlfn.IFS(F2990="","",F2990&lt;=5,"0 to 5",F2990&lt;=10,"5.1 to 10",F2990&lt;=20,"10 to 20", F2990&lt;= 40, "20 to 40", F2990 &lt;= 50, "40 to 50", F2990 &gt; 50, "&gt;50" )</f>
        <v>0 to 5</v>
      </c>
    </row>
    <row r="2991" spans="1:15" ht="15" customHeight="1" x14ac:dyDescent="0.3">
      <c r="A2991" t="s">
        <v>593</v>
      </c>
      <c r="B2991" s="1">
        <v>46218</v>
      </c>
      <c r="C2991" t="s">
        <v>16</v>
      </c>
      <c r="D2991">
        <v>2792</v>
      </c>
      <c r="E2991">
        <v>1</v>
      </c>
      <c r="F2991">
        <v>2.2999999999999998</v>
      </c>
      <c r="G2991" t="s">
        <v>17</v>
      </c>
      <c r="I2991" t="str">
        <f t="shared" si="51"/>
        <v>2792_1</v>
      </c>
      <c r="J2991" t="s">
        <v>533</v>
      </c>
      <c r="K2991" t="s">
        <v>115</v>
      </c>
      <c r="L2991" t="str">
        <f>_xlfn.XLOOKUP(C2991, Table2[Species],Table2[Genus], "Code Not Found")</f>
        <v>Acer</v>
      </c>
      <c r="M2991" t="str">
        <f>_xlfn.XLOOKUP(C2991, Table2[Species],Table2[Sp. Name], "Code Not Found")</f>
        <v>saccharum</v>
      </c>
      <c r="N2991" t="str">
        <f>_xlfn.XLOOKUP(C2991,Table2[Species],Table2[Family],"Code Not Found")</f>
        <v>Sapindaceae</v>
      </c>
      <c r="O2991" t="str" cm="1">
        <f t="array" ref="O2991">_xlfn.IFS(F2991="","",F2991&lt;=5,"0 to 5",F2991&lt;=10,"5.1 to 10",F2991&lt;=20,"10 to 20", F2991&lt;= 40, "20 to 40", F2991 &lt;= 50, "40 to 50", F2991 &gt; 50, "&gt;50" )</f>
        <v>0 to 5</v>
      </c>
    </row>
    <row r="2992" spans="1:15" ht="15" customHeight="1" x14ac:dyDescent="0.3">
      <c r="A2992" t="s">
        <v>593</v>
      </c>
      <c r="B2992" s="1">
        <v>46218</v>
      </c>
      <c r="C2992" t="s">
        <v>64</v>
      </c>
      <c r="D2992">
        <v>2793</v>
      </c>
      <c r="E2992">
        <v>1</v>
      </c>
      <c r="F2992">
        <v>1.5</v>
      </c>
      <c r="G2992" t="s">
        <v>47</v>
      </c>
      <c r="H2992" t="s">
        <v>598</v>
      </c>
      <c r="I2992" t="str">
        <f t="shared" si="51"/>
        <v>2793_1</v>
      </c>
      <c r="J2992" t="s">
        <v>533</v>
      </c>
      <c r="K2992" t="s">
        <v>115</v>
      </c>
      <c r="L2992" t="str">
        <f>_xlfn.XLOOKUP(C2992, Table2[Species],Table2[Genus], "Code Not Found")</f>
        <v>Fagus</v>
      </c>
      <c r="M2992" t="str">
        <f>_xlfn.XLOOKUP(C2992, Table2[Species],Table2[Sp. Name], "Code Not Found")</f>
        <v>grandifolia</v>
      </c>
      <c r="N2992" t="str">
        <f>_xlfn.XLOOKUP(C2992,Table2[Species],Table2[Family],"Code Not Found")</f>
        <v>Fagaceae</v>
      </c>
      <c r="O2992" t="str" cm="1">
        <f t="array" ref="O2992">_xlfn.IFS(F2992="","",F2992&lt;=5,"0 to 5",F2992&lt;=10,"5.1 to 10",F2992&lt;=20,"10 to 20", F2992&lt;= 40, "20 to 40", F2992 &lt;= 50, "40 to 50", F2992 &gt; 50, "&gt;50" )</f>
        <v>0 to 5</v>
      </c>
    </row>
    <row r="2993" spans="1:15" ht="15" customHeight="1" x14ac:dyDescent="0.3">
      <c r="A2993" t="s">
        <v>593</v>
      </c>
      <c r="B2993" s="1">
        <v>46218</v>
      </c>
      <c r="C2993" t="s">
        <v>16</v>
      </c>
      <c r="D2993">
        <v>2794</v>
      </c>
      <c r="E2993">
        <v>1</v>
      </c>
      <c r="F2993">
        <v>7.3</v>
      </c>
      <c r="G2993" t="s">
        <v>56</v>
      </c>
      <c r="I2993" t="str">
        <f t="shared" si="51"/>
        <v>2794_1</v>
      </c>
      <c r="J2993" t="s">
        <v>533</v>
      </c>
      <c r="K2993" t="s">
        <v>115</v>
      </c>
      <c r="L2993" t="str">
        <f>_xlfn.XLOOKUP(C2993, Table2[Species],Table2[Genus], "Code Not Found")</f>
        <v>Acer</v>
      </c>
      <c r="M2993" t="str">
        <f>_xlfn.XLOOKUP(C2993, Table2[Species],Table2[Sp. Name], "Code Not Found")</f>
        <v>saccharum</v>
      </c>
      <c r="N2993" t="str">
        <f>_xlfn.XLOOKUP(C2993,Table2[Species],Table2[Family],"Code Not Found")</f>
        <v>Sapindaceae</v>
      </c>
      <c r="O2993" t="str" cm="1">
        <f t="array" ref="O2993">_xlfn.IFS(F2993="","",F2993&lt;=5,"0 to 5",F2993&lt;=10,"5.1 to 10",F2993&lt;=20,"10 to 20", F2993&lt;= 40, "20 to 40", F2993 &lt;= 50, "40 to 50", F2993 &gt; 50, "&gt;50" )</f>
        <v>5.1 to 10</v>
      </c>
    </row>
    <row r="2994" spans="1:15" ht="15" customHeight="1" x14ac:dyDescent="0.3">
      <c r="A2994" t="s">
        <v>593</v>
      </c>
      <c r="B2994" s="1">
        <v>46218</v>
      </c>
      <c r="C2994" t="s">
        <v>16</v>
      </c>
      <c r="D2994">
        <v>2795</v>
      </c>
      <c r="E2994">
        <v>1</v>
      </c>
      <c r="F2994">
        <v>5.2</v>
      </c>
      <c r="G2994" t="s">
        <v>17</v>
      </c>
      <c r="I2994" t="str">
        <f t="shared" si="51"/>
        <v>2795_1</v>
      </c>
      <c r="J2994" t="s">
        <v>533</v>
      </c>
      <c r="K2994" t="s">
        <v>115</v>
      </c>
      <c r="L2994" t="str">
        <f>_xlfn.XLOOKUP(C2994, Table2[Species],Table2[Genus], "Code Not Found")</f>
        <v>Acer</v>
      </c>
      <c r="M2994" t="str">
        <f>_xlfn.XLOOKUP(C2994, Table2[Species],Table2[Sp. Name], "Code Not Found")</f>
        <v>saccharum</v>
      </c>
      <c r="N2994" t="str">
        <f>_xlfn.XLOOKUP(C2994,Table2[Species],Table2[Family],"Code Not Found")</f>
        <v>Sapindaceae</v>
      </c>
      <c r="O2994" t="str" cm="1">
        <f t="array" ref="O2994">_xlfn.IFS(F2994="","",F2994&lt;=5,"0 to 5",F2994&lt;=10,"5.1 to 10",F2994&lt;=20,"10 to 20", F2994&lt;= 40, "20 to 40", F2994 &lt;= 50, "40 to 50", F2994 &gt; 50, "&gt;50" )</f>
        <v>5.1 to 10</v>
      </c>
    </row>
    <row r="2995" spans="1:15" ht="15" customHeight="1" x14ac:dyDescent="0.3">
      <c r="A2995" t="s">
        <v>593</v>
      </c>
      <c r="B2995" s="1">
        <v>46218</v>
      </c>
      <c r="C2995" t="s">
        <v>16</v>
      </c>
      <c r="D2995">
        <v>2796</v>
      </c>
      <c r="E2995">
        <v>1</v>
      </c>
      <c r="F2995">
        <v>6.4</v>
      </c>
      <c r="G2995" t="s">
        <v>21</v>
      </c>
      <c r="I2995" t="str">
        <f>D2995&amp;"_"&amp;E2995</f>
        <v>2796_1</v>
      </c>
      <c r="J2995" t="s">
        <v>533</v>
      </c>
      <c r="K2995" t="s">
        <v>115</v>
      </c>
      <c r="L2995" t="str">
        <f>_xlfn.XLOOKUP(C2995, Table2[Species],Table2[Genus], "Code Not Found")</f>
        <v>Acer</v>
      </c>
      <c r="M2995" t="str">
        <f>_xlfn.XLOOKUP(C2995, Table2[Species],Table2[Sp. Name], "Code Not Found")</f>
        <v>saccharum</v>
      </c>
      <c r="N2995" t="str">
        <f>_xlfn.XLOOKUP(C2995,Table2[Species],Table2[Family],"Code Not Found")</f>
        <v>Sapindaceae</v>
      </c>
      <c r="O2995" t="str" cm="1">
        <f t="array" ref="O2995">_xlfn.IFS(F2995="","",F2995&lt;=5,"0 to 5",F2995&lt;=10,"5.1 to 10",F2995&lt;=20,"10 to 20", F2995&lt;= 40, "20 to 40", F2995 &lt;= 50, "40 to 50", F2995 &gt; 50, "&gt;50" )</f>
        <v>5.1 to 10</v>
      </c>
    </row>
  </sheetData>
  <conditionalFormatting sqref="I1:I1048576">
    <cfRule type="duplicateValues" dxfId="14" priority="1"/>
  </conditionalFormatting>
  <dataValidations count="1">
    <dataValidation type="list" allowBlank="1" showInputMessage="1" showErrorMessage="1" sqref="C1:C1048576" xr:uid="{D72E857B-A033-4E9D-9941-590105AB530A}">
      <formula1>Species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156a91-b720-480b-9c5a-2750d35137ce">
      <Terms xmlns="http://schemas.microsoft.com/office/infopath/2007/PartnerControls"/>
    </lcf76f155ced4ddcb4097134ff3c332f>
    <TaxCatchAll xmlns="2925ced4-9649-4694-8b02-7b2baada13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E21CDBA4A78C49BA1428EA3119423F" ma:contentTypeVersion="11" ma:contentTypeDescription="Create a new document." ma:contentTypeScope="" ma:versionID="0cbee0b192a5b56b89fb3d4f1b489dd4">
  <xsd:schema xmlns:xsd="http://www.w3.org/2001/XMLSchema" xmlns:xs="http://www.w3.org/2001/XMLSchema" xmlns:p="http://schemas.microsoft.com/office/2006/metadata/properties" xmlns:ns2="d5156a91-b720-480b-9c5a-2750d35137ce" xmlns:ns3="2925ced4-9649-4694-8b02-7b2baada13be" targetNamespace="http://schemas.microsoft.com/office/2006/metadata/properties" ma:root="true" ma:fieldsID="3aedffb9db9fb1012f6f9962acf6b415" ns2:_="" ns3:_="">
    <xsd:import namespace="d5156a91-b720-480b-9c5a-2750d35137ce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156a91-b720-480b-9c5a-2750d35137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F5564E-AA75-446C-8EA0-3E5B70F890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283E35-F649-4A8F-84F1-272DDF17E585}">
  <ds:schemaRefs>
    <ds:schemaRef ds:uri="http://schemas.microsoft.com/office/2006/metadata/properties"/>
    <ds:schemaRef ds:uri="http://schemas.microsoft.com/office/infopath/2007/PartnerControls"/>
    <ds:schemaRef ds:uri="d5156a91-b720-480b-9c5a-2750d35137ce"/>
    <ds:schemaRef ds:uri="2925ced4-9649-4694-8b02-7b2baada13be"/>
  </ds:schemaRefs>
</ds:datastoreItem>
</file>

<file path=customXml/itemProps3.xml><?xml version="1.0" encoding="utf-8"?>
<ds:datastoreItem xmlns:ds="http://schemas.openxmlformats.org/officeDocument/2006/customXml" ds:itemID="{01E693F4-E9B1-44A9-A734-45C1D1FA81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156a91-b720-480b-9c5a-2750d35137ce"/>
    <ds:schemaRef ds:uri="2925ced4-9649-4694-8b02-7b2baada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Plot_Data</vt:lpstr>
      <vt:lpstr>DBH Classes</vt:lpstr>
      <vt:lpstr>Plot Summary Forest</vt:lpstr>
      <vt:lpstr>DBH Classes Forest</vt:lpstr>
      <vt:lpstr>Plot Summary</vt:lpstr>
      <vt:lpstr>DBH Classes Practice</vt:lpstr>
      <vt:lpstr>Lookups</vt:lpstr>
      <vt:lpstr>Plot_Data_Structure Div</vt:lpstr>
      <vt:lpstr>Species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Samantha Worthy</cp:lastModifiedBy>
  <cp:revision/>
  <dcterms:created xsi:type="dcterms:W3CDTF">2026-05-22T17:02:26Z</dcterms:created>
  <dcterms:modified xsi:type="dcterms:W3CDTF">2026-07-29T17:45:14Z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0x010100A0E21CDBA4A78C49BA1428EA3119423F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